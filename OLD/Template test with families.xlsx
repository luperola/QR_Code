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ustomProperty1.bin" ContentType="application/vnd.openxmlformats-officedocument.spreadsheetml.customProperty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b494536d0e93f0f/Documenti/QR_Stock/"/>
    </mc:Choice>
  </mc:AlternateContent>
  <xr:revisionPtr revIDLastSave="235" documentId="8_{B0993882-EE38-4FAF-AE69-87A74DC300A2}" xr6:coauthVersionLast="47" xr6:coauthVersionMax="47" xr10:uidLastSave="{02D321AE-2510-4AD2-B688-CD806B02F734}"/>
  <bookViews>
    <workbookView xWindow="-110" yWindow="-110" windowWidth="25180" windowHeight="16860" activeTab="1" xr2:uid="{00000000-000D-0000-FFFF-FFFF00000000}"/>
  </bookViews>
  <sheets>
    <sheet name="template" sheetId="7" r:id="rId1"/>
    <sheet name="template1" sheetId="8" r:id="rId2"/>
    <sheet name="Classified as UnClassified" sheetId="4" state="hidden" r:id="rId3"/>
    <sheet name="xl_DCF_History" sheetId="3" state="veryHidden" r:id="rId4"/>
  </sheets>
  <definedNames>
    <definedName name="_xlnm._FilterDatabase" localSheetId="0" hidden="1">template!$A$651:$Q$651</definedName>
    <definedName name="_xlnm._FilterDatabase" localSheetId="1" hidden="1">template1!$A$9:$Q$643</definedName>
    <definedName name="_xlnm.Print_Area" localSheetId="0">template!$A$1:$P$800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0" i="8" l="1"/>
  <c r="N160" i="8" s="1"/>
  <c r="J161" i="8"/>
  <c r="J163" i="8"/>
  <c r="J164" i="8"/>
  <c r="J165" i="8"/>
  <c r="J166" i="8"/>
  <c r="P166" i="8" s="1"/>
  <c r="J167" i="8"/>
  <c r="J168" i="8"/>
  <c r="J169" i="8"/>
  <c r="J170" i="8"/>
  <c r="J171" i="8"/>
  <c r="J172" i="8"/>
  <c r="J173" i="8"/>
  <c r="P173" i="8" s="1"/>
  <c r="J174" i="8"/>
  <c r="J175" i="8"/>
  <c r="J176" i="8"/>
  <c r="J177" i="8"/>
  <c r="J178" i="8"/>
  <c r="J179" i="8"/>
  <c r="J180" i="8"/>
  <c r="P180" i="8" s="1"/>
  <c r="J181" i="8"/>
  <c r="J182" i="8"/>
  <c r="J183" i="8"/>
  <c r="J184" i="8"/>
  <c r="J185" i="8"/>
  <c r="J186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P114" i="8" s="1"/>
  <c r="J115" i="8"/>
  <c r="J116" i="8"/>
  <c r="N116" i="8" s="1"/>
  <c r="J117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O69" i="8" s="1"/>
  <c r="J68" i="8"/>
  <c r="J67" i="8"/>
  <c r="J66" i="8"/>
  <c r="J65" i="8"/>
  <c r="J64" i="8"/>
  <c r="P148" i="8"/>
  <c r="O148" i="8"/>
  <c r="N148" i="8"/>
  <c r="N173" i="8"/>
  <c r="P141" i="8"/>
  <c r="O141" i="8"/>
  <c r="N141" i="8"/>
  <c r="P134" i="8"/>
  <c r="O134" i="8"/>
  <c r="N134" i="8"/>
  <c r="P127" i="8"/>
  <c r="O127" i="8"/>
  <c r="N127" i="8"/>
  <c r="N128" i="8"/>
  <c r="O128" i="8"/>
  <c r="P128" i="8"/>
  <c r="N129" i="8"/>
  <c r="O129" i="8"/>
  <c r="P129" i="8"/>
  <c r="N130" i="8"/>
  <c r="O130" i="8"/>
  <c r="P130" i="8"/>
  <c r="N28" i="8"/>
  <c r="O160" i="8" l="1"/>
  <c r="N166" i="8"/>
  <c r="P160" i="8"/>
  <c r="O166" i="8"/>
  <c r="N180" i="8"/>
  <c r="O180" i="8"/>
  <c r="O173" i="8"/>
  <c r="O116" i="8"/>
  <c r="P116" i="8"/>
  <c r="N69" i="8"/>
  <c r="P69" i="8"/>
  <c r="P125" i="8"/>
  <c r="P126" i="8"/>
  <c r="P131" i="8"/>
  <c r="P132" i="8"/>
  <c r="P133" i="8"/>
  <c r="P135" i="8"/>
  <c r="P136" i="8"/>
  <c r="P137" i="8"/>
  <c r="P138" i="8"/>
  <c r="P139" i="8"/>
  <c r="P140" i="8"/>
  <c r="P142" i="8"/>
  <c r="P143" i="8"/>
  <c r="P144" i="8"/>
  <c r="P145" i="8"/>
  <c r="P146" i="8"/>
  <c r="P147" i="8"/>
  <c r="P149" i="8"/>
  <c r="P150" i="8"/>
  <c r="P151" i="8"/>
  <c r="P152" i="8"/>
  <c r="O125" i="8"/>
  <c r="O126" i="8"/>
  <c r="O131" i="8"/>
  <c r="O132" i="8"/>
  <c r="O133" i="8"/>
  <c r="O135" i="8"/>
  <c r="O136" i="8"/>
  <c r="O137" i="8"/>
  <c r="O138" i="8"/>
  <c r="O139" i="8"/>
  <c r="O140" i="8"/>
  <c r="O142" i="8"/>
  <c r="O143" i="8"/>
  <c r="O144" i="8"/>
  <c r="O145" i="8"/>
  <c r="O146" i="8"/>
  <c r="O147" i="8"/>
  <c r="O149" i="8"/>
  <c r="O150" i="8"/>
  <c r="O151" i="8"/>
  <c r="O152" i="8"/>
  <c r="N125" i="8"/>
  <c r="N126" i="8"/>
  <c r="N131" i="8"/>
  <c r="N132" i="8"/>
  <c r="N133" i="8"/>
  <c r="N135" i="8"/>
  <c r="N136" i="8"/>
  <c r="N137" i="8"/>
  <c r="N138" i="8"/>
  <c r="N139" i="8"/>
  <c r="N140" i="8"/>
  <c r="N142" i="8"/>
  <c r="N143" i="8"/>
  <c r="N144" i="8"/>
  <c r="N145" i="8"/>
  <c r="N146" i="8"/>
  <c r="N147" i="8"/>
  <c r="N149" i="8"/>
  <c r="N150" i="8"/>
  <c r="N151" i="8"/>
  <c r="N152" i="8"/>
  <c r="P63" i="8"/>
  <c r="O63" i="8"/>
  <c r="N63" i="8"/>
  <c r="P82" i="8"/>
  <c r="O82" i="8"/>
  <c r="N82" i="8"/>
  <c r="P76" i="8"/>
  <c r="O76" i="8"/>
  <c r="N76" i="8"/>
  <c r="P70" i="8"/>
  <c r="O70" i="8"/>
  <c r="N70" i="8"/>
  <c r="P158" i="8"/>
  <c r="P159" i="8"/>
  <c r="P161" i="8"/>
  <c r="P163" i="8"/>
  <c r="P165" i="8"/>
  <c r="P167" i="8"/>
  <c r="P169" i="8"/>
  <c r="P171" i="8"/>
  <c r="P172" i="8"/>
  <c r="P174" i="8"/>
  <c r="P176" i="8"/>
  <c r="P178" i="8"/>
  <c r="P179" i="8"/>
  <c r="P181" i="8"/>
  <c r="N158" i="8"/>
  <c r="N159" i="8"/>
  <c r="N161" i="8"/>
  <c r="N163" i="8"/>
  <c r="N165" i="8"/>
  <c r="N167" i="8"/>
  <c r="N169" i="8"/>
  <c r="N171" i="8"/>
  <c r="N172" i="8"/>
  <c r="N174" i="8"/>
  <c r="N176" i="8"/>
  <c r="N178" i="8"/>
  <c r="N179" i="8"/>
  <c r="N181" i="8"/>
  <c r="N99" i="8"/>
  <c r="N100" i="8"/>
  <c r="N105" i="8"/>
  <c r="N106" i="8"/>
  <c r="N111" i="8"/>
  <c r="N112" i="8"/>
  <c r="N117" i="8"/>
  <c r="N26" i="8"/>
  <c r="N27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25" i="8"/>
  <c r="O111" i="8"/>
  <c r="P111" i="8"/>
  <c r="O105" i="8"/>
  <c r="P105" i="8"/>
  <c r="P99" i="8"/>
  <c r="P24" i="8"/>
  <c r="J803" i="8"/>
  <c r="J802" i="8"/>
  <c r="N802" i="8" s="1"/>
  <c r="J801" i="8"/>
  <c r="N801" i="8" s="1"/>
  <c r="J800" i="8"/>
  <c r="J799" i="8"/>
  <c r="P799" i="8" s="1"/>
  <c r="J798" i="8"/>
  <c r="J797" i="8"/>
  <c r="N797" i="8" s="1"/>
  <c r="J795" i="8"/>
  <c r="N795" i="8" s="1"/>
  <c r="J794" i="8"/>
  <c r="P794" i="8" s="1"/>
  <c r="J793" i="8"/>
  <c r="O793" i="8" s="1"/>
  <c r="J792" i="8"/>
  <c r="P792" i="8" s="1"/>
  <c r="J791" i="8"/>
  <c r="N791" i="8" s="1"/>
  <c r="J790" i="8"/>
  <c r="P790" i="8" s="1"/>
  <c r="J789" i="8"/>
  <c r="O789" i="8" s="1"/>
  <c r="J788" i="8"/>
  <c r="O788" i="8" s="1"/>
  <c r="J787" i="8"/>
  <c r="O787" i="8" s="1"/>
  <c r="J786" i="8"/>
  <c r="J785" i="8"/>
  <c r="N785" i="8" s="1"/>
  <c r="J784" i="8"/>
  <c r="N784" i="8" s="1"/>
  <c r="J783" i="8"/>
  <c r="P783" i="8" s="1"/>
  <c r="J782" i="8"/>
  <c r="N782" i="8" s="1"/>
  <c r="J781" i="8"/>
  <c r="O781" i="8" s="1"/>
  <c r="J780" i="8"/>
  <c r="N780" i="8" s="1"/>
  <c r="J779" i="8"/>
  <c r="J778" i="8"/>
  <c r="P778" i="8" s="1"/>
  <c r="J777" i="8"/>
  <c r="P777" i="8" s="1"/>
  <c r="J776" i="8"/>
  <c r="P776" i="8" s="1"/>
  <c r="J775" i="8"/>
  <c r="J774" i="8"/>
  <c r="N774" i="8" s="1"/>
  <c r="J773" i="8"/>
  <c r="P773" i="8" s="1"/>
  <c r="J772" i="8"/>
  <c r="P772" i="8" s="1"/>
  <c r="J771" i="8"/>
  <c r="J770" i="8"/>
  <c r="J769" i="8"/>
  <c r="J768" i="8"/>
  <c r="N768" i="8" s="1"/>
  <c r="J767" i="8"/>
  <c r="J766" i="8"/>
  <c r="J765" i="8"/>
  <c r="O765" i="8" s="1"/>
  <c r="J764" i="8"/>
  <c r="P764" i="8" s="1"/>
  <c r="J763" i="8"/>
  <c r="J762" i="8"/>
  <c r="N762" i="8" s="1"/>
  <c r="J761" i="8"/>
  <c r="J760" i="8"/>
  <c r="P760" i="8" s="1"/>
  <c r="J759" i="8"/>
  <c r="J758" i="8"/>
  <c r="J757" i="8"/>
  <c r="J756" i="8"/>
  <c r="O756" i="8" s="1"/>
  <c r="J755" i="8"/>
  <c r="O755" i="8" s="1"/>
  <c r="J754" i="8"/>
  <c r="P754" i="8" s="1"/>
  <c r="J753" i="8"/>
  <c r="P753" i="8" s="1"/>
  <c r="J752" i="8"/>
  <c r="J751" i="8"/>
  <c r="J749" i="8"/>
  <c r="N749" i="8" s="1"/>
  <c r="A749" i="8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7" i="8" s="1"/>
  <c r="A798" i="8" s="1"/>
  <c r="A799" i="8" s="1"/>
  <c r="A800" i="8" s="1"/>
  <c r="A801" i="8" s="1"/>
  <c r="A802" i="8" s="1"/>
  <c r="A803" i="8" s="1"/>
  <c r="A805" i="8" s="1"/>
  <c r="J748" i="8"/>
  <c r="N748" i="8" s="1"/>
  <c r="J747" i="8"/>
  <c r="P747" i="8" s="1"/>
  <c r="J746" i="8"/>
  <c r="O746" i="8" s="1"/>
  <c r="J745" i="8"/>
  <c r="O745" i="8" s="1"/>
  <c r="J744" i="8"/>
  <c r="P744" i="8" s="1"/>
  <c r="J743" i="8"/>
  <c r="J742" i="8"/>
  <c r="P742" i="8" s="1"/>
  <c r="J741" i="8"/>
  <c r="O741" i="8" s="1"/>
  <c r="J740" i="8"/>
  <c r="O740" i="8" s="1"/>
  <c r="J739" i="8"/>
  <c r="P739" i="8" s="1"/>
  <c r="J738" i="8"/>
  <c r="N738" i="8" s="1"/>
  <c r="J737" i="8"/>
  <c r="O737" i="8" s="1"/>
  <c r="J736" i="8"/>
  <c r="P736" i="8" s="1"/>
  <c r="J735" i="8"/>
  <c r="J734" i="8"/>
  <c r="O734" i="8" s="1"/>
  <c r="J732" i="8"/>
  <c r="J731" i="8"/>
  <c r="P731" i="8" s="1"/>
  <c r="J730" i="8"/>
  <c r="N730" i="8" s="1"/>
  <c r="J729" i="8"/>
  <c r="J728" i="8"/>
  <c r="J727" i="8"/>
  <c r="P727" i="8" s="1"/>
  <c r="J726" i="8"/>
  <c r="J725" i="8"/>
  <c r="P725" i="8" s="1"/>
  <c r="J724" i="8"/>
  <c r="J723" i="8"/>
  <c r="P723" i="8" s="1"/>
  <c r="J722" i="8"/>
  <c r="O722" i="8" s="1"/>
  <c r="P721" i="8"/>
  <c r="O721" i="8"/>
  <c r="N721" i="8"/>
  <c r="J720" i="8"/>
  <c r="N720" i="8" s="1"/>
  <c r="J719" i="8"/>
  <c r="P719" i="8" s="1"/>
  <c r="J718" i="8"/>
  <c r="J717" i="8"/>
  <c r="J716" i="8"/>
  <c r="O716" i="8" s="1"/>
  <c r="J715" i="8"/>
  <c r="P715" i="8" s="1"/>
  <c r="J714" i="8"/>
  <c r="P714" i="8" s="1"/>
  <c r="J713" i="8"/>
  <c r="N713" i="8" s="1"/>
  <c r="J712" i="8"/>
  <c r="N712" i="8" s="1"/>
  <c r="J711" i="8"/>
  <c r="J710" i="8"/>
  <c r="N710" i="8" s="1"/>
  <c r="J709" i="8"/>
  <c r="J708" i="8"/>
  <c r="N708" i="8" s="1"/>
  <c r="J707" i="8"/>
  <c r="N707" i="8" s="1"/>
  <c r="J706" i="8"/>
  <c r="P706" i="8" s="1"/>
  <c r="J705" i="8"/>
  <c r="J704" i="8"/>
  <c r="O704" i="8" s="1"/>
  <c r="J703" i="8"/>
  <c r="P703" i="8" s="1"/>
  <c r="J702" i="8"/>
  <c r="J701" i="8"/>
  <c r="J700" i="8"/>
  <c r="N700" i="8" s="1"/>
  <c r="J699" i="8"/>
  <c r="P699" i="8" s="1"/>
  <c r="J698" i="8"/>
  <c r="O698" i="8" s="1"/>
  <c r="J697" i="8"/>
  <c r="O697" i="8" s="1"/>
  <c r="J696" i="8"/>
  <c r="N696" i="8" s="1"/>
  <c r="J695" i="8"/>
  <c r="O695" i="8" s="1"/>
  <c r="J694" i="8"/>
  <c r="O694" i="8" s="1"/>
  <c r="J693" i="8"/>
  <c r="J692" i="8"/>
  <c r="J691" i="8"/>
  <c r="J690" i="8"/>
  <c r="N690" i="8" s="1"/>
  <c r="J689" i="8"/>
  <c r="P689" i="8" s="1"/>
  <c r="J688" i="8"/>
  <c r="N688" i="8" s="1"/>
  <c r="J687" i="8"/>
  <c r="J686" i="8"/>
  <c r="N686" i="8" s="1"/>
  <c r="J685" i="8"/>
  <c r="J684" i="8"/>
  <c r="J683" i="8"/>
  <c r="P683" i="8" s="1"/>
  <c r="J682" i="8"/>
  <c r="P682" i="8" s="1"/>
  <c r="J681" i="8"/>
  <c r="N681" i="8" s="1"/>
  <c r="J680" i="8"/>
  <c r="J679" i="8"/>
  <c r="J678" i="8"/>
  <c r="O678" i="8" s="1"/>
  <c r="J677" i="8"/>
  <c r="N677" i="8" s="1"/>
  <c r="J676" i="8"/>
  <c r="N676" i="8" s="1"/>
  <c r="J675" i="8"/>
  <c r="O675" i="8" s="1"/>
  <c r="J674" i="8"/>
  <c r="N674" i="8" s="1"/>
  <c r="J673" i="8"/>
  <c r="O673" i="8" s="1"/>
  <c r="J672" i="8"/>
  <c r="N672" i="8" s="1"/>
  <c r="J671" i="8"/>
  <c r="J670" i="8"/>
  <c r="P670" i="8" s="1"/>
  <c r="J669" i="8"/>
  <c r="J668" i="8"/>
  <c r="J667" i="8"/>
  <c r="P667" i="8" s="1"/>
  <c r="J666" i="8"/>
  <c r="N666" i="8" s="1"/>
  <c r="J665" i="8"/>
  <c r="P665" i="8" s="1"/>
  <c r="J664" i="8"/>
  <c r="P664" i="8" s="1"/>
  <c r="J663" i="8"/>
  <c r="J662" i="8"/>
  <c r="P662" i="8" s="1"/>
  <c r="J661" i="8"/>
  <c r="J660" i="8"/>
  <c r="J659" i="8"/>
  <c r="P659" i="8" s="1"/>
  <c r="J658" i="8"/>
  <c r="P658" i="8" s="1"/>
  <c r="J657" i="8"/>
  <c r="P657" i="8" s="1"/>
  <c r="J656" i="8"/>
  <c r="P656" i="8" s="1"/>
  <c r="J655" i="8"/>
  <c r="N655" i="8" s="1"/>
  <c r="J654" i="8"/>
  <c r="P654" i="8" s="1"/>
  <c r="A654" i="8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4" i="8" s="1"/>
  <c r="A735" i="8" s="1"/>
  <c r="J653" i="8"/>
  <c r="P653" i="8" s="1"/>
  <c r="J641" i="8"/>
  <c r="J640" i="8"/>
  <c r="N640" i="8" s="1"/>
  <c r="J639" i="8"/>
  <c r="J638" i="8"/>
  <c r="O638" i="8" s="1"/>
  <c r="J637" i="8"/>
  <c r="P637" i="8" s="1"/>
  <c r="J636" i="8"/>
  <c r="N636" i="8" s="1"/>
  <c r="J635" i="8"/>
  <c r="P635" i="8" s="1"/>
  <c r="J634" i="8"/>
  <c r="J633" i="8"/>
  <c r="O633" i="8" s="1"/>
  <c r="J632" i="8"/>
  <c r="O632" i="8" s="1"/>
  <c r="J631" i="8"/>
  <c r="P631" i="8" s="1"/>
  <c r="J630" i="8"/>
  <c r="P630" i="8" s="1"/>
  <c r="J629" i="8"/>
  <c r="N629" i="8" s="1"/>
  <c r="J628" i="8"/>
  <c r="P628" i="8" s="1"/>
  <c r="J627" i="8"/>
  <c r="N627" i="8" s="1"/>
  <c r="J626" i="8"/>
  <c r="O626" i="8" s="1"/>
  <c r="J625" i="8"/>
  <c r="J624" i="8"/>
  <c r="N624" i="8" s="1"/>
  <c r="J623" i="8"/>
  <c r="N623" i="8" s="1"/>
  <c r="J622" i="8"/>
  <c r="N622" i="8" s="1"/>
  <c r="J621" i="8"/>
  <c r="J620" i="8"/>
  <c r="J619" i="8"/>
  <c r="J618" i="8"/>
  <c r="P618" i="8" s="1"/>
  <c r="J617" i="8"/>
  <c r="J616" i="8"/>
  <c r="P616" i="8" s="1"/>
  <c r="J615" i="8"/>
  <c r="J614" i="8"/>
  <c r="O614" i="8" s="1"/>
  <c r="J613" i="8"/>
  <c r="O613" i="8" s="1"/>
  <c r="J612" i="8"/>
  <c r="O612" i="8" s="1"/>
  <c r="J611" i="8"/>
  <c r="J610" i="8"/>
  <c r="P610" i="8" s="1"/>
  <c r="J609" i="8"/>
  <c r="N609" i="8" s="1"/>
  <c r="J608" i="8"/>
  <c r="N608" i="8" s="1"/>
  <c r="J607" i="8"/>
  <c r="P607" i="8" s="1"/>
  <c r="J606" i="8"/>
  <c r="P606" i="8" s="1"/>
  <c r="J605" i="8"/>
  <c r="P605" i="8" s="1"/>
  <c r="J604" i="8"/>
  <c r="J603" i="8"/>
  <c r="P603" i="8" s="1"/>
  <c r="J602" i="8"/>
  <c r="O602" i="8" s="1"/>
  <c r="J601" i="8"/>
  <c r="P601" i="8" s="1"/>
  <c r="J600" i="8"/>
  <c r="O600" i="8" s="1"/>
  <c r="J599" i="8"/>
  <c r="P599" i="8" s="1"/>
  <c r="J598" i="8"/>
  <c r="J597" i="8"/>
  <c r="N597" i="8" s="1"/>
  <c r="J596" i="8"/>
  <c r="P596" i="8" s="1"/>
  <c r="J595" i="8"/>
  <c r="P595" i="8" s="1"/>
  <c r="J594" i="8"/>
  <c r="J593" i="8"/>
  <c r="O593" i="8" s="1"/>
  <c r="J592" i="8"/>
  <c r="J591" i="8"/>
  <c r="J590" i="8"/>
  <c r="O590" i="8" s="1"/>
  <c r="J589" i="8"/>
  <c r="P589" i="8" s="1"/>
  <c r="J588" i="8"/>
  <c r="P588" i="8" s="1"/>
  <c r="J587" i="8"/>
  <c r="O587" i="8" s="1"/>
  <c r="J586" i="8"/>
  <c r="P586" i="8" s="1"/>
  <c r="J585" i="8"/>
  <c r="N585" i="8" s="1"/>
  <c r="J583" i="8"/>
  <c r="P583" i="8" s="1"/>
  <c r="J582" i="8"/>
  <c r="O582" i="8" s="1"/>
  <c r="J581" i="8"/>
  <c r="O581" i="8" s="1"/>
  <c r="J580" i="8"/>
  <c r="N580" i="8" s="1"/>
  <c r="J579" i="8"/>
  <c r="J578" i="8"/>
  <c r="O578" i="8" s="1"/>
  <c r="J577" i="8"/>
  <c r="P577" i="8" s="1"/>
  <c r="J576" i="8"/>
  <c r="J574" i="8"/>
  <c r="P574" i="8" s="1"/>
  <c r="J573" i="8"/>
  <c r="P572" i="8"/>
  <c r="O572" i="8"/>
  <c r="N572" i="8"/>
  <c r="P571" i="8"/>
  <c r="O571" i="8"/>
  <c r="N571" i="8"/>
  <c r="P570" i="8"/>
  <c r="O570" i="8"/>
  <c r="N570" i="8"/>
  <c r="P569" i="8"/>
  <c r="O569" i="8"/>
  <c r="N569" i="8"/>
  <c r="P568" i="8"/>
  <c r="O568" i="8"/>
  <c r="N568" i="8"/>
  <c r="P567" i="8"/>
  <c r="O567" i="8"/>
  <c r="N567" i="8"/>
  <c r="P566" i="8"/>
  <c r="O566" i="8"/>
  <c r="N566" i="8"/>
  <c r="P565" i="8"/>
  <c r="O565" i="8"/>
  <c r="N565" i="8"/>
  <c r="P564" i="8"/>
  <c r="O564" i="8"/>
  <c r="N564" i="8"/>
  <c r="P563" i="8"/>
  <c r="O563" i="8"/>
  <c r="N563" i="8"/>
  <c r="J561" i="8"/>
  <c r="O561" i="8" s="1"/>
  <c r="J560" i="8"/>
  <c r="P559" i="8"/>
  <c r="O559" i="8"/>
  <c r="N559" i="8"/>
  <c r="P558" i="8"/>
  <c r="O558" i="8"/>
  <c r="N558" i="8"/>
  <c r="P557" i="8"/>
  <c r="O557" i="8"/>
  <c r="N557" i="8"/>
  <c r="P556" i="8"/>
  <c r="O556" i="8"/>
  <c r="N556" i="8"/>
  <c r="P555" i="8"/>
  <c r="O555" i="8"/>
  <c r="N555" i="8"/>
  <c r="P554" i="8"/>
  <c r="O554" i="8"/>
  <c r="N554" i="8"/>
  <c r="P553" i="8"/>
  <c r="O553" i="8"/>
  <c r="N553" i="8"/>
  <c r="P552" i="8"/>
  <c r="O552" i="8"/>
  <c r="N552" i="8"/>
  <c r="P551" i="8"/>
  <c r="O551" i="8"/>
  <c r="N551" i="8"/>
  <c r="P550" i="8"/>
  <c r="O550" i="8"/>
  <c r="N550" i="8"/>
  <c r="J548" i="8"/>
  <c r="P548" i="8" s="1"/>
  <c r="J547" i="8"/>
  <c r="P547" i="8" s="1"/>
  <c r="P546" i="8"/>
  <c r="O546" i="8"/>
  <c r="N546" i="8"/>
  <c r="P545" i="8"/>
  <c r="O545" i="8"/>
  <c r="N545" i="8"/>
  <c r="P544" i="8"/>
  <c r="O544" i="8"/>
  <c r="N544" i="8"/>
  <c r="P543" i="8"/>
  <c r="O543" i="8"/>
  <c r="N543" i="8"/>
  <c r="P542" i="8"/>
  <c r="O542" i="8"/>
  <c r="N542" i="8"/>
  <c r="P541" i="8"/>
  <c r="O541" i="8"/>
  <c r="N541" i="8"/>
  <c r="P540" i="8"/>
  <c r="O540" i="8"/>
  <c r="N540" i="8"/>
  <c r="P539" i="8"/>
  <c r="O539" i="8"/>
  <c r="N539" i="8"/>
  <c r="P538" i="8"/>
  <c r="O538" i="8"/>
  <c r="N538" i="8"/>
  <c r="P537" i="8"/>
  <c r="O537" i="8"/>
  <c r="N537" i="8"/>
  <c r="J535" i="8"/>
  <c r="O535" i="8" s="1"/>
  <c r="J534" i="8"/>
  <c r="P533" i="8"/>
  <c r="O533" i="8"/>
  <c r="N533" i="8"/>
  <c r="P532" i="8"/>
  <c r="O532" i="8"/>
  <c r="N532" i="8"/>
  <c r="P531" i="8"/>
  <c r="O531" i="8"/>
  <c r="N531" i="8"/>
  <c r="P530" i="8"/>
  <c r="O530" i="8"/>
  <c r="N530" i="8"/>
  <c r="P529" i="8"/>
  <c r="O529" i="8"/>
  <c r="N529" i="8"/>
  <c r="P528" i="8"/>
  <c r="O528" i="8"/>
  <c r="N528" i="8"/>
  <c r="P527" i="8"/>
  <c r="O527" i="8"/>
  <c r="N527" i="8"/>
  <c r="P526" i="8"/>
  <c r="O526" i="8"/>
  <c r="N526" i="8"/>
  <c r="P525" i="8"/>
  <c r="O525" i="8"/>
  <c r="N525" i="8"/>
  <c r="P524" i="8"/>
  <c r="O524" i="8"/>
  <c r="N524" i="8"/>
  <c r="J522" i="8"/>
  <c r="J521" i="8"/>
  <c r="O521" i="8" s="1"/>
  <c r="P520" i="8"/>
  <c r="O520" i="8"/>
  <c r="N520" i="8"/>
  <c r="P519" i="8"/>
  <c r="O519" i="8"/>
  <c r="N519" i="8"/>
  <c r="P518" i="8"/>
  <c r="O518" i="8"/>
  <c r="N518" i="8"/>
  <c r="P517" i="8"/>
  <c r="O517" i="8"/>
  <c r="N517" i="8"/>
  <c r="P516" i="8"/>
  <c r="O516" i="8"/>
  <c r="N516" i="8"/>
  <c r="P515" i="8"/>
  <c r="O515" i="8"/>
  <c r="N515" i="8"/>
  <c r="P514" i="8"/>
  <c r="O514" i="8"/>
  <c r="N514" i="8"/>
  <c r="P513" i="8"/>
  <c r="O513" i="8"/>
  <c r="N513" i="8"/>
  <c r="P512" i="8"/>
  <c r="O512" i="8"/>
  <c r="N512" i="8"/>
  <c r="P511" i="8"/>
  <c r="O511" i="8"/>
  <c r="N511" i="8"/>
  <c r="J509" i="8"/>
  <c r="O509" i="8" s="1"/>
  <c r="J508" i="8"/>
  <c r="O508" i="8" s="1"/>
  <c r="P507" i="8"/>
  <c r="O507" i="8"/>
  <c r="N507" i="8"/>
  <c r="P506" i="8"/>
  <c r="O506" i="8"/>
  <c r="N506" i="8"/>
  <c r="P505" i="8"/>
  <c r="O505" i="8"/>
  <c r="N505" i="8"/>
  <c r="P504" i="8"/>
  <c r="O504" i="8"/>
  <c r="N504" i="8"/>
  <c r="J501" i="8"/>
  <c r="O501" i="8" s="1"/>
  <c r="P499" i="8"/>
  <c r="O499" i="8"/>
  <c r="N499" i="8"/>
  <c r="P498" i="8"/>
  <c r="O498" i="8"/>
  <c r="N498" i="8"/>
  <c r="P497" i="8"/>
  <c r="O497" i="8"/>
  <c r="N497" i="8"/>
  <c r="P496" i="8"/>
  <c r="O496" i="8"/>
  <c r="N496" i="8"/>
  <c r="P495" i="8"/>
  <c r="O495" i="8"/>
  <c r="N495" i="8"/>
  <c r="P494" i="8"/>
  <c r="O494" i="8"/>
  <c r="N494" i="8"/>
  <c r="P493" i="8"/>
  <c r="O493" i="8"/>
  <c r="N493" i="8"/>
  <c r="P492" i="8"/>
  <c r="O492" i="8"/>
  <c r="N492" i="8"/>
  <c r="P491" i="8"/>
  <c r="O491" i="8"/>
  <c r="N491" i="8"/>
  <c r="P490" i="8"/>
  <c r="O490" i="8"/>
  <c r="N490" i="8"/>
  <c r="P489" i="8"/>
  <c r="O489" i="8"/>
  <c r="N489" i="8"/>
  <c r="P488" i="8"/>
  <c r="O488" i="8"/>
  <c r="N488" i="8"/>
  <c r="P487" i="8"/>
  <c r="O487" i="8"/>
  <c r="N487" i="8"/>
  <c r="P486" i="8"/>
  <c r="O486" i="8"/>
  <c r="N486" i="8"/>
  <c r="P485" i="8"/>
  <c r="O485" i="8"/>
  <c r="N485" i="8"/>
  <c r="P484" i="8"/>
  <c r="O484" i="8"/>
  <c r="N484" i="8"/>
  <c r="P483" i="8"/>
  <c r="O483" i="8"/>
  <c r="N483" i="8"/>
  <c r="P482" i="8"/>
  <c r="O482" i="8"/>
  <c r="N482" i="8"/>
  <c r="P481" i="8"/>
  <c r="O481" i="8"/>
  <c r="N481" i="8"/>
  <c r="P480" i="8"/>
  <c r="O480" i="8"/>
  <c r="N480" i="8"/>
  <c r="P479" i="8"/>
  <c r="O479" i="8"/>
  <c r="N479" i="8"/>
  <c r="P478" i="8"/>
  <c r="O478" i="8"/>
  <c r="N478" i="8"/>
  <c r="P477" i="8"/>
  <c r="O477" i="8"/>
  <c r="N477" i="8"/>
  <c r="P476" i="8"/>
  <c r="O476" i="8"/>
  <c r="N476" i="8"/>
  <c r="J474" i="8"/>
  <c r="J473" i="8"/>
  <c r="P472" i="8"/>
  <c r="O472" i="8"/>
  <c r="N472" i="8"/>
  <c r="P471" i="8"/>
  <c r="O471" i="8"/>
  <c r="N471" i="8"/>
  <c r="P470" i="8"/>
  <c r="O470" i="8"/>
  <c r="N470" i="8"/>
  <c r="P469" i="8"/>
  <c r="O469" i="8"/>
  <c r="N469" i="8"/>
  <c r="P468" i="8"/>
  <c r="O468" i="8"/>
  <c r="N468" i="8"/>
  <c r="P467" i="8"/>
  <c r="O467" i="8"/>
  <c r="N467" i="8"/>
  <c r="P466" i="8"/>
  <c r="O466" i="8"/>
  <c r="N466" i="8"/>
  <c r="P465" i="8"/>
  <c r="O465" i="8"/>
  <c r="N465" i="8"/>
  <c r="P464" i="8"/>
  <c r="O464" i="8"/>
  <c r="N464" i="8"/>
  <c r="P463" i="8"/>
  <c r="O463" i="8"/>
  <c r="N463" i="8"/>
  <c r="P462" i="8"/>
  <c r="O462" i="8"/>
  <c r="N462" i="8"/>
  <c r="P461" i="8"/>
  <c r="O461" i="8"/>
  <c r="N461" i="8"/>
  <c r="P460" i="8"/>
  <c r="O460" i="8"/>
  <c r="N460" i="8"/>
  <c r="P459" i="8"/>
  <c r="O459" i="8"/>
  <c r="N459" i="8"/>
  <c r="P458" i="8"/>
  <c r="O458" i="8"/>
  <c r="N458" i="8"/>
  <c r="P457" i="8"/>
  <c r="O457" i="8"/>
  <c r="N457" i="8"/>
  <c r="P456" i="8"/>
  <c r="O456" i="8"/>
  <c r="N456" i="8"/>
  <c r="P455" i="8"/>
  <c r="O455" i="8"/>
  <c r="N455" i="8"/>
  <c r="P454" i="8"/>
  <c r="O454" i="8"/>
  <c r="N454" i="8"/>
  <c r="P453" i="8"/>
  <c r="O453" i="8"/>
  <c r="N453" i="8"/>
  <c r="P452" i="8"/>
  <c r="O452" i="8"/>
  <c r="N452" i="8"/>
  <c r="P451" i="8"/>
  <c r="O451" i="8"/>
  <c r="N451" i="8"/>
  <c r="P450" i="8"/>
  <c r="O450" i="8"/>
  <c r="N450" i="8"/>
  <c r="P449" i="8"/>
  <c r="O449" i="8"/>
  <c r="N449" i="8"/>
  <c r="J447" i="8"/>
  <c r="J446" i="8"/>
  <c r="O446" i="8" s="1"/>
  <c r="P445" i="8"/>
  <c r="O445" i="8"/>
  <c r="N445" i="8"/>
  <c r="P444" i="8"/>
  <c r="O444" i="8"/>
  <c r="N444" i="8"/>
  <c r="P443" i="8"/>
  <c r="O443" i="8"/>
  <c r="N443" i="8"/>
  <c r="P442" i="8"/>
  <c r="O442" i="8"/>
  <c r="N442" i="8"/>
  <c r="P441" i="8"/>
  <c r="O441" i="8"/>
  <c r="N441" i="8"/>
  <c r="P440" i="8"/>
  <c r="O440" i="8"/>
  <c r="N440" i="8"/>
  <c r="P439" i="8"/>
  <c r="O439" i="8"/>
  <c r="N439" i="8"/>
  <c r="P438" i="8"/>
  <c r="O438" i="8"/>
  <c r="N438" i="8"/>
  <c r="P437" i="8"/>
  <c r="O437" i="8"/>
  <c r="N437" i="8"/>
  <c r="P436" i="8"/>
  <c r="O436" i="8"/>
  <c r="N436" i="8"/>
  <c r="P435" i="8"/>
  <c r="O435" i="8"/>
  <c r="N435" i="8"/>
  <c r="P434" i="8"/>
  <c r="O434" i="8"/>
  <c r="N434" i="8"/>
  <c r="P433" i="8"/>
  <c r="O433" i="8"/>
  <c r="N433" i="8"/>
  <c r="P432" i="8"/>
  <c r="O432" i="8"/>
  <c r="N432" i="8"/>
  <c r="P431" i="8"/>
  <c r="O431" i="8"/>
  <c r="N431" i="8"/>
  <c r="P430" i="8"/>
  <c r="O430" i="8"/>
  <c r="N430" i="8"/>
  <c r="P429" i="8"/>
  <c r="O429" i="8"/>
  <c r="N429" i="8"/>
  <c r="P428" i="8"/>
  <c r="O428" i="8"/>
  <c r="N428" i="8"/>
  <c r="P427" i="8"/>
  <c r="O427" i="8"/>
  <c r="N427" i="8"/>
  <c r="P426" i="8"/>
  <c r="O426" i="8"/>
  <c r="N426" i="8"/>
  <c r="P425" i="8"/>
  <c r="O425" i="8"/>
  <c r="N425" i="8"/>
  <c r="P424" i="8"/>
  <c r="O424" i="8"/>
  <c r="N424" i="8"/>
  <c r="P423" i="8"/>
  <c r="O423" i="8"/>
  <c r="N423" i="8"/>
  <c r="P422" i="8"/>
  <c r="O422" i="8"/>
  <c r="N422" i="8"/>
  <c r="J420" i="8"/>
  <c r="J419" i="8"/>
  <c r="P419" i="8" s="1"/>
  <c r="P418" i="8"/>
  <c r="O418" i="8"/>
  <c r="N418" i="8"/>
  <c r="P417" i="8"/>
  <c r="O417" i="8"/>
  <c r="N417" i="8"/>
  <c r="P416" i="8"/>
  <c r="O416" i="8"/>
  <c r="N416" i="8"/>
  <c r="P415" i="8"/>
  <c r="O415" i="8"/>
  <c r="N415" i="8"/>
  <c r="P414" i="8"/>
  <c r="O414" i="8"/>
  <c r="N414" i="8"/>
  <c r="P413" i="8"/>
  <c r="O413" i="8"/>
  <c r="N413" i="8"/>
  <c r="P412" i="8"/>
  <c r="O412" i="8"/>
  <c r="N412" i="8"/>
  <c r="P411" i="8"/>
  <c r="O411" i="8"/>
  <c r="N411" i="8"/>
  <c r="P410" i="8"/>
  <c r="O410" i="8"/>
  <c r="N410" i="8"/>
  <c r="P409" i="8"/>
  <c r="O409" i="8"/>
  <c r="N409" i="8"/>
  <c r="P408" i="8"/>
  <c r="O408" i="8"/>
  <c r="N408" i="8"/>
  <c r="P407" i="8"/>
  <c r="O407" i="8"/>
  <c r="N407" i="8"/>
  <c r="P406" i="8"/>
  <c r="O406" i="8"/>
  <c r="N406" i="8"/>
  <c r="P405" i="8"/>
  <c r="O405" i="8"/>
  <c r="N405" i="8"/>
  <c r="P404" i="8"/>
  <c r="O404" i="8"/>
  <c r="N404" i="8"/>
  <c r="P403" i="8"/>
  <c r="O403" i="8"/>
  <c r="N403" i="8"/>
  <c r="P402" i="8"/>
  <c r="O402" i="8"/>
  <c r="N402" i="8"/>
  <c r="P401" i="8"/>
  <c r="O401" i="8"/>
  <c r="N401" i="8"/>
  <c r="P400" i="8"/>
  <c r="O400" i="8"/>
  <c r="N400" i="8"/>
  <c r="P399" i="8"/>
  <c r="O399" i="8"/>
  <c r="N399" i="8"/>
  <c r="P398" i="8"/>
  <c r="O398" i="8"/>
  <c r="N398" i="8"/>
  <c r="P397" i="8"/>
  <c r="O397" i="8"/>
  <c r="N397" i="8"/>
  <c r="P396" i="8"/>
  <c r="O396" i="8"/>
  <c r="N396" i="8"/>
  <c r="P395" i="8"/>
  <c r="O395" i="8"/>
  <c r="N395" i="8"/>
  <c r="J392" i="8"/>
  <c r="O392" i="8" s="1"/>
  <c r="J391" i="8"/>
  <c r="N391" i="8" s="1"/>
  <c r="P390" i="8"/>
  <c r="O390" i="8"/>
  <c r="N390" i="8"/>
  <c r="P389" i="8"/>
  <c r="O389" i="8"/>
  <c r="N389" i="8"/>
  <c r="P388" i="8"/>
  <c r="O388" i="8"/>
  <c r="N388" i="8"/>
  <c r="P387" i="8"/>
  <c r="O387" i="8"/>
  <c r="N387" i="8"/>
  <c r="P386" i="8"/>
  <c r="O386" i="8"/>
  <c r="N386" i="8"/>
  <c r="P385" i="8"/>
  <c r="O385" i="8"/>
  <c r="N385" i="8"/>
  <c r="P384" i="8"/>
  <c r="O384" i="8"/>
  <c r="N384" i="8"/>
  <c r="P383" i="8"/>
  <c r="O383" i="8"/>
  <c r="N383" i="8"/>
  <c r="P382" i="8"/>
  <c r="O382" i="8"/>
  <c r="N382" i="8"/>
  <c r="P381" i="8"/>
  <c r="O381" i="8"/>
  <c r="N381" i="8"/>
  <c r="P380" i="8"/>
  <c r="O380" i="8"/>
  <c r="N380" i="8"/>
  <c r="P379" i="8"/>
  <c r="O379" i="8"/>
  <c r="N379" i="8"/>
  <c r="P378" i="8"/>
  <c r="O378" i="8"/>
  <c r="N378" i="8"/>
  <c r="P377" i="8"/>
  <c r="O377" i="8"/>
  <c r="N377" i="8"/>
  <c r="P376" i="8"/>
  <c r="O376" i="8"/>
  <c r="N376" i="8"/>
  <c r="P375" i="8"/>
  <c r="O375" i="8"/>
  <c r="N375" i="8"/>
  <c r="P374" i="8"/>
  <c r="O374" i="8"/>
  <c r="N374" i="8"/>
  <c r="P373" i="8"/>
  <c r="O373" i="8"/>
  <c r="N373" i="8"/>
  <c r="P372" i="8"/>
  <c r="O372" i="8"/>
  <c r="N372" i="8"/>
  <c r="P371" i="8"/>
  <c r="O371" i="8"/>
  <c r="N371" i="8"/>
  <c r="P370" i="8"/>
  <c r="O370" i="8"/>
  <c r="N370" i="8"/>
  <c r="P369" i="8"/>
  <c r="O369" i="8"/>
  <c r="N369" i="8"/>
  <c r="P368" i="8"/>
  <c r="O368" i="8"/>
  <c r="N368" i="8"/>
  <c r="P367" i="8"/>
  <c r="O367" i="8"/>
  <c r="N367" i="8"/>
  <c r="P366" i="8"/>
  <c r="O366" i="8"/>
  <c r="N366" i="8"/>
  <c r="P365" i="8"/>
  <c r="O365" i="8"/>
  <c r="N365" i="8"/>
  <c r="P364" i="8"/>
  <c r="O364" i="8"/>
  <c r="N364" i="8"/>
  <c r="P363" i="8"/>
  <c r="O363" i="8"/>
  <c r="N363" i="8"/>
  <c r="P362" i="8"/>
  <c r="O362" i="8"/>
  <c r="N362" i="8"/>
  <c r="P361" i="8"/>
  <c r="O361" i="8"/>
  <c r="N361" i="8"/>
  <c r="P360" i="8"/>
  <c r="O360" i="8"/>
  <c r="N360" i="8"/>
  <c r="P359" i="8"/>
  <c r="O359" i="8"/>
  <c r="N359" i="8"/>
  <c r="P358" i="8"/>
  <c r="O358" i="8"/>
  <c r="N358" i="8"/>
  <c r="P357" i="8"/>
  <c r="O357" i="8"/>
  <c r="N357" i="8"/>
  <c r="P356" i="8"/>
  <c r="O356" i="8"/>
  <c r="N356" i="8"/>
  <c r="P355" i="8"/>
  <c r="O355" i="8"/>
  <c r="N355" i="8"/>
  <c r="P354" i="8"/>
  <c r="O354" i="8"/>
  <c r="N354" i="8"/>
  <c r="P353" i="8"/>
  <c r="O353" i="8"/>
  <c r="N353" i="8"/>
  <c r="P352" i="8"/>
  <c r="O352" i="8"/>
  <c r="N352" i="8"/>
  <c r="P351" i="8"/>
  <c r="O351" i="8"/>
  <c r="N351" i="8"/>
  <c r="P350" i="8"/>
  <c r="O350" i="8"/>
  <c r="N350" i="8"/>
  <c r="P349" i="8"/>
  <c r="O349" i="8"/>
  <c r="N349" i="8"/>
  <c r="P348" i="8"/>
  <c r="O348" i="8"/>
  <c r="N348" i="8"/>
  <c r="P347" i="8"/>
  <c r="O347" i="8"/>
  <c r="N347" i="8"/>
  <c r="J344" i="8"/>
  <c r="O344" i="8" s="1"/>
  <c r="J343" i="8"/>
  <c r="N343" i="8" s="1"/>
  <c r="P342" i="8"/>
  <c r="O342" i="8"/>
  <c r="N342" i="8"/>
  <c r="P341" i="8"/>
  <c r="O341" i="8"/>
  <c r="N341" i="8"/>
  <c r="P340" i="8"/>
  <c r="O340" i="8"/>
  <c r="N340" i="8"/>
  <c r="P339" i="8"/>
  <c r="O339" i="8"/>
  <c r="N339" i="8"/>
  <c r="P338" i="8"/>
  <c r="O338" i="8"/>
  <c r="N338" i="8"/>
  <c r="P337" i="8"/>
  <c r="O337" i="8"/>
  <c r="N337" i="8"/>
  <c r="P336" i="8"/>
  <c r="O336" i="8"/>
  <c r="N336" i="8"/>
  <c r="P335" i="8"/>
  <c r="O335" i="8"/>
  <c r="N335" i="8"/>
  <c r="P334" i="8"/>
  <c r="O334" i="8"/>
  <c r="N334" i="8"/>
  <c r="P333" i="8"/>
  <c r="O333" i="8"/>
  <c r="N333" i="8"/>
  <c r="P332" i="8"/>
  <c r="O332" i="8"/>
  <c r="N332" i="8"/>
  <c r="P331" i="8"/>
  <c r="O331" i="8"/>
  <c r="N331" i="8"/>
  <c r="P330" i="8"/>
  <c r="O330" i="8"/>
  <c r="N330" i="8"/>
  <c r="P329" i="8"/>
  <c r="O329" i="8"/>
  <c r="N329" i="8"/>
  <c r="P328" i="8"/>
  <c r="O328" i="8"/>
  <c r="N328" i="8"/>
  <c r="P327" i="8"/>
  <c r="O327" i="8"/>
  <c r="N327" i="8"/>
  <c r="P326" i="8"/>
  <c r="O326" i="8"/>
  <c r="N326" i="8"/>
  <c r="P325" i="8"/>
  <c r="O325" i="8"/>
  <c r="N325" i="8"/>
  <c r="P324" i="8"/>
  <c r="O324" i="8"/>
  <c r="N324" i="8"/>
  <c r="P323" i="8"/>
  <c r="O323" i="8"/>
  <c r="N323" i="8"/>
  <c r="P322" i="8"/>
  <c r="O322" i="8"/>
  <c r="N322" i="8"/>
  <c r="P321" i="8"/>
  <c r="O321" i="8"/>
  <c r="N321" i="8"/>
  <c r="P320" i="8"/>
  <c r="O320" i="8"/>
  <c r="N320" i="8"/>
  <c r="P319" i="8"/>
  <c r="O319" i="8"/>
  <c r="N319" i="8"/>
  <c r="P318" i="8"/>
  <c r="O318" i="8"/>
  <c r="N318" i="8"/>
  <c r="P317" i="8"/>
  <c r="O317" i="8"/>
  <c r="N317" i="8"/>
  <c r="P316" i="8"/>
  <c r="O316" i="8"/>
  <c r="N316" i="8"/>
  <c r="P315" i="8"/>
  <c r="O315" i="8"/>
  <c r="N315" i="8"/>
  <c r="P314" i="8"/>
  <c r="O314" i="8"/>
  <c r="N314" i="8"/>
  <c r="P313" i="8"/>
  <c r="O313" i="8"/>
  <c r="N313" i="8"/>
  <c r="P312" i="8"/>
  <c r="O312" i="8"/>
  <c r="N312" i="8"/>
  <c r="P311" i="8"/>
  <c r="O311" i="8"/>
  <c r="N311" i="8"/>
  <c r="P310" i="8"/>
  <c r="O310" i="8"/>
  <c r="N310" i="8"/>
  <c r="P309" i="8"/>
  <c r="O309" i="8"/>
  <c r="N309" i="8"/>
  <c r="P308" i="8"/>
  <c r="O308" i="8"/>
  <c r="N308" i="8"/>
  <c r="P307" i="8"/>
  <c r="O307" i="8"/>
  <c r="N307" i="8"/>
  <c r="P306" i="8"/>
  <c r="O306" i="8"/>
  <c r="N306" i="8"/>
  <c r="P305" i="8"/>
  <c r="O305" i="8"/>
  <c r="N305" i="8"/>
  <c r="P304" i="8"/>
  <c r="O304" i="8"/>
  <c r="N304" i="8"/>
  <c r="P303" i="8"/>
  <c r="O303" i="8"/>
  <c r="N303" i="8"/>
  <c r="P302" i="8"/>
  <c r="O302" i="8"/>
  <c r="N302" i="8"/>
  <c r="P301" i="8"/>
  <c r="O301" i="8"/>
  <c r="N301" i="8"/>
  <c r="P300" i="8"/>
  <c r="O300" i="8"/>
  <c r="N300" i="8"/>
  <c r="P299" i="8"/>
  <c r="O299" i="8"/>
  <c r="N299" i="8"/>
  <c r="P298" i="8"/>
  <c r="O298" i="8"/>
  <c r="N298" i="8"/>
  <c r="P297" i="8"/>
  <c r="O297" i="8"/>
  <c r="N297" i="8"/>
  <c r="P296" i="8"/>
  <c r="O296" i="8"/>
  <c r="N296" i="8"/>
  <c r="P295" i="8"/>
  <c r="O295" i="8"/>
  <c r="N295" i="8"/>
  <c r="J293" i="8"/>
  <c r="J292" i="8"/>
  <c r="P292" i="8" s="1"/>
  <c r="J291" i="8"/>
  <c r="P291" i="8" s="1"/>
  <c r="J290" i="8"/>
  <c r="P290" i="8" s="1"/>
  <c r="J289" i="8"/>
  <c r="P289" i="8" s="1"/>
  <c r="J288" i="8"/>
  <c r="O288" i="8" s="1"/>
  <c r="J287" i="8"/>
  <c r="J285" i="8"/>
  <c r="O285" i="8" s="1"/>
  <c r="J284" i="8"/>
  <c r="J283" i="8"/>
  <c r="O283" i="8" s="1"/>
  <c r="J282" i="8"/>
  <c r="P282" i="8" s="1"/>
  <c r="J281" i="8"/>
  <c r="N281" i="8" s="1"/>
  <c r="J280" i="8"/>
  <c r="J279" i="8"/>
  <c r="O279" i="8" s="1"/>
  <c r="J278" i="8"/>
  <c r="O278" i="8" s="1"/>
  <c r="J277" i="8"/>
  <c r="J276" i="8"/>
  <c r="O276" i="8" s="1"/>
  <c r="J275" i="8"/>
  <c r="J274" i="8"/>
  <c r="N274" i="8" s="1"/>
  <c r="J273" i="8"/>
  <c r="N273" i="8" s="1"/>
  <c r="J272" i="8"/>
  <c r="O272" i="8" s="1"/>
  <c r="O271" i="8"/>
  <c r="N269" i="8"/>
  <c r="O268" i="8"/>
  <c r="P267" i="8"/>
  <c r="J265" i="8"/>
  <c r="N265" i="8" s="1"/>
  <c r="J264" i="8"/>
  <c r="J263" i="8"/>
  <c r="P263" i="8" s="1"/>
  <c r="J262" i="8"/>
  <c r="O262" i="8" s="1"/>
  <c r="J261" i="8"/>
  <c r="P261" i="8" s="1"/>
  <c r="J260" i="8"/>
  <c r="P260" i="8" s="1"/>
  <c r="J259" i="8"/>
  <c r="N259" i="8" s="1"/>
  <c r="J258" i="8"/>
  <c r="N258" i="8" s="1"/>
  <c r="J257" i="8"/>
  <c r="N257" i="8" s="1"/>
  <c r="J256" i="8"/>
  <c r="O256" i="8" s="1"/>
  <c r="J255" i="8"/>
  <c r="J254" i="8"/>
  <c r="J253" i="8"/>
  <c r="P253" i="8" s="1"/>
  <c r="J252" i="8"/>
  <c r="J251" i="8"/>
  <c r="J250" i="8"/>
  <c r="P250" i="8" s="1"/>
  <c r="J249" i="8"/>
  <c r="O249" i="8" s="1"/>
  <c r="J248" i="8"/>
  <c r="J247" i="8"/>
  <c r="O247" i="8" s="1"/>
  <c r="J246" i="8"/>
  <c r="P246" i="8" s="1"/>
  <c r="J245" i="8"/>
  <c r="P245" i="8" s="1"/>
  <c r="J244" i="8"/>
  <c r="O244" i="8" s="1"/>
  <c r="J243" i="8"/>
  <c r="O243" i="8" s="1"/>
  <c r="J242" i="8"/>
  <c r="P242" i="8" s="1"/>
  <c r="J241" i="8"/>
  <c r="P241" i="8" s="1"/>
  <c r="J240" i="8"/>
  <c r="N240" i="8" s="1"/>
  <c r="J239" i="8"/>
  <c r="O239" i="8" s="1"/>
  <c r="J238" i="8"/>
  <c r="P238" i="8" s="1"/>
  <c r="J237" i="8"/>
  <c r="J236" i="8"/>
  <c r="J235" i="8"/>
  <c r="J234" i="8"/>
  <c r="N234" i="8" s="1"/>
  <c r="J233" i="8"/>
  <c r="P233" i="8" s="1"/>
  <c r="J232" i="8"/>
  <c r="J231" i="8"/>
  <c r="J230" i="8"/>
  <c r="N230" i="8" s="1"/>
  <c r="J229" i="8"/>
  <c r="N229" i="8" s="1"/>
  <c r="J228" i="8"/>
  <c r="J227" i="8"/>
  <c r="O227" i="8" s="1"/>
  <c r="J226" i="8"/>
  <c r="O226" i="8" s="1"/>
  <c r="J225" i="8"/>
  <c r="J224" i="8"/>
  <c r="P224" i="8" s="1"/>
  <c r="J223" i="8"/>
  <c r="J222" i="8"/>
  <c r="O222" i="8" s="1"/>
  <c r="J221" i="8"/>
  <c r="J220" i="8"/>
  <c r="P220" i="8" s="1"/>
  <c r="J219" i="8"/>
  <c r="P219" i="8" s="1"/>
  <c r="J218" i="8"/>
  <c r="J217" i="8"/>
  <c r="P217" i="8" s="1"/>
  <c r="J216" i="8"/>
  <c r="P216" i="8" s="1"/>
  <c r="J215" i="8"/>
  <c r="N215" i="8" s="1"/>
  <c r="J214" i="8"/>
  <c r="N214" i="8" s="1"/>
  <c r="J213" i="8"/>
  <c r="J212" i="8"/>
  <c r="O212" i="8" s="1"/>
  <c r="J211" i="8"/>
  <c r="O211" i="8" s="1"/>
  <c r="J210" i="8"/>
  <c r="P210" i="8" s="1"/>
  <c r="J209" i="8"/>
  <c r="O209" i="8" s="1"/>
  <c r="J208" i="8"/>
  <c r="J207" i="8"/>
  <c r="N207" i="8" s="1"/>
  <c r="J206" i="8"/>
  <c r="P206" i="8" s="1"/>
  <c r="J205" i="8"/>
  <c r="J204" i="8"/>
  <c r="P204" i="8" s="1"/>
  <c r="J203" i="8"/>
  <c r="J202" i="8"/>
  <c r="P202" i="8" s="1"/>
  <c r="J201" i="8"/>
  <c r="O201" i="8" s="1"/>
  <c r="J200" i="8"/>
  <c r="J199" i="8"/>
  <c r="O199" i="8" s="1"/>
  <c r="J198" i="8"/>
  <c r="P198" i="8" s="1"/>
  <c r="J197" i="8"/>
  <c r="J196" i="8"/>
  <c r="J195" i="8"/>
  <c r="J194" i="8"/>
  <c r="N194" i="8" s="1"/>
  <c r="J193" i="8"/>
  <c r="N193" i="8" s="1"/>
  <c r="J192" i="8"/>
  <c r="N192" i="8" s="1"/>
  <c r="J191" i="8"/>
  <c r="J188" i="8"/>
  <c r="O188" i="8" s="1"/>
  <c r="J187" i="8"/>
  <c r="N187" i="8" s="1"/>
  <c r="N186" i="8"/>
  <c r="N185" i="8"/>
  <c r="O184" i="8"/>
  <c r="N183" i="8"/>
  <c r="O182" i="8"/>
  <c r="P177" i="8"/>
  <c r="P175" i="8"/>
  <c r="N170" i="8"/>
  <c r="N168" i="8"/>
  <c r="O165" i="8"/>
  <c r="N164" i="8"/>
  <c r="O163" i="8"/>
  <c r="J162" i="8"/>
  <c r="N162" i="8" s="1"/>
  <c r="O159" i="8"/>
  <c r="P157" i="8"/>
  <c r="J154" i="8"/>
  <c r="P154" i="8" s="1"/>
  <c r="J153" i="8"/>
  <c r="N153" i="8" s="1"/>
  <c r="O124" i="8"/>
  <c r="N123" i="8"/>
  <c r="J121" i="8"/>
  <c r="N121" i="8" s="1"/>
  <c r="J120" i="8"/>
  <c r="N120" i="8" s="1"/>
  <c r="J119" i="8"/>
  <c r="N119" i="8" s="1"/>
  <c r="J118" i="8"/>
  <c r="N118" i="8" s="1"/>
  <c r="N115" i="8"/>
  <c r="P113" i="8"/>
  <c r="N110" i="8"/>
  <c r="N109" i="8"/>
  <c r="N108" i="8"/>
  <c r="N107" i="8"/>
  <c r="P106" i="8"/>
  <c r="N104" i="8"/>
  <c r="N103" i="8"/>
  <c r="P102" i="8"/>
  <c r="N101" i="8"/>
  <c r="O100" i="8"/>
  <c r="O99" i="8"/>
  <c r="N98" i="8"/>
  <c r="J97" i="8"/>
  <c r="O97" i="8" s="1"/>
  <c r="O96" i="8"/>
  <c r="P95" i="8"/>
  <c r="P94" i="8"/>
  <c r="J92" i="8"/>
  <c r="J91" i="8"/>
  <c r="J90" i="8"/>
  <c r="N90" i="8" s="1"/>
  <c r="P89" i="8"/>
  <c r="J88" i="8"/>
  <c r="P88" i="8" s="1"/>
  <c r="O87" i="8"/>
  <c r="O86" i="8"/>
  <c r="P85" i="8"/>
  <c r="P84" i="8"/>
  <c r="P83" i="8"/>
  <c r="P81" i="8"/>
  <c r="P80" i="8"/>
  <c r="N79" i="8"/>
  <c r="P77" i="8"/>
  <c r="N75" i="8"/>
  <c r="O74" i="8"/>
  <c r="N73" i="8"/>
  <c r="N68" i="8"/>
  <c r="O67" i="8"/>
  <c r="P66" i="8"/>
  <c r="P65" i="8"/>
  <c r="P64" i="8"/>
  <c r="O62" i="8"/>
  <c r="J61" i="8"/>
  <c r="P61" i="8" s="1"/>
  <c r="P60" i="8"/>
  <c r="P59" i="8"/>
  <c r="N58" i="8"/>
  <c r="J56" i="8"/>
  <c r="P56" i="8" s="1"/>
  <c r="J55" i="8"/>
  <c r="P55" i="8" s="1"/>
  <c r="J54" i="8"/>
  <c r="P54" i="8" s="1"/>
  <c r="O51" i="8"/>
  <c r="P51" i="8"/>
  <c r="P49" i="8"/>
  <c r="O49" i="8"/>
  <c r="O48" i="8"/>
  <c r="P47" i="8"/>
  <c r="P46" i="8"/>
  <c r="O44" i="8"/>
  <c r="P44" i="8"/>
  <c r="P43" i="8"/>
  <c r="O43" i="8"/>
  <c r="P41" i="8"/>
  <c r="O41" i="8"/>
  <c r="P40" i="8"/>
  <c r="O40" i="8"/>
  <c r="P39" i="8"/>
  <c r="P38" i="8"/>
  <c r="O37" i="8"/>
  <c r="P35" i="8"/>
  <c r="O35" i="8"/>
  <c r="P33" i="8"/>
  <c r="P32" i="8"/>
  <c r="P30" i="8"/>
  <c r="P29" i="8"/>
  <c r="O29" i="8"/>
  <c r="P26" i="8"/>
  <c r="O25" i="8"/>
  <c r="J22" i="8"/>
  <c r="J21" i="8"/>
  <c r="P21" i="8" s="1"/>
  <c r="J20" i="8"/>
  <c r="N20" i="8" s="1"/>
  <c r="J19" i="8"/>
  <c r="P19" i="8" s="1"/>
  <c r="J18" i="8"/>
  <c r="P18" i="8" s="1"/>
  <c r="J17" i="8"/>
  <c r="J16" i="8"/>
  <c r="P16" i="8" s="1"/>
  <c r="J15" i="8"/>
  <c r="P15" i="8" s="1"/>
  <c r="J14" i="8"/>
  <c r="P14" i="8" s="1"/>
  <c r="J13" i="8"/>
  <c r="P13" i="8" s="1"/>
  <c r="A13" i="8"/>
  <c r="A14" i="8" s="1"/>
  <c r="A15" i="8" s="1"/>
  <c r="A16" i="8" s="1"/>
  <c r="A17" i="8" s="1"/>
  <c r="A18" i="8" s="1"/>
  <c r="A19" i="8" s="1"/>
  <c r="A20" i="8" s="1"/>
  <c r="A21" i="8" s="1"/>
  <c r="A22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7" i="8" s="1"/>
  <c r="A288" i="8" s="1"/>
  <c r="A289" i="8" s="1"/>
  <c r="A290" i="8" s="1"/>
  <c r="A291" i="8" s="1"/>
  <c r="A292" i="8" s="1"/>
  <c r="A293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4" i="8" s="1"/>
  <c r="A505" i="8" s="1"/>
  <c r="A506" i="8" s="1"/>
  <c r="A507" i="8" s="1"/>
  <c r="A508" i="8" s="1"/>
  <c r="A509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6" i="8" s="1"/>
  <c r="A577" i="8" s="1"/>
  <c r="A578" i="8" s="1"/>
  <c r="A579" i="8" s="1"/>
  <c r="A580" i="8" s="1"/>
  <c r="A581" i="8" s="1"/>
  <c r="A582" i="8" s="1"/>
  <c r="A583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J12" i="8"/>
  <c r="O12" i="8" s="1"/>
  <c r="G3" i="8" a="1"/>
  <c r="G3" i="8" s="1"/>
  <c r="P712" i="8" l="1"/>
  <c r="P187" i="8"/>
  <c r="P168" i="8"/>
  <c r="P787" i="8"/>
  <c r="P184" i="8"/>
  <c r="O712" i="8"/>
  <c r="P185" i="8"/>
  <c r="P162" i="8"/>
  <c r="P186" i="8"/>
  <c r="P694" i="8"/>
  <c r="P164" i="8"/>
  <c r="O688" i="8"/>
  <c r="P688" i="8"/>
  <c r="N694" i="8"/>
  <c r="N703" i="8"/>
  <c r="P780" i="8"/>
  <c r="P704" i="8"/>
  <c r="O768" i="8"/>
  <c r="O700" i="8"/>
  <c r="N744" i="8"/>
  <c r="O797" i="8"/>
  <c r="O666" i="8"/>
  <c r="P700" i="8"/>
  <c r="O706" i="8"/>
  <c r="P713" i="8"/>
  <c r="O744" i="8"/>
  <c r="O774" i="8"/>
  <c r="N789" i="8"/>
  <c r="P797" i="8"/>
  <c r="N658" i="8"/>
  <c r="O690" i="8"/>
  <c r="O707" i="8"/>
  <c r="N714" i="8"/>
  <c r="O730" i="8"/>
  <c r="N760" i="8"/>
  <c r="O783" i="8"/>
  <c r="P789" i="8"/>
  <c r="O658" i="8"/>
  <c r="O676" i="8"/>
  <c r="P690" i="8"/>
  <c r="O696" i="8"/>
  <c r="P707" i="8"/>
  <c r="O714" i="8"/>
  <c r="P730" i="8"/>
  <c r="N753" i="8"/>
  <c r="O760" i="8"/>
  <c r="N799" i="8"/>
  <c r="O655" i="8"/>
  <c r="P666" i="8"/>
  <c r="P774" i="8"/>
  <c r="P676" i="8"/>
  <c r="O784" i="8"/>
  <c r="O799" i="8"/>
  <c r="N654" i="8"/>
  <c r="O686" i="8"/>
  <c r="O703" i="8"/>
  <c r="N731" i="8"/>
  <c r="N754" i="8"/>
  <c r="P768" i="8"/>
  <c r="P784" i="8"/>
  <c r="O654" i="8"/>
  <c r="N670" i="8"/>
  <c r="O677" i="8"/>
  <c r="P686" i="8"/>
  <c r="O731" i="8"/>
  <c r="O754" i="8"/>
  <c r="O670" i="8"/>
  <c r="P677" i="8"/>
  <c r="N699" i="8"/>
  <c r="P716" i="8"/>
  <c r="P741" i="8"/>
  <c r="O748" i="8"/>
  <c r="O762" i="8"/>
  <c r="O699" i="8"/>
  <c r="N704" i="8"/>
  <c r="P748" i="8"/>
  <c r="P762" i="8"/>
  <c r="N182" i="8"/>
  <c r="N113" i="8"/>
  <c r="P188" i="8"/>
  <c r="N188" i="8"/>
  <c r="P183" i="8"/>
  <c r="P115" i="8"/>
  <c r="N175" i="8"/>
  <c r="P182" i="8"/>
  <c r="P170" i="8"/>
  <c r="P153" i="8"/>
  <c r="O153" i="8"/>
  <c r="O265" i="8"/>
  <c r="P265" i="8"/>
  <c r="N97" i="8"/>
  <c r="N96" i="8"/>
  <c r="N177" i="8"/>
  <c r="O115" i="8"/>
  <c r="N154" i="8"/>
  <c r="N56" i="8"/>
  <c r="N184" i="8"/>
  <c r="N55" i="8"/>
  <c r="N114" i="8"/>
  <c r="N102" i="8"/>
  <c r="N54" i="8"/>
  <c r="N209" i="8"/>
  <c r="P209" i="8"/>
  <c r="N84" i="8"/>
  <c r="O84" i="8"/>
  <c r="P257" i="8"/>
  <c r="O157" i="8"/>
  <c r="P68" i="8"/>
  <c r="P96" i="8"/>
  <c r="N607" i="8"/>
  <c r="O607" i="8"/>
  <c r="O68" i="8"/>
  <c r="P58" i="8"/>
  <c r="O167" i="8"/>
  <c r="O257" i="8"/>
  <c r="O267" i="8"/>
  <c r="O629" i="8"/>
  <c r="P90" i="8"/>
  <c r="P214" i="8"/>
  <c r="N263" i="8"/>
  <c r="O214" i="8"/>
  <c r="O601" i="8"/>
  <c r="O263" i="8"/>
  <c r="N246" i="8"/>
  <c r="P272" i="8"/>
  <c r="P283" i="8"/>
  <c r="P593" i="8"/>
  <c r="O90" i="8"/>
  <c r="P234" i="8"/>
  <c r="O186" i="8"/>
  <c r="O246" i="8"/>
  <c r="P582" i="8"/>
  <c r="P107" i="8"/>
  <c r="P446" i="8"/>
  <c r="P535" i="8"/>
  <c r="O168" i="8"/>
  <c r="N242" i="8"/>
  <c r="P521" i="8"/>
  <c r="O234" i="8"/>
  <c r="O224" i="8"/>
  <c r="O58" i="8"/>
  <c r="N250" i="8"/>
  <c r="N618" i="8"/>
  <c r="O242" i="8"/>
  <c r="P629" i="8"/>
  <c r="N62" i="8"/>
  <c r="O119" i="8"/>
  <c r="P100" i="8"/>
  <c r="O596" i="8"/>
  <c r="P800" i="8"/>
  <c r="O800" i="8"/>
  <c r="N800" i="8"/>
  <c r="O219" i="8"/>
  <c r="P343" i="8"/>
  <c r="N578" i="8"/>
  <c r="P587" i="8"/>
  <c r="P669" i="8"/>
  <c r="O669" i="8"/>
  <c r="N669" i="8"/>
  <c r="P705" i="8"/>
  <c r="O705" i="8"/>
  <c r="N732" i="8"/>
  <c r="P732" i="8"/>
  <c r="N761" i="8"/>
  <c r="P761" i="8"/>
  <c r="O761" i="8"/>
  <c r="P782" i="8"/>
  <c r="O782" i="8"/>
  <c r="N794" i="8"/>
  <c r="P243" i="8"/>
  <c r="N603" i="8"/>
  <c r="P687" i="8"/>
  <c r="N687" i="8"/>
  <c r="N765" i="8"/>
  <c r="P786" i="8"/>
  <c r="O786" i="8"/>
  <c r="P119" i="8"/>
  <c r="N587" i="8"/>
  <c r="O739" i="8"/>
  <c r="P578" i="8"/>
  <c r="N705" i="8"/>
  <c r="O732" i="8"/>
  <c r="O794" i="8"/>
  <c r="N94" i="8"/>
  <c r="O772" i="8"/>
  <c r="O13" i="8"/>
  <c r="O603" i="8"/>
  <c r="P678" i="8"/>
  <c r="P765" i="8"/>
  <c r="N739" i="8"/>
  <c r="N219" i="8"/>
  <c r="P205" i="8"/>
  <c r="O205" i="8"/>
  <c r="N205" i="8"/>
  <c r="O158" i="8"/>
  <c r="N243" i="8"/>
  <c r="N678" i="8"/>
  <c r="N772" i="8"/>
  <c r="P710" i="8"/>
  <c r="O710" i="8"/>
  <c r="O343" i="8"/>
  <c r="N86" i="8"/>
  <c r="P702" i="8"/>
  <c r="O702" i="8"/>
  <c r="N702" i="8"/>
  <c r="P729" i="8"/>
  <c r="O729" i="8"/>
  <c r="N729" i="8"/>
  <c r="P227" i="8"/>
  <c r="N786" i="8"/>
  <c r="P655" i="8"/>
  <c r="P696" i="8"/>
  <c r="P749" i="8"/>
  <c r="O749" i="8"/>
  <c r="N715" i="8"/>
  <c r="N756" i="8"/>
  <c r="N778" i="8"/>
  <c r="O16" i="8"/>
  <c r="O95" i="8"/>
  <c r="O245" i="8"/>
  <c r="N289" i="8"/>
  <c r="N548" i="8"/>
  <c r="N657" i="8"/>
  <c r="N664" i="8"/>
  <c r="O715" i="8"/>
  <c r="P734" i="8"/>
  <c r="P756" i="8"/>
  <c r="O778" i="8"/>
  <c r="O791" i="8"/>
  <c r="N74" i="8"/>
  <c r="O88" i="8"/>
  <c r="P229" i="8"/>
  <c r="P269" i="8"/>
  <c r="P279" i="8"/>
  <c r="O289" i="8"/>
  <c r="N632" i="8"/>
  <c r="O657" i="8"/>
  <c r="O664" i="8"/>
  <c r="N706" i="8"/>
  <c r="N741" i="8"/>
  <c r="N783" i="8"/>
  <c r="P791" i="8"/>
  <c r="O18" i="8"/>
  <c r="N222" i="8"/>
  <c r="P256" i="8"/>
  <c r="N792" i="8"/>
  <c r="O107" i="8"/>
  <c r="O753" i="8"/>
  <c r="O780" i="8"/>
  <c r="N788" i="8"/>
  <c r="O792" i="8"/>
  <c r="O725" i="8"/>
  <c r="P788" i="8"/>
  <c r="N24" i="8"/>
  <c r="O101" i="8"/>
  <c r="P101" i="8"/>
  <c r="O238" i="8"/>
  <c r="P20" i="8"/>
  <c r="O20" i="8"/>
  <c r="O187" i="8"/>
  <c r="O203" i="8"/>
  <c r="P203" i="8"/>
  <c r="N203" i="8"/>
  <c r="N264" i="8"/>
  <c r="P264" i="8"/>
  <c r="O264" i="8"/>
  <c r="N605" i="8"/>
  <c r="O183" i="8"/>
  <c r="N599" i="8"/>
  <c r="O605" i="8"/>
  <c r="P473" i="8"/>
  <c r="O473" i="8"/>
  <c r="O599" i="8"/>
  <c r="P71" i="8"/>
  <c r="O71" i="8"/>
  <c r="N71" i="8"/>
  <c r="P109" i="8"/>
  <c r="O109" i="8"/>
  <c r="N473" i="8"/>
  <c r="N639" i="8"/>
  <c r="P639" i="8"/>
  <c r="N285" i="8"/>
  <c r="N630" i="8"/>
  <c r="O639" i="8"/>
  <c r="O26" i="8"/>
  <c r="N64" i="8"/>
  <c r="N87" i="8"/>
  <c r="P87" i="8"/>
  <c r="O176" i="8"/>
  <c r="P285" i="8"/>
  <c r="N594" i="8"/>
  <c r="O594" i="8"/>
  <c r="O624" i="8"/>
  <c r="O630" i="8"/>
  <c r="N287" i="8"/>
  <c r="P287" i="8"/>
  <c r="O287" i="8"/>
  <c r="P624" i="8"/>
  <c r="O231" i="8"/>
  <c r="N231" i="8"/>
  <c r="P270" i="8"/>
  <c r="O270" i="8"/>
  <c r="N270" i="8"/>
  <c r="P280" i="8"/>
  <c r="O280" i="8"/>
  <c r="N280" i="8"/>
  <c r="O619" i="8"/>
  <c r="P619" i="8"/>
  <c r="O181" i="8"/>
  <c r="N224" i="8"/>
  <c r="O580" i="8"/>
  <c r="P580" i="8"/>
  <c r="N619" i="8"/>
  <c r="N210" i="8"/>
  <c r="O225" i="8"/>
  <c r="P225" i="8"/>
  <c r="O253" i="8"/>
  <c r="N595" i="8"/>
  <c r="O620" i="8"/>
  <c r="P620" i="8"/>
  <c r="O641" i="8"/>
  <c r="P641" i="8"/>
  <c r="O103" i="8"/>
  <c r="P103" i="8"/>
  <c r="O120" i="8"/>
  <c r="O191" i="8"/>
  <c r="P191" i="8"/>
  <c r="N191" i="8"/>
  <c r="P199" i="8"/>
  <c r="N211" i="8"/>
  <c r="N217" i="8"/>
  <c r="O221" i="8"/>
  <c r="P221" i="8"/>
  <c r="N247" i="8"/>
  <c r="P255" i="8"/>
  <c r="O255" i="8"/>
  <c r="P274" i="8"/>
  <c r="N392" i="8"/>
  <c r="O560" i="8"/>
  <c r="P560" i="8"/>
  <c r="N560" i="8"/>
  <c r="P22" i="8"/>
  <c r="O22" i="8"/>
  <c r="N22" i="8"/>
  <c r="P36" i="8"/>
  <c r="N81" i="8"/>
  <c r="P97" i="8"/>
  <c r="P120" i="8"/>
  <c r="O154" i="8"/>
  <c r="O179" i="8"/>
  <c r="O207" i="8"/>
  <c r="P211" i="8"/>
  <c r="O217" i="8"/>
  <c r="N221" i="8"/>
  <c r="P247" i="8"/>
  <c r="N255" i="8"/>
  <c r="N290" i="8"/>
  <c r="N509" i="8"/>
  <c r="N583" i="8"/>
  <c r="O608" i="8"/>
  <c r="N616" i="8"/>
  <c r="P197" i="8"/>
  <c r="O197" i="8"/>
  <c r="N197" i="8"/>
  <c r="P27" i="8"/>
  <c r="O27" i="8"/>
  <c r="O169" i="8"/>
  <c r="N220" i="8"/>
  <c r="N253" i="8"/>
  <c r="N474" i="8"/>
  <c r="O474" i="8"/>
  <c r="N573" i="8"/>
  <c r="P573" i="8"/>
  <c r="N60" i="8"/>
  <c r="O65" i="8"/>
  <c r="O102" i="8"/>
  <c r="N206" i="8"/>
  <c r="O210" i="8"/>
  <c r="O220" i="8"/>
  <c r="N225" i="8"/>
  <c r="O573" i="8"/>
  <c r="N14" i="8"/>
  <c r="O47" i="8"/>
  <c r="O60" i="8"/>
  <c r="P72" i="8"/>
  <c r="O72" i="8"/>
  <c r="N72" i="8"/>
  <c r="O171" i="8"/>
  <c r="N199" i="8"/>
  <c r="O206" i="8"/>
  <c r="O274" i="8"/>
  <c r="O595" i="8"/>
  <c r="N620" i="8"/>
  <c r="P633" i="8"/>
  <c r="N641" i="8"/>
  <c r="N21" i="8"/>
  <c r="O36" i="8"/>
  <c r="O85" i="8"/>
  <c r="O55" i="8"/>
  <c r="O81" i="8"/>
  <c r="P121" i="8"/>
  <c r="O121" i="8"/>
  <c r="P207" i="8"/>
  <c r="P509" i="8"/>
  <c r="O583" i="8"/>
  <c r="O591" i="8"/>
  <c r="P591" i="8"/>
  <c r="P608" i="8"/>
  <c r="P617" i="8"/>
  <c r="O617" i="8"/>
  <c r="P37" i="8"/>
  <c r="P48" i="8"/>
  <c r="P86" i="8"/>
  <c r="O193" i="8"/>
  <c r="O269" i="8"/>
  <c r="N591" i="8"/>
  <c r="N617" i="8"/>
  <c r="P636" i="8"/>
  <c r="N233" i="8"/>
  <c r="N239" i="8"/>
  <c r="N260" i="8"/>
  <c r="N282" i="8"/>
  <c r="N292" i="8"/>
  <c r="O419" i="8"/>
  <c r="N581" i="8"/>
  <c r="O586" i="8"/>
  <c r="O627" i="8"/>
  <c r="N631" i="8"/>
  <c r="N637" i="8"/>
  <c r="N18" i="8"/>
  <c r="N95" i="8"/>
  <c r="O117" i="8"/>
  <c r="O233" i="8"/>
  <c r="P239" i="8"/>
  <c r="N245" i="8"/>
  <c r="O260" i="8"/>
  <c r="O282" i="8"/>
  <c r="O292" i="8"/>
  <c r="P581" i="8"/>
  <c r="N596" i="8"/>
  <c r="N601" i="8"/>
  <c r="P627" i="8"/>
  <c r="O631" i="8"/>
  <c r="O637" i="8"/>
  <c r="P79" i="8"/>
  <c r="P104" i="8"/>
  <c r="O110" i="8"/>
  <c r="O192" i="8"/>
  <c r="P222" i="8"/>
  <c r="N283" i="8"/>
  <c r="N446" i="8"/>
  <c r="N508" i="8"/>
  <c r="N521" i="8"/>
  <c r="N535" i="8"/>
  <c r="O548" i="8"/>
  <c r="N582" i="8"/>
  <c r="N593" i="8"/>
  <c r="O618" i="8"/>
  <c r="O628" i="8"/>
  <c r="O24" i="8"/>
  <c r="O73" i="8"/>
  <c r="P110" i="8"/>
  <c r="O172" i="8"/>
  <c r="P192" i="8"/>
  <c r="N272" i="8"/>
  <c r="N279" i="8"/>
  <c r="P508" i="8"/>
  <c r="O623" i="8"/>
  <c r="N770" i="8"/>
  <c r="P770" i="8"/>
  <c r="P579" i="8"/>
  <c r="O579" i="8"/>
  <c r="N779" i="8"/>
  <c r="P779" i="8"/>
  <c r="O779" i="8"/>
  <c r="N228" i="8"/>
  <c r="P228" i="8"/>
  <c r="O228" i="8"/>
  <c r="N534" i="8"/>
  <c r="O534" i="8"/>
  <c r="P534" i="8"/>
  <c r="P31" i="8"/>
  <c r="O31" i="8"/>
  <c r="O615" i="8"/>
  <c r="N615" i="8"/>
  <c r="P615" i="8"/>
  <c r="O692" i="8"/>
  <c r="P692" i="8"/>
  <c r="N692" i="8"/>
  <c r="O770" i="8"/>
  <c r="N775" i="8"/>
  <c r="O775" i="8"/>
  <c r="P775" i="8"/>
  <c r="O52" i="8"/>
  <c r="P52" i="8"/>
  <c r="O195" i="8"/>
  <c r="N195" i="8"/>
  <c r="O240" i="8"/>
  <c r="P771" i="8"/>
  <c r="N771" i="8"/>
  <c r="O771" i="8"/>
  <c r="P118" i="8"/>
  <c r="O118" i="8"/>
  <c r="P195" i="8"/>
  <c r="P240" i="8"/>
  <c r="O522" i="8"/>
  <c r="P522" i="8"/>
  <c r="N522" i="8"/>
  <c r="O177" i="8"/>
  <c r="P196" i="8"/>
  <c r="N196" i="8"/>
  <c r="O196" i="8"/>
  <c r="N665" i="8"/>
  <c r="O38" i="8"/>
  <c r="N59" i="8"/>
  <c r="N275" i="8"/>
  <c r="P275" i="8"/>
  <c r="O665" i="8"/>
  <c r="O59" i="8"/>
  <c r="O78" i="8"/>
  <c r="P78" i="8"/>
  <c r="P108" i="8"/>
  <c r="O108" i="8"/>
  <c r="O237" i="8"/>
  <c r="P237" i="8"/>
  <c r="O275" i="8"/>
  <c r="N15" i="8"/>
  <c r="N78" i="8"/>
  <c r="P218" i="8"/>
  <c r="O218" i="8"/>
  <c r="N218" i="8"/>
  <c r="P232" i="8"/>
  <c r="O232" i="8"/>
  <c r="N237" i="8"/>
  <c r="N251" i="8"/>
  <c r="P251" i="8"/>
  <c r="O621" i="8"/>
  <c r="P621" i="8"/>
  <c r="P661" i="8"/>
  <c r="N661" i="8"/>
  <c r="O735" i="8"/>
  <c r="N735" i="8"/>
  <c r="N751" i="8"/>
  <c r="O751" i="8"/>
  <c r="P751" i="8"/>
  <c r="O15" i="8"/>
  <c r="O114" i="8"/>
  <c r="O170" i="8"/>
  <c r="N232" i="8"/>
  <c r="O251" i="8"/>
  <c r="N271" i="8"/>
  <c r="P271" i="8"/>
  <c r="N621" i="8"/>
  <c r="O661" i="8"/>
  <c r="P735" i="8"/>
  <c r="N12" i="8"/>
  <c r="P12" i="8"/>
  <c r="O21" i="8"/>
  <c r="P45" i="8"/>
  <c r="O45" i="8"/>
  <c r="O75" i="8"/>
  <c r="P75" i="8"/>
  <c r="O162" i="8"/>
  <c r="N420" i="8"/>
  <c r="O420" i="8"/>
  <c r="P420" i="8"/>
  <c r="N579" i="8"/>
  <c r="P674" i="8"/>
  <c r="O674" i="8"/>
  <c r="N66" i="8"/>
  <c r="N91" i="8"/>
  <c r="O91" i="8"/>
  <c r="P156" i="8"/>
  <c r="O156" i="8"/>
  <c r="N156" i="8"/>
  <c r="N252" i="8"/>
  <c r="O252" i="8"/>
  <c r="P252" i="8"/>
  <c r="N268" i="8"/>
  <c r="N574" i="8"/>
  <c r="N598" i="8"/>
  <c r="O598" i="8"/>
  <c r="N662" i="8"/>
  <c r="O693" i="8"/>
  <c r="N693" i="8"/>
  <c r="P693" i="8"/>
  <c r="P701" i="8"/>
  <c r="O701" i="8"/>
  <c r="N701" i="8"/>
  <c r="P758" i="8"/>
  <c r="O758" i="8"/>
  <c r="O766" i="8"/>
  <c r="N766" i="8"/>
  <c r="P766" i="8"/>
  <c r="N19" i="8"/>
  <c r="P25" i="8"/>
  <c r="O32" i="8"/>
  <c r="O66" i="8"/>
  <c r="P91" i="8"/>
  <c r="O123" i="8"/>
  <c r="O174" i="8"/>
  <c r="N201" i="8"/>
  <c r="P208" i="8"/>
  <c r="N208" i="8"/>
  <c r="O215" i="8"/>
  <c r="N241" i="8"/>
  <c r="N248" i="8"/>
  <c r="P248" i="8"/>
  <c r="P268" i="8"/>
  <c r="N344" i="8"/>
  <c r="O391" i="8"/>
  <c r="O574" i="8"/>
  <c r="P598" i="8"/>
  <c r="P611" i="8"/>
  <c r="O611" i="8"/>
  <c r="N635" i="8"/>
  <c r="O662" i="8"/>
  <c r="P679" i="8"/>
  <c r="O679" i="8"/>
  <c r="N679" i="8"/>
  <c r="N689" i="8"/>
  <c r="P717" i="8"/>
  <c r="O717" i="8"/>
  <c r="N758" i="8"/>
  <c r="N767" i="8"/>
  <c r="O767" i="8"/>
  <c r="P767" i="8"/>
  <c r="N13" i="8"/>
  <c r="N16" i="8"/>
  <c r="O19" i="8"/>
  <c r="O39" i="8"/>
  <c r="O46" i="8"/>
  <c r="P53" i="8"/>
  <c r="O53" i="8"/>
  <c r="N85" i="8"/>
  <c r="N88" i="8"/>
  <c r="P123" i="8"/>
  <c r="N157" i="8"/>
  <c r="O164" i="8"/>
  <c r="P201" i="8"/>
  <c r="O208" i="8"/>
  <c r="P215" i="8"/>
  <c r="P230" i="8"/>
  <c r="O230" i="8"/>
  <c r="N238" i="8"/>
  <c r="O241" i="8"/>
  <c r="O248" i="8"/>
  <c r="P344" i="8"/>
  <c r="P391" i="8"/>
  <c r="N611" i="8"/>
  <c r="O635" i="8"/>
  <c r="O680" i="8"/>
  <c r="N680" i="8"/>
  <c r="P680" i="8"/>
  <c r="O689" i="8"/>
  <c r="N698" i="8"/>
  <c r="P698" i="8"/>
  <c r="N717" i="8"/>
  <c r="P728" i="8"/>
  <c r="N728" i="8"/>
  <c r="O728" i="8"/>
  <c r="P738" i="8"/>
  <c r="O738" i="8"/>
  <c r="P743" i="8"/>
  <c r="N743" i="8"/>
  <c r="O743" i="8"/>
  <c r="O277" i="8"/>
  <c r="P277" i="8"/>
  <c r="N277" i="8"/>
  <c r="N202" i="8"/>
  <c r="O33" i="8"/>
  <c r="N61" i="8"/>
  <c r="N77" i="8"/>
  <c r="O80" i="8"/>
  <c r="N83" i="8"/>
  <c r="N89" i="8"/>
  <c r="N124" i="8"/>
  <c r="O161" i="8"/>
  <c r="P194" i="8"/>
  <c r="O194" i="8"/>
  <c r="N198" i="8"/>
  <c r="O198" i="8"/>
  <c r="O202" i="8"/>
  <c r="P254" i="8"/>
  <c r="O254" i="8"/>
  <c r="N254" i="8"/>
  <c r="N261" i="8"/>
  <c r="N561" i="8"/>
  <c r="P561" i="8"/>
  <c r="N589" i="8"/>
  <c r="N600" i="8"/>
  <c r="P600" i="8"/>
  <c r="P604" i="8"/>
  <c r="O604" i="8"/>
  <c r="N604" i="8"/>
  <c r="P613" i="8"/>
  <c r="N613" i="8"/>
  <c r="P681" i="8"/>
  <c r="N724" i="8"/>
  <c r="O724" i="8"/>
  <c r="P724" i="8"/>
  <c r="N755" i="8"/>
  <c r="P755" i="8"/>
  <c r="P763" i="8"/>
  <c r="O763" i="8"/>
  <c r="N763" i="8"/>
  <c r="P28" i="8"/>
  <c r="O28" i="8"/>
  <c r="P42" i="8"/>
  <c r="P98" i="8"/>
  <c r="O98" i="8"/>
  <c r="N204" i="8"/>
  <c r="O204" i="8"/>
  <c r="P244" i="8"/>
  <c r="N244" i="8"/>
  <c r="P602" i="8"/>
  <c r="N602" i="8"/>
  <c r="O606" i="8"/>
  <c r="N606" i="8"/>
  <c r="O610" i="8"/>
  <c r="N610" i="8"/>
  <c r="O653" i="8"/>
  <c r="N653" i="8"/>
  <c r="P697" i="8"/>
  <c r="N697" i="8"/>
  <c r="O708" i="8"/>
  <c r="P708" i="8"/>
  <c r="N727" i="8"/>
  <c r="O727" i="8"/>
  <c r="O42" i="8"/>
  <c r="P92" i="8"/>
  <c r="O92" i="8"/>
  <c r="P112" i="8"/>
  <c r="O112" i="8"/>
  <c r="P293" i="8"/>
  <c r="O293" i="8"/>
  <c r="P447" i="8"/>
  <c r="N447" i="8"/>
  <c r="O585" i="8"/>
  <c r="P585" i="8"/>
  <c r="P592" i="8"/>
  <c r="O592" i="8"/>
  <c r="P663" i="8"/>
  <c r="O663" i="8"/>
  <c r="N663" i="8"/>
  <c r="O718" i="8"/>
  <c r="P718" i="8"/>
  <c r="P759" i="8"/>
  <c r="N759" i="8"/>
  <c r="O759" i="8"/>
  <c r="P50" i="8"/>
  <c r="O50" i="8"/>
  <c r="O54" i="8"/>
  <c r="N67" i="8"/>
  <c r="P67" i="8"/>
  <c r="N80" i="8"/>
  <c r="N92" i="8"/>
  <c r="O175" i="8"/>
  <c r="N212" i="8"/>
  <c r="P212" i="8"/>
  <c r="P226" i="8"/>
  <c r="N226" i="8"/>
  <c r="O273" i="8"/>
  <c r="P273" i="8"/>
  <c r="N278" i="8"/>
  <c r="P278" i="8"/>
  <c r="N293" i="8"/>
  <c r="O447" i="8"/>
  <c r="N592" i="8"/>
  <c r="P640" i="8"/>
  <c r="O640" i="8"/>
  <c r="O672" i="8"/>
  <c r="P672" i="8"/>
  <c r="O681" i="8"/>
  <c r="N718" i="8"/>
  <c r="O801" i="8"/>
  <c r="P801" i="8"/>
  <c r="O61" i="8"/>
  <c r="O77" i="8"/>
  <c r="O83" i="8"/>
  <c r="O89" i="8"/>
  <c r="O106" i="8"/>
  <c r="O113" i="8"/>
  <c r="P124" i="8"/>
  <c r="O223" i="8"/>
  <c r="P223" i="8"/>
  <c r="O235" i="8"/>
  <c r="P235" i="8"/>
  <c r="O261" i="8"/>
  <c r="O589" i="8"/>
  <c r="O625" i="8"/>
  <c r="N625" i="8"/>
  <c r="O668" i="8"/>
  <c r="P668" i="8"/>
  <c r="P711" i="8"/>
  <c r="O711" i="8"/>
  <c r="O30" i="8"/>
  <c r="P34" i="8"/>
  <c r="O34" i="8"/>
  <c r="O64" i="8"/>
  <c r="P74" i="8"/>
  <c r="O94" i="8"/>
  <c r="P117" i="8"/>
  <c r="N223" i="8"/>
  <c r="N227" i="8"/>
  <c r="P231" i="8"/>
  <c r="N235" i="8"/>
  <c r="O250" i="8"/>
  <c r="P258" i="8"/>
  <c r="O258" i="8"/>
  <c r="O290" i="8"/>
  <c r="N419" i="8"/>
  <c r="P501" i="8"/>
  <c r="N501" i="8"/>
  <c r="N586" i="8"/>
  <c r="P625" i="8"/>
  <c r="P632" i="8"/>
  <c r="N668" i="8"/>
  <c r="O682" i="8"/>
  <c r="N682" i="8"/>
  <c r="N711" i="8"/>
  <c r="N734" i="8"/>
  <c r="P740" i="8"/>
  <c r="N740" i="8"/>
  <c r="P745" i="8"/>
  <c r="N745" i="8"/>
  <c r="N798" i="8"/>
  <c r="P798" i="8"/>
  <c r="O798" i="8"/>
  <c r="P262" i="8"/>
  <c r="N262" i="8"/>
  <c r="P288" i="8"/>
  <c r="N288" i="8"/>
  <c r="N547" i="8"/>
  <c r="N612" i="8"/>
  <c r="P612" i="8"/>
  <c r="P622" i="8"/>
  <c r="O622" i="8"/>
  <c r="N667" i="8"/>
  <c r="N695" i="8"/>
  <c r="P695" i="8"/>
  <c r="P709" i="8"/>
  <c r="N709" i="8"/>
  <c r="O709" i="8"/>
  <c r="N747" i="8"/>
  <c r="O747" i="8"/>
  <c r="N773" i="8"/>
  <c r="O776" i="8"/>
  <c r="N776" i="8"/>
  <c r="N790" i="8"/>
  <c r="N659" i="8"/>
  <c r="O659" i="8"/>
  <c r="P675" i="8"/>
  <c r="N675" i="8"/>
  <c r="N683" i="8"/>
  <c r="O683" i="8"/>
  <c r="P720" i="8"/>
  <c r="O720" i="8"/>
  <c r="N736" i="8"/>
  <c r="O736" i="8"/>
  <c r="P802" i="8"/>
  <c r="O802" i="8"/>
  <c r="N17" i="8"/>
  <c r="O17" i="8"/>
  <c r="O200" i="8"/>
  <c r="P200" i="8"/>
  <c r="P213" i="8"/>
  <c r="N213" i="8"/>
  <c r="O236" i="8"/>
  <c r="P236" i="8"/>
  <c r="O547" i="8"/>
  <c r="N576" i="8"/>
  <c r="P576" i="8"/>
  <c r="O576" i="8"/>
  <c r="N634" i="8"/>
  <c r="P634" i="8"/>
  <c r="P660" i="8"/>
  <c r="N660" i="8"/>
  <c r="O667" i="8"/>
  <c r="N671" i="8"/>
  <c r="P671" i="8"/>
  <c r="N684" i="8"/>
  <c r="O684" i="8"/>
  <c r="N691" i="8"/>
  <c r="P691" i="8"/>
  <c r="O752" i="8"/>
  <c r="P752" i="8"/>
  <c r="O773" i="8"/>
  <c r="O790" i="8"/>
  <c r="O803" i="8"/>
  <c r="N803" i="8"/>
  <c r="O14" i="8"/>
  <c r="P17" i="8"/>
  <c r="O56" i="8"/>
  <c r="P62" i="8"/>
  <c r="N65" i="8"/>
  <c r="P73" i="8"/>
  <c r="O79" i="8"/>
  <c r="O104" i="8"/>
  <c r="O185" i="8"/>
  <c r="P193" i="8"/>
  <c r="N200" i="8"/>
  <c r="O213" i="8"/>
  <c r="O229" i="8"/>
  <c r="N236" i="8"/>
  <c r="P249" i="8"/>
  <c r="N249" i="8"/>
  <c r="N256" i="8"/>
  <c r="O259" i="8"/>
  <c r="P259" i="8"/>
  <c r="N267" i="8"/>
  <c r="P281" i="8"/>
  <c r="O281" i="8"/>
  <c r="P284" i="8"/>
  <c r="N284" i="8"/>
  <c r="O284" i="8"/>
  <c r="P474" i="8"/>
  <c r="N577" i="8"/>
  <c r="O577" i="8"/>
  <c r="N588" i="8"/>
  <c r="O588" i="8"/>
  <c r="P594" i="8"/>
  <c r="O597" i="8"/>
  <c r="P597" i="8"/>
  <c r="O616" i="8"/>
  <c r="O634" i="8"/>
  <c r="P638" i="8"/>
  <c r="N638" i="8"/>
  <c r="O656" i="8"/>
  <c r="N656" i="8"/>
  <c r="O660" i="8"/>
  <c r="O671" i="8"/>
  <c r="P684" i="8"/>
  <c r="O691" i="8"/>
  <c r="O713" i="8"/>
  <c r="N716" i="8"/>
  <c r="N725" i="8"/>
  <c r="N752" i="8"/>
  <c r="P757" i="8"/>
  <c r="N757" i="8"/>
  <c r="O757" i="8"/>
  <c r="N787" i="8"/>
  <c r="P795" i="8"/>
  <c r="O795" i="8"/>
  <c r="P803" i="8"/>
  <c r="O178" i="8"/>
  <c r="O609" i="8"/>
  <c r="P609" i="8"/>
  <c r="P722" i="8"/>
  <c r="N722" i="8"/>
  <c r="O742" i="8"/>
  <c r="N742" i="8"/>
  <c r="P781" i="8"/>
  <c r="N781" i="8"/>
  <c r="N216" i="8"/>
  <c r="O216" i="8"/>
  <c r="P276" i="8"/>
  <c r="N276" i="8"/>
  <c r="N719" i="8"/>
  <c r="O719" i="8"/>
  <c r="O723" i="8"/>
  <c r="N723" i="8"/>
  <c r="P785" i="8"/>
  <c r="O785" i="8"/>
  <c r="P673" i="8"/>
  <c r="N673" i="8"/>
  <c r="N291" i="8"/>
  <c r="O291" i="8"/>
  <c r="P392" i="8"/>
  <c r="P614" i="8"/>
  <c r="N614" i="8"/>
  <c r="P623" i="8"/>
  <c r="O687" i="8"/>
  <c r="P737" i="8"/>
  <c r="N737" i="8"/>
  <c r="O764" i="8"/>
  <c r="N764" i="8"/>
  <c r="O777" i="8"/>
  <c r="N777" i="8"/>
  <c r="P793" i="8"/>
  <c r="N793" i="8"/>
  <c r="P685" i="8"/>
  <c r="N685" i="8"/>
  <c r="P726" i="8"/>
  <c r="N726" i="8"/>
  <c r="P769" i="8"/>
  <c r="N769" i="8"/>
  <c r="P590" i="8"/>
  <c r="N590" i="8"/>
  <c r="N628" i="8"/>
  <c r="N633" i="8"/>
  <c r="O636" i="8"/>
  <c r="O685" i="8"/>
  <c r="O726" i="8"/>
  <c r="P746" i="8"/>
  <c r="N746" i="8"/>
  <c r="O769" i="8"/>
  <c r="P626" i="8"/>
  <c r="N626" i="8"/>
  <c r="P11" i="8" l="1"/>
  <c r="P642" i="8" s="1"/>
  <c r="P804" i="8"/>
  <c r="P808" i="8" l="1"/>
  <c r="P1" i="8" s="1"/>
  <c r="P636" i="7"/>
  <c r="O636" i="7"/>
  <c r="N636" i="7"/>
  <c r="P635" i="7"/>
  <c r="O635" i="7"/>
  <c r="N635" i="7"/>
  <c r="J636" i="7"/>
  <c r="J637" i="7"/>
  <c r="J635" i="7"/>
  <c r="A637" i="7"/>
  <c r="A636" i="7"/>
  <c r="A635" i="7"/>
  <c r="J641" i="7"/>
  <c r="P641" i="7" s="1"/>
  <c r="J640" i="7"/>
  <c r="P640" i="7" s="1"/>
  <c r="J12" i="7"/>
  <c r="J13" i="7"/>
  <c r="J726" i="7"/>
  <c r="J727" i="7"/>
  <c r="J728" i="7"/>
  <c r="J729" i="7"/>
  <c r="J730" i="7"/>
  <c r="P389" i="7"/>
  <c r="P388" i="7"/>
  <c r="O389" i="7"/>
  <c r="O388" i="7"/>
  <c r="N389" i="7"/>
  <c r="N388" i="7"/>
  <c r="O640" i="7" l="1"/>
  <c r="N641" i="7"/>
  <c r="O641" i="7"/>
  <c r="N640" i="7"/>
  <c r="J587" i="7"/>
  <c r="P587" i="7" s="1"/>
  <c r="A749" i="7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7" i="7" s="1"/>
  <c r="A798" i="7" s="1"/>
  <c r="A799" i="7" s="1"/>
  <c r="A800" i="7" s="1"/>
  <c r="A801" i="7" s="1"/>
  <c r="A802" i="7" s="1"/>
  <c r="A803" i="7" s="1"/>
  <c r="A805" i="7" s="1"/>
  <c r="A654" i="7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4" i="7" s="1"/>
  <c r="A735" i="7" s="1"/>
  <c r="A13" i="7"/>
  <c r="A14" i="7" s="1"/>
  <c r="A15" i="7" s="1"/>
  <c r="A16" i="7" s="1"/>
  <c r="A17" i="7" s="1"/>
  <c r="A18" i="7" s="1"/>
  <c r="A19" i="7" s="1"/>
  <c r="A20" i="7" s="1"/>
  <c r="A21" i="7" s="1"/>
  <c r="A22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7" i="7" s="1"/>
  <c r="A288" i="7" s="1"/>
  <c r="A289" i="7" s="1"/>
  <c r="A290" i="7" s="1"/>
  <c r="A291" i="7" s="1"/>
  <c r="A292" i="7" s="1"/>
  <c r="A293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P559" i="7"/>
  <c r="O559" i="7"/>
  <c r="N559" i="7"/>
  <c r="J147" i="7"/>
  <c r="N147" i="7" s="1"/>
  <c r="J140" i="7"/>
  <c r="P140" i="7" s="1"/>
  <c r="J133" i="7"/>
  <c r="N133" i="7" s="1"/>
  <c r="J126" i="7"/>
  <c r="P126" i="7" s="1"/>
  <c r="J109" i="7"/>
  <c r="O109" i="7" s="1"/>
  <c r="J115" i="7"/>
  <c r="N115" i="7" s="1"/>
  <c r="J103" i="7"/>
  <c r="P103" i="7" s="1"/>
  <c r="J97" i="7"/>
  <c r="N97" i="7" s="1"/>
  <c r="J85" i="7"/>
  <c r="P85" i="7" s="1"/>
  <c r="J79" i="7"/>
  <c r="N79" i="7" s="1"/>
  <c r="J73" i="7"/>
  <c r="N73" i="7" s="1"/>
  <c r="J67" i="7"/>
  <c r="N67" i="7" s="1"/>
  <c r="J61" i="7"/>
  <c r="P61" i="7" s="1"/>
  <c r="J51" i="7"/>
  <c r="N51" i="7" s="1"/>
  <c r="J45" i="7"/>
  <c r="N45" i="7" s="1"/>
  <c r="J39" i="7"/>
  <c r="N39" i="7" s="1"/>
  <c r="J33" i="7"/>
  <c r="N33" i="7" s="1"/>
  <c r="J27" i="7"/>
  <c r="O27" i="7" s="1"/>
  <c r="J15" i="7"/>
  <c r="O15" i="7" s="1"/>
  <c r="J473" i="7"/>
  <c r="J474" i="7"/>
  <c r="P51" i="7" l="1"/>
  <c r="A388" i="7"/>
  <c r="A389" i="7" s="1"/>
  <c r="A390" i="7" s="1"/>
  <c r="A391" i="7" s="1"/>
  <c r="A392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4" i="7" s="1"/>
  <c r="A505" i="7" s="1"/>
  <c r="A506" i="7" s="1"/>
  <c r="A507" i="7" s="1"/>
  <c r="A508" i="7" s="1"/>
  <c r="A509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6" i="7" s="1"/>
  <c r="A577" i="7" s="1"/>
  <c r="A578" i="7" s="1"/>
  <c r="A579" i="7" s="1"/>
  <c r="A580" i="7" s="1"/>
  <c r="A581" i="7" s="1"/>
  <c r="A582" i="7" s="1"/>
  <c r="A583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8" i="7" s="1"/>
  <c r="A639" i="7" s="1"/>
  <c r="A640" i="7" s="1"/>
  <c r="A641" i="7" s="1"/>
  <c r="N587" i="7"/>
  <c r="O587" i="7"/>
  <c r="O45" i="7"/>
  <c r="O126" i="7"/>
  <c r="P147" i="7"/>
  <c r="O147" i="7"/>
  <c r="N27" i="7"/>
  <c r="P73" i="7"/>
  <c r="O73" i="7"/>
  <c r="P33" i="7"/>
  <c r="N126" i="7"/>
  <c r="O33" i="7"/>
  <c r="O61" i="7"/>
  <c r="N61" i="7"/>
  <c r="P133" i="7"/>
  <c r="N109" i="7"/>
  <c r="N15" i="7"/>
  <c r="P115" i="7"/>
  <c r="O115" i="7"/>
  <c r="O140" i="7"/>
  <c r="N140" i="7"/>
  <c r="P15" i="7"/>
  <c r="P109" i="7"/>
  <c r="P79" i="7"/>
  <c r="P27" i="7"/>
  <c r="O85" i="7"/>
  <c r="N85" i="7"/>
  <c r="O133" i="7"/>
  <c r="O103" i="7"/>
  <c r="N103" i="7"/>
  <c r="P97" i="7"/>
  <c r="O97" i="7"/>
  <c r="O79" i="7"/>
  <c r="P67" i="7"/>
  <c r="O67" i="7"/>
  <c r="O51" i="7"/>
  <c r="P45" i="7"/>
  <c r="P39" i="7"/>
  <c r="O39" i="7"/>
  <c r="N325" i="7"/>
  <c r="O325" i="7"/>
  <c r="P325" i="7"/>
  <c r="N326" i="7"/>
  <c r="O326" i="7"/>
  <c r="P326" i="7"/>
  <c r="N327" i="7"/>
  <c r="O327" i="7"/>
  <c r="P327" i="7"/>
  <c r="N328" i="7"/>
  <c r="O328" i="7"/>
  <c r="P328" i="7"/>
  <c r="N329" i="7"/>
  <c r="O329" i="7"/>
  <c r="P329" i="7"/>
  <c r="N330" i="7"/>
  <c r="O330" i="7"/>
  <c r="P330" i="7"/>
  <c r="N331" i="7"/>
  <c r="O331" i="7"/>
  <c r="P331" i="7"/>
  <c r="N332" i="7"/>
  <c r="O332" i="7"/>
  <c r="P332" i="7"/>
  <c r="N333" i="7"/>
  <c r="O333" i="7"/>
  <c r="P333" i="7"/>
  <c r="N334" i="7"/>
  <c r="O334" i="7"/>
  <c r="P334" i="7"/>
  <c r="N335" i="7"/>
  <c r="O335" i="7"/>
  <c r="P335" i="7"/>
  <c r="N336" i="7"/>
  <c r="O336" i="7"/>
  <c r="P336" i="7"/>
  <c r="N337" i="7"/>
  <c r="O337" i="7"/>
  <c r="P337" i="7"/>
  <c r="N338" i="7"/>
  <c r="O338" i="7"/>
  <c r="P338" i="7"/>
  <c r="N339" i="7"/>
  <c r="O339" i="7"/>
  <c r="P339" i="7"/>
  <c r="N340" i="7"/>
  <c r="O340" i="7"/>
  <c r="P340" i="7"/>
  <c r="N341" i="7"/>
  <c r="O341" i="7"/>
  <c r="P341" i="7"/>
  <c r="N342" i="7"/>
  <c r="O342" i="7"/>
  <c r="P342" i="7"/>
  <c r="J268" i="7"/>
  <c r="N268" i="7" s="1"/>
  <c r="J269" i="7"/>
  <c r="P269" i="7" s="1"/>
  <c r="J270" i="7"/>
  <c r="O270" i="7" s="1"/>
  <c r="J628" i="7"/>
  <c r="P628" i="7" s="1"/>
  <c r="J801" i="7"/>
  <c r="O801" i="7" s="1"/>
  <c r="J589" i="7"/>
  <c r="O589" i="7" s="1"/>
  <c r="P270" i="7" l="1"/>
  <c r="P268" i="7"/>
  <c r="O269" i="7"/>
  <c r="N269" i="7"/>
  <c r="O268" i="7"/>
  <c r="N270" i="7"/>
  <c r="P801" i="7"/>
  <c r="P589" i="7"/>
  <c r="N628" i="7"/>
  <c r="O628" i="7"/>
  <c r="N801" i="7"/>
  <c r="N589" i="7"/>
  <c r="J795" i="7" l="1"/>
  <c r="P795" i="7" s="1"/>
  <c r="J794" i="7"/>
  <c r="P794" i="7" s="1"/>
  <c r="J749" i="7"/>
  <c r="N749" i="7" s="1"/>
  <c r="J748" i="7"/>
  <c r="P748" i="7" s="1"/>
  <c r="J732" i="7"/>
  <c r="O732" i="7" s="1"/>
  <c r="J731" i="7"/>
  <c r="P731" i="7" s="1"/>
  <c r="J583" i="7"/>
  <c r="P583" i="7" s="1"/>
  <c r="J582" i="7"/>
  <c r="N582" i="7" s="1"/>
  <c r="J574" i="7"/>
  <c r="O574" i="7" s="1"/>
  <c r="J573" i="7"/>
  <c r="O573" i="7" s="1"/>
  <c r="J561" i="7"/>
  <c r="O561" i="7" s="1"/>
  <c r="J560" i="7"/>
  <c r="P560" i="7" s="1"/>
  <c r="J548" i="7"/>
  <c r="O548" i="7" s="1"/>
  <c r="J547" i="7"/>
  <c r="N547" i="7" s="1"/>
  <c r="J535" i="7"/>
  <c r="O535" i="7" s="1"/>
  <c r="J534" i="7"/>
  <c r="N534" i="7" s="1"/>
  <c r="J522" i="7"/>
  <c r="P522" i="7" s="1"/>
  <c r="J521" i="7"/>
  <c r="P521" i="7" s="1"/>
  <c r="J509" i="7"/>
  <c r="P509" i="7" s="1"/>
  <c r="J508" i="7"/>
  <c r="P508" i="7" s="1"/>
  <c r="J501" i="7"/>
  <c r="P501" i="7" s="1"/>
  <c r="P499" i="7"/>
  <c r="P474" i="7"/>
  <c r="N473" i="7"/>
  <c r="J447" i="7"/>
  <c r="N447" i="7" s="1"/>
  <c r="J446" i="7"/>
  <c r="P446" i="7" s="1"/>
  <c r="J420" i="7"/>
  <c r="P420" i="7" s="1"/>
  <c r="J419" i="7"/>
  <c r="P419" i="7" s="1"/>
  <c r="J392" i="7"/>
  <c r="P392" i="7" s="1"/>
  <c r="J391" i="7"/>
  <c r="P391" i="7" s="1"/>
  <c r="J344" i="7"/>
  <c r="P344" i="7" s="1"/>
  <c r="J343" i="7"/>
  <c r="P343" i="7" s="1"/>
  <c r="J293" i="7"/>
  <c r="P293" i="7" s="1"/>
  <c r="J292" i="7"/>
  <c r="N292" i="7" s="1"/>
  <c r="J285" i="7"/>
  <c r="N285" i="7" s="1"/>
  <c r="J284" i="7"/>
  <c r="P284" i="7" s="1"/>
  <c r="J265" i="7"/>
  <c r="N265" i="7" s="1"/>
  <c r="J264" i="7"/>
  <c r="P264" i="7" s="1"/>
  <c r="J188" i="7"/>
  <c r="N188" i="7" s="1"/>
  <c r="J187" i="7"/>
  <c r="P187" i="7" s="1"/>
  <c r="J154" i="7"/>
  <c r="P154" i="7" s="1"/>
  <c r="J153" i="7"/>
  <c r="P153" i="7" s="1"/>
  <c r="J121" i="7"/>
  <c r="N121" i="7" s="1"/>
  <c r="J120" i="7"/>
  <c r="P120" i="7" s="1"/>
  <c r="J92" i="7"/>
  <c r="N92" i="7" s="1"/>
  <c r="J91" i="7"/>
  <c r="P91" i="7" s="1"/>
  <c r="J56" i="7"/>
  <c r="O56" i="7" s="1"/>
  <c r="J55" i="7"/>
  <c r="P55" i="7" s="1"/>
  <c r="J22" i="7"/>
  <c r="P22" i="7" s="1"/>
  <c r="J21" i="7"/>
  <c r="P21" i="7" s="1"/>
  <c r="J774" i="7"/>
  <c r="P774" i="7" s="1"/>
  <c r="J773" i="7"/>
  <c r="P773" i="7" s="1"/>
  <c r="J772" i="7"/>
  <c r="P772" i="7" s="1"/>
  <c r="J771" i="7"/>
  <c r="N771" i="7" s="1"/>
  <c r="J770" i="7"/>
  <c r="P770" i="7" s="1"/>
  <c r="J769" i="7"/>
  <c r="O769" i="7" s="1"/>
  <c r="J768" i="7"/>
  <c r="P768" i="7" s="1"/>
  <c r="J767" i="7"/>
  <c r="P767" i="7" s="1"/>
  <c r="J766" i="7"/>
  <c r="P766" i="7" s="1"/>
  <c r="J765" i="7"/>
  <c r="O765" i="7" s="1"/>
  <c r="J764" i="7"/>
  <c r="P764" i="7" s="1"/>
  <c r="J763" i="7"/>
  <c r="N763" i="7" s="1"/>
  <c r="J762" i="7"/>
  <c r="P762" i="7" s="1"/>
  <c r="J761" i="7"/>
  <c r="O761" i="7" s="1"/>
  <c r="J759" i="7"/>
  <c r="P759" i="7" s="1"/>
  <c r="J755" i="7"/>
  <c r="P755" i="7" s="1"/>
  <c r="J754" i="7"/>
  <c r="P754" i="7" s="1"/>
  <c r="J752" i="7"/>
  <c r="P752" i="7" s="1"/>
  <c r="J634" i="7"/>
  <c r="P634" i="7" s="1"/>
  <c r="J633" i="7"/>
  <c r="P633" i="7" s="1"/>
  <c r="J632" i="7"/>
  <c r="P632" i="7" s="1"/>
  <c r="J631" i="7"/>
  <c r="N631" i="7" s="1"/>
  <c r="N730" i="7"/>
  <c r="J723" i="7"/>
  <c r="P723" i="7" s="1"/>
  <c r="P721" i="7"/>
  <c r="O721" i="7"/>
  <c r="N721" i="7"/>
  <c r="J629" i="7"/>
  <c r="P629" i="7" s="1"/>
  <c r="P472" i="7"/>
  <c r="O471" i="7"/>
  <c r="P470" i="7"/>
  <c r="N469" i="7"/>
  <c r="P468" i="7"/>
  <c r="P467" i="7"/>
  <c r="O466" i="7"/>
  <c r="P465" i="7"/>
  <c r="O464" i="7"/>
  <c r="P463" i="7"/>
  <c r="O462" i="7"/>
  <c r="P461" i="7"/>
  <c r="O460" i="7"/>
  <c r="P459" i="7"/>
  <c r="O458" i="7"/>
  <c r="P457" i="7"/>
  <c r="O456" i="7"/>
  <c r="N455" i="7"/>
  <c r="O454" i="7"/>
  <c r="N453" i="7"/>
  <c r="O452" i="7"/>
  <c r="P451" i="7"/>
  <c r="O450" i="7"/>
  <c r="P449" i="7"/>
  <c r="P445" i="7"/>
  <c r="J600" i="7"/>
  <c r="J599" i="7"/>
  <c r="J625" i="7"/>
  <c r="J624" i="7"/>
  <c r="J623" i="7"/>
  <c r="J622" i="7"/>
  <c r="J782" i="7"/>
  <c r="O782" i="7" s="1"/>
  <c r="J710" i="7"/>
  <c r="O710" i="7" s="1"/>
  <c r="J709" i="7"/>
  <c r="P709" i="7" s="1"/>
  <c r="J708" i="7"/>
  <c r="O708" i="7" s="1"/>
  <c r="J699" i="7"/>
  <c r="O699" i="7" s="1"/>
  <c r="J698" i="7"/>
  <c r="O698" i="7" s="1"/>
  <c r="J697" i="7"/>
  <c r="N697" i="7" s="1"/>
  <c r="J696" i="7"/>
  <c r="O696" i="7" s="1"/>
  <c r="J689" i="7"/>
  <c r="N689" i="7" s="1"/>
  <c r="J688" i="7"/>
  <c r="P688" i="7" s="1"/>
  <c r="J687" i="7"/>
  <c r="N687" i="7" s="1"/>
  <c r="J686" i="7"/>
  <c r="P686" i="7" s="1"/>
  <c r="J678" i="7"/>
  <c r="O678" i="7" s="1"/>
  <c r="J677" i="7"/>
  <c r="P677" i="7" s="1"/>
  <c r="J676" i="7"/>
  <c r="P676" i="7" s="1"/>
  <c r="J672" i="7"/>
  <c r="P672" i="7" s="1"/>
  <c r="J670" i="7"/>
  <c r="O670" i="7" s="1"/>
  <c r="J669" i="7"/>
  <c r="O669" i="7" s="1"/>
  <c r="J667" i="7"/>
  <c r="P667" i="7" s="1"/>
  <c r="J666" i="7"/>
  <c r="N666" i="7" s="1"/>
  <c r="J665" i="7"/>
  <c r="P665" i="7" s="1"/>
  <c r="J664" i="7"/>
  <c r="N664" i="7" s="1"/>
  <c r="J663" i="7"/>
  <c r="P663" i="7" s="1"/>
  <c r="J662" i="7"/>
  <c r="P662" i="7" s="1"/>
  <c r="J588" i="7"/>
  <c r="O588" i="7" s="1"/>
  <c r="J618" i="7"/>
  <c r="P618" i="7" s="1"/>
  <c r="J617" i="7"/>
  <c r="N617" i="7" s="1"/>
  <c r="J616" i="7"/>
  <c r="P616" i="7" s="1"/>
  <c r="J615" i="7"/>
  <c r="P615" i="7" s="1"/>
  <c r="J614" i="7"/>
  <c r="N614" i="7" s="1"/>
  <c r="J612" i="7"/>
  <c r="P612" i="7" s="1"/>
  <c r="J611" i="7"/>
  <c r="P611" i="7" s="1"/>
  <c r="J610" i="7"/>
  <c r="P610" i="7" s="1"/>
  <c r="J609" i="7"/>
  <c r="P609" i="7" s="1"/>
  <c r="J606" i="7"/>
  <c r="O606" i="7" s="1"/>
  <c r="J608" i="7"/>
  <c r="O608" i="7" s="1"/>
  <c r="J607" i="7"/>
  <c r="O607" i="7" s="1"/>
  <c r="J605" i="7"/>
  <c r="P605" i="7" s="1"/>
  <c r="J603" i="7"/>
  <c r="P603" i="7" s="1"/>
  <c r="P570" i="7"/>
  <c r="P564" i="7"/>
  <c r="N622" i="7" l="1"/>
  <c r="O622" i="7"/>
  <c r="P622" i="7"/>
  <c r="N623" i="7"/>
  <c r="O623" i="7"/>
  <c r="P623" i="7"/>
  <c r="O624" i="7"/>
  <c r="P624" i="7"/>
  <c r="N624" i="7"/>
  <c r="N600" i="7"/>
  <c r="O600" i="7"/>
  <c r="P600" i="7"/>
  <c r="O625" i="7"/>
  <c r="P625" i="7"/>
  <c r="N625" i="7"/>
  <c r="N599" i="7"/>
  <c r="O599" i="7"/>
  <c r="P599" i="7"/>
  <c r="N794" i="7"/>
  <c r="O391" i="7"/>
  <c r="N56" i="7"/>
  <c r="P56" i="7"/>
  <c r="N91" i="7"/>
  <c r="P534" i="7"/>
  <c r="N293" i="7"/>
  <c r="O264" i="7"/>
  <c r="O534" i="7"/>
  <c r="O560" i="7"/>
  <c r="P574" i="7"/>
  <c r="O447" i="7"/>
  <c r="N153" i="7"/>
  <c r="O265" i="7"/>
  <c r="N561" i="7"/>
  <c r="O153" i="7"/>
  <c r="N391" i="7"/>
  <c r="P535" i="7"/>
  <c r="P561" i="7"/>
  <c r="N21" i="7"/>
  <c r="P732" i="7"/>
  <c r="N499" i="7"/>
  <c r="P548" i="7"/>
  <c r="N574" i="7"/>
  <c r="O120" i="7"/>
  <c r="O55" i="7"/>
  <c r="P121" i="7"/>
  <c r="O188" i="7"/>
  <c r="N284" i="7"/>
  <c r="O392" i="7"/>
  <c r="O92" i="7"/>
  <c r="P188" i="7"/>
  <c r="O284" i="7"/>
  <c r="N120" i="7"/>
  <c r="N264" i="7"/>
  <c r="O285" i="7"/>
  <c r="N560" i="7"/>
  <c r="N392" i="7"/>
  <c r="P447" i="7"/>
  <c r="N55" i="7"/>
  <c r="O91" i="7"/>
  <c r="O121" i="7"/>
  <c r="N583" i="7"/>
  <c r="O794" i="7"/>
  <c r="N795" i="7"/>
  <c r="O795" i="7"/>
  <c r="O749" i="7"/>
  <c r="N748" i="7"/>
  <c r="O748" i="7"/>
  <c r="P749" i="7"/>
  <c r="N731" i="7"/>
  <c r="O731" i="7"/>
  <c r="N732" i="7"/>
  <c r="O582" i="7"/>
  <c r="P582" i="7"/>
  <c r="O583" i="7"/>
  <c r="N573" i="7"/>
  <c r="P573" i="7"/>
  <c r="O547" i="7"/>
  <c r="P547" i="7"/>
  <c r="N548" i="7"/>
  <c r="N535" i="7"/>
  <c r="N522" i="7"/>
  <c r="N521" i="7"/>
  <c r="O522" i="7"/>
  <c r="O521" i="7"/>
  <c r="N508" i="7"/>
  <c r="O508" i="7"/>
  <c r="N509" i="7"/>
  <c r="O509" i="7"/>
  <c r="O499" i="7"/>
  <c r="N501" i="7"/>
  <c r="O501" i="7"/>
  <c r="O473" i="7"/>
  <c r="P473" i="7"/>
  <c r="N474" i="7"/>
  <c r="O474" i="7"/>
  <c r="N446" i="7"/>
  <c r="O446" i="7"/>
  <c r="N419" i="7"/>
  <c r="O419" i="7"/>
  <c r="N420" i="7"/>
  <c r="O420" i="7"/>
  <c r="N343" i="7"/>
  <c r="N344" i="7"/>
  <c r="O343" i="7"/>
  <c r="O344" i="7"/>
  <c r="O292" i="7"/>
  <c r="P292" i="7"/>
  <c r="O293" i="7"/>
  <c r="P285" i="7"/>
  <c r="P265" i="7"/>
  <c r="N187" i="7"/>
  <c r="O187" i="7"/>
  <c r="N154" i="7"/>
  <c r="O154" i="7"/>
  <c r="P92" i="7"/>
  <c r="N22" i="7"/>
  <c r="O22" i="7"/>
  <c r="O21" i="7"/>
  <c r="O773" i="7"/>
  <c r="O763" i="7"/>
  <c r="N769" i="7"/>
  <c r="N765" i="7"/>
  <c r="P769" i="7"/>
  <c r="N761" i="7"/>
  <c r="P765" i="7"/>
  <c r="P761" i="7"/>
  <c r="P763" i="7"/>
  <c r="N767" i="7"/>
  <c r="O767" i="7"/>
  <c r="O771" i="7"/>
  <c r="P771" i="7"/>
  <c r="N773" i="7"/>
  <c r="N762" i="7"/>
  <c r="N764" i="7"/>
  <c r="N766" i="7"/>
  <c r="N768" i="7"/>
  <c r="N770" i="7"/>
  <c r="N772" i="7"/>
  <c r="O772" i="7"/>
  <c r="O762" i="7"/>
  <c r="O766" i="7"/>
  <c r="O768" i="7"/>
  <c r="O770" i="7"/>
  <c r="O764" i="7"/>
  <c r="N774" i="7"/>
  <c r="O774" i="7"/>
  <c r="O759" i="7"/>
  <c r="N759" i="7"/>
  <c r="N755" i="7"/>
  <c r="O755" i="7"/>
  <c r="N754" i="7"/>
  <c r="O754" i="7"/>
  <c r="N752" i="7"/>
  <c r="O752" i="7"/>
  <c r="O634" i="7"/>
  <c r="N634" i="7"/>
  <c r="O633" i="7"/>
  <c r="N633" i="7"/>
  <c r="O631" i="7"/>
  <c r="P631" i="7"/>
  <c r="N632" i="7"/>
  <c r="O632" i="7"/>
  <c r="N723" i="7"/>
  <c r="O723" i="7"/>
  <c r="O730" i="7"/>
  <c r="P730" i="7"/>
  <c r="N629" i="7"/>
  <c r="O629" i="7"/>
  <c r="P466" i="7"/>
  <c r="P450" i="7"/>
  <c r="P460" i="7"/>
  <c r="P462" i="7"/>
  <c r="P456" i="7"/>
  <c r="P452" i="7"/>
  <c r="P458" i="7"/>
  <c r="P464" i="7"/>
  <c r="P454" i="7"/>
  <c r="N472" i="7"/>
  <c r="O472" i="7"/>
  <c r="N451" i="7"/>
  <c r="N459" i="7"/>
  <c r="N463" i="7"/>
  <c r="N467" i="7"/>
  <c r="O449" i="7"/>
  <c r="O451" i="7"/>
  <c r="O453" i="7"/>
  <c r="O455" i="7"/>
  <c r="O457" i="7"/>
  <c r="O459" i="7"/>
  <c r="O461" i="7"/>
  <c r="O463" i="7"/>
  <c r="O465" i="7"/>
  <c r="O467" i="7"/>
  <c r="P469" i="7"/>
  <c r="N449" i="7"/>
  <c r="N457" i="7"/>
  <c r="N461" i="7"/>
  <c r="N465" i="7"/>
  <c r="P453" i="7"/>
  <c r="P455" i="7"/>
  <c r="O469" i="7"/>
  <c r="N450" i="7"/>
  <c r="N452" i="7"/>
  <c r="N454" i="7"/>
  <c r="N456" i="7"/>
  <c r="N458" i="7"/>
  <c r="N460" i="7"/>
  <c r="N462" i="7"/>
  <c r="N464" i="7"/>
  <c r="N466" i="7"/>
  <c r="N468" i="7"/>
  <c r="N471" i="7"/>
  <c r="O468" i="7"/>
  <c r="P471" i="7"/>
  <c r="N470" i="7"/>
  <c r="O470" i="7"/>
  <c r="O445" i="7"/>
  <c r="N445" i="7"/>
  <c r="N710" i="7"/>
  <c r="N782" i="7"/>
  <c r="N708" i="7"/>
  <c r="P708" i="7"/>
  <c r="P782" i="7"/>
  <c r="P697" i="7"/>
  <c r="P710" i="7"/>
  <c r="N709" i="7"/>
  <c r="P689" i="7"/>
  <c r="N699" i="7"/>
  <c r="O709" i="7"/>
  <c r="P699" i="7"/>
  <c r="P696" i="7"/>
  <c r="O697" i="7"/>
  <c r="N698" i="7"/>
  <c r="P698" i="7"/>
  <c r="P687" i="7"/>
  <c r="O689" i="7"/>
  <c r="N696" i="7"/>
  <c r="O687" i="7"/>
  <c r="N686" i="7"/>
  <c r="N688" i="7"/>
  <c r="O686" i="7"/>
  <c r="O688" i="7"/>
  <c r="P678" i="7"/>
  <c r="N678" i="7"/>
  <c r="N677" i="7"/>
  <c r="O677" i="7"/>
  <c r="N676" i="7"/>
  <c r="O676" i="7"/>
  <c r="P670" i="7"/>
  <c r="N672" i="7"/>
  <c r="N669" i="7"/>
  <c r="O672" i="7"/>
  <c r="P669" i="7"/>
  <c r="N670" i="7"/>
  <c r="O664" i="7"/>
  <c r="O666" i="7"/>
  <c r="P664" i="7"/>
  <c r="P666" i="7"/>
  <c r="N663" i="7"/>
  <c r="N665" i="7"/>
  <c r="N667" i="7"/>
  <c r="O663" i="7"/>
  <c r="O665" i="7"/>
  <c r="O667" i="7"/>
  <c r="N662" i="7"/>
  <c r="O662" i="7"/>
  <c r="N588" i="7"/>
  <c r="P588" i="7"/>
  <c r="O614" i="7"/>
  <c r="O617" i="7"/>
  <c r="P617" i="7"/>
  <c r="N616" i="7"/>
  <c r="N618" i="7"/>
  <c r="O616" i="7"/>
  <c r="O618" i="7"/>
  <c r="P614" i="7"/>
  <c r="N615" i="7"/>
  <c r="O615" i="7"/>
  <c r="O611" i="7"/>
  <c r="N611" i="7"/>
  <c r="N609" i="7"/>
  <c r="N610" i="7"/>
  <c r="O610" i="7"/>
  <c r="O612" i="7"/>
  <c r="N612" i="7"/>
  <c r="N606" i="7"/>
  <c r="P606" i="7"/>
  <c r="O609" i="7"/>
  <c r="N608" i="7"/>
  <c r="P608" i="7"/>
  <c r="N607" i="7"/>
  <c r="P607" i="7"/>
  <c r="O603" i="7"/>
  <c r="N605" i="7"/>
  <c r="O605" i="7"/>
  <c r="N603" i="7"/>
  <c r="N570" i="7"/>
  <c r="O570" i="7"/>
  <c r="N564" i="7"/>
  <c r="O564" i="7"/>
  <c r="P498" i="7"/>
  <c r="N497" i="7"/>
  <c r="P496" i="7"/>
  <c r="N495" i="7"/>
  <c r="P494" i="7"/>
  <c r="P490" i="7"/>
  <c r="P486" i="7"/>
  <c r="P482" i="7"/>
  <c r="O478" i="7"/>
  <c r="P410" i="7"/>
  <c r="N409" i="7"/>
  <c r="P408" i="7"/>
  <c r="N407" i="7"/>
  <c r="P441" i="7"/>
  <c r="O440" i="7"/>
  <c r="P439" i="7"/>
  <c r="P438" i="7"/>
  <c r="O433" i="7"/>
  <c r="P437" i="7"/>
  <c r="P429" i="7"/>
  <c r="O425" i="7"/>
  <c r="P418" i="7"/>
  <c r="P414" i="7"/>
  <c r="P406" i="7"/>
  <c r="P402" i="7"/>
  <c r="N398" i="7"/>
  <c r="N385" i="7"/>
  <c r="P380" i="7"/>
  <c r="O376" i="7"/>
  <c r="P371" i="7"/>
  <c r="P359" i="7"/>
  <c r="P364" i="7"/>
  <c r="P354" i="7"/>
  <c r="P349" i="7"/>
  <c r="P319" i="7"/>
  <c r="P324" i="7"/>
  <c r="P323" i="7"/>
  <c r="P322" i="7"/>
  <c r="P321" i="7"/>
  <c r="P320" i="7"/>
  <c r="N302" i="7"/>
  <c r="N303" i="7"/>
  <c r="N304" i="7"/>
  <c r="N305" i="7"/>
  <c r="N306" i="7"/>
  <c r="N307" i="7"/>
  <c r="N308" i="7"/>
  <c r="P309" i="7"/>
  <c r="N310" i="7"/>
  <c r="N311" i="7"/>
  <c r="N312" i="7"/>
  <c r="P313" i="7"/>
  <c r="N314" i="7"/>
  <c r="N315" i="7"/>
  <c r="N316" i="7"/>
  <c r="N317" i="7"/>
  <c r="N318" i="7"/>
  <c r="J175" i="7"/>
  <c r="P175" i="7" s="1"/>
  <c r="N478" i="7" l="1"/>
  <c r="O495" i="7"/>
  <c r="O497" i="7"/>
  <c r="P478" i="7"/>
  <c r="P495" i="7"/>
  <c r="P497" i="7"/>
  <c r="N496" i="7"/>
  <c r="N498" i="7"/>
  <c r="O496" i="7"/>
  <c r="O498" i="7"/>
  <c r="N494" i="7"/>
  <c r="O494" i="7"/>
  <c r="N490" i="7"/>
  <c r="O490" i="7"/>
  <c r="O482" i="7"/>
  <c r="O486" i="7"/>
  <c r="N486" i="7"/>
  <c r="N482" i="7"/>
  <c r="O407" i="7"/>
  <c r="P407" i="7"/>
  <c r="O409" i="7"/>
  <c r="P409" i="7"/>
  <c r="N410" i="7"/>
  <c r="O410" i="7"/>
  <c r="N408" i="7"/>
  <c r="O408" i="7"/>
  <c r="N440" i="7"/>
  <c r="O438" i="7"/>
  <c r="P440" i="7"/>
  <c r="N438" i="7"/>
  <c r="N439" i="7"/>
  <c r="N441" i="7"/>
  <c r="O439" i="7"/>
  <c r="O441" i="7"/>
  <c r="N433" i="7"/>
  <c r="P433" i="7"/>
  <c r="N437" i="7"/>
  <c r="O437" i="7"/>
  <c r="P425" i="7"/>
  <c r="O418" i="7"/>
  <c r="N429" i="7"/>
  <c r="O429" i="7"/>
  <c r="N425" i="7"/>
  <c r="N418" i="7"/>
  <c r="O398" i="7"/>
  <c r="N414" i="7"/>
  <c r="O414" i="7"/>
  <c r="P398" i="7"/>
  <c r="N406" i="7"/>
  <c r="O406" i="7"/>
  <c r="N402" i="7"/>
  <c r="O402" i="7"/>
  <c r="P385" i="7"/>
  <c r="O385" i="7"/>
  <c r="O380" i="7"/>
  <c r="N380" i="7"/>
  <c r="N376" i="7"/>
  <c r="P376" i="7"/>
  <c r="N371" i="7"/>
  <c r="O371" i="7"/>
  <c r="O316" i="7"/>
  <c r="N359" i="7"/>
  <c r="O359" i="7"/>
  <c r="O354" i="7"/>
  <c r="N364" i="7"/>
  <c r="P303" i="7"/>
  <c r="O364" i="7"/>
  <c r="P305" i="7"/>
  <c r="O305" i="7"/>
  <c r="N354" i="7"/>
  <c r="N349" i="7"/>
  <c r="O349" i="7"/>
  <c r="O309" i="7"/>
  <c r="N309" i="7"/>
  <c r="O313" i="7"/>
  <c r="O317" i="7"/>
  <c r="N313" i="7"/>
  <c r="P307" i="7"/>
  <c r="P316" i="7"/>
  <c r="O307" i="7"/>
  <c r="O303" i="7"/>
  <c r="P318" i="7"/>
  <c r="P314" i="7"/>
  <c r="O312" i="7"/>
  <c r="O314" i="7"/>
  <c r="P311" i="7"/>
  <c r="N319" i="7"/>
  <c r="O311" i="7"/>
  <c r="P308" i="7"/>
  <c r="O319" i="7"/>
  <c r="O308" i="7"/>
  <c r="N321" i="7"/>
  <c r="O321" i="7"/>
  <c r="N323" i="7"/>
  <c r="O323" i="7"/>
  <c r="O318" i="7"/>
  <c r="P315" i="7"/>
  <c r="N320" i="7"/>
  <c r="N322" i="7"/>
  <c r="N324" i="7"/>
  <c r="O315" i="7"/>
  <c r="P310" i="7"/>
  <c r="O320" i="7"/>
  <c r="O322" i="7"/>
  <c r="O324" i="7"/>
  <c r="P317" i="7"/>
  <c r="P312" i="7"/>
  <c r="O310" i="7"/>
  <c r="P306" i="7"/>
  <c r="P304" i="7"/>
  <c r="P302" i="7"/>
  <c r="O306" i="7"/>
  <c r="O304" i="7"/>
  <c r="O302" i="7"/>
  <c r="N175" i="7"/>
  <c r="O175" i="7"/>
  <c r="J143" i="7"/>
  <c r="P143" i="7" s="1"/>
  <c r="J136" i="7"/>
  <c r="P136" i="7" s="1"/>
  <c r="J129" i="7"/>
  <c r="P129" i="7" s="1"/>
  <c r="J149" i="7"/>
  <c r="P149" i="7" s="1"/>
  <c r="J148" i="7"/>
  <c r="O148" i="7" s="1"/>
  <c r="J146" i="7"/>
  <c r="P146" i="7" s="1"/>
  <c r="J145" i="7"/>
  <c r="O145" i="7" s="1"/>
  <c r="J144" i="7"/>
  <c r="O144" i="7" s="1"/>
  <c r="J142" i="7"/>
  <c r="O142" i="7" s="1"/>
  <c r="J141" i="7"/>
  <c r="O141" i="7" s="1"/>
  <c r="J139" i="7"/>
  <c r="O139" i="7" s="1"/>
  <c r="J138" i="7"/>
  <c r="P138" i="7" s="1"/>
  <c r="J137" i="7"/>
  <c r="O137" i="7" s="1"/>
  <c r="J135" i="7"/>
  <c r="N135" i="7" s="1"/>
  <c r="J134" i="7"/>
  <c r="P134" i="7" s="1"/>
  <c r="J132" i="7"/>
  <c r="N132" i="7" s="1"/>
  <c r="J131" i="7"/>
  <c r="P131" i="7" s="1"/>
  <c r="J130" i="7"/>
  <c r="N130" i="7" s="1"/>
  <c r="J124" i="7"/>
  <c r="J125" i="7"/>
  <c r="P125" i="7" s="1"/>
  <c r="J127" i="7"/>
  <c r="J96" i="7"/>
  <c r="N96" i="7" s="1"/>
  <c r="J98" i="7"/>
  <c r="N98" i="7" s="1"/>
  <c r="J99" i="7"/>
  <c r="P99" i="7" s="1"/>
  <c r="J100" i="7"/>
  <c r="O100" i="7" s="1"/>
  <c r="J101" i="7"/>
  <c r="P101" i="7" s="1"/>
  <c r="J102" i="7"/>
  <c r="O102" i="7" s="1"/>
  <c r="J104" i="7"/>
  <c r="N104" i="7" s="1"/>
  <c r="J105" i="7"/>
  <c r="N105" i="7" s="1"/>
  <c r="J106" i="7"/>
  <c r="N106" i="7" s="1"/>
  <c r="J107" i="7"/>
  <c r="N107" i="7" s="1"/>
  <c r="J108" i="7"/>
  <c r="P108" i="7" s="1"/>
  <c r="J110" i="7"/>
  <c r="N110" i="7" s="1"/>
  <c r="J111" i="7"/>
  <c r="P111" i="7" s="1"/>
  <c r="J112" i="7"/>
  <c r="O112" i="7" s="1"/>
  <c r="J113" i="7"/>
  <c r="N113" i="7" s="1"/>
  <c r="J114" i="7"/>
  <c r="N114" i="7" s="1"/>
  <c r="J117" i="7"/>
  <c r="N117" i="7" s="1"/>
  <c r="J116" i="7"/>
  <c r="O116" i="7" s="1"/>
  <c r="J60" i="7"/>
  <c r="O60" i="7" s="1"/>
  <c r="J62" i="7"/>
  <c r="N62" i="7" s="1"/>
  <c r="J63" i="7"/>
  <c r="N63" i="7" s="1"/>
  <c r="J64" i="7"/>
  <c r="P64" i="7" s="1"/>
  <c r="J65" i="7"/>
  <c r="O65" i="7" s="1"/>
  <c r="J66" i="7"/>
  <c r="O66" i="7" s="1"/>
  <c r="J68" i="7"/>
  <c r="O68" i="7" s="1"/>
  <c r="J69" i="7"/>
  <c r="N69" i="7" s="1"/>
  <c r="J70" i="7"/>
  <c r="O70" i="7" s="1"/>
  <c r="J71" i="7"/>
  <c r="N71" i="7" s="1"/>
  <c r="J72" i="7"/>
  <c r="N72" i="7" s="1"/>
  <c r="J74" i="7"/>
  <c r="P74" i="7" s="1"/>
  <c r="J75" i="7"/>
  <c r="O75" i="7" s="1"/>
  <c r="J76" i="7"/>
  <c r="O76" i="7" s="1"/>
  <c r="J77" i="7"/>
  <c r="O77" i="7" s="1"/>
  <c r="J78" i="7"/>
  <c r="N78" i="7" s="1"/>
  <c r="J80" i="7"/>
  <c r="N80" i="7" s="1"/>
  <c r="J81" i="7"/>
  <c r="P81" i="7" s="1"/>
  <c r="J82" i="7"/>
  <c r="O82" i="7" s="1"/>
  <c r="J83" i="7"/>
  <c r="N83" i="7" s="1"/>
  <c r="J84" i="7"/>
  <c r="O84" i="7" s="1"/>
  <c r="J86" i="7"/>
  <c r="N86" i="7" s="1"/>
  <c r="J87" i="7"/>
  <c r="P87" i="7" s="1"/>
  <c r="J88" i="7"/>
  <c r="J89" i="7"/>
  <c r="N89" i="7" s="1"/>
  <c r="J90" i="7"/>
  <c r="P90" i="7" s="1"/>
  <c r="J26" i="7"/>
  <c r="O26" i="7" s="1"/>
  <c r="J28" i="7"/>
  <c r="N28" i="7" s="1"/>
  <c r="J29" i="7"/>
  <c r="O29" i="7" s="1"/>
  <c r="J30" i="7"/>
  <c r="P30" i="7" s="1"/>
  <c r="J31" i="7"/>
  <c r="O31" i="7" s="1"/>
  <c r="J32" i="7"/>
  <c r="N32" i="7" s="1"/>
  <c r="J34" i="7"/>
  <c r="O34" i="7" s="1"/>
  <c r="J35" i="7"/>
  <c r="N35" i="7" s="1"/>
  <c r="J36" i="7"/>
  <c r="O36" i="7" s="1"/>
  <c r="J37" i="7"/>
  <c r="N37" i="7" s="1"/>
  <c r="J38" i="7"/>
  <c r="O38" i="7" s="1"/>
  <c r="J40" i="7"/>
  <c r="P40" i="7" s="1"/>
  <c r="J41" i="7"/>
  <c r="O41" i="7" s="1"/>
  <c r="J42" i="7"/>
  <c r="N42" i="7" s="1"/>
  <c r="J43" i="7"/>
  <c r="O43" i="7" s="1"/>
  <c r="J44" i="7"/>
  <c r="N44" i="7" s="1"/>
  <c r="J46" i="7"/>
  <c r="O46" i="7" s="1"/>
  <c r="J47" i="7"/>
  <c r="P47" i="7" s="1"/>
  <c r="J48" i="7"/>
  <c r="J49" i="7"/>
  <c r="J50" i="7"/>
  <c r="N13" i="7"/>
  <c r="J14" i="7"/>
  <c r="N14" i="7" s="1"/>
  <c r="J16" i="7"/>
  <c r="J17" i="7"/>
  <c r="N50" i="7" l="1"/>
  <c r="P50" i="7"/>
  <c r="O50" i="7"/>
  <c r="N144" i="7"/>
  <c r="P144" i="7"/>
  <c r="N143" i="7"/>
  <c r="O143" i="7"/>
  <c r="P63" i="7"/>
  <c r="N142" i="7"/>
  <c r="P84" i="7"/>
  <c r="N136" i="7"/>
  <c r="O136" i="7"/>
  <c r="N129" i="7"/>
  <c r="O129" i="7"/>
  <c r="N146" i="7"/>
  <c r="O104" i="7"/>
  <c r="O146" i="7"/>
  <c r="O135" i="7"/>
  <c r="O125" i="7"/>
  <c r="N125" i="7"/>
  <c r="N137" i="7"/>
  <c r="N145" i="7"/>
  <c r="N148" i="7"/>
  <c r="O101" i="7"/>
  <c r="O130" i="7"/>
  <c r="P137" i="7"/>
  <c r="P142" i="7"/>
  <c r="P145" i="7"/>
  <c r="P148" i="7"/>
  <c r="O44" i="7"/>
  <c r="N100" i="7"/>
  <c r="N26" i="7"/>
  <c r="N149" i="7"/>
  <c r="N75" i="7"/>
  <c r="N139" i="7"/>
  <c r="O149" i="7"/>
  <c r="N65" i="7"/>
  <c r="P139" i="7"/>
  <c r="P75" i="7"/>
  <c r="O86" i="7"/>
  <c r="N101" i="7"/>
  <c r="N138" i="7"/>
  <c r="N141" i="7"/>
  <c r="O138" i="7"/>
  <c r="N38" i="7"/>
  <c r="P72" i="7"/>
  <c r="N84" i="7"/>
  <c r="P130" i="7"/>
  <c r="P135" i="7"/>
  <c r="P141" i="7"/>
  <c r="N36" i="7"/>
  <c r="O72" i="7"/>
  <c r="O89" i="7"/>
  <c r="O35" i="7"/>
  <c r="P114" i="7"/>
  <c r="N29" i="7"/>
  <c r="P65" i="7"/>
  <c r="O113" i="7"/>
  <c r="O132" i="7"/>
  <c r="P26" i="7"/>
  <c r="P132" i="7"/>
  <c r="P43" i="7"/>
  <c r="N131" i="7"/>
  <c r="N134" i="7"/>
  <c r="N43" i="7"/>
  <c r="O131" i="7"/>
  <c r="P41" i="7"/>
  <c r="P77" i="7"/>
  <c r="O63" i="7"/>
  <c r="O111" i="7"/>
  <c r="O14" i="7"/>
  <c r="N41" i="7"/>
  <c r="P31" i="7"/>
  <c r="N77" i="7"/>
  <c r="N70" i="7"/>
  <c r="N82" i="7"/>
  <c r="N111" i="7"/>
  <c r="O99" i="7"/>
  <c r="P34" i="7"/>
  <c r="O134" i="7"/>
  <c r="P14" i="7"/>
  <c r="N34" i="7"/>
  <c r="P70" i="7"/>
  <c r="P82" i="7"/>
  <c r="O40" i="7"/>
  <c r="N31" i="7"/>
  <c r="N76" i="7"/>
  <c r="P68" i="7"/>
  <c r="P60" i="7"/>
  <c r="P80" i="7"/>
  <c r="O108" i="7"/>
  <c r="O96" i="7"/>
  <c r="O30" i="7"/>
  <c r="O78" i="7"/>
  <c r="P46" i="7"/>
  <c r="N68" i="7"/>
  <c r="N60" i="7"/>
  <c r="O80" i="7"/>
  <c r="O106" i="7"/>
  <c r="N46" i="7"/>
  <c r="P36" i="7"/>
  <c r="N66" i="7"/>
  <c r="P86" i="7"/>
  <c r="P105" i="7"/>
  <c r="P42" i="7"/>
  <c r="N40" i="7"/>
  <c r="P32" i="7"/>
  <c r="N30" i="7"/>
  <c r="P76" i="7"/>
  <c r="N74" i="7"/>
  <c r="P66" i="7"/>
  <c r="N64" i="7"/>
  <c r="P83" i="7"/>
  <c r="N81" i="7"/>
  <c r="O114" i="7"/>
  <c r="N108" i="7"/>
  <c r="O105" i="7"/>
  <c r="N99" i="7"/>
  <c r="O64" i="7"/>
  <c r="O81" i="7"/>
  <c r="N112" i="7"/>
  <c r="N102" i="7"/>
  <c r="O42" i="7"/>
  <c r="P38" i="7"/>
  <c r="O32" i="7"/>
  <c r="P29" i="7"/>
  <c r="O83" i="7"/>
  <c r="P107" i="7"/>
  <c r="P98" i="7"/>
  <c r="O74" i="7"/>
  <c r="P44" i="7"/>
  <c r="P35" i="7"/>
  <c r="P78" i="7"/>
  <c r="P69" i="7"/>
  <c r="P113" i="7"/>
  <c r="O107" i="7"/>
  <c r="P104" i="7"/>
  <c r="O98" i="7"/>
  <c r="O69" i="7"/>
  <c r="P110" i="7"/>
  <c r="P100" i="7"/>
  <c r="P13" i="7"/>
  <c r="P37" i="7"/>
  <c r="P28" i="7"/>
  <c r="P71" i="7"/>
  <c r="P62" i="7"/>
  <c r="P89" i="7"/>
  <c r="O110" i="7"/>
  <c r="P106" i="7"/>
  <c r="P96" i="7"/>
  <c r="O13" i="7"/>
  <c r="O37" i="7"/>
  <c r="O28" i="7"/>
  <c r="O71" i="7"/>
  <c r="O62" i="7"/>
  <c r="P112" i="7"/>
  <c r="P102" i="7"/>
  <c r="O117" i="7"/>
  <c r="P117" i="7"/>
  <c r="N116" i="7"/>
  <c r="P116" i="7"/>
  <c r="O87" i="7"/>
  <c r="N87" i="7"/>
  <c r="N47" i="7"/>
  <c r="O47" i="7"/>
  <c r="J800" i="7" l="1"/>
  <c r="G3" i="7" l="1" a="1"/>
  <c r="G3" i="7" s="1"/>
  <c r="J219" i="7"/>
  <c r="J220" i="7"/>
  <c r="J221" i="7"/>
  <c r="J186" i="7"/>
  <c r="J185" i="7"/>
  <c r="J184" i="7"/>
  <c r="J183" i="7"/>
  <c r="J182" i="7"/>
  <c r="J181" i="7"/>
  <c r="J180" i="7"/>
  <c r="J179" i="7"/>
  <c r="J178" i="7"/>
  <c r="J177" i="7"/>
  <c r="J176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94" i="7"/>
  <c r="J24" i="7"/>
  <c r="J798" i="7"/>
  <c r="J799" i="7"/>
  <c r="J803" i="7" l="1"/>
  <c r="O803" i="7" s="1"/>
  <c r="J802" i="7"/>
  <c r="O799" i="7"/>
  <c r="J797" i="7"/>
  <c r="P797" i="7" s="1"/>
  <c r="J793" i="7"/>
  <c r="O793" i="7" s="1"/>
  <c r="J792" i="7"/>
  <c r="O792" i="7" s="1"/>
  <c r="J791" i="7"/>
  <c r="O791" i="7" s="1"/>
  <c r="J790" i="7"/>
  <c r="O790" i="7" s="1"/>
  <c r="J789" i="7"/>
  <c r="N789" i="7" s="1"/>
  <c r="J788" i="7"/>
  <c r="P788" i="7" s="1"/>
  <c r="J787" i="7"/>
  <c r="O787" i="7" s="1"/>
  <c r="J786" i="7"/>
  <c r="P786" i="7" s="1"/>
  <c r="J785" i="7"/>
  <c r="N785" i="7" s="1"/>
  <c r="J784" i="7"/>
  <c r="O784" i="7" s="1"/>
  <c r="J783" i="7"/>
  <c r="J781" i="7"/>
  <c r="J780" i="7"/>
  <c r="J779" i="7"/>
  <c r="N779" i="7" s="1"/>
  <c r="J778" i="7"/>
  <c r="J777" i="7"/>
  <c r="O777" i="7" s="1"/>
  <c r="J776" i="7"/>
  <c r="P776" i="7" s="1"/>
  <c r="J775" i="7"/>
  <c r="N775" i="7" s="1"/>
  <c r="J760" i="7"/>
  <c r="P760" i="7" s="1"/>
  <c r="J758" i="7"/>
  <c r="P758" i="7" s="1"/>
  <c r="J757" i="7"/>
  <c r="J756" i="7"/>
  <c r="N756" i="7" s="1"/>
  <c r="J753" i="7"/>
  <c r="J751" i="7"/>
  <c r="O751" i="7" s="1"/>
  <c r="J747" i="7"/>
  <c r="O747" i="7" s="1"/>
  <c r="J746" i="7"/>
  <c r="N746" i="7" s="1"/>
  <c r="J745" i="7"/>
  <c r="O745" i="7" s="1"/>
  <c r="J744" i="7"/>
  <c r="P744" i="7" s="1"/>
  <c r="J743" i="7"/>
  <c r="O743" i="7" s="1"/>
  <c r="J742" i="7"/>
  <c r="O742" i="7" s="1"/>
  <c r="J741" i="7"/>
  <c r="J740" i="7"/>
  <c r="P740" i="7" s="1"/>
  <c r="J739" i="7"/>
  <c r="J738" i="7"/>
  <c r="J737" i="7"/>
  <c r="P737" i="7" s="1"/>
  <c r="J736" i="7"/>
  <c r="O736" i="7" s="1"/>
  <c r="J735" i="7"/>
  <c r="O735" i="7" s="1"/>
  <c r="J734" i="7"/>
  <c r="O729" i="7"/>
  <c r="N728" i="7"/>
  <c r="P727" i="7"/>
  <c r="N726" i="7"/>
  <c r="J725" i="7"/>
  <c r="P725" i="7" s="1"/>
  <c r="J724" i="7"/>
  <c r="J722" i="7"/>
  <c r="N722" i="7" s="1"/>
  <c r="J720" i="7"/>
  <c r="N720" i="7" s="1"/>
  <c r="J719" i="7"/>
  <c r="J718" i="7"/>
  <c r="J717" i="7"/>
  <c r="J716" i="7"/>
  <c r="O716" i="7" s="1"/>
  <c r="J715" i="7"/>
  <c r="O715" i="7" s="1"/>
  <c r="J714" i="7"/>
  <c r="P714" i="7" s="1"/>
  <c r="J713" i="7"/>
  <c r="J712" i="7"/>
  <c r="J711" i="7"/>
  <c r="P711" i="7" s="1"/>
  <c r="J707" i="7"/>
  <c r="P707" i="7" s="1"/>
  <c r="J706" i="7"/>
  <c r="J705" i="7"/>
  <c r="N705" i="7" s="1"/>
  <c r="J704" i="7"/>
  <c r="J703" i="7"/>
  <c r="O703" i="7" s="1"/>
  <c r="J702" i="7"/>
  <c r="P702" i="7" s="1"/>
  <c r="J701" i="7"/>
  <c r="N701" i="7" s="1"/>
  <c r="J700" i="7"/>
  <c r="O700" i="7" s="1"/>
  <c r="J695" i="7"/>
  <c r="N695" i="7" s="1"/>
  <c r="J694" i="7"/>
  <c r="J693" i="7"/>
  <c r="O693" i="7" s="1"/>
  <c r="J692" i="7"/>
  <c r="N692" i="7" s="1"/>
  <c r="J691" i="7"/>
  <c r="P691" i="7" s="1"/>
  <c r="J690" i="7"/>
  <c r="O690" i="7" s="1"/>
  <c r="J685" i="7"/>
  <c r="P685" i="7" s="1"/>
  <c r="J684" i="7"/>
  <c r="N684" i="7" s="1"/>
  <c r="J683" i="7"/>
  <c r="O683" i="7" s="1"/>
  <c r="J682" i="7"/>
  <c r="O682" i="7" s="1"/>
  <c r="J681" i="7"/>
  <c r="J680" i="7"/>
  <c r="O680" i="7" s="1"/>
  <c r="J679" i="7"/>
  <c r="N679" i="7" s="1"/>
  <c r="J675" i="7"/>
  <c r="O675" i="7" s="1"/>
  <c r="J674" i="7"/>
  <c r="O674" i="7" s="1"/>
  <c r="J673" i="7"/>
  <c r="J671" i="7"/>
  <c r="N671" i="7" s="1"/>
  <c r="J668" i="7"/>
  <c r="O668" i="7" s="1"/>
  <c r="J661" i="7"/>
  <c r="J660" i="7"/>
  <c r="J659" i="7"/>
  <c r="O659" i="7" s="1"/>
  <c r="J658" i="7"/>
  <c r="J657" i="7"/>
  <c r="P657" i="7" s="1"/>
  <c r="J656" i="7"/>
  <c r="O656" i="7" s="1"/>
  <c r="J655" i="7"/>
  <c r="O655" i="7" s="1"/>
  <c r="J654" i="7"/>
  <c r="P654" i="7" s="1"/>
  <c r="J653" i="7"/>
  <c r="P653" i="7" s="1"/>
  <c r="J639" i="7"/>
  <c r="O639" i="7" s="1"/>
  <c r="J638" i="7"/>
  <c r="J630" i="7"/>
  <c r="P630" i="7" s="1"/>
  <c r="J627" i="7"/>
  <c r="O627" i="7" s="1"/>
  <c r="J626" i="7"/>
  <c r="J621" i="7"/>
  <c r="P621" i="7" s="1"/>
  <c r="J620" i="7"/>
  <c r="J619" i="7"/>
  <c r="J613" i="7"/>
  <c r="J604" i="7"/>
  <c r="J602" i="7"/>
  <c r="P602" i="7" s="1"/>
  <c r="J601" i="7"/>
  <c r="P601" i="7" s="1"/>
  <c r="J598" i="7"/>
  <c r="J597" i="7"/>
  <c r="P597" i="7" s="1"/>
  <c r="J596" i="7"/>
  <c r="N596" i="7" s="1"/>
  <c r="J595" i="7"/>
  <c r="J594" i="7"/>
  <c r="O594" i="7" s="1"/>
  <c r="J593" i="7"/>
  <c r="P593" i="7" s="1"/>
  <c r="J592" i="7"/>
  <c r="J591" i="7"/>
  <c r="J590" i="7"/>
  <c r="J586" i="7"/>
  <c r="J585" i="7"/>
  <c r="N585" i="7" s="1"/>
  <c r="J581" i="7"/>
  <c r="N581" i="7" s="1"/>
  <c r="J580" i="7"/>
  <c r="J579" i="7"/>
  <c r="J578" i="7"/>
  <c r="O578" i="7" s="1"/>
  <c r="J577" i="7"/>
  <c r="J576" i="7"/>
  <c r="O572" i="7"/>
  <c r="P568" i="7"/>
  <c r="P566" i="7"/>
  <c r="N565" i="7"/>
  <c r="O557" i="7"/>
  <c r="N552" i="7"/>
  <c r="P546" i="7"/>
  <c r="N544" i="7"/>
  <c r="P542" i="7"/>
  <c r="N540" i="7"/>
  <c r="P539" i="7"/>
  <c r="P538" i="7"/>
  <c r="O537" i="7"/>
  <c r="P532" i="7"/>
  <c r="P530" i="7"/>
  <c r="O527" i="7"/>
  <c r="P526" i="7"/>
  <c r="P524" i="7"/>
  <c r="P520" i="7"/>
  <c r="P519" i="7"/>
  <c r="N518" i="7"/>
  <c r="P517" i="7"/>
  <c r="O516" i="7"/>
  <c r="P515" i="7"/>
  <c r="N514" i="7"/>
  <c r="N513" i="7"/>
  <c r="P511" i="7"/>
  <c r="O507" i="7"/>
  <c r="P505" i="7"/>
  <c r="O504" i="7"/>
  <c r="O493" i="7"/>
  <c r="O489" i="7"/>
  <c r="P488" i="7"/>
  <c r="N487" i="7"/>
  <c r="O485" i="7"/>
  <c r="P484" i="7"/>
  <c r="O483" i="7"/>
  <c r="P480" i="7"/>
  <c r="O477" i="7"/>
  <c r="O444" i="7"/>
  <c r="P443" i="7"/>
  <c r="O436" i="7"/>
  <c r="P434" i="7"/>
  <c r="O432" i="7"/>
  <c r="P431" i="7"/>
  <c r="O428" i="7"/>
  <c r="O426" i="7"/>
  <c r="O424" i="7"/>
  <c r="P423" i="7"/>
  <c r="O417" i="7"/>
  <c r="N415" i="7"/>
  <c r="O413" i="7"/>
  <c r="P412" i="7"/>
  <c r="N411" i="7"/>
  <c r="O405" i="7"/>
  <c r="O403" i="7"/>
  <c r="O401" i="7"/>
  <c r="P400" i="7"/>
  <c r="O397" i="7"/>
  <c r="P395" i="7"/>
  <c r="O387" i="7"/>
  <c r="P386" i="7"/>
  <c r="O383" i="7"/>
  <c r="O381" i="7"/>
  <c r="O390" i="7"/>
  <c r="P379" i="7"/>
  <c r="N374" i="7"/>
  <c r="O373" i="7"/>
  <c r="P372" i="7"/>
  <c r="N370" i="7"/>
  <c r="O367" i="7"/>
  <c r="O366" i="7"/>
  <c r="P365" i="7"/>
  <c r="O362" i="7"/>
  <c r="P360" i="7"/>
  <c r="O358" i="7"/>
  <c r="P357" i="7"/>
  <c r="O355" i="7"/>
  <c r="O352" i="7"/>
  <c r="O351" i="7"/>
  <c r="P350" i="7"/>
  <c r="O347" i="7"/>
  <c r="P300" i="7"/>
  <c r="O298" i="7"/>
  <c r="N297" i="7"/>
  <c r="N295" i="7"/>
  <c r="J291" i="7"/>
  <c r="P291" i="7" s="1"/>
  <c r="J290" i="7"/>
  <c r="J289" i="7"/>
  <c r="P289" i="7" s="1"/>
  <c r="J288" i="7"/>
  <c r="P288" i="7" s="1"/>
  <c r="J287" i="7"/>
  <c r="J283" i="7"/>
  <c r="J282" i="7"/>
  <c r="N282" i="7" s="1"/>
  <c r="J281" i="7"/>
  <c r="J280" i="7"/>
  <c r="O280" i="7" s="1"/>
  <c r="J279" i="7"/>
  <c r="N279" i="7" s="1"/>
  <c r="J278" i="7"/>
  <c r="J277" i="7"/>
  <c r="N277" i="7" s="1"/>
  <c r="J276" i="7"/>
  <c r="P276" i="7" s="1"/>
  <c r="J275" i="7"/>
  <c r="J274" i="7"/>
  <c r="J273" i="7"/>
  <c r="N273" i="7" s="1"/>
  <c r="J272" i="7"/>
  <c r="J271" i="7"/>
  <c r="O271" i="7" s="1"/>
  <c r="J267" i="7"/>
  <c r="O267" i="7" s="1"/>
  <c r="J263" i="7"/>
  <c r="J262" i="7"/>
  <c r="N262" i="7" s="1"/>
  <c r="J261" i="7"/>
  <c r="P261" i="7" s="1"/>
  <c r="J260" i="7"/>
  <c r="J259" i="7"/>
  <c r="O259" i="7" s="1"/>
  <c r="J258" i="7"/>
  <c r="N258" i="7" s="1"/>
  <c r="J257" i="7"/>
  <c r="J256" i="7"/>
  <c r="J255" i="7"/>
  <c r="N255" i="7" s="1"/>
  <c r="J254" i="7"/>
  <c r="J253" i="7"/>
  <c r="P253" i="7" s="1"/>
  <c r="J252" i="7"/>
  <c r="J251" i="7"/>
  <c r="N251" i="7" s="1"/>
  <c r="J250" i="7"/>
  <c r="J249" i="7"/>
  <c r="J248" i="7"/>
  <c r="O248" i="7" s="1"/>
  <c r="J247" i="7"/>
  <c r="O247" i="7" s="1"/>
  <c r="J246" i="7"/>
  <c r="J245" i="7"/>
  <c r="J244" i="7"/>
  <c r="O244" i="7" s="1"/>
  <c r="J243" i="7"/>
  <c r="J242" i="7"/>
  <c r="O242" i="7" s="1"/>
  <c r="J241" i="7"/>
  <c r="P241" i="7" s="1"/>
  <c r="J240" i="7"/>
  <c r="J239" i="7"/>
  <c r="J238" i="7"/>
  <c r="N238" i="7" s="1"/>
  <c r="J237" i="7"/>
  <c r="J236" i="7"/>
  <c r="J235" i="7"/>
  <c r="O235" i="7" s="1"/>
  <c r="J234" i="7"/>
  <c r="J233" i="7"/>
  <c r="J232" i="7"/>
  <c r="P232" i="7" s="1"/>
  <c r="J231" i="7"/>
  <c r="J230" i="7"/>
  <c r="O230" i="7" s="1"/>
  <c r="J229" i="7"/>
  <c r="P229" i="7" s="1"/>
  <c r="J228" i="7"/>
  <c r="J227" i="7"/>
  <c r="P227" i="7" s="1"/>
  <c r="J226" i="7"/>
  <c r="N226" i="7" s="1"/>
  <c r="J225" i="7"/>
  <c r="J224" i="7"/>
  <c r="N224" i="7" s="1"/>
  <c r="J223" i="7"/>
  <c r="P223" i="7" s="1"/>
  <c r="J222" i="7"/>
  <c r="P220" i="7"/>
  <c r="J218" i="7"/>
  <c r="O218" i="7" s="1"/>
  <c r="J217" i="7"/>
  <c r="J216" i="7"/>
  <c r="J215" i="7"/>
  <c r="P215" i="7" s="1"/>
  <c r="J214" i="7"/>
  <c r="P214" i="7" s="1"/>
  <c r="J213" i="7"/>
  <c r="J212" i="7"/>
  <c r="P212" i="7" s="1"/>
  <c r="J211" i="7"/>
  <c r="P211" i="7" s="1"/>
  <c r="J210" i="7"/>
  <c r="O210" i="7" s="1"/>
  <c r="J209" i="7"/>
  <c r="P209" i="7" s="1"/>
  <c r="J208" i="7"/>
  <c r="N208" i="7" s="1"/>
  <c r="J207" i="7"/>
  <c r="O207" i="7" s="1"/>
  <c r="J206" i="7"/>
  <c r="J205" i="7"/>
  <c r="P205" i="7" s="1"/>
  <c r="J204" i="7"/>
  <c r="O204" i="7" s="1"/>
  <c r="J203" i="7"/>
  <c r="J202" i="7"/>
  <c r="N202" i="7" s="1"/>
  <c r="J201" i="7"/>
  <c r="O201" i="7" s="1"/>
  <c r="J200" i="7"/>
  <c r="P200" i="7" s="1"/>
  <c r="J199" i="7"/>
  <c r="O199" i="7" s="1"/>
  <c r="J198" i="7"/>
  <c r="O198" i="7" s="1"/>
  <c r="J197" i="7"/>
  <c r="P197" i="7" s="1"/>
  <c r="J196" i="7"/>
  <c r="N196" i="7" s="1"/>
  <c r="J195" i="7"/>
  <c r="J194" i="7"/>
  <c r="O194" i="7" s="1"/>
  <c r="J193" i="7"/>
  <c r="P193" i="7" s="1"/>
  <c r="J192" i="7"/>
  <c r="P192" i="7" s="1"/>
  <c r="J191" i="7"/>
  <c r="N191" i="7" s="1"/>
  <c r="N186" i="7"/>
  <c r="O184" i="7"/>
  <c r="N183" i="7"/>
  <c r="O182" i="7"/>
  <c r="P181" i="7"/>
  <c r="P180" i="7"/>
  <c r="P179" i="7"/>
  <c r="P178" i="7"/>
  <c r="P177" i="7"/>
  <c r="P176" i="7"/>
  <c r="P174" i="7"/>
  <c r="P173" i="7"/>
  <c r="P172" i="7"/>
  <c r="P171" i="7"/>
  <c r="P170" i="7"/>
  <c r="P169" i="7"/>
  <c r="P168" i="7"/>
  <c r="P167" i="7"/>
  <c r="N166" i="7"/>
  <c r="P165" i="7"/>
  <c r="P164" i="7"/>
  <c r="P163" i="7"/>
  <c r="P162" i="7"/>
  <c r="P161" i="7"/>
  <c r="P160" i="7"/>
  <c r="P159" i="7"/>
  <c r="P158" i="7"/>
  <c r="P157" i="7"/>
  <c r="P156" i="7"/>
  <c r="J152" i="7"/>
  <c r="P152" i="7" s="1"/>
  <c r="J151" i="7"/>
  <c r="P151" i="7" s="1"/>
  <c r="J150" i="7"/>
  <c r="P150" i="7" s="1"/>
  <c r="J128" i="7"/>
  <c r="P128" i="7" s="1"/>
  <c r="P127" i="7"/>
  <c r="P124" i="7"/>
  <c r="J123" i="7"/>
  <c r="P123" i="7" s="1"/>
  <c r="J119" i="7"/>
  <c r="P119" i="7" s="1"/>
  <c r="J118" i="7"/>
  <c r="P118" i="7" s="1"/>
  <c r="J95" i="7"/>
  <c r="P95" i="7" s="1"/>
  <c r="P94" i="7"/>
  <c r="P88" i="7"/>
  <c r="J59" i="7"/>
  <c r="P59" i="7" s="1"/>
  <c r="J58" i="7"/>
  <c r="P58" i="7" s="1"/>
  <c r="J54" i="7"/>
  <c r="P54" i="7" s="1"/>
  <c r="J53" i="7"/>
  <c r="P53" i="7" s="1"/>
  <c r="J52" i="7"/>
  <c r="P52" i="7" s="1"/>
  <c r="P49" i="7"/>
  <c r="P48" i="7"/>
  <c r="J25" i="7"/>
  <c r="P25" i="7" s="1"/>
  <c r="P24" i="7"/>
  <c r="O24" i="7"/>
  <c r="N24" i="7"/>
  <c r="J20" i="7"/>
  <c r="P20" i="7" s="1"/>
  <c r="J19" i="7"/>
  <c r="J18" i="7"/>
  <c r="P18" i="7" s="1"/>
  <c r="P12" i="7"/>
  <c r="O54" i="7" l="1"/>
  <c r="N360" i="7"/>
  <c r="O360" i="7"/>
  <c r="P527" i="7"/>
  <c r="P705" i="7"/>
  <c r="N289" i="7"/>
  <c r="P183" i="7"/>
  <c r="O289" i="7"/>
  <c r="O224" i="7"/>
  <c r="N220" i="7"/>
  <c r="P224" i="7"/>
  <c r="O220" i="7"/>
  <c r="P366" i="7"/>
  <c r="P493" i="7"/>
  <c r="P244" i="7"/>
  <c r="O255" i="7"/>
  <c r="P282" i="7"/>
  <c r="P387" i="7"/>
  <c r="O789" i="7"/>
  <c r="O193" i="7"/>
  <c r="P585" i="7"/>
  <c r="O671" i="7"/>
  <c r="P255" i="7"/>
  <c r="N530" i="7"/>
  <c r="P671" i="7"/>
  <c r="O746" i="7"/>
  <c r="P186" i="7"/>
  <c r="P202" i="7"/>
  <c r="P226" i="7"/>
  <c r="N276" i="7"/>
  <c r="O530" i="7"/>
  <c r="O540" i="7"/>
  <c r="P746" i="7"/>
  <c r="N758" i="7"/>
  <c r="N193" i="7"/>
  <c r="N244" i="7"/>
  <c r="N542" i="7"/>
  <c r="O585" i="7"/>
  <c r="P594" i="7"/>
  <c r="P789" i="7"/>
  <c r="O431" i="7"/>
  <c r="O186" i="7"/>
  <c r="P242" i="7"/>
  <c r="N253" i="7"/>
  <c r="O276" i="7"/>
  <c r="P540" i="7"/>
  <c r="P639" i="7"/>
  <c r="O758" i="7"/>
  <c r="P259" i="7"/>
  <c r="N594" i="7"/>
  <c r="P700" i="7"/>
  <c r="P716" i="7"/>
  <c r="P444" i="7"/>
  <c r="O226" i="7"/>
  <c r="O183" i="7"/>
  <c r="P247" i="7"/>
  <c r="O253" i="7"/>
  <c r="O705" i="7"/>
  <c r="N753" i="7"/>
  <c r="P753" i="7"/>
  <c r="O753" i="7"/>
  <c r="N229" i="7"/>
  <c r="P236" i="7"/>
  <c r="O236" i="7"/>
  <c r="N236" i="7"/>
  <c r="P620" i="7"/>
  <c r="O620" i="7"/>
  <c r="N620" i="7"/>
  <c r="O229" i="7"/>
  <c r="P355" i="7"/>
  <c r="O369" i="7"/>
  <c r="P369" i="7"/>
  <c r="P660" i="7"/>
  <c r="O660" i="7"/>
  <c r="O739" i="7"/>
  <c r="P739" i="7"/>
  <c r="P217" i="7"/>
  <c r="O217" i="7"/>
  <c r="P424" i="7"/>
  <c r="O377" i="7"/>
  <c r="P377" i="7"/>
  <c r="O728" i="7"/>
  <c r="O533" i="7"/>
  <c r="P533" i="7"/>
  <c r="N12" i="7"/>
  <c r="O185" i="7"/>
  <c r="P185" i="7"/>
  <c r="N185" i="7"/>
  <c r="N211" i="7"/>
  <c r="P250" i="7"/>
  <c r="O250" i="7"/>
  <c r="N250" i="7"/>
  <c r="O400" i="7"/>
  <c r="N480" i="7"/>
  <c r="N702" i="7"/>
  <c r="N725" i="7"/>
  <c r="O12" i="7"/>
  <c r="O180" i="7"/>
  <c r="O488" i="7"/>
  <c r="P199" i="7"/>
  <c r="P381" i="7"/>
  <c r="N395" i="7"/>
  <c r="P682" i="7"/>
  <c r="O17" i="7"/>
  <c r="P17" i="7"/>
  <c r="P279" i="7"/>
  <c r="O279" i="7"/>
  <c r="N660" i="7"/>
  <c r="P728" i="7"/>
  <c r="N180" i="7"/>
  <c r="N199" i="7"/>
  <c r="N217" i="7"/>
  <c r="P413" i="7"/>
  <c r="P791" i="7"/>
  <c r="O211" i="7"/>
  <c r="N381" i="7"/>
  <c r="O480" i="7"/>
  <c r="P529" i="7"/>
  <c r="O529" i="7"/>
  <c r="P627" i="7"/>
  <c r="N682" i="7"/>
  <c r="O702" i="7"/>
  <c r="O725" i="7"/>
  <c r="P196" i="7"/>
  <c r="O196" i="7"/>
  <c r="O395" i="7"/>
  <c r="P720" i="7"/>
  <c r="O720" i="7"/>
  <c r="P743" i="7"/>
  <c r="P655" i="7"/>
  <c r="O679" i="7"/>
  <c r="N707" i="7"/>
  <c r="P679" i="7"/>
  <c r="O707" i="7"/>
  <c r="N259" i="7"/>
  <c r="P405" i="7"/>
  <c r="P507" i="7"/>
  <c r="N527" i="7"/>
  <c r="N639" i="7"/>
  <c r="P675" i="7"/>
  <c r="P735" i="7"/>
  <c r="N247" i="7"/>
  <c r="P298" i="7"/>
  <c r="O202" i="7"/>
  <c r="P271" i="7"/>
  <c r="O282" i="7"/>
  <c r="P351" i="7"/>
  <c r="P485" i="7"/>
  <c r="N539" i="7"/>
  <c r="O727" i="7"/>
  <c r="P742" i="7"/>
  <c r="O776" i="7"/>
  <c r="O191" i="7"/>
  <c r="P194" i="7"/>
  <c r="N205" i="7"/>
  <c r="P208" i="7"/>
  <c r="N212" i="7"/>
  <c r="N223" i="7"/>
  <c r="N232" i="7"/>
  <c r="P235" i="7"/>
  <c r="O238" i="7"/>
  <c r="P248" i="7"/>
  <c r="O258" i="7"/>
  <c r="N261" i="7"/>
  <c r="P267" i="7"/>
  <c r="O277" i="7"/>
  <c r="O288" i="7"/>
  <c r="N291" i="7"/>
  <c r="P297" i="7"/>
  <c r="P347" i="7"/>
  <c r="O386" i="7"/>
  <c r="N403" i="7"/>
  <c r="O412" i="7"/>
  <c r="N434" i="7"/>
  <c r="O443" i="7"/>
  <c r="O484" i="7"/>
  <c r="P489" i="7"/>
  <c r="P531" i="7"/>
  <c r="O531" i="7"/>
  <c r="N531" i="7"/>
  <c r="O552" i="7"/>
  <c r="N558" i="7"/>
  <c r="P558" i="7"/>
  <c r="N601" i="7"/>
  <c r="P680" i="7"/>
  <c r="P783" i="7"/>
  <c r="O783" i="7"/>
  <c r="P803" i="7"/>
  <c r="P638" i="7"/>
  <c r="O638" i="7"/>
  <c r="N638" i="7"/>
  <c r="N227" i="7"/>
  <c r="N241" i="7"/>
  <c r="P204" i="7"/>
  <c r="O214" i="7"/>
  <c r="O241" i="7"/>
  <c r="N248" i="7"/>
  <c r="O273" i="7"/>
  <c r="P656" i="7"/>
  <c r="P683" i="7"/>
  <c r="N736" i="7"/>
  <c r="P184" i="7"/>
  <c r="O208" i="7"/>
  <c r="N288" i="7"/>
  <c r="O786" i="7"/>
  <c r="N17" i="7"/>
  <c r="P191" i="7"/>
  <c r="O205" i="7"/>
  <c r="O212" i="7"/>
  <c r="O223" i="7"/>
  <c r="O232" i="7"/>
  <c r="P238" i="7"/>
  <c r="P258" i="7"/>
  <c r="O261" i="7"/>
  <c r="P277" i="7"/>
  <c r="O291" i="7"/>
  <c r="O365" i="7"/>
  <c r="P397" i="7"/>
  <c r="P403" i="7"/>
  <c r="P428" i="7"/>
  <c r="O434" i="7"/>
  <c r="N491" i="7"/>
  <c r="P491" i="7"/>
  <c r="O491" i="7"/>
  <c r="P552" i="7"/>
  <c r="O558" i="7"/>
  <c r="P578" i="7"/>
  <c r="P590" i="7"/>
  <c r="O590" i="7"/>
  <c r="N590" i="7"/>
  <c r="O601" i="7"/>
  <c r="O653" i="7"/>
  <c r="N747" i="7"/>
  <c r="P747" i="7"/>
  <c r="N783" i="7"/>
  <c r="P792" i="7"/>
  <c r="N214" i="7"/>
  <c r="O357" i="7"/>
  <c r="N367" i="7"/>
  <c r="O372" i="7"/>
  <c r="N426" i="7"/>
  <c r="P537" i="7"/>
  <c r="N201" i="7"/>
  <c r="N235" i="7"/>
  <c r="N267" i="7"/>
  <c r="P401" i="7"/>
  <c r="P432" i="7"/>
  <c r="O593" i="7"/>
  <c r="P693" i="7"/>
  <c r="N713" i="7"/>
  <c r="P713" i="7"/>
  <c r="O740" i="7"/>
  <c r="P201" i="7"/>
  <c r="P273" i="7"/>
  <c r="O297" i="7"/>
  <c r="P373" i="7"/>
  <c r="P736" i="7"/>
  <c r="P756" i="7"/>
  <c r="O756" i="7"/>
  <c r="N803" i="7"/>
  <c r="O545" i="7"/>
  <c r="P545" i="7"/>
  <c r="P704" i="7"/>
  <c r="O704" i="7"/>
  <c r="N704" i="7"/>
  <c r="O726" i="7"/>
  <c r="P726" i="7"/>
  <c r="P734" i="7"/>
  <c r="O734" i="7"/>
  <c r="N734" i="7"/>
  <c r="O481" i="7"/>
  <c r="P481" i="7"/>
  <c r="O673" i="7"/>
  <c r="P673" i="7"/>
  <c r="O778" i="7"/>
  <c r="P778" i="7"/>
  <c r="N18" i="7"/>
  <c r="N95" i="7"/>
  <c r="N184" i="7"/>
  <c r="P230" i="7"/>
  <c r="N300" i="7"/>
  <c r="P383" i="7"/>
  <c r="P436" i="7"/>
  <c r="P516" i="7"/>
  <c r="N593" i="7"/>
  <c r="N740" i="7"/>
  <c r="O18" i="7"/>
  <c r="O227" i="7"/>
  <c r="P280" i="7"/>
  <c r="O300" i="7"/>
  <c r="N352" i="7"/>
  <c r="P362" i="7"/>
  <c r="P367" i="7"/>
  <c r="P426" i="7"/>
  <c r="O511" i="7"/>
  <c r="N786" i="7"/>
  <c r="P218" i="7"/>
  <c r="P352" i="7"/>
  <c r="P358" i="7"/>
  <c r="P390" i="7"/>
  <c r="P417" i="7"/>
  <c r="P477" i="7"/>
  <c r="N484" i="7"/>
  <c r="P557" i="7"/>
  <c r="O694" i="7"/>
  <c r="P694" i="7"/>
  <c r="O713" i="7"/>
  <c r="P596" i="7"/>
  <c r="O596" i="7"/>
  <c r="P701" i="7"/>
  <c r="O701" i="7"/>
  <c r="O722" i="7"/>
  <c r="P722" i="7"/>
  <c r="O513" i="7"/>
  <c r="N526" i="7"/>
  <c r="N529" i="7"/>
  <c r="N566" i="7"/>
  <c r="P572" i="7"/>
  <c r="N602" i="7"/>
  <c r="P745" i="7"/>
  <c r="N507" i="7"/>
  <c r="P513" i="7"/>
  <c r="O518" i="7"/>
  <c r="O526" i="7"/>
  <c r="O539" i="7"/>
  <c r="O542" i="7"/>
  <c r="O566" i="7"/>
  <c r="O602" i="7"/>
  <c r="N627" i="7"/>
  <c r="N654" i="7"/>
  <c r="P668" i="7"/>
  <c r="P674" i="7"/>
  <c r="P690" i="7"/>
  <c r="O695" i="7"/>
  <c r="N714" i="7"/>
  <c r="O775" i="7"/>
  <c r="O779" i="7"/>
  <c r="N787" i="7"/>
  <c r="N791" i="7"/>
  <c r="N799" i="7"/>
  <c r="P483" i="7"/>
  <c r="P504" i="7"/>
  <c r="P518" i="7"/>
  <c r="P659" i="7"/>
  <c r="P695" i="7"/>
  <c r="O714" i="7"/>
  <c r="N739" i="7"/>
  <c r="N742" i="7"/>
  <c r="P775" i="7"/>
  <c r="P779" i="7"/>
  <c r="P787" i="7"/>
  <c r="P799" i="7"/>
  <c r="N20" i="7"/>
  <c r="O20" i="7"/>
  <c r="O123" i="7"/>
  <c r="O157" i="7"/>
  <c r="N162" i="7"/>
  <c r="O166" i="7"/>
  <c r="N171" i="7"/>
  <c r="O176" i="7"/>
  <c r="O209" i="7"/>
  <c r="P228" i="7"/>
  <c r="O228" i="7"/>
  <c r="N228" i="7"/>
  <c r="P233" i="7"/>
  <c r="O233" i="7"/>
  <c r="N233" i="7"/>
  <c r="P243" i="7"/>
  <c r="O243" i="7"/>
  <c r="N243" i="7"/>
  <c r="P415" i="7"/>
  <c r="O415" i="7"/>
  <c r="P576" i="7"/>
  <c r="O576" i="7"/>
  <c r="N576" i="7"/>
  <c r="P586" i="7"/>
  <c r="O586" i="7"/>
  <c r="N586" i="7"/>
  <c r="N630" i="7"/>
  <c r="O195" i="7"/>
  <c r="P195" i="7"/>
  <c r="P272" i="7"/>
  <c r="O272" i="7"/>
  <c r="N272" i="7"/>
  <c r="P553" i="7"/>
  <c r="O553" i="7"/>
  <c r="N553" i="7"/>
  <c r="N195" i="7"/>
  <c r="O706" i="7"/>
  <c r="P706" i="7"/>
  <c r="N706" i="7"/>
  <c r="O162" i="7"/>
  <c r="N123" i="7"/>
  <c r="N157" i="7"/>
  <c r="N176" i="7"/>
  <c r="N19" i="7"/>
  <c r="P19" i="7"/>
  <c r="O19" i="7"/>
  <c r="P166" i="7"/>
  <c r="P296" i="7"/>
  <c r="O296" i="7"/>
  <c r="N296" i="7"/>
  <c r="P353" i="7"/>
  <c r="O353" i="7"/>
  <c r="O630" i="7"/>
  <c r="P724" i="7"/>
  <c r="O724" i="7"/>
  <c r="N724" i="7"/>
  <c r="P800" i="7"/>
  <c r="O800" i="7"/>
  <c r="P427" i="7"/>
  <c r="O427" i="7"/>
  <c r="N53" i="7"/>
  <c r="O95" i="7"/>
  <c r="O171" i="7"/>
  <c r="P219" i="7"/>
  <c r="O219" i="7"/>
  <c r="N219" i="7"/>
  <c r="N301" i="7"/>
  <c r="O301" i="7"/>
  <c r="P301" i="7"/>
  <c r="P368" i="7"/>
  <c r="O368" i="7"/>
  <c r="N368" i="7"/>
  <c r="P16" i="7"/>
  <c r="O16" i="7"/>
  <c r="N16" i="7"/>
  <c r="N54" i="7"/>
  <c r="N151" i="7"/>
  <c r="N163" i="7"/>
  <c r="N172" i="7"/>
  <c r="N181" i="7"/>
  <c r="P206" i="7"/>
  <c r="O206" i="7"/>
  <c r="P239" i="7"/>
  <c r="O239" i="7"/>
  <c r="N274" i="7"/>
  <c r="P274" i="7"/>
  <c r="O274" i="7"/>
  <c r="P281" i="7"/>
  <c r="O281" i="7"/>
  <c r="N281" i="7"/>
  <c r="N127" i="7"/>
  <c r="O151" i="7"/>
  <c r="O172" i="7"/>
  <c r="N215" i="7"/>
  <c r="P378" i="7"/>
  <c r="O378" i="7"/>
  <c r="N427" i="7"/>
  <c r="O159" i="7"/>
  <c r="P356" i="7"/>
  <c r="O356" i="7"/>
  <c r="N378" i="7"/>
  <c r="P422" i="7"/>
  <c r="O422" i="7"/>
  <c r="P661" i="7"/>
  <c r="O661" i="7"/>
  <c r="N182" i="7"/>
  <c r="P221" i="7"/>
  <c r="O221" i="7"/>
  <c r="N221" i="7"/>
  <c r="N356" i="7"/>
  <c r="P384" i="7"/>
  <c r="O384" i="7"/>
  <c r="P567" i="7"/>
  <c r="O567" i="7"/>
  <c r="N567" i="7"/>
  <c r="N661" i="7"/>
  <c r="N49" i="7"/>
  <c r="N90" i="7"/>
  <c r="N128" i="7"/>
  <c r="N160" i="7"/>
  <c r="N169" i="7"/>
  <c r="N179" i="7"/>
  <c r="P182" i="7"/>
  <c r="P198" i="7"/>
  <c r="P231" i="7"/>
  <c r="O231" i="7"/>
  <c r="N231" i="7"/>
  <c r="O350" i="7"/>
  <c r="N379" i="7"/>
  <c r="N384" i="7"/>
  <c r="N399" i="7"/>
  <c r="P399" i="7"/>
  <c r="O399" i="7"/>
  <c r="P430" i="7"/>
  <c r="O430" i="7"/>
  <c r="P479" i="7"/>
  <c r="O479" i="7"/>
  <c r="O691" i="7"/>
  <c r="P252" i="7"/>
  <c r="O252" i="7"/>
  <c r="N252" i="7"/>
  <c r="P374" i="7"/>
  <c r="O374" i="7"/>
  <c r="O53" i="7"/>
  <c r="P382" i="7"/>
  <c r="O382" i="7"/>
  <c r="P348" i="7"/>
  <c r="O348" i="7"/>
  <c r="P404" i="7"/>
  <c r="N404" i="7"/>
  <c r="O404" i="7"/>
  <c r="N800" i="7"/>
  <c r="N48" i="7"/>
  <c r="N159" i="7"/>
  <c r="N168" i="7"/>
  <c r="N178" i="7"/>
  <c r="N239" i="7"/>
  <c r="O49" i="7"/>
  <c r="N59" i="7"/>
  <c r="O90" i="7"/>
  <c r="N119" i="7"/>
  <c r="O128" i="7"/>
  <c r="N156" i="7"/>
  <c r="O160" i="7"/>
  <c r="N165" i="7"/>
  <c r="O169" i="7"/>
  <c r="N174" i="7"/>
  <c r="O179" i="7"/>
  <c r="O203" i="7"/>
  <c r="N203" i="7"/>
  <c r="P203" i="7"/>
  <c r="P251" i="7"/>
  <c r="O251" i="7"/>
  <c r="N283" i="7"/>
  <c r="P283" i="7"/>
  <c r="O283" i="7"/>
  <c r="P299" i="7"/>
  <c r="O299" i="7"/>
  <c r="N299" i="7"/>
  <c r="O379" i="7"/>
  <c r="N423" i="7"/>
  <c r="N430" i="7"/>
  <c r="P442" i="7"/>
  <c r="O442" i="7"/>
  <c r="N442" i="7"/>
  <c r="N479" i="7"/>
  <c r="P506" i="7"/>
  <c r="O506" i="7"/>
  <c r="N506" i="7"/>
  <c r="O657" i="7"/>
  <c r="N657" i="7"/>
  <c r="N256" i="7"/>
  <c r="P256" i="7"/>
  <c r="O256" i="7"/>
  <c r="N209" i="7"/>
  <c r="P295" i="7"/>
  <c r="O295" i="7"/>
  <c r="O554" i="7"/>
  <c r="N554" i="7"/>
  <c r="P554" i="7"/>
  <c r="P613" i="7"/>
  <c r="O613" i="7"/>
  <c r="N613" i="7"/>
  <c r="P262" i="7"/>
  <c r="O262" i="7"/>
  <c r="O192" i="7"/>
  <c r="N192" i="7"/>
  <c r="N353" i="7"/>
  <c r="P263" i="7"/>
  <c r="O263" i="7"/>
  <c r="N263" i="7"/>
  <c r="N382" i="7"/>
  <c r="P717" i="7"/>
  <c r="O717" i="7"/>
  <c r="N717" i="7"/>
  <c r="N88" i="7"/>
  <c r="O163" i="7"/>
  <c r="O181" i="7"/>
  <c r="N206" i="7"/>
  <c r="N348" i="7"/>
  <c r="P579" i="7"/>
  <c r="O579" i="7"/>
  <c r="N579" i="7"/>
  <c r="O48" i="7"/>
  <c r="O88" i="7"/>
  <c r="O127" i="7"/>
  <c r="O168" i="7"/>
  <c r="O178" i="7"/>
  <c r="O215" i="7"/>
  <c r="P240" i="7"/>
  <c r="O240" i="7"/>
  <c r="N240" i="7"/>
  <c r="P245" i="7"/>
  <c r="O245" i="7"/>
  <c r="N245" i="7"/>
  <c r="P254" i="7"/>
  <c r="O254" i="7"/>
  <c r="N254" i="7"/>
  <c r="N198" i="7"/>
  <c r="P216" i="7"/>
  <c r="O216" i="7"/>
  <c r="N216" i="7"/>
  <c r="N350" i="7"/>
  <c r="N363" i="7"/>
  <c r="O363" i="7"/>
  <c r="P363" i="7"/>
  <c r="N422" i="7"/>
  <c r="N691" i="7"/>
  <c r="O59" i="7"/>
  <c r="O119" i="7"/>
  <c r="O156" i="7"/>
  <c r="O165" i="7"/>
  <c r="O174" i="7"/>
  <c r="O423" i="7"/>
  <c r="P487" i="7"/>
  <c r="O487" i="7"/>
  <c r="P514" i="7"/>
  <c r="O514" i="7"/>
  <c r="P492" i="7"/>
  <c r="O492" i="7"/>
  <c r="N492" i="7"/>
  <c r="P543" i="7"/>
  <c r="O543" i="7"/>
  <c r="N543" i="7"/>
  <c r="P598" i="7"/>
  <c r="O598" i="7"/>
  <c r="N598" i="7"/>
  <c r="P361" i="7"/>
  <c r="O361" i="7"/>
  <c r="N361" i="7"/>
  <c r="P396" i="7"/>
  <c r="O396" i="7"/>
  <c r="N396" i="7"/>
  <c r="P435" i="7"/>
  <c r="O435" i="7"/>
  <c r="N435" i="7"/>
  <c r="N727" i="7"/>
  <c r="P290" i="7"/>
  <c r="O290" i="7"/>
  <c r="N290" i="7"/>
  <c r="N200" i="7"/>
  <c r="N520" i="7"/>
  <c r="N546" i="7"/>
  <c r="N25" i="7"/>
  <c r="N52" i="7"/>
  <c r="N58" i="7"/>
  <c r="N94" i="7"/>
  <c r="N118" i="7"/>
  <c r="N124" i="7"/>
  <c r="N150" i="7"/>
  <c r="N152" i="7"/>
  <c r="N158" i="7"/>
  <c r="N161" i="7"/>
  <c r="N164" i="7"/>
  <c r="N167" i="7"/>
  <c r="N170" i="7"/>
  <c r="N173" i="7"/>
  <c r="N177" i="7"/>
  <c r="N197" i="7"/>
  <c r="O200" i="7"/>
  <c r="N210" i="7"/>
  <c r="P375" i="7"/>
  <c r="O375" i="7"/>
  <c r="N375" i="7"/>
  <c r="P416" i="7"/>
  <c r="O416" i="7"/>
  <c r="N416" i="7"/>
  <c r="P476" i="7"/>
  <c r="O476" i="7"/>
  <c r="N476" i="7"/>
  <c r="N515" i="7"/>
  <c r="O520" i="7"/>
  <c r="P541" i="7"/>
  <c r="O541" i="7"/>
  <c r="N541" i="7"/>
  <c r="O546" i="7"/>
  <c r="N784" i="7"/>
  <c r="N788" i="7"/>
  <c r="P237" i="7"/>
  <c r="O237" i="7"/>
  <c r="N237" i="7"/>
  <c r="P249" i="7"/>
  <c r="O249" i="7"/>
  <c r="N249" i="7"/>
  <c r="P260" i="7"/>
  <c r="O260" i="7"/>
  <c r="N260" i="7"/>
  <c r="P569" i="7"/>
  <c r="O569" i="7"/>
  <c r="N569" i="7"/>
  <c r="O712" i="7"/>
  <c r="P712" i="7"/>
  <c r="N712" i="7"/>
  <c r="O25" i="7"/>
  <c r="O52" i="7"/>
  <c r="O58" i="7"/>
  <c r="O94" i="7"/>
  <c r="O118" i="7"/>
  <c r="O124" i="7"/>
  <c r="O150" i="7"/>
  <c r="O152" i="7"/>
  <c r="O158" i="7"/>
  <c r="O161" i="7"/>
  <c r="O164" i="7"/>
  <c r="O167" i="7"/>
  <c r="O170" i="7"/>
  <c r="O173" i="7"/>
  <c r="O177" i="7"/>
  <c r="N194" i="7"/>
  <c r="O197" i="7"/>
  <c r="N207" i="7"/>
  <c r="P210" i="7"/>
  <c r="N218" i="7"/>
  <c r="P222" i="7"/>
  <c r="O222" i="7"/>
  <c r="N222" i="7"/>
  <c r="N230" i="7"/>
  <c r="P234" i="7"/>
  <c r="O234" i="7"/>
  <c r="N234" i="7"/>
  <c r="N242" i="7"/>
  <c r="P246" i="7"/>
  <c r="O246" i="7"/>
  <c r="N246" i="7"/>
  <c r="P257" i="7"/>
  <c r="O257" i="7"/>
  <c r="N257" i="7"/>
  <c r="N271" i="7"/>
  <c r="P275" i="7"/>
  <c r="O275" i="7"/>
  <c r="N275" i="7"/>
  <c r="N280" i="7"/>
  <c r="P287" i="7"/>
  <c r="O287" i="7"/>
  <c r="N287" i="7"/>
  <c r="N298" i="7"/>
  <c r="O515" i="7"/>
  <c r="N537" i="7"/>
  <c r="P555" i="7"/>
  <c r="O555" i="7"/>
  <c r="N555" i="7"/>
  <c r="N572" i="7"/>
  <c r="P580" i="7"/>
  <c r="O580" i="7"/>
  <c r="N580" i="7"/>
  <c r="P591" i="7"/>
  <c r="O591" i="7"/>
  <c r="N591" i="7"/>
  <c r="N673" i="7"/>
  <c r="N744" i="7"/>
  <c r="P784" i="7"/>
  <c r="O788" i="7"/>
  <c r="N793" i="7"/>
  <c r="P213" i="7"/>
  <c r="O213" i="7"/>
  <c r="N213" i="7"/>
  <c r="P225" i="7"/>
  <c r="O225" i="7"/>
  <c r="N225" i="7"/>
  <c r="P278" i="7"/>
  <c r="O278" i="7"/>
  <c r="N278" i="7"/>
  <c r="P692" i="7"/>
  <c r="O692" i="7"/>
  <c r="N204" i="7"/>
  <c r="P207" i="7"/>
  <c r="N365" i="7"/>
  <c r="P370" i="7"/>
  <c r="O370" i="7"/>
  <c r="N400" i="7"/>
  <c r="P411" i="7"/>
  <c r="O411" i="7"/>
  <c r="N443" i="7"/>
  <c r="N511" i="7"/>
  <c r="P525" i="7"/>
  <c r="O525" i="7"/>
  <c r="N525" i="7"/>
  <c r="P550" i="7"/>
  <c r="O550" i="7"/>
  <c r="N550" i="7"/>
  <c r="P565" i="7"/>
  <c r="O565" i="7"/>
  <c r="P581" i="7"/>
  <c r="O581" i="7"/>
  <c r="P684" i="7"/>
  <c r="O684" i="7"/>
  <c r="O744" i="7"/>
  <c r="P785" i="7"/>
  <c r="O785" i="7"/>
  <c r="P793" i="7"/>
  <c r="P512" i="7"/>
  <c r="O512" i="7"/>
  <c r="P528" i="7"/>
  <c r="O528" i="7"/>
  <c r="P551" i="7"/>
  <c r="O551" i="7"/>
  <c r="P658" i="7"/>
  <c r="O658" i="7"/>
  <c r="N658" i="7"/>
  <c r="O780" i="7"/>
  <c r="P780" i="7"/>
  <c r="P798" i="7"/>
  <c r="O798" i="7"/>
  <c r="N798" i="7"/>
  <c r="N512" i="7"/>
  <c r="N524" i="7"/>
  <c r="N528" i="7"/>
  <c r="N551" i="7"/>
  <c r="N568" i="7"/>
  <c r="N597" i="7"/>
  <c r="P604" i="7"/>
  <c r="O604" i="7"/>
  <c r="N604" i="7"/>
  <c r="N621" i="7"/>
  <c r="P637" i="7"/>
  <c r="O637" i="7"/>
  <c r="N637" i="7"/>
  <c r="O718" i="7"/>
  <c r="P718" i="7"/>
  <c r="P738" i="7"/>
  <c r="O738" i="7"/>
  <c r="N738" i="7"/>
  <c r="N780" i="7"/>
  <c r="N483" i="7"/>
  <c r="N504" i="7"/>
  <c r="N517" i="7"/>
  <c r="O524" i="7"/>
  <c r="N533" i="7"/>
  <c r="N557" i="7"/>
  <c r="O568" i="7"/>
  <c r="O597" i="7"/>
  <c r="O621" i="7"/>
  <c r="P681" i="7"/>
  <c r="O681" i="7"/>
  <c r="N694" i="7"/>
  <c r="N718" i="7"/>
  <c r="N743" i="7"/>
  <c r="N357" i="7"/>
  <c r="N372" i="7"/>
  <c r="N386" i="7"/>
  <c r="N412" i="7"/>
  <c r="N431" i="7"/>
  <c r="N488" i="7"/>
  <c r="O517" i="7"/>
  <c r="P544" i="7"/>
  <c r="O544" i="7"/>
  <c r="O654" i="7"/>
  <c r="N681" i="7"/>
  <c r="O757" i="7"/>
  <c r="P757" i="7"/>
  <c r="N757" i="7"/>
  <c r="N776" i="7"/>
  <c r="P563" i="7"/>
  <c r="O563" i="7"/>
  <c r="N563" i="7"/>
  <c r="P577" i="7"/>
  <c r="O577" i="7"/>
  <c r="N577" i="7"/>
  <c r="P595" i="7"/>
  <c r="O595" i="7"/>
  <c r="N595" i="7"/>
  <c r="P626" i="7"/>
  <c r="O626" i="7"/>
  <c r="N626" i="7"/>
  <c r="P741" i="7"/>
  <c r="O741" i="7"/>
  <c r="P802" i="7"/>
  <c r="O802" i="7"/>
  <c r="N505" i="7"/>
  <c r="N519" i="7"/>
  <c r="N538" i="7"/>
  <c r="N685" i="7"/>
  <c r="N711" i="7"/>
  <c r="P719" i="7"/>
  <c r="O719" i="7"/>
  <c r="N719" i="7"/>
  <c r="N729" i="7"/>
  <c r="N737" i="7"/>
  <c r="N741" i="7"/>
  <c r="N760" i="7"/>
  <c r="P781" i="7"/>
  <c r="O781" i="7"/>
  <c r="N781" i="7"/>
  <c r="N790" i="7"/>
  <c r="N797" i="7"/>
  <c r="N802" i="7"/>
  <c r="N347" i="7"/>
  <c r="N351" i="7"/>
  <c r="N355" i="7"/>
  <c r="N358" i="7"/>
  <c r="N362" i="7"/>
  <c r="N366" i="7"/>
  <c r="N369" i="7"/>
  <c r="N373" i="7"/>
  <c r="N377" i="7"/>
  <c r="N390" i="7"/>
  <c r="N383" i="7"/>
  <c r="N387" i="7"/>
  <c r="N397" i="7"/>
  <c r="N401" i="7"/>
  <c r="N405" i="7"/>
  <c r="N413" i="7"/>
  <c r="N417" i="7"/>
  <c r="N424" i="7"/>
  <c r="N428" i="7"/>
  <c r="N432" i="7"/>
  <c r="N436" i="7"/>
  <c r="N444" i="7"/>
  <c r="N477" i="7"/>
  <c r="N481" i="7"/>
  <c r="N485" i="7"/>
  <c r="N489" i="7"/>
  <c r="N493" i="7"/>
  <c r="O505" i="7"/>
  <c r="N516" i="7"/>
  <c r="O519" i="7"/>
  <c r="N532" i="7"/>
  <c r="O538" i="7"/>
  <c r="N545" i="7"/>
  <c r="N578" i="7"/>
  <c r="N655" i="7"/>
  <c r="N675" i="7"/>
  <c r="O685" i="7"/>
  <c r="O711" i="7"/>
  <c r="N715" i="7"/>
  <c r="P729" i="7"/>
  <c r="O737" i="7"/>
  <c r="O760" i="7"/>
  <c r="N777" i="7"/>
  <c r="P790" i="7"/>
  <c r="O797" i="7"/>
  <c r="O532" i="7"/>
  <c r="P556" i="7"/>
  <c r="O556" i="7"/>
  <c r="N556" i="7"/>
  <c r="P571" i="7"/>
  <c r="O571" i="7"/>
  <c r="N571" i="7"/>
  <c r="P592" i="7"/>
  <c r="O592" i="7"/>
  <c r="N592" i="7"/>
  <c r="P619" i="7"/>
  <c r="O619" i="7"/>
  <c r="N619" i="7"/>
  <c r="P715" i="7"/>
  <c r="P777" i="7"/>
  <c r="N653" i="7"/>
  <c r="N656" i="7"/>
  <c r="N659" i="7"/>
  <c r="N668" i="7"/>
  <c r="N674" i="7"/>
  <c r="N680" i="7"/>
  <c r="N683" i="7"/>
  <c r="N690" i="7"/>
  <c r="N693" i="7"/>
  <c r="N700" i="7"/>
  <c r="N703" i="7"/>
  <c r="N716" i="7"/>
  <c r="N735" i="7"/>
  <c r="N751" i="7"/>
  <c r="N778" i="7"/>
  <c r="N792" i="7"/>
  <c r="P703" i="7"/>
  <c r="N745" i="7"/>
  <c r="P751" i="7"/>
  <c r="P11" i="7" l="1"/>
  <c r="P642" i="7" s="1"/>
  <c r="P804" i="7"/>
  <c r="P808" i="7" l="1"/>
  <c r="P1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<sst xmlns="http://schemas.openxmlformats.org/spreadsheetml/2006/main" count="10263" uniqueCount="615">
  <si>
    <t xml:space="preserve">Hook-up Mechanical and Fluids
</t>
  </si>
  <si>
    <t>TOTAL</t>
  </si>
  <si>
    <t>Supplier</t>
  </si>
  <si>
    <t>Tool</t>
  </si>
  <si>
    <t>Rev 0</t>
  </si>
  <si>
    <t>Move in date</t>
  </si>
  <si>
    <t>Rev 1</t>
  </si>
  <si>
    <t>Progetto</t>
  </si>
  <si>
    <t>Rev 2</t>
  </si>
  <si>
    <t>Tipo attrezzatura</t>
  </si>
  <si>
    <t>Rev 3</t>
  </si>
  <si>
    <t>Area</t>
  </si>
  <si>
    <t>Version 1.6 - Dec 2024</t>
  </si>
  <si>
    <t>N°</t>
  </si>
  <si>
    <t>CODE</t>
  </si>
  <si>
    <t>FACILITIES</t>
  </si>
  <si>
    <t>MATERIALS</t>
  </si>
  <si>
    <t>BRAND</t>
  </si>
  <si>
    <t>CHARACTERISTICS</t>
  </si>
  <si>
    <t>DIAMETER</t>
  </si>
  <si>
    <t>Quantity ST</t>
  </si>
  <si>
    <t>Quantity Supplier</t>
  </si>
  <si>
    <t>unit</t>
  </si>
  <si>
    <t>Unit Price materials (€)</t>
  </si>
  <si>
    <t xml:space="preserve"> Unit Price manpower (€)</t>
  </si>
  <si>
    <t>Total Price Material</t>
  </si>
  <si>
    <t>Total Price Manpower</t>
  </si>
  <si>
    <t>Total</t>
  </si>
  <si>
    <t>VACUUM</t>
  </si>
  <si>
    <t xml:space="preserve">PV  </t>
  </si>
  <si>
    <t>GASEOUS FLUIDS</t>
  </si>
  <si>
    <t>PPH</t>
  </si>
  <si>
    <t>PN10/PN16</t>
  </si>
  <si>
    <t>DN20 to DN40</t>
  </si>
  <si>
    <t xml:space="preserve">m </t>
  </si>
  <si>
    <t>Ball valve</t>
  </si>
  <si>
    <t>DN20 to DN25</t>
  </si>
  <si>
    <t xml:space="preserve">unit </t>
  </si>
  <si>
    <t>DN32 to DN40</t>
  </si>
  <si>
    <t xml:space="preserve">Regulator  </t>
  </si>
  <si>
    <t>Tube</t>
  </si>
  <si>
    <t>PFA</t>
  </si>
  <si>
    <t>450HP</t>
  </si>
  <si>
    <t>1/4'' to 3/4''</t>
  </si>
  <si>
    <t>Test</t>
  </si>
  <si>
    <t>GASES</t>
  </si>
  <si>
    <t>BULK GASES</t>
  </si>
  <si>
    <t>BULK GASES (N2uhp / Aruhp /Heuhp / O2uhp)</t>
  </si>
  <si>
    <t>316L EP</t>
  </si>
  <si>
    <t>316L-  seamless- EP-    Ra ≤ 0.25- um - AOD/VAR</t>
  </si>
  <si>
    <t>1/4'' to 3/8"</t>
  </si>
  <si>
    <t>m</t>
  </si>
  <si>
    <t>Elbows</t>
  </si>
  <si>
    <t>Valve</t>
  </si>
  <si>
    <t>Regulator + Manometer</t>
  </si>
  <si>
    <t>1''</t>
  </si>
  <si>
    <t>Test and certification (Pressure,moisture,Particles)</t>
  </si>
  <si>
    <t>unit/m</t>
  </si>
  <si>
    <t>CDA/O2S</t>
  </si>
  <si>
    <t>CDA/O2-Scr</t>
  </si>
  <si>
    <t>304L</t>
  </si>
  <si>
    <t>304L-  seamless    Ra ≤ 0.8</t>
  </si>
  <si>
    <t>various</t>
  </si>
  <si>
    <t>Test and certification (Pressure,moisture,Particles,leak for gas lines)</t>
  </si>
  <si>
    <t>SN2</t>
  </si>
  <si>
    <t>316L</t>
  </si>
  <si>
    <t>316L-  seamless    Ra ≤ 0.8</t>
  </si>
  <si>
    <t>Gas Single Envel.</t>
  </si>
  <si>
    <t>316L-  seamless- EP-    Ra ≤ 0.25um - AOD/VAR</t>
  </si>
  <si>
    <t>Gas Stick</t>
  </si>
  <si>
    <t>Bulkhead</t>
  </si>
  <si>
    <t>Gas Double Envel.</t>
  </si>
  <si>
    <t xml:space="preserve">316L EP </t>
  </si>
  <si>
    <t>1/4'' X 1/2''…..</t>
  </si>
  <si>
    <t>Fittings</t>
  </si>
  <si>
    <t>Tee purge + purge valve</t>
  </si>
  <si>
    <t>3/8'' X 5/8''….</t>
  </si>
  <si>
    <t>1/2'' X 3/4''…..</t>
  </si>
  <si>
    <t>3/4'' X 1''….</t>
  </si>
  <si>
    <t>Tee purge + purge valve + manometer</t>
  </si>
  <si>
    <t>Pressure indicator for coaxial leakage control</t>
  </si>
  <si>
    <t xml:space="preserve">316L-  seamless- EP-    Ra ≤ 0.25um - </t>
  </si>
  <si>
    <t>WATER</t>
  </si>
  <si>
    <t>PCW</t>
  </si>
  <si>
    <t>LIQUID FLUIDS</t>
  </si>
  <si>
    <t>Tube (tees,curves, reductions,….….)</t>
  </si>
  <si>
    <t>304L - rolled welded</t>
  </si>
  <si>
    <t xml:space="preserve">1/2"- DN15 </t>
  </si>
  <si>
    <t>Isolation Valve</t>
  </si>
  <si>
    <t>304L spherical</t>
  </si>
  <si>
    <t>Balancing Valve</t>
  </si>
  <si>
    <t>Regulator</t>
  </si>
  <si>
    <t>Digital flowmeter</t>
  </si>
  <si>
    <t xml:space="preserve">Analog flowmeter </t>
  </si>
  <si>
    <t>3/4'' -DN20</t>
  </si>
  <si>
    <t xml:space="preserve"> 1'' - DN 25</t>
  </si>
  <si>
    <t>1"1/4  - DN32</t>
  </si>
  <si>
    <t>1"1/2'- DN40</t>
  </si>
  <si>
    <t>2" DN50</t>
  </si>
  <si>
    <t>2"1/2 '- DN63</t>
  </si>
  <si>
    <t>3"-  DN80</t>
  </si>
  <si>
    <t>4" - DN100</t>
  </si>
  <si>
    <t>Push on rubber flexible hose</t>
  </si>
  <si>
    <t>rubber</t>
  </si>
  <si>
    <t>PN16</t>
  </si>
  <si>
    <t>1/2"</t>
  </si>
  <si>
    <t>3/4"</t>
  </si>
  <si>
    <t>Push on SS braided flexible hose</t>
  </si>
  <si>
    <t>rubber + SS ext.</t>
  </si>
  <si>
    <t>Push on connector</t>
  </si>
  <si>
    <t>Test and certification (Pressure)</t>
  </si>
  <si>
    <t>PSW</t>
  </si>
  <si>
    <t>1/2"to 1"</t>
  </si>
  <si>
    <t xml:space="preserve">INOX  </t>
  </si>
  <si>
    <t>Twisted SS ext.</t>
  </si>
  <si>
    <t>CH4  TPU</t>
  </si>
  <si>
    <t xml:space="preserve"> - ext : SS304L - rolled / welded
 - Int : SS304L - rolled / welded</t>
  </si>
  <si>
    <t>1/2'' TO 3/4''</t>
  </si>
  <si>
    <t>3/4'' TO 1''</t>
  </si>
  <si>
    <t>UPW/DIW</t>
  </si>
  <si>
    <t>PVDF HP</t>
  </si>
  <si>
    <t>PVDF HP - PN 16</t>
  </si>
  <si>
    <t>DN15 to 25</t>
  </si>
  <si>
    <t>PVDF HP - PN 16 - Diaphragm</t>
  </si>
  <si>
    <t>GF+(V582)</t>
  </si>
  <si>
    <t>Flaretek</t>
  </si>
  <si>
    <t>DN15/DN15</t>
  </si>
  <si>
    <t>DN20/DN15</t>
  </si>
  <si>
    <t>FPM White</t>
  </si>
  <si>
    <t>DN32 to 40</t>
  </si>
  <si>
    <t>ABOVE 40</t>
  </si>
  <si>
    <t>KALREZ 6375 UP</t>
  </si>
  <si>
    <t>1/4'' to 1/2''</t>
  </si>
  <si>
    <t>3/4'' to 1''</t>
  </si>
  <si>
    <t>VDM</t>
  </si>
  <si>
    <t>DN40/50</t>
  </si>
  <si>
    <t>DN80</t>
  </si>
  <si>
    <t>DN100</t>
  </si>
  <si>
    <t>DN160</t>
  </si>
  <si>
    <t>DN16</t>
  </si>
  <si>
    <t>DN25</t>
  </si>
  <si>
    <t>DN40 to DN50</t>
  </si>
  <si>
    <t>Above DN50</t>
  </si>
  <si>
    <t>100 to 160</t>
  </si>
  <si>
    <t xml:space="preserve">DN40 </t>
  </si>
  <si>
    <t>DN50</t>
  </si>
  <si>
    <t>DN25/DN100/DN160</t>
  </si>
  <si>
    <t>EXHAUST</t>
  </si>
  <si>
    <t>Jacob</t>
  </si>
  <si>
    <t>DN40 to DN80</t>
  </si>
  <si>
    <t>aisi 304</t>
  </si>
  <si>
    <t>aisi 316</t>
  </si>
  <si>
    <t>AGRU,GF+</t>
  </si>
  <si>
    <t>PVDF ventilation</t>
  </si>
  <si>
    <t>Magnehelic</t>
  </si>
  <si>
    <t>DN50 TO75</t>
  </si>
  <si>
    <t>DN100 TO150</t>
  </si>
  <si>
    <t>DRAINS</t>
  </si>
  <si>
    <t>DRAINS Sulfuric</t>
  </si>
  <si>
    <t>PFA + Transparent PVC</t>
  </si>
  <si>
    <t>PFA 450 HP + Transparent PVC</t>
  </si>
  <si>
    <t>DN25 or Less</t>
  </si>
  <si>
    <t>PFA 450 HP</t>
  </si>
  <si>
    <t>DN32 to DN50</t>
  </si>
  <si>
    <t>DN63 TO DN80</t>
  </si>
  <si>
    <t>DRAINS BASES</t>
  </si>
  <si>
    <t>PPH  - IR welded</t>
  </si>
  <si>
    <t>DN 32 to DN50</t>
  </si>
  <si>
    <t>DN 65 to DN80</t>
  </si>
  <si>
    <t>DRAINS HF</t>
  </si>
  <si>
    <t xml:space="preserve">PVDF </t>
  </si>
  <si>
    <t>PVDF PN16 IR welded</t>
  </si>
  <si>
    <t>DRAINS Solvent</t>
  </si>
  <si>
    <t xml:space="preserve"> SS304L-  rolled / welded mech. polish</t>
  </si>
  <si>
    <t>DRAINS Chemicals containming</t>
  </si>
  <si>
    <t>PPH or SS304L MIX DEPENDENT</t>
  </si>
  <si>
    <t>PPH  - IR welded - SS304L-  rolled / welded mech. polish</t>
  </si>
  <si>
    <t>CHEMICALS</t>
  </si>
  <si>
    <t xml:space="preserve">CHEMICALS  </t>
  </si>
  <si>
    <t>PVC + PFA</t>
  </si>
  <si>
    <t>Tube for SLURRY</t>
  </si>
  <si>
    <t>PVC (ext)  + 2  x PFA 450 HP (int)</t>
  </si>
  <si>
    <t>Tube for SOLVENT,EKC,IPA</t>
  </si>
  <si>
    <t>AISI 304L+PFA</t>
  </si>
  <si>
    <t>304L (ext)  + PFA 450 HP (int)</t>
  </si>
  <si>
    <t>Tube for Photosensitive</t>
  </si>
  <si>
    <t>Grey PVC-C +PFA</t>
  </si>
  <si>
    <t>PVC (ext)  + PFA 450 HP (int)</t>
  </si>
  <si>
    <t>CLEANROOM</t>
  </si>
  <si>
    <t xml:space="preserve">CLEANROOM  </t>
  </si>
  <si>
    <t>Blind tile in ALU 600x600, top cover in PVC</t>
  </si>
  <si>
    <t>Aluminium</t>
  </si>
  <si>
    <t>die-cast aluminum with reinforcement ribs</t>
  </si>
  <si>
    <t>Perforated tile in ALU 600x600, top cover in PVC</t>
  </si>
  <si>
    <t>Grid tile in ALU 600x600, top cover in PVC</t>
  </si>
  <si>
    <t>Blind/Perforated tile 600x600 with inspection window</t>
  </si>
  <si>
    <t>Cleanroom wall (Supply and installation)</t>
  </si>
  <si>
    <t>Cleanroom wall (Rework existing - Only manpower)</t>
  </si>
  <si>
    <t>GENERAL</t>
  </si>
  <si>
    <t>OTHER GENERAL</t>
  </si>
  <si>
    <t>Pedestal</t>
  </si>
  <si>
    <t>Steel plate</t>
  </si>
  <si>
    <t>unistrut/ Wurth</t>
  </si>
  <si>
    <t>Hot deep Galvanized steel</t>
  </si>
  <si>
    <t>Stainless Steel</t>
  </si>
  <si>
    <t>Facilities Panels (Only structure)</t>
  </si>
  <si>
    <t>aisi</t>
  </si>
  <si>
    <t>Gas box (complete of valves and fittings)</t>
  </si>
  <si>
    <t>AISI</t>
  </si>
  <si>
    <t>Cable tray for mechanical and electrical lines</t>
  </si>
  <si>
    <t>Hot deep Galvanized steel  (epoxy painted in Cleanroom)</t>
  </si>
  <si>
    <t>WIDTH 50 to 100</t>
  </si>
  <si>
    <t>WIDTH 150 to 200</t>
  </si>
  <si>
    <t>WIDTH 250 or above</t>
  </si>
  <si>
    <t>Infills</t>
  </si>
  <si>
    <t>factory mutual</t>
  </si>
  <si>
    <t>m2</t>
  </si>
  <si>
    <t>Facilities Protections</t>
  </si>
  <si>
    <t>Cable trays or similar</t>
  </si>
  <si>
    <t>Coibentation</t>
  </si>
  <si>
    <t>trocellen class M1</t>
  </si>
  <si>
    <t>LIM - Valves</t>
  </si>
  <si>
    <t>Cables/tubes laying support</t>
  </si>
  <si>
    <t>manpower</t>
  </si>
  <si>
    <t>hours</t>
  </si>
  <si>
    <t>Rilsan tube</t>
  </si>
  <si>
    <t>Heat tracing for specialty gases</t>
  </si>
  <si>
    <t>Cables + Cooibentation</t>
  </si>
  <si>
    <t>Control box for Specialty gases Heat tracing</t>
  </si>
  <si>
    <t>Gas detection,VMB,GAS Stick, PNEUMATIC VALVES  interconnections</t>
  </si>
  <si>
    <t>Termometer</t>
  </si>
  <si>
    <t>Labels (all facilites, tool, subequipment, electrical)</t>
  </si>
  <si>
    <t>Documentation (DM37 or local law requirements))</t>
  </si>
  <si>
    <t>Indirect costs (Project Management, other…...)</t>
  </si>
  <si>
    <t>TOTAL Mechanical and fluids</t>
  </si>
  <si>
    <t>Technical specification details on HOOK-UP STANDARD BOOK or Fab Documentsd</t>
  </si>
  <si>
    <t>Important information</t>
  </si>
  <si>
    <t>The cable lengths and calculation results in the PID and the calculation note are estimates to be confirmed by the installer on site.</t>
  </si>
  <si>
    <t>OTHER</t>
  </si>
  <si>
    <t>POWER</t>
  </si>
  <si>
    <t>CABLES</t>
  </si>
  <si>
    <t xml:space="preserve">Power Cable </t>
  </si>
  <si>
    <t>FG16M16 (CPR Compliant)</t>
  </si>
  <si>
    <t>FG16OM16 1X240mm2</t>
  </si>
  <si>
    <t>FG16OM16 1X185mm2</t>
  </si>
  <si>
    <t>FG16OM16 1X150mm2</t>
  </si>
  <si>
    <t>FG16OM16 1X120mm2</t>
  </si>
  <si>
    <t>FG16OM16 1X95mm2</t>
  </si>
  <si>
    <t>FG16OM16 1X70mm2</t>
  </si>
  <si>
    <t>FG16OM16 1X50mm2</t>
  </si>
  <si>
    <t>FG16OM16 1X35mm2</t>
  </si>
  <si>
    <t>FG16OM16 1X25mm2</t>
  </si>
  <si>
    <t>FG16OM16 2X2,5</t>
  </si>
  <si>
    <t>FG16OM16 2X6</t>
  </si>
  <si>
    <t>FG16OM16 2X16</t>
  </si>
  <si>
    <t>FG16OM16 2X25</t>
  </si>
  <si>
    <t>FG16OM16 2X35</t>
  </si>
  <si>
    <t>FG16OM16 3G1,5mm2</t>
  </si>
  <si>
    <t>FG16OM16 3G2,5mm2</t>
  </si>
  <si>
    <t>FG16OM16 3G4mm2</t>
  </si>
  <si>
    <t>FG16OM16 3G6mm2</t>
  </si>
  <si>
    <t>FG16OM16 3g10mm2</t>
  </si>
  <si>
    <t>FG16OM16 3g16mm2</t>
  </si>
  <si>
    <t>FG16OM16 3g25mm2</t>
  </si>
  <si>
    <t>FG16OM16 4G1,5mm2</t>
  </si>
  <si>
    <t>FG16OM16 4G2,5mm2</t>
  </si>
  <si>
    <t>FG16OM16 4G4mm2</t>
  </si>
  <si>
    <t>FG16OM16 4G6mm2</t>
  </si>
  <si>
    <t>FG16OM16 4G10mm2</t>
  </si>
  <si>
    <t>FG16OM16 4G16mm2</t>
  </si>
  <si>
    <t>FG16OM16 4G25mm2</t>
  </si>
  <si>
    <t>FG16OM16 5G1,5mm2</t>
  </si>
  <si>
    <t>FG16OM16 5G2,5mm2</t>
  </si>
  <si>
    <t>FG16OM16 5G4mm2</t>
  </si>
  <si>
    <t>FG16OM16 5G6mm2</t>
  </si>
  <si>
    <t>FG16OM16 5G10mm2</t>
  </si>
  <si>
    <t>FG16OM16 5G16mm2</t>
  </si>
  <si>
    <t>FG16OM16 5G25mm2</t>
  </si>
  <si>
    <t>Ground Cable</t>
  </si>
  <si>
    <t>FG17GVB (CPR Compliant)</t>
  </si>
  <si>
    <t>FG17-GVB 1X240mm2</t>
  </si>
  <si>
    <t>FG17-GVB 1X185mm2</t>
  </si>
  <si>
    <t>FG17-GVB 1X150mm2</t>
  </si>
  <si>
    <t>FG17-GVB 1X120mm2</t>
  </si>
  <si>
    <t>FG17-GVB 1X95mm2</t>
  </si>
  <si>
    <t>FG17-GVB 1X70mm2</t>
  </si>
  <si>
    <t>FG17-GVB 1X50mm2</t>
  </si>
  <si>
    <t>FG17-GVB 1X35mm2</t>
  </si>
  <si>
    <t>FG17-GVB 1X25mm2</t>
  </si>
  <si>
    <t>Shielderd Cable</t>
  </si>
  <si>
    <t>FROR16</t>
  </si>
  <si>
    <t>FROR 2X1mm2 sch</t>
  </si>
  <si>
    <t>Signal cable Type RJ45</t>
  </si>
  <si>
    <t>TRANSFORMER</t>
  </si>
  <si>
    <t>SOCKET</t>
  </si>
  <si>
    <t>Interlocked socket + Plug</t>
  </si>
  <si>
    <t>IP44</t>
  </si>
  <si>
    <t>2P+T 16A</t>
  </si>
  <si>
    <t>2P+T 32A</t>
  </si>
  <si>
    <t>3P+T 16A</t>
  </si>
  <si>
    <t>3P+T 32A</t>
  </si>
  <si>
    <t>3P+N+T 16A</t>
  </si>
  <si>
    <t>3P+N+T 32A</t>
  </si>
  <si>
    <t>other</t>
  </si>
  <si>
    <t>Service plug</t>
  </si>
  <si>
    <t>Universal plug</t>
  </si>
  <si>
    <t>2P+T 10/16 A + SHUKO</t>
  </si>
  <si>
    <t xml:space="preserve">EMERGENCY STOP </t>
  </si>
  <si>
    <t>Schneider</t>
  </si>
  <si>
    <t>XB4BS9445 + ZBZ1604</t>
  </si>
  <si>
    <t>LED indicator light white</t>
  </si>
  <si>
    <t>Ø22 - white - 230V</t>
  </si>
  <si>
    <t>XB4-BVM1</t>
  </si>
  <si>
    <t>LED indicator light red</t>
  </si>
  <si>
    <t>Ø22 - red - 230V</t>
  </si>
  <si>
    <t>XB4-BVM4</t>
  </si>
  <si>
    <t>Socket IP44</t>
  </si>
  <si>
    <t>LEGRAND</t>
  </si>
  <si>
    <t>other SOCKET PANEL</t>
  </si>
  <si>
    <t xml:space="preserve"> LEGRAND </t>
  </si>
  <si>
    <t xml:space="preserve">2  PRISES 2P+ T </t>
  </si>
  <si>
    <t>curva C/D</t>
  </si>
  <si>
    <t>4X80A to 4X125A</t>
  </si>
  <si>
    <t>Modular Switchboard</t>
  </si>
  <si>
    <t>IP54/IP55/IP56/IP65 KAEDRA</t>
  </si>
  <si>
    <t>4 modules</t>
  </si>
  <si>
    <t>8 modules</t>
  </si>
  <si>
    <t>12 modules</t>
  </si>
  <si>
    <t>24 modules</t>
  </si>
  <si>
    <t>36 modules</t>
  </si>
  <si>
    <t xml:space="preserve">Electrical Box </t>
  </si>
  <si>
    <t>IP54/IP55/IP56/IP65</t>
  </si>
  <si>
    <t>Electrical Cabinet (BOX)</t>
  </si>
  <si>
    <t>1200x250x2000 or similar</t>
  </si>
  <si>
    <t>BUSSBAR/JUNCTION BOX</t>
  </si>
  <si>
    <t>Electrical Busbarr cassette/Junction box</t>
  </si>
  <si>
    <t>3T+N 25A</t>
  </si>
  <si>
    <t>3T+N 32A</t>
  </si>
  <si>
    <t>3T+N 40A</t>
  </si>
  <si>
    <t>3T+N 63A</t>
  </si>
  <si>
    <t>3T+N 125A</t>
  </si>
  <si>
    <t>3T+N 250A</t>
  </si>
  <si>
    <t>3T+N 400A</t>
  </si>
  <si>
    <t>3T+N 630A</t>
  </si>
  <si>
    <t>Industrial Fuses</t>
  </si>
  <si>
    <t>FLEXIBLE  INOX SHEAT</t>
  </si>
  <si>
    <t>D15 to D50</t>
  </si>
  <si>
    <t>TUBE SHEAT</t>
  </si>
  <si>
    <t>D20 to D40</t>
  </si>
  <si>
    <t>Manpower (8-17) to support cable installation</t>
  </si>
  <si>
    <t>Hours</t>
  </si>
  <si>
    <t>Test and certificatons</t>
  </si>
  <si>
    <t>Electrical project</t>
  </si>
  <si>
    <t>Documentation (DM37)</t>
  </si>
  <si>
    <t>TOTAL Electric</t>
  </si>
  <si>
    <t>SAFETY COSTS</t>
  </si>
  <si>
    <t>Euro</t>
  </si>
  <si>
    <t>TOTAL Safety costs</t>
  </si>
  <si>
    <t>Other</t>
  </si>
  <si>
    <t>CLINAME</t>
  </si>
  <si>
    <t>DATETIME</t>
  </si>
  <si>
    <t>DONEBY</t>
  </si>
  <si>
    <t>IPADDRESS</t>
  </si>
  <si>
    <t>APPVER</t>
  </si>
  <si>
    <t>RANDOM</t>
  </si>
  <si>
    <t>CHECKSUM</t>
  </si>
  <si>
    <t>౞౷ౌ౵౪౼౼౲౯౲౮౭</t>
  </si>
  <si>
    <t>఻స఺ిస఻హ఺ు఩఩఺హృహాొౖ఩ఱ౐ౖౝఴ఺ృహల</t>
  </si>
  <si>
    <t>౜ౝ౥ౌ౱౪౻౵ಂ఩౫౾౻౰౪౾౭</t>
  </si>
  <si>
    <t>ౌ౛ౘౌౠౕ఺హూాా</t>
  </si>
  <si>
    <t>ిషహషహషహ</t>
  </si>
  <si>
    <t>ాహ఼఺</t>
  </si>
  <si>
    <t>ᑤᑥᐱᑣᑶᒄᒅᒃᑺᑴᒅᑶᑵ</t>
  </si>
  <si>
    <t>ᑄᑀᑂᑀᑃᑁᑂᑉᐱᐱᑂᑄᑋᑂᑅᑡᑞᐱᐹᑘᑞᑥᐼᑂᑋᑁᐺ</t>
  </si>
  <si>
    <t>ᑤᑥᑭᑣᑶᑾᒊᐱᑾᑶᒃᑽᒀᒋ</t>
  </si>
  <si>
    <t>ᑔᑣᑠᑔᑨᑝᑊᑆᑉᑄ</t>
  </si>
  <si>
    <t>ᑇᐿᑁᐿᑁᐿᑁ</t>
  </si>
  <si>
    <t>ᑅᑈᑂᑃ</t>
  </si>
  <si>
    <t>࡚ࡳࡈࡱࡦࡸࡸ࡮࡫࡮ࡪࡩ</t>
  </si>
  <si>
    <t>࠻࠴࠷࠷࠴࠷࠵࠷࠶ࠥࠥ࠾࠿࠷࠼ࠥ࠭ࡌࡒ࡙࠰࠷࠿࠵࠮</t>
  </si>
  <si>
    <t>ࡠࡘ࡙ࠥࡗࡪࡸࡹࡷ࡮ࡨࡹࡪࡩࡢࠥࡃࠥࡆࡎࡕࠥ࡭ࡦࡳࡩࡴࡻࡪࡷ</t>
  </si>
  <si>
    <t>ࡆࡌࡗࡈ࡜ࡑ࠾࠶࠷࠸</t>
  </si>
  <si>
    <t>࠼࠳࠶࠳࠵࠳࠵</t>
  </si>
  <si>
    <t>࠺࠽࠵࠶</t>
  </si>
  <si>
    <t>Tube  (tee,reduction,cups,…..)</t>
  </si>
  <si>
    <t>Flexible tube</t>
  </si>
  <si>
    <t>Tee</t>
  </si>
  <si>
    <t>tee</t>
  </si>
  <si>
    <t xml:space="preserve">1/4'' </t>
  </si>
  <si>
    <t>3/8"</t>
  </si>
  <si>
    <t>3/4''</t>
  </si>
  <si>
    <t>DN32</t>
  </si>
  <si>
    <t>DN40</t>
  </si>
  <si>
    <t>Seamless, Mechanical Polish (max 1,5 m)</t>
  </si>
  <si>
    <t>FPM-Viton T&lt;=140° , KALREZ 6375 UP T&gt;140°C</t>
  </si>
  <si>
    <t>ISO4 Approved,FM4910 Certified, max ext temp 50°C</t>
  </si>
  <si>
    <t>KALREZ 9500</t>
  </si>
  <si>
    <t>FPM Viton</t>
  </si>
  <si>
    <t>Halar /Teflon coating FM App</t>
  </si>
  <si>
    <t>DN200</t>
  </si>
  <si>
    <t>DN250</t>
  </si>
  <si>
    <t>DN300</t>
  </si>
  <si>
    <t>Helically Corrugated PTFE</t>
  </si>
  <si>
    <t>Corroflon PTFE</t>
  </si>
  <si>
    <t>Bocchettoni</t>
  </si>
  <si>
    <t>PVC (ext)  + PFA 450 HP (int) - 950 HP for HCL and HNO3</t>
  </si>
  <si>
    <t>Tube for ACID, BASES</t>
  </si>
  <si>
    <t>ANTISTATIC</t>
  </si>
  <si>
    <t>Interconnection flexible Lines to Machine (LIM) - tube</t>
  </si>
  <si>
    <t xml:space="preserve"> NON ANTISTATIC</t>
  </si>
  <si>
    <t>Interconnection flexible Lines to Machine (LIM) - tube (For etch Tool)</t>
  </si>
  <si>
    <t>Supports for pumps or Subequipment</t>
  </si>
  <si>
    <t>FG16OM16 1X16mm2</t>
  </si>
  <si>
    <t>FG16OM16 1X10mm2</t>
  </si>
  <si>
    <t>FG16OM16 1X6mm2</t>
  </si>
  <si>
    <t>FG16OM16 1X4mm2</t>
  </si>
  <si>
    <t>FG16OM16 1X2,5mm2</t>
  </si>
  <si>
    <t>FG16OM16 1X1,5mm2</t>
  </si>
  <si>
    <t>FG16OM16 2X1,5</t>
  </si>
  <si>
    <t>FG16OM16 2X4</t>
  </si>
  <si>
    <t>FG16OM16 2X10</t>
  </si>
  <si>
    <t>FG16OM16 2X50</t>
  </si>
  <si>
    <t>FG16OM16 2X70</t>
  </si>
  <si>
    <t>FG16OM16 2X120</t>
  </si>
  <si>
    <t>FG16OM16 3G35m2</t>
  </si>
  <si>
    <t>FG16OM16 3g50mm2</t>
  </si>
  <si>
    <t>FG16OM16 3g70mm2</t>
  </si>
  <si>
    <t>FG16OM16 3g120mm2</t>
  </si>
  <si>
    <t>FG16OM16 4G35mm2</t>
  </si>
  <si>
    <t>FG16OM16 4G70mm2</t>
  </si>
  <si>
    <t>FG16OM16 4G120mm2</t>
  </si>
  <si>
    <t>FG16OM16 5G35mm2</t>
  </si>
  <si>
    <t>FG16OM16 5G70mm2</t>
  </si>
  <si>
    <t>FG16OM16 5G120mm2</t>
  </si>
  <si>
    <t>25KVA to 35 KVA</t>
  </si>
  <si>
    <t>35KVa to 60 KVA</t>
  </si>
  <si>
    <t>75 KVA to 90 KVA</t>
  </si>
  <si>
    <t>100KVa to 120 KVA</t>
  </si>
  <si>
    <t>150 Kva 170 KVA</t>
  </si>
  <si>
    <t>&gt;170 KVA</t>
  </si>
  <si>
    <t>See components</t>
  </si>
  <si>
    <t>as for EE Project</t>
  </si>
  <si>
    <t>Digital Flowmeter</t>
  </si>
  <si>
    <t>LIM - Quick Connector</t>
  </si>
  <si>
    <t>Various  size</t>
  </si>
  <si>
    <t>Section</t>
  </si>
  <si>
    <t>Subsection</t>
  </si>
  <si>
    <t>1/4"</t>
  </si>
  <si>
    <t>Streas</t>
  </si>
  <si>
    <t>Shielderd Cable (other)</t>
  </si>
  <si>
    <t>&lt;25KVA</t>
  </si>
  <si>
    <t>Thermal control unit + Probes</t>
  </si>
  <si>
    <t xml:space="preserve"> Transformer &gt;150KVA</t>
  </si>
  <si>
    <t>aisi 304L roll welded</t>
  </si>
  <si>
    <t>Sump Pump + tank</t>
  </si>
  <si>
    <t>&lt;2X16A</t>
  </si>
  <si>
    <t>&lt;3X16A</t>
  </si>
  <si>
    <t>4X16A to 4X32A</t>
  </si>
  <si>
    <t>4X50A to 4X63A</t>
  </si>
  <si>
    <t>Thermal Magnetic trip unit</t>
  </si>
  <si>
    <t>VIGI module</t>
  </si>
  <si>
    <t>Accessories (auxiliary contacts)</t>
  </si>
  <si>
    <t>MICROLOGIC  trip unit</t>
  </si>
  <si>
    <t>3X100 to 3x250   (25kA-50kA)</t>
  </si>
  <si>
    <t>3X100 to 3x250   (70kA-100kA)</t>
  </si>
  <si>
    <t>3X400 to 3x630   (25kA-50kA)</t>
  </si>
  <si>
    <t>3X400 to 3x630  (70kA-100kA)</t>
  </si>
  <si>
    <t>4X100 to 4x250   (25kA-50kA)</t>
  </si>
  <si>
    <t>4X100 to 4x250   (70kA-100kA)</t>
  </si>
  <si>
    <t>4X400 to 4x630   (25kA-50kA)</t>
  </si>
  <si>
    <t>4X400 to 4x630  (70kA-100kA)</t>
  </si>
  <si>
    <t xml:space="preserve">from 63 to 125A </t>
  </si>
  <si>
    <t xml:space="preserve">from 160 to 250A </t>
  </si>
  <si>
    <r>
      <t>Specilaty Gas Single envelope (INERTS)</t>
    </r>
    <r>
      <rPr>
        <sz val="18"/>
        <color theme="1"/>
        <rFont val="Calibri"/>
        <family val="2"/>
      </rPr>
      <t xml:space="preserve"> ArXeNe,CO2,HeN2,KrNe,Xe,C4F8,ArHe,C2F6,CF4,CHF3,CO2,N2O,O2He,SF6,H2N2-3%,O2N2</t>
    </r>
  </si>
  <si>
    <r>
      <t xml:space="preserve">Specilaty Gas Double envelope (Toxic,Flamm,Corrosive) 
</t>
    </r>
    <r>
      <rPr>
        <sz val="18"/>
        <color theme="1"/>
        <rFont val="Calibri"/>
        <family val="2"/>
      </rPr>
      <t>4%B2H6/H2,CH4/Ar10%,CH3F,CO,PH3,SiH4,C4F6,CH2F2,DCS,TMS,He/N2,NF3,CH4,NO,O3,H2,SiH2Cl2,NH3,N2H2,He/H2-5%,,TEOS,TCS,C2H2,DCE-TRANSLC,TEB,TDMAT,F2KrNe,Cl2,HBr,HCl,BF3,SiF4,TEPO,HCD,SO2,BCl3,HF,N2O,5%B2H6/N2,F2ArNe,BCl3,WF6,SiCl4</t>
    </r>
  </si>
  <si>
    <t>Drip Panel</t>
  </si>
  <si>
    <t>Takiron/PPH</t>
  </si>
  <si>
    <t>Gas stick hazardous gases with multivalve purge</t>
  </si>
  <si>
    <t>Transformer</t>
  </si>
  <si>
    <t>BREAKERS</t>
  </si>
  <si>
    <t>2X16A to 2X32A</t>
  </si>
  <si>
    <t>&gt;2X32A</t>
  </si>
  <si>
    <t>3X16A to 3X25A</t>
  </si>
  <si>
    <t>3X32A to 3X50A</t>
  </si>
  <si>
    <t>3X80A to 3X125A</t>
  </si>
  <si>
    <t>Electrical box complete as for Electrical Project</t>
  </si>
  <si>
    <t>Differential Magnetothermic BREAKER</t>
  </si>
  <si>
    <t>Magnetothermic BREAKER</t>
  </si>
  <si>
    <t>MOLDED CASE CIRCUIT BREAKER</t>
  </si>
  <si>
    <t>Structures (for electrical cabinets, sockets, boxes...)</t>
  </si>
  <si>
    <t>Hot deep Galvanized steel Epoxy painted</t>
  </si>
  <si>
    <t>Hot deep Galvanized steel Epoxy Painted</t>
  </si>
  <si>
    <t>Mechanical lines Supports (cda,bulk,pcw,foreline,exac, cable trays)</t>
  </si>
  <si>
    <t>Elbow</t>
  </si>
  <si>
    <t>Flowmeter</t>
  </si>
  <si>
    <t xml:space="preserve">1/2'' </t>
  </si>
  <si>
    <t>1"</t>
  </si>
  <si>
    <t>Pneumatich valve</t>
  </si>
  <si>
    <t>Test and certification</t>
  </si>
  <si>
    <t>Bocchettone</t>
  </si>
  <si>
    <t>Signet Transmitter +GF+</t>
  </si>
  <si>
    <t>Flowsensor/flowswitch/Temperatur +GF+</t>
  </si>
  <si>
    <t>Check valve</t>
  </si>
  <si>
    <t>3 way diaphragm  Valve</t>
  </si>
  <si>
    <t>Joints</t>
  </si>
  <si>
    <t>Calibrated orifice</t>
  </si>
  <si>
    <t>Flange+center ring+clamp</t>
  </si>
  <si>
    <t>Valve spherical</t>
  </si>
  <si>
    <t>Sperichal</t>
  </si>
  <si>
    <t>Pumps - EXAC Tube</t>
  </si>
  <si>
    <t>Pumps - EXAC Valve</t>
  </si>
  <si>
    <t>Pumps - EXAC Elbow</t>
  </si>
  <si>
    <t>Pumps - EXAC -flange+center ring+clamp</t>
  </si>
  <si>
    <t>Dead Leg</t>
  </si>
  <si>
    <t>Test inboard leak test</t>
  </si>
  <si>
    <t>Heat tracing FORELINE/EXHAUST</t>
  </si>
  <si>
    <t>Gaskets</t>
  </si>
  <si>
    <t xml:space="preserve">Kalrez gaskets </t>
  </si>
  <si>
    <t xml:space="preserve">Flange </t>
  </si>
  <si>
    <t>Bellows</t>
  </si>
  <si>
    <t>Pumps - EXAC Bellows</t>
  </si>
  <si>
    <t>Double Gasket Flange</t>
  </si>
  <si>
    <t>Heating Control Box</t>
  </si>
  <si>
    <t xml:space="preserve">Acid Exhaust HALAR COATING (Highly corrosive T&gt;80C) </t>
  </si>
  <si>
    <t>Dampers</t>
  </si>
  <si>
    <t xml:space="preserve">Acid/Heat/Maintenance/EXHAUST (Low corrosive T&lt;80C) </t>
  </si>
  <si>
    <t xml:space="preserve">Acid/Ammonia/EXHAUST  (Highly corrosive T&lt;80C) </t>
  </si>
  <si>
    <t>Solvent/Acid/EXHAUST (Gasket in PTFE for solvent) Low corrosive (T&gt;80C)</t>
  </si>
  <si>
    <t>H2S04 (Sulfuric)</t>
  </si>
  <si>
    <t>Test and Certifications</t>
  </si>
  <si>
    <t>Bases (NH4OH,H2O2)   -  Diluted Acid (T&lt; 60°C), Reclaim, Slurry Copper -  Back Grinding</t>
  </si>
  <si>
    <t>HF Concentrated - Mix Concentrated Acid - Nitric  (T&lt; 100°C) - Diluted Acid  (60°C &lt;T &lt;100°C) - Nickel Palladium T&lt;100°C</t>
  </si>
  <si>
    <t>Solvent    (General solvent, Corrosive Solvent, Photo &amp; resist,Polimyde</t>
  </si>
  <si>
    <t>SS304L</t>
  </si>
  <si>
    <t>Chemicals containming TMAH (TMA,OPD,SP27,ESC) - Gasket in PTFE</t>
  </si>
  <si>
    <t>PVC (ext)  +  2 x PFA 450 HP (int)</t>
  </si>
  <si>
    <t>Flareteck</t>
  </si>
  <si>
    <t>DN20/DN25</t>
  </si>
  <si>
    <t>Exhaust flexible pipe</t>
  </si>
  <si>
    <t>ABC Flex / Masterflex</t>
  </si>
  <si>
    <t>Pneumatic pump</t>
  </si>
  <si>
    <t>1/2" (internal)</t>
  </si>
  <si>
    <t>3/4" (internal)</t>
  </si>
  <si>
    <t>Seismic brackets for tool</t>
  </si>
  <si>
    <t>REV</t>
  </si>
  <si>
    <t>Drip panel for sub equipment</t>
  </si>
  <si>
    <t>AISI 304</t>
  </si>
  <si>
    <t>Other structures (mezzanino…)</t>
  </si>
  <si>
    <t>DN20-DN50</t>
  </si>
  <si>
    <t>DN80-DN100</t>
  </si>
  <si>
    <t>Note</t>
  </si>
  <si>
    <t>Il tubo fornito misura 6 m</t>
  </si>
  <si>
    <t>Elbow 90° - per 45° chiedere offerta</t>
  </si>
  <si>
    <t>Straight tees - Per reduced tees chiedere offerta</t>
  </si>
  <si>
    <t>Solo tee purge</t>
  </si>
  <si>
    <t>ERV-50S-1.5-P7-3P-MV4-MV4 VAR</t>
  </si>
  <si>
    <t>ERV-100S-3-P10-3P-MV6-MV6  (NON VAR)</t>
  </si>
  <si>
    <t>ERV-210S-3-P10-3P-MV8-P-MV8 VAR</t>
  </si>
  <si>
    <t>ERV-210S-3-P10-3P-MV12-MV12 VAR</t>
  </si>
  <si>
    <t>ERV-910S-8-P10-2P-MV16-MV16R10  (NON VAR)</t>
  </si>
  <si>
    <r>
      <t>Specialty Gas Single envelope (INERTS)</t>
    </r>
    <r>
      <rPr>
        <sz val="18"/>
        <color theme="1"/>
        <rFont val="Calibri"/>
        <family val="2"/>
      </rPr>
      <t xml:space="preserve"> ArXeNe,CO2,HeN2,KrNe,Xe,C4F8,ArHe,C2F6,CF4,CHF3,CO2,N2O,O2He,SF6,H2N2-3%,O2N2</t>
    </r>
  </si>
  <si>
    <t>EVZS4R-BV - MAX Pressure and cv:  tbd</t>
  </si>
  <si>
    <t>EVZS8R-BV -  MAX Pressure and cv:  tbd</t>
  </si>
  <si>
    <t>UHD-32SV-M-MV12-MV12 -  MAX Pressure and cv:  tbd</t>
  </si>
  <si>
    <t>UHD-32SV-M-MV6-MV6 - MAX Pressure and cv:  tbd</t>
  </si>
  <si>
    <t>TBD</t>
  </si>
  <si>
    <t>3/8" X 5/8" ….</t>
  </si>
  <si>
    <t>1/2" X 3/4" ….</t>
  </si>
  <si>
    <t>3/4" X 1" ….</t>
  </si>
  <si>
    <t>H-800S-SS-L-1/4</t>
  </si>
  <si>
    <t>H-800M-SS-L-3/8</t>
  </si>
  <si>
    <t>H-800KL-SS-L-1/2</t>
  </si>
  <si>
    <t>H-500-SS-L-1</t>
  </si>
  <si>
    <t>H-800S-SS-L-1/4-H-800M-SS-L-3/8</t>
  </si>
  <si>
    <t>H-800SSL3/4IPS</t>
  </si>
  <si>
    <t>Family</t>
  </si>
  <si>
    <t>SKIP</t>
  </si>
  <si>
    <t>PP-TUBE</t>
  </si>
  <si>
    <t>ELB-PP</t>
  </si>
  <si>
    <t>TEE-PP</t>
  </si>
  <si>
    <t>VAL-PP</t>
  </si>
  <si>
    <t>REG-PP</t>
  </si>
  <si>
    <t>BOC-PP; MISC-PP; RED-PP</t>
  </si>
  <si>
    <t>PFA-TUBE</t>
  </si>
  <si>
    <t>FIT</t>
  </si>
  <si>
    <t>VAL</t>
  </si>
  <si>
    <t>REG;MAN</t>
  </si>
  <si>
    <t>STK</t>
  </si>
  <si>
    <t>COAX-ELB</t>
  </si>
  <si>
    <t>Tube  (tee,reduction,cups,)</t>
  </si>
  <si>
    <t>1/4'' X 1/2''</t>
  </si>
  <si>
    <t>1/2'' X 3/4''</t>
  </si>
  <si>
    <t>Indirect costs (Project Management, other.)</t>
  </si>
  <si>
    <t>TUBE-ULT</t>
  </si>
  <si>
    <t>ELB-ULT</t>
  </si>
  <si>
    <t>TEE-ULT</t>
  </si>
  <si>
    <t>TUBE-TCC</t>
  </si>
  <si>
    <t>ELB-TCC</t>
  </si>
  <si>
    <t>TEE-TTC</t>
  </si>
  <si>
    <t>COAX-TUBE</t>
  </si>
  <si>
    <t>COAX-SLV;COAX-TERM</t>
  </si>
  <si>
    <t>COAX-TEE</t>
  </si>
  <si>
    <t>PVDF-TUBE</t>
  </si>
  <si>
    <t>VAL-BAL-PVDF;VAL-DIA-PVDF;VAL-FARF-PVDF;VAL-RIT-PVDF</t>
  </si>
  <si>
    <t>ELB-PVDF</t>
  </si>
  <si>
    <t>BOC-PVDF</t>
  </si>
  <si>
    <t>REG-PVDF</t>
  </si>
  <si>
    <t>FLOM-PVDF</t>
  </si>
  <si>
    <t>FLAR-PVDF</t>
  </si>
  <si>
    <t>FLANGE-PVDF</t>
  </si>
  <si>
    <t>VAL-DIA</t>
  </si>
  <si>
    <t>VAL-BAL-PP;VAL-RIT-PP</t>
  </si>
  <si>
    <t>FLOW-PP</t>
  </si>
  <si>
    <t>BOC-PP</t>
  </si>
  <si>
    <t>TUBE-304L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</si>
</sst>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(&quot;€&quot;* #,##0.00_);_(&quot;€&quot;* \(#,##0.00\);_(&quot;€&quot;* &quot;-&quot;??_);_(@_)"/>
    <numFmt numFmtId="165" formatCode="_-* #,##0.00\ [$€-40C]_-;\-* #,##0.00\ [$€-40C]_-;_-* &quot;-&quot;??\ [$€-40C]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6"/>
      <color rgb="FF000000"/>
      <name val="Calibri"/>
      <family val="2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name val="Calibri"/>
      <family val="2"/>
    </font>
    <font>
      <b/>
      <sz val="18"/>
      <color rgb="FFFF0000"/>
      <name val="Calibri"/>
      <family val="2"/>
    </font>
    <font>
      <sz val="16"/>
      <color rgb="FF000000"/>
      <name val="Calibri"/>
      <family val="2"/>
    </font>
    <font>
      <sz val="16"/>
      <color rgb="FFFF0000"/>
      <name val="Calibri"/>
      <family val="2"/>
    </font>
    <font>
      <sz val="16"/>
      <color rgb="FFFF0000"/>
      <name val="Calibri"/>
      <family val="2"/>
      <scheme val="minor"/>
    </font>
    <font>
      <sz val="16"/>
      <name val="Calibri"/>
      <family val="2"/>
    </font>
    <font>
      <b/>
      <sz val="18"/>
      <color rgb="FFFF0000"/>
      <name val="Calibri"/>
      <family val="2"/>
      <scheme val="minor"/>
    </font>
    <font>
      <sz val="16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8"/>
      <color theme="1"/>
      <name val="Calibri"/>
      <family val="2"/>
    </font>
    <font>
      <sz val="18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gray0625">
        <fgColor theme="0" tint="-0.49998474074526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gray0625">
        <fgColor theme="0" tint="-0.499984740745262"/>
        <bgColor theme="0"/>
      </patternFill>
    </fill>
    <fill>
      <patternFill patternType="solid">
        <fgColor theme="8" tint="0.59999389629810485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70">
    <xf numFmtId="0" fontId="0" fillId="0" borderId="0" xfId="0"/>
    <xf numFmtId="165" fontId="2" fillId="0" borderId="8" xfId="1" applyNumberFormat="1" applyFont="1" applyBorder="1" applyAlignment="1" applyProtection="1">
      <alignment vertical="center"/>
    </xf>
    <xf numFmtId="0" fontId="0" fillId="6" borderId="0" xfId="0" applyFill="1" applyProtection="1">
      <protection locked="0"/>
    </xf>
    <xf numFmtId="0" fontId="9" fillId="6" borderId="0" xfId="0" applyFont="1" applyFill="1" applyProtection="1">
      <protection locked="0"/>
    </xf>
    <xf numFmtId="165" fontId="2" fillId="0" borderId="7" xfId="1" applyNumberFormat="1" applyFont="1" applyBorder="1" applyAlignment="1" applyProtection="1">
      <alignment vertical="center"/>
    </xf>
    <xf numFmtId="0" fontId="18" fillId="7" borderId="5" xfId="0" applyFont="1" applyFill="1" applyBorder="1" applyAlignment="1" applyProtection="1">
      <alignment vertical="center"/>
      <protection locked="0"/>
    </xf>
    <xf numFmtId="0" fontId="18" fillId="7" borderId="20" xfId="0" applyFont="1" applyFill="1" applyBorder="1" applyAlignment="1" applyProtection="1">
      <alignment vertical="center"/>
      <protection locked="0"/>
    </xf>
    <xf numFmtId="165" fontId="0" fillId="6" borderId="0" xfId="0" applyNumberFormat="1" applyFill="1" applyProtection="1">
      <protection locked="0"/>
    </xf>
    <xf numFmtId="165" fontId="2" fillId="0" borderId="0" xfId="1" applyNumberFormat="1" applyFont="1" applyBorder="1" applyAlignment="1" applyProtection="1">
      <alignment vertical="center"/>
    </xf>
    <xf numFmtId="165" fontId="2" fillId="0" borderId="0" xfId="1" applyNumberFormat="1" applyFont="1" applyAlignment="1" applyProtection="1">
      <alignment vertical="center"/>
    </xf>
    <xf numFmtId="165" fontId="2" fillId="0" borderId="9" xfId="1" applyNumberFormat="1" applyFont="1" applyBorder="1" applyAlignment="1" applyProtection="1">
      <alignment vertical="center"/>
    </xf>
    <xf numFmtId="165" fontId="22" fillId="0" borderId="0" xfId="1" applyNumberFormat="1" applyFont="1" applyAlignment="1" applyProtection="1">
      <alignment vertical="center"/>
    </xf>
    <xf numFmtId="165" fontId="22" fillId="0" borderId="8" xfId="1" applyNumberFormat="1" applyFont="1" applyBorder="1" applyAlignment="1" applyProtection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9" fillId="7" borderId="5" xfId="0" applyFont="1" applyFill="1" applyBorder="1" applyAlignment="1" applyProtection="1">
      <alignment vertical="center"/>
      <protection locked="0"/>
    </xf>
    <xf numFmtId="0" fontId="23" fillId="7" borderId="5" xfId="0" applyFont="1" applyFill="1" applyBorder="1" applyAlignment="1" applyProtection="1">
      <alignment vertical="center"/>
      <protection locked="0"/>
    </xf>
    <xf numFmtId="0" fontId="23" fillId="7" borderId="20" xfId="0" applyFont="1" applyFill="1" applyBorder="1" applyAlignment="1" applyProtection="1">
      <alignment vertical="center"/>
      <protection locked="0"/>
    </xf>
    <xf numFmtId="0" fontId="19" fillId="7" borderId="20" xfId="0" applyFont="1" applyFill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19" fillId="7" borderId="30" xfId="0" applyFont="1" applyFill="1" applyBorder="1" applyAlignment="1" applyProtection="1">
      <alignment vertical="center"/>
      <protection locked="0"/>
    </xf>
    <xf numFmtId="0" fontId="19" fillId="7" borderId="33" xfId="0" applyFont="1" applyFill="1" applyBorder="1" applyAlignment="1" applyProtection="1">
      <alignment vertical="center"/>
      <protection locked="0"/>
    </xf>
    <xf numFmtId="0" fontId="0" fillId="0" borderId="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9" fillId="7" borderId="1" xfId="0" applyFont="1" applyFill="1" applyBorder="1" applyAlignment="1" applyProtection="1">
      <alignment vertical="center"/>
      <protection locked="0"/>
    </xf>
    <xf numFmtId="0" fontId="13" fillId="3" borderId="38" xfId="0" applyFont="1" applyFill="1" applyBorder="1" applyAlignment="1">
      <alignment horizontal="left" vertical="center"/>
    </xf>
    <xf numFmtId="0" fontId="13" fillId="3" borderId="39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8" fillId="7" borderId="30" xfId="0" applyFont="1" applyFill="1" applyBorder="1" applyAlignment="1" applyProtection="1">
      <alignment vertical="center"/>
      <protection locked="0"/>
    </xf>
    <xf numFmtId="0" fontId="23" fillId="7" borderId="30" xfId="0" applyFont="1" applyFill="1" applyBorder="1" applyAlignment="1" applyProtection="1">
      <alignment vertical="center"/>
      <protection locked="0"/>
    </xf>
    <xf numFmtId="165" fontId="2" fillId="0" borderId="42" xfId="1" applyNumberFormat="1" applyFont="1" applyBorder="1" applyAlignment="1" applyProtection="1">
      <alignment vertical="center"/>
    </xf>
    <xf numFmtId="0" fontId="18" fillId="7" borderId="28" xfId="0" applyFont="1" applyFill="1" applyBorder="1" applyAlignment="1" applyProtection="1">
      <alignment vertical="center"/>
      <protection locked="0"/>
    </xf>
    <xf numFmtId="0" fontId="18" fillId="7" borderId="46" xfId="0" applyFont="1" applyFill="1" applyBorder="1" applyAlignment="1" applyProtection="1">
      <alignment vertical="center"/>
      <protection locked="0"/>
    </xf>
    <xf numFmtId="0" fontId="18" fillId="7" borderId="24" xfId="0" applyFont="1" applyFill="1" applyBorder="1" applyAlignment="1" applyProtection="1">
      <alignment vertical="center"/>
      <protection locked="0"/>
    </xf>
    <xf numFmtId="0" fontId="0" fillId="0" borderId="14" xfId="0" applyBorder="1" applyAlignment="1">
      <alignment vertical="center"/>
    </xf>
    <xf numFmtId="165" fontId="2" fillId="0" borderId="30" xfId="1" applyNumberFormat="1" applyFont="1" applyBorder="1" applyAlignment="1" applyProtection="1">
      <alignment vertical="center"/>
    </xf>
    <xf numFmtId="165" fontId="2" fillId="0" borderId="22" xfId="1" applyNumberFormat="1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0" fillId="0" borderId="5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6" borderId="0" xfId="0" applyFill="1" applyAlignment="1" applyProtection="1">
      <alignment wrapText="1"/>
      <protection locked="0"/>
    </xf>
    <xf numFmtId="0" fontId="19" fillId="9" borderId="33" xfId="0" applyFont="1" applyFill="1" applyBorder="1" applyAlignment="1" applyProtection="1">
      <alignment vertical="center"/>
      <protection locked="0"/>
    </xf>
    <xf numFmtId="0" fontId="19" fillId="9" borderId="5" xfId="0" applyFont="1" applyFill="1" applyBorder="1" applyAlignment="1" applyProtection="1">
      <alignment vertical="center"/>
      <protection locked="0"/>
    </xf>
    <xf numFmtId="0" fontId="0" fillId="0" borderId="3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25" fillId="0" borderId="0" xfId="0" applyFont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13" fillId="3" borderId="40" xfId="0" applyFont="1" applyFill="1" applyBorder="1" applyAlignment="1">
      <alignment horizontal="left" vertical="center"/>
    </xf>
    <xf numFmtId="0" fontId="13" fillId="3" borderId="41" xfId="0" applyFont="1" applyFill="1" applyBorder="1" applyAlignment="1">
      <alignment horizontal="left" vertical="center"/>
    </xf>
    <xf numFmtId="0" fontId="13" fillId="3" borderId="42" xfId="0" applyFont="1" applyFill="1" applyBorder="1" applyAlignment="1">
      <alignment horizontal="left" vertical="center"/>
    </xf>
    <xf numFmtId="0" fontId="15" fillId="4" borderId="42" xfId="0" applyFont="1" applyFill="1" applyBorder="1" applyAlignment="1">
      <alignment horizontal="center" vertical="center" wrapText="1"/>
    </xf>
    <xf numFmtId="0" fontId="14" fillId="4" borderId="42" xfId="0" applyFont="1" applyFill="1" applyBorder="1" applyAlignment="1">
      <alignment horizontal="center" vertical="center" wrapText="1"/>
    </xf>
    <xf numFmtId="0" fontId="15" fillId="4" borderId="43" xfId="0" applyFont="1" applyFill="1" applyBorder="1" applyAlignment="1">
      <alignment horizontal="center" vertical="center"/>
    </xf>
    <xf numFmtId="0" fontId="18" fillId="0" borderId="26" xfId="0" applyFont="1" applyBorder="1" applyAlignment="1">
      <alignment vertical="center"/>
    </xf>
    <xf numFmtId="0" fontId="18" fillId="0" borderId="33" xfId="0" applyFont="1" applyBorder="1" applyAlignment="1">
      <alignment vertical="center"/>
    </xf>
    <xf numFmtId="0" fontId="23" fillId="0" borderId="33" xfId="0" applyFont="1" applyBorder="1" applyAlignment="1">
      <alignment vertical="center"/>
    </xf>
    <xf numFmtId="0" fontId="18" fillId="0" borderId="28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18" fillId="6" borderId="28" xfId="0" applyFont="1" applyFill="1" applyBorder="1" applyAlignment="1">
      <alignment vertical="center"/>
    </xf>
    <xf numFmtId="0" fontId="23" fillId="6" borderId="5" xfId="0" applyFont="1" applyFill="1" applyBorder="1" applyAlignment="1">
      <alignment vertical="center"/>
    </xf>
    <xf numFmtId="0" fontId="18" fillId="0" borderId="27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8" fillId="6" borderId="5" xfId="0" applyFont="1" applyFill="1" applyBorder="1" applyAlignment="1">
      <alignment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15" fillId="0" borderId="28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0" fillId="0" borderId="44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5" fillId="0" borderId="11" xfId="0" applyFont="1" applyBorder="1" applyAlignment="1">
      <alignment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0" fillId="0" borderId="43" xfId="0" applyBorder="1" applyAlignment="1">
      <alignment vertical="center" textRotation="90"/>
    </xf>
    <xf numFmtId="0" fontId="6" fillId="0" borderId="42" xfId="0" applyFont="1" applyBorder="1" applyAlignment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0" fillId="0" borderId="35" xfId="0" applyBorder="1" applyAlignment="1">
      <alignment vertical="center" textRotation="90"/>
    </xf>
    <xf numFmtId="0" fontId="4" fillId="0" borderId="0" xfId="0" applyFont="1" applyAlignment="1">
      <alignment vertical="center" textRotation="90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4" fillId="0" borderId="49" xfId="0" applyFont="1" applyBorder="1" applyAlignment="1">
      <alignment vertical="center" textRotation="90"/>
    </xf>
    <xf numFmtId="0" fontId="8" fillId="0" borderId="9" xfId="0" applyFont="1" applyBorder="1" applyAlignment="1">
      <alignment horizontal="center" vertical="center"/>
    </xf>
    <xf numFmtId="0" fontId="0" fillId="0" borderId="8" xfId="0" applyBorder="1" applyAlignment="1">
      <alignment vertical="center" textRotation="90"/>
    </xf>
    <xf numFmtId="0" fontId="6" fillId="0" borderId="7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8" fillId="0" borderId="5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0" fillId="0" borderId="31" xfId="0" applyBorder="1" applyAlignment="1">
      <alignment vertical="center" textRotation="90"/>
    </xf>
    <xf numFmtId="0" fontId="6" fillId="0" borderId="30" xfId="0" applyFont="1" applyBorder="1" applyAlignment="1">
      <alignment vertical="center"/>
    </xf>
    <xf numFmtId="0" fontId="8" fillId="0" borderId="1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3" fillId="3" borderId="43" xfId="0" applyFont="1" applyFill="1" applyBorder="1" applyAlignment="1">
      <alignment horizontal="left" vertical="center"/>
    </xf>
    <xf numFmtId="0" fontId="13" fillId="3" borderId="47" xfId="0" applyFont="1" applyFill="1" applyBorder="1" applyAlignment="1">
      <alignment horizontal="left" vertical="center"/>
    </xf>
    <xf numFmtId="0" fontId="10" fillId="0" borderId="2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0" fillId="0" borderId="34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0" fillId="0" borderId="31" xfId="0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35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0" fontId="10" fillId="0" borderId="43" xfId="0" applyFont="1" applyBorder="1" applyAlignment="1">
      <alignment vertical="center" wrapText="1"/>
    </xf>
    <xf numFmtId="0" fontId="10" fillId="0" borderId="34" xfId="0" applyFont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15" fillId="4" borderId="40" xfId="0" applyFont="1" applyFill="1" applyBorder="1" applyAlignment="1">
      <alignment horizontal="center" vertical="center" wrapText="1"/>
    </xf>
    <xf numFmtId="0" fontId="17" fillId="5" borderId="27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9" fillId="5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horizontal="center" vertical="center"/>
    </xf>
    <xf numFmtId="165" fontId="0" fillId="5" borderId="1" xfId="1" applyNumberFormat="1" applyFont="1" applyFill="1" applyBorder="1" applyAlignment="1" applyProtection="1">
      <alignment vertical="center"/>
    </xf>
    <xf numFmtId="165" fontId="0" fillId="5" borderId="2" xfId="1" applyNumberFormat="1" applyFont="1" applyFill="1" applyBorder="1" applyAlignment="1" applyProtection="1">
      <alignment vertical="center"/>
    </xf>
    <xf numFmtId="0" fontId="16" fillId="6" borderId="46" xfId="0" applyFont="1" applyFill="1" applyBorder="1" applyAlignment="1">
      <alignment vertical="center" wrapText="1"/>
    </xf>
    <xf numFmtId="0" fontId="12" fillId="6" borderId="20" xfId="0" applyFont="1" applyFill="1" applyBorder="1" applyAlignment="1">
      <alignment vertical="center" wrapText="1"/>
    </xf>
    <xf numFmtId="0" fontId="12" fillId="6" borderId="20" xfId="0" applyFont="1" applyFill="1" applyBorder="1" applyAlignment="1">
      <alignment vertical="center"/>
    </xf>
    <xf numFmtId="0" fontId="24" fillId="6" borderId="20" xfId="0" applyFont="1" applyFill="1" applyBorder="1" applyAlignment="1">
      <alignment vertical="center"/>
    </xf>
    <xf numFmtId="0" fontId="11" fillId="6" borderId="20" xfId="0" quotePrefix="1" applyFont="1" applyFill="1" applyBorder="1" applyAlignment="1">
      <alignment vertical="center" wrapText="1"/>
    </xf>
    <xf numFmtId="0" fontId="12" fillId="6" borderId="20" xfId="0" applyFont="1" applyFill="1" applyBorder="1" applyAlignment="1">
      <alignment horizontal="center" vertical="center"/>
    </xf>
    <xf numFmtId="165" fontId="12" fillId="6" borderId="14" xfId="0" applyNumberFormat="1" applyFont="1" applyFill="1" applyBorder="1" applyAlignment="1">
      <alignment vertical="center"/>
    </xf>
    <xf numFmtId="0" fontId="15" fillId="6" borderId="33" xfId="0" applyFont="1" applyFill="1" applyBorder="1" applyAlignment="1">
      <alignment horizontal="center" vertical="center"/>
    </xf>
    <xf numFmtId="165" fontId="15" fillId="7" borderId="33" xfId="0" applyNumberFormat="1" applyFont="1" applyFill="1" applyBorder="1" applyAlignment="1" applyProtection="1">
      <alignment vertical="center"/>
      <protection locked="0"/>
    </xf>
    <xf numFmtId="165" fontId="15" fillId="6" borderId="33" xfId="1" applyNumberFormat="1" applyFont="1" applyFill="1" applyBorder="1" applyAlignment="1" applyProtection="1">
      <alignment vertical="center"/>
    </xf>
    <xf numFmtId="165" fontId="15" fillId="6" borderId="34" xfId="1" applyNumberFormat="1" applyFont="1" applyFill="1" applyBorder="1" applyAlignment="1" applyProtection="1">
      <alignment vertical="center"/>
    </xf>
    <xf numFmtId="0" fontId="15" fillId="6" borderId="5" xfId="0" applyFont="1" applyFill="1" applyBorder="1" applyAlignment="1">
      <alignment horizontal="center" vertical="center"/>
    </xf>
    <xf numFmtId="165" fontId="15" fillId="7" borderId="5" xfId="0" applyNumberFormat="1" applyFont="1" applyFill="1" applyBorder="1" applyAlignment="1" applyProtection="1">
      <alignment vertical="center"/>
      <protection locked="0"/>
    </xf>
    <xf numFmtId="165" fontId="15" fillId="6" borderId="5" xfId="1" applyNumberFormat="1" applyFont="1" applyFill="1" applyBorder="1" applyAlignment="1" applyProtection="1">
      <alignment vertical="center"/>
    </xf>
    <xf numFmtId="165" fontId="15" fillId="6" borderId="12" xfId="1" applyNumberFormat="1" applyFont="1" applyFill="1" applyBorder="1" applyAlignment="1" applyProtection="1">
      <alignment vertical="center"/>
    </xf>
    <xf numFmtId="0" fontId="15" fillId="7" borderId="5" xfId="0" applyFont="1" applyFill="1" applyBorder="1" applyAlignment="1" applyProtection="1">
      <alignment horizontal="center" vertical="center"/>
      <protection locked="0"/>
    </xf>
    <xf numFmtId="0" fontId="15" fillId="7" borderId="20" xfId="0" applyFont="1" applyFill="1" applyBorder="1" applyAlignment="1" applyProtection="1">
      <alignment horizontal="center" vertical="center"/>
      <protection locked="0"/>
    </xf>
    <xf numFmtId="165" fontId="15" fillId="7" borderId="20" xfId="0" applyNumberFormat="1" applyFont="1" applyFill="1" applyBorder="1" applyAlignment="1" applyProtection="1">
      <alignment vertical="center"/>
      <protection locked="0"/>
    </xf>
    <xf numFmtId="165" fontId="15" fillId="6" borderId="20" xfId="1" applyNumberFormat="1" applyFont="1" applyFill="1" applyBorder="1" applyAlignment="1" applyProtection="1">
      <alignment vertical="center"/>
    </xf>
    <xf numFmtId="165" fontId="15" fillId="6" borderId="14" xfId="1" applyNumberFormat="1" applyFont="1" applyFill="1" applyBorder="1" applyAlignment="1" applyProtection="1">
      <alignment vertical="center"/>
    </xf>
    <xf numFmtId="0" fontId="16" fillId="6" borderId="25" xfId="0" applyFont="1" applyFill="1" applyBorder="1" applyAlignment="1">
      <alignment vertical="center" wrapText="1"/>
    </xf>
    <xf numFmtId="0" fontId="12" fillId="6" borderId="36" xfId="0" applyFont="1" applyFill="1" applyBorder="1" applyAlignment="1">
      <alignment vertical="center" wrapText="1"/>
    </xf>
    <xf numFmtId="0" fontId="12" fillId="6" borderId="36" xfId="0" applyFont="1" applyFill="1" applyBorder="1" applyAlignment="1">
      <alignment vertical="center"/>
    </xf>
    <xf numFmtId="0" fontId="24" fillId="6" borderId="36" xfId="0" applyFont="1" applyFill="1" applyBorder="1" applyAlignment="1">
      <alignment vertical="center"/>
    </xf>
    <xf numFmtId="0" fontId="11" fillId="6" borderId="36" xfId="0" applyFont="1" applyFill="1" applyBorder="1" applyAlignment="1" applyProtection="1">
      <alignment vertical="center"/>
      <protection locked="0"/>
    </xf>
    <xf numFmtId="0" fontId="12" fillId="6" borderId="36" xfId="0" applyFont="1" applyFill="1" applyBorder="1" applyAlignment="1">
      <alignment horizontal="center" vertical="center"/>
    </xf>
    <xf numFmtId="0" fontId="12" fillId="6" borderId="36" xfId="0" applyFont="1" applyFill="1" applyBorder="1" applyAlignment="1" applyProtection="1">
      <alignment vertical="center"/>
      <protection locked="0"/>
    </xf>
    <xf numFmtId="0" fontId="12" fillId="6" borderId="17" xfId="0" applyFont="1" applyFill="1" applyBorder="1" applyAlignment="1">
      <alignment vertical="center"/>
    </xf>
    <xf numFmtId="165" fontId="5" fillId="6" borderId="23" xfId="1" applyNumberFormat="1" applyFont="1" applyFill="1" applyBorder="1" applyAlignment="1" applyProtection="1">
      <alignment vertical="center"/>
    </xf>
    <xf numFmtId="165" fontId="15" fillId="7" borderId="1" xfId="0" applyNumberFormat="1" applyFont="1" applyFill="1" applyBorder="1" applyAlignment="1" applyProtection="1">
      <alignment vertical="center"/>
      <protection locked="0"/>
    </xf>
    <xf numFmtId="165" fontId="15" fillId="6" borderId="1" xfId="1" applyNumberFormat="1" applyFont="1" applyFill="1" applyBorder="1" applyAlignment="1" applyProtection="1">
      <alignment vertical="center"/>
    </xf>
    <xf numFmtId="165" fontId="15" fillId="6" borderId="2" xfId="1" applyNumberFormat="1" applyFont="1" applyFill="1" applyBorder="1" applyAlignment="1" applyProtection="1">
      <alignment vertical="center"/>
    </xf>
    <xf numFmtId="0" fontId="15" fillId="6" borderId="5" xfId="0" applyFont="1" applyFill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15" fillId="6" borderId="1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right" vertical="center"/>
    </xf>
    <xf numFmtId="0" fontId="28" fillId="0" borderId="45" xfId="0" applyFont="1" applyBorder="1" applyAlignment="1">
      <alignment vertical="center" wrapText="1"/>
    </xf>
    <xf numFmtId="0" fontId="20" fillId="0" borderId="5" xfId="0" applyFont="1" applyBorder="1" applyAlignment="1">
      <alignment horizontal="right" vertical="center"/>
    </xf>
    <xf numFmtId="0" fontId="15" fillId="7" borderId="30" xfId="0" applyFont="1" applyFill="1" applyBorder="1" applyAlignment="1" applyProtection="1">
      <alignment horizontal="center" vertical="center"/>
      <protection locked="0"/>
    </xf>
    <xf numFmtId="165" fontId="15" fillId="7" borderId="30" xfId="0" applyNumberFormat="1" applyFont="1" applyFill="1" applyBorder="1" applyAlignment="1" applyProtection="1">
      <alignment vertical="center"/>
      <protection locked="0"/>
    </xf>
    <xf numFmtId="165" fontId="15" fillId="6" borderId="30" xfId="1" applyNumberFormat="1" applyFont="1" applyFill="1" applyBorder="1" applyAlignment="1" applyProtection="1">
      <alignment vertical="center"/>
    </xf>
    <xf numFmtId="165" fontId="15" fillId="6" borderId="31" xfId="1" applyNumberFormat="1" applyFont="1" applyFill="1" applyBorder="1" applyAlignment="1" applyProtection="1">
      <alignment vertical="center"/>
    </xf>
    <xf numFmtId="0" fontId="9" fillId="5" borderId="1" xfId="0" applyFont="1" applyFill="1" applyBorder="1" applyAlignment="1" applyProtection="1">
      <alignment horizontal="right" vertical="center"/>
      <protection locked="0"/>
    </xf>
    <xf numFmtId="165" fontId="0" fillId="8" borderId="1" xfId="1" applyNumberFormat="1" applyFont="1" applyFill="1" applyBorder="1" applyAlignment="1" applyProtection="1">
      <alignment vertical="center"/>
      <protection locked="0"/>
    </xf>
    <xf numFmtId="165" fontId="0" fillId="8" borderId="1" xfId="1" applyNumberFormat="1" applyFont="1" applyFill="1" applyBorder="1" applyAlignment="1" applyProtection="1">
      <alignment vertical="center"/>
    </xf>
    <xf numFmtId="0" fontId="16" fillId="6" borderId="24" xfId="0" applyFont="1" applyFill="1" applyBorder="1" applyAlignment="1">
      <alignment vertical="center" wrapText="1"/>
    </xf>
    <xf numFmtId="0" fontId="12" fillId="6" borderId="30" xfId="0" applyFont="1" applyFill="1" applyBorder="1" applyAlignment="1">
      <alignment vertical="center" wrapText="1"/>
    </xf>
    <xf numFmtId="0" fontId="12" fillId="6" borderId="30" xfId="0" applyFont="1" applyFill="1" applyBorder="1" applyAlignment="1">
      <alignment vertical="center"/>
    </xf>
    <xf numFmtId="0" fontId="24" fillId="6" borderId="30" xfId="0" applyFont="1" applyFill="1" applyBorder="1" applyAlignment="1">
      <alignment vertical="center"/>
    </xf>
    <xf numFmtId="0" fontId="11" fillId="6" borderId="30" xfId="0" applyFont="1" applyFill="1" applyBorder="1" applyAlignment="1" applyProtection="1">
      <alignment vertical="center"/>
      <protection locked="0"/>
    </xf>
    <xf numFmtId="0" fontId="12" fillId="6" borderId="30" xfId="0" applyFont="1" applyFill="1" applyBorder="1" applyAlignment="1">
      <alignment horizontal="center" vertical="center"/>
    </xf>
    <xf numFmtId="0" fontId="12" fillId="6" borderId="30" xfId="0" applyFont="1" applyFill="1" applyBorder="1" applyAlignment="1" applyProtection="1">
      <alignment vertical="center"/>
      <protection locked="0"/>
    </xf>
    <xf numFmtId="165" fontId="5" fillId="6" borderId="31" xfId="1" applyNumberFormat="1" applyFont="1" applyFill="1" applyBorder="1" applyAlignment="1" applyProtection="1">
      <alignment vertical="center"/>
    </xf>
    <xf numFmtId="0" fontId="16" fillId="6" borderId="48" xfId="0" applyFont="1" applyFill="1" applyBorder="1" applyAlignment="1">
      <alignment vertical="center" wrapText="1"/>
    </xf>
    <xf numFmtId="0" fontId="12" fillId="6" borderId="22" xfId="0" applyFont="1" applyFill="1" applyBorder="1" applyAlignment="1">
      <alignment vertical="center"/>
    </xf>
    <xf numFmtId="0" fontId="3" fillId="6" borderId="22" xfId="0" applyFont="1" applyFill="1" applyBorder="1" applyAlignment="1">
      <alignment vertical="center"/>
    </xf>
    <xf numFmtId="0" fontId="15" fillId="6" borderId="22" xfId="0" applyFont="1" applyFill="1" applyBorder="1" applyAlignment="1">
      <alignment horizontal="right" vertical="center"/>
    </xf>
    <xf numFmtId="0" fontId="9" fillId="6" borderId="22" xfId="0" applyFont="1" applyFill="1" applyBorder="1" applyAlignment="1" applyProtection="1">
      <alignment horizontal="right" vertical="center"/>
      <protection locked="0"/>
    </xf>
    <xf numFmtId="0" fontId="0" fillId="6" borderId="22" xfId="0" applyFill="1" applyBorder="1" applyAlignment="1">
      <alignment horizontal="center" vertical="center"/>
    </xf>
    <xf numFmtId="165" fontId="0" fillId="6" borderId="22" xfId="1" applyNumberFormat="1" applyFont="1" applyFill="1" applyBorder="1" applyAlignment="1" applyProtection="1">
      <alignment vertical="center"/>
      <protection locked="0"/>
    </xf>
    <xf numFmtId="165" fontId="0" fillId="6" borderId="55" xfId="1" applyNumberFormat="1" applyFont="1" applyFill="1" applyBorder="1" applyAlignment="1" applyProtection="1">
      <alignment vertical="center"/>
    </xf>
    <xf numFmtId="165" fontId="5" fillId="6" borderId="35" xfId="1" applyNumberFormat="1" applyFont="1" applyFill="1" applyBorder="1" applyAlignment="1" applyProtection="1">
      <alignment vertical="center"/>
    </xf>
    <xf numFmtId="0" fontId="18" fillId="0" borderId="32" xfId="0" applyFont="1" applyBorder="1" applyAlignment="1">
      <alignment vertical="center"/>
    </xf>
    <xf numFmtId="0" fontId="15" fillId="0" borderId="33" xfId="0" applyFont="1" applyBorder="1" applyAlignment="1">
      <alignment horizontal="right" vertical="center"/>
    </xf>
    <xf numFmtId="0" fontId="18" fillId="0" borderId="11" xfId="0" applyFont="1" applyBorder="1" applyAlignment="1">
      <alignment vertical="center"/>
    </xf>
    <xf numFmtId="0" fontId="18" fillId="6" borderId="11" xfId="0" applyFont="1" applyFill="1" applyBorder="1" applyAlignment="1">
      <alignment vertical="center"/>
    </xf>
    <xf numFmtId="0" fontId="15" fillId="6" borderId="36" xfId="0" applyFont="1" applyFill="1" applyBorder="1" applyAlignment="1">
      <alignment horizontal="right" vertical="center"/>
    </xf>
    <xf numFmtId="0" fontId="3" fillId="6" borderId="36" xfId="0" applyFont="1" applyFill="1" applyBorder="1" applyAlignment="1">
      <alignment vertical="center"/>
    </xf>
    <xf numFmtId="0" fontId="9" fillId="6" borderId="36" xfId="0" applyFont="1" applyFill="1" applyBorder="1" applyAlignment="1" applyProtection="1">
      <alignment horizontal="right" vertical="center"/>
      <protection locked="0"/>
    </xf>
    <xf numFmtId="0" fontId="0" fillId="6" borderId="36" xfId="0" applyFill="1" applyBorder="1" applyAlignment="1">
      <alignment horizontal="center" vertical="center"/>
    </xf>
    <xf numFmtId="165" fontId="0" fillId="6" borderId="36" xfId="1" applyNumberFormat="1" applyFont="1" applyFill="1" applyBorder="1" applyAlignment="1" applyProtection="1">
      <alignment vertical="center"/>
      <protection locked="0"/>
    </xf>
    <xf numFmtId="165" fontId="0" fillId="6" borderId="17" xfId="1" applyNumberFormat="1" applyFont="1" applyFill="1" applyBorder="1" applyAlignment="1" applyProtection="1">
      <alignment vertical="center"/>
    </xf>
    <xf numFmtId="0" fontId="15" fillId="6" borderId="1" xfId="0" applyFont="1" applyFill="1" applyBorder="1" applyAlignment="1">
      <alignment horizontal="right" vertical="center"/>
    </xf>
    <xf numFmtId="0" fontId="3" fillId="6" borderId="30" xfId="0" applyFont="1" applyFill="1" applyBorder="1" applyAlignment="1">
      <alignment vertical="center"/>
    </xf>
    <xf numFmtId="0" fontId="15" fillId="6" borderId="30" xfId="0" applyFont="1" applyFill="1" applyBorder="1" applyAlignment="1">
      <alignment horizontal="right" vertical="center"/>
    </xf>
    <xf numFmtId="0" fontId="9" fillId="6" borderId="30" xfId="0" applyFont="1" applyFill="1" applyBorder="1" applyAlignment="1" applyProtection="1">
      <alignment horizontal="right" vertical="center"/>
      <protection locked="0"/>
    </xf>
    <xf numFmtId="0" fontId="0" fillId="6" borderId="30" xfId="0" applyFill="1" applyBorder="1" applyAlignment="1">
      <alignment horizontal="center" vertical="center"/>
    </xf>
    <xf numFmtId="165" fontId="0" fillId="6" borderId="30" xfId="0" applyNumberFormat="1" applyFill="1" applyBorder="1" applyAlignment="1" applyProtection="1">
      <alignment vertical="center"/>
      <protection locked="0"/>
    </xf>
    <xf numFmtId="165" fontId="0" fillId="6" borderId="30" xfId="0" applyNumberFormat="1" applyFill="1" applyBorder="1" applyAlignment="1">
      <alignment vertical="center"/>
    </xf>
    <xf numFmtId="0" fontId="17" fillId="5" borderId="27" xfId="0" applyFont="1" applyFill="1" applyBorder="1" applyAlignment="1">
      <alignment vertical="center"/>
    </xf>
    <xf numFmtId="0" fontId="26" fillId="5" borderId="1" xfId="0" applyFont="1" applyFill="1" applyBorder="1" applyAlignment="1">
      <alignment vertical="center"/>
    </xf>
    <xf numFmtId="165" fontId="0" fillId="6" borderId="30" xfId="1" applyNumberFormat="1" applyFont="1" applyFill="1" applyBorder="1" applyAlignment="1" applyProtection="1">
      <alignment vertical="center"/>
      <protection locked="0"/>
    </xf>
    <xf numFmtId="0" fontId="16" fillId="6" borderId="47" xfId="0" applyFont="1" applyFill="1" applyBorder="1" applyAlignment="1">
      <alignment vertical="center" wrapText="1"/>
    </xf>
    <xf numFmtId="0" fontId="12" fillId="6" borderId="42" xfId="0" applyFont="1" applyFill="1" applyBorder="1" applyAlignment="1">
      <alignment vertical="center"/>
    </xf>
    <xf numFmtId="0" fontId="3" fillId="6" borderId="42" xfId="0" applyFont="1" applyFill="1" applyBorder="1" applyAlignment="1">
      <alignment vertical="center"/>
    </xf>
    <xf numFmtId="0" fontId="15" fillId="6" borderId="42" xfId="0" applyFont="1" applyFill="1" applyBorder="1" applyAlignment="1">
      <alignment horizontal="right" vertical="center"/>
    </xf>
    <xf numFmtId="0" fontId="9" fillId="6" borderId="42" xfId="0" applyFont="1" applyFill="1" applyBorder="1" applyAlignment="1" applyProtection="1">
      <alignment horizontal="right" vertical="center"/>
      <protection locked="0"/>
    </xf>
    <xf numFmtId="0" fontId="0" fillId="6" borderId="42" xfId="0" applyFill="1" applyBorder="1" applyAlignment="1">
      <alignment horizontal="center" vertical="center"/>
    </xf>
    <xf numFmtId="165" fontId="0" fillId="6" borderId="42" xfId="1" applyNumberFormat="1" applyFont="1" applyFill="1" applyBorder="1" applyAlignment="1" applyProtection="1">
      <alignment vertical="center"/>
      <protection locked="0"/>
    </xf>
    <xf numFmtId="165" fontId="0" fillId="6" borderId="42" xfId="1" applyNumberFormat="1" applyFont="1" applyFill="1" applyBorder="1" applyAlignment="1" applyProtection="1">
      <alignment vertical="center"/>
    </xf>
    <xf numFmtId="0" fontId="16" fillId="0" borderId="47" xfId="0" applyFont="1" applyBorder="1" applyAlignment="1">
      <alignment vertical="center" wrapText="1"/>
    </xf>
    <xf numFmtId="0" fontId="12" fillId="0" borderId="42" xfId="0" applyFont="1" applyBorder="1" applyAlignment="1">
      <alignment vertical="center" wrapText="1"/>
    </xf>
    <xf numFmtId="0" fontId="3" fillId="0" borderId="42" xfId="0" applyFont="1" applyBorder="1" applyAlignment="1">
      <alignment vertical="center" wrapText="1"/>
    </xf>
    <xf numFmtId="0" fontId="15" fillId="0" borderId="42" xfId="0" applyFont="1" applyBorder="1" applyAlignment="1">
      <alignment horizontal="right" vertical="center" wrapText="1"/>
    </xf>
    <xf numFmtId="0" fontId="9" fillId="6" borderId="42" xfId="0" applyFont="1" applyFill="1" applyBorder="1" applyAlignment="1" applyProtection="1">
      <alignment horizontal="right" vertical="center" wrapText="1"/>
      <protection locked="0"/>
    </xf>
    <xf numFmtId="0" fontId="0" fillId="6" borderId="42" xfId="0" applyFill="1" applyBorder="1" applyAlignment="1">
      <alignment horizontal="center" vertical="center" wrapText="1"/>
    </xf>
    <xf numFmtId="165" fontId="0" fillId="6" borderId="42" xfId="1" applyNumberFormat="1" applyFont="1" applyFill="1" applyBorder="1" applyAlignment="1" applyProtection="1">
      <alignment vertical="center" wrapText="1"/>
      <protection locked="0"/>
    </xf>
    <xf numFmtId="165" fontId="0" fillId="6" borderId="42" xfId="1" applyNumberFormat="1" applyFont="1" applyFill="1" applyBorder="1" applyAlignment="1" applyProtection="1">
      <alignment vertical="center" wrapText="1"/>
    </xf>
    <xf numFmtId="0" fontId="16" fillId="0" borderId="48" xfId="0" applyFont="1" applyBorder="1" applyAlignment="1">
      <alignment vertical="center" wrapText="1"/>
    </xf>
    <xf numFmtId="0" fontId="12" fillId="0" borderId="22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15" fillId="0" borderId="22" xfId="0" applyFont="1" applyBorder="1" applyAlignment="1">
      <alignment horizontal="right" vertical="center"/>
    </xf>
    <xf numFmtId="165" fontId="0" fillId="6" borderId="22" xfId="1" applyNumberFormat="1" applyFont="1" applyFill="1" applyBorder="1" applyAlignment="1" applyProtection="1">
      <alignment vertical="center"/>
    </xf>
    <xf numFmtId="0" fontId="15" fillId="0" borderId="5" xfId="0" applyFont="1" applyBorder="1" applyAlignment="1">
      <alignment horizontal="center" vertical="center"/>
    </xf>
    <xf numFmtId="0" fontId="16" fillId="6" borderId="24" xfId="0" applyFont="1" applyFill="1" applyBorder="1" applyAlignment="1">
      <alignment vertical="center"/>
    </xf>
    <xf numFmtId="165" fontId="0" fillId="6" borderId="30" xfId="1" applyNumberFormat="1" applyFont="1" applyFill="1" applyBorder="1" applyAlignment="1" applyProtection="1">
      <alignment vertical="center"/>
    </xf>
    <xf numFmtId="0" fontId="17" fillId="5" borderId="47" xfId="0" applyFont="1" applyFill="1" applyBorder="1" applyAlignment="1">
      <alignment vertical="center"/>
    </xf>
    <xf numFmtId="0" fontId="11" fillId="5" borderId="42" xfId="0" applyFont="1" applyFill="1" applyBorder="1" applyAlignment="1">
      <alignment vertical="center"/>
    </xf>
    <xf numFmtId="0" fontId="3" fillId="5" borderId="42" xfId="0" applyFont="1" applyFill="1" applyBorder="1" applyAlignment="1">
      <alignment vertical="center"/>
    </xf>
    <xf numFmtId="0" fontId="26" fillId="5" borderId="42" xfId="0" applyFont="1" applyFill="1" applyBorder="1" applyAlignment="1">
      <alignment vertical="center"/>
    </xf>
    <xf numFmtId="0" fontId="9" fillId="5" borderId="42" xfId="0" applyFont="1" applyFill="1" applyBorder="1" applyAlignment="1" applyProtection="1">
      <alignment horizontal="right" vertical="center"/>
      <protection locked="0"/>
    </xf>
    <xf numFmtId="0" fontId="0" fillId="5" borderId="42" xfId="0" applyFill="1" applyBorder="1" applyAlignment="1">
      <alignment horizontal="center" vertical="center"/>
    </xf>
    <xf numFmtId="165" fontId="0" fillId="8" borderId="42" xfId="1" applyNumberFormat="1" applyFont="1" applyFill="1" applyBorder="1" applyAlignment="1" applyProtection="1">
      <alignment vertical="center"/>
      <protection locked="0"/>
    </xf>
    <xf numFmtId="165" fontId="0" fillId="8" borderId="42" xfId="1" applyNumberFormat="1" applyFont="1" applyFill="1" applyBorder="1" applyAlignment="1" applyProtection="1">
      <alignment vertical="center"/>
    </xf>
    <xf numFmtId="0" fontId="15" fillId="0" borderId="27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7" fillId="5" borderId="47" xfId="0" applyFont="1" applyFill="1" applyBorder="1" applyAlignment="1">
      <alignment vertical="center" wrapText="1"/>
    </xf>
    <xf numFmtId="0" fontId="18" fillId="0" borderId="24" xfId="0" applyFont="1" applyBorder="1" applyAlignment="1">
      <alignment vertical="center"/>
    </xf>
    <xf numFmtId="0" fontId="18" fillId="0" borderId="30" xfId="0" applyFont="1" applyBorder="1" applyAlignment="1">
      <alignment vertical="center"/>
    </xf>
    <xf numFmtId="0" fontId="15" fillId="0" borderId="30" xfId="0" applyFont="1" applyBorder="1" applyAlignment="1">
      <alignment vertical="center"/>
    </xf>
    <xf numFmtId="0" fontId="15" fillId="0" borderId="30" xfId="0" applyFont="1" applyBorder="1" applyAlignment="1">
      <alignment horizontal="right" vertical="center"/>
    </xf>
    <xf numFmtId="0" fontId="15" fillId="6" borderId="30" xfId="0" applyFont="1" applyFill="1" applyBorder="1" applyAlignment="1">
      <alignment horizontal="center" vertical="center"/>
    </xf>
    <xf numFmtId="0" fontId="0" fillId="2" borderId="47" xfId="0" applyFill="1" applyBorder="1" applyAlignment="1">
      <alignment vertical="center"/>
    </xf>
    <xf numFmtId="0" fontId="0" fillId="2" borderId="42" xfId="0" applyFill="1" applyBorder="1" applyAlignment="1">
      <alignment vertical="center"/>
    </xf>
    <xf numFmtId="0" fontId="0" fillId="0" borderId="42" xfId="0" applyBorder="1" applyAlignment="1">
      <alignment horizontal="right" vertical="center"/>
    </xf>
    <xf numFmtId="0" fontId="9" fillId="0" borderId="42" xfId="0" applyFont="1" applyBorder="1" applyAlignment="1">
      <alignment horizontal="right" vertical="center"/>
    </xf>
    <xf numFmtId="0" fontId="7" fillId="2" borderId="48" xfId="0" applyFont="1" applyFill="1" applyBorder="1" applyAlignment="1">
      <alignment vertical="center"/>
    </xf>
    <xf numFmtId="0" fontId="7" fillId="2" borderId="22" xfId="0" applyFont="1" applyFill="1" applyBorder="1" applyAlignment="1">
      <alignment vertical="center"/>
    </xf>
    <xf numFmtId="0" fontId="7" fillId="2" borderId="22" xfId="0" applyFont="1" applyFill="1" applyBorder="1" applyAlignment="1">
      <alignment horizontal="center" vertical="center"/>
    </xf>
    <xf numFmtId="0" fontId="0" fillId="5" borderId="42" xfId="0" applyFill="1" applyBorder="1" applyAlignment="1">
      <alignment horizontal="right" vertical="center"/>
    </xf>
    <xf numFmtId="0" fontId="9" fillId="5" borderId="42" xfId="0" applyFont="1" applyFill="1" applyBorder="1" applyAlignment="1">
      <alignment horizontal="right" vertical="center"/>
    </xf>
    <xf numFmtId="165" fontId="0" fillId="5" borderId="42" xfId="1" applyNumberFormat="1" applyFont="1" applyFill="1" applyBorder="1" applyAlignment="1" applyProtection="1">
      <alignment vertical="center"/>
    </xf>
    <xf numFmtId="0" fontId="3" fillId="5" borderId="42" xfId="0" applyFont="1" applyFill="1" applyBorder="1" applyAlignment="1" applyProtection="1">
      <alignment vertical="center"/>
      <protection locked="0"/>
    </xf>
    <xf numFmtId="0" fontId="21" fillId="0" borderId="27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0" fillId="2" borderId="24" xfId="0" applyFill="1" applyBorder="1" applyAlignment="1">
      <alignment vertical="center"/>
    </xf>
    <xf numFmtId="0" fontId="0" fillId="2" borderId="30" xfId="0" applyFill="1" applyBorder="1" applyAlignment="1">
      <alignment vertical="center"/>
    </xf>
    <xf numFmtId="0" fontId="0" fillId="0" borderId="30" xfId="0" applyBorder="1" applyAlignment="1">
      <alignment horizontal="right" vertical="center"/>
    </xf>
    <xf numFmtId="0" fontId="9" fillId="0" borderId="30" xfId="0" applyFont="1" applyBorder="1" applyAlignment="1">
      <alignment horizontal="right" vertical="center"/>
    </xf>
    <xf numFmtId="0" fontId="0" fillId="2" borderId="48" xfId="0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0" borderId="22" xfId="0" applyBorder="1" applyAlignment="1">
      <alignment horizontal="right" vertical="center"/>
    </xf>
    <xf numFmtId="0" fontId="9" fillId="0" borderId="22" xfId="0" applyFont="1" applyBorder="1" applyAlignment="1">
      <alignment horizontal="right" vertical="center"/>
    </xf>
    <xf numFmtId="0" fontId="15" fillId="0" borderId="22" xfId="0" applyFont="1" applyBorder="1" applyAlignment="1">
      <alignment horizontal="center" vertical="center"/>
    </xf>
    <xf numFmtId="165" fontId="15" fillId="7" borderId="35" xfId="0" applyNumberFormat="1" applyFont="1" applyFill="1" applyBorder="1" applyAlignment="1" applyProtection="1">
      <alignment vertical="center"/>
      <protection locked="0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9" fillId="0" borderId="7" xfId="0" applyFont="1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10" fillId="0" borderId="12" xfId="0" applyFont="1" applyBorder="1"/>
    <xf numFmtId="0" fontId="15" fillId="6" borderId="5" xfId="0" applyFont="1" applyFill="1" applyBorder="1" applyAlignment="1">
      <alignment horizontal="right"/>
    </xf>
    <xf numFmtId="165" fontId="15" fillId="6" borderId="63" xfId="1" applyNumberFormat="1" applyFont="1" applyFill="1" applyBorder="1" applyAlignment="1" applyProtection="1">
      <alignment vertical="center"/>
    </xf>
    <xf numFmtId="165" fontId="15" fillId="6" borderId="53" xfId="1" applyNumberFormat="1" applyFont="1" applyFill="1" applyBorder="1" applyAlignment="1" applyProtection="1">
      <alignment vertical="center"/>
    </xf>
    <xf numFmtId="165" fontId="15" fillId="6" borderId="16" xfId="1" applyNumberFormat="1" applyFont="1" applyFill="1" applyBorder="1" applyAlignment="1" applyProtection="1">
      <alignment vertical="center"/>
    </xf>
    <xf numFmtId="165" fontId="5" fillId="6" borderId="40" xfId="1" applyNumberFormat="1" applyFont="1" applyFill="1" applyBorder="1" applyAlignment="1" applyProtection="1">
      <alignment vertical="center"/>
    </xf>
    <xf numFmtId="165" fontId="5" fillId="6" borderId="40" xfId="1" applyNumberFormat="1" applyFont="1" applyFill="1" applyBorder="1" applyAlignment="1" applyProtection="1">
      <alignment vertical="center" wrapText="1"/>
    </xf>
    <xf numFmtId="165" fontId="5" fillId="6" borderId="55" xfId="1" applyNumberFormat="1" applyFont="1" applyFill="1" applyBorder="1" applyAlignment="1" applyProtection="1">
      <alignment vertical="center"/>
    </xf>
    <xf numFmtId="165" fontId="15" fillId="6" borderId="18" xfId="1" applyNumberFormat="1" applyFont="1" applyFill="1" applyBorder="1" applyAlignment="1" applyProtection="1">
      <alignment vertical="center"/>
    </xf>
    <xf numFmtId="165" fontId="0" fillId="5" borderId="63" xfId="1" applyNumberFormat="1" applyFont="1" applyFill="1" applyBorder="1" applyAlignment="1" applyProtection="1">
      <alignment vertical="center"/>
    </xf>
    <xf numFmtId="165" fontId="5" fillId="6" borderId="16" xfId="1" applyNumberFormat="1" applyFont="1" applyFill="1" applyBorder="1" applyAlignment="1" applyProtection="1">
      <alignment vertical="center"/>
    </xf>
    <xf numFmtId="165" fontId="0" fillId="8" borderId="40" xfId="1" applyNumberFormat="1" applyFont="1" applyFill="1" applyBorder="1" applyAlignment="1" applyProtection="1">
      <alignment vertical="center"/>
    </xf>
    <xf numFmtId="165" fontId="2" fillId="0" borderId="40" xfId="1" applyNumberFormat="1" applyFont="1" applyBorder="1" applyAlignment="1" applyProtection="1">
      <alignment vertical="center"/>
    </xf>
    <xf numFmtId="0" fontId="7" fillId="2" borderId="55" xfId="0" applyFont="1" applyFill="1" applyBorder="1" applyAlignment="1">
      <alignment vertical="center"/>
    </xf>
    <xf numFmtId="0" fontId="15" fillId="4" borderId="40" xfId="0" applyFont="1" applyFill="1" applyBorder="1" applyAlignment="1">
      <alignment horizontal="center" vertical="center"/>
    </xf>
    <xf numFmtId="165" fontId="0" fillId="5" borderId="40" xfId="1" applyNumberFormat="1" applyFont="1" applyFill="1" applyBorder="1" applyAlignment="1" applyProtection="1">
      <alignment vertical="center"/>
    </xf>
    <xf numFmtId="165" fontId="2" fillId="0" borderId="16" xfId="1" applyNumberFormat="1" applyFont="1" applyBorder="1" applyAlignment="1" applyProtection="1">
      <alignment vertical="center"/>
    </xf>
    <xf numFmtId="0" fontId="23" fillId="0" borderId="61" xfId="0" applyFont="1" applyBorder="1" applyAlignment="1" applyProtection="1">
      <alignment vertical="center"/>
      <protection locked="0"/>
    </xf>
    <xf numFmtId="0" fontId="23" fillId="0" borderId="59" xfId="0" applyFont="1" applyBorder="1" applyAlignment="1" applyProtection="1">
      <alignment vertical="center"/>
      <protection locked="0"/>
    </xf>
    <xf numFmtId="0" fontId="23" fillId="0" borderId="62" xfId="0" applyFont="1" applyBorder="1" applyAlignment="1" applyProtection="1">
      <alignment vertical="center"/>
      <protection locked="0"/>
    </xf>
    <xf numFmtId="0" fontId="15" fillId="4" borderId="57" xfId="0" applyFont="1" applyFill="1" applyBorder="1" applyAlignment="1" applyProtection="1">
      <alignment horizontal="center" vertical="center"/>
      <protection locked="0"/>
    </xf>
    <xf numFmtId="0" fontId="0" fillId="5" borderId="58" xfId="0" applyFill="1" applyBorder="1" applyAlignment="1" applyProtection="1">
      <alignment horizontal="right" vertical="center"/>
      <protection locked="0"/>
    </xf>
    <xf numFmtId="0" fontId="24" fillId="6" borderId="59" xfId="0" applyFont="1" applyFill="1" applyBorder="1" applyAlignment="1" applyProtection="1">
      <alignment vertical="center"/>
      <protection locked="0"/>
    </xf>
    <xf numFmtId="0" fontId="23" fillId="0" borderId="60" xfId="0" applyFont="1" applyBorder="1" applyAlignment="1" applyProtection="1">
      <alignment vertical="center"/>
      <protection locked="0"/>
    </xf>
    <xf numFmtId="0" fontId="24" fillId="0" borderId="44" xfId="0" applyFont="1" applyBorder="1" applyAlignment="1" applyProtection="1">
      <alignment vertical="center"/>
      <protection locked="0"/>
    </xf>
    <xf numFmtId="0" fontId="23" fillId="0" borderId="58" xfId="0" applyFont="1" applyBorder="1" applyAlignment="1" applyProtection="1">
      <alignment vertical="center"/>
      <protection locked="0"/>
    </xf>
    <xf numFmtId="0" fontId="15" fillId="0" borderId="61" xfId="0" applyFont="1" applyBorder="1" applyAlignment="1" applyProtection="1">
      <alignment horizontal="right" vertical="center"/>
      <protection locked="0"/>
    </xf>
    <xf numFmtId="0" fontId="15" fillId="0" borderId="58" xfId="0" applyFont="1" applyBorder="1" applyAlignment="1" applyProtection="1">
      <alignment horizontal="right" vertical="center"/>
      <protection locked="0"/>
    </xf>
    <xf numFmtId="0" fontId="20" fillId="0" borderId="61" xfId="0" applyFont="1" applyBorder="1" applyAlignment="1" applyProtection="1">
      <alignment horizontal="right" vertical="center"/>
      <protection locked="0"/>
    </xf>
    <xf numFmtId="0" fontId="0" fillId="0" borderId="58" xfId="0" applyBorder="1" applyAlignment="1" applyProtection="1">
      <alignment horizontal="right" vertical="center"/>
      <protection locked="0"/>
    </xf>
    <xf numFmtId="0" fontId="24" fillId="0" borderId="62" xfId="0" applyFont="1" applyBorder="1" applyAlignment="1" applyProtection="1">
      <alignment vertical="center"/>
      <protection locked="0"/>
    </xf>
    <xf numFmtId="0" fontId="15" fillId="0" borderId="56" xfId="0" applyFont="1" applyBorder="1" applyAlignment="1" applyProtection="1">
      <alignment horizontal="right" vertical="center"/>
      <protection locked="0"/>
    </xf>
    <xf numFmtId="0" fontId="15" fillId="0" borderId="60" xfId="0" applyFont="1" applyBorder="1" applyAlignment="1" applyProtection="1">
      <alignment horizontal="right" vertical="center"/>
      <protection locked="0"/>
    </xf>
    <xf numFmtId="0" fontId="15" fillId="0" borderId="44" xfId="0" applyFont="1" applyBorder="1" applyAlignment="1" applyProtection="1">
      <alignment horizontal="right" vertical="center"/>
      <protection locked="0"/>
    </xf>
    <xf numFmtId="0" fontId="3" fillId="0" borderId="58" xfId="0" applyFont="1" applyBorder="1" applyAlignment="1" applyProtection="1">
      <alignment vertical="center"/>
      <protection locked="0"/>
    </xf>
    <xf numFmtId="0" fontId="15" fillId="0" borderId="62" xfId="0" applyFont="1" applyBorder="1" applyAlignment="1" applyProtection="1">
      <alignment horizontal="right" vertical="center"/>
      <protection locked="0"/>
    </xf>
    <xf numFmtId="0" fontId="26" fillId="0" borderId="58" xfId="0" applyFont="1" applyBorder="1" applyAlignment="1" applyProtection="1">
      <alignment vertical="center"/>
      <protection locked="0"/>
    </xf>
    <xf numFmtId="0" fontId="15" fillId="0" borderId="57" xfId="0" applyFont="1" applyBorder="1" applyAlignment="1" applyProtection="1">
      <alignment horizontal="right" vertical="center"/>
      <protection locked="0"/>
    </xf>
    <xf numFmtId="0" fontId="15" fillId="0" borderId="57" xfId="0" applyFont="1" applyBorder="1" applyAlignment="1" applyProtection="1">
      <alignment horizontal="right" vertical="center" wrapText="1"/>
      <protection locked="0"/>
    </xf>
    <xf numFmtId="0" fontId="26" fillId="0" borderId="57" xfId="0" applyFont="1" applyBorder="1" applyAlignment="1" applyProtection="1">
      <alignment vertical="center"/>
      <protection locked="0"/>
    </xf>
    <xf numFmtId="0" fontId="3" fillId="0" borderId="57" xfId="0" applyFont="1" applyBorder="1" applyAlignment="1" applyProtection="1">
      <alignment vertical="center"/>
      <protection locked="0"/>
    </xf>
    <xf numFmtId="0" fontId="15" fillId="0" borderId="61" xfId="0" applyFont="1" applyBorder="1" applyAlignment="1" applyProtection="1">
      <alignment horizontal="right"/>
      <protection locked="0"/>
    </xf>
    <xf numFmtId="0" fontId="0" fillId="0" borderId="57" xfId="0" applyBorder="1" applyAlignment="1" applyProtection="1">
      <alignment horizontal="right" vertical="center"/>
      <protection locked="0"/>
    </xf>
    <xf numFmtId="0" fontId="7" fillId="0" borderId="56" xfId="0" applyFont="1" applyBorder="1" applyAlignment="1" applyProtection="1">
      <alignment vertical="center"/>
      <protection locked="0"/>
    </xf>
    <xf numFmtId="0" fontId="0" fillId="0" borderId="44" xfId="0" applyBorder="1" applyAlignment="1" applyProtection="1">
      <alignment horizontal="center" vertical="center"/>
      <protection locked="0"/>
    </xf>
    <xf numFmtId="0" fontId="4" fillId="0" borderId="44" xfId="0" applyFont="1" applyBorder="1" applyAlignment="1" applyProtection="1">
      <alignment vertical="center" textRotation="90"/>
      <protection locked="0"/>
    </xf>
    <xf numFmtId="0" fontId="15" fillId="0" borderId="57" xfId="0" applyFont="1" applyBorder="1" applyAlignment="1" applyProtection="1">
      <alignment horizontal="center" vertical="center"/>
      <protection locked="0"/>
    </xf>
    <xf numFmtId="0" fontId="0" fillId="0" borderId="59" xfId="0" applyBorder="1" applyAlignment="1" applyProtection="1">
      <alignment horizontal="right" vertical="center"/>
      <protection locked="0"/>
    </xf>
    <xf numFmtId="0" fontId="21" fillId="0" borderId="28" xfId="0" applyFont="1" applyBorder="1" applyAlignment="1">
      <alignment vertical="center"/>
    </xf>
    <xf numFmtId="0" fontId="15" fillId="6" borderId="0" xfId="0" applyFont="1" applyFill="1" applyProtection="1">
      <protection locked="0"/>
    </xf>
    <xf numFmtId="0" fontId="18" fillId="7" borderId="5" xfId="0" applyFont="1" applyFill="1" applyBorder="1" applyAlignment="1">
      <alignment vertical="center"/>
    </xf>
    <xf numFmtId="0" fontId="20" fillId="6" borderId="0" xfId="0" applyFont="1" applyFill="1" applyProtection="1">
      <protection locked="0"/>
    </xf>
    <xf numFmtId="0" fontId="15" fillId="6" borderId="0" xfId="0" applyFont="1" applyFill="1" applyAlignment="1" applyProtection="1">
      <alignment wrapText="1"/>
      <protection locked="0"/>
    </xf>
    <xf numFmtId="0" fontId="14" fillId="6" borderId="0" xfId="0" applyFont="1" applyFill="1" applyProtection="1">
      <protection locked="0"/>
    </xf>
    <xf numFmtId="0" fontId="18" fillId="0" borderId="0" xfId="0" applyFont="1" applyAlignment="1">
      <alignment wrapText="1"/>
    </xf>
    <xf numFmtId="0" fontId="22" fillId="0" borderId="16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2" borderId="24" xfId="0" applyFont="1" applyFill="1" applyBorder="1" applyAlignment="1">
      <alignment horizontal="center" vertical="center" wrapText="1"/>
    </xf>
    <xf numFmtId="0" fontId="22" fillId="2" borderId="25" xfId="0" applyFont="1" applyFill="1" applyBorder="1" applyAlignment="1">
      <alignment horizontal="center" vertical="center" wrapText="1"/>
    </xf>
    <xf numFmtId="0" fontId="22" fillId="2" borderId="26" xfId="0" applyFont="1" applyFill="1" applyBorder="1" applyAlignment="1">
      <alignment horizontal="center" vertical="center" wrapText="1"/>
    </xf>
  </cellXfs>
  <cellStyles count="4">
    <cellStyle name="Normale" xfId="0" builtinId="0"/>
    <cellStyle name="Valuta" xfId="1" builtinId="4"/>
    <cellStyle name="Valuta 2" xfId="3" xr:uid="{D7F554E3-07BD-4A63-99A7-9AEACFD3E33D}"/>
    <cellStyle name="Valuta 3" xfId="2" xr:uid="{7FB1CA14-696E-4F3E-BF5B-0B52CD12627C}"/>
  </cellStyles>
  <dxfs count="6"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3"/>
      <color rgb="FFFFFF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188849</xdr:colOff>
      <xdr:row>0</xdr:row>
      <xdr:rowOff>141826</xdr:rowOff>
    </xdr:from>
    <xdr:to>
      <xdr:col>2</xdr:col>
      <xdr:colOff>135257</xdr:colOff>
      <xdr:row>1</xdr:row>
      <xdr:rowOff>198991</xdr:rowOff>
    </xdr:to>
    <xdr:pic>
      <xdr:nvPicPr>
        <xdr:cNvPr id="2" name="Picture 1" descr="ST">
          <a:extLst>
            <a:ext uri="{FF2B5EF4-FFF2-40B4-BE49-F238E27FC236}">
              <a16:creationId xmlns:a16="http://schemas.microsoft.com/office/drawing/2014/main" id="{4CBBCCAD-F81F-44A4-B42C-C8A11222F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849" y="141826"/>
          <a:ext cx="1451358" cy="787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136763</xdr:rowOff>
    </xdr:from>
    <xdr:to>
      <xdr:col>2</xdr:col>
      <xdr:colOff>380999</xdr:colOff>
      <xdr:row>2</xdr:row>
      <xdr:rowOff>261183</xdr:rowOff>
    </xdr:to>
    <xdr:pic>
      <xdr:nvPicPr>
        <xdr:cNvPr id="2" name="Picture 1" descr="ST">
          <a:extLst>
            <a:ext uri="{FF2B5EF4-FFF2-40B4-BE49-F238E27FC236}">
              <a16:creationId xmlns:a16="http://schemas.microsoft.com/office/drawing/2014/main" id="{E133E6FD-4EA2-430C-8288-48D525156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071" y="136763"/>
          <a:ext cx="1496785" cy="1214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9711-05D1-4E31-80DC-79CD13B21B51}">
  <sheetPr>
    <pageSetUpPr fitToPage="1"/>
  </sheetPr>
  <dimension ref="A1:Q808"/>
  <sheetViews>
    <sheetView showGridLines="0" zoomScale="55" zoomScaleNormal="55" zoomScaleSheetLayoutView="85" workbookViewId="0">
      <pane ySplit="9" topLeftCell="A10" activePane="bottomLeft" state="frozen"/>
      <selection pane="bottomLeft" sqref="A1:XFD1048576"/>
    </sheetView>
  </sheetViews>
  <sheetFormatPr defaultColWidth="11.453125" defaultRowHeight="14.5" x14ac:dyDescent="0.35"/>
  <cols>
    <col min="1" max="1" width="5.54296875" bestFit="1" customWidth="1"/>
    <col min="2" max="2" width="16" customWidth="1"/>
    <col min="3" max="3" width="27.7265625" style="14" customWidth="1"/>
    <col min="4" max="4" width="95.26953125" customWidth="1"/>
    <col min="5" max="5" width="44.81640625" bestFit="1" customWidth="1"/>
    <col min="6" max="6" width="28.7265625" customWidth="1"/>
    <col min="7" max="7" width="92.26953125" bestFit="1" customWidth="1"/>
    <col min="8" max="8" width="31.26953125" style="15" bestFit="1" customWidth="1"/>
    <col min="9" max="9" width="14.54296875" style="15" customWidth="1"/>
    <col min="10" max="10" width="14.54296875" style="23" customWidth="1"/>
    <col min="11" max="11" width="11.453125" style="16" bestFit="1" customWidth="1"/>
    <col min="12" max="12" width="15.54296875" customWidth="1"/>
    <col min="13" max="13" width="23" bestFit="1" customWidth="1"/>
    <col min="14" max="14" width="23" customWidth="1"/>
    <col min="15" max="15" width="20.81640625" customWidth="1"/>
    <col min="16" max="16" width="25.81640625" bestFit="1" customWidth="1"/>
    <col min="17" max="16384" width="11.453125" style="2"/>
  </cols>
  <sheetData>
    <row r="1" spans="1:17" ht="57.5" thickBot="1" x14ac:dyDescent="0.4">
      <c r="A1" s="13"/>
      <c r="B1" s="13"/>
      <c r="D1" s="143" t="s">
        <v>0</v>
      </c>
      <c r="E1" s="143"/>
      <c r="F1" s="14"/>
      <c r="G1" s="14"/>
      <c r="H1" s="59"/>
      <c r="I1" s="144"/>
      <c r="J1" s="145"/>
      <c r="K1" s="17"/>
      <c r="L1" s="11" t="s">
        <v>1</v>
      </c>
      <c r="M1" s="10"/>
      <c r="N1" s="4"/>
      <c r="O1" s="4"/>
      <c r="P1" s="12">
        <f>P808</f>
        <v>0</v>
      </c>
    </row>
    <row r="2" spans="1:17" ht="28.5" customHeight="1" x14ac:dyDescent="0.35">
      <c r="A2" s="13"/>
      <c r="B2" s="13"/>
      <c r="D2" s="143"/>
      <c r="E2" s="143"/>
      <c r="F2" s="59" t="s">
        <v>2</v>
      </c>
      <c r="G2" s="19"/>
      <c r="H2" s="57"/>
      <c r="I2" s="144"/>
      <c r="J2" s="145"/>
      <c r="K2" s="17"/>
      <c r="L2" s="9"/>
      <c r="M2" s="8"/>
      <c r="N2" s="8"/>
      <c r="O2" s="8"/>
      <c r="P2" s="8"/>
    </row>
    <row r="3" spans="1:17" ht="29.25" customHeight="1" thickBot="1" x14ac:dyDescent="0.4">
      <c r="A3" s="13"/>
      <c r="B3" s="13"/>
      <c r="D3" s="143"/>
      <c r="E3" s="143"/>
      <c r="F3" s="59" t="s">
        <v>3</v>
      </c>
      <c r="G3" s="49" t="str" cm="1">
        <f t="array" aca="1" ref="G3" ca="1">SUBSTITUTE(MID(CELL("filename"), FIND("[", CELL("filename")) + 1, FIND("]", CELL("filename")) - FIND("[", CELL("filename")) - 1),".xlsx","")</f>
        <v>QVERIK2_rtest   09-04-2026</v>
      </c>
      <c r="H3" s="57"/>
      <c r="I3" s="144"/>
      <c r="J3" s="145"/>
      <c r="K3" s="17"/>
      <c r="L3" s="14"/>
      <c r="M3" s="14"/>
      <c r="N3" s="14"/>
      <c r="O3" s="14"/>
      <c r="P3" s="14"/>
    </row>
    <row r="4" spans="1:17" ht="28.5" x14ac:dyDescent="0.35">
      <c r="A4" s="13"/>
      <c r="B4" s="13"/>
      <c r="C4" s="60" t="s">
        <v>4</v>
      </c>
      <c r="D4" s="19"/>
      <c r="E4" s="19"/>
      <c r="F4" s="59" t="s">
        <v>5</v>
      </c>
      <c r="G4" s="19"/>
      <c r="H4" s="57"/>
      <c r="I4" s="144"/>
      <c r="J4" s="145"/>
      <c r="K4" s="17"/>
      <c r="L4" s="14"/>
      <c r="M4" s="14"/>
      <c r="N4" s="14"/>
      <c r="O4" s="14"/>
      <c r="P4" s="14"/>
    </row>
    <row r="5" spans="1:17" ht="28.5" x14ac:dyDescent="0.35">
      <c r="A5" s="13"/>
      <c r="B5" s="13"/>
      <c r="C5" s="61" t="s">
        <v>6</v>
      </c>
      <c r="D5" s="19"/>
      <c r="E5" s="19"/>
      <c r="F5" s="59" t="s">
        <v>7</v>
      </c>
      <c r="G5" s="19"/>
      <c r="H5" s="57"/>
      <c r="I5" s="144"/>
      <c r="J5" s="145"/>
      <c r="K5" s="17"/>
      <c r="L5" s="14"/>
      <c r="M5" s="14"/>
      <c r="N5" s="14"/>
      <c r="O5" s="14"/>
      <c r="P5" s="14"/>
    </row>
    <row r="6" spans="1:17" ht="28.5" x14ac:dyDescent="0.35">
      <c r="A6" s="14"/>
      <c r="B6" s="14"/>
      <c r="C6" s="61" t="s">
        <v>8</v>
      </c>
      <c r="D6" s="19"/>
      <c r="E6" s="19"/>
      <c r="F6" s="59" t="s">
        <v>9</v>
      </c>
      <c r="G6" s="19"/>
      <c r="H6" s="57"/>
      <c r="I6" s="17"/>
      <c r="J6" s="58"/>
      <c r="K6" s="17"/>
      <c r="L6" s="14"/>
      <c r="M6" s="17"/>
      <c r="N6" s="17"/>
      <c r="O6" s="17"/>
      <c r="P6" s="14"/>
    </row>
    <row r="7" spans="1:17" ht="29" thickBot="1" x14ac:dyDescent="0.4">
      <c r="A7" s="14"/>
      <c r="B7" s="14"/>
      <c r="C7" s="62" t="s">
        <v>10</v>
      </c>
      <c r="D7" s="19"/>
      <c r="E7" s="19"/>
      <c r="F7" s="59" t="s">
        <v>11</v>
      </c>
      <c r="G7" s="19"/>
      <c r="H7" s="57"/>
      <c r="I7" s="17"/>
      <c r="J7" s="58"/>
      <c r="K7" s="17"/>
      <c r="L7" s="14"/>
      <c r="M7" s="17"/>
      <c r="N7" s="17"/>
      <c r="O7" s="17"/>
      <c r="P7" s="14"/>
    </row>
    <row r="8" spans="1:17" ht="25.75" customHeight="1" thickBot="1" x14ac:dyDescent="0.4">
      <c r="A8" s="14"/>
      <c r="B8" s="14"/>
      <c r="D8" s="14"/>
      <c r="E8" s="14"/>
      <c r="F8" s="14"/>
      <c r="G8" s="14"/>
      <c r="H8" s="144"/>
      <c r="I8" s="144"/>
      <c r="J8" s="145"/>
      <c r="K8" s="17"/>
      <c r="L8" s="14"/>
      <c r="M8" s="146"/>
      <c r="N8" s="146"/>
      <c r="O8" s="146"/>
      <c r="P8" s="146" t="s">
        <v>12</v>
      </c>
    </row>
    <row r="9" spans="1:17" ht="63.5" thickBot="1" x14ac:dyDescent="0.4">
      <c r="A9" s="33" t="s">
        <v>13</v>
      </c>
      <c r="B9" s="34" t="s">
        <v>445</v>
      </c>
      <c r="C9" s="63" t="s">
        <v>446</v>
      </c>
      <c r="D9" s="64" t="s">
        <v>15</v>
      </c>
      <c r="E9" s="65" t="s">
        <v>16</v>
      </c>
      <c r="F9" s="65" t="s">
        <v>17</v>
      </c>
      <c r="G9" s="65" t="s">
        <v>18</v>
      </c>
      <c r="H9" s="65" t="s">
        <v>19</v>
      </c>
      <c r="I9" s="66" t="s">
        <v>20</v>
      </c>
      <c r="J9" s="67" t="s">
        <v>21</v>
      </c>
      <c r="K9" s="66" t="s">
        <v>22</v>
      </c>
      <c r="L9" s="66" t="s">
        <v>23</v>
      </c>
      <c r="M9" s="66" t="s">
        <v>24</v>
      </c>
      <c r="N9" s="147" t="s">
        <v>25</v>
      </c>
      <c r="O9" s="147" t="s">
        <v>26</v>
      </c>
      <c r="P9" s="68" t="s">
        <v>27</v>
      </c>
      <c r="Q9" s="329" t="s">
        <v>544</v>
      </c>
    </row>
    <row r="10" spans="1:17" ht="23.25" customHeight="1" x14ac:dyDescent="0.35">
      <c r="A10" s="28"/>
      <c r="B10" s="35" t="s">
        <v>28</v>
      </c>
      <c r="C10" s="121" t="s">
        <v>29</v>
      </c>
      <c r="D10" s="148" t="s">
        <v>30</v>
      </c>
      <c r="E10" s="149"/>
      <c r="F10" s="149"/>
      <c r="G10" s="149"/>
      <c r="H10" s="150"/>
      <c r="I10" s="151"/>
      <c r="J10" s="152"/>
      <c r="K10" s="153"/>
      <c r="L10" s="154"/>
      <c r="M10" s="154"/>
      <c r="N10" s="154"/>
      <c r="O10" s="154"/>
      <c r="P10" s="155"/>
      <c r="Q10" s="330"/>
    </row>
    <row r="11" spans="1:17" ht="23.25" customHeight="1" thickBot="1" x14ac:dyDescent="0.4">
      <c r="A11" s="29"/>
      <c r="B11" s="36" t="s">
        <v>28</v>
      </c>
      <c r="C11" s="122" t="s">
        <v>29</v>
      </c>
      <c r="D11" s="156" t="s">
        <v>29</v>
      </c>
      <c r="E11" s="157"/>
      <c r="F11" s="157"/>
      <c r="G11" s="157"/>
      <c r="H11" s="158"/>
      <c r="I11" s="159"/>
      <c r="J11" s="160"/>
      <c r="K11" s="161"/>
      <c r="L11" s="158"/>
      <c r="M11" s="158"/>
      <c r="N11" s="158"/>
      <c r="O11" s="158"/>
      <c r="P11" s="162">
        <f>SUM(P12:P20)</f>
        <v>0</v>
      </c>
      <c r="Q11" s="331"/>
    </row>
    <row r="12" spans="1:17" ht="23.25" customHeight="1" x14ac:dyDescent="0.35">
      <c r="A12" s="27">
        <v>1</v>
      </c>
      <c r="B12" s="55" t="s">
        <v>28</v>
      </c>
      <c r="C12" s="123" t="s">
        <v>29</v>
      </c>
      <c r="D12" s="69" t="s">
        <v>384</v>
      </c>
      <c r="E12" s="70" t="s">
        <v>31</v>
      </c>
      <c r="F12" s="70"/>
      <c r="G12" s="70" t="s">
        <v>32</v>
      </c>
      <c r="H12" s="70" t="s">
        <v>33</v>
      </c>
      <c r="I12" s="71"/>
      <c r="J12" s="53">
        <f t="shared" ref="J12:J53" si="0">I12</f>
        <v>0</v>
      </c>
      <c r="K12" s="163" t="s">
        <v>34</v>
      </c>
      <c r="L12" s="164">
        <v>0</v>
      </c>
      <c r="M12" s="164">
        <v>0</v>
      </c>
      <c r="N12" s="165">
        <f t="shared" ref="N12:N20" si="1">L12*J12</f>
        <v>0</v>
      </c>
      <c r="O12" s="165">
        <f t="shared" ref="O12:O20" si="2">M12*J12</f>
        <v>0</v>
      </c>
      <c r="P12" s="166">
        <f t="shared" ref="P12:P20" si="3">(L12*J12)+(M12*J12)</f>
        <v>0</v>
      </c>
      <c r="Q12" s="332"/>
    </row>
    <row r="13" spans="1:17" ht="23.25" customHeight="1" x14ac:dyDescent="0.35">
      <c r="A13" s="18">
        <f>A12+1</f>
        <v>2</v>
      </c>
      <c r="B13" s="26" t="s">
        <v>28</v>
      </c>
      <c r="C13" s="124" t="s">
        <v>29</v>
      </c>
      <c r="D13" s="72" t="s">
        <v>52</v>
      </c>
      <c r="E13" s="73" t="s">
        <v>31</v>
      </c>
      <c r="F13" s="73"/>
      <c r="G13" s="73" t="s">
        <v>32</v>
      </c>
      <c r="H13" s="73" t="s">
        <v>33</v>
      </c>
      <c r="I13" s="74"/>
      <c r="J13" s="54">
        <f t="shared" si="0"/>
        <v>0</v>
      </c>
      <c r="K13" s="167" t="s">
        <v>37</v>
      </c>
      <c r="L13" s="168">
        <v>0</v>
      </c>
      <c r="M13" s="168">
        <v>0</v>
      </c>
      <c r="N13" s="169">
        <f t="shared" ref="N13:N14" si="4">L13*J13</f>
        <v>0</v>
      </c>
      <c r="O13" s="169">
        <f t="shared" ref="O13:O14" si="5">M13*J13</f>
        <v>0</v>
      </c>
      <c r="P13" s="170">
        <f t="shared" ref="P13:P14" si="6">(L13*J13)+(M13*J13)</f>
        <v>0</v>
      </c>
      <c r="Q13" s="326"/>
    </row>
    <row r="14" spans="1:17" ht="23.25" customHeight="1" x14ac:dyDescent="0.35">
      <c r="A14" s="18">
        <f t="shared" ref="A14:A21" si="7">A13+1</f>
        <v>3</v>
      </c>
      <c r="B14" s="26" t="s">
        <v>28</v>
      </c>
      <c r="C14" s="124" t="s">
        <v>29</v>
      </c>
      <c r="D14" s="72" t="s">
        <v>386</v>
      </c>
      <c r="E14" s="73" t="s">
        <v>31</v>
      </c>
      <c r="F14" s="73"/>
      <c r="G14" s="73" t="s">
        <v>32</v>
      </c>
      <c r="H14" s="73" t="s">
        <v>33</v>
      </c>
      <c r="I14" s="74"/>
      <c r="J14" s="54">
        <f t="shared" si="0"/>
        <v>0</v>
      </c>
      <c r="K14" s="167" t="s">
        <v>37</v>
      </c>
      <c r="L14" s="168">
        <v>0</v>
      </c>
      <c r="M14" s="168">
        <v>0</v>
      </c>
      <c r="N14" s="169">
        <f t="shared" si="4"/>
        <v>0</v>
      </c>
      <c r="O14" s="169">
        <f t="shared" si="5"/>
        <v>0</v>
      </c>
      <c r="P14" s="170">
        <f t="shared" si="6"/>
        <v>0</v>
      </c>
      <c r="Q14" s="326"/>
    </row>
    <row r="15" spans="1:17" ht="23.25" customHeight="1" x14ac:dyDescent="0.35">
      <c r="A15" s="18">
        <f t="shared" si="7"/>
        <v>4</v>
      </c>
      <c r="B15" s="26" t="s">
        <v>28</v>
      </c>
      <c r="C15" s="124" t="s">
        <v>29</v>
      </c>
      <c r="D15" s="72" t="s">
        <v>74</v>
      </c>
      <c r="E15" s="73" t="s">
        <v>31</v>
      </c>
      <c r="F15" s="73"/>
      <c r="G15" s="73" t="s">
        <v>32</v>
      </c>
      <c r="H15" s="73" t="s">
        <v>33</v>
      </c>
      <c r="I15" s="74"/>
      <c r="J15" s="54">
        <f t="shared" ref="J15" si="8">I15</f>
        <v>0</v>
      </c>
      <c r="K15" s="167" t="s">
        <v>37</v>
      </c>
      <c r="L15" s="168">
        <v>0</v>
      </c>
      <c r="M15" s="168">
        <v>0</v>
      </c>
      <c r="N15" s="169">
        <f t="shared" ref="N15" si="9">L15*J15</f>
        <v>0</v>
      </c>
      <c r="O15" s="169">
        <f t="shared" ref="O15" si="10">M15*J15</f>
        <v>0</v>
      </c>
      <c r="P15" s="170">
        <f t="shared" ref="P15" si="11">(L15*J15)+(M15*J15)</f>
        <v>0</v>
      </c>
      <c r="Q15" s="326"/>
    </row>
    <row r="16" spans="1:17" ht="23.25" customHeight="1" x14ac:dyDescent="0.35">
      <c r="A16" s="18">
        <f t="shared" si="7"/>
        <v>5</v>
      </c>
      <c r="B16" s="26" t="s">
        <v>28</v>
      </c>
      <c r="C16" s="124" t="s">
        <v>29</v>
      </c>
      <c r="D16" s="72" t="s">
        <v>35</v>
      </c>
      <c r="E16" s="73" t="s">
        <v>31</v>
      </c>
      <c r="F16" s="73"/>
      <c r="G16" s="73" t="s">
        <v>32</v>
      </c>
      <c r="H16" s="73" t="s">
        <v>36</v>
      </c>
      <c r="I16" s="74"/>
      <c r="J16" s="19">
        <f t="shared" si="0"/>
        <v>0</v>
      </c>
      <c r="K16" s="167" t="s">
        <v>37</v>
      </c>
      <c r="L16" s="168">
        <v>0</v>
      </c>
      <c r="M16" s="168">
        <v>0</v>
      </c>
      <c r="N16" s="169">
        <f t="shared" si="1"/>
        <v>0</v>
      </c>
      <c r="O16" s="169">
        <f t="shared" si="2"/>
        <v>0</v>
      </c>
      <c r="P16" s="170">
        <f t="shared" si="3"/>
        <v>0</v>
      </c>
      <c r="Q16" s="326"/>
    </row>
    <row r="17" spans="1:17" ht="23.25" customHeight="1" x14ac:dyDescent="0.35">
      <c r="A17" s="18">
        <f t="shared" si="7"/>
        <v>6</v>
      </c>
      <c r="B17" s="26" t="s">
        <v>28</v>
      </c>
      <c r="C17" s="124" t="s">
        <v>29</v>
      </c>
      <c r="D17" s="72" t="s">
        <v>35</v>
      </c>
      <c r="E17" s="73" t="s">
        <v>31</v>
      </c>
      <c r="F17" s="73"/>
      <c r="G17" s="73" t="s">
        <v>32</v>
      </c>
      <c r="H17" s="73" t="s">
        <v>38</v>
      </c>
      <c r="I17" s="74"/>
      <c r="J17" s="19">
        <f t="shared" si="0"/>
        <v>0</v>
      </c>
      <c r="K17" s="167" t="s">
        <v>37</v>
      </c>
      <c r="L17" s="168">
        <v>0</v>
      </c>
      <c r="M17" s="168">
        <v>0</v>
      </c>
      <c r="N17" s="169">
        <f t="shared" si="1"/>
        <v>0</v>
      </c>
      <c r="O17" s="169">
        <f t="shared" si="2"/>
        <v>0</v>
      </c>
      <c r="P17" s="170">
        <f t="shared" si="3"/>
        <v>0</v>
      </c>
      <c r="Q17" s="326"/>
    </row>
    <row r="18" spans="1:17" ht="23.25" customHeight="1" x14ac:dyDescent="0.35">
      <c r="A18" s="18">
        <f t="shared" si="7"/>
        <v>7</v>
      </c>
      <c r="B18" s="26" t="s">
        <v>28</v>
      </c>
      <c r="C18" s="124" t="s">
        <v>29</v>
      </c>
      <c r="D18" s="72" t="s">
        <v>39</v>
      </c>
      <c r="E18" s="73" t="s">
        <v>31</v>
      </c>
      <c r="F18" s="73"/>
      <c r="G18" s="73" t="s">
        <v>32</v>
      </c>
      <c r="H18" s="73" t="s">
        <v>33</v>
      </c>
      <c r="I18" s="74"/>
      <c r="J18" s="19">
        <f t="shared" si="0"/>
        <v>0</v>
      </c>
      <c r="K18" s="167" t="s">
        <v>37</v>
      </c>
      <c r="L18" s="168">
        <v>0</v>
      </c>
      <c r="M18" s="168">
        <v>0</v>
      </c>
      <c r="N18" s="169">
        <f t="shared" si="1"/>
        <v>0</v>
      </c>
      <c r="O18" s="169">
        <f t="shared" si="2"/>
        <v>0</v>
      </c>
      <c r="P18" s="170">
        <f t="shared" si="3"/>
        <v>0</v>
      </c>
      <c r="Q18" s="326"/>
    </row>
    <row r="19" spans="1:17" ht="23.25" customHeight="1" x14ac:dyDescent="0.35">
      <c r="A19" s="18">
        <f t="shared" si="7"/>
        <v>8</v>
      </c>
      <c r="B19" s="26" t="s">
        <v>28</v>
      </c>
      <c r="C19" s="124" t="s">
        <v>29</v>
      </c>
      <c r="D19" s="72" t="s">
        <v>385</v>
      </c>
      <c r="E19" s="73" t="s">
        <v>41</v>
      </c>
      <c r="F19" s="73"/>
      <c r="G19" s="73" t="s">
        <v>42</v>
      </c>
      <c r="H19" s="73" t="s">
        <v>43</v>
      </c>
      <c r="I19" s="74"/>
      <c r="J19" s="19">
        <f t="shared" si="0"/>
        <v>0</v>
      </c>
      <c r="K19" s="167" t="s">
        <v>34</v>
      </c>
      <c r="L19" s="168">
        <v>0</v>
      </c>
      <c r="M19" s="168">
        <v>0</v>
      </c>
      <c r="N19" s="169">
        <f t="shared" si="1"/>
        <v>0</v>
      </c>
      <c r="O19" s="169">
        <f t="shared" si="2"/>
        <v>0</v>
      </c>
      <c r="P19" s="170">
        <f t="shared" si="3"/>
        <v>0</v>
      </c>
      <c r="Q19" s="326"/>
    </row>
    <row r="20" spans="1:17" ht="23.25" customHeight="1" x14ac:dyDescent="0.35">
      <c r="A20" s="18">
        <f t="shared" si="7"/>
        <v>9</v>
      </c>
      <c r="B20" s="26" t="s">
        <v>28</v>
      </c>
      <c r="C20" s="124" t="s">
        <v>29</v>
      </c>
      <c r="D20" s="75" t="s">
        <v>44</v>
      </c>
      <c r="E20" s="169"/>
      <c r="F20" s="169"/>
      <c r="G20" s="169"/>
      <c r="H20" s="169"/>
      <c r="I20" s="76"/>
      <c r="J20" s="19">
        <f t="shared" si="0"/>
        <v>0</v>
      </c>
      <c r="K20" s="167" t="s">
        <v>37</v>
      </c>
      <c r="L20" s="168">
        <v>0</v>
      </c>
      <c r="M20" s="168">
        <v>0</v>
      </c>
      <c r="N20" s="169">
        <f t="shared" si="1"/>
        <v>0</v>
      </c>
      <c r="O20" s="169">
        <f t="shared" si="2"/>
        <v>0</v>
      </c>
      <c r="P20" s="170">
        <f t="shared" si="3"/>
        <v>0</v>
      </c>
      <c r="Q20" s="326"/>
    </row>
    <row r="21" spans="1:17" ht="23.25" customHeight="1" x14ac:dyDescent="0.35">
      <c r="A21" s="18">
        <f t="shared" si="7"/>
        <v>10</v>
      </c>
      <c r="B21" s="26" t="s">
        <v>28</v>
      </c>
      <c r="C21" s="124" t="s">
        <v>29</v>
      </c>
      <c r="D21" s="43" t="s">
        <v>358</v>
      </c>
      <c r="E21" s="5"/>
      <c r="F21" s="5"/>
      <c r="G21" s="5"/>
      <c r="H21" s="5"/>
      <c r="I21" s="20"/>
      <c r="J21" s="19">
        <f>I21</f>
        <v>0</v>
      </c>
      <c r="K21" s="171"/>
      <c r="L21" s="168">
        <v>0</v>
      </c>
      <c r="M21" s="168">
        <v>0</v>
      </c>
      <c r="N21" s="169">
        <f>L21*J21</f>
        <v>0</v>
      </c>
      <c r="O21" s="169">
        <f>M21*J21</f>
        <v>0</v>
      </c>
      <c r="P21" s="170">
        <f>(L21*J21)+(M21*J21)</f>
        <v>0</v>
      </c>
      <c r="Q21" s="326"/>
    </row>
    <row r="22" spans="1:17" ht="23.25" customHeight="1" thickBot="1" x14ac:dyDescent="0.4">
      <c r="A22" s="29">
        <f>A21+1</f>
        <v>11</v>
      </c>
      <c r="B22" s="36" t="s">
        <v>28</v>
      </c>
      <c r="C22" s="46" t="s">
        <v>29</v>
      </c>
      <c r="D22" s="44" t="s">
        <v>358</v>
      </c>
      <c r="E22" s="6"/>
      <c r="F22" s="6"/>
      <c r="G22" s="6"/>
      <c r="H22" s="6"/>
      <c r="I22" s="21"/>
      <c r="J22" s="22">
        <f>I22</f>
        <v>0</v>
      </c>
      <c r="K22" s="172"/>
      <c r="L22" s="173">
        <v>0</v>
      </c>
      <c r="M22" s="173">
        <v>0</v>
      </c>
      <c r="N22" s="174">
        <f>L22*J22</f>
        <v>0</v>
      </c>
      <c r="O22" s="174">
        <f>M22*J22</f>
        <v>0</v>
      </c>
      <c r="P22" s="175">
        <f>(L22*J22)+(M22*J22)</f>
        <v>0</v>
      </c>
      <c r="Q22" s="327"/>
    </row>
    <row r="23" spans="1:17" ht="23.25" customHeight="1" thickBot="1" x14ac:dyDescent="0.4">
      <c r="A23" s="30"/>
      <c r="B23" s="31" t="s">
        <v>45</v>
      </c>
      <c r="C23" s="125" t="s">
        <v>46</v>
      </c>
      <c r="D23" s="176" t="s">
        <v>47</v>
      </c>
      <c r="E23" s="177"/>
      <c r="F23" s="177"/>
      <c r="G23" s="177"/>
      <c r="H23" s="178"/>
      <c r="I23" s="179"/>
      <c r="J23" s="180"/>
      <c r="K23" s="181"/>
      <c r="L23" s="182"/>
      <c r="M23" s="182"/>
      <c r="N23" s="183"/>
      <c r="O23" s="183"/>
      <c r="P23" s="184"/>
      <c r="Q23" s="333"/>
    </row>
    <row r="24" spans="1:17" ht="23.25" customHeight="1" x14ac:dyDescent="0.35">
      <c r="A24" s="28">
        <f>A22+1</f>
        <v>12</v>
      </c>
      <c r="B24" s="35" t="s">
        <v>45</v>
      </c>
      <c r="C24" s="121" t="s">
        <v>46</v>
      </c>
      <c r="D24" s="77" t="s">
        <v>40</v>
      </c>
      <c r="E24" s="78" t="s">
        <v>48</v>
      </c>
      <c r="F24" s="78"/>
      <c r="G24" s="78" t="s">
        <v>49</v>
      </c>
      <c r="H24" s="78" t="s">
        <v>388</v>
      </c>
      <c r="I24" s="82"/>
      <c r="J24" s="32">
        <f t="shared" si="0"/>
        <v>0</v>
      </c>
      <c r="K24" s="81" t="s">
        <v>51</v>
      </c>
      <c r="L24" s="185">
        <v>0</v>
      </c>
      <c r="M24" s="185">
        <v>0</v>
      </c>
      <c r="N24" s="186">
        <f t="shared" ref="N24:N53" si="12">L24*J24</f>
        <v>0</v>
      </c>
      <c r="O24" s="186">
        <f t="shared" ref="O24:O53" si="13">M24*J24</f>
        <v>0</v>
      </c>
      <c r="P24" s="187">
        <f t="shared" ref="P24:P54" si="14">(L24*J24)+(M24*J24)</f>
        <v>0</v>
      </c>
      <c r="Q24" s="334"/>
    </row>
    <row r="25" spans="1:17" s="3" customFormat="1" ht="23.25" customHeight="1" x14ac:dyDescent="0.35">
      <c r="A25" s="18">
        <f>A24+1</f>
        <v>13</v>
      </c>
      <c r="B25" s="26" t="s">
        <v>45</v>
      </c>
      <c r="C25" s="124" t="s">
        <v>46</v>
      </c>
      <c r="D25" s="72" t="s">
        <v>52</v>
      </c>
      <c r="E25" s="73" t="s">
        <v>48</v>
      </c>
      <c r="F25" s="73"/>
      <c r="G25" s="73" t="s">
        <v>49</v>
      </c>
      <c r="H25" s="73" t="s">
        <v>388</v>
      </c>
      <c r="I25" s="74"/>
      <c r="J25" s="19">
        <f t="shared" si="0"/>
        <v>0</v>
      </c>
      <c r="K25" s="80" t="s">
        <v>22</v>
      </c>
      <c r="L25" s="168">
        <v>0</v>
      </c>
      <c r="M25" s="168">
        <v>0</v>
      </c>
      <c r="N25" s="169">
        <f t="shared" si="12"/>
        <v>0</v>
      </c>
      <c r="O25" s="169">
        <f t="shared" si="13"/>
        <v>0</v>
      </c>
      <c r="P25" s="170">
        <f t="shared" si="14"/>
        <v>0</v>
      </c>
      <c r="Q25" s="326"/>
    </row>
    <row r="26" spans="1:17" s="3" customFormat="1" ht="23.25" customHeight="1" x14ac:dyDescent="0.35">
      <c r="A26" s="18">
        <f t="shared" ref="A26:A55" si="15">A25+1</f>
        <v>14</v>
      </c>
      <c r="B26" s="26" t="s">
        <v>45</v>
      </c>
      <c r="C26" s="124" t="s">
        <v>46</v>
      </c>
      <c r="D26" s="72" t="s">
        <v>387</v>
      </c>
      <c r="E26" s="73" t="s">
        <v>48</v>
      </c>
      <c r="F26" s="73"/>
      <c r="G26" s="73" t="s">
        <v>49</v>
      </c>
      <c r="H26" s="73" t="s">
        <v>388</v>
      </c>
      <c r="I26" s="74"/>
      <c r="J26" s="19">
        <f t="shared" si="0"/>
        <v>0</v>
      </c>
      <c r="K26" s="80" t="s">
        <v>22</v>
      </c>
      <c r="L26" s="168">
        <v>0</v>
      </c>
      <c r="M26" s="168">
        <v>0</v>
      </c>
      <c r="N26" s="169">
        <f t="shared" ref="N26:N46" si="16">L26*J26</f>
        <v>0</v>
      </c>
      <c r="O26" s="169">
        <f t="shared" ref="O26:O46" si="17">M26*J26</f>
        <v>0</v>
      </c>
      <c r="P26" s="170">
        <f t="shared" ref="P26:P46" si="18">(L26*J26)+(M26*J26)</f>
        <v>0</v>
      </c>
      <c r="Q26" s="326"/>
    </row>
    <row r="27" spans="1:17" s="3" customFormat="1" ht="23.25" customHeight="1" x14ac:dyDescent="0.35">
      <c r="A27" s="18">
        <f t="shared" si="15"/>
        <v>15</v>
      </c>
      <c r="B27" s="26" t="s">
        <v>45</v>
      </c>
      <c r="C27" s="124" t="s">
        <v>46</v>
      </c>
      <c r="D27" s="72" t="s">
        <v>74</v>
      </c>
      <c r="E27" s="73" t="s">
        <v>48</v>
      </c>
      <c r="F27" s="73"/>
      <c r="G27" s="73" t="s">
        <v>49</v>
      </c>
      <c r="H27" s="73" t="s">
        <v>388</v>
      </c>
      <c r="I27" s="74"/>
      <c r="J27" s="19">
        <f t="shared" ref="J27" si="19">I27</f>
        <v>0</v>
      </c>
      <c r="K27" s="80" t="s">
        <v>22</v>
      </c>
      <c r="L27" s="168">
        <v>0</v>
      </c>
      <c r="M27" s="168">
        <v>0</v>
      </c>
      <c r="N27" s="169">
        <f t="shared" ref="N27" si="20">L27*J27</f>
        <v>0</v>
      </c>
      <c r="O27" s="169">
        <f t="shared" ref="O27" si="21">M27*J27</f>
        <v>0</v>
      </c>
      <c r="P27" s="170">
        <f t="shared" ref="P27" si="22">(L27*J27)+(M27*J27)</f>
        <v>0</v>
      </c>
      <c r="Q27" s="326"/>
    </row>
    <row r="28" spans="1:17" s="3" customFormat="1" ht="23.25" customHeight="1" x14ac:dyDescent="0.35">
      <c r="A28" s="18">
        <f t="shared" si="15"/>
        <v>16</v>
      </c>
      <c r="B28" s="26" t="s">
        <v>45</v>
      </c>
      <c r="C28" s="124" t="s">
        <v>46</v>
      </c>
      <c r="D28" s="72" t="s">
        <v>53</v>
      </c>
      <c r="E28" s="73" t="s">
        <v>48</v>
      </c>
      <c r="F28" s="73"/>
      <c r="G28" s="73" t="s">
        <v>49</v>
      </c>
      <c r="H28" s="73" t="s">
        <v>388</v>
      </c>
      <c r="I28" s="74"/>
      <c r="J28" s="19">
        <f t="shared" si="0"/>
        <v>0</v>
      </c>
      <c r="K28" s="80" t="s">
        <v>22</v>
      </c>
      <c r="L28" s="168">
        <v>0</v>
      </c>
      <c r="M28" s="168">
        <v>0</v>
      </c>
      <c r="N28" s="169">
        <f t="shared" si="16"/>
        <v>0</v>
      </c>
      <c r="O28" s="169">
        <f t="shared" si="17"/>
        <v>0</v>
      </c>
      <c r="P28" s="170">
        <f t="shared" si="18"/>
        <v>0</v>
      </c>
      <c r="Q28" s="326"/>
    </row>
    <row r="29" spans="1:17" s="3" customFormat="1" ht="23.25" customHeight="1" x14ac:dyDescent="0.35">
      <c r="A29" s="18">
        <f t="shared" si="15"/>
        <v>17</v>
      </c>
      <c r="B29" s="26" t="s">
        <v>45</v>
      </c>
      <c r="C29" s="124" t="s">
        <v>46</v>
      </c>
      <c r="D29" s="72" t="s">
        <v>54</v>
      </c>
      <c r="E29" s="73" t="s">
        <v>48</v>
      </c>
      <c r="F29" s="73"/>
      <c r="G29" s="73" t="s">
        <v>49</v>
      </c>
      <c r="H29" s="73" t="s">
        <v>388</v>
      </c>
      <c r="I29" s="74"/>
      <c r="J29" s="19">
        <f t="shared" si="0"/>
        <v>0</v>
      </c>
      <c r="K29" s="80" t="s">
        <v>22</v>
      </c>
      <c r="L29" s="168">
        <v>0</v>
      </c>
      <c r="M29" s="168">
        <v>0</v>
      </c>
      <c r="N29" s="169">
        <f t="shared" si="16"/>
        <v>0</v>
      </c>
      <c r="O29" s="169">
        <f t="shared" si="17"/>
        <v>0</v>
      </c>
      <c r="P29" s="170">
        <f t="shared" si="18"/>
        <v>0</v>
      </c>
      <c r="Q29" s="326"/>
    </row>
    <row r="30" spans="1:17" ht="23.25" customHeight="1" x14ac:dyDescent="0.35">
      <c r="A30" s="18">
        <f t="shared" si="15"/>
        <v>18</v>
      </c>
      <c r="B30" s="26" t="s">
        <v>45</v>
      </c>
      <c r="C30" s="124" t="s">
        <v>46</v>
      </c>
      <c r="D30" s="72" t="s">
        <v>40</v>
      </c>
      <c r="E30" s="73" t="s">
        <v>48</v>
      </c>
      <c r="F30" s="73"/>
      <c r="G30" s="73" t="s">
        <v>49</v>
      </c>
      <c r="H30" s="73" t="s">
        <v>389</v>
      </c>
      <c r="I30" s="74"/>
      <c r="J30" s="19">
        <f t="shared" si="0"/>
        <v>0</v>
      </c>
      <c r="K30" s="80" t="s">
        <v>51</v>
      </c>
      <c r="L30" s="168">
        <v>0</v>
      </c>
      <c r="M30" s="168">
        <v>0</v>
      </c>
      <c r="N30" s="169">
        <f t="shared" si="16"/>
        <v>0</v>
      </c>
      <c r="O30" s="169">
        <f t="shared" si="17"/>
        <v>0</v>
      </c>
      <c r="P30" s="170">
        <f t="shared" si="18"/>
        <v>0</v>
      </c>
      <c r="Q30" s="326"/>
    </row>
    <row r="31" spans="1:17" s="3" customFormat="1" ht="23.25" customHeight="1" x14ac:dyDescent="0.35">
      <c r="A31" s="18">
        <f t="shared" si="15"/>
        <v>19</v>
      </c>
      <c r="B31" s="26" t="s">
        <v>45</v>
      </c>
      <c r="C31" s="124" t="s">
        <v>46</v>
      </c>
      <c r="D31" s="72" t="s">
        <v>52</v>
      </c>
      <c r="E31" s="73" t="s">
        <v>48</v>
      </c>
      <c r="F31" s="73"/>
      <c r="G31" s="73" t="s">
        <v>49</v>
      </c>
      <c r="H31" s="73" t="s">
        <v>389</v>
      </c>
      <c r="I31" s="74"/>
      <c r="J31" s="19">
        <f t="shared" si="0"/>
        <v>0</v>
      </c>
      <c r="K31" s="80" t="s">
        <v>22</v>
      </c>
      <c r="L31" s="168">
        <v>0</v>
      </c>
      <c r="M31" s="168">
        <v>0</v>
      </c>
      <c r="N31" s="169">
        <f t="shared" si="16"/>
        <v>0</v>
      </c>
      <c r="O31" s="169">
        <f t="shared" si="17"/>
        <v>0</v>
      </c>
      <c r="P31" s="170">
        <f t="shared" si="18"/>
        <v>0</v>
      </c>
      <c r="Q31" s="326"/>
    </row>
    <row r="32" spans="1:17" s="3" customFormat="1" ht="23.25" customHeight="1" x14ac:dyDescent="0.35">
      <c r="A32" s="18">
        <f t="shared" si="15"/>
        <v>20</v>
      </c>
      <c r="B32" s="26" t="s">
        <v>45</v>
      </c>
      <c r="C32" s="124" t="s">
        <v>46</v>
      </c>
      <c r="D32" s="72" t="s">
        <v>387</v>
      </c>
      <c r="E32" s="73" t="s">
        <v>48</v>
      </c>
      <c r="F32" s="73"/>
      <c r="G32" s="73" t="s">
        <v>49</v>
      </c>
      <c r="H32" s="73" t="s">
        <v>389</v>
      </c>
      <c r="I32" s="74"/>
      <c r="J32" s="19">
        <f t="shared" si="0"/>
        <v>0</v>
      </c>
      <c r="K32" s="80" t="s">
        <v>22</v>
      </c>
      <c r="L32" s="168">
        <v>0</v>
      </c>
      <c r="M32" s="168">
        <v>0</v>
      </c>
      <c r="N32" s="169">
        <f t="shared" si="16"/>
        <v>0</v>
      </c>
      <c r="O32" s="169">
        <f t="shared" si="17"/>
        <v>0</v>
      </c>
      <c r="P32" s="170">
        <f t="shared" si="18"/>
        <v>0</v>
      </c>
      <c r="Q32" s="326"/>
    </row>
    <row r="33" spans="1:17" s="3" customFormat="1" ht="23.25" customHeight="1" x14ac:dyDescent="0.35">
      <c r="A33" s="18">
        <f t="shared" si="15"/>
        <v>21</v>
      </c>
      <c r="B33" s="26" t="s">
        <v>45</v>
      </c>
      <c r="C33" s="124" t="s">
        <v>46</v>
      </c>
      <c r="D33" s="72" t="s">
        <v>74</v>
      </c>
      <c r="E33" s="73" t="s">
        <v>48</v>
      </c>
      <c r="F33" s="73"/>
      <c r="G33" s="73" t="s">
        <v>49</v>
      </c>
      <c r="H33" s="73" t="s">
        <v>389</v>
      </c>
      <c r="I33" s="74"/>
      <c r="J33" s="19">
        <f t="shared" ref="J33" si="23">I33</f>
        <v>0</v>
      </c>
      <c r="K33" s="80" t="s">
        <v>22</v>
      </c>
      <c r="L33" s="168">
        <v>0</v>
      </c>
      <c r="M33" s="168">
        <v>0</v>
      </c>
      <c r="N33" s="169">
        <f t="shared" ref="N33" si="24">L33*J33</f>
        <v>0</v>
      </c>
      <c r="O33" s="169">
        <f t="shared" ref="O33" si="25">M33*J33</f>
        <v>0</v>
      </c>
      <c r="P33" s="170">
        <f t="shared" ref="P33" si="26">(L33*J33)+(M33*J33)</f>
        <v>0</v>
      </c>
      <c r="Q33" s="326"/>
    </row>
    <row r="34" spans="1:17" s="3" customFormat="1" ht="23.25" customHeight="1" x14ac:dyDescent="0.35">
      <c r="A34" s="18">
        <f t="shared" si="15"/>
        <v>22</v>
      </c>
      <c r="B34" s="26" t="s">
        <v>45</v>
      </c>
      <c r="C34" s="124" t="s">
        <v>46</v>
      </c>
      <c r="D34" s="72" t="s">
        <v>53</v>
      </c>
      <c r="E34" s="73" t="s">
        <v>48</v>
      </c>
      <c r="F34" s="73"/>
      <c r="G34" s="73" t="s">
        <v>49</v>
      </c>
      <c r="H34" s="73" t="s">
        <v>389</v>
      </c>
      <c r="I34" s="74"/>
      <c r="J34" s="19">
        <f t="shared" si="0"/>
        <v>0</v>
      </c>
      <c r="K34" s="80" t="s">
        <v>22</v>
      </c>
      <c r="L34" s="168">
        <v>0</v>
      </c>
      <c r="M34" s="168">
        <v>0</v>
      </c>
      <c r="N34" s="169">
        <f t="shared" si="16"/>
        <v>0</v>
      </c>
      <c r="O34" s="169">
        <f t="shared" si="17"/>
        <v>0</v>
      </c>
      <c r="P34" s="170">
        <f t="shared" si="18"/>
        <v>0</v>
      </c>
      <c r="Q34" s="326"/>
    </row>
    <row r="35" spans="1:17" s="3" customFormat="1" ht="23.25" customHeight="1" x14ac:dyDescent="0.35">
      <c r="A35" s="18">
        <f t="shared" si="15"/>
        <v>23</v>
      </c>
      <c r="B35" s="26" t="s">
        <v>45</v>
      </c>
      <c r="C35" s="124" t="s">
        <v>46</v>
      </c>
      <c r="D35" s="72" t="s">
        <v>54</v>
      </c>
      <c r="E35" s="73" t="s">
        <v>48</v>
      </c>
      <c r="F35" s="73"/>
      <c r="G35" s="73" t="s">
        <v>49</v>
      </c>
      <c r="H35" s="73" t="s">
        <v>389</v>
      </c>
      <c r="I35" s="74"/>
      <c r="J35" s="19">
        <f t="shared" si="0"/>
        <v>0</v>
      </c>
      <c r="K35" s="80" t="s">
        <v>22</v>
      </c>
      <c r="L35" s="168">
        <v>0</v>
      </c>
      <c r="M35" s="168">
        <v>0</v>
      </c>
      <c r="N35" s="169">
        <f t="shared" si="16"/>
        <v>0</v>
      </c>
      <c r="O35" s="169">
        <f t="shared" si="17"/>
        <v>0</v>
      </c>
      <c r="P35" s="170">
        <f t="shared" si="18"/>
        <v>0</v>
      </c>
      <c r="Q35" s="326"/>
    </row>
    <row r="36" spans="1:17" ht="23.25" customHeight="1" x14ac:dyDescent="0.35">
      <c r="A36" s="18">
        <f t="shared" si="15"/>
        <v>24</v>
      </c>
      <c r="B36" s="26" t="s">
        <v>45</v>
      </c>
      <c r="C36" s="124" t="s">
        <v>46</v>
      </c>
      <c r="D36" s="72" t="s">
        <v>40</v>
      </c>
      <c r="E36" s="73" t="s">
        <v>48</v>
      </c>
      <c r="F36" s="73"/>
      <c r="G36" s="73" t="s">
        <v>49</v>
      </c>
      <c r="H36" s="73" t="s">
        <v>105</v>
      </c>
      <c r="I36" s="74"/>
      <c r="J36" s="19">
        <f t="shared" si="0"/>
        <v>0</v>
      </c>
      <c r="K36" s="80" t="s">
        <v>51</v>
      </c>
      <c r="L36" s="168">
        <v>0</v>
      </c>
      <c r="M36" s="168">
        <v>0</v>
      </c>
      <c r="N36" s="169">
        <f t="shared" si="16"/>
        <v>0</v>
      </c>
      <c r="O36" s="169">
        <f t="shared" si="17"/>
        <v>0</v>
      </c>
      <c r="P36" s="170">
        <f t="shared" si="18"/>
        <v>0</v>
      </c>
      <c r="Q36" s="326"/>
    </row>
    <row r="37" spans="1:17" s="3" customFormat="1" ht="23.25" customHeight="1" x14ac:dyDescent="0.35">
      <c r="A37" s="18">
        <f t="shared" si="15"/>
        <v>25</v>
      </c>
      <c r="B37" s="26" t="s">
        <v>45</v>
      </c>
      <c r="C37" s="124" t="s">
        <v>46</v>
      </c>
      <c r="D37" s="72" t="s">
        <v>52</v>
      </c>
      <c r="E37" s="73" t="s">
        <v>48</v>
      </c>
      <c r="F37" s="73"/>
      <c r="G37" s="73" t="s">
        <v>49</v>
      </c>
      <c r="H37" s="73" t="s">
        <v>105</v>
      </c>
      <c r="I37" s="74"/>
      <c r="J37" s="19">
        <f t="shared" si="0"/>
        <v>0</v>
      </c>
      <c r="K37" s="80" t="s">
        <v>22</v>
      </c>
      <c r="L37" s="168">
        <v>0</v>
      </c>
      <c r="M37" s="168">
        <v>0</v>
      </c>
      <c r="N37" s="169">
        <f t="shared" si="16"/>
        <v>0</v>
      </c>
      <c r="O37" s="169">
        <f t="shared" si="17"/>
        <v>0</v>
      </c>
      <c r="P37" s="170">
        <f t="shared" si="18"/>
        <v>0</v>
      </c>
      <c r="Q37" s="326"/>
    </row>
    <row r="38" spans="1:17" s="3" customFormat="1" ht="23.25" customHeight="1" x14ac:dyDescent="0.35">
      <c r="A38" s="18">
        <f t="shared" si="15"/>
        <v>26</v>
      </c>
      <c r="B38" s="26" t="s">
        <v>45</v>
      </c>
      <c r="C38" s="124" t="s">
        <v>46</v>
      </c>
      <c r="D38" s="72" t="s">
        <v>387</v>
      </c>
      <c r="E38" s="73" t="s">
        <v>48</v>
      </c>
      <c r="F38" s="73"/>
      <c r="G38" s="73" t="s">
        <v>49</v>
      </c>
      <c r="H38" s="73" t="s">
        <v>105</v>
      </c>
      <c r="I38" s="74"/>
      <c r="J38" s="19">
        <f t="shared" si="0"/>
        <v>0</v>
      </c>
      <c r="K38" s="80" t="s">
        <v>22</v>
      </c>
      <c r="L38" s="168">
        <v>0</v>
      </c>
      <c r="M38" s="168">
        <v>0</v>
      </c>
      <c r="N38" s="169">
        <f t="shared" si="16"/>
        <v>0</v>
      </c>
      <c r="O38" s="169">
        <f t="shared" si="17"/>
        <v>0</v>
      </c>
      <c r="P38" s="170">
        <f t="shared" si="18"/>
        <v>0</v>
      </c>
      <c r="Q38" s="326"/>
    </row>
    <row r="39" spans="1:17" s="3" customFormat="1" ht="23.25" customHeight="1" x14ac:dyDescent="0.35">
      <c r="A39" s="18">
        <f t="shared" si="15"/>
        <v>27</v>
      </c>
      <c r="B39" s="26" t="s">
        <v>45</v>
      </c>
      <c r="C39" s="124" t="s">
        <v>46</v>
      </c>
      <c r="D39" s="72" t="s">
        <v>74</v>
      </c>
      <c r="E39" s="73" t="s">
        <v>48</v>
      </c>
      <c r="F39" s="73"/>
      <c r="G39" s="73" t="s">
        <v>49</v>
      </c>
      <c r="H39" s="73" t="s">
        <v>105</v>
      </c>
      <c r="I39" s="74"/>
      <c r="J39" s="19">
        <f t="shared" ref="J39" si="27">I39</f>
        <v>0</v>
      </c>
      <c r="K39" s="80" t="s">
        <v>22</v>
      </c>
      <c r="L39" s="168">
        <v>0</v>
      </c>
      <c r="M39" s="168">
        <v>0</v>
      </c>
      <c r="N39" s="169">
        <f t="shared" ref="N39" si="28">L39*J39</f>
        <v>0</v>
      </c>
      <c r="O39" s="169">
        <f t="shared" ref="O39" si="29">M39*J39</f>
        <v>0</v>
      </c>
      <c r="P39" s="170">
        <f t="shared" ref="P39" si="30">(L39*J39)+(M39*J39)</f>
        <v>0</v>
      </c>
      <c r="Q39" s="326"/>
    </row>
    <row r="40" spans="1:17" s="3" customFormat="1" ht="23.25" customHeight="1" x14ac:dyDescent="0.35">
      <c r="A40" s="18">
        <f t="shared" si="15"/>
        <v>28</v>
      </c>
      <c r="B40" s="26" t="s">
        <v>45</v>
      </c>
      <c r="C40" s="124" t="s">
        <v>46</v>
      </c>
      <c r="D40" s="72" t="s">
        <v>53</v>
      </c>
      <c r="E40" s="73" t="s">
        <v>48</v>
      </c>
      <c r="F40" s="73"/>
      <c r="G40" s="73" t="s">
        <v>49</v>
      </c>
      <c r="H40" s="73" t="s">
        <v>105</v>
      </c>
      <c r="I40" s="74"/>
      <c r="J40" s="19">
        <f t="shared" si="0"/>
        <v>0</v>
      </c>
      <c r="K40" s="80" t="s">
        <v>22</v>
      </c>
      <c r="L40" s="168">
        <v>0</v>
      </c>
      <c r="M40" s="168">
        <v>0</v>
      </c>
      <c r="N40" s="169">
        <f t="shared" si="16"/>
        <v>0</v>
      </c>
      <c r="O40" s="169">
        <f t="shared" si="17"/>
        <v>0</v>
      </c>
      <c r="P40" s="170">
        <f t="shared" si="18"/>
        <v>0</v>
      </c>
      <c r="Q40" s="326"/>
    </row>
    <row r="41" spans="1:17" s="3" customFormat="1" ht="23.25" customHeight="1" x14ac:dyDescent="0.35">
      <c r="A41" s="18">
        <f t="shared" si="15"/>
        <v>29</v>
      </c>
      <c r="B41" s="26" t="s">
        <v>45</v>
      </c>
      <c r="C41" s="124" t="s">
        <v>46</v>
      </c>
      <c r="D41" s="72" t="s">
        <v>54</v>
      </c>
      <c r="E41" s="73" t="s">
        <v>48</v>
      </c>
      <c r="F41" s="73"/>
      <c r="G41" s="73" t="s">
        <v>49</v>
      </c>
      <c r="H41" s="73" t="s">
        <v>105</v>
      </c>
      <c r="I41" s="74"/>
      <c r="J41" s="19">
        <f t="shared" si="0"/>
        <v>0</v>
      </c>
      <c r="K41" s="80" t="s">
        <v>22</v>
      </c>
      <c r="L41" s="168">
        <v>0</v>
      </c>
      <c r="M41" s="168">
        <v>0</v>
      </c>
      <c r="N41" s="169">
        <f t="shared" si="16"/>
        <v>0</v>
      </c>
      <c r="O41" s="169">
        <f t="shared" si="17"/>
        <v>0</v>
      </c>
      <c r="P41" s="170">
        <f t="shared" si="18"/>
        <v>0</v>
      </c>
      <c r="Q41" s="326"/>
    </row>
    <row r="42" spans="1:17" ht="23.25" customHeight="1" x14ac:dyDescent="0.35">
      <c r="A42" s="18">
        <f t="shared" si="15"/>
        <v>30</v>
      </c>
      <c r="B42" s="26" t="s">
        <v>45</v>
      </c>
      <c r="C42" s="124" t="s">
        <v>46</v>
      </c>
      <c r="D42" s="72" t="s">
        <v>40</v>
      </c>
      <c r="E42" s="73" t="s">
        <v>48</v>
      </c>
      <c r="F42" s="73"/>
      <c r="G42" s="73" t="s">
        <v>49</v>
      </c>
      <c r="H42" s="73" t="s">
        <v>106</v>
      </c>
      <c r="I42" s="74"/>
      <c r="J42" s="19">
        <f t="shared" si="0"/>
        <v>0</v>
      </c>
      <c r="K42" s="80" t="s">
        <v>51</v>
      </c>
      <c r="L42" s="168">
        <v>0</v>
      </c>
      <c r="M42" s="168">
        <v>0</v>
      </c>
      <c r="N42" s="169">
        <f t="shared" si="16"/>
        <v>0</v>
      </c>
      <c r="O42" s="169">
        <f t="shared" si="17"/>
        <v>0</v>
      </c>
      <c r="P42" s="170">
        <f t="shared" si="18"/>
        <v>0</v>
      </c>
      <c r="Q42" s="326"/>
    </row>
    <row r="43" spans="1:17" s="3" customFormat="1" ht="23.25" customHeight="1" x14ac:dyDescent="0.35">
      <c r="A43" s="18">
        <f t="shared" si="15"/>
        <v>31</v>
      </c>
      <c r="B43" s="26" t="s">
        <v>45</v>
      </c>
      <c r="C43" s="124" t="s">
        <v>46</v>
      </c>
      <c r="D43" s="72" t="s">
        <v>52</v>
      </c>
      <c r="E43" s="73" t="s">
        <v>48</v>
      </c>
      <c r="F43" s="73"/>
      <c r="G43" s="73" t="s">
        <v>49</v>
      </c>
      <c r="H43" s="73" t="s">
        <v>106</v>
      </c>
      <c r="I43" s="74"/>
      <c r="J43" s="19">
        <f t="shared" si="0"/>
        <v>0</v>
      </c>
      <c r="K43" s="80" t="s">
        <v>22</v>
      </c>
      <c r="L43" s="168">
        <v>0</v>
      </c>
      <c r="M43" s="168">
        <v>0</v>
      </c>
      <c r="N43" s="169">
        <f t="shared" si="16"/>
        <v>0</v>
      </c>
      <c r="O43" s="169">
        <f t="shared" si="17"/>
        <v>0</v>
      </c>
      <c r="P43" s="170">
        <f t="shared" si="18"/>
        <v>0</v>
      </c>
      <c r="Q43" s="326"/>
    </row>
    <row r="44" spans="1:17" s="3" customFormat="1" ht="23.25" customHeight="1" x14ac:dyDescent="0.35">
      <c r="A44" s="18">
        <f t="shared" si="15"/>
        <v>32</v>
      </c>
      <c r="B44" s="26" t="s">
        <v>45</v>
      </c>
      <c r="C44" s="124" t="s">
        <v>46</v>
      </c>
      <c r="D44" s="72" t="s">
        <v>387</v>
      </c>
      <c r="E44" s="73" t="s">
        <v>48</v>
      </c>
      <c r="F44" s="73"/>
      <c r="G44" s="73" t="s">
        <v>49</v>
      </c>
      <c r="H44" s="73" t="s">
        <v>106</v>
      </c>
      <c r="I44" s="74"/>
      <c r="J44" s="19">
        <f t="shared" si="0"/>
        <v>0</v>
      </c>
      <c r="K44" s="80" t="s">
        <v>22</v>
      </c>
      <c r="L44" s="168">
        <v>0</v>
      </c>
      <c r="M44" s="168">
        <v>0</v>
      </c>
      <c r="N44" s="169">
        <f t="shared" si="16"/>
        <v>0</v>
      </c>
      <c r="O44" s="169">
        <f t="shared" si="17"/>
        <v>0</v>
      </c>
      <c r="P44" s="170">
        <f t="shared" si="18"/>
        <v>0</v>
      </c>
      <c r="Q44" s="326"/>
    </row>
    <row r="45" spans="1:17" s="3" customFormat="1" ht="23.25" customHeight="1" x14ac:dyDescent="0.35">
      <c r="A45" s="18">
        <f t="shared" si="15"/>
        <v>33</v>
      </c>
      <c r="B45" s="26" t="s">
        <v>45</v>
      </c>
      <c r="C45" s="124" t="s">
        <v>46</v>
      </c>
      <c r="D45" s="72" t="s">
        <v>74</v>
      </c>
      <c r="E45" s="73" t="s">
        <v>48</v>
      </c>
      <c r="F45" s="73"/>
      <c r="G45" s="73" t="s">
        <v>49</v>
      </c>
      <c r="H45" s="73" t="s">
        <v>106</v>
      </c>
      <c r="I45" s="74"/>
      <c r="J45" s="19">
        <f t="shared" ref="J45" si="31">I45</f>
        <v>0</v>
      </c>
      <c r="K45" s="80" t="s">
        <v>22</v>
      </c>
      <c r="L45" s="168">
        <v>0</v>
      </c>
      <c r="M45" s="168">
        <v>0</v>
      </c>
      <c r="N45" s="169">
        <f t="shared" ref="N45" si="32">L45*J45</f>
        <v>0</v>
      </c>
      <c r="O45" s="169">
        <f t="shared" ref="O45" si="33">M45*J45</f>
        <v>0</v>
      </c>
      <c r="P45" s="170">
        <f t="shared" ref="P45" si="34">(L45*J45)+(M45*J45)</f>
        <v>0</v>
      </c>
      <c r="Q45" s="326"/>
    </row>
    <row r="46" spans="1:17" s="3" customFormat="1" ht="23.25" customHeight="1" x14ac:dyDescent="0.35">
      <c r="A46" s="18">
        <f t="shared" si="15"/>
        <v>34</v>
      </c>
      <c r="B46" s="26" t="s">
        <v>45</v>
      </c>
      <c r="C46" s="124" t="s">
        <v>46</v>
      </c>
      <c r="D46" s="72" t="s">
        <v>53</v>
      </c>
      <c r="E46" s="73" t="s">
        <v>48</v>
      </c>
      <c r="F46" s="73"/>
      <c r="G46" s="73" t="s">
        <v>49</v>
      </c>
      <c r="H46" s="73" t="s">
        <v>106</v>
      </c>
      <c r="I46" s="74"/>
      <c r="J46" s="19">
        <f t="shared" si="0"/>
        <v>0</v>
      </c>
      <c r="K46" s="80" t="s">
        <v>22</v>
      </c>
      <c r="L46" s="168">
        <v>0</v>
      </c>
      <c r="M46" s="168">
        <v>0</v>
      </c>
      <c r="N46" s="169">
        <f t="shared" si="16"/>
        <v>0</v>
      </c>
      <c r="O46" s="169">
        <f t="shared" si="17"/>
        <v>0</v>
      </c>
      <c r="P46" s="170">
        <f t="shared" si="18"/>
        <v>0</v>
      </c>
      <c r="Q46" s="326"/>
    </row>
    <row r="47" spans="1:17" s="3" customFormat="1" ht="23.25" customHeight="1" x14ac:dyDescent="0.35">
      <c r="A47" s="18">
        <f t="shared" si="15"/>
        <v>35</v>
      </c>
      <c r="B47" s="26" t="s">
        <v>45</v>
      </c>
      <c r="C47" s="124" t="s">
        <v>46</v>
      </c>
      <c r="D47" s="72" t="s">
        <v>54</v>
      </c>
      <c r="E47" s="73" t="s">
        <v>48</v>
      </c>
      <c r="F47" s="73"/>
      <c r="G47" s="73" t="s">
        <v>49</v>
      </c>
      <c r="H47" s="73" t="s">
        <v>106</v>
      </c>
      <c r="I47" s="74"/>
      <c r="J47" s="19">
        <f t="shared" si="0"/>
        <v>0</v>
      </c>
      <c r="K47" s="80" t="s">
        <v>22</v>
      </c>
      <c r="L47" s="168">
        <v>0</v>
      </c>
      <c r="M47" s="168">
        <v>0</v>
      </c>
      <c r="N47" s="169">
        <f t="shared" ref="N47" si="35">L47*J47</f>
        <v>0</v>
      </c>
      <c r="O47" s="169">
        <f t="shared" ref="O47" si="36">M47*J47</f>
        <v>0</v>
      </c>
      <c r="P47" s="170">
        <f t="shared" ref="P47" si="37">(L47*J47)+(M47*J47)</f>
        <v>0</v>
      </c>
      <c r="Q47" s="326"/>
    </row>
    <row r="48" spans="1:17" s="3" customFormat="1" ht="23.25" customHeight="1" x14ac:dyDescent="0.35">
      <c r="A48" s="18">
        <f t="shared" si="15"/>
        <v>36</v>
      </c>
      <c r="B48" s="26" t="s">
        <v>45</v>
      </c>
      <c r="C48" s="124" t="s">
        <v>46</v>
      </c>
      <c r="D48" s="72" t="s">
        <v>40</v>
      </c>
      <c r="E48" s="73" t="s">
        <v>48</v>
      </c>
      <c r="F48" s="73"/>
      <c r="G48" s="73" t="s">
        <v>49</v>
      </c>
      <c r="H48" s="73" t="s">
        <v>55</v>
      </c>
      <c r="I48" s="74"/>
      <c r="J48" s="19">
        <f t="shared" si="0"/>
        <v>0</v>
      </c>
      <c r="K48" s="80" t="s">
        <v>51</v>
      </c>
      <c r="L48" s="168">
        <v>0</v>
      </c>
      <c r="M48" s="168">
        <v>0</v>
      </c>
      <c r="N48" s="169">
        <f t="shared" si="12"/>
        <v>0</v>
      </c>
      <c r="O48" s="169">
        <f t="shared" si="13"/>
        <v>0</v>
      </c>
      <c r="P48" s="170">
        <f t="shared" si="14"/>
        <v>0</v>
      </c>
      <c r="Q48" s="326"/>
    </row>
    <row r="49" spans="1:17" s="3" customFormat="1" ht="23.25" customHeight="1" x14ac:dyDescent="0.35">
      <c r="A49" s="18">
        <f t="shared" si="15"/>
        <v>37</v>
      </c>
      <c r="B49" s="26" t="s">
        <v>45</v>
      </c>
      <c r="C49" s="124" t="s">
        <v>46</v>
      </c>
      <c r="D49" s="72" t="s">
        <v>52</v>
      </c>
      <c r="E49" s="73" t="s">
        <v>48</v>
      </c>
      <c r="F49" s="73"/>
      <c r="G49" s="73" t="s">
        <v>49</v>
      </c>
      <c r="H49" s="73" t="s">
        <v>55</v>
      </c>
      <c r="I49" s="74"/>
      <c r="J49" s="19">
        <f t="shared" si="0"/>
        <v>0</v>
      </c>
      <c r="K49" s="80" t="s">
        <v>22</v>
      </c>
      <c r="L49" s="168">
        <v>0</v>
      </c>
      <c r="M49" s="168">
        <v>0</v>
      </c>
      <c r="N49" s="169">
        <f t="shared" si="12"/>
        <v>0</v>
      </c>
      <c r="O49" s="169">
        <f t="shared" si="13"/>
        <v>0</v>
      </c>
      <c r="P49" s="170">
        <f t="shared" si="14"/>
        <v>0</v>
      </c>
      <c r="Q49" s="326"/>
    </row>
    <row r="50" spans="1:17" s="3" customFormat="1" ht="23.25" customHeight="1" x14ac:dyDescent="0.35">
      <c r="A50" s="18">
        <f t="shared" si="15"/>
        <v>38</v>
      </c>
      <c r="B50" s="26" t="s">
        <v>45</v>
      </c>
      <c r="C50" s="124" t="s">
        <v>46</v>
      </c>
      <c r="D50" s="72" t="s">
        <v>387</v>
      </c>
      <c r="E50" s="73" t="s">
        <v>48</v>
      </c>
      <c r="F50" s="73"/>
      <c r="G50" s="73" t="s">
        <v>49</v>
      </c>
      <c r="H50" s="73" t="s">
        <v>55</v>
      </c>
      <c r="I50" s="74"/>
      <c r="J50" s="19">
        <f t="shared" si="0"/>
        <v>0</v>
      </c>
      <c r="K50" s="80" t="s">
        <v>22</v>
      </c>
      <c r="L50" s="168">
        <v>0</v>
      </c>
      <c r="M50" s="168">
        <v>0</v>
      </c>
      <c r="N50" s="169">
        <f t="shared" ref="N50" si="38">L50*J50</f>
        <v>0</v>
      </c>
      <c r="O50" s="169">
        <f t="shared" ref="O50" si="39">M50*J50</f>
        <v>0</v>
      </c>
      <c r="P50" s="170">
        <f t="shared" ref="P50" si="40">(L50*J50)+(M50*J50)</f>
        <v>0</v>
      </c>
      <c r="Q50" s="326"/>
    </row>
    <row r="51" spans="1:17" s="3" customFormat="1" ht="23.25" customHeight="1" x14ac:dyDescent="0.35">
      <c r="A51" s="18">
        <f t="shared" si="15"/>
        <v>39</v>
      </c>
      <c r="B51" s="26" t="s">
        <v>45</v>
      </c>
      <c r="C51" s="124" t="s">
        <v>46</v>
      </c>
      <c r="D51" s="72" t="s">
        <v>74</v>
      </c>
      <c r="E51" s="73" t="s">
        <v>48</v>
      </c>
      <c r="F51" s="73"/>
      <c r="G51" s="73" t="s">
        <v>49</v>
      </c>
      <c r="H51" s="73" t="s">
        <v>55</v>
      </c>
      <c r="I51" s="74"/>
      <c r="J51" s="19">
        <f t="shared" ref="J51" si="41">I51</f>
        <v>0</v>
      </c>
      <c r="K51" s="80" t="s">
        <v>22</v>
      </c>
      <c r="L51" s="168">
        <v>0</v>
      </c>
      <c r="M51" s="168">
        <v>0</v>
      </c>
      <c r="N51" s="169">
        <f t="shared" ref="N51" si="42">L51*J51</f>
        <v>0</v>
      </c>
      <c r="O51" s="169">
        <f t="shared" ref="O51" si="43">M51*J51</f>
        <v>0</v>
      </c>
      <c r="P51" s="170">
        <f t="shared" ref="P51" si="44">(L51*J51)+(M51*J51)</f>
        <v>0</v>
      </c>
      <c r="Q51" s="326"/>
    </row>
    <row r="52" spans="1:17" s="3" customFormat="1" ht="23.25" customHeight="1" x14ac:dyDescent="0.35">
      <c r="A52" s="18">
        <f t="shared" si="15"/>
        <v>40</v>
      </c>
      <c r="B52" s="26" t="s">
        <v>45</v>
      </c>
      <c r="C52" s="124" t="s">
        <v>46</v>
      </c>
      <c r="D52" s="72" t="s">
        <v>53</v>
      </c>
      <c r="E52" s="73" t="s">
        <v>48</v>
      </c>
      <c r="F52" s="73"/>
      <c r="G52" s="73" t="s">
        <v>49</v>
      </c>
      <c r="H52" s="73" t="s">
        <v>55</v>
      </c>
      <c r="I52" s="74"/>
      <c r="J52" s="19">
        <f t="shared" si="0"/>
        <v>0</v>
      </c>
      <c r="K52" s="80" t="s">
        <v>22</v>
      </c>
      <c r="L52" s="168">
        <v>0</v>
      </c>
      <c r="M52" s="168">
        <v>0</v>
      </c>
      <c r="N52" s="169">
        <f t="shared" si="12"/>
        <v>0</v>
      </c>
      <c r="O52" s="169">
        <f t="shared" si="13"/>
        <v>0</v>
      </c>
      <c r="P52" s="170">
        <f t="shared" si="14"/>
        <v>0</v>
      </c>
      <c r="Q52" s="326"/>
    </row>
    <row r="53" spans="1:17" s="3" customFormat="1" ht="23.25" customHeight="1" x14ac:dyDescent="0.35">
      <c r="A53" s="18">
        <f t="shared" si="15"/>
        <v>41</v>
      </c>
      <c r="B53" s="26" t="s">
        <v>45</v>
      </c>
      <c r="C53" s="124" t="s">
        <v>46</v>
      </c>
      <c r="D53" s="72" t="s">
        <v>54</v>
      </c>
      <c r="E53" s="73" t="s">
        <v>48</v>
      </c>
      <c r="F53" s="73"/>
      <c r="G53" s="73" t="s">
        <v>49</v>
      </c>
      <c r="H53" s="73" t="s">
        <v>55</v>
      </c>
      <c r="I53" s="74"/>
      <c r="J53" s="19">
        <f t="shared" si="0"/>
        <v>0</v>
      </c>
      <c r="K53" s="80" t="s">
        <v>22</v>
      </c>
      <c r="L53" s="168">
        <v>0</v>
      </c>
      <c r="M53" s="168">
        <v>0</v>
      </c>
      <c r="N53" s="169">
        <f t="shared" si="12"/>
        <v>0</v>
      </c>
      <c r="O53" s="169">
        <f t="shared" si="13"/>
        <v>0</v>
      </c>
      <c r="P53" s="170">
        <f t="shared" si="14"/>
        <v>0</v>
      </c>
      <c r="Q53" s="326"/>
    </row>
    <row r="54" spans="1:17" s="3" customFormat="1" ht="23.25" customHeight="1" x14ac:dyDescent="0.35">
      <c r="A54" s="18">
        <f t="shared" si="15"/>
        <v>42</v>
      </c>
      <c r="B54" s="26" t="s">
        <v>45</v>
      </c>
      <c r="C54" s="124" t="s">
        <v>46</v>
      </c>
      <c r="D54" s="75" t="s">
        <v>56</v>
      </c>
      <c r="E54" s="79"/>
      <c r="F54" s="79"/>
      <c r="G54" s="79"/>
      <c r="H54" s="79"/>
      <c r="I54" s="188"/>
      <c r="J54" s="19">
        <f>I54</f>
        <v>0</v>
      </c>
      <c r="K54" s="167" t="s">
        <v>22</v>
      </c>
      <c r="L54" s="168">
        <v>0</v>
      </c>
      <c r="M54" s="168">
        <v>0</v>
      </c>
      <c r="N54" s="169">
        <f>L54*J54</f>
        <v>0</v>
      </c>
      <c r="O54" s="169">
        <f>M54*J54</f>
        <v>0</v>
      </c>
      <c r="P54" s="170">
        <f t="shared" si="14"/>
        <v>0</v>
      </c>
      <c r="Q54" s="335"/>
    </row>
    <row r="55" spans="1:17" s="3" customFormat="1" ht="23.25" customHeight="1" x14ac:dyDescent="0.35">
      <c r="A55" s="18">
        <f t="shared" si="15"/>
        <v>43</v>
      </c>
      <c r="B55" s="26" t="s">
        <v>45</v>
      </c>
      <c r="C55" s="124" t="s">
        <v>46</v>
      </c>
      <c r="D55" s="43" t="s">
        <v>358</v>
      </c>
      <c r="E55" s="5"/>
      <c r="F55" s="5"/>
      <c r="G55" s="5"/>
      <c r="H55" s="5"/>
      <c r="I55" s="20"/>
      <c r="J55" s="19">
        <f>I55</f>
        <v>0</v>
      </c>
      <c r="K55" s="171"/>
      <c r="L55" s="168">
        <v>0</v>
      </c>
      <c r="M55" s="168">
        <v>0</v>
      </c>
      <c r="N55" s="169">
        <f>L55*J55</f>
        <v>0</v>
      </c>
      <c r="O55" s="169">
        <f>M55*J55</f>
        <v>0</v>
      </c>
      <c r="P55" s="170">
        <f>(L55*J55)+(M55*J55)</f>
        <v>0</v>
      </c>
      <c r="Q55" s="326"/>
    </row>
    <row r="56" spans="1:17" s="3" customFormat="1" ht="23.25" customHeight="1" thickBot="1" x14ac:dyDescent="0.4">
      <c r="A56" s="29">
        <f>A55+1</f>
        <v>44</v>
      </c>
      <c r="B56" s="36" t="s">
        <v>45</v>
      </c>
      <c r="C56" s="122" t="s">
        <v>46</v>
      </c>
      <c r="D56" s="44" t="s">
        <v>358</v>
      </c>
      <c r="E56" s="6"/>
      <c r="F56" s="6"/>
      <c r="G56" s="6"/>
      <c r="H56" s="6"/>
      <c r="I56" s="21"/>
      <c r="J56" s="22">
        <f>I56</f>
        <v>0</v>
      </c>
      <c r="K56" s="172"/>
      <c r="L56" s="173">
        <v>0</v>
      </c>
      <c r="M56" s="173">
        <v>0</v>
      </c>
      <c r="N56" s="174">
        <f>L56*J56</f>
        <v>0</v>
      </c>
      <c r="O56" s="174">
        <f>M56*J56</f>
        <v>0</v>
      </c>
      <c r="P56" s="175">
        <f>(L56*J56)+(M56*J56)</f>
        <v>0</v>
      </c>
      <c r="Q56" s="327"/>
    </row>
    <row r="57" spans="1:17" ht="23.25" customHeight="1" thickBot="1" x14ac:dyDescent="0.4">
      <c r="A57" s="30"/>
      <c r="B57" s="17" t="s">
        <v>45</v>
      </c>
      <c r="C57" s="125" t="s">
        <v>58</v>
      </c>
      <c r="D57" s="176" t="s">
        <v>59</v>
      </c>
      <c r="E57" s="177"/>
      <c r="F57" s="177"/>
      <c r="G57" s="177"/>
      <c r="H57" s="178"/>
      <c r="I57" s="179"/>
      <c r="J57" s="180"/>
      <c r="K57" s="181"/>
      <c r="L57" s="182"/>
      <c r="M57" s="182"/>
      <c r="N57" s="183"/>
      <c r="O57" s="183"/>
      <c r="P57" s="184"/>
      <c r="Q57" s="333"/>
    </row>
    <row r="58" spans="1:17" ht="23.25" customHeight="1" x14ac:dyDescent="0.35">
      <c r="A58" s="28">
        <f>A56+1</f>
        <v>45</v>
      </c>
      <c r="B58" s="35" t="s">
        <v>45</v>
      </c>
      <c r="C58" s="121" t="s">
        <v>58</v>
      </c>
      <c r="D58" s="77" t="s">
        <v>40</v>
      </c>
      <c r="E58" s="78" t="s">
        <v>60</v>
      </c>
      <c r="F58" s="78"/>
      <c r="G58" s="78" t="s">
        <v>61</v>
      </c>
      <c r="H58" s="78" t="s">
        <v>388</v>
      </c>
      <c r="I58" s="189"/>
      <c r="J58" s="32">
        <f t="shared" ref="J58:J90" si="45">I58</f>
        <v>0</v>
      </c>
      <c r="K58" s="190" t="s">
        <v>34</v>
      </c>
      <c r="L58" s="185">
        <v>0</v>
      </c>
      <c r="M58" s="185">
        <v>0</v>
      </c>
      <c r="N58" s="186">
        <f t="shared" ref="N58:N90" si="46">L58*J58</f>
        <v>0</v>
      </c>
      <c r="O58" s="186">
        <f t="shared" ref="O58:O90" si="47">M58*J58</f>
        <v>0</v>
      </c>
      <c r="P58" s="187">
        <f t="shared" ref="P58:P88" si="48">(L58*J58)+(M58*J58)</f>
        <v>0</v>
      </c>
      <c r="Q58" s="336"/>
    </row>
    <row r="59" spans="1:17" ht="23.25" customHeight="1" x14ac:dyDescent="0.35">
      <c r="A59" s="18">
        <f>A58+1</f>
        <v>46</v>
      </c>
      <c r="B59" s="26" t="s">
        <v>45</v>
      </c>
      <c r="C59" s="124" t="s">
        <v>58</v>
      </c>
      <c r="D59" s="72" t="s">
        <v>52</v>
      </c>
      <c r="E59" s="73" t="s">
        <v>60</v>
      </c>
      <c r="F59" s="73"/>
      <c r="G59" s="73" t="s">
        <v>61</v>
      </c>
      <c r="H59" s="73" t="s">
        <v>388</v>
      </c>
      <c r="I59" s="191"/>
      <c r="J59" s="19">
        <f t="shared" si="45"/>
        <v>0</v>
      </c>
      <c r="K59" s="167" t="s">
        <v>37</v>
      </c>
      <c r="L59" s="168">
        <v>0</v>
      </c>
      <c r="M59" s="168">
        <v>0</v>
      </c>
      <c r="N59" s="169">
        <f t="shared" si="46"/>
        <v>0</v>
      </c>
      <c r="O59" s="169">
        <f t="shared" si="47"/>
        <v>0</v>
      </c>
      <c r="P59" s="170">
        <f t="shared" si="48"/>
        <v>0</v>
      </c>
      <c r="Q59" s="335"/>
    </row>
    <row r="60" spans="1:17" ht="23.25" customHeight="1" x14ac:dyDescent="0.35">
      <c r="A60" s="18">
        <f t="shared" ref="A60:A91" si="49">A59+1</f>
        <v>47</v>
      </c>
      <c r="B60" s="26" t="s">
        <v>45</v>
      </c>
      <c r="C60" s="124" t="s">
        <v>58</v>
      </c>
      <c r="D60" s="72" t="s">
        <v>386</v>
      </c>
      <c r="E60" s="73" t="s">
        <v>60</v>
      </c>
      <c r="F60" s="73"/>
      <c r="G60" s="73" t="s">
        <v>61</v>
      </c>
      <c r="H60" s="73" t="s">
        <v>388</v>
      </c>
      <c r="I60" s="191"/>
      <c r="J60" s="19">
        <f t="shared" si="45"/>
        <v>0</v>
      </c>
      <c r="K60" s="167" t="s">
        <v>37</v>
      </c>
      <c r="L60" s="168">
        <v>0</v>
      </c>
      <c r="M60" s="168">
        <v>0</v>
      </c>
      <c r="N60" s="169">
        <f t="shared" ref="N60:N78" si="50">L60*J60</f>
        <v>0</v>
      </c>
      <c r="O60" s="169">
        <f t="shared" ref="O60:O78" si="51">M60*J60</f>
        <v>0</v>
      </c>
      <c r="P60" s="170">
        <f t="shared" ref="P60:P78" si="52">(L60*J60)+(M60*J60)</f>
        <v>0</v>
      </c>
      <c r="Q60" s="335"/>
    </row>
    <row r="61" spans="1:17" ht="23.25" customHeight="1" x14ac:dyDescent="0.35">
      <c r="A61" s="18">
        <f t="shared" si="49"/>
        <v>48</v>
      </c>
      <c r="B61" s="26" t="s">
        <v>45</v>
      </c>
      <c r="C61" s="124" t="s">
        <v>58</v>
      </c>
      <c r="D61" s="72" t="s">
        <v>74</v>
      </c>
      <c r="E61" s="73" t="s">
        <v>60</v>
      </c>
      <c r="F61" s="73"/>
      <c r="G61" s="73" t="s">
        <v>61</v>
      </c>
      <c r="H61" s="73" t="s">
        <v>388</v>
      </c>
      <c r="I61" s="191"/>
      <c r="J61" s="19">
        <f t="shared" ref="J61" si="53">I61</f>
        <v>0</v>
      </c>
      <c r="K61" s="167" t="s">
        <v>37</v>
      </c>
      <c r="L61" s="168">
        <v>0</v>
      </c>
      <c r="M61" s="168">
        <v>0</v>
      </c>
      <c r="N61" s="169">
        <f t="shared" ref="N61" si="54">L61*J61</f>
        <v>0</v>
      </c>
      <c r="O61" s="169">
        <f t="shared" ref="O61" si="55">M61*J61</f>
        <v>0</v>
      </c>
      <c r="P61" s="170">
        <f t="shared" ref="P61" si="56">(L61*J61)+(M61*J61)</f>
        <v>0</v>
      </c>
      <c r="Q61" s="335"/>
    </row>
    <row r="62" spans="1:17" ht="23.25" customHeight="1" x14ac:dyDescent="0.35">
      <c r="A62" s="18">
        <f t="shared" si="49"/>
        <v>49</v>
      </c>
      <c r="B62" s="26" t="s">
        <v>45</v>
      </c>
      <c r="C62" s="124" t="s">
        <v>58</v>
      </c>
      <c r="D62" s="72" t="s">
        <v>53</v>
      </c>
      <c r="E62" s="73" t="s">
        <v>60</v>
      </c>
      <c r="F62" s="73"/>
      <c r="G62" s="73" t="s">
        <v>61</v>
      </c>
      <c r="H62" s="73" t="s">
        <v>388</v>
      </c>
      <c r="I62" s="191"/>
      <c r="J62" s="19">
        <f t="shared" si="45"/>
        <v>0</v>
      </c>
      <c r="K62" s="167" t="s">
        <v>37</v>
      </c>
      <c r="L62" s="168">
        <v>0</v>
      </c>
      <c r="M62" s="168">
        <v>0</v>
      </c>
      <c r="N62" s="169">
        <f t="shared" si="50"/>
        <v>0</v>
      </c>
      <c r="O62" s="169">
        <f t="shared" si="51"/>
        <v>0</v>
      </c>
      <c r="P62" s="170">
        <f t="shared" si="52"/>
        <v>0</v>
      </c>
      <c r="Q62" s="335"/>
    </row>
    <row r="63" spans="1:17" ht="23.25" customHeight="1" x14ac:dyDescent="0.35">
      <c r="A63" s="18">
        <f t="shared" si="49"/>
        <v>50</v>
      </c>
      <c r="B63" s="26" t="s">
        <v>45</v>
      </c>
      <c r="C63" s="124" t="s">
        <v>58</v>
      </c>
      <c r="D63" s="72" t="s">
        <v>54</v>
      </c>
      <c r="E63" s="73" t="s">
        <v>60</v>
      </c>
      <c r="F63" s="73"/>
      <c r="G63" s="73" t="s">
        <v>61</v>
      </c>
      <c r="H63" s="73" t="s">
        <v>388</v>
      </c>
      <c r="I63" s="191"/>
      <c r="J63" s="19">
        <f t="shared" si="45"/>
        <v>0</v>
      </c>
      <c r="K63" s="167" t="s">
        <v>37</v>
      </c>
      <c r="L63" s="168">
        <v>0</v>
      </c>
      <c r="M63" s="168">
        <v>0</v>
      </c>
      <c r="N63" s="169">
        <f t="shared" si="50"/>
        <v>0</v>
      </c>
      <c r="O63" s="169">
        <f t="shared" si="51"/>
        <v>0</v>
      </c>
      <c r="P63" s="170">
        <f t="shared" si="52"/>
        <v>0</v>
      </c>
      <c r="Q63" s="335"/>
    </row>
    <row r="64" spans="1:17" ht="23.25" customHeight="1" x14ac:dyDescent="0.35">
      <c r="A64" s="18">
        <f t="shared" si="49"/>
        <v>51</v>
      </c>
      <c r="B64" s="26" t="s">
        <v>45</v>
      </c>
      <c r="C64" s="124" t="s">
        <v>58</v>
      </c>
      <c r="D64" s="72" t="s">
        <v>40</v>
      </c>
      <c r="E64" s="73" t="s">
        <v>60</v>
      </c>
      <c r="F64" s="73"/>
      <c r="G64" s="73" t="s">
        <v>61</v>
      </c>
      <c r="H64" s="73" t="s">
        <v>389</v>
      </c>
      <c r="I64" s="191"/>
      <c r="J64" s="19">
        <f t="shared" si="45"/>
        <v>0</v>
      </c>
      <c r="K64" s="167" t="s">
        <v>34</v>
      </c>
      <c r="L64" s="168">
        <v>0</v>
      </c>
      <c r="M64" s="168">
        <v>0</v>
      </c>
      <c r="N64" s="169">
        <f t="shared" si="50"/>
        <v>0</v>
      </c>
      <c r="O64" s="169">
        <f t="shared" si="51"/>
        <v>0</v>
      </c>
      <c r="P64" s="170">
        <f t="shared" si="52"/>
        <v>0</v>
      </c>
      <c r="Q64" s="335"/>
    </row>
    <row r="65" spans="1:17" ht="23.25" customHeight="1" x14ac:dyDescent="0.35">
      <c r="A65" s="18">
        <f t="shared" si="49"/>
        <v>52</v>
      </c>
      <c r="B65" s="26" t="s">
        <v>45</v>
      </c>
      <c r="C65" s="124" t="s">
        <v>58</v>
      </c>
      <c r="D65" s="72" t="s">
        <v>52</v>
      </c>
      <c r="E65" s="73" t="s">
        <v>60</v>
      </c>
      <c r="F65" s="73"/>
      <c r="G65" s="73" t="s">
        <v>61</v>
      </c>
      <c r="H65" s="73" t="s">
        <v>389</v>
      </c>
      <c r="I65" s="191"/>
      <c r="J65" s="19">
        <f t="shared" si="45"/>
        <v>0</v>
      </c>
      <c r="K65" s="167" t="s">
        <v>37</v>
      </c>
      <c r="L65" s="168">
        <v>0</v>
      </c>
      <c r="M65" s="168">
        <v>0</v>
      </c>
      <c r="N65" s="169">
        <f t="shared" si="50"/>
        <v>0</v>
      </c>
      <c r="O65" s="169">
        <f t="shared" si="51"/>
        <v>0</v>
      </c>
      <c r="P65" s="170">
        <f t="shared" si="52"/>
        <v>0</v>
      </c>
      <c r="Q65" s="335"/>
    </row>
    <row r="66" spans="1:17" ht="23.25" customHeight="1" x14ac:dyDescent="0.35">
      <c r="A66" s="18">
        <f t="shared" si="49"/>
        <v>53</v>
      </c>
      <c r="B66" s="26" t="s">
        <v>45</v>
      </c>
      <c r="C66" s="124" t="s">
        <v>58</v>
      </c>
      <c r="D66" s="72" t="s">
        <v>386</v>
      </c>
      <c r="E66" s="73" t="s">
        <v>60</v>
      </c>
      <c r="F66" s="73"/>
      <c r="G66" s="73" t="s">
        <v>61</v>
      </c>
      <c r="H66" s="73" t="s">
        <v>389</v>
      </c>
      <c r="I66" s="191"/>
      <c r="J66" s="19">
        <f t="shared" si="45"/>
        <v>0</v>
      </c>
      <c r="K66" s="167" t="s">
        <v>37</v>
      </c>
      <c r="L66" s="168">
        <v>0</v>
      </c>
      <c r="M66" s="168">
        <v>0</v>
      </c>
      <c r="N66" s="169">
        <f t="shared" si="50"/>
        <v>0</v>
      </c>
      <c r="O66" s="169">
        <f t="shared" si="51"/>
        <v>0</v>
      </c>
      <c r="P66" s="170">
        <f t="shared" si="52"/>
        <v>0</v>
      </c>
      <c r="Q66" s="335"/>
    </row>
    <row r="67" spans="1:17" ht="23.25" customHeight="1" x14ac:dyDescent="0.35">
      <c r="A67" s="18">
        <f t="shared" si="49"/>
        <v>54</v>
      </c>
      <c r="B67" s="26" t="s">
        <v>45</v>
      </c>
      <c r="C67" s="124" t="s">
        <v>58</v>
      </c>
      <c r="D67" s="72" t="s">
        <v>74</v>
      </c>
      <c r="E67" s="73" t="s">
        <v>60</v>
      </c>
      <c r="F67" s="73"/>
      <c r="G67" s="73" t="s">
        <v>61</v>
      </c>
      <c r="H67" s="73" t="s">
        <v>389</v>
      </c>
      <c r="I67" s="191"/>
      <c r="J67" s="19">
        <f t="shared" ref="J67" si="57">I67</f>
        <v>0</v>
      </c>
      <c r="K67" s="167" t="s">
        <v>37</v>
      </c>
      <c r="L67" s="168">
        <v>0</v>
      </c>
      <c r="M67" s="168">
        <v>0</v>
      </c>
      <c r="N67" s="169">
        <f t="shared" ref="N67" si="58">L67*J67</f>
        <v>0</v>
      </c>
      <c r="O67" s="169">
        <f t="shared" ref="O67" si="59">M67*J67</f>
        <v>0</v>
      </c>
      <c r="P67" s="170">
        <f t="shared" ref="P67" si="60">(L67*J67)+(M67*J67)</f>
        <v>0</v>
      </c>
      <c r="Q67" s="335"/>
    </row>
    <row r="68" spans="1:17" ht="23.25" customHeight="1" x14ac:dyDescent="0.35">
      <c r="A68" s="18">
        <f t="shared" si="49"/>
        <v>55</v>
      </c>
      <c r="B68" s="26" t="s">
        <v>45</v>
      </c>
      <c r="C68" s="124" t="s">
        <v>58</v>
      </c>
      <c r="D68" s="72" t="s">
        <v>53</v>
      </c>
      <c r="E68" s="73" t="s">
        <v>60</v>
      </c>
      <c r="F68" s="73"/>
      <c r="G68" s="73" t="s">
        <v>61</v>
      </c>
      <c r="H68" s="73" t="s">
        <v>389</v>
      </c>
      <c r="I68" s="191"/>
      <c r="J68" s="19">
        <f t="shared" si="45"/>
        <v>0</v>
      </c>
      <c r="K68" s="167" t="s">
        <v>37</v>
      </c>
      <c r="L68" s="168">
        <v>0</v>
      </c>
      <c r="M68" s="168">
        <v>0</v>
      </c>
      <c r="N68" s="169">
        <f t="shared" si="50"/>
        <v>0</v>
      </c>
      <c r="O68" s="169">
        <f t="shared" si="51"/>
        <v>0</v>
      </c>
      <c r="P68" s="170">
        <f t="shared" si="52"/>
        <v>0</v>
      </c>
      <c r="Q68" s="335"/>
    </row>
    <row r="69" spans="1:17" ht="23.25" customHeight="1" x14ac:dyDescent="0.35">
      <c r="A69" s="18">
        <f t="shared" si="49"/>
        <v>56</v>
      </c>
      <c r="B69" s="26" t="s">
        <v>45</v>
      </c>
      <c r="C69" s="124" t="s">
        <v>58</v>
      </c>
      <c r="D69" s="72" t="s">
        <v>54</v>
      </c>
      <c r="E69" s="73" t="s">
        <v>60</v>
      </c>
      <c r="F69" s="73"/>
      <c r="G69" s="73" t="s">
        <v>61</v>
      </c>
      <c r="H69" s="73" t="s">
        <v>389</v>
      </c>
      <c r="I69" s="191"/>
      <c r="J69" s="19">
        <f t="shared" si="45"/>
        <v>0</v>
      </c>
      <c r="K69" s="167" t="s">
        <v>37</v>
      </c>
      <c r="L69" s="168">
        <v>0</v>
      </c>
      <c r="M69" s="168">
        <v>0</v>
      </c>
      <c r="N69" s="169">
        <f t="shared" si="50"/>
        <v>0</v>
      </c>
      <c r="O69" s="169">
        <f t="shared" si="51"/>
        <v>0</v>
      </c>
      <c r="P69" s="170">
        <f t="shared" si="52"/>
        <v>0</v>
      </c>
      <c r="Q69" s="335"/>
    </row>
    <row r="70" spans="1:17" ht="23.25" customHeight="1" x14ac:dyDescent="0.35">
      <c r="A70" s="18">
        <f t="shared" si="49"/>
        <v>57</v>
      </c>
      <c r="B70" s="26" t="s">
        <v>45</v>
      </c>
      <c r="C70" s="124" t="s">
        <v>58</v>
      </c>
      <c r="D70" s="72" t="s">
        <v>40</v>
      </c>
      <c r="E70" s="73" t="s">
        <v>60</v>
      </c>
      <c r="F70" s="73"/>
      <c r="G70" s="73" t="s">
        <v>61</v>
      </c>
      <c r="H70" s="73" t="s">
        <v>105</v>
      </c>
      <c r="I70" s="191"/>
      <c r="J70" s="19">
        <f t="shared" si="45"/>
        <v>0</v>
      </c>
      <c r="K70" s="167" t="s">
        <v>34</v>
      </c>
      <c r="L70" s="168">
        <v>0</v>
      </c>
      <c r="M70" s="168">
        <v>0</v>
      </c>
      <c r="N70" s="169">
        <f t="shared" si="50"/>
        <v>0</v>
      </c>
      <c r="O70" s="169">
        <f t="shared" si="51"/>
        <v>0</v>
      </c>
      <c r="P70" s="170">
        <f t="shared" si="52"/>
        <v>0</v>
      </c>
      <c r="Q70" s="335"/>
    </row>
    <row r="71" spans="1:17" ht="23.25" customHeight="1" x14ac:dyDescent="0.35">
      <c r="A71" s="18">
        <f t="shared" si="49"/>
        <v>58</v>
      </c>
      <c r="B71" s="26" t="s">
        <v>45</v>
      </c>
      <c r="C71" s="124" t="s">
        <v>58</v>
      </c>
      <c r="D71" s="72" t="s">
        <v>52</v>
      </c>
      <c r="E71" s="73" t="s">
        <v>60</v>
      </c>
      <c r="F71" s="73"/>
      <c r="G71" s="73" t="s">
        <v>61</v>
      </c>
      <c r="H71" s="73" t="s">
        <v>105</v>
      </c>
      <c r="I71" s="191"/>
      <c r="J71" s="19">
        <f t="shared" si="45"/>
        <v>0</v>
      </c>
      <c r="K71" s="167" t="s">
        <v>37</v>
      </c>
      <c r="L71" s="168">
        <v>0</v>
      </c>
      <c r="M71" s="168">
        <v>0</v>
      </c>
      <c r="N71" s="169">
        <f t="shared" si="50"/>
        <v>0</v>
      </c>
      <c r="O71" s="169">
        <f t="shared" si="51"/>
        <v>0</v>
      </c>
      <c r="P71" s="170">
        <f t="shared" si="52"/>
        <v>0</v>
      </c>
      <c r="Q71" s="335"/>
    </row>
    <row r="72" spans="1:17" ht="23.25" customHeight="1" x14ac:dyDescent="0.35">
      <c r="A72" s="18">
        <f t="shared" si="49"/>
        <v>59</v>
      </c>
      <c r="B72" s="26" t="s">
        <v>45</v>
      </c>
      <c r="C72" s="124" t="s">
        <v>58</v>
      </c>
      <c r="D72" s="72" t="s">
        <v>386</v>
      </c>
      <c r="E72" s="73" t="s">
        <v>60</v>
      </c>
      <c r="F72" s="73"/>
      <c r="G72" s="73" t="s">
        <v>61</v>
      </c>
      <c r="H72" s="73" t="s">
        <v>105</v>
      </c>
      <c r="I72" s="191"/>
      <c r="J72" s="19">
        <f t="shared" si="45"/>
        <v>0</v>
      </c>
      <c r="K72" s="167" t="s">
        <v>37</v>
      </c>
      <c r="L72" s="168">
        <v>0</v>
      </c>
      <c r="M72" s="168">
        <v>0</v>
      </c>
      <c r="N72" s="169">
        <f t="shared" si="50"/>
        <v>0</v>
      </c>
      <c r="O72" s="169">
        <f t="shared" si="51"/>
        <v>0</v>
      </c>
      <c r="P72" s="170">
        <f t="shared" si="52"/>
        <v>0</v>
      </c>
      <c r="Q72" s="335"/>
    </row>
    <row r="73" spans="1:17" ht="23.25" customHeight="1" x14ac:dyDescent="0.35">
      <c r="A73" s="18">
        <f t="shared" si="49"/>
        <v>60</v>
      </c>
      <c r="B73" s="26" t="s">
        <v>45</v>
      </c>
      <c r="C73" s="124" t="s">
        <v>58</v>
      </c>
      <c r="D73" s="72" t="s">
        <v>74</v>
      </c>
      <c r="E73" s="73" t="s">
        <v>60</v>
      </c>
      <c r="F73" s="73"/>
      <c r="G73" s="73" t="s">
        <v>61</v>
      </c>
      <c r="H73" s="73" t="s">
        <v>105</v>
      </c>
      <c r="I73" s="191"/>
      <c r="J73" s="19">
        <f t="shared" ref="J73" si="61">I73</f>
        <v>0</v>
      </c>
      <c r="K73" s="167" t="s">
        <v>37</v>
      </c>
      <c r="L73" s="168">
        <v>0</v>
      </c>
      <c r="M73" s="168">
        <v>0</v>
      </c>
      <c r="N73" s="169">
        <f t="shared" ref="N73" si="62">L73*J73</f>
        <v>0</v>
      </c>
      <c r="O73" s="169">
        <f t="shared" ref="O73" si="63">M73*J73</f>
        <v>0</v>
      </c>
      <c r="P73" s="170">
        <f t="shared" ref="P73" si="64">(L73*J73)+(M73*J73)</f>
        <v>0</v>
      </c>
      <c r="Q73" s="335"/>
    </row>
    <row r="74" spans="1:17" ht="23.25" customHeight="1" x14ac:dyDescent="0.35">
      <c r="A74" s="18">
        <f t="shared" si="49"/>
        <v>61</v>
      </c>
      <c r="B74" s="26" t="s">
        <v>45</v>
      </c>
      <c r="C74" s="124" t="s">
        <v>58</v>
      </c>
      <c r="D74" s="72" t="s">
        <v>53</v>
      </c>
      <c r="E74" s="73" t="s">
        <v>60</v>
      </c>
      <c r="F74" s="73"/>
      <c r="G74" s="73" t="s">
        <v>61</v>
      </c>
      <c r="H74" s="73" t="s">
        <v>105</v>
      </c>
      <c r="I74" s="191"/>
      <c r="J74" s="19">
        <f t="shared" si="45"/>
        <v>0</v>
      </c>
      <c r="K74" s="167" t="s">
        <v>37</v>
      </c>
      <c r="L74" s="168">
        <v>0</v>
      </c>
      <c r="M74" s="168">
        <v>0</v>
      </c>
      <c r="N74" s="169">
        <f t="shared" si="50"/>
        <v>0</v>
      </c>
      <c r="O74" s="169">
        <f t="shared" si="51"/>
        <v>0</v>
      </c>
      <c r="P74" s="170">
        <f t="shared" si="52"/>
        <v>0</v>
      </c>
      <c r="Q74" s="335"/>
    </row>
    <row r="75" spans="1:17" ht="23.25" customHeight="1" x14ac:dyDescent="0.35">
      <c r="A75" s="18">
        <f t="shared" si="49"/>
        <v>62</v>
      </c>
      <c r="B75" s="26" t="s">
        <v>45</v>
      </c>
      <c r="C75" s="124" t="s">
        <v>58</v>
      </c>
      <c r="D75" s="72" t="s">
        <v>54</v>
      </c>
      <c r="E75" s="73" t="s">
        <v>60</v>
      </c>
      <c r="F75" s="73"/>
      <c r="G75" s="73" t="s">
        <v>61</v>
      </c>
      <c r="H75" s="73" t="s">
        <v>105</v>
      </c>
      <c r="I75" s="191"/>
      <c r="J75" s="19">
        <f t="shared" si="45"/>
        <v>0</v>
      </c>
      <c r="K75" s="167" t="s">
        <v>37</v>
      </c>
      <c r="L75" s="168">
        <v>0</v>
      </c>
      <c r="M75" s="168">
        <v>0</v>
      </c>
      <c r="N75" s="169">
        <f t="shared" si="50"/>
        <v>0</v>
      </c>
      <c r="O75" s="169">
        <f t="shared" si="51"/>
        <v>0</v>
      </c>
      <c r="P75" s="170">
        <f t="shared" si="52"/>
        <v>0</v>
      </c>
      <c r="Q75" s="335"/>
    </row>
    <row r="76" spans="1:17" ht="23.25" customHeight="1" x14ac:dyDescent="0.35">
      <c r="A76" s="18">
        <f t="shared" si="49"/>
        <v>63</v>
      </c>
      <c r="B76" s="26" t="s">
        <v>45</v>
      </c>
      <c r="C76" s="124" t="s">
        <v>58</v>
      </c>
      <c r="D76" s="72" t="s">
        <v>40</v>
      </c>
      <c r="E76" s="73" t="s">
        <v>60</v>
      </c>
      <c r="F76" s="73"/>
      <c r="G76" s="73" t="s">
        <v>61</v>
      </c>
      <c r="H76" s="73" t="s">
        <v>106</v>
      </c>
      <c r="I76" s="191"/>
      <c r="J76" s="19">
        <f t="shared" si="45"/>
        <v>0</v>
      </c>
      <c r="K76" s="167" t="s">
        <v>34</v>
      </c>
      <c r="L76" s="168">
        <v>0</v>
      </c>
      <c r="M76" s="168">
        <v>0</v>
      </c>
      <c r="N76" s="169">
        <f t="shared" si="50"/>
        <v>0</v>
      </c>
      <c r="O76" s="169">
        <f t="shared" si="51"/>
        <v>0</v>
      </c>
      <c r="P76" s="170">
        <f t="shared" si="52"/>
        <v>0</v>
      </c>
      <c r="Q76" s="335"/>
    </row>
    <row r="77" spans="1:17" ht="23.25" customHeight="1" x14ac:dyDescent="0.35">
      <c r="A77" s="18">
        <f t="shared" si="49"/>
        <v>64</v>
      </c>
      <c r="B77" s="26" t="s">
        <v>45</v>
      </c>
      <c r="C77" s="124" t="s">
        <v>58</v>
      </c>
      <c r="D77" s="72" t="s">
        <v>52</v>
      </c>
      <c r="E77" s="73" t="s">
        <v>60</v>
      </c>
      <c r="F77" s="73"/>
      <c r="G77" s="73" t="s">
        <v>61</v>
      </c>
      <c r="H77" s="73" t="s">
        <v>106</v>
      </c>
      <c r="I77" s="191"/>
      <c r="J77" s="19">
        <f t="shared" si="45"/>
        <v>0</v>
      </c>
      <c r="K77" s="167" t="s">
        <v>37</v>
      </c>
      <c r="L77" s="168">
        <v>0</v>
      </c>
      <c r="M77" s="168">
        <v>0</v>
      </c>
      <c r="N77" s="169">
        <f t="shared" si="50"/>
        <v>0</v>
      </c>
      <c r="O77" s="169">
        <f t="shared" si="51"/>
        <v>0</v>
      </c>
      <c r="P77" s="170">
        <f t="shared" si="52"/>
        <v>0</v>
      </c>
      <c r="Q77" s="335"/>
    </row>
    <row r="78" spans="1:17" ht="23.25" customHeight="1" x14ac:dyDescent="0.35">
      <c r="A78" s="18">
        <f t="shared" si="49"/>
        <v>65</v>
      </c>
      <c r="B78" s="26" t="s">
        <v>45</v>
      </c>
      <c r="C78" s="124" t="s">
        <v>58</v>
      </c>
      <c r="D78" s="72" t="s">
        <v>386</v>
      </c>
      <c r="E78" s="73" t="s">
        <v>60</v>
      </c>
      <c r="F78" s="73"/>
      <c r="G78" s="73" t="s">
        <v>61</v>
      </c>
      <c r="H78" s="73" t="s">
        <v>106</v>
      </c>
      <c r="I78" s="191"/>
      <c r="J78" s="19">
        <f t="shared" si="45"/>
        <v>0</v>
      </c>
      <c r="K78" s="167" t="s">
        <v>37</v>
      </c>
      <c r="L78" s="168">
        <v>0</v>
      </c>
      <c r="M78" s="168">
        <v>0</v>
      </c>
      <c r="N78" s="169">
        <f t="shared" si="50"/>
        <v>0</v>
      </c>
      <c r="O78" s="169">
        <f t="shared" si="51"/>
        <v>0</v>
      </c>
      <c r="P78" s="170">
        <f t="shared" si="52"/>
        <v>0</v>
      </c>
      <c r="Q78" s="335"/>
    </row>
    <row r="79" spans="1:17" ht="23.25" customHeight="1" x14ac:dyDescent="0.35">
      <c r="A79" s="18">
        <f t="shared" si="49"/>
        <v>66</v>
      </c>
      <c r="B79" s="26" t="s">
        <v>45</v>
      </c>
      <c r="C79" s="124" t="s">
        <v>58</v>
      </c>
      <c r="D79" s="72" t="s">
        <v>74</v>
      </c>
      <c r="E79" s="73" t="s">
        <v>60</v>
      </c>
      <c r="F79" s="73"/>
      <c r="G79" s="73" t="s">
        <v>61</v>
      </c>
      <c r="H79" s="73" t="s">
        <v>106</v>
      </c>
      <c r="I79" s="191"/>
      <c r="J79" s="19">
        <f t="shared" ref="J79" si="65">I79</f>
        <v>0</v>
      </c>
      <c r="K79" s="167" t="s">
        <v>37</v>
      </c>
      <c r="L79" s="168">
        <v>0</v>
      </c>
      <c r="M79" s="168">
        <v>0</v>
      </c>
      <c r="N79" s="169">
        <f t="shared" ref="N79" si="66">L79*J79</f>
        <v>0</v>
      </c>
      <c r="O79" s="169">
        <f t="shared" ref="O79" si="67">M79*J79</f>
        <v>0</v>
      </c>
      <c r="P79" s="170">
        <f t="shared" ref="P79" si="68">(L79*J79)+(M79*J79)</f>
        <v>0</v>
      </c>
      <c r="Q79" s="335"/>
    </row>
    <row r="80" spans="1:17" ht="23.25" customHeight="1" x14ac:dyDescent="0.35">
      <c r="A80" s="18">
        <f t="shared" si="49"/>
        <v>67</v>
      </c>
      <c r="B80" s="26" t="s">
        <v>45</v>
      </c>
      <c r="C80" s="124" t="s">
        <v>58</v>
      </c>
      <c r="D80" s="72" t="s">
        <v>53</v>
      </c>
      <c r="E80" s="73" t="s">
        <v>60</v>
      </c>
      <c r="F80" s="73"/>
      <c r="G80" s="73" t="s">
        <v>61</v>
      </c>
      <c r="H80" s="73" t="s">
        <v>106</v>
      </c>
      <c r="I80" s="191"/>
      <c r="J80" s="19">
        <f t="shared" si="45"/>
        <v>0</v>
      </c>
      <c r="K80" s="167" t="s">
        <v>37</v>
      </c>
      <c r="L80" s="168">
        <v>0</v>
      </c>
      <c r="M80" s="168">
        <v>0</v>
      </c>
      <c r="N80" s="169">
        <f t="shared" ref="N80:N86" si="69">L80*J80</f>
        <v>0</v>
      </c>
      <c r="O80" s="169">
        <f t="shared" ref="O80:O86" si="70">M80*J80</f>
        <v>0</v>
      </c>
      <c r="P80" s="170">
        <f t="shared" ref="P80:P86" si="71">(L80*J80)+(M80*J80)</f>
        <v>0</v>
      </c>
      <c r="Q80" s="335"/>
    </row>
    <row r="81" spans="1:17" ht="23.25" customHeight="1" x14ac:dyDescent="0.35">
      <c r="A81" s="18">
        <f t="shared" si="49"/>
        <v>68</v>
      </c>
      <c r="B81" s="26" t="s">
        <v>45</v>
      </c>
      <c r="C81" s="124" t="s">
        <v>58</v>
      </c>
      <c r="D81" s="72" t="s">
        <v>54</v>
      </c>
      <c r="E81" s="73" t="s">
        <v>60</v>
      </c>
      <c r="F81" s="73"/>
      <c r="G81" s="73" t="s">
        <v>61</v>
      </c>
      <c r="H81" s="73" t="s">
        <v>106</v>
      </c>
      <c r="I81" s="191"/>
      <c r="J81" s="19">
        <f t="shared" si="45"/>
        <v>0</v>
      </c>
      <c r="K81" s="167" t="s">
        <v>37</v>
      </c>
      <c r="L81" s="168">
        <v>0</v>
      </c>
      <c r="M81" s="168">
        <v>0</v>
      </c>
      <c r="N81" s="169">
        <f t="shared" si="69"/>
        <v>0</v>
      </c>
      <c r="O81" s="169">
        <f t="shared" si="70"/>
        <v>0</v>
      </c>
      <c r="P81" s="170">
        <f t="shared" si="71"/>
        <v>0</v>
      </c>
      <c r="Q81" s="335"/>
    </row>
    <row r="82" spans="1:17" ht="23.25" customHeight="1" x14ac:dyDescent="0.35">
      <c r="A82" s="18">
        <f t="shared" si="49"/>
        <v>69</v>
      </c>
      <c r="B82" s="26" t="s">
        <v>45</v>
      </c>
      <c r="C82" s="124" t="s">
        <v>58</v>
      </c>
      <c r="D82" s="72" t="s">
        <v>40</v>
      </c>
      <c r="E82" s="73" t="s">
        <v>60</v>
      </c>
      <c r="F82" s="73"/>
      <c r="G82" s="73" t="s">
        <v>61</v>
      </c>
      <c r="H82" s="73" t="s">
        <v>55</v>
      </c>
      <c r="I82" s="191"/>
      <c r="J82" s="19">
        <f t="shared" si="45"/>
        <v>0</v>
      </c>
      <c r="K82" s="167" t="s">
        <v>34</v>
      </c>
      <c r="L82" s="168">
        <v>0</v>
      </c>
      <c r="M82" s="168">
        <v>0</v>
      </c>
      <c r="N82" s="169">
        <f t="shared" si="69"/>
        <v>0</v>
      </c>
      <c r="O82" s="169">
        <f t="shared" si="70"/>
        <v>0</v>
      </c>
      <c r="P82" s="170">
        <f t="shared" si="71"/>
        <v>0</v>
      </c>
      <c r="Q82" s="335"/>
    </row>
    <row r="83" spans="1:17" ht="23.25" customHeight="1" x14ac:dyDescent="0.35">
      <c r="A83" s="18">
        <f t="shared" si="49"/>
        <v>70</v>
      </c>
      <c r="B83" s="26" t="s">
        <v>45</v>
      </c>
      <c r="C83" s="124" t="s">
        <v>58</v>
      </c>
      <c r="D83" s="72" t="s">
        <v>52</v>
      </c>
      <c r="E83" s="73" t="s">
        <v>60</v>
      </c>
      <c r="F83" s="73"/>
      <c r="G83" s="73" t="s">
        <v>61</v>
      </c>
      <c r="H83" s="73" t="s">
        <v>55</v>
      </c>
      <c r="I83" s="191"/>
      <c r="J83" s="19">
        <f t="shared" si="45"/>
        <v>0</v>
      </c>
      <c r="K83" s="167" t="s">
        <v>37</v>
      </c>
      <c r="L83" s="168">
        <v>0</v>
      </c>
      <c r="M83" s="168">
        <v>0</v>
      </c>
      <c r="N83" s="169">
        <f t="shared" si="69"/>
        <v>0</v>
      </c>
      <c r="O83" s="169">
        <f t="shared" si="70"/>
        <v>0</v>
      </c>
      <c r="P83" s="170">
        <f t="shared" si="71"/>
        <v>0</v>
      </c>
      <c r="Q83" s="335"/>
    </row>
    <row r="84" spans="1:17" ht="23.25" customHeight="1" x14ac:dyDescent="0.35">
      <c r="A84" s="18">
        <f t="shared" si="49"/>
        <v>71</v>
      </c>
      <c r="B84" s="26" t="s">
        <v>45</v>
      </c>
      <c r="C84" s="124" t="s">
        <v>58</v>
      </c>
      <c r="D84" s="72" t="s">
        <v>386</v>
      </c>
      <c r="E84" s="73" t="s">
        <v>60</v>
      </c>
      <c r="F84" s="73"/>
      <c r="G84" s="73" t="s">
        <v>61</v>
      </c>
      <c r="H84" s="73" t="s">
        <v>55</v>
      </c>
      <c r="I84" s="191"/>
      <c r="J84" s="19">
        <f t="shared" si="45"/>
        <v>0</v>
      </c>
      <c r="K84" s="167" t="s">
        <v>37</v>
      </c>
      <c r="L84" s="168">
        <v>0</v>
      </c>
      <c r="M84" s="168">
        <v>0</v>
      </c>
      <c r="N84" s="169">
        <f t="shared" si="69"/>
        <v>0</v>
      </c>
      <c r="O84" s="169">
        <f t="shared" si="70"/>
        <v>0</v>
      </c>
      <c r="P84" s="170">
        <f t="shared" si="71"/>
        <v>0</v>
      </c>
      <c r="Q84" s="335"/>
    </row>
    <row r="85" spans="1:17" ht="23.25" customHeight="1" x14ac:dyDescent="0.35">
      <c r="A85" s="18">
        <f t="shared" si="49"/>
        <v>72</v>
      </c>
      <c r="B85" s="26" t="s">
        <v>45</v>
      </c>
      <c r="C85" s="124" t="s">
        <v>58</v>
      </c>
      <c r="D85" s="72" t="s">
        <v>74</v>
      </c>
      <c r="E85" s="73" t="s">
        <v>60</v>
      </c>
      <c r="F85" s="73"/>
      <c r="G85" s="73" t="s">
        <v>61</v>
      </c>
      <c r="H85" s="73" t="s">
        <v>55</v>
      </c>
      <c r="I85" s="191"/>
      <c r="J85" s="19">
        <f t="shared" ref="J85" si="72">I85</f>
        <v>0</v>
      </c>
      <c r="K85" s="167" t="s">
        <v>37</v>
      </c>
      <c r="L85" s="168">
        <v>0</v>
      </c>
      <c r="M85" s="168">
        <v>0</v>
      </c>
      <c r="N85" s="169">
        <f t="shared" ref="N85" si="73">L85*J85</f>
        <v>0</v>
      </c>
      <c r="O85" s="169">
        <f t="shared" ref="O85" si="74">M85*J85</f>
        <v>0</v>
      </c>
      <c r="P85" s="170">
        <f t="shared" ref="P85" si="75">(L85*J85)+(M85*J85)</f>
        <v>0</v>
      </c>
      <c r="Q85" s="335"/>
    </row>
    <row r="86" spans="1:17" ht="23.25" customHeight="1" x14ac:dyDescent="0.35">
      <c r="A86" s="18">
        <f t="shared" si="49"/>
        <v>73</v>
      </c>
      <c r="B86" s="26" t="s">
        <v>45</v>
      </c>
      <c r="C86" s="124" t="s">
        <v>58</v>
      </c>
      <c r="D86" s="72" t="s">
        <v>53</v>
      </c>
      <c r="E86" s="73" t="s">
        <v>60</v>
      </c>
      <c r="F86" s="73"/>
      <c r="G86" s="73" t="s">
        <v>61</v>
      </c>
      <c r="H86" s="73" t="s">
        <v>55</v>
      </c>
      <c r="I86" s="191"/>
      <c r="J86" s="19">
        <f t="shared" si="45"/>
        <v>0</v>
      </c>
      <c r="K86" s="167" t="s">
        <v>37</v>
      </c>
      <c r="L86" s="168">
        <v>0</v>
      </c>
      <c r="M86" s="168">
        <v>0</v>
      </c>
      <c r="N86" s="169">
        <f t="shared" si="69"/>
        <v>0</v>
      </c>
      <c r="O86" s="169">
        <f t="shared" si="70"/>
        <v>0</v>
      </c>
      <c r="P86" s="170">
        <f t="shared" si="71"/>
        <v>0</v>
      </c>
      <c r="Q86" s="335"/>
    </row>
    <row r="87" spans="1:17" ht="23.25" customHeight="1" x14ac:dyDescent="0.35">
      <c r="A87" s="18">
        <f t="shared" si="49"/>
        <v>74</v>
      </c>
      <c r="B87" s="26" t="s">
        <v>45</v>
      </c>
      <c r="C87" s="124" t="s">
        <v>58</v>
      </c>
      <c r="D87" s="72" t="s">
        <v>54</v>
      </c>
      <c r="E87" s="73" t="s">
        <v>60</v>
      </c>
      <c r="F87" s="73"/>
      <c r="G87" s="73" t="s">
        <v>61</v>
      </c>
      <c r="H87" s="73" t="s">
        <v>55</v>
      </c>
      <c r="I87" s="191"/>
      <c r="J87" s="19">
        <f t="shared" si="45"/>
        <v>0</v>
      </c>
      <c r="K87" s="167" t="s">
        <v>37</v>
      </c>
      <c r="L87" s="168">
        <v>0</v>
      </c>
      <c r="M87" s="168">
        <v>0</v>
      </c>
      <c r="N87" s="169">
        <f t="shared" ref="N87" si="76">L87*J87</f>
        <v>0</v>
      </c>
      <c r="O87" s="169">
        <f t="shared" ref="O87" si="77">M87*J87</f>
        <v>0</v>
      </c>
      <c r="P87" s="170">
        <f t="shared" ref="P87" si="78">(L87*J87)+(M87*J87)</f>
        <v>0</v>
      </c>
      <c r="Q87" s="335"/>
    </row>
    <row r="88" spans="1:17" ht="23.25" customHeight="1" x14ac:dyDescent="0.35">
      <c r="A88" s="18">
        <f t="shared" si="49"/>
        <v>75</v>
      </c>
      <c r="B88" s="26" t="s">
        <v>45</v>
      </c>
      <c r="C88" s="124" t="s">
        <v>58</v>
      </c>
      <c r="D88" s="75" t="s">
        <v>442</v>
      </c>
      <c r="E88" s="79" t="s">
        <v>60</v>
      </c>
      <c r="F88" s="79"/>
      <c r="G88" s="79"/>
      <c r="H88" s="79" t="s">
        <v>62</v>
      </c>
      <c r="I88" s="188"/>
      <c r="J88" s="19">
        <f t="shared" si="45"/>
        <v>0</v>
      </c>
      <c r="K88" s="167" t="s">
        <v>22</v>
      </c>
      <c r="L88" s="168">
        <v>0</v>
      </c>
      <c r="M88" s="168">
        <v>0</v>
      </c>
      <c r="N88" s="169">
        <f t="shared" si="46"/>
        <v>0</v>
      </c>
      <c r="O88" s="169">
        <f t="shared" si="47"/>
        <v>0</v>
      </c>
      <c r="P88" s="170">
        <f t="shared" si="48"/>
        <v>0</v>
      </c>
      <c r="Q88" s="335"/>
    </row>
    <row r="89" spans="1:17" ht="23.25" customHeight="1" x14ac:dyDescent="0.35">
      <c r="A89" s="18">
        <f t="shared" si="49"/>
        <v>76</v>
      </c>
      <c r="B89" s="26" t="s">
        <v>45</v>
      </c>
      <c r="C89" s="124" t="s">
        <v>58</v>
      </c>
      <c r="D89" s="75" t="s">
        <v>385</v>
      </c>
      <c r="E89" s="79" t="s">
        <v>41</v>
      </c>
      <c r="F89" s="79"/>
      <c r="G89" s="79"/>
      <c r="H89" s="79"/>
      <c r="I89" s="188"/>
      <c r="J89" s="19">
        <f t="shared" si="45"/>
        <v>0</v>
      </c>
      <c r="K89" s="167" t="s">
        <v>34</v>
      </c>
      <c r="L89" s="168">
        <v>0</v>
      </c>
      <c r="M89" s="168">
        <v>0</v>
      </c>
      <c r="N89" s="169">
        <f t="shared" ref="N89" si="79">L89*J89</f>
        <v>0</v>
      </c>
      <c r="O89" s="169">
        <f t="shared" ref="O89" si="80">M89*J89</f>
        <v>0</v>
      </c>
      <c r="P89" s="170">
        <f t="shared" ref="P89:P90" si="81">(L89*J89)+(M89*J89)</f>
        <v>0</v>
      </c>
      <c r="Q89" s="335"/>
    </row>
    <row r="90" spans="1:17" ht="23.25" customHeight="1" x14ac:dyDescent="0.35">
      <c r="A90" s="18">
        <f t="shared" si="49"/>
        <v>77</v>
      </c>
      <c r="B90" s="26" t="s">
        <v>45</v>
      </c>
      <c r="C90" s="124" t="s">
        <v>58</v>
      </c>
      <c r="D90" s="75" t="s">
        <v>63</v>
      </c>
      <c r="E90" s="79"/>
      <c r="F90" s="79"/>
      <c r="G90" s="79"/>
      <c r="H90" s="79"/>
      <c r="I90" s="188"/>
      <c r="J90" s="19">
        <f t="shared" si="45"/>
        <v>0</v>
      </c>
      <c r="K90" s="167" t="s">
        <v>22</v>
      </c>
      <c r="L90" s="168">
        <v>0</v>
      </c>
      <c r="M90" s="168">
        <v>0</v>
      </c>
      <c r="N90" s="169">
        <f t="shared" si="46"/>
        <v>0</v>
      </c>
      <c r="O90" s="169">
        <f t="shared" si="47"/>
        <v>0</v>
      </c>
      <c r="P90" s="170">
        <f t="shared" si="81"/>
        <v>0</v>
      </c>
      <c r="Q90" s="335"/>
    </row>
    <row r="91" spans="1:17" ht="23.25" customHeight="1" x14ac:dyDescent="0.35">
      <c r="A91" s="18">
        <f t="shared" si="49"/>
        <v>78</v>
      </c>
      <c r="B91" s="26" t="s">
        <v>45</v>
      </c>
      <c r="C91" s="124" t="s">
        <v>58</v>
      </c>
      <c r="D91" s="43" t="s">
        <v>358</v>
      </c>
      <c r="E91" s="5"/>
      <c r="F91" s="5"/>
      <c r="G91" s="5"/>
      <c r="H91" s="5"/>
      <c r="I91" s="20"/>
      <c r="J91" s="19">
        <f>I91</f>
        <v>0</v>
      </c>
      <c r="K91" s="171"/>
      <c r="L91" s="168">
        <v>0</v>
      </c>
      <c r="M91" s="168">
        <v>0</v>
      </c>
      <c r="N91" s="169">
        <f>L91*J91</f>
        <v>0</v>
      </c>
      <c r="O91" s="169">
        <f>M91*J91</f>
        <v>0</v>
      </c>
      <c r="P91" s="170">
        <f>(L91*J91)+(M91*J91)</f>
        <v>0</v>
      </c>
      <c r="Q91" s="326"/>
    </row>
    <row r="92" spans="1:17" ht="23.25" customHeight="1" thickBot="1" x14ac:dyDescent="0.4">
      <c r="A92" s="29">
        <f>A91+1</f>
        <v>79</v>
      </c>
      <c r="B92" s="36" t="s">
        <v>45</v>
      </c>
      <c r="C92" s="122" t="s">
        <v>58</v>
      </c>
      <c r="D92" s="44" t="s">
        <v>358</v>
      </c>
      <c r="E92" s="6"/>
      <c r="F92" s="6"/>
      <c r="G92" s="6"/>
      <c r="H92" s="6"/>
      <c r="I92" s="21"/>
      <c r="J92" s="22">
        <f>I92</f>
        <v>0</v>
      </c>
      <c r="K92" s="172"/>
      <c r="L92" s="173">
        <v>0</v>
      </c>
      <c r="M92" s="173">
        <v>0</v>
      </c>
      <c r="N92" s="174">
        <f>L92*J92</f>
        <v>0</v>
      </c>
      <c r="O92" s="174">
        <f>M92*J92</f>
        <v>0</v>
      </c>
      <c r="P92" s="175">
        <f>(L92*J92)+(M92*J92)</f>
        <v>0</v>
      </c>
      <c r="Q92" s="327"/>
    </row>
    <row r="93" spans="1:17" ht="23.25" customHeight="1" thickBot="1" x14ac:dyDescent="0.4">
      <c r="A93" s="30"/>
      <c r="B93" s="17" t="s">
        <v>45</v>
      </c>
      <c r="C93" s="125" t="s">
        <v>64</v>
      </c>
      <c r="D93" s="176" t="s">
        <v>64</v>
      </c>
      <c r="E93" s="177"/>
      <c r="F93" s="177"/>
      <c r="G93" s="177"/>
      <c r="H93" s="178"/>
      <c r="I93" s="179"/>
      <c r="J93" s="180"/>
      <c r="K93" s="181"/>
      <c r="L93" s="182"/>
      <c r="M93" s="182"/>
      <c r="N93" s="183"/>
      <c r="O93" s="183"/>
      <c r="P93" s="184"/>
      <c r="Q93" s="333"/>
    </row>
    <row r="94" spans="1:17" ht="23.25" customHeight="1" x14ac:dyDescent="0.35">
      <c r="A94" s="28">
        <f>A92+1</f>
        <v>80</v>
      </c>
      <c r="B94" s="35" t="s">
        <v>45</v>
      </c>
      <c r="C94" s="121" t="s">
        <v>64</v>
      </c>
      <c r="D94" s="77" t="s">
        <v>40</v>
      </c>
      <c r="E94" s="78" t="s">
        <v>65</v>
      </c>
      <c r="F94" s="78"/>
      <c r="G94" s="78" t="s">
        <v>66</v>
      </c>
      <c r="H94" s="78" t="s">
        <v>50</v>
      </c>
      <c r="I94" s="189"/>
      <c r="J94" s="32">
        <f t="shared" ref="J94:J119" si="82">I94</f>
        <v>0</v>
      </c>
      <c r="K94" s="190" t="s">
        <v>34</v>
      </c>
      <c r="L94" s="185">
        <v>0</v>
      </c>
      <c r="M94" s="185">
        <v>0</v>
      </c>
      <c r="N94" s="186">
        <f t="shared" ref="N94:N119" si="83">L94*J94</f>
        <v>0</v>
      </c>
      <c r="O94" s="186">
        <f t="shared" ref="O94:O119" si="84">M94*J94</f>
        <v>0</v>
      </c>
      <c r="P94" s="187">
        <f t="shared" ref="P94:P119" si="85">(L94*J94)+(M94*J94)</f>
        <v>0</v>
      </c>
      <c r="Q94" s="336"/>
    </row>
    <row r="95" spans="1:17" ht="23.25" customHeight="1" x14ac:dyDescent="0.35">
      <c r="A95" s="18">
        <f>A94+1</f>
        <v>81</v>
      </c>
      <c r="B95" s="26" t="s">
        <v>45</v>
      </c>
      <c r="C95" s="124" t="s">
        <v>64</v>
      </c>
      <c r="D95" s="72" t="s">
        <v>52</v>
      </c>
      <c r="E95" s="73" t="s">
        <v>65</v>
      </c>
      <c r="F95" s="73"/>
      <c r="G95" s="73" t="s">
        <v>66</v>
      </c>
      <c r="H95" s="73" t="s">
        <v>50</v>
      </c>
      <c r="I95" s="191"/>
      <c r="J95" s="19">
        <f t="shared" si="82"/>
        <v>0</v>
      </c>
      <c r="K95" s="167" t="s">
        <v>37</v>
      </c>
      <c r="L95" s="168">
        <v>0</v>
      </c>
      <c r="M95" s="168">
        <v>0</v>
      </c>
      <c r="N95" s="169">
        <f t="shared" si="83"/>
        <v>0</v>
      </c>
      <c r="O95" s="169">
        <f t="shared" si="84"/>
        <v>0</v>
      </c>
      <c r="P95" s="170">
        <f t="shared" si="85"/>
        <v>0</v>
      </c>
      <c r="Q95" s="335"/>
    </row>
    <row r="96" spans="1:17" ht="23.25" customHeight="1" x14ac:dyDescent="0.35">
      <c r="A96" s="18">
        <f t="shared" ref="A96:A120" si="86">A95+1</f>
        <v>82</v>
      </c>
      <c r="B96" s="26" t="s">
        <v>45</v>
      </c>
      <c r="C96" s="124" t="s">
        <v>64</v>
      </c>
      <c r="D96" s="72" t="s">
        <v>386</v>
      </c>
      <c r="E96" s="73" t="s">
        <v>65</v>
      </c>
      <c r="F96" s="73"/>
      <c r="G96" s="73" t="s">
        <v>66</v>
      </c>
      <c r="H96" s="73" t="s">
        <v>50</v>
      </c>
      <c r="I96" s="191"/>
      <c r="J96" s="19">
        <f t="shared" si="82"/>
        <v>0</v>
      </c>
      <c r="K96" s="167" t="s">
        <v>37</v>
      </c>
      <c r="L96" s="168">
        <v>0</v>
      </c>
      <c r="M96" s="168">
        <v>0</v>
      </c>
      <c r="N96" s="169">
        <f t="shared" ref="N96:N114" si="87">L96*J96</f>
        <v>0</v>
      </c>
      <c r="O96" s="169">
        <f t="shared" ref="O96:O114" si="88">M96*J96</f>
        <v>0</v>
      </c>
      <c r="P96" s="170">
        <f t="shared" ref="P96:P114" si="89">(L96*J96)+(M96*J96)</f>
        <v>0</v>
      </c>
      <c r="Q96" s="335"/>
    </row>
    <row r="97" spans="1:17" ht="23.25" customHeight="1" x14ac:dyDescent="0.35">
      <c r="A97" s="18">
        <f t="shared" si="86"/>
        <v>83</v>
      </c>
      <c r="B97" s="26" t="s">
        <v>45</v>
      </c>
      <c r="C97" s="124" t="s">
        <v>64</v>
      </c>
      <c r="D97" s="72" t="s">
        <v>74</v>
      </c>
      <c r="E97" s="73" t="s">
        <v>65</v>
      </c>
      <c r="F97" s="73"/>
      <c r="G97" s="73" t="s">
        <v>66</v>
      </c>
      <c r="H97" s="73" t="s">
        <v>50</v>
      </c>
      <c r="I97" s="191"/>
      <c r="J97" s="19">
        <f t="shared" ref="J97" si="90">I97</f>
        <v>0</v>
      </c>
      <c r="K97" s="167" t="s">
        <v>37</v>
      </c>
      <c r="L97" s="168">
        <v>0</v>
      </c>
      <c r="M97" s="168">
        <v>0</v>
      </c>
      <c r="N97" s="169">
        <f t="shared" ref="N97" si="91">L97*J97</f>
        <v>0</v>
      </c>
      <c r="O97" s="169">
        <f t="shared" ref="O97" si="92">M97*J97</f>
        <v>0</v>
      </c>
      <c r="P97" s="170">
        <f t="shared" ref="P97" si="93">(L97*J97)+(M97*J97)</f>
        <v>0</v>
      </c>
      <c r="Q97" s="335"/>
    </row>
    <row r="98" spans="1:17" ht="23.25" customHeight="1" x14ac:dyDescent="0.35">
      <c r="A98" s="18">
        <f t="shared" si="86"/>
        <v>84</v>
      </c>
      <c r="B98" s="26" t="s">
        <v>45</v>
      </c>
      <c r="C98" s="124" t="s">
        <v>64</v>
      </c>
      <c r="D98" s="72" t="s">
        <v>53</v>
      </c>
      <c r="E98" s="73" t="s">
        <v>65</v>
      </c>
      <c r="F98" s="73"/>
      <c r="G98" s="73" t="s">
        <v>66</v>
      </c>
      <c r="H98" s="73" t="s">
        <v>50</v>
      </c>
      <c r="I98" s="191"/>
      <c r="J98" s="19">
        <f t="shared" si="82"/>
        <v>0</v>
      </c>
      <c r="K98" s="167" t="s">
        <v>37</v>
      </c>
      <c r="L98" s="168">
        <v>0</v>
      </c>
      <c r="M98" s="168">
        <v>0</v>
      </c>
      <c r="N98" s="169">
        <f t="shared" si="87"/>
        <v>0</v>
      </c>
      <c r="O98" s="169">
        <f t="shared" si="88"/>
        <v>0</v>
      </c>
      <c r="P98" s="170">
        <f t="shared" si="89"/>
        <v>0</v>
      </c>
      <c r="Q98" s="335"/>
    </row>
    <row r="99" spans="1:17" ht="23.25" customHeight="1" x14ac:dyDescent="0.35">
      <c r="A99" s="18">
        <f t="shared" si="86"/>
        <v>85</v>
      </c>
      <c r="B99" s="26" t="s">
        <v>45</v>
      </c>
      <c r="C99" s="124" t="s">
        <v>64</v>
      </c>
      <c r="D99" s="72" t="s">
        <v>54</v>
      </c>
      <c r="E99" s="73" t="s">
        <v>65</v>
      </c>
      <c r="F99" s="73"/>
      <c r="G99" s="73" t="s">
        <v>66</v>
      </c>
      <c r="H99" s="73" t="s">
        <v>50</v>
      </c>
      <c r="I99" s="191"/>
      <c r="J99" s="19">
        <f t="shared" si="82"/>
        <v>0</v>
      </c>
      <c r="K99" s="167" t="s">
        <v>37</v>
      </c>
      <c r="L99" s="168">
        <v>0</v>
      </c>
      <c r="M99" s="168">
        <v>0</v>
      </c>
      <c r="N99" s="169">
        <f t="shared" si="87"/>
        <v>0</v>
      </c>
      <c r="O99" s="169">
        <f t="shared" si="88"/>
        <v>0</v>
      </c>
      <c r="P99" s="170">
        <f t="shared" si="89"/>
        <v>0</v>
      </c>
      <c r="Q99" s="335"/>
    </row>
    <row r="100" spans="1:17" ht="23.25" customHeight="1" x14ac:dyDescent="0.35">
      <c r="A100" s="18">
        <f t="shared" si="86"/>
        <v>86</v>
      </c>
      <c r="B100" s="26" t="s">
        <v>45</v>
      </c>
      <c r="C100" s="124" t="s">
        <v>64</v>
      </c>
      <c r="D100" s="72" t="s">
        <v>40</v>
      </c>
      <c r="E100" s="73" t="s">
        <v>65</v>
      </c>
      <c r="F100" s="73"/>
      <c r="G100" s="73" t="s">
        <v>66</v>
      </c>
      <c r="H100" s="73" t="s">
        <v>105</v>
      </c>
      <c r="I100" s="191"/>
      <c r="J100" s="19">
        <f t="shared" si="82"/>
        <v>0</v>
      </c>
      <c r="K100" s="167" t="s">
        <v>34</v>
      </c>
      <c r="L100" s="168">
        <v>0</v>
      </c>
      <c r="M100" s="168">
        <v>0</v>
      </c>
      <c r="N100" s="169">
        <f t="shared" si="87"/>
        <v>0</v>
      </c>
      <c r="O100" s="169">
        <f t="shared" si="88"/>
        <v>0</v>
      </c>
      <c r="P100" s="170">
        <f t="shared" si="89"/>
        <v>0</v>
      </c>
      <c r="Q100" s="335"/>
    </row>
    <row r="101" spans="1:17" ht="23.25" customHeight="1" x14ac:dyDescent="0.35">
      <c r="A101" s="18">
        <f t="shared" si="86"/>
        <v>87</v>
      </c>
      <c r="B101" s="26" t="s">
        <v>45</v>
      </c>
      <c r="C101" s="124" t="s">
        <v>64</v>
      </c>
      <c r="D101" s="72" t="s">
        <v>52</v>
      </c>
      <c r="E101" s="73" t="s">
        <v>65</v>
      </c>
      <c r="F101" s="73"/>
      <c r="G101" s="73" t="s">
        <v>66</v>
      </c>
      <c r="H101" s="73" t="s">
        <v>105</v>
      </c>
      <c r="I101" s="191"/>
      <c r="J101" s="19">
        <f t="shared" si="82"/>
        <v>0</v>
      </c>
      <c r="K101" s="167" t="s">
        <v>37</v>
      </c>
      <c r="L101" s="168">
        <v>0</v>
      </c>
      <c r="M101" s="168">
        <v>0</v>
      </c>
      <c r="N101" s="169">
        <f t="shared" si="87"/>
        <v>0</v>
      </c>
      <c r="O101" s="169">
        <f t="shared" si="88"/>
        <v>0</v>
      </c>
      <c r="P101" s="170">
        <f t="shared" si="89"/>
        <v>0</v>
      </c>
      <c r="Q101" s="335"/>
    </row>
    <row r="102" spans="1:17" ht="23.25" customHeight="1" x14ac:dyDescent="0.35">
      <c r="A102" s="18">
        <f t="shared" si="86"/>
        <v>88</v>
      </c>
      <c r="B102" s="26" t="s">
        <v>45</v>
      </c>
      <c r="C102" s="124" t="s">
        <v>64</v>
      </c>
      <c r="D102" s="72" t="s">
        <v>386</v>
      </c>
      <c r="E102" s="73" t="s">
        <v>65</v>
      </c>
      <c r="F102" s="73"/>
      <c r="G102" s="73" t="s">
        <v>66</v>
      </c>
      <c r="H102" s="73" t="s">
        <v>105</v>
      </c>
      <c r="I102" s="191"/>
      <c r="J102" s="19">
        <f t="shared" si="82"/>
        <v>0</v>
      </c>
      <c r="K102" s="167" t="s">
        <v>37</v>
      </c>
      <c r="L102" s="168">
        <v>0</v>
      </c>
      <c r="M102" s="168">
        <v>0</v>
      </c>
      <c r="N102" s="169">
        <f t="shared" si="87"/>
        <v>0</v>
      </c>
      <c r="O102" s="169">
        <f t="shared" si="88"/>
        <v>0</v>
      </c>
      <c r="P102" s="170">
        <f t="shared" si="89"/>
        <v>0</v>
      </c>
      <c r="Q102" s="335"/>
    </row>
    <row r="103" spans="1:17" ht="23.25" customHeight="1" x14ac:dyDescent="0.35">
      <c r="A103" s="18">
        <f t="shared" si="86"/>
        <v>89</v>
      </c>
      <c r="B103" s="26" t="s">
        <v>45</v>
      </c>
      <c r="C103" s="124" t="s">
        <v>64</v>
      </c>
      <c r="D103" s="72" t="s">
        <v>74</v>
      </c>
      <c r="E103" s="73" t="s">
        <v>65</v>
      </c>
      <c r="F103" s="73"/>
      <c r="G103" s="73" t="s">
        <v>66</v>
      </c>
      <c r="H103" s="73" t="s">
        <v>105</v>
      </c>
      <c r="I103" s="191"/>
      <c r="J103" s="19">
        <f t="shared" ref="J103" si="94">I103</f>
        <v>0</v>
      </c>
      <c r="K103" s="167" t="s">
        <v>37</v>
      </c>
      <c r="L103" s="168">
        <v>0</v>
      </c>
      <c r="M103" s="168">
        <v>0</v>
      </c>
      <c r="N103" s="169">
        <f t="shared" ref="N103" si="95">L103*J103</f>
        <v>0</v>
      </c>
      <c r="O103" s="169">
        <f t="shared" ref="O103" si="96">M103*J103</f>
        <v>0</v>
      </c>
      <c r="P103" s="170">
        <f t="shared" ref="P103" si="97">(L103*J103)+(M103*J103)</f>
        <v>0</v>
      </c>
      <c r="Q103" s="335"/>
    </row>
    <row r="104" spans="1:17" ht="23.25" customHeight="1" x14ac:dyDescent="0.35">
      <c r="A104" s="18">
        <f t="shared" si="86"/>
        <v>90</v>
      </c>
      <c r="B104" s="26" t="s">
        <v>45</v>
      </c>
      <c r="C104" s="124" t="s">
        <v>64</v>
      </c>
      <c r="D104" s="72" t="s">
        <v>53</v>
      </c>
      <c r="E104" s="73" t="s">
        <v>65</v>
      </c>
      <c r="F104" s="73"/>
      <c r="G104" s="73" t="s">
        <v>66</v>
      </c>
      <c r="H104" s="73" t="s">
        <v>105</v>
      </c>
      <c r="I104" s="191"/>
      <c r="J104" s="19">
        <f t="shared" si="82"/>
        <v>0</v>
      </c>
      <c r="K104" s="167" t="s">
        <v>37</v>
      </c>
      <c r="L104" s="168">
        <v>0</v>
      </c>
      <c r="M104" s="168">
        <v>0</v>
      </c>
      <c r="N104" s="169">
        <f t="shared" si="87"/>
        <v>0</v>
      </c>
      <c r="O104" s="169">
        <f t="shared" si="88"/>
        <v>0</v>
      </c>
      <c r="P104" s="170">
        <f t="shared" si="89"/>
        <v>0</v>
      </c>
      <c r="Q104" s="335"/>
    </row>
    <row r="105" spans="1:17" ht="23.25" customHeight="1" x14ac:dyDescent="0.35">
      <c r="A105" s="18">
        <f t="shared" si="86"/>
        <v>91</v>
      </c>
      <c r="B105" s="26" t="s">
        <v>45</v>
      </c>
      <c r="C105" s="124" t="s">
        <v>64</v>
      </c>
      <c r="D105" s="72" t="s">
        <v>54</v>
      </c>
      <c r="E105" s="73" t="s">
        <v>65</v>
      </c>
      <c r="F105" s="73"/>
      <c r="G105" s="73" t="s">
        <v>66</v>
      </c>
      <c r="H105" s="73" t="s">
        <v>105</v>
      </c>
      <c r="I105" s="191"/>
      <c r="J105" s="19">
        <f t="shared" si="82"/>
        <v>0</v>
      </c>
      <c r="K105" s="167" t="s">
        <v>37</v>
      </c>
      <c r="L105" s="168">
        <v>0</v>
      </c>
      <c r="M105" s="168">
        <v>0</v>
      </c>
      <c r="N105" s="169">
        <f t="shared" si="87"/>
        <v>0</v>
      </c>
      <c r="O105" s="169">
        <f t="shared" si="88"/>
        <v>0</v>
      </c>
      <c r="P105" s="170">
        <f t="shared" si="89"/>
        <v>0</v>
      </c>
      <c r="Q105" s="335"/>
    </row>
    <row r="106" spans="1:17" ht="23.25" customHeight="1" x14ac:dyDescent="0.35">
      <c r="A106" s="18">
        <f t="shared" si="86"/>
        <v>92</v>
      </c>
      <c r="B106" s="26" t="s">
        <v>45</v>
      </c>
      <c r="C106" s="124" t="s">
        <v>64</v>
      </c>
      <c r="D106" s="72" t="s">
        <v>40</v>
      </c>
      <c r="E106" s="73" t="s">
        <v>65</v>
      </c>
      <c r="F106" s="73"/>
      <c r="G106" s="73" t="s">
        <v>66</v>
      </c>
      <c r="H106" s="73" t="s">
        <v>106</v>
      </c>
      <c r="I106" s="191"/>
      <c r="J106" s="19">
        <f t="shared" si="82"/>
        <v>0</v>
      </c>
      <c r="K106" s="167" t="s">
        <v>34</v>
      </c>
      <c r="L106" s="168">
        <v>0</v>
      </c>
      <c r="M106" s="168">
        <v>0</v>
      </c>
      <c r="N106" s="169">
        <f t="shared" si="87"/>
        <v>0</v>
      </c>
      <c r="O106" s="169">
        <f t="shared" si="88"/>
        <v>0</v>
      </c>
      <c r="P106" s="170">
        <f t="shared" si="89"/>
        <v>0</v>
      </c>
      <c r="Q106" s="335"/>
    </row>
    <row r="107" spans="1:17" ht="23.25" customHeight="1" x14ac:dyDescent="0.35">
      <c r="A107" s="18">
        <f t="shared" si="86"/>
        <v>93</v>
      </c>
      <c r="B107" s="26" t="s">
        <v>45</v>
      </c>
      <c r="C107" s="124" t="s">
        <v>64</v>
      </c>
      <c r="D107" s="72" t="s">
        <v>52</v>
      </c>
      <c r="E107" s="73" t="s">
        <v>65</v>
      </c>
      <c r="F107" s="73"/>
      <c r="G107" s="73" t="s">
        <v>66</v>
      </c>
      <c r="H107" s="73" t="s">
        <v>106</v>
      </c>
      <c r="I107" s="191"/>
      <c r="J107" s="19">
        <f t="shared" si="82"/>
        <v>0</v>
      </c>
      <c r="K107" s="167" t="s">
        <v>37</v>
      </c>
      <c r="L107" s="168">
        <v>0</v>
      </c>
      <c r="M107" s="168">
        <v>0</v>
      </c>
      <c r="N107" s="169">
        <f t="shared" si="87"/>
        <v>0</v>
      </c>
      <c r="O107" s="169">
        <f t="shared" si="88"/>
        <v>0</v>
      </c>
      <c r="P107" s="170">
        <f t="shared" si="89"/>
        <v>0</v>
      </c>
      <c r="Q107" s="335"/>
    </row>
    <row r="108" spans="1:17" ht="23.25" customHeight="1" x14ac:dyDescent="0.35">
      <c r="A108" s="18">
        <f t="shared" si="86"/>
        <v>94</v>
      </c>
      <c r="B108" s="26" t="s">
        <v>45</v>
      </c>
      <c r="C108" s="124" t="s">
        <v>64</v>
      </c>
      <c r="D108" s="72" t="s">
        <v>386</v>
      </c>
      <c r="E108" s="73" t="s">
        <v>65</v>
      </c>
      <c r="F108" s="73"/>
      <c r="G108" s="73" t="s">
        <v>66</v>
      </c>
      <c r="H108" s="73" t="s">
        <v>106</v>
      </c>
      <c r="I108" s="191"/>
      <c r="J108" s="19">
        <f t="shared" si="82"/>
        <v>0</v>
      </c>
      <c r="K108" s="167" t="s">
        <v>37</v>
      </c>
      <c r="L108" s="168">
        <v>0</v>
      </c>
      <c r="M108" s="168">
        <v>0</v>
      </c>
      <c r="N108" s="169">
        <f t="shared" si="87"/>
        <v>0</v>
      </c>
      <c r="O108" s="169">
        <f t="shared" si="88"/>
        <v>0</v>
      </c>
      <c r="P108" s="170">
        <f t="shared" si="89"/>
        <v>0</v>
      </c>
      <c r="Q108" s="335"/>
    </row>
    <row r="109" spans="1:17" ht="23.25" customHeight="1" x14ac:dyDescent="0.35">
      <c r="A109" s="18">
        <f t="shared" si="86"/>
        <v>95</v>
      </c>
      <c r="B109" s="26" t="s">
        <v>45</v>
      </c>
      <c r="C109" s="124" t="s">
        <v>64</v>
      </c>
      <c r="D109" s="72" t="s">
        <v>74</v>
      </c>
      <c r="E109" s="73" t="s">
        <v>65</v>
      </c>
      <c r="F109" s="73"/>
      <c r="G109" s="73" t="s">
        <v>66</v>
      </c>
      <c r="H109" s="73" t="s">
        <v>106</v>
      </c>
      <c r="I109" s="191"/>
      <c r="J109" s="19">
        <f t="shared" ref="J109" si="98">I109</f>
        <v>0</v>
      </c>
      <c r="K109" s="167" t="s">
        <v>37</v>
      </c>
      <c r="L109" s="168">
        <v>0</v>
      </c>
      <c r="M109" s="168">
        <v>0</v>
      </c>
      <c r="N109" s="169">
        <f t="shared" ref="N109" si="99">L109*J109</f>
        <v>0</v>
      </c>
      <c r="O109" s="169">
        <f t="shared" ref="O109" si="100">M109*J109</f>
        <v>0</v>
      </c>
      <c r="P109" s="170">
        <f t="shared" ref="P109" si="101">(L109*J109)+(M109*J109)</f>
        <v>0</v>
      </c>
      <c r="Q109" s="335"/>
    </row>
    <row r="110" spans="1:17" ht="23.25" customHeight="1" x14ac:dyDescent="0.35">
      <c r="A110" s="18">
        <f t="shared" si="86"/>
        <v>96</v>
      </c>
      <c r="B110" s="26" t="s">
        <v>45</v>
      </c>
      <c r="C110" s="124" t="s">
        <v>64</v>
      </c>
      <c r="D110" s="72" t="s">
        <v>53</v>
      </c>
      <c r="E110" s="73" t="s">
        <v>65</v>
      </c>
      <c r="F110" s="73"/>
      <c r="G110" s="73" t="s">
        <v>66</v>
      </c>
      <c r="H110" s="73" t="s">
        <v>106</v>
      </c>
      <c r="I110" s="191"/>
      <c r="J110" s="19">
        <f t="shared" si="82"/>
        <v>0</v>
      </c>
      <c r="K110" s="167" t="s">
        <v>37</v>
      </c>
      <c r="L110" s="168">
        <v>0</v>
      </c>
      <c r="M110" s="168">
        <v>0</v>
      </c>
      <c r="N110" s="169">
        <f t="shared" si="87"/>
        <v>0</v>
      </c>
      <c r="O110" s="169">
        <f t="shared" si="88"/>
        <v>0</v>
      </c>
      <c r="P110" s="170">
        <f t="shared" si="89"/>
        <v>0</v>
      </c>
      <c r="Q110" s="335"/>
    </row>
    <row r="111" spans="1:17" ht="23.25" customHeight="1" x14ac:dyDescent="0.35">
      <c r="A111" s="18">
        <f t="shared" si="86"/>
        <v>97</v>
      </c>
      <c r="B111" s="26" t="s">
        <v>45</v>
      </c>
      <c r="C111" s="124" t="s">
        <v>64</v>
      </c>
      <c r="D111" s="72" t="s">
        <v>54</v>
      </c>
      <c r="E111" s="73" t="s">
        <v>65</v>
      </c>
      <c r="F111" s="73"/>
      <c r="G111" s="73" t="s">
        <v>66</v>
      </c>
      <c r="H111" s="73" t="s">
        <v>106</v>
      </c>
      <c r="I111" s="191"/>
      <c r="J111" s="19">
        <f t="shared" si="82"/>
        <v>0</v>
      </c>
      <c r="K111" s="167" t="s">
        <v>37</v>
      </c>
      <c r="L111" s="168">
        <v>0</v>
      </c>
      <c r="M111" s="168">
        <v>0</v>
      </c>
      <c r="N111" s="169">
        <f t="shared" si="87"/>
        <v>0</v>
      </c>
      <c r="O111" s="169">
        <f t="shared" si="88"/>
        <v>0</v>
      </c>
      <c r="P111" s="170">
        <f t="shared" si="89"/>
        <v>0</v>
      </c>
      <c r="Q111" s="335"/>
    </row>
    <row r="112" spans="1:17" ht="23.25" customHeight="1" x14ac:dyDescent="0.35">
      <c r="A112" s="18">
        <f t="shared" si="86"/>
        <v>98</v>
      </c>
      <c r="B112" s="26" t="s">
        <v>45</v>
      </c>
      <c r="C112" s="124" t="s">
        <v>64</v>
      </c>
      <c r="D112" s="72" t="s">
        <v>40</v>
      </c>
      <c r="E112" s="73" t="s">
        <v>65</v>
      </c>
      <c r="F112" s="73"/>
      <c r="G112" s="73" t="s">
        <v>66</v>
      </c>
      <c r="H112" s="73" t="s">
        <v>55</v>
      </c>
      <c r="I112" s="191"/>
      <c r="J112" s="19">
        <f t="shared" si="82"/>
        <v>0</v>
      </c>
      <c r="K112" s="167" t="s">
        <v>34</v>
      </c>
      <c r="L112" s="168">
        <v>0</v>
      </c>
      <c r="M112" s="168">
        <v>0</v>
      </c>
      <c r="N112" s="169">
        <f t="shared" si="87"/>
        <v>0</v>
      </c>
      <c r="O112" s="169">
        <f t="shared" si="88"/>
        <v>0</v>
      </c>
      <c r="P112" s="170">
        <f t="shared" si="89"/>
        <v>0</v>
      </c>
      <c r="Q112" s="335"/>
    </row>
    <row r="113" spans="1:17" ht="23.25" customHeight="1" x14ac:dyDescent="0.35">
      <c r="A113" s="18">
        <f t="shared" si="86"/>
        <v>99</v>
      </c>
      <c r="B113" s="26" t="s">
        <v>45</v>
      </c>
      <c r="C113" s="124" t="s">
        <v>64</v>
      </c>
      <c r="D113" s="72" t="s">
        <v>52</v>
      </c>
      <c r="E113" s="73" t="s">
        <v>65</v>
      </c>
      <c r="F113" s="73"/>
      <c r="G113" s="73" t="s">
        <v>66</v>
      </c>
      <c r="H113" s="73" t="s">
        <v>55</v>
      </c>
      <c r="I113" s="191"/>
      <c r="J113" s="19">
        <f t="shared" si="82"/>
        <v>0</v>
      </c>
      <c r="K113" s="167" t="s">
        <v>37</v>
      </c>
      <c r="L113" s="168">
        <v>0</v>
      </c>
      <c r="M113" s="168">
        <v>0</v>
      </c>
      <c r="N113" s="169">
        <f t="shared" si="87"/>
        <v>0</v>
      </c>
      <c r="O113" s="169">
        <f t="shared" si="88"/>
        <v>0</v>
      </c>
      <c r="P113" s="170">
        <f t="shared" si="89"/>
        <v>0</v>
      </c>
      <c r="Q113" s="335"/>
    </row>
    <row r="114" spans="1:17" ht="23.25" customHeight="1" x14ac:dyDescent="0.35">
      <c r="A114" s="18">
        <f t="shared" si="86"/>
        <v>100</v>
      </c>
      <c r="B114" s="26" t="s">
        <v>45</v>
      </c>
      <c r="C114" s="124" t="s">
        <v>64</v>
      </c>
      <c r="D114" s="72" t="s">
        <v>386</v>
      </c>
      <c r="E114" s="73" t="s">
        <v>65</v>
      </c>
      <c r="F114" s="73"/>
      <c r="G114" s="73" t="s">
        <v>66</v>
      </c>
      <c r="H114" s="73" t="s">
        <v>55</v>
      </c>
      <c r="I114" s="191"/>
      <c r="J114" s="19">
        <f t="shared" si="82"/>
        <v>0</v>
      </c>
      <c r="K114" s="167" t="s">
        <v>37</v>
      </c>
      <c r="L114" s="168">
        <v>0</v>
      </c>
      <c r="M114" s="168">
        <v>0</v>
      </c>
      <c r="N114" s="169">
        <f t="shared" si="87"/>
        <v>0</v>
      </c>
      <c r="O114" s="169">
        <f t="shared" si="88"/>
        <v>0</v>
      </c>
      <c r="P114" s="170">
        <f t="shared" si="89"/>
        <v>0</v>
      </c>
      <c r="Q114" s="335"/>
    </row>
    <row r="115" spans="1:17" ht="23.25" customHeight="1" x14ac:dyDescent="0.35">
      <c r="A115" s="18">
        <f t="shared" si="86"/>
        <v>101</v>
      </c>
      <c r="B115" s="26" t="s">
        <v>45</v>
      </c>
      <c r="C115" s="124" t="s">
        <v>64</v>
      </c>
      <c r="D115" s="72" t="s">
        <v>74</v>
      </c>
      <c r="E115" s="73" t="s">
        <v>65</v>
      </c>
      <c r="F115" s="73"/>
      <c r="G115" s="73" t="s">
        <v>66</v>
      </c>
      <c r="H115" s="73" t="s">
        <v>55</v>
      </c>
      <c r="I115" s="191"/>
      <c r="J115" s="19">
        <f t="shared" ref="J115" si="102">I115</f>
        <v>0</v>
      </c>
      <c r="K115" s="167" t="s">
        <v>37</v>
      </c>
      <c r="L115" s="168">
        <v>0</v>
      </c>
      <c r="M115" s="168">
        <v>0</v>
      </c>
      <c r="N115" s="169">
        <f t="shared" ref="N115" si="103">L115*J115</f>
        <v>0</v>
      </c>
      <c r="O115" s="169">
        <f t="shared" ref="O115" si="104">M115*J115</f>
        <v>0</v>
      </c>
      <c r="P115" s="170">
        <f t="shared" ref="P115" si="105">(L115*J115)+(M115*J115)</f>
        <v>0</v>
      </c>
      <c r="Q115" s="335"/>
    </row>
    <row r="116" spans="1:17" ht="23.25" customHeight="1" x14ac:dyDescent="0.35">
      <c r="A116" s="18">
        <f t="shared" si="86"/>
        <v>102</v>
      </c>
      <c r="B116" s="26" t="s">
        <v>45</v>
      </c>
      <c r="C116" s="124" t="s">
        <v>64</v>
      </c>
      <c r="D116" s="72" t="s">
        <v>53</v>
      </c>
      <c r="E116" s="73" t="s">
        <v>65</v>
      </c>
      <c r="F116" s="73"/>
      <c r="G116" s="73" t="s">
        <v>66</v>
      </c>
      <c r="H116" s="73" t="s">
        <v>55</v>
      </c>
      <c r="I116" s="191"/>
      <c r="J116" s="19">
        <f t="shared" ref="J116:J117" si="106">I116</f>
        <v>0</v>
      </c>
      <c r="K116" s="167" t="s">
        <v>37</v>
      </c>
      <c r="L116" s="168">
        <v>0</v>
      </c>
      <c r="M116" s="168">
        <v>0</v>
      </c>
      <c r="N116" s="169">
        <f t="shared" ref="N116:N117" si="107">L116*J116</f>
        <v>0</v>
      </c>
      <c r="O116" s="169">
        <f t="shared" ref="O116:O117" si="108">M116*J116</f>
        <v>0</v>
      </c>
      <c r="P116" s="170">
        <f t="shared" ref="P116:P117" si="109">(L116*J116)+(M116*J116)</f>
        <v>0</v>
      </c>
      <c r="Q116" s="335"/>
    </row>
    <row r="117" spans="1:17" ht="23.25" customHeight="1" x14ac:dyDescent="0.35">
      <c r="A117" s="18">
        <f t="shared" si="86"/>
        <v>103</v>
      </c>
      <c r="B117" s="26" t="s">
        <v>45</v>
      </c>
      <c r="C117" s="124" t="s">
        <v>64</v>
      </c>
      <c r="D117" s="72" t="s">
        <v>54</v>
      </c>
      <c r="E117" s="73" t="s">
        <v>65</v>
      </c>
      <c r="F117" s="73"/>
      <c r="G117" s="73" t="s">
        <v>66</v>
      </c>
      <c r="H117" s="73" t="s">
        <v>55</v>
      </c>
      <c r="I117" s="191"/>
      <c r="J117" s="19">
        <f t="shared" si="106"/>
        <v>0</v>
      </c>
      <c r="K117" s="167" t="s">
        <v>37</v>
      </c>
      <c r="L117" s="168">
        <v>0</v>
      </c>
      <c r="M117" s="168">
        <v>0</v>
      </c>
      <c r="N117" s="169">
        <f t="shared" si="107"/>
        <v>0</v>
      </c>
      <c r="O117" s="169">
        <f t="shared" si="108"/>
        <v>0</v>
      </c>
      <c r="P117" s="170">
        <f t="shared" si="109"/>
        <v>0</v>
      </c>
      <c r="Q117" s="335"/>
    </row>
    <row r="118" spans="1:17" ht="23.25" customHeight="1" x14ac:dyDescent="0.35">
      <c r="A118" s="18">
        <f t="shared" si="86"/>
        <v>104</v>
      </c>
      <c r="B118" s="26" t="s">
        <v>45</v>
      </c>
      <c r="C118" s="124" t="s">
        <v>64</v>
      </c>
      <c r="D118" s="72" t="s">
        <v>40</v>
      </c>
      <c r="E118" s="73" t="s">
        <v>41</v>
      </c>
      <c r="F118" s="73"/>
      <c r="G118" s="73" t="s">
        <v>42</v>
      </c>
      <c r="H118" s="73" t="s">
        <v>43</v>
      </c>
      <c r="I118" s="191"/>
      <c r="J118" s="19">
        <f t="shared" si="82"/>
        <v>0</v>
      </c>
      <c r="K118" s="167" t="s">
        <v>34</v>
      </c>
      <c r="L118" s="168">
        <v>0</v>
      </c>
      <c r="M118" s="168">
        <v>0</v>
      </c>
      <c r="N118" s="169">
        <f t="shared" si="83"/>
        <v>0</v>
      </c>
      <c r="O118" s="169">
        <f t="shared" si="84"/>
        <v>0</v>
      </c>
      <c r="P118" s="170">
        <f t="shared" si="85"/>
        <v>0</v>
      </c>
      <c r="Q118" s="335"/>
    </row>
    <row r="119" spans="1:17" ht="23.25" customHeight="1" x14ac:dyDescent="0.35">
      <c r="A119" s="18">
        <f t="shared" si="86"/>
        <v>105</v>
      </c>
      <c r="B119" s="26" t="s">
        <v>45</v>
      </c>
      <c r="C119" s="124" t="s">
        <v>64</v>
      </c>
      <c r="D119" s="72" t="s">
        <v>63</v>
      </c>
      <c r="E119" s="73"/>
      <c r="F119" s="73"/>
      <c r="G119" s="73"/>
      <c r="H119" s="73"/>
      <c r="I119" s="191"/>
      <c r="J119" s="19">
        <f t="shared" si="82"/>
        <v>0</v>
      </c>
      <c r="K119" s="167" t="s">
        <v>22</v>
      </c>
      <c r="L119" s="168">
        <v>0</v>
      </c>
      <c r="M119" s="168">
        <v>0</v>
      </c>
      <c r="N119" s="169">
        <f t="shared" si="83"/>
        <v>0</v>
      </c>
      <c r="O119" s="169">
        <f t="shared" si="84"/>
        <v>0</v>
      </c>
      <c r="P119" s="170">
        <f t="shared" si="85"/>
        <v>0</v>
      </c>
      <c r="Q119" s="335"/>
    </row>
    <row r="120" spans="1:17" ht="23.25" customHeight="1" x14ac:dyDescent="0.35">
      <c r="A120" s="18">
        <f t="shared" si="86"/>
        <v>106</v>
      </c>
      <c r="B120" s="26" t="s">
        <v>45</v>
      </c>
      <c r="C120" s="124" t="s">
        <v>64</v>
      </c>
      <c r="D120" s="43" t="s">
        <v>358</v>
      </c>
      <c r="E120" s="5"/>
      <c r="F120" s="5"/>
      <c r="G120" s="5"/>
      <c r="H120" s="5"/>
      <c r="I120" s="20"/>
      <c r="J120" s="19">
        <f>I120</f>
        <v>0</v>
      </c>
      <c r="K120" s="171"/>
      <c r="L120" s="168">
        <v>0</v>
      </c>
      <c r="M120" s="168">
        <v>0</v>
      </c>
      <c r="N120" s="169">
        <f>L120*J120</f>
        <v>0</v>
      </c>
      <c r="O120" s="169">
        <f>M120*J120</f>
        <v>0</v>
      </c>
      <c r="P120" s="170">
        <f>(L120*J120)+(M120*J120)</f>
        <v>0</v>
      </c>
      <c r="Q120" s="326"/>
    </row>
    <row r="121" spans="1:17" ht="23.25" customHeight="1" thickBot="1" x14ac:dyDescent="0.4">
      <c r="A121" s="29">
        <f>A120+1</f>
        <v>107</v>
      </c>
      <c r="B121" s="36" t="s">
        <v>45</v>
      </c>
      <c r="C121" s="122" t="s">
        <v>64</v>
      </c>
      <c r="D121" s="44" t="s">
        <v>358</v>
      </c>
      <c r="E121" s="6"/>
      <c r="F121" s="6"/>
      <c r="G121" s="6"/>
      <c r="H121" s="6"/>
      <c r="I121" s="21"/>
      <c r="J121" s="22">
        <f>I121</f>
        <v>0</v>
      </c>
      <c r="K121" s="172"/>
      <c r="L121" s="173">
        <v>0</v>
      </c>
      <c r="M121" s="173">
        <v>0</v>
      </c>
      <c r="N121" s="174">
        <f>L121*J121</f>
        <v>0</v>
      </c>
      <c r="O121" s="174">
        <f>M121*J121</f>
        <v>0</v>
      </c>
      <c r="P121" s="175">
        <f>(L121*J121)+(M121*J121)</f>
        <v>0</v>
      </c>
      <c r="Q121" s="327"/>
    </row>
    <row r="122" spans="1:17" ht="71" thickBot="1" x14ac:dyDescent="0.4">
      <c r="A122" s="30"/>
      <c r="B122" s="37" t="s">
        <v>45</v>
      </c>
      <c r="C122" s="86" t="s">
        <v>67</v>
      </c>
      <c r="D122" s="192" t="s">
        <v>473</v>
      </c>
      <c r="E122" s="177"/>
      <c r="F122" s="177"/>
      <c r="G122" s="177"/>
      <c r="H122" s="178"/>
      <c r="I122" s="179"/>
      <c r="J122" s="180"/>
      <c r="K122" s="181"/>
      <c r="L122" s="182"/>
      <c r="M122" s="182"/>
      <c r="N122" s="183"/>
      <c r="O122" s="183"/>
      <c r="P122" s="184"/>
      <c r="Q122" s="333"/>
    </row>
    <row r="123" spans="1:17" ht="23.25" customHeight="1" x14ac:dyDescent="0.35">
      <c r="A123" s="28">
        <f>A121+1</f>
        <v>108</v>
      </c>
      <c r="B123" s="35" t="s">
        <v>45</v>
      </c>
      <c r="C123" s="121" t="s">
        <v>67</v>
      </c>
      <c r="D123" s="77" t="s">
        <v>40</v>
      </c>
      <c r="E123" s="78" t="s">
        <v>48</v>
      </c>
      <c r="F123" s="78"/>
      <c r="G123" s="78" t="s">
        <v>68</v>
      </c>
      <c r="H123" s="78" t="s">
        <v>388</v>
      </c>
      <c r="I123" s="189"/>
      <c r="J123" s="32">
        <f t="shared" ref="J123:J186" si="110">I123</f>
        <v>0</v>
      </c>
      <c r="K123" s="190" t="s">
        <v>51</v>
      </c>
      <c r="L123" s="185">
        <v>0</v>
      </c>
      <c r="M123" s="185">
        <v>0</v>
      </c>
      <c r="N123" s="186">
        <f t="shared" ref="N123:N152" si="111">L123*J123</f>
        <v>0</v>
      </c>
      <c r="O123" s="186">
        <f t="shared" ref="O123:O152" si="112">M123*J123</f>
        <v>0</v>
      </c>
      <c r="P123" s="187">
        <f t="shared" ref="P123:P152" si="113">(L123*J123)+(M123*J123)</f>
        <v>0</v>
      </c>
      <c r="Q123" s="336"/>
    </row>
    <row r="124" spans="1:17" ht="23.25" customHeight="1" x14ac:dyDescent="0.35">
      <c r="A124" s="18">
        <f>A123+1</f>
        <v>109</v>
      </c>
      <c r="B124" s="26" t="s">
        <v>45</v>
      </c>
      <c r="C124" s="124" t="s">
        <v>67</v>
      </c>
      <c r="D124" s="72" t="s">
        <v>52</v>
      </c>
      <c r="E124" s="73" t="s">
        <v>48</v>
      </c>
      <c r="F124" s="73"/>
      <c r="G124" s="73" t="s">
        <v>68</v>
      </c>
      <c r="H124" s="73" t="s">
        <v>388</v>
      </c>
      <c r="I124" s="191"/>
      <c r="J124" s="19">
        <f t="shared" si="110"/>
        <v>0</v>
      </c>
      <c r="K124" s="167" t="s">
        <v>37</v>
      </c>
      <c r="L124" s="168">
        <v>0</v>
      </c>
      <c r="M124" s="168">
        <v>0</v>
      </c>
      <c r="N124" s="169">
        <f t="shared" si="111"/>
        <v>0</v>
      </c>
      <c r="O124" s="169">
        <f t="shared" si="112"/>
        <v>0</v>
      </c>
      <c r="P124" s="170">
        <f t="shared" si="113"/>
        <v>0</v>
      </c>
      <c r="Q124" s="335"/>
    </row>
    <row r="125" spans="1:17" ht="23.25" customHeight="1" x14ac:dyDescent="0.35">
      <c r="A125" s="18">
        <f t="shared" ref="A125:A153" si="114">A124+1</f>
        <v>110</v>
      </c>
      <c r="B125" s="26" t="s">
        <v>45</v>
      </c>
      <c r="C125" s="124" t="s">
        <v>67</v>
      </c>
      <c r="D125" s="72" t="s">
        <v>386</v>
      </c>
      <c r="E125" s="73" t="s">
        <v>48</v>
      </c>
      <c r="F125" s="73"/>
      <c r="G125" s="73" t="s">
        <v>68</v>
      </c>
      <c r="H125" s="73" t="s">
        <v>388</v>
      </c>
      <c r="I125" s="191"/>
      <c r="J125" s="19">
        <f t="shared" si="110"/>
        <v>0</v>
      </c>
      <c r="K125" s="167" t="s">
        <v>37</v>
      </c>
      <c r="L125" s="168">
        <v>0</v>
      </c>
      <c r="M125" s="168">
        <v>0</v>
      </c>
      <c r="N125" s="169">
        <f t="shared" ref="N125" si="115">L125*J125</f>
        <v>0</v>
      </c>
      <c r="O125" s="169">
        <f t="shared" ref="O125" si="116">M125*J125</f>
        <v>0</v>
      </c>
      <c r="P125" s="170">
        <f t="shared" ref="P125" si="117">(L125*J125)+(M125*J125)</f>
        <v>0</v>
      </c>
      <c r="Q125" s="335"/>
    </row>
    <row r="126" spans="1:17" ht="23.25" customHeight="1" x14ac:dyDescent="0.35">
      <c r="A126" s="18">
        <f t="shared" si="114"/>
        <v>111</v>
      </c>
      <c r="B126" s="26" t="s">
        <v>45</v>
      </c>
      <c r="C126" s="124" t="s">
        <v>67</v>
      </c>
      <c r="D126" s="72" t="s">
        <v>74</v>
      </c>
      <c r="E126" s="73" t="s">
        <v>48</v>
      </c>
      <c r="F126" s="73"/>
      <c r="G126" s="73" t="s">
        <v>68</v>
      </c>
      <c r="H126" s="73" t="s">
        <v>388</v>
      </c>
      <c r="I126" s="191"/>
      <c r="J126" s="19">
        <f t="shared" ref="J126" si="118">I126</f>
        <v>0</v>
      </c>
      <c r="K126" s="167" t="s">
        <v>37</v>
      </c>
      <c r="L126" s="168">
        <v>0</v>
      </c>
      <c r="M126" s="168">
        <v>0</v>
      </c>
      <c r="N126" s="169">
        <f t="shared" ref="N126" si="119">L126*J126</f>
        <v>0</v>
      </c>
      <c r="O126" s="169">
        <f t="shared" ref="O126" si="120">M126*J126</f>
        <v>0</v>
      </c>
      <c r="P126" s="170">
        <f t="shared" ref="P126" si="121">(L126*J126)+(M126*J126)</f>
        <v>0</v>
      </c>
      <c r="Q126" s="335"/>
    </row>
    <row r="127" spans="1:17" ht="23.25" customHeight="1" x14ac:dyDescent="0.35">
      <c r="A127" s="18">
        <f t="shared" si="114"/>
        <v>112</v>
      </c>
      <c r="B127" s="26" t="s">
        <v>45</v>
      </c>
      <c r="C127" s="124" t="s">
        <v>67</v>
      </c>
      <c r="D127" s="72" t="s">
        <v>53</v>
      </c>
      <c r="E127" s="73" t="s">
        <v>48</v>
      </c>
      <c r="F127" s="73"/>
      <c r="G127" s="73" t="s">
        <v>68</v>
      </c>
      <c r="H127" s="73" t="s">
        <v>388</v>
      </c>
      <c r="I127" s="191"/>
      <c r="J127" s="19">
        <f t="shared" si="110"/>
        <v>0</v>
      </c>
      <c r="K127" s="167" t="s">
        <v>37</v>
      </c>
      <c r="L127" s="168">
        <v>0</v>
      </c>
      <c r="M127" s="168">
        <v>0</v>
      </c>
      <c r="N127" s="169">
        <f t="shared" si="111"/>
        <v>0</v>
      </c>
      <c r="O127" s="169">
        <f t="shared" si="112"/>
        <v>0</v>
      </c>
      <c r="P127" s="170">
        <f t="shared" si="113"/>
        <v>0</v>
      </c>
      <c r="Q127" s="335"/>
    </row>
    <row r="128" spans="1:17" ht="23.25" customHeight="1" x14ac:dyDescent="0.35">
      <c r="A128" s="18">
        <f t="shared" si="114"/>
        <v>113</v>
      </c>
      <c r="B128" s="26" t="s">
        <v>45</v>
      </c>
      <c r="C128" s="124" t="s">
        <v>67</v>
      </c>
      <c r="D128" s="72" t="s">
        <v>54</v>
      </c>
      <c r="E128" s="73" t="s">
        <v>48</v>
      </c>
      <c r="F128" s="73"/>
      <c r="G128" s="73" t="s">
        <v>68</v>
      </c>
      <c r="H128" s="73" t="s">
        <v>388</v>
      </c>
      <c r="I128" s="191"/>
      <c r="J128" s="19">
        <f t="shared" si="110"/>
        <v>0</v>
      </c>
      <c r="K128" s="167" t="s">
        <v>37</v>
      </c>
      <c r="L128" s="168">
        <v>0</v>
      </c>
      <c r="M128" s="168">
        <v>0</v>
      </c>
      <c r="N128" s="169">
        <f t="shared" si="111"/>
        <v>0</v>
      </c>
      <c r="O128" s="169">
        <f t="shared" si="112"/>
        <v>0</v>
      </c>
      <c r="P128" s="170">
        <f t="shared" si="113"/>
        <v>0</v>
      </c>
      <c r="Q128" s="335"/>
    </row>
    <row r="129" spans="1:17" ht="23.25" customHeight="1" x14ac:dyDescent="0.35">
      <c r="A129" s="18">
        <f t="shared" si="114"/>
        <v>114</v>
      </c>
      <c r="B129" s="26" t="s">
        <v>45</v>
      </c>
      <c r="C129" s="124" t="s">
        <v>67</v>
      </c>
      <c r="D129" s="72" t="s">
        <v>69</v>
      </c>
      <c r="E129" s="73" t="s">
        <v>48</v>
      </c>
      <c r="F129" s="73"/>
      <c r="G129" s="73" t="s">
        <v>68</v>
      </c>
      <c r="H129" s="73" t="s">
        <v>388</v>
      </c>
      <c r="I129" s="191"/>
      <c r="J129" s="19">
        <f t="shared" ref="J129" si="122">I129</f>
        <v>0</v>
      </c>
      <c r="K129" s="167" t="s">
        <v>37</v>
      </c>
      <c r="L129" s="168">
        <v>0</v>
      </c>
      <c r="M129" s="168">
        <v>0</v>
      </c>
      <c r="N129" s="169">
        <f t="shared" ref="N129" si="123">L129*J129</f>
        <v>0</v>
      </c>
      <c r="O129" s="169">
        <f t="shared" ref="O129" si="124">M129*J129</f>
        <v>0</v>
      </c>
      <c r="P129" s="170">
        <f t="shared" ref="P129" si="125">(L129*J129)+(M129*J129)</f>
        <v>0</v>
      </c>
      <c r="Q129" s="335"/>
    </row>
    <row r="130" spans="1:17" ht="23.25" customHeight="1" x14ac:dyDescent="0.35">
      <c r="A130" s="18">
        <f t="shared" si="114"/>
        <v>115</v>
      </c>
      <c r="B130" s="26" t="s">
        <v>45</v>
      </c>
      <c r="C130" s="124" t="s">
        <v>67</v>
      </c>
      <c r="D130" s="72" t="s">
        <v>40</v>
      </c>
      <c r="E130" s="73" t="s">
        <v>48</v>
      </c>
      <c r="F130" s="73"/>
      <c r="G130" s="73" t="s">
        <v>68</v>
      </c>
      <c r="H130" s="73" t="s">
        <v>389</v>
      </c>
      <c r="I130" s="191"/>
      <c r="J130" s="19">
        <f t="shared" ref="J130:J136" si="126">I130</f>
        <v>0</v>
      </c>
      <c r="K130" s="167" t="s">
        <v>51</v>
      </c>
      <c r="L130" s="168">
        <v>0</v>
      </c>
      <c r="M130" s="168">
        <v>0</v>
      </c>
      <c r="N130" s="169">
        <f t="shared" ref="N130:N136" si="127">L130*J130</f>
        <v>0</v>
      </c>
      <c r="O130" s="169">
        <f t="shared" ref="O130:O136" si="128">M130*J130</f>
        <v>0</v>
      </c>
      <c r="P130" s="170">
        <f t="shared" ref="P130:P136" si="129">(L130*J130)+(M130*J130)</f>
        <v>0</v>
      </c>
      <c r="Q130" s="335"/>
    </row>
    <row r="131" spans="1:17" ht="23.25" customHeight="1" x14ac:dyDescent="0.35">
      <c r="A131" s="18">
        <f t="shared" si="114"/>
        <v>116</v>
      </c>
      <c r="B131" s="26" t="s">
        <v>45</v>
      </c>
      <c r="C131" s="124" t="s">
        <v>67</v>
      </c>
      <c r="D131" s="72" t="s">
        <v>52</v>
      </c>
      <c r="E131" s="73" t="s">
        <v>48</v>
      </c>
      <c r="F131" s="73"/>
      <c r="G131" s="73" t="s">
        <v>68</v>
      </c>
      <c r="H131" s="73" t="s">
        <v>389</v>
      </c>
      <c r="I131" s="191"/>
      <c r="J131" s="19">
        <f t="shared" si="126"/>
        <v>0</v>
      </c>
      <c r="K131" s="167" t="s">
        <v>37</v>
      </c>
      <c r="L131" s="168">
        <v>0</v>
      </c>
      <c r="M131" s="168">
        <v>0</v>
      </c>
      <c r="N131" s="169">
        <f t="shared" si="127"/>
        <v>0</v>
      </c>
      <c r="O131" s="169">
        <f t="shared" si="128"/>
        <v>0</v>
      </c>
      <c r="P131" s="170">
        <f t="shared" si="129"/>
        <v>0</v>
      </c>
      <c r="Q131" s="335"/>
    </row>
    <row r="132" spans="1:17" ht="23.25" customHeight="1" x14ac:dyDescent="0.35">
      <c r="A132" s="18">
        <f t="shared" si="114"/>
        <v>117</v>
      </c>
      <c r="B132" s="26" t="s">
        <v>45</v>
      </c>
      <c r="C132" s="124" t="s">
        <v>67</v>
      </c>
      <c r="D132" s="72" t="s">
        <v>386</v>
      </c>
      <c r="E132" s="73" t="s">
        <v>48</v>
      </c>
      <c r="F132" s="73"/>
      <c r="G132" s="73" t="s">
        <v>68</v>
      </c>
      <c r="H132" s="73" t="s">
        <v>389</v>
      </c>
      <c r="I132" s="191"/>
      <c r="J132" s="19">
        <f t="shared" si="126"/>
        <v>0</v>
      </c>
      <c r="K132" s="167" t="s">
        <v>37</v>
      </c>
      <c r="L132" s="168">
        <v>0</v>
      </c>
      <c r="M132" s="168">
        <v>0</v>
      </c>
      <c r="N132" s="169">
        <f t="shared" si="127"/>
        <v>0</v>
      </c>
      <c r="O132" s="169">
        <f t="shared" si="128"/>
        <v>0</v>
      </c>
      <c r="P132" s="170">
        <f t="shared" si="129"/>
        <v>0</v>
      </c>
      <c r="Q132" s="335"/>
    </row>
    <row r="133" spans="1:17" ht="23.25" customHeight="1" x14ac:dyDescent="0.35">
      <c r="A133" s="18">
        <f t="shared" si="114"/>
        <v>118</v>
      </c>
      <c r="B133" s="26" t="s">
        <v>45</v>
      </c>
      <c r="C133" s="124" t="s">
        <v>67</v>
      </c>
      <c r="D133" s="72" t="s">
        <v>74</v>
      </c>
      <c r="E133" s="73" t="s">
        <v>48</v>
      </c>
      <c r="F133" s="73"/>
      <c r="G133" s="73" t="s">
        <v>68</v>
      </c>
      <c r="H133" s="73" t="s">
        <v>389</v>
      </c>
      <c r="I133" s="191"/>
      <c r="J133" s="19">
        <f t="shared" ref="J133" si="130">I133</f>
        <v>0</v>
      </c>
      <c r="K133" s="167" t="s">
        <v>37</v>
      </c>
      <c r="L133" s="168">
        <v>0</v>
      </c>
      <c r="M133" s="168">
        <v>0</v>
      </c>
      <c r="N133" s="169">
        <f t="shared" ref="N133" si="131">L133*J133</f>
        <v>0</v>
      </c>
      <c r="O133" s="169">
        <f t="shared" ref="O133" si="132">M133*J133</f>
        <v>0</v>
      </c>
      <c r="P133" s="170">
        <f t="shared" ref="P133" si="133">(L133*J133)+(M133*J133)</f>
        <v>0</v>
      </c>
      <c r="Q133" s="335"/>
    </row>
    <row r="134" spans="1:17" ht="23.25" customHeight="1" x14ac:dyDescent="0.35">
      <c r="A134" s="18">
        <f t="shared" si="114"/>
        <v>119</v>
      </c>
      <c r="B134" s="26" t="s">
        <v>45</v>
      </c>
      <c r="C134" s="124" t="s">
        <v>67</v>
      </c>
      <c r="D134" s="72" t="s">
        <v>53</v>
      </c>
      <c r="E134" s="73" t="s">
        <v>48</v>
      </c>
      <c r="F134" s="73"/>
      <c r="G134" s="73" t="s">
        <v>68</v>
      </c>
      <c r="H134" s="73" t="s">
        <v>389</v>
      </c>
      <c r="I134" s="191"/>
      <c r="J134" s="19">
        <f t="shared" si="126"/>
        <v>0</v>
      </c>
      <c r="K134" s="167" t="s">
        <v>37</v>
      </c>
      <c r="L134" s="168">
        <v>0</v>
      </c>
      <c r="M134" s="168">
        <v>0</v>
      </c>
      <c r="N134" s="169">
        <f t="shared" si="127"/>
        <v>0</v>
      </c>
      <c r="O134" s="169">
        <f t="shared" si="128"/>
        <v>0</v>
      </c>
      <c r="P134" s="170">
        <f t="shared" si="129"/>
        <v>0</v>
      </c>
      <c r="Q134" s="335"/>
    </row>
    <row r="135" spans="1:17" ht="23.25" customHeight="1" x14ac:dyDescent="0.35">
      <c r="A135" s="18">
        <f t="shared" si="114"/>
        <v>120</v>
      </c>
      <c r="B135" s="26" t="s">
        <v>45</v>
      </c>
      <c r="C135" s="124" t="s">
        <v>67</v>
      </c>
      <c r="D135" s="72" t="s">
        <v>54</v>
      </c>
      <c r="E135" s="73" t="s">
        <v>48</v>
      </c>
      <c r="F135" s="73"/>
      <c r="G135" s="73" t="s">
        <v>68</v>
      </c>
      <c r="H135" s="73" t="s">
        <v>389</v>
      </c>
      <c r="I135" s="191"/>
      <c r="J135" s="19">
        <f t="shared" si="126"/>
        <v>0</v>
      </c>
      <c r="K135" s="167" t="s">
        <v>37</v>
      </c>
      <c r="L135" s="168">
        <v>0</v>
      </c>
      <c r="M135" s="168">
        <v>0</v>
      </c>
      <c r="N135" s="169">
        <f t="shared" si="127"/>
        <v>0</v>
      </c>
      <c r="O135" s="169">
        <f t="shared" si="128"/>
        <v>0</v>
      </c>
      <c r="P135" s="170">
        <f t="shared" si="129"/>
        <v>0</v>
      </c>
      <c r="Q135" s="335"/>
    </row>
    <row r="136" spans="1:17" ht="23.25" customHeight="1" x14ac:dyDescent="0.35">
      <c r="A136" s="18">
        <f t="shared" si="114"/>
        <v>121</v>
      </c>
      <c r="B136" s="26" t="s">
        <v>45</v>
      </c>
      <c r="C136" s="124" t="s">
        <v>67</v>
      </c>
      <c r="D136" s="72" t="s">
        <v>69</v>
      </c>
      <c r="E136" s="73" t="s">
        <v>48</v>
      </c>
      <c r="F136" s="73"/>
      <c r="G136" s="73" t="s">
        <v>68</v>
      </c>
      <c r="H136" s="73" t="s">
        <v>389</v>
      </c>
      <c r="I136" s="191"/>
      <c r="J136" s="19">
        <f t="shared" si="126"/>
        <v>0</v>
      </c>
      <c r="K136" s="167" t="s">
        <v>37</v>
      </c>
      <c r="L136" s="168">
        <v>0</v>
      </c>
      <c r="M136" s="168">
        <v>0</v>
      </c>
      <c r="N136" s="169">
        <f t="shared" si="127"/>
        <v>0</v>
      </c>
      <c r="O136" s="169">
        <f t="shared" si="128"/>
        <v>0</v>
      </c>
      <c r="P136" s="170">
        <f t="shared" si="129"/>
        <v>0</v>
      </c>
      <c r="Q136" s="335"/>
    </row>
    <row r="137" spans="1:17" ht="23.25" customHeight="1" x14ac:dyDescent="0.35">
      <c r="A137" s="18">
        <f t="shared" si="114"/>
        <v>122</v>
      </c>
      <c r="B137" s="26" t="s">
        <v>45</v>
      </c>
      <c r="C137" s="124" t="s">
        <v>67</v>
      </c>
      <c r="D137" s="72" t="s">
        <v>40</v>
      </c>
      <c r="E137" s="73" t="s">
        <v>48</v>
      </c>
      <c r="F137" s="73"/>
      <c r="G137" s="73" t="s">
        <v>68</v>
      </c>
      <c r="H137" s="73" t="s">
        <v>105</v>
      </c>
      <c r="I137" s="191"/>
      <c r="J137" s="19">
        <f t="shared" ref="J137:J149" si="134">I137</f>
        <v>0</v>
      </c>
      <c r="K137" s="167" t="s">
        <v>51</v>
      </c>
      <c r="L137" s="168">
        <v>0</v>
      </c>
      <c r="M137" s="168">
        <v>0</v>
      </c>
      <c r="N137" s="169">
        <f t="shared" ref="N137:N149" si="135">L137*J137</f>
        <v>0</v>
      </c>
      <c r="O137" s="169">
        <f t="shared" ref="O137:O149" si="136">M137*J137</f>
        <v>0</v>
      </c>
      <c r="P137" s="170">
        <f t="shared" ref="P137:P149" si="137">(L137*J137)+(M137*J137)</f>
        <v>0</v>
      </c>
      <c r="Q137" s="335"/>
    </row>
    <row r="138" spans="1:17" ht="23.25" customHeight="1" x14ac:dyDescent="0.35">
      <c r="A138" s="18">
        <f t="shared" si="114"/>
        <v>123</v>
      </c>
      <c r="B138" s="26" t="s">
        <v>45</v>
      </c>
      <c r="C138" s="124" t="s">
        <v>67</v>
      </c>
      <c r="D138" s="72" t="s">
        <v>52</v>
      </c>
      <c r="E138" s="73" t="s">
        <v>48</v>
      </c>
      <c r="F138" s="73"/>
      <c r="G138" s="73" t="s">
        <v>68</v>
      </c>
      <c r="H138" s="73" t="s">
        <v>105</v>
      </c>
      <c r="I138" s="191"/>
      <c r="J138" s="19">
        <f t="shared" si="134"/>
        <v>0</v>
      </c>
      <c r="K138" s="167" t="s">
        <v>37</v>
      </c>
      <c r="L138" s="168">
        <v>0</v>
      </c>
      <c r="M138" s="168">
        <v>0</v>
      </c>
      <c r="N138" s="169">
        <f t="shared" si="135"/>
        <v>0</v>
      </c>
      <c r="O138" s="169">
        <f t="shared" si="136"/>
        <v>0</v>
      </c>
      <c r="P138" s="170">
        <f t="shared" si="137"/>
        <v>0</v>
      </c>
      <c r="Q138" s="335"/>
    </row>
    <row r="139" spans="1:17" ht="23.25" customHeight="1" x14ac:dyDescent="0.35">
      <c r="A139" s="18">
        <f t="shared" si="114"/>
        <v>124</v>
      </c>
      <c r="B139" s="26" t="s">
        <v>45</v>
      </c>
      <c r="C139" s="124" t="s">
        <v>67</v>
      </c>
      <c r="D139" s="72" t="s">
        <v>386</v>
      </c>
      <c r="E139" s="73" t="s">
        <v>48</v>
      </c>
      <c r="F139" s="73"/>
      <c r="G139" s="73" t="s">
        <v>68</v>
      </c>
      <c r="H139" s="73" t="s">
        <v>105</v>
      </c>
      <c r="I139" s="191"/>
      <c r="J139" s="19">
        <f t="shared" si="134"/>
        <v>0</v>
      </c>
      <c r="K139" s="167" t="s">
        <v>37</v>
      </c>
      <c r="L139" s="168">
        <v>0</v>
      </c>
      <c r="M139" s="168">
        <v>0</v>
      </c>
      <c r="N139" s="169">
        <f t="shared" si="135"/>
        <v>0</v>
      </c>
      <c r="O139" s="169">
        <f t="shared" si="136"/>
        <v>0</v>
      </c>
      <c r="P139" s="170">
        <f t="shared" si="137"/>
        <v>0</v>
      </c>
      <c r="Q139" s="335"/>
    </row>
    <row r="140" spans="1:17" ht="23.25" customHeight="1" x14ac:dyDescent="0.35">
      <c r="A140" s="18">
        <f t="shared" si="114"/>
        <v>125</v>
      </c>
      <c r="B140" s="26" t="s">
        <v>45</v>
      </c>
      <c r="C140" s="124" t="s">
        <v>67</v>
      </c>
      <c r="D140" s="72" t="s">
        <v>74</v>
      </c>
      <c r="E140" s="73" t="s">
        <v>48</v>
      </c>
      <c r="F140" s="73"/>
      <c r="G140" s="73" t="s">
        <v>68</v>
      </c>
      <c r="H140" s="73" t="s">
        <v>105</v>
      </c>
      <c r="I140" s="191"/>
      <c r="J140" s="19">
        <f t="shared" ref="J140" si="138">I140</f>
        <v>0</v>
      </c>
      <c r="K140" s="167" t="s">
        <v>37</v>
      </c>
      <c r="L140" s="168">
        <v>0</v>
      </c>
      <c r="M140" s="168">
        <v>0</v>
      </c>
      <c r="N140" s="169">
        <f t="shared" ref="N140" si="139">L140*J140</f>
        <v>0</v>
      </c>
      <c r="O140" s="169">
        <f t="shared" ref="O140" si="140">M140*J140</f>
        <v>0</v>
      </c>
      <c r="P140" s="170">
        <f t="shared" ref="P140" si="141">(L140*J140)+(M140*J140)</f>
        <v>0</v>
      </c>
      <c r="Q140" s="335"/>
    </row>
    <row r="141" spans="1:17" ht="23.25" customHeight="1" x14ac:dyDescent="0.35">
      <c r="A141" s="18">
        <f t="shared" si="114"/>
        <v>126</v>
      </c>
      <c r="B141" s="26" t="s">
        <v>45</v>
      </c>
      <c r="C141" s="124" t="s">
        <v>67</v>
      </c>
      <c r="D141" s="72" t="s">
        <v>53</v>
      </c>
      <c r="E141" s="73" t="s">
        <v>48</v>
      </c>
      <c r="F141" s="73"/>
      <c r="G141" s="73" t="s">
        <v>68</v>
      </c>
      <c r="H141" s="73" t="s">
        <v>105</v>
      </c>
      <c r="I141" s="191"/>
      <c r="J141" s="19">
        <f t="shared" si="134"/>
        <v>0</v>
      </c>
      <c r="K141" s="167" t="s">
        <v>37</v>
      </c>
      <c r="L141" s="168">
        <v>0</v>
      </c>
      <c r="M141" s="168">
        <v>0</v>
      </c>
      <c r="N141" s="169">
        <f t="shared" si="135"/>
        <v>0</v>
      </c>
      <c r="O141" s="169">
        <f t="shared" si="136"/>
        <v>0</v>
      </c>
      <c r="P141" s="170">
        <f t="shared" si="137"/>
        <v>0</v>
      </c>
      <c r="Q141" s="335"/>
    </row>
    <row r="142" spans="1:17" ht="23.25" customHeight="1" x14ac:dyDescent="0.35">
      <c r="A142" s="18">
        <f t="shared" si="114"/>
        <v>127</v>
      </c>
      <c r="B142" s="26" t="s">
        <v>45</v>
      </c>
      <c r="C142" s="124" t="s">
        <v>67</v>
      </c>
      <c r="D142" s="72" t="s">
        <v>54</v>
      </c>
      <c r="E142" s="73" t="s">
        <v>48</v>
      </c>
      <c r="F142" s="73"/>
      <c r="G142" s="73" t="s">
        <v>68</v>
      </c>
      <c r="H142" s="73" t="s">
        <v>105</v>
      </c>
      <c r="I142" s="191"/>
      <c r="J142" s="19">
        <f t="shared" si="134"/>
        <v>0</v>
      </c>
      <c r="K142" s="167" t="s">
        <v>37</v>
      </c>
      <c r="L142" s="168">
        <v>0</v>
      </c>
      <c r="M142" s="168">
        <v>0</v>
      </c>
      <c r="N142" s="169">
        <f t="shared" si="135"/>
        <v>0</v>
      </c>
      <c r="O142" s="169">
        <f t="shared" si="136"/>
        <v>0</v>
      </c>
      <c r="P142" s="170">
        <f t="shared" si="137"/>
        <v>0</v>
      </c>
      <c r="Q142" s="335"/>
    </row>
    <row r="143" spans="1:17" ht="23.25" customHeight="1" x14ac:dyDescent="0.35">
      <c r="A143" s="18">
        <f t="shared" si="114"/>
        <v>128</v>
      </c>
      <c r="B143" s="26" t="s">
        <v>45</v>
      </c>
      <c r="C143" s="124" t="s">
        <v>67</v>
      </c>
      <c r="D143" s="72" t="s">
        <v>69</v>
      </c>
      <c r="E143" s="73" t="s">
        <v>48</v>
      </c>
      <c r="F143" s="73"/>
      <c r="G143" s="73" t="s">
        <v>68</v>
      </c>
      <c r="H143" s="73" t="s">
        <v>105</v>
      </c>
      <c r="I143" s="191"/>
      <c r="J143" s="19">
        <f t="shared" si="134"/>
        <v>0</v>
      </c>
      <c r="K143" s="167" t="s">
        <v>37</v>
      </c>
      <c r="L143" s="168">
        <v>0</v>
      </c>
      <c r="M143" s="168">
        <v>0</v>
      </c>
      <c r="N143" s="169">
        <f t="shared" si="135"/>
        <v>0</v>
      </c>
      <c r="O143" s="169">
        <f t="shared" si="136"/>
        <v>0</v>
      </c>
      <c r="P143" s="170">
        <f t="shared" si="137"/>
        <v>0</v>
      </c>
      <c r="Q143" s="335"/>
    </row>
    <row r="144" spans="1:17" ht="23.25" customHeight="1" x14ac:dyDescent="0.35">
      <c r="A144" s="18">
        <f t="shared" si="114"/>
        <v>129</v>
      </c>
      <c r="B144" s="26" t="s">
        <v>45</v>
      </c>
      <c r="C144" s="124" t="s">
        <v>67</v>
      </c>
      <c r="D144" s="72" t="s">
        <v>40</v>
      </c>
      <c r="E144" s="73" t="s">
        <v>48</v>
      </c>
      <c r="F144" s="73"/>
      <c r="G144" s="73" t="s">
        <v>68</v>
      </c>
      <c r="H144" s="73" t="s">
        <v>390</v>
      </c>
      <c r="I144" s="191"/>
      <c r="J144" s="19">
        <f t="shared" si="134"/>
        <v>0</v>
      </c>
      <c r="K144" s="167" t="s">
        <v>51</v>
      </c>
      <c r="L144" s="168">
        <v>0</v>
      </c>
      <c r="M144" s="168">
        <v>0</v>
      </c>
      <c r="N144" s="169">
        <f t="shared" si="135"/>
        <v>0</v>
      </c>
      <c r="O144" s="169">
        <f t="shared" si="136"/>
        <v>0</v>
      </c>
      <c r="P144" s="170">
        <f t="shared" si="137"/>
        <v>0</v>
      </c>
      <c r="Q144" s="335"/>
    </row>
    <row r="145" spans="1:17" ht="23.25" customHeight="1" x14ac:dyDescent="0.35">
      <c r="A145" s="18">
        <f t="shared" si="114"/>
        <v>130</v>
      </c>
      <c r="B145" s="26" t="s">
        <v>45</v>
      </c>
      <c r="C145" s="124" t="s">
        <v>67</v>
      </c>
      <c r="D145" s="72" t="s">
        <v>52</v>
      </c>
      <c r="E145" s="73" t="s">
        <v>48</v>
      </c>
      <c r="F145" s="73"/>
      <c r="G145" s="73" t="s">
        <v>68</v>
      </c>
      <c r="H145" s="73" t="s">
        <v>390</v>
      </c>
      <c r="I145" s="191"/>
      <c r="J145" s="19">
        <f t="shared" si="134"/>
        <v>0</v>
      </c>
      <c r="K145" s="167" t="s">
        <v>37</v>
      </c>
      <c r="L145" s="168">
        <v>0</v>
      </c>
      <c r="M145" s="168">
        <v>0</v>
      </c>
      <c r="N145" s="169">
        <f t="shared" si="135"/>
        <v>0</v>
      </c>
      <c r="O145" s="169">
        <f t="shared" si="136"/>
        <v>0</v>
      </c>
      <c r="P145" s="170">
        <f t="shared" si="137"/>
        <v>0</v>
      </c>
      <c r="Q145" s="335"/>
    </row>
    <row r="146" spans="1:17" ht="23.25" customHeight="1" x14ac:dyDescent="0.35">
      <c r="A146" s="18">
        <f t="shared" si="114"/>
        <v>131</v>
      </c>
      <c r="B146" s="26" t="s">
        <v>45</v>
      </c>
      <c r="C146" s="124" t="s">
        <v>67</v>
      </c>
      <c r="D146" s="72" t="s">
        <v>386</v>
      </c>
      <c r="E146" s="73" t="s">
        <v>48</v>
      </c>
      <c r="F146" s="73"/>
      <c r="G146" s="73" t="s">
        <v>68</v>
      </c>
      <c r="H146" s="73" t="s">
        <v>390</v>
      </c>
      <c r="I146" s="191"/>
      <c r="J146" s="19">
        <f t="shared" si="134"/>
        <v>0</v>
      </c>
      <c r="K146" s="167" t="s">
        <v>37</v>
      </c>
      <c r="L146" s="168">
        <v>0</v>
      </c>
      <c r="M146" s="168">
        <v>0</v>
      </c>
      <c r="N146" s="169">
        <f t="shared" si="135"/>
        <v>0</v>
      </c>
      <c r="O146" s="169">
        <f t="shared" si="136"/>
        <v>0</v>
      </c>
      <c r="P146" s="170">
        <f t="shared" si="137"/>
        <v>0</v>
      </c>
      <c r="Q146" s="335"/>
    </row>
    <row r="147" spans="1:17" ht="23.25" customHeight="1" x14ac:dyDescent="0.35">
      <c r="A147" s="18">
        <f t="shared" si="114"/>
        <v>132</v>
      </c>
      <c r="B147" s="26" t="s">
        <v>45</v>
      </c>
      <c r="C147" s="124" t="s">
        <v>67</v>
      </c>
      <c r="D147" s="72" t="s">
        <v>74</v>
      </c>
      <c r="E147" s="73" t="s">
        <v>48</v>
      </c>
      <c r="F147" s="73"/>
      <c r="G147" s="73" t="s">
        <v>68</v>
      </c>
      <c r="H147" s="73" t="s">
        <v>390</v>
      </c>
      <c r="I147" s="191"/>
      <c r="J147" s="19">
        <f t="shared" ref="J147" si="142">I147</f>
        <v>0</v>
      </c>
      <c r="K147" s="167" t="s">
        <v>37</v>
      </c>
      <c r="L147" s="168">
        <v>0</v>
      </c>
      <c r="M147" s="168">
        <v>0</v>
      </c>
      <c r="N147" s="169">
        <f t="shared" ref="N147" si="143">L147*J147</f>
        <v>0</v>
      </c>
      <c r="O147" s="169">
        <f t="shared" ref="O147" si="144">M147*J147</f>
        <v>0</v>
      </c>
      <c r="P147" s="170">
        <f t="shared" ref="P147" si="145">(L147*J147)+(M147*J147)</f>
        <v>0</v>
      </c>
      <c r="Q147" s="335"/>
    </row>
    <row r="148" spans="1:17" ht="23.25" customHeight="1" x14ac:dyDescent="0.35">
      <c r="A148" s="18">
        <f t="shared" si="114"/>
        <v>133</v>
      </c>
      <c r="B148" s="26" t="s">
        <v>45</v>
      </c>
      <c r="C148" s="124" t="s">
        <v>67</v>
      </c>
      <c r="D148" s="72" t="s">
        <v>53</v>
      </c>
      <c r="E148" s="73" t="s">
        <v>48</v>
      </c>
      <c r="F148" s="73"/>
      <c r="G148" s="73" t="s">
        <v>68</v>
      </c>
      <c r="H148" s="73" t="s">
        <v>390</v>
      </c>
      <c r="I148" s="191"/>
      <c r="J148" s="19">
        <f t="shared" si="134"/>
        <v>0</v>
      </c>
      <c r="K148" s="167" t="s">
        <v>37</v>
      </c>
      <c r="L148" s="168">
        <v>0</v>
      </c>
      <c r="M148" s="168">
        <v>0</v>
      </c>
      <c r="N148" s="169">
        <f t="shared" si="135"/>
        <v>0</v>
      </c>
      <c r="O148" s="169">
        <f t="shared" si="136"/>
        <v>0</v>
      </c>
      <c r="P148" s="170">
        <f t="shared" si="137"/>
        <v>0</v>
      </c>
      <c r="Q148" s="335"/>
    </row>
    <row r="149" spans="1:17" ht="23.25" customHeight="1" x14ac:dyDescent="0.35">
      <c r="A149" s="18">
        <f t="shared" si="114"/>
        <v>134</v>
      </c>
      <c r="B149" s="26" t="s">
        <v>45</v>
      </c>
      <c r="C149" s="124" t="s">
        <v>67</v>
      </c>
      <c r="D149" s="72" t="s">
        <v>54</v>
      </c>
      <c r="E149" s="73" t="s">
        <v>48</v>
      </c>
      <c r="F149" s="73"/>
      <c r="G149" s="73" t="s">
        <v>68</v>
      </c>
      <c r="H149" s="73" t="s">
        <v>390</v>
      </c>
      <c r="I149" s="191"/>
      <c r="J149" s="19">
        <f t="shared" si="134"/>
        <v>0</v>
      </c>
      <c r="K149" s="167" t="s">
        <v>37</v>
      </c>
      <c r="L149" s="168">
        <v>0</v>
      </c>
      <c r="M149" s="168">
        <v>0</v>
      </c>
      <c r="N149" s="169">
        <f t="shared" si="135"/>
        <v>0</v>
      </c>
      <c r="O149" s="169">
        <f t="shared" si="136"/>
        <v>0</v>
      </c>
      <c r="P149" s="170">
        <f t="shared" si="137"/>
        <v>0</v>
      </c>
      <c r="Q149" s="335"/>
    </row>
    <row r="150" spans="1:17" ht="23.25" customHeight="1" x14ac:dyDescent="0.35">
      <c r="A150" s="18">
        <f t="shared" si="114"/>
        <v>135</v>
      </c>
      <c r="B150" s="26" t="s">
        <v>45</v>
      </c>
      <c r="C150" s="124" t="s">
        <v>67</v>
      </c>
      <c r="D150" s="72" t="s">
        <v>69</v>
      </c>
      <c r="E150" s="73" t="s">
        <v>48</v>
      </c>
      <c r="F150" s="73"/>
      <c r="G150" s="73" t="s">
        <v>68</v>
      </c>
      <c r="H150" s="73" t="s">
        <v>390</v>
      </c>
      <c r="I150" s="191"/>
      <c r="J150" s="19">
        <f t="shared" si="110"/>
        <v>0</v>
      </c>
      <c r="K150" s="167" t="s">
        <v>37</v>
      </c>
      <c r="L150" s="168">
        <v>0</v>
      </c>
      <c r="M150" s="168">
        <v>0</v>
      </c>
      <c r="N150" s="169">
        <f t="shared" si="111"/>
        <v>0</v>
      </c>
      <c r="O150" s="169">
        <f t="shared" si="112"/>
        <v>0</v>
      </c>
      <c r="P150" s="170">
        <f t="shared" si="113"/>
        <v>0</v>
      </c>
      <c r="Q150" s="335"/>
    </row>
    <row r="151" spans="1:17" ht="23.25" customHeight="1" x14ac:dyDescent="0.35">
      <c r="A151" s="18">
        <f t="shared" si="114"/>
        <v>136</v>
      </c>
      <c r="B151" s="26" t="s">
        <v>45</v>
      </c>
      <c r="C151" s="124" t="s">
        <v>67</v>
      </c>
      <c r="D151" s="72" t="s">
        <v>70</v>
      </c>
      <c r="E151" s="73"/>
      <c r="F151" s="73"/>
      <c r="G151" s="73"/>
      <c r="H151" s="73" t="s">
        <v>62</v>
      </c>
      <c r="I151" s="191"/>
      <c r="J151" s="19">
        <f t="shared" si="110"/>
        <v>0</v>
      </c>
      <c r="K151" s="167" t="s">
        <v>22</v>
      </c>
      <c r="L151" s="168">
        <v>0</v>
      </c>
      <c r="M151" s="168">
        <v>0</v>
      </c>
      <c r="N151" s="169">
        <f t="shared" si="111"/>
        <v>0</v>
      </c>
      <c r="O151" s="169">
        <f t="shared" si="112"/>
        <v>0</v>
      </c>
      <c r="P151" s="170">
        <f t="shared" si="113"/>
        <v>0</v>
      </c>
      <c r="Q151" s="335"/>
    </row>
    <row r="152" spans="1:17" ht="23.25" customHeight="1" x14ac:dyDescent="0.35">
      <c r="A152" s="18">
        <f t="shared" si="114"/>
        <v>137</v>
      </c>
      <c r="B152" s="26" t="s">
        <v>45</v>
      </c>
      <c r="C152" s="83" t="s">
        <v>67</v>
      </c>
      <c r="D152" s="72" t="s">
        <v>63</v>
      </c>
      <c r="E152" s="73"/>
      <c r="F152" s="73"/>
      <c r="G152" s="73"/>
      <c r="H152" s="73"/>
      <c r="I152" s="191"/>
      <c r="J152" s="19">
        <f t="shared" si="110"/>
        <v>0</v>
      </c>
      <c r="K152" s="167" t="s">
        <v>22</v>
      </c>
      <c r="L152" s="168">
        <v>0</v>
      </c>
      <c r="M152" s="168">
        <v>0</v>
      </c>
      <c r="N152" s="169">
        <f t="shared" si="111"/>
        <v>0</v>
      </c>
      <c r="O152" s="169">
        <f t="shared" si="112"/>
        <v>0</v>
      </c>
      <c r="P152" s="170">
        <f t="shared" si="113"/>
        <v>0</v>
      </c>
      <c r="Q152" s="335"/>
    </row>
    <row r="153" spans="1:17" ht="23.25" customHeight="1" x14ac:dyDescent="0.35">
      <c r="A153" s="18">
        <f t="shared" si="114"/>
        <v>138</v>
      </c>
      <c r="B153" s="26" t="s">
        <v>45</v>
      </c>
      <c r="C153" s="83" t="s">
        <v>67</v>
      </c>
      <c r="D153" s="43" t="s">
        <v>358</v>
      </c>
      <c r="E153" s="5"/>
      <c r="F153" s="5"/>
      <c r="G153" s="5"/>
      <c r="H153" s="5"/>
      <c r="I153" s="20"/>
      <c r="J153" s="19">
        <f>I153</f>
        <v>0</v>
      </c>
      <c r="K153" s="171"/>
      <c r="L153" s="168">
        <v>0</v>
      </c>
      <c r="M153" s="168">
        <v>0</v>
      </c>
      <c r="N153" s="169">
        <f>L153*J153</f>
        <v>0</v>
      </c>
      <c r="O153" s="169">
        <f>M153*J153</f>
        <v>0</v>
      </c>
      <c r="P153" s="170">
        <f>(L153*J153)+(M153*J153)</f>
        <v>0</v>
      </c>
      <c r="Q153" s="326"/>
    </row>
    <row r="154" spans="1:17" ht="23.25" customHeight="1" thickBot="1" x14ac:dyDescent="0.4">
      <c r="A154" s="29">
        <f>A153+1</f>
        <v>139</v>
      </c>
      <c r="B154" s="36" t="s">
        <v>45</v>
      </c>
      <c r="C154" s="46" t="s">
        <v>67</v>
      </c>
      <c r="D154" s="44" t="s">
        <v>358</v>
      </c>
      <c r="E154" s="6"/>
      <c r="F154" s="6"/>
      <c r="G154" s="6"/>
      <c r="H154" s="6"/>
      <c r="I154" s="21"/>
      <c r="J154" s="22">
        <f>I154</f>
        <v>0</v>
      </c>
      <c r="K154" s="172"/>
      <c r="L154" s="173">
        <v>0</v>
      </c>
      <c r="M154" s="173">
        <v>0</v>
      </c>
      <c r="N154" s="174">
        <f>L154*J154</f>
        <v>0</v>
      </c>
      <c r="O154" s="174">
        <f>M154*J154</f>
        <v>0</v>
      </c>
      <c r="P154" s="175">
        <f>(L154*J154)+(M154*J154)</f>
        <v>0</v>
      </c>
      <c r="Q154" s="327"/>
    </row>
    <row r="155" spans="1:17" ht="141.5" thickBot="1" x14ac:dyDescent="0.4">
      <c r="A155" s="30"/>
      <c r="B155" s="17" t="s">
        <v>45</v>
      </c>
      <c r="C155" s="86" t="s">
        <v>71</v>
      </c>
      <c r="D155" s="192" t="s">
        <v>474</v>
      </c>
      <c r="E155" s="177"/>
      <c r="F155" s="177"/>
      <c r="G155" s="177"/>
      <c r="H155" s="178"/>
      <c r="I155" s="179"/>
      <c r="J155" s="180"/>
      <c r="K155" s="181"/>
      <c r="L155" s="182"/>
      <c r="M155" s="182"/>
      <c r="N155" s="183"/>
      <c r="O155" s="183"/>
      <c r="P155" s="184"/>
      <c r="Q155" s="333"/>
    </row>
    <row r="156" spans="1:17" ht="23.25" customHeight="1" x14ac:dyDescent="0.35">
      <c r="A156" s="28">
        <f>A154+1</f>
        <v>140</v>
      </c>
      <c r="B156" s="35" t="s">
        <v>45</v>
      </c>
      <c r="C156" s="121" t="s">
        <v>71</v>
      </c>
      <c r="D156" s="77" t="s">
        <v>40</v>
      </c>
      <c r="E156" s="78" t="s">
        <v>72</v>
      </c>
      <c r="F156" s="78"/>
      <c r="G156" s="78" t="s">
        <v>68</v>
      </c>
      <c r="H156" s="78" t="s">
        <v>73</v>
      </c>
      <c r="I156" s="82"/>
      <c r="J156" s="32">
        <f t="shared" si="110"/>
        <v>0</v>
      </c>
      <c r="K156" s="190" t="s">
        <v>51</v>
      </c>
      <c r="L156" s="185">
        <v>0</v>
      </c>
      <c r="M156" s="185">
        <v>0</v>
      </c>
      <c r="N156" s="186">
        <f t="shared" ref="N156:N186" si="146">L156*J156</f>
        <v>0</v>
      </c>
      <c r="O156" s="186">
        <f t="shared" ref="O156:O186" si="147">M156*J156</f>
        <v>0</v>
      </c>
      <c r="P156" s="187">
        <f t="shared" ref="P156:P186" si="148">(L156*J156)+(M156*J156)</f>
        <v>0</v>
      </c>
      <c r="Q156" s="334"/>
    </row>
    <row r="157" spans="1:17" ht="23.25" customHeight="1" x14ac:dyDescent="0.35">
      <c r="A157" s="18">
        <f>A156+1</f>
        <v>141</v>
      </c>
      <c r="B157" s="26" t="s">
        <v>45</v>
      </c>
      <c r="C157" s="124" t="s">
        <v>71</v>
      </c>
      <c r="D157" s="72" t="s">
        <v>74</v>
      </c>
      <c r="E157" s="73" t="s">
        <v>72</v>
      </c>
      <c r="F157" s="73"/>
      <c r="G157" s="73" t="s">
        <v>68</v>
      </c>
      <c r="H157" s="73" t="s">
        <v>73</v>
      </c>
      <c r="I157" s="74"/>
      <c r="J157" s="19">
        <f t="shared" si="110"/>
        <v>0</v>
      </c>
      <c r="K157" s="167" t="s">
        <v>51</v>
      </c>
      <c r="L157" s="168">
        <v>0</v>
      </c>
      <c r="M157" s="168">
        <v>0</v>
      </c>
      <c r="N157" s="169">
        <f t="shared" si="146"/>
        <v>0</v>
      </c>
      <c r="O157" s="169">
        <f t="shared" si="147"/>
        <v>0</v>
      </c>
      <c r="P157" s="170">
        <f t="shared" si="148"/>
        <v>0</v>
      </c>
      <c r="Q157" s="326"/>
    </row>
    <row r="158" spans="1:17" ht="23.25" customHeight="1" x14ac:dyDescent="0.35">
      <c r="A158" s="18">
        <f t="shared" ref="A158:A187" si="149">A157+1</f>
        <v>142</v>
      </c>
      <c r="B158" s="26" t="s">
        <v>45</v>
      </c>
      <c r="C158" s="124" t="s">
        <v>71</v>
      </c>
      <c r="D158" s="72" t="s">
        <v>75</v>
      </c>
      <c r="E158" s="73" t="s">
        <v>72</v>
      </c>
      <c r="F158" s="73"/>
      <c r="G158" s="73" t="s">
        <v>68</v>
      </c>
      <c r="H158" s="73" t="s">
        <v>73</v>
      </c>
      <c r="I158" s="74"/>
      <c r="J158" s="19">
        <f t="shared" si="110"/>
        <v>0</v>
      </c>
      <c r="K158" s="167" t="s">
        <v>51</v>
      </c>
      <c r="L158" s="168">
        <v>0</v>
      </c>
      <c r="M158" s="168">
        <v>0</v>
      </c>
      <c r="N158" s="169">
        <f t="shared" si="146"/>
        <v>0</v>
      </c>
      <c r="O158" s="169">
        <f t="shared" si="147"/>
        <v>0</v>
      </c>
      <c r="P158" s="170">
        <f t="shared" si="148"/>
        <v>0</v>
      </c>
      <c r="Q158" s="326"/>
    </row>
    <row r="159" spans="1:17" ht="23.25" customHeight="1" x14ac:dyDescent="0.35">
      <c r="A159" s="18">
        <f t="shared" si="149"/>
        <v>143</v>
      </c>
      <c r="B159" s="26" t="s">
        <v>45</v>
      </c>
      <c r="C159" s="124" t="s">
        <v>71</v>
      </c>
      <c r="D159" s="72" t="s">
        <v>52</v>
      </c>
      <c r="E159" s="73" t="s">
        <v>72</v>
      </c>
      <c r="F159" s="73"/>
      <c r="G159" s="73" t="s">
        <v>68</v>
      </c>
      <c r="H159" s="73" t="s">
        <v>73</v>
      </c>
      <c r="I159" s="74"/>
      <c r="J159" s="19">
        <f t="shared" si="110"/>
        <v>0</v>
      </c>
      <c r="K159" s="167" t="s">
        <v>51</v>
      </c>
      <c r="L159" s="168">
        <v>0</v>
      </c>
      <c r="M159" s="168">
        <v>0</v>
      </c>
      <c r="N159" s="169">
        <f t="shared" si="146"/>
        <v>0</v>
      </c>
      <c r="O159" s="169">
        <f t="shared" si="147"/>
        <v>0</v>
      </c>
      <c r="P159" s="170">
        <f t="shared" si="148"/>
        <v>0</v>
      </c>
      <c r="Q159" s="326"/>
    </row>
    <row r="160" spans="1:17" ht="23.25" customHeight="1" x14ac:dyDescent="0.35">
      <c r="A160" s="18">
        <f t="shared" si="149"/>
        <v>144</v>
      </c>
      <c r="B160" s="26" t="s">
        <v>45</v>
      </c>
      <c r="C160" s="124" t="s">
        <v>71</v>
      </c>
      <c r="D160" s="72" t="s">
        <v>53</v>
      </c>
      <c r="E160" s="73" t="s">
        <v>72</v>
      </c>
      <c r="F160" s="73"/>
      <c r="G160" s="73" t="s">
        <v>68</v>
      </c>
      <c r="H160" s="73" t="s">
        <v>73</v>
      </c>
      <c r="I160" s="74"/>
      <c r="J160" s="19">
        <f t="shared" si="110"/>
        <v>0</v>
      </c>
      <c r="K160" s="167" t="s">
        <v>51</v>
      </c>
      <c r="L160" s="168">
        <v>0</v>
      </c>
      <c r="M160" s="168">
        <v>0</v>
      </c>
      <c r="N160" s="169">
        <f t="shared" si="146"/>
        <v>0</v>
      </c>
      <c r="O160" s="169">
        <f t="shared" si="147"/>
        <v>0</v>
      </c>
      <c r="P160" s="170">
        <f t="shared" si="148"/>
        <v>0</v>
      </c>
      <c r="Q160" s="326"/>
    </row>
    <row r="161" spans="1:17" ht="23.25" customHeight="1" x14ac:dyDescent="0.35">
      <c r="A161" s="18">
        <f t="shared" si="149"/>
        <v>145</v>
      </c>
      <c r="B161" s="26" t="s">
        <v>45</v>
      </c>
      <c r="C161" s="124" t="s">
        <v>71</v>
      </c>
      <c r="D161" s="72" t="s">
        <v>54</v>
      </c>
      <c r="E161" s="73" t="s">
        <v>72</v>
      </c>
      <c r="F161" s="73"/>
      <c r="G161" s="73" t="s">
        <v>68</v>
      </c>
      <c r="H161" s="73" t="s">
        <v>73</v>
      </c>
      <c r="I161" s="74"/>
      <c r="J161" s="19">
        <f t="shared" si="110"/>
        <v>0</v>
      </c>
      <c r="K161" s="167" t="s">
        <v>51</v>
      </c>
      <c r="L161" s="168">
        <v>0</v>
      </c>
      <c r="M161" s="168">
        <v>0</v>
      </c>
      <c r="N161" s="169">
        <f t="shared" si="146"/>
        <v>0</v>
      </c>
      <c r="O161" s="169">
        <f t="shared" si="147"/>
        <v>0</v>
      </c>
      <c r="P161" s="170">
        <f t="shared" si="148"/>
        <v>0</v>
      </c>
      <c r="Q161" s="326"/>
    </row>
    <row r="162" spans="1:17" ht="23.25" customHeight="1" x14ac:dyDescent="0.35">
      <c r="A162" s="18">
        <f t="shared" si="149"/>
        <v>146</v>
      </c>
      <c r="B162" s="26" t="s">
        <v>45</v>
      </c>
      <c r="C162" s="124" t="s">
        <v>71</v>
      </c>
      <c r="D162" s="72" t="s">
        <v>69</v>
      </c>
      <c r="E162" s="73" t="s">
        <v>72</v>
      </c>
      <c r="F162" s="73"/>
      <c r="G162" s="73" t="s">
        <v>68</v>
      </c>
      <c r="H162" s="73" t="s">
        <v>73</v>
      </c>
      <c r="I162" s="74"/>
      <c r="J162" s="19">
        <f t="shared" si="110"/>
        <v>0</v>
      </c>
      <c r="K162" s="167" t="s">
        <v>51</v>
      </c>
      <c r="L162" s="168">
        <v>0</v>
      </c>
      <c r="M162" s="168">
        <v>0</v>
      </c>
      <c r="N162" s="169">
        <f t="shared" si="146"/>
        <v>0</v>
      </c>
      <c r="O162" s="169">
        <f t="shared" si="147"/>
        <v>0</v>
      </c>
      <c r="P162" s="170">
        <f t="shared" si="148"/>
        <v>0</v>
      </c>
      <c r="Q162" s="326"/>
    </row>
    <row r="163" spans="1:17" ht="23.25" customHeight="1" x14ac:dyDescent="0.35">
      <c r="A163" s="18">
        <f t="shared" si="149"/>
        <v>147</v>
      </c>
      <c r="B163" s="26" t="s">
        <v>45</v>
      </c>
      <c r="C163" s="124" t="s">
        <v>71</v>
      </c>
      <c r="D163" s="72" t="s">
        <v>40</v>
      </c>
      <c r="E163" s="73" t="s">
        <v>48</v>
      </c>
      <c r="F163" s="73"/>
      <c r="G163" s="73" t="s">
        <v>68</v>
      </c>
      <c r="H163" s="73" t="s">
        <v>76</v>
      </c>
      <c r="I163" s="74"/>
      <c r="J163" s="19">
        <f t="shared" si="110"/>
        <v>0</v>
      </c>
      <c r="K163" s="167" t="s">
        <v>51</v>
      </c>
      <c r="L163" s="168">
        <v>0</v>
      </c>
      <c r="M163" s="168">
        <v>0</v>
      </c>
      <c r="N163" s="169">
        <f t="shared" si="146"/>
        <v>0</v>
      </c>
      <c r="O163" s="169">
        <f t="shared" si="147"/>
        <v>0</v>
      </c>
      <c r="P163" s="170">
        <f t="shared" si="148"/>
        <v>0</v>
      </c>
      <c r="Q163" s="326"/>
    </row>
    <row r="164" spans="1:17" ht="23.25" customHeight="1" x14ac:dyDescent="0.35">
      <c r="A164" s="18">
        <f t="shared" si="149"/>
        <v>148</v>
      </c>
      <c r="B164" s="26" t="s">
        <v>45</v>
      </c>
      <c r="C164" s="124" t="s">
        <v>71</v>
      </c>
      <c r="D164" s="72" t="s">
        <v>74</v>
      </c>
      <c r="E164" s="73" t="s">
        <v>48</v>
      </c>
      <c r="F164" s="73"/>
      <c r="G164" s="73" t="s">
        <v>68</v>
      </c>
      <c r="H164" s="73" t="s">
        <v>76</v>
      </c>
      <c r="I164" s="74"/>
      <c r="J164" s="19">
        <f t="shared" si="110"/>
        <v>0</v>
      </c>
      <c r="K164" s="167" t="s">
        <v>51</v>
      </c>
      <c r="L164" s="168">
        <v>0</v>
      </c>
      <c r="M164" s="168">
        <v>0</v>
      </c>
      <c r="N164" s="169">
        <f t="shared" si="146"/>
        <v>0</v>
      </c>
      <c r="O164" s="169">
        <f t="shared" si="147"/>
        <v>0</v>
      </c>
      <c r="P164" s="170">
        <f t="shared" si="148"/>
        <v>0</v>
      </c>
      <c r="Q164" s="326"/>
    </row>
    <row r="165" spans="1:17" ht="23.25" customHeight="1" x14ac:dyDescent="0.35">
      <c r="A165" s="18">
        <f t="shared" si="149"/>
        <v>149</v>
      </c>
      <c r="B165" s="26" t="s">
        <v>45</v>
      </c>
      <c r="C165" s="124" t="s">
        <v>71</v>
      </c>
      <c r="D165" s="72" t="s">
        <v>52</v>
      </c>
      <c r="E165" s="73" t="s">
        <v>48</v>
      </c>
      <c r="F165" s="73"/>
      <c r="G165" s="73" t="s">
        <v>68</v>
      </c>
      <c r="H165" s="73" t="s">
        <v>76</v>
      </c>
      <c r="I165" s="74"/>
      <c r="J165" s="19">
        <f t="shared" si="110"/>
        <v>0</v>
      </c>
      <c r="K165" s="167" t="s">
        <v>51</v>
      </c>
      <c r="L165" s="168">
        <v>0</v>
      </c>
      <c r="M165" s="168">
        <v>0</v>
      </c>
      <c r="N165" s="169">
        <f t="shared" si="146"/>
        <v>0</v>
      </c>
      <c r="O165" s="169">
        <f t="shared" si="147"/>
        <v>0</v>
      </c>
      <c r="P165" s="170">
        <f t="shared" si="148"/>
        <v>0</v>
      </c>
      <c r="Q165" s="326"/>
    </row>
    <row r="166" spans="1:17" ht="23.25" customHeight="1" x14ac:dyDescent="0.35">
      <c r="A166" s="18">
        <f t="shared" si="149"/>
        <v>150</v>
      </c>
      <c r="B166" s="26" t="s">
        <v>45</v>
      </c>
      <c r="C166" s="124" t="s">
        <v>71</v>
      </c>
      <c r="D166" s="72" t="s">
        <v>53</v>
      </c>
      <c r="E166" s="73" t="s">
        <v>48</v>
      </c>
      <c r="F166" s="73"/>
      <c r="G166" s="73" t="s">
        <v>68</v>
      </c>
      <c r="H166" s="73" t="s">
        <v>76</v>
      </c>
      <c r="I166" s="74"/>
      <c r="J166" s="19">
        <f t="shared" si="110"/>
        <v>0</v>
      </c>
      <c r="K166" s="167" t="s">
        <v>51</v>
      </c>
      <c r="L166" s="168">
        <v>0</v>
      </c>
      <c r="M166" s="168">
        <v>0</v>
      </c>
      <c r="N166" s="169">
        <f t="shared" si="146"/>
        <v>0</v>
      </c>
      <c r="O166" s="169">
        <f t="shared" si="147"/>
        <v>0</v>
      </c>
      <c r="P166" s="170">
        <f t="shared" si="148"/>
        <v>0</v>
      </c>
      <c r="Q166" s="326"/>
    </row>
    <row r="167" spans="1:17" ht="23.25" customHeight="1" x14ac:dyDescent="0.35">
      <c r="A167" s="18">
        <f t="shared" si="149"/>
        <v>151</v>
      </c>
      <c r="B167" s="26" t="s">
        <v>45</v>
      </c>
      <c r="C167" s="124" t="s">
        <v>71</v>
      </c>
      <c r="D167" s="72" t="s">
        <v>54</v>
      </c>
      <c r="E167" s="73" t="s">
        <v>48</v>
      </c>
      <c r="F167" s="73"/>
      <c r="G167" s="73" t="s">
        <v>68</v>
      </c>
      <c r="H167" s="73" t="s">
        <v>76</v>
      </c>
      <c r="I167" s="74"/>
      <c r="J167" s="19">
        <f t="shared" si="110"/>
        <v>0</v>
      </c>
      <c r="K167" s="167" t="s">
        <v>51</v>
      </c>
      <c r="L167" s="168">
        <v>0</v>
      </c>
      <c r="M167" s="168">
        <v>0</v>
      </c>
      <c r="N167" s="169">
        <f t="shared" si="146"/>
        <v>0</v>
      </c>
      <c r="O167" s="169">
        <f t="shared" si="147"/>
        <v>0</v>
      </c>
      <c r="P167" s="170">
        <f t="shared" si="148"/>
        <v>0</v>
      </c>
      <c r="Q167" s="326"/>
    </row>
    <row r="168" spans="1:17" ht="23.25" customHeight="1" x14ac:dyDescent="0.35">
      <c r="A168" s="18">
        <f t="shared" si="149"/>
        <v>152</v>
      </c>
      <c r="B168" s="26" t="s">
        <v>45</v>
      </c>
      <c r="C168" s="124" t="s">
        <v>71</v>
      </c>
      <c r="D168" s="72" t="s">
        <v>69</v>
      </c>
      <c r="E168" s="73" t="s">
        <v>48</v>
      </c>
      <c r="F168" s="73"/>
      <c r="G168" s="73" t="s">
        <v>68</v>
      </c>
      <c r="H168" s="73" t="s">
        <v>76</v>
      </c>
      <c r="I168" s="74"/>
      <c r="J168" s="19">
        <f t="shared" si="110"/>
        <v>0</v>
      </c>
      <c r="K168" s="167" t="s">
        <v>51</v>
      </c>
      <c r="L168" s="168">
        <v>0</v>
      </c>
      <c r="M168" s="168">
        <v>0</v>
      </c>
      <c r="N168" s="169">
        <f t="shared" si="146"/>
        <v>0</v>
      </c>
      <c r="O168" s="169">
        <f t="shared" si="147"/>
        <v>0</v>
      </c>
      <c r="P168" s="170">
        <f t="shared" si="148"/>
        <v>0</v>
      </c>
      <c r="Q168" s="326"/>
    </row>
    <row r="169" spans="1:17" ht="23.25" customHeight="1" x14ac:dyDescent="0.35">
      <c r="A169" s="18">
        <f t="shared" si="149"/>
        <v>153</v>
      </c>
      <c r="B169" s="26" t="s">
        <v>45</v>
      </c>
      <c r="C169" s="124" t="s">
        <v>71</v>
      </c>
      <c r="D169" s="72" t="s">
        <v>40</v>
      </c>
      <c r="E169" s="73" t="s">
        <v>72</v>
      </c>
      <c r="F169" s="73"/>
      <c r="G169" s="73" t="s">
        <v>68</v>
      </c>
      <c r="H169" s="73" t="s">
        <v>77</v>
      </c>
      <c r="I169" s="74"/>
      <c r="J169" s="19">
        <f t="shared" si="110"/>
        <v>0</v>
      </c>
      <c r="K169" s="167" t="s">
        <v>51</v>
      </c>
      <c r="L169" s="168">
        <v>0</v>
      </c>
      <c r="M169" s="168">
        <v>0</v>
      </c>
      <c r="N169" s="169">
        <f t="shared" si="146"/>
        <v>0</v>
      </c>
      <c r="O169" s="169">
        <f t="shared" si="147"/>
        <v>0</v>
      </c>
      <c r="P169" s="170">
        <f t="shared" si="148"/>
        <v>0</v>
      </c>
      <c r="Q169" s="326"/>
    </row>
    <row r="170" spans="1:17" ht="23.25" customHeight="1" x14ac:dyDescent="0.35">
      <c r="A170" s="18">
        <f t="shared" si="149"/>
        <v>154</v>
      </c>
      <c r="B170" s="26" t="s">
        <v>45</v>
      </c>
      <c r="C170" s="124" t="s">
        <v>71</v>
      </c>
      <c r="D170" s="72" t="s">
        <v>74</v>
      </c>
      <c r="E170" s="73" t="s">
        <v>72</v>
      </c>
      <c r="F170" s="73"/>
      <c r="G170" s="73" t="s">
        <v>68</v>
      </c>
      <c r="H170" s="73" t="s">
        <v>77</v>
      </c>
      <c r="I170" s="74"/>
      <c r="J170" s="19">
        <f t="shared" si="110"/>
        <v>0</v>
      </c>
      <c r="K170" s="167" t="s">
        <v>51</v>
      </c>
      <c r="L170" s="168">
        <v>0</v>
      </c>
      <c r="M170" s="168">
        <v>0</v>
      </c>
      <c r="N170" s="169">
        <f t="shared" si="146"/>
        <v>0</v>
      </c>
      <c r="O170" s="169">
        <f t="shared" si="147"/>
        <v>0</v>
      </c>
      <c r="P170" s="170">
        <f t="shared" si="148"/>
        <v>0</v>
      </c>
      <c r="Q170" s="326"/>
    </row>
    <row r="171" spans="1:17" ht="23.25" customHeight="1" x14ac:dyDescent="0.35">
      <c r="A171" s="18">
        <f t="shared" si="149"/>
        <v>155</v>
      </c>
      <c r="B171" s="26" t="s">
        <v>45</v>
      </c>
      <c r="C171" s="124" t="s">
        <v>71</v>
      </c>
      <c r="D171" s="72" t="s">
        <v>75</v>
      </c>
      <c r="E171" s="73" t="s">
        <v>72</v>
      </c>
      <c r="F171" s="73"/>
      <c r="G171" s="73" t="s">
        <v>68</v>
      </c>
      <c r="H171" s="73" t="s">
        <v>77</v>
      </c>
      <c r="I171" s="74"/>
      <c r="J171" s="19">
        <f t="shared" si="110"/>
        <v>0</v>
      </c>
      <c r="K171" s="167" t="s">
        <v>51</v>
      </c>
      <c r="L171" s="168">
        <v>0</v>
      </c>
      <c r="M171" s="168">
        <v>0</v>
      </c>
      <c r="N171" s="169">
        <f t="shared" si="146"/>
        <v>0</v>
      </c>
      <c r="O171" s="169">
        <f t="shared" si="147"/>
        <v>0</v>
      </c>
      <c r="P171" s="170">
        <f t="shared" si="148"/>
        <v>0</v>
      </c>
      <c r="Q171" s="326"/>
    </row>
    <row r="172" spans="1:17" ht="23.25" customHeight="1" x14ac:dyDescent="0.35">
      <c r="A172" s="18">
        <f t="shared" si="149"/>
        <v>156</v>
      </c>
      <c r="B172" s="26" t="s">
        <v>45</v>
      </c>
      <c r="C172" s="124" t="s">
        <v>71</v>
      </c>
      <c r="D172" s="72" t="s">
        <v>52</v>
      </c>
      <c r="E172" s="73" t="s">
        <v>72</v>
      </c>
      <c r="F172" s="73"/>
      <c r="G172" s="73" t="s">
        <v>68</v>
      </c>
      <c r="H172" s="73" t="s">
        <v>77</v>
      </c>
      <c r="I172" s="74"/>
      <c r="J172" s="19">
        <f t="shared" si="110"/>
        <v>0</v>
      </c>
      <c r="K172" s="167" t="s">
        <v>51</v>
      </c>
      <c r="L172" s="168">
        <v>0</v>
      </c>
      <c r="M172" s="168">
        <v>0</v>
      </c>
      <c r="N172" s="169">
        <f t="shared" si="146"/>
        <v>0</v>
      </c>
      <c r="O172" s="169">
        <f t="shared" si="147"/>
        <v>0</v>
      </c>
      <c r="P172" s="170">
        <f t="shared" si="148"/>
        <v>0</v>
      </c>
      <c r="Q172" s="326"/>
    </row>
    <row r="173" spans="1:17" ht="23.25" customHeight="1" x14ac:dyDescent="0.35">
      <c r="A173" s="18">
        <f t="shared" si="149"/>
        <v>157</v>
      </c>
      <c r="B173" s="26" t="s">
        <v>45</v>
      </c>
      <c r="C173" s="124" t="s">
        <v>71</v>
      </c>
      <c r="D173" s="72" t="s">
        <v>53</v>
      </c>
      <c r="E173" s="73" t="s">
        <v>72</v>
      </c>
      <c r="F173" s="73"/>
      <c r="G173" s="73" t="s">
        <v>68</v>
      </c>
      <c r="H173" s="73" t="s">
        <v>77</v>
      </c>
      <c r="I173" s="74"/>
      <c r="J173" s="19">
        <f t="shared" si="110"/>
        <v>0</v>
      </c>
      <c r="K173" s="167" t="s">
        <v>51</v>
      </c>
      <c r="L173" s="168">
        <v>0</v>
      </c>
      <c r="M173" s="168">
        <v>0</v>
      </c>
      <c r="N173" s="169">
        <f t="shared" si="146"/>
        <v>0</v>
      </c>
      <c r="O173" s="169">
        <f t="shared" si="147"/>
        <v>0</v>
      </c>
      <c r="P173" s="170">
        <f t="shared" si="148"/>
        <v>0</v>
      </c>
      <c r="Q173" s="326"/>
    </row>
    <row r="174" spans="1:17" ht="23.25" customHeight="1" x14ac:dyDescent="0.35">
      <c r="A174" s="18">
        <f t="shared" si="149"/>
        <v>158</v>
      </c>
      <c r="B174" s="26" t="s">
        <v>45</v>
      </c>
      <c r="C174" s="124" t="s">
        <v>71</v>
      </c>
      <c r="D174" s="72" t="s">
        <v>54</v>
      </c>
      <c r="E174" s="73" t="s">
        <v>72</v>
      </c>
      <c r="F174" s="73"/>
      <c r="G174" s="73" t="s">
        <v>68</v>
      </c>
      <c r="H174" s="73" t="s">
        <v>77</v>
      </c>
      <c r="I174" s="74"/>
      <c r="J174" s="19">
        <f t="shared" si="110"/>
        <v>0</v>
      </c>
      <c r="K174" s="167" t="s">
        <v>51</v>
      </c>
      <c r="L174" s="168">
        <v>0</v>
      </c>
      <c r="M174" s="168">
        <v>0</v>
      </c>
      <c r="N174" s="169">
        <f t="shared" si="146"/>
        <v>0</v>
      </c>
      <c r="O174" s="169">
        <f t="shared" si="147"/>
        <v>0</v>
      </c>
      <c r="P174" s="170">
        <f t="shared" si="148"/>
        <v>0</v>
      </c>
      <c r="Q174" s="326"/>
    </row>
    <row r="175" spans="1:17" ht="23.25" customHeight="1" x14ac:dyDescent="0.35">
      <c r="A175" s="18">
        <f t="shared" si="149"/>
        <v>159</v>
      </c>
      <c r="B175" s="26" t="s">
        <v>45</v>
      </c>
      <c r="C175" s="124" t="s">
        <v>71</v>
      </c>
      <c r="D175" s="72" t="s">
        <v>69</v>
      </c>
      <c r="E175" s="73" t="s">
        <v>72</v>
      </c>
      <c r="F175" s="73"/>
      <c r="G175" s="73" t="s">
        <v>68</v>
      </c>
      <c r="H175" s="73" t="s">
        <v>77</v>
      </c>
      <c r="I175" s="74"/>
      <c r="J175" s="19">
        <f t="shared" ref="J175" si="150">I175</f>
        <v>0</v>
      </c>
      <c r="K175" s="167" t="s">
        <v>51</v>
      </c>
      <c r="L175" s="168">
        <v>0</v>
      </c>
      <c r="M175" s="168">
        <v>0</v>
      </c>
      <c r="N175" s="169">
        <f t="shared" ref="N175" si="151">L175*J175</f>
        <v>0</v>
      </c>
      <c r="O175" s="169">
        <f t="shared" ref="O175" si="152">M175*J175</f>
        <v>0</v>
      </c>
      <c r="P175" s="170">
        <f t="shared" ref="P175" si="153">(L175*J175)+(M175*J175)</f>
        <v>0</v>
      </c>
      <c r="Q175" s="326"/>
    </row>
    <row r="176" spans="1:17" ht="23.25" customHeight="1" x14ac:dyDescent="0.35">
      <c r="A176" s="18">
        <f t="shared" si="149"/>
        <v>160</v>
      </c>
      <c r="B176" s="26" t="s">
        <v>45</v>
      </c>
      <c r="C176" s="124" t="s">
        <v>71</v>
      </c>
      <c r="D176" s="72" t="s">
        <v>40</v>
      </c>
      <c r="E176" s="73" t="s">
        <v>48</v>
      </c>
      <c r="F176" s="73"/>
      <c r="G176" s="73" t="s">
        <v>68</v>
      </c>
      <c r="H176" s="73" t="s">
        <v>78</v>
      </c>
      <c r="I176" s="193"/>
      <c r="J176" s="19">
        <f t="shared" si="110"/>
        <v>0</v>
      </c>
      <c r="K176" s="167" t="s">
        <v>51</v>
      </c>
      <c r="L176" s="168">
        <v>0</v>
      </c>
      <c r="M176" s="168">
        <v>0</v>
      </c>
      <c r="N176" s="169">
        <f t="shared" si="146"/>
        <v>0</v>
      </c>
      <c r="O176" s="169">
        <f t="shared" si="147"/>
        <v>0</v>
      </c>
      <c r="P176" s="170">
        <f t="shared" si="148"/>
        <v>0</v>
      </c>
      <c r="Q176" s="337"/>
    </row>
    <row r="177" spans="1:17" ht="23.25" customHeight="1" x14ac:dyDescent="0.35">
      <c r="A177" s="18">
        <f t="shared" si="149"/>
        <v>161</v>
      </c>
      <c r="B177" s="26" t="s">
        <v>45</v>
      </c>
      <c r="C177" s="124" t="s">
        <v>71</v>
      </c>
      <c r="D177" s="72" t="s">
        <v>74</v>
      </c>
      <c r="E177" s="73" t="s">
        <v>48</v>
      </c>
      <c r="F177" s="73"/>
      <c r="G177" s="73" t="s">
        <v>68</v>
      </c>
      <c r="H177" s="73" t="s">
        <v>78</v>
      </c>
      <c r="I177" s="193"/>
      <c r="J177" s="19">
        <f t="shared" si="110"/>
        <v>0</v>
      </c>
      <c r="K177" s="167" t="s">
        <v>51</v>
      </c>
      <c r="L177" s="168">
        <v>0</v>
      </c>
      <c r="M177" s="168">
        <v>0</v>
      </c>
      <c r="N177" s="169">
        <f t="shared" si="146"/>
        <v>0</v>
      </c>
      <c r="O177" s="169">
        <f t="shared" si="147"/>
        <v>0</v>
      </c>
      <c r="P177" s="170">
        <f t="shared" si="148"/>
        <v>0</v>
      </c>
      <c r="Q177" s="337"/>
    </row>
    <row r="178" spans="1:17" ht="23.25" customHeight="1" x14ac:dyDescent="0.35">
      <c r="A178" s="18">
        <f t="shared" si="149"/>
        <v>162</v>
      </c>
      <c r="B178" s="26" t="s">
        <v>45</v>
      </c>
      <c r="C178" s="124" t="s">
        <v>71</v>
      </c>
      <c r="D178" s="72" t="s">
        <v>79</v>
      </c>
      <c r="E178" s="73" t="s">
        <v>72</v>
      </c>
      <c r="F178" s="73"/>
      <c r="G178" s="73" t="s">
        <v>68</v>
      </c>
      <c r="H178" s="73" t="s">
        <v>78</v>
      </c>
      <c r="I178" s="193"/>
      <c r="J178" s="19">
        <f t="shared" si="110"/>
        <v>0</v>
      </c>
      <c r="K178" s="167" t="s">
        <v>51</v>
      </c>
      <c r="L178" s="168">
        <v>0</v>
      </c>
      <c r="M178" s="168">
        <v>0</v>
      </c>
      <c r="N178" s="169">
        <f t="shared" si="146"/>
        <v>0</v>
      </c>
      <c r="O178" s="169">
        <f t="shared" si="147"/>
        <v>0</v>
      </c>
      <c r="P178" s="170">
        <f t="shared" si="148"/>
        <v>0</v>
      </c>
      <c r="Q178" s="337"/>
    </row>
    <row r="179" spans="1:17" ht="23.25" customHeight="1" x14ac:dyDescent="0.35">
      <c r="A179" s="18">
        <f t="shared" si="149"/>
        <v>163</v>
      </c>
      <c r="B179" s="26" t="s">
        <v>45</v>
      </c>
      <c r="C179" s="124" t="s">
        <v>71</v>
      </c>
      <c r="D179" s="72" t="s">
        <v>52</v>
      </c>
      <c r="E179" s="73" t="s">
        <v>48</v>
      </c>
      <c r="F179" s="73"/>
      <c r="G179" s="73" t="s">
        <v>68</v>
      </c>
      <c r="H179" s="73" t="s">
        <v>78</v>
      </c>
      <c r="I179" s="193"/>
      <c r="J179" s="19">
        <f t="shared" si="110"/>
        <v>0</v>
      </c>
      <c r="K179" s="167" t="s">
        <v>51</v>
      </c>
      <c r="L179" s="168">
        <v>0</v>
      </c>
      <c r="M179" s="168">
        <v>0</v>
      </c>
      <c r="N179" s="169">
        <f t="shared" si="146"/>
        <v>0</v>
      </c>
      <c r="O179" s="169">
        <f t="shared" si="147"/>
        <v>0</v>
      </c>
      <c r="P179" s="170">
        <f t="shared" si="148"/>
        <v>0</v>
      </c>
      <c r="Q179" s="337"/>
    </row>
    <row r="180" spans="1:17" ht="23.25" customHeight="1" x14ac:dyDescent="0.35">
      <c r="A180" s="18">
        <f t="shared" si="149"/>
        <v>164</v>
      </c>
      <c r="B180" s="26" t="s">
        <v>45</v>
      </c>
      <c r="C180" s="124" t="s">
        <v>71</v>
      </c>
      <c r="D180" s="72" t="s">
        <v>53</v>
      </c>
      <c r="E180" s="73" t="s">
        <v>48</v>
      </c>
      <c r="F180" s="73"/>
      <c r="G180" s="73" t="s">
        <v>68</v>
      </c>
      <c r="H180" s="73" t="s">
        <v>78</v>
      </c>
      <c r="I180" s="193"/>
      <c r="J180" s="19">
        <f t="shared" si="110"/>
        <v>0</v>
      </c>
      <c r="K180" s="167" t="s">
        <v>51</v>
      </c>
      <c r="L180" s="168">
        <v>0</v>
      </c>
      <c r="M180" s="168">
        <v>0</v>
      </c>
      <c r="N180" s="169">
        <f t="shared" si="146"/>
        <v>0</v>
      </c>
      <c r="O180" s="169">
        <f t="shared" si="147"/>
        <v>0</v>
      </c>
      <c r="P180" s="170">
        <f t="shared" si="148"/>
        <v>0</v>
      </c>
      <c r="Q180" s="337"/>
    </row>
    <row r="181" spans="1:17" ht="23.25" customHeight="1" x14ac:dyDescent="0.35">
      <c r="A181" s="18">
        <f t="shared" si="149"/>
        <v>165</v>
      </c>
      <c r="B181" s="26" t="s">
        <v>45</v>
      </c>
      <c r="C181" s="124" t="s">
        <v>71</v>
      </c>
      <c r="D181" s="72" t="s">
        <v>54</v>
      </c>
      <c r="E181" s="73" t="s">
        <v>48</v>
      </c>
      <c r="F181" s="73"/>
      <c r="G181" s="73" t="s">
        <v>68</v>
      </c>
      <c r="H181" s="73" t="s">
        <v>78</v>
      </c>
      <c r="I181" s="193"/>
      <c r="J181" s="19">
        <f t="shared" si="110"/>
        <v>0</v>
      </c>
      <c r="K181" s="167" t="s">
        <v>51</v>
      </c>
      <c r="L181" s="168">
        <v>0</v>
      </c>
      <c r="M181" s="168">
        <v>0</v>
      </c>
      <c r="N181" s="169">
        <f t="shared" si="146"/>
        <v>0</v>
      </c>
      <c r="O181" s="169">
        <f t="shared" si="147"/>
        <v>0</v>
      </c>
      <c r="P181" s="170">
        <f t="shared" si="148"/>
        <v>0</v>
      </c>
      <c r="Q181" s="337"/>
    </row>
    <row r="182" spans="1:17" ht="23.25" customHeight="1" x14ac:dyDescent="0.35">
      <c r="A182" s="18">
        <f t="shared" si="149"/>
        <v>166</v>
      </c>
      <c r="B182" s="26" t="s">
        <v>45</v>
      </c>
      <c r="C182" s="124" t="s">
        <v>71</v>
      </c>
      <c r="D182" s="72" t="s">
        <v>69</v>
      </c>
      <c r="E182" s="73" t="s">
        <v>48</v>
      </c>
      <c r="F182" s="73"/>
      <c r="G182" s="73" t="s">
        <v>68</v>
      </c>
      <c r="H182" s="73" t="s">
        <v>78</v>
      </c>
      <c r="I182" s="193"/>
      <c r="J182" s="19">
        <f t="shared" si="110"/>
        <v>0</v>
      </c>
      <c r="K182" s="167" t="s">
        <v>51</v>
      </c>
      <c r="L182" s="168">
        <v>0</v>
      </c>
      <c r="M182" s="168">
        <v>0</v>
      </c>
      <c r="N182" s="169">
        <f t="shared" si="146"/>
        <v>0</v>
      </c>
      <c r="O182" s="169">
        <f t="shared" si="147"/>
        <v>0</v>
      </c>
      <c r="P182" s="170">
        <f t="shared" si="148"/>
        <v>0</v>
      </c>
      <c r="Q182" s="337"/>
    </row>
    <row r="183" spans="1:17" ht="23.25" customHeight="1" x14ac:dyDescent="0.35">
      <c r="A183" s="18">
        <f t="shared" si="149"/>
        <v>167</v>
      </c>
      <c r="B183" s="26" t="s">
        <v>45</v>
      </c>
      <c r="C183" s="124" t="s">
        <v>71</v>
      </c>
      <c r="D183" s="72" t="s">
        <v>80</v>
      </c>
      <c r="E183" s="73" t="s">
        <v>48</v>
      </c>
      <c r="F183" s="73"/>
      <c r="G183" s="73" t="s">
        <v>81</v>
      </c>
      <c r="H183" s="73" t="s">
        <v>62</v>
      </c>
      <c r="I183" s="74"/>
      <c r="J183" s="19">
        <f t="shared" si="110"/>
        <v>0</v>
      </c>
      <c r="K183" s="167" t="s">
        <v>22</v>
      </c>
      <c r="L183" s="168">
        <v>0</v>
      </c>
      <c r="M183" s="168">
        <v>0</v>
      </c>
      <c r="N183" s="169">
        <f t="shared" si="146"/>
        <v>0</v>
      </c>
      <c r="O183" s="169">
        <f t="shared" si="147"/>
        <v>0</v>
      </c>
      <c r="P183" s="170">
        <f t="shared" si="148"/>
        <v>0</v>
      </c>
      <c r="Q183" s="326"/>
    </row>
    <row r="184" spans="1:17" ht="23.25" customHeight="1" x14ac:dyDescent="0.35">
      <c r="A184" s="18">
        <f t="shared" si="149"/>
        <v>168</v>
      </c>
      <c r="B184" s="26" t="s">
        <v>45</v>
      </c>
      <c r="C184" s="124" t="s">
        <v>71</v>
      </c>
      <c r="D184" s="72" t="s">
        <v>70</v>
      </c>
      <c r="E184" s="73" t="s">
        <v>48</v>
      </c>
      <c r="F184" s="73"/>
      <c r="G184" s="73" t="s">
        <v>81</v>
      </c>
      <c r="H184" s="73" t="s">
        <v>62</v>
      </c>
      <c r="I184" s="74"/>
      <c r="J184" s="19">
        <f t="shared" si="110"/>
        <v>0</v>
      </c>
      <c r="K184" s="167" t="s">
        <v>22</v>
      </c>
      <c r="L184" s="168">
        <v>0</v>
      </c>
      <c r="M184" s="168">
        <v>0</v>
      </c>
      <c r="N184" s="169">
        <f t="shared" si="146"/>
        <v>0</v>
      </c>
      <c r="O184" s="169">
        <f t="shared" si="147"/>
        <v>0</v>
      </c>
      <c r="P184" s="170">
        <f t="shared" si="148"/>
        <v>0</v>
      </c>
      <c r="Q184" s="326"/>
    </row>
    <row r="185" spans="1:17" ht="23.25" customHeight="1" x14ac:dyDescent="0.35">
      <c r="A185" s="18">
        <f t="shared" si="149"/>
        <v>169</v>
      </c>
      <c r="B185" s="26" t="s">
        <v>45</v>
      </c>
      <c r="C185" s="124" t="s">
        <v>71</v>
      </c>
      <c r="D185" s="72" t="s">
        <v>477</v>
      </c>
      <c r="E185" s="73" t="s">
        <v>48</v>
      </c>
      <c r="F185" s="73"/>
      <c r="G185" s="73" t="s">
        <v>81</v>
      </c>
      <c r="H185" s="73" t="s">
        <v>62</v>
      </c>
      <c r="I185" s="74"/>
      <c r="J185" s="19">
        <f t="shared" si="110"/>
        <v>0</v>
      </c>
      <c r="K185" s="167" t="s">
        <v>22</v>
      </c>
      <c r="L185" s="168">
        <v>0</v>
      </c>
      <c r="M185" s="168">
        <v>0</v>
      </c>
      <c r="N185" s="169">
        <f t="shared" si="146"/>
        <v>0</v>
      </c>
      <c r="O185" s="169">
        <f t="shared" si="147"/>
        <v>0</v>
      </c>
      <c r="P185" s="170">
        <f t="shared" si="148"/>
        <v>0</v>
      </c>
      <c r="Q185" s="326"/>
    </row>
    <row r="186" spans="1:17" ht="27.75" customHeight="1" x14ac:dyDescent="0.35">
      <c r="A186" s="18">
        <f t="shared" si="149"/>
        <v>170</v>
      </c>
      <c r="B186" s="26" t="s">
        <v>45</v>
      </c>
      <c r="C186" s="83" t="s">
        <v>71</v>
      </c>
      <c r="D186" s="75" t="s">
        <v>63</v>
      </c>
      <c r="E186" s="79"/>
      <c r="F186" s="79"/>
      <c r="G186" s="79"/>
      <c r="H186" s="79"/>
      <c r="I186" s="188"/>
      <c r="J186" s="19">
        <f t="shared" si="110"/>
        <v>0</v>
      </c>
      <c r="K186" s="167" t="s">
        <v>22</v>
      </c>
      <c r="L186" s="168">
        <v>0</v>
      </c>
      <c r="M186" s="168">
        <v>0</v>
      </c>
      <c r="N186" s="169">
        <f t="shared" si="146"/>
        <v>0</v>
      </c>
      <c r="O186" s="169">
        <f t="shared" si="147"/>
        <v>0</v>
      </c>
      <c r="P186" s="170">
        <f t="shared" si="148"/>
        <v>0</v>
      </c>
      <c r="Q186" s="335"/>
    </row>
    <row r="187" spans="1:17" ht="27.75" customHeight="1" x14ac:dyDescent="0.35">
      <c r="A187" s="18">
        <f t="shared" si="149"/>
        <v>171</v>
      </c>
      <c r="B187" s="26" t="s">
        <v>45</v>
      </c>
      <c r="C187" s="83" t="s">
        <v>71</v>
      </c>
      <c r="D187" s="43" t="s">
        <v>358</v>
      </c>
      <c r="E187" s="5"/>
      <c r="F187" s="5"/>
      <c r="G187" s="5"/>
      <c r="H187" s="5"/>
      <c r="I187" s="20"/>
      <c r="J187" s="19">
        <f>I187</f>
        <v>0</v>
      </c>
      <c r="K187" s="171"/>
      <c r="L187" s="168">
        <v>0</v>
      </c>
      <c r="M187" s="168">
        <v>0</v>
      </c>
      <c r="N187" s="169">
        <f>L187*J187</f>
        <v>0</v>
      </c>
      <c r="O187" s="169">
        <f>M187*J187</f>
        <v>0</v>
      </c>
      <c r="P187" s="170">
        <f>(L187*J187)+(M187*J187)</f>
        <v>0</v>
      </c>
      <c r="Q187" s="326"/>
    </row>
    <row r="188" spans="1:17" ht="27.75" customHeight="1" thickBot="1" x14ac:dyDescent="0.4">
      <c r="A188" s="38">
        <f>A187+1</f>
        <v>172</v>
      </c>
      <c r="B188" s="39" t="s">
        <v>45</v>
      </c>
      <c r="C188" s="126" t="s">
        <v>71</v>
      </c>
      <c r="D188" s="45" t="s">
        <v>358</v>
      </c>
      <c r="E188" s="40"/>
      <c r="F188" s="40"/>
      <c r="G188" s="40"/>
      <c r="H188" s="40"/>
      <c r="I188" s="41"/>
      <c r="J188" s="24">
        <f>I188</f>
        <v>0</v>
      </c>
      <c r="K188" s="194"/>
      <c r="L188" s="195">
        <v>0</v>
      </c>
      <c r="M188" s="195">
        <v>0</v>
      </c>
      <c r="N188" s="196">
        <f>L188*J188</f>
        <v>0</v>
      </c>
      <c r="O188" s="196">
        <f>M188*J188</f>
        <v>0</v>
      </c>
      <c r="P188" s="197">
        <f>(L188*J188)+(M188*J188)</f>
        <v>0</v>
      </c>
      <c r="Q188" s="328"/>
    </row>
    <row r="189" spans="1:17" ht="23.25" customHeight="1" x14ac:dyDescent="0.35">
      <c r="A189" s="28"/>
      <c r="B189" s="35" t="s">
        <v>82</v>
      </c>
      <c r="C189" s="127" t="s">
        <v>83</v>
      </c>
      <c r="D189" s="148" t="s">
        <v>84</v>
      </c>
      <c r="E189" s="149"/>
      <c r="F189" s="149"/>
      <c r="G189" s="149"/>
      <c r="H189" s="150"/>
      <c r="I189" s="151"/>
      <c r="J189" s="198"/>
      <c r="K189" s="153"/>
      <c r="L189" s="199"/>
      <c r="M189" s="199"/>
      <c r="N189" s="200"/>
      <c r="O189" s="200"/>
      <c r="P189" s="155"/>
      <c r="Q189" s="338"/>
    </row>
    <row r="190" spans="1:17" ht="23.25" customHeight="1" thickBot="1" x14ac:dyDescent="0.4">
      <c r="A190" s="38"/>
      <c r="B190" s="39" t="s">
        <v>82</v>
      </c>
      <c r="C190" s="128" t="s">
        <v>83</v>
      </c>
      <c r="D190" s="201" t="s">
        <v>83</v>
      </c>
      <c r="E190" s="202"/>
      <c r="F190" s="202"/>
      <c r="G190" s="202"/>
      <c r="H190" s="203"/>
      <c r="I190" s="204"/>
      <c r="J190" s="205"/>
      <c r="K190" s="206"/>
      <c r="L190" s="207"/>
      <c r="M190" s="207"/>
      <c r="N190" s="203"/>
      <c r="O190" s="203"/>
      <c r="P190" s="208"/>
      <c r="Q190" s="339"/>
    </row>
    <row r="191" spans="1:17" ht="23.25" customHeight="1" x14ac:dyDescent="0.35">
      <c r="A191" s="28">
        <f>A188+1</f>
        <v>173</v>
      </c>
      <c r="B191" s="35" t="s">
        <v>82</v>
      </c>
      <c r="C191" s="127" t="s">
        <v>83</v>
      </c>
      <c r="D191" s="77" t="s">
        <v>85</v>
      </c>
      <c r="E191" s="78" t="s">
        <v>60</v>
      </c>
      <c r="F191" s="78"/>
      <c r="G191" s="78" t="s">
        <v>86</v>
      </c>
      <c r="H191" s="78" t="s">
        <v>87</v>
      </c>
      <c r="I191" s="189"/>
      <c r="J191" s="32">
        <f t="shared" ref="J191:J253" si="154">I191</f>
        <v>0</v>
      </c>
      <c r="K191" s="190" t="s">
        <v>51</v>
      </c>
      <c r="L191" s="185">
        <v>0</v>
      </c>
      <c r="M191" s="185">
        <v>0</v>
      </c>
      <c r="N191" s="186">
        <f t="shared" ref="N191:N253" si="155">L191*J191</f>
        <v>0</v>
      </c>
      <c r="O191" s="186">
        <f t="shared" ref="O191:O253" si="156">M191*J191</f>
        <v>0</v>
      </c>
      <c r="P191" s="187">
        <f t="shared" ref="P191:P253" si="157">(L191*J191)+(M191*J191)</f>
        <v>0</v>
      </c>
      <c r="Q191" s="336"/>
    </row>
    <row r="192" spans="1:17" ht="23.25" customHeight="1" x14ac:dyDescent="0.35">
      <c r="A192" s="18">
        <f>A191+1</f>
        <v>174</v>
      </c>
      <c r="B192" s="26" t="s">
        <v>82</v>
      </c>
      <c r="C192" s="129" t="s">
        <v>83</v>
      </c>
      <c r="D192" s="72" t="s">
        <v>88</v>
      </c>
      <c r="E192" s="73" t="s">
        <v>60</v>
      </c>
      <c r="F192" s="73"/>
      <c r="G192" s="73" t="s">
        <v>89</v>
      </c>
      <c r="H192" s="73" t="s">
        <v>87</v>
      </c>
      <c r="I192" s="191"/>
      <c r="J192" s="19">
        <f t="shared" si="154"/>
        <v>0</v>
      </c>
      <c r="K192" s="167" t="s">
        <v>22</v>
      </c>
      <c r="L192" s="168">
        <v>0</v>
      </c>
      <c r="M192" s="168">
        <v>0</v>
      </c>
      <c r="N192" s="169">
        <f t="shared" si="155"/>
        <v>0</v>
      </c>
      <c r="O192" s="169">
        <f t="shared" si="156"/>
        <v>0</v>
      </c>
      <c r="P192" s="170">
        <f t="shared" si="157"/>
        <v>0</v>
      </c>
      <c r="Q192" s="335"/>
    </row>
    <row r="193" spans="1:17" ht="23.25" customHeight="1" x14ac:dyDescent="0.35">
      <c r="A193" s="18">
        <f t="shared" ref="A193:A256" si="158">A192+1</f>
        <v>175</v>
      </c>
      <c r="B193" s="26" t="s">
        <v>82</v>
      </c>
      <c r="C193" s="129" t="s">
        <v>83</v>
      </c>
      <c r="D193" s="72" t="s">
        <v>52</v>
      </c>
      <c r="E193" s="73" t="s">
        <v>60</v>
      </c>
      <c r="F193" s="73"/>
      <c r="G193" s="73" t="s">
        <v>60</v>
      </c>
      <c r="H193" s="73" t="s">
        <v>87</v>
      </c>
      <c r="I193" s="191"/>
      <c r="J193" s="19">
        <f t="shared" si="154"/>
        <v>0</v>
      </c>
      <c r="K193" s="167" t="s">
        <v>22</v>
      </c>
      <c r="L193" s="168">
        <v>0</v>
      </c>
      <c r="M193" s="168">
        <v>0</v>
      </c>
      <c r="N193" s="169">
        <f t="shared" si="155"/>
        <v>0</v>
      </c>
      <c r="O193" s="169">
        <f t="shared" si="156"/>
        <v>0</v>
      </c>
      <c r="P193" s="170">
        <f t="shared" si="157"/>
        <v>0</v>
      </c>
      <c r="Q193" s="335"/>
    </row>
    <row r="194" spans="1:17" ht="23.25" customHeight="1" x14ac:dyDescent="0.35">
      <c r="A194" s="18">
        <f t="shared" si="158"/>
        <v>176</v>
      </c>
      <c r="B194" s="26" t="s">
        <v>82</v>
      </c>
      <c r="C194" s="129" t="s">
        <v>83</v>
      </c>
      <c r="D194" s="72" t="s">
        <v>90</v>
      </c>
      <c r="E194" s="73" t="s">
        <v>60</v>
      </c>
      <c r="F194" s="73"/>
      <c r="G194" s="73" t="s">
        <v>60</v>
      </c>
      <c r="H194" s="73" t="s">
        <v>87</v>
      </c>
      <c r="I194" s="191"/>
      <c r="J194" s="19">
        <f t="shared" si="154"/>
        <v>0</v>
      </c>
      <c r="K194" s="167" t="s">
        <v>22</v>
      </c>
      <c r="L194" s="168">
        <v>0</v>
      </c>
      <c r="M194" s="168">
        <v>0</v>
      </c>
      <c r="N194" s="169">
        <f t="shared" si="155"/>
        <v>0</v>
      </c>
      <c r="O194" s="169">
        <f t="shared" si="156"/>
        <v>0</v>
      </c>
      <c r="P194" s="170">
        <f t="shared" si="157"/>
        <v>0</v>
      </c>
      <c r="Q194" s="335"/>
    </row>
    <row r="195" spans="1:17" ht="23.25" customHeight="1" x14ac:dyDescent="0.35">
      <c r="A195" s="18">
        <f t="shared" si="158"/>
        <v>177</v>
      </c>
      <c r="B195" s="26" t="s">
        <v>82</v>
      </c>
      <c r="C195" s="129" t="s">
        <v>83</v>
      </c>
      <c r="D195" s="72" t="s">
        <v>91</v>
      </c>
      <c r="E195" s="73" t="s">
        <v>60</v>
      </c>
      <c r="F195" s="73"/>
      <c r="G195" s="73" t="s">
        <v>60</v>
      </c>
      <c r="H195" s="73" t="s">
        <v>87</v>
      </c>
      <c r="I195" s="191"/>
      <c r="J195" s="19">
        <f t="shared" si="154"/>
        <v>0</v>
      </c>
      <c r="K195" s="167" t="s">
        <v>22</v>
      </c>
      <c r="L195" s="168">
        <v>0</v>
      </c>
      <c r="M195" s="168">
        <v>0</v>
      </c>
      <c r="N195" s="169">
        <f t="shared" si="155"/>
        <v>0</v>
      </c>
      <c r="O195" s="169">
        <f t="shared" si="156"/>
        <v>0</v>
      </c>
      <c r="P195" s="170">
        <f t="shared" si="157"/>
        <v>0</v>
      </c>
      <c r="Q195" s="335"/>
    </row>
    <row r="196" spans="1:17" ht="23.25" customHeight="1" x14ac:dyDescent="0.35">
      <c r="A196" s="18">
        <f t="shared" si="158"/>
        <v>178</v>
      </c>
      <c r="B196" s="26" t="s">
        <v>82</v>
      </c>
      <c r="C196" s="129" t="s">
        <v>83</v>
      </c>
      <c r="D196" s="72" t="s">
        <v>92</v>
      </c>
      <c r="E196" s="73" t="s">
        <v>60</v>
      </c>
      <c r="F196" s="73"/>
      <c r="G196" s="73" t="s">
        <v>60</v>
      </c>
      <c r="H196" s="73" t="s">
        <v>87</v>
      </c>
      <c r="I196" s="191"/>
      <c r="J196" s="19">
        <f t="shared" si="154"/>
        <v>0</v>
      </c>
      <c r="K196" s="167" t="s">
        <v>22</v>
      </c>
      <c r="L196" s="168">
        <v>0</v>
      </c>
      <c r="M196" s="168">
        <v>0</v>
      </c>
      <c r="N196" s="169">
        <f t="shared" si="155"/>
        <v>0</v>
      </c>
      <c r="O196" s="169">
        <f t="shared" si="156"/>
        <v>0</v>
      </c>
      <c r="P196" s="170">
        <f t="shared" si="157"/>
        <v>0</v>
      </c>
      <c r="Q196" s="335"/>
    </row>
    <row r="197" spans="1:17" ht="23.25" customHeight="1" x14ac:dyDescent="0.35">
      <c r="A197" s="18">
        <f t="shared" si="158"/>
        <v>179</v>
      </c>
      <c r="B197" s="26" t="s">
        <v>82</v>
      </c>
      <c r="C197" s="129" t="s">
        <v>83</v>
      </c>
      <c r="D197" s="72" t="s">
        <v>93</v>
      </c>
      <c r="E197" s="73" t="s">
        <v>60</v>
      </c>
      <c r="F197" s="73"/>
      <c r="G197" s="73" t="s">
        <v>60</v>
      </c>
      <c r="H197" s="73" t="s">
        <v>87</v>
      </c>
      <c r="I197" s="191"/>
      <c r="J197" s="19">
        <f t="shared" si="154"/>
        <v>0</v>
      </c>
      <c r="K197" s="167" t="s">
        <v>22</v>
      </c>
      <c r="L197" s="168">
        <v>0</v>
      </c>
      <c r="M197" s="168">
        <v>0</v>
      </c>
      <c r="N197" s="169">
        <f t="shared" si="155"/>
        <v>0</v>
      </c>
      <c r="O197" s="169">
        <f t="shared" si="156"/>
        <v>0</v>
      </c>
      <c r="P197" s="170">
        <f t="shared" si="157"/>
        <v>0</v>
      </c>
      <c r="Q197" s="335"/>
    </row>
    <row r="198" spans="1:17" ht="23.25" customHeight="1" x14ac:dyDescent="0.35">
      <c r="A198" s="18">
        <f t="shared" si="158"/>
        <v>180</v>
      </c>
      <c r="B198" s="26" t="s">
        <v>82</v>
      </c>
      <c r="C198" s="129" t="s">
        <v>83</v>
      </c>
      <c r="D198" s="72" t="s">
        <v>85</v>
      </c>
      <c r="E198" s="73" t="s">
        <v>60</v>
      </c>
      <c r="F198" s="73"/>
      <c r="G198" s="73" t="s">
        <v>86</v>
      </c>
      <c r="H198" s="73" t="s">
        <v>94</v>
      </c>
      <c r="I198" s="191"/>
      <c r="J198" s="19">
        <f t="shared" si="154"/>
        <v>0</v>
      </c>
      <c r="K198" s="167" t="s">
        <v>51</v>
      </c>
      <c r="L198" s="168">
        <v>0</v>
      </c>
      <c r="M198" s="168">
        <v>0</v>
      </c>
      <c r="N198" s="169">
        <f t="shared" si="155"/>
        <v>0</v>
      </c>
      <c r="O198" s="169">
        <f t="shared" si="156"/>
        <v>0</v>
      </c>
      <c r="P198" s="170">
        <f t="shared" si="157"/>
        <v>0</v>
      </c>
      <c r="Q198" s="335"/>
    </row>
    <row r="199" spans="1:17" ht="23.25" customHeight="1" x14ac:dyDescent="0.35">
      <c r="A199" s="18">
        <f t="shared" si="158"/>
        <v>181</v>
      </c>
      <c r="B199" s="26" t="s">
        <v>82</v>
      </c>
      <c r="C199" s="129" t="s">
        <v>83</v>
      </c>
      <c r="D199" s="72" t="s">
        <v>88</v>
      </c>
      <c r="E199" s="73" t="s">
        <v>60</v>
      </c>
      <c r="F199" s="73"/>
      <c r="G199" s="73" t="s">
        <v>89</v>
      </c>
      <c r="H199" s="73" t="s">
        <v>94</v>
      </c>
      <c r="I199" s="191"/>
      <c r="J199" s="19">
        <f t="shared" si="154"/>
        <v>0</v>
      </c>
      <c r="K199" s="167" t="s">
        <v>22</v>
      </c>
      <c r="L199" s="168">
        <v>0</v>
      </c>
      <c r="M199" s="168">
        <v>0</v>
      </c>
      <c r="N199" s="169">
        <f t="shared" si="155"/>
        <v>0</v>
      </c>
      <c r="O199" s="169">
        <f t="shared" si="156"/>
        <v>0</v>
      </c>
      <c r="P199" s="170">
        <f t="shared" si="157"/>
        <v>0</v>
      </c>
      <c r="Q199" s="335"/>
    </row>
    <row r="200" spans="1:17" ht="23.25" customHeight="1" x14ac:dyDescent="0.35">
      <c r="A200" s="18">
        <f t="shared" si="158"/>
        <v>182</v>
      </c>
      <c r="B200" s="26" t="s">
        <v>82</v>
      </c>
      <c r="C200" s="129" t="s">
        <v>83</v>
      </c>
      <c r="D200" s="72" t="s">
        <v>52</v>
      </c>
      <c r="E200" s="73" t="s">
        <v>60</v>
      </c>
      <c r="F200" s="73"/>
      <c r="G200" s="73" t="s">
        <v>60</v>
      </c>
      <c r="H200" s="73" t="s">
        <v>94</v>
      </c>
      <c r="I200" s="191"/>
      <c r="J200" s="19">
        <f t="shared" si="154"/>
        <v>0</v>
      </c>
      <c r="K200" s="167" t="s">
        <v>22</v>
      </c>
      <c r="L200" s="168">
        <v>0</v>
      </c>
      <c r="M200" s="168">
        <v>0</v>
      </c>
      <c r="N200" s="169">
        <f t="shared" si="155"/>
        <v>0</v>
      </c>
      <c r="O200" s="169">
        <f t="shared" si="156"/>
        <v>0</v>
      </c>
      <c r="P200" s="170">
        <f t="shared" si="157"/>
        <v>0</v>
      </c>
      <c r="Q200" s="335"/>
    </row>
    <row r="201" spans="1:17" ht="23.25" customHeight="1" x14ac:dyDescent="0.35">
      <c r="A201" s="18">
        <f t="shared" si="158"/>
        <v>183</v>
      </c>
      <c r="B201" s="26" t="s">
        <v>82</v>
      </c>
      <c r="C201" s="129" t="s">
        <v>83</v>
      </c>
      <c r="D201" s="72" t="s">
        <v>90</v>
      </c>
      <c r="E201" s="73" t="s">
        <v>60</v>
      </c>
      <c r="F201" s="73"/>
      <c r="G201" s="73" t="s">
        <v>60</v>
      </c>
      <c r="H201" s="73" t="s">
        <v>94</v>
      </c>
      <c r="I201" s="191"/>
      <c r="J201" s="19">
        <f t="shared" si="154"/>
        <v>0</v>
      </c>
      <c r="K201" s="167" t="s">
        <v>22</v>
      </c>
      <c r="L201" s="168">
        <v>0</v>
      </c>
      <c r="M201" s="168">
        <v>0</v>
      </c>
      <c r="N201" s="169">
        <f t="shared" si="155"/>
        <v>0</v>
      </c>
      <c r="O201" s="169">
        <f t="shared" si="156"/>
        <v>0</v>
      </c>
      <c r="P201" s="170">
        <f t="shared" si="157"/>
        <v>0</v>
      </c>
      <c r="Q201" s="335"/>
    </row>
    <row r="202" spans="1:17" ht="23.25" customHeight="1" x14ac:dyDescent="0.35">
      <c r="A202" s="18">
        <f t="shared" si="158"/>
        <v>184</v>
      </c>
      <c r="B202" s="26" t="s">
        <v>82</v>
      </c>
      <c r="C202" s="129" t="s">
        <v>83</v>
      </c>
      <c r="D202" s="72" t="s">
        <v>91</v>
      </c>
      <c r="E202" s="73" t="s">
        <v>60</v>
      </c>
      <c r="F202" s="73"/>
      <c r="G202" s="73" t="s">
        <v>60</v>
      </c>
      <c r="H202" s="73" t="s">
        <v>94</v>
      </c>
      <c r="I202" s="191"/>
      <c r="J202" s="19">
        <f t="shared" si="154"/>
        <v>0</v>
      </c>
      <c r="K202" s="167" t="s">
        <v>22</v>
      </c>
      <c r="L202" s="168">
        <v>0</v>
      </c>
      <c r="M202" s="168">
        <v>0</v>
      </c>
      <c r="N202" s="169">
        <f t="shared" si="155"/>
        <v>0</v>
      </c>
      <c r="O202" s="169">
        <f t="shared" si="156"/>
        <v>0</v>
      </c>
      <c r="P202" s="170">
        <f t="shared" si="157"/>
        <v>0</v>
      </c>
      <c r="Q202" s="335"/>
    </row>
    <row r="203" spans="1:17" ht="23.25" customHeight="1" x14ac:dyDescent="0.35">
      <c r="A203" s="18">
        <f t="shared" si="158"/>
        <v>185</v>
      </c>
      <c r="B203" s="26" t="s">
        <v>82</v>
      </c>
      <c r="C203" s="129" t="s">
        <v>83</v>
      </c>
      <c r="D203" s="72" t="s">
        <v>92</v>
      </c>
      <c r="E203" s="73" t="s">
        <v>60</v>
      </c>
      <c r="F203" s="73"/>
      <c r="G203" s="73" t="s">
        <v>60</v>
      </c>
      <c r="H203" s="73" t="s">
        <v>94</v>
      </c>
      <c r="I203" s="191"/>
      <c r="J203" s="19">
        <f t="shared" si="154"/>
        <v>0</v>
      </c>
      <c r="K203" s="167" t="s">
        <v>22</v>
      </c>
      <c r="L203" s="168">
        <v>0</v>
      </c>
      <c r="M203" s="168">
        <v>0</v>
      </c>
      <c r="N203" s="169">
        <f t="shared" si="155"/>
        <v>0</v>
      </c>
      <c r="O203" s="169">
        <f t="shared" si="156"/>
        <v>0</v>
      </c>
      <c r="P203" s="170">
        <f t="shared" si="157"/>
        <v>0</v>
      </c>
      <c r="Q203" s="335"/>
    </row>
    <row r="204" spans="1:17" ht="23.25" customHeight="1" x14ac:dyDescent="0.35">
      <c r="A204" s="18">
        <f t="shared" si="158"/>
        <v>186</v>
      </c>
      <c r="B204" s="26" t="s">
        <v>82</v>
      </c>
      <c r="C204" s="129" t="s">
        <v>83</v>
      </c>
      <c r="D204" s="72" t="s">
        <v>93</v>
      </c>
      <c r="E204" s="73" t="s">
        <v>60</v>
      </c>
      <c r="F204" s="73"/>
      <c r="G204" s="73" t="s">
        <v>60</v>
      </c>
      <c r="H204" s="73" t="s">
        <v>94</v>
      </c>
      <c r="I204" s="191"/>
      <c r="J204" s="19">
        <f t="shared" si="154"/>
        <v>0</v>
      </c>
      <c r="K204" s="167" t="s">
        <v>22</v>
      </c>
      <c r="L204" s="168">
        <v>0</v>
      </c>
      <c r="M204" s="168">
        <v>0</v>
      </c>
      <c r="N204" s="169">
        <f t="shared" si="155"/>
        <v>0</v>
      </c>
      <c r="O204" s="169">
        <f t="shared" si="156"/>
        <v>0</v>
      </c>
      <c r="P204" s="170">
        <f t="shared" si="157"/>
        <v>0</v>
      </c>
      <c r="Q204" s="335"/>
    </row>
    <row r="205" spans="1:17" ht="23.25" customHeight="1" x14ac:dyDescent="0.35">
      <c r="A205" s="18">
        <f t="shared" si="158"/>
        <v>187</v>
      </c>
      <c r="B205" s="26" t="s">
        <v>82</v>
      </c>
      <c r="C205" s="129" t="s">
        <v>83</v>
      </c>
      <c r="D205" s="72" t="s">
        <v>85</v>
      </c>
      <c r="E205" s="73" t="s">
        <v>60</v>
      </c>
      <c r="F205" s="73"/>
      <c r="G205" s="73" t="s">
        <v>86</v>
      </c>
      <c r="H205" s="73" t="s">
        <v>95</v>
      </c>
      <c r="I205" s="191"/>
      <c r="J205" s="19">
        <f t="shared" si="154"/>
        <v>0</v>
      </c>
      <c r="K205" s="167" t="s">
        <v>51</v>
      </c>
      <c r="L205" s="168">
        <v>0</v>
      </c>
      <c r="M205" s="168">
        <v>0</v>
      </c>
      <c r="N205" s="169">
        <f t="shared" si="155"/>
        <v>0</v>
      </c>
      <c r="O205" s="169">
        <f t="shared" si="156"/>
        <v>0</v>
      </c>
      <c r="P205" s="170">
        <f t="shared" si="157"/>
        <v>0</v>
      </c>
      <c r="Q205" s="335"/>
    </row>
    <row r="206" spans="1:17" ht="23.25" customHeight="1" x14ac:dyDescent="0.35">
      <c r="A206" s="18">
        <f t="shared" si="158"/>
        <v>188</v>
      </c>
      <c r="B206" s="26" t="s">
        <v>82</v>
      </c>
      <c r="C206" s="129" t="s">
        <v>83</v>
      </c>
      <c r="D206" s="72" t="s">
        <v>88</v>
      </c>
      <c r="E206" s="73" t="s">
        <v>60</v>
      </c>
      <c r="F206" s="73"/>
      <c r="G206" s="73" t="s">
        <v>89</v>
      </c>
      <c r="H206" s="73" t="s">
        <v>95</v>
      </c>
      <c r="I206" s="191"/>
      <c r="J206" s="19">
        <f t="shared" si="154"/>
        <v>0</v>
      </c>
      <c r="K206" s="167" t="s">
        <v>22</v>
      </c>
      <c r="L206" s="168">
        <v>0</v>
      </c>
      <c r="M206" s="168">
        <v>0</v>
      </c>
      <c r="N206" s="169">
        <f t="shared" si="155"/>
        <v>0</v>
      </c>
      <c r="O206" s="169">
        <f t="shared" si="156"/>
        <v>0</v>
      </c>
      <c r="P206" s="170">
        <f t="shared" si="157"/>
        <v>0</v>
      </c>
      <c r="Q206" s="335"/>
    </row>
    <row r="207" spans="1:17" ht="23.25" customHeight="1" x14ac:dyDescent="0.35">
      <c r="A207" s="18">
        <f t="shared" si="158"/>
        <v>189</v>
      </c>
      <c r="B207" s="26" t="s">
        <v>82</v>
      </c>
      <c r="C207" s="129" t="s">
        <v>83</v>
      </c>
      <c r="D207" s="72" t="s">
        <v>52</v>
      </c>
      <c r="E207" s="73" t="s">
        <v>60</v>
      </c>
      <c r="F207" s="73"/>
      <c r="G207" s="73" t="s">
        <v>60</v>
      </c>
      <c r="H207" s="73" t="s">
        <v>95</v>
      </c>
      <c r="I207" s="191"/>
      <c r="J207" s="19">
        <f t="shared" si="154"/>
        <v>0</v>
      </c>
      <c r="K207" s="167" t="s">
        <v>22</v>
      </c>
      <c r="L207" s="168">
        <v>0</v>
      </c>
      <c r="M207" s="168">
        <v>0</v>
      </c>
      <c r="N207" s="169">
        <f t="shared" si="155"/>
        <v>0</v>
      </c>
      <c r="O207" s="169">
        <f t="shared" si="156"/>
        <v>0</v>
      </c>
      <c r="P207" s="170">
        <f t="shared" si="157"/>
        <v>0</v>
      </c>
      <c r="Q207" s="335"/>
    </row>
    <row r="208" spans="1:17" ht="23.25" customHeight="1" x14ac:dyDescent="0.35">
      <c r="A208" s="18">
        <f t="shared" si="158"/>
        <v>190</v>
      </c>
      <c r="B208" s="26" t="s">
        <v>82</v>
      </c>
      <c r="C208" s="129" t="s">
        <v>83</v>
      </c>
      <c r="D208" s="72" t="s">
        <v>90</v>
      </c>
      <c r="E208" s="73" t="s">
        <v>60</v>
      </c>
      <c r="F208" s="73"/>
      <c r="G208" s="73" t="s">
        <v>60</v>
      </c>
      <c r="H208" s="73" t="s">
        <v>95</v>
      </c>
      <c r="I208" s="191"/>
      <c r="J208" s="19">
        <f t="shared" si="154"/>
        <v>0</v>
      </c>
      <c r="K208" s="167" t="s">
        <v>22</v>
      </c>
      <c r="L208" s="168">
        <v>0</v>
      </c>
      <c r="M208" s="168">
        <v>0</v>
      </c>
      <c r="N208" s="169">
        <f t="shared" si="155"/>
        <v>0</v>
      </c>
      <c r="O208" s="169">
        <f t="shared" si="156"/>
        <v>0</v>
      </c>
      <c r="P208" s="170">
        <f t="shared" si="157"/>
        <v>0</v>
      </c>
      <c r="Q208" s="335"/>
    </row>
    <row r="209" spans="1:17" ht="23.25" customHeight="1" x14ac:dyDescent="0.35">
      <c r="A209" s="18">
        <f t="shared" si="158"/>
        <v>191</v>
      </c>
      <c r="B209" s="26" t="s">
        <v>82</v>
      </c>
      <c r="C209" s="129" t="s">
        <v>83</v>
      </c>
      <c r="D209" s="72" t="s">
        <v>91</v>
      </c>
      <c r="E209" s="73" t="s">
        <v>60</v>
      </c>
      <c r="F209" s="73"/>
      <c r="G209" s="73" t="s">
        <v>60</v>
      </c>
      <c r="H209" s="73" t="s">
        <v>95</v>
      </c>
      <c r="I209" s="191"/>
      <c r="J209" s="19">
        <f t="shared" si="154"/>
        <v>0</v>
      </c>
      <c r="K209" s="167" t="s">
        <v>22</v>
      </c>
      <c r="L209" s="168">
        <v>0</v>
      </c>
      <c r="M209" s="168">
        <v>0</v>
      </c>
      <c r="N209" s="169">
        <f t="shared" si="155"/>
        <v>0</v>
      </c>
      <c r="O209" s="169">
        <f t="shared" si="156"/>
        <v>0</v>
      </c>
      <c r="P209" s="170">
        <f t="shared" si="157"/>
        <v>0</v>
      </c>
      <c r="Q209" s="335"/>
    </row>
    <row r="210" spans="1:17" ht="23.25" customHeight="1" x14ac:dyDescent="0.35">
      <c r="A210" s="18">
        <f t="shared" si="158"/>
        <v>192</v>
      </c>
      <c r="B210" s="26" t="s">
        <v>82</v>
      </c>
      <c r="C210" s="129" t="s">
        <v>83</v>
      </c>
      <c r="D210" s="72" t="s">
        <v>92</v>
      </c>
      <c r="E210" s="73" t="s">
        <v>60</v>
      </c>
      <c r="F210" s="73"/>
      <c r="G210" s="73" t="s">
        <v>60</v>
      </c>
      <c r="H210" s="73" t="s">
        <v>95</v>
      </c>
      <c r="I210" s="191"/>
      <c r="J210" s="19">
        <f t="shared" si="154"/>
        <v>0</v>
      </c>
      <c r="K210" s="167" t="s">
        <v>22</v>
      </c>
      <c r="L210" s="168">
        <v>0</v>
      </c>
      <c r="M210" s="168">
        <v>0</v>
      </c>
      <c r="N210" s="169">
        <f t="shared" si="155"/>
        <v>0</v>
      </c>
      <c r="O210" s="169">
        <f t="shared" si="156"/>
        <v>0</v>
      </c>
      <c r="P210" s="170">
        <f t="shared" si="157"/>
        <v>0</v>
      </c>
      <c r="Q210" s="335"/>
    </row>
    <row r="211" spans="1:17" ht="23.25" customHeight="1" x14ac:dyDescent="0.35">
      <c r="A211" s="18">
        <f t="shared" si="158"/>
        <v>193</v>
      </c>
      <c r="B211" s="26" t="s">
        <v>82</v>
      </c>
      <c r="C211" s="129" t="s">
        <v>83</v>
      </c>
      <c r="D211" s="72" t="s">
        <v>93</v>
      </c>
      <c r="E211" s="73" t="s">
        <v>60</v>
      </c>
      <c r="F211" s="73"/>
      <c r="G211" s="73" t="s">
        <v>60</v>
      </c>
      <c r="H211" s="73" t="s">
        <v>95</v>
      </c>
      <c r="I211" s="191"/>
      <c r="J211" s="19">
        <f t="shared" si="154"/>
        <v>0</v>
      </c>
      <c r="K211" s="167" t="s">
        <v>22</v>
      </c>
      <c r="L211" s="168">
        <v>0</v>
      </c>
      <c r="M211" s="168">
        <v>0</v>
      </c>
      <c r="N211" s="169">
        <f t="shared" si="155"/>
        <v>0</v>
      </c>
      <c r="O211" s="169">
        <f t="shared" si="156"/>
        <v>0</v>
      </c>
      <c r="P211" s="170">
        <f t="shared" si="157"/>
        <v>0</v>
      </c>
      <c r="Q211" s="335"/>
    </row>
    <row r="212" spans="1:17" ht="23.25" customHeight="1" x14ac:dyDescent="0.35">
      <c r="A212" s="18">
        <f t="shared" si="158"/>
        <v>194</v>
      </c>
      <c r="B212" s="26" t="s">
        <v>82</v>
      </c>
      <c r="C212" s="129" t="s">
        <v>83</v>
      </c>
      <c r="D212" s="72" t="s">
        <v>85</v>
      </c>
      <c r="E212" s="73" t="s">
        <v>60</v>
      </c>
      <c r="F212" s="73"/>
      <c r="G212" s="73" t="s">
        <v>86</v>
      </c>
      <c r="H212" s="73" t="s">
        <v>96</v>
      </c>
      <c r="I212" s="191"/>
      <c r="J212" s="19">
        <f t="shared" si="154"/>
        <v>0</v>
      </c>
      <c r="K212" s="167" t="s">
        <v>51</v>
      </c>
      <c r="L212" s="168">
        <v>0</v>
      </c>
      <c r="M212" s="168">
        <v>0</v>
      </c>
      <c r="N212" s="169">
        <f t="shared" si="155"/>
        <v>0</v>
      </c>
      <c r="O212" s="169">
        <f t="shared" si="156"/>
        <v>0</v>
      </c>
      <c r="P212" s="170">
        <f t="shared" si="157"/>
        <v>0</v>
      </c>
      <c r="Q212" s="335"/>
    </row>
    <row r="213" spans="1:17" ht="23.25" customHeight="1" x14ac:dyDescent="0.35">
      <c r="A213" s="18">
        <f t="shared" si="158"/>
        <v>195</v>
      </c>
      <c r="B213" s="26" t="s">
        <v>82</v>
      </c>
      <c r="C213" s="129" t="s">
        <v>83</v>
      </c>
      <c r="D213" s="72" t="s">
        <v>88</v>
      </c>
      <c r="E213" s="73" t="s">
        <v>60</v>
      </c>
      <c r="F213" s="73"/>
      <c r="G213" s="73" t="s">
        <v>89</v>
      </c>
      <c r="H213" s="73" t="s">
        <v>96</v>
      </c>
      <c r="I213" s="191"/>
      <c r="J213" s="19">
        <f t="shared" si="154"/>
        <v>0</v>
      </c>
      <c r="K213" s="167" t="s">
        <v>22</v>
      </c>
      <c r="L213" s="168">
        <v>0</v>
      </c>
      <c r="M213" s="168">
        <v>0</v>
      </c>
      <c r="N213" s="169">
        <f t="shared" si="155"/>
        <v>0</v>
      </c>
      <c r="O213" s="169">
        <f t="shared" si="156"/>
        <v>0</v>
      </c>
      <c r="P213" s="170">
        <f t="shared" si="157"/>
        <v>0</v>
      </c>
      <c r="Q213" s="335"/>
    </row>
    <row r="214" spans="1:17" ht="23.25" customHeight="1" x14ac:dyDescent="0.35">
      <c r="A214" s="18">
        <f t="shared" si="158"/>
        <v>196</v>
      </c>
      <c r="B214" s="26" t="s">
        <v>82</v>
      </c>
      <c r="C214" s="129" t="s">
        <v>83</v>
      </c>
      <c r="D214" s="72" t="s">
        <v>52</v>
      </c>
      <c r="E214" s="73" t="s">
        <v>60</v>
      </c>
      <c r="F214" s="73"/>
      <c r="G214" s="73" t="s">
        <v>60</v>
      </c>
      <c r="H214" s="73" t="s">
        <v>96</v>
      </c>
      <c r="I214" s="191"/>
      <c r="J214" s="19">
        <f t="shared" si="154"/>
        <v>0</v>
      </c>
      <c r="K214" s="167" t="s">
        <v>22</v>
      </c>
      <c r="L214" s="168">
        <v>0</v>
      </c>
      <c r="M214" s="168">
        <v>0</v>
      </c>
      <c r="N214" s="169">
        <f t="shared" si="155"/>
        <v>0</v>
      </c>
      <c r="O214" s="169">
        <f t="shared" si="156"/>
        <v>0</v>
      </c>
      <c r="P214" s="170">
        <f t="shared" si="157"/>
        <v>0</v>
      </c>
      <c r="Q214" s="335"/>
    </row>
    <row r="215" spans="1:17" ht="23.25" customHeight="1" x14ac:dyDescent="0.35">
      <c r="A215" s="18">
        <f t="shared" si="158"/>
        <v>197</v>
      </c>
      <c r="B215" s="26" t="s">
        <v>82</v>
      </c>
      <c r="C215" s="129" t="s">
        <v>83</v>
      </c>
      <c r="D215" s="72" t="s">
        <v>90</v>
      </c>
      <c r="E215" s="73" t="s">
        <v>60</v>
      </c>
      <c r="F215" s="73"/>
      <c r="G215" s="73" t="s">
        <v>60</v>
      </c>
      <c r="H215" s="73" t="s">
        <v>96</v>
      </c>
      <c r="I215" s="191"/>
      <c r="J215" s="19">
        <f t="shared" si="154"/>
        <v>0</v>
      </c>
      <c r="K215" s="167" t="s">
        <v>22</v>
      </c>
      <c r="L215" s="168">
        <v>0</v>
      </c>
      <c r="M215" s="168">
        <v>0</v>
      </c>
      <c r="N215" s="169">
        <f t="shared" si="155"/>
        <v>0</v>
      </c>
      <c r="O215" s="169">
        <f t="shared" si="156"/>
        <v>0</v>
      </c>
      <c r="P215" s="170">
        <f t="shared" si="157"/>
        <v>0</v>
      </c>
      <c r="Q215" s="335"/>
    </row>
    <row r="216" spans="1:17" ht="23.25" customHeight="1" x14ac:dyDescent="0.35">
      <c r="A216" s="18">
        <f t="shared" si="158"/>
        <v>198</v>
      </c>
      <c r="B216" s="26" t="s">
        <v>82</v>
      </c>
      <c r="C216" s="129" t="s">
        <v>83</v>
      </c>
      <c r="D216" s="72" t="s">
        <v>91</v>
      </c>
      <c r="E216" s="73" t="s">
        <v>60</v>
      </c>
      <c r="F216" s="73"/>
      <c r="G216" s="73" t="s">
        <v>60</v>
      </c>
      <c r="H216" s="73" t="s">
        <v>96</v>
      </c>
      <c r="I216" s="191"/>
      <c r="J216" s="19">
        <f t="shared" si="154"/>
        <v>0</v>
      </c>
      <c r="K216" s="167" t="s">
        <v>22</v>
      </c>
      <c r="L216" s="168">
        <v>0</v>
      </c>
      <c r="M216" s="168">
        <v>0</v>
      </c>
      <c r="N216" s="169">
        <f t="shared" si="155"/>
        <v>0</v>
      </c>
      <c r="O216" s="169">
        <f t="shared" si="156"/>
        <v>0</v>
      </c>
      <c r="P216" s="170">
        <f t="shared" si="157"/>
        <v>0</v>
      </c>
      <c r="Q216" s="335"/>
    </row>
    <row r="217" spans="1:17" ht="23.25" customHeight="1" x14ac:dyDescent="0.35">
      <c r="A217" s="18">
        <f t="shared" si="158"/>
        <v>199</v>
      </c>
      <c r="B217" s="26" t="s">
        <v>82</v>
      </c>
      <c r="C217" s="129" t="s">
        <v>83</v>
      </c>
      <c r="D217" s="72" t="s">
        <v>92</v>
      </c>
      <c r="E217" s="73" t="s">
        <v>60</v>
      </c>
      <c r="F217" s="73"/>
      <c r="G217" s="73" t="s">
        <v>60</v>
      </c>
      <c r="H217" s="73" t="s">
        <v>96</v>
      </c>
      <c r="I217" s="191"/>
      <c r="J217" s="19">
        <f t="shared" si="154"/>
        <v>0</v>
      </c>
      <c r="K217" s="167" t="s">
        <v>22</v>
      </c>
      <c r="L217" s="168">
        <v>0</v>
      </c>
      <c r="M217" s="168">
        <v>0</v>
      </c>
      <c r="N217" s="169">
        <f t="shared" si="155"/>
        <v>0</v>
      </c>
      <c r="O217" s="169">
        <f t="shared" si="156"/>
        <v>0</v>
      </c>
      <c r="P217" s="170">
        <f t="shared" si="157"/>
        <v>0</v>
      </c>
      <c r="Q217" s="335"/>
    </row>
    <row r="218" spans="1:17" ht="23.25" customHeight="1" x14ac:dyDescent="0.35">
      <c r="A218" s="18">
        <f t="shared" si="158"/>
        <v>200</v>
      </c>
      <c r="B218" s="26" t="s">
        <v>82</v>
      </c>
      <c r="C218" s="129" t="s">
        <v>83</v>
      </c>
      <c r="D218" s="72" t="s">
        <v>93</v>
      </c>
      <c r="E218" s="73" t="s">
        <v>60</v>
      </c>
      <c r="F218" s="73"/>
      <c r="G218" s="73" t="s">
        <v>60</v>
      </c>
      <c r="H218" s="73" t="s">
        <v>96</v>
      </c>
      <c r="I218" s="191"/>
      <c r="J218" s="19">
        <f t="shared" si="154"/>
        <v>0</v>
      </c>
      <c r="K218" s="167" t="s">
        <v>22</v>
      </c>
      <c r="L218" s="168">
        <v>0</v>
      </c>
      <c r="M218" s="168">
        <v>0</v>
      </c>
      <c r="N218" s="169">
        <f t="shared" si="155"/>
        <v>0</v>
      </c>
      <c r="O218" s="169">
        <f t="shared" si="156"/>
        <v>0</v>
      </c>
      <c r="P218" s="170">
        <f t="shared" si="157"/>
        <v>0</v>
      </c>
      <c r="Q218" s="335"/>
    </row>
    <row r="219" spans="1:17" ht="23.25" customHeight="1" x14ac:dyDescent="0.35">
      <c r="A219" s="18">
        <f t="shared" si="158"/>
        <v>201</v>
      </c>
      <c r="B219" s="26" t="s">
        <v>82</v>
      </c>
      <c r="C219" s="129" t="s">
        <v>83</v>
      </c>
      <c r="D219" s="72" t="s">
        <v>85</v>
      </c>
      <c r="E219" s="73" t="s">
        <v>60</v>
      </c>
      <c r="F219" s="73"/>
      <c r="G219" s="73" t="s">
        <v>86</v>
      </c>
      <c r="H219" s="73" t="s">
        <v>97</v>
      </c>
      <c r="I219" s="191"/>
      <c r="J219" s="19">
        <f t="shared" si="154"/>
        <v>0</v>
      </c>
      <c r="K219" s="167" t="s">
        <v>51</v>
      </c>
      <c r="L219" s="168">
        <v>0</v>
      </c>
      <c r="M219" s="168">
        <v>0</v>
      </c>
      <c r="N219" s="169">
        <f t="shared" si="155"/>
        <v>0</v>
      </c>
      <c r="O219" s="169">
        <f t="shared" si="156"/>
        <v>0</v>
      </c>
      <c r="P219" s="170">
        <f t="shared" si="157"/>
        <v>0</v>
      </c>
      <c r="Q219" s="335"/>
    </row>
    <row r="220" spans="1:17" ht="23.25" customHeight="1" x14ac:dyDescent="0.35">
      <c r="A220" s="18">
        <f t="shared" si="158"/>
        <v>202</v>
      </c>
      <c r="B220" s="26" t="s">
        <v>82</v>
      </c>
      <c r="C220" s="129" t="s">
        <v>83</v>
      </c>
      <c r="D220" s="72" t="s">
        <v>88</v>
      </c>
      <c r="E220" s="73" t="s">
        <v>60</v>
      </c>
      <c r="F220" s="73"/>
      <c r="G220" s="73" t="s">
        <v>89</v>
      </c>
      <c r="H220" s="73" t="s">
        <v>97</v>
      </c>
      <c r="I220" s="191"/>
      <c r="J220" s="19">
        <f t="shared" si="154"/>
        <v>0</v>
      </c>
      <c r="K220" s="167" t="s">
        <v>22</v>
      </c>
      <c r="L220" s="168">
        <v>0</v>
      </c>
      <c r="M220" s="168">
        <v>0</v>
      </c>
      <c r="N220" s="169">
        <f t="shared" si="155"/>
        <v>0</v>
      </c>
      <c r="O220" s="169">
        <f t="shared" si="156"/>
        <v>0</v>
      </c>
      <c r="P220" s="170">
        <f t="shared" si="157"/>
        <v>0</v>
      </c>
      <c r="Q220" s="335"/>
    </row>
    <row r="221" spans="1:17" ht="23.25" customHeight="1" x14ac:dyDescent="0.35">
      <c r="A221" s="18">
        <f t="shared" si="158"/>
        <v>203</v>
      </c>
      <c r="B221" s="26" t="s">
        <v>82</v>
      </c>
      <c r="C221" s="129" t="s">
        <v>83</v>
      </c>
      <c r="D221" s="72" t="s">
        <v>52</v>
      </c>
      <c r="E221" s="73" t="s">
        <v>60</v>
      </c>
      <c r="F221" s="73"/>
      <c r="G221" s="73" t="s">
        <v>60</v>
      </c>
      <c r="H221" s="73" t="s">
        <v>97</v>
      </c>
      <c r="I221" s="191"/>
      <c r="J221" s="19">
        <f t="shared" si="154"/>
        <v>0</v>
      </c>
      <c r="K221" s="167" t="s">
        <v>22</v>
      </c>
      <c r="L221" s="168">
        <v>0</v>
      </c>
      <c r="M221" s="168">
        <v>0</v>
      </c>
      <c r="N221" s="169">
        <f t="shared" si="155"/>
        <v>0</v>
      </c>
      <c r="O221" s="169">
        <f t="shared" si="156"/>
        <v>0</v>
      </c>
      <c r="P221" s="170">
        <f t="shared" si="157"/>
        <v>0</v>
      </c>
      <c r="Q221" s="335"/>
    </row>
    <row r="222" spans="1:17" ht="23.25" customHeight="1" x14ac:dyDescent="0.35">
      <c r="A222" s="18">
        <f t="shared" si="158"/>
        <v>204</v>
      </c>
      <c r="B222" s="26" t="s">
        <v>82</v>
      </c>
      <c r="C222" s="129" t="s">
        <v>83</v>
      </c>
      <c r="D222" s="72" t="s">
        <v>90</v>
      </c>
      <c r="E222" s="73" t="s">
        <v>60</v>
      </c>
      <c r="F222" s="73"/>
      <c r="G222" s="73" t="s">
        <v>60</v>
      </c>
      <c r="H222" s="73" t="s">
        <v>97</v>
      </c>
      <c r="I222" s="191"/>
      <c r="J222" s="19">
        <f t="shared" si="154"/>
        <v>0</v>
      </c>
      <c r="K222" s="167" t="s">
        <v>22</v>
      </c>
      <c r="L222" s="168">
        <v>0</v>
      </c>
      <c r="M222" s="168">
        <v>0</v>
      </c>
      <c r="N222" s="169">
        <f t="shared" si="155"/>
        <v>0</v>
      </c>
      <c r="O222" s="169">
        <f t="shared" si="156"/>
        <v>0</v>
      </c>
      <c r="P222" s="170">
        <f t="shared" si="157"/>
        <v>0</v>
      </c>
      <c r="Q222" s="335"/>
    </row>
    <row r="223" spans="1:17" ht="23.25" customHeight="1" x14ac:dyDescent="0.35">
      <c r="A223" s="18">
        <f t="shared" si="158"/>
        <v>205</v>
      </c>
      <c r="B223" s="26" t="s">
        <v>82</v>
      </c>
      <c r="C223" s="129" t="s">
        <v>83</v>
      </c>
      <c r="D223" s="72" t="s">
        <v>91</v>
      </c>
      <c r="E223" s="73" t="s">
        <v>60</v>
      </c>
      <c r="F223" s="73"/>
      <c r="G223" s="73" t="s">
        <v>60</v>
      </c>
      <c r="H223" s="73" t="s">
        <v>97</v>
      </c>
      <c r="I223" s="191"/>
      <c r="J223" s="19">
        <f t="shared" si="154"/>
        <v>0</v>
      </c>
      <c r="K223" s="167" t="s">
        <v>22</v>
      </c>
      <c r="L223" s="168">
        <v>0</v>
      </c>
      <c r="M223" s="168">
        <v>0</v>
      </c>
      <c r="N223" s="169">
        <f t="shared" si="155"/>
        <v>0</v>
      </c>
      <c r="O223" s="169">
        <f t="shared" si="156"/>
        <v>0</v>
      </c>
      <c r="P223" s="170">
        <f t="shared" si="157"/>
        <v>0</v>
      </c>
      <c r="Q223" s="335"/>
    </row>
    <row r="224" spans="1:17" ht="23.25" customHeight="1" x14ac:dyDescent="0.35">
      <c r="A224" s="18">
        <f t="shared" si="158"/>
        <v>206</v>
      </c>
      <c r="B224" s="26" t="s">
        <v>82</v>
      </c>
      <c r="C224" s="129" t="s">
        <v>83</v>
      </c>
      <c r="D224" s="72" t="s">
        <v>92</v>
      </c>
      <c r="E224" s="73" t="s">
        <v>60</v>
      </c>
      <c r="F224" s="73"/>
      <c r="G224" s="73" t="s">
        <v>60</v>
      </c>
      <c r="H224" s="73" t="s">
        <v>97</v>
      </c>
      <c r="I224" s="191"/>
      <c r="J224" s="19">
        <f t="shared" si="154"/>
        <v>0</v>
      </c>
      <c r="K224" s="167" t="s">
        <v>22</v>
      </c>
      <c r="L224" s="168">
        <v>0</v>
      </c>
      <c r="M224" s="168">
        <v>0</v>
      </c>
      <c r="N224" s="169">
        <f t="shared" si="155"/>
        <v>0</v>
      </c>
      <c r="O224" s="169">
        <f t="shared" si="156"/>
        <v>0</v>
      </c>
      <c r="P224" s="170">
        <f t="shared" si="157"/>
        <v>0</v>
      </c>
      <c r="Q224" s="335"/>
    </row>
    <row r="225" spans="1:17" ht="23.25" customHeight="1" x14ac:dyDescent="0.35">
      <c r="A225" s="18">
        <f t="shared" si="158"/>
        <v>207</v>
      </c>
      <c r="B225" s="26" t="s">
        <v>82</v>
      </c>
      <c r="C225" s="129" t="s">
        <v>83</v>
      </c>
      <c r="D225" s="72" t="s">
        <v>93</v>
      </c>
      <c r="E225" s="73" t="s">
        <v>60</v>
      </c>
      <c r="F225" s="73"/>
      <c r="G225" s="73" t="s">
        <v>60</v>
      </c>
      <c r="H225" s="73" t="s">
        <v>97</v>
      </c>
      <c r="I225" s="191"/>
      <c r="J225" s="19">
        <f t="shared" si="154"/>
        <v>0</v>
      </c>
      <c r="K225" s="167" t="s">
        <v>22</v>
      </c>
      <c r="L225" s="168">
        <v>0</v>
      </c>
      <c r="M225" s="168">
        <v>0</v>
      </c>
      <c r="N225" s="169">
        <f t="shared" si="155"/>
        <v>0</v>
      </c>
      <c r="O225" s="169">
        <f t="shared" si="156"/>
        <v>0</v>
      </c>
      <c r="P225" s="170">
        <f t="shared" si="157"/>
        <v>0</v>
      </c>
      <c r="Q225" s="335"/>
    </row>
    <row r="226" spans="1:17" ht="23.25" customHeight="1" x14ac:dyDescent="0.35">
      <c r="A226" s="18">
        <f t="shared" si="158"/>
        <v>208</v>
      </c>
      <c r="B226" s="26" t="s">
        <v>82</v>
      </c>
      <c r="C226" s="129" t="s">
        <v>83</v>
      </c>
      <c r="D226" s="72" t="s">
        <v>85</v>
      </c>
      <c r="E226" s="73" t="s">
        <v>60</v>
      </c>
      <c r="F226" s="73"/>
      <c r="G226" s="73" t="s">
        <v>86</v>
      </c>
      <c r="H226" s="73" t="s">
        <v>98</v>
      </c>
      <c r="I226" s="191"/>
      <c r="J226" s="19">
        <f t="shared" si="154"/>
        <v>0</v>
      </c>
      <c r="K226" s="167" t="s">
        <v>51</v>
      </c>
      <c r="L226" s="168">
        <v>0</v>
      </c>
      <c r="M226" s="168">
        <v>0</v>
      </c>
      <c r="N226" s="169">
        <f t="shared" si="155"/>
        <v>0</v>
      </c>
      <c r="O226" s="169">
        <f t="shared" si="156"/>
        <v>0</v>
      </c>
      <c r="P226" s="170">
        <f t="shared" si="157"/>
        <v>0</v>
      </c>
      <c r="Q226" s="335"/>
    </row>
    <row r="227" spans="1:17" ht="23.25" customHeight="1" x14ac:dyDescent="0.35">
      <c r="A227" s="18">
        <f t="shared" si="158"/>
        <v>209</v>
      </c>
      <c r="B227" s="26" t="s">
        <v>82</v>
      </c>
      <c r="C227" s="129" t="s">
        <v>83</v>
      </c>
      <c r="D227" s="72" t="s">
        <v>88</v>
      </c>
      <c r="E227" s="73" t="s">
        <v>60</v>
      </c>
      <c r="F227" s="73"/>
      <c r="G227" s="73" t="s">
        <v>89</v>
      </c>
      <c r="H227" s="73" t="s">
        <v>98</v>
      </c>
      <c r="I227" s="191"/>
      <c r="J227" s="19">
        <f t="shared" si="154"/>
        <v>0</v>
      </c>
      <c r="K227" s="167" t="s">
        <v>22</v>
      </c>
      <c r="L227" s="168">
        <v>0</v>
      </c>
      <c r="M227" s="168">
        <v>0</v>
      </c>
      <c r="N227" s="169">
        <f t="shared" si="155"/>
        <v>0</v>
      </c>
      <c r="O227" s="169">
        <f t="shared" si="156"/>
        <v>0</v>
      </c>
      <c r="P227" s="170">
        <f t="shared" si="157"/>
        <v>0</v>
      </c>
      <c r="Q227" s="335"/>
    </row>
    <row r="228" spans="1:17" ht="23.25" customHeight="1" x14ac:dyDescent="0.35">
      <c r="A228" s="18">
        <f t="shared" si="158"/>
        <v>210</v>
      </c>
      <c r="B228" s="26" t="s">
        <v>82</v>
      </c>
      <c r="C228" s="129" t="s">
        <v>83</v>
      </c>
      <c r="D228" s="72" t="s">
        <v>52</v>
      </c>
      <c r="E228" s="73" t="s">
        <v>60</v>
      </c>
      <c r="F228" s="73"/>
      <c r="G228" s="73" t="s">
        <v>60</v>
      </c>
      <c r="H228" s="73" t="s">
        <v>98</v>
      </c>
      <c r="I228" s="191"/>
      <c r="J228" s="19">
        <f t="shared" si="154"/>
        <v>0</v>
      </c>
      <c r="K228" s="167" t="s">
        <v>22</v>
      </c>
      <c r="L228" s="168">
        <v>0</v>
      </c>
      <c r="M228" s="168">
        <v>0</v>
      </c>
      <c r="N228" s="169">
        <f t="shared" si="155"/>
        <v>0</v>
      </c>
      <c r="O228" s="169">
        <f t="shared" si="156"/>
        <v>0</v>
      </c>
      <c r="P228" s="170">
        <f t="shared" si="157"/>
        <v>0</v>
      </c>
      <c r="Q228" s="335"/>
    </row>
    <row r="229" spans="1:17" ht="23.25" customHeight="1" x14ac:dyDescent="0.35">
      <c r="A229" s="18">
        <f t="shared" si="158"/>
        <v>211</v>
      </c>
      <c r="B229" s="26" t="s">
        <v>82</v>
      </c>
      <c r="C229" s="129" t="s">
        <v>83</v>
      </c>
      <c r="D229" s="72" t="s">
        <v>90</v>
      </c>
      <c r="E229" s="73" t="s">
        <v>60</v>
      </c>
      <c r="F229" s="73"/>
      <c r="G229" s="73" t="s">
        <v>60</v>
      </c>
      <c r="H229" s="73" t="s">
        <v>98</v>
      </c>
      <c r="I229" s="191"/>
      <c r="J229" s="19">
        <f t="shared" si="154"/>
        <v>0</v>
      </c>
      <c r="K229" s="167" t="s">
        <v>22</v>
      </c>
      <c r="L229" s="168">
        <v>0</v>
      </c>
      <c r="M229" s="168">
        <v>0</v>
      </c>
      <c r="N229" s="169">
        <f t="shared" si="155"/>
        <v>0</v>
      </c>
      <c r="O229" s="169">
        <f t="shared" si="156"/>
        <v>0</v>
      </c>
      <c r="P229" s="170">
        <f t="shared" si="157"/>
        <v>0</v>
      </c>
      <c r="Q229" s="335"/>
    </row>
    <row r="230" spans="1:17" ht="23.25" customHeight="1" x14ac:dyDescent="0.35">
      <c r="A230" s="18">
        <f t="shared" si="158"/>
        <v>212</v>
      </c>
      <c r="B230" s="26" t="s">
        <v>82</v>
      </c>
      <c r="C230" s="129" t="s">
        <v>83</v>
      </c>
      <c r="D230" s="72" t="s">
        <v>91</v>
      </c>
      <c r="E230" s="73" t="s">
        <v>60</v>
      </c>
      <c r="F230" s="73"/>
      <c r="G230" s="73" t="s">
        <v>60</v>
      </c>
      <c r="H230" s="73" t="s">
        <v>98</v>
      </c>
      <c r="I230" s="191"/>
      <c r="J230" s="19">
        <f t="shared" si="154"/>
        <v>0</v>
      </c>
      <c r="K230" s="167" t="s">
        <v>22</v>
      </c>
      <c r="L230" s="168">
        <v>0</v>
      </c>
      <c r="M230" s="168">
        <v>0</v>
      </c>
      <c r="N230" s="169">
        <f t="shared" si="155"/>
        <v>0</v>
      </c>
      <c r="O230" s="169">
        <f t="shared" si="156"/>
        <v>0</v>
      </c>
      <c r="P230" s="170">
        <f t="shared" si="157"/>
        <v>0</v>
      </c>
      <c r="Q230" s="335"/>
    </row>
    <row r="231" spans="1:17" ht="23.25" customHeight="1" x14ac:dyDescent="0.35">
      <c r="A231" s="18">
        <f t="shared" si="158"/>
        <v>213</v>
      </c>
      <c r="B231" s="26" t="s">
        <v>82</v>
      </c>
      <c r="C231" s="129" t="s">
        <v>83</v>
      </c>
      <c r="D231" s="72" t="s">
        <v>92</v>
      </c>
      <c r="E231" s="73" t="s">
        <v>60</v>
      </c>
      <c r="F231" s="73"/>
      <c r="G231" s="73" t="s">
        <v>60</v>
      </c>
      <c r="H231" s="73" t="s">
        <v>98</v>
      </c>
      <c r="I231" s="191"/>
      <c r="J231" s="19">
        <f t="shared" si="154"/>
        <v>0</v>
      </c>
      <c r="K231" s="167" t="s">
        <v>22</v>
      </c>
      <c r="L231" s="168">
        <v>0</v>
      </c>
      <c r="M231" s="168">
        <v>0</v>
      </c>
      <c r="N231" s="169">
        <f t="shared" si="155"/>
        <v>0</v>
      </c>
      <c r="O231" s="169">
        <f t="shared" si="156"/>
        <v>0</v>
      </c>
      <c r="P231" s="170">
        <f t="shared" si="157"/>
        <v>0</v>
      </c>
      <c r="Q231" s="335"/>
    </row>
    <row r="232" spans="1:17" ht="23.25" customHeight="1" x14ac:dyDescent="0.35">
      <c r="A232" s="18">
        <f t="shared" si="158"/>
        <v>214</v>
      </c>
      <c r="B232" s="26" t="s">
        <v>82</v>
      </c>
      <c r="C232" s="129" t="s">
        <v>83</v>
      </c>
      <c r="D232" s="72" t="s">
        <v>93</v>
      </c>
      <c r="E232" s="73" t="s">
        <v>60</v>
      </c>
      <c r="F232" s="73"/>
      <c r="G232" s="73" t="s">
        <v>60</v>
      </c>
      <c r="H232" s="73" t="s">
        <v>98</v>
      </c>
      <c r="I232" s="191"/>
      <c r="J232" s="19">
        <f t="shared" si="154"/>
        <v>0</v>
      </c>
      <c r="K232" s="167" t="s">
        <v>22</v>
      </c>
      <c r="L232" s="168">
        <v>0</v>
      </c>
      <c r="M232" s="168">
        <v>0</v>
      </c>
      <c r="N232" s="169">
        <f t="shared" si="155"/>
        <v>0</v>
      </c>
      <c r="O232" s="169">
        <f t="shared" si="156"/>
        <v>0</v>
      </c>
      <c r="P232" s="170">
        <f t="shared" si="157"/>
        <v>0</v>
      </c>
      <c r="Q232" s="335"/>
    </row>
    <row r="233" spans="1:17" ht="23.25" customHeight="1" x14ac:dyDescent="0.35">
      <c r="A233" s="18">
        <f t="shared" si="158"/>
        <v>215</v>
      </c>
      <c r="B233" s="26" t="s">
        <v>82</v>
      </c>
      <c r="C233" s="129" t="s">
        <v>83</v>
      </c>
      <c r="D233" s="72" t="s">
        <v>85</v>
      </c>
      <c r="E233" s="73" t="s">
        <v>60</v>
      </c>
      <c r="F233" s="73"/>
      <c r="G233" s="73" t="s">
        <v>86</v>
      </c>
      <c r="H233" s="73" t="s">
        <v>99</v>
      </c>
      <c r="I233" s="191"/>
      <c r="J233" s="19">
        <f t="shared" si="154"/>
        <v>0</v>
      </c>
      <c r="K233" s="167" t="s">
        <v>22</v>
      </c>
      <c r="L233" s="168">
        <v>0</v>
      </c>
      <c r="M233" s="168">
        <v>0</v>
      </c>
      <c r="N233" s="169">
        <f t="shared" si="155"/>
        <v>0</v>
      </c>
      <c r="O233" s="169">
        <f t="shared" si="156"/>
        <v>0</v>
      </c>
      <c r="P233" s="170">
        <f t="shared" si="157"/>
        <v>0</v>
      </c>
      <c r="Q233" s="335"/>
    </row>
    <row r="234" spans="1:17" ht="23.25" customHeight="1" x14ac:dyDescent="0.35">
      <c r="A234" s="18">
        <f t="shared" si="158"/>
        <v>216</v>
      </c>
      <c r="B234" s="26" t="s">
        <v>82</v>
      </c>
      <c r="C234" s="129" t="s">
        <v>83</v>
      </c>
      <c r="D234" s="72" t="s">
        <v>88</v>
      </c>
      <c r="E234" s="73" t="s">
        <v>60</v>
      </c>
      <c r="F234" s="73"/>
      <c r="G234" s="73" t="s">
        <v>89</v>
      </c>
      <c r="H234" s="73" t="s">
        <v>99</v>
      </c>
      <c r="I234" s="191"/>
      <c r="J234" s="19">
        <f t="shared" si="154"/>
        <v>0</v>
      </c>
      <c r="K234" s="167" t="s">
        <v>22</v>
      </c>
      <c r="L234" s="168">
        <v>0</v>
      </c>
      <c r="M234" s="168">
        <v>0</v>
      </c>
      <c r="N234" s="169">
        <f t="shared" si="155"/>
        <v>0</v>
      </c>
      <c r="O234" s="169">
        <f t="shared" si="156"/>
        <v>0</v>
      </c>
      <c r="P234" s="170">
        <f t="shared" si="157"/>
        <v>0</v>
      </c>
      <c r="Q234" s="335"/>
    </row>
    <row r="235" spans="1:17" ht="23.25" customHeight="1" x14ac:dyDescent="0.35">
      <c r="A235" s="18">
        <f t="shared" si="158"/>
        <v>217</v>
      </c>
      <c r="B235" s="26" t="s">
        <v>82</v>
      </c>
      <c r="C235" s="129" t="s">
        <v>83</v>
      </c>
      <c r="D235" s="72" t="s">
        <v>52</v>
      </c>
      <c r="E235" s="73" t="s">
        <v>60</v>
      </c>
      <c r="F235" s="73"/>
      <c r="G235" s="73" t="s">
        <v>60</v>
      </c>
      <c r="H235" s="73" t="s">
        <v>99</v>
      </c>
      <c r="I235" s="191"/>
      <c r="J235" s="19">
        <f t="shared" si="154"/>
        <v>0</v>
      </c>
      <c r="K235" s="167" t="s">
        <v>22</v>
      </c>
      <c r="L235" s="168">
        <v>0</v>
      </c>
      <c r="M235" s="168">
        <v>0</v>
      </c>
      <c r="N235" s="169">
        <f t="shared" si="155"/>
        <v>0</v>
      </c>
      <c r="O235" s="169">
        <f t="shared" si="156"/>
        <v>0</v>
      </c>
      <c r="P235" s="170">
        <f t="shared" si="157"/>
        <v>0</v>
      </c>
      <c r="Q235" s="335"/>
    </row>
    <row r="236" spans="1:17" ht="23.25" customHeight="1" x14ac:dyDescent="0.35">
      <c r="A236" s="18">
        <f t="shared" si="158"/>
        <v>218</v>
      </c>
      <c r="B236" s="26" t="s">
        <v>82</v>
      </c>
      <c r="C236" s="129" t="s">
        <v>83</v>
      </c>
      <c r="D236" s="72" t="s">
        <v>90</v>
      </c>
      <c r="E236" s="73" t="s">
        <v>60</v>
      </c>
      <c r="F236" s="73"/>
      <c r="G236" s="73" t="s">
        <v>60</v>
      </c>
      <c r="H236" s="73" t="s">
        <v>99</v>
      </c>
      <c r="I236" s="191"/>
      <c r="J236" s="19">
        <f t="shared" si="154"/>
        <v>0</v>
      </c>
      <c r="K236" s="167" t="s">
        <v>22</v>
      </c>
      <c r="L236" s="168">
        <v>0</v>
      </c>
      <c r="M236" s="168">
        <v>0</v>
      </c>
      <c r="N236" s="169">
        <f t="shared" si="155"/>
        <v>0</v>
      </c>
      <c r="O236" s="169">
        <f t="shared" si="156"/>
        <v>0</v>
      </c>
      <c r="P236" s="170">
        <f t="shared" si="157"/>
        <v>0</v>
      </c>
      <c r="Q236" s="335"/>
    </row>
    <row r="237" spans="1:17" ht="23.25" customHeight="1" x14ac:dyDescent="0.35">
      <c r="A237" s="18">
        <f t="shared" si="158"/>
        <v>219</v>
      </c>
      <c r="B237" s="26" t="s">
        <v>82</v>
      </c>
      <c r="C237" s="129" t="s">
        <v>83</v>
      </c>
      <c r="D237" s="72" t="s">
        <v>91</v>
      </c>
      <c r="E237" s="73" t="s">
        <v>60</v>
      </c>
      <c r="F237" s="73"/>
      <c r="G237" s="73" t="s">
        <v>60</v>
      </c>
      <c r="H237" s="73" t="s">
        <v>99</v>
      </c>
      <c r="I237" s="191"/>
      <c r="J237" s="19">
        <f t="shared" si="154"/>
        <v>0</v>
      </c>
      <c r="K237" s="167" t="s">
        <v>22</v>
      </c>
      <c r="L237" s="168">
        <v>0</v>
      </c>
      <c r="M237" s="168">
        <v>0</v>
      </c>
      <c r="N237" s="169">
        <f t="shared" si="155"/>
        <v>0</v>
      </c>
      <c r="O237" s="169">
        <f t="shared" si="156"/>
        <v>0</v>
      </c>
      <c r="P237" s="170">
        <f t="shared" si="157"/>
        <v>0</v>
      </c>
      <c r="Q237" s="335"/>
    </row>
    <row r="238" spans="1:17" ht="23.25" customHeight="1" x14ac:dyDescent="0.35">
      <c r="A238" s="18">
        <f t="shared" si="158"/>
        <v>220</v>
      </c>
      <c r="B238" s="26" t="s">
        <v>82</v>
      </c>
      <c r="C238" s="129" t="s">
        <v>83</v>
      </c>
      <c r="D238" s="72" t="s">
        <v>92</v>
      </c>
      <c r="E238" s="73" t="s">
        <v>60</v>
      </c>
      <c r="F238" s="73"/>
      <c r="G238" s="73" t="s">
        <v>60</v>
      </c>
      <c r="H238" s="73" t="s">
        <v>99</v>
      </c>
      <c r="I238" s="191"/>
      <c r="J238" s="19">
        <f t="shared" si="154"/>
        <v>0</v>
      </c>
      <c r="K238" s="167" t="s">
        <v>22</v>
      </c>
      <c r="L238" s="168">
        <v>0</v>
      </c>
      <c r="M238" s="168">
        <v>0</v>
      </c>
      <c r="N238" s="169">
        <f t="shared" si="155"/>
        <v>0</v>
      </c>
      <c r="O238" s="169">
        <f t="shared" si="156"/>
        <v>0</v>
      </c>
      <c r="P238" s="170">
        <f t="shared" si="157"/>
        <v>0</v>
      </c>
      <c r="Q238" s="335"/>
    </row>
    <row r="239" spans="1:17" ht="23.25" customHeight="1" x14ac:dyDescent="0.35">
      <c r="A239" s="18">
        <f t="shared" si="158"/>
        <v>221</v>
      </c>
      <c r="B239" s="26" t="s">
        <v>82</v>
      </c>
      <c r="C239" s="129" t="s">
        <v>83</v>
      </c>
      <c r="D239" s="72" t="s">
        <v>93</v>
      </c>
      <c r="E239" s="73" t="s">
        <v>60</v>
      </c>
      <c r="F239" s="73"/>
      <c r="G239" s="73" t="s">
        <v>60</v>
      </c>
      <c r="H239" s="73" t="s">
        <v>99</v>
      </c>
      <c r="I239" s="191"/>
      <c r="J239" s="19">
        <f t="shared" si="154"/>
        <v>0</v>
      </c>
      <c r="K239" s="167" t="s">
        <v>22</v>
      </c>
      <c r="L239" s="168">
        <v>0</v>
      </c>
      <c r="M239" s="168">
        <v>0</v>
      </c>
      <c r="N239" s="169">
        <f t="shared" si="155"/>
        <v>0</v>
      </c>
      <c r="O239" s="169">
        <f t="shared" si="156"/>
        <v>0</v>
      </c>
      <c r="P239" s="170">
        <f t="shared" si="157"/>
        <v>0</v>
      </c>
      <c r="Q239" s="335"/>
    </row>
    <row r="240" spans="1:17" ht="23.25" customHeight="1" x14ac:dyDescent="0.35">
      <c r="A240" s="18">
        <f t="shared" si="158"/>
        <v>222</v>
      </c>
      <c r="B240" s="26" t="s">
        <v>82</v>
      </c>
      <c r="C240" s="129" t="s">
        <v>83</v>
      </c>
      <c r="D240" s="72" t="s">
        <v>85</v>
      </c>
      <c r="E240" s="73" t="s">
        <v>60</v>
      </c>
      <c r="F240" s="73"/>
      <c r="G240" s="73" t="s">
        <v>86</v>
      </c>
      <c r="H240" s="73" t="s">
        <v>100</v>
      </c>
      <c r="I240" s="191"/>
      <c r="J240" s="19">
        <f t="shared" si="154"/>
        <v>0</v>
      </c>
      <c r="K240" s="167" t="s">
        <v>51</v>
      </c>
      <c r="L240" s="168">
        <v>0</v>
      </c>
      <c r="M240" s="168">
        <v>0</v>
      </c>
      <c r="N240" s="169">
        <f t="shared" si="155"/>
        <v>0</v>
      </c>
      <c r="O240" s="169">
        <f t="shared" si="156"/>
        <v>0</v>
      </c>
      <c r="P240" s="170">
        <f t="shared" si="157"/>
        <v>0</v>
      </c>
      <c r="Q240" s="335"/>
    </row>
    <row r="241" spans="1:17" ht="23.25" customHeight="1" x14ac:dyDescent="0.35">
      <c r="A241" s="18">
        <f t="shared" si="158"/>
        <v>223</v>
      </c>
      <c r="B241" s="26" t="s">
        <v>82</v>
      </c>
      <c r="C241" s="129" t="s">
        <v>83</v>
      </c>
      <c r="D241" s="72" t="s">
        <v>88</v>
      </c>
      <c r="E241" s="73" t="s">
        <v>60</v>
      </c>
      <c r="F241" s="73"/>
      <c r="G241" s="73" t="s">
        <v>89</v>
      </c>
      <c r="H241" s="73" t="s">
        <v>100</v>
      </c>
      <c r="I241" s="191"/>
      <c r="J241" s="19">
        <f t="shared" si="154"/>
        <v>0</v>
      </c>
      <c r="K241" s="167" t="s">
        <v>22</v>
      </c>
      <c r="L241" s="168">
        <v>0</v>
      </c>
      <c r="M241" s="168">
        <v>0</v>
      </c>
      <c r="N241" s="169">
        <f t="shared" si="155"/>
        <v>0</v>
      </c>
      <c r="O241" s="169">
        <f t="shared" si="156"/>
        <v>0</v>
      </c>
      <c r="P241" s="170">
        <f t="shared" si="157"/>
        <v>0</v>
      </c>
      <c r="Q241" s="335"/>
    </row>
    <row r="242" spans="1:17" ht="23.25" customHeight="1" x14ac:dyDescent="0.35">
      <c r="A242" s="18">
        <f t="shared" si="158"/>
        <v>224</v>
      </c>
      <c r="B242" s="26" t="s">
        <v>82</v>
      </c>
      <c r="C242" s="129" t="s">
        <v>83</v>
      </c>
      <c r="D242" s="72" t="s">
        <v>52</v>
      </c>
      <c r="E242" s="73" t="s">
        <v>60</v>
      </c>
      <c r="F242" s="73"/>
      <c r="G242" s="73" t="s">
        <v>60</v>
      </c>
      <c r="H242" s="73" t="s">
        <v>100</v>
      </c>
      <c r="I242" s="191"/>
      <c r="J242" s="19">
        <f t="shared" si="154"/>
        <v>0</v>
      </c>
      <c r="K242" s="167" t="s">
        <v>22</v>
      </c>
      <c r="L242" s="168">
        <v>0</v>
      </c>
      <c r="M242" s="168">
        <v>0</v>
      </c>
      <c r="N242" s="169">
        <f t="shared" si="155"/>
        <v>0</v>
      </c>
      <c r="O242" s="169">
        <f t="shared" si="156"/>
        <v>0</v>
      </c>
      <c r="P242" s="170">
        <f t="shared" si="157"/>
        <v>0</v>
      </c>
      <c r="Q242" s="335"/>
    </row>
    <row r="243" spans="1:17" ht="23.25" customHeight="1" x14ac:dyDescent="0.35">
      <c r="A243" s="18">
        <f t="shared" si="158"/>
        <v>225</v>
      </c>
      <c r="B243" s="26" t="s">
        <v>82</v>
      </c>
      <c r="C243" s="129" t="s">
        <v>83</v>
      </c>
      <c r="D243" s="72" t="s">
        <v>90</v>
      </c>
      <c r="E243" s="73" t="s">
        <v>60</v>
      </c>
      <c r="F243" s="73"/>
      <c r="G243" s="73" t="s">
        <v>60</v>
      </c>
      <c r="H243" s="73" t="s">
        <v>100</v>
      </c>
      <c r="I243" s="191"/>
      <c r="J243" s="19">
        <f t="shared" si="154"/>
        <v>0</v>
      </c>
      <c r="K243" s="167" t="s">
        <v>22</v>
      </c>
      <c r="L243" s="168">
        <v>0</v>
      </c>
      <c r="M243" s="168">
        <v>0</v>
      </c>
      <c r="N243" s="169">
        <f t="shared" si="155"/>
        <v>0</v>
      </c>
      <c r="O243" s="169">
        <f t="shared" si="156"/>
        <v>0</v>
      </c>
      <c r="P243" s="170">
        <f t="shared" si="157"/>
        <v>0</v>
      </c>
      <c r="Q243" s="335"/>
    </row>
    <row r="244" spans="1:17" ht="23.25" customHeight="1" x14ac:dyDescent="0.35">
      <c r="A244" s="18">
        <f t="shared" si="158"/>
        <v>226</v>
      </c>
      <c r="B244" s="26" t="s">
        <v>82</v>
      </c>
      <c r="C244" s="129" t="s">
        <v>83</v>
      </c>
      <c r="D244" s="72" t="s">
        <v>91</v>
      </c>
      <c r="E244" s="73" t="s">
        <v>60</v>
      </c>
      <c r="F244" s="73"/>
      <c r="G244" s="73" t="s">
        <v>60</v>
      </c>
      <c r="H244" s="73" t="s">
        <v>100</v>
      </c>
      <c r="I244" s="191"/>
      <c r="J244" s="19">
        <f t="shared" si="154"/>
        <v>0</v>
      </c>
      <c r="K244" s="167" t="s">
        <v>22</v>
      </c>
      <c r="L244" s="168">
        <v>0</v>
      </c>
      <c r="M244" s="168">
        <v>0</v>
      </c>
      <c r="N244" s="169">
        <f t="shared" si="155"/>
        <v>0</v>
      </c>
      <c r="O244" s="169">
        <f t="shared" si="156"/>
        <v>0</v>
      </c>
      <c r="P244" s="170">
        <f t="shared" si="157"/>
        <v>0</v>
      </c>
      <c r="Q244" s="335"/>
    </row>
    <row r="245" spans="1:17" ht="23.25" customHeight="1" x14ac:dyDescent="0.35">
      <c r="A245" s="18">
        <f t="shared" si="158"/>
        <v>227</v>
      </c>
      <c r="B245" s="26" t="s">
        <v>82</v>
      </c>
      <c r="C245" s="129" t="s">
        <v>83</v>
      </c>
      <c r="D245" s="72" t="s">
        <v>92</v>
      </c>
      <c r="E245" s="73" t="s">
        <v>60</v>
      </c>
      <c r="F245" s="73"/>
      <c r="G245" s="73" t="s">
        <v>60</v>
      </c>
      <c r="H245" s="73" t="s">
        <v>100</v>
      </c>
      <c r="I245" s="191"/>
      <c r="J245" s="19">
        <f t="shared" si="154"/>
        <v>0</v>
      </c>
      <c r="K245" s="167" t="s">
        <v>22</v>
      </c>
      <c r="L245" s="168">
        <v>0</v>
      </c>
      <c r="M245" s="168">
        <v>0</v>
      </c>
      <c r="N245" s="169">
        <f t="shared" si="155"/>
        <v>0</v>
      </c>
      <c r="O245" s="169">
        <f t="shared" si="156"/>
        <v>0</v>
      </c>
      <c r="P245" s="170">
        <f t="shared" si="157"/>
        <v>0</v>
      </c>
      <c r="Q245" s="335"/>
    </row>
    <row r="246" spans="1:17" ht="23.25" customHeight="1" x14ac:dyDescent="0.35">
      <c r="A246" s="18">
        <f t="shared" si="158"/>
        <v>228</v>
      </c>
      <c r="B246" s="26" t="s">
        <v>82</v>
      </c>
      <c r="C246" s="129" t="s">
        <v>83</v>
      </c>
      <c r="D246" s="72" t="s">
        <v>93</v>
      </c>
      <c r="E246" s="73" t="s">
        <v>60</v>
      </c>
      <c r="F246" s="73"/>
      <c r="G246" s="73" t="s">
        <v>60</v>
      </c>
      <c r="H246" s="73" t="s">
        <v>100</v>
      </c>
      <c r="I246" s="191"/>
      <c r="J246" s="19">
        <f t="shared" si="154"/>
        <v>0</v>
      </c>
      <c r="K246" s="167" t="s">
        <v>22</v>
      </c>
      <c r="L246" s="168">
        <v>0</v>
      </c>
      <c r="M246" s="168">
        <v>0</v>
      </c>
      <c r="N246" s="169">
        <f t="shared" si="155"/>
        <v>0</v>
      </c>
      <c r="O246" s="169">
        <f t="shared" si="156"/>
        <v>0</v>
      </c>
      <c r="P246" s="170">
        <f t="shared" si="157"/>
        <v>0</v>
      </c>
      <c r="Q246" s="335"/>
    </row>
    <row r="247" spans="1:17" ht="23.25" customHeight="1" x14ac:dyDescent="0.35">
      <c r="A247" s="18">
        <f t="shared" si="158"/>
        <v>229</v>
      </c>
      <c r="B247" s="26" t="s">
        <v>82</v>
      </c>
      <c r="C247" s="129" t="s">
        <v>83</v>
      </c>
      <c r="D247" s="72" t="s">
        <v>85</v>
      </c>
      <c r="E247" s="73" t="s">
        <v>60</v>
      </c>
      <c r="F247" s="73"/>
      <c r="G247" s="73" t="s">
        <v>86</v>
      </c>
      <c r="H247" s="73" t="s">
        <v>101</v>
      </c>
      <c r="I247" s="191"/>
      <c r="J247" s="19">
        <f t="shared" si="154"/>
        <v>0</v>
      </c>
      <c r="K247" s="167" t="s">
        <v>22</v>
      </c>
      <c r="L247" s="168">
        <v>0</v>
      </c>
      <c r="M247" s="168">
        <v>0</v>
      </c>
      <c r="N247" s="169">
        <f t="shared" si="155"/>
        <v>0</v>
      </c>
      <c r="O247" s="169">
        <f t="shared" si="156"/>
        <v>0</v>
      </c>
      <c r="P247" s="170">
        <f t="shared" si="157"/>
        <v>0</v>
      </c>
      <c r="Q247" s="335"/>
    </row>
    <row r="248" spans="1:17" ht="23.25" customHeight="1" x14ac:dyDescent="0.35">
      <c r="A248" s="18">
        <f t="shared" si="158"/>
        <v>230</v>
      </c>
      <c r="B248" s="26" t="s">
        <v>82</v>
      </c>
      <c r="C248" s="129" t="s">
        <v>83</v>
      </c>
      <c r="D248" s="72" t="s">
        <v>88</v>
      </c>
      <c r="E248" s="73" t="s">
        <v>60</v>
      </c>
      <c r="F248" s="73"/>
      <c r="G248" s="73" t="s">
        <v>89</v>
      </c>
      <c r="H248" s="73" t="s">
        <v>101</v>
      </c>
      <c r="I248" s="191"/>
      <c r="J248" s="19">
        <f t="shared" si="154"/>
        <v>0</v>
      </c>
      <c r="K248" s="167" t="s">
        <v>22</v>
      </c>
      <c r="L248" s="168">
        <v>0</v>
      </c>
      <c r="M248" s="168">
        <v>0</v>
      </c>
      <c r="N248" s="169">
        <f t="shared" si="155"/>
        <v>0</v>
      </c>
      <c r="O248" s="169">
        <f t="shared" si="156"/>
        <v>0</v>
      </c>
      <c r="P248" s="170">
        <f t="shared" si="157"/>
        <v>0</v>
      </c>
      <c r="Q248" s="335"/>
    </row>
    <row r="249" spans="1:17" ht="23.25" customHeight="1" x14ac:dyDescent="0.35">
      <c r="A249" s="18">
        <f t="shared" si="158"/>
        <v>231</v>
      </c>
      <c r="B249" s="26" t="s">
        <v>82</v>
      </c>
      <c r="C249" s="129" t="s">
        <v>83</v>
      </c>
      <c r="D249" s="72" t="s">
        <v>52</v>
      </c>
      <c r="E249" s="73" t="s">
        <v>60</v>
      </c>
      <c r="F249" s="73"/>
      <c r="G249" s="73" t="s">
        <v>60</v>
      </c>
      <c r="H249" s="73" t="s">
        <v>101</v>
      </c>
      <c r="I249" s="191"/>
      <c r="J249" s="19">
        <f t="shared" si="154"/>
        <v>0</v>
      </c>
      <c r="K249" s="167" t="s">
        <v>22</v>
      </c>
      <c r="L249" s="168">
        <v>0</v>
      </c>
      <c r="M249" s="168">
        <v>0</v>
      </c>
      <c r="N249" s="169">
        <f t="shared" si="155"/>
        <v>0</v>
      </c>
      <c r="O249" s="169">
        <f t="shared" si="156"/>
        <v>0</v>
      </c>
      <c r="P249" s="170">
        <f t="shared" si="157"/>
        <v>0</v>
      </c>
      <c r="Q249" s="335"/>
    </row>
    <row r="250" spans="1:17" ht="23.25" customHeight="1" x14ac:dyDescent="0.35">
      <c r="A250" s="18">
        <f t="shared" si="158"/>
        <v>232</v>
      </c>
      <c r="B250" s="26" t="s">
        <v>82</v>
      </c>
      <c r="C250" s="129" t="s">
        <v>83</v>
      </c>
      <c r="D250" s="72" t="s">
        <v>90</v>
      </c>
      <c r="E250" s="73" t="s">
        <v>60</v>
      </c>
      <c r="F250" s="73"/>
      <c r="G250" s="73" t="s">
        <v>60</v>
      </c>
      <c r="H250" s="73" t="s">
        <v>101</v>
      </c>
      <c r="I250" s="191"/>
      <c r="J250" s="19">
        <f t="shared" si="154"/>
        <v>0</v>
      </c>
      <c r="K250" s="167" t="s">
        <v>22</v>
      </c>
      <c r="L250" s="168">
        <v>0</v>
      </c>
      <c r="M250" s="168">
        <v>0</v>
      </c>
      <c r="N250" s="169">
        <f t="shared" si="155"/>
        <v>0</v>
      </c>
      <c r="O250" s="169">
        <f t="shared" si="156"/>
        <v>0</v>
      </c>
      <c r="P250" s="170">
        <f t="shared" si="157"/>
        <v>0</v>
      </c>
      <c r="Q250" s="335"/>
    </row>
    <row r="251" spans="1:17" ht="23.25" customHeight="1" x14ac:dyDescent="0.35">
      <c r="A251" s="18">
        <f t="shared" si="158"/>
        <v>233</v>
      </c>
      <c r="B251" s="26" t="s">
        <v>82</v>
      </c>
      <c r="C251" s="129" t="s">
        <v>83</v>
      </c>
      <c r="D251" s="72" t="s">
        <v>91</v>
      </c>
      <c r="E251" s="73" t="s">
        <v>60</v>
      </c>
      <c r="F251" s="73"/>
      <c r="G251" s="73" t="s">
        <v>60</v>
      </c>
      <c r="H251" s="73" t="s">
        <v>101</v>
      </c>
      <c r="I251" s="191"/>
      <c r="J251" s="19">
        <f t="shared" si="154"/>
        <v>0</v>
      </c>
      <c r="K251" s="167" t="s">
        <v>22</v>
      </c>
      <c r="L251" s="168">
        <v>0</v>
      </c>
      <c r="M251" s="168">
        <v>0</v>
      </c>
      <c r="N251" s="169">
        <f t="shared" si="155"/>
        <v>0</v>
      </c>
      <c r="O251" s="169">
        <f t="shared" si="156"/>
        <v>0</v>
      </c>
      <c r="P251" s="170">
        <f t="shared" si="157"/>
        <v>0</v>
      </c>
      <c r="Q251" s="335"/>
    </row>
    <row r="252" spans="1:17" ht="23.25" customHeight="1" x14ac:dyDescent="0.35">
      <c r="A252" s="18">
        <f t="shared" si="158"/>
        <v>234</v>
      </c>
      <c r="B252" s="26" t="s">
        <v>82</v>
      </c>
      <c r="C252" s="129" t="s">
        <v>83</v>
      </c>
      <c r="D252" s="72" t="s">
        <v>92</v>
      </c>
      <c r="E252" s="73" t="s">
        <v>60</v>
      </c>
      <c r="F252" s="73"/>
      <c r="G252" s="73" t="s">
        <v>60</v>
      </c>
      <c r="H252" s="73" t="s">
        <v>101</v>
      </c>
      <c r="I252" s="191"/>
      <c r="J252" s="19">
        <f t="shared" si="154"/>
        <v>0</v>
      </c>
      <c r="K252" s="167" t="s">
        <v>22</v>
      </c>
      <c r="L252" s="168">
        <v>0</v>
      </c>
      <c r="M252" s="168">
        <v>0</v>
      </c>
      <c r="N252" s="169">
        <f t="shared" si="155"/>
        <v>0</v>
      </c>
      <c r="O252" s="169">
        <f t="shared" si="156"/>
        <v>0</v>
      </c>
      <c r="P252" s="170">
        <f t="shared" si="157"/>
        <v>0</v>
      </c>
      <c r="Q252" s="335"/>
    </row>
    <row r="253" spans="1:17" ht="23.25" customHeight="1" x14ac:dyDescent="0.35">
      <c r="A253" s="18">
        <f t="shared" si="158"/>
        <v>235</v>
      </c>
      <c r="B253" s="26" t="s">
        <v>82</v>
      </c>
      <c r="C253" s="129" t="s">
        <v>83</v>
      </c>
      <c r="D253" s="72" t="s">
        <v>93</v>
      </c>
      <c r="E253" s="73" t="s">
        <v>60</v>
      </c>
      <c r="F253" s="73"/>
      <c r="G253" s="73" t="s">
        <v>60</v>
      </c>
      <c r="H253" s="73" t="s">
        <v>101</v>
      </c>
      <c r="I253" s="191"/>
      <c r="J253" s="19">
        <f t="shared" si="154"/>
        <v>0</v>
      </c>
      <c r="K253" s="167" t="s">
        <v>22</v>
      </c>
      <c r="L253" s="168">
        <v>0</v>
      </c>
      <c r="M253" s="168">
        <v>0</v>
      </c>
      <c r="N253" s="169">
        <f t="shared" si="155"/>
        <v>0</v>
      </c>
      <c r="O253" s="169">
        <f t="shared" si="156"/>
        <v>0</v>
      </c>
      <c r="P253" s="170">
        <f t="shared" si="157"/>
        <v>0</v>
      </c>
      <c r="Q253" s="335"/>
    </row>
    <row r="254" spans="1:17" ht="23.25" customHeight="1" x14ac:dyDescent="0.35">
      <c r="A254" s="18">
        <f t="shared" si="158"/>
        <v>236</v>
      </c>
      <c r="B254" s="26" t="s">
        <v>82</v>
      </c>
      <c r="C254" s="129" t="s">
        <v>83</v>
      </c>
      <c r="D254" s="72" t="s">
        <v>102</v>
      </c>
      <c r="E254" s="73" t="s">
        <v>103</v>
      </c>
      <c r="F254" s="73"/>
      <c r="G254" s="73" t="s">
        <v>104</v>
      </c>
      <c r="H254" s="73" t="s">
        <v>105</v>
      </c>
      <c r="I254" s="191"/>
      <c r="J254" s="19">
        <f t="shared" ref="J254:J263" si="159">I254</f>
        <v>0</v>
      </c>
      <c r="K254" s="167" t="s">
        <v>51</v>
      </c>
      <c r="L254" s="168">
        <v>0</v>
      </c>
      <c r="M254" s="168">
        <v>0</v>
      </c>
      <c r="N254" s="169">
        <f t="shared" ref="N254:N263" si="160">L254*J254</f>
        <v>0</v>
      </c>
      <c r="O254" s="169">
        <f t="shared" ref="O254:O263" si="161">M254*J254</f>
        <v>0</v>
      </c>
      <c r="P254" s="170">
        <f t="shared" ref="P254:P263" si="162">(L254*J254)+(M254*J254)</f>
        <v>0</v>
      </c>
      <c r="Q254" s="335"/>
    </row>
    <row r="255" spans="1:17" ht="23.25" customHeight="1" x14ac:dyDescent="0.35">
      <c r="A255" s="18">
        <f t="shared" si="158"/>
        <v>237</v>
      </c>
      <c r="B255" s="26" t="s">
        <v>82</v>
      </c>
      <c r="C255" s="129" t="s">
        <v>83</v>
      </c>
      <c r="D255" s="72" t="s">
        <v>102</v>
      </c>
      <c r="E255" s="73" t="s">
        <v>103</v>
      </c>
      <c r="F255" s="73"/>
      <c r="G255" s="73" t="s">
        <v>104</v>
      </c>
      <c r="H255" s="73" t="s">
        <v>106</v>
      </c>
      <c r="I255" s="191"/>
      <c r="J255" s="19">
        <f t="shared" si="159"/>
        <v>0</v>
      </c>
      <c r="K255" s="167" t="s">
        <v>51</v>
      </c>
      <c r="L255" s="168">
        <v>0</v>
      </c>
      <c r="M255" s="168">
        <v>0</v>
      </c>
      <c r="N255" s="169">
        <f t="shared" si="160"/>
        <v>0</v>
      </c>
      <c r="O255" s="169">
        <f t="shared" si="161"/>
        <v>0</v>
      </c>
      <c r="P255" s="170">
        <f t="shared" si="162"/>
        <v>0</v>
      </c>
      <c r="Q255" s="335"/>
    </row>
    <row r="256" spans="1:17" ht="23.25" customHeight="1" x14ac:dyDescent="0.35">
      <c r="A256" s="18">
        <f t="shared" si="158"/>
        <v>238</v>
      </c>
      <c r="B256" s="26" t="s">
        <v>82</v>
      </c>
      <c r="C256" s="129" t="s">
        <v>83</v>
      </c>
      <c r="D256" s="72" t="s">
        <v>102</v>
      </c>
      <c r="E256" s="73" t="s">
        <v>103</v>
      </c>
      <c r="F256" s="73"/>
      <c r="G256" s="73" t="s">
        <v>104</v>
      </c>
      <c r="H256" s="73" t="s">
        <v>55</v>
      </c>
      <c r="I256" s="191"/>
      <c r="J256" s="19">
        <f t="shared" si="159"/>
        <v>0</v>
      </c>
      <c r="K256" s="167" t="s">
        <v>51</v>
      </c>
      <c r="L256" s="168">
        <v>0</v>
      </c>
      <c r="M256" s="168">
        <v>0</v>
      </c>
      <c r="N256" s="169">
        <f t="shared" si="160"/>
        <v>0</v>
      </c>
      <c r="O256" s="169">
        <f t="shared" si="161"/>
        <v>0</v>
      </c>
      <c r="P256" s="170">
        <f t="shared" si="162"/>
        <v>0</v>
      </c>
      <c r="Q256" s="335"/>
    </row>
    <row r="257" spans="1:17" ht="23.25" customHeight="1" x14ac:dyDescent="0.35">
      <c r="A257" s="18">
        <f t="shared" ref="A257:A264" si="163">A256+1</f>
        <v>239</v>
      </c>
      <c r="B257" s="26" t="s">
        <v>82</v>
      </c>
      <c r="C257" s="129" t="s">
        <v>83</v>
      </c>
      <c r="D257" s="72" t="s">
        <v>107</v>
      </c>
      <c r="E257" s="73" t="s">
        <v>108</v>
      </c>
      <c r="F257" s="73"/>
      <c r="G257" s="73" t="s">
        <v>104</v>
      </c>
      <c r="H257" s="73" t="s">
        <v>105</v>
      </c>
      <c r="I257" s="191"/>
      <c r="J257" s="19">
        <f t="shared" si="159"/>
        <v>0</v>
      </c>
      <c r="K257" s="167" t="s">
        <v>51</v>
      </c>
      <c r="L257" s="168">
        <v>0</v>
      </c>
      <c r="M257" s="168">
        <v>0</v>
      </c>
      <c r="N257" s="169">
        <f t="shared" si="160"/>
        <v>0</v>
      </c>
      <c r="O257" s="169">
        <f t="shared" si="161"/>
        <v>0</v>
      </c>
      <c r="P257" s="170">
        <f t="shared" si="162"/>
        <v>0</v>
      </c>
      <c r="Q257" s="335"/>
    </row>
    <row r="258" spans="1:17" ht="23.25" customHeight="1" x14ac:dyDescent="0.35">
      <c r="A258" s="18">
        <f t="shared" si="163"/>
        <v>240</v>
      </c>
      <c r="B258" s="26" t="s">
        <v>82</v>
      </c>
      <c r="C258" s="129" t="s">
        <v>83</v>
      </c>
      <c r="D258" s="72" t="s">
        <v>107</v>
      </c>
      <c r="E258" s="73" t="s">
        <v>108</v>
      </c>
      <c r="F258" s="73"/>
      <c r="G258" s="73" t="s">
        <v>104</v>
      </c>
      <c r="H258" s="73" t="s">
        <v>106</v>
      </c>
      <c r="I258" s="191"/>
      <c r="J258" s="19">
        <f t="shared" si="159"/>
        <v>0</v>
      </c>
      <c r="K258" s="167" t="s">
        <v>51</v>
      </c>
      <c r="L258" s="168">
        <v>0</v>
      </c>
      <c r="M258" s="168">
        <v>0</v>
      </c>
      <c r="N258" s="169">
        <f t="shared" si="160"/>
        <v>0</v>
      </c>
      <c r="O258" s="169">
        <f t="shared" si="161"/>
        <v>0</v>
      </c>
      <c r="P258" s="170">
        <f t="shared" si="162"/>
        <v>0</v>
      </c>
      <c r="Q258" s="335"/>
    </row>
    <row r="259" spans="1:17" ht="23.25" customHeight="1" x14ac:dyDescent="0.35">
      <c r="A259" s="18">
        <f t="shared" si="163"/>
        <v>241</v>
      </c>
      <c r="B259" s="26" t="s">
        <v>82</v>
      </c>
      <c r="C259" s="129" t="s">
        <v>83</v>
      </c>
      <c r="D259" s="72" t="s">
        <v>107</v>
      </c>
      <c r="E259" s="73" t="s">
        <v>108</v>
      </c>
      <c r="F259" s="73"/>
      <c r="G259" s="73" t="s">
        <v>104</v>
      </c>
      <c r="H259" s="73" t="s">
        <v>55</v>
      </c>
      <c r="I259" s="191"/>
      <c r="J259" s="19">
        <f t="shared" si="159"/>
        <v>0</v>
      </c>
      <c r="K259" s="167" t="s">
        <v>51</v>
      </c>
      <c r="L259" s="168">
        <v>0</v>
      </c>
      <c r="M259" s="168">
        <v>0</v>
      </c>
      <c r="N259" s="169">
        <f t="shared" si="160"/>
        <v>0</v>
      </c>
      <c r="O259" s="169">
        <f t="shared" si="161"/>
        <v>0</v>
      </c>
      <c r="P259" s="170">
        <f t="shared" si="162"/>
        <v>0</v>
      </c>
      <c r="Q259" s="335"/>
    </row>
    <row r="260" spans="1:17" ht="23.25" customHeight="1" x14ac:dyDescent="0.35">
      <c r="A260" s="18">
        <f t="shared" si="163"/>
        <v>242</v>
      </c>
      <c r="B260" s="26" t="s">
        <v>82</v>
      </c>
      <c r="C260" s="129" t="s">
        <v>83</v>
      </c>
      <c r="D260" s="72" t="s">
        <v>109</v>
      </c>
      <c r="E260" s="73" t="s">
        <v>60</v>
      </c>
      <c r="F260" s="73"/>
      <c r="G260" s="73" t="s">
        <v>104</v>
      </c>
      <c r="H260" s="73" t="s">
        <v>105</v>
      </c>
      <c r="I260" s="191"/>
      <c r="J260" s="19">
        <f t="shared" si="159"/>
        <v>0</v>
      </c>
      <c r="K260" s="167" t="s">
        <v>22</v>
      </c>
      <c r="L260" s="168">
        <v>0</v>
      </c>
      <c r="M260" s="168">
        <v>0</v>
      </c>
      <c r="N260" s="169">
        <f t="shared" si="160"/>
        <v>0</v>
      </c>
      <c r="O260" s="169">
        <f t="shared" si="161"/>
        <v>0</v>
      </c>
      <c r="P260" s="170">
        <f t="shared" si="162"/>
        <v>0</v>
      </c>
      <c r="Q260" s="335"/>
    </row>
    <row r="261" spans="1:17" ht="23.25" customHeight="1" x14ac:dyDescent="0.35">
      <c r="A261" s="18">
        <f t="shared" si="163"/>
        <v>243</v>
      </c>
      <c r="B261" s="26" t="s">
        <v>82</v>
      </c>
      <c r="C261" s="129" t="s">
        <v>83</v>
      </c>
      <c r="D261" s="72" t="s">
        <v>109</v>
      </c>
      <c r="E261" s="73" t="s">
        <v>60</v>
      </c>
      <c r="F261" s="73"/>
      <c r="G261" s="73" t="s">
        <v>104</v>
      </c>
      <c r="H261" s="73" t="s">
        <v>106</v>
      </c>
      <c r="I261" s="191"/>
      <c r="J261" s="19">
        <f t="shared" si="159"/>
        <v>0</v>
      </c>
      <c r="K261" s="167" t="s">
        <v>22</v>
      </c>
      <c r="L261" s="168">
        <v>0</v>
      </c>
      <c r="M261" s="168">
        <v>0</v>
      </c>
      <c r="N261" s="169">
        <f t="shared" si="160"/>
        <v>0</v>
      </c>
      <c r="O261" s="169">
        <f t="shared" si="161"/>
        <v>0</v>
      </c>
      <c r="P261" s="170">
        <f t="shared" si="162"/>
        <v>0</v>
      </c>
      <c r="Q261" s="335"/>
    </row>
    <row r="262" spans="1:17" ht="23.25" customHeight="1" x14ac:dyDescent="0.35">
      <c r="A262" s="18">
        <f t="shared" si="163"/>
        <v>244</v>
      </c>
      <c r="B262" s="26" t="s">
        <v>82</v>
      </c>
      <c r="C262" s="129" t="s">
        <v>83</v>
      </c>
      <c r="D262" s="72" t="s">
        <v>109</v>
      </c>
      <c r="E262" s="73" t="s">
        <v>60</v>
      </c>
      <c r="F262" s="73"/>
      <c r="G262" s="73" t="s">
        <v>104</v>
      </c>
      <c r="H262" s="73" t="s">
        <v>55</v>
      </c>
      <c r="I262" s="191"/>
      <c r="J262" s="19">
        <f t="shared" si="159"/>
        <v>0</v>
      </c>
      <c r="K262" s="167" t="s">
        <v>22</v>
      </c>
      <c r="L262" s="168">
        <v>0</v>
      </c>
      <c r="M262" s="168">
        <v>0</v>
      </c>
      <c r="N262" s="169">
        <f t="shared" si="160"/>
        <v>0</v>
      </c>
      <c r="O262" s="169">
        <f t="shared" si="161"/>
        <v>0</v>
      </c>
      <c r="P262" s="170">
        <f t="shared" si="162"/>
        <v>0</v>
      </c>
      <c r="Q262" s="335"/>
    </row>
    <row r="263" spans="1:17" ht="23.25" customHeight="1" x14ac:dyDescent="0.35">
      <c r="A263" s="18">
        <f t="shared" si="163"/>
        <v>245</v>
      </c>
      <c r="B263" s="26" t="s">
        <v>82</v>
      </c>
      <c r="C263" s="83" t="s">
        <v>83</v>
      </c>
      <c r="D263" s="84" t="s">
        <v>110</v>
      </c>
      <c r="E263" s="85"/>
      <c r="F263" s="85"/>
      <c r="G263" s="85"/>
      <c r="H263" s="85"/>
      <c r="I263" s="191"/>
      <c r="J263" s="19">
        <f t="shared" si="159"/>
        <v>0</v>
      </c>
      <c r="K263" s="167" t="s">
        <v>22</v>
      </c>
      <c r="L263" s="168">
        <v>0</v>
      </c>
      <c r="M263" s="168">
        <v>0</v>
      </c>
      <c r="N263" s="169">
        <f t="shared" si="160"/>
        <v>0</v>
      </c>
      <c r="O263" s="169">
        <f t="shared" si="161"/>
        <v>0</v>
      </c>
      <c r="P263" s="170">
        <f t="shared" si="162"/>
        <v>0</v>
      </c>
      <c r="Q263" s="335"/>
    </row>
    <row r="264" spans="1:17" ht="23.25" customHeight="1" x14ac:dyDescent="0.35">
      <c r="A264" s="18">
        <f t="shared" si="163"/>
        <v>246</v>
      </c>
      <c r="B264" s="26" t="s">
        <v>82</v>
      </c>
      <c r="C264" s="83" t="s">
        <v>83</v>
      </c>
      <c r="D264" s="43" t="s">
        <v>358</v>
      </c>
      <c r="E264" s="5"/>
      <c r="F264" s="5"/>
      <c r="G264" s="5"/>
      <c r="H264" s="5"/>
      <c r="I264" s="20"/>
      <c r="J264" s="19">
        <f>I264</f>
        <v>0</v>
      </c>
      <c r="K264" s="171"/>
      <c r="L264" s="168">
        <v>0</v>
      </c>
      <c r="M264" s="168">
        <v>0</v>
      </c>
      <c r="N264" s="169">
        <f>L264*J264</f>
        <v>0</v>
      </c>
      <c r="O264" s="169">
        <f>M264*J264</f>
        <v>0</v>
      </c>
      <c r="P264" s="170">
        <f>(L264*J264)+(M264*J264)</f>
        <v>0</v>
      </c>
      <c r="Q264" s="326"/>
    </row>
    <row r="265" spans="1:17" ht="23.25" customHeight="1" thickBot="1" x14ac:dyDescent="0.4">
      <c r="A265" s="29">
        <f>A264+1</f>
        <v>247</v>
      </c>
      <c r="B265" s="36" t="s">
        <v>82</v>
      </c>
      <c r="C265" s="46" t="s">
        <v>83</v>
      </c>
      <c r="D265" s="44" t="s">
        <v>358</v>
      </c>
      <c r="E265" s="6"/>
      <c r="F265" s="6"/>
      <c r="G265" s="6"/>
      <c r="H265" s="6"/>
      <c r="I265" s="21"/>
      <c r="J265" s="22">
        <f>I265</f>
        <v>0</v>
      </c>
      <c r="K265" s="172"/>
      <c r="L265" s="173">
        <v>0</v>
      </c>
      <c r="M265" s="173">
        <v>0</v>
      </c>
      <c r="N265" s="174">
        <f>L265*J265</f>
        <v>0</v>
      </c>
      <c r="O265" s="174">
        <f>M265*J265</f>
        <v>0</v>
      </c>
      <c r="P265" s="175">
        <f>(L265*J265)+(M265*J265)</f>
        <v>0</v>
      </c>
      <c r="Q265" s="327"/>
    </row>
    <row r="266" spans="1:17" ht="23.25" customHeight="1" thickBot="1" x14ac:dyDescent="0.4">
      <c r="A266" s="37"/>
      <c r="B266" s="51" t="s">
        <v>82</v>
      </c>
      <c r="C266" s="130" t="s">
        <v>111</v>
      </c>
      <c r="D266" s="209" t="s">
        <v>111</v>
      </c>
      <c r="E266" s="210"/>
      <c r="F266" s="210"/>
      <c r="G266" s="210"/>
      <c r="H266" s="211"/>
      <c r="I266" s="212"/>
      <c r="J266" s="213"/>
      <c r="K266" s="214"/>
      <c r="L266" s="215"/>
      <c r="M266" s="215"/>
      <c r="N266" s="216"/>
      <c r="O266" s="216"/>
      <c r="P266" s="217"/>
      <c r="Q266" s="340"/>
    </row>
    <row r="267" spans="1:17" ht="23.25" customHeight="1" x14ac:dyDescent="0.35">
      <c r="A267" s="28">
        <f>A265+1</f>
        <v>248</v>
      </c>
      <c r="B267" s="56" t="s">
        <v>82</v>
      </c>
      <c r="C267" s="131" t="s">
        <v>111</v>
      </c>
      <c r="D267" s="218" t="s">
        <v>40</v>
      </c>
      <c r="E267" s="70" t="s">
        <v>31</v>
      </c>
      <c r="F267" s="70"/>
      <c r="G267" s="70" t="s">
        <v>32</v>
      </c>
      <c r="H267" s="70" t="s">
        <v>112</v>
      </c>
      <c r="I267" s="219"/>
      <c r="J267" s="25">
        <f t="shared" ref="J267:J283" si="164">I267</f>
        <v>0</v>
      </c>
      <c r="K267" s="163" t="s">
        <v>51</v>
      </c>
      <c r="L267" s="164">
        <v>0</v>
      </c>
      <c r="M267" s="164">
        <v>0</v>
      </c>
      <c r="N267" s="165">
        <f t="shared" ref="N267:N283" si="165">L267*J267</f>
        <v>0</v>
      </c>
      <c r="O267" s="165">
        <f t="shared" ref="O267:O283" si="166">M267*J267</f>
        <v>0</v>
      </c>
      <c r="P267" s="166">
        <f t="shared" ref="P267:P283" si="167">(L267*J267)+(M267*J267)</f>
        <v>0</v>
      </c>
      <c r="Q267" s="341"/>
    </row>
    <row r="268" spans="1:17" ht="23.25" customHeight="1" x14ac:dyDescent="0.35">
      <c r="A268" s="27">
        <f>A267+1</f>
        <v>249</v>
      </c>
      <c r="B268" s="50" t="s">
        <v>82</v>
      </c>
      <c r="C268" s="132" t="s">
        <v>111</v>
      </c>
      <c r="D268" s="220" t="s">
        <v>493</v>
      </c>
      <c r="E268" s="73" t="s">
        <v>31</v>
      </c>
      <c r="F268" s="73"/>
      <c r="G268" s="73" t="s">
        <v>32</v>
      </c>
      <c r="H268" s="73" t="s">
        <v>112</v>
      </c>
      <c r="I268" s="219"/>
      <c r="J268" s="19">
        <f t="shared" ref="J268:J270" si="168">I268</f>
        <v>0</v>
      </c>
      <c r="K268" s="167" t="s">
        <v>22</v>
      </c>
      <c r="L268" s="168">
        <v>0</v>
      </c>
      <c r="M268" s="168">
        <v>0</v>
      </c>
      <c r="N268" s="169">
        <f t="shared" ref="N268" si="169">L268*J268</f>
        <v>0</v>
      </c>
      <c r="O268" s="169">
        <f t="shared" ref="O268" si="170">M268*J268</f>
        <v>0</v>
      </c>
      <c r="P268" s="170">
        <f t="shared" ref="P268" si="171">(L268*J268)+(M268*J268)</f>
        <v>0</v>
      </c>
      <c r="Q268" s="341"/>
    </row>
    <row r="269" spans="1:17" ht="23.25" customHeight="1" x14ac:dyDescent="0.35">
      <c r="A269" s="27">
        <f t="shared" ref="A269:A284" si="172">A268+1</f>
        <v>250</v>
      </c>
      <c r="B269" s="50" t="s">
        <v>82</v>
      </c>
      <c r="C269" s="132" t="s">
        <v>111</v>
      </c>
      <c r="D269" s="220" t="s">
        <v>53</v>
      </c>
      <c r="E269" s="73" t="s">
        <v>31</v>
      </c>
      <c r="F269" s="73"/>
      <c r="G269" s="73" t="s">
        <v>32</v>
      </c>
      <c r="H269" s="73" t="s">
        <v>112</v>
      </c>
      <c r="I269" s="219"/>
      <c r="J269" s="19">
        <f t="shared" si="168"/>
        <v>0</v>
      </c>
      <c r="K269" s="167" t="s">
        <v>22</v>
      </c>
      <c r="L269" s="168">
        <v>0</v>
      </c>
      <c r="M269" s="168">
        <v>0</v>
      </c>
      <c r="N269" s="169">
        <f t="shared" ref="N269:N270" si="173">L269*J269</f>
        <v>0</v>
      </c>
      <c r="O269" s="169">
        <f t="shared" ref="O269:O270" si="174">M269*J269</f>
        <v>0</v>
      </c>
      <c r="P269" s="170">
        <f t="shared" ref="P269:P270" si="175">(L269*J269)+(M269*J269)</f>
        <v>0</v>
      </c>
      <c r="Q269" s="341"/>
    </row>
    <row r="270" spans="1:17" ht="23.25" customHeight="1" x14ac:dyDescent="0.35">
      <c r="A270" s="27">
        <f t="shared" si="172"/>
        <v>251</v>
      </c>
      <c r="B270" s="50" t="s">
        <v>82</v>
      </c>
      <c r="C270" s="132" t="s">
        <v>111</v>
      </c>
      <c r="D270" s="220" t="s">
        <v>91</v>
      </c>
      <c r="E270" s="73" t="s">
        <v>31</v>
      </c>
      <c r="F270" s="73"/>
      <c r="G270" s="73" t="s">
        <v>32</v>
      </c>
      <c r="H270" s="73" t="s">
        <v>112</v>
      </c>
      <c r="I270" s="219"/>
      <c r="J270" s="19">
        <f t="shared" si="168"/>
        <v>0</v>
      </c>
      <c r="K270" s="167" t="s">
        <v>22</v>
      </c>
      <c r="L270" s="168">
        <v>0</v>
      </c>
      <c r="M270" s="168">
        <v>0</v>
      </c>
      <c r="N270" s="169">
        <f t="shared" si="173"/>
        <v>0</v>
      </c>
      <c r="O270" s="169">
        <f t="shared" si="174"/>
        <v>0</v>
      </c>
      <c r="P270" s="170">
        <f t="shared" si="175"/>
        <v>0</v>
      </c>
      <c r="Q270" s="341"/>
    </row>
    <row r="271" spans="1:17" ht="23.25" customHeight="1" x14ac:dyDescent="0.35">
      <c r="A271" s="27">
        <f t="shared" si="172"/>
        <v>252</v>
      </c>
      <c r="B271" s="50" t="s">
        <v>82</v>
      </c>
      <c r="C271" s="132" t="s">
        <v>111</v>
      </c>
      <c r="D271" s="220" t="s">
        <v>494</v>
      </c>
      <c r="E271" s="73" t="s">
        <v>31</v>
      </c>
      <c r="F271" s="73"/>
      <c r="G271" s="73" t="s">
        <v>32</v>
      </c>
      <c r="H271" s="73" t="s">
        <v>112</v>
      </c>
      <c r="I271" s="191"/>
      <c r="J271" s="19">
        <f t="shared" si="164"/>
        <v>0</v>
      </c>
      <c r="K271" s="167" t="s">
        <v>22</v>
      </c>
      <c r="L271" s="168">
        <v>0</v>
      </c>
      <c r="M271" s="168">
        <v>0</v>
      </c>
      <c r="N271" s="169">
        <f t="shared" si="165"/>
        <v>0</v>
      </c>
      <c r="O271" s="169">
        <f t="shared" si="166"/>
        <v>0</v>
      </c>
      <c r="P271" s="170">
        <f t="shared" si="167"/>
        <v>0</v>
      </c>
      <c r="Q271" s="335"/>
    </row>
    <row r="272" spans="1:17" ht="23.25" customHeight="1" x14ac:dyDescent="0.35">
      <c r="A272" s="27">
        <f t="shared" si="172"/>
        <v>253</v>
      </c>
      <c r="B272" s="50" t="s">
        <v>82</v>
      </c>
      <c r="C272" s="132" t="s">
        <v>111</v>
      </c>
      <c r="D272" s="220" t="s">
        <v>40</v>
      </c>
      <c r="E272" s="73" t="s">
        <v>113</v>
      </c>
      <c r="F272" s="73"/>
      <c r="G272" s="73" t="s">
        <v>32</v>
      </c>
      <c r="H272" s="73" t="s">
        <v>112</v>
      </c>
      <c r="I272" s="191"/>
      <c r="J272" s="19">
        <f t="shared" si="164"/>
        <v>0</v>
      </c>
      <c r="K272" s="167" t="s">
        <v>51</v>
      </c>
      <c r="L272" s="168">
        <v>0</v>
      </c>
      <c r="M272" s="168">
        <v>0</v>
      </c>
      <c r="N272" s="169">
        <f t="shared" si="165"/>
        <v>0</v>
      </c>
      <c r="O272" s="169">
        <f t="shared" si="166"/>
        <v>0</v>
      </c>
      <c r="P272" s="170">
        <f t="shared" si="167"/>
        <v>0</v>
      </c>
      <c r="Q272" s="335"/>
    </row>
    <row r="273" spans="1:17" ht="23.25" customHeight="1" x14ac:dyDescent="0.35">
      <c r="A273" s="27">
        <f t="shared" si="172"/>
        <v>254</v>
      </c>
      <c r="B273" s="50" t="s">
        <v>82</v>
      </c>
      <c r="C273" s="132" t="s">
        <v>111</v>
      </c>
      <c r="D273" s="220" t="s">
        <v>493</v>
      </c>
      <c r="E273" s="73" t="s">
        <v>113</v>
      </c>
      <c r="F273" s="73"/>
      <c r="G273" s="73" t="s">
        <v>32</v>
      </c>
      <c r="H273" s="73" t="s">
        <v>112</v>
      </c>
      <c r="I273" s="191"/>
      <c r="J273" s="19">
        <f t="shared" si="164"/>
        <v>0</v>
      </c>
      <c r="K273" s="167" t="s">
        <v>22</v>
      </c>
      <c r="L273" s="168">
        <v>0</v>
      </c>
      <c r="M273" s="168">
        <v>0</v>
      </c>
      <c r="N273" s="169">
        <f t="shared" si="165"/>
        <v>0</v>
      </c>
      <c r="O273" s="169">
        <f t="shared" si="166"/>
        <v>0</v>
      </c>
      <c r="P273" s="170">
        <f t="shared" si="167"/>
        <v>0</v>
      </c>
      <c r="Q273" s="335"/>
    </row>
    <row r="274" spans="1:17" ht="23.25" customHeight="1" x14ac:dyDescent="0.35">
      <c r="A274" s="27">
        <f t="shared" si="172"/>
        <v>255</v>
      </c>
      <c r="B274" s="50" t="s">
        <v>82</v>
      </c>
      <c r="C274" s="132" t="s">
        <v>111</v>
      </c>
      <c r="D274" s="220" t="s">
        <v>53</v>
      </c>
      <c r="E274" s="73" t="s">
        <v>113</v>
      </c>
      <c r="F274" s="73"/>
      <c r="G274" s="73" t="s">
        <v>32</v>
      </c>
      <c r="H274" s="73" t="s">
        <v>112</v>
      </c>
      <c r="I274" s="191"/>
      <c r="J274" s="19">
        <f t="shared" si="164"/>
        <v>0</v>
      </c>
      <c r="K274" s="167" t="s">
        <v>22</v>
      </c>
      <c r="L274" s="168">
        <v>0</v>
      </c>
      <c r="M274" s="168">
        <v>0</v>
      </c>
      <c r="N274" s="169">
        <f t="shared" si="165"/>
        <v>0</v>
      </c>
      <c r="O274" s="169">
        <f t="shared" si="166"/>
        <v>0</v>
      </c>
      <c r="P274" s="170">
        <f t="shared" si="167"/>
        <v>0</v>
      </c>
      <c r="Q274" s="335"/>
    </row>
    <row r="275" spans="1:17" ht="23.25" customHeight="1" x14ac:dyDescent="0.35">
      <c r="A275" s="27">
        <f t="shared" si="172"/>
        <v>256</v>
      </c>
      <c r="B275" s="50" t="s">
        <v>82</v>
      </c>
      <c r="C275" s="132" t="s">
        <v>111</v>
      </c>
      <c r="D275" s="220" t="s">
        <v>91</v>
      </c>
      <c r="E275" s="73" t="s">
        <v>113</v>
      </c>
      <c r="F275" s="73"/>
      <c r="G275" s="73" t="s">
        <v>32</v>
      </c>
      <c r="H275" s="73" t="s">
        <v>112</v>
      </c>
      <c r="I275" s="191"/>
      <c r="J275" s="19">
        <f t="shared" si="164"/>
        <v>0</v>
      </c>
      <c r="K275" s="167" t="s">
        <v>22</v>
      </c>
      <c r="L275" s="168">
        <v>0</v>
      </c>
      <c r="M275" s="168">
        <v>0</v>
      </c>
      <c r="N275" s="169">
        <f t="shared" si="165"/>
        <v>0</v>
      </c>
      <c r="O275" s="169">
        <f t="shared" si="166"/>
        <v>0</v>
      </c>
      <c r="P275" s="170">
        <f t="shared" si="167"/>
        <v>0</v>
      </c>
      <c r="Q275" s="335"/>
    </row>
    <row r="276" spans="1:17" ht="23.25" customHeight="1" x14ac:dyDescent="0.35">
      <c r="A276" s="27">
        <f t="shared" si="172"/>
        <v>257</v>
      </c>
      <c r="B276" s="50" t="s">
        <v>82</v>
      </c>
      <c r="C276" s="132" t="s">
        <v>111</v>
      </c>
      <c r="D276" s="220" t="s">
        <v>494</v>
      </c>
      <c r="E276" s="73" t="s">
        <v>113</v>
      </c>
      <c r="F276" s="73"/>
      <c r="G276" s="73" t="s">
        <v>32</v>
      </c>
      <c r="H276" s="73" t="s">
        <v>112</v>
      </c>
      <c r="I276" s="191"/>
      <c r="J276" s="19">
        <f t="shared" si="164"/>
        <v>0</v>
      </c>
      <c r="K276" s="167" t="s">
        <v>22</v>
      </c>
      <c r="L276" s="168">
        <v>0</v>
      </c>
      <c r="M276" s="168">
        <v>0</v>
      </c>
      <c r="N276" s="169">
        <f t="shared" si="165"/>
        <v>0</v>
      </c>
      <c r="O276" s="169">
        <f t="shared" si="166"/>
        <v>0</v>
      </c>
      <c r="P276" s="170">
        <f t="shared" si="167"/>
        <v>0</v>
      </c>
      <c r="Q276" s="335"/>
    </row>
    <row r="277" spans="1:17" ht="23.25" customHeight="1" x14ac:dyDescent="0.35">
      <c r="A277" s="27">
        <f t="shared" si="172"/>
        <v>258</v>
      </c>
      <c r="B277" s="50" t="s">
        <v>82</v>
      </c>
      <c r="C277" s="132" t="s">
        <v>111</v>
      </c>
      <c r="D277" s="221" t="s">
        <v>102</v>
      </c>
      <c r="E277" s="79" t="s">
        <v>103</v>
      </c>
      <c r="F277" s="79"/>
      <c r="G277" s="79" t="s">
        <v>32</v>
      </c>
      <c r="H277" s="79" t="s">
        <v>495</v>
      </c>
      <c r="I277" s="191"/>
      <c r="J277" s="19">
        <f t="shared" si="164"/>
        <v>0</v>
      </c>
      <c r="K277" s="167" t="s">
        <v>51</v>
      </c>
      <c r="L277" s="168">
        <v>0</v>
      </c>
      <c r="M277" s="168">
        <v>0</v>
      </c>
      <c r="N277" s="169">
        <f t="shared" si="165"/>
        <v>0</v>
      </c>
      <c r="O277" s="169">
        <f t="shared" si="166"/>
        <v>0</v>
      </c>
      <c r="P277" s="170">
        <f t="shared" si="167"/>
        <v>0</v>
      </c>
      <c r="Q277" s="335"/>
    </row>
    <row r="278" spans="1:17" ht="23.25" customHeight="1" x14ac:dyDescent="0.35">
      <c r="A278" s="27">
        <f t="shared" si="172"/>
        <v>259</v>
      </c>
      <c r="B278" s="50" t="s">
        <v>82</v>
      </c>
      <c r="C278" s="132" t="s">
        <v>111</v>
      </c>
      <c r="D278" s="221" t="s">
        <v>102</v>
      </c>
      <c r="E278" s="79" t="s">
        <v>103</v>
      </c>
      <c r="F278" s="79"/>
      <c r="G278" s="79" t="s">
        <v>32</v>
      </c>
      <c r="H278" s="79" t="s">
        <v>106</v>
      </c>
      <c r="I278" s="191"/>
      <c r="J278" s="19">
        <f t="shared" si="164"/>
        <v>0</v>
      </c>
      <c r="K278" s="167" t="s">
        <v>51</v>
      </c>
      <c r="L278" s="168">
        <v>0</v>
      </c>
      <c r="M278" s="168">
        <v>0</v>
      </c>
      <c r="N278" s="169">
        <f t="shared" si="165"/>
        <v>0</v>
      </c>
      <c r="O278" s="169">
        <f t="shared" si="166"/>
        <v>0</v>
      </c>
      <c r="P278" s="170">
        <f t="shared" si="167"/>
        <v>0</v>
      </c>
      <c r="Q278" s="335"/>
    </row>
    <row r="279" spans="1:17" ht="23.25" customHeight="1" x14ac:dyDescent="0.35">
      <c r="A279" s="27">
        <f t="shared" si="172"/>
        <v>260</v>
      </c>
      <c r="B279" s="50" t="s">
        <v>82</v>
      </c>
      <c r="C279" s="132" t="s">
        <v>111</v>
      </c>
      <c r="D279" s="221" t="s">
        <v>102</v>
      </c>
      <c r="E279" s="79" t="s">
        <v>103</v>
      </c>
      <c r="F279" s="79"/>
      <c r="G279" s="79" t="s">
        <v>32</v>
      </c>
      <c r="H279" s="79" t="s">
        <v>496</v>
      </c>
      <c r="I279" s="191"/>
      <c r="J279" s="19">
        <f t="shared" si="164"/>
        <v>0</v>
      </c>
      <c r="K279" s="167" t="s">
        <v>51</v>
      </c>
      <c r="L279" s="168">
        <v>0</v>
      </c>
      <c r="M279" s="168">
        <v>0</v>
      </c>
      <c r="N279" s="169">
        <f t="shared" si="165"/>
        <v>0</v>
      </c>
      <c r="O279" s="169">
        <f t="shared" si="166"/>
        <v>0</v>
      </c>
      <c r="P279" s="170">
        <f t="shared" si="167"/>
        <v>0</v>
      </c>
      <c r="Q279" s="335"/>
    </row>
    <row r="280" spans="1:17" ht="23.25" customHeight="1" x14ac:dyDescent="0.35">
      <c r="A280" s="27">
        <f t="shared" si="172"/>
        <v>261</v>
      </c>
      <c r="B280" s="50" t="s">
        <v>82</v>
      </c>
      <c r="C280" s="132" t="s">
        <v>111</v>
      </c>
      <c r="D280" s="221" t="s">
        <v>102</v>
      </c>
      <c r="E280" s="79" t="s">
        <v>114</v>
      </c>
      <c r="F280" s="79"/>
      <c r="G280" s="79" t="s">
        <v>32</v>
      </c>
      <c r="H280" s="79" t="s">
        <v>495</v>
      </c>
      <c r="I280" s="191"/>
      <c r="J280" s="19">
        <f t="shared" si="164"/>
        <v>0</v>
      </c>
      <c r="K280" s="167" t="s">
        <v>51</v>
      </c>
      <c r="L280" s="168">
        <v>0</v>
      </c>
      <c r="M280" s="168">
        <v>0</v>
      </c>
      <c r="N280" s="169">
        <f t="shared" si="165"/>
        <v>0</v>
      </c>
      <c r="O280" s="169">
        <f t="shared" si="166"/>
        <v>0</v>
      </c>
      <c r="P280" s="170">
        <f t="shared" si="167"/>
        <v>0</v>
      </c>
      <c r="Q280" s="335"/>
    </row>
    <row r="281" spans="1:17" ht="23.25" customHeight="1" x14ac:dyDescent="0.35">
      <c r="A281" s="27">
        <f t="shared" si="172"/>
        <v>262</v>
      </c>
      <c r="B281" s="50" t="s">
        <v>82</v>
      </c>
      <c r="C281" s="132" t="s">
        <v>111</v>
      </c>
      <c r="D281" s="221" t="s">
        <v>102</v>
      </c>
      <c r="E281" s="79" t="s">
        <v>114</v>
      </c>
      <c r="F281" s="79"/>
      <c r="G281" s="79" t="s">
        <v>32</v>
      </c>
      <c r="H281" s="79" t="s">
        <v>106</v>
      </c>
      <c r="I281" s="191"/>
      <c r="J281" s="19">
        <f t="shared" si="164"/>
        <v>0</v>
      </c>
      <c r="K281" s="167" t="s">
        <v>51</v>
      </c>
      <c r="L281" s="168">
        <v>0</v>
      </c>
      <c r="M281" s="168">
        <v>0</v>
      </c>
      <c r="N281" s="169">
        <f t="shared" si="165"/>
        <v>0</v>
      </c>
      <c r="O281" s="169">
        <f t="shared" si="166"/>
        <v>0</v>
      </c>
      <c r="P281" s="170">
        <f t="shared" si="167"/>
        <v>0</v>
      </c>
      <c r="Q281" s="335"/>
    </row>
    <row r="282" spans="1:17" ht="23.25" customHeight="1" x14ac:dyDescent="0.35">
      <c r="A282" s="27">
        <f t="shared" si="172"/>
        <v>263</v>
      </c>
      <c r="B282" s="50" t="s">
        <v>82</v>
      </c>
      <c r="C282" s="132" t="s">
        <v>111</v>
      </c>
      <c r="D282" s="221" t="s">
        <v>102</v>
      </c>
      <c r="E282" s="79" t="s">
        <v>114</v>
      </c>
      <c r="F282" s="79"/>
      <c r="G282" s="79" t="s">
        <v>32</v>
      </c>
      <c r="H282" s="79" t="s">
        <v>496</v>
      </c>
      <c r="I282" s="188"/>
      <c r="J282" s="19">
        <f t="shared" si="164"/>
        <v>0</v>
      </c>
      <c r="K282" s="167" t="s">
        <v>51</v>
      </c>
      <c r="L282" s="168">
        <v>0</v>
      </c>
      <c r="M282" s="168">
        <v>0</v>
      </c>
      <c r="N282" s="169">
        <f t="shared" si="165"/>
        <v>0</v>
      </c>
      <c r="O282" s="169">
        <f t="shared" si="166"/>
        <v>0</v>
      </c>
      <c r="P282" s="170">
        <f t="shared" si="167"/>
        <v>0</v>
      </c>
      <c r="Q282" s="335"/>
    </row>
    <row r="283" spans="1:17" ht="23.25" customHeight="1" x14ac:dyDescent="0.35">
      <c r="A283" s="27">
        <f t="shared" si="172"/>
        <v>264</v>
      </c>
      <c r="B283" s="50" t="s">
        <v>82</v>
      </c>
      <c r="C283" s="132" t="s">
        <v>111</v>
      </c>
      <c r="D283" s="89" t="s">
        <v>110</v>
      </c>
      <c r="E283" s="73"/>
      <c r="F283" s="73"/>
      <c r="G283" s="73"/>
      <c r="H283" s="73"/>
      <c r="I283" s="191"/>
      <c r="J283" s="19">
        <f t="shared" si="164"/>
        <v>0</v>
      </c>
      <c r="K283" s="167" t="s">
        <v>22</v>
      </c>
      <c r="L283" s="168">
        <v>0</v>
      </c>
      <c r="M283" s="168">
        <v>0</v>
      </c>
      <c r="N283" s="169">
        <f t="shared" si="165"/>
        <v>0</v>
      </c>
      <c r="O283" s="169">
        <f t="shared" si="166"/>
        <v>0</v>
      </c>
      <c r="P283" s="170">
        <f t="shared" si="167"/>
        <v>0</v>
      </c>
      <c r="Q283" s="335"/>
    </row>
    <row r="284" spans="1:17" ht="23.25" customHeight="1" x14ac:dyDescent="0.35">
      <c r="A284" s="27">
        <f t="shared" si="172"/>
        <v>265</v>
      </c>
      <c r="B284" s="26" t="s">
        <v>82</v>
      </c>
      <c r="C284" s="129" t="s">
        <v>111</v>
      </c>
      <c r="D284" s="43" t="s">
        <v>358</v>
      </c>
      <c r="E284" s="5"/>
      <c r="F284" s="5"/>
      <c r="G284" s="5"/>
      <c r="H284" s="5"/>
      <c r="I284" s="20"/>
      <c r="J284" s="19">
        <f>I284</f>
        <v>0</v>
      </c>
      <c r="K284" s="171"/>
      <c r="L284" s="168">
        <v>0</v>
      </c>
      <c r="M284" s="168">
        <v>0</v>
      </c>
      <c r="N284" s="169">
        <f>L284*J284</f>
        <v>0</v>
      </c>
      <c r="O284" s="169">
        <f>M284*J284</f>
        <v>0</v>
      </c>
      <c r="P284" s="170">
        <f>(L284*J284)+(M284*J284)</f>
        <v>0</v>
      </c>
      <c r="Q284" s="326"/>
    </row>
    <row r="285" spans="1:17" ht="23.25" customHeight="1" thickBot="1" x14ac:dyDescent="0.4">
      <c r="A285" s="29">
        <f>A284+1</f>
        <v>266</v>
      </c>
      <c r="B285" s="36" t="s">
        <v>82</v>
      </c>
      <c r="C285" s="133" t="s">
        <v>111</v>
      </c>
      <c r="D285" s="44" t="s">
        <v>358</v>
      </c>
      <c r="E285" s="6"/>
      <c r="F285" s="6"/>
      <c r="G285" s="6"/>
      <c r="H285" s="6"/>
      <c r="I285" s="21"/>
      <c r="J285" s="22">
        <f>I285</f>
        <v>0</v>
      </c>
      <c r="K285" s="172"/>
      <c r="L285" s="173">
        <v>0</v>
      </c>
      <c r="M285" s="173">
        <v>0</v>
      </c>
      <c r="N285" s="174">
        <f>L285*J285</f>
        <v>0</v>
      </c>
      <c r="O285" s="174">
        <f>M285*J285</f>
        <v>0</v>
      </c>
      <c r="P285" s="175">
        <f>(L285*J285)+(M285*J285)</f>
        <v>0</v>
      </c>
      <c r="Q285" s="327"/>
    </row>
    <row r="286" spans="1:17" ht="23.25" customHeight="1" thickBot="1" x14ac:dyDescent="0.4">
      <c r="A286" s="30"/>
      <c r="B286" s="17" t="s">
        <v>45</v>
      </c>
      <c r="C286" s="134" t="s">
        <v>115</v>
      </c>
      <c r="D286" s="176" t="s">
        <v>115</v>
      </c>
      <c r="E286" s="178"/>
      <c r="F286" s="178"/>
      <c r="G286" s="178"/>
      <c r="H286" s="178"/>
      <c r="I286" s="222"/>
      <c r="J286" s="180"/>
      <c r="K286" s="181"/>
      <c r="L286" s="182"/>
      <c r="M286" s="182"/>
      <c r="N286" s="183"/>
      <c r="O286" s="183"/>
      <c r="P286" s="184"/>
      <c r="Q286" s="342"/>
    </row>
    <row r="287" spans="1:17" ht="23.25" customHeight="1" x14ac:dyDescent="0.35">
      <c r="A287" s="28">
        <f>A285+1</f>
        <v>267</v>
      </c>
      <c r="B287" s="35" t="s">
        <v>45</v>
      </c>
      <c r="C287" s="127" t="s">
        <v>115</v>
      </c>
      <c r="D287" s="77" t="s">
        <v>40</v>
      </c>
      <c r="E287" s="87">
        <v>304</v>
      </c>
      <c r="F287" s="78"/>
      <c r="G287" s="78" t="s">
        <v>116</v>
      </c>
      <c r="H287" s="78" t="s">
        <v>117</v>
      </c>
      <c r="I287" s="189"/>
      <c r="J287" s="32">
        <f t="shared" ref="J287:J293" si="176">I287</f>
        <v>0</v>
      </c>
      <c r="K287" s="190" t="s">
        <v>34</v>
      </c>
      <c r="L287" s="185">
        <v>0</v>
      </c>
      <c r="M287" s="185">
        <v>0</v>
      </c>
      <c r="N287" s="186">
        <f t="shared" ref="N287:N293" si="177">L287*J287</f>
        <v>0</v>
      </c>
      <c r="O287" s="186">
        <f t="shared" ref="O287:O293" si="178">M287*J287</f>
        <v>0</v>
      </c>
      <c r="P287" s="187">
        <f t="shared" ref="P287:P293" si="179">(L287*J287)+(M287*J287)</f>
        <v>0</v>
      </c>
      <c r="Q287" s="336"/>
    </row>
    <row r="288" spans="1:17" ht="23.25" customHeight="1" x14ac:dyDescent="0.35">
      <c r="A288" s="18">
        <f>A287+1</f>
        <v>268</v>
      </c>
      <c r="B288" s="26" t="s">
        <v>45</v>
      </c>
      <c r="C288" s="129" t="s">
        <v>115</v>
      </c>
      <c r="D288" s="72" t="s">
        <v>497</v>
      </c>
      <c r="E288" s="88">
        <v>304</v>
      </c>
      <c r="F288" s="73"/>
      <c r="G288" s="73" t="s">
        <v>60</v>
      </c>
      <c r="H288" s="73" t="s">
        <v>117</v>
      </c>
      <c r="I288" s="191"/>
      <c r="J288" s="19">
        <f t="shared" si="176"/>
        <v>0</v>
      </c>
      <c r="K288" s="167" t="s">
        <v>22</v>
      </c>
      <c r="L288" s="168">
        <v>0</v>
      </c>
      <c r="M288" s="168">
        <v>0</v>
      </c>
      <c r="N288" s="169">
        <f t="shared" si="177"/>
        <v>0</v>
      </c>
      <c r="O288" s="169">
        <f t="shared" si="178"/>
        <v>0</v>
      </c>
      <c r="P288" s="170">
        <f t="shared" si="179"/>
        <v>0</v>
      </c>
      <c r="Q288" s="335"/>
    </row>
    <row r="289" spans="1:17" ht="23.25" customHeight="1" x14ac:dyDescent="0.35">
      <c r="A289" s="18">
        <f t="shared" ref="A289:A292" si="180">A288+1</f>
        <v>269</v>
      </c>
      <c r="B289" s="26" t="s">
        <v>45</v>
      </c>
      <c r="C289" s="129" t="s">
        <v>115</v>
      </c>
      <c r="D289" s="72" t="s">
        <v>40</v>
      </c>
      <c r="E289" s="88">
        <v>304</v>
      </c>
      <c r="F289" s="73"/>
      <c r="G289" s="73" t="s">
        <v>116</v>
      </c>
      <c r="H289" s="73" t="s">
        <v>118</v>
      </c>
      <c r="I289" s="191"/>
      <c r="J289" s="19">
        <f t="shared" si="176"/>
        <v>0</v>
      </c>
      <c r="K289" s="167" t="s">
        <v>34</v>
      </c>
      <c r="L289" s="168">
        <v>0</v>
      </c>
      <c r="M289" s="168">
        <v>0</v>
      </c>
      <c r="N289" s="169">
        <f t="shared" si="177"/>
        <v>0</v>
      </c>
      <c r="O289" s="169">
        <f t="shared" si="178"/>
        <v>0</v>
      </c>
      <c r="P289" s="170">
        <f t="shared" si="179"/>
        <v>0</v>
      </c>
      <c r="Q289" s="335"/>
    </row>
    <row r="290" spans="1:17" ht="23.25" customHeight="1" x14ac:dyDescent="0.35">
      <c r="A290" s="18">
        <f t="shared" si="180"/>
        <v>270</v>
      </c>
      <c r="B290" s="26" t="s">
        <v>45</v>
      </c>
      <c r="C290" s="129" t="s">
        <v>115</v>
      </c>
      <c r="D290" s="72" t="s">
        <v>497</v>
      </c>
      <c r="E290" s="88">
        <v>304</v>
      </c>
      <c r="F290" s="73"/>
      <c r="G290" s="73" t="s">
        <v>60</v>
      </c>
      <c r="H290" s="73" t="s">
        <v>118</v>
      </c>
      <c r="I290" s="191"/>
      <c r="J290" s="19">
        <f t="shared" si="176"/>
        <v>0</v>
      </c>
      <c r="K290" s="167" t="s">
        <v>22</v>
      </c>
      <c r="L290" s="168">
        <v>0</v>
      </c>
      <c r="M290" s="168">
        <v>0</v>
      </c>
      <c r="N290" s="169">
        <f t="shared" si="177"/>
        <v>0</v>
      </c>
      <c r="O290" s="169">
        <f t="shared" si="178"/>
        <v>0</v>
      </c>
      <c r="P290" s="170">
        <f t="shared" si="179"/>
        <v>0</v>
      </c>
      <c r="Q290" s="335"/>
    </row>
    <row r="291" spans="1:17" ht="23.25" customHeight="1" x14ac:dyDescent="0.35">
      <c r="A291" s="18">
        <f t="shared" si="180"/>
        <v>271</v>
      </c>
      <c r="B291" s="26" t="s">
        <v>45</v>
      </c>
      <c r="C291" s="83" t="s">
        <v>115</v>
      </c>
      <c r="D291" s="84" t="s">
        <v>498</v>
      </c>
      <c r="E291" s="73"/>
      <c r="F291" s="73"/>
      <c r="G291" s="73"/>
      <c r="H291" s="73"/>
      <c r="I291" s="191"/>
      <c r="J291" s="19">
        <f t="shared" si="176"/>
        <v>0</v>
      </c>
      <c r="K291" s="167" t="s">
        <v>22</v>
      </c>
      <c r="L291" s="168">
        <v>0</v>
      </c>
      <c r="M291" s="168">
        <v>0</v>
      </c>
      <c r="N291" s="169">
        <f t="shared" si="177"/>
        <v>0</v>
      </c>
      <c r="O291" s="169">
        <f t="shared" si="178"/>
        <v>0</v>
      </c>
      <c r="P291" s="170">
        <f t="shared" si="179"/>
        <v>0</v>
      </c>
      <c r="Q291" s="335"/>
    </row>
    <row r="292" spans="1:17" ht="23.25" customHeight="1" x14ac:dyDescent="0.35">
      <c r="A292" s="18">
        <f t="shared" si="180"/>
        <v>272</v>
      </c>
      <c r="B292" s="26" t="s">
        <v>45</v>
      </c>
      <c r="C292" s="83" t="s">
        <v>115</v>
      </c>
      <c r="D292" s="43" t="s">
        <v>358</v>
      </c>
      <c r="E292" s="5"/>
      <c r="F292" s="5"/>
      <c r="G292" s="5"/>
      <c r="H292" s="5"/>
      <c r="I292" s="20"/>
      <c r="J292" s="19">
        <f t="shared" si="176"/>
        <v>0</v>
      </c>
      <c r="K292" s="171"/>
      <c r="L292" s="168">
        <v>0</v>
      </c>
      <c r="M292" s="168">
        <v>0</v>
      </c>
      <c r="N292" s="169">
        <f t="shared" si="177"/>
        <v>0</v>
      </c>
      <c r="O292" s="169">
        <f t="shared" si="178"/>
        <v>0</v>
      </c>
      <c r="P292" s="170">
        <f t="shared" si="179"/>
        <v>0</v>
      </c>
      <c r="Q292" s="326"/>
    </row>
    <row r="293" spans="1:17" ht="23.25" customHeight="1" thickBot="1" x14ac:dyDescent="0.4">
      <c r="A293" s="29">
        <f>A292+1</f>
        <v>273</v>
      </c>
      <c r="B293" s="36" t="s">
        <v>45</v>
      </c>
      <c r="C293" s="46" t="s">
        <v>115</v>
      </c>
      <c r="D293" s="44" t="s">
        <v>358</v>
      </c>
      <c r="E293" s="6"/>
      <c r="F293" s="6"/>
      <c r="G293" s="6"/>
      <c r="H293" s="6"/>
      <c r="I293" s="21"/>
      <c r="J293" s="22">
        <f t="shared" si="176"/>
        <v>0</v>
      </c>
      <c r="K293" s="172"/>
      <c r="L293" s="173">
        <v>0</v>
      </c>
      <c r="M293" s="173">
        <v>0</v>
      </c>
      <c r="N293" s="174">
        <f t="shared" si="177"/>
        <v>0</v>
      </c>
      <c r="O293" s="174">
        <f t="shared" si="178"/>
        <v>0</v>
      </c>
      <c r="P293" s="175">
        <f t="shared" si="179"/>
        <v>0</v>
      </c>
      <c r="Q293" s="327"/>
    </row>
    <row r="294" spans="1:17" ht="23.25" customHeight="1" thickBot="1" x14ac:dyDescent="0.4">
      <c r="A294" s="30"/>
      <c r="B294" s="17" t="s">
        <v>82</v>
      </c>
      <c r="C294" s="134" t="s">
        <v>119</v>
      </c>
      <c r="D294" s="176" t="s">
        <v>119</v>
      </c>
      <c r="E294" s="178"/>
      <c r="F294" s="178"/>
      <c r="G294" s="178"/>
      <c r="H294" s="223"/>
      <c r="I294" s="222"/>
      <c r="J294" s="224"/>
      <c r="K294" s="225"/>
      <c r="L294" s="226"/>
      <c r="M294" s="226"/>
      <c r="N294" s="227"/>
      <c r="O294" s="227"/>
      <c r="P294" s="184"/>
      <c r="Q294" s="342"/>
    </row>
    <row r="295" spans="1:17" ht="23.25" customHeight="1" x14ac:dyDescent="0.35">
      <c r="A295" s="28">
        <f>A293+1</f>
        <v>274</v>
      </c>
      <c r="B295" s="35" t="s">
        <v>82</v>
      </c>
      <c r="C295" s="127" t="s">
        <v>119</v>
      </c>
      <c r="D295" s="77" t="s">
        <v>40</v>
      </c>
      <c r="E295" s="78" t="s">
        <v>120</v>
      </c>
      <c r="F295" s="78"/>
      <c r="G295" s="78" t="s">
        <v>121</v>
      </c>
      <c r="H295" s="78" t="s">
        <v>122</v>
      </c>
      <c r="I295" s="189"/>
      <c r="J295" s="32">
        <v>0</v>
      </c>
      <c r="K295" s="190" t="s">
        <v>51</v>
      </c>
      <c r="L295" s="185">
        <v>0</v>
      </c>
      <c r="M295" s="185">
        <v>0</v>
      </c>
      <c r="N295" s="186">
        <f t="shared" ref="N295:N342" si="181">L295*J295</f>
        <v>0</v>
      </c>
      <c r="O295" s="186">
        <f t="shared" ref="O295:O342" si="182">M295*J295</f>
        <v>0</v>
      </c>
      <c r="P295" s="187">
        <f t="shared" ref="P295:P342" si="183">(L295*J295)+(M295*J295)</f>
        <v>0</v>
      </c>
      <c r="Q295" s="336"/>
    </row>
    <row r="296" spans="1:17" ht="23.25" customHeight="1" x14ac:dyDescent="0.35">
      <c r="A296" s="18">
        <f>A295+1</f>
        <v>275</v>
      </c>
      <c r="B296" s="26" t="s">
        <v>82</v>
      </c>
      <c r="C296" s="129" t="s">
        <v>119</v>
      </c>
      <c r="D296" s="72" t="s">
        <v>53</v>
      </c>
      <c r="E296" s="73" t="s">
        <v>120</v>
      </c>
      <c r="F296" s="73"/>
      <c r="G296" s="73" t="s">
        <v>123</v>
      </c>
      <c r="H296" s="73" t="s">
        <v>122</v>
      </c>
      <c r="I296" s="191"/>
      <c r="J296" s="19">
        <v>0</v>
      </c>
      <c r="K296" s="167" t="s">
        <v>22</v>
      </c>
      <c r="L296" s="168">
        <v>0</v>
      </c>
      <c r="M296" s="168">
        <v>0</v>
      </c>
      <c r="N296" s="169">
        <f t="shared" si="181"/>
        <v>0</v>
      </c>
      <c r="O296" s="169">
        <f t="shared" si="182"/>
        <v>0</v>
      </c>
      <c r="P296" s="170">
        <f t="shared" si="183"/>
        <v>0</v>
      </c>
      <c r="Q296" s="335"/>
    </row>
    <row r="297" spans="1:17" ht="23.25" customHeight="1" x14ac:dyDescent="0.35">
      <c r="A297" s="18">
        <f t="shared" ref="A297:A343" si="184">A296+1</f>
        <v>276</v>
      </c>
      <c r="B297" s="26" t="s">
        <v>82</v>
      </c>
      <c r="C297" s="129" t="s">
        <v>119</v>
      </c>
      <c r="D297" s="72" t="s">
        <v>493</v>
      </c>
      <c r="E297" s="73" t="s">
        <v>120</v>
      </c>
      <c r="F297" s="73"/>
      <c r="G297" s="73" t="s">
        <v>121</v>
      </c>
      <c r="H297" s="73" t="s">
        <v>122</v>
      </c>
      <c r="I297" s="191"/>
      <c r="J297" s="19">
        <v>0</v>
      </c>
      <c r="K297" s="167" t="s">
        <v>22</v>
      </c>
      <c r="L297" s="168">
        <v>0</v>
      </c>
      <c r="M297" s="168">
        <v>0</v>
      </c>
      <c r="N297" s="169">
        <f t="shared" si="181"/>
        <v>0</v>
      </c>
      <c r="O297" s="169">
        <f t="shared" si="182"/>
        <v>0</v>
      </c>
      <c r="P297" s="170">
        <f t="shared" si="183"/>
        <v>0</v>
      </c>
      <c r="Q297" s="335"/>
    </row>
    <row r="298" spans="1:17" ht="23.25" customHeight="1" x14ac:dyDescent="0.35">
      <c r="A298" s="18">
        <f t="shared" si="184"/>
        <v>277</v>
      </c>
      <c r="B298" s="26" t="s">
        <v>82</v>
      </c>
      <c r="C298" s="129" t="s">
        <v>119</v>
      </c>
      <c r="D298" s="72" t="s">
        <v>499</v>
      </c>
      <c r="E298" s="73" t="s">
        <v>120</v>
      </c>
      <c r="F298" s="73"/>
      <c r="G298" s="73" t="s">
        <v>121</v>
      </c>
      <c r="H298" s="73" t="s">
        <v>122</v>
      </c>
      <c r="I298" s="191"/>
      <c r="J298" s="19">
        <v>0</v>
      </c>
      <c r="K298" s="167" t="s">
        <v>22</v>
      </c>
      <c r="L298" s="168">
        <v>0</v>
      </c>
      <c r="M298" s="168">
        <v>0</v>
      </c>
      <c r="N298" s="169">
        <f t="shared" si="181"/>
        <v>0</v>
      </c>
      <c r="O298" s="169">
        <f t="shared" si="182"/>
        <v>0</v>
      </c>
      <c r="P298" s="170">
        <f t="shared" si="183"/>
        <v>0</v>
      </c>
      <c r="Q298" s="335"/>
    </row>
    <row r="299" spans="1:17" ht="23.25" customHeight="1" x14ac:dyDescent="0.35">
      <c r="A299" s="18">
        <f t="shared" si="184"/>
        <v>278</v>
      </c>
      <c r="B299" s="26" t="s">
        <v>82</v>
      </c>
      <c r="C299" s="129" t="s">
        <v>119</v>
      </c>
      <c r="D299" s="72" t="s">
        <v>91</v>
      </c>
      <c r="E299" s="73" t="s">
        <v>120</v>
      </c>
      <c r="F299" s="73" t="s">
        <v>124</v>
      </c>
      <c r="G299" s="73" t="s">
        <v>121</v>
      </c>
      <c r="H299" s="73" t="s">
        <v>122</v>
      </c>
      <c r="I299" s="191"/>
      <c r="J299" s="19">
        <v>0</v>
      </c>
      <c r="K299" s="167" t="s">
        <v>22</v>
      </c>
      <c r="L299" s="168">
        <v>0</v>
      </c>
      <c r="M299" s="168">
        <v>0</v>
      </c>
      <c r="N299" s="169">
        <f t="shared" si="181"/>
        <v>0</v>
      </c>
      <c r="O299" s="169">
        <f t="shared" si="182"/>
        <v>0</v>
      </c>
      <c r="P299" s="170">
        <f t="shared" si="183"/>
        <v>0</v>
      </c>
      <c r="Q299" s="335"/>
    </row>
    <row r="300" spans="1:17" ht="23.25" customHeight="1" x14ac:dyDescent="0.35">
      <c r="A300" s="18">
        <f t="shared" si="184"/>
        <v>279</v>
      </c>
      <c r="B300" s="26" t="s">
        <v>82</v>
      </c>
      <c r="C300" s="129" t="s">
        <v>119</v>
      </c>
      <c r="D300" s="72" t="s">
        <v>494</v>
      </c>
      <c r="E300" s="73" t="s">
        <v>120</v>
      </c>
      <c r="F300" s="73"/>
      <c r="G300" s="73" t="s">
        <v>121</v>
      </c>
      <c r="H300" s="73" t="s">
        <v>122</v>
      </c>
      <c r="I300" s="191"/>
      <c r="J300" s="19">
        <v>0</v>
      </c>
      <c r="K300" s="167" t="s">
        <v>22</v>
      </c>
      <c r="L300" s="168">
        <v>0</v>
      </c>
      <c r="M300" s="168">
        <v>0</v>
      </c>
      <c r="N300" s="169">
        <f t="shared" si="181"/>
        <v>0</v>
      </c>
      <c r="O300" s="169">
        <f t="shared" si="182"/>
        <v>0</v>
      </c>
      <c r="P300" s="170">
        <f t="shared" si="183"/>
        <v>0</v>
      </c>
      <c r="Q300" s="335"/>
    </row>
    <row r="301" spans="1:17" ht="23.25" customHeight="1" x14ac:dyDescent="0.35">
      <c r="A301" s="18">
        <f t="shared" si="184"/>
        <v>280</v>
      </c>
      <c r="B301" s="26" t="s">
        <v>82</v>
      </c>
      <c r="C301" s="129" t="s">
        <v>119</v>
      </c>
      <c r="D301" s="72" t="s">
        <v>125</v>
      </c>
      <c r="E301" s="73" t="s">
        <v>120</v>
      </c>
      <c r="F301" s="73"/>
      <c r="G301" s="73" t="s">
        <v>121</v>
      </c>
      <c r="H301" s="73" t="s">
        <v>122</v>
      </c>
      <c r="I301" s="191"/>
      <c r="J301" s="19">
        <v>0</v>
      </c>
      <c r="K301" s="167" t="s">
        <v>22</v>
      </c>
      <c r="L301" s="168">
        <v>0</v>
      </c>
      <c r="M301" s="168">
        <v>0</v>
      </c>
      <c r="N301" s="169">
        <f t="shared" si="181"/>
        <v>0</v>
      </c>
      <c r="O301" s="169">
        <f t="shared" si="182"/>
        <v>0</v>
      </c>
      <c r="P301" s="170">
        <f t="shared" si="183"/>
        <v>0</v>
      </c>
      <c r="Q301" s="335"/>
    </row>
    <row r="302" spans="1:17" ht="23.25" customHeight="1" x14ac:dyDescent="0.35">
      <c r="A302" s="18">
        <f t="shared" si="184"/>
        <v>281</v>
      </c>
      <c r="B302" s="26" t="s">
        <v>82</v>
      </c>
      <c r="C302" s="129" t="s">
        <v>119</v>
      </c>
      <c r="D302" s="72" t="s">
        <v>518</v>
      </c>
      <c r="E302" s="73" t="s">
        <v>120</v>
      </c>
      <c r="F302" s="73"/>
      <c r="G302" s="73" t="s">
        <v>121</v>
      </c>
      <c r="H302" s="73" t="s">
        <v>122</v>
      </c>
      <c r="I302" s="191"/>
      <c r="J302" s="19">
        <v>0</v>
      </c>
      <c r="K302" s="167" t="s">
        <v>22</v>
      </c>
      <c r="L302" s="168">
        <v>0</v>
      </c>
      <c r="M302" s="168">
        <v>0</v>
      </c>
      <c r="N302" s="169">
        <f t="shared" ref="N302:N318" si="185">L302*J302</f>
        <v>0</v>
      </c>
      <c r="O302" s="169">
        <f t="shared" ref="O302:O318" si="186">M302*J302</f>
        <v>0</v>
      </c>
      <c r="P302" s="170">
        <f t="shared" ref="P302:P318" si="187">(L302*J302)+(M302*J302)</f>
        <v>0</v>
      </c>
      <c r="Q302" s="335"/>
    </row>
    <row r="303" spans="1:17" ht="23.25" customHeight="1" x14ac:dyDescent="0.35">
      <c r="A303" s="18">
        <f t="shared" si="184"/>
        <v>282</v>
      </c>
      <c r="B303" s="26" t="s">
        <v>82</v>
      </c>
      <c r="C303" s="129" t="s">
        <v>119</v>
      </c>
      <c r="D303" s="72" t="s">
        <v>40</v>
      </c>
      <c r="E303" s="73" t="s">
        <v>120</v>
      </c>
      <c r="F303" s="73"/>
      <c r="G303" s="73" t="s">
        <v>121</v>
      </c>
      <c r="H303" s="73" t="s">
        <v>391</v>
      </c>
      <c r="I303" s="191"/>
      <c r="J303" s="19">
        <v>0</v>
      </c>
      <c r="K303" s="167" t="s">
        <v>22</v>
      </c>
      <c r="L303" s="168">
        <v>0</v>
      </c>
      <c r="M303" s="168">
        <v>0</v>
      </c>
      <c r="N303" s="169">
        <f t="shared" si="185"/>
        <v>0</v>
      </c>
      <c r="O303" s="169">
        <f t="shared" si="186"/>
        <v>0</v>
      </c>
      <c r="P303" s="170">
        <f t="shared" si="187"/>
        <v>0</v>
      </c>
      <c r="Q303" s="335"/>
    </row>
    <row r="304" spans="1:17" ht="23.25" customHeight="1" x14ac:dyDescent="0.35">
      <c r="A304" s="18">
        <f t="shared" si="184"/>
        <v>283</v>
      </c>
      <c r="B304" s="26" t="s">
        <v>82</v>
      </c>
      <c r="C304" s="129" t="s">
        <v>119</v>
      </c>
      <c r="D304" s="72" t="s">
        <v>53</v>
      </c>
      <c r="E304" s="73" t="s">
        <v>120</v>
      </c>
      <c r="F304" s="73"/>
      <c r="G304" s="73" t="s">
        <v>123</v>
      </c>
      <c r="H304" s="73" t="s">
        <v>391</v>
      </c>
      <c r="I304" s="191"/>
      <c r="J304" s="19">
        <v>0</v>
      </c>
      <c r="K304" s="167" t="s">
        <v>22</v>
      </c>
      <c r="L304" s="168">
        <v>0</v>
      </c>
      <c r="M304" s="168">
        <v>0</v>
      </c>
      <c r="N304" s="169">
        <f t="shared" si="185"/>
        <v>0</v>
      </c>
      <c r="O304" s="169">
        <f t="shared" si="186"/>
        <v>0</v>
      </c>
      <c r="P304" s="170">
        <f t="shared" si="187"/>
        <v>0</v>
      </c>
      <c r="Q304" s="335"/>
    </row>
    <row r="305" spans="1:17" ht="23.25" customHeight="1" x14ac:dyDescent="0.35">
      <c r="A305" s="18">
        <f t="shared" si="184"/>
        <v>284</v>
      </c>
      <c r="B305" s="26" t="s">
        <v>82</v>
      </c>
      <c r="C305" s="129" t="s">
        <v>119</v>
      </c>
      <c r="D305" s="72" t="s">
        <v>493</v>
      </c>
      <c r="E305" s="73" t="s">
        <v>120</v>
      </c>
      <c r="F305" s="73"/>
      <c r="G305" s="73" t="s">
        <v>121</v>
      </c>
      <c r="H305" s="73" t="s">
        <v>391</v>
      </c>
      <c r="I305" s="191"/>
      <c r="J305" s="19">
        <v>0</v>
      </c>
      <c r="K305" s="167" t="s">
        <v>22</v>
      </c>
      <c r="L305" s="168">
        <v>0</v>
      </c>
      <c r="M305" s="168">
        <v>0</v>
      </c>
      <c r="N305" s="169">
        <f t="shared" si="185"/>
        <v>0</v>
      </c>
      <c r="O305" s="169">
        <f t="shared" si="186"/>
        <v>0</v>
      </c>
      <c r="P305" s="170">
        <f t="shared" si="187"/>
        <v>0</v>
      </c>
      <c r="Q305" s="335"/>
    </row>
    <row r="306" spans="1:17" ht="23.25" customHeight="1" x14ac:dyDescent="0.35">
      <c r="A306" s="18">
        <f t="shared" si="184"/>
        <v>285</v>
      </c>
      <c r="B306" s="26" t="s">
        <v>82</v>
      </c>
      <c r="C306" s="129" t="s">
        <v>119</v>
      </c>
      <c r="D306" s="72" t="s">
        <v>499</v>
      </c>
      <c r="E306" s="73" t="s">
        <v>120</v>
      </c>
      <c r="F306" s="73"/>
      <c r="G306" s="73" t="s">
        <v>121</v>
      </c>
      <c r="H306" s="73" t="s">
        <v>391</v>
      </c>
      <c r="I306" s="191"/>
      <c r="J306" s="19">
        <v>0</v>
      </c>
      <c r="K306" s="167" t="s">
        <v>22</v>
      </c>
      <c r="L306" s="168">
        <v>0</v>
      </c>
      <c r="M306" s="168">
        <v>0</v>
      </c>
      <c r="N306" s="169">
        <f t="shared" si="185"/>
        <v>0</v>
      </c>
      <c r="O306" s="169">
        <f t="shared" si="186"/>
        <v>0</v>
      </c>
      <c r="P306" s="170">
        <f t="shared" si="187"/>
        <v>0</v>
      </c>
      <c r="Q306" s="335"/>
    </row>
    <row r="307" spans="1:17" ht="23.25" customHeight="1" x14ac:dyDescent="0.35">
      <c r="A307" s="18">
        <f t="shared" si="184"/>
        <v>286</v>
      </c>
      <c r="B307" s="26" t="s">
        <v>82</v>
      </c>
      <c r="C307" s="129" t="s">
        <v>119</v>
      </c>
      <c r="D307" s="72" t="s">
        <v>91</v>
      </c>
      <c r="E307" s="73" t="s">
        <v>120</v>
      </c>
      <c r="F307" s="73" t="s">
        <v>124</v>
      </c>
      <c r="G307" s="73" t="s">
        <v>121</v>
      </c>
      <c r="H307" s="73" t="s">
        <v>391</v>
      </c>
      <c r="I307" s="191"/>
      <c r="J307" s="19">
        <v>0</v>
      </c>
      <c r="K307" s="167" t="s">
        <v>22</v>
      </c>
      <c r="L307" s="168">
        <v>0</v>
      </c>
      <c r="M307" s="168">
        <v>0</v>
      </c>
      <c r="N307" s="169">
        <f t="shared" si="185"/>
        <v>0</v>
      </c>
      <c r="O307" s="169">
        <f t="shared" si="186"/>
        <v>0</v>
      </c>
      <c r="P307" s="170">
        <f t="shared" si="187"/>
        <v>0</v>
      </c>
      <c r="Q307" s="335"/>
    </row>
    <row r="308" spans="1:17" ht="23.25" customHeight="1" x14ac:dyDescent="0.35">
      <c r="A308" s="18">
        <f t="shared" si="184"/>
        <v>287</v>
      </c>
      <c r="B308" s="26" t="s">
        <v>82</v>
      </c>
      <c r="C308" s="129" t="s">
        <v>119</v>
      </c>
      <c r="D308" s="72" t="s">
        <v>494</v>
      </c>
      <c r="E308" s="73" t="s">
        <v>120</v>
      </c>
      <c r="F308" s="73"/>
      <c r="G308" s="73" t="s">
        <v>121</v>
      </c>
      <c r="H308" s="73" t="s">
        <v>391</v>
      </c>
      <c r="I308" s="191"/>
      <c r="J308" s="19">
        <v>0</v>
      </c>
      <c r="K308" s="167" t="s">
        <v>22</v>
      </c>
      <c r="L308" s="168">
        <v>0</v>
      </c>
      <c r="M308" s="168">
        <v>0</v>
      </c>
      <c r="N308" s="169">
        <f t="shared" si="185"/>
        <v>0</v>
      </c>
      <c r="O308" s="169">
        <f t="shared" si="186"/>
        <v>0</v>
      </c>
      <c r="P308" s="170">
        <f t="shared" si="187"/>
        <v>0</v>
      </c>
      <c r="Q308" s="335"/>
    </row>
    <row r="309" spans="1:17" ht="23.25" customHeight="1" x14ac:dyDescent="0.35">
      <c r="A309" s="18">
        <f t="shared" si="184"/>
        <v>288</v>
      </c>
      <c r="B309" s="26" t="s">
        <v>82</v>
      </c>
      <c r="C309" s="129" t="s">
        <v>119</v>
      </c>
      <c r="D309" s="72" t="s">
        <v>125</v>
      </c>
      <c r="E309" s="73" t="s">
        <v>120</v>
      </c>
      <c r="F309" s="73"/>
      <c r="G309" s="73" t="s">
        <v>121</v>
      </c>
      <c r="H309" s="73" t="s">
        <v>391</v>
      </c>
      <c r="I309" s="191"/>
      <c r="J309" s="19">
        <v>0</v>
      </c>
      <c r="K309" s="167" t="s">
        <v>22</v>
      </c>
      <c r="L309" s="168">
        <v>0</v>
      </c>
      <c r="M309" s="168">
        <v>0</v>
      </c>
      <c r="N309" s="169">
        <f t="shared" si="185"/>
        <v>0</v>
      </c>
      <c r="O309" s="169">
        <f t="shared" si="186"/>
        <v>0</v>
      </c>
      <c r="P309" s="170">
        <f t="shared" si="187"/>
        <v>0</v>
      </c>
      <c r="Q309" s="335"/>
    </row>
    <row r="310" spans="1:17" ht="23.25" customHeight="1" x14ac:dyDescent="0.35">
      <c r="A310" s="18">
        <f t="shared" si="184"/>
        <v>289</v>
      </c>
      <c r="B310" s="26" t="s">
        <v>82</v>
      </c>
      <c r="C310" s="129" t="s">
        <v>119</v>
      </c>
      <c r="D310" s="72" t="s">
        <v>518</v>
      </c>
      <c r="E310" s="73" t="s">
        <v>120</v>
      </c>
      <c r="F310" s="73"/>
      <c r="G310" s="73" t="s">
        <v>121</v>
      </c>
      <c r="H310" s="73" t="s">
        <v>391</v>
      </c>
      <c r="I310" s="191"/>
      <c r="J310" s="19">
        <v>0</v>
      </c>
      <c r="K310" s="167" t="s">
        <v>22</v>
      </c>
      <c r="L310" s="168">
        <v>0</v>
      </c>
      <c r="M310" s="168">
        <v>0</v>
      </c>
      <c r="N310" s="169">
        <f t="shared" si="185"/>
        <v>0</v>
      </c>
      <c r="O310" s="169">
        <f t="shared" si="186"/>
        <v>0</v>
      </c>
      <c r="P310" s="170">
        <f t="shared" si="187"/>
        <v>0</v>
      </c>
      <c r="Q310" s="335"/>
    </row>
    <row r="311" spans="1:17" ht="23.25" customHeight="1" x14ac:dyDescent="0.35">
      <c r="A311" s="18">
        <f t="shared" si="184"/>
        <v>290</v>
      </c>
      <c r="B311" s="26" t="s">
        <v>82</v>
      </c>
      <c r="C311" s="129" t="s">
        <v>119</v>
      </c>
      <c r="D311" s="72" t="s">
        <v>40</v>
      </c>
      <c r="E311" s="73" t="s">
        <v>120</v>
      </c>
      <c r="F311" s="73"/>
      <c r="G311" s="73" t="s">
        <v>121</v>
      </c>
      <c r="H311" s="73" t="s">
        <v>392</v>
      </c>
      <c r="I311" s="191"/>
      <c r="J311" s="19">
        <v>0</v>
      </c>
      <c r="K311" s="167" t="s">
        <v>22</v>
      </c>
      <c r="L311" s="168">
        <v>0</v>
      </c>
      <c r="M311" s="168">
        <v>0</v>
      </c>
      <c r="N311" s="169">
        <f t="shared" si="185"/>
        <v>0</v>
      </c>
      <c r="O311" s="169">
        <f t="shared" si="186"/>
        <v>0</v>
      </c>
      <c r="P311" s="170">
        <f t="shared" si="187"/>
        <v>0</v>
      </c>
      <c r="Q311" s="335"/>
    </row>
    <row r="312" spans="1:17" ht="23.25" customHeight="1" x14ac:dyDescent="0.35">
      <c r="A312" s="18">
        <f t="shared" si="184"/>
        <v>291</v>
      </c>
      <c r="B312" s="26" t="s">
        <v>82</v>
      </c>
      <c r="C312" s="129" t="s">
        <v>119</v>
      </c>
      <c r="D312" s="72" t="s">
        <v>53</v>
      </c>
      <c r="E312" s="73" t="s">
        <v>120</v>
      </c>
      <c r="F312" s="73"/>
      <c r="G312" s="73" t="s">
        <v>123</v>
      </c>
      <c r="H312" s="73" t="s">
        <v>392</v>
      </c>
      <c r="I312" s="191"/>
      <c r="J312" s="19">
        <v>0</v>
      </c>
      <c r="K312" s="167" t="s">
        <v>22</v>
      </c>
      <c r="L312" s="168">
        <v>0</v>
      </c>
      <c r="M312" s="168">
        <v>0</v>
      </c>
      <c r="N312" s="169">
        <f t="shared" si="185"/>
        <v>0</v>
      </c>
      <c r="O312" s="169">
        <f t="shared" si="186"/>
        <v>0</v>
      </c>
      <c r="P312" s="170">
        <f t="shared" si="187"/>
        <v>0</v>
      </c>
      <c r="Q312" s="335"/>
    </row>
    <row r="313" spans="1:17" ht="23.25" customHeight="1" x14ac:dyDescent="0.35">
      <c r="A313" s="18">
        <f t="shared" si="184"/>
        <v>292</v>
      </c>
      <c r="B313" s="26" t="s">
        <v>82</v>
      </c>
      <c r="C313" s="129" t="s">
        <v>119</v>
      </c>
      <c r="D313" s="72" t="s">
        <v>493</v>
      </c>
      <c r="E313" s="73" t="s">
        <v>120</v>
      </c>
      <c r="F313" s="73"/>
      <c r="G313" s="73" t="s">
        <v>121</v>
      </c>
      <c r="H313" s="73" t="s">
        <v>392</v>
      </c>
      <c r="I313" s="191"/>
      <c r="J313" s="19">
        <v>0</v>
      </c>
      <c r="K313" s="167" t="s">
        <v>22</v>
      </c>
      <c r="L313" s="168">
        <v>0</v>
      </c>
      <c r="M313" s="168">
        <v>0</v>
      </c>
      <c r="N313" s="169">
        <f t="shared" si="185"/>
        <v>0</v>
      </c>
      <c r="O313" s="169">
        <f t="shared" si="186"/>
        <v>0</v>
      </c>
      <c r="P313" s="170">
        <f t="shared" si="187"/>
        <v>0</v>
      </c>
      <c r="Q313" s="335"/>
    </row>
    <row r="314" spans="1:17" ht="23.25" customHeight="1" x14ac:dyDescent="0.35">
      <c r="A314" s="18">
        <f t="shared" si="184"/>
        <v>293</v>
      </c>
      <c r="B314" s="26" t="s">
        <v>82</v>
      </c>
      <c r="C314" s="129" t="s">
        <v>119</v>
      </c>
      <c r="D314" s="72" t="s">
        <v>499</v>
      </c>
      <c r="E314" s="73" t="s">
        <v>120</v>
      </c>
      <c r="F314" s="73"/>
      <c r="G314" s="73" t="s">
        <v>121</v>
      </c>
      <c r="H314" s="73" t="s">
        <v>392</v>
      </c>
      <c r="I314" s="191"/>
      <c r="J314" s="19">
        <v>0</v>
      </c>
      <c r="K314" s="167" t="s">
        <v>22</v>
      </c>
      <c r="L314" s="168">
        <v>0</v>
      </c>
      <c r="M314" s="168">
        <v>0</v>
      </c>
      <c r="N314" s="169">
        <f t="shared" si="185"/>
        <v>0</v>
      </c>
      <c r="O314" s="169">
        <f t="shared" si="186"/>
        <v>0</v>
      </c>
      <c r="P314" s="170">
        <f t="shared" si="187"/>
        <v>0</v>
      </c>
      <c r="Q314" s="335"/>
    </row>
    <row r="315" spans="1:17" ht="23.25" customHeight="1" x14ac:dyDescent="0.35">
      <c r="A315" s="18">
        <f t="shared" si="184"/>
        <v>294</v>
      </c>
      <c r="B315" s="26" t="s">
        <v>82</v>
      </c>
      <c r="C315" s="129" t="s">
        <v>119</v>
      </c>
      <c r="D315" s="72" t="s">
        <v>91</v>
      </c>
      <c r="E315" s="73" t="s">
        <v>120</v>
      </c>
      <c r="F315" s="73" t="s">
        <v>124</v>
      </c>
      <c r="G315" s="73" t="s">
        <v>121</v>
      </c>
      <c r="H315" s="73" t="s">
        <v>392</v>
      </c>
      <c r="I315" s="191"/>
      <c r="J315" s="19">
        <v>0</v>
      </c>
      <c r="K315" s="167" t="s">
        <v>22</v>
      </c>
      <c r="L315" s="168">
        <v>0</v>
      </c>
      <c r="M315" s="168">
        <v>0</v>
      </c>
      <c r="N315" s="169">
        <f t="shared" si="185"/>
        <v>0</v>
      </c>
      <c r="O315" s="169">
        <f t="shared" si="186"/>
        <v>0</v>
      </c>
      <c r="P315" s="170">
        <f t="shared" si="187"/>
        <v>0</v>
      </c>
      <c r="Q315" s="335"/>
    </row>
    <row r="316" spans="1:17" ht="23.25" customHeight="1" x14ac:dyDescent="0.35">
      <c r="A316" s="18">
        <f t="shared" si="184"/>
        <v>295</v>
      </c>
      <c r="B316" s="26" t="s">
        <v>82</v>
      </c>
      <c r="C316" s="129" t="s">
        <v>119</v>
      </c>
      <c r="D316" s="72" t="s">
        <v>494</v>
      </c>
      <c r="E316" s="73" t="s">
        <v>120</v>
      </c>
      <c r="F316" s="73"/>
      <c r="G316" s="73" t="s">
        <v>121</v>
      </c>
      <c r="H316" s="73" t="s">
        <v>392</v>
      </c>
      <c r="I316" s="191"/>
      <c r="J316" s="19">
        <v>0</v>
      </c>
      <c r="K316" s="167" t="s">
        <v>22</v>
      </c>
      <c r="L316" s="168">
        <v>0</v>
      </c>
      <c r="M316" s="168">
        <v>0</v>
      </c>
      <c r="N316" s="169">
        <f t="shared" si="185"/>
        <v>0</v>
      </c>
      <c r="O316" s="169">
        <f t="shared" si="186"/>
        <v>0</v>
      </c>
      <c r="P316" s="170">
        <f t="shared" si="187"/>
        <v>0</v>
      </c>
      <c r="Q316" s="335"/>
    </row>
    <row r="317" spans="1:17" ht="23.25" customHeight="1" x14ac:dyDescent="0.35">
      <c r="A317" s="18">
        <f t="shared" si="184"/>
        <v>296</v>
      </c>
      <c r="B317" s="26" t="s">
        <v>82</v>
      </c>
      <c r="C317" s="129" t="s">
        <v>119</v>
      </c>
      <c r="D317" s="72" t="s">
        <v>125</v>
      </c>
      <c r="E317" s="73" t="s">
        <v>120</v>
      </c>
      <c r="F317" s="73"/>
      <c r="G317" s="73" t="s">
        <v>121</v>
      </c>
      <c r="H317" s="73" t="s">
        <v>392</v>
      </c>
      <c r="I317" s="191"/>
      <c r="J317" s="19">
        <v>0</v>
      </c>
      <c r="K317" s="167" t="s">
        <v>22</v>
      </c>
      <c r="L317" s="168">
        <v>0</v>
      </c>
      <c r="M317" s="168">
        <v>0</v>
      </c>
      <c r="N317" s="169">
        <f t="shared" si="185"/>
        <v>0</v>
      </c>
      <c r="O317" s="169">
        <f t="shared" si="186"/>
        <v>0</v>
      </c>
      <c r="P317" s="170">
        <f t="shared" si="187"/>
        <v>0</v>
      </c>
      <c r="Q317" s="335"/>
    </row>
    <row r="318" spans="1:17" ht="23.25" customHeight="1" x14ac:dyDescent="0.35">
      <c r="A318" s="18">
        <f t="shared" si="184"/>
        <v>297</v>
      </c>
      <c r="B318" s="26" t="s">
        <v>82</v>
      </c>
      <c r="C318" s="129" t="s">
        <v>119</v>
      </c>
      <c r="D318" s="72" t="s">
        <v>518</v>
      </c>
      <c r="E318" s="73" t="s">
        <v>120</v>
      </c>
      <c r="F318" s="73"/>
      <c r="G318" s="73" t="s">
        <v>121</v>
      </c>
      <c r="H318" s="73" t="s">
        <v>392</v>
      </c>
      <c r="I318" s="191"/>
      <c r="J318" s="19">
        <v>0</v>
      </c>
      <c r="K318" s="167" t="s">
        <v>22</v>
      </c>
      <c r="L318" s="168">
        <v>0</v>
      </c>
      <c r="M318" s="168">
        <v>0</v>
      </c>
      <c r="N318" s="169">
        <f t="shared" si="185"/>
        <v>0</v>
      </c>
      <c r="O318" s="169">
        <f t="shared" si="186"/>
        <v>0</v>
      </c>
      <c r="P318" s="170">
        <f t="shared" si="187"/>
        <v>0</v>
      </c>
      <c r="Q318" s="335"/>
    </row>
    <row r="319" spans="1:17" ht="23.25" customHeight="1" x14ac:dyDescent="0.35">
      <c r="A319" s="18">
        <f t="shared" si="184"/>
        <v>298</v>
      </c>
      <c r="B319" s="26" t="s">
        <v>82</v>
      </c>
      <c r="C319" s="129" t="s">
        <v>119</v>
      </c>
      <c r="D319" s="72" t="s">
        <v>40</v>
      </c>
      <c r="E319" s="73" t="s">
        <v>120</v>
      </c>
      <c r="F319" s="73"/>
      <c r="G319" s="73" t="s">
        <v>121</v>
      </c>
      <c r="H319" s="73" t="s">
        <v>145</v>
      </c>
      <c r="I319" s="191"/>
      <c r="J319" s="19">
        <v>0</v>
      </c>
      <c r="K319" s="167" t="s">
        <v>22</v>
      </c>
      <c r="L319" s="168">
        <v>0</v>
      </c>
      <c r="M319" s="168">
        <v>0</v>
      </c>
      <c r="N319" s="169">
        <f t="shared" ref="N319" si="188">L319*J319</f>
        <v>0</v>
      </c>
      <c r="O319" s="169">
        <f t="shared" ref="O319" si="189">M319*J319</f>
        <v>0</v>
      </c>
      <c r="P319" s="170">
        <f t="shared" ref="P319" si="190">(L319*J319)+(M319*J319)</f>
        <v>0</v>
      </c>
      <c r="Q319" s="335"/>
    </row>
    <row r="320" spans="1:17" ht="23.25" customHeight="1" x14ac:dyDescent="0.35">
      <c r="A320" s="18">
        <f t="shared" si="184"/>
        <v>299</v>
      </c>
      <c r="B320" s="26" t="s">
        <v>82</v>
      </c>
      <c r="C320" s="129" t="s">
        <v>119</v>
      </c>
      <c r="D320" s="72" t="s">
        <v>53</v>
      </c>
      <c r="E320" s="73" t="s">
        <v>120</v>
      </c>
      <c r="F320" s="73"/>
      <c r="G320" s="73" t="s">
        <v>123</v>
      </c>
      <c r="H320" s="73" t="s">
        <v>145</v>
      </c>
      <c r="I320" s="191"/>
      <c r="J320" s="19">
        <v>0</v>
      </c>
      <c r="K320" s="167" t="s">
        <v>22</v>
      </c>
      <c r="L320" s="168">
        <v>0</v>
      </c>
      <c r="M320" s="168">
        <v>0</v>
      </c>
      <c r="N320" s="169">
        <f t="shared" ref="N320:N326" si="191">L320*J320</f>
        <v>0</v>
      </c>
      <c r="O320" s="169">
        <f t="shared" ref="O320:O326" si="192">M320*J320</f>
        <v>0</v>
      </c>
      <c r="P320" s="170">
        <f t="shared" ref="P320:P326" si="193">(L320*J320)+(M320*J320)</f>
        <v>0</v>
      </c>
      <c r="Q320" s="335"/>
    </row>
    <row r="321" spans="1:17" ht="23.25" customHeight="1" x14ac:dyDescent="0.35">
      <c r="A321" s="18">
        <f t="shared" si="184"/>
        <v>300</v>
      </c>
      <c r="B321" s="26" t="s">
        <v>82</v>
      </c>
      <c r="C321" s="129" t="s">
        <v>119</v>
      </c>
      <c r="D321" s="72" t="s">
        <v>493</v>
      </c>
      <c r="E321" s="73" t="s">
        <v>120</v>
      </c>
      <c r="F321" s="73"/>
      <c r="G321" s="73" t="s">
        <v>121</v>
      </c>
      <c r="H321" s="73" t="s">
        <v>145</v>
      </c>
      <c r="I321" s="191"/>
      <c r="J321" s="19">
        <v>0</v>
      </c>
      <c r="K321" s="167" t="s">
        <v>22</v>
      </c>
      <c r="L321" s="168">
        <v>0</v>
      </c>
      <c r="M321" s="168">
        <v>0</v>
      </c>
      <c r="N321" s="169">
        <f t="shared" si="191"/>
        <v>0</v>
      </c>
      <c r="O321" s="169">
        <f t="shared" si="192"/>
        <v>0</v>
      </c>
      <c r="P321" s="170">
        <f t="shared" si="193"/>
        <v>0</v>
      </c>
      <c r="Q321" s="335"/>
    </row>
    <row r="322" spans="1:17" ht="23.25" customHeight="1" x14ac:dyDescent="0.35">
      <c r="A322" s="18">
        <f t="shared" si="184"/>
        <v>301</v>
      </c>
      <c r="B322" s="26" t="s">
        <v>82</v>
      </c>
      <c r="C322" s="129" t="s">
        <v>119</v>
      </c>
      <c r="D322" s="72" t="s">
        <v>499</v>
      </c>
      <c r="E322" s="73" t="s">
        <v>120</v>
      </c>
      <c r="F322" s="73"/>
      <c r="G322" s="73" t="s">
        <v>121</v>
      </c>
      <c r="H322" s="73" t="s">
        <v>145</v>
      </c>
      <c r="I322" s="191"/>
      <c r="J322" s="19">
        <v>0</v>
      </c>
      <c r="K322" s="167" t="s">
        <v>22</v>
      </c>
      <c r="L322" s="168">
        <v>0</v>
      </c>
      <c r="M322" s="168">
        <v>0</v>
      </c>
      <c r="N322" s="169">
        <f t="shared" si="191"/>
        <v>0</v>
      </c>
      <c r="O322" s="169">
        <f t="shared" si="192"/>
        <v>0</v>
      </c>
      <c r="P322" s="170">
        <f t="shared" si="193"/>
        <v>0</v>
      </c>
      <c r="Q322" s="335"/>
    </row>
    <row r="323" spans="1:17" ht="23.25" customHeight="1" x14ac:dyDescent="0.35">
      <c r="A323" s="18">
        <f t="shared" si="184"/>
        <v>302</v>
      </c>
      <c r="B323" s="26" t="s">
        <v>82</v>
      </c>
      <c r="C323" s="129" t="s">
        <v>119</v>
      </c>
      <c r="D323" s="72" t="s">
        <v>91</v>
      </c>
      <c r="E323" s="73" t="s">
        <v>120</v>
      </c>
      <c r="F323" s="73" t="s">
        <v>124</v>
      </c>
      <c r="G323" s="73" t="s">
        <v>121</v>
      </c>
      <c r="H323" s="73" t="s">
        <v>145</v>
      </c>
      <c r="I323" s="191"/>
      <c r="J323" s="19">
        <v>0</v>
      </c>
      <c r="K323" s="167" t="s">
        <v>22</v>
      </c>
      <c r="L323" s="168">
        <v>0</v>
      </c>
      <c r="M323" s="168">
        <v>0</v>
      </c>
      <c r="N323" s="169">
        <f t="shared" si="191"/>
        <v>0</v>
      </c>
      <c r="O323" s="169">
        <f t="shared" si="192"/>
        <v>0</v>
      </c>
      <c r="P323" s="170">
        <f t="shared" si="193"/>
        <v>0</v>
      </c>
      <c r="Q323" s="335"/>
    </row>
    <row r="324" spans="1:17" ht="23.25" customHeight="1" x14ac:dyDescent="0.35">
      <c r="A324" s="18">
        <f t="shared" si="184"/>
        <v>303</v>
      </c>
      <c r="B324" s="26" t="s">
        <v>82</v>
      </c>
      <c r="C324" s="129" t="s">
        <v>119</v>
      </c>
      <c r="D324" s="72" t="s">
        <v>494</v>
      </c>
      <c r="E324" s="73" t="s">
        <v>120</v>
      </c>
      <c r="F324" s="73"/>
      <c r="G324" s="73" t="s">
        <v>121</v>
      </c>
      <c r="H324" s="73" t="s">
        <v>145</v>
      </c>
      <c r="I324" s="191"/>
      <c r="J324" s="19">
        <v>0</v>
      </c>
      <c r="K324" s="167" t="s">
        <v>22</v>
      </c>
      <c r="L324" s="168">
        <v>0</v>
      </c>
      <c r="M324" s="168">
        <v>0</v>
      </c>
      <c r="N324" s="169">
        <f t="shared" si="191"/>
        <v>0</v>
      </c>
      <c r="O324" s="169">
        <f t="shared" si="192"/>
        <v>0</v>
      </c>
      <c r="P324" s="170">
        <f t="shared" si="193"/>
        <v>0</v>
      </c>
      <c r="Q324" s="335"/>
    </row>
    <row r="325" spans="1:17" ht="23.25" customHeight="1" x14ac:dyDescent="0.35">
      <c r="A325" s="18">
        <f t="shared" si="184"/>
        <v>304</v>
      </c>
      <c r="B325" s="26" t="s">
        <v>82</v>
      </c>
      <c r="C325" s="129" t="s">
        <v>119</v>
      </c>
      <c r="D325" s="72" t="s">
        <v>125</v>
      </c>
      <c r="E325" s="73" t="s">
        <v>120</v>
      </c>
      <c r="F325" s="73"/>
      <c r="G325" s="73" t="s">
        <v>121</v>
      </c>
      <c r="H325" s="73" t="s">
        <v>145</v>
      </c>
      <c r="I325" s="191"/>
      <c r="J325" s="19">
        <v>0</v>
      </c>
      <c r="K325" s="167" t="s">
        <v>22</v>
      </c>
      <c r="L325" s="168">
        <v>0</v>
      </c>
      <c r="M325" s="168">
        <v>0</v>
      </c>
      <c r="N325" s="169">
        <f t="shared" si="191"/>
        <v>0</v>
      </c>
      <c r="O325" s="169">
        <f t="shared" si="192"/>
        <v>0</v>
      </c>
      <c r="P325" s="170">
        <f t="shared" si="193"/>
        <v>0</v>
      </c>
      <c r="Q325" s="335"/>
    </row>
    <row r="326" spans="1:17" ht="23.25" customHeight="1" x14ac:dyDescent="0.35">
      <c r="A326" s="18">
        <f t="shared" si="184"/>
        <v>305</v>
      </c>
      <c r="B326" s="26" t="s">
        <v>82</v>
      </c>
      <c r="C326" s="129" t="s">
        <v>119</v>
      </c>
      <c r="D326" s="72" t="s">
        <v>518</v>
      </c>
      <c r="E326" s="73" t="s">
        <v>120</v>
      </c>
      <c r="F326" s="73"/>
      <c r="G326" s="73" t="s">
        <v>121</v>
      </c>
      <c r="H326" s="73" t="s">
        <v>145</v>
      </c>
      <c r="I326" s="191"/>
      <c r="J326" s="19">
        <v>0</v>
      </c>
      <c r="K326" s="167" t="s">
        <v>22</v>
      </c>
      <c r="L326" s="168">
        <v>0</v>
      </c>
      <c r="M326" s="168">
        <v>0</v>
      </c>
      <c r="N326" s="169">
        <f t="shared" si="191"/>
        <v>0</v>
      </c>
      <c r="O326" s="169">
        <f t="shared" si="192"/>
        <v>0</v>
      </c>
      <c r="P326" s="170">
        <f t="shared" si="193"/>
        <v>0</v>
      </c>
      <c r="Q326" s="335"/>
    </row>
    <row r="327" spans="1:17" ht="23.25" customHeight="1" x14ac:dyDescent="0.35">
      <c r="A327" s="18">
        <f t="shared" si="184"/>
        <v>306</v>
      </c>
      <c r="B327" s="26" t="s">
        <v>82</v>
      </c>
      <c r="C327" s="129" t="s">
        <v>119</v>
      </c>
      <c r="D327" s="72" t="s">
        <v>500</v>
      </c>
      <c r="E327" s="73" t="s">
        <v>120</v>
      </c>
      <c r="F327" s="73"/>
      <c r="G327" s="73" t="s">
        <v>104</v>
      </c>
      <c r="H327" s="73" t="s">
        <v>62</v>
      </c>
      <c r="I327" s="191"/>
      <c r="J327" s="19">
        <v>0</v>
      </c>
      <c r="K327" s="167" t="s">
        <v>22</v>
      </c>
      <c r="L327" s="168">
        <v>0</v>
      </c>
      <c r="M327" s="168">
        <v>0</v>
      </c>
      <c r="N327" s="169">
        <f t="shared" si="181"/>
        <v>0</v>
      </c>
      <c r="O327" s="169">
        <f t="shared" si="182"/>
        <v>0</v>
      </c>
      <c r="P327" s="170">
        <f t="shared" si="183"/>
        <v>0</v>
      </c>
      <c r="Q327" s="335"/>
    </row>
    <row r="328" spans="1:17" ht="23.25" customHeight="1" x14ac:dyDescent="0.35">
      <c r="A328" s="18">
        <f t="shared" si="184"/>
        <v>307</v>
      </c>
      <c r="B328" s="26" t="s">
        <v>82</v>
      </c>
      <c r="C328" s="129" t="s">
        <v>119</v>
      </c>
      <c r="D328" s="72" t="s">
        <v>501</v>
      </c>
      <c r="E328" s="73" t="s">
        <v>120</v>
      </c>
      <c r="F328" s="73"/>
      <c r="G328" s="73" t="s">
        <v>104</v>
      </c>
      <c r="H328" s="73" t="s">
        <v>62</v>
      </c>
      <c r="I328" s="191"/>
      <c r="J328" s="19">
        <v>0</v>
      </c>
      <c r="K328" s="167" t="s">
        <v>22</v>
      </c>
      <c r="L328" s="168">
        <v>0</v>
      </c>
      <c r="M328" s="168">
        <v>0</v>
      </c>
      <c r="N328" s="169">
        <f t="shared" si="181"/>
        <v>0</v>
      </c>
      <c r="O328" s="169">
        <f t="shared" si="182"/>
        <v>0</v>
      </c>
      <c r="P328" s="170">
        <f t="shared" si="183"/>
        <v>0</v>
      </c>
      <c r="Q328" s="335"/>
    </row>
    <row r="329" spans="1:17" ht="23.25" customHeight="1" x14ac:dyDescent="0.35">
      <c r="A329" s="18">
        <f t="shared" si="184"/>
        <v>308</v>
      </c>
      <c r="B329" s="26" t="s">
        <v>82</v>
      </c>
      <c r="C329" s="129" t="s">
        <v>119</v>
      </c>
      <c r="D329" s="72" t="s">
        <v>502</v>
      </c>
      <c r="E329" s="73" t="s">
        <v>120</v>
      </c>
      <c r="F329" s="73"/>
      <c r="G329" s="73" t="s">
        <v>104</v>
      </c>
      <c r="H329" s="73" t="s">
        <v>62</v>
      </c>
      <c r="I329" s="191"/>
      <c r="J329" s="19">
        <v>0</v>
      </c>
      <c r="K329" s="167" t="s">
        <v>22</v>
      </c>
      <c r="L329" s="168">
        <v>0</v>
      </c>
      <c r="M329" s="168">
        <v>0</v>
      </c>
      <c r="N329" s="169">
        <f t="shared" si="181"/>
        <v>0</v>
      </c>
      <c r="O329" s="169">
        <f t="shared" si="182"/>
        <v>0</v>
      </c>
      <c r="P329" s="170">
        <f t="shared" si="183"/>
        <v>0</v>
      </c>
      <c r="Q329" s="335"/>
    </row>
    <row r="330" spans="1:17" ht="23.25" customHeight="1" x14ac:dyDescent="0.35">
      <c r="A330" s="18">
        <f t="shared" si="184"/>
        <v>309</v>
      </c>
      <c r="B330" s="26" t="s">
        <v>82</v>
      </c>
      <c r="C330" s="129" t="s">
        <v>119</v>
      </c>
      <c r="D330" s="72" t="s">
        <v>503</v>
      </c>
      <c r="E330" s="73" t="s">
        <v>120</v>
      </c>
      <c r="F330" s="73"/>
      <c r="G330" s="73" t="s">
        <v>104</v>
      </c>
      <c r="H330" s="73" t="s">
        <v>126</v>
      </c>
      <c r="I330" s="191"/>
      <c r="J330" s="19">
        <v>0</v>
      </c>
      <c r="K330" s="167" t="s">
        <v>22</v>
      </c>
      <c r="L330" s="168">
        <v>0</v>
      </c>
      <c r="M330" s="168">
        <v>0</v>
      </c>
      <c r="N330" s="169">
        <f t="shared" si="181"/>
        <v>0</v>
      </c>
      <c r="O330" s="169">
        <f t="shared" si="182"/>
        <v>0</v>
      </c>
      <c r="P330" s="170">
        <f t="shared" si="183"/>
        <v>0</v>
      </c>
      <c r="Q330" s="335"/>
    </row>
    <row r="331" spans="1:17" ht="23.25" customHeight="1" x14ac:dyDescent="0.35">
      <c r="A331" s="18">
        <f t="shared" si="184"/>
        <v>310</v>
      </c>
      <c r="B331" s="26" t="s">
        <v>82</v>
      </c>
      <c r="C331" s="129" t="s">
        <v>119</v>
      </c>
      <c r="D331" s="72" t="s">
        <v>503</v>
      </c>
      <c r="E331" s="73" t="s">
        <v>120</v>
      </c>
      <c r="F331" s="73"/>
      <c r="G331" s="73" t="s">
        <v>104</v>
      </c>
      <c r="H331" s="73" t="s">
        <v>127</v>
      </c>
      <c r="I331" s="191"/>
      <c r="J331" s="19">
        <v>0</v>
      </c>
      <c r="K331" s="167" t="s">
        <v>22</v>
      </c>
      <c r="L331" s="168">
        <v>0</v>
      </c>
      <c r="M331" s="168">
        <v>0</v>
      </c>
      <c r="N331" s="169">
        <f t="shared" si="181"/>
        <v>0</v>
      </c>
      <c r="O331" s="169">
        <f t="shared" si="182"/>
        <v>0</v>
      </c>
      <c r="P331" s="170">
        <f t="shared" si="183"/>
        <v>0</v>
      </c>
      <c r="Q331" s="335"/>
    </row>
    <row r="332" spans="1:17" ht="23.25" customHeight="1" x14ac:dyDescent="0.35">
      <c r="A332" s="18">
        <f t="shared" si="184"/>
        <v>311</v>
      </c>
      <c r="B332" s="26" t="s">
        <v>82</v>
      </c>
      <c r="C332" s="129" t="s">
        <v>119</v>
      </c>
      <c r="D332" s="72" t="s">
        <v>503</v>
      </c>
      <c r="E332" s="73" t="s">
        <v>120</v>
      </c>
      <c r="F332" s="73"/>
      <c r="G332" s="73" t="s">
        <v>104</v>
      </c>
      <c r="H332" s="73" t="s">
        <v>537</v>
      </c>
      <c r="I332" s="191"/>
      <c r="J332" s="19">
        <v>0</v>
      </c>
      <c r="K332" s="167" t="s">
        <v>22</v>
      </c>
      <c r="L332" s="168">
        <v>0</v>
      </c>
      <c r="M332" s="168">
        <v>0</v>
      </c>
      <c r="N332" s="169">
        <f t="shared" si="181"/>
        <v>0</v>
      </c>
      <c r="O332" s="169">
        <f t="shared" si="182"/>
        <v>0</v>
      </c>
      <c r="P332" s="170">
        <f t="shared" si="183"/>
        <v>0</v>
      </c>
      <c r="Q332" s="335"/>
    </row>
    <row r="333" spans="1:17" ht="23.25" customHeight="1" x14ac:dyDescent="0.35">
      <c r="A333" s="18">
        <f t="shared" si="184"/>
        <v>312</v>
      </c>
      <c r="B333" s="26" t="s">
        <v>82</v>
      </c>
      <c r="C333" s="129" t="s">
        <v>119</v>
      </c>
      <c r="D333" s="72" t="s">
        <v>504</v>
      </c>
      <c r="E333" s="73" t="s">
        <v>128</v>
      </c>
      <c r="F333" s="73"/>
      <c r="G333" s="73"/>
      <c r="H333" s="73" t="s">
        <v>122</v>
      </c>
      <c r="I333" s="191"/>
      <c r="J333" s="19">
        <v>0</v>
      </c>
      <c r="K333" s="167" t="s">
        <v>22</v>
      </c>
      <c r="L333" s="168">
        <v>0</v>
      </c>
      <c r="M333" s="168">
        <v>0</v>
      </c>
      <c r="N333" s="169">
        <f t="shared" si="181"/>
        <v>0</v>
      </c>
      <c r="O333" s="169">
        <f t="shared" si="182"/>
        <v>0</v>
      </c>
      <c r="P333" s="170">
        <f t="shared" si="183"/>
        <v>0</v>
      </c>
      <c r="Q333" s="335"/>
    </row>
    <row r="334" spans="1:17" ht="23.25" customHeight="1" x14ac:dyDescent="0.35">
      <c r="A334" s="18">
        <f t="shared" si="184"/>
        <v>313</v>
      </c>
      <c r="B334" s="26" t="s">
        <v>82</v>
      </c>
      <c r="C334" s="129" t="s">
        <v>119</v>
      </c>
      <c r="D334" s="72" t="s">
        <v>504</v>
      </c>
      <c r="E334" s="73" t="s">
        <v>128</v>
      </c>
      <c r="F334" s="73"/>
      <c r="G334" s="73"/>
      <c r="H334" s="73" t="s">
        <v>129</v>
      </c>
      <c r="I334" s="191"/>
      <c r="J334" s="19">
        <v>0</v>
      </c>
      <c r="K334" s="167" t="s">
        <v>22</v>
      </c>
      <c r="L334" s="168">
        <v>0</v>
      </c>
      <c r="M334" s="168">
        <v>0</v>
      </c>
      <c r="N334" s="169">
        <f t="shared" si="181"/>
        <v>0</v>
      </c>
      <c r="O334" s="169">
        <f t="shared" si="182"/>
        <v>0</v>
      </c>
      <c r="P334" s="170">
        <f t="shared" si="183"/>
        <v>0</v>
      </c>
      <c r="Q334" s="335"/>
    </row>
    <row r="335" spans="1:17" ht="23.25" customHeight="1" x14ac:dyDescent="0.35">
      <c r="A335" s="18">
        <f t="shared" si="184"/>
        <v>314</v>
      </c>
      <c r="B335" s="26" t="s">
        <v>82</v>
      </c>
      <c r="C335" s="129" t="s">
        <v>119</v>
      </c>
      <c r="D335" s="72" t="s">
        <v>504</v>
      </c>
      <c r="E335" s="73" t="s">
        <v>128</v>
      </c>
      <c r="F335" s="73"/>
      <c r="G335" s="73"/>
      <c r="H335" s="73" t="s">
        <v>130</v>
      </c>
      <c r="I335" s="191"/>
      <c r="J335" s="19">
        <v>0</v>
      </c>
      <c r="K335" s="167" t="s">
        <v>22</v>
      </c>
      <c r="L335" s="168">
        <v>0</v>
      </c>
      <c r="M335" s="168">
        <v>0</v>
      </c>
      <c r="N335" s="169">
        <f t="shared" si="181"/>
        <v>0</v>
      </c>
      <c r="O335" s="169">
        <f t="shared" si="182"/>
        <v>0</v>
      </c>
      <c r="P335" s="170">
        <f t="shared" si="183"/>
        <v>0</v>
      </c>
      <c r="Q335" s="335"/>
    </row>
    <row r="336" spans="1:17" ht="23.25" customHeight="1" x14ac:dyDescent="0.35">
      <c r="A336" s="18">
        <f t="shared" si="184"/>
        <v>315</v>
      </c>
      <c r="B336" s="26" t="s">
        <v>82</v>
      </c>
      <c r="C336" s="129" t="s">
        <v>119</v>
      </c>
      <c r="D336" s="72" t="s">
        <v>504</v>
      </c>
      <c r="E336" s="73" t="s">
        <v>131</v>
      </c>
      <c r="F336" s="73"/>
      <c r="G336" s="73"/>
      <c r="H336" s="73" t="s">
        <v>122</v>
      </c>
      <c r="I336" s="191"/>
      <c r="J336" s="19">
        <v>0</v>
      </c>
      <c r="K336" s="167" t="s">
        <v>22</v>
      </c>
      <c r="L336" s="168">
        <v>0</v>
      </c>
      <c r="M336" s="168">
        <v>0</v>
      </c>
      <c r="N336" s="169">
        <f t="shared" si="181"/>
        <v>0</v>
      </c>
      <c r="O336" s="169">
        <f t="shared" si="182"/>
        <v>0</v>
      </c>
      <c r="P336" s="170">
        <f t="shared" si="183"/>
        <v>0</v>
      </c>
      <c r="Q336" s="335"/>
    </row>
    <row r="337" spans="1:17" ht="23.25" customHeight="1" x14ac:dyDescent="0.35">
      <c r="A337" s="18">
        <f t="shared" si="184"/>
        <v>316</v>
      </c>
      <c r="B337" s="26" t="s">
        <v>82</v>
      </c>
      <c r="C337" s="129" t="s">
        <v>119</v>
      </c>
      <c r="D337" s="72" t="s">
        <v>504</v>
      </c>
      <c r="E337" s="73" t="s">
        <v>131</v>
      </c>
      <c r="F337" s="73"/>
      <c r="G337" s="73"/>
      <c r="H337" s="73" t="s">
        <v>129</v>
      </c>
      <c r="I337" s="191"/>
      <c r="J337" s="19">
        <v>0</v>
      </c>
      <c r="K337" s="167" t="s">
        <v>22</v>
      </c>
      <c r="L337" s="168">
        <v>0</v>
      </c>
      <c r="M337" s="168">
        <v>0</v>
      </c>
      <c r="N337" s="169">
        <f t="shared" si="181"/>
        <v>0</v>
      </c>
      <c r="O337" s="169">
        <f t="shared" si="182"/>
        <v>0</v>
      </c>
      <c r="P337" s="170">
        <f t="shared" si="183"/>
        <v>0</v>
      </c>
      <c r="Q337" s="335"/>
    </row>
    <row r="338" spans="1:17" ht="23.25" customHeight="1" x14ac:dyDescent="0.35">
      <c r="A338" s="18">
        <f t="shared" si="184"/>
        <v>317</v>
      </c>
      <c r="B338" s="26" t="s">
        <v>82</v>
      </c>
      <c r="C338" s="129" t="s">
        <v>119</v>
      </c>
      <c r="D338" s="72" t="s">
        <v>504</v>
      </c>
      <c r="E338" s="73" t="s">
        <v>131</v>
      </c>
      <c r="F338" s="73"/>
      <c r="G338" s="73"/>
      <c r="H338" s="73" t="s">
        <v>130</v>
      </c>
      <c r="I338" s="191"/>
      <c r="J338" s="19">
        <v>0</v>
      </c>
      <c r="K338" s="167" t="s">
        <v>22</v>
      </c>
      <c r="L338" s="168">
        <v>0</v>
      </c>
      <c r="M338" s="168">
        <v>0</v>
      </c>
      <c r="N338" s="169">
        <f t="shared" si="181"/>
        <v>0</v>
      </c>
      <c r="O338" s="169">
        <f t="shared" si="182"/>
        <v>0</v>
      </c>
      <c r="P338" s="170">
        <f t="shared" si="183"/>
        <v>0</v>
      </c>
      <c r="Q338" s="335"/>
    </row>
    <row r="339" spans="1:17" ht="23.25" customHeight="1" x14ac:dyDescent="0.35">
      <c r="A339" s="18">
        <f t="shared" si="184"/>
        <v>318</v>
      </c>
      <c r="B339" s="26" t="s">
        <v>82</v>
      </c>
      <c r="C339" s="129" t="s">
        <v>119</v>
      </c>
      <c r="D339" s="72" t="s">
        <v>40</v>
      </c>
      <c r="E339" s="73" t="s">
        <v>41</v>
      </c>
      <c r="F339" s="73"/>
      <c r="G339" s="73" t="s">
        <v>42</v>
      </c>
      <c r="H339" s="73" t="s">
        <v>132</v>
      </c>
      <c r="I339" s="191"/>
      <c r="J339" s="19">
        <v>0</v>
      </c>
      <c r="K339" s="167" t="s">
        <v>34</v>
      </c>
      <c r="L339" s="168">
        <v>0</v>
      </c>
      <c r="M339" s="168">
        <v>0</v>
      </c>
      <c r="N339" s="169">
        <f t="shared" si="181"/>
        <v>0</v>
      </c>
      <c r="O339" s="169">
        <f t="shared" si="182"/>
        <v>0</v>
      </c>
      <c r="P339" s="170">
        <f t="shared" si="183"/>
        <v>0</v>
      </c>
      <c r="Q339" s="335"/>
    </row>
    <row r="340" spans="1:17" ht="23.25" customHeight="1" x14ac:dyDescent="0.35">
      <c r="A340" s="18">
        <f t="shared" si="184"/>
        <v>319</v>
      </c>
      <c r="B340" s="26" t="s">
        <v>82</v>
      </c>
      <c r="C340" s="129" t="s">
        <v>119</v>
      </c>
      <c r="D340" s="72" t="s">
        <v>40</v>
      </c>
      <c r="E340" s="73" t="s">
        <v>41</v>
      </c>
      <c r="F340" s="73"/>
      <c r="G340" s="73" t="s">
        <v>42</v>
      </c>
      <c r="H340" s="73" t="s">
        <v>133</v>
      </c>
      <c r="I340" s="191"/>
      <c r="J340" s="19">
        <v>0</v>
      </c>
      <c r="K340" s="167" t="s">
        <v>34</v>
      </c>
      <c r="L340" s="168">
        <v>0</v>
      </c>
      <c r="M340" s="168">
        <v>0</v>
      </c>
      <c r="N340" s="169">
        <f t="shared" si="181"/>
        <v>0</v>
      </c>
      <c r="O340" s="169">
        <f t="shared" si="182"/>
        <v>0</v>
      </c>
      <c r="P340" s="170">
        <f t="shared" si="183"/>
        <v>0</v>
      </c>
      <c r="Q340" s="335"/>
    </row>
    <row r="341" spans="1:17" ht="23.25" customHeight="1" x14ac:dyDescent="0.35">
      <c r="A341" s="18">
        <f t="shared" si="184"/>
        <v>320</v>
      </c>
      <c r="B341" s="26" t="s">
        <v>82</v>
      </c>
      <c r="C341" s="129" t="s">
        <v>119</v>
      </c>
      <c r="D341" s="72" t="s">
        <v>505</v>
      </c>
      <c r="E341" s="73" t="s">
        <v>41</v>
      </c>
      <c r="F341" s="73"/>
      <c r="G341" s="73" t="s">
        <v>42</v>
      </c>
      <c r="H341" s="73" t="s">
        <v>62</v>
      </c>
      <c r="I341" s="191"/>
      <c r="J341" s="19">
        <v>0</v>
      </c>
      <c r="K341" s="167" t="s">
        <v>22</v>
      </c>
      <c r="L341" s="168">
        <v>0</v>
      </c>
      <c r="M341" s="168">
        <v>0</v>
      </c>
      <c r="N341" s="169">
        <f t="shared" si="181"/>
        <v>0</v>
      </c>
      <c r="O341" s="169">
        <f t="shared" si="182"/>
        <v>0</v>
      </c>
      <c r="P341" s="170">
        <f t="shared" si="183"/>
        <v>0</v>
      </c>
      <c r="Q341" s="335"/>
    </row>
    <row r="342" spans="1:17" ht="23.25" customHeight="1" x14ac:dyDescent="0.35">
      <c r="A342" s="18">
        <f t="shared" si="184"/>
        <v>321</v>
      </c>
      <c r="B342" s="26" t="s">
        <v>82</v>
      </c>
      <c r="C342" s="135" t="s">
        <v>119</v>
      </c>
      <c r="D342" s="72" t="s">
        <v>498</v>
      </c>
      <c r="E342" s="73"/>
      <c r="F342" s="73"/>
      <c r="G342" s="73"/>
      <c r="H342" s="73"/>
      <c r="I342" s="191"/>
      <c r="J342" s="19">
        <v>0</v>
      </c>
      <c r="K342" s="167" t="s">
        <v>22</v>
      </c>
      <c r="L342" s="168">
        <v>0</v>
      </c>
      <c r="M342" s="168">
        <v>0</v>
      </c>
      <c r="N342" s="169">
        <f t="shared" si="181"/>
        <v>0</v>
      </c>
      <c r="O342" s="169">
        <f t="shared" si="182"/>
        <v>0</v>
      </c>
      <c r="P342" s="170">
        <f t="shared" si="183"/>
        <v>0</v>
      </c>
      <c r="Q342" s="335"/>
    </row>
    <row r="343" spans="1:17" ht="23.25" customHeight="1" x14ac:dyDescent="0.35">
      <c r="A343" s="18">
        <f t="shared" si="184"/>
        <v>322</v>
      </c>
      <c r="B343" s="26" t="s">
        <v>82</v>
      </c>
      <c r="C343" s="135" t="s">
        <v>119</v>
      </c>
      <c r="D343" s="43" t="s">
        <v>358</v>
      </c>
      <c r="E343" s="5"/>
      <c r="F343" s="5"/>
      <c r="G343" s="5"/>
      <c r="H343" s="5"/>
      <c r="I343" s="20"/>
      <c r="J343" s="19">
        <f>I343</f>
        <v>0</v>
      </c>
      <c r="K343" s="171"/>
      <c r="L343" s="168">
        <v>0</v>
      </c>
      <c r="M343" s="168">
        <v>0</v>
      </c>
      <c r="N343" s="169">
        <f>L343*J343</f>
        <v>0</v>
      </c>
      <c r="O343" s="169">
        <f>M343*J343</f>
        <v>0</v>
      </c>
      <c r="P343" s="170">
        <f>(L343*J343)+(M343*J343)</f>
        <v>0</v>
      </c>
      <c r="Q343" s="326"/>
    </row>
    <row r="344" spans="1:17" ht="23.25" customHeight="1" thickBot="1" x14ac:dyDescent="0.4">
      <c r="A344" s="38">
        <f>A343+1</f>
        <v>323</v>
      </c>
      <c r="B344" s="39" t="s">
        <v>82</v>
      </c>
      <c r="C344" s="136" t="s">
        <v>119</v>
      </c>
      <c r="D344" s="44" t="s">
        <v>358</v>
      </c>
      <c r="E344" s="40"/>
      <c r="F344" s="40"/>
      <c r="G344" s="40"/>
      <c r="H344" s="40"/>
      <c r="I344" s="41"/>
      <c r="J344" s="24">
        <f>I344</f>
        <v>0</v>
      </c>
      <c r="K344" s="194"/>
      <c r="L344" s="195">
        <v>0</v>
      </c>
      <c r="M344" s="195">
        <v>0</v>
      </c>
      <c r="N344" s="196">
        <f>L344*J344</f>
        <v>0</v>
      </c>
      <c r="O344" s="196">
        <f>M344*J344</f>
        <v>0</v>
      </c>
      <c r="P344" s="197">
        <f>(L344*J344)+(M344*J344)</f>
        <v>0</v>
      </c>
      <c r="Q344" s="328"/>
    </row>
    <row r="345" spans="1:17" ht="23.25" customHeight="1" x14ac:dyDescent="0.35">
      <c r="A345" s="28"/>
      <c r="B345" s="35" t="s">
        <v>28</v>
      </c>
      <c r="C345" s="127" t="s">
        <v>134</v>
      </c>
      <c r="D345" s="148" t="s">
        <v>28</v>
      </c>
      <c r="E345" s="149"/>
      <c r="F345" s="149"/>
      <c r="G345" s="149"/>
      <c r="H345" s="150"/>
      <c r="I345" s="150"/>
      <c r="J345" s="198"/>
      <c r="K345" s="153"/>
      <c r="L345" s="199"/>
      <c r="M345" s="199"/>
      <c r="N345" s="200"/>
      <c r="O345" s="200"/>
      <c r="P345" s="155"/>
      <c r="Q345" s="343"/>
    </row>
    <row r="346" spans="1:17" ht="23.25" customHeight="1" thickBot="1" x14ac:dyDescent="0.4">
      <c r="A346" s="38"/>
      <c r="B346" s="39" t="s">
        <v>28</v>
      </c>
      <c r="C346" s="128" t="s">
        <v>134</v>
      </c>
      <c r="D346" s="201" t="s">
        <v>134</v>
      </c>
      <c r="E346" s="229"/>
      <c r="F346" s="229"/>
      <c r="G346" s="229"/>
      <c r="H346" s="229"/>
      <c r="I346" s="230"/>
      <c r="J346" s="231"/>
      <c r="K346" s="232"/>
      <c r="L346" s="233"/>
      <c r="M346" s="233"/>
      <c r="N346" s="234"/>
      <c r="O346" s="234"/>
      <c r="P346" s="208"/>
      <c r="Q346" s="344"/>
    </row>
    <row r="347" spans="1:17" ht="23.25" customHeight="1" x14ac:dyDescent="0.35">
      <c r="A347" s="28">
        <f>A344+1</f>
        <v>324</v>
      </c>
      <c r="B347" s="35" t="s">
        <v>28</v>
      </c>
      <c r="C347" s="127" t="s">
        <v>134</v>
      </c>
      <c r="D347" s="77" t="s">
        <v>40</v>
      </c>
      <c r="E347" s="78" t="s">
        <v>65</v>
      </c>
      <c r="F347" s="78"/>
      <c r="G347" s="78" t="s">
        <v>393</v>
      </c>
      <c r="H347" s="78" t="s">
        <v>135</v>
      </c>
      <c r="I347" s="189"/>
      <c r="J347" s="32">
        <v>0</v>
      </c>
      <c r="K347" s="190" t="s">
        <v>51</v>
      </c>
      <c r="L347" s="185">
        <v>0</v>
      </c>
      <c r="M347" s="185">
        <v>0</v>
      </c>
      <c r="N347" s="186">
        <f t="shared" ref="N347:N389" si="194">L347*J347</f>
        <v>0</v>
      </c>
      <c r="O347" s="186">
        <f t="shared" ref="O347:O389" si="195">M347*J347</f>
        <v>0</v>
      </c>
      <c r="P347" s="187">
        <f t="shared" ref="P347:P389" si="196">(L347*J347)+(M347*J347)</f>
        <v>0</v>
      </c>
      <c r="Q347" s="336"/>
    </row>
    <row r="348" spans="1:17" ht="23.25" customHeight="1" x14ac:dyDescent="0.35">
      <c r="A348" s="18">
        <f>A347+1</f>
        <v>325</v>
      </c>
      <c r="B348" s="26" t="s">
        <v>28</v>
      </c>
      <c r="C348" s="129" t="s">
        <v>134</v>
      </c>
      <c r="D348" s="72" t="s">
        <v>493</v>
      </c>
      <c r="E348" s="73" t="s">
        <v>65</v>
      </c>
      <c r="F348" s="73"/>
      <c r="G348" s="73"/>
      <c r="H348" s="73" t="s">
        <v>135</v>
      </c>
      <c r="I348" s="191"/>
      <c r="J348" s="19">
        <v>0</v>
      </c>
      <c r="K348" s="167" t="s">
        <v>22</v>
      </c>
      <c r="L348" s="168">
        <v>0</v>
      </c>
      <c r="M348" s="168">
        <v>0</v>
      </c>
      <c r="N348" s="169">
        <f t="shared" si="194"/>
        <v>0</v>
      </c>
      <c r="O348" s="169">
        <f t="shared" si="195"/>
        <v>0</v>
      </c>
      <c r="P348" s="170">
        <f t="shared" si="196"/>
        <v>0</v>
      </c>
      <c r="Q348" s="335"/>
    </row>
    <row r="349" spans="1:17" ht="23.25" customHeight="1" x14ac:dyDescent="0.35">
      <c r="A349" s="18">
        <f t="shared" ref="A349:A391" si="197">A348+1</f>
        <v>326</v>
      </c>
      <c r="B349" s="26" t="s">
        <v>28</v>
      </c>
      <c r="C349" s="129" t="s">
        <v>134</v>
      </c>
      <c r="D349" s="72" t="s">
        <v>519</v>
      </c>
      <c r="E349" s="73" t="s">
        <v>65</v>
      </c>
      <c r="F349" s="73"/>
      <c r="G349" s="73"/>
      <c r="H349" s="73" t="s">
        <v>135</v>
      </c>
      <c r="I349" s="191"/>
      <c r="J349" s="19">
        <v>0</v>
      </c>
      <c r="K349" s="167" t="s">
        <v>22</v>
      </c>
      <c r="L349" s="168">
        <v>0</v>
      </c>
      <c r="M349" s="168">
        <v>0</v>
      </c>
      <c r="N349" s="169">
        <f t="shared" ref="N349" si="198">L349*J349</f>
        <v>0</v>
      </c>
      <c r="O349" s="169">
        <f t="shared" ref="O349" si="199">M349*J349</f>
        <v>0</v>
      </c>
      <c r="P349" s="170">
        <f t="shared" ref="P349" si="200">(L349*J349)+(M349*J349)</f>
        <v>0</v>
      </c>
      <c r="Q349" s="335"/>
    </row>
    <row r="350" spans="1:17" ht="23.25" customHeight="1" x14ac:dyDescent="0.35">
      <c r="A350" s="18">
        <f t="shared" si="197"/>
        <v>327</v>
      </c>
      <c r="B350" s="26" t="s">
        <v>28</v>
      </c>
      <c r="C350" s="129" t="s">
        <v>134</v>
      </c>
      <c r="D350" s="72" t="s">
        <v>53</v>
      </c>
      <c r="E350" s="73" t="s">
        <v>65</v>
      </c>
      <c r="F350" s="73"/>
      <c r="G350" s="73"/>
      <c r="H350" s="73" t="s">
        <v>135</v>
      </c>
      <c r="I350" s="191"/>
      <c r="J350" s="19">
        <v>0</v>
      </c>
      <c r="K350" s="167" t="s">
        <v>22</v>
      </c>
      <c r="L350" s="168">
        <v>0</v>
      </c>
      <c r="M350" s="168">
        <v>0</v>
      </c>
      <c r="N350" s="169">
        <f t="shared" si="194"/>
        <v>0</v>
      </c>
      <c r="O350" s="169">
        <f t="shared" si="195"/>
        <v>0</v>
      </c>
      <c r="P350" s="170">
        <f t="shared" si="196"/>
        <v>0</v>
      </c>
      <c r="Q350" s="335"/>
    </row>
    <row r="351" spans="1:17" ht="23.25" customHeight="1" x14ac:dyDescent="0.35">
      <c r="A351" s="18">
        <f t="shared" si="197"/>
        <v>328</v>
      </c>
      <c r="B351" s="26" t="s">
        <v>28</v>
      </c>
      <c r="C351" s="129" t="s">
        <v>134</v>
      </c>
      <c r="D351" s="72" t="s">
        <v>506</v>
      </c>
      <c r="E351" s="73" t="s">
        <v>65</v>
      </c>
      <c r="F351" s="73"/>
      <c r="G351" s="73" t="s">
        <v>394</v>
      </c>
      <c r="H351" s="73" t="s">
        <v>135</v>
      </c>
      <c r="I351" s="191"/>
      <c r="J351" s="19">
        <v>0</v>
      </c>
      <c r="K351" s="167" t="s">
        <v>22</v>
      </c>
      <c r="L351" s="168">
        <v>0</v>
      </c>
      <c r="M351" s="168">
        <v>0</v>
      </c>
      <c r="N351" s="169">
        <f t="shared" si="194"/>
        <v>0</v>
      </c>
      <c r="O351" s="169">
        <f t="shared" si="195"/>
        <v>0</v>
      </c>
      <c r="P351" s="170">
        <f t="shared" si="196"/>
        <v>0</v>
      </c>
      <c r="Q351" s="335"/>
    </row>
    <row r="352" spans="1:17" ht="23.25" customHeight="1" x14ac:dyDescent="0.35">
      <c r="A352" s="18">
        <f t="shared" si="197"/>
        <v>329</v>
      </c>
      <c r="B352" s="26" t="s">
        <v>28</v>
      </c>
      <c r="C352" s="129" t="s">
        <v>134</v>
      </c>
      <c r="D352" s="72" t="s">
        <v>40</v>
      </c>
      <c r="E352" s="73" t="s">
        <v>65</v>
      </c>
      <c r="F352" s="73"/>
      <c r="G352" s="73" t="s">
        <v>393</v>
      </c>
      <c r="H352" s="73" t="s">
        <v>136</v>
      </c>
      <c r="I352" s="191"/>
      <c r="J352" s="19">
        <v>0</v>
      </c>
      <c r="K352" s="167" t="s">
        <v>51</v>
      </c>
      <c r="L352" s="168">
        <v>0</v>
      </c>
      <c r="M352" s="168">
        <v>0</v>
      </c>
      <c r="N352" s="169">
        <f t="shared" si="194"/>
        <v>0</v>
      </c>
      <c r="O352" s="169">
        <f t="shared" si="195"/>
        <v>0</v>
      </c>
      <c r="P352" s="170">
        <f t="shared" si="196"/>
        <v>0</v>
      </c>
      <c r="Q352" s="335"/>
    </row>
    <row r="353" spans="1:17" ht="23.25" customHeight="1" x14ac:dyDescent="0.35">
      <c r="A353" s="18">
        <f t="shared" si="197"/>
        <v>330</v>
      </c>
      <c r="B353" s="26" t="s">
        <v>28</v>
      </c>
      <c r="C353" s="129" t="s">
        <v>134</v>
      </c>
      <c r="D353" s="72" t="s">
        <v>493</v>
      </c>
      <c r="E353" s="73" t="s">
        <v>65</v>
      </c>
      <c r="F353" s="73"/>
      <c r="G353" s="73"/>
      <c r="H353" s="73" t="s">
        <v>136</v>
      </c>
      <c r="I353" s="191"/>
      <c r="J353" s="19">
        <v>0</v>
      </c>
      <c r="K353" s="167" t="s">
        <v>22</v>
      </c>
      <c r="L353" s="168">
        <v>0</v>
      </c>
      <c r="M353" s="168">
        <v>0</v>
      </c>
      <c r="N353" s="169">
        <f t="shared" si="194"/>
        <v>0</v>
      </c>
      <c r="O353" s="169">
        <f t="shared" si="195"/>
        <v>0</v>
      </c>
      <c r="P353" s="170">
        <f t="shared" si="196"/>
        <v>0</v>
      </c>
      <c r="Q353" s="335"/>
    </row>
    <row r="354" spans="1:17" ht="23.25" customHeight="1" x14ac:dyDescent="0.35">
      <c r="A354" s="18">
        <f t="shared" si="197"/>
        <v>331</v>
      </c>
      <c r="B354" s="26" t="s">
        <v>28</v>
      </c>
      <c r="C354" s="129" t="s">
        <v>134</v>
      </c>
      <c r="D354" s="72" t="s">
        <v>519</v>
      </c>
      <c r="E354" s="73" t="s">
        <v>65</v>
      </c>
      <c r="F354" s="73"/>
      <c r="G354" s="73"/>
      <c r="H354" s="73" t="s">
        <v>136</v>
      </c>
      <c r="I354" s="191"/>
      <c r="J354" s="19">
        <v>0</v>
      </c>
      <c r="K354" s="167" t="s">
        <v>22</v>
      </c>
      <c r="L354" s="168">
        <v>0</v>
      </c>
      <c r="M354" s="168">
        <v>0</v>
      </c>
      <c r="N354" s="169">
        <f t="shared" si="194"/>
        <v>0</v>
      </c>
      <c r="O354" s="169">
        <f t="shared" si="195"/>
        <v>0</v>
      </c>
      <c r="P354" s="170">
        <f t="shared" si="196"/>
        <v>0</v>
      </c>
      <c r="Q354" s="335"/>
    </row>
    <row r="355" spans="1:17" ht="23.25" customHeight="1" x14ac:dyDescent="0.35">
      <c r="A355" s="18">
        <f t="shared" si="197"/>
        <v>332</v>
      </c>
      <c r="B355" s="26" t="s">
        <v>28</v>
      </c>
      <c r="C355" s="129" t="s">
        <v>134</v>
      </c>
      <c r="D355" s="72" t="s">
        <v>53</v>
      </c>
      <c r="E355" s="73" t="s">
        <v>65</v>
      </c>
      <c r="F355" s="73"/>
      <c r="G355" s="73"/>
      <c r="H355" s="73" t="s">
        <v>136</v>
      </c>
      <c r="I355" s="191"/>
      <c r="J355" s="19">
        <v>0</v>
      </c>
      <c r="K355" s="167" t="s">
        <v>22</v>
      </c>
      <c r="L355" s="168">
        <v>0</v>
      </c>
      <c r="M355" s="168">
        <v>0</v>
      </c>
      <c r="N355" s="169">
        <f t="shared" si="194"/>
        <v>0</v>
      </c>
      <c r="O355" s="169">
        <f t="shared" si="195"/>
        <v>0</v>
      </c>
      <c r="P355" s="170">
        <f t="shared" si="196"/>
        <v>0</v>
      </c>
      <c r="Q355" s="335"/>
    </row>
    <row r="356" spans="1:17" ht="23.25" customHeight="1" x14ac:dyDescent="0.35">
      <c r="A356" s="18">
        <f t="shared" si="197"/>
        <v>333</v>
      </c>
      <c r="B356" s="26" t="s">
        <v>28</v>
      </c>
      <c r="C356" s="129" t="s">
        <v>134</v>
      </c>
      <c r="D356" s="72" t="s">
        <v>506</v>
      </c>
      <c r="E356" s="73" t="s">
        <v>65</v>
      </c>
      <c r="F356" s="73"/>
      <c r="G356" s="73" t="s">
        <v>394</v>
      </c>
      <c r="H356" s="73" t="s">
        <v>136</v>
      </c>
      <c r="I356" s="191"/>
      <c r="J356" s="19">
        <v>0</v>
      </c>
      <c r="K356" s="167" t="s">
        <v>22</v>
      </c>
      <c r="L356" s="168">
        <v>0</v>
      </c>
      <c r="M356" s="168">
        <v>0</v>
      </c>
      <c r="N356" s="169">
        <f t="shared" si="194"/>
        <v>0</v>
      </c>
      <c r="O356" s="169">
        <f t="shared" si="195"/>
        <v>0</v>
      </c>
      <c r="P356" s="170">
        <f t="shared" si="196"/>
        <v>0</v>
      </c>
      <c r="Q356" s="335"/>
    </row>
    <row r="357" spans="1:17" ht="23.25" customHeight="1" x14ac:dyDescent="0.35">
      <c r="A357" s="18">
        <f t="shared" si="197"/>
        <v>334</v>
      </c>
      <c r="B357" s="26" t="s">
        <v>28</v>
      </c>
      <c r="C357" s="129" t="s">
        <v>134</v>
      </c>
      <c r="D357" s="72" t="s">
        <v>40</v>
      </c>
      <c r="E357" s="73" t="s">
        <v>65</v>
      </c>
      <c r="F357" s="73"/>
      <c r="G357" s="73" t="s">
        <v>393</v>
      </c>
      <c r="H357" s="73" t="s">
        <v>137</v>
      </c>
      <c r="I357" s="191"/>
      <c r="J357" s="19">
        <v>0</v>
      </c>
      <c r="K357" s="167" t="s">
        <v>51</v>
      </c>
      <c r="L357" s="168">
        <v>0</v>
      </c>
      <c r="M357" s="168">
        <v>0</v>
      </c>
      <c r="N357" s="169">
        <f t="shared" si="194"/>
        <v>0</v>
      </c>
      <c r="O357" s="169">
        <f t="shared" si="195"/>
        <v>0</v>
      </c>
      <c r="P357" s="170">
        <f t="shared" si="196"/>
        <v>0</v>
      </c>
      <c r="Q357" s="335"/>
    </row>
    <row r="358" spans="1:17" ht="23.25" customHeight="1" x14ac:dyDescent="0.35">
      <c r="A358" s="18">
        <f t="shared" si="197"/>
        <v>335</v>
      </c>
      <c r="B358" s="26" t="s">
        <v>28</v>
      </c>
      <c r="C358" s="129" t="s">
        <v>134</v>
      </c>
      <c r="D358" s="72" t="s">
        <v>493</v>
      </c>
      <c r="E358" s="73" t="s">
        <v>65</v>
      </c>
      <c r="F358" s="73"/>
      <c r="G358" s="73"/>
      <c r="H358" s="73" t="s">
        <v>137</v>
      </c>
      <c r="I358" s="191"/>
      <c r="J358" s="19">
        <v>0</v>
      </c>
      <c r="K358" s="167" t="s">
        <v>22</v>
      </c>
      <c r="L358" s="168">
        <v>0</v>
      </c>
      <c r="M358" s="168">
        <v>0</v>
      </c>
      <c r="N358" s="169">
        <f t="shared" si="194"/>
        <v>0</v>
      </c>
      <c r="O358" s="169">
        <f t="shared" si="195"/>
        <v>0</v>
      </c>
      <c r="P358" s="170">
        <f t="shared" si="196"/>
        <v>0</v>
      </c>
      <c r="Q358" s="335"/>
    </row>
    <row r="359" spans="1:17" ht="23.25" customHeight="1" x14ac:dyDescent="0.35">
      <c r="A359" s="18">
        <f t="shared" si="197"/>
        <v>336</v>
      </c>
      <c r="B359" s="26" t="s">
        <v>28</v>
      </c>
      <c r="C359" s="129" t="s">
        <v>134</v>
      </c>
      <c r="D359" s="72" t="s">
        <v>519</v>
      </c>
      <c r="E359" s="73" t="s">
        <v>65</v>
      </c>
      <c r="F359" s="73"/>
      <c r="G359" s="73"/>
      <c r="H359" s="73" t="s">
        <v>137</v>
      </c>
      <c r="I359" s="191"/>
      <c r="J359" s="19">
        <v>0</v>
      </c>
      <c r="K359" s="167" t="s">
        <v>22</v>
      </c>
      <c r="L359" s="168">
        <v>0</v>
      </c>
      <c r="M359" s="168">
        <v>0</v>
      </c>
      <c r="N359" s="169">
        <f t="shared" ref="N359" si="201">L359*J359</f>
        <v>0</v>
      </c>
      <c r="O359" s="169">
        <f t="shared" ref="O359" si="202">M359*J359</f>
        <v>0</v>
      </c>
      <c r="P359" s="170">
        <f t="shared" ref="P359" si="203">(L359*J359)+(M359*J359)</f>
        <v>0</v>
      </c>
      <c r="Q359" s="335"/>
    </row>
    <row r="360" spans="1:17" ht="23.25" customHeight="1" x14ac:dyDescent="0.35">
      <c r="A360" s="18">
        <f t="shared" si="197"/>
        <v>337</v>
      </c>
      <c r="B360" s="26" t="s">
        <v>28</v>
      </c>
      <c r="C360" s="129" t="s">
        <v>134</v>
      </c>
      <c r="D360" s="72" t="s">
        <v>53</v>
      </c>
      <c r="E360" s="73" t="s">
        <v>65</v>
      </c>
      <c r="F360" s="73"/>
      <c r="G360" s="73"/>
      <c r="H360" s="73" t="s">
        <v>137</v>
      </c>
      <c r="I360" s="191"/>
      <c r="J360" s="19">
        <v>0</v>
      </c>
      <c r="K360" s="167" t="s">
        <v>22</v>
      </c>
      <c r="L360" s="168">
        <v>0</v>
      </c>
      <c r="M360" s="168">
        <v>0</v>
      </c>
      <c r="N360" s="169">
        <f t="shared" si="194"/>
        <v>0</v>
      </c>
      <c r="O360" s="169">
        <f t="shared" si="195"/>
        <v>0</v>
      </c>
      <c r="P360" s="170">
        <f t="shared" si="196"/>
        <v>0</v>
      </c>
      <c r="Q360" s="335"/>
    </row>
    <row r="361" spans="1:17" ht="23.25" customHeight="1" x14ac:dyDescent="0.35">
      <c r="A361" s="18">
        <f t="shared" si="197"/>
        <v>338</v>
      </c>
      <c r="B361" s="26" t="s">
        <v>28</v>
      </c>
      <c r="C361" s="129" t="s">
        <v>134</v>
      </c>
      <c r="D361" s="72" t="s">
        <v>506</v>
      </c>
      <c r="E361" s="73" t="s">
        <v>65</v>
      </c>
      <c r="F361" s="73"/>
      <c r="G361" s="73" t="s">
        <v>394</v>
      </c>
      <c r="H361" s="73" t="s">
        <v>137</v>
      </c>
      <c r="I361" s="191"/>
      <c r="J361" s="19">
        <v>0</v>
      </c>
      <c r="K361" s="167" t="s">
        <v>22</v>
      </c>
      <c r="L361" s="168">
        <v>0</v>
      </c>
      <c r="M361" s="168">
        <v>0</v>
      </c>
      <c r="N361" s="169">
        <f t="shared" si="194"/>
        <v>0</v>
      </c>
      <c r="O361" s="169">
        <f t="shared" si="195"/>
        <v>0</v>
      </c>
      <c r="P361" s="170">
        <f t="shared" si="196"/>
        <v>0</v>
      </c>
      <c r="Q361" s="335"/>
    </row>
    <row r="362" spans="1:17" ht="23.25" customHeight="1" x14ac:dyDescent="0.35">
      <c r="A362" s="18">
        <f t="shared" si="197"/>
        <v>339</v>
      </c>
      <c r="B362" s="26" t="s">
        <v>28</v>
      </c>
      <c r="C362" s="129" t="s">
        <v>134</v>
      </c>
      <c r="D362" s="72" t="s">
        <v>40</v>
      </c>
      <c r="E362" s="73" t="s">
        <v>65</v>
      </c>
      <c r="F362" s="73"/>
      <c r="G362" s="73" t="s">
        <v>393</v>
      </c>
      <c r="H362" s="73" t="s">
        <v>138</v>
      </c>
      <c r="I362" s="191"/>
      <c r="J362" s="19">
        <v>0</v>
      </c>
      <c r="K362" s="167" t="s">
        <v>51</v>
      </c>
      <c r="L362" s="168">
        <v>0</v>
      </c>
      <c r="M362" s="168">
        <v>0</v>
      </c>
      <c r="N362" s="169">
        <f t="shared" si="194"/>
        <v>0</v>
      </c>
      <c r="O362" s="169">
        <f t="shared" si="195"/>
        <v>0</v>
      </c>
      <c r="P362" s="170">
        <f t="shared" si="196"/>
        <v>0</v>
      </c>
      <c r="Q362" s="335"/>
    </row>
    <row r="363" spans="1:17" ht="23.25" customHeight="1" x14ac:dyDescent="0.35">
      <c r="A363" s="18">
        <f t="shared" si="197"/>
        <v>340</v>
      </c>
      <c r="B363" s="26" t="s">
        <v>28</v>
      </c>
      <c r="C363" s="129" t="s">
        <v>134</v>
      </c>
      <c r="D363" s="72" t="s">
        <v>493</v>
      </c>
      <c r="E363" s="73" t="s">
        <v>65</v>
      </c>
      <c r="F363" s="73"/>
      <c r="G363" s="73"/>
      <c r="H363" s="73" t="s">
        <v>138</v>
      </c>
      <c r="I363" s="191"/>
      <c r="J363" s="19">
        <v>0</v>
      </c>
      <c r="K363" s="167" t="s">
        <v>22</v>
      </c>
      <c r="L363" s="168">
        <v>0</v>
      </c>
      <c r="M363" s="168">
        <v>0</v>
      </c>
      <c r="N363" s="169">
        <f t="shared" si="194"/>
        <v>0</v>
      </c>
      <c r="O363" s="169">
        <f t="shared" si="195"/>
        <v>0</v>
      </c>
      <c r="P363" s="170">
        <f t="shared" si="196"/>
        <v>0</v>
      </c>
      <c r="Q363" s="335"/>
    </row>
    <row r="364" spans="1:17" ht="23.25" customHeight="1" x14ac:dyDescent="0.35">
      <c r="A364" s="18">
        <f t="shared" si="197"/>
        <v>341</v>
      </c>
      <c r="B364" s="26" t="s">
        <v>28</v>
      </c>
      <c r="C364" s="129" t="s">
        <v>134</v>
      </c>
      <c r="D364" s="72" t="s">
        <v>519</v>
      </c>
      <c r="E364" s="73" t="s">
        <v>65</v>
      </c>
      <c r="F364" s="73"/>
      <c r="G364" s="73"/>
      <c r="H364" s="73" t="s">
        <v>138</v>
      </c>
      <c r="I364" s="191"/>
      <c r="J364" s="19">
        <v>0</v>
      </c>
      <c r="K364" s="167" t="s">
        <v>22</v>
      </c>
      <c r="L364" s="168">
        <v>0</v>
      </c>
      <c r="M364" s="168">
        <v>0</v>
      </c>
      <c r="N364" s="169">
        <f t="shared" ref="N364" si="204">L364*J364</f>
        <v>0</v>
      </c>
      <c r="O364" s="169">
        <f t="shared" ref="O364" si="205">M364*J364</f>
        <v>0</v>
      </c>
      <c r="P364" s="170">
        <f t="shared" ref="P364" si="206">(L364*J364)+(M364*J364)</f>
        <v>0</v>
      </c>
      <c r="Q364" s="335"/>
    </row>
    <row r="365" spans="1:17" ht="23.25" customHeight="1" x14ac:dyDescent="0.35">
      <c r="A365" s="18">
        <f t="shared" si="197"/>
        <v>342</v>
      </c>
      <c r="B365" s="26" t="s">
        <v>28</v>
      </c>
      <c r="C365" s="129" t="s">
        <v>134</v>
      </c>
      <c r="D365" s="72" t="s">
        <v>53</v>
      </c>
      <c r="E365" s="73" t="s">
        <v>65</v>
      </c>
      <c r="F365" s="73"/>
      <c r="G365" s="73"/>
      <c r="H365" s="73" t="s">
        <v>138</v>
      </c>
      <c r="I365" s="191"/>
      <c r="J365" s="19">
        <v>0</v>
      </c>
      <c r="K365" s="167" t="s">
        <v>22</v>
      </c>
      <c r="L365" s="168">
        <v>0</v>
      </c>
      <c r="M365" s="168">
        <v>0</v>
      </c>
      <c r="N365" s="169">
        <f t="shared" si="194"/>
        <v>0</v>
      </c>
      <c r="O365" s="169">
        <f t="shared" si="195"/>
        <v>0</v>
      </c>
      <c r="P365" s="170">
        <f t="shared" si="196"/>
        <v>0</v>
      </c>
      <c r="Q365" s="335"/>
    </row>
    <row r="366" spans="1:17" ht="23.25" customHeight="1" x14ac:dyDescent="0.35">
      <c r="A366" s="18">
        <f t="shared" si="197"/>
        <v>343</v>
      </c>
      <c r="B366" s="26" t="s">
        <v>28</v>
      </c>
      <c r="C366" s="129" t="s">
        <v>134</v>
      </c>
      <c r="D366" s="72" t="s">
        <v>506</v>
      </c>
      <c r="E366" s="73" t="s">
        <v>65</v>
      </c>
      <c r="F366" s="73"/>
      <c r="G366" s="73" t="s">
        <v>394</v>
      </c>
      <c r="H366" s="73" t="s">
        <v>138</v>
      </c>
      <c r="I366" s="191"/>
      <c r="J366" s="19">
        <v>0</v>
      </c>
      <c r="K366" s="167" t="s">
        <v>22</v>
      </c>
      <c r="L366" s="168">
        <v>0</v>
      </c>
      <c r="M366" s="168">
        <v>0</v>
      </c>
      <c r="N366" s="169">
        <f t="shared" si="194"/>
        <v>0</v>
      </c>
      <c r="O366" s="169">
        <f t="shared" si="195"/>
        <v>0</v>
      </c>
      <c r="P366" s="170">
        <f t="shared" si="196"/>
        <v>0</v>
      </c>
      <c r="Q366" s="335"/>
    </row>
    <row r="367" spans="1:17" ht="23.25" customHeight="1" x14ac:dyDescent="0.35">
      <c r="A367" s="18">
        <f t="shared" si="197"/>
        <v>344</v>
      </c>
      <c r="B367" s="26" t="s">
        <v>28</v>
      </c>
      <c r="C367" s="129" t="s">
        <v>134</v>
      </c>
      <c r="D367" s="72" t="s">
        <v>507</v>
      </c>
      <c r="E367" s="73" t="s">
        <v>65</v>
      </c>
      <c r="F367" s="73"/>
      <c r="G367" s="73" t="s">
        <v>508</v>
      </c>
      <c r="H367" s="73" t="s">
        <v>139</v>
      </c>
      <c r="I367" s="191"/>
      <c r="J367" s="19">
        <v>0</v>
      </c>
      <c r="K367" s="167" t="s">
        <v>22</v>
      </c>
      <c r="L367" s="168">
        <v>0</v>
      </c>
      <c r="M367" s="168">
        <v>0</v>
      </c>
      <c r="N367" s="169">
        <f t="shared" si="194"/>
        <v>0</v>
      </c>
      <c r="O367" s="169">
        <f t="shared" si="195"/>
        <v>0</v>
      </c>
      <c r="P367" s="170">
        <f t="shared" si="196"/>
        <v>0</v>
      </c>
      <c r="Q367" s="335"/>
    </row>
    <row r="368" spans="1:17" ht="23.25" customHeight="1" x14ac:dyDescent="0.35">
      <c r="A368" s="18">
        <f t="shared" si="197"/>
        <v>345</v>
      </c>
      <c r="B368" s="26" t="s">
        <v>28</v>
      </c>
      <c r="C368" s="129" t="s">
        <v>134</v>
      </c>
      <c r="D368" s="72" t="s">
        <v>507</v>
      </c>
      <c r="E368" s="73" t="s">
        <v>65</v>
      </c>
      <c r="F368" s="73"/>
      <c r="G368" s="73" t="s">
        <v>508</v>
      </c>
      <c r="H368" s="73" t="s">
        <v>140</v>
      </c>
      <c r="I368" s="191"/>
      <c r="J368" s="19">
        <v>0</v>
      </c>
      <c r="K368" s="167" t="s">
        <v>22</v>
      </c>
      <c r="L368" s="168">
        <v>0</v>
      </c>
      <c r="M368" s="168">
        <v>0</v>
      </c>
      <c r="N368" s="169">
        <f t="shared" si="194"/>
        <v>0</v>
      </c>
      <c r="O368" s="169">
        <f t="shared" si="195"/>
        <v>0</v>
      </c>
      <c r="P368" s="170">
        <f t="shared" si="196"/>
        <v>0</v>
      </c>
      <c r="Q368" s="335"/>
    </row>
    <row r="369" spans="1:17" ht="23.25" customHeight="1" x14ac:dyDescent="0.35">
      <c r="A369" s="18">
        <f t="shared" si="197"/>
        <v>346</v>
      </c>
      <c r="B369" s="26" t="s">
        <v>28</v>
      </c>
      <c r="C369" s="129" t="s">
        <v>134</v>
      </c>
      <c r="D369" s="72" t="s">
        <v>509</v>
      </c>
      <c r="E369" s="73" t="s">
        <v>65</v>
      </c>
      <c r="F369" s="73"/>
      <c r="G369" s="73"/>
      <c r="H369" s="73" t="s">
        <v>141</v>
      </c>
      <c r="I369" s="191"/>
      <c r="J369" s="19">
        <v>0</v>
      </c>
      <c r="K369" s="167" t="s">
        <v>51</v>
      </c>
      <c r="L369" s="168">
        <v>0</v>
      </c>
      <c r="M369" s="168">
        <v>0</v>
      </c>
      <c r="N369" s="169">
        <f t="shared" si="194"/>
        <v>0</v>
      </c>
      <c r="O369" s="169">
        <f t="shared" si="195"/>
        <v>0</v>
      </c>
      <c r="P369" s="170">
        <f t="shared" si="196"/>
        <v>0</v>
      </c>
      <c r="Q369" s="335"/>
    </row>
    <row r="370" spans="1:17" ht="23.25" customHeight="1" x14ac:dyDescent="0.35">
      <c r="A370" s="18">
        <f t="shared" si="197"/>
        <v>347</v>
      </c>
      <c r="B370" s="26" t="s">
        <v>28</v>
      </c>
      <c r="C370" s="129" t="s">
        <v>134</v>
      </c>
      <c r="D370" s="72" t="s">
        <v>510</v>
      </c>
      <c r="E370" s="73" t="s">
        <v>65</v>
      </c>
      <c r="F370" s="73"/>
      <c r="G370" s="73"/>
      <c r="H370" s="73" t="s">
        <v>141</v>
      </c>
      <c r="I370" s="191"/>
      <c r="J370" s="19">
        <v>0</v>
      </c>
      <c r="K370" s="167" t="s">
        <v>22</v>
      </c>
      <c r="L370" s="168">
        <v>0</v>
      </c>
      <c r="M370" s="168">
        <v>0</v>
      </c>
      <c r="N370" s="169">
        <f t="shared" si="194"/>
        <v>0</v>
      </c>
      <c r="O370" s="169">
        <f t="shared" si="195"/>
        <v>0</v>
      </c>
      <c r="P370" s="170">
        <f t="shared" si="196"/>
        <v>0</v>
      </c>
      <c r="Q370" s="335"/>
    </row>
    <row r="371" spans="1:17" ht="23.25" customHeight="1" x14ac:dyDescent="0.35">
      <c r="A371" s="18">
        <f t="shared" si="197"/>
        <v>348</v>
      </c>
      <c r="B371" s="26" t="s">
        <v>28</v>
      </c>
      <c r="C371" s="129" t="s">
        <v>134</v>
      </c>
      <c r="D371" s="72" t="s">
        <v>520</v>
      </c>
      <c r="E371" s="73" t="s">
        <v>65</v>
      </c>
      <c r="F371" s="73"/>
      <c r="G371" s="73"/>
      <c r="H371" s="73" t="s">
        <v>141</v>
      </c>
      <c r="I371" s="191"/>
      <c r="J371" s="19">
        <v>0</v>
      </c>
      <c r="K371" s="167" t="s">
        <v>22</v>
      </c>
      <c r="L371" s="168">
        <v>0</v>
      </c>
      <c r="M371" s="168">
        <v>0</v>
      </c>
      <c r="N371" s="169">
        <f t="shared" ref="N371" si="207">L371*J371</f>
        <v>0</v>
      </c>
      <c r="O371" s="169">
        <f t="shared" ref="O371" si="208">M371*J371</f>
        <v>0</v>
      </c>
      <c r="P371" s="170">
        <f t="shared" ref="P371" si="209">(L371*J371)+(M371*J371)</f>
        <v>0</v>
      </c>
      <c r="Q371" s="335"/>
    </row>
    <row r="372" spans="1:17" ht="23.25" customHeight="1" x14ac:dyDescent="0.35">
      <c r="A372" s="18">
        <f t="shared" si="197"/>
        <v>349</v>
      </c>
      <c r="B372" s="26" t="s">
        <v>28</v>
      </c>
      <c r="C372" s="129" t="s">
        <v>134</v>
      </c>
      <c r="D372" s="72" t="s">
        <v>511</v>
      </c>
      <c r="E372" s="73" t="s">
        <v>65</v>
      </c>
      <c r="F372" s="73"/>
      <c r="G372" s="73"/>
      <c r="H372" s="73" t="s">
        <v>141</v>
      </c>
      <c r="I372" s="191"/>
      <c r="J372" s="19">
        <v>0</v>
      </c>
      <c r="K372" s="167" t="s">
        <v>22</v>
      </c>
      <c r="L372" s="168">
        <v>0</v>
      </c>
      <c r="M372" s="168">
        <v>0</v>
      </c>
      <c r="N372" s="169">
        <f t="shared" si="194"/>
        <v>0</v>
      </c>
      <c r="O372" s="169">
        <f t="shared" si="195"/>
        <v>0</v>
      </c>
      <c r="P372" s="170">
        <f t="shared" si="196"/>
        <v>0</v>
      </c>
      <c r="Q372" s="335"/>
    </row>
    <row r="373" spans="1:17" ht="23.25" customHeight="1" x14ac:dyDescent="0.35">
      <c r="A373" s="18">
        <f t="shared" si="197"/>
        <v>350</v>
      </c>
      <c r="B373" s="26" t="s">
        <v>28</v>
      </c>
      <c r="C373" s="129" t="s">
        <v>134</v>
      </c>
      <c r="D373" s="72" t="s">
        <v>512</v>
      </c>
      <c r="E373" s="73" t="s">
        <v>65</v>
      </c>
      <c r="F373" s="73"/>
      <c r="G373" s="73"/>
      <c r="H373" s="73" t="s">
        <v>141</v>
      </c>
      <c r="I373" s="191"/>
      <c r="J373" s="19">
        <v>0</v>
      </c>
      <c r="K373" s="167" t="s">
        <v>22</v>
      </c>
      <c r="L373" s="168">
        <v>0</v>
      </c>
      <c r="M373" s="168">
        <v>0</v>
      </c>
      <c r="N373" s="169">
        <f t="shared" si="194"/>
        <v>0</v>
      </c>
      <c r="O373" s="169">
        <f t="shared" si="195"/>
        <v>0</v>
      </c>
      <c r="P373" s="170">
        <f t="shared" si="196"/>
        <v>0</v>
      </c>
      <c r="Q373" s="335"/>
    </row>
    <row r="374" spans="1:17" ht="23.25" customHeight="1" x14ac:dyDescent="0.35">
      <c r="A374" s="18">
        <f t="shared" si="197"/>
        <v>351</v>
      </c>
      <c r="B374" s="26" t="s">
        <v>28</v>
      </c>
      <c r="C374" s="129" t="s">
        <v>134</v>
      </c>
      <c r="D374" s="72" t="s">
        <v>509</v>
      </c>
      <c r="E374" s="73" t="s">
        <v>65</v>
      </c>
      <c r="F374" s="73"/>
      <c r="G374" s="73"/>
      <c r="H374" s="73" t="s">
        <v>142</v>
      </c>
      <c r="I374" s="191"/>
      <c r="J374" s="19">
        <v>0</v>
      </c>
      <c r="K374" s="167" t="s">
        <v>51</v>
      </c>
      <c r="L374" s="168">
        <v>0</v>
      </c>
      <c r="M374" s="168">
        <v>0</v>
      </c>
      <c r="N374" s="169">
        <f t="shared" si="194"/>
        <v>0</v>
      </c>
      <c r="O374" s="169">
        <f t="shared" si="195"/>
        <v>0</v>
      </c>
      <c r="P374" s="170">
        <f t="shared" si="196"/>
        <v>0</v>
      </c>
      <c r="Q374" s="335"/>
    </row>
    <row r="375" spans="1:17" ht="23.25" customHeight="1" x14ac:dyDescent="0.35">
      <c r="A375" s="18">
        <f t="shared" si="197"/>
        <v>352</v>
      </c>
      <c r="B375" s="26" t="s">
        <v>28</v>
      </c>
      <c r="C375" s="129" t="s">
        <v>134</v>
      </c>
      <c r="D375" s="72" t="s">
        <v>510</v>
      </c>
      <c r="E375" s="73" t="s">
        <v>65</v>
      </c>
      <c r="F375" s="73"/>
      <c r="G375" s="73"/>
      <c r="H375" s="73" t="s">
        <v>142</v>
      </c>
      <c r="I375" s="191"/>
      <c r="J375" s="19">
        <v>0</v>
      </c>
      <c r="K375" s="167" t="s">
        <v>22</v>
      </c>
      <c r="L375" s="168">
        <v>0</v>
      </c>
      <c r="M375" s="168">
        <v>0</v>
      </c>
      <c r="N375" s="169">
        <f t="shared" si="194"/>
        <v>0</v>
      </c>
      <c r="O375" s="169">
        <f t="shared" si="195"/>
        <v>0</v>
      </c>
      <c r="P375" s="170">
        <f t="shared" si="196"/>
        <v>0</v>
      </c>
      <c r="Q375" s="335"/>
    </row>
    <row r="376" spans="1:17" ht="23.25" customHeight="1" x14ac:dyDescent="0.35">
      <c r="A376" s="18">
        <f t="shared" si="197"/>
        <v>353</v>
      </c>
      <c r="B376" s="26" t="s">
        <v>28</v>
      </c>
      <c r="C376" s="129" t="s">
        <v>134</v>
      </c>
      <c r="D376" s="72" t="s">
        <v>520</v>
      </c>
      <c r="E376" s="73" t="s">
        <v>65</v>
      </c>
      <c r="F376" s="73"/>
      <c r="G376" s="73"/>
      <c r="H376" s="73" t="s">
        <v>142</v>
      </c>
      <c r="I376" s="191"/>
      <c r="J376" s="19">
        <v>0</v>
      </c>
      <c r="K376" s="167" t="s">
        <v>22</v>
      </c>
      <c r="L376" s="168">
        <v>0</v>
      </c>
      <c r="M376" s="168">
        <v>0</v>
      </c>
      <c r="N376" s="169">
        <f t="shared" ref="N376" si="210">L376*J376</f>
        <v>0</v>
      </c>
      <c r="O376" s="169">
        <f t="shared" ref="O376" si="211">M376*J376</f>
        <v>0</v>
      </c>
      <c r="P376" s="170">
        <f t="shared" ref="P376" si="212">(L376*J376)+(M376*J376)</f>
        <v>0</v>
      </c>
      <c r="Q376" s="335"/>
    </row>
    <row r="377" spans="1:17" ht="23.25" customHeight="1" x14ac:dyDescent="0.35">
      <c r="A377" s="18">
        <f t="shared" si="197"/>
        <v>354</v>
      </c>
      <c r="B377" s="26" t="s">
        <v>28</v>
      </c>
      <c r="C377" s="129" t="s">
        <v>134</v>
      </c>
      <c r="D377" s="72" t="s">
        <v>511</v>
      </c>
      <c r="E377" s="73" t="s">
        <v>65</v>
      </c>
      <c r="F377" s="73"/>
      <c r="G377" s="73"/>
      <c r="H377" s="73" t="s">
        <v>142</v>
      </c>
      <c r="I377" s="191"/>
      <c r="J377" s="19">
        <v>0</v>
      </c>
      <c r="K377" s="167" t="s">
        <v>22</v>
      </c>
      <c r="L377" s="168">
        <v>0</v>
      </c>
      <c r="M377" s="168">
        <v>0</v>
      </c>
      <c r="N377" s="169">
        <f t="shared" si="194"/>
        <v>0</v>
      </c>
      <c r="O377" s="169">
        <f t="shared" si="195"/>
        <v>0</v>
      </c>
      <c r="P377" s="170">
        <f t="shared" si="196"/>
        <v>0</v>
      </c>
      <c r="Q377" s="335"/>
    </row>
    <row r="378" spans="1:17" ht="23.25" customHeight="1" x14ac:dyDescent="0.35">
      <c r="A378" s="18">
        <f t="shared" si="197"/>
        <v>355</v>
      </c>
      <c r="B378" s="26" t="s">
        <v>28</v>
      </c>
      <c r="C378" s="129" t="s">
        <v>134</v>
      </c>
      <c r="D378" s="72" t="s">
        <v>512</v>
      </c>
      <c r="E378" s="73" t="s">
        <v>65</v>
      </c>
      <c r="F378" s="73"/>
      <c r="G378" s="73"/>
      <c r="H378" s="73" t="s">
        <v>142</v>
      </c>
      <c r="I378" s="191"/>
      <c r="J378" s="19">
        <v>0</v>
      </c>
      <c r="K378" s="167" t="s">
        <v>22</v>
      </c>
      <c r="L378" s="168">
        <v>0</v>
      </c>
      <c r="M378" s="168">
        <v>0</v>
      </c>
      <c r="N378" s="169">
        <f t="shared" si="194"/>
        <v>0</v>
      </c>
      <c r="O378" s="169">
        <f t="shared" si="195"/>
        <v>0</v>
      </c>
      <c r="P378" s="170">
        <f t="shared" si="196"/>
        <v>0</v>
      </c>
      <c r="Q378" s="335"/>
    </row>
    <row r="379" spans="1:17" ht="23.25" customHeight="1" x14ac:dyDescent="0.35">
      <c r="A379" s="18">
        <f t="shared" si="197"/>
        <v>356</v>
      </c>
      <c r="B379" s="26" t="s">
        <v>28</v>
      </c>
      <c r="C379" s="129" t="s">
        <v>134</v>
      </c>
      <c r="D379" s="72" t="s">
        <v>513</v>
      </c>
      <c r="E379" s="73" t="s">
        <v>65</v>
      </c>
      <c r="F379" s="73"/>
      <c r="G379" s="73"/>
      <c r="H379" s="73" t="s">
        <v>143</v>
      </c>
      <c r="I379" s="191"/>
      <c r="J379" s="19">
        <v>0</v>
      </c>
      <c r="K379" s="167" t="s">
        <v>22</v>
      </c>
      <c r="L379" s="168">
        <v>0</v>
      </c>
      <c r="M379" s="168">
        <v>0</v>
      </c>
      <c r="N379" s="169">
        <f t="shared" si="194"/>
        <v>0</v>
      </c>
      <c r="O379" s="169">
        <f t="shared" si="195"/>
        <v>0</v>
      </c>
      <c r="P379" s="170">
        <f t="shared" si="196"/>
        <v>0</v>
      </c>
      <c r="Q379" s="335"/>
    </row>
    <row r="380" spans="1:17" ht="23.25" customHeight="1" x14ac:dyDescent="0.35">
      <c r="A380" s="18">
        <f t="shared" si="197"/>
        <v>357</v>
      </c>
      <c r="B380" s="26" t="s">
        <v>28</v>
      </c>
      <c r="C380" s="129" t="s">
        <v>134</v>
      </c>
      <c r="D380" s="72" t="s">
        <v>521</v>
      </c>
      <c r="E380" s="73" t="s">
        <v>65</v>
      </c>
      <c r="F380" s="73"/>
      <c r="G380" s="73"/>
      <c r="H380" s="73" t="s">
        <v>143</v>
      </c>
      <c r="I380" s="191"/>
      <c r="J380" s="19">
        <v>0</v>
      </c>
      <c r="K380" s="167" t="s">
        <v>22</v>
      </c>
      <c r="L380" s="168">
        <v>0</v>
      </c>
      <c r="M380" s="168">
        <v>0</v>
      </c>
      <c r="N380" s="169">
        <f t="shared" ref="N380" si="213">L380*J380</f>
        <v>0</v>
      </c>
      <c r="O380" s="169">
        <f t="shared" ref="O380" si="214">M380*J380</f>
        <v>0</v>
      </c>
      <c r="P380" s="170">
        <f t="shared" ref="P380" si="215">(L380*J380)+(M380*J380)</f>
        <v>0</v>
      </c>
      <c r="Q380" s="335"/>
    </row>
    <row r="381" spans="1:17" ht="23.25" customHeight="1" x14ac:dyDescent="0.35">
      <c r="A381" s="18">
        <f t="shared" si="197"/>
        <v>358</v>
      </c>
      <c r="B381" s="26" t="s">
        <v>28</v>
      </c>
      <c r="C381" s="129" t="s">
        <v>134</v>
      </c>
      <c r="D381" s="72" t="s">
        <v>515</v>
      </c>
      <c r="E381" s="73"/>
      <c r="F381" s="73"/>
      <c r="G381" s="73" t="s">
        <v>395</v>
      </c>
      <c r="H381" s="73" t="s">
        <v>144</v>
      </c>
      <c r="I381" s="191"/>
      <c r="J381" s="19">
        <v>0</v>
      </c>
      <c r="K381" s="167" t="s">
        <v>51</v>
      </c>
      <c r="L381" s="168">
        <v>0</v>
      </c>
      <c r="M381" s="168">
        <v>0</v>
      </c>
      <c r="N381" s="169">
        <f t="shared" si="194"/>
        <v>0</v>
      </c>
      <c r="O381" s="169">
        <f t="shared" si="195"/>
        <v>0</v>
      </c>
      <c r="P381" s="170">
        <f t="shared" si="196"/>
        <v>0</v>
      </c>
      <c r="Q381" s="335"/>
    </row>
    <row r="382" spans="1:17" ht="23.25" customHeight="1" x14ac:dyDescent="0.35">
      <c r="A382" s="18">
        <f t="shared" si="197"/>
        <v>359</v>
      </c>
      <c r="B382" s="26" t="s">
        <v>28</v>
      </c>
      <c r="C382" s="129" t="s">
        <v>134</v>
      </c>
      <c r="D382" s="72" t="s">
        <v>515</v>
      </c>
      <c r="E382" s="73"/>
      <c r="F382" s="73"/>
      <c r="G382" s="73" t="s">
        <v>395</v>
      </c>
      <c r="H382" s="73" t="s">
        <v>145</v>
      </c>
      <c r="I382" s="191"/>
      <c r="J382" s="19">
        <v>0</v>
      </c>
      <c r="K382" s="167" t="s">
        <v>51</v>
      </c>
      <c r="L382" s="168">
        <v>0</v>
      </c>
      <c r="M382" s="168">
        <v>0</v>
      </c>
      <c r="N382" s="169">
        <f t="shared" si="194"/>
        <v>0</v>
      </c>
      <c r="O382" s="169">
        <f t="shared" si="195"/>
        <v>0</v>
      </c>
      <c r="P382" s="170">
        <f t="shared" si="196"/>
        <v>0</v>
      </c>
      <c r="Q382" s="335"/>
    </row>
    <row r="383" spans="1:17" ht="23.25" customHeight="1" x14ac:dyDescent="0.35">
      <c r="A383" s="18">
        <f t="shared" si="197"/>
        <v>360</v>
      </c>
      <c r="B383" s="26" t="s">
        <v>28</v>
      </c>
      <c r="C383" s="129" t="s">
        <v>134</v>
      </c>
      <c r="D383" s="72" t="s">
        <v>515</v>
      </c>
      <c r="E383" s="73"/>
      <c r="F383" s="73"/>
      <c r="G383" s="73" t="s">
        <v>395</v>
      </c>
      <c r="H383" s="73" t="s">
        <v>137</v>
      </c>
      <c r="I383" s="191"/>
      <c r="J383" s="19">
        <v>0</v>
      </c>
      <c r="K383" s="167" t="s">
        <v>51</v>
      </c>
      <c r="L383" s="168">
        <v>0</v>
      </c>
      <c r="M383" s="168">
        <v>0</v>
      </c>
      <c r="N383" s="169">
        <f t="shared" si="194"/>
        <v>0</v>
      </c>
      <c r="O383" s="169">
        <f t="shared" si="195"/>
        <v>0</v>
      </c>
      <c r="P383" s="170">
        <f t="shared" si="196"/>
        <v>0</v>
      </c>
      <c r="Q383" s="335"/>
    </row>
    <row r="384" spans="1:17" ht="23.25" customHeight="1" x14ac:dyDescent="0.35">
      <c r="A384" s="18">
        <f t="shared" si="197"/>
        <v>361</v>
      </c>
      <c r="B384" s="26" t="s">
        <v>28</v>
      </c>
      <c r="C384" s="129" t="s">
        <v>134</v>
      </c>
      <c r="D384" s="72" t="s">
        <v>515</v>
      </c>
      <c r="E384" s="73"/>
      <c r="F384" s="73"/>
      <c r="G384" s="73" t="s">
        <v>395</v>
      </c>
      <c r="H384" s="73" t="s">
        <v>138</v>
      </c>
      <c r="I384" s="191"/>
      <c r="J384" s="19">
        <v>0</v>
      </c>
      <c r="K384" s="167" t="s">
        <v>51</v>
      </c>
      <c r="L384" s="168">
        <v>0</v>
      </c>
      <c r="M384" s="168">
        <v>0</v>
      </c>
      <c r="N384" s="169">
        <f t="shared" si="194"/>
        <v>0</v>
      </c>
      <c r="O384" s="169">
        <f t="shared" si="195"/>
        <v>0</v>
      </c>
      <c r="P384" s="170">
        <f t="shared" si="196"/>
        <v>0</v>
      </c>
      <c r="Q384" s="335"/>
    </row>
    <row r="385" spans="1:17" ht="23.25" customHeight="1" x14ac:dyDescent="0.35">
      <c r="A385" s="18">
        <f t="shared" si="197"/>
        <v>362</v>
      </c>
      <c r="B385" s="26" t="s">
        <v>28</v>
      </c>
      <c r="C385" s="129" t="s">
        <v>134</v>
      </c>
      <c r="D385" s="72" t="s">
        <v>522</v>
      </c>
      <c r="E385" s="73"/>
      <c r="F385" s="73"/>
      <c r="G385" s="73"/>
      <c r="H385" s="73"/>
      <c r="I385" s="191"/>
      <c r="J385" s="19">
        <v>0</v>
      </c>
      <c r="K385" s="167" t="s">
        <v>22</v>
      </c>
      <c r="L385" s="168">
        <v>0</v>
      </c>
      <c r="M385" s="168">
        <v>0</v>
      </c>
      <c r="N385" s="169">
        <f t="shared" ref="N385" si="216">L385*J385</f>
        <v>0</v>
      </c>
      <c r="O385" s="169">
        <f t="shared" ref="O385" si="217">M385*J385</f>
        <v>0</v>
      </c>
      <c r="P385" s="170">
        <f t="shared" ref="P385" si="218">(L385*J385)+(M385*J385)</f>
        <v>0</v>
      </c>
      <c r="Q385" s="335"/>
    </row>
    <row r="386" spans="1:17" ht="23.25" customHeight="1" x14ac:dyDescent="0.35">
      <c r="A386" s="18">
        <f t="shared" si="197"/>
        <v>363</v>
      </c>
      <c r="B386" s="26" t="s">
        <v>28</v>
      </c>
      <c r="C386" s="129" t="s">
        <v>134</v>
      </c>
      <c r="D386" s="72" t="s">
        <v>516</v>
      </c>
      <c r="E386" s="73" t="s">
        <v>397</v>
      </c>
      <c r="F386" s="73"/>
      <c r="G386" s="73"/>
      <c r="H386" s="73" t="s">
        <v>146</v>
      </c>
      <c r="I386" s="191"/>
      <c r="J386" s="19">
        <v>0</v>
      </c>
      <c r="K386" s="167" t="s">
        <v>22</v>
      </c>
      <c r="L386" s="168">
        <v>0</v>
      </c>
      <c r="M386" s="168">
        <v>0</v>
      </c>
      <c r="N386" s="169">
        <f t="shared" si="194"/>
        <v>0</v>
      </c>
      <c r="O386" s="169">
        <f t="shared" si="195"/>
        <v>0</v>
      </c>
      <c r="P386" s="170">
        <f t="shared" si="196"/>
        <v>0</v>
      </c>
      <c r="Q386" s="335"/>
    </row>
    <row r="387" spans="1:17" ht="23.25" customHeight="1" x14ac:dyDescent="0.35">
      <c r="A387" s="18">
        <f t="shared" si="197"/>
        <v>364</v>
      </c>
      <c r="B387" s="26" t="s">
        <v>28</v>
      </c>
      <c r="C387" s="129" t="s">
        <v>134</v>
      </c>
      <c r="D387" s="72" t="s">
        <v>517</v>
      </c>
      <c r="E387" s="73" t="s">
        <v>396</v>
      </c>
      <c r="F387" s="73"/>
      <c r="G387" s="73"/>
      <c r="H387" s="73" t="s">
        <v>548</v>
      </c>
      <c r="I387" s="191"/>
      <c r="J387" s="19">
        <v>0</v>
      </c>
      <c r="K387" s="167" t="s">
        <v>22</v>
      </c>
      <c r="L387" s="168">
        <v>0</v>
      </c>
      <c r="M387" s="168">
        <v>0</v>
      </c>
      <c r="N387" s="169">
        <f t="shared" si="194"/>
        <v>0</v>
      </c>
      <c r="O387" s="169">
        <f t="shared" si="195"/>
        <v>0</v>
      </c>
      <c r="P387" s="170">
        <f t="shared" si="196"/>
        <v>0</v>
      </c>
      <c r="Q387" s="335"/>
    </row>
    <row r="388" spans="1:17" ht="23.25" customHeight="1" x14ac:dyDescent="0.35">
      <c r="A388" s="18">
        <f t="shared" si="197"/>
        <v>365</v>
      </c>
      <c r="B388" s="26" t="s">
        <v>28</v>
      </c>
      <c r="C388" s="129" t="s">
        <v>134</v>
      </c>
      <c r="D388" s="72" t="s">
        <v>517</v>
      </c>
      <c r="E388" s="73" t="s">
        <v>396</v>
      </c>
      <c r="F388" s="73"/>
      <c r="G388" s="73"/>
      <c r="H388" s="73" t="s">
        <v>549</v>
      </c>
      <c r="I388" s="191"/>
      <c r="J388" s="19">
        <v>0</v>
      </c>
      <c r="K388" s="167" t="s">
        <v>22</v>
      </c>
      <c r="L388" s="168">
        <v>0</v>
      </c>
      <c r="M388" s="168">
        <v>0</v>
      </c>
      <c r="N388" s="169">
        <f t="shared" si="194"/>
        <v>0</v>
      </c>
      <c r="O388" s="169">
        <f t="shared" si="195"/>
        <v>0</v>
      </c>
      <c r="P388" s="170">
        <f t="shared" si="196"/>
        <v>0</v>
      </c>
      <c r="Q388" s="335"/>
    </row>
    <row r="389" spans="1:17" ht="23.25" customHeight="1" x14ac:dyDescent="0.35">
      <c r="A389" s="18">
        <f t="shared" si="197"/>
        <v>366</v>
      </c>
      <c r="B389" s="26" t="s">
        <v>28</v>
      </c>
      <c r="C389" s="129" t="s">
        <v>134</v>
      </c>
      <c r="D389" s="72" t="s">
        <v>517</v>
      </c>
      <c r="E389" s="73" t="s">
        <v>396</v>
      </c>
      <c r="F389" s="73"/>
      <c r="G389" s="73"/>
      <c r="H389" s="73" t="s">
        <v>138</v>
      </c>
      <c r="I389" s="191"/>
      <c r="J389" s="19">
        <v>0</v>
      </c>
      <c r="K389" s="167" t="s">
        <v>22</v>
      </c>
      <c r="L389" s="168">
        <v>0</v>
      </c>
      <c r="M389" s="168">
        <v>0</v>
      </c>
      <c r="N389" s="169">
        <f t="shared" si="194"/>
        <v>0</v>
      </c>
      <c r="O389" s="169">
        <f t="shared" si="195"/>
        <v>0</v>
      </c>
      <c r="P389" s="170">
        <f t="shared" si="196"/>
        <v>0</v>
      </c>
      <c r="Q389" s="335"/>
    </row>
    <row r="390" spans="1:17" ht="23.25" customHeight="1" x14ac:dyDescent="0.35">
      <c r="A390" s="18">
        <f t="shared" si="197"/>
        <v>367</v>
      </c>
      <c r="B390" s="26" t="s">
        <v>28</v>
      </c>
      <c r="C390" s="129" t="s">
        <v>134</v>
      </c>
      <c r="D390" s="75" t="s">
        <v>514</v>
      </c>
      <c r="E390" s="79"/>
      <c r="F390" s="79"/>
      <c r="G390" s="79"/>
      <c r="H390" s="79"/>
      <c r="I390" s="188"/>
      <c r="J390" s="19">
        <v>0</v>
      </c>
      <c r="K390" s="167" t="s">
        <v>22</v>
      </c>
      <c r="L390" s="168">
        <v>0</v>
      </c>
      <c r="M390" s="168">
        <v>0</v>
      </c>
      <c r="N390" s="169">
        <f>L390*J390</f>
        <v>0</v>
      </c>
      <c r="O390" s="169">
        <f>M390*J390</f>
        <v>0</v>
      </c>
      <c r="P390" s="170">
        <f>(L390*J390)+(M390*J390)</f>
        <v>0</v>
      </c>
      <c r="Q390" s="335"/>
    </row>
    <row r="391" spans="1:17" ht="23.25" customHeight="1" x14ac:dyDescent="0.35">
      <c r="A391" s="18">
        <f t="shared" si="197"/>
        <v>368</v>
      </c>
      <c r="B391" s="26" t="s">
        <v>28</v>
      </c>
      <c r="C391" s="129" t="s">
        <v>134</v>
      </c>
      <c r="D391" s="43" t="s">
        <v>358</v>
      </c>
      <c r="E391" s="5"/>
      <c r="F391" s="5"/>
      <c r="G391" s="5"/>
      <c r="H391" s="5"/>
      <c r="I391" s="20"/>
      <c r="J391" s="19">
        <f>I391</f>
        <v>0</v>
      </c>
      <c r="K391" s="171"/>
      <c r="L391" s="168">
        <v>0</v>
      </c>
      <c r="M391" s="168">
        <v>0</v>
      </c>
      <c r="N391" s="169">
        <f>L391*J391</f>
        <v>0</v>
      </c>
      <c r="O391" s="169">
        <f>M391*J391</f>
        <v>0</v>
      </c>
      <c r="P391" s="170">
        <f>(L391*J391)+(M391*J391)</f>
        <v>0</v>
      </c>
      <c r="Q391" s="326"/>
    </row>
    <row r="392" spans="1:17" ht="23.25" customHeight="1" thickBot="1" x14ac:dyDescent="0.4">
      <c r="A392" s="38">
        <f>A391+1</f>
        <v>369</v>
      </c>
      <c r="B392" s="39" t="s">
        <v>28</v>
      </c>
      <c r="C392" s="128" t="s">
        <v>134</v>
      </c>
      <c r="D392" s="44" t="s">
        <v>358</v>
      </c>
      <c r="E392" s="40"/>
      <c r="F392" s="40"/>
      <c r="G392" s="40"/>
      <c r="H392" s="40"/>
      <c r="I392" s="41"/>
      <c r="J392" s="24">
        <f>I392</f>
        <v>0</v>
      </c>
      <c r="K392" s="194"/>
      <c r="L392" s="195">
        <v>0</v>
      </c>
      <c r="M392" s="195">
        <v>0</v>
      </c>
      <c r="N392" s="196">
        <f>L392*J392</f>
        <v>0</v>
      </c>
      <c r="O392" s="196">
        <f>M392*J392</f>
        <v>0</v>
      </c>
      <c r="P392" s="197">
        <f>(L392*J392)+(M392*J392)</f>
        <v>0</v>
      </c>
      <c r="Q392" s="328"/>
    </row>
    <row r="393" spans="1:17" ht="23.25" customHeight="1" x14ac:dyDescent="0.35">
      <c r="A393" s="28"/>
      <c r="B393" s="35" t="s">
        <v>28</v>
      </c>
      <c r="C393" s="127" t="s">
        <v>147</v>
      </c>
      <c r="D393" s="235" t="s">
        <v>147</v>
      </c>
      <c r="E393" s="149"/>
      <c r="F393" s="149"/>
      <c r="G393" s="149"/>
      <c r="H393" s="150"/>
      <c r="I393" s="236"/>
      <c r="J393" s="198"/>
      <c r="K393" s="153"/>
      <c r="L393" s="199"/>
      <c r="M393" s="199"/>
      <c r="N393" s="200"/>
      <c r="O393" s="200"/>
      <c r="P393" s="155"/>
      <c r="Q393" s="345"/>
    </row>
    <row r="394" spans="1:17" ht="56.5" customHeight="1" thickBot="1" x14ac:dyDescent="0.4">
      <c r="A394" s="38"/>
      <c r="B394" s="39" t="s">
        <v>28</v>
      </c>
      <c r="C394" s="128" t="s">
        <v>147</v>
      </c>
      <c r="D394" s="201" t="s">
        <v>523</v>
      </c>
      <c r="E394" s="203"/>
      <c r="F394" s="203"/>
      <c r="G394" s="203"/>
      <c r="H394" s="229"/>
      <c r="I394" s="230"/>
      <c r="J394" s="231"/>
      <c r="K394" s="232"/>
      <c r="L394" s="237"/>
      <c r="M394" s="237"/>
      <c r="N394" s="196"/>
      <c r="O394" s="196"/>
      <c r="P394" s="208"/>
      <c r="Q394" s="344"/>
    </row>
    <row r="395" spans="1:17" ht="23.25" customHeight="1" x14ac:dyDescent="0.35">
      <c r="A395" s="28">
        <f>A392+1</f>
        <v>370</v>
      </c>
      <c r="B395" s="35" t="s">
        <v>28</v>
      </c>
      <c r="C395" s="127" t="s">
        <v>147</v>
      </c>
      <c r="D395" s="77" t="s">
        <v>40</v>
      </c>
      <c r="E395" s="78" t="s">
        <v>60</v>
      </c>
      <c r="F395" s="78" t="s">
        <v>148</v>
      </c>
      <c r="G395" s="78" t="s">
        <v>398</v>
      </c>
      <c r="H395" s="78" t="s">
        <v>149</v>
      </c>
      <c r="I395" s="189"/>
      <c r="J395" s="32">
        <v>0</v>
      </c>
      <c r="K395" s="190" t="s">
        <v>51</v>
      </c>
      <c r="L395" s="185">
        <v>0</v>
      </c>
      <c r="M395" s="185">
        <v>0</v>
      </c>
      <c r="N395" s="186">
        <f t="shared" ref="N395:N417" si="219">L395*J395</f>
        <v>0</v>
      </c>
      <c r="O395" s="186">
        <f t="shared" ref="O395:O417" si="220">M395*J395</f>
        <v>0</v>
      </c>
      <c r="P395" s="311">
        <f t="shared" ref="P395:P417" si="221">(L395*J395)+(M395*J395)</f>
        <v>0</v>
      </c>
      <c r="Q395" s="336"/>
    </row>
    <row r="396" spans="1:17" ht="23.25" customHeight="1" x14ac:dyDescent="0.35">
      <c r="A396" s="18">
        <f>A395+1</f>
        <v>371</v>
      </c>
      <c r="B396" s="26" t="s">
        <v>28</v>
      </c>
      <c r="C396" s="129" t="s">
        <v>147</v>
      </c>
      <c r="D396" s="72" t="s">
        <v>524</v>
      </c>
      <c r="E396" s="73" t="s">
        <v>60</v>
      </c>
      <c r="F396" s="73" t="s">
        <v>148</v>
      </c>
      <c r="G396" s="73" t="s">
        <v>398</v>
      </c>
      <c r="H396" s="73" t="s">
        <v>149</v>
      </c>
      <c r="I396" s="191"/>
      <c r="J396" s="19">
        <v>0</v>
      </c>
      <c r="K396" s="167" t="s">
        <v>22</v>
      </c>
      <c r="L396" s="168">
        <v>0</v>
      </c>
      <c r="M396" s="168">
        <v>0</v>
      </c>
      <c r="N396" s="169">
        <f t="shared" si="219"/>
        <v>0</v>
      </c>
      <c r="O396" s="169">
        <f t="shared" si="220"/>
        <v>0</v>
      </c>
      <c r="P396" s="312">
        <f t="shared" si="221"/>
        <v>0</v>
      </c>
      <c r="Q396" s="335"/>
    </row>
    <row r="397" spans="1:17" ht="23.25" customHeight="1" x14ac:dyDescent="0.35">
      <c r="A397" s="18">
        <f t="shared" ref="A397:A419" si="222">A396+1</f>
        <v>372</v>
      </c>
      <c r="B397" s="26" t="s">
        <v>28</v>
      </c>
      <c r="C397" s="129" t="s">
        <v>147</v>
      </c>
      <c r="D397" s="72" t="s">
        <v>493</v>
      </c>
      <c r="E397" s="73" t="s">
        <v>60</v>
      </c>
      <c r="F397" s="73" t="s">
        <v>148</v>
      </c>
      <c r="G397" s="73" t="s">
        <v>398</v>
      </c>
      <c r="H397" s="73" t="s">
        <v>149</v>
      </c>
      <c r="I397" s="191"/>
      <c r="J397" s="19">
        <v>0</v>
      </c>
      <c r="K397" s="167" t="s">
        <v>22</v>
      </c>
      <c r="L397" s="168">
        <v>0</v>
      </c>
      <c r="M397" s="168">
        <v>0</v>
      </c>
      <c r="N397" s="169">
        <f t="shared" si="219"/>
        <v>0</v>
      </c>
      <c r="O397" s="169">
        <f t="shared" si="220"/>
        <v>0</v>
      </c>
      <c r="P397" s="312">
        <f t="shared" si="221"/>
        <v>0</v>
      </c>
      <c r="Q397" s="335"/>
    </row>
    <row r="398" spans="1:17" ht="23.25" customHeight="1" x14ac:dyDescent="0.35">
      <c r="A398" s="18">
        <f t="shared" si="222"/>
        <v>373</v>
      </c>
      <c r="B398" s="26" t="s">
        <v>28</v>
      </c>
      <c r="C398" s="129" t="s">
        <v>147</v>
      </c>
      <c r="D398" s="72" t="s">
        <v>386</v>
      </c>
      <c r="E398" s="73" t="s">
        <v>60</v>
      </c>
      <c r="F398" s="73" t="s">
        <v>148</v>
      </c>
      <c r="G398" s="73" t="s">
        <v>398</v>
      </c>
      <c r="H398" s="73" t="s">
        <v>149</v>
      </c>
      <c r="I398" s="191"/>
      <c r="J398" s="19">
        <v>0</v>
      </c>
      <c r="K398" s="167" t="s">
        <v>22</v>
      </c>
      <c r="L398" s="168">
        <v>0</v>
      </c>
      <c r="M398" s="168">
        <v>0</v>
      </c>
      <c r="N398" s="169">
        <f t="shared" ref="N398" si="223">L398*J398</f>
        <v>0</v>
      </c>
      <c r="O398" s="169">
        <f t="shared" ref="O398" si="224">M398*J398</f>
        <v>0</v>
      </c>
      <c r="P398" s="312">
        <f t="shared" ref="P398" si="225">(L398*J398)+(M398*J398)</f>
        <v>0</v>
      </c>
      <c r="Q398" s="335"/>
    </row>
    <row r="399" spans="1:17" ht="23.25" customHeight="1" x14ac:dyDescent="0.35">
      <c r="A399" s="18">
        <f t="shared" si="222"/>
        <v>374</v>
      </c>
      <c r="B399" s="26" t="s">
        <v>28</v>
      </c>
      <c r="C399" s="129" t="s">
        <v>147</v>
      </c>
      <c r="D399" s="72" t="s">
        <v>40</v>
      </c>
      <c r="E399" s="73" t="s">
        <v>60</v>
      </c>
      <c r="F399" s="73" t="s">
        <v>148</v>
      </c>
      <c r="G399" s="73" t="s">
        <v>398</v>
      </c>
      <c r="H399" s="73" t="s">
        <v>137</v>
      </c>
      <c r="I399" s="191"/>
      <c r="J399" s="19">
        <v>0</v>
      </c>
      <c r="K399" s="167" t="s">
        <v>51</v>
      </c>
      <c r="L399" s="168">
        <v>0</v>
      </c>
      <c r="M399" s="168">
        <v>0</v>
      </c>
      <c r="N399" s="169">
        <f t="shared" si="219"/>
        <v>0</v>
      </c>
      <c r="O399" s="169">
        <f t="shared" si="220"/>
        <v>0</v>
      </c>
      <c r="P399" s="312">
        <f t="shared" si="221"/>
        <v>0</v>
      </c>
      <c r="Q399" s="335"/>
    </row>
    <row r="400" spans="1:17" ht="23.25" customHeight="1" x14ac:dyDescent="0.35">
      <c r="A400" s="18">
        <f t="shared" si="222"/>
        <v>375</v>
      </c>
      <c r="B400" s="26" t="s">
        <v>28</v>
      </c>
      <c r="C400" s="129" t="s">
        <v>147</v>
      </c>
      <c r="D400" s="72" t="s">
        <v>524</v>
      </c>
      <c r="E400" s="73" t="s">
        <v>60</v>
      </c>
      <c r="F400" s="73" t="s">
        <v>148</v>
      </c>
      <c r="G400" s="73" t="s">
        <v>398</v>
      </c>
      <c r="H400" s="73" t="s">
        <v>137</v>
      </c>
      <c r="I400" s="191"/>
      <c r="J400" s="19">
        <v>0</v>
      </c>
      <c r="K400" s="167" t="s">
        <v>22</v>
      </c>
      <c r="L400" s="168">
        <v>0</v>
      </c>
      <c r="M400" s="168">
        <v>0</v>
      </c>
      <c r="N400" s="169">
        <f t="shared" si="219"/>
        <v>0</v>
      </c>
      <c r="O400" s="169">
        <f t="shared" si="220"/>
        <v>0</v>
      </c>
      <c r="P400" s="312">
        <f t="shared" si="221"/>
        <v>0</v>
      </c>
      <c r="Q400" s="335"/>
    </row>
    <row r="401" spans="1:17" ht="23.25" customHeight="1" x14ac:dyDescent="0.35">
      <c r="A401" s="18">
        <f t="shared" si="222"/>
        <v>376</v>
      </c>
      <c r="B401" s="26" t="s">
        <v>28</v>
      </c>
      <c r="C401" s="129" t="s">
        <v>147</v>
      </c>
      <c r="D401" s="72" t="s">
        <v>493</v>
      </c>
      <c r="E401" s="73" t="s">
        <v>60</v>
      </c>
      <c r="F401" s="73" t="s">
        <v>148</v>
      </c>
      <c r="G401" s="73" t="s">
        <v>398</v>
      </c>
      <c r="H401" s="73" t="s">
        <v>137</v>
      </c>
      <c r="I401" s="191"/>
      <c r="J401" s="19">
        <v>0</v>
      </c>
      <c r="K401" s="167" t="s">
        <v>22</v>
      </c>
      <c r="L401" s="168">
        <v>0</v>
      </c>
      <c r="M401" s="168">
        <v>0</v>
      </c>
      <c r="N401" s="169">
        <f t="shared" si="219"/>
        <v>0</v>
      </c>
      <c r="O401" s="169">
        <f t="shared" si="220"/>
        <v>0</v>
      </c>
      <c r="P401" s="312">
        <f t="shared" si="221"/>
        <v>0</v>
      </c>
      <c r="Q401" s="335"/>
    </row>
    <row r="402" spans="1:17" ht="23.25" customHeight="1" x14ac:dyDescent="0.35">
      <c r="A402" s="18">
        <f t="shared" si="222"/>
        <v>377</v>
      </c>
      <c r="B402" s="26" t="s">
        <v>28</v>
      </c>
      <c r="C402" s="129" t="s">
        <v>147</v>
      </c>
      <c r="D402" s="72" t="s">
        <v>386</v>
      </c>
      <c r="E402" s="73" t="s">
        <v>60</v>
      </c>
      <c r="F402" s="73" t="s">
        <v>148</v>
      </c>
      <c r="G402" s="73" t="s">
        <v>398</v>
      </c>
      <c r="H402" s="73" t="s">
        <v>137</v>
      </c>
      <c r="I402" s="191"/>
      <c r="J402" s="19">
        <v>0</v>
      </c>
      <c r="K402" s="167" t="s">
        <v>22</v>
      </c>
      <c r="L402" s="168">
        <v>0</v>
      </c>
      <c r="M402" s="168">
        <v>0</v>
      </c>
      <c r="N402" s="169">
        <f t="shared" si="219"/>
        <v>0</v>
      </c>
      <c r="O402" s="169">
        <f t="shared" si="220"/>
        <v>0</v>
      </c>
      <c r="P402" s="312">
        <f t="shared" si="221"/>
        <v>0</v>
      </c>
      <c r="Q402" s="335"/>
    </row>
    <row r="403" spans="1:17" ht="23.25" customHeight="1" x14ac:dyDescent="0.35">
      <c r="A403" s="18">
        <f t="shared" si="222"/>
        <v>378</v>
      </c>
      <c r="B403" s="26" t="s">
        <v>28</v>
      </c>
      <c r="C403" s="129" t="s">
        <v>147</v>
      </c>
      <c r="D403" s="72" t="s">
        <v>40</v>
      </c>
      <c r="E403" s="73" t="s">
        <v>60</v>
      </c>
      <c r="F403" s="73" t="s">
        <v>148</v>
      </c>
      <c r="G403" s="73" t="s">
        <v>398</v>
      </c>
      <c r="H403" s="73" t="s">
        <v>138</v>
      </c>
      <c r="I403" s="191"/>
      <c r="J403" s="19">
        <v>0</v>
      </c>
      <c r="K403" s="167" t="s">
        <v>51</v>
      </c>
      <c r="L403" s="168">
        <v>0</v>
      </c>
      <c r="M403" s="168">
        <v>0</v>
      </c>
      <c r="N403" s="169">
        <f t="shared" si="219"/>
        <v>0</v>
      </c>
      <c r="O403" s="169">
        <f t="shared" si="220"/>
        <v>0</v>
      </c>
      <c r="P403" s="312">
        <f t="shared" si="221"/>
        <v>0</v>
      </c>
      <c r="Q403" s="335"/>
    </row>
    <row r="404" spans="1:17" ht="23.25" customHeight="1" x14ac:dyDescent="0.35">
      <c r="A404" s="18">
        <f t="shared" si="222"/>
        <v>379</v>
      </c>
      <c r="B404" s="26" t="s">
        <v>28</v>
      </c>
      <c r="C404" s="129" t="s">
        <v>147</v>
      </c>
      <c r="D404" s="72" t="s">
        <v>524</v>
      </c>
      <c r="E404" s="73" t="s">
        <v>60</v>
      </c>
      <c r="F404" s="73" t="s">
        <v>148</v>
      </c>
      <c r="G404" s="73" t="s">
        <v>398</v>
      </c>
      <c r="H404" s="73" t="s">
        <v>138</v>
      </c>
      <c r="I404" s="191"/>
      <c r="J404" s="19">
        <v>0</v>
      </c>
      <c r="K404" s="167" t="s">
        <v>22</v>
      </c>
      <c r="L404" s="168">
        <v>0</v>
      </c>
      <c r="M404" s="168">
        <v>0</v>
      </c>
      <c r="N404" s="169">
        <f t="shared" si="219"/>
        <v>0</v>
      </c>
      <c r="O404" s="169">
        <f t="shared" si="220"/>
        <v>0</v>
      </c>
      <c r="P404" s="312">
        <f t="shared" si="221"/>
        <v>0</v>
      </c>
      <c r="Q404" s="335"/>
    </row>
    <row r="405" spans="1:17" ht="23.25" customHeight="1" x14ac:dyDescent="0.35">
      <c r="A405" s="18">
        <f t="shared" si="222"/>
        <v>380</v>
      </c>
      <c r="B405" s="26" t="s">
        <v>28</v>
      </c>
      <c r="C405" s="129" t="s">
        <v>147</v>
      </c>
      <c r="D405" s="72" t="s">
        <v>493</v>
      </c>
      <c r="E405" s="73" t="s">
        <v>60</v>
      </c>
      <c r="F405" s="73" t="s">
        <v>148</v>
      </c>
      <c r="G405" s="73" t="s">
        <v>398</v>
      </c>
      <c r="H405" s="73" t="s">
        <v>138</v>
      </c>
      <c r="I405" s="191"/>
      <c r="J405" s="19">
        <v>0</v>
      </c>
      <c r="K405" s="167" t="s">
        <v>22</v>
      </c>
      <c r="L405" s="168">
        <v>0</v>
      </c>
      <c r="M405" s="168">
        <v>0</v>
      </c>
      <c r="N405" s="169">
        <f t="shared" si="219"/>
        <v>0</v>
      </c>
      <c r="O405" s="169">
        <f t="shared" si="220"/>
        <v>0</v>
      </c>
      <c r="P405" s="312">
        <f t="shared" si="221"/>
        <v>0</v>
      </c>
      <c r="Q405" s="335"/>
    </row>
    <row r="406" spans="1:17" ht="23.25" customHeight="1" x14ac:dyDescent="0.35">
      <c r="A406" s="18">
        <f t="shared" si="222"/>
        <v>381</v>
      </c>
      <c r="B406" s="26" t="s">
        <v>28</v>
      </c>
      <c r="C406" s="129" t="s">
        <v>147</v>
      </c>
      <c r="D406" s="72" t="s">
        <v>386</v>
      </c>
      <c r="E406" s="73" t="s">
        <v>60</v>
      </c>
      <c r="F406" s="73" t="s">
        <v>148</v>
      </c>
      <c r="G406" s="73" t="s">
        <v>398</v>
      </c>
      <c r="H406" s="73" t="s">
        <v>138</v>
      </c>
      <c r="I406" s="191"/>
      <c r="J406" s="19">
        <v>0</v>
      </c>
      <c r="K406" s="167" t="s">
        <v>22</v>
      </c>
      <c r="L406" s="168">
        <v>0</v>
      </c>
      <c r="M406" s="168">
        <v>0</v>
      </c>
      <c r="N406" s="169">
        <f t="shared" ref="N406:N409" si="226">L406*J406</f>
        <v>0</v>
      </c>
      <c r="O406" s="169">
        <f t="shared" ref="O406:O409" si="227">M406*J406</f>
        <v>0</v>
      </c>
      <c r="P406" s="312">
        <f t="shared" ref="P406:P409" si="228">(L406*J406)+(M406*J406)</f>
        <v>0</v>
      </c>
      <c r="Q406" s="335"/>
    </row>
    <row r="407" spans="1:17" ht="23.25" customHeight="1" x14ac:dyDescent="0.35">
      <c r="A407" s="18">
        <f t="shared" si="222"/>
        <v>382</v>
      </c>
      <c r="B407" s="26" t="s">
        <v>28</v>
      </c>
      <c r="C407" s="129" t="s">
        <v>147</v>
      </c>
      <c r="D407" s="72" t="s">
        <v>40</v>
      </c>
      <c r="E407" s="73" t="s">
        <v>60</v>
      </c>
      <c r="F407" s="73" t="s">
        <v>148</v>
      </c>
      <c r="G407" s="73" t="s">
        <v>398</v>
      </c>
      <c r="H407" s="73" t="s">
        <v>399</v>
      </c>
      <c r="I407" s="191"/>
      <c r="J407" s="19">
        <v>0</v>
      </c>
      <c r="K407" s="167" t="s">
        <v>51</v>
      </c>
      <c r="L407" s="168">
        <v>0</v>
      </c>
      <c r="M407" s="168">
        <v>0</v>
      </c>
      <c r="N407" s="169">
        <f t="shared" si="226"/>
        <v>0</v>
      </c>
      <c r="O407" s="169">
        <f t="shared" si="227"/>
        <v>0</v>
      </c>
      <c r="P407" s="312">
        <f t="shared" si="228"/>
        <v>0</v>
      </c>
      <c r="Q407" s="335"/>
    </row>
    <row r="408" spans="1:17" ht="23.25" customHeight="1" x14ac:dyDescent="0.35">
      <c r="A408" s="18">
        <f t="shared" si="222"/>
        <v>383</v>
      </c>
      <c r="B408" s="26" t="s">
        <v>28</v>
      </c>
      <c r="C408" s="129" t="s">
        <v>147</v>
      </c>
      <c r="D408" s="72" t="s">
        <v>524</v>
      </c>
      <c r="E408" s="73" t="s">
        <v>60</v>
      </c>
      <c r="F408" s="73" t="s">
        <v>148</v>
      </c>
      <c r="G408" s="73" t="s">
        <v>398</v>
      </c>
      <c r="H408" s="73" t="s">
        <v>399</v>
      </c>
      <c r="I408" s="191"/>
      <c r="J408" s="19">
        <v>0</v>
      </c>
      <c r="K408" s="167" t="s">
        <v>22</v>
      </c>
      <c r="L408" s="168">
        <v>0</v>
      </c>
      <c r="M408" s="168">
        <v>0</v>
      </c>
      <c r="N408" s="169">
        <f t="shared" si="226"/>
        <v>0</v>
      </c>
      <c r="O408" s="169">
        <f t="shared" si="227"/>
        <v>0</v>
      </c>
      <c r="P408" s="312">
        <f t="shared" si="228"/>
        <v>0</v>
      </c>
      <c r="Q408" s="335"/>
    </row>
    <row r="409" spans="1:17" ht="23.25" customHeight="1" x14ac:dyDescent="0.35">
      <c r="A409" s="18">
        <f t="shared" si="222"/>
        <v>384</v>
      </c>
      <c r="B409" s="26" t="s">
        <v>28</v>
      </c>
      <c r="C409" s="129" t="s">
        <v>147</v>
      </c>
      <c r="D409" s="72" t="s">
        <v>493</v>
      </c>
      <c r="E409" s="73" t="s">
        <v>60</v>
      </c>
      <c r="F409" s="73" t="s">
        <v>148</v>
      </c>
      <c r="G409" s="73" t="s">
        <v>398</v>
      </c>
      <c r="H409" s="73" t="s">
        <v>399</v>
      </c>
      <c r="I409" s="191"/>
      <c r="J409" s="19">
        <v>0</v>
      </c>
      <c r="K409" s="167" t="s">
        <v>22</v>
      </c>
      <c r="L409" s="168">
        <v>0</v>
      </c>
      <c r="M409" s="168">
        <v>0</v>
      </c>
      <c r="N409" s="169">
        <f t="shared" si="226"/>
        <v>0</v>
      </c>
      <c r="O409" s="169">
        <f t="shared" si="227"/>
        <v>0</v>
      </c>
      <c r="P409" s="312">
        <f t="shared" si="228"/>
        <v>0</v>
      </c>
      <c r="Q409" s="335"/>
    </row>
    <row r="410" spans="1:17" ht="23.25" customHeight="1" x14ac:dyDescent="0.35">
      <c r="A410" s="18">
        <f t="shared" si="222"/>
        <v>385</v>
      </c>
      <c r="B410" s="26" t="s">
        <v>28</v>
      </c>
      <c r="C410" s="129" t="s">
        <v>147</v>
      </c>
      <c r="D410" s="72" t="s">
        <v>386</v>
      </c>
      <c r="E410" s="73" t="s">
        <v>60</v>
      </c>
      <c r="F410" s="73" t="s">
        <v>148</v>
      </c>
      <c r="G410" s="73" t="s">
        <v>398</v>
      </c>
      <c r="H410" s="73" t="s">
        <v>399</v>
      </c>
      <c r="I410" s="191"/>
      <c r="J410" s="19">
        <v>0</v>
      </c>
      <c r="K410" s="167" t="s">
        <v>22</v>
      </c>
      <c r="L410" s="168">
        <v>0</v>
      </c>
      <c r="M410" s="168">
        <v>0</v>
      </c>
      <c r="N410" s="169">
        <f t="shared" ref="N410" si="229">L410*J410</f>
        <v>0</v>
      </c>
      <c r="O410" s="169">
        <f t="shared" ref="O410" si="230">M410*J410</f>
        <v>0</v>
      </c>
      <c r="P410" s="312">
        <f t="shared" ref="P410" si="231">(L410*J410)+(M410*J410)</f>
        <v>0</v>
      </c>
      <c r="Q410" s="335"/>
    </row>
    <row r="411" spans="1:17" ht="23.25" customHeight="1" x14ac:dyDescent="0.35">
      <c r="A411" s="18">
        <f t="shared" si="222"/>
        <v>386</v>
      </c>
      <c r="B411" s="26" t="s">
        <v>28</v>
      </c>
      <c r="C411" s="129" t="s">
        <v>147</v>
      </c>
      <c r="D411" s="72" t="s">
        <v>40</v>
      </c>
      <c r="E411" s="73" t="s">
        <v>60</v>
      </c>
      <c r="F411" s="73" t="s">
        <v>148</v>
      </c>
      <c r="G411" s="73" t="s">
        <v>398</v>
      </c>
      <c r="H411" s="73" t="s">
        <v>400</v>
      </c>
      <c r="I411" s="191"/>
      <c r="J411" s="19">
        <v>0</v>
      </c>
      <c r="K411" s="167" t="s">
        <v>51</v>
      </c>
      <c r="L411" s="168">
        <v>0</v>
      </c>
      <c r="M411" s="168">
        <v>0</v>
      </c>
      <c r="N411" s="169">
        <f t="shared" si="219"/>
        <v>0</v>
      </c>
      <c r="O411" s="169">
        <f t="shared" si="220"/>
        <v>0</v>
      </c>
      <c r="P411" s="312">
        <f t="shared" si="221"/>
        <v>0</v>
      </c>
      <c r="Q411" s="335"/>
    </row>
    <row r="412" spans="1:17" ht="23.25" customHeight="1" x14ac:dyDescent="0.35">
      <c r="A412" s="18">
        <f t="shared" si="222"/>
        <v>387</v>
      </c>
      <c r="B412" s="26" t="s">
        <v>28</v>
      </c>
      <c r="C412" s="129" t="s">
        <v>147</v>
      </c>
      <c r="D412" s="72" t="s">
        <v>524</v>
      </c>
      <c r="E412" s="73" t="s">
        <v>60</v>
      </c>
      <c r="F412" s="73" t="s">
        <v>148</v>
      </c>
      <c r="G412" s="73" t="s">
        <v>398</v>
      </c>
      <c r="H412" s="73" t="s">
        <v>400</v>
      </c>
      <c r="I412" s="191"/>
      <c r="J412" s="19">
        <v>0</v>
      </c>
      <c r="K412" s="167" t="s">
        <v>22</v>
      </c>
      <c r="L412" s="168">
        <v>0</v>
      </c>
      <c r="M412" s="168">
        <v>0</v>
      </c>
      <c r="N412" s="169">
        <f t="shared" si="219"/>
        <v>0</v>
      </c>
      <c r="O412" s="169">
        <f t="shared" si="220"/>
        <v>0</v>
      </c>
      <c r="P412" s="312">
        <f t="shared" si="221"/>
        <v>0</v>
      </c>
      <c r="Q412" s="335"/>
    </row>
    <row r="413" spans="1:17" ht="23.25" customHeight="1" x14ac:dyDescent="0.35">
      <c r="A413" s="18">
        <f t="shared" si="222"/>
        <v>388</v>
      </c>
      <c r="B413" s="26" t="s">
        <v>28</v>
      </c>
      <c r="C413" s="129" t="s">
        <v>147</v>
      </c>
      <c r="D413" s="72" t="s">
        <v>493</v>
      </c>
      <c r="E413" s="73" t="s">
        <v>60</v>
      </c>
      <c r="F413" s="73" t="s">
        <v>148</v>
      </c>
      <c r="G413" s="73" t="s">
        <v>398</v>
      </c>
      <c r="H413" s="73" t="s">
        <v>400</v>
      </c>
      <c r="I413" s="191"/>
      <c r="J413" s="19">
        <v>0</v>
      </c>
      <c r="K413" s="167" t="s">
        <v>22</v>
      </c>
      <c r="L413" s="168">
        <v>0</v>
      </c>
      <c r="M413" s="168">
        <v>0</v>
      </c>
      <c r="N413" s="169">
        <f t="shared" si="219"/>
        <v>0</v>
      </c>
      <c r="O413" s="169">
        <f t="shared" si="220"/>
        <v>0</v>
      </c>
      <c r="P413" s="312">
        <f t="shared" si="221"/>
        <v>0</v>
      </c>
      <c r="Q413" s="335"/>
    </row>
    <row r="414" spans="1:17" ht="23.25" customHeight="1" x14ac:dyDescent="0.35">
      <c r="A414" s="18">
        <f t="shared" si="222"/>
        <v>389</v>
      </c>
      <c r="B414" s="26" t="s">
        <v>28</v>
      </c>
      <c r="C414" s="129" t="s">
        <v>147</v>
      </c>
      <c r="D414" s="72" t="s">
        <v>386</v>
      </c>
      <c r="E414" s="73" t="s">
        <v>60</v>
      </c>
      <c r="F414" s="73" t="s">
        <v>148</v>
      </c>
      <c r="G414" s="73" t="s">
        <v>398</v>
      </c>
      <c r="H414" s="73" t="s">
        <v>400</v>
      </c>
      <c r="I414" s="191"/>
      <c r="J414" s="19">
        <v>0</v>
      </c>
      <c r="K414" s="167" t="s">
        <v>22</v>
      </c>
      <c r="L414" s="168">
        <v>0</v>
      </c>
      <c r="M414" s="168">
        <v>0</v>
      </c>
      <c r="N414" s="169">
        <f t="shared" si="219"/>
        <v>0</v>
      </c>
      <c r="O414" s="169">
        <f t="shared" si="220"/>
        <v>0</v>
      </c>
      <c r="P414" s="312">
        <f t="shared" si="221"/>
        <v>0</v>
      </c>
      <c r="Q414" s="335"/>
    </row>
    <row r="415" spans="1:17" ht="23.25" customHeight="1" x14ac:dyDescent="0.35">
      <c r="A415" s="18">
        <f t="shared" si="222"/>
        <v>390</v>
      </c>
      <c r="B415" s="26" t="s">
        <v>28</v>
      </c>
      <c r="C415" s="129" t="s">
        <v>147</v>
      </c>
      <c r="D415" s="72" t="s">
        <v>40</v>
      </c>
      <c r="E415" s="73" t="s">
        <v>60</v>
      </c>
      <c r="F415" s="73" t="s">
        <v>148</v>
      </c>
      <c r="G415" s="73" t="s">
        <v>398</v>
      </c>
      <c r="H415" s="73" t="s">
        <v>401</v>
      </c>
      <c r="I415" s="191"/>
      <c r="J415" s="19">
        <v>0</v>
      </c>
      <c r="K415" s="167" t="s">
        <v>51</v>
      </c>
      <c r="L415" s="168">
        <v>0</v>
      </c>
      <c r="M415" s="168">
        <v>0</v>
      </c>
      <c r="N415" s="169">
        <f t="shared" si="219"/>
        <v>0</v>
      </c>
      <c r="O415" s="169">
        <f t="shared" si="220"/>
        <v>0</v>
      </c>
      <c r="P415" s="312">
        <f t="shared" si="221"/>
        <v>0</v>
      </c>
      <c r="Q415" s="335"/>
    </row>
    <row r="416" spans="1:17" ht="23.25" customHeight="1" x14ac:dyDescent="0.35">
      <c r="A416" s="18">
        <f t="shared" si="222"/>
        <v>391</v>
      </c>
      <c r="B416" s="26" t="s">
        <v>28</v>
      </c>
      <c r="C416" s="129" t="s">
        <v>147</v>
      </c>
      <c r="D416" s="72" t="s">
        <v>524</v>
      </c>
      <c r="E416" s="73" t="s">
        <v>60</v>
      </c>
      <c r="F416" s="73" t="s">
        <v>148</v>
      </c>
      <c r="G416" s="73" t="s">
        <v>398</v>
      </c>
      <c r="H416" s="73" t="s">
        <v>401</v>
      </c>
      <c r="I416" s="191"/>
      <c r="J416" s="19">
        <v>0</v>
      </c>
      <c r="K416" s="167" t="s">
        <v>51</v>
      </c>
      <c r="L416" s="168">
        <v>0</v>
      </c>
      <c r="M416" s="168">
        <v>0</v>
      </c>
      <c r="N416" s="169">
        <f t="shared" si="219"/>
        <v>0</v>
      </c>
      <c r="O416" s="169">
        <f t="shared" si="220"/>
        <v>0</v>
      </c>
      <c r="P416" s="312">
        <f t="shared" si="221"/>
        <v>0</v>
      </c>
      <c r="Q416" s="335"/>
    </row>
    <row r="417" spans="1:17" ht="23.25" customHeight="1" x14ac:dyDescent="0.35">
      <c r="A417" s="18">
        <f t="shared" si="222"/>
        <v>392</v>
      </c>
      <c r="B417" s="26" t="s">
        <v>28</v>
      </c>
      <c r="C417" s="129" t="s">
        <v>147</v>
      </c>
      <c r="D417" s="72" t="s">
        <v>493</v>
      </c>
      <c r="E417" s="73" t="s">
        <v>60</v>
      </c>
      <c r="F417" s="73" t="s">
        <v>148</v>
      </c>
      <c r="G417" s="73" t="s">
        <v>398</v>
      </c>
      <c r="H417" s="73" t="s">
        <v>401</v>
      </c>
      <c r="I417" s="191"/>
      <c r="J417" s="19">
        <v>0</v>
      </c>
      <c r="K417" s="167" t="s">
        <v>51</v>
      </c>
      <c r="L417" s="168">
        <v>0</v>
      </c>
      <c r="M417" s="168">
        <v>0</v>
      </c>
      <c r="N417" s="169">
        <f t="shared" si="219"/>
        <v>0</v>
      </c>
      <c r="O417" s="169">
        <f t="shared" si="220"/>
        <v>0</v>
      </c>
      <c r="P417" s="312">
        <f t="shared" si="221"/>
        <v>0</v>
      </c>
      <c r="Q417" s="335"/>
    </row>
    <row r="418" spans="1:17" ht="23.25" customHeight="1" x14ac:dyDescent="0.35">
      <c r="A418" s="18">
        <f t="shared" si="222"/>
        <v>393</v>
      </c>
      <c r="B418" s="26" t="s">
        <v>28</v>
      </c>
      <c r="C418" s="129" t="s">
        <v>147</v>
      </c>
      <c r="D418" s="72" t="s">
        <v>386</v>
      </c>
      <c r="E418" s="73" t="s">
        <v>60</v>
      </c>
      <c r="F418" s="73" t="s">
        <v>148</v>
      </c>
      <c r="G418" s="73" t="s">
        <v>398</v>
      </c>
      <c r="H418" s="73" t="s">
        <v>401</v>
      </c>
      <c r="I418" s="191"/>
      <c r="J418" s="19">
        <v>0</v>
      </c>
      <c r="K418" s="167" t="s">
        <v>22</v>
      </c>
      <c r="L418" s="168">
        <v>0</v>
      </c>
      <c r="M418" s="168">
        <v>0</v>
      </c>
      <c r="N418" s="169">
        <f t="shared" ref="N418" si="232">L418*J418</f>
        <v>0</v>
      </c>
      <c r="O418" s="169">
        <f t="shared" ref="O418" si="233">M418*J418</f>
        <v>0</v>
      </c>
      <c r="P418" s="312">
        <f t="shared" ref="P418" si="234">(L418*J418)+(M418*J418)</f>
        <v>0</v>
      </c>
      <c r="Q418" s="335"/>
    </row>
    <row r="419" spans="1:17" ht="23.25" customHeight="1" x14ac:dyDescent="0.35">
      <c r="A419" s="18">
        <f t="shared" si="222"/>
        <v>394</v>
      </c>
      <c r="B419" s="26" t="s">
        <v>28</v>
      </c>
      <c r="C419" s="129" t="s">
        <v>147</v>
      </c>
      <c r="D419" s="43" t="s">
        <v>358</v>
      </c>
      <c r="E419" s="5"/>
      <c r="F419" s="5"/>
      <c r="G419" s="5"/>
      <c r="H419" s="5"/>
      <c r="I419" s="20"/>
      <c r="J419" s="19">
        <f>I419</f>
        <v>0</v>
      </c>
      <c r="K419" s="171"/>
      <c r="L419" s="168">
        <v>0</v>
      </c>
      <c r="M419" s="168">
        <v>0</v>
      </c>
      <c r="N419" s="169">
        <f>L419*J419</f>
        <v>0</v>
      </c>
      <c r="O419" s="169">
        <f>M419*J419</f>
        <v>0</v>
      </c>
      <c r="P419" s="312">
        <f>(L419*J419)+(M419*J419)</f>
        <v>0</v>
      </c>
      <c r="Q419" s="326"/>
    </row>
    <row r="420" spans="1:17" ht="23.25" customHeight="1" thickBot="1" x14ac:dyDescent="0.4">
      <c r="A420" s="38">
        <f>A419+1</f>
        <v>395</v>
      </c>
      <c r="B420" s="39" t="s">
        <v>28</v>
      </c>
      <c r="C420" s="128" t="s">
        <v>147</v>
      </c>
      <c r="D420" s="44" t="s">
        <v>358</v>
      </c>
      <c r="E420" s="40"/>
      <c r="F420" s="40"/>
      <c r="G420" s="40"/>
      <c r="H420" s="40"/>
      <c r="I420" s="41"/>
      <c r="J420" s="24">
        <f>I420</f>
        <v>0</v>
      </c>
      <c r="K420" s="194"/>
      <c r="L420" s="195">
        <v>0</v>
      </c>
      <c r="M420" s="195">
        <v>0</v>
      </c>
      <c r="N420" s="196">
        <f>L420*J420</f>
        <v>0</v>
      </c>
      <c r="O420" s="196">
        <f>M420*J420</f>
        <v>0</v>
      </c>
      <c r="P420" s="313">
        <f>(L420*J420)+(M420*J420)</f>
        <v>0</v>
      </c>
      <c r="Q420" s="328"/>
    </row>
    <row r="421" spans="1:17" ht="54.75" customHeight="1" thickBot="1" x14ac:dyDescent="0.4">
      <c r="A421" s="90"/>
      <c r="B421" s="91" t="s">
        <v>28</v>
      </c>
      <c r="C421" s="137" t="s">
        <v>147</v>
      </c>
      <c r="D421" s="238" t="s">
        <v>525</v>
      </c>
      <c r="E421" s="239"/>
      <c r="F421" s="239"/>
      <c r="G421" s="239"/>
      <c r="H421" s="240"/>
      <c r="I421" s="241"/>
      <c r="J421" s="242"/>
      <c r="K421" s="243"/>
      <c r="L421" s="244"/>
      <c r="M421" s="244"/>
      <c r="N421" s="245"/>
      <c r="O421" s="245"/>
      <c r="P421" s="314"/>
      <c r="Q421" s="346"/>
    </row>
    <row r="422" spans="1:17" ht="23.25" customHeight="1" x14ac:dyDescent="0.35">
      <c r="A422" s="28">
        <f>A420+1</f>
        <v>396</v>
      </c>
      <c r="B422" s="35" t="s">
        <v>28</v>
      </c>
      <c r="C422" s="127" t="s">
        <v>147</v>
      </c>
      <c r="D422" s="77" t="s">
        <v>40</v>
      </c>
      <c r="E422" s="78" t="s">
        <v>60</v>
      </c>
      <c r="F422" s="78" t="s">
        <v>148</v>
      </c>
      <c r="G422" s="78" t="s">
        <v>150</v>
      </c>
      <c r="H422" s="78" t="s">
        <v>149</v>
      </c>
      <c r="I422" s="189"/>
      <c r="J422" s="32">
        <v>0</v>
      </c>
      <c r="K422" s="190" t="s">
        <v>51</v>
      </c>
      <c r="L422" s="185">
        <v>0</v>
      </c>
      <c r="M422" s="185">
        <v>0</v>
      </c>
      <c r="N422" s="186">
        <f t="shared" ref="N422:N444" si="235">L422*J422</f>
        <v>0</v>
      </c>
      <c r="O422" s="186">
        <f t="shared" ref="O422:O444" si="236">M422*J422</f>
        <v>0</v>
      </c>
      <c r="P422" s="311">
        <f t="shared" ref="P422:P444" si="237">(L422*J422)+(M422*J422)</f>
        <v>0</v>
      </c>
      <c r="Q422" s="336"/>
    </row>
    <row r="423" spans="1:17" ht="23.25" customHeight="1" x14ac:dyDescent="0.35">
      <c r="A423" s="18">
        <f>A422+1</f>
        <v>397</v>
      </c>
      <c r="B423" s="26" t="s">
        <v>28</v>
      </c>
      <c r="C423" s="129" t="s">
        <v>147</v>
      </c>
      <c r="D423" s="72" t="s">
        <v>524</v>
      </c>
      <c r="E423" s="73" t="s">
        <v>60</v>
      </c>
      <c r="F423" s="73" t="s">
        <v>148</v>
      </c>
      <c r="G423" s="73" t="s">
        <v>150</v>
      </c>
      <c r="H423" s="73" t="s">
        <v>149</v>
      </c>
      <c r="I423" s="191"/>
      <c r="J423" s="19">
        <v>0</v>
      </c>
      <c r="K423" s="167" t="s">
        <v>22</v>
      </c>
      <c r="L423" s="168">
        <v>0</v>
      </c>
      <c r="M423" s="168">
        <v>0</v>
      </c>
      <c r="N423" s="169">
        <f t="shared" si="235"/>
        <v>0</v>
      </c>
      <c r="O423" s="169">
        <f t="shared" si="236"/>
        <v>0</v>
      </c>
      <c r="P423" s="312">
        <f t="shared" si="237"/>
        <v>0</v>
      </c>
      <c r="Q423" s="335"/>
    </row>
    <row r="424" spans="1:17" ht="23.25" customHeight="1" x14ac:dyDescent="0.35">
      <c r="A424" s="18">
        <f t="shared" ref="A424:A446" si="238">A423+1</f>
        <v>398</v>
      </c>
      <c r="B424" s="26" t="s">
        <v>28</v>
      </c>
      <c r="C424" s="129" t="s">
        <v>147</v>
      </c>
      <c r="D424" s="72" t="s">
        <v>493</v>
      </c>
      <c r="E424" s="73" t="s">
        <v>60</v>
      </c>
      <c r="F424" s="73" t="s">
        <v>148</v>
      </c>
      <c r="G424" s="73" t="s">
        <v>150</v>
      </c>
      <c r="H424" s="73" t="s">
        <v>149</v>
      </c>
      <c r="I424" s="191"/>
      <c r="J424" s="19">
        <v>0</v>
      </c>
      <c r="K424" s="167" t="s">
        <v>22</v>
      </c>
      <c r="L424" s="168">
        <v>0</v>
      </c>
      <c r="M424" s="168">
        <v>0</v>
      </c>
      <c r="N424" s="169">
        <f t="shared" si="235"/>
        <v>0</v>
      </c>
      <c r="O424" s="169">
        <f t="shared" si="236"/>
        <v>0</v>
      </c>
      <c r="P424" s="312">
        <f t="shared" si="237"/>
        <v>0</v>
      </c>
      <c r="Q424" s="335"/>
    </row>
    <row r="425" spans="1:17" ht="23.25" customHeight="1" x14ac:dyDescent="0.35">
      <c r="A425" s="18">
        <f t="shared" si="238"/>
        <v>399</v>
      </c>
      <c r="B425" s="26" t="s">
        <v>28</v>
      </c>
      <c r="C425" s="129" t="s">
        <v>147</v>
      </c>
      <c r="D425" s="72" t="s">
        <v>386</v>
      </c>
      <c r="E425" s="73" t="s">
        <v>60</v>
      </c>
      <c r="F425" s="73" t="s">
        <v>148</v>
      </c>
      <c r="G425" s="73" t="s">
        <v>150</v>
      </c>
      <c r="H425" s="73" t="s">
        <v>149</v>
      </c>
      <c r="I425" s="191"/>
      <c r="J425" s="19">
        <v>0</v>
      </c>
      <c r="K425" s="167" t="s">
        <v>22</v>
      </c>
      <c r="L425" s="168">
        <v>0</v>
      </c>
      <c r="M425" s="168">
        <v>0</v>
      </c>
      <c r="N425" s="169">
        <f t="shared" ref="N425" si="239">L425*J425</f>
        <v>0</v>
      </c>
      <c r="O425" s="169">
        <f t="shared" ref="O425" si="240">M425*J425</f>
        <v>0</v>
      </c>
      <c r="P425" s="312">
        <f t="shared" ref="P425" si="241">(L425*J425)+(M425*J425)</f>
        <v>0</v>
      </c>
      <c r="Q425" s="335"/>
    </row>
    <row r="426" spans="1:17" ht="23.25" customHeight="1" x14ac:dyDescent="0.35">
      <c r="A426" s="18">
        <f t="shared" si="238"/>
        <v>400</v>
      </c>
      <c r="B426" s="26" t="s">
        <v>28</v>
      </c>
      <c r="C426" s="129" t="s">
        <v>147</v>
      </c>
      <c r="D426" s="72" t="s">
        <v>40</v>
      </c>
      <c r="E426" s="73" t="s">
        <v>60</v>
      </c>
      <c r="F426" s="73" t="s">
        <v>148</v>
      </c>
      <c r="G426" s="73" t="s">
        <v>150</v>
      </c>
      <c r="H426" s="73" t="s">
        <v>137</v>
      </c>
      <c r="I426" s="191"/>
      <c r="J426" s="19">
        <v>0</v>
      </c>
      <c r="K426" s="167" t="s">
        <v>51</v>
      </c>
      <c r="L426" s="168">
        <v>0</v>
      </c>
      <c r="M426" s="168">
        <v>0</v>
      </c>
      <c r="N426" s="169">
        <f t="shared" si="235"/>
        <v>0</v>
      </c>
      <c r="O426" s="169">
        <f t="shared" si="236"/>
        <v>0</v>
      </c>
      <c r="P426" s="312">
        <f t="shared" si="237"/>
        <v>0</v>
      </c>
      <c r="Q426" s="335"/>
    </row>
    <row r="427" spans="1:17" ht="23.25" customHeight="1" x14ac:dyDescent="0.35">
      <c r="A427" s="18">
        <f t="shared" si="238"/>
        <v>401</v>
      </c>
      <c r="B427" s="26" t="s">
        <v>28</v>
      </c>
      <c r="C427" s="129" t="s">
        <v>147</v>
      </c>
      <c r="D427" s="72" t="s">
        <v>524</v>
      </c>
      <c r="E427" s="73" t="s">
        <v>60</v>
      </c>
      <c r="F427" s="73" t="s">
        <v>148</v>
      </c>
      <c r="G427" s="73" t="s">
        <v>150</v>
      </c>
      <c r="H427" s="73" t="s">
        <v>137</v>
      </c>
      <c r="I427" s="191"/>
      <c r="J427" s="19">
        <v>0</v>
      </c>
      <c r="K427" s="167" t="s">
        <v>22</v>
      </c>
      <c r="L427" s="168">
        <v>0</v>
      </c>
      <c r="M427" s="168">
        <v>0</v>
      </c>
      <c r="N427" s="169">
        <f t="shared" si="235"/>
        <v>0</v>
      </c>
      <c r="O427" s="169">
        <f t="shared" si="236"/>
        <v>0</v>
      </c>
      <c r="P427" s="312">
        <f t="shared" si="237"/>
        <v>0</v>
      </c>
      <c r="Q427" s="335"/>
    </row>
    <row r="428" spans="1:17" ht="23.25" customHeight="1" x14ac:dyDescent="0.35">
      <c r="A428" s="18">
        <f t="shared" si="238"/>
        <v>402</v>
      </c>
      <c r="B428" s="26" t="s">
        <v>28</v>
      </c>
      <c r="C428" s="129" t="s">
        <v>147</v>
      </c>
      <c r="D428" s="72" t="s">
        <v>493</v>
      </c>
      <c r="E428" s="73" t="s">
        <v>60</v>
      </c>
      <c r="F428" s="73" t="s">
        <v>148</v>
      </c>
      <c r="G428" s="73" t="s">
        <v>150</v>
      </c>
      <c r="H428" s="73" t="s">
        <v>137</v>
      </c>
      <c r="I428" s="191"/>
      <c r="J428" s="19">
        <v>0</v>
      </c>
      <c r="K428" s="167" t="s">
        <v>22</v>
      </c>
      <c r="L428" s="168">
        <v>0</v>
      </c>
      <c r="M428" s="168">
        <v>0</v>
      </c>
      <c r="N428" s="169">
        <f t="shared" si="235"/>
        <v>0</v>
      </c>
      <c r="O428" s="169">
        <f t="shared" si="236"/>
        <v>0</v>
      </c>
      <c r="P428" s="312">
        <f t="shared" si="237"/>
        <v>0</v>
      </c>
      <c r="Q428" s="335"/>
    </row>
    <row r="429" spans="1:17" ht="23.25" customHeight="1" x14ac:dyDescent="0.35">
      <c r="A429" s="18">
        <f t="shared" si="238"/>
        <v>403</v>
      </c>
      <c r="B429" s="26" t="s">
        <v>28</v>
      </c>
      <c r="C429" s="129" t="s">
        <v>147</v>
      </c>
      <c r="D429" s="72" t="s">
        <v>386</v>
      </c>
      <c r="E429" s="73" t="s">
        <v>60</v>
      </c>
      <c r="F429" s="73" t="s">
        <v>148</v>
      </c>
      <c r="G429" s="73" t="s">
        <v>150</v>
      </c>
      <c r="H429" s="73" t="s">
        <v>137</v>
      </c>
      <c r="I429" s="191"/>
      <c r="J429" s="19">
        <v>0</v>
      </c>
      <c r="K429" s="167" t="s">
        <v>22</v>
      </c>
      <c r="L429" s="168">
        <v>0</v>
      </c>
      <c r="M429" s="168">
        <v>0</v>
      </c>
      <c r="N429" s="169">
        <f t="shared" ref="N429" si="242">L429*J429</f>
        <v>0</v>
      </c>
      <c r="O429" s="169">
        <f t="shared" ref="O429" si="243">M429*J429</f>
        <v>0</v>
      </c>
      <c r="P429" s="312">
        <f t="shared" ref="P429" si="244">(L429*J429)+(M429*J429)</f>
        <v>0</v>
      </c>
      <c r="Q429" s="335"/>
    </row>
    <row r="430" spans="1:17" ht="23.25" customHeight="1" x14ac:dyDescent="0.35">
      <c r="A430" s="18">
        <f t="shared" si="238"/>
        <v>404</v>
      </c>
      <c r="B430" s="26" t="s">
        <v>28</v>
      </c>
      <c r="C430" s="129" t="s">
        <v>147</v>
      </c>
      <c r="D430" s="72" t="s">
        <v>40</v>
      </c>
      <c r="E430" s="73" t="s">
        <v>60</v>
      </c>
      <c r="F430" s="73" t="s">
        <v>148</v>
      </c>
      <c r="G430" s="73" t="s">
        <v>150</v>
      </c>
      <c r="H430" s="73" t="s">
        <v>138</v>
      </c>
      <c r="I430" s="191"/>
      <c r="J430" s="19">
        <v>0</v>
      </c>
      <c r="K430" s="167" t="s">
        <v>51</v>
      </c>
      <c r="L430" s="168">
        <v>0</v>
      </c>
      <c r="M430" s="168">
        <v>0</v>
      </c>
      <c r="N430" s="169">
        <f t="shared" si="235"/>
        <v>0</v>
      </c>
      <c r="O430" s="169">
        <f t="shared" si="236"/>
        <v>0</v>
      </c>
      <c r="P430" s="312">
        <f t="shared" si="237"/>
        <v>0</v>
      </c>
      <c r="Q430" s="335"/>
    </row>
    <row r="431" spans="1:17" ht="23.25" customHeight="1" x14ac:dyDescent="0.35">
      <c r="A431" s="18">
        <f t="shared" si="238"/>
        <v>405</v>
      </c>
      <c r="B431" s="26" t="s">
        <v>28</v>
      </c>
      <c r="C431" s="129" t="s">
        <v>147</v>
      </c>
      <c r="D431" s="72" t="s">
        <v>524</v>
      </c>
      <c r="E431" s="73" t="s">
        <v>60</v>
      </c>
      <c r="F431" s="73" t="s">
        <v>148</v>
      </c>
      <c r="G431" s="73" t="s">
        <v>150</v>
      </c>
      <c r="H431" s="73" t="s">
        <v>138</v>
      </c>
      <c r="I431" s="191"/>
      <c r="J431" s="19">
        <v>0</v>
      </c>
      <c r="K431" s="167" t="s">
        <v>22</v>
      </c>
      <c r="L431" s="168">
        <v>0</v>
      </c>
      <c r="M431" s="168">
        <v>0</v>
      </c>
      <c r="N431" s="169">
        <f t="shared" si="235"/>
        <v>0</v>
      </c>
      <c r="O431" s="169">
        <f t="shared" si="236"/>
        <v>0</v>
      </c>
      <c r="P431" s="312">
        <f t="shared" si="237"/>
        <v>0</v>
      </c>
      <c r="Q431" s="335"/>
    </row>
    <row r="432" spans="1:17" ht="23.25" customHeight="1" x14ac:dyDescent="0.35">
      <c r="A432" s="18">
        <f t="shared" si="238"/>
        <v>406</v>
      </c>
      <c r="B432" s="26" t="s">
        <v>28</v>
      </c>
      <c r="C432" s="129" t="s">
        <v>147</v>
      </c>
      <c r="D432" s="72" t="s">
        <v>493</v>
      </c>
      <c r="E432" s="73" t="s">
        <v>60</v>
      </c>
      <c r="F432" s="73" t="s">
        <v>148</v>
      </c>
      <c r="G432" s="73" t="s">
        <v>150</v>
      </c>
      <c r="H432" s="73" t="s">
        <v>138</v>
      </c>
      <c r="I432" s="191"/>
      <c r="J432" s="19">
        <v>0</v>
      </c>
      <c r="K432" s="167" t="s">
        <v>22</v>
      </c>
      <c r="L432" s="168">
        <v>0</v>
      </c>
      <c r="M432" s="168">
        <v>0</v>
      </c>
      <c r="N432" s="169">
        <f t="shared" si="235"/>
        <v>0</v>
      </c>
      <c r="O432" s="169">
        <f t="shared" si="236"/>
        <v>0</v>
      </c>
      <c r="P432" s="312">
        <f t="shared" si="237"/>
        <v>0</v>
      </c>
      <c r="Q432" s="335"/>
    </row>
    <row r="433" spans="1:17" ht="23.25" customHeight="1" x14ac:dyDescent="0.35">
      <c r="A433" s="18">
        <f t="shared" si="238"/>
        <v>407</v>
      </c>
      <c r="B433" s="26" t="s">
        <v>28</v>
      </c>
      <c r="C433" s="129" t="s">
        <v>147</v>
      </c>
      <c r="D433" s="72" t="s">
        <v>386</v>
      </c>
      <c r="E433" s="73" t="s">
        <v>60</v>
      </c>
      <c r="F433" s="73" t="s">
        <v>148</v>
      </c>
      <c r="G433" s="73" t="s">
        <v>150</v>
      </c>
      <c r="H433" s="73" t="s">
        <v>138</v>
      </c>
      <c r="I433" s="191"/>
      <c r="J433" s="19">
        <v>0</v>
      </c>
      <c r="K433" s="167" t="s">
        <v>22</v>
      </c>
      <c r="L433" s="168">
        <v>0</v>
      </c>
      <c r="M433" s="168">
        <v>0</v>
      </c>
      <c r="N433" s="169">
        <f t="shared" si="235"/>
        <v>0</v>
      </c>
      <c r="O433" s="169">
        <f t="shared" si="236"/>
        <v>0</v>
      </c>
      <c r="P433" s="312">
        <f t="shared" si="237"/>
        <v>0</v>
      </c>
      <c r="Q433" s="335"/>
    </row>
    <row r="434" spans="1:17" ht="23.25" customHeight="1" x14ac:dyDescent="0.35">
      <c r="A434" s="18">
        <f t="shared" si="238"/>
        <v>408</v>
      </c>
      <c r="B434" s="26" t="s">
        <v>28</v>
      </c>
      <c r="C434" s="129" t="s">
        <v>147</v>
      </c>
      <c r="D434" s="72" t="s">
        <v>40</v>
      </c>
      <c r="E434" s="73" t="s">
        <v>60</v>
      </c>
      <c r="F434" s="73" t="s">
        <v>148</v>
      </c>
      <c r="G434" s="73" t="s">
        <v>150</v>
      </c>
      <c r="H434" s="73" t="s">
        <v>399</v>
      </c>
      <c r="I434" s="191"/>
      <c r="J434" s="19">
        <v>0</v>
      </c>
      <c r="K434" s="167" t="s">
        <v>51</v>
      </c>
      <c r="L434" s="168">
        <v>0</v>
      </c>
      <c r="M434" s="168">
        <v>0</v>
      </c>
      <c r="N434" s="169">
        <f t="shared" si="235"/>
        <v>0</v>
      </c>
      <c r="O434" s="169">
        <f t="shared" si="236"/>
        <v>0</v>
      </c>
      <c r="P434" s="312">
        <f t="shared" si="237"/>
        <v>0</v>
      </c>
      <c r="Q434" s="335"/>
    </row>
    <row r="435" spans="1:17" ht="23.25" customHeight="1" x14ac:dyDescent="0.35">
      <c r="A435" s="18">
        <f t="shared" si="238"/>
        <v>409</v>
      </c>
      <c r="B435" s="26" t="s">
        <v>28</v>
      </c>
      <c r="C435" s="129" t="s">
        <v>147</v>
      </c>
      <c r="D435" s="72" t="s">
        <v>524</v>
      </c>
      <c r="E435" s="73" t="s">
        <v>60</v>
      </c>
      <c r="F435" s="73" t="s">
        <v>148</v>
      </c>
      <c r="G435" s="73" t="s">
        <v>150</v>
      </c>
      <c r="H435" s="73" t="s">
        <v>399</v>
      </c>
      <c r="I435" s="191"/>
      <c r="J435" s="19">
        <v>0</v>
      </c>
      <c r="K435" s="167" t="s">
        <v>22</v>
      </c>
      <c r="L435" s="168">
        <v>0</v>
      </c>
      <c r="M435" s="168">
        <v>0</v>
      </c>
      <c r="N435" s="169">
        <f t="shared" si="235"/>
        <v>0</v>
      </c>
      <c r="O435" s="169">
        <f t="shared" si="236"/>
        <v>0</v>
      </c>
      <c r="P435" s="312">
        <f t="shared" si="237"/>
        <v>0</v>
      </c>
      <c r="Q435" s="335"/>
    </row>
    <row r="436" spans="1:17" ht="23.25" customHeight="1" x14ac:dyDescent="0.35">
      <c r="A436" s="18">
        <f t="shared" si="238"/>
        <v>410</v>
      </c>
      <c r="B436" s="26" t="s">
        <v>28</v>
      </c>
      <c r="C436" s="129" t="s">
        <v>147</v>
      </c>
      <c r="D436" s="72" t="s">
        <v>493</v>
      </c>
      <c r="E436" s="73" t="s">
        <v>60</v>
      </c>
      <c r="F436" s="73" t="s">
        <v>148</v>
      </c>
      <c r="G436" s="73" t="s">
        <v>150</v>
      </c>
      <c r="H436" s="73" t="s">
        <v>399</v>
      </c>
      <c r="I436" s="191"/>
      <c r="J436" s="19">
        <v>0</v>
      </c>
      <c r="K436" s="167" t="s">
        <v>22</v>
      </c>
      <c r="L436" s="168">
        <v>0</v>
      </c>
      <c r="M436" s="168">
        <v>0</v>
      </c>
      <c r="N436" s="169">
        <f t="shared" si="235"/>
        <v>0</v>
      </c>
      <c r="O436" s="169">
        <f t="shared" si="236"/>
        <v>0</v>
      </c>
      <c r="P436" s="312">
        <f t="shared" si="237"/>
        <v>0</v>
      </c>
      <c r="Q436" s="335"/>
    </row>
    <row r="437" spans="1:17" ht="23.25" customHeight="1" x14ac:dyDescent="0.35">
      <c r="A437" s="18">
        <f t="shared" si="238"/>
        <v>411</v>
      </c>
      <c r="B437" s="26" t="s">
        <v>28</v>
      </c>
      <c r="C437" s="129" t="s">
        <v>147</v>
      </c>
      <c r="D437" s="72" t="s">
        <v>386</v>
      </c>
      <c r="E437" s="73" t="s">
        <v>60</v>
      </c>
      <c r="F437" s="73" t="s">
        <v>148</v>
      </c>
      <c r="G437" s="73" t="s">
        <v>150</v>
      </c>
      <c r="H437" s="73" t="s">
        <v>399</v>
      </c>
      <c r="I437" s="191"/>
      <c r="J437" s="19">
        <v>0</v>
      </c>
      <c r="K437" s="167" t="s">
        <v>22</v>
      </c>
      <c r="L437" s="168">
        <v>0</v>
      </c>
      <c r="M437" s="168">
        <v>0</v>
      </c>
      <c r="N437" s="169">
        <f t="shared" ref="N437:N441" si="245">L437*J437</f>
        <v>0</v>
      </c>
      <c r="O437" s="169">
        <f t="shared" ref="O437:O441" si="246">M437*J437</f>
        <v>0</v>
      </c>
      <c r="P437" s="312">
        <f t="shared" ref="P437:P441" si="247">(L437*J437)+(M437*J437)</f>
        <v>0</v>
      </c>
      <c r="Q437" s="335"/>
    </row>
    <row r="438" spans="1:17" ht="23.25" customHeight="1" x14ac:dyDescent="0.35">
      <c r="A438" s="18">
        <f t="shared" si="238"/>
        <v>412</v>
      </c>
      <c r="B438" s="26" t="s">
        <v>28</v>
      </c>
      <c r="C438" s="129" t="s">
        <v>147</v>
      </c>
      <c r="D438" s="72" t="s">
        <v>40</v>
      </c>
      <c r="E438" s="73" t="s">
        <v>60</v>
      </c>
      <c r="F438" s="73" t="s">
        <v>148</v>
      </c>
      <c r="G438" s="73" t="s">
        <v>150</v>
      </c>
      <c r="H438" s="73" t="s">
        <v>400</v>
      </c>
      <c r="I438" s="191"/>
      <c r="J438" s="19">
        <v>0</v>
      </c>
      <c r="K438" s="167" t="s">
        <v>51</v>
      </c>
      <c r="L438" s="168">
        <v>0</v>
      </c>
      <c r="M438" s="168">
        <v>0</v>
      </c>
      <c r="N438" s="169">
        <f t="shared" si="245"/>
        <v>0</v>
      </c>
      <c r="O438" s="169">
        <f t="shared" si="246"/>
        <v>0</v>
      </c>
      <c r="P438" s="312">
        <f t="shared" si="247"/>
        <v>0</v>
      </c>
      <c r="Q438" s="335"/>
    </row>
    <row r="439" spans="1:17" ht="23.25" customHeight="1" x14ac:dyDescent="0.35">
      <c r="A439" s="18">
        <f t="shared" si="238"/>
        <v>413</v>
      </c>
      <c r="B439" s="26" t="s">
        <v>28</v>
      </c>
      <c r="C439" s="129" t="s">
        <v>147</v>
      </c>
      <c r="D439" s="72" t="s">
        <v>524</v>
      </c>
      <c r="E439" s="73" t="s">
        <v>60</v>
      </c>
      <c r="F439" s="73" t="s">
        <v>148</v>
      </c>
      <c r="G439" s="73" t="s">
        <v>150</v>
      </c>
      <c r="H439" s="73" t="s">
        <v>400</v>
      </c>
      <c r="I439" s="191"/>
      <c r="J439" s="19">
        <v>0</v>
      </c>
      <c r="K439" s="167" t="s">
        <v>22</v>
      </c>
      <c r="L439" s="168">
        <v>0</v>
      </c>
      <c r="M439" s="168">
        <v>0</v>
      </c>
      <c r="N439" s="169">
        <f t="shared" si="245"/>
        <v>0</v>
      </c>
      <c r="O439" s="169">
        <f t="shared" si="246"/>
        <v>0</v>
      </c>
      <c r="P439" s="312">
        <f t="shared" si="247"/>
        <v>0</v>
      </c>
      <c r="Q439" s="335"/>
    </row>
    <row r="440" spans="1:17" ht="23.25" customHeight="1" x14ac:dyDescent="0.35">
      <c r="A440" s="18">
        <f t="shared" si="238"/>
        <v>414</v>
      </c>
      <c r="B440" s="26" t="s">
        <v>28</v>
      </c>
      <c r="C440" s="129" t="s">
        <v>147</v>
      </c>
      <c r="D440" s="72" t="s">
        <v>493</v>
      </c>
      <c r="E440" s="73" t="s">
        <v>60</v>
      </c>
      <c r="F440" s="73" t="s">
        <v>148</v>
      </c>
      <c r="G440" s="73" t="s">
        <v>150</v>
      </c>
      <c r="H440" s="73" t="s">
        <v>400</v>
      </c>
      <c r="I440" s="191"/>
      <c r="J440" s="19">
        <v>0</v>
      </c>
      <c r="K440" s="167" t="s">
        <v>22</v>
      </c>
      <c r="L440" s="168">
        <v>0</v>
      </c>
      <c r="M440" s="168">
        <v>0</v>
      </c>
      <c r="N440" s="169">
        <f t="shared" si="245"/>
        <v>0</v>
      </c>
      <c r="O440" s="169">
        <f t="shared" si="246"/>
        <v>0</v>
      </c>
      <c r="P440" s="312">
        <f t="shared" si="247"/>
        <v>0</v>
      </c>
      <c r="Q440" s="335"/>
    </row>
    <row r="441" spans="1:17" ht="23.25" customHeight="1" x14ac:dyDescent="0.35">
      <c r="A441" s="18">
        <f t="shared" si="238"/>
        <v>415</v>
      </c>
      <c r="B441" s="26" t="s">
        <v>28</v>
      </c>
      <c r="C441" s="129" t="s">
        <v>147</v>
      </c>
      <c r="D441" s="72" t="s">
        <v>386</v>
      </c>
      <c r="E441" s="73" t="s">
        <v>60</v>
      </c>
      <c r="F441" s="73" t="s">
        <v>148</v>
      </c>
      <c r="G441" s="73" t="s">
        <v>150</v>
      </c>
      <c r="H441" s="73" t="s">
        <v>400</v>
      </c>
      <c r="I441" s="191"/>
      <c r="J441" s="19">
        <v>0</v>
      </c>
      <c r="K441" s="167" t="s">
        <v>22</v>
      </c>
      <c r="L441" s="168">
        <v>0</v>
      </c>
      <c r="M441" s="168">
        <v>0</v>
      </c>
      <c r="N441" s="169">
        <f t="shared" si="245"/>
        <v>0</v>
      </c>
      <c r="O441" s="169">
        <f t="shared" si="246"/>
        <v>0</v>
      </c>
      <c r="P441" s="312">
        <f t="shared" si="247"/>
        <v>0</v>
      </c>
      <c r="Q441" s="335"/>
    </row>
    <row r="442" spans="1:17" ht="23.25" customHeight="1" x14ac:dyDescent="0.35">
      <c r="A442" s="18">
        <f t="shared" si="238"/>
        <v>416</v>
      </c>
      <c r="B442" s="26" t="s">
        <v>28</v>
      </c>
      <c r="C442" s="129" t="s">
        <v>147</v>
      </c>
      <c r="D442" s="72" t="s">
        <v>40</v>
      </c>
      <c r="E442" s="73" t="s">
        <v>60</v>
      </c>
      <c r="F442" s="73" t="s">
        <v>148</v>
      </c>
      <c r="G442" s="73" t="s">
        <v>150</v>
      </c>
      <c r="H442" s="73" t="s">
        <v>401</v>
      </c>
      <c r="I442" s="191"/>
      <c r="J442" s="19">
        <v>0</v>
      </c>
      <c r="K442" s="167" t="s">
        <v>51</v>
      </c>
      <c r="L442" s="168">
        <v>0</v>
      </c>
      <c r="M442" s="168">
        <v>0</v>
      </c>
      <c r="N442" s="169">
        <f t="shared" si="235"/>
        <v>0</v>
      </c>
      <c r="O442" s="169">
        <f t="shared" si="236"/>
        <v>0</v>
      </c>
      <c r="P442" s="312">
        <f t="shared" si="237"/>
        <v>0</v>
      </c>
      <c r="Q442" s="335"/>
    </row>
    <row r="443" spans="1:17" ht="23.25" customHeight="1" x14ac:dyDescent="0.35">
      <c r="A443" s="18">
        <f t="shared" si="238"/>
        <v>417</v>
      </c>
      <c r="B443" s="26" t="s">
        <v>28</v>
      </c>
      <c r="C443" s="129" t="s">
        <v>147</v>
      </c>
      <c r="D443" s="72" t="s">
        <v>524</v>
      </c>
      <c r="E443" s="73" t="s">
        <v>60</v>
      </c>
      <c r="F443" s="73" t="s">
        <v>148</v>
      </c>
      <c r="G443" s="73" t="s">
        <v>150</v>
      </c>
      <c r="H443" s="73" t="s">
        <v>401</v>
      </c>
      <c r="I443" s="191"/>
      <c r="J443" s="19">
        <v>0</v>
      </c>
      <c r="K443" s="167" t="s">
        <v>51</v>
      </c>
      <c r="L443" s="168">
        <v>0</v>
      </c>
      <c r="M443" s="168">
        <v>0</v>
      </c>
      <c r="N443" s="169">
        <f t="shared" si="235"/>
        <v>0</v>
      </c>
      <c r="O443" s="169">
        <f t="shared" si="236"/>
        <v>0</v>
      </c>
      <c r="P443" s="312">
        <f t="shared" si="237"/>
        <v>0</v>
      </c>
      <c r="Q443" s="335"/>
    </row>
    <row r="444" spans="1:17" ht="23.25" customHeight="1" x14ac:dyDescent="0.35">
      <c r="A444" s="18">
        <f t="shared" si="238"/>
        <v>418</v>
      </c>
      <c r="B444" s="26" t="s">
        <v>28</v>
      </c>
      <c r="C444" s="129" t="s">
        <v>147</v>
      </c>
      <c r="D444" s="72" t="s">
        <v>493</v>
      </c>
      <c r="E444" s="73" t="s">
        <v>60</v>
      </c>
      <c r="F444" s="73" t="s">
        <v>148</v>
      </c>
      <c r="G444" s="73" t="s">
        <v>150</v>
      </c>
      <c r="H444" s="73" t="s">
        <v>401</v>
      </c>
      <c r="I444" s="191"/>
      <c r="J444" s="19">
        <v>0</v>
      </c>
      <c r="K444" s="167" t="s">
        <v>51</v>
      </c>
      <c r="L444" s="168">
        <v>0</v>
      </c>
      <c r="M444" s="168">
        <v>0</v>
      </c>
      <c r="N444" s="169">
        <f t="shared" si="235"/>
        <v>0</v>
      </c>
      <c r="O444" s="169">
        <f t="shared" si="236"/>
        <v>0</v>
      </c>
      <c r="P444" s="312">
        <f t="shared" si="237"/>
        <v>0</v>
      </c>
      <c r="Q444" s="335"/>
    </row>
    <row r="445" spans="1:17" ht="23.25" customHeight="1" x14ac:dyDescent="0.35">
      <c r="A445" s="18">
        <f t="shared" si="238"/>
        <v>419</v>
      </c>
      <c r="B445" s="26" t="s">
        <v>28</v>
      </c>
      <c r="C445" s="129" t="s">
        <v>147</v>
      </c>
      <c r="D445" s="72" t="s">
        <v>386</v>
      </c>
      <c r="E445" s="73" t="s">
        <v>60</v>
      </c>
      <c r="F445" s="73" t="s">
        <v>148</v>
      </c>
      <c r="G445" s="73" t="s">
        <v>151</v>
      </c>
      <c r="H445" s="73" t="s">
        <v>401</v>
      </c>
      <c r="I445" s="191"/>
      <c r="J445" s="19">
        <v>0</v>
      </c>
      <c r="K445" s="167" t="s">
        <v>22</v>
      </c>
      <c r="L445" s="168">
        <v>0</v>
      </c>
      <c r="M445" s="168">
        <v>0</v>
      </c>
      <c r="N445" s="169">
        <f t="shared" ref="N445:N471" si="248">L445*J445</f>
        <v>0</v>
      </c>
      <c r="O445" s="169">
        <f t="shared" ref="O445:O471" si="249">M445*J445</f>
        <v>0</v>
      </c>
      <c r="P445" s="312">
        <f t="shared" ref="P445:P471" si="250">(L445*J445)+(M445*J445)</f>
        <v>0</v>
      </c>
      <c r="Q445" s="335"/>
    </row>
    <row r="446" spans="1:17" ht="23.25" customHeight="1" x14ac:dyDescent="0.35">
      <c r="A446" s="18">
        <f t="shared" si="238"/>
        <v>420</v>
      </c>
      <c r="B446" s="26" t="s">
        <v>28</v>
      </c>
      <c r="C446" s="129" t="s">
        <v>147</v>
      </c>
      <c r="D446" s="43" t="s">
        <v>358</v>
      </c>
      <c r="E446" s="5"/>
      <c r="F446" s="5"/>
      <c r="G446" s="5"/>
      <c r="H446" s="5"/>
      <c r="I446" s="20"/>
      <c r="J446" s="19">
        <f>I446</f>
        <v>0</v>
      </c>
      <c r="K446" s="171"/>
      <c r="L446" s="168">
        <v>0</v>
      </c>
      <c r="M446" s="168">
        <v>0</v>
      </c>
      <c r="N446" s="169">
        <f>L446*J446</f>
        <v>0</v>
      </c>
      <c r="O446" s="169">
        <f>M446*J446</f>
        <v>0</v>
      </c>
      <c r="P446" s="312">
        <f>(L446*J446)+(M446*J446)</f>
        <v>0</v>
      </c>
      <c r="Q446" s="326"/>
    </row>
    <row r="447" spans="1:17" ht="23.25" customHeight="1" thickBot="1" x14ac:dyDescent="0.4">
      <c r="A447" s="38">
        <f>A446+1</f>
        <v>421</v>
      </c>
      <c r="B447" s="39" t="s">
        <v>28</v>
      </c>
      <c r="C447" s="128" t="s">
        <v>147</v>
      </c>
      <c r="D447" s="44" t="s">
        <v>358</v>
      </c>
      <c r="E447" s="40"/>
      <c r="F447" s="40"/>
      <c r="G447" s="40"/>
      <c r="H447" s="40"/>
      <c r="I447" s="41"/>
      <c r="J447" s="24">
        <f>I447</f>
        <v>0</v>
      </c>
      <c r="K447" s="194"/>
      <c r="L447" s="195">
        <v>0</v>
      </c>
      <c r="M447" s="195">
        <v>0</v>
      </c>
      <c r="N447" s="196">
        <f>L447*J447</f>
        <v>0</v>
      </c>
      <c r="O447" s="196">
        <f>M447*J447</f>
        <v>0</v>
      </c>
      <c r="P447" s="313">
        <f>(L447*J447)+(M447*J447)</f>
        <v>0</v>
      </c>
      <c r="Q447" s="328"/>
    </row>
    <row r="448" spans="1:17" s="52" customFormat="1" ht="46.5" customHeight="1" thickBot="1" x14ac:dyDescent="0.4">
      <c r="A448" s="102"/>
      <c r="B448" s="103" t="s">
        <v>28</v>
      </c>
      <c r="C448" s="138" t="s">
        <v>147</v>
      </c>
      <c r="D448" s="246" t="s">
        <v>526</v>
      </c>
      <c r="E448" s="247"/>
      <c r="F448" s="247"/>
      <c r="G448" s="247"/>
      <c r="H448" s="248"/>
      <c r="I448" s="249"/>
      <c r="J448" s="250"/>
      <c r="K448" s="251"/>
      <c r="L448" s="252"/>
      <c r="M448" s="252"/>
      <c r="N448" s="253"/>
      <c r="O448" s="253"/>
      <c r="P448" s="315"/>
      <c r="Q448" s="347"/>
    </row>
    <row r="449" spans="1:17" ht="23.25" customHeight="1" x14ac:dyDescent="0.35">
      <c r="A449" s="28">
        <f>A447+1</f>
        <v>422</v>
      </c>
      <c r="B449" s="35" t="s">
        <v>28</v>
      </c>
      <c r="C449" s="127" t="s">
        <v>147</v>
      </c>
      <c r="D449" s="77" t="s">
        <v>40</v>
      </c>
      <c r="E449" s="78" t="s">
        <v>60</v>
      </c>
      <c r="F449" s="78" t="s">
        <v>152</v>
      </c>
      <c r="G449" s="78" t="s">
        <v>153</v>
      </c>
      <c r="H449" s="78" t="s">
        <v>149</v>
      </c>
      <c r="I449" s="189"/>
      <c r="J449" s="32">
        <v>0</v>
      </c>
      <c r="K449" s="190" t="s">
        <v>51</v>
      </c>
      <c r="L449" s="185">
        <v>0</v>
      </c>
      <c r="M449" s="185">
        <v>0</v>
      </c>
      <c r="N449" s="186">
        <f t="shared" si="248"/>
        <v>0</v>
      </c>
      <c r="O449" s="186">
        <f t="shared" si="249"/>
        <v>0</v>
      </c>
      <c r="P449" s="311">
        <f t="shared" si="250"/>
        <v>0</v>
      </c>
      <c r="Q449" s="336"/>
    </row>
    <row r="450" spans="1:17" ht="23.25" customHeight="1" x14ac:dyDescent="0.35">
      <c r="A450" s="18">
        <f>A449+1</f>
        <v>423</v>
      </c>
      <c r="B450" s="26" t="s">
        <v>28</v>
      </c>
      <c r="C450" s="129" t="s">
        <v>147</v>
      </c>
      <c r="D450" s="72" t="s">
        <v>524</v>
      </c>
      <c r="E450" s="73" t="s">
        <v>60</v>
      </c>
      <c r="F450" s="73" t="s">
        <v>152</v>
      </c>
      <c r="G450" s="73" t="s">
        <v>153</v>
      </c>
      <c r="H450" s="73" t="s">
        <v>149</v>
      </c>
      <c r="I450" s="191"/>
      <c r="J450" s="19">
        <v>0</v>
      </c>
      <c r="K450" s="167" t="s">
        <v>22</v>
      </c>
      <c r="L450" s="168">
        <v>0</v>
      </c>
      <c r="M450" s="168">
        <v>0</v>
      </c>
      <c r="N450" s="169">
        <f t="shared" si="248"/>
        <v>0</v>
      </c>
      <c r="O450" s="169">
        <f t="shared" si="249"/>
        <v>0</v>
      </c>
      <c r="P450" s="312">
        <f t="shared" si="250"/>
        <v>0</v>
      </c>
      <c r="Q450" s="335"/>
    </row>
    <row r="451" spans="1:17" ht="23.25" customHeight="1" x14ac:dyDescent="0.35">
      <c r="A451" s="18">
        <f t="shared" ref="A451:A473" si="251">A450+1</f>
        <v>424</v>
      </c>
      <c r="B451" s="26" t="s">
        <v>28</v>
      </c>
      <c r="C451" s="129" t="s">
        <v>147</v>
      </c>
      <c r="D451" s="72" t="s">
        <v>493</v>
      </c>
      <c r="E451" s="73" t="s">
        <v>60</v>
      </c>
      <c r="F451" s="73" t="s">
        <v>152</v>
      </c>
      <c r="G451" s="73" t="s">
        <v>153</v>
      </c>
      <c r="H451" s="73" t="s">
        <v>149</v>
      </c>
      <c r="I451" s="191"/>
      <c r="J451" s="19">
        <v>0</v>
      </c>
      <c r="K451" s="167" t="s">
        <v>22</v>
      </c>
      <c r="L451" s="168">
        <v>0</v>
      </c>
      <c r="M451" s="168">
        <v>0</v>
      </c>
      <c r="N451" s="169">
        <f t="shared" si="248"/>
        <v>0</v>
      </c>
      <c r="O451" s="169">
        <f t="shared" si="249"/>
        <v>0</v>
      </c>
      <c r="P451" s="312">
        <f t="shared" si="250"/>
        <v>0</v>
      </c>
      <c r="Q451" s="335"/>
    </row>
    <row r="452" spans="1:17" ht="23.25" customHeight="1" x14ac:dyDescent="0.35">
      <c r="A452" s="18">
        <f t="shared" si="251"/>
        <v>425</v>
      </c>
      <c r="B452" s="26" t="s">
        <v>28</v>
      </c>
      <c r="C452" s="129" t="s">
        <v>147</v>
      </c>
      <c r="D452" s="72" t="s">
        <v>386</v>
      </c>
      <c r="E452" s="73" t="s">
        <v>60</v>
      </c>
      <c r="F452" s="73" t="s">
        <v>152</v>
      </c>
      <c r="G452" s="73" t="s">
        <v>153</v>
      </c>
      <c r="H452" s="73" t="s">
        <v>149</v>
      </c>
      <c r="I452" s="191"/>
      <c r="J452" s="19">
        <v>0</v>
      </c>
      <c r="K452" s="167" t="s">
        <v>22</v>
      </c>
      <c r="L452" s="168">
        <v>0</v>
      </c>
      <c r="M452" s="168">
        <v>0</v>
      </c>
      <c r="N452" s="169">
        <f t="shared" si="248"/>
        <v>0</v>
      </c>
      <c r="O452" s="169">
        <f t="shared" si="249"/>
        <v>0</v>
      </c>
      <c r="P452" s="312">
        <f t="shared" si="250"/>
        <v>0</v>
      </c>
      <c r="Q452" s="335"/>
    </row>
    <row r="453" spans="1:17" ht="23.25" customHeight="1" x14ac:dyDescent="0.35">
      <c r="A453" s="18">
        <f t="shared" si="251"/>
        <v>426</v>
      </c>
      <c r="B453" s="26" t="s">
        <v>28</v>
      </c>
      <c r="C453" s="129" t="s">
        <v>147</v>
      </c>
      <c r="D453" s="72" t="s">
        <v>40</v>
      </c>
      <c r="E453" s="73" t="s">
        <v>60</v>
      </c>
      <c r="F453" s="73" t="s">
        <v>152</v>
      </c>
      <c r="G453" s="73" t="s">
        <v>153</v>
      </c>
      <c r="H453" s="73" t="s">
        <v>137</v>
      </c>
      <c r="I453" s="191"/>
      <c r="J453" s="19">
        <v>0</v>
      </c>
      <c r="K453" s="167" t="s">
        <v>51</v>
      </c>
      <c r="L453" s="168">
        <v>0</v>
      </c>
      <c r="M453" s="168">
        <v>0</v>
      </c>
      <c r="N453" s="169">
        <f t="shared" si="248"/>
        <v>0</v>
      </c>
      <c r="O453" s="169">
        <f t="shared" si="249"/>
        <v>0</v>
      </c>
      <c r="P453" s="312">
        <f t="shared" si="250"/>
        <v>0</v>
      </c>
      <c r="Q453" s="335"/>
    </row>
    <row r="454" spans="1:17" ht="23.25" customHeight="1" x14ac:dyDescent="0.35">
      <c r="A454" s="18">
        <f t="shared" si="251"/>
        <v>427</v>
      </c>
      <c r="B454" s="26" t="s">
        <v>28</v>
      </c>
      <c r="C454" s="129" t="s">
        <v>147</v>
      </c>
      <c r="D454" s="72" t="s">
        <v>524</v>
      </c>
      <c r="E454" s="73" t="s">
        <v>60</v>
      </c>
      <c r="F454" s="73" t="s">
        <v>152</v>
      </c>
      <c r="G454" s="73" t="s">
        <v>153</v>
      </c>
      <c r="H454" s="73" t="s">
        <v>137</v>
      </c>
      <c r="I454" s="191"/>
      <c r="J454" s="19">
        <v>0</v>
      </c>
      <c r="K454" s="167" t="s">
        <v>22</v>
      </c>
      <c r="L454" s="168">
        <v>0</v>
      </c>
      <c r="M454" s="168">
        <v>0</v>
      </c>
      <c r="N454" s="169">
        <f t="shared" si="248"/>
        <v>0</v>
      </c>
      <c r="O454" s="169">
        <f t="shared" si="249"/>
        <v>0</v>
      </c>
      <c r="P454" s="312">
        <f t="shared" si="250"/>
        <v>0</v>
      </c>
      <c r="Q454" s="335"/>
    </row>
    <row r="455" spans="1:17" ht="23.25" customHeight="1" x14ac:dyDescent="0.35">
      <c r="A455" s="18">
        <f t="shared" si="251"/>
        <v>428</v>
      </c>
      <c r="B455" s="26" t="s">
        <v>28</v>
      </c>
      <c r="C455" s="129" t="s">
        <v>147</v>
      </c>
      <c r="D455" s="72" t="s">
        <v>493</v>
      </c>
      <c r="E455" s="73" t="s">
        <v>60</v>
      </c>
      <c r="F455" s="73" t="s">
        <v>152</v>
      </c>
      <c r="G455" s="73" t="s">
        <v>153</v>
      </c>
      <c r="H455" s="73" t="s">
        <v>137</v>
      </c>
      <c r="I455" s="191"/>
      <c r="J455" s="19">
        <v>0</v>
      </c>
      <c r="K455" s="167" t="s">
        <v>22</v>
      </c>
      <c r="L455" s="168">
        <v>0</v>
      </c>
      <c r="M455" s="168">
        <v>0</v>
      </c>
      <c r="N455" s="169">
        <f t="shared" si="248"/>
        <v>0</v>
      </c>
      <c r="O455" s="169">
        <f t="shared" si="249"/>
        <v>0</v>
      </c>
      <c r="P455" s="312">
        <f t="shared" si="250"/>
        <v>0</v>
      </c>
      <c r="Q455" s="335"/>
    </row>
    <row r="456" spans="1:17" ht="23.25" customHeight="1" x14ac:dyDescent="0.35">
      <c r="A456" s="18">
        <f t="shared" si="251"/>
        <v>429</v>
      </c>
      <c r="B456" s="26" t="s">
        <v>28</v>
      </c>
      <c r="C456" s="129" t="s">
        <v>147</v>
      </c>
      <c r="D456" s="72" t="s">
        <v>386</v>
      </c>
      <c r="E456" s="73" t="s">
        <v>60</v>
      </c>
      <c r="F456" s="73" t="s">
        <v>152</v>
      </c>
      <c r="G456" s="73" t="s">
        <v>153</v>
      </c>
      <c r="H456" s="73" t="s">
        <v>137</v>
      </c>
      <c r="I456" s="191"/>
      <c r="J456" s="19">
        <v>0</v>
      </c>
      <c r="K456" s="167" t="s">
        <v>22</v>
      </c>
      <c r="L456" s="168">
        <v>0</v>
      </c>
      <c r="M456" s="168">
        <v>0</v>
      </c>
      <c r="N456" s="169">
        <f t="shared" si="248"/>
        <v>0</v>
      </c>
      <c r="O456" s="169">
        <f t="shared" si="249"/>
        <v>0</v>
      </c>
      <c r="P456" s="312">
        <f t="shared" si="250"/>
        <v>0</v>
      </c>
      <c r="Q456" s="335"/>
    </row>
    <row r="457" spans="1:17" ht="23.25" customHeight="1" x14ac:dyDescent="0.35">
      <c r="A457" s="18">
        <f t="shared" si="251"/>
        <v>430</v>
      </c>
      <c r="B457" s="26" t="s">
        <v>28</v>
      </c>
      <c r="C457" s="129" t="s">
        <v>147</v>
      </c>
      <c r="D457" s="72" t="s">
        <v>40</v>
      </c>
      <c r="E457" s="73" t="s">
        <v>60</v>
      </c>
      <c r="F457" s="73" t="s">
        <v>152</v>
      </c>
      <c r="G457" s="73" t="s">
        <v>153</v>
      </c>
      <c r="H457" s="73" t="s">
        <v>138</v>
      </c>
      <c r="I457" s="191"/>
      <c r="J457" s="19">
        <v>0</v>
      </c>
      <c r="K457" s="167" t="s">
        <v>51</v>
      </c>
      <c r="L457" s="168">
        <v>0</v>
      </c>
      <c r="M457" s="168">
        <v>0</v>
      </c>
      <c r="N457" s="169">
        <f t="shared" si="248"/>
        <v>0</v>
      </c>
      <c r="O457" s="169">
        <f t="shared" si="249"/>
        <v>0</v>
      </c>
      <c r="P457" s="312">
        <f t="shared" si="250"/>
        <v>0</v>
      </c>
      <c r="Q457" s="335"/>
    </row>
    <row r="458" spans="1:17" ht="23.25" customHeight="1" x14ac:dyDescent="0.35">
      <c r="A458" s="18">
        <f t="shared" si="251"/>
        <v>431</v>
      </c>
      <c r="B458" s="26" t="s">
        <v>28</v>
      </c>
      <c r="C458" s="129" t="s">
        <v>147</v>
      </c>
      <c r="D458" s="72" t="s">
        <v>524</v>
      </c>
      <c r="E458" s="73" t="s">
        <v>60</v>
      </c>
      <c r="F458" s="73" t="s">
        <v>152</v>
      </c>
      <c r="G458" s="73" t="s">
        <v>153</v>
      </c>
      <c r="H458" s="73" t="s">
        <v>138</v>
      </c>
      <c r="I458" s="191"/>
      <c r="J458" s="19">
        <v>0</v>
      </c>
      <c r="K458" s="167" t="s">
        <v>22</v>
      </c>
      <c r="L458" s="168">
        <v>0</v>
      </c>
      <c r="M458" s="168">
        <v>0</v>
      </c>
      <c r="N458" s="169">
        <f t="shared" si="248"/>
        <v>0</v>
      </c>
      <c r="O458" s="169">
        <f t="shared" si="249"/>
        <v>0</v>
      </c>
      <c r="P458" s="312">
        <f t="shared" si="250"/>
        <v>0</v>
      </c>
      <c r="Q458" s="335"/>
    </row>
    <row r="459" spans="1:17" ht="23.25" customHeight="1" x14ac:dyDescent="0.35">
      <c r="A459" s="18">
        <f t="shared" si="251"/>
        <v>432</v>
      </c>
      <c r="B459" s="26" t="s">
        <v>28</v>
      </c>
      <c r="C459" s="129" t="s">
        <v>147</v>
      </c>
      <c r="D459" s="72" t="s">
        <v>493</v>
      </c>
      <c r="E459" s="73" t="s">
        <v>60</v>
      </c>
      <c r="F459" s="73" t="s">
        <v>152</v>
      </c>
      <c r="G459" s="73" t="s">
        <v>153</v>
      </c>
      <c r="H459" s="73" t="s">
        <v>138</v>
      </c>
      <c r="I459" s="191"/>
      <c r="J459" s="19">
        <v>0</v>
      </c>
      <c r="K459" s="167" t="s">
        <v>22</v>
      </c>
      <c r="L459" s="168">
        <v>0</v>
      </c>
      <c r="M459" s="168">
        <v>0</v>
      </c>
      <c r="N459" s="169">
        <f t="shared" si="248"/>
        <v>0</v>
      </c>
      <c r="O459" s="169">
        <f t="shared" si="249"/>
        <v>0</v>
      </c>
      <c r="P459" s="312">
        <f t="shared" si="250"/>
        <v>0</v>
      </c>
      <c r="Q459" s="335"/>
    </row>
    <row r="460" spans="1:17" ht="23.25" customHeight="1" x14ac:dyDescent="0.35">
      <c r="A460" s="18">
        <f t="shared" si="251"/>
        <v>433</v>
      </c>
      <c r="B460" s="26" t="s">
        <v>28</v>
      </c>
      <c r="C460" s="129" t="s">
        <v>147</v>
      </c>
      <c r="D460" s="72" t="s">
        <v>386</v>
      </c>
      <c r="E460" s="73" t="s">
        <v>60</v>
      </c>
      <c r="F460" s="73" t="s">
        <v>152</v>
      </c>
      <c r="G460" s="73" t="s">
        <v>153</v>
      </c>
      <c r="H460" s="73" t="s">
        <v>138</v>
      </c>
      <c r="I460" s="191"/>
      <c r="J460" s="19">
        <v>0</v>
      </c>
      <c r="K460" s="167" t="s">
        <v>22</v>
      </c>
      <c r="L460" s="168">
        <v>0</v>
      </c>
      <c r="M460" s="168">
        <v>0</v>
      </c>
      <c r="N460" s="169">
        <f t="shared" si="248"/>
        <v>0</v>
      </c>
      <c r="O460" s="169">
        <f t="shared" si="249"/>
        <v>0</v>
      </c>
      <c r="P460" s="312">
        <f t="shared" si="250"/>
        <v>0</v>
      </c>
      <c r="Q460" s="335"/>
    </row>
    <row r="461" spans="1:17" ht="23.25" customHeight="1" x14ac:dyDescent="0.35">
      <c r="A461" s="18">
        <f t="shared" si="251"/>
        <v>434</v>
      </c>
      <c r="B461" s="26" t="s">
        <v>28</v>
      </c>
      <c r="C461" s="129" t="s">
        <v>147</v>
      </c>
      <c r="D461" s="72" t="s">
        <v>40</v>
      </c>
      <c r="E461" s="73" t="s">
        <v>60</v>
      </c>
      <c r="F461" s="73" t="s">
        <v>152</v>
      </c>
      <c r="G461" s="73" t="s">
        <v>153</v>
      </c>
      <c r="H461" s="73" t="s">
        <v>399</v>
      </c>
      <c r="I461" s="191"/>
      <c r="J461" s="19">
        <v>0</v>
      </c>
      <c r="K461" s="167" t="s">
        <v>51</v>
      </c>
      <c r="L461" s="168">
        <v>0</v>
      </c>
      <c r="M461" s="168">
        <v>0</v>
      </c>
      <c r="N461" s="169">
        <f t="shared" si="248"/>
        <v>0</v>
      </c>
      <c r="O461" s="169">
        <f t="shared" si="249"/>
        <v>0</v>
      </c>
      <c r="P461" s="312">
        <f t="shared" si="250"/>
        <v>0</v>
      </c>
      <c r="Q461" s="335"/>
    </row>
    <row r="462" spans="1:17" ht="23.25" customHeight="1" x14ac:dyDescent="0.35">
      <c r="A462" s="18">
        <f t="shared" si="251"/>
        <v>435</v>
      </c>
      <c r="B462" s="26" t="s">
        <v>28</v>
      </c>
      <c r="C462" s="129" t="s">
        <v>147</v>
      </c>
      <c r="D462" s="72" t="s">
        <v>524</v>
      </c>
      <c r="E462" s="73" t="s">
        <v>60</v>
      </c>
      <c r="F462" s="73" t="s">
        <v>152</v>
      </c>
      <c r="G462" s="73" t="s">
        <v>153</v>
      </c>
      <c r="H462" s="73" t="s">
        <v>399</v>
      </c>
      <c r="I462" s="191"/>
      <c r="J462" s="19">
        <v>0</v>
      </c>
      <c r="K462" s="167" t="s">
        <v>22</v>
      </c>
      <c r="L462" s="168">
        <v>0</v>
      </c>
      <c r="M462" s="168">
        <v>0</v>
      </c>
      <c r="N462" s="169">
        <f t="shared" si="248"/>
        <v>0</v>
      </c>
      <c r="O462" s="169">
        <f t="shared" si="249"/>
        <v>0</v>
      </c>
      <c r="P462" s="312">
        <f t="shared" si="250"/>
        <v>0</v>
      </c>
      <c r="Q462" s="335"/>
    </row>
    <row r="463" spans="1:17" ht="23.25" customHeight="1" x14ac:dyDescent="0.35">
      <c r="A463" s="18">
        <f t="shared" si="251"/>
        <v>436</v>
      </c>
      <c r="B463" s="26" t="s">
        <v>28</v>
      </c>
      <c r="C463" s="129" t="s">
        <v>147</v>
      </c>
      <c r="D463" s="72" t="s">
        <v>493</v>
      </c>
      <c r="E463" s="73" t="s">
        <v>60</v>
      </c>
      <c r="F463" s="73" t="s">
        <v>152</v>
      </c>
      <c r="G463" s="73" t="s">
        <v>153</v>
      </c>
      <c r="H463" s="73" t="s">
        <v>399</v>
      </c>
      <c r="I463" s="191"/>
      <c r="J463" s="19">
        <v>0</v>
      </c>
      <c r="K463" s="167" t="s">
        <v>22</v>
      </c>
      <c r="L463" s="168">
        <v>0</v>
      </c>
      <c r="M463" s="168">
        <v>0</v>
      </c>
      <c r="N463" s="169">
        <f t="shared" si="248"/>
        <v>0</v>
      </c>
      <c r="O463" s="169">
        <f t="shared" si="249"/>
        <v>0</v>
      </c>
      <c r="P463" s="312">
        <f t="shared" si="250"/>
        <v>0</v>
      </c>
      <c r="Q463" s="335"/>
    </row>
    <row r="464" spans="1:17" ht="23.25" customHeight="1" x14ac:dyDescent="0.35">
      <c r="A464" s="18">
        <f t="shared" si="251"/>
        <v>437</v>
      </c>
      <c r="B464" s="26" t="s">
        <v>28</v>
      </c>
      <c r="C464" s="129" t="s">
        <v>147</v>
      </c>
      <c r="D464" s="72" t="s">
        <v>386</v>
      </c>
      <c r="E464" s="73" t="s">
        <v>60</v>
      </c>
      <c r="F464" s="73" t="s">
        <v>152</v>
      </c>
      <c r="G464" s="73" t="s">
        <v>153</v>
      </c>
      <c r="H464" s="73" t="s">
        <v>399</v>
      </c>
      <c r="I464" s="191"/>
      <c r="J464" s="19">
        <v>0</v>
      </c>
      <c r="K464" s="167" t="s">
        <v>22</v>
      </c>
      <c r="L464" s="168">
        <v>0</v>
      </c>
      <c r="M464" s="168">
        <v>0</v>
      </c>
      <c r="N464" s="169">
        <f t="shared" si="248"/>
        <v>0</v>
      </c>
      <c r="O464" s="169">
        <f t="shared" si="249"/>
        <v>0</v>
      </c>
      <c r="P464" s="312">
        <f t="shared" si="250"/>
        <v>0</v>
      </c>
      <c r="Q464" s="335"/>
    </row>
    <row r="465" spans="1:17" ht="23.25" customHeight="1" x14ac:dyDescent="0.35">
      <c r="A465" s="18">
        <f t="shared" si="251"/>
        <v>438</v>
      </c>
      <c r="B465" s="26" t="s">
        <v>28</v>
      </c>
      <c r="C465" s="129" t="s">
        <v>147</v>
      </c>
      <c r="D465" s="72" t="s">
        <v>40</v>
      </c>
      <c r="E465" s="73" t="s">
        <v>60</v>
      </c>
      <c r="F465" s="73" t="s">
        <v>152</v>
      </c>
      <c r="G465" s="73" t="s">
        <v>153</v>
      </c>
      <c r="H465" s="73" t="s">
        <v>400</v>
      </c>
      <c r="I465" s="191"/>
      <c r="J465" s="19">
        <v>0</v>
      </c>
      <c r="K465" s="167" t="s">
        <v>51</v>
      </c>
      <c r="L465" s="168">
        <v>0</v>
      </c>
      <c r="M465" s="168">
        <v>0</v>
      </c>
      <c r="N465" s="169">
        <f t="shared" si="248"/>
        <v>0</v>
      </c>
      <c r="O465" s="169">
        <f t="shared" si="249"/>
        <v>0</v>
      </c>
      <c r="P465" s="312">
        <f t="shared" si="250"/>
        <v>0</v>
      </c>
      <c r="Q465" s="335"/>
    </row>
    <row r="466" spans="1:17" ht="23.25" customHeight="1" x14ac:dyDescent="0.35">
      <c r="A466" s="18">
        <f t="shared" si="251"/>
        <v>439</v>
      </c>
      <c r="B466" s="26" t="s">
        <v>28</v>
      </c>
      <c r="C466" s="129" t="s">
        <v>147</v>
      </c>
      <c r="D466" s="72" t="s">
        <v>524</v>
      </c>
      <c r="E466" s="73" t="s">
        <v>60</v>
      </c>
      <c r="F466" s="73" t="s">
        <v>152</v>
      </c>
      <c r="G466" s="73" t="s">
        <v>153</v>
      </c>
      <c r="H466" s="73" t="s">
        <v>400</v>
      </c>
      <c r="I466" s="191"/>
      <c r="J466" s="19">
        <v>0</v>
      </c>
      <c r="K466" s="167" t="s">
        <v>51</v>
      </c>
      <c r="L466" s="168">
        <v>0</v>
      </c>
      <c r="M466" s="168">
        <v>0</v>
      </c>
      <c r="N466" s="169">
        <f t="shared" si="248"/>
        <v>0</v>
      </c>
      <c r="O466" s="169">
        <f t="shared" si="249"/>
        <v>0</v>
      </c>
      <c r="P466" s="312">
        <f t="shared" si="250"/>
        <v>0</v>
      </c>
      <c r="Q466" s="335"/>
    </row>
    <row r="467" spans="1:17" ht="23.25" customHeight="1" x14ac:dyDescent="0.35">
      <c r="A467" s="18">
        <f t="shared" si="251"/>
        <v>440</v>
      </c>
      <c r="B467" s="26" t="s">
        <v>28</v>
      </c>
      <c r="C467" s="129" t="s">
        <v>147</v>
      </c>
      <c r="D467" s="72" t="s">
        <v>493</v>
      </c>
      <c r="E467" s="73" t="s">
        <v>60</v>
      </c>
      <c r="F467" s="73" t="s">
        <v>152</v>
      </c>
      <c r="G467" s="73" t="s">
        <v>153</v>
      </c>
      <c r="H467" s="73" t="s">
        <v>400</v>
      </c>
      <c r="I467" s="191"/>
      <c r="J467" s="19">
        <v>0</v>
      </c>
      <c r="K467" s="167" t="s">
        <v>51</v>
      </c>
      <c r="L467" s="168">
        <v>0</v>
      </c>
      <c r="M467" s="168">
        <v>0</v>
      </c>
      <c r="N467" s="169">
        <f t="shared" si="248"/>
        <v>0</v>
      </c>
      <c r="O467" s="169">
        <f t="shared" si="249"/>
        <v>0</v>
      </c>
      <c r="P467" s="312">
        <f t="shared" si="250"/>
        <v>0</v>
      </c>
      <c r="Q467" s="335"/>
    </row>
    <row r="468" spans="1:17" ht="23.25" customHeight="1" x14ac:dyDescent="0.35">
      <c r="A468" s="18">
        <f t="shared" si="251"/>
        <v>441</v>
      </c>
      <c r="B468" s="26" t="s">
        <v>28</v>
      </c>
      <c r="C468" s="129" t="s">
        <v>147</v>
      </c>
      <c r="D468" s="72" t="s">
        <v>386</v>
      </c>
      <c r="E468" s="73" t="s">
        <v>60</v>
      </c>
      <c r="F468" s="73" t="s">
        <v>152</v>
      </c>
      <c r="G468" s="73" t="s">
        <v>153</v>
      </c>
      <c r="H468" s="73" t="s">
        <v>400</v>
      </c>
      <c r="I468" s="191"/>
      <c r="J468" s="19">
        <v>0</v>
      </c>
      <c r="K468" s="167" t="s">
        <v>22</v>
      </c>
      <c r="L468" s="168">
        <v>0</v>
      </c>
      <c r="M468" s="168">
        <v>0</v>
      </c>
      <c r="N468" s="169">
        <f t="shared" si="248"/>
        <v>0</v>
      </c>
      <c r="O468" s="169">
        <f t="shared" si="249"/>
        <v>0</v>
      </c>
      <c r="P468" s="312">
        <f t="shared" si="250"/>
        <v>0</v>
      </c>
      <c r="Q468" s="335"/>
    </row>
    <row r="469" spans="1:17" ht="23.25" customHeight="1" x14ac:dyDescent="0.35">
      <c r="A469" s="18">
        <f t="shared" si="251"/>
        <v>442</v>
      </c>
      <c r="B469" s="26" t="s">
        <v>28</v>
      </c>
      <c r="C469" s="129" t="s">
        <v>147</v>
      </c>
      <c r="D469" s="72" t="s">
        <v>40</v>
      </c>
      <c r="E469" s="73" t="s">
        <v>60</v>
      </c>
      <c r="F469" s="73" t="s">
        <v>152</v>
      </c>
      <c r="G469" s="73" t="s">
        <v>153</v>
      </c>
      <c r="H469" s="73" t="s">
        <v>401</v>
      </c>
      <c r="I469" s="191"/>
      <c r="J469" s="19">
        <v>0</v>
      </c>
      <c r="K469" s="167" t="s">
        <v>51</v>
      </c>
      <c r="L469" s="168">
        <v>0</v>
      </c>
      <c r="M469" s="168">
        <v>0</v>
      </c>
      <c r="N469" s="169">
        <f t="shared" si="248"/>
        <v>0</v>
      </c>
      <c r="O469" s="169">
        <f t="shared" si="249"/>
        <v>0</v>
      </c>
      <c r="P469" s="312">
        <f t="shared" si="250"/>
        <v>0</v>
      </c>
      <c r="Q469" s="335"/>
    </row>
    <row r="470" spans="1:17" ht="23.25" customHeight="1" x14ac:dyDescent="0.35">
      <c r="A470" s="18">
        <f t="shared" si="251"/>
        <v>443</v>
      </c>
      <c r="B470" s="26" t="s">
        <v>28</v>
      </c>
      <c r="C470" s="129" t="s">
        <v>147</v>
      </c>
      <c r="D470" s="72" t="s">
        <v>524</v>
      </c>
      <c r="E470" s="73" t="s">
        <v>60</v>
      </c>
      <c r="F470" s="73" t="s">
        <v>152</v>
      </c>
      <c r="G470" s="73" t="s">
        <v>153</v>
      </c>
      <c r="H470" s="73" t="s">
        <v>401</v>
      </c>
      <c r="I470" s="191"/>
      <c r="J470" s="19">
        <v>0</v>
      </c>
      <c r="K470" s="167" t="s">
        <v>51</v>
      </c>
      <c r="L470" s="168">
        <v>0</v>
      </c>
      <c r="M470" s="168">
        <v>0</v>
      </c>
      <c r="N470" s="169">
        <f t="shared" si="248"/>
        <v>0</v>
      </c>
      <c r="O470" s="169">
        <f t="shared" si="249"/>
        <v>0</v>
      </c>
      <c r="P470" s="312">
        <f t="shared" si="250"/>
        <v>0</v>
      </c>
      <c r="Q470" s="335"/>
    </row>
    <row r="471" spans="1:17" ht="23.25" customHeight="1" x14ac:dyDescent="0.35">
      <c r="A471" s="18">
        <f t="shared" si="251"/>
        <v>444</v>
      </c>
      <c r="B471" s="26" t="s">
        <v>28</v>
      </c>
      <c r="C471" s="129" t="s">
        <v>147</v>
      </c>
      <c r="D471" s="72" t="s">
        <v>493</v>
      </c>
      <c r="E471" s="73" t="s">
        <v>60</v>
      </c>
      <c r="F471" s="73" t="s">
        <v>152</v>
      </c>
      <c r="G471" s="73" t="s">
        <v>153</v>
      </c>
      <c r="H471" s="73" t="s">
        <v>401</v>
      </c>
      <c r="I471" s="191"/>
      <c r="J471" s="19">
        <v>0</v>
      </c>
      <c r="K471" s="167" t="s">
        <v>51</v>
      </c>
      <c r="L471" s="168">
        <v>0</v>
      </c>
      <c r="M471" s="168">
        <v>0</v>
      </c>
      <c r="N471" s="169">
        <f t="shared" si="248"/>
        <v>0</v>
      </c>
      <c r="O471" s="169">
        <f t="shared" si="249"/>
        <v>0</v>
      </c>
      <c r="P471" s="312">
        <f t="shared" si="250"/>
        <v>0</v>
      </c>
      <c r="Q471" s="335"/>
    </row>
    <row r="472" spans="1:17" ht="23.25" customHeight="1" x14ac:dyDescent="0.35">
      <c r="A472" s="18">
        <f t="shared" si="251"/>
        <v>445</v>
      </c>
      <c r="B472" s="26" t="s">
        <v>28</v>
      </c>
      <c r="C472" s="129" t="s">
        <v>147</v>
      </c>
      <c r="D472" s="72" t="s">
        <v>386</v>
      </c>
      <c r="E472" s="73" t="s">
        <v>60</v>
      </c>
      <c r="F472" s="73" t="s">
        <v>152</v>
      </c>
      <c r="G472" s="73" t="s">
        <v>153</v>
      </c>
      <c r="H472" s="73" t="s">
        <v>401</v>
      </c>
      <c r="I472" s="191"/>
      <c r="J472" s="19">
        <v>0</v>
      </c>
      <c r="K472" s="167" t="s">
        <v>22</v>
      </c>
      <c r="L472" s="168">
        <v>0</v>
      </c>
      <c r="M472" s="168">
        <v>0</v>
      </c>
      <c r="N472" s="169">
        <f t="shared" ref="N472" si="252">L472*J472</f>
        <v>0</v>
      </c>
      <c r="O472" s="169">
        <f t="shared" ref="O472" si="253">M472*J472</f>
        <v>0</v>
      </c>
      <c r="P472" s="312">
        <f t="shared" ref="P472" si="254">(L472*J472)+(M472*J472)</f>
        <v>0</v>
      </c>
      <c r="Q472" s="335"/>
    </row>
    <row r="473" spans="1:17" ht="23.25" customHeight="1" x14ac:dyDescent="0.35">
      <c r="A473" s="18">
        <f t="shared" si="251"/>
        <v>446</v>
      </c>
      <c r="B473" s="26" t="s">
        <v>28</v>
      </c>
      <c r="C473" s="129" t="s">
        <v>147</v>
      </c>
      <c r="D473" s="43" t="s">
        <v>358</v>
      </c>
      <c r="E473" s="5"/>
      <c r="F473" s="5"/>
      <c r="G473" s="5"/>
      <c r="H473" s="5"/>
      <c r="I473" s="20"/>
      <c r="J473" s="19">
        <f>I473</f>
        <v>0</v>
      </c>
      <c r="K473" s="171"/>
      <c r="L473" s="168">
        <v>0</v>
      </c>
      <c r="M473" s="168">
        <v>0</v>
      </c>
      <c r="N473" s="169">
        <f>L473*J473</f>
        <v>0</v>
      </c>
      <c r="O473" s="169">
        <f>M473*J473</f>
        <v>0</v>
      </c>
      <c r="P473" s="312">
        <f>(L473*J473)+(M473*J473)</f>
        <v>0</v>
      </c>
      <c r="Q473" s="326"/>
    </row>
    <row r="474" spans="1:17" ht="23.25" customHeight="1" thickBot="1" x14ac:dyDescent="0.4">
      <c r="A474" s="38">
        <f>A473+1</f>
        <v>447</v>
      </c>
      <c r="B474" s="39" t="s">
        <v>28</v>
      </c>
      <c r="C474" s="128" t="s">
        <v>147</v>
      </c>
      <c r="D474" s="44" t="s">
        <v>358</v>
      </c>
      <c r="E474" s="40"/>
      <c r="F474" s="40"/>
      <c r="G474" s="40"/>
      <c r="H474" s="40"/>
      <c r="I474" s="41"/>
      <c r="J474" s="24">
        <f>I474</f>
        <v>0</v>
      </c>
      <c r="K474" s="194"/>
      <c r="L474" s="195">
        <v>0</v>
      </c>
      <c r="M474" s="195">
        <v>0</v>
      </c>
      <c r="N474" s="196">
        <f>L474*J474</f>
        <v>0</v>
      </c>
      <c r="O474" s="196">
        <f>M474*J474</f>
        <v>0</v>
      </c>
      <c r="P474" s="313">
        <f>(L474*J474)+(M474*J474)</f>
        <v>0</v>
      </c>
      <c r="Q474" s="328"/>
    </row>
    <row r="475" spans="1:17" ht="47.5" thickBot="1" x14ac:dyDescent="0.4">
      <c r="A475" s="100"/>
      <c r="B475" s="101" t="s">
        <v>28</v>
      </c>
      <c r="C475" s="130" t="s">
        <v>147</v>
      </c>
      <c r="D475" s="254" t="s">
        <v>527</v>
      </c>
      <c r="E475" s="255"/>
      <c r="F475" s="255"/>
      <c r="G475" s="255"/>
      <c r="H475" s="256"/>
      <c r="I475" s="257"/>
      <c r="J475" s="213"/>
      <c r="K475" s="214"/>
      <c r="L475" s="215"/>
      <c r="M475" s="215"/>
      <c r="N475" s="258"/>
      <c r="O475" s="258"/>
      <c r="P475" s="316"/>
      <c r="Q475" s="340"/>
    </row>
    <row r="476" spans="1:17" ht="23.25" customHeight="1" x14ac:dyDescent="0.35">
      <c r="A476" s="27">
        <f>A474+1</f>
        <v>448</v>
      </c>
      <c r="B476" s="55" t="s">
        <v>28</v>
      </c>
      <c r="C476" s="139" t="s">
        <v>147</v>
      </c>
      <c r="D476" s="69" t="s">
        <v>40</v>
      </c>
      <c r="E476" s="70" t="s">
        <v>60</v>
      </c>
      <c r="F476" s="70" t="s">
        <v>448</v>
      </c>
      <c r="G476" s="70" t="s">
        <v>453</v>
      </c>
      <c r="H476" s="70" t="s">
        <v>149</v>
      </c>
      <c r="I476" s="219"/>
      <c r="J476" s="25">
        <v>0</v>
      </c>
      <c r="K476" s="163" t="s">
        <v>51</v>
      </c>
      <c r="L476" s="164">
        <v>0</v>
      </c>
      <c r="M476" s="164">
        <v>0</v>
      </c>
      <c r="N476" s="165">
        <f t="shared" ref="N476:N493" si="255">L476*J476</f>
        <v>0</v>
      </c>
      <c r="O476" s="165">
        <f t="shared" ref="O476:O493" si="256">M476*J476</f>
        <v>0</v>
      </c>
      <c r="P476" s="317">
        <f t="shared" ref="P476:P493" si="257">(L476*J476)+(M476*J476)</f>
        <v>0</v>
      </c>
      <c r="Q476" s="341"/>
    </row>
    <row r="477" spans="1:17" ht="23.25" customHeight="1" x14ac:dyDescent="0.35">
      <c r="A477" s="18">
        <f>A476+1</f>
        <v>449</v>
      </c>
      <c r="B477" s="26" t="s">
        <v>28</v>
      </c>
      <c r="C477" s="129" t="s">
        <v>147</v>
      </c>
      <c r="D477" s="72" t="s">
        <v>524</v>
      </c>
      <c r="E477" s="73" t="s">
        <v>60</v>
      </c>
      <c r="F477" s="73" t="s">
        <v>448</v>
      </c>
      <c r="G477" s="73" t="s">
        <v>453</v>
      </c>
      <c r="H477" s="73" t="s">
        <v>149</v>
      </c>
      <c r="I477" s="191"/>
      <c r="J477" s="19">
        <v>0</v>
      </c>
      <c r="K477" s="167" t="s">
        <v>22</v>
      </c>
      <c r="L477" s="168">
        <v>0</v>
      </c>
      <c r="M477" s="168">
        <v>0</v>
      </c>
      <c r="N477" s="169">
        <f t="shared" si="255"/>
        <v>0</v>
      </c>
      <c r="O477" s="169">
        <f t="shared" si="256"/>
        <v>0</v>
      </c>
      <c r="P477" s="312">
        <f t="shared" si="257"/>
        <v>0</v>
      </c>
      <c r="Q477" s="335"/>
    </row>
    <row r="478" spans="1:17" ht="23.25" customHeight="1" x14ac:dyDescent="0.35">
      <c r="A478" s="18">
        <f t="shared" ref="A478:A500" si="258">A477+1</f>
        <v>450</v>
      </c>
      <c r="B478" s="26" t="s">
        <v>28</v>
      </c>
      <c r="C478" s="129" t="s">
        <v>147</v>
      </c>
      <c r="D478" s="72" t="s">
        <v>493</v>
      </c>
      <c r="E478" s="73" t="s">
        <v>60</v>
      </c>
      <c r="F478" s="73" t="s">
        <v>448</v>
      </c>
      <c r="G478" s="73" t="s">
        <v>453</v>
      </c>
      <c r="H478" s="73" t="s">
        <v>149</v>
      </c>
      <c r="I478" s="191"/>
      <c r="J478" s="19">
        <v>0</v>
      </c>
      <c r="K478" s="167" t="s">
        <v>22</v>
      </c>
      <c r="L478" s="168">
        <v>0</v>
      </c>
      <c r="M478" s="168">
        <v>0</v>
      </c>
      <c r="N478" s="169">
        <f t="shared" ref="N478" si="259">L478*J478</f>
        <v>0</v>
      </c>
      <c r="O478" s="169">
        <f t="shared" ref="O478" si="260">M478*J478</f>
        <v>0</v>
      </c>
      <c r="P478" s="312">
        <f t="shared" ref="P478" si="261">(L478*J478)+(M478*J478)</f>
        <v>0</v>
      </c>
      <c r="Q478" s="335"/>
    </row>
    <row r="479" spans="1:17" ht="23.25" customHeight="1" x14ac:dyDescent="0.35">
      <c r="A479" s="18">
        <f t="shared" si="258"/>
        <v>451</v>
      </c>
      <c r="B479" s="26" t="s">
        <v>28</v>
      </c>
      <c r="C479" s="129" t="s">
        <v>147</v>
      </c>
      <c r="D479" s="72" t="s">
        <v>386</v>
      </c>
      <c r="E479" s="73" t="s">
        <v>60</v>
      </c>
      <c r="F479" s="73" t="s">
        <v>448</v>
      </c>
      <c r="G479" s="73" t="s">
        <v>453</v>
      </c>
      <c r="H479" s="73" t="s">
        <v>149</v>
      </c>
      <c r="I479" s="191"/>
      <c r="J479" s="19">
        <v>0</v>
      </c>
      <c r="K479" s="167" t="s">
        <v>22</v>
      </c>
      <c r="L479" s="168">
        <v>0</v>
      </c>
      <c r="M479" s="168">
        <v>0</v>
      </c>
      <c r="N479" s="169">
        <f t="shared" si="255"/>
        <v>0</v>
      </c>
      <c r="O479" s="169">
        <f t="shared" si="256"/>
        <v>0</v>
      </c>
      <c r="P479" s="312">
        <f t="shared" si="257"/>
        <v>0</v>
      </c>
      <c r="Q479" s="335"/>
    </row>
    <row r="480" spans="1:17" ht="23.25" customHeight="1" x14ac:dyDescent="0.35">
      <c r="A480" s="18">
        <f t="shared" si="258"/>
        <v>452</v>
      </c>
      <c r="B480" s="26" t="s">
        <v>28</v>
      </c>
      <c r="C480" s="129" t="s">
        <v>147</v>
      </c>
      <c r="D480" s="72" t="s">
        <v>40</v>
      </c>
      <c r="E480" s="73" t="s">
        <v>60</v>
      </c>
      <c r="F480" s="73" t="s">
        <v>448</v>
      </c>
      <c r="G480" s="73" t="s">
        <v>453</v>
      </c>
      <c r="H480" s="73" t="s">
        <v>137</v>
      </c>
      <c r="I480" s="191"/>
      <c r="J480" s="19">
        <v>0</v>
      </c>
      <c r="K480" s="167" t="s">
        <v>51</v>
      </c>
      <c r="L480" s="168">
        <v>0</v>
      </c>
      <c r="M480" s="168">
        <v>0</v>
      </c>
      <c r="N480" s="169">
        <f t="shared" si="255"/>
        <v>0</v>
      </c>
      <c r="O480" s="169">
        <f t="shared" si="256"/>
        <v>0</v>
      </c>
      <c r="P480" s="312">
        <f t="shared" si="257"/>
        <v>0</v>
      </c>
      <c r="Q480" s="335"/>
    </row>
    <row r="481" spans="1:17" ht="23.25" customHeight="1" x14ac:dyDescent="0.35">
      <c r="A481" s="18">
        <f t="shared" si="258"/>
        <v>453</v>
      </c>
      <c r="B481" s="26" t="s">
        <v>28</v>
      </c>
      <c r="C481" s="129" t="s">
        <v>147</v>
      </c>
      <c r="D481" s="72" t="s">
        <v>524</v>
      </c>
      <c r="E481" s="73" t="s">
        <v>60</v>
      </c>
      <c r="F481" s="73" t="s">
        <v>448</v>
      </c>
      <c r="G481" s="73" t="s">
        <v>453</v>
      </c>
      <c r="H481" s="73" t="s">
        <v>137</v>
      </c>
      <c r="I481" s="191"/>
      <c r="J481" s="19">
        <v>0</v>
      </c>
      <c r="K481" s="167" t="s">
        <v>22</v>
      </c>
      <c r="L481" s="168">
        <v>0</v>
      </c>
      <c r="M481" s="168">
        <v>0</v>
      </c>
      <c r="N481" s="169">
        <f t="shared" si="255"/>
        <v>0</v>
      </c>
      <c r="O481" s="169">
        <f t="shared" si="256"/>
        <v>0</v>
      </c>
      <c r="P481" s="312">
        <f t="shared" si="257"/>
        <v>0</v>
      </c>
      <c r="Q481" s="335"/>
    </row>
    <row r="482" spans="1:17" ht="23.25" customHeight="1" x14ac:dyDescent="0.35">
      <c r="A482" s="18">
        <f t="shared" si="258"/>
        <v>454</v>
      </c>
      <c r="B482" s="26" t="s">
        <v>28</v>
      </c>
      <c r="C482" s="129" t="s">
        <v>147</v>
      </c>
      <c r="D482" s="72" t="s">
        <v>493</v>
      </c>
      <c r="E482" s="73" t="s">
        <v>60</v>
      </c>
      <c r="F482" s="73" t="s">
        <v>448</v>
      </c>
      <c r="G482" s="73" t="s">
        <v>453</v>
      </c>
      <c r="H482" s="73" t="s">
        <v>137</v>
      </c>
      <c r="I482" s="191"/>
      <c r="J482" s="19">
        <v>0</v>
      </c>
      <c r="K482" s="167" t="s">
        <v>22</v>
      </c>
      <c r="L482" s="168">
        <v>0</v>
      </c>
      <c r="M482" s="168">
        <v>0</v>
      </c>
      <c r="N482" s="169">
        <f t="shared" si="255"/>
        <v>0</v>
      </c>
      <c r="O482" s="169">
        <f t="shared" si="256"/>
        <v>0</v>
      </c>
      <c r="P482" s="312">
        <f t="shared" si="257"/>
        <v>0</v>
      </c>
      <c r="Q482" s="335"/>
    </row>
    <row r="483" spans="1:17" ht="23.25" customHeight="1" x14ac:dyDescent="0.35">
      <c r="A483" s="18">
        <f t="shared" si="258"/>
        <v>455</v>
      </c>
      <c r="B483" s="26" t="s">
        <v>28</v>
      </c>
      <c r="C483" s="129" t="s">
        <v>147</v>
      </c>
      <c r="D483" s="72" t="s">
        <v>386</v>
      </c>
      <c r="E483" s="73" t="s">
        <v>60</v>
      </c>
      <c r="F483" s="73" t="s">
        <v>448</v>
      </c>
      <c r="G483" s="73" t="s">
        <v>453</v>
      </c>
      <c r="H483" s="73" t="s">
        <v>137</v>
      </c>
      <c r="I483" s="191"/>
      <c r="J483" s="19">
        <v>0</v>
      </c>
      <c r="K483" s="167" t="s">
        <v>22</v>
      </c>
      <c r="L483" s="168">
        <v>0</v>
      </c>
      <c r="M483" s="168">
        <v>0</v>
      </c>
      <c r="N483" s="169">
        <f t="shared" si="255"/>
        <v>0</v>
      </c>
      <c r="O483" s="169">
        <f t="shared" si="256"/>
        <v>0</v>
      </c>
      <c r="P483" s="312">
        <f t="shared" si="257"/>
        <v>0</v>
      </c>
      <c r="Q483" s="335"/>
    </row>
    <row r="484" spans="1:17" ht="23.25" customHeight="1" x14ac:dyDescent="0.35">
      <c r="A484" s="18">
        <f t="shared" si="258"/>
        <v>456</v>
      </c>
      <c r="B484" s="26" t="s">
        <v>28</v>
      </c>
      <c r="C484" s="129" t="s">
        <v>147</v>
      </c>
      <c r="D484" s="72" t="s">
        <v>40</v>
      </c>
      <c r="E484" s="73" t="s">
        <v>60</v>
      </c>
      <c r="F484" s="73" t="s">
        <v>448</v>
      </c>
      <c r="G484" s="73" t="s">
        <v>453</v>
      </c>
      <c r="H484" s="73" t="s">
        <v>138</v>
      </c>
      <c r="I484" s="191"/>
      <c r="J484" s="19">
        <v>0</v>
      </c>
      <c r="K484" s="167" t="s">
        <v>51</v>
      </c>
      <c r="L484" s="168">
        <v>0</v>
      </c>
      <c r="M484" s="168">
        <v>0</v>
      </c>
      <c r="N484" s="169">
        <f t="shared" si="255"/>
        <v>0</v>
      </c>
      <c r="O484" s="169">
        <f t="shared" si="256"/>
        <v>0</v>
      </c>
      <c r="P484" s="312">
        <f t="shared" si="257"/>
        <v>0</v>
      </c>
      <c r="Q484" s="335"/>
    </row>
    <row r="485" spans="1:17" ht="23.25" customHeight="1" x14ac:dyDescent="0.35">
      <c r="A485" s="18">
        <f t="shared" si="258"/>
        <v>457</v>
      </c>
      <c r="B485" s="26" t="s">
        <v>28</v>
      </c>
      <c r="C485" s="129" t="s">
        <v>147</v>
      </c>
      <c r="D485" s="72" t="s">
        <v>524</v>
      </c>
      <c r="E485" s="73" t="s">
        <v>60</v>
      </c>
      <c r="F485" s="73" t="s">
        <v>448</v>
      </c>
      <c r="G485" s="73" t="s">
        <v>453</v>
      </c>
      <c r="H485" s="73" t="s">
        <v>138</v>
      </c>
      <c r="I485" s="191"/>
      <c r="J485" s="19">
        <v>0</v>
      </c>
      <c r="K485" s="167" t="s">
        <v>22</v>
      </c>
      <c r="L485" s="168">
        <v>0</v>
      </c>
      <c r="M485" s="168">
        <v>0</v>
      </c>
      <c r="N485" s="169">
        <f t="shared" si="255"/>
        <v>0</v>
      </c>
      <c r="O485" s="169">
        <f t="shared" si="256"/>
        <v>0</v>
      </c>
      <c r="P485" s="312">
        <f t="shared" si="257"/>
        <v>0</v>
      </c>
      <c r="Q485" s="335"/>
    </row>
    <row r="486" spans="1:17" ht="23.25" customHeight="1" x14ac:dyDescent="0.35">
      <c r="A486" s="18">
        <f t="shared" si="258"/>
        <v>458</v>
      </c>
      <c r="B486" s="26" t="s">
        <v>28</v>
      </c>
      <c r="C486" s="129" t="s">
        <v>147</v>
      </c>
      <c r="D486" s="72" t="s">
        <v>493</v>
      </c>
      <c r="E486" s="73" t="s">
        <v>60</v>
      </c>
      <c r="F486" s="73" t="s">
        <v>448</v>
      </c>
      <c r="G486" s="73" t="s">
        <v>453</v>
      </c>
      <c r="H486" s="73" t="s">
        <v>138</v>
      </c>
      <c r="I486" s="191"/>
      <c r="J486" s="19">
        <v>0</v>
      </c>
      <c r="K486" s="167" t="s">
        <v>22</v>
      </c>
      <c r="L486" s="168">
        <v>0</v>
      </c>
      <c r="M486" s="168">
        <v>0</v>
      </c>
      <c r="N486" s="169">
        <f t="shared" ref="N486" si="262">L486*J486</f>
        <v>0</v>
      </c>
      <c r="O486" s="169">
        <f t="shared" ref="O486" si="263">M486*J486</f>
        <v>0</v>
      </c>
      <c r="P486" s="312">
        <f t="shared" ref="P486" si="264">(L486*J486)+(M486*J486)</f>
        <v>0</v>
      </c>
      <c r="Q486" s="335"/>
    </row>
    <row r="487" spans="1:17" ht="23.25" customHeight="1" x14ac:dyDescent="0.35">
      <c r="A487" s="18">
        <f t="shared" si="258"/>
        <v>459</v>
      </c>
      <c r="B487" s="26" t="s">
        <v>28</v>
      </c>
      <c r="C487" s="129" t="s">
        <v>147</v>
      </c>
      <c r="D487" s="72" t="s">
        <v>386</v>
      </c>
      <c r="E487" s="73" t="s">
        <v>60</v>
      </c>
      <c r="F487" s="73" t="s">
        <v>448</v>
      </c>
      <c r="G487" s="73" t="s">
        <v>453</v>
      </c>
      <c r="H487" s="73" t="s">
        <v>138</v>
      </c>
      <c r="I487" s="191"/>
      <c r="J487" s="19">
        <v>0</v>
      </c>
      <c r="K487" s="167" t="s">
        <v>22</v>
      </c>
      <c r="L487" s="168">
        <v>0</v>
      </c>
      <c r="M487" s="168">
        <v>0</v>
      </c>
      <c r="N487" s="169">
        <f t="shared" si="255"/>
        <v>0</v>
      </c>
      <c r="O487" s="169">
        <f t="shared" si="256"/>
        <v>0</v>
      </c>
      <c r="P487" s="312">
        <f t="shared" si="257"/>
        <v>0</v>
      </c>
      <c r="Q487" s="335"/>
    </row>
    <row r="488" spans="1:17" ht="23.25" customHeight="1" x14ac:dyDescent="0.35">
      <c r="A488" s="18">
        <f t="shared" si="258"/>
        <v>460</v>
      </c>
      <c r="B488" s="26" t="s">
        <v>28</v>
      </c>
      <c r="C488" s="129" t="s">
        <v>147</v>
      </c>
      <c r="D488" s="72" t="s">
        <v>40</v>
      </c>
      <c r="E488" s="73" t="s">
        <v>60</v>
      </c>
      <c r="F488" s="73" t="s">
        <v>448</v>
      </c>
      <c r="G488" s="73" t="s">
        <v>453</v>
      </c>
      <c r="H488" s="73" t="s">
        <v>399</v>
      </c>
      <c r="I488" s="191"/>
      <c r="J488" s="19">
        <v>0</v>
      </c>
      <c r="K488" s="167" t="s">
        <v>51</v>
      </c>
      <c r="L488" s="168">
        <v>0</v>
      </c>
      <c r="M488" s="168">
        <v>0</v>
      </c>
      <c r="N488" s="169">
        <f t="shared" si="255"/>
        <v>0</v>
      </c>
      <c r="O488" s="169">
        <f t="shared" si="256"/>
        <v>0</v>
      </c>
      <c r="P488" s="312">
        <f t="shared" si="257"/>
        <v>0</v>
      </c>
      <c r="Q488" s="335"/>
    </row>
    <row r="489" spans="1:17" ht="23.25" customHeight="1" x14ac:dyDescent="0.35">
      <c r="A489" s="18">
        <f t="shared" si="258"/>
        <v>461</v>
      </c>
      <c r="B489" s="26" t="s">
        <v>28</v>
      </c>
      <c r="C489" s="129" t="s">
        <v>147</v>
      </c>
      <c r="D489" s="72" t="s">
        <v>524</v>
      </c>
      <c r="E489" s="73" t="s">
        <v>60</v>
      </c>
      <c r="F489" s="73" t="s">
        <v>448</v>
      </c>
      <c r="G489" s="73" t="s">
        <v>453</v>
      </c>
      <c r="H489" s="73" t="s">
        <v>399</v>
      </c>
      <c r="I489" s="191"/>
      <c r="J489" s="19">
        <v>0</v>
      </c>
      <c r="K489" s="167" t="s">
        <v>22</v>
      </c>
      <c r="L489" s="168">
        <v>0</v>
      </c>
      <c r="M489" s="168">
        <v>0</v>
      </c>
      <c r="N489" s="169">
        <f t="shared" si="255"/>
        <v>0</v>
      </c>
      <c r="O489" s="169">
        <f t="shared" si="256"/>
        <v>0</v>
      </c>
      <c r="P489" s="312">
        <f t="shared" si="257"/>
        <v>0</v>
      </c>
      <c r="Q489" s="335"/>
    </row>
    <row r="490" spans="1:17" ht="23.25" customHeight="1" x14ac:dyDescent="0.35">
      <c r="A490" s="18">
        <f t="shared" si="258"/>
        <v>462</v>
      </c>
      <c r="B490" s="26" t="s">
        <v>28</v>
      </c>
      <c r="C490" s="129" t="s">
        <v>147</v>
      </c>
      <c r="D490" s="72" t="s">
        <v>493</v>
      </c>
      <c r="E490" s="73" t="s">
        <v>60</v>
      </c>
      <c r="F490" s="73" t="s">
        <v>448</v>
      </c>
      <c r="G490" s="73" t="s">
        <v>453</v>
      </c>
      <c r="H490" s="73" t="s">
        <v>399</v>
      </c>
      <c r="I490" s="191"/>
      <c r="J490" s="19">
        <v>0</v>
      </c>
      <c r="K490" s="167" t="s">
        <v>22</v>
      </c>
      <c r="L490" s="168">
        <v>0</v>
      </c>
      <c r="M490" s="168">
        <v>0</v>
      </c>
      <c r="N490" s="169">
        <f t="shared" si="255"/>
        <v>0</v>
      </c>
      <c r="O490" s="169">
        <f t="shared" si="256"/>
        <v>0</v>
      </c>
      <c r="P490" s="312">
        <f t="shared" si="257"/>
        <v>0</v>
      </c>
      <c r="Q490" s="335"/>
    </row>
    <row r="491" spans="1:17" ht="23.25" customHeight="1" x14ac:dyDescent="0.35">
      <c r="A491" s="18">
        <f t="shared" si="258"/>
        <v>463</v>
      </c>
      <c r="B491" s="26" t="s">
        <v>28</v>
      </c>
      <c r="C491" s="129" t="s">
        <v>147</v>
      </c>
      <c r="D491" s="72" t="s">
        <v>386</v>
      </c>
      <c r="E491" s="73" t="s">
        <v>60</v>
      </c>
      <c r="F491" s="73" t="s">
        <v>448</v>
      </c>
      <c r="G491" s="73" t="s">
        <v>453</v>
      </c>
      <c r="H491" s="73" t="s">
        <v>399</v>
      </c>
      <c r="I491" s="191"/>
      <c r="J491" s="19">
        <v>0</v>
      </c>
      <c r="K491" s="167" t="s">
        <v>22</v>
      </c>
      <c r="L491" s="168">
        <v>0</v>
      </c>
      <c r="M491" s="168">
        <v>0</v>
      </c>
      <c r="N491" s="169">
        <f t="shared" si="255"/>
        <v>0</v>
      </c>
      <c r="O491" s="169">
        <f t="shared" si="256"/>
        <v>0</v>
      </c>
      <c r="P491" s="312">
        <f t="shared" si="257"/>
        <v>0</v>
      </c>
      <c r="Q491" s="335"/>
    </row>
    <row r="492" spans="1:17" ht="23.25" customHeight="1" x14ac:dyDescent="0.35">
      <c r="A492" s="18">
        <f t="shared" si="258"/>
        <v>464</v>
      </c>
      <c r="B492" s="26" t="s">
        <v>28</v>
      </c>
      <c r="C492" s="129" t="s">
        <v>147</v>
      </c>
      <c r="D492" s="72" t="s">
        <v>40</v>
      </c>
      <c r="E492" s="73" t="s">
        <v>60</v>
      </c>
      <c r="F492" s="73" t="s">
        <v>448</v>
      </c>
      <c r="G492" s="73" t="s">
        <v>453</v>
      </c>
      <c r="H492" s="73" t="s">
        <v>400</v>
      </c>
      <c r="I492" s="191"/>
      <c r="J492" s="19">
        <v>0</v>
      </c>
      <c r="K492" s="167" t="s">
        <v>51</v>
      </c>
      <c r="L492" s="168">
        <v>0</v>
      </c>
      <c r="M492" s="168">
        <v>0</v>
      </c>
      <c r="N492" s="169">
        <f t="shared" si="255"/>
        <v>0</v>
      </c>
      <c r="O492" s="169">
        <f t="shared" si="256"/>
        <v>0</v>
      </c>
      <c r="P492" s="312">
        <f t="shared" si="257"/>
        <v>0</v>
      </c>
      <c r="Q492" s="335"/>
    </row>
    <row r="493" spans="1:17" ht="23.25" customHeight="1" x14ac:dyDescent="0.35">
      <c r="A493" s="18">
        <f t="shared" si="258"/>
        <v>465</v>
      </c>
      <c r="B493" s="26" t="s">
        <v>28</v>
      </c>
      <c r="C493" s="129" t="s">
        <v>147</v>
      </c>
      <c r="D493" s="72" t="s">
        <v>524</v>
      </c>
      <c r="E493" s="73" t="s">
        <v>60</v>
      </c>
      <c r="F493" s="73" t="s">
        <v>448</v>
      </c>
      <c r="G493" s="73" t="s">
        <v>453</v>
      </c>
      <c r="H493" s="73" t="s">
        <v>400</v>
      </c>
      <c r="I493" s="191"/>
      <c r="J493" s="19">
        <v>0</v>
      </c>
      <c r="K493" s="167" t="s">
        <v>22</v>
      </c>
      <c r="L493" s="168">
        <v>0</v>
      </c>
      <c r="M493" s="168">
        <v>0</v>
      </c>
      <c r="N493" s="169">
        <f t="shared" si="255"/>
        <v>0</v>
      </c>
      <c r="O493" s="169">
        <f t="shared" si="256"/>
        <v>0</v>
      </c>
      <c r="P493" s="312">
        <f t="shared" si="257"/>
        <v>0</v>
      </c>
      <c r="Q493" s="335"/>
    </row>
    <row r="494" spans="1:17" ht="23.25" customHeight="1" x14ac:dyDescent="0.35">
      <c r="A494" s="18">
        <f t="shared" si="258"/>
        <v>466</v>
      </c>
      <c r="B494" s="26" t="s">
        <v>28</v>
      </c>
      <c r="C494" s="129" t="s">
        <v>147</v>
      </c>
      <c r="D494" s="72" t="s">
        <v>493</v>
      </c>
      <c r="E494" s="73" t="s">
        <v>60</v>
      </c>
      <c r="F494" s="73" t="s">
        <v>448</v>
      </c>
      <c r="G494" s="73" t="s">
        <v>453</v>
      </c>
      <c r="H494" s="73" t="s">
        <v>400</v>
      </c>
      <c r="I494" s="191"/>
      <c r="J494" s="19">
        <v>0</v>
      </c>
      <c r="K494" s="167" t="s">
        <v>22</v>
      </c>
      <c r="L494" s="168">
        <v>0</v>
      </c>
      <c r="M494" s="168">
        <v>0</v>
      </c>
      <c r="N494" s="169">
        <f t="shared" ref="N494:N497" si="265">L494*J494</f>
        <v>0</v>
      </c>
      <c r="O494" s="169">
        <f t="shared" ref="O494:O497" si="266">M494*J494</f>
        <v>0</v>
      </c>
      <c r="P494" s="312">
        <f t="shared" ref="P494:P497" si="267">(L494*J494)+(M494*J494)</f>
        <v>0</v>
      </c>
      <c r="Q494" s="335"/>
    </row>
    <row r="495" spans="1:17" ht="23.25" customHeight="1" x14ac:dyDescent="0.35">
      <c r="A495" s="18">
        <f t="shared" si="258"/>
        <v>467</v>
      </c>
      <c r="B495" s="26" t="s">
        <v>28</v>
      </c>
      <c r="C495" s="129" t="s">
        <v>147</v>
      </c>
      <c r="D495" s="72" t="s">
        <v>386</v>
      </c>
      <c r="E495" s="73" t="s">
        <v>60</v>
      </c>
      <c r="F495" s="73" t="s">
        <v>448</v>
      </c>
      <c r="G495" s="73" t="s">
        <v>453</v>
      </c>
      <c r="H495" s="73" t="s">
        <v>400</v>
      </c>
      <c r="I495" s="191"/>
      <c r="J495" s="19">
        <v>0</v>
      </c>
      <c r="K495" s="167" t="s">
        <v>22</v>
      </c>
      <c r="L495" s="168">
        <v>0</v>
      </c>
      <c r="M495" s="168">
        <v>0</v>
      </c>
      <c r="N495" s="169">
        <f t="shared" si="265"/>
        <v>0</v>
      </c>
      <c r="O495" s="169">
        <f t="shared" si="266"/>
        <v>0</v>
      </c>
      <c r="P495" s="312">
        <f t="shared" si="267"/>
        <v>0</v>
      </c>
      <c r="Q495" s="335"/>
    </row>
    <row r="496" spans="1:17" ht="23.25" customHeight="1" x14ac:dyDescent="0.35">
      <c r="A496" s="18">
        <f t="shared" si="258"/>
        <v>468</v>
      </c>
      <c r="B496" s="26" t="s">
        <v>28</v>
      </c>
      <c r="C496" s="129" t="s">
        <v>147</v>
      </c>
      <c r="D496" s="75" t="s">
        <v>40</v>
      </c>
      <c r="E496" s="79" t="s">
        <v>60</v>
      </c>
      <c r="F496" s="79" t="s">
        <v>448</v>
      </c>
      <c r="G496" s="73" t="s">
        <v>453</v>
      </c>
      <c r="H496" s="79" t="s">
        <v>401</v>
      </c>
      <c r="I496" s="188"/>
      <c r="J496" s="19">
        <v>0</v>
      </c>
      <c r="K496" s="167" t="s">
        <v>51</v>
      </c>
      <c r="L496" s="168">
        <v>0</v>
      </c>
      <c r="M496" s="168">
        <v>0</v>
      </c>
      <c r="N496" s="169">
        <f t="shared" si="265"/>
        <v>0</v>
      </c>
      <c r="O496" s="169">
        <f t="shared" si="266"/>
        <v>0</v>
      </c>
      <c r="P496" s="312">
        <f t="shared" si="267"/>
        <v>0</v>
      </c>
      <c r="Q496" s="335"/>
    </row>
    <row r="497" spans="1:17" ht="23.25" customHeight="1" x14ac:dyDescent="0.35">
      <c r="A497" s="18">
        <f t="shared" si="258"/>
        <v>469</v>
      </c>
      <c r="B497" s="26" t="s">
        <v>28</v>
      </c>
      <c r="C497" s="129" t="s">
        <v>147</v>
      </c>
      <c r="D497" s="75" t="s">
        <v>524</v>
      </c>
      <c r="E497" s="79" t="s">
        <v>60</v>
      </c>
      <c r="F497" s="79" t="s">
        <v>448</v>
      </c>
      <c r="G497" s="73" t="s">
        <v>453</v>
      </c>
      <c r="H497" s="79" t="s">
        <v>401</v>
      </c>
      <c r="I497" s="188"/>
      <c r="J497" s="19">
        <v>0</v>
      </c>
      <c r="K497" s="167" t="s">
        <v>51</v>
      </c>
      <c r="L497" s="168">
        <v>0</v>
      </c>
      <c r="M497" s="168">
        <v>0</v>
      </c>
      <c r="N497" s="169">
        <f t="shared" si="265"/>
        <v>0</v>
      </c>
      <c r="O497" s="169">
        <f t="shared" si="266"/>
        <v>0</v>
      </c>
      <c r="P497" s="312">
        <f t="shared" si="267"/>
        <v>0</v>
      </c>
      <c r="Q497" s="335"/>
    </row>
    <row r="498" spans="1:17" ht="23.25" customHeight="1" x14ac:dyDescent="0.35">
      <c r="A498" s="18">
        <f t="shared" si="258"/>
        <v>470</v>
      </c>
      <c r="B498" s="26" t="s">
        <v>28</v>
      </c>
      <c r="C498" s="129" t="s">
        <v>147</v>
      </c>
      <c r="D498" s="75" t="s">
        <v>493</v>
      </c>
      <c r="E498" s="79" t="s">
        <v>60</v>
      </c>
      <c r="F498" s="79" t="s">
        <v>448</v>
      </c>
      <c r="G498" s="73" t="s">
        <v>453</v>
      </c>
      <c r="H498" s="79" t="s">
        <v>401</v>
      </c>
      <c r="I498" s="188"/>
      <c r="J498" s="19">
        <v>0</v>
      </c>
      <c r="K498" s="167" t="s">
        <v>51</v>
      </c>
      <c r="L498" s="168">
        <v>0</v>
      </c>
      <c r="M498" s="168">
        <v>0</v>
      </c>
      <c r="N498" s="169">
        <f t="shared" ref="N498" si="268">L498*J498</f>
        <v>0</v>
      </c>
      <c r="O498" s="169">
        <f t="shared" ref="O498" si="269">M498*J498</f>
        <v>0</v>
      </c>
      <c r="P498" s="312">
        <f t="shared" ref="P498" si="270">(L498*J498)+(M498*J498)</f>
        <v>0</v>
      </c>
      <c r="Q498" s="335"/>
    </row>
    <row r="499" spans="1:17" ht="23.25" customHeight="1" x14ac:dyDescent="0.35">
      <c r="A499" s="18">
        <f t="shared" si="258"/>
        <v>471</v>
      </c>
      <c r="B499" s="26" t="s">
        <v>28</v>
      </c>
      <c r="C499" s="129" t="s">
        <v>147</v>
      </c>
      <c r="D499" s="72" t="s">
        <v>386</v>
      </c>
      <c r="E499" s="73" t="s">
        <v>60</v>
      </c>
      <c r="F499" s="73" t="s">
        <v>448</v>
      </c>
      <c r="G499" s="73" t="s">
        <v>453</v>
      </c>
      <c r="H499" s="73" t="s">
        <v>401</v>
      </c>
      <c r="I499" s="74"/>
      <c r="J499" s="19">
        <v>0</v>
      </c>
      <c r="K499" s="259" t="s">
        <v>22</v>
      </c>
      <c r="L499" s="168">
        <v>0</v>
      </c>
      <c r="M499" s="168">
        <v>0</v>
      </c>
      <c r="N499" s="169">
        <f>L499*J499</f>
        <v>0</v>
      </c>
      <c r="O499" s="169">
        <f>M499*J499</f>
        <v>0</v>
      </c>
      <c r="P499" s="312">
        <f>(L499*J499)+(M499*J499)</f>
        <v>0</v>
      </c>
      <c r="Q499" s="326"/>
    </row>
    <row r="500" spans="1:17" ht="23.25" customHeight="1" x14ac:dyDescent="0.35">
      <c r="A500" s="18">
        <f t="shared" si="258"/>
        <v>472</v>
      </c>
      <c r="B500" s="39" t="s">
        <v>28</v>
      </c>
      <c r="C500" s="128" t="s">
        <v>147</v>
      </c>
      <c r="D500" s="45" t="s">
        <v>358</v>
      </c>
      <c r="E500" s="40"/>
      <c r="F500" s="40"/>
      <c r="G500" s="40"/>
      <c r="H500" s="40"/>
      <c r="I500" s="41"/>
      <c r="J500" s="24">
        <v>0</v>
      </c>
      <c r="K500" s="194"/>
      <c r="L500" s="195">
        <v>0</v>
      </c>
      <c r="M500" s="195">
        <v>0</v>
      </c>
      <c r="N500" s="196">
        <v>0</v>
      </c>
      <c r="O500" s="196">
        <v>0</v>
      </c>
      <c r="P500" s="313">
        <v>0</v>
      </c>
      <c r="Q500" s="328"/>
    </row>
    <row r="501" spans="1:17" ht="23.25" customHeight="1" thickBot="1" x14ac:dyDescent="0.4">
      <c r="A501" s="38">
        <f>A500+1</f>
        <v>473</v>
      </c>
      <c r="B501" s="39" t="s">
        <v>28</v>
      </c>
      <c r="C501" s="128" t="s">
        <v>147</v>
      </c>
      <c r="D501" s="44" t="s">
        <v>358</v>
      </c>
      <c r="E501" s="40"/>
      <c r="F501" s="40"/>
      <c r="G501" s="40"/>
      <c r="H501" s="40"/>
      <c r="I501" s="41"/>
      <c r="J501" s="24">
        <f>I501</f>
        <v>0</v>
      </c>
      <c r="K501" s="194"/>
      <c r="L501" s="195">
        <v>0</v>
      </c>
      <c r="M501" s="195">
        <v>0</v>
      </c>
      <c r="N501" s="196">
        <f>L501*J501</f>
        <v>0</v>
      </c>
      <c r="O501" s="196">
        <f>M501*J501</f>
        <v>0</v>
      </c>
      <c r="P501" s="313">
        <f>(L501*J501)+(M501*J501)</f>
        <v>0</v>
      </c>
      <c r="Q501" s="328"/>
    </row>
    <row r="502" spans="1:17" ht="23.25" customHeight="1" x14ac:dyDescent="0.35">
      <c r="A502" s="28"/>
      <c r="B502" s="35" t="s">
        <v>157</v>
      </c>
      <c r="C502" s="127" t="s">
        <v>158</v>
      </c>
      <c r="D502" s="235" t="s">
        <v>157</v>
      </c>
      <c r="E502" s="149"/>
      <c r="F502" s="149"/>
      <c r="G502" s="149"/>
      <c r="H502" s="150"/>
      <c r="I502" s="236"/>
      <c r="J502" s="198"/>
      <c r="K502" s="153"/>
      <c r="L502" s="199"/>
      <c r="M502" s="199"/>
      <c r="N502" s="200"/>
      <c r="O502" s="200"/>
      <c r="P502" s="318"/>
      <c r="Q502" s="345"/>
    </row>
    <row r="503" spans="1:17" ht="23.25" customHeight="1" thickBot="1" x14ac:dyDescent="0.4">
      <c r="A503" s="38"/>
      <c r="B503" s="39" t="s">
        <v>157</v>
      </c>
      <c r="C503" s="128" t="s">
        <v>158</v>
      </c>
      <c r="D503" s="260" t="s">
        <v>528</v>
      </c>
      <c r="E503" s="203"/>
      <c r="F503" s="203"/>
      <c r="G503" s="203"/>
      <c r="H503" s="229"/>
      <c r="I503" s="230"/>
      <c r="J503" s="231"/>
      <c r="K503" s="232"/>
      <c r="L503" s="237"/>
      <c r="M503" s="237"/>
      <c r="N503" s="261"/>
      <c r="O503" s="261"/>
      <c r="P503" s="319"/>
      <c r="Q503" s="344"/>
    </row>
    <row r="504" spans="1:17" ht="23.25" customHeight="1" x14ac:dyDescent="0.35">
      <c r="A504" s="28">
        <f>A501+1</f>
        <v>474</v>
      </c>
      <c r="B504" s="35" t="s">
        <v>157</v>
      </c>
      <c r="C504" s="127" t="s">
        <v>158</v>
      </c>
      <c r="D504" s="77" t="s">
        <v>40</v>
      </c>
      <c r="E504" s="78" t="s">
        <v>159</v>
      </c>
      <c r="F504" s="78"/>
      <c r="G504" s="78" t="s">
        <v>160</v>
      </c>
      <c r="H504" s="78" t="s">
        <v>161</v>
      </c>
      <c r="I504" s="189"/>
      <c r="J504" s="32">
        <v>0</v>
      </c>
      <c r="K504" s="190" t="s">
        <v>51</v>
      </c>
      <c r="L504" s="185">
        <v>0</v>
      </c>
      <c r="M504" s="185">
        <v>0</v>
      </c>
      <c r="N504" s="186">
        <f t="shared" ref="N504:N507" si="271">L504*J504</f>
        <v>0</v>
      </c>
      <c r="O504" s="186">
        <f t="shared" ref="O504:O507" si="272">M504*J504</f>
        <v>0</v>
      </c>
      <c r="P504" s="311">
        <f t="shared" ref="P504:P507" si="273">(L504*J504)+(M504*J504)</f>
        <v>0</v>
      </c>
      <c r="Q504" s="336"/>
    </row>
    <row r="505" spans="1:17" ht="23.25" customHeight="1" x14ac:dyDescent="0.35">
      <c r="A505" s="18">
        <f>A504+1</f>
        <v>475</v>
      </c>
      <c r="B505" s="26" t="s">
        <v>157</v>
      </c>
      <c r="C505" s="129" t="s">
        <v>158</v>
      </c>
      <c r="D505" s="72" t="s">
        <v>40</v>
      </c>
      <c r="E505" s="73" t="s">
        <v>402</v>
      </c>
      <c r="F505" s="73"/>
      <c r="G505" s="73" t="s">
        <v>403</v>
      </c>
      <c r="H505" s="73" t="s">
        <v>163</v>
      </c>
      <c r="I505" s="191"/>
      <c r="J505" s="19">
        <v>0</v>
      </c>
      <c r="K505" s="80" t="s">
        <v>51</v>
      </c>
      <c r="L505" s="168">
        <v>0</v>
      </c>
      <c r="M505" s="168">
        <v>0</v>
      </c>
      <c r="N505" s="169">
        <f t="shared" si="271"/>
        <v>0</v>
      </c>
      <c r="O505" s="169">
        <f t="shared" si="272"/>
        <v>0</v>
      </c>
      <c r="P505" s="312">
        <f t="shared" si="273"/>
        <v>0</v>
      </c>
      <c r="Q505" s="335"/>
    </row>
    <row r="506" spans="1:17" ht="23.25" customHeight="1" x14ac:dyDescent="0.35">
      <c r="A506" s="18">
        <f t="shared" ref="A506:A508" si="274">A505+1</f>
        <v>476</v>
      </c>
      <c r="B506" s="26" t="s">
        <v>157</v>
      </c>
      <c r="C506" s="129" t="s">
        <v>158</v>
      </c>
      <c r="D506" s="72" t="s">
        <v>40</v>
      </c>
      <c r="E506" s="73" t="s">
        <v>402</v>
      </c>
      <c r="F506" s="73"/>
      <c r="G506" s="73" t="s">
        <v>403</v>
      </c>
      <c r="H506" s="73" t="s">
        <v>164</v>
      </c>
      <c r="I506" s="191"/>
      <c r="J506" s="19">
        <v>0</v>
      </c>
      <c r="K506" s="167" t="s">
        <v>51</v>
      </c>
      <c r="L506" s="168">
        <v>0</v>
      </c>
      <c r="M506" s="168">
        <v>0</v>
      </c>
      <c r="N506" s="169">
        <f t="shared" si="271"/>
        <v>0</v>
      </c>
      <c r="O506" s="169">
        <f t="shared" si="272"/>
        <v>0</v>
      </c>
      <c r="P506" s="312">
        <f t="shared" si="273"/>
        <v>0</v>
      </c>
      <c r="Q506" s="335"/>
    </row>
    <row r="507" spans="1:17" ht="23.25" customHeight="1" x14ac:dyDescent="0.35">
      <c r="A507" s="18">
        <f t="shared" si="274"/>
        <v>477</v>
      </c>
      <c r="B507" s="26" t="s">
        <v>157</v>
      </c>
      <c r="C507" s="129" t="s">
        <v>158</v>
      </c>
      <c r="D507" s="75" t="s">
        <v>529</v>
      </c>
      <c r="E507" s="79"/>
      <c r="F507" s="79"/>
      <c r="G507" s="79"/>
      <c r="H507" s="79"/>
      <c r="I507" s="188"/>
      <c r="J507" s="19">
        <v>0</v>
      </c>
      <c r="K507" s="167" t="s">
        <v>22</v>
      </c>
      <c r="L507" s="168">
        <v>0</v>
      </c>
      <c r="M507" s="168">
        <v>0</v>
      </c>
      <c r="N507" s="169">
        <f t="shared" si="271"/>
        <v>0</v>
      </c>
      <c r="O507" s="169">
        <f t="shared" si="272"/>
        <v>0</v>
      </c>
      <c r="P507" s="312">
        <f t="shared" si="273"/>
        <v>0</v>
      </c>
      <c r="Q507" s="335"/>
    </row>
    <row r="508" spans="1:17" ht="23.25" customHeight="1" x14ac:dyDescent="0.35">
      <c r="A508" s="18">
        <f t="shared" si="274"/>
        <v>478</v>
      </c>
      <c r="B508" s="26" t="s">
        <v>157</v>
      </c>
      <c r="C508" s="129" t="s">
        <v>158</v>
      </c>
      <c r="D508" s="43" t="s">
        <v>358</v>
      </c>
      <c r="E508" s="5"/>
      <c r="F508" s="5"/>
      <c r="G508" s="5"/>
      <c r="H508" s="5"/>
      <c r="I508" s="20"/>
      <c r="J508" s="19">
        <f>I508</f>
        <v>0</v>
      </c>
      <c r="K508" s="171"/>
      <c r="L508" s="168">
        <v>0</v>
      </c>
      <c r="M508" s="168">
        <v>0</v>
      </c>
      <c r="N508" s="169">
        <f>L508*J508</f>
        <v>0</v>
      </c>
      <c r="O508" s="169">
        <f>M508*J508</f>
        <v>0</v>
      </c>
      <c r="P508" s="312">
        <f>(L508*J508)+(M508*J508)</f>
        <v>0</v>
      </c>
      <c r="Q508" s="326"/>
    </row>
    <row r="509" spans="1:17" ht="23.25" customHeight="1" thickBot="1" x14ac:dyDescent="0.4">
      <c r="A509" s="38">
        <f>A508+1</f>
        <v>479</v>
      </c>
      <c r="B509" s="39" t="s">
        <v>157</v>
      </c>
      <c r="C509" s="128" t="s">
        <v>158</v>
      </c>
      <c r="D509" s="44" t="s">
        <v>358</v>
      </c>
      <c r="E509" s="40"/>
      <c r="F509" s="40"/>
      <c r="G509" s="40"/>
      <c r="H509" s="40"/>
      <c r="I509" s="41"/>
      <c r="J509" s="24">
        <f>I509</f>
        <v>0</v>
      </c>
      <c r="K509" s="194"/>
      <c r="L509" s="195">
        <v>0</v>
      </c>
      <c r="M509" s="195">
        <v>0</v>
      </c>
      <c r="N509" s="196">
        <f>L509*J509</f>
        <v>0</v>
      </c>
      <c r="O509" s="196">
        <f>M509*J509</f>
        <v>0</v>
      </c>
      <c r="P509" s="313">
        <f>(L509*J509)+(M509*J509)</f>
        <v>0</v>
      </c>
      <c r="Q509" s="328"/>
    </row>
    <row r="510" spans="1:17" ht="56.5" customHeight="1" thickBot="1" x14ac:dyDescent="0.4">
      <c r="A510" s="90"/>
      <c r="B510" s="91" t="s">
        <v>157</v>
      </c>
      <c r="C510" s="137" t="s">
        <v>165</v>
      </c>
      <c r="D510" s="238" t="s">
        <v>530</v>
      </c>
      <c r="E510" s="239"/>
      <c r="F510" s="239"/>
      <c r="G510" s="239"/>
      <c r="H510" s="240"/>
      <c r="I510" s="241"/>
      <c r="J510" s="242"/>
      <c r="K510" s="243"/>
      <c r="L510" s="244"/>
      <c r="M510" s="244"/>
      <c r="N510" s="245"/>
      <c r="O510" s="245"/>
      <c r="P510" s="314"/>
      <c r="Q510" s="346"/>
    </row>
    <row r="511" spans="1:17" ht="23.25" customHeight="1" x14ac:dyDescent="0.35">
      <c r="A511" s="28">
        <f>A509+1</f>
        <v>480</v>
      </c>
      <c r="B511" s="35" t="s">
        <v>157</v>
      </c>
      <c r="C511" s="127" t="s">
        <v>165</v>
      </c>
      <c r="D511" s="77" t="s">
        <v>40</v>
      </c>
      <c r="E511" s="78" t="s">
        <v>31</v>
      </c>
      <c r="F511" s="78"/>
      <c r="G511" s="78" t="s">
        <v>166</v>
      </c>
      <c r="H511" s="78" t="s">
        <v>161</v>
      </c>
      <c r="I511" s="189"/>
      <c r="J511" s="32">
        <v>0</v>
      </c>
      <c r="K511" s="190" t="s">
        <v>51</v>
      </c>
      <c r="L511" s="185">
        <v>0</v>
      </c>
      <c r="M511" s="185">
        <v>0</v>
      </c>
      <c r="N511" s="186">
        <f t="shared" ref="N511:N520" si="275">L511*J511</f>
        <v>0</v>
      </c>
      <c r="O511" s="186">
        <f t="shared" ref="O511:O520" si="276">M511*J511</f>
        <v>0</v>
      </c>
      <c r="P511" s="311">
        <f t="shared" ref="P511:P520" si="277">(L511*J511)+(M511*J511)</f>
        <v>0</v>
      </c>
      <c r="Q511" s="336"/>
    </row>
    <row r="512" spans="1:17" ht="23.25" customHeight="1" x14ac:dyDescent="0.35">
      <c r="A512" s="18">
        <f>A511+1</f>
        <v>481</v>
      </c>
      <c r="B512" s="26" t="s">
        <v>157</v>
      </c>
      <c r="C512" s="129" t="s">
        <v>165</v>
      </c>
      <c r="D512" s="72" t="s">
        <v>493</v>
      </c>
      <c r="E512" s="73" t="s">
        <v>31</v>
      </c>
      <c r="F512" s="73"/>
      <c r="G512" s="73" t="s">
        <v>166</v>
      </c>
      <c r="H512" s="73" t="s">
        <v>161</v>
      </c>
      <c r="I512" s="191"/>
      <c r="J512" s="19">
        <v>0</v>
      </c>
      <c r="K512" s="167" t="s">
        <v>22</v>
      </c>
      <c r="L512" s="168">
        <v>0</v>
      </c>
      <c r="M512" s="168">
        <v>0</v>
      </c>
      <c r="N512" s="169">
        <f t="shared" si="275"/>
        <v>0</v>
      </c>
      <c r="O512" s="169">
        <f t="shared" si="276"/>
        <v>0</v>
      </c>
      <c r="P512" s="312">
        <f t="shared" si="277"/>
        <v>0</v>
      </c>
      <c r="Q512" s="335"/>
    </row>
    <row r="513" spans="1:17" ht="23.25" customHeight="1" x14ac:dyDescent="0.35">
      <c r="A513" s="18">
        <f t="shared" ref="A513:A521" si="278">A512+1</f>
        <v>482</v>
      </c>
      <c r="B513" s="26" t="s">
        <v>157</v>
      </c>
      <c r="C513" s="129" t="s">
        <v>165</v>
      </c>
      <c r="D513" s="72" t="s">
        <v>404</v>
      </c>
      <c r="E513" s="73" t="s">
        <v>31</v>
      </c>
      <c r="F513" s="73"/>
      <c r="G513" s="73" t="s">
        <v>166</v>
      </c>
      <c r="H513" s="73" t="s">
        <v>161</v>
      </c>
      <c r="I513" s="191"/>
      <c r="J513" s="19">
        <v>0</v>
      </c>
      <c r="K513" s="167" t="s">
        <v>22</v>
      </c>
      <c r="L513" s="168">
        <v>0</v>
      </c>
      <c r="M513" s="168">
        <v>0</v>
      </c>
      <c r="N513" s="169">
        <f t="shared" si="275"/>
        <v>0</v>
      </c>
      <c r="O513" s="169">
        <f t="shared" si="276"/>
        <v>0</v>
      </c>
      <c r="P513" s="312">
        <f t="shared" si="277"/>
        <v>0</v>
      </c>
      <c r="Q513" s="335"/>
    </row>
    <row r="514" spans="1:17" ht="23.25" customHeight="1" x14ac:dyDescent="0.35">
      <c r="A514" s="18">
        <f t="shared" si="278"/>
        <v>483</v>
      </c>
      <c r="B514" s="26" t="s">
        <v>157</v>
      </c>
      <c r="C514" s="129" t="s">
        <v>165</v>
      </c>
      <c r="D514" s="72" t="s">
        <v>40</v>
      </c>
      <c r="E514" s="73" t="s">
        <v>31</v>
      </c>
      <c r="F514" s="73"/>
      <c r="G514" s="73" t="s">
        <v>166</v>
      </c>
      <c r="H514" s="73" t="s">
        <v>167</v>
      </c>
      <c r="I514" s="191"/>
      <c r="J514" s="19">
        <v>0</v>
      </c>
      <c r="K514" s="167" t="s">
        <v>51</v>
      </c>
      <c r="L514" s="168">
        <v>0</v>
      </c>
      <c r="M514" s="168">
        <v>0</v>
      </c>
      <c r="N514" s="169">
        <f t="shared" si="275"/>
        <v>0</v>
      </c>
      <c r="O514" s="169">
        <f t="shared" si="276"/>
        <v>0</v>
      </c>
      <c r="P514" s="312">
        <f t="shared" si="277"/>
        <v>0</v>
      </c>
      <c r="Q514" s="335"/>
    </row>
    <row r="515" spans="1:17" ht="23.25" customHeight="1" x14ac:dyDescent="0.35">
      <c r="A515" s="18">
        <f t="shared" si="278"/>
        <v>484</v>
      </c>
      <c r="B515" s="26" t="s">
        <v>157</v>
      </c>
      <c r="C515" s="129" t="s">
        <v>165</v>
      </c>
      <c r="D515" s="72" t="s">
        <v>493</v>
      </c>
      <c r="E515" s="73" t="s">
        <v>31</v>
      </c>
      <c r="F515" s="73"/>
      <c r="G515" s="73" t="s">
        <v>166</v>
      </c>
      <c r="H515" s="73" t="s">
        <v>167</v>
      </c>
      <c r="I515" s="191"/>
      <c r="J515" s="19">
        <v>0</v>
      </c>
      <c r="K515" s="167" t="s">
        <v>22</v>
      </c>
      <c r="L515" s="168">
        <v>0</v>
      </c>
      <c r="M515" s="168">
        <v>0</v>
      </c>
      <c r="N515" s="169">
        <f t="shared" si="275"/>
        <v>0</v>
      </c>
      <c r="O515" s="169">
        <f t="shared" si="276"/>
        <v>0</v>
      </c>
      <c r="P515" s="312">
        <f t="shared" si="277"/>
        <v>0</v>
      </c>
      <c r="Q515" s="335"/>
    </row>
    <row r="516" spans="1:17" ht="23.25" customHeight="1" x14ac:dyDescent="0.35">
      <c r="A516" s="18">
        <f t="shared" si="278"/>
        <v>485</v>
      </c>
      <c r="B516" s="26" t="s">
        <v>157</v>
      </c>
      <c r="C516" s="129" t="s">
        <v>165</v>
      </c>
      <c r="D516" s="72" t="s">
        <v>404</v>
      </c>
      <c r="E516" s="73" t="s">
        <v>31</v>
      </c>
      <c r="F516" s="73"/>
      <c r="G516" s="73" t="s">
        <v>166</v>
      </c>
      <c r="H516" s="73" t="s">
        <v>167</v>
      </c>
      <c r="I516" s="191"/>
      <c r="J516" s="19">
        <v>0</v>
      </c>
      <c r="K516" s="167" t="s">
        <v>22</v>
      </c>
      <c r="L516" s="168">
        <v>0</v>
      </c>
      <c r="M516" s="168">
        <v>0</v>
      </c>
      <c r="N516" s="169">
        <f t="shared" si="275"/>
        <v>0</v>
      </c>
      <c r="O516" s="169">
        <f t="shared" si="276"/>
        <v>0</v>
      </c>
      <c r="P516" s="312">
        <f t="shared" si="277"/>
        <v>0</v>
      </c>
      <c r="Q516" s="335"/>
    </row>
    <row r="517" spans="1:17" ht="23.25" customHeight="1" x14ac:dyDescent="0.35">
      <c r="A517" s="18">
        <f t="shared" si="278"/>
        <v>486</v>
      </c>
      <c r="B517" s="26" t="s">
        <v>157</v>
      </c>
      <c r="C517" s="129" t="s">
        <v>165</v>
      </c>
      <c r="D517" s="72" t="s">
        <v>40</v>
      </c>
      <c r="E517" s="73" t="s">
        <v>31</v>
      </c>
      <c r="F517" s="73"/>
      <c r="G517" s="73" t="s">
        <v>166</v>
      </c>
      <c r="H517" s="73" t="s">
        <v>168</v>
      </c>
      <c r="I517" s="191"/>
      <c r="J517" s="19">
        <v>0</v>
      </c>
      <c r="K517" s="167" t="s">
        <v>51</v>
      </c>
      <c r="L517" s="168">
        <v>0</v>
      </c>
      <c r="M517" s="168">
        <v>0</v>
      </c>
      <c r="N517" s="169">
        <f t="shared" si="275"/>
        <v>0</v>
      </c>
      <c r="O517" s="169">
        <f t="shared" si="276"/>
        <v>0</v>
      </c>
      <c r="P517" s="312">
        <f t="shared" si="277"/>
        <v>0</v>
      </c>
      <c r="Q517" s="335"/>
    </row>
    <row r="518" spans="1:17" ht="23.25" customHeight="1" x14ac:dyDescent="0.35">
      <c r="A518" s="18">
        <f t="shared" si="278"/>
        <v>487</v>
      </c>
      <c r="B518" s="26" t="s">
        <v>157</v>
      </c>
      <c r="C518" s="129" t="s">
        <v>165</v>
      </c>
      <c r="D518" s="72" t="s">
        <v>493</v>
      </c>
      <c r="E518" s="73" t="s">
        <v>31</v>
      </c>
      <c r="F518" s="73"/>
      <c r="G518" s="73" t="s">
        <v>166</v>
      </c>
      <c r="H518" s="73" t="s">
        <v>168</v>
      </c>
      <c r="I518" s="191"/>
      <c r="J518" s="19">
        <v>0</v>
      </c>
      <c r="K518" s="167" t="s">
        <v>22</v>
      </c>
      <c r="L518" s="168">
        <v>0</v>
      </c>
      <c r="M518" s="168">
        <v>0</v>
      </c>
      <c r="N518" s="169">
        <f t="shared" si="275"/>
        <v>0</v>
      </c>
      <c r="O518" s="169">
        <f t="shared" si="276"/>
        <v>0</v>
      </c>
      <c r="P518" s="312">
        <f t="shared" si="277"/>
        <v>0</v>
      </c>
      <c r="Q518" s="335"/>
    </row>
    <row r="519" spans="1:17" ht="23.25" customHeight="1" x14ac:dyDescent="0.35">
      <c r="A519" s="18">
        <f t="shared" si="278"/>
        <v>488</v>
      </c>
      <c r="B519" s="26" t="s">
        <v>157</v>
      </c>
      <c r="C519" s="129" t="s">
        <v>165</v>
      </c>
      <c r="D519" s="72" t="s">
        <v>404</v>
      </c>
      <c r="E519" s="73" t="s">
        <v>31</v>
      </c>
      <c r="F519" s="73"/>
      <c r="G519" s="73" t="s">
        <v>166</v>
      </c>
      <c r="H519" s="73" t="s">
        <v>168</v>
      </c>
      <c r="I519" s="191"/>
      <c r="J519" s="19">
        <v>0</v>
      </c>
      <c r="K519" s="167" t="s">
        <v>22</v>
      </c>
      <c r="L519" s="168">
        <v>0</v>
      </c>
      <c r="M519" s="168">
        <v>0</v>
      </c>
      <c r="N519" s="169">
        <f t="shared" si="275"/>
        <v>0</v>
      </c>
      <c r="O519" s="169">
        <f t="shared" si="276"/>
        <v>0</v>
      </c>
      <c r="P519" s="312">
        <f t="shared" si="277"/>
        <v>0</v>
      </c>
      <c r="Q519" s="335"/>
    </row>
    <row r="520" spans="1:17" ht="23.25" customHeight="1" x14ac:dyDescent="0.35">
      <c r="A520" s="18">
        <f t="shared" si="278"/>
        <v>489</v>
      </c>
      <c r="B520" s="26" t="s">
        <v>157</v>
      </c>
      <c r="C520" s="129" t="s">
        <v>165</v>
      </c>
      <c r="D520" s="75" t="s">
        <v>529</v>
      </c>
      <c r="E520" s="79"/>
      <c r="F520" s="79"/>
      <c r="G520" s="79"/>
      <c r="H520" s="79"/>
      <c r="I520" s="188"/>
      <c r="J520" s="19">
        <v>0</v>
      </c>
      <c r="K520" s="167" t="s">
        <v>22</v>
      </c>
      <c r="L520" s="168">
        <v>0</v>
      </c>
      <c r="M520" s="168">
        <v>0</v>
      </c>
      <c r="N520" s="169">
        <f t="shared" si="275"/>
        <v>0</v>
      </c>
      <c r="O520" s="169">
        <f t="shared" si="276"/>
        <v>0</v>
      </c>
      <c r="P520" s="312">
        <f t="shared" si="277"/>
        <v>0</v>
      </c>
      <c r="Q520" s="335"/>
    </row>
    <row r="521" spans="1:17" ht="23.25" customHeight="1" x14ac:dyDescent="0.35">
      <c r="A521" s="18">
        <f t="shared" si="278"/>
        <v>490</v>
      </c>
      <c r="B521" s="26" t="s">
        <v>157</v>
      </c>
      <c r="C521" s="129" t="s">
        <v>165</v>
      </c>
      <c r="D521" s="43" t="s">
        <v>358</v>
      </c>
      <c r="E521" s="5"/>
      <c r="F521" s="5"/>
      <c r="G521" s="5"/>
      <c r="H521" s="5"/>
      <c r="I521" s="20"/>
      <c r="J521" s="19">
        <f>I521</f>
        <v>0</v>
      </c>
      <c r="K521" s="171"/>
      <c r="L521" s="168">
        <v>0</v>
      </c>
      <c r="M521" s="168">
        <v>0</v>
      </c>
      <c r="N521" s="169">
        <f>L521*J521</f>
        <v>0</v>
      </c>
      <c r="O521" s="169">
        <f>M521*J521</f>
        <v>0</v>
      </c>
      <c r="P521" s="312">
        <f>(L521*J521)+(M521*J521)</f>
        <v>0</v>
      </c>
      <c r="Q521" s="326"/>
    </row>
    <row r="522" spans="1:17" ht="23.25" customHeight="1" thickBot="1" x14ac:dyDescent="0.4">
      <c r="A522" s="38">
        <f>A521+1</f>
        <v>491</v>
      </c>
      <c r="B522" s="39" t="s">
        <v>157</v>
      </c>
      <c r="C522" s="128" t="s">
        <v>165</v>
      </c>
      <c r="D522" s="44" t="s">
        <v>358</v>
      </c>
      <c r="E522" s="40"/>
      <c r="F522" s="40"/>
      <c r="G522" s="40"/>
      <c r="H522" s="40"/>
      <c r="I522" s="41"/>
      <c r="J522" s="24">
        <f>I522</f>
        <v>0</v>
      </c>
      <c r="K522" s="194"/>
      <c r="L522" s="195">
        <v>0</v>
      </c>
      <c r="M522" s="195">
        <v>0</v>
      </c>
      <c r="N522" s="196">
        <f>L522*J522</f>
        <v>0</v>
      </c>
      <c r="O522" s="196">
        <f>M522*J522</f>
        <v>0</v>
      </c>
      <c r="P522" s="313">
        <f>(L522*J522)+(M522*J522)</f>
        <v>0</v>
      </c>
      <c r="Q522" s="328"/>
    </row>
    <row r="523" spans="1:17" ht="47.5" thickBot="1" x14ac:dyDescent="0.4">
      <c r="A523" s="90"/>
      <c r="B523" s="91" t="s">
        <v>157</v>
      </c>
      <c r="C523" s="137" t="s">
        <v>169</v>
      </c>
      <c r="D523" s="238" t="s">
        <v>531</v>
      </c>
      <c r="E523" s="239"/>
      <c r="F523" s="239"/>
      <c r="G523" s="239"/>
      <c r="H523" s="240"/>
      <c r="I523" s="241"/>
      <c r="J523" s="242"/>
      <c r="K523" s="243"/>
      <c r="L523" s="244"/>
      <c r="M523" s="244"/>
      <c r="N523" s="245"/>
      <c r="O523" s="245"/>
      <c r="P523" s="314"/>
      <c r="Q523" s="346"/>
    </row>
    <row r="524" spans="1:17" ht="22.5" customHeight="1" x14ac:dyDescent="0.35">
      <c r="A524" s="28">
        <f>A522+1</f>
        <v>492</v>
      </c>
      <c r="B524" s="35" t="s">
        <v>157</v>
      </c>
      <c r="C524" s="127" t="s">
        <v>169</v>
      </c>
      <c r="D524" s="77" t="s">
        <v>40</v>
      </c>
      <c r="E524" s="78" t="s">
        <v>159</v>
      </c>
      <c r="F524" s="78"/>
      <c r="G524" s="78" t="s">
        <v>160</v>
      </c>
      <c r="H524" s="78" t="s">
        <v>161</v>
      </c>
      <c r="I524" s="189"/>
      <c r="J524" s="32">
        <v>0</v>
      </c>
      <c r="K524" s="190" t="s">
        <v>51</v>
      </c>
      <c r="L524" s="185">
        <v>0</v>
      </c>
      <c r="M524" s="185">
        <v>0</v>
      </c>
      <c r="N524" s="186">
        <f t="shared" ref="N524:N533" si="279">L524*J524</f>
        <v>0</v>
      </c>
      <c r="O524" s="186">
        <f t="shared" ref="O524:O533" si="280">M524*J524</f>
        <v>0</v>
      </c>
      <c r="P524" s="311">
        <f t="shared" ref="P524:P533" si="281">(L524*J524)+(M524*J524)</f>
        <v>0</v>
      </c>
      <c r="Q524" s="336"/>
    </row>
    <row r="525" spans="1:17" ht="23.25" customHeight="1" x14ac:dyDescent="0.35">
      <c r="A525" s="18">
        <f>A524+1</f>
        <v>493</v>
      </c>
      <c r="B525" s="26" t="s">
        <v>157</v>
      </c>
      <c r="C525" s="129" t="s">
        <v>169</v>
      </c>
      <c r="D525" s="72" t="s">
        <v>493</v>
      </c>
      <c r="E525" s="73" t="s">
        <v>41</v>
      </c>
      <c r="F525" s="73"/>
      <c r="G525" s="73" t="s">
        <v>162</v>
      </c>
      <c r="H525" s="73" t="s">
        <v>161</v>
      </c>
      <c r="I525" s="191"/>
      <c r="J525" s="19">
        <v>0</v>
      </c>
      <c r="K525" s="167" t="s">
        <v>22</v>
      </c>
      <c r="L525" s="168">
        <v>0</v>
      </c>
      <c r="M525" s="168">
        <v>0</v>
      </c>
      <c r="N525" s="169">
        <f t="shared" si="279"/>
        <v>0</v>
      </c>
      <c r="O525" s="169">
        <f t="shared" si="280"/>
        <v>0</v>
      </c>
      <c r="P525" s="312">
        <f t="shared" si="281"/>
        <v>0</v>
      </c>
      <c r="Q525" s="335"/>
    </row>
    <row r="526" spans="1:17" ht="23.25" customHeight="1" x14ac:dyDescent="0.35">
      <c r="A526" s="18">
        <f t="shared" ref="A526:A534" si="282">A525+1</f>
        <v>494</v>
      </c>
      <c r="B526" s="26" t="s">
        <v>157</v>
      </c>
      <c r="C526" s="129" t="s">
        <v>169</v>
      </c>
      <c r="D526" s="72" t="s">
        <v>404</v>
      </c>
      <c r="E526" s="73" t="s">
        <v>41</v>
      </c>
      <c r="F526" s="73"/>
      <c r="G526" s="73" t="s">
        <v>162</v>
      </c>
      <c r="H526" s="73" t="s">
        <v>161</v>
      </c>
      <c r="I526" s="191"/>
      <c r="J526" s="19">
        <v>0</v>
      </c>
      <c r="K526" s="167" t="s">
        <v>22</v>
      </c>
      <c r="L526" s="168">
        <v>0</v>
      </c>
      <c r="M526" s="168">
        <v>0</v>
      </c>
      <c r="N526" s="169">
        <f t="shared" si="279"/>
        <v>0</v>
      </c>
      <c r="O526" s="169">
        <f t="shared" si="280"/>
        <v>0</v>
      </c>
      <c r="P526" s="312">
        <f t="shared" si="281"/>
        <v>0</v>
      </c>
      <c r="Q526" s="335"/>
    </row>
    <row r="527" spans="1:17" ht="23.25" customHeight="1" x14ac:dyDescent="0.35">
      <c r="A527" s="18">
        <f t="shared" si="282"/>
        <v>495</v>
      </c>
      <c r="B527" s="26" t="s">
        <v>157</v>
      </c>
      <c r="C527" s="129" t="s">
        <v>169</v>
      </c>
      <c r="D527" s="72" t="s">
        <v>40</v>
      </c>
      <c r="E527" s="73" t="s">
        <v>170</v>
      </c>
      <c r="F527" s="73"/>
      <c r="G527" s="73" t="s">
        <v>171</v>
      </c>
      <c r="H527" s="73" t="s">
        <v>167</v>
      </c>
      <c r="I527" s="191"/>
      <c r="J527" s="19">
        <v>0</v>
      </c>
      <c r="K527" s="167" t="s">
        <v>51</v>
      </c>
      <c r="L527" s="168">
        <v>0</v>
      </c>
      <c r="M527" s="168">
        <v>0</v>
      </c>
      <c r="N527" s="169">
        <f t="shared" si="279"/>
        <v>0</v>
      </c>
      <c r="O527" s="169">
        <f t="shared" si="280"/>
        <v>0</v>
      </c>
      <c r="P527" s="312">
        <f t="shared" si="281"/>
        <v>0</v>
      </c>
      <c r="Q527" s="335"/>
    </row>
    <row r="528" spans="1:17" ht="23.25" customHeight="1" x14ac:dyDescent="0.35">
      <c r="A528" s="18">
        <f t="shared" si="282"/>
        <v>496</v>
      </c>
      <c r="B528" s="26" t="s">
        <v>157</v>
      </c>
      <c r="C528" s="129" t="s">
        <v>169</v>
      </c>
      <c r="D528" s="72" t="s">
        <v>493</v>
      </c>
      <c r="E528" s="73" t="s">
        <v>170</v>
      </c>
      <c r="F528" s="73"/>
      <c r="G528" s="73" t="s">
        <v>171</v>
      </c>
      <c r="H528" s="73" t="s">
        <v>167</v>
      </c>
      <c r="I528" s="191"/>
      <c r="J528" s="19">
        <v>0</v>
      </c>
      <c r="K528" s="167" t="s">
        <v>22</v>
      </c>
      <c r="L528" s="168">
        <v>0</v>
      </c>
      <c r="M528" s="168">
        <v>0</v>
      </c>
      <c r="N528" s="169">
        <f t="shared" si="279"/>
        <v>0</v>
      </c>
      <c r="O528" s="169">
        <f t="shared" si="280"/>
        <v>0</v>
      </c>
      <c r="P528" s="312">
        <f t="shared" si="281"/>
        <v>0</v>
      </c>
      <c r="Q528" s="335"/>
    </row>
    <row r="529" spans="1:17" ht="23.25" customHeight="1" x14ac:dyDescent="0.35">
      <c r="A529" s="18">
        <f t="shared" si="282"/>
        <v>497</v>
      </c>
      <c r="B529" s="26" t="s">
        <v>157</v>
      </c>
      <c r="C529" s="129" t="s">
        <v>169</v>
      </c>
      <c r="D529" s="72" t="s">
        <v>404</v>
      </c>
      <c r="E529" s="73" t="s">
        <v>170</v>
      </c>
      <c r="F529" s="73"/>
      <c r="G529" s="73" t="s">
        <v>171</v>
      </c>
      <c r="H529" s="73" t="s">
        <v>167</v>
      </c>
      <c r="I529" s="191"/>
      <c r="J529" s="19">
        <v>0</v>
      </c>
      <c r="K529" s="167" t="s">
        <v>22</v>
      </c>
      <c r="L529" s="168">
        <v>0</v>
      </c>
      <c r="M529" s="168">
        <v>0</v>
      </c>
      <c r="N529" s="169">
        <f t="shared" si="279"/>
        <v>0</v>
      </c>
      <c r="O529" s="169">
        <f t="shared" si="280"/>
        <v>0</v>
      </c>
      <c r="P529" s="312">
        <f t="shared" si="281"/>
        <v>0</v>
      </c>
      <c r="Q529" s="335"/>
    </row>
    <row r="530" spans="1:17" ht="23.25" customHeight="1" x14ac:dyDescent="0.35">
      <c r="A530" s="18">
        <f t="shared" si="282"/>
        <v>498</v>
      </c>
      <c r="B530" s="26" t="s">
        <v>157</v>
      </c>
      <c r="C530" s="129" t="s">
        <v>169</v>
      </c>
      <c r="D530" s="72" t="s">
        <v>40</v>
      </c>
      <c r="E530" s="73" t="s">
        <v>170</v>
      </c>
      <c r="F530" s="73"/>
      <c r="G530" s="73" t="s">
        <v>171</v>
      </c>
      <c r="H530" s="73" t="s">
        <v>168</v>
      </c>
      <c r="I530" s="191"/>
      <c r="J530" s="19">
        <v>0</v>
      </c>
      <c r="K530" s="167" t="s">
        <v>51</v>
      </c>
      <c r="L530" s="168">
        <v>0</v>
      </c>
      <c r="M530" s="168">
        <v>0</v>
      </c>
      <c r="N530" s="169">
        <f t="shared" si="279"/>
        <v>0</v>
      </c>
      <c r="O530" s="169">
        <f t="shared" si="280"/>
        <v>0</v>
      </c>
      <c r="P530" s="312">
        <f t="shared" si="281"/>
        <v>0</v>
      </c>
      <c r="Q530" s="335"/>
    </row>
    <row r="531" spans="1:17" ht="23.25" customHeight="1" x14ac:dyDescent="0.35">
      <c r="A531" s="18">
        <f t="shared" si="282"/>
        <v>499</v>
      </c>
      <c r="B531" s="26" t="s">
        <v>157</v>
      </c>
      <c r="C531" s="129" t="s">
        <v>169</v>
      </c>
      <c r="D531" s="72" t="s">
        <v>493</v>
      </c>
      <c r="E531" s="73" t="s">
        <v>170</v>
      </c>
      <c r="F531" s="73"/>
      <c r="G531" s="73" t="s">
        <v>171</v>
      </c>
      <c r="H531" s="73" t="s">
        <v>168</v>
      </c>
      <c r="I531" s="191"/>
      <c r="J531" s="19">
        <v>0</v>
      </c>
      <c r="K531" s="167" t="s">
        <v>22</v>
      </c>
      <c r="L531" s="168">
        <v>0</v>
      </c>
      <c r="M531" s="168">
        <v>0</v>
      </c>
      <c r="N531" s="169">
        <f t="shared" si="279"/>
        <v>0</v>
      </c>
      <c r="O531" s="169">
        <f t="shared" si="280"/>
        <v>0</v>
      </c>
      <c r="P531" s="312">
        <f t="shared" si="281"/>
        <v>0</v>
      </c>
      <c r="Q531" s="335"/>
    </row>
    <row r="532" spans="1:17" ht="23.25" customHeight="1" x14ac:dyDescent="0.35">
      <c r="A532" s="18">
        <f t="shared" si="282"/>
        <v>500</v>
      </c>
      <c r="B532" s="26" t="s">
        <v>157</v>
      </c>
      <c r="C532" s="129" t="s">
        <v>169</v>
      </c>
      <c r="D532" s="72" t="s">
        <v>404</v>
      </c>
      <c r="E532" s="73" t="s">
        <v>170</v>
      </c>
      <c r="F532" s="73"/>
      <c r="G532" s="73" t="s">
        <v>171</v>
      </c>
      <c r="H532" s="73" t="s">
        <v>168</v>
      </c>
      <c r="I532" s="191"/>
      <c r="J532" s="19">
        <v>0</v>
      </c>
      <c r="K532" s="167" t="s">
        <v>22</v>
      </c>
      <c r="L532" s="168">
        <v>0</v>
      </c>
      <c r="M532" s="168">
        <v>0</v>
      </c>
      <c r="N532" s="169">
        <f t="shared" si="279"/>
        <v>0</v>
      </c>
      <c r="O532" s="169">
        <f t="shared" si="280"/>
        <v>0</v>
      </c>
      <c r="P532" s="312">
        <f t="shared" si="281"/>
        <v>0</v>
      </c>
      <c r="Q532" s="335"/>
    </row>
    <row r="533" spans="1:17" ht="23.25" customHeight="1" x14ac:dyDescent="0.35">
      <c r="A533" s="18">
        <f t="shared" si="282"/>
        <v>501</v>
      </c>
      <c r="B533" s="26" t="s">
        <v>157</v>
      </c>
      <c r="C533" s="129" t="s">
        <v>169</v>
      </c>
      <c r="D533" s="75" t="s">
        <v>529</v>
      </c>
      <c r="E533" s="79"/>
      <c r="F533" s="79"/>
      <c r="G533" s="79"/>
      <c r="H533" s="79"/>
      <c r="I533" s="188"/>
      <c r="J533" s="19">
        <v>0</v>
      </c>
      <c r="K533" s="167" t="s">
        <v>22</v>
      </c>
      <c r="L533" s="168">
        <v>0</v>
      </c>
      <c r="M533" s="168">
        <v>0</v>
      </c>
      <c r="N533" s="169">
        <f t="shared" si="279"/>
        <v>0</v>
      </c>
      <c r="O533" s="169">
        <f t="shared" si="280"/>
        <v>0</v>
      </c>
      <c r="P533" s="312">
        <f t="shared" si="281"/>
        <v>0</v>
      </c>
      <c r="Q533" s="335"/>
    </row>
    <row r="534" spans="1:17" ht="23.25" customHeight="1" x14ac:dyDescent="0.35">
      <c r="A534" s="18">
        <f t="shared" si="282"/>
        <v>502</v>
      </c>
      <c r="B534" s="26" t="s">
        <v>157</v>
      </c>
      <c r="C534" s="129" t="s">
        <v>169</v>
      </c>
      <c r="D534" s="43" t="s">
        <v>358</v>
      </c>
      <c r="E534" s="5"/>
      <c r="F534" s="5"/>
      <c r="G534" s="5"/>
      <c r="H534" s="5"/>
      <c r="I534" s="20"/>
      <c r="J534" s="19">
        <f>I534</f>
        <v>0</v>
      </c>
      <c r="K534" s="171"/>
      <c r="L534" s="168">
        <v>0</v>
      </c>
      <c r="M534" s="168">
        <v>0</v>
      </c>
      <c r="N534" s="169">
        <f>L534*J534</f>
        <v>0</v>
      </c>
      <c r="O534" s="169">
        <f>M534*J534</f>
        <v>0</v>
      </c>
      <c r="P534" s="312">
        <f>(L534*J534)+(M534*J534)</f>
        <v>0</v>
      </c>
      <c r="Q534" s="326"/>
    </row>
    <row r="535" spans="1:17" ht="23.25" customHeight="1" thickBot="1" x14ac:dyDescent="0.4">
      <c r="A535" s="38">
        <f>A534+1</f>
        <v>503</v>
      </c>
      <c r="B535" s="39" t="s">
        <v>157</v>
      </c>
      <c r="C535" s="128" t="s">
        <v>169</v>
      </c>
      <c r="D535" s="44" t="s">
        <v>358</v>
      </c>
      <c r="E535" s="40"/>
      <c r="F535" s="40"/>
      <c r="G535" s="40"/>
      <c r="H535" s="40"/>
      <c r="I535" s="41"/>
      <c r="J535" s="24">
        <f>I535</f>
        <v>0</v>
      </c>
      <c r="K535" s="194"/>
      <c r="L535" s="195">
        <v>0</v>
      </c>
      <c r="M535" s="195">
        <v>0</v>
      </c>
      <c r="N535" s="196">
        <f>L535*J535</f>
        <v>0</v>
      </c>
      <c r="O535" s="196">
        <f>M535*J535</f>
        <v>0</v>
      </c>
      <c r="P535" s="313">
        <f>(L535*J535)+(M535*J535)</f>
        <v>0</v>
      </c>
      <c r="Q535" s="328"/>
    </row>
    <row r="536" spans="1:17" ht="47.5" thickBot="1" x14ac:dyDescent="0.4">
      <c r="A536" s="90"/>
      <c r="B536" s="91" t="s">
        <v>157</v>
      </c>
      <c r="C536" s="137" t="s">
        <v>172</v>
      </c>
      <c r="D536" s="238" t="s">
        <v>532</v>
      </c>
      <c r="E536" s="239"/>
      <c r="F536" s="239"/>
      <c r="G536" s="239"/>
      <c r="H536" s="240"/>
      <c r="I536" s="241"/>
      <c r="J536" s="242"/>
      <c r="K536" s="243"/>
      <c r="L536" s="244"/>
      <c r="M536" s="244"/>
      <c r="N536" s="245"/>
      <c r="O536" s="245"/>
      <c r="P536" s="314"/>
      <c r="Q536" s="346"/>
    </row>
    <row r="537" spans="1:17" ht="23.25" customHeight="1" x14ac:dyDescent="0.35">
      <c r="A537" s="28">
        <f>A535+1</f>
        <v>504</v>
      </c>
      <c r="B537" s="35" t="s">
        <v>157</v>
      </c>
      <c r="C537" s="127" t="s">
        <v>172</v>
      </c>
      <c r="D537" s="77" t="s">
        <v>40</v>
      </c>
      <c r="E537" s="78" t="s">
        <v>533</v>
      </c>
      <c r="F537" s="78"/>
      <c r="G537" s="78" t="s">
        <v>173</v>
      </c>
      <c r="H537" s="78" t="s">
        <v>161</v>
      </c>
      <c r="I537" s="189"/>
      <c r="J537" s="32">
        <v>0</v>
      </c>
      <c r="K537" s="190" t="s">
        <v>51</v>
      </c>
      <c r="L537" s="185">
        <v>0</v>
      </c>
      <c r="M537" s="185">
        <v>0</v>
      </c>
      <c r="N537" s="186">
        <f t="shared" ref="N537:N546" si="283">L537*J537</f>
        <v>0</v>
      </c>
      <c r="O537" s="186">
        <f t="shared" ref="O537:O546" si="284">M537*J537</f>
        <v>0</v>
      </c>
      <c r="P537" s="311">
        <f t="shared" ref="P537:P546" si="285">(L537*J537)+(M537*J537)</f>
        <v>0</v>
      </c>
      <c r="Q537" s="336"/>
    </row>
    <row r="538" spans="1:17" ht="23.25" customHeight="1" x14ac:dyDescent="0.35">
      <c r="A538" s="18">
        <f>A537+1</f>
        <v>505</v>
      </c>
      <c r="B538" s="26" t="s">
        <v>157</v>
      </c>
      <c r="C538" s="129" t="s">
        <v>172</v>
      </c>
      <c r="D538" s="72" t="s">
        <v>493</v>
      </c>
      <c r="E538" s="73" t="s">
        <v>533</v>
      </c>
      <c r="F538" s="73"/>
      <c r="G538" s="73" t="s">
        <v>173</v>
      </c>
      <c r="H538" s="73" t="s">
        <v>161</v>
      </c>
      <c r="I538" s="191"/>
      <c r="J538" s="19">
        <v>0</v>
      </c>
      <c r="K538" s="167" t="s">
        <v>22</v>
      </c>
      <c r="L538" s="168">
        <v>0</v>
      </c>
      <c r="M538" s="168">
        <v>0</v>
      </c>
      <c r="N538" s="169">
        <f t="shared" si="283"/>
        <v>0</v>
      </c>
      <c r="O538" s="169">
        <f t="shared" si="284"/>
        <v>0</v>
      </c>
      <c r="P538" s="312">
        <f t="shared" si="285"/>
        <v>0</v>
      </c>
      <c r="Q538" s="335"/>
    </row>
    <row r="539" spans="1:17" ht="23.25" customHeight="1" x14ac:dyDescent="0.35">
      <c r="A539" s="18">
        <f t="shared" ref="A539:A547" si="286">A538+1</f>
        <v>506</v>
      </c>
      <c r="B539" s="26" t="s">
        <v>157</v>
      </c>
      <c r="C539" s="129" t="s">
        <v>172</v>
      </c>
      <c r="D539" s="72" t="s">
        <v>404</v>
      </c>
      <c r="E539" s="73" t="s">
        <v>533</v>
      </c>
      <c r="F539" s="73"/>
      <c r="G539" s="73" t="s">
        <v>173</v>
      </c>
      <c r="H539" s="73" t="s">
        <v>161</v>
      </c>
      <c r="I539" s="191"/>
      <c r="J539" s="19">
        <v>0</v>
      </c>
      <c r="K539" s="167" t="s">
        <v>22</v>
      </c>
      <c r="L539" s="168">
        <v>0</v>
      </c>
      <c r="M539" s="168">
        <v>0</v>
      </c>
      <c r="N539" s="169">
        <f t="shared" si="283"/>
        <v>0</v>
      </c>
      <c r="O539" s="169">
        <f t="shared" si="284"/>
        <v>0</v>
      </c>
      <c r="P539" s="312">
        <f t="shared" si="285"/>
        <v>0</v>
      </c>
      <c r="Q539" s="335"/>
    </row>
    <row r="540" spans="1:17" ht="23.25" customHeight="1" x14ac:dyDescent="0.35">
      <c r="A540" s="18">
        <f t="shared" si="286"/>
        <v>507</v>
      </c>
      <c r="B540" s="26" t="s">
        <v>157</v>
      </c>
      <c r="C540" s="129" t="s">
        <v>172</v>
      </c>
      <c r="D540" s="72" t="s">
        <v>40</v>
      </c>
      <c r="E540" s="73" t="s">
        <v>533</v>
      </c>
      <c r="F540" s="73"/>
      <c r="G540" s="73" t="s">
        <v>173</v>
      </c>
      <c r="H540" s="73" t="s">
        <v>167</v>
      </c>
      <c r="I540" s="191"/>
      <c r="J540" s="19">
        <v>0</v>
      </c>
      <c r="K540" s="167" t="s">
        <v>51</v>
      </c>
      <c r="L540" s="168">
        <v>0</v>
      </c>
      <c r="M540" s="168">
        <v>0</v>
      </c>
      <c r="N540" s="169">
        <f t="shared" si="283"/>
        <v>0</v>
      </c>
      <c r="O540" s="169">
        <f t="shared" si="284"/>
        <v>0</v>
      </c>
      <c r="P540" s="312">
        <f t="shared" si="285"/>
        <v>0</v>
      </c>
      <c r="Q540" s="335"/>
    </row>
    <row r="541" spans="1:17" ht="23.25" customHeight="1" x14ac:dyDescent="0.35">
      <c r="A541" s="18">
        <f t="shared" si="286"/>
        <v>508</v>
      </c>
      <c r="B541" s="26" t="s">
        <v>157</v>
      </c>
      <c r="C541" s="129" t="s">
        <v>172</v>
      </c>
      <c r="D541" s="72" t="s">
        <v>493</v>
      </c>
      <c r="E541" s="73" t="s">
        <v>533</v>
      </c>
      <c r="F541" s="73"/>
      <c r="G541" s="73" t="s">
        <v>173</v>
      </c>
      <c r="H541" s="73" t="s">
        <v>167</v>
      </c>
      <c r="I541" s="191"/>
      <c r="J541" s="19">
        <v>0</v>
      </c>
      <c r="K541" s="167" t="s">
        <v>22</v>
      </c>
      <c r="L541" s="168">
        <v>0</v>
      </c>
      <c r="M541" s="168">
        <v>0</v>
      </c>
      <c r="N541" s="169">
        <f t="shared" si="283"/>
        <v>0</v>
      </c>
      <c r="O541" s="169">
        <f t="shared" si="284"/>
        <v>0</v>
      </c>
      <c r="P541" s="312">
        <f t="shared" si="285"/>
        <v>0</v>
      </c>
      <c r="Q541" s="335"/>
    </row>
    <row r="542" spans="1:17" ht="23.25" customHeight="1" x14ac:dyDescent="0.35">
      <c r="A542" s="18">
        <f t="shared" si="286"/>
        <v>509</v>
      </c>
      <c r="B542" s="26" t="s">
        <v>157</v>
      </c>
      <c r="C542" s="129" t="s">
        <v>172</v>
      </c>
      <c r="D542" s="72" t="s">
        <v>404</v>
      </c>
      <c r="E542" s="73" t="s">
        <v>533</v>
      </c>
      <c r="F542" s="73"/>
      <c r="G542" s="73" t="s">
        <v>173</v>
      </c>
      <c r="H542" s="73" t="s">
        <v>167</v>
      </c>
      <c r="I542" s="191"/>
      <c r="J542" s="19">
        <v>0</v>
      </c>
      <c r="K542" s="167" t="s">
        <v>22</v>
      </c>
      <c r="L542" s="168">
        <v>0</v>
      </c>
      <c r="M542" s="168">
        <v>0</v>
      </c>
      <c r="N542" s="169">
        <f t="shared" si="283"/>
        <v>0</v>
      </c>
      <c r="O542" s="169">
        <f t="shared" si="284"/>
        <v>0</v>
      </c>
      <c r="P542" s="312">
        <f t="shared" si="285"/>
        <v>0</v>
      </c>
      <c r="Q542" s="335"/>
    </row>
    <row r="543" spans="1:17" ht="23.25" customHeight="1" x14ac:dyDescent="0.35">
      <c r="A543" s="18">
        <f t="shared" si="286"/>
        <v>510</v>
      </c>
      <c r="B543" s="26" t="s">
        <v>157</v>
      </c>
      <c r="C543" s="129" t="s">
        <v>172</v>
      </c>
      <c r="D543" s="72" t="s">
        <v>40</v>
      </c>
      <c r="E543" s="73" t="s">
        <v>533</v>
      </c>
      <c r="F543" s="73"/>
      <c r="G543" s="73" t="s">
        <v>173</v>
      </c>
      <c r="H543" s="73" t="s">
        <v>168</v>
      </c>
      <c r="I543" s="191"/>
      <c r="J543" s="19">
        <v>0</v>
      </c>
      <c r="K543" s="167" t="s">
        <v>51</v>
      </c>
      <c r="L543" s="168">
        <v>0</v>
      </c>
      <c r="M543" s="168">
        <v>0</v>
      </c>
      <c r="N543" s="169">
        <f t="shared" si="283"/>
        <v>0</v>
      </c>
      <c r="O543" s="169">
        <f t="shared" si="284"/>
        <v>0</v>
      </c>
      <c r="P543" s="312">
        <f t="shared" si="285"/>
        <v>0</v>
      </c>
      <c r="Q543" s="335"/>
    </row>
    <row r="544" spans="1:17" ht="23.25" customHeight="1" x14ac:dyDescent="0.35">
      <c r="A544" s="18">
        <f t="shared" si="286"/>
        <v>511</v>
      </c>
      <c r="B544" s="26" t="s">
        <v>157</v>
      </c>
      <c r="C544" s="129" t="s">
        <v>172</v>
      </c>
      <c r="D544" s="72" t="s">
        <v>493</v>
      </c>
      <c r="E544" s="73" t="s">
        <v>533</v>
      </c>
      <c r="F544" s="73"/>
      <c r="G544" s="73" t="s">
        <v>173</v>
      </c>
      <c r="H544" s="73" t="s">
        <v>168</v>
      </c>
      <c r="I544" s="191"/>
      <c r="J544" s="19">
        <v>0</v>
      </c>
      <c r="K544" s="167" t="s">
        <v>22</v>
      </c>
      <c r="L544" s="168">
        <v>0</v>
      </c>
      <c r="M544" s="168">
        <v>0</v>
      </c>
      <c r="N544" s="169">
        <f t="shared" si="283"/>
        <v>0</v>
      </c>
      <c r="O544" s="169">
        <f t="shared" si="284"/>
        <v>0</v>
      </c>
      <c r="P544" s="312">
        <f t="shared" si="285"/>
        <v>0</v>
      </c>
      <c r="Q544" s="335"/>
    </row>
    <row r="545" spans="1:17" ht="23.25" customHeight="1" x14ac:dyDescent="0.35">
      <c r="A545" s="18">
        <f t="shared" si="286"/>
        <v>512</v>
      </c>
      <c r="B545" s="26" t="s">
        <v>157</v>
      </c>
      <c r="C545" s="129" t="s">
        <v>172</v>
      </c>
      <c r="D545" s="72" t="s">
        <v>404</v>
      </c>
      <c r="E545" s="73" t="s">
        <v>533</v>
      </c>
      <c r="F545" s="73"/>
      <c r="G545" s="73" t="s">
        <v>173</v>
      </c>
      <c r="H545" s="73" t="s">
        <v>168</v>
      </c>
      <c r="I545" s="191"/>
      <c r="J545" s="19">
        <v>0</v>
      </c>
      <c r="K545" s="167" t="s">
        <v>22</v>
      </c>
      <c r="L545" s="168">
        <v>0</v>
      </c>
      <c r="M545" s="168">
        <v>0</v>
      </c>
      <c r="N545" s="169">
        <f t="shared" si="283"/>
        <v>0</v>
      </c>
      <c r="O545" s="169">
        <f t="shared" si="284"/>
        <v>0</v>
      </c>
      <c r="P545" s="312">
        <f t="shared" si="285"/>
        <v>0</v>
      </c>
      <c r="Q545" s="335"/>
    </row>
    <row r="546" spans="1:17" ht="23.25" customHeight="1" x14ac:dyDescent="0.35">
      <c r="A546" s="18">
        <f t="shared" si="286"/>
        <v>513</v>
      </c>
      <c r="B546" s="26" t="s">
        <v>157</v>
      </c>
      <c r="C546" s="129" t="s">
        <v>172</v>
      </c>
      <c r="D546" s="75" t="s">
        <v>529</v>
      </c>
      <c r="E546" s="79"/>
      <c r="F546" s="79"/>
      <c r="G546" s="79"/>
      <c r="H546" s="79"/>
      <c r="I546" s="188"/>
      <c r="J546" s="19">
        <v>0</v>
      </c>
      <c r="K546" s="167" t="s">
        <v>22</v>
      </c>
      <c r="L546" s="168">
        <v>0</v>
      </c>
      <c r="M546" s="168">
        <v>0</v>
      </c>
      <c r="N546" s="169">
        <f t="shared" si="283"/>
        <v>0</v>
      </c>
      <c r="O546" s="169">
        <f t="shared" si="284"/>
        <v>0</v>
      </c>
      <c r="P546" s="312">
        <f t="shared" si="285"/>
        <v>0</v>
      </c>
      <c r="Q546" s="335"/>
    </row>
    <row r="547" spans="1:17" ht="23.25" customHeight="1" x14ac:dyDescent="0.35">
      <c r="A547" s="18">
        <f t="shared" si="286"/>
        <v>514</v>
      </c>
      <c r="B547" s="26" t="s">
        <v>157</v>
      </c>
      <c r="C547" s="129" t="s">
        <v>172</v>
      </c>
      <c r="D547" s="43" t="s">
        <v>358</v>
      </c>
      <c r="E547" s="5"/>
      <c r="F547" s="5"/>
      <c r="G547" s="5"/>
      <c r="H547" s="5"/>
      <c r="I547" s="20"/>
      <c r="J547" s="19">
        <f>I547</f>
        <v>0</v>
      </c>
      <c r="K547" s="171"/>
      <c r="L547" s="168">
        <v>0</v>
      </c>
      <c r="M547" s="168">
        <v>0</v>
      </c>
      <c r="N547" s="169">
        <f>L547*J547</f>
        <v>0</v>
      </c>
      <c r="O547" s="169">
        <f>M547*J547</f>
        <v>0</v>
      </c>
      <c r="P547" s="312">
        <f>(L547*J547)+(M547*J547)</f>
        <v>0</v>
      </c>
      <c r="Q547" s="326"/>
    </row>
    <row r="548" spans="1:17" ht="23.25" customHeight="1" thickBot="1" x14ac:dyDescent="0.4">
      <c r="A548" s="38">
        <f>A547+1</f>
        <v>515</v>
      </c>
      <c r="B548" s="39" t="s">
        <v>157</v>
      </c>
      <c r="C548" s="128" t="s">
        <v>172</v>
      </c>
      <c r="D548" s="44" t="s">
        <v>358</v>
      </c>
      <c r="E548" s="40"/>
      <c r="F548" s="40"/>
      <c r="G548" s="40"/>
      <c r="H548" s="40"/>
      <c r="I548" s="41"/>
      <c r="J548" s="24">
        <f>I548</f>
        <v>0</v>
      </c>
      <c r="K548" s="194"/>
      <c r="L548" s="195">
        <v>0</v>
      </c>
      <c r="M548" s="195">
        <v>0</v>
      </c>
      <c r="N548" s="196">
        <f>L548*J548</f>
        <v>0</v>
      </c>
      <c r="O548" s="196">
        <f>M548*J548</f>
        <v>0</v>
      </c>
      <c r="P548" s="313">
        <f>(L548*J548)+(M548*J548)</f>
        <v>0</v>
      </c>
      <c r="Q548" s="328"/>
    </row>
    <row r="549" spans="1:17" ht="47.5" thickBot="1" x14ac:dyDescent="0.4">
      <c r="A549" s="90"/>
      <c r="B549" s="91" t="s">
        <v>157</v>
      </c>
      <c r="C549" s="137" t="s">
        <v>174</v>
      </c>
      <c r="D549" s="238" t="s">
        <v>534</v>
      </c>
      <c r="E549" s="239"/>
      <c r="F549" s="239"/>
      <c r="G549" s="239"/>
      <c r="H549" s="240"/>
      <c r="I549" s="241"/>
      <c r="J549" s="242"/>
      <c r="K549" s="243"/>
      <c r="L549" s="244"/>
      <c r="M549" s="244"/>
      <c r="N549" s="245"/>
      <c r="O549" s="245"/>
      <c r="P549" s="314"/>
      <c r="Q549" s="346"/>
    </row>
    <row r="550" spans="1:17" ht="23.25" customHeight="1" x14ac:dyDescent="0.35">
      <c r="A550" s="28">
        <f>A548+1</f>
        <v>516</v>
      </c>
      <c r="B550" s="35" t="s">
        <v>157</v>
      </c>
      <c r="C550" s="127" t="s">
        <v>174</v>
      </c>
      <c r="D550" s="77" t="s">
        <v>40</v>
      </c>
      <c r="E550" s="78" t="s">
        <v>175</v>
      </c>
      <c r="F550" s="78"/>
      <c r="G550" s="78" t="s">
        <v>176</v>
      </c>
      <c r="H550" s="78" t="s">
        <v>161</v>
      </c>
      <c r="I550" s="189"/>
      <c r="J550" s="32">
        <v>0</v>
      </c>
      <c r="K550" s="190" t="s">
        <v>51</v>
      </c>
      <c r="L550" s="185">
        <v>0</v>
      </c>
      <c r="M550" s="185">
        <v>0</v>
      </c>
      <c r="N550" s="186">
        <f t="shared" ref="N550:N559" si="287">L550*J550</f>
        <v>0</v>
      </c>
      <c r="O550" s="186">
        <f t="shared" ref="O550:O559" si="288">M550*J550</f>
        <v>0</v>
      </c>
      <c r="P550" s="311">
        <f t="shared" ref="P550:P559" si="289">(L550*J550)+(M550*J550)</f>
        <v>0</v>
      </c>
      <c r="Q550" s="336"/>
    </row>
    <row r="551" spans="1:17" ht="23.25" customHeight="1" x14ac:dyDescent="0.35">
      <c r="A551" s="18">
        <f>A550+1</f>
        <v>517</v>
      </c>
      <c r="B551" s="26" t="s">
        <v>157</v>
      </c>
      <c r="C551" s="129" t="s">
        <v>174</v>
      </c>
      <c r="D551" s="72" t="s">
        <v>493</v>
      </c>
      <c r="E551" s="73" t="s">
        <v>175</v>
      </c>
      <c r="F551" s="73"/>
      <c r="G551" s="73" t="s">
        <v>176</v>
      </c>
      <c r="H551" s="73" t="s">
        <v>161</v>
      </c>
      <c r="I551" s="191"/>
      <c r="J551" s="19">
        <v>0</v>
      </c>
      <c r="K551" s="167" t="s">
        <v>22</v>
      </c>
      <c r="L551" s="168">
        <v>0</v>
      </c>
      <c r="M551" s="168">
        <v>0</v>
      </c>
      <c r="N551" s="169">
        <f t="shared" si="287"/>
        <v>0</v>
      </c>
      <c r="O551" s="169">
        <f t="shared" si="288"/>
        <v>0</v>
      </c>
      <c r="P551" s="312">
        <f t="shared" si="289"/>
        <v>0</v>
      </c>
      <c r="Q551" s="335"/>
    </row>
    <row r="552" spans="1:17" ht="23.25" customHeight="1" x14ac:dyDescent="0.35">
      <c r="A552" s="18">
        <f t="shared" ref="A552:A560" si="290">A551+1</f>
        <v>518</v>
      </c>
      <c r="B552" s="26" t="s">
        <v>157</v>
      </c>
      <c r="C552" s="129" t="s">
        <v>174</v>
      </c>
      <c r="D552" s="72" t="s">
        <v>404</v>
      </c>
      <c r="E552" s="73" t="s">
        <v>175</v>
      </c>
      <c r="F552" s="73"/>
      <c r="G552" s="73" t="s">
        <v>176</v>
      </c>
      <c r="H552" s="73" t="s">
        <v>161</v>
      </c>
      <c r="I552" s="191"/>
      <c r="J552" s="19">
        <v>0</v>
      </c>
      <c r="K552" s="167" t="s">
        <v>22</v>
      </c>
      <c r="L552" s="168">
        <v>0</v>
      </c>
      <c r="M552" s="168">
        <v>0</v>
      </c>
      <c r="N552" s="169">
        <f t="shared" si="287"/>
        <v>0</v>
      </c>
      <c r="O552" s="169">
        <f t="shared" si="288"/>
        <v>0</v>
      </c>
      <c r="P552" s="312">
        <f t="shared" si="289"/>
        <v>0</v>
      </c>
      <c r="Q552" s="335"/>
    </row>
    <row r="553" spans="1:17" ht="23.25" customHeight="1" x14ac:dyDescent="0.35">
      <c r="A553" s="18">
        <f t="shared" si="290"/>
        <v>519</v>
      </c>
      <c r="B553" s="26" t="s">
        <v>157</v>
      </c>
      <c r="C553" s="129" t="s">
        <v>174</v>
      </c>
      <c r="D553" s="72" t="s">
        <v>40</v>
      </c>
      <c r="E553" s="73" t="s">
        <v>175</v>
      </c>
      <c r="F553" s="73"/>
      <c r="G553" s="73" t="s">
        <v>176</v>
      </c>
      <c r="H553" s="73" t="s">
        <v>167</v>
      </c>
      <c r="I553" s="191"/>
      <c r="J553" s="19">
        <v>0</v>
      </c>
      <c r="K553" s="167" t="s">
        <v>51</v>
      </c>
      <c r="L553" s="168">
        <v>0</v>
      </c>
      <c r="M553" s="168">
        <v>0</v>
      </c>
      <c r="N553" s="169">
        <f t="shared" si="287"/>
        <v>0</v>
      </c>
      <c r="O553" s="169">
        <f t="shared" si="288"/>
        <v>0</v>
      </c>
      <c r="P553" s="312">
        <f t="shared" si="289"/>
        <v>0</v>
      </c>
      <c r="Q553" s="335"/>
    </row>
    <row r="554" spans="1:17" ht="23.25" customHeight="1" x14ac:dyDescent="0.35">
      <c r="A554" s="18">
        <f t="shared" si="290"/>
        <v>520</v>
      </c>
      <c r="B554" s="26" t="s">
        <v>157</v>
      </c>
      <c r="C554" s="129" t="s">
        <v>174</v>
      </c>
      <c r="D554" s="72" t="s">
        <v>493</v>
      </c>
      <c r="E554" s="73" t="s">
        <v>175</v>
      </c>
      <c r="F554" s="73"/>
      <c r="G554" s="73" t="s">
        <v>176</v>
      </c>
      <c r="H554" s="73" t="s">
        <v>167</v>
      </c>
      <c r="I554" s="191"/>
      <c r="J554" s="19">
        <v>0</v>
      </c>
      <c r="K554" s="167" t="s">
        <v>22</v>
      </c>
      <c r="L554" s="168">
        <v>0</v>
      </c>
      <c r="M554" s="168">
        <v>0</v>
      </c>
      <c r="N554" s="169">
        <f t="shared" si="287"/>
        <v>0</v>
      </c>
      <c r="O554" s="169">
        <f t="shared" si="288"/>
        <v>0</v>
      </c>
      <c r="P554" s="312">
        <f t="shared" si="289"/>
        <v>0</v>
      </c>
      <c r="Q554" s="335"/>
    </row>
    <row r="555" spans="1:17" ht="23.25" customHeight="1" x14ac:dyDescent="0.35">
      <c r="A555" s="18">
        <f t="shared" si="290"/>
        <v>521</v>
      </c>
      <c r="B555" s="26" t="s">
        <v>157</v>
      </c>
      <c r="C555" s="129" t="s">
        <v>174</v>
      </c>
      <c r="D555" s="72" t="s">
        <v>404</v>
      </c>
      <c r="E555" s="73" t="s">
        <v>175</v>
      </c>
      <c r="F555" s="73"/>
      <c r="G555" s="73" t="s">
        <v>176</v>
      </c>
      <c r="H555" s="73" t="s">
        <v>167</v>
      </c>
      <c r="I555" s="191"/>
      <c r="J555" s="19">
        <v>0</v>
      </c>
      <c r="K555" s="167" t="s">
        <v>22</v>
      </c>
      <c r="L555" s="168">
        <v>0</v>
      </c>
      <c r="M555" s="168">
        <v>0</v>
      </c>
      <c r="N555" s="169">
        <f t="shared" si="287"/>
        <v>0</v>
      </c>
      <c r="O555" s="169">
        <f t="shared" si="288"/>
        <v>0</v>
      </c>
      <c r="P555" s="312">
        <f t="shared" si="289"/>
        <v>0</v>
      </c>
      <c r="Q555" s="335"/>
    </row>
    <row r="556" spans="1:17" ht="23.25" customHeight="1" x14ac:dyDescent="0.35">
      <c r="A556" s="18">
        <f t="shared" si="290"/>
        <v>522</v>
      </c>
      <c r="B556" s="26" t="s">
        <v>157</v>
      </c>
      <c r="C556" s="129" t="s">
        <v>174</v>
      </c>
      <c r="D556" s="72" t="s">
        <v>40</v>
      </c>
      <c r="E556" s="73" t="s">
        <v>175</v>
      </c>
      <c r="F556" s="73"/>
      <c r="G556" s="73" t="s">
        <v>176</v>
      </c>
      <c r="H556" s="73" t="s">
        <v>168</v>
      </c>
      <c r="I556" s="191"/>
      <c r="J556" s="19">
        <v>0</v>
      </c>
      <c r="K556" s="167" t="s">
        <v>51</v>
      </c>
      <c r="L556" s="168">
        <v>0</v>
      </c>
      <c r="M556" s="168">
        <v>0</v>
      </c>
      <c r="N556" s="169">
        <f t="shared" si="287"/>
        <v>0</v>
      </c>
      <c r="O556" s="169">
        <f t="shared" si="288"/>
        <v>0</v>
      </c>
      <c r="P556" s="312">
        <f t="shared" si="289"/>
        <v>0</v>
      </c>
      <c r="Q556" s="335"/>
    </row>
    <row r="557" spans="1:17" ht="23.25" customHeight="1" x14ac:dyDescent="0.35">
      <c r="A557" s="18">
        <f t="shared" si="290"/>
        <v>523</v>
      </c>
      <c r="B557" s="26" t="s">
        <v>157</v>
      </c>
      <c r="C557" s="129" t="s">
        <v>174</v>
      </c>
      <c r="D557" s="72" t="s">
        <v>493</v>
      </c>
      <c r="E557" s="73" t="s">
        <v>175</v>
      </c>
      <c r="F557" s="73"/>
      <c r="G557" s="73" t="s">
        <v>176</v>
      </c>
      <c r="H557" s="73" t="s">
        <v>168</v>
      </c>
      <c r="I557" s="191"/>
      <c r="J557" s="19">
        <v>0</v>
      </c>
      <c r="K557" s="167" t="s">
        <v>22</v>
      </c>
      <c r="L557" s="168">
        <v>0</v>
      </c>
      <c r="M557" s="168">
        <v>0</v>
      </c>
      <c r="N557" s="169">
        <f t="shared" si="287"/>
        <v>0</v>
      </c>
      <c r="O557" s="169">
        <f t="shared" si="288"/>
        <v>0</v>
      </c>
      <c r="P557" s="312">
        <f t="shared" si="289"/>
        <v>0</v>
      </c>
      <c r="Q557" s="335"/>
    </row>
    <row r="558" spans="1:17" ht="23.25" customHeight="1" x14ac:dyDescent="0.35">
      <c r="A558" s="18">
        <f t="shared" si="290"/>
        <v>524</v>
      </c>
      <c r="B558" s="26" t="s">
        <v>157</v>
      </c>
      <c r="C558" s="129" t="s">
        <v>174</v>
      </c>
      <c r="D558" s="72" t="s">
        <v>404</v>
      </c>
      <c r="E558" s="73" t="s">
        <v>175</v>
      </c>
      <c r="F558" s="73"/>
      <c r="G558" s="73" t="s">
        <v>176</v>
      </c>
      <c r="H558" s="73" t="s">
        <v>168</v>
      </c>
      <c r="I558" s="191"/>
      <c r="J558" s="19">
        <v>0</v>
      </c>
      <c r="K558" s="167" t="s">
        <v>22</v>
      </c>
      <c r="L558" s="168">
        <v>0</v>
      </c>
      <c r="M558" s="168">
        <v>0</v>
      </c>
      <c r="N558" s="169">
        <f t="shared" si="287"/>
        <v>0</v>
      </c>
      <c r="O558" s="169">
        <f t="shared" si="288"/>
        <v>0</v>
      </c>
      <c r="P558" s="312">
        <f t="shared" si="289"/>
        <v>0</v>
      </c>
      <c r="Q558" s="335"/>
    </row>
    <row r="559" spans="1:17" ht="23.25" customHeight="1" x14ac:dyDescent="0.35">
      <c r="A559" s="18">
        <f t="shared" si="290"/>
        <v>525</v>
      </c>
      <c r="B559" s="26" t="s">
        <v>157</v>
      </c>
      <c r="C559" s="129" t="s">
        <v>174</v>
      </c>
      <c r="D559" s="75" t="s">
        <v>529</v>
      </c>
      <c r="E559" s="79"/>
      <c r="F559" s="79"/>
      <c r="G559" s="79"/>
      <c r="H559" s="79"/>
      <c r="I559" s="188"/>
      <c r="J559" s="19">
        <v>0</v>
      </c>
      <c r="K559" s="167" t="s">
        <v>22</v>
      </c>
      <c r="L559" s="168">
        <v>0</v>
      </c>
      <c r="M559" s="168">
        <v>0</v>
      </c>
      <c r="N559" s="169">
        <f t="shared" si="287"/>
        <v>0</v>
      </c>
      <c r="O559" s="169">
        <f t="shared" si="288"/>
        <v>0</v>
      </c>
      <c r="P559" s="312">
        <f t="shared" si="289"/>
        <v>0</v>
      </c>
      <c r="Q559" s="335"/>
    </row>
    <row r="560" spans="1:17" ht="23.25" customHeight="1" x14ac:dyDescent="0.35">
      <c r="A560" s="18">
        <f t="shared" si="290"/>
        <v>526</v>
      </c>
      <c r="B560" s="26" t="s">
        <v>157</v>
      </c>
      <c r="C560" s="129" t="s">
        <v>174</v>
      </c>
      <c r="D560" s="43" t="s">
        <v>358</v>
      </c>
      <c r="E560" s="5"/>
      <c r="F560" s="5"/>
      <c r="G560" s="5"/>
      <c r="H560" s="5"/>
      <c r="I560" s="20"/>
      <c r="J560" s="19">
        <f>I560</f>
        <v>0</v>
      </c>
      <c r="K560" s="171"/>
      <c r="L560" s="168">
        <v>0</v>
      </c>
      <c r="M560" s="168">
        <v>0</v>
      </c>
      <c r="N560" s="169">
        <f>L560*J560</f>
        <v>0</v>
      </c>
      <c r="O560" s="169">
        <f>M560*J560</f>
        <v>0</v>
      </c>
      <c r="P560" s="312">
        <f>(L560*J560)+(M560*J560)</f>
        <v>0</v>
      </c>
      <c r="Q560" s="326"/>
    </row>
    <row r="561" spans="1:17" ht="23.25" customHeight="1" thickBot="1" x14ac:dyDescent="0.4">
      <c r="A561" s="38">
        <f>A560+1</f>
        <v>527</v>
      </c>
      <c r="B561" s="39" t="s">
        <v>157</v>
      </c>
      <c r="C561" s="128" t="s">
        <v>174</v>
      </c>
      <c r="D561" s="44" t="s">
        <v>358</v>
      </c>
      <c r="E561" s="40"/>
      <c r="F561" s="40"/>
      <c r="G561" s="40"/>
      <c r="H561" s="40"/>
      <c r="I561" s="41"/>
      <c r="J561" s="24">
        <f>I561</f>
        <v>0</v>
      </c>
      <c r="K561" s="194"/>
      <c r="L561" s="195">
        <v>0</v>
      </c>
      <c r="M561" s="195">
        <v>0</v>
      </c>
      <c r="N561" s="196">
        <f>L561*J561</f>
        <v>0</v>
      </c>
      <c r="O561" s="196">
        <f>M561*J561</f>
        <v>0</v>
      </c>
      <c r="P561" s="313">
        <f>(L561*J561)+(M561*J561)</f>
        <v>0</v>
      </c>
      <c r="Q561" s="328"/>
    </row>
    <row r="562" spans="1:17" ht="23.25" customHeight="1" thickBot="1" x14ac:dyDescent="0.4">
      <c r="A562" s="90"/>
      <c r="B562" s="91" t="s">
        <v>177</v>
      </c>
      <c r="C562" s="137" t="s">
        <v>177</v>
      </c>
      <c r="D562" s="262" t="s">
        <v>178</v>
      </c>
      <c r="E562" s="263"/>
      <c r="F562" s="263"/>
      <c r="G562" s="263"/>
      <c r="H562" s="264"/>
      <c r="I562" s="265"/>
      <c r="J562" s="266"/>
      <c r="K562" s="267"/>
      <c r="L562" s="268"/>
      <c r="M562" s="268"/>
      <c r="N562" s="269"/>
      <c r="O562" s="269"/>
      <c r="P562" s="320"/>
      <c r="Q562" s="348"/>
    </row>
    <row r="563" spans="1:17" ht="23.25" customHeight="1" x14ac:dyDescent="0.35">
      <c r="A563" s="28">
        <f>A561+1</f>
        <v>528</v>
      </c>
      <c r="B563" s="35" t="s">
        <v>177</v>
      </c>
      <c r="C563" s="127" t="s">
        <v>177</v>
      </c>
      <c r="D563" s="77" t="s">
        <v>406</v>
      </c>
      <c r="E563" s="78" t="s">
        <v>179</v>
      </c>
      <c r="F563" s="78"/>
      <c r="G563" s="78" t="s">
        <v>405</v>
      </c>
      <c r="H563" s="78" t="s">
        <v>541</v>
      </c>
      <c r="I563" s="189"/>
      <c r="J563" s="32">
        <v>0</v>
      </c>
      <c r="K563" s="190" t="s">
        <v>34</v>
      </c>
      <c r="L563" s="185">
        <v>0</v>
      </c>
      <c r="M563" s="185">
        <v>0</v>
      </c>
      <c r="N563" s="186">
        <f t="shared" ref="N563:N572" si="291">L563*J563</f>
        <v>0</v>
      </c>
      <c r="O563" s="186">
        <f t="shared" ref="O563:O572" si="292">M563*J563</f>
        <v>0</v>
      </c>
      <c r="P563" s="311">
        <f t="shared" ref="P563:P572" si="293">(L563*J563)+(M563*J563)</f>
        <v>0</v>
      </c>
      <c r="Q563" s="336"/>
    </row>
    <row r="564" spans="1:17" ht="23.25" customHeight="1" x14ac:dyDescent="0.35">
      <c r="A564" s="18">
        <f>A563+1</f>
        <v>529</v>
      </c>
      <c r="B564" s="26" t="s">
        <v>177</v>
      </c>
      <c r="C564" s="129" t="s">
        <v>177</v>
      </c>
      <c r="D564" s="72" t="s">
        <v>406</v>
      </c>
      <c r="E564" s="73" t="s">
        <v>179</v>
      </c>
      <c r="F564" s="73"/>
      <c r="G564" s="73" t="s">
        <v>405</v>
      </c>
      <c r="H564" s="73" t="s">
        <v>542</v>
      </c>
      <c r="I564" s="191"/>
      <c r="J564" s="19">
        <v>0</v>
      </c>
      <c r="K564" s="167" t="s">
        <v>34</v>
      </c>
      <c r="L564" s="168">
        <v>0</v>
      </c>
      <c r="M564" s="168">
        <v>0</v>
      </c>
      <c r="N564" s="169">
        <f t="shared" ref="N564" si="294">L564*J564</f>
        <v>0</v>
      </c>
      <c r="O564" s="169">
        <f t="shared" ref="O564" si="295">M564*J564</f>
        <v>0</v>
      </c>
      <c r="P564" s="312">
        <f t="shared" ref="P564" si="296">(L564*J564)+(M564*J564)</f>
        <v>0</v>
      </c>
      <c r="Q564" s="335"/>
    </row>
    <row r="565" spans="1:17" ht="23.25" customHeight="1" x14ac:dyDescent="0.35">
      <c r="A565" s="18">
        <f t="shared" ref="A565:A573" si="297">A564+1</f>
        <v>530</v>
      </c>
      <c r="B565" s="26" t="s">
        <v>177</v>
      </c>
      <c r="C565" s="129" t="s">
        <v>177</v>
      </c>
      <c r="D565" s="72" t="s">
        <v>180</v>
      </c>
      <c r="E565" s="73" t="s">
        <v>179</v>
      </c>
      <c r="F565" s="73"/>
      <c r="G565" s="73" t="s">
        <v>535</v>
      </c>
      <c r="H565" s="73" t="s">
        <v>541</v>
      </c>
      <c r="I565" s="191"/>
      <c r="J565" s="19">
        <v>0</v>
      </c>
      <c r="K565" s="259" t="s">
        <v>34</v>
      </c>
      <c r="L565" s="168">
        <v>0</v>
      </c>
      <c r="M565" s="168">
        <v>0</v>
      </c>
      <c r="N565" s="169">
        <f t="shared" si="291"/>
        <v>0</v>
      </c>
      <c r="O565" s="169">
        <f t="shared" si="292"/>
        <v>0</v>
      </c>
      <c r="P565" s="312">
        <f t="shared" si="293"/>
        <v>0</v>
      </c>
      <c r="Q565" s="335"/>
    </row>
    <row r="566" spans="1:17" ht="23.25" customHeight="1" x14ac:dyDescent="0.35">
      <c r="A566" s="18">
        <f t="shared" si="297"/>
        <v>531</v>
      </c>
      <c r="B566" s="26" t="s">
        <v>177</v>
      </c>
      <c r="C566" s="129" t="s">
        <v>177</v>
      </c>
      <c r="D566" s="72" t="s">
        <v>180</v>
      </c>
      <c r="E566" s="73" t="s">
        <v>179</v>
      </c>
      <c r="F566" s="73"/>
      <c r="G566" s="73" t="s">
        <v>181</v>
      </c>
      <c r="H566" s="73" t="s">
        <v>542</v>
      </c>
      <c r="I566" s="191"/>
      <c r="J566" s="19">
        <v>0</v>
      </c>
      <c r="K566" s="259" t="s">
        <v>34</v>
      </c>
      <c r="L566" s="168">
        <v>0</v>
      </c>
      <c r="M566" s="168">
        <v>0</v>
      </c>
      <c r="N566" s="169">
        <f t="shared" si="291"/>
        <v>0</v>
      </c>
      <c r="O566" s="169">
        <f t="shared" si="292"/>
        <v>0</v>
      </c>
      <c r="P566" s="312">
        <f t="shared" si="293"/>
        <v>0</v>
      </c>
      <c r="Q566" s="335"/>
    </row>
    <row r="567" spans="1:17" ht="23.25" customHeight="1" x14ac:dyDescent="0.35">
      <c r="A567" s="18">
        <f t="shared" si="297"/>
        <v>532</v>
      </c>
      <c r="B567" s="26" t="s">
        <v>177</v>
      </c>
      <c r="C567" s="129" t="s">
        <v>177</v>
      </c>
      <c r="D567" s="72" t="s">
        <v>182</v>
      </c>
      <c r="E567" s="73" t="s">
        <v>183</v>
      </c>
      <c r="F567" s="73"/>
      <c r="G567" s="73" t="s">
        <v>184</v>
      </c>
      <c r="H567" s="73" t="s">
        <v>541</v>
      </c>
      <c r="I567" s="191"/>
      <c r="J567" s="19">
        <v>0</v>
      </c>
      <c r="K567" s="167" t="s">
        <v>34</v>
      </c>
      <c r="L567" s="168">
        <v>0</v>
      </c>
      <c r="M567" s="168">
        <v>0</v>
      </c>
      <c r="N567" s="169">
        <f t="shared" si="291"/>
        <v>0</v>
      </c>
      <c r="O567" s="169">
        <f t="shared" si="292"/>
        <v>0</v>
      </c>
      <c r="P567" s="312">
        <f t="shared" si="293"/>
        <v>0</v>
      </c>
      <c r="Q567" s="335"/>
    </row>
    <row r="568" spans="1:17" ht="23.25" customHeight="1" x14ac:dyDescent="0.35">
      <c r="A568" s="18">
        <f t="shared" si="297"/>
        <v>533</v>
      </c>
      <c r="B568" s="26" t="s">
        <v>177</v>
      </c>
      <c r="C568" s="129" t="s">
        <v>177</v>
      </c>
      <c r="D568" s="72" t="s">
        <v>182</v>
      </c>
      <c r="E568" s="73" t="s">
        <v>183</v>
      </c>
      <c r="F568" s="73"/>
      <c r="G568" s="73" t="s">
        <v>184</v>
      </c>
      <c r="H568" s="73" t="s">
        <v>542</v>
      </c>
      <c r="I568" s="191"/>
      <c r="J568" s="19">
        <v>0</v>
      </c>
      <c r="K568" s="167" t="s">
        <v>34</v>
      </c>
      <c r="L568" s="168">
        <v>0</v>
      </c>
      <c r="M568" s="168">
        <v>0</v>
      </c>
      <c r="N568" s="169">
        <f t="shared" si="291"/>
        <v>0</v>
      </c>
      <c r="O568" s="169">
        <f t="shared" si="292"/>
        <v>0</v>
      </c>
      <c r="P568" s="312">
        <f t="shared" si="293"/>
        <v>0</v>
      </c>
      <c r="Q568" s="335"/>
    </row>
    <row r="569" spans="1:17" ht="23.25" customHeight="1" x14ac:dyDescent="0.35">
      <c r="A569" s="18">
        <f t="shared" si="297"/>
        <v>534</v>
      </c>
      <c r="B569" s="26" t="s">
        <v>177</v>
      </c>
      <c r="C569" s="129" t="s">
        <v>177</v>
      </c>
      <c r="D569" s="72" t="s">
        <v>185</v>
      </c>
      <c r="E569" s="73" t="s">
        <v>186</v>
      </c>
      <c r="F569" s="73"/>
      <c r="G569" s="73" t="s">
        <v>187</v>
      </c>
      <c r="H569" s="73" t="s">
        <v>541</v>
      </c>
      <c r="I569" s="191"/>
      <c r="J569" s="19">
        <v>0</v>
      </c>
      <c r="K569" s="259" t="s">
        <v>34</v>
      </c>
      <c r="L569" s="168">
        <v>0</v>
      </c>
      <c r="M569" s="168">
        <v>0</v>
      </c>
      <c r="N569" s="169">
        <f t="shared" si="291"/>
        <v>0</v>
      </c>
      <c r="O569" s="169">
        <f t="shared" si="292"/>
        <v>0</v>
      </c>
      <c r="P569" s="312">
        <f t="shared" si="293"/>
        <v>0</v>
      </c>
      <c r="Q569" s="335"/>
    </row>
    <row r="570" spans="1:17" ht="23.25" customHeight="1" x14ac:dyDescent="0.35">
      <c r="A570" s="18">
        <f t="shared" si="297"/>
        <v>535</v>
      </c>
      <c r="B570" s="26" t="s">
        <v>177</v>
      </c>
      <c r="C570" s="129" t="s">
        <v>177</v>
      </c>
      <c r="D570" s="72" t="s">
        <v>185</v>
      </c>
      <c r="E570" s="73" t="s">
        <v>186</v>
      </c>
      <c r="F570" s="73"/>
      <c r="G570" s="73" t="s">
        <v>187</v>
      </c>
      <c r="H570" s="73" t="s">
        <v>542</v>
      </c>
      <c r="I570" s="191"/>
      <c r="J570" s="19">
        <v>0</v>
      </c>
      <c r="K570" s="259" t="s">
        <v>34</v>
      </c>
      <c r="L570" s="168">
        <v>0</v>
      </c>
      <c r="M570" s="168">
        <v>0</v>
      </c>
      <c r="N570" s="169">
        <f t="shared" ref="N570" si="298">L570*J570</f>
        <v>0</v>
      </c>
      <c r="O570" s="169">
        <f t="shared" ref="O570" si="299">M570*J570</f>
        <v>0</v>
      </c>
      <c r="P570" s="312">
        <f t="shared" ref="P570" si="300">(L570*J570)+(M570*J570)</f>
        <v>0</v>
      </c>
      <c r="Q570" s="335"/>
    </row>
    <row r="571" spans="1:17" ht="23.25" customHeight="1" x14ac:dyDescent="0.35">
      <c r="A571" s="18">
        <f t="shared" si="297"/>
        <v>536</v>
      </c>
      <c r="B571" s="26" t="s">
        <v>177</v>
      </c>
      <c r="C571" s="129" t="s">
        <v>177</v>
      </c>
      <c r="D571" s="72" t="s">
        <v>536</v>
      </c>
      <c r="E571" s="73" t="s">
        <v>41</v>
      </c>
      <c r="F571" s="73"/>
      <c r="G571" s="73"/>
      <c r="H571" s="73"/>
      <c r="I571" s="191"/>
      <c r="J571" s="19">
        <v>0</v>
      </c>
      <c r="K571" s="259" t="s">
        <v>22</v>
      </c>
      <c r="L571" s="168">
        <v>0</v>
      </c>
      <c r="M571" s="168">
        <v>0</v>
      </c>
      <c r="N571" s="169">
        <f t="shared" si="291"/>
        <v>0</v>
      </c>
      <c r="O571" s="169">
        <f t="shared" si="292"/>
        <v>0</v>
      </c>
      <c r="P571" s="312">
        <f t="shared" si="293"/>
        <v>0</v>
      </c>
      <c r="Q571" s="335"/>
    </row>
    <row r="572" spans="1:17" ht="23.25" customHeight="1" x14ac:dyDescent="0.35">
      <c r="A572" s="18">
        <f t="shared" si="297"/>
        <v>537</v>
      </c>
      <c r="B572" s="26" t="s">
        <v>177</v>
      </c>
      <c r="C572" s="129" t="s">
        <v>177</v>
      </c>
      <c r="D572" s="72" t="s">
        <v>529</v>
      </c>
      <c r="E572" s="73"/>
      <c r="F572" s="73"/>
      <c r="G572" s="73"/>
      <c r="H572" s="73"/>
      <c r="I572" s="188"/>
      <c r="J572" s="19">
        <v>0</v>
      </c>
      <c r="K572" s="259" t="s">
        <v>22</v>
      </c>
      <c r="L572" s="168">
        <v>0</v>
      </c>
      <c r="M572" s="168">
        <v>0</v>
      </c>
      <c r="N572" s="169">
        <f t="shared" si="291"/>
        <v>0</v>
      </c>
      <c r="O572" s="169">
        <f t="shared" si="292"/>
        <v>0</v>
      </c>
      <c r="P572" s="312">
        <f t="shared" si="293"/>
        <v>0</v>
      </c>
      <c r="Q572" s="335"/>
    </row>
    <row r="573" spans="1:17" ht="23.25" customHeight="1" x14ac:dyDescent="0.35">
      <c r="A573" s="18">
        <f t="shared" si="297"/>
        <v>538</v>
      </c>
      <c r="B573" s="26" t="s">
        <v>177</v>
      </c>
      <c r="C573" s="129" t="s">
        <v>177</v>
      </c>
      <c r="D573" s="43" t="s">
        <v>358</v>
      </c>
      <c r="E573" s="5"/>
      <c r="F573" s="5"/>
      <c r="G573" s="5"/>
      <c r="H573" s="5"/>
      <c r="I573" s="20"/>
      <c r="J573" s="19">
        <f>I573</f>
        <v>0</v>
      </c>
      <c r="K573" s="171"/>
      <c r="L573" s="168">
        <v>0</v>
      </c>
      <c r="M573" s="168">
        <v>0</v>
      </c>
      <c r="N573" s="169">
        <f>L573*J573</f>
        <v>0</v>
      </c>
      <c r="O573" s="169">
        <f>M573*J573</f>
        <v>0</v>
      </c>
      <c r="P573" s="312">
        <f>(L573*J573)+(M573*J573)</f>
        <v>0</v>
      </c>
      <c r="Q573" s="326"/>
    </row>
    <row r="574" spans="1:17" ht="23.25" customHeight="1" thickBot="1" x14ac:dyDescent="0.4">
      <c r="A574" s="38">
        <f>A573+1</f>
        <v>539</v>
      </c>
      <c r="B574" s="39" t="s">
        <v>177</v>
      </c>
      <c r="C574" s="128" t="s">
        <v>177</v>
      </c>
      <c r="D574" s="44" t="s">
        <v>358</v>
      </c>
      <c r="E574" s="40"/>
      <c r="F574" s="40"/>
      <c r="G574" s="40"/>
      <c r="H574" s="40"/>
      <c r="I574" s="41"/>
      <c r="J574" s="24">
        <f>I574</f>
        <v>0</v>
      </c>
      <c r="K574" s="194"/>
      <c r="L574" s="195">
        <v>0</v>
      </c>
      <c r="M574" s="195">
        <v>0</v>
      </c>
      <c r="N574" s="196">
        <f>L574*J574</f>
        <v>0</v>
      </c>
      <c r="O574" s="196">
        <f>M574*J574</f>
        <v>0</v>
      </c>
      <c r="P574" s="313">
        <f>(L574*J574)+(M574*J574)</f>
        <v>0</v>
      </c>
      <c r="Q574" s="328"/>
    </row>
    <row r="575" spans="1:17" ht="23.25" customHeight="1" thickBot="1" x14ac:dyDescent="0.4">
      <c r="A575" s="90"/>
      <c r="B575" s="91" t="s">
        <v>188</v>
      </c>
      <c r="C575" s="137" t="s">
        <v>188</v>
      </c>
      <c r="D575" s="262" t="s">
        <v>189</v>
      </c>
      <c r="E575" s="263"/>
      <c r="F575" s="263"/>
      <c r="G575" s="263"/>
      <c r="H575" s="264"/>
      <c r="I575" s="241"/>
      <c r="J575" s="266"/>
      <c r="K575" s="267"/>
      <c r="L575" s="268"/>
      <c r="M575" s="268"/>
      <c r="N575" s="269"/>
      <c r="O575" s="269"/>
      <c r="P575" s="320"/>
      <c r="Q575" s="346"/>
    </row>
    <row r="576" spans="1:17" ht="23.25" customHeight="1" x14ac:dyDescent="0.35">
      <c r="A576" s="28">
        <f>A574+1</f>
        <v>540</v>
      </c>
      <c r="B576" s="35" t="s">
        <v>188</v>
      </c>
      <c r="C576" s="127" t="s">
        <v>188</v>
      </c>
      <c r="D576" s="270" t="s">
        <v>190</v>
      </c>
      <c r="E576" s="271" t="s">
        <v>191</v>
      </c>
      <c r="F576" s="271"/>
      <c r="G576" s="271" t="s">
        <v>192</v>
      </c>
      <c r="H576" s="189"/>
      <c r="I576" s="228"/>
      <c r="J576" s="32">
        <f t="shared" ref="J576:J581" si="301">I576</f>
        <v>0</v>
      </c>
      <c r="K576" s="272" t="s">
        <v>22</v>
      </c>
      <c r="L576" s="185">
        <v>0</v>
      </c>
      <c r="M576" s="185">
        <v>0</v>
      </c>
      <c r="N576" s="186">
        <f t="shared" ref="N576:N581" si="302">L576*J576</f>
        <v>0</v>
      </c>
      <c r="O576" s="186">
        <f t="shared" ref="O576:O581" si="303">M576*J576</f>
        <v>0</v>
      </c>
      <c r="P576" s="311">
        <f t="shared" ref="P576:P581" si="304">(L576*J576)+(M576*J576)</f>
        <v>0</v>
      </c>
      <c r="Q576" s="336"/>
    </row>
    <row r="577" spans="1:17" ht="23.25" customHeight="1" x14ac:dyDescent="0.35">
      <c r="A577" s="18">
        <f>A576+1</f>
        <v>541</v>
      </c>
      <c r="B577" s="26" t="s">
        <v>188</v>
      </c>
      <c r="C577" s="129" t="s">
        <v>188</v>
      </c>
      <c r="D577" s="84" t="s">
        <v>193</v>
      </c>
      <c r="E577" s="85" t="s">
        <v>191</v>
      </c>
      <c r="F577" s="85"/>
      <c r="G577" s="85" t="s">
        <v>192</v>
      </c>
      <c r="H577" s="191"/>
      <c r="I577" s="188"/>
      <c r="J577" s="19">
        <f t="shared" si="301"/>
        <v>0</v>
      </c>
      <c r="K577" s="259" t="s">
        <v>22</v>
      </c>
      <c r="L577" s="168">
        <v>0</v>
      </c>
      <c r="M577" s="168">
        <v>0</v>
      </c>
      <c r="N577" s="169">
        <f t="shared" si="302"/>
        <v>0</v>
      </c>
      <c r="O577" s="169">
        <f t="shared" si="303"/>
        <v>0</v>
      </c>
      <c r="P577" s="312">
        <f t="shared" si="304"/>
        <v>0</v>
      </c>
      <c r="Q577" s="335"/>
    </row>
    <row r="578" spans="1:17" ht="23.25" customHeight="1" x14ac:dyDescent="0.35">
      <c r="A578" s="18">
        <f t="shared" ref="A578:A582" si="305">A577+1</f>
        <v>542</v>
      </c>
      <c r="B578" s="26" t="s">
        <v>188</v>
      </c>
      <c r="C578" s="129" t="s">
        <v>188</v>
      </c>
      <c r="D578" s="84" t="s">
        <v>194</v>
      </c>
      <c r="E578" s="85" t="s">
        <v>191</v>
      </c>
      <c r="F578" s="85"/>
      <c r="G578" s="85" t="s">
        <v>192</v>
      </c>
      <c r="H578" s="191"/>
      <c r="I578" s="188"/>
      <c r="J578" s="19">
        <f t="shared" si="301"/>
        <v>0</v>
      </c>
      <c r="K578" s="259" t="s">
        <v>22</v>
      </c>
      <c r="L578" s="168">
        <v>0</v>
      </c>
      <c r="M578" s="168">
        <v>0</v>
      </c>
      <c r="N578" s="169">
        <f t="shared" si="302"/>
        <v>0</v>
      </c>
      <c r="O578" s="169">
        <f t="shared" si="303"/>
        <v>0</v>
      </c>
      <c r="P578" s="312">
        <f t="shared" si="304"/>
        <v>0</v>
      </c>
      <c r="Q578" s="335"/>
    </row>
    <row r="579" spans="1:17" ht="23.25" customHeight="1" x14ac:dyDescent="0.35">
      <c r="A579" s="18">
        <f t="shared" si="305"/>
        <v>543</v>
      </c>
      <c r="B579" s="26" t="s">
        <v>188</v>
      </c>
      <c r="C579" s="129" t="s">
        <v>188</v>
      </c>
      <c r="D579" s="84" t="s">
        <v>195</v>
      </c>
      <c r="E579" s="85" t="s">
        <v>191</v>
      </c>
      <c r="F579" s="85"/>
      <c r="G579" s="85" t="s">
        <v>192</v>
      </c>
      <c r="H579" s="191"/>
      <c r="I579" s="188"/>
      <c r="J579" s="19">
        <f t="shared" si="301"/>
        <v>0</v>
      </c>
      <c r="K579" s="259" t="s">
        <v>22</v>
      </c>
      <c r="L579" s="168">
        <v>0</v>
      </c>
      <c r="M579" s="168">
        <v>0</v>
      </c>
      <c r="N579" s="169">
        <f t="shared" si="302"/>
        <v>0</v>
      </c>
      <c r="O579" s="169">
        <f t="shared" si="303"/>
        <v>0</v>
      </c>
      <c r="P579" s="312">
        <f t="shared" si="304"/>
        <v>0</v>
      </c>
      <c r="Q579" s="335"/>
    </row>
    <row r="580" spans="1:17" ht="23.25" customHeight="1" x14ac:dyDescent="0.35">
      <c r="A580" s="18">
        <f t="shared" si="305"/>
        <v>544</v>
      </c>
      <c r="B580" s="26" t="s">
        <v>188</v>
      </c>
      <c r="C580" s="129" t="s">
        <v>188</v>
      </c>
      <c r="D580" s="84" t="s">
        <v>196</v>
      </c>
      <c r="E580" s="85" t="s">
        <v>191</v>
      </c>
      <c r="F580" s="85"/>
      <c r="G580" s="85"/>
      <c r="H580" s="191"/>
      <c r="I580" s="188"/>
      <c r="J580" s="19">
        <f t="shared" si="301"/>
        <v>0</v>
      </c>
      <c r="K580" s="259" t="s">
        <v>22</v>
      </c>
      <c r="L580" s="168">
        <v>0</v>
      </c>
      <c r="M580" s="168">
        <v>0</v>
      </c>
      <c r="N580" s="169">
        <f t="shared" si="302"/>
        <v>0</v>
      </c>
      <c r="O580" s="169">
        <f t="shared" si="303"/>
        <v>0</v>
      </c>
      <c r="P580" s="312">
        <f t="shared" si="304"/>
        <v>0</v>
      </c>
      <c r="Q580" s="335"/>
    </row>
    <row r="581" spans="1:17" ht="23.25" customHeight="1" x14ac:dyDescent="0.35">
      <c r="A581" s="18">
        <f t="shared" si="305"/>
        <v>545</v>
      </c>
      <c r="B581" s="26" t="s">
        <v>188</v>
      </c>
      <c r="C581" s="129" t="s">
        <v>188</v>
      </c>
      <c r="D581" s="84" t="s">
        <v>197</v>
      </c>
      <c r="E581" s="85" t="s">
        <v>191</v>
      </c>
      <c r="F581" s="85"/>
      <c r="G581" s="85"/>
      <c r="H581" s="191"/>
      <c r="I581" s="188"/>
      <c r="J581" s="19">
        <f t="shared" si="301"/>
        <v>0</v>
      </c>
      <c r="K581" s="259" t="s">
        <v>22</v>
      </c>
      <c r="L581" s="168">
        <v>0</v>
      </c>
      <c r="M581" s="168">
        <v>0</v>
      </c>
      <c r="N581" s="169">
        <f t="shared" si="302"/>
        <v>0</v>
      </c>
      <c r="O581" s="169">
        <f t="shared" si="303"/>
        <v>0</v>
      </c>
      <c r="P581" s="312">
        <f t="shared" si="304"/>
        <v>0</v>
      </c>
      <c r="Q581" s="335"/>
    </row>
    <row r="582" spans="1:17" ht="23.25" customHeight="1" x14ac:dyDescent="0.35">
      <c r="A582" s="18">
        <f t="shared" si="305"/>
        <v>546</v>
      </c>
      <c r="B582" s="26" t="s">
        <v>188</v>
      </c>
      <c r="C582" s="129" t="s">
        <v>188</v>
      </c>
      <c r="D582" s="43" t="s">
        <v>358</v>
      </c>
      <c r="E582" s="5"/>
      <c r="F582" s="5"/>
      <c r="G582" s="5"/>
      <c r="H582" s="5"/>
      <c r="I582" s="20"/>
      <c r="J582" s="19">
        <f>I582</f>
        <v>0</v>
      </c>
      <c r="K582" s="171"/>
      <c r="L582" s="168">
        <v>0</v>
      </c>
      <c r="M582" s="168">
        <v>0</v>
      </c>
      <c r="N582" s="169">
        <f>L582*J582</f>
        <v>0</v>
      </c>
      <c r="O582" s="169">
        <f>M582*J582</f>
        <v>0</v>
      </c>
      <c r="P582" s="312">
        <f>(L582*J582)+(M582*J582)</f>
        <v>0</v>
      </c>
      <c r="Q582" s="326"/>
    </row>
    <row r="583" spans="1:17" ht="23.25" customHeight="1" thickBot="1" x14ac:dyDescent="0.4">
      <c r="A583" s="38">
        <f>A582+1</f>
        <v>547</v>
      </c>
      <c r="B583" s="39" t="s">
        <v>188</v>
      </c>
      <c r="C583" s="128" t="s">
        <v>188</v>
      </c>
      <c r="D583" s="45" t="s">
        <v>358</v>
      </c>
      <c r="E583" s="40"/>
      <c r="F583" s="40"/>
      <c r="G583" s="40"/>
      <c r="H583" s="40"/>
      <c r="I583" s="41"/>
      <c r="J583" s="24">
        <f>I583</f>
        <v>0</v>
      </c>
      <c r="K583" s="194"/>
      <c r="L583" s="195">
        <v>0</v>
      </c>
      <c r="M583" s="195">
        <v>0</v>
      </c>
      <c r="N583" s="196">
        <f>L583*J583</f>
        <v>0</v>
      </c>
      <c r="O583" s="196">
        <f>M583*J583</f>
        <v>0</v>
      </c>
      <c r="P583" s="313">
        <f>(L583*J583)+(M583*J583)</f>
        <v>0</v>
      </c>
      <c r="Q583" s="328"/>
    </row>
    <row r="584" spans="1:17" ht="23.25" customHeight="1" thickBot="1" x14ac:dyDescent="0.4">
      <c r="A584" s="90"/>
      <c r="B584" s="91" t="s">
        <v>198</v>
      </c>
      <c r="C584" s="137" t="s">
        <v>198</v>
      </c>
      <c r="D584" s="273" t="s">
        <v>199</v>
      </c>
      <c r="E584" s="263"/>
      <c r="F584" s="263"/>
      <c r="G584" s="263"/>
      <c r="H584" s="264"/>
      <c r="I584" s="264"/>
      <c r="J584" s="266"/>
      <c r="K584" s="267"/>
      <c r="L584" s="268"/>
      <c r="M584" s="268"/>
      <c r="N584" s="269"/>
      <c r="O584" s="269"/>
      <c r="P584" s="320"/>
      <c r="Q584" s="349"/>
    </row>
    <row r="585" spans="1:17" ht="23.25" customHeight="1" x14ac:dyDescent="0.35">
      <c r="A585" s="28">
        <f>A583+1</f>
        <v>548</v>
      </c>
      <c r="B585" s="35" t="s">
        <v>198</v>
      </c>
      <c r="C585" s="127" t="s">
        <v>198</v>
      </c>
      <c r="D585" s="77" t="s">
        <v>200</v>
      </c>
      <c r="E585" s="78"/>
      <c r="F585" s="78"/>
      <c r="G585" s="78"/>
      <c r="H585" s="271"/>
      <c r="I585" s="228"/>
      <c r="J585" s="32">
        <f t="shared" ref="J585:J639" si="306">I585</f>
        <v>0</v>
      </c>
      <c r="K585" s="272" t="s">
        <v>22</v>
      </c>
      <c r="L585" s="185">
        <v>0</v>
      </c>
      <c r="M585" s="185">
        <v>0</v>
      </c>
      <c r="N585" s="186">
        <f t="shared" ref="N585:N639" si="307">L585*J585</f>
        <v>0</v>
      </c>
      <c r="O585" s="186">
        <f t="shared" ref="O585:O639" si="308">M585*J585</f>
        <v>0</v>
      </c>
      <c r="P585" s="311">
        <f t="shared" ref="P585:P639" si="309">(L585*J585)+(M585*J585)</f>
        <v>0</v>
      </c>
      <c r="Q585" s="336"/>
    </row>
    <row r="586" spans="1:17" ht="23.25" customHeight="1" x14ac:dyDescent="0.35">
      <c r="A586" s="18">
        <f>A585+1</f>
        <v>549</v>
      </c>
      <c r="B586" s="26" t="s">
        <v>198</v>
      </c>
      <c r="C586" s="129" t="s">
        <v>198</v>
      </c>
      <c r="D586" s="72" t="s">
        <v>201</v>
      </c>
      <c r="E586" s="73"/>
      <c r="F586" s="73"/>
      <c r="G586" s="73"/>
      <c r="H586" s="73"/>
      <c r="I586" s="188"/>
      <c r="J586" s="19">
        <f t="shared" si="306"/>
        <v>0</v>
      </c>
      <c r="K586" s="259" t="s">
        <v>22</v>
      </c>
      <c r="L586" s="168">
        <v>0</v>
      </c>
      <c r="M586" s="168">
        <v>0</v>
      </c>
      <c r="N586" s="169">
        <f t="shared" si="307"/>
        <v>0</v>
      </c>
      <c r="O586" s="169">
        <f t="shared" si="308"/>
        <v>0</v>
      </c>
      <c r="P586" s="312">
        <f t="shared" si="309"/>
        <v>0</v>
      </c>
      <c r="Q586" s="335"/>
    </row>
    <row r="587" spans="1:17" ht="23.25" customHeight="1" x14ac:dyDescent="0.5">
      <c r="A587" s="18">
        <f>A586+1</f>
        <v>550</v>
      </c>
      <c r="B587" s="26" t="s">
        <v>198</v>
      </c>
      <c r="C587" s="309" t="s">
        <v>198</v>
      </c>
      <c r="D587" s="72" t="s">
        <v>543</v>
      </c>
      <c r="E587" s="73"/>
      <c r="F587" s="73"/>
      <c r="G587" s="73"/>
      <c r="H587" s="73"/>
      <c r="I587" s="310"/>
      <c r="J587" s="19">
        <f t="shared" ref="J587" si="310">I587</f>
        <v>0</v>
      </c>
      <c r="K587" s="259" t="s">
        <v>22</v>
      </c>
      <c r="L587" s="168">
        <v>0</v>
      </c>
      <c r="M587" s="168">
        <v>0</v>
      </c>
      <c r="N587" s="169">
        <f t="shared" ref="N587" si="311">L587*J587</f>
        <v>0</v>
      </c>
      <c r="O587" s="169">
        <f t="shared" ref="O587" si="312">M587*J587</f>
        <v>0</v>
      </c>
      <c r="P587" s="312">
        <f t="shared" ref="P587" si="313">(L587*J587)+(M587*J587)</f>
        <v>0</v>
      </c>
      <c r="Q587" s="350"/>
    </row>
    <row r="588" spans="1:17" ht="23.25" customHeight="1" x14ac:dyDescent="0.35">
      <c r="A588" s="18">
        <f>A587+1</f>
        <v>551</v>
      </c>
      <c r="B588" s="26" t="s">
        <v>198</v>
      </c>
      <c r="C588" s="129" t="s">
        <v>198</v>
      </c>
      <c r="D588" s="84" t="s">
        <v>411</v>
      </c>
      <c r="E588" s="85" t="s">
        <v>206</v>
      </c>
      <c r="F588" s="85"/>
      <c r="G588" s="85"/>
      <c r="H588" s="85"/>
      <c r="I588" s="191"/>
      <c r="J588" s="19">
        <f t="shared" ref="J588:J589" si="314">I588</f>
        <v>0</v>
      </c>
      <c r="K588" s="167" t="s">
        <v>22</v>
      </c>
      <c r="L588" s="168">
        <v>0</v>
      </c>
      <c r="M588" s="168">
        <v>0</v>
      </c>
      <c r="N588" s="169">
        <f t="shared" ref="N588:N589" si="315">L588*J588</f>
        <v>0</v>
      </c>
      <c r="O588" s="169">
        <f t="shared" ref="O588:O589" si="316">M588*J588</f>
        <v>0</v>
      </c>
      <c r="P588" s="312">
        <f t="shared" ref="P588" si="317">(L588*J588)+(M588*J588)</f>
        <v>0</v>
      </c>
      <c r="Q588" s="335"/>
    </row>
    <row r="589" spans="1:17" ht="23.25" customHeight="1" x14ac:dyDescent="0.35">
      <c r="A589" s="18">
        <f t="shared" ref="A589:A638" si="318">A588+1</f>
        <v>552</v>
      </c>
      <c r="B589" s="26" t="s">
        <v>198</v>
      </c>
      <c r="C589" s="129" t="s">
        <v>198</v>
      </c>
      <c r="D589" s="72" t="s">
        <v>492</v>
      </c>
      <c r="E589" s="73" t="s">
        <v>202</v>
      </c>
      <c r="F589" s="73"/>
      <c r="G589" s="73" t="s">
        <v>491</v>
      </c>
      <c r="H589" s="85"/>
      <c r="I589" s="191"/>
      <c r="J589" s="19">
        <f t="shared" si="314"/>
        <v>0</v>
      </c>
      <c r="K589" s="167" t="s">
        <v>22</v>
      </c>
      <c r="L589" s="168">
        <v>0</v>
      </c>
      <c r="M589" s="168">
        <v>0</v>
      </c>
      <c r="N589" s="169">
        <f t="shared" si="315"/>
        <v>0</v>
      </c>
      <c r="O589" s="169">
        <f t="shared" si="316"/>
        <v>0</v>
      </c>
      <c r="P589" s="312">
        <f t="shared" si="309"/>
        <v>0</v>
      </c>
      <c r="Q589" s="335"/>
    </row>
    <row r="590" spans="1:17" ht="23.25" customHeight="1" x14ac:dyDescent="0.35">
      <c r="A590" s="18">
        <f t="shared" si="318"/>
        <v>553</v>
      </c>
      <c r="B590" s="26" t="s">
        <v>198</v>
      </c>
      <c r="C590" s="129" t="s">
        <v>198</v>
      </c>
      <c r="D590" s="72" t="s">
        <v>492</v>
      </c>
      <c r="E590" s="73" t="s">
        <v>202</v>
      </c>
      <c r="F590" s="73"/>
      <c r="G590" s="73" t="s">
        <v>203</v>
      </c>
      <c r="H590" s="85"/>
      <c r="I590" s="191"/>
      <c r="J590" s="19">
        <f t="shared" si="306"/>
        <v>0</v>
      </c>
      <c r="K590" s="167" t="s">
        <v>22</v>
      </c>
      <c r="L590" s="168">
        <v>0</v>
      </c>
      <c r="M590" s="168">
        <v>0</v>
      </c>
      <c r="N590" s="169">
        <f t="shared" si="307"/>
        <v>0</v>
      </c>
      <c r="O590" s="169">
        <f t="shared" si="308"/>
        <v>0</v>
      </c>
      <c r="P590" s="312">
        <f t="shared" si="309"/>
        <v>0</v>
      </c>
      <c r="Q590" s="335"/>
    </row>
    <row r="591" spans="1:17" ht="23.25" customHeight="1" x14ac:dyDescent="0.35">
      <c r="A591" s="18">
        <f t="shared" si="318"/>
        <v>554</v>
      </c>
      <c r="B591" s="26" t="s">
        <v>198</v>
      </c>
      <c r="C591" s="129" t="s">
        <v>198</v>
      </c>
      <c r="D591" s="72" t="s">
        <v>492</v>
      </c>
      <c r="E591" s="73" t="s">
        <v>202</v>
      </c>
      <c r="F591" s="73"/>
      <c r="G591" s="73" t="s">
        <v>204</v>
      </c>
      <c r="H591" s="85"/>
      <c r="I591" s="191"/>
      <c r="J591" s="19">
        <f t="shared" si="306"/>
        <v>0</v>
      </c>
      <c r="K591" s="167" t="s">
        <v>22</v>
      </c>
      <c r="L591" s="168">
        <v>0</v>
      </c>
      <c r="M591" s="168">
        <v>0</v>
      </c>
      <c r="N591" s="169">
        <f t="shared" si="307"/>
        <v>0</v>
      </c>
      <c r="O591" s="169">
        <f t="shared" si="308"/>
        <v>0</v>
      </c>
      <c r="P591" s="312">
        <f t="shared" si="309"/>
        <v>0</v>
      </c>
      <c r="Q591" s="335"/>
    </row>
    <row r="592" spans="1:17" ht="23.25" customHeight="1" x14ac:dyDescent="0.35">
      <c r="A592" s="18">
        <f t="shared" si="318"/>
        <v>555</v>
      </c>
      <c r="B592" s="26" t="s">
        <v>198</v>
      </c>
      <c r="C592" s="129" t="s">
        <v>198</v>
      </c>
      <c r="D592" s="72" t="s">
        <v>205</v>
      </c>
      <c r="E592" s="73" t="s">
        <v>206</v>
      </c>
      <c r="F592" s="73"/>
      <c r="G592" s="73" t="s">
        <v>150</v>
      </c>
      <c r="H592" s="85"/>
      <c r="I592" s="191"/>
      <c r="J592" s="19">
        <f t="shared" si="306"/>
        <v>0</v>
      </c>
      <c r="K592" s="167" t="s">
        <v>22</v>
      </c>
      <c r="L592" s="168">
        <v>0</v>
      </c>
      <c r="M592" s="168">
        <v>0</v>
      </c>
      <c r="N592" s="169">
        <f t="shared" si="307"/>
        <v>0</v>
      </c>
      <c r="O592" s="169">
        <f t="shared" si="308"/>
        <v>0</v>
      </c>
      <c r="P592" s="312">
        <f t="shared" si="309"/>
        <v>0</v>
      </c>
      <c r="Q592" s="335"/>
    </row>
    <row r="593" spans="1:17" ht="23.25" customHeight="1" x14ac:dyDescent="0.35">
      <c r="A593" s="18">
        <f t="shared" si="318"/>
        <v>556</v>
      </c>
      <c r="B593" s="26" t="s">
        <v>198</v>
      </c>
      <c r="C593" s="129" t="s">
        <v>198</v>
      </c>
      <c r="D593" s="72" t="s">
        <v>207</v>
      </c>
      <c r="E593" s="73" t="s">
        <v>208</v>
      </c>
      <c r="F593" s="73"/>
      <c r="G593" s="73"/>
      <c r="H593" s="73"/>
      <c r="I593" s="191"/>
      <c r="J593" s="19">
        <f t="shared" si="306"/>
        <v>0</v>
      </c>
      <c r="K593" s="167" t="s">
        <v>22</v>
      </c>
      <c r="L593" s="168">
        <v>0</v>
      </c>
      <c r="M593" s="168">
        <v>0</v>
      </c>
      <c r="N593" s="169">
        <f t="shared" si="307"/>
        <v>0</v>
      </c>
      <c r="O593" s="169">
        <f t="shared" si="308"/>
        <v>0</v>
      </c>
      <c r="P593" s="312">
        <f t="shared" si="309"/>
        <v>0</v>
      </c>
      <c r="Q593" s="335"/>
    </row>
    <row r="594" spans="1:17" ht="23.25" customHeight="1" x14ac:dyDescent="0.35">
      <c r="A594" s="18">
        <f t="shared" si="318"/>
        <v>557</v>
      </c>
      <c r="B594" s="26" t="s">
        <v>198</v>
      </c>
      <c r="C594" s="129" t="s">
        <v>198</v>
      </c>
      <c r="D594" s="72" t="s">
        <v>209</v>
      </c>
      <c r="E594" s="73" t="s">
        <v>60</v>
      </c>
      <c r="F594" s="73"/>
      <c r="G594" s="73" t="s">
        <v>210</v>
      </c>
      <c r="H594" s="73" t="s">
        <v>211</v>
      </c>
      <c r="I594" s="191"/>
      <c r="J594" s="19">
        <f t="shared" si="306"/>
        <v>0</v>
      </c>
      <c r="K594" s="167" t="s">
        <v>51</v>
      </c>
      <c r="L594" s="168">
        <v>0</v>
      </c>
      <c r="M594" s="168">
        <v>0</v>
      </c>
      <c r="N594" s="169">
        <f t="shared" si="307"/>
        <v>0</v>
      </c>
      <c r="O594" s="169">
        <f t="shared" si="308"/>
        <v>0</v>
      </c>
      <c r="P594" s="312">
        <f t="shared" si="309"/>
        <v>0</v>
      </c>
      <c r="Q594" s="335"/>
    </row>
    <row r="595" spans="1:17" ht="23.25" customHeight="1" x14ac:dyDescent="0.35">
      <c r="A595" s="18">
        <f t="shared" si="318"/>
        <v>558</v>
      </c>
      <c r="B595" s="26" t="s">
        <v>198</v>
      </c>
      <c r="C595" s="129" t="s">
        <v>198</v>
      </c>
      <c r="D595" s="72" t="s">
        <v>209</v>
      </c>
      <c r="E595" s="73" t="s">
        <v>60</v>
      </c>
      <c r="F595" s="73"/>
      <c r="G595" s="73" t="s">
        <v>210</v>
      </c>
      <c r="H595" s="73" t="s">
        <v>212</v>
      </c>
      <c r="I595" s="191"/>
      <c r="J595" s="19">
        <f t="shared" si="306"/>
        <v>0</v>
      </c>
      <c r="K595" s="167" t="s">
        <v>51</v>
      </c>
      <c r="L595" s="168">
        <v>0</v>
      </c>
      <c r="M595" s="168">
        <v>0</v>
      </c>
      <c r="N595" s="169">
        <f t="shared" si="307"/>
        <v>0</v>
      </c>
      <c r="O595" s="169">
        <f t="shared" si="308"/>
        <v>0</v>
      </c>
      <c r="P595" s="312">
        <f t="shared" si="309"/>
        <v>0</v>
      </c>
      <c r="Q595" s="335"/>
    </row>
    <row r="596" spans="1:17" ht="23.25" customHeight="1" x14ac:dyDescent="0.35">
      <c r="A596" s="18">
        <f t="shared" si="318"/>
        <v>559</v>
      </c>
      <c r="B596" s="26" t="s">
        <v>198</v>
      </c>
      <c r="C596" s="129" t="s">
        <v>198</v>
      </c>
      <c r="D596" s="72" t="s">
        <v>209</v>
      </c>
      <c r="E596" s="73" t="s">
        <v>60</v>
      </c>
      <c r="F596" s="73"/>
      <c r="G596" s="73" t="s">
        <v>210</v>
      </c>
      <c r="H596" s="73" t="s">
        <v>213</v>
      </c>
      <c r="I596" s="191"/>
      <c r="J596" s="19">
        <f t="shared" si="306"/>
        <v>0</v>
      </c>
      <c r="K596" s="167" t="s">
        <v>51</v>
      </c>
      <c r="L596" s="168">
        <v>0</v>
      </c>
      <c r="M596" s="168">
        <v>0</v>
      </c>
      <c r="N596" s="169">
        <f t="shared" si="307"/>
        <v>0</v>
      </c>
      <c r="O596" s="169">
        <f t="shared" si="308"/>
        <v>0</v>
      </c>
      <c r="P596" s="312">
        <f t="shared" si="309"/>
        <v>0</v>
      </c>
      <c r="Q596" s="335"/>
    </row>
    <row r="597" spans="1:17" ht="23.25" customHeight="1" x14ac:dyDescent="0.35">
      <c r="A597" s="18">
        <f t="shared" si="318"/>
        <v>560</v>
      </c>
      <c r="B597" s="26" t="s">
        <v>198</v>
      </c>
      <c r="C597" s="129" t="s">
        <v>198</v>
      </c>
      <c r="D597" s="72" t="s">
        <v>214</v>
      </c>
      <c r="E597" s="73" t="s">
        <v>215</v>
      </c>
      <c r="F597" s="73"/>
      <c r="G597" s="73" t="s">
        <v>215</v>
      </c>
      <c r="H597" s="73"/>
      <c r="I597" s="191"/>
      <c r="J597" s="19">
        <f t="shared" si="306"/>
        <v>0</v>
      </c>
      <c r="K597" s="167" t="s">
        <v>216</v>
      </c>
      <c r="L597" s="168">
        <v>0</v>
      </c>
      <c r="M597" s="168">
        <v>0</v>
      </c>
      <c r="N597" s="169">
        <f t="shared" si="307"/>
        <v>0</v>
      </c>
      <c r="O597" s="169">
        <f t="shared" si="308"/>
        <v>0</v>
      </c>
      <c r="P597" s="312">
        <f t="shared" si="309"/>
        <v>0</v>
      </c>
      <c r="Q597" s="335"/>
    </row>
    <row r="598" spans="1:17" ht="23.25" customHeight="1" x14ac:dyDescent="0.35">
      <c r="A598" s="18">
        <f t="shared" si="318"/>
        <v>561</v>
      </c>
      <c r="B598" s="26" t="s">
        <v>198</v>
      </c>
      <c r="C598" s="129" t="s">
        <v>198</v>
      </c>
      <c r="D598" s="72" t="s">
        <v>217</v>
      </c>
      <c r="E598" s="73" t="s">
        <v>60</v>
      </c>
      <c r="F598" s="73"/>
      <c r="G598" s="73" t="s">
        <v>218</v>
      </c>
      <c r="H598" s="73"/>
      <c r="I598" s="191"/>
      <c r="J598" s="19">
        <f t="shared" si="306"/>
        <v>0</v>
      </c>
      <c r="K598" s="167" t="s">
        <v>51</v>
      </c>
      <c r="L598" s="168">
        <v>0</v>
      </c>
      <c r="M598" s="168">
        <v>0</v>
      </c>
      <c r="N598" s="169">
        <f t="shared" si="307"/>
        <v>0</v>
      </c>
      <c r="O598" s="169">
        <f t="shared" si="308"/>
        <v>0</v>
      </c>
      <c r="P598" s="312">
        <f t="shared" si="309"/>
        <v>0</v>
      </c>
      <c r="Q598" s="335"/>
    </row>
    <row r="599" spans="1:17" ht="23.25" customHeight="1" x14ac:dyDescent="0.35">
      <c r="A599" s="18">
        <f t="shared" si="318"/>
        <v>562</v>
      </c>
      <c r="B599" s="26" t="s">
        <v>198</v>
      </c>
      <c r="C599" s="129" t="s">
        <v>198</v>
      </c>
      <c r="D599" s="72" t="s">
        <v>219</v>
      </c>
      <c r="E599" s="73" t="s">
        <v>220</v>
      </c>
      <c r="F599" s="73"/>
      <c r="G599" s="73"/>
      <c r="H599" s="73" t="s">
        <v>447</v>
      </c>
      <c r="I599" s="191"/>
      <c r="J599" s="19">
        <f t="shared" si="306"/>
        <v>0</v>
      </c>
      <c r="K599" s="167" t="s">
        <v>51</v>
      </c>
      <c r="L599" s="168">
        <v>0</v>
      </c>
      <c r="M599" s="168">
        <v>0</v>
      </c>
      <c r="N599" s="169">
        <f t="shared" ref="N599:N600" si="319">L599*J599</f>
        <v>0</v>
      </c>
      <c r="O599" s="169">
        <f t="shared" ref="O599:O600" si="320">M599*J599</f>
        <v>0</v>
      </c>
      <c r="P599" s="312">
        <f t="shared" ref="P599:P600" si="321">(L599*J599)+(M599*J599)</f>
        <v>0</v>
      </c>
      <c r="Q599" s="335"/>
    </row>
    <row r="600" spans="1:17" ht="23.25" customHeight="1" x14ac:dyDescent="0.35">
      <c r="A600" s="18">
        <f t="shared" si="318"/>
        <v>563</v>
      </c>
      <c r="B600" s="26" t="s">
        <v>198</v>
      </c>
      <c r="C600" s="129" t="s">
        <v>198</v>
      </c>
      <c r="D600" s="72" t="s">
        <v>219</v>
      </c>
      <c r="E600" s="73" t="s">
        <v>220</v>
      </c>
      <c r="F600" s="73"/>
      <c r="G600" s="73"/>
      <c r="H600" s="73" t="s">
        <v>389</v>
      </c>
      <c r="I600" s="191"/>
      <c r="J600" s="19">
        <f t="shared" si="306"/>
        <v>0</v>
      </c>
      <c r="K600" s="167" t="s">
        <v>51</v>
      </c>
      <c r="L600" s="168">
        <v>0</v>
      </c>
      <c r="M600" s="168">
        <v>0</v>
      </c>
      <c r="N600" s="169">
        <f t="shared" si="319"/>
        <v>0</v>
      </c>
      <c r="O600" s="169">
        <f t="shared" si="320"/>
        <v>0</v>
      </c>
      <c r="P600" s="312">
        <f t="shared" si="321"/>
        <v>0</v>
      </c>
      <c r="Q600" s="335"/>
    </row>
    <row r="601" spans="1:17" ht="23.25" customHeight="1" x14ac:dyDescent="0.35">
      <c r="A601" s="18">
        <f t="shared" si="318"/>
        <v>564</v>
      </c>
      <c r="B601" s="26" t="s">
        <v>198</v>
      </c>
      <c r="C601" s="129" t="s">
        <v>198</v>
      </c>
      <c r="D601" s="72" t="s">
        <v>219</v>
      </c>
      <c r="E601" s="73" t="s">
        <v>220</v>
      </c>
      <c r="F601" s="73"/>
      <c r="G601" s="73"/>
      <c r="H601" s="73" t="s">
        <v>105</v>
      </c>
      <c r="I601" s="191"/>
      <c r="J601" s="19">
        <f t="shared" si="306"/>
        <v>0</v>
      </c>
      <c r="K601" s="167" t="s">
        <v>51</v>
      </c>
      <c r="L601" s="168">
        <v>0</v>
      </c>
      <c r="M601" s="168">
        <v>0</v>
      </c>
      <c r="N601" s="169">
        <f t="shared" si="307"/>
        <v>0</v>
      </c>
      <c r="O601" s="169">
        <f t="shared" si="308"/>
        <v>0</v>
      </c>
      <c r="P601" s="312">
        <f t="shared" si="309"/>
        <v>0</v>
      </c>
      <c r="Q601" s="335"/>
    </row>
    <row r="602" spans="1:17" ht="23.25" customHeight="1" x14ac:dyDescent="0.35">
      <c r="A602" s="18">
        <f t="shared" si="318"/>
        <v>565</v>
      </c>
      <c r="B602" s="26" t="s">
        <v>198</v>
      </c>
      <c r="C602" s="129" t="s">
        <v>198</v>
      </c>
      <c r="D602" s="72" t="s">
        <v>219</v>
      </c>
      <c r="E602" s="73" t="s">
        <v>220</v>
      </c>
      <c r="F602" s="73"/>
      <c r="G602" s="73"/>
      <c r="H602" s="73" t="s">
        <v>106</v>
      </c>
      <c r="I602" s="191"/>
      <c r="J602" s="19">
        <f t="shared" si="306"/>
        <v>0</v>
      </c>
      <c r="K602" s="167" t="s">
        <v>51</v>
      </c>
      <c r="L602" s="168">
        <v>0</v>
      </c>
      <c r="M602" s="168">
        <v>0</v>
      </c>
      <c r="N602" s="169">
        <f t="shared" si="307"/>
        <v>0</v>
      </c>
      <c r="O602" s="169">
        <f t="shared" si="308"/>
        <v>0</v>
      </c>
      <c r="P602" s="312">
        <f t="shared" si="309"/>
        <v>0</v>
      </c>
      <c r="Q602" s="335"/>
    </row>
    <row r="603" spans="1:17" ht="23.25" customHeight="1" x14ac:dyDescent="0.35">
      <c r="A603" s="18">
        <f t="shared" si="318"/>
        <v>566</v>
      </c>
      <c r="B603" s="26" t="s">
        <v>198</v>
      </c>
      <c r="C603" s="129" t="s">
        <v>198</v>
      </c>
      <c r="D603" s="72" t="s">
        <v>219</v>
      </c>
      <c r="E603" s="73" t="s">
        <v>220</v>
      </c>
      <c r="F603" s="73"/>
      <c r="G603" s="73"/>
      <c r="H603" s="73" t="s">
        <v>55</v>
      </c>
      <c r="I603" s="191"/>
      <c r="J603" s="19">
        <f t="shared" ref="J603" si="322">I603</f>
        <v>0</v>
      </c>
      <c r="K603" s="167" t="s">
        <v>51</v>
      </c>
      <c r="L603" s="168">
        <v>0</v>
      </c>
      <c r="M603" s="168">
        <v>0</v>
      </c>
      <c r="N603" s="169">
        <f t="shared" ref="N603" si="323">L603*J603</f>
        <v>0</v>
      </c>
      <c r="O603" s="169">
        <f t="shared" ref="O603" si="324">M603*J603</f>
        <v>0</v>
      </c>
      <c r="P603" s="312">
        <f t="shared" ref="P603" si="325">(L603*J603)+(M603*J603)</f>
        <v>0</v>
      </c>
      <c r="Q603" s="335"/>
    </row>
    <row r="604" spans="1:17" ht="23.25" customHeight="1" x14ac:dyDescent="0.35">
      <c r="A604" s="18">
        <f t="shared" si="318"/>
        <v>567</v>
      </c>
      <c r="B604" s="26" t="s">
        <v>198</v>
      </c>
      <c r="C604" s="129" t="s">
        <v>198</v>
      </c>
      <c r="D604" s="72" t="s">
        <v>408</v>
      </c>
      <c r="E604" s="73" t="s">
        <v>114</v>
      </c>
      <c r="F604" s="73"/>
      <c r="G604" s="73" t="s">
        <v>407</v>
      </c>
      <c r="H604" s="73" t="s">
        <v>105</v>
      </c>
      <c r="I604" s="191"/>
      <c r="J604" s="19">
        <f t="shared" si="306"/>
        <v>0</v>
      </c>
      <c r="K604" s="167" t="s">
        <v>51</v>
      </c>
      <c r="L604" s="168">
        <v>0</v>
      </c>
      <c r="M604" s="168">
        <v>0</v>
      </c>
      <c r="N604" s="169">
        <f t="shared" si="307"/>
        <v>0</v>
      </c>
      <c r="O604" s="169">
        <f t="shared" si="308"/>
        <v>0</v>
      </c>
      <c r="P604" s="312">
        <f t="shared" si="309"/>
        <v>0</v>
      </c>
      <c r="Q604" s="335"/>
    </row>
    <row r="605" spans="1:17" ht="23.25" customHeight="1" x14ac:dyDescent="0.35">
      <c r="A605" s="18">
        <f t="shared" si="318"/>
        <v>568</v>
      </c>
      <c r="B605" s="26" t="s">
        <v>198</v>
      </c>
      <c r="C605" s="129" t="s">
        <v>198</v>
      </c>
      <c r="D605" s="72" t="s">
        <v>408</v>
      </c>
      <c r="E605" s="73" t="s">
        <v>114</v>
      </c>
      <c r="F605" s="73"/>
      <c r="G605" s="73" t="s">
        <v>407</v>
      </c>
      <c r="H605" s="73" t="s">
        <v>106</v>
      </c>
      <c r="I605" s="191"/>
      <c r="J605" s="19">
        <f t="shared" ref="J605:J607" si="326">I605</f>
        <v>0</v>
      </c>
      <c r="K605" s="167" t="s">
        <v>51</v>
      </c>
      <c r="L605" s="168">
        <v>0</v>
      </c>
      <c r="M605" s="168">
        <v>0</v>
      </c>
      <c r="N605" s="169">
        <f t="shared" ref="N605:N607" si="327">L605*J605</f>
        <v>0</v>
      </c>
      <c r="O605" s="169">
        <f t="shared" ref="O605:O607" si="328">M605*J605</f>
        <v>0</v>
      </c>
      <c r="P605" s="312">
        <f t="shared" ref="P605:P607" si="329">(L605*J605)+(M605*J605)</f>
        <v>0</v>
      </c>
      <c r="Q605" s="335"/>
    </row>
    <row r="606" spans="1:17" ht="23.25" customHeight="1" x14ac:dyDescent="0.35">
      <c r="A606" s="18">
        <f t="shared" si="318"/>
        <v>569</v>
      </c>
      <c r="B606" s="26" t="s">
        <v>198</v>
      </c>
      <c r="C606" s="129" t="s">
        <v>198</v>
      </c>
      <c r="D606" s="72" t="s">
        <v>408</v>
      </c>
      <c r="E606" s="73" t="s">
        <v>114</v>
      </c>
      <c r="F606" s="73"/>
      <c r="G606" s="73" t="s">
        <v>407</v>
      </c>
      <c r="H606" s="73" t="s">
        <v>55</v>
      </c>
      <c r="I606" s="191"/>
      <c r="J606" s="19">
        <f t="shared" ref="J606" si="330">I606</f>
        <v>0</v>
      </c>
      <c r="K606" s="167" t="s">
        <v>51</v>
      </c>
      <c r="L606" s="168">
        <v>0</v>
      </c>
      <c r="M606" s="168">
        <v>0</v>
      </c>
      <c r="N606" s="169">
        <f t="shared" ref="N606" si="331">L606*J606</f>
        <v>0</v>
      </c>
      <c r="O606" s="169">
        <f t="shared" ref="O606" si="332">M606*J606</f>
        <v>0</v>
      </c>
      <c r="P606" s="312">
        <f t="shared" ref="P606" si="333">(L606*J606)+(M606*J606)</f>
        <v>0</v>
      </c>
      <c r="Q606" s="335"/>
    </row>
    <row r="607" spans="1:17" ht="23.25" customHeight="1" x14ac:dyDescent="0.35">
      <c r="A607" s="18">
        <f t="shared" si="318"/>
        <v>570</v>
      </c>
      <c r="B607" s="26" t="s">
        <v>198</v>
      </c>
      <c r="C607" s="129" t="s">
        <v>198</v>
      </c>
      <c r="D607" s="72" t="s">
        <v>410</v>
      </c>
      <c r="E607" s="73" t="s">
        <v>41</v>
      </c>
      <c r="F607" s="73"/>
      <c r="G607" s="73" t="s">
        <v>407</v>
      </c>
      <c r="H607" s="73" t="s">
        <v>105</v>
      </c>
      <c r="I607" s="191"/>
      <c r="J607" s="19">
        <f t="shared" si="326"/>
        <v>0</v>
      </c>
      <c r="K607" s="167" t="s">
        <v>51</v>
      </c>
      <c r="L607" s="168">
        <v>0</v>
      </c>
      <c r="M607" s="168">
        <v>0</v>
      </c>
      <c r="N607" s="169">
        <f t="shared" si="327"/>
        <v>0</v>
      </c>
      <c r="O607" s="169">
        <f t="shared" si="328"/>
        <v>0</v>
      </c>
      <c r="P607" s="312">
        <f t="shared" si="329"/>
        <v>0</v>
      </c>
      <c r="Q607" s="335"/>
    </row>
    <row r="608" spans="1:17" ht="23.25" customHeight="1" x14ac:dyDescent="0.35">
      <c r="A608" s="18">
        <f t="shared" si="318"/>
        <v>571</v>
      </c>
      <c r="B608" s="26" t="s">
        <v>198</v>
      </c>
      <c r="C608" s="129" t="s">
        <v>198</v>
      </c>
      <c r="D608" s="72" t="s">
        <v>410</v>
      </c>
      <c r="E608" s="73" t="s">
        <v>41</v>
      </c>
      <c r="F608" s="73"/>
      <c r="G608" s="73" t="s">
        <v>407</v>
      </c>
      <c r="H608" s="73" t="s">
        <v>106</v>
      </c>
      <c r="I608" s="191"/>
      <c r="J608" s="19">
        <f t="shared" ref="J608" si="334">I608</f>
        <v>0</v>
      </c>
      <c r="K608" s="167" t="s">
        <v>51</v>
      </c>
      <c r="L608" s="168">
        <v>0</v>
      </c>
      <c r="M608" s="168">
        <v>0</v>
      </c>
      <c r="N608" s="169">
        <f t="shared" ref="N608" si="335">L608*J608</f>
        <v>0</v>
      </c>
      <c r="O608" s="169">
        <f t="shared" ref="O608" si="336">M608*J608</f>
        <v>0</v>
      </c>
      <c r="P608" s="312">
        <f t="shared" ref="P608" si="337">(L608*J608)+(M608*J608)</f>
        <v>0</v>
      </c>
      <c r="Q608" s="335"/>
    </row>
    <row r="609" spans="1:17" ht="23.25" customHeight="1" x14ac:dyDescent="0.35">
      <c r="A609" s="18">
        <f t="shared" si="318"/>
        <v>572</v>
      </c>
      <c r="B609" s="26" t="s">
        <v>198</v>
      </c>
      <c r="C609" s="129" t="s">
        <v>198</v>
      </c>
      <c r="D609" s="72" t="s">
        <v>410</v>
      </c>
      <c r="E609" s="73" t="s">
        <v>41</v>
      </c>
      <c r="F609" s="73"/>
      <c r="G609" s="73" t="s">
        <v>407</v>
      </c>
      <c r="H609" s="73" t="s">
        <v>55</v>
      </c>
      <c r="I609" s="191"/>
      <c r="J609" s="19">
        <f t="shared" ref="J609:J611" si="338">I609</f>
        <v>0</v>
      </c>
      <c r="K609" s="167" t="s">
        <v>51</v>
      </c>
      <c r="L609" s="168">
        <v>0</v>
      </c>
      <c r="M609" s="168">
        <v>0</v>
      </c>
      <c r="N609" s="169">
        <f t="shared" ref="N609:N611" si="339">L609*J609</f>
        <v>0</v>
      </c>
      <c r="O609" s="169">
        <f t="shared" ref="O609:O611" si="340">M609*J609</f>
        <v>0</v>
      </c>
      <c r="P609" s="312">
        <f t="shared" ref="P609:P611" si="341">(L609*J609)+(M609*J609)</f>
        <v>0</v>
      </c>
      <c r="Q609" s="335"/>
    </row>
    <row r="610" spans="1:17" ht="23.25" customHeight="1" x14ac:dyDescent="0.35">
      <c r="A610" s="18">
        <f t="shared" si="318"/>
        <v>573</v>
      </c>
      <c r="B610" s="26" t="s">
        <v>198</v>
      </c>
      <c r="C610" s="129" t="s">
        <v>198</v>
      </c>
      <c r="D610" s="72" t="s">
        <v>408</v>
      </c>
      <c r="E610" s="73" t="s">
        <v>41</v>
      </c>
      <c r="F610" s="73"/>
      <c r="G610" s="73" t="s">
        <v>409</v>
      </c>
      <c r="H610" s="73" t="s">
        <v>105</v>
      </c>
      <c r="I610" s="191"/>
      <c r="J610" s="19">
        <f t="shared" si="338"/>
        <v>0</v>
      </c>
      <c r="K610" s="167" t="s">
        <v>51</v>
      </c>
      <c r="L610" s="168">
        <v>0</v>
      </c>
      <c r="M610" s="168">
        <v>0</v>
      </c>
      <c r="N610" s="169">
        <f t="shared" si="339"/>
        <v>0</v>
      </c>
      <c r="O610" s="169">
        <f t="shared" si="340"/>
        <v>0</v>
      </c>
      <c r="P610" s="312">
        <f t="shared" si="341"/>
        <v>0</v>
      </c>
      <c r="Q610" s="335"/>
    </row>
    <row r="611" spans="1:17" ht="23.25" customHeight="1" x14ac:dyDescent="0.35">
      <c r="A611" s="18">
        <f t="shared" si="318"/>
        <v>574</v>
      </c>
      <c r="B611" s="26" t="s">
        <v>198</v>
      </c>
      <c r="C611" s="129" t="s">
        <v>198</v>
      </c>
      <c r="D611" s="72" t="s">
        <v>408</v>
      </c>
      <c r="E611" s="73" t="s">
        <v>41</v>
      </c>
      <c r="F611" s="73"/>
      <c r="G611" s="73" t="s">
        <v>409</v>
      </c>
      <c r="H611" s="73" t="s">
        <v>106</v>
      </c>
      <c r="I611" s="191"/>
      <c r="J611" s="19">
        <f t="shared" si="338"/>
        <v>0</v>
      </c>
      <c r="K611" s="167" t="s">
        <v>51</v>
      </c>
      <c r="L611" s="168">
        <v>0</v>
      </c>
      <c r="M611" s="168">
        <v>0</v>
      </c>
      <c r="N611" s="169">
        <f t="shared" si="339"/>
        <v>0</v>
      </c>
      <c r="O611" s="169">
        <f t="shared" si="340"/>
        <v>0</v>
      </c>
      <c r="P611" s="312">
        <f t="shared" si="341"/>
        <v>0</v>
      </c>
      <c r="Q611" s="335"/>
    </row>
    <row r="612" spans="1:17" ht="23.25" customHeight="1" x14ac:dyDescent="0.35">
      <c r="A612" s="18">
        <f t="shared" si="318"/>
        <v>575</v>
      </c>
      <c r="B612" s="26" t="s">
        <v>198</v>
      </c>
      <c r="C612" s="129" t="s">
        <v>198</v>
      </c>
      <c r="D612" s="72" t="s">
        <v>408</v>
      </c>
      <c r="E612" s="73" t="s">
        <v>41</v>
      </c>
      <c r="F612" s="73"/>
      <c r="G612" s="73" t="s">
        <v>409</v>
      </c>
      <c r="H612" s="73" t="s">
        <v>55</v>
      </c>
      <c r="I612" s="191"/>
      <c r="J612" s="19">
        <f t="shared" ref="J612" si="342">I612</f>
        <v>0</v>
      </c>
      <c r="K612" s="167" t="s">
        <v>51</v>
      </c>
      <c r="L612" s="168">
        <v>0</v>
      </c>
      <c r="M612" s="168">
        <v>0</v>
      </c>
      <c r="N612" s="169">
        <f t="shared" ref="N612" si="343">L612*J612</f>
        <v>0</v>
      </c>
      <c r="O612" s="169">
        <f t="shared" ref="O612" si="344">M612*J612</f>
        <v>0</v>
      </c>
      <c r="P612" s="312">
        <f t="shared" ref="P612" si="345">(L612*J612)+(M612*J612)</f>
        <v>0</v>
      </c>
      <c r="Q612" s="335"/>
    </row>
    <row r="613" spans="1:17" ht="23.25" customHeight="1" x14ac:dyDescent="0.35">
      <c r="A613" s="18">
        <f t="shared" si="318"/>
        <v>576</v>
      </c>
      <c r="B613" s="26" t="s">
        <v>198</v>
      </c>
      <c r="C613" s="129" t="s">
        <v>198</v>
      </c>
      <c r="D613" s="72" t="s">
        <v>221</v>
      </c>
      <c r="E613" s="73" t="s">
        <v>208</v>
      </c>
      <c r="F613" s="73"/>
      <c r="G613" s="73" t="s">
        <v>104</v>
      </c>
      <c r="H613" s="73" t="s">
        <v>105</v>
      </c>
      <c r="I613" s="191"/>
      <c r="J613" s="19">
        <f t="shared" si="306"/>
        <v>0</v>
      </c>
      <c r="K613" s="167" t="s">
        <v>22</v>
      </c>
      <c r="L613" s="168">
        <v>0</v>
      </c>
      <c r="M613" s="168">
        <v>0</v>
      </c>
      <c r="N613" s="169">
        <f t="shared" si="307"/>
        <v>0</v>
      </c>
      <c r="O613" s="169">
        <f t="shared" si="308"/>
        <v>0</v>
      </c>
      <c r="P613" s="312">
        <f t="shared" si="309"/>
        <v>0</v>
      </c>
      <c r="Q613" s="335"/>
    </row>
    <row r="614" spans="1:17" ht="23.25" customHeight="1" x14ac:dyDescent="0.35">
      <c r="A614" s="18">
        <f t="shared" si="318"/>
        <v>577</v>
      </c>
      <c r="B614" s="26" t="s">
        <v>198</v>
      </c>
      <c r="C614" s="129" t="s">
        <v>198</v>
      </c>
      <c r="D614" s="72" t="s">
        <v>221</v>
      </c>
      <c r="E614" s="73" t="s">
        <v>208</v>
      </c>
      <c r="F614" s="73"/>
      <c r="G614" s="73" t="s">
        <v>104</v>
      </c>
      <c r="H614" s="73" t="s">
        <v>106</v>
      </c>
      <c r="I614" s="191"/>
      <c r="J614" s="19">
        <f t="shared" ref="J614" si="346">I614</f>
        <v>0</v>
      </c>
      <c r="K614" s="167" t="s">
        <v>22</v>
      </c>
      <c r="L614" s="168">
        <v>0</v>
      </c>
      <c r="M614" s="168">
        <v>0</v>
      </c>
      <c r="N614" s="169">
        <f t="shared" ref="N614" si="347">L614*J614</f>
        <v>0</v>
      </c>
      <c r="O614" s="169">
        <f t="shared" ref="O614" si="348">M614*J614</f>
        <v>0</v>
      </c>
      <c r="P614" s="312">
        <f t="shared" ref="P614" si="349">(L614*J614)+(M614*J614)</f>
        <v>0</v>
      </c>
      <c r="Q614" s="335"/>
    </row>
    <row r="615" spans="1:17" ht="23.25" customHeight="1" x14ac:dyDescent="0.35">
      <c r="A615" s="18">
        <f t="shared" si="318"/>
        <v>578</v>
      </c>
      <c r="B615" s="26" t="s">
        <v>198</v>
      </c>
      <c r="C615" s="129" t="s">
        <v>198</v>
      </c>
      <c r="D615" s="72" t="s">
        <v>221</v>
      </c>
      <c r="E615" s="73" t="s">
        <v>208</v>
      </c>
      <c r="F615" s="73"/>
      <c r="G615" s="73" t="s">
        <v>104</v>
      </c>
      <c r="H615" s="73" t="s">
        <v>55</v>
      </c>
      <c r="I615" s="191"/>
      <c r="J615" s="19">
        <f t="shared" ref="J615:J617" si="350">I615</f>
        <v>0</v>
      </c>
      <c r="K615" s="167" t="s">
        <v>22</v>
      </c>
      <c r="L615" s="168">
        <v>0</v>
      </c>
      <c r="M615" s="168">
        <v>0</v>
      </c>
      <c r="N615" s="169">
        <f t="shared" ref="N615:N617" si="351">L615*J615</f>
        <v>0</v>
      </c>
      <c r="O615" s="169">
        <f t="shared" ref="O615:O617" si="352">M615*J615</f>
        <v>0</v>
      </c>
      <c r="P615" s="312">
        <f t="shared" ref="P615:P617" si="353">(L615*J615)+(M615*J615)</f>
        <v>0</v>
      </c>
      <c r="Q615" s="335"/>
    </row>
    <row r="616" spans="1:17" ht="23.25" customHeight="1" x14ac:dyDescent="0.35">
      <c r="A616" s="18">
        <f t="shared" si="318"/>
        <v>579</v>
      </c>
      <c r="B616" s="26" t="s">
        <v>198</v>
      </c>
      <c r="C616" s="129" t="s">
        <v>198</v>
      </c>
      <c r="D616" s="72" t="s">
        <v>443</v>
      </c>
      <c r="E616" s="73" t="s">
        <v>208</v>
      </c>
      <c r="F616" s="73"/>
      <c r="G616" s="73" t="s">
        <v>104</v>
      </c>
      <c r="H616" s="73" t="s">
        <v>105</v>
      </c>
      <c r="I616" s="191"/>
      <c r="J616" s="19">
        <f t="shared" si="350"/>
        <v>0</v>
      </c>
      <c r="K616" s="167" t="s">
        <v>22</v>
      </c>
      <c r="L616" s="168">
        <v>0</v>
      </c>
      <c r="M616" s="168">
        <v>0</v>
      </c>
      <c r="N616" s="169">
        <f t="shared" si="351"/>
        <v>0</v>
      </c>
      <c r="O616" s="169">
        <f t="shared" si="352"/>
        <v>0</v>
      </c>
      <c r="P616" s="312">
        <f t="shared" si="353"/>
        <v>0</v>
      </c>
      <c r="Q616" s="335"/>
    </row>
    <row r="617" spans="1:17" ht="23.25" customHeight="1" x14ac:dyDescent="0.35">
      <c r="A617" s="18">
        <f t="shared" si="318"/>
        <v>580</v>
      </c>
      <c r="B617" s="26" t="s">
        <v>198</v>
      </c>
      <c r="C617" s="129" t="s">
        <v>198</v>
      </c>
      <c r="D617" s="72" t="s">
        <v>443</v>
      </c>
      <c r="E617" s="73" t="s">
        <v>208</v>
      </c>
      <c r="F617" s="73"/>
      <c r="G617" s="73" t="s">
        <v>104</v>
      </c>
      <c r="H617" s="73" t="s">
        <v>106</v>
      </c>
      <c r="I617" s="191"/>
      <c r="J617" s="19">
        <f t="shared" si="350"/>
        <v>0</v>
      </c>
      <c r="K617" s="167" t="s">
        <v>22</v>
      </c>
      <c r="L617" s="168">
        <v>0</v>
      </c>
      <c r="M617" s="168">
        <v>0</v>
      </c>
      <c r="N617" s="169">
        <f t="shared" si="351"/>
        <v>0</v>
      </c>
      <c r="O617" s="169">
        <f t="shared" si="352"/>
        <v>0</v>
      </c>
      <c r="P617" s="312">
        <f t="shared" si="353"/>
        <v>0</v>
      </c>
      <c r="Q617" s="335"/>
    </row>
    <row r="618" spans="1:17" ht="23.25" customHeight="1" x14ac:dyDescent="0.35">
      <c r="A618" s="18">
        <f t="shared" si="318"/>
        <v>581</v>
      </c>
      <c r="B618" s="26" t="s">
        <v>198</v>
      </c>
      <c r="C618" s="129" t="s">
        <v>198</v>
      </c>
      <c r="D618" s="72" t="s">
        <v>443</v>
      </c>
      <c r="E618" s="73" t="s">
        <v>208</v>
      </c>
      <c r="F618" s="73"/>
      <c r="G618" s="73" t="s">
        <v>104</v>
      </c>
      <c r="H618" s="73" t="s">
        <v>55</v>
      </c>
      <c r="I618" s="191"/>
      <c r="J618" s="19">
        <f t="shared" ref="J618" si="354">I618</f>
        <v>0</v>
      </c>
      <c r="K618" s="167" t="s">
        <v>22</v>
      </c>
      <c r="L618" s="168">
        <v>0</v>
      </c>
      <c r="M618" s="168">
        <v>0</v>
      </c>
      <c r="N618" s="169">
        <f t="shared" ref="N618" si="355">L618*J618</f>
        <v>0</v>
      </c>
      <c r="O618" s="169">
        <f t="shared" ref="O618" si="356">M618*J618</f>
        <v>0</v>
      </c>
      <c r="P618" s="312">
        <f t="shared" ref="P618" si="357">(L618*J618)+(M618*J618)</f>
        <v>0</v>
      </c>
      <c r="Q618" s="335"/>
    </row>
    <row r="619" spans="1:17" ht="23.25" customHeight="1" x14ac:dyDescent="0.35">
      <c r="A619" s="18">
        <f t="shared" si="318"/>
        <v>582</v>
      </c>
      <c r="B619" s="26" t="s">
        <v>198</v>
      </c>
      <c r="C619" s="129" t="s">
        <v>198</v>
      </c>
      <c r="D619" s="72" t="s">
        <v>222</v>
      </c>
      <c r="E619" s="73"/>
      <c r="F619" s="73"/>
      <c r="G619" s="73" t="s">
        <v>223</v>
      </c>
      <c r="H619" s="73"/>
      <c r="I619" s="191"/>
      <c r="J619" s="19">
        <f t="shared" si="306"/>
        <v>0</v>
      </c>
      <c r="K619" s="167" t="s">
        <v>224</v>
      </c>
      <c r="L619" s="168">
        <v>0</v>
      </c>
      <c r="M619" s="168">
        <v>0</v>
      </c>
      <c r="N619" s="169">
        <f t="shared" si="307"/>
        <v>0</v>
      </c>
      <c r="O619" s="169">
        <f t="shared" si="308"/>
        <v>0</v>
      </c>
      <c r="P619" s="312">
        <f t="shared" si="309"/>
        <v>0</v>
      </c>
      <c r="Q619" s="335"/>
    </row>
    <row r="620" spans="1:17" ht="23.25" customHeight="1" x14ac:dyDescent="0.35">
      <c r="A620" s="18">
        <f t="shared" si="318"/>
        <v>583</v>
      </c>
      <c r="B620" s="26" t="s">
        <v>198</v>
      </c>
      <c r="C620" s="129" t="s">
        <v>198</v>
      </c>
      <c r="D620" s="72" t="s">
        <v>225</v>
      </c>
      <c r="E620" s="73" t="s">
        <v>41</v>
      </c>
      <c r="F620" s="73"/>
      <c r="G620" s="73"/>
      <c r="H620" s="73" t="s">
        <v>388</v>
      </c>
      <c r="I620" s="191"/>
      <c r="J620" s="19">
        <f t="shared" si="306"/>
        <v>0</v>
      </c>
      <c r="K620" s="167" t="s">
        <v>51</v>
      </c>
      <c r="L620" s="168">
        <v>0</v>
      </c>
      <c r="M620" s="168">
        <v>0</v>
      </c>
      <c r="N620" s="169">
        <f t="shared" si="307"/>
        <v>0</v>
      </c>
      <c r="O620" s="169">
        <f t="shared" si="308"/>
        <v>0</v>
      </c>
      <c r="P620" s="312">
        <f t="shared" si="309"/>
        <v>0</v>
      </c>
      <c r="Q620" s="335"/>
    </row>
    <row r="621" spans="1:17" ht="23.25" customHeight="1" x14ac:dyDescent="0.35">
      <c r="A621" s="18">
        <f t="shared" si="318"/>
        <v>584</v>
      </c>
      <c r="B621" s="26" t="s">
        <v>198</v>
      </c>
      <c r="C621" s="129" t="s">
        <v>198</v>
      </c>
      <c r="D621" s="84" t="s">
        <v>226</v>
      </c>
      <c r="E621" s="85" t="s">
        <v>227</v>
      </c>
      <c r="F621" s="85"/>
      <c r="G621" s="85"/>
      <c r="H621" s="73" t="s">
        <v>447</v>
      </c>
      <c r="I621" s="191"/>
      <c r="J621" s="19">
        <f t="shared" si="306"/>
        <v>0</v>
      </c>
      <c r="K621" s="167" t="s">
        <v>51</v>
      </c>
      <c r="L621" s="168">
        <v>0</v>
      </c>
      <c r="M621" s="168">
        <v>0</v>
      </c>
      <c r="N621" s="169">
        <f t="shared" si="307"/>
        <v>0</v>
      </c>
      <c r="O621" s="169">
        <f t="shared" si="308"/>
        <v>0</v>
      </c>
      <c r="P621" s="312">
        <f t="shared" si="309"/>
        <v>0</v>
      </c>
      <c r="Q621" s="335"/>
    </row>
    <row r="622" spans="1:17" ht="23.25" customHeight="1" x14ac:dyDescent="0.35">
      <c r="A622" s="18">
        <f t="shared" si="318"/>
        <v>585</v>
      </c>
      <c r="B622" s="26" t="s">
        <v>198</v>
      </c>
      <c r="C622" s="129" t="s">
        <v>198</v>
      </c>
      <c r="D622" s="84" t="s">
        <v>226</v>
      </c>
      <c r="E622" s="85" t="s">
        <v>227</v>
      </c>
      <c r="F622" s="85"/>
      <c r="G622" s="85"/>
      <c r="H622" s="73" t="s">
        <v>389</v>
      </c>
      <c r="I622" s="191"/>
      <c r="J622" s="19">
        <f t="shared" si="306"/>
        <v>0</v>
      </c>
      <c r="K622" s="167" t="s">
        <v>51</v>
      </c>
      <c r="L622" s="168">
        <v>0</v>
      </c>
      <c r="M622" s="168">
        <v>0</v>
      </c>
      <c r="N622" s="169">
        <f t="shared" ref="N622:N625" si="358">L622*J622</f>
        <v>0</v>
      </c>
      <c r="O622" s="169">
        <f t="shared" ref="O622:O625" si="359">M622*J622</f>
        <v>0</v>
      </c>
      <c r="P622" s="312">
        <f t="shared" ref="P622:P625" si="360">(L622*J622)+(M622*J622)</f>
        <v>0</v>
      </c>
      <c r="Q622" s="335"/>
    </row>
    <row r="623" spans="1:17" ht="23.25" customHeight="1" x14ac:dyDescent="0.35">
      <c r="A623" s="18">
        <f t="shared" si="318"/>
        <v>586</v>
      </c>
      <c r="B623" s="26" t="s">
        <v>198</v>
      </c>
      <c r="C623" s="129" t="s">
        <v>198</v>
      </c>
      <c r="D623" s="84" t="s">
        <v>226</v>
      </c>
      <c r="E623" s="85" t="s">
        <v>227</v>
      </c>
      <c r="F623" s="85"/>
      <c r="G623" s="85"/>
      <c r="H623" s="73" t="s">
        <v>105</v>
      </c>
      <c r="I623" s="191"/>
      <c r="J623" s="19">
        <f t="shared" si="306"/>
        <v>0</v>
      </c>
      <c r="K623" s="167" t="s">
        <v>51</v>
      </c>
      <c r="L623" s="168">
        <v>0</v>
      </c>
      <c r="M623" s="168">
        <v>0</v>
      </c>
      <c r="N623" s="169">
        <f t="shared" si="358"/>
        <v>0</v>
      </c>
      <c r="O623" s="169">
        <f t="shared" si="359"/>
        <v>0</v>
      </c>
      <c r="P623" s="312">
        <f t="shared" si="360"/>
        <v>0</v>
      </c>
      <c r="Q623" s="335"/>
    </row>
    <row r="624" spans="1:17" ht="23.25" customHeight="1" x14ac:dyDescent="0.35">
      <c r="A624" s="18">
        <f t="shared" si="318"/>
        <v>587</v>
      </c>
      <c r="B624" s="26" t="s">
        <v>198</v>
      </c>
      <c r="C624" s="129" t="s">
        <v>198</v>
      </c>
      <c r="D624" s="84" t="s">
        <v>226</v>
      </c>
      <c r="E624" s="85" t="s">
        <v>227</v>
      </c>
      <c r="F624" s="85"/>
      <c r="G624" s="85"/>
      <c r="H624" s="73" t="s">
        <v>106</v>
      </c>
      <c r="I624" s="191"/>
      <c r="J624" s="19">
        <f t="shared" si="306"/>
        <v>0</v>
      </c>
      <c r="K624" s="167" t="s">
        <v>51</v>
      </c>
      <c r="L624" s="168">
        <v>0</v>
      </c>
      <c r="M624" s="168">
        <v>0</v>
      </c>
      <c r="N624" s="169">
        <f t="shared" si="358"/>
        <v>0</v>
      </c>
      <c r="O624" s="169">
        <f t="shared" si="359"/>
        <v>0</v>
      </c>
      <c r="P624" s="312">
        <f t="shared" si="360"/>
        <v>0</v>
      </c>
      <c r="Q624" s="335"/>
    </row>
    <row r="625" spans="1:17" ht="23.25" customHeight="1" x14ac:dyDescent="0.35">
      <c r="A625" s="18">
        <f t="shared" si="318"/>
        <v>588</v>
      </c>
      <c r="B625" s="26" t="s">
        <v>198</v>
      </c>
      <c r="C625" s="129" t="s">
        <v>198</v>
      </c>
      <c r="D625" s="84" t="s">
        <v>226</v>
      </c>
      <c r="E625" s="85" t="s">
        <v>227</v>
      </c>
      <c r="F625" s="85"/>
      <c r="G625" s="85"/>
      <c r="H625" s="73" t="s">
        <v>55</v>
      </c>
      <c r="I625" s="191"/>
      <c r="J625" s="19">
        <f t="shared" si="306"/>
        <v>0</v>
      </c>
      <c r="K625" s="167" t="s">
        <v>51</v>
      </c>
      <c r="L625" s="168">
        <v>0</v>
      </c>
      <c r="M625" s="168">
        <v>0</v>
      </c>
      <c r="N625" s="169">
        <f t="shared" si="358"/>
        <v>0</v>
      </c>
      <c r="O625" s="169">
        <f t="shared" si="359"/>
        <v>0</v>
      </c>
      <c r="P625" s="312">
        <f t="shared" si="360"/>
        <v>0</v>
      </c>
      <c r="Q625" s="335"/>
    </row>
    <row r="626" spans="1:17" ht="23.25" customHeight="1" x14ac:dyDescent="0.35">
      <c r="A626" s="18">
        <f t="shared" si="318"/>
        <v>589</v>
      </c>
      <c r="B626" s="26" t="s">
        <v>198</v>
      </c>
      <c r="C626" s="129" t="s">
        <v>198</v>
      </c>
      <c r="D626" s="84" t="s">
        <v>228</v>
      </c>
      <c r="E626" s="85"/>
      <c r="F626" s="85"/>
      <c r="G626" s="85"/>
      <c r="H626" s="85"/>
      <c r="I626" s="191"/>
      <c r="J626" s="19">
        <f t="shared" si="306"/>
        <v>0</v>
      </c>
      <c r="K626" s="167" t="s">
        <v>22</v>
      </c>
      <c r="L626" s="168">
        <v>0</v>
      </c>
      <c r="M626" s="168">
        <v>0</v>
      </c>
      <c r="N626" s="169">
        <f t="shared" si="307"/>
        <v>0</v>
      </c>
      <c r="O626" s="169">
        <f t="shared" si="308"/>
        <v>0</v>
      </c>
      <c r="P626" s="312">
        <f t="shared" si="309"/>
        <v>0</v>
      </c>
      <c r="Q626" s="335"/>
    </row>
    <row r="627" spans="1:17" ht="23.25" customHeight="1" x14ac:dyDescent="0.35">
      <c r="A627" s="18">
        <f t="shared" si="318"/>
        <v>590</v>
      </c>
      <c r="B627" s="26" t="s">
        <v>198</v>
      </c>
      <c r="C627" s="129" t="s">
        <v>198</v>
      </c>
      <c r="D627" s="84" t="s">
        <v>229</v>
      </c>
      <c r="E627" s="85" t="s">
        <v>41</v>
      </c>
      <c r="F627" s="85"/>
      <c r="G627" s="85"/>
      <c r="H627" s="85"/>
      <c r="I627" s="191"/>
      <c r="J627" s="19">
        <f t="shared" si="306"/>
        <v>0</v>
      </c>
      <c r="K627" s="167" t="s">
        <v>51</v>
      </c>
      <c r="L627" s="168">
        <v>0</v>
      </c>
      <c r="M627" s="168">
        <v>0</v>
      </c>
      <c r="N627" s="169">
        <f t="shared" si="307"/>
        <v>0</v>
      </c>
      <c r="O627" s="169">
        <f t="shared" si="308"/>
        <v>0</v>
      </c>
      <c r="P627" s="312">
        <f t="shared" si="309"/>
        <v>0</v>
      </c>
      <c r="Q627" s="335"/>
    </row>
    <row r="628" spans="1:17" ht="23.25" customHeight="1" x14ac:dyDescent="0.35">
      <c r="A628" s="18">
        <f t="shared" si="318"/>
        <v>591</v>
      </c>
      <c r="B628" s="26" t="s">
        <v>198</v>
      </c>
      <c r="C628" s="129" t="s">
        <v>198</v>
      </c>
      <c r="D628" s="84" t="s">
        <v>475</v>
      </c>
      <c r="E628" s="85" t="s">
        <v>476</v>
      </c>
      <c r="F628" s="85"/>
      <c r="G628" s="85"/>
      <c r="H628" s="85"/>
      <c r="I628" s="191"/>
      <c r="J628" s="19">
        <f t="shared" ref="J628" si="361">I628</f>
        <v>0</v>
      </c>
      <c r="K628" s="167" t="s">
        <v>22</v>
      </c>
      <c r="L628" s="168">
        <v>0</v>
      </c>
      <c r="M628" s="168">
        <v>0</v>
      </c>
      <c r="N628" s="169">
        <f t="shared" ref="N628" si="362">L628*J628</f>
        <v>0</v>
      </c>
      <c r="O628" s="169">
        <f t="shared" ref="O628" si="363">M628*J628</f>
        <v>0</v>
      </c>
      <c r="P628" s="312">
        <f t="shared" ref="P628" si="364">(L628*J628)+(M628*J628)</f>
        <v>0</v>
      </c>
      <c r="Q628" s="335"/>
    </row>
    <row r="629" spans="1:17" ht="23.25" customHeight="1" x14ac:dyDescent="0.35">
      <c r="A629" s="18">
        <f t="shared" si="318"/>
        <v>592</v>
      </c>
      <c r="B629" s="26" t="s">
        <v>198</v>
      </c>
      <c r="C629" s="129" t="s">
        <v>198</v>
      </c>
      <c r="D629" s="72" t="s">
        <v>154</v>
      </c>
      <c r="E629" s="73"/>
      <c r="F629" s="73"/>
      <c r="G629" s="73"/>
      <c r="H629" s="73"/>
      <c r="I629" s="191"/>
      <c r="J629" s="19">
        <f t="shared" si="306"/>
        <v>0</v>
      </c>
      <c r="K629" s="167" t="s">
        <v>22</v>
      </c>
      <c r="L629" s="168">
        <v>0</v>
      </c>
      <c r="M629" s="168">
        <v>0</v>
      </c>
      <c r="N629" s="169">
        <f t="shared" si="307"/>
        <v>0</v>
      </c>
      <c r="O629" s="169">
        <f t="shared" si="308"/>
        <v>0</v>
      </c>
      <c r="P629" s="312">
        <f t="shared" si="309"/>
        <v>0</v>
      </c>
      <c r="Q629" s="335"/>
    </row>
    <row r="630" spans="1:17" ht="23.25" customHeight="1" x14ac:dyDescent="0.35">
      <c r="A630" s="18">
        <f t="shared" si="318"/>
        <v>593</v>
      </c>
      <c r="B630" s="26" t="s">
        <v>198</v>
      </c>
      <c r="C630" s="129" t="s">
        <v>198</v>
      </c>
      <c r="D630" s="84" t="s">
        <v>230</v>
      </c>
      <c r="E630" s="85"/>
      <c r="F630" s="85"/>
      <c r="G630" s="85"/>
      <c r="H630" s="85"/>
      <c r="I630" s="191"/>
      <c r="J630" s="19">
        <f t="shared" si="306"/>
        <v>0</v>
      </c>
      <c r="K630" s="167" t="s">
        <v>22</v>
      </c>
      <c r="L630" s="168">
        <v>0</v>
      </c>
      <c r="M630" s="168">
        <v>0</v>
      </c>
      <c r="N630" s="169">
        <f t="shared" si="307"/>
        <v>0</v>
      </c>
      <c r="O630" s="169">
        <f t="shared" si="308"/>
        <v>0</v>
      </c>
      <c r="P630" s="312">
        <f t="shared" si="309"/>
        <v>0</v>
      </c>
      <c r="Q630" s="335"/>
    </row>
    <row r="631" spans="1:17" ht="23.25" customHeight="1" x14ac:dyDescent="0.35">
      <c r="A631" s="18">
        <f t="shared" si="318"/>
        <v>594</v>
      </c>
      <c r="B631" s="26" t="s">
        <v>198</v>
      </c>
      <c r="C631" s="129" t="s">
        <v>198</v>
      </c>
      <c r="D631" s="72" t="s">
        <v>538</v>
      </c>
      <c r="E631" s="73"/>
      <c r="F631" s="73" t="s">
        <v>539</v>
      </c>
      <c r="G631" s="73"/>
      <c r="H631" s="73" t="s">
        <v>155</v>
      </c>
      <c r="I631" s="191"/>
      <c r="J631" s="19">
        <f t="shared" si="306"/>
        <v>0</v>
      </c>
      <c r="K631" s="167" t="s">
        <v>51</v>
      </c>
      <c r="L631" s="168">
        <v>0</v>
      </c>
      <c r="M631" s="168">
        <v>0</v>
      </c>
      <c r="N631" s="169">
        <f t="shared" si="307"/>
        <v>0</v>
      </c>
      <c r="O631" s="169">
        <f t="shared" si="308"/>
        <v>0</v>
      </c>
      <c r="P631" s="312">
        <f t="shared" si="309"/>
        <v>0</v>
      </c>
      <c r="Q631" s="335"/>
    </row>
    <row r="632" spans="1:17" ht="23.25" customHeight="1" x14ac:dyDescent="0.35">
      <c r="A632" s="18">
        <f t="shared" si="318"/>
        <v>595</v>
      </c>
      <c r="B632" s="26" t="s">
        <v>198</v>
      </c>
      <c r="C632" s="129" t="s">
        <v>198</v>
      </c>
      <c r="D632" s="72" t="s">
        <v>538</v>
      </c>
      <c r="E632" s="73"/>
      <c r="F632" s="73" t="s">
        <v>539</v>
      </c>
      <c r="G632" s="73"/>
      <c r="H632" s="73" t="s">
        <v>156</v>
      </c>
      <c r="I632" s="191"/>
      <c r="J632" s="19">
        <f t="shared" si="306"/>
        <v>0</v>
      </c>
      <c r="K632" s="167" t="s">
        <v>51</v>
      </c>
      <c r="L632" s="168">
        <v>0</v>
      </c>
      <c r="M632" s="168">
        <v>0</v>
      </c>
      <c r="N632" s="169">
        <f t="shared" si="307"/>
        <v>0</v>
      </c>
      <c r="O632" s="169">
        <f t="shared" si="308"/>
        <v>0</v>
      </c>
      <c r="P632" s="312">
        <f t="shared" si="309"/>
        <v>0</v>
      </c>
      <c r="Q632" s="335"/>
    </row>
    <row r="633" spans="1:17" ht="23.25" customHeight="1" x14ac:dyDescent="0.35">
      <c r="A633" s="18">
        <f t="shared" si="318"/>
        <v>596</v>
      </c>
      <c r="B633" s="26" t="s">
        <v>198</v>
      </c>
      <c r="C633" s="129" t="s">
        <v>198</v>
      </c>
      <c r="D633" s="72" t="s">
        <v>454</v>
      </c>
      <c r="E633" s="73" t="s">
        <v>170</v>
      </c>
      <c r="F633" s="73"/>
      <c r="G633" s="73" t="s">
        <v>540</v>
      </c>
      <c r="H633" s="73"/>
      <c r="I633" s="191"/>
      <c r="J633" s="19">
        <f t="shared" ref="J633:J637" si="365">I633</f>
        <v>0</v>
      </c>
      <c r="K633" s="167" t="s">
        <v>22</v>
      </c>
      <c r="L633" s="168">
        <v>0</v>
      </c>
      <c r="M633" s="168">
        <v>0</v>
      </c>
      <c r="N633" s="169">
        <f t="shared" ref="N633:N634" si="366">L633*J633</f>
        <v>0</v>
      </c>
      <c r="O633" s="169">
        <f t="shared" ref="O633:O634" si="367">M633*J633</f>
        <v>0</v>
      </c>
      <c r="P633" s="312">
        <f t="shared" ref="P633:P634" si="368">(L633*J633)+(M633*J633)</f>
        <v>0</v>
      </c>
      <c r="Q633" s="335"/>
    </row>
    <row r="634" spans="1:17" ht="23.25" customHeight="1" x14ac:dyDescent="0.35">
      <c r="A634" s="18">
        <f t="shared" si="318"/>
        <v>597</v>
      </c>
      <c r="B634" s="26" t="s">
        <v>198</v>
      </c>
      <c r="C634" s="129" t="s">
        <v>198</v>
      </c>
      <c r="D634" s="72" t="s">
        <v>454</v>
      </c>
      <c r="E634" s="73" t="s">
        <v>31</v>
      </c>
      <c r="F634" s="73"/>
      <c r="G634" s="73" t="s">
        <v>540</v>
      </c>
      <c r="H634" s="73"/>
      <c r="I634" s="191"/>
      <c r="J634" s="19">
        <f t="shared" si="365"/>
        <v>0</v>
      </c>
      <c r="K634" s="167" t="s">
        <v>22</v>
      </c>
      <c r="L634" s="168">
        <v>0</v>
      </c>
      <c r="M634" s="168">
        <v>0</v>
      </c>
      <c r="N634" s="169">
        <f t="shared" si="366"/>
        <v>0</v>
      </c>
      <c r="O634" s="169">
        <f t="shared" si="367"/>
        <v>0</v>
      </c>
      <c r="P634" s="312">
        <f t="shared" si="368"/>
        <v>0</v>
      </c>
      <c r="Q634" s="335"/>
    </row>
    <row r="635" spans="1:17" ht="23.25" customHeight="1" x14ac:dyDescent="0.35">
      <c r="A635" s="18">
        <f t="shared" si="318"/>
        <v>598</v>
      </c>
      <c r="B635" s="26" t="s">
        <v>198</v>
      </c>
      <c r="C635" s="129" t="s">
        <v>198</v>
      </c>
      <c r="D635" s="72" t="s">
        <v>545</v>
      </c>
      <c r="E635" s="73" t="s">
        <v>546</v>
      </c>
      <c r="F635" s="73"/>
      <c r="G635" s="73"/>
      <c r="H635" s="73"/>
      <c r="I635" s="191"/>
      <c r="J635" s="19">
        <f t="shared" si="365"/>
        <v>0</v>
      </c>
      <c r="K635" s="167" t="s">
        <v>22</v>
      </c>
      <c r="L635" s="168">
        <v>0</v>
      </c>
      <c r="M635" s="168">
        <v>0</v>
      </c>
      <c r="N635" s="169">
        <f t="shared" ref="N635:N636" si="369">L635*J635</f>
        <v>0</v>
      </c>
      <c r="O635" s="169">
        <f t="shared" ref="O635:O636" si="370">M635*J635</f>
        <v>0</v>
      </c>
      <c r="P635" s="312">
        <f t="shared" ref="P635:P636" si="371">(L635*J635)+(M635*J635)</f>
        <v>0</v>
      </c>
      <c r="Q635" s="335"/>
    </row>
    <row r="636" spans="1:17" ht="23.25" customHeight="1" x14ac:dyDescent="0.35">
      <c r="A636" s="18">
        <f t="shared" si="318"/>
        <v>599</v>
      </c>
      <c r="B636" s="26" t="s">
        <v>198</v>
      </c>
      <c r="C636" s="129" t="s">
        <v>198</v>
      </c>
      <c r="D636" s="72" t="s">
        <v>547</v>
      </c>
      <c r="E636" s="73"/>
      <c r="F636" s="73"/>
      <c r="G636" s="73"/>
      <c r="H636" s="73"/>
      <c r="I636" s="191"/>
      <c r="J636" s="19">
        <f t="shared" si="365"/>
        <v>0</v>
      </c>
      <c r="K636" s="167" t="s">
        <v>22</v>
      </c>
      <c r="L636" s="168">
        <v>0</v>
      </c>
      <c r="M636" s="168">
        <v>0</v>
      </c>
      <c r="N636" s="169">
        <f t="shared" si="369"/>
        <v>0</v>
      </c>
      <c r="O636" s="169">
        <f t="shared" si="370"/>
        <v>0</v>
      </c>
      <c r="P636" s="312">
        <f t="shared" si="371"/>
        <v>0</v>
      </c>
      <c r="Q636" s="335"/>
    </row>
    <row r="637" spans="1:17" ht="23.25" customHeight="1" x14ac:dyDescent="0.35">
      <c r="A637" s="18">
        <f t="shared" si="318"/>
        <v>600</v>
      </c>
      <c r="B637" s="26" t="s">
        <v>198</v>
      </c>
      <c r="C637" s="129" t="s">
        <v>198</v>
      </c>
      <c r="D637" s="72" t="s">
        <v>231</v>
      </c>
      <c r="E637" s="73"/>
      <c r="F637" s="73"/>
      <c r="G637" s="73"/>
      <c r="H637" s="73"/>
      <c r="I637" s="191"/>
      <c r="J637" s="19">
        <f t="shared" si="365"/>
        <v>0</v>
      </c>
      <c r="K637" s="167" t="s">
        <v>57</v>
      </c>
      <c r="L637" s="168">
        <v>0</v>
      </c>
      <c r="M637" s="168">
        <v>0</v>
      </c>
      <c r="N637" s="169">
        <f t="shared" si="307"/>
        <v>0</v>
      </c>
      <c r="O637" s="169">
        <f t="shared" si="308"/>
        <v>0</v>
      </c>
      <c r="P637" s="312">
        <f t="shared" si="309"/>
        <v>0</v>
      </c>
      <c r="Q637" s="335"/>
    </row>
    <row r="638" spans="1:17" ht="30" customHeight="1" x14ac:dyDescent="0.35">
      <c r="A638" s="18">
        <f t="shared" si="318"/>
        <v>601</v>
      </c>
      <c r="B638" s="26" t="s">
        <v>198</v>
      </c>
      <c r="C638" s="129" t="s">
        <v>198</v>
      </c>
      <c r="D638" s="72" t="s">
        <v>232</v>
      </c>
      <c r="E638" s="73"/>
      <c r="F638" s="73"/>
      <c r="G638" s="73"/>
      <c r="H638" s="73"/>
      <c r="I638" s="191"/>
      <c r="J638" s="19">
        <f t="shared" si="306"/>
        <v>0</v>
      </c>
      <c r="K638" s="167" t="s">
        <v>22</v>
      </c>
      <c r="L638" s="168">
        <v>0</v>
      </c>
      <c r="M638" s="168">
        <v>0</v>
      </c>
      <c r="N638" s="169">
        <f t="shared" si="307"/>
        <v>0</v>
      </c>
      <c r="O638" s="169">
        <f t="shared" si="308"/>
        <v>0</v>
      </c>
      <c r="P638" s="312">
        <f t="shared" si="309"/>
        <v>0</v>
      </c>
      <c r="Q638" s="335"/>
    </row>
    <row r="639" spans="1:17" ht="28" customHeight="1" x14ac:dyDescent="0.35">
      <c r="A639" s="38">
        <f>A638+1</f>
        <v>602</v>
      </c>
      <c r="B639" s="39" t="s">
        <v>198</v>
      </c>
      <c r="C639" s="128" t="s">
        <v>198</v>
      </c>
      <c r="D639" s="274" t="s">
        <v>233</v>
      </c>
      <c r="E639" s="275"/>
      <c r="F639" s="275"/>
      <c r="G639" s="275"/>
      <c r="H639" s="276"/>
      <c r="I639" s="277"/>
      <c r="J639" s="24">
        <f t="shared" si="306"/>
        <v>0</v>
      </c>
      <c r="K639" s="278" t="s">
        <v>22</v>
      </c>
      <c r="L639" s="195">
        <v>0</v>
      </c>
      <c r="M639" s="195">
        <v>0</v>
      </c>
      <c r="N639" s="196">
        <f t="shared" si="307"/>
        <v>0</v>
      </c>
      <c r="O639" s="196">
        <f t="shared" si="308"/>
        <v>0</v>
      </c>
      <c r="P639" s="313">
        <f t="shared" si="309"/>
        <v>0</v>
      </c>
      <c r="Q639" s="344"/>
    </row>
    <row r="640" spans="1:17" ht="28" customHeight="1" x14ac:dyDescent="0.35">
      <c r="A640" s="18">
        <f t="shared" ref="A640" si="372">A639+1</f>
        <v>603</v>
      </c>
      <c r="B640" s="26" t="s">
        <v>198</v>
      </c>
      <c r="C640" s="129" t="s">
        <v>198</v>
      </c>
      <c r="D640" s="43" t="s">
        <v>358</v>
      </c>
      <c r="E640" s="5"/>
      <c r="F640" s="5"/>
      <c r="G640" s="5"/>
      <c r="H640" s="5"/>
      <c r="I640" s="20"/>
      <c r="J640" s="19">
        <f>I640</f>
        <v>0</v>
      </c>
      <c r="K640" s="171"/>
      <c r="L640" s="168">
        <v>0</v>
      </c>
      <c r="M640" s="168">
        <v>0</v>
      </c>
      <c r="N640" s="169">
        <f>L640*J640</f>
        <v>0</v>
      </c>
      <c r="O640" s="169">
        <f>M640*J640</f>
        <v>0</v>
      </c>
      <c r="P640" s="312">
        <f>(L640*J640)+(M640*J640)</f>
        <v>0</v>
      </c>
      <c r="Q640" s="326"/>
    </row>
    <row r="641" spans="1:17" ht="28" customHeight="1" thickBot="1" x14ac:dyDescent="0.4">
      <c r="A641" s="38">
        <f>A640+1</f>
        <v>604</v>
      </c>
      <c r="B641" s="39" t="s">
        <v>198</v>
      </c>
      <c r="C641" s="128" t="s">
        <v>198</v>
      </c>
      <c r="D641" s="45" t="s">
        <v>358</v>
      </c>
      <c r="E641" s="40"/>
      <c r="F641" s="40"/>
      <c r="G641" s="40"/>
      <c r="H641" s="40"/>
      <c r="I641" s="41"/>
      <c r="J641" s="24">
        <f>I641</f>
        <v>0</v>
      </c>
      <c r="K641" s="194"/>
      <c r="L641" s="195">
        <v>0</v>
      </c>
      <c r="M641" s="195">
        <v>0</v>
      </c>
      <c r="N641" s="196">
        <f>L641*J641</f>
        <v>0</v>
      </c>
      <c r="O641" s="196">
        <f>M641*J641</f>
        <v>0</v>
      </c>
      <c r="P641" s="313">
        <f>(L641*J641)+(M641*J641)</f>
        <v>0</v>
      </c>
      <c r="Q641" s="328"/>
    </row>
    <row r="642" spans="1:17" ht="32.25" customHeight="1" thickBot="1" x14ac:dyDescent="0.4">
      <c r="A642" s="92"/>
      <c r="B642" s="93"/>
      <c r="C642" s="94"/>
      <c r="D642" s="279"/>
      <c r="E642" s="280"/>
      <c r="F642" s="280"/>
      <c r="G642" s="280"/>
      <c r="H642" s="95"/>
      <c r="I642" s="281"/>
      <c r="J642" s="282"/>
      <c r="K642" s="91"/>
      <c r="L642" s="42"/>
      <c r="M642" s="42" t="s">
        <v>234</v>
      </c>
      <c r="N642" s="42"/>
      <c r="O642" s="42"/>
      <c r="P642" s="321">
        <f>SUM(P10:P639)</f>
        <v>0</v>
      </c>
      <c r="Q642" s="351"/>
    </row>
    <row r="643" spans="1:17" ht="28" customHeight="1" thickBot="1" x14ac:dyDescent="0.4">
      <c r="A643" s="96"/>
      <c r="B643" s="97"/>
      <c r="C643" s="98"/>
      <c r="D643" s="283" t="s">
        <v>235</v>
      </c>
      <c r="E643" s="284"/>
      <c r="F643" s="284"/>
      <c r="G643" s="284"/>
      <c r="H643" s="284"/>
      <c r="I643" s="284"/>
      <c r="J643" s="284"/>
      <c r="K643" s="285"/>
      <c r="L643" s="284"/>
      <c r="M643" s="284"/>
      <c r="N643" s="284"/>
      <c r="O643" s="284"/>
      <c r="P643" s="322"/>
      <c r="Q643" s="352"/>
    </row>
    <row r="644" spans="1:17" ht="18" customHeight="1" x14ac:dyDescent="0.3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353"/>
    </row>
    <row r="645" spans="1:17" ht="26.5" customHeight="1" x14ac:dyDescent="0.35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354"/>
    </row>
    <row r="646" spans="1:17" ht="26.5" customHeight="1" x14ac:dyDescent="0.35">
      <c r="A646" s="99"/>
      <c r="B646" s="99"/>
      <c r="C646" s="364" t="s">
        <v>236</v>
      </c>
      <c r="D646" s="367" t="s">
        <v>237</v>
      </c>
      <c r="E646" s="14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354"/>
    </row>
    <row r="647" spans="1:17" ht="26.5" customHeight="1" x14ac:dyDescent="0.35">
      <c r="A647" s="99"/>
      <c r="B647" s="99"/>
      <c r="C647" s="365"/>
      <c r="D647" s="368"/>
      <c r="E647" s="14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354"/>
    </row>
    <row r="648" spans="1:17" ht="26.5" customHeight="1" x14ac:dyDescent="0.35">
      <c r="A648" s="99"/>
      <c r="B648" s="99"/>
      <c r="C648" s="366"/>
      <c r="D648" s="369"/>
      <c r="E648" s="14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354"/>
    </row>
    <row r="649" spans="1:17" ht="23.5" customHeight="1" x14ac:dyDescent="0.35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354"/>
    </row>
    <row r="650" spans="1:17" ht="23.5" customHeight="1" thickBot="1" x14ac:dyDescent="0.4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354"/>
    </row>
    <row r="651" spans="1:17" ht="63.5" thickBot="1" x14ac:dyDescent="0.4">
      <c r="A651" s="33" t="s">
        <v>13</v>
      </c>
      <c r="B651" s="64"/>
      <c r="C651" s="119" t="s">
        <v>14</v>
      </c>
      <c r="D651" s="120" t="s">
        <v>15</v>
      </c>
      <c r="E651" s="65" t="s">
        <v>16</v>
      </c>
      <c r="F651" s="65" t="s">
        <v>17</v>
      </c>
      <c r="G651" s="65" t="s">
        <v>18</v>
      </c>
      <c r="H651" s="65" t="s">
        <v>238</v>
      </c>
      <c r="I651" s="66" t="s">
        <v>20</v>
      </c>
      <c r="J651" s="67" t="s">
        <v>21</v>
      </c>
      <c r="K651" s="66" t="s">
        <v>22</v>
      </c>
      <c r="L651" s="66" t="s">
        <v>23</v>
      </c>
      <c r="M651" s="66" t="s">
        <v>24</v>
      </c>
      <c r="N651" s="66"/>
      <c r="O651" s="66"/>
      <c r="P651" s="323" t="s">
        <v>27</v>
      </c>
      <c r="Q651" s="355" t="s">
        <v>544</v>
      </c>
    </row>
    <row r="652" spans="1:17" ht="23.25" customHeight="1" thickBot="1" x14ac:dyDescent="0.4">
      <c r="A652" s="117"/>
      <c r="B652" s="92" t="s">
        <v>239</v>
      </c>
      <c r="C652" s="137" t="s">
        <v>240</v>
      </c>
      <c r="D652" s="273" t="s">
        <v>240</v>
      </c>
      <c r="E652" s="263"/>
      <c r="F652" s="263"/>
      <c r="G652" s="263"/>
      <c r="H652" s="264"/>
      <c r="I652" s="286"/>
      <c r="J652" s="287"/>
      <c r="K652" s="267"/>
      <c r="L652" s="288"/>
      <c r="M652" s="288"/>
      <c r="N652" s="288"/>
      <c r="O652" s="288"/>
      <c r="P652" s="324"/>
      <c r="Q652" s="351"/>
    </row>
    <row r="653" spans="1:17" ht="21" x14ac:dyDescent="0.35">
      <c r="A653" s="113">
        <v>1</v>
      </c>
      <c r="B653" s="114" t="s">
        <v>239</v>
      </c>
      <c r="C653" s="127" t="s">
        <v>240</v>
      </c>
      <c r="D653" s="77" t="s">
        <v>241</v>
      </c>
      <c r="E653" s="78" t="s">
        <v>242</v>
      </c>
      <c r="F653" s="78"/>
      <c r="G653" s="78" t="s">
        <v>243</v>
      </c>
      <c r="H653" s="78"/>
      <c r="I653" s="189"/>
      <c r="J653" s="32">
        <f t="shared" ref="J653:J729" si="373">I653</f>
        <v>0</v>
      </c>
      <c r="K653" s="272" t="s">
        <v>51</v>
      </c>
      <c r="L653" s="185">
        <v>0</v>
      </c>
      <c r="M653" s="185">
        <v>0</v>
      </c>
      <c r="N653" s="186">
        <f t="shared" ref="N653:N729" si="374">L653*J653</f>
        <v>0</v>
      </c>
      <c r="O653" s="186">
        <f t="shared" ref="O653:O729" si="375">M653*J653</f>
        <v>0</v>
      </c>
      <c r="P653" s="311">
        <f>(L653*J653)+(M653*J653)</f>
        <v>0</v>
      </c>
      <c r="Q653" s="336"/>
    </row>
    <row r="654" spans="1:17" ht="21" x14ac:dyDescent="0.35">
      <c r="A654" s="115">
        <f>A653+1</f>
        <v>2</v>
      </c>
      <c r="B654" s="116" t="s">
        <v>239</v>
      </c>
      <c r="C654" s="129" t="s">
        <v>240</v>
      </c>
      <c r="D654" s="72" t="s">
        <v>241</v>
      </c>
      <c r="E654" s="73" t="s">
        <v>242</v>
      </c>
      <c r="F654" s="73"/>
      <c r="G654" s="73" t="s">
        <v>244</v>
      </c>
      <c r="H654" s="73"/>
      <c r="I654" s="191"/>
      <c r="J654" s="19">
        <f t="shared" si="373"/>
        <v>0</v>
      </c>
      <c r="K654" s="259" t="s">
        <v>51</v>
      </c>
      <c r="L654" s="168">
        <v>0</v>
      </c>
      <c r="M654" s="168">
        <v>0</v>
      </c>
      <c r="N654" s="169">
        <f t="shared" si="374"/>
        <v>0</v>
      </c>
      <c r="O654" s="169">
        <f t="shared" si="375"/>
        <v>0</v>
      </c>
      <c r="P654" s="312">
        <f t="shared" ref="P654:P729" si="376">(L654*J654)+(M654*J654)</f>
        <v>0</v>
      </c>
      <c r="Q654" s="335"/>
    </row>
    <row r="655" spans="1:17" ht="21" x14ac:dyDescent="0.35">
      <c r="A655" s="115">
        <f t="shared" ref="A655:A718" si="377">A654+1</f>
        <v>3</v>
      </c>
      <c r="B655" s="116" t="s">
        <v>239</v>
      </c>
      <c r="C655" s="129" t="s">
        <v>240</v>
      </c>
      <c r="D655" s="72" t="s">
        <v>241</v>
      </c>
      <c r="E655" s="73" t="s">
        <v>242</v>
      </c>
      <c r="F655" s="73"/>
      <c r="G655" s="73" t="s">
        <v>245</v>
      </c>
      <c r="H655" s="73"/>
      <c r="I655" s="191"/>
      <c r="J655" s="19">
        <f t="shared" si="373"/>
        <v>0</v>
      </c>
      <c r="K655" s="259" t="s">
        <v>51</v>
      </c>
      <c r="L655" s="168">
        <v>0</v>
      </c>
      <c r="M655" s="168">
        <v>0</v>
      </c>
      <c r="N655" s="169">
        <f t="shared" si="374"/>
        <v>0</v>
      </c>
      <c r="O655" s="169">
        <f t="shared" si="375"/>
        <v>0</v>
      </c>
      <c r="P655" s="312">
        <f t="shared" si="376"/>
        <v>0</v>
      </c>
      <c r="Q655" s="335"/>
    </row>
    <row r="656" spans="1:17" ht="21" x14ac:dyDescent="0.35">
      <c r="A656" s="115">
        <f t="shared" si="377"/>
        <v>4</v>
      </c>
      <c r="B656" s="116" t="s">
        <v>239</v>
      </c>
      <c r="C656" s="129" t="s">
        <v>240</v>
      </c>
      <c r="D656" s="72" t="s">
        <v>241</v>
      </c>
      <c r="E656" s="73" t="s">
        <v>242</v>
      </c>
      <c r="F656" s="73"/>
      <c r="G656" s="73" t="s">
        <v>246</v>
      </c>
      <c r="H656" s="73"/>
      <c r="I656" s="191"/>
      <c r="J656" s="19">
        <f t="shared" si="373"/>
        <v>0</v>
      </c>
      <c r="K656" s="259" t="s">
        <v>51</v>
      </c>
      <c r="L656" s="168">
        <v>0</v>
      </c>
      <c r="M656" s="168">
        <v>0</v>
      </c>
      <c r="N656" s="169">
        <f t="shared" si="374"/>
        <v>0</v>
      </c>
      <c r="O656" s="169">
        <f t="shared" si="375"/>
        <v>0</v>
      </c>
      <c r="P656" s="312">
        <f t="shared" si="376"/>
        <v>0</v>
      </c>
      <c r="Q656" s="335"/>
    </row>
    <row r="657" spans="1:17" ht="21" x14ac:dyDescent="0.35">
      <c r="A657" s="115">
        <f t="shared" si="377"/>
        <v>5</v>
      </c>
      <c r="B657" s="116" t="s">
        <v>239</v>
      </c>
      <c r="C657" s="129" t="s">
        <v>240</v>
      </c>
      <c r="D657" s="72" t="s">
        <v>241</v>
      </c>
      <c r="E657" s="73" t="s">
        <v>242</v>
      </c>
      <c r="F657" s="73"/>
      <c r="G657" s="73" t="s">
        <v>247</v>
      </c>
      <c r="H657" s="73"/>
      <c r="I657" s="191"/>
      <c r="J657" s="19">
        <f t="shared" si="373"/>
        <v>0</v>
      </c>
      <c r="K657" s="259" t="s">
        <v>51</v>
      </c>
      <c r="L657" s="168">
        <v>0</v>
      </c>
      <c r="M657" s="168">
        <v>0</v>
      </c>
      <c r="N657" s="169">
        <f t="shared" si="374"/>
        <v>0</v>
      </c>
      <c r="O657" s="169">
        <f t="shared" si="375"/>
        <v>0</v>
      </c>
      <c r="P657" s="312">
        <f t="shared" si="376"/>
        <v>0</v>
      </c>
      <c r="Q657" s="335"/>
    </row>
    <row r="658" spans="1:17" ht="21" x14ac:dyDescent="0.35">
      <c r="A658" s="115">
        <f t="shared" si="377"/>
        <v>6</v>
      </c>
      <c r="B658" s="116" t="s">
        <v>239</v>
      </c>
      <c r="C658" s="129" t="s">
        <v>240</v>
      </c>
      <c r="D658" s="72" t="s">
        <v>241</v>
      </c>
      <c r="E658" s="73" t="s">
        <v>242</v>
      </c>
      <c r="F658" s="73"/>
      <c r="G658" s="73" t="s">
        <v>248</v>
      </c>
      <c r="H658" s="73"/>
      <c r="I658" s="191"/>
      <c r="J658" s="19">
        <f t="shared" si="373"/>
        <v>0</v>
      </c>
      <c r="K658" s="259" t="s">
        <v>51</v>
      </c>
      <c r="L658" s="168">
        <v>0</v>
      </c>
      <c r="M658" s="168">
        <v>0</v>
      </c>
      <c r="N658" s="169">
        <f t="shared" si="374"/>
        <v>0</v>
      </c>
      <c r="O658" s="169">
        <f t="shared" si="375"/>
        <v>0</v>
      </c>
      <c r="P658" s="312">
        <f t="shared" si="376"/>
        <v>0</v>
      </c>
      <c r="Q658" s="335"/>
    </row>
    <row r="659" spans="1:17" ht="21" x14ac:dyDescent="0.35">
      <c r="A659" s="115">
        <f t="shared" si="377"/>
        <v>7</v>
      </c>
      <c r="B659" s="116" t="s">
        <v>239</v>
      </c>
      <c r="C659" s="129" t="s">
        <v>240</v>
      </c>
      <c r="D659" s="72" t="s">
        <v>241</v>
      </c>
      <c r="E659" s="73" t="s">
        <v>242</v>
      </c>
      <c r="F659" s="73"/>
      <c r="G659" s="73" t="s">
        <v>249</v>
      </c>
      <c r="H659" s="73"/>
      <c r="I659" s="191"/>
      <c r="J659" s="19">
        <f t="shared" si="373"/>
        <v>0</v>
      </c>
      <c r="K659" s="259" t="s">
        <v>51</v>
      </c>
      <c r="L659" s="168">
        <v>0</v>
      </c>
      <c r="M659" s="168">
        <v>0</v>
      </c>
      <c r="N659" s="169">
        <f t="shared" si="374"/>
        <v>0</v>
      </c>
      <c r="O659" s="169">
        <f t="shared" si="375"/>
        <v>0</v>
      </c>
      <c r="P659" s="312">
        <f t="shared" si="376"/>
        <v>0</v>
      </c>
      <c r="Q659" s="335"/>
    </row>
    <row r="660" spans="1:17" ht="21" x14ac:dyDescent="0.35">
      <c r="A660" s="115">
        <f t="shared" si="377"/>
        <v>8</v>
      </c>
      <c r="B660" s="116" t="s">
        <v>239</v>
      </c>
      <c r="C660" s="129" t="s">
        <v>240</v>
      </c>
      <c r="D660" s="72" t="s">
        <v>241</v>
      </c>
      <c r="E660" s="73" t="s">
        <v>242</v>
      </c>
      <c r="F660" s="73"/>
      <c r="G660" s="73" t="s">
        <v>250</v>
      </c>
      <c r="H660" s="73"/>
      <c r="I660" s="191"/>
      <c r="J660" s="19">
        <f t="shared" si="373"/>
        <v>0</v>
      </c>
      <c r="K660" s="259" t="s">
        <v>51</v>
      </c>
      <c r="L660" s="168">
        <v>0</v>
      </c>
      <c r="M660" s="168">
        <v>0</v>
      </c>
      <c r="N660" s="169">
        <f t="shared" si="374"/>
        <v>0</v>
      </c>
      <c r="O660" s="169">
        <f t="shared" si="375"/>
        <v>0</v>
      </c>
      <c r="P660" s="312">
        <f t="shared" si="376"/>
        <v>0</v>
      </c>
      <c r="Q660" s="335"/>
    </row>
    <row r="661" spans="1:17" ht="21" x14ac:dyDescent="0.35">
      <c r="A661" s="115">
        <f t="shared" si="377"/>
        <v>9</v>
      </c>
      <c r="B661" s="116" t="s">
        <v>239</v>
      </c>
      <c r="C661" s="129" t="s">
        <v>240</v>
      </c>
      <c r="D661" s="72" t="s">
        <v>241</v>
      </c>
      <c r="E661" s="73" t="s">
        <v>242</v>
      </c>
      <c r="F661" s="73"/>
      <c r="G661" s="73" t="s">
        <v>251</v>
      </c>
      <c r="H661" s="73"/>
      <c r="I661" s="191"/>
      <c r="J661" s="19">
        <f t="shared" si="373"/>
        <v>0</v>
      </c>
      <c r="K661" s="259" t="s">
        <v>51</v>
      </c>
      <c r="L661" s="168">
        <v>0</v>
      </c>
      <c r="M661" s="168">
        <v>0</v>
      </c>
      <c r="N661" s="169">
        <f t="shared" si="374"/>
        <v>0</v>
      </c>
      <c r="O661" s="169">
        <f t="shared" si="375"/>
        <v>0</v>
      </c>
      <c r="P661" s="312">
        <f t="shared" si="376"/>
        <v>0</v>
      </c>
      <c r="Q661" s="335"/>
    </row>
    <row r="662" spans="1:17" ht="21" x14ac:dyDescent="0.35">
      <c r="A662" s="115">
        <f t="shared" si="377"/>
        <v>10</v>
      </c>
      <c r="B662" s="116" t="s">
        <v>239</v>
      </c>
      <c r="C662" s="129" t="s">
        <v>240</v>
      </c>
      <c r="D662" s="72" t="s">
        <v>241</v>
      </c>
      <c r="E662" s="73" t="s">
        <v>242</v>
      </c>
      <c r="F662" s="73"/>
      <c r="G662" s="73" t="s">
        <v>412</v>
      </c>
      <c r="H662" s="73"/>
      <c r="I662" s="191"/>
      <c r="J662" s="19">
        <f t="shared" ref="J662:J666" si="378">I662</f>
        <v>0</v>
      </c>
      <c r="K662" s="259" t="s">
        <v>51</v>
      </c>
      <c r="L662" s="168">
        <v>0</v>
      </c>
      <c r="M662" s="168">
        <v>0</v>
      </c>
      <c r="N662" s="169">
        <f t="shared" ref="N662:N666" si="379">L662*J662</f>
        <v>0</v>
      </c>
      <c r="O662" s="169">
        <f t="shared" ref="O662:O666" si="380">M662*J662</f>
        <v>0</v>
      </c>
      <c r="P662" s="312">
        <f t="shared" ref="P662:P666" si="381">(L662*J662)+(M662*J662)</f>
        <v>0</v>
      </c>
      <c r="Q662" s="335"/>
    </row>
    <row r="663" spans="1:17" ht="21" x14ac:dyDescent="0.35">
      <c r="A663" s="115">
        <f t="shared" si="377"/>
        <v>11</v>
      </c>
      <c r="B663" s="116" t="s">
        <v>239</v>
      </c>
      <c r="C663" s="129" t="s">
        <v>240</v>
      </c>
      <c r="D663" s="72" t="s">
        <v>241</v>
      </c>
      <c r="E663" s="73" t="s">
        <v>242</v>
      </c>
      <c r="F663" s="73"/>
      <c r="G663" s="73" t="s">
        <v>413</v>
      </c>
      <c r="H663" s="73"/>
      <c r="I663" s="191"/>
      <c r="J663" s="19">
        <f t="shared" si="378"/>
        <v>0</v>
      </c>
      <c r="K663" s="259" t="s">
        <v>51</v>
      </c>
      <c r="L663" s="168">
        <v>0</v>
      </c>
      <c r="M663" s="168">
        <v>0</v>
      </c>
      <c r="N663" s="169">
        <f t="shared" si="379"/>
        <v>0</v>
      </c>
      <c r="O663" s="169">
        <f t="shared" si="380"/>
        <v>0</v>
      </c>
      <c r="P663" s="312">
        <f t="shared" si="381"/>
        <v>0</v>
      </c>
      <c r="Q663" s="335"/>
    </row>
    <row r="664" spans="1:17" ht="21" x14ac:dyDescent="0.35">
      <c r="A664" s="115">
        <f t="shared" si="377"/>
        <v>12</v>
      </c>
      <c r="B664" s="116" t="s">
        <v>239</v>
      </c>
      <c r="C664" s="129" t="s">
        <v>240</v>
      </c>
      <c r="D664" s="72" t="s">
        <v>241</v>
      </c>
      <c r="E664" s="73" t="s">
        <v>242</v>
      </c>
      <c r="F664" s="73"/>
      <c r="G664" s="73" t="s">
        <v>414</v>
      </c>
      <c r="H664" s="73"/>
      <c r="I664" s="191"/>
      <c r="J664" s="19">
        <f t="shared" si="378"/>
        <v>0</v>
      </c>
      <c r="K664" s="259" t="s">
        <v>51</v>
      </c>
      <c r="L664" s="168">
        <v>0</v>
      </c>
      <c r="M664" s="168">
        <v>0</v>
      </c>
      <c r="N664" s="169">
        <f t="shared" si="379"/>
        <v>0</v>
      </c>
      <c r="O664" s="169">
        <f t="shared" si="380"/>
        <v>0</v>
      </c>
      <c r="P664" s="312">
        <f t="shared" si="381"/>
        <v>0</v>
      </c>
      <c r="Q664" s="335"/>
    </row>
    <row r="665" spans="1:17" ht="21" x14ac:dyDescent="0.35">
      <c r="A665" s="115">
        <f t="shared" si="377"/>
        <v>13</v>
      </c>
      <c r="B665" s="116" t="s">
        <v>239</v>
      </c>
      <c r="C665" s="129" t="s">
        <v>240</v>
      </c>
      <c r="D665" s="72" t="s">
        <v>241</v>
      </c>
      <c r="E665" s="73" t="s">
        <v>242</v>
      </c>
      <c r="F665" s="73"/>
      <c r="G665" s="73" t="s">
        <v>415</v>
      </c>
      <c r="H665" s="73"/>
      <c r="I665" s="191"/>
      <c r="J665" s="19">
        <f t="shared" si="378"/>
        <v>0</v>
      </c>
      <c r="K665" s="259" t="s">
        <v>51</v>
      </c>
      <c r="L665" s="168">
        <v>0</v>
      </c>
      <c r="M665" s="168">
        <v>0</v>
      </c>
      <c r="N665" s="169">
        <f t="shared" si="379"/>
        <v>0</v>
      </c>
      <c r="O665" s="169">
        <f t="shared" si="380"/>
        <v>0</v>
      </c>
      <c r="P665" s="312">
        <f t="shared" si="381"/>
        <v>0</v>
      </c>
      <c r="Q665" s="335"/>
    </row>
    <row r="666" spans="1:17" ht="21" x14ac:dyDescent="0.35">
      <c r="A666" s="115">
        <f t="shared" si="377"/>
        <v>14</v>
      </c>
      <c r="B666" s="116" t="s">
        <v>239</v>
      </c>
      <c r="C666" s="129" t="s">
        <v>240</v>
      </c>
      <c r="D666" s="72" t="s">
        <v>241</v>
      </c>
      <c r="E666" s="73" t="s">
        <v>242</v>
      </c>
      <c r="F666" s="73"/>
      <c r="G666" s="73" t="s">
        <v>416</v>
      </c>
      <c r="H666" s="73"/>
      <c r="I666" s="191"/>
      <c r="J666" s="19">
        <f t="shared" si="378"/>
        <v>0</v>
      </c>
      <c r="K666" s="259" t="s">
        <v>51</v>
      </c>
      <c r="L666" s="168">
        <v>0</v>
      </c>
      <c r="M666" s="168">
        <v>0</v>
      </c>
      <c r="N666" s="169">
        <f t="shared" si="379"/>
        <v>0</v>
      </c>
      <c r="O666" s="169">
        <f t="shared" si="380"/>
        <v>0</v>
      </c>
      <c r="P666" s="312">
        <f t="shared" si="381"/>
        <v>0</v>
      </c>
      <c r="Q666" s="335"/>
    </row>
    <row r="667" spans="1:17" ht="21" x14ac:dyDescent="0.35">
      <c r="A667" s="115">
        <f t="shared" si="377"/>
        <v>15</v>
      </c>
      <c r="B667" s="116" t="s">
        <v>239</v>
      </c>
      <c r="C667" s="129" t="s">
        <v>240</v>
      </c>
      <c r="D667" s="72" t="s">
        <v>241</v>
      </c>
      <c r="E667" s="73" t="s">
        <v>242</v>
      </c>
      <c r="F667" s="73"/>
      <c r="G667" s="73" t="s">
        <v>417</v>
      </c>
      <c r="H667" s="73"/>
      <c r="I667" s="191"/>
      <c r="J667" s="19">
        <f t="shared" ref="J667" si="382">I667</f>
        <v>0</v>
      </c>
      <c r="K667" s="259" t="s">
        <v>51</v>
      </c>
      <c r="L667" s="168">
        <v>0</v>
      </c>
      <c r="M667" s="168">
        <v>0</v>
      </c>
      <c r="N667" s="169">
        <f t="shared" ref="N667" si="383">L667*J667</f>
        <v>0</v>
      </c>
      <c r="O667" s="169">
        <f t="shared" ref="O667" si="384">M667*J667</f>
        <v>0</v>
      </c>
      <c r="P667" s="312">
        <f t="shared" ref="P667" si="385">(L667*J667)+(M667*J667)</f>
        <v>0</v>
      </c>
      <c r="Q667" s="335"/>
    </row>
    <row r="668" spans="1:17" ht="21" x14ac:dyDescent="0.35">
      <c r="A668" s="115">
        <f t="shared" si="377"/>
        <v>16</v>
      </c>
      <c r="B668" s="116" t="s">
        <v>239</v>
      </c>
      <c r="C668" s="129" t="s">
        <v>240</v>
      </c>
      <c r="D668" s="72" t="s">
        <v>241</v>
      </c>
      <c r="E668" s="73" t="s">
        <v>242</v>
      </c>
      <c r="F668" s="73"/>
      <c r="G668" s="73" t="s">
        <v>418</v>
      </c>
      <c r="H668" s="73"/>
      <c r="I668" s="191"/>
      <c r="J668" s="19">
        <f t="shared" si="373"/>
        <v>0</v>
      </c>
      <c r="K668" s="259" t="s">
        <v>51</v>
      </c>
      <c r="L668" s="168">
        <v>0</v>
      </c>
      <c r="M668" s="168">
        <v>0</v>
      </c>
      <c r="N668" s="169">
        <f t="shared" si="374"/>
        <v>0</v>
      </c>
      <c r="O668" s="169">
        <f t="shared" si="375"/>
        <v>0</v>
      </c>
      <c r="P668" s="312">
        <f t="shared" si="376"/>
        <v>0</v>
      </c>
      <c r="Q668" s="335"/>
    </row>
    <row r="669" spans="1:17" ht="21" x14ac:dyDescent="0.35">
      <c r="A669" s="115">
        <f t="shared" si="377"/>
        <v>17</v>
      </c>
      <c r="B669" s="116" t="s">
        <v>239</v>
      </c>
      <c r="C669" s="129" t="s">
        <v>240</v>
      </c>
      <c r="D669" s="72" t="s">
        <v>241</v>
      </c>
      <c r="E669" s="73" t="s">
        <v>242</v>
      </c>
      <c r="F669" s="73"/>
      <c r="G669" s="73" t="s">
        <v>252</v>
      </c>
      <c r="H669" s="73"/>
      <c r="I669" s="191"/>
      <c r="J669" s="19">
        <f t="shared" ref="J669" si="386">I669</f>
        <v>0</v>
      </c>
      <c r="K669" s="259" t="s">
        <v>51</v>
      </c>
      <c r="L669" s="168">
        <v>0</v>
      </c>
      <c r="M669" s="168">
        <v>0</v>
      </c>
      <c r="N669" s="169">
        <f t="shared" ref="N669" si="387">L669*J669</f>
        <v>0</v>
      </c>
      <c r="O669" s="169">
        <f t="shared" ref="O669" si="388">M669*J669</f>
        <v>0</v>
      </c>
      <c r="P669" s="312">
        <f t="shared" ref="P669" si="389">(L669*J669)+(M669*J669)</f>
        <v>0</v>
      </c>
      <c r="Q669" s="335"/>
    </row>
    <row r="670" spans="1:17" ht="21" x14ac:dyDescent="0.35">
      <c r="A670" s="115">
        <f t="shared" si="377"/>
        <v>18</v>
      </c>
      <c r="B670" s="116" t="s">
        <v>239</v>
      </c>
      <c r="C670" s="129" t="s">
        <v>240</v>
      </c>
      <c r="D670" s="72" t="s">
        <v>241</v>
      </c>
      <c r="E670" s="73" t="s">
        <v>242</v>
      </c>
      <c r="F670" s="73"/>
      <c r="G670" s="73" t="s">
        <v>419</v>
      </c>
      <c r="H670" s="73"/>
      <c r="I670" s="191"/>
      <c r="J670" s="19">
        <f t="shared" ref="J670" si="390">I670</f>
        <v>0</v>
      </c>
      <c r="K670" s="259" t="s">
        <v>51</v>
      </c>
      <c r="L670" s="168">
        <v>0</v>
      </c>
      <c r="M670" s="168">
        <v>0</v>
      </c>
      <c r="N670" s="169">
        <f t="shared" ref="N670" si="391">L670*J670</f>
        <v>0</v>
      </c>
      <c r="O670" s="169">
        <f t="shared" ref="O670" si="392">M670*J670</f>
        <v>0</v>
      </c>
      <c r="P670" s="312">
        <f t="shared" ref="P670" si="393">(L670*J670)+(M670*J670)</f>
        <v>0</v>
      </c>
      <c r="Q670" s="335"/>
    </row>
    <row r="671" spans="1:17" ht="21" x14ac:dyDescent="0.35">
      <c r="A671" s="115">
        <f t="shared" si="377"/>
        <v>19</v>
      </c>
      <c r="B671" s="116" t="s">
        <v>239</v>
      </c>
      <c r="C671" s="129" t="s">
        <v>240</v>
      </c>
      <c r="D671" s="72" t="s">
        <v>241</v>
      </c>
      <c r="E671" s="73" t="s">
        <v>242</v>
      </c>
      <c r="F671" s="73"/>
      <c r="G671" s="73" t="s">
        <v>253</v>
      </c>
      <c r="H671" s="73"/>
      <c r="I671" s="191"/>
      <c r="J671" s="19">
        <f t="shared" si="373"/>
        <v>0</v>
      </c>
      <c r="K671" s="259" t="s">
        <v>51</v>
      </c>
      <c r="L671" s="168">
        <v>0</v>
      </c>
      <c r="M671" s="168">
        <v>0</v>
      </c>
      <c r="N671" s="169">
        <f t="shared" si="374"/>
        <v>0</v>
      </c>
      <c r="O671" s="169">
        <f t="shared" si="375"/>
        <v>0</v>
      </c>
      <c r="P671" s="312">
        <f t="shared" si="376"/>
        <v>0</v>
      </c>
      <c r="Q671" s="335"/>
    </row>
    <row r="672" spans="1:17" ht="21" x14ac:dyDescent="0.35">
      <c r="A672" s="115">
        <f t="shared" si="377"/>
        <v>20</v>
      </c>
      <c r="B672" s="116" t="s">
        <v>239</v>
      </c>
      <c r="C672" s="129" t="s">
        <v>240</v>
      </c>
      <c r="D672" s="72" t="s">
        <v>241</v>
      </c>
      <c r="E672" s="73" t="s">
        <v>242</v>
      </c>
      <c r="F672" s="73"/>
      <c r="G672" s="73" t="s">
        <v>420</v>
      </c>
      <c r="H672" s="73"/>
      <c r="I672" s="191"/>
      <c r="J672" s="19">
        <f t="shared" ref="J672" si="394">I672</f>
        <v>0</v>
      </c>
      <c r="K672" s="259" t="s">
        <v>51</v>
      </c>
      <c r="L672" s="168">
        <v>0</v>
      </c>
      <c r="M672" s="168">
        <v>0</v>
      </c>
      <c r="N672" s="169">
        <f t="shared" ref="N672" si="395">L672*J672</f>
        <v>0</v>
      </c>
      <c r="O672" s="169">
        <f t="shared" ref="O672" si="396">M672*J672</f>
        <v>0</v>
      </c>
      <c r="P672" s="312">
        <f t="shared" ref="P672" si="397">(L672*J672)+(M672*J672)</f>
        <v>0</v>
      </c>
      <c r="Q672" s="335"/>
    </row>
    <row r="673" spans="1:17" ht="21" x14ac:dyDescent="0.35">
      <c r="A673" s="115">
        <f t="shared" si="377"/>
        <v>21</v>
      </c>
      <c r="B673" s="116" t="s">
        <v>239</v>
      </c>
      <c r="C673" s="129" t="s">
        <v>240</v>
      </c>
      <c r="D673" s="72" t="s">
        <v>241</v>
      </c>
      <c r="E673" s="73" t="s">
        <v>242</v>
      </c>
      <c r="F673" s="73"/>
      <c r="G673" s="73" t="s">
        <v>254</v>
      </c>
      <c r="H673" s="73"/>
      <c r="I673" s="191"/>
      <c r="J673" s="19">
        <f t="shared" si="373"/>
        <v>0</v>
      </c>
      <c r="K673" s="259" t="s">
        <v>51</v>
      </c>
      <c r="L673" s="168">
        <v>0</v>
      </c>
      <c r="M673" s="168">
        <v>0</v>
      </c>
      <c r="N673" s="169">
        <f t="shared" si="374"/>
        <v>0</v>
      </c>
      <c r="O673" s="169">
        <f t="shared" si="375"/>
        <v>0</v>
      </c>
      <c r="P673" s="312">
        <f t="shared" si="376"/>
        <v>0</v>
      </c>
      <c r="Q673" s="335"/>
    </row>
    <row r="674" spans="1:17" ht="21" x14ac:dyDescent="0.35">
      <c r="A674" s="115">
        <f t="shared" si="377"/>
        <v>22</v>
      </c>
      <c r="B674" s="116" t="s">
        <v>239</v>
      </c>
      <c r="C674" s="129" t="s">
        <v>240</v>
      </c>
      <c r="D674" s="72" t="s">
        <v>241</v>
      </c>
      <c r="E674" s="73" t="s">
        <v>242</v>
      </c>
      <c r="F674" s="73"/>
      <c r="G674" s="73" t="s">
        <v>255</v>
      </c>
      <c r="H674" s="73"/>
      <c r="I674" s="191"/>
      <c r="J674" s="19">
        <f t="shared" si="373"/>
        <v>0</v>
      </c>
      <c r="K674" s="259" t="s">
        <v>51</v>
      </c>
      <c r="L674" s="168">
        <v>0</v>
      </c>
      <c r="M674" s="168">
        <v>0</v>
      </c>
      <c r="N674" s="169">
        <f t="shared" si="374"/>
        <v>0</v>
      </c>
      <c r="O674" s="169">
        <f t="shared" si="375"/>
        <v>0</v>
      </c>
      <c r="P674" s="312">
        <f t="shared" si="376"/>
        <v>0</v>
      </c>
      <c r="Q674" s="335"/>
    </row>
    <row r="675" spans="1:17" ht="21" x14ac:dyDescent="0.35">
      <c r="A675" s="115">
        <f t="shared" si="377"/>
        <v>23</v>
      </c>
      <c r="B675" s="116" t="s">
        <v>239</v>
      </c>
      <c r="C675" s="129" t="s">
        <v>240</v>
      </c>
      <c r="D675" s="72" t="s">
        <v>241</v>
      </c>
      <c r="E675" s="73" t="s">
        <v>242</v>
      </c>
      <c r="F675" s="73"/>
      <c r="G675" s="73" t="s">
        <v>256</v>
      </c>
      <c r="H675" s="73"/>
      <c r="I675" s="191"/>
      <c r="J675" s="19">
        <f t="shared" si="373"/>
        <v>0</v>
      </c>
      <c r="K675" s="259" t="s">
        <v>51</v>
      </c>
      <c r="L675" s="168">
        <v>0</v>
      </c>
      <c r="M675" s="168">
        <v>0</v>
      </c>
      <c r="N675" s="169">
        <f t="shared" si="374"/>
        <v>0</v>
      </c>
      <c r="O675" s="169">
        <f t="shared" si="375"/>
        <v>0</v>
      </c>
      <c r="P675" s="312">
        <f t="shared" si="376"/>
        <v>0</v>
      </c>
      <c r="Q675" s="335"/>
    </row>
    <row r="676" spans="1:17" ht="21" x14ac:dyDescent="0.35">
      <c r="A676" s="115">
        <f t="shared" si="377"/>
        <v>24</v>
      </c>
      <c r="B676" s="116" t="s">
        <v>239</v>
      </c>
      <c r="C676" s="129" t="s">
        <v>240</v>
      </c>
      <c r="D676" s="72" t="s">
        <v>241</v>
      </c>
      <c r="E676" s="73" t="s">
        <v>242</v>
      </c>
      <c r="F676" s="73"/>
      <c r="G676" s="73" t="s">
        <v>421</v>
      </c>
      <c r="H676" s="73"/>
      <c r="I676" s="191"/>
      <c r="J676" s="19">
        <f t="shared" ref="J676" si="398">I676</f>
        <v>0</v>
      </c>
      <c r="K676" s="259" t="s">
        <v>51</v>
      </c>
      <c r="L676" s="168">
        <v>0</v>
      </c>
      <c r="M676" s="168">
        <v>0</v>
      </c>
      <c r="N676" s="169">
        <f t="shared" ref="N676" si="399">L676*J676</f>
        <v>0</v>
      </c>
      <c r="O676" s="169">
        <f t="shared" ref="O676" si="400">M676*J676</f>
        <v>0</v>
      </c>
      <c r="P676" s="312">
        <f t="shared" ref="P676" si="401">(L676*J676)+(M676*J676)</f>
        <v>0</v>
      </c>
      <c r="Q676" s="335"/>
    </row>
    <row r="677" spans="1:17" ht="21" x14ac:dyDescent="0.35">
      <c r="A677" s="115">
        <f t="shared" si="377"/>
        <v>25</v>
      </c>
      <c r="B677" s="116" t="s">
        <v>239</v>
      </c>
      <c r="C677" s="129" t="s">
        <v>240</v>
      </c>
      <c r="D677" s="72" t="s">
        <v>241</v>
      </c>
      <c r="E677" s="73" t="s">
        <v>242</v>
      </c>
      <c r="F677" s="73"/>
      <c r="G677" s="73" t="s">
        <v>422</v>
      </c>
      <c r="H677" s="73"/>
      <c r="I677" s="191"/>
      <c r="J677" s="19">
        <f t="shared" ref="J677" si="402">I677</f>
        <v>0</v>
      </c>
      <c r="K677" s="259" t="s">
        <v>51</v>
      </c>
      <c r="L677" s="168">
        <v>0</v>
      </c>
      <c r="M677" s="168">
        <v>0</v>
      </c>
      <c r="N677" s="169">
        <f t="shared" ref="N677" si="403">L677*J677</f>
        <v>0</v>
      </c>
      <c r="O677" s="169">
        <f t="shared" ref="O677" si="404">M677*J677</f>
        <v>0</v>
      </c>
      <c r="P677" s="312">
        <f t="shared" ref="P677" si="405">(L677*J677)+(M677*J677)</f>
        <v>0</v>
      </c>
      <c r="Q677" s="335"/>
    </row>
    <row r="678" spans="1:17" ht="21" x14ac:dyDescent="0.35">
      <c r="A678" s="115">
        <f t="shared" si="377"/>
        <v>26</v>
      </c>
      <c r="B678" s="116" t="s">
        <v>239</v>
      </c>
      <c r="C678" s="129" t="s">
        <v>240</v>
      </c>
      <c r="D678" s="72" t="s">
        <v>241</v>
      </c>
      <c r="E678" s="73" t="s">
        <v>242</v>
      </c>
      <c r="F678" s="73"/>
      <c r="G678" s="73" t="s">
        <v>423</v>
      </c>
      <c r="H678" s="73"/>
      <c r="I678" s="191"/>
      <c r="J678" s="19">
        <f t="shared" ref="J678" si="406">I678</f>
        <v>0</v>
      </c>
      <c r="K678" s="259" t="s">
        <v>51</v>
      </c>
      <c r="L678" s="168">
        <v>0</v>
      </c>
      <c r="M678" s="168">
        <v>0</v>
      </c>
      <c r="N678" s="169">
        <f t="shared" ref="N678" si="407">L678*J678</f>
        <v>0</v>
      </c>
      <c r="O678" s="169">
        <f t="shared" ref="O678" si="408">M678*J678</f>
        <v>0</v>
      </c>
      <c r="P678" s="312">
        <f t="shared" ref="P678" si="409">(L678*J678)+(M678*J678)</f>
        <v>0</v>
      </c>
      <c r="Q678" s="335"/>
    </row>
    <row r="679" spans="1:17" ht="21" x14ac:dyDescent="0.35">
      <c r="A679" s="115">
        <f t="shared" si="377"/>
        <v>27</v>
      </c>
      <c r="B679" s="116" t="s">
        <v>239</v>
      </c>
      <c r="C679" s="129" t="s">
        <v>240</v>
      </c>
      <c r="D679" s="72" t="s">
        <v>241</v>
      </c>
      <c r="E679" s="73" t="s">
        <v>242</v>
      </c>
      <c r="F679" s="73"/>
      <c r="G679" s="73" t="s">
        <v>257</v>
      </c>
      <c r="H679" s="73"/>
      <c r="I679" s="191"/>
      <c r="J679" s="19">
        <f t="shared" si="373"/>
        <v>0</v>
      </c>
      <c r="K679" s="259" t="s">
        <v>51</v>
      </c>
      <c r="L679" s="168">
        <v>0</v>
      </c>
      <c r="M679" s="168">
        <v>0</v>
      </c>
      <c r="N679" s="169">
        <f t="shared" si="374"/>
        <v>0</v>
      </c>
      <c r="O679" s="169">
        <f t="shared" si="375"/>
        <v>0</v>
      </c>
      <c r="P679" s="312">
        <f t="shared" si="376"/>
        <v>0</v>
      </c>
      <c r="Q679" s="335"/>
    </row>
    <row r="680" spans="1:17" ht="21" x14ac:dyDescent="0.35">
      <c r="A680" s="115">
        <f t="shared" si="377"/>
        <v>28</v>
      </c>
      <c r="B680" s="116" t="s">
        <v>239</v>
      </c>
      <c r="C680" s="129" t="s">
        <v>240</v>
      </c>
      <c r="D680" s="72" t="s">
        <v>241</v>
      </c>
      <c r="E680" s="73" t="s">
        <v>242</v>
      </c>
      <c r="F680" s="73"/>
      <c r="G680" s="73" t="s">
        <v>258</v>
      </c>
      <c r="H680" s="73"/>
      <c r="I680" s="191"/>
      <c r="J680" s="19">
        <f t="shared" si="373"/>
        <v>0</v>
      </c>
      <c r="K680" s="259" t="s">
        <v>51</v>
      </c>
      <c r="L680" s="168">
        <v>0</v>
      </c>
      <c r="M680" s="168">
        <v>0</v>
      </c>
      <c r="N680" s="169">
        <f t="shared" si="374"/>
        <v>0</v>
      </c>
      <c r="O680" s="169">
        <f t="shared" si="375"/>
        <v>0</v>
      </c>
      <c r="P680" s="312">
        <f t="shared" si="376"/>
        <v>0</v>
      </c>
      <c r="Q680" s="335"/>
    </row>
    <row r="681" spans="1:17" ht="21" x14ac:dyDescent="0.35">
      <c r="A681" s="115">
        <f t="shared" si="377"/>
        <v>29</v>
      </c>
      <c r="B681" s="116" t="s">
        <v>239</v>
      </c>
      <c r="C681" s="129" t="s">
        <v>240</v>
      </c>
      <c r="D681" s="72" t="s">
        <v>241</v>
      </c>
      <c r="E681" s="73" t="s">
        <v>242</v>
      </c>
      <c r="F681" s="73"/>
      <c r="G681" s="73" t="s">
        <v>259</v>
      </c>
      <c r="H681" s="73"/>
      <c r="I681" s="191"/>
      <c r="J681" s="19">
        <f t="shared" si="373"/>
        <v>0</v>
      </c>
      <c r="K681" s="259" t="s">
        <v>51</v>
      </c>
      <c r="L681" s="168">
        <v>0</v>
      </c>
      <c r="M681" s="168">
        <v>0</v>
      </c>
      <c r="N681" s="169">
        <f t="shared" si="374"/>
        <v>0</v>
      </c>
      <c r="O681" s="169">
        <f t="shared" si="375"/>
        <v>0</v>
      </c>
      <c r="P681" s="312">
        <f t="shared" si="376"/>
        <v>0</v>
      </c>
      <c r="Q681" s="335"/>
    </row>
    <row r="682" spans="1:17" ht="21" x14ac:dyDescent="0.35">
      <c r="A682" s="115">
        <f t="shared" si="377"/>
        <v>30</v>
      </c>
      <c r="B682" s="116" t="s">
        <v>239</v>
      </c>
      <c r="C682" s="129" t="s">
        <v>240</v>
      </c>
      <c r="D682" s="72" t="s">
        <v>241</v>
      </c>
      <c r="E682" s="73" t="s">
        <v>242</v>
      </c>
      <c r="F682" s="73"/>
      <c r="G682" s="73" t="s">
        <v>260</v>
      </c>
      <c r="H682" s="73"/>
      <c r="I682" s="191"/>
      <c r="J682" s="19">
        <f t="shared" si="373"/>
        <v>0</v>
      </c>
      <c r="K682" s="259" t="s">
        <v>51</v>
      </c>
      <c r="L682" s="168">
        <v>0</v>
      </c>
      <c r="M682" s="168">
        <v>0</v>
      </c>
      <c r="N682" s="169">
        <f t="shared" si="374"/>
        <v>0</v>
      </c>
      <c r="O682" s="169">
        <f t="shared" si="375"/>
        <v>0</v>
      </c>
      <c r="P682" s="312">
        <f t="shared" si="376"/>
        <v>0</v>
      </c>
      <c r="Q682" s="335"/>
    </row>
    <row r="683" spans="1:17" ht="21" x14ac:dyDescent="0.35">
      <c r="A683" s="115">
        <f t="shared" si="377"/>
        <v>31</v>
      </c>
      <c r="B683" s="116" t="s">
        <v>239</v>
      </c>
      <c r="C683" s="129" t="s">
        <v>240</v>
      </c>
      <c r="D683" s="72" t="s">
        <v>241</v>
      </c>
      <c r="E683" s="73" t="s">
        <v>242</v>
      </c>
      <c r="F683" s="73"/>
      <c r="G683" s="73" t="s">
        <v>261</v>
      </c>
      <c r="H683" s="73"/>
      <c r="I683" s="191"/>
      <c r="J683" s="19">
        <f t="shared" si="373"/>
        <v>0</v>
      </c>
      <c r="K683" s="259" t="s">
        <v>51</v>
      </c>
      <c r="L683" s="168">
        <v>0</v>
      </c>
      <c r="M683" s="168">
        <v>0</v>
      </c>
      <c r="N683" s="169">
        <f t="shared" si="374"/>
        <v>0</v>
      </c>
      <c r="O683" s="169">
        <f t="shared" si="375"/>
        <v>0</v>
      </c>
      <c r="P683" s="312">
        <f t="shared" si="376"/>
        <v>0</v>
      </c>
      <c r="Q683" s="335"/>
    </row>
    <row r="684" spans="1:17" ht="21" x14ac:dyDescent="0.35">
      <c r="A684" s="115">
        <f t="shared" si="377"/>
        <v>32</v>
      </c>
      <c r="B684" s="116" t="s">
        <v>239</v>
      </c>
      <c r="C684" s="129" t="s">
        <v>240</v>
      </c>
      <c r="D684" s="72" t="s">
        <v>241</v>
      </c>
      <c r="E684" s="73" t="s">
        <v>242</v>
      </c>
      <c r="F684" s="73"/>
      <c r="G684" s="73" t="s">
        <v>262</v>
      </c>
      <c r="H684" s="73"/>
      <c r="I684" s="191"/>
      <c r="J684" s="19">
        <f t="shared" si="373"/>
        <v>0</v>
      </c>
      <c r="K684" s="259" t="s">
        <v>51</v>
      </c>
      <c r="L684" s="168">
        <v>0</v>
      </c>
      <c r="M684" s="168">
        <v>0</v>
      </c>
      <c r="N684" s="169">
        <f t="shared" si="374"/>
        <v>0</v>
      </c>
      <c r="O684" s="169">
        <f t="shared" si="375"/>
        <v>0</v>
      </c>
      <c r="P684" s="312">
        <f t="shared" si="376"/>
        <v>0</v>
      </c>
      <c r="Q684" s="335"/>
    </row>
    <row r="685" spans="1:17" ht="21" x14ac:dyDescent="0.35">
      <c r="A685" s="115">
        <f t="shared" si="377"/>
        <v>33</v>
      </c>
      <c r="B685" s="116" t="s">
        <v>239</v>
      </c>
      <c r="C685" s="129" t="s">
        <v>240</v>
      </c>
      <c r="D685" s="72" t="s">
        <v>241</v>
      </c>
      <c r="E685" s="73" t="s">
        <v>242</v>
      </c>
      <c r="F685" s="73"/>
      <c r="G685" s="73" t="s">
        <v>263</v>
      </c>
      <c r="H685" s="73"/>
      <c r="I685" s="191"/>
      <c r="J685" s="19">
        <f t="shared" si="373"/>
        <v>0</v>
      </c>
      <c r="K685" s="259" t="s">
        <v>51</v>
      </c>
      <c r="L685" s="168">
        <v>0</v>
      </c>
      <c r="M685" s="168">
        <v>0</v>
      </c>
      <c r="N685" s="169">
        <f t="shared" si="374"/>
        <v>0</v>
      </c>
      <c r="O685" s="169">
        <f t="shared" si="375"/>
        <v>0</v>
      </c>
      <c r="P685" s="312">
        <f t="shared" si="376"/>
        <v>0</v>
      </c>
      <c r="Q685" s="335"/>
    </row>
    <row r="686" spans="1:17" ht="21" x14ac:dyDescent="0.35">
      <c r="A686" s="115">
        <f t="shared" si="377"/>
        <v>34</v>
      </c>
      <c r="B686" s="116" t="s">
        <v>239</v>
      </c>
      <c r="C686" s="129" t="s">
        <v>240</v>
      </c>
      <c r="D686" s="72" t="s">
        <v>241</v>
      </c>
      <c r="E686" s="73" t="s">
        <v>242</v>
      </c>
      <c r="F686" s="73"/>
      <c r="G686" s="73" t="s">
        <v>424</v>
      </c>
      <c r="H686" s="73"/>
      <c r="I686" s="191"/>
      <c r="J686" s="19">
        <f t="shared" ref="J686:J689" si="410">I686</f>
        <v>0</v>
      </c>
      <c r="K686" s="259" t="s">
        <v>51</v>
      </c>
      <c r="L686" s="168">
        <v>0</v>
      </c>
      <c r="M686" s="168">
        <v>0</v>
      </c>
      <c r="N686" s="169">
        <f t="shared" ref="N686:N689" si="411">L686*J686</f>
        <v>0</v>
      </c>
      <c r="O686" s="169">
        <f t="shared" ref="O686:O689" si="412">M686*J686</f>
        <v>0</v>
      </c>
      <c r="P686" s="312">
        <f t="shared" ref="P686:P689" si="413">(L686*J686)+(M686*J686)</f>
        <v>0</v>
      </c>
      <c r="Q686" s="335"/>
    </row>
    <row r="687" spans="1:17" ht="21" x14ac:dyDescent="0.35">
      <c r="A687" s="115">
        <f t="shared" si="377"/>
        <v>35</v>
      </c>
      <c r="B687" s="116" t="s">
        <v>239</v>
      </c>
      <c r="C687" s="129" t="s">
        <v>240</v>
      </c>
      <c r="D687" s="72" t="s">
        <v>241</v>
      </c>
      <c r="E687" s="73" t="s">
        <v>242</v>
      </c>
      <c r="F687" s="73"/>
      <c r="G687" s="73" t="s">
        <v>425</v>
      </c>
      <c r="H687" s="73"/>
      <c r="I687" s="191"/>
      <c r="J687" s="19">
        <f t="shared" si="410"/>
        <v>0</v>
      </c>
      <c r="K687" s="259" t="s">
        <v>51</v>
      </c>
      <c r="L687" s="168">
        <v>0</v>
      </c>
      <c r="M687" s="168">
        <v>0</v>
      </c>
      <c r="N687" s="169">
        <f t="shared" si="411"/>
        <v>0</v>
      </c>
      <c r="O687" s="169">
        <f t="shared" si="412"/>
        <v>0</v>
      </c>
      <c r="P687" s="312">
        <f t="shared" si="413"/>
        <v>0</v>
      </c>
      <c r="Q687" s="335"/>
    </row>
    <row r="688" spans="1:17" ht="21" x14ac:dyDescent="0.35">
      <c r="A688" s="115">
        <f t="shared" si="377"/>
        <v>36</v>
      </c>
      <c r="B688" s="116" t="s">
        <v>239</v>
      </c>
      <c r="C688" s="129" t="s">
        <v>240</v>
      </c>
      <c r="D688" s="72" t="s">
        <v>241</v>
      </c>
      <c r="E688" s="73" t="s">
        <v>242</v>
      </c>
      <c r="F688" s="73"/>
      <c r="G688" s="73" t="s">
        <v>426</v>
      </c>
      <c r="H688" s="73"/>
      <c r="I688" s="191"/>
      <c r="J688" s="19">
        <f t="shared" si="410"/>
        <v>0</v>
      </c>
      <c r="K688" s="259" t="s">
        <v>51</v>
      </c>
      <c r="L688" s="168">
        <v>0</v>
      </c>
      <c r="M688" s="168">
        <v>0</v>
      </c>
      <c r="N688" s="169">
        <f t="shared" si="411"/>
        <v>0</v>
      </c>
      <c r="O688" s="169">
        <f t="shared" si="412"/>
        <v>0</v>
      </c>
      <c r="P688" s="312">
        <f t="shared" si="413"/>
        <v>0</v>
      </c>
      <c r="Q688" s="335"/>
    </row>
    <row r="689" spans="1:17" ht="21" x14ac:dyDescent="0.35">
      <c r="A689" s="115">
        <f t="shared" si="377"/>
        <v>37</v>
      </c>
      <c r="B689" s="116" t="s">
        <v>239</v>
      </c>
      <c r="C689" s="129" t="s">
        <v>240</v>
      </c>
      <c r="D689" s="72" t="s">
        <v>241</v>
      </c>
      <c r="E689" s="73" t="s">
        <v>242</v>
      </c>
      <c r="F689" s="73"/>
      <c r="G689" s="73" t="s">
        <v>427</v>
      </c>
      <c r="H689" s="73"/>
      <c r="I689" s="191"/>
      <c r="J689" s="19">
        <f t="shared" si="410"/>
        <v>0</v>
      </c>
      <c r="K689" s="259" t="s">
        <v>51</v>
      </c>
      <c r="L689" s="168">
        <v>0</v>
      </c>
      <c r="M689" s="168">
        <v>0</v>
      </c>
      <c r="N689" s="169">
        <f t="shared" si="411"/>
        <v>0</v>
      </c>
      <c r="O689" s="169">
        <f t="shared" si="412"/>
        <v>0</v>
      </c>
      <c r="P689" s="312">
        <f t="shared" si="413"/>
        <v>0</v>
      </c>
      <c r="Q689" s="335"/>
    </row>
    <row r="690" spans="1:17" ht="21" x14ac:dyDescent="0.35">
      <c r="A690" s="115">
        <f t="shared" si="377"/>
        <v>38</v>
      </c>
      <c r="B690" s="116" t="s">
        <v>239</v>
      </c>
      <c r="C690" s="129" t="s">
        <v>240</v>
      </c>
      <c r="D690" s="72" t="s">
        <v>241</v>
      </c>
      <c r="E690" s="73" t="s">
        <v>242</v>
      </c>
      <c r="F690" s="73"/>
      <c r="G690" s="73" t="s">
        <v>264</v>
      </c>
      <c r="H690" s="73"/>
      <c r="I690" s="191"/>
      <c r="J690" s="19">
        <f t="shared" si="373"/>
        <v>0</v>
      </c>
      <c r="K690" s="259" t="s">
        <v>51</v>
      </c>
      <c r="L690" s="168">
        <v>0</v>
      </c>
      <c r="M690" s="168">
        <v>0</v>
      </c>
      <c r="N690" s="169">
        <f t="shared" si="374"/>
        <v>0</v>
      </c>
      <c r="O690" s="169">
        <f t="shared" si="375"/>
        <v>0</v>
      </c>
      <c r="P690" s="312">
        <f t="shared" si="376"/>
        <v>0</v>
      </c>
      <c r="Q690" s="335"/>
    </row>
    <row r="691" spans="1:17" ht="21" x14ac:dyDescent="0.35">
      <c r="A691" s="115">
        <f t="shared" si="377"/>
        <v>39</v>
      </c>
      <c r="B691" s="116" t="s">
        <v>239</v>
      </c>
      <c r="C691" s="129" t="s">
        <v>240</v>
      </c>
      <c r="D691" s="72" t="s">
        <v>241</v>
      </c>
      <c r="E691" s="73" t="s">
        <v>242</v>
      </c>
      <c r="F691" s="73"/>
      <c r="G691" s="73" t="s">
        <v>265</v>
      </c>
      <c r="H691" s="73"/>
      <c r="I691" s="191"/>
      <c r="J691" s="19">
        <f t="shared" si="373"/>
        <v>0</v>
      </c>
      <c r="K691" s="259" t="s">
        <v>51</v>
      </c>
      <c r="L691" s="168">
        <v>0</v>
      </c>
      <c r="M691" s="168">
        <v>0</v>
      </c>
      <c r="N691" s="169">
        <f t="shared" si="374"/>
        <v>0</v>
      </c>
      <c r="O691" s="169">
        <f t="shared" si="375"/>
        <v>0</v>
      </c>
      <c r="P691" s="312">
        <f t="shared" si="376"/>
        <v>0</v>
      </c>
      <c r="Q691" s="335"/>
    </row>
    <row r="692" spans="1:17" ht="21" x14ac:dyDescent="0.35">
      <c r="A692" s="115">
        <f t="shared" si="377"/>
        <v>40</v>
      </c>
      <c r="B692" s="116" t="s">
        <v>239</v>
      </c>
      <c r="C692" s="129" t="s">
        <v>240</v>
      </c>
      <c r="D692" s="72" t="s">
        <v>241</v>
      </c>
      <c r="E692" s="73" t="s">
        <v>242</v>
      </c>
      <c r="F692" s="73"/>
      <c r="G692" s="73" t="s">
        <v>266</v>
      </c>
      <c r="H692" s="73"/>
      <c r="I692" s="191"/>
      <c r="J692" s="19">
        <f t="shared" si="373"/>
        <v>0</v>
      </c>
      <c r="K692" s="259" t="s">
        <v>51</v>
      </c>
      <c r="L692" s="168">
        <v>0</v>
      </c>
      <c r="M692" s="168">
        <v>0</v>
      </c>
      <c r="N692" s="169">
        <f t="shared" si="374"/>
        <v>0</v>
      </c>
      <c r="O692" s="169">
        <f t="shared" si="375"/>
        <v>0</v>
      </c>
      <c r="P692" s="312">
        <f t="shared" si="376"/>
        <v>0</v>
      </c>
      <c r="Q692" s="335"/>
    </row>
    <row r="693" spans="1:17" ht="21" x14ac:dyDescent="0.35">
      <c r="A693" s="115">
        <f t="shared" si="377"/>
        <v>41</v>
      </c>
      <c r="B693" s="116" t="s">
        <v>239</v>
      </c>
      <c r="C693" s="129" t="s">
        <v>240</v>
      </c>
      <c r="D693" s="72" t="s">
        <v>241</v>
      </c>
      <c r="E693" s="73" t="s">
        <v>242</v>
      </c>
      <c r="F693" s="73"/>
      <c r="G693" s="73" t="s">
        <v>267</v>
      </c>
      <c r="H693" s="73"/>
      <c r="I693" s="191"/>
      <c r="J693" s="19">
        <f t="shared" si="373"/>
        <v>0</v>
      </c>
      <c r="K693" s="259" t="s">
        <v>51</v>
      </c>
      <c r="L693" s="168">
        <v>0</v>
      </c>
      <c r="M693" s="168">
        <v>0</v>
      </c>
      <c r="N693" s="169">
        <f t="shared" si="374"/>
        <v>0</v>
      </c>
      <c r="O693" s="169">
        <f t="shared" si="375"/>
        <v>0</v>
      </c>
      <c r="P693" s="312">
        <f t="shared" si="376"/>
        <v>0</v>
      </c>
      <c r="Q693" s="335"/>
    </row>
    <row r="694" spans="1:17" ht="21" x14ac:dyDescent="0.35">
      <c r="A694" s="115">
        <f t="shared" si="377"/>
        <v>42</v>
      </c>
      <c r="B694" s="116" t="s">
        <v>239</v>
      </c>
      <c r="C694" s="129" t="s">
        <v>240</v>
      </c>
      <c r="D694" s="72" t="s">
        <v>241</v>
      </c>
      <c r="E694" s="73" t="s">
        <v>242</v>
      </c>
      <c r="F694" s="73"/>
      <c r="G694" s="73" t="s">
        <v>268</v>
      </c>
      <c r="H694" s="73"/>
      <c r="I694" s="191"/>
      <c r="J694" s="19">
        <f t="shared" si="373"/>
        <v>0</v>
      </c>
      <c r="K694" s="259" t="s">
        <v>51</v>
      </c>
      <c r="L694" s="168">
        <v>0</v>
      </c>
      <c r="M694" s="168">
        <v>0</v>
      </c>
      <c r="N694" s="169">
        <f t="shared" si="374"/>
        <v>0</v>
      </c>
      <c r="O694" s="169">
        <f t="shared" si="375"/>
        <v>0</v>
      </c>
      <c r="P694" s="312">
        <f t="shared" si="376"/>
        <v>0</v>
      </c>
      <c r="Q694" s="335"/>
    </row>
    <row r="695" spans="1:17" ht="21" x14ac:dyDescent="0.35">
      <c r="A695" s="115">
        <f t="shared" si="377"/>
        <v>43</v>
      </c>
      <c r="B695" s="116" t="s">
        <v>239</v>
      </c>
      <c r="C695" s="129" t="s">
        <v>240</v>
      </c>
      <c r="D695" s="72" t="s">
        <v>241</v>
      </c>
      <c r="E695" s="73" t="s">
        <v>242</v>
      </c>
      <c r="F695" s="73"/>
      <c r="G695" s="73" t="s">
        <v>269</v>
      </c>
      <c r="H695" s="73"/>
      <c r="I695" s="191"/>
      <c r="J695" s="19">
        <f t="shared" si="373"/>
        <v>0</v>
      </c>
      <c r="K695" s="259" t="s">
        <v>51</v>
      </c>
      <c r="L695" s="168">
        <v>0</v>
      </c>
      <c r="M695" s="168">
        <v>0</v>
      </c>
      <c r="N695" s="169">
        <f t="shared" si="374"/>
        <v>0</v>
      </c>
      <c r="O695" s="169">
        <f t="shared" si="375"/>
        <v>0</v>
      </c>
      <c r="P695" s="312">
        <f t="shared" si="376"/>
        <v>0</v>
      </c>
      <c r="Q695" s="335"/>
    </row>
    <row r="696" spans="1:17" ht="21" x14ac:dyDescent="0.35">
      <c r="A696" s="115">
        <f t="shared" si="377"/>
        <v>44</v>
      </c>
      <c r="B696" s="116" t="s">
        <v>239</v>
      </c>
      <c r="C696" s="129" t="s">
        <v>240</v>
      </c>
      <c r="D696" s="72" t="s">
        <v>241</v>
      </c>
      <c r="E696" s="73" t="s">
        <v>242</v>
      </c>
      <c r="F696" s="73"/>
      <c r="G696" s="73" t="s">
        <v>270</v>
      </c>
      <c r="H696" s="73"/>
      <c r="I696" s="191"/>
      <c r="J696" s="19">
        <f t="shared" ref="J696:J697" si="414">I696</f>
        <v>0</v>
      </c>
      <c r="K696" s="259" t="s">
        <v>51</v>
      </c>
      <c r="L696" s="168">
        <v>0</v>
      </c>
      <c r="M696" s="168">
        <v>0</v>
      </c>
      <c r="N696" s="169">
        <f t="shared" ref="N696:N697" si="415">L696*J696</f>
        <v>0</v>
      </c>
      <c r="O696" s="169">
        <f t="shared" ref="O696:O697" si="416">M696*J696</f>
        <v>0</v>
      </c>
      <c r="P696" s="312">
        <f t="shared" ref="P696:P697" si="417">(L696*J696)+(M696*J696)</f>
        <v>0</v>
      </c>
      <c r="Q696" s="335"/>
    </row>
    <row r="697" spans="1:17" ht="21" x14ac:dyDescent="0.35">
      <c r="A697" s="115">
        <f t="shared" si="377"/>
        <v>45</v>
      </c>
      <c r="B697" s="116" t="s">
        <v>239</v>
      </c>
      <c r="C697" s="129" t="s">
        <v>240</v>
      </c>
      <c r="D697" s="72" t="s">
        <v>241</v>
      </c>
      <c r="E697" s="73" t="s">
        <v>242</v>
      </c>
      <c r="F697" s="73"/>
      <c r="G697" s="73" t="s">
        <v>428</v>
      </c>
      <c r="H697" s="73"/>
      <c r="I697" s="191"/>
      <c r="J697" s="19">
        <f t="shared" si="414"/>
        <v>0</v>
      </c>
      <c r="K697" s="259" t="s">
        <v>51</v>
      </c>
      <c r="L697" s="168">
        <v>0</v>
      </c>
      <c r="M697" s="168">
        <v>0</v>
      </c>
      <c r="N697" s="169">
        <f t="shared" si="415"/>
        <v>0</v>
      </c>
      <c r="O697" s="169">
        <f t="shared" si="416"/>
        <v>0</v>
      </c>
      <c r="P697" s="312">
        <f t="shared" si="417"/>
        <v>0</v>
      </c>
      <c r="Q697" s="335"/>
    </row>
    <row r="698" spans="1:17" ht="21" x14ac:dyDescent="0.35">
      <c r="A698" s="115">
        <f t="shared" si="377"/>
        <v>46</v>
      </c>
      <c r="B698" s="116" t="s">
        <v>239</v>
      </c>
      <c r="C698" s="129" t="s">
        <v>240</v>
      </c>
      <c r="D698" s="72" t="s">
        <v>241</v>
      </c>
      <c r="E698" s="73" t="s">
        <v>242</v>
      </c>
      <c r="F698" s="73"/>
      <c r="G698" s="73" t="s">
        <v>429</v>
      </c>
      <c r="H698" s="73"/>
      <c r="I698" s="191"/>
      <c r="J698" s="19">
        <f t="shared" ref="J698" si="418">I698</f>
        <v>0</v>
      </c>
      <c r="K698" s="259" t="s">
        <v>51</v>
      </c>
      <c r="L698" s="168">
        <v>0</v>
      </c>
      <c r="M698" s="168">
        <v>0</v>
      </c>
      <c r="N698" s="169">
        <f t="shared" ref="N698" si="419">L698*J698</f>
        <v>0</v>
      </c>
      <c r="O698" s="169">
        <f t="shared" ref="O698" si="420">M698*J698</f>
        <v>0</v>
      </c>
      <c r="P698" s="312">
        <f t="shared" ref="P698" si="421">(L698*J698)+(M698*J698)</f>
        <v>0</v>
      </c>
      <c r="Q698" s="335"/>
    </row>
    <row r="699" spans="1:17" ht="21" x14ac:dyDescent="0.35">
      <c r="A699" s="115">
        <f t="shared" si="377"/>
        <v>47</v>
      </c>
      <c r="B699" s="116" t="s">
        <v>239</v>
      </c>
      <c r="C699" s="129" t="s">
        <v>240</v>
      </c>
      <c r="D699" s="72" t="s">
        <v>241</v>
      </c>
      <c r="E699" s="73" t="s">
        <v>242</v>
      </c>
      <c r="F699" s="73"/>
      <c r="G699" s="73" t="s">
        <v>430</v>
      </c>
      <c r="H699" s="73"/>
      <c r="I699" s="191"/>
      <c r="J699" s="19">
        <f t="shared" ref="J699" si="422">I699</f>
        <v>0</v>
      </c>
      <c r="K699" s="259" t="s">
        <v>51</v>
      </c>
      <c r="L699" s="168">
        <v>0</v>
      </c>
      <c r="M699" s="168">
        <v>0</v>
      </c>
      <c r="N699" s="169">
        <f t="shared" ref="N699" si="423">L699*J699</f>
        <v>0</v>
      </c>
      <c r="O699" s="169">
        <f t="shared" ref="O699" si="424">M699*J699</f>
        <v>0</v>
      </c>
      <c r="P699" s="312">
        <f t="shared" ref="P699" si="425">(L699*J699)+(M699*J699)</f>
        <v>0</v>
      </c>
      <c r="Q699" s="335"/>
    </row>
    <row r="700" spans="1:17" ht="21" x14ac:dyDescent="0.35">
      <c r="A700" s="115">
        <f t="shared" si="377"/>
        <v>48</v>
      </c>
      <c r="B700" s="116" t="s">
        <v>239</v>
      </c>
      <c r="C700" s="129" t="s">
        <v>240</v>
      </c>
      <c r="D700" s="72" t="s">
        <v>241</v>
      </c>
      <c r="E700" s="73" t="s">
        <v>242</v>
      </c>
      <c r="F700" s="73"/>
      <c r="G700" s="73" t="s">
        <v>270</v>
      </c>
      <c r="H700" s="73"/>
      <c r="I700" s="191"/>
      <c r="J700" s="19">
        <f t="shared" si="373"/>
        <v>0</v>
      </c>
      <c r="K700" s="259" t="s">
        <v>51</v>
      </c>
      <c r="L700" s="168">
        <v>0</v>
      </c>
      <c r="M700" s="168">
        <v>0</v>
      </c>
      <c r="N700" s="169">
        <f t="shared" si="374"/>
        <v>0</v>
      </c>
      <c r="O700" s="169">
        <f t="shared" si="375"/>
        <v>0</v>
      </c>
      <c r="P700" s="312">
        <f t="shared" si="376"/>
        <v>0</v>
      </c>
      <c r="Q700" s="335"/>
    </row>
    <row r="701" spans="1:17" ht="21" x14ac:dyDescent="0.35">
      <c r="A701" s="115">
        <f t="shared" si="377"/>
        <v>49</v>
      </c>
      <c r="B701" s="116" t="s">
        <v>239</v>
      </c>
      <c r="C701" s="129" t="s">
        <v>240</v>
      </c>
      <c r="D701" s="72" t="s">
        <v>241</v>
      </c>
      <c r="E701" s="73" t="s">
        <v>242</v>
      </c>
      <c r="F701" s="73"/>
      <c r="G701" s="73" t="s">
        <v>271</v>
      </c>
      <c r="H701" s="73"/>
      <c r="I701" s="191"/>
      <c r="J701" s="19">
        <f t="shared" si="373"/>
        <v>0</v>
      </c>
      <c r="K701" s="259" t="s">
        <v>51</v>
      </c>
      <c r="L701" s="168">
        <v>0</v>
      </c>
      <c r="M701" s="168">
        <v>0</v>
      </c>
      <c r="N701" s="169">
        <f t="shared" si="374"/>
        <v>0</v>
      </c>
      <c r="O701" s="169">
        <f t="shared" si="375"/>
        <v>0</v>
      </c>
      <c r="P701" s="312">
        <f t="shared" si="376"/>
        <v>0</v>
      </c>
      <c r="Q701" s="335"/>
    </row>
    <row r="702" spans="1:17" ht="21" x14ac:dyDescent="0.35">
      <c r="A702" s="115">
        <f t="shared" si="377"/>
        <v>50</v>
      </c>
      <c r="B702" s="116" t="s">
        <v>239</v>
      </c>
      <c r="C702" s="129" t="s">
        <v>240</v>
      </c>
      <c r="D702" s="72" t="s">
        <v>241</v>
      </c>
      <c r="E702" s="73" t="s">
        <v>242</v>
      </c>
      <c r="F702" s="73"/>
      <c r="G702" s="73" t="s">
        <v>272</v>
      </c>
      <c r="H702" s="73"/>
      <c r="I702" s="191"/>
      <c r="J702" s="19">
        <f t="shared" si="373"/>
        <v>0</v>
      </c>
      <c r="K702" s="259" t="s">
        <v>51</v>
      </c>
      <c r="L702" s="168">
        <v>0</v>
      </c>
      <c r="M702" s="168">
        <v>0</v>
      </c>
      <c r="N702" s="169">
        <f t="shared" si="374"/>
        <v>0</v>
      </c>
      <c r="O702" s="169">
        <f t="shared" si="375"/>
        <v>0</v>
      </c>
      <c r="P702" s="312">
        <f t="shared" si="376"/>
        <v>0</v>
      </c>
      <c r="Q702" s="335"/>
    </row>
    <row r="703" spans="1:17" ht="21" x14ac:dyDescent="0.35">
      <c r="A703" s="115">
        <f t="shared" si="377"/>
        <v>51</v>
      </c>
      <c r="B703" s="116" t="s">
        <v>239</v>
      </c>
      <c r="C703" s="129" t="s">
        <v>240</v>
      </c>
      <c r="D703" s="72" t="s">
        <v>241</v>
      </c>
      <c r="E703" s="73" t="s">
        <v>242</v>
      </c>
      <c r="F703" s="73"/>
      <c r="G703" s="73" t="s">
        <v>273</v>
      </c>
      <c r="H703" s="73"/>
      <c r="I703" s="191"/>
      <c r="J703" s="19">
        <f t="shared" si="373"/>
        <v>0</v>
      </c>
      <c r="K703" s="259" t="s">
        <v>51</v>
      </c>
      <c r="L703" s="168">
        <v>0</v>
      </c>
      <c r="M703" s="168">
        <v>0</v>
      </c>
      <c r="N703" s="169">
        <f t="shared" si="374"/>
        <v>0</v>
      </c>
      <c r="O703" s="169">
        <f t="shared" si="375"/>
        <v>0</v>
      </c>
      <c r="P703" s="312">
        <f t="shared" si="376"/>
        <v>0</v>
      </c>
      <c r="Q703" s="335"/>
    </row>
    <row r="704" spans="1:17" ht="21" x14ac:dyDescent="0.35">
      <c r="A704" s="115">
        <f t="shared" si="377"/>
        <v>52</v>
      </c>
      <c r="B704" s="116" t="s">
        <v>239</v>
      </c>
      <c r="C704" s="129" t="s">
        <v>240</v>
      </c>
      <c r="D704" s="72" t="s">
        <v>241</v>
      </c>
      <c r="E704" s="73" t="s">
        <v>242</v>
      </c>
      <c r="F704" s="73"/>
      <c r="G704" s="73" t="s">
        <v>274</v>
      </c>
      <c r="H704" s="73"/>
      <c r="I704" s="191"/>
      <c r="J704" s="19">
        <f t="shared" si="373"/>
        <v>0</v>
      </c>
      <c r="K704" s="259" t="s">
        <v>51</v>
      </c>
      <c r="L704" s="168">
        <v>0</v>
      </c>
      <c r="M704" s="168">
        <v>0</v>
      </c>
      <c r="N704" s="169">
        <f t="shared" si="374"/>
        <v>0</v>
      </c>
      <c r="O704" s="169">
        <f t="shared" si="375"/>
        <v>0</v>
      </c>
      <c r="P704" s="312">
        <f t="shared" si="376"/>
        <v>0</v>
      </c>
      <c r="Q704" s="335"/>
    </row>
    <row r="705" spans="1:17" ht="21" x14ac:dyDescent="0.35">
      <c r="A705" s="115">
        <f t="shared" si="377"/>
        <v>53</v>
      </c>
      <c r="B705" s="116" t="s">
        <v>239</v>
      </c>
      <c r="C705" s="129" t="s">
        <v>240</v>
      </c>
      <c r="D705" s="72" t="s">
        <v>241</v>
      </c>
      <c r="E705" s="73" t="s">
        <v>242</v>
      </c>
      <c r="F705" s="73"/>
      <c r="G705" s="73" t="s">
        <v>275</v>
      </c>
      <c r="H705" s="73"/>
      <c r="I705" s="191"/>
      <c r="J705" s="19">
        <f t="shared" si="373"/>
        <v>0</v>
      </c>
      <c r="K705" s="259" t="s">
        <v>51</v>
      </c>
      <c r="L705" s="168">
        <v>0</v>
      </c>
      <c r="M705" s="168">
        <v>0</v>
      </c>
      <c r="N705" s="169">
        <f t="shared" si="374"/>
        <v>0</v>
      </c>
      <c r="O705" s="169">
        <f t="shared" si="375"/>
        <v>0</v>
      </c>
      <c r="P705" s="312">
        <f t="shared" si="376"/>
        <v>0</v>
      </c>
      <c r="Q705" s="335"/>
    </row>
    <row r="706" spans="1:17" ht="21" x14ac:dyDescent="0.35">
      <c r="A706" s="115">
        <f t="shared" si="377"/>
        <v>54</v>
      </c>
      <c r="B706" s="116" t="s">
        <v>239</v>
      </c>
      <c r="C706" s="129" t="s">
        <v>240</v>
      </c>
      <c r="D706" s="72" t="s">
        <v>241</v>
      </c>
      <c r="E706" s="73" t="s">
        <v>242</v>
      </c>
      <c r="F706" s="73"/>
      <c r="G706" s="73" t="s">
        <v>276</v>
      </c>
      <c r="H706" s="73"/>
      <c r="I706" s="191"/>
      <c r="J706" s="19">
        <f t="shared" si="373"/>
        <v>0</v>
      </c>
      <c r="K706" s="259" t="s">
        <v>51</v>
      </c>
      <c r="L706" s="168">
        <v>0</v>
      </c>
      <c r="M706" s="168">
        <v>0</v>
      </c>
      <c r="N706" s="169">
        <f t="shared" si="374"/>
        <v>0</v>
      </c>
      <c r="O706" s="169">
        <f t="shared" si="375"/>
        <v>0</v>
      </c>
      <c r="P706" s="312">
        <f t="shared" si="376"/>
        <v>0</v>
      </c>
      <c r="Q706" s="335"/>
    </row>
    <row r="707" spans="1:17" ht="21" x14ac:dyDescent="0.35">
      <c r="A707" s="115">
        <f t="shared" si="377"/>
        <v>55</v>
      </c>
      <c r="B707" s="116" t="s">
        <v>239</v>
      </c>
      <c r="C707" s="129" t="s">
        <v>240</v>
      </c>
      <c r="D707" s="72" t="s">
        <v>241</v>
      </c>
      <c r="E707" s="73" t="s">
        <v>242</v>
      </c>
      <c r="F707" s="73"/>
      <c r="G707" s="73" t="s">
        <v>277</v>
      </c>
      <c r="H707" s="73"/>
      <c r="I707" s="191"/>
      <c r="J707" s="19">
        <f t="shared" si="373"/>
        <v>0</v>
      </c>
      <c r="K707" s="259" t="s">
        <v>51</v>
      </c>
      <c r="L707" s="168">
        <v>0</v>
      </c>
      <c r="M707" s="168">
        <v>0</v>
      </c>
      <c r="N707" s="169">
        <f t="shared" si="374"/>
        <v>0</v>
      </c>
      <c r="O707" s="169">
        <f t="shared" si="375"/>
        <v>0</v>
      </c>
      <c r="P707" s="312">
        <f t="shared" si="376"/>
        <v>0</v>
      </c>
      <c r="Q707" s="335"/>
    </row>
    <row r="708" spans="1:17" ht="21" x14ac:dyDescent="0.35">
      <c r="A708" s="115">
        <f t="shared" si="377"/>
        <v>56</v>
      </c>
      <c r="B708" s="116" t="s">
        <v>239</v>
      </c>
      <c r="C708" s="129" t="s">
        <v>240</v>
      </c>
      <c r="D708" s="72" t="s">
        <v>241</v>
      </c>
      <c r="E708" s="73" t="s">
        <v>242</v>
      </c>
      <c r="F708" s="73"/>
      <c r="G708" s="73" t="s">
        <v>431</v>
      </c>
      <c r="H708" s="73"/>
      <c r="I708" s="191"/>
      <c r="J708" s="19">
        <f t="shared" si="373"/>
        <v>0</v>
      </c>
      <c r="K708" s="259" t="s">
        <v>51</v>
      </c>
      <c r="L708" s="168">
        <v>0</v>
      </c>
      <c r="M708" s="168">
        <v>0</v>
      </c>
      <c r="N708" s="169">
        <f t="shared" si="374"/>
        <v>0</v>
      </c>
      <c r="O708" s="169">
        <f t="shared" si="375"/>
        <v>0</v>
      </c>
      <c r="P708" s="312">
        <f t="shared" si="376"/>
        <v>0</v>
      </c>
      <c r="Q708" s="335"/>
    </row>
    <row r="709" spans="1:17" ht="21" x14ac:dyDescent="0.35">
      <c r="A709" s="115">
        <f t="shared" si="377"/>
        <v>57</v>
      </c>
      <c r="B709" s="116" t="s">
        <v>239</v>
      </c>
      <c r="C709" s="129" t="s">
        <v>240</v>
      </c>
      <c r="D709" s="72" t="s">
        <v>241</v>
      </c>
      <c r="E709" s="73" t="s">
        <v>242</v>
      </c>
      <c r="F709" s="73"/>
      <c r="G709" s="73" t="s">
        <v>432</v>
      </c>
      <c r="H709" s="73"/>
      <c r="I709" s="191"/>
      <c r="J709" s="19">
        <f t="shared" si="373"/>
        <v>0</v>
      </c>
      <c r="K709" s="259" t="s">
        <v>51</v>
      </c>
      <c r="L709" s="168">
        <v>0</v>
      </c>
      <c r="M709" s="168">
        <v>0</v>
      </c>
      <c r="N709" s="169">
        <f t="shared" si="374"/>
        <v>0</v>
      </c>
      <c r="O709" s="169">
        <f t="shared" si="375"/>
        <v>0</v>
      </c>
      <c r="P709" s="312">
        <f t="shared" si="376"/>
        <v>0</v>
      </c>
      <c r="Q709" s="335"/>
    </row>
    <row r="710" spans="1:17" ht="21" x14ac:dyDescent="0.35">
      <c r="A710" s="115">
        <f t="shared" si="377"/>
        <v>58</v>
      </c>
      <c r="B710" s="116" t="s">
        <v>239</v>
      </c>
      <c r="C710" s="129" t="s">
        <v>240</v>
      </c>
      <c r="D710" s="72" t="s">
        <v>241</v>
      </c>
      <c r="E710" s="73" t="s">
        <v>242</v>
      </c>
      <c r="F710" s="73"/>
      <c r="G710" s="73" t="s">
        <v>433</v>
      </c>
      <c r="H710" s="73"/>
      <c r="I710" s="191"/>
      <c r="J710" s="19">
        <f t="shared" si="373"/>
        <v>0</v>
      </c>
      <c r="K710" s="259" t="s">
        <v>51</v>
      </c>
      <c r="L710" s="168">
        <v>0</v>
      </c>
      <c r="M710" s="168">
        <v>0</v>
      </c>
      <c r="N710" s="169">
        <f t="shared" si="374"/>
        <v>0</v>
      </c>
      <c r="O710" s="169">
        <f t="shared" si="375"/>
        <v>0</v>
      </c>
      <c r="P710" s="312">
        <f t="shared" si="376"/>
        <v>0</v>
      </c>
      <c r="Q710" s="335"/>
    </row>
    <row r="711" spans="1:17" ht="21" x14ac:dyDescent="0.35">
      <c r="A711" s="115">
        <f t="shared" si="377"/>
        <v>59</v>
      </c>
      <c r="B711" s="116" t="s">
        <v>239</v>
      </c>
      <c r="C711" s="129" t="s">
        <v>240</v>
      </c>
      <c r="D711" s="72" t="s">
        <v>278</v>
      </c>
      <c r="E711" s="73" t="s">
        <v>279</v>
      </c>
      <c r="F711" s="73"/>
      <c r="G711" s="73" t="s">
        <v>280</v>
      </c>
      <c r="H711" s="73"/>
      <c r="I711" s="191"/>
      <c r="J711" s="19">
        <f t="shared" si="373"/>
        <v>0</v>
      </c>
      <c r="K711" s="259" t="s">
        <v>51</v>
      </c>
      <c r="L711" s="168">
        <v>0</v>
      </c>
      <c r="M711" s="168">
        <v>0</v>
      </c>
      <c r="N711" s="169">
        <f t="shared" si="374"/>
        <v>0</v>
      </c>
      <c r="O711" s="169">
        <f t="shared" si="375"/>
        <v>0</v>
      </c>
      <c r="P711" s="312">
        <f t="shared" si="376"/>
        <v>0</v>
      </c>
      <c r="Q711" s="335"/>
    </row>
    <row r="712" spans="1:17" ht="21" x14ac:dyDescent="0.35">
      <c r="A712" s="115">
        <f t="shared" si="377"/>
        <v>60</v>
      </c>
      <c r="B712" s="116" t="s">
        <v>239</v>
      </c>
      <c r="C712" s="129" t="s">
        <v>240</v>
      </c>
      <c r="D712" s="72" t="s">
        <v>278</v>
      </c>
      <c r="E712" s="73" t="s">
        <v>279</v>
      </c>
      <c r="F712" s="73"/>
      <c r="G712" s="73" t="s">
        <v>281</v>
      </c>
      <c r="H712" s="73"/>
      <c r="I712" s="191"/>
      <c r="J712" s="19">
        <f t="shared" si="373"/>
        <v>0</v>
      </c>
      <c r="K712" s="259" t="s">
        <v>51</v>
      </c>
      <c r="L712" s="168">
        <v>0</v>
      </c>
      <c r="M712" s="168">
        <v>0</v>
      </c>
      <c r="N712" s="169">
        <f t="shared" si="374"/>
        <v>0</v>
      </c>
      <c r="O712" s="169">
        <f t="shared" si="375"/>
        <v>0</v>
      </c>
      <c r="P712" s="312">
        <f t="shared" si="376"/>
        <v>0</v>
      </c>
      <c r="Q712" s="335"/>
    </row>
    <row r="713" spans="1:17" ht="21" x14ac:dyDescent="0.35">
      <c r="A713" s="115">
        <f t="shared" si="377"/>
        <v>61</v>
      </c>
      <c r="B713" s="116" t="s">
        <v>239</v>
      </c>
      <c r="C713" s="129" t="s">
        <v>240</v>
      </c>
      <c r="D713" s="72" t="s">
        <v>278</v>
      </c>
      <c r="E713" s="73" t="s">
        <v>279</v>
      </c>
      <c r="F713" s="73"/>
      <c r="G713" s="73" t="s">
        <v>282</v>
      </c>
      <c r="H713" s="73"/>
      <c r="I713" s="191"/>
      <c r="J713" s="19">
        <f t="shared" si="373"/>
        <v>0</v>
      </c>
      <c r="K713" s="259" t="s">
        <v>51</v>
      </c>
      <c r="L713" s="168">
        <v>0</v>
      </c>
      <c r="M713" s="168">
        <v>0</v>
      </c>
      <c r="N713" s="169">
        <f t="shared" si="374"/>
        <v>0</v>
      </c>
      <c r="O713" s="169">
        <f t="shared" si="375"/>
        <v>0</v>
      </c>
      <c r="P713" s="312">
        <f t="shared" si="376"/>
        <v>0</v>
      </c>
      <c r="Q713" s="335"/>
    </row>
    <row r="714" spans="1:17" ht="21" x14ac:dyDescent="0.35">
      <c r="A714" s="115">
        <f t="shared" si="377"/>
        <v>62</v>
      </c>
      <c r="B714" s="116" t="s">
        <v>239</v>
      </c>
      <c r="C714" s="129" t="s">
        <v>240</v>
      </c>
      <c r="D714" s="72" t="s">
        <v>278</v>
      </c>
      <c r="E714" s="73" t="s">
        <v>279</v>
      </c>
      <c r="F714" s="73"/>
      <c r="G714" s="73" t="s">
        <v>283</v>
      </c>
      <c r="H714" s="73"/>
      <c r="I714" s="191"/>
      <c r="J714" s="19">
        <f t="shared" si="373"/>
        <v>0</v>
      </c>
      <c r="K714" s="259" t="s">
        <v>51</v>
      </c>
      <c r="L714" s="168">
        <v>0</v>
      </c>
      <c r="M714" s="168">
        <v>0</v>
      </c>
      <c r="N714" s="169">
        <f t="shared" si="374"/>
        <v>0</v>
      </c>
      <c r="O714" s="169">
        <f t="shared" si="375"/>
        <v>0</v>
      </c>
      <c r="P714" s="312">
        <f t="shared" si="376"/>
        <v>0</v>
      </c>
      <c r="Q714" s="335"/>
    </row>
    <row r="715" spans="1:17" ht="21" x14ac:dyDescent="0.35">
      <c r="A715" s="115">
        <f t="shared" si="377"/>
        <v>63</v>
      </c>
      <c r="B715" s="116" t="s">
        <v>239</v>
      </c>
      <c r="C715" s="129" t="s">
        <v>240</v>
      </c>
      <c r="D715" s="72" t="s">
        <v>278</v>
      </c>
      <c r="E715" s="73" t="s">
        <v>279</v>
      </c>
      <c r="F715" s="73"/>
      <c r="G715" s="73" t="s">
        <v>284</v>
      </c>
      <c r="H715" s="73"/>
      <c r="I715" s="191"/>
      <c r="J715" s="19">
        <f t="shared" si="373"/>
        <v>0</v>
      </c>
      <c r="K715" s="259" t="s">
        <v>51</v>
      </c>
      <c r="L715" s="168">
        <v>0</v>
      </c>
      <c r="M715" s="168">
        <v>0</v>
      </c>
      <c r="N715" s="169">
        <f t="shared" si="374"/>
        <v>0</v>
      </c>
      <c r="O715" s="169">
        <f t="shared" si="375"/>
        <v>0</v>
      </c>
      <c r="P715" s="312">
        <f t="shared" si="376"/>
        <v>0</v>
      </c>
      <c r="Q715" s="335"/>
    </row>
    <row r="716" spans="1:17" ht="21" x14ac:dyDescent="0.35">
      <c r="A716" s="115">
        <f t="shared" si="377"/>
        <v>64</v>
      </c>
      <c r="B716" s="116" t="s">
        <v>239</v>
      </c>
      <c r="C716" s="129" t="s">
        <v>240</v>
      </c>
      <c r="D716" s="72" t="s">
        <v>278</v>
      </c>
      <c r="E716" s="73" t="s">
        <v>279</v>
      </c>
      <c r="F716" s="73"/>
      <c r="G716" s="73" t="s">
        <v>285</v>
      </c>
      <c r="H716" s="73"/>
      <c r="I716" s="191"/>
      <c r="J716" s="19">
        <f t="shared" si="373"/>
        <v>0</v>
      </c>
      <c r="K716" s="259" t="s">
        <v>51</v>
      </c>
      <c r="L716" s="168">
        <v>0</v>
      </c>
      <c r="M716" s="168">
        <v>0</v>
      </c>
      <c r="N716" s="169">
        <f t="shared" si="374"/>
        <v>0</v>
      </c>
      <c r="O716" s="169">
        <f t="shared" si="375"/>
        <v>0</v>
      </c>
      <c r="P716" s="312">
        <f t="shared" si="376"/>
        <v>0</v>
      </c>
      <c r="Q716" s="335"/>
    </row>
    <row r="717" spans="1:17" ht="21" x14ac:dyDescent="0.35">
      <c r="A717" s="115">
        <f t="shared" si="377"/>
        <v>65</v>
      </c>
      <c r="B717" s="116" t="s">
        <v>239</v>
      </c>
      <c r="C717" s="129" t="s">
        <v>240</v>
      </c>
      <c r="D717" s="72" t="s">
        <v>278</v>
      </c>
      <c r="E717" s="73" t="s">
        <v>279</v>
      </c>
      <c r="F717" s="73"/>
      <c r="G717" s="73" t="s">
        <v>286</v>
      </c>
      <c r="H717" s="73"/>
      <c r="I717" s="191"/>
      <c r="J717" s="19">
        <f t="shared" si="373"/>
        <v>0</v>
      </c>
      <c r="K717" s="259" t="s">
        <v>51</v>
      </c>
      <c r="L717" s="168">
        <v>0</v>
      </c>
      <c r="M717" s="168">
        <v>0</v>
      </c>
      <c r="N717" s="169">
        <f t="shared" si="374"/>
        <v>0</v>
      </c>
      <c r="O717" s="169">
        <f t="shared" si="375"/>
        <v>0</v>
      </c>
      <c r="P717" s="312">
        <f t="shared" si="376"/>
        <v>0</v>
      </c>
      <c r="Q717" s="335"/>
    </row>
    <row r="718" spans="1:17" ht="21" x14ac:dyDescent="0.35">
      <c r="A718" s="115">
        <f t="shared" si="377"/>
        <v>66</v>
      </c>
      <c r="B718" s="116" t="s">
        <v>239</v>
      </c>
      <c r="C718" s="129" t="s">
        <v>240</v>
      </c>
      <c r="D718" s="72" t="s">
        <v>278</v>
      </c>
      <c r="E718" s="73" t="s">
        <v>279</v>
      </c>
      <c r="F718" s="73"/>
      <c r="G718" s="73" t="s">
        <v>287</v>
      </c>
      <c r="H718" s="73"/>
      <c r="I718" s="191"/>
      <c r="J718" s="19">
        <f t="shared" si="373"/>
        <v>0</v>
      </c>
      <c r="K718" s="259" t="s">
        <v>51</v>
      </c>
      <c r="L718" s="168">
        <v>0</v>
      </c>
      <c r="M718" s="168">
        <v>0</v>
      </c>
      <c r="N718" s="169">
        <f t="shared" si="374"/>
        <v>0</v>
      </c>
      <c r="O718" s="169">
        <f t="shared" si="375"/>
        <v>0</v>
      </c>
      <c r="P718" s="312">
        <f t="shared" si="376"/>
        <v>0</v>
      </c>
      <c r="Q718" s="335"/>
    </row>
    <row r="719" spans="1:17" ht="21" x14ac:dyDescent="0.35">
      <c r="A719" s="115">
        <f t="shared" ref="A719:A731" si="426">A718+1</f>
        <v>67</v>
      </c>
      <c r="B719" s="116" t="s">
        <v>239</v>
      </c>
      <c r="C719" s="129" t="s">
        <v>240</v>
      </c>
      <c r="D719" s="72" t="s">
        <v>278</v>
      </c>
      <c r="E719" s="73" t="s">
        <v>279</v>
      </c>
      <c r="F719" s="73"/>
      <c r="G719" s="73" t="s">
        <v>288</v>
      </c>
      <c r="H719" s="73"/>
      <c r="I719" s="191"/>
      <c r="J719" s="19">
        <f t="shared" si="373"/>
        <v>0</v>
      </c>
      <c r="K719" s="259" t="s">
        <v>51</v>
      </c>
      <c r="L719" s="168">
        <v>0</v>
      </c>
      <c r="M719" s="168">
        <v>0</v>
      </c>
      <c r="N719" s="169">
        <f t="shared" si="374"/>
        <v>0</v>
      </c>
      <c r="O719" s="169">
        <f t="shared" si="375"/>
        <v>0</v>
      </c>
      <c r="P719" s="312">
        <f t="shared" si="376"/>
        <v>0</v>
      </c>
      <c r="Q719" s="335"/>
    </row>
    <row r="720" spans="1:17" ht="21" x14ac:dyDescent="0.35">
      <c r="A720" s="115">
        <f t="shared" si="426"/>
        <v>68</v>
      </c>
      <c r="B720" s="116" t="s">
        <v>239</v>
      </c>
      <c r="C720" s="129" t="s">
        <v>240</v>
      </c>
      <c r="D720" s="72" t="s">
        <v>289</v>
      </c>
      <c r="E720" s="73" t="s">
        <v>290</v>
      </c>
      <c r="F720" s="73"/>
      <c r="G720" s="73" t="s">
        <v>291</v>
      </c>
      <c r="H720" s="73"/>
      <c r="I720" s="191"/>
      <c r="J720" s="19">
        <f t="shared" si="373"/>
        <v>0</v>
      </c>
      <c r="K720" s="259" t="s">
        <v>51</v>
      </c>
      <c r="L720" s="168">
        <v>0</v>
      </c>
      <c r="M720" s="168">
        <v>0</v>
      </c>
      <c r="N720" s="169">
        <f t="shared" si="374"/>
        <v>0</v>
      </c>
      <c r="O720" s="169">
        <f t="shared" si="375"/>
        <v>0</v>
      </c>
      <c r="P720" s="312">
        <f t="shared" si="376"/>
        <v>0</v>
      </c>
      <c r="Q720" s="335"/>
    </row>
    <row r="721" spans="1:17" ht="21" x14ac:dyDescent="0.35">
      <c r="A721" s="115">
        <f t="shared" si="426"/>
        <v>69</v>
      </c>
      <c r="B721" s="116" t="s">
        <v>239</v>
      </c>
      <c r="C721" s="129" t="s">
        <v>240</v>
      </c>
      <c r="D721" s="72" t="s">
        <v>449</v>
      </c>
      <c r="E721" s="73"/>
      <c r="F721" s="73"/>
      <c r="G721" s="73"/>
      <c r="H721" s="73"/>
      <c r="I721" s="191"/>
      <c r="J721" s="19">
        <v>0</v>
      </c>
      <c r="K721" s="259" t="s">
        <v>51</v>
      </c>
      <c r="L721" s="168">
        <v>0</v>
      </c>
      <c r="M721" s="168">
        <v>0</v>
      </c>
      <c r="N721" s="169">
        <f t="shared" ref="N721" si="427">L721*J721</f>
        <v>0</v>
      </c>
      <c r="O721" s="169">
        <f t="shared" ref="O721" si="428">M721*J721</f>
        <v>0</v>
      </c>
      <c r="P721" s="312">
        <f t="shared" ref="P721" si="429">(L721*J721)+(M721*J721)</f>
        <v>0</v>
      </c>
      <c r="Q721" s="335"/>
    </row>
    <row r="722" spans="1:17" ht="21" x14ac:dyDescent="0.35">
      <c r="A722" s="115">
        <f t="shared" si="426"/>
        <v>70</v>
      </c>
      <c r="B722" s="116" t="s">
        <v>239</v>
      </c>
      <c r="C722" s="129" t="s">
        <v>240</v>
      </c>
      <c r="D722" s="72" t="s">
        <v>292</v>
      </c>
      <c r="E722" s="73"/>
      <c r="F722" s="73"/>
      <c r="G722" s="73"/>
      <c r="H722" s="73"/>
      <c r="I722" s="191"/>
      <c r="J722" s="19">
        <f t="shared" si="373"/>
        <v>0</v>
      </c>
      <c r="K722" s="259" t="s">
        <v>51</v>
      </c>
      <c r="L722" s="168">
        <v>0</v>
      </c>
      <c r="M722" s="168">
        <v>0</v>
      </c>
      <c r="N722" s="169">
        <f t="shared" si="374"/>
        <v>0</v>
      </c>
      <c r="O722" s="169">
        <f t="shared" si="375"/>
        <v>0</v>
      </c>
      <c r="P722" s="312">
        <f t="shared" si="376"/>
        <v>0</v>
      </c>
      <c r="Q722" s="335"/>
    </row>
    <row r="723" spans="1:17" ht="21" x14ac:dyDescent="0.35">
      <c r="A723" s="115">
        <f t="shared" si="426"/>
        <v>71</v>
      </c>
      <c r="B723" s="116" t="s">
        <v>239</v>
      </c>
      <c r="C723" s="129" t="s">
        <v>293</v>
      </c>
      <c r="D723" s="72" t="s">
        <v>478</v>
      </c>
      <c r="E723" s="73"/>
      <c r="F723" s="73"/>
      <c r="G723" s="73" t="s">
        <v>450</v>
      </c>
      <c r="H723" s="73"/>
      <c r="I723" s="191"/>
      <c r="J723" s="19">
        <f t="shared" ref="J723" si="430">I723</f>
        <v>0</v>
      </c>
      <c r="K723" s="259" t="s">
        <v>22</v>
      </c>
      <c r="L723" s="168">
        <v>0</v>
      </c>
      <c r="M723" s="168">
        <v>0</v>
      </c>
      <c r="N723" s="169">
        <f t="shared" ref="N723" si="431">L723*J723</f>
        <v>0</v>
      </c>
      <c r="O723" s="169">
        <f t="shared" ref="O723" si="432">M723*J723</f>
        <v>0</v>
      </c>
      <c r="P723" s="312">
        <f t="shared" ref="P723" si="433">(L723*J723)+(M723*J723)</f>
        <v>0</v>
      </c>
      <c r="Q723" s="335"/>
    </row>
    <row r="724" spans="1:17" ht="21" x14ac:dyDescent="0.35">
      <c r="A724" s="115">
        <f t="shared" si="426"/>
        <v>72</v>
      </c>
      <c r="B724" s="116" t="s">
        <v>239</v>
      </c>
      <c r="C724" s="129" t="s">
        <v>293</v>
      </c>
      <c r="D724" s="72" t="s">
        <v>478</v>
      </c>
      <c r="E724" s="73"/>
      <c r="F724" s="73"/>
      <c r="G724" s="73" t="s">
        <v>434</v>
      </c>
      <c r="H724" s="73"/>
      <c r="I724" s="191"/>
      <c r="J724" s="19">
        <f t="shared" si="373"/>
        <v>0</v>
      </c>
      <c r="K724" s="259" t="s">
        <v>22</v>
      </c>
      <c r="L724" s="168">
        <v>0</v>
      </c>
      <c r="M724" s="168">
        <v>0</v>
      </c>
      <c r="N724" s="169">
        <f t="shared" si="374"/>
        <v>0</v>
      </c>
      <c r="O724" s="169">
        <f t="shared" si="375"/>
        <v>0</v>
      </c>
      <c r="P724" s="312">
        <f t="shared" si="376"/>
        <v>0</v>
      </c>
      <c r="Q724" s="335"/>
    </row>
    <row r="725" spans="1:17" ht="21" x14ac:dyDescent="0.35">
      <c r="A725" s="115">
        <f t="shared" si="426"/>
        <v>73</v>
      </c>
      <c r="B725" s="116" t="s">
        <v>239</v>
      </c>
      <c r="C725" s="129" t="s">
        <v>293</v>
      </c>
      <c r="D725" s="72" t="s">
        <v>478</v>
      </c>
      <c r="E725" s="73"/>
      <c r="F725" s="73"/>
      <c r="G725" s="73" t="s">
        <v>435</v>
      </c>
      <c r="H725" s="73"/>
      <c r="I725" s="191"/>
      <c r="J725" s="19">
        <f t="shared" si="373"/>
        <v>0</v>
      </c>
      <c r="K725" s="259" t="s">
        <v>22</v>
      </c>
      <c r="L725" s="168">
        <v>0</v>
      </c>
      <c r="M725" s="168">
        <v>0</v>
      </c>
      <c r="N725" s="169">
        <f t="shared" si="374"/>
        <v>0</v>
      </c>
      <c r="O725" s="169">
        <f t="shared" si="375"/>
        <v>0</v>
      </c>
      <c r="P725" s="312">
        <f t="shared" si="376"/>
        <v>0</v>
      </c>
      <c r="Q725" s="335"/>
    </row>
    <row r="726" spans="1:17" ht="21" x14ac:dyDescent="0.35">
      <c r="A726" s="115">
        <f t="shared" si="426"/>
        <v>74</v>
      </c>
      <c r="B726" s="116" t="s">
        <v>239</v>
      </c>
      <c r="C726" s="129" t="s">
        <v>293</v>
      </c>
      <c r="D726" s="72" t="s">
        <v>478</v>
      </c>
      <c r="E726" s="73"/>
      <c r="F726" s="73"/>
      <c r="G726" s="73" t="s">
        <v>436</v>
      </c>
      <c r="H726" s="73"/>
      <c r="I726" s="191"/>
      <c r="J726" s="19">
        <f t="shared" si="373"/>
        <v>0</v>
      </c>
      <c r="K726" s="259" t="s">
        <v>22</v>
      </c>
      <c r="L726" s="168">
        <v>0</v>
      </c>
      <c r="M726" s="168">
        <v>0</v>
      </c>
      <c r="N726" s="169">
        <f t="shared" si="374"/>
        <v>0</v>
      </c>
      <c r="O726" s="169">
        <f t="shared" si="375"/>
        <v>0</v>
      </c>
      <c r="P726" s="312">
        <f t="shared" si="376"/>
        <v>0</v>
      </c>
      <c r="Q726" s="335"/>
    </row>
    <row r="727" spans="1:17" ht="21" x14ac:dyDescent="0.35">
      <c r="A727" s="115">
        <f t="shared" si="426"/>
        <v>75</v>
      </c>
      <c r="B727" s="116" t="s">
        <v>239</v>
      </c>
      <c r="C727" s="129" t="s">
        <v>293</v>
      </c>
      <c r="D727" s="72" t="s">
        <v>478</v>
      </c>
      <c r="E727" s="73"/>
      <c r="F727" s="73"/>
      <c r="G727" s="73" t="s">
        <v>437</v>
      </c>
      <c r="H727" s="73"/>
      <c r="I727" s="191"/>
      <c r="J727" s="19">
        <f t="shared" si="373"/>
        <v>0</v>
      </c>
      <c r="K727" s="259" t="s">
        <v>22</v>
      </c>
      <c r="L727" s="168">
        <v>0</v>
      </c>
      <c r="M727" s="168">
        <v>0</v>
      </c>
      <c r="N727" s="169">
        <f t="shared" si="374"/>
        <v>0</v>
      </c>
      <c r="O727" s="169">
        <f t="shared" si="375"/>
        <v>0</v>
      </c>
      <c r="P727" s="312">
        <f t="shared" si="376"/>
        <v>0</v>
      </c>
      <c r="Q727" s="335"/>
    </row>
    <row r="728" spans="1:17" ht="21" x14ac:dyDescent="0.35">
      <c r="A728" s="115">
        <f t="shared" si="426"/>
        <v>76</v>
      </c>
      <c r="B728" s="116" t="s">
        <v>239</v>
      </c>
      <c r="C728" s="129" t="s">
        <v>293</v>
      </c>
      <c r="D728" s="72" t="s">
        <v>478</v>
      </c>
      <c r="E728" s="73"/>
      <c r="F728" s="73"/>
      <c r="G728" s="73" t="s">
        <v>438</v>
      </c>
      <c r="H728" s="73"/>
      <c r="I728" s="191"/>
      <c r="J728" s="19">
        <f t="shared" si="373"/>
        <v>0</v>
      </c>
      <c r="K728" s="259" t="s">
        <v>22</v>
      </c>
      <c r="L728" s="168">
        <v>0</v>
      </c>
      <c r="M728" s="168">
        <v>0</v>
      </c>
      <c r="N728" s="169">
        <f t="shared" si="374"/>
        <v>0</v>
      </c>
      <c r="O728" s="169">
        <f t="shared" si="375"/>
        <v>0</v>
      </c>
      <c r="P728" s="312">
        <f t="shared" si="376"/>
        <v>0</v>
      </c>
      <c r="Q728" s="335"/>
    </row>
    <row r="729" spans="1:17" ht="21" x14ac:dyDescent="0.35">
      <c r="A729" s="115">
        <f t="shared" si="426"/>
        <v>77</v>
      </c>
      <c r="B729" s="116" t="s">
        <v>239</v>
      </c>
      <c r="C729" s="129" t="s">
        <v>293</v>
      </c>
      <c r="D729" s="72" t="s">
        <v>478</v>
      </c>
      <c r="E729" s="73"/>
      <c r="F729" s="73"/>
      <c r="G729" s="73" t="s">
        <v>439</v>
      </c>
      <c r="H729" s="73"/>
      <c r="I729" s="191"/>
      <c r="J729" s="19">
        <f t="shared" si="373"/>
        <v>0</v>
      </c>
      <c r="K729" s="259" t="s">
        <v>22</v>
      </c>
      <c r="L729" s="168">
        <v>0</v>
      </c>
      <c r="M729" s="168">
        <v>0</v>
      </c>
      <c r="N729" s="169">
        <f t="shared" si="374"/>
        <v>0</v>
      </c>
      <c r="O729" s="169">
        <f t="shared" si="375"/>
        <v>0</v>
      </c>
      <c r="P729" s="312">
        <f t="shared" si="376"/>
        <v>0</v>
      </c>
      <c r="Q729" s="335"/>
    </row>
    <row r="730" spans="1:17" ht="21" x14ac:dyDescent="0.35">
      <c r="A730" s="115">
        <f t="shared" si="426"/>
        <v>78</v>
      </c>
      <c r="B730" s="116" t="s">
        <v>239</v>
      </c>
      <c r="C730" s="129" t="s">
        <v>293</v>
      </c>
      <c r="D730" s="72" t="s">
        <v>451</v>
      </c>
      <c r="E730" s="73"/>
      <c r="F730" s="73"/>
      <c r="G730" s="73" t="s">
        <v>452</v>
      </c>
      <c r="H730" s="73"/>
      <c r="I730" s="191"/>
      <c r="J730" s="19">
        <f t="shared" ref="J730" si="434">I730</f>
        <v>0</v>
      </c>
      <c r="K730" s="259" t="s">
        <v>22</v>
      </c>
      <c r="L730" s="168">
        <v>0</v>
      </c>
      <c r="M730" s="168">
        <v>0</v>
      </c>
      <c r="N730" s="169">
        <f t="shared" ref="N730" si="435">L730*J730</f>
        <v>0</v>
      </c>
      <c r="O730" s="169">
        <f t="shared" ref="O730" si="436">M730*J730</f>
        <v>0</v>
      </c>
      <c r="P730" s="312">
        <f t="shared" ref="P730" si="437">(L730*J730)+(M730*J730)</f>
        <v>0</v>
      </c>
      <c r="Q730" s="335"/>
    </row>
    <row r="731" spans="1:17" ht="21" x14ac:dyDescent="0.35">
      <c r="A731" s="115">
        <f t="shared" si="426"/>
        <v>79</v>
      </c>
      <c r="B731" s="116" t="s">
        <v>239</v>
      </c>
      <c r="C731" s="129" t="s">
        <v>293</v>
      </c>
      <c r="D731" s="43" t="s">
        <v>358</v>
      </c>
      <c r="E731" s="5"/>
      <c r="F731" s="5"/>
      <c r="G731" s="5"/>
      <c r="H731" s="5"/>
      <c r="I731" s="20"/>
      <c r="J731" s="19">
        <f>I731</f>
        <v>0</v>
      </c>
      <c r="K731" s="171"/>
      <c r="L731" s="168">
        <v>0</v>
      </c>
      <c r="M731" s="168">
        <v>0</v>
      </c>
      <c r="N731" s="169">
        <f>L731*J731</f>
        <v>0</v>
      </c>
      <c r="O731" s="169">
        <f>M731*J731</f>
        <v>0</v>
      </c>
      <c r="P731" s="312">
        <f>(L731*J731)+(M731*J731)</f>
        <v>0</v>
      </c>
      <c r="Q731" s="326"/>
    </row>
    <row r="732" spans="1:17" ht="21.5" thickBot="1" x14ac:dyDescent="0.4">
      <c r="A732" s="109">
        <f>A731+1</f>
        <v>80</v>
      </c>
      <c r="B732" s="110" t="s">
        <v>239</v>
      </c>
      <c r="C732" s="128" t="s">
        <v>293</v>
      </c>
      <c r="D732" s="45" t="s">
        <v>358</v>
      </c>
      <c r="E732" s="40"/>
      <c r="F732" s="40"/>
      <c r="G732" s="40"/>
      <c r="H732" s="40"/>
      <c r="I732" s="41"/>
      <c r="J732" s="24">
        <f>I732</f>
        <v>0</v>
      </c>
      <c r="K732" s="194"/>
      <c r="L732" s="195">
        <v>0</v>
      </c>
      <c r="M732" s="195">
        <v>0</v>
      </c>
      <c r="N732" s="196">
        <f>L732*J732</f>
        <v>0</v>
      </c>
      <c r="O732" s="196">
        <f>M732*J732</f>
        <v>0</v>
      </c>
      <c r="P732" s="313">
        <f>(L732*J732)+(M732*J732)</f>
        <v>0</v>
      </c>
      <c r="Q732" s="328"/>
    </row>
    <row r="733" spans="1:17" ht="23.25" customHeight="1" thickBot="1" x14ac:dyDescent="0.4">
      <c r="A733" s="117"/>
      <c r="B733" s="92" t="s">
        <v>239</v>
      </c>
      <c r="C733" s="137" t="s">
        <v>294</v>
      </c>
      <c r="D733" s="273" t="s">
        <v>294</v>
      </c>
      <c r="E733" s="263"/>
      <c r="F733" s="263"/>
      <c r="G733" s="263"/>
      <c r="H733" s="264"/>
      <c r="I733" s="265"/>
      <c r="J733" s="289"/>
      <c r="K733" s="267"/>
      <c r="L733" s="268"/>
      <c r="M733" s="268"/>
      <c r="N733" s="288"/>
      <c r="O733" s="288"/>
      <c r="P733" s="324"/>
      <c r="Q733" s="348"/>
    </row>
    <row r="734" spans="1:17" ht="21" x14ac:dyDescent="0.35">
      <c r="A734" s="113">
        <f>A732+1</f>
        <v>81</v>
      </c>
      <c r="B734" s="114" t="s">
        <v>239</v>
      </c>
      <c r="C734" s="127" t="s">
        <v>294</v>
      </c>
      <c r="D734" s="77" t="s">
        <v>295</v>
      </c>
      <c r="E734" s="78" t="s">
        <v>296</v>
      </c>
      <c r="F734" s="78"/>
      <c r="G734" s="78" t="s">
        <v>297</v>
      </c>
      <c r="H734" s="78"/>
      <c r="I734" s="189"/>
      <c r="J734" s="32">
        <f t="shared" ref="J734:J803" si="438">I734</f>
        <v>0</v>
      </c>
      <c r="K734" s="272" t="s">
        <v>22</v>
      </c>
      <c r="L734" s="185">
        <v>0</v>
      </c>
      <c r="M734" s="185">
        <v>0</v>
      </c>
      <c r="N734" s="186">
        <f t="shared" ref="N734:N747" si="439">L734*J734</f>
        <v>0</v>
      </c>
      <c r="O734" s="186">
        <f t="shared" ref="O734:O747" si="440">M734*J734</f>
        <v>0</v>
      </c>
      <c r="P734" s="311">
        <f t="shared" ref="P734:P747" si="441">(L734*J734)+(M734*J734)</f>
        <v>0</v>
      </c>
      <c r="Q734" s="336"/>
    </row>
    <row r="735" spans="1:17" ht="21" x14ac:dyDescent="0.35">
      <c r="A735" s="115">
        <f>A734+1</f>
        <v>82</v>
      </c>
      <c r="B735" s="116" t="s">
        <v>239</v>
      </c>
      <c r="C735" s="129" t="s">
        <v>294</v>
      </c>
      <c r="D735" s="72" t="s">
        <v>295</v>
      </c>
      <c r="E735" s="73" t="s">
        <v>296</v>
      </c>
      <c r="F735" s="73"/>
      <c r="G735" s="73" t="s">
        <v>298</v>
      </c>
      <c r="H735" s="73"/>
      <c r="I735" s="191"/>
      <c r="J735" s="19">
        <f t="shared" si="438"/>
        <v>0</v>
      </c>
      <c r="K735" s="259" t="s">
        <v>22</v>
      </c>
      <c r="L735" s="168">
        <v>0</v>
      </c>
      <c r="M735" s="168">
        <v>0</v>
      </c>
      <c r="N735" s="169">
        <f t="shared" si="439"/>
        <v>0</v>
      </c>
      <c r="O735" s="169">
        <f t="shared" si="440"/>
        <v>0</v>
      </c>
      <c r="P735" s="312">
        <f t="shared" si="441"/>
        <v>0</v>
      </c>
      <c r="Q735" s="335"/>
    </row>
    <row r="736" spans="1:17" ht="21" x14ac:dyDescent="0.35">
      <c r="A736" s="115">
        <v>85</v>
      </c>
      <c r="B736" s="116" t="s">
        <v>239</v>
      </c>
      <c r="C736" s="129" t="s">
        <v>294</v>
      </c>
      <c r="D736" s="72" t="s">
        <v>295</v>
      </c>
      <c r="E736" s="73" t="s">
        <v>296</v>
      </c>
      <c r="F736" s="73"/>
      <c r="G736" s="73" t="s">
        <v>299</v>
      </c>
      <c r="H736" s="73"/>
      <c r="I736" s="191"/>
      <c r="J736" s="19">
        <f t="shared" si="438"/>
        <v>0</v>
      </c>
      <c r="K736" s="259" t="s">
        <v>22</v>
      </c>
      <c r="L736" s="168">
        <v>0</v>
      </c>
      <c r="M736" s="168">
        <v>0</v>
      </c>
      <c r="N736" s="169">
        <f t="shared" si="439"/>
        <v>0</v>
      </c>
      <c r="O736" s="169">
        <f t="shared" si="440"/>
        <v>0</v>
      </c>
      <c r="P736" s="312">
        <f t="shared" si="441"/>
        <v>0</v>
      </c>
      <c r="Q736" s="335"/>
    </row>
    <row r="737" spans="1:17" ht="21" x14ac:dyDescent="0.35">
      <c r="A737" s="115">
        <v>85</v>
      </c>
      <c r="B737" s="116" t="s">
        <v>239</v>
      </c>
      <c r="C737" s="129" t="s">
        <v>294</v>
      </c>
      <c r="D737" s="72" t="s">
        <v>295</v>
      </c>
      <c r="E737" s="73" t="s">
        <v>296</v>
      </c>
      <c r="F737" s="73"/>
      <c r="G737" s="73" t="s">
        <v>300</v>
      </c>
      <c r="H737" s="73"/>
      <c r="I737" s="191"/>
      <c r="J737" s="19">
        <f t="shared" si="438"/>
        <v>0</v>
      </c>
      <c r="K737" s="259" t="s">
        <v>22</v>
      </c>
      <c r="L737" s="168">
        <v>0</v>
      </c>
      <c r="M737" s="168">
        <v>0</v>
      </c>
      <c r="N737" s="169">
        <f t="shared" si="439"/>
        <v>0</v>
      </c>
      <c r="O737" s="169">
        <f t="shared" si="440"/>
        <v>0</v>
      </c>
      <c r="P737" s="312">
        <f t="shared" si="441"/>
        <v>0</v>
      </c>
      <c r="Q737" s="335"/>
    </row>
    <row r="738" spans="1:17" ht="21" x14ac:dyDescent="0.35">
      <c r="A738" s="115">
        <v>85</v>
      </c>
      <c r="B738" s="116" t="s">
        <v>239</v>
      </c>
      <c r="C738" s="129" t="s">
        <v>294</v>
      </c>
      <c r="D738" s="72" t="s">
        <v>295</v>
      </c>
      <c r="E738" s="73" t="s">
        <v>296</v>
      </c>
      <c r="F738" s="73"/>
      <c r="G738" s="73" t="s">
        <v>301</v>
      </c>
      <c r="H738" s="73"/>
      <c r="I738" s="191"/>
      <c r="J738" s="19">
        <f t="shared" si="438"/>
        <v>0</v>
      </c>
      <c r="K738" s="259" t="s">
        <v>22</v>
      </c>
      <c r="L738" s="168">
        <v>0</v>
      </c>
      <c r="M738" s="168">
        <v>0</v>
      </c>
      <c r="N738" s="169">
        <f t="shared" si="439"/>
        <v>0</v>
      </c>
      <c r="O738" s="169">
        <f t="shared" si="440"/>
        <v>0</v>
      </c>
      <c r="P738" s="312">
        <f t="shared" si="441"/>
        <v>0</v>
      </c>
      <c r="Q738" s="335"/>
    </row>
    <row r="739" spans="1:17" ht="21" x14ac:dyDescent="0.35">
      <c r="A739" s="115">
        <v>85</v>
      </c>
      <c r="B739" s="116" t="s">
        <v>239</v>
      </c>
      <c r="C739" s="129" t="s">
        <v>294</v>
      </c>
      <c r="D739" s="72" t="s">
        <v>295</v>
      </c>
      <c r="E739" s="73" t="s">
        <v>296</v>
      </c>
      <c r="F739" s="73"/>
      <c r="G739" s="73" t="s">
        <v>302</v>
      </c>
      <c r="H739" s="73"/>
      <c r="I739" s="191"/>
      <c r="J739" s="19">
        <f t="shared" si="438"/>
        <v>0</v>
      </c>
      <c r="K739" s="259" t="s">
        <v>22</v>
      </c>
      <c r="L739" s="168">
        <v>0</v>
      </c>
      <c r="M739" s="168">
        <v>0</v>
      </c>
      <c r="N739" s="169">
        <f t="shared" si="439"/>
        <v>0</v>
      </c>
      <c r="O739" s="169">
        <f t="shared" si="440"/>
        <v>0</v>
      </c>
      <c r="P739" s="312">
        <f t="shared" si="441"/>
        <v>0</v>
      </c>
      <c r="Q739" s="335"/>
    </row>
    <row r="740" spans="1:17" ht="21" x14ac:dyDescent="0.35">
      <c r="A740" s="115">
        <v>85</v>
      </c>
      <c r="B740" s="116" t="s">
        <v>239</v>
      </c>
      <c r="C740" s="129" t="s">
        <v>294</v>
      </c>
      <c r="D740" s="72" t="s">
        <v>295</v>
      </c>
      <c r="E740" s="73" t="s">
        <v>296</v>
      </c>
      <c r="F740" s="73"/>
      <c r="G740" s="73" t="s">
        <v>303</v>
      </c>
      <c r="H740" s="73"/>
      <c r="I740" s="191"/>
      <c r="J740" s="19">
        <f t="shared" si="438"/>
        <v>0</v>
      </c>
      <c r="K740" s="259" t="s">
        <v>22</v>
      </c>
      <c r="L740" s="168">
        <v>0</v>
      </c>
      <c r="M740" s="168">
        <v>0</v>
      </c>
      <c r="N740" s="169">
        <f t="shared" si="439"/>
        <v>0</v>
      </c>
      <c r="O740" s="169">
        <f t="shared" si="440"/>
        <v>0</v>
      </c>
      <c r="P740" s="312">
        <f t="shared" si="441"/>
        <v>0</v>
      </c>
      <c r="Q740" s="335"/>
    </row>
    <row r="741" spans="1:17" ht="21" x14ac:dyDescent="0.35">
      <c r="A741" s="115">
        <v>85</v>
      </c>
      <c r="B741" s="116" t="s">
        <v>239</v>
      </c>
      <c r="C741" s="129" t="s">
        <v>294</v>
      </c>
      <c r="D741" s="72" t="s">
        <v>304</v>
      </c>
      <c r="E741" s="73" t="s">
        <v>305</v>
      </c>
      <c r="F741" s="73"/>
      <c r="G741" s="73" t="s">
        <v>306</v>
      </c>
      <c r="H741" s="73"/>
      <c r="I741" s="191"/>
      <c r="J741" s="19">
        <f t="shared" si="438"/>
        <v>0</v>
      </c>
      <c r="K741" s="259" t="s">
        <v>22</v>
      </c>
      <c r="L741" s="168">
        <v>0</v>
      </c>
      <c r="M741" s="168">
        <v>0</v>
      </c>
      <c r="N741" s="169">
        <f t="shared" si="439"/>
        <v>0</v>
      </c>
      <c r="O741" s="169">
        <f t="shared" si="440"/>
        <v>0</v>
      </c>
      <c r="P741" s="312">
        <f t="shared" si="441"/>
        <v>0</v>
      </c>
      <c r="Q741" s="335"/>
    </row>
    <row r="742" spans="1:17" ht="21" x14ac:dyDescent="0.35">
      <c r="A742" s="115">
        <v>85</v>
      </c>
      <c r="B742" s="116" t="s">
        <v>239</v>
      </c>
      <c r="C742" s="129" t="s">
        <v>294</v>
      </c>
      <c r="D742" s="72" t="s">
        <v>304</v>
      </c>
      <c r="E742" s="73" t="s">
        <v>305</v>
      </c>
      <c r="F742" s="73"/>
      <c r="G742" s="73" t="s">
        <v>298</v>
      </c>
      <c r="H742" s="73"/>
      <c r="I742" s="191"/>
      <c r="J742" s="19">
        <f t="shared" si="438"/>
        <v>0</v>
      </c>
      <c r="K742" s="259" t="s">
        <v>22</v>
      </c>
      <c r="L742" s="168">
        <v>0</v>
      </c>
      <c r="M742" s="168">
        <v>0</v>
      </c>
      <c r="N742" s="169">
        <f t="shared" si="439"/>
        <v>0</v>
      </c>
      <c r="O742" s="169">
        <f t="shared" si="440"/>
        <v>0</v>
      </c>
      <c r="P742" s="312">
        <f t="shared" si="441"/>
        <v>0</v>
      </c>
      <c r="Q742" s="335"/>
    </row>
    <row r="743" spans="1:17" ht="21" x14ac:dyDescent="0.35">
      <c r="A743" s="115">
        <v>85</v>
      </c>
      <c r="B743" s="116" t="s">
        <v>239</v>
      </c>
      <c r="C743" s="129" t="s">
        <v>294</v>
      </c>
      <c r="D743" s="72" t="s">
        <v>307</v>
      </c>
      <c r="E743" s="118" t="s">
        <v>308</v>
      </c>
      <c r="F743" s="73"/>
      <c r="G743" s="73"/>
      <c r="H743" s="73" t="s">
        <v>309</v>
      </c>
      <c r="I743" s="191"/>
      <c r="J743" s="19">
        <f t="shared" si="438"/>
        <v>0</v>
      </c>
      <c r="K743" s="259" t="s">
        <v>22</v>
      </c>
      <c r="L743" s="168">
        <v>0</v>
      </c>
      <c r="M743" s="168">
        <v>0</v>
      </c>
      <c r="N743" s="169">
        <f t="shared" si="439"/>
        <v>0</v>
      </c>
      <c r="O743" s="169">
        <f t="shared" si="440"/>
        <v>0</v>
      </c>
      <c r="P743" s="312">
        <f t="shared" si="441"/>
        <v>0</v>
      </c>
      <c r="Q743" s="335"/>
    </row>
    <row r="744" spans="1:17" ht="21" x14ac:dyDescent="0.35">
      <c r="A744" s="115">
        <v>85</v>
      </c>
      <c r="B744" s="116" t="s">
        <v>239</v>
      </c>
      <c r="C744" s="129" t="s">
        <v>294</v>
      </c>
      <c r="D744" s="72" t="s">
        <v>310</v>
      </c>
      <c r="E744" s="118" t="s">
        <v>308</v>
      </c>
      <c r="F744" s="73" t="s">
        <v>311</v>
      </c>
      <c r="G744" s="73"/>
      <c r="H744" s="73" t="s">
        <v>312</v>
      </c>
      <c r="I744" s="191"/>
      <c r="J744" s="19">
        <f t="shared" si="438"/>
        <v>0</v>
      </c>
      <c r="K744" s="259" t="s">
        <v>22</v>
      </c>
      <c r="L744" s="168">
        <v>0</v>
      </c>
      <c r="M744" s="168">
        <v>0</v>
      </c>
      <c r="N744" s="169">
        <f t="shared" si="439"/>
        <v>0</v>
      </c>
      <c r="O744" s="169">
        <f t="shared" si="440"/>
        <v>0</v>
      </c>
      <c r="P744" s="312">
        <f t="shared" si="441"/>
        <v>0</v>
      </c>
      <c r="Q744" s="335"/>
    </row>
    <row r="745" spans="1:17" ht="21" x14ac:dyDescent="0.35">
      <c r="A745" s="115">
        <v>85</v>
      </c>
      <c r="B745" s="116" t="s">
        <v>239</v>
      </c>
      <c r="C745" s="129" t="s">
        <v>294</v>
      </c>
      <c r="D745" s="72" t="s">
        <v>313</v>
      </c>
      <c r="E745" s="118" t="s">
        <v>308</v>
      </c>
      <c r="F745" s="73" t="s">
        <v>314</v>
      </c>
      <c r="G745" s="73"/>
      <c r="H745" s="73" t="s">
        <v>315</v>
      </c>
      <c r="I745" s="191"/>
      <c r="J745" s="19">
        <f t="shared" si="438"/>
        <v>0</v>
      </c>
      <c r="K745" s="259" t="s">
        <v>22</v>
      </c>
      <c r="L745" s="168">
        <v>0</v>
      </c>
      <c r="M745" s="168">
        <v>0</v>
      </c>
      <c r="N745" s="169">
        <f t="shared" si="439"/>
        <v>0</v>
      </c>
      <c r="O745" s="169">
        <f t="shared" si="440"/>
        <v>0</v>
      </c>
      <c r="P745" s="312">
        <f t="shared" si="441"/>
        <v>0</v>
      </c>
      <c r="Q745" s="335"/>
    </row>
    <row r="746" spans="1:17" ht="21" x14ac:dyDescent="0.35">
      <c r="A746" s="115">
        <v>85</v>
      </c>
      <c r="B746" s="116" t="s">
        <v>239</v>
      </c>
      <c r="C746" s="129" t="s">
        <v>294</v>
      </c>
      <c r="D746" s="72" t="s">
        <v>316</v>
      </c>
      <c r="E746" s="118" t="s">
        <v>317</v>
      </c>
      <c r="F746" s="73" t="s">
        <v>297</v>
      </c>
      <c r="G746" s="73"/>
      <c r="H746" s="73"/>
      <c r="I746" s="191"/>
      <c r="J746" s="19">
        <f t="shared" si="438"/>
        <v>0</v>
      </c>
      <c r="K746" s="259" t="s">
        <v>22</v>
      </c>
      <c r="L746" s="168">
        <v>0</v>
      </c>
      <c r="M746" s="168">
        <v>0</v>
      </c>
      <c r="N746" s="169">
        <f t="shared" si="439"/>
        <v>0</v>
      </c>
      <c r="O746" s="169">
        <f t="shared" si="440"/>
        <v>0</v>
      </c>
      <c r="P746" s="312">
        <f t="shared" si="441"/>
        <v>0</v>
      </c>
      <c r="Q746" s="335"/>
    </row>
    <row r="747" spans="1:17" ht="21" x14ac:dyDescent="0.35">
      <c r="A747" s="115">
        <v>85</v>
      </c>
      <c r="B747" s="116" t="s">
        <v>239</v>
      </c>
      <c r="C747" s="129" t="s">
        <v>294</v>
      </c>
      <c r="D747" s="72" t="s">
        <v>318</v>
      </c>
      <c r="E747" s="118" t="s">
        <v>319</v>
      </c>
      <c r="F747" s="73" t="s">
        <v>320</v>
      </c>
      <c r="G747" s="73"/>
      <c r="H747" s="73"/>
      <c r="I747" s="191"/>
      <c r="J747" s="19">
        <f t="shared" si="438"/>
        <v>0</v>
      </c>
      <c r="K747" s="259" t="s">
        <v>22</v>
      </c>
      <c r="L747" s="168">
        <v>0</v>
      </c>
      <c r="M747" s="168">
        <v>0</v>
      </c>
      <c r="N747" s="169">
        <f t="shared" si="439"/>
        <v>0</v>
      </c>
      <c r="O747" s="169">
        <f t="shared" si="440"/>
        <v>0</v>
      </c>
      <c r="P747" s="312">
        <f t="shared" si="441"/>
        <v>0</v>
      </c>
      <c r="Q747" s="335"/>
    </row>
    <row r="748" spans="1:17" ht="21" x14ac:dyDescent="0.35">
      <c r="A748" s="115">
        <v>85</v>
      </c>
      <c r="B748" s="116" t="s">
        <v>239</v>
      </c>
      <c r="C748" s="129" t="s">
        <v>294</v>
      </c>
      <c r="D748" s="43" t="s">
        <v>358</v>
      </c>
      <c r="E748" s="5"/>
      <c r="F748" s="5"/>
      <c r="G748" s="5"/>
      <c r="H748" s="5"/>
      <c r="I748" s="20"/>
      <c r="J748" s="19">
        <f>I748</f>
        <v>0</v>
      </c>
      <c r="K748" s="171"/>
      <c r="L748" s="168">
        <v>0</v>
      </c>
      <c r="M748" s="168">
        <v>0</v>
      </c>
      <c r="N748" s="169">
        <f>L748*J748</f>
        <v>0</v>
      </c>
      <c r="O748" s="169">
        <f>M748*J748</f>
        <v>0</v>
      </c>
      <c r="P748" s="312">
        <f>(L748*J748)+(M748*J748)</f>
        <v>0</v>
      </c>
      <c r="Q748" s="326"/>
    </row>
    <row r="749" spans="1:17" ht="21.5" thickBot="1" x14ac:dyDescent="0.4">
      <c r="A749" s="109">
        <f>A748+1</f>
        <v>86</v>
      </c>
      <c r="B749" s="110" t="s">
        <v>239</v>
      </c>
      <c r="C749" s="128" t="s">
        <v>294</v>
      </c>
      <c r="D749" s="45" t="s">
        <v>358</v>
      </c>
      <c r="E749" s="40"/>
      <c r="F749" s="40"/>
      <c r="G749" s="40"/>
      <c r="H749" s="40"/>
      <c r="I749" s="41"/>
      <c r="J749" s="24">
        <f>I749</f>
        <v>0</v>
      </c>
      <c r="K749" s="194"/>
      <c r="L749" s="195">
        <v>0</v>
      </c>
      <c r="M749" s="195">
        <v>0</v>
      </c>
      <c r="N749" s="196">
        <f>L749*J749</f>
        <v>0</v>
      </c>
      <c r="O749" s="196">
        <f>M749*J749</f>
        <v>0</v>
      </c>
      <c r="P749" s="313">
        <f>(L749*J749)+(M749*J749)</f>
        <v>0</v>
      </c>
      <c r="Q749" s="328"/>
    </row>
    <row r="750" spans="1:17" ht="23.25" customHeight="1" thickBot="1" x14ac:dyDescent="0.4">
      <c r="A750" s="117"/>
      <c r="B750" s="92" t="s">
        <v>239</v>
      </c>
      <c r="C750" s="137" t="s">
        <v>479</v>
      </c>
      <c r="D750" s="273" t="s">
        <v>479</v>
      </c>
      <c r="E750" s="263"/>
      <c r="F750" s="263"/>
      <c r="G750" s="263"/>
      <c r="H750" s="264"/>
      <c r="I750" s="265"/>
      <c r="J750" s="266"/>
      <c r="K750" s="267"/>
      <c r="L750" s="268"/>
      <c r="M750" s="268"/>
      <c r="N750" s="288"/>
      <c r="O750" s="288"/>
      <c r="P750" s="324"/>
      <c r="Q750" s="348"/>
    </row>
    <row r="751" spans="1:17" ht="21" x14ac:dyDescent="0.35">
      <c r="A751" s="113">
        <f>A749+1</f>
        <v>87</v>
      </c>
      <c r="B751" s="114" t="s">
        <v>239</v>
      </c>
      <c r="C751" s="127" t="s">
        <v>479</v>
      </c>
      <c r="D751" s="77" t="s">
        <v>486</v>
      </c>
      <c r="E751" s="78"/>
      <c r="F751" s="78"/>
      <c r="G751" s="78" t="s">
        <v>444</v>
      </c>
      <c r="H751" s="78"/>
      <c r="I751" s="189"/>
      <c r="J751" s="32">
        <f t="shared" si="438"/>
        <v>0</v>
      </c>
      <c r="K751" s="272" t="s">
        <v>22</v>
      </c>
      <c r="L751" s="185">
        <v>0</v>
      </c>
      <c r="M751" s="185">
        <v>0</v>
      </c>
      <c r="N751" s="186">
        <f t="shared" ref="N751:N793" si="442">L751*J751</f>
        <v>0</v>
      </c>
      <c r="O751" s="186">
        <f t="shared" ref="O751:O793" si="443">M751*J751</f>
        <v>0</v>
      </c>
      <c r="P751" s="311">
        <f t="shared" ref="P751:P793" si="444">(L751*J751)+(M751*J751)</f>
        <v>0</v>
      </c>
      <c r="Q751" s="336"/>
    </row>
    <row r="752" spans="1:17" ht="21" x14ac:dyDescent="0.35">
      <c r="A752" s="115">
        <f>A751+1</f>
        <v>88</v>
      </c>
      <c r="B752" s="116" t="s">
        <v>239</v>
      </c>
      <c r="C752" s="129" t="s">
        <v>479</v>
      </c>
      <c r="D752" s="72" t="s">
        <v>487</v>
      </c>
      <c r="E752" s="73" t="s">
        <v>321</v>
      </c>
      <c r="F752" s="73"/>
      <c r="G752" s="73" t="s">
        <v>455</v>
      </c>
      <c r="H752" s="73"/>
      <c r="I752" s="191"/>
      <c r="J752" s="19">
        <f t="shared" ref="J752" si="445">I752</f>
        <v>0</v>
      </c>
      <c r="K752" s="259" t="s">
        <v>22</v>
      </c>
      <c r="L752" s="168">
        <v>0</v>
      </c>
      <c r="M752" s="168">
        <v>0</v>
      </c>
      <c r="N752" s="169">
        <f t="shared" ref="N752" si="446">L752*J752</f>
        <v>0</v>
      </c>
      <c r="O752" s="169">
        <f t="shared" ref="O752" si="447">M752*J752</f>
        <v>0</v>
      </c>
      <c r="P752" s="312">
        <f t="shared" ref="P752" si="448">(L752*J752)+(M752*J752)</f>
        <v>0</v>
      </c>
      <c r="Q752" s="335"/>
    </row>
    <row r="753" spans="1:17" ht="21" x14ac:dyDescent="0.35">
      <c r="A753" s="115">
        <f t="shared" ref="A753:A794" si="449">A752+1</f>
        <v>89</v>
      </c>
      <c r="B753" s="116" t="s">
        <v>239</v>
      </c>
      <c r="C753" s="129" t="s">
        <v>479</v>
      </c>
      <c r="D753" s="72" t="s">
        <v>487</v>
      </c>
      <c r="E753" s="73" t="s">
        <v>321</v>
      </c>
      <c r="F753" s="73"/>
      <c r="G753" s="73" t="s">
        <v>480</v>
      </c>
      <c r="H753" s="73"/>
      <c r="I753" s="191"/>
      <c r="J753" s="19">
        <f t="shared" si="438"/>
        <v>0</v>
      </c>
      <c r="K753" s="259" t="s">
        <v>22</v>
      </c>
      <c r="L753" s="168">
        <v>0</v>
      </c>
      <c r="M753" s="168">
        <v>0</v>
      </c>
      <c r="N753" s="169">
        <f t="shared" si="442"/>
        <v>0</v>
      </c>
      <c r="O753" s="169">
        <f t="shared" si="443"/>
        <v>0</v>
      </c>
      <c r="P753" s="312">
        <f t="shared" si="444"/>
        <v>0</v>
      </c>
      <c r="Q753" s="335"/>
    </row>
    <row r="754" spans="1:17" ht="21" x14ac:dyDescent="0.35">
      <c r="A754" s="115">
        <f t="shared" si="449"/>
        <v>90</v>
      </c>
      <c r="B754" s="116" t="s">
        <v>239</v>
      </c>
      <c r="C754" s="129" t="s">
        <v>479</v>
      </c>
      <c r="D754" s="72" t="s">
        <v>487</v>
      </c>
      <c r="E754" s="73" t="s">
        <v>321</v>
      </c>
      <c r="F754" s="73"/>
      <c r="G754" s="73" t="s">
        <v>481</v>
      </c>
      <c r="H754" s="73"/>
      <c r="I754" s="191"/>
      <c r="J754" s="19">
        <f t="shared" ref="J754:J755" si="450">I754</f>
        <v>0</v>
      </c>
      <c r="K754" s="259" t="s">
        <v>22</v>
      </c>
      <c r="L754" s="168">
        <v>0</v>
      </c>
      <c r="M754" s="168">
        <v>0</v>
      </c>
      <c r="N754" s="169">
        <f t="shared" ref="N754:N755" si="451">L754*J754</f>
        <v>0</v>
      </c>
      <c r="O754" s="169">
        <f t="shared" ref="O754:O755" si="452">M754*J754</f>
        <v>0</v>
      </c>
      <c r="P754" s="312">
        <f t="shared" ref="P754:P755" si="453">(L754*J754)+(M754*J754)</f>
        <v>0</v>
      </c>
      <c r="Q754" s="335"/>
    </row>
    <row r="755" spans="1:17" ht="21" x14ac:dyDescent="0.35">
      <c r="A755" s="115">
        <f t="shared" si="449"/>
        <v>91</v>
      </c>
      <c r="B755" s="116" t="s">
        <v>239</v>
      </c>
      <c r="C755" s="129" t="s">
        <v>479</v>
      </c>
      <c r="D755" s="72" t="s">
        <v>487</v>
      </c>
      <c r="E755" s="73" t="s">
        <v>321</v>
      </c>
      <c r="F755" s="73"/>
      <c r="G755" s="73" t="s">
        <v>456</v>
      </c>
      <c r="H755" s="73"/>
      <c r="I755" s="191"/>
      <c r="J755" s="19">
        <f t="shared" si="450"/>
        <v>0</v>
      </c>
      <c r="K755" s="259" t="s">
        <v>22</v>
      </c>
      <c r="L755" s="168">
        <v>0</v>
      </c>
      <c r="M755" s="168">
        <v>0</v>
      </c>
      <c r="N755" s="169">
        <f t="shared" si="451"/>
        <v>0</v>
      </c>
      <c r="O755" s="169">
        <f t="shared" si="452"/>
        <v>0</v>
      </c>
      <c r="P755" s="312">
        <f t="shared" si="453"/>
        <v>0</v>
      </c>
      <c r="Q755" s="335"/>
    </row>
    <row r="756" spans="1:17" ht="21" x14ac:dyDescent="0.35">
      <c r="A756" s="115">
        <f t="shared" si="449"/>
        <v>92</v>
      </c>
      <c r="B756" s="116" t="s">
        <v>239</v>
      </c>
      <c r="C756" s="129" t="s">
        <v>479</v>
      </c>
      <c r="D756" s="72" t="s">
        <v>487</v>
      </c>
      <c r="E756" s="73" t="s">
        <v>321</v>
      </c>
      <c r="F756" s="73"/>
      <c r="G756" s="73" t="s">
        <v>482</v>
      </c>
      <c r="H756" s="73"/>
      <c r="I756" s="191"/>
      <c r="J756" s="19">
        <f t="shared" si="438"/>
        <v>0</v>
      </c>
      <c r="K756" s="259" t="s">
        <v>22</v>
      </c>
      <c r="L756" s="168">
        <v>0</v>
      </c>
      <c r="M756" s="168">
        <v>0</v>
      </c>
      <c r="N756" s="169">
        <f t="shared" si="442"/>
        <v>0</v>
      </c>
      <c r="O756" s="169">
        <f t="shared" si="443"/>
        <v>0</v>
      </c>
      <c r="P756" s="312">
        <f t="shared" si="444"/>
        <v>0</v>
      </c>
      <c r="Q756" s="335"/>
    </row>
    <row r="757" spans="1:17" ht="21" x14ac:dyDescent="0.35">
      <c r="A757" s="115">
        <f t="shared" si="449"/>
        <v>93</v>
      </c>
      <c r="B757" s="116" t="s">
        <v>239</v>
      </c>
      <c r="C757" s="129" t="s">
        <v>479</v>
      </c>
      <c r="D757" s="72" t="s">
        <v>487</v>
      </c>
      <c r="E757" s="73" t="s">
        <v>321</v>
      </c>
      <c r="F757" s="73"/>
      <c r="G757" s="73" t="s">
        <v>483</v>
      </c>
      <c r="H757" s="73"/>
      <c r="I757" s="191"/>
      <c r="J757" s="19">
        <f t="shared" si="438"/>
        <v>0</v>
      </c>
      <c r="K757" s="259" t="s">
        <v>22</v>
      </c>
      <c r="L757" s="168">
        <v>0</v>
      </c>
      <c r="M757" s="168">
        <v>0</v>
      </c>
      <c r="N757" s="169">
        <f t="shared" si="442"/>
        <v>0</v>
      </c>
      <c r="O757" s="169">
        <f t="shared" si="443"/>
        <v>0</v>
      </c>
      <c r="P757" s="312">
        <f t="shared" si="444"/>
        <v>0</v>
      </c>
      <c r="Q757" s="335"/>
    </row>
    <row r="758" spans="1:17" ht="21" x14ac:dyDescent="0.35">
      <c r="A758" s="115">
        <f t="shared" si="449"/>
        <v>94</v>
      </c>
      <c r="B758" s="116" t="s">
        <v>239</v>
      </c>
      <c r="C758" s="129" t="s">
        <v>479</v>
      </c>
      <c r="D758" s="72" t="s">
        <v>487</v>
      </c>
      <c r="E758" s="73" t="s">
        <v>321</v>
      </c>
      <c r="F758" s="73"/>
      <c r="G758" s="73" t="s">
        <v>484</v>
      </c>
      <c r="H758" s="73"/>
      <c r="I758" s="191"/>
      <c r="J758" s="19">
        <f t="shared" si="438"/>
        <v>0</v>
      </c>
      <c r="K758" s="259" t="s">
        <v>22</v>
      </c>
      <c r="L758" s="168">
        <v>0</v>
      </c>
      <c r="M758" s="168">
        <v>0</v>
      </c>
      <c r="N758" s="169">
        <f t="shared" si="442"/>
        <v>0</v>
      </c>
      <c r="O758" s="169">
        <f t="shared" si="443"/>
        <v>0</v>
      </c>
      <c r="P758" s="312">
        <f t="shared" si="444"/>
        <v>0</v>
      </c>
      <c r="Q758" s="335"/>
    </row>
    <row r="759" spans="1:17" ht="21" x14ac:dyDescent="0.35">
      <c r="A759" s="115">
        <f t="shared" si="449"/>
        <v>95</v>
      </c>
      <c r="B759" s="116" t="s">
        <v>239</v>
      </c>
      <c r="C759" s="129" t="s">
        <v>479</v>
      </c>
      <c r="D759" s="72" t="s">
        <v>487</v>
      </c>
      <c r="E759" s="73" t="s">
        <v>321</v>
      </c>
      <c r="F759" s="73"/>
      <c r="G759" s="73" t="s">
        <v>457</v>
      </c>
      <c r="H759" s="73"/>
      <c r="I759" s="191"/>
      <c r="J759" s="19">
        <f t="shared" ref="J759" si="454">I759</f>
        <v>0</v>
      </c>
      <c r="K759" s="259" t="s">
        <v>22</v>
      </c>
      <c r="L759" s="168">
        <v>0</v>
      </c>
      <c r="M759" s="168">
        <v>0</v>
      </c>
      <c r="N759" s="169">
        <f t="shared" ref="N759" si="455">L759*J759</f>
        <v>0</v>
      </c>
      <c r="O759" s="169">
        <f t="shared" ref="O759" si="456">M759*J759</f>
        <v>0</v>
      </c>
      <c r="P759" s="312">
        <f t="shared" ref="P759" si="457">(L759*J759)+(M759*J759)</f>
        <v>0</v>
      </c>
      <c r="Q759" s="335"/>
    </row>
    <row r="760" spans="1:17" ht="21" x14ac:dyDescent="0.35">
      <c r="A760" s="115">
        <f t="shared" si="449"/>
        <v>96</v>
      </c>
      <c r="B760" s="116" t="s">
        <v>239</v>
      </c>
      <c r="C760" s="129" t="s">
        <v>479</v>
      </c>
      <c r="D760" s="72" t="s">
        <v>487</v>
      </c>
      <c r="E760" s="73" t="s">
        <v>321</v>
      </c>
      <c r="F760" s="73"/>
      <c r="G760" s="73" t="s">
        <v>458</v>
      </c>
      <c r="H760" s="73"/>
      <c r="I760" s="191"/>
      <c r="J760" s="19">
        <f t="shared" si="438"/>
        <v>0</v>
      </c>
      <c r="K760" s="259" t="s">
        <v>22</v>
      </c>
      <c r="L760" s="168">
        <v>0</v>
      </c>
      <c r="M760" s="168">
        <v>0</v>
      </c>
      <c r="N760" s="169">
        <f t="shared" si="442"/>
        <v>0</v>
      </c>
      <c r="O760" s="169">
        <f t="shared" si="443"/>
        <v>0</v>
      </c>
      <c r="P760" s="312">
        <f t="shared" si="444"/>
        <v>0</v>
      </c>
      <c r="Q760" s="335"/>
    </row>
    <row r="761" spans="1:17" ht="21" x14ac:dyDescent="0.35">
      <c r="A761" s="115">
        <f t="shared" si="449"/>
        <v>97</v>
      </c>
      <c r="B761" s="116" t="s">
        <v>239</v>
      </c>
      <c r="C761" s="129" t="s">
        <v>479</v>
      </c>
      <c r="D761" s="72" t="s">
        <v>487</v>
      </c>
      <c r="E761" s="73" t="s">
        <v>321</v>
      </c>
      <c r="F761" s="73"/>
      <c r="G761" s="73" t="s">
        <v>322</v>
      </c>
      <c r="H761" s="73"/>
      <c r="I761" s="191"/>
      <c r="J761" s="19">
        <f t="shared" ref="J761:J774" si="458">I761</f>
        <v>0</v>
      </c>
      <c r="K761" s="259" t="s">
        <v>22</v>
      </c>
      <c r="L761" s="168">
        <v>0</v>
      </c>
      <c r="M761" s="168">
        <v>0</v>
      </c>
      <c r="N761" s="169">
        <f t="shared" ref="N761:N774" si="459">L761*J761</f>
        <v>0</v>
      </c>
      <c r="O761" s="169">
        <f t="shared" ref="O761:O774" si="460">M761*J761</f>
        <v>0</v>
      </c>
      <c r="P761" s="312">
        <f t="shared" ref="P761:P774" si="461">(L761*J761)+(M761*J761)</f>
        <v>0</v>
      </c>
      <c r="Q761" s="335"/>
    </row>
    <row r="762" spans="1:17" ht="21" x14ac:dyDescent="0.35">
      <c r="A762" s="115">
        <f t="shared" si="449"/>
        <v>98</v>
      </c>
      <c r="B762" s="116" t="s">
        <v>239</v>
      </c>
      <c r="C762" s="129" t="s">
        <v>479</v>
      </c>
      <c r="D762" s="72" t="s">
        <v>488</v>
      </c>
      <c r="E762" s="73" t="s">
        <v>321</v>
      </c>
      <c r="F762" s="73"/>
      <c r="G762" s="73" t="s">
        <v>463</v>
      </c>
      <c r="H762" s="73"/>
      <c r="I762" s="191"/>
      <c r="J762" s="19">
        <f t="shared" si="458"/>
        <v>0</v>
      </c>
      <c r="K762" s="259" t="s">
        <v>22</v>
      </c>
      <c r="L762" s="168">
        <v>0</v>
      </c>
      <c r="M762" s="168">
        <v>0</v>
      </c>
      <c r="N762" s="169">
        <f t="shared" si="459"/>
        <v>0</v>
      </c>
      <c r="O762" s="169">
        <f t="shared" si="460"/>
        <v>0</v>
      </c>
      <c r="P762" s="312">
        <f t="shared" si="461"/>
        <v>0</v>
      </c>
      <c r="Q762" s="335"/>
    </row>
    <row r="763" spans="1:17" ht="21" x14ac:dyDescent="0.35">
      <c r="A763" s="115">
        <f t="shared" si="449"/>
        <v>99</v>
      </c>
      <c r="B763" s="116" t="s">
        <v>239</v>
      </c>
      <c r="C763" s="129" t="s">
        <v>479</v>
      </c>
      <c r="D763" s="72" t="s">
        <v>488</v>
      </c>
      <c r="E763" s="73" t="s">
        <v>321</v>
      </c>
      <c r="F763" s="73"/>
      <c r="G763" s="73" t="s">
        <v>464</v>
      </c>
      <c r="H763" s="73"/>
      <c r="I763" s="191"/>
      <c r="J763" s="19">
        <f t="shared" si="458"/>
        <v>0</v>
      </c>
      <c r="K763" s="259" t="s">
        <v>22</v>
      </c>
      <c r="L763" s="168">
        <v>0</v>
      </c>
      <c r="M763" s="168">
        <v>0</v>
      </c>
      <c r="N763" s="169">
        <f t="shared" si="459"/>
        <v>0</v>
      </c>
      <c r="O763" s="169">
        <f t="shared" si="460"/>
        <v>0</v>
      </c>
      <c r="P763" s="312">
        <f t="shared" si="461"/>
        <v>0</v>
      </c>
      <c r="Q763" s="335"/>
    </row>
    <row r="764" spans="1:17" ht="21" x14ac:dyDescent="0.35">
      <c r="A764" s="115">
        <f t="shared" si="449"/>
        <v>100</v>
      </c>
      <c r="B764" s="116" t="s">
        <v>239</v>
      </c>
      <c r="C764" s="129" t="s">
        <v>479</v>
      </c>
      <c r="D764" s="72" t="s">
        <v>488</v>
      </c>
      <c r="E764" s="73" t="s">
        <v>321</v>
      </c>
      <c r="F764" s="73"/>
      <c r="G764" s="73" t="s">
        <v>465</v>
      </c>
      <c r="H764" s="73"/>
      <c r="I764" s="191"/>
      <c r="J764" s="19">
        <f t="shared" si="458"/>
        <v>0</v>
      </c>
      <c r="K764" s="259" t="s">
        <v>22</v>
      </c>
      <c r="L764" s="168">
        <v>0</v>
      </c>
      <c r="M764" s="168">
        <v>0</v>
      </c>
      <c r="N764" s="169">
        <f t="shared" si="459"/>
        <v>0</v>
      </c>
      <c r="O764" s="169">
        <f t="shared" si="460"/>
        <v>0</v>
      </c>
      <c r="P764" s="312">
        <f t="shared" si="461"/>
        <v>0</v>
      </c>
      <c r="Q764" s="335"/>
    </row>
    <row r="765" spans="1:17" ht="21" x14ac:dyDescent="0.35">
      <c r="A765" s="115">
        <f t="shared" si="449"/>
        <v>101</v>
      </c>
      <c r="B765" s="116" t="s">
        <v>239</v>
      </c>
      <c r="C765" s="129" t="s">
        <v>479</v>
      </c>
      <c r="D765" s="72" t="s">
        <v>488</v>
      </c>
      <c r="E765" s="73" t="s">
        <v>321</v>
      </c>
      <c r="F765" s="73"/>
      <c r="G765" s="73" t="s">
        <v>466</v>
      </c>
      <c r="H765" s="73"/>
      <c r="I765" s="191"/>
      <c r="J765" s="19">
        <f t="shared" si="458"/>
        <v>0</v>
      </c>
      <c r="K765" s="259" t="s">
        <v>22</v>
      </c>
      <c r="L765" s="168">
        <v>0</v>
      </c>
      <c r="M765" s="168">
        <v>0</v>
      </c>
      <c r="N765" s="169">
        <f t="shared" si="459"/>
        <v>0</v>
      </c>
      <c r="O765" s="169">
        <f t="shared" si="460"/>
        <v>0</v>
      </c>
      <c r="P765" s="312">
        <f t="shared" si="461"/>
        <v>0</v>
      </c>
      <c r="Q765" s="335"/>
    </row>
    <row r="766" spans="1:17" ht="21" x14ac:dyDescent="0.35">
      <c r="A766" s="115">
        <f t="shared" si="449"/>
        <v>102</v>
      </c>
      <c r="B766" s="116" t="s">
        <v>239</v>
      </c>
      <c r="C766" s="129" t="s">
        <v>479</v>
      </c>
      <c r="D766" s="72" t="s">
        <v>488</v>
      </c>
      <c r="E766" s="73" t="s">
        <v>321</v>
      </c>
      <c r="F766" s="73"/>
      <c r="G766" s="73" t="s">
        <v>467</v>
      </c>
      <c r="H766" s="73"/>
      <c r="I766" s="191"/>
      <c r="J766" s="19">
        <f t="shared" si="458"/>
        <v>0</v>
      </c>
      <c r="K766" s="259" t="s">
        <v>22</v>
      </c>
      <c r="L766" s="168">
        <v>0</v>
      </c>
      <c r="M766" s="168">
        <v>0</v>
      </c>
      <c r="N766" s="169">
        <f t="shared" si="459"/>
        <v>0</v>
      </c>
      <c r="O766" s="169">
        <f t="shared" si="460"/>
        <v>0</v>
      </c>
      <c r="P766" s="312">
        <f t="shared" si="461"/>
        <v>0</v>
      </c>
      <c r="Q766" s="335"/>
    </row>
    <row r="767" spans="1:17" ht="21" x14ac:dyDescent="0.35">
      <c r="A767" s="115">
        <f t="shared" si="449"/>
        <v>103</v>
      </c>
      <c r="B767" s="116" t="s">
        <v>239</v>
      </c>
      <c r="C767" s="129" t="s">
        <v>479</v>
      </c>
      <c r="D767" s="72" t="s">
        <v>488</v>
      </c>
      <c r="E767" s="73" t="s">
        <v>321</v>
      </c>
      <c r="F767" s="73"/>
      <c r="G767" s="73" t="s">
        <v>468</v>
      </c>
      <c r="H767" s="73"/>
      <c r="I767" s="191"/>
      <c r="J767" s="19">
        <f t="shared" si="458"/>
        <v>0</v>
      </c>
      <c r="K767" s="259" t="s">
        <v>22</v>
      </c>
      <c r="L767" s="168">
        <v>0</v>
      </c>
      <c r="M767" s="168">
        <v>0</v>
      </c>
      <c r="N767" s="169">
        <f t="shared" si="459"/>
        <v>0</v>
      </c>
      <c r="O767" s="169">
        <f t="shared" si="460"/>
        <v>0</v>
      </c>
      <c r="P767" s="312">
        <f t="shared" si="461"/>
        <v>0</v>
      </c>
      <c r="Q767" s="335"/>
    </row>
    <row r="768" spans="1:17" ht="21" x14ac:dyDescent="0.35">
      <c r="A768" s="115">
        <f t="shared" si="449"/>
        <v>104</v>
      </c>
      <c r="B768" s="116" t="s">
        <v>239</v>
      </c>
      <c r="C768" s="129" t="s">
        <v>479</v>
      </c>
      <c r="D768" s="72" t="s">
        <v>488</v>
      </c>
      <c r="E768" s="73" t="s">
        <v>321</v>
      </c>
      <c r="F768" s="73"/>
      <c r="G768" s="73" t="s">
        <v>469</v>
      </c>
      <c r="H768" s="73"/>
      <c r="I768" s="191"/>
      <c r="J768" s="19">
        <f t="shared" si="458"/>
        <v>0</v>
      </c>
      <c r="K768" s="259" t="s">
        <v>22</v>
      </c>
      <c r="L768" s="168">
        <v>0</v>
      </c>
      <c r="M768" s="168">
        <v>0</v>
      </c>
      <c r="N768" s="169">
        <f t="shared" si="459"/>
        <v>0</v>
      </c>
      <c r="O768" s="169">
        <f t="shared" si="460"/>
        <v>0</v>
      </c>
      <c r="P768" s="312">
        <f t="shared" si="461"/>
        <v>0</v>
      </c>
      <c r="Q768" s="335"/>
    </row>
    <row r="769" spans="1:17" ht="21" x14ac:dyDescent="0.35">
      <c r="A769" s="115">
        <f t="shared" si="449"/>
        <v>105</v>
      </c>
      <c r="B769" s="116" t="s">
        <v>239</v>
      </c>
      <c r="C769" s="129" t="s">
        <v>479</v>
      </c>
      <c r="D769" s="72" t="s">
        <v>488</v>
      </c>
      <c r="E769" s="73" t="s">
        <v>321</v>
      </c>
      <c r="F769" s="73"/>
      <c r="G769" s="73" t="s">
        <v>470</v>
      </c>
      <c r="H769" s="73"/>
      <c r="I769" s="191"/>
      <c r="J769" s="19">
        <f t="shared" si="458"/>
        <v>0</v>
      </c>
      <c r="K769" s="259" t="s">
        <v>22</v>
      </c>
      <c r="L769" s="168">
        <v>0</v>
      </c>
      <c r="M769" s="168">
        <v>0</v>
      </c>
      <c r="N769" s="169">
        <f t="shared" si="459"/>
        <v>0</v>
      </c>
      <c r="O769" s="169">
        <f t="shared" si="460"/>
        <v>0</v>
      </c>
      <c r="P769" s="312">
        <f t="shared" si="461"/>
        <v>0</v>
      </c>
      <c r="Q769" s="335"/>
    </row>
    <row r="770" spans="1:17" ht="21" x14ac:dyDescent="0.35">
      <c r="A770" s="115">
        <f t="shared" si="449"/>
        <v>106</v>
      </c>
      <c r="B770" s="116" t="s">
        <v>239</v>
      </c>
      <c r="C770" s="129" t="s">
        <v>479</v>
      </c>
      <c r="D770" s="72" t="s">
        <v>459</v>
      </c>
      <c r="E770" s="73" t="s">
        <v>321</v>
      </c>
      <c r="F770" s="73"/>
      <c r="G770" s="73" t="s">
        <v>471</v>
      </c>
      <c r="H770" s="73"/>
      <c r="I770" s="191"/>
      <c r="J770" s="19">
        <f t="shared" si="458"/>
        <v>0</v>
      </c>
      <c r="K770" s="259" t="s">
        <v>22</v>
      </c>
      <c r="L770" s="168">
        <v>0</v>
      </c>
      <c r="M770" s="168">
        <v>0</v>
      </c>
      <c r="N770" s="169">
        <f t="shared" si="459"/>
        <v>0</v>
      </c>
      <c r="O770" s="169">
        <f t="shared" si="460"/>
        <v>0</v>
      </c>
      <c r="P770" s="312">
        <f t="shared" si="461"/>
        <v>0</v>
      </c>
      <c r="Q770" s="335"/>
    </row>
    <row r="771" spans="1:17" ht="21" x14ac:dyDescent="0.35">
      <c r="A771" s="115">
        <f t="shared" si="449"/>
        <v>107</v>
      </c>
      <c r="B771" s="116" t="s">
        <v>239</v>
      </c>
      <c r="C771" s="129" t="s">
        <v>479</v>
      </c>
      <c r="D771" s="72" t="s">
        <v>459</v>
      </c>
      <c r="E771" s="73" t="s">
        <v>321</v>
      </c>
      <c r="F771" s="73"/>
      <c r="G771" s="73" t="s">
        <v>472</v>
      </c>
      <c r="H771" s="73"/>
      <c r="I771" s="191"/>
      <c r="J771" s="19">
        <f t="shared" si="458"/>
        <v>0</v>
      </c>
      <c r="K771" s="259" t="s">
        <v>22</v>
      </c>
      <c r="L771" s="168">
        <v>0</v>
      </c>
      <c r="M771" s="168">
        <v>0</v>
      </c>
      <c r="N771" s="169">
        <f t="shared" si="459"/>
        <v>0</v>
      </c>
      <c r="O771" s="169">
        <f t="shared" si="460"/>
        <v>0</v>
      </c>
      <c r="P771" s="312">
        <f t="shared" si="461"/>
        <v>0</v>
      </c>
      <c r="Q771" s="335"/>
    </row>
    <row r="772" spans="1:17" ht="21" x14ac:dyDescent="0.35">
      <c r="A772" s="115">
        <f t="shared" si="449"/>
        <v>108</v>
      </c>
      <c r="B772" s="116" t="s">
        <v>239</v>
      </c>
      <c r="C772" s="129" t="s">
        <v>479</v>
      </c>
      <c r="D772" s="72" t="s">
        <v>460</v>
      </c>
      <c r="E772" s="73"/>
      <c r="F772" s="73"/>
      <c r="G772" s="73"/>
      <c r="H772" s="73"/>
      <c r="I772" s="191"/>
      <c r="J772" s="19">
        <f t="shared" si="458"/>
        <v>0</v>
      </c>
      <c r="K772" s="259" t="s">
        <v>22</v>
      </c>
      <c r="L772" s="168">
        <v>0</v>
      </c>
      <c r="M772" s="168">
        <v>0</v>
      </c>
      <c r="N772" s="169">
        <f t="shared" si="459"/>
        <v>0</v>
      </c>
      <c r="O772" s="169">
        <f t="shared" si="460"/>
        <v>0</v>
      </c>
      <c r="P772" s="312">
        <f t="shared" si="461"/>
        <v>0</v>
      </c>
      <c r="Q772" s="335"/>
    </row>
    <row r="773" spans="1:17" ht="21" x14ac:dyDescent="0.35">
      <c r="A773" s="115">
        <f t="shared" si="449"/>
        <v>109</v>
      </c>
      <c r="B773" s="116" t="s">
        <v>239</v>
      </c>
      <c r="C773" s="129" t="s">
        <v>479</v>
      </c>
      <c r="D773" s="72" t="s">
        <v>462</v>
      </c>
      <c r="E773" s="73"/>
      <c r="F773" s="73"/>
      <c r="G773" s="73"/>
      <c r="H773" s="73"/>
      <c r="I773" s="191"/>
      <c r="J773" s="19">
        <f t="shared" si="458"/>
        <v>0</v>
      </c>
      <c r="K773" s="259" t="s">
        <v>22</v>
      </c>
      <c r="L773" s="168">
        <v>0</v>
      </c>
      <c r="M773" s="168">
        <v>0</v>
      </c>
      <c r="N773" s="169">
        <f t="shared" si="459"/>
        <v>0</v>
      </c>
      <c r="O773" s="169">
        <f t="shared" si="460"/>
        <v>0</v>
      </c>
      <c r="P773" s="312">
        <f t="shared" si="461"/>
        <v>0</v>
      </c>
      <c r="Q773" s="335"/>
    </row>
    <row r="774" spans="1:17" ht="21" x14ac:dyDescent="0.35">
      <c r="A774" s="115">
        <f t="shared" si="449"/>
        <v>110</v>
      </c>
      <c r="B774" s="116" t="s">
        <v>239</v>
      </c>
      <c r="C774" s="129" t="s">
        <v>479</v>
      </c>
      <c r="D774" s="72" t="s">
        <v>461</v>
      </c>
      <c r="E774" s="73"/>
      <c r="F774" s="73"/>
      <c r="G774" s="73"/>
      <c r="H774" s="73"/>
      <c r="I774" s="191"/>
      <c r="J774" s="19">
        <f t="shared" si="458"/>
        <v>0</v>
      </c>
      <c r="K774" s="259" t="s">
        <v>22</v>
      </c>
      <c r="L774" s="168">
        <v>0</v>
      </c>
      <c r="M774" s="168">
        <v>0</v>
      </c>
      <c r="N774" s="169">
        <f t="shared" si="459"/>
        <v>0</v>
      </c>
      <c r="O774" s="169">
        <f t="shared" si="460"/>
        <v>0</v>
      </c>
      <c r="P774" s="312">
        <f t="shared" si="461"/>
        <v>0</v>
      </c>
      <c r="Q774" s="335"/>
    </row>
    <row r="775" spans="1:17" ht="21" x14ac:dyDescent="0.35">
      <c r="A775" s="115">
        <f t="shared" si="449"/>
        <v>111</v>
      </c>
      <c r="B775" s="116" t="s">
        <v>239</v>
      </c>
      <c r="C775" s="129" t="s">
        <v>479</v>
      </c>
      <c r="D775" s="72" t="s">
        <v>323</v>
      </c>
      <c r="E775" s="73" t="s">
        <v>324</v>
      </c>
      <c r="F775" s="73"/>
      <c r="G775" s="73" t="s">
        <v>325</v>
      </c>
      <c r="H775" s="73"/>
      <c r="I775" s="191"/>
      <c r="J775" s="19">
        <f t="shared" si="438"/>
        <v>0</v>
      </c>
      <c r="K775" s="259" t="s">
        <v>22</v>
      </c>
      <c r="L775" s="168">
        <v>0</v>
      </c>
      <c r="M775" s="168">
        <v>0</v>
      </c>
      <c r="N775" s="169">
        <f t="shared" si="442"/>
        <v>0</v>
      </c>
      <c r="O775" s="169">
        <f t="shared" si="443"/>
        <v>0</v>
      </c>
      <c r="P775" s="312">
        <f t="shared" si="444"/>
        <v>0</v>
      </c>
      <c r="Q775" s="335"/>
    </row>
    <row r="776" spans="1:17" ht="21" x14ac:dyDescent="0.35">
      <c r="A776" s="115">
        <f t="shared" si="449"/>
        <v>112</v>
      </c>
      <c r="B776" s="116" t="s">
        <v>239</v>
      </c>
      <c r="C776" s="129" t="s">
        <v>479</v>
      </c>
      <c r="D776" s="72" t="s">
        <v>323</v>
      </c>
      <c r="E776" s="73" t="s">
        <v>324</v>
      </c>
      <c r="F776" s="73"/>
      <c r="G776" s="73" t="s">
        <v>326</v>
      </c>
      <c r="H776" s="73"/>
      <c r="I776" s="191"/>
      <c r="J776" s="19">
        <f t="shared" si="438"/>
        <v>0</v>
      </c>
      <c r="K776" s="259" t="s">
        <v>22</v>
      </c>
      <c r="L776" s="168">
        <v>0</v>
      </c>
      <c r="M776" s="168">
        <v>0</v>
      </c>
      <c r="N776" s="169">
        <f t="shared" si="442"/>
        <v>0</v>
      </c>
      <c r="O776" s="169">
        <f t="shared" si="443"/>
        <v>0</v>
      </c>
      <c r="P776" s="312">
        <f t="shared" si="444"/>
        <v>0</v>
      </c>
      <c r="Q776" s="335"/>
    </row>
    <row r="777" spans="1:17" ht="21" x14ac:dyDescent="0.35">
      <c r="A777" s="115">
        <f t="shared" si="449"/>
        <v>113</v>
      </c>
      <c r="B777" s="116" t="s">
        <v>239</v>
      </c>
      <c r="C777" s="129" t="s">
        <v>479</v>
      </c>
      <c r="D777" s="72" t="s">
        <v>323</v>
      </c>
      <c r="E777" s="73" t="s">
        <v>324</v>
      </c>
      <c r="F777" s="73"/>
      <c r="G777" s="73" t="s">
        <v>327</v>
      </c>
      <c r="H777" s="73"/>
      <c r="I777" s="191"/>
      <c r="J777" s="19">
        <f t="shared" si="438"/>
        <v>0</v>
      </c>
      <c r="K777" s="259" t="s">
        <v>22</v>
      </c>
      <c r="L777" s="168">
        <v>0</v>
      </c>
      <c r="M777" s="168">
        <v>0</v>
      </c>
      <c r="N777" s="169">
        <f t="shared" si="442"/>
        <v>0</v>
      </c>
      <c r="O777" s="169">
        <f t="shared" si="443"/>
        <v>0</v>
      </c>
      <c r="P777" s="312">
        <f t="shared" si="444"/>
        <v>0</v>
      </c>
      <c r="Q777" s="335"/>
    </row>
    <row r="778" spans="1:17" ht="21" x14ac:dyDescent="0.35">
      <c r="A778" s="115">
        <f t="shared" si="449"/>
        <v>114</v>
      </c>
      <c r="B778" s="116" t="s">
        <v>239</v>
      </c>
      <c r="C778" s="129" t="s">
        <v>479</v>
      </c>
      <c r="D778" s="72" t="s">
        <v>323</v>
      </c>
      <c r="E778" s="73" t="s">
        <v>324</v>
      </c>
      <c r="F778" s="73"/>
      <c r="G778" s="73" t="s">
        <v>328</v>
      </c>
      <c r="H778" s="73"/>
      <c r="I778" s="191"/>
      <c r="J778" s="19">
        <f t="shared" si="438"/>
        <v>0</v>
      </c>
      <c r="K778" s="259" t="s">
        <v>22</v>
      </c>
      <c r="L778" s="168">
        <v>0</v>
      </c>
      <c r="M778" s="168">
        <v>0</v>
      </c>
      <c r="N778" s="169">
        <f t="shared" si="442"/>
        <v>0</v>
      </c>
      <c r="O778" s="169">
        <f t="shared" si="443"/>
        <v>0</v>
      </c>
      <c r="P778" s="312">
        <f t="shared" si="444"/>
        <v>0</v>
      </c>
      <c r="Q778" s="335"/>
    </row>
    <row r="779" spans="1:17" ht="21" x14ac:dyDescent="0.35">
      <c r="A779" s="115">
        <f t="shared" si="449"/>
        <v>115</v>
      </c>
      <c r="B779" s="116" t="s">
        <v>239</v>
      </c>
      <c r="C779" s="129" t="s">
        <v>479</v>
      </c>
      <c r="D779" s="72" t="s">
        <v>323</v>
      </c>
      <c r="E779" s="73" t="s">
        <v>324</v>
      </c>
      <c r="F779" s="73"/>
      <c r="G779" s="73" t="s">
        <v>329</v>
      </c>
      <c r="H779" s="73"/>
      <c r="I779" s="191"/>
      <c r="J779" s="19">
        <f t="shared" si="438"/>
        <v>0</v>
      </c>
      <c r="K779" s="259" t="s">
        <v>22</v>
      </c>
      <c r="L779" s="168">
        <v>0</v>
      </c>
      <c r="M779" s="168">
        <v>0</v>
      </c>
      <c r="N779" s="169">
        <f t="shared" si="442"/>
        <v>0</v>
      </c>
      <c r="O779" s="169">
        <f t="shared" si="443"/>
        <v>0</v>
      </c>
      <c r="P779" s="312">
        <f t="shared" si="444"/>
        <v>0</v>
      </c>
      <c r="Q779" s="335"/>
    </row>
    <row r="780" spans="1:17" ht="21" x14ac:dyDescent="0.35">
      <c r="A780" s="115">
        <f t="shared" si="449"/>
        <v>116</v>
      </c>
      <c r="B780" s="116" t="s">
        <v>239</v>
      </c>
      <c r="C780" s="129" t="s">
        <v>479</v>
      </c>
      <c r="D780" s="72" t="s">
        <v>330</v>
      </c>
      <c r="E780" s="73" t="s">
        <v>331</v>
      </c>
      <c r="F780" s="73"/>
      <c r="G780" s="73" t="s">
        <v>444</v>
      </c>
      <c r="H780" s="73"/>
      <c r="I780" s="191"/>
      <c r="J780" s="19">
        <f t="shared" si="438"/>
        <v>0</v>
      </c>
      <c r="K780" s="259" t="s">
        <v>22</v>
      </c>
      <c r="L780" s="168">
        <v>0</v>
      </c>
      <c r="M780" s="168">
        <v>0</v>
      </c>
      <c r="N780" s="169">
        <f t="shared" si="442"/>
        <v>0</v>
      </c>
      <c r="O780" s="169">
        <f t="shared" si="443"/>
        <v>0</v>
      </c>
      <c r="P780" s="312">
        <f t="shared" si="444"/>
        <v>0</v>
      </c>
      <c r="Q780" s="335"/>
    </row>
    <row r="781" spans="1:17" ht="21" x14ac:dyDescent="0.35">
      <c r="A781" s="115">
        <f t="shared" si="449"/>
        <v>117</v>
      </c>
      <c r="B781" s="116" t="s">
        <v>239</v>
      </c>
      <c r="C781" s="129" t="s">
        <v>479</v>
      </c>
      <c r="D781" s="72" t="s">
        <v>332</v>
      </c>
      <c r="E781" s="73" t="s">
        <v>331</v>
      </c>
      <c r="F781" s="73"/>
      <c r="G781" s="73" t="s">
        <v>333</v>
      </c>
      <c r="H781" s="73"/>
      <c r="I781" s="191"/>
      <c r="J781" s="19">
        <f t="shared" si="438"/>
        <v>0</v>
      </c>
      <c r="K781" s="259" t="s">
        <v>22</v>
      </c>
      <c r="L781" s="168">
        <v>0</v>
      </c>
      <c r="M781" s="168">
        <v>0</v>
      </c>
      <c r="N781" s="169">
        <f t="shared" si="442"/>
        <v>0</v>
      </c>
      <c r="O781" s="169">
        <f t="shared" si="443"/>
        <v>0</v>
      </c>
      <c r="P781" s="312">
        <f t="shared" si="444"/>
        <v>0</v>
      </c>
      <c r="Q781" s="335"/>
    </row>
    <row r="782" spans="1:17" ht="21" x14ac:dyDescent="0.35">
      <c r="A782" s="115">
        <f t="shared" si="449"/>
        <v>118</v>
      </c>
      <c r="B782" s="116" t="s">
        <v>239</v>
      </c>
      <c r="C782" s="129" t="s">
        <v>479</v>
      </c>
      <c r="D782" s="72" t="s">
        <v>485</v>
      </c>
      <c r="E782" s="73" t="s">
        <v>440</v>
      </c>
      <c r="F782" s="73"/>
      <c r="G782" s="73" t="s">
        <v>441</v>
      </c>
      <c r="H782" s="73"/>
      <c r="I782" s="191"/>
      <c r="J782" s="19">
        <f t="shared" ref="J782" si="462">I782</f>
        <v>0</v>
      </c>
      <c r="K782" s="259" t="s">
        <v>22</v>
      </c>
      <c r="L782" s="168">
        <v>0</v>
      </c>
      <c r="M782" s="168">
        <v>0</v>
      </c>
      <c r="N782" s="169">
        <f t="shared" ref="N782" si="463">L782*J782</f>
        <v>0</v>
      </c>
      <c r="O782" s="169">
        <f t="shared" ref="O782" si="464">M782*J782</f>
        <v>0</v>
      </c>
      <c r="P782" s="312">
        <f t="shared" ref="P782" si="465">(L782*J782)+(M782*J782)</f>
        <v>0</v>
      </c>
      <c r="Q782" s="335"/>
    </row>
    <row r="783" spans="1:17" ht="21" x14ac:dyDescent="0.35">
      <c r="A783" s="115">
        <f t="shared" si="449"/>
        <v>119</v>
      </c>
      <c r="B783" s="116" t="s">
        <v>239</v>
      </c>
      <c r="C783" s="129" t="s">
        <v>334</v>
      </c>
      <c r="D783" s="72" t="s">
        <v>335</v>
      </c>
      <c r="E783" s="73"/>
      <c r="F783" s="73"/>
      <c r="G783" s="73" t="s">
        <v>336</v>
      </c>
      <c r="H783" s="73"/>
      <c r="I783" s="191"/>
      <c r="J783" s="19">
        <f t="shared" si="438"/>
        <v>0</v>
      </c>
      <c r="K783" s="259" t="s">
        <v>22</v>
      </c>
      <c r="L783" s="168">
        <v>0</v>
      </c>
      <c r="M783" s="168">
        <v>0</v>
      </c>
      <c r="N783" s="169">
        <f t="shared" si="442"/>
        <v>0</v>
      </c>
      <c r="O783" s="169">
        <f t="shared" si="443"/>
        <v>0</v>
      </c>
      <c r="P783" s="312">
        <f t="shared" si="444"/>
        <v>0</v>
      </c>
      <c r="Q783" s="335"/>
    </row>
    <row r="784" spans="1:17" ht="21" x14ac:dyDescent="0.35">
      <c r="A784" s="115">
        <f t="shared" si="449"/>
        <v>120</v>
      </c>
      <c r="B784" s="116" t="s">
        <v>239</v>
      </c>
      <c r="C784" s="129" t="s">
        <v>334</v>
      </c>
      <c r="D784" s="72" t="s">
        <v>335</v>
      </c>
      <c r="E784" s="73"/>
      <c r="F784" s="73"/>
      <c r="G784" s="73" t="s">
        <v>337</v>
      </c>
      <c r="H784" s="73"/>
      <c r="I784" s="191"/>
      <c r="J784" s="19">
        <f t="shared" si="438"/>
        <v>0</v>
      </c>
      <c r="K784" s="259" t="s">
        <v>22</v>
      </c>
      <c r="L784" s="168">
        <v>0</v>
      </c>
      <c r="M784" s="168">
        <v>0</v>
      </c>
      <c r="N784" s="169">
        <f t="shared" si="442"/>
        <v>0</v>
      </c>
      <c r="O784" s="169">
        <f t="shared" si="443"/>
        <v>0</v>
      </c>
      <c r="P784" s="312">
        <f t="shared" si="444"/>
        <v>0</v>
      </c>
      <c r="Q784" s="335"/>
    </row>
    <row r="785" spans="1:17" ht="21" x14ac:dyDescent="0.35">
      <c r="A785" s="115">
        <f t="shared" si="449"/>
        <v>121</v>
      </c>
      <c r="B785" s="116" t="s">
        <v>239</v>
      </c>
      <c r="C785" s="129" t="s">
        <v>334</v>
      </c>
      <c r="D785" s="72" t="s">
        <v>335</v>
      </c>
      <c r="E785" s="73"/>
      <c r="F785" s="73"/>
      <c r="G785" s="73" t="s">
        <v>338</v>
      </c>
      <c r="H785" s="73"/>
      <c r="I785" s="191"/>
      <c r="J785" s="19">
        <f t="shared" si="438"/>
        <v>0</v>
      </c>
      <c r="K785" s="259" t="s">
        <v>22</v>
      </c>
      <c r="L785" s="168">
        <v>0</v>
      </c>
      <c r="M785" s="168">
        <v>0</v>
      </c>
      <c r="N785" s="169">
        <f t="shared" si="442"/>
        <v>0</v>
      </c>
      <c r="O785" s="169">
        <f t="shared" si="443"/>
        <v>0</v>
      </c>
      <c r="P785" s="312">
        <f t="shared" si="444"/>
        <v>0</v>
      </c>
      <c r="Q785" s="335"/>
    </row>
    <row r="786" spans="1:17" ht="21" x14ac:dyDescent="0.35">
      <c r="A786" s="115">
        <f t="shared" si="449"/>
        <v>122</v>
      </c>
      <c r="B786" s="116" t="s">
        <v>239</v>
      </c>
      <c r="C786" s="129" t="s">
        <v>334</v>
      </c>
      <c r="D786" s="72" t="s">
        <v>335</v>
      </c>
      <c r="E786" s="73"/>
      <c r="F786" s="73"/>
      <c r="G786" s="73" t="s">
        <v>339</v>
      </c>
      <c r="H786" s="73"/>
      <c r="I786" s="191"/>
      <c r="J786" s="19">
        <f t="shared" si="438"/>
        <v>0</v>
      </c>
      <c r="K786" s="259" t="s">
        <v>22</v>
      </c>
      <c r="L786" s="168">
        <v>0</v>
      </c>
      <c r="M786" s="168">
        <v>0</v>
      </c>
      <c r="N786" s="169">
        <f t="shared" si="442"/>
        <v>0</v>
      </c>
      <c r="O786" s="169">
        <f t="shared" si="443"/>
        <v>0</v>
      </c>
      <c r="P786" s="312">
        <f t="shared" si="444"/>
        <v>0</v>
      </c>
      <c r="Q786" s="335"/>
    </row>
    <row r="787" spans="1:17" ht="21" x14ac:dyDescent="0.35">
      <c r="A787" s="115">
        <f t="shared" si="449"/>
        <v>123</v>
      </c>
      <c r="B787" s="116" t="s">
        <v>239</v>
      </c>
      <c r="C787" s="129" t="s">
        <v>334</v>
      </c>
      <c r="D787" s="72" t="s">
        <v>335</v>
      </c>
      <c r="E787" s="73"/>
      <c r="F787" s="73"/>
      <c r="G787" s="73" t="s">
        <v>340</v>
      </c>
      <c r="H787" s="73"/>
      <c r="I787" s="191"/>
      <c r="J787" s="19">
        <f t="shared" si="438"/>
        <v>0</v>
      </c>
      <c r="K787" s="259" t="s">
        <v>22</v>
      </c>
      <c r="L787" s="168">
        <v>0</v>
      </c>
      <c r="M787" s="168">
        <v>0</v>
      </c>
      <c r="N787" s="169">
        <f t="shared" si="442"/>
        <v>0</v>
      </c>
      <c r="O787" s="169">
        <f t="shared" si="443"/>
        <v>0</v>
      </c>
      <c r="P787" s="312">
        <f t="shared" si="444"/>
        <v>0</v>
      </c>
      <c r="Q787" s="335"/>
    </row>
    <row r="788" spans="1:17" ht="21" x14ac:dyDescent="0.35">
      <c r="A788" s="115">
        <f t="shared" si="449"/>
        <v>124</v>
      </c>
      <c r="B788" s="116" t="s">
        <v>239</v>
      </c>
      <c r="C788" s="129" t="s">
        <v>334</v>
      </c>
      <c r="D788" s="72" t="s">
        <v>335</v>
      </c>
      <c r="E788" s="73"/>
      <c r="F788" s="73"/>
      <c r="G788" s="73" t="s">
        <v>341</v>
      </c>
      <c r="H788" s="73"/>
      <c r="I788" s="191"/>
      <c r="J788" s="19">
        <f t="shared" si="438"/>
        <v>0</v>
      </c>
      <c r="K788" s="259" t="s">
        <v>22</v>
      </c>
      <c r="L788" s="168">
        <v>0</v>
      </c>
      <c r="M788" s="168">
        <v>0</v>
      </c>
      <c r="N788" s="169">
        <f t="shared" si="442"/>
        <v>0</v>
      </c>
      <c r="O788" s="169">
        <f t="shared" si="443"/>
        <v>0</v>
      </c>
      <c r="P788" s="312">
        <f t="shared" si="444"/>
        <v>0</v>
      </c>
      <c r="Q788" s="335"/>
    </row>
    <row r="789" spans="1:17" ht="21" x14ac:dyDescent="0.35">
      <c r="A789" s="115">
        <f t="shared" si="449"/>
        <v>125</v>
      </c>
      <c r="B789" s="116" t="s">
        <v>239</v>
      </c>
      <c r="C789" s="129" t="s">
        <v>334</v>
      </c>
      <c r="D789" s="72" t="s">
        <v>335</v>
      </c>
      <c r="E789" s="73"/>
      <c r="F789" s="73"/>
      <c r="G789" s="73" t="s">
        <v>342</v>
      </c>
      <c r="H789" s="73"/>
      <c r="I789" s="191"/>
      <c r="J789" s="19">
        <f t="shared" si="438"/>
        <v>0</v>
      </c>
      <c r="K789" s="259" t="s">
        <v>22</v>
      </c>
      <c r="L789" s="168">
        <v>0</v>
      </c>
      <c r="M789" s="168">
        <v>0</v>
      </c>
      <c r="N789" s="169">
        <f t="shared" si="442"/>
        <v>0</v>
      </c>
      <c r="O789" s="169">
        <f t="shared" si="443"/>
        <v>0</v>
      </c>
      <c r="P789" s="312">
        <f t="shared" si="444"/>
        <v>0</v>
      </c>
      <c r="Q789" s="335"/>
    </row>
    <row r="790" spans="1:17" ht="21" x14ac:dyDescent="0.35">
      <c r="A790" s="115">
        <f t="shared" si="449"/>
        <v>126</v>
      </c>
      <c r="B790" s="116" t="s">
        <v>239</v>
      </c>
      <c r="C790" s="129" t="s">
        <v>334</v>
      </c>
      <c r="D790" s="72" t="s">
        <v>335</v>
      </c>
      <c r="E790" s="73"/>
      <c r="F790" s="73"/>
      <c r="G790" s="73" t="s">
        <v>343</v>
      </c>
      <c r="H790" s="73"/>
      <c r="I790" s="191"/>
      <c r="J790" s="19">
        <f t="shared" si="438"/>
        <v>0</v>
      </c>
      <c r="K790" s="259" t="s">
        <v>22</v>
      </c>
      <c r="L790" s="168">
        <v>0</v>
      </c>
      <c r="M790" s="168">
        <v>0</v>
      </c>
      <c r="N790" s="169">
        <f t="shared" si="442"/>
        <v>0</v>
      </c>
      <c r="O790" s="169">
        <f t="shared" si="443"/>
        <v>0</v>
      </c>
      <c r="P790" s="312">
        <f t="shared" si="444"/>
        <v>0</v>
      </c>
      <c r="Q790" s="335"/>
    </row>
    <row r="791" spans="1:17" ht="21" x14ac:dyDescent="0.35">
      <c r="A791" s="115">
        <f t="shared" si="449"/>
        <v>127</v>
      </c>
      <c r="B791" s="116" t="s">
        <v>239</v>
      </c>
      <c r="C791" s="129" t="s">
        <v>334</v>
      </c>
      <c r="D791" s="72" t="s">
        <v>344</v>
      </c>
      <c r="E791" s="73"/>
      <c r="F791" s="73"/>
      <c r="G791" s="73" t="s">
        <v>444</v>
      </c>
      <c r="H791" s="73"/>
      <c r="I791" s="191"/>
      <c r="J791" s="19">
        <f t="shared" si="438"/>
        <v>0</v>
      </c>
      <c r="K791" s="259" t="s">
        <v>22</v>
      </c>
      <c r="L791" s="168">
        <v>0</v>
      </c>
      <c r="M791" s="168">
        <v>0</v>
      </c>
      <c r="N791" s="169">
        <f t="shared" si="442"/>
        <v>0</v>
      </c>
      <c r="O791" s="169">
        <f t="shared" si="443"/>
        <v>0</v>
      </c>
      <c r="P791" s="312">
        <f t="shared" si="444"/>
        <v>0</v>
      </c>
      <c r="Q791" s="335"/>
    </row>
    <row r="792" spans="1:17" ht="21" x14ac:dyDescent="0.35">
      <c r="A792" s="115">
        <f t="shared" si="449"/>
        <v>128</v>
      </c>
      <c r="B792" s="116" t="s">
        <v>239</v>
      </c>
      <c r="C792" s="129" t="s">
        <v>334</v>
      </c>
      <c r="D792" s="72" t="s">
        <v>345</v>
      </c>
      <c r="E792" s="73" t="s">
        <v>150</v>
      </c>
      <c r="F792" s="73"/>
      <c r="G792" s="73" t="s">
        <v>346</v>
      </c>
      <c r="H792" s="73"/>
      <c r="I792" s="191"/>
      <c r="J792" s="19">
        <f t="shared" si="438"/>
        <v>0</v>
      </c>
      <c r="K792" s="259" t="s">
        <v>51</v>
      </c>
      <c r="L792" s="168">
        <v>0</v>
      </c>
      <c r="M792" s="168">
        <v>0</v>
      </c>
      <c r="N792" s="169">
        <f t="shared" si="442"/>
        <v>0</v>
      </c>
      <c r="O792" s="169">
        <f t="shared" si="443"/>
        <v>0</v>
      </c>
      <c r="P792" s="312">
        <f t="shared" si="444"/>
        <v>0</v>
      </c>
      <c r="Q792" s="335"/>
    </row>
    <row r="793" spans="1:17" ht="21" x14ac:dyDescent="0.35">
      <c r="A793" s="115">
        <f t="shared" si="449"/>
        <v>129</v>
      </c>
      <c r="B793" s="116" t="s">
        <v>239</v>
      </c>
      <c r="C793" s="129" t="s">
        <v>334</v>
      </c>
      <c r="D793" s="72" t="s">
        <v>347</v>
      </c>
      <c r="E793" s="73" t="s">
        <v>150</v>
      </c>
      <c r="F793" s="73"/>
      <c r="G793" s="73" t="s">
        <v>348</v>
      </c>
      <c r="H793" s="73"/>
      <c r="I793" s="191"/>
      <c r="J793" s="19">
        <f t="shared" si="438"/>
        <v>0</v>
      </c>
      <c r="K793" s="259" t="s">
        <v>51</v>
      </c>
      <c r="L793" s="168">
        <v>0</v>
      </c>
      <c r="M793" s="168">
        <v>0</v>
      </c>
      <c r="N793" s="169">
        <f t="shared" si="442"/>
        <v>0</v>
      </c>
      <c r="O793" s="169">
        <f t="shared" si="443"/>
        <v>0</v>
      </c>
      <c r="P793" s="312">
        <f t="shared" si="444"/>
        <v>0</v>
      </c>
      <c r="Q793" s="335"/>
    </row>
    <row r="794" spans="1:17" ht="21" x14ac:dyDescent="0.35">
      <c r="A794" s="115">
        <f t="shared" si="449"/>
        <v>130</v>
      </c>
      <c r="B794" s="116" t="s">
        <v>239</v>
      </c>
      <c r="C794" s="129" t="s">
        <v>334</v>
      </c>
      <c r="D794" s="43" t="s">
        <v>358</v>
      </c>
      <c r="E794" s="5"/>
      <c r="F794" s="5"/>
      <c r="G794" s="5"/>
      <c r="H794" s="5"/>
      <c r="I794" s="20"/>
      <c r="J794" s="19">
        <f>I794</f>
        <v>0</v>
      </c>
      <c r="K794" s="171"/>
      <c r="L794" s="168">
        <v>0</v>
      </c>
      <c r="M794" s="168">
        <v>0</v>
      </c>
      <c r="N794" s="169">
        <f>L794*J794</f>
        <v>0</v>
      </c>
      <c r="O794" s="169">
        <f>M794*J794</f>
        <v>0</v>
      </c>
      <c r="P794" s="312">
        <f>(L794*J794)+(M794*J794)</f>
        <v>0</v>
      </c>
      <c r="Q794" s="326"/>
    </row>
    <row r="795" spans="1:17" ht="21.5" thickBot="1" x14ac:dyDescent="0.4">
      <c r="A795" s="109">
        <f>A794+1</f>
        <v>131</v>
      </c>
      <c r="B795" s="110" t="s">
        <v>239</v>
      </c>
      <c r="C795" s="128" t="s">
        <v>334</v>
      </c>
      <c r="D795" s="45" t="s">
        <v>358</v>
      </c>
      <c r="E795" s="40"/>
      <c r="F795" s="40"/>
      <c r="G795" s="40"/>
      <c r="H795" s="40"/>
      <c r="I795" s="41"/>
      <c r="J795" s="24">
        <f>I795</f>
        <v>0</v>
      </c>
      <c r="K795" s="194"/>
      <c r="L795" s="195">
        <v>0</v>
      </c>
      <c r="M795" s="195">
        <v>0</v>
      </c>
      <c r="N795" s="196">
        <f>L795*J795</f>
        <v>0</v>
      </c>
      <c r="O795" s="196">
        <f>M795*J795</f>
        <v>0</v>
      </c>
      <c r="P795" s="313">
        <f>(L795*J795)+(M795*J795)</f>
        <v>0</v>
      </c>
      <c r="Q795" s="328"/>
    </row>
    <row r="796" spans="1:17" ht="23.25" customHeight="1" thickBot="1" x14ac:dyDescent="0.4">
      <c r="A796" s="117"/>
      <c r="B796" s="92" t="s">
        <v>239</v>
      </c>
      <c r="C796" s="137" t="s">
        <v>198</v>
      </c>
      <c r="D796" s="273" t="s">
        <v>199</v>
      </c>
      <c r="E796" s="263"/>
      <c r="F796" s="263"/>
      <c r="G796" s="263"/>
      <c r="H796" s="264"/>
      <c r="I796" s="265"/>
      <c r="J796" s="266"/>
      <c r="K796" s="267"/>
      <c r="L796" s="268"/>
      <c r="M796" s="268"/>
      <c r="N796" s="288"/>
      <c r="O796" s="288"/>
      <c r="P796" s="324"/>
      <c r="Q796" s="348"/>
    </row>
    <row r="797" spans="1:17" ht="21" x14ac:dyDescent="0.35">
      <c r="A797" s="113">
        <f>A795+1</f>
        <v>132</v>
      </c>
      <c r="B797" s="114" t="s">
        <v>239</v>
      </c>
      <c r="C797" s="127" t="s">
        <v>198</v>
      </c>
      <c r="D797" s="290" t="s">
        <v>349</v>
      </c>
      <c r="E797" s="291"/>
      <c r="F797" s="291"/>
      <c r="G797" s="291"/>
      <c r="H797" s="78"/>
      <c r="I797" s="189"/>
      <c r="J797" s="32">
        <f t="shared" si="438"/>
        <v>0</v>
      </c>
      <c r="K797" s="272" t="s">
        <v>350</v>
      </c>
      <c r="L797" s="185">
        <v>0</v>
      </c>
      <c r="M797" s="185">
        <v>0</v>
      </c>
      <c r="N797" s="186">
        <f t="shared" ref="N797:N803" si="466">L797*J797</f>
        <v>0</v>
      </c>
      <c r="O797" s="186">
        <f t="shared" ref="O797:O803" si="467">M797*J797</f>
        <v>0</v>
      </c>
      <c r="P797" s="311">
        <f t="shared" ref="P797:P803" si="468">(L797*J797)+(M797*J797)</f>
        <v>0</v>
      </c>
      <c r="Q797" s="336"/>
    </row>
    <row r="798" spans="1:17" ht="21" x14ac:dyDescent="0.35">
      <c r="A798" s="115">
        <f>A797+1</f>
        <v>133</v>
      </c>
      <c r="B798" s="116" t="s">
        <v>239</v>
      </c>
      <c r="C798" s="129" t="s">
        <v>198</v>
      </c>
      <c r="D798" s="72" t="s">
        <v>351</v>
      </c>
      <c r="E798" s="73"/>
      <c r="F798" s="73"/>
      <c r="G798" s="73"/>
      <c r="H798" s="73"/>
      <c r="I798" s="191"/>
      <c r="J798" s="19">
        <f t="shared" si="438"/>
        <v>0</v>
      </c>
      <c r="K798" s="259" t="s">
        <v>22</v>
      </c>
      <c r="L798" s="168">
        <v>0</v>
      </c>
      <c r="M798" s="168">
        <v>0</v>
      </c>
      <c r="N798" s="169">
        <f t="shared" si="466"/>
        <v>0</v>
      </c>
      <c r="O798" s="169">
        <f t="shared" si="467"/>
        <v>0</v>
      </c>
      <c r="P798" s="312">
        <f t="shared" si="468"/>
        <v>0</v>
      </c>
      <c r="Q798" s="335"/>
    </row>
    <row r="799" spans="1:17" ht="21" x14ac:dyDescent="0.35">
      <c r="A799" s="115">
        <f t="shared" ref="A799:A802" si="469">A798+1</f>
        <v>134</v>
      </c>
      <c r="B799" s="116" t="s">
        <v>239</v>
      </c>
      <c r="C799" s="129" t="s">
        <v>198</v>
      </c>
      <c r="D799" s="72" t="s">
        <v>352</v>
      </c>
      <c r="E799" s="73"/>
      <c r="F799" s="73"/>
      <c r="G799" s="73"/>
      <c r="H799" s="73"/>
      <c r="I799" s="191"/>
      <c r="J799" s="19">
        <f t="shared" si="438"/>
        <v>0</v>
      </c>
      <c r="K799" s="259" t="s">
        <v>22</v>
      </c>
      <c r="L799" s="168">
        <v>0</v>
      </c>
      <c r="M799" s="168">
        <v>0</v>
      </c>
      <c r="N799" s="169">
        <f t="shared" si="466"/>
        <v>0</v>
      </c>
      <c r="O799" s="169">
        <f t="shared" si="467"/>
        <v>0</v>
      </c>
      <c r="P799" s="312">
        <f t="shared" si="468"/>
        <v>0</v>
      </c>
      <c r="Q799" s="335"/>
    </row>
    <row r="800" spans="1:17" ht="21" x14ac:dyDescent="0.35">
      <c r="A800" s="115">
        <f t="shared" si="469"/>
        <v>135</v>
      </c>
      <c r="B800" s="116" t="s">
        <v>239</v>
      </c>
      <c r="C800" s="129" t="s">
        <v>198</v>
      </c>
      <c r="D800" s="72" t="s">
        <v>353</v>
      </c>
      <c r="E800" s="73"/>
      <c r="F800" s="73"/>
      <c r="G800" s="73"/>
      <c r="H800" s="73"/>
      <c r="I800" s="191"/>
      <c r="J800" s="19">
        <f t="shared" si="438"/>
        <v>0</v>
      </c>
      <c r="K800" s="259" t="s">
        <v>22</v>
      </c>
      <c r="L800" s="168">
        <v>0</v>
      </c>
      <c r="M800" s="168">
        <v>0</v>
      </c>
      <c r="N800" s="169">
        <f t="shared" si="466"/>
        <v>0</v>
      </c>
      <c r="O800" s="169">
        <f t="shared" si="467"/>
        <v>0</v>
      </c>
      <c r="P800" s="312">
        <f t="shared" si="468"/>
        <v>0</v>
      </c>
      <c r="Q800" s="335"/>
    </row>
    <row r="801" spans="1:17" ht="21" x14ac:dyDescent="0.35">
      <c r="A801" s="115">
        <f t="shared" si="469"/>
        <v>136</v>
      </c>
      <c r="B801" s="116" t="s">
        <v>239</v>
      </c>
      <c r="C801" s="129" t="s">
        <v>198</v>
      </c>
      <c r="D801" s="72" t="s">
        <v>489</v>
      </c>
      <c r="E801" s="73" t="s">
        <v>202</v>
      </c>
      <c r="F801" s="73"/>
      <c r="G801" s="73" t="s">
        <v>490</v>
      </c>
      <c r="H801" s="73"/>
      <c r="I801" s="191"/>
      <c r="J801" s="19">
        <f t="shared" ref="J801" si="470">I801</f>
        <v>0</v>
      </c>
      <c r="K801" s="259" t="s">
        <v>22</v>
      </c>
      <c r="L801" s="168">
        <v>0</v>
      </c>
      <c r="M801" s="168">
        <v>0</v>
      </c>
      <c r="N801" s="169">
        <f t="shared" ref="N801" si="471">L801*J801</f>
        <v>0</v>
      </c>
      <c r="O801" s="169">
        <f t="shared" ref="O801" si="472">M801*J801</f>
        <v>0</v>
      </c>
      <c r="P801" s="312">
        <f t="shared" si="468"/>
        <v>0</v>
      </c>
      <c r="Q801" s="335"/>
    </row>
    <row r="802" spans="1:17" ht="21" x14ac:dyDescent="0.35">
      <c r="A802" s="115">
        <f t="shared" si="469"/>
        <v>137</v>
      </c>
      <c r="B802" s="116" t="s">
        <v>239</v>
      </c>
      <c r="C802" s="129" t="s">
        <v>198</v>
      </c>
      <c r="D802" s="72" t="s">
        <v>489</v>
      </c>
      <c r="E802" s="73" t="s">
        <v>202</v>
      </c>
      <c r="F802" s="73"/>
      <c r="G802" s="73" t="s">
        <v>203</v>
      </c>
      <c r="H802" s="85"/>
      <c r="I802" s="191"/>
      <c r="J802" s="19">
        <f t="shared" si="438"/>
        <v>0</v>
      </c>
      <c r="K802" s="167" t="s">
        <v>22</v>
      </c>
      <c r="L802" s="168">
        <v>0</v>
      </c>
      <c r="M802" s="168">
        <v>0</v>
      </c>
      <c r="N802" s="169">
        <f t="shared" si="466"/>
        <v>0</v>
      </c>
      <c r="O802" s="169">
        <f t="shared" si="467"/>
        <v>0</v>
      </c>
      <c r="P802" s="312">
        <f t="shared" si="468"/>
        <v>0</v>
      </c>
      <c r="Q802" s="335"/>
    </row>
    <row r="803" spans="1:17" ht="21" x14ac:dyDescent="0.35">
      <c r="A803" s="115">
        <f>A802+1</f>
        <v>138</v>
      </c>
      <c r="B803" s="116" t="s">
        <v>239</v>
      </c>
      <c r="C803" s="129" t="s">
        <v>198</v>
      </c>
      <c r="D803" s="72" t="s">
        <v>489</v>
      </c>
      <c r="E803" s="73" t="s">
        <v>202</v>
      </c>
      <c r="F803" s="73"/>
      <c r="G803" s="73" t="s">
        <v>204</v>
      </c>
      <c r="H803" s="85"/>
      <c r="I803" s="191"/>
      <c r="J803" s="19">
        <f t="shared" si="438"/>
        <v>0</v>
      </c>
      <c r="K803" s="167" t="s">
        <v>22</v>
      </c>
      <c r="L803" s="168">
        <v>0</v>
      </c>
      <c r="M803" s="168">
        <v>0</v>
      </c>
      <c r="N803" s="169">
        <f t="shared" si="466"/>
        <v>0</v>
      </c>
      <c r="O803" s="169">
        <f t="shared" si="467"/>
        <v>0</v>
      </c>
      <c r="P803" s="312">
        <f t="shared" si="468"/>
        <v>0</v>
      </c>
      <c r="Q803" s="335"/>
    </row>
    <row r="804" spans="1:17" ht="29" thickBot="1" x14ac:dyDescent="0.4">
      <c r="A804" s="109"/>
      <c r="B804" s="110"/>
      <c r="C804" s="111"/>
      <c r="D804" s="292"/>
      <c r="E804" s="293"/>
      <c r="F804" s="293"/>
      <c r="G804" s="293"/>
      <c r="H804" s="112"/>
      <c r="I804" s="294"/>
      <c r="J804" s="295"/>
      <c r="K804" s="39"/>
      <c r="L804" s="47"/>
      <c r="M804" s="47" t="s">
        <v>354</v>
      </c>
      <c r="N804" s="47"/>
      <c r="O804" s="47"/>
      <c r="P804" s="325">
        <f>SUM(P653:P803)</f>
        <v>0</v>
      </c>
      <c r="Q804" s="356"/>
    </row>
    <row r="805" spans="1:17" ht="21" customHeight="1" thickBot="1" x14ac:dyDescent="0.4">
      <c r="A805" s="105">
        <f>A803+1</f>
        <v>139</v>
      </c>
      <c r="B805" s="96"/>
      <c r="C805" s="140" t="s">
        <v>355</v>
      </c>
      <c r="D805" s="296"/>
      <c r="E805" s="297"/>
      <c r="F805" s="297"/>
      <c r="G805" s="297"/>
      <c r="H805" s="108"/>
      <c r="I805" s="298"/>
      <c r="J805" s="299"/>
      <c r="K805" s="300" t="s">
        <v>356</v>
      </c>
      <c r="L805" s="48"/>
      <c r="M805" s="48" t="s">
        <v>357</v>
      </c>
      <c r="N805" s="48"/>
      <c r="O805" s="48"/>
      <c r="P805" s="301"/>
      <c r="Q805" s="7"/>
    </row>
    <row r="806" spans="1:17" ht="15" thickBot="1" x14ac:dyDescent="0.4">
      <c r="A806" s="104"/>
      <c r="B806" s="104"/>
      <c r="C806" s="141"/>
      <c r="D806" s="302"/>
      <c r="E806" s="302"/>
      <c r="F806" s="302"/>
      <c r="G806" s="302"/>
      <c r="H806" s="302"/>
      <c r="I806" s="302"/>
      <c r="J806" s="302"/>
      <c r="K806" s="303"/>
      <c r="L806" s="302"/>
      <c r="M806" s="302"/>
      <c r="N806" s="302"/>
      <c r="O806" s="302"/>
      <c r="P806" s="141"/>
    </row>
    <row r="807" spans="1:17" ht="15" thickBot="1" x14ac:dyDescent="0.4">
      <c r="A807" s="304"/>
      <c r="B807" s="304"/>
      <c r="C807" s="142"/>
      <c r="D807" s="14"/>
      <c r="E807" s="14"/>
      <c r="F807" s="14"/>
      <c r="G807" s="14"/>
      <c r="H807" s="144"/>
      <c r="I807" s="144"/>
      <c r="J807" s="145"/>
      <c r="K807" s="17"/>
      <c r="L807" s="14"/>
      <c r="M807" s="14"/>
      <c r="N807" s="14"/>
      <c r="O807" s="14"/>
      <c r="P807" s="142"/>
    </row>
    <row r="808" spans="1:17" ht="29" thickBot="1" x14ac:dyDescent="0.4">
      <c r="A808" s="105"/>
      <c r="B808" s="105"/>
      <c r="C808" s="106"/>
      <c r="D808" s="305"/>
      <c r="E808" s="305"/>
      <c r="F808" s="305"/>
      <c r="G808" s="305"/>
      <c r="H808" s="107"/>
      <c r="I808" s="306"/>
      <c r="J808" s="307"/>
      <c r="K808" s="308"/>
      <c r="L808" s="4"/>
      <c r="M808" s="4" t="s">
        <v>1</v>
      </c>
      <c r="N808" s="4"/>
      <c r="O808" s="4"/>
      <c r="P808" s="1">
        <f>P805+P804+P642</f>
        <v>0</v>
      </c>
    </row>
  </sheetData>
  <sheetProtection algorithmName="SHA-512" hashValue="ALCagea0DeVIRNliGlG7c9Hb0/b9eH1XXVk58pk6+uQT/qfFgIoUVq45bJhNxWG4GhiKX1pzlOYUBRlgpW/1fg==" saltValue="DwtwHyjY8RdIb5VrL+8Z7A==" spinCount="100000" sheet="1" objects="1" scenarios="1"/>
  <mergeCells count="2">
    <mergeCell ref="C646:C648"/>
    <mergeCell ref="D646:D648"/>
  </mergeCells>
  <phoneticPr fontId="27" type="noConversion"/>
  <conditionalFormatting sqref="D4:E7 J12:J643">
    <cfRule type="expression" dxfId="5" priority="1">
      <formula>$J4&lt;&gt;$I4</formula>
    </cfRule>
  </conditionalFormatting>
  <conditionalFormatting sqref="G2:G7">
    <cfRule type="expression" dxfId="4" priority="2">
      <formula>$J2&lt;&gt;$I2</formula>
    </cfRule>
  </conditionalFormatting>
  <conditionalFormatting sqref="J652:J803">
    <cfRule type="expression" dxfId="3" priority="4">
      <formula>$J652&lt;&gt;$I652</formula>
    </cfRule>
  </conditionalFormatting>
  <pageMargins left="0.7" right="0.7" top="0.75" bottom="0.75" header="0.3" footer="0.3"/>
  <pageSetup paperSize="9" scale="33" fitToHeight="0" orientation="portrait" r:id="rId1"/>
  <headerFooter>
    <oddFooter>&amp;R_x000D_&amp;1#&amp;"Arial"&amp;12&amp;KFF0000 ST Restricted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2F983-5543-4013-B518-6FCDAF8BB69F}">
  <dimension ref="A1:S808"/>
  <sheetViews>
    <sheetView tabSelected="1" zoomScale="62" zoomScaleNormal="62" workbookViewId="0">
      <selection activeCell="H24" sqref="H24"/>
    </sheetView>
  </sheetViews>
  <sheetFormatPr defaultColWidth="11.453125" defaultRowHeight="21" x14ac:dyDescent="0.5"/>
  <cols>
    <col min="1" max="1" width="5.54296875" bestFit="1" customWidth="1"/>
    <col min="2" max="2" width="16" customWidth="1"/>
    <col min="3" max="3" width="27.7265625" style="14" customWidth="1"/>
    <col min="4" max="4" width="74.90625" customWidth="1"/>
    <col min="5" max="5" width="19.81640625" customWidth="1"/>
    <col min="6" max="6" width="33.7265625" customWidth="1"/>
    <col min="7" max="7" width="41.81640625" customWidth="1"/>
    <col min="8" max="8" width="12.6328125" style="15" customWidth="1"/>
    <col min="9" max="9" width="14.54296875" style="15" customWidth="1"/>
    <col min="10" max="10" width="14.54296875" style="23" customWidth="1"/>
    <col min="11" max="11" width="11.453125" style="16" hidden="1" customWidth="1"/>
    <col min="12" max="12" width="15.54296875" hidden="1" customWidth="1"/>
    <col min="13" max="14" width="23" hidden="1" customWidth="1"/>
    <col min="15" max="15" width="20.81640625" hidden="1" customWidth="1"/>
    <col min="16" max="16" width="25.81640625" hidden="1" customWidth="1"/>
    <col min="17" max="17" width="11.453125" style="2" hidden="1" customWidth="1"/>
    <col min="18" max="18" width="61.54296875" style="2" hidden="1" customWidth="1"/>
    <col min="19" max="19" width="49.90625" style="358" customWidth="1"/>
    <col min="20" max="16384" width="11.453125" style="2"/>
  </cols>
  <sheetData>
    <row r="1" spans="1:19" ht="57.5" thickBot="1" x14ac:dyDescent="0.55000000000000004">
      <c r="A1" s="13"/>
      <c r="B1" s="13"/>
      <c r="D1" s="143" t="s">
        <v>0</v>
      </c>
      <c r="E1" s="143"/>
      <c r="F1" s="14"/>
      <c r="G1" s="14"/>
      <c r="H1" s="59"/>
      <c r="I1" s="144"/>
      <c r="J1" s="145"/>
      <c r="K1" s="17"/>
      <c r="L1" s="11" t="s">
        <v>1</v>
      </c>
      <c r="M1" s="10"/>
      <c r="N1" s="4"/>
      <c r="O1" s="4"/>
      <c r="P1" s="12">
        <f>P808</f>
        <v>1011.13</v>
      </c>
    </row>
    <row r="2" spans="1:19" ht="28.5" customHeight="1" x14ac:dyDescent="0.5">
      <c r="A2" s="13"/>
      <c r="B2" s="13"/>
      <c r="D2" s="143"/>
      <c r="E2" s="143"/>
      <c r="F2" s="59" t="s">
        <v>2</v>
      </c>
      <c r="G2" s="19"/>
      <c r="H2" s="57"/>
      <c r="I2" s="144"/>
      <c r="J2" s="145"/>
      <c r="K2" s="17"/>
      <c r="L2" s="9"/>
      <c r="M2" s="8"/>
      <c r="N2" s="8"/>
      <c r="O2" s="8"/>
      <c r="P2" s="8"/>
    </row>
    <row r="3" spans="1:19" ht="29.25" customHeight="1" thickBot="1" x14ac:dyDescent="0.55000000000000004">
      <c r="A3" s="13"/>
      <c r="B3" s="13"/>
      <c r="D3" s="143"/>
      <c r="E3" s="143"/>
      <c r="F3" s="59" t="s">
        <v>3</v>
      </c>
      <c r="G3" s="49" t="str" cm="1">
        <f t="array" aca="1" ref="G3" ca="1">SUBSTITUTE(MID(CELL("filename"), FIND("[", CELL("filename")) + 1, FIND("]", CELL("filename")) - FIND("[", CELL("filename")) - 1),".xlsx","")</f>
        <v>QVERIK2_rtest   09-04-2026</v>
      </c>
      <c r="H3" s="57"/>
      <c r="I3" s="144"/>
      <c r="J3" s="145"/>
      <c r="K3" s="17"/>
      <c r="L3" s="14"/>
      <c r="M3" s="14"/>
      <c r="N3" s="14"/>
      <c r="O3" s="14"/>
      <c r="P3" s="14"/>
    </row>
    <row r="4" spans="1:19" ht="28.5" x14ac:dyDescent="0.5">
      <c r="A4" s="13"/>
      <c r="B4" s="13"/>
      <c r="C4" s="60" t="s">
        <v>4</v>
      </c>
      <c r="D4" s="19"/>
      <c r="E4" s="19"/>
      <c r="F4" s="59" t="s">
        <v>5</v>
      </c>
      <c r="G4" s="19"/>
      <c r="H4" s="57"/>
      <c r="I4" s="144"/>
      <c r="J4" s="145"/>
      <c r="K4" s="17"/>
      <c r="L4" s="14"/>
      <c r="M4" s="14"/>
      <c r="N4" s="14"/>
      <c r="O4" s="14"/>
      <c r="P4" s="14"/>
    </row>
    <row r="5" spans="1:19" ht="28.5" x14ac:dyDescent="0.5">
      <c r="A5" s="13"/>
      <c r="B5" s="13"/>
      <c r="C5" s="61" t="s">
        <v>6</v>
      </c>
      <c r="D5" s="19"/>
      <c r="E5" s="19"/>
      <c r="F5" s="59" t="s">
        <v>7</v>
      </c>
      <c r="G5" s="19"/>
      <c r="H5" s="57"/>
      <c r="I5" s="144"/>
      <c r="J5" s="145"/>
      <c r="K5" s="17"/>
      <c r="L5" s="14"/>
      <c r="M5" s="14"/>
      <c r="N5" s="14"/>
      <c r="O5" s="14"/>
      <c r="P5" s="14"/>
    </row>
    <row r="6" spans="1:19" ht="28.5" x14ac:dyDescent="0.5">
      <c r="A6" s="14"/>
      <c r="B6" s="14"/>
      <c r="C6" s="61" t="s">
        <v>8</v>
      </c>
      <c r="D6" s="19"/>
      <c r="E6" s="19"/>
      <c r="F6" s="59" t="s">
        <v>9</v>
      </c>
      <c r="G6" s="19"/>
      <c r="H6" s="57"/>
      <c r="I6" s="17"/>
      <c r="J6" s="58"/>
      <c r="K6" s="17"/>
      <c r="L6" s="14"/>
      <c r="M6" s="17"/>
      <c r="N6" s="17"/>
      <c r="O6" s="17"/>
      <c r="P6" s="14"/>
    </row>
    <row r="7" spans="1:19" ht="29" thickBot="1" x14ac:dyDescent="0.55000000000000004">
      <c r="A7" s="14"/>
      <c r="B7" s="14"/>
      <c r="C7" s="62" t="s">
        <v>10</v>
      </c>
      <c r="D7" s="19"/>
      <c r="E7" s="19"/>
      <c r="F7" s="59" t="s">
        <v>11</v>
      </c>
      <c r="G7" s="19"/>
      <c r="H7" s="57"/>
      <c r="I7" s="17"/>
      <c r="J7" s="58"/>
      <c r="K7" s="17"/>
      <c r="L7" s="14"/>
      <c r="M7" s="17"/>
      <c r="N7" s="17"/>
      <c r="O7" s="17"/>
      <c r="P7" s="14"/>
    </row>
    <row r="8" spans="1:19" ht="25.75" customHeight="1" thickBot="1" x14ac:dyDescent="0.55000000000000004">
      <c r="A8" s="14"/>
      <c r="B8" s="14"/>
      <c r="D8" s="14"/>
      <c r="E8" s="14"/>
      <c r="F8" s="14"/>
      <c r="G8" s="14"/>
      <c r="H8" s="144"/>
      <c r="I8" s="144"/>
      <c r="J8" s="145"/>
      <c r="K8" s="17"/>
      <c r="L8" s="14"/>
      <c r="M8" s="146"/>
      <c r="N8" s="146"/>
      <c r="O8" s="146"/>
      <c r="P8" s="146" t="s">
        <v>12</v>
      </c>
    </row>
    <row r="9" spans="1:19" ht="63.5" thickBot="1" x14ac:dyDescent="0.4">
      <c r="A9" s="33" t="s">
        <v>13</v>
      </c>
      <c r="B9" s="34" t="s">
        <v>445</v>
      </c>
      <c r="C9" s="63" t="s">
        <v>446</v>
      </c>
      <c r="D9" s="64" t="s">
        <v>15</v>
      </c>
      <c r="E9" s="65" t="s">
        <v>16</v>
      </c>
      <c r="F9" s="65" t="s">
        <v>17</v>
      </c>
      <c r="G9" s="65" t="s">
        <v>18</v>
      </c>
      <c r="H9" s="65" t="s">
        <v>19</v>
      </c>
      <c r="I9" s="66" t="s">
        <v>20</v>
      </c>
      <c r="J9" s="67" t="s">
        <v>21</v>
      </c>
      <c r="K9" s="66" t="s">
        <v>22</v>
      </c>
      <c r="L9" s="66" t="s">
        <v>23</v>
      </c>
      <c r="M9" s="66" t="s">
        <v>24</v>
      </c>
      <c r="N9" s="147" t="s">
        <v>25</v>
      </c>
      <c r="O9" s="147" t="s">
        <v>26</v>
      </c>
      <c r="P9" s="68" t="s">
        <v>27</v>
      </c>
      <c r="Q9" s="329" t="s">
        <v>544</v>
      </c>
      <c r="R9" s="329" t="s">
        <v>550</v>
      </c>
      <c r="S9" s="66" t="s">
        <v>575</v>
      </c>
    </row>
    <row r="10" spans="1:19" ht="23.25" customHeight="1" x14ac:dyDescent="0.5">
      <c r="A10" s="28"/>
      <c r="B10" s="35" t="s">
        <v>28</v>
      </c>
      <c r="C10" s="121" t="s">
        <v>29</v>
      </c>
      <c r="D10" s="148" t="s">
        <v>30</v>
      </c>
      <c r="E10" s="149"/>
      <c r="F10" s="149"/>
      <c r="G10" s="149"/>
      <c r="H10" s="150"/>
      <c r="I10" s="151"/>
      <c r="J10" s="152"/>
      <c r="K10" s="153"/>
      <c r="L10" s="154"/>
      <c r="M10" s="154"/>
      <c r="N10" s="154"/>
      <c r="O10" s="154"/>
      <c r="P10" s="155"/>
      <c r="Q10" s="330"/>
      <c r="S10" s="358" t="s">
        <v>576</v>
      </c>
    </row>
    <row r="11" spans="1:19" ht="23.25" customHeight="1" thickBot="1" x14ac:dyDescent="0.55000000000000004">
      <c r="A11" s="29"/>
      <c r="B11" s="36" t="s">
        <v>28</v>
      </c>
      <c r="C11" s="122" t="s">
        <v>29</v>
      </c>
      <c r="D11" s="156" t="s">
        <v>29</v>
      </c>
      <c r="E11" s="157"/>
      <c r="F11" s="157"/>
      <c r="G11" s="157"/>
      <c r="H11" s="158"/>
      <c r="I11" s="159"/>
      <c r="J11" s="160"/>
      <c r="K11" s="161"/>
      <c r="L11" s="158"/>
      <c r="M11" s="158"/>
      <c r="N11" s="158"/>
      <c r="O11" s="158"/>
      <c r="P11" s="162">
        <f>SUM(P12:P20)</f>
        <v>0</v>
      </c>
      <c r="Q11" s="331"/>
      <c r="S11" s="358" t="s">
        <v>576</v>
      </c>
    </row>
    <row r="12" spans="1:19" ht="23.25" customHeight="1" x14ac:dyDescent="0.5">
      <c r="A12" s="27">
        <v>1</v>
      </c>
      <c r="B12" s="55" t="s">
        <v>28</v>
      </c>
      <c r="C12" s="123" t="s">
        <v>29</v>
      </c>
      <c r="D12" s="69" t="s">
        <v>589</v>
      </c>
      <c r="E12" s="70" t="s">
        <v>31</v>
      </c>
      <c r="F12" s="70"/>
      <c r="G12" s="70" t="s">
        <v>32</v>
      </c>
      <c r="H12" s="70" t="s">
        <v>33</v>
      </c>
      <c r="I12" s="71"/>
      <c r="J12" s="53">
        <f t="shared" ref="J12:J20" si="0">I12</f>
        <v>0</v>
      </c>
      <c r="K12" s="163" t="s">
        <v>34</v>
      </c>
      <c r="L12" s="164">
        <v>0</v>
      </c>
      <c r="M12" s="164">
        <v>0</v>
      </c>
      <c r="N12" s="165">
        <f t="shared" ref="N12:N20" si="1">L12*J12</f>
        <v>0</v>
      </c>
      <c r="O12" s="165">
        <f t="shared" ref="O12:O20" si="2">M12*J12</f>
        <v>0</v>
      </c>
      <c r="P12" s="166">
        <f t="shared" ref="P12:P20" si="3">(L12*J12)+(M12*J12)</f>
        <v>0</v>
      </c>
      <c r="Q12" s="332"/>
      <c r="S12" s="358" t="s">
        <v>577</v>
      </c>
    </row>
    <row r="13" spans="1:19" ht="23.25" customHeight="1" x14ac:dyDescent="0.5">
      <c r="A13" s="18">
        <f>A12+1</f>
        <v>2</v>
      </c>
      <c r="B13" s="26" t="s">
        <v>28</v>
      </c>
      <c r="C13" s="124" t="s">
        <v>29</v>
      </c>
      <c r="D13" s="72" t="s">
        <v>52</v>
      </c>
      <c r="E13" s="73" t="s">
        <v>31</v>
      </c>
      <c r="F13" s="73"/>
      <c r="G13" s="73" t="s">
        <v>32</v>
      </c>
      <c r="H13" s="73" t="s">
        <v>33</v>
      </c>
      <c r="I13" s="74"/>
      <c r="J13" s="54">
        <f t="shared" si="0"/>
        <v>0</v>
      </c>
      <c r="K13" s="167" t="s">
        <v>37</v>
      </c>
      <c r="L13" s="168">
        <v>0</v>
      </c>
      <c r="M13" s="168">
        <v>0</v>
      </c>
      <c r="N13" s="169">
        <f t="shared" si="1"/>
        <v>0</v>
      </c>
      <c r="O13" s="169">
        <f t="shared" si="2"/>
        <v>0</v>
      </c>
      <c r="P13" s="170">
        <f t="shared" si="3"/>
        <v>0</v>
      </c>
      <c r="Q13" s="326"/>
      <c r="S13" s="358" t="s">
        <v>578</v>
      </c>
    </row>
    <row r="14" spans="1:19" ht="23.25" customHeight="1" x14ac:dyDescent="0.5">
      <c r="A14" s="18">
        <f t="shared" ref="A14:A21" si="4">A13+1</f>
        <v>3</v>
      </c>
      <c r="B14" s="26" t="s">
        <v>28</v>
      </c>
      <c r="C14" s="124" t="s">
        <v>29</v>
      </c>
      <c r="D14" s="72" t="s">
        <v>386</v>
      </c>
      <c r="E14" s="73" t="s">
        <v>31</v>
      </c>
      <c r="F14" s="73"/>
      <c r="G14" s="73" t="s">
        <v>32</v>
      </c>
      <c r="H14" s="73" t="s">
        <v>33</v>
      </c>
      <c r="I14" s="74"/>
      <c r="J14" s="54">
        <f t="shared" si="0"/>
        <v>0</v>
      </c>
      <c r="K14" s="167" t="s">
        <v>37</v>
      </c>
      <c r="L14" s="168">
        <v>0</v>
      </c>
      <c r="M14" s="168">
        <v>0</v>
      </c>
      <c r="N14" s="169">
        <f t="shared" si="1"/>
        <v>0</v>
      </c>
      <c r="O14" s="169">
        <f t="shared" si="2"/>
        <v>0</v>
      </c>
      <c r="P14" s="170">
        <f t="shared" si="3"/>
        <v>0</v>
      </c>
      <c r="Q14" s="326"/>
      <c r="S14" s="358" t="s">
        <v>579</v>
      </c>
    </row>
    <row r="15" spans="1:19" ht="23.25" customHeight="1" x14ac:dyDescent="0.5">
      <c r="A15" s="18">
        <f t="shared" si="4"/>
        <v>4</v>
      </c>
      <c r="B15" s="26" t="s">
        <v>28</v>
      </c>
      <c r="C15" s="124" t="s">
        <v>29</v>
      </c>
      <c r="D15" s="72" t="s">
        <v>74</v>
      </c>
      <c r="E15" s="73" t="s">
        <v>31</v>
      </c>
      <c r="F15" s="73"/>
      <c r="G15" s="73" t="s">
        <v>32</v>
      </c>
      <c r="H15" s="73" t="s">
        <v>33</v>
      </c>
      <c r="I15" s="74"/>
      <c r="J15" s="54">
        <f t="shared" si="0"/>
        <v>0</v>
      </c>
      <c r="K15" s="167" t="s">
        <v>37</v>
      </c>
      <c r="L15" s="168">
        <v>0</v>
      </c>
      <c r="M15" s="168">
        <v>0</v>
      </c>
      <c r="N15" s="169">
        <f t="shared" si="1"/>
        <v>0</v>
      </c>
      <c r="O15" s="169">
        <f t="shared" si="2"/>
        <v>0</v>
      </c>
      <c r="P15" s="170">
        <f t="shared" si="3"/>
        <v>0</v>
      </c>
      <c r="Q15" s="326"/>
      <c r="S15" s="358" t="s">
        <v>582</v>
      </c>
    </row>
    <row r="16" spans="1:19" ht="23.25" customHeight="1" x14ac:dyDescent="0.5">
      <c r="A16" s="18">
        <f t="shared" si="4"/>
        <v>5</v>
      </c>
      <c r="B16" s="26" t="s">
        <v>28</v>
      </c>
      <c r="C16" s="124" t="s">
        <v>29</v>
      </c>
      <c r="D16" s="72" t="s">
        <v>35</v>
      </c>
      <c r="E16" s="73" t="s">
        <v>31</v>
      </c>
      <c r="F16" s="73"/>
      <c r="G16" s="73" t="s">
        <v>32</v>
      </c>
      <c r="H16" s="73" t="s">
        <v>36</v>
      </c>
      <c r="I16" s="74"/>
      <c r="J16" s="19">
        <f t="shared" si="0"/>
        <v>0</v>
      </c>
      <c r="K16" s="167" t="s">
        <v>37</v>
      </c>
      <c r="L16" s="168">
        <v>0</v>
      </c>
      <c r="M16" s="168">
        <v>0</v>
      </c>
      <c r="N16" s="169">
        <f t="shared" si="1"/>
        <v>0</v>
      </c>
      <c r="O16" s="169">
        <f t="shared" si="2"/>
        <v>0</v>
      </c>
      <c r="P16" s="170">
        <f t="shared" si="3"/>
        <v>0</v>
      </c>
      <c r="Q16" s="326"/>
      <c r="S16" s="358" t="s">
        <v>580</v>
      </c>
    </row>
    <row r="17" spans="1:19" ht="23.25" customHeight="1" x14ac:dyDescent="0.5">
      <c r="A17" s="18">
        <f t="shared" si="4"/>
        <v>6</v>
      </c>
      <c r="B17" s="26" t="s">
        <v>28</v>
      </c>
      <c r="C17" s="124" t="s">
        <v>29</v>
      </c>
      <c r="D17" s="72" t="s">
        <v>35</v>
      </c>
      <c r="E17" s="73" t="s">
        <v>31</v>
      </c>
      <c r="F17" s="73"/>
      <c r="G17" s="73" t="s">
        <v>32</v>
      </c>
      <c r="H17" s="73" t="s">
        <v>38</v>
      </c>
      <c r="I17" s="74"/>
      <c r="J17" s="19">
        <f t="shared" si="0"/>
        <v>0</v>
      </c>
      <c r="K17" s="167" t="s">
        <v>37</v>
      </c>
      <c r="L17" s="168">
        <v>0</v>
      </c>
      <c r="M17" s="168">
        <v>0</v>
      </c>
      <c r="N17" s="169">
        <f t="shared" si="1"/>
        <v>0</v>
      </c>
      <c r="O17" s="169">
        <f t="shared" si="2"/>
        <v>0</v>
      </c>
      <c r="P17" s="170">
        <f t="shared" si="3"/>
        <v>0</v>
      </c>
      <c r="Q17" s="326"/>
      <c r="S17" s="358" t="s">
        <v>580</v>
      </c>
    </row>
    <row r="18" spans="1:19" ht="23.25" customHeight="1" x14ac:dyDescent="0.5">
      <c r="A18" s="18">
        <f t="shared" si="4"/>
        <v>7</v>
      </c>
      <c r="B18" s="26" t="s">
        <v>28</v>
      </c>
      <c r="C18" s="124" t="s">
        <v>29</v>
      </c>
      <c r="D18" s="72" t="s">
        <v>39</v>
      </c>
      <c r="E18" s="73" t="s">
        <v>31</v>
      </c>
      <c r="F18" s="73"/>
      <c r="G18" s="73" t="s">
        <v>32</v>
      </c>
      <c r="H18" s="73" t="s">
        <v>33</v>
      </c>
      <c r="I18" s="74"/>
      <c r="J18" s="19">
        <f t="shared" si="0"/>
        <v>0</v>
      </c>
      <c r="K18" s="167" t="s">
        <v>37</v>
      </c>
      <c r="L18" s="168">
        <v>0</v>
      </c>
      <c r="M18" s="168">
        <v>0</v>
      </c>
      <c r="N18" s="169">
        <f t="shared" si="1"/>
        <v>0</v>
      </c>
      <c r="O18" s="169">
        <f t="shared" si="2"/>
        <v>0</v>
      </c>
      <c r="P18" s="170">
        <f t="shared" si="3"/>
        <v>0</v>
      </c>
      <c r="Q18" s="326"/>
      <c r="S18" s="358" t="s">
        <v>581</v>
      </c>
    </row>
    <row r="19" spans="1:19" ht="23.25" customHeight="1" x14ac:dyDescent="0.5">
      <c r="A19" s="18">
        <f t="shared" si="4"/>
        <v>8</v>
      </c>
      <c r="B19" s="26" t="s">
        <v>28</v>
      </c>
      <c r="C19" s="124" t="s">
        <v>29</v>
      </c>
      <c r="D19" s="72" t="s">
        <v>385</v>
      </c>
      <c r="E19" s="73" t="s">
        <v>41</v>
      </c>
      <c r="F19" s="73"/>
      <c r="G19" s="73" t="s">
        <v>42</v>
      </c>
      <c r="H19" s="73" t="s">
        <v>43</v>
      </c>
      <c r="I19" s="74"/>
      <c r="J19" s="19">
        <f t="shared" si="0"/>
        <v>0</v>
      </c>
      <c r="K19" s="167" t="s">
        <v>34</v>
      </c>
      <c r="L19" s="168">
        <v>0</v>
      </c>
      <c r="M19" s="168">
        <v>0</v>
      </c>
      <c r="N19" s="169">
        <f t="shared" si="1"/>
        <v>0</v>
      </c>
      <c r="O19" s="169">
        <f t="shared" si="2"/>
        <v>0</v>
      </c>
      <c r="P19" s="170">
        <f t="shared" si="3"/>
        <v>0</v>
      </c>
      <c r="Q19" s="326"/>
      <c r="S19" s="358" t="s">
        <v>583</v>
      </c>
    </row>
    <row r="20" spans="1:19" ht="23.25" customHeight="1" x14ac:dyDescent="0.5">
      <c r="A20" s="18">
        <f t="shared" si="4"/>
        <v>9</v>
      </c>
      <c r="B20" s="26" t="s">
        <v>28</v>
      </c>
      <c r="C20" s="124" t="s">
        <v>29</v>
      </c>
      <c r="D20" s="75" t="s">
        <v>44</v>
      </c>
      <c r="E20" s="169"/>
      <c r="F20" s="169"/>
      <c r="G20" s="169"/>
      <c r="H20" s="169"/>
      <c r="I20" s="76"/>
      <c r="J20" s="19">
        <f t="shared" si="0"/>
        <v>0</v>
      </c>
      <c r="K20" s="167" t="s">
        <v>37</v>
      </c>
      <c r="L20" s="168">
        <v>0</v>
      </c>
      <c r="M20" s="168">
        <v>0</v>
      </c>
      <c r="N20" s="169">
        <f t="shared" si="1"/>
        <v>0</v>
      </c>
      <c r="O20" s="169">
        <f t="shared" si="2"/>
        <v>0</v>
      </c>
      <c r="P20" s="170">
        <f t="shared" si="3"/>
        <v>0</v>
      </c>
      <c r="Q20" s="326"/>
      <c r="S20" s="358" t="s">
        <v>576</v>
      </c>
    </row>
    <row r="21" spans="1:19" ht="23.25" customHeight="1" x14ac:dyDescent="0.5">
      <c r="A21" s="18">
        <f t="shared" si="4"/>
        <v>10</v>
      </c>
      <c r="B21" s="26" t="s">
        <v>28</v>
      </c>
      <c r="C21" s="124" t="s">
        <v>29</v>
      </c>
      <c r="D21" s="43" t="s">
        <v>358</v>
      </c>
      <c r="E21" s="5"/>
      <c r="F21" s="5"/>
      <c r="G21" s="5"/>
      <c r="H21" s="5"/>
      <c r="I21" s="20"/>
      <c r="J21" s="19">
        <f>I21</f>
        <v>0</v>
      </c>
      <c r="K21" s="171"/>
      <c r="L21" s="168">
        <v>0</v>
      </c>
      <c r="M21" s="168">
        <v>0</v>
      </c>
      <c r="N21" s="169">
        <f>L21*J21</f>
        <v>0</v>
      </c>
      <c r="O21" s="169">
        <f>M21*J21</f>
        <v>0</v>
      </c>
      <c r="P21" s="170">
        <f>(L21*J21)+(M21*J21)</f>
        <v>0</v>
      </c>
      <c r="Q21" s="326"/>
      <c r="S21" s="358" t="s">
        <v>576</v>
      </c>
    </row>
    <row r="22" spans="1:19" ht="23.25" customHeight="1" thickBot="1" x14ac:dyDescent="0.55000000000000004">
      <c r="A22" s="29">
        <f>A21+1</f>
        <v>11</v>
      </c>
      <c r="B22" s="36" t="s">
        <v>28</v>
      </c>
      <c r="C22" s="46" t="s">
        <v>29</v>
      </c>
      <c r="D22" s="44" t="s">
        <v>358</v>
      </c>
      <c r="E22" s="6"/>
      <c r="F22" s="6"/>
      <c r="G22" s="6"/>
      <c r="H22" s="6"/>
      <c r="I22" s="21"/>
      <c r="J22" s="22">
        <f>I22</f>
        <v>0</v>
      </c>
      <c r="K22" s="172"/>
      <c r="L22" s="173">
        <v>0</v>
      </c>
      <c r="M22" s="173">
        <v>0</v>
      </c>
      <c r="N22" s="174">
        <f>L22*J22</f>
        <v>0</v>
      </c>
      <c r="O22" s="174">
        <f>M22*J22</f>
        <v>0</v>
      </c>
      <c r="P22" s="175">
        <f>(L22*J22)+(M22*J22)</f>
        <v>0</v>
      </c>
      <c r="Q22" s="327"/>
      <c r="S22" s="358" t="s">
        <v>576</v>
      </c>
    </row>
    <row r="23" spans="1:19" ht="23.25" customHeight="1" thickBot="1" x14ac:dyDescent="0.55000000000000004">
      <c r="A23" s="30"/>
      <c r="B23" s="31" t="s">
        <v>45</v>
      </c>
      <c r="C23" s="125" t="s">
        <v>46</v>
      </c>
      <c r="D23" s="176" t="s">
        <v>47</v>
      </c>
      <c r="E23" s="177"/>
      <c r="F23" s="177"/>
      <c r="G23" s="177"/>
      <c r="H23" s="178"/>
      <c r="I23" s="179"/>
      <c r="J23" s="180"/>
      <c r="K23" s="181"/>
      <c r="L23" s="182"/>
      <c r="M23" s="182"/>
      <c r="N23" s="183"/>
      <c r="O23" s="183"/>
      <c r="P23" s="184"/>
      <c r="Q23" s="333"/>
      <c r="S23" s="358" t="s">
        <v>576</v>
      </c>
    </row>
    <row r="24" spans="1:19" ht="23.25" customHeight="1" x14ac:dyDescent="0.5">
      <c r="A24" s="28">
        <f>A22+1</f>
        <v>12</v>
      </c>
      <c r="B24" s="35" t="s">
        <v>45</v>
      </c>
      <c r="C24" s="121" t="s">
        <v>46</v>
      </c>
      <c r="D24" s="77" t="s">
        <v>40</v>
      </c>
      <c r="E24" s="78" t="s">
        <v>48</v>
      </c>
      <c r="F24" s="78"/>
      <c r="G24" s="78" t="s">
        <v>49</v>
      </c>
      <c r="H24" s="78" t="s">
        <v>388</v>
      </c>
      <c r="I24" s="82"/>
      <c r="J24" s="32">
        <v>6</v>
      </c>
      <c r="K24" s="81" t="s">
        <v>51</v>
      </c>
      <c r="L24" s="185">
        <v>19.440000000000001</v>
      </c>
      <c r="M24" s="185">
        <v>0</v>
      </c>
      <c r="N24" s="186">
        <f t="shared" ref="N24:N56" si="5">L24*J24</f>
        <v>116.64000000000001</v>
      </c>
      <c r="O24" s="186">
        <f t="shared" ref="O24:O53" si="6">M24*J24</f>
        <v>0</v>
      </c>
      <c r="P24" s="187">
        <f t="shared" ref="P24:P54" si="7">(L24*J24)+(M24*J24)</f>
        <v>116.64000000000001</v>
      </c>
      <c r="Q24" s="334"/>
      <c r="R24" s="358" t="s">
        <v>551</v>
      </c>
      <c r="S24" s="363" t="s">
        <v>593</v>
      </c>
    </row>
    <row r="25" spans="1:19" s="3" customFormat="1" ht="23.25" customHeight="1" x14ac:dyDescent="0.5">
      <c r="A25" s="18">
        <f>A24+1</f>
        <v>13</v>
      </c>
      <c r="B25" s="26" t="s">
        <v>45</v>
      </c>
      <c r="C25" s="124" t="s">
        <v>46</v>
      </c>
      <c r="D25" s="72" t="s">
        <v>52</v>
      </c>
      <c r="E25" s="73" t="s">
        <v>48</v>
      </c>
      <c r="F25" s="73"/>
      <c r="G25" s="73" t="s">
        <v>49</v>
      </c>
      <c r="H25" s="73" t="s">
        <v>388</v>
      </c>
      <c r="I25" s="74"/>
      <c r="J25" s="19">
        <v>1</v>
      </c>
      <c r="K25" s="80" t="s">
        <v>22</v>
      </c>
      <c r="L25" s="168">
        <v>27.8</v>
      </c>
      <c r="M25" s="168">
        <v>0</v>
      </c>
      <c r="N25" s="169">
        <f t="shared" si="5"/>
        <v>27.8</v>
      </c>
      <c r="O25" s="169">
        <f t="shared" si="6"/>
        <v>0</v>
      </c>
      <c r="P25" s="170">
        <f t="shared" si="7"/>
        <v>27.8</v>
      </c>
      <c r="Q25" s="326"/>
      <c r="R25" s="358" t="s">
        <v>552</v>
      </c>
      <c r="S25" s="362" t="s">
        <v>594</v>
      </c>
    </row>
    <row r="26" spans="1:19" s="3" customFormat="1" ht="23.25" customHeight="1" x14ac:dyDescent="0.5">
      <c r="A26" s="18">
        <f t="shared" ref="A26:A55" si="8">A25+1</f>
        <v>14</v>
      </c>
      <c r="B26" s="26" t="s">
        <v>45</v>
      </c>
      <c r="C26" s="124" t="s">
        <v>46</v>
      </c>
      <c r="D26" s="357" t="s">
        <v>387</v>
      </c>
      <c r="E26" s="73" t="s">
        <v>48</v>
      </c>
      <c r="F26" s="73"/>
      <c r="G26" s="73" t="s">
        <v>49</v>
      </c>
      <c r="H26" s="73" t="s">
        <v>388</v>
      </c>
      <c r="I26" s="74"/>
      <c r="J26" s="19">
        <v>1</v>
      </c>
      <c r="K26" s="80" t="s">
        <v>22</v>
      </c>
      <c r="L26" s="168">
        <v>59.78</v>
      </c>
      <c r="M26" s="168">
        <v>0</v>
      </c>
      <c r="N26" s="169">
        <f t="shared" si="5"/>
        <v>59.78</v>
      </c>
      <c r="O26" s="169">
        <f t="shared" si="6"/>
        <v>0</v>
      </c>
      <c r="P26" s="170">
        <f t="shared" si="7"/>
        <v>59.78</v>
      </c>
      <c r="Q26" s="326"/>
      <c r="R26" s="358" t="s">
        <v>553</v>
      </c>
      <c r="S26" s="362" t="s">
        <v>595</v>
      </c>
    </row>
    <row r="27" spans="1:19" s="3" customFormat="1" ht="23.25" customHeight="1" x14ac:dyDescent="0.5">
      <c r="A27" s="18">
        <f t="shared" si="8"/>
        <v>15</v>
      </c>
      <c r="B27" s="26" t="s">
        <v>45</v>
      </c>
      <c r="C27" s="124" t="s">
        <v>46</v>
      </c>
      <c r="D27" s="72" t="s">
        <v>74</v>
      </c>
      <c r="E27" s="73" t="s">
        <v>48</v>
      </c>
      <c r="F27" s="73"/>
      <c r="G27" s="73" t="s">
        <v>49</v>
      </c>
      <c r="H27" s="73" t="s">
        <v>388</v>
      </c>
      <c r="I27" s="74"/>
      <c r="J27" s="19">
        <v>1</v>
      </c>
      <c r="K27" s="80" t="s">
        <v>22</v>
      </c>
      <c r="L27" s="168">
        <v>0</v>
      </c>
      <c r="M27" s="168">
        <v>0</v>
      </c>
      <c r="N27" s="169">
        <f t="shared" si="5"/>
        <v>0</v>
      </c>
      <c r="O27" s="169">
        <f t="shared" si="6"/>
        <v>0</v>
      </c>
      <c r="P27" s="170">
        <f t="shared" si="7"/>
        <v>0</v>
      </c>
      <c r="Q27" s="326"/>
      <c r="S27" s="358" t="s">
        <v>584</v>
      </c>
    </row>
    <row r="28" spans="1:19" s="3" customFormat="1" ht="23.25" customHeight="1" x14ac:dyDescent="0.5">
      <c r="A28" s="18">
        <f t="shared" si="8"/>
        <v>16</v>
      </c>
      <c r="B28" s="26" t="s">
        <v>45</v>
      </c>
      <c r="C28" s="124" t="s">
        <v>46</v>
      </c>
      <c r="D28" s="72" t="s">
        <v>53</v>
      </c>
      <c r="E28" s="73" t="s">
        <v>48</v>
      </c>
      <c r="F28" s="73"/>
      <c r="G28" s="73" t="s">
        <v>49</v>
      </c>
      <c r="H28" s="73" t="s">
        <v>388</v>
      </c>
      <c r="I28" s="74"/>
      <c r="J28" s="19">
        <v>1</v>
      </c>
      <c r="K28" s="80" t="s">
        <v>22</v>
      </c>
      <c r="L28" s="168">
        <v>108</v>
      </c>
      <c r="M28" s="168">
        <v>0</v>
      </c>
      <c r="N28" s="169">
        <f t="shared" si="5"/>
        <v>108</v>
      </c>
      <c r="O28" s="169">
        <f t="shared" si="6"/>
        <v>0</v>
      </c>
      <c r="P28" s="170">
        <f t="shared" si="7"/>
        <v>108</v>
      </c>
      <c r="Q28" s="326"/>
      <c r="R28" s="358" t="s">
        <v>561</v>
      </c>
      <c r="S28" s="358" t="s">
        <v>585</v>
      </c>
    </row>
    <row r="29" spans="1:19" s="3" customFormat="1" ht="23.25" customHeight="1" x14ac:dyDescent="0.5">
      <c r="A29" s="18">
        <f t="shared" si="8"/>
        <v>17</v>
      </c>
      <c r="B29" s="26" t="s">
        <v>45</v>
      </c>
      <c r="C29" s="124" t="s">
        <v>46</v>
      </c>
      <c r="D29" s="72" t="s">
        <v>54</v>
      </c>
      <c r="E29" s="73" t="s">
        <v>48</v>
      </c>
      <c r="F29" s="73"/>
      <c r="G29" s="73" t="s">
        <v>49</v>
      </c>
      <c r="H29" s="73" t="s">
        <v>388</v>
      </c>
      <c r="I29" s="74"/>
      <c r="J29" s="19">
        <v>1</v>
      </c>
      <c r="K29" s="80" t="s">
        <v>22</v>
      </c>
      <c r="L29" s="168">
        <v>450</v>
      </c>
      <c r="M29" s="168">
        <v>0</v>
      </c>
      <c r="N29" s="169">
        <f t="shared" si="5"/>
        <v>450</v>
      </c>
      <c r="O29" s="169">
        <f t="shared" si="6"/>
        <v>0</v>
      </c>
      <c r="P29" s="170">
        <f t="shared" si="7"/>
        <v>450</v>
      </c>
      <c r="Q29" s="326"/>
      <c r="R29" s="358" t="s">
        <v>555</v>
      </c>
      <c r="S29" s="358" t="s">
        <v>586</v>
      </c>
    </row>
    <row r="30" spans="1:19" ht="23.25" customHeight="1" x14ac:dyDescent="0.5">
      <c r="A30" s="18">
        <f t="shared" si="8"/>
        <v>18</v>
      </c>
      <c r="B30" s="26" t="s">
        <v>45</v>
      </c>
      <c r="C30" s="124" t="s">
        <v>46</v>
      </c>
      <c r="D30" s="72" t="s">
        <v>40</v>
      </c>
      <c r="E30" s="73" t="s">
        <v>48</v>
      </c>
      <c r="F30" s="73"/>
      <c r="G30" s="73" t="s">
        <v>49</v>
      </c>
      <c r="H30" s="73" t="s">
        <v>389</v>
      </c>
      <c r="I30" s="74"/>
      <c r="J30" s="19">
        <v>0</v>
      </c>
      <c r="K30" s="80" t="s">
        <v>51</v>
      </c>
      <c r="L30" s="168">
        <v>23.57</v>
      </c>
      <c r="M30" s="168">
        <v>0</v>
      </c>
      <c r="N30" s="169">
        <f t="shared" si="5"/>
        <v>0</v>
      </c>
      <c r="O30" s="169">
        <f t="shared" si="6"/>
        <v>0</v>
      </c>
      <c r="P30" s="170">
        <f t="shared" si="7"/>
        <v>0</v>
      </c>
      <c r="Q30" s="326"/>
      <c r="R30" s="358" t="s">
        <v>551</v>
      </c>
      <c r="S30" s="363" t="s">
        <v>593</v>
      </c>
    </row>
    <row r="31" spans="1:19" s="3" customFormat="1" ht="23.25" customHeight="1" x14ac:dyDescent="0.5">
      <c r="A31" s="18">
        <f t="shared" si="8"/>
        <v>19</v>
      </c>
      <c r="B31" s="26" t="s">
        <v>45</v>
      </c>
      <c r="C31" s="124" t="s">
        <v>46</v>
      </c>
      <c r="D31" s="72" t="s">
        <v>52</v>
      </c>
      <c r="E31" s="73" t="s">
        <v>48</v>
      </c>
      <c r="F31" s="73"/>
      <c r="G31" s="73" t="s">
        <v>49</v>
      </c>
      <c r="H31" s="73" t="s">
        <v>389</v>
      </c>
      <c r="I31" s="74"/>
      <c r="J31" s="19">
        <v>0</v>
      </c>
      <c r="K31" s="80" t="s">
        <v>22</v>
      </c>
      <c r="L31" s="168">
        <v>28.18</v>
      </c>
      <c r="M31" s="168">
        <v>0</v>
      </c>
      <c r="N31" s="169">
        <f t="shared" si="5"/>
        <v>0</v>
      </c>
      <c r="O31" s="169">
        <f t="shared" si="6"/>
        <v>0</v>
      </c>
      <c r="P31" s="170">
        <f t="shared" si="7"/>
        <v>0</v>
      </c>
      <c r="Q31" s="326"/>
      <c r="R31" s="358" t="s">
        <v>552</v>
      </c>
      <c r="S31" s="362" t="s">
        <v>594</v>
      </c>
    </row>
    <row r="32" spans="1:19" s="3" customFormat="1" ht="23.25" customHeight="1" x14ac:dyDescent="0.5">
      <c r="A32" s="18">
        <f t="shared" si="8"/>
        <v>20</v>
      </c>
      <c r="B32" s="26" t="s">
        <v>45</v>
      </c>
      <c r="C32" s="124" t="s">
        <v>46</v>
      </c>
      <c r="D32" s="72" t="s">
        <v>387</v>
      </c>
      <c r="E32" s="73" t="s">
        <v>48</v>
      </c>
      <c r="F32" s="73"/>
      <c r="G32" s="73" t="s">
        <v>49</v>
      </c>
      <c r="H32" s="73" t="s">
        <v>389</v>
      </c>
      <c r="I32" s="74"/>
      <c r="J32" s="19">
        <v>0</v>
      </c>
      <c r="K32" s="80" t="s">
        <v>22</v>
      </c>
      <c r="L32" s="168">
        <v>64.88</v>
      </c>
      <c r="M32" s="168">
        <v>0</v>
      </c>
      <c r="N32" s="169">
        <f t="shared" si="5"/>
        <v>0</v>
      </c>
      <c r="O32" s="169">
        <f t="shared" si="6"/>
        <v>0</v>
      </c>
      <c r="P32" s="170">
        <f t="shared" si="7"/>
        <v>0</v>
      </c>
      <c r="Q32" s="326"/>
      <c r="R32" s="358" t="s">
        <v>553</v>
      </c>
      <c r="S32" s="362" t="s">
        <v>595</v>
      </c>
    </row>
    <row r="33" spans="1:19" s="3" customFormat="1" ht="23.25" customHeight="1" x14ac:dyDescent="0.5">
      <c r="A33" s="18">
        <f t="shared" si="8"/>
        <v>21</v>
      </c>
      <c r="B33" s="26" t="s">
        <v>45</v>
      </c>
      <c r="C33" s="124" t="s">
        <v>46</v>
      </c>
      <c r="D33" s="72" t="s">
        <v>74</v>
      </c>
      <c r="E33" s="73" t="s">
        <v>48</v>
      </c>
      <c r="F33" s="73"/>
      <c r="G33" s="73" t="s">
        <v>49</v>
      </c>
      <c r="H33" s="73" t="s">
        <v>389</v>
      </c>
      <c r="I33" s="74"/>
      <c r="J33" s="19">
        <v>0</v>
      </c>
      <c r="K33" s="80" t="s">
        <v>22</v>
      </c>
      <c r="L33" s="168">
        <v>0</v>
      </c>
      <c r="M33" s="168">
        <v>0</v>
      </c>
      <c r="N33" s="169">
        <f t="shared" si="5"/>
        <v>0</v>
      </c>
      <c r="O33" s="169">
        <f t="shared" si="6"/>
        <v>0</v>
      </c>
      <c r="P33" s="170">
        <f t="shared" si="7"/>
        <v>0</v>
      </c>
      <c r="Q33" s="326"/>
      <c r="S33" s="358" t="s">
        <v>584</v>
      </c>
    </row>
    <row r="34" spans="1:19" s="3" customFormat="1" ht="23.25" customHeight="1" x14ac:dyDescent="0.5">
      <c r="A34" s="18">
        <f t="shared" si="8"/>
        <v>22</v>
      </c>
      <c r="B34" s="26" t="s">
        <v>45</v>
      </c>
      <c r="C34" s="124" t="s">
        <v>46</v>
      </c>
      <c r="D34" s="72" t="s">
        <v>53</v>
      </c>
      <c r="E34" s="73" t="s">
        <v>48</v>
      </c>
      <c r="F34" s="73"/>
      <c r="G34" s="73" t="s">
        <v>49</v>
      </c>
      <c r="H34" s="73" t="s">
        <v>389</v>
      </c>
      <c r="I34" s="74"/>
      <c r="J34" s="19">
        <v>0</v>
      </c>
      <c r="K34" s="80" t="s">
        <v>22</v>
      </c>
      <c r="L34" s="168">
        <v>215.49</v>
      </c>
      <c r="M34" s="168">
        <v>0</v>
      </c>
      <c r="N34" s="169">
        <f t="shared" si="5"/>
        <v>0</v>
      </c>
      <c r="O34" s="169">
        <f t="shared" si="6"/>
        <v>0</v>
      </c>
      <c r="P34" s="170">
        <f t="shared" si="7"/>
        <v>0</v>
      </c>
      <c r="Q34" s="326"/>
      <c r="R34" s="358" t="s">
        <v>564</v>
      </c>
      <c r="S34" s="358" t="s">
        <v>585</v>
      </c>
    </row>
    <row r="35" spans="1:19" s="3" customFormat="1" ht="23.25" customHeight="1" x14ac:dyDescent="0.5">
      <c r="A35" s="18">
        <f t="shared" si="8"/>
        <v>23</v>
      </c>
      <c r="B35" s="26" t="s">
        <v>45</v>
      </c>
      <c r="C35" s="124" t="s">
        <v>46</v>
      </c>
      <c r="D35" s="72" t="s">
        <v>54</v>
      </c>
      <c r="E35" s="73" t="s">
        <v>48</v>
      </c>
      <c r="F35" s="73"/>
      <c r="G35" s="73" t="s">
        <v>49</v>
      </c>
      <c r="H35" s="73" t="s">
        <v>389</v>
      </c>
      <c r="I35" s="74"/>
      <c r="J35" s="19">
        <v>0</v>
      </c>
      <c r="K35" s="80" t="s">
        <v>22</v>
      </c>
      <c r="L35" s="168">
        <v>286.98</v>
      </c>
      <c r="M35" s="168">
        <v>0</v>
      </c>
      <c r="N35" s="169">
        <f t="shared" si="5"/>
        <v>0</v>
      </c>
      <c r="O35" s="169">
        <f t="shared" si="6"/>
        <v>0</v>
      </c>
      <c r="P35" s="170">
        <f t="shared" si="7"/>
        <v>0</v>
      </c>
      <c r="Q35" s="326"/>
      <c r="R35" s="358" t="s">
        <v>556</v>
      </c>
      <c r="S35" s="358" t="s">
        <v>586</v>
      </c>
    </row>
    <row r="36" spans="1:19" ht="23.25" customHeight="1" x14ac:dyDescent="0.5">
      <c r="A36" s="18">
        <f t="shared" si="8"/>
        <v>24</v>
      </c>
      <c r="B36" s="26" t="s">
        <v>45</v>
      </c>
      <c r="C36" s="124" t="s">
        <v>46</v>
      </c>
      <c r="D36" s="72" t="s">
        <v>40</v>
      </c>
      <c r="E36" s="73" t="s">
        <v>48</v>
      </c>
      <c r="F36" s="73"/>
      <c r="G36" s="73" t="s">
        <v>49</v>
      </c>
      <c r="H36" s="73" t="s">
        <v>105</v>
      </c>
      <c r="I36" s="74"/>
      <c r="J36" s="19">
        <v>0</v>
      </c>
      <c r="K36" s="80" t="s">
        <v>51</v>
      </c>
      <c r="L36" s="168">
        <v>26.34</v>
      </c>
      <c r="M36" s="168">
        <v>0</v>
      </c>
      <c r="N36" s="169">
        <f t="shared" si="5"/>
        <v>0</v>
      </c>
      <c r="O36" s="169">
        <f t="shared" si="6"/>
        <v>0</v>
      </c>
      <c r="P36" s="170">
        <f t="shared" si="7"/>
        <v>0</v>
      </c>
      <c r="Q36" s="326"/>
      <c r="R36" s="358" t="s">
        <v>551</v>
      </c>
      <c r="S36" s="363" t="s">
        <v>593</v>
      </c>
    </row>
    <row r="37" spans="1:19" s="3" customFormat="1" ht="23.25" customHeight="1" x14ac:dyDescent="0.5">
      <c r="A37" s="18">
        <f t="shared" si="8"/>
        <v>25</v>
      </c>
      <c r="B37" s="26" t="s">
        <v>45</v>
      </c>
      <c r="C37" s="124" t="s">
        <v>46</v>
      </c>
      <c r="D37" s="72" t="s">
        <v>52</v>
      </c>
      <c r="E37" s="73" t="s">
        <v>48</v>
      </c>
      <c r="F37" s="73"/>
      <c r="G37" s="73" t="s">
        <v>49</v>
      </c>
      <c r="H37" s="73" t="s">
        <v>105</v>
      </c>
      <c r="I37" s="74"/>
      <c r="J37" s="19">
        <v>0</v>
      </c>
      <c r="K37" s="80" t="s">
        <v>22</v>
      </c>
      <c r="L37" s="168">
        <v>42.08</v>
      </c>
      <c r="M37" s="168">
        <v>0</v>
      </c>
      <c r="N37" s="169">
        <f t="shared" si="5"/>
        <v>0</v>
      </c>
      <c r="O37" s="169">
        <f t="shared" si="6"/>
        <v>0</v>
      </c>
      <c r="P37" s="170">
        <f t="shared" si="7"/>
        <v>0</v>
      </c>
      <c r="Q37" s="326"/>
      <c r="R37" s="358" t="s">
        <v>552</v>
      </c>
      <c r="S37" s="362" t="s">
        <v>594</v>
      </c>
    </row>
    <row r="38" spans="1:19" s="3" customFormat="1" ht="23.25" customHeight="1" x14ac:dyDescent="0.5">
      <c r="A38" s="18">
        <f t="shared" si="8"/>
        <v>26</v>
      </c>
      <c r="B38" s="26" t="s">
        <v>45</v>
      </c>
      <c r="C38" s="124" t="s">
        <v>46</v>
      </c>
      <c r="D38" s="72" t="s">
        <v>387</v>
      </c>
      <c r="E38" s="73" t="s">
        <v>48</v>
      </c>
      <c r="F38" s="73"/>
      <c r="G38" s="73" t="s">
        <v>49</v>
      </c>
      <c r="H38" s="73" t="s">
        <v>105</v>
      </c>
      <c r="I38" s="74"/>
      <c r="J38" s="19">
        <v>0</v>
      </c>
      <c r="K38" s="80" t="s">
        <v>22</v>
      </c>
      <c r="L38" s="168">
        <v>68.430000000000007</v>
      </c>
      <c r="M38" s="168">
        <v>0</v>
      </c>
      <c r="N38" s="169">
        <f t="shared" si="5"/>
        <v>0</v>
      </c>
      <c r="O38" s="169">
        <f t="shared" si="6"/>
        <v>0</v>
      </c>
      <c r="P38" s="170">
        <f t="shared" si="7"/>
        <v>0</v>
      </c>
      <c r="Q38" s="326"/>
      <c r="R38" s="358" t="s">
        <v>553</v>
      </c>
      <c r="S38" s="362" t="s">
        <v>595</v>
      </c>
    </row>
    <row r="39" spans="1:19" s="3" customFormat="1" ht="23.25" customHeight="1" x14ac:dyDescent="0.5">
      <c r="A39" s="18">
        <f t="shared" si="8"/>
        <v>27</v>
      </c>
      <c r="B39" s="26" t="s">
        <v>45</v>
      </c>
      <c r="C39" s="124" t="s">
        <v>46</v>
      </c>
      <c r="D39" s="72" t="s">
        <v>74</v>
      </c>
      <c r="E39" s="73" t="s">
        <v>48</v>
      </c>
      <c r="F39" s="73"/>
      <c r="G39" s="73" t="s">
        <v>49</v>
      </c>
      <c r="H39" s="73" t="s">
        <v>105</v>
      </c>
      <c r="I39" s="74"/>
      <c r="J39" s="19">
        <v>0</v>
      </c>
      <c r="K39" s="80" t="s">
        <v>22</v>
      </c>
      <c r="L39" s="168">
        <v>0</v>
      </c>
      <c r="M39" s="168">
        <v>0</v>
      </c>
      <c r="N39" s="169">
        <f t="shared" si="5"/>
        <v>0</v>
      </c>
      <c r="O39" s="169">
        <f t="shared" si="6"/>
        <v>0</v>
      </c>
      <c r="P39" s="170">
        <f t="shared" si="7"/>
        <v>0</v>
      </c>
      <c r="Q39" s="326"/>
      <c r="S39" s="358" t="s">
        <v>584</v>
      </c>
    </row>
    <row r="40" spans="1:19" s="3" customFormat="1" ht="23.25" customHeight="1" x14ac:dyDescent="0.5">
      <c r="A40" s="18">
        <f t="shared" si="8"/>
        <v>28</v>
      </c>
      <c r="B40" s="26" t="s">
        <v>45</v>
      </c>
      <c r="C40" s="124" t="s">
        <v>46</v>
      </c>
      <c r="D40" s="72" t="s">
        <v>53</v>
      </c>
      <c r="E40" s="73" t="s">
        <v>48</v>
      </c>
      <c r="F40" s="73"/>
      <c r="G40" s="73" t="s">
        <v>49</v>
      </c>
      <c r="H40" s="73" t="s">
        <v>105</v>
      </c>
      <c r="I40" s="74"/>
      <c r="J40" s="19">
        <v>0</v>
      </c>
      <c r="K40" s="80" t="s">
        <v>22</v>
      </c>
      <c r="L40" s="168">
        <v>170</v>
      </c>
      <c r="M40" s="168">
        <v>0</v>
      </c>
      <c r="N40" s="169">
        <f t="shared" si="5"/>
        <v>0</v>
      </c>
      <c r="O40" s="169">
        <f t="shared" si="6"/>
        <v>0</v>
      </c>
      <c r="P40" s="170">
        <f t="shared" si="7"/>
        <v>0</v>
      </c>
      <c r="Q40" s="326"/>
      <c r="R40" s="358" t="s">
        <v>562</v>
      </c>
      <c r="S40" s="358" t="s">
        <v>585</v>
      </c>
    </row>
    <row r="41" spans="1:19" s="3" customFormat="1" ht="23.25" customHeight="1" x14ac:dyDescent="0.5">
      <c r="A41" s="18">
        <f t="shared" si="8"/>
        <v>29</v>
      </c>
      <c r="B41" s="26" t="s">
        <v>45</v>
      </c>
      <c r="C41" s="124" t="s">
        <v>46</v>
      </c>
      <c r="D41" s="72" t="s">
        <v>54</v>
      </c>
      <c r="E41" s="73" t="s">
        <v>48</v>
      </c>
      <c r="F41" s="73"/>
      <c r="G41" s="73" t="s">
        <v>49</v>
      </c>
      <c r="H41" s="73" t="s">
        <v>105</v>
      </c>
      <c r="I41" s="74"/>
      <c r="J41" s="19">
        <v>0</v>
      </c>
      <c r="K41" s="80" t="s">
        <v>22</v>
      </c>
      <c r="L41" s="168">
        <v>530.91</v>
      </c>
      <c r="M41" s="168">
        <v>0</v>
      </c>
      <c r="N41" s="169">
        <f t="shared" si="5"/>
        <v>0</v>
      </c>
      <c r="O41" s="169">
        <f t="shared" si="6"/>
        <v>0</v>
      </c>
      <c r="P41" s="170">
        <f t="shared" si="7"/>
        <v>0</v>
      </c>
      <c r="Q41" s="326"/>
      <c r="R41" s="358" t="s">
        <v>557</v>
      </c>
      <c r="S41" s="358" t="s">
        <v>586</v>
      </c>
    </row>
    <row r="42" spans="1:19" ht="23.25" customHeight="1" x14ac:dyDescent="0.5">
      <c r="A42" s="18">
        <f t="shared" si="8"/>
        <v>30</v>
      </c>
      <c r="B42" s="26" t="s">
        <v>45</v>
      </c>
      <c r="C42" s="124" t="s">
        <v>46</v>
      </c>
      <c r="D42" s="72" t="s">
        <v>40</v>
      </c>
      <c r="E42" s="73" t="s">
        <v>48</v>
      </c>
      <c r="F42" s="73"/>
      <c r="G42" s="73" t="s">
        <v>49</v>
      </c>
      <c r="H42" s="73" t="s">
        <v>106</v>
      </c>
      <c r="I42" s="74"/>
      <c r="J42" s="19">
        <v>0</v>
      </c>
      <c r="K42" s="80" t="s">
        <v>51</v>
      </c>
      <c r="L42" s="168">
        <v>58.46</v>
      </c>
      <c r="M42" s="168">
        <v>0</v>
      </c>
      <c r="N42" s="169">
        <f t="shared" si="5"/>
        <v>0</v>
      </c>
      <c r="O42" s="169">
        <f t="shared" si="6"/>
        <v>0</v>
      </c>
      <c r="P42" s="170">
        <f t="shared" si="7"/>
        <v>0</v>
      </c>
      <c r="Q42" s="326"/>
      <c r="R42" s="358" t="s">
        <v>551</v>
      </c>
      <c r="S42" s="363" t="s">
        <v>593</v>
      </c>
    </row>
    <row r="43" spans="1:19" s="3" customFormat="1" ht="23.25" customHeight="1" x14ac:dyDescent="0.5">
      <c r="A43" s="18">
        <f t="shared" si="8"/>
        <v>31</v>
      </c>
      <c r="B43" s="26" t="s">
        <v>45</v>
      </c>
      <c r="C43" s="124" t="s">
        <v>46</v>
      </c>
      <c r="D43" s="72" t="s">
        <v>52</v>
      </c>
      <c r="E43" s="73" t="s">
        <v>48</v>
      </c>
      <c r="F43" s="73"/>
      <c r="G43" s="73" t="s">
        <v>49</v>
      </c>
      <c r="H43" s="73" t="s">
        <v>106</v>
      </c>
      <c r="I43" s="74"/>
      <c r="J43" s="19">
        <v>0</v>
      </c>
      <c r="K43" s="80" t="s">
        <v>22</v>
      </c>
      <c r="L43" s="168">
        <v>45.21</v>
      </c>
      <c r="M43" s="168">
        <v>0</v>
      </c>
      <c r="N43" s="169">
        <f t="shared" si="5"/>
        <v>0</v>
      </c>
      <c r="O43" s="169">
        <f t="shared" si="6"/>
        <v>0</v>
      </c>
      <c r="P43" s="170">
        <f t="shared" si="7"/>
        <v>0</v>
      </c>
      <c r="Q43" s="326"/>
      <c r="R43" s="358" t="s">
        <v>552</v>
      </c>
      <c r="S43" s="362" t="s">
        <v>594</v>
      </c>
    </row>
    <row r="44" spans="1:19" s="3" customFormat="1" ht="23.25" customHeight="1" x14ac:dyDescent="0.5">
      <c r="A44" s="18">
        <f t="shared" si="8"/>
        <v>32</v>
      </c>
      <c r="B44" s="26" t="s">
        <v>45</v>
      </c>
      <c r="C44" s="124" t="s">
        <v>46</v>
      </c>
      <c r="D44" s="72" t="s">
        <v>387</v>
      </c>
      <c r="E44" s="73" t="s">
        <v>48</v>
      </c>
      <c r="F44" s="73"/>
      <c r="G44" s="73" t="s">
        <v>49</v>
      </c>
      <c r="H44" s="73" t="s">
        <v>106</v>
      </c>
      <c r="I44" s="74"/>
      <c r="J44" s="19">
        <v>0</v>
      </c>
      <c r="K44" s="80" t="s">
        <v>22</v>
      </c>
      <c r="L44" s="168">
        <v>83.64</v>
      </c>
      <c r="M44" s="168">
        <v>0</v>
      </c>
      <c r="N44" s="169">
        <f t="shared" si="5"/>
        <v>0</v>
      </c>
      <c r="O44" s="169">
        <f t="shared" si="6"/>
        <v>0</v>
      </c>
      <c r="P44" s="170">
        <f t="shared" si="7"/>
        <v>0</v>
      </c>
      <c r="Q44" s="326"/>
      <c r="R44" s="358" t="s">
        <v>553</v>
      </c>
      <c r="S44" s="362" t="s">
        <v>595</v>
      </c>
    </row>
    <row r="45" spans="1:19" s="3" customFormat="1" ht="23.25" customHeight="1" x14ac:dyDescent="0.5">
      <c r="A45" s="18">
        <f t="shared" si="8"/>
        <v>33</v>
      </c>
      <c r="B45" s="26" t="s">
        <v>45</v>
      </c>
      <c r="C45" s="124" t="s">
        <v>46</v>
      </c>
      <c r="D45" s="72" t="s">
        <v>74</v>
      </c>
      <c r="E45" s="73" t="s">
        <v>48</v>
      </c>
      <c r="F45" s="73"/>
      <c r="G45" s="73" t="s">
        <v>49</v>
      </c>
      <c r="H45" s="73" t="s">
        <v>106</v>
      </c>
      <c r="I45" s="74"/>
      <c r="J45" s="19">
        <v>0</v>
      </c>
      <c r="K45" s="80" t="s">
        <v>22</v>
      </c>
      <c r="L45" s="168">
        <v>0</v>
      </c>
      <c r="M45" s="168">
        <v>0</v>
      </c>
      <c r="N45" s="169">
        <f t="shared" si="5"/>
        <v>0</v>
      </c>
      <c r="O45" s="169">
        <f t="shared" si="6"/>
        <v>0</v>
      </c>
      <c r="P45" s="170">
        <f t="shared" si="7"/>
        <v>0</v>
      </c>
      <c r="Q45" s="326"/>
      <c r="S45" s="358" t="s">
        <v>584</v>
      </c>
    </row>
    <row r="46" spans="1:19" s="3" customFormat="1" ht="23.25" customHeight="1" x14ac:dyDescent="0.5">
      <c r="A46" s="18">
        <f t="shared" si="8"/>
        <v>34</v>
      </c>
      <c r="B46" s="26" t="s">
        <v>45</v>
      </c>
      <c r="C46" s="124" t="s">
        <v>46</v>
      </c>
      <c r="D46" s="72" t="s">
        <v>53</v>
      </c>
      <c r="E46" s="73" t="s">
        <v>48</v>
      </c>
      <c r="F46" s="73"/>
      <c r="G46" s="73" t="s">
        <v>49</v>
      </c>
      <c r="H46" s="73" t="s">
        <v>106</v>
      </c>
      <c r="I46" s="74"/>
      <c r="J46" s="19">
        <v>0</v>
      </c>
      <c r="K46" s="80" t="s">
        <v>22</v>
      </c>
      <c r="L46" s="168">
        <v>595.86</v>
      </c>
      <c r="M46" s="168">
        <v>0</v>
      </c>
      <c r="N46" s="169">
        <f t="shared" si="5"/>
        <v>0</v>
      </c>
      <c r="O46" s="169">
        <f t="shared" si="6"/>
        <v>0</v>
      </c>
      <c r="P46" s="170">
        <f t="shared" si="7"/>
        <v>0</v>
      </c>
      <c r="Q46" s="326"/>
      <c r="R46" s="358" t="s">
        <v>563</v>
      </c>
      <c r="S46" s="358" t="s">
        <v>585</v>
      </c>
    </row>
    <row r="47" spans="1:19" s="3" customFormat="1" ht="23.25" customHeight="1" x14ac:dyDescent="0.5">
      <c r="A47" s="18">
        <f t="shared" si="8"/>
        <v>35</v>
      </c>
      <c r="B47" s="26" t="s">
        <v>45</v>
      </c>
      <c r="C47" s="124" t="s">
        <v>46</v>
      </c>
      <c r="D47" s="72" t="s">
        <v>54</v>
      </c>
      <c r="E47" s="73" t="s">
        <v>48</v>
      </c>
      <c r="F47" s="73"/>
      <c r="G47" s="73" t="s">
        <v>49</v>
      </c>
      <c r="H47" s="73" t="s">
        <v>106</v>
      </c>
      <c r="I47" s="74"/>
      <c r="J47" s="19">
        <v>0</v>
      </c>
      <c r="K47" s="80" t="s">
        <v>22</v>
      </c>
      <c r="L47" s="168">
        <v>615.1</v>
      </c>
      <c r="M47" s="168">
        <v>0</v>
      </c>
      <c r="N47" s="169">
        <f t="shared" si="5"/>
        <v>0</v>
      </c>
      <c r="O47" s="169">
        <f t="shared" si="6"/>
        <v>0</v>
      </c>
      <c r="P47" s="170">
        <f t="shared" si="7"/>
        <v>0</v>
      </c>
      <c r="Q47" s="326"/>
      <c r="R47" s="358" t="s">
        <v>558</v>
      </c>
      <c r="S47" s="358" t="s">
        <v>586</v>
      </c>
    </row>
    <row r="48" spans="1:19" s="3" customFormat="1" ht="23.25" customHeight="1" x14ac:dyDescent="0.5">
      <c r="A48" s="18">
        <f t="shared" si="8"/>
        <v>36</v>
      </c>
      <c r="B48" s="26" t="s">
        <v>45</v>
      </c>
      <c r="C48" s="124" t="s">
        <v>46</v>
      </c>
      <c r="D48" s="72" t="s">
        <v>40</v>
      </c>
      <c r="E48" s="73" t="s">
        <v>48</v>
      </c>
      <c r="F48" s="73"/>
      <c r="G48" s="73" t="s">
        <v>49</v>
      </c>
      <c r="H48" s="73" t="s">
        <v>55</v>
      </c>
      <c r="I48" s="74"/>
      <c r="J48" s="19">
        <v>0</v>
      </c>
      <c r="K48" s="80" t="s">
        <v>51</v>
      </c>
      <c r="L48" s="168">
        <v>58.98</v>
      </c>
      <c r="M48" s="168">
        <v>0</v>
      </c>
      <c r="N48" s="169">
        <f t="shared" si="5"/>
        <v>0</v>
      </c>
      <c r="O48" s="169">
        <f t="shared" si="6"/>
        <v>0</v>
      </c>
      <c r="P48" s="170">
        <f t="shared" si="7"/>
        <v>0</v>
      </c>
      <c r="Q48" s="326"/>
      <c r="R48" s="358" t="s">
        <v>551</v>
      </c>
      <c r="S48" s="363" t="s">
        <v>593</v>
      </c>
    </row>
    <row r="49" spans="1:19" s="3" customFormat="1" ht="23.25" customHeight="1" x14ac:dyDescent="0.5">
      <c r="A49" s="18">
        <f t="shared" si="8"/>
        <v>37</v>
      </c>
      <c r="B49" s="26" t="s">
        <v>45</v>
      </c>
      <c r="C49" s="124" t="s">
        <v>46</v>
      </c>
      <c r="D49" s="72" t="s">
        <v>52</v>
      </c>
      <c r="E49" s="73" t="s">
        <v>48</v>
      </c>
      <c r="F49" s="73"/>
      <c r="G49" s="73" t="s">
        <v>49</v>
      </c>
      <c r="H49" s="73" t="s">
        <v>55</v>
      </c>
      <c r="I49" s="74"/>
      <c r="J49" s="19">
        <v>0</v>
      </c>
      <c r="K49" s="80" t="s">
        <v>22</v>
      </c>
      <c r="L49" s="168">
        <v>51.51</v>
      </c>
      <c r="M49" s="168">
        <v>0</v>
      </c>
      <c r="N49" s="169">
        <f t="shared" si="5"/>
        <v>0</v>
      </c>
      <c r="O49" s="169">
        <f t="shared" si="6"/>
        <v>0</v>
      </c>
      <c r="P49" s="170">
        <f t="shared" si="7"/>
        <v>0</v>
      </c>
      <c r="Q49" s="326"/>
      <c r="R49" s="358" t="s">
        <v>552</v>
      </c>
      <c r="S49" s="362" t="s">
        <v>594</v>
      </c>
    </row>
    <row r="50" spans="1:19" s="3" customFormat="1" ht="23.25" customHeight="1" x14ac:dyDescent="0.5">
      <c r="A50" s="18">
        <f t="shared" si="8"/>
        <v>38</v>
      </c>
      <c r="B50" s="26" t="s">
        <v>45</v>
      </c>
      <c r="C50" s="124" t="s">
        <v>46</v>
      </c>
      <c r="D50" s="72" t="s">
        <v>387</v>
      </c>
      <c r="E50" s="73" t="s">
        <v>48</v>
      </c>
      <c r="F50" s="73"/>
      <c r="G50" s="73" t="s">
        <v>49</v>
      </c>
      <c r="H50" s="73" t="s">
        <v>55</v>
      </c>
      <c r="I50" s="74"/>
      <c r="J50" s="19">
        <v>0</v>
      </c>
      <c r="K50" s="80" t="s">
        <v>22</v>
      </c>
      <c r="L50" s="168">
        <v>92.65</v>
      </c>
      <c r="M50" s="168">
        <v>0</v>
      </c>
      <c r="N50" s="169">
        <f t="shared" si="5"/>
        <v>0</v>
      </c>
      <c r="O50" s="169">
        <f t="shared" si="6"/>
        <v>0</v>
      </c>
      <c r="P50" s="170">
        <f t="shared" si="7"/>
        <v>0</v>
      </c>
      <c r="Q50" s="326"/>
      <c r="R50" s="358" t="s">
        <v>553</v>
      </c>
      <c r="S50" s="362" t="s">
        <v>595</v>
      </c>
    </row>
    <row r="51" spans="1:19" s="3" customFormat="1" ht="23.25" customHeight="1" x14ac:dyDescent="0.5">
      <c r="A51" s="18">
        <f t="shared" si="8"/>
        <v>39</v>
      </c>
      <c r="B51" s="26" t="s">
        <v>45</v>
      </c>
      <c r="C51" s="124" t="s">
        <v>46</v>
      </c>
      <c r="D51" s="72" t="s">
        <v>74</v>
      </c>
      <c r="E51" s="73" t="s">
        <v>48</v>
      </c>
      <c r="F51" s="73"/>
      <c r="G51" s="73" t="s">
        <v>49</v>
      </c>
      <c r="H51" s="73" t="s">
        <v>55</v>
      </c>
      <c r="I51" s="74"/>
      <c r="J51" s="19">
        <v>0</v>
      </c>
      <c r="K51" s="80" t="s">
        <v>22</v>
      </c>
      <c r="L51" s="168">
        <v>0</v>
      </c>
      <c r="M51" s="168">
        <v>0</v>
      </c>
      <c r="N51" s="169">
        <f t="shared" si="5"/>
        <v>0</v>
      </c>
      <c r="O51" s="169">
        <f t="shared" si="6"/>
        <v>0</v>
      </c>
      <c r="P51" s="170">
        <f t="shared" si="7"/>
        <v>0</v>
      </c>
      <c r="Q51" s="326"/>
      <c r="S51" s="358" t="s">
        <v>584</v>
      </c>
    </row>
    <row r="52" spans="1:19" s="3" customFormat="1" ht="23.25" customHeight="1" x14ac:dyDescent="0.5">
      <c r="A52" s="18">
        <f t="shared" si="8"/>
        <v>40</v>
      </c>
      <c r="B52" s="26" t="s">
        <v>45</v>
      </c>
      <c r="C52" s="124" t="s">
        <v>46</v>
      </c>
      <c r="D52" s="72" t="s">
        <v>53</v>
      </c>
      <c r="E52" s="73" t="s">
        <v>48</v>
      </c>
      <c r="F52" s="73"/>
      <c r="G52" s="73" t="s">
        <v>49</v>
      </c>
      <c r="H52" s="73" t="s">
        <v>55</v>
      </c>
      <c r="I52" s="74"/>
      <c r="J52" s="19">
        <v>0</v>
      </c>
      <c r="K52" s="80" t="s">
        <v>22</v>
      </c>
      <c r="L52" s="168">
        <v>0</v>
      </c>
      <c r="M52" s="168">
        <v>0</v>
      </c>
      <c r="N52" s="169">
        <f t="shared" si="5"/>
        <v>0</v>
      </c>
      <c r="O52" s="169">
        <f t="shared" si="6"/>
        <v>0</v>
      </c>
      <c r="P52" s="170">
        <f t="shared" si="7"/>
        <v>0</v>
      </c>
      <c r="Q52" s="326"/>
      <c r="R52" s="358" t="s">
        <v>565</v>
      </c>
      <c r="S52" s="358" t="s">
        <v>585</v>
      </c>
    </row>
    <row r="53" spans="1:19" s="3" customFormat="1" ht="23.25" customHeight="1" x14ac:dyDescent="0.5">
      <c r="A53" s="18">
        <f t="shared" si="8"/>
        <v>41</v>
      </c>
      <c r="B53" s="26" t="s">
        <v>45</v>
      </c>
      <c r="C53" s="124" t="s">
        <v>46</v>
      </c>
      <c r="D53" s="72" t="s">
        <v>54</v>
      </c>
      <c r="E53" s="73" t="s">
        <v>48</v>
      </c>
      <c r="F53" s="73"/>
      <c r="G53" s="73" t="s">
        <v>49</v>
      </c>
      <c r="H53" s="73" t="s">
        <v>55</v>
      </c>
      <c r="I53" s="74"/>
      <c r="J53" s="19">
        <v>0</v>
      </c>
      <c r="K53" s="80" t="s">
        <v>22</v>
      </c>
      <c r="L53" s="168">
        <v>1161.6500000000001</v>
      </c>
      <c r="M53" s="168">
        <v>0</v>
      </c>
      <c r="N53" s="169">
        <f t="shared" si="5"/>
        <v>0</v>
      </c>
      <c r="O53" s="169">
        <f t="shared" si="6"/>
        <v>0</v>
      </c>
      <c r="P53" s="170">
        <f t="shared" si="7"/>
        <v>0</v>
      </c>
      <c r="Q53" s="326"/>
      <c r="R53" s="358" t="s">
        <v>559</v>
      </c>
      <c r="S53" s="358" t="s">
        <v>586</v>
      </c>
    </row>
    <row r="54" spans="1:19" s="3" customFormat="1" ht="23.25" customHeight="1" x14ac:dyDescent="0.5">
      <c r="A54" s="18">
        <f t="shared" si="8"/>
        <v>42</v>
      </c>
      <c r="B54" s="26" t="s">
        <v>45</v>
      </c>
      <c r="C54" s="124" t="s">
        <v>46</v>
      </c>
      <c r="D54" s="75" t="s">
        <v>56</v>
      </c>
      <c r="E54" s="79"/>
      <c r="F54" s="79"/>
      <c r="G54" s="79"/>
      <c r="H54" s="79"/>
      <c r="I54" s="188"/>
      <c r="J54" s="19">
        <f>I54</f>
        <v>0</v>
      </c>
      <c r="K54" s="167" t="s">
        <v>22</v>
      </c>
      <c r="L54" s="168">
        <v>0</v>
      </c>
      <c r="M54" s="168">
        <v>0</v>
      </c>
      <c r="N54" s="169">
        <f t="shared" si="5"/>
        <v>0</v>
      </c>
      <c r="O54" s="169">
        <f>M54*J54</f>
        <v>0</v>
      </c>
      <c r="P54" s="170">
        <f t="shared" si="7"/>
        <v>0</v>
      </c>
      <c r="Q54" s="335"/>
      <c r="S54" s="360"/>
    </row>
    <row r="55" spans="1:19" s="3" customFormat="1" ht="23.25" customHeight="1" x14ac:dyDescent="0.5">
      <c r="A55" s="18">
        <f t="shared" si="8"/>
        <v>43</v>
      </c>
      <c r="B55" s="26" t="s">
        <v>45</v>
      </c>
      <c r="C55" s="124" t="s">
        <v>46</v>
      </c>
      <c r="D55" s="43" t="s">
        <v>358</v>
      </c>
      <c r="E55" s="5"/>
      <c r="F55" s="5"/>
      <c r="G55" s="5"/>
      <c r="H55" s="5"/>
      <c r="I55" s="20"/>
      <c r="J55" s="19">
        <f>I55</f>
        <v>0</v>
      </c>
      <c r="K55" s="171"/>
      <c r="L55" s="168">
        <v>0</v>
      </c>
      <c r="M55" s="168">
        <v>0</v>
      </c>
      <c r="N55" s="169">
        <f t="shared" si="5"/>
        <v>0</v>
      </c>
      <c r="O55" s="169">
        <f>M55*J55</f>
        <v>0</v>
      </c>
      <c r="P55" s="170">
        <f>(L55*J55)+(M55*J55)</f>
        <v>0</v>
      </c>
      <c r="Q55" s="326"/>
      <c r="S55" s="360"/>
    </row>
    <row r="56" spans="1:19" s="3" customFormat="1" ht="23.25" customHeight="1" thickBot="1" x14ac:dyDescent="0.55000000000000004">
      <c r="A56" s="29">
        <f>A55+1</f>
        <v>44</v>
      </c>
      <c r="B56" s="36" t="s">
        <v>45</v>
      </c>
      <c r="C56" s="122" t="s">
        <v>46</v>
      </c>
      <c r="D56" s="44" t="s">
        <v>358</v>
      </c>
      <c r="E56" s="6"/>
      <c r="F56" s="6"/>
      <c r="G56" s="6"/>
      <c r="H56" s="6"/>
      <c r="I56" s="21"/>
      <c r="J56" s="22">
        <f>I56</f>
        <v>0</v>
      </c>
      <c r="K56" s="172"/>
      <c r="L56" s="173">
        <v>0</v>
      </c>
      <c r="M56" s="173">
        <v>0</v>
      </c>
      <c r="N56" s="169">
        <f t="shared" si="5"/>
        <v>0</v>
      </c>
      <c r="O56" s="174">
        <f>M56*J56</f>
        <v>0</v>
      </c>
      <c r="P56" s="175">
        <f>(L56*J56)+(M56*J56)</f>
        <v>0</v>
      </c>
      <c r="Q56" s="327"/>
      <c r="S56" s="360"/>
    </row>
    <row r="57" spans="1:19" ht="23.25" customHeight="1" thickBot="1" x14ac:dyDescent="0.55000000000000004">
      <c r="A57" s="30"/>
      <c r="B57" s="17" t="s">
        <v>45</v>
      </c>
      <c r="C57" s="125" t="s">
        <v>58</v>
      </c>
      <c r="D57" s="176" t="s">
        <v>59</v>
      </c>
      <c r="E57" s="177"/>
      <c r="F57" s="177"/>
      <c r="G57" s="177"/>
      <c r="H57" s="178"/>
      <c r="I57" s="179"/>
      <c r="J57" s="180"/>
      <c r="K57" s="181"/>
      <c r="L57" s="182"/>
      <c r="M57" s="182"/>
      <c r="N57" s="183"/>
      <c r="O57" s="183"/>
      <c r="P57" s="184"/>
      <c r="Q57" s="333"/>
    </row>
    <row r="58" spans="1:19" ht="23.25" customHeight="1" x14ac:dyDescent="0.5">
      <c r="A58" s="28">
        <f>A56+1</f>
        <v>45</v>
      </c>
      <c r="B58" s="35" t="s">
        <v>45</v>
      </c>
      <c r="C58" s="121" t="s">
        <v>58</v>
      </c>
      <c r="D58" s="77" t="s">
        <v>40</v>
      </c>
      <c r="E58" s="78" t="s">
        <v>60</v>
      </c>
      <c r="F58" s="78"/>
      <c r="G58" s="78" t="s">
        <v>61</v>
      </c>
      <c r="H58" s="78" t="s">
        <v>388</v>
      </c>
      <c r="I58" s="189"/>
      <c r="J58" s="32">
        <v>1</v>
      </c>
      <c r="K58" s="190" t="s">
        <v>34</v>
      </c>
      <c r="L58" s="185">
        <v>8.5500000000000007</v>
      </c>
      <c r="M58" s="185">
        <v>0</v>
      </c>
      <c r="N58" s="186">
        <f t="shared" ref="N58:N90" si="9">L58*J58</f>
        <v>8.5500000000000007</v>
      </c>
      <c r="O58" s="186">
        <f t="shared" ref="O58:O90" si="10">M58*J58</f>
        <v>0</v>
      </c>
      <c r="P58" s="187">
        <f t="shared" ref="P58:P90" si="11">(L58*J58)+(M58*J58)</f>
        <v>8.5500000000000007</v>
      </c>
      <c r="Q58" s="336"/>
      <c r="R58" s="358" t="s">
        <v>551</v>
      </c>
      <c r="S58" s="362" t="s">
        <v>596</v>
      </c>
    </row>
    <row r="59" spans="1:19" ht="23.25" customHeight="1" x14ac:dyDescent="0.5">
      <c r="A59" s="18">
        <f>A58+1</f>
        <v>46</v>
      </c>
      <c r="B59" s="26" t="s">
        <v>45</v>
      </c>
      <c r="C59" s="124" t="s">
        <v>58</v>
      </c>
      <c r="D59" s="72" t="s">
        <v>52</v>
      </c>
      <c r="E59" s="73" t="s">
        <v>60</v>
      </c>
      <c r="F59" s="73"/>
      <c r="G59" s="73" t="s">
        <v>61</v>
      </c>
      <c r="H59" s="73" t="s">
        <v>388</v>
      </c>
      <c r="I59" s="191"/>
      <c r="J59" s="19">
        <v>1</v>
      </c>
      <c r="K59" s="167" t="s">
        <v>37</v>
      </c>
      <c r="L59" s="168">
        <v>11.46</v>
      </c>
      <c r="M59" s="168">
        <v>0</v>
      </c>
      <c r="N59" s="169">
        <f t="shared" si="9"/>
        <v>11.46</v>
      </c>
      <c r="O59" s="169">
        <f t="shared" si="10"/>
        <v>0</v>
      </c>
      <c r="P59" s="170">
        <f t="shared" si="11"/>
        <v>11.46</v>
      </c>
      <c r="Q59" s="335"/>
      <c r="R59" s="358" t="s">
        <v>552</v>
      </c>
      <c r="S59" s="362" t="s">
        <v>597</v>
      </c>
    </row>
    <row r="60" spans="1:19" ht="23.25" customHeight="1" x14ac:dyDescent="0.5">
      <c r="A60" s="18">
        <f t="shared" ref="A60:A91" si="12">A59+1</f>
        <v>47</v>
      </c>
      <c r="B60" s="26" t="s">
        <v>45</v>
      </c>
      <c r="C60" s="124" t="s">
        <v>58</v>
      </c>
      <c r="D60" s="72" t="s">
        <v>386</v>
      </c>
      <c r="E60" s="73" t="s">
        <v>60</v>
      </c>
      <c r="F60" s="73"/>
      <c r="G60" s="73" t="s">
        <v>61</v>
      </c>
      <c r="H60" s="73" t="s">
        <v>388</v>
      </c>
      <c r="I60" s="191"/>
      <c r="J60" s="19">
        <v>1</v>
      </c>
      <c r="K60" s="167" t="s">
        <v>37</v>
      </c>
      <c r="L60" s="168">
        <v>31.23</v>
      </c>
      <c r="M60" s="168">
        <v>0</v>
      </c>
      <c r="N60" s="169">
        <f t="shared" si="9"/>
        <v>31.23</v>
      </c>
      <c r="O60" s="169">
        <f t="shared" si="10"/>
        <v>0</v>
      </c>
      <c r="P60" s="170">
        <f t="shared" si="11"/>
        <v>31.23</v>
      </c>
      <c r="Q60" s="335"/>
      <c r="R60" s="358" t="s">
        <v>553</v>
      </c>
      <c r="S60" s="362" t="s">
        <v>598</v>
      </c>
    </row>
    <row r="61" spans="1:19" ht="23.25" customHeight="1" x14ac:dyDescent="0.5">
      <c r="A61" s="18">
        <f t="shared" si="12"/>
        <v>48</v>
      </c>
      <c r="B61" s="26" t="s">
        <v>45</v>
      </c>
      <c r="C61" s="124" t="s">
        <v>58</v>
      </c>
      <c r="D61" s="72" t="s">
        <v>74</v>
      </c>
      <c r="E61" s="73" t="s">
        <v>60</v>
      </c>
      <c r="F61" s="73"/>
      <c r="G61" s="73" t="s">
        <v>61</v>
      </c>
      <c r="H61" s="73" t="s">
        <v>388</v>
      </c>
      <c r="I61" s="191"/>
      <c r="J61" s="19">
        <f t="shared" ref="J61:J90" si="13">I61</f>
        <v>0</v>
      </c>
      <c r="K61" s="167" t="s">
        <v>37</v>
      </c>
      <c r="L61" s="168">
        <v>0</v>
      </c>
      <c r="M61" s="168">
        <v>0</v>
      </c>
      <c r="N61" s="169">
        <f t="shared" si="9"/>
        <v>0</v>
      </c>
      <c r="O61" s="169">
        <f t="shared" si="10"/>
        <v>0</v>
      </c>
      <c r="P61" s="170">
        <f t="shared" si="11"/>
        <v>0</v>
      </c>
      <c r="Q61" s="335"/>
      <c r="S61" s="358" t="s">
        <v>584</v>
      </c>
    </row>
    <row r="62" spans="1:19" ht="23.25" customHeight="1" x14ac:dyDescent="0.5">
      <c r="A62" s="18">
        <f t="shared" si="12"/>
        <v>49</v>
      </c>
      <c r="B62" s="26" t="s">
        <v>45</v>
      </c>
      <c r="C62" s="124" t="s">
        <v>58</v>
      </c>
      <c r="D62" s="72" t="s">
        <v>53</v>
      </c>
      <c r="E62" s="73" t="s">
        <v>60</v>
      </c>
      <c r="F62" s="73"/>
      <c r="G62" s="73" t="s">
        <v>61</v>
      </c>
      <c r="H62" s="73" t="s">
        <v>388</v>
      </c>
      <c r="I62" s="191"/>
      <c r="J62" s="19">
        <v>0</v>
      </c>
      <c r="K62" s="167" t="s">
        <v>37</v>
      </c>
      <c r="L62" s="168">
        <v>60</v>
      </c>
      <c r="M62" s="168">
        <v>0</v>
      </c>
      <c r="N62" s="169">
        <f t="shared" si="9"/>
        <v>0</v>
      </c>
      <c r="O62" s="169">
        <f t="shared" si="10"/>
        <v>0</v>
      </c>
      <c r="P62" s="170">
        <f t="shared" si="11"/>
        <v>0</v>
      </c>
      <c r="Q62" s="335"/>
      <c r="R62" s="358" t="s">
        <v>569</v>
      </c>
      <c r="S62" s="358" t="s">
        <v>585</v>
      </c>
    </row>
    <row r="63" spans="1:19" ht="23.25" customHeight="1" x14ac:dyDescent="0.5">
      <c r="A63" s="18">
        <f t="shared" si="12"/>
        <v>50</v>
      </c>
      <c r="B63" s="26" t="s">
        <v>45</v>
      </c>
      <c r="C63" s="124" t="s">
        <v>58</v>
      </c>
      <c r="D63" s="72" t="s">
        <v>54</v>
      </c>
      <c r="E63" s="73" t="s">
        <v>60</v>
      </c>
      <c r="F63" s="73"/>
      <c r="G63" s="73" t="s">
        <v>61</v>
      </c>
      <c r="H63" s="73" t="s">
        <v>388</v>
      </c>
      <c r="I63" s="74"/>
      <c r="J63" s="19">
        <v>0</v>
      </c>
      <c r="K63" s="80" t="s">
        <v>22</v>
      </c>
      <c r="L63" s="168">
        <v>0</v>
      </c>
      <c r="M63" s="168">
        <v>0</v>
      </c>
      <c r="N63" s="169">
        <f t="shared" si="9"/>
        <v>0</v>
      </c>
      <c r="O63" s="169">
        <f t="shared" si="10"/>
        <v>0</v>
      </c>
      <c r="P63" s="170">
        <f t="shared" si="11"/>
        <v>0</v>
      </c>
      <c r="Q63" s="326"/>
      <c r="R63" s="358"/>
      <c r="S63" s="358" t="s">
        <v>586</v>
      </c>
    </row>
    <row r="64" spans="1:19" ht="23.25" customHeight="1" x14ac:dyDescent="0.5">
      <c r="A64" s="18">
        <f t="shared" si="12"/>
        <v>51</v>
      </c>
      <c r="B64" s="26" t="s">
        <v>45</v>
      </c>
      <c r="C64" s="124" t="s">
        <v>58</v>
      </c>
      <c r="D64" s="72" t="s">
        <v>40</v>
      </c>
      <c r="E64" s="73" t="s">
        <v>60</v>
      </c>
      <c r="F64" s="73"/>
      <c r="G64" s="73" t="s">
        <v>61</v>
      </c>
      <c r="H64" s="73" t="s">
        <v>389</v>
      </c>
      <c r="I64" s="191"/>
      <c r="J64" s="19">
        <f t="shared" si="13"/>
        <v>0</v>
      </c>
      <c r="K64" s="167" t="s">
        <v>34</v>
      </c>
      <c r="L64" s="168">
        <v>11.53</v>
      </c>
      <c r="M64" s="168">
        <v>0</v>
      </c>
      <c r="N64" s="169">
        <f t="shared" si="9"/>
        <v>0</v>
      </c>
      <c r="O64" s="169">
        <f t="shared" si="10"/>
        <v>0</v>
      </c>
      <c r="P64" s="170">
        <f t="shared" si="11"/>
        <v>0</v>
      </c>
      <c r="Q64" s="335"/>
      <c r="R64" s="358" t="s">
        <v>551</v>
      </c>
      <c r="S64" s="362" t="s">
        <v>596</v>
      </c>
    </row>
    <row r="65" spans="1:19" ht="23.25" customHeight="1" x14ac:dyDescent="0.5">
      <c r="A65" s="18">
        <f t="shared" si="12"/>
        <v>52</v>
      </c>
      <c r="B65" s="26" t="s">
        <v>45</v>
      </c>
      <c r="C65" s="124" t="s">
        <v>58</v>
      </c>
      <c r="D65" s="72" t="s">
        <v>52</v>
      </c>
      <c r="E65" s="73" t="s">
        <v>60</v>
      </c>
      <c r="F65" s="73"/>
      <c r="G65" s="73" t="s">
        <v>61</v>
      </c>
      <c r="H65" s="73" t="s">
        <v>389</v>
      </c>
      <c r="I65" s="191"/>
      <c r="J65" s="19">
        <f t="shared" si="13"/>
        <v>0</v>
      </c>
      <c r="K65" s="167" t="s">
        <v>37</v>
      </c>
      <c r="L65" s="168">
        <v>11.86</v>
      </c>
      <c r="M65" s="168">
        <v>0</v>
      </c>
      <c r="N65" s="169">
        <f t="shared" si="9"/>
        <v>0</v>
      </c>
      <c r="O65" s="169">
        <f t="shared" si="10"/>
        <v>0</v>
      </c>
      <c r="P65" s="170">
        <f t="shared" si="11"/>
        <v>0</v>
      </c>
      <c r="Q65" s="335"/>
      <c r="R65" s="358" t="s">
        <v>552</v>
      </c>
      <c r="S65" s="362" t="s">
        <v>597</v>
      </c>
    </row>
    <row r="66" spans="1:19" ht="23.25" customHeight="1" x14ac:dyDescent="0.5">
      <c r="A66" s="18">
        <f t="shared" si="12"/>
        <v>53</v>
      </c>
      <c r="B66" s="26" t="s">
        <v>45</v>
      </c>
      <c r="C66" s="124" t="s">
        <v>58</v>
      </c>
      <c r="D66" s="72" t="s">
        <v>386</v>
      </c>
      <c r="E66" s="73" t="s">
        <v>60</v>
      </c>
      <c r="F66" s="73"/>
      <c r="G66" s="73" t="s">
        <v>61</v>
      </c>
      <c r="H66" s="73" t="s">
        <v>389</v>
      </c>
      <c r="I66" s="191"/>
      <c r="J66" s="19">
        <f t="shared" si="13"/>
        <v>0</v>
      </c>
      <c r="K66" s="167" t="s">
        <v>37</v>
      </c>
      <c r="L66" s="168">
        <v>36.369999999999997</v>
      </c>
      <c r="M66" s="168">
        <v>0</v>
      </c>
      <c r="N66" s="169">
        <f t="shared" si="9"/>
        <v>0</v>
      </c>
      <c r="O66" s="169">
        <f t="shared" si="10"/>
        <v>0</v>
      </c>
      <c r="P66" s="170">
        <f t="shared" si="11"/>
        <v>0</v>
      </c>
      <c r="Q66" s="335"/>
      <c r="R66" s="358" t="s">
        <v>553</v>
      </c>
      <c r="S66" s="362" t="s">
        <v>598</v>
      </c>
    </row>
    <row r="67" spans="1:19" ht="23.25" customHeight="1" x14ac:dyDescent="0.5">
      <c r="A67" s="18">
        <f t="shared" si="12"/>
        <v>54</v>
      </c>
      <c r="B67" s="26" t="s">
        <v>45</v>
      </c>
      <c r="C67" s="124" t="s">
        <v>58</v>
      </c>
      <c r="D67" s="72" t="s">
        <v>74</v>
      </c>
      <c r="E67" s="73" t="s">
        <v>60</v>
      </c>
      <c r="F67" s="73"/>
      <c r="G67" s="73" t="s">
        <v>61</v>
      </c>
      <c r="H67" s="73" t="s">
        <v>389</v>
      </c>
      <c r="I67" s="191"/>
      <c r="J67" s="19">
        <f t="shared" si="13"/>
        <v>0</v>
      </c>
      <c r="K67" s="167" t="s">
        <v>37</v>
      </c>
      <c r="L67" s="168">
        <v>0</v>
      </c>
      <c r="M67" s="168">
        <v>0</v>
      </c>
      <c r="N67" s="169">
        <f t="shared" si="9"/>
        <v>0</v>
      </c>
      <c r="O67" s="169">
        <f t="shared" si="10"/>
        <v>0</v>
      </c>
      <c r="P67" s="170">
        <f t="shared" si="11"/>
        <v>0</v>
      </c>
      <c r="Q67" s="335"/>
      <c r="R67" s="358"/>
      <c r="S67" s="358" t="s">
        <v>584</v>
      </c>
    </row>
    <row r="68" spans="1:19" ht="23.25" customHeight="1" x14ac:dyDescent="0.5">
      <c r="A68" s="18">
        <f t="shared" si="12"/>
        <v>55</v>
      </c>
      <c r="B68" s="26" t="s">
        <v>45</v>
      </c>
      <c r="C68" s="124" t="s">
        <v>58</v>
      </c>
      <c r="D68" s="72" t="s">
        <v>53</v>
      </c>
      <c r="E68" s="73" t="s">
        <v>60</v>
      </c>
      <c r="F68" s="73"/>
      <c r="G68" s="73" t="s">
        <v>61</v>
      </c>
      <c r="H68" s="73" t="s">
        <v>389</v>
      </c>
      <c r="I68" s="191"/>
      <c r="J68" s="19">
        <f t="shared" si="13"/>
        <v>0</v>
      </c>
      <c r="K68" s="167" t="s">
        <v>37</v>
      </c>
      <c r="L68" s="168">
        <v>77</v>
      </c>
      <c r="M68" s="168">
        <v>0</v>
      </c>
      <c r="N68" s="169">
        <f t="shared" si="9"/>
        <v>0</v>
      </c>
      <c r="O68" s="169">
        <f t="shared" si="10"/>
        <v>0</v>
      </c>
      <c r="P68" s="170">
        <f t="shared" si="11"/>
        <v>0</v>
      </c>
      <c r="Q68" s="335"/>
      <c r="R68" s="358" t="s">
        <v>570</v>
      </c>
      <c r="S68" s="358" t="s">
        <v>585</v>
      </c>
    </row>
    <row r="69" spans="1:19" ht="23.25" customHeight="1" x14ac:dyDescent="0.5">
      <c r="A69" s="18">
        <f t="shared" si="12"/>
        <v>56</v>
      </c>
      <c r="B69" s="26" t="s">
        <v>45</v>
      </c>
      <c r="C69" s="124" t="s">
        <v>58</v>
      </c>
      <c r="D69" s="72" t="s">
        <v>54</v>
      </c>
      <c r="E69" s="73" t="s">
        <v>60</v>
      </c>
      <c r="F69" s="73"/>
      <c r="G69" s="73" t="s">
        <v>61</v>
      </c>
      <c r="H69" s="73" t="s">
        <v>389</v>
      </c>
      <c r="I69" s="191"/>
      <c r="J69" s="19">
        <f t="shared" si="13"/>
        <v>0</v>
      </c>
      <c r="K69" s="167" t="s">
        <v>37</v>
      </c>
      <c r="L69" s="168">
        <v>0</v>
      </c>
      <c r="M69" s="168">
        <v>0</v>
      </c>
      <c r="N69" s="169">
        <f t="shared" ref="N69" si="14">L69*J69</f>
        <v>0</v>
      </c>
      <c r="O69" s="169">
        <f t="shared" ref="O69" si="15">M69*J69</f>
        <v>0</v>
      </c>
      <c r="P69" s="170">
        <f t="shared" ref="P69" si="16">(L69*J69)+(M69*J69)</f>
        <v>0</v>
      </c>
      <c r="Q69" s="335"/>
      <c r="R69" s="358"/>
      <c r="S69" s="358" t="s">
        <v>586</v>
      </c>
    </row>
    <row r="70" spans="1:19" ht="23.25" customHeight="1" x14ac:dyDescent="0.5">
      <c r="A70" s="18">
        <f t="shared" si="12"/>
        <v>57</v>
      </c>
      <c r="B70" s="26" t="s">
        <v>45</v>
      </c>
      <c r="C70" s="124" t="s">
        <v>58</v>
      </c>
      <c r="D70" s="72" t="s">
        <v>40</v>
      </c>
      <c r="E70" s="73" t="s">
        <v>60</v>
      </c>
      <c r="F70" s="73"/>
      <c r="G70" s="73" t="s">
        <v>66</v>
      </c>
      <c r="H70" s="73" t="s">
        <v>105</v>
      </c>
      <c r="I70" s="191"/>
      <c r="J70" s="19">
        <f t="shared" si="13"/>
        <v>0</v>
      </c>
      <c r="K70" s="167" t="s">
        <v>34</v>
      </c>
      <c r="L70" s="168">
        <v>15.62</v>
      </c>
      <c r="M70" s="168">
        <v>0</v>
      </c>
      <c r="N70" s="169">
        <f t="shared" si="9"/>
        <v>0</v>
      </c>
      <c r="O70" s="169">
        <f t="shared" si="10"/>
        <v>0</v>
      </c>
      <c r="P70" s="170">
        <f t="shared" si="11"/>
        <v>0</v>
      </c>
      <c r="Q70" s="335"/>
      <c r="R70" s="358" t="s">
        <v>551</v>
      </c>
      <c r="S70" s="362" t="s">
        <v>596</v>
      </c>
    </row>
    <row r="71" spans="1:19" ht="23.25" customHeight="1" x14ac:dyDescent="0.5">
      <c r="A71" s="18">
        <f t="shared" si="12"/>
        <v>58</v>
      </c>
      <c r="B71" s="26" t="s">
        <v>45</v>
      </c>
      <c r="C71" s="124" t="s">
        <v>58</v>
      </c>
      <c r="D71" s="72" t="s">
        <v>52</v>
      </c>
      <c r="E71" s="73" t="s">
        <v>60</v>
      </c>
      <c r="F71" s="73"/>
      <c r="G71" s="73" t="s">
        <v>61</v>
      </c>
      <c r="H71" s="73" t="s">
        <v>105</v>
      </c>
      <c r="I71" s="191"/>
      <c r="J71" s="19">
        <f t="shared" si="13"/>
        <v>0</v>
      </c>
      <c r="K71" s="167" t="s">
        <v>37</v>
      </c>
      <c r="L71" s="168">
        <v>19.239999999999998</v>
      </c>
      <c r="M71" s="168">
        <v>0</v>
      </c>
      <c r="N71" s="169">
        <f t="shared" si="9"/>
        <v>0</v>
      </c>
      <c r="O71" s="169">
        <f t="shared" si="10"/>
        <v>0</v>
      </c>
      <c r="P71" s="170">
        <f t="shared" si="11"/>
        <v>0</v>
      </c>
      <c r="Q71" s="335"/>
      <c r="R71" s="358" t="s">
        <v>552</v>
      </c>
      <c r="S71" s="362" t="s">
        <v>597</v>
      </c>
    </row>
    <row r="72" spans="1:19" ht="23.25" customHeight="1" x14ac:dyDescent="0.5">
      <c r="A72" s="18">
        <f t="shared" si="12"/>
        <v>59</v>
      </c>
      <c r="B72" s="26" t="s">
        <v>45</v>
      </c>
      <c r="C72" s="124" t="s">
        <v>58</v>
      </c>
      <c r="D72" s="72" t="s">
        <v>386</v>
      </c>
      <c r="E72" s="73" t="s">
        <v>60</v>
      </c>
      <c r="F72" s="73"/>
      <c r="G72" s="73" t="s">
        <v>61</v>
      </c>
      <c r="H72" s="73" t="s">
        <v>105</v>
      </c>
      <c r="I72" s="191"/>
      <c r="J72" s="19">
        <f t="shared" si="13"/>
        <v>0</v>
      </c>
      <c r="K72" s="167" t="s">
        <v>37</v>
      </c>
      <c r="L72" s="168">
        <v>40.04</v>
      </c>
      <c r="M72" s="168">
        <v>0</v>
      </c>
      <c r="N72" s="169">
        <f t="shared" si="9"/>
        <v>0</v>
      </c>
      <c r="O72" s="169">
        <f t="shared" si="10"/>
        <v>0</v>
      </c>
      <c r="P72" s="170">
        <f t="shared" si="11"/>
        <v>0</v>
      </c>
      <c r="Q72" s="335"/>
      <c r="R72" s="358" t="s">
        <v>553</v>
      </c>
      <c r="S72" s="362" t="s">
        <v>598</v>
      </c>
    </row>
    <row r="73" spans="1:19" ht="23.25" customHeight="1" x14ac:dyDescent="0.5">
      <c r="A73" s="18">
        <f t="shared" si="12"/>
        <v>60</v>
      </c>
      <c r="B73" s="26" t="s">
        <v>45</v>
      </c>
      <c r="C73" s="124" t="s">
        <v>58</v>
      </c>
      <c r="D73" s="72" t="s">
        <v>74</v>
      </c>
      <c r="E73" s="73" t="s">
        <v>60</v>
      </c>
      <c r="F73" s="73"/>
      <c r="G73" s="73" t="s">
        <v>61</v>
      </c>
      <c r="H73" s="73" t="s">
        <v>105</v>
      </c>
      <c r="I73" s="191"/>
      <c r="J73" s="19">
        <f t="shared" si="13"/>
        <v>0</v>
      </c>
      <c r="K73" s="167" t="s">
        <v>37</v>
      </c>
      <c r="L73" s="168">
        <v>0</v>
      </c>
      <c r="M73" s="168">
        <v>0</v>
      </c>
      <c r="N73" s="169">
        <f t="shared" si="9"/>
        <v>0</v>
      </c>
      <c r="O73" s="169">
        <f t="shared" si="10"/>
        <v>0</v>
      </c>
      <c r="P73" s="170">
        <f t="shared" si="11"/>
        <v>0</v>
      </c>
      <c r="Q73" s="335"/>
      <c r="R73" s="358"/>
      <c r="S73" s="358" t="s">
        <v>584</v>
      </c>
    </row>
    <row r="74" spans="1:19" ht="23.25" customHeight="1" x14ac:dyDescent="0.5">
      <c r="A74" s="18">
        <f t="shared" si="12"/>
        <v>61</v>
      </c>
      <c r="B74" s="26" t="s">
        <v>45</v>
      </c>
      <c r="C74" s="124" t="s">
        <v>58</v>
      </c>
      <c r="D74" s="72" t="s">
        <v>53</v>
      </c>
      <c r="E74" s="73" t="s">
        <v>60</v>
      </c>
      <c r="F74" s="73"/>
      <c r="G74" s="73" t="s">
        <v>61</v>
      </c>
      <c r="H74" s="73" t="s">
        <v>105</v>
      </c>
      <c r="I74" s="191"/>
      <c r="J74" s="19">
        <f t="shared" si="13"/>
        <v>0</v>
      </c>
      <c r="K74" s="167" t="s">
        <v>37</v>
      </c>
      <c r="L74" s="168">
        <v>157</v>
      </c>
      <c r="M74" s="168">
        <v>0</v>
      </c>
      <c r="N74" s="169">
        <f t="shared" si="9"/>
        <v>0</v>
      </c>
      <c r="O74" s="169">
        <f t="shared" si="10"/>
        <v>0</v>
      </c>
      <c r="P74" s="170">
        <f t="shared" si="11"/>
        <v>0</v>
      </c>
      <c r="Q74" s="335"/>
      <c r="R74" s="358" t="s">
        <v>571</v>
      </c>
      <c r="S74" s="358" t="s">
        <v>585</v>
      </c>
    </row>
    <row r="75" spans="1:19" ht="23.25" customHeight="1" x14ac:dyDescent="0.5">
      <c r="A75" s="18">
        <f t="shared" si="12"/>
        <v>62</v>
      </c>
      <c r="B75" s="26" t="s">
        <v>45</v>
      </c>
      <c r="C75" s="124" t="s">
        <v>58</v>
      </c>
      <c r="D75" s="72" t="s">
        <v>54</v>
      </c>
      <c r="E75" s="73" t="s">
        <v>60</v>
      </c>
      <c r="F75" s="73"/>
      <c r="G75" s="73" t="s">
        <v>61</v>
      </c>
      <c r="H75" s="73" t="s">
        <v>105</v>
      </c>
      <c r="I75" s="191"/>
      <c r="J75" s="19">
        <f t="shared" si="13"/>
        <v>0</v>
      </c>
      <c r="K75" s="167" t="s">
        <v>37</v>
      </c>
      <c r="L75" s="168">
        <v>0</v>
      </c>
      <c r="M75" s="168">
        <v>0</v>
      </c>
      <c r="N75" s="169">
        <f t="shared" si="9"/>
        <v>0</v>
      </c>
      <c r="O75" s="169">
        <f t="shared" si="10"/>
        <v>0</v>
      </c>
      <c r="P75" s="170">
        <f t="shared" si="11"/>
        <v>0</v>
      </c>
      <c r="Q75" s="335"/>
      <c r="R75" s="358"/>
      <c r="S75" s="358" t="s">
        <v>586</v>
      </c>
    </row>
    <row r="76" spans="1:19" ht="23.25" customHeight="1" x14ac:dyDescent="0.5">
      <c r="A76" s="18">
        <f t="shared" si="12"/>
        <v>63</v>
      </c>
      <c r="B76" s="26" t="s">
        <v>45</v>
      </c>
      <c r="C76" s="124" t="s">
        <v>58</v>
      </c>
      <c r="D76" s="72" t="s">
        <v>40</v>
      </c>
      <c r="E76" s="73" t="s">
        <v>60</v>
      </c>
      <c r="F76" s="73"/>
      <c r="G76" s="73" t="s">
        <v>61</v>
      </c>
      <c r="H76" s="73" t="s">
        <v>106</v>
      </c>
      <c r="I76" s="191"/>
      <c r="J76" s="19">
        <f t="shared" si="13"/>
        <v>0</v>
      </c>
      <c r="K76" s="167" t="s">
        <v>34</v>
      </c>
      <c r="L76" s="168">
        <v>23.08</v>
      </c>
      <c r="M76" s="168">
        <v>0</v>
      </c>
      <c r="N76" s="169">
        <f t="shared" si="9"/>
        <v>0</v>
      </c>
      <c r="O76" s="169">
        <f t="shared" si="10"/>
        <v>0</v>
      </c>
      <c r="P76" s="170">
        <f t="shared" si="11"/>
        <v>0</v>
      </c>
      <c r="Q76" s="335"/>
      <c r="R76" s="358" t="s">
        <v>551</v>
      </c>
      <c r="S76" s="362" t="s">
        <v>596</v>
      </c>
    </row>
    <row r="77" spans="1:19" ht="23.25" customHeight="1" x14ac:dyDescent="0.5">
      <c r="A77" s="18">
        <f t="shared" si="12"/>
        <v>64</v>
      </c>
      <c r="B77" s="26" t="s">
        <v>45</v>
      </c>
      <c r="C77" s="124" t="s">
        <v>58</v>
      </c>
      <c r="D77" s="72" t="s">
        <v>52</v>
      </c>
      <c r="E77" s="73" t="s">
        <v>60</v>
      </c>
      <c r="F77" s="73"/>
      <c r="G77" s="73" t="s">
        <v>61</v>
      </c>
      <c r="H77" s="73" t="s">
        <v>106</v>
      </c>
      <c r="I77" s="191"/>
      <c r="J77" s="19">
        <f t="shared" si="13"/>
        <v>0</v>
      </c>
      <c r="K77" s="167" t="s">
        <v>37</v>
      </c>
      <c r="L77" s="168">
        <v>24.08</v>
      </c>
      <c r="M77" s="168">
        <v>0</v>
      </c>
      <c r="N77" s="169">
        <f t="shared" si="9"/>
        <v>0</v>
      </c>
      <c r="O77" s="169">
        <f t="shared" si="10"/>
        <v>0</v>
      </c>
      <c r="P77" s="170">
        <f t="shared" si="11"/>
        <v>0</v>
      </c>
      <c r="Q77" s="335"/>
      <c r="R77" s="358" t="s">
        <v>552</v>
      </c>
      <c r="S77" s="362" t="s">
        <v>597</v>
      </c>
    </row>
    <row r="78" spans="1:19" ht="23.25" customHeight="1" x14ac:dyDescent="0.5">
      <c r="A78" s="18">
        <f t="shared" si="12"/>
        <v>65</v>
      </c>
      <c r="B78" s="26" t="s">
        <v>45</v>
      </c>
      <c r="C78" s="124" t="s">
        <v>58</v>
      </c>
      <c r="D78" s="72" t="s">
        <v>386</v>
      </c>
      <c r="E78" s="73" t="s">
        <v>60</v>
      </c>
      <c r="F78" s="73"/>
      <c r="G78" s="73" t="s">
        <v>61</v>
      </c>
      <c r="H78" s="73" t="s">
        <v>106</v>
      </c>
      <c r="I78" s="191"/>
      <c r="J78" s="19">
        <f t="shared" si="13"/>
        <v>0</v>
      </c>
      <c r="K78" s="167" t="s">
        <v>37</v>
      </c>
      <c r="L78" s="168">
        <v>50.95</v>
      </c>
      <c r="M78" s="168">
        <v>0</v>
      </c>
      <c r="N78" s="169">
        <f t="shared" si="9"/>
        <v>0</v>
      </c>
      <c r="O78" s="169">
        <f t="shared" si="10"/>
        <v>0</v>
      </c>
      <c r="P78" s="170">
        <f t="shared" si="11"/>
        <v>0</v>
      </c>
      <c r="Q78" s="335"/>
      <c r="R78" s="358" t="s">
        <v>553</v>
      </c>
      <c r="S78" s="362" t="s">
        <v>598</v>
      </c>
    </row>
    <row r="79" spans="1:19" ht="23.25" customHeight="1" x14ac:dyDescent="0.5">
      <c r="A79" s="18">
        <f t="shared" si="12"/>
        <v>66</v>
      </c>
      <c r="B79" s="26" t="s">
        <v>45</v>
      </c>
      <c r="C79" s="124" t="s">
        <v>58</v>
      </c>
      <c r="D79" s="72" t="s">
        <v>74</v>
      </c>
      <c r="E79" s="73" t="s">
        <v>60</v>
      </c>
      <c r="F79" s="73"/>
      <c r="G79" s="73" t="s">
        <v>61</v>
      </c>
      <c r="H79" s="73" t="s">
        <v>106</v>
      </c>
      <c r="I79" s="191"/>
      <c r="J79" s="19">
        <f t="shared" si="13"/>
        <v>0</v>
      </c>
      <c r="K79" s="167" t="s">
        <v>37</v>
      </c>
      <c r="L79" s="168">
        <v>0</v>
      </c>
      <c r="M79" s="168">
        <v>0</v>
      </c>
      <c r="N79" s="169">
        <f t="shared" si="9"/>
        <v>0</v>
      </c>
      <c r="O79" s="169">
        <f t="shared" si="10"/>
        <v>0</v>
      </c>
      <c r="P79" s="170">
        <f t="shared" si="11"/>
        <v>0</v>
      </c>
      <c r="Q79" s="335"/>
      <c r="R79" s="358"/>
      <c r="S79" s="358" t="s">
        <v>584</v>
      </c>
    </row>
    <row r="80" spans="1:19" ht="23.25" customHeight="1" x14ac:dyDescent="0.5">
      <c r="A80" s="18">
        <f t="shared" si="12"/>
        <v>67</v>
      </c>
      <c r="B80" s="26" t="s">
        <v>45</v>
      </c>
      <c r="C80" s="124" t="s">
        <v>58</v>
      </c>
      <c r="D80" s="72" t="s">
        <v>53</v>
      </c>
      <c r="E80" s="73" t="s">
        <v>60</v>
      </c>
      <c r="F80" s="73"/>
      <c r="G80" s="73" t="s">
        <v>61</v>
      </c>
      <c r="H80" s="73" t="s">
        <v>106</v>
      </c>
      <c r="I80" s="191"/>
      <c r="J80" s="19">
        <f t="shared" si="13"/>
        <v>0</v>
      </c>
      <c r="K80" s="167" t="s">
        <v>37</v>
      </c>
      <c r="L80" s="168">
        <v>191</v>
      </c>
      <c r="M80" s="168">
        <v>0</v>
      </c>
      <c r="N80" s="169">
        <f t="shared" si="9"/>
        <v>0</v>
      </c>
      <c r="O80" s="169">
        <f t="shared" si="10"/>
        <v>0</v>
      </c>
      <c r="P80" s="170">
        <f t="shared" si="11"/>
        <v>0</v>
      </c>
      <c r="Q80" s="335"/>
      <c r="R80" s="358" t="s">
        <v>574</v>
      </c>
      <c r="S80" s="358" t="s">
        <v>585</v>
      </c>
    </row>
    <row r="81" spans="1:19" ht="23.25" customHeight="1" x14ac:dyDescent="0.5">
      <c r="A81" s="18">
        <f t="shared" si="12"/>
        <v>68</v>
      </c>
      <c r="B81" s="26" t="s">
        <v>45</v>
      </c>
      <c r="C81" s="124" t="s">
        <v>58</v>
      </c>
      <c r="D81" s="72" t="s">
        <v>54</v>
      </c>
      <c r="E81" s="73" t="s">
        <v>60</v>
      </c>
      <c r="F81" s="73"/>
      <c r="G81" s="73" t="s">
        <v>61</v>
      </c>
      <c r="H81" s="73" t="s">
        <v>106</v>
      </c>
      <c r="I81" s="191"/>
      <c r="J81" s="19">
        <f t="shared" si="13"/>
        <v>0</v>
      </c>
      <c r="K81" s="167" t="s">
        <v>37</v>
      </c>
      <c r="L81" s="168">
        <v>0</v>
      </c>
      <c r="M81" s="168">
        <v>0</v>
      </c>
      <c r="N81" s="169">
        <f t="shared" si="9"/>
        <v>0</v>
      </c>
      <c r="O81" s="169">
        <f t="shared" si="10"/>
        <v>0</v>
      </c>
      <c r="P81" s="170">
        <f t="shared" si="11"/>
        <v>0</v>
      </c>
      <c r="Q81" s="335"/>
      <c r="R81" s="358"/>
      <c r="S81" s="358" t="s">
        <v>586</v>
      </c>
    </row>
    <row r="82" spans="1:19" ht="23.25" customHeight="1" x14ac:dyDescent="0.5">
      <c r="A82" s="18">
        <f t="shared" si="12"/>
        <v>69</v>
      </c>
      <c r="B82" s="26" t="s">
        <v>45</v>
      </c>
      <c r="C82" s="124" t="s">
        <v>58</v>
      </c>
      <c r="D82" s="72" t="s">
        <v>40</v>
      </c>
      <c r="E82" s="73" t="s">
        <v>60</v>
      </c>
      <c r="F82" s="73"/>
      <c r="G82" s="73" t="s">
        <v>61</v>
      </c>
      <c r="H82" s="73" t="s">
        <v>55</v>
      </c>
      <c r="I82" s="191"/>
      <c r="J82" s="19">
        <f t="shared" si="13"/>
        <v>0</v>
      </c>
      <c r="K82" s="167" t="s">
        <v>34</v>
      </c>
      <c r="L82" s="168">
        <v>30.16</v>
      </c>
      <c r="M82" s="168">
        <v>0</v>
      </c>
      <c r="N82" s="169">
        <f t="shared" si="9"/>
        <v>0</v>
      </c>
      <c r="O82" s="169">
        <f t="shared" si="10"/>
        <v>0</v>
      </c>
      <c r="P82" s="170">
        <f t="shared" si="11"/>
        <v>0</v>
      </c>
      <c r="Q82" s="335"/>
      <c r="R82" s="358" t="s">
        <v>551</v>
      </c>
      <c r="S82" s="362" t="s">
        <v>596</v>
      </c>
    </row>
    <row r="83" spans="1:19" ht="23.25" customHeight="1" x14ac:dyDescent="0.5">
      <c r="A83" s="18">
        <f t="shared" si="12"/>
        <v>70</v>
      </c>
      <c r="B83" s="26" t="s">
        <v>45</v>
      </c>
      <c r="C83" s="124" t="s">
        <v>58</v>
      </c>
      <c r="D83" s="72" t="s">
        <v>52</v>
      </c>
      <c r="E83" s="73" t="s">
        <v>60</v>
      </c>
      <c r="F83" s="73"/>
      <c r="G83" s="73" t="s">
        <v>61</v>
      </c>
      <c r="H83" s="73" t="s">
        <v>55</v>
      </c>
      <c r="I83" s="191"/>
      <c r="J83" s="19">
        <f t="shared" si="13"/>
        <v>0</v>
      </c>
      <c r="K83" s="167" t="s">
        <v>37</v>
      </c>
      <c r="L83" s="168">
        <v>26.95</v>
      </c>
      <c r="M83" s="168">
        <v>0</v>
      </c>
      <c r="N83" s="169">
        <f t="shared" si="9"/>
        <v>0</v>
      </c>
      <c r="O83" s="169">
        <f t="shared" si="10"/>
        <v>0</v>
      </c>
      <c r="P83" s="170">
        <f t="shared" si="11"/>
        <v>0</v>
      </c>
      <c r="Q83" s="335"/>
      <c r="R83" s="358" t="s">
        <v>552</v>
      </c>
      <c r="S83" s="362" t="s">
        <v>597</v>
      </c>
    </row>
    <row r="84" spans="1:19" ht="23.25" customHeight="1" x14ac:dyDescent="0.5">
      <c r="A84" s="18">
        <f t="shared" si="12"/>
        <v>71</v>
      </c>
      <c r="B84" s="26" t="s">
        <v>45</v>
      </c>
      <c r="C84" s="124" t="s">
        <v>58</v>
      </c>
      <c r="D84" s="72" t="s">
        <v>386</v>
      </c>
      <c r="E84" s="73" t="s">
        <v>60</v>
      </c>
      <c r="F84" s="73"/>
      <c r="G84" s="73" t="s">
        <v>61</v>
      </c>
      <c r="H84" s="73" t="s">
        <v>55</v>
      </c>
      <c r="I84" s="191"/>
      <c r="J84" s="19">
        <f t="shared" si="13"/>
        <v>0</v>
      </c>
      <c r="K84" s="167" t="s">
        <v>37</v>
      </c>
      <c r="L84" s="168">
        <v>56.98</v>
      </c>
      <c r="M84" s="168">
        <v>0</v>
      </c>
      <c r="N84" s="169">
        <f t="shared" si="9"/>
        <v>0</v>
      </c>
      <c r="O84" s="169">
        <f t="shared" si="10"/>
        <v>0</v>
      </c>
      <c r="P84" s="170">
        <f t="shared" si="11"/>
        <v>0</v>
      </c>
      <c r="Q84" s="335"/>
      <c r="R84" s="358" t="s">
        <v>553</v>
      </c>
      <c r="S84" s="362" t="s">
        <v>598</v>
      </c>
    </row>
    <row r="85" spans="1:19" ht="23.25" customHeight="1" x14ac:dyDescent="0.5">
      <c r="A85" s="18">
        <f t="shared" si="12"/>
        <v>72</v>
      </c>
      <c r="B85" s="26" t="s">
        <v>45</v>
      </c>
      <c r="C85" s="124" t="s">
        <v>58</v>
      </c>
      <c r="D85" s="72" t="s">
        <v>74</v>
      </c>
      <c r="E85" s="73" t="s">
        <v>60</v>
      </c>
      <c r="F85" s="73"/>
      <c r="G85" s="73" t="s">
        <v>61</v>
      </c>
      <c r="H85" s="73" t="s">
        <v>55</v>
      </c>
      <c r="I85" s="191"/>
      <c r="J85" s="19">
        <f t="shared" si="13"/>
        <v>0</v>
      </c>
      <c r="K85" s="167" t="s">
        <v>37</v>
      </c>
      <c r="L85" s="168">
        <v>0</v>
      </c>
      <c r="M85" s="168">
        <v>0</v>
      </c>
      <c r="N85" s="169">
        <f t="shared" si="9"/>
        <v>0</v>
      </c>
      <c r="O85" s="169">
        <f t="shared" si="10"/>
        <v>0</v>
      </c>
      <c r="P85" s="170">
        <f t="shared" si="11"/>
        <v>0</v>
      </c>
      <c r="Q85" s="335"/>
      <c r="R85" s="358"/>
      <c r="S85" s="358" t="s">
        <v>584</v>
      </c>
    </row>
    <row r="86" spans="1:19" ht="23.25" customHeight="1" x14ac:dyDescent="0.5">
      <c r="A86" s="18">
        <f t="shared" si="12"/>
        <v>73</v>
      </c>
      <c r="B86" s="26" t="s">
        <v>45</v>
      </c>
      <c r="C86" s="124" t="s">
        <v>58</v>
      </c>
      <c r="D86" s="72" t="s">
        <v>53</v>
      </c>
      <c r="E86" s="73" t="s">
        <v>60</v>
      </c>
      <c r="F86" s="73"/>
      <c r="G86" s="73" t="s">
        <v>61</v>
      </c>
      <c r="H86" s="73" t="s">
        <v>55</v>
      </c>
      <c r="I86" s="191"/>
      <c r="J86" s="19">
        <f t="shared" si="13"/>
        <v>0</v>
      </c>
      <c r="K86" s="167" t="s">
        <v>37</v>
      </c>
      <c r="L86" s="168">
        <v>279</v>
      </c>
      <c r="M86" s="168">
        <v>0</v>
      </c>
      <c r="N86" s="169">
        <f t="shared" si="9"/>
        <v>0</v>
      </c>
      <c r="O86" s="169">
        <f t="shared" si="10"/>
        <v>0</v>
      </c>
      <c r="P86" s="170">
        <f t="shared" si="11"/>
        <v>0</v>
      </c>
      <c r="Q86" s="335"/>
      <c r="R86" s="358" t="s">
        <v>572</v>
      </c>
      <c r="S86" s="358" t="s">
        <v>585</v>
      </c>
    </row>
    <row r="87" spans="1:19" ht="23.25" customHeight="1" x14ac:dyDescent="0.5">
      <c r="A87" s="18">
        <f t="shared" si="12"/>
        <v>74</v>
      </c>
      <c r="B87" s="26" t="s">
        <v>45</v>
      </c>
      <c r="C87" s="124" t="s">
        <v>58</v>
      </c>
      <c r="D87" s="72" t="s">
        <v>54</v>
      </c>
      <c r="E87" s="73" t="s">
        <v>60</v>
      </c>
      <c r="F87" s="73"/>
      <c r="G87" s="73" t="s">
        <v>61</v>
      </c>
      <c r="H87" s="73" t="s">
        <v>55</v>
      </c>
      <c r="I87" s="191"/>
      <c r="J87" s="19">
        <f t="shared" si="13"/>
        <v>0</v>
      </c>
      <c r="K87" s="167" t="s">
        <v>37</v>
      </c>
      <c r="L87" s="168">
        <v>0</v>
      </c>
      <c r="M87" s="168">
        <v>0</v>
      </c>
      <c r="N87" s="169">
        <f t="shared" si="9"/>
        <v>0</v>
      </c>
      <c r="O87" s="169">
        <f t="shared" si="10"/>
        <v>0</v>
      </c>
      <c r="P87" s="170">
        <f t="shared" si="11"/>
        <v>0</v>
      </c>
      <c r="Q87" s="335"/>
      <c r="R87" s="358"/>
      <c r="S87" s="358" t="s">
        <v>586</v>
      </c>
    </row>
    <row r="88" spans="1:19" ht="23.25" customHeight="1" x14ac:dyDescent="0.5">
      <c r="A88" s="18">
        <f t="shared" si="12"/>
        <v>75</v>
      </c>
      <c r="B88" s="26" t="s">
        <v>45</v>
      </c>
      <c r="C88" s="124" t="s">
        <v>58</v>
      </c>
      <c r="D88" s="75" t="s">
        <v>442</v>
      </c>
      <c r="E88" s="79" t="s">
        <v>60</v>
      </c>
      <c r="F88" s="73"/>
      <c r="G88" s="79"/>
      <c r="H88" s="79" t="s">
        <v>62</v>
      </c>
      <c r="I88" s="188"/>
      <c r="J88" s="19">
        <f t="shared" si="13"/>
        <v>0</v>
      </c>
      <c r="K88" s="167" t="s">
        <v>22</v>
      </c>
      <c r="L88" s="168">
        <v>1161.6500000000001</v>
      </c>
      <c r="M88" s="168">
        <v>0</v>
      </c>
      <c r="N88" s="169">
        <f t="shared" si="9"/>
        <v>0</v>
      </c>
      <c r="O88" s="169">
        <f t="shared" si="10"/>
        <v>0</v>
      </c>
      <c r="P88" s="170">
        <f t="shared" si="11"/>
        <v>0</v>
      </c>
      <c r="Q88" s="335"/>
      <c r="R88" s="358" t="s">
        <v>559</v>
      </c>
    </row>
    <row r="89" spans="1:19" ht="23.25" customHeight="1" x14ac:dyDescent="0.5">
      <c r="A89" s="18">
        <f t="shared" si="12"/>
        <v>76</v>
      </c>
      <c r="B89" s="26" t="s">
        <v>45</v>
      </c>
      <c r="C89" s="124" t="s">
        <v>58</v>
      </c>
      <c r="D89" s="75" t="s">
        <v>385</v>
      </c>
      <c r="E89" s="79" t="s">
        <v>41</v>
      </c>
      <c r="F89" s="73"/>
      <c r="G89" s="79"/>
      <c r="H89" s="79"/>
      <c r="I89" s="188"/>
      <c r="J89" s="19">
        <v>1</v>
      </c>
      <c r="K89" s="167" t="s">
        <v>34</v>
      </c>
      <c r="L89" s="168">
        <v>0</v>
      </c>
      <c r="M89" s="168">
        <v>0</v>
      </c>
      <c r="N89" s="169">
        <f t="shared" si="9"/>
        <v>0</v>
      </c>
      <c r="O89" s="169">
        <f t="shared" si="10"/>
        <v>0</v>
      </c>
      <c r="P89" s="170">
        <f t="shared" si="11"/>
        <v>0</v>
      </c>
      <c r="Q89" s="335"/>
      <c r="S89" s="358" t="s">
        <v>583</v>
      </c>
    </row>
    <row r="90" spans="1:19" ht="23.25" customHeight="1" x14ac:dyDescent="0.5">
      <c r="A90" s="18">
        <f t="shared" si="12"/>
        <v>77</v>
      </c>
      <c r="B90" s="26" t="s">
        <v>45</v>
      </c>
      <c r="C90" s="124" t="s">
        <v>58</v>
      </c>
      <c r="D90" s="75" t="s">
        <v>63</v>
      </c>
      <c r="E90" s="79"/>
      <c r="F90" s="73"/>
      <c r="G90" s="79"/>
      <c r="H90" s="79"/>
      <c r="I90" s="188"/>
      <c r="J90" s="19">
        <f t="shared" si="13"/>
        <v>0</v>
      </c>
      <c r="K90" s="167" t="s">
        <v>22</v>
      </c>
      <c r="L90" s="168">
        <v>0</v>
      </c>
      <c r="M90" s="168">
        <v>0</v>
      </c>
      <c r="N90" s="169">
        <f t="shared" si="9"/>
        <v>0</v>
      </c>
      <c r="O90" s="169">
        <f t="shared" si="10"/>
        <v>0</v>
      </c>
      <c r="P90" s="170">
        <f t="shared" si="11"/>
        <v>0</v>
      </c>
      <c r="Q90" s="335"/>
    </row>
    <row r="91" spans="1:19" ht="23.25" customHeight="1" x14ac:dyDescent="0.5">
      <c r="A91" s="18">
        <f t="shared" si="12"/>
        <v>78</v>
      </c>
      <c r="B91" s="26" t="s">
        <v>45</v>
      </c>
      <c r="C91" s="124" t="s">
        <v>58</v>
      </c>
      <c r="D91" s="43" t="s">
        <v>358</v>
      </c>
      <c r="E91" s="5"/>
      <c r="F91" s="359"/>
      <c r="G91" s="5"/>
      <c r="H91" s="5"/>
      <c r="I91" s="20"/>
      <c r="J91" s="19">
        <f>I91</f>
        <v>0</v>
      </c>
      <c r="K91" s="171"/>
      <c r="L91" s="168">
        <v>0</v>
      </c>
      <c r="M91" s="168">
        <v>0</v>
      </c>
      <c r="N91" s="169">
        <f>L91*J91</f>
        <v>0</v>
      </c>
      <c r="O91" s="169">
        <f>M91*J91</f>
        <v>0</v>
      </c>
      <c r="P91" s="170">
        <f>(L91*J91)+(M91*J91)</f>
        <v>0</v>
      </c>
      <c r="Q91" s="326"/>
    </row>
    <row r="92" spans="1:19" ht="23.25" customHeight="1" thickBot="1" x14ac:dyDescent="0.55000000000000004">
      <c r="A92" s="29">
        <f>A91+1</f>
        <v>79</v>
      </c>
      <c r="B92" s="36" t="s">
        <v>45</v>
      </c>
      <c r="C92" s="122" t="s">
        <v>58</v>
      </c>
      <c r="D92" s="44" t="s">
        <v>358</v>
      </c>
      <c r="E92" s="6"/>
      <c r="F92" s="6"/>
      <c r="G92" s="6"/>
      <c r="H92" s="6"/>
      <c r="I92" s="21"/>
      <c r="J92" s="22">
        <f>I92</f>
        <v>0</v>
      </c>
      <c r="K92" s="172"/>
      <c r="L92" s="173">
        <v>0</v>
      </c>
      <c r="M92" s="173">
        <v>0</v>
      </c>
      <c r="N92" s="174">
        <f>L92*J92</f>
        <v>0</v>
      </c>
      <c r="O92" s="174">
        <f>M92*J92</f>
        <v>0</v>
      </c>
      <c r="P92" s="175">
        <f>(L92*J92)+(M92*J92)</f>
        <v>0</v>
      </c>
      <c r="Q92" s="327"/>
    </row>
    <row r="93" spans="1:19" ht="23.25" customHeight="1" thickBot="1" x14ac:dyDescent="0.55000000000000004">
      <c r="A93" s="30"/>
      <c r="B93" s="17" t="s">
        <v>45</v>
      </c>
      <c r="C93" s="125" t="s">
        <v>64</v>
      </c>
      <c r="D93" s="176" t="s">
        <v>64</v>
      </c>
      <c r="E93" s="177"/>
      <c r="F93" s="275"/>
      <c r="G93" s="177"/>
      <c r="H93" s="178"/>
      <c r="I93" s="179"/>
      <c r="J93" s="180"/>
      <c r="K93" s="181"/>
      <c r="L93" s="182"/>
      <c r="M93" s="182"/>
      <c r="N93" s="183"/>
      <c r="O93" s="183"/>
      <c r="P93" s="184"/>
      <c r="Q93" s="333"/>
    </row>
    <row r="94" spans="1:19" ht="23.25" customHeight="1" x14ac:dyDescent="0.5">
      <c r="A94" s="28">
        <f>A92+1</f>
        <v>80</v>
      </c>
      <c r="B94" s="35" t="s">
        <v>45</v>
      </c>
      <c r="C94" s="121" t="s">
        <v>64</v>
      </c>
      <c r="D94" s="77" t="s">
        <v>40</v>
      </c>
      <c r="E94" s="78" t="s">
        <v>65</v>
      </c>
      <c r="F94" s="78"/>
      <c r="G94" s="78" t="s">
        <v>66</v>
      </c>
      <c r="H94" s="78" t="s">
        <v>50</v>
      </c>
      <c r="I94" s="189"/>
      <c r="J94" s="32">
        <v>0</v>
      </c>
      <c r="K94" s="190" t="s">
        <v>34</v>
      </c>
      <c r="L94" s="185">
        <v>11.53</v>
      </c>
      <c r="M94" s="185">
        <v>0</v>
      </c>
      <c r="N94" s="186">
        <f t="shared" ref="N94:N121" si="17">L94*J94</f>
        <v>0</v>
      </c>
      <c r="O94" s="186">
        <f t="shared" ref="O94:O119" si="18">M94*J94</f>
        <v>0</v>
      </c>
      <c r="P94" s="187">
        <f t="shared" ref="P94:P119" si="19">(L94*J94)+(M94*J94)</f>
        <v>0</v>
      </c>
      <c r="Q94" s="336"/>
      <c r="R94" s="358" t="s">
        <v>551</v>
      </c>
      <c r="S94" s="362" t="s">
        <v>596</v>
      </c>
    </row>
    <row r="95" spans="1:19" ht="23.25" customHeight="1" x14ac:dyDescent="0.5">
      <c r="A95" s="18">
        <f>A94+1</f>
        <v>81</v>
      </c>
      <c r="B95" s="26" t="s">
        <v>45</v>
      </c>
      <c r="C95" s="124" t="s">
        <v>64</v>
      </c>
      <c r="D95" s="72" t="s">
        <v>52</v>
      </c>
      <c r="E95" s="73" t="s">
        <v>65</v>
      </c>
      <c r="F95" s="73"/>
      <c r="G95" s="73" t="s">
        <v>66</v>
      </c>
      <c r="H95" s="73" t="s">
        <v>50</v>
      </c>
      <c r="I95" s="191"/>
      <c r="J95" s="19">
        <v>0</v>
      </c>
      <c r="K95" s="167" t="s">
        <v>37</v>
      </c>
      <c r="L95" s="168">
        <v>11.86</v>
      </c>
      <c r="M95" s="168">
        <v>0</v>
      </c>
      <c r="N95" s="169">
        <f t="shared" si="17"/>
        <v>0</v>
      </c>
      <c r="O95" s="169">
        <f t="shared" si="18"/>
        <v>0</v>
      </c>
      <c r="P95" s="170">
        <f t="shared" si="19"/>
        <v>0</v>
      </c>
      <c r="Q95" s="335"/>
      <c r="R95" s="358" t="s">
        <v>552</v>
      </c>
      <c r="S95" s="362" t="s">
        <v>597</v>
      </c>
    </row>
    <row r="96" spans="1:19" ht="23.25" customHeight="1" x14ac:dyDescent="0.5">
      <c r="A96" s="18">
        <f t="shared" ref="A96:A120" si="20">A95+1</f>
        <v>82</v>
      </c>
      <c r="B96" s="26" t="s">
        <v>45</v>
      </c>
      <c r="C96" s="124" t="s">
        <v>64</v>
      </c>
      <c r="D96" s="72" t="s">
        <v>386</v>
      </c>
      <c r="E96" s="73" t="s">
        <v>65</v>
      </c>
      <c r="F96" s="73"/>
      <c r="G96" s="73" t="s">
        <v>66</v>
      </c>
      <c r="H96" s="73" t="s">
        <v>50</v>
      </c>
      <c r="I96" s="191"/>
      <c r="J96" s="19">
        <v>0</v>
      </c>
      <c r="K96" s="167" t="s">
        <v>37</v>
      </c>
      <c r="L96" s="168">
        <v>36.369999999999997</v>
      </c>
      <c r="M96" s="168">
        <v>0</v>
      </c>
      <c r="N96" s="169">
        <f t="shared" si="17"/>
        <v>0</v>
      </c>
      <c r="O96" s="169">
        <f t="shared" si="18"/>
        <v>0</v>
      </c>
      <c r="P96" s="170">
        <f t="shared" si="19"/>
        <v>0</v>
      </c>
      <c r="Q96" s="335"/>
      <c r="R96" s="358" t="s">
        <v>553</v>
      </c>
      <c r="S96" s="362" t="s">
        <v>598</v>
      </c>
    </row>
    <row r="97" spans="1:19" ht="23.25" customHeight="1" x14ac:dyDescent="0.5">
      <c r="A97" s="18">
        <f t="shared" si="20"/>
        <v>83</v>
      </c>
      <c r="B97" s="26" t="s">
        <v>45</v>
      </c>
      <c r="C97" s="124" t="s">
        <v>64</v>
      </c>
      <c r="D97" s="72" t="s">
        <v>74</v>
      </c>
      <c r="E97" s="73" t="s">
        <v>65</v>
      </c>
      <c r="F97" s="73"/>
      <c r="G97" s="73" t="s">
        <v>66</v>
      </c>
      <c r="H97" s="73" t="s">
        <v>50</v>
      </c>
      <c r="I97" s="191"/>
      <c r="J97" s="19">
        <f t="shared" ref="J97:J119" si="21">I97</f>
        <v>0</v>
      </c>
      <c r="K97" s="167" t="s">
        <v>37</v>
      </c>
      <c r="L97" s="168">
        <v>0</v>
      </c>
      <c r="M97" s="168">
        <v>0</v>
      </c>
      <c r="N97" s="169">
        <f t="shared" si="17"/>
        <v>0</v>
      </c>
      <c r="O97" s="169">
        <f t="shared" si="18"/>
        <v>0</v>
      </c>
      <c r="P97" s="170">
        <f t="shared" si="19"/>
        <v>0</v>
      </c>
      <c r="Q97" s="335"/>
      <c r="S97" s="358" t="s">
        <v>584</v>
      </c>
    </row>
    <row r="98" spans="1:19" ht="23.25" customHeight="1" x14ac:dyDescent="0.5">
      <c r="A98" s="18">
        <f t="shared" si="20"/>
        <v>84</v>
      </c>
      <c r="B98" s="26" t="s">
        <v>45</v>
      </c>
      <c r="C98" s="124" t="s">
        <v>64</v>
      </c>
      <c r="D98" s="72" t="s">
        <v>53</v>
      </c>
      <c r="E98" s="73" t="s">
        <v>65</v>
      </c>
      <c r="F98" s="73"/>
      <c r="G98" s="73" t="s">
        <v>66</v>
      </c>
      <c r="H98" s="73" t="s">
        <v>50</v>
      </c>
      <c r="I98" s="191"/>
      <c r="J98" s="19">
        <f t="shared" si="21"/>
        <v>0</v>
      </c>
      <c r="K98" s="167" t="s">
        <v>37</v>
      </c>
      <c r="L98" s="168">
        <v>77</v>
      </c>
      <c r="M98" s="168">
        <v>0</v>
      </c>
      <c r="N98" s="169">
        <f t="shared" si="17"/>
        <v>0</v>
      </c>
      <c r="O98" s="169">
        <f t="shared" si="18"/>
        <v>0</v>
      </c>
      <c r="P98" s="170">
        <f t="shared" si="19"/>
        <v>0</v>
      </c>
      <c r="Q98" s="335"/>
      <c r="R98" s="358" t="s">
        <v>573</v>
      </c>
      <c r="S98" s="358" t="s">
        <v>585</v>
      </c>
    </row>
    <row r="99" spans="1:19" ht="23.25" customHeight="1" x14ac:dyDescent="0.5">
      <c r="A99" s="18">
        <f t="shared" si="20"/>
        <v>85</v>
      </c>
      <c r="B99" s="26" t="s">
        <v>45</v>
      </c>
      <c r="C99" s="124" t="s">
        <v>64</v>
      </c>
      <c r="D99" s="72" t="s">
        <v>54</v>
      </c>
      <c r="E99" s="73" t="s">
        <v>65</v>
      </c>
      <c r="F99" s="73"/>
      <c r="G99" s="73" t="s">
        <v>66</v>
      </c>
      <c r="H99" s="73" t="s">
        <v>50</v>
      </c>
      <c r="I99" s="191"/>
      <c r="J99" s="19">
        <f t="shared" si="21"/>
        <v>0</v>
      </c>
      <c r="K99" s="167" t="s">
        <v>37</v>
      </c>
      <c r="L99" s="168"/>
      <c r="M99" s="168">
        <v>0</v>
      </c>
      <c r="N99" s="169">
        <f t="shared" si="17"/>
        <v>0</v>
      </c>
      <c r="O99" s="169">
        <f t="shared" si="18"/>
        <v>0</v>
      </c>
      <c r="P99" s="170">
        <f t="shared" si="19"/>
        <v>0</v>
      </c>
      <c r="Q99" s="335"/>
      <c r="R99" s="358" t="s">
        <v>570</v>
      </c>
      <c r="S99" s="358" t="s">
        <v>586</v>
      </c>
    </row>
    <row r="100" spans="1:19" ht="23.25" customHeight="1" x14ac:dyDescent="0.5">
      <c r="A100" s="18">
        <f t="shared" si="20"/>
        <v>86</v>
      </c>
      <c r="B100" s="26" t="s">
        <v>45</v>
      </c>
      <c r="C100" s="124" t="s">
        <v>64</v>
      </c>
      <c r="D100" s="72" t="s">
        <v>40</v>
      </c>
      <c r="E100" s="73" t="s">
        <v>65</v>
      </c>
      <c r="F100" s="73"/>
      <c r="G100" s="73" t="s">
        <v>66</v>
      </c>
      <c r="H100" s="73" t="s">
        <v>105</v>
      </c>
      <c r="I100" s="191"/>
      <c r="J100" s="19">
        <f t="shared" si="21"/>
        <v>0</v>
      </c>
      <c r="K100" s="167" t="s">
        <v>34</v>
      </c>
      <c r="L100" s="168">
        <v>15.62</v>
      </c>
      <c r="M100" s="168">
        <v>0</v>
      </c>
      <c r="N100" s="169">
        <f t="shared" si="17"/>
        <v>0</v>
      </c>
      <c r="O100" s="169">
        <f t="shared" si="18"/>
        <v>0</v>
      </c>
      <c r="P100" s="170">
        <f t="shared" si="19"/>
        <v>0</v>
      </c>
      <c r="Q100" s="335"/>
      <c r="R100" s="358" t="s">
        <v>551</v>
      </c>
      <c r="S100" s="362" t="s">
        <v>596</v>
      </c>
    </row>
    <row r="101" spans="1:19" ht="23.25" customHeight="1" x14ac:dyDescent="0.5">
      <c r="A101" s="18">
        <f t="shared" si="20"/>
        <v>87</v>
      </c>
      <c r="B101" s="26" t="s">
        <v>45</v>
      </c>
      <c r="C101" s="124" t="s">
        <v>64</v>
      </c>
      <c r="D101" s="72" t="s">
        <v>52</v>
      </c>
      <c r="E101" s="73" t="s">
        <v>65</v>
      </c>
      <c r="F101" s="73"/>
      <c r="G101" s="73" t="s">
        <v>66</v>
      </c>
      <c r="H101" s="73" t="s">
        <v>105</v>
      </c>
      <c r="I101" s="191"/>
      <c r="J101" s="19">
        <f t="shared" si="21"/>
        <v>0</v>
      </c>
      <c r="K101" s="167" t="s">
        <v>37</v>
      </c>
      <c r="L101" s="168">
        <v>19.239999999999998</v>
      </c>
      <c r="M101" s="168">
        <v>0</v>
      </c>
      <c r="N101" s="169">
        <f t="shared" si="17"/>
        <v>0</v>
      </c>
      <c r="O101" s="169">
        <f t="shared" si="18"/>
        <v>0</v>
      </c>
      <c r="P101" s="170">
        <f t="shared" si="19"/>
        <v>0</v>
      </c>
      <c r="Q101" s="335"/>
      <c r="R101" s="358" t="s">
        <v>552</v>
      </c>
      <c r="S101" s="362" t="s">
        <v>597</v>
      </c>
    </row>
    <row r="102" spans="1:19" ht="23.25" customHeight="1" x14ac:dyDescent="0.5">
      <c r="A102" s="18">
        <f t="shared" si="20"/>
        <v>88</v>
      </c>
      <c r="B102" s="26" t="s">
        <v>45</v>
      </c>
      <c r="C102" s="124" t="s">
        <v>64</v>
      </c>
      <c r="D102" s="72" t="s">
        <v>386</v>
      </c>
      <c r="E102" s="73" t="s">
        <v>65</v>
      </c>
      <c r="F102" s="73"/>
      <c r="G102" s="73" t="s">
        <v>66</v>
      </c>
      <c r="H102" s="73" t="s">
        <v>105</v>
      </c>
      <c r="I102" s="191"/>
      <c r="J102" s="19">
        <f t="shared" si="21"/>
        <v>0</v>
      </c>
      <c r="K102" s="167" t="s">
        <v>37</v>
      </c>
      <c r="L102" s="168">
        <v>40.04</v>
      </c>
      <c r="M102" s="168">
        <v>0</v>
      </c>
      <c r="N102" s="169">
        <f t="shared" si="17"/>
        <v>0</v>
      </c>
      <c r="O102" s="169">
        <f t="shared" si="18"/>
        <v>0</v>
      </c>
      <c r="P102" s="170">
        <f t="shared" si="19"/>
        <v>0</v>
      </c>
      <c r="Q102" s="335"/>
      <c r="R102" s="358" t="s">
        <v>553</v>
      </c>
      <c r="S102" s="362" t="s">
        <v>598</v>
      </c>
    </row>
    <row r="103" spans="1:19" ht="23.25" customHeight="1" x14ac:dyDescent="0.5">
      <c r="A103" s="18">
        <f t="shared" si="20"/>
        <v>89</v>
      </c>
      <c r="B103" s="26" t="s">
        <v>45</v>
      </c>
      <c r="C103" s="124" t="s">
        <v>64</v>
      </c>
      <c r="D103" s="72" t="s">
        <v>74</v>
      </c>
      <c r="E103" s="73" t="s">
        <v>65</v>
      </c>
      <c r="F103" s="73"/>
      <c r="G103" s="73" t="s">
        <v>66</v>
      </c>
      <c r="H103" s="73" t="s">
        <v>105</v>
      </c>
      <c r="I103" s="191"/>
      <c r="J103" s="19">
        <f t="shared" si="21"/>
        <v>0</v>
      </c>
      <c r="K103" s="167" t="s">
        <v>37</v>
      </c>
      <c r="L103" s="168">
        <v>0</v>
      </c>
      <c r="M103" s="168">
        <v>0</v>
      </c>
      <c r="N103" s="169">
        <f t="shared" si="17"/>
        <v>0</v>
      </c>
      <c r="O103" s="169">
        <f t="shared" si="18"/>
        <v>0</v>
      </c>
      <c r="P103" s="170">
        <f t="shared" si="19"/>
        <v>0</v>
      </c>
      <c r="Q103" s="335"/>
      <c r="S103" s="358" t="s">
        <v>584</v>
      </c>
    </row>
    <row r="104" spans="1:19" ht="23.25" customHeight="1" x14ac:dyDescent="0.5">
      <c r="A104" s="18">
        <f t="shared" si="20"/>
        <v>90</v>
      </c>
      <c r="B104" s="26" t="s">
        <v>45</v>
      </c>
      <c r="C104" s="124" t="s">
        <v>64</v>
      </c>
      <c r="D104" s="72" t="s">
        <v>53</v>
      </c>
      <c r="E104" s="73" t="s">
        <v>65</v>
      </c>
      <c r="F104" s="73"/>
      <c r="G104" s="73" t="s">
        <v>66</v>
      </c>
      <c r="H104" s="73" t="s">
        <v>105</v>
      </c>
      <c r="I104" s="191"/>
      <c r="J104" s="19">
        <f t="shared" si="21"/>
        <v>0</v>
      </c>
      <c r="K104" s="167" t="s">
        <v>37</v>
      </c>
      <c r="L104" s="168">
        <v>157</v>
      </c>
      <c r="M104" s="168">
        <v>0</v>
      </c>
      <c r="N104" s="169">
        <f t="shared" si="17"/>
        <v>0</v>
      </c>
      <c r="O104" s="169">
        <f t="shared" si="18"/>
        <v>0</v>
      </c>
      <c r="P104" s="170">
        <f t="shared" si="19"/>
        <v>0</v>
      </c>
      <c r="Q104" s="335"/>
      <c r="R104" s="358" t="s">
        <v>571</v>
      </c>
      <c r="S104" s="358" t="s">
        <v>585</v>
      </c>
    </row>
    <row r="105" spans="1:19" ht="23.25" customHeight="1" x14ac:dyDescent="0.5">
      <c r="A105" s="18">
        <f t="shared" si="20"/>
        <v>91</v>
      </c>
      <c r="B105" s="26" t="s">
        <v>45</v>
      </c>
      <c r="C105" s="124" t="s">
        <v>64</v>
      </c>
      <c r="D105" s="72" t="s">
        <v>54</v>
      </c>
      <c r="E105" s="73" t="s">
        <v>65</v>
      </c>
      <c r="F105" s="73"/>
      <c r="G105" s="73" t="s">
        <v>66</v>
      </c>
      <c r="H105" s="73" t="s">
        <v>105</v>
      </c>
      <c r="I105" s="191"/>
      <c r="J105" s="19">
        <f t="shared" si="21"/>
        <v>0</v>
      </c>
      <c r="K105" s="167" t="s">
        <v>37</v>
      </c>
      <c r="L105" s="168">
        <v>0</v>
      </c>
      <c r="M105" s="168">
        <v>0</v>
      </c>
      <c r="N105" s="169">
        <f t="shared" si="17"/>
        <v>0</v>
      </c>
      <c r="O105" s="169">
        <f t="shared" ref="O105" si="22">M105*J105</f>
        <v>0</v>
      </c>
      <c r="P105" s="170">
        <f t="shared" ref="P105" si="23">(L105*J105)+(M105*J105)</f>
        <v>0</v>
      </c>
      <c r="Q105" s="335"/>
      <c r="R105" s="358"/>
      <c r="S105" s="358" t="s">
        <v>586</v>
      </c>
    </row>
    <row r="106" spans="1:19" ht="23.25" customHeight="1" x14ac:dyDescent="0.5">
      <c r="A106" s="18">
        <f t="shared" si="20"/>
        <v>92</v>
      </c>
      <c r="B106" s="26" t="s">
        <v>45</v>
      </c>
      <c r="C106" s="124" t="s">
        <v>64</v>
      </c>
      <c r="D106" s="72" t="s">
        <v>40</v>
      </c>
      <c r="E106" s="73" t="s">
        <v>65</v>
      </c>
      <c r="F106" s="73"/>
      <c r="G106" s="73" t="s">
        <v>66</v>
      </c>
      <c r="H106" s="73" t="s">
        <v>106</v>
      </c>
      <c r="I106" s="191"/>
      <c r="J106" s="19">
        <f t="shared" si="21"/>
        <v>0</v>
      </c>
      <c r="K106" s="167" t="s">
        <v>34</v>
      </c>
      <c r="L106" s="168">
        <v>23.08</v>
      </c>
      <c r="M106" s="168">
        <v>0</v>
      </c>
      <c r="N106" s="169">
        <f t="shared" si="17"/>
        <v>0</v>
      </c>
      <c r="O106" s="169">
        <f t="shared" si="18"/>
        <v>0</v>
      </c>
      <c r="P106" s="170">
        <f t="shared" si="19"/>
        <v>0</v>
      </c>
      <c r="Q106" s="335"/>
      <c r="R106" s="358" t="s">
        <v>551</v>
      </c>
      <c r="S106" s="362" t="s">
        <v>596</v>
      </c>
    </row>
    <row r="107" spans="1:19" ht="23.25" customHeight="1" x14ac:dyDescent="0.5">
      <c r="A107" s="18">
        <f t="shared" si="20"/>
        <v>93</v>
      </c>
      <c r="B107" s="26" t="s">
        <v>45</v>
      </c>
      <c r="C107" s="124" t="s">
        <v>64</v>
      </c>
      <c r="D107" s="72" t="s">
        <v>52</v>
      </c>
      <c r="E107" s="73" t="s">
        <v>65</v>
      </c>
      <c r="F107" s="73"/>
      <c r="G107" s="73" t="s">
        <v>66</v>
      </c>
      <c r="H107" s="73" t="s">
        <v>106</v>
      </c>
      <c r="I107" s="191"/>
      <c r="J107" s="19">
        <f t="shared" si="21"/>
        <v>0</v>
      </c>
      <c r="K107" s="167" t="s">
        <v>37</v>
      </c>
      <c r="L107" s="168">
        <v>24.08</v>
      </c>
      <c r="M107" s="168">
        <v>0</v>
      </c>
      <c r="N107" s="169">
        <f t="shared" si="17"/>
        <v>0</v>
      </c>
      <c r="O107" s="169">
        <f t="shared" si="18"/>
        <v>0</v>
      </c>
      <c r="P107" s="170">
        <f t="shared" si="19"/>
        <v>0</v>
      </c>
      <c r="Q107" s="335"/>
      <c r="R107" s="358" t="s">
        <v>552</v>
      </c>
      <c r="S107" s="362" t="s">
        <v>597</v>
      </c>
    </row>
    <row r="108" spans="1:19" ht="23.25" customHeight="1" x14ac:dyDescent="0.5">
      <c r="A108" s="18">
        <f t="shared" si="20"/>
        <v>94</v>
      </c>
      <c r="B108" s="26" t="s">
        <v>45</v>
      </c>
      <c r="C108" s="124" t="s">
        <v>64</v>
      </c>
      <c r="D108" s="72" t="s">
        <v>386</v>
      </c>
      <c r="E108" s="73" t="s">
        <v>65</v>
      </c>
      <c r="F108" s="73"/>
      <c r="G108" s="73" t="s">
        <v>66</v>
      </c>
      <c r="H108" s="73" t="s">
        <v>106</v>
      </c>
      <c r="I108" s="191"/>
      <c r="J108" s="19">
        <f t="shared" si="21"/>
        <v>0</v>
      </c>
      <c r="K108" s="167" t="s">
        <v>37</v>
      </c>
      <c r="L108" s="168">
        <v>50.95</v>
      </c>
      <c r="M108" s="168">
        <v>0</v>
      </c>
      <c r="N108" s="169">
        <f t="shared" si="17"/>
        <v>0</v>
      </c>
      <c r="O108" s="169">
        <f t="shared" si="18"/>
        <v>0</v>
      </c>
      <c r="P108" s="170">
        <f t="shared" si="19"/>
        <v>0</v>
      </c>
      <c r="Q108" s="335"/>
      <c r="R108" s="358" t="s">
        <v>553</v>
      </c>
      <c r="S108" s="362" t="s">
        <v>598</v>
      </c>
    </row>
    <row r="109" spans="1:19" ht="23.25" customHeight="1" x14ac:dyDescent="0.5">
      <c r="A109" s="18">
        <f t="shared" si="20"/>
        <v>95</v>
      </c>
      <c r="B109" s="26" t="s">
        <v>45</v>
      </c>
      <c r="C109" s="124" t="s">
        <v>64</v>
      </c>
      <c r="D109" s="72" t="s">
        <v>74</v>
      </c>
      <c r="E109" s="73" t="s">
        <v>65</v>
      </c>
      <c r="F109" s="73"/>
      <c r="G109" s="73" t="s">
        <v>66</v>
      </c>
      <c r="H109" s="73" t="s">
        <v>106</v>
      </c>
      <c r="I109" s="191"/>
      <c r="J109" s="19">
        <f t="shared" si="21"/>
        <v>0</v>
      </c>
      <c r="K109" s="167" t="s">
        <v>37</v>
      </c>
      <c r="L109" s="168">
        <v>0</v>
      </c>
      <c r="M109" s="168">
        <v>0</v>
      </c>
      <c r="N109" s="169">
        <f t="shared" si="17"/>
        <v>0</v>
      </c>
      <c r="O109" s="169">
        <f t="shared" si="18"/>
        <v>0</v>
      </c>
      <c r="P109" s="170">
        <f t="shared" si="19"/>
        <v>0</v>
      </c>
      <c r="Q109" s="335"/>
      <c r="S109" s="358" t="s">
        <v>584</v>
      </c>
    </row>
    <row r="110" spans="1:19" ht="23.25" customHeight="1" x14ac:dyDescent="0.5">
      <c r="A110" s="18">
        <f t="shared" si="20"/>
        <v>96</v>
      </c>
      <c r="B110" s="26" t="s">
        <v>45</v>
      </c>
      <c r="C110" s="124" t="s">
        <v>64</v>
      </c>
      <c r="D110" s="72" t="s">
        <v>53</v>
      </c>
      <c r="E110" s="73" t="s">
        <v>65</v>
      </c>
      <c r="F110" s="73"/>
      <c r="G110" s="73" t="s">
        <v>66</v>
      </c>
      <c r="H110" s="73" t="s">
        <v>106</v>
      </c>
      <c r="I110" s="191"/>
      <c r="J110" s="19">
        <f t="shared" si="21"/>
        <v>0</v>
      </c>
      <c r="K110" s="167" t="s">
        <v>37</v>
      </c>
      <c r="L110" s="168">
        <v>191</v>
      </c>
      <c r="M110" s="168">
        <v>0</v>
      </c>
      <c r="N110" s="169">
        <f t="shared" si="17"/>
        <v>0</v>
      </c>
      <c r="O110" s="169">
        <f t="shared" si="18"/>
        <v>0</v>
      </c>
      <c r="P110" s="170">
        <f t="shared" si="19"/>
        <v>0</v>
      </c>
      <c r="Q110" s="335"/>
      <c r="R110" s="358" t="s">
        <v>574</v>
      </c>
      <c r="S110" s="358" t="s">
        <v>585</v>
      </c>
    </row>
    <row r="111" spans="1:19" ht="23.25" customHeight="1" x14ac:dyDescent="0.5">
      <c r="A111" s="18">
        <f t="shared" si="20"/>
        <v>97</v>
      </c>
      <c r="B111" s="26" t="s">
        <v>45</v>
      </c>
      <c r="C111" s="124" t="s">
        <v>64</v>
      </c>
      <c r="D111" s="72" t="s">
        <v>54</v>
      </c>
      <c r="E111" s="73" t="s">
        <v>65</v>
      </c>
      <c r="F111" s="73"/>
      <c r="G111" s="73" t="s">
        <v>66</v>
      </c>
      <c r="H111" s="73" t="s">
        <v>106</v>
      </c>
      <c r="I111" s="191"/>
      <c r="J111" s="19">
        <f t="shared" si="21"/>
        <v>0</v>
      </c>
      <c r="K111" s="167" t="s">
        <v>37</v>
      </c>
      <c r="L111" s="168"/>
      <c r="M111" s="168">
        <v>0</v>
      </c>
      <c r="N111" s="169">
        <f t="shared" si="17"/>
        <v>0</v>
      </c>
      <c r="O111" s="169">
        <f t="shared" ref="O111" si="24">M111*J111</f>
        <v>0</v>
      </c>
      <c r="P111" s="170">
        <f t="shared" ref="P111" si="25">(L111*J111)+(M111*J111)</f>
        <v>0</v>
      </c>
      <c r="Q111" s="335"/>
      <c r="R111" s="358"/>
      <c r="S111" s="358" t="s">
        <v>586</v>
      </c>
    </row>
    <row r="112" spans="1:19" ht="23.25" customHeight="1" x14ac:dyDescent="0.5">
      <c r="A112" s="18">
        <f t="shared" si="20"/>
        <v>98</v>
      </c>
      <c r="B112" s="26" t="s">
        <v>45</v>
      </c>
      <c r="C112" s="124" t="s">
        <v>64</v>
      </c>
      <c r="D112" s="72" t="s">
        <v>40</v>
      </c>
      <c r="E112" s="73" t="s">
        <v>65</v>
      </c>
      <c r="F112" s="73"/>
      <c r="G112" s="73" t="s">
        <v>66</v>
      </c>
      <c r="H112" s="73" t="s">
        <v>55</v>
      </c>
      <c r="I112" s="191"/>
      <c r="J112" s="19">
        <f t="shared" si="21"/>
        <v>0</v>
      </c>
      <c r="K112" s="167" t="s">
        <v>34</v>
      </c>
      <c r="L112" s="168">
        <v>30.16</v>
      </c>
      <c r="M112" s="168">
        <v>0</v>
      </c>
      <c r="N112" s="169">
        <f t="shared" si="17"/>
        <v>0</v>
      </c>
      <c r="O112" s="169">
        <f t="shared" si="18"/>
        <v>0</v>
      </c>
      <c r="P112" s="170">
        <f t="shared" si="19"/>
        <v>0</v>
      </c>
      <c r="Q112" s="335"/>
      <c r="R112" s="358" t="s">
        <v>551</v>
      </c>
      <c r="S112" s="362" t="s">
        <v>596</v>
      </c>
    </row>
    <row r="113" spans="1:19" ht="23.25" customHeight="1" x14ac:dyDescent="0.5">
      <c r="A113" s="18">
        <f t="shared" si="20"/>
        <v>99</v>
      </c>
      <c r="B113" s="26" t="s">
        <v>45</v>
      </c>
      <c r="C113" s="124" t="s">
        <v>64</v>
      </c>
      <c r="D113" s="72" t="s">
        <v>52</v>
      </c>
      <c r="E113" s="73" t="s">
        <v>65</v>
      </c>
      <c r="F113" s="73"/>
      <c r="G113" s="73" t="s">
        <v>66</v>
      </c>
      <c r="H113" s="73" t="s">
        <v>55</v>
      </c>
      <c r="I113" s="191"/>
      <c r="J113" s="19">
        <f t="shared" si="21"/>
        <v>0</v>
      </c>
      <c r="K113" s="167" t="s">
        <v>37</v>
      </c>
      <c r="L113" s="168">
        <v>26.95</v>
      </c>
      <c r="M113" s="168">
        <v>0</v>
      </c>
      <c r="N113" s="169">
        <f t="shared" si="17"/>
        <v>0</v>
      </c>
      <c r="O113" s="169">
        <f t="shared" si="18"/>
        <v>0</v>
      </c>
      <c r="P113" s="170">
        <f t="shared" si="19"/>
        <v>0</v>
      </c>
      <c r="Q113" s="335"/>
      <c r="R113" s="358" t="s">
        <v>552</v>
      </c>
      <c r="S113" s="362" t="s">
        <v>597</v>
      </c>
    </row>
    <row r="114" spans="1:19" ht="23.25" customHeight="1" x14ac:dyDescent="0.5">
      <c r="A114" s="18">
        <f t="shared" si="20"/>
        <v>100</v>
      </c>
      <c r="B114" s="26" t="s">
        <v>45</v>
      </c>
      <c r="C114" s="124" t="s">
        <v>64</v>
      </c>
      <c r="D114" s="72" t="s">
        <v>386</v>
      </c>
      <c r="E114" s="73" t="s">
        <v>65</v>
      </c>
      <c r="F114" s="73"/>
      <c r="G114" s="73" t="s">
        <v>66</v>
      </c>
      <c r="H114" s="73" t="s">
        <v>55</v>
      </c>
      <c r="I114" s="191"/>
      <c r="J114" s="19">
        <f t="shared" si="21"/>
        <v>0</v>
      </c>
      <c r="K114" s="167" t="s">
        <v>37</v>
      </c>
      <c r="L114" s="168">
        <v>56.89</v>
      </c>
      <c r="M114" s="168">
        <v>0</v>
      </c>
      <c r="N114" s="169">
        <f t="shared" si="17"/>
        <v>0</v>
      </c>
      <c r="O114" s="169">
        <f t="shared" si="18"/>
        <v>0</v>
      </c>
      <c r="P114" s="170">
        <f t="shared" si="19"/>
        <v>0</v>
      </c>
      <c r="Q114" s="335"/>
      <c r="R114" s="358" t="s">
        <v>553</v>
      </c>
      <c r="S114" s="362" t="s">
        <v>598</v>
      </c>
    </row>
    <row r="115" spans="1:19" ht="23.25" customHeight="1" x14ac:dyDescent="0.5">
      <c r="A115" s="18">
        <f t="shared" si="20"/>
        <v>101</v>
      </c>
      <c r="B115" s="26" t="s">
        <v>45</v>
      </c>
      <c r="C115" s="124" t="s">
        <v>64</v>
      </c>
      <c r="D115" s="72" t="s">
        <v>74</v>
      </c>
      <c r="E115" s="73" t="s">
        <v>65</v>
      </c>
      <c r="F115" s="73"/>
      <c r="G115" s="73" t="s">
        <v>66</v>
      </c>
      <c r="H115" s="73" t="s">
        <v>55</v>
      </c>
      <c r="I115" s="191"/>
      <c r="J115" s="19">
        <f t="shared" si="21"/>
        <v>0</v>
      </c>
      <c r="K115" s="167" t="s">
        <v>37</v>
      </c>
      <c r="L115" s="168">
        <v>0</v>
      </c>
      <c r="M115" s="168">
        <v>0</v>
      </c>
      <c r="N115" s="169">
        <f t="shared" si="17"/>
        <v>0</v>
      </c>
      <c r="O115" s="169">
        <f t="shared" ref="O115" si="26">M115*J115</f>
        <v>0</v>
      </c>
      <c r="P115" s="170">
        <f>(L100*J115)+(M115*J115)</f>
        <v>0</v>
      </c>
      <c r="Q115" s="335"/>
      <c r="S115" s="358" t="s">
        <v>584</v>
      </c>
    </row>
    <row r="116" spans="1:19" ht="23.25" customHeight="1" x14ac:dyDescent="0.5">
      <c r="A116" s="18">
        <f t="shared" si="20"/>
        <v>102</v>
      </c>
      <c r="B116" s="26" t="s">
        <v>45</v>
      </c>
      <c r="C116" s="124" t="s">
        <v>64</v>
      </c>
      <c r="D116" s="72" t="s">
        <v>53</v>
      </c>
      <c r="E116" s="73" t="s">
        <v>65</v>
      </c>
      <c r="F116" s="73"/>
      <c r="G116" s="73" t="s">
        <v>66</v>
      </c>
      <c r="H116" s="73" t="s">
        <v>55</v>
      </c>
      <c r="I116" s="191"/>
      <c r="J116" s="19">
        <f t="shared" si="21"/>
        <v>0</v>
      </c>
      <c r="K116" s="167" t="s">
        <v>37</v>
      </c>
      <c r="L116" s="168">
        <v>279</v>
      </c>
      <c r="M116" s="168">
        <v>0</v>
      </c>
      <c r="N116" s="169">
        <f t="shared" si="17"/>
        <v>0</v>
      </c>
      <c r="O116" s="169">
        <f t="shared" si="18"/>
        <v>0</v>
      </c>
      <c r="P116" s="170">
        <f t="shared" si="19"/>
        <v>0</v>
      </c>
      <c r="Q116" s="335"/>
      <c r="R116" s="358" t="s">
        <v>572</v>
      </c>
      <c r="S116" s="358" t="s">
        <v>585</v>
      </c>
    </row>
    <row r="117" spans="1:19" ht="23.25" customHeight="1" x14ac:dyDescent="0.5">
      <c r="A117" s="18">
        <f t="shared" si="20"/>
        <v>103</v>
      </c>
      <c r="B117" s="26" t="s">
        <v>45</v>
      </c>
      <c r="C117" s="124" t="s">
        <v>64</v>
      </c>
      <c r="D117" s="72" t="s">
        <v>54</v>
      </c>
      <c r="E117" s="73" t="s">
        <v>65</v>
      </c>
      <c r="F117" s="73"/>
      <c r="G117" s="73" t="s">
        <v>66</v>
      </c>
      <c r="H117" s="73" t="s">
        <v>55</v>
      </c>
      <c r="I117" s="191"/>
      <c r="J117" s="19">
        <f t="shared" si="21"/>
        <v>0</v>
      </c>
      <c r="K117" s="167" t="s">
        <v>37</v>
      </c>
      <c r="L117" s="168">
        <v>0</v>
      </c>
      <c r="M117" s="168">
        <v>0</v>
      </c>
      <c r="N117" s="169">
        <f t="shared" si="17"/>
        <v>0</v>
      </c>
      <c r="O117" s="169">
        <f t="shared" si="18"/>
        <v>0</v>
      </c>
      <c r="P117" s="170">
        <f>(L111*J117)+(M117*J117)</f>
        <v>0</v>
      </c>
      <c r="Q117" s="335"/>
      <c r="R117" s="358"/>
      <c r="S117" s="358" t="s">
        <v>586</v>
      </c>
    </row>
    <row r="118" spans="1:19" ht="23.25" customHeight="1" x14ac:dyDescent="0.5">
      <c r="A118" s="18">
        <f t="shared" si="20"/>
        <v>104</v>
      </c>
      <c r="B118" s="26" t="s">
        <v>45</v>
      </c>
      <c r="C118" s="124" t="s">
        <v>64</v>
      </c>
      <c r="D118" s="72" t="s">
        <v>40</v>
      </c>
      <c r="E118" s="73" t="s">
        <v>41</v>
      </c>
      <c r="F118" s="73"/>
      <c r="G118" s="73" t="s">
        <v>42</v>
      </c>
      <c r="H118" s="73" t="s">
        <v>43</v>
      </c>
      <c r="I118" s="191"/>
      <c r="J118" s="19">
        <f t="shared" si="21"/>
        <v>0</v>
      </c>
      <c r="K118" s="167" t="s">
        <v>34</v>
      </c>
      <c r="L118" s="168">
        <v>0</v>
      </c>
      <c r="M118" s="168">
        <v>0</v>
      </c>
      <c r="N118" s="169">
        <f t="shared" si="17"/>
        <v>0</v>
      </c>
      <c r="O118" s="169">
        <f t="shared" si="18"/>
        <v>0</v>
      </c>
      <c r="P118" s="170">
        <f>(L117*J118)+(M118*J118)</f>
        <v>0</v>
      </c>
      <c r="Q118" s="335"/>
      <c r="S118" s="358" t="s">
        <v>583</v>
      </c>
    </row>
    <row r="119" spans="1:19" ht="23.25" customHeight="1" x14ac:dyDescent="0.5">
      <c r="A119" s="18">
        <f t="shared" si="20"/>
        <v>105</v>
      </c>
      <c r="B119" s="26" t="s">
        <v>45</v>
      </c>
      <c r="C119" s="124" t="s">
        <v>64</v>
      </c>
      <c r="D119" s="72" t="s">
        <v>63</v>
      </c>
      <c r="E119" s="73"/>
      <c r="F119" s="73"/>
      <c r="G119" s="73"/>
      <c r="H119" s="73"/>
      <c r="I119" s="191"/>
      <c r="J119" s="19">
        <f t="shared" si="21"/>
        <v>0</v>
      </c>
      <c r="K119" s="167" t="s">
        <v>22</v>
      </c>
      <c r="L119" s="168">
        <v>0</v>
      </c>
      <c r="M119" s="168">
        <v>0</v>
      </c>
      <c r="N119" s="169">
        <f t="shared" si="17"/>
        <v>0</v>
      </c>
      <c r="O119" s="169">
        <f t="shared" si="18"/>
        <v>0</v>
      </c>
      <c r="P119" s="170">
        <f t="shared" si="19"/>
        <v>0</v>
      </c>
      <c r="Q119" s="335"/>
    </row>
    <row r="120" spans="1:19" ht="23.25" customHeight="1" x14ac:dyDescent="0.5">
      <c r="A120" s="18">
        <f t="shared" si="20"/>
        <v>106</v>
      </c>
      <c r="B120" s="26" t="s">
        <v>45</v>
      </c>
      <c r="C120" s="124" t="s">
        <v>64</v>
      </c>
      <c r="D120" s="43" t="s">
        <v>358</v>
      </c>
      <c r="E120" s="5"/>
      <c r="F120" s="5"/>
      <c r="G120" s="5"/>
      <c r="H120" s="5"/>
      <c r="I120" s="20"/>
      <c r="J120" s="19">
        <f>I120</f>
        <v>0</v>
      </c>
      <c r="K120" s="171"/>
      <c r="L120" s="168">
        <v>0</v>
      </c>
      <c r="M120" s="168">
        <v>0</v>
      </c>
      <c r="N120" s="169">
        <f t="shared" si="17"/>
        <v>0</v>
      </c>
      <c r="O120" s="169">
        <f>M120*J120</f>
        <v>0</v>
      </c>
      <c r="P120" s="170">
        <f>(L120*J120)+(M120*J120)</f>
        <v>0</v>
      </c>
      <c r="Q120" s="326"/>
    </row>
    <row r="121" spans="1:19" ht="23.25" customHeight="1" thickBot="1" x14ac:dyDescent="0.55000000000000004">
      <c r="A121" s="29">
        <f>A120+1</f>
        <v>107</v>
      </c>
      <c r="B121" s="36" t="s">
        <v>45</v>
      </c>
      <c r="C121" s="122" t="s">
        <v>64</v>
      </c>
      <c r="D121" s="44" t="s">
        <v>358</v>
      </c>
      <c r="E121" s="6"/>
      <c r="F121" s="6"/>
      <c r="G121" s="6"/>
      <c r="H121" s="6"/>
      <c r="I121" s="21"/>
      <c r="J121" s="22">
        <f>I121</f>
        <v>0</v>
      </c>
      <c r="K121" s="172"/>
      <c r="L121" s="173">
        <v>0</v>
      </c>
      <c r="M121" s="173">
        <v>0</v>
      </c>
      <c r="N121" s="174">
        <f t="shared" si="17"/>
        <v>0</v>
      </c>
      <c r="O121" s="174">
        <f>M121*J121</f>
        <v>0</v>
      </c>
      <c r="P121" s="175">
        <f>(L121*J121)+(M121*J121)</f>
        <v>0</v>
      </c>
      <c r="Q121" s="327"/>
    </row>
    <row r="122" spans="1:19" ht="71" thickBot="1" x14ac:dyDescent="0.55000000000000004">
      <c r="A122" s="30"/>
      <c r="B122" s="37" t="s">
        <v>45</v>
      </c>
      <c r="C122" s="86" t="s">
        <v>67</v>
      </c>
      <c r="D122" s="192" t="s">
        <v>560</v>
      </c>
      <c r="E122" s="177"/>
      <c r="F122" s="177"/>
      <c r="G122" s="177"/>
      <c r="H122" s="178"/>
      <c r="I122" s="179"/>
      <c r="J122" s="180"/>
      <c r="K122" s="181"/>
      <c r="L122" s="182"/>
      <c r="M122" s="182"/>
      <c r="N122" s="183"/>
      <c r="O122" s="183"/>
      <c r="P122" s="184"/>
      <c r="Q122" s="333"/>
    </row>
    <row r="123" spans="1:19" ht="23.25" customHeight="1" x14ac:dyDescent="0.5">
      <c r="A123" s="28">
        <f>A121+1</f>
        <v>108</v>
      </c>
      <c r="B123" s="35" t="s">
        <v>45</v>
      </c>
      <c r="C123" s="121" t="s">
        <v>67</v>
      </c>
      <c r="D123" s="77" t="s">
        <v>40</v>
      </c>
      <c r="E123" s="78" t="s">
        <v>48</v>
      </c>
      <c r="F123" s="78"/>
      <c r="G123" s="78" t="s">
        <v>68</v>
      </c>
      <c r="H123" s="78" t="s">
        <v>388</v>
      </c>
      <c r="I123" s="189"/>
      <c r="J123" s="32">
        <v>0</v>
      </c>
      <c r="K123" s="81" t="s">
        <v>51</v>
      </c>
      <c r="L123" s="185">
        <v>19.440000000000001</v>
      </c>
      <c r="M123" s="185">
        <v>0</v>
      </c>
      <c r="N123" s="186">
        <f t="shared" ref="N123:N154" si="27">L123*J123</f>
        <v>0</v>
      </c>
      <c r="O123" s="186">
        <f t="shared" ref="O123:O153" si="28">M123*J123</f>
        <v>0</v>
      </c>
      <c r="P123" s="187">
        <f t="shared" ref="P123:P153" si="29">(L123*J123)+(M123*J123)</f>
        <v>0</v>
      </c>
      <c r="Q123" s="336"/>
      <c r="R123" s="358" t="s">
        <v>551</v>
      </c>
      <c r="S123" s="363" t="s">
        <v>593</v>
      </c>
    </row>
    <row r="124" spans="1:19" ht="23.25" customHeight="1" x14ac:dyDescent="0.5">
      <c r="A124" s="18">
        <f>A123+1</f>
        <v>109</v>
      </c>
      <c r="B124" s="26" t="s">
        <v>45</v>
      </c>
      <c r="C124" s="124" t="s">
        <v>67</v>
      </c>
      <c r="D124" s="72" t="s">
        <v>52</v>
      </c>
      <c r="E124" s="73" t="s">
        <v>48</v>
      </c>
      <c r="F124" s="73"/>
      <c r="G124" s="73" t="s">
        <v>68</v>
      </c>
      <c r="H124" s="73" t="s">
        <v>388</v>
      </c>
      <c r="I124" s="191"/>
      <c r="J124" s="19">
        <v>0</v>
      </c>
      <c r="K124" s="80" t="s">
        <v>22</v>
      </c>
      <c r="L124" s="168">
        <v>27.8</v>
      </c>
      <c r="M124" s="168">
        <v>0</v>
      </c>
      <c r="N124" s="169">
        <f t="shared" si="27"/>
        <v>0</v>
      </c>
      <c r="O124" s="169">
        <f t="shared" si="28"/>
        <v>0</v>
      </c>
      <c r="P124" s="170">
        <f t="shared" si="29"/>
        <v>0</v>
      </c>
      <c r="Q124" s="335"/>
      <c r="R124" s="358" t="s">
        <v>552</v>
      </c>
      <c r="S124" s="362" t="s">
        <v>594</v>
      </c>
    </row>
    <row r="125" spans="1:19" ht="23.25" customHeight="1" x14ac:dyDescent="0.5">
      <c r="A125" s="18">
        <f t="shared" ref="A125:A153" si="30">A124+1</f>
        <v>110</v>
      </c>
      <c r="B125" s="26" t="s">
        <v>45</v>
      </c>
      <c r="C125" s="124" t="s">
        <v>67</v>
      </c>
      <c r="D125" s="72" t="s">
        <v>386</v>
      </c>
      <c r="E125" s="73" t="s">
        <v>48</v>
      </c>
      <c r="F125" s="73"/>
      <c r="G125" s="73" t="s">
        <v>68</v>
      </c>
      <c r="H125" s="73" t="s">
        <v>388</v>
      </c>
      <c r="I125" s="191"/>
      <c r="J125" s="19">
        <v>0</v>
      </c>
      <c r="K125" s="80" t="s">
        <v>22</v>
      </c>
      <c r="L125" s="168">
        <v>59.78</v>
      </c>
      <c r="M125" s="168">
        <v>0</v>
      </c>
      <c r="N125" s="169">
        <f t="shared" si="27"/>
        <v>0</v>
      </c>
      <c r="O125" s="169">
        <f t="shared" si="28"/>
        <v>0</v>
      </c>
      <c r="P125" s="170">
        <f t="shared" si="29"/>
        <v>0</v>
      </c>
      <c r="Q125" s="335"/>
      <c r="R125" s="358" t="s">
        <v>553</v>
      </c>
      <c r="S125" s="362" t="s">
        <v>595</v>
      </c>
    </row>
    <row r="126" spans="1:19" ht="23.25" customHeight="1" x14ac:dyDescent="0.5">
      <c r="A126" s="18">
        <f t="shared" si="30"/>
        <v>111</v>
      </c>
      <c r="B126" s="26" t="s">
        <v>45</v>
      </c>
      <c r="C126" s="124" t="s">
        <v>67</v>
      </c>
      <c r="D126" s="72" t="s">
        <v>74</v>
      </c>
      <c r="E126" s="73" t="s">
        <v>48</v>
      </c>
      <c r="F126" s="73"/>
      <c r="G126" s="73" t="s">
        <v>68</v>
      </c>
      <c r="H126" s="73" t="s">
        <v>388</v>
      </c>
      <c r="I126" s="191"/>
      <c r="J126" s="19">
        <v>0</v>
      </c>
      <c r="K126" s="80" t="s">
        <v>22</v>
      </c>
      <c r="L126" s="168">
        <v>0</v>
      </c>
      <c r="M126" s="168">
        <v>0</v>
      </c>
      <c r="N126" s="169">
        <f t="shared" si="27"/>
        <v>0</v>
      </c>
      <c r="O126" s="169">
        <f t="shared" si="28"/>
        <v>0</v>
      </c>
      <c r="P126" s="170">
        <f t="shared" si="29"/>
        <v>0</v>
      </c>
      <c r="Q126" s="335"/>
      <c r="R126" s="3"/>
      <c r="S126" s="358" t="s">
        <v>584</v>
      </c>
    </row>
    <row r="127" spans="1:19" ht="23.25" customHeight="1" x14ac:dyDescent="0.5">
      <c r="A127" s="18">
        <f t="shared" si="30"/>
        <v>112</v>
      </c>
      <c r="B127" s="26" t="s">
        <v>45</v>
      </c>
      <c r="C127" s="124" t="s">
        <v>67</v>
      </c>
      <c r="D127" s="72" t="s">
        <v>53</v>
      </c>
      <c r="E127" s="73" t="s">
        <v>48</v>
      </c>
      <c r="F127" s="73"/>
      <c r="G127" s="73" t="s">
        <v>49</v>
      </c>
      <c r="H127" s="73" t="s">
        <v>388</v>
      </c>
      <c r="I127" s="74"/>
      <c r="J127" s="19">
        <v>0</v>
      </c>
      <c r="K127" s="80" t="s">
        <v>22</v>
      </c>
      <c r="L127" s="168">
        <v>108</v>
      </c>
      <c r="M127" s="168">
        <v>0</v>
      </c>
      <c r="N127" s="169">
        <f t="shared" si="27"/>
        <v>0</v>
      </c>
      <c r="O127" s="169">
        <f t="shared" si="28"/>
        <v>0</v>
      </c>
      <c r="P127" s="170">
        <f t="shared" si="29"/>
        <v>0</v>
      </c>
      <c r="Q127" s="326"/>
      <c r="R127" s="358" t="s">
        <v>561</v>
      </c>
      <c r="S127" s="358" t="s">
        <v>585</v>
      </c>
    </row>
    <row r="128" spans="1:19" ht="23.25" customHeight="1" x14ac:dyDescent="0.5">
      <c r="A128" s="18">
        <f t="shared" si="30"/>
        <v>113</v>
      </c>
      <c r="B128" s="26" t="s">
        <v>45</v>
      </c>
      <c r="C128" s="124" t="s">
        <v>67</v>
      </c>
      <c r="D128" s="72" t="s">
        <v>54</v>
      </c>
      <c r="E128" s="73" t="s">
        <v>48</v>
      </c>
      <c r="F128" s="73"/>
      <c r="G128" s="73" t="s">
        <v>68</v>
      </c>
      <c r="H128" s="73" t="s">
        <v>388</v>
      </c>
      <c r="I128" s="191"/>
      <c r="J128" s="19">
        <v>0</v>
      </c>
      <c r="K128" s="80" t="s">
        <v>22</v>
      </c>
      <c r="L128" s="168">
        <v>450</v>
      </c>
      <c r="M128" s="168">
        <v>0</v>
      </c>
      <c r="N128" s="169">
        <f t="shared" si="27"/>
        <v>0</v>
      </c>
      <c r="O128" s="169">
        <f t="shared" si="28"/>
        <v>0</v>
      </c>
      <c r="P128" s="170">
        <f t="shared" si="29"/>
        <v>0</v>
      </c>
      <c r="Q128" s="335"/>
      <c r="R128" s="358" t="s">
        <v>555</v>
      </c>
      <c r="S128" s="358" t="s">
        <v>586</v>
      </c>
    </row>
    <row r="129" spans="1:19" ht="23.25" customHeight="1" x14ac:dyDescent="0.5">
      <c r="A129" s="18">
        <f t="shared" si="30"/>
        <v>114</v>
      </c>
      <c r="B129" s="26" t="s">
        <v>45</v>
      </c>
      <c r="C129" s="124" t="s">
        <v>67</v>
      </c>
      <c r="D129" s="72" t="s">
        <v>69</v>
      </c>
      <c r="E129" s="73" t="s">
        <v>48</v>
      </c>
      <c r="F129" s="73"/>
      <c r="G129" s="73" t="s">
        <v>68</v>
      </c>
      <c r="H129" s="73" t="s">
        <v>388</v>
      </c>
      <c r="I129" s="191"/>
      <c r="J129" s="19">
        <v>0</v>
      </c>
      <c r="K129" s="80" t="s">
        <v>51</v>
      </c>
      <c r="L129" s="168">
        <v>0</v>
      </c>
      <c r="M129" s="168">
        <v>0</v>
      </c>
      <c r="N129" s="169">
        <f t="shared" si="27"/>
        <v>0</v>
      </c>
      <c r="O129" s="169">
        <f t="shared" si="28"/>
        <v>0</v>
      </c>
      <c r="P129" s="170">
        <f t="shared" si="29"/>
        <v>0</v>
      </c>
      <c r="Q129" s="335"/>
      <c r="S129" s="358" t="s">
        <v>587</v>
      </c>
    </row>
    <row r="130" spans="1:19" ht="23.25" customHeight="1" x14ac:dyDescent="0.5">
      <c r="A130" s="18">
        <f t="shared" si="30"/>
        <v>115</v>
      </c>
      <c r="B130" s="26" t="s">
        <v>45</v>
      </c>
      <c r="C130" s="124" t="s">
        <v>67</v>
      </c>
      <c r="D130" s="72" t="s">
        <v>40</v>
      </c>
      <c r="E130" s="73" t="s">
        <v>48</v>
      </c>
      <c r="F130" s="73"/>
      <c r="G130" s="73" t="s">
        <v>68</v>
      </c>
      <c r="H130" s="73" t="s">
        <v>389</v>
      </c>
      <c r="I130" s="191"/>
      <c r="J130" s="19">
        <v>0</v>
      </c>
      <c r="K130" s="80" t="s">
        <v>22</v>
      </c>
      <c r="L130" s="168">
        <v>23.57</v>
      </c>
      <c r="M130" s="168">
        <v>0</v>
      </c>
      <c r="N130" s="169">
        <f t="shared" si="27"/>
        <v>0</v>
      </c>
      <c r="O130" s="169">
        <f t="shared" si="28"/>
        <v>0</v>
      </c>
      <c r="P130" s="170">
        <f t="shared" si="29"/>
        <v>0</v>
      </c>
      <c r="Q130" s="335"/>
      <c r="R130" s="358" t="s">
        <v>551</v>
      </c>
      <c r="S130" s="363" t="s">
        <v>593</v>
      </c>
    </row>
    <row r="131" spans="1:19" ht="23.25" customHeight="1" x14ac:dyDescent="0.5">
      <c r="A131" s="18">
        <f t="shared" si="30"/>
        <v>116</v>
      </c>
      <c r="B131" s="26" t="s">
        <v>45</v>
      </c>
      <c r="C131" s="124" t="s">
        <v>67</v>
      </c>
      <c r="D131" s="72" t="s">
        <v>52</v>
      </c>
      <c r="E131" s="73" t="s">
        <v>48</v>
      </c>
      <c r="F131" s="73"/>
      <c r="G131" s="73" t="s">
        <v>68</v>
      </c>
      <c r="H131" s="73" t="s">
        <v>389</v>
      </c>
      <c r="I131" s="191"/>
      <c r="J131" s="19">
        <v>0</v>
      </c>
      <c r="K131" s="80" t="s">
        <v>22</v>
      </c>
      <c r="L131" s="168">
        <v>28.18</v>
      </c>
      <c r="M131" s="168">
        <v>0</v>
      </c>
      <c r="N131" s="169">
        <f t="shared" si="27"/>
        <v>0</v>
      </c>
      <c r="O131" s="169">
        <f t="shared" si="28"/>
        <v>0</v>
      </c>
      <c r="P131" s="170">
        <f t="shared" si="29"/>
        <v>0</v>
      </c>
      <c r="Q131" s="335"/>
      <c r="R131" s="358" t="s">
        <v>552</v>
      </c>
      <c r="S131" s="362" t="s">
        <v>594</v>
      </c>
    </row>
    <row r="132" spans="1:19" ht="23.25" customHeight="1" x14ac:dyDescent="0.5">
      <c r="A132" s="18">
        <f t="shared" si="30"/>
        <v>117</v>
      </c>
      <c r="B132" s="26" t="s">
        <v>45</v>
      </c>
      <c r="C132" s="124" t="s">
        <v>67</v>
      </c>
      <c r="D132" s="72" t="s">
        <v>386</v>
      </c>
      <c r="E132" s="73" t="s">
        <v>48</v>
      </c>
      <c r="F132" s="73"/>
      <c r="G132" s="73" t="s">
        <v>68</v>
      </c>
      <c r="H132" s="73" t="s">
        <v>389</v>
      </c>
      <c r="I132" s="191"/>
      <c r="J132" s="19">
        <v>0</v>
      </c>
      <c r="K132" s="80" t="s">
        <v>22</v>
      </c>
      <c r="L132" s="168">
        <v>64.88</v>
      </c>
      <c r="M132" s="168">
        <v>0</v>
      </c>
      <c r="N132" s="169">
        <f t="shared" si="27"/>
        <v>0</v>
      </c>
      <c r="O132" s="169">
        <f t="shared" si="28"/>
        <v>0</v>
      </c>
      <c r="P132" s="170">
        <f t="shared" si="29"/>
        <v>0</v>
      </c>
      <c r="Q132" s="335"/>
      <c r="R132" s="358" t="s">
        <v>553</v>
      </c>
      <c r="S132" s="362" t="s">
        <v>595</v>
      </c>
    </row>
    <row r="133" spans="1:19" ht="23.25" customHeight="1" x14ac:dyDescent="0.5">
      <c r="A133" s="18">
        <f t="shared" si="30"/>
        <v>118</v>
      </c>
      <c r="B133" s="26" t="s">
        <v>45</v>
      </c>
      <c r="C133" s="124" t="s">
        <v>67</v>
      </c>
      <c r="D133" s="72" t="s">
        <v>74</v>
      </c>
      <c r="E133" s="73" t="s">
        <v>48</v>
      </c>
      <c r="F133" s="73"/>
      <c r="G133" s="73" t="s">
        <v>68</v>
      </c>
      <c r="H133" s="73" t="s">
        <v>389</v>
      </c>
      <c r="I133" s="191"/>
      <c r="J133" s="19">
        <v>0</v>
      </c>
      <c r="K133" s="80" t="s">
        <v>22</v>
      </c>
      <c r="L133" s="168">
        <v>0</v>
      </c>
      <c r="M133" s="168">
        <v>0</v>
      </c>
      <c r="N133" s="169">
        <f t="shared" si="27"/>
        <v>0</v>
      </c>
      <c r="O133" s="169">
        <f t="shared" si="28"/>
        <v>0</v>
      </c>
      <c r="P133" s="170">
        <f t="shared" si="29"/>
        <v>0</v>
      </c>
      <c r="Q133" s="335"/>
      <c r="R133" s="3"/>
      <c r="S133" s="358" t="s">
        <v>584</v>
      </c>
    </row>
    <row r="134" spans="1:19" ht="23.25" customHeight="1" x14ac:dyDescent="0.5">
      <c r="A134" s="18">
        <f t="shared" si="30"/>
        <v>119</v>
      </c>
      <c r="B134" s="26" t="s">
        <v>45</v>
      </c>
      <c r="C134" s="124" t="s">
        <v>67</v>
      </c>
      <c r="D134" s="72" t="s">
        <v>53</v>
      </c>
      <c r="E134" s="73" t="s">
        <v>48</v>
      </c>
      <c r="F134" s="73"/>
      <c r="G134" s="73" t="s">
        <v>49</v>
      </c>
      <c r="H134" s="73" t="s">
        <v>389</v>
      </c>
      <c r="I134" s="74"/>
      <c r="J134" s="19">
        <v>0</v>
      </c>
      <c r="K134" s="80" t="s">
        <v>22</v>
      </c>
      <c r="L134" s="168">
        <v>215.49</v>
      </c>
      <c r="M134" s="168">
        <v>0</v>
      </c>
      <c r="N134" s="169">
        <f t="shared" si="27"/>
        <v>0</v>
      </c>
      <c r="O134" s="169">
        <f t="shared" si="28"/>
        <v>0</v>
      </c>
      <c r="P134" s="170">
        <f t="shared" si="29"/>
        <v>0</v>
      </c>
      <c r="Q134" s="326"/>
      <c r="R134" s="358" t="s">
        <v>564</v>
      </c>
      <c r="S134" s="358" t="s">
        <v>585</v>
      </c>
    </row>
    <row r="135" spans="1:19" ht="23.25" customHeight="1" x14ac:dyDescent="0.5">
      <c r="A135" s="18">
        <f t="shared" si="30"/>
        <v>120</v>
      </c>
      <c r="B135" s="26" t="s">
        <v>45</v>
      </c>
      <c r="C135" s="124" t="s">
        <v>67</v>
      </c>
      <c r="D135" s="72" t="s">
        <v>54</v>
      </c>
      <c r="E135" s="73" t="s">
        <v>48</v>
      </c>
      <c r="F135" s="73"/>
      <c r="G135" s="73" t="s">
        <v>68</v>
      </c>
      <c r="H135" s="73" t="s">
        <v>389</v>
      </c>
      <c r="I135" s="191"/>
      <c r="J135" s="19">
        <v>0</v>
      </c>
      <c r="K135" s="80" t="s">
        <v>51</v>
      </c>
      <c r="L135" s="168">
        <v>286.98</v>
      </c>
      <c r="M135" s="168">
        <v>0</v>
      </c>
      <c r="N135" s="169">
        <f t="shared" si="27"/>
        <v>0</v>
      </c>
      <c r="O135" s="169">
        <f t="shared" si="28"/>
        <v>0</v>
      </c>
      <c r="P135" s="170">
        <f t="shared" si="29"/>
        <v>0</v>
      </c>
      <c r="Q135" s="335"/>
      <c r="R135" s="358" t="s">
        <v>556</v>
      </c>
      <c r="S135" s="358" t="s">
        <v>586</v>
      </c>
    </row>
    <row r="136" spans="1:19" ht="23.25" customHeight="1" x14ac:dyDescent="0.5">
      <c r="A136" s="18">
        <f t="shared" si="30"/>
        <v>121</v>
      </c>
      <c r="B136" s="26" t="s">
        <v>45</v>
      </c>
      <c r="C136" s="124" t="s">
        <v>67</v>
      </c>
      <c r="D136" s="72" t="s">
        <v>69</v>
      </c>
      <c r="E136" s="73" t="s">
        <v>48</v>
      </c>
      <c r="F136" s="73"/>
      <c r="G136" s="73" t="s">
        <v>68</v>
      </c>
      <c r="H136" s="73" t="s">
        <v>389</v>
      </c>
      <c r="I136" s="191"/>
      <c r="J136" s="19">
        <v>0</v>
      </c>
      <c r="K136" s="80" t="s">
        <v>22</v>
      </c>
      <c r="L136" s="168">
        <v>0</v>
      </c>
      <c r="M136" s="168">
        <v>0</v>
      </c>
      <c r="N136" s="169">
        <f t="shared" si="27"/>
        <v>0</v>
      </c>
      <c r="O136" s="169">
        <f t="shared" si="28"/>
        <v>0</v>
      </c>
      <c r="P136" s="170">
        <f t="shared" si="29"/>
        <v>0</v>
      </c>
      <c r="Q136" s="335"/>
      <c r="S136" s="358" t="s">
        <v>587</v>
      </c>
    </row>
    <row r="137" spans="1:19" ht="23.25" customHeight="1" x14ac:dyDescent="0.5">
      <c r="A137" s="18">
        <f t="shared" si="30"/>
        <v>122</v>
      </c>
      <c r="B137" s="26" t="s">
        <v>45</v>
      </c>
      <c r="C137" s="124" t="s">
        <v>67</v>
      </c>
      <c r="D137" s="72" t="s">
        <v>40</v>
      </c>
      <c r="E137" s="73" t="s">
        <v>48</v>
      </c>
      <c r="F137" s="73"/>
      <c r="G137" s="73" t="s">
        <v>68</v>
      </c>
      <c r="H137" s="73" t="s">
        <v>105</v>
      </c>
      <c r="I137" s="191"/>
      <c r="J137" s="19">
        <v>0</v>
      </c>
      <c r="K137" s="80" t="s">
        <v>22</v>
      </c>
      <c r="L137" s="168">
        <v>26.34</v>
      </c>
      <c r="M137" s="168">
        <v>0</v>
      </c>
      <c r="N137" s="169">
        <f t="shared" si="27"/>
        <v>0</v>
      </c>
      <c r="O137" s="169">
        <f t="shared" si="28"/>
        <v>0</v>
      </c>
      <c r="P137" s="170">
        <f t="shared" si="29"/>
        <v>0</v>
      </c>
      <c r="Q137" s="335"/>
      <c r="R137" s="358" t="s">
        <v>551</v>
      </c>
      <c r="S137" s="363" t="s">
        <v>593</v>
      </c>
    </row>
    <row r="138" spans="1:19" ht="23.25" customHeight="1" x14ac:dyDescent="0.5">
      <c r="A138" s="18">
        <f t="shared" si="30"/>
        <v>123</v>
      </c>
      <c r="B138" s="26" t="s">
        <v>45</v>
      </c>
      <c r="C138" s="124" t="s">
        <v>67</v>
      </c>
      <c r="D138" s="72" t="s">
        <v>52</v>
      </c>
      <c r="E138" s="73" t="s">
        <v>48</v>
      </c>
      <c r="F138" s="73"/>
      <c r="G138" s="73" t="s">
        <v>68</v>
      </c>
      <c r="H138" s="73" t="s">
        <v>105</v>
      </c>
      <c r="I138" s="191"/>
      <c r="J138" s="19">
        <v>0</v>
      </c>
      <c r="K138" s="80" t="s">
        <v>22</v>
      </c>
      <c r="L138" s="168">
        <v>42.08</v>
      </c>
      <c r="M138" s="168">
        <v>0</v>
      </c>
      <c r="N138" s="169">
        <f t="shared" si="27"/>
        <v>0</v>
      </c>
      <c r="O138" s="169">
        <f t="shared" si="28"/>
        <v>0</v>
      </c>
      <c r="P138" s="170">
        <f t="shared" si="29"/>
        <v>0</v>
      </c>
      <c r="Q138" s="335"/>
      <c r="R138" s="358" t="s">
        <v>552</v>
      </c>
      <c r="S138" s="362" t="s">
        <v>594</v>
      </c>
    </row>
    <row r="139" spans="1:19" ht="23.25" customHeight="1" x14ac:dyDescent="0.5">
      <c r="A139" s="18">
        <f t="shared" si="30"/>
        <v>124</v>
      </c>
      <c r="B139" s="26" t="s">
        <v>45</v>
      </c>
      <c r="C139" s="124" t="s">
        <v>67</v>
      </c>
      <c r="D139" s="72" t="s">
        <v>386</v>
      </c>
      <c r="E139" s="73" t="s">
        <v>48</v>
      </c>
      <c r="F139" s="73"/>
      <c r="G139" s="73" t="s">
        <v>68</v>
      </c>
      <c r="H139" s="73" t="s">
        <v>105</v>
      </c>
      <c r="I139" s="191"/>
      <c r="J139" s="19">
        <v>0</v>
      </c>
      <c r="K139" s="80" t="s">
        <v>22</v>
      </c>
      <c r="L139" s="168">
        <v>68.430000000000007</v>
      </c>
      <c r="M139" s="168">
        <v>0</v>
      </c>
      <c r="N139" s="169">
        <f t="shared" si="27"/>
        <v>0</v>
      </c>
      <c r="O139" s="169">
        <f t="shared" si="28"/>
        <v>0</v>
      </c>
      <c r="P139" s="170">
        <f t="shared" si="29"/>
        <v>0</v>
      </c>
      <c r="Q139" s="335"/>
      <c r="R139" s="358" t="s">
        <v>553</v>
      </c>
      <c r="S139" s="362" t="s">
        <v>595</v>
      </c>
    </row>
    <row r="140" spans="1:19" ht="23.25" customHeight="1" x14ac:dyDescent="0.5">
      <c r="A140" s="18">
        <f t="shared" si="30"/>
        <v>125</v>
      </c>
      <c r="B140" s="26" t="s">
        <v>45</v>
      </c>
      <c r="C140" s="124" t="s">
        <v>67</v>
      </c>
      <c r="D140" s="72" t="s">
        <v>74</v>
      </c>
      <c r="E140" s="73" t="s">
        <v>48</v>
      </c>
      <c r="F140" s="73"/>
      <c r="G140" s="73" t="s">
        <v>68</v>
      </c>
      <c r="H140" s="73" t="s">
        <v>105</v>
      </c>
      <c r="I140" s="191"/>
      <c r="J140" s="19">
        <v>0</v>
      </c>
      <c r="K140" s="80" t="s">
        <v>22</v>
      </c>
      <c r="L140" s="168">
        <v>0</v>
      </c>
      <c r="M140" s="168">
        <v>0</v>
      </c>
      <c r="N140" s="169">
        <f t="shared" si="27"/>
        <v>0</v>
      </c>
      <c r="O140" s="169">
        <f t="shared" si="28"/>
        <v>0</v>
      </c>
      <c r="P140" s="170">
        <f t="shared" si="29"/>
        <v>0</v>
      </c>
      <c r="Q140" s="335"/>
      <c r="R140" s="3"/>
      <c r="S140" s="358" t="s">
        <v>584</v>
      </c>
    </row>
    <row r="141" spans="1:19" ht="23.25" customHeight="1" x14ac:dyDescent="0.5">
      <c r="A141" s="18">
        <f t="shared" si="30"/>
        <v>126</v>
      </c>
      <c r="B141" s="26" t="s">
        <v>45</v>
      </c>
      <c r="C141" s="124" t="s">
        <v>67</v>
      </c>
      <c r="D141" s="72" t="s">
        <v>53</v>
      </c>
      <c r="E141" s="73" t="s">
        <v>48</v>
      </c>
      <c r="F141" s="73"/>
      <c r="G141" s="73" t="s">
        <v>49</v>
      </c>
      <c r="H141" s="73" t="s">
        <v>105</v>
      </c>
      <c r="I141" s="74"/>
      <c r="J141" s="19">
        <v>0</v>
      </c>
      <c r="K141" s="80" t="s">
        <v>22</v>
      </c>
      <c r="L141" s="168">
        <v>170</v>
      </c>
      <c r="M141" s="168">
        <v>0</v>
      </c>
      <c r="N141" s="169">
        <f t="shared" si="27"/>
        <v>0</v>
      </c>
      <c r="O141" s="169">
        <f t="shared" si="28"/>
        <v>0</v>
      </c>
      <c r="P141" s="170">
        <f t="shared" si="29"/>
        <v>0</v>
      </c>
      <c r="Q141" s="326"/>
      <c r="R141" s="358" t="s">
        <v>562</v>
      </c>
      <c r="S141" s="358" t="s">
        <v>585</v>
      </c>
    </row>
    <row r="142" spans="1:19" ht="23.25" customHeight="1" x14ac:dyDescent="0.5">
      <c r="A142" s="18">
        <f t="shared" si="30"/>
        <v>127</v>
      </c>
      <c r="B142" s="26" t="s">
        <v>45</v>
      </c>
      <c r="C142" s="124" t="s">
        <v>67</v>
      </c>
      <c r="D142" s="72" t="s">
        <v>54</v>
      </c>
      <c r="E142" s="73" t="s">
        <v>48</v>
      </c>
      <c r="F142" s="73"/>
      <c r="G142" s="73" t="s">
        <v>68</v>
      </c>
      <c r="H142" s="73" t="s">
        <v>105</v>
      </c>
      <c r="I142" s="191"/>
      <c r="J142" s="19">
        <v>0</v>
      </c>
      <c r="K142" s="80" t="s">
        <v>22</v>
      </c>
      <c r="L142" s="168">
        <v>530.91</v>
      </c>
      <c r="M142" s="168">
        <v>0</v>
      </c>
      <c r="N142" s="169">
        <f t="shared" si="27"/>
        <v>0</v>
      </c>
      <c r="O142" s="169">
        <f t="shared" si="28"/>
        <v>0</v>
      </c>
      <c r="P142" s="170">
        <f t="shared" si="29"/>
        <v>0</v>
      </c>
      <c r="Q142" s="335"/>
      <c r="R142" s="358" t="s">
        <v>557</v>
      </c>
      <c r="S142" s="358" t="s">
        <v>586</v>
      </c>
    </row>
    <row r="143" spans="1:19" ht="23.25" customHeight="1" x14ac:dyDescent="0.5">
      <c r="A143" s="18">
        <f t="shared" si="30"/>
        <v>128</v>
      </c>
      <c r="B143" s="26" t="s">
        <v>45</v>
      </c>
      <c r="C143" s="124" t="s">
        <v>67</v>
      </c>
      <c r="D143" s="72" t="s">
        <v>69</v>
      </c>
      <c r="E143" s="73" t="s">
        <v>48</v>
      </c>
      <c r="F143" s="73"/>
      <c r="G143" s="73" t="s">
        <v>68</v>
      </c>
      <c r="H143" s="73" t="s">
        <v>105</v>
      </c>
      <c r="I143" s="191"/>
      <c r="J143" s="19">
        <v>0</v>
      </c>
      <c r="K143" s="80" t="s">
        <v>22</v>
      </c>
      <c r="L143" s="168">
        <v>0</v>
      </c>
      <c r="M143" s="168">
        <v>0</v>
      </c>
      <c r="N143" s="169">
        <f t="shared" si="27"/>
        <v>0</v>
      </c>
      <c r="O143" s="169">
        <f t="shared" si="28"/>
        <v>0</v>
      </c>
      <c r="P143" s="170">
        <f t="shared" si="29"/>
        <v>0</v>
      </c>
      <c r="Q143" s="335"/>
      <c r="S143" s="358" t="s">
        <v>587</v>
      </c>
    </row>
    <row r="144" spans="1:19" ht="23.25" customHeight="1" x14ac:dyDescent="0.5">
      <c r="A144" s="18">
        <f t="shared" si="30"/>
        <v>129</v>
      </c>
      <c r="B144" s="26" t="s">
        <v>45</v>
      </c>
      <c r="C144" s="124" t="s">
        <v>67</v>
      </c>
      <c r="D144" s="72" t="s">
        <v>40</v>
      </c>
      <c r="E144" s="73" t="s">
        <v>48</v>
      </c>
      <c r="F144" s="73"/>
      <c r="G144" s="73" t="s">
        <v>68</v>
      </c>
      <c r="H144" s="73" t="s">
        <v>390</v>
      </c>
      <c r="I144" s="191"/>
      <c r="J144" s="19">
        <v>0</v>
      </c>
      <c r="K144" s="80" t="s">
        <v>22</v>
      </c>
      <c r="L144" s="168">
        <v>58.46</v>
      </c>
      <c r="M144" s="168">
        <v>0</v>
      </c>
      <c r="N144" s="169">
        <f t="shared" si="27"/>
        <v>0</v>
      </c>
      <c r="O144" s="169">
        <f t="shared" si="28"/>
        <v>0</v>
      </c>
      <c r="P144" s="170">
        <f t="shared" si="29"/>
        <v>0</v>
      </c>
      <c r="Q144" s="335"/>
      <c r="R144" s="358" t="s">
        <v>551</v>
      </c>
      <c r="S144" s="363" t="s">
        <v>593</v>
      </c>
    </row>
    <row r="145" spans="1:19" ht="23.25" customHeight="1" x14ac:dyDescent="0.5">
      <c r="A145" s="18">
        <f t="shared" si="30"/>
        <v>130</v>
      </c>
      <c r="B145" s="26" t="s">
        <v>45</v>
      </c>
      <c r="C145" s="124" t="s">
        <v>67</v>
      </c>
      <c r="D145" s="72" t="s">
        <v>52</v>
      </c>
      <c r="E145" s="73" t="s">
        <v>48</v>
      </c>
      <c r="F145" s="73"/>
      <c r="G145" s="73" t="s">
        <v>68</v>
      </c>
      <c r="H145" s="73" t="s">
        <v>390</v>
      </c>
      <c r="I145" s="191"/>
      <c r="J145" s="19">
        <v>0</v>
      </c>
      <c r="K145" s="80" t="s">
        <v>22</v>
      </c>
      <c r="L145" s="168">
        <v>45.21</v>
      </c>
      <c r="M145" s="168">
        <v>0</v>
      </c>
      <c r="N145" s="169">
        <f t="shared" si="27"/>
        <v>0</v>
      </c>
      <c r="O145" s="169">
        <f t="shared" si="28"/>
        <v>0</v>
      </c>
      <c r="P145" s="170">
        <f t="shared" si="29"/>
        <v>0</v>
      </c>
      <c r="Q145" s="335"/>
      <c r="R145" s="358" t="s">
        <v>552</v>
      </c>
      <c r="S145" s="362" t="s">
        <v>594</v>
      </c>
    </row>
    <row r="146" spans="1:19" ht="23.25" customHeight="1" x14ac:dyDescent="0.5">
      <c r="A146" s="18">
        <f t="shared" si="30"/>
        <v>131</v>
      </c>
      <c r="B146" s="26" t="s">
        <v>45</v>
      </c>
      <c r="C146" s="124" t="s">
        <v>67</v>
      </c>
      <c r="D146" s="72" t="s">
        <v>386</v>
      </c>
      <c r="E146" s="73" t="s">
        <v>48</v>
      </c>
      <c r="F146" s="73"/>
      <c r="G146" s="73" t="s">
        <v>68</v>
      </c>
      <c r="H146" s="73" t="s">
        <v>390</v>
      </c>
      <c r="I146" s="191"/>
      <c r="J146" s="19">
        <v>0</v>
      </c>
      <c r="K146" s="80" t="s">
        <v>22</v>
      </c>
      <c r="L146" s="168">
        <v>83.64</v>
      </c>
      <c r="M146" s="168">
        <v>0</v>
      </c>
      <c r="N146" s="169">
        <f t="shared" si="27"/>
        <v>0</v>
      </c>
      <c r="O146" s="169">
        <f t="shared" si="28"/>
        <v>0</v>
      </c>
      <c r="P146" s="170">
        <f t="shared" si="29"/>
        <v>0</v>
      </c>
      <c r="Q146" s="335"/>
      <c r="R146" s="358" t="s">
        <v>553</v>
      </c>
      <c r="S146" s="362" t="s">
        <v>595</v>
      </c>
    </row>
    <row r="147" spans="1:19" ht="23.25" customHeight="1" x14ac:dyDescent="0.5">
      <c r="A147" s="18">
        <f t="shared" si="30"/>
        <v>132</v>
      </c>
      <c r="B147" s="26" t="s">
        <v>45</v>
      </c>
      <c r="C147" s="124" t="s">
        <v>67</v>
      </c>
      <c r="D147" s="72" t="s">
        <v>74</v>
      </c>
      <c r="E147" s="73" t="s">
        <v>48</v>
      </c>
      <c r="F147" s="73"/>
      <c r="G147" s="73" t="s">
        <v>68</v>
      </c>
      <c r="H147" s="73" t="s">
        <v>390</v>
      </c>
      <c r="I147" s="191"/>
      <c r="J147" s="19">
        <v>0</v>
      </c>
      <c r="K147" s="80" t="s">
        <v>51</v>
      </c>
      <c r="L147" s="168">
        <v>0</v>
      </c>
      <c r="M147" s="168">
        <v>0</v>
      </c>
      <c r="N147" s="169">
        <f t="shared" si="27"/>
        <v>0</v>
      </c>
      <c r="O147" s="169">
        <f t="shared" si="28"/>
        <v>0</v>
      </c>
      <c r="P147" s="170">
        <f t="shared" si="29"/>
        <v>0</v>
      </c>
      <c r="Q147" s="335"/>
      <c r="R147" s="358"/>
      <c r="S147" s="358" t="s">
        <v>584</v>
      </c>
    </row>
    <row r="148" spans="1:19" ht="23.25" customHeight="1" x14ac:dyDescent="0.5">
      <c r="A148" s="18">
        <f t="shared" si="30"/>
        <v>133</v>
      </c>
      <c r="B148" s="26" t="s">
        <v>45</v>
      </c>
      <c r="C148" s="124" t="s">
        <v>67</v>
      </c>
      <c r="D148" s="72" t="s">
        <v>53</v>
      </c>
      <c r="E148" s="73" t="s">
        <v>48</v>
      </c>
      <c r="F148" s="73"/>
      <c r="G148" s="73" t="s">
        <v>49</v>
      </c>
      <c r="H148" s="73" t="s">
        <v>106</v>
      </c>
      <c r="I148" s="74"/>
      <c r="J148" s="19">
        <v>0</v>
      </c>
      <c r="K148" s="80" t="s">
        <v>22</v>
      </c>
      <c r="L148" s="168">
        <v>595.86</v>
      </c>
      <c r="M148" s="168">
        <v>0</v>
      </c>
      <c r="N148" s="169">
        <f t="shared" si="27"/>
        <v>0</v>
      </c>
      <c r="O148" s="169">
        <f t="shared" si="28"/>
        <v>0</v>
      </c>
      <c r="P148" s="170">
        <f t="shared" si="29"/>
        <v>0</v>
      </c>
      <c r="Q148" s="326"/>
      <c r="R148" s="358" t="s">
        <v>563</v>
      </c>
      <c r="S148" s="358" t="s">
        <v>585</v>
      </c>
    </row>
    <row r="149" spans="1:19" ht="23.25" customHeight="1" x14ac:dyDescent="0.5">
      <c r="A149" s="18">
        <f t="shared" si="30"/>
        <v>134</v>
      </c>
      <c r="B149" s="26" t="s">
        <v>45</v>
      </c>
      <c r="C149" s="124" t="s">
        <v>67</v>
      </c>
      <c r="D149" s="72" t="s">
        <v>54</v>
      </c>
      <c r="E149" s="73" t="s">
        <v>48</v>
      </c>
      <c r="F149" s="73"/>
      <c r="G149" s="73" t="s">
        <v>68</v>
      </c>
      <c r="H149" s="73" t="s">
        <v>390</v>
      </c>
      <c r="I149" s="191"/>
      <c r="J149" s="19">
        <v>0</v>
      </c>
      <c r="K149" s="80" t="s">
        <v>22</v>
      </c>
      <c r="L149" s="168">
        <v>615.1</v>
      </c>
      <c r="M149" s="168">
        <v>0</v>
      </c>
      <c r="N149" s="169">
        <f t="shared" si="27"/>
        <v>0</v>
      </c>
      <c r="O149" s="169">
        <f t="shared" si="28"/>
        <v>0</v>
      </c>
      <c r="P149" s="170">
        <f t="shared" si="29"/>
        <v>0</v>
      </c>
      <c r="Q149" s="335"/>
      <c r="R149" s="358" t="s">
        <v>558</v>
      </c>
      <c r="S149" s="358" t="s">
        <v>586</v>
      </c>
    </row>
    <row r="150" spans="1:19" ht="23.25" customHeight="1" x14ac:dyDescent="0.5">
      <c r="A150" s="18">
        <f t="shared" si="30"/>
        <v>135</v>
      </c>
      <c r="B150" s="26" t="s">
        <v>45</v>
      </c>
      <c r="C150" s="124" t="s">
        <v>67</v>
      </c>
      <c r="D150" s="72" t="s">
        <v>69</v>
      </c>
      <c r="E150" s="73" t="s">
        <v>48</v>
      </c>
      <c r="F150" s="73"/>
      <c r="G150" s="73" t="s">
        <v>68</v>
      </c>
      <c r="H150" s="73" t="s">
        <v>390</v>
      </c>
      <c r="I150" s="191"/>
      <c r="J150" s="19">
        <v>0</v>
      </c>
      <c r="K150" s="80" t="s">
        <v>22</v>
      </c>
      <c r="L150" s="168">
        <v>0</v>
      </c>
      <c r="M150" s="168">
        <v>0</v>
      </c>
      <c r="N150" s="169">
        <f t="shared" si="27"/>
        <v>0</v>
      </c>
      <c r="O150" s="169">
        <f t="shared" si="28"/>
        <v>0</v>
      </c>
      <c r="P150" s="170">
        <f t="shared" si="29"/>
        <v>0</v>
      </c>
      <c r="Q150" s="335"/>
      <c r="S150" s="358" t="s">
        <v>587</v>
      </c>
    </row>
    <row r="151" spans="1:19" ht="23.25" customHeight="1" x14ac:dyDescent="0.5">
      <c r="A151" s="18">
        <f t="shared" si="30"/>
        <v>136</v>
      </c>
      <c r="B151" s="26" t="s">
        <v>45</v>
      </c>
      <c r="C151" s="124" t="s">
        <v>67</v>
      </c>
      <c r="D151" s="72" t="s">
        <v>70</v>
      </c>
      <c r="E151" s="73"/>
      <c r="F151" s="73"/>
      <c r="G151" s="73"/>
      <c r="H151" s="73" t="s">
        <v>62</v>
      </c>
      <c r="I151" s="191"/>
      <c r="J151" s="19">
        <v>0</v>
      </c>
      <c r="K151" s="80" t="s">
        <v>22</v>
      </c>
      <c r="L151" s="168">
        <v>0</v>
      </c>
      <c r="M151" s="168">
        <v>0</v>
      </c>
      <c r="N151" s="169">
        <f t="shared" si="27"/>
        <v>0</v>
      </c>
      <c r="O151" s="169">
        <f t="shared" si="28"/>
        <v>0</v>
      </c>
      <c r="P151" s="170">
        <f t="shared" si="29"/>
        <v>0</v>
      </c>
      <c r="Q151" s="335"/>
    </row>
    <row r="152" spans="1:19" ht="23.25" customHeight="1" x14ac:dyDescent="0.5">
      <c r="A152" s="18">
        <f t="shared" si="30"/>
        <v>137</v>
      </c>
      <c r="B152" s="26" t="s">
        <v>45</v>
      </c>
      <c r="C152" s="83" t="s">
        <v>67</v>
      </c>
      <c r="D152" s="72" t="s">
        <v>63</v>
      </c>
      <c r="E152" s="73"/>
      <c r="F152" s="73"/>
      <c r="G152" s="73"/>
      <c r="H152" s="73"/>
      <c r="I152" s="191"/>
      <c r="J152" s="19">
        <v>0</v>
      </c>
      <c r="K152" s="80" t="s">
        <v>22</v>
      </c>
      <c r="L152" s="168">
        <v>0</v>
      </c>
      <c r="M152" s="168">
        <v>0</v>
      </c>
      <c r="N152" s="169">
        <f t="shared" si="27"/>
        <v>0</v>
      </c>
      <c r="O152" s="169">
        <f t="shared" si="28"/>
        <v>0</v>
      </c>
      <c r="P152" s="170">
        <f t="shared" si="29"/>
        <v>0</v>
      </c>
      <c r="Q152" s="335"/>
    </row>
    <row r="153" spans="1:19" ht="23.25" customHeight="1" x14ac:dyDescent="0.5">
      <c r="A153" s="18">
        <f t="shared" si="30"/>
        <v>138</v>
      </c>
      <c r="B153" s="26" t="s">
        <v>45</v>
      </c>
      <c r="C153" s="83" t="s">
        <v>67</v>
      </c>
      <c r="D153" s="43" t="s">
        <v>358</v>
      </c>
      <c r="E153" s="5"/>
      <c r="F153" s="5"/>
      <c r="G153" s="5"/>
      <c r="H153" s="5"/>
      <c r="I153" s="20"/>
      <c r="J153" s="19">
        <f>I153</f>
        <v>0</v>
      </c>
      <c r="K153" s="171"/>
      <c r="L153" s="168">
        <v>0</v>
      </c>
      <c r="M153" s="168">
        <v>0</v>
      </c>
      <c r="N153" s="169">
        <f t="shared" si="27"/>
        <v>0</v>
      </c>
      <c r="O153" s="169">
        <f t="shared" si="28"/>
        <v>0</v>
      </c>
      <c r="P153" s="170">
        <f t="shared" si="29"/>
        <v>0</v>
      </c>
      <c r="Q153" s="326"/>
    </row>
    <row r="154" spans="1:19" ht="23.25" customHeight="1" thickBot="1" x14ac:dyDescent="0.55000000000000004">
      <c r="A154" s="29">
        <f>A153+1</f>
        <v>139</v>
      </c>
      <c r="B154" s="36" t="s">
        <v>45</v>
      </c>
      <c r="C154" s="46" t="s">
        <v>67</v>
      </c>
      <c r="D154" s="44" t="s">
        <v>358</v>
      </c>
      <c r="E154" s="6"/>
      <c r="F154" s="6"/>
      <c r="G154" s="6"/>
      <c r="H154" s="6"/>
      <c r="I154" s="21"/>
      <c r="J154" s="22">
        <f>I154</f>
        <v>0</v>
      </c>
      <c r="K154" s="172"/>
      <c r="L154" s="173">
        <v>0</v>
      </c>
      <c r="M154" s="173">
        <v>0</v>
      </c>
      <c r="N154" s="174">
        <f t="shared" si="27"/>
        <v>0</v>
      </c>
      <c r="O154" s="174">
        <f>M154*J154</f>
        <v>0</v>
      </c>
      <c r="P154" s="174">
        <f>(L154*J154)+(M154*J154)</f>
        <v>0</v>
      </c>
      <c r="Q154" s="327"/>
      <c r="R154" s="358"/>
    </row>
    <row r="155" spans="1:19" ht="188.5" thickBot="1" x14ac:dyDescent="0.55000000000000004">
      <c r="A155" s="30"/>
      <c r="B155" s="17" t="s">
        <v>45</v>
      </c>
      <c r="C155" s="86" t="s">
        <v>71</v>
      </c>
      <c r="D155" s="192" t="s">
        <v>474</v>
      </c>
      <c r="E155" s="177"/>
      <c r="F155" s="177"/>
      <c r="G155" s="177"/>
      <c r="H155" s="178"/>
      <c r="I155" s="179"/>
      <c r="J155" s="180"/>
      <c r="K155" s="181"/>
      <c r="L155" s="182"/>
      <c r="M155" s="182"/>
      <c r="N155" s="183"/>
      <c r="O155" s="183"/>
      <c r="P155" s="184"/>
      <c r="Q155" s="333"/>
    </row>
    <row r="156" spans="1:19" ht="23.25" customHeight="1" x14ac:dyDescent="0.5">
      <c r="A156" s="28">
        <f>A154+1</f>
        <v>140</v>
      </c>
      <c r="B156" s="35" t="s">
        <v>45</v>
      </c>
      <c r="C156" s="121" t="s">
        <v>71</v>
      </c>
      <c r="D156" s="77" t="s">
        <v>40</v>
      </c>
      <c r="E156" s="78" t="s">
        <v>72</v>
      </c>
      <c r="F156" s="78"/>
      <c r="G156" s="78" t="s">
        <v>68</v>
      </c>
      <c r="H156" s="78" t="s">
        <v>590</v>
      </c>
      <c r="I156" s="82"/>
      <c r="J156" s="32">
        <v>1</v>
      </c>
      <c r="K156" s="190" t="s">
        <v>51</v>
      </c>
      <c r="L156" s="185">
        <v>38.799999999999997</v>
      </c>
      <c r="M156" s="185">
        <v>0</v>
      </c>
      <c r="N156" s="186">
        <f t="shared" ref="N156:N188" si="31">L156*J156</f>
        <v>38.799999999999997</v>
      </c>
      <c r="O156" s="186">
        <f t="shared" ref="O156:O186" si="32">M156*J156</f>
        <v>0</v>
      </c>
      <c r="P156" s="187">
        <f t="shared" ref="P156:P188" si="33">(L156*J156)+(M156*J156)</f>
        <v>38.799999999999997</v>
      </c>
      <c r="Q156" s="334"/>
      <c r="R156" s="358" t="s">
        <v>551</v>
      </c>
      <c r="S156" s="358" t="s">
        <v>599</v>
      </c>
    </row>
    <row r="157" spans="1:19" ht="23.25" customHeight="1" x14ac:dyDescent="0.5">
      <c r="A157" s="18">
        <f>A156+1</f>
        <v>141</v>
      </c>
      <c r="B157" s="26" t="s">
        <v>45</v>
      </c>
      <c r="C157" s="124" t="s">
        <v>71</v>
      </c>
      <c r="D157" s="72" t="s">
        <v>74</v>
      </c>
      <c r="E157" s="73" t="s">
        <v>72</v>
      </c>
      <c r="F157" s="73"/>
      <c r="G157" s="73" t="s">
        <v>68</v>
      </c>
      <c r="H157" s="73" t="s">
        <v>590</v>
      </c>
      <c r="I157" s="74"/>
      <c r="J157" s="19">
        <v>1</v>
      </c>
      <c r="K157" s="167" t="s">
        <v>51</v>
      </c>
      <c r="L157" s="168">
        <v>0</v>
      </c>
      <c r="M157" s="168">
        <v>0</v>
      </c>
      <c r="N157" s="169">
        <f t="shared" si="31"/>
        <v>0</v>
      </c>
      <c r="O157" s="169">
        <f t="shared" si="32"/>
        <v>0</v>
      </c>
      <c r="P157" s="170">
        <f t="shared" si="33"/>
        <v>0</v>
      </c>
      <c r="Q157" s="326"/>
      <c r="S157" s="358" t="s">
        <v>600</v>
      </c>
    </row>
    <row r="158" spans="1:19" ht="23.25" customHeight="1" x14ac:dyDescent="0.5">
      <c r="A158" s="18">
        <f t="shared" ref="A158:A187" si="34">A157+1</f>
        <v>142</v>
      </c>
      <c r="B158" s="26" t="s">
        <v>45</v>
      </c>
      <c r="C158" s="124" t="s">
        <v>71</v>
      </c>
      <c r="D158" s="72" t="s">
        <v>75</v>
      </c>
      <c r="E158" s="73" t="s">
        <v>72</v>
      </c>
      <c r="F158" s="73"/>
      <c r="G158" s="73" t="s">
        <v>68</v>
      </c>
      <c r="H158" s="73" t="s">
        <v>590</v>
      </c>
      <c r="I158" s="74"/>
      <c r="J158" s="19">
        <v>1</v>
      </c>
      <c r="K158" s="167" t="s">
        <v>51</v>
      </c>
      <c r="L158" s="168">
        <v>103.58</v>
      </c>
      <c r="M158" s="168">
        <v>0</v>
      </c>
      <c r="N158" s="169">
        <f t="shared" si="31"/>
        <v>103.58</v>
      </c>
      <c r="O158" s="169">
        <f t="shared" si="32"/>
        <v>0</v>
      </c>
      <c r="P158" s="170">
        <f t="shared" si="33"/>
        <v>103.58</v>
      </c>
      <c r="Q158" s="326"/>
      <c r="R158" s="358" t="s">
        <v>554</v>
      </c>
      <c r="S158" s="358" t="s">
        <v>601</v>
      </c>
    </row>
    <row r="159" spans="1:19" ht="23.25" customHeight="1" x14ac:dyDescent="0.5">
      <c r="A159" s="18">
        <f t="shared" si="34"/>
        <v>143</v>
      </c>
      <c r="B159" s="26" t="s">
        <v>45</v>
      </c>
      <c r="C159" s="124" t="s">
        <v>71</v>
      </c>
      <c r="D159" s="72" t="s">
        <v>52</v>
      </c>
      <c r="E159" s="73" t="s">
        <v>72</v>
      </c>
      <c r="F159" s="73"/>
      <c r="G159" s="73" t="s">
        <v>68</v>
      </c>
      <c r="H159" s="73" t="s">
        <v>590</v>
      </c>
      <c r="I159" s="74"/>
      <c r="J159" s="19">
        <v>1</v>
      </c>
      <c r="K159" s="167" t="s">
        <v>51</v>
      </c>
      <c r="L159" s="168">
        <v>55.29</v>
      </c>
      <c r="M159" s="168">
        <v>0</v>
      </c>
      <c r="N159" s="169">
        <f t="shared" si="31"/>
        <v>55.29</v>
      </c>
      <c r="O159" s="169">
        <f t="shared" si="32"/>
        <v>0</v>
      </c>
      <c r="P159" s="170">
        <f t="shared" si="33"/>
        <v>55.29</v>
      </c>
      <c r="Q159" s="326"/>
      <c r="R159" s="358" t="s">
        <v>552</v>
      </c>
      <c r="S159" s="358" t="s">
        <v>588</v>
      </c>
    </row>
    <row r="160" spans="1:19" ht="23.25" customHeight="1" x14ac:dyDescent="0.5">
      <c r="A160" s="18">
        <f t="shared" si="34"/>
        <v>144</v>
      </c>
      <c r="B160" s="26" t="s">
        <v>45</v>
      </c>
      <c r="C160" s="124" t="s">
        <v>71</v>
      </c>
      <c r="D160" s="72" t="s">
        <v>53</v>
      </c>
      <c r="E160" s="73" t="s">
        <v>72</v>
      </c>
      <c r="F160" s="73"/>
      <c r="G160" s="73" t="s">
        <v>49</v>
      </c>
      <c r="H160" s="73" t="s">
        <v>590</v>
      </c>
      <c r="I160" s="74"/>
      <c r="J160" s="19">
        <f t="shared" ref="J160:J186" si="35">I160</f>
        <v>0</v>
      </c>
      <c r="K160" s="80" t="s">
        <v>22</v>
      </c>
      <c r="L160" s="168">
        <v>108</v>
      </c>
      <c r="M160" s="168">
        <v>0</v>
      </c>
      <c r="N160" s="169">
        <f t="shared" si="31"/>
        <v>0</v>
      </c>
      <c r="O160" s="169">
        <f t="shared" si="32"/>
        <v>0</v>
      </c>
      <c r="P160" s="170">
        <f t="shared" si="33"/>
        <v>0</v>
      </c>
      <c r="Q160" s="326"/>
      <c r="R160" s="358" t="s">
        <v>561</v>
      </c>
      <c r="S160" s="358" t="s">
        <v>585</v>
      </c>
    </row>
    <row r="161" spans="1:19" ht="23.25" customHeight="1" x14ac:dyDescent="0.5">
      <c r="A161" s="18">
        <f t="shared" si="34"/>
        <v>145</v>
      </c>
      <c r="B161" s="26" t="s">
        <v>45</v>
      </c>
      <c r="C161" s="124" t="s">
        <v>71</v>
      </c>
      <c r="D161" s="72" t="s">
        <v>54</v>
      </c>
      <c r="E161" s="73" t="s">
        <v>72</v>
      </c>
      <c r="F161" s="73"/>
      <c r="G161" s="73" t="s">
        <v>68</v>
      </c>
      <c r="H161" s="73" t="s">
        <v>590</v>
      </c>
      <c r="I161" s="74"/>
      <c r="J161" s="19">
        <f t="shared" si="35"/>
        <v>0</v>
      </c>
      <c r="K161" s="167" t="s">
        <v>51</v>
      </c>
      <c r="L161" s="168">
        <v>450</v>
      </c>
      <c r="M161" s="168">
        <v>0</v>
      </c>
      <c r="N161" s="169">
        <f t="shared" si="31"/>
        <v>0</v>
      </c>
      <c r="O161" s="169">
        <f t="shared" si="32"/>
        <v>0</v>
      </c>
      <c r="P161" s="170">
        <f t="shared" si="33"/>
        <v>0</v>
      </c>
      <c r="Q161" s="326"/>
      <c r="R161" s="358" t="s">
        <v>555</v>
      </c>
      <c r="S161" s="358" t="s">
        <v>586</v>
      </c>
    </row>
    <row r="162" spans="1:19" ht="23.25" customHeight="1" x14ac:dyDescent="0.5">
      <c r="A162" s="18">
        <f t="shared" si="34"/>
        <v>146</v>
      </c>
      <c r="B162" s="26" t="s">
        <v>45</v>
      </c>
      <c r="C162" s="124" t="s">
        <v>71</v>
      </c>
      <c r="D162" s="72" t="s">
        <v>69</v>
      </c>
      <c r="E162" s="73" t="s">
        <v>72</v>
      </c>
      <c r="F162" s="73"/>
      <c r="G162" s="73" t="s">
        <v>68</v>
      </c>
      <c r="H162" s="73" t="s">
        <v>590</v>
      </c>
      <c r="I162" s="74"/>
      <c r="J162" s="19">
        <f t="shared" si="35"/>
        <v>0</v>
      </c>
      <c r="K162" s="167" t="s">
        <v>51</v>
      </c>
      <c r="L162" s="168">
        <v>0</v>
      </c>
      <c r="M162" s="168">
        <v>0</v>
      </c>
      <c r="N162" s="169">
        <f t="shared" si="31"/>
        <v>0</v>
      </c>
      <c r="O162" s="169">
        <f t="shared" si="32"/>
        <v>0</v>
      </c>
      <c r="P162" s="170">
        <f t="shared" si="33"/>
        <v>0</v>
      </c>
      <c r="Q162" s="326"/>
      <c r="S162" s="358" t="s">
        <v>587</v>
      </c>
    </row>
    <row r="163" spans="1:19" ht="23.25" customHeight="1" x14ac:dyDescent="0.5">
      <c r="A163" s="18">
        <f t="shared" si="34"/>
        <v>147</v>
      </c>
      <c r="B163" s="26" t="s">
        <v>45</v>
      </c>
      <c r="C163" s="124" t="s">
        <v>71</v>
      </c>
      <c r="D163" s="72" t="s">
        <v>40</v>
      </c>
      <c r="E163" s="73" t="s">
        <v>48</v>
      </c>
      <c r="F163" s="73"/>
      <c r="G163" s="73" t="s">
        <v>68</v>
      </c>
      <c r="H163" s="73" t="s">
        <v>76</v>
      </c>
      <c r="I163" s="74"/>
      <c r="J163" s="19">
        <f t="shared" si="35"/>
        <v>0</v>
      </c>
      <c r="K163" s="167" t="s">
        <v>51</v>
      </c>
      <c r="L163" s="168">
        <v>46.39</v>
      </c>
      <c r="M163" s="168">
        <v>0</v>
      </c>
      <c r="N163" s="169">
        <f t="shared" si="31"/>
        <v>0</v>
      </c>
      <c r="O163" s="169">
        <f t="shared" si="32"/>
        <v>0</v>
      </c>
      <c r="P163" s="170">
        <f t="shared" si="33"/>
        <v>0</v>
      </c>
      <c r="Q163" s="326"/>
      <c r="R163" s="358" t="s">
        <v>551</v>
      </c>
      <c r="S163" s="358" t="s">
        <v>599</v>
      </c>
    </row>
    <row r="164" spans="1:19" ht="23.25" customHeight="1" x14ac:dyDescent="0.5">
      <c r="A164" s="18">
        <f t="shared" si="34"/>
        <v>148</v>
      </c>
      <c r="B164" s="26" t="s">
        <v>45</v>
      </c>
      <c r="C164" s="124" t="s">
        <v>71</v>
      </c>
      <c r="D164" s="72" t="s">
        <v>74</v>
      </c>
      <c r="E164" s="73" t="s">
        <v>48</v>
      </c>
      <c r="F164" s="73"/>
      <c r="G164" s="73" t="s">
        <v>68</v>
      </c>
      <c r="H164" s="73" t="s">
        <v>76</v>
      </c>
      <c r="I164" s="74"/>
      <c r="J164" s="19">
        <f t="shared" si="35"/>
        <v>0</v>
      </c>
      <c r="K164" s="167" t="s">
        <v>51</v>
      </c>
      <c r="L164" s="168">
        <v>0</v>
      </c>
      <c r="M164" s="168">
        <v>0</v>
      </c>
      <c r="N164" s="169">
        <f t="shared" si="31"/>
        <v>0</v>
      </c>
      <c r="O164" s="169">
        <f t="shared" si="32"/>
        <v>0</v>
      </c>
      <c r="P164" s="170">
        <f t="shared" si="33"/>
        <v>0</v>
      </c>
      <c r="Q164" s="326"/>
      <c r="S164" s="358" t="s">
        <v>600</v>
      </c>
    </row>
    <row r="165" spans="1:19" ht="23.25" customHeight="1" x14ac:dyDescent="0.5">
      <c r="A165" s="18">
        <f t="shared" si="34"/>
        <v>149</v>
      </c>
      <c r="B165" s="26" t="s">
        <v>45</v>
      </c>
      <c r="C165" s="124" t="s">
        <v>71</v>
      </c>
      <c r="D165" s="72" t="s">
        <v>52</v>
      </c>
      <c r="E165" s="73" t="s">
        <v>48</v>
      </c>
      <c r="F165" s="73"/>
      <c r="G165" s="73" t="s">
        <v>68</v>
      </c>
      <c r="H165" s="73" t="s">
        <v>76</v>
      </c>
      <c r="I165" s="74"/>
      <c r="J165" s="19">
        <f t="shared" si="35"/>
        <v>0</v>
      </c>
      <c r="K165" s="167" t="s">
        <v>51</v>
      </c>
      <c r="L165" s="168">
        <v>69.849999999999994</v>
      </c>
      <c r="M165" s="168">
        <v>0</v>
      </c>
      <c r="N165" s="169">
        <f t="shared" si="31"/>
        <v>0</v>
      </c>
      <c r="O165" s="169">
        <f t="shared" si="32"/>
        <v>0</v>
      </c>
      <c r="P165" s="170">
        <f t="shared" si="33"/>
        <v>0</v>
      </c>
      <c r="Q165" s="326"/>
      <c r="R165" s="358" t="s">
        <v>552</v>
      </c>
      <c r="S165" s="358" t="s">
        <v>588</v>
      </c>
    </row>
    <row r="166" spans="1:19" ht="23.25" customHeight="1" x14ac:dyDescent="0.5">
      <c r="A166" s="18">
        <f t="shared" si="34"/>
        <v>150</v>
      </c>
      <c r="B166" s="26" t="s">
        <v>45</v>
      </c>
      <c r="C166" s="124" t="s">
        <v>71</v>
      </c>
      <c r="D166" s="72" t="s">
        <v>53</v>
      </c>
      <c r="E166" s="73" t="s">
        <v>48</v>
      </c>
      <c r="F166" s="73"/>
      <c r="G166" s="73" t="s">
        <v>49</v>
      </c>
      <c r="H166" s="73" t="s">
        <v>566</v>
      </c>
      <c r="I166" s="74"/>
      <c r="J166" s="19">
        <f t="shared" si="35"/>
        <v>0</v>
      </c>
      <c r="K166" s="80" t="s">
        <v>22</v>
      </c>
      <c r="L166" s="168">
        <v>215.49</v>
      </c>
      <c r="M166" s="168">
        <v>0</v>
      </c>
      <c r="N166" s="169">
        <f t="shared" si="31"/>
        <v>0</v>
      </c>
      <c r="O166" s="169">
        <f t="shared" si="32"/>
        <v>0</v>
      </c>
      <c r="P166" s="170">
        <f t="shared" si="33"/>
        <v>0</v>
      </c>
      <c r="Q166" s="326"/>
      <c r="R166" s="358" t="s">
        <v>564</v>
      </c>
      <c r="S166" s="358" t="s">
        <v>585</v>
      </c>
    </row>
    <row r="167" spans="1:19" ht="23.25" customHeight="1" x14ac:dyDescent="0.5">
      <c r="A167" s="18">
        <f t="shared" si="34"/>
        <v>151</v>
      </c>
      <c r="B167" s="26" t="s">
        <v>45</v>
      </c>
      <c r="C167" s="124" t="s">
        <v>71</v>
      </c>
      <c r="D167" s="72" t="s">
        <v>54</v>
      </c>
      <c r="E167" s="73" t="s">
        <v>48</v>
      </c>
      <c r="F167" s="73"/>
      <c r="G167" s="73" t="s">
        <v>68</v>
      </c>
      <c r="H167" s="73" t="s">
        <v>76</v>
      </c>
      <c r="I167" s="74"/>
      <c r="J167" s="19">
        <f t="shared" si="35"/>
        <v>0</v>
      </c>
      <c r="K167" s="167" t="s">
        <v>51</v>
      </c>
      <c r="L167" s="168">
        <v>286.98</v>
      </c>
      <c r="M167" s="168">
        <v>0</v>
      </c>
      <c r="N167" s="169">
        <f t="shared" si="31"/>
        <v>0</v>
      </c>
      <c r="O167" s="169">
        <f t="shared" si="32"/>
        <v>0</v>
      </c>
      <c r="P167" s="170">
        <f t="shared" si="33"/>
        <v>0</v>
      </c>
      <c r="Q167" s="326"/>
      <c r="R167" s="358" t="s">
        <v>556</v>
      </c>
      <c r="S167" s="358" t="s">
        <v>586</v>
      </c>
    </row>
    <row r="168" spans="1:19" ht="23.25" customHeight="1" x14ac:dyDescent="0.5">
      <c r="A168" s="18">
        <f t="shared" si="34"/>
        <v>152</v>
      </c>
      <c r="B168" s="26" t="s">
        <v>45</v>
      </c>
      <c r="C168" s="124" t="s">
        <v>71</v>
      </c>
      <c r="D168" s="72" t="s">
        <v>69</v>
      </c>
      <c r="E168" s="73" t="s">
        <v>48</v>
      </c>
      <c r="F168" s="73"/>
      <c r="G168" s="73" t="s">
        <v>68</v>
      </c>
      <c r="H168" s="73" t="s">
        <v>76</v>
      </c>
      <c r="I168" s="74"/>
      <c r="J168" s="19">
        <f t="shared" si="35"/>
        <v>0</v>
      </c>
      <c r="K168" s="167" t="s">
        <v>51</v>
      </c>
      <c r="L168" s="168">
        <v>0</v>
      </c>
      <c r="M168" s="168">
        <v>0</v>
      </c>
      <c r="N168" s="169">
        <f t="shared" si="31"/>
        <v>0</v>
      </c>
      <c r="O168" s="169">
        <f t="shared" si="32"/>
        <v>0</v>
      </c>
      <c r="P168" s="170">
        <f t="shared" si="33"/>
        <v>0</v>
      </c>
      <c r="Q168" s="326"/>
      <c r="S168" s="358" t="s">
        <v>587</v>
      </c>
    </row>
    <row r="169" spans="1:19" ht="23.25" customHeight="1" x14ac:dyDescent="0.5">
      <c r="A169" s="18">
        <f t="shared" si="34"/>
        <v>153</v>
      </c>
      <c r="B169" s="26" t="s">
        <v>45</v>
      </c>
      <c r="C169" s="124" t="s">
        <v>71</v>
      </c>
      <c r="D169" s="72" t="s">
        <v>40</v>
      </c>
      <c r="E169" s="73" t="s">
        <v>72</v>
      </c>
      <c r="F169" s="73"/>
      <c r="G169" s="73" t="s">
        <v>68</v>
      </c>
      <c r="H169" s="73" t="s">
        <v>591</v>
      </c>
      <c r="I169" s="74"/>
      <c r="J169" s="19">
        <f t="shared" si="35"/>
        <v>0</v>
      </c>
      <c r="K169" s="167" t="s">
        <v>51</v>
      </c>
      <c r="L169" s="168">
        <v>62.45</v>
      </c>
      <c r="M169" s="168">
        <v>0</v>
      </c>
      <c r="N169" s="169">
        <f t="shared" si="31"/>
        <v>0</v>
      </c>
      <c r="O169" s="169">
        <f t="shared" si="32"/>
        <v>0</v>
      </c>
      <c r="P169" s="170">
        <f t="shared" si="33"/>
        <v>0</v>
      </c>
      <c r="Q169" s="326"/>
      <c r="R169" s="358" t="s">
        <v>551</v>
      </c>
      <c r="S169" s="358" t="s">
        <v>599</v>
      </c>
    </row>
    <row r="170" spans="1:19" ht="23.25" customHeight="1" x14ac:dyDescent="0.5">
      <c r="A170" s="18">
        <f t="shared" si="34"/>
        <v>154</v>
      </c>
      <c r="B170" s="26" t="s">
        <v>45</v>
      </c>
      <c r="C170" s="124" t="s">
        <v>71</v>
      </c>
      <c r="D170" s="72" t="s">
        <v>74</v>
      </c>
      <c r="E170" s="73" t="s">
        <v>72</v>
      </c>
      <c r="F170" s="73"/>
      <c r="G170" s="73" t="s">
        <v>68</v>
      </c>
      <c r="H170" s="73" t="s">
        <v>591</v>
      </c>
      <c r="I170" s="74"/>
      <c r="J170" s="19">
        <f t="shared" si="35"/>
        <v>0</v>
      </c>
      <c r="K170" s="167" t="s">
        <v>51</v>
      </c>
      <c r="L170" s="168">
        <v>0</v>
      </c>
      <c r="M170" s="168">
        <v>0</v>
      </c>
      <c r="N170" s="169">
        <f t="shared" si="31"/>
        <v>0</v>
      </c>
      <c r="O170" s="169">
        <f t="shared" si="32"/>
        <v>0</v>
      </c>
      <c r="P170" s="170">
        <f t="shared" si="33"/>
        <v>0</v>
      </c>
      <c r="Q170" s="326"/>
      <c r="S170" s="358" t="s">
        <v>600</v>
      </c>
    </row>
    <row r="171" spans="1:19" ht="23.25" customHeight="1" x14ac:dyDescent="0.5">
      <c r="A171" s="18">
        <f t="shared" si="34"/>
        <v>155</v>
      </c>
      <c r="B171" s="26" t="s">
        <v>45</v>
      </c>
      <c r="C171" s="124" t="s">
        <v>71</v>
      </c>
      <c r="D171" s="72" t="s">
        <v>75</v>
      </c>
      <c r="E171" s="73" t="s">
        <v>72</v>
      </c>
      <c r="F171" s="73"/>
      <c r="G171" s="73" t="s">
        <v>68</v>
      </c>
      <c r="H171" s="73" t="s">
        <v>591</v>
      </c>
      <c r="I171" s="74"/>
      <c r="J171" s="19">
        <f t="shared" si="35"/>
        <v>0</v>
      </c>
      <c r="K171" s="167" t="s">
        <v>51</v>
      </c>
      <c r="L171" s="168">
        <v>125.93</v>
      </c>
      <c r="M171" s="168">
        <v>0</v>
      </c>
      <c r="N171" s="169">
        <f t="shared" si="31"/>
        <v>0</v>
      </c>
      <c r="O171" s="169">
        <f t="shared" si="32"/>
        <v>0</v>
      </c>
      <c r="P171" s="170">
        <f t="shared" si="33"/>
        <v>0</v>
      </c>
      <c r="Q171" s="326"/>
      <c r="R171" s="358" t="s">
        <v>554</v>
      </c>
      <c r="S171" s="358" t="s">
        <v>601</v>
      </c>
    </row>
    <row r="172" spans="1:19" ht="23.25" customHeight="1" x14ac:dyDescent="0.5">
      <c r="A172" s="18">
        <f t="shared" si="34"/>
        <v>156</v>
      </c>
      <c r="B172" s="26" t="s">
        <v>45</v>
      </c>
      <c r="C172" s="124" t="s">
        <v>71</v>
      </c>
      <c r="D172" s="72" t="s">
        <v>52</v>
      </c>
      <c r="E172" s="73" t="s">
        <v>72</v>
      </c>
      <c r="F172" s="73"/>
      <c r="G172" s="73" t="s">
        <v>68</v>
      </c>
      <c r="H172" s="73" t="s">
        <v>591</v>
      </c>
      <c r="I172" s="74"/>
      <c r="J172" s="19">
        <f t="shared" si="35"/>
        <v>0</v>
      </c>
      <c r="K172" s="167" t="s">
        <v>51</v>
      </c>
      <c r="L172" s="168">
        <v>83.84</v>
      </c>
      <c r="M172" s="168">
        <v>0</v>
      </c>
      <c r="N172" s="169">
        <f t="shared" si="31"/>
        <v>0</v>
      </c>
      <c r="O172" s="169">
        <f t="shared" si="32"/>
        <v>0</v>
      </c>
      <c r="P172" s="170">
        <f t="shared" si="33"/>
        <v>0</v>
      </c>
      <c r="Q172" s="326"/>
      <c r="R172" s="358" t="s">
        <v>552</v>
      </c>
      <c r="S172" s="358" t="s">
        <v>588</v>
      </c>
    </row>
    <row r="173" spans="1:19" ht="23.25" customHeight="1" x14ac:dyDescent="0.5">
      <c r="A173" s="18">
        <f t="shared" si="34"/>
        <v>157</v>
      </c>
      <c r="B173" s="26" t="s">
        <v>45</v>
      </c>
      <c r="C173" s="124" t="s">
        <v>71</v>
      </c>
      <c r="D173" s="72" t="s">
        <v>53</v>
      </c>
      <c r="E173" s="73" t="s">
        <v>72</v>
      </c>
      <c r="F173" s="73"/>
      <c r="G173" s="73" t="s">
        <v>49</v>
      </c>
      <c r="H173" s="73" t="s">
        <v>567</v>
      </c>
      <c r="I173" s="74"/>
      <c r="J173" s="19">
        <f t="shared" si="35"/>
        <v>0</v>
      </c>
      <c r="K173" s="80" t="s">
        <v>22</v>
      </c>
      <c r="L173" s="168">
        <v>170</v>
      </c>
      <c r="M173" s="168">
        <v>0</v>
      </c>
      <c r="N173" s="169">
        <f t="shared" si="31"/>
        <v>0</v>
      </c>
      <c r="O173" s="169">
        <f t="shared" si="32"/>
        <v>0</v>
      </c>
      <c r="P173" s="170">
        <f t="shared" si="33"/>
        <v>0</v>
      </c>
      <c r="Q173" s="326"/>
      <c r="R173" s="358" t="s">
        <v>562</v>
      </c>
      <c r="S173" s="358" t="s">
        <v>585</v>
      </c>
    </row>
    <row r="174" spans="1:19" ht="23.25" customHeight="1" x14ac:dyDescent="0.5">
      <c r="A174" s="18">
        <f t="shared" si="34"/>
        <v>158</v>
      </c>
      <c r="B174" s="26" t="s">
        <v>45</v>
      </c>
      <c r="C174" s="124" t="s">
        <v>71</v>
      </c>
      <c r="D174" s="72" t="s">
        <v>54</v>
      </c>
      <c r="E174" s="73" t="s">
        <v>72</v>
      </c>
      <c r="F174" s="73"/>
      <c r="G174" s="73" t="s">
        <v>68</v>
      </c>
      <c r="H174" s="73" t="s">
        <v>591</v>
      </c>
      <c r="I174" s="74"/>
      <c r="J174" s="19">
        <f t="shared" si="35"/>
        <v>0</v>
      </c>
      <c r="K174" s="167" t="s">
        <v>51</v>
      </c>
      <c r="L174" s="168">
        <v>530.91</v>
      </c>
      <c r="M174" s="168">
        <v>0</v>
      </c>
      <c r="N174" s="169">
        <f t="shared" si="31"/>
        <v>0</v>
      </c>
      <c r="O174" s="169">
        <f t="shared" si="32"/>
        <v>0</v>
      </c>
      <c r="P174" s="170">
        <f t="shared" si="33"/>
        <v>0</v>
      </c>
      <c r="Q174" s="326"/>
      <c r="R174" s="358" t="s">
        <v>557</v>
      </c>
      <c r="S174" s="358" t="s">
        <v>586</v>
      </c>
    </row>
    <row r="175" spans="1:19" ht="23.25" customHeight="1" x14ac:dyDescent="0.5">
      <c r="A175" s="18">
        <f t="shared" si="34"/>
        <v>159</v>
      </c>
      <c r="B175" s="26" t="s">
        <v>45</v>
      </c>
      <c r="C175" s="124" t="s">
        <v>71</v>
      </c>
      <c r="D175" s="72" t="s">
        <v>69</v>
      </c>
      <c r="E175" s="73" t="s">
        <v>72</v>
      </c>
      <c r="F175" s="73"/>
      <c r="G175" s="73" t="s">
        <v>68</v>
      </c>
      <c r="H175" s="73" t="s">
        <v>591</v>
      </c>
      <c r="I175" s="74"/>
      <c r="J175" s="19">
        <f t="shared" si="35"/>
        <v>0</v>
      </c>
      <c r="K175" s="167" t="s">
        <v>51</v>
      </c>
      <c r="L175" s="168">
        <v>0</v>
      </c>
      <c r="M175" s="168">
        <v>0</v>
      </c>
      <c r="N175" s="169">
        <f t="shared" si="31"/>
        <v>0</v>
      </c>
      <c r="O175" s="169">
        <f t="shared" si="32"/>
        <v>0</v>
      </c>
      <c r="P175" s="170">
        <f t="shared" si="33"/>
        <v>0</v>
      </c>
      <c r="Q175" s="326"/>
      <c r="S175" s="358" t="s">
        <v>587</v>
      </c>
    </row>
    <row r="176" spans="1:19" ht="23.25" customHeight="1" x14ac:dyDescent="0.5">
      <c r="A176" s="18">
        <f t="shared" si="34"/>
        <v>160</v>
      </c>
      <c r="B176" s="26" t="s">
        <v>45</v>
      </c>
      <c r="C176" s="124" t="s">
        <v>71</v>
      </c>
      <c r="D176" s="72" t="s">
        <v>40</v>
      </c>
      <c r="E176" s="73" t="s">
        <v>48</v>
      </c>
      <c r="F176" s="73"/>
      <c r="G176" s="73" t="s">
        <v>68</v>
      </c>
      <c r="H176" s="73" t="s">
        <v>78</v>
      </c>
      <c r="I176" s="193"/>
      <c r="J176" s="19">
        <f t="shared" si="35"/>
        <v>0</v>
      </c>
      <c r="K176" s="167" t="s">
        <v>51</v>
      </c>
      <c r="L176" s="168">
        <v>93.7</v>
      </c>
      <c r="M176" s="168">
        <v>0</v>
      </c>
      <c r="N176" s="169">
        <f t="shared" si="31"/>
        <v>0</v>
      </c>
      <c r="O176" s="169">
        <f t="shared" si="32"/>
        <v>0</v>
      </c>
      <c r="P176" s="170">
        <f t="shared" si="33"/>
        <v>0</v>
      </c>
      <c r="Q176" s="337"/>
      <c r="R176" s="358" t="s">
        <v>551</v>
      </c>
      <c r="S176" s="358" t="s">
        <v>599</v>
      </c>
    </row>
    <row r="177" spans="1:19" ht="23.25" customHeight="1" x14ac:dyDescent="0.5">
      <c r="A177" s="18">
        <f t="shared" si="34"/>
        <v>161</v>
      </c>
      <c r="B177" s="26" t="s">
        <v>45</v>
      </c>
      <c r="C177" s="124" t="s">
        <v>71</v>
      </c>
      <c r="D177" s="72" t="s">
        <v>74</v>
      </c>
      <c r="E177" s="73" t="s">
        <v>48</v>
      </c>
      <c r="F177" s="73"/>
      <c r="G177" s="73" t="s">
        <v>68</v>
      </c>
      <c r="H177" s="73" t="s">
        <v>78</v>
      </c>
      <c r="I177" s="193"/>
      <c r="J177" s="19">
        <f t="shared" si="35"/>
        <v>0</v>
      </c>
      <c r="K177" s="167" t="s">
        <v>51</v>
      </c>
      <c r="L177" s="168">
        <v>0</v>
      </c>
      <c r="M177" s="168">
        <v>0</v>
      </c>
      <c r="N177" s="169">
        <f t="shared" si="31"/>
        <v>0</v>
      </c>
      <c r="O177" s="169">
        <f t="shared" si="32"/>
        <v>0</v>
      </c>
      <c r="P177" s="170">
        <f t="shared" si="33"/>
        <v>0</v>
      </c>
      <c r="Q177" s="337"/>
      <c r="S177" s="358" t="s">
        <v>600</v>
      </c>
    </row>
    <row r="178" spans="1:19" ht="23.25" customHeight="1" x14ac:dyDescent="0.5">
      <c r="A178" s="18">
        <f t="shared" si="34"/>
        <v>162</v>
      </c>
      <c r="B178" s="26" t="s">
        <v>45</v>
      </c>
      <c r="C178" s="124" t="s">
        <v>71</v>
      </c>
      <c r="D178" s="72" t="s">
        <v>79</v>
      </c>
      <c r="E178" s="73" t="s">
        <v>72</v>
      </c>
      <c r="F178" s="73"/>
      <c r="G178" s="73" t="s">
        <v>68</v>
      </c>
      <c r="H178" s="73" t="s">
        <v>78</v>
      </c>
      <c r="I178" s="193"/>
      <c r="J178" s="19">
        <f t="shared" si="35"/>
        <v>0</v>
      </c>
      <c r="K178" s="167" t="s">
        <v>51</v>
      </c>
      <c r="L178" s="168">
        <v>129.01</v>
      </c>
      <c r="M178" s="168">
        <v>0</v>
      </c>
      <c r="N178" s="169">
        <f t="shared" si="31"/>
        <v>0</v>
      </c>
      <c r="O178" s="169">
        <f t="shared" si="32"/>
        <v>0</v>
      </c>
      <c r="P178" s="170">
        <f t="shared" si="33"/>
        <v>0</v>
      </c>
      <c r="Q178" s="337"/>
      <c r="R178" s="358" t="s">
        <v>554</v>
      </c>
      <c r="S178" s="358" t="s">
        <v>601</v>
      </c>
    </row>
    <row r="179" spans="1:19" ht="23.25" customHeight="1" x14ac:dyDescent="0.5">
      <c r="A179" s="18">
        <f t="shared" si="34"/>
        <v>163</v>
      </c>
      <c r="B179" s="26" t="s">
        <v>45</v>
      </c>
      <c r="C179" s="124" t="s">
        <v>71</v>
      </c>
      <c r="D179" s="72" t="s">
        <v>52</v>
      </c>
      <c r="E179" s="73" t="s">
        <v>48</v>
      </c>
      <c r="F179" s="73"/>
      <c r="G179" s="73" t="s">
        <v>68</v>
      </c>
      <c r="H179" s="73" t="s">
        <v>78</v>
      </c>
      <c r="I179" s="193"/>
      <c r="J179" s="19">
        <f t="shared" si="35"/>
        <v>0</v>
      </c>
      <c r="K179" s="167" t="s">
        <v>51</v>
      </c>
      <c r="L179" s="168">
        <v>82.36</v>
      </c>
      <c r="M179" s="168">
        <v>0</v>
      </c>
      <c r="N179" s="169">
        <f t="shared" si="31"/>
        <v>0</v>
      </c>
      <c r="O179" s="169">
        <f t="shared" si="32"/>
        <v>0</v>
      </c>
      <c r="P179" s="170">
        <f t="shared" si="33"/>
        <v>0</v>
      </c>
      <c r="Q179" s="337"/>
      <c r="R179" s="358" t="s">
        <v>552</v>
      </c>
      <c r="S179" s="358" t="s">
        <v>588</v>
      </c>
    </row>
    <row r="180" spans="1:19" ht="23.25" customHeight="1" x14ac:dyDescent="0.5">
      <c r="A180" s="18">
        <f t="shared" si="34"/>
        <v>164</v>
      </c>
      <c r="B180" s="26" t="s">
        <v>45</v>
      </c>
      <c r="C180" s="124" t="s">
        <v>71</v>
      </c>
      <c r="D180" s="72" t="s">
        <v>53</v>
      </c>
      <c r="E180" s="73" t="s">
        <v>48</v>
      </c>
      <c r="F180" s="73"/>
      <c r="G180" s="73" t="s">
        <v>49</v>
      </c>
      <c r="H180" s="73" t="s">
        <v>568</v>
      </c>
      <c r="I180" s="74"/>
      <c r="J180" s="19">
        <f t="shared" si="35"/>
        <v>0</v>
      </c>
      <c r="K180" s="80" t="s">
        <v>22</v>
      </c>
      <c r="L180" s="168">
        <v>595.86</v>
      </c>
      <c r="M180" s="168">
        <v>0</v>
      </c>
      <c r="N180" s="169">
        <f t="shared" si="31"/>
        <v>0</v>
      </c>
      <c r="O180" s="169">
        <f t="shared" si="32"/>
        <v>0</v>
      </c>
      <c r="P180" s="170">
        <f t="shared" si="33"/>
        <v>0</v>
      </c>
      <c r="Q180" s="326"/>
      <c r="R180" s="358" t="s">
        <v>563</v>
      </c>
      <c r="S180" s="358" t="s">
        <v>585</v>
      </c>
    </row>
    <row r="181" spans="1:19" ht="23.25" customHeight="1" x14ac:dyDescent="0.5">
      <c r="A181" s="18">
        <f t="shared" si="34"/>
        <v>165</v>
      </c>
      <c r="B181" s="26" t="s">
        <v>45</v>
      </c>
      <c r="C181" s="124" t="s">
        <v>71</v>
      </c>
      <c r="D181" s="72" t="s">
        <v>54</v>
      </c>
      <c r="E181" s="73" t="s">
        <v>48</v>
      </c>
      <c r="F181" s="73"/>
      <c r="G181" s="73" t="s">
        <v>68</v>
      </c>
      <c r="H181" s="73" t="s">
        <v>78</v>
      </c>
      <c r="I181" s="193"/>
      <c r="J181" s="19">
        <f t="shared" si="35"/>
        <v>0</v>
      </c>
      <c r="K181" s="167" t="s">
        <v>51</v>
      </c>
      <c r="L181" s="168">
        <v>615.1</v>
      </c>
      <c r="M181" s="168">
        <v>0</v>
      </c>
      <c r="N181" s="169">
        <f t="shared" si="31"/>
        <v>0</v>
      </c>
      <c r="O181" s="169">
        <f t="shared" si="32"/>
        <v>0</v>
      </c>
      <c r="P181" s="170">
        <f t="shared" si="33"/>
        <v>0</v>
      </c>
      <c r="Q181" s="337"/>
      <c r="R181" s="358" t="s">
        <v>558</v>
      </c>
      <c r="S181" s="358" t="s">
        <v>586</v>
      </c>
    </row>
    <row r="182" spans="1:19" ht="23.25" customHeight="1" x14ac:dyDescent="0.5">
      <c r="A182" s="18">
        <f t="shared" si="34"/>
        <v>166</v>
      </c>
      <c r="B182" s="26" t="s">
        <v>45</v>
      </c>
      <c r="C182" s="124" t="s">
        <v>71</v>
      </c>
      <c r="D182" s="72" t="s">
        <v>69</v>
      </c>
      <c r="E182" s="73" t="s">
        <v>48</v>
      </c>
      <c r="F182" s="73"/>
      <c r="G182" s="73" t="s">
        <v>68</v>
      </c>
      <c r="H182" s="73" t="s">
        <v>78</v>
      </c>
      <c r="I182" s="193"/>
      <c r="J182" s="19">
        <f t="shared" si="35"/>
        <v>0</v>
      </c>
      <c r="K182" s="167" t="s">
        <v>51</v>
      </c>
      <c r="L182" s="168">
        <v>0</v>
      </c>
      <c r="M182" s="168">
        <v>0</v>
      </c>
      <c r="N182" s="169">
        <f t="shared" si="31"/>
        <v>0</v>
      </c>
      <c r="O182" s="169">
        <f t="shared" si="32"/>
        <v>0</v>
      </c>
      <c r="P182" s="170">
        <f t="shared" si="33"/>
        <v>0</v>
      </c>
      <c r="Q182" s="337"/>
      <c r="S182" s="358" t="s">
        <v>587</v>
      </c>
    </row>
    <row r="183" spans="1:19" ht="23.25" customHeight="1" x14ac:dyDescent="0.5">
      <c r="A183" s="18">
        <f t="shared" si="34"/>
        <v>167</v>
      </c>
      <c r="B183" s="26" t="s">
        <v>45</v>
      </c>
      <c r="C183" s="124" t="s">
        <v>71</v>
      </c>
      <c r="D183" s="72" t="s">
        <v>80</v>
      </c>
      <c r="E183" s="73" t="s">
        <v>48</v>
      </c>
      <c r="F183" s="73"/>
      <c r="G183" s="73" t="s">
        <v>81</v>
      </c>
      <c r="H183" s="73" t="s">
        <v>62</v>
      </c>
      <c r="I183" s="74"/>
      <c r="J183" s="19">
        <f t="shared" si="35"/>
        <v>0</v>
      </c>
      <c r="K183" s="167" t="s">
        <v>22</v>
      </c>
      <c r="L183" s="168">
        <v>0</v>
      </c>
      <c r="M183" s="168">
        <v>0</v>
      </c>
      <c r="N183" s="169">
        <f t="shared" si="31"/>
        <v>0</v>
      </c>
      <c r="O183" s="169">
        <f t="shared" si="32"/>
        <v>0</v>
      </c>
      <c r="P183" s="170">
        <f t="shared" si="33"/>
        <v>0</v>
      </c>
      <c r="Q183" s="326"/>
    </row>
    <row r="184" spans="1:19" ht="23.25" customHeight="1" x14ac:dyDescent="0.5">
      <c r="A184" s="18">
        <f t="shared" si="34"/>
        <v>168</v>
      </c>
      <c r="B184" s="26" t="s">
        <v>45</v>
      </c>
      <c r="C184" s="124" t="s">
        <v>71</v>
      </c>
      <c r="D184" s="72" t="s">
        <v>70</v>
      </c>
      <c r="E184" s="73" t="s">
        <v>48</v>
      </c>
      <c r="F184" s="73"/>
      <c r="G184" s="73" t="s">
        <v>81</v>
      </c>
      <c r="H184" s="73" t="s">
        <v>62</v>
      </c>
      <c r="I184" s="74"/>
      <c r="J184" s="19">
        <f t="shared" si="35"/>
        <v>0</v>
      </c>
      <c r="K184" s="167" t="s">
        <v>22</v>
      </c>
      <c r="L184" s="168">
        <v>0</v>
      </c>
      <c r="M184" s="168">
        <v>0</v>
      </c>
      <c r="N184" s="169">
        <f t="shared" si="31"/>
        <v>0</v>
      </c>
      <c r="O184" s="169">
        <f t="shared" si="32"/>
        <v>0</v>
      </c>
      <c r="P184" s="170">
        <f t="shared" si="33"/>
        <v>0</v>
      </c>
      <c r="Q184" s="326"/>
    </row>
    <row r="185" spans="1:19" ht="23.25" customHeight="1" x14ac:dyDescent="0.5">
      <c r="A185" s="18">
        <f t="shared" si="34"/>
        <v>169</v>
      </c>
      <c r="B185" s="26" t="s">
        <v>45</v>
      </c>
      <c r="C185" s="124" t="s">
        <v>71</v>
      </c>
      <c r="D185" s="72" t="s">
        <v>477</v>
      </c>
      <c r="E185" s="73" t="s">
        <v>48</v>
      </c>
      <c r="F185" s="73"/>
      <c r="G185" s="73" t="s">
        <v>81</v>
      </c>
      <c r="H185" s="73" t="s">
        <v>62</v>
      </c>
      <c r="I185" s="74"/>
      <c r="J185" s="19">
        <f t="shared" si="35"/>
        <v>0</v>
      </c>
      <c r="K185" s="167" t="s">
        <v>22</v>
      </c>
      <c r="L185" s="168">
        <v>0</v>
      </c>
      <c r="M185" s="168">
        <v>0</v>
      </c>
      <c r="N185" s="169">
        <f t="shared" si="31"/>
        <v>0</v>
      </c>
      <c r="O185" s="169">
        <f t="shared" si="32"/>
        <v>0</v>
      </c>
      <c r="P185" s="170">
        <f t="shared" si="33"/>
        <v>0</v>
      </c>
      <c r="Q185" s="326"/>
    </row>
    <row r="186" spans="1:19" ht="27.75" customHeight="1" x14ac:dyDescent="0.5">
      <c r="A186" s="18">
        <f t="shared" si="34"/>
        <v>170</v>
      </c>
      <c r="B186" s="26" t="s">
        <v>45</v>
      </c>
      <c r="C186" s="83" t="s">
        <v>71</v>
      </c>
      <c r="D186" s="75" t="s">
        <v>63</v>
      </c>
      <c r="E186" s="79"/>
      <c r="F186" s="79"/>
      <c r="G186" s="79"/>
      <c r="H186" s="79"/>
      <c r="I186" s="188"/>
      <c r="J186" s="19">
        <f t="shared" si="35"/>
        <v>0</v>
      </c>
      <c r="K186" s="167" t="s">
        <v>22</v>
      </c>
      <c r="L186" s="168">
        <v>0</v>
      </c>
      <c r="M186" s="168">
        <v>0</v>
      </c>
      <c r="N186" s="169">
        <f t="shared" si="31"/>
        <v>0</v>
      </c>
      <c r="O186" s="169">
        <f t="shared" si="32"/>
        <v>0</v>
      </c>
      <c r="P186" s="170">
        <f t="shared" si="33"/>
        <v>0</v>
      </c>
      <c r="Q186" s="335"/>
    </row>
    <row r="187" spans="1:19" ht="27.75" customHeight="1" x14ac:dyDescent="0.5">
      <c r="A187" s="18">
        <f t="shared" si="34"/>
        <v>171</v>
      </c>
      <c r="B187" s="26" t="s">
        <v>45</v>
      </c>
      <c r="C187" s="83" t="s">
        <v>71</v>
      </c>
      <c r="D187" s="43" t="s">
        <v>358</v>
      </c>
      <c r="E187" s="5"/>
      <c r="F187" s="5"/>
      <c r="G187" s="5"/>
      <c r="H187" s="5"/>
      <c r="I187" s="20"/>
      <c r="J187" s="19">
        <f>I187</f>
        <v>0</v>
      </c>
      <c r="K187" s="171"/>
      <c r="L187" s="168">
        <v>0</v>
      </c>
      <c r="M187" s="168">
        <v>0</v>
      </c>
      <c r="N187" s="169">
        <f t="shared" si="31"/>
        <v>0</v>
      </c>
      <c r="O187" s="169">
        <f>M187*J187</f>
        <v>0</v>
      </c>
      <c r="P187" s="170">
        <f t="shared" si="33"/>
        <v>0</v>
      </c>
      <c r="Q187" s="326"/>
    </row>
    <row r="188" spans="1:19" ht="27.75" customHeight="1" thickBot="1" x14ac:dyDescent="0.55000000000000004">
      <c r="A188" s="38">
        <f>A187+1</f>
        <v>172</v>
      </c>
      <c r="B188" s="39" t="s">
        <v>45</v>
      </c>
      <c r="C188" s="126" t="s">
        <v>71</v>
      </c>
      <c r="D188" s="45" t="s">
        <v>358</v>
      </c>
      <c r="E188" s="40"/>
      <c r="F188" s="40"/>
      <c r="G188" s="40"/>
      <c r="H188" s="40"/>
      <c r="I188" s="41"/>
      <c r="J188" s="24">
        <f>I188</f>
        <v>0</v>
      </c>
      <c r="K188" s="194"/>
      <c r="L188" s="195">
        <v>0</v>
      </c>
      <c r="M188" s="195">
        <v>0</v>
      </c>
      <c r="N188" s="169">
        <f t="shared" si="31"/>
        <v>0</v>
      </c>
      <c r="O188" s="196">
        <f>M188*J188</f>
        <v>0</v>
      </c>
      <c r="P188" s="170">
        <f t="shared" si="33"/>
        <v>0</v>
      </c>
      <c r="Q188" s="328"/>
    </row>
    <row r="189" spans="1:19" ht="23.25" customHeight="1" x14ac:dyDescent="0.5">
      <c r="A189" s="28"/>
      <c r="B189" s="35" t="s">
        <v>82</v>
      </c>
      <c r="C189" s="127" t="s">
        <v>83</v>
      </c>
      <c r="D189" s="148" t="s">
        <v>84</v>
      </c>
      <c r="E189" s="149"/>
      <c r="F189" s="149"/>
      <c r="G189" s="149"/>
      <c r="H189" s="150"/>
      <c r="I189" s="151"/>
      <c r="J189" s="198"/>
      <c r="K189" s="153"/>
      <c r="L189" s="199"/>
      <c r="M189" s="199"/>
      <c r="N189" s="200"/>
      <c r="O189" s="200"/>
      <c r="P189" s="155"/>
      <c r="Q189" s="338"/>
    </row>
    <row r="190" spans="1:19" ht="23.25" customHeight="1" thickBot="1" x14ac:dyDescent="0.55000000000000004">
      <c r="A190" s="38"/>
      <c r="B190" s="39" t="s">
        <v>82</v>
      </c>
      <c r="C190" s="128" t="s">
        <v>83</v>
      </c>
      <c r="D190" s="201" t="s">
        <v>83</v>
      </c>
      <c r="E190" s="202"/>
      <c r="F190" s="202"/>
      <c r="G190" s="202"/>
      <c r="H190" s="203"/>
      <c r="I190" s="204"/>
      <c r="J190" s="205"/>
      <c r="K190" s="206"/>
      <c r="L190" s="207"/>
      <c r="M190" s="207"/>
      <c r="N190" s="203"/>
      <c r="O190" s="203"/>
      <c r="P190" s="208"/>
      <c r="Q190" s="339"/>
    </row>
    <row r="191" spans="1:19" ht="23.25" customHeight="1" x14ac:dyDescent="0.5">
      <c r="A191" s="28">
        <f>A188+1</f>
        <v>173</v>
      </c>
      <c r="B191" s="35" t="s">
        <v>82</v>
      </c>
      <c r="C191" s="127" t="s">
        <v>83</v>
      </c>
      <c r="D191" s="77" t="s">
        <v>85</v>
      </c>
      <c r="E191" s="78" t="s">
        <v>60</v>
      </c>
      <c r="F191" s="78"/>
      <c r="G191" s="78" t="s">
        <v>86</v>
      </c>
      <c r="H191" s="78" t="s">
        <v>87</v>
      </c>
      <c r="I191" s="189"/>
      <c r="J191" s="32">
        <f t="shared" ref="J191:J254" si="36">I191</f>
        <v>0</v>
      </c>
      <c r="K191" s="190" t="s">
        <v>51</v>
      </c>
      <c r="L191" s="185">
        <v>0</v>
      </c>
      <c r="M191" s="185">
        <v>0</v>
      </c>
      <c r="N191" s="186">
        <f t="shared" ref="N191:N254" si="37">L191*J191</f>
        <v>0</v>
      </c>
      <c r="O191" s="186">
        <f t="shared" ref="O191:O254" si="38">M191*J191</f>
        <v>0</v>
      </c>
      <c r="P191" s="187">
        <f t="shared" ref="P191:P254" si="39">(L191*J191)+(M191*J191)</f>
        <v>0</v>
      </c>
      <c r="Q191" s="336"/>
      <c r="S191" s="358" t="s">
        <v>614</v>
      </c>
    </row>
    <row r="192" spans="1:19" ht="23.25" customHeight="1" x14ac:dyDescent="0.5">
      <c r="A192" s="18">
        <f>A191+1</f>
        <v>174</v>
      </c>
      <c r="B192" s="26" t="s">
        <v>82</v>
      </c>
      <c r="C192" s="129" t="s">
        <v>83</v>
      </c>
      <c r="D192" s="72" t="s">
        <v>88</v>
      </c>
      <c r="E192" s="73" t="s">
        <v>60</v>
      </c>
      <c r="F192" s="73"/>
      <c r="G192" s="73" t="s">
        <v>89</v>
      </c>
      <c r="H192" s="73" t="s">
        <v>87</v>
      </c>
      <c r="I192" s="191"/>
      <c r="J192" s="19">
        <f t="shared" si="36"/>
        <v>0</v>
      </c>
      <c r="K192" s="167" t="s">
        <v>22</v>
      </c>
      <c r="L192" s="168">
        <v>0</v>
      </c>
      <c r="M192" s="168">
        <v>0</v>
      </c>
      <c r="N192" s="169">
        <f t="shared" si="37"/>
        <v>0</v>
      </c>
      <c r="O192" s="169">
        <f t="shared" si="38"/>
        <v>0</v>
      </c>
      <c r="P192" s="170">
        <f t="shared" si="39"/>
        <v>0</v>
      </c>
      <c r="Q192" s="335"/>
    </row>
    <row r="193" spans="1:17" ht="23.25" customHeight="1" x14ac:dyDescent="0.5">
      <c r="A193" s="18">
        <f t="shared" ref="A193:A256" si="40">A192+1</f>
        <v>175</v>
      </c>
      <c r="B193" s="26" t="s">
        <v>82</v>
      </c>
      <c r="C193" s="129" t="s">
        <v>83</v>
      </c>
      <c r="D193" s="72" t="s">
        <v>52</v>
      </c>
      <c r="E193" s="73" t="s">
        <v>60</v>
      </c>
      <c r="F193" s="73"/>
      <c r="G193" s="73" t="s">
        <v>60</v>
      </c>
      <c r="H193" s="73" t="s">
        <v>87</v>
      </c>
      <c r="I193" s="191"/>
      <c r="J193" s="19">
        <f t="shared" si="36"/>
        <v>0</v>
      </c>
      <c r="K193" s="167" t="s">
        <v>22</v>
      </c>
      <c r="L193" s="168">
        <v>0</v>
      </c>
      <c r="M193" s="168">
        <v>0</v>
      </c>
      <c r="N193" s="169">
        <f t="shared" si="37"/>
        <v>0</v>
      </c>
      <c r="O193" s="169">
        <f t="shared" si="38"/>
        <v>0</v>
      </c>
      <c r="P193" s="170">
        <f t="shared" si="39"/>
        <v>0</v>
      </c>
      <c r="Q193" s="335"/>
    </row>
    <row r="194" spans="1:17" ht="23.25" customHeight="1" x14ac:dyDescent="0.5">
      <c r="A194" s="18">
        <f t="shared" si="40"/>
        <v>176</v>
      </c>
      <c r="B194" s="26" t="s">
        <v>82</v>
      </c>
      <c r="C194" s="129" t="s">
        <v>83</v>
      </c>
      <c r="D194" s="72" t="s">
        <v>90</v>
      </c>
      <c r="E194" s="73" t="s">
        <v>60</v>
      </c>
      <c r="F194" s="73"/>
      <c r="G194" s="73" t="s">
        <v>60</v>
      </c>
      <c r="H194" s="73" t="s">
        <v>87</v>
      </c>
      <c r="I194" s="191"/>
      <c r="J194" s="19">
        <f t="shared" si="36"/>
        <v>0</v>
      </c>
      <c r="K194" s="167" t="s">
        <v>22</v>
      </c>
      <c r="L194" s="168">
        <v>0</v>
      </c>
      <c r="M194" s="168">
        <v>0</v>
      </c>
      <c r="N194" s="169">
        <f t="shared" si="37"/>
        <v>0</v>
      </c>
      <c r="O194" s="169">
        <f t="shared" si="38"/>
        <v>0</v>
      </c>
      <c r="P194" s="170">
        <f t="shared" si="39"/>
        <v>0</v>
      </c>
      <c r="Q194" s="335"/>
    </row>
    <row r="195" spans="1:17" ht="23.25" customHeight="1" x14ac:dyDescent="0.5">
      <c r="A195" s="18">
        <f t="shared" si="40"/>
        <v>177</v>
      </c>
      <c r="B195" s="26" t="s">
        <v>82</v>
      </c>
      <c r="C195" s="129" t="s">
        <v>83</v>
      </c>
      <c r="D195" s="72" t="s">
        <v>91</v>
      </c>
      <c r="E195" s="73" t="s">
        <v>60</v>
      </c>
      <c r="F195" s="73"/>
      <c r="G195" s="73" t="s">
        <v>60</v>
      </c>
      <c r="H195" s="73" t="s">
        <v>87</v>
      </c>
      <c r="I195" s="191"/>
      <c r="J195" s="19">
        <f t="shared" si="36"/>
        <v>0</v>
      </c>
      <c r="K195" s="167" t="s">
        <v>22</v>
      </c>
      <c r="L195" s="168">
        <v>0</v>
      </c>
      <c r="M195" s="168">
        <v>0</v>
      </c>
      <c r="N195" s="169">
        <f t="shared" si="37"/>
        <v>0</v>
      </c>
      <c r="O195" s="169">
        <f t="shared" si="38"/>
        <v>0</v>
      </c>
      <c r="P195" s="170">
        <f t="shared" si="39"/>
        <v>0</v>
      </c>
      <c r="Q195" s="335"/>
    </row>
    <row r="196" spans="1:17" ht="23.25" customHeight="1" x14ac:dyDescent="0.5">
      <c r="A196" s="18">
        <f t="shared" si="40"/>
        <v>178</v>
      </c>
      <c r="B196" s="26" t="s">
        <v>82</v>
      </c>
      <c r="C196" s="129" t="s">
        <v>83</v>
      </c>
      <c r="D196" s="72" t="s">
        <v>92</v>
      </c>
      <c r="E196" s="73" t="s">
        <v>60</v>
      </c>
      <c r="F196" s="73"/>
      <c r="G196" s="73" t="s">
        <v>60</v>
      </c>
      <c r="H196" s="73" t="s">
        <v>87</v>
      </c>
      <c r="I196" s="191"/>
      <c r="J196" s="19">
        <f t="shared" si="36"/>
        <v>0</v>
      </c>
      <c r="K196" s="167" t="s">
        <v>22</v>
      </c>
      <c r="L196" s="168">
        <v>0</v>
      </c>
      <c r="M196" s="168">
        <v>0</v>
      </c>
      <c r="N196" s="169">
        <f t="shared" si="37"/>
        <v>0</v>
      </c>
      <c r="O196" s="169">
        <f t="shared" si="38"/>
        <v>0</v>
      </c>
      <c r="P196" s="170">
        <f t="shared" si="39"/>
        <v>0</v>
      </c>
      <c r="Q196" s="335"/>
    </row>
    <row r="197" spans="1:17" ht="23.25" customHeight="1" x14ac:dyDescent="0.5">
      <c r="A197" s="18">
        <f t="shared" si="40"/>
        <v>179</v>
      </c>
      <c r="B197" s="26" t="s">
        <v>82</v>
      </c>
      <c r="C197" s="129" t="s">
        <v>83</v>
      </c>
      <c r="D197" s="72" t="s">
        <v>93</v>
      </c>
      <c r="E197" s="73" t="s">
        <v>60</v>
      </c>
      <c r="F197" s="73"/>
      <c r="G197" s="73" t="s">
        <v>60</v>
      </c>
      <c r="H197" s="73" t="s">
        <v>87</v>
      </c>
      <c r="I197" s="191"/>
      <c r="J197" s="19">
        <f t="shared" si="36"/>
        <v>0</v>
      </c>
      <c r="K197" s="167" t="s">
        <v>22</v>
      </c>
      <c r="L197" s="168">
        <v>0</v>
      </c>
      <c r="M197" s="168">
        <v>0</v>
      </c>
      <c r="N197" s="169">
        <f t="shared" si="37"/>
        <v>0</v>
      </c>
      <c r="O197" s="169">
        <f t="shared" si="38"/>
        <v>0</v>
      </c>
      <c r="P197" s="170">
        <f t="shared" si="39"/>
        <v>0</v>
      </c>
      <c r="Q197" s="335"/>
    </row>
    <row r="198" spans="1:17" ht="23.25" customHeight="1" x14ac:dyDescent="0.5">
      <c r="A198" s="18">
        <f t="shared" si="40"/>
        <v>180</v>
      </c>
      <c r="B198" s="26" t="s">
        <v>82</v>
      </c>
      <c r="C198" s="129" t="s">
        <v>83</v>
      </c>
      <c r="D198" s="72" t="s">
        <v>85</v>
      </c>
      <c r="E198" s="73" t="s">
        <v>60</v>
      </c>
      <c r="F198" s="73"/>
      <c r="G198" s="73" t="s">
        <v>86</v>
      </c>
      <c r="H198" s="73" t="s">
        <v>94</v>
      </c>
      <c r="I198" s="191"/>
      <c r="J198" s="19">
        <f t="shared" si="36"/>
        <v>0</v>
      </c>
      <c r="K198" s="167" t="s">
        <v>51</v>
      </c>
      <c r="L198" s="168">
        <v>0</v>
      </c>
      <c r="M198" s="168">
        <v>0</v>
      </c>
      <c r="N198" s="169">
        <f t="shared" si="37"/>
        <v>0</v>
      </c>
      <c r="O198" s="169">
        <f t="shared" si="38"/>
        <v>0</v>
      </c>
      <c r="P198" s="170">
        <f t="shared" si="39"/>
        <v>0</v>
      </c>
      <c r="Q198" s="335"/>
    </row>
    <row r="199" spans="1:17" ht="23.25" customHeight="1" x14ac:dyDescent="0.5">
      <c r="A199" s="18">
        <f t="shared" si="40"/>
        <v>181</v>
      </c>
      <c r="B199" s="26" t="s">
        <v>82</v>
      </c>
      <c r="C199" s="129" t="s">
        <v>83</v>
      </c>
      <c r="D199" s="72" t="s">
        <v>88</v>
      </c>
      <c r="E199" s="73" t="s">
        <v>60</v>
      </c>
      <c r="F199" s="73"/>
      <c r="G199" s="73" t="s">
        <v>89</v>
      </c>
      <c r="H199" s="73" t="s">
        <v>94</v>
      </c>
      <c r="I199" s="191"/>
      <c r="J199" s="19">
        <f t="shared" si="36"/>
        <v>0</v>
      </c>
      <c r="K199" s="167" t="s">
        <v>22</v>
      </c>
      <c r="L199" s="168">
        <v>0</v>
      </c>
      <c r="M199" s="168">
        <v>0</v>
      </c>
      <c r="N199" s="169">
        <f t="shared" si="37"/>
        <v>0</v>
      </c>
      <c r="O199" s="169">
        <f t="shared" si="38"/>
        <v>0</v>
      </c>
      <c r="P199" s="170">
        <f t="shared" si="39"/>
        <v>0</v>
      </c>
      <c r="Q199" s="335"/>
    </row>
    <row r="200" spans="1:17" ht="23.25" customHeight="1" x14ac:dyDescent="0.5">
      <c r="A200" s="18">
        <f t="shared" si="40"/>
        <v>182</v>
      </c>
      <c r="B200" s="26" t="s">
        <v>82</v>
      </c>
      <c r="C200" s="129" t="s">
        <v>83</v>
      </c>
      <c r="D200" s="72" t="s">
        <v>52</v>
      </c>
      <c r="E200" s="73" t="s">
        <v>60</v>
      </c>
      <c r="F200" s="73"/>
      <c r="G200" s="73" t="s">
        <v>60</v>
      </c>
      <c r="H200" s="73" t="s">
        <v>94</v>
      </c>
      <c r="I200" s="191"/>
      <c r="J200" s="19">
        <f t="shared" si="36"/>
        <v>0</v>
      </c>
      <c r="K200" s="167" t="s">
        <v>22</v>
      </c>
      <c r="L200" s="168">
        <v>0</v>
      </c>
      <c r="M200" s="168">
        <v>0</v>
      </c>
      <c r="N200" s="169">
        <f t="shared" si="37"/>
        <v>0</v>
      </c>
      <c r="O200" s="169">
        <f t="shared" si="38"/>
        <v>0</v>
      </c>
      <c r="P200" s="170">
        <f t="shared" si="39"/>
        <v>0</v>
      </c>
      <c r="Q200" s="335"/>
    </row>
    <row r="201" spans="1:17" ht="23.25" customHeight="1" x14ac:dyDescent="0.5">
      <c r="A201" s="18">
        <f t="shared" si="40"/>
        <v>183</v>
      </c>
      <c r="B201" s="26" t="s">
        <v>82</v>
      </c>
      <c r="C201" s="129" t="s">
        <v>83</v>
      </c>
      <c r="D201" s="72" t="s">
        <v>90</v>
      </c>
      <c r="E201" s="73" t="s">
        <v>60</v>
      </c>
      <c r="F201" s="73"/>
      <c r="G201" s="73" t="s">
        <v>60</v>
      </c>
      <c r="H201" s="73" t="s">
        <v>94</v>
      </c>
      <c r="I201" s="191"/>
      <c r="J201" s="19">
        <f t="shared" si="36"/>
        <v>0</v>
      </c>
      <c r="K201" s="167" t="s">
        <v>22</v>
      </c>
      <c r="L201" s="168">
        <v>0</v>
      </c>
      <c r="M201" s="168">
        <v>0</v>
      </c>
      <c r="N201" s="169">
        <f t="shared" si="37"/>
        <v>0</v>
      </c>
      <c r="O201" s="169">
        <f t="shared" si="38"/>
        <v>0</v>
      </c>
      <c r="P201" s="170">
        <f t="shared" si="39"/>
        <v>0</v>
      </c>
      <c r="Q201" s="335"/>
    </row>
    <row r="202" spans="1:17" ht="23.25" customHeight="1" x14ac:dyDescent="0.5">
      <c r="A202" s="18">
        <f t="shared" si="40"/>
        <v>184</v>
      </c>
      <c r="B202" s="26" t="s">
        <v>82</v>
      </c>
      <c r="C202" s="129" t="s">
        <v>83</v>
      </c>
      <c r="D202" s="72" t="s">
        <v>91</v>
      </c>
      <c r="E202" s="73" t="s">
        <v>60</v>
      </c>
      <c r="F202" s="73"/>
      <c r="G202" s="73" t="s">
        <v>60</v>
      </c>
      <c r="H202" s="73" t="s">
        <v>94</v>
      </c>
      <c r="I202" s="191"/>
      <c r="J202" s="19">
        <f t="shared" si="36"/>
        <v>0</v>
      </c>
      <c r="K202" s="167" t="s">
        <v>22</v>
      </c>
      <c r="L202" s="168">
        <v>0</v>
      </c>
      <c r="M202" s="168">
        <v>0</v>
      </c>
      <c r="N202" s="169">
        <f t="shared" si="37"/>
        <v>0</v>
      </c>
      <c r="O202" s="169">
        <f t="shared" si="38"/>
        <v>0</v>
      </c>
      <c r="P202" s="170">
        <f t="shared" si="39"/>
        <v>0</v>
      </c>
      <c r="Q202" s="335"/>
    </row>
    <row r="203" spans="1:17" ht="23.25" customHeight="1" x14ac:dyDescent="0.5">
      <c r="A203" s="18">
        <f t="shared" si="40"/>
        <v>185</v>
      </c>
      <c r="B203" s="26" t="s">
        <v>82</v>
      </c>
      <c r="C203" s="129" t="s">
        <v>83</v>
      </c>
      <c r="D203" s="72" t="s">
        <v>92</v>
      </c>
      <c r="E203" s="73" t="s">
        <v>60</v>
      </c>
      <c r="F203" s="73"/>
      <c r="G203" s="73" t="s">
        <v>60</v>
      </c>
      <c r="H203" s="73" t="s">
        <v>94</v>
      </c>
      <c r="I203" s="191"/>
      <c r="J203" s="19">
        <f t="shared" si="36"/>
        <v>0</v>
      </c>
      <c r="K203" s="167" t="s">
        <v>22</v>
      </c>
      <c r="L203" s="168">
        <v>0</v>
      </c>
      <c r="M203" s="168">
        <v>0</v>
      </c>
      <c r="N203" s="169">
        <f t="shared" si="37"/>
        <v>0</v>
      </c>
      <c r="O203" s="169">
        <f t="shared" si="38"/>
        <v>0</v>
      </c>
      <c r="P203" s="170">
        <f t="shared" si="39"/>
        <v>0</v>
      </c>
      <c r="Q203" s="335"/>
    </row>
    <row r="204" spans="1:17" ht="23.25" customHeight="1" x14ac:dyDescent="0.5">
      <c r="A204" s="18">
        <f t="shared" si="40"/>
        <v>186</v>
      </c>
      <c r="B204" s="26" t="s">
        <v>82</v>
      </c>
      <c r="C204" s="129" t="s">
        <v>83</v>
      </c>
      <c r="D204" s="72" t="s">
        <v>93</v>
      </c>
      <c r="E204" s="73" t="s">
        <v>60</v>
      </c>
      <c r="F204" s="73"/>
      <c r="G204" s="73" t="s">
        <v>60</v>
      </c>
      <c r="H204" s="73" t="s">
        <v>94</v>
      </c>
      <c r="I204" s="191"/>
      <c r="J204" s="19">
        <f t="shared" si="36"/>
        <v>0</v>
      </c>
      <c r="K204" s="167" t="s">
        <v>22</v>
      </c>
      <c r="L204" s="168">
        <v>0</v>
      </c>
      <c r="M204" s="168">
        <v>0</v>
      </c>
      <c r="N204" s="169">
        <f t="shared" si="37"/>
        <v>0</v>
      </c>
      <c r="O204" s="169">
        <f t="shared" si="38"/>
        <v>0</v>
      </c>
      <c r="P204" s="170">
        <f t="shared" si="39"/>
        <v>0</v>
      </c>
      <c r="Q204" s="335"/>
    </row>
    <row r="205" spans="1:17" ht="23.25" customHeight="1" x14ac:dyDescent="0.5">
      <c r="A205" s="18">
        <f t="shared" si="40"/>
        <v>187</v>
      </c>
      <c r="B205" s="26" t="s">
        <v>82</v>
      </c>
      <c r="C205" s="129" t="s">
        <v>83</v>
      </c>
      <c r="D205" s="72" t="s">
        <v>85</v>
      </c>
      <c r="E205" s="73" t="s">
        <v>60</v>
      </c>
      <c r="F205" s="73"/>
      <c r="G205" s="73" t="s">
        <v>86</v>
      </c>
      <c r="H205" s="73" t="s">
        <v>95</v>
      </c>
      <c r="I205" s="191"/>
      <c r="J205" s="19">
        <f t="shared" si="36"/>
        <v>0</v>
      </c>
      <c r="K205" s="167" t="s">
        <v>51</v>
      </c>
      <c r="L205" s="168">
        <v>0</v>
      </c>
      <c r="M205" s="168">
        <v>0</v>
      </c>
      <c r="N205" s="169">
        <f t="shared" si="37"/>
        <v>0</v>
      </c>
      <c r="O205" s="169">
        <f t="shared" si="38"/>
        <v>0</v>
      </c>
      <c r="P205" s="170">
        <f t="shared" si="39"/>
        <v>0</v>
      </c>
      <c r="Q205" s="335"/>
    </row>
    <row r="206" spans="1:17" ht="23.25" customHeight="1" x14ac:dyDescent="0.5">
      <c r="A206" s="18">
        <f t="shared" si="40"/>
        <v>188</v>
      </c>
      <c r="B206" s="26" t="s">
        <v>82</v>
      </c>
      <c r="C206" s="129" t="s">
        <v>83</v>
      </c>
      <c r="D206" s="72" t="s">
        <v>88</v>
      </c>
      <c r="E206" s="73" t="s">
        <v>60</v>
      </c>
      <c r="F206" s="73"/>
      <c r="G206" s="73" t="s">
        <v>89</v>
      </c>
      <c r="H206" s="73" t="s">
        <v>95</v>
      </c>
      <c r="I206" s="191"/>
      <c r="J206" s="19">
        <f t="shared" si="36"/>
        <v>0</v>
      </c>
      <c r="K206" s="167" t="s">
        <v>22</v>
      </c>
      <c r="L206" s="168">
        <v>0</v>
      </c>
      <c r="M206" s="168">
        <v>0</v>
      </c>
      <c r="N206" s="169">
        <f t="shared" si="37"/>
        <v>0</v>
      </c>
      <c r="O206" s="169">
        <f t="shared" si="38"/>
        <v>0</v>
      </c>
      <c r="P206" s="170">
        <f t="shared" si="39"/>
        <v>0</v>
      </c>
      <c r="Q206" s="335"/>
    </row>
    <row r="207" spans="1:17" ht="23.25" customHeight="1" x14ac:dyDescent="0.5">
      <c r="A207" s="18">
        <f t="shared" si="40"/>
        <v>189</v>
      </c>
      <c r="B207" s="26" t="s">
        <v>82</v>
      </c>
      <c r="C207" s="129" t="s">
        <v>83</v>
      </c>
      <c r="D207" s="72" t="s">
        <v>52</v>
      </c>
      <c r="E207" s="73" t="s">
        <v>60</v>
      </c>
      <c r="F207" s="73"/>
      <c r="G207" s="73" t="s">
        <v>60</v>
      </c>
      <c r="H207" s="73" t="s">
        <v>95</v>
      </c>
      <c r="I207" s="191"/>
      <c r="J207" s="19">
        <f t="shared" si="36"/>
        <v>0</v>
      </c>
      <c r="K207" s="167" t="s">
        <v>22</v>
      </c>
      <c r="L207" s="168">
        <v>0</v>
      </c>
      <c r="M207" s="168">
        <v>0</v>
      </c>
      <c r="N207" s="169">
        <f t="shared" si="37"/>
        <v>0</v>
      </c>
      <c r="O207" s="169">
        <f t="shared" si="38"/>
        <v>0</v>
      </c>
      <c r="P207" s="170">
        <f t="shared" si="39"/>
        <v>0</v>
      </c>
      <c r="Q207" s="335"/>
    </row>
    <row r="208" spans="1:17" ht="23.25" customHeight="1" x14ac:dyDescent="0.5">
      <c r="A208" s="18">
        <f t="shared" si="40"/>
        <v>190</v>
      </c>
      <c r="B208" s="26" t="s">
        <v>82</v>
      </c>
      <c r="C208" s="129" t="s">
        <v>83</v>
      </c>
      <c r="D208" s="72" t="s">
        <v>90</v>
      </c>
      <c r="E208" s="73" t="s">
        <v>60</v>
      </c>
      <c r="F208" s="73"/>
      <c r="G208" s="73" t="s">
        <v>60</v>
      </c>
      <c r="H208" s="73" t="s">
        <v>95</v>
      </c>
      <c r="I208" s="191"/>
      <c r="J208" s="19">
        <f t="shared" si="36"/>
        <v>0</v>
      </c>
      <c r="K208" s="167" t="s">
        <v>22</v>
      </c>
      <c r="L208" s="168">
        <v>0</v>
      </c>
      <c r="M208" s="168">
        <v>0</v>
      </c>
      <c r="N208" s="169">
        <f t="shared" si="37"/>
        <v>0</v>
      </c>
      <c r="O208" s="169">
        <f t="shared" si="38"/>
        <v>0</v>
      </c>
      <c r="P208" s="170">
        <f t="shared" si="39"/>
        <v>0</v>
      </c>
      <c r="Q208" s="335"/>
    </row>
    <row r="209" spans="1:17" ht="23.25" customHeight="1" x14ac:dyDescent="0.5">
      <c r="A209" s="18">
        <f t="shared" si="40"/>
        <v>191</v>
      </c>
      <c r="B209" s="26" t="s">
        <v>82</v>
      </c>
      <c r="C209" s="129" t="s">
        <v>83</v>
      </c>
      <c r="D209" s="72" t="s">
        <v>91</v>
      </c>
      <c r="E209" s="73" t="s">
        <v>60</v>
      </c>
      <c r="F209" s="73"/>
      <c r="G209" s="73" t="s">
        <v>60</v>
      </c>
      <c r="H209" s="73" t="s">
        <v>95</v>
      </c>
      <c r="I209" s="191"/>
      <c r="J209" s="19">
        <f t="shared" si="36"/>
        <v>0</v>
      </c>
      <c r="K209" s="167" t="s">
        <v>22</v>
      </c>
      <c r="L209" s="168">
        <v>0</v>
      </c>
      <c r="M209" s="168">
        <v>0</v>
      </c>
      <c r="N209" s="169">
        <f t="shared" si="37"/>
        <v>0</v>
      </c>
      <c r="O209" s="169">
        <f t="shared" si="38"/>
        <v>0</v>
      </c>
      <c r="P209" s="170">
        <f t="shared" si="39"/>
        <v>0</v>
      </c>
      <c r="Q209" s="335"/>
    </row>
    <row r="210" spans="1:17" ht="23.25" customHeight="1" x14ac:dyDescent="0.5">
      <c r="A210" s="18">
        <f t="shared" si="40"/>
        <v>192</v>
      </c>
      <c r="B210" s="26" t="s">
        <v>82</v>
      </c>
      <c r="C210" s="129" t="s">
        <v>83</v>
      </c>
      <c r="D210" s="72" t="s">
        <v>92</v>
      </c>
      <c r="E210" s="73" t="s">
        <v>60</v>
      </c>
      <c r="F210" s="73"/>
      <c r="G210" s="73" t="s">
        <v>60</v>
      </c>
      <c r="H210" s="73" t="s">
        <v>95</v>
      </c>
      <c r="I210" s="191"/>
      <c r="J210" s="19">
        <f t="shared" si="36"/>
        <v>0</v>
      </c>
      <c r="K210" s="167" t="s">
        <v>22</v>
      </c>
      <c r="L210" s="168">
        <v>0</v>
      </c>
      <c r="M210" s="168">
        <v>0</v>
      </c>
      <c r="N210" s="169">
        <f t="shared" si="37"/>
        <v>0</v>
      </c>
      <c r="O210" s="169">
        <f t="shared" si="38"/>
        <v>0</v>
      </c>
      <c r="P210" s="170">
        <f t="shared" si="39"/>
        <v>0</v>
      </c>
      <c r="Q210" s="335"/>
    </row>
    <row r="211" spans="1:17" ht="23.25" customHeight="1" x14ac:dyDescent="0.5">
      <c r="A211" s="18">
        <f t="shared" si="40"/>
        <v>193</v>
      </c>
      <c r="B211" s="26" t="s">
        <v>82</v>
      </c>
      <c r="C211" s="129" t="s">
        <v>83</v>
      </c>
      <c r="D211" s="72" t="s">
        <v>93</v>
      </c>
      <c r="E211" s="73" t="s">
        <v>60</v>
      </c>
      <c r="F211" s="73"/>
      <c r="G211" s="73" t="s">
        <v>60</v>
      </c>
      <c r="H211" s="73" t="s">
        <v>95</v>
      </c>
      <c r="I211" s="191"/>
      <c r="J211" s="19">
        <f t="shared" si="36"/>
        <v>0</v>
      </c>
      <c r="K211" s="167" t="s">
        <v>22</v>
      </c>
      <c r="L211" s="168">
        <v>0</v>
      </c>
      <c r="M211" s="168">
        <v>0</v>
      </c>
      <c r="N211" s="169">
        <f t="shared" si="37"/>
        <v>0</v>
      </c>
      <c r="O211" s="169">
        <f t="shared" si="38"/>
        <v>0</v>
      </c>
      <c r="P211" s="170">
        <f t="shared" si="39"/>
        <v>0</v>
      </c>
      <c r="Q211" s="335"/>
    </row>
    <row r="212" spans="1:17" ht="23.25" customHeight="1" x14ac:dyDescent="0.5">
      <c r="A212" s="18">
        <f t="shared" si="40"/>
        <v>194</v>
      </c>
      <c r="B212" s="26" t="s">
        <v>82</v>
      </c>
      <c r="C212" s="129" t="s">
        <v>83</v>
      </c>
      <c r="D212" s="72" t="s">
        <v>85</v>
      </c>
      <c r="E212" s="73" t="s">
        <v>60</v>
      </c>
      <c r="F212" s="73"/>
      <c r="G212" s="73" t="s">
        <v>86</v>
      </c>
      <c r="H212" s="73" t="s">
        <v>96</v>
      </c>
      <c r="I212" s="191"/>
      <c r="J212" s="19">
        <f t="shared" si="36"/>
        <v>0</v>
      </c>
      <c r="K212" s="167" t="s">
        <v>51</v>
      </c>
      <c r="L212" s="168">
        <v>0</v>
      </c>
      <c r="M212" s="168">
        <v>0</v>
      </c>
      <c r="N212" s="169">
        <f t="shared" si="37"/>
        <v>0</v>
      </c>
      <c r="O212" s="169">
        <f t="shared" si="38"/>
        <v>0</v>
      </c>
      <c r="P212" s="170">
        <f t="shared" si="39"/>
        <v>0</v>
      </c>
      <c r="Q212" s="335"/>
    </row>
    <row r="213" spans="1:17" ht="23.25" customHeight="1" x14ac:dyDescent="0.5">
      <c r="A213" s="18">
        <f t="shared" si="40"/>
        <v>195</v>
      </c>
      <c r="B213" s="26" t="s">
        <v>82</v>
      </c>
      <c r="C213" s="129" t="s">
        <v>83</v>
      </c>
      <c r="D213" s="72" t="s">
        <v>88</v>
      </c>
      <c r="E213" s="73" t="s">
        <v>60</v>
      </c>
      <c r="F213" s="73"/>
      <c r="G213" s="73" t="s">
        <v>89</v>
      </c>
      <c r="H213" s="73" t="s">
        <v>96</v>
      </c>
      <c r="I213" s="191"/>
      <c r="J213" s="19">
        <f t="shared" si="36"/>
        <v>0</v>
      </c>
      <c r="K213" s="167" t="s">
        <v>22</v>
      </c>
      <c r="L213" s="168">
        <v>0</v>
      </c>
      <c r="M213" s="168">
        <v>0</v>
      </c>
      <c r="N213" s="169">
        <f t="shared" si="37"/>
        <v>0</v>
      </c>
      <c r="O213" s="169">
        <f t="shared" si="38"/>
        <v>0</v>
      </c>
      <c r="P213" s="170">
        <f t="shared" si="39"/>
        <v>0</v>
      </c>
      <c r="Q213" s="335"/>
    </row>
    <row r="214" spans="1:17" ht="23.25" customHeight="1" x14ac:dyDescent="0.5">
      <c r="A214" s="18">
        <f t="shared" si="40"/>
        <v>196</v>
      </c>
      <c r="B214" s="26" t="s">
        <v>82</v>
      </c>
      <c r="C214" s="129" t="s">
        <v>83</v>
      </c>
      <c r="D214" s="72" t="s">
        <v>52</v>
      </c>
      <c r="E214" s="73" t="s">
        <v>60</v>
      </c>
      <c r="F214" s="73"/>
      <c r="G214" s="73" t="s">
        <v>60</v>
      </c>
      <c r="H214" s="73" t="s">
        <v>96</v>
      </c>
      <c r="I214" s="191"/>
      <c r="J214" s="19">
        <f t="shared" si="36"/>
        <v>0</v>
      </c>
      <c r="K214" s="167" t="s">
        <v>22</v>
      </c>
      <c r="L214" s="168">
        <v>0</v>
      </c>
      <c r="M214" s="168">
        <v>0</v>
      </c>
      <c r="N214" s="169">
        <f t="shared" si="37"/>
        <v>0</v>
      </c>
      <c r="O214" s="169">
        <f t="shared" si="38"/>
        <v>0</v>
      </c>
      <c r="P214" s="170">
        <f t="shared" si="39"/>
        <v>0</v>
      </c>
      <c r="Q214" s="335"/>
    </row>
    <row r="215" spans="1:17" ht="23.25" customHeight="1" x14ac:dyDescent="0.5">
      <c r="A215" s="18">
        <f t="shared" si="40"/>
        <v>197</v>
      </c>
      <c r="B215" s="26" t="s">
        <v>82</v>
      </c>
      <c r="C215" s="129" t="s">
        <v>83</v>
      </c>
      <c r="D215" s="72" t="s">
        <v>90</v>
      </c>
      <c r="E215" s="73" t="s">
        <v>60</v>
      </c>
      <c r="F215" s="73"/>
      <c r="G215" s="73" t="s">
        <v>60</v>
      </c>
      <c r="H215" s="73" t="s">
        <v>96</v>
      </c>
      <c r="I215" s="191"/>
      <c r="J215" s="19">
        <f t="shared" si="36"/>
        <v>0</v>
      </c>
      <c r="K215" s="167" t="s">
        <v>22</v>
      </c>
      <c r="L215" s="168">
        <v>0</v>
      </c>
      <c r="M215" s="168">
        <v>0</v>
      </c>
      <c r="N215" s="169">
        <f t="shared" si="37"/>
        <v>0</v>
      </c>
      <c r="O215" s="169">
        <f t="shared" si="38"/>
        <v>0</v>
      </c>
      <c r="P215" s="170">
        <f t="shared" si="39"/>
        <v>0</v>
      </c>
      <c r="Q215" s="335"/>
    </row>
    <row r="216" spans="1:17" ht="23.25" customHeight="1" x14ac:dyDescent="0.5">
      <c r="A216" s="18">
        <f t="shared" si="40"/>
        <v>198</v>
      </c>
      <c r="B216" s="26" t="s">
        <v>82</v>
      </c>
      <c r="C216" s="129" t="s">
        <v>83</v>
      </c>
      <c r="D216" s="72" t="s">
        <v>91</v>
      </c>
      <c r="E216" s="73" t="s">
        <v>60</v>
      </c>
      <c r="F216" s="73"/>
      <c r="G216" s="73" t="s">
        <v>60</v>
      </c>
      <c r="H216" s="73" t="s">
        <v>96</v>
      </c>
      <c r="I216" s="191"/>
      <c r="J216" s="19">
        <f t="shared" si="36"/>
        <v>0</v>
      </c>
      <c r="K216" s="167" t="s">
        <v>22</v>
      </c>
      <c r="L216" s="168">
        <v>0</v>
      </c>
      <c r="M216" s="168">
        <v>0</v>
      </c>
      <c r="N216" s="169">
        <f t="shared" si="37"/>
        <v>0</v>
      </c>
      <c r="O216" s="169">
        <f t="shared" si="38"/>
        <v>0</v>
      </c>
      <c r="P216" s="170">
        <f t="shared" si="39"/>
        <v>0</v>
      </c>
      <c r="Q216" s="335"/>
    </row>
    <row r="217" spans="1:17" ht="23.25" customHeight="1" x14ac:dyDescent="0.5">
      <c r="A217" s="18">
        <f t="shared" si="40"/>
        <v>199</v>
      </c>
      <c r="B217" s="26" t="s">
        <v>82</v>
      </c>
      <c r="C217" s="129" t="s">
        <v>83</v>
      </c>
      <c r="D217" s="72" t="s">
        <v>92</v>
      </c>
      <c r="E217" s="73" t="s">
        <v>60</v>
      </c>
      <c r="F217" s="73"/>
      <c r="G217" s="73" t="s">
        <v>60</v>
      </c>
      <c r="H217" s="73" t="s">
        <v>96</v>
      </c>
      <c r="I217" s="191"/>
      <c r="J217" s="19">
        <f t="shared" si="36"/>
        <v>0</v>
      </c>
      <c r="K217" s="167" t="s">
        <v>22</v>
      </c>
      <c r="L217" s="168">
        <v>0</v>
      </c>
      <c r="M217" s="168">
        <v>0</v>
      </c>
      <c r="N217" s="169">
        <f t="shared" si="37"/>
        <v>0</v>
      </c>
      <c r="O217" s="169">
        <f t="shared" si="38"/>
        <v>0</v>
      </c>
      <c r="P217" s="170">
        <f t="shared" si="39"/>
        <v>0</v>
      </c>
      <c r="Q217" s="335"/>
    </row>
    <row r="218" spans="1:17" ht="23.25" customHeight="1" x14ac:dyDescent="0.5">
      <c r="A218" s="18">
        <f t="shared" si="40"/>
        <v>200</v>
      </c>
      <c r="B218" s="26" t="s">
        <v>82</v>
      </c>
      <c r="C218" s="129" t="s">
        <v>83</v>
      </c>
      <c r="D218" s="72" t="s">
        <v>93</v>
      </c>
      <c r="E218" s="73" t="s">
        <v>60</v>
      </c>
      <c r="F218" s="73"/>
      <c r="G218" s="73" t="s">
        <v>60</v>
      </c>
      <c r="H218" s="73" t="s">
        <v>96</v>
      </c>
      <c r="I218" s="191"/>
      <c r="J218" s="19">
        <f t="shared" si="36"/>
        <v>0</v>
      </c>
      <c r="K218" s="167" t="s">
        <v>22</v>
      </c>
      <c r="L218" s="168">
        <v>0</v>
      </c>
      <c r="M218" s="168">
        <v>0</v>
      </c>
      <c r="N218" s="169">
        <f t="shared" si="37"/>
        <v>0</v>
      </c>
      <c r="O218" s="169">
        <f t="shared" si="38"/>
        <v>0</v>
      </c>
      <c r="P218" s="170">
        <f t="shared" si="39"/>
        <v>0</v>
      </c>
      <c r="Q218" s="335"/>
    </row>
    <row r="219" spans="1:17" ht="23.25" customHeight="1" x14ac:dyDescent="0.5">
      <c r="A219" s="18">
        <f t="shared" si="40"/>
        <v>201</v>
      </c>
      <c r="B219" s="26" t="s">
        <v>82</v>
      </c>
      <c r="C219" s="129" t="s">
        <v>83</v>
      </c>
      <c r="D219" s="72" t="s">
        <v>85</v>
      </c>
      <c r="E219" s="73" t="s">
        <v>60</v>
      </c>
      <c r="F219" s="73"/>
      <c r="G219" s="73" t="s">
        <v>86</v>
      </c>
      <c r="H219" s="73" t="s">
        <v>97</v>
      </c>
      <c r="I219" s="191"/>
      <c r="J219" s="19">
        <f t="shared" si="36"/>
        <v>0</v>
      </c>
      <c r="K219" s="167" t="s">
        <v>51</v>
      </c>
      <c r="L219" s="168">
        <v>0</v>
      </c>
      <c r="M219" s="168">
        <v>0</v>
      </c>
      <c r="N219" s="169">
        <f t="shared" si="37"/>
        <v>0</v>
      </c>
      <c r="O219" s="169">
        <f t="shared" si="38"/>
        <v>0</v>
      </c>
      <c r="P219" s="170">
        <f t="shared" si="39"/>
        <v>0</v>
      </c>
      <c r="Q219" s="335"/>
    </row>
    <row r="220" spans="1:17" ht="23.25" customHeight="1" x14ac:dyDescent="0.5">
      <c r="A220" s="18">
        <f t="shared" si="40"/>
        <v>202</v>
      </c>
      <c r="B220" s="26" t="s">
        <v>82</v>
      </c>
      <c r="C220" s="129" t="s">
        <v>83</v>
      </c>
      <c r="D220" s="72" t="s">
        <v>88</v>
      </c>
      <c r="E220" s="73" t="s">
        <v>60</v>
      </c>
      <c r="F220" s="73"/>
      <c r="G220" s="73" t="s">
        <v>89</v>
      </c>
      <c r="H220" s="73" t="s">
        <v>97</v>
      </c>
      <c r="I220" s="191"/>
      <c r="J220" s="19">
        <f t="shared" si="36"/>
        <v>0</v>
      </c>
      <c r="K220" s="167" t="s">
        <v>22</v>
      </c>
      <c r="L220" s="168">
        <v>0</v>
      </c>
      <c r="M220" s="168">
        <v>0</v>
      </c>
      <c r="N220" s="169">
        <f t="shared" si="37"/>
        <v>0</v>
      </c>
      <c r="O220" s="169">
        <f t="shared" si="38"/>
        <v>0</v>
      </c>
      <c r="P220" s="170">
        <f t="shared" si="39"/>
        <v>0</v>
      </c>
      <c r="Q220" s="335"/>
    </row>
    <row r="221" spans="1:17" ht="23.25" customHeight="1" x14ac:dyDescent="0.5">
      <c r="A221" s="18">
        <f t="shared" si="40"/>
        <v>203</v>
      </c>
      <c r="B221" s="26" t="s">
        <v>82</v>
      </c>
      <c r="C221" s="129" t="s">
        <v>83</v>
      </c>
      <c r="D221" s="72" t="s">
        <v>52</v>
      </c>
      <c r="E221" s="73" t="s">
        <v>60</v>
      </c>
      <c r="F221" s="73"/>
      <c r="G221" s="73" t="s">
        <v>60</v>
      </c>
      <c r="H221" s="73" t="s">
        <v>97</v>
      </c>
      <c r="I221" s="191"/>
      <c r="J221" s="19">
        <f t="shared" si="36"/>
        <v>0</v>
      </c>
      <c r="K221" s="167" t="s">
        <v>22</v>
      </c>
      <c r="L221" s="168">
        <v>0</v>
      </c>
      <c r="M221" s="168">
        <v>0</v>
      </c>
      <c r="N221" s="169">
        <f t="shared" si="37"/>
        <v>0</v>
      </c>
      <c r="O221" s="169">
        <f t="shared" si="38"/>
        <v>0</v>
      </c>
      <c r="P221" s="170">
        <f t="shared" si="39"/>
        <v>0</v>
      </c>
      <c r="Q221" s="335"/>
    </row>
    <row r="222" spans="1:17" ht="23.25" customHeight="1" x14ac:dyDescent="0.5">
      <c r="A222" s="18">
        <f t="shared" si="40"/>
        <v>204</v>
      </c>
      <c r="B222" s="26" t="s">
        <v>82</v>
      </c>
      <c r="C222" s="129" t="s">
        <v>83</v>
      </c>
      <c r="D222" s="72" t="s">
        <v>90</v>
      </c>
      <c r="E222" s="73" t="s">
        <v>60</v>
      </c>
      <c r="F222" s="73"/>
      <c r="G222" s="73" t="s">
        <v>60</v>
      </c>
      <c r="H222" s="73" t="s">
        <v>97</v>
      </c>
      <c r="I222" s="191"/>
      <c r="J222" s="19">
        <f t="shared" si="36"/>
        <v>0</v>
      </c>
      <c r="K222" s="167" t="s">
        <v>22</v>
      </c>
      <c r="L222" s="168">
        <v>0</v>
      </c>
      <c r="M222" s="168">
        <v>0</v>
      </c>
      <c r="N222" s="169">
        <f t="shared" si="37"/>
        <v>0</v>
      </c>
      <c r="O222" s="169">
        <f t="shared" si="38"/>
        <v>0</v>
      </c>
      <c r="P222" s="170">
        <f t="shared" si="39"/>
        <v>0</v>
      </c>
      <c r="Q222" s="335"/>
    </row>
    <row r="223" spans="1:17" ht="23.25" customHeight="1" x14ac:dyDescent="0.5">
      <c r="A223" s="18">
        <f t="shared" si="40"/>
        <v>205</v>
      </c>
      <c r="B223" s="26" t="s">
        <v>82</v>
      </c>
      <c r="C223" s="129" t="s">
        <v>83</v>
      </c>
      <c r="D223" s="72" t="s">
        <v>91</v>
      </c>
      <c r="E223" s="73" t="s">
        <v>60</v>
      </c>
      <c r="F223" s="73"/>
      <c r="G223" s="73" t="s">
        <v>60</v>
      </c>
      <c r="H223" s="73" t="s">
        <v>97</v>
      </c>
      <c r="I223" s="191"/>
      <c r="J223" s="19">
        <f t="shared" si="36"/>
        <v>0</v>
      </c>
      <c r="K223" s="167" t="s">
        <v>22</v>
      </c>
      <c r="L223" s="168">
        <v>0</v>
      </c>
      <c r="M223" s="168">
        <v>0</v>
      </c>
      <c r="N223" s="169">
        <f t="shared" si="37"/>
        <v>0</v>
      </c>
      <c r="O223" s="169">
        <f t="shared" si="38"/>
        <v>0</v>
      </c>
      <c r="P223" s="170">
        <f t="shared" si="39"/>
        <v>0</v>
      </c>
      <c r="Q223" s="335"/>
    </row>
    <row r="224" spans="1:17" ht="23.25" customHeight="1" x14ac:dyDescent="0.5">
      <c r="A224" s="18">
        <f t="shared" si="40"/>
        <v>206</v>
      </c>
      <c r="B224" s="26" t="s">
        <v>82</v>
      </c>
      <c r="C224" s="129" t="s">
        <v>83</v>
      </c>
      <c r="D224" s="72" t="s">
        <v>92</v>
      </c>
      <c r="E224" s="73" t="s">
        <v>60</v>
      </c>
      <c r="F224" s="73"/>
      <c r="G224" s="73" t="s">
        <v>60</v>
      </c>
      <c r="H224" s="73" t="s">
        <v>97</v>
      </c>
      <c r="I224" s="191"/>
      <c r="J224" s="19">
        <f t="shared" si="36"/>
        <v>0</v>
      </c>
      <c r="K224" s="167" t="s">
        <v>22</v>
      </c>
      <c r="L224" s="168">
        <v>0</v>
      </c>
      <c r="M224" s="168">
        <v>0</v>
      </c>
      <c r="N224" s="169">
        <f t="shared" si="37"/>
        <v>0</v>
      </c>
      <c r="O224" s="169">
        <f t="shared" si="38"/>
        <v>0</v>
      </c>
      <c r="P224" s="170">
        <f t="shared" si="39"/>
        <v>0</v>
      </c>
      <c r="Q224" s="335"/>
    </row>
    <row r="225" spans="1:17" ht="23.25" customHeight="1" x14ac:dyDescent="0.5">
      <c r="A225" s="18">
        <f t="shared" si="40"/>
        <v>207</v>
      </c>
      <c r="B225" s="26" t="s">
        <v>82</v>
      </c>
      <c r="C225" s="129" t="s">
        <v>83</v>
      </c>
      <c r="D225" s="72" t="s">
        <v>93</v>
      </c>
      <c r="E225" s="73" t="s">
        <v>60</v>
      </c>
      <c r="F225" s="73"/>
      <c r="G225" s="73" t="s">
        <v>60</v>
      </c>
      <c r="H225" s="73" t="s">
        <v>97</v>
      </c>
      <c r="I225" s="191"/>
      <c r="J225" s="19">
        <f t="shared" si="36"/>
        <v>0</v>
      </c>
      <c r="K225" s="167" t="s">
        <v>22</v>
      </c>
      <c r="L225" s="168">
        <v>0</v>
      </c>
      <c r="M225" s="168">
        <v>0</v>
      </c>
      <c r="N225" s="169">
        <f t="shared" si="37"/>
        <v>0</v>
      </c>
      <c r="O225" s="169">
        <f t="shared" si="38"/>
        <v>0</v>
      </c>
      <c r="P225" s="170">
        <f t="shared" si="39"/>
        <v>0</v>
      </c>
      <c r="Q225" s="335"/>
    </row>
    <row r="226" spans="1:17" ht="23.25" customHeight="1" x14ac:dyDescent="0.5">
      <c r="A226" s="18">
        <f t="shared" si="40"/>
        <v>208</v>
      </c>
      <c r="B226" s="26" t="s">
        <v>82</v>
      </c>
      <c r="C226" s="129" t="s">
        <v>83</v>
      </c>
      <c r="D226" s="72" t="s">
        <v>85</v>
      </c>
      <c r="E226" s="73" t="s">
        <v>60</v>
      </c>
      <c r="F226" s="73"/>
      <c r="G226" s="73" t="s">
        <v>86</v>
      </c>
      <c r="H226" s="73" t="s">
        <v>98</v>
      </c>
      <c r="I226" s="191"/>
      <c r="J226" s="19">
        <f t="shared" si="36"/>
        <v>0</v>
      </c>
      <c r="K226" s="167" t="s">
        <v>51</v>
      </c>
      <c r="L226" s="168">
        <v>0</v>
      </c>
      <c r="M226" s="168">
        <v>0</v>
      </c>
      <c r="N226" s="169">
        <f t="shared" si="37"/>
        <v>0</v>
      </c>
      <c r="O226" s="169">
        <f t="shared" si="38"/>
        <v>0</v>
      </c>
      <c r="P226" s="170">
        <f t="shared" si="39"/>
        <v>0</v>
      </c>
      <c r="Q226" s="335"/>
    </row>
    <row r="227" spans="1:17" ht="23.25" customHeight="1" x14ac:dyDescent="0.5">
      <c r="A227" s="18">
        <f t="shared" si="40"/>
        <v>209</v>
      </c>
      <c r="B227" s="26" t="s">
        <v>82</v>
      </c>
      <c r="C227" s="129" t="s">
        <v>83</v>
      </c>
      <c r="D227" s="72" t="s">
        <v>88</v>
      </c>
      <c r="E227" s="73" t="s">
        <v>60</v>
      </c>
      <c r="F227" s="73"/>
      <c r="G227" s="73" t="s">
        <v>89</v>
      </c>
      <c r="H227" s="73" t="s">
        <v>98</v>
      </c>
      <c r="I227" s="191"/>
      <c r="J227" s="19">
        <f t="shared" si="36"/>
        <v>0</v>
      </c>
      <c r="K227" s="167" t="s">
        <v>22</v>
      </c>
      <c r="L227" s="168">
        <v>0</v>
      </c>
      <c r="M227" s="168">
        <v>0</v>
      </c>
      <c r="N227" s="169">
        <f t="shared" si="37"/>
        <v>0</v>
      </c>
      <c r="O227" s="169">
        <f t="shared" si="38"/>
        <v>0</v>
      </c>
      <c r="P227" s="170">
        <f t="shared" si="39"/>
        <v>0</v>
      </c>
      <c r="Q227" s="335"/>
    </row>
    <row r="228" spans="1:17" ht="23.25" customHeight="1" x14ac:dyDescent="0.5">
      <c r="A228" s="18">
        <f t="shared" si="40"/>
        <v>210</v>
      </c>
      <c r="B228" s="26" t="s">
        <v>82</v>
      </c>
      <c r="C228" s="129" t="s">
        <v>83</v>
      </c>
      <c r="D228" s="72" t="s">
        <v>52</v>
      </c>
      <c r="E228" s="73" t="s">
        <v>60</v>
      </c>
      <c r="F228" s="73"/>
      <c r="G228" s="73" t="s">
        <v>60</v>
      </c>
      <c r="H228" s="73" t="s">
        <v>98</v>
      </c>
      <c r="I228" s="191"/>
      <c r="J228" s="19">
        <f t="shared" si="36"/>
        <v>0</v>
      </c>
      <c r="K228" s="167" t="s">
        <v>22</v>
      </c>
      <c r="L228" s="168">
        <v>0</v>
      </c>
      <c r="M228" s="168">
        <v>0</v>
      </c>
      <c r="N228" s="169">
        <f t="shared" si="37"/>
        <v>0</v>
      </c>
      <c r="O228" s="169">
        <f t="shared" si="38"/>
        <v>0</v>
      </c>
      <c r="P228" s="170">
        <f t="shared" si="39"/>
        <v>0</v>
      </c>
      <c r="Q228" s="335"/>
    </row>
    <row r="229" spans="1:17" ht="23.25" customHeight="1" x14ac:dyDescent="0.5">
      <c r="A229" s="18">
        <f t="shared" si="40"/>
        <v>211</v>
      </c>
      <c r="B229" s="26" t="s">
        <v>82</v>
      </c>
      <c r="C229" s="129" t="s">
        <v>83</v>
      </c>
      <c r="D229" s="72" t="s">
        <v>90</v>
      </c>
      <c r="E229" s="73" t="s">
        <v>60</v>
      </c>
      <c r="F229" s="73"/>
      <c r="G229" s="73" t="s">
        <v>60</v>
      </c>
      <c r="H229" s="73" t="s">
        <v>98</v>
      </c>
      <c r="I229" s="191"/>
      <c r="J229" s="19">
        <f t="shared" si="36"/>
        <v>0</v>
      </c>
      <c r="K229" s="167" t="s">
        <v>22</v>
      </c>
      <c r="L229" s="168">
        <v>0</v>
      </c>
      <c r="M229" s="168">
        <v>0</v>
      </c>
      <c r="N229" s="169">
        <f t="shared" si="37"/>
        <v>0</v>
      </c>
      <c r="O229" s="169">
        <f t="shared" si="38"/>
        <v>0</v>
      </c>
      <c r="P229" s="170">
        <f t="shared" si="39"/>
        <v>0</v>
      </c>
      <c r="Q229" s="335"/>
    </row>
    <row r="230" spans="1:17" ht="23.25" customHeight="1" x14ac:dyDescent="0.5">
      <c r="A230" s="18">
        <f t="shared" si="40"/>
        <v>212</v>
      </c>
      <c r="B230" s="26" t="s">
        <v>82</v>
      </c>
      <c r="C230" s="129" t="s">
        <v>83</v>
      </c>
      <c r="D230" s="72" t="s">
        <v>91</v>
      </c>
      <c r="E230" s="73" t="s">
        <v>60</v>
      </c>
      <c r="F230" s="73"/>
      <c r="G230" s="73" t="s">
        <v>60</v>
      </c>
      <c r="H230" s="73" t="s">
        <v>98</v>
      </c>
      <c r="I230" s="191"/>
      <c r="J230" s="19">
        <f t="shared" si="36"/>
        <v>0</v>
      </c>
      <c r="K230" s="167" t="s">
        <v>22</v>
      </c>
      <c r="L230" s="168">
        <v>0</v>
      </c>
      <c r="M230" s="168">
        <v>0</v>
      </c>
      <c r="N230" s="169">
        <f t="shared" si="37"/>
        <v>0</v>
      </c>
      <c r="O230" s="169">
        <f t="shared" si="38"/>
        <v>0</v>
      </c>
      <c r="P230" s="170">
        <f t="shared" si="39"/>
        <v>0</v>
      </c>
      <c r="Q230" s="335"/>
    </row>
    <row r="231" spans="1:17" ht="23.25" customHeight="1" x14ac:dyDescent="0.5">
      <c r="A231" s="18">
        <f t="shared" si="40"/>
        <v>213</v>
      </c>
      <c r="B231" s="26" t="s">
        <v>82</v>
      </c>
      <c r="C231" s="129" t="s">
        <v>83</v>
      </c>
      <c r="D231" s="72" t="s">
        <v>92</v>
      </c>
      <c r="E231" s="73" t="s">
        <v>60</v>
      </c>
      <c r="F231" s="73"/>
      <c r="G231" s="73" t="s">
        <v>60</v>
      </c>
      <c r="H231" s="73" t="s">
        <v>98</v>
      </c>
      <c r="I231" s="191"/>
      <c r="J231" s="19">
        <f t="shared" si="36"/>
        <v>0</v>
      </c>
      <c r="K231" s="167" t="s">
        <v>22</v>
      </c>
      <c r="L231" s="168">
        <v>0</v>
      </c>
      <c r="M231" s="168">
        <v>0</v>
      </c>
      <c r="N231" s="169">
        <f t="shared" si="37"/>
        <v>0</v>
      </c>
      <c r="O231" s="169">
        <f t="shared" si="38"/>
        <v>0</v>
      </c>
      <c r="P231" s="170">
        <f t="shared" si="39"/>
        <v>0</v>
      </c>
      <c r="Q231" s="335"/>
    </row>
    <row r="232" spans="1:17" ht="23.25" customHeight="1" x14ac:dyDescent="0.5">
      <c r="A232" s="18">
        <f t="shared" si="40"/>
        <v>214</v>
      </c>
      <c r="B232" s="26" t="s">
        <v>82</v>
      </c>
      <c r="C232" s="129" t="s">
        <v>83</v>
      </c>
      <c r="D232" s="72" t="s">
        <v>93</v>
      </c>
      <c r="E232" s="73" t="s">
        <v>60</v>
      </c>
      <c r="F232" s="73"/>
      <c r="G232" s="73" t="s">
        <v>60</v>
      </c>
      <c r="H232" s="73" t="s">
        <v>98</v>
      </c>
      <c r="I232" s="191"/>
      <c r="J232" s="19">
        <f t="shared" si="36"/>
        <v>0</v>
      </c>
      <c r="K232" s="167" t="s">
        <v>22</v>
      </c>
      <c r="L232" s="168">
        <v>0</v>
      </c>
      <c r="M232" s="168">
        <v>0</v>
      </c>
      <c r="N232" s="169">
        <f t="shared" si="37"/>
        <v>0</v>
      </c>
      <c r="O232" s="169">
        <f t="shared" si="38"/>
        <v>0</v>
      </c>
      <c r="P232" s="170">
        <f t="shared" si="39"/>
        <v>0</v>
      </c>
      <c r="Q232" s="335"/>
    </row>
    <row r="233" spans="1:17" ht="23.25" customHeight="1" x14ac:dyDescent="0.5">
      <c r="A233" s="18">
        <f t="shared" si="40"/>
        <v>215</v>
      </c>
      <c r="B233" s="26" t="s">
        <v>82</v>
      </c>
      <c r="C233" s="129" t="s">
        <v>83</v>
      </c>
      <c r="D233" s="72" t="s">
        <v>85</v>
      </c>
      <c r="E233" s="73" t="s">
        <v>60</v>
      </c>
      <c r="F233" s="73"/>
      <c r="G233" s="73" t="s">
        <v>86</v>
      </c>
      <c r="H233" s="73" t="s">
        <v>99</v>
      </c>
      <c r="I233" s="191"/>
      <c r="J233" s="19">
        <f t="shared" si="36"/>
        <v>0</v>
      </c>
      <c r="K233" s="167" t="s">
        <v>22</v>
      </c>
      <c r="L233" s="168">
        <v>0</v>
      </c>
      <c r="M233" s="168">
        <v>0</v>
      </c>
      <c r="N233" s="169">
        <f t="shared" si="37"/>
        <v>0</v>
      </c>
      <c r="O233" s="169">
        <f t="shared" si="38"/>
        <v>0</v>
      </c>
      <c r="P233" s="170">
        <f t="shared" si="39"/>
        <v>0</v>
      </c>
      <c r="Q233" s="335"/>
    </row>
    <row r="234" spans="1:17" ht="23.25" customHeight="1" x14ac:dyDescent="0.5">
      <c r="A234" s="18">
        <f t="shared" si="40"/>
        <v>216</v>
      </c>
      <c r="B234" s="26" t="s">
        <v>82</v>
      </c>
      <c r="C234" s="129" t="s">
        <v>83</v>
      </c>
      <c r="D234" s="72" t="s">
        <v>88</v>
      </c>
      <c r="E234" s="73" t="s">
        <v>60</v>
      </c>
      <c r="F234" s="73"/>
      <c r="G234" s="73" t="s">
        <v>89</v>
      </c>
      <c r="H234" s="73" t="s">
        <v>99</v>
      </c>
      <c r="I234" s="191"/>
      <c r="J234" s="19">
        <f t="shared" si="36"/>
        <v>0</v>
      </c>
      <c r="K234" s="167" t="s">
        <v>22</v>
      </c>
      <c r="L234" s="168">
        <v>0</v>
      </c>
      <c r="M234" s="168">
        <v>0</v>
      </c>
      <c r="N234" s="169">
        <f t="shared" si="37"/>
        <v>0</v>
      </c>
      <c r="O234" s="169">
        <f t="shared" si="38"/>
        <v>0</v>
      </c>
      <c r="P234" s="170">
        <f t="shared" si="39"/>
        <v>0</v>
      </c>
      <c r="Q234" s="335"/>
    </row>
    <row r="235" spans="1:17" ht="23.25" customHeight="1" x14ac:dyDescent="0.5">
      <c r="A235" s="18">
        <f t="shared" si="40"/>
        <v>217</v>
      </c>
      <c r="B235" s="26" t="s">
        <v>82</v>
      </c>
      <c r="C235" s="129" t="s">
        <v>83</v>
      </c>
      <c r="D235" s="72" t="s">
        <v>52</v>
      </c>
      <c r="E235" s="73" t="s">
        <v>60</v>
      </c>
      <c r="F235" s="73"/>
      <c r="G235" s="73" t="s">
        <v>60</v>
      </c>
      <c r="H235" s="73" t="s">
        <v>99</v>
      </c>
      <c r="I235" s="191"/>
      <c r="J235" s="19">
        <f t="shared" si="36"/>
        <v>0</v>
      </c>
      <c r="K235" s="167" t="s">
        <v>22</v>
      </c>
      <c r="L235" s="168">
        <v>0</v>
      </c>
      <c r="M235" s="168">
        <v>0</v>
      </c>
      <c r="N235" s="169">
        <f t="shared" si="37"/>
        <v>0</v>
      </c>
      <c r="O235" s="169">
        <f t="shared" si="38"/>
        <v>0</v>
      </c>
      <c r="P235" s="170">
        <f t="shared" si="39"/>
        <v>0</v>
      </c>
      <c r="Q235" s="335"/>
    </row>
    <row r="236" spans="1:17" ht="23.25" customHeight="1" x14ac:dyDescent="0.5">
      <c r="A236" s="18">
        <f t="shared" si="40"/>
        <v>218</v>
      </c>
      <c r="B236" s="26" t="s">
        <v>82</v>
      </c>
      <c r="C236" s="129" t="s">
        <v>83</v>
      </c>
      <c r="D236" s="72" t="s">
        <v>90</v>
      </c>
      <c r="E236" s="73" t="s">
        <v>60</v>
      </c>
      <c r="F236" s="73"/>
      <c r="G236" s="73" t="s">
        <v>60</v>
      </c>
      <c r="H236" s="73" t="s">
        <v>99</v>
      </c>
      <c r="I236" s="191"/>
      <c r="J236" s="19">
        <f t="shared" si="36"/>
        <v>0</v>
      </c>
      <c r="K236" s="167" t="s">
        <v>22</v>
      </c>
      <c r="L236" s="168">
        <v>0</v>
      </c>
      <c r="M236" s="168">
        <v>0</v>
      </c>
      <c r="N236" s="169">
        <f t="shared" si="37"/>
        <v>0</v>
      </c>
      <c r="O236" s="169">
        <f t="shared" si="38"/>
        <v>0</v>
      </c>
      <c r="P236" s="170">
        <f t="shared" si="39"/>
        <v>0</v>
      </c>
      <c r="Q236" s="335"/>
    </row>
    <row r="237" spans="1:17" ht="23.25" customHeight="1" x14ac:dyDescent="0.5">
      <c r="A237" s="18">
        <f t="shared" si="40"/>
        <v>219</v>
      </c>
      <c r="B237" s="26" t="s">
        <v>82</v>
      </c>
      <c r="C237" s="129" t="s">
        <v>83</v>
      </c>
      <c r="D237" s="72" t="s">
        <v>91</v>
      </c>
      <c r="E237" s="73" t="s">
        <v>60</v>
      </c>
      <c r="F237" s="73"/>
      <c r="G237" s="73" t="s">
        <v>60</v>
      </c>
      <c r="H237" s="73" t="s">
        <v>99</v>
      </c>
      <c r="I237" s="191"/>
      <c r="J237" s="19">
        <f t="shared" si="36"/>
        <v>0</v>
      </c>
      <c r="K237" s="167" t="s">
        <v>22</v>
      </c>
      <c r="L237" s="168">
        <v>0</v>
      </c>
      <c r="M237" s="168">
        <v>0</v>
      </c>
      <c r="N237" s="169">
        <f t="shared" si="37"/>
        <v>0</v>
      </c>
      <c r="O237" s="169">
        <f t="shared" si="38"/>
        <v>0</v>
      </c>
      <c r="P237" s="170">
        <f t="shared" si="39"/>
        <v>0</v>
      </c>
      <c r="Q237" s="335"/>
    </row>
    <row r="238" spans="1:17" ht="23.25" customHeight="1" x14ac:dyDescent="0.5">
      <c r="A238" s="18">
        <f t="shared" si="40"/>
        <v>220</v>
      </c>
      <c r="B238" s="26" t="s">
        <v>82</v>
      </c>
      <c r="C238" s="129" t="s">
        <v>83</v>
      </c>
      <c r="D238" s="72" t="s">
        <v>92</v>
      </c>
      <c r="E238" s="73" t="s">
        <v>60</v>
      </c>
      <c r="F238" s="73"/>
      <c r="G238" s="73" t="s">
        <v>60</v>
      </c>
      <c r="H238" s="73" t="s">
        <v>99</v>
      </c>
      <c r="I238" s="191"/>
      <c r="J238" s="19">
        <f t="shared" si="36"/>
        <v>0</v>
      </c>
      <c r="K238" s="167" t="s">
        <v>22</v>
      </c>
      <c r="L238" s="168">
        <v>0</v>
      </c>
      <c r="M238" s="168">
        <v>0</v>
      </c>
      <c r="N238" s="169">
        <f t="shared" si="37"/>
        <v>0</v>
      </c>
      <c r="O238" s="169">
        <f t="shared" si="38"/>
        <v>0</v>
      </c>
      <c r="P238" s="170">
        <f t="shared" si="39"/>
        <v>0</v>
      </c>
      <c r="Q238" s="335"/>
    </row>
    <row r="239" spans="1:17" ht="23.25" customHeight="1" x14ac:dyDescent="0.5">
      <c r="A239" s="18">
        <f t="shared" si="40"/>
        <v>221</v>
      </c>
      <c r="B239" s="26" t="s">
        <v>82</v>
      </c>
      <c r="C239" s="129" t="s">
        <v>83</v>
      </c>
      <c r="D239" s="72" t="s">
        <v>93</v>
      </c>
      <c r="E239" s="73" t="s">
        <v>60</v>
      </c>
      <c r="F239" s="73"/>
      <c r="G239" s="73" t="s">
        <v>60</v>
      </c>
      <c r="H239" s="73" t="s">
        <v>99</v>
      </c>
      <c r="I239" s="191"/>
      <c r="J239" s="19">
        <f t="shared" si="36"/>
        <v>0</v>
      </c>
      <c r="K239" s="167" t="s">
        <v>22</v>
      </c>
      <c r="L239" s="168">
        <v>0</v>
      </c>
      <c r="M239" s="168">
        <v>0</v>
      </c>
      <c r="N239" s="169">
        <f t="shared" si="37"/>
        <v>0</v>
      </c>
      <c r="O239" s="169">
        <f t="shared" si="38"/>
        <v>0</v>
      </c>
      <c r="P239" s="170">
        <f t="shared" si="39"/>
        <v>0</v>
      </c>
      <c r="Q239" s="335"/>
    </row>
    <row r="240" spans="1:17" ht="23.25" customHeight="1" x14ac:dyDescent="0.5">
      <c r="A240" s="18">
        <f t="shared" si="40"/>
        <v>222</v>
      </c>
      <c r="B240" s="26" t="s">
        <v>82</v>
      </c>
      <c r="C240" s="129" t="s">
        <v>83</v>
      </c>
      <c r="D240" s="72" t="s">
        <v>85</v>
      </c>
      <c r="E240" s="73" t="s">
        <v>60</v>
      </c>
      <c r="F240" s="73"/>
      <c r="G240" s="73" t="s">
        <v>86</v>
      </c>
      <c r="H240" s="73" t="s">
        <v>100</v>
      </c>
      <c r="I240" s="191"/>
      <c r="J240" s="19">
        <f t="shared" si="36"/>
        <v>0</v>
      </c>
      <c r="K240" s="167" t="s">
        <v>51</v>
      </c>
      <c r="L240" s="168">
        <v>0</v>
      </c>
      <c r="M240" s="168">
        <v>0</v>
      </c>
      <c r="N240" s="169">
        <f t="shared" si="37"/>
        <v>0</v>
      </c>
      <c r="O240" s="169">
        <f t="shared" si="38"/>
        <v>0</v>
      </c>
      <c r="P240" s="170">
        <f t="shared" si="39"/>
        <v>0</v>
      </c>
      <c r="Q240" s="335"/>
    </row>
    <row r="241" spans="1:17" ht="23.25" customHeight="1" x14ac:dyDescent="0.5">
      <c r="A241" s="18">
        <f t="shared" si="40"/>
        <v>223</v>
      </c>
      <c r="B241" s="26" t="s">
        <v>82</v>
      </c>
      <c r="C241" s="129" t="s">
        <v>83</v>
      </c>
      <c r="D241" s="72" t="s">
        <v>88</v>
      </c>
      <c r="E241" s="73" t="s">
        <v>60</v>
      </c>
      <c r="F241" s="73"/>
      <c r="G241" s="73" t="s">
        <v>89</v>
      </c>
      <c r="H241" s="73" t="s">
        <v>100</v>
      </c>
      <c r="I241" s="191"/>
      <c r="J241" s="19">
        <f t="shared" si="36"/>
        <v>0</v>
      </c>
      <c r="K241" s="167" t="s">
        <v>22</v>
      </c>
      <c r="L241" s="168">
        <v>0</v>
      </c>
      <c r="M241" s="168">
        <v>0</v>
      </c>
      <c r="N241" s="169">
        <f t="shared" si="37"/>
        <v>0</v>
      </c>
      <c r="O241" s="169">
        <f t="shared" si="38"/>
        <v>0</v>
      </c>
      <c r="P241" s="170">
        <f t="shared" si="39"/>
        <v>0</v>
      </c>
      <c r="Q241" s="335"/>
    </row>
    <row r="242" spans="1:17" ht="23.25" customHeight="1" x14ac:dyDescent="0.5">
      <c r="A242" s="18">
        <f t="shared" si="40"/>
        <v>224</v>
      </c>
      <c r="B242" s="26" t="s">
        <v>82</v>
      </c>
      <c r="C242" s="129" t="s">
        <v>83</v>
      </c>
      <c r="D242" s="72" t="s">
        <v>52</v>
      </c>
      <c r="E242" s="73" t="s">
        <v>60</v>
      </c>
      <c r="F242" s="73"/>
      <c r="G242" s="73" t="s">
        <v>60</v>
      </c>
      <c r="H242" s="73" t="s">
        <v>100</v>
      </c>
      <c r="I242" s="191"/>
      <c r="J242" s="19">
        <f t="shared" si="36"/>
        <v>0</v>
      </c>
      <c r="K242" s="167" t="s">
        <v>22</v>
      </c>
      <c r="L242" s="168">
        <v>0</v>
      </c>
      <c r="M242" s="168">
        <v>0</v>
      </c>
      <c r="N242" s="169">
        <f t="shared" si="37"/>
        <v>0</v>
      </c>
      <c r="O242" s="169">
        <f t="shared" si="38"/>
        <v>0</v>
      </c>
      <c r="P242" s="170">
        <f t="shared" si="39"/>
        <v>0</v>
      </c>
      <c r="Q242" s="335"/>
    </row>
    <row r="243" spans="1:17" ht="23.25" customHeight="1" x14ac:dyDescent="0.5">
      <c r="A243" s="18">
        <f t="shared" si="40"/>
        <v>225</v>
      </c>
      <c r="B243" s="26" t="s">
        <v>82</v>
      </c>
      <c r="C243" s="129" t="s">
        <v>83</v>
      </c>
      <c r="D243" s="72" t="s">
        <v>90</v>
      </c>
      <c r="E243" s="73" t="s">
        <v>60</v>
      </c>
      <c r="F243" s="73"/>
      <c r="G243" s="73" t="s">
        <v>60</v>
      </c>
      <c r="H243" s="73" t="s">
        <v>100</v>
      </c>
      <c r="I243" s="191"/>
      <c r="J243" s="19">
        <f t="shared" si="36"/>
        <v>0</v>
      </c>
      <c r="K243" s="167" t="s">
        <v>22</v>
      </c>
      <c r="L243" s="168">
        <v>0</v>
      </c>
      <c r="M243" s="168">
        <v>0</v>
      </c>
      <c r="N243" s="169">
        <f t="shared" si="37"/>
        <v>0</v>
      </c>
      <c r="O243" s="169">
        <f t="shared" si="38"/>
        <v>0</v>
      </c>
      <c r="P243" s="170">
        <f t="shared" si="39"/>
        <v>0</v>
      </c>
      <c r="Q243" s="335"/>
    </row>
    <row r="244" spans="1:17" ht="23.25" customHeight="1" x14ac:dyDescent="0.5">
      <c r="A244" s="18">
        <f t="shared" si="40"/>
        <v>226</v>
      </c>
      <c r="B244" s="26" t="s">
        <v>82</v>
      </c>
      <c r="C244" s="129" t="s">
        <v>83</v>
      </c>
      <c r="D244" s="72" t="s">
        <v>91</v>
      </c>
      <c r="E244" s="73" t="s">
        <v>60</v>
      </c>
      <c r="F244" s="73"/>
      <c r="G244" s="73" t="s">
        <v>60</v>
      </c>
      <c r="H244" s="73" t="s">
        <v>100</v>
      </c>
      <c r="I244" s="191"/>
      <c r="J244" s="19">
        <f t="shared" si="36"/>
        <v>0</v>
      </c>
      <c r="K244" s="167" t="s">
        <v>22</v>
      </c>
      <c r="L244" s="168">
        <v>0</v>
      </c>
      <c r="M244" s="168">
        <v>0</v>
      </c>
      <c r="N244" s="169">
        <f t="shared" si="37"/>
        <v>0</v>
      </c>
      <c r="O244" s="169">
        <f t="shared" si="38"/>
        <v>0</v>
      </c>
      <c r="P244" s="170">
        <f t="shared" si="39"/>
        <v>0</v>
      </c>
      <c r="Q244" s="335"/>
    </row>
    <row r="245" spans="1:17" ht="23.25" customHeight="1" x14ac:dyDescent="0.5">
      <c r="A245" s="18">
        <f t="shared" si="40"/>
        <v>227</v>
      </c>
      <c r="B245" s="26" t="s">
        <v>82</v>
      </c>
      <c r="C245" s="129" t="s">
        <v>83</v>
      </c>
      <c r="D245" s="72" t="s">
        <v>92</v>
      </c>
      <c r="E245" s="73" t="s">
        <v>60</v>
      </c>
      <c r="F245" s="73"/>
      <c r="G245" s="73" t="s">
        <v>60</v>
      </c>
      <c r="H245" s="73" t="s">
        <v>100</v>
      </c>
      <c r="I245" s="191"/>
      <c r="J245" s="19">
        <f t="shared" si="36"/>
        <v>0</v>
      </c>
      <c r="K245" s="167" t="s">
        <v>22</v>
      </c>
      <c r="L245" s="168">
        <v>0</v>
      </c>
      <c r="M245" s="168">
        <v>0</v>
      </c>
      <c r="N245" s="169">
        <f t="shared" si="37"/>
        <v>0</v>
      </c>
      <c r="O245" s="169">
        <f t="shared" si="38"/>
        <v>0</v>
      </c>
      <c r="P245" s="170">
        <f t="shared" si="39"/>
        <v>0</v>
      </c>
      <c r="Q245" s="335"/>
    </row>
    <row r="246" spans="1:17" ht="23.25" customHeight="1" x14ac:dyDescent="0.5">
      <c r="A246" s="18">
        <f t="shared" si="40"/>
        <v>228</v>
      </c>
      <c r="B246" s="26" t="s">
        <v>82</v>
      </c>
      <c r="C246" s="129" t="s">
        <v>83</v>
      </c>
      <c r="D246" s="72" t="s">
        <v>93</v>
      </c>
      <c r="E246" s="73" t="s">
        <v>60</v>
      </c>
      <c r="F246" s="73"/>
      <c r="G246" s="73" t="s">
        <v>60</v>
      </c>
      <c r="H246" s="73" t="s">
        <v>100</v>
      </c>
      <c r="I246" s="191"/>
      <c r="J246" s="19">
        <f t="shared" si="36"/>
        <v>0</v>
      </c>
      <c r="K246" s="167" t="s">
        <v>22</v>
      </c>
      <c r="L246" s="168">
        <v>0</v>
      </c>
      <c r="M246" s="168">
        <v>0</v>
      </c>
      <c r="N246" s="169">
        <f t="shared" si="37"/>
        <v>0</v>
      </c>
      <c r="O246" s="169">
        <f t="shared" si="38"/>
        <v>0</v>
      </c>
      <c r="P246" s="170">
        <f t="shared" si="39"/>
        <v>0</v>
      </c>
      <c r="Q246" s="335"/>
    </row>
    <row r="247" spans="1:17" ht="23.25" customHeight="1" x14ac:dyDescent="0.5">
      <c r="A247" s="18">
        <f t="shared" si="40"/>
        <v>229</v>
      </c>
      <c r="B247" s="26" t="s">
        <v>82</v>
      </c>
      <c r="C247" s="129" t="s">
        <v>83</v>
      </c>
      <c r="D247" s="72" t="s">
        <v>85</v>
      </c>
      <c r="E247" s="73" t="s">
        <v>60</v>
      </c>
      <c r="F247" s="73"/>
      <c r="G247" s="73" t="s">
        <v>86</v>
      </c>
      <c r="H247" s="73" t="s">
        <v>101</v>
      </c>
      <c r="I247" s="191"/>
      <c r="J247" s="19">
        <f t="shared" si="36"/>
        <v>0</v>
      </c>
      <c r="K247" s="167" t="s">
        <v>22</v>
      </c>
      <c r="L247" s="168">
        <v>0</v>
      </c>
      <c r="M247" s="168">
        <v>0</v>
      </c>
      <c r="N247" s="169">
        <f t="shared" si="37"/>
        <v>0</v>
      </c>
      <c r="O247" s="169">
        <f t="shared" si="38"/>
        <v>0</v>
      </c>
      <c r="P247" s="170">
        <f t="shared" si="39"/>
        <v>0</v>
      </c>
      <c r="Q247" s="335"/>
    </row>
    <row r="248" spans="1:17" ht="23.25" customHeight="1" x14ac:dyDescent="0.5">
      <c r="A248" s="18">
        <f t="shared" si="40"/>
        <v>230</v>
      </c>
      <c r="B248" s="26" t="s">
        <v>82</v>
      </c>
      <c r="C248" s="129" t="s">
        <v>83</v>
      </c>
      <c r="D248" s="72" t="s">
        <v>88</v>
      </c>
      <c r="E248" s="73" t="s">
        <v>60</v>
      </c>
      <c r="F248" s="73"/>
      <c r="G248" s="73" t="s">
        <v>89</v>
      </c>
      <c r="H248" s="73" t="s">
        <v>101</v>
      </c>
      <c r="I248" s="191"/>
      <c r="J248" s="19">
        <f t="shared" si="36"/>
        <v>0</v>
      </c>
      <c r="K248" s="167" t="s">
        <v>22</v>
      </c>
      <c r="L248" s="168">
        <v>0</v>
      </c>
      <c r="M248" s="168">
        <v>0</v>
      </c>
      <c r="N248" s="169">
        <f t="shared" si="37"/>
        <v>0</v>
      </c>
      <c r="O248" s="169">
        <f t="shared" si="38"/>
        <v>0</v>
      </c>
      <c r="P248" s="170">
        <f t="shared" si="39"/>
        <v>0</v>
      </c>
      <c r="Q248" s="335"/>
    </row>
    <row r="249" spans="1:17" ht="23.25" customHeight="1" x14ac:dyDescent="0.5">
      <c r="A249" s="18">
        <f t="shared" si="40"/>
        <v>231</v>
      </c>
      <c r="B249" s="26" t="s">
        <v>82</v>
      </c>
      <c r="C249" s="129" t="s">
        <v>83</v>
      </c>
      <c r="D249" s="72" t="s">
        <v>52</v>
      </c>
      <c r="E249" s="73" t="s">
        <v>60</v>
      </c>
      <c r="F249" s="73"/>
      <c r="G249" s="73" t="s">
        <v>60</v>
      </c>
      <c r="H249" s="73" t="s">
        <v>101</v>
      </c>
      <c r="I249" s="191"/>
      <c r="J249" s="19">
        <f t="shared" si="36"/>
        <v>0</v>
      </c>
      <c r="K249" s="167" t="s">
        <v>22</v>
      </c>
      <c r="L249" s="168">
        <v>0</v>
      </c>
      <c r="M249" s="168">
        <v>0</v>
      </c>
      <c r="N249" s="169">
        <f t="shared" si="37"/>
        <v>0</v>
      </c>
      <c r="O249" s="169">
        <f t="shared" si="38"/>
        <v>0</v>
      </c>
      <c r="P249" s="170">
        <f t="shared" si="39"/>
        <v>0</v>
      </c>
      <c r="Q249" s="335"/>
    </row>
    <row r="250" spans="1:17" ht="23.25" customHeight="1" x14ac:dyDescent="0.5">
      <c r="A250" s="18">
        <f t="shared" si="40"/>
        <v>232</v>
      </c>
      <c r="B250" s="26" t="s">
        <v>82</v>
      </c>
      <c r="C250" s="129" t="s">
        <v>83</v>
      </c>
      <c r="D250" s="72" t="s">
        <v>90</v>
      </c>
      <c r="E250" s="73" t="s">
        <v>60</v>
      </c>
      <c r="F250" s="73"/>
      <c r="G250" s="73" t="s">
        <v>60</v>
      </c>
      <c r="H250" s="73" t="s">
        <v>101</v>
      </c>
      <c r="I250" s="191"/>
      <c r="J250" s="19">
        <f t="shared" si="36"/>
        <v>0</v>
      </c>
      <c r="K250" s="167" t="s">
        <v>22</v>
      </c>
      <c r="L250" s="168">
        <v>0</v>
      </c>
      <c r="M250" s="168">
        <v>0</v>
      </c>
      <c r="N250" s="169">
        <f t="shared" si="37"/>
        <v>0</v>
      </c>
      <c r="O250" s="169">
        <f t="shared" si="38"/>
        <v>0</v>
      </c>
      <c r="P250" s="170">
        <f t="shared" si="39"/>
        <v>0</v>
      </c>
      <c r="Q250" s="335"/>
    </row>
    <row r="251" spans="1:17" ht="23.25" customHeight="1" x14ac:dyDescent="0.5">
      <c r="A251" s="18">
        <f t="shared" si="40"/>
        <v>233</v>
      </c>
      <c r="B251" s="26" t="s">
        <v>82</v>
      </c>
      <c r="C251" s="129" t="s">
        <v>83</v>
      </c>
      <c r="D251" s="72" t="s">
        <v>91</v>
      </c>
      <c r="E251" s="73" t="s">
        <v>60</v>
      </c>
      <c r="F251" s="73"/>
      <c r="G251" s="73" t="s">
        <v>60</v>
      </c>
      <c r="H251" s="73" t="s">
        <v>101</v>
      </c>
      <c r="I251" s="191"/>
      <c r="J251" s="19">
        <f t="shared" si="36"/>
        <v>0</v>
      </c>
      <c r="K251" s="167" t="s">
        <v>22</v>
      </c>
      <c r="L251" s="168">
        <v>0</v>
      </c>
      <c r="M251" s="168">
        <v>0</v>
      </c>
      <c r="N251" s="169">
        <f t="shared" si="37"/>
        <v>0</v>
      </c>
      <c r="O251" s="169">
        <f t="shared" si="38"/>
        <v>0</v>
      </c>
      <c r="P251" s="170">
        <f t="shared" si="39"/>
        <v>0</v>
      </c>
      <c r="Q251" s="335"/>
    </row>
    <row r="252" spans="1:17" ht="23.25" customHeight="1" x14ac:dyDescent="0.5">
      <c r="A252" s="18">
        <f t="shared" si="40"/>
        <v>234</v>
      </c>
      <c r="B252" s="26" t="s">
        <v>82</v>
      </c>
      <c r="C252" s="129" t="s">
        <v>83</v>
      </c>
      <c r="D252" s="72" t="s">
        <v>92</v>
      </c>
      <c r="E252" s="73" t="s">
        <v>60</v>
      </c>
      <c r="F252" s="73"/>
      <c r="G252" s="73" t="s">
        <v>60</v>
      </c>
      <c r="H252" s="73" t="s">
        <v>101</v>
      </c>
      <c r="I252" s="191"/>
      <c r="J252" s="19">
        <f t="shared" si="36"/>
        <v>0</v>
      </c>
      <c r="K252" s="167" t="s">
        <v>22</v>
      </c>
      <c r="L252" s="168">
        <v>0</v>
      </c>
      <c r="M252" s="168">
        <v>0</v>
      </c>
      <c r="N252" s="169">
        <f t="shared" si="37"/>
        <v>0</v>
      </c>
      <c r="O252" s="169">
        <f t="shared" si="38"/>
        <v>0</v>
      </c>
      <c r="P252" s="170">
        <f t="shared" si="39"/>
        <v>0</v>
      </c>
      <c r="Q252" s="335"/>
    </row>
    <row r="253" spans="1:17" ht="23.25" customHeight="1" x14ac:dyDescent="0.5">
      <c r="A253" s="18">
        <f t="shared" si="40"/>
        <v>235</v>
      </c>
      <c r="B253" s="26" t="s">
        <v>82</v>
      </c>
      <c r="C253" s="129" t="s">
        <v>83</v>
      </c>
      <c r="D253" s="72" t="s">
        <v>93</v>
      </c>
      <c r="E253" s="73" t="s">
        <v>60</v>
      </c>
      <c r="F253" s="73"/>
      <c r="G253" s="73" t="s">
        <v>60</v>
      </c>
      <c r="H253" s="73" t="s">
        <v>101</v>
      </c>
      <c r="I253" s="191"/>
      <c r="J253" s="19">
        <f t="shared" si="36"/>
        <v>0</v>
      </c>
      <c r="K253" s="167" t="s">
        <v>22</v>
      </c>
      <c r="L253" s="168">
        <v>0</v>
      </c>
      <c r="M253" s="168">
        <v>0</v>
      </c>
      <c r="N253" s="169">
        <f t="shared" si="37"/>
        <v>0</v>
      </c>
      <c r="O253" s="169">
        <f t="shared" si="38"/>
        <v>0</v>
      </c>
      <c r="P253" s="170">
        <f t="shared" si="39"/>
        <v>0</v>
      </c>
      <c r="Q253" s="335"/>
    </row>
    <row r="254" spans="1:17" ht="23.25" customHeight="1" x14ac:dyDescent="0.5">
      <c r="A254" s="18">
        <f t="shared" si="40"/>
        <v>236</v>
      </c>
      <c r="B254" s="26" t="s">
        <v>82</v>
      </c>
      <c r="C254" s="129" t="s">
        <v>83</v>
      </c>
      <c r="D254" s="72" t="s">
        <v>102</v>
      </c>
      <c r="E254" s="73" t="s">
        <v>103</v>
      </c>
      <c r="F254" s="73"/>
      <c r="G254" s="73" t="s">
        <v>104</v>
      </c>
      <c r="H254" s="73" t="s">
        <v>105</v>
      </c>
      <c r="I254" s="191"/>
      <c r="J254" s="19">
        <f t="shared" si="36"/>
        <v>0</v>
      </c>
      <c r="K254" s="167" t="s">
        <v>51</v>
      </c>
      <c r="L254" s="168">
        <v>0</v>
      </c>
      <c r="M254" s="168">
        <v>0</v>
      </c>
      <c r="N254" s="169">
        <f t="shared" si="37"/>
        <v>0</v>
      </c>
      <c r="O254" s="169">
        <f t="shared" si="38"/>
        <v>0</v>
      </c>
      <c r="P254" s="170">
        <f t="shared" si="39"/>
        <v>0</v>
      </c>
      <c r="Q254" s="335"/>
    </row>
    <row r="255" spans="1:17" ht="23.25" customHeight="1" x14ac:dyDescent="0.5">
      <c r="A255" s="18">
        <f t="shared" si="40"/>
        <v>237</v>
      </c>
      <c r="B255" s="26" t="s">
        <v>82</v>
      </c>
      <c r="C255" s="129" t="s">
        <v>83</v>
      </c>
      <c r="D255" s="72" t="s">
        <v>102</v>
      </c>
      <c r="E255" s="73" t="s">
        <v>103</v>
      </c>
      <c r="F255" s="73"/>
      <c r="G255" s="73" t="s">
        <v>104</v>
      </c>
      <c r="H255" s="73" t="s">
        <v>106</v>
      </c>
      <c r="I255" s="191"/>
      <c r="J255" s="19">
        <f t="shared" ref="J255:J263" si="41">I255</f>
        <v>0</v>
      </c>
      <c r="K255" s="167" t="s">
        <v>51</v>
      </c>
      <c r="L255" s="168">
        <v>0</v>
      </c>
      <c r="M255" s="168">
        <v>0</v>
      </c>
      <c r="N255" s="169">
        <f t="shared" ref="N255:N263" si="42">L255*J255</f>
        <v>0</v>
      </c>
      <c r="O255" s="169">
        <f t="shared" ref="O255:O263" si="43">M255*J255</f>
        <v>0</v>
      </c>
      <c r="P255" s="170">
        <f t="shared" ref="P255:P263" si="44">(L255*J255)+(M255*J255)</f>
        <v>0</v>
      </c>
      <c r="Q255" s="335"/>
    </row>
    <row r="256" spans="1:17" ht="23.25" customHeight="1" x14ac:dyDescent="0.5">
      <c r="A256" s="18">
        <f t="shared" si="40"/>
        <v>238</v>
      </c>
      <c r="B256" s="26" t="s">
        <v>82</v>
      </c>
      <c r="C256" s="129" t="s">
        <v>83</v>
      </c>
      <c r="D256" s="72" t="s">
        <v>102</v>
      </c>
      <c r="E256" s="73" t="s">
        <v>103</v>
      </c>
      <c r="F256" s="73"/>
      <c r="G256" s="73" t="s">
        <v>104</v>
      </c>
      <c r="H256" s="73" t="s">
        <v>55</v>
      </c>
      <c r="I256" s="191"/>
      <c r="J256" s="19">
        <f t="shared" si="41"/>
        <v>0</v>
      </c>
      <c r="K256" s="167" t="s">
        <v>51</v>
      </c>
      <c r="L256" s="168">
        <v>0</v>
      </c>
      <c r="M256" s="168">
        <v>0</v>
      </c>
      <c r="N256" s="169">
        <f t="shared" si="42"/>
        <v>0</v>
      </c>
      <c r="O256" s="169">
        <f t="shared" si="43"/>
        <v>0</v>
      </c>
      <c r="P256" s="170">
        <f t="shared" si="44"/>
        <v>0</v>
      </c>
      <c r="Q256" s="335"/>
    </row>
    <row r="257" spans="1:19" ht="23.25" customHeight="1" x14ac:dyDescent="0.5">
      <c r="A257" s="18">
        <f t="shared" ref="A257:A264" si="45">A256+1</f>
        <v>239</v>
      </c>
      <c r="B257" s="26" t="s">
        <v>82</v>
      </c>
      <c r="C257" s="129" t="s">
        <v>83</v>
      </c>
      <c r="D257" s="72" t="s">
        <v>107</v>
      </c>
      <c r="E257" s="73" t="s">
        <v>108</v>
      </c>
      <c r="F257" s="73"/>
      <c r="G257" s="73" t="s">
        <v>104</v>
      </c>
      <c r="H257" s="73" t="s">
        <v>105</v>
      </c>
      <c r="I257" s="191"/>
      <c r="J257" s="19">
        <f t="shared" si="41"/>
        <v>0</v>
      </c>
      <c r="K257" s="167" t="s">
        <v>51</v>
      </c>
      <c r="L257" s="168">
        <v>0</v>
      </c>
      <c r="M257" s="168">
        <v>0</v>
      </c>
      <c r="N257" s="169">
        <f t="shared" si="42"/>
        <v>0</v>
      </c>
      <c r="O257" s="169">
        <f t="shared" si="43"/>
        <v>0</v>
      </c>
      <c r="P257" s="170">
        <f t="shared" si="44"/>
        <v>0</v>
      </c>
      <c r="Q257" s="335"/>
    </row>
    <row r="258" spans="1:19" ht="23.25" customHeight="1" x14ac:dyDescent="0.5">
      <c r="A258" s="18">
        <f t="shared" si="45"/>
        <v>240</v>
      </c>
      <c r="B258" s="26" t="s">
        <v>82</v>
      </c>
      <c r="C258" s="129" t="s">
        <v>83</v>
      </c>
      <c r="D258" s="72" t="s">
        <v>107</v>
      </c>
      <c r="E258" s="73" t="s">
        <v>108</v>
      </c>
      <c r="F258" s="73"/>
      <c r="G258" s="73" t="s">
        <v>104</v>
      </c>
      <c r="H258" s="73" t="s">
        <v>106</v>
      </c>
      <c r="I258" s="191"/>
      <c r="J258" s="19">
        <f t="shared" si="41"/>
        <v>0</v>
      </c>
      <c r="K258" s="167" t="s">
        <v>51</v>
      </c>
      <c r="L258" s="168">
        <v>0</v>
      </c>
      <c r="M258" s="168">
        <v>0</v>
      </c>
      <c r="N258" s="169">
        <f t="shared" si="42"/>
        <v>0</v>
      </c>
      <c r="O258" s="169">
        <f t="shared" si="43"/>
        <v>0</v>
      </c>
      <c r="P258" s="170">
        <f t="shared" si="44"/>
        <v>0</v>
      </c>
      <c r="Q258" s="335"/>
    </row>
    <row r="259" spans="1:19" ht="23.25" customHeight="1" x14ac:dyDescent="0.5">
      <c r="A259" s="18">
        <f t="shared" si="45"/>
        <v>241</v>
      </c>
      <c r="B259" s="26" t="s">
        <v>82</v>
      </c>
      <c r="C259" s="129" t="s">
        <v>83</v>
      </c>
      <c r="D259" s="72" t="s">
        <v>107</v>
      </c>
      <c r="E259" s="73" t="s">
        <v>108</v>
      </c>
      <c r="F259" s="73"/>
      <c r="G259" s="73" t="s">
        <v>104</v>
      </c>
      <c r="H259" s="73" t="s">
        <v>55</v>
      </c>
      <c r="I259" s="191"/>
      <c r="J259" s="19">
        <f t="shared" si="41"/>
        <v>0</v>
      </c>
      <c r="K259" s="167" t="s">
        <v>51</v>
      </c>
      <c r="L259" s="168">
        <v>0</v>
      </c>
      <c r="M259" s="168">
        <v>0</v>
      </c>
      <c r="N259" s="169">
        <f t="shared" si="42"/>
        <v>0</v>
      </c>
      <c r="O259" s="169">
        <f t="shared" si="43"/>
        <v>0</v>
      </c>
      <c r="P259" s="170">
        <f t="shared" si="44"/>
        <v>0</v>
      </c>
      <c r="Q259" s="335"/>
    </row>
    <row r="260" spans="1:19" ht="23.25" customHeight="1" x14ac:dyDescent="0.5">
      <c r="A260" s="18">
        <f t="shared" si="45"/>
        <v>242</v>
      </c>
      <c r="B260" s="26" t="s">
        <v>82</v>
      </c>
      <c r="C260" s="129" t="s">
        <v>83</v>
      </c>
      <c r="D260" s="72" t="s">
        <v>109</v>
      </c>
      <c r="E260" s="73" t="s">
        <v>60</v>
      </c>
      <c r="F260" s="73"/>
      <c r="G260" s="73" t="s">
        <v>104</v>
      </c>
      <c r="H260" s="73" t="s">
        <v>105</v>
      </c>
      <c r="I260" s="191"/>
      <c r="J260" s="19">
        <f t="shared" si="41"/>
        <v>0</v>
      </c>
      <c r="K260" s="167" t="s">
        <v>22</v>
      </c>
      <c r="L260" s="168">
        <v>0</v>
      </c>
      <c r="M260" s="168">
        <v>0</v>
      </c>
      <c r="N260" s="169">
        <f t="shared" si="42"/>
        <v>0</v>
      </c>
      <c r="O260" s="169">
        <f t="shared" si="43"/>
        <v>0</v>
      </c>
      <c r="P260" s="170">
        <f t="shared" si="44"/>
        <v>0</v>
      </c>
      <c r="Q260" s="335"/>
    </row>
    <row r="261" spans="1:19" ht="23.25" customHeight="1" x14ac:dyDescent="0.5">
      <c r="A261" s="18">
        <f t="shared" si="45"/>
        <v>243</v>
      </c>
      <c r="B261" s="26" t="s">
        <v>82</v>
      </c>
      <c r="C261" s="129" t="s">
        <v>83</v>
      </c>
      <c r="D261" s="72" t="s">
        <v>109</v>
      </c>
      <c r="E261" s="73" t="s">
        <v>60</v>
      </c>
      <c r="F261" s="73"/>
      <c r="G261" s="73" t="s">
        <v>104</v>
      </c>
      <c r="H261" s="73" t="s">
        <v>106</v>
      </c>
      <c r="I261" s="191"/>
      <c r="J261" s="19">
        <f t="shared" si="41"/>
        <v>0</v>
      </c>
      <c r="K261" s="167" t="s">
        <v>22</v>
      </c>
      <c r="L261" s="168">
        <v>0</v>
      </c>
      <c r="M261" s="168">
        <v>0</v>
      </c>
      <c r="N261" s="169">
        <f t="shared" si="42"/>
        <v>0</v>
      </c>
      <c r="O261" s="169">
        <f t="shared" si="43"/>
        <v>0</v>
      </c>
      <c r="P261" s="170">
        <f t="shared" si="44"/>
        <v>0</v>
      </c>
      <c r="Q261" s="335"/>
    </row>
    <row r="262" spans="1:19" ht="23.25" customHeight="1" x14ac:dyDescent="0.5">
      <c r="A262" s="18">
        <f t="shared" si="45"/>
        <v>244</v>
      </c>
      <c r="B262" s="26" t="s">
        <v>82</v>
      </c>
      <c r="C262" s="129" t="s">
        <v>83</v>
      </c>
      <c r="D262" s="72" t="s">
        <v>109</v>
      </c>
      <c r="E262" s="73" t="s">
        <v>60</v>
      </c>
      <c r="F262" s="73"/>
      <c r="G262" s="73" t="s">
        <v>104</v>
      </c>
      <c r="H262" s="73" t="s">
        <v>55</v>
      </c>
      <c r="I262" s="191"/>
      <c r="J262" s="19">
        <f t="shared" si="41"/>
        <v>0</v>
      </c>
      <c r="K262" s="167" t="s">
        <v>22</v>
      </c>
      <c r="L262" s="168">
        <v>0</v>
      </c>
      <c r="M262" s="168">
        <v>0</v>
      </c>
      <c r="N262" s="169">
        <f t="shared" si="42"/>
        <v>0</v>
      </c>
      <c r="O262" s="169">
        <f t="shared" si="43"/>
        <v>0</v>
      </c>
      <c r="P262" s="170">
        <f t="shared" si="44"/>
        <v>0</v>
      </c>
      <c r="Q262" s="335"/>
    </row>
    <row r="263" spans="1:19" ht="23.25" customHeight="1" x14ac:dyDescent="0.5">
      <c r="A263" s="18">
        <f t="shared" si="45"/>
        <v>245</v>
      </c>
      <c r="B263" s="26" t="s">
        <v>82</v>
      </c>
      <c r="C263" s="83" t="s">
        <v>83</v>
      </c>
      <c r="D263" s="84" t="s">
        <v>110</v>
      </c>
      <c r="E263" s="85"/>
      <c r="F263" s="85"/>
      <c r="G263" s="85"/>
      <c r="H263" s="85"/>
      <c r="I263" s="191"/>
      <c r="J263" s="19">
        <f t="shared" si="41"/>
        <v>0</v>
      </c>
      <c r="K263" s="167" t="s">
        <v>22</v>
      </c>
      <c r="L263" s="168">
        <v>0</v>
      </c>
      <c r="M263" s="168">
        <v>0</v>
      </c>
      <c r="N263" s="169">
        <f t="shared" si="42"/>
        <v>0</v>
      </c>
      <c r="O263" s="169">
        <f t="shared" si="43"/>
        <v>0</v>
      </c>
      <c r="P263" s="170">
        <f t="shared" si="44"/>
        <v>0</v>
      </c>
      <c r="Q263" s="335"/>
    </row>
    <row r="264" spans="1:19" ht="23.25" customHeight="1" x14ac:dyDescent="0.5">
      <c r="A264" s="18">
        <f t="shared" si="45"/>
        <v>246</v>
      </c>
      <c r="B264" s="26" t="s">
        <v>82</v>
      </c>
      <c r="C264" s="83" t="s">
        <v>83</v>
      </c>
      <c r="D264" s="43" t="s">
        <v>358</v>
      </c>
      <c r="E264" s="5"/>
      <c r="F264" s="5"/>
      <c r="G264" s="5"/>
      <c r="H264" s="5"/>
      <c r="I264" s="20"/>
      <c r="J264" s="19">
        <f>I264</f>
        <v>0</v>
      </c>
      <c r="K264" s="171"/>
      <c r="L264" s="168">
        <v>0</v>
      </c>
      <c r="M264" s="168">
        <v>0</v>
      </c>
      <c r="N264" s="169">
        <f>L264*J264</f>
        <v>0</v>
      </c>
      <c r="O264" s="169">
        <f>M264*J264</f>
        <v>0</v>
      </c>
      <c r="P264" s="170">
        <f>(L264*J264)+(M264*J264)</f>
        <v>0</v>
      </c>
      <c r="Q264" s="326"/>
    </row>
    <row r="265" spans="1:19" ht="23.25" customHeight="1" thickBot="1" x14ac:dyDescent="0.55000000000000004">
      <c r="A265" s="29">
        <f>A264+1</f>
        <v>247</v>
      </c>
      <c r="B265" s="36" t="s">
        <v>82</v>
      </c>
      <c r="C265" s="46" t="s">
        <v>83</v>
      </c>
      <c r="D265" s="44" t="s">
        <v>358</v>
      </c>
      <c r="E265" s="6"/>
      <c r="F265" s="6"/>
      <c r="G265" s="6"/>
      <c r="H265" s="6"/>
      <c r="I265" s="21"/>
      <c r="J265" s="22">
        <f>I265</f>
        <v>0</v>
      </c>
      <c r="K265" s="172"/>
      <c r="L265" s="173">
        <v>0</v>
      </c>
      <c r="M265" s="173">
        <v>0</v>
      </c>
      <c r="N265" s="174">
        <f>L265*J265</f>
        <v>0</v>
      </c>
      <c r="O265" s="174">
        <f>M265*J265</f>
        <v>0</v>
      </c>
      <c r="P265" s="175">
        <f>(L265*J265)+(M265*J265)</f>
        <v>0</v>
      </c>
      <c r="Q265" s="327"/>
    </row>
    <row r="266" spans="1:19" ht="23.25" customHeight="1" thickBot="1" x14ac:dyDescent="0.55000000000000004">
      <c r="A266" s="37"/>
      <c r="B266" s="51" t="s">
        <v>82</v>
      </c>
      <c r="C266" s="130" t="s">
        <v>111</v>
      </c>
      <c r="D266" s="209" t="s">
        <v>111</v>
      </c>
      <c r="E266" s="210"/>
      <c r="F266" s="210"/>
      <c r="G266" s="210"/>
      <c r="H266" s="211"/>
      <c r="I266" s="212"/>
      <c r="J266" s="213"/>
      <c r="K266" s="214"/>
      <c r="L266" s="215"/>
      <c r="M266" s="215"/>
      <c r="N266" s="216"/>
      <c r="O266" s="216"/>
      <c r="P266" s="217"/>
      <c r="Q266" s="340"/>
    </row>
    <row r="267" spans="1:19" ht="23.25" customHeight="1" x14ac:dyDescent="0.5">
      <c r="A267" s="28">
        <f>A265+1</f>
        <v>248</v>
      </c>
      <c r="B267" s="56" t="s">
        <v>82</v>
      </c>
      <c r="C267" s="131" t="s">
        <v>111</v>
      </c>
      <c r="D267" s="218" t="s">
        <v>40</v>
      </c>
      <c r="E267" s="70" t="s">
        <v>31</v>
      </c>
      <c r="F267" s="70"/>
      <c r="G267" s="70" t="s">
        <v>32</v>
      </c>
      <c r="H267" s="70" t="s">
        <v>112</v>
      </c>
      <c r="I267" s="219"/>
      <c r="J267" s="25">
        <v>1</v>
      </c>
      <c r="K267" s="163" t="s">
        <v>51</v>
      </c>
      <c r="L267" s="164">
        <v>0</v>
      </c>
      <c r="M267" s="164">
        <v>0</v>
      </c>
      <c r="N267" s="165">
        <f t="shared" ref="N267:N283" si="46">L267*J267</f>
        <v>0</v>
      </c>
      <c r="O267" s="165">
        <f t="shared" ref="O267:O283" si="47">M267*J267</f>
        <v>0</v>
      </c>
      <c r="P267" s="166">
        <f t="shared" ref="P267:P283" si="48">(L267*J267)+(M267*J267)</f>
        <v>0</v>
      </c>
      <c r="Q267" s="341"/>
      <c r="S267" s="358" t="s">
        <v>577</v>
      </c>
    </row>
    <row r="268" spans="1:19" ht="23.25" customHeight="1" x14ac:dyDescent="0.5">
      <c r="A268" s="27">
        <f>A267+1</f>
        <v>249</v>
      </c>
      <c r="B268" s="50" t="s">
        <v>82</v>
      </c>
      <c r="C268" s="132" t="s">
        <v>111</v>
      </c>
      <c r="D268" s="220" t="s">
        <v>493</v>
      </c>
      <c r="E268" s="73" t="s">
        <v>31</v>
      </c>
      <c r="F268" s="73"/>
      <c r="G268" s="73" t="s">
        <v>32</v>
      </c>
      <c r="H268" s="73" t="s">
        <v>112</v>
      </c>
      <c r="I268" s="219"/>
      <c r="J268" s="19">
        <v>1</v>
      </c>
      <c r="K268" s="167" t="s">
        <v>22</v>
      </c>
      <c r="L268" s="168">
        <v>0</v>
      </c>
      <c r="M268" s="168">
        <v>0</v>
      </c>
      <c r="N268" s="169">
        <f t="shared" si="46"/>
        <v>0</v>
      </c>
      <c r="O268" s="169">
        <f t="shared" si="47"/>
        <v>0</v>
      </c>
      <c r="P268" s="170">
        <f t="shared" si="48"/>
        <v>0</v>
      </c>
      <c r="Q268" s="341"/>
      <c r="S268" s="358" t="s">
        <v>578</v>
      </c>
    </row>
    <row r="269" spans="1:19" ht="23.25" customHeight="1" x14ac:dyDescent="0.5">
      <c r="A269" s="27">
        <f t="shared" ref="A269:A284" si="49">A268+1</f>
        <v>250</v>
      </c>
      <c r="B269" s="50" t="s">
        <v>82</v>
      </c>
      <c r="C269" s="132" t="s">
        <v>111</v>
      </c>
      <c r="D269" s="220" t="s">
        <v>53</v>
      </c>
      <c r="E269" s="73" t="s">
        <v>31</v>
      </c>
      <c r="F269" s="73"/>
      <c r="G269" s="73" t="s">
        <v>32</v>
      </c>
      <c r="H269" s="73" t="s">
        <v>112</v>
      </c>
      <c r="I269" s="219"/>
      <c r="J269" s="19">
        <v>1</v>
      </c>
      <c r="K269" s="167" t="s">
        <v>22</v>
      </c>
      <c r="L269" s="168">
        <v>0</v>
      </c>
      <c r="M269" s="168">
        <v>0</v>
      </c>
      <c r="N269" s="169">
        <f t="shared" si="46"/>
        <v>0</v>
      </c>
      <c r="O269" s="169">
        <f t="shared" si="47"/>
        <v>0</v>
      </c>
      <c r="P269" s="170">
        <f t="shared" si="48"/>
        <v>0</v>
      </c>
      <c r="Q269" s="341"/>
      <c r="S269" s="358" t="s">
        <v>611</v>
      </c>
    </row>
    <row r="270" spans="1:19" ht="23.25" customHeight="1" x14ac:dyDescent="0.5">
      <c r="A270" s="27">
        <f t="shared" si="49"/>
        <v>251</v>
      </c>
      <c r="B270" s="50" t="s">
        <v>82</v>
      </c>
      <c r="C270" s="132" t="s">
        <v>111</v>
      </c>
      <c r="D270" s="220" t="s">
        <v>91</v>
      </c>
      <c r="E270" s="73" t="s">
        <v>31</v>
      </c>
      <c r="F270" s="73"/>
      <c r="G270" s="73" t="s">
        <v>32</v>
      </c>
      <c r="H270" s="73" t="s">
        <v>112</v>
      </c>
      <c r="I270" s="219"/>
      <c r="J270" s="19">
        <v>1</v>
      </c>
      <c r="K270" s="167" t="s">
        <v>22</v>
      </c>
      <c r="L270" s="168">
        <v>0</v>
      </c>
      <c r="M270" s="168">
        <v>0</v>
      </c>
      <c r="N270" s="169">
        <f t="shared" si="46"/>
        <v>0</v>
      </c>
      <c r="O270" s="169">
        <f t="shared" si="47"/>
        <v>0</v>
      </c>
      <c r="P270" s="170">
        <f t="shared" si="48"/>
        <v>0</v>
      </c>
      <c r="Q270" s="341"/>
      <c r="S270" s="358" t="s">
        <v>581</v>
      </c>
    </row>
    <row r="271" spans="1:19" ht="23.25" customHeight="1" x14ac:dyDescent="0.5">
      <c r="A271" s="27">
        <f t="shared" si="49"/>
        <v>252</v>
      </c>
      <c r="B271" s="50" t="s">
        <v>82</v>
      </c>
      <c r="C271" s="132" t="s">
        <v>111</v>
      </c>
      <c r="D271" s="220" t="s">
        <v>494</v>
      </c>
      <c r="E271" s="73" t="s">
        <v>31</v>
      </c>
      <c r="F271" s="73"/>
      <c r="G271" s="73" t="s">
        <v>32</v>
      </c>
      <c r="H271" s="73" t="s">
        <v>112</v>
      </c>
      <c r="I271" s="191"/>
      <c r="J271" s="19">
        <v>1</v>
      </c>
      <c r="K271" s="167" t="s">
        <v>22</v>
      </c>
      <c r="L271" s="168">
        <v>0</v>
      </c>
      <c r="M271" s="168">
        <v>0</v>
      </c>
      <c r="N271" s="169">
        <f t="shared" si="46"/>
        <v>0</v>
      </c>
      <c r="O271" s="169">
        <f t="shared" si="47"/>
        <v>0</v>
      </c>
      <c r="P271" s="170">
        <f t="shared" si="48"/>
        <v>0</v>
      </c>
      <c r="Q271" s="335"/>
      <c r="S271" s="358" t="s">
        <v>612</v>
      </c>
    </row>
    <row r="272" spans="1:19" ht="23.25" customHeight="1" x14ac:dyDescent="0.5">
      <c r="A272" s="27">
        <f t="shared" si="49"/>
        <v>253</v>
      </c>
      <c r="B272" s="50" t="s">
        <v>82</v>
      </c>
      <c r="C272" s="132" t="s">
        <v>111</v>
      </c>
      <c r="D272" s="220" t="s">
        <v>40</v>
      </c>
      <c r="E272" s="73" t="s">
        <v>113</v>
      </c>
      <c r="F272" s="73"/>
      <c r="G272" s="73" t="s">
        <v>32</v>
      </c>
      <c r="H272" s="73" t="s">
        <v>112</v>
      </c>
      <c r="I272" s="191"/>
      <c r="J272" s="19">
        <f t="shared" ref="J272:J283" si="50">I272</f>
        <v>0</v>
      </c>
      <c r="K272" s="167" t="s">
        <v>51</v>
      </c>
      <c r="L272" s="168">
        <v>0</v>
      </c>
      <c r="M272" s="168">
        <v>0</v>
      </c>
      <c r="N272" s="169">
        <f t="shared" si="46"/>
        <v>0</v>
      </c>
      <c r="O272" s="169">
        <f t="shared" si="47"/>
        <v>0</v>
      </c>
      <c r="P272" s="170">
        <f t="shared" si="48"/>
        <v>0</v>
      </c>
      <c r="Q272" s="335"/>
    </row>
    <row r="273" spans="1:17" ht="23.25" customHeight="1" x14ac:dyDescent="0.5">
      <c r="A273" s="27">
        <f t="shared" si="49"/>
        <v>254</v>
      </c>
      <c r="B273" s="50" t="s">
        <v>82</v>
      </c>
      <c r="C273" s="132" t="s">
        <v>111</v>
      </c>
      <c r="D273" s="220" t="s">
        <v>493</v>
      </c>
      <c r="E273" s="73" t="s">
        <v>113</v>
      </c>
      <c r="F273" s="73"/>
      <c r="G273" s="73" t="s">
        <v>32</v>
      </c>
      <c r="H273" s="73" t="s">
        <v>112</v>
      </c>
      <c r="I273" s="191"/>
      <c r="J273" s="19">
        <f t="shared" si="50"/>
        <v>0</v>
      </c>
      <c r="K273" s="167" t="s">
        <v>22</v>
      </c>
      <c r="L273" s="168">
        <v>0</v>
      </c>
      <c r="M273" s="168">
        <v>0</v>
      </c>
      <c r="N273" s="169">
        <f t="shared" si="46"/>
        <v>0</v>
      </c>
      <c r="O273" s="169">
        <f t="shared" si="47"/>
        <v>0</v>
      </c>
      <c r="P273" s="170">
        <f t="shared" si="48"/>
        <v>0</v>
      </c>
      <c r="Q273" s="335"/>
    </row>
    <row r="274" spans="1:17" ht="23.25" customHeight="1" x14ac:dyDescent="0.5">
      <c r="A274" s="27">
        <f t="shared" si="49"/>
        <v>255</v>
      </c>
      <c r="B274" s="50" t="s">
        <v>82</v>
      </c>
      <c r="C274" s="132" t="s">
        <v>111</v>
      </c>
      <c r="D274" s="220" t="s">
        <v>53</v>
      </c>
      <c r="E274" s="73" t="s">
        <v>113</v>
      </c>
      <c r="F274" s="73"/>
      <c r="G274" s="73" t="s">
        <v>32</v>
      </c>
      <c r="H274" s="73" t="s">
        <v>112</v>
      </c>
      <c r="I274" s="191"/>
      <c r="J274" s="19">
        <f t="shared" si="50"/>
        <v>0</v>
      </c>
      <c r="K274" s="167" t="s">
        <v>22</v>
      </c>
      <c r="L274" s="168">
        <v>0</v>
      </c>
      <c r="M274" s="168">
        <v>0</v>
      </c>
      <c r="N274" s="169">
        <f t="shared" si="46"/>
        <v>0</v>
      </c>
      <c r="O274" s="169">
        <f t="shared" si="47"/>
        <v>0</v>
      </c>
      <c r="P274" s="170">
        <f t="shared" si="48"/>
        <v>0</v>
      </c>
      <c r="Q274" s="335"/>
    </row>
    <row r="275" spans="1:17" ht="23.25" customHeight="1" x14ac:dyDescent="0.5">
      <c r="A275" s="27">
        <f t="shared" si="49"/>
        <v>256</v>
      </c>
      <c r="B275" s="50" t="s">
        <v>82</v>
      </c>
      <c r="C275" s="132" t="s">
        <v>111</v>
      </c>
      <c r="D275" s="220" t="s">
        <v>91</v>
      </c>
      <c r="E275" s="73" t="s">
        <v>113</v>
      </c>
      <c r="F275" s="73"/>
      <c r="G275" s="73" t="s">
        <v>32</v>
      </c>
      <c r="H275" s="73" t="s">
        <v>112</v>
      </c>
      <c r="I275" s="191"/>
      <c r="J275" s="19">
        <f t="shared" si="50"/>
        <v>0</v>
      </c>
      <c r="K275" s="167" t="s">
        <v>22</v>
      </c>
      <c r="L275" s="168">
        <v>0</v>
      </c>
      <c r="M275" s="168">
        <v>0</v>
      </c>
      <c r="N275" s="169">
        <f t="shared" si="46"/>
        <v>0</v>
      </c>
      <c r="O275" s="169">
        <f t="shared" si="47"/>
        <v>0</v>
      </c>
      <c r="P275" s="170">
        <f t="shared" si="48"/>
        <v>0</v>
      </c>
      <c r="Q275" s="335"/>
    </row>
    <row r="276" spans="1:17" ht="23.25" customHeight="1" x14ac:dyDescent="0.5">
      <c r="A276" s="27">
        <f t="shared" si="49"/>
        <v>257</v>
      </c>
      <c r="B276" s="50" t="s">
        <v>82</v>
      </c>
      <c r="C276" s="132" t="s">
        <v>111</v>
      </c>
      <c r="D276" s="220" t="s">
        <v>494</v>
      </c>
      <c r="E276" s="73" t="s">
        <v>113</v>
      </c>
      <c r="F276" s="73"/>
      <c r="G276" s="73" t="s">
        <v>32</v>
      </c>
      <c r="H276" s="73" t="s">
        <v>112</v>
      </c>
      <c r="I276" s="191"/>
      <c r="J276" s="19">
        <f t="shared" si="50"/>
        <v>0</v>
      </c>
      <c r="K276" s="167" t="s">
        <v>22</v>
      </c>
      <c r="L276" s="168">
        <v>0</v>
      </c>
      <c r="M276" s="168">
        <v>0</v>
      </c>
      <c r="N276" s="169">
        <f t="shared" si="46"/>
        <v>0</v>
      </c>
      <c r="O276" s="169">
        <f t="shared" si="47"/>
        <v>0</v>
      </c>
      <c r="P276" s="170">
        <f t="shared" si="48"/>
        <v>0</v>
      </c>
      <c r="Q276" s="335"/>
    </row>
    <row r="277" spans="1:17" ht="23.25" customHeight="1" x14ac:dyDescent="0.5">
      <c r="A277" s="27">
        <f t="shared" si="49"/>
        <v>258</v>
      </c>
      <c r="B277" s="50" t="s">
        <v>82</v>
      </c>
      <c r="C277" s="132" t="s">
        <v>111</v>
      </c>
      <c r="D277" s="221" t="s">
        <v>102</v>
      </c>
      <c r="E277" s="79" t="s">
        <v>103</v>
      </c>
      <c r="F277" s="79"/>
      <c r="G277" s="79" t="s">
        <v>32</v>
      </c>
      <c r="H277" s="79" t="s">
        <v>495</v>
      </c>
      <c r="I277" s="191"/>
      <c r="J277" s="19">
        <f t="shared" si="50"/>
        <v>0</v>
      </c>
      <c r="K277" s="167" t="s">
        <v>51</v>
      </c>
      <c r="L277" s="168">
        <v>0</v>
      </c>
      <c r="M277" s="168">
        <v>0</v>
      </c>
      <c r="N277" s="169">
        <f t="shared" si="46"/>
        <v>0</v>
      </c>
      <c r="O277" s="169">
        <f t="shared" si="47"/>
        <v>0</v>
      </c>
      <c r="P277" s="170">
        <f t="shared" si="48"/>
        <v>0</v>
      </c>
      <c r="Q277" s="335"/>
    </row>
    <row r="278" spans="1:17" ht="23.25" customHeight="1" x14ac:dyDescent="0.5">
      <c r="A278" s="27">
        <f t="shared" si="49"/>
        <v>259</v>
      </c>
      <c r="B278" s="50" t="s">
        <v>82</v>
      </c>
      <c r="C278" s="132" t="s">
        <v>111</v>
      </c>
      <c r="D278" s="221" t="s">
        <v>102</v>
      </c>
      <c r="E278" s="79" t="s">
        <v>103</v>
      </c>
      <c r="F278" s="79"/>
      <c r="G278" s="79" t="s">
        <v>32</v>
      </c>
      <c r="H278" s="79" t="s">
        <v>106</v>
      </c>
      <c r="I278" s="191"/>
      <c r="J278" s="19">
        <f t="shared" si="50"/>
        <v>0</v>
      </c>
      <c r="K278" s="167" t="s">
        <v>51</v>
      </c>
      <c r="L278" s="168">
        <v>0</v>
      </c>
      <c r="M278" s="168">
        <v>0</v>
      </c>
      <c r="N278" s="169">
        <f t="shared" si="46"/>
        <v>0</v>
      </c>
      <c r="O278" s="169">
        <f t="shared" si="47"/>
        <v>0</v>
      </c>
      <c r="P278" s="170">
        <f t="shared" si="48"/>
        <v>0</v>
      </c>
      <c r="Q278" s="335"/>
    </row>
    <row r="279" spans="1:17" ht="23.25" customHeight="1" x14ac:dyDescent="0.5">
      <c r="A279" s="27">
        <f t="shared" si="49"/>
        <v>260</v>
      </c>
      <c r="B279" s="50" t="s">
        <v>82</v>
      </c>
      <c r="C279" s="132" t="s">
        <v>111</v>
      </c>
      <c r="D279" s="221" t="s">
        <v>102</v>
      </c>
      <c r="E279" s="79" t="s">
        <v>103</v>
      </c>
      <c r="F279" s="79"/>
      <c r="G279" s="79" t="s">
        <v>32</v>
      </c>
      <c r="H279" s="79" t="s">
        <v>496</v>
      </c>
      <c r="I279" s="191"/>
      <c r="J279" s="19">
        <f t="shared" si="50"/>
        <v>0</v>
      </c>
      <c r="K279" s="167" t="s">
        <v>51</v>
      </c>
      <c r="L279" s="168">
        <v>0</v>
      </c>
      <c r="M279" s="168">
        <v>0</v>
      </c>
      <c r="N279" s="169">
        <f t="shared" si="46"/>
        <v>0</v>
      </c>
      <c r="O279" s="169">
        <f t="shared" si="47"/>
        <v>0</v>
      </c>
      <c r="P279" s="170">
        <f t="shared" si="48"/>
        <v>0</v>
      </c>
      <c r="Q279" s="335"/>
    </row>
    <row r="280" spans="1:17" ht="23.25" customHeight="1" x14ac:dyDescent="0.5">
      <c r="A280" s="27">
        <f t="shared" si="49"/>
        <v>261</v>
      </c>
      <c r="B280" s="50" t="s">
        <v>82</v>
      </c>
      <c r="C280" s="132" t="s">
        <v>111</v>
      </c>
      <c r="D280" s="221" t="s">
        <v>102</v>
      </c>
      <c r="E280" s="79" t="s">
        <v>114</v>
      </c>
      <c r="F280" s="79"/>
      <c r="G280" s="79" t="s">
        <v>32</v>
      </c>
      <c r="H280" s="79" t="s">
        <v>495</v>
      </c>
      <c r="I280" s="191"/>
      <c r="J280" s="19">
        <f t="shared" si="50"/>
        <v>0</v>
      </c>
      <c r="K280" s="167" t="s">
        <v>51</v>
      </c>
      <c r="L280" s="168">
        <v>0</v>
      </c>
      <c r="M280" s="168">
        <v>0</v>
      </c>
      <c r="N280" s="169">
        <f t="shared" si="46"/>
        <v>0</v>
      </c>
      <c r="O280" s="169">
        <f t="shared" si="47"/>
        <v>0</v>
      </c>
      <c r="P280" s="170">
        <f t="shared" si="48"/>
        <v>0</v>
      </c>
      <c r="Q280" s="335"/>
    </row>
    <row r="281" spans="1:17" ht="23.25" customHeight="1" x14ac:dyDescent="0.5">
      <c r="A281" s="27">
        <f t="shared" si="49"/>
        <v>262</v>
      </c>
      <c r="B281" s="50" t="s">
        <v>82</v>
      </c>
      <c r="C281" s="132" t="s">
        <v>111</v>
      </c>
      <c r="D281" s="221" t="s">
        <v>102</v>
      </c>
      <c r="E281" s="79" t="s">
        <v>114</v>
      </c>
      <c r="F281" s="79"/>
      <c r="G281" s="79" t="s">
        <v>32</v>
      </c>
      <c r="H281" s="79" t="s">
        <v>106</v>
      </c>
      <c r="I281" s="191"/>
      <c r="J281" s="19">
        <f t="shared" si="50"/>
        <v>0</v>
      </c>
      <c r="K281" s="167" t="s">
        <v>51</v>
      </c>
      <c r="L281" s="168">
        <v>0</v>
      </c>
      <c r="M281" s="168">
        <v>0</v>
      </c>
      <c r="N281" s="169">
        <f t="shared" si="46"/>
        <v>0</v>
      </c>
      <c r="O281" s="169">
        <f t="shared" si="47"/>
        <v>0</v>
      </c>
      <c r="P281" s="170">
        <f t="shared" si="48"/>
        <v>0</v>
      </c>
      <c r="Q281" s="335"/>
    </row>
    <row r="282" spans="1:17" ht="23.25" customHeight="1" x14ac:dyDescent="0.5">
      <c r="A282" s="27">
        <f t="shared" si="49"/>
        <v>263</v>
      </c>
      <c r="B282" s="50" t="s">
        <v>82</v>
      </c>
      <c r="C282" s="132" t="s">
        <v>111</v>
      </c>
      <c r="D282" s="221" t="s">
        <v>102</v>
      </c>
      <c r="E282" s="79" t="s">
        <v>114</v>
      </c>
      <c r="F282" s="79"/>
      <c r="G282" s="79" t="s">
        <v>32</v>
      </c>
      <c r="H282" s="79" t="s">
        <v>496</v>
      </c>
      <c r="I282" s="188"/>
      <c r="J282" s="19">
        <f t="shared" si="50"/>
        <v>0</v>
      </c>
      <c r="K282" s="167" t="s">
        <v>51</v>
      </c>
      <c r="L282" s="168">
        <v>0</v>
      </c>
      <c r="M282" s="168">
        <v>0</v>
      </c>
      <c r="N282" s="169">
        <f t="shared" si="46"/>
        <v>0</v>
      </c>
      <c r="O282" s="169">
        <f t="shared" si="47"/>
        <v>0</v>
      </c>
      <c r="P282" s="170">
        <f t="shared" si="48"/>
        <v>0</v>
      </c>
      <c r="Q282" s="335"/>
    </row>
    <row r="283" spans="1:17" ht="23.25" customHeight="1" x14ac:dyDescent="0.5">
      <c r="A283" s="27">
        <f t="shared" si="49"/>
        <v>264</v>
      </c>
      <c r="B283" s="50" t="s">
        <v>82</v>
      </c>
      <c r="C283" s="132" t="s">
        <v>111</v>
      </c>
      <c r="D283" s="89" t="s">
        <v>110</v>
      </c>
      <c r="E283" s="73"/>
      <c r="F283" s="73"/>
      <c r="G283" s="73"/>
      <c r="H283" s="73"/>
      <c r="I283" s="191"/>
      <c r="J283" s="19">
        <f t="shared" si="50"/>
        <v>0</v>
      </c>
      <c r="K283" s="167" t="s">
        <v>22</v>
      </c>
      <c r="L283" s="168">
        <v>0</v>
      </c>
      <c r="M283" s="168">
        <v>0</v>
      </c>
      <c r="N283" s="169">
        <f t="shared" si="46"/>
        <v>0</v>
      </c>
      <c r="O283" s="169">
        <f t="shared" si="47"/>
        <v>0</v>
      </c>
      <c r="P283" s="170">
        <f t="shared" si="48"/>
        <v>0</v>
      </c>
      <c r="Q283" s="335"/>
    </row>
    <row r="284" spans="1:17" ht="23.25" customHeight="1" x14ac:dyDescent="0.5">
      <c r="A284" s="27">
        <f t="shared" si="49"/>
        <v>265</v>
      </c>
      <c r="B284" s="26" t="s">
        <v>82</v>
      </c>
      <c r="C284" s="129" t="s">
        <v>111</v>
      </c>
      <c r="D284" s="43" t="s">
        <v>358</v>
      </c>
      <c r="E284" s="5"/>
      <c r="F284" s="5"/>
      <c r="G284" s="5"/>
      <c r="H284" s="5"/>
      <c r="I284" s="20"/>
      <c r="J284" s="19">
        <f>I284</f>
        <v>0</v>
      </c>
      <c r="K284" s="171"/>
      <c r="L284" s="168">
        <v>0</v>
      </c>
      <c r="M284" s="168">
        <v>0</v>
      </c>
      <c r="N284" s="169">
        <f>L284*J284</f>
        <v>0</v>
      </c>
      <c r="O284" s="169">
        <f>M284*J284</f>
        <v>0</v>
      </c>
      <c r="P284" s="170">
        <f>(L284*J284)+(M284*J284)</f>
        <v>0</v>
      </c>
      <c r="Q284" s="326"/>
    </row>
    <row r="285" spans="1:17" ht="23.25" customHeight="1" thickBot="1" x14ac:dyDescent="0.55000000000000004">
      <c r="A285" s="29">
        <f>A284+1</f>
        <v>266</v>
      </c>
      <c r="B285" s="36" t="s">
        <v>82</v>
      </c>
      <c r="C285" s="133" t="s">
        <v>111</v>
      </c>
      <c r="D285" s="44" t="s">
        <v>358</v>
      </c>
      <c r="E285" s="6"/>
      <c r="F285" s="6"/>
      <c r="G285" s="6"/>
      <c r="H285" s="6"/>
      <c r="I285" s="21"/>
      <c r="J285" s="22">
        <f>I285</f>
        <v>0</v>
      </c>
      <c r="K285" s="172"/>
      <c r="L285" s="173">
        <v>0</v>
      </c>
      <c r="M285" s="173">
        <v>0</v>
      </c>
      <c r="N285" s="174">
        <f>L285*J285</f>
        <v>0</v>
      </c>
      <c r="O285" s="174">
        <f>M285*J285</f>
        <v>0</v>
      </c>
      <c r="P285" s="175">
        <f>(L285*J285)+(M285*J285)</f>
        <v>0</v>
      </c>
      <c r="Q285" s="327"/>
    </row>
    <row r="286" spans="1:17" ht="23.25" customHeight="1" thickBot="1" x14ac:dyDescent="0.55000000000000004">
      <c r="A286" s="30"/>
      <c r="B286" s="17" t="s">
        <v>45</v>
      </c>
      <c r="C286" s="134" t="s">
        <v>115</v>
      </c>
      <c r="D286" s="176" t="s">
        <v>115</v>
      </c>
      <c r="E286" s="178"/>
      <c r="F286" s="178"/>
      <c r="G286" s="178"/>
      <c r="H286" s="178"/>
      <c r="I286" s="222"/>
      <c r="J286" s="180"/>
      <c r="K286" s="181"/>
      <c r="L286" s="182"/>
      <c r="M286" s="182"/>
      <c r="N286" s="183"/>
      <c r="O286" s="183"/>
      <c r="P286" s="184"/>
      <c r="Q286" s="342"/>
    </row>
    <row r="287" spans="1:17" ht="23.25" customHeight="1" x14ac:dyDescent="0.5">
      <c r="A287" s="28">
        <f>A285+1</f>
        <v>267</v>
      </c>
      <c r="B287" s="35" t="s">
        <v>45</v>
      </c>
      <c r="C287" s="127" t="s">
        <v>115</v>
      </c>
      <c r="D287" s="77" t="s">
        <v>40</v>
      </c>
      <c r="E287" s="87">
        <v>304</v>
      </c>
      <c r="F287" s="78"/>
      <c r="G287" s="78" t="s">
        <v>116</v>
      </c>
      <c r="H287" s="78" t="s">
        <v>117</v>
      </c>
      <c r="I287" s="189"/>
      <c r="J287" s="32">
        <f t="shared" ref="J287:J293" si="51">I287</f>
        <v>0</v>
      </c>
      <c r="K287" s="190" t="s">
        <v>34</v>
      </c>
      <c r="L287" s="185">
        <v>0</v>
      </c>
      <c r="M287" s="185">
        <v>0</v>
      </c>
      <c r="N287" s="186">
        <f t="shared" ref="N287:N293" si="52">L287*J287</f>
        <v>0</v>
      </c>
      <c r="O287" s="186">
        <f t="shared" ref="O287:O293" si="53">M287*J287</f>
        <v>0</v>
      </c>
      <c r="P287" s="187">
        <f t="shared" ref="P287:P293" si="54">(L287*J287)+(M287*J287)</f>
        <v>0</v>
      </c>
      <c r="Q287" s="336"/>
    </row>
    <row r="288" spans="1:17" ht="23.25" customHeight="1" x14ac:dyDescent="0.5">
      <c r="A288" s="18">
        <f>A287+1</f>
        <v>268</v>
      </c>
      <c r="B288" s="26" t="s">
        <v>45</v>
      </c>
      <c r="C288" s="129" t="s">
        <v>115</v>
      </c>
      <c r="D288" s="72" t="s">
        <v>497</v>
      </c>
      <c r="E288" s="88">
        <v>304</v>
      </c>
      <c r="F288" s="73"/>
      <c r="G288" s="73" t="s">
        <v>60</v>
      </c>
      <c r="H288" s="73" t="s">
        <v>117</v>
      </c>
      <c r="I288" s="191"/>
      <c r="J288" s="19">
        <f t="shared" si="51"/>
        <v>0</v>
      </c>
      <c r="K288" s="167" t="s">
        <v>22</v>
      </c>
      <c r="L288" s="168">
        <v>0</v>
      </c>
      <c r="M288" s="168">
        <v>0</v>
      </c>
      <c r="N288" s="169">
        <f t="shared" si="52"/>
        <v>0</v>
      </c>
      <c r="O288" s="169">
        <f t="shared" si="53"/>
        <v>0</v>
      </c>
      <c r="P288" s="170">
        <f t="shared" si="54"/>
        <v>0</v>
      </c>
      <c r="Q288" s="335"/>
    </row>
    <row r="289" spans="1:19" ht="23.25" customHeight="1" x14ac:dyDescent="0.5">
      <c r="A289" s="18">
        <f t="shared" ref="A289:A292" si="55">A288+1</f>
        <v>269</v>
      </c>
      <c r="B289" s="26" t="s">
        <v>45</v>
      </c>
      <c r="C289" s="129" t="s">
        <v>115</v>
      </c>
      <c r="D289" s="72" t="s">
        <v>40</v>
      </c>
      <c r="E289" s="88">
        <v>304</v>
      </c>
      <c r="F289" s="73"/>
      <c r="G289" s="73" t="s">
        <v>116</v>
      </c>
      <c r="H289" s="73" t="s">
        <v>118</v>
      </c>
      <c r="I289" s="191"/>
      <c r="J289" s="19">
        <f t="shared" si="51"/>
        <v>0</v>
      </c>
      <c r="K289" s="167" t="s">
        <v>34</v>
      </c>
      <c r="L289" s="168">
        <v>0</v>
      </c>
      <c r="M289" s="168">
        <v>0</v>
      </c>
      <c r="N289" s="169">
        <f t="shared" si="52"/>
        <v>0</v>
      </c>
      <c r="O289" s="169">
        <f t="shared" si="53"/>
        <v>0</v>
      </c>
      <c r="P289" s="170">
        <f t="shared" si="54"/>
        <v>0</v>
      </c>
      <c r="Q289" s="335"/>
    </row>
    <row r="290" spans="1:19" ht="23.25" customHeight="1" x14ac:dyDescent="0.5">
      <c r="A290" s="18">
        <f t="shared" si="55"/>
        <v>270</v>
      </c>
      <c r="B290" s="26" t="s">
        <v>45</v>
      </c>
      <c r="C290" s="129" t="s">
        <v>115</v>
      </c>
      <c r="D290" s="72" t="s">
        <v>497</v>
      </c>
      <c r="E290" s="88">
        <v>304</v>
      </c>
      <c r="F290" s="73"/>
      <c r="G290" s="73" t="s">
        <v>60</v>
      </c>
      <c r="H290" s="73" t="s">
        <v>118</v>
      </c>
      <c r="I290" s="191"/>
      <c r="J290" s="19">
        <f t="shared" si="51"/>
        <v>0</v>
      </c>
      <c r="K290" s="167" t="s">
        <v>22</v>
      </c>
      <c r="L290" s="168">
        <v>0</v>
      </c>
      <c r="M290" s="168">
        <v>0</v>
      </c>
      <c r="N290" s="169">
        <f t="shared" si="52"/>
        <v>0</v>
      </c>
      <c r="O290" s="169">
        <f t="shared" si="53"/>
        <v>0</v>
      </c>
      <c r="P290" s="170">
        <f t="shared" si="54"/>
        <v>0</v>
      </c>
      <c r="Q290" s="335"/>
    </row>
    <row r="291" spans="1:19" ht="23.25" customHeight="1" x14ac:dyDescent="0.5">
      <c r="A291" s="18">
        <f t="shared" si="55"/>
        <v>271</v>
      </c>
      <c r="B291" s="26" t="s">
        <v>45</v>
      </c>
      <c r="C291" s="83" t="s">
        <v>115</v>
      </c>
      <c r="D291" s="84" t="s">
        <v>498</v>
      </c>
      <c r="E291" s="73"/>
      <c r="F291" s="73"/>
      <c r="G291" s="73"/>
      <c r="H291" s="73"/>
      <c r="I291" s="191"/>
      <c r="J291" s="19">
        <f t="shared" si="51"/>
        <v>0</v>
      </c>
      <c r="K291" s="167" t="s">
        <v>22</v>
      </c>
      <c r="L291" s="168">
        <v>0</v>
      </c>
      <c r="M291" s="168">
        <v>0</v>
      </c>
      <c r="N291" s="169">
        <f t="shared" si="52"/>
        <v>0</v>
      </c>
      <c r="O291" s="169">
        <f t="shared" si="53"/>
        <v>0</v>
      </c>
      <c r="P291" s="170">
        <f t="shared" si="54"/>
        <v>0</v>
      </c>
      <c r="Q291" s="335"/>
    </row>
    <row r="292" spans="1:19" ht="23.25" customHeight="1" x14ac:dyDescent="0.5">
      <c r="A292" s="18">
        <f t="shared" si="55"/>
        <v>272</v>
      </c>
      <c r="B292" s="26" t="s">
        <v>45</v>
      </c>
      <c r="C292" s="83" t="s">
        <v>115</v>
      </c>
      <c r="D292" s="43" t="s">
        <v>358</v>
      </c>
      <c r="E292" s="5"/>
      <c r="F292" s="5"/>
      <c r="G292" s="5"/>
      <c r="H292" s="5"/>
      <c r="I292" s="20"/>
      <c r="J292" s="19">
        <f t="shared" si="51"/>
        <v>0</v>
      </c>
      <c r="K292" s="171"/>
      <c r="L292" s="168">
        <v>0</v>
      </c>
      <c r="M292" s="168">
        <v>0</v>
      </c>
      <c r="N292" s="169">
        <f t="shared" si="52"/>
        <v>0</v>
      </c>
      <c r="O292" s="169">
        <f t="shared" si="53"/>
        <v>0</v>
      </c>
      <c r="P292" s="170">
        <f t="shared" si="54"/>
        <v>0</v>
      </c>
      <c r="Q292" s="326"/>
    </row>
    <row r="293" spans="1:19" ht="23.25" customHeight="1" thickBot="1" x14ac:dyDescent="0.55000000000000004">
      <c r="A293" s="29">
        <f>A292+1</f>
        <v>273</v>
      </c>
      <c r="B293" s="36" t="s">
        <v>45</v>
      </c>
      <c r="C293" s="46" t="s">
        <v>115</v>
      </c>
      <c r="D293" s="44" t="s">
        <v>358</v>
      </c>
      <c r="E293" s="6"/>
      <c r="F293" s="6"/>
      <c r="G293" s="6"/>
      <c r="H293" s="6"/>
      <c r="I293" s="21"/>
      <c r="J293" s="22">
        <f t="shared" si="51"/>
        <v>0</v>
      </c>
      <c r="K293" s="172"/>
      <c r="L293" s="173">
        <v>0</v>
      </c>
      <c r="M293" s="173">
        <v>0</v>
      </c>
      <c r="N293" s="174">
        <f t="shared" si="52"/>
        <v>0</v>
      </c>
      <c r="O293" s="174">
        <f t="shared" si="53"/>
        <v>0</v>
      </c>
      <c r="P293" s="175">
        <f t="shared" si="54"/>
        <v>0</v>
      </c>
      <c r="Q293" s="327"/>
    </row>
    <row r="294" spans="1:19" ht="23.25" customHeight="1" thickBot="1" x14ac:dyDescent="0.55000000000000004">
      <c r="A294" s="30"/>
      <c r="B294" s="17" t="s">
        <v>82</v>
      </c>
      <c r="C294" s="134" t="s">
        <v>119</v>
      </c>
      <c r="D294" s="176" t="s">
        <v>119</v>
      </c>
      <c r="E294" s="178"/>
      <c r="F294" s="178"/>
      <c r="G294" s="178"/>
      <c r="H294" s="223"/>
      <c r="I294" s="222"/>
      <c r="J294" s="224"/>
      <c r="K294" s="225"/>
      <c r="L294" s="226"/>
      <c r="M294" s="226"/>
      <c r="N294" s="227"/>
      <c r="O294" s="227"/>
      <c r="P294" s="184"/>
      <c r="Q294" s="342"/>
    </row>
    <row r="295" spans="1:19" ht="23.25" customHeight="1" x14ac:dyDescent="0.5">
      <c r="A295" s="28">
        <f>A293+1</f>
        <v>274</v>
      </c>
      <c r="B295" s="35" t="s">
        <v>82</v>
      </c>
      <c r="C295" s="127" t="s">
        <v>119</v>
      </c>
      <c r="D295" s="77" t="s">
        <v>40</v>
      </c>
      <c r="E295" s="78" t="s">
        <v>120</v>
      </c>
      <c r="F295" s="78"/>
      <c r="G295" s="78" t="s">
        <v>121</v>
      </c>
      <c r="H295" s="78" t="s">
        <v>122</v>
      </c>
      <c r="I295" s="189"/>
      <c r="J295" s="32">
        <v>10</v>
      </c>
      <c r="K295" s="190" t="s">
        <v>51</v>
      </c>
      <c r="L295" s="185">
        <v>0</v>
      </c>
      <c r="M295" s="185">
        <v>0</v>
      </c>
      <c r="N295" s="186">
        <f t="shared" ref="N295:N342" si="56">L295*J295</f>
        <v>0</v>
      </c>
      <c r="O295" s="186">
        <f t="shared" ref="O295:O342" si="57">M295*J295</f>
        <v>0</v>
      </c>
      <c r="P295" s="187">
        <f t="shared" ref="P295:P342" si="58">(L295*J295)+(M295*J295)</f>
        <v>0</v>
      </c>
      <c r="Q295" s="336"/>
      <c r="S295" s="358" t="s">
        <v>602</v>
      </c>
    </row>
    <row r="296" spans="1:19" ht="23.25" customHeight="1" x14ac:dyDescent="0.5">
      <c r="A296" s="18">
        <f>A295+1</f>
        <v>275</v>
      </c>
      <c r="B296" s="26" t="s">
        <v>82</v>
      </c>
      <c r="C296" s="129" t="s">
        <v>119</v>
      </c>
      <c r="D296" s="72" t="s">
        <v>53</v>
      </c>
      <c r="E296" s="73" t="s">
        <v>120</v>
      </c>
      <c r="F296" s="73"/>
      <c r="G296" s="73" t="s">
        <v>123</v>
      </c>
      <c r="H296" s="73" t="s">
        <v>122</v>
      </c>
      <c r="I296" s="191"/>
      <c r="J296" s="19">
        <v>2</v>
      </c>
      <c r="K296" s="167" t="s">
        <v>22</v>
      </c>
      <c r="L296" s="168">
        <v>0</v>
      </c>
      <c r="M296" s="168">
        <v>0</v>
      </c>
      <c r="N296" s="169">
        <f t="shared" si="56"/>
        <v>0</v>
      </c>
      <c r="O296" s="169">
        <f t="shared" si="57"/>
        <v>0</v>
      </c>
      <c r="P296" s="170">
        <f t="shared" si="58"/>
        <v>0</v>
      </c>
      <c r="Q296" s="335"/>
      <c r="S296" s="358" t="s">
        <v>603</v>
      </c>
    </row>
    <row r="297" spans="1:19" ht="23.25" customHeight="1" x14ac:dyDescent="0.5">
      <c r="A297" s="18">
        <f t="shared" ref="A297:A343" si="59">A296+1</f>
        <v>276</v>
      </c>
      <c r="B297" s="26" t="s">
        <v>82</v>
      </c>
      <c r="C297" s="129" t="s">
        <v>119</v>
      </c>
      <c r="D297" s="72" t="s">
        <v>493</v>
      </c>
      <c r="E297" s="73" t="s">
        <v>120</v>
      </c>
      <c r="F297" s="73"/>
      <c r="G297" s="73" t="s">
        <v>121</v>
      </c>
      <c r="H297" s="73" t="s">
        <v>122</v>
      </c>
      <c r="I297" s="191"/>
      <c r="J297" s="19">
        <v>1</v>
      </c>
      <c r="K297" s="167" t="s">
        <v>22</v>
      </c>
      <c r="L297" s="168">
        <v>0</v>
      </c>
      <c r="M297" s="168">
        <v>0</v>
      </c>
      <c r="N297" s="169">
        <f t="shared" si="56"/>
        <v>0</v>
      </c>
      <c r="O297" s="169">
        <f t="shared" si="57"/>
        <v>0</v>
      </c>
      <c r="P297" s="170">
        <f t="shared" si="58"/>
        <v>0</v>
      </c>
      <c r="Q297" s="335"/>
      <c r="S297" s="358" t="s">
        <v>604</v>
      </c>
    </row>
    <row r="298" spans="1:19" ht="23.25" customHeight="1" x14ac:dyDescent="0.5">
      <c r="A298" s="18">
        <f t="shared" si="59"/>
        <v>277</v>
      </c>
      <c r="B298" s="26" t="s">
        <v>82</v>
      </c>
      <c r="C298" s="129" t="s">
        <v>119</v>
      </c>
      <c r="D298" s="72" t="s">
        <v>499</v>
      </c>
      <c r="E298" s="73" t="s">
        <v>120</v>
      </c>
      <c r="F298" s="73"/>
      <c r="G298" s="73" t="s">
        <v>121</v>
      </c>
      <c r="H298" s="73" t="s">
        <v>122</v>
      </c>
      <c r="I298" s="191"/>
      <c r="J298" s="19">
        <v>1</v>
      </c>
      <c r="K298" s="167" t="s">
        <v>22</v>
      </c>
      <c r="L298" s="168">
        <v>0</v>
      </c>
      <c r="M298" s="168">
        <v>0</v>
      </c>
      <c r="N298" s="169">
        <f t="shared" si="56"/>
        <v>0</v>
      </c>
      <c r="O298" s="169">
        <f t="shared" si="57"/>
        <v>0</v>
      </c>
      <c r="P298" s="170">
        <f t="shared" si="58"/>
        <v>0</v>
      </c>
      <c r="Q298" s="335"/>
      <c r="S298" s="358" t="s">
        <v>605</v>
      </c>
    </row>
    <row r="299" spans="1:19" ht="23.25" customHeight="1" x14ac:dyDescent="0.5">
      <c r="A299" s="18">
        <f t="shared" si="59"/>
        <v>278</v>
      </c>
      <c r="B299" s="26" t="s">
        <v>82</v>
      </c>
      <c r="C299" s="129" t="s">
        <v>119</v>
      </c>
      <c r="D299" s="72" t="s">
        <v>91</v>
      </c>
      <c r="E299" s="73" t="s">
        <v>120</v>
      </c>
      <c r="F299" s="73" t="s">
        <v>124</v>
      </c>
      <c r="G299" s="73" t="s">
        <v>121</v>
      </c>
      <c r="H299" s="73" t="s">
        <v>122</v>
      </c>
      <c r="I299" s="191"/>
      <c r="J299" s="19">
        <v>1</v>
      </c>
      <c r="K299" s="167" t="s">
        <v>22</v>
      </c>
      <c r="L299" s="168">
        <v>0</v>
      </c>
      <c r="M299" s="168">
        <v>0</v>
      </c>
      <c r="N299" s="169">
        <f t="shared" si="56"/>
        <v>0</v>
      </c>
      <c r="O299" s="169">
        <f t="shared" si="57"/>
        <v>0</v>
      </c>
      <c r="P299" s="170">
        <f t="shared" si="58"/>
        <v>0</v>
      </c>
      <c r="Q299" s="335"/>
      <c r="S299" s="358" t="s">
        <v>606</v>
      </c>
    </row>
    <row r="300" spans="1:19" ht="23.25" customHeight="1" x14ac:dyDescent="0.5">
      <c r="A300" s="18">
        <f t="shared" si="59"/>
        <v>279</v>
      </c>
      <c r="B300" s="26" t="s">
        <v>82</v>
      </c>
      <c r="C300" s="129" t="s">
        <v>119</v>
      </c>
      <c r="D300" s="72" t="s">
        <v>494</v>
      </c>
      <c r="E300" s="73" t="s">
        <v>120</v>
      </c>
      <c r="F300" s="73"/>
      <c r="G300" s="73" t="s">
        <v>121</v>
      </c>
      <c r="H300" s="73" t="s">
        <v>122</v>
      </c>
      <c r="I300" s="191"/>
      <c r="J300" s="19">
        <v>0</v>
      </c>
      <c r="K300" s="167" t="s">
        <v>22</v>
      </c>
      <c r="L300" s="168">
        <v>0</v>
      </c>
      <c r="M300" s="168">
        <v>0</v>
      </c>
      <c r="N300" s="169">
        <f t="shared" si="56"/>
        <v>0</v>
      </c>
      <c r="O300" s="169">
        <f t="shared" si="57"/>
        <v>0</v>
      </c>
      <c r="P300" s="170">
        <f t="shared" si="58"/>
        <v>0</v>
      </c>
      <c r="Q300" s="335"/>
      <c r="S300" s="358" t="s">
        <v>607</v>
      </c>
    </row>
    <row r="301" spans="1:19" ht="23.25" customHeight="1" x14ac:dyDescent="0.5">
      <c r="A301" s="18">
        <f t="shared" si="59"/>
        <v>280</v>
      </c>
      <c r="B301" s="26" t="s">
        <v>82</v>
      </c>
      <c r="C301" s="129" t="s">
        <v>119</v>
      </c>
      <c r="D301" s="72" t="s">
        <v>125</v>
      </c>
      <c r="E301" s="73" t="s">
        <v>120</v>
      </c>
      <c r="F301" s="73"/>
      <c r="G301" s="73" t="s">
        <v>121</v>
      </c>
      <c r="H301" s="73" t="s">
        <v>122</v>
      </c>
      <c r="I301" s="191"/>
      <c r="J301" s="19">
        <v>0</v>
      </c>
      <c r="K301" s="167" t="s">
        <v>22</v>
      </c>
      <c r="L301" s="168">
        <v>0</v>
      </c>
      <c r="M301" s="168">
        <v>0</v>
      </c>
      <c r="N301" s="169">
        <f t="shared" si="56"/>
        <v>0</v>
      </c>
      <c r="O301" s="169">
        <f t="shared" si="57"/>
        <v>0</v>
      </c>
      <c r="P301" s="170">
        <f t="shared" si="58"/>
        <v>0</v>
      </c>
      <c r="Q301" s="335"/>
      <c r="S301" s="358" t="s">
        <v>608</v>
      </c>
    </row>
    <row r="302" spans="1:19" ht="23.25" customHeight="1" x14ac:dyDescent="0.5">
      <c r="A302" s="18">
        <f t="shared" si="59"/>
        <v>281</v>
      </c>
      <c r="B302" s="26" t="s">
        <v>82</v>
      </c>
      <c r="C302" s="129" t="s">
        <v>119</v>
      </c>
      <c r="D302" s="72" t="s">
        <v>518</v>
      </c>
      <c r="E302" s="73" t="s">
        <v>120</v>
      </c>
      <c r="F302" s="73"/>
      <c r="G302" s="73" t="s">
        <v>121</v>
      </c>
      <c r="H302" s="73" t="s">
        <v>122</v>
      </c>
      <c r="I302" s="191"/>
      <c r="J302" s="19">
        <v>1</v>
      </c>
      <c r="K302" s="167" t="s">
        <v>22</v>
      </c>
      <c r="L302" s="168">
        <v>0</v>
      </c>
      <c r="M302" s="168">
        <v>0</v>
      </c>
      <c r="N302" s="169">
        <f t="shared" si="56"/>
        <v>0</v>
      </c>
      <c r="O302" s="169">
        <f t="shared" si="57"/>
        <v>0</v>
      </c>
      <c r="P302" s="170">
        <f t="shared" si="58"/>
        <v>0</v>
      </c>
      <c r="Q302" s="335"/>
      <c r="S302" s="358" t="s">
        <v>609</v>
      </c>
    </row>
    <row r="303" spans="1:19" ht="23.25" customHeight="1" x14ac:dyDescent="0.5">
      <c r="A303" s="18">
        <f t="shared" si="59"/>
        <v>282</v>
      </c>
      <c r="B303" s="26" t="s">
        <v>82</v>
      </c>
      <c r="C303" s="129" t="s">
        <v>119</v>
      </c>
      <c r="D303" s="72" t="s">
        <v>40</v>
      </c>
      <c r="E303" s="73" t="s">
        <v>120</v>
      </c>
      <c r="F303" s="73"/>
      <c r="G303" s="73" t="s">
        <v>121</v>
      </c>
      <c r="H303" s="73" t="s">
        <v>391</v>
      </c>
      <c r="I303" s="191"/>
      <c r="J303" s="19">
        <v>0</v>
      </c>
      <c r="K303" s="167" t="s">
        <v>22</v>
      </c>
      <c r="L303" s="168">
        <v>0</v>
      </c>
      <c r="M303" s="168">
        <v>0</v>
      </c>
      <c r="N303" s="169">
        <f t="shared" si="56"/>
        <v>0</v>
      </c>
      <c r="O303" s="169">
        <f t="shared" si="57"/>
        <v>0</v>
      </c>
      <c r="P303" s="170">
        <f t="shared" si="58"/>
        <v>0</v>
      </c>
      <c r="Q303" s="335"/>
      <c r="S303" s="358" t="s">
        <v>602</v>
      </c>
    </row>
    <row r="304" spans="1:19" ht="23.25" customHeight="1" x14ac:dyDescent="0.5">
      <c r="A304" s="18">
        <f t="shared" si="59"/>
        <v>283</v>
      </c>
      <c r="B304" s="26" t="s">
        <v>82</v>
      </c>
      <c r="C304" s="129" t="s">
        <v>119</v>
      </c>
      <c r="D304" s="72" t="s">
        <v>53</v>
      </c>
      <c r="E304" s="73" t="s">
        <v>120</v>
      </c>
      <c r="F304" s="73"/>
      <c r="G304" s="73" t="s">
        <v>123</v>
      </c>
      <c r="H304" s="73" t="s">
        <v>391</v>
      </c>
      <c r="I304" s="191"/>
      <c r="J304" s="19">
        <v>0</v>
      </c>
      <c r="K304" s="167" t="s">
        <v>22</v>
      </c>
      <c r="L304" s="168">
        <v>0</v>
      </c>
      <c r="M304" s="168">
        <v>0</v>
      </c>
      <c r="N304" s="169">
        <f t="shared" si="56"/>
        <v>0</v>
      </c>
      <c r="O304" s="169">
        <f t="shared" si="57"/>
        <v>0</v>
      </c>
      <c r="P304" s="170">
        <f t="shared" si="58"/>
        <v>0</v>
      </c>
      <c r="Q304" s="335"/>
      <c r="S304" s="358" t="s">
        <v>603</v>
      </c>
    </row>
    <row r="305" spans="1:19" ht="23.25" customHeight="1" x14ac:dyDescent="0.5">
      <c r="A305" s="18">
        <f t="shared" si="59"/>
        <v>284</v>
      </c>
      <c r="B305" s="26" t="s">
        <v>82</v>
      </c>
      <c r="C305" s="129" t="s">
        <v>119</v>
      </c>
      <c r="D305" s="72" t="s">
        <v>493</v>
      </c>
      <c r="E305" s="73" t="s">
        <v>120</v>
      </c>
      <c r="F305" s="73"/>
      <c r="G305" s="73" t="s">
        <v>121</v>
      </c>
      <c r="H305" s="73" t="s">
        <v>391</v>
      </c>
      <c r="I305" s="191"/>
      <c r="J305" s="19">
        <v>0</v>
      </c>
      <c r="K305" s="167" t="s">
        <v>22</v>
      </c>
      <c r="L305" s="168">
        <v>0</v>
      </c>
      <c r="M305" s="168">
        <v>0</v>
      </c>
      <c r="N305" s="169">
        <f t="shared" si="56"/>
        <v>0</v>
      </c>
      <c r="O305" s="169">
        <f t="shared" si="57"/>
        <v>0</v>
      </c>
      <c r="P305" s="170">
        <f t="shared" si="58"/>
        <v>0</v>
      </c>
      <c r="Q305" s="335"/>
      <c r="S305" s="358" t="s">
        <v>604</v>
      </c>
    </row>
    <row r="306" spans="1:19" ht="23.25" customHeight="1" x14ac:dyDescent="0.5">
      <c r="A306" s="18">
        <f t="shared" si="59"/>
        <v>285</v>
      </c>
      <c r="B306" s="26" t="s">
        <v>82</v>
      </c>
      <c r="C306" s="129" t="s">
        <v>119</v>
      </c>
      <c r="D306" s="72" t="s">
        <v>499</v>
      </c>
      <c r="E306" s="73" t="s">
        <v>120</v>
      </c>
      <c r="F306" s="73"/>
      <c r="G306" s="73" t="s">
        <v>121</v>
      </c>
      <c r="H306" s="73" t="s">
        <v>391</v>
      </c>
      <c r="I306" s="191"/>
      <c r="J306" s="19">
        <v>0</v>
      </c>
      <c r="K306" s="167" t="s">
        <v>22</v>
      </c>
      <c r="L306" s="168">
        <v>0</v>
      </c>
      <c r="M306" s="168">
        <v>0</v>
      </c>
      <c r="N306" s="169">
        <f t="shared" si="56"/>
        <v>0</v>
      </c>
      <c r="O306" s="169">
        <f t="shared" si="57"/>
        <v>0</v>
      </c>
      <c r="P306" s="170">
        <f t="shared" si="58"/>
        <v>0</v>
      </c>
      <c r="Q306" s="335"/>
      <c r="S306" s="358" t="s">
        <v>605</v>
      </c>
    </row>
    <row r="307" spans="1:19" ht="23.25" customHeight="1" x14ac:dyDescent="0.5">
      <c r="A307" s="18">
        <f t="shared" si="59"/>
        <v>286</v>
      </c>
      <c r="B307" s="26" t="s">
        <v>82</v>
      </c>
      <c r="C307" s="129" t="s">
        <v>119</v>
      </c>
      <c r="D307" s="72" t="s">
        <v>91</v>
      </c>
      <c r="E307" s="73" t="s">
        <v>120</v>
      </c>
      <c r="F307" s="73" t="s">
        <v>124</v>
      </c>
      <c r="G307" s="73" t="s">
        <v>121</v>
      </c>
      <c r="H307" s="73" t="s">
        <v>391</v>
      </c>
      <c r="I307" s="191"/>
      <c r="J307" s="19">
        <v>0</v>
      </c>
      <c r="K307" s="167" t="s">
        <v>22</v>
      </c>
      <c r="L307" s="168">
        <v>0</v>
      </c>
      <c r="M307" s="168">
        <v>0</v>
      </c>
      <c r="N307" s="169">
        <f t="shared" si="56"/>
        <v>0</v>
      </c>
      <c r="O307" s="169">
        <f t="shared" si="57"/>
        <v>0</v>
      </c>
      <c r="P307" s="170">
        <f t="shared" si="58"/>
        <v>0</v>
      </c>
      <c r="Q307" s="335"/>
      <c r="S307" s="358" t="s">
        <v>606</v>
      </c>
    </row>
    <row r="308" spans="1:19" ht="23.25" customHeight="1" x14ac:dyDescent="0.5">
      <c r="A308" s="18">
        <f t="shared" si="59"/>
        <v>287</v>
      </c>
      <c r="B308" s="26" t="s">
        <v>82</v>
      </c>
      <c r="C308" s="129" t="s">
        <v>119</v>
      </c>
      <c r="D308" s="72" t="s">
        <v>494</v>
      </c>
      <c r="E308" s="73" t="s">
        <v>120</v>
      </c>
      <c r="F308" s="73"/>
      <c r="G308" s="73" t="s">
        <v>121</v>
      </c>
      <c r="H308" s="73" t="s">
        <v>391</v>
      </c>
      <c r="I308" s="191"/>
      <c r="J308" s="19">
        <v>0</v>
      </c>
      <c r="K308" s="167" t="s">
        <v>22</v>
      </c>
      <c r="L308" s="168">
        <v>0</v>
      </c>
      <c r="M308" s="168">
        <v>0</v>
      </c>
      <c r="N308" s="169">
        <f t="shared" si="56"/>
        <v>0</v>
      </c>
      <c r="O308" s="169">
        <f t="shared" si="57"/>
        <v>0</v>
      </c>
      <c r="P308" s="170">
        <f t="shared" si="58"/>
        <v>0</v>
      </c>
      <c r="Q308" s="335"/>
      <c r="S308" s="358" t="s">
        <v>607</v>
      </c>
    </row>
    <row r="309" spans="1:19" ht="23.25" customHeight="1" x14ac:dyDescent="0.5">
      <c r="A309" s="18">
        <f t="shared" si="59"/>
        <v>288</v>
      </c>
      <c r="B309" s="26" t="s">
        <v>82</v>
      </c>
      <c r="C309" s="129" t="s">
        <v>119</v>
      </c>
      <c r="D309" s="72" t="s">
        <v>125</v>
      </c>
      <c r="E309" s="73" t="s">
        <v>120</v>
      </c>
      <c r="F309" s="73"/>
      <c r="G309" s="73" t="s">
        <v>121</v>
      </c>
      <c r="H309" s="73" t="s">
        <v>391</v>
      </c>
      <c r="I309" s="191"/>
      <c r="J309" s="19">
        <v>0</v>
      </c>
      <c r="K309" s="167" t="s">
        <v>22</v>
      </c>
      <c r="L309" s="168">
        <v>0</v>
      </c>
      <c r="M309" s="168">
        <v>0</v>
      </c>
      <c r="N309" s="169">
        <f t="shared" si="56"/>
        <v>0</v>
      </c>
      <c r="O309" s="169">
        <f t="shared" si="57"/>
        <v>0</v>
      </c>
      <c r="P309" s="170">
        <f t="shared" si="58"/>
        <v>0</v>
      </c>
      <c r="Q309" s="335"/>
      <c r="S309" s="358" t="s">
        <v>608</v>
      </c>
    </row>
    <row r="310" spans="1:19" ht="23.25" customHeight="1" x14ac:dyDescent="0.5">
      <c r="A310" s="18">
        <f t="shared" si="59"/>
        <v>289</v>
      </c>
      <c r="B310" s="26" t="s">
        <v>82</v>
      </c>
      <c r="C310" s="129" t="s">
        <v>119</v>
      </c>
      <c r="D310" s="72" t="s">
        <v>518</v>
      </c>
      <c r="E310" s="73" t="s">
        <v>120</v>
      </c>
      <c r="F310" s="73"/>
      <c r="G310" s="73" t="s">
        <v>121</v>
      </c>
      <c r="H310" s="73" t="s">
        <v>391</v>
      </c>
      <c r="I310" s="191"/>
      <c r="J310" s="19">
        <v>0</v>
      </c>
      <c r="K310" s="167" t="s">
        <v>22</v>
      </c>
      <c r="L310" s="168">
        <v>0</v>
      </c>
      <c r="M310" s="168">
        <v>0</v>
      </c>
      <c r="N310" s="169">
        <f t="shared" si="56"/>
        <v>0</v>
      </c>
      <c r="O310" s="169">
        <f t="shared" si="57"/>
        <v>0</v>
      </c>
      <c r="P310" s="170">
        <f t="shared" si="58"/>
        <v>0</v>
      </c>
      <c r="Q310" s="335"/>
      <c r="S310" s="358" t="s">
        <v>609</v>
      </c>
    </row>
    <row r="311" spans="1:19" ht="23.25" customHeight="1" x14ac:dyDescent="0.5">
      <c r="A311" s="18">
        <f t="shared" si="59"/>
        <v>290</v>
      </c>
      <c r="B311" s="26" t="s">
        <v>82</v>
      </c>
      <c r="C311" s="129" t="s">
        <v>119</v>
      </c>
      <c r="D311" s="72" t="s">
        <v>40</v>
      </c>
      <c r="E311" s="73" t="s">
        <v>120</v>
      </c>
      <c r="F311" s="73"/>
      <c r="G311" s="73" t="s">
        <v>121</v>
      </c>
      <c r="H311" s="73" t="s">
        <v>392</v>
      </c>
      <c r="I311" s="191"/>
      <c r="J311" s="19">
        <v>0</v>
      </c>
      <c r="K311" s="167" t="s">
        <v>22</v>
      </c>
      <c r="L311" s="168">
        <v>0</v>
      </c>
      <c r="M311" s="168">
        <v>0</v>
      </c>
      <c r="N311" s="169">
        <f t="shared" si="56"/>
        <v>0</v>
      </c>
      <c r="O311" s="169">
        <f t="shared" si="57"/>
        <v>0</v>
      </c>
      <c r="P311" s="170">
        <f t="shared" si="58"/>
        <v>0</v>
      </c>
      <c r="Q311" s="335"/>
      <c r="S311" s="358" t="s">
        <v>602</v>
      </c>
    </row>
    <row r="312" spans="1:19" ht="23.25" customHeight="1" x14ac:dyDescent="0.5">
      <c r="A312" s="18">
        <f t="shared" si="59"/>
        <v>291</v>
      </c>
      <c r="B312" s="26" t="s">
        <v>82</v>
      </c>
      <c r="C312" s="129" t="s">
        <v>119</v>
      </c>
      <c r="D312" s="72" t="s">
        <v>53</v>
      </c>
      <c r="E312" s="73" t="s">
        <v>120</v>
      </c>
      <c r="F312" s="73"/>
      <c r="G312" s="73" t="s">
        <v>123</v>
      </c>
      <c r="H312" s="73" t="s">
        <v>392</v>
      </c>
      <c r="I312" s="191"/>
      <c r="J312" s="19">
        <v>0</v>
      </c>
      <c r="K312" s="167" t="s">
        <v>22</v>
      </c>
      <c r="L312" s="168">
        <v>0</v>
      </c>
      <c r="M312" s="168">
        <v>0</v>
      </c>
      <c r="N312" s="169">
        <f t="shared" si="56"/>
        <v>0</v>
      </c>
      <c r="O312" s="169">
        <f t="shared" si="57"/>
        <v>0</v>
      </c>
      <c r="P312" s="170">
        <f t="shared" si="58"/>
        <v>0</v>
      </c>
      <c r="Q312" s="335"/>
      <c r="S312" s="358" t="s">
        <v>603</v>
      </c>
    </row>
    <row r="313" spans="1:19" ht="23.25" customHeight="1" x14ac:dyDescent="0.5">
      <c r="A313" s="18">
        <f t="shared" si="59"/>
        <v>292</v>
      </c>
      <c r="B313" s="26" t="s">
        <v>82</v>
      </c>
      <c r="C313" s="129" t="s">
        <v>119</v>
      </c>
      <c r="D313" s="72" t="s">
        <v>493</v>
      </c>
      <c r="E313" s="73" t="s">
        <v>120</v>
      </c>
      <c r="F313" s="73"/>
      <c r="G313" s="73" t="s">
        <v>121</v>
      </c>
      <c r="H313" s="73" t="s">
        <v>392</v>
      </c>
      <c r="I313" s="191"/>
      <c r="J313" s="19">
        <v>0</v>
      </c>
      <c r="K313" s="167" t="s">
        <v>22</v>
      </c>
      <c r="L313" s="168">
        <v>0</v>
      </c>
      <c r="M313" s="168">
        <v>0</v>
      </c>
      <c r="N313" s="169">
        <f t="shared" si="56"/>
        <v>0</v>
      </c>
      <c r="O313" s="169">
        <f t="shared" si="57"/>
        <v>0</v>
      </c>
      <c r="P313" s="170">
        <f t="shared" si="58"/>
        <v>0</v>
      </c>
      <c r="Q313" s="335"/>
      <c r="S313" s="358" t="s">
        <v>604</v>
      </c>
    </row>
    <row r="314" spans="1:19" ht="23.25" customHeight="1" x14ac:dyDescent="0.5">
      <c r="A314" s="18">
        <f t="shared" si="59"/>
        <v>293</v>
      </c>
      <c r="B314" s="26" t="s">
        <v>82</v>
      </c>
      <c r="C314" s="129" t="s">
        <v>119</v>
      </c>
      <c r="D314" s="72" t="s">
        <v>499</v>
      </c>
      <c r="E314" s="73" t="s">
        <v>120</v>
      </c>
      <c r="F314" s="73"/>
      <c r="G314" s="73" t="s">
        <v>121</v>
      </c>
      <c r="H314" s="73" t="s">
        <v>392</v>
      </c>
      <c r="I314" s="191"/>
      <c r="J314" s="19">
        <v>0</v>
      </c>
      <c r="K314" s="167" t="s">
        <v>22</v>
      </c>
      <c r="L314" s="168">
        <v>0</v>
      </c>
      <c r="M314" s="168">
        <v>0</v>
      </c>
      <c r="N314" s="169">
        <f t="shared" si="56"/>
        <v>0</v>
      </c>
      <c r="O314" s="169">
        <f t="shared" si="57"/>
        <v>0</v>
      </c>
      <c r="P314" s="170">
        <f t="shared" si="58"/>
        <v>0</v>
      </c>
      <c r="Q314" s="335"/>
      <c r="S314" s="358" t="s">
        <v>605</v>
      </c>
    </row>
    <row r="315" spans="1:19" ht="23.25" customHeight="1" x14ac:dyDescent="0.5">
      <c r="A315" s="18">
        <f t="shared" si="59"/>
        <v>294</v>
      </c>
      <c r="B315" s="26" t="s">
        <v>82</v>
      </c>
      <c r="C315" s="129" t="s">
        <v>119</v>
      </c>
      <c r="D315" s="72" t="s">
        <v>91</v>
      </c>
      <c r="E315" s="73" t="s">
        <v>120</v>
      </c>
      <c r="F315" s="73" t="s">
        <v>124</v>
      </c>
      <c r="G315" s="73" t="s">
        <v>121</v>
      </c>
      <c r="H315" s="73" t="s">
        <v>392</v>
      </c>
      <c r="I315" s="191"/>
      <c r="J315" s="19">
        <v>0</v>
      </c>
      <c r="K315" s="167" t="s">
        <v>22</v>
      </c>
      <c r="L315" s="168">
        <v>0</v>
      </c>
      <c r="M315" s="168">
        <v>0</v>
      </c>
      <c r="N315" s="169">
        <f t="shared" si="56"/>
        <v>0</v>
      </c>
      <c r="O315" s="169">
        <f t="shared" si="57"/>
        <v>0</v>
      </c>
      <c r="P315" s="170">
        <f t="shared" si="58"/>
        <v>0</v>
      </c>
      <c r="Q315" s="335"/>
      <c r="S315" s="358" t="s">
        <v>606</v>
      </c>
    </row>
    <row r="316" spans="1:19" ht="23.25" customHeight="1" x14ac:dyDescent="0.5">
      <c r="A316" s="18">
        <f t="shared" si="59"/>
        <v>295</v>
      </c>
      <c r="B316" s="26" t="s">
        <v>82</v>
      </c>
      <c r="C316" s="129" t="s">
        <v>119</v>
      </c>
      <c r="D316" s="72" t="s">
        <v>494</v>
      </c>
      <c r="E316" s="73" t="s">
        <v>120</v>
      </c>
      <c r="F316" s="73"/>
      <c r="G316" s="73" t="s">
        <v>121</v>
      </c>
      <c r="H316" s="73" t="s">
        <v>392</v>
      </c>
      <c r="I316" s="191"/>
      <c r="J316" s="19">
        <v>0</v>
      </c>
      <c r="K316" s="167" t="s">
        <v>22</v>
      </c>
      <c r="L316" s="168">
        <v>0</v>
      </c>
      <c r="M316" s="168">
        <v>0</v>
      </c>
      <c r="N316" s="169">
        <f t="shared" si="56"/>
        <v>0</v>
      </c>
      <c r="O316" s="169">
        <f t="shared" si="57"/>
        <v>0</v>
      </c>
      <c r="P316" s="170">
        <f t="shared" si="58"/>
        <v>0</v>
      </c>
      <c r="Q316" s="335"/>
      <c r="S316" s="358" t="s">
        <v>607</v>
      </c>
    </row>
    <row r="317" spans="1:19" ht="23.25" customHeight="1" x14ac:dyDescent="0.5">
      <c r="A317" s="18">
        <f t="shared" si="59"/>
        <v>296</v>
      </c>
      <c r="B317" s="26" t="s">
        <v>82</v>
      </c>
      <c r="C317" s="129" t="s">
        <v>119</v>
      </c>
      <c r="D317" s="72" t="s">
        <v>125</v>
      </c>
      <c r="E317" s="73" t="s">
        <v>120</v>
      </c>
      <c r="F317" s="73"/>
      <c r="G317" s="73" t="s">
        <v>121</v>
      </c>
      <c r="H317" s="73" t="s">
        <v>392</v>
      </c>
      <c r="I317" s="191"/>
      <c r="J317" s="19">
        <v>0</v>
      </c>
      <c r="K317" s="167" t="s">
        <v>22</v>
      </c>
      <c r="L317" s="168">
        <v>0</v>
      </c>
      <c r="M317" s="168">
        <v>0</v>
      </c>
      <c r="N317" s="169">
        <f t="shared" si="56"/>
        <v>0</v>
      </c>
      <c r="O317" s="169">
        <f t="shared" si="57"/>
        <v>0</v>
      </c>
      <c r="P317" s="170">
        <f t="shared" si="58"/>
        <v>0</v>
      </c>
      <c r="Q317" s="335"/>
      <c r="S317" s="358" t="s">
        <v>608</v>
      </c>
    </row>
    <row r="318" spans="1:19" ht="23.25" customHeight="1" x14ac:dyDescent="0.5">
      <c r="A318" s="18">
        <f t="shared" si="59"/>
        <v>297</v>
      </c>
      <c r="B318" s="26" t="s">
        <v>82</v>
      </c>
      <c r="C318" s="129" t="s">
        <v>119</v>
      </c>
      <c r="D318" s="72" t="s">
        <v>518</v>
      </c>
      <c r="E318" s="73" t="s">
        <v>120</v>
      </c>
      <c r="F318" s="73"/>
      <c r="G318" s="73" t="s">
        <v>121</v>
      </c>
      <c r="H318" s="73" t="s">
        <v>392</v>
      </c>
      <c r="I318" s="191"/>
      <c r="J318" s="19">
        <v>0</v>
      </c>
      <c r="K318" s="167" t="s">
        <v>22</v>
      </c>
      <c r="L318" s="168">
        <v>0</v>
      </c>
      <c r="M318" s="168">
        <v>0</v>
      </c>
      <c r="N318" s="169">
        <f t="shared" si="56"/>
        <v>0</v>
      </c>
      <c r="O318" s="169">
        <f t="shared" si="57"/>
        <v>0</v>
      </c>
      <c r="P318" s="170">
        <f t="shared" si="58"/>
        <v>0</v>
      </c>
      <c r="Q318" s="335"/>
      <c r="S318" s="358" t="s">
        <v>609</v>
      </c>
    </row>
    <row r="319" spans="1:19" ht="23.25" customHeight="1" x14ac:dyDescent="0.5">
      <c r="A319" s="18">
        <f t="shared" si="59"/>
        <v>298</v>
      </c>
      <c r="B319" s="26" t="s">
        <v>82</v>
      </c>
      <c r="C319" s="129" t="s">
        <v>119</v>
      </c>
      <c r="D319" s="72" t="s">
        <v>40</v>
      </c>
      <c r="E319" s="73" t="s">
        <v>120</v>
      </c>
      <c r="F319" s="73"/>
      <c r="G319" s="73" t="s">
        <v>121</v>
      </c>
      <c r="H319" s="73" t="s">
        <v>145</v>
      </c>
      <c r="I319" s="191"/>
      <c r="J319" s="19">
        <v>0</v>
      </c>
      <c r="K319" s="167" t="s">
        <v>22</v>
      </c>
      <c r="L319" s="168">
        <v>0</v>
      </c>
      <c r="M319" s="168">
        <v>0</v>
      </c>
      <c r="N319" s="169">
        <f t="shared" si="56"/>
        <v>0</v>
      </c>
      <c r="O319" s="169">
        <f t="shared" si="57"/>
        <v>0</v>
      </c>
      <c r="P319" s="170">
        <f t="shared" si="58"/>
        <v>0</v>
      </c>
      <c r="Q319" s="335"/>
      <c r="S319" s="358" t="s">
        <v>602</v>
      </c>
    </row>
    <row r="320" spans="1:19" ht="23.25" customHeight="1" x14ac:dyDescent="0.5">
      <c r="A320" s="18">
        <f t="shared" si="59"/>
        <v>299</v>
      </c>
      <c r="B320" s="26" t="s">
        <v>82</v>
      </c>
      <c r="C320" s="129" t="s">
        <v>119</v>
      </c>
      <c r="D320" s="72" t="s">
        <v>53</v>
      </c>
      <c r="E320" s="73" t="s">
        <v>120</v>
      </c>
      <c r="F320" s="73"/>
      <c r="G320" s="73" t="s">
        <v>123</v>
      </c>
      <c r="H320" s="73" t="s">
        <v>145</v>
      </c>
      <c r="I320" s="191"/>
      <c r="J320" s="19">
        <v>0</v>
      </c>
      <c r="K320" s="167" t="s">
        <v>22</v>
      </c>
      <c r="L320" s="168">
        <v>0</v>
      </c>
      <c r="M320" s="168">
        <v>0</v>
      </c>
      <c r="N320" s="169">
        <f t="shared" si="56"/>
        <v>0</v>
      </c>
      <c r="O320" s="169">
        <f t="shared" si="57"/>
        <v>0</v>
      </c>
      <c r="P320" s="170">
        <f t="shared" si="58"/>
        <v>0</v>
      </c>
      <c r="Q320" s="335"/>
      <c r="S320" s="358" t="s">
        <v>603</v>
      </c>
    </row>
    <row r="321" spans="1:19" ht="23.25" customHeight="1" x14ac:dyDescent="0.5">
      <c r="A321" s="18">
        <f t="shared" si="59"/>
        <v>300</v>
      </c>
      <c r="B321" s="26" t="s">
        <v>82</v>
      </c>
      <c r="C321" s="129" t="s">
        <v>119</v>
      </c>
      <c r="D321" s="72" t="s">
        <v>493</v>
      </c>
      <c r="E321" s="73" t="s">
        <v>120</v>
      </c>
      <c r="F321" s="73"/>
      <c r="G321" s="73" t="s">
        <v>121</v>
      </c>
      <c r="H321" s="73" t="s">
        <v>145</v>
      </c>
      <c r="I321" s="191"/>
      <c r="J321" s="19">
        <v>0</v>
      </c>
      <c r="K321" s="167" t="s">
        <v>22</v>
      </c>
      <c r="L321" s="168">
        <v>0</v>
      </c>
      <c r="M321" s="168">
        <v>0</v>
      </c>
      <c r="N321" s="169">
        <f t="shared" si="56"/>
        <v>0</v>
      </c>
      <c r="O321" s="169">
        <f t="shared" si="57"/>
        <v>0</v>
      </c>
      <c r="P321" s="170">
        <f t="shared" si="58"/>
        <v>0</v>
      </c>
      <c r="Q321" s="335"/>
      <c r="S321" s="358" t="s">
        <v>604</v>
      </c>
    </row>
    <row r="322" spans="1:19" ht="23.25" customHeight="1" x14ac:dyDescent="0.5">
      <c r="A322" s="18">
        <f t="shared" si="59"/>
        <v>301</v>
      </c>
      <c r="B322" s="26" t="s">
        <v>82</v>
      </c>
      <c r="C322" s="129" t="s">
        <v>119</v>
      </c>
      <c r="D322" s="72" t="s">
        <v>499</v>
      </c>
      <c r="E322" s="73" t="s">
        <v>120</v>
      </c>
      <c r="F322" s="73"/>
      <c r="G322" s="73" t="s">
        <v>121</v>
      </c>
      <c r="H322" s="73" t="s">
        <v>145</v>
      </c>
      <c r="I322" s="191"/>
      <c r="J322" s="19">
        <v>0</v>
      </c>
      <c r="K322" s="167" t="s">
        <v>22</v>
      </c>
      <c r="L322" s="168">
        <v>0</v>
      </c>
      <c r="M322" s="168">
        <v>0</v>
      </c>
      <c r="N322" s="169">
        <f t="shared" si="56"/>
        <v>0</v>
      </c>
      <c r="O322" s="169">
        <f t="shared" si="57"/>
        <v>0</v>
      </c>
      <c r="P322" s="170">
        <f t="shared" si="58"/>
        <v>0</v>
      </c>
      <c r="Q322" s="335"/>
      <c r="S322" s="358" t="s">
        <v>605</v>
      </c>
    </row>
    <row r="323" spans="1:19" ht="23.25" customHeight="1" x14ac:dyDescent="0.5">
      <c r="A323" s="18">
        <f t="shared" si="59"/>
        <v>302</v>
      </c>
      <c r="B323" s="26" t="s">
        <v>82</v>
      </c>
      <c r="C323" s="129" t="s">
        <v>119</v>
      </c>
      <c r="D323" s="72" t="s">
        <v>91</v>
      </c>
      <c r="E323" s="73" t="s">
        <v>120</v>
      </c>
      <c r="F323" s="73" t="s">
        <v>124</v>
      </c>
      <c r="G323" s="73" t="s">
        <v>121</v>
      </c>
      <c r="H323" s="73" t="s">
        <v>145</v>
      </c>
      <c r="I323" s="191"/>
      <c r="J323" s="19">
        <v>0</v>
      </c>
      <c r="K323" s="167" t="s">
        <v>22</v>
      </c>
      <c r="L323" s="168">
        <v>0</v>
      </c>
      <c r="M323" s="168">
        <v>0</v>
      </c>
      <c r="N323" s="169">
        <f t="shared" si="56"/>
        <v>0</v>
      </c>
      <c r="O323" s="169">
        <f t="shared" si="57"/>
        <v>0</v>
      </c>
      <c r="P323" s="170">
        <f t="shared" si="58"/>
        <v>0</v>
      </c>
      <c r="Q323" s="335"/>
      <c r="S323" s="358" t="s">
        <v>606</v>
      </c>
    </row>
    <row r="324" spans="1:19" ht="23.25" customHeight="1" x14ac:dyDescent="0.5">
      <c r="A324" s="18">
        <f t="shared" si="59"/>
        <v>303</v>
      </c>
      <c r="B324" s="26" t="s">
        <v>82</v>
      </c>
      <c r="C324" s="129" t="s">
        <v>119</v>
      </c>
      <c r="D324" s="72" t="s">
        <v>494</v>
      </c>
      <c r="E324" s="73" t="s">
        <v>120</v>
      </c>
      <c r="F324" s="73"/>
      <c r="G324" s="73" t="s">
        <v>121</v>
      </c>
      <c r="H324" s="73" t="s">
        <v>145</v>
      </c>
      <c r="I324" s="191"/>
      <c r="J324" s="19">
        <v>0</v>
      </c>
      <c r="K324" s="167" t="s">
        <v>22</v>
      </c>
      <c r="L324" s="168">
        <v>0</v>
      </c>
      <c r="M324" s="168">
        <v>0</v>
      </c>
      <c r="N324" s="169">
        <f t="shared" si="56"/>
        <v>0</v>
      </c>
      <c r="O324" s="169">
        <f t="shared" si="57"/>
        <v>0</v>
      </c>
      <c r="P324" s="170">
        <f t="shared" si="58"/>
        <v>0</v>
      </c>
      <c r="Q324" s="335"/>
      <c r="S324" s="358" t="s">
        <v>607</v>
      </c>
    </row>
    <row r="325" spans="1:19" ht="23.25" customHeight="1" x14ac:dyDescent="0.5">
      <c r="A325" s="18">
        <f t="shared" si="59"/>
        <v>304</v>
      </c>
      <c r="B325" s="26" t="s">
        <v>82</v>
      </c>
      <c r="C325" s="129" t="s">
        <v>119</v>
      </c>
      <c r="D325" s="72" t="s">
        <v>125</v>
      </c>
      <c r="E325" s="73" t="s">
        <v>120</v>
      </c>
      <c r="F325" s="73"/>
      <c r="G325" s="73" t="s">
        <v>121</v>
      </c>
      <c r="H325" s="73" t="s">
        <v>145</v>
      </c>
      <c r="I325" s="191"/>
      <c r="J325" s="19">
        <v>0</v>
      </c>
      <c r="K325" s="167" t="s">
        <v>22</v>
      </c>
      <c r="L325" s="168">
        <v>0</v>
      </c>
      <c r="M325" s="168">
        <v>0</v>
      </c>
      <c r="N325" s="169">
        <f t="shared" si="56"/>
        <v>0</v>
      </c>
      <c r="O325" s="169">
        <f t="shared" si="57"/>
        <v>0</v>
      </c>
      <c r="P325" s="170">
        <f t="shared" si="58"/>
        <v>0</v>
      </c>
      <c r="Q325" s="335"/>
      <c r="S325" s="358" t="s">
        <v>608</v>
      </c>
    </row>
    <row r="326" spans="1:19" ht="23.25" customHeight="1" x14ac:dyDescent="0.5">
      <c r="A326" s="18">
        <f t="shared" si="59"/>
        <v>305</v>
      </c>
      <c r="B326" s="26" t="s">
        <v>82</v>
      </c>
      <c r="C326" s="129" t="s">
        <v>119</v>
      </c>
      <c r="D326" s="72" t="s">
        <v>518</v>
      </c>
      <c r="E326" s="73" t="s">
        <v>120</v>
      </c>
      <c r="F326" s="73"/>
      <c r="G326" s="73" t="s">
        <v>121</v>
      </c>
      <c r="H326" s="73" t="s">
        <v>145</v>
      </c>
      <c r="I326" s="191"/>
      <c r="J326" s="19">
        <v>0</v>
      </c>
      <c r="K326" s="167" t="s">
        <v>22</v>
      </c>
      <c r="L326" s="168">
        <v>0</v>
      </c>
      <c r="M326" s="168">
        <v>0</v>
      </c>
      <c r="N326" s="169">
        <f t="shared" si="56"/>
        <v>0</v>
      </c>
      <c r="O326" s="169">
        <f t="shared" si="57"/>
        <v>0</v>
      </c>
      <c r="P326" s="170">
        <f t="shared" si="58"/>
        <v>0</v>
      </c>
      <c r="Q326" s="335"/>
      <c r="S326" s="358" t="s">
        <v>609</v>
      </c>
    </row>
    <row r="327" spans="1:19" ht="23.25" customHeight="1" x14ac:dyDescent="0.5">
      <c r="A327" s="18">
        <f t="shared" si="59"/>
        <v>306</v>
      </c>
      <c r="B327" s="26" t="s">
        <v>82</v>
      </c>
      <c r="C327" s="129" t="s">
        <v>119</v>
      </c>
      <c r="D327" s="72" t="s">
        <v>500</v>
      </c>
      <c r="E327" s="73" t="s">
        <v>120</v>
      </c>
      <c r="F327" s="73"/>
      <c r="G327" s="73" t="s">
        <v>104</v>
      </c>
      <c r="H327" s="73" t="s">
        <v>62</v>
      </c>
      <c r="I327" s="191"/>
      <c r="J327" s="19">
        <v>0</v>
      </c>
      <c r="K327" s="167" t="s">
        <v>22</v>
      </c>
      <c r="L327" s="168">
        <v>0</v>
      </c>
      <c r="M327" s="168">
        <v>0</v>
      </c>
      <c r="N327" s="169">
        <f t="shared" si="56"/>
        <v>0</v>
      </c>
      <c r="O327" s="169">
        <f t="shared" si="57"/>
        <v>0</v>
      </c>
      <c r="P327" s="170">
        <f t="shared" si="58"/>
        <v>0</v>
      </c>
      <c r="Q327" s="335"/>
    </row>
    <row r="328" spans="1:19" ht="23.25" customHeight="1" x14ac:dyDescent="0.5">
      <c r="A328" s="18">
        <f t="shared" si="59"/>
        <v>307</v>
      </c>
      <c r="B328" s="26" t="s">
        <v>82</v>
      </c>
      <c r="C328" s="129" t="s">
        <v>119</v>
      </c>
      <c r="D328" s="72" t="s">
        <v>501</v>
      </c>
      <c r="E328" s="73" t="s">
        <v>120</v>
      </c>
      <c r="F328" s="73"/>
      <c r="G328" s="73" t="s">
        <v>104</v>
      </c>
      <c r="H328" s="73" t="s">
        <v>62</v>
      </c>
      <c r="I328" s="191"/>
      <c r="J328" s="19">
        <v>0</v>
      </c>
      <c r="K328" s="167" t="s">
        <v>22</v>
      </c>
      <c r="L328" s="168">
        <v>0</v>
      </c>
      <c r="M328" s="168">
        <v>0</v>
      </c>
      <c r="N328" s="169">
        <f t="shared" si="56"/>
        <v>0</v>
      </c>
      <c r="O328" s="169">
        <f t="shared" si="57"/>
        <v>0</v>
      </c>
      <c r="P328" s="170">
        <f t="shared" si="58"/>
        <v>0</v>
      </c>
      <c r="Q328" s="335"/>
    </row>
    <row r="329" spans="1:19" ht="23.25" customHeight="1" x14ac:dyDescent="0.5">
      <c r="A329" s="18">
        <f t="shared" si="59"/>
        <v>308</v>
      </c>
      <c r="B329" s="26" t="s">
        <v>82</v>
      </c>
      <c r="C329" s="129" t="s">
        <v>119</v>
      </c>
      <c r="D329" s="72" t="s">
        <v>502</v>
      </c>
      <c r="E329" s="73" t="s">
        <v>120</v>
      </c>
      <c r="F329" s="73"/>
      <c r="G329" s="73" t="s">
        <v>104</v>
      </c>
      <c r="H329" s="73" t="s">
        <v>62</v>
      </c>
      <c r="I329" s="191"/>
      <c r="J329" s="19">
        <v>0</v>
      </c>
      <c r="K329" s="167" t="s">
        <v>22</v>
      </c>
      <c r="L329" s="168">
        <v>0</v>
      </c>
      <c r="M329" s="168">
        <v>0</v>
      </c>
      <c r="N329" s="169">
        <f t="shared" si="56"/>
        <v>0</v>
      </c>
      <c r="O329" s="169">
        <f t="shared" si="57"/>
        <v>0</v>
      </c>
      <c r="P329" s="170">
        <f t="shared" si="58"/>
        <v>0</v>
      </c>
      <c r="Q329" s="335"/>
    </row>
    <row r="330" spans="1:19" ht="23.25" customHeight="1" x14ac:dyDescent="0.5">
      <c r="A330" s="18">
        <f t="shared" si="59"/>
        <v>309</v>
      </c>
      <c r="B330" s="26" t="s">
        <v>82</v>
      </c>
      <c r="C330" s="129" t="s">
        <v>119</v>
      </c>
      <c r="D330" s="72" t="s">
        <v>503</v>
      </c>
      <c r="E330" s="73" t="s">
        <v>120</v>
      </c>
      <c r="F330" s="73"/>
      <c r="G330" s="73" t="s">
        <v>104</v>
      </c>
      <c r="H330" s="73" t="s">
        <v>126</v>
      </c>
      <c r="I330" s="191"/>
      <c r="J330" s="19">
        <v>0</v>
      </c>
      <c r="K330" s="167" t="s">
        <v>22</v>
      </c>
      <c r="L330" s="168">
        <v>0</v>
      </c>
      <c r="M330" s="168">
        <v>0</v>
      </c>
      <c r="N330" s="169">
        <f t="shared" si="56"/>
        <v>0</v>
      </c>
      <c r="O330" s="169">
        <f t="shared" si="57"/>
        <v>0</v>
      </c>
      <c r="P330" s="170">
        <f t="shared" si="58"/>
        <v>0</v>
      </c>
      <c r="Q330" s="335"/>
      <c r="S330" s="358" t="s">
        <v>610</v>
      </c>
    </row>
    <row r="331" spans="1:19" ht="23.25" customHeight="1" x14ac:dyDescent="0.5">
      <c r="A331" s="18">
        <f t="shared" si="59"/>
        <v>310</v>
      </c>
      <c r="B331" s="26" t="s">
        <v>82</v>
      </c>
      <c r="C331" s="129" t="s">
        <v>119</v>
      </c>
      <c r="D331" s="72" t="s">
        <v>503</v>
      </c>
      <c r="E331" s="73" t="s">
        <v>120</v>
      </c>
      <c r="F331" s="73"/>
      <c r="G331" s="73" t="s">
        <v>104</v>
      </c>
      <c r="H331" s="73" t="s">
        <v>127</v>
      </c>
      <c r="I331" s="191"/>
      <c r="J331" s="19">
        <v>0</v>
      </c>
      <c r="K331" s="167" t="s">
        <v>22</v>
      </c>
      <c r="L331" s="168">
        <v>0</v>
      </c>
      <c r="M331" s="168">
        <v>0</v>
      </c>
      <c r="N331" s="169">
        <f t="shared" si="56"/>
        <v>0</v>
      </c>
      <c r="O331" s="169">
        <f t="shared" si="57"/>
        <v>0</v>
      </c>
      <c r="P331" s="170">
        <f t="shared" si="58"/>
        <v>0</v>
      </c>
      <c r="Q331" s="335"/>
      <c r="S331" s="358" t="s">
        <v>610</v>
      </c>
    </row>
    <row r="332" spans="1:19" ht="23.25" customHeight="1" x14ac:dyDescent="0.5">
      <c r="A332" s="18">
        <f t="shared" si="59"/>
        <v>311</v>
      </c>
      <c r="B332" s="26" t="s">
        <v>82</v>
      </c>
      <c r="C332" s="129" t="s">
        <v>119</v>
      </c>
      <c r="D332" s="72" t="s">
        <v>503</v>
      </c>
      <c r="E332" s="73" t="s">
        <v>120</v>
      </c>
      <c r="F332" s="73"/>
      <c r="G332" s="73" t="s">
        <v>104</v>
      </c>
      <c r="H332" s="73" t="s">
        <v>537</v>
      </c>
      <c r="I332" s="191"/>
      <c r="J332" s="19">
        <v>0</v>
      </c>
      <c r="K332" s="167" t="s">
        <v>22</v>
      </c>
      <c r="L332" s="168">
        <v>0</v>
      </c>
      <c r="M332" s="168">
        <v>0</v>
      </c>
      <c r="N332" s="169">
        <f t="shared" si="56"/>
        <v>0</v>
      </c>
      <c r="O332" s="169">
        <f t="shared" si="57"/>
        <v>0</v>
      </c>
      <c r="P332" s="170">
        <f t="shared" si="58"/>
        <v>0</v>
      </c>
      <c r="Q332" s="335"/>
      <c r="S332" s="358" t="s">
        <v>610</v>
      </c>
    </row>
    <row r="333" spans="1:19" ht="23.25" customHeight="1" x14ac:dyDescent="0.5">
      <c r="A333" s="18">
        <f t="shared" si="59"/>
        <v>312</v>
      </c>
      <c r="B333" s="26" t="s">
        <v>82</v>
      </c>
      <c r="C333" s="129" t="s">
        <v>119</v>
      </c>
      <c r="D333" s="72" t="s">
        <v>504</v>
      </c>
      <c r="E333" s="73" t="s">
        <v>128</v>
      </c>
      <c r="F333" s="73"/>
      <c r="G333" s="73"/>
      <c r="H333" s="73" t="s">
        <v>122</v>
      </c>
      <c r="I333" s="191"/>
      <c r="J333" s="19">
        <v>0</v>
      </c>
      <c r="K333" s="167" t="s">
        <v>22</v>
      </c>
      <c r="L333" s="168">
        <v>0</v>
      </c>
      <c r="M333" s="168">
        <v>0</v>
      </c>
      <c r="N333" s="169">
        <f t="shared" si="56"/>
        <v>0</v>
      </c>
      <c r="O333" s="169">
        <f t="shared" si="57"/>
        <v>0</v>
      </c>
      <c r="P333" s="170">
        <f t="shared" si="58"/>
        <v>0</v>
      </c>
      <c r="Q333" s="335"/>
    </row>
    <row r="334" spans="1:19" ht="23.25" customHeight="1" x14ac:dyDescent="0.5">
      <c r="A334" s="18">
        <f t="shared" si="59"/>
        <v>313</v>
      </c>
      <c r="B334" s="26" t="s">
        <v>82</v>
      </c>
      <c r="C334" s="129" t="s">
        <v>119</v>
      </c>
      <c r="D334" s="72" t="s">
        <v>504</v>
      </c>
      <c r="E334" s="73" t="s">
        <v>128</v>
      </c>
      <c r="F334" s="73"/>
      <c r="G334" s="73"/>
      <c r="H334" s="73" t="s">
        <v>129</v>
      </c>
      <c r="I334" s="191"/>
      <c r="J334" s="19">
        <v>0</v>
      </c>
      <c r="K334" s="167" t="s">
        <v>22</v>
      </c>
      <c r="L334" s="168">
        <v>0</v>
      </c>
      <c r="M334" s="168">
        <v>0</v>
      </c>
      <c r="N334" s="169">
        <f t="shared" si="56"/>
        <v>0</v>
      </c>
      <c r="O334" s="169">
        <f t="shared" si="57"/>
        <v>0</v>
      </c>
      <c r="P334" s="170">
        <f t="shared" si="58"/>
        <v>0</v>
      </c>
      <c r="Q334" s="335"/>
    </row>
    <row r="335" spans="1:19" ht="23.25" customHeight="1" x14ac:dyDescent="0.5">
      <c r="A335" s="18">
        <f t="shared" si="59"/>
        <v>314</v>
      </c>
      <c r="B335" s="26" t="s">
        <v>82</v>
      </c>
      <c r="C335" s="129" t="s">
        <v>119</v>
      </c>
      <c r="D335" s="72" t="s">
        <v>504</v>
      </c>
      <c r="E335" s="73" t="s">
        <v>128</v>
      </c>
      <c r="F335" s="73"/>
      <c r="G335" s="73"/>
      <c r="H335" s="73" t="s">
        <v>130</v>
      </c>
      <c r="I335" s="191"/>
      <c r="J335" s="19">
        <v>0</v>
      </c>
      <c r="K335" s="167" t="s">
        <v>22</v>
      </c>
      <c r="L335" s="168">
        <v>0</v>
      </c>
      <c r="M335" s="168">
        <v>0</v>
      </c>
      <c r="N335" s="169">
        <f t="shared" si="56"/>
        <v>0</v>
      </c>
      <c r="O335" s="169">
        <f t="shared" si="57"/>
        <v>0</v>
      </c>
      <c r="P335" s="170">
        <f t="shared" si="58"/>
        <v>0</v>
      </c>
      <c r="Q335" s="335"/>
    </row>
    <row r="336" spans="1:19" ht="23.25" customHeight="1" x14ac:dyDescent="0.5">
      <c r="A336" s="18">
        <f t="shared" si="59"/>
        <v>315</v>
      </c>
      <c r="B336" s="26" t="s">
        <v>82</v>
      </c>
      <c r="C336" s="129" t="s">
        <v>119</v>
      </c>
      <c r="D336" s="72" t="s">
        <v>504</v>
      </c>
      <c r="E336" s="73" t="s">
        <v>131</v>
      </c>
      <c r="F336" s="73"/>
      <c r="G336" s="73"/>
      <c r="H336" s="73" t="s">
        <v>122</v>
      </c>
      <c r="I336" s="191"/>
      <c r="J336" s="19">
        <v>0</v>
      </c>
      <c r="K336" s="167" t="s">
        <v>22</v>
      </c>
      <c r="L336" s="168">
        <v>0</v>
      </c>
      <c r="M336" s="168">
        <v>0</v>
      </c>
      <c r="N336" s="169">
        <f t="shared" si="56"/>
        <v>0</v>
      </c>
      <c r="O336" s="169">
        <f t="shared" si="57"/>
        <v>0</v>
      </c>
      <c r="P336" s="170">
        <f t="shared" si="58"/>
        <v>0</v>
      </c>
      <c r="Q336" s="335"/>
    </row>
    <row r="337" spans="1:19" ht="23.25" customHeight="1" x14ac:dyDescent="0.5">
      <c r="A337" s="18">
        <f t="shared" si="59"/>
        <v>316</v>
      </c>
      <c r="B337" s="26" t="s">
        <v>82</v>
      </c>
      <c r="C337" s="129" t="s">
        <v>119</v>
      </c>
      <c r="D337" s="72" t="s">
        <v>504</v>
      </c>
      <c r="E337" s="73" t="s">
        <v>131</v>
      </c>
      <c r="F337" s="73"/>
      <c r="G337" s="73"/>
      <c r="H337" s="73" t="s">
        <v>129</v>
      </c>
      <c r="I337" s="191"/>
      <c r="J337" s="19">
        <v>0</v>
      </c>
      <c r="K337" s="167" t="s">
        <v>22</v>
      </c>
      <c r="L337" s="168">
        <v>0</v>
      </c>
      <c r="M337" s="168">
        <v>0</v>
      </c>
      <c r="N337" s="169">
        <f t="shared" si="56"/>
        <v>0</v>
      </c>
      <c r="O337" s="169">
        <f t="shared" si="57"/>
        <v>0</v>
      </c>
      <c r="P337" s="170">
        <f t="shared" si="58"/>
        <v>0</v>
      </c>
      <c r="Q337" s="335"/>
    </row>
    <row r="338" spans="1:19" ht="23.25" customHeight="1" x14ac:dyDescent="0.5">
      <c r="A338" s="18">
        <f t="shared" si="59"/>
        <v>317</v>
      </c>
      <c r="B338" s="26" t="s">
        <v>82</v>
      </c>
      <c r="C338" s="129" t="s">
        <v>119</v>
      </c>
      <c r="D338" s="72" t="s">
        <v>504</v>
      </c>
      <c r="E338" s="73" t="s">
        <v>131</v>
      </c>
      <c r="F338" s="73"/>
      <c r="G338" s="73"/>
      <c r="H338" s="73" t="s">
        <v>130</v>
      </c>
      <c r="I338" s="191"/>
      <c r="J338" s="19">
        <v>0</v>
      </c>
      <c r="K338" s="167" t="s">
        <v>22</v>
      </c>
      <c r="L338" s="168">
        <v>0</v>
      </c>
      <c r="M338" s="168">
        <v>0</v>
      </c>
      <c r="N338" s="169">
        <f t="shared" si="56"/>
        <v>0</v>
      </c>
      <c r="O338" s="169">
        <f t="shared" si="57"/>
        <v>0</v>
      </c>
      <c r="P338" s="170">
        <f t="shared" si="58"/>
        <v>0</v>
      </c>
      <c r="Q338" s="335"/>
    </row>
    <row r="339" spans="1:19" ht="23.25" customHeight="1" x14ac:dyDescent="0.5">
      <c r="A339" s="18">
        <f t="shared" si="59"/>
        <v>318</v>
      </c>
      <c r="B339" s="26" t="s">
        <v>82</v>
      </c>
      <c r="C339" s="129" t="s">
        <v>119</v>
      </c>
      <c r="D339" s="72" t="s">
        <v>40</v>
      </c>
      <c r="E339" s="73" t="s">
        <v>41</v>
      </c>
      <c r="F339" s="73"/>
      <c r="G339" s="73" t="s">
        <v>42</v>
      </c>
      <c r="H339" s="73" t="s">
        <v>132</v>
      </c>
      <c r="I339" s="191"/>
      <c r="J339" s="19">
        <v>0</v>
      </c>
      <c r="K339" s="167" t="s">
        <v>34</v>
      </c>
      <c r="L339" s="168">
        <v>0</v>
      </c>
      <c r="M339" s="168">
        <v>0</v>
      </c>
      <c r="N339" s="169">
        <f t="shared" si="56"/>
        <v>0</v>
      </c>
      <c r="O339" s="169">
        <f t="shared" si="57"/>
        <v>0</v>
      </c>
      <c r="P339" s="170">
        <f t="shared" si="58"/>
        <v>0</v>
      </c>
      <c r="Q339" s="335"/>
      <c r="S339" s="358" t="s">
        <v>583</v>
      </c>
    </row>
    <row r="340" spans="1:19" ht="23.25" customHeight="1" x14ac:dyDescent="0.5">
      <c r="A340" s="18">
        <f t="shared" si="59"/>
        <v>319</v>
      </c>
      <c r="B340" s="26" t="s">
        <v>82</v>
      </c>
      <c r="C340" s="129" t="s">
        <v>119</v>
      </c>
      <c r="D340" s="72" t="s">
        <v>40</v>
      </c>
      <c r="E340" s="73" t="s">
        <v>41</v>
      </c>
      <c r="F340" s="73"/>
      <c r="G340" s="73" t="s">
        <v>42</v>
      </c>
      <c r="H340" s="73" t="s">
        <v>133</v>
      </c>
      <c r="I340" s="191"/>
      <c r="J340" s="19">
        <v>0</v>
      </c>
      <c r="K340" s="167" t="s">
        <v>34</v>
      </c>
      <c r="L340" s="168">
        <v>0</v>
      </c>
      <c r="M340" s="168">
        <v>0</v>
      </c>
      <c r="N340" s="169">
        <f t="shared" si="56"/>
        <v>0</v>
      </c>
      <c r="O340" s="169">
        <f t="shared" si="57"/>
        <v>0</v>
      </c>
      <c r="P340" s="170">
        <f t="shared" si="58"/>
        <v>0</v>
      </c>
      <c r="Q340" s="335"/>
      <c r="S340" s="358" t="s">
        <v>583</v>
      </c>
    </row>
    <row r="341" spans="1:19" ht="23.25" customHeight="1" x14ac:dyDescent="0.5">
      <c r="A341" s="18">
        <f t="shared" si="59"/>
        <v>320</v>
      </c>
      <c r="B341" s="26" t="s">
        <v>82</v>
      </c>
      <c r="C341" s="129" t="s">
        <v>119</v>
      </c>
      <c r="D341" s="72" t="s">
        <v>505</v>
      </c>
      <c r="E341" s="73" t="s">
        <v>41</v>
      </c>
      <c r="F341" s="73"/>
      <c r="G341" s="73" t="s">
        <v>42</v>
      </c>
      <c r="H341" s="73" t="s">
        <v>62</v>
      </c>
      <c r="I341" s="191"/>
      <c r="J341" s="19">
        <v>0</v>
      </c>
      <c r="K341" s="167" t="s">
        <v>22</v>
      </c>
      <c r="L341" s="168">
        <v>0</v>
      </c>
      <c r="M341" s="168">
        <v>0</v>
      </c>
      <c r="N341" s="169">
        <f t="shared" si="56"/>
        <v>0</v>
      </c>
      <c r="O341" s="169">
        <f t="shared" si="57"/>
        <v>0</v>
      </c>
      <c r="P341" s="170">
        <f t="shared" si="58"/>
        <v>0</v>
      </c>
      <c r="Q341" s="335"/>
    </row>
    <row r="342" spans="1:19" ht="23.25" customHeight="1" x14ac:dyDescent="0.5">
      <c r="A342" s="18">
        <f t="shared" si="59"/>
        <v>321</v>
      </c>
      <c r="B342" s="26" t="s">
        <v>82</v>
      </c>
      <c r="C342" s="135" t="s">
        <v>119</v>
      </c>
      <c r="D342" s="72" t="s">
        <v>498</v>
      </c>
      <c r="E342" s="73"/>
      <c r="F342" s="73"/>
      <c r="G342" s="73"/>
      <c r="H342" s="73"/>
      <c r="I342" s="191"/>
      <c r="J342" s="19">
        <v>0</v>
      </c>
      <c r="K342" s="167" t="s">
        <v>22</v>
      </c>
      <c r="L342" s="168">
        <v>0</v>
      </c>
      <c r="M342" s="168">
        <v>0</v>
      </c>
      <c r="N342" s="169">
        <f t="shared" si="56"/>
        <v>0</v>
      </c>
      <c r="O342" s="169">
        <f t="shared" si="57"/>
        <v>0</v>
      </c>
      <c r="P342" s="170">
        <f t="shared" si="58"/>
        <v>0</v>
      </c>
      <c r="Q342" s="335"/>
    </row>
    <row r="343" spans="1:19" ht="23.25" customHeight="1" x14ac:dyDescent="0.5">
      <c r="A343" s="18">
        <f t="shared" si="59"/>
        <v>322</v>
      </c>
      <c r="B343" s="26" t="s">
        <v>82</v>
      </c>
      <c r="C343" s="135" t="s">
        <v>119</v>
      </c>
      <c r="D343" s="43" t="s">
        <v>358</v>
      </c>
      <c r="E343" s="5"/>
      <c r="F343" s="5"/>
      <c r="G343" s="5"/>
      <c r="H343" s="5"/>
      <c r="I343" s="20"/>
      <c r="J343" s="19">
        <f>I343</f>
        <v>0</v>
      </c>
      <c r="K343" s="171"/>
      <c r="L343" s="168">
        <v>0</v>
      </c>
      <c r="M343" s="168">
        <v>0</v>
      </c>
      <c r="N343" s="169">
        <f>L343*J343</f>
        <v>0</v>
      </c>
      <c r="O343" s="169">
        <f>M343*J343</f>
        <v>0</v>
      </c>
      <c r="P343" s="170">
        <f>(L343*J343)+(M343*J343)</f>
        <v>0</v>
      </c>
      <c r="Q343" s="326"/>
    </row>
    <row r="344" spans="1:19" ht="23.25" customHeight="1" thickBot="1" x14ac:dyDescent="0.55000000000000004">
      <c r="A344" s="38">
        <f>A343+1</f>
        <v>323</v>
      </c>
      <c r="B344" s="39" t="s">
        <v>82</v>
      </c>
      <c r="C344" s="136" t="s">
        <v>119</v>
      </c>
      <c r="D344" s="44" t="s">
        <v>358</v>
      </c>
      <c r="E344" s="40"/>
      <c r="F344" s="40"/>
      <c r="G344" s="40"/>
      <c r="H344" s="40"/>
      <c r="I344" s="41"/>
      <c r="J344" s="24">
        <f>I344</f>
        <v>0</v>
      </c>
      <c r="K344" s="194"/>
      <c r="L344" s="195">
        <v>0</v>
      </c>
      <c r="M344" s="195">
        <v>0</v>
      </c>
      <c r="N344" s="196">
        <f>L344*J344</f>
        <v>0</v>
      </c>
      <c r="O344" s="196">
        <f>M344*J344</f>
        <v>0</v>
      </c>
      <c r="P344" s="197">
        <f>(L344*J344)+(M344*J344)</f>
        <v>0</v>
      </c>
      <c r="Q344" s="328"/>
    </row>
    <row r="345" spans="1:19" ht="23.25" customHeight="1" x14ac:dyDescent="0.5">
      <c r="A345" s="28"/>
      <c r="B345" s="35" t="s">
        <v>28</v>
      </c>
      <c r="C345" s="127" t="s">
        <v>134</v>
      </c>
      <c r="D345" s="148" t="s">
        <v>28</v>
      </c>
      <c r="E345" s="149"/>
      <c r="F345" s="149"/>
      <c r="G345" s="149"/>
      <c r="H345" s="150"/>
      <c r="I345" s="150"/>
      <c r="J345" s="198"/>
      <c r="K345" s="153"/>
      <c r="L345" s="199"/>
      <c r="M345" s="199"/>
      <c r="N345" s="200"/>
      <c r="O345" s="200"/>
      <c r="P345" s="155"/>
      <c r="Q345" s="343"/>
    </row>
    <row r="346" spans="1:19" ht="23.25" customHeight="1" thickBot="1" x14ac:dyDescent="0.55000000000000004">
      <c r="A346" s="38"/>
      <c r="B346" s="39" t="s">
        <v>28</v>
      </c>
      <c r="C346" s="128" t="s">
        <v>134</v>
      </c>
      <c r="D346" s="201" t="s">
        <v>134</v>
      </c>
      <c r="E346" s="229"/>
      <c r="F346" s="229"/>
      <c r="G346" s="229"/>
      <c r="H346" s="229"/>
      <c r="I346" s="230"/>
      <c r="J346" s="231"/>
      <c r="K346" s="232"/>
      <c r="L346" s="233"/>
      <c r="M346" s="233"/>
      <c r="N346" s="234"/>
      <c r="O346" s="234"/>
      <c r="P346" s="208"/>
      <c r="Q346" s="344"/>
    </row>
    <row r="347" spans="1:19" ht="23.25" customHeight="1" x14ac:dyDescent="0.5">
      <c r="A347" s="28">
        <f>A344+1</f>
        <v>324</v>
      </c>
      <c r="B347" s="35" t="s">
        <v>28</v>
      </c>
      <c r="C347" s="127" t="s">
        <v>134</v>
      </c>
      <c r="D347" s="77" t="s">
        <v>40</v>
      </c>
      <c r="E347" s="78" t="s">
        <v>65</v>
      </c>
      <c r="F347" s="78"/>
      <c r="G347" s="78" t="s">
        <v>393</v>
      </c>
      <c r="H347" s="78" t="s">
        <v>135</v>
      </c>
      <c r="I347" s="189"/>
      <c r="J347" s="32">
        <v>0</v>
      </c>
      <c r="K347" s="190" t="s">
        <v>51</v>
      </c>
      <c r="L347" s="185">
        <v>0</v>
      </c>
      <c r="M347" s="185">
        <v>0</v>
      </c>
      <c r="N347" s="186">
        <f t="shared" ref="N347:N389" si="60">L347*J347</f>
        <v>0</v>
      </c>
      <c r="O347" s="186">
        <f t="shared" ref="O347:O389" si="61">M347*J347</f>
        <v>0</v>
      </c>
      <c r="P347" s="187">
        <f t="shared" ref="P347:P389" si="62">(L347*J347)+(M347*J347)</f>
        <v>0</v>
      </c>
      <c r="Q347" s="336"/>
    </row>
    <row r="348" spans="1:19" ht="23.25" customHeight="1" x14ac:dyDescent="0.5">
      <c r="A348" s="18">
        <f>A347+1</f>
        <v>325</v>
      </c>
      <c r="B348" s="26" t="s">
        <v>28</v>
      </c>
      <c r="C348" s="129" t="s">
        <v>134</v>
      </c>
      <c r="D348" s="72" t="s">
        <v>493</v>
      </c>
      <c r="E348" s="73" t="s">
        <v>65</v>
      </c>
      <c r="F348" s="73"/>
      <c r="G348" s="73"/>
      <c r="H348" s="73" t="s">
        <v>135</v>
      </c>
      <c r="I348" s="191"/>
      <c r="J348" s="19">
        <v>0</v>
      </c>
      <c r="K348" s="167" t="s">
        <v>22</v>
      </c>
      <c r="L348" s="168">
        <v>0</v>
      </c>
      <c r="M348" s="168">
        <v>0</v>
      </c>
      <c r="N348" s="169">
        <f t="shared" si="60"/>
        <v>0</v>
      </c>
      <c r="O348" s="169">
        <f t="shared" si="61"/>
        <v>0</v>
      </c>
      <c r="P348" s="170">
        <f t="shared" si="62"/>
        <v>0</v>
      </c>
      <c r="Q348" s="335"/>
    </row>
    <row r="349" spans="1:19" ht="23.25" customHeight="1" x14ac:dyDescent="0.5">
      <c r="A349" s="18">
        <f t="shared" ref="A349:A391" si="63">A348+1</f>
        <v>326</v>
      </c>
      <c r="B349" s="26" t="s">
        <v>28</v>
      </c>
      <c r="C349" s="129" t="s">
        <v>134</v>
      </c>
      <c r="D349" s="72" t="s">
        <v>519</v>
      </c>
      <c r="E349" s="73" t="s">
        <v>65</v>
      </c>
      <c r="F349" s="73"/>
      <c r="G349" s="73"/>
      <c r="H349" s="73" t="s">
        <v>135</v>
      </c>
      <c r="I349" s="191"/>
      <c r="J349" s="19">
        <v>0</v>
      </c>
      <c r="K349" s="167" t="s">
        <v>22</v>
      </c>
      <c r="L349" s="168">
        <v>0</v>
      </c>
      <c r="M349" s="168">
        <v>0</v>
      </c>
      <c r="N349" s="169">
        <f t="shared" si="60"/>
        <v>0</v>
      </c>
      <c r="O349" s="169">
        <f t="shared" si="61"/>
        <v>0</v>
      </c>
      <c r="P349" s="170">
        <f t="shared" si="62"/>
        <v>0</v>
      </c>
      <c r="Q349" s="335"/>
    </row>
    <row r="350" spans="1:19" ht="23.25" customHeight="1" x14ac:dyDescent="0.5">
      <c r="A350" s="18">
        <f t="shared" si="63"/>
        <v>327</v>
      </c>
      <c r="B350" s="26" t="s">
        <v>28</v>
      </c>
      <c r="C350" s="129" t="s">
        <v>134</v>
      </c>
      <c r="D350" s="72" t="s">
        <v>53</v>
      </c>
      <c r="E350" s="73" t="s">
        <v>65</v>
      </c>
      <c r="F350" s="73"/>
      <c r="G350" s="73"/>
      <c r="H350" s="73" t="s">
        <v>135</v>
      </c>
      <c r="I350" s="191"/>
      <c r="J350" s="19">
        <v>0</v>
      </c>
      <c r="K350" s="167" t="s">
        <v>22</v>
      </c>
      <c r="L350" s="168">
        <v>0</v>
      </c>
      <c r="M350" s="168">
        <v>0</v>
      </c>
      <c r="N350" s="169">
        <f t="shared" si="60"/>
        <v>0</v>
      </c>
      <c r="O350" s="169">
        <f t="shared" si="61"/>
        <v>0</v>
      </c>
      <c r="P350" s="170">
        <f t="shared" si="62"/>
        <v>0</v>
      </c>
      <c r="Q350" s="335"/>
    </row>
    <row r="351" spans="1:19" ht="23.25" customHeight="1" x14ac:dyDescent="0.5">
      <c r="A351" s="18">
        <f t="shared" si="63"/>
        <v>328</v>
      </c>
      <c r="B351" s="26" t="s">
        <v>28</v>
      </c>
      <c r="C351" s="129" t="s">
        <v>134</v>
      </c>
      <c r="D351" s="72" t="s">
        <v>506</v>
      </c>
      <c r="E351" s="73" t="s">
        <v>65</v>
      </c>
      <c r="F351" s="73"/>
      <c r="G351" s="73" t="s">
        <v>394</v>
      </c>
      <c r="H351" s="73" t="s">
        <v>135</v>
      </c>
      <c r="I351" s="191"/>
      <c r="J351" s="19">
        <v>0</v>
      </c>
      <c r="K351" s="167" t="s">
        <v>22</v>
      </c>
      <c r="L351" s="168">
        <v>0</v>
      </c>
      <c r="M351" s="168">
        <v>0</v>
      </c>
      <c r="N351" s="169">
        <f t="shared" si="60"/>
        <v>0</v>
      </c>
      <c r="O351" s="169">
        <f t="shared" si="61"/>
        <v>0</v>
      </c>
      <c r="P351" s="170">
        <f t="shared" si="62"/>
        <v>0</v>
      </c>
      <c r="Q351" s="335"/>
    </row>
    <row r="352" spans="1:19" ht="23.25" customHeight="1" x14ac:dyDescent="0.5">
      <c r="A352" s="18">
        <f t="shared" si="63"/>
        <v>329</v>
      </c>
      <c r="B352" s="26" t="s">
        <v>28</v>
      </c>
      <c r="C352" s="129" t="s">
        <v>134</v>
      </c>
      <c r="D352" s="72" t="s">
        <v>40</v>
      </c>
      <c r="E352" s="73" t="s">
        <v>65</v>
      </c>
      <c r="F352" s="73"/>
      <c r="G352" s="73" t="s">
        <v>393</v>
      </c>
      <c r="H352" s="73" t="s">
        <v>136</v>
      </c>
      <c r="I352" s="191"/>
      <c r="J352" s="19">
        <v>0</v>
      </c>
      <c r="K352" s="167" t="s">
        <v>51</v>
      </c>
      <c r="L352" s="168">
        <v>0</v>
      </c>
      <c r="M352" s="168">
        <v>0</v>
      </c>
      <c r="N352" s="169">
        <f t="shared" si="60"/>
        <v>0</v>
      </c>
      <c r="O352" s="169">
        <f t="shared" si="61"/>
        <v>0</v>
      </c>
      <c r="P352" s="170">
        <f t="shared" si="62"/>
        <v>0</v>
      </c>
      <c r="Q352" s="335"/>
    </row>
    <row r="353" spans="1:17" ht="23.25" customHeight="1" x14ac:dyDescent="0.5">
      <c r="A353" s="18">
        <f t="shared" si="63"/>
        <v>330</v>
      </c>
      <c r="B353" s="26" t="s">
        <v>28</v>
      </c>
      <c r="C353" s="129" t="s">
        <v>134</v>
      </c>
      <c r="D353" s="72" t="s">
        <v>493</v>
      </c>
      <c r="E353" s="73" t="s">
        <v>65</v>
      </c>
      <c r="F353" s="73"/>
      <c r="G353" s="73"/>
      <c r="H353" s="73" t="s">
        <v>136</v>
      </c>
      <c r="I353" s="191"/>
      <c r="J353" s="19">
        <v>0</v>
      </c>
      <c r="K353" s="167" t="s">
        <v>22</v>
      </c>
      <c r="L353" s="168">
        <v>0</v>
      </c>
      <c r="M353" s="168">
        <v>0</v>
      </c>
      <c r="N353" s="169">
        <f t="shared" si="60"/>
        <v>0</v>
      </c>
      <c r="O353" s="169">
        <f t="shared" si="61"/>
        <v>0</v>
      </c>
      <c r="P353" s="170">
        <f t="shared" si="62"/>
        <v>0</v>
      </c>
      <c r="Q353" s="335"/>
    </row>
    <row r="354" spans="1:17" ht="23.25" customHeight="1" x14ac:dyDescent="0.5">
      <c r="A354" s="18">
        <f t="shared" si="63"/>
        <v>331</v>
      </c>
      <c r="B354" s="26" t="s">
        <v>28</v>
      </c>
      <c r="C354" s="129" t="s">
        <v>134</v>
      </c>
      <c r="D354" s="72" t="s">
        <v>519</v>
      </c>
      <c r="E354" s="73" t="s">
        <v>65</v>
      </c>
      <c r="F354" s="73"/>
      <c r="G354" s="73"/>
      <c r="H354" s="73" t="s">
        <v>136</v>
      </c>
      <c r="I354" s="191"/>
      <c r="J354" s="19">
        <v>0</v>
      </c>
      <c r="K354" s="167" t="s">
        <v>22</v>
      </c>
      <c r="L354" s="168">
        <v>0</v>
      </c>
      <c r="M354" s="168">
        <v>0</v>
      </c>
      <c r="N354" s="169">
        <f t="shared" si="60"/>
        <v>0</v>
      </c>
      <c r="O354" s="169">
        <f t="shared" si="61"/>
        <v>0</v>
      </c>
      <c r="P354" s="170">
        <f t="shared" si="62"/>
        <v>0</v>
      </c>
      <c r="Q354" s="335"/>
    </row>
    <row r="355" spans="1:17" ht="23.25" customHeight="1" x14ac:dyDescent="0.5">
      <c r="A355" s="18">
        <f t="shared" si="63"/>
        <v>332</v>
      </c>
      <c r="B355" s="26" t="s">
        <v>28</v>
      </c>
      <c r="C355" s="129" t="s">
        <v>134</v>
      </c>
      <c r="D355" s="72" t="s">
        <v>53</v>
      </c>
      <c r="E355" s="73" t="s">
        <v>65</v>
      </c>
      <c r="F355" s="73"/>
      <c r="G355" s="73"/>
      <c r="H355" s="73" t="s">
        <v>136</v>
      </c>
      <c r="I355" s="191"/>
      <c r="J355" s="19">
        <v>0</v>
      </c>
      <c r="K355" s="167" t="s">
        <v>22</v>
      </c>
      <c r="L355" s="168">
        <v>0</v>
      </c>
      <c r="M355" s="168">
        <v>0</v>
      </c>
      <c r="N355" s="169">
        <f t="shared" si="60"/>
        <v>0</v>
      </c>
      <c r="O355" s="169">
        <f t="shared" si="61"/>
        <v>0</v>
      </c>
      <c r="P355" s="170">
        <f t="shared" si="62"/>
        <v>0</v>
      </c>
      <c r="Q355" s="335"/>
    </row>
    <row r="356" spans="1:17" ht="23.25" customHeight="1" x14ac:dyDescent="0.5">
      <c r="A356" s="18">
        <f t="shared" si="63"/>
        <v>333</v>
      </c>
      <c r="B356" s="26" t="s">
        <v>28</v>
      </c>
      <c r="C356" s="129" t="s">
        <v>134</v>
      </c>
      <c r="D356" s="72" t="s">
        <v>506</v>
      </c>
      <c r="E356" s="73" t="s">
        <v>65</v>
      </c>
      <c r="F356" s="73"/>
      <c r="G356" s="73" t="s">
        <v>394</v>
      </c>
      <c r="H356" s="73" t="s">
        <v>136</v>
      </c>
      <c r="I356" s="191"/>
      <c r="J356" s="19">
        <v>0</v>
      </c>
      <c r="K356" s="167" t="s">
        <v>22</v>
      </c>
      <c r="L356" s="168">
        <v>0</v>
      </c>
      <c r="M356" s="168">
        <v>0</v>
      </c>
      <c r="N356" s="169">
        <f t="shared" si="60"/>
        <v>0</v>
      </c>
      <c r="O356" s="169">
        <f t="shared" si="61"/>
        <v>0</v>
      </c>
      <c r="P356" s="170">
        <f t="shared" si="62"/>
        <v>0</v>
      </c>
      <c r="Q356" s="335"/>
    </row>
    <row r="357" spans="1:17" ht="23.25" customHeight="1" x14ac:dyDescent="0.5">
      <c r="A357" s="18">
        <f t="shared" si="63"/>
        <v>334</v>
      </c>
      <c r="B357" s="26" t="s">
        <v>28</v>
      </c>
      <c r="C357" s="129" t="s">
        <v>134</v>
      </c>
      <c r="D357" s="72" t="s">
        <v>40</v>
      </c>
      <c r="E357" s="73" t="s">
        <v>65</v>
      </c>
      <c r="F357" s="73"/>
      <c r="G357" s="73" t="s">
        <v>393</v>
      </c>
      <c r="H357" s="73" t="s">
        <v>137</v>
      </c>
      <c r="I357" s="191"/>
      <c r="J357" s="19">
        <v>0</v>
      </c>
      <c r="K357" s="167" t="s">
        <v>51</v>
      </c>
      <c r="L357" s="168">
        <v>0</v>
      </c>
      <c r="M357" s="168">
        <v>0</v>
      </c>
      <c r="N357" s="169">
        <f t="shared" si="60"/>
        <v>0</v>
      </c>
      <c r="O357" s="169">
        <f t="shared" si="61"/>
        <v>0</v>
      </c>
      <c r="P357" s="170">
        <f t="shared" si="62"/>
        <v>0</v>
      </c>
      <c r="Q357" s="335"/>
    </row>
    <row r="358" spans="1:17" ht="23.25" customHeight="1" x14ac:dyDescent="0.5">
      <c r="A358" s="18">
        <f t="shared" si="63"/>
        <v>335</v>
      </c>
      <c r="B358" s="26" t="s">
        <v>28</v>
      </c>
      <c r="C358" s="129" t="s">
        <v>134</v>
      </c>
      <c r="D358" s="72" t="s">
        <v>493</v>
      </c>
      <c r="E358" s="73" t="s">
        <v>65</v>
      </c>
      <c r="F358" s="73"/>
      <c r="G358" s="73"/>
      <c r="H358" s="73" t="s">
        <v>137</v>
      </c>
      <c r="I358" s="191"/>
      <c r="J358" s="19">
        <v>0</v>
      </c>
      <c r="K358" s="167" t="s">
        <v>22</v>
      </c>
      <c r="L358" s="168">
        <v>0</v>
      </c>
      <c r="M358" s="168">
        <v>0</v>
      </c>
      <c r="N358" s="169">
        <f t="shared" si="60"/>
        <v>0</v>
      </c>
      <c r="O358" s="169">
        <f t="shared" si="61"/>
        <v>0</v>
      </c>
      <c r="P358" s="170">
        <f t="shared" si="62"/>
        <v>0</v>
      </c>
      <c r="Q358" s="335"/>
    </row>
    <row r="359" spans="1:17" ht="23.25" customHeight="1" x14ac:dyDescent="0.5">
      <c r="A359" s="18">
        <f t="shared" si="63"/>
        <v>336</v>
      </c>
      <c r="B359" s="26" t="s">
        <v>28</v>
      </c>
      <c r="C359" s="129" t="s">
        <v>134</v>
      </c>
      <c r="D359" s="72" t="s">
        <v>519</v>
      </c>
      <c r="E359" s="73" t="s">
        <v>65</v>
      </c>
      <c r="F359" s="73"/>
      <c r="G359" s="73"/>
      <c r="H359" s="73" t="s">
        <v>137</v>
      </c>
      <c r="I359" s="191"/>
      <c r="J359" s="19">
        <v>0</v>
      </c>
      <c r="K359" s="167" t="s">
        <v>22</v>
      </c>
      <c r="L359" s="168">
        <v>0</v>
      </c>
      <c r="M359" s="168">
        <v>0</v>
      </c>
      <c r="N359" s="169">
        <f t="shared" si="60"/>
        <v>0</v>
      </c>
      <c r="O359" s="169">
        <f t="shared" si="61"/>
        <v>0</v>
      </c>
      <c r="P359" s="170">
        <f t="shared" si="62"/>
        <v>0</v>
      </c>
      <c r="Q359" s="335"/>
    </row>
    <row r="360" spans="1:17" ht="23.25" customHeight="1" x14ac:dyDescent="0.5">
      <c r="A360" s="18">
        <f t="shared" si="63"/>
        <v>337</v>
      </c>
      <c r="B360" s="26" t="s">
        <v>28</v>
      </c>
      <c r="C360" s="129" t="s">
        <v>134</v>
      </c>
      <c r="D360" s="72" t="s">
        <v>53</v>
      </c>
      <c r="E360" s="73" t="s">
        <v>65</v>
      </c>
      <c r="F360" s="73"/>
      <c r="G360" s="73"/>
      <c r="H360" s="73" t="s">
        <v>137</v>
      </c>
      <c r="I360" s="191"/>
      <c r="J360" s="19">
        <v>0</v>
      </c>
      <c r="K360" s="167" t="s">
        <v>22</v>
      </c>
      <c r="L360" s="168">
        <v>0</v>
      </c>
      <c r="M360" s="168">
        <v>0</v>
      </c>
      <c r="N360" s="169">
        <f t="shared" si="60"/>
        <v>0</v>
      </c>
      <c r="O360" s="169">
        <f t="shared" si="61"/>
        <v>0</v>
      </c>
      <c r="P360" s="170">
        <f t="shared" si="62"/>
        <v>0</v>
      </c>
      <c r="Q360" s="335"/>
    </row>
    <row r="361" spans="1:17" ht="23.25" customHeight="1" x14ac:dyDescent="0.5">
      <c r="A361" s="18">
        <f t="shared" si="63"/>
        <v>338</v>
      </c>
      <c r="B361" s="26" t="s">
        <v>28</v>
      </c>
      <c r="C361" s="129" t="s">
        <v>134</v>
      </c>
      <c r="D361" s="72" t="s">
        <v>506</v>
      </c>
      <c r="E361" s="73" t="s">
        <v>65</v>
      </c>
      <c r="F361" s="73"/>
      <c r="G361" s="73" t="s">
        <v>394</v>
      </c>
      <c r="H361" s="73" t="s">
        <v>137</v>
      </c>
      <c r="I361" s="191"/>
      <c r="J361" s="19">
        <v>0</v>
      </c>
      <c r="K361" s="167" t="s">
        <v>22</v>
      </c>
      <c r="L361" s="168">
        <v>0</v>
      </c>
      <c r="M361" s="168">
        <v>0</v>
      </c>
      <c r="N361" s="169">
        <f t="shared" si="60"/>
        <v>0</v>
      </c>
      <c r="O361" s="169">
        <f t="shared" si="61"/>
        <v>0</v>
      </c>
      <c r="P361" s="170">
        <f t="shared" si="62"/>
        <v>0</v>
      </c>
      <c r="Q361" s="335"/>
    </row>
    <row r="362" spans="1:17" ht="23.25" customHeight="1" x14ac:dyDescent="0.5">
      <c r="A362" s="18">
        <f t="shared" si="63"/>
        <v>339</v>
      </c>
      <c r="B362" s="26" t="s">
        <v>28</v>
      </c>
      <c r="C362" s="129" t="s">
        <v>134</v>
      </c>
      <c r="D362" s="72" t="s">
        <v>40</v>
      </c>
      <c r="E362" s="73" t="s">
        <v>65</v>
      </c>
      <c r="F362" s="73"/>
      <c r="G362" s="73" t="s">
        <v>393</v>
      </c>
      <c r="H362" s="73" t="s">
        <v>138</v>
      </c>
      <c r="I362" s="191"/>
      <c r="J362" s="19">
        <v>0</v>
      </c>
      <c r="K362" s="167" t="s">
        <v>51</v>
      </c>
      <c r="L362" s="168">
        <v>0</v>
      </c>
      <c r="M362" s="168">
        <v>0</v>
      </c>
      <c r="N362" s="169">
        <f t="shared" si="60"/>
        <v>0</v>
      </c>
      <c r="O362" s="169">
        <f t="shared" si="61"/>
        <v>0</v>
      </c>
      <c r="P362" s="170">
        <f t="shared" si="62"/>
        <v>0</v>
      </c>
      <c r="Q362" s="335"/>
    </row>
    <row r="363" spans="1:17" ht="23.25" customHeight="1" x14ac:dyDescent="0.5">
      <c r="A363" s="18">
        <f t="shared" si="63"/>
        <v>340</v>
      </c>
      <c r="B363" s="26" t="s">
        <v>28</v>
      </c>
      <c r="C363" s="129" t="s">
        <v>134</v>
      </c>
      <c r="D363" s="72" t="s">
        <v>493</v>
      </c>
      <c r="E363" s="73" t="s">
        <v>65</v>
      </c>
      <c r="F363" s="73"/>
      <c r="G363" s="73"/>
      <c r="H363" s="73" t="s">
        <v>138</v>
      </c>
      <c r="I363" s="191"/>
      <c r="J363" s="19">
        <v>0</v>
      </c>
      <c r="K363" s="167" t="s">
        <v>22</v>
      </c>
      <c r="L363" s="168">
        <v>0</v>
      </c>
      <c r="M363" s="168">
        <v>0</v>
      </c>
      <c r="N363" s="169">
        <f t="shared" si="60"/>
        <v>0</v>
      </c>
      <c r="O363" s="169">
        <f t="shared" si="61"/>
        <v>0</v>
      </c>
      <c r="P363" s="170">
        <f t="shared" si="62"/>
        <v>0</v>
      </c>
      <c r="Q363" s="335"/>
    </row>
    <row r="364" spans="1:17" ht="23.25" customHeight="1" x14ac:dyDescent="0.5">
      <c r="A364" s="18">
        <f t="shared" si="63"/>
        <v>341</v>
      </c>
      <c r="B364" s="26" t="s">
        <v>28</v>
      </c>
      <c r="C364" s="129" t="s">
        <v>134</v>
      </c>
      <c r="D364" s="72" t="s">
        <v>519</v>
      </c>
      <c r="E364" s="73" t="s">
        <v>65</v>
      </c>
      <c r="F364" s="73"/>
      <c r="G364" s="73"/>
      <c r="H364" s="73" t="s">
        <v>138</v>
      </c>
      <c r="I364" s="191"/>
      <c r="J364" s="19">
        <v>0</v>
      </c>
      <c r="K364" s="167" t="s">
        <v>22</v>
      </c>
      <c r="L364" s="168">
        <v>0</v>
      </c>
      <c r="M364" s="168">
        <v>0</v>
      </c>
      <c r="N364" s="169">
        <f t="shared" si="60"/>
        <v>0</v>
      </c>
      <c r="O364" s="169">
        <f t="shared" si="61"/>
        <v>0</v>
      </c>
      <c r="P364" s="170">
        <f t="shared" si="62"/>
        <v>0</v>
      </c>
      <c r="Q364" s="335"/>
    </row>
    <row r="365" spans="1:17" ht="23.25" customHeight="1" x14ac:dyDescent="0.5">
      <c r="A365" s="18">
        <f t="shared" si="63"/>
        <v>342</v>
      </c>
      <c r="B365" s="26" t="s">
        <v>28</v>
      </c>
      <c r="C365" s="129" t="s">
        <v>134</v>
      </c>
      <c r="D365" s="72" t="s">
        <v>53</v>
      </c>
      <c r="E365" s="73" t="s">
        <v>65</v>
      </c>
      <c r="F365" s="73"/>
      <c r="G365" s="73"/>
      <c r="H365" s="73" t="s">
        <v>138</v>
      </c>
      <c r="I365" s="191"/>
      <c r="J365" s="19">
        <v>0</v>
      </c>
      <c r="K365" s="167" t="s">
        <v>22</v>
      </c>
      <c r="L365" s="168">
        <v>0</v>
      </c>
      <c r="M365" s="168">
        <v>0</v>
      </c>
      <c r="N365" s="169">
        <f t="shared" si="60"/>
        <v>0</v>
      </c>
      <c r="O365" s="169">
        <f t="shared" si="61"/>
        <v>0</v>
      </c>
      <c r="P365" s="170">
        <f t="shared" si="62"/>
        <v>0</v>
      </c>
      <c r="Q365" s="335"/>
    </row>
    <row r="366" spans="1:17" ht="23.25" customHeight="1" x14ac:dyDescent="0.5">
      <c r="A366" s="18">
        <f t="shared" si="63"/>
        <v>343</v>
      </c>
      <c r="B366" s="26" t="s">
        <v>28</v>
      </c>
      <c r="C366" s="129" t="s">
        <v>134</v>
      </c>
      <c r="D366" s="72" t="s">
        <v>506</v>
      </c>
      <c r="E366" s="73" t="s">
        <v>65</v>
      </c>
      <c r="F366" s="73"/>
      <c r="G366" s="73" t="s">
        <v>394</v>
      </c>
      <c r="H366" s="73" t="s">
        <v>138</v>
      </c>
      <c r="I366" s="191"/>
      <c r="J366" s="19">
        <v>0</v>
      </c>
      <c r="K366" s="167" t="s">
        <v>22</v>
      </c>
      <c r="L366" s="168">
        <v>0</v>
      </c>
      <c r="M366" s="168">
        <v>0</v>
      </c>
      <c r="N366" s="169">
        <f t="shared" si="60"/>
        <v>0</v>
      </c>
      <c r="O366" s="169">
        <f t="shared" si="61"/>
        <v>0</v>
      </c>
      <c r="P366" s="170">
        <f t="shared" si="62"/>
        <v>0</v>
      </c>
      <c r="Q366" s="335"/>
    </row>
    <row r="367" spans="1:17" ht="23.25" customHeight="1" x14ac:dyDescent="0.5">
      <c r="A367" s="18">
        <f t="shared" si="63"/>
        <v>344</v>
      </c>
      <c r="B367" s="26" t="s">
        <v>28</v>
      </c>
      <c r="C367" s="129" t="s">
        <v>134</v>
      </c>
      <c r="D367" s="72" t="s">
        <v>507</v>
      </c>
      <c r="E367" s="73" t="s">
        <v>65</v>
      </c>
      <c r="F367" s="73"/>
      <c r="G367" s="73" t="s">
        <v>508</v>
      </c>
      <c r="H367" s="73" t="s">
        <v>139</v>
      </c>
      <c r="I367" s="191"/>
      <c r="J367" s="19">
        <v>0</v>
      </c>
      <c r="K367" s="167" t="s">
        <v>22</v>
      </c>
      <c r="L367" s="168">
        <v>0</v>
      </c>
      <c r="M367" s="168">
        <v>0</v>
      </c>
      <c r="N367" s="169">
        <f t="shared" si="60"/>
        <v>0</v>
      </c>
      <c r="O367" s="169">
        <f t="shared" si="61"/>
        <v>0</v>
      </c>
      <c r="P367" s="170">
        <f t="shared" si="62"/>
        <v>0</v>
      </c>
      <c r="Q367" s="335"/>
    </row>
    <row r="368" spans="1:17" ht="23.25" customHeight="1" x14ac:dyDescent="0.5">
      <c r="A368" s="18">
        <f t="shared" si="63"/>
        <v>345</v>
      </c>
      <c r="B368" s="26" t="s">
        <v>28</v>
      </c>
      <c r="C368" s="129" t="s">
        <v>134</v>
      </c>
      <c r="D368" s="72" t="s">
        <v>507</v>
      </c>
      <c r="E368" s="73" t="s">
        <v>65</v>
      </c>
      <c r="F368" s="73"/>
      <c r="G368" s="73" t="s">
        <v>508</v>
      </c>
      <c r="H368" s="73" t="s">
        <v>140</v>
      </c>
      <c r="I368" s="191"/>
      <c r="J368" s="19">
        <v>0</v>
      </c>
      <c r="K368" s="167" t="s">
        <v>22</v>
      </c>
      <c r="L368" s="168">
        <v>0</v>
      </c>
      <c r="M368" s="168">
        <v>0</v>
      </c>
      <c r="N368" s="169">
        <f t="shared" si="60"/>
        <v>0</v>
      </c>
      <c r="O368" s="169">
        <f t="shared" si="61"/>
        <v>0</v>
      </c>
      <c r="P368" s="170">
        <f t="shared" si="62"/>
        <v>0</v>
      </c>
      <c r="Q368" s="335"/>
    </row>
    <row r="369" spans="1:17" ht="23.25" customHeight="1" x14ac:dyDescent="0.5">
      <c r="A369" s="18">
        <f t="shared" si="63"/>
        <v>346</v>
      </c>
      <c r="B369" s="26" t="s">
        <v>28</v>
      </c>
      <c r="C369" s="129" t="s">
        <v>134</v>
      </c>
      <c r="D369" s="72" t="s">
        <v>509</v>
      </c>
      <c r="E369" s="73" t="s">
        <v>65</v>
      </c>
      <c r="F369" s="73"/>
      <c r="G369" s="73"/>
      <c r="H369" s="73" t="s">
        <v>141</v>
      </c>
      <c r="I369" s="191"/>
      <c r="J369" s="19">
        <v>0</v>
      </c>
      <c r="K369" s="167" t="s">
        <v>51</v>
      </c>
      <c r="L369" s="168">
        <v>0</v>
      </c>
      <c r="M369" s="168">
        <v>0</v>
      </c>
      <c r="N369" s="169">
        <f t="shared" si="60"/>
        <v>0</v>
      </c>
      <c r="O369" s="169">
        <f t="shared" si="61"/>
        <v>0</v>
      </c>
      <c r="P369" s="170">
        <f t="shared" si="62"/>
        <v>0</v>
      </c>
      <c r="Q369" s="335"/>
    </row>
    <row r="370" spans="1:17" ht="23.25" customHeight="1" x14ac:dyDescent="0.5">
      <c r="A370" s="18">
        <f t="shared" si="63"/>
        <v>347</v>
      </c>
      <c r="B370" s="26" t="s">
        <v>28</v>
      </c>
      <c r="C370" s="129" t="s">
        <v>134</v>
      </c>
      <c r="D370" s="72" t="s">
        <v>510</v>
      </c>
      <c r="E370" s="73" t="s">
        <v>65</v>
      </c>
      <c r="F370" s="73"/>
      <c r="G370" s="73"/>
      <c r="H370" s="73" t="s">
        <v>141</v>
      </c>
      <c r="I370" s="191"/>
      <c r="J370" s="19">
        <v>0</v>
      </c>
      <c r="K370" s="167" t="s">
        <v>22</v>
      </c>
      <c r="L370" s="168">
        <v>0</v>
      </c>
      <c r="M370" s="168">
        <v>0</v>
      </c>
      <c r="N370" s="169">
        <f t="shared" si="60"/>
        <v>0</v>
      </c>
      <c r="O370" s="169">
        <f t="shared" si="61"/>
        <v>0</v>
      </c>
      <c r="P370" s="170">
        <f t="shared" si="62"/>
        <v>0</v>
      </c>
      <c r="Q370" s="335"/>
    </row>
    <row r="371" spans="1:17" ht="23.25" customHeight="1" x14ac:dyDescent="0.5">
      <c r="A371" s="18">
        <f t="shared" si="63"/>
        <v>348</v>
      </c>
      <c r="B371" s="26" t="s">
        <v>28</v>
      </c>
      <c r="C371" s="129" t="s">
        <v>134</v>
      </c>
      <c r="D371" s="72" t="s">
        <v>520</v>
      </c>
      <c r="E371" s="73" t="s">
        <v>65</v>
      </c>
      <c r="F371" s="73"/>
      <c r="G371" s="73"/>
      <c r="H371" s="73" t="s">
        <v>141</v>
      </c>
      <c r="I371" s="191"/>
      <c r="J371" s="19">
        <v>0</v>
      </c>
      <c r="K371" s="167" t="s">
        <v>22</v>
      </c>
      <c r="L371" s="168">
        <v>0</v>
      </c>
      <c r="M371" s="168">
        <v>0</v>
      </c>
      <c r="N371" s="169">
        <f t="shared" si="60"/>
        <v>0</v>
      </c>
      <c r="O371" s="169">
        <f t="shared" si="61"/>
        <v>0</v>
      </c>
      <c r="P371" s="170">
        <f t="shared" si="62"/>
        <v>0</v>
      </c>
      <c r="Q371" s="335"/>
    </row>
    <row r="372" spans="1:17" ht="23.25" customHeight="1" x14ac:dyDescent="0.5">
      <c r="A372" s="18">
        <f t="shared" si="63"/>
        <v>349</v>
      </c>
      <c r="B372" s="26" t="s">
        <v>28</v>
      </c>
      <c r="C372" s="129" t="s">
        <v>134</v>
      </c>
      <c r="D372" s="72" t="s">
        <v>511</v>
      </c>
      <c r="E372" s="73" t="s">
        <v>65</v>
      </c>
      <c r="F372" s="73"/>
      <c r="G372" s="73"/>
      <c r="H372" s="73" t="s">
        <v>141</v>
      </c>
      <c r="I372" s="191"/>
      <c r="J372" s="19">
        <v>0</v>
      </c>
      <c r="K372" s="167" t="s">
        <v>22</v>
      </c>
      <c r="L372" s="168">
        <v>0</v>
      </c>
      <c r="M372" s="168">
        <v>0</v>
      </c>
      <c r="N372" s="169">
        <f t="shared" si="60"/>
        <v>0</v>
      </c>
      <c r="O372" s="169">
        <f t="shared" si="61"/>
        <v>0</v>
      </c>
      <c r="P372" s="170">
        <f t="shared" si="62"/>
        <v>0</v>
      </c>
      <c r="Q372" s="335"/>
    </row>
    <row r="373" spans="1:17" ht="23.25" customHeight="1" x14ac:dyDescent="0.5">
      <c r="A373" s="18">
        <f t="shared" si="63"/>
        <v>350</v>
      </c>
      <c r="B373" s="26" t="s">
        <v>28</v>
      </c>
      <c r="C373" s="129" t="s">
        <v>134</v>
      </c>
      <c r="D373" s="72" t="s">
        <v>512</v>
      </c>
      <c r="E373" s="73" t="s">
        <v>65</v>
      </c>
      <c r="F373" s="73"/>
      <c r="G373" s="73"/>
      <c r="H373" s="73" t="s">
        <v>141</v>
      </c>
      <c r="I373" s="191"/>
      <c r="J373" s="19">
        <v>0</v>
      </c>
      <c r="K373" s="167" t="s">
        <v>22</v>
      </c>
      <c r="L373" s="168">
        <v>0</v>
      </c>
      <c r="M373" s="168">
        <v>0</v>
      </c>
      <c r="N373" s="169">
        <f t="shared" si="60"/>
        <v>0</v>
      </c>
      <c r="O373" s="169">
        <f t="shared" si="61"/>
        <v>0</v>
      </c>
      <c r="P373" s="170">
        <f t="shared" si="62"/>
        <v>0</v>
      </c>
      <c r="Q373" s="335"/>
    </row>
    <row r="374" spans="1:17" ht="23.25" customHeight="1" x14ac:dyDescent="0.5">
      <c r="A374" s="18">
        <f t="shared" si="63"/>
        <v>351</v>
      </c>
      <c r="B374" s="26" t="s">
        <v>28</v>
      </c>
      <c r="C374" s="129" t="s">
        <v>134</v>
      </c>
      <c r="D374" s="72" t="s">
        <v>509</v>
      </c>
      <c r="E374" s="73" t="s">
        <v>65</v>
      </c>
      <c r="F374" s="73"/>
      <c r="G374" s="73"/>
      <c r="H374" s="73" t="s">
        <v>142</v>
      </c>
      <c r="I374" s="191"/>
      <c r="J374" s="19">
        <v>0</v>
      </c>
      <c r="K374" s="167" t="s">
        <v>51</v>
      </c>
      <c r="L374" s="168">
        <v>0</v>
      </c>
      <c r="M374" s="168">
        <v>0</v>
      </c>
      <c r="N374" s="169">
        <f t="shared" si="60"/>
        <v>0</v>
      </c>
      <c r="O374" s="169">
        <f t="shared" si="61"/>
        <v>0</v>
      </c>
      <c r="P374" s="170">
        <f t="shared" si="62"/>
        <v>0</v>
      </c>
      <c r="Q374" s="335"/>
    </row>
    <row r="375" spans="1:17" ht="23.25" customHeight="1" x14ac:dyDescent="0.5">
      <c r="A375" s="18">
        <f t="shared" si="63"/>
        <v>352</v>
      </c>
      <c r="B375" s="26" t="s">
        <v>28</v>
      </c>
      <c r="C375" s="129" t="s">
        <v>134</v>
      </c>
      <c r="D375" s="72" t="s">
        <v>510</v>
      </c>
      <c r="E375" s="73" t="s">
        <v>65</v>
      </c>
      <c r="F375" s="73"/>
      <c r="G375" s="73"/>
      <c r="H375" s="73" t="s">
        <v>142</v>
      </c>
      <c r="I375" s="191"/>
      <c r="J375" s="19">
        <v>0</v>
      </c>
      <c r="K375" s="167" t="s">
        <v>22</v>
      </c>
      <c r="L375" s="168">
        <v>0</v>
      </c>
      <c r="M375" s="168">
        <v>0</v>
      </c>
      <c r="N375" s="169">
        <f t="shared" si="60"/>
        <v>0</v>
      </c>
      <c r="O375" s="169">
        <f t="shared" si="61"/>
        <v>0</v>
      </c>
      <c r="P375" s="170">
        <f t="shared" si="62"/>
        <v>0</v>
      </c>
      <c r="Q375" s="335"/>
    </row>
    <row r="376" spans="1:17" ht="23.25" customHeight="1" x14ac:dyDescent="0.5">
      <c r="A376" s="18">
        <f t="shared" si="63"/>
        <v>353</v>
      </c>
      <c r="B376" s="26" t="s">
        <v>28</v>
      </c>
      <c r="C376" s="129" t="s">
        <v>134</v>
      </c>
      <c r="D376" s="72" t="s">
        <v>520</v>
      </c>
      <c r="E376" s="73" t="s">
        <v>65</v>
      </c>
      <c r="F376" s="73"/>
      <c r="G376" s="73"/>
      <c r="H376" s="73" t="s">
        <v>142</v>
      </c>
      <c r="I376" s="191"/>
      <c r="J376" s="19">
        <v>0</v>
      </c>
      <c r="K376" s="167" t="s">
        <v>22</v>
      </c>
      <c r="L376" s="168">
        <v>0</v>
      </c>
      <c r="M376" s="168">
        <v>0</v>
      </c>
      <c r="N376" s="169">
        <f t="shared" si="60"/>
        <v>0</v>
      </c>
      <c r="O376" s="169">
        <f t="shared" si="61"/>
        <v>0</v>
      </c>
      <c r="P376" s="170">
        <f t="shared" si="62"/>
        <v>0</v>
      </c>
      <c r="Q376" s="335"/>
    </row>
    <row r="377" spans="1:17" ht="23.25" customHeight="1" x14ac:dyDescent="0.5">
      <c r="A377" s="18">
        <f t="shared" si="63"/>
        <v>354</v>
      </c>
      <c r="B377" s="26" t="s">
        <v>28</v>
      </c>
      <c r="C377" s="129" t="s">
        <v>134</v>
      </c>
      <c r="D377" s="72" t="s">
        <v>511</v>
      </c>
      <c r="E377" s="73" t="s">
        <v>65</v>
      </c>
      <c r="F377" s="73"/>
      <c r="G377" s="73"/>
      <c r="H377" s="73" t="s">
        <v>142</v>
      </c>
      <c r="I377" s="191"/>
      <c r="J377" s="19">
        <v>0</v>
      </c>
      <c r="K377" s="167" t="s">
        <v>22</v>
      </c>
      <c r="L377" s="168">
        <v>0</v>
      </c>
      <c r="M377" s="168">
        <v>0</v>
      </c>
      <c r="N377" s="169">
        <f t="shared" si="60"/>
        <v>0</v>
      </c>
      <c r="O377" s="169">
        <f t="shared" si="61"/>
        <v>0</v>
      </c>
      <c r="P377" s="170">
        <f t="shared" si="62"/>
        <v>0</v>
      </c>
      <c r="Q377" s="335"/>
    </row>
    <row r="378" spans="1:17" ht="23.25" customHeight="1" x14ac:dyDescent="0.5">
      <c r="A378" s="18">
        <f t="shared" si="63"/>
        <v>355</v>
      </c>
      <c r="B378" s="26" t="s">
        <v>28</v>
      </c>
      <c r="C378" s="129" t="s">
        <v>134</v>
      </c>
      <c r="D378" s="72" t="s">
        <v>512</v>
      </c>
      <c r="E378" s="73" t="s">
        <v>65</v>
      </c>
      <c r="F378" s="73"/>
      <c r="G378" s="73"/>
      <c r="H378" s="73" t="s">
        <v>142</v>
      </c>
      <c r="I378" s="191"/>
      <c r="J378" s="19">
        <v>0</v>
      </c>
      <c r="K378" s="167" t="s">
        <v>22</v>
      </c>
      <c r="L378" s="168">
        <v>0</v>
      </c>
      <c r="M378" s="168">
        <v>0</v>
      </c>
      <c r="N378" s="169">
        <f t="shared" si="60"/>
        <v>0</v>
      </c>
      <c r="O378" s="169">
        <f t="shared" si="61"/>
        <v>0</v>
      </c>
      <c r="P378" s="170">
        <f t="shared" si="62"/>
        <v>0</v>
      </c>
      <c r="Q378" s="335"/>
    </row>
    <row r="379" spans="1:17" ht="23.25" customHeight="1" x14ac:dyDescent="0.5">
      <c r="A379" s="18">
        <f t="shared" si="63"/>
        <v>356</v>
      </c>
      <c r="B379" s="26" t="s">
        <v>28</v>
      </c>
      <c r="C379" s="129" t="s">
        <v>134</v>
      </c>
      <c r="D379" s="72" t="s">
        <v>513</v>
      </c>
      <c r="E379" s="73" t="s">
        <v>65</v>
      </c>
      <c r="F379" s="73"/>
      <c r="G379" s="73"/>
      <c r="H379" s="73" t="s">
        <v>143</v>
      </c>
      <c r="I379" s="191"/>
      <c r="J379" s="19">
        <v>0</v>
      </c>
      <c r="K379" s="167" t="s">
        <v>22</v>
      </c>
      <c r="L379" s="168">
        <v>0</v>
      </c>
      <c r="M379" s="168">
        <v>0</v>
      </c>
      <c r="N379" s="169">
        <f t="shared" si="60"/>
        <v>0</v>
      </c>
      <c r="O379" s="169">
        <f t="shared" si="61"/>
        <v>0</v>
      </c>
      <c r="P379" s="170">
        <f t="shared" si="62"/>
        <v>0</v>
      </c>
      <c r="Q379" s="335"/>
    </row>
    <row r="380" spans="1:17" ht="23.25" customHeight="1" x14ac:dyDescent="0.5">
      <c r="A380" s="18">
        <f t="shared" si="63"/>
        <v>357</v>
      </c>
      <c r="B380" s="26" t="s">
        <v>28</v>
      </c>
      <c r="C380" s="129" t="s">
        <v>134</v>
      </c>
      <c r="D380" s="72" t="s">
        <v>521</v>
      </c>
      <c r="E380" s="73" t="s">
        <v>65</v>
      </c>
      <c r="F380" s="73"/>
      <c r="G380" s="73"/>
      <c r="H380" s="73" t="s">
        <v>143</v>
      </c>
      <c r="I380" s="191"/>
      <c r="J380" s="19">
        <v>0</v>
      </c>
      <c r="K380" s="167" t="s">
        <v>22</v>
      </c>
      <c r="L380" s="168">
        <v>0</v>
      </c>
      <c r="M380" s="168">
        <v>0</v>
      </c>
      <c r="N380" s="169">
        <f t="shared" si="60"/>
        <v>0</v>
      </c>
      <c r="O380" s="169">
        <f t="shared" si="61"/>
        <v>0</v>
      </c>
      <c r="P380" s="170">
        <f t="shared" si="62"/>
        <v>0</v>
      </c>
      <c r="Q380" s="335"/>
    </row>
    <row r="381" spans="1:17" ht="23.25" customHeight="1" x14ac:dyDescent="0.5">
      <c r="A381" s="18">
        <f t="shared" si="63"/>
        <v>358</v>
      </c>
      <c r="B381" s="26" t="s">
        <v>28</v>
      </c>
      <c r="C381" s="129" t="s">
        <v>134</v>
      </c>
      <c r="D381" s="72" t="s">
        <v>515</v>
      </c>
      <c r="E381" s="73"/>
      <c r="F381" s="73"/>
      <c r="G381" s="73" t="s">
        <v>395</v>
      </c>
      <c r="H381" s="73" t="s">
        <v>144</v>
      </c>
      <c r="I381" s="191"/>
      <c r="J381" s="19">
        <v>0</v>
      </c>
      <c r="K381" s="167" t="s">
        <v>51</v>
      </c>
      <c r="L381" s="168">
        <v>0</v>
      </c>
      <c r="M381" s="168">
        <v>0</v>
      </c>
      <c r="N381" s="169">
        <f t="shared" si="60"/>
        <v>0</v>
      </c>
      <c r="O381" s="169">
        <f t="shared" si="61"/>
        <v>0</v>
      </c>
      <c r="P381" s="170">
        <f t="shared" si="62"/>
        <v>0</v>
      </c>
      <c r="Q381" s="335"/>
    </row>
    <row r="382" spans="1:17" ht="23.25" customHeight="1" x14ac:dyDescent="0.5">
      <c r="A382" s="18">
        <f t="shared" si="63"/>
        <v>359</v>
      </c>
      <c r="B382" s="26" t="s">
        <v>28</v>
      </c>
      <c r="C382" s="129" t="s">
        <v>134</v>
      </c>
      <c r="D382" s="72" t="s">
        <v>515</v>
      </c>
      <c r="E382" s="73"/>
      <c r="F382" s="73"/>
      <c r="G382" s="73" t="s">
        <v>395</v>
      </c>
      <c r="H382" s="73" t="s">
        <v>145</v>
      </c>
      <c r="I382" s="191"/>
      <c r="J382" s="19">
        <v>0</v>
      </c>
      <c r="K382" s="167" t="s">
        <v>51</v>
      </c>
      <c r="L382" s="168">
        <v>0</v>
      </c>
      <c r="M382" s="168">
        <v>0</v>
      </c>
      <c r="N382" s="169">
        <f t="shared" si="60"/>
        <v>0</v>
      </c>
      <c r="O382" s="169">
        <f t="shared" si="61"/>
        <v>0</v>
      </c>
      <c r="P382" s="170">
        <f t="shared" si="62"/>
        <v>0</v>
      </c>
      <c r="Q382" s="335"/>
    </row>
    <row r="383" spans="1:17" ht="23.25" customHeight="1" x14ac:dyDescent="0.5">
      <c r="A383" s="18">
        <f t="shared" si="63"/>
        <v>360</v>
      </c>
      <c r="B383" s="26" t="s">
        <v>28</v>
      </c>
      <c r="C383" s="129" t="s">
        <v>134</v>
      </c>
      <c r="D383" s="72" t="s">
        <v>515</v>
      </c>
      <c r="E383" s="73"/>
      <c r="F383" s="73"/>
      <c r="G383" s="73" t="s">
        <v>395</v>
      </c>
      <c r="H383" s="73" t="s">
        <v>137</v>
      </c>
      <c r="I383" s="191"/>
      <c r="J383" s="19">
        <v>0</v>
      </c>
      <c r="K383" s="167" t="s">
        <v>51</v>
      </c>
      <c r="L383" s="168">
        <v>0</v>
      </c>
      <c r="M383" s="168">
        <v>0</v>
      </c>
      <c r="N383" s="169">
        <f t="shared" si="60"/>
        <v>0</v>
      </c>
      <c r="O383" s="169">
        <f t="shared" si="61"/>
        <v>0</v>
      </c>
      <c r="P383" s="170">
        <f t="shared" si="62"/>
        <v>0</v>
      </c>
      <c r="Q383" s="335"/>
    </row>
    <row r="384" spans="1:17" ht="23.25" customHeight="1" x14ac:dyDescent="0.5">
      <c r="A384" s="18">
        <f t="shared" si="63"/>
        <v>361</v>
      </c>
      <c r="B384" s="26" t="s">
        <v>28</v>
      </c>
      <c r="C384" s="129" t="s">
        <v>134</v>
      </c>
      <c r="D384" s="72" t="s">
        <v>515</v>
      </c>
      <c r="E384" s="73"/>
      <c r="F384" s="73"/>
      <c r="G384" s="73" t="s">
        <v>395</v>
      </c>
      <c r="H384" s="73" t="s">
        <v>138</v>
      </c>
      <c r="I384" s="191"/>
      <c r="J384" s="19">
        <v>0</v>
      </c>
      <c r="K384" s="167" t="s">
        <v>51</v>
      </c>
      <c r="L384" s="168">
        <v>0</v>
      </c>
      <c r="M384" s="168">
        <v>0</v>
      </c>
      <c r="N384" s="169">
        <f t="shared" si="60"/>
        <v>0</v>
      </c>
      <c r="O384" s="169">
        <f t="shared" si="61"/>
        <v>0</v>
      </c>
      <c r="P384" s="170">
        <f t="shared" si="62"/>
        <v>0</v>
      </c>
      <c r="Q384" s="335"/>
    </row>
    <row r="385" spans="1:17" ht="23.25" customHeight="1" x14ac:dyDescent="0.5">
      <c r="A385" s="18">
        <f t="shared" si="63"/>
        <v>362</v>
      </c>
      <c r="B385" s="26" t="s">
        <v>28</v>
      </c>
      <c r="C385" s="129" t="s">
        <v>134</v>
      </c>
      <c r="D385" s="72" t="s">
        <v>522</v>
      </c>
      <c r="E385" s="73"/>
      <c r="F385" s="73"/>
      <c r="G385" s="73"/>
      <c r="H385" s="73"/>
      <c r="I385" s="191"/>
      <c r="J385" s="19">
        <v>0</v>
      </c>
      <c r="K385" s="167" t="s">
        <v>22</v>
      </c>
      <c r="L385" s="168">
        <v>0</v>
      </c>
      <c r="M385" s="168">
        <v>0</v>
      </c>
      <c r="N385" s="169">
        <f t="shared" si="60"/>
        <v>0</v>
      </c>
      <c r="O385" s="169">
        <f t="shared" si="61"/>
        <v>0</v>
      </c>
      <c r="P385" s="170">
        <f t="shared" si="62"/>
        <v>0</v>
      </c>
      <c r="Q385" s="335"/>
    </row>
    <row r="386" spans="1:17" ht="23.25" customHeight="1" x14ac:dyDescent="0.5">
      <c r="A386" s="18">
        <f t="shared" si="63"/>
        <v>363</v>
      </c>
      <c r="B386" s="26" t="s">
        <v>28</v>
      </c>
      <c r="C386" s="129" t="s">
        <v>134</v>
      </c>
      <c r="D386" s="72" t="s">
        <v>516</v>
      </c>
      <c r="E386" s="73" t="s">
        <v>397</v>
      </c>
      <c r="F386" s="73"/>
      <c r="G386" s="73"/>
      <c r="H386" s="73" t="s">
        <v>146</v>
      </c>
      <c r="I386" s="191"/>
      <c r="J386" s="19">
        <v>0</v>
      </c>
      <c r="K386" s="167" t="s">
        <v>22</v>
      </c>
      <c r="L386" s="168">
        <v>0</v>
      </c>
      <c r="M386" s="168">
        <v>0</v>
      </c>
      <c r="N386" s="169">
        <f t="shared" si="60"/>
        <v>0</v>
      </c>
      <c r="O386" s="169">
        <f t="shared" si="61"/>
        <v>0</v>
      </c>
      <c r="P386" s="170">
        <f t="shared" si="62"/>
        <v>0</v>
      </c>
      <c r="Q386" s="335"/>
    </row>
    <row r="387" spans="1:17" ht="23.25" customHeight="1" x14ac:dyDescent="0.5">
      <c r="A387" s="18">
        <f t="shared" si="63"/>
        <v>364</v>
      </c>
      <c r="B387" s="26" t="s">
        <v>28</v>
      </c>
      <c r="C387" s="129" t="s">
        <v>134</v>
      </c>
      <c r="D387" s="72" t="s">
        <v>517</v>
      </c>
      <c r="E387" s="73" t="s">
        <v>396</v>
      </c>
      <c r="F387" s="73"/>
      <c r="G387" s="73"/>
      <c r="H387" s="73" t="s">
        <v>548</v>
      </c>
      <c r="I387" s="191"/>
      <c r="J387" s="19">
        <v>0</v>
      </c>
      <c r="K387" s="167" t="s">
        <v>22</v>
      </c>
      <c r="L387" s="168">
        <v>0</v>
      </c>
      <c r="M387" s="168">
        <v>0</v>
      </c>
      <c r="N387" s="169">
        <f t="shared" si="60"/>
        <v>0</v>
      </c>
      <c r="O387" s="169">
        <f t="shared" si="61"/>
        <v>0</v>
      </c>
      <c r="P387" s="170">
        <f t="shared" si="62"/>
        <v>0</v>
      </c>
      <c r="Q387" s="335"/>
    </row>
    <row r="388" spans="1:17" ht="23.25" customHeight="1" x14ac:dyDescent="0.5">
      <c r="A388" s="18">
        <f t="shared" si="63"/>
        <v>365</v>
      </c>
      <c r="B388" s="26" t="s">
        <v>28</v>
      </c>
      <c r="C388" s="129" t="s">
        <v>134</v>
      </c>
      <c r="D388" s="72" t="s">
        <v>517</v>
      </c>
      <c r="E388" s="73" t="s">
        <v>396</v>
      </c>
      <c r="F388" s="73"/>
      <c r="G388" s="73"/>
      <c r="H388" s="73" t="s">
        <v>549</v>
      </c>
      <c r="I388" s="191"/>
      <c r="J388" s="19">
        <v>0</v>
      </c>
      <c r="K388" s="167" t="s">
        <v>22</v>
      </c>
      <c r="L388" s="168">
        <v>0</v>
      </c>
      <c r="M388" s="168">
        <v>0</v>
      </c>
      <c r="N388" s="169">
        <f t="shared" si="60"/>
        <v>0</v>
      </c>
      <c r="O388" s="169">
        <f t="shared" si="61"/>
        <v>0</v>
      </c>
      <c r="P388" s="170">
        <f t="shared" si="62"/>
        <v>0</v>
      </c>
      <c r="Q388" s="335"/>
    </row>
    <row r="389" spans="1:17" ht="23.25" customHeight="1" x14ac:dyDescent="0.5">
      <c r="A389" s="18">
        <f t="shared" si="63"/>
        <v>366</v>
      </c>
      <c r="B389" s="26" t="s">
        <v>28</v>
      </c>
      <c r="C389" s="129" t="s">
        <v>134</v>
      </c>
      <c r="D389" s="72" t="s">
        <v>517</v>
      </c>
      <c r="E389" s="73" t="s">
        <v>396</v>
      </c>
      <c r="F389" s="73"/>
      <c r="G389" s="73"/>
      <c r="H389" s="73" t="s">
        <v>138</v>
      </c>
      <c r="I389" s="191"/>
      <c r="J389" s="19">
        <v>0</v>
      </c>
      <c r="K389" s="167" t="s">
        <v>22</v>
      </c>
      <c r="L389" s="168">
        <v>0</v>
      </c>
      <c r="M389" s="168">
        <v>0</v>
      </c>
      <c r="N389" s="169">
        <f t="shared" si="60"/>
        <v>0</v>
      </c>
      <c r="O389" s="169">
        <f t="shared" si="61"/>
        <v>0</v>
      </c>
      <c r="P389" s="170">
        <f t="shared" si="62"/>
        <v>0</v>
      </c>
      <c r="Q389" s="335"/>
    </row>
    <row r="390" spans="1:17" ht="23.25" customHeight="1" x14ac:dyDescent="0.5">
      <c r="A390" s="18">
        <f t="shared" si="63"/>
        <v>367</v>
      </c>
      <c r="B390" s="26" t="s">
        <v>28</v>
      </c>
      <c r="C390" s="129" t="s">
        <v>134</v>
      </c>
      <c r="D390" s="75" t="s">
        <v>514</v>
      </c>
      <c r="E390" s="79"/>
      <c r="F390" s="79"/>
      <c r="G390" s="79"/>
      <c r="H390" s="79"/>
      <c r="I390" s="188"/>
      <c r="J390" s="19">
        <v>0</v>
      </c>
      <c r="K390" s="167" t="s">
        <v>22</v>
      </c>
      <c r="L390" s="168">
        <v>0</v>
      </c>
      <c r="M390" s="168">
        <v>0</v>
      </c>
      <c r="N390" s="169">
        <f>L390*J390</f>
        <v>0</v>
      </c>
      <c r="O390" s="169">
        <f>M390*J390</f>
        <v>0</v>
      </c>
      <c r="P390" s="170">
        <f>(L390*J390)+(M390*J390)</f>
        <v>0</v>
      </c>
      <c r="Q390" s="335"/>
    </row>
    <row r="391" spans="1:17" ht="23.25" customHeight="1" x14ac:dyDescent="0.5">
      <c r="A391" s="18">
        <f t="shared" si="63"/>
        <v>368</v>
      </c>
      <c r="B391" s="26" t="s">
        <v>28</v>
      </c>
      <c r="C391" s="129" t="s">
        <v>134</v>
      </c>
      <c r="D391" s="43" t="s">
        <v>358</v>
      </c>
      <c r="E391" s="5"/>
      <c r="F391" s="5"/>
      <c r="G391" s="5"/>
      <c r="H391" s="5"/>
      <c r="I391" s="20"/>
      <c r="J391" s="19">
        <f>I391</f>
        <v>0</v>
      </c>
      <c r="K391" s="171"/>
      <c r="L391" s="168">
        <v>0</v>
      </c>
      <c r="M391" s="168">
        <v>0</v>
      </c>
      <c r="N391" s="169">
        <f>L391*J391</f>
        <v>0</v>
      </c>
      <c r="O391" s="169">
        <f>M391*J391</f>
        <v>0</v>
      </c>
      <c r="P391" s="170">
        <f>(L391*J391)+(M391*J391)</f>
        <v>0</v>
      </c>
      <c r="Q391" s="326"/>
    </row>
    <row r="392" spans="1:17" ht="23.25" customHeight="1" thickBot="1" x14ac:dyDescent="0.55000000000000004">
      <c r="A392" s="38">
        <f>A391+1</f>
        <v>369</v>
      </c>
      <c r="B392" s="39" t="s">
        <v>28</v>
      </c>
      <c r="C392" s="128" t="s">
        <v>134</v>
      </c>
      <c r="D392" s="44" t="s">
        <v>358</v>
      </c>
      <c r="E392" s="40"/>
      <c r="F392" s="40"/>
      <c r="G392" s="40"/>
      <c r="H392" s="40"/>
      <c r="I392" s="41"/>
      <c r="J392" s="24">
        <f>I392</f>
        <v>0</v>
      </c>
      <c r="K392" s="194"/>
      <c r="L392" s="195">
        <v>0</v>
      </c>
      <c r="M392" s="195">
        <v>0</v>
      </c>
      <c r="N392" s="196">
        <f>L392*J392</f>
        <v>0</v>
      </c>
      <c r="O392" s="196">
        <f>M392*J392</f>
        <v>0</v>
      </c>
      <c r="P392" s="197">
        <f>(L392*J392)+(M392*J392)</f>
        <v>0</v>
      </c>
      <c r="Q392" s="328"/>
    </row>
    <row r="393" spans="1:17" ht="23.25" customHeight="1" x14ac:dyDescent="0.5">
      <c r="A393" s="28"/>
      <c r="B393" s="35" t="s">
        <v>28</v>
      </c>
      <c r="C393" s="127" t="s">
        <v>147</v>
      </c>
      <c r="D393" s="235" t="s">
        <v>147</v>
      </c>
      <c r="E393" s="149"/>
      <c r="F393" s="149"/>
      <c r="G393" s="149"/>
      <c r="H393" s="150"/>
      <c r="I393" s="236"/>
      <c r="J393" s="198"/>
      <c r="K393" s="153"/>
      <c r="L393" s="199"/>
      <c r="M393" s="199"/>
      <c r="N393" s="200"/>
      <c r="O393" s="200"/>
      <c r="P393" s="155"/>
      <c r="Q393" s="345"/>
    </row>
    <row r="394" spans="1:17" ht="56.5" customHeight="1" thickBot="1" x14ac:dyDescent="0.55000000000000004">
      <c r="A394" s="38"/>
      <c r="B394" s="39" t="s">
        <v>28</v>
      </c>
      <c r="C394" s="128" t="s">
        <v>147</v>
      </c>
      <c r="D394" s="201" t="s">
        <v>523</v>
      </c>
      <c r="E394" s="203"/>
      <c r="F394" s="203"/>
      <c r="G394" s="203"/>
      <c r="H394" s="229"/>
      <c r="I394" s="230"/>
      <c r="J394" s="231"/>
      <c r="K394" s="232"/>
      <c r="L394" s="237"/>
      <c r="M394" s="237"/>
      <c r="N394" s="196"/>
      <c r="O394" s="196"/>
      <c r="P394" s="208"/>
      <c r="Q394" s="344"/>
    </row>
    <row r="395" spans="1:17" ht="23.25" customHeight="1" x14ac:dyDescent="0.5">
      <c r="A395" s="28">
        <f>A392+1</f>
        <v>370</v>
      </c>
      <c r="B395" s="35" t="s">
        <v>28</v>
      </c>
      <c r="C395" s="127" t="s">
        <v>147</v>
      </c>
      <c r="D395" s="77" t="s">
        <v>40</v>
      </c>
      <c r="E395" s="78" t="s">
        <v>60</v>
      </c>
      <c r="F395" s="78" t="s">
        <v>148</v>
      </c>
      <c r="G395" s="78" t="s">
        <v>398</v>
      </c>
      <c r="H395" s="78" t="s">
        <v>149</v>
      </c>
      <c r="I395" s="189"/>
      <c r="J395" s="32">
        <v>0</v>
      </c>
      <c r="K395" s="190" t="s">
        <v>51</v>
      </c>
      <c r="L395" s="185">
        <v>0</v>
      </c>
      <c r="M395" s="185">
        <v>0</v>
      </c>
      <c r="N395" s="186">
        <f t="shared" ref="N395:N418" si="64">L395*J395</f>
        <v>0</v>
      </c>
      <c r="O395" s="186">
        <f t="shared" ref="O395:O418" si="65">M395*J395</f>
        <v>0</v>
      </c>
      <c r="P395" s="311">
        <f t="shared" ref="P395:P418" si="66">(L395*J395)+(M395*J395)</f>
        <v>0</v>
      </c>
      <c r="Q395" s="336"/>
    </row>
    <row r="396" spans="1:17" ht="23.25" customHeight="1" x14ac:dyDescent="0.5">
      <c r="A396" s="18">
        <f>A395+1</f>
        <v>371</v>
      </c>
      <c r="B396" s="26" t="s">
        <v>28</v>
      </c>
      <c r="C396" s="129" t="s">
        <v>147</v>
      </c>
      <c r="D396" s="72" t="s">
        <v>524</v>
      </c>
      <c r="E396" s="73" t="s">
        <v>60</v>
      </c>
      <c r="F396" s="73" t="s">
        <v>148</v>
      </c>
      <c r="G396" s="73" t="s">
        <v>398</v>
      </c>
      <c r="H396" s="73" t="s">
        <v>149</v>
      </c>
      <c r="I396" s="191"/>
      <c r="J396" s="19">
        <v>0</v>
      </c>
      <c r="K396" s="167" t="s">
        <v>22</v>
      </c>
      <c r="L396" s="168">
        <v>0</v>
      </c>
      <c r="M396" s="168">
        <v>0</v>
      </c>
      <c r="N396" s="169">
        <f t="shared" si="64"/>
        <v>0</v>
      </c>
      <c r="O396" s="169">
        <f t="shared" si="65"/>
        <v>0</v>
      </c>
      <c r="P396" s="312">
        <f t="shared" si="66"/>
        <v>0</v>
      </c>
      <c r="Q396" s="335"/>
    </row>
    <row r="397" spans="1:17" ht="23.25" customHeight="1" x14ac:dyDescent="0.5">
      <c r="A397" s="18">
        <f t="shared" ref="A397:A419" si="67">A396+1</f>
        <v>372</v>
      </c>
      <c r="B397" s="26" t="s">
        <v>28</v>
      </c>
      <c r="C397" s="129" t="s">
        <v>147</v>
      </c>
      <c r="D397" s="72" t="s">
        <v>493</v>
      </c>
      <c r="E397" s="73" t="s">
        <v>60</v>
      </c>
      <c r="F397" s="73" t="s">
        <v>148</v>
      </c>
      <c r="G397" s="73" t="s">
        <v>398</v>
      </c>
      <c r="H397" s="73" t="s">
        <v>149</v>
      </c>
      <c r="I397" s="191"/>
      <c r="J397" s="19">
        <v>0</v>
      </c>
      <c r="K397" s="167" t="s">
        <v>22</v>
      </c>
      <c r="L397" s="168">
        <v>0</v>
      </c>
      <c r="M397" s="168">
        <v>0</v>
      </c>
      <c r="N397" s="169">
        <f t="shared" si="64"/>
        <v>0</v>
      </c>
      <c r="O397" s="169">
        <f t="shared" si="65"/>
        <v>0</v>
      </c>
      <c r="P397" s="312">
        <f t="shared" si="66"/>
        <v>0</v>
      </c>
      <c r="Q397" s="335"/>
    </row>
    <row r="398" spans="1:17" ht="23.25" customHeight="1" x14ac:dyDescent="0.5">
      <c r="A398" s="18">
        <f t="shared" si="67"/>
        <v>373</v>
      </c>
      <c r="B398" s="26" t="s">
        <v>28</v>
      </c>
      <c r="C398" s="129" t="s">
        <v>147</v>
      </c>
      <c r="D398" s="72" t="s">
        <v>386</v>
      </c>
      <c r="E398" s="73" t="s">
        <v>60</v>
      </c>
      <c r="F398" s="73" t="s">
        <v>148</v>
      </c>
      <c r="G398" s="73" t="s">
        <v>398</v>
      </c>
      <c r="H398" s="73" t="s">
        <v>149</v>
      </c>
      <c r="I398" s="191"/>
      <c r="J398" s="19">
        <v>0</v>
      </c>
      <c r="K398" s="167" t="s">
        <v>22</v>
      </c>
      <c r="L398" s="168">
        <v>0</v>
      </c>
      <c r="M398" s="168">
        <v>0</v>
      </c>
      <c r="N398" s="169">
        <f t="shared" si="64"/>
        <v>0</v>
      </c>
      <c r="O398" s="169">
        <f t="shared" si="65"/>
        <v>0</v>
      </c>
      <c r="P398" s="312">
        <f t="shared" si="66"/>
        <v>0</v>
      </c>
      <c r="Q398" s="335"/>
    </row>
    <row r="399" spans="1:17" ht="23.25" customHeight="1" x14ac:dyDescent="0.5">
      <c r="A399" s="18">
        <f t="shared" si="67"/>
        <v>374</v>
      </c>
      <c r="B399" s="26" t="s">
        <v>28</v>
      </c>
      <c r="C399" s="129" t="s">
        <v>147</v>
      </c>
      <c r="D399" s="72" t="s">
        <v>40</v>
      </c>
      <c r="E399" s="73" t="s">
        <v>60</v>
      </c>
      <c r="F399" s="73" t="s">
        <v>148</v>
      </c>
      <c r="G399" s="73" t="s">
        <v>398</v>
      </c>
      <c r="H399" s="73" t="s">
        <v>137</v>
      </c>
      <c r="I399" s="191"/>
      <c r="J399" s="19">
        <v>0</v>
      </c>
      <c r="K399" s="167" t="s">
        <v>51</v>
      </c>
      <c r="L399" s="168">
        <v>0</v>
      </c>
      <c r="M399" s="168">
        <v>0</v>
      </c>
      <c r="N399" s="169">
        <f t="shared" si="64"/>
        <v>0</v>
      </c>
      <c r="O399" s="169">
        <f t="shared" si="65"/>
        <v>0</v>
      </c>
      <c r="P399" s="312">
        <f t="shared" si="66"/>
        <v>0</v>
      </c>
      <c r="Q399" s="335"/>
    </row>
    <row r="400" spans="1:17" ht="23.25" customHeight="1" x14ac:dyDescent="0.5">
      <c r="A400" s="18">
        <f t="shared" si="67"/>
        <v>375</v>
      </c>
      <c r="B400" s="26" t="s">
        <v>28</v>
      </c>
      <c r="C400" s="129" t="s">
        <v>147</v>
      </c>
      <c r="D400" s="72" t="s">
        <v>524</v>
      </c>
      <c r="E400" s="73" t="s">
        <v>60</v>
      </c>
      <c r="F400" s="73" t="s">
        <v>148</v>
      </c>
      <c r="G400" s="73" t="s">
        <v>398</v>
      </c>
      <c r="H400" s="73" t="s">
        <v>137</v>
      </c>
      <c r="I400" s="191"/>
      <c r="J400" s="19">
        <v>0</v>
      </c>
      <c r="K400" s="167" t="s">
        <v>22</v>
      </c>
      <c r="L400" s="168">
        <v>0</v>
      </c>
      <c r="M400" s="168">
        <v>0</v>
      </c>
      <c r="N400" s="169">
        <f t="shared" si="64"/>
        <v>0</v>
      </c>
      <c r="O400" s="169">
        <f t="shared" si="65"/>
        <v>0</v>
      </c>
      <c r="P400" s="312">
        <f t="shared" si="66"/>
        <v>0</v>
      </c>
      <c r="Q400" s="335"/>
    </row>
    <row r="401" spans="1:17" ht="23.25" customHeight="1" x14ac:dyDescent="0.5">
      <c r="A401" s="18">
        <f t="shared" si="67"/>
        <v>376</v>
      </c>
      <c r="B401" s="26" t="s">
        <v>28</v>
      </c>
      <c r="C401" s="129" t="s">
        <v>147</v>
      </c>
      <c r="D401" s="72" t="s">
        <v>493</v>
      </c>
      <c r="E401" s="73" t="s">
        <v>60</v>
      </c>
      <c r="F401" s="73" t="s">
        <v>148</v>
      </c>
      <c r="G401" s="73" t="s">
        <v>398</v>
      </c>
      <c r="H401" s="73" t="s">
        <v>137</v>
      </c>
      <c r="I401" s="191"/>
      <c r="J401" s="19">
        <v>0</v>
      </c>
      <c r="K401" s="167" t="s">
        <v>22</v>
      </c>
      <c r="L401" s="168">
        <v>0</v>
      </c>
      <c r="M401" s="168">
        <v>0</v>
      </c>
      <c r="N401" s="169">
        <f t="shared" si="64"/>
        <v>0</v>
      </c>
      <c r="O401" s="169">
        <f t="shared" si="65"/>
        <v>0</v>
      </c>
      <c r="P401" s="312">
        <f t="shared" si="66"/>
        <v>0</v>
      </c>
      <c r="Q401" s="335"/>
    </row>
    <row r="402" spans="1:17" ht="23.25" customHeight="1" x14ac:dyDescent="0.5">
      <c r="A402" s="18">
        <f t="shared" si="67"/>
        <v>377</v>
      </c>
      <c r="B402" s="26" t="s">
        <v>28</v>
      </c>
      <c r="C402" s="129" t="s">
        <v>147</v>
      </c>
      <c r="D402" s="72" t="s">
        <v>386</v>
      </c>
      <c r="E402" s="73" t="s">
        <v>60</v>
      </c>
      <c r="F402" s="73" t="s">
        <v>148</v>
      </c>
      <c r="G402" s="73" t="s">
        <v>398</v>
      </c>
      <c r="H402" s="73" t="s">
        <v>137</v>
      </c>
      <c r="I402" s="191"/>
      <c r="J402" s="19">
        <v>0</v>
      </c>
      <c r="K402" s="167" t="s">
        <v>22</v>
      </c>
      <c r="L402" s="168">
        <v>0</v>
      </c>
      <c r="M402" s="168">
        <v>0</v>
      </c>
      <c r="N402" s="169">
        <f t="shared" si="64"/>
        <v>0</v>
      </c>
      <c r="O402" s="169">
        <f t="shared" si="65"/>
        <v>0</v>
      </c>
      <c r="P402" s="312">
        <f t="shared" si="66"/>
        <v>0</v>
      </c>
      <c r="Q402" s="335"/>
    </row>
    <row r="403" spans="1:17" ht="23.25" customHeight="1" x14ac:dyDescent="0.5">
      <c r="A403" s="18">
        <f t="shared" si="67"/>
        <v>378</v>
      </c>
      <c r="B403" s="26" t="s">
        <v>28</v>
      </c>
      <c r="C403" s="129" t="s">
        <v>147</v>
      </c>
      <c r="D403" s="72" t="s">
        <v>40</v>
      </c>
      <c r="E403" s="73" t="s">
        <v>60</v>
      </c>
      <c r="F403" s="73" t="s">
        <v>148</v>
      </c>
      <c r="G403" s="73" t="s">
        <v>398</v>
      </c>
      <c r="H403" s="73" t="s">
        <v>138</v>
      </c>
      <c r="I403" s="191"/>
      <c r="J403" s="19">
        <v>0</v>
      </c>
      <c r="K403" s="167" t="s">
        <v>51</v>
      </c>
      <c r="L403" s="168">
        <v>0</v>
      </c>
      <c r="M403" s="168">
        <v>0</v>
      </c>
      <c r="N403" s="169">
        <f t="shared" si="64"/>
        <v>0</v>
      </c>
      <c r="O403" s="169">
        <f t="shared" si="65"/>
        <v>0</v>
      </c>
      <c r="P403" s="312">
        <f t="shared" si="66"/>
        <v>0</v>
      </c>
      <c r="Q403" s="335"/>
    </row>
    <row r="404" spans="1:17" ht="23.25" customHeight="1" x14ac:dyDescent="0.5">
      <c r="A404" s="18">
        <f t="shared" si="67"/>
        <v>379</v>
      </c>
      <c r="B404" s="26" t="s">
        <v>28</v>
      </c>
      <c r="C404" s="129" t="s">
        <v>147</v>
      </c>
      <c r="D404" s="72" t="s">
        <v>524</v>
      </c>
      <c r="E404" s="73" t="s">
        <v>60</v>
      </c>
      <c r="F404" s="73" t="s">
        <v>148</v>
      </c>
      <c r="G404" s="73" t="s">
        <v>398</v>
      </c>
      <c r="H404" s="73" t="s">
        <v>138</v>
      </c>
      <c r="I404" s="191"/>
      <c r="J404" s="19">
        <v>0</v>
      </c>
      <c r="K404" s="167" t="s">
        <v>22</v>
      </c>
      <c r="L404" s="168">
        <v>0</v>
      </c>
      <c r="M404" s="168">
        <v>0</v>
      </c>
      <c r="N404" s="169">
        <f t="shared" si="64"/>
        <v>0</v>
      </c>
      <c r="O404" s="169">
        <f t="shared" si="65"/>
        <v>0</v>
      </c>
      <c r="P404" s="312">
        <f t="shared" si="66"/>
        <v>0</v>
      </c>
      <c r="Q404" s="335"/>
    </row>
    <row r="405" spans="1:17" ht="23.25" customHeight="1" x14ac:dyDescent="0.5">
      <c r="A405" s="18">
        <f t="shared" si="67"/>
        <v>380</v>
      </c>
      <c r="B405" s="26" t="s">
        <v>28</v>
      </c>
      <c r="C405" s="129" t="s">
        <v>147</v>
      </c>
      <c r="D405" s="72" t="s">
        <v>493</v>
      </c>
      <c r="E405" s="73" t="s">
        <v>60</v>
      </c>
      <c r="F405" s="73" t="s">
        <v>148</v>
      </c>
      <c r="G405" s="73" t="s">
        <v>398</v>
      </c>
      <c r="H405" s="73" t="s">
        <v>138</v>
      </c>
      <c r="I405" s="191"/>
      <c r="J405" s="19">
        <v>0</v>
      </c>
      <c r="K405" s="167" t="s">
        <v>22</v>
      </c>
      <c r="L405" s="168">
        <v>0</v>
      </c>
      <c r="M405" s="168">
        <v>0</v>
      </c>
      <c r="N405" s="169">
        <f t="shared" si="64"/>
        <v>0</v>
      </c>
      <c r="O405" s="169">
        <f t="shared" si="65"/>
        <v>0</v>
      </c>
      <c r="P405" s="312">
        <f t="shared" si="66"/>
        <v>0</v>
      </c>
      <c r="Q405" s="335"/>
    </row>
    <row r="406" spans="1:17" ht="23.25" customHeight="1" x14ac:dyDescent="0.5">
      <c r="A406" s="18">
        <f t="shared" si="67"/>
        <v>381</v>
      </c>
      <c r="B406" s="26" t="s">
        <v>28</v>
      </c>
      <c r="C406" s="129" t="s">
        <v>147</v>
      </c>
      <c r="D406" s="72" t="s">
        <v>386</v>
      </c>
      <c r="E406" s="73" t="s">
        <v>60</v>
      </c>
      <c r="F406" s="73" t="s">
        <v>148</v>
      </c>
      <c r="G406" s="73" t="s">
        <v>398</v>
      </c>
      <c r="H406" s="73" t="s">
        <v>138</v>
      </c>
      <c r="I406" s="191"/>
      <c r="J406" s="19">
        <v>0</v>
      </c>
      <c r="K406" s="167" t="s">
        <v>22</v>
      </c>
      <c r="L406" s="168">
        <v>0</v>
      </c>
      <c r="M406" s="168">
        <v>0</v>
      </c>
      <c r="N406" s="169">
        <f t="shared" si="64"/>
        <v>0</v>
      </c>
      <c r="O406" s="169">
        <f t="shared" si="65"/>
        <v>0</v>
      </c>
      <c r="P406" s="312">
        <f t="shared" si="66"/>
        <v>0</v>
      </c>
      <c r="Q406" s="335"/>
    </row>
    <row r="407" spans="1:17" ht="23.25" customHeight="1" x14ac:dyDescent="0.5">
      <c r="A407" s="18">
        <f t="shared" si="67"/>
        <v>382</v>
      </c>
      <c r="B407" s="26" t="s">
        <v>28</v>
      </c>
      <c r="C407" s="129" t="s">
        <v>147</v>
      </c>
      <c r="D407" s="72" t="s">
        <v>40</v>
      </c>
      <c r="E407" s="73" t="s">
        <v>60</v>
      </c>
      <c r="F407" s="73" t="s">
        <v>148</v>
      </c>
      <c r="G407" s="73" t="s">
        <v>398</v>
      </c>
      <c r="H407" s="73" t="s">
        <v>399</v>
      </c>
      <c r="I407" s="191"/>
      <c r="J407" s="19">
        <v>0</v>
      </c>
      <c r="K407" s="167" t="s">
        <v>51</v>
      </c>
      <c r="L407" s="168">
        <v>0</v>
      </c>
      <c r="M407" s="168">
        <v>0</v>
      </c>
      <c r="N407" s="169">
        <f t="shared" si="64"/>
        <v>0</v>
      </c>
      <c r="O407" s="169">
        <f t="shared" si="65"/>
        <v>0</v>
      </c>
      <c r="P407" s="312">
        <f t="shared" si="66"/>
        <v>0</v>
      </c>
      <c r="Q407" s="335"/>
    </row>
    <row r="408" spans="1:17" ht="23.25" customHeight="1" x14ac:dyDescent="0.5">
      <c r="A408" s="18">
        <f t="shared" si="67"/>
        <v>383</v>
      </c>
      <c r="B408" s="26" t="s">
        <v>28</v>
      </c>
      <c r="C408" s="129" t="s">
        <v>147</v>
      </c>
      <c r="D408" s="72" t="s">
        <v>524</v>
      </c>
      <c r="E408" s="73" t="s">
        <v>60</v>
      </c>
      <c r="F408" s="73" t="s">
        <v>148</v>
      </c>
      <c r="G408" s="73" t="s">
        <v>398</v>
      </c>
      <c r="H408" s="73" t="s">
        <v>399</v>
      </c>
      <c r="I408" s="191"/>
      <c r="J408" s="19">
        <v>0</v>
      </c>
      <c r="K408" s="167" t="s">
        <v>22</v>
      </c>
      <c r="L408" s="168">
        <v>0</v>
      </c>
      <c r="M408" s="168">
        <v>0</v>
      </c>
      <c r="N408" s="169">
        <f t="shared" si="64"/>
        <v>0</v>
      </c>
      <c r="O408" s="169">
        <f t="shared" si="65"/>
        <v>0</v>
      </c>
      <c r="P408" s="312">
        <f t="shared" si="66"/>
        <v>0</v>
      </c>
      <c r="Q408" s="335"/>
    </row>
    <row r="409" spans="1:17" ht="23.25" customHeight="1" x14ac:dyDescent="0.5">
      <c r="A409" s="18">
        <f t="shared" si="67"/>
        <v>384</v>
      </c>
      <c r="B409" s="26" t="s">
        <v>28</v>
      </c>
      <c r="C409" s="129" t="s">
        <v>147</v>
      </c>
      <c r="D409" s="72" t="s">
        <v>493</v>
      </c>
      <c r="E409" s="73" t="s">
        <v>60</v>
      </c>
      <c r="F409" s="73" t="s">
        <v>148</v>
      </c>
      <c r="G409" s="73" t="s">
        <v>398</v>
      </c>
      <c r="H409" s="73" t="s">
        <v>399</v>
      </c>
      <c r="I409" s="191"/>
      <c r="J409" s="19">
        <v>0</v>
      </c>
      <c r="K409" s="167" t="s">
        <v>22</v>
      </c>
      <c r="L409" s="168">
        <v>0</v>
      </c>
      <c r="M409" s="168">
        <v>0</v>
      </c>
      <c r="N409" s="169">
        <f t="shared" si="64"/>
        <v>0</v>
      </c>
      <c r="O409" s="169">
        <f t="shared" si="65"/>
        <v>0</v>
      </c>
      <c r="P409" s="312">
        <f t="shared" si="66"/>
        <v>0</v>
      </c>
      <c r="Q409" s="335"/>
    </row>
    <row r="410" spans="1:17" ht="23.25" customHeight="1" x14ac:dyDescent="0.5">
      <c r="A410" s="18">
        <f t="shared" si="67"/>
        <v>385</v>
      </c>
      <c r="B410" s="26" t="s">
        <v>28</v>
      </c>
      <c r="C410" s="129" t="s">
        <v>147</v>
      </c>
      <c r="D410" s="72" t="s">
        <v>386</v>
      </c>
      <c r="E410" s="73" t="s">
        <v>60</v>
      </c>
      <c r="F410" s="73" t="s">
        <v>148</v>
      </c>
      <c r="G410" s="73" t="s">
        <v>398</v>
      </c>
      <c r="H410" s="73" t="s">
        <v>399</v>
      </c>
      <c r="I410" s="191"/>
      <c r="J410" s="19">
        <v>0</v>
      </c>
      <c r="K410" s="167" t="s">
        <v>22</v>
      </c>
      <c r="L410" s="168">
        <v>0</v>
      </c>
      <c r="M410" s="168">
        <v>0</v>
      </c>
      <c r="N410" s="169">
        <f t="shared" si="64"/>
        <v>0</v>
      </c>
      <c r="O410" s="169">
        <f t="shared" si="65"/>
        <v>0</v>
      </c>
      <c r="P410" s="312">
        <f t="shared" si="66"/>
        <v>0</v>
      </c>
      <c r="Q410" s="335"/>
    </row>
    <row r="411" spans="1:17" ht="23.25" customHeight="1" x14ac:dyDescent="0.5">
      <c r="A411" s="18">
        <f t="shared" si="67"/>
        <v>386</v>
      </c>
      <c r="B411" s="26" t="s">
        <v>28</v>
      </c>
      <c r="C411" s="129" t="s">
        <v>147</v>
      </c>
      <c r="D411" s="72" t="s">
        <v>40</v>
      </c>
      <c r="E411" s="73" t="s">
        <v>60</v>
      </c>
      <c r="F411" s="73" t="s">
        <v>148</v>
      </c>
      <c r="G411" s="73" t="s">
        <v>398</v>
      </c>
      <c r="H411" s="73" t="s">
        <v>400</v>
      </c>
      <c r="I411" s="191"/>
      <c r="J411" s="19">
        <v>0</v>
      </c>
      <c r="K411" s="167" t="s">
        <v>51</v>
      </c>
      <c r="L411" s="168">
        <v>0</v>
      </c>
      <c r="M411" s="168">
        <v>0</v>
      </c>
      <c r="N411" s="169">
        <f t="shared" si="64"/>
        <v>0</v>
      </c>
      <c r="O411" s="169">
        <f t="shared" si="65"/>
        <v>0</v>
      </c>
      <c r="P411" s="312">
        <f t="shared" si="66"/>
        <v>0</v>
      </c>
      <c r="Q411" s="335"/>
    </row>
    <row r="412" spans="1:17" ht="23.25" customHeight="1" x14ac:dyDescent="0.5">
      <c r="A412" s="18">
        <f t="shared" si="67"/>
        <v>387</v>
      </c>
      <c r="B412" s="26" t="s">
        <v>28</v>
      </c>
      <c r="C412" s="129" t="s">
        <v>147</v>
      </c>
      <c r="D412" s="72" t="s">
        <v>524</v>
      </c>
      <c r="E412" s="73" t="s">
        <v>60</v>
      </c>
      <c r="F412" s="73" t="s">
        <v>148</v>
      </c>
      <c r="G412" s="73" t="s">
        <v>398</v>
      </c>
      <c r="H412" s="73" t="s">
        <v>400</v>
      </c>
      <c r="I412" s="191"/>
      <c r="J412" s="19">
        <v>0</v>
      </c>
      <c r="K412" s="167" t="s">
        <v>22</v>
      </c>
      <c r="L412" s="168">
        <v>0</v>
      </c>
      <c r="M412" s="168">
        <v>0</v>
      </c>
      <c r="N412" s="169">
        <f t="shared" si="64"/>
        <v>0</v>
      </c>
      <c r="O412" s="169">
        <f t="shared" si="65"/>
        <v>0</v>
      </c>
      <c r="P412" s="312">
        <f t="shared" si="66"/>
        <v>0</v>
      </c>
      <c r="Q412" s="335"/>
    </row>
    <row r="413" spans="1:17" ht="23.25" customHeight="1" x14ac:dyDescent="0.5">
      <c r="A413" s="18">
        <f t="shared" si="67"/>
        <v>388</v>
      </c>
      <c r="B413" s="26" t="s">
        <v>28</v>
      </c>
      <c r="C413" s="129" t="s">
        <v>147</v>
      </c>
      <c r="D413" s="72" t="s">
        <v>493</v>
      </c>
      <c r="E413" s="73" t="s">
        <v>60</v>
      </c>
      <c r="F413" s="73" t="s">
        <v>148</v>
      </c>
      <c r="G413" s="73" t="s">
        <v>398</v>
      </c>
      <c r="H413" s="73" t="s">
        <v>400</v>
      </c>
      <c r="I413" s="191"/>
      <c r="J413" s="19">
        <v>0</v>
      </c>
      <c r="K413" s="167" t="s">
        <v>22</v>
      </c>
      <c r="L413" s="168">
        <v>0</v>
      </c>
      <c r="M413" s="168">
        <v>0</v>
      </c>
      <c r="N413" s="169">
        <f t="shared" si="64"/>
        <v>0</v>
      </c>
      <c r="O413" s="169">
        <f t="shared" si="65"/>
        <v>0</v>
      </c>
      <c r="P413" s="312">
        <f t="shared" si="66"/>
        <v>0</v>
      </c>
      <c r="Q413" s="335"/>
    </row>
    <row r="414" spans="1:17" ht="23.25" customHeight="1" x14ac:dyDescent="0.5">
      <c r="A414" s="18">
        <f t="shared" si="67"/>
        <v>389</v>
      </c>
      <c r="B414" s="26" t="s">
        <v>28</v>
      </c>
      <c r="C414" s="129" t="s">
        <v>147</v>
      </c>
      <c r="D414" s="72" t="s">
        <v>386</v>
      </c>
      <c r="E414" s="73" t="s">
        <v>60</v>
      </c>
      <c r="F414" s="73" t="s">
        <v>148</v>
      </c>
      <c r="G414" s="73" t="s">
        <v>398</v>
      </c>
      <c r="H414" s="73" t="s">
        <v>400</v>
      </c>
      <c r="I414" s="191"/>
      <c r="J414" s="19">
        <v>0</v>
      </c>
      <c r="K414" s="167" t="s">
        <v>22</v>
      </c>
      <c r="L414" s="168">
        <v>0</v>
      </c>
      <c r="M414" s="168">
        <v>0</v>
      </c>
      <c r="N414" s="169">
        <f t="shared" si="64"/>
        <v>0</v>
      </c>
      <c r="O414" s="169">
        <f t="shared" si="65"/>
        <v>0</v>
      </c>
      <c r="P414" s="312">
        <f t="shared" si="66"/>
        <v>0</v>
      </c>
      <c r="Q414" s="335"/>
    </row>
    <row r="415" spans="1:17" ht="23.25" customHeight="1" x14ac:dyDescent="0.5">
      <c r="A415" s="18">
        <f t="shared" si="67"/>
        <v>390</v>
      </c>
      <c r="B415" s="26" t="s">
        <v>28</v>
      </c>
      <c r="C415" s="129" t="s">
        <v>147</v>
      </c>
      <c r="D415" s="72" t="s">
        <v>40</v>
      </c>
      <c r="E415" s="73" t="s">
        <v>60</v>
      </c>
      <c r="F415" s="73" t="s">
        <v>148</v>
      </c>
      <c r="G415" s="73" t="s">
        <v>398</v>
      </c>
      <c r="H415" s="73" t="s">
        <v>401</v>
      </c>
      <c r="I415" s="191"/>
      <c r="J415" s="19">
        <v>0</v>
      </c>
      <c r="K415" s="167" t="s">
        <v>51</v>
      </c>
      <c r="L415" s="168">
        <v>0</v>
      </c>
      <c r="M415" s="168">
        <v>0</v>
      </c>
      <c r="N415" s="169">
        <f t="shared" si="64"/>
        <v>0</v>
      </c>
      <c r="O415" s="169">
        <f t="shared" si="65"/>
        <v>0</v>
      </c>
      <c r="P415" s="312">
        <f t="shared" si="66"/>
        <v>0</v>
      </c>
      <c r="Q415" s="335"/>
    </row>
    <row r="416" spans="1:17" ht="23.25" customHeight="1" x14ac:dyDescent="0.5">
      <c r="A416" s="18">
        <f t="shared" si="67"/>
        <v>391</v>
      </c>
      <c r="B416" s="26" t="s">
        <v>28</v>
      </c>
      <c r="C416" s="129" t="s">
        <v>147</v>
      </c>
      <c r="D416" s="72" t="s">
        <v>524</v>
      </c>
      <c r="E416" s="73" t="s">
        <v>60</v>
      </c>
      <c r="F416" s="73" t="s">
        <v>148</v>
      </c>
      <c r="G416" s="73" t="s">
        <v>398</v>
      </c>
      <c r="H416" s="73" t="s">
        <v>401</v>
      </c>
      <c r="I416" s="191"/>
      <c r="J416" s="19">
        <v>0</v>
      </c>
      <c r="K416" s="167" t="s">
        <v>51</v>
      </c>
      <c r="L416" s="168">
        <v>0</v>
      </c>
      <c r="M416" s="168">
        <v>0</v>
      </c>
      <c r="N416" s="169">
        <f t="shared" si="64"/>
        <v>0</v>
      </c>
      <c r="O416" s="169">
        <f t="shared" si="65"/>
        <v>0</v>
      </c>
      <c r="P416" s="312">
        <f t="shared" si="66"/>
        <v>0</v>
      </c>
      <c r="Q416" s="335"/>
    </row>
    <row r="417" spans="1:17" ht="23.25" customHeight="1" x14ac:dyDescent="0.5">
      <c r="A417" s="18">
        <f t="shared" si="67"/>
        <v>392</v>
      </c>
      <c r="B417" s="26" t="s">
        <v>28</v>
      </c>
      <c r="C417" s="129" t="s">
        <v>147</v>
      </c>
      <c r="D417" s="72" t="s">
        <v>493</v>
      </c>
      <c r="E417" s="73" t="s">
        <v>60</v>
      </c>
      <c r="F417" s="73" t="s">
        <v>148</v>
      </c>
      <c r="G417" s="73" t="s">
        <v>398</v>
      </c>
      <c r="H417" s="73" t="s">
        <v>401</v>
      </c>
      <c r="I417" s="191"/>
      <c r="J417" s="19">
        <v>0</v>
      </c>
      <c r="K417" s="167" t="s">
        <v>51</v>
      </c>
      <c r="L417" s="168">
        <v>0</v>
      </c>
      <c r="M417" s="168">
        <v>0</v>
      </c>
      <c r="N417" s="169">
        <f t="shared" si="64"/>
        <v>0</v>
      </c>
      <c r="O417" s="169">
        <f t="shared" si="65"/>
        <v>0</v>
      </c>
      <c r="P417" s="312">
        <f t="shared" si="66"/>
        <v>0</v>
      </c>
      <c r="Q417" s="335"/>
    </row>
    <row r="418" spans="1:17" ht="23.25" customHeight="1" x14ac:dyDescent="0.5">
      <c r="A418" s="18">
        <f t="shared" si="67"/>
        <v>393</v>
      </c>
      <c r="B418" s="26" t="s">
        <v>28</v>
      </c>
      <c r="C418" s="129" t="s">
        <v>147</v>
      </c>
      <c r="D418" s="72" t="s">
        <v>386</v>
      </c>
      <c r="E418" s="73" t="s">
        <v>60</v>
      </c>
      <c r="F418" s="73" t="s">
        <v>148</v>
      </c>
      <c r="G418" s="73" t="s">
        <v>398</v>
      </c>
      <c r="H418" s="73" t="s">
        <v>401</v>
      </c>
      <c r="I418" s="191"/>
      <c r="J418" s="19">
        <v>0</v>
      </c>
      <c r="K418" s="167" t="s">
        <v>22</v>
      </c>
      <c r="L418" s="168">
        <v>0</v>
      </c>
      <c r="M418" s="168">
        <v>0</v>
      </c>
      <c r="N418" s="169">
        <f t="shared" si="64"/>
        <v>0</v>
      </c>
      <c r="O418" s="169">
        <f t="shared" si="65"/>
        <v>0</v>
      </c>
      <c r="P418" s="312">
        <f t="shared" si="66"/>
        <v>0</v>
      </c>
      <c r="Q418" s="335"/>
    </row>
    <row r="419" spans="1:17" ht="23.25" customHeight="1" x14ac:dyDescent="0.5">
      <c r="A419" s="18">
        <f t="shared" si="67"/>
        <v>394</v>
      </c>
      <c r="B419" s="26" t="s">
        <v>28</v>
      </c>
      <c r="C419" s="129" t="s">
        <v>147</v>
      </c>
      <c r="D419" s="43" t="s">
        <v>358</v>
      </c>
      <c r="E419" s="5"/>
      <c r="F419" s="5"/>
      <c r="G419" s="5"/>
      <c r="H419" s="5"/>
      <c r="I419" s="20"/>
      <c r="J419" s="19">
        <f>I419</f>
        <v>0</v>
      </c>
      <c r="K419" s="171"/>
      <c r="L419" s="168">
        <v>0</v>
      </c>
      <c r="M419" s="168">
        <v>0</v>
      </c>
      <c r="N419" s="169">
        <f>L419*J419</f>
        <v>0</v>
      </c>
      <c r="O419" s="169">
        <f>M419*J419</f>
        <v>0</v>
      </c>
      <c r="P419" s="312">
        <f>(L419*J419)+(M419*J419)</f>
        <v>0</v>
      </c>
      <c r="Q419" s="326"/>
    </row>
    <row r="420" spans="1:17" ht="23.25" customHeight="1" thickBot="1" x14ac:dyDescent="0.55000000000000004">
      <c r="A420" s="38">
        <f>A419+1</f>
        <v>395</v>
      </c>
      <c r="B420" s="39" t="s">
        <v>28</v>
      </c>
      <c r="C420" s="128" t="s">
        <v>147</v>
      </c>
      <c r="D420" s="44" t="s">
        <v>358</v>
      </c>
      <c r="E420" s="40"/>
      <c r="F420" s="40"/>
      <c r="G420" s="40"/>
      <c r="H420" s="40"/>
      <c r="I420" s="41"/>
      <c r="J420" s="24">
        <f>I420</f>
        <v>0</v>
      </c>
      <c r="K420" s="194"/>
      <c r="L420" s="195">
        <v>0</v>
      </c>
      <c r="M420" s="195">
        <v>0</v>
      </c>
      <c r="N420" s="196">
        <f>L420*J420</f>
        <v>0</v>
      </c>
      <c r="O420" s="196">
        <f>M420*J420</f>
        <v>0</v>
      </c>
      <c r="P420" s="313">
        <f>(L420*J420)+(M420*J420)</f>
        <v>0</v>
      </c>
      <c r="Q420" s="328"/>
    </row>
    <row r="421" spans="1:17" ht="54.75" customHeight="1" thickBot="1" x14ac:dyDescent="0.55000000000000004">
      <c r="A421" s="90"/>
      <c r="B421" s="91" t="s">
        <v>28</v>
      </c>
      <c r="C421" s="137" t="s">
        <v>147</v>
      </c>
      <c r="D421" s="238" t="s">
        <v>525</v>
      </c>
      <c r="E421" s="239"/>
      <c r="F421" s="239"/>
      <c r="G421" s="239"/>
      <c r="H421" s="240"/>
      <c r="I421" s="241"/>
      <c r="J421" s="242"/>
      <c r="K421" s="243"/>
      <c r="L421" s="244"/>
      <c r="M421" s="244"/>
      <c r="N421" s="245"/>
      <c r="O421" s="245"/>
      <c r="P421" s="314"/>
      <c r="Q421" s="346"/>
    </row>
    <row r="422" spans="1:17" ht="23.25" customHeight="1" x14ac:dyDescent="0.5">
      <c r="A422" s="28">
        <f>A420+1</f>
        <v>396</v>
      </c>
      <c r="B422" s="35" t="s">
        <v>28</v>
      </c>
      <c r="C422" s="127" t="s">
        <v>147</v>
      </c>
      <c r="D422" s="77" t="s">
        <v>40</v>
      </c>
      <c r="E422" s="78" t="s">
        <v>60</v>
      </c>
      <c r="F422" s="78" t="s">
        <v>148</v>
      </c>
      <c r="G422" s="78" t="s">
        <v>150</v>
      </c>
      <c r="H422" s="78" t="s">
        <v>149</v>
      </c>
      <c r="I422" s="189"/>
      <c r="J422" s="32">
        <v>0</v>
      </c>
      <c r="K422" s="190" t="s">
        <v>51</v>
      </c>
      <c r="L422" s="185">
        <v>0</v>
      </c>
      <c r="M422" s="185">
        <v>0</v>
      </c>
      <c r="N422" s="186">
        <f t="shared" ref="N422:N472" si="68">L422*J422</f>
        <v>0</v>
      </c>
      <c r="O422" s="186">
        <f t="shared" ref="O422:O472" si="69">M422*J422</f>
        <v>0</v>
      </c>
      <c r="P422" s="311">
        <f t="shared" ref="P422:P472" si="70">(L422*J422)+(M422*J422)</f>
        <v>0</v>
      </c>
      <c r="Q422" s="336"/>
    </row>
    <row r="423" spans="1:17" ht="23.25" customHeight="1" x14ac:dyDescent="0.5">
      <c r="A423" s="18">
        <f>A422+1</f>
        <v>397</v>
      </c>
      <c r="B423" s="26" t="s">
        <v>28</v>
      </c>
      <c r="C423" s="129" t="s">
        <v>147</v>
      </c>
      <c r="D423" s="72" t="s">
        <v>524</v>
      </c>
      <c r="E423" s="73" t="s">
        <v>60</v>
      </c>
      <c r="F423" s="73" t="s">
        <v>148</v>
      </c>
      <c r="G423" s="73" t="s">
        <v>150</v>
      </c>
      <c r="H423" s="73" t="s">
        <v>149</v>
      </c>
      <c r="I423" s="191"/>
      <c r="J423" s="19">
        <v>0</v>
      </c>
      <c r="K423" s="167" t="s">
        <v>22</v>
      </c>
      <c r="L423" s="168">
        <v>0</v>
      </c>
      <c r="M423" s="168">
        <v>0</v>
      </c>
      <c r="N423" s="169">
        <f t="shared" si="68"/>
        <v>0</v>
      </c>
      <c r="O423" s="169">
        <f t="shared" si="69"/>
        <v>0</v>
      </c>
      <c r="P423" s="312">
        <f t="shared" si="70"/>
        <v>0</v>
      </c>
      <c r="Q423" s="335"/>
    </row>
    <row r="424" spans="1:17" ht="23.25" customHeight="1" x14ac:dyDescent="0.5">
      <c r="A424" s="18">
        <f t="shared" ref="A424:A446" si="71">A423+1</f>
        <v>398</v>
      </c>
      <c r="B424" s="26" t="s">
        <v>28</v>
      </c>
      <c r="C424" s="129" t="s">
        <v>147</v>
      </c>
      <c r="D424" s="72" t="s">
        <v>493</v>
      </c>
      <c r="E424" s="73" t="s">
        <v>60</v>
      </c>
      <c r="F424" s="73" t="s">
        <v>148</v>
      </c>
      <c r="G424" s="73" t="s">
        <v>150</v>
      </c>
      <c r="H424" s="73" t="s">
        <v>149</v>
      </c>
      <c r="I424" s="191"/>
      <c r="J424" s="19">
        <v>0</v>
      </c>
      <c r="K424" s="167" t="s">
        <v>22</v>
      </c>
      <c r="L424" s="168">
        <v>0</v>
      </c>
      <c r="M424" s="168">
        <v>0</v>
      </c>
      <c r="N424" s="169">
        <f t="shared" si="68"/>
        <v>0</v>
      </c>
      <c r="O424" s="169">
        <f t="shared" si="69"/>
        <v>0</v>
      </c>
      <c r="P424" s="312">
        <f t="shared" si="70"/>
        <v>0</v>
      </c>
      <c r="Q424" s="335"/>
    </row>
    <row r="425" spans="1:17" ht="23.25" customHeight="1" x14ac:dyDescent="0.5">
      <c r="A425" s="18">
        <f t="shared" si="71"/>
        <v>399</v>
      </c>
      <c r="B425" s="26" t="s">
        <v>28</v>
      </c>
      <c r="C425" s="129" t="s">
        <v>147</v>
      </c>
      <c r="D425" s="72" t="s">
        <v>386</v>
      </c>
      <c r="E425" s="73" t="s">
        <v>60</v>
      </c>
      <c r="F425" s="73" t="s">
        <v>148</v>
      </c>
      <c r="G425" s="73" t="s">
        <v>150</v>
      </c>
      <c r="H425" s="73" t="s">
        <v>149</v>
      </c>
      <c r="I425" s="191"/>
      <c r="J425" s="19">
        <v>0</v>
      </c>
      <c r="K425" s="167" t="s">
        <v>22</v>
      </c>
      <c r="L425" s="168">
        <v>0</v>
      </c>
      <c r="M425" s="168">
        <v>0</v>
      </c>
      <c r="N425" s="169">
        <f t="shared" si="68"/>
        <v>0</v>
      </c>
      <c r="O425" s="169">
        <f t="shared" si="69"/>
        <v>0</v>
      </c>
      <c r="P425" s="312">
        <f t="shared" si="70"/>
        <v>0</v>
      </c>
      <c r="Q425" s="335"/>
    </row>
    <row r="426" spans="1:17" ht="23.25" customHeight="1" x14ac:dyDescent="0.5">
      <c r="A426" s="18">
        <f t="shared" si="71"/>
        <v>400</v>
      </c>
      <c r="B426" s="26" t="s">
        <v>28</v>
      </c>
      <c r="C426" s="129" t="s">
        <v>147</v>
      </c>
      <c r="D426" s="72" t="s">
        <v>40</v>
      </c>
      <c r="E426" s="73" t="s">
        <v>60</v>
      </c>
      <c r="F426" s="73" t="s">
        <v>148</v>
      </c>
      <c r="G426" s="73" t="s">
        <v>150</v>
      </c>
      <c r="H426" s="73" t="s">
        <v>137</v>
      </c>
      <c r="I426" s="191"/>
      <c r="J426" s="19">
        <v>0</v>
      </c>
      <c r="K426" s="167" t="s">
        <v>51</v>
      </c>
      <c r="L426" s="168">
        <v>0</v>
      </c>
      <c r="M426" s="168">
        <v>0</v>
      </c>
      <c r="N426" s="169">
        <f t="shared" si="68"/>
        <v>0</v>
      </c>
      <c r="O426" s="169">
        <f t="shared" si="69"/>
        <v>0</v>
      </c>
      <c r="P426" s="312">
        <f t="shared" si="70"/>
        <v>0</v>
      </c>
      <c r="Q426" s="335"/>
    </row>
    <row r="427" spans="1:17" ht="23.25" customHeight="1" x14ac:dyDescent="0.5">
      <c r="A427" s="18">
        <f t="shared" si="71"/>
        <v>401</v>
      </c>
      <c r="B427" s="26" t="s">
        <v>28</v>
      </c>
      <c r="C427" s="129" t="s">
        <v>147</v>
      </c>
      <c r="D427" s="72" t="s">
        <v>524</v>
      </c>
      <c r="E427" s="73" t="s">
        <v>60</v>
      </c>
      <c r="F427" s="73" t="s">
        <v>148</v>
      </c>
      <c r="G427" s="73" t="s">
        <v>150</v>
      </c>
      <c r="H427" s="73" t="s">
        <v>137</v>
      </c>
      <c r="I427" s="191"/>
      <c r="J427" s="19">
        <v>0</v>
      </c>
      <c r="K427" s="167" t="s">
        <v>22</v>
      </c>
      <c r="L427" s="168">
        <v>0</v>
      </c>
      <c r="M427" s="168">
        <v>0</v>
      </c>
      <c r="N427" s="169">
        <f t="shared" si="68"/>
        <v>0</v>
      </c>
      <c r="O427" s="169">
        <f t="shared" si="69"/>
        <v>0</v>
      </c>
      <c r="P427" s="312">
        <f t="shared" si="70"/>
        <v>0</v>
      </c>
      <c r="Q427" s="335"/>
    </row>
    <row r="428" spans="1:17" ht="23.25" customHeight="1" x14ac:dyDescent="0.5">
      <c r="A428" s="18">
        <f t="shared" si="71"/>
        <v>402</v>
      </c>
      <c r="B428" s="26" t="s">
        <v>28</v>
      </c>
      <c r="C428" s="129" t="s">
        <v>147</v>
      </c>
      <c r="D428" s="72" t="s">
        <v>493</v>
      </c>
      <c r="E428" s="73" t="s">
        <v>60</v>
      </c>
      <c r="F428" s="73" t="s">
        <v>148</v>
      </c>
      <c r="G428" s="73" t="s">
        <v>150</v>
      </c>
      <c r="H428" s="73" t="s">
        <v>137</v>
      </c>
      <c r="I428" s="191"/>
      <c r="J428" s="19">
        <v>0</v>
      </c>
      <c r="K428" s="167" t="s">
        <v>22</v>
      </c>
      <c r="L428" s="168">
        <v>0</v>
      </c>
      <c r="M428" s="168">
        <v>0</v>
      </c>
      <c r="N428" s="169">
        <f t="shared" si="68"/>
        <v>0</v>
      </c>
      <c r="O428" s="169">
        <f t="shared" si="69"/>
        <v>0</v>
      </c>
      <c r="P428" s="312">
        <f t="shared" si="70"/>
        <v>0</v>
      </c>
      <c r="Q428" s="335"/>
    </row>
    <row r="429" spans="1:17" ht="23.25" customHeight="1" x14ac:dyDescent="0.5">
      <c r="A429" s="18">
        <f t="shared" si="71"/>
        <v>403</v>
      </c>
      <c r="B429" s="26" t="s">
        <v>28</v>
      </c>
      <c r="C429" s="129" t="s">
        <v>147</v>
      </c>
      <c r="D429" s="72" t="s">
        <v>386</v>
      </c>
      <c r="E429" s="73" t="s">
        <v>60</v>
      </c>
      <c r="F429" s="73" t="s">
        <v>148</v>
      </c>
      <c r="G429" s="73" t="s">
        <v>150</v>
      </c>
      <c r="H429" s="73" t="s">
        <v>137</v>
      </c>
      <c r="I429" s="191"/>
      <c r="J429" s="19">
        <v>0</v>
      </c>
      <c r="K429" s="167" t="s">
        <v>22</v>
      </c>
      <c r="L429" s="168">
        <v>0</v>
      </c>
      <c r="M429" s="168">
        <v>0</v>
      </c>
      <c r="N429" s="169">
        <f t="shared" si="68"/>
        <v>0</v>
      </c>
      <c r="O429" s="169">
        <f t="shared" si="69"/>
        <v>0</v>
      </c>
      <c r="P429" s="312">
        <f t="shared" si="70"/>
        <v>0</v>
      </c>
      <c r="Q429" s="335"/>
    </row>
    <row r="430" spans="1:17" ht="23.25" customHeight="1" x14ac:dyDescent="0.5">
      <c r="A430" s="18">
        <f t="shared" si="71"/>
        <v>404</v>
      </c>
      <c r="B430" s="26" t="s">
        <v>28</v>
      </c>
      <c r="C430" s="129" t="s">
        <v>147</v>
      </c>
      <c r="D430" s="72" t="s">
        <v>40</v>
      </c>
      <c r="E430" s="73" t="s">
        <v>60</v>
      </c>
      <c r="F430" s="73" t="s">
        <v>148</v>
      </c>
      <c r="G430" s="73" t="s">
        <v>150</v>
      </c>
      <c r="H430" s="73" t="s">
        <v>138</v>
      </c>
      <c r="I430" s="191"/>
      <c r="J430" s="19">
        <v>0</v>
      </c>
      <c r="K430" s="167" t="s">
        <v>51</v>
      </c>
      <c r="L430" s="168">
        <v>0</v>
      </c>
      <c r="M430" s="168">
        <v>0</v>
      </c>
      <c r="N430" s="169">
        <f t="shared" si="68"/>
        <v>0</v>
      </c>
      <c r="O430" s="169">
        <f t="shared" si="69"/>
        <v>0</v>
      </c>
      <c r="P430" s="312">
        <f t="shared" si="70"/>
        <v>0</v>
      </c>
      <c r="Q430" s="335"/>
    </row>
    <row r="431" spans="1:17" ht="23.25" customHeight="1" x14ac:dyDescent="0.5">
      <c r="A431" s="18">
        <f t="shared" si="71"/>
        <v>405</v>
      </c>
      <c r="B431" s="26" t="s">
        <v>28</v>
      </c>
      <c r="C431" s="129" t="s">
        <v>147</v>
      </c>
      <c r="D431" s="72" t="s">
        <v>524</v>
      </c>
      <c r="E431" s="73" t="s">
        <v>60</v>
      </c>
      <c r="F431" s="73" t="s">
        <v>148</v>
      </c>
      <c r="G431" s="73" t="s">
        <v>150</v>
      </c>
      <c r="H431" s="73" t="s">
        <v>138</v>
      </c>
      <c r="I431" s="191"/>
      <c r="J431" s="19">
        <v>0</v>
      </c>
      <c r="K431" s="167" t="s">
        <v>22</v>
      </c>
      <c r="L431" s="168">
        <v>0</v>
      </c>
      <c r="M431" s="168">
        <v>0</v>
      </c>
      <c r="N431" s="169">
        <f t="shared" si="68"/>
        <v>0</v>
      </c>
      <c r="O431" s="169">
        <f t="shared" si="69"/>
        <v>0</v>
      </c>
      <c r="P431" s="312">
        <f t="shared" si="70"/>
        <v>0</v>
      </c>
      <c r="Q431" s="335"/>
    </row>
    <row r="432" spans="1:17" ht="23.25" customHeight="1" x14ac:dyDescent="0.5">
      <c r="A432" s="18">
        <f t="shared" si="71"/>
        <v>406</v>
      </c>
      <c r="B432" s="26" t="s">
        <v>28</v>
      </c>
      <c r="C432" s="129" t="s">
        <v>147</v>
      </c>
      <c r="D432" s="72" t="s">
        <v>493</v>
      </c>
      <c r="E432" s="73" t="s">
        <v>60</v>
      </c>
      <c r="F432" s="73" t="s">
        <v>148</v>
      </c>
      <c r="G432" s="73" t="s">
        <v>150</v>
      </c>
      <c r="H432" s="73" t="s">
        <v>138</v>
      </c>
      <c r="I432" s="191"/>
      <c r="J432" s="19">
        <v>0</v>
      </c>
      <c r="K432" s="167" t="s">
        <v>22</v>
      </c>
      <c r="L432" s="168">
        <v>0</v>
      </c>
      <c r="M432" s="168">
        <v>0</v>
      </c>
      <c r="N432" s="169">
        <f t="shared" si="68"/>
        <v>0</v>
      </c>
      <c r="O432" s="169">
        <f t="shared" si="69"/>
        <v>0</v>
      </c>
      <c r="P432" s="312">
        <f t="shared" si="70"/>
        <v>0</v>
      </c>
      <c r="Q432" s="335"/>
    </row>
    <row r="433" spans="1:19" ht="23.25" customHeight="1" x14ac:dyDescent="0.5">
      <c r="A433" s="18">
        <f t="shared" si="71"/>
        <v>407</v>
      </c>
      <c r="B433" s="26" t="s">
        <v>28</v>
      </c>
      <c r="C433" s="129" t="s">
        <v>147</v>
      </c>
      <c r="D433" s="72" t="s">
        <v>386</v>
      </c>
      <c r="E433" s="73" t="s">
        <v>60</v>
      </c>
      <c r="F433" s="73" t="s">
        <v>148</v>
      </c>
      <c r="G433" s="73" t="s">
        <v>150</v>
      </c>
      <c r="H433" s="73" t="s">
        <v>138</v>
      </c>
      <c r="I433" s="191"/>
      <c r="J433" s="19">
        <v>0</v>
      </c>
      <c r="K433" s="167" t="s">
        <v>22</v>
      </c>
      <c r="L433" s="168">
        <v>0</v>
      </c>
      <c r="M433" s="168">
        <v>0</v>
      </c>
      <c r="N433" s="169">
        <f t="shared" si="68"/>
        <v>0</v>
      </c>
      <c r="O433" s="169">
        <f t="shared" si="69"/>
        <v>0</v>
      </c>
      <c r="P433" s="312">
        <f t="shared" si="70"/>
        <v>0</v>
      </c>
      <c r="Q433" s="335"/>
    </row>
    <row r="434" spans="1:19" ht="23.25" customHeight="1" x14ac:dyDescent="0.5">
      <c r="A434" s="18">
        <f t="shared" si="71"/>
        <v>408</v>
      </c>
      <c r="B434" s="26" t="s">
        <v>28</v>
      </c>
      <c r="C434" s="129" t="s">
        <v>147</v>
      </c>
      <c r="D434" s="72" t="s">
        <v>40</v>
      </c>
      <c r="E434" s="73" t="s">
        <v>60</v>
      </c>
      <c r="F434" s="73" t="s">
        <v>148</v>
      </c>
      <c r="G434" s="73" t="s">
        <v>150</v>
      </c>
      <c r="H434" s="73" t="s">
        <v>399</v>
      </c>
      <c r="I434" s="191"/>
      <c r="J434" s="19">
        <v>0</v>
      </c>
      <c r="K434" s="167" t="s">
        <v>51</v>
      </c>
      <c r="L434" s="168">
        <v>0</v>
      </c>
      <c r="M434" s="168">
        <v>0</v>
      </c>
      <c r="N434" s="169">
        <f t="shared" si="68"/>
        <v>0</v>
      </c>
      <c r="O434" s="169">
        <f t="shared" si="69"/>
        <v>0</v>
      </c>
      <c r="P434" s="312">
        <f t="shared" si="70"/>
        <v>0</v>
      </c>
      <c r="Q434" s="335"/>
    </row>
    <row r="435" spans="1:19" ht="23.25" customHeight="1" x14ac:dyDescent="0.5">
      <c r="A435" s="18">
        <f t="shared" si="71"/>
        <v>409</v>
      </c>
      <c r="B435" s="26" t="s">
        <v>28</v>
      </c>
      <c r="C435" s="129" t="s">
        <v>147</v>
      </c>
      <c r="D435" s="72" t="s">
        <v>524</v>
      </c>
      <c r="E435" s="73" t="s">
        <v>60</v>
      </c>
      <c r="F435" s="73" t="s">
        <v>148</v>
      </c>
      <c r="G435" s="73" t="s">
        <v>150</v>
      </c>
      <c r="H435" s="73" t="s">
        <v>399</v>
      </c>
      <c r="I435" s="191"/>
      <c r="J435" s="19">
        <v>0</v>
      </c>
      <c r="K435" s="167" t="s">
        <v>22</v>
      </c>
      <c r="L435" s="168">
        <v>0</v>
      </c>
      <c r="M435" s="168">
        <v>0</v>
      </c>
      <c r="N435" s="169">
        <f t="shared" si="68"/>
        <v>0</v>
      </c>
      <c r="O435" s="169">
        <f t="shared" si="69"/>
        <v>0</v>
      </c>
      <c r="P435" s="312">
        <f t="shared" si="70"/>
        <v>0</v>
      </c>
      <c r="Q435" s="335"/>
    </row>
    <row r="436" spans="1:19" ht="23.25" customHeight="1" x14ac:dyDescent="0.5">
      <c r="A436" s="18">
        <f t="shared" si="71"/>
        <v>410</v>
      </c>
      <c r="B436" s="26" t="s">
        <v>28</v>
      </c>
      <c r="C436" s="129" t="s">
        <v>147</v>
      </c>
      <c r="D436" s="72" t="s">
        <v>493</v>
      </c>
      <c r="E436" s="73" t="s">
        <v>60</v>
      </c>
      <c r="F436" s="73" t="s">
        <v>148</v>
      </c>
      <c r="G436" s="73" t="s">
        <v>150</v>
      </c>
      <c r="H436" s="73" t="s">
        <v>399</v>
      </c>
      <c r="I436" s="191"/>
      <c r="J436" s="19">
        <v>0</v>
      </c>
      <c r="K436" s="167" t="s">
        <v>22</v>
      </c>
      <c r="L436" s="168">
        <v>0</v>
      </c>
      <c r="M436" s="168">
        <v>0</v>
      </c>
      <c r="N436" s="169">
        <f t="shared" si="68"/>
        <v>0</v>
      </c>
      <c r="O436" s="169">
        <f t="shared" si="69"/>
        <v>0</v>
      </c>
      <c r="P436" s="312">
        <f t="shared" si="70"/>
        <v>0</v>
      </c>
      <c r="Q436" s="335"/>
    </row>
    <row r="437" spans="1:19" ht="23.25" customHeight="1" x14ac:dyDescent="0.5">
      <c r="A437" s="18">
        <f t="shared" si="71"/>
        <v>411</v>
      </c>
      <c r="B437" s="26" t="s">
        <v>28</v>
      </c>
      <c r="C437" s="129" t="s">
        <v>147</v>
      </c>
      <c r="D437" s="72" t="s">
        <v>386</v>
      </c>
      <c r="E437" s="73" t="s">
        <v>60</v>
      </c>
      <c r="F437" s="73" t="s">
        <v>148</v>
      </c>
      <c r="G437" s="73" t="s">
        <v>150</v>
      </c>
      <c r="H437" s="73" t="s">
        <v>399</v>
      </c>
      <c r="I437" s="191"/>
      <c r="J437" s="19">
        <v>0</v>
      </c>
      <c r="K437" s="167" t="s">
        <v>22</v>
      </c>
      <c r="L437" s="168">
        <v>0</v>
      </c>
      <c r="M437" s="168">
        <v>0</v>
      </c>
      <c r="N437" s="169">
        <f t="shared" si="68"/>
        <v>0</v>
      </c>
      <c r="O437" s="169">
        <f t="shared" si="69"/>
        <v>0</v>
      </c>
      <c r="P437" s="312">
        <f t="shared" si="70"/>
        <v>0</v>
      </c>
      <c r="Q437" s="335"/>
    </row>
    <row r="438" spans="1:19" ht="23.25" customHeight="1" x14ac:dyDescent="0.5">
      <c r="A438" s="18">
        <f t="shared" si="71"/>
        <v>412</v>
      </c>
      <c r="B438" s="26" t="s">
        <v>28</v>
      </c>
      <c r="C438" s="129" t="s">
        <v>147</v>
      </c>
      <c r="D438" s="72" t="s">
        <v>40</v>
      </c>
      <c r="E438" s="73" t="s">
        <v>60</v>
      </c>
      <c r="F438" s="73" t="s">
        <v>148</v>
      </c>
      <c r="G438" s="73" t="s">
        <v>150</v>
      </c>
      <c r="H438" s="73" t="s">
        <v>400</v>
      </c>
      <c r="I438" s="191"/>
      <c r="J438" s="19">
        <v>0</v>
      </c>
      <c r="K438" s="167" t="s">
        <v>51</v>
      </c>
      <c r="L438" s="168">
        <v>0</v>
      </c>
      <c r="M438" s="168">
        <v>0</v>
      </c>
      <c r="N438" s="169">
        <f t="shared" si="68"/>
        <v>0</v>
      </c>
      <c r="O438" s="169">
        <f t="shared" si="69"/>
        <v>0</v>
      </c>
      <c r="P438" s="312">
        <f t="shared" si="70"/>
        <v>0</v>
      </c>
      <c r="Q438" s="335"/>
    </row>
    <row r="439" spans="1:19" ht="23.25" customHeight="1" x14ac:dyDescent="0.5">
      <c r="A439" s="18">
        <f t="shared" si="71"/>
        <v>413</v>
      </c>
      <c r="B439" s="26" t="s">
        <v>28</v>
      </c>
      <c r="C439" s="129" t="s">
        <v>147</v>
      </c>
      <c r="D439" s="72" t="s">
        <v>524</v>
      </c>
      <c r="E439" s="73" t="s">
        <v>60</v>
      </c>
      <c r="F439" s="73" t="s">
        <v>148</v>
      </c>
      <c r="G439" s="73" t="s">
        <v>150</v>
      </c>
      <c r="H439" s="73" t="s">
        <v>400</v>
      </c>
      <c r="I439" s="191"/>
      <c r="J439" s="19">
        <v>0</v>
      </c>
      <c r="K439" s="167" t="s">
        <v>22</v>
      </c>
      <c r="L439" s="168">
        <v>0</v>
      </c>
      <c r="M439" s="168">
        <v>0</v>
      </c>
      <c r="N439" s="169">
        <f t="shared" si="68"/>
        <v>0</v>
      </c>
      <c r="O439" s="169">
        <f t="shared" si="69"/>
        <v>0</v>
      </c>
      <c r="P439" s="312">
        <f t="shared" si="70"/>
        <v>0</v>
      </c>
      <c r="Q439" s="335"/>
    </row>
    <row r="440" spans="1:19" ht="23.25" customHeight="1" x14ac:dyDescent="0.5">
      <c r="A440" s="18">
        <f t="shared" si="71"/>
        <v>414</v>
      </c>
      <c r="B440" s="26" t="s">
        <v>28</v>
      </c>
      <c r="C440" s="129" t="s">
        <v>147</v>
      </c>
      <c r="D440" s="72" t="s">
        <v>493</v>
      </c>
      <c r="E440" s="73" t="s">
        <v>60</v>
      </c>
      <c r="F440" s="73" t="s">
        <v>148</v>
      </c>
      <c r="G440" s="73" t="s">
        <v>150</v>
      </c>
      <c r="H440" s="73" t="s">
        <v>400</v>
      </c>
      <c r="I440" s="191"/>
      <c r="J440" s="19">
        <v>0</v>
      </c>
      <c r="K440" s="167" t="s">
        <v>22</v>
      </c>
      <c r="L440" s="168">
        <v>0</v>
      </c>
      <c r="M440" s="168">
        <v>0</v>
      </c>
      <c r="N440" s="169">
        <f t="shared" si="68"/>
        <v>0</v>
      </c>
      <c r="O440" s="169">
        <f t="shared" si="69"/>
        <v>0</v>
      </c>
      <c r="P440" s="312">
        <f t="shared" si="70"/>
        <v>0</v>
      </c>
      <c r="Q440" s="335"/>
    </row>
    <row r="441" spans="1:19" ht="23.25" customHeight="1" x14ac:dyDescent="0.5">
      <c r="A441" s="18">
        <f t="shared" si="71"/>
        <v>415</v>
      </c>
      <c r="B441" s="26" t="s">
        <v>28</v>
      </c>
      <c r="C441" s="129" t="s">
        <v>147</v>
      </c>
      <c r="D441" s="72" t="s">
        <v>386</v>
      </c>
      <c r="E441" s="73" t="s">
        <v>60</v>
      </c>
      <c r="F441" s="73" t="s">
        <v>148</v>
      </c>
      <c r="G441" s="73" t="s">
        <v>150</v>
      </c>
      <c r="H441" s="73" t="s">
        <v>400</v>
      </c>
      <c r="I441" s="191"/>
      <c r="J441" s="19">
        <v>0</v>
      </c>
      <c r="K441" s="167" t="s">
        <v>22</v>
      </c>
      <c r="L441" s="168">
        <v>0</v>
      </c>
      <c r="M441" s="168">
        <v>0</v>
      </c>
      <c r="N441" s="169">
        <f t="shared" si="68"/>
        <v>0</v>
      </c>
      <c r="O441" s="169">
        <f t="shared" si="69"/>
        <v>0</v>
      </c>
      <c r="P441" s="312">
        <f t="shared" si="70"/>
        <v>0</v>
      </c>
      <c r="Q441" s="335"/>
    </row>
    <row r="442" spans="1:19" ht="23.25" customHeight="1" x14ac:dyDescent="0.5">
      <c r="A442" s="18">
        <f t="shared" si="71"/>
        <v>416</v>
      </c>
      <c r="B442" s="26" t="s">
        <v>28</v>
      </c>
      <c r="C442" s="129" t="s">
        <v>147</v>
      </c>
      <c r="D442" s="72" t="s">
        <v>40</v>
      </c>
      <c r="E442" s="73" t="s">
        <v>60</v>
      </c>
      <c r="F442" s="73" t="s">
        <v>148</v>
      </c>
      <c r="G442" s="73" t="s">
        <v>150</v>
      </c>
      <c r="H442" s="73" t="s">
        <v>401</v>
      </c>
      <c r="I442" s="191"/>
      <c r="J442" s="19">
        <v>0</v>
      </c>
      <c r="K442" s="167" t="s">
        <v>51</v>
      </c>
      <c r="L442" s="168">
        <v>0</v>
      </c>
      <c r="M442" s="168">
        <v>0</v>
      </c>
      <c r="N442" s="169">
        <f t="shared" si="68"/>
        <v>0</v>
      </c>
      <c r="O442" s="169">
        <f t="shared" si="69"/>
        <v>0</v>
      </c>
      <c r="P442" s="312">
        <f t="shared" si="70"/>
        <v>0</v>
      </c>
      <c r="Q442" s="335"/>
    </row>
    <row r="443" spans="1:19" ht="23.25" customHeight="1" x14ac:dyDescent="0.5">
      <c r="A443" s="18">
        <f t="shared" si="71"/>
        <v>417</v>
      </c>
      <c r="B443" s="26" t="s">
        <v>28</v>
      </c>
      <c r="C443" s="129" t="s">
        <v>147</v>
      </c>
      <c r="D443" s="72" t="s">
        <v>524</v>
      </c>
      <c r="E443" s="73" t="s">
        <v>60</v>
      </c>
      <c r="F443" s="73" t="s">
        <v>148</v>
      </c>
      <c r="G443" s="73" t="s">
        <v>150</v>
      </c>
      <c r="H443" s="73" t="s">
        <v>401</v>
      </c>
      <c r="I443" s="191"/>
      <c r="J443" s="19">
        <v>0</v>
      </c>
      <c r="K443" s="167" t="s">
        <v>51</v>
      </c>
      <c r="L443" s="168">
        <v>0</v>
      </c>
      <c r="M443" s="168">
        <v>0</v>
      </c>
      <c r="N443" s="169">
        <f t="shared" si="68"/>
        <v>0</v>
      </c>
      <c r="O443" s="169">
        <f t="shared" si="69"/>
        <v>0</v>
      </c>
      <c r="P443" s="312">
        <f t="shared" si="70"/>
        <v>0</v>
      </c>
      <c r="Q443" s="335"/>
    </row>
    <row r="444" spans="1:19" ht="23.25" customHeight="1" x14ac:dyDescent="0.5">
      <c r="A444" s="18">
        <f t="shared" si="71"/>
        <v>418</v>
      </c>
      <c r="B444" s="26" t="s">
        <v>28</v>
      </c>
      <c r="C444" s="129" t="s">
        <v>147</v>
      </c>
      <c r="D444" s="72" t="s">
        <v>493</v>
      </c>
      <c r="E444" s="73" t="s">
        <v>60</v>
      </c>
      <c r="F444" s="73" t="s">
        <v>148</v>
      </c>
      <c r="G444" s="73" t="s">
        <v>150</v>
      </c>
      <c r="H444" s="73" t="s">
        <v>401</v>
      </c>
      <c r="I444" s="191"/>
      <c r="J444" s="19">
        <v>0</v>
      </c>
      <c r="K444" s="167" t="s">
        <v>51</v>
      </c>
      <c r="L444" s="168">
        <v>0</v>
      </c>
      <c r="M444" s="168">
        <v>0</v>
      </c>
      <c r="N444" s="169">
        <f t="shared" si="68"/>
        <v>0</v>
      </c>
      <c r="O444" s="169">
        <f t="shared" si="69"/>
        <v>0</v>
      </c>
      <c r="P444" s="312">
        <f t="shared" si="70"/>
        <v>0</v>
      </c>
      <c r="Q444" s="335"/>
    </row>
    <row r="445" spans="1:19" ht="23.25" customHeight="1" x14ac:dyDescent="0.5">
      <c r="A445" s="18">
        <f t="shared" si="71"/>
        <v>419</v>
      </c>
      <c r="B445" s="26" t="s">
        <v>28</v>
      </c>
      <c r="C445" s="129" t="s">
        <v>147</v>
      </c>
      <c r="D445" s="72" t="s">
        <v>386</v>
      </c>
      <c r="E445" s="73" t="s">
        <v>60</v>
      </c>
      <c r="F445" s="73" t="s">
        <v>148</v>
      </c>
      <c r="G445" s="73" t="s">
        <v>151</v>
      </c>
      <c r="H445" s="73" t="s">
        <v>401</v>
      </c>
      <c r="I445" s="191"/>
      <c r="J445" s="19">
        <v>0</v>
      </c>
      <c r="K445" s="167" t="s">
        <v>22</v>
      </c>
      <c r="L445" s="168">
        <v>0</v>
      </c>
      <c r="M445" s="168">
        <v>0</v>
      </c>
      <c r="N445" s="169">
        <f t="shared" si="68"/>
        <v>0</v>
      </c>
      <c r="O445" s="169">
        <f t="shared" si="69"/>
        <v>0</v>
      </c>
      <c r="P445" s="312">
        <f t="shared" si="70"/>
        <v>0</v>
      </c>
      <c r="Q445" s="335"/>
    </row>
    <row r="446" spans="1:19" ht="23.25" customHeight="1" x14ac:dyDescent="0.5">
      <c r="A446" s="18">
        <f t="shared" si="71"/>
        <v>420</v>
      </c>
      <c r="B446" s="26" t="s">
        <v>28</v>
      </c>
      <c r="C446" s="129" t="s">
        <v>147</v>
      </c>
      <c r="D446" s="43" t="s">
        <v>358</v>
      </c>
      <c r="E446" s="5"/>
      <c r="F446" s="5"/>
      <c r="G446" s="5"/>
      <c r="H446" s="5"/>
      <c r="I446" s="20"/>
      <c r="J446" s="19">
        <f>I446</f>
        <v>0</v>
      </c>
      <c r="K446" s="171"/>
      <c r="L446" s="168">
        <v>0</v>
      </c>
      <c r="M446" s="168">
        <v>0</v>
      </c>
      <c r="N446" s="169">
        <f>L446*J446</f>
        <v>0</v>
      </c>
      <c r="O446" s="169">
        <f>M446*J446</f>
        <v>0</v>
      </c>
      <c r="P446" s="312">
        <f>(L446*J446)+(M446*J446)</f>
        <v>0</v>
      </c>
      <c r="Q446" s="326"/>
    </row>
    <row r="447" spans="1:19" ht="23.25" customHeight="1" thickBot="1" x14ac:dyDescent="0.55000000000000004">
      <c r="A447" s="38">
        <f>A446+1</f>
        <v>421</v>
      </c>
      <c r="B447" s="39" t="s">
        <v>28</v>
      </c>
      <c r="C447" s="128" t="s">
        <v>147</v>
      </c>
      <c r="D447" s="44" t="s">
        <v>358</v>
      </c>
      <c r="E447" s="40"/>
      <c r="F447" s="40"/>
      <c r="G447" s="40"/>
      <c r="H447" s="40"/>
      <c r="I447" s="41"/>
      <c r="J447" s="24">
        <f>I447</f>
        <v>0</v>
      </c>
      <c r="K447" s="194"/>
      <c r="L447" s="195">
        <v>0</v>
      </c>
      <c r="M447" s="195">
        <v>0</v>
      </c>
      <c r="N447" s="196">
        <f>L447*J447</f>
        <v>0</v>
      </c>
      <c r="O447" s="196">
        <f>M447*J447</f>
        <v>0</v>
      </c>
      <c r="P447" s="313">
        <f>(L447*J447)+(M447*J447)</f>
        <v>0</v>
      </c>
      <c r="Q447" s="328"/>
    </row>
    <row r="448" spans="1:19" s="52" customFormat="1" ht="46.5" customHeight="1" thickBot="1" x14ac:dyDescent="0.55000000000000004">
      <c r="A448" s="102"/>
      <c r="B448" s="103" t="s">
        <v>28</v>
      </c>
      <c r="C448" s="138" t="s">
        <v>147</v>
      </c>
      <c r="D448" s="246" t="s">
        <v>526</v>
      </c>
      <c r="E448" s="247"/>
      <c r="F448" s="247"/>
      <c r="G448" s="247"/>
      <c r="H448" s="248"/>
      <c r="I448" s="249"/>
      <c r="J448" s="250"/>
      <c r="K448" s="251"/>
      <c r="L448" s="252"/>
      <c r="M448" s="252"/>
      <c r="N448" s="253"/>
      <c r="O448" s="253"/>
      <c r="P448" s="315"/>
      <c r="Q448" s="347"/>
      <c r="S448" s="361"/>
    </row>
    <row r="449" spans="1:17" ht="23.25" customHeight="1" x14ac:dyDescent="0.5">
      <c r="A449" s="28">
        <f>A447+1</f>
        <v>422</v>
      </c>
      <c r="B449" s="35" t="s">
        <v>28</v>
      </c>
      <c r="C449" s="127" t="s">
        <v>147</v>
      </c>
      <c r="D449" s="77" t="s">
        <v>40</v>
      </c>
      <c r="E449" s="78" t="s">
        <v>60</v>
      </c>
      <c r="F449" s="78" t="s">
        <v>152</v>
      </c>
      <c r="G449" s="78" t="s">
        <v>153</v>
      </c>
      <c r="H449" s="78" t="s">
        <v>149</v>
      </c>
      <c r="I449" s="189"/>
      <c r="J449" s="32">
        <v>0</v>
      </c>
      <c r="K449" s="190" t="s">
        <v>51</v>
      </c>
      <c r="L449" s="185">
        <v>0</v>
      </c>
      <c r="M449" s="185">
        <v>0</v>
      </c>
      <c r="N449" s="186">
        <f t="shared" si="68"/>
        <v>0</v>
      </c>
      <c r="O449" s="186">
        <f t="shared" si="69"/>
        <v>0</v>
      </c>
      <c r="P449" s="311">
        <f t="shared" si="70"/>
        <v>0</v>
      </c>
      <c r="Q449" s="336"/>
    </row>
    <row r="450" spans="1:17" ht="23.25" customHeight="1" x14ac:dyDescent="0.5">
      <c r="A450" s="18">
        <f>A449+1</f>
        <v>423</v>
      </c>
      <c r="B450" s="26" t="s">
        <v>28</v>
      </c>
      <c r="C450" s="129" t="s">
        <v>147</v>
      </c>
      <c r="D450" s="72" t="s">
        <v>524</v>
      </c>
      <c r="E450" s="73" t="s">
        <v>60</v>
      </c>
      <c r="F450" s="73" t="s">
        <v>152</v>
      </c>
      <c r="G450" s="73" t="s">
        <v>153</v>
      </c>
      <c r="H450" s="73" t="s">
        <v>149</v>
      </c>
      <c r="I450" s="191"/>
      <c r="J450" s="19">
        <v>0</v>
      </c>
      <c r="K450" s="167" t="s">
        <v>22</v>
      </c>
      <c r="L450" s="168">
        <v>0</v>
      </c>
      <c r="M450" s="168">
        <v>0</v>
      </c>
      <c r="N450" s="169">
        <f t="shared" si="68"/>
        <v>0</v>
      </c>
      <c r="O450" s="169">
        <f t="shared" si="69"/>
        <v>0</v>
      </c>
      <c r="P450" s="312">
        <f t="shared" si="70"/>
        <v>0</v>
      </c>
      <c r="Q450" s="335"/>
    </row>
    <row r="451" spans="1:17" ht="23.25" customHeight="1" x14ac:dyDescent="0.5">
      <c r="A451" s="18">
        <f t="shared" ref="A451:A473" si="72">A450+1</f>
        <v>424</v>
      </c>
      <c r="B451" s="26" t="s">
        <v>28</v>
      </c>
      <c r="C451" s="129" t="s">
        <v>147</v>
      </c>
      <c r="D451" s="72" t="s">
        <v>493</v>
      </c>
      <c r="E451" s="73" t="s">
        <v>60</v>
      </c>
      <c r="F451" s="73" t="s">
        <v>152</v>
      </c>
      <c r="G451" s="73" t="s">
        <v>153</v>
      </c>
      <c r="H451" s="73" t="s">
        <v>149</v>
      </c>
      <c r="I451" s="191"/>
      <c r="J451" s="19">
        <v>0</v>
      </c>
      <c r="K451" s="167" t="s">
        <v>22</v>
      </c>
      <c r="L451" s="168">
        <v>0</v>
      </c>
      <c r="M451" s="168">
        <v>0</v>
      </c>
      <c r="N451" s="169">
        <f t="shared" si="68"/>
        <v>0</v>
      </c>
      <c r="O451" s="169">
        <f t="shared" si="69"/>
        <v>0</v>
      </c>
      <c r="P451" s="312">
        <f t="shared" si="70"/>
        <v>0</v>
      </c>
      <c r="Q451" s="335"/>
    </row>
    <row r="452" spans="1:17" ht="23.25" customHeight="1" x14ac:dyDescent="0.5">
      <c r="A452" s="18">
        <f t="shared" si="72"/>
        <v>425</v>
      </c>
      <c r="B452" s="26" t="s">
        <v>28</v>
      </c>
      <c r="C452" s="129" t="s">
        <v>147</v>
      </c>
      <c r="D452" s="72" t="s">
        <v>386</v>
      </c>
      <c r="E452" s="73" t="s">
        <v>60</v>
      </c>
      <c r="F452" s="73" t="s">
        <v>152</v>
      </c>
      <c r="G452" s="73" t="s">
        <v>153</v>
      </c>
      <c r="H452" s="73" t="s">
        <v>149</v>
      </c>
      <c r="I452" s="191"/>
      <c r="J452" s="19">
        <v>0</v>
      </c>
      <c r="K452" s="167" t="s">
        <v>22</v>
      </c>
      <c r="L452" s="168">
        <v>0</v>
      </c>
      <c r="M452" s="168">
        <v>0</v>
      </c>
      <c r="N452" s="169">
        <f t="shared" si="68"/>
        <v>0</v>
      </c>
      <c r="O452" s="169">
        <f t="shared" si="69"/>
        <v>0</v>
      </c>
      <c r="P452" s="312">
        <f t="shared" si="70"/>
        <v>0</v>
      </c>
      <c r="Q452" s="335"/>
    </row>
    <row r="453" spans="1:17" ht="23.25" customHeight="1" x14ac:dyDescent="0.5">
      <c r="A453" s="18">
        <f t="shared" si="72"/>
        <v>426</v>
      </c>
      <c r="B453" s="26" t="s">
        <v>28</v>
      </c>
      <c r="C453" s="129" t="s">
        <v>147</v>
      </c>
      <c r="D453" s="72" t="s">
        <v>40</v>
      </c>
      <c r="E453" s="73" t="s">
        <v>60</v>
      </c>
      <c r="F453" s="73" t="s">
        <v>152</v>
      </c>
      <c r="G453" s="73" t="s">
        <v>153</v>
      </c>
      <c r="H453" s="73" t="s">
        <v>137</v>
      </c>
      <c r="I453" s="191"/>
      <c r="J453" s="19">
        <v>0</v>
      </c>
      <c r="K453" s="167" t="s">
        <v>51</v>
      </c>
      <c r="L453" s="168">
        <v>0</v>
      </c>
      <c r="M453" s="168">
        <v>0</v>
      </c>
      <c r="N453" s="169">
        <f t="shared" si="68"/>
        <v>0</v>
      </c>
      <c r="O453" s="169">
        <f t="shared" si="69"/>
        <v>0</v>
      </c>
      <c r="P453" s="312">
        <f t="shared" si="70"/>
        <v>0</v>
      </c>
      <c r="Q453" s="335"/>
    </row>
    <row r="454" spans="1:17" ht="23.25" customHeight="1" x14ac:dyDescent="0.5">
      <c r="A454" s="18">
        <f t="shared" si="72"/>
        <v>427</v>
      </c>
      <c r="B454" s="26" t="s">
        <v>28</v>
      </c>
      <c r="C454" s="129" t="s">
        <v>147</v>
      </c>
      <c r="D454" s="72" t="s">
        <v>524</v>
      </c>
      <c r="E454" s="73" t="s">
        <v>60</v>
      </c>
      <c r="F454" s="73" t="s">
        <v>152</v>
      </c>
      <c r="G454" s="73" t="s">
        <v>153</v>
      </c>
      <c r="H454" s="73" t="s">
        <v>137</v>
      </c>
      <c r="I454" s="191"/>
      <c r="J454" s="19">
        <v>0</v>
      </c>
      <c r="K454" s="167" t="s">
        <v>22</v>
      </c>
      <c r="L454" s="168">
        <v>0</v>
      </c>
      <c r="M454" s="168">
        <v>0</v>
      </c>
      <c r="N454" s="169">
        <f t="shared" si="68"/>
        <v>0</v>
      </c>
      <c r="O454" s="169">
        <f t="shared" si="69"/>
        <v>0</v>
      </c>
      <c r="P454" s="312">
        <f t="shared" si="70"/>
        <v>0</v>
      </c>
      <c r="Q454" s="335"/>
    </row>
    <row r="455" spans="1:17" ht="23.25" customHeight="1" x14ac:dyDescent="0.5">
      <c r="A455" s="18">
        <f t="shared" si="72"/>
        <v>428</v>
      </c>
      <c r="B455" s="26" t="s">
        <v>28</v>
      </c>
      <c r="C455" s="129" t="s">
        <v>147</v>
      </c>
      <c r="D455" s="72" t="s">
        <v>493</v>
      </c>
      <c r="E455" s="73" t="s">
        <v>60</v>
      </c>
      <c r="F455" s="73" t="s">
        <v>152</v>
      </c>
      <c r="G455" s="73" t="s">
        <v>153</v>
      </c>
      <c r="H455" s="73" t="s">
        <v>137</v>
      </c>
      <c r="I455" s="191"/>
      <c r="J455" s="19">
        <v>0</v>
      </c>
      <c r="K455" s="167" t="s">
        <v>22</v>
      </c>
      <c r="L455" s="168">
        <v>0</v>
      </c>
      <c r="M455" s="168">
        <v>0</v>
      </c>
      <c r="N455" s="169">
        <f t="shared" si="68"/>
        <v>0</v>
      </c>
      <c r="O455" s="169">
        <f t="shared" si="69"/>
        <v>0</v>
      </c>
      <c r="P455" s="312">
        <f t="shared" si="70"/>
        <v>0</v>
      </c>
      <c r="Q455" s="335"/>
    </row>
    <row r="456" spans="1:17" ht="23.25" customHeight="1" x14ac:dyDescent="0.5">
      <c r="A456" s="18">
        <f t="shared" si="72"/>
        <v>429</v>
      </c>
      <c r="B456" s="26" t="s">
        <v>28</v>
      </c>
      <c r="C456" s="129" t="s">
        <v>147</v>
      </c>
      <c r="D456" s="72" t="s">
        <v>386</v>
      </c>
      <c r="E456" s="73" t="s">
        <v>60</v>
      </c>
      <c r="F456" s="73" t="s">
        <v>152</v>
      </c>
      <c r="G456" s="73" t="s">
        <v>153</v>
      </c>
      <c r="H456" s="73" t="s">
        <v>137</v>
      </c>
      <c r="I456" s="191"/>
      <c r="J456" s="19">
        <v>0</v>
      </c>
      <c r="K456" s="167" t="s">
        <v>22</v>
      </c>
      <c r="L456" s="168">
        <v>0</v>
      </c>
      <c r="M456" s="168">
        <v>0</v>
      </c>
      <c r="N456" s="169">
        <f t="shared" si="68"/>
        <v>0</v>
      </c>
      <c r="O456" s="169">
        <f t="shared" si="69"/>
        <v>0</v>
      </c>
      <c r="P456" s="312">
        <f t="shared" si="70"/>
        <v>0</v>
      </c>
      <c r="Q456" s="335"/>
    </row>
    <row r="457" spans="1:17" ht="23.25" customHeight="1" x14ac:dyDescent="0.5">
      <c r="A457" s="18">
        <f t="shared" si="72"/>
        <v>430</v>
      </c>
      <c r="B457" s="26" t="s">
        <v>28</v>
      </c>
      <c r="C457" s="129" t="s">
        <v>147</v>
      </c>
      <c r="D457" s="72" t="s">
        <v>40</v>
      </c>
      <c r="E457" s="73" t="s">
        <v>60</v>
      </c>
      <c r="F457" s="73" t="s">
        <v>152</v>
      </c>
      <c r="G457" s="73" t="s">
        <v>153</v>
      </c>
      <c r="H457" s="73" t="s">
        <v>138</v>
      </c>
      <c r="I457" s="191"/>
      <c r="J457" s="19">
        <v>0</v>
      </c>
      <c r="K457" s="167" t="s">
        <v>51</v>
      </c>
      <c r="L457" s="168">
        <v>0</v>
      </c>
      <c r="M457" s="168">
        <v>0</v>
      </c>
      <c r="N457" s="169">
        <f t="shared" si="68"/>
        <v>0</v>
      </c>
      <c r="O457" s="169">
        <f t="shared" si="69"/>
        <v>0</v>
      </c>
      <c r="P457" s="312">
        <f t="shared" si="70"/>
        <v>0</v>
      </c>
      <c r="Q457" s="335"/>
    </row>
    <row r="458" spans="1:17" ht="23.25" customHeight="1" x14ac:dyDescent="0.5">
      <c r="A458" s="18">
        <f t="shared" si="72"/>
        <v>431</v>
      </c>
      <c r="B458" s="26" t="s">
        <v>28</v>
      </c>
      <c r="C458" s="129" t="s">
        <v>147</v>
      </c>
      <c r="D458" s="72" t="s">
        <v>524</v>
      </c>
      <c r="E458" s="73" t="s">
        <v>60</v>
      </c>
      <c r="F458" s="73" t="s">
        <v>152</v>
      </c>
      <c r="G458" s="73" t="s">
        <v>153</v>
      </c>
      <c r="H458" s="73" t="s">
        <v>138</v>
      </c>
      <c r="I458" s="191"/>
      <c r="J458" s="19">
        <v>0</v>
      </c>
      <c r="K458" s="167" t="s">
        <v>22</v>
      </c>
      <c r="L458" s="168">
        <v>0</v>
      </c>
      <c r="M458" s="168">
        <v>0</v>
      </c>
      <c r="N458" s="169">
        <f t="shared" si="68"/>
        <v>0</v>
      </c>
      <c r="O458" s="169">
        <f t="shared" si="69"/>
        <v>0</v>
      </c>
      <c r="P458" s="312">
        <f t="shared" si="70"/>
        <v>0</v>
      </c>
      <c r="Q458" s="335"/>
    </row>
    <row r="459" spans="1:17" ht="23.25" customHeight="1" x14ac:dyDescent="0.5">
      <c r="A459" s="18">
        <f t="shared" si="72"/>
        <v>432</v>
      </c>
      <c r="B459" s="26" t="s">
        <v>28</v>
      </c>
      <c r="C459" s="129" t="s">
        <v>147</v>
      </c>
      <c r="D459" s="72" t="s">
        <v>493</v>
      </c>
      <c r="E459" s="73" t="s">
        <v>60</v>
      </c>
      <c r="F459" s="73" t="s">
        <v>152</v>
      </c>
      <c r="G459" s="73" t="s">
        <v>153</v>
      </c>
      <c r="H459" s="73" t="s">
        <v>138</v>
      </c>
      <c r="I459" s="191"/>
      <c r="J459" s="19">
        <v>0</v>
      </c>
      <c r="K459" s="167" t="s">
        <v>22</v>
      </c>
      <c r="L459" s="168">
        <v>0</v>
      </c>
      <c r="M459" s="168">
        <v>0</v>
      </c>
      <c r="N459" s="169">
        <f t="shared" si="68"/>
        <v>0</v>
      </c>
      <c r="O459" s="169">
        <f t="shared" si="69"/>
        <v>0</v>
      </c>
      <c r="P459" s="312">
        <f t="shared" si="70"/>
        <v>0</v>
      </c>
      <c r="Q459" s="335"/>
    </row>
    <row r="460" spans="1:17" ht="23.25" customHeight="1" x14ac:dyDescent="0.5">
      <c r="A460" s="18">
        <f t="shared" si="72"/>
        <v>433</v>
      </c>
      <c r="B460" s="26" t="s">
        <v>28</v>
      </c>
      <c r="C460" s="129" t="s">
        <v>147</v>
      </c>
      <c r="D460" s="72" t="s">
        <v>386</v>
      </c>
      <c r="E460" s="73" t="s">
        <v>60</v>
      </c>
      <c r="F460" s="73" t="s">
        <v>152</v>
      </c>
      <c r="G460" s="73" t="s">
        <v>153</v>
      </c>
      <c r="H460" s="73" t="s">
        <v>138</v>
      </c>
      <c r="I460" s="191"/>
      <c r="J460" s="19">
        <v>0</v>
      </c>
      <c r="K460" s="167" t="s">
        <v>22</v>
      </c>
      <c r="L460" s="168">
        <v>0</v>
      </c>
      <c r="M460" s="168">
        <v>0</v>
      </c>
      <c r="N460" s="169">
        <f t="shared" si="68"/>
        <v>0</v>
      </c>
      <c r="O460" s="169">
        <f t="shared" si="69"/>
        <v>0</v>
      </c>
      <c r="P460" s="312">
        <f t="shared" si="70"/>
        <v>0</v>
      </c>
      <c r="Q460" s="335"/>
    </row>
    <row r="461" spans="1:17" ht="23.25" customHeight="1" x14ac:dyDescent="0.5">
      <c r="A461" s="18">
        <f t="shared" si="72"/>
        <v>434</v>
      </c>
      <c r="B461" s="26" t="s">
        <v>28</v>
      </c>
      <c r="C461" s="129" t="s">
        <v>147</v>
      </c>
      <c r="D461" s="72" t="s">
        <v>40</v>
      </c>
      <c r="E461" s="73" t="s">
        <v>60</v>
      </c>
      <c r="F461" s="73" t="s">
        <v>152</v>
      </c>
      <c r="G461" s="73" t="s">
        <v>153</v>
      </c>
      <c r="H461" s="73" t="s">
        <v>399</v>
      </c>
      <c r="I461" s="191"/>
      <c r="J461" s="19">
        <v>0</v>
      </c>
      <c r="K461" s="167" t="s">
        <v>51</v>
      </c>
      <c r="L461" s="168">
        <v>0</v>
      </c>
      <c r="M461" s="168">
        <v>0</v>
      </c>
      <c r="N461" s="169">
        <f t="shared" si="68"/>
        <v>0</v>
      </c>
      <c r="O461" s="169">
        <f t="shared" si="69"/>
        <v>0</v>
      </c>
      <c r="P461" s="312">
        <f t="shared" si="70"/>
        <v>0</v>
      </c>
      <c r="Q461" s="335"/>
    </row>
    <row r="462" spans="1:17" ht="23.25" customHeight="1" x14ac:dyDescent="0.5">
      <c r="A462" s="18">
        <f t="shared" si="72"/>
        <v>435</v>
      </c>
      <c r="B462" s="26" t="s">
        <v>28</v>
      </c>
      <c r="C462" s="129" t="s">
        <v>147</v>
      </c>
      <c r="D462" s="72" t="s">
        <v>524</v>
      </c>
      <c r="E462" s="73" t="s">
        <v>60</v>
      </c>
      <c r="F462" s="73" t="s">
        <v>152</v>
      </c>
      <c r="G462" s="73" t="s">
        <v>153</v>
      </c>
      <c r="H462" s="73" t="s">
        <v>399</v>
      </c>
      <c r="I462" s="191"/>
      <c r="J462" s="19">
        <v>0</v>
      </c>
      <c r="K462" s="167" t="s">
        <v>22</v>
      </c>
      <c r="L462" s="168">
        <v>0</v>
      </c>
      <c r="M462" s="168">
        <v>0</v>
      </c>
      <c r="N462" s="169">
        <f t="shared" si="68"/>
        <v>0</v>
      </c>
      <c r="O462" s="169">
        <f t="shared" si="69"/>
        <v>0</v>
      </c>
      <c r="P462" s="312">
        <f t="shared" si="70"/>
        <v>0</v>
      </c>
      <c r="Q462" s="335"/>
    </row>
    <row r="463" spans="1:17" ht="23.25" customHeight="1" x14ac:dyDescent="0.5">
      <c r="A463" s="18">
        <f t="shared" si="72"/>
        <v>436</v>
      </c>
      <c r="B463" s="26" t="s">
        <v>28</v>
      </c>
      <c r="C463" s="129" t="s">
        <v>147</v>
      </c>
      <c r="D463" s="72" t="s">
        <v>493</v>
      </c>
      <c r="E463" s="73" t="s">
        <v>60</v>
      </c>
      <c r="F463" s="73" t="s">
        <v>152</v>
      </c>
      <c r="G463" s="73" t="s">
        <v>153</v>
      </c>
      <c r="H463" s="73" t="s">
        <v>399</v>
      </c>
      <c r="I463" s="191"/>
      <c r="J463" s="19">
        <v>0</v>
      </c>
      <c r="K463" s="167" t="s">
        <v>22</v>
      </c>
      <c r="L463" s="168">
        <v>0</v>
      </c>
      <c r="M463" s="168">
        <v>0</v>
      </c>
      <c r="N463" s="169">
        <f t="shared" si="68"/>
        <v>0</v>
      </c>
      <c r="O463" s="169">
        <f t="shared" si="69"/>
        <v>0</v>
      </c>
      <c r="P463" s="312">
        <f t="shared" si="70"/>
        <v>0</v>
      </c>
      <c r="Q463" s="335"/>
    </row>
    <row r="464" spans="1:17" ht="23.25" customHeight="1" x14ac:dyDescent="0.5">
      <c r="A464" s="18">
        <f t="shared" si="72"/>
        <v>437</v>
      </c>
      <c r="B464" s="26" t="s">
        <v>28</v>
      </c>
      <c r="C464" s="129" t="s">
        <v>147</v>
      </c>
      <c r="D464" s="72" t="s">
        <v>386</v>
      </c>
      <c r="E464" s="73" t="s">
        <v>60</v>
      </c>
      <c r="F464" s="73" t="s">
        <v>152</v>
      </c>
      <c r="G464" s="73" t="s">
        <v>153</v>
      </c>
      <c r="H464" s="73" t="s">
        <v>399</v>
      </c>
      <c r="I464" s="191"/>
      <c r="J464" s="19">
        <v>0</v>
      </c>
      <c r="K464" s="167" t="s">
        <v>22</v>
      </c>
      <c r="L464" s="168">
        <v>0</v>
      </c>
      <c r="M464" s="168">
        <v>0</v>
      </c>
      <c r="N464" s="169">
        <f t="shared" si="68"/>
        <v>0</v>
      </c>
      <c r="O464" s="169">
        <f t="shared" si="69"/>
        <v>0</v>
      </c>
      <c r="P464" s="312">
        <f t="shared" si="70"/>
        <v>0</v>
      </c>
      <c r="Q464" s="335"/>
    </row>
    <row r="465" spans="1:17" ht="23.25" customHeight="1" x14ac:dyDescent="0.5">
      <c r="A465" s="18">
        <f t="shared" si="72"/>
        <v>438</v>
      </c>
      <c r="B465" s="26" t="s">
        <v>28</v>
      </c>
      <c r="C465" s="129" t="s">
        <v>147</v>
      </c>
      <c r="D465" s="72" t="s">
        <v>40</v>
      </c>
      <c r="E465" s="73" t="s">
        <v>60</v>
      </c>
      <c r="F465" s="73" t="s">
        <v>152</v>
      </c>
      <c r="G465" s="73" t="s">
        <v>153</v>
      </c>
      <c r="H465" s="73" t="s">
        <v>400</v>
      </c>
      <c r="I465" s="191"/>
      <c r="J465" s="19">
        <v>0</v>
      </c>
      <c r="K465" s="167" t="s">
        <v>51</v>
      </c>
      <c r="L465" s="168">
        <v>0</v>
      </c>
      <c r="M465" s="168">
        <v>0</v>
      </c>
      <c r="N465" s="169">
        <f t="shared" si="68"/>
        <v>0</v>
      </c>
      <c r="O465" s="169">
        <f t="shared" si="69"/>
        <v>0</v>
      </c>
      <c r="P465" s="312">
        <f t="shared" si="70"/>
        <v>0</v>
      </c>
      <c r="Q465" s="335"/>
    </row>
    <row r="466" spans="1:17" ht="23.25" customHeight="1" x14ac:dyDescent="0.5">
      <c r="A466" s="18">
        <f t="shared" si="72"/>
        <v>439</v>
      </c>
      <c r="B466" s="26" t="s">
        <v>28</v>
      </c>
      <c r="C466" s="129" t="s">
        <v>147</v>
      </c>
      <c r="D466" s="72" t="s">
        <v>524</v>
      </c>
      <c r="E466" s="73" t="s">
        <v>60</v>
      </c>
      <c r="F466" s="73" t="s">
        <v>152</v>
      </c>
      <c r="G466" s="73" t="s">
        <v>153</v>
      </c>
      <c r="H466" s="73" t="s">
        <v>400</v>
      </c>
      <c r="I466" s="191"/>
      <c r="J466" s="19">
        <v>0</v>
      </c>
      <c r="K466" s="167" t="s">
        <v>51</v>
      </c>
      <c r="L466" s="168">
        <v>0</v>
      </c>
      <c r="M466" s="168">
        <v>0</v>
      </c>
      <c r="N466" s="169">
        <f t="shared" si="68"/>
        <v>0</v>
      </c>
      <c r="O466" s="169">
        <f t="shared" si="69"/>
        <v>0</v>
      </c>
      <c r="P466" s="312">
        <f t="shared" si="70"/>
        <v>0</v>
      </c>
      <c r="Q466" s="335"/>
    </row>
    <row r="467" spans="1:17" ht="23.25" customHeight="1" x14ac:dyDescent="0.5">
      <c r="A467" s="18">
        <f t="shared" si="72"/>
        <v>440</v>
      </c>
      <c r="B467" s="26" t="s">
        <v>28</v>
      </c>
      <c r="C467" s="129" t="s">
        <v>147</v>
      </c>
      <c r="D467" s="72" t="s">
        <v>493</v>
      </c>
      <c r="E467" s="73" t="s">
        <v>60</v>
      </c>
      <c r="F467" s="73" t="s">
        <v>152</v>
      </c>
      <c r="G467" s="73" t="s">
        <v>153</v>
      </c>
      <c r="H467" s="73" t="s">
        <v>400</v>
      </c>
      <c r="I467" s="191"/>
      <c r="J467" s="19">
        <v>0</v>
      </c>
      <c r="K467" s="167" t="s">
        <v>51</v>
      </c>
      <c r="L467" s="168">
        <v>0</v>
      </c>
      <c r="M467" s="168">
        <v>0</v>
      </c>
      <c r="N467" s="169">
        <f t="shared" si="68"/>
        <v>0</v>
      </c>
      <c r="O467" s="169">
        <f t="shared" si="69"/>
        <v>0</v>
      </c>
      <c r="P467" s="312">
        <f t="shared" si="70"/>
        <v>0</v>
      </c>
      <c r="Q467" s="335"/>
    </row>
    <row r="468" spans="1:17" ht="23.25" customHeight="1" x14ac:dyDescent="0.5">
      <c r="A468" s="18">
        <f t="shared" si="72"/>
        <v>441</v>
      </c>
      <c r="B468" s="26" t="s">
        <v>28</v>
      </c>
      <c r="C468" s="129" t="s">
        <v>147</v>
      </c>
      <c r="D468" s="72" t="s">
        <v>386</v>
      </c>
      <c r="E468" s="73" t="s">
        <v>60</v>
      </c>
      <c r="F468" s="73" t="s">
        <v>152</v>
      </c>
      <c r="G468" s="73" t="s">
        <v>153</v>
      </c>
      <c r="H468" s="73" t="s">
        <v>400</v>
      </c>
      <c r="I468" s="191"/>
      <c r="J468" s="19">
        <v>0</v>
      </c>
      <c r="K468" s="167" t="s">
        <v>22</v>
      </c>
      <c r="L468" s="168">
        <v>0</v>
      </c>
      <c r="M468" s="168">
        <v>0</v>
      </c>
      <c r="N468" s="169">
        <f t="shared" si="68"/>
        <v>0</v>
      </c>
      <c r="O468" s="169">
        <f t="shared" si="69"/>
        <v>0</v>
      </c>
      <c r="P468" s="312">
        <f t="shared" si="70"/>
        <v>0</v>
      </c>
      <c r="Q468" s="335"/>
    </row>
    <row r="469" spans="1:17" ht="23.25" customHeight="1" x14ac:dyDescent="0.5">
      <c r="A469" s="18">
        <f t="shared" si="72"/>
        <v>442</v>
      </c>
      <c r="B469" s="26" t="s">
        <v>28</v>
      </c>
      <c r="C469" s="129" t="s">
        <v>147</v>
      </c>
      <c r="D469" s="72" t="s">
        <v>40</v>
      </c>
      <c r="E469" s="73" t="s">
        <v>60</v>
      </c>
      <c r="F469" s="73" t="s">
        <v>152</v>
      </c>
      <c r="G469" s="73" t="s">
        <v>153</v>
      </c>
      <c r="H469" s="73" t="s">
        <v>401</v>
      </c>
      <c r="I469" s="191"/>
      <c r="J469" s="19">
        <v>0</v>
      </c>
      <c r="K469" s="167" t="s">
        <v>51</v>
      </c>
      <c r="L469" s="168">
        <v>0</v>
      </c>
      <c r="M469" s="168">
        <v>0</v>
      </c>
      <c r="N469" s="169">
        <f t="shared" si="68"/>
        <v>0</v>
      </c>
      <c r="O469" s="169">
        <f t="shared" si="69"/>
        <v>0</v>
      </c>
      <c r="P469" s="312">
        <f t="shared" si="70"/>
        <v>0</v>
      </c>
      <c r="Q469" s="335"/>
    </row>
    <row r="470" spans="1:17" ht="23.25" customHeight="1" x14ac:dyDescent="0.5">
      <c r="A470" s="18">
        <f t="shared" si="72"/>
        <v>443</v>
      </c>
      <c r="B470" s="26" t="s">
        <v>28</v>
      </c>
      <c r="C470" s="129" t="s">
        <v>147</v>
      </c>
      <c r="D470" s="72" t="s">
        <v>524</v>
      </c>
      <c r="E470" s="73" t="s">
        <v>60</v>
      </c>
      <c r="F470" s="73" t="s">
        <v>152</v>
      </c>
      <c r="G470" s="73" t="s">
        <v>153</v>
      </c>
      <c r="H470" s="73" t="s">
        <v>401</v>
      </c>
      <c r="I470" s="191"/>
      <c r="J470" s="19">
        <v>0</v>
      </c>
      <c r="K470" s="167" t="s">
        <v>51</v>
      </c>
      <c r="L470" s="168">
        <v>0</v>
      </c>
      <c r="M470" s="168">
        <v>0</v>
      </c>
      <c r="N470" s="169">
        <f t="shared" si="68"/>
        <v>0</v>
      </c>
      <c r="O470" s="169">
        <f t="shared" si="69"/>
        <v>0</v>
      </c>
      <c r="P470" s="312">
        <f t="shared" si="70"/>
        <v>0</v>
      </c>
      <c r="Q470" s="335"/>
    </row>
    <row r="471" spans="1:17" ht="23.25" customHeight="1" x14ac:dyDescent="0.5">
      <c r="A471" s="18">
        <f t="shared" si="72"/>
        <v>444</v>
      </c>
      <c r="B471" s="26" t="s">
        <v>28</v>
      </c>
      <c r="C471" s="129" t="s">
        <v>147</v>
      </c>
      <c r="D471" s="72" t="s">
        <v>493</v>
      </c>
      <c r="E471" s="73" t="s">
        <v>60</v>
      </c>
      <c r="F471" s="73" t="s">
        <v>152</v>
      </c>
      <c r="G471" s="73" t="s">
        <v>153</v>
      </c>
      <c r="H471" s="73" t="s">
        <v>401</v>
      </c>
      <c r="I471" s="191"/>
      <c r="J471" s="19">
        <v>0</v>
      </c>
      <c r="K471" s="167" t="s">
        <v>51</v>
      </c>
      <c r="L471" s="168">
        <v>0</v>
      </c>
      <c r="M471" s="168">
        <v>0</v>
      </c>
      <c r="N471" s="169">
        <f t="shared" si="68"/>
        <v>0</v>
      </c>
      <c r="O471" s="169">
        <f t="shared" si="69"/>
        <v>0</v>
      </c>
      <c r="P471" s="312">
        <f t="shared" si="70"/>
        <v>0</v>
      </c>
      <c r="Q471" s="335"/>
    </row>
    <row r="472" spans="1:17" ht="23.25" customHeight="1" x14ac:dyDescent="0.5">
      <c r="A472" s="18">
        <f t="shared" si="72"/>
        <v>445</v>
      </c>
      <c r="B472" s="26" t="s">
        <v>28</v>
      </c>
      <c r="C472" s="129" t="s">
        <v>147</v>
      </c>
      <c r="D472" s="72" t="s">
        <v>386</v>
      </c>
      <c r="E472" s="73" t="s">
        <v>60</v>
      </c>
      <c r="F472" s="73" t="s">
        <v>152</v>
      </c>
      <c r="G472" s="73" t="s">
        <v>153</v>
      </c>
      <c r="H472" s="73" t="s">
        <v>401</v>
      </c>
      <c r="I472" s="191"/>
      <c r="J472" s="19">
        <v>0</v>
      </c>
      <c r="K472" s="167" t="s">
        <v>22</v>
      </c>
      <c r="L472" s="168">
        <v>0</v>
      </c>
      <c r="M472" s="168">
        <v>0</v>
      </c>
      <c r="N472" s="169">
        <f t="shared" si="68"/>
        <v>0</v>
      </c>
      <c r="O472" s="169">
        <f t="shared" si="69"/>
        <v>0</v>
      </c>
      <c r="P472" s="312">
        <f t="shared" si="70"/>
        <v>0</v>
      </c>
      <c r="Q472" s="335"/>
    </row>
    <row r="473" spans="1:17" ht="23.25" customHeight="1" x14ac:dyDescent="0.5">
      <c r="A473" s="18">
        <f t="shared" si="72"/>
        <v>446</v>
      </c>
      <c r="B473" s="26" t="s">
        <v>28</v>
      </c>
      <c r="C473" s="129" t="s">
        <v>147</v>
      </c>
      <c r="D473" s="43" t="s">
        <v>358</v>
      </c>
      <c r="E473" s="5"/>
      <c r="F473" s="5"/>
      <c r="G473" s="5"/>
      <c r="H473" s="5"/>
      <c r="I473" s="20"/>
      <c r="J473" s="19">
        <f>I473</f>
        <v>0</v>
      </c>
      <c r="K473" s="171"/>
      <c r="L473" s="168">
        <v>0</v>
      </c>
      <c r="M473" s="168">
        <v>0</v>
      </c>
      <c r="N473" s="169">
        <f>L473*J473</f>
        <v>0</v>
      </c>
      <c r="O473" s="169">
        <f>M473*J473</f>
        <v>0</v>
      </c>
      <c r="P473" s="312">
        <f>(L473*J473)+(M473*J473)</f>
        <v>0</v>
      </c>
      <c r="Q473" s="326"/>
    </row>
    <row r="474" spans="1:17" ht="23.25" customHeight="1" thickBot="1" x14ac:dyDescent="0.55000000000000004">
      <c r="A474" s="38">
        <f>A473+1</f>
        <v>447</v>
      </c>
      <c r="B474" s="39" t="s">
        <v>28</v>
      </c>
      <c r="C474" s="128" t="s">
        <v>147</v>
      </c>
      <c r="D474" s="44" t="s">
        <v>358</v>
      </c>
      <c r="E474" s="40"/>
      <c r="F474" s="40"/>
      <c r="G474" s="40"/>
      <c r="H474" s="40"/>
      <c r="I474" s="41"/>
      <c r="J474" s="24">
        <f>I474</f>
        <v>0</v>
      </c>
      <c r="K474" s="194"/>
      <c r="L474" s="195">
        <v>0</v>
      </c>
      <c r="M474" s="195">
        <v>0</v>
      </c>
      <c r="N474" s="196">
        <f>L474*J474</f>
        <v>0</v>
      </c>
      <c r="O474" s="196">
        <f>M474*J474</f>
        <v>0</v>
      </c>
      <c r="P474" s="313">
        <f>(L474*J474)+(M474*J474)</f>
        <v>0</v>
      </c>
      <c r="Q474" s="328"/>
    </row>
    <row r="475" spans="1:17" ht="47.5" thickBot="1" x14ac:dyDescent="0.55000000000000004">
      <c r="A475" s="100"/>
      <c r="B475" s="101" t="s">
        <v>28</v>
      </c>
      <c r="C475" s="130" t="s">
        <v>147</v>
      </c>
      <c r="D475" s="254" t="s">
        <v>527</v>
      </c>
      <c r="E475" s="255"/>
      <c r="F475" s="255"/>
      <c r="G475" s="255"/>
      <c r="H475" s="256"/>
      <c r="I475" s="257"/>
      <c r="J475" s="213"/>
      <c r="K475" s="214"/>
      <c r="L475" s="215"/>
      <c r="M475" s="215"/>
      <c r="N475" s="258"/>
      <c r="O475" s="258"/>
      <c r="P475" s="316"/>
      <c r="Q475" s="340"/>
    </row>
    <row r="476" spans="1:17" ht="23.25" customHeight="1" x14ac:dyDescent="0.5">
      <c r="A476" s="27">
        <f>A474+1</f>
        <v>448</v>
      </c>
      <c r="B476" s="55" t="s">
        <v>28</v>
      </c>
      <c r="C476" s="139" t="s">
        <v>147</v>
      </c>
      <c r="D476" s="69" t="s">
        <v>40</v>
      </c>
      <c r="E476" s="70" t="s">
        <v>60</v>
      </c>
      <c r="F476" s="70" t="s">
        <v>448</v>
      </c>
      <c r="G476" s="70" t="s">
        <v>453</v>
      </c>
      <c r="H476" s="70" t="s">
        <v>149</v>
      </c>
      <c r="I476" s="219"/>
      <c r="J476" s="25">
        <v>0</v>
      </c>
      <c r="K476" s="163" t="s">
        <v>51</v>
      </c>
      <c r="L476" s="164">
        <v>0</v>
      </c>
      <c r="M476" s="164">
        <v>0</v>
      </c>
      <c r="N476" s="165">
        <f t="shared" ref="N476:N498" si="73">L476*J476</f>
        <v>0</v>
      </c>
      <c r="O476" s="165">
        <f t="shared" ref="O476:O498" si="74">M476*J476</f>
        <v>0</v>
      </c>
      <c r="P476" s="317">
        <f t="shared" ref="P476:P498" si="75">(L476*J476)+(M476*J476)</f>
        <v>0</v>
      </c>
      <c r="Q476" s="341"/>
    </row>
    <row r="477" spans="1:17" ht="23.25" customHeight="1" x14ac:dyDescent="0.5">
      <c r="A477" s="18">
        <f>A476+1</f>
        <v>449</v>
      </c>
      <c r="B477" s="26" t="s">
        <v>28</v>
      </c>
      <c r="C477" s="129" t="s">
        <v>147</v>
      </c>
      <c r="D477" s="72" t="s">
        <v>524</v>
      </c>
      <c r="E477" s="73" t="s">
        <v>60</v>
      </c>
      <c r="F477" s="73" t="s">
        <v>448</v>
      </c>
      <c r="G477" s="73" t="s">
        <v>453</v>
      </c>
      <c r="H477" s="73" t="s">
        <v>149</v>
      </c>
      <c r="I477" s="191"/>
      <c r="J477" s="19">
        <v>0</v>
      </c>
      <c r="K477" s="167" t="s">
        <v>22</v>
      </c>
      <c r="L477" s="168">
        <v>0</v>
      </c>
      <c r="M477" s="168">
        <v>0</v>
      </c>
      <c r="N477" s="169">
        <f t="shared" si="73"/>
        <v>0</v>
      </c>
      <c r="O477" s="169">
        <f t="shared" si="74"/>
        <v>0</v>
      </c>
      <c r="P477" s="312">
        <f t="shared" si="75"/>
        <v>0</v>
      </c>
      <c r="Q477" s="335"/>
    </row>
    <row r="478" spans="1:17" ht="23.25" customHeight="1" x14ac:dyDescent="0.5">
      <c r="A478" s="18">
        <f t="shared" ref="A478:A500" si="76">A477+1</f>
        <v>450</v>
      </c>
      <c r="B478" s="26" t="s">
        <v>28</v>
      </c>
      <c r="C478" s="129" t="s">
        <v>147</v>
      </c>
      <c r="D478" s="72" t="s">
        <v>493</v>
      </c>
      <c r="E478" s="73" t="s">
        <v>60</v>
      </c>
      <c r="F478" s="73" t="s">
        <v>448</v>
      </c>
      <c r="G478" s="73" t="s">
        <v>453</v>
      </c>
      <c r="H478" s="73" t="s">
        <v>149</v>
      </c>
      <c r="I478" s="191"/>
      <c r="J478" s="19">
        <v>0</v>
      </c>
      <c r="K478" s="167" t="s">
        <v>22</v>
      </c>
      <c r="L478" s="168">
        <v>0</v>
      </c>
      <c r="M478" s="168">
        <v>0</v>
      </c>
      <c r="N478" s="169">
        <f t="shared" si="73"/>
        <v>0</v>
      </c>
      <c r="O478" s="169">
        <f t="shared" si="74"/>
        <v>0</v>
      </c>
      <c r="P478" s="312">
        <f t="shared" si="75"/>
        <v>0</v>
      </c>
      <c r="Q478" s="335"/>
    </row>
    <row r="479" spans="1:17" ht="23.25" customHeight="1" x14ac:dyDescent="0.5">
      <c r="A479" s="18">
        <f t="shared" si="76"/>
        <v>451</v>
      </c>
      <c r="B479" s="26" t="s">
        <v>28</v>
      </c>
      <c r="C479" s="129" t="s">
        <v>147</v>
      </c>
      <c r="D479" s="72" t="s">
        <v>386</v>
      </c>
      <c r="E479" s="73" t="s">
        <v>60</v>
      </c>
      <c r="F479" s="73" t="s">
        <v>448</v>
      </c>
      <c r="G479" s="73" t="s">
        <v>453</v>
      </c>
      <c r="H479" s="73" t="s">
        <v>149</v>
      </c>
      <c r="I479" s="191"/>
      <c r="J479" s="19">
        <v>0</v>
      </c>
      <c r="K479" s="167" t="s">
        <v>22</v>
      </c>
      <c r="L479" s="168">
        <v>0</v>
      </c>
      <c r="M479" s="168">
        <v>0</v>
      </c>
      <c r="N479" s="169">
        <f t="shared" si="73"/>
        <v>0</v>
      </c>
      <c r="O479" s="169">
        <f t="shared" si="74"/>
        <v>0</v>
      </c>
      <c r="P479" s="312">
        <f t="shared" si="75"/>
        <v>0</v>
      </c>
      <c r="Q479" s="335"/>
    </row>
    <row r="480" spans="1:17" ht="23.25" customHeight="1" x14ac:dyDescent="0.5">
      <c r="A480" s="18">
        <f t="shared" si="76"/>
        <v>452</v>
      </c>
      <c r="B480" s="26" t="s">
        <v>28</v>
      </c>
      <c r="C480" s="129" t="s">
        <v>147</v>
      </c>
      <c r="D480" s="72" t="s">
        <v>40</v>
      </c>
      <c r="E480" s="73" t="s">
        <v>60</v>
      </c>
      <c r="F480" s="73" t="s">
        <v>448</v>
      </c>
      <c r="G480" s="73" t="s">
        <v>453</v>
      </c>
      <c r="H480" s="73" t="s">
        <v>137</v>
      </c>
      <c r="I480" s="191"/>
      <c r="J480" s="19">
        <v>0</v>
      </c>
      <c r="K480" s="167" t="s">
        <v>51</v>
      </c>
      <c r="L480" s="168">
        <v>0</v>
      </c>
      <c r="M480" s="168">
        <v>0</v>
      </c>
      <c r="N480" s="169">
        <f t="shared" si="73"/>
        <v>0</v>
      </c>
      <c r="O480" s="169">
        <f t="shared" si="74"/>
        <v>0</v>
      </c>
      <c r="P480" s="312">
        <f t="shared" si="75"/>
        <v>0</v>
      </c>
      <c r="Q480" s="335"/>
    </row>
    <row r="481" spans="1:17" ht="23.25" customHeight="1" x14ac:dyDescent="0.5">
      <c r="A481" s="18">
        <f t="shared" si="76"/>
        <v>453</v>
      </c>
      <c r="B481" s="26" t="s">
        <v>28</v>
      </c>
      <c r="C481" s="129" t="s">
        <v>147</v>
      </c>
      <c r="D481" s="72" t="s">
        <v>524</v>
      </c>
      <c r="E481" s="73" t="s">
        <v>60</v>
      </c>
      <c r="F481" s="73" t="s">
        <v>448</v>
      </c>
      <c r="G481" s="73" t="s">
        <v>453</v>
      </c>
      <c r="H481" s="73" t="s">
        <v>137</v>
      </c>
      <c r="I481" s="191"/>
      <c r="J481" s="19">
        <v>0</v>
      </c>
      <c r="K481" s="167" t="s">
        <v>22</v>
      </c>
      <c r="L481" s="168">
        <v>0</v>
      </c>
      <c r="M481" s="168">
        <v>0</v>
      </c>
      <c r="N481" s="169">
        <f t="shared" si="73"/>
        <v>0</v>
      </c>
      <c r="O481" s="169">
        <f t="shared" si="74"/>
        <v>0</v>
      </c>
      <c r="P481" s="312">
        <f t="shared" si="75"/>
        <v>0</v>
      </c>
      <c r="Q481" s="335"/>
    </row>
    <row r="482" spans="1:17" ht="23.25" customHeight="1" x14ac:dyDescent="0.5">
      <c r="A482" s="18">
        <f t="shared" si="76"/>
        <v>454</v>
      </c>
      <c r="B482" s="26" t="s">
        <v>28</v>
      </c>
      <c r="C482" s="129" t="s">
        <v>147</v>
      </c>
      <c r="D482" s="72" t="s">
        <v>493</v>
      </c>
      <c r="E482" s="73" t="s">
        <v>60</v>
      </c>
      <c r="F482" s="73" t="s">
        <v>448</v>
      </c>
      <c r="G482" s="73" t="s">
        <v>453</v>
      </c>
      <c r="H482" s="73" t="s">
        <v>137</v>
      </c>
      <c r="I482" s="191"/>
      <c r="J482" s="19">
        <v>0</v>
      </c>
      <c r="K482" s="167" t="s">
        <v>22</v>
      </c>
      <c r="L482" s="168">
        <v>0</v>
      </c>
      <c r="M482" s="168">
        <v>0</v>
      </c>
      <c r="N482" s="169">
        <f t="shared" si="73"/>
        <v>0</v>
      </c>
      <c r="O482" s="169">
        <f t="shared" si="74"/>
        <v>0</v>
      </c>
      <c r="P482" s="312">
        <f t="shared" si="75"/>
        <v>0</v>
      </c>
      <c r="Q482" s="335"/>
    </row>
    <row r="483" spans="1:17" ht="23.25" customHeight="1" x14ac:dyDescent="0.5">
      <c r="A483" s="18">
        <f t="shared" si="76"/>
        <v>455</v>
      </c>
      <c r="B483" s="26" t="s">
        <v>28</v>
      </c>
      <c r="C483" s="129" t="s">
        <v>147</v>
      </c>
      <c r="D483" s="72" t="s">
        <v>386</v>
      </c>
      <c r="E483" s="73" t="s">
        <v>60</v>
      </c>
      <c r="F483" s="73" t="s">
        <v>448</v>
      </c>
      <c r="G483" s="73" t="s">
        <v>453</v>
      </c>
      <c r="H483" s="73" t="s">
        <v>137</v>
      </c>
      <c r="I483" s="191"/>
      <c r="J483" s="19">
        <v>0</v>
      </c>
      <c r="K483" s="167" t="s">
        <v>22</v>
      </c>
      <c r="L483" s="168">
        <v>0</v>
      </c>
      <c r="M483" s="168">
        <v>0</v>
      </c>
      <c r="N483" s="169">
        <f t="shared" si="73"/>
        <v>0</v>
      </c>
      <c r="O483" s="169">
        <f t="shared" si="74"/>
        <v>0</v>
      </c>
      <c r="P483" s="312">
        <f t="shared" si="75"/>
        <v>0</v>
      </c>
      <c r="Q483" s="335"/>
    </row>
    <row r="484" spans="1:17" ht="23.25" customHeight="1" x14ac:dyDescent="0.5">
      <c r="A484" s="18">
        <f t="shared" si="76"/>
        <v>456</v>
      </c>
      <c r="B484" s="26" t="s">
        <v>28</v>
      </c>
      <c r="C484" s="129" t="s">
        <v>147</v>
      </c>
      <c r="D484" s="72" t="s">
        <v>40</v>
      </c>
      <c r="E484" s="73" t="s">
        <v>60</v>
      </c>
      <c r="F484" s="73" t="s">
        <v>448</v>
      </c>
      <c r="G484" s="73" t="s">
        <v>453</v>
      </c>
      <c r="H484" s="73" t="s">
        <v>138</v>
      </c>
      <c r="I484" s="191"/>
      <c r="J484" s="19">
        <v>0</v>
      </c>
      <c r="K484" s="167" t="s">
        <v>51</v>
      </c>
      <c r="L484" s="168">
        <v>0</v>
      </c>
      <c r="M484" s="168">
        <v>0</v>
      </c>
      <c r="N484" s="169">
        <f t="shared" si="73"/>
        <v>0</v>
      </c>
      <c r="O484" s="169">
        <f t="shared" si="74"/>
        <v>0</v>
      </c>
      <c r="P484" s="312">
        <f t="shared" si="75"/>
        <v>0</v>
      </c>
      <c r="Q484" s="335"/>
    </row>
    <row r="485" spans="1:17" ht="23.25" customHeight="1" x14ac:dyDescent="0.5">
      <c r="A485" s="18">
        <f t="shared" si="76"/>
        <v>457</v>
      </c>
      <c r="B485" s="26" t="s">
        <v>28</v>
      </c>
      <c r="C485" s="129" t="s">
        <v>147</v>
      </c>
      <c r="D485" s="72" t="s">
        <v>524</v>
      </c>
      <c r="E485" s="73" t="s">
        <v>60</v>
      </c>
      <c r="F485" s="73" t="s">
        <v>448</v>
      </c>
      <c r="G485" s="73" t="s">
        <v>453</v>
      </c>
      <c r="H485" s="73" t="s">
        <v>138</v>
      </c>
      <c r="I485" s="191"/>
      <c r="J485" s="19">
        <v>0</v>
      </c>
      <c r="K485" s="167" t="s">
        <v>22</v>
      </c>
      <c r="L485" s="168">
        <v>0</v>
      </c>
      <c r="M485" s="168">
        <v>0</v>
      </c>
      <c r="N485" s="169">
        <f t="shared" si="73"/>
        <v>0</v>
      </c>
      <c r="O485" s="169">
        <f t="shared" si="74"/>
        <v>0</v>
      </c>
      <c r="P485" s="312">
        <f t="shared" si="75"/>
        <v>0</v>
      </c>
      <c r="Q485" s="335"/>
    </row>
    <row r="486" spans="1:17" ht="23.25" customHeight="1" x14ac:dyDescent="0.5">
      <c r="A486" s="18">
        <f t="shared" si="76"/>
        <v>458</v>
      </c>
      <c r="B486" s="26" t="s">
        <v>28</v>
      </c>
      <c r="C486" s="129" t="s">
        <v>147</v>
      </c>
      <c r="D486" s="72" t="s">
        <v>493</v>
      </c>
      <c r="E486" s="73" t="s">
        <v>60</v>
      </c>
      <c r="F486" s="73" t="s">
        <v>448</v>
      </c>
      <c r="G486" s="73" t="s">
        <v>453</v>
      </c>
      <c r="H486" s="73" t="s">
        <v>138</v>
      </c>
      <c r="I486" s="191"/>
      <c r="J486" s="19">
        <v>0</v>
      </c>
      <c r="K486" s="167" t="s">
        <v>22</v>
      </c>
      <c r="L486" s="168">
        <v>0</v>
      </c>
      <c r="M486" s="168">
        <v>0</v>
      </c>
      <c r="N486" s="169">
        <f t="shared" si="73"/>
        <v>0</v>
      </c>
      <c r="O486" s="169">
        <f t="shared" si="74"/>
        <v>0</v>
      </c>
      <c r="P486" s="312">
        <f t="shared" si="75"/>
        <v>0</v>
      </c>
      <c r="Q486" s="335"/>
    </row>
    <row r="487" spans="1:17" ht="23.25" customHeight="1" x14ac:dyDescent="0.5">
      <c r="A487" s="18">
        <f t="shared" si="76"/>
        <v>459</v>
      </c>
      <c r="B487" s="26" t="s">
        <v>28</v>
      </c>
      <c r="C487" s="129" t="s">
        <v>147</v>
      </c>
      <c r="D487" s="72" t="s">
        <v>386</v>
      </c>
      <c r="E487" s="73" t="s">
        <v>60</v>
      </c>
      <c r="F487" s="73" t="s">
        <v>448</v>
      </c>
      <c r="G487" s="73" t="s">
        <v>453</v>
      </c>
      <c r="H487" s="73" t="s">
        <v>138</v>
      </c>
      <c r="I487" s="191"/>
      <c r="J487" s="19">
        <v>0</v>
      </c>
      <c r="K487" s="167" t="s">
        <v>22</v>
      </c>
      <c r="L487" s="168">
        <v>0</v>
      </c>
      <c r="M487" s="168">
        <v>0</v>
      </c>
      <c r="N487" s="169">
        <f t="shared" si="73"/>
        <v>0</v>
      </c>
      <c r="O487" s="169">
        <f t="shared" si="74"/>
        <v>0</v>
      </c>
      <c r="P487" s="312">
        <f t="shared" si="75"/>
        <v>0</v>
      </c>
      <c r="Q487" s="335"/>
    </row>
    <row r="488" spans="1:17" ht="23.25" customHeight="1" x14ac:dyDescent="0.5">
      <c r="A488" s="18">
        <f t="shared" si="76"/>
        <v>460</v>
      </c>
      <c r="B488" s="26" t="s">
        <v>28</v>
      </c>
      <c r="C488" s="129" t="s">
        <v>147</v>
      </c>
      <c r="D488" s="72" t="s">
        <v>40</v>
      </c>
      <c r="E488" s="73" t="s">
        <v>60</v>
      </c>
      <c r="F488" s="73" t="s">
        <v>448</v>
      </c>
      <c r="G488" s="73" t="s">
        <v>453</v>
      </c>
      <c r="H488" s="73" t="s">
        <v>399</v>
      </c>
      <c r="I488" s="191"/>
      <c r="J488" s="19">
        <v>0</v>
      </c>
      <c r="K488" s="167" t="s">
        <v>51</v>
      </c>
      <c r="L488" s="168">
        <v>0</v>
      </c>
      <c r="M488" s="168">
        <v>0</v>
      </c>
      <c r="N488" s="169">
        <f t="shared" si="73"/>
        <v>0</v>
      </c>
      <c r="O488" s="169">
        <f t="shared" si="74"/>
        <v>0</v>
      </c>
      <c r="P488" s="312">
        <f t="shared" si="75"/>
        <v>0</v>
      </c>
      <c r="Q488" s="335"/>
    </row>
    <row r="489" spans="1:17" ht="23.25" customHeight="1" x14ac:dyDescent="0.5">
      <c r="A489" s="18">
        <f t="shared" si="76"/>
        <v>461</v>
      </c>
      <c r="B489" s="26" t="s">
        <v>28</v>
      </c>
      <c r="C489" s="129" t="s">
        <v>147</v>
      </c>
      <c r="D489" s="72" t="s">
        <v>524</v>
      </c>
      <c r="E489" s="73" t="s">
        <v>60</v>
      </c>
      <c r="F489" s="73" t="s">
        <v>448</v>
      </c>
      <c r="G489" s="73" t="s">
        <v>453</v>
      </c>
      <c r="H489" s="73" t="s">
        <v>399</v>
      </c>
      <c r="I489" s="191"/>
      <c r="J489" s="19">
        <v>0</v>
      </c>
      <c r="K489" s="167" t="s">
        <v>22</v>
      </c>
      <c r="L489" s="168">
        <v>0</v>
      </c>
      <c r="M489" s="168">
        <v>0</v>
      </c>
      <c r="N489" s="169">
        <f t="shared" si="73"/>
        <v>0</v>
      </c>
      <c r="O489" s="169">
        <f t="shared" si="74"/>
        <v>0</v>
      </c>
      <c r="P489" s="312">
        <f t="shared" si="75"/>
        <v>0</v>
      </c>
      <c r="Q489" s="335"/>
    </row>
    <row r="490" spans="1:17" ht="23.25" customHeight="1" x14ac:dyDescent="0.5">
      <c r="A490" s="18">
        <f t="shared" si="76"/>
        <v>462</v>
      </c>
      <c r="B490" s="26" t="s">
        <v>28</v>
      </c>
      <c r="C490" s="129" t="s">
        <v>147</v>
      </c>
      <c r="D490" s="72" t="s">
        <v>493</v>
      </c>
      <c r="E490" s="73" t="s">
        <v>60</v>
      </c>
      <c r="F490" s="73" t="s">
        <v>448</v>
      </c>
      <c r="G490" s="73" t="s">
        <v>453</v>
      </c>
      <c r="H490" s="73" t="s">
        <v>399</v>
      </c>
      <c r="I490" s="191"/>
      <c r="J490" s="19">
        <v>0</v>
      </c>
      <c r="K490" s="167" t="s">
        <v>22</v>
      </c>
      <c r="L490" s="168">
        <v>0</v>
      </c>
      <c r="M490" s="168">
        <v>0</v>
      </c>
      <c r="N490" s="169">
        <f t="shared" si="73"/>
        <v>0</v>
      </c>
      <c r="O490" s="169">
        <f t="shared" si="74"/>
        <v>0</v>
      </c>
      <c r="P490" s="312">
        <f t="shared" si="75"/>
        <v>0</v>
      </c>
      <c r="Q490" s="335"/>
    </row>
    <row r="491" spans="1:17" ht="23.25" customHeight="1" x14ac:dyDescent="0.5">
      <c r="A491" s="18">
        <f t="shared" si="76"/>
        <v>463</v>
      </c>
      <c r="B491" s="26" t="s">
        <v>28</v>
      </c>
      <c r="C491" s="129" t="s">
        <v>147</v>
      </c>
      <c r="D491" s="72" t="s">
        <v>386</v>
      </c>
      <c r="E491" s="73" t="s">
        <v>60</v>
      </c>
      <c r="F491" s="73" t="s">
        <v>448</v>
      </c>
      <c r="G491" s="73" t="s">
        <v>453</v>
      </c>
      <c r="H491" s="73" t="s">
        <v>399</v>
      </c>
      <c r="I491" s="191"/>
      <c r="J491" s="19">
        <v>0</v>
      </c>
      <c r="K491" s="167" t="s">
        <v>22</v>
      </c>
      <c r="L491" s="168">
        <v>0</v>
      </c>
      <c r="M491" s="168">
        <v>0</v>
      </c>
      <c r="N491" s="169">
        <f t="shared" si="73"/>
        <v>0</v>
      </c>
      <c r="O491" s="169">
        <f t="shared" si="74"/>
        <v>0</v>
      </c>
      <c r="P491" s="312">
        <f t="shared" si="75"/>
        <v>0</v>
      </c>
      <c r="Q491" s="335"/>
    </row>
    <row r="492" spans="1:17" ht="23.25" customHeight="1" x14ac:dyDescent="0.5">
      <c r="A492" s="18">
        <f t="shared" si="76"/>
        <v>464</v>
      </c>
      <c r="B492" s="26" t="s">
        <v>28</v>
      </c>
      <c r="C492" s="129" t="s">
        <v>147</v>
      </c>
      <c r="D492" s="72" t="s">
        <v>40</v>
      </c>
      <c r="E492" s="73" t="s">
        <v>60</v>
      </c>
      <c r="F492" s="73" t="s">
        <v>448</v>
      </c>
      <c r="G492" s="73" t="s">
        <v>453</v>
      </c>
      <c r="H492" s="73" t="s">
        <v>400</v>
      </c>
      <c r="I492" s="191"/>
      <c r="J492" s="19">
        <v>0</v>
      </c>
      <c r="K492" s="167" t="s">
        <v>51</v>
      </c>
      <c r="L492" s="168">
        <v>0</v>
      </c>
      <c r="M492" s="168">
        <v>0</v>
      </c>
      <c r="N492" s="169">
        <f t="shared" si="73"/>
        <v>0</v>
      </c>
      <c r="O492" s="169">
        <f t="shared" si="74"/>
        <v>0</v>
      </c>
      <c r="P492" s="312">
        <f t="shared" si="75"/>
        <v>0</v>
      </c>
      <c r="Q492" s="335"/>
    </row>
    <row r="493" spans="1:17" ht="23.25" customHeight="1" x14ac:dyDescent="0.5">
      <c r="A493" s="18">
        <f t="shared" si="76"/>
        <v>465</v>
      </c>
      <c r="B493" s="26" t="s">
        <v>28</v>
      </c>
      <c r="C493" s="129" t="s">
        <v>147</v>
      </c>
      <c r="D493" s="72" t="s">
        <v>524</v>
      </c>
      <c r="E493" s="73" t="s">
        <v>60</v>
      </c>
      <c r="F493" s="73" t="s">
        <v>448</v>
      </c>
      <c r="G493" s="73" t="s">
        <v>453</v>
      </c>
      <c r="H493" s="73" t="s">
        <v>400</v>
      </c>
      <c r="I493" s="191"/>
      <c r="J493" s="19">
        <v>0</v>
      </c>
      <c r="K493" s="167" t="s">
        <v>22</v>
      </c>
      <c r="L493" s="168">
        <v>0</v>
      </c>
      <c r="M493" s="168">
        <v>0</v>
      </c>
      <c r="N493" s="169">
        <f t="shared" si="73"/>
        <v>0</v>
      </c>
      <c r="O493" s="169">
        <f t="shared" si="74"/>
        <v>0</v>
      </c>
      <c r="P493" s="312">
        <f t="shared" si="75"/>
        <v>0</v>
      </c>
      <c r="Q493" s="335"/>
    </row>
    <row r="494" spans="1:17" ht="23.25" customHeight="1" x14ac:dyDescent="0.5">
      <c r="A494" s="18">
        <f t="shared" si="76"/>
        <v>466</v>
      </c>
      <c r="B494" s="26" t="s">
        <v>28</v>
      </c>
      <c r="C494" s="129" t="s">
        <v>147</v>
      </c>
      <c r="D494" s="72" t="s">
        <v>493</v>
      </c>
      <c r="E494" s="73" t="s">
        <v>60</v>
      </c>
      <c r="F494" s="73" t="s">
        <v>448</v>
      </c>
      <c r="G494" s="73" t="s">
        <v>453</v>
      </c>
      <c r="H494" s="73" t="s">
        <v>400</v>
      </c>
      <c r="I494" s="191"/>
      <c r="J494" s="19">
        <v>0</v>
      </c>
      <c r="K494" s="167" t="s">
        <v>22</v>
      </c>
      <c r="L494" s="168">
        <v>0</v>
      </c>
      <c r="M494" s="168">
        <v>0</v>
      </c>
      <c r="N494" s="169">
        <f t="shared" si="73"/>
        <v>0</v>
      </c>
      <c r="O494" s="169">
        <f t="shared" si="74"/>
        <v>0</v>
      </c>
      <c r="P494" s="312">
        <f t="shared" si="75"/>
        <v>0</v>
      </c>
      <c r="Q494" s="335"/>
    </row>
    <row r="495" spans="1:17" ht="23.25" customHeight="1" x14ac:dyDescent="0.5">
      <c r="A495" s="18">
        <f t="shared" si="76"/>
        <v>467</v>
      </c>
      <c r="B495" s="26" t="s">
        <v>28</v>
      </c>
      <c r="C495" s="129" t="s">
        <v>147</v>
      </c>
      <c r="D495" s="72" t="s">
        <v>386</v>
      </c>
      <c r="E495" s="73" t="s">
        <v>60</v>
      </c>
      <c r="F495" s="73" t="s">
        <v>448</v>
      </c>
      <c r="G495" s="73" t="s">
        <v>453</v>
      </c>
      <c r="H495" s="73" t="s">
        <v>400</v>
      </c>
      <c r="I495" s="191"/>
      <c r="J495" s="19">
        <v>0</v>
      </c>
      <c r="K495" s="167" t="s">
        <v>22</v>
      </c>
      <c r="L495" s="168">
        <v>0</v>
      </c>
      <c r="M495" s="168">
        <v>0</v>
      </c>
      <c r="N495" s="169">
        <f t="shared" si="73"/>
        <v>0</v>
      </c>
      <c r="O495" s="169">
        <f t="shared" si="74"/>
        <v>0</v>
      </c>
      <c r="P495" s="312">
        <f t="shared" si="75"/>
        <v>0</v>
      </c>
      <c r="Q495" s="335"/>
    </row>
    <row r="496" spans="1:17" ht="23.25" customHeight="1" x14ac:dyDescent="0.5">
      <c r="A496" s="18">
        <f t="shared" si="76"/>
        <v>468</v>
      </c>
      <c r="B496" s="26" t="s">
        <v>28</v>
      </c>
      <c r="C496" s="129" t="s">
        <v>147</v>
      </c>
      <c r="D496" s="75" t="s">
        <v>40</v>
      </c>
      <c r="E496" s="79" t="s">
        <v>60</v>
      </c>
      <c r="F496" s="79" t="s">
        <v>448</v>
      </c>
      <c r="G496" s="73" t="s">
        <v>453</v>
      </c>
      <c r="H496" s="79" t="s">
        <v>401</v>
      </c>
      <c r="I496" s="188"/>
      <c r="J496" s="19">
        <v>0</v>
      </c>
      <c r="K496" s="167" t="s">
        <v>51</v>
      </c>
      <c r="L496" s="168">
        <v>0</v>
      </c>
      <c r="M496" s="168">
        <v>0</v>
      </c>
      <c r="N496" s="169">
        <f t="shared" si="73"/>
        <v>0</v>
      </c>
      <c r="O496" s="169">
        <f t="shared" si="74"/>
        <v>0</v>
      </c>
      <c r="P496" s="312">
        <f t="shared" si="75"/>
        <v>0</v>
      </c>
      <c r="Q496" s="335"/>
    </row>
    <row r="497" spans="1:19" ht="23.25" customHeight="1" x14ac:dyDescent="0.5">
      <c r="A497" s="18">
        <f t="shared" si="76"/>
        <v>469</v>
      </c>
      <c r="B497" s="26" t="s">
        <v>28</v>
      </c>
      <c r="C497" s="129" t="s">
        <v>147</v>
      </c>
      <c r="D497" s="75" t="s">
        <v>524</v>
      </c>
      <c r="E497" s="79" t="s">
        <v>60</v>
      </c>
      <c r="F497" s="79" t="s">
        <v>448</v>
      </c>
      <c r="G497" s="73" t="s">
        <v>453</v>
      </c>
      <c r="H497" s="79" t="s">
        <v>401</v>
      </c>
      <c r="I497" s="188"/>
      <c r="J497" s="19">
        <v>0</v>
      </c>
      <c r="K497" s="167" t="s">
        <v>51</v>
      </c>
      <c r="L497" s="168">
        <v>0</v>
      </c>
      <c r="M497" s="168">
        <v>0</v>
      </c>
      <c r="N497" s="169">
        <f t="shared" si="73"/>
        <v>0</v>
      </c>
      <c r="O497" s="169">
        <f t="shared" si="74"/>
        <v>0</v>
      </c>
      <c r="P497" s="312">
        <f t="shared" si="75"/>
        <v>0</v>
      </c>
      <c r="Q497" s="335"/>
    </row>
    <row r="498" spans="1:19" ht="23.25" customHeight="1" x14ac:dyDescent="0.5">
      <c r="A498" s="18">
        <f t="shared" si="76"/>
        <v>470</v>
      </c>
      <c r="B498" s="26" t="s">
        <v>28</v>
      </c>
      <c r="C498" s="129" t="s">
        <v>147</v>
      </c>
      <c r="D498" s="75" t="s">
        <v>493</v>
      </c>
      <c r="E498" s="79" t="s">
        <v>60</v>
      </c>
      <c r="F498" s="79" t="s">
        <v>448</v>
      </c>
      <c r="G498" s="73" t="s">
        <v>453</v>
      </c>
      <c r="H498" s="79" t="s">
        <v>401</v>
      </c>
      <c r="I498" s="188"/>
      <c r="J498" s="19">
        <v>0</v>
      </c>
      <c r="K498" s="167" t="s">
        <v>51</v>
      </c>
      <c r="L498" s="168">
        <v>0</v>
      </c>
      <c r="M498" s="168">
        <v>0</v>
      </c>
      <c r="N498" s="169">
        <f t="shared" si="73"/>
        <v>0</v>
      </c>
      <c r="O498" s="169">
        <f t="shared" si="74"/>
        <v>0</v>
      </c>
      <c r="P498" s="312">
        <f t="shared" si="75"/>
        <v>0</v>
      </c>
      <c r="Q498" s="335"/>
    </row>
    <row r="499" spans="1:19" ht="23.25" customHeight="1" x14ac:dyDescent="0.5">
      <c r="A499" s="18">
        <f t="shared" si="76"/>
        <v>471</v>
      </c>
      <c r="B499" s="26" t="s">
        <v>28</v>
      </c>
      <c r="C499" s="129" t="s">
        <v>147</v>
      </c>
      <c r="D499" s="72" t="s">
        <v>386</v>
      </c>
      <c r="E499" s="73" t="s">
        <v>60</v>
      </c>
      <c r="F499" s="73" t="s">
        <v>448</v>
      </c>
      <c r="G499" s="73" t="s">
        <v>453</v>
      </c>
      <c r="H499" s="73" t="s">
        <v>401</v>
      </c>
      <c r="I499" s="74"/>
      <c r="J499" s="19">
        <v>0</v>
      </c>
      <c r="K499" s="259" t="s">
        <v>22</v>
      </c>
      <c r="L499" s="168">
        <v>0</v>
      </c>
      <c r="M499" s="168">
        <v>0</v>
      </c>
      <c r="N499" s="169">
        <f>L499*J499</f>
        <v>0</v>
      </c>
      <c r="O499" s="169">
        <f>M499*J499</f>
        <v>0</v>
      </c>
      <c r="P499" s="312">
        <f>(L499*J499)+(M499*J499)</f>
        <v>0</v>
      </c>
      <c r="Q499" s="326"/>
    </row>
    <row r="500" spans="1:19" ht="23.25" customHeight="1" x14ac:dyDescent="0.5">
      <c r="A500" s="18">
        <f t="shared" si="76"/>
        <v>472</v>
      </c>
      <c r="B500" s="39" t="s">
        <v>28</v>
      </c>
      <c r="C500" s="128" t="s">
        <v>147</v>
      </c>
      <c r="D500" s="45" t="s">
        <v>358</v>
      </c>
      <c r="E500" s="40"/>
      <c r="F500" s="40"/>
      <c r="G500" s="40"/>
      <c r="H500" s="40"/>
      <c r="I500" s="41"/>
      <c r="J500" s="24">
        <v>0</v>
      </c>
      <c r="K500" s="194"/>
      <c r="L500" s="195">
        <v>0</v>
      </c>
      <c r="M500" s="195">
        <v>0</v>
      </c>
      <c r="N500" s="196">
        <v>0</v>
      </c>
      <c r="O500" s="196">
        <v>0</v>
      </c>
      <c r="P500" s="313">
        <v>0</v>
      </c>
      <c r="Q500" s="328"/>
    </row>
    <row r="501" spans="1:19" ht="23.25" customHeight="1" thickBot="1" x14ac:dyDescent="0.55000000000000004">
      <c r="A501" s="38">
        <f>A500+1</f>
        <v>473</v>
      </c>
      <c r="B501" s="39" t="s">
        <v>28</v>
      </c>
      <c r="C501" s="128" t="s">
        <v>147</v>
      </c>
      <c r="D501" s="44" t="s">
        <v>358</v>
      </c>
      <c r="E501" s="40"/>
      <c r="F501" s="40"/>
      <c r="G501" s="40"/>
      <c r="H501" s="40"/>
      <c r="I501" s="41"/>
      <c r="J501" s="24">
        <f>I501</f>
        <v>0</v>
      </c>
      <c r="K501" s="194"/>
      <c r="L501" s="195">
        <v>0</v>
      </c>
      <c r="M501" s="195">
        <v>0</v>
      </c>
      <c r="N501" s="196">
        <f>L501*J501</f>
        <v>0</v>
      </c>
      <c r="O501" s="196">
        <f>M501*J501</f>
        <v>0</v>
      </c>
      <c r="P501" s="313">
        <f>(L501*J501)+(M501*J501)</f>
        <v>0</v>
      </c>
      <c r="Q501" s="328"/>
    </row>
    <row r="502" spans="1:19" ht="23.25" customHeight="1" x14ac:dyDescent="0.5">
      <c r="A502" s="28"/>
      <c r="B502" s="35" t="s">
        <v>157</v>
      </c>
      <c r="C502" s="127" t="s">
        <v>158</v>
      </c>
      <c r="D502" s="235" t="s">
        <v>157</v>
      </c>
      <c r="E502" s="149"/>
      <c r="F502" s="149"/>
      <c r="G502" s="149"/>
      <c r="H502" s="150"/>
      <c r="I502" s="236"/>
      <c r="J502" s="198"/>
      <c r="K502" s="153"/>
      <c r="L502" s="199"/>
      <c r="M502" s="199"/>
      <c r="N502" s="200"/>
      <c r="O502" s="200"/>
      <c r="P502" s="318"/>
      <c r="Q502" s="345"/>
    </row>
    <row r="503" spans="1:19" ht="23.25" customHeight="1" thickBot="1" x14ac:dyDescent="0.55000000000000004">
      <c r="A503" s="38"/>
      <c r="B503" s="39" t="s">
        <v>157</v>
      </c>
      <c r="C503" s="128" t="s">
        <v>158</v>
      </c>
      <c r="D503" s="260" t="s">
        <v>528</v>
      </c>
      <c r="E503" s="203"/>
      <c r="F503" s="203"/>
      <c r="G503" s="203"/>
      <c r="H503" s="229"/>
      <c r="I503" s="230"/>
      <c r="J503" s="231"/>
      <c r="K503" s="232"/>
      <c r="L503" s="237"/>
      <c r="M503" s="237"/>
      <c r="N503" s="261"/>
      <c r="O503" s="261"/>
      <c r="P503" s="319"/>
      <c r="Q503" s="344"/>
    </row>
    <row r="504" spans="1:19" ht="23.25" customHeight="1" x14ac:dyDescent="0.5">
      <c r="A504" s="28">
        <f>A501+1</f>
        <v>474</v>
      </c>
      <c r="B504" s="35" t="s">
        <v>157</v>
      </c>
      <c r="C504" s="127" t="s">
        <v>158</v>
      </c>
      <c r="D504" s="77" t="s">
        <v>40</v>
      </c>
      <c r="E504" s="78" t="s">
        <v>159</v>
      </c>
      <c r="F504" s="78"/>
      <c r="G504" s="78" t="s">
        <v>160</v>
      </c>
      <c r="H504" s="78" t="s">
        <v>161</v>
      </c>
      <c r="I504" s="189"/>
      <c r="J504" s="32">
        <v>0</v>
      </c>
      <c r="K504" s="190" t="s">
        <v>51</v>
      </c>
      <c r="L504" s="185">
        <v>0</v>
      </c>
      <c r="M504" s="185">
        <v>0</v>
      </c>
      <c r="N504" s="186">
        <f t="shared" ref="N504:N507" si="77">L504*J504</f>
        <v>0</v>
      </c>
      <c r="O504" s="186">
        <f t="shared" ref="O504:O507" si="78">M504*J504</f>
        <v>0</v>
      </c>
      <c r="P504" s="311">
        <f t="shared" ref="P504:P507" si="79">(L504*J504)+(M504*J504)</f>
        <v>0</v>
      </c>
      <c r="Q504" s="336"/>
      <c r="S504" s="358" t="s">
        <v>583</v>
      </c>
    </row>
    <row r="505" spans="1:19" ht="23.25" customHeight="1" x14ac:dyDescent="0.5">
      <c r="A505" s="18">
        <f>A504+1</f>
        <v>475</v>
      </c>
      <c r="B505" s="26" t="s">
        <v>157</v>
      </c>
      <c r="C505" s="129" t="s">
        <v>158</v>
      </c>
      <c r="D505" s="72" t="s">
        <v>40</v>
      </c>
      <c r="E505" s="73" t="s">
        <v>402</v>
      </c>
      <c r="F505" s="73"/>
      <c r="G505" s="73" t="s">
        <v>403</v>
      </c>
      <c r="H505" s="73" t="s">
        <v>163</v>
      </c>
      <c r="I505" s="191"/>
      <c r="J505" s="19">
        <v>0</v>
      </c>
      <c r="K505" s="80" t="s">
        <v>51</v>
      </c>
      <c r="L505" s="168">
        <v>0</v>
      </c>
      <c r="M505" s="168">
        <v>0</v>
      </c>
      <c r="N505" s="169">
        <f t="shared" si="77"/>
        <v>0</v>
      </c>
      <c r="O505" s="169">
        <f t="shared" si="78"/>
        <v>0</v>
      </c>
      <c r="P505" s="312">
        <f t="shared" si="79"/>
        <v>0</v>
      </c>
      <c r="Q505" s="335"/>
    </row>
    <row r="506" spans="1:19" ht="23.25" customHeight="1" x14ac:dyDescent="0.5">
      <c r="A506" s="18">
        <f t="shared" ref="A506:A508" si="80">A505+1</f>
        <v>476</v>
      </c>
      <c r="B506" s="26" t="s">
        <v>157</v>
      </c>
      <c r="C506" s="129" t="s">
        <v>158</v>
      </c>
      <c r="D506" s="72" t="s">
        <v>40</v>
      </c>
      <c r="E506" s="73" t="s">
        <v>402</v>
      </c>
      <c r="F506" s="73"/>
      <c r="G506" s="73" t="s">
        <v>403</v>
      </c>
      <c r="H506" s="73" t="s">
        <v>164</v>
      </c>
      <c r="I506" s="191"/>
      <c r="J506" s="19">
        <v>0</v>
      </c>
      <c r="K506" s="167" t="s">
        <v>51</v>
      </c>
      <c r="L506" s="168">
        <v>0</v>
      </c>
      <c r="M506" s="168">
        <v>0</v>
      </c>
      <c r="N506" s="169">
        <f t="shared" si="77"/>
        <v>0</v>
      </c>
      <c r="O506" s="169">
        <f t="shared" si="78"/>
        <v>0</v>
      </c>
      <c r="P506" s="312">
        <f t="shared" si="79"/>
        <v>0</v>
      </c>
      <c r="Q506" s="335"/>
    </row>
    <row r="507" spans="1:19" ht="23.25" customHeight="1" x14ac:dyDescent="0.5">
      <c r="A507" s="18">
        <f t="shared" si="80"/>
        <v>477</v>
      </c>
      <c r="B507" s="26" t="s">
        <v>157</v>
      </c>
      <c r="C507" s="129" t="s">
        <v>158</v>
      </c>
      <c r="D507" s="75" t="s">
        <v>529</v>
      </c>
      <c r="E507" s="79"/>
      <c r="F507" s="79"/>
      <c r="G507" s="79"/>
      <c r="H507" s="79"/>
      <c r="I507" s="188"/>
      <c r="J507" s="19">
        <v>0</v>
      </c>
      <c r="K507" s="167" t="s">
        <v>22</v>
      </c>
      <c r="L507" s="168">
        <v>0</v>
      </c>
      <c r="M507" s="168">
        <v>0</v>
      </c>
      <c r="N507" s="169">
        <f t="shared" si="77"/>
        <v>0</v>
      </c>
      <c r="O507" s="169">
        <f t="shared" si="78"/>
        <v>0</v>
      </c>
      <c r="P507" s="312">
        <f t="shared" si="79"/>
        <v>0</v>
      </c>
      <c r="Q507" s="335"/>
    </row>
    <row r="508" spans="1:19" ht="23.25" customHeight="1" x14ac:dyDescent="0.5">
      <c r="A508" s="18">
        <f t="shared" si="80"/>
        <v>478</v>
      </c>
      <c r="B508" s="26" t="s">
        <v>157</v>
      </c>
      <c r="C508" s="129" t="s">
        <v>158</v>
      </c>
      <c r="D508" s="43" t="s">
        <v>358</v>
      </c>
      <c r="E508" s="5"/>
      <c r="F508" s="5"/>
      <c r="G508" s="5"/>
      <c r="H508" s="5"/>
      <c r="I508" s="20"/>
      <c r="J508" s="19">
        <f>I508</f>
        <v>0</v>
      </c>
      <c r="K508" s="171"/>
      <c r="L508" s="168">
        <v>0</v>
      </c>
      <c r="M508" s="168">
        <v>0</v>
      </c>
      <c r="N508" s="169">
        <f>L508*J508</f>
        <v>0</v>
      </c>
      <c r="O508" s="169">
        <f>M508*J508</f>
        <v>0</v>
      </c>
      <c r="P508" s="312">
        <f>(L508*J508)+(M508*J508)</f>
        <v>0</v>
      </c>
      <c r="Q508" s="326"/>
    </row>
    <row r="509" spans="1:19" ht="23.25" customHeight="1" thickBot="1" x14ac:dyDescent="0.55000000000000004">
      <c r="A509" s="38">
        <f>A508+1</f>
        <v>479</v>
      </c>
      <c r="B509" s="39" t="s">
        <v>157</v>
      </c>
      <c r="C509" s="128" t="s">
        <v>158</v>
      </c>
      <c r="D509" s="44" t="s">
        <v>358</v>
      </c>
      <c r="E509" s="40"/>
      <c r="F509" s="40"/>
      <c r="G509" s="40"/>
      <c r="H509" s="40"/>
      <c r="I509" s="41"/>
      <c r="J509" s="24">
        <f>I509</f>
        <v>0</v>
      </c>
      <c r="K509" s="194"/>
      <c r="L509" s="195">
        <v>0</v>
      </c>
      <c r="M509" s="195">
        <v>0</v>
      </c>
      <c r="N509" s="196">
        <f>L509*J509</f>
        <v>0</v>
      </c>
      <c r="O509" s="196">
        <f>M509*J509</f>
        <v>0</v>
      </c>
      <c r="P509" s="313">
        <f>(L509*J509)+(M509*J509)</f>
        <v>0</v>
      </c>
      <c r="Q509" s="328"/>
    </row>
    <row r="510" spans="1:19" ht="56.5" customHeight="1" thickBot="1" x14ac:dyDescent="0.55000000000000004">
      <c r="A510" s="90"/>
      <c r="B510" s="91" t="s">
        <v>157</v>
      </c>
      <c r="C510" s="137" t="s">
        <v>165</v>
      </c>
      <c r="D510" s="238" t="s">
        <v>530</v>
      </c>
      <c r="E510" s="239"/>
      <c r="F510" s="239"/>
      <c r="G510" s="239"/>
      <c r="H510" s="240"/>
      <c r="I510" s="241"/>
      <c r="J510" s="242"/>
      <c r="K510" s="243"/>
      <c r="L510" s="244"/>
      <c r="M510" s="244"/>
      <c r="N510" s="245"/>
      <c r="O510" s="245"/>
      <c r="P510" s="314"/>
      <c r="Q510" s="346"/>
    </row>
    <row r="511" spans="1:19" ht="23.25" customHeight="1" x14ac:dyDescent="0.5">
      <c r="A511" s="28">
        <f>A509+1</f>
        <v>480</v>
      </c>
      <c r="B511" s="35" t="s">
        <v>157</v>
      </c>
      <c r="C511" s="127" t="s">
        <v>165</v>
      </c>
      <c r="D511" s="77" t="s">
        <v>40</v>
      </c>
      <c r="E511" s="78" t="s">
        <v>31</v>
      </c>
      <c r="F511" s="78"/>
      <c r="G511" s="78" t="s">
        <v>166</v>
      </c>
      <c r="H511" s="78" t="s">
        <v>161</v>
      </c>
      <c r="I511" s="189"/>
      <c r="J511" s="32">
        <v>0</v>
      </c>
      <c r="K511" s="190" t="s">
        <v>51</v>
      </c>
      <c r="L511" s="185">
        <v>0</v>
      </c>
      <c r="M511" s="185">
        <v>0</v>
      </c>
      <c r="N511" s="186">
        <f t="shared" ref="N511:N520" si="81">L511*J511</f>
        <v>0</v>
      </c>
      <c r="O511" s="186">
        <f t="shared" ref="O511:O520" si="82">M511*J511</f>
        <v>0</v>
      </c>
      <c r="P511" s="311">
        <f t="shared" ref="P511:P520" si="83">(L511*J511)+(M511*J511)</f>
        <v>0</v>
      </c>
      <c r="Q511" s="336"/>
      <c r="S511" s="358" t="s">
        <v>577</v>
      </c>
    </row>
    <row r="512" spans="1:19" ht="23.25" customHeight="1" x14ac:dyDescent="0.5">
      <c r="A512" s="18">
        <f>A511+1</f>
        <v>481</v>
      </c>
      <c r="B512" s="26" t="s">
        <v>157</v>
      </c>
      <c r="C512" s="129" t="s">
        <v>165</v>
      </c>
      <c r="D512" s="72" t="s">
        <v>493</v>
      </c>
      <c r="E512" s="73" t="s">
        <v>31</v>
      </c>
      <c r="F512" s="73"/>
      <c r="G512" s="73" t="s">
        <v>166</v>
      </c>
      <c r="H512" s="73" t="s">
        <v>161</v>
      </c>
      <c r="I512" s="191"/>
      <c r="J512" s="19">
        <v>0</v>
      </c>
      <c r="K512" s="167" t="s">
        <v>22</v>
      </c>
      <c r="L512" s="168">
        <v>0</v>
      </c>
      <c r="M512" s="168">
        <v>0</v>
      </c>
      <c r="N512" s="169">
        <f t="shared" si="81"/>
        <v>0</v>
      </c>
      <c r="O512" s="169">
        <f t="shared" si="82"/>
        <v>0</v>
      </c>
      <c r="P512" s="312">
        <f t="shared" si="83"/>
        <v>0</v>
      </c>
      <c r="Q512" s="335"/>
      <c r="S512" s="358" t="s">
        <v>578</v>
      </c>
    </row>
    <row r="513" spans="1:19" ht="23.25" customHeight="1" x14ac:dyDescent="0.5">
      <c r="A513" s="18">
        <f t="shared" ref="A513:A521" si="84">A512+1</f>
        <v>482</v>
      </c>
      <c r="B513" s="26" t="s">
        <v>157</v>
      </c>
      <c r="C513" s="129" t="s">
        <v>165</v>
      </c>
      <c r="D513" s="72" t="s">
        <v>404</v>
      </c>
      <c r="E513" s="73" t="s">
        <v>31</v>
      </c>
      <c r="F513" s="73"/>
      <c r="G513" s="73" t="s">
        <v>166</v>
      </c>
      <c r="H513" s="73" t="s">
        <v>161</v>
      </c>
      <c r="I513" s="191"/>
      <c r="J513" s="19">
        <v>0</v>
      </c>
      <c r="K513" s="167" t="s">
        <v>22</v>
      </c>
      <c r="L513" s="168">
        <v>0</v>
      </c>
      <c r="M513" s="168">
        <v>0</v>
      </c>
      <c r="N513" s="169">
        <f t="shared" si="81"/>
        <v>0</v>
      </c>
      <c r="O513" s="169">
        <f t="shared" si="82"/>
        <v>0</v>
      </c>
      <c r="P513" s="312">
        <f t="shared" si="83"/>
        <v>0</v>
      </c>
      <c r="Q513" s="335"/>
      <c r="S513" s="358" t="s">
        <v>613</v>
      </c>
    </row>
    <row r="514" spans="1:19" ht="23.25" customHeight="1" x14ac:dyDescent="0.5">
      <c r="A514" s="18">
        <f t="shared" si="84"/>
        <v>483</v>
      </c>
      <c r="B514" s="26" t="s">
        <v>157</v>
      </c>
      <c r="C514" s="129" t="s">
        <v>165</v>
      </c>
      <c r="D514" s="72" t="s">
        <v>40</v>
      </c>
      <c r="E514" s="73" t="s">
        <v>31</v>
      </c>
      <c r="F514" s="73"/>
      <c r="G514" s="73" t="s">
        <v>166</v>
      </c>
      <c r="H514" s="73" t="s">
        <v>167</v>
      </c>
      <c r="I514" s="191"/>
      <c r="J514" s="19">
        <v>0</v>
      </c>
      <c r="K514" s="167" t="s">
        <v>51</v>
      </c>
      <c r="L514" s="168">
        <v>0</v>
      </c>
      <c r="M514" s="168">
        <v>0</v>
      </c>
      <c r="N514" s="169">
        <f t="shared" si="81"/>
        <v>0</v>
      </c>
      <c r="O514" s="169">
        <f t="shared" si="82"/>
        <v>0</v>
      </c>
      <c r="P514" s="312">
        <f t="shared" si="83"/>
        <v>0</v>
      </c>
      <c r="Q514" s="335"/>
      <c r="S514" s="358" t="s">
        <v>577</v>
      </c>
    </row>
    <row r="515" spans="1:19" ht="23.25" customHeight="1" x14ac:dyDescent="0.5">
      <c r="A515" s="18">
        <f t="shared" si="84"/>
        <v>484</v>
      </c>
      <c r="B515" s="26" t="s">
        <v>157</v>
      </c>
      <c r="C515" s="129" t="s">
        <v>165</v>
      </c>
      <c r="D515" s="72" t="s">
        <v>493</v>
      </c>
      <c r="E515" s="73" t="s">
        <v>31</v>
      </c>
      <c r="F515" s="73"/>
      <c r="G515" s="73" t="s">
        <v>166</v>
      </c>
      <c r="H515" s="73" t="s">
        <v>167</v>
      </c>
      <c r="I515" s="191"/>
      <c r="J515" s="19">
        <v>0</v>
      </c>
      <c r="K515" s="167" t="s">
        <v>22</v>
      </c>
      <c r="L515" s="168">
        <v>0</v>
      </c>
      <c r="M515" s="168">
        <v>0</v>
      </c>
      <c r="N515" s="169">
        <f t="shared" si="81"/>
        <v>0</v>
      </c>
      <c r="O515" s="169">
        <f t="shared" si="82"/>
        <v>0</v>
      </c>
      <c r="P515" s="312">
        <f t="shared" si="83"/>
        <v>0</v>
      </c>
      <c r="Q515" s="335"/>
      <c r="S515" s="358" t="s">
        <v>578</v>
      </c>
    </row>
    <row r="516" spans="1:19" ht="23.25" customHeight="1" x14ac:dyDescent="0.5">
      <c r="A516" s="18">
        <f t="shared" si="84"/>
        <v>485</v>
      </c>
      <c r="B516" s="26" t="s">
        <v>157</v>
      </c>
      <c r="C516" s="129" t="s">
        <v>165</v>
      </c>
      <c r="D516" s="72" t="s">
        <v>404</v>
      </c>
      <c r="E516" s="73" t="s">
        <v>31</v>
      </c>
      <c r="F516" s="73"/>
      <c r="G516" s="73" t="s">
        <v>166</v>
      </c>
      <c r="H516" s="73" t="s">
        <v>167</v>
      </c>
      <c r="I516" s="191"/>
      <c r="J516" s="19">
        <v>0</v>
      </c>
      <c r="K516" s="167" t="s">
        <v>22</v>
      </c>
      <c r="L516" s="168">
        <v>0</v>
      </c>
      <c r="M516" s="168">
        <v>0</v>
      </c>
      <c r="N516" s="169">
        <f t="shared" si="81"/>
        <v>0</v>
      </c>
      <c r="O516" s="169">
        <f t="shared" si="82"/>
        <v>0</v>
      </c>
      <c r="P516" s="312">
        <f t="shared" si="83"/>
        <v>0</v>
      </c>
      <c r="Q516" s="335"/>
      <c r="S516" s="358" t="s">
        <v>613</v>
      </c>
    </row>
    <row r="517" spans="1:19" ht="23.25" customHeight="1" x14ac:dyDescent="0.5">
      <c r="A517" s="18">
        <f t="shared" si="84"/>
        <v>486</v>
      </c>
      <c r="B517" s="26" t="s">
        <v>157</v>
      </c>
      <c r="C517" s="129" t="s">
        <v>165</v>
      </c>
      <c r="D517" s="72" t="s">
        <v>40</v>
      </c>
      <c r="E517" s="73" t="s">
        <v>31</v>
      </c>
      <c r="F517" s="73"/>
      <c r="G517" s="73" t="s">
        <v>166</v>
      </c>
      <c r="H517" s="73" t="s">
        <v>168</v>
      </c>
      <c r="I517" s="191"/>
      <c r="J517" s="19">
        <v>0</v>
      </c>
      <c r="K517" s="167" t="s">
        <v>51</v>
      </c>
      <c r="L517" s="168">
        <v>0</v>
      </c>
      <c r="M517" s="168">
        <v>0</v>
      </c>
      <c r="N517" s="169">
        <f t="shared" si="81"/>
        <v>0</v>
      </c>
      <c r="O517" s="169">
        <f t="shared" si="82"/>
        <v>0</v>
      </c>
      <c r="P517" s="312">
        <f t="shared" si="83"/>
        <v>0</v>
      </c>
      <c r="Q517" s="335"/>
      <c r="S517" s="358" t="s">
        <v>577</v>
      </c>
    </row>
    <row r="518" spans="1:19" ht="23.25" customHeight="1" x14ac:dyDescent="0.5">
      <c r="A518" s="18">
        <f t="shared" si="84"/>
        <v>487</v>
      </c>
      <c r="B518" s="26" t="s">
        <v>157</v>
      </c>
      <c r="C518" s="129" t="s">
        <v>165</v>
      </c>
      <c r="D518" s="72" t="s">
        <v>493</v>
      </c>
      <c r="E518" s="73" t="s">
        <v>31</v>
      </c>
      <c r="F518" s="73"/>
      <c r="G518" s="73" t="s">
        <v>166</v>
      </c>
      <c r="H518" s="73" t="s">
        <v>168</v>
      </c>
      <c r="I518" s="191"/>
      <c r="J518" s="19">
        <v>0</v>
      </c>
      <c r="K518" s="167" t="s">
        <v>22</v>
      </c>
      <c r="L518" s="168">
        <v>0</v>
      </c>
      <c r="M518" s="168">
        <v>0</v>
      </c>
      <c r="N518" s="169">
        <f t="shared" si="81"/>
        <v>0</v>
      </c>
      <c r="O518" s="169">
        <f t="shared" si="82"/>
        <v>0</v>
      </c>
      <c r="P518" s="312">
        <f t="shared" si="83"/>
        <v>0</v>
      </c>
      <c r="Q518" s="335"/>
      <c r="S518" s="358" t="s">
        <v>578</v>
      </c>
    </row>
    <row r="519" spans="1:19" ht="23.25" customHeight="1" x14ac:dyDescent="0.5">
      <c r="A519" s="18">
        <f t="shared" si="84"/>
        <v>488</v>
      </c>
      <c r="B519" s="26" t="s">
        <v>157</v>
      </c>
      <c r="C519" s="129" t="s">
        <v>165</v>
      </c>
      <c r="D519" s="72" t="s">
        <v>404</v>
      </c>
      <c r="E519" s="73" t="s">
        <v>31</v>
      </c>
      <c r="F519" s="73"/>
      <c r="G519" s="73" t="s">
        <v>166</v>
      </c>
      <c r="H519" s="73" t="s">
        <v>168</v>
      </c>
      <c r="I519" s="191"/>
      <c r="J519" s="19">
        <v>0</v>
      </c>
      <c r="K519" s="167" t="s">
        <v>22</v>
      </c>
      <c r="L519" s="168">
        <v>0</v>
      </c>
      <c r="M519" s="168">
        <v>0</v>
      </c>
      <c r="N519" s="169">
        <f t="shared" si="81"/>
        <v>0</v>
      </c>
      <c r="O519" s="169">
        <f t="shared" si="82"/>
        <v>0</v>
      </c>
      <c r="P519" s="312">
        <f t="shared" si="83"/>
        <v>0</v>
      </c>
      <c r="Q519" s="335"/>
      <c r="S519" s="358" t="s">
        <v>613</v>
      </c>
    </row>
    <row r="520" spans="1:19" ht="23.25" customHeight="1" x14ac:dyDescent="0.5">
      <c r="A520" s="18">
        <f t="shared" si="84"/>
        <v>489</v>
      </c>
      <c r="B520" s="26" t="s">
        <v>157</v>
      </c>
      <c r="C520" s="129" t="s">
        <v>165</v>
      </c>
      <c r="D520" s="75" t="s">
        <v>529</v>
      </c>
      <c r="E520" s="79"/>
      <c r="F520" s="79"/>
      <c r="G520" s="79"/>
      <c r="H520" s="79"/>
      <c r="I520" s="188"/>
      <c r="J520" s="19">
        <v>0</v>
      </c>
      <c r="K520" s="167" t="s">
        <v>22</v>
      </c>
      <c r="L520" s="168">
        <v>0</v>
      </c>
      <c r="M520" s="168">
        <v>0</v>
      </c>
      <c r="N520" s="169">
        <f t="shared" si="81"/>
        <v>0</v>
      </c>
      <c r="O520" s="169">
        <f t="shared" si="82"/>
        <v>0</v>
      </c>
      <c r="P520" s="312">
        <f t="shared" si="83"/>
        <v>0</v>
      </c>
      <c r="Q520" s="335"/>
    </row>
    <row r="521" spans="1:19" ht="23.25" customHeight="1" x14ac:dyDescent="0.5">
      <c r="A521" s="18">
        <f t="shared" si="84"/>
        <v>490</v>
      </c>
      <c r="B521" s="26" t="s">
        <v>157</v>
      </c>
      <c r="C521" s="129" t="s">
        <v>165</v>
      </c>
      <c r="D521" s="43" t="s">
        <v>358</v>
      </c>
      <c r="E521" s="5"/>
      <c r="F521" s="5"/>
      <c r="G521" s="5"/>
      <c r="H521" s="5"/>
      <c r="I521" s="20"/>
      <c r="J521" s="19">
        <f>I521</f>
        <v>0</v>
      </c>
      <c r="K521" s="171"/>
      <c r="L521" s="168">
        <v>0</v>
      </c>
      <c r="M521" s="168">
        <v>0</v>
      </c>
      <c r="N521" s="169">
        <f>L521*J521</f>
        <v>0</v>
      </c>
      <c r="O521" s="169">
        <f>M521*J521</f>
        <v>0</v>
      </c>
      <c r="P521" s="312">
        <f>(L521*J521)+(M521*J521)</f>
        <v>0</v>
      </c>
      <c r="Q521" s="326"/>
    </row>
    <row r="522" spans="1:19" ht="23.25" customHeight="1" thickBot="1" x14ac:dyDescent="0.55000000000000004">
      <c r="A522" s="38">
        <f>A521+1</f>
        <v>491</v>
      </c>
      <c r="B522" s="39" t="s">
        <v>157</v>
      </c>
      <c r="C522" s="128" t="s">
        <v>165</v>
      </c>
      <c r="D522" s="44" t="s">
        <v>358</v>
      </c>
      <c r="E522" s="40"/>
      <c r="F522" s="40"/>
      <c r="G522" s="40"/>
      <c r="H522" s="40"/>
      <c r="I522" s="41"/>
      <c r="J522" s="24">
        <f>I522</f>
        <v>0</v>
      </c>
      <c r="K522" s="194"/>
      <c r="L522" s="195">
        <v>0</v>
      </c>
      <c r="M522" s="195">
        <v>0</v>
      </c>
      <c r="N522" s="196">
        <f>L522*J522</f>
        <v>0</v>
      </c>
      <c r="O522" s="196">
        <f>M522*J522</f>
        <v>0</v>
      </c>
      <c r="P522" s="313">
        <f>(L522*J522)+(M522*J522)</f>
        <v>0</v>
      </c>
      <c r="Q522" s="328"/>
    </row>
    <row r="523" spans="1:19" ht="71" thickBot="1" x14ac:dyDescent="0.55000000000000004">
      <c r="A523" s="90"/>
      <c r="B523" s="91" t="s">
        <v>157</v>
      </c>
      <c r="C523" s="137" t="s">
        <v>169</v>
      </c>
      <c r="D523" s="238" t="s">
        <v>531</v>
      </c>
      <c r="E523" s="239"/>
      <c r="F523" s="239"/>
      <c r="G523" s="239"/>
      <c r="H523" s="240"/>
      <c r="I523" s="241"/>
      <c r="J523" s="242"/>
      <c r="K523" s="243"/>
      <c r="L523" s="244"/>
      <c r="M523" s="244"/>
      <c r="N523" s="245"/>
      <c r="O523" s="245"/>
      <c r="P523" s="314"/>
      <c r="Q523" s="346"/>
    </row>
    <row r="524" spans="1:19" ht="22.5" customHeight="1" x14ac:dyDescent="0.5">
      <c r="A524" s="28">
        <f>A522+1</f>
        <v>492</v>
      </c>
      <c r="B524" s="35" t="s">
        <v>157</v>
      </c>
      <c r="C524" s="127" t="s">
        <v>169</v>
      </c>
      <c r="D524" s="77" t="s">
        <v>40</v>
      </c>
      <c r="E524" s="78" t="s">
        <v>159</v>
      </c>
      <c r="F524" s="78"/>
      <c r="G524" s="78" t="s">
        <v>160</v>
      </c>
      <c r="H524" s="78" t="s">
        <v>161</v>
      </c>
      <c r="I524" s="189"/>
      <c r="J524" s="32">
        <v>0</v>
      </c>
      <c r="K524" s="190" t="s">
        <v>51</v>
      </c>
      <c r="L524" s="185">
        <v>0</v>
      </c>
      <c r="M524" s="185">
        <v>0</v>
      </c>
      <c r="N524" s="186">
        <f t="shared" ref="N524:N533" si="85">L524*J524</f>
        <v>0</v>
      </c>
      <c r="O524" s="186">
        <f t="shared" ref="O524:O533" si="86">M524*J524</f>
        <v>0</v>
      </c>
      <c r="P524" s="311">
        <f t="shared" ref="P524:P533" si="87">(L524*J524)+(M524*J524)</f>
        <v>0</v>
      </c>
      <c r="Q524" s="336"/>
      <c r="S524" s="358" t="s">
        <v>583</v>
      </c>
    </row>
    <row r="525" spans="1:19" ht="23.25" customHeight="1" x14ac:dyDescent="0.5">
      <c r="A525" s="18">
        <f>A524+1</f>
        <v>493</v>
      </c>
      <c r="B525" s="26" t="s">
        <v>157</v>
      </c>
      <c r="C525" s="129" t="s">
        <v>169</v>
      </c>
      <c r="D525" s="72" t="s">
        <v>493</v>
      </c>
      <c r="E525" s="73" t="s">
        <v>41</v>
      </c>
      <c r="F525" s="73"/>
      <c r="G525" s="73" t="s">
        <v>162</v>
      </c>
      <c r="H525" s="73" t="s">
        <v>161</v>
      </c>
      <c r="I525" s="191"/>
      <c r="J525" s="19">
        <v>0</v>
      </c>
      <c r="K525" s="167" t="s">
        <v>22</v>
      </c>
      <c r="L525" s="168">
        <v>0</v>
      </c>
      <c r="M525" s="168">
        <v>0</v>
      </c>
      <c r="N525" s="169">
        <f t="shared" si="85"/>
        <v>0</v>
      </c>
      <c r="O525" s="169">
        <f t="shared" si="86"/>
        <v>0</v>
      </c>
      <c r="P525" s="312">
        <f t="shared" si="87"/>
        <v>0</v>
      </c>
      <c r="Q525" s="335"/>
    </row>
    <row r="526" spans="1:19" ht="23.25" customHeight="1" x14ac:dyDescent="0.5">
      <c r="A526" s="18">
        <f t="shared" ref="A526:A534" si="88">A525+1</f>
        <v>494</v>
      </c>
      <c r="B526" s="26" t="s">
        <v>157</v>
      </c>
      <c r="C526" s="129" t="s">
        <v>169</v>
      </c>
      <c r="D526" s="72" t="s">
        <v>404</v>
      </c>
      <c r="E526" s="73" t="s">
        <v>41</v>
      </c>
      <c r="F526" s="73"/>
      <c r="G526" s="73" t="s">
        <v>162</v>
      </c>
      <c r="H526" s="73" t="s">
        <v>161</v>
      </c>
      <c r="I526" s="191"/>
      <c r="J526" s="19">
        <v>0</v>
      </c>
      <c r="K526" s="167" t="s">
        <v>22</v>
      </c>
      <c r="L526" s="168">
        <v>0</v>
      </c>
      <c r="M526" s="168">
        <v>0</v>
      </c>
      <c r="N526" s="169">
        <f t="shared" si="85"/>
        <v>0</v>
      </c>
      <c r="O526" s="169">
        <f t="shared" si="86"/>
        <v>0</v>
      </c>
      <c r="P526" s="312">
        <f t="shared" si="87"/>
        <v>0</v>
      </c>
      <c r="Q526" s="335"/>
    </row>
    <row r="527" spans="1:19" ht="23.25" customHeight="1" x14ac:dyDescent="0.5">
      <c r="A527" s="18">
        <f t="shared" si="88"/>
        <v>495</v>
      </c>
      <c r="B527" s="26" t="s">
        <v>157</v>
      </c>
      <c r="C527" s="129" t="s">
        <v>169</v>
      </c>
      <c r="D527" s="72" t="s">
        <v>40</v>
      </c>
      <c r="E527" s="73" t="s">
        <v>170</v>
      </c>
      <c r="F527" s="73"/>
      <c r="G527" s="73" t="s">
        <v>171</v>
      </c>
      <c r="H527" s="73" t="s">
        <v>167</v>
      </c>
      <c r="I527" s="191"/>
      <c r="J527" s="19">
        <v>0</v>
      </c>
      <c r="K527" s="167" t="s">
        <v>51</v>
      </c>
      <c r="L527" s="168">
        <v>0</v>
      </c>
      <c r="M527" s="168">
        <v>0</v>
      </c>
      <c r="N527" s="169">
        <f t="shared" si="85"/>
        <v>0</v>
      </c>
      <c r="O527" s="169">
        <f t="shared" si="86"/>
        <v>0</v>
      </c>
      <c r="P527" s="312">
        <f t="shared" si="87"/>
        <v>0</v>
      </c>
      <c r="Q527" s="335"/>
      <c r="S527" s="358" t="s">
        <v>602</v>
      </c>
    </row>
    <row r="528" spans="1:19" ht="23.25" customHeight="1" x14ac:dyDescent="0.5">
      <c r="A528" s="18">
        <f t="shared" si="88"/>
        <v>496</v>
      </c>
      <c r="B528" s="26" t="s">
        <v>157</v>
      </c>
      <c r="C528" s="129" t="s">
        <v>169</v>
      </c>
      <c r="D528" s="72" t="s">
        <v>493</v>
      </c>
      <c r="E528" s="73" t="s">
        <v>170</v>
      </c>
      <c r="F528" s="73"/>
      <c r="G528" s="73" t="s">
        <v>171</v>
      </c>
      <c r="H528" s="73" t="s">
        <v>167</v>
      </c>
      <c r="I528" s="191"/>
      <c r="J528" s="19">
        <v>0</v>
      </c>
      <c r="K528" s="167" t="s">
        <v>22</v>
      </c>
      <c r="L528" s="168">
        <v>0</v>
      </c>
      <c r="M528" s="168">
        <v>0</v>
      </c>
      <c r="N528" s="169">
        <f t="shared" si="85"/>
        <v>0</v>
      </c>
      <c r="O528" s="169">
        <f t="shared" si="86"/>
        <v>0</v>
      </c>
      <c r="P528" s="312">
        <f t="shared" si="87"/>
        <v>0</v>
      </c>
      <c r="Q528" s="335"/>
      <c r="S528" s="358" t="s">
        <v>604</v>
      </c>
    </row>
    <row r="529" spans="1:19" ht="23.25" customHeight="1" x14ac:dyDescent="0.5">
      <c r="A529" s="18">
        <f t="shared" si="88"/>
        <v>497</v>
      </c>
      <c r="B529" s="26" t="s">
        <v>157</v>
      </c>
      <c r="C529" s="129" t="s">
        <v>169</v>
      </c>
      <c r="D529" s="72" t="s">
        <v>404</v>
      </c>
      <c r="E529" s="73" t="s">
        <v>170</v>
      </c>
      <c r="F529" s="73"/>
      <c r="G529" s="73" t="s">
        <v>171</v>
      </c>
      <c r="H529" s="73" t="s">
        <v>167</v>
      </c>
      <c r="I529" s="191"/>
      <c r="J529" s="19">
        <v>0</v>
      </c>
      <c r="K529" s="167" t="s">
        <v>22</v>
      </c>
      <c r="L529" s="168">
        <v>0</v>
      </c>
      <c r="M529" s="168">
        <v>0</v>
      </c>
      <c r="N529" s="169">
        <f t="shared" si="85"/>
        <v>0</v>
      </c>
      <c r="O529" s="169">
        <f t="shared" si="86"/>
        <v>0</v>
      </c>
      <c r="P529" s="312">
        <f t="shared" si="87"/>
        <v>0</v>
      </c>
      <c r="Q529" s="335"/>
      <c r="S529" s="358" t="s">
        <v>605</v>
      </c>
    </row>
    <row r="530" spans="1:19" ht="23.25" customHeight="1" x14ac:dyDescent="0.5">
      <c r="A530" s="18">
        <f t="shared" si="88"/>
        <v>498</v>
      </c>
      <c r="B530" s="26" t="s">
        <v>157</v>
      </c>
      <c r="C530" s="129" t="s">
        <v>169</v>
      </c>
      <c r="D530" s="72" t="s">
        <v>40</v>
      </c>
      <c r="E530" s="73" t="s">
        <v>170</v>
      </c>
      <c r="F530" s="73"/>
      <c r="G530" s="73" t="s">
        <v>171</v>
      </c>
      <c r="H530" s="73" t="s">
        <v>168</v>
      </c>
      <c r="I530" s="191"/>
      <c r="J530" s="19">
        <v>0</v>
      </c>
      <c r="K530" s="167" t="s">
        <v>51</v>
      </c>
      <c r="L530" s="168">
        <v>0</v>
      </c>
      <c r="M530" s="168">
        <v>0</v>
      </c>
      <c r="N530" s="169">
        <f t="shared" si="85"/>
        <v>0</v>
      </c>
      <c r="O530" s="169">
        <f t="shared" si="86"/>
        <v>0</v>
      </c>
      <c r="P530" s="312">
        <f t="shared" si="87"/>
        <v>0</v>
      </c>
      <c r="Q530" s="335"/>
      <c r="S530" s="358" t="s">
        <v>602</v>
      </c>
    </row>
    <row r="531" spans="1:19" ht="23.25" customHeight="1" x14ac:dyDescent="0.5">
      <c r="A531" s="18">
        <f t="shared" si="88"/>
        <v>499</v>
      </c>
      <c r="B531" s="26" t="s">
        <v>157</v>
      </c>
      <c r="C531" s="129" t="s">
        <v>169</v>
      </c>
      <c r="D531" s="72" t="s">
        <v>493</v>
      </c>
      <c r="E531" s="73" t="s">
        <v>170</v>
      </c>
      <c r="F531" s="73"/>
      <c r="G531" s="73" t="s">
        <v>171</v>
      </c>
      <c r="H531" s="73" t="s">
        <v>168</v>
      </c>
      <c r="I531" s="191"/>
      <c r="J531" s="19">
        <v>0</v>
      </c>
      <c r="K531" s="167" t="s">
        <v>22</v>
      </c>
      <c r="L531" s="168">
        <v>0</v>
      </c>
      <c r="M531" s="168">
        <v>0</v>
      </c>
      <c r="N531" s="169">
        <f t="shared" si="85"/>
        <v>0</v>
      </c>
      <c r="O531" s="169">
        <f t="shared" si="86"/>
        <v>0</v>
      </c>
      <c r="P531" s="312">
        <f t="shared" si="87"/>
        <v>0</v>
      </c>
      <c r="Q531" s="335"/>
      <c r="S531" s="358" t="s">
        <v>604</v>
      </c>
    </row>
    <row r="532" spans="1:19" ht="23.25" customHeight="1" x14ac:dyDescent="0.5">
      <c r="A532" s="18">
        <f t="shared" si="88"/>
        <v>500</v>
      </c>
      <c r="B532" s="26" t="s">
        <v>157</v>
      </c>
      <c r="C532" s="129" t="s">
        <v>169</v>
      </c>
      <c r="D532" s="72" t="s">
        <v>404</v>
      </c>
      <c r="E532" s="73" t="s">
        <v>170</v>
      </c>
      <c r="F532" s="73"/>
      <c r="G532" s="73" t="s">
        <v>171</v>
      </c>
      <c r="H532" s="73" t="s">
        <v>168</v>
      </c>
      <c r="I532" s="191"/>
      <c r="J532" s="19">
        <v>0</v>
      </c>
      <c r="K532" s="167" t="s">
        <v>22</v>
      </c>
      <c r="L532" s="168">
        <v>0</v>
      </c>
      <c r="M532" s="168">
        <v>0</v>
      </c>
      <c r="N532" s="169">
        <f t="shared" si="85"/>
        <v>0</v>
      </c>
      <c r="O532" s="169">
        <f t="shared" si="86"/>
        <v>0</v>
      </c>
      <c r="P532" s="312">
        <f t="shared" si="87"/>
        <v>0</v>
      </c>
      <c r="Q532" s="335"/>
      <c r="S532" s="358" t="s">
        <v>605</v>
      </c>
    </row>
    <row r="533" spans="1:19" ht="23.25" customHeight="1" x14ac:dyDescent="0.5">
      <c r="A533" s="18">
        <f t="shared" si="88"/>
        <v>501</v>
      </c>
      <c r="B533" s="26" t="s">
        <v>157</v>
      </c>
      <c r="C533" s="129" t="s">
        <v>169</v>
      </c>
      <c r="D533" s="75" t="s">
        <v>529</v>
      </c>
      <c r="E533" s="79"/>
      <c r="F533" s="79"/>
      <c r="G533" s="79"/>
      <c r="H533" s="79"/>
      <c r="I533" s="188"/>
      <c r="J533" s="19">
        <v>0</v>
      </c>
      <c r="K533" s="167" t="s">
        <v>22</v>
      </c>
      <c r="L533" s="168">
        <v>0</v>
      </c>
      <c r="M533" s="168">
        <v>0</v>
      </c>
      <c r="N533" s="169">
        <f t="shared" si="85"/>
        <v>0</v>
      </c>
      <c r="O533" s="169">
        <f t="shared" si="86"/>
        <v>0</v>
      </c>
      <c r="P533" s="312">
        <f t="shared" si="87"/>
        <v>0</v>
      </c>
      <c r="Q533" s="335"/>
    </row>
    <row r="534" spans="1:19" ht="23.25" customHeight="1" x14ac:dyDescent="0.5">
      <c r="A534" s="18">
        <f t="shared" si="88"/>
        <v>502</v>
      </c>
      <c r="B534" s="26" t="s">
        <v>157</v>
      </c>
      <c r="C534" s="129" t="s">
        <v>169</v>
      </c>
      <c r="D534" s="43" t="s">
        <v>358</v>
      </c>
      <c r="E534" s="5"/>
      <c r="F534" s="5"/>
      <c r="G534" s="5"/>
      <c r="H534" s="5"/>
      <c r="I534" s="20"/>
      <c r="J534" s="19">
        <f>I534</f>
        <v>0</v>
      </c>
      <c r="K534" s="171"/>
      <c r="L534" s="168">
        <v>0</v>
      </c>
      <c r="M534" s="168">
        <v>0</v>
      </c>
      <c r="N534" s="169">
        <f>L534*J534</f>
        <v>0</v>
      </c>
      <c r="O534" s="169">
        <f>M534*J534</f>
        <v>0</v>
      </c>
      <c r="P534" s="312">
        <f>(L534*J534)+(M534*J534)</f>
        <v>0</v>
      </c>
      <c r="Q534" s="326"/>
    </row>
    <row r="535" spans="1:19" ht="23.25" customHeight="1" thickBot="1" x14ac:dyDescent="0.55000000000000004">
      <c r="A535" s="38">
        <f>A534+1</f>
        <v>503</v>
      </c>
      <c r="B535" s="39" t="s">
        <v>157</v>
      </c>
      <c r="C535" s="128" t="s">
        <v>169</v>
      </c>
      <c r="D535" s="44" t="s">
        <v>358</v>
      </c>
      <c r="E535" s="40"/>
      <c r="F535" s="40"/>
      <c r="G535" s="40"/>
      <c r="H535" s="40"/>
      <c r="I535" s="41"/>
      <c r="J535" s="24">
        <f>I535</f>
        <v>0</v>
      </c>
      <c r="K535" s="194"/>
      <c r="L535" s="195">
        <v>0</v>
      </c>
      <c r="M535" s="195">
        <v>0</v>
      </c>
      <c r="N535" s="196">
        <f>L535*J535</f>
        <v>0</v>
      </c>
      <c r="O535" s="196">
        <f>M535*J535</f>
        <v>0</v>
      </c>
      <c r="P535" s="313">
        <f>(L535*J535)+(M535*J535)</f>
        <v>0</v>
      </c>
      <c r="Q535" s="328"/>
    </row>
    <row r="536" spans="1:19" ht="47.5" thickBot="1" x14ac:dyDescent="0.55000000000000004">
      <c r="A536" s="90"/>
      <c r="B536" s="91" t="s">
        <v>157</v>
      </c>
      <c r="C536" s="137" t="s">
        <v>172</v>
      </c>
      <c r="D536" s="238" t="s">
        <v>532</v>
      </c>
      <c r="E536" s="239"/>
      <c r="F536" s="239"/>
      <c r="G536" s="239"/>
      <c r="H536" s="240"/>
      <c r="I536" s="241"/>
      <c r="J536" s="242"/>
      <c r="K536" s="243"/>
      <c r="L536" s="244"/>
      <c r="M536" s="244"/>
      <c r="N536" s="245"/>
      <c r="O536" s="245"/>
      <c r="P536" s="314"/>
      <c r="Q536" s="346"/>
    </row>
    <row r="537" spans="1:19" ht="23.25" customHeight="1" x14ac:dyDescent="0.5">
      <c r="A537" s="28">
        <f>A535+1</f>
        <v>504</v>
      </c>
      <c r="B537" s="35" t="s">
        <v>157</v>
      </c>
      <c r="C537" s="127" t="s">
        <v>172</v>
      </c>
      <c r="D537" s="77" t="s">
        <v>40</v>
      </c>
      <c r="E537" s="78" t="s">
        <v>533</v>
      </c>
      <c r="F537" s="78"/>
      <c r="G537" s="78" t="s">
        <v>173</v>
      </c>
      <c r="H537" s="78" t="s">
        <v>161</v>
      </c>
      <c r="I537" s="189"/>
      <c r="J537" s="32">
        <v>0</v>
      </c>
      <c r="K537" s="190" t="s">
        <v>51</v>
      </c>
      <c r="L537" s="185">
        <v>0</v>
      </c>
      <c r="M537" s="185">
        <v>0</v>
      </c>
      <c r="N537" s="186">
        <f t="shared" ref="N537:N546" si="89">L537*J537</f>
        <v>0</v>
      </c>
      <c r="O537" s="186">
        <f t="shared" ref="O537:O546" si="90">M537*J537</f>
        <v>0</v>
      </c>
      <c r="P537" s="311">
        <f t="shared" ref="P537:P546" si="91">(L537*J537)+(M537*J537)</f>
        <v>0</v>
      </c>
      <c r="Q537" s="336"/>
    </row>
    <row r="538" spans="1:19" ht="23.25" customHeight="1" x14ac:dyDescent="0.5">
      <c r="A538" s="18">
        <f>A537+1</f>
        <v>505</v>
      </c>
      <c r="B538" s="26" t="s">
        <v>157</v>
      </c>
      <c r="C538" s="129" t="s">
        <v>172</v>
      </c>
      <c r="D538" s="72" t="s">
        <v>493</v>
      </c>
      <c r="E538" s="73" t="s">
        <v>533</v>
      </c>
      <c r="F538" s="73"/>
      <c r="G538" s="73" t="s">
        <v>173</v>
      </c>
      <c r="H538" s="73" t="s">
        <v>161</v>
      </c>
      <c r="I538" s="191"/>
      <c r="J538" s="19">
        <v>0</v>
      </c>
      <c r="K538" s="167" t="s">
        <v>22</v>
      </c>
      <c r="L538" s="168">
        <v>0</v>
      </c>
      <c r="M538" s="168">
        <v>0</v>
      </c>
      <c r="N538" s="169">
        <f t="shared" si="89"/>
        <v>0</v>
      </c>
      <c r="O538" s="169">
        <f t="shared" si="90"/>
        <v>0</v>
      </c>
      <c r="P538" s="312">
        <f t="shared" si="91"/>
        <v>0</v>
      </c>
      <c r="Q538" s="335"/>
    </row>
    <row r="539" spans="1:19" ht="23.25" customHeight="1" x14ac:dyDescent="0.5">
      <c r="A539" s="18">
        <f t="shared" ref="A539:A547" si="92">A538+1</f>
        <v>506</v>
      </c>
      <c r="B539" s="26" t="s">
        <v>157</v>
      </c>
      <c r="C539" s="129" t="s">
        <v>172</v>
      </c>
      <c r="D539" s="72" t="s">
        <v>404</v>
      </c>
      <c r="E539" s="73" t="s">
        <v>533</v>
      </c>
      <c r="F539" s="73"/>
      <c r="G539" s="73" t="s">
        <v>173</v>
      </c>
      <c r="H539" s="73" t="s">
        <v>161</v>
      </c>
      <c r="I539" s="191"/>
      <c r="J539" s="19">
        <v>0</v>
      </c>
      <c r="K539" s="167" t="s">
        <v>22</v>
      </c>
      <c r="L539" s="168">
        <v>0</v>
      </c>
      <c r="M539" s="168">
        <v>0</v>
      </c>
      <c r="N539" s="169">
        <f t="shared" si="89"/>
        <v>0</v>
      </c>
      <c r="O539" s="169">
        <f t="shared" si="90"/>
        <v>0</v>
      </c>
      <c r="P539" s="312">
        <f t="shared" si="91"/>
        <v>0</v>
      </c>
      <c r="Q539" s="335"/>
    </row>
    <row r="540" spans="1:19" ht="23.25" customHeight="1" x14ac:dyDescent="0.5">
      <c r="A540" s="18">
        <f t="shared" si="92"/>
        <v>507</v>
      </c>
      <c r="B540" s="26" t="s">
        <v>157</v>
      </c>
      <c r="C540" s="129" t="s">
        <v>172</v>
      </c>
      <c r="D540" s="72" t="s">
        <v>40</v>
      </c>
      <c r="E540" s="73" t="s">
        <v>533</v>
      </c>
      <c r="F540" s="73"/>
      <c r="G540" s="73" t="s">
        <v>173</v>
      </c>
      <c r="H540" s="73" t="s">
        <v>167</v>
      </c>
      <c r="I540" s="191"/>
      <c r="J540" s="19">
        <v>0</v>
      </c>
      <c r="K540" s="167" t="s">
        <v>51</v>
      </c>
      <c r="L540" s="168">
        <v>0</v>
      </c>
      <c r="M540" s="168">
        <v>0</v>
      </c>
      <c r="N540" s="169">
        <f t="shared" si="89"/>
        <v>0</v>
      </c>
      <c r="O540" s="169">
        <f t="shared" si="90"/>
        <v>0</v>
      </c>
      <c r="P540" s="312">
        <f t="shared" si="91"/>
        <v>0</v>
      </c>
      <c r="Q540" s="335"/>
    </row>
    <row r="541" spans="1:19" ht="23.25" customHeight="1" x14ac:dyDescent="0.5">
      <c r="A541" s="18">
        <f t="shared" si="92"/>
        <v>508</v>
      </c>
      <c r="B541" s="26" t="s">
        <v>157</v>
      </c>
      <c r="C541" s="129" t="s">
        <v>172</v>
      </c>
      <c r="D541" s="72" t="s">
        <v>493</v>
      </c>
      <c r="E541" s="73" t="s">
        <v>533</v>
      </c>
      <c r="F541" s="73"/>
      <c r="G541" s="73" t="s">
        <v>173</v>
      </c>
      <c r="H541" s="73" t="s">
        <v>167</v>
      </c>
      <c r="I541" s="191"/>
      <c r="J541" s="19">
        <v>0</v>
      </c>
      <c r="K541" s="167" t="s">
        <v>22</v>
      </c>
      <c r="L541" s="168">
        <v>0</v>
      </c>
      <c r="M541" s="168">
        <v>0</v>
      </c>
      <c r="N541" s="169">
        <f t="shared" si="89"/>
        <v>0</v>
      </c>
      <c r="O541" s="169">
        <f t="shared" si="90"/>
        <v>0</v>
      </c>
      <c r="P541" s="312">
        <f t="shared" si="91"/>
        <v>0</v>
      </c>
      <c r="Q541" s="335"/>
    </row>
    <row r="542" spans="1:19" ht="23.25" customHeight="1" x14ac:dyDescent="0.5">
      <c r="A542" s="18">
        <f t="shared" si="92"/>
        <v>509</v>
      </c>
      <c r="B542" s="26" t="s">
        <v>157</v>
      </c>
      <c r="C542" s="129" t="s">
        <v>172</v>
      </c>
      <c r="D542" s="72" t="s">
        <v>404</v>
      </c>
      <c r="E542" s="73" t="s">
        <v>533</v>
      </c>
      <c r="F542" s="73"/>
      <c r="G542" s="73" t="s">
        <v>173</v>
      </c>
      <c r="H542" s="73" t="s">
        <v>167</v>
      </c>
      <c r="I542" s="191"/>
      <c r="J542" s="19">
        <v>0</v>
      </c>
      <c r="K542" s="167" t="s">
        <v>22</v>
      </c>
      <c r="L542" s="168">
        <v>0</v>
      </c>
      <c r="M542" s="168">
        <v>0</v>
      </c>
      <c r="N542" s="169">
        <f t="shared" si="89"/>
        <v>0</v>
      </c>
      <c r="O542" s="169">
        <f t="shared" si="90"/>
        <v>0</v>
      </c>
      <c r="P542" s="312">
        <f t="shared" si="91"/>
        <v>0</v>
      </c>
      <c r="Q542" s="335"/>
    </row>
    <row r="543" spans="1:19" ht="23.25" customHeight="1" x14ac:dyDescent="0.5">
      <c r="A543" s="18">
        <f t="shared" si="92"/>
        <v>510</v>
      </c>
      <c r="B543" s="26" t="s">
        <v>157</v>
      </c>
      <c r="C543" s="129" t="s">
        <v>172</v>
      </c>
      <c r="D543" s="72" t="s">
        <v>40</v>
      </c>
      <c r="E543" s="73" t="s">
        <v>533</v>
      </c>
      <c r="F543" s="73"/>
      <c r="G543" s="73" t="s">
        <v>173</v>
      </c>
      <c r="H543" s="73" t="s">
        <v>168</v>
      </c>
      <c r="I543" s="191"/>
      <c r="J543" s="19">
        <v>0</v>
      </c>
      <c r="K543" s="167" t="s">
        <v>51</v>
      </c>
      <c r="L543" s="168">
        <v>0</v>
      </c>
      <c r="M543" s="168">
        <v>0</v>
      </c>
      <c r="N543" s="169">
        <f t="shared" si="89"/>
        <v>0</v>
      </c>
      <c r="O543" s="169">
        <f t="shared" si="90"/>
        <v>0</v>
      </c>
      <c r="P543" s="312">
        <f t="shared" si="91"/>
        <v>0</v>
      </c>
      <c r="Q543" s="335"/>
    </row>
    <row r="544" spans="1:19" ht="23.25" customHeight="1" x14ac:dyDescent="0.5">
      <c r="A544" s="18">
        <f t="shared" si="92"/>
        <v>511</v>
      </c>
      <c r="B544" s="26" t="s">
        <v>157</v>
      </c>
      <c r="C544" s="129" t="s">
        <v>172</v>
      </c>
      <c r="D544" s="72" t="s">
        <v>493</v>
      </c>
      <c r="E544" s="73" t="s">
        <v>533</v>
      </c>
      <c r="F544" s="73"/>
      <c r="G544" s="73" t="s">
        <v>173</v>
      </c>
      <c r="H544" s="73" t="s">
        <v>168</v>
      </c>
      <c r="I544" s="191"/>
      <c r="J544" s="19">
        <v>0</v>
      </c>
      <c r="K544" s="167" t="s">
        <v>22</v>
      </c>
      <c r="L544" s="168">
        <v>0</v>
      </c>
      <c r="M544" s="168">
        <v>0</v>
      </c>
      <c r="N544" s="169">
        <f t="shared" si="89"/>
        <v>0</v>
      </c>
      <c r="O544" s="169">
        <f t="shared" si="90"/>
        <v>0</v>
      </c>
      <c r="P544" s="312">
        <f t="shared" si="91"/>
        <v>0</v>
      </c>
      <c r="Q544" s="335"/>
    </row>
    <row r="545" spans="1:19" ht="23.25" customHeight="1" x14ac:dyDescent="0.5">
      <c r="A545" s="18">
        <f t="shared" si="92"/>
        <v>512</v>
      </c>
      <c r="B545" s="26" t="s">
        <v>157</v>
      </c>
      <c r="C545" s="129" t="s">
        <v>172</v>
      </c>
      <c r="D545" s="72" t="s">
        <v>404</v>
      </c>
      <c r="E545" s="73" t="s">
        <v>533</v>
      </c>
      <c r="F545" s="73"/>
      <c r="G545" s="73" t="s">
        <v>173</v>
      </c>
      <c r="H545" s="73" t="s">
        <v>168</v>
      </c>
      <c r="I545" s="191"/>
      <c r="J545" s="19">
        <v>0</v>
      </c>
      <c r="K545" s="167" t="s">
        <v>22</v>
      </c>
      <c r="L545" s="168">
        <v>0</v>
      </c>
      <c r="M545" s="168">
        <v>0</v>
      </c>
      <c r="N545" s="169">
        <f t="shared" si="89"/>
        <v>0</v>
      </c>
      <c r="O545" s="169">
        <f t="shared" si="90"/>
        <v>0</v>
      </c>
      <c r="P545" s="312">
        <f t="shared" si="91"/>
        <v>0</v>
      </c>
      <c r="Q545" s="335"/>
    </row>
    <row r="546" spans="1:19" ht="23.25" customHeight="1" x14ac:dyDescent="0.5">
      <c r="A546" s="18">
        <f t="shared" si="92"/>
        <v>513</v>
      </c>
      <c r="B546" s="26" t="s">
        <v>157</v>
      </c>
      <c r="C546" s="129" t="s">
        <v>172</v>
      </c>
      <c r="D546" s="75" t="s">
        <v>529</v>
      </c>
      <c r="E546" s="79"/>
      <c r="F546" s="79"/>
      <c r="G546" s="79"/>
      <c r="H546" s="79"/>
      <c r="I546" s="188"/>
      <c r="J546" s="19">
        <v>0</v>
      </c>
      <c r="K546" s="167" t="s">
        <v>22</v>
      </c>
      <c r="L546" s="168">
        <v>0</v>
      </c>
      <c r="M546" s="168">
        <v>0</v>
      </c>
      <c r="N546" s="169">
        <f t="shared" si="89"/>
        <v>0</v>
      </c>
      <c r="O546" s="169">
        <f t="shared" si="90"/>
        <v>0</v>
      </c>
      <c r="P546" s="312">
        <f t="shared" si="91"/>
        <v>0</v>
      </c>
      <c r="Q546" s="335"/>
    </row>
    <row r="547" spans="1:19" ht="23.25" customHeight="1" x14ac:dyDescent="0.5">
      <c r="A547" s="18">
        <f t="shared" si="92"/>
        <v>514</v>
      </c>
      <c r="B547" s="26" t="s">
        <v>157</v>
      </c>
      <c r="C547" s="129" t="s">
        <v>172</v>
      </c>
      <c r="D547" s="43" t="s">
        <v>358</v>
      </c>
      <c r="E547" s="5"/>
      <c r="F547" s="5"/>
      <c r="G547" s="5"/>
      <c r="H547" s="5"/>
      <c r="I547" s="20"/>
      <c r="J547" s="19">
        <f>I547</f>
        <v>0</v>
      </c>
      <c r="K547" s="171"/>
      <c r="L547" s="168">
        <v>0</v>
      </c>
      <c r="M547" s="168">
        <v>0</v>
      </c>
      <c r="N547" s="169">
        <f>L547*J547</f>
        <v>0</v>
      </c>
      <c r="O547" s="169">
        <f>M547*J547</f>
        <v>0</v>
      </c>
      <c r="P547" s="312">
        <f>(L547*J547)+(M547*J547)</f>
        <v>0</v>
      </c>
      <c r="Q547" s="326"/>
    </row>
    <row r="548" spans="1:19" ht="23.25" customHeight="1" thickBot="1" x14ac:dyDescent="0.55000000000000004">
      <c r="A548" s="38">
        <f>A547+1</f>
        <v>515</v>
      </c>
      <c r="B548" s="39" t="s">
        <v>157</v>
      </c>
      <c r="C548" s="128" t="s">
        <v>172</v>
      </c>
      <c r="D548" s="44" t="s">
        <v>358</v>
      </c>
      <c r="E548" s="40"/>
      <c r="F548" s="40"/>
      <c r="G548" s="40"/>
      <c r="H548" s="40"/>
      <c r="I548" s="41"/>
      <c r="J548" s="24">
        <f>I548</f>
        <v>0</v>
      </c>
      <c r="K548" s="194"/>
      <c r="L548" s="195">
        <v>0</v>
      </c>
      <c r="M548" s="195">
        <v>0</v>
      </c>
      <c r="N548" s="196">
        <f>L548*J548</f>
        <v>0</v>
      </c>
      <c r="O548" s="196">
        <f>M548*J548</f>
        <v>0</v>
      </c>
      <c r="P548" s="313">
        <f>(L548*J548)+(M548*J548)</f>
        <v>0</v>
      </c>
      <c r="Q548" s="328"/>
    </row>
    <row r="549" spans="1:19" ht="47.5" thickBot="1" x14ac:dyDescent="0.55000000000000004">
      <c r="A549" s="90"/>
      <c r="B549" s="91" t="s">
        <v>157</v>
      </c>
      <c r="C549" s="137" t="s">
        <v>174</v>
      </c>
      <c r="D549" s="238" t="s">
        <v>534</v>
      </c>
      <c r="E549" s="239"/>
      <c r="F549" s="239"/>
      <c r="G549" s="239"/>
      <c r="H549" s="240"/>
      <c r="I549" s="241"/>
      <c r="J549" s="242"/>
      <c r="K549" s="243"/>
      <c r="L549" s="244"/>
      <c r="M549" s="244"/>
      <c r="N549" s="245"/>
      <c r="O549" s="245"/>
      <c r="P549" s="314"/>
      <c r="Q549" s="346"/>
    </row>
    <row r="550" spans="1:19" ht="23.25" customHeight="1" x14ac:dyDescent="0.5">
      <c r="A550" s="28">
        <f>A548+1</f>
        <v>516</v>
      </c>
      <c r="B550" s="35" t="s">
        <v>157</v>
      </c>
      <c r="C550" s="127" t="s">
        <v>174</v>
      </c>
      <c r="D550" s="77" t="s">
        <v>40</v>
      </c>
      <c r="E550" s="78" t="s">
        <v>175</v>
      </c>
      <c r="F550" s="78"/>
      <c r="G550" s="78" t="s">
        <v>176</v>
      </c>
      <c r="H550" s="78" t="s">
        <v>161</v>
      </c>
      <c r="I550" s="189"/>
      <c r="J550" s="32">
        <v>0</v>
      </c>
      <c r="K550" s="190" t="s">
        <v>51</v>
      </c>
      <c r="L550" s="185">
        <v>0</v>
      </c>
      <c r="M550" s="185">
        <v>0</v>
      </c>
      <c r="N550" s="186">
        <f t="shared" ref="N550:N559" si="93">L550*J550</f>
        <v>0</v>
      </c>
      <c r="O550" s="186">
        <f t="shared" ref="O550:O559" si="94">M550*J550</f>
        <v>0</v>
      </c>
      <c r="P550" s="311">
        <f t="shared" ref="P550:P559" si="95">(L550*J550)+(M550*J550)</f>
        <v>0</v>
      </c>
      <c r="Q550" s="336"/>
      <c r="S550" s="358" t="s">
        <v>577</v>
      </c>
    </row>
    <row r="551" spans="1:19" ht="23.25" customHeight="1" x14ac:dyDescent="0.5">
      <c r="A551" s="18">
        <f>A550+1</f>
        <v>517</v>
      </c>
      <c r="B551" s="26" t="s">
        <v>157</v>
      </c>
      <c r="C551" s="129" t="s">
        <v>174</v>
      </c>
      <c r="D551" s="72" t="s">
        <v>493</v>
      </c>
      <c r="E551" s="73" t="s">
        <v>175</v>
      </c>
      <c r="F551" s="73"/>
      <c r="G551" s="73" t="s">
        <v>176</v>
      </c>
      <c r="H551" s="73" t="s">
        <v>161</v>
      </c>
      <c r="I551" s="191"/>
      <c r="J551" s="19">
        <v>0</v>
      </c>
      <c r="K551" s="167" t="s">
        <v>22</v>
      </c>
      <c r="L551" s="168">
        <v>0</v>
      </c>
      <c r="M551" s="168">
        <v>0</v>
      </c>
      <c r="N551" s="169">
        <f t="shared" si="93"/>
        <v>0</v>
      </c>
      <c r="O551" s="169">
        <f t="shared" si="94"/>
        <v>0</v>
      </c>
      <c r="P551" s="312">
        <f t="shared" si="95"/>
        <v>0</v>
      </c>
      <c r="Q551" s="335"/>
      <c r="S551" s="358" t="s">
        <v>578</v>
      </c>
    </row>
    <row r="552" spans="1:19" ht="23.25" customHeight="1" x14ac:dyDescent="0.5">
      <c r="A552" s="18">
        <f t="shared" ref="A552:A560" si="96">A551+1</f>
        <v>518</v>
      </c>
      <c r="B552" s="26" t="s">
        <v>157</v>
      </c>
      <c r="C552" s="129" t="s">
        <v>174</v>
      </c>
      <c r="D552" s="72" t="s">
        <v>404</v>
      </c>
      <c r="E552" s="73" t="s">
        <v>175</v>
      </c>
      <c r="F552" s="73"/>
      <c r="G552" s="73" t="s">
        <v>176</v>
      </c>
      <c r="H552" s="73" t="s">
        <v>161</v>
      </c>
      <c r="I552" s="191"/>
      <c r="J552" s="19">
        <v>0</v>
      </c>
      <c r="K552" s="167" t="s">
        <v>22</v>
      </c>
      <c r="L552" s="168">
        <v>0</v>
      </c>
      <c r="M552" s="168">
        <v>0</v>
      </c>
      <c r="N552" s="169">
        <f t="shared" si="93"/>
        <v>0</v>
      </c>
      <c r="O552" s="169">
        <f t="shared" si="94"/>
        <v>0</v>
      </c>
      <c r="P552" s="312">
        <f t="shared" si="95"/>
        <v>0</v>
      </c>
      <c r="Q552" s="335"/>
      <c r="S552" s="358" t="s">
        <v>613</v>
      </c>
    </row>
    <row r="553" spans="1:19" ht="23.25" customHeight="1" x14ac:dyDescent="0.5">
      <c r="A553" s="18">
        <f t="shared" si="96"/>
        <v>519</v>
      </c>
      <c r="B553" s="26" t="s">
        <v>157</v>
      </c>
      <c r="C553" s="129" t="s">
        <v>174</v>
      </c>
      <c r="D553" s="72" t="s">
        <v>40</v>
      </c>
      <c r="E553" s="73" t="s">
        <v>175</v>
      </c>
      <c r="F553" s="73"/>
      <c r="G553" s="73" t="s">
        <v>176</v>
      </c>
      <c r="H553" s="73" t="s">
        <v>167</v>
      </c>
      <c r="I553" s="191"/>
      <c r="J553" s="19">
        <v>0</v>
      </c>
      <c r="K553" s="167" t="s">
        <v>51</v>
      </c>
      <c r="L553" s="168">
        <v>0</v>
      </c>
      <c r="M553" s="168">
        <v>0</v>
      </c>
      <c r="N553" s="169">
        <f t="shared" si="93"/>
        <v>0</v>
      </c>
      <c r="O553" s="169">
        <f t="shared" si="94"/>
        <v>0</v>
      </c>
      <c r="P553" s="312">
        <f t="shared" si="95"/>
        <v>0</v>
      </c>
      <c r="Q553" s="335"/>
      <c r="S553" s="358" t="s">
        <v>577</v>
      </c>
    </row>
    <row r="554" spans="1:19" ht="23.25" customHeight="1" x14ac:dyDescent="0.5">
      <c r="A554" s="18">
        <f t="shared" si="96"/>
        <v>520</v>
      </c>
      <c r="B554" s="26" t="s">
        <v>157</v>
      </c>
      <c r="C554" s="129" t="s">
        <v>174</v>
      </c>
      <c r="D554" s="72" t="s">
        <v>493</v>
      </c>
      <c r="E554" s="73" t="s">
        <v>175</v>
      </c>
      <c r="F554" s="73"/>
      <c r="G554" s="73" t="s">
        <v>176</v>
      </c>
      <c r="H554" s="73" t="s">
        <v>167</v>
      </c>
      <c r="I554" s="191"/>
      <c r="J554" s="19">
        <v>0</v>
      </c>
      <c r="K554" s="167" t="s">
        <v>22</v>
      </c>
      <c r="L554" s="168">
        <v>0</v>
      </c>
      <c r="M554" s="168">
        <v>0</v>
      </c>
      <c r="N554" s="169">
        <f t="shared" si="93"/>
        <v>0</v>
      </c>
      <c r="O554" s="169">
        <f t="shared" si="94"/>
        <v>0</v>
      </c>
      <c r="P554" s="312">
        <f t="shared" si="95"/>
        <v>0</v>
      </c>
      <c r="Q554" s="335"/>
      <c r="S554" s="358" t="s">
        <v>578</v>
      </c>
    </row>
    <row r="555" spans="1:19" ht="23.25" customHeight="1" x14ac:dyDescent="0.5">
      <c r="A555" s="18">
        <f t="shared" si="96"/>
        <v>521</v>
      </c>
      <c r="B555" s="26" t="s">
        <v>157</v>
      </c>
      <c r="C555" s="129" t="s">
        <v>174</v>
      </c>
      <c r="D555" s="72" t="s">
        <v>404</v>
      </c>
      <c r="E555" s="73" t="s">
        <v>175</v>
      </c>
      <c r="F555" s="73"/>
      <c r="G555" s="73" t="s">
        <v>176</v>
      </c>
      <c r="H555" s="73" t="s">
        <v>167</v>
      </c>
      <c r="I555" s="191"/>
      <c r="J555" s="19">
        <v>0</v>
      </c>
      <c r="K555" s="167" t="s">
        <v>22</v>
      </c>
      <c r="L555" s="168">
        <v>0</v>
      </c>
      <c r="M555" s="168">
        <v>0</v>
      </c>
      <c r="N555" s="169">
        <f t="shared" si="93"/>
        <v>0</v>
      </c>
      <c r="O555" s="169">
        <f t="shared" si="94"/>
        <v>0</v>
      </c>
      <c r="P555" s="312">
        <f t="shared" si="95"/>
        <v>0</v>
      </c>
      <c r="Q555" s="335"/>
      <c r="S555" s="358" t="s">
        <v>613</v>
      </c>
    </row>
    <row r="556" spans="1:19" ht="23.25" customHeight="1" x14ac:dyDescent="0.5">
      <c r="A556" s="18">
        <f t="shared" si="96"/>
        <v>522</v>
      </c>
      <c r="B556" s="26" t="s">
        <v>157</v>
      </c>
      <c r="C556" s="129" t="s">
        <v>174</v>
      </c>
      <c r="D556" s="72" t="s">
        <v>40</v>
      </c>
      <c r="E556" s="73" t="s">
        <v>175</v>
      </c>
      <c r="F556" s="73"/>
      <c r="G556" s="73" t="s">
        <v>176</v>
      </c>
      <c r="H556" s="73" t="s">
        <v>168</v>
      </c>
      <c r="I556" s="191"/>
      <c r="J556" s="19">
        <v>0</v>
      </c>
      <c r="K556" s="167" t="s">
        <v>51</v>
      </c>
      <c r="L556" s="168">
        <v>0</v>
      </c>
      <c r="M556" s="168">
        <v>0</v>
      </c>
      <c r="N556" s="169">
        <f t="shared" si="93"/>
        <v>0</v>
      </c>
      <c r="O556" s="169">
        <f t="shared" si="94"/>
        <v>0</v>
      </c>
      <c r="P556" s="312">
        <f t="shared" si="95"/>
        <v>0</v>
      </c>
      <c r="Q556" s="335"/>
      <c r="S556" s="358" t="s">
        <v>577</v>
      </c>
    </row>
    <row r="557" spans="1:19" ht="23.25" customHeight="1" x14ac:dyDescent="0.5">
      <c r="A557" s="18">
        <f t="shared" si="96"/>
        <v>523</v>
      </c>
      <c r="B557" s="26" t="s">
        <v>157</v>
      </c>
      <c r="C557" s="129" t="s">
        <v>174</v>
      </c>
      <c r="D557" s="72" t="s">
        <v>493</v>
      </c>
      <c r="E557" s="73" t="s">
        <v>175</v>
      </c>
      <c r="F557" s="73"/>
      <c r="G557" s="73" t="s">
        <v>176</v>
      </c>
      <c r="H557" s="73" t="s">
        <v>168</v>
      </c>
      <c r="I557" s="191"/>
      <c r="J557" s="19">
        <v>0</v>
      </c>
      <c r="K557" s="167" t="s">
        <v>22</v>
      </c>
      <c r="L557" s="168">
        <v>0</v>
      </c>
      <c r="M557" s="168">
        <v>0</v>
      </c>
      <c r="N557" s="169">
        <f t="shared" si="93"/>
        <v>0</v>
      </c>
      <c r="O557" s="169">
        <f t="shared" si="94"/>
        <v>0</v>
      </c>
      <c r="P557" s="312">
        <f t="shared" si="95"/>
        <v>0</v>
      </c>
      <c r="Q557" s="335"/>
      <c r="S557" s="358" t="s">
        <v>578</v>
      </c>
    </row>
    <row r="558" spans="1:19" ht="23.25" customHeight="1" x14ac:dyDescent="0.5">
      <c r="A558" s="18">
        <f t="shared" si="96"/>
        <v>524</v>
      </c>
      <c r="B558" s="26" t="s">
        <v>157</v>
      </c>
      <c r="C558" s="129" t="s">
        <v>174</v>
      </c>
      <c r="D558" s="72" t="s">
        <v>404</v>
      </c>
      <c r="E558" s="73" t="s">
        <v>175</v>
      </c>
      <c r="F558" s="73"/>
      <c r="G558" s="73" t="s">
        <v>176</v>
      </c>
      <c r="H558" s="73" t="s">
        <v>168</v>
      </c>
      <c r="I558" s="191"/>
      <c r="J558" s="19">
        <v>0</v>
      </c>
      <c r="K558" s="167" t="s">
        <v>22</v>
      </c>
      <c r="L558" s="168">
        <v>0</v>
      </c>
      <c r="M558" s="168">
        <v>0</v>
      </c>
      <c r="N558" s="169">
        <f t="shared" si="93"/>
        <v>0</v>
      </c>
      <c r="O558" s="169">
        <f t="shared" si="94"/>
        <v>0</v>
      </c>
      <c r="P558" s="312">
        <f t="shared" si="95"/>
        <v>0</v>
      </c>
      <c r="Q558" s="335"/>
      <c r="S558" s="358" t="s">
        <v>613</v>
      </c>
    </row>
    <row r="559" spans="1:19" ht="23.25" customHeight="1" x14ac:dyDescent="0.5">
      <c r="A559" s="18">
        <f t="shared" si="96"/>
        <v>525</v>
      </c>
      <c r="B559" s="26" t="s">
        <v>157</v>
      </c>
      <c r="C559" s="129" t="s">
        <v>174</v>
      </c>
      <c r="D559" s="75" t="s">
        <v>529</v>
      </c>
      <c r="E559" s="79"/>
      <c r="F559" s="79"/>
      <c r="G559" s="79"/>
      <c r="H559" s="79"/>
      <c r="I559" s="188"/>
      <c r="J559" s="19">
        <v>0</v>
      </c>
      <c r="K559" s="167" t="s">
        <v>22</v>
      </c>
      <c r="L559" s="168">
        <v>0</v>
      </c>
      <c r="M559" s="168">
        <v>0</v>
      </c>
      <c r="N559" s="169">
        <f t="shared" si="93"/>
        <v>0</v>
      </c>
      <c r="O559" s="169">
        <f t="shared" si="94"/>
        <v>0</v>
      </c>
      <c r="P559" s="312">
        <f t="shared" si="95"/>
        <v>0</v>
      </c>
      <c r="Q559" s="335"/>
    </row>
    <row r="560" spans="1:19" ht="23.25" customHeight="1" x14ac:dyDescent="0.5">
      <c r="A560" s="18">
        <f t="shared" si="96"/>
        <v>526</v>
      </c>
      <c r="B560" s="26" t="s">
        <v>157</v>
      </c>
      <c r="C560" s="129" t="s">
        <v>174</v>
      </c>
      <c r="D560" s="43" t="s">
        <v>358</v>
      </c>
      <c r="E560" s="5"/>
      <c r="F560" s="5"/>
      <c r="G560" s="5"/>
      <c r="H560" s="5"/>
      <c r="I560" s="20"/>
      <c r="J560" s="19">
        <f>I560</f>
        <v>0</v>
      </c>
      <c r="K560" s="171"/>
      <c r="L560" s="168">
        <v>0</v>
      </c>
      <c r="M560" s="168">
        <v>0</v>
      </c>
      <c r="N560" s="169">
        <f>L560*J560</f>
        <v>0</v>
      </c>
      <c r="O560" s="169">
        <f>M560*J560</f>
        <v>0</v>
      </c>
      <c r="P560" s="312">
        <f>(L560*J560)+(M560*J560)</f>
        <v>0</v>
      </c>
      <c r="Q560" s="326"/>
    </row>
    <row r="561" spans="1:17" ht="23.25" customHeight="1" thickBot="1" x14ac:dyDescent="0.55000000000000004">
      <c r="A561" s="38">
        <f>A560+1</f>
        <v>527</v>
      </c>
      <c r="B561" s="39" t="s">
        <v>157</v>
      </c>
      <c r="C561" s="128" t="s">
        <v>174</v>
      </c>
      <c r="D561" s="44" t="s">
        <v>358</v>
      </c>
      <c r="E561" s="40"/>
      <c r="F561" s="40"/>
      <c r="G561" s="40"/>
      <c r="H561" s="40"/>
      <c r="I561" s="41"/>
      <c r="J561" s="24">
        <f>I561</f>
        <v>0</v>
      </c>
      <c r="K561" s="194"/>
      <c r="L561" s="195">
        <v>0</v>
      </c>
      <c r="M561" s="195">
        <v>0</v>
      </c>
      <c r="N561" s="196">
        <f>L561*J561</f>
        <v>0</v>
      </c>
      <c r="O561" s="196">
        <f>M561*J561</f>
        <v>0</v>
      </c>
      <c r="P561" s="313">
        <f>(L561*J561)+(M561*J561)</f>
        <v>0</v>
      </c>
      <c r="Q561" s="328"/>
    </row>
    <row r="562" spans="1:17" ht="23.25" customHeight="1" thickBot="1" x14ac:dyDescent="0.55000000000000004">
      <c r="A562" s="90"/>
      <c r="B562" s="91" t="s">
        <v>177</v>
      </c>
      <c r="C562" s="137" t="s">
        <v>177</v>
      </c>
      <c r="D562" s="262" t="s">
        <v>178</v>
      </c>
      <c r="E562" s="263"/>
      <c r="F562" s="263"/>
      <c r="G562" s="263"/>
      <c r="H562" s="264"/>
      <c r="I562" s="265"/>
      <c r="J562" s="266"/>
      <c r="K562" s="267"/>
      <c r="L562" s="268"/>
      <c r="M562" s="268"/>
      <c r="N562" s="269"/>
      <c r="O562" s="269"/>
      <c r="P562" s="320"/>
      <c r="Q562" s="348"/>
    </row>
    <row r="563" spans="1:17" ht="23.25" customHeight="1" x14ac:dyDescent="0.5">
      <c r="A563" s="28">
        <f>A561+1</f>
        <v>528</v>
      </c>
      <c r="B563" s="35" t="s">
        <v>177</v>
      </c>
      <c r="C563" s="127" t="s">
        <v>177</v>
      </c>
      <c r="D563" s="77" t="s">
        <v>406</v>
      </c>
      <c r="E563" s="78" t="s">
        <v>179</v>
      </c>
      <c r="F563" s="78"/>
      <c r="G563" s="78" t="s">
        <v>405</v>
      </c>
      <c r="H563" s="78" t="s">
        <v>541</v>
      </c>
      <c r="I563" s="189"/>
      <c r="J563" s="32">
        <v>0</v>
      </c>
      <c r="K563" s="190" t="s">
        <v>34</v>
      </c>
      <c r="L563" s="185">
        <v>0</v>
      </c>
      <c r="M563" s="185">
        <v>0</v>
      </c>
      <c r="N563" s="186">
        <f t="shared" ref="N563:N572" si="97">L563*J563</f>
        <v>0</v>
      </c>
      <c r="O563" s="186">
        <f t="shared" ref="O563:O572" si="98">M563*J563</f>
        <v>0</v>
      </c>
      <c r="P563" s="311">
        <f t="shared" ref="P563:P572" si="99">(L563*J563)+(M563*J563)</f>
        <v>0</v>
      </c>
      <c r="Q563" s="336"/>
    </row>
    <row r="564" spans="1:17" ht="23.25" customHeight="1" x14ac:dyDescent="0.5">
      <c r="A564" s="18">
        <f>A563+1</f>
        <v>529</v>
      </c>
      <c r="B564" s="26" t="s">
        <v>177</v>
      </c>
      <c r="C564" s="129" t="s">
        <v>177</v>
      </c>
      <c r="D564" s="72" t="s">
        <v>406</v>
      </c>
      <c r="E564" s="73" t="s">
        <v>179</v>
      </c>
      <c r="F564" s="73"/>
      <c r="G564" s="73" t="s">
        <v>405</v>
      </c>
      <c r="H564" s="73" t="s">
        <v>542</v>
      </c>
      <c r="I564" s="191"/>
      <c r="J564" s="19">
        <v>0</v>
      </c>
      <c r="K564" s="167" t="s">
        <v>34</v>
      </c>
      <c r="L564" s="168">
        <v>0</v>
      </c>
      <c r="M564" s="168">
        <v>0</v>
      </c>
      <c r="N564" s="169">
        <f t="shared" si="97"/>
        <v>0</v>
      </c>
      <c r="O564" s="169">
        <f t="shared" si="98"/>
        <v>0</v>
      </c>
      <c r="P564" s="312">
        <f t="shared" si="99"/>
        <v>0</v>
      </c>
      <c r="Q564" s="335"/>
    </row>
    <row r="565" spans="1:17" ht="23.25" customHeight="1" x14ac:dyDescent="0.5">
      <c r="A565" s="18">
        <f t="shared" ref="A565:A573" si="100">A564+1</f>
        <v>530</v>
      </c>
      <c r="B565" s="26" t="s">
        <v>177</v>
      </c>
      <c r="C565" s="129" t="s">
        <v>177</v>
      </c>
      <c r="D565" s="72" t="s">
        <v>180</v>
      </c>
      <c r="E565" s="73" t="s">
        <v>179</v>
      </c>
      <c r="F565" s="73"/>
      <c r="G565" s="73" t="s">
        <v>535</v>
      </c>
      <c r="H565" s="73" t="s">
        <v>541</v>
      </c>
      <c r="I565" s="191"/>
      <c r="J565" s="19">
        <v>0</v>
      </c>
      <c r="K565" s="259" t="s">
        <v>34</v>
      </c>
      <c r="L565" s="168">
        <v>0</v>
      </c>
      <c r="M565" s="168">
        <v>0</v>
      </c>
      <c r="N565" s="169">
        <f t="shared" si="97"/>
        <v>0</v>
      </c>
      <c r="O565" s="169">
        <f t="shared" si="98"/>
        <v>0</v>
      </c>
      <c r="P565" s="312">
        <f t="shared" si="99"/>
        <v>0</v>
      </c>
      <c r="Q565" s="335"/>
    </row>
    <row r="566" spans="1:17" ht="23.25" customHeight="1" x14ac:dyDescent="0.5">
      <c r="A566" s="18">
        <f t="shared" si="100"/>
        <v>531</v>
      </c>
      <c r="B566" s="26" t="s">
        <v>177</v>
      </c>
      <c r="C566" s="129" t="s">
        <v>177</v>
      </c>
      <c r="D566" s="72" t="s">
        <v>180</v>
      </c>
      <c r="E566" s="73" t="s">
        <v>179</v>
      </c>
      <c r="F566" s="73"/>
      <c r="G566" s="73" t="s">
        <v>181</v>
      </c>
      <c r="H566" s="73" t="s">
        <v>542</v>
      </c>
      <c r="I566" s="191"/>
      <c r="J566" s="19">
        <v>0</v>
      </c>
      <c r="K566" s="259" t="s">
        <v>34</v>
      </c>
      <c r="L566" s="168">
        <v>0</v>
      </c>
      <c r="M566" s="168">
        <v>0</v>
      </c>
      <c r="N566" s="169">
        <f t="shared" si="97"/>
        <v>0</v>
      </c>
      <c r="O566" s="169">
        <f t="shared" si="98"/>
        <v>0</v>
      </c>
      <c r="P566" s="312">
        <f t="shared" si="99"/>
        <v>0</v>
      </c>
      <c r="Q566" s="335"/>
    </row>
    <row r="567" spans="1:17" ht="23.25" customHeight="1" x14ac:dyDescent="0.5">
      <c r="A567" s="18">
        <f t="shared" si="100"/>
        <v>532</v>
      </c>
      <c r="B567" s="26" t="s">
        <v>177</v>
      </c>
      <c r="C567" s="129" t="s">
        <v>177</v>
      </c>
      <c r="D567" s="72" t="s">
        <v>182</v>
      </c>
      <c r="E567" s="73" t="s">
        <v>183</v>
      </c>
      <c r="F567" s="73"/>
      <c r="G567" s="73" t="s">
        <v>184</v>
      </c>
      <c r="H567" s="73" t="s">
        <v>541</v>
      </c>
      <c r="I567" s="191"/>
      <c r="J567" s="19">
        <v>0</v>
      </c>
      <c r="K567" s="167" t="s">
        <v>34</v>
      </c>
      <c r="L567" s="168">
        <v>0</v>
      </c>
      <c r="M567" s="168">
        <v>0</v>
      </c>
      <c r="N567" s="169">
        <f t="shared" si="97"/>
        <v>0</v>
      </c>
      <c r="O567" s="169">
        <f t="shared" si="98"/>
        <v>0</v>
      </c>
      <c r="P567" s="312">
        <f t="shared" si="99"/>
        <v>0</v>
      </c>
      <c r="Q567" s="335"/>
    </row>
    <row r="568" spans="1:17" ht="23.25" customHeight="1" x14ac:dyDescent="0.5">
      <c r="A568" s="18">
        <f t="shared" si="100"/>
        <v>533</v>
      </c>
      <c r="B568" s="26" t="s">
        <v>177</v>
      </c>
      <c r="C568" s="129" t="s">
        <v>177</v>
      </c>
      <c r="D568" s="72" t="s">
        <v>182</v>
      </c>
      <c r="E568" s="73" t="s">
        <v>183</v>
      </c>
      <c r="F568" s="73"/>
      <c r="G568" s="73" t="s">
        <v>184</v>
      </c>
      <c r="H568" s="73" t="s">
        <v>542</v>
      </c>
      <c r="I568" s="191"/>
      <c r="J568" s="19">
        <v>0</v>
      </c>
      <c r="K568" s="167" t="s">
        <v>34</v>
      </c>
      <c r="L568" s="168">
        <v>0</v>
      </c>
      <c r="M568" s="168">
        <v>0</v>
      </c>
      <c r="N568" s="169">
        <f t="shared" si="97"/>
        <v>0</v>
      </c>
      <c r="O568" s="169">
        <f t="shared" si="98"/>
        <v>0</v>
      </c>
      <c r="P568" s="312">
        <f t="shared" si="99"/>
        <v>0</v>
      </c>
      <c r="Q568" s="335"/>
    </row>
    <row r="569" spans="1:17" ht="23.25" customHeight="1" x14ac:dyDescent="0.5">
      <c r="A569" s="18">
        <f t="shared" si="100"/>
        <v>534</v>
      </c>
      <c r="B569" s="26" t="s">
        <v>177</v>
      </c>
      <c r="C569" s="129" t="s">
        <v>177</v>
      </c>
      <c r="D569" s="72" t="s">
        <v>185</v>
      </c>
      <c r="E569" s="73" t="s">
        <v>186</v>
      </c>
      <c r="F569" s="73"/>
      <c r="G569" s="73" t="s">
        <v>187</v>
      </c>
      <c r="H569" s="73" t="s">
        <v>541</v>
      </c>
      <c r="I569" s="191"/>
      <c r="J569" s="19">
        <v>0</v>
      </c>
      <c r="K569" s="259" t="s">
        <v>34</v>
      </c>
      <c r="L569" s="168">
        <v>0</v>
      </c>
      <c r="M569" s="168">
        <v>0</v>
      </c>
      <c r="N569" s="169">
        <f t="shared" si="97"/>
        <v>0</v>
      </c>
      <c r="O569" s="169">
        <f t="shared" si="98"/>
        <v>0</v>
      </c>
      <c r="P569" s="312">
        <f t="shared" si="99"/>
        <v>0</v>
      </c>
      <c r="Q569" s="335"/>
    </row>
    <row r="570" spans="1:17" ht="23.25" customHeight="1" x14ac:dyDescent="0.5">
      <c r="A570" s="18">
        <f t="shared" si="100"/>
        <v>535</v>
      </c>
      <c r="B570" s="26" t="s">
        <v>177</v>
      </c>
      <c r="C570" s="129" t="s">
        <v>177</v>
      </c>
      <c r="D570" s="72" t="s">
        <v>185</v>
      </c>
      <c r="E570" s="73" t="s">
        <v>186</v>
      </c>
      <c r="F570" s="73"/>
      <c r="G570" s="73" t="s">
        <v>187</v>
      </c>
      <c r="H570" s="73" t="s">
        <v>542</v>
      </c>
      <c r="I570" s="191"/>
      <c r="J570" s="19">
        <v>0</v>
      </c>
      <c r="K570" s="259" t="s">
        <v>34</v>
      </c>
      <c r="L570" s="168">
        <v>0</v>
      </c>
      <c r="M570" s="168">
        <v>0</v>
      </c>
      <c r="N570" s="169">
        <f t="shared" si="97"/>
        <v>0</v>
      </c>
      <c r="O570" s="169">
        <f t="shared" si="98"/>
        <v>0</v>
      </c>
      <c r="P570" s="312">
        <f t="shared" si="99"/>
        <v>0</v>
      </c>
      <c r="Q570" s="335"/>
    </row>
    <row r="571" spans="1:17" ht="23.25" customHeight="1" x14ac:dyDescent="0.5">
      <c r="A571" s="18">
        <f t="shared" si="100"/>
        <v>536</v>
      </c>
      <c r="B571" s="26" t="s">
        <v>177</v>
      </c>
      <c r="C571" s="129" t="s">
        <v>177</v>
      </c>
      <c r="D571" s="72" t="s">
        <v>536</v>
      </c>
      <c r="E571" s="73" t="s">
        <v>41</v>
      </c>
      <c r="F571" s="73"/>
      <c r="G571" s="73"/>
      <c r="H571" s="73"/>
      <c r="I571" s="191"/>
      <c r="J571" s="19">
        <v>0</v>
      </c>
      <c r="K571" s="259" t="s">
        <v>22</v>
      </c>
      <c r="L571" s="168">
        <v>0</v>
      </c>
      <c r="M571" s="168">
        <v>0</v>
      </c>
      <c r="N571" s="169">
        <f t="shared" si="97"/>
        <v>0</v>
      </c>
      <c r="O571" s="169">
        <f t="shared" si="98"/>
        <v>0</v>
      </c>
      <c r="P571" s="312">
        <f t="shared" si="99"/>
        <v>0</v>
      </c>
      <c r="Q571" s="335"/>
    </row>
    <row r="572" spans="1:17" ht="23.25" customHeight="1" x14ac:dyDescent="0.5">
      <c r="A572" s="18">
        <f t="shared" si="100"/>
        <v>537</v>
      </c>
      <c r="B572" s="26" t="s">
        <v>177</v>
      </c>
      <c r="C572" s="129" t="s">
        <v>177</v>
      </c>
      <c r="D572" s="72" t="s">
        <v>529</v>
      </c>
      <c r="E572" s="73"/>
      <c r="F572" s="73"/>
      <c r="G572" s="73"/>
      <c r="H572" s="73"/>
      <c r="I572" s="188"/>
      <c r="J572" s="19">
        <v>0</v>
      </c>
      <c r="K572" s="259" t="s">
        <v>22</v>
      </c>
      <c r="L572" s="168">
        <v>0</v>
      </c>
      <c r="M572" s="168">
        <v>0</v>
      </c>
      <c r="N572" s="169">
        <f t="shared" si="97"/>
        <v>0</v>
      </c>
      <c r="O572" s="169">
        <f t="shared" si="98"/>
        <v>0</v>
      </c>
      <c r="P572" s="312">
        <f t="shared" si="99"/>
        <v>0</v>
      </c>
      <c r="Q572" s="335"/>
    </row>
    <row r="573" spans="1:17" ht="23.25" customHeight="1" x14ac:dyDescent="0.5">
      <c r="A573" s="18">
        <f t="shared" si="100"/>
        <v>538</v>
      </c>
      <c r="B573" s="26" t="s">
        <v>177</v>
      </c>
      <c r="C573" s="129" t="s">
        <v>177</v>
      </c>
      <c r="D573" s="43" t="s">
        <v>358</v>
      </c>
      <c r="E573" s="5"/>
      <c r="F573" s="5"/>
      <c r="G573" s="5"/>
      <c r="H573" s="5"/>
      <c r="I573" s="20"/>
      <c r="J573" s="19">
        <f>I573</f>
        <v>0</v>
      </c>
      <c r="K573" s="171"/>
      <c r="L573" s="168">
        <v>0</v>
      </c>
      <c r="M573" s="168">
        <v>0</v>
      </c>
      <c r="N573" s="169">
        <f>L573*J573</f>
        <v>0</v>
      </c>
      <c r="O573" s="169">
        <f>M573*J573</f>
        <v>0</v>
      </c>
      <c r="P573" s="312">
        <f>(L573*J573)+(M573*J573)</f>
        <v>0</v>
      </c>
      <c r="Q573" s="326"/>
    </row>
    <row r="574" spans="1:17" ht="23.25" customHeight="1" thickBot="1" x14ac:dyDescent="0.55000000000000004">
      <c r="A574" s="38">
        <f>A573+1</f>
        <v>539</v>
      </c>
      <c r="B574" s="39" t="s">
        <v>177</v>
      </c>
      <c r="C574" s="128" t="s">
        <v>177</v>
      </c>
      <c r="D574" s="44" t="s">
        <v>358</v>
      </c>
      <c r="E574" s="40"/>
      <c r="F574" s="40"/>
      <c r="G574" s="40"/>
      <c r="H574" s="40"/>
      <c r="I574" s="41"/>
      <c r="J574" s="24">
        <f>I574</f>
        <v>0</v>
      </c>
      <c r="K574" s="194"/>
      <c r="L574" s="195">
        <v>0</v>
      </c>
      <c r="M574" s="195">
        <v>0</v>
      </c>
      <c r="N574" s="196">
        <f>L574*J574</f>
        <v>0</v>
      </c>
      <c r="O574" s="196">
        <f>M574*J574</f>
        <v>0</v>
      </c>
      <c r="P574" s="313">
        <f>(L574*J574)+(M574*J574)</f>
        <v>0</v>
      </c>
      <c r="Q574" s="328"/>
    </row>
    <row r="575" spans="1:17" ht="23.25" customHeight="1" thickBot="1" x14ac:dyDescent="0.55000000000000004">
      <c r="A575" s="90"/>
      <c r="B575" s="91" t="s">
        <v>188</v>
      </c>
      <c r="C575" s="137" t="s">
        <v>188</v>
      </c>
      <c r="D575" s="262" t="s">
        <v>189</v>
      </c>
      <c r="E575" s="263"/>
      <c r="F575" s="263"/>
      <c r="G575" s="263"/>
      <c r="H575" s="264"/>
      <c r="I575" s="241"/>
      <c r="J575" s="266"/>
      <c r="K575" s="267"/>
      <c r="L575" s="268"/>
      <c r="M575" s="268"/>
      <c r="N575" s="269"/>
      <c r="O575" s="269"/>
      <c r="P575" s="320"/>
      <c r="Q575" s="346"/>
    </row>
    <row r="576" spans="1:17" ht="23.25" customHeight="1" x14ac:dyDescent="0.5">
      <c r="A576" s="28">
        <f>A574+1</f>
        <v>540</v>
      </c>
      <c r="B576" s="35" t="s">
        <v>188</v>
      </c>
      <c r="C576" s="127" t="s">
        <v>188</v>
      </c>
      <c r="D576" s="270" t="s">
        <v>190</v>
      </c>
      <c r="E576" s="271" t="s">
        <v>191</v>
      </c>
      <c r="F576" s="271"/>
      <c r="G576" s="271" t="s">
        <v>192</v>
      </c>
      <c r="H576" s="189"/>
      <c r="I576" s="228"/>
      <c r="J576" s="32">
        <f t="shared" ref="J576:J581" si="101">I576</f>
        <v>0</v>
      </c>
      <c r="K576" s="272" t="s">
        <v>22</v>
      </c>
      <c r="L576" s="185">
        <v>0</v>
      </c>
      <c r="M576" s="185">
        <v>0</v>
      </c>
      <c r="N576" s="186">
        <f t="shared" ref="N576:N581" si="102">L576*J576</f>
        <v>0</v>
      </c>
      <c r="O576" s="186">
        <f t="shared" ref="O576:O581" si="103">M576*J576</f>
        <v>0</v>
      </c>
      <c r="P576" s="311">
        <f t="shared" ref="P576:P581" si="104">(L576*J576)+(M576*J576)</f>
        <v>0</v>
      </c>
      <c r="Q576" s="336"/>
    </row>
    <row r="577" spans="1:17" ht="23.25" customHeight="1" x14ac:dyDescent="0.5">
      <c r="A577" s="18">
        <f>A576+1</f>
        <v>541</v>
      </c>
      <c r="B577" s="26" t="s">
        <v>188</v>
      </c>
      <c r="C577" s="129" t="s">
        <v>188</v>
      </c>
      <c r="D577" s="84" t="s">
        <v>193</v>
      </c>
      <c r="E577" s="85" t="s">
        <v>191</v>
      </c>
      <c r="F577" s="85"/>
      <c r="G577" s="85" t="s">
        <v>192</v>
      </c>
      <c r="H577" s="191"/>
      <c r="I577" s="188"/>
      <c r="J577" s="19">
        <f t="shared" si="101"/>
        <v>0</v>
      </c>
      <c r="K577" s="259" t="s">
        <v>22</v>
      </c>
      <c r="L577" s="168">
        <v>0</v>
      </c>
      <c r="M577" s="168">
        <v>0</v>
      </c>
      <c r="N577" s="169">
        <f t="shared" si="102"/>
        <v>0</v>
      </c>
      <c r="O577" s="169">
        <f t="shared" si="103"/>
        <v>0</v>
      </c>
      <c r="P577" s="312">
        <f t="shared" si="104"/>
        <v>0</v>
      </c>
      <c r="Q577" s="335"/>
    </row>
    <row r="578" spans="1:17" ht="23.25" customHeight="1" x14ac:dyDescent="0.5">
      <c r="A578" s="18">
        <f t="shared" ref="A578:A582" si="105">A577+1</f>
        <v>542</v>
      </c>
      <c r="B578" s="26" t="s">
        <v>188</v>
      </c>
      <c r="C578" s="129" t="s">
        <v>188</v>
      </c>
      <c r="D578" s="84" t="s">
        <v>194</v>
      </c>
      <c r="E578" s="85" t="s">
        <v>191</v>
      </c>
      <c r="F578" s="85"/>
      <c r="G578" s="85" t="s">
        <v>192</v>
      </c>
      <c r="H578" s="191"/>
      <c r="I578" s="188"/>
      <c r="J578" s="19">
        <f t="shared" si="101"/>
        <v>0</v>
      </c>
      <c r="K578" s="259" t="s">
        <v>22</v>
      </c>
      <c r="L578" s="168">
        <v>0</v>
      </c>
      <c r="M578" s="168">
        <v>0</v>
      </c>
      <c r="N578" s="169">
        <f t="shared" si="102"/>
        <v>0</v>
      </c>
      <c r="O578" s="169">
        <f t="shared" si="103"/>
        <v>0</v>
      </c>
      <c r="P578" s="312">
        <f t="shared" si="104"/>
        <v>0</v>
      </c>
      <c r="Q578" s="335"/>
    </row>
    <row r="579" spans="1:17" ht="23.25" customHeight="1" x14ac:dyDescent="0.5">
      <c r="A579" s="18">
        <f t="shared" si="105"/>
        <v>543</v>
      </c>
      <c r="B579" s="26" t="s">
        <v>188</v>
      </c>
      <c r="C579" s="129" t="s">
        <v>188</v>
      </c>
      <c r="D579" s="84" t="s">
        <v>195</v>
      </c>
      <c r="E579" s="85" t="s">
        <v>191</v>
      </c>
      <c r="F579" s="85"/>
      <c r="G579" s="85" t="s">
        <v>192</v>
      </c>
      <c r="H579" s="191"/>
      <c r="I579" s="188"/>
      <c r="J579" s="19">
        <f t="shared" si="101"/>
        <v>0</v>
      </c>
      <c r="K579" s="259" t="s">
        <v>22</v>
      </c>
      <c r="L579" s="168">
        <v>0</v>
      </c>
      <c r="M579" s="168">
        <v>0</v>
      </c>
      <c r="N579" s="169">
        <f t="shared" si="102"/>
        <v>0</v>
      </c>
      <c r="O579" s="169">
        <f t="shared" si="103"/>
        <v>0</v>
      </c>
      <c r="P579" s="312">
        <f t="shared" si="104"/>
        <v>0</v>
      </c>
      <c r="Q579" s="335"/>
    </row>
    <row r="580" spans="1:17" ht="23.25" customHeight="1" x14ac:dyDescent="0.5">
      <c r="A580" s="18">
        <f t="shared" si="105"/>
        <v>544</v>
      </c>
      <c r="B580" s="26" t="s">
        <v>188</v>
      </c>
      <c r="C580" s="129" t="s">
        <v>188</v>
      </c>
      <c r="D580" s="84" t="s">
        <v>196</v>
      </c>
      <c r="E580" s="85" t="s">
        <v>191</v>
      </c>
      <c r="F580" s="85"/>
      <c r="G580" s="85"/>
      <c r="H580" s="191"/>
      <c r="I580" s="188"/>
      <c r="J580" s="19">
        <f t="shared" si="101"/>
        <v>0</v>
      </c>
      <c r="K580" s="259" t="s">
        <v>22</v>
      </c>
      <c r="L580" s="168">
        <v>0</v>
      </c>
      <c r="M580" s="168">
        <v>0</v>
      </c>
      <c r="N580" s="169">
        <f t="shared" si="102"/>
        <v>0</v>
      </c>
      <c r="O580" s="169">
        <f t="shared" si="103"/>
        <v>0</v>
      </c>
      <c r="P580" s="312">
        <f t="shared" si="104"/>
        <v>0</v>
      </c>
      <c r="Q580" s="335"/>
    </row>
    <row r="581" spans="1:17" ht="23.25" customHeight="1" x14ac:dyDescent="0.5">
      <c r="A581" s="18">
        <f t="shared" si="105"/>
        <v>545</v>
      </c>
      <c r="B581" s="26" t="s">
        <v>188</v>
      </c>
      <c r="C581" s="129" t="s">
        <v>188</v>
      </c>
      <c r="D581" s="84" t="s">
        <v>197</v>
      </c>
      <c r="E581" s="85" t="s">
        <v>191</v>
      </c>
      <c r="F581" s="85"/>
      <c r="G581" s="85"/>
      <c r="H581" s="191"/>
      <c r="I581" s="188"/>
      <c r="J581" s="19">
        <f t="shared" si="101"/>
        <v>0</v>
      </c>
      <c r="K581" s="259" t="s">
        <v>22</v>
      </c>
      <c r="L581" s="168">
        <v>0</v>
      </c>
      <c r="M581" s="168">
        <v>0</v>
      </c>
      <c r="N581" s="169">
        <f t="shared" si="102"/>
        <v>0</v>
      </c>
      <c r="O581" s="169">
        <f t="shared" si="103"/>
        <v>0</v>
      </c>
      <c r="P581" s="312">
        <f t="shared" si="104"/>
        <v>0</v>
      </c>
      <c r="Q581" s="335"/>
    </row>
    <row r="582" spans="1:17" ht="23.25" customHeight="1" x14ac:dyDescent="0.5">
      <c r="A582" s="18">
        <f t="shared" si="105"/>
        <v>546</v>
      </c>
      <c r="B582" s="26" t="s">
        <v>188</v>
      </c>
      <c r="C582" s="129" t="s">
        <v>188</v>
      </c>
      <c r="D582" s="43" t="s">
        <v>358</v>
      </c>
      <c r="E582" s="5"/>
      <c r="F582" s="5"/>
      <c r="G582" s="5"/>
      <c r="H582" s="5"/>
      <c r="I582" s="20"/>
      <c r="J582" s="19">
        <f>I582</f>
        <v>0</v>
      </c>
      <c r="K582" s="171"/>
      <c r="L582" s="168">
        <v>0</v>
      </c>
      <c r="M582" s="168">
        <v>0</v>
      </c>
      <c r="N582" s="169">
        <f>L582*J582</f>
        <v>0</v>
      </c>
      <c r="O582" s="169">
        <f>M582*J582</f>
        <v>0</v>
      </c>
      <c r="P582" s="312">
        <f>(L582*J582)+(M582*J582)</f>
        <v>0</v>
      </c>
      <c r="Q582" s="326"/>
    </row>
    <row r="583" spans="1:17" ht="23.25" customHeight="1" thickBot="1" x14ac:dyDescent="0.55000000000000004">
      <c r="A583" s="38">
        <f>A582+1</f>
        <v>547</v>
      </c>
      <c r="B583" s="39" t="s">
        <v>188</v>
      </c>
      <c r="C583" s="128" t="s">
        <v>188</v>
      </c>
      <c r="D583" s="45" t="s">
        <v>358</v>
      </c>
      <c r="E583" s="40"/>
      <c r="F583" s="40"/>
      <c r="G583" s="40"/>
      <c r="H583" s="40"/>
      <c r="I583" s="41"/>
      <c r="J583" s="24">
        <f>I583</f>
        <v>0</v>
      </c>
      <c r="K583" s="194"/>
      <c r="L583" s="195">
        <v>0</v>
      </c>
      <c r="M583" s="195">
        <v>0</v>
      </c>
      <c r="N583" s="196">
        <f>L583*J583</f>
        <v>0</v>
      </c>
      <c r="O583" s="196">
        <f>M583*J583</f>
        <v>0</v>
      </c>
      <c r="P583" s="313">
        <f>(L583*J583)+(M583*J583)</f>
        <v>0</v>
      </c>
      <c r="Q583" s="328"/>
    </row>
    <row r="584" spans="1:17" ht="23.25" customHeight="1" thickBot="1" x14ac:dyDescent="0.55000000000000004">
      <c r="A584" s="90"/>
      <c r="B584" s="91" t="s">
        <v>198</v>
      </c>
      <c r="C584" s="137" t="s">
        <v>198</v>
      </c>
      <c r="D584" s="273" t="s">
        <v>199</v>
      </c>
      <c r="E584" s="263"/>
      <c r="F584" s="263"/>
      <c r="G584" s="263"/>
      <c r="H584" s="264"/>
      <c r="I584" s="264"/>
      <c r="J584" s="266"/>
      <c r="K584" s="267"/>
      <c r="L584" s="268"/>
      <c r="M584" s="268"/>
      <c r="N584" s="269"/>
      <c r="O584" s="269"/>
      <c r="P584" s="320"/>
      <c r="Q584" s="349"/>
    </row>
    <row r="585" spans="1:17" ht="23.25" customHeight="1" x14ac:dyDescent="0.5">
      <c r="A585" s="28">
        <f>A583+1</f>
        <v>548</v>
      </c>
      <c r="B585" s="35" t="s">
        <v>198</v>
      </c>
      <c r="C585" s="127" t="s">
        <v>198</v>
      </c>
      <c r="D585" s="77" t="s">
        <v>200</v>
      </c>
      <c r="E585" s="78"/>
      <c r="F585" s="78"/>
      <c r="G585" s="78"/>
      <c r="H585" s="271"/>
      <c r="I585" s="228"/>
      <c r="J585" s="32">
        <f t="shared" ref="J585:J639" si="106">I585</f>
        <v>0</v>
      </c>
      <c r="K585" s="272" t="s">
        <v>22</v>
      </c>
      <c r="L585" s="185">
        <v>0</v>
      </c>
      <c r="M585" s="185">
        <v>0</v>
      </c>
      <c r="N585" s="186">
        <f t="shared" ref="N585:N639" si="107">L585*J585</f>
        <v>0</v>
      </c>
      <c r="O585" s="186">
        <f t="shared" ref="O585:O639" si="108">M585*J585</f>
        <v>0</v>
      </c>
      <c r="P585" s="311">
        <f t="shared" ref="P585:P639" si="109">(L585*J585)+(M585*J585)</f>
        <v>0</v>
      </c>
      <c r="Q585" s="336"/>
    </row>
    <row r="586" spans="1:17" ht="23.25" customHeight="1" x14ac:dyDescent="0.5">
      <c r="A586" s="18">
        <f>A585+1</f>
        <v>549</v>
      </c>
      <c r="B586" s="26" t="s">
        <v>198</v>
      </c>
      <c r="C586" s="129" t="s">
        <v>198</v>
      </c>
      <c r="D586" s="72" t="s">
        <v>201</v>
      </c>
      <c r="E586" s="73"/>
      <c r="F586" s="73"/>
      <c r="G586" s="73"/>
      <c r="H586" s="73"/>
      <c r="I586" s="188"/>
      <c r="J586" s="19">
        <f t="shared" si="106"/>
        <v>0</v>
      </c>
      <c r="K586" s="259" t="s">
        <v>22</v>
      </c>
      <c r="L586" s="168">
        <v>0</v>
      </c>
      <c r="M586" s="168">
        <v>0</v>
      </c>
      <c r="N586" s="169">
        <f t="shared" si="107"/>
        <v>0</v>
      </c>
      <c r="O586" s="169">
        <f t="shared" si="108"/>
        <v>0</v>
      </c>
      <c r="P586" s="312">
        <f t="shared" si="109"/>
        <v>0</v>
      </c>
      <c r="Q586" s="335"/>
    </row>
    <row r="587" spans="1:17" ht="23.25" customHeight="1" x14ac:dyDescent="0.5">
      <c r="A587" s="18">
        <f>A586+1</f>
        <v>550</v>
      </c>
      <c r="B587" s="26" t="s">
        <v>198</v>
      </c>
      <c r="C587" s="309" t="s">
        <v>198</v>
      </c>
      <c r="D587" s="72" t="s">
        <v>543</v>
      </c>
      <c r="E587" s="73"/>
      <c r="F587" s="73"/>
      <c r="G587" s="73"/>
      <c r="H587" s="73"/>
      <c r="I587" s="310"/>
      <c r="J587" s="19">
        <f t="shared" si="106"/>
        <v>0</v>
      </c>
      <c r="K587" s="259" t="s">
        <v>22</v>
      </c>
      <c r="L587" s="168">
        <v>0</v>
      </c>
      <c r="M587" s="168">
        <v>0</v>
      </c>
      <c r="N587" s="169">
        <f t="shared" si="107"/>
        <v>0</v>
      </c>
      <c r="O587" s="169">
        <f t="shared" si="108"/>
        <v>0</v>
      </c>
      <c r="P587" s="312">
        <f t="shared" si="109"/>
        <v>0</v>
      </c>
      <c r="Q587" s="350"/>
    </row>
    <row r="588" spans="1:17" ht="23.25" customHeight="1" x14ac:dyDescent="0.5">
      <c r="A588" s="18">
        <f>A587+1</f>
        <v>551</v>
      </c>
      <c r="B588" s="26" t="s">
        <v>198</v>
      </c>
      <c r="C588" s="129" t="s">
        <v>198</v>
      </c>
      <c r="D588" s="84" t="s">
        <v>411</v>
      </c>
      <c r="E588" s="85" t="s">
        <v>206</v>
      </c>
      <c r="F588" s="85"/>
      <c r="G588" s="85"/>
      <c r="H588" s="85"/>
      <c r="I588" s="191"/>
      <c r="J588" s="19">
        <f t="shared" si="106"/>
        <v>0</v>
      </c>
      <c r="K588" s="167" t="s">
        <v>22</v>
      </c>
      <c r="L588" s="168">
        <v>0</v>
      </c>
      <c r="M588" s="168">
        <v>0</v>
      </c>
      <c r="N588" s="169">
        <f t="shared" si="107"/>
        <v>0</v>
      </c>
      <c r="O588" s="169">
        <f t="shared" si="108"/>
        <v>0</v>
      </c>
      <c r="P588" s="312">
        <f t="shared" si="109"/>
        <v>0</v>
      </c>
      <c r="Q588" s="335"/>
    </row>
    <row r="589" spans="1:17" ht="23.25" customHeight="1" x14ac:dyDescent="0.5">
      <c r="A589" s="18">
        <f t="shared" ref="A589:A638" si="110">A588+1</f>
        <v>552</v>
      </c>
      <c r="B589" s="26" t="s">
        <v>198</v>
      </c>
      <c r="C589" s="129" t="s">
        <v>198</v>
      </c>
      <c r="D589" s="72" t="s">
        <v>492</v>
      </c>
      <c r="E589" s="73" t="s">
        <v>202</v>
      </c>
      <c r="F589" s="73"/>
      <c r="G589" s="73" t="s">
        <v>491</v>
      </c>
      <c r="H589" s="85"/>
      <c r="I589" s="191"/>
      <c r="J589" s="19">
        <f t="shared" si="106"/>
        <v>0</v>
      </c>
      <c r="K589" s="167" t="s">
        <v>22</v>
      </c>
      <c r="L589" s="168">
        <v>0</v>
      </c>
      <c r="M589" s="168">
        <v>0</v>
      </c>
      <c r="N589" s="169">
        <f t="shared" si="107"/>
        <v>0</v>
      </c>
      <c r="O589" s="169">
        <f t="shared" si="108"/>
        <v>0</v>
      </c>
      <c r="P589" s="312">
        <f t="shared" si="109"/>
        <v>0</v>
      </c>
      <c r="Q589" s="335"/>
    </row>
    <row r="590" spans="1:17" ht="23.25" customHeight="1" x14ac:dyDescent="0.5">
      <c r="A590" s="18">
        <f t="shared" si="110"/>
        <v>553</v>
      </c>
      <c r="B590" s="26" t="s">
        <v>198</v>
      </c>
      <c r="C590" s="129" t="s">
        <v>198</v>
      </c>
      <c r="D590" s="72" t="s">
        <v>492</v>
      </c>
      <c r="E590" s="73" t="s">
        <v>202</v>
      </c>
      <c r="F590" s="73"/>
      <c r="G590" s="73" t="s">
        <v>203</v>
      </c>
      <c r="H590" s="85"/>
      <c r="I590" s="191"/>
      <c r="J590" s="19">
        <f t="shared" si="106"/>
        <v>0</v>
      </c>
      <c r="K590" s="167" t="s">
        <v>22</v>
      </c>
      <c r="L590" s="168">
        <v>0</v>
      </c>
      <c r="M590" s="168">
        <v>0</v>
      </c>
      <c r="N590" s="169">
        <f t="shared" si="107"/>
        <v>0</v>
      </c>
      <c r="O590" s="169">
        <f t="shared" si="108"/>
        <v>0</v>
      </c>
      <c r="P590" s="312">
        <f t="shared" si="109"/>
        <v>0</v>
      </c>
      <c r="Q590" s="335"/>
    </row>
    <row r="591" spans="1:17" ht="23.25" customHeight="1" x14ac:dyDescent="0.5">
      <c r="A591" s="18">
        <f t="shared" si="110"/>
        <v>554</v>
      </c>
      <c r="B591" s="26" t="s">
        <v>198</v>
      </c>
      <c r="C591" s="129" t="s">
        <v>198</v>
      </c>
      <c r="D591" s="72" t="s">
        <v>492</v>
      </c>
      <c r="E591" s="73" t="s">
        <v>202</v>
      </c>
      <c r="F591" s="73"/>
      <c r="G591" s="73" t="s">
        <v>204</v>
      </c>
      <c r="H591" s="85"/>
      <c r="I591" s="191"/>
      <c r="J591" s="19">
        <f t="shared" si="106"/>
        <v>0</v>
      </c>
      <c r="K591" s="167" t="s">
        <v>22</v>
      </c>
      <c r="L591" s="168">
        <v>0</v>
      </c>
      <c r="M591" s="168">
        <v>0</v>
      </c>
      <c r="N591" s="169">
        <f t="shared" si="107"/>
        <v>0</v>
      </c>
      <c r="O591" s="169">
        <f t="shared" si="108"/>
        <v>0</v>
      </c>
      <c r="P591" s="312">
        <f t="shared" si="109"/>
        <v>0</v>
      </c>
      <c r="Q591" s="335"/>
    </row>
    <row r="592" spans="1:17" ht="23.25" customHeight="1" x14ac:dyDescent="0.5">
      <c r="A592" s="18">
        <f t="shared" si="110"/>
        <v>555</v>
      </c>
      <c r="B592" s="26" t="s">
        <v>198</v>
      </c>
      <c r="C592" s="129" t="s">
        <v>198</v>
      </c>
      <c r="D592" s="72" t="s">
        <v>205</v>
      </c>
      <c r="E592" s="73" t="s">
        <v>206</v>
      </c>
      <c r="F592" s="73"/>
      <c r="G592" s="73" t="s">
        <v>150</v>
      </c>
      <c r="H592" s="85"/>
      <c r="I592" s="191"/>
      <c r="J592" s="19">
        <f t="shared" si="106"/>
        <v>0</v>
      </c>
      <c r="K592" s="167" t="s">
        <v>22</v>
      </c>
      <c r="L592" s="168">
        <v>0</v>
      </c>
      <c r="M592" s="168">
        <v>0</v>
      </c>
      <c r="N592" s="169">
        <f t="shared" si="107"/>
        <v>0</v>
      </c>
      <c r="O592" s="169">
        <f t="shared" si="108"/>
        <v>0</v>
      </c>
      <c r="P592" s="312">
        <f t="shared" si="109"/>
        <v>0</v>
      </c>
      <c r="Q592" s="335"/>
    </row>
    <row r="593" spans="1:17" ht="23.25" customHeight="1" x14ac:dyDescent="0.5">
      <c r="A593" s="18">
        <f t="shared" si="110"/>
        <v>556</v>
      </c>
      <c r="B593" s="26" t="s">
        <v>198</v>
      </c>
      <c r="C593" s="129" t="s">
        <v>198</v>
      </c>
      <c r="D593" s="72" t="s">
        <v>207</v>
      </c>
      <c r="E593" s="73" t="s">
        <v>208</v>
      </c>
      <c r="F593" s="73"/>
      <c r="G593" s="73"/>
      <c r="H593" s="73"/>
      <c r="I593" s="191"/>
      <c r="J593" s="19">
        <f t="shared" si="106"/>
        <v>0</v>
      </c>
      <c r="K593" s="167" t="s">
        <v>22</v>
      </c>
      <c r="L593" s="168">
        <v>0</v>
      </c>
      <c r="M593" s="168">
        <v>0</v>
      </c>
      <c r="N593" s="169">
        <f t="shared" si="107"/>
        <v>0</v>
      </c>
      <c r="O593" s="169">
        <f t="shared" si="108"/>
        <v>0</v>
      </c>
      <c r="P593" s="312">
        <f t="shared" si="109"/>
        <v>0</v>
      </c>
      <c r="Q593" s="335"/>
    </row>
    <row r="594" spans="1:17" ht="23.25" customHeight="1" x14ac:dyDescent="0.5">
      <c r="A594" s="18">
        <f t="shared" si="110"/>
        <v>557</v>
      </c>
      <c r="B594" s="26" t="s">
        <v>198</v>
      </c>
      <c r="C594" s="129" t="s">
        <v>198</v>
      </c>
      <c r="D594" s="72" t="s">
        <v>209</v>
      </c>
      <c r="E594" s="73" t="s">
        <v>60</v>
      </c>
      <c r="F594" s="73"/>
      <c r="G594" s="73" t="s">
        <v>210</v>
      </c>
      <c r="H594" s="73" t="s">
        <v>211</v>
      </c>
      <c r="I594" s="191"/>
      <c r="J594" s="19">
        <f t="shared" si="106"/>
        <v>0</v>
      </c>
      <c r="K594" s="167" t="s">
        <v>51</v>
      </c>
      <c r="L594" s="168">
        <v>0</v>
      </c>
      <c r="M594" s="168">
        <v>0</v>
      </c>
      <c r="N594" s="169">
        <f t="shared" si="107"/>
        <v>0</v>
      </c>
      <c r="O594" s="169">
        <f t="shared" si="108"/>
        <v>0</v>
      </c>
      <c r="P594" s="312">
        <f t="shared" si="109"/>
        <v>0</v>
      </c>
      <c r="Q594" s="335"/>
    </row>
    <row r="595" spans="1:17" ht="23.25" customHeight="1" x14ac:dyDescent="0.5">
      <c r="A595" s="18">
        <f t="shared" si="110"/>
        <v>558</v>
      </c>
      <c r="B595" s="26" t="s">
        <v>198</v>
      </c>
      <c r="C595" s="129" t="s">
        <v>198</v>
      </c>
      <c r="D595" s="72" t="s">
        <v>209</v>
      </c>
      <c r="E595" s="73" t="s">
        <v>60</v>
      </c>
      <c r="F595" s="73"/>
      <c r="G595" s="73" t="s">
        <v>210</v>
      </c>
      <c r="H595" s="73" t="s">
        <v>212</v>
      </c>
      <c r="I595" s="191"/>
      <c r="J595" s="19">
        <f t="shared" si="106"/>
        <v>0</v>
      </c>
      <c r="K595" s="167" t="s">
        <v>51</v>
      </c>
      <c r="L595" s="168">
        <v>0</v>
      </c>
      <c r="M595" s="168">
        <v>0</v>
      </c>
      <c r="N595" s="169">
        <f t="shared" si="107"/>
        <v>0</v>
      </c>
      <c r="O595" s="169">
        <f t="shared" si="108"/>
        <v>0</v>
      </c>
      <c r="P595" s="312">
        <f t="shared" si="109"/>
        <v>0</v>
      </c>
      <c r="Q595" s="335"/>
    </row>
    <row r="596" spans="1:17" ht="23.25" customHeight="1" x14ac:dyDescent="0.5">
      <c r="A596" s="18">
        <f t="shared" si="110"/>
        <v>559</v>
      </c>
      <c r="B596" s="26" t="s">
        <v>198</v>
      </c>
      <c r="C596" s="129" t="s">
        <v>198</v>
      </c>
      <c r="D596" s="72" t="s">
        <v>209</v>
      </c>
      <c r="E596" s="73" t="s">
        <v>60</v>
      </c>
      <c r="F596" s="73"/>
      <c r="G596" s="73" t="s">
        <v>210</v>
      </c>
      <c r="H596" s="73" t="s">
        <v>213</v>
      </c>
      <c r="I596" s="191"/>
      <c r="J596" s="19">
        <f t="shared" si="106"/>
        <v>0</v>
      </c>
      <c r="K596" s="167" t="s">
        <v>51</v>
      </c>
      <c r="L596" s="168">
        <v>0</v>
      </c>
      <c r="M596" s="168">
        <v>0</v>
      </c>
      <c r="N596" s="169">
        <f t="shared" si="107"/>
        <v>0</v>
      </c>
      <c r="O596" s="169">
        <f t="shared" si="108"/>
        <v>0</v>
      </c>
      <c r="P596" s="312">
        <f t="shared" si="109"/>
        <v>0</v>
      </c>
      <c r="Q596" s="335"/>
    </row>
    <row r="597" spans="1:17" ht="23.25" customHeight="1" x14ac:dyDescent="0.5">
      <c r="A597" s="18">
        <f t="shared" si="110"/>
        <v>560</v>
      </c>
      <c r="B597" s="26" t="s">
        <v>198</v>
      </c>
      <c r="C597" s="129" t="s">
        <v>198</v>
      </c>
      <c r="D597" s="72" t="s">
        <v>214</v>
      </c>
      <c r="E597" s="73" t="s">
        <v>215</v>
      </c>
      <c r="F597" s="73"/>
      <c r="G597" s="73" t="s">
        <v>215</v>
      </c>
      <c r="H597" s="73"/>
      <c r="I597" s="191"/>
      <c r="J597" s="19">
        <f t="shared" si="106"/>
        <v>0</v>
      </c>
      <c r="K597" s="167" t="s">
        <v>216</v>
      </c>
      <c r="L597" s="168">
        <v>0</v>
      </c>
      <c r="M597" s="168">
        <v>0</v>
      </c>
      <c r="N597" s="169">
        <f t="shared" si="107"/>
        <v>0</v>
      </c>
      <c r="O597" s="169">
        <f t="shared" si="108"/>
        <v>0</v>
      </c>
      <c r="P597" s="312">
        <f t="shared" si="109"/>
        <v>0</v>
      </c>
      <c r="Q597" s="335"/>
    </row>
    <row r="598" spans="1:17" ht="23.25" customHeight="1" x14ac:dyDescent="0.5">
      <c r="A598" s="18">
        <f t="shared" si="110"/>
        <v>561</v>
      </c>
      <c r="B598" s="26" t="s">
        <v>198</v>
      </c>
      <c r="C598" s="129" t="s">
        <v>198</v>
      </c>
      <c r="D598" s="72" t="s">
        <v>217</v>
      </c>
      <c r="E598" s="73" t="s">
        <v>60</v>
      </c>
      <c r="F598" s="73"/>
      <c r="G598" s="73" t="s">
        <v>218</v>
      </c>
      <c r="H598" s="73"/>
      <c r="I598" s="191"/>
      <c r="J598" s="19">
        <f t="shared" si="106"/>
        <v>0</v>
      </c>
      <c r="K598" s="167" t="s">
        <v>51</v>
      </c>
      <c r="L598" s="168">
        <v>0</v>
      </c>
      <c r="M598" s="168">
        <v>0</v>
      </c>
      <c r="N598" s="169">
        <f t="shared" si="107"/>
        <v>0</v>
      </c>
      <c r="O598" s="169">
        <f t="shared" si="108"/>
        <v>0</v>
      </c>
      <c r="P598" s="312">
        <f t="shared" si="109"/>
        <v>0</v>
      </c>
      <c r="Q598" s="335"/>
    </row>
    <row r="599" spans="1:17" ht="23.25" customHeight="1" x14ac:dyDescent="0.5">
      <c r="A599" s="18">
        <f t="shared" si="110"/>
        <v>562</v>
      </c>
      <c r="B599" s="26" t="s">
        <v>198</v>
      </c>
      <c r="C599" s="129" t="s">
        <v>198</v>
      </c>
      <c r="D599" s="72" t="s">
        <v>219</v>
      </c>
      <c r="E599" s="73" t="s">
        <v>220</v>
      </c>
      <c r="F599" s="73"/>
      <c r="G599" s="73"/>
      <c r="H599" s="73" t="s">
        <v>447</v>
      </c>
      <c r="I599" s="191"/>
      <c r="J599" s="19">
        <f t="shared" si="106"/>
        <v>0</v>
      </c>
      <c r="K599" s="167" t="s">
        <v>51</v>
      </c>
      <c r="L599" s="168">
        <v>0</v>
      </c>
      <c r="M599" s="168">
        <v>0</v>
      </c>
      <c r="N599" s="169">
        <f t="shared" si="107"/>
        <v>0</v>
      </c>
      <c r="O599" s="169">
        <f t="shared" si="108"/>
        <v>0</v>
      </c>
      <c r="P599" s="312">
        <f t="shared" si="109"/>
        <v>0</v>
      </c>
      <c r="Q599" s="335"/>
    </row>
    <row r="600" spans="1:17" ht="23.25" customHeight="1" x14ac:dyDescent="0.5">
      <c r="A600" s="18">
        <f t="shared" si="110"/>
        <v>563</v>
      </c>
      <c r="B600" s="26" t="s">
        <v>198</v>
      </c>
      <c r="C600" s="129" t="s">
        <v>198</v>
      </c>
      <c r="D600" s="72" t="s">
        <v>219</v>
      </c>
      <c r="E600" s="73" t="s">
        <v>220</v>
      </c>
      <c r="F600" s="73"/>
      <c r="G600" s="73"/>
      <c r="H600" s="73" t="s">
        <v>389</v>
      </c>
      <c r="I600" s="191"/>
      <c r="J600" s="19">
        <f t="shared" si="106"/>
        <v>0</v>
      </c>
      <c r="K600" s="167" t="s">
        <v>51</v>
      </c>
      <c r="L600" s="168">
        <v>0</v>
      </c>
      <c r="M600" s="168">
        <v>0</v>
      </c>
      <c r="N600" s="169">
        <f t="shared" si="107"/>
        <v>0</v>
      </c>
      <c r="O600" s="169">
        <f t="shared" si="108"/>
        <v>0</v>
      </c>
      <c r="P600" s="312">
        <f t="shared" si="109"/>
        <v>0</v>
      </c>
      <c r="Q600" s="335"/>
    </row>
    <row r="601" spans="1:17" ht="23.25" customHeight="1" x14ac:dyDescent="0.5">
      <c r="A601" s="18">
        <f t="shared" si="110"/>
        <v>564</v>
      </c>
      <c r="B601" s="26" t="s">
        <v>198</v>
      </c>
      <c r="C601" s="129" t="s">
        <v>198</v>
      </c>
      <c r="D601" s="72" t="s">
        <v>219</v>
      </c>
      <c r="E601" s="73" t="s">
        <v>220</v>
      </c>
      <c r="F601" s="73"/>
      <c r="G601" s="73"/>
      <c r="H601" s="73" t="s">
        <v>105</v>
      </c>
      <c r="I601" s="191"/>
      <c r="J601" s="19">
        <f t="shared" si="106"/>
        <v>0</v>
      </c>
      <c r="K601" s="167" t="s">
        <v>51</v>
      </c>
      <c r="L601" s="168">
        <v>0</v>
      </c>
      <c r="M601" s="168">
        <v>0</v>
      </c>
      <c r="N601" s="169">
        <f t="shared" si="107"/>
        <v>0</v>
      </c>
      <c r="O601" s="169">
        <f t="shared" si="108"/>
        <v>0</v>
      </c>
      <c r="P601" s="312">
        <f t="shared" si="109"/>
        <v>0</v>
      </c>
      <c r="Q601" s="335"/>
    </row>
    <row r="602" spans="1:17" ht="23.25" customHeight="1" x14ac:dyDescent="0.5">
      <c r="A602" s="18">
        <f t="shared" si="110"/>
        <v>565</v>
      </c>
      <c r="B602" s="26" t="s">
        <v>198</v>
      </c>
      <c r="C602" s="129" t="s">
        <v>198</v>
      </c>
      <c r="D602" s="72" t="s">
        <v>219</v>
      </c>
      <c r="E602" s="73" t="s">
        <v>220</v>
      </c>
      <c r="F602" s="73"/>
      <c r="G602" s="73"/>
      <c r="H602" s="73" t="s">
        <v>106</v>
      </c>
      <c r="I602" s="191"/>
      <c r="J602" s="19">
        <f t="shared" si="106"/>
        <v>0</v>
      </c>
      <c r="K602" s="167" t="s">
        <v>51</v>
      </c>
      <c r="L602" s="168">
        <v>0</v>
      </c>
      <c r="M602" s="168">
        <v>0</v>
      </c>
      <c r="N602" s="169">
        <f t="shared" si="107"/>
        <v>0</v>
      </c>
      <c r="O602" s="169">
        <f t="shared" si="108"/>
        <v>0</v>
      </c>
      <c r="P602" s="312">
        <f t="shared" si="109"/>
        <v>0</v>
      </c>
      <c r="Q602" s="335"/>
    </row>
    <row r="603" spans="1:17" ht="23.25" customHeight="1" x14ac:dyDescent="0.5">
      <c r="A603" s="18">
        <f t="shared" si="110"/>
        <v>566</v>
      </c>
      <c r="B603" s="26" t="s">
        <v>198</v>
      </c>
      <c r="C603" s="129" t="s">
        <v>198</v>
      </c>
      <c r="D603" s="72" t="s">
        <v>219</v>
      </c>
      <c r="E603" s="73" t="s">
        <v>220</v>
      </c>
      <c r="F603" s="73"/>
      <c r="G603" s="73"/>
      <c r="H603" s="73" t="s">
        <v>55</v>
      </c>
      <c r="I603" s="191"/>
      <c r="J603" s="19">
        <f t="shared" si="106"/>
        <v>0</v>
      </c>
      <c r="K603" s="167" t="s">
        <v>51</v>
      </c>
      <c r="L603" s="168">
        <v>0</v>
      </c>
      <c r="M603" s="168">
        <v>0</v>
      </c>
      <c r="N603" s="169">
        <f t="shared" si="107"/>
        <v>0</v>
      </c>
      <c r="O603" s="169">
        <f t="shared" si="108"/>
        <v>0</v>
      </c>
      <c r="P603" s="312">
        <f t="shared" si="109"/>
        <v>0</v>
      </c>
      <c r="Q603" s="335"/>
    </row>
    <row r="604" spans="1:17" ht="23.25" customHeight="1" x14ac:dyDescent="0.5">
      <c r="A604" s="18">
        <f t="shared" si="110"/>
        <v>567</v>
      </c>
      <c r="B604" s="26" t="s">
        <v>198</v>
      </c>
      <c r="C604" s="129" t="s">
        <v>198</v>
      </c>
      <c r="D604" s="72" t="s">
        <v>408</v>
      </c>
      <c r="E604" s="73" t="s">
        <v>114</v>
      </c>
      <c r="F604" s="73"/>
      <c r="G604" s="73" t="s">
        <v>407</v>
      </c>
      <c r="H604" s="73" t="s">
        <v>105</v>
      </c>
      <c r="I604" s="191"/>
      <c r="J604" s="19">
        <f t="shared" si="106"/>
        <v>0</v>
      </c>
      <c r="K604" s="167" t="s">
        <v>51</v>
      </c>
      <c r="L604" s="168">
        <v>0</v>
      </c>
      <c r="M604" s="168">
        <v>0</v>
      </c>
      <c r="N604" s="169">
        <f t="shared" si="107"/>
        <v>0</v>
      </c>
      <c r="O604" s="169">
        <f t="shared" si="108"/>
        <v>0</v>
      </c>
      <c r="P604" s="312">
        <f t="shared" si="109"/>
        <v>0</v>
      </c>
      <c r="Q604" s="335"/>
    </row>
    <row r="605" spans="1:17" ht="23.25" customHeight="1" x14ac:dyDescent="0.5">
      <c r="A605" s="18">
        <f t="shared" si="110"/>
        <v>568</v>
      </c>
      <c r="B605" s="26" t="s">
        <v>198</v>
      </c>
      <c r="C605" s="129" t="s">
        <v>198</v>
      </c>
      <c r="D605" s="72" t="s">
        <v>408</v>
      </c>
      <c r="E605" s="73" t="s">
        <v>114</v>
      </c>
      <c r="F605" s="73"/>
      <c r="G605" s="73" t="s">
        <v>407</v>
      </c>
      <c r="H605" s="73" t="s">
        <v>106</v>
      </c>
      <c r="I605" s="191"/>
      <c r="J605" s="19">
        <f t="shared" si="106"/>
        <v>0</v>
      </c>
      <c r="K605" s="167" t="s">
        <v>51</v>
      </c>
      <c r="L605" s="168">
        <v>0</v>
      </c>
      <c r="M605" s="168">
        <v>0</v>
      </c>
      <c r="N605" s="169">
        <f t="shared" si="107"/>
        <v>0</v>
      </c>
      <c r="O605" s="169">
        <f t="shared" si="108"/>
        <v>0</v>
      </c>
      <c r="P605" s="312">
        <f t="shared" si="109"/>
        <v>0</v>
      </c>
      <c r="Q605" s="335"/>
    </row>
    <row r="606" spans="1:17" ht="23.25" customHeight="1" x14ac:dyDescent="0.5">
      <c r="A606" s="18">
        <f t="shared" si="110"/>
        <v>569</v>
      </c>
      <c r="B606" s="26" t="s">
        <v>198</v>
      </c>
      <c r="C606" s="129" t="s">
        <v>198</v>
      </c>
      <c r="D606" s="72" t="s">
        <v>408</v>
      </c>
      <c r="E606" s="73" t="s">
        <v>114</v>
      </c>
      <c r="F606" s="73"/>
      <c r="G606" s="73" t="s">
        <v>407</v>
      </c>
      <c r="H606" s="73" t="s">
        <v>55</v>
      </c>
      <c r="I606" s="191"/>
      <c r="J606" s="19">
        <f t="shared" si="106"/>
        <v>0</v>
      </c>
      <c r="K606" s="167" t="s">
        <v>51</v>
      </c>
      <c r="L606" s="168">
        <v>0</v>
      </c>
      <c r="M606" s="168">
        <v>0</v>
      </c>
      <c r="N606" s="169">
        <f t="shared" si="107"/>
        <v>0</v>
      </c>
      <c r="O606" s="169">
        <f t="shared" si="108"/>
        <v>0</v>
      </c>
      <c r="P606" s="312">
        <f t="shared" si="109"/>
        <v>0</v>
      </c>
      <c r="Q606" s="335"/>
    </row>
    <row r="607" spans="1:17" ht="23.25" customHeight="1" x14ac:dyDescent="0.5">
      <c r="A607" s="18">
        <f t="shared" si="110"/>
        <v>570</v>
      </c>
      <c r="B607" s="26" t="s">
        <v>198</v>
      </c>
      <c r="C607" s="129" t="s">
        <v>198</v>
      </c>
      <c r="D607" s="72" t="s">
        <v>410</v>
      </c>
      <c r="E607" s="73" t="s">
        <v>41</v>
      </c>
      <c r="F607" s="73"/>
      <c r="G607" s="73" t="s">
        <v>407</v>
      </c>
      <c r="H607" s="73" t="s">
        <v>105</v>
      </c>
      <c r="I607" s="191"/>
      <c r="J607" s="19">
        <f t="shared" si="106"/>
        <v>0</v>
      </c>
      <c r="K607" s="167" t="s">
        <v>51</v>
      </c>
      <c r="L607" s="168">
        <v>0</v>
      </c>
      <c r="M607" s="168">
        <v>0</v>
      </c>
      <c r="N607" s="169">
        <f t="shared" si="107"/>
        <v>0</v>
      </c>
      <c r="O607" s="169">
        <f t="shared" si="108"/>
        <v>0</v>
      </c>
      <c r="P607" s="312">
        <f t="shared" si="109"/>
        <v>0</v>
      </c>
      <c r="Q607" s="335"/>
    </row>
    <row r="608" spans="1:17" ht="23.25" customHeight="1" x14ac:dyDescent="0.5">
      <c r="A608" s="18">
        <f t="shared" si="110"/>
        <v>571</v>
      </c>
      <c r="B608" s="26" t="s">
        <v>198</v>
      </c>
      <c r="C608" s="129" t="s">
        <v>198</v>
      </c>
      <c r="D608" s="72" t="s">
        <v>410</v>
      </c>
      <c r="E608" s="73" t="s">
        <v>41</v>
      </c>
      <c r="F608" s="73"/>
      <c r="G608" s="73" t="s">
        <v>407</v>
      </c>
      <c r="H608" s="73" t="s">
        <v>106</v>
      </c>
      <c r="I608" s="191"/>
      <c r="J608" s="19">
        <f t="shared" si="106"/>
        <v>0</v>
      </c>
      <c r="K608" s="167" t="s">
        <v>51</v>
      </c>
      <c r="L608" s="168">
        <v>0</v>
      </c>
      <c r="M608" s="168">
        <v>0</v>
      </c>
      <c r="N608" s="169">
        <f t="shared" si="107"/>
        <v>0</v>
      </c>
      <c r="O608" s="169">
        <f t="shared" si="108"/>
        <v>0</v>
      </c>
      <c r="P608" s="312">
        <f t="shared" si="109"/>
        <v>0</v>
      </c>
      <c r="Q608" s="335"/>
    </row>
    <row r="609" spans="1:17" ht="23.25" customHeight="1" x14ac:dyDescent="0.5">
      <c r="A609" s="18">
        <f t="shared" si="110"/>
        <v>572</v>
      </c>
      <c r="B609" s="26" t="s">
        <v>198</v>
      </c>
      <c r="C609" s="129" t="s">
        <v>198</v>
      </c>
      <c r="D609" s="72" t="s">
        <v>410</v>
      </c>
      <c r="E609" s="73" t="s">
        <v>41</v>
      </c>
      <c r="F609" s="73"/>
      <c r="G609" s="73" t="s">
        <v>407</v>
      </c>
      <c r="H609" s="73" t="s">
        <v>55</v>
      </c>
      <c r="I609" s="191"/>
      <c r="J609" s="19">
        <f t="shared" si="106"/>
        <v>0</v>
      </c>
      <c r="K609" s="167" t="s">
        <v>51</v>
      </c>
      <c r="L609" s="168">
        <v>0</v>
      </c>
      <c r="M609" s="168">
        <v>0</v>
      </c>
      <c r="N609" s="169">
        <f t="shared" si="107"/>
        <v>0</v>
      </c>
      <c r="O609" s="169">
        <f t="shared" si="108"/>
        <v>0</v>
      </c>
      <c r="P609" s="312">
        <f t="shared" si="109"/>
        <v>0</v>
      </c>
      <c r="Q609" s="335"/>
    </row>
    <row r="610" spans="1:17" ht="23.25" customHeight="1" x14ac:dyDescent="0.5">
      <c r="A610" s="18">
        <f t="shared" si="110"/>
        <v>573</v>
      </c>
      <c r="B610" s="26" t="s">
        <v>198</v>
      </c>
      <c r="C610" s="129" t="s">
        <v>198</v>
      </c>
      <c r="D610" s="72" t="s">
        <v>408</v>
      </c>
      <c r="E610" s="73" t="s">
        <v>41</v>
      </c>
      <c r="F610" s="73"/>
      <c r="G610" s="73" t="s">
        <v>409</v>
      </c>
      <c r="H610" s="73" t="s">
        <v>105</v>
      </c>
      <c r="I610" s="191"/>
      <c r="J610" s="19">
        <f t="shared" si="106"/>
        <v>0</v>
      </c>
      <c r="K610" s="167" t="s">
        <v>51</v>
      </c>
      <c r="L610" s="168">
        <v>0</v>
      </c>
      <c r="M610" s="168">
        <v>0</v>
      </c>
      <c r="N610" s="169">
        <f t="shared" si="107"/>
        <v>0</v>
      </c>
      <c r="O610" s="169">
        <f t="shared" si="108"/>
        <v>0</v>
      </c>
      <c r="P610" s="312">
        <f t="shared" si="109"/>
        <v>0</v>
      </c>
      <c r="Q610" s="335"/>
    </row>
    <row r="611" spans="1:17" ht="23.25" customHeight="1" x14ac:dyDescent="0.5">
      <c r="A611" s="18">
        <f t="shared" si="110"/>
        <v>574</v>
      </c>
      <c r="B611" s="26" t="s">
        <v>198</v>
      </c>
      <c r="C611" s="129" t="s">
        <v>198</v>
      </c>
      <c r="D611" s="72" t="s">
        <v>408</v>
      </c>
      <c r="E611" s="73" t="s">
        <v>41</v>
      </c>
      <c r="F611" s="73"/>
      <c r="G611" s="73" t="s">
        <v>409</v>
      </c>
      <c r="H611" s="73" t="s">
        <v>106</v>
      </c>
      <c r="I611" s="191"/>
      <c r="J611" s="19">
        <f t="shared" si="106"/>
        <v>0</v>
      </c>
      <c r="K611" s="167" t="s">
        <v>51</v>
      </c>
      <c r="L611" s="168">
        <v>0</v>
      </c>
      <c r="M611" s="168">
        <v>0</v>
      </c>
      <c r="N611" s="169">
        <f t="shared" si="107"/>
        <v>0</v>
      </c>
      <c r="O611" s="169">
        <f t="shared" si="108"/>
        <v>0</v>
      </c>
      <c r="P611" s="312">
        <f t="shared" si="109"/>
        <v>0</v>
      </c>
      <c r="Q611" s="335"/>
    </row>
    <row r="612" spans="1:17" ht="23.25" customHeight="1" x14ac:dyDescent="0.5">
      <c r="A612" s="18">
        <f t="shared" si="110"/>
        <v>575</v>
      </c>
      <c r="B612" s="26" t="s">
        <v>198</v>
      </c>
      <c r="C612" s="129" t="s">
        <v>198</v>
      </c>
      <c r="D612" s="72" t="s">
        <v>408</v>
      </c>
      <c r="E612" s="73" t="s">
        <v>41</v>
      </c>
      <c r="F612" s="73"/>
      <c r="G612" s="73" t="s">
        <v>409</v>
      </c>
      <c r="H612" s="73" t="s">
        <v>55</v>
      </c>
      <c r="I612" s="191"/>
      <c r="J612" s="19">
        <f t="shared" si="106"/>
        <v>0</v>
      </c>
      <c r="K612" s="167" t="s">
        <v>51</v>
      </c>
      <c r="L612" s="168">
        <v>0</v>
      </c>
      <c r="M612" s="168">
        <v>0</v>
      </c>
      <c r="N612" s="169">
        <f t="shared" si="107"/>
        <v>0</v>
      </c>
      <c r="O612" s="169">
        <f t="shared" si="108"/>
        <v>0</v>
      </c>
      <c r="P612" s="312">
        <f t="shared" si="109"/>
        <v>0</v>
      </c>
      <c r="Q612" s="335"/>
    </row>
    <row r="613" spans="1:17" ht="23.25" customHeight="1" x14ac:dyDescent="0.5">
      <c r="A613" s="18">
        <f t="shared" si="110"/>
        <v>576</v>
      </c>
      <c r="B613" s="26" t="s">
        <v>198</v>
      </c>
      <c r="C613" s="129" t="s">
        <v>198</v>
      </c>
      <c r="D613" s="72" t="s">
        <v>221</v>
      </c>
      <c r="E613" s="73" t="s">
        <v>208</v>
      </c>
      <c r="F613" s="73"/>
      <c r="G613" s="73" t="s">
        <v>104</v>
      </c>
      <c r="H613" s="73" t="s">
        <v>105</v>
      </c>
      <c r="I613" s="191"/>
      <c r="J613" s="19">
        <f t="shared" si="106"/>
        <v>0</v>
      </c>
      <c r="K613" s="167" t="s">
        <v>22</v>
      </c>
      <c r="L613" s="168">
        <v>0</v>
      </c>
      <c r="M613" s="168">
        <v>0</v>
      </c>
      <c r="N613" s="169">
        <f t="shared" si="107"/>
        <v>0</v>
      </c>
      <c r="O613" s="169">
        <f t="shared" si="108"/>
        <v>0</v>
      </c>
      <c r="P613" s="312">
        <f t="shared" si="109"/>
        <v>0</v>
      </c>
      <c r="Q613" s="335"/>
    </row>
    <row r="614" spans="1:17" ht="23.25" customHeight="1" x14ac:dyDescent="0.5">
      <c r="A614" s="18">
        <f t="shared" si="110"/>
        <v>577</v>
      </c>
      <c r="B614" s="26" t="s">
        <v>198</v>
      </c>
      <c r="C614" s="129" t="s">
        <v>198</v>
      </c>
      <c r="D614" s="72" t="s">
        <v>221</v>
      </c>
      <c r="E614" s="73" t="s">
        <v>208</v>
      </c>
      <c r="F614" s="73"/>
      <c r="G614" s="73" t="s">
        <v>104</v>
      </c>
      <c r="H614" s="73" t="s">
        <v>106</v>
      </c>
      <c r="I614" s="191"/>
      <c r="J614" s="19">
        <f t="shared" si="106"/>
        <v>0</v>
      </c>
      <c r="K614" s="167" t="s">
        <v>22</v>
      </c>
      <c r="L614" s="168">
        <v>0</v>
      </c>
      <c r="M614" s="168">
        <v>0</v>
      </c>
      <c r="N614" s="169">
        <f t="shared" si="107"/>
        <v>0</v>
      </c>
      <c r="O614" s="169">
        <f t="shared" si="108"/>
        <v>0</v>
      </c>
      <c r="P614" s="312">
        <f t="shared" si="109"/>
        <v>0</v>
      </c>
      <c r="Q614" s="335"/>
    </row>
    <row r="615" spans="1:17" ht="23.25" customHeight="1" x14ac:dyDescent="0.5">
      <c r="A615" s="18">
        <f t="shared" si="110"/>
        <v>578</v>
      </c>
      <c r="B615" s="26" t="s">
        <v>198</v>
      </c>
      <c r="C615" s="129" t="s">
        <v>198</v>
      </c>
      <c r="D615" s="72" t="s">
        <v>221</v>
      </c>
      <c r="E615" s="73" t="s">
        <v>208</v>
      </c>
      <c r="F615" s="73"/>
      <c r="G615" s="73" t="s">
        <v>104</v>
      </c>
      <c r="H615" s="73" t="s">
        <v>55</v>
      </c>
      <c r="I615" s="191"/>
      <c r="J615" s="19">
        <f t="shared" si="106"/>
        <v>0</v>
      </c>
      <c r="K615" s="167" t="s">
        <v>22</v>
      </c>
      <c r="L615" s="168">
        <v>0</v>
      </c>
      <c r="M615" s="168">
        <v>0</v>
      </c>
      <c r="N615" s="169">
        <f t="shared" si="107"/>
        <v>0</v>
      </c>
      <c r="O615" s="169">
        <f t="shared" si="108"/>
        <v>0</v>
      </c>
      <c r="P615" s="312">
        <f t="shared" si="109"/>
        <v>0</v>
      </c>
      <c r="Q615" s="335"/>
    </row>
    <row r="616" spans="1:17" ht="23.25" customHeight="1" x14ac:dyDescent="0.5">
      <c r="A616" s="18">
        <f t="shared" si="110"/>
        <v>579</v>
      </c>
      <c r="B616" s="26" t="s">
        <v>198</v>
      </c>
      <c r="C616" s="129" t="s">
        <v>198</v>
      </c>
      <c r="D616" s="72" t="s">
        <v>443</v>
      </c>
      <c r="E616" s="73" t="s">
        <v>208</v>
      </c>
      <c r="F616" s="73"/>
      <c r="G616" s="73" t="s">
        <v>104</v>
      </c>
      <c r="H616" s="73" t="s">
        <v>105</v>
      </c>
      <c r="I616" s="191"/>
      <c r="J616" s="19">
        <f t="shared" si="106"/>
        <v>0</v>
      </c>
      <c r="K616" s="167" t="s">
        <v>22</v>
      </c>
      <c r="L616" s="168">
        <v>0</v>
      </c>
      <c r="M616" s="168">
        <v>0</v>
      </c>
      <c r="N616" s="169">
        <f t="shared" si="107"/>
        <v>0</v>
      </c>
      <c r="O616" s="169">
        <f t="shared" si="108"/>
        <v>0</v>
      </c>
      <c r="P616" s="312">
        <f t="shared" si="109"/>
        <v>0</v>
      </c>
      <c r="Q616" s="335"/>
    </row>
    <row r="617" spans="1:17" ht="23.25" customHeight="1" x14ac:dyDescent="0.5">
      <c r="A617" s="18">
        <f t="shared" si="110"/>
        <v>580</v>
      </c>
      <c r="B617" s="26" t="s">
        <v>198</v>
      </c>
      <c r="C617" s="129" t="s">
        <v>198</v>
      </c>
      <c r="D617" s="72" t="s">
        <v>443</v>
      </c>
      <c r="E617" s="73" t="s">
        <v>208</v>
      </c>
      <c r="F617" s="73"/>
      <c r="G617" s="73" t="s">
        <v>104</v>
      </c>
      <c r="H617" s="73" t="s">
        <v>106</v>
      </c>
      <c r="I617" s="191"/>
      <c r="J617" s="19">
        <f t="shared" si="106"/>
        <v>0</v>
      </c>
      <c r="K617" s="167" t="s">
        <v>22</v>
      </c>
      <c r="L617" s="168">
        <v>0</v>
      </c>
      <c r="M617" s="168">
        <v>0</v>
      </c>
      <c r="N617" s="169">
        <f t="shared" si="107"/>
        <v>0</v>
      </c>
      <c r="O617" s="169">
        <f t="shared" si="108"/>
        <v>0</v>
      </c>
      <c r="P617" s="312">
        <f t="shared" si="109"/>
        <v>0</v>
      </c>
      <c r="Q617" s="335"/>
    </row>
    <row r="618" spans="1:17" ht="23.25" customHeight="1" x14ac:dyDescent="0.5">
      <c r="A618" s="18">
        <f t="shared" si="110"/>
        <v>581</v>
      </c>
      <c r="B618" s="26" t="s">
        <v>198</v>
      </c>
      <c r="C618" s="129" t="s">
        <v>198</v>
      </c>
      <c r="D618" s="72" t="s">
        <v>443</v>
      </c>
      <c r="E618" s="73" t="s">
        <v>208</v>
      </c>
      <c r="F618" s="73"/>
      <c r="G618" s="73" t="s">
        <v>104</v>
      </c>
      <c r="H618" s="73" t="s">
        <v>55</v>
      </c>
      <c r="I618" s="191"/>
      <c r="J618" s="19">
        <f t="shared" si="106"/>
        <v>0</v>
      </c>
      <c r="K618" s="167" t="s">
        <v>22</v>
      </c>
      <c r="L618" s="168">
        <v>0</v>
      </c>
      <c r="M618" s="168">
        <v>0</v>
      </c>
      <c r="N618" s="169">
        <f t="shared" si="107"/>
        <v>0</v>
      </c>
      <c r="O618" s="169">
        <f t="shared" si="108"/>
        <v>0</v>
      </c>
      <c r="P618" s="312">
        <f t="shared" si="109"/>
        <v>0</v>
      </c>
      <c r="Q618" s="335"/>
    </row>
    <row r="619" spans="1:17" ht="23.25" customHeight="1" x14ac:dyDescent="0.5">
      <c r="A619" s="18">
        <f t="shared" si="110"/>
        <v>582</v>
      </c>
      <c r="B619" s="26" t="s">
        <v>198</v>
      </c>
      <c r="C619" s="129" t="s">
        <v>198</v>
      </c>
      <c r="D619" s="72" t="s">
        <v>222</v>
      </c>
      <c r="E619" s="73"/>
      <c r="F619" s="73"/>
      <c r="G619" s="73" t="s">
        <v>223</v>
      </c>
      <c r="H619" s="73"/>
      <c r="I619" s="191"/>
      <c r="J619" s="19">
        <f t="shared" si="106"/>
        <v>0</v>
      </c>
      <c r="K619" s="167" t="s">
        <v>224</v>
      </c>
      <c r="L619" s="168">
        <v>0</v>
      </c>
      <c r="M619" s="168">
        <v>0</v>
      </c>
      <c r="N619" s="169">
        <f t="shared" si="107"/>
        <v>0</v>
      </c>
      <c r="O619" s="169">
        <f t="shared" si="108"/>
        <v>0</v>
      </c>
      <c r="P619" s="312">
        <f t="shared" si="109"/>
        <v>0</v>
      </c>
      <c r="Q619" s="335"/>
    </row>
    <row r="620" spans="1:17" ht="23.25" customHeight="1" x14ac:dyDescent="0.5">
      <c r="A620" s="18">
        <f t="shared" si="110"/>
        <v>583</v>
      </c>
      <c r="B620" s="26" t="s">
        <v>198</v>
      </c>
      <c r="C620" s="129" t="s">
        <v>198</v>
      </c>
      <c r="D620" s="72" t="s">
        <v>225</v>
      </c>
      <c r="E620" s="73" t="s">
        <v>41</v>
      </c>
      <c r="F620" s="73"/>
      <c r="G620" s="73"/>
      <c r="H620" s="73" t="s">
        <v>388</v>
      </c>
      <c r="I620" s="191"/>
      <c r="J620" s="19">
        <f t="shared" si="106"/>
        <v>0</v>
      </c>
      <c r="K620" s="167" t="s">
        <v>51</v>
      </c>
      <c r="L620" s="168">
        <v>0</v>
      </c>
      <c r="M620" s="168">
        <v>0</v>
      </c>
      <c r="N620" s="169">
        <f t="shared" si="107"/>
        <v>0</v>
      </c>
      <c r="O620" s="169">
        <f t="shared" si="108"/>
        <v>0</v>
      </c>
      <c r="P620" s="312">
        <f t="shared" si="109"/>
        <v>0</v>
      </c>
      <c r="Q620" s="335"/>
    </row>
    <row r="621" spans="1:17" ht="23.25" customHeight="1" x14ac:dyDescent="0.5">
      <c r="A621" s="18">
        <f t="shared" si="110"/>
        <v>584</v>
      </c>
      <c r="B621" s="26" t="s">
        <v>198</v>
      </c>
      <c r="C621" s="129" t="s">
        <v>198</v>
      </c>
      <c r="D621" s="84" t="s">
        <v>226</v>
      </c>
      <c r="E621" s="85" t="s">
        <v>227</v>
      </c>
      <c r="F621" s="85"/>
      <c r="G621" s="85"/>
      <c r="H621" s="73" t="s">
        <v>447</v>
      </c>
      <c r="I621" s="191"/>
      <c r="J621" s="19">
        <f t="shared" si="106"/>
        <v>0</v>
      </c>
      <c r="K621" s="167" t="s">
        <v>51</v>
      </c>
      <c r="L621" s="168">
        <v>0</v>
      </c>
      <c r="M621" s="168">
        <v>0</v>
      </c>
      <c r="N621" s="169">
        <f t="shared" si="107"/>
        <v>0</v>
      </c>
      <c r="O621" s="169">
        <f t="shared" si="108"/>
        <v>0</v>
      </c>
      <c r="P621" s="312">
        <f t="shared" si="109"/>
        <v>0</v>
      </c>
      <c r="Q621" s="335"/>
    </row>
    <row r="622" spans="1:17" ht="23.25" customHeight="1" x14ac:dyDescent="0.5">
      <c r="A622" s="18">
        <f t="shared" si="110"/>
        <v>585</v>
      </c>
      <c r="B622" s="26" t="s">
        <v>198</v>
      </c>
      <c r="C622" s="129" t="s">
        <v>198</v>
      </c>
      <c r="D622" s="84" t="s">
        <v>226</v>
      </c>
      <c r="E622" s="85" t="s">
        <v>227</v>
      </c>
      <c r="F622" s="85"/>
      <c r="G622" s="85"/>
      <c r="H622" s="73" t="s">
        <v>389</v>
      </c>
      <c r="I622" s="191"/>
      <c r="J622" s="19">
        <f t="shared" si="106"/>
        <v>0</v>
      </c>
      <c r="K622" s="167" t="s">
        <v>51</v>
      </c>
      <c r="L622" s="168">
        <v>0</v>
      </c>
      <c r="M622" s="168">
        <v>0</v>
      </c>
      <c r="N622" s="169">
        <f t="shared" si="107"/>
        <v>0</v>
      </c>
      <c r="O622" s="169">
        <f t="shared" si="108"/>
        <v>0</v>
      </c>
      <c r="P622" s="312">
        <f t="shared" si="109"/>
        <v>0</v>
      </c>
      <c r="Q622" s="335"/>
    </row>
    <row r="623" spans="1:17" ht="23.25" customHeight="1" x14ac:dyDescent="0.5">
      <c r="A623" s="18">
        <f t="shared" si="110"/>
        <v>586</v>
      </c>
      <c r="B623" s="26" t="s">
        <v>198</v>
      </c>
      <c r="C623" s="129" t="s">
        <v>198</v>
      </c>
      <c r="D623" s="84" t="s">
        <v>226</v>
      </c>
      <c r="E623" s="85" t="s">
        <v>227</v>
      </c>
      <c r="F623" s="85"/>
      <c r="G623" s="85"/>
      <c r="H623" s="73" t="s">
        <v>105</v>
      </c>
      <c r="I623" s="191"/>
      <c r="J623" s="19">
        <f t="shared" si="106"/>
        <v>0</v>
      </c>
      <c r="K623" s="167" t="s">
        <v>51</v>
      </c>
      <c r="L623" s="168">
        <v>0</v>
      </c>
      <c r="M623" s="168">
        <v>0</v>
      </c>
      <c r="N623" s="169">
        <f t="shared" si="107"/>
        <v>0</v>
      </c>
      <c r="O623" s="169">
        <f t="shared" si="108"/>
        <v>0</v>
      </c>
      <c r="P623" s="312">
        <f t="shared" si="109"/>
        <v>0</v>
      </c>
      <c r="Q623" s="335"/>
    </row>
    <row r="624" spans="1:17" ht="23.25" customHeight="1" x14ac:dyDescent="0.5">
      <c r="A624" s="18">
        <f t="shared" si="110"/>
        <v>587</v>
      </c>
      <c r="B624" s="26" t="s">
        <v>198</v>
      </c>
      <c r="C624" s="129" t="s">
        <v>198</v>
      </c>
      <c r="D624" s="84" t="s">
        <v>226</v>
      </c>
      <c r="E624" s="85" t="s">
        <v>227</v>
      </c>
      <c r="F624" s="85"/>
      <c r="G624" s="85"/>
      <c r="H624" s="73" t="s">
        <v>106</v>
      </c>
      <c r="I624" s="191"/>
      <c r="J624" s="19">
        <f t="shared" si="106"/>
        <v>0</v>
      </c>
      <c r="K624" s="167" t="s">
        <v>51</v>
      </c>
      <c r="L624" s="168">
        <v>0</v>
      </c>
      <c r="M624" s="168">
        <v>0</v>
      </c>
      <c r="N624" s="169">
        <f t="shared" si="107"/>
        <v>0</v>
      </c>
      <c r="O624" s="169">
        <f t="shared" si="108"/>
        <v>0</v>
      </c>
      <c r="P624" s="312">
        <f t="shared" si="109"/>
        <v>0</v>
      </c>
      <c r="Q624" s="335"/>
    </row>
    <row r="625" spans="1:17" ht="23.25" customHeight="1" x14ac:dyDescent="0.5">
      <c r="A625" s="18">
        <f t="shared" si="110"/>
        <v>588</v>
      </c>
      <c r="B625" s="26" t="s">
        <v>198</v>
      </c>
      <c r="C625" s="129" t="s">
        <v>198</v>
      </c>
      <c r="D625" s="84" t="s">
        <v>226</v>
      </c>
      <c r="E625" s="85" t="s">
        <v>227</v>
      </c>
      <c r="F625" s="85"/>
      <c r="G625" s="85"/>
      <c r="H625" s="73" t="s">
        <v>55</v>
      </c>
      <c r="I625" s="191"/>
      <c r="J625" s="19">
        <f t="shared" si="106"/>
        <v>0</v>
      </c>
      <c r="K625" s="167" t="s">
        <v>51</v>
      </c>
      <c r="L625" s="168">
        <v>0</v>
      </c>
      <c r="M625" s="168">
        <v>0</v>
      </c>
      <c r="N625" s="169">
        <f t="shared" si="107"/>
        <v>0</v>
      </c>
      <c r="O625" s="169">
        <f t="shared" si="108"/>
        <v>0</v>
      </c>
      <c r="P625" s="312">
        <f t="shared" si="109"/>
        <v>0</v>
      </c>
      <c r="Q625" s="335"/>
    </row>
    <row r="626" spans="1:17" ht="23.25" customHeight="1" x14ac:dyDescent="0.5">
      <c r="A626" s="18">
        <f t="shared" si="110"/>
        <v>589</v>
      </c>
      <c r="B626" s="26" t="s">
        <v>198</v>
      </c>
      <c r="C626" s="129" t="s">
        <v>198</v>
      </c>
      <c r="D626" s="84" t="s">
        <v>228</v>
      </c>
      <c r="E626" s="85"/>
      <c r="F626" s="85"/>
      <c r="G626" s="85"/>
      <c r="H626" s="85"/>
      <c r="I626" s="191"/>
      <c r="J626" s="19">
        <f t="shared" si="106"/>
        <v>0</v>
      </c>
      <c r="K626" s="167" t="s">
        <v>22</v>
      </c>
      <c r="L626" s="168">
        <v>0</v>
      </c>
      <c r="M626" s="168">
        <v>0</v>
      </c>
      <c r="N626" s="169">
        <f t="shared" si="107"/>
        <v>0</v>
      </c>
      <c r="O626" s="169">
        <f t="shared" si="108"/>
        <v>0</v>
      </c>
      <c r="P626" s="312">
        <f t="shared" si="109"/>
        <v>0</v>
      </c>
      <c r="Q626" s="335"/>
    </row>
    <row r="627" spans="1:17" ht="23.25" customHeight="1" x14ac:dyDescent="0.5">
      <c r="A627" s="18">
        <f t="shared" si="110"/>
        <v>590</v>
      </c>
      <c r="B627" s="26" t="s">
        <v>198</v>
      </c>
      <c r="C627" s="129" t="s">
        <v>198</v>
      </c>
      <c r="D627" s="84" t="s">
        <v>229</v>
      </c>
      <c r="E627" s="85" t="s">
        <v>41</v>
      </c>
      <c r="F627" s="85"/>
      <c r="G627" s="85"/>
      <c r="H627" s="85"/>
      <c r="I627" s="191"/>
      <c r="J627" s="19">
        <f t="shared" si="106"/>
        <v>0</v>
      </c>
      <c r="K627" s="167" t="s">
        <v>51</v>
      </c>
      <c r="L627" s="168">
        <v>0</v>
      </c>
      <c r="M627" s="168">
        <v>0</v>
      </c>
      <c r="N627" s="169">
        <f t="shared" si="107"/>
        <v>0</v>
      </c>
      <c r="O627" s="169">
        <f t="shared" si="108"/>
        <v>0</v>
      </c>
      <c r="P627" s="312">
        <f t="shared" si="109"/>
        <v>0</v>
      </c>
      <c r="Q627" s="335"/>
    </row>
    <row r="628" spans="1:17" ht="23.25" customHeight="1" x14ac:dyDescent="0.5">
      <c r="A628" s="18">
        <f t="shared" si="110"/>
        <v>591</v>
      </c>
      <c r="B628" s="26" t="s">
        <v>198</v>
      </c>
      <c r="C628" s="129" t="s">
        <v>198</v>
      </c>
      <c r="D628" s="84" t="s">
        <v>475</v>
      </c>
      <c r="E628" s="85" t="s">
        <v>476</v>
      </c>
      <c r="F628" s="85"/>
      <c r="G628" s="85"/>
      <c r="H628" s="85"/>
      <c r="I628" s="191"/>
      <c r="J628" s="19">
        <f t="shared" si="106"/>
        <v>0</v>
      </c>
      <c r="K628" s="167" t="s">
        <v>22</v>
      </c>
      <c r="L628" s="168">
        <v>0</v>
      </c>
      <c r="M628" s="168">
        <v>0</v>
      </c>
      <c r="N628" s="169">
        <f t="shared" si="107"/>
        <v>0</v>
      </c>
      <c r="O628" s="169">
        <f t="shared" si="108"/>
        <v>0</v>
      </c>
      <c r="P628" s="312">
        <f t="shared" si="109"/>
        <v>0</v>
      </c>
      <c r="Q628" s="335"/>
    </row>
    <row r="629" spans="1:17" ht="23.25" customHeight="1" x14ac:dyDescent="0.5">
      <c r="A629" s="18">
        <f t="shared" si="110"/>
        <v>592</v>
      </c>
      <c r="B629" s="26" t="s">
        <v>198</v>
      </c>
      <c r="C629" s="129" t="s">
        <v>198</v>
      </c>
      <c r="D629" s="72" t="s">
        <v>154</v>
      </c>
      <c r="E629" s="73"/>
      <c r="F629" s="73"/>
      <c r="G629" s="73"/>
      <c r="H629" s="73"/>
      <c r="I629" s="191"/>
      <c r="J629" s="19">
        <f t="shared" si="106"/>
        <v>0</v>
      </c>
      <c r="K629" s="167" t="s">
        <v>22</v>
      </c>
      <c r="L629" s="168">
        <v>0</v>
      </c>
      <c r="M629" s="168">
        <v>0</v>
      </c>
      <c r="N629" s="169">
        <f t="shared" si="107"/>
        <v>0</v>
      </c>
      <c r="O629" s="169">
        <f t="shared" si="108"/>
        <v>0</v>
      </c>
      <c r="P629" s="312">
        <f t="shared" si="109"/>
        <v>0</v>
      </c>
      <c r="Q629" s="335"/>
    </row>
    <row r="630" spans="1:17" ht="23.25" customHeight="1" x14ac:dyDescent="0.5">
      <c r="A630" s="18">
        <f t="shared" si="110"/>
        <v>593</v>
      </c>
      <c r="B630" s="26" t="s">
        <v>198</v>
      </c>
      <c r="C630" s="129" t="s">
        <v>198</v>
      </c>
      <c r="D630" s="84" t="s">
        <v>230</v>
      </c>
      <c r="E630" s="85"/>
      <c r="F630" s="85"/>
      <c r="G630" s="85"/>
      <c r="H630" s="85"/>
      <c r="I630" s="191"/>
      <c r="J630" s="19">
        <f t="shared" si="106"/>
        <v>0</v>
      </c>
      <c r="K630" s="167" t="s">
        <v>22</v>
      </c>
      <c r="L630" s="168">
        <v>0</v>
      </c>
      <c r="M630" s="168">
        <v>0</v>
      </c>
      <c r="N630" s="169">
        <f t="shared" si="107"/>
        <v>0</v>
      </c>
      <c r="O630" s="169">
        <f t="shared" si="108"/>
        <v>0</v>
      </c>
      <c r="P630" s="312">
        <f t="shared" si="109"/>
        <v>0</v>
      </c>
      <c r="Q630" s="335"/>
    </row>
    <row r="631" spans="1:17" ht="23.25" customHeight="1" x14ac:dyDescent="0.5">
      <c r="A631" s="18">
        <f t="shared" si="110"/>
        <v>594</v>
      </c>
      <c r="B631" s="26" t="s">
        <v>198</v>
      </c>
      <c r="C631" s="129" t="s">
        <v>198</v>
      </c>
      <c r="D631" s="72" t="s">
        <v>538</v>
      </c>
      <c r="E631" s="73"/>
      <c r="F631" s="73" t="s">
        <v>539</v>
      </c>
      <c r="G631" s="73"/>
      <c r="H631" s="73" t="s">
        <v>155</v>
      </c>
      <c r="I631" s="191"/>
      <c r="J631" s="19">
        <f t="shared" si="106"/>
        <v>0</v>
      </c>
      <c r="K631" s="167" t="s">
        <v>51</v>
      </c>
      <c r="L631" s="168">
        <v>0</v>
      </c>
      <c r="M631" s="168">
        <v>0</v>
      </c>
      <c r="N631" s="169">
        <f t="shared" si="107"/>
        <v>0</v>
      </c>
      <c r="O631" s="169">
        <f t="shared" si="108"/>
        <v>0</v>
      </c>
      <c r="P631" s="312">
        <f t="shared" si="109"/>
        <v>0</v>
      </c>
      <c r="Q631" s="335"/>
    </row>
    <row r="632" spans="1:17" ht="23.25" customHeight="1" x14ac:dyDescent="0.5">
      <c r="A632" s="18">
        <f t="shared" si="110"/>
        <v>595</v>
      </c>
      <c r="B632" s="26" t="s">
        <v>198</v>
      </c>
      <c r="C632" s="129" t="s">
        <v>198</v>
      </c>
      <c r="D632" s="72" t="s">
        <v>538</v>
      </c>
      <c r="E632" s="73"/>
      <c r="F632" s="73" t="s">
        <v>539</v>
      </c>
      <c r="G632" s="73"/>
      <c r="H632" s="73" t="s">
        <v>156</v>
      </c>
      <c r="I632" s="191"/>
      <c r="J632" s="19">
        <f t="shared" si="106"/>
        <v>0</v>
      </c>
      <c r="K632" s="167" t="s">
        <v>51</v>
      </c>
      <c r="L632" s="168">
        <v>0</v>
      </c>
      <c r="M632" s="168">
        <v>0</v>
      </c>
      <c r="N632" s="169">
        <f t="shared" si="107"/>
        <v>0</v>
      </c>
      <c r="O632" s="169">
        <f t="shared" si="108"/>
        <v>0</v>
      </c>
      <c r="P632" s="312">
        <f t="shared" si="109"/>
        <v>0</v>
      </c>
      <c r="Q632" s="335"/>
    </row>
    <row r="633" spans="1:17" ht="23.25" customHeight="1" x14ac:dyDescent="0.5">
      <c r="A633" s="18">
        <f t="shared" si="110"/>
        <v>596</v>
      </c>
      <c r="B633" s="26" t="s">
        <v>198</v>
      </c>
      <c r="C633" s="129" t="s">
        <v>198</v>
      </c>
      <c r="D633" s="72" t="s">
        <v>454</v>
      </c>
      <c r="E633" s="73" t="s">
        <v>170</v>
      </c>
      <c r="F633" s="73"/>
      <c r="G633" s="73" t="s">
        <v>540</v>
      </c>
      <c r="H633" s="73"/>
      <c r="I633" s="191"/>
      <c r="J633" s="19">
        <f t="shared" si="106"/>
        <v>0</v>
      </c>
      <c r="K633" s="167" t="s">
        <v>22</v>
      </c>
      <c r="L633" s="168">
        <v>0</v>
      </c>
      <c r="M633" s="168">
        <v>0</v>
      </c>
      <c r="N633" s="169">
        <f t="shared" si="107"/>
        <v>0</v>
      </c>
      <c r="O633" s="169">
        <f t="shared" si="108"/>
        <v>0</v>
      </c>
      <c r="P633" s="312">
        <f t="shared" si="109"/>
        <v>0</v>
      </c>
      <c r="Q633" s="335"/>
    </row>
    <row r="634" spans="1:17" ht="23.25" customHeight="1" x14ac:dyDescent="0.5">
      <c r="A634" s="18">
        <f t="shared" si="110"/>
        <v>597</v>
      </c>
      <c r="B634" s="26" t="s">
        <v>198</v>
      </c>
      <c r="C634" s="129" t="s">
        <v>198</v>
      </c>
      <c r="D634" s="72" t="s">
        <v>454</v>
      </c>
      <c r="E634" s="73" t="s">
        <v>31</v>
      </c>
      <c r="F634" s="73"/>
      <c r="G634" s="73" t="s">
        <v>540</v>
      </c>
      <c r="H634" s="73"/>
      <c r="I634" s="191"/>
      <c r="J634" s="19">
        <f t="shared" si="106"/>
        <v>0</v>
      </c>
      <c r="K634" s="167" t="s">
        <v>22</v>
      </c>
      <c r="L634" s="168">
        <v>0</v>
      </c>
      <c r="M634" s="168">
        <v>0</v>
      </c>
      <c r="N634" s="169">
        <f t="shared" si="107"/>
        <v>0</v>
      </c>
      <c r="O634" s="169">
        <f t="shared" si="108"/>
        <v>0</v>
      </c>
      <c r="P634" s="312">
        <f t="shared" si="109"/>
        <v>0</v>
      </c>
      <c r="Q634" s="335"/>
    </row>
    <row r="635" spans="1:17" ht="23.25" customHeight="1" x14ac:dyDescent="0.5">
      <c r="A635" s="18">
        <f t="shared" si="110"/>
        <v>598</v>
      </c>
      <c r="B635" s="26" t="s">
        <v>198</v>
      </c>
      <c r="C635" s="129" t="s">
        <v>198</v>
      </c>
      <c r="D635" s="72" t="s">
        <v>545</v>
      </c>
      <c r="E635" s="73" t="s">
        <v>546</v>
      </c>
      <c r="F635" s="73"/>
      <c r="G635" s="73"/>
      <c r="H635" s="73"/>
      <c r="I635" s="191"/>
      <c r="J635" s="19">
        <f t="shared" si="106"/>
        <v>0</v>
      </c>
      <c r="K635" s="167" t="s">
        <v>22</v>
      </c>
      <c r="L635" s="168">
        <v>0</v>
      </c>
      <c r="M635" s="168">
        <v>0</v>
      </c>
      <c r="N635" s="169">
        <f t="shared" si="107"/>
        <v>0</v>
      </c>
      <c r="O635" s="169">
        <f t="shared" si="108"/>
        <v>0</v>
      </c>
      <c r="P635" s="312">
        <f t="shared" si="109"/>
        <v>0</v>
      </c>
      <c r="Q635" s="335"/>
    </row>
    <row r="636" spans="1:17" ht="23.25" customHeight="1" x14ac:dyDescent="0.5">
      <c r="A636" s="18">
        <f t="shared" si="110"/>
        <v>599</v>
      </c>
      <c r="B636" s="26" t="s">
        <v>198</v>
      </c>
      <c r="C636" s="129" t="s">
        <v>198</v>
      </c>
      <c r="D636" s="72" t="s">
        <v>547</v>
      </c>
      <c r="E636" s="73"/>
      <c r="F636" s="73"/>
      <c r="G636" s="73"/>
      <c r="H636" s="73"/>
      <c r="I636" s="191"/>
      <c r="J636" s="19">
        <f t="shared" si="106"/>
        <v>0</v>
      </c>
      <c r="K636" s="167" t="s">
        <v>22</v>
      </c>
      <c r="L636" s="168">
        <v>0</v>
      </c>
      <c r="M636" s="168">
        <v>0</v>
      </c>
      <c r="N636" s="169">
        <f t="shared" si="107"/>
        <v>0</v>
      </c>
      <c r="O636" s="169">
        <f t="shared" si="108"/>
        <v>0</v>
      </c>
      <c r="P636" s="312">
        <f t="shared" si="109"/>
        <v>0</v>
      </c>
      <c r="Q636" s="335"/>
    </row>
    <row r="637" spans="1:17" ht="23.25" customHeight="1" x14ac:dyDescent="0.5">
      <c r="A637" s="18">
        <f t="shared" si="110"/>
        <v>600</v>
      </c>
      <c r="B637" s="26" t="s">
        <v>198</v>
      </c>
      <c r="C637" s="129" t="s">
        <v>198</v>
      </c>
      <c r="D637" s="72" t="s">
        <v>231</v>
      </c>
      <c r="E637" s="73"/>
      <c r="F637" s="73"/>
      <c r="G637" s="73"/>
      <c r="H637" s="73"/>
      <c r="I637" s="191"/>
      <c r="J637" s="19">
        <f t="shared" si="106"/>
        <v>0</v>
      </c>
      <c r="K637" s="167" t="s">
        <v>57</v>
      </c>
      <c r="L637" s="168">
        <v>0</v>
      </c>
      <c r="M637" s="168">
        <v>0</v>
      </c>
      <c r="N637" s="169">
        <f t="shared" si="107"/>
        <v>0</v>
      </c>
      <c r="O637" s="169">
        <f t="shared" si="108"/>
        <v>0</v>
      </c>
      <c r="P637" s="312">
        <f t="shared" si="109"/>
        <v>0</v>
      </c>
      <c r="Q637" s="335"/>
    </row>
    <row r="638" spans="1:17" ht="30" customHeight="1" x14ac:dyDescent="0.5">
      <c r="A638" s="18">
        <f t="shared" si="110"/>
        <v>601</v>
      </c>
      <c r="B638" s="26" t="s">
        <v>198</v>
      </c>
      <c r="C638" s="129" t="s">
        <v>198</v>
      </c>
      <c r="D638" s="72" t="s">
        <v>232</v>
      </c>
      <c r="E638" s="73"/>
      <c r="F638" s="73"/>
      <c r="G638" s="73"/>
      <c r="H638" s="73"/>
      <c r="I638" s="191"/>
      <c r="J638" s="19">
        <f t="shared" si="106"/>
        <v>0</v>
      </c>
      <c r="K638" s="167" t="s">
        <v>22</v>
      </c>
      <c r="L638" s="168">
        <v>0</v>
      </c>
      <c r="M638" s="168">
        <v>0</v>
      </c>
      <c r="N638" s="169">
        <f t="shared" si="107"/>
        <v>0</v>
      </c>
      <c r="O638" s="169">
        <f t="shared" si="108"/>
        <v>0</v>
      </c>
      <c r="P638" s="312">
        <f t="shared" si="109"/>
        <v>0</v>
      </c>
      <c r="Q638" s="335"/>
    </row>
    <row r="639" spans="1:17" ht="28" customHeight="1" x14ac:dyDescent="0.5">
      <c r="A639" s="38">
        <f>A638+1</f>
        <v>602</v>
      </c>
      <c r="B639" s="39" t="s">
        <v>198</v>
      </c>
      <c r="C639" s="128" t="s">
        <v>198</v>
      </c>
      <c r="D639" s="274" t="s">
        <v>592</v>
      </c>
      <c r="E639" s="275"/>
      <c r="F639" s="275"/>
      <c r="G639" s="275"/>
      <c r="H639" s="276"/>
      <c r="I639" s="277"/>
      <c r="J639" s="24">
        <f t="shared" si="106"/>
        <v>0</v>
      </c>
      <c r="K639" s="278" t="s">
        <v>22</v>
      </c>
      <c r="L639" s="195">
        <v>0</v>
      </c>
      <c r="M639" s="195">
        <v>0</v>
      </c>
      <c r="N639" s="196">
        <f t="shared" si="107"/>
        <v>0</v>
      </c>
      <c r="O639" s="196">
        <f t="shared" si="108"/>
        <v>0</v>
      </c>
      <c r="P639" s="313">
        <f t="shared" si="109"/>
        <v>0</v>
      </c>
      <c r="Q639" s="344"/>
    </row>
    <row r="640" spans="1:17" ht="28" customHeight="1" x14ac:dyDescent="0.5">
      <c r="A640" s="18">
        <f t="shared" ref="A640" si="111">A639+1</f>
        <v>603</v>
      </c>
      <c r="B640" s="26" t="s">
        <v>198</v>
      </c>
      <c r="C640" s="129" t="s">
        <v>198</v>
      </c>
      <c r="D640" s="43" t="s">
        <v>358</v>
      </c>
      <c r="E640" s="5"/>
      <c r="F640" s="5"/>
      <c r="G640" s="5"/>
      <c r="H640" s="5"/>
      <c r="I640" s="20"/>
      <c r="J640" s="19">
        <f>I640</f>
        <v>0</v>
      </c>
      <c r="K640" s="171"/>
      <c r="L640" s="168">
        <v>0</v>
      </c>
      <c r="M640" s="168">
        <v>0</v>
      </c>
      <c r="N640" s="169">
        <f>L640*J640</f>
        <v>0</v>
      </c>
      <c r="O640" s="169">
        <f>M640*J640</f>
        <v>0</v>
      </c>
      <c r="P640" s="312">
        <f>(L640*J640)+(M640*J640)</f>
        <v>0</v>
      </c>
      <c r="Q640" s="326"/>
    </row>
    <row r="641" spans="1:17" ht="28" customHeight="1" thickBot="1" x14ac:dyDescent="0.55000000000000004">
      <c r="A641" s="38">
        <f>A640+1</f>
        <v>604</v>
      </c>
      <c r="B641" s="39" t="s">
        <v>198</v>
      </c>
      <c r="C641" s="128" t="s">
        <v>198</v>
      </c>
      <c r="D641" s="45" t="s">
        <v>358</v>
      </c>
      <c r="E641" s="40"/>
      <c r="F641" s="40"/>
      <c r="G641" s="40"/>
      <c r="H641" s="40"/>
      <c r="I641" s="41"/>
      <c r="J641" s="24">
        <f>I641</f>
        <v>0</v>
      </c>
      <c r="K641" s="194"/>
      <c r="L641" s="195">
        <v>0</v>
      </c>
      <c r="M641" s="195">
        <v>0</v>
      </c>
      <c r="N641" s="196">
        <f>L641*J641</f>
        <v>0</v>
      </c>
      <c r="O641" s="196">
        <f>M641*J641</f>
        <v>0</v>
      </c>
      <c r="P641" s="313">
        <f>(L641*J641)+(M641*J641)</f>
        <v>0</v>
      </c>
      <c r="Q641" s="328"/>
    </row>
    <row r="642" spans="1:17" ht="32.25" customHeight="1" thickBot="1" x14ac:dyDescent="0.55000000000000004">
      <c r="A642" s="92"/>
      <c r="B642" s="93"/>
      <c r="C642" s="94"/>
      <c r="D642" s="279"/>
      <c r="E642" s="280"/>
      <c r="F642" s="280"/>
      <c r="G642" s="280"/>
      <c r="H642" s="95"/>
      <c r="I642" s="281"/>
      <c r="J642" s="282"/>
      <c r="K642" s="91"/>
      <c r="L642" s="42"/>
      <c r="M642" s="42" t="s">
        <v>234</v>
      </c>
      <c r="N642" s="42"/>
      <c r="O642" s="42"/>
      <c r="P642" s="321">
        <f>SUM(P10:P639)</f>
        <v>1011.13</v>
      </c>
      <c r="Q642" s="351"/>
    </row>
    <row r="643" spans="1:17" ht="28" customHeight="1" thickBot="1" x14ac:dyDescent="0.55000000000000004">
      <c r="A643" s="96"/>
      <c r="B643" s="97"/>
      <c r="C643" s="98"/>
      <c r="D643" s="283" t="s">
        <v>235</v>
      </c>
      <c r="E643" s="284"/>
      <c r="F643" s="284"/>
      <c r="G643" s="284"/>
      <c r="H643" s="284"/>
      <c r="I643" s="284"/>
      <c r="J643" s="284"/>
      <c r="K643" s="285"/>
      <c r="L643" s="284"/>
      <c r="M643" s="284"/>
      <c r="N643" s="284"/>
      <c r="O643" s="284"/>
      <c r="P643" s="322"/>
      <c r="Q643" s="352"/>
    </row>
    <row r="644" spans="1:17" ht="18" customHeight="1" x14ac:dyDescent="0.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353"/>
    </row>
    <row r="645" spans="1:17" ht="26.5" hidden="1" customHeight="1" x14ac:dyDescent="0.5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354"/>
    </row>
    <row r="646" spans="1:17" ht="26.5" hidden="1" customHeight="1" x14ac:dyDescent="0.5">
      <c r="A646" s="99"/>
      <c r="B646" s="99"/>
      <c r="C646" s="364" t="s">
        <v>236</v>
      </c>
      <c r="D646" s="367" t="s">
        <v>237</v>
      </c>
      <c r="E646" s="14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354"/>
    </row>
    <row r="647" spans="1:17" ht="26.5" hidden="1" customHeight="1" x14ac:dyDescent="0.5">
      <c r="A647" s="99"/>
      <c r="B647" s="99"/>
      <c r="C647" s="365"/>
      <c r="D647" s="368"/>
      <c r="E647" s="14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354"/>
    </row>
    <row r="648" spans="1:17" ht="26.5" hidden="1" customHeight="1" x14ac:dyDescent="0.5">
      <c r="A648" s="99"/>
      <c r="B648" s="99"/>
      <c r="C648" s="366"/>
      <c r="D648" s="369"/>
      <c r="E648" s="14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354"/>
    </row>
    <row r="649" spans="1:17" ht="23.5" hidden="1" customHeight="1" x14ac:dyDescent="0.5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354"/>
    </row>
    <row r="650" spans="1:17" ht="23.5" hidden="1" customHeight="1" thickBot="1" x14ac:dyDescent="0.55000000000000004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354"/>
    </row>
    <row r="651" spans="1:17" ht="63" hidden="1" x14ac:dyDescent="0.5">
      <c r="A651" s="33" t="s">
        <v>13</v>
      </c>
      <c r="B651" s="64"/>
      <c r="C651" s="119" t="s">
        <v>14</v>
      </c>
      <c r="D651" s="120" t="s">
        <v>15</v>
      </c>
      <c r="E651" s="65" t="s">
        <v>16</v>
      </c>
      <c r="F651" s="65" t="s">
        <v>17</v>
      </c>
      <c r="G651" s="65" t="s">
        <v>18</v>
      </c>
      <c r="H651" s="65" t="s">
        <v>238</v>
      </c>
      <c r="I651" s="66" t="s">
        <v>20</v>
      </c>
      <c r="J651" s="67" t="s">
        <v>21</v>
      </c>
      <c r="K651" s="66" t="s">
        <v>22</v>
      </c>
      <c r="L651" s="66" t="s">
        <v>23</v>
      </c>
      <c r="M651" s="66" t="s">
        <v>24</v>
      </c>
      <c r="N651" s="66"/>
      <c r="O651" s="66"/>
      <c r="P651" s="323" t="s">
        <v>27</v>
      </c>
      <c r="Q651" s="355" t="s">
        <v>544</v>
      </c>
    </row>
    <row r="652" spans="1:17" ht="23.25" hidden="1" customHeight="1" thickBot="1" x14ac:dyDescent="0.55000000000000004">
      <c r="A652" s="117"/>
      <c r="B652" s="92" t="s">
        <v>239</v>
      </c>
      <c r="C652" s="137" t="s">
        <v>240</v>
      </c>
      <c r="D652" s="273" t="s">
        <v>240</v>
      </c>
      <c r="E652" s="263"/>
      <c r="F652" s="263"/>
      <c r="G652" s="263"/>
      <c r="H652" s="264"/>
      <c r="I652" s="286"/>
      <c r="J652" s="287"/>
      <c r="K652" s="267"/>
      <c r="L652" s="288"/>
      <c r="M652" s="288"/>
      <c r="N652" s="288"/>
      <c r="O652" s="288"/>
      <c r="P652" s="324"/>
      <c r="Q652" s="351"/>
    </row>
    <row r="653" spans="1:17" hidden="1" x14ac:dyDescent="0.5">
      <c r="A653" s="113">
        <v>1</v>
      </c>
      <c r="B653" s="114" t="s">
        <v>239</v>
      </c>
      <c r="C653" s="127" t="s">
        <v>240</v>
      </c>
      <c r="D653" s="77" t="s">
        <v>241</v>
      </c>
      <c r="E653" s="78" t="s">
        <v>242</v>
      </c>
      <c r="F653" s="78"/>
      <c r="G653" s="78" t="s">
        <v>243</v>
      </c>
      <c r="H653" s="78"/>
      <c r="I653" s="189"/>
      <c r="J653" s="32">
        <f t="shared" ref="J653:J729" si="112">I653</f>
        <v>0</v>
      </c>
      <c r="K653" s="272" t="s">
        <v>51</v>
      </c>
      <c r="L653" s="185">
        <v>0</v>
      </c>
      <c r="M653" s="185">
        <v>0</v>
      </c>
      <c r="N653" s="186">
        <f t="shared" ref="N653:N729" si="113">L653*J653</f>
        <v>0</v>
      </c>
      <c r="O653" s="186">
        <f t="shared" ref="O653:O729" si="114">M653*J653</f>
        <v>0</v>
      </c>
      <c r="P653" s="311">
        <f>(L653*J653)+(M653*J653)</f>
        <v>0</v>
      </c>
      <c r="Q653" s="336"/>
    </row>
    <row r="654" spans="1:17" hidden="1" x14ac:dyDescent="0.5">
      <c r="A654" s="115">
        <f>A653+1</f>
        <v>2</v>
      </c>
      <c r="B654" s="116" t="s">
        <v>239</v>
      </c>
      <c r="C654" s="129" t="s">
        <v>240</v>
      </c>
      <c r="D654" s="72" t="s">
        <v>241</v>
      </c>
      <c r="E654" s="73" t="s">
        <v>242</v>
      </c>
      <c r="F654" s="73"/>
      <c r="G654" s="73" t="s">
        <v>244</v>
      </c>
      <c r="H654" s="73"/>
      <c r="I654" s="191"/>
      <c r="J654" s="19">
        <f t="shared" si="112"/>
        <v>0</v>
      </c>
      <c r="K654" s="259" t="s">
        <v>51</v>
      </c>
      <c r="L654" s="168">
        <v>0</v>
      </c>
      <c r="M654" s="168">
        <v>0</v>
      </c>
      <c r="N654" s="169">
        <f t="shared" si="113"/>
        <v>0</v>
      </c>
      <c r="O654" s="169">
        <f t="shared" si="114"/>
        <v>0</v>
      </c>
      <c r="P654" s="312">
        <f t="shared" ref="P654:P729" si="115">(L654*J654)+(M654*J654)</f>
        <v>0</v>
      </c>
      <c r="Q654" s="335"/>
    </row>
    <row r="655" spans="1:17" hidden="1" x14ac:dyDescent="0.5">
      <c r="A655" s="115">
        <f t="shared" ref="A655:A718" si="116">A654+1</f>
        <v>3</v>
      </c>
      <c r="B655" s="116" t="s">
        <v>239</v>
      </c>
      <c r="C655" s="129" t="s">
        <v>240</v>
      </c>
      <c r="D655" s="72" t="s">
        <v>241</v>
      </c>
      <c r="E655" s="73" t="s">
        <v>242</v>
      </c>
      <c r="F655" s="73"/>
      <c r="G655" s="73" t="s">
        <v>245</v>
      </c>
      <c r="H655" s="73"/>
      <c r="I655" s="191"/>
      <c r="J655" s="19">
        <f t="shared" si="112"/>
        <v>0</v>
      </c>
      <c r="K655" s="259" t="s">
        <v>51</v>
      </c>
      <c r="L655" s="168">
        <v>0</v>
      </c>
      <c r="M655" s="168">
        <v>0</v>
      </c>
      <c r="N655" s="169">
        <f t="shared" si="113"/>
        <v>0</v>
      </c>
      <c r="O655" s="169">
        <f t="shared" si="114"/>
        <v>0</v>
      </c>
      <c r="P655" s="312">
        <f t="shared" si="115"/>
        <v>0</v>
      </c>
      <c r="Q655" s="335"/>
    </row>
    <row r="656" spans="1:17" hidden="1" x14ac:dyDescent="0.5">
      <c r="A656" s="115">
        <f t="shared" si="116"/>
        <v>4</v>
      </c>
      <c r="B656" s="116" t="s">
        <v>239</v>
      </c>
      <c r="C656" s="129" t="s">
        <v>240</v>
      </c>
      <c r="D656" s="72" t="s">
        <v>241</v>
      </c>
      <c r="E656" s="73" t="s">
        <v>242</v>
      </c>
      <c r="F656" s="73"/>
      <c r="G656" s="73" t="s">
        <v>246</v>
      </c>
      <c r="H656" s="73"/>
      <c r="I656" s="191"/>
      <c r="J656" s="19">
        <f t="shared" si="112"/>
        <v>0</v>
      </c>
      <c r="K656" s="259" t="s">
        <v>51</v>
      </c>
      <c r="L656" s="168">
        <v>0</v>
      </c>
      <c r="M656" s="168">
        <v>0</v>
      </c>
      <c r="N656" s="169">
        <f t="shared" si="113"/>
        <v>0</v>
      </c>
      <c r="O656" s="169">
        <f t="shared" si="114"/>
        <v>0</v>
      </c>
      <c r="P656" s="312">
        <f t="shared" si="115"/>
        <v>0</v>
      </c>
      <c r="Q656" s="335"/>
    </row>
    <row r="657" spans="1:17" hidden="1" x14ac:dyDescent="0.5">
      <c r="A657" s="115">
        <f t="shared" si="116"/>
        <v>5</v>
      </c>
      <c r="B657" s="116" t="s">
        <v>239</v>
      </c>
      <c r="C657" s="129" t="s">
        <v>240</v>
      </c>
      <c r="D657" s="72" t="s">
        <v>241</v>
      </c>
      <c r="E657" s="73" t="s">
        <v>242</v>
      </c>
      <c r="F657" s="73"/>
      <c r="G657" s="73" t="s">
        <v>247</v>
      </c>
      <c r="H657" s="73"/>
      <c r="I657" s="191"/>
      <c r="J657" s="19">
        <f t="shared" si="112"/>
        <v>0</v>
      </c>
      <c r="K657" s="259" t="s">
        <v>51</v>
      </c>
      <c r="L657" s="168">
        <v>0</v>
      </c>
      <c r="M657" s="168">
        <v>0</v>
      </c>
      <c r="N657" s="169">
        <f t="shared" si="113"/>
        <v>0</v>
      </c>
      <c r="O657" s="169">
        <f t="shared" si="114"/>
        <v>0</v>
      </c>
      <c r="P657" s="312">
        <f t="shared" si="115"/>
        <v>0</v>
      </c>
      <c r="Q657" s="335"/>
    </row>
    <row r="658" spans="1:17" hidden="1" x14ac:dyDescent="0.5">
      <c r="A658" s="115">
        <f t="shared" si="116"/>
        <v>6</v>
      </c>
      <c r="B658" s="116" t="s">
        <v>239</v>
      </c>
      <c r="C658" s="129" t="s">
        <v>240</v>
      </c>
      <c r="D658" s="72" t="s">
        <v>241</v>
      </c>
      <c r="E658" s="73" t="s">
        <v>242</v>
      </c>
      <c r="F658" s="73"/>
      <c r="G658" s="73" t="s">
        <v>248</v>
      </c>
      <c r="H658" s="73"/>
      <c r="I658" s="191"/>
      <c r="J658" s="19">
        <f t="shared" si="112"/>
        <v>0</v>
      </c>
      <c r="K658" s="259" t="s">
        <v>51</v>
      </c>
      <c r="L658" s="168">
        <v>0</v>
      </c>
      <c r="M658" s="168">
        <v>0</v>
      </c>
      <c r="N658" s="169">
        <f t="shared" si="113"/>
        <v>0</v>
      </c>
      <c r="O658" s="169">
        <f t="shared" si="114"/>
        <v>0</v>
      </c>
      <c r="P658" s="312">
        <f t="shared" si="115"/>
        <v>0</v>
      </c>
      <c r="Q658" s="335"/>
    </row>
    <row r="659" spans="1:17" hidden="1" x14ac:dyDescent="0.5">
      <c r="A659" s="115">
        <f t="shared" si="116"/>
        <v>7</v>
      </c>
      <c r="B659" s="116" t="s">
        <v>239</v>
      </c>
      <c r="C659" s="129" t="s">
        <v>240</v>
      </c>
      <c r="D659" s="72" t="s">
        <v>241</v>
      </c>
      <c r="E659" s="73" t="s">
        <v>242</v>
      </c>
      <c r="F659" s="73"/>
      <c r="G659" s="73" t="s">
        <v>249</v>
      </c>
      <c r="H659" s="73"/>
      <c r="I659" s="191"/>
      <c r="J659" s="19">
        <f t="shared" si="112"/>
        <v>0</v>
      </c>
      <c r="K659" s="259" t="s">
        <v>51</v>
      </c>
      <c r="L659" s="168">
        <v>0</v>
      </c>
      <c r="M659" s="168">
        <v>0</v>
      </c>
      <c r="N659" s="169">
        <f t="shared" si="113"/>
        <v>0</v>
      </c>
      <c r="O659" s="169">
        <f t="shared" si="114"/>
        <v>0</v>
      </c>
      <c r="P659" s="312">
        <f t="shared" si="115"/>
        <v>0</v>
      </c>
      <c r="Q659" s="335"/>
    </row>
    <row r="660" spans="1:17" hidden="1" x14ac:dyDescent="0.5">
      <c r="A660" s="115">
        <f t="shared" si="116"/>
        <v>8</v>
      </c>
      <c r="B660" s="116" t="s">
        <v>239</v>
      </c>
      <c r="C660" s="129" t="s">
        <v>240</v>
      </c>
      <c r="D660" s="72" t="s">
        <v>241</v>
      </c>
      <c r="E660" s="73" t="s">
        <v>242</v>
      </c>
      <c r="F660" s="73"/>
      <c r="G660" s="73" t="s">
        <v>250</v>
      </c>
      <c r="H660" s="73"/>
      <c r="I660" s="191"/>
      <c r="J660" s="19">
        <f t="shared" si="112"/>
        <v>0</v>
      </c>
      <c r="K660" s="259" t="s">
        <v>51</v>
      </c>
      <c r="L660" s="168">
        <v>0</v>
      </c>
      <c r="M660" s="168">
        <v>0</v>
      </c>
      <c r="N660" s="169">
        <f t="shared" si="113"/>
        <v>0</v>
      </c>
      <c r="O660" s="169">
        <f t="shared" si="114"/>
        <v>0</v>
      </c>
      <c r="P660" s="312">
        <f t="shared" si="115"/>
        <v>0</v>
      </c>
      <c r="Q660" s="335"/>
    </row>
    <row r="661" spans="1:17" hidden="1" x14ac:dyDescent="0.5">
      <c r="A661" s="115">
        <f t="shared" si="116"/>
        <v>9</v>
      </c>
      <c r="B661" s="116" t="s">
        <v>239</v>
      </c>
      <c r="C661" s="129" t="s">
        <v>240</v>
      </c>
      <c r="D661" s="72" t="s">
        <v>241</v>
      </c>
      <c r="E661" s="73" t="s">
        <v>242</v>
      </c>
      <c r="F661" s="73"/>
      <c r="G661" s="73" t="s">
        <v>251</v>
      </c>
      <c r="H661" s="73"/>
      <c r="I661" s="191"/>
      <c r="J661" s="19">
        <f t="shared" si="112"/>
        <v>0</v>
      </c>
      <c r="K661" s="259" t="s">
        <v>51</v>
      </c>
      <c r="L661" s="168">
        <v>0</v>
      </c>
      <c r="M661" s="168">
        <v>0</v>
      </c>
      <c r="N661" s="169">
        <f t="shared" si="113"/>
        <v>0</v>
      </c>
      <c r="O661" s="169">
        <f t="shared" si="114"/>
        <v>0</v>
      </c>
      <c r="P661" s="312">
        <f t="shared" si="115"/>
        <v>0</v>
      </c>
      <c r="Q661" s="335"/>
    </row>
    <row r="662" spans="1:17" hidden="1" x14ac:dyDescent="0.5">
      <c r="A662" s="115">
        <f t="shared" si="116"/>
        <v>10</v>
      </c>
      <c r="B662" s="116" t="s">
        <v>239</v>
      </c>
      <c r="C662" s="129" t="s">
        <v>240</v>
      </c>
      <c r="D662" s="72" t="s">
        <v>241</v>
      </c>
      <c r="E662" s="73" t="s">
        <v>242</v>
      </c>
      <c r="F662" s="73"/>
      <c r="G662" s="73" t="s">
        <v>412</v>
      </c>
      <c r="H662" s="73"/>
      <c r="I662" s="191"/>
      <c r="J662" s="19">
        <f t="shared" si="112"/>
        <v>0</v>
      </c>
      <c r="K662" s="259" t="s">
        <v>51</v>
      </c>
      <c r="L662" s="168">
        <v>0</v>
      </c>
      <c r="M662" s="168">
        <v>0</v>
      </c>
      <c r="N662" s="169">
        <f t="shared" si="113"/>
        <v>0</v>
      </c>
      <c r="O662" s="169">
        <f t="shared" si="114"/>
        <v>0</v>
      </c>
      <c r="P662" s="312">
        <f t="shared" si="115"/>
        <v>0</v>
      </c>
      <c r="Q662" s="335"/>
    </row>
    <row r="663" spans="1:17" hidden="1" x14ac:dyDescent="0.5">
      <c r="A663" s="115">
        <f t="shared" si="116"/>
        <v>11</v>
      </c>
      <c r="B663" s="116" t="s">
        <v>239</v>
      </c>
      <c r="C663" s="129" t="s">
        <v>240</v>
      </c>
      <c r="D663" s="72" t="s">
        <v>241</v>
      </c>
      <c r="E663" s="73" t="s">
        <v>242</v>
      </c>
      <c r="F663" s="73"/>
      <c r="G663" s="73" t="s">
        <v>413</v>
      </c>
      <c r="H663" s="73"/>
      <c r="I663" s="191"/>
      <c r="J663" s="19">
        <f t="shared" si="112"/>
        <v>0</v>
      </c>
      <c r="K663" s="259" t="s">
        <v>51</v>
      </c>
      <c r="L663" s="168">
        <v>0</v>
      </c>
      <c r="M663" s="168">
        <v>0</v>
      </c>
      <c r="N663" s="169">
        <f t="shared" si="113"/>
        <v>0</v>
      </c>
      <c r="O663" s="169">
        <f t="shared" si="114"/>
        <v>0</v>
      </c>
      <c r="P663" s="312">
        <f t="shared" si="115"/>
        <v>0</v>
      </c>
      <c r="Q663" s="335"/>
    </row>
    <row r="664" spans="1:17" hidden="1" x14ac:dyDescent="0.5">
      <c r="A664" s="115">
        <f t="shared" si="116"/>
        <v>12</v>
      </c>
      <c r="B664" s="116" t="s">
        <v>239</v>
      </c>
      <c r="C664" s="129" t="s">
        <v>240</v>
      </c>
      <c r="D664" s="72" t="s">
        <v>241</v>
      </c>
      <c r="E664" s="73" t="s">
        <v>242</v>
      </c>
      <c r="F664" s="73"/>
      <c r="G664" s="73" t="s">
        <v>414</v>
      </c>
      <c r="H664" s="73"/>
      <c r="I664" s="191"/>
      <c r="J664" s="19">
        <f t="shared" si="112"/>
        <v>0</v>
      </c>
      <c r="K664" s="259" t="s">
        <v>51</v>
      </c>
      <c r="L664" s="168">
        <v>0</v>
      </c>
      <c r="M664" s="168">
        <v>0</v>
      </c>
      <c r="N664" s="169">
        <f t="shared" si="113"/>
        <v>0</v>
      </c>
      <c r="O664" s="169">
        <f t="shared" si="114"/>
        <v>0</v>
      </c>
      <c r="P664" s="312">
        <f t="shared" si="115"/>
        <v>0</v>
      </c>
      <c r="Q664" s="335"/>
    </row>
    <row r="665" spans="1:17" hidden="1" x14ac:dyDescent="0.5">
      <c r="A665" s="115">
        <f t="shared" si="116"/>
        <v>13</v>
      </c>
      <c r="B665" s="116" t="s">
        <v>239</v>
      </c>
      <c r="C665" s="129" t="s">
        <v>240</v>
      </c>
      <c r="D665" s="72" t="s">
        <v>241</v>
      </c>
      <c r="E665" s="73" t="s">
        <v>242</v>
      </c>
      <c r="F665" s="73"/>
      <c r="G665" s="73" t="s">
        <v>415</v>
      </c>
      <c r="H665" s="73"/>
      <c r="I665" s="191"/>
      <c r="J665" s="19">
        <f t="shared" si="112"/>
        <v>0</v>
      </c>
      <c r="K665" s="259" t="s">
        <v>51</v>
      </c>
      <c r="L665" s="168">
        <v>0</v>
      </c>
      <c r="M665" s="168">
        <v>0</v>
      </c>
      <c r="N665" s="169">
        <f t="shared" si="113"/>
        <v>0</v>
      </c>
      <c r="O665" s="169">
        <f t="shared" si="114"/>
        <v>0</v>
      </c>
      <c r="P665" s="312">
        <f t="shared" si="115"/>
        <v>0</v>
      </c>
      <c r="Q665" s="335"/>
    </row>
    <row r="666" spans="1:17" hidden="1" x14ac:dyDescent="0.5">
      <c r="A666" s="115">
        <f t="shared" si="116"/>
        <v>14</v>
      </c>
      <c r="B666" s="116" t="s">
        <v>239</v>
      </c>
      <c r="C666" s="129" t="s">
        <v>240</v>
      </c>
      <c r="D666" s="72" t="s">
        <v>241</v>
      </c>
      <c r="E666" s="73" t="s">
        <v>242</v>
      </c>
      <c r="F666" s="73"/>
      <c r="G666" s="73" t="s">
        <v>416</v>
      </c>
      <c r="H666" s="73"/>
      <c r="I666" s="191"/>
      <c r="J666" s="19">
        <f t="shared" si="112"/>
        <v>0</v>
      </c>
      <c r="K666" s="259" t="s">
        <v>51</v>
      </c>
      <c r="L666" s="168">
        <v>0</v>
      </c>
      <c r="M666" s="168">
        <v>0</v>
      </c>
      <c r="N666" s="169">
        <f t="shared" si="113"/>
        <v>0</v>
      </c>
      <c r="O666" s="169">
        <f t="shared" si="114"/>
        <v>0</v>
      </c>
      <c r="P666" s="312">
        <f t="shared" si="115"/>
        <v>0</v>
      </c>
      <c r="Q666" s="335"/>
    </row>
    <row r="667" spans="1:17" hidden="1" x14ac:dyDescent="0.5">
      <c r="A667" s="115">
        <f t="shared" si="116"/>
        <v>15</v>
      </c>
      <c r="B667" s="116" t="s">
        <v>239</v>
      </c>
      <c r="C667" s="129" t="s">
        <v>240</v>
      </c>
      <c r="D667" s="72" t="s">
        <v>241</v>
      </c>
      <c r="E667" s="73" t="s">
        <v>242</v>
      </c>
      <c r="F667" s="73"/>
      <c r="G667" s="73" t="s">
        <v>417</v>
      </c>
      <c r="H667" s="73"/>
      <c r="I667" s="191"/>
      <c r="J667" s="19">
        <f t="shared" si="112"/>
        <v>0</v>
      </c>
      <c r="K667" s="259" t="s">
        <v>51</v>
      </c>
      <c r="L667" s="168">
        <v>0</v>
      </c>
      <c r="M667" s="168">
        <v>0</v>
      </c>
      <c r="N667" s="169">
        <f t="shared" si="113"/>
        <v>0</v>
      </c>
      <c r="O667" s="169">
        <f t="shared" si="114"/>
        <v>0</v>
      </c>
      <c r="P667" s="312">
        <f t="shared" si="115"/>
        <v>0</v>
      </c>
      <c r="Q667" s="335"/>
    </row>
    <row r="668" spans="1:17" hidden="1" x14ac:dyDescent="0.5">
      <c r="A668" s="115">
        <f t="shared" si="116"/>
        <v>16</v>
      </c>
      <c r="B668" s="116" t="s">
        <v>239</v>
      </c>
      <c r="C668" s="129" t="s">
        <v>240</v>
      </c>
      <c r="D668" s="72" t="s">
        <v>241</v>
      </c>
      <c r="E668" s="73" t="s">
        <v>242</v>
      </c>
      <c r="F668" s="73"/>
      <c r="G668" s="73" t="s">
        <v>418</v>
      </c>
      <c r="H668" s="73"/>
      <c r="I668" s="191"/>
      <c r="J668" s="19">
        <f t="shared" si="112"/>
        <v>0</v>
      </c>
      <c r="K668" s="259" t="s">
        <v>51</v>
      </c>
      <c r="L668" s="168">
        <v>0</v>
      </c>
      <c r="M668" s="168">
        <v>0</v>
      </c>
      <c r="N668" s="169">
        <f t="shared" si="113"/>
        <v>0</v>
      </c>
      <c r="O668" s="169">
        <f t="shared" si="114"/>
        <v>0</v>
      </c>
      <c r="P668" s="312">
        <f t="shared" si="115"/>
        <v>0</v>
      </c>
      <c r="Q668" s="335"/>
    </row>
    <row r="669" spans="1:17" hidden="1" x14ac:dyDescent="0.5">
      <c r="A669" s="115">
        <f t="shared" si="116"/>
        <v>17</v>
      </c>
      <c r="B669" s="116" t="s">
        <v>239</v>
      </c>
      <c r="C669" s="129" t="s">
        <v>240</v>
      </c>
      <c r="D669" s="72" t="s">
        <v>241</v>
      </c>
      <c r="E669" s="73" t="s">
        <v>242</v>
      </c>
      <c r="F669" s="73"/>
      <c r="G669" s="73" t="s">
        <v>252</v>
      </c>
      <c r="H669" s="73"/>
      <c r="I669" s="191"/>
      <c r="J669" s="19">
        <f t="shared" si="112"/>
        <v>0</v>
      </c>
      <c r="K669" s="259" t="s">
        <v>51</v>
      </c>
      <c r="L669" s="168">
        <v>0</v>
      </c>
      <c r="M669" s="168">
        <v>0</v>
      </c>
      <c r="N669" s="169">
        <f t="shared" si="113"/>
        <v>0</v>
      </c>
      <c r="O669" s="169">
        <f t="shared" si="114"/>
        <v>0</v>
      </c>
      <c r="P669" s="312">
        <f t="shared" si="115"/>
        <v>0</v>
      </c>
      <c r="Q669" s="335"/>
    </row>
    <row r="670" spans="1:17" hidden="1" x14ac:dyDescent="0.5">
      <c r="A670" s="115">
        <f t="shared" si="116"/>
        <v>18</v>
      </c>
      <c r="B670" s="116" t="s">
        <v>239</v>
      </c>
      <c r="C670" s="129" t="s">
        <v>240</v>
      </c>
      <c r="D670" s="72" t="s">
        <v>241</v>
      </c>
      <c r="E670" s="73" t="s">
        <v>242</v>
      </c>
      <c r="F670" s="73"/>
      <c r="G670" s="73" t="s">
        <v>419</v>
      </c>
      <c r="H670" s="73"/>
      <c r="I670" s="191"/>
      <c r="J670" s="19">
        <f t="shared" si="112"/>
        <v>0</v>
      </c>
      <c r="K670" s="259" t="s">
        <v>51</v>
      </c>
      <c r="L670" s="168">
        <v>0</v>
      </c>
      <c r="M670" s="168">
        <v>0</v>
      </c>
      <c r="N670" s="169">
        <f t="shared" si="113"/>
        <v>0</v>
      </c>
      <c r="O670" s="169">
        <f t="shared" si="114"/>
        <v>0</v>
      </c>
      <c r="P670" s="312">
        <f t="shared" si="115"/>
        <v>0</v>
      </c>
      <c r="Q670" s="335"/>
    </row>
    <row r="671" spans="1:17" hidden="1" x14ac:dyDescent="0.5">
      <c r="A671" s="115">
        <f t="shared" si="116"/>
        <v>19</v>
      </c>
      <c r="B671" s="116" t="s">
        <v>239</v>
      </c>
      <c r="C671" s="129" t="s">
        <v>240</v>
      </c>
      <c r="D671" s="72" t="s">
        <v>241</v>
      </c>
      <c r="E671" s="73" t="s">
        <v>242</v>
      </c>
      <c r="F671" s="73"/>
      <c r="G671" s="73" t="s">
        <v>253</v>
      </c>
      <c r="H671" s="73"/>
      <c r="I671" s="191"/>
      <c r="J671" s="19">
        <f t="shared" si="112"/>
        <v>0</v>
      </c>
      <c r="K671" s="259" t="s">
        <v>51</v>
      </c>
      <c r="L671" s="168">
        <v>0</v>
      </c>
      <c r="M671" s="168">
        <v>0</v>
      </c>
      <c r="N671" s="169">
        <f t="shared" si="113"/>
        <v>0</v>
      </c>
      <c r="O671" s="169">
        <f t="shared" si="114"/>
        <v>0</v>
      </c>
      <c r="P671" s="312">
        <f t="shared" si="115"/>
        <v>0</v>
      </c>
      <c r="Q671" s="335"/>
    </row>
    <row r="672" spans="1:17" hidden="1" x14ac:dyDescent="0.5">
      <c r="A672" s="115">
        <f t="shared" si="116"/>
        <v>20</v>
      </c>
      <c r="B672" s="116" t="s">
        <v>239</v>
      </c>
      <c r="C672" s="129" t="s">
        <v>240</v>
      </c>
      <c r="D672" s="72" t="s">
        <v>241</v>
      </c>
      <c r="E672" s="73" t="s">
        <v>242</v>
      </c>
      <c r="F672" s="73"/>
      <c r="G672" s="73" t="s">
        <v>420</v>
      </c>
      <c r="H672" s="73"/>
      <c r="I672" s="191"/>
      <c r="J672" s="19">
        <f t="shared" si="112"/>
        <v>0</v>
      </c>
      <c r="K672" s="259" t="s">
        <v>51</v>
      </c>
      <c r="L672" s="168">
        <v>0</v>
      </c>
      <c r="M672" s="168">
        <v>0</v>
      </c>
      <c r="N672" s="169">
        <f t="shared" si="113"/>
        <v>0</v>
      </c>
      <c r="O672" s="169">
        <f t="shared" si="114"/>
        <v>0</v>
      </c>
      <c r="P672" s="312">
        <f t="shared" si="115"/>
        <v>0</v>
      </c>
      <c r="Q672" s="335"/>
    </row>
    <row r="673" spans="1:17" hidden="1" x14ac:dyDescent="0.5">
      <c r="A673" s="115">
        <f t="shared" si="116"/>
        <v>21</v>
      </c>
      <c r="B673" s="116" t="s">
        <v>239</v>
      </c>
      <c r="C673" s="129" t="s">
        <v>240</v>
      </c>
      <c r="D673" s="72" t="s">
        <v>241</v>
      </c>
      <c r="E673" s="73" t="s">
        <v>242</v>
      </c>
      <c r="F673" s="73"/>
      <c r="G673" s="73" t="s">
        <v>254</v>
      </c>
      <c r="H673" s="73"/>
      <c r="I673" s="191"/>
      <c r="J673" s="19">
        <f t="shared" si="112"/>
        <v>0</v>
      </c>
      <c r="K673" s="259" t="s">
        <v>51</v>
      </c>
      <c r="L673" s="168">
        <v>0</v>
      </c>
      <c r="M673" s="168">
        <v>0</v>
      </c>
      <c r="N673" s="169">
        <f t="shared" si="113"/>
        <v>0</v>
      </c>
      <c r="O673" s="169">
        <f t="shared" si="114"/>
        <v>0</v>
      </c>
      <c r="P673" s="312">
        <f t="shared" si="115"/>
        <v>0</v>
      </c>
      <c r="Q673" s="335"/>
    </row>
    <row r="674" spans="1:17" hidden="1" x14ac:dyDescent="0.5">
      <c r="A674" s="115">
        <f t="shared" si="116"/>
        <v>22</v>
      </c>
      <c r="B674" s="116" t="s">
        <v>239</v>
      </c>
      <c r="C674" s="129" t="s">
        <v>240</v>
      </c>
      <c r="D674" s="72" t="s">
        <v>241</v>
      </c>
      <c r="E674" s="73" t="s">
        <v>242</v>
      </c>
      <c r="F674" s="73"/>
      <c r="G674" s="73" t="s">
        <v>255</v>
      </c>
      <c r="H674" s="73"/>
      <c r="I674" s="191"/>
      <c r="J674" s="19">
        <f t="shared" si="112"/>
        <v>0</v>
      </c>
      <c r="K674" s="259" t="s">
        <v>51</v>
      </c>
      <c r="L674" s="168">
        <v>0</v>
      </c>
      <c r="M674" s="168">
        <v>0</v>
      </c>
      <c r="N674" s="169">
        <f t="shared" si="113"/>
        <v>0</v>
      </c>
      <c r="O674" s="169">
        <f t="shared" si="114"/>
        <v>0</v>
      </c>
      <c r="P674" s="312">
        <f t="shared" si="115"/>
        <v>0</v>
      </c>
      <c r="Q674" s="335"/>
    </row>
    <row r="675" spans="1:17" hidden="1" x14ac:dyDescent="0.5">
      <c r="A675" s="115">
        <f t="shared" si="116"/>
        <v>23</v>
      </c>
      <c r="B675" s="116" t="s">
        <v>239</v>
      </c>
      <c r="C675" s="129" t="s">
        <v>240</v>
      </c>
      <c r="D675" s="72" t="s">
        <v>241</v>
      </c>
      <c r="E675" s="73" t="s">
        <v>242</v>
      </c>
      <c r="F675" s="73"/>
      <c r="G675" s="73" t="s">
        <v>256</v>
      </c>
      <c r="H675" s="73"/>
      <c r="I675" s="191"/>
      <c r="J675" s="19">
        <f t="shared" si="112"/>
        <v>0</v>
      </c>
      <c r="K675" s="259" t="s">
        <v>51</v>
      </c>
      <c r="L675" s="168">
        <v>0</v>
      </c>
      <c r="M675" s="168">
        <v>0</v>
      </c>
      <c r="N675" s="169">
        <f t="shared" si="113"/>
        <v>0</v>
      </c>
      <c r="O675" s="169">
        <f t="shared" si="114"/>
        <v>0</v>
      </c>
      <c r="P675" s="312">
        <f t="shared" si="115"/>
        <v>0</v>
      </c>
      <c r="Q675" s="335"/>
    </row>
    <row r="676" spans="1:17" hidden="1" x14ac:dyDescent="0.5">
      <c r="A676" s="115">
        <f t="shared" si="116"/>
        <v>24</v>
      </c>
      <c r="B676" s="116" t="s">
        <v>239</v>
      </c>
      <c r="C676" s="129" t="s">
        <v>240</v>
      </c>
      <c r="D676" s="72" t="s">
        <v>241</v>
      </c>
      <c r="E676" s="73" t="s">
        <v>242</v>
      </c>
      <c r="F676" s="73"/>
      <c r="G676" s="73" t="s">
        <v>421</v>
      </c>
      <c r="H676" s="73"/>
      <c r="I676" s="191"/>
      <c r="J676" s="19">
        <f t="shared" si="112"/>
        <v>0</v>
      </c>
      <c r="K676" s="259" t="s">
        <v>51</v>
      </c>
      <c r="L676" s="168">
        <v>0</v>
      </c>
      <c r="M676" s="168">
        <v>0</v>
      </c>
      <c r="N676" s="169">
        <f t="shared" si="113"/>
        <v>0</v>
      </c>
      <c r="O676" s="169">
        <f t="shared" si="114"/>
        <v>0</v>
      </c>
      <c r="P676" s="312">
        <f t="shared" si="115"/>
        <v>0</v>
      </c>
      <c r="Q676" s="335"/>
    </row>
    <row r="677" spans="1:17" hidden="1" x14ac:dyDescent="0.5">
      <c r="A677" s="115">
        <f t="shared" si="116"/>
        <v>25</v>
      </c>
      <c r="B677" s="116" t="s">
        <v>239</v>
      </c>
      <c r="C677" s="129" t="s">
        <v>240</v>
      </c>
      <c r="D677" s="72" t="s">
        <v>241</v>
      </c>
      <c r="E677" s="73" t="s">
        <v>242</v>
      </c>
      <c r="F677" s="73"/>
      <c r="G677" s="73" t="s">
        <v>422</v>
      </c>
      <c r="H677" s="73"/>
      <c r="I677" s="191"/>
      <c r="J677" s="19">
        <f t="shared" si="112"/>
        <v>0</v>
      </c>
      <c r="K677" s="259" t="s">
        <v>51</v>
      </c>
      <c r="L677" s="168">
        <v>0</v>
      </c>
      <c r="M677" s="168">
        <v>0</v>
      </c>
      <c r="N677" s="169">
        <f t="shared" si="113"/>
        <v>0</v>
      </c>
      <c r="O677" s="169">
        <f t="shared" si="114"/>
        <v>0</v>
      </c>
      <c r="P677" s="312">
        <f t="shared" si="115"/>
        <v>0</v>
      </c>
      <c r="Q677" s="335"/>
    </row>
    <row r="678" spans="1:17" hidden="1" x14ac:dyDescent="0.5">
      <c r="A678" s="115">
        <f t="shared" si="116"/>
        <v>26</v>
      </c>
      <c r="B678" s="116" t="s">
        <v>239</v>
      </c>
      <c r="C678" s="129" t="s">
        <v>240</v>
      </c>
      <c r="D678" s="72" t="s">
        <v>241</v>
      </c>
      <c r="E678" s="73" t="s">
        <v>242</v>
      </c>
      <c r="F678" s="73"/>
      <c r="G678" s="73" t="s">
        <v>423</v>
      </c>
      <c r="H678" s="73"/>
      <c r="I678" s="191"/>
      <c r="J678" s="19">
        <f t="shared" si="112"/>
        <v>0</v>
      </c>
      <c r="K678" s="259" t="s">
        <v>51</v>
      </c>
      <c r="L678" s="168">
        <v>0</v>
      </c>
      <c r="M678" s="168">
        <v>0</v>
      </c>
      <c r="N678" s="169">
        <f t="shared" si="113"/>
        <v>0</v>
      </c>
      <c r="O678" s="169">
        <f t="shared" si="114"/>
        <v>0</v>
      </c>
      <c r="P678" s="312">
        <f t="shared" si="115"/>
        <v>0</v>
      </c>
      <c r="Q678" s="335"/>
    </row>
    <row r="679" spans="1:17" hidden="1" x14ac:dyDescent="0.5">
      <c r="A679" s="115">
        <f t="shared" si="116"/>
        <v>27</v>
      </c>
      <c r="B679" s="116" t="s">
        <v>239</v>
      </c>
      <c r="C679" s="129" t="s">
        <v>240</v>
      </c>
      <c r="D679" s="72" t="s">
        <v>241</v>
      </c>
      <c r="E679" s="73" t="s">
        <v>242</v>
      </c>
      <c r="F679" s="73"/>
      <c r="G679" s="73" t="s">
        <v>257</v>
      </c>
      <c r="H679" s="73"/>
      <c r="I679" s="191"/>
      <c r="J679" s="19">
        <f t="shared" si="112"/>
        <v>0</v>
      </c>
      <c r="K679" s="259" t="s">
        <v>51</v>
      </c>
      <c r="L679" s="168">
        <v>0</v>
      </c>
      <c r="M679" s="168">
        <v>0</v>
      </c>
      <c r="N679" s="169">
        <f t="shared" si="113"/>
        <v>0</v>
      </c>
      <c r="O679" s="169">
        <f t="shared" si="114"/>
        <v>0</v>
      </c>
      <c r="P679" s="312">
        <f t="shared" si="115"/>
        <v>0</v>
      </c>
      <c r="Q679" s="335"/>
    </row>
    <row r="680" spans="1:17" hidden="1" x14ac:dyDescent="0.5">
      <c r="A680" s="115">
        <f t="shared" si="116"/>
        <v>28</v>
      </c>
      <c r="B680" s="116" t="s">
        <v>239</v>
      </c>
      <c r="C680" s="129" t="s">
        <v>240</v>
      </c>
      <c r="D680" s="72" t="s">
        <v>241</v>
      </c>
      <c r="E680" s="73" t="s">
        <v>242</v>
      </c>
      <c r="F680" s="73"/>
      <c r="G680" s="73" t="s">
        <v>258</v>
      </c>
      <c r="H680" s="73"/>
      <c r="I680" s="191"/>
      <c r="J680" s="19">
        <f t="shared" si="112"/>
        <v>0</v>
      </c>
      <c r="K680" s="259" t="s">
        <v>51</v>
      </c>
      <c r="L680" s="168">
        <v>0</v>
      </c>
      <c r="M680" s="168">
        <v>0</v>
      </c>
      <c r="N680" s="169">
        <f t="shared" si="113"/>
        <v>0</v>
      </c>
      <c r="O680" s="169">
        <f t="shared" si="114"/>
        <v>0</v>
      </c>
      <c r="P680" s="312">
        <f t="shared" si="115"/>
        <v>0</v>
      </c>
      <c r="Q680" s="335"/>
    </row>
    <row r="681" spans="1:17" hidden="1" x14ac:dyDescent="0.5">
      <c r="A681" s="115">
        <f t="shared" si="116"/>
        <v>29</v>
      </c>
      <c r="B681" s="116" t="s">
        <v>239</v>
      </c>
      <c r="C681" s="129" t="s">
        <v>240</v>
      </c>
      <c r="D681" s="72" t="s">
        <v>241</v>
      </c>
      <c r="E681" s="73" t="s">
        <v>242</v>
      </c>
      <c r="F681" s="73"/>
      <c r="G681" s="73" t="s">
        <v>259</v>
      </c>
      <c r="H681" s="73"/>
      <c r="I681" s="191"/>
      <c r="J681" s="19">
        <f t="shared" si="112"/>
        <v>0</v>
      </c>
      <c r="K681" s="259" t="s">
        <v>51</v>
      </c>
      <c r="L681" s="168">
        <v>0</v>
      </c>
      <c r="M681" s="168">
        <v>0</v>
      </c>
      <c r="N681" s="169">
        <f t="shared" si="113"/>
        <v>0</v>
      </c>
      <c r="O681" s="169">
        <f t="shared" si="114"/>
        <v>0</v>
      </c>
      <c r="P681" s="312">
        <f t="shared" si="115"/>
        <v>0</v>
      </c>
      <c r="Q681" s="335"/>
    </row>
    <row r="682" spans="1:17" hidden="1" x14ac:dyDescent="0.5">
      <c r="A682" s="115">
        <f t="shared" si="116"/>
        <v>30</v>
      </c>
      <c r="B682" s="116" t="s">
        <v>239</v>
      </c>
      <c r="C682" s="129" t="s">
        <v>240</v>
      </c>
      <c r="D682" s="72" t="s">
        <v>241</v>
      </c>
      <c r="E682" s="73" t="s">
        <v>242</v>
      </c>
      <c r="F682" s="73"/>
      <c r="G682" s="73" t="s">
        <v>260</v>
      </c>
      <c r="H682" s="73"/>
      <c r="I682" s="191"/>
      <c r="J682" s="19">
        <f t="shared" si="112"/>
        <v>0</v>
      </c>
      <c r="K682" s="259" t="s">
        <v>51</v>
      </c>
      <c r="L682" s="168">
        <v>0</v>
      </c>
      <c r="M682" s="168">
        <v>0</v>
      </c>
      <c r="N682" s="169">
        <f t="shared" si="113"/>
        <v>0</v>
      </c>
      <c r="O682" s="169">
        <f t="shared" si="114"/>
        <v>0</v>
      </c>
      <c r="P682" s="312">
        <f t="shared" si="115"/>
        <v>0</v>
      </c>
      <c r="Q682" s="335"/>
    </row>
    <row r="683" spans="1:17" hidden="1" x14ac:dyDescent="0.5">
      <c r="A683" s="115">
        <f t="shared" si="116"/>
        <v>31</v>
      </c>
      <c r="B683" s="116" t="s">
        <v>239</v>
      </c>
      <c r="C683" s="129" t="s">
        <v>240</v>
      </c>
      <c r="D683" s="72" t="s">
        <v>241</v>
      </c>
      <c r="E683" s="73" t="s">
        <v>242</v>
      </c>
      <c r="F683" s="73"/>
      <c r="G683" s="73" t="s">
        <v>261</v>
      </c>
      <c r="H683" s="73"/>
      <c r="I683" s="191"/>
      <c r="J683" s="19">
        <f t="shared" si="112"/>
        <v>0</v>
      </c>
      <c r="K683" s="259" t="s">
        <v>51</v>
      </c>
      <c r="L683" s="168">
        <v>0</v>
      </c>
      <c r="M683" s="168">
        <v>0</v>
      </c>
      <c r="N683" s="169">
        <f t="shared" si="113"/>
        <v>0</v>
      </c>
      <c r="O683" s="169">
        <f t="shared" si="114"/>
        <v>0</v>
      </c>
      <c r="P683" s="312">
        <f t="shared" si="115"/>
        <v>0</v>
      </c>
      <c r="Q683" s="335"/>
    </row>
    <row r="684" spans="1:17" hidden="1" x14ac:dyDescent="0.5">
      <c r="A684" s="115">
        <f t="shared" si="116"/>
        <v>32</v>
      </c>
      <c r="B684" s="116" t="s">
        <v>239</v>
      </c>
      <c r="C684" s="129" t="s">
        <v>240</v>
      </c>
      <c r="D684" s="72" t="s">
        <v>241</v>
      </c>
      <c r="E684" s="73" t="s">
        <v>242</v>
      </c>
      <c r="F684" s="73"/>
      <c r="G684" s="73" t="s">
        <v>262</v>
      </c>
      <c r="H684" s="73"/>
      <c r="I684" s="191"/>
      <c r="J684" s="19">
        <f t="shared" si="112"/>
        <v>0</v>
      </c>
      <c r="K684" s="259" t="s">
        <v>51</v>
      </c>
      <c r="L684" s="168">
        <v>0</v>
      </c>
      <c r="M684" s="168">
        <v>0</v>
      </c>
      <c r="N684" s="169">
        <f t="shared" si="113"/>
        <v>0</v>
      </c>
      <c r="O684" s="169">
        <f t="shared" si="114"/>
        <v>0</v>
      </c>
      <c r="P684" s="312">
        <f t="shared" si="115"/>
        <v>0</v>
      </c>
      <c r="Q684" s="335"/>
    </row>
    <row r="685" spans="1:17" hidden="1" x14ac:dyDescent="0.5">
      <c r="A685" s="115">
        <f t="shared" si="116"/>
        <v>33</v>
      </c>
      <c r="B685" s="116" t="s">
        <v>239</v>
      </c>
      <c r="C685" s="129" t="s">
        <v>240</v>
      </c>
      <c r="D685" s="72" t="s">
        <v>241</v>
      </c>
      <c r="E685" s="73" t="s">
        <v>242</v>
      </c>
      <c r="F685" s="73"/>
      <c r="G685" s="73" t="s">
        <v>263</v>
      </c>
      <c r="H685" s="73"/>
      <c r="I685" s="191"/>
      <c r="J685" s="19">
        <f t="shared" si="112"/>
        <v>0</v>
      </c>
      <c r="K685" s="259" t="s">
        <v>51</v>
      </c>
      <c r="L685" s="168">
        <v>0</v>
      </c>
      <c r="M685" s="168">
        <v>0</v>
      </c>
      <c r="N685" s="169">
        <f t="shared" si="113"/>
        <v>0</v>
      </c>
      <c r="O685" s="169">
        <f t="shared" si="114"/>
        <v>0</v>
      </c>
      <c r="P685" s="312">
        <f t="shared" si="115"/>
        <v>0</v>
      </c>
      <c r="Q685" s="335"/>
    </row>
    <row r="686" spans="1:17" hidden="1" x14ac:dyDescent="0.5">
      <c r="A686" s="115">
        <f t="shared" si="116"/>
        <v>34</v>
      </c>
      <c r="B686" s="116" t="s">
        <v>239</v>
      </c>
      <c r="C686" s="129" t="s">
        <v>240</v>
      </c>
      <c r="D686" s="72" t="s">
        <v>241</v>
      </c>
      <c r="E686" s="73" t="s">
        <v>242</v>
      </c>
      <c r="F686" s="73"/>
      <c r="G686" s="73" t="s">
        <v>424</v>
      </c>
      <c r="H686" s="73"/>
      <c r="I686" s="191"/>
      <c r="J686" s="19">
        <f t="shared" si="112"/>
        <v>0</v>
      </c>
      <c r="K686" s="259" t="s">
        <v>51</v>
      </c>
      <c r="L686" s="168">
        <v>0</v>
      </c>
      <c r="M686" s="168">
        <v>0</v>
      </c>
      <c r="N686" s="169">
        <f t="shared" si="113"/>
        <v>0</v>
      </c>
      <c r="O686" s="169">
        <f t="shared" si="114"/>
        <v>0</v>
      </c>
      <c r="P686" s="312">
        <f t="shared" si="115"/>
        <v>0</v>
      </c>
      <c r="Q686" s="335"/>
    </row>
    <row r="687" spans="1:17" hidden="1" x14ac:dyDescent="0.5">
      <c r="A687" s="115">
        <f t="shared" si="116"/>
        <v>35</v>
      </c>
      <c r="B687" s="116" t="s">
        <v>239</v>
      </c>
      <c r="C687" s="129" t="s">
        <v>240</v>
      </c>
      <c r="D687" s="72" t="s">
        <v>241</v>
      </c>
      <c r="E687" s="73" t="s">
        <v>242</v>
      </c>
      <c r="F687" s="73"/>
      <c r="G687" s="73" t="s">
        <v>425</v>
      </c>
      <c r="H687" s="73"/>
      <c r="I687" s="191"/>
      <c r="J687" s="19">
        <f t="shared" si="112"/>
        <v>0</v>
      </c>
      <c r="K687" s="259" t="s">
        <v>51</v>
      </c>
      <c r="L687" s="168">
        <v>0</v>
      </c>
      <c r="M687" s="168">
        <v>0</v>
      </c>
      <c r="N687" s="169">
        <f t="shared" si="113"/>
        <v>0</v>
      </c>
      <c r="O687" s="169">
        <f t="shared" si="114"/>
        <v>0</v>
      </c>
      <c r="P687" s="312">
        <f t="shared" si="115"/>
        <v>0</v>
      </c>
      <c r="Q687" s="335"/>
    </row>
    <row r="688" spans="1:17" hidden="1" x14ac:dyDescent="0.5">
      <c r="A688" s="115">
        <f t="shared" si="116"/>
        <v>36</v>
      </c>
      <c r="B688" s="116" t="s">
        <v>239</v>
      </c>
      <c r="C688" s="129" t="s">
        <v>240</v>
      </c>
      <c r="D688" s="72" t="s">
        <v>241</v>
      </c>
      <c r="E688" s="73" t="s">
        <v>242</v>
      </c>
      <c r="F688" s="73"/>
      <c r="G688" s="73" t="s">
        <v>426</v>
      </c>
      <c r="H688" s="73"/>
      <c r="I688" s="191"/>
      <c r="J688" s="19">
        <f t="shared" si="112"/>
        <v>0</v>
      </c>
      <c r="K688" s="259" t="s">
        <v>51</v>
      </c>
      <c r="L688" s="168">
        <v>0</v>
      </c>
      <c r="M688" s="168">
        <v>0</v>
      </c>
      <c r="N688" s="169">
        <f t="shared" si="113"/>
        <v>0</v>
      </c>
      <c r="O688" s="169">
        <f t="shared" si="114"/>
        <v>0</v>
      </c>
      <c r="P688" s="312">
        <f t="shared" si="115"/>
        <v>0</v>
      </c>
      <c r="Q688" s="335"/>
    </row>
    <row r="689" spans="1:17" hidden="1" x14ac:dyDescent="0.5">
      <c r="A689" s="115">
        <f t="shared" si="116"/>
        <v>37</v>
      </c>
      <c r="B689" s="116" t="s">
        <v>239</v>
      </c>
      <c r="C689" s="129" t="s">
        <v>240</v>
      </c>
      <c r="D689" s="72" t="s">
        <v>241</v>
      </c>
      <c r="E689" s="73" t="s">
        <v>242</v>
      </c>
      <c r="F689" s="73"/>
      <c r="G689" s="73" t="s">
        <v>427</v>
      </c>
      <c r="H689" s="73"/>
      <c r="I689" s="191"/>
      <c r="J689" s="19">
        <f t="shared" si="112"/>
        <v>0</v>
      </c>
      <c r="K689" s="259" t="s">
        <v>51</v>
      </c>
      <c r="L689" s="168">
        <v>0</v>
      </c>
      <c r="M689" s="168">
        <v>0</v>
      </c>
      <c r="N689" s="169">
        <f t="shared" si="113"/>
        <v>0</v>
      </c>
      <c r="O689" s="169">
        <f t="shared" si="114"/>
        <v>0</v>
      </c>
      <c r="P689" s="312">
        <f t="shared" si="115"/>
        <v>0</v>
      </c>
      <c r="Q689" s="335"/>
    </row>
    <row r="690" spans="1:17" hidden="1" x14ac:dyDescent="0.5">
      <c r="A690" s="115">
        <f t="shared" si="116"/>
        <v>38</v>
      </c>
      <c r="B690" s="116" t="s">
        <v>239</v>
      </c>
      <c r="C690" s="129" t="s">
        <v>240</v>
      </c>
      <c r="D690" s="72" t="s">
        <v>241</v>
      </c>
      <c r="E690" s="73" t="s">
        <v>242</v>
      </c>
      <c r="F690" s="73"/>
      <c r="G690" s="73" t="s">
        <v>264</v>
      </c>
      <c r="H690" s="73"/>
      <c r="I690" s="191"/>
      <c r="J690" s="19">
        <f t="shared" si="112"/>
        <v>0</v>
      </c>
      <c r="K690" s="259" t="s">
        <v>51</v>
      </c>
      <c r="L690" s="168">
        <v>0</v>
      </c>
      <c r="M690" s="168">
        <v>0</v>
      </c>
      <c r="N690" s="169">
        <f t="shared" si="113"/>
        <v>0</v>
      </c>
      <c r="O690" s="169">
        <f t="shared" si="114"/>
        <v>0</v>
      </c>
      <c r="P690" s="312">
        <f t="shared" si="115"/>
        <v>0</v>
      </c>
      <c r="Q690" s="335"/>
    </row>
    <row r="691" spans="1:17" hidden="1" x14ac:dyDescent="0.5">
      <c r="A691" s="115">
        <f t="shared" si="116"/>
        <v>39</v>
      </c>
      <c r="B691" s="116" t="s">
        <v>239</v>
      </c>
      <c r="C691" s="129" t="s">
        <v>240</v>
      </c>
      <c r="D691" s="72" t="s">
        <v>241</v>
      </c>
      <c r="E691" s="73" t="s">
        <v>242</v>
      </c>
      <c r="F691" s="73"/>
      <c r="G691" s="73" t="s">
        <v>265</v>
      </c>
      <c r="H691" s="73"/>
      <c r="I691" s="191"/>
      <c r="J691" s="19">
        <f t="shared" si="112"/>
        <v>0</v>
      </c>
      <c r="K691" s="259" t="s">
        <v>51</v>
      </c>
      <c r="L691" s="168">
        <v>0</v>
      </c>
      <c r="M691" s="168">
        <v>0</v>
      </c>
      <c r="N691" s="169">
        <f t="shared" si="113"/>
        <v>0</v>
      </c>
      <c r="O691" s="169">
        <f t="shared" si="114"/>
        <v>0</v>
      </c>
      <c r="P691" s="312">
        <f t="shared" si="115"/>
        <v>0</v>
      </c>
      <c r="Q691" s="335"/>
    </row>
    <row r="692" spans="1:17" hidden="1" x14ac:dyDescent="0.5">
      <c r="A692" s="115">
        <f t="shared" si="116"/>
        <v>40</v>
      </c>
      <c r="B692" s="116" t="s">
        <v>239</v>
      </c>
      <c r="C692" s="129" t="s">
        <v>240</v>
      </c>
      <c r="D692" s="72" t="s">
        <v>241</v>
      </c>
      <c r="E692" s="73" t="s">
        <v>242</v>
      </c>
      <c r="F692" s="73"/>
      <c r="G692" s="73" t="s">
        <v>266</v>
      </c>
      <c r="H692" s="73"/>
      <c r="I692" s="191"/>
      <c r="J692" s="19">
        <f t="shared" si="112"/>
        <v>0</v>
      </c>
      <c r="K692" s="259" t="s">
        <v>51</v>
      </c>
      <c r="L692" s="168">
        <v>0</v>
      </c>
      <c r="M692" s="168">
        <v>0</v>
      </c>
      <c r="N692" s="169">
        <f t="shared" si="113"/>
        <v>0</v>
      </c>
      <c r="O692" s="169">
        <f t="shared" si="114"/>
        <v>0</v>
      </c>
      <c r="P692" s="312">
        <f t="shared" si="115"/>
        <v>0</v>
      </c>
      <c r="Q692" s="335"/>
    </row>
    <row r="693" spans="1:17" hidden="1" x14ac:dyDescent="0.5">
      <c r="A693" s="115">
        <f t="shared" si="116"/>
        <v>41</v>
      </c>
      <c r="B693" s="116" t="s">
        <v>239</v>
      </c>
      <c r="C693" s="129" t="s">
        <v>240</v>
      </c>
      <c r="D693" s="72" t="s">
        <v>241</v>
      </c>
      <c r="E693" s="73" t="s">
        <v>242</v>
      </c>
      <c r="F693" s="73"/>
      <c r="G693" s="73" t="s">
        <v>267</v>
      </c>
      <c r="H693" s="73"/>
      <c r="I693" s="191"/>
      <c r="J693" s="19">
        <f t="shared" si="112"/>
        <v>0</v>
      </c>
      <c r="K693" s="259" t="s">
        <v>51</v>
      </c>
      <c r="L693" s="168">
        <v>0</v>
      </c>
      <c r="M693" s="168">
        <v>0</v>
      </c>
      <c r="N693" s="169">
        <f t="shared" si="113"/>
        <v>0</v>
      </c>
      <c r="O693" s="169">
        <f t="shared" si="114"/>
        <v>0</v>
      </c>
      <c r="P693" s="312">
        <f t="shared" si="115"/>
        <v>0</v>
      </c>
      <c r="Q693" s="335"/>
    </row>
    <row r="694" spans="1:17" hidden="1" x14ac:dyDescent="0.5">
      <c r="A694" s="115">
        <f t="shared" si="116"/>
        <v>42</v>
      </c>
      <c r="B694" s="116" t="s">
        <v>239</v>
      </c>
      <c r="C694" s="129" t="s">
        <v>240</v>
      </c>
      <c r="D694" s="72" t="s">
        <v>241</v>
      </c>
      <c r="E694" s="73" t="s">
        <v>242</v>
      </c>
      <c r="F694" s="73"/>
      <c r="G694" s="73" t="s">
        <v>268</v>
      </c>
      <c r="H694" s="73"/>
      <c r="I694" s="191"/>
      <c r="J694" s="19">
        <f t="shared" si="112"/>
        <v>0</v>
      </c>
      <c r="K694" s="259" t="s">
        <v>51</v>
      </c>
      <c r="L694" s="168">
        <v>0</v>
      </c>
      <c r="M694" s="168">
        <v>0</v>
      </c>
      <c r="N694" s="169">
        <f t="shared" si="113"/>
        <v>0</v>
      </c>
      <c r="O694" s="169">
        <f t="shared" si="114"/>
        <v>0</v>
      </c>
      <c r="P694" s="312">
        <f t="shared" si="115"/>
        <v>0</v>
      </c>
      <c r="Q694" s="335"/>
    </row>
    <row r="695" spans="1:17" hidden="1" x14ac:dyDescent="0.5">
      <c r="A695" s="115">
        <f t="shared" si="116"/>
        <v>43</v>
      </c>
      <c r="B695" s="116" t="s">
        <v>239</v>
      </c>
      <c r="C695" s="129" t="s">
        <v>240</v>
      </c>
      <c r="D695" s="72" t="s">
        <v>241</v>
      </c>
      <c r="E695" s="73" t="s">
        <v>242</v>
      </c>
      <c r="F695" s="73"/>
      <c r="G695" s="73" t="s">
        <v>269</v>
      </c>
      <c r="H695" s="73"/>
      <c r="I695" s="191"/>
      <c r="J695" s="19">
        <f t="shared" si="112"/>
        <v>0</v>
      </c>
      <c r="K695" s="259" t="s">
        <v>51</v>
      </c>
      <c r="L695" s="168">
        <v>0</v>
      </c>
      <c r="M695" s="168">
        <v>0</v>
      </c>
      <c r="N695" s="169">
        <f t="shared" si="113"/>
        <v>0</v>
      </c>
      <c r="O695" s="169">
        <f t="shared" si="114"/>
        <v>0</v>
      </c>
      <c r="P695" s="312">
        <f t="shared" si="115"/>
        <v>0</v>
      </c>
      <c r="Q695" s="335"/>
    </row>
    <row r="696" spans="1:17" hidden="1" x14ac:dyDescent="0.5">
      <c r="A696" s="115">
        <f t="shared" si="116"/>
        <v>44</v>
      </c>
      <c r="B696" s="116" t="s">
        <v>239</v>
      </c>
      <c r="C696" s="129" t="s">
        <v>240</v>
      </c>
      <c r="D696" s="72" t="s">
        <v>241</v>
      </c>
      <c r="E696" s="73" t="s">
        <v>242</v>
      </c>
      <c r="F696" s="73"/>
      <c r="G696" s="73" t="s">
        <v>270</v>
      </c>
      <c r="H696" s="73"/>
      <c r="I696" s="191"/>
      <c r="J696" s="19">
        <f t="shared" si="112"/>
        <v>0</v>
      </c>
      <c r="K696" s="259" t="s">
        <v>51</v>
      </c>
      <c r="L696" s="168">
        <v>0</v>
      </c>
      <c r="M696" s="168">
        <v>0</v>
      </c>
      <c r="N696" s="169">
        <f t="shared" si="113"/>
        <v>0</v>
      </c>
      <c r="O696" s="169">
        <f t="shared" si="114"/>
        <v>0</v>
      </c>
      <c r="P696" s="312">
        <f t="shared" si="115"/>
        <v>0</v>
      </c>
      <c r="Q696" s="335"/>
    </row>
    <row r="697" spans="1:17" hidden="1" x14ac:dyDescent="0.5">
      <c r="A697" s="115">
        <f t="shared" si="116"/>
        <v>45</v>
      </c>
      <c r="B697" s="116" t="s">
        <v>239</v>
      </c>
      <c r="C697" s="129" t="s">
        <v>240</v>
      </c>
      <c r="D697" s="72" t="s">
        <v>241</v>
      </c>
      <c r="E697" s="73" t="s">
        <v>242</v>
      </c>
      <c r="F697" s="73"/>
      <c r="G697" s="73" t="s">
        <v>428</v>
      </c>
      <c r="H697" s="73"/>
      <c r="I697" s="191"/>
      <c r="J697" s="19">
        <f t="shared" si="112"/>
        <v>0</v>
      </c>
      <c r="K697" s="259" t="s">
        <v>51</v>
      </c>
      <c r="L697" s="168">
        <v>0</v>
      </c>
      <c r="M697" s="168">
        <v>0</v>
      </c>
      <c r="N697" s="169">
        <f t="shared" si="113"/>
        <v>0</v>
      </c>
      <c r="O697" s="169">
        <f t="shared" si="114"/>
        <v>0</v>
      </c>
      <c r="P697" s="312">
        <f t="shared" si="115"/>
        <v>0</v>
      </c>
      <c r="Q697" s="335"/>
    </row>
    <row r="698" spans="1:17" hidden="1" x14ac:dyDescent="0.5">
      <c r="A698" s="115">
        <f t="shared" si="116"/>
        <v>46</v>
      </c>
      <c r="B698" s="116" t="s">
        <v>239</v>
      </c>
      <c r="C698" s="129" t="s">
        <v>240</v>
      </c>
      <c r="D698" s="72" t="s">
        <v>241</v>
      </c>
      <c r="E698" s="73" t="s">
        <v>242</v>
      </c>
      <c r="F698" s="73"/>
      <c r="G698" s="73" t="s">
        <v>429</v>
      </c>
      <c r="H698" s="73"/>
      <c r="I698" s="191"/>
      <c r="J698" s="19">
        <f t="shared" si="112"/>
        <v>0</v>
      </c>
      <c r="K698" s="259" t="s">
        <v>51</v>
      </c>
      <c r="L698" s="168">
        <v>0</v>
      </c>
      <c r="M698" s="168">
        <v>0</v>
      </c>
      <c r="N698" s="169">
        <f t="shared" si="113"/>
        <v>0</v>
      </c>
      <c r="O698" s="169">
        <f t="shared" si="114"/>
        <v>0</v>
      </c>
      <c r="P698" s="312">
        <f t="shared" si="115"/>
        <v>0</v>
      </c>
      <c r="Q698" s="335"/>
    </row>
    <row r="699" spans="1:17" hidden="1" x14ac:dyDescent="0.5">
      <c r="A699" s="115">
        <f t="shared" si="116"/>
        <v>47</v>
      </c>
      <c r="B699" s="116" t="s">
        <v>239</v>
      </c>
      <c r="C699" s="129" t="s">
        <v>240</v>
      </c>
      <c r="D699" s="72" t="s">
        <v>241</v>
      </c>
      <c r="E699" s="73" t="s">
        <v>242</v>
      </c>
      <c r="F699" s="73"/>
      <c r="G699" s="73" t="s">
        <v>430</v>
      </c>
      <c r="H699" s="73"/>
      <c r="I699" s="191"/>
      <c r="J699" s="19">
        <f t="shared" si="112"/>
        <v>0</v>
      </c>
      <c r="K699" s="259" t="s">
        <v>51</v>
      </c>
      <c r="L699" s="168">
        <v>0</v>
      </c>
      <c r="M699" s="168">
        <v>0</v>
      </c>
      <c r="N699" s="169">
        <f t="shared" si="113"/>
        <v>0</v>
      </c>
      <c r="O699" s="169">
        <f t="shared" si="114"/>
        <v>0</v>
      </c>
      <c r="P699" s="312">
        <f t="shared" si="115"/>
        <v>0</v>
      </c>
      <c r="Q699" s="335"/>
    </row>
    <row r="700" spans="1:17" hidden="1" x14ac:dyDescent="0.5">
      <c r="A700" s="115">
        <f t="shared" si="116"/>
        <v>48</v>
      </c>
      <c r="B700" s="116" t="s">
        <v>239</v>
      </c>
      <c r="C700" s="129" t="s">
        <v>240</v>
      </c>
      <c r="D700" s="72" t="s">
        <v>241</v>
      </c>
      <c r="E700" s="73" t="s">
        <v>242</v>
      </c>
      <c r="F700" s="73"/>
      <c r="G700" s="73" t="s">
        <v>270</v>
      </c>
      <c r="H700" s="73"/>
      <c r="I700" s="191"/>
      <c r="J700" s="19">
        <f t="shared" si="112"/>
        <v>0</v>
      </c>
      <c r="K700" s="259" t="s">
        <v>51</v>
      </c>
      <c r="L700" s="168">
        <v>0</v>
      </c>
      <c r="M700" s="168">
        <v>0</v>
      </c>
      <c r="N700" s="169">
        <f t="shared" si="113"/>
        <v>0</v>
      </c>
      <c r="O700" s="169">
        <f t="shared" si="114"/>
        <v>0</v>
      </c>
      <c r="P700" s="312">
        <f t="shared" si="115"/>
        <v>0</v>
      </c>
      <c r="Q700" s="335"/>
    </row>
    <row r="701" spans="1:17" hidden="1" x14ac:dyDescent="0.5">
      <c r="A701" s="115">
        <f t="shared" si="116"/>
        <v>49</v>
      </c>
      <c r="B701" s="116" t="s">
        <v>239</v>
      </c>
      <c r="C701" s="129" t="s">
        <v>240</v>
      </c>
      <c r="D701" s="72" t="s">
        <v>241</v>
      </c>
      <c r="E701" s="73" t="s">
        <v>242</v>
      </c>
      <c r="F701" s="73"/>
      <c r="G701" s="73" t="s">
        <v>271</v>
      </c>
      <c r="H701" s="73"/>
      <c r="I701" s="191"/>
      <c r="J701" s="19">
        <f t="shared" si="112"/>
        <v>0</v>
      </c>
      <c r="K701" s="259" t="s">
        <v>51</v>
      </c>
      <c r="L701" s="168">
        <v>0</v>
      </c>
      <c r="M701" s="168">
        <v>0</v>
      </c>
      <c r="N701" s="169">
        <f t="shared" si="113"/>
        <v>0</v>
      </c>
      <c r="O701" s="169">
        <f t="shared" si="114"/>
        <v>0</v>
      </c>
      <c r="P701" s="312">
        <f t="shared" si="115"/>
        <v>0</v>
      </c>
      <c r="Q701" s="335"/>
    </row>
    <row r="702" spans="1:17" hidden="1" x14ac:dyDescent="0.5">
      <c r="A702" s="115">
        <f t="shared" si="116"/>
        <v>50</v>
      </c>
      <c r="B702" s="116" t="s">
        <v>239</v>
      </c>
      <c r="C702" s="129" t="s">
        <v>240</v>
      </c>
      <c r="D702" s="72" t="s">
        <v>241</v>
      </c>
      <c r="E702" s="73" t="s">
        <v>242</v>
      </c>
      <c r="F702" s="73"/>
      <c r="G702" s="73" t="s">
        <v>272</v>
      </c>
      <c r="H702" s="73"/>
      <c r="I702" s="191"/>
      <c r="J702" s="19">
        <f t="shared" si="112"/>
        <v>0</v>
      </c>
      <c r="K702" s="259" t="s">
        <v>51</v>
      </c>
      <c r="L702" s="168">
        <v>0</v>
      </c>
      <c r="M702" s="168">
        <v>0</v>
      </c>
      <c r="N702" s="169">
        <f t="shared" si="113"/>
        <v>0</v>
      </c>
      <c r="O702" s="169">
        <f t="shared" si="114"/>
        <v>0</v>
      </c>
      <c r="P702" s="312">
        <f t="shared" si="115"/>
        <v>0</v>
      </c>
      <c r="Q702" s="335"/>
    </row>
    <row r="703" spans="1:17" hidden="1" x14ac:dyDescent="0.5">
      <c r="A703" s="115">
        <f t="shared" si="116"/>
        <v>51</v>
      </c>
      <c r="B703" s="116" t="s">
        <v>239</v>
      </c>
      <c r="C703" s="129" t="s">
        <v>240</v>
      </c>
      <c r="D703" s="72" t="s">
        <v>241</v>
      </c>
      <c r="E703" s="73" t="s">
        <v>242</v>
      </c>
      <c r="F703" s="73"/>
      <c r="G703" s="73" t="s">
        <v>273</v>
      </c>
      <c r="H703" s="73"/>
      <c r="I703" s="191"/>
      <c r="J703" s="19">
        <f t="shared" si="112"/>
        <v>0</v>
      </c>
      <c r="K703" s="259" t="s">
        <v>51</v>
      </c>
      <c r="L703" s="168">
        <v>0</v>
      </c>
      <c r="M703" s="168">
        <v>0</v>
      </c>
      <c r="N703" s="169">
        <f t="shared" si="113"/>
        <v>0</v>
      </c>
      <c r="O703" s="169">
        <f t="shared" si="114"/>
        <v>0</v>
      </c>
      <c r="P703" s="312">
        <f t="shared" si="115"/>
        <v>0</v>
      </c>
      <c r="Q703" s="335"/>
    </row>
    <row r="704" spans="1:17" hidden="1" x14ac:dyDescent="0.5">
      <c r="A704" s="115">
        <f t="shared" si="116"/>
        <v>52</v>
      </c>
      <c r="B704" s="116" t="s">
        <v>239</v>
      </c>
      <c r="C704" s="129" t="s">
        <v>240</v>
      </c>
      <c r="D704" s="72" t="s">
        <v>241</v>
      </c>
      <c r="E704" s="73" t="s">
        <v>242</v>
      </c>
      <c r="F704" s="73"/>
      <c r="G704" s="73" t="s">
        <v>274</v>
      </c>
      <c r="H704" s="73"/>
      <c r="I704" s="191"/>
      <c r="J704" s="19">
        <f t="shared" si="112"/>
        <v>0</v>
      </c>
      <c r="K704" s="259" t="s">
        <v>51</v>
      </c>
      <c r="L704" s="168">
        <v>0</v>
      </c>
      <c r="M704" s="168">
        <v>0</v>
      </c>
      <c r="N704" s="169">
        <f t="shared" si="113"/>
        <v>0</v>
      </c>
      <c r="O704" s="169">
        <f t="shared" si="114"/>
        <v>0</v>
      </c>
      <c r="P704" s="312">
        <f t="shared" si="115"/>
        <v>0</v>
      </c>
      <c r="Q704" s="335"/>
    </row>
    <row r="705" spans="1:17" hidden="1" x14ac:dyDescent="0.5">
      <c r="A705" s="115">
        <f t="shared" si="116"/>
        <v>53</v>
      </c>
      <c r="B705" s="116" t="s">
        <v>239</v>
      </c>
      <c r="C705" s="129" t="s">
        <v>240</v>
      </c>
      <c r="D705" s="72" t="s">
        <v>241</v>
      </c>
      <c r="E705" s="73" t="s">
        <v>242</v>
      </c>
      <c r="F705" s="73"/>
      <c r="G705" s="73" t="s">
        <v>275</v>
      </c>
      <c r="H705" s="73"/>
      <c r="I705" s="191"/>
      <c r="J705" s="19">
        <f t="shared" si="112"/>
        <v>0</v>
      </c>
      <c r="K705" s="259" t="s">
        <v>51</v>
      </c>
      <c r="L705" s="168">
        <v>0</v>
      </c>
      <c r="M705" s="168">
        <v>0</v>
      </c>
      <c r="N705" s="169">
        <f t="shared" si="113"/>
        <v>0</v>
      </c>
      <c r="O705" s="169">
        <f t="shared" si="114"/>
        <v>0</v>
      </c>
      <c r="P705" s="312">
        <f t="shared" si="115"/>
        <v>0</v>
      </c>
      <c r="Q705" s="335"/>
    </row>
    <row r="706" spans="1:17" hidden="1" x14ac:dyDescent="0.5">
      <c r="A706" s="115">
        <f t="shared" si="116"/>
        <v>54</v>
      </c>
      <c r="B706" s="116" t="s">
        <v>239</v>
      </c>
      <c r="C706" s="129" t="s">
        <v>240</v>
      </c>
      <c r="D706" s="72" t="s">
        <v>241</v>
      </c>
      <c r="E706" s="73" t="s">
        <v>242</v>
      </c>
      <c r="F706" s="73"/>
      <c r="G706" s="73" t="s">
        <v>276</v>
      </c>
      <c r="H706" s="73"/>
      <c r="I706" s="191"/>
      <c r="J706" s="19">
        <f t="shared" si="112"/>
        <v>0</v>
      </c>
      <c r="K706" s="259" t="s">
        <v>51</v>
      </c>
      <c r="L706" s="168">
        <v>0</v>
      </c>
      <c r="M706" s="168">
        <v>0</v>
      </c>
      <c r="N706" s="169">
        <f t="shared" si="113"/>
        <v>0</v>
      </c>
      <c r="O706" s="169">
        <f t="shared" si="114"/>
        <v>0</v>
      </c>
      <c r="P706" s="312">
        <f t="shared" si="115"/>
        <v>0</v>
      </c>
      <c r="Q706" s="335"/>
    </row>
    <row r="707" spans="1:17" hidden="1" x14ac:dyDescent="0.5">
      <c r="A707" s="115">
        <f t="shared" si="116"/>
        <v>55</v>
      </c>
      <c r="B707" s="116" t="s">
        <v>239</v>
      </c>
      <c r="C707" s="129" t="s">
        <v>240</v>
      </c>
      <c r="D707" s="72" t="s">
        <v>241</v>
      </c>
      <c r="E707" s="73" t="s">
        <v>242</v>
      </c>
      <c r="F707" s="73"/>
      <c r="G707" s="73" t="s">
        <v>277</v>
      </c>
      <c r="H707" s="73"/>
      <c r="I707" s="191"/>
      <c r="J707" s="19">
        <f t="shared" si="112"/>
        <v>0</v>
      </c>
      <c r="K707" s="259" t="s">
        <v>51</v>
      </c>
      <c r="L707" s="168">
        <v>0</v>
      </c>
      <c r="M707" s="168">
        <v>0</v>
      </c>
      <c r="N707" s="169">
        <f t="shared" si="113"/>
        <v>0</v>
      </c>
      <c r="O707" s="169">
        <f t="shared" si="114"/>
        <v>0</v>
      </c>
      <c r="P707" s="312">
        <f t="shared" si="115"/>
        <v>0</v>
      </c>
      <c r="Q707" s="335"/>
    </row>
    <row r="708" spans="1:17" hidden="1" x14ac:dyDescent="0.5">
      <c r="A708" s="115">
        <f t="shared" si="116"/>
        <v>56</v>
      </c>
      <c r="B708" s="116" t="s">
        <v>239</v>
      </c>
      <c r="C708" s="129" t="s">
        <v>240</v>
      </c>
      <c r="D708" s="72" t="s">
        <v>241</v>
      </c>
      <c r="E708" s="73" t="s">
        <v>242</v>
      </c>
      <c r="F708" s="73"/>
      <c r="G708" s="73" t="s">
        <v>431</v>
      </c>
      <c r="H708" s="73"/>
      <c r="I708" s="191"/>
      <c r="J708" s="19">
        <f t="shared" si="112"/>
        <v>0</v>
      </c>
      <c r="K708" s="259" t="s">
        <v>51</v>
      </c>
      <c r="L708" s="168">
        <v>0</v>
      </c>
      <c r="M708" s="168">
        <v>0</v>
      </c>
      <c r="N708" s="169">
        <f t="shared" si="113"/>
        <v>0</v>
      </c>
      <c r="O708" s="169">
        <f t="shared" si="114"/>
        <v>0</v>
      </c>
      <c r="P708" s="312">
        <f t="shared" si="115"/>
        <v>0</v>
      </c>
      <c r="Q708" s="335"/>
    </row>
    <row r="709" spans="1:17" hidden="1" x14ac:dyDescent="0.5">
      <c r="A709" s="115">
        <f t="shared" si="116"/>
        <v>57</v>
      </c>
      <c r="B709" s="116" t="s">
        <v>239</v>
      </c>
      <c r="C709" s="129" t="s">
        <v>240</v>
      </c>
      <c r="D709" s="72" t="s">
        <v>241</v>
      </c>
      <c r="E709" s="73" t="s">
        <v>242</v>
      </c>
      <c r="F709" s="73"/>
      <c r="G709" s="73" t="s">
        <v>432</v>
      </c>
      <c r="H709" s="73"/>
      <c r="I709" s="191"/>
      <c r="J709" s="19">
        <f t="shared" si="112"/>
        <v>0</v>
      </c>
      <c r="K709" s="259" t="s">
        <v>51</v>
      </c>
      <c r="L709" s="168">
        <v>0</v>
      </c>
      <c r="M709" s="168">
        <v>0</v>
      </c>
      <c r="N709" s="169">
        <f t="shared" si="113"/>
        <v>0</v>
      </c>
      <c r="O709" s="169">
        <f t="shared" si="114"/>
        <v>0</v>
      </c>
      <c r="P709" s="312">
        <f t="shared" si="115"/>
        <v>0</v>
      </c>
      <c r="Q709" s="335"/>
    </row>
    <row r="710" spans="1:17" hidden="1" x14ac:dyDescent="0.5">
      <c r="A710" s="115">
        <f t="shared" si="116"/>
        <v>58</v>
      </c>
      <c r="B710" s="116" t="s">
        <v>239</v>
      </c>
      <c r="C710" s="129" t="s">
        <v>240</v>
      </c>
      <c r="D710" s="72" t="s">
        <v>241</v>
      </c>
      <c r="E710" s="73" t="s">
        <v>242</v>
      </c>
      <c r="F710" s="73"/>
      <c r="G710" s="73" t="s">
        <v>433</v>
      </c>
      <c r="H710" s="73"/>
      <c r="I710" s="191"/>
      <c r="J710" s="19">
        <f t="shared" si="112"/>
        <v>0</v>
      </c>
      <c r="K710" s="259" t="s">
        <v>51</v>
      </c>
      <c r="L710" s="168">
        <v>0</v>
      </c>
      <c r="M710" s="168">
        <v>0</v>
      </c>
      <c r="N710" s="169">
        <f t="shared" si="113"/>
        <v>0</v>
      </c>
      <c r="O710" s="169">
        <f t="shared" si="114"/>
        <v>0</v>
      </c>
      <c r="P710" s="312">
        <f t="shared" si="115"/>
        <v>0</v>
      </c>
      <c r="Q710" s="335"/>
    </row>
    <row r="711" spans="1:17" hidden="1" x14ac:dyDescent="0.5">
      <c r="A711" s="115">
        <f t="shared" si="116"/>
        <v>59</v>
      </c>
      <c r="B711" s="116" t="s">
        <v>239</v>
      </c>
      <c r="C711" s="129" t="s">
        <v>240</v>
      </c>
      <c r="D711" s="72" t="s">
        <v>278</v>
      </c>
      <c r="E711" s="73" t="s">
        <v>279</v>
      </c>
      <c r="F711" s="73"/>
      <c r="G711" s="73" t="s">
        <v>280</v>
      </c>
      <c r="H711" s="73"/>
      <c r="I711" s="191"/>
      <c r="J711" s="19">
        <f t="shared" si="112"/>
        <v>0</v>
      </c>
      <c r="K711" s="259" t="s">
        <v>51</v>
      </c>
      <c r="L711" s="168">
        <v>0</v>
      </c>
      <c r="M711" s="168">
        <v>0</v>
      </c>
      <c r="N711" s="169">
        <f t="shared" si="113"/>
        <v>0</v>
      </c>
      <c r="O711" s="169">
        <f t="shared" si="114"/>
        <v>0</v>
      </c>
      <c r="P711" s="312">
        <f t="shared" si="115"/>
        <v>0</v>
      </c>
      <c r="Q711" s="335"/>
    </row>
    <row r="712" spans="1:17" hidden="1" x14ac:dyDescent="0.5">
      <c r="A712" s="115">
        <f t="shared" si="116"/>
        <v>60</v>
      </c>
      <c r="B712" s="116" t="s">
        <v>239</v>
      </c>
      <c r="C712" s="129" t="s">
        <v>240</v>
      </c>
      <c r="D712" s="72" t="s">
        <v>278</v>
      </c>
      <c r="E712" s="73" t="s">
        <v>279</v>
      </c>
      <c r="F712" s="73"/>
      <c r="G712" s="73" t="s">
        <v>281</v>
      </c>
      <c r="H712" s="73"/>
      <c r="I712" s="191"/>
      <c r="J712" s="19">
        <f t="shared" si="112"/>
        <v>0</v>
      </c>
      <c r="K712" s="259" t="s">
        <v>51</v>
      </c>
      <c r="L712" s="168">
        <v>0</v>
      </c>
      <c r="M712" s="168">
        <v>0</v>
      </c>
      <c r="N712" s="169">
        <f t="shared" si="113"/>
        <v>0</v>
      </c>
      <c r="O712" s="169">
        <f t="shared" si="114"/>
        <v>0</v>
      </c>
      <c r="P712" s="312">
        <f t="shared" si="115"/>
        <v>0</v>
      </c>
      <c r="Q712" s="335"/>
    </row>
    <row r="713" spans="1:17" hidden="1" x14ac:dyDescent="0.5">
      <c r="A713" s="115">
        <f t="shared" si="116"/>
        <v>61</v>
      </c>
      <c r="B713" s="116" t="s">
        <v>239</v>
      </c>
      <c r="C713" s="129" t="s">
        <v>240</v>
      </c>
      <c r="D713" s="72" t="s">
        <v>278</v>
      </c>
      <c r="E713" s="73" t="s">
        <v>279</v>
      </c>
      <c r="F713" s="73"/>
      <c r="G713" s="73" t="s">
        <v>282</v>
      </c>
      <c r="H713" s="73"/>
      <c r="I713" s="191"/>
      <c r="J713" s="19">
        <f t="shared" si="112"/>
        <v>0</v>
      </c>
      <c r="K713" s="259" t="s">
        <v>51</v>
      </c>
      <c r="L713" s="168">
        <v>0</v>
      </c>
      <c r="M713" s="168">
        <v>0</v>
      </c>
      <c r="N713" s="169">
        <f t="shared" si="113"/>
        <v>0</v>
      </c>
      <c r="O713" s="169">
        <f t="shared" si="114"/>
        <v>0</v>
      </c>
      <c r="P713" s="312">
        <f t="shared" si="115"/>
        <v>0</v>
      </c>
      <c r="Q713" s="335"/>
    </row>
    <row r="714" spans="1:17" hidden="1" x14ac:dyDescent="0.5">
      <c r="A714" s="115">
        <f t="shared" si="116"/>
        <v>62</v>
      </c>
      <c r="B714" s="116" t="s">
        <v>239</v>
      </c>
      <c r="C714" s="129" t="s">
        <v>240</v>
      </c>
      <c r="D714" s="72" t="s">
        <v>278</v>
      </c>
      <c r="E714" s="73" t="s">
        <v>279</v>
      </c>
      <c r="F714" s="73"/>
      <c r="G714" s="73" t="s">
        <v>283</v>
      </c>
      <c r="H714" s="73"/>
      <c r="I714" s="191"/>
      <c r="J714" s="19">
        <f t="shared" si="112"/>
        <v>0</v>
      </c>
      <c r="K714" s="259" t="s">
        <v>51</v>
      </c>
      <c r="L714" s="168">
        <v>0</v>
      </c>
      <c r="M714" s="168">
        <v>0</v>
      </c>
      <c r="N714" s="169">
        <f t="shared" si="113"/>
        <v>0</v>
      </c>
      <c r="O714" s="169">
        <f t="shared" si="114"/>
        <v>0</v>
      </c>
      <c r="P714" s="312">
        <f t="shared" si="115"/>
        <v>0</v>
      </c>
      <c r="Q714" s="335"/>
    </row>
    <row r="715" spans="1:17" hidden="1" x14ac:dyDescent="0.5">
      <c r="A715" s="115">
        <f t="shared" si="116"/>
        <v>63</v>
      </c>
      <c r="B715" s="116" t="s">
        <v>239</v>
      </c>
      <c r="C715" s="129" t="s">
        <v>240</v>
      </c>
      <c r="D715" s="72" t="s">
        <v>278</v>
      </c>
      <c r="E715" s="73" t="s">
        <v>279</v>
      </c>
      <c r="F715" s="73"/>
      <c r="G715" s="73" t="s">
        <v>284</v>
      </c>
      <c r="H715" s="73"/>
      <c r="I715" s="191"/>
      <c r="J715" s="19">
        <f t="shared" si="112"/>
        <v>0</v>
      </c>
      <c r="K715" s="259" t="s">
        <v>51</v>
      </c>
      <c r="L715" s="168">
        <v>0</v>
      </c>
      <c r="M715" s="168">
        <v>0</v>
      </c>
      <c r="N715" s="169">
        <f t="shared" si="113"/>
        <v>0</v>
      </c>
      <c r="O715" s="169">
        <f t="shared" si="114"/>
        <v>0</v>
      </c>
      <c r="P715" s="312">
        <f t="shared" si="115"/>
        <v>0</v>
      </c>
      <c r="Q715" s="335"/>
    </row>
    <row r="716" spans="1:17" hidden="1" x14ac:dyDescent="0.5">
      <c r="A716" s="115">
        <f t="shared" si="116"/>
        <v>64</v>
      </c>
      <c r="B716" s="116" t="s">
        <v>239</v>
      </c>
      <c r="C716" s="129" t="s">
        <v>240</v>
      </c>
      <c r="D716" s="72" t="s">
        <v>278</v>
      </c>
      <c r="E716" s="73" t="s">
        <v>279</v>
      </c>
      <c r="F716" s="73"/>
      <c r="G716" s="73" t="s">
        <v>285</v>
      </c>
      <c r="H716" s="73"/>
      <c r="I716" s="191"/>
      <c r="J716" s="19">
        <f t="shared" si="112"/>
        <v>0</v>
      </c>
      <c r="K716" s="259" t="s">
        <v>51</v>
      </c>
      <c r="L716" s="168">
        <v>0</v>
      </c>
      <c r="M716" s="168">
        <v>0</v>
      </c>
      <c r="N716" s="169">
        <f t="shared" si="113"/>
        <v>0</v>
      </c>
      <c r="O716" s="169">
        <f t="shared" si="114"/>
        <v>0</v>
      </c>
      <c r="P716" s="312">
        <f t="shared" si="115"/>
        <v>0</v>
      </c>
      <c r="Q716" s="335"/>
    </row>
    <row r="717" spans="1:17" hidden="1" x14ac:dyDescent="0.5">
      <c r="A717" s="115">
        <f t="shared" si="116"/>
        <v>65</v>
      </c>
      <c r="B717" s="116" t="s">
        <v>239</v>
      </c>
      <c r="C717" s="129" t="s">
        <v>240</v>
      </c>
      <c r="D717" s="72" t="s">
        <v>278</v>
      </c>
      <c r="E717" s="73" t="s">
        <v>279</v>
      </c>
      <c r="F717" s="73"/>
      <c r="G717" s="73" t="s">
        <v>286</v>
      </c>
      <c r="H717" s="73"/>
      <c r="I717" s="191"/>
      <c r="J717" s="19">
        <f t="shared" si="112"/>
        <v>0</v>
      </c>
      <c r="K717" s="259" t="s">
        <v>51</v>
      </c>
      <c r="L717" s="168">
        <v>0</v>
      </c>
      <c r="M717" s="168">
        <v>0</v>
      </c>
      <c r="N717" s="169">
        <f t="shared" si="113"/>
        <v>0</v>
      </c>
      <c r="O717" s="169">
        <f t="shared" si="114"/>
        <v>0</v>
      </c>
      <c r="P717" s="312">
        <f t="shared" si="115"/>
        <v>0</v>
      </c>
      <c r="Q717" s="335"/>
    </row>
    <row r="718" spans="1:17" hidden="1" x14ac:dyDescent="0.5">
      <c r="A718" s="115">
        <f t="shared" si="116"/>
        <v>66</v>
      </c>
      <c r="B718" s="116" t="s">
        <v>239</v>
      </c>
      <c r="C718" s="129" t="s">
        <v>240</v>
      </c>
      <c r="D718" s="72" t="s">
        <v>278</v>
      </c>
      <c r="E718" s="73" t="s">
        <v>279</v>
      </c>
      <c r="F718" s="73"/>
      <c r="G718" s="73" t="s">
        <v>287</v>
      </c>
      <c r="H718" s="73"/>
      <c r="I718" s="191"/>
      <c r="J718" s="19">
        <f t="shared" si="112"/>
        <v>0</v>
      </c>
      <c r="K718" s="259" t="s">
        <v>51</v>
      </c>
      <c r="L718" s="168">
        <v>0</v>
      </c>
      <c r="M718" s="168">
        <v>0</v>
      </c>
      <c r="N718" s="169">
        <f t="shared" si="113"/>
        <v>0</v>
      </c>
      <c r="O718" s="169">
        <f t="shared" si="114"/>
        <v>0</v>
      </c>
      <c r="P718" s="312">
        <f t="shared" si="115"/>
        <v>0</v>
      </c>
      <c r="Q718" s="335"/>
    </row>
    <row r="719" spans="1:17" hidden="1" x14ac:dyDescent="0.5">
      <c r="A719" s="115">
        <f t="shared" ref="A719:A731" si="117">A718+1</f>
        <v>67</v>
      </c>
      <c r="B719" s="116" t="s">
        <v>239</v>
      </c>
      <c r="C719" s="129" t="s">
        <v>240</v>
      </c>
      <c r="D719" s="72" t="s">
        <v>278</v>
      </c>
      <c r="E719" s="73" t="s">
        <v>279</v>
      </c>
      <c r="F719" s="73"/>
      <c r="G719" s="73" t="s">
        <v>288</v>
      </c>
      <c r="H719" s="73"/>
      <c r="I719" s="191"/>
      <c r="J719" s="19">
        <f t="shared" si="112"/>
        <v>0</v>
      </c>
      <c r="K719" s="259" t="s">
        <v>51</v>
      </c>
      <c r="L719" s="168">
        <v>0</v>
      </c>
      <c r="M719" s="168">
        <v>0</v>
      </c>
      <c r="N719" s="169">
        <f t="shared" si="113"/>
        <v>0</v>
      </c>
      <c r="O719" s="169">
        <f t="shared" si="114"/>
        <v>0</v>
      </c>
      <c r="P719" s="312">
        <f t="shared" si="115"/>
        <v>0</v>
      </c>
      <c r="Q719" s="335"/>
    </row>
    <row r="720" spans="1:17" hidden="1" x14ac:dyDescent="0.5">
      <c r="A720" s="115">
        <f t="shared" si="117"/>
        <v>68</v>
      </c>
      <c r="B720" s="116" t="s">
        <v>239</v>
      </c>
      <c r="C720" s="129" t="s">
        <v>240</v>
      </c>
      <c r="D720" s="72" t="s">
        <v>289</v>
      </c>
      <c r="E720" s="73" t="s">
        <v>290</v>
      </c>
      <c r="F720" s="73"/>
      <c r="G720" s="73" t="s">
        <v>291</v>
      </c>
      <c r="H720" s="73"/>
      <c r="I720" s="191"/>
      <c r="J720" s="19">
        <f t="shared" si="112"/>
        <v>0</v>
      </c>
      <c r="K720" s="259" t="s">
        <v>51</v>
      </c>
      <c r="L720" s="168">
        <v>0</v>
      </c>
      <c r="M720" s="168">
        <v>0</v>
      </c>
      <c r="N720" s="169">
        <f t="shared" si="113"/>
        <v>0</v>
      </c>
      <c r="O720" s="169">
        <f t="shared" si="114"/>
        <v>0</v>
      </c>
      <c r="P720" s="312">
        <f t="shared" si="115"/>
        <v>0</v>
      </c>
      <c r="Q720" s="335"/>
    </row>
    <row r="721" spans="1:17" hidden="1" x14ac:dyDescent="0.5">
      <c r="A721" s="115">
        <f t="shared" si="117"/>
        <v>69</v>
      </c>
      <c r="B721" s="116" t="s">
        <v>239</v>
      </c>
      <c r="C721" s="129" t="s">
        <v>240</v>
      </c>
      <c r="D721" s="72" t="s">
        <v>449</v>
      </c>
      <c r="E721" s="73"/>
      <c r="F721" s="73"/>
      <c r="G721" s="73"/>
      <c r="H721" s="73"/>
      <c r="I721" s="191"/>
      <c r="J721" s="19">
        <v>0</v>
      </c>
      <c r="K721" s="259" t="s">
        <v>51</v>
      </c>
      <c r="L721" s="168">
        <v>0</v>
      </c>
      <c r="M721" s="168">
        <v>0</v>
      </c>
      <c r="N721" s="169">
        <f t="shared" si="113"/>
        <v>0</v>
      </c>
      <c r="O721" s="169">
        <f t="shared" si="114"/>
        <v>0</v>
      </c>
      <c r="P721" s="312">
        <f t="shared" si="115"/>
        <v>0</v>
      </c>
      <c r="Q721" s="335"/>
    </row>
    <row r="722" spans="1:17" hidden="1" x14ac:dyDescent="0.5">
      <c r="A722" s="115">
        <f t="shared" si="117"/>
        <v>70</v>
      </c>
      <c r="B722" s="116" t="s">
        <v>239</v>
      </c>
      <c r="C722" s="129" t="s">
        <v>240</v>
      </c>
      <c r="D722" s="72" t="s">
        <v>292</v>
      </c>
      <c r="E722" s="73"/>
      <c r="F722" s="73"/>
      <c r="G722" s="73"/>
      <c r="H722" s="73"/>
      <c r="I722" s="191"/>
      <c r="J722" s="19">
        <f t="shared" si="112"/>
        <v>0</v>
      </c>
      <c r="K722" s="259" t="s">
        <v>51</v>
      </c>
      <c r="L722" s="168">
        <v>0</v>
      </c>
      <c r="M722" s="168">
        <v>0</v>
      </c>
      <c r="N722" s="169">
        <f t="shared" si="113"/>
        <v>0</v>
      </c>
      <c r="O722" s="169">
        <f t="shared" si="114"/>
        <v>0</v>
      </c>
      <c r="P722" s="312">
        <f t="shared" si="115"/>
        <v>0</v>
      </c>
      <c r="Q722" s="335"/>
    </row>
    <row r="723" spans="1:17" hidden="1" x14ac:dyDescent="0.5">
      <c r="A723" s="115">
        <f t="shared" si="117"/>
        <v>71</v>
      </c>
      <c r="B723" s="116" t="s">
        <v>239</v>
      </c>
      <c r="C723" s="129" t="s">
        <v>293</v>
      </c>
      <c r="D723" s="72" t="s">
        <v>478</v>
      </c>
      <c r="E723" s="73"/>
      <c r="F723" s="73"/>
      <c r="G723" s="73" t="s">
        <v>450</v>
      </c>
      <c r="H723" s="73"/>
      <c r="I723" s="191"/>
      <c r="J723" s="19">
        <f t="shared" si="112"/>
        <v>0</v>
      </c>
      <c r="K723" s="259" t="s">
        <v>22</v>
      </c>
      <c r="L723" s="168">
        <v>0</v>
      </c>
      <c r="M723" s="168">
        <v>0</v>
      </c>
      <c r="N723" s="169">
        <f t="shared" si="113"/>
        <v>0</v>
      </c>
      <c r="O723" s="169">
        <f t="shared" si="114"/>
        <v>0</v>
      </c>
      <c r="P723" s="312">
        <f t="shared" si="115"/>
        <v>0</v>
      </c>
      <c r="Q723" s="335"/>
    </row>
    <row r="724" spans="1:17" hidden="1" x14ac:dyDescent="0.5">
      <c r="A724" s="115">
        <f t="shared" si="117"/>
        <v>72</v>
      </c>
      <c r="B724" s="116" t="s">
        <v>239</v>
      </c>
      <c r="C724" s="129" t="s">
        <v>293</v>
      </c>
      <c r="D724" s="72" t="s">
        <v>478</v>
      </c>
      <c r="E724" s="73"/>
      <c r="F724" s="73"/>
      <c r="G724" s="73" t="s">
        <v>434</v>
      </c>
      <c r="H724" s="73"/>
      <c r="I724" s="191"/>
      <c r="J724" s="19">
        <f t="shared" si="112"/>
        <v>0</v>
      </c>
      <c r="K724" s="259" t="s">
        <v>22</v>
      </c>
      <c r="L724" s="168">
        <v>0</v>
      </c>
      <c r="M724" s="168">
        <v>0</v>
      </c>
      <c r="N724" s="169">
        <f t="shared" si="113"/>
        <v>0</v>
      </c>
      <c r="O724" s="169">
        <f t="shared" si="114"/>
        <v>0</v>
      </c>
      <c r="P724" s="312">
        <f t="shared" si="115"/>
        <v>0</v>
      </c>
      <c r="Q724" s="335"/>
    </row>
    <row r="725" spans="1:17" hidden="1" x14ac:dyDescent="0.5">
      <c r="A725" s="115">
        <f t="shared" si="117"/>
        <v>73</v>
      </c>
      <c r="B725" s="116" t="s">
        <v>239</v>
      </c>
      <c r="C725" s="129" t="s">
        <v>293</v>
      </c>
      <c r="D725" s="72" t="s">
        <v>478</v>
      </c>
      <c r="E725" s="73"/>
      <c r="F725" s="73"/>
      <c r="G725" s="73" t="s">
        <v>435</v>
      </c>
      <c r="H725" s="73"/>
      <c r="I725" s="191"/>
      <c r="J725" s="19">
        <f t="shared" si="112"/>
        <v>0</v>
      </c>
      <c r="K725" s="259" t="s">
        <v>22</v>
      </c>
      <c r="L725" s="168">
        <v>0</v>
      </c>
      <c r="M725" s="168">
        <v>0</v>
      </c>
      <c r="N725" s="169">
        <f t="shared" si="113"/>
        <v>0</v>
      </c>
      <c r="O725" s="169">
        <f t="shared" si="114"/>
        <v>0</v>
      </c>
      <c r="P725" s="312">
        <f t="shared" si="115"/>
        <v>0</v>
      </c>
      <c r="Q725" s="335"/>
    </row>
    <row r="726" spans="1:17" hidden="1" x14ac:dyDescent="0.5">
      <c r="A726" s="115">
        <f t="shared" si="117"/>
        <v>74</v>
      </c>
      <c r="B726" s="116" t="s">
        <v>239</v>
      </c>
      <c r="C726" s="129" t="s">
        <v>293</v>
      </c>
      <c r="D726" s="72" t="s">
        <v>478</v>
      </c>
      <c r="E726" s="73"/>
      <c r="F726" s="73"/>
      <c r="G726" s="73" t="s">
        <v>436</v>
      </c>
      <c r="H726" s="73"/>
      <c r="I726" s="191"/>
      <c r="J726" s="19">
        <f t="shared" si="112"/>
        <v>0</v>
      </c>
      <c r="K726" s="259" t="s">
        <v>22</v>
      </c>
      <c r="L726" s="168">
        <v>0</v>
      </c>
      <c r="M726" s="168">
        <v>0</v>
      </c>
      <c r="N726" s="169">
        <f t="shared" si="113"/>
        <v>0</v>
      </c>
      <c r="O726" s="169">
        <f t="shared" si="114"/>
        <v>0</v>
      </c>
      <c r="P726" s="312">
        <f t="shared" si="115"/>
        <v>0</v>
      </c>
      <c r="Q726" s="335"/>
    </row>
    <row r="727" spans="1:17" hidden="1" x14ac:dyDescent="0.5">
      <c r="A727" s="115">
        <f t="shared" si="117"/>
        <v>75</v>
      </c>
      <c r="B727" s="116" t="s">
        <v>239</v>
      </c>
      <c r="C727" s="129" t="s">
        <v>293</v>
      </c>
      <c r="D727" s="72" t="s">
        <v>478</v>
      </c>
      <c r="E727" s="73"/>
      <c r="F727" s="73"/>
      <c r="G727" s="73" t="s">
        <v>437</v>
      </c>
      <c r="H727" s="73"/>
      <c r="I727" s="191"/>
      <c r="J727" s="19">
        <f t="shared" si="112"/>
        <v>0</v>
      </c>
      <c r="K727" s="259" t="s">
        <v>22</v>
      </c>
      <c r="L727" s="168">
        <v>0</v>
      </c>
      <c r="M727" s="168">
        <v>0</v>
      </c>
      <c r="N727" s="169">
        <f t="shared" si="113"/>
        <v>0</v>
      </c>
      <c r="O727" s="169">
        <f t="shared" si="114"/>
        <v>0</v>
      </c>
      <c r="P727" s="312">
        <f t="shared" si="115"/>
        <v>0</v>
      </c>
      <c r="Q727" s="335"/>
    </row>
    <row r="728" spans="1:17" hidden="1" x14ac:dyDescent="0.5">
      <c r="A728" s="115">
        <f t="shared" si="117"/>
        <v>76</v>
      </c>
      <c r="B728" s="116" t="s">
        <v>239</v>
      </c>
      <c r="C728" s="129" t="s">
        <v>293</v>
      </c>
      <c r="D728" s="72" t="s">
        <v>478</v>
      </c>
      <c r="E728" s="73"/>
      <c r="F728" s="73"/>
      <c r="G728" s="73" t="s">
        <v>438</v>
      </c>
      <c r="H728" s="73"/>
      <c r="I728" s="191"/>
      <c r="J728" s="19">
        <f t="shared" si="112"/>
        <v>0</v>
      </c>
      <c r="K728" s="259" t="s">
        <v>22</v>
      </c>
      <c r="L728" s="168">
        <v>0</v>
      </c>
      <c r="M728" s="168">
        <v>0</v>
      </c>
      <c r="N728" s="169">
        <f t="shared" si="113"/>
        <v>0</v>
      </c>
      <c r="O728" s="169">
        <f t="shared" si="114"/>
        <v>0</v>
      </c>
      <c r="P728" s="312">
        <f t="shared" si="115"/>
        <v>0</v>
      </c>
      <c r="Q728" s="335"/>
    </row>
    <row r="729" spans="1:17" hidden="1" x14ac:dyDescent="0.5">
      <c r="A729" s="115">
        <f t="shared" si="117"/>
        <v>77</v>
      </c>
      <c r="B729" s="116" t="s">
        <v>239</v>
      </c>
      <c r="C729" s="129" t="s">
        <v>293</v>
      </c>
      <c r="D729" s="72" t="s">
        <v>478</v>
      </c>
      <c r="E729" s="73"/>
      <c r="F729" s="73"/>
      <c r="G729" s="73" t="s">
        <v>439</v>
      </c>
      <c r="H729" s="73"/>
      <c r="I729" s="191"/>
      <c r="J729" s="19">
        <f t="shared" si="112"/>
        <v>0</v>
      </c>
      <c r="K729" s="259" t="s">
        <v>22</v>
      </c>
      <c r="L729" s="168">
        <v>0</v>
      </c>
      <c r="M729" s="168">
        <v>0</v>
      </c>
      <c r="N729" s="169">
        <f t="shared" si="113"/>
        <v>0</v>
      </c>
      <c r="O729" s="169">
        <f t="shared" si="114"/>
        <v>0</v>
      </c>
      <c r="P729" s="312">
        <f t="shared" si="115"/>
        <v>0</v>
      </c>
      <c r="Q729" s="335"/>
    </row>
    <row r="730" spans="1:17" hidden="1" x14ac:dyDescent="0.5">
      <c r="A730" s="115">
        <f t="shared" si="117"/>
        <v>78</v>
      </c>
      <c r="B730" s="116" t="s">
        <v>239</v>
      </c>
      <c r="C730" s="129" t="s">
        <v>293</v>
      </c>
      <c r="D730" s="72" t="s">
        <v>451</v>
      </c>
      <c r="E730" s="73"/>
      <c r="F730" s="73"/>
      <c r="G730" s="73" t="s">
        <v>452</v>
      </c>
      <c r="H730" s="73"/>
      <c r="I730" s="191"/>
      <c r="J730" s="19">
        <f t="shared" ref="J730" si="118">I730</f>
        <v>0</v>
      </c>
      <c r="K730" s="259" t="s">
        <v>22</v>
      </c>
      <c r="L730" s="168">
        <v>0</v>
      </c>
      <c r="M730" s="168">
        <v>0</v>
      </c>
      <c r="N730" s="169">
        <f t="shared" ref="N730" si="119">L730*J730</f>
        <v>0</v>
      </c>
      <c r="O730" s="169">
        <f t="shared" ref="O730" si="120">M730*J730</f>
        <v>0</v>
      </c>
      <c r="P730" s="312">
        <f t="shared" ref="P730" si="121">(L730*J730)+(M730*J730)</f>
        <v>0</v>
      </c>
      <c r="Q730" s="335"/>
    </row>
    <row r="731" spans="1:17" hidden="1" x14ac:dyDescent="0.5">
      <c r="A731" s="115">
        <f t="shared" si="117"/>
        <v>79</v>
      </c>
      <c r="B731" s="116" t="s">
        <v>239</v>
      </c>
      <c r="C731" s="129" t="s">
        <v>293</v>
      </c>
      <c r="D731" s="43" t="s">
        <v>358</v>
      </c>
      <c r="E731" s="5"/>
      <c r="F731" s="5"/>
      <c r="G731" s="5"/>
      <c r="H731" s="5"/>
      <c r="I731" s="20"/>
      <c r="J731" s="19">
        <f>I731</f>
        <v>0</v>
      </c>
      <c r="K731" s="171"/>
      <c r="L731" s="168">
        <v>0</v>
      </c>
      <c r="M731" s="168">
        <v>0</v>
      </c>
      <c r="N731" s="169">
        <f>L731*J731</f>
        <v>0</v>
      </c>
      <c r="O731" s="169">
        <f>M731*J731</f>
        <v>0</v>
      </c>
      <c r="P731" s="312">
        <f>(L731*J731)+(M731*J731)</f>
        <v>0</v>
      </c>
      <c r="Q731" s="326"/>
    </row>
    <row r="732" spans="1:17" hidden="1" x14ac:dyDescent="0.5">
      <c r="A732" s="109">
        <f>A731+1</f>
        <v>80</v>
      </c>
      <c r="B732" s="110" t="s">
        <v>239</v>
      </c>
      <c r="C732" s="128" t="s">
        <v>293</v>
      </c>
      <c r="D732" s="45" t="s">
        <v>358</v>
      </c>
      <c r="E732" s="40"/>
      <c r="F732" s="40"/>
      <c r="G732" s="40"/>
      <c r="H732" s="40"/>
      <c r="I732" s="41"/>
      <c r="J732" s="24">
        <f>I732</f>
        <v>0</v>
      </c>
      <c r="K732" s="194"/>
      <c r="L732" s="195">
        <v>0</v>
      </c>
      <c r="M732" s="195">
        <v>0</v>
      </c>
      <c r="N732" s="196">
        <f>L732*J732</f>
        <v>0</v>
      </c>
      <c r="O732" s="196">
        <f>M732*J732</f>
        <v>0</v>
      </c>
      <c r="P732" s="313">
        <f>(L732*J732)+(M732*J732)</f>
        <v>0</v>
      </c>
      <c r="Q732" s="328"/>
    </row>
    <row r="733" spans="1:17" ht="23.25" hidden="1" customHeight="1" thickBot="1" x14ac:dyDescent="0.55000000000000004">
      <c r="A733" s="117"/>
      <c r="B733" s="92" t="s">
        <v>239</v>
      </c>
      <c r="C733" s="137" t="s">
        <v>294</v>
      </c>
      <c r="D733" s="273" t="s">
        <v>294</v>
      </c>
      <c r="E733" s="263"/>
      <c r="F733" s="263"/>
      <c r="G733" s="263"/>
      <c r="H733" s="264"/>
      <c r="I733" s="265"/>
      <c r="J733" s="289"/>
      <c r="K733" s="267"/>
      <c r="L733" s="268"/>
      <c r="M733" s="268"/>
      <c r="N733" s="288"/>
      <c r="O733" s="288"/>
      <c r="P733" s="324"/>
      <c r="Q733" s="348"/>
    </row>
    <row r="734" spans="1:17" hidden="1" x14ac:dyDescent="0.5">
      <c r="A734" s="113">
        <f>A732+1</f>
        <v>81</v>
      </c>
      <c r="B734" s="114" t="s">
        <v>239</v>
      </c>
      <c r="C734" s="127" t="s">
        <v>294</v>
      </c>
      <c r="D734" s="77" t="s">
        <v>295</v>
      </c>
      <c r="E734" s="78" t="s">
        <v>296</v>
      </c>
      <c r="F734" s="78"/>
      <c r="G734" s="78" t="s">
        <v>297</v>
      </c>
      <c r="H734" s="78"/>
      <c r="I734" s="189"/>
      <c r="J734" s="32">
        <f t="shared" ref="J734:J803" si="122">I734</f>
        <v>0</v>
      </c>
      <c r="K734" s="272" t="s">
        <v>22</v>
      </c>
      <c r="L734" s="185">
        <v>0</v>
      </c>
      <c r="M734" s="185">
        <v>0</v>
      </c>
      <c r="N734" s="186">
        <f t="shared" ref="N734:N747" si="123">L734*J734</f>
        <v>0</v>
      </c>
      <c r="O734" s="186">
        <f t="shared" ref="O734:O747" si="124">M734*J734</f>
        <v>0</v>
      </c>
      <c r="P734" s="311">
        <f t="shared" ref="P734:P747" si="125">(L734*J734)+(M734*J734)</f>
        <v>0</v>
      </c>
      <c r="Q734" s="336"/>
    </row>
    <row r="735" spans="1:17" hidden="1" x14ac:dyDescent="0.5">
      <c r="A735" s="115">
        <f>A734+1</f>
        <v>82</v>
      </c>
      <c r="B735" s="116" t="s">
        <v>239</v>
      </c>
      <c r="C735" s="129" t="s">
        <v>294</v>
      </c>
      <c r="D735" s="72" t="s">
        <v>295</v>
      </c>
      <c r="E735" s="73" t="s">
        <v>296</v>
      </c>
      <c r="F735" s="73"/>
      <c r="G735" s="73" t="s">
        <v>298</v>
      </c>
      <c r="H735" s="73"/>
      <c r="I735" s="191"/>
      <c r="J735" s="19">
        <f t="shared" si="122"/>
        <v>0</v>
      </c>
      <c r="K735" s="259" t="s">
        <v>22</v>
      </c>
      <c r="L735" s="168">
        <v>0</v>
      </c>
      <c r="M735" s="168">
        <v>0</v>
      </c>
      <c r="N735" s="169">
        <f t="shared" si="123"/>
        <v>0</v>
      </c>
      <c r="O735" s="169">
        <f t="shared" si="124"/>
        <v>0</v>
      </c>
      <c r="P735" s="312">
        <f t="shared" si="125"/>
        <v>0</v>
      </c>
      <c r="Q735" s="335"/>
    </row>
    <row r="736" spans="1:17" hidden="1" x14ac:dyDescent="0.5">
      <c r="A736" s="115">
        <v>85</v>
      </c>
      <c r="B736" s="116" t="s">
        <v>239</v>
      </c>
      <c r="C736" s="129" t="s">
        <v>294</v>
      </c>
      <c r="D736" s="72" t="s">
        <v>295</v>
      </c>
      <c r="E736" s="73" t="s">
        <v>296</v>
      </c>
      <c r="F736" s="73"/>
      <c r="G736" s="73" t="s">
        <v>299</v>
      </c>
      <c r="H736" s="73"/>
      <c r="I736" s="191"/>
      <c r="J736" s="19">
        <f t="shared" si="122"/>
        <v>0</v>
      </c>
      <c r="K736" s="259" t="s">
        <v>22</v>
      </c>
      <c r="L736" s="168">
        <v>0</v>
      </c>
      <c r="M736" s="168">
        <v>0</v>
      </c>
      <c r="N736" s="169">
        <f t="shared" si="123"/>
        <v>0</v>
      </c>
      <c r="O736" s="169">
        <f t="shared" si="124"/>
        <v>0</v>
      </c>
      <c r="P736" s="312">
        <f t="shared" si="125"/>
        <v>0</v>
      </c>
      <c r="Q736" s="335"/>
    </row>
    <row r="737" spans="1:17" hidden="1" x14ac:dyDescent="0.5">
      <c r="A737" s="115">
        <v>85</v>
      </c>
      <c r="B737" s="116" t="s">
        <v>239</v>
      </c>
      <c r="C737" s="129" t="s">
        <v>294</v>
      </c>
      <c r="D737" s="72" t="s">
        <v>295</v>
      </c>
      <c r="E737" s="73" t="s">
        <v>296</v>
      </c>
      <c r="F737" s="73"/>
      <c r="G737" s="73" t="s">
        <v>300</v>
      </c>
      <c r="H737" s="73"/>
      <c r="I737" s="191"/>
      <c r="J737" s="19">
        <f t="shared" si="122"/>
        <v>0</v>
      </c>
      <c r="K737" s="259" t="s">
        <v>22</v>
      </c>
      <c r="L737" s="168">
        <v>0</v>
      </c>
      <c r="M737" s="168">
        <v>0</v>
      </c>
      <c r="N737" s="169">
        <f t="shared" si="123"/>
        <v>0</v>
      </c>
      <c r="O737" s="169">
        <f t="shared" si="124"/>
        <v>0</v>
      </c>
      <c r="P737" s="312">
        <f t="shared" si="125"/>
        <v>0</v>
      </c>
      <c r="Q737" s="335"/>
    </row>
    <row r="738" spans="1:17" hidden="1" x14ac:dyDescent="0.5">
      <c r="A738" s="115">
        <v>85</v>
      </c>
      <c r="B738" s="116" t="s">
        <v>239</v>
      </c>
      <c r="C738" s="129" t="s">
        <v>294</v>
      </c>
      <c r="D738" s="72" t="s">
        <v>295</v>
      </c>
      <c r="E738" s="73" t="s">
        <v>296</v>
      </c>
      <c r="F738" s="73"/>
      <c r="G738" s="73" t="s">
        <v>301</v>
      </c>
      <c r="H738" s="73"/>
      <c r="I738" s="191"/>
      <c r="J738" s="19">
        <f t="shared" si="122"/>
        <v>0</v>
      </c>
      <c r="K738" s="259" t="s">
        <v>22</v>
      </c>
      <c r="L738" s="168">
        <v>0</v>
      </c>
      <c r="M738" s="168">
        <v>0</v>
      </c>
      <c r="N738" s="169">
        <f t="shared" si="123"/>
        <v>0</v>
      </c>
      <c r="O738" s="169">
        <f t="shared" si="124"/>
        <v>0</v>
      </c>
      <c r="P738" s="312">
        <f t="shared" si="125"/>
        <v>0</v>
      </c>
      <c r="Q738" s="335"/>
    </row>
    <row r="739" spans="1:17" hidden="1" x14ac:dyDescent="0.5">
      <c r="A739" s="115">
        <v>85</v>
      </c>
      <c r="B739" s="116" t="s">
        <v>239</v>
      </c>
      <c r="C739" s="129" t="s">
        <v>294</v>
      </c>
      <c r="D739" s="72" t="s">
        <v>295</v>
      </c>
      <c r="E739" s="73" t="s">
        <v>296</v>
      </c>
      <c r="F739" s="73"/>
      <c r="G739" s="73" t="s">
        <v>302</v>
      </c>
      <c r="H739" s="73"/>
      <c r="I739" s="191"/>
      <c r="J739" s="19">
        <f t="shared" si="122"/>
        <v>0</v>
      </c>
      <c r="K739" s="259" t="s">
        <v>22</v>
      </c>
      <c r="L739" s="168">
        <v>0</v>
      </c>
      <c r="M739" s="168">
        <v>0</v>
      </c>
      <c r="N739" s="169">
        <f t="shared" si="123"/>
        <v>0</v>
      </c>
      <c r="O739" s="169">
        <f t="shared" si="124"/>
        <v>0</v>
      </c>
      <c r="P739" s="312">
        <f t="shared" si="125"/>
        <v>0</v>
      </c>
      <c r="Q739" s="335"/>
    </row>
    <row r="740" spans="1:17" hidden="1" x14ac:dyDescent="0.5">
      <c r="A740" s="115">
        <v>85</v>
      </c>
      <c r="B740" s="116" t="s">
        <v>239</v>
      </c>
      <c r="C740" s="129" t="s">
        <v>294</v>
      </c>
      <c r="D740" s="72" t="s">
        <v>295</v>
      </c>
      <c r="E740" s="73" t="s">
        <v>296</v>
      </c>
      <c r="F740" s="73"/>
      <c r="G740" s="73" t="s">
        <v>303</v>
      </c>
      <c r="H740" s="73"/>
      <c r="I740" s="191"/>
      <c r="J740" s="19">
        <f t="shared" si="122"/>
        <v>0</v>
      </c>
      <c r="K740" s="259" t="s">
        <v>22</v>
      </c>
      <c r="L740" s="168">
        <v>0</v>
      </c>
      <c r="M740" s="168">
        <v>0</v>
      </c>
      <c r="N740" s="169">
        <f t="shared" si="123"/>
        <v>0</v>
      </c>
      <c r="O740" s="169">
        <f t="shared" si="124"/>
        <v>0</v>
      </c>
      <c r="P740" s="312">
        <f t="shared" si="125"/>
        <v>0</v>
      </c>
      <c r="Q740" s="335"/>
    </row>
    <row r="741" spans="1:17" hidden="1" x14ac:dyDescent="0.5">
      <c r="A741" s="115">
        <v>85</v>
      </c>
      <c r="B741" s="116" t="s">
        <v>239</v>
      </c>
      <c r="C741" s="129" t="s">
        <v>294</v>
      </c>
      <c r="D741" s="72" t="s">
        <v>304</v>
      </c>
      <c r="E741" s="73" t="s">
        <v>305</v>
      </c>
      <c r="F741" s="73"/>
      <c r="G741" s="73" t="s">
        <v>306</v>
      </c>
      <c r="H741" s="73"/>
      <c r="I741" s="191"/>
      <c r="J741" s="19">
        <f t="shared" si="122"/>
        <v>0</v>
      </c>
      <c r="K741" s="259" t="s">
        <v>22</v>
      </c>
      <c r="L741" s="168">
        <v>0</v>
      </c>
      <c r="M741" s="168">
        <v>0</v>
      </c>
      <c r="N741" s="169">
        <f t="shared" si="123"/>
        <v>0</v>
      </c>
      <c r="O741" s="169">
        <f t="shared" si="124"/>
        <v>0</v>
      </c>
      <c r="P741" s="312">
        <f t="shared" si="125"/>
        <v>0</v>
      </c>
      <c r="Q741" s="335"/>
    </row>
    <row r="742" spans="1:17" hidden="1" x14ac:dyDescent="0.5">
      <c r="A742" s="115">
        <v>85</v>
      </c>
      <c r="B742" s="116" t="s">
        <v>239</v>
      </c>
      <c r="C742" s="129" t="s">
        <v>294</v>
      </c>
      <c r="D742" s="72" t="s">
        <v>304</v>
      </c>
      <c r="E742" s="73" t="s">
        <v>305</v>
      </c>
      <c r="F742" s="73"/>
      <c r="G742" s="73" t="s">
        <v>298</v>
      </c>
      <c r="H742" s="73"/>
      <c r="I742" s="191"/>
      <c r="J742" s="19">
        <f t="shared" si="122"/>
        <v>0</v>
      </c>
      <c r="K742" s="259" t="s">
        <v>22</v>
      </c>
      <c r="L742" s="168">
        <v>0</v>
      </c>
      <c r="M742" s="168">
        <v>0</v>
      </c>
      <c r="N742" s="169">
        <f t="shared" si="123"/>
        <v>0</v>
      </c>
      <c r="O742" s="169">
        <f t="shared" si="124"/>
        <v>0</v>
      </c>
      <c r="P742" s="312">
        <f t="shared" si="125"/>
        <v>0</v>
      </c>
      <c r="Q742" s="335"/>
    </row>
    <row r="743" spans="1:17" hidden="1" x14ac:dyDescent="0.5">
      <c r="A743" s="115">
        <v>85</v>
      </c>
      <c r="B743" s="116" t="s">
        <v>239</v>
      </c>
      <c r="C743" s="129" t="s">
        <v>294</v>
      </c>
      <c r="D743" s="72" t="s">
        <v>307</v>
      </c>
      <c r="E743" s="118" t="s">
        <v>308</v>
      </c>
      <c r="F743" s="73"/>
      <c r="G743" s="73"/>
      <c r="H743" s="73" t="s">
        <v>309</v>
      </c>
      <c r="I743" s="191"/>
      <c r="J743" s="19">
        <f t="shared" si="122"/>
        <v>0</v>
      </c>
      <c r="K743" s="259" t="s">
        <v>22</v>
      </c>
      <c r="L743" s="168">
        <v>0</v>
      </c>
      <c r="M743" s="168">
        <v>0</v>
      </c>
      <c r="N743" s="169">
        <f t="shared" si="123"/>
        <v>0</v>
      </c>
      <c r="O743" s="169">
        <f t="shared" si="124"/>
        <v>0</v>
      </c>
      <c r="P743" s="312">
        <f t="shared" si="125"/>
        <v>0</v>
      </c>
      <c r="Q743" s="335"/>
    </row>
    <row r="744" spans="1:17" hidden="1" x14ac:dyDescent="0.5">
      <c r="A744" s="115">
        <v>85</v>
      </c>
      <c r="B744" s="116" t="s">
        <v>239</v>
      </c>
      <c r="C744" s="129" t="s">
        <v>294</v>
      </c>
      <c r="D744" s="72" t="s">
        <v>310</v>
      </c>
      <c r="E744" s="118" t="s">
        <v>308</v>
      </c>
      <c r="F744" s="73" t="s">
        <v>311</v>
      </c>
      <c r="G744" s="73"/>
      <c r="H744" s="73" t="s">
        <v>312</v>
      </c>
      <c r="I744" s="191"/>
      <c r="J744" s="19">
        <f t="shared" si="122"/>
        <v>0</v>
      </c>
      <c r="K744" s="259" t="s">
        <v>22</v>
      </c>
      <c r="L744" s="168">
        <v>0</v>
      </c>
      <c r="M744" s="168">
        <v>0</v>
      </c>
      <c r="N744" s="169">
        <f t="shared" si="123"/>
        <v>0</v>
      </c>
      <c r="O744" s="169">
        <f t="shared" si="124"/>
        <v>0</v>
      </c>
      <c r="P744" s="312">
        <f t="shared" si="125"/>
        <v>0</v>
      </c>
      <c r="Q744" s="335"/>
    </row>
    <row r="745" spans="1:17" hidden="1" x14ac:dyDescent="0.5">
      <c r="A745" s="115">
        <v>85</v>
      </c>
      <c r="B745" s="116" t="s">
        <v>239</v>
      </c>
      <c r="C745" s="129" t="s">
        <v>294</v>
      </c>
      <c r="D745" s="72" t="s">
        <v>313</v>
      </c>
      <c r="E745" s="118" t="s">
        <v>308</v>
      </c>
      <c r="F745" s="73" t="s">
        <v>314</v>
      </c>
      <c r="G745" s="73"/>
      <c r="H745" s="73" t="s">
        <v>315</v>
      </c>
      <c r="I745" s="191"/>
      <c r="J745" s="19">
        <f t="shared" si="122"/>
        <v>0</v>
      </c>
      <c r="K745" s="259" t="s">
        <v>22</v>
      </c>
      <c r="L745" s="168">
        <v>0</v>
      </c>
      <c r="M745" s="168">
        <v>0</v>
      </c>
      <c r="N745" s="169">
        <f t="shared" si="123"/>
        <v>0</v>
      </c>
      <c r="O745" s="169">
        <f t="shared" si="124"/>
        <v>0</v>
      </c>
      <c r="P745" s="312">
        <f t="shared" si="125"/>
        <v>0</v>
      </c>
      <c r="Q745" s="335"/>
    </row>
    <row r="746" spans="1:17" hidden="1" x14ac:dyDescent="0.5">
      <c r="A746" s="115">
        <v>85</v>
      </c>
      <c r="B746" s="116" t="s">
        <v>239</v>
      </c>
      <c r="C746" s="129" t="s">
        <v>294</v>
      </c>
      <c r="D746" s="72" t="s">
        <v>316</v>
      </c>
      <c r="E746" s="118" t="s">
        <v>317</v>
      </c>
      <c r="F746" s="73" t="s">
        <v>297</v>
      </c>
      <c r="G746" s="73"/>
      <c r="H746" s="73"/>
      <c r="I746" s="191"/>
      <c r="J746" s="19">
        <f t="shared" si="122"/>
        <v>0</v>
      </c>
      <c r="K746" s="259" t="s">
        <v>22</v>
      </c>
      <c r="L746" s="168">
        <v>0</v>
      </c>
      <c r="M746" s="168">
        <v>0</v>
      </c>
      <c r="N746" s="169">
        <f t="shared" si="123"/>
        <v>0</v>
      </c>
      <c r="O746" s="169">
        <f t="shared" si="124"/>
        <v>0</v>
      </c>
      <c r="P746" s="312">
        <f t="shared" si="125"/>
        <v>0</v>
      </c>
      <c r="Q746" s="335"/>
    </row>
    <row r="747" spans="1:17" hidden="1" x14ac:dyDescent="0.5">
      <c r="A747" s="115">
        <v>85</v>
      </c>
      <c r="B747" s="116" t="s">
        <v>239</v>
      </c>
      <c r="C747" s="129" t="s">
        <v>294</v>
      </c>
      <c r="D747" s="72" t="s">
        <v>318</v>
      </c>
      <c r="E747" s="118" t="s">
        <v>319</v>
      </c>
      <c r="F747" s="73" t="s">
        <v>320</v>
      </c>
      <c r="G747" s="73"/>
      <c r="H747" s="73"/>
      <c r="I747" s="191"/>
      <c r="J747" s="19">
        <f t="shared" si="122"/>
        <v>0</v>
      </c>
      <c r="K747" s="259" t="s">
        <v>22</v>
      </c>
      <c r="L747" s="168">
        <v>0</v>
      </c>
      <c r="M747" s="168">
        <v>0</v>
      </c>
      <c r="N747" s="169">
        <f t="shared" si="123"/>
        <v>0</v>
      </c>
      <c r="O747" s="169">
        <f t="shared" si="124"/>
        <v>0</v>
      </c>
      <c r="P747" s="312">
        <f t="shared" si="125"/>
        <v>0</v>
      </c>
      <c r="Q747" s="335"/>
    </row>
    <row r="748" spans="1:17" hidden="1" x14ac:dyDescent="0.5">
      <c r="A748" s="115">
        <v>85</v>
      </c>
      <c r="B748" s="116" t="s">
        <v>239</v>
      </c>
      <c r="C748" s="129" t="s">
        <v>294</v>
      </c>
      <c r="D748" s="43" t="s">
        <v>358</v>
      </c>
      <c r="E748" s="5"/>
      <c r="F748" s="5"/>
      <c r="G748" s="5"/>
      <c r="H748" s="5"/>
      <c r="I748" s="20"/>
      <c r="J748" s="19">
        <f>I748</f>
        <v>0</v>
      </c>
      <c r="K748" s="171"/>
      <c r="L748" s="168">
        <v>0</v>
      </c>
      <c r="M748" s="168">
        <v>0</v>
      </c>
      <c r="N748" s="169">
        <f>L748*J748</f>
        <v>0</v>
      </c>
      <c r="O748" s="169">
        <f>M748*J748</f>
        <v>0</v>
      </c>
      <c r="P748" s="312">
        <f>(L748*J748)+(M748*J748)</f>
        <v>0</v>
      </c>
      <c r="Q748" s="326"/>
    </row>
    <row r="749" spans="1:17" hidden="1" x14ac:dyDescent="0.5">
      <c r="A749" s="109">
        <f>A748+1</f>
        <v>86</v>
      </c>
      <c r="B749" s="110" t="s">
        <v>239</v>
      </c>
      <c r="C749" s="128" t="s">
        <v>294</v>
      </c>
      <c r="D749" s="45" t="s">
        <v>358</v>
      </c>
      <c r="E749" s="40"/>
      <c r="F749" s="40"/>
      <c r="G749" s="40"/>
      <c r="H749" s="40"/>
      <c r="I749" s="41"/>
      <c r="J749" s="24">
        <f>I749</f>
        <v>0</v>
      </c>
      <c r="K749" s="194"/>
      <c r="L749" s="195">
        <v>0</v>
      </c>
      <c r="M749" s="195">
        <v>0</v>
      </c>
      <c r="N749" s="196">
        <f>L749*J749</f>
        <v>0</v>
      </c>
      <c r="O749" s="196">
        <f>M749*J749</f>
        <v>0</v>
      </c>
      <c r="P749" s="313">
        <f>(L749*J749)+(M749*J749)</f>
        <v>0</v>
      </c>
      <c r="Q749" s="328"/>
    </row>
    <row r="750" spans="1:17" ht="23.25" hidden="1" customHeight="1" thickBot="1" x14ac:dyDescent="0.55000000000000004">
      <c r="A750" s="117"/>
      <c r="B750" s="92" t="s">
        <v>239</v>
      </c>
      <c r="C750" s="137" t="s">
        <v>479</v>
      </c>
      <c r="D750" s="273" t="s">
        <v>479</v>
      </c>
      <c r="E750" s="263"/>
      <c r="F750" s="263"/>
      <c r="G750" s="263"/>
      <c r="H750" s="264"/>
      <c r="I750" s="265"/>
      <c r="J750" s="266"/>
      <c r="K750" s="267"/>
      <c r="L750" s="268"/>
      <c r="M750" s="268"/>
      <c r="N750" s="288"/>
      <c r="O750" s="288"/>
      <c r="P750" s="324"/>
      <c r="Q750" s="348"/>
    </row>
    <row r="751" spans="1:17" hidden="1" x14ac:dyDescent="0.5">
      <c r="A751" s="113">
        <f>A749+1</f>
        <v>87</v>
      </c>
      <c r="B751" s="114" t="s">
        <v>239</v>
      </c>
      <c r="C751" s="127" t="s">
        <v>479</v>
      </c>
      <c r="D751" s="77" t="s">
        <v>486</v>
      </c>
      <c r="E751" s="78"/>
      <c r="F751" s="78"/>
      <c r="G751" s="78" t="s">
        <v>444</v>
      </c>
      <c r="H751" s="78"/>
      <c r="I751" s="189"/>
      <c r="J751" s="32">
        <f t="shared" si="122"/>
        <v>0</v>
      </c>
      <c r="K751" s="272" t="s">
        <v>22</v>
      </c>
      <c r="L751" s="185">
        <v>0</v>
      </c>
      <c r="M751" s="185">
        <v>0</v>
      </c>
      <c r="N751" s="186">
        <f t="shared" ref="N751:N793" si="126">L751*J751</f>
        <v>0</v>
      </c>
      <c r="O751" s="186">
        <f t="shared" ref="O751:O793" si="127">M751*J751</f>
        <v>0</v>
      </c>
      <c r="P751" s="311">
        <f t="shared" ref="P751:P793" si="128">(L751*J751)+(M751*J751)</f>
        <v>0</v>
      </c>
      <c r="Q751" s="336"/>
    </row>
    <row r="752" spans="1:17" hidden="1" x14ac:dyDescent="0.5">
      <c r="A752" s="115">
        <f>A751+1</f>
        <v>88</v>
      </c>
      <c r="B752" s="116" t="s">
        <v>239</v>
      </c>
      <c r="C752" s="129" t="s">
        <v>479</v>
      </c>
      <c r="D752" s="72" t="s">
        <v>487</v>
      </c>
      <c r="E752" s="73" t="s">
        <v>321</v>
      </c>
      <c r="F752" s="73"/>
      <c r="G752" s="73" t="s">
        <v>455</v>
      </c>
      <c r="H752" s="73"/>
      <c r="I752" s="191"/>
      <c r="J752" s="19">
        <f t="shared" si="122"/>
        <v>0</v>
      </c>
      <c r="K752" s="259" t="s">
        <v>22</v>
      </c>
      <c r="L752" s="168">
        <v>0</v>
      </c>
      <c r="M752" s="168">
        <v>0</v>
      </c>
      <c r="N752" s="169">
        <f t="shared" si="126"/>
        <v>0</v>
      </c>
      <c r="O752" s="169">
        <f t="shared" si="127"/>
        <v>0</v>
      </c>
      <c r="P752" s="312">
        <f t="shared" si="128"/>
        <v>0</v>
      </c>
      <c r="Q752" s="335"/>
    </row>
    <row r="753" spans="1:17" hidden="1" x14ac:dyDescent="0.5">
      <c r="A753" s="115">
        <f t="shared" ref="A753:A794" si="129">A752+1</f>
        <v>89</v>
      </c>
      <c r="B753" s="116" t="s">
        <v>239</v>
      </c>
      <c r="C753" s="129" t="s">
        <v>479</v>
      </c>
      <c r="D753" s="72" t="s">
        <v>487</v>
      </c>
      <c r="E753" s="73" t="s">
        <v>321</v>
      </c>
      <c r="F753" s="73"/>
      <c r="G753" s="73" t="s">
        <v>480</v>
      </c>
      <c r="H753" s="73"/>
      <c r="I753" s="191"/>
      <c r="J753" s="19">
        <f t="shared" si="122"/>
        <v>0</v>
      </c>
      <c r="K753" s="259" t="s">
        <v>22</v>
      </c>
      <c r="L753" s="168">
        <v>0</v>
      </c>
      <c r="M753" s="168">
        <v>0</v>
      </c>
      <c r="N753" s="169">
        <f t="shared" si="126"/>
        <v>0</v>
      </c>
      <c r="O753" s="169">
        <f t="shared" si="127"/>
        <v>0</v>
      </c>
      <c r="P753" s="312">
        <f t="shared" si="128"/>
        <v>0</v>
      </c>
      <c r="Q753" s="335"/>
    </row>
    <row r="754" spans="1:17" hidden="1" x14ac:dyDescent="0.5">
      <c r="A754" s="115">
        <f t="shared" si="129"/>
        <v>90</v>
      </c>
      <c r="B754" s="116" t="s">
        <v>239</v>
      </c>
      <c r="C754" s="129" t="s">
        <v>479</v>
      </c>
      <c r="D754" s="72" t="s">
        <v>487</v>
      </c>
      <c r="E754" s="73" t="s">
        <v>321</v>
      </c>
      <c r="F754" s="73"/>
      <c r="G754" s="73" t="s">
        <v>481</v>
      </c>
      <c r="H754" s="73"/>
      <c r="I754" s="191"/>
      <c r="J754" s="19">
        <f t="shared" si="122"/>
        <v>0</v>
      </c>
      <c r="K754" s="259" t="s">
        <v>22</v>
      </c>
      <c r="L754" s="168">
        <v>0</v>
      </c>
      <c r="M754" s="168">
        <v>0</v>
      </c>
      <c r="N754" s="169">
        <f t="shared" si="126"/>
        <v>0</v>
      </c>
      <c r="O754" s="169">
        <f t="shared" si="127"/>
        <v>0</v>
      </c>
      <c r="P754" s="312">
        <f t="shared" si="128"/>
        <v>0</v>
      </c>
      <c r="Q754" s="335"/>
    </row>
    <row r="755" spans="1:17" hidden="1" x14ac:dyDescent="0.5">
      <c r="A755" s="115">
        <f t="shared" si="129"/>
        <v>91</v>
      </c>
      <c r="B755" s="116" t="s">
        <v>239</v>
      </c>
      <c r="C755" s="129" t="s">
        <v>479</v>
      </c>
      <c r="D755" s="72" t="s">
        <v>487</v>
      </c>
      <c r="E755" s="73" t="s">
        <v>321</v>
      </c>
      <c r="F755" s="73"/>
      <c r="G755" s="73" t="s">
        <v>456</v>
      </c>
      <c r="H755" s="73"/>
      <c r="I755" s="191"/>
      <c r="J755" s="19">
        <f t="shared" si="122"/>
        <v>0</v>
      </c>
      <c r="K755" s="259" t="s">
        <v>22</v>
      </c>
      <c r="L755" s="168">
        <v>0</v>
      </c>
      <c r="M755" s="168">
        <v>0</v>
      </c>
      <c r="N755" s="169">
        <f t="shared" si="126"/>
        <v>0</v>
      </c>
      <c r="O755" s="169">
        <f t="shared" si="127"/>
        <v>0</v>
      </c>
      <c r="P755" s="312">
        <f t="shared" si="128"/>
        <v>0</v>
      </c>
      <c r="Q755" s="335"/>
    </row>
    <row r="756" spans="1:17" hidden="1" x14ac:dyDescent="0.5">
      <c r="A756" s="115">
        <f t="shared" si="129"/>
        <v>92</v>
      </c>
      <c r="B756" s="116" t="s">
        <v>239</v>
      </c>
      <c r="C756" s="129" t="s">
        <v>479</v>
      </c>
      <c r="D756" s="72" t="s">
        <v>487</v>
      </c>
      <c r="E756" s="73" t="s">
        <v>321</v>
      </c>
      <c r="F756" s="73"/>
      <c r="G756" s="73" t="s">
        <v>482</v>
      </c>
      <c r="H756" s="73"/>
      <c r="I756" s="191"/>
      <c r="J756" s="19">
        <f t="shared" si="122"/>
        <v>0</v>
      </c>
      <c r="K756" s="259" t="s">
        <v>22</v>
      </c>
      <c r="L756" s="168">
        <v>0</v>
      </c>
      <c r="M756" s="168">
        <v>0</v>
      </c>
      <c r="N756" s="169">
        <f t="shared" si="126"/>
        <v>0</v>
      </c>
      <c r="O756" s="169">
        <f t="shared" si="127"/>
        <v>0</v>
      </c>
      <c r="P756" s="312">
        <f t="shared" si="128"/>
        <v>0</v>
      </c>
      <c r="Q756" s="335"/>
    </row>
    <row r="757" spans="1:17" hidden="1" x14ac:dyDescent="0.5">
      <c r="A757" s="115">
        <f t="shared" si="129"/>
        <v>93</v>
      </c>
      <c r="B757" s="116" t="s">
        <v>239</v>
      </c>
      <c r="C757" s="129" t="s">
        <v>479</v>
      </c>
      <c r="D757" s="72" t="s">
        <v>487</v>
      </c>
      <c r="E757" s="73" t="s">
        <v>321</v>
      </c>
      <c r="F757" s="73"/>
      <c r="G757" s="73" t="s">
        <v>483</v>
      </c>
      <c r="H757" s="73"/>
      <c r="I757" s="191"/>
      <c r="J757" s="19">
        <f t="shared" si="122"/>
        <v>0</v>
      </c>
      <c r="K757" s="259" t="s">
        <v>22</v>
      </c>
      <c r="L757" s="168">
        <v>0</v>
      </c>
      <c r="M757" s="168">
        <v>0</v>
      </c>
      <c r="N757" s="169">
        <f t="shared" si="126"/>
        <v>0</v>
      </c>
      <c r="O757" s="169">
        <f t="shared" si="127"/>
        <v>0</v>
      </c>
      <c r="P757" s="312">
        <f t="shared" si="128"/>
        <v>0</v>
      </c>
      <c r="Q757" s="335"/>
    </row>
    <row r="758" spans="1:17" hidden="1" x14ac:dyDescent="0.5">
      <c r="A758" s="115">
        <f t="shared" si="129"/>
        <v>94</v>
      </c>
      <c r="B758" s="116" t="s">
        <v>239</v>
      </c>
      <c r="C758" s="129" t="s">
        <v>479</v>
      </c>
      <c r="D758" s="72" t="s">
        <v>487</v>
      </c>
      <c r="E758" s="73" t="s">
        <v>321</v>
      </c>
      <c r="F758" s="73"/>
      <c r="G758" s="73" t="s">
        <v>484</v>
      </c>
      <c r="H758" s="73"/>
      <c r="I758" s="191"/>
      <c r="J758" s="19">
        <f t="shared" si="122"/>
        <v>0</v>
      </c>
      <c r="K758" s="259" t="s">
        <v>22</v>
      </c>
      <c r="L758" s="168">
        <v>0</v>
      </c>
      <c r="M758" s="168">
        <v>0</v>
      </c>
      <c r="N758" s="169">
        <f t="shared" si="126"/>
        <v>0</v>
      </c>
      <c r="O758" s="169">
        <f t="shared" si="127"/>
        <v>0</v>
      </c>
      <c r="P758" s="312">
        <f t="shared" si="128"/>
        <v>0</v>
      </c>
      <c r="Q758" s="335"/>
    </row>
    <row r="759" spans="1:17" hidden="1" x14ac:dyDescent="0.5">
      <c r="A759" s="115">
        <f t="shared" si="129"/>
        <v>95</v>
      </c>
      <c r="B759" s="116" t="s">
        <v>239</v>
      </c>
      <c r="C759" s="129" t="s">
        <v>479</v>
      </c>
      <c r="D759" s="72" t="s">
        <v>487</v>
      </c>
      <c r="E759" s="73" t="s">
        <v>321</v>
      </c>
      <c r="F759" s="73"/>
      <c r="G759" s="73" t="s">
        <v>457</v>
      </c>
      <c r="H759" s="73"/>
      <c r="I759" s="191"/>
      <c r="J759" s="19">
        <f t="shared" si="122"/>
        <v>0</v>
      </c>
      <c r="K759" s="259" t="s">
        <v>22</v>
      </c>
      <c r="L759" s="168">
        <v>0</v>
      </c>
      <c r="M759" s="168">
        <v>0</v>
      </c>
      <c r="N759" s="169">
        <f t="shared" si="126"/>
        <v>0</v>
      </c>
      <c r="O759" s="169">
        <f t="shared" si="127"/>
        <v>0</v>
      </c>
      <c r="P759" s="312">
        <f t="shared" si="128"/>
        <v>0</v>
      </c>
      <c r="Q759" s="335"/>
    </row>
    <row r="760" spans="1:17" hidden="1" x14ac:dyDescent="0.5">
      <c r="A760" s="115">
        <f t="shared" si="129"/>
        <v>96</v>
      </c>
      <c r="B760" s="116" t="s">
        <v>239</v>
      </c>
      <c r="C760" s="129" t="s">
        <v>479</v>
      </c>
      <c r="D760" s="72" t="s">
        <v>487</v>
      </c>
      <c r="E760" s="73" t="s">
        <v>321</v>
      </c>
      <c r="F760" s="73"/>
      <c r="G760" s="73" t="s">
        <v>458</v>
      </c>
      <c r="H760" s="73"/>
      <c r="I760" s="191"/>
      <c r="J760" s="19">
        <f t="shared" si="122"/>
        <v>0</v>
      </c>
      <c r="K760" s="259" t="s">
        <v>22</v>
      </c>
      <c r="L760" s="168">
        <v>0</v>
      </c>
      <c r="M760" s="168">
        <v>0</v>
      </c>
      <c r="N760" s="169">
        <f t="shared" si="126"/>
        <v>0</v>
      </c>
      <c r="O760" s="169">
        <f t="shared" si="127"/>
        <v>0</v>
      </c>
      <c r="P760" s="312">
        <f t="shared" si="128"/>
        <v>0</v>
      </c>
      <c r="Q760" s="335"/>
    </row>
    <row r="761" spans="1:17" hidden="1" x14ac:dyDescent="0.5">
      <c r="A761" s="115">
        <f t="shared" si="129"/>
        <v>97</v>
      </c>
      <c r="B761" s="116" t="s">
        <v>239</v>
      </c>
      <c r="C761" s="129" t="s">
        <v>479</v>
      </c>
      <c r="D761" s="72" t="s">
        <v>487</v>
      </c>
      <c r="E761" s="73" t="s">
        <v>321</v>
      </c>
      <c r="F761" s="73"/>
      <c r="G761" s="73" t="s">
        <v>322</v>
      </c>
      <c r="H761" s="73"/>
      <c r="I761" s="191"/>
      <c r="J761" s="19">
        <f t="shared" si="122"/>
        <v>0</v>
      </c>
      <c r="K761" s="259" t="s">
        <v>22</v>
      </c>
      <c r="L761" s="168">
        <v>0</v>
      </c>
      <c r="M761" s="168">
        <v>0</v>
      </c>
      <c r="N761" s="169">
        <f t="shared" si="126"/>
        <v>0</v>
      </c>
      <c r="O761" s="169">
        <f t="shared" si="127"/>
        <v>0</v>
      </c>
      <c r="P761" s="312">
        <f t="shared" si="128"/>
        <v>0</v>
      </c>
      <c r="Q761" s="335"/>
    </row>
    <row r="762" spans="1:17" hidden="1" x14ac:dyDescent="0.5">
      <c r="A762" s="115">
        <f t="shared" si="129"/>
        <v>98</v>
      </c>
      <c r="B762" s="116" t="s">
        <v>239</v>
      </c>
      <c r="C762" s="129" t="s">
        <v>479</v>
      </c>
      <c r="D762" s="72" t="s">
        <v>488</v>
      </c>
      <c r="E762" s="73" t="s">
        <v>321</v>
      </c>
      <c r="F762" s="73"/>
      <c r="G762" s="73" t="s">
        <v>463</v>
      </c>
      <c r="H762" s="73"/>
      <c r="I762" s="191"/>
      <c r="J762" s="19">
        <f t="shared" si="122"/>
        <v>0</v>
      </c>
      <c r="K762" s="259" t="s">
        <v>22</v>
      </c>
      <c r="L762" s="168">
        <v>0</v>
      </c>
      <c r="M762" s="168">
        <v>0</v>
      </c>
      <c r="N762" s="169">
        <f t="shared" si="126"/>
        <v>0</v>
      </c>
      <c r="O762" s="169">
        <f t="shared" si="127"/>
        <v>0</v>
      </c>
      <c r="P762" s="312">
        <f t="shared" si="128"/>
        <v>0</v>
      </c>
      <c r="Q762" s="335"/>
    </row>
    <row r="763" spans="1:17" hidden="1" x14ac:dyDescent="0.5">
      <c r="A763" s="115">
        <f t="shared" si="129"/>
        <v>99</v>
      </c>
      <c r="B763" s="116" t="s">
        <v>239</v>
      </c>
      <c r="C763" s="129" t="s">
        <v>479</v>
      </c>
      <c r="D763" s="72" t="s">
        <v>488</v>
      </c>
      <c r="E763" s="73" t="s">
        <v>321</v>
      </c>
      <c r="F763" s="73"/>
      <c r="G763" s="73" t="s">
        <v>464</v>
      </c>
      <c r="H763" s="73"/>
      <c r="I763" s="191"/>
      <c r="J763" s="19">
        <f t="shared" si="122"/>
        <v>0</v>
      </c>
      <c r="K763" s="259" t="s">
        <v>22</v>
      </c>
      <c r="L763" s="168">
        <v>0</v>
      </c>
      <c r="M763" s="168">
        <v>0</v>
      </c>
      <c r="N763" s="169">
        <f t="shared" si="126"/>
        <v>0</v>
      </c>
      <c r="O763" s="169">
        <f t="shared" si="127"/>
        <v>0</v>
      </c>
      <c r="P763" s="312">
        <f t="shared" si="128"/>
        <v>0</v>
      </c>
      <c r="Q763" s="335"/>
    </row>
    <row r="764" spans="1:17" hidden="1" x14ac:dyDescent="0.5">
      <c r="A764" s="115">
        <f t="shared" si="129"/>
        <v>100</v>
      </c>
      <c r="B764" s="116" t="s">
        <v>239</v>
      </c>
      <c r="C764" s="129" t="s">
        <v>479</v>
      </c>
      <c r="D764" s="72" t="s">
        <v>488</v>
      </c>
      <c r="E764" s="73" t="s">
        <v>321</v>
      </c>
      <c r="F764" s="73"/>
      <c r="G764" s="73" t="s">
        <v>465</v>
      </c>
      <c r="H764" s="73"/>
      <c r="I764" s="191"/>
      <c r="J764" s="19">
        <f t="shared" si="122"/>
        <v>0</v>
      </c>
      <c r="K764" s="259" t="s">
        <v>22</v>
      </c>
      <c r="L764" s="168">
        <v>0</v>
      </c>
      <c r="M764" s="168">
        <v>0</v>
      </c>
      <c r="N764" s="169">
        <f t="shared" si="126"/>
        <v>0</v>
      </c>
      <c r="O764" s="169">
        <f t="shared" si="127"/>
        <v>0</v>
      </c>
      <c r="P764" s="312">
        <f t="shared" si="128"/>
        <v>0</v>
      </c>
      <c r="Q764" s="335"/>
    </row>
    <row r="765" spans="1:17" hidden="1" x14ac:dyDescent="0.5">
      <c r="A765" s="115">
        <f t="shared" si="129"/>
        <v>101</v>
      </c>
      <c r="B765" s="116" t="s">
        <v>239</v>
      </c>
      <c r="C765" s="129" t="s">
        <v>479</v>
      </c>
      <c r="D765" s="72" t="s">
        <v>488</v>
      </c>
      <c r="E765" s="73" t="s">
        <v>321</v>
      </c>
      <c r="F765" s="73"/>
      <c r="G765" s="73" t="s">
        <v>466</v>
      </c>
      <c r="H765" s="73"/>
      <c r="I765" s="191"/>
      <c r="J765" s="19">
        <f t="shared" si="122"/>
        <v>0</v>
      </c>
      <c r="K765" s="259" t="s">
        <v>22</v>
      </c>
      <c r="L765" s="168">
        <v>0</v>
      </c>
      <c r="M765" s="168">
        <v>0</v>
      </c>
      <c r="N765" s="169">
        <f t="shared" si="126"/>
        <v>0</v>
      </c>
      <c r="O765" s="169">
        <f t="shared" si="127"/>
        <v>0</v>
      </c>
      <c r="P765" s="312">
        <f t="shared" si="128"/>
        <v>0</v>
      </c>
      <c r="Q765" s="335"/>
    </row>
    <row r="766" spans="1:17" hidden="1" x14ac:dyDescent="0.5">
      <c r="A766" s="115">
        <f t="shared" si="129"/>
        <v>102</v>
      </c>
      <c r="B766" s="116" t="s">
        <v>239</v>
      </c>
      <c r="C766" s="129" t="s">
        <v>479</v>
      </c>
      <c r="D766" s="72" t="s">
        <v>488</v>
      </c>
      <c r="E766" s="73" t="s">
        <v>321</v>
      </c>
      <c r="F766" s="73"/>
      <c r="G766" s="73" t="s">
        <v>467</v>
      </c>
      <c r="H766" s="73"/>
      <c r="I766" s="191"/>
      <c r="J766" s="19">
        <f t="shared" si="122"/>
        <v>0</v>
      </c>
      <c r="K766" s="259" t="s">
        <v>22</v>
      </c>
      <c r="L766" s="168">
        <v>0</v>
      </c>
      <c r="M766" s="168">
        <v>0</v>
      </c>
      <c r="N766" s="169">
        <f t="shared" si="126"/>
        <v>0</v>
      </c>
      <c r="O766" s="169">
        <f t="shared" si="127"/>
        <v>0</v>
      </c>
      <c r="P766" s="312">
        <f t="shared" si="128"/>
        <v>0</v>
      </c>
      <c r="Q766" s="335"/>
    </row>
    <row r="767" spans="1:17" hidden="1" x14ac:dyDescent="0.5">
      <c r="A767" s="115">
        <f t="shared" si="129"/>
        <v>103</v>
      </c>
      <c r="B767" s="116" t="s">
        <v>239</v>
      </c>
      <c r="C767" s="129" t="s">
        <v>479</v>
      </c>
      <c r="D767" s="72" t="s">
        <v>488</v>
      </c>
      <c r="E767" s="73" t="s">
        <v>321</v>
      </c>
      <c r="F767" s="73"/>
      <c r="G767" s="73" t="s">
        <v>468</v>
      </c>
      <c r="H767" s="73"/>
      <c r="I767" s="191"/>
      <c r="J767" s="19">
        <f t="shared" si="122"/>
        <v>0</v>
      </c>
      <c r="K767" s="259" t="s">
        <v>22</v>
      </c>
      <c r="L767" s="168">
        <v>0</v>
      </c>
      <c r="M767" s="168">
        <v>0</v>
      </c>
      <c r="N767" s="169">
        <f t="shared" si="126"/>
        <v>0</v>
      </c>
      <c r="O767" s="169">
        <f t="shared" si="127"/>
        <v>0</v>
      </c>
      <c r="P767" s="312">
        <f t="shared" si="128"/>
        <v>0</v>
      </c>
      <c r="Q767" s="335"/>
    </row>
    <row r="768" spans="1:17" hidden="1" x14ac:dyDescent="0.5">
      <c r="A768" s="115">
        <f t="shared" si="129"/>
        <v>104</v>
      </c>
      <c r="B768" s="116" t="s">
        <v>239</v>
      </c>
      <c r="C768" s="129" t="s">
        <v>479</v>
      </c>
      <c r="D768" s="72" t="s">
        <v>488</v>
      </c>
      <c r="E768" s="73" t="s">
        <v>321</v>
      </c>
      <c r="F768" s="73"/>
      <c r="G768" s="73" t="s">
        <v>469</v>
      </c>
      <c r="H768" s="73"/>
      <c r="I768" s="191"/>
      <c r="J768" s="19">
        <f t="shared" si="122"/>
        <v>0</v>
      </c>
      <c r="K768" s="259" t="s">
        <v>22</v>
      </c>
      <c r="L768" s="168">
        <v>0</v>
      </c>
      <c r="M768" s="168">
        <v>0</v>
      </c>
      <c r="N768" s="169">
        <f t="shared" si="126"/>
        <v>0</v>
      </c>
      <c r="O768" s="169">
        <f t="shared" si="127"/>
        <v>0</v>
      </c>
      <c r="P768" s="312">
        <f t="shared" si="128"/>
        <v>0</v>
      </c>
      <c r="Q768" s="335"/>
    </row>
    <row r="769" spans="1:17" hidden="1" x14ac:dyDescent="0.5">
      <c r="A769" s="115">
        <f t="shared" si="129"/>
        <v>105</v>
      </c>
      <c r="B769" s="116" t="s">
        <v>239</v>
      </c>
      <c r="C769" s="129" t="s">
        <v>479</v>
      </c>
      <c r="D769" s="72" t="s">
        <v>488</v>
      </c>
      <c r="E769" s="73" t="s">
        <v>321</v>
      </c>
      <c r="F769" s="73"/>
      <c r="G769" s="73" t="s">
        <v>470</v>
      </c>
      <c r="H769" s="73"/>
      <c r="I769" s="191"/>
      <c r="J769" s="19">
        <f t="shared" si="122"/>
        <v>0</v>
      </c>
      <c r="K769" s="259" t="s">
        <v>22</v>
      </c>
      <c r="L769" s="168">
        <v>0</v>
      </c>
      <c r="M769" s="168">
        <v>0</v>
      </c>
      <c r="N769" s="169">
        <f t="shared" si="126"/>
        <v>0</v>
      </c>
      <c r="O769" s="169">
        <f t="shared" si="127"/>
        <v>0</v>
      </c>
      <c r="P769" s="312">
        <f t="shared" si="128"/>
        <v>0</v>
      </c>
      <c r="Q769" s="335"/>
    </row>
    <row r="770" spans="1:17" hidden="1" x14ac:dyDescent="0.5">
      <c r="A770" s="115">
        <f t="shared" si="129"/>
        <v>106</v>
      </c>
      <c r="B770" s="116" t="s">
        <v>239</v>
      </c>
      <c r="C770" s="129" t="s">
        <v>479</v>
      </c>
      <c r="D770" s="72" t="s">
        <v>459</v>
      </c>
      <c r="E770" s="73" t="s">
        <v>321</v>
      </c>
      <c r="F770" s="73"/>
      <c r="G770" s="73" t="s">
        <v>471</v>
      </c>
      <c r="H770" s="73"/>
      <c r="I770" s="191"/>
      <c r="J770" s="19">
        <f t="shared" si="122"/>
        <v>0</v>
      </c>
      <c r="K770" s="259" t="s">
        <v>22</v>
      </c>
      <c r="L770" s="168">
        <v>0</v>
      </c>
      <c r="M770" s="168">
        <v>0</v>
      </c>
      <c r="N770" s="169">
        <f t="shared" si="126"/>
        <v>0</v>
      </c>
      <c r="O770" s="169">
        <f t="shared" si="127"/>
        <v>0</v>
      </c>
      <c r="P770" s="312">
        <f t="shared" si="128"/>
        <v>0</v>
      </c>
      <c r="Q770" s="335"/>
    </row>
    <row r="771" spans="1:17" hidden="1" x14ac:dyDescent="0.5">
      <c r="A771" s="115">
        <f t="shared" si="129"/>
        <v>107</v>
      </c>
      <c r="B771" s="116" t="s">
        <v>239</v>
      </c>
      <c r="C771" s="129" t="s">
        <v>479</v>
      </c>
      <c r="D771" s="72" t="s">
        <v>459</v>
      </c>
      <c r="E771" s="73" t="s">
        <v>321</v>
      </c>
      <c r="F771" s="73"/>
      <c r="G771" s="73" t="s">
        <v>472</v>
      </c>
      <c r="H771" s="73"/>
      <c r="I771" s="191"/>
      <c r="J771" s="19">
        <f t="shared" si="122"/>
        <v>0</v>
      </c>
      <c r="K771" s="259" t="s">
        <v>22</v>
      </c>
      <c r="L771" s="168">
        <v>0</v>
      </c>
      <c r="M771" s="168">
        <v>0</v>
      </c>
      <c r="N771" s="169">
        <f t="shared" si="126"/>
        <v>0</v>
      </c>
      <c r="O771" s="169">
        <f t="shared" si="127"/>
        <v>0</v>
      </c>
      <c r="P771" s="312">
        <f t="shared" si="128"/>
        <v>0</v>
      </c>
      <c r="Q771" s="335"/>
    </row>
    <row r="772" spans="1:17" hidden="1" x14ac:dyDescent="0.5">
      <c r="A772" s="115">
        <f t="shared" si="129"/>
        <v>108</v>
      </c>
      <c r="B772" s="116" t="s">
        <v>239</v>
      </c>
      <c r="C772" s="129" t="s">
        <v>479</v>
      </c>
      <c r="D772" s="72" t="s">
        <v>460</v>
      </c>
      <c r="E772" s="73"/>
      <c r="F772" s="73"/>
      <c r="G772" s="73"/>
      <c r="H772" s="73"/>
      <c r="I772" s="191"/>
      <c r="J772" s="19">
        <f t="shared" si="122"/>
        <v>0</v>
      </c>
      <c r="K772" s="259" t="s">
        <v>22</v>
      </c>
      <c r="L772" s="168">
        <v>0</v>
      </c>
      <c r="M772" s="168">
        <v>0</v>
      </c>
      <c r="N772" s="169">
        <f t="shared" si="126"/>
        <v>0</v>
      </c>
      <c r="O772" s="169">
        <f t="shared" si="127"/>
        <v>0</v>
      </c>
      <c r="P772" s="312">
        <f t="shared" si="128"/>
        <v>0</v>
      </c>
      <c r="Q772" s="335"/>
    </row>
    <row r="773" spans="1:17" hidden="1" x14ac:dyDescent="0.5">
      <c r="A773" s="115">
        <f t="shared" si="129"/>
        <v>109</v>
      </c>
      <c r="B773" s="116" t="s">
        <v>239</v>
      </c>
      <c r="C773" s="129" t="s">
        <v>479</v>
      </c>
      <c r="D773" s="72" t="s">
        <v>462</v>
      </c>
      <c r="E773" s="73"/>
      <c r="F773" s="73"/>
      <c r="G773" s="73"/>
      <c r="H773" s="73"/>
      <c r="I773" s="191"/>
      <c r="J773" s="19">
        <f t="shared" si="122"/>
        <v>0</v>
      </c>
      <c r="K773" s="259" t="s">
        <v>22</v>
      </c>
      <c r="L773" s="168">
        <v>0</v>
      </c>
      <c r="M773" s="168">
        <v>0</v>
      </c>
      <c r="N773" s="169">
        <f t="shared" si="126"/>
        <v>0</v>
      </c>
      <c r="O773" s="169">
        <f t="shared" si="127"/>
        <v>0</v>
      </c>
      <c r="P773" s="312">
        <f t="shared" si="128"/>
        <v>0</v>
      </c>
      <c r="Q773" s="335"/>
    </row>
    <row r="774" spans="1:17" hidden="1" x14ac:dyDescent="0.5">
      <c r="A774" s="115">
        <f t="shared" si="129"/>
        <v>110</v>
      </c>
      <c r="B774" s="116" t="s">
        <v>239</v>
      </c>
      <c r="C774" s="129" t="s">
        <v>479</v>
      </c>
      <c r="D774" s="72" t="s">
        <v>461</v>
      </c>
      <c r="E774" s="73"/>
      <c r="F774" s="73"/>
      <c r="G774" s="73"/>
      <c r="H774" s="73"/>
      <c r="I774" s="191"/>
      <c r="J774" s="19">
        <f t="shared" si="122"/>
        <v>0</v>
      </c>
      <c r="K774" s="259" t="s">
        <v>22</v>
      </c>
      <c r="L774" s="168">
        <v>0</v>
      </c>
      <c r="M774" s="168">
        <v>0</v>
      </c>
      <c r="N774" s="169">
        <f t="shared" si="126"/>
        <v>0</v>
      </c>
      <c r="O774" s="169">
        <f t="shared" si="127"/>
        <v>0</v>
      </c>
      <c r="P774" s="312">
        <f t="shared" si="128"/>
        <v>0</v>
      </c>
      <c r="Q774" s="335"/>
    </row>
    <row r="775" spans="1:17" hidden="1" x14ac:dyDescent="0.5">
      <c r="A775" s="115">
        <f t="shared" si="129"/>
        <v>111</v>
      </c>
      <c r="B775" s="116" t="s">
        <v>239</v>
      </c>
      <c r="C775" s="129" t="s">
        <v>479</v>
      </c>
      <c r="D775" s="72" t="s">
        <v>323</v>
      </c>
      <c r="E775" s="73" t="s">
        <v>324</v>
      </c>
      <c r="F775" s="73"/>
      <c r="G775" s="73" t="s">
        <v>325</v>
      </c>
      <c r="H775" s="73"/>
      <c r="I775" s="191"/>
      <c r="J775" s="19">
        <f t="shared" si="122"/>
        <v>0</v>
      </c>
      <c r="K775" s="259" t="s">
        <v>22</v>
      </c>
      <c r="L775" s="168">
        <v>0</v>
      </c>
      <c r="M775" s="168">
        <v>0</v>
      </c>
      <c r="N775" s="169">
        <f t="shared" si="126"/>
        <v>0</v>
      </c>
      <c r="O775" s="169">
        <f t="shared" si="127"/>
        <v>0</v>
      </c>
      <c r="P775" s="312">
        <f t="shared" si="128"/>
        <v>0</v>
      </c>
      <c r="Q775" s="335"/>
    </row>
    <row r="776" spans="1:17" hidden="1" x14ac:dyDescent="0.5">
      <c r="A776" s="115">
        <f t="shared" si="129"/>
        <v>112</v>
      </c>
      <c r="B776" s="116" t="s">
        <v>239</v>
      </c>
      <c r="C776" s="129" t="s">
        <v>479</v>
      </c>
      <c r="D776" s="72" t="s">
        <v>323</v>
      </c>
      <c r="E776" s="73" t="s">
        <v>324</v>
      </c>
      <c r="F776" s="73"/>
      <c r="G776" s="73" t="s">
        <v>326</v>
      </c>
      <c r="H776" s="73"/>
      <c r="I776" s="191"/>
      <c r="J776" s="19">
        <f t="shared" si="122"/>
        <v>0</v>
      </c>
      <c r="K776" s="259" t="s">
        <v>22</v>
      </c>
      <c r="L776" s="168">
        <v>0</v>
      </c>
      <c r="M776" s="168">
        <v>0</v>
      </c>
      <c r="N776" s="169">
        <f t="shared" si="126"/>
        <v>0</v>
      </c>
      <c r="O776" s="169">
        <f t="shared" si="127"/>
        <v>0</v>
      </c>
      <c r="P776" s="312">
        <f t="shared" si="128"/>
        <v>0</v>
      </c>
      <c r="Q776" s="335"/>
    </row>
    <row r="777" spans="1:17" hidden="1" x14ac:dyDescent="0.5">
      <c r="A777" s="115">
        <f t="shared" si="129"/>
        <v>113</v>
      </c>
      <c r="B777" s="116" t="s">
        <v>239</v>
      </c>
      <c r="C777" s="129" t="s">
        <v>479</v>
      </c>
      <c r="D777" s="72" t="s">
        <v>323</v>
      </c>
      <c r="E777" s="73" t="s">
        <v>324</v>
      </c>
      <c r="F777" s="73"/>
      <c r="G777" s="73" t="s">
        <v>327</v>
      </c>
      <c r="H777" s="73"/>
      <c r="I777" s="191"/>
      <c r="J777" s="19">
        <f t="shared" si="122"/>
        <v>0</v>
      </c>
      <c r="K777" s="259" t="s">
        <v>22</v>
      </c>
      <c r="L777" s="168">
        <v>0</v>
      </c>
      <c r="M777" s="168">
        <v>0</v>
      </c>
      <c r="N777" s="169">
        <f t="shared" si="126"/>
        <v>0</v>
      </c>
      <c r="O777" s="169">
        <f t="shared" si="127"/>
        <v>0</v>
      </c>
      <c r="P777" s="312">
        <f t="shared" si="128"/>
        <v>0</v>
      </c>
      <c r="Q777" s="335"/>
    </row>
    <row r="778" spans="1:17" hidden="1" x14ac:dyDescent="0.5">
      <c r="A778" s="115">
        <f t="shared" si="129"/>
        <v>114</v>
      </c>
      <c r="B778" s="116" t="s">
        <v>239</v>
      </c>
      <c r="C778" s="129" t="s">
        <v>479</v>
      </c>
      <c r="D778" s="72" t="s">
        <v>323</v>
      </c>
      <c r="E778" s="73" t="s">
        <v>324</v>
      </c>
      <c r="F778" s="73"/>
      <c r="G778" s="73" t="s">
        <v>328</v>
      </c>
      <c r="H778" s="73"/>
      <c r="I778" s="191"/>
      <c r="J778" s="19">
        <f t="shared" si="122"/>
        <v>0</v>
      </c>
      <c r="K778" s="259" t="s">
        <v>22</v>
      </c>
      <c r="L778" s="168">
        <v>0</v>
      </c>
      <c r="M778" s="168">
        <v>0</v>
      </c>
      <c r="N778" s="169">
        <f t="shared" si="126"/>
        <v>0</v>
      </c>
      <c r="O778" s="169">
        <f t="shared" si="127"/>
        <v>0</v>
      </c>
      <c r="P778" s="312">
        <f t="shared" si="128"/>
        <v>0</v>
      </c>
      <c r="Q778" s="335"/>
    </row>
    <row r="779" spans="1:17" hidden="1" x14ac:dyDescent="0.5">
      <c r="A779" s="115">
        <f t="shared" si="129"/>
        <v>115</v>
      </c>
      <c r="B779" s="116" t="s">
        <v>239</v>
      </c>
      <c r="C779" s="129" t="s">
        <v>479</v>
      </c>
      <c r="D779" s="72" t="s">
        <v>323</v>
      </c>
      <c r="E779" s="73" t="s">
        <v>324</v>
      </c>
      <c r="F779" s="73"/>
      <c r="G779" s="73" t="s">
        <v>329</v>
      </c>
      <c r="H779" s="73"/>
      <c r="I779" s="191"/>
      <c r="J779" s="19">
        <f t="shared" si="122"/>
        <v>0</v>
      </c>
      <c r="K779" s="259" t="s">
        <v>22</v>
      </c>
      <c r="L779" s="168">
        <v>0</v>
      </c>
      <c r="M779" s="168">
        <v>0</v>
      </c>
      <c r="N779" s="169">
        <f t="shared" si="126"/>
        <v>0</v>
      </c>
      <c r="O779" s="169">
        <f t="shared" si="127"/>
        <v>0</v>
      </c>
      <c r="P779" s="312">
        <f t="shared" si="128"/>
        <v>0</v>
      </c>
      <c r="Q779" s="335"/>
    </row>
    <row r="780" spans="1:17" hidden="1" x14ac:dyDescent="0.5">
      <c r="A780" s="115">
        <f t="shared" si="129"/>
        <v>116</v>
      </c>
      <c r="B780" s="116" t="s">
        <v>239</v>
      </c>
      <c r="C780" s="129" t="s">
        <v>479</v>
      </c>
      <c r="D780" s="72" t="s">
        <v>330</v>
      </c>
      <c r="E780" s="73" t="s">
        <v>331</v>
      </c>
      <c r="F780" s="73"/>
      <c r="G780" s="73" t="s">
        <v>444</v>
      </c>
      <c r="H780" s="73"/>
      <c r="I780" s="191"/>
      <c r="J780" s="19">
        <f t="shared" si="122"/>
        <v>0</v>
      </c>
      <c r="K780" s="259" t="s">
        <v>22</v>
      </c>
      <c r="L780" s="168">
        <v>0</v>
      </c>
      <c r="M780" s="168">
        <v>0</v>
      </c>
      <c r="N780" s="169">
        <f t="shared" si="126"/>
        <v>0</v>
      </c>
      <c r="O780" s="169">
        <f t="shared" si="127"/>
        <v>0</v>
      </c>
      <c r="P780" s="312">
        <f t="shared" si="128"/>
        <v>0</v>
      </c>
      <c r="Q780" s="335"/>
    </row>
    <row r="781" spans="1:17" hidden="1" x14ac:dyDescent="0.5">
      <c r="A781" s="115">
        <f t="shared" si="129"/>
        <v>117</v>
      </c>
      <c r="B781" s="116" t="s">
        <v>239</v>
      </c>
      <c r="C781" s="129" t="s">
        <v>479</v>
      </c>
      <c r="D781" s="72" t="s">
        <v>332</v>
      </c>
      <c r="E781" s="73" t="s">
        <v>331</v>
      </c>
      <c r="F781" s="73"/>
      <c r="G781" s="73" t="s">
        <v>333</v>
      </c>
      <c r="H781" s="73"/>
      <c r="I781" s="191"/>
      <c r="J781" s="19">
        <f t="shared" si="122"/>
        <v>0</v>
      </c>
      <c r="K781" s="259" t="s">
        <v>22</v>
      </c>
      <c r="L781" s="168">
        <v>0</v>
      </c>
      <c r="M781" s="168">
        <v>0</v>
      </c>
      <c r="N781" s="169">
        <f t="shared" si="126"/>
        <v>0</v>
      </c>
      <c r="O781" s="169">
        <f t="shared" si="127"/>
        <v>0</v>
      </c>
      <c r="P781" s="312">
        <f t="shared" si="128"/>
        <v>0</v>
      </c>
      <c r="Q781" s="335"/>
    </row>
    <row r="782" spans="1:17" hidden="1" x14ac:dyDescent="0.5">
      <c r="A782" s="115">
        <f t="shared" si="129"/>
        <v>118</v>
      </c>
      <c r="B782" s="116" t="s">
        <v>239</v>
      </c>
      <c r="C782" s="129" t="s">
        <v>479</v>
      </c>
      <c r="D782" s="72" t="s">
        <v>485</v>
      </c>
      <c r="E782" s="73" t="s">
        <v>440</v>
      </c>
      <c r="F782" s="73"/>
      <c r="G782" s="73" t="s">
        <v>441</v>
      </c>
      <c r="H782" s="73"/>
      <c r="I782" s="191"/>
      <c r="J782" s="19">
        <f t="shared" si="122"/>
        <v>0</v>
      </c>
      <c r="K782" s="259" t="s">
        <v>22</v>
      </c>
      <c r="L782" s="168">
        <v>0</v>
      </c>
      <c r="M782" s="168">
        <v>0</v>
      </c>
      <c r="N782" s="169">
        <f t="shared" si="126"/>
        <v>0</v>
      </c>
      <c r="O782" s="169">
        <f t="shared" si="127"/>
        <v>0</v>
      </c>
      <c r="P782" s="312">
        <f t="shared" si="128"/>
        <v>0</v>
      </c>
      <c r="Q782" s="335"/>
    </row>
    <row r="783" spans="1:17" hidden="1" x14ac:dyDescent="0.5">
      <c r="A783" s="115">
        <f t="shared" si="129"/>
        <v>119</v>
      </c>
      <c r="B783" s="116" t="s">
        <v>239</v>
      </c>
      <c r="C783" s="129" t="s">
        <v>334</v>
      </c>
      <c r="D783" s="72" t="s">
        <v>335</v>
      </c>
      <c r="E783" s="73"/>
      <c r="F783" s="73"/>
      <c r="G783" s="73" t="s">
        <v>336</v>
      </c>
      <c r="H783" s="73"/>
      <c r="I783" s="191"/>
      <c r="J783" s="19">
        <f t="shared" si="122"/>
        <v>0</v>
      </c>
      <c r="K783" s="259" t="s">
        <v>22</v>
      </c>
      <c r="L783" s="168">
        <v>0</v>
      </c>
      <c r="M783" s="168">
        <v>0</v>
      </c>
      <c r="N783" s="169">
        <f t="shared" si="126"/>
        <v>0</v>
      </c>
      <c r="O783" s="169">
        <f t="shared" si="127"/>
        <v>0</v>
      </c>
      <c r="P783" s="312">
        <f t="shared" si="128"/>
        <v>0</v>
      </c>
      <c r="Q783" s="335"/>
    </row>
    <row r="784" spans="1:17" hidden="1" x14ac:dyDescent="0.5">
      <c r="A784" s="115">
        <f t="shared" si="129"/>
        <v>120</v>
      </c>
      <c r="B784" s="116" t="s">
        <v>239</v>
      </c>
      <c r="C784" s="129" t="s">
        <v>334</v>
      </c>
      <c r="D784" s="72" t="s">
        <v>335</v>
      </c>
      <c r="E784" s="73"/>
      <c r="F784" s="73"/>
      <c r="G784" s="73" t="s">
        <v>337</v>
      </c>
      <c r="H784" s="73"/>
      <c r="I784" s="191"/>
      <c r="J784" s="19">
        <f t="shared" si="122"/>
        <v>0</v>
      </c>
      <c r="K784" s="259" t="s">
        <v>22</v>
      </c>
      <c r="L784" s="168">
        <v>0</v>
      </c>
      <c r="M784" s="168">
        <v>0</v>
      </c>
      <c r="N784" s="169">
        <f t="shared" si="126"/>
        <v>0</v>
      </c>
      <c r="O784" s="169">
        <f t="shared" si="127"/>
        <v>0</v>
      </c>
      <c r="P784" s="312">
        <f t="shared" si="128"/>
        <v>0</v>
      </c>
      <c r="Q784" s="335"/>
    </row>
    <row r="785" spans="1:17" hidden="1" x14ac:dyDescent="0.5">
      <c r="A785" s="115">
        <f t="shared" si="129"/>
        <v>121</v>
      </c>
      <c r="B785" s="116" t="s">
        <v>239</v>
      </c>
      <c r="C785" s="129" t="s">
        <v>334</v>
      </c>
      <c r="D785" s="72" t="s">
        <v>335</v>
      </c>
      <c r="E785" s="73"/>
      <c r="F785" s="73"/>
      <c r="G785" s="73" t="s">
        <v>338</v>
      </c>
      <c r="H785" s="73"/>
      <c r="I785" s="191"/>
      <c r="J785" s="19">
        <f t="shared" si="122"/>
        <v>0</v>
      </c>
      <c r="K785" s="259" t="s">
        <v>22</v>
      </c>
      <c r="L785" s="168">
        <v>0</v>
      </c>
      <c r="M785" s="168">
        <v>0</v>
      </c>
      <c r="N785" s="169">
        <f t="shared" si="126"/>
        <v>0</v>
      </c>
      <c r="O785" s="169">
        <f t="shared" si="127"/>
        <v>0</v>
      </c>
      <c r="P785" s="312">
        <f t="shared" si="128"/>
        <v>0</v>
      </c>
      <c r="Q785" s="335"/>
    </row>
    <row r="786" spans="1:17" hidden="1" x14ac:dyDescent="0.5">
      <c r="A786" s="115">
        <f t="shared" si="129"/>
        <v>122</v>
      </c>
      <c r="B786" s="116" t="s">
        <v>239</v>
      </c>
      <c r="C786" s="129" t="s">
        <v>334</v>
      </c>
      <c r="D786" s="72" t="s">
        <v>335</v>
      </c>
      <c r="E786" s="73"/>
      <c r="F786" s="73"/>
      <c r="G786" s="73" t="s">
        <v>339</v>
      </c>
      <c r="H786" s="73"/>
      <c r="I786" s="191"/>
      <c r="J786" s="19">
        <f t="shared" si="122"/>
        <v>0</v>
      </c>
      <c r="K786" s="259" t="s">
        <v>22</v>
      </c>
      <c r="L786" s="168">
        <v>0</v>
      </c>
      <c r="M786" s="168">
        <v>0</v>
      </c>
      <c r="N786" s="169">
        <f t="shared" si="126"/>
        <v>0</v>
      </c>
      <c r="O786" s="169">
        <f t="shared" si="127"/>
        <v>0</v>
      </c>
      <c r="P786" s="312">
        <f t="shared" si="128"/>
        <v>0</v>
      </c>
      <c r="Q786" s="335"/>
    </row>
    <row r="787" spans="1:17" hidden="1" x14ac:dyDescent="0.5">
      <c r="A787" s="115">
        <f t="shared" si="129"/>
        <v>123</v>
      </c>
      <c r="B787" s="116" t="s">
        <v>239</v>
      </c>
      <c r="C787" s="129" t="s">
        <v>334</v>
      </c>
      <c r="D787" s="72" t="s">
        <v>335</v>
      </c>
      <c r="E787" s="73"/>
      <c r="F787" s="73"/>
      <c r="G787" s="73" t="s">
        <v>340</v>
      </c>
      <c r="H787" s="73"/>
      <c r="I787" s="191"/>
      <c r="J787" s="19">
        <f t="shared" si="122"/>
        <v>0</v>
      </c>
      <c r="K787" s="259" t="s">
        <v>22</v>
      </c>
      <c r="L787" s="168">
        <v>0</v>
      </c>
      <c r="M787" s="168">
        <v>0</v>
      </c>
      <c r="N787" s="169">
        <f t="shared" si="126"/>
        <v>0</v>
      </c>
      <c r="O787" s="169">
        <f t="shared" si="127"/>
        <v>0</v>
      </c>
      <c r="P787" s="312">
        <f t="shared" si="128"/>
        <v>0</v>
      </c>
      <c r="Q787" s="335"/>
    </row>
    <row r="788" spans="1:17" hidden="1" x14ac:dyDescent="0.5">
      <c r="A788" s="115">
        <f t="shared" si="129"/>
        <v>124</v>
      </c>
      <c r="B788" s="116" t="s">
        <v>239</v>
      </c>
      <c r="C788" s="129" t="s">
        <v>334</v>
      </c>
      <c r="D788" s="72" t="s">
        <v>335</v>
      </c>
      <c r="E788" s="73"/>
      <c r="F788" s="73"/>
      <c r="G788" s="73" t="s">
        <v>341</v>
      </c>
      <c r="H788" s="73"/>
      <c r="I788" s="191"/>
      <c r="J788" s="19">
        <f t="shared" si="122"/>
        <v>0</v>
      </c>
      <c r="K788" s="259" t="s">
        <v>22</v>
      </c>
      <c r="L788" s="168">
        <v>0</v>
      </c>
      <c r="M788" s="168">
        <v>0</v>
      </c>
      <c r="N788" s="169">
        <f t="shared" si="126"/>
        <v>0</v>
      </c>
      <c r="O788" s="169">
        <f t="shared" si="127"/>
        <v>0</v>
      </c>
      <c r="P788" s="312">
        <f t="shared" si="128"/>
        <v>0</v>
      </c>
      <c r="Q788" s="335"/>
    </row>
    <row r="789" spans="1:17" hidden="1" x14ac:dyDescent="0.5">
      <c r="A789" s="115">
        <f t="shared" si="129"/>
        <v>125</v>
      </c>
      <c r="B789" s="116" t="s">
        <v>239</v>
      </c>
      <c r="C789" s="129" t="s">
        <v>334</v>
      </c>
      <c r="D789" s="72" t="s">
        <v>335</v>
      </c>
      <c r="E789" s="73"/>
      <c r="F789" s="73"/>
      <c r="G789" s="73" t="s">
        <v>342</v>
      </c>
      <c r="H789" s="73"/>
      <c r="I789" s="191"/>
      <c r="J789" s="19">
        <f t="shared" si="122"/>
        <v>0</v>
      </c>
      <c r="K789" s="259" t="s">
        <v>22</v>
      </c>
      <c r="L789" s="168">
        <v>0</v>
      </c>
      <c r="M789" s="168">
        <v>0</v>
      </c>
      <c r="N789" s="169">
        <f t="shared" si="126"/>
        <v>0</v>
      </c>
      <c r="O789" s="169">
        <f t="shared" si="127"/>
        <v>0</v>
      </c>
      <c r="P789" s="312">
        <f t="shared" si="128"/>
        <v>0</v>
      </c>
      <c r="Q789" s="335"/>
    </row>
    <row r="790" spans="1:17" hidden="1" x14ac:dyDescent="0.5">
      <c r="A790" s="115">
        <f t="shared" si="129"/>
        <v>126</v>
      </c>
      <c r="B790" s="116" t="s">
        <v>239</v>
      </c>
      <c r="C790" s="129" t="s">
        <v>334</v>
      </c>
      <c r="D790" s="72" t="s">
        <v>335</v>
      </c>
      <c r="E790" s="73"/>
      <c r="F790" s="73"/>
      <c r="G790" s="73" t="s">
        <v>343</v>
      </c>
      <c r="H790" s="73"/>
      <c r="I790" s="191"/>
      <c r="J790" s="19">
        <f t="shared" si="122"/>
        <v>0</v>
      </c>
      <c r="K790" s="259" t="s">
        <v>22</v>
      </c>
      <c r="L790" s="168">
        <v>0</v>
      </c>
      <c r="M790" s="168">
        <v>0</v>
      </c>
      <c r="N790" s="169">
        <f t="shared" si="126"/>
        <v>0</v>
      </c>
      <c r="O790" s="169">
        <f t="shared" si="127"/>
        <v>0</v>
      </c>
      <c r="P790" s="312">
        <f t="shared" si="128"/>
        <v>0</v>
      </c>
      <c r="Q790" s="335"/>
    </row>
    <row r="791" spans="1:17" hidden="1" x14ac:dyDescent="0.5">
      <c r="A791" s="115">
        <f t="shared" si="129"/>
        <v>127</v>
      </c>
      <c r="B791" s="116" t="s">
        <v>239</v>
      </c>
      <c r="C791" s="129" t="s">
        <v>334</v>
      </c>
      <c r="D791" s="72" t="s">
        <v>344</v>
      </c>
      <c r="E791" s="73"/>
      <c r="F791" s="73"/>
      <c r="G791" s="73" t="s">
        <v>444</v>
      </c>
      <c r="H791" s="73"/>
      <c r="I791" s="191"/>
      <c r="J791" s="19">
        <f t="shared" si="122"/>
        <v>0</v>
      </c>
      <c r="K791" s="259" t="s">
        <v>22</v>
      </c>
      <c r="L791" s="168">
        <v>0</v>
      </c>
      <c r="M791" s="168">
        <v>0</v>
      </c>
      <c r="N791" s="169">
        <f t="shared" si="126"/>
        <v>0</v>
      </c>
      <c r="O791" s="169">
        <f t="shared" si="127"/>
        <v>0</v>
      </c>
      <c r="P791" s="312">
        <f t="shared" si="128"/>
        <v>0</v>
      </c>
      <c r="Q791" s="335"/>
    </row>
    <row r="792" spans="1:17" hidden="1" x14ac:dyDescent="0.5">
      <c r="A792" s="115">
        <f t="shared" si="129"/>
        <v>128</v>
      </c>
      <c r="B792" s="116" t="s">
        <v>239</v>
      </c>
      <c r="C792" s="129" t="s">
        <v>334</v>
      </c>
      <c r="D792" s="72" t="s">
        <v>345</v>
      </c>
      <c r="E792" s="73" t="s">
        <v>150</v>
      </c>
      <c r="F792" s="73"/>
      <c r="G792" s="73" t="s">
        <v>346</v>
      </c>
      <c r="H792" s="73"/>
      <c r="I792" s="191"/>
      <c r="J792" s="19">
        <f t="shared" si="122"/>
        <v>0</v>
      </c>
      <c r="K792" s="259" t="s">
        <v>51</v>
      </c>
      <c r="L792" s="168">
        <v>0</v>
      </c>
      <c r="M792" s="168">
        <v>0</v>
      </c>
      <c r="N792" s="169">
        <f t="shared" si="126"/>
        <v>0</v>
      </c>
      <c r="O792" s="169">
        <f t="shared" si="127"/>
        <v>0</v>
      </c>
      <c r="P792" s="312">
        <f t="shared" si="128"/>
        <v>0</v>
      </c>
      <c r="Q792" s="335"/>
    </row>
    <row r="793" spans="1:17" hidden="1" x14ac:dyDescent="0.5">
      <c r="A793" s="115">
        <f t="shared" si="129"/>
        <v>129</v>
      </c>
      <c r="B793" s="116" t="s">
        <v>239</v>
      </c>
      <c r="C793" s="129" t="s">
        <v>334</v>
      </c>
      <c r="D793" s="72" t="s">
        <v>347</v>
      </c>
      <c r="E793" s="73" t="s">
        <v>150</v>
      </c>
      <c r="F793" s="73"/>
      <c r="G793" s="73" t="s">
        <v>348</v>
      </c>
      <c r="H793" s="73"/>
      <c r="I793" s="191"/>
      <c r="J793" s="19">
        <f t="shared" si="122"/>
        <v>0</v>
      </c>
      <c r="K793" s="259" t="s">
        <v>51</v>
      </c>
      <c r="L793" s="168">
        <v>0</v>
      </c>
      <c r="M793" s="168">
        <v>0</v>
      </c>
      <c r="N793" s="169">
        <f t="shared" si="126"/>
        <v>0</v>
      </c>
      <c r="O793" s="169">
        <f t="shared" si="127"/>
        <v>0</v>
      </c>
      <c r="P793" s="312">
        <f t="shared" si="128"/>
        <v>0</v>
      </c>
      <c r="Q793" s="335"/>
    </row>
    <row r="794" spans="1:17" hidden="1" x14ac:dyDescent="0.5">
      <c r="A794" s="115">
        <f t="shared" si="129"/>
        <v>130</v>
      </c>
      <c r="B794" s="116" t="s">
        <v>239</v>
      </c>
      <c r="C794" s="129" t="s">
        <v>334</v>
      </c>
      <c r="D794" s="43" t="s">
        <v>358</v>
      </c>
      <c r="E794" s="5"/>
      <c r="F794" s="5"/>
      <c r="G794" s="5"/>
      <c r="H794" s="5"/>
      <c r="I794" s="20"/>
      <c r="J794" s="19">
        <f>I794</f>
        <v>0</v>
      </c>
      <c r="K794" s="171"/>
      <c r="L794" s="168">
        <v>0</v>
      </c>
      <c r="M794" s="168">
        <v>0</v>
      </c>
      <c r="N794" s="169">
        <f>L794*J794</f>
        <v>0</v>
      </c>
      <c r="O794" s="169">
        <f>M794*J794</f>
        <v>0</v>
      </c>
      <c r="P794" s="312">
        <f>(L794*J794)+(M794*J794)</f>
        <v>0</v>
      </c>
      <c r="Q794" s="326"/>
    </row>
    <row r="795" spans="1:17" hidden="1" x14ac:dyDescent="0.5">
      <c r="A795" s="109">
        <f>A794+1</f>
        <v>131</v>
      </c>
      <c r="B795" s="110" t="s">
        <v>239</v>
      </c>
      <c r="C795" s="128" t="s">
        <v>334</v>
      </c>
      <c r="D795" s="45" t="s">
        <v>358</v>
      </c>
      <c r="E795" s="40"/>
      <c r="F795" s="40"/>
      <c r="G795" s="40"/>
      <c r="H795" s="40"/>
      <c r="I795" s="41"/>
      <c r="J795" s="24">
        <f>I795</f>
        <v>0</v>
      </c>
      <c r="K795" s="194"/>
      <c r="L795" s="195">
        <v>0</v>
      </c>
      <c r="M795" s="195">
        <v>0</v>
      </c>
      <c r="N795" s="196">
        <f>L795*J795</f>
        <v>0</v>
      </c>
      <c r="O795" s="196">
        <f>M795*J795</f>
        <v>0</v>
      </c>
      <c r="P795" s="313">
        <f>(L795*J795)+(M795*J795)</f>
        <v>0</v>
      </c>
      <c r="Q795" s="328"/>
    </row>
    <row r="796" spans="1:17" ht="23.25" hidden="1" customHeight="1" thickBot="1" x14ac:dyDescent="0.55000000000000004">
      <c r="A796" s="117"/>
      <c r="B796" s="92" t="s">
        <v>239</v>
      </c>
      <c r="C796" s="137" t="s">
        <v>198</v>
      </c>
      <c r="D796" s="273" t="s">
        <v>199</v>
      </c>
      <c r="E796" s="263"/>
      <c r="F796" s="263"/>
      <c r="G796" s="263"/>
      <c r="H796" s="264"/>
      <c r="I796" s="265"/>
      <c r="J796" s="266"/>
      <c r="K796" s="267"/>
      <c r="L796" s="268"/>
      <c r="M796" s="268"/>
      <c r="N796" s="288"/>
      <c r="O796" s="288"/>
      <c r="P796" s="324"/>
      <c r="Q796" s="348"/>
    </row>
    <row r="797" spans="1:17" hidden="1" x14ac:dyDescent="0.5">
      <c r="A797" s="113">
        <f>A795+1</f>
        <v>132</v>
      </c>
      <c r="B797" s="114" t="s">
        <v>239</v>
      </c>
      <c r="C797" s="127" t="s">
        <v>198</v>
      </c>
      <c r="D797" s="290" t="s">
        <v>349</v>
      </c>
      <c r="E797" s="291"/>
      <c r="F797" s="291"/>
      <c r="G797" s="291"/>
      <c r="H797" s="78"/>
      <c r="I797" s="189"/>
      <c r="J797" s="32">
        <f t="shared" si="122"/>
        <v>0</v>
      </c>
      <c r="K797" s="272" t="s">
        <v>350</v>
      </c>
      <c r="L797" s="185">
        <v>0</v>
      </c>
      <c r="M797" s="185">
        <v>0</v>
      </c>
      <c r="N797" s="186">
        <f t="shared" ref="N797:N803" si="130">L797*J797</f>
        <v>0</v>
      </c>
      <c r="O797" s="186">
        <f t="shared" ref="O797:O803" si="131">M797*J797</f>
        <v>0</v>
      </c>
      <c r="P797" s="311">
        <f t="shared" ref="P797:P803" si="132">(L797*J797)+(M797*J797)</f>
        <v>0</v>
      </c>
      <c r="Q797" s="336"/>
    </row>
    <row r="798" spans="1:17" hidden="1" x14ac:dyDescent="0.5">
      <c r="A798" s="115">
        <f>A797+1</f>
        <v>133</v>
      </c>
      <c r="B798" s="116" t="s">
        <v>239</v>
      </c>
      <c r="C798" s="129" t="s">
        <v>198</v>
      </c>
      <c r="D798" s="72" t="s">
        <v>351</v>
      </c>
      <c r="E798" s="73"/>
      <c r="F798" s="73"/>
      <c r="G798" s="73"/>
      <c r="H798" s="73"/>
      <c r="I798" s="191"/>
      <c r="J798" s="19">
        <f t="shared" si="122"/>
        <v>0</v>
      </c>
      <c r="K798" s="259" t="s">
        <v>22</v>
      </c>
      <c r="L798" s="168">
        <v>0</v>
      </c>
      <c r="M798" s="168">
        <v>0</v>
      </c>
      <c r="N798" s="169">
        <f t="shared" si="130"/>
        <v>0</v>
      </c>
      <c r="O798" s="169">
        <f t="shared" si="131"/>
        <v>0</v>
      </c>
      <c r="P798" s="312">
        <f t="shared" si="132"/>
        <v>0</v>
      </c>
      <c r="Q798" s="335"/>
    </row>
    <row r="799" spans="1:17" hidden="1" x14ac:dyDescent="0.5">
      <c r="A799" s="115">
        <f t="shared" ref="A799:A802" si="133">A798+1</f>
        <v>134</v>
      </c>
      <c r="B799" s="116" t="s">
        <v>239</v>
      </c>
      <c r="C799" s="129" t="s">
        <v>198</v>
      </c>
      <c r="D799" s="72" t="s">
        <v>352</v>
      </c>
      <c r="E799" s="73"/>
      <c r="F799" s="73"/>
      <c r="G799" s="73"/>
      <c r="H799" s="73"/>
      <c r="I799" s="191"/>
      <c r="J799" s="19">
        <f t="shared" si="122"/>
        <v>0</v>
      </c>
      <c r="K799" s="259" t="s">
        <v>22</v>
      </c>
      <c r="L799" s="168">
        <v>0</v>
      </c>
      <c r="M799" s="168">
        <v>0</v>
      </c>
      <c r="N799" s="169">
        <f t="shared" si="130"/>
        <v>0</v>
      </c>
      <c r="O799" s="169">
        <f t="shared" si="131"/>
        <v>0</v>
      </c>
      <c r="P799" s="312">
        <f t="shared" si="132"/>
        <v>0</v>
      </c>
      <c r="Q799" s="335"/>
    </row>
    <row r="800" spans="1:17" hidden="1" x14ac:dyDescent="0.5">
      <c r="A800" s="115">
        <f t="shared" si="133"/>
        <v>135</v>
      </c>
      <c r="B800" s="116" t="s">
        <v>239</v>
      </c>
      <c r="C800" s="129" t="s">
        <v>198</v>
      </c>
      <c r="D800" s="72" t="s">
        <v>353</v>
      </c>
      <c r="E800" s="73"/>
      <c r="F800" s="73"/>
      <c r="G800" s="73"/>
      <c r="H800" s="73"/>
      <c r="I800" s="191"/>
      <c r="J800" s="19">
        <f t="shared" si="122"/>
        <v>0</v>
      </c>
      <c r="K800" s="259" t="s">
        <v>22</v>
      </c>
      <c r="L800" s="168">
        <v>0</v>
      </c>
      <c r="M800" s="168">
        <v>0</v>
      </c>
      <c r="N800" s="169">
        <f t="shared" si="130"/>
        <v>0</v>
      </c>
      <c r="O800" s="169">
        <f t="shared" si="131"/>
        <v>0</v>
      </c>
      <c r="P800" s="312">
        <f t="shared" si="132"/>
        <v>0</v>
      </c>
      <c r="Q800" s="335"/>
    </row>
    <row r="801" spans="1:17" hidden="1" x14ac:dyDescent="0.5">
      <c r="A801" s="115">
        <f t="shared" si="133"/>
        <v>136</v>
      </c>
      <c r="B801" s="116" t="s">
        <v>239</v>
      </c>
      <c r="C801" s="129" t="s">
        <v>198</v>
      </c>
      <c r="D801" s="72" t="s">
        <v>489</v>
      </c>
      <c r="E801" s="73" t="s">
        <v>202</v>
      </c>
      <c r="F801" s="73"/>
      <c r="G801" s="73" t="s">
        <v>490</v>
      </c>
      <c r="H801" s="73"/>
      <c r="I801" s="191"/>
      <c r="J801" s="19">
        <f t="shared" si="122"/>
        <v>0</v>
      </c>
      <c r="K801" s="259" t="s">
        <v>22</v>
      </c>
      <c r="L801" s="168">
        <v>0</v>
      </c>
      <c r="M801" s="168">
        <v>0</v>
      </c>
      <c r="N801" s="169">
        <f t="shared" si="130"/>
        <v>0</v>
      </c>
      <c r="O801" s="169">
        <f t="shared" si="131"/>
        <v>0</v>
      </c>
      <c r="P801" s="312">
        <f t="shared" si="132"/>
        <v>0</v>
      </c>
      <c r="Q801" s="335"/>
    </row>
    <row r="802" spans="1:17" hidden="1" x14ac:dyDescent="0.5">
      <c r="A802" s="115">
        <f t="shared" si="133"/>
        <v>137</v>
      </c>
      <c r="B802" s="116" t="s">
        <v>239</v>
      </c>
      <c r="C802" s="129" t="s">
        <v>198</v>
      </c>
      <c r="D802" s="72" t="s">
        <v>489</v>
      </c>
      <c r="E802" s="73" t="s">
        <v>202</v>
      </c>
      <c r="F802" s="73"/>
      <c r="G802" s="73" t="s">
        <v>203</v>
      </c>
      <c r="H802" s="85"/>
      <c r="I802" s="191"/>
      <c r="J802" s="19">
        <f t="shared" si="122"/>
        <v>0</v>
      </c>
      <c r="K802" s="167" t="s">
        <v>22</v>
      </c>
      <c r="L802" s="168">
        <v>0</v>
      </c>
      <c r="M802" s="168">
        <v>0</v>
      </c>
      <c r="N802" s="169">
        <f t="shared" si="130"/>
        <v>0</v>
      </c>
      <c r="O802" s="169">
        <f t="shared" si="131"/>
        <v>0</v>
      </c>
      <c r="P802" s="312">
        <f t="shared" si="132"/>
        <v>0</v>
      </c>
      <c r="Q802" s="335"/>
    </row>
    <row r="803" spans="1:17" hidden="1" x14ac:dyDescent="0.5">
      <c r="A803" s="115">
        <f>A802+1</f>
        <v>138</v>
      </c>
      <c r="B803" s="116" t="s">
        <v>239</v>
      </c>
      <c r="C803" s="129" t="s">
        <v>198</v>
      </c>
      <c r="D803" s="72" t="s">
        <v>489</v>
      </c>
      <c r="E803" s="73" t="s">
        <v>202</v>
      </c>
      <c r="F803" s="73"/>
      <c r="G803" s="73" t="s">
        <v>204</v>
      </c>
      <c r="H803" s="85"/>
      <c r="I803" s="191"/>
      <c r="J803" s="19">
        <f t="shared" si="122"/>
        <v>0</v>
      </c>
      <c r="K803" s="167" t="s">
        <v>22</v>
      </c>
      <c r="L803" s="168">
        <v>0</v>
      </c>
      <c r="M803" s="168">
        <v>0</v>
      </c>
      <c r="N803" s="169">
        <f t="shared" si="130"/>
        <v>0</v>
      </c>
      <c r="O803" s="169">
        <f t="shared" si="131"/>
        <v>0</v>
      </c>
      <c r="P803" s="312">
        <f t="shared" si="132"/>
        <v>0</v>
      </c>
      <c r="Q803" s="335"/>
    </row>
    <row r="804" spans="1:17" ht="29" hidden="1" thickBot="1" x14ac:dyDescent="0.55000000000000004">
      <c r="A804" s="109"/>
      <c r="B804" s="110"/>
      <c r="C804" s="111"/>
      <c r="D804" s="292"/>
      <c r="E804" s="293"/>
      <c r="F804" s="293"/>
      <c r="G804" s="293"/>
      <c r="H804" s="112"/>
      <c r="I804" s="294"/>
      <c r="J804" s="295"/>
      <c r="K804" s="39"/>
      <c r="L804" s="47"/>
      <c r="M804" s="47" t="s">
        <v>354</v>
      </c>
      <c r="N804" s="47"/>
      <c r="O804" s="47"/>
      <c r="P804" s="325">
        <f>SUM(P653:P803)</f>
        <v>0</v>
      </c>
      <c r="Q804" s="356"/>
    </row>
    <row r="805" spans="1:17" ht="21" hidden="1" customHeight="1" thickBot="1" x14ac:dyDescent="0.55000000000000004">
      <c r="A805" s="105">
        <f>A803+1</f>
        <v>139</v>
      </c>
      <c r="B805" s="96"/>
      <c r="C805" s="140" t="s">
        <v>355</v>
      </c>
      <c r="D805" s="296"/>
      <c r="E805" s="297"/>
      <c r="F805" s="297"/>
      <c r="G805" s="297"/>
      <c r="H805" s="108"/>
      <c r="I805" s="298"/>
      <c r="J805" s="299"/>
      <c r="K805" s="300" t="s">
        <v>356</v>
      </c>
      <c r="L805" s="48"/>
      <c r="M805" s="48" t="s">
        <v>357</v>
      </c>
      <c r="N805" s="48"/>
      <c r="O805" s="48"/>
      <c r="P805" s="301"/>
      <c r="Q805" s="7"/>
    </row>
    <row r="806" spans="1:17" ht="21.5" hidden="1" thickBot="1" x14ac:dyDescent="0.55000000000000004">
      <c r="A806" s="104"/>
      <c r="B806" s="104"/>
      <c r="C806" s="141"/>
      <c r="D806" s="302"/>
      <c r="E806" s="302"/>
      <c r="F806" s="302"/>
      <c r="G806" s="302"/>
      <c r="H806" s="302"/>
      <c r="I806" s="302"/>
      <c r="J806" s="302"/>
      <c r="K806" s="303"/>
      <c r="L806" s="302"/>
      <c r="M806" s="302"/>
      <c r="N806" s="302"/>
      <c r="O806" s="302"/>
      <c r="P806" s="141"/>
    </row>
    <row r="807" spans="1:17" hidden="1" x14ac:dyDescent="0.5">
      <c r="A807" s="304"/>
      <c r="B807" s="304"/>
      <c r="C807" s="142"/>
      <c r="D807" s="14"/>
      <c r="E807" s="14"/>
      <c r="F807" s="14"/>
      <c r="G807" s="14"/>
      <c r="H807" s="144"/>
      <c r="I807" s="144"/>
      <c r="J807" s="145"/>
      <c r="K807" s="17"/>
      <c r="L807" s="14"/>
      <c r="M807" s="14"/>
      <c r="N807" s="14"/>
      <c r="O807" s="14"/>
      <c r="P807" s="142"/>
    </row>
    <row r="808" spans="1:17" ht="29" hidden="1" thickBot="1" x14ac:dyDescent="0.55000000000000004">
      <c r="A808" s="105"/>
      <c r="B808" s="105"/>
      <c r="C808" s="106"/>
      <c r="D808" s="305"/>
      <c r="E808" s="305"/>
      <c r="F808" s="305"/>
      <c r="G808" s="305"/>
      <c r="H808" s="107"/>
      <c r="I808" s="306"/>
      <c r="J808" s="307"/>
      <c r="K808" s="308"/>
      <c r="L808" s="4"/>
      <c r="M808" s="4" t="s">
        <v>1</v>
      </c>
      <c r="N808" s="4"/>
      <c r="O808" s="4"/>
      <c r="P808" s="1">
        <f>P805+P804+P642</f>
        <v>1011.13</v>
      </c>
    </row>
  </sheetData>
  <autoFilter ref="A9:Q643" xr:uid="{35C2F983-5543-4013-B518-6FCDAF8BB69F}"/>
  <mergeCells count="2">
    <mergeCell ref="C646:C648"/>
    <mergeCell ref="D646:D648"/>
  </mergeCells>
  <phoneticPr fontId="27" type="noConversion"/>
  <conditionalFormatting sqref="D4:E7 J12:J643">
    <cfRule type="expression" dxfId="2" priority="1">
      <formula>$J4&lt;&gt;$I4</formula>
    </cfRule>
  </conditionalFormatting>
  <conditionalFormatting sqref="G2:G7">
    <cfRule type="expression" dxfId="1" priority="2">
      <formula>$J2&lt;&gt;$I2</formula>
    </cfRule>
  </conditionalFormatting>
  <conditionalFormatting sqref="J652:J803">
    <cfRule type="expression" dxfId="0" priority="3">
      <formula>$J652&lt;&gt;$I652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"/>
  <sheetViews>
    <sheetView workbookViewId="0">
      <selection activeCell="G16" sqref="G16"/>
    </sheetView>
  </sheetViews>
  <sheetFormatPr defaultColWidth="8.81640625" defaultRowHeight="14.5" x14ac:dyDescent="0.35"/>
  <sheetData/>
  <pageMargins left="0.7" right="0.7" top="0.75" bottom="0.75" header="0.3" footer="0.3"/>
  <pageSetup orientation="portrait" r:id="rId1"/>
  <headerFooter>
    <oddFooter>&amp;R_x000D_&amp;1#&amp;"Arial"&amp;12&amp;KFF0000 ST Restricted</oddFooter>
  </headerFooter>
  <customProperties>
    <customPr name="DCFIdentifier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G4"/>
  <sheetViews>
    <sheetView workbookViewId="0"/>
  </sheetViews>
  <sheetFormatPr defaultColWidth="8.81640625" defaultRowHeight="14.5" x14ac:dyDescent="0.35"/>
  <sheetData>
    <row r="1" spans="1:7" x14ac:dyDescent="0.35">
      <c r="A1" t="s">
        <v>359</v>
      </c>
      <c r="B1" t="s">
        <v>360</v>
      </c>
      <c r="C1" t="s">
        <v>361</v>
      </c>
      <c r="D1" t="s">
        <v>362</v>
      </c>
      <c r="E1" t="s">
        <v>363</v>
      </c>
      <c r="F1" t="s">
        <v>364</v>
      </c>
      <c r="G1" t="s">
        <v>365</v>
      </c>
    </row>
    <row r="2" spans="1:7" x14ac:dyDescent="0.35">
      <c r="A2" t="s">
        <v>366</v>
      </c>
      <c r="B2" t="s">
        <v>367</v>
      </c>
      <c r="C2" t="s">
        <v>368</v>
      </c>
      <c r="D2" t="s">
        <v>369</v>
      </c>
      <c r="E2" t="s">
        <v>370</v>
      </c>
      <c r="F2">
        <v>9</v>
      </c>
      <c r="G2" t="s">
        <v>371</v>
      </c>
    </row>
    <row r="3" spans="1:7" x14ac:dyDescent="0.35">
      <c r="A3" t="s">
        <v>372</v>
      </c>
      <c r="B3" t="s">
        <v>373</v>
      </c>
      <c r="C3" t="s">
        <v>374</v>
      </c>
      <c r="D3" t="s">
        <v>375</v>
      </c>
      <c r="E3" t="s">
        <v>376</v>
      </c>
      <c r="F3">
        <v>17</v>
      </c>
      <c r="G3" t="s">
        <v>377</v>
      </c>
    </row>
    <row r="4" spans="1:7" x14ac:dyDescent="0.35">
      <c r="A4" t="s">
        <v>378</v>
      </c>
      <c r="B4" t="s">
        <v>379</v>
      </c>
      <c r="C4" t="s">
        <v>380</v>
      </c>
      <c r="D4" t="s">
        <v>381</v>
      </c>
      <c r="E4" t="s">
        <v>382</v>
      </c>
      <c r="F4">
        <v>5</v>
      </c>
      <c r="G4" t="s">
        <v>383</v>
      </c>
    </row>
  </sheetData>
  <pageMargins left="0.7" right="0.7" top="0.75" bottom="0.75" header="0.3" footer="0.3"/>
  <pageSetup paperSize="9" orientation="portrait" r:id="rId1"/>
  <headerFooter>
    <oddFooter>&amp;R_x000D_&amp;1#&amp;"Arial"&amp;12&amp;KFF0000 ST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d583df-32b3-447d-b5d2-a070f46a85c2" xsi:nil="true"/>
    <lcf76f155ced4ddcb4097134ff3c332f xmlns="dcd0b3f6-a22e-43a1-b356-118626a33e2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26100FF6C79748A8EDCCC0B223FB03" ma:contentTypeVersion="13" ma:contentTypeDescription="Create a new document." ma:contentTypeScope="" ma:versionID="7ad8ba0dc4aa93f408862474ab19efd8">
  <xsd:schema xmlns:xsd="http://www.w3.org/2001/XMLSchema" xmlns:xs="http://www.w3.org/2001/XMLSchema" xmlns:p="http://schemas.microsoft.com/office/2006/metadata/properties" xmlns:ns2="dcd0b3f6-a22e-43a1-b356-118626a33e2b" xmlns:ns3="1bd583df-32b3-447d-b5d2-a070f46a85c2" targetNamespace="http://schemas.microsoft.com/office/2006/metadata/properties" ma:root="true" ma:fieldsID="2c4b84f5d13ead1f10b08e131a42951e" ns2:_="" ns3:_="">
    <xsd:import namespace="dcd0b3f6-a22e-43a1-b356-118626a33e2b"/>
    <xsd:import namespace="1bd583df-32b3-447d-b5d2-a070f46a85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0b3f6-a22e-43a1-b356-118626a33e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5aca6c7-5a65-4dbb-a651-956e2b227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d583df-32b3-447d-b5d2-a070f46a85c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d25e434-06d8-4e57-ba79-8b5461c0b306}" ma:internalName="TaxCatchAll" ma:showField="CatchAllData" ma:web="1bd583df-32b3-447d-b5d2-a070f46a85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103A8C-921C-459C-BA57-3EBE8D98E642}">
  <ds:schemaRefs>
    <ds:schemaRef ds:uri="http://schemas.microsoft.com/office/2006/metadata/properties"/>
    <ds:schemaRef ds:uri="http://schemas.microsoft.com/office/infopath/2007/PartnerControls"/>
    <ds:schemaRef ds:uri="4a8c2583-2b73-439c-8c8d-c80a48b9f525"/>
    <ds:schemaRef ds:uri="8b4e677d-5253-4607-b9f9-0586bc550909"/>
    <ds:schemaRef ds:uri="1bd583df-32b3-447d-b5d2-a070f46a85c2"/>
    <ds:schemaRef ds:uri="dcd0b3f6-a22e-43a1-b356-118626a33e2b"/>
  </ds:schemaRefs>
</ds:datastoreItem>
</file>

<file path=customXml/itemProps2.xml><?xml version="1.0" encoding="utf-8"?>
<ds:datastoreItem xmlns:ds="http://schemas.openxmlformats.org/officeDocument/2006/customXml" ds:itemID="{B6955A15-B40B-43EF-8233-64E041E6CC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3B47B7-0D87-4FCF-AEEF-F1403E7172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d0b3f6-a22e-43a1-b356-118626a33e2b"/>
    <ds:schemaRef ds:uri="1bd583df-32b3-447d-b5d2-a070f46a85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3add6c0-cfdb-4bb9-b90f-bf23b83aa6c0}" enabled="1" method="Privileged" siteId="{75e027c9-20d5-47d5-b82f-77d7cd041e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template</vt:lpstr>
      <vt:lpstr>template1</vt:lpstr>
      <vt:lpstr>Classified as UnClassified</vt:lpstr>
      <vt:lpstr>template!Area_stampa</vt:lpstr>
    </vt:vector>
  </TitlesOfParts>
  <Manager/>
  <Company>STMicroelectronics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Charly BURGAUD</dc:creator>
  <cp:keywords/>
  <dc:description/>
  <cp:lastModifiedBy>Luigi Perolari</cp:lastModifiedBy>
  <cp:revision/>
  <dcterms:created xsi:type="dcterms:W3CDTF">2018-02-16T08:53:10Z</dcterms:created>
  <dcterms:modified xsi:type="dcterms:W3CDTF">2026-05-04T16:21:49Z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0x0101006E26100FF6C79748A8EDCCC0B223FB03</vt:lpwstr>
  </property>
  <property fmtid="{D5CDD505-2E9C-101B-9397-08002B2CF9AE}" pid="3" name="MSIP_Label_cf8c7287-838c-46dd-b281-b1140229e67a_Enabled">
    <vt:lpwstr>true</vt:lpwstr>
  </property>
  <property fmtid="{D5CDD505-2E9C-101B-9397-08002B2CF9AE}" pid="4" name="MSIP_Label_cf8c7287-838c-46dd-b281-b1140229e67a_SetDate">
    <vt:lpwstr>2021-06-22T07:59:44Z</vt:lpwstr>
  </property>
  <property fmtid="{D5CDD505-2E9C-101B-9397-08002B2CF9AE}" pid="5" name="MSIP_Label_cf8c7287-838c-46dd-b281-b1140229e67a_Method">
    <vt:lpwstr>Privileged</vt:lpwstr>
  </property>
  <property fmtid="{D5CDD505-2E9C-101B-9397-08002B2CF9AE}" pid="6" name="MSIP_Label_cf8c7287-838c-46dd-b281-b1140229e67a_Name">
    <vt:lpwstr>cf8c7287-838c-46dd-b281-b1140229e67a</vt:lpwstr>
  </property>
  <property fmtid="{D5CDD505-2E9C-101B-9397-08002B2CF9AE}" pid="7" name="MSIP_Label_cf8c7287-838c-46dd-b281-b1140229e67a_SiteId">
    <vt:lpwstr>75e027c9-20d5-47d5-b82f-77d7cd041e8f</vt:lpwstr>
  </property>
  <property fmtid="{D5CDD505-2E9C-101B-9397-08002B2CF9AE}" pid="8" name="MSIP_Label_cf8c7287-838c-46dd-b281-b1140229e67a_ActionId">
    <vt:lpwstr>ebd8485e-f6b8-46c1-acba-e5415924f60d</vt:lpwstr>
  </property>
  <property fmtid="{D5CDD505-2E9C-101B-9397-08002B2CF9AE}" pid="9" name="MSIP_Label_cf8c7287-838c-46dd-b281-b1140229e67a_ContentBits">
    <vt:lpwstr>0</vt:lpwstr>
  </property>
  <property fmtid="{D5CDD505-2E9C-101B-9397-08002B2CF9AE}" pid="10" name="MSIP_Label_64a238cc-6af3-4341-9d32-201b7e04331f_Enabled">
    <vt:lpwstr>true</vt:lpwstr>
  </property>
  <property fmtid="{D5CDD505-2E9C-101B-9397-08002B2CF9AE}" pid="11" name="MSIP_Label_64a238cc-6af3-4341-9d32-201b7e04331f_SetDate">
    <vt:lpwstr>2024-02-09T08:08:12Z</vt:lpwstr>
  </property>
  <property fmtid="{D5CDD505-2E9C-101B-9397-08002B2CF9AE}" pid="12" name="MSIP_Label_64a238cc-6af3-4341-9d32-201b7e04331f_Method">
    <vt:lpwstr>Standard</vt:lpwstr>
  </property>
  <property fmtid="{D5CDD505-2E9C-101B-9397-08002B2CF9AE}" pid="13" name="MSIP_Label_64a238cc-6af3-4341-9d32-201b7e04331f_Name">
    <vt:lpwstr>Internal</vt:lpwstr>
  </property>
  <property fmtid="{D5CDD505-2E9C-101B-9397-08002B2CF9AE}" pid="14" name="MSIP_Label_64a238cc-6af3-4341-9d32-201b7e04331f_SiteId">
    <vt:lpwstr>09ebfde1-6505-4c31-942f-18875ff0189d</vt:lpwstr>
  </property>
  <property fmtid="{D5CDD505-2E9C-101B-9397-08002B2CF9AE}" pid="15" name="MSIP_Label_64a238cc-6af3-4341-9d32-201b7e04331f_ActionId">
    <vt:lpwstr>743f9fcc-8fd3-43f6-8d58-f7986e184d54</vt:lpwstr>
  </property>
  <property fmtid="{D5CDD505-2E9C-101B-9397-08002B2CF9AE}" pid="16" name="MSIP_Label_64a238cc-6af3-4341-9d32-201b7e04331f_ContentBits">
    <vt:lpwstr>0</vt:lpwstr>
  </property>
  <property fmtid="{D5CDD505-2E9C-101B-9397-08002B2CF9AE}" pid="17" name="MediaServiceImageTags">
    <vt:lpwstr/>
  </property>
</Properties>
</file>