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b494536d0e93f0f/Documenti/QR_Stock/"/>
    </mc:Choice>
  </mc:AlternateContent>
  <xr:revisionPtr revIDLastSave="454" documentId="13_ncr:1_{4628488E-3C91-41ED-82A6-F03A0B1D443B}" xr6:coauthVersionLast="47" xr6:coauthVersionMax="47" xr10:uidLastSave="{EE112F39-4739-416A-8453-3451DBDC7BE6}"/>
  <bookViews>
    <workbookView xWindow="-110" yWindow="-110" windowWidth="25180" windowHeight="16860" xr2:uid="{00000000-000D-0000-FFFF-FFFF00000000}"/>
  </bookViews>
  <sheets>
    <sheet name="AS-BUILT" sheetId="8" r:id="rId1"/>
    <sheet name="Sheet1" sheetId="5" state="hidden" r:id="rId2"/>
    <sheet name="Classified as UnClassified" sheetId="4" state="hidden" r:id="rId3"/>
    <sheet name="xl_DCF_History" sheetId="3" state="veryHidden" r:id="rId4"/>
  </sheets>
  <definedNames>
    <definedName name="_xlnm._FilterDatabase" localSheetId="0" hidden="1">'AS-BUILT'!$D$1:$D$947</definedName>
    <definedName name="_xlnm._FilterDatabase" localSheetId="1" hidden="1">Sheet1!$A$1:$AC$871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9" i="8" l="1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O751" i="8" l="1"/>
  <c r="P751" i="8"/>
  <c r="Q751" i="8"/>
  <c r="J749" i="8"/>
  <c r="K749" i="8" s="1"/>
  <c r="J750" i="8"/>
  <c r="O750" i="8" s="1"/>
  <c r="K751" i="8"/>
  <c r="J752" i="8"/>
  <c r="O752" i="8" s="1"/>
  <c r="K752" i="8"/>
  <c r="J753" i="8"/>
  <c r="O753" i="8" s="1"/>
  <c r="J754" i="8"/>
  <c r="O754" i="8" s="1"/>
  <c r="J755" i="8"/>
  <c r="K755" i="8" s="1"/>
  <c r="J756" i="8"/>
  <c r="O756" i="8" s="1"/>
  <c r="J757" i="8"/>
  <c r="O757" i="8" s="1"/>
  <c r="J758" i="8"/>
  <c r="O758" i="8" s="1"/>
  <c r="J759" i="8"/>
  <c r="K759" i="8" s="1"/>
  <c r="J760" i="8"/>
  <c r="O760" i="8" s="1"/>
  <c r="J761" i="8"/>
  <c r="K761" i="8" s="1"/>
  <c r="J762" i="8"/>
  <c r="O762" i="8" s="1"/>
  <c r="K762" i="8"/>
  <c r="O715" i="8"/>
  <c r="P715" i="8"/>
  <c r="Q715" i="8"/>
  <c r="J726" i="8"/>
  <c r="K726" i="8"/>
  <c r="J727" i="8"/>
  <c r="K727" i="8" s="1"/>
  <c r="J713" i="8"/>
  <c r="K713" i="8" s="1"/>
  <c r="J714" i="8"/>
  <c r="K714" i="8" s="1"/>
  <c r="K715" i="8"/>
  <c r="J716" i="8"/>
  <c r="O716" i="8" s="1"/>
  <c r="K716" i="8"/>
  <c r="J717" i="8"/>
  <c r="P717" i="8" s="1"/>
  <c r="K717" i="8"/>
  <c r="J718" i="8"/>
  <c r="O718" i="8" s="1"/>
  <c r="J719" i="8"/>
  <c r="K719" i="8" s="1"/>
  <c r="J720" i="8"/>
  <c r="K720" i="8" s="1"/>
  <c r="J721" i="8"/>
  <c r="K721" i="8" s="1"/>
  <c r="J722" i="8"/>
  <c r="K722" i="8" s="1"/>
  <c r="J723" i="8"/>
  <c r="O723" i="8" s="1"/>
  <c r="J724" i="8"/>
  <c r="O724" i="8" s="1"/>
  <c r="J725" i="8"/>
  <c r="K725" i="8" s="1"/>
  <c r="O668" i="8"/>
  <c r="P668" i="8"/>
  <c r="Q668" i="8"/>
  <c r="O669" i="8"/>
  <c r="P669" i="8"/>
  <c r="Q669" i="8"/>
  <c r="O670" i="8"/>
  <c r="P670" i="8"/>
  <c r="Q670" i="8"/>
  <c r="O671" i="8"/>
  <c r="P671" i="8"/>
  <c r="Q671" i="8"/>
  <c r="O672" i="8"/>
  <c r="P672" i="8"/>
  <c r="Q672" i="8"/>
  <c r="O673" i="8"/>
  <c r="P673" i="8"/>
  <c r="Q673" i="8"/>
  <c r="O674" i="8"/>
  <c r="P674" i="8"/>
  <c r="Q674" i="8"/>
  <c r="O675" i="8"/>
  <c r="P675" i="8"/>
  <c r="Q675" i="8"/>
  <c r="O676" i="8"/>
  <c r="P676" i="8"/>
  <c r="Q676" i="8"/>
  <c r="O677" i="8"/>
  <c r="P677" i="8"/>
  <c r="Q677" i="8"/>
  <c r="O678" i="8"/>
  <c r="P678" i="8"/>
  <c r="Q678" i="8"/>
  <c r="O679" i="8"/>
  <c r="P679" i="8"/>
  <c r="Q679" i="8"/>
  <c r="K724" i="8" l="1"/>
  <c r="K760" i="8"/>
  <c r="K758" i="8"/>
  <c r="K750" i="8"/>
  <c r="Q756" i="8"/>
  <c r="K718" i="8"/>
  <c r="K756" i="8"/>
  <c r="P756" i="8"/>
  <c r="P713" i="8"/>
  <c r="Q722" i="8"/>
  <c r="P722" i="8"/>
  <c r="O722" i="8"/>
  <c r="K723" i="8"/>
  <c r="O714" i="8"/>
  <c r="P755" i="8"/>
  <c r="O755" i="8"/>
  <c r="Q714" i="8"/>
  <c r="Q754" i="8"/>
  <c r="P714" i="8"/>
  <c r="K757" i="8"/>
  <c r="Q755" i="8"/>
  <c r="Q713" i="8"/>
  <c r="Q762" i="8"/>
  <c r="Q761" i="8"/>
  <c r="O713" i="8"/>
  <c r="O761" i="8"/>
  <c r="Q721" i="8"/>
  <c r="P721" i="8"/>
  <c r="Q752" i="8"/>
  <c r="O721" i="8"/>
  <c r="P752" i="8"/>
  <c r="Q718" i="8"/>
  <c r="P718" i="8"/>
  <c r="P760" i="8"/>
  <c r="Q760" i="8"/>
  <c r="Q717" i="8"/>
  <c r="Q724" i="8"/>
  <c r="Q720" i="8"/>
  <c r="Q716" i="8"/>
  <c r="Q758" i="8"/>
  <c r="Q750" i="8"/>
  <c r="Q725" i="8"/>
  <c r="P724" i="8"/>
  <c r="P720" i="8"/>
  <c r="P716" i="8"/>
  <c r="P762" i="8"/>
  <c r="P758" i="8"/>
  <c r="P754" i="8"/>
  <c r="P750" i="8"/>
  <c r="P725" i="8"/>
  <c r="O725" i="8"/>
  <c r="O759" i="8"/>
  <c r="O720" i="8"/>
  <c r="K754" i="8"/>
  <c r="Q759" i="8"/>
  <c r="P759" i="8"/>
  <c r="O717" i="8"/>
  <c r="Q723" i="8"/>
  <c r="Q719" i="8"/>
  <c r="Q757" i="8"/>
  <c r="Q753" i="8"/>
  <c r="Q749" i="8"/>
  <c r="P723" i="8"/>
  <c r="P719" i="8"/>
  <c r="K753" i="8"/>
  <c r="P761" i="8"/>
  <c r="P757" i="8"/>
  <c r="P753" i="8"/>
  <c r="P749" i="8"/>
  <c r="O719" i="8"/>
  <c r="O749" i="8"/>
  <c r="O627" i="8" l="1"/>
  <c r="P627" i="8"/>
  <c r="Q627" i="8"/>
  <c r="O628" i="8"/>
  <c r="P628" i="8"/>
  <c r="Q628" i="8"/>
  <c r="O629" i="8"/>
  <c r="P629" i="8"/>
  <c r="Q629" i="8"/>
  <c r="O630" i="8"/>
  <c r="P630" i="8"/>
  <c r="Q630" i="8"/>
  <c r="O631" i="8"/>
  <c r="P631" i="8"/>
  <c r="Q631" i="8"/>
  <c r="O632" i="8"/>
  <c r="P632" i="8"/>
  <c r="Q632" i="8"/>
  <c r="O633" i="8"/>
  <c r="P633" i="8"/>
  <c r="Q633" i="8"/>
  <c r="O634" i="8"/>
  <c r="P634" i="8"/>
  <c r="Q634" i="8"/>
  <c r="O635" i="8"/>
  <c r="P635" i="8"/>
  <c r="Q635" i="8"/>
  <c r="O636" i="8"/>
  <c r="P636" i="8"/>
  <c r="Q636" i="8"/>
  <c r="O637" i="8"/>
  <c r="P637" i="8"/>
  <c r="Q637" i="8"/>
  <c r="O638" i="8"/>
  <c r="P638" i="8"/>
  <c r="Q638" i="8"/>
  <c r="O613" i="8"/>
  <c r="P613" i="8"/>
  <c r="Q613" i="8"/>
  <c r="O614" i="8"/>
  <c r="P614" i="8"/>
  <c r="Q614" i="8"/>
  <c r="O615" i="8"/>
  <c r="P615" i="8"/>
  <c r="Q615" i="8"/>
  <c r="O616" i="8"/>
  <c r="P616" i="8"/>
  <c r="Q616" i="8"/>
  <c r="O617" i="8"/>
  <c r="P617" i="8"/>
  <c r="Q617" i="8"/>
  <c r="O618" i="8"/>
  <c r="P618" i="8"/>
  <c r="Q618" i="8"/>
  <c r="O619" i="8"/>
  <c r="P619" i="8"/>
  <c r="Q619" i="8"/>
  <c r="O620" i="8"/>
  <c r="P620" i="8"/>
  <c r="Q620" i="8"/>
  <c r="O621" i="8"/>
  <c r="P621" i="8"/>
  <c r="Q621" i="8"/>
  <c r="O622" i="8"/>
  <c r="P622" i="8"/>
  <c r="Q622" i="8"/>
  <c r="O623" i="8"/>
  <c r="P623" i="8"/>
  <c r="Q623" i="8"/>
  <c r="O624" i="8"/>
  <c r="P624" i="8"/>
  <c r="Q624" i="8"/>
  <c r="O625" i="8"/>
  <c r="P625" i="8"/>
  <c r="Q625" i="8"/>
  <c r="O626" i="8"/>
  <c r="P626" i="8"/>
  <c r="Q626" i="8"/>
  <c r="K18" i="8" l="1"/>
  <c r="K19" i="8"/>
  <c r="K20" i="8"/>
  <c r="K21" i="8"/>
  <c r="K32" i="8"/>
  <c r="K37" i="8"/>
  <c r="K38" i="8"/>
  <c r="K45" i="8"/>
  <c r="K48" i="8"/>
  <c r="K49" i="8"/>
  <c r="K50" i="8"/>
  <c r="K63" i="8"/>
  <c r="K81" i="8"/>
  <c r="K112" i="8"/>
  <c r="K113" i="8"/>
  <c r="K114" i="8"/>
  <c r="K115" i="8"/>
  <c r="K118" i="8"/>
  <c r="K120" i="8"/>
  <c r="K121" i="8"/>
  <c r="K122" i="8"/>
  <c r="K123" i="8"/>
  <c r="K124" i="8"/>
  <c r="K125" i="8"/>
  <c r="K126" i="8"/>
  <c r="K128" i="8"/>
  <c r="K130" i="8"/>
  <c r="K143" i="8"/>
  <c r="K163" i="8"/>
  <c r="K178" i="8"/>
  <c r="K179" i="8"/>
  <c r="K184" i="8"/>
  <c r="K185" i="8"/>
  <c r="K188" i="8"/>
  <c r="K206" i="8"/>
  <c r="K212" i="8"/>
  <c r="K243" i="8"/>
  <c r="K244" i="8"/>
  <c r="K245" i="8"/>
  <c r="K246" i="8"/>
  <c r="K247" i="8"/>
  <c r="K248" i="8"/>
  <c r="K249" i="8"/>
  <c r="K250" i="8"/>
  <c r="K252" i="8"/>
  <c r="K262" i="8"/>
  <c r="K279" i="8"/>
  <c r="K280" i="8"/>
  <c r="K296" i="8"/>
  <c r="K327" i="8"/>
  <c r="K328" i="8"/>
  <c r="K329" i="8"/>
  <c r="K330" i="8"/>
  <c r="K331" i="8"/>
  <c r="K343" i="8"/>
  <c r="K362" i="8"/>
  <c r="K375" i="8"/>
  <c r="K376" i="8"/>
  <c r="K381" i="8"/>
  <c r="K384" i="8"/>
  <c r="K386" i="8"/>
  <c r="K395" i="8"/>
  <c r="K406" i="8"/>
  <c r="K417" i="8"/>
  <c r="K427" i="8"/>
  <c r="K439" i="8"/>
  <c r="K446" i="8"/>
  <c r="K482" i="8"/>
  <c r="K526" i="8"/>
  <c r="K538" i="8"/>
  <c r="K553" i="8"/>
  <c r="K579" i="8"/>
  <c r="K601" i="8"/>
  <c r="K602" i="8"/>
  <c r="K613" i="8"/>
  <c r="K646" i="8"/>
  <c r="K657" i="8"/>
  <c r="K668" i="8"/>
  <c r="K669" i="8"/>
  <c r="K680" i="8"/>
  <c r="K691" i="8"/>
  <c r="K702" i="8"/>
  <c r="K738" i="8"/>
  <c r="K771" i="8"/>
  <c r="K782" i="8"/>
  <c r="K783" i="8"/>
  <c r="K794" i="8"/>
  <c r="K805" i="8"/>
  <c r="K816" i="8"/>
  <c r="K827" i="8"/>
  <c r="K838" i="8"/>
  <c r="K850" i="8"/>
  <c r="K862" i="8"/>
  <c r="K873" i="8"/>
  <c r="K875" i="8"/>
  <c r="K887" i="8"/>
  <c r="K899" i="8"/>
  <c r="K911" i="8"/>
  <c r="K934" i="8"/>
  <c r="K12" i="8"/>
  <c r="J944" i="8"/>
  <c r="K944" i="8" s="1"/>
  <c r="J943" i="8"/>
  <c r="O943" i="8" s="1"/>
  <c r="J942" i="8"/>
  <c r="K942" i="8" s="1"/>
  <c r="J941" i="8"/>
  <c r="P941" i="8" s="1"/>
  <c r="J940" i="8"/>
  <c r="K940" i="8" s="1"/>
  <c r="J939" i="8"/>
  <c r="O939" i="8" s="1"/>
  <c r="J938" i="8"/>
  <c r="O938" i="8" s="1"/>
  <c r="J937" i="8"/>
  <c r="O937" i="8" s="1"/>
  <c r="J936" i="8"/>
  <c r="J935" i="8"/>
  <c r="Q935" i="8" s="1"/>
  <c r="J933" i="8"/>
  <c r="K933" i="8" s="1"/>
  <c r="J932" i="8"/>
  <c r="P932" i="8" s="1"/>
  <c r="J931" i="8"/>
  <c r="K931" i="8" s="1"/>
  <c r="J930" i="8"/>
  <c r="O930" i="8" s="1"/>
  <c r="J929" i="8"/>
  <c r="Q929" i="8" s="1"/>
  <c r="J928" i="8"/>
  <c r="K928" i="8" s="1"/>
  <c r="J927" i="8"/>
  <c r="O927" i="8" s="1"/>
  <c r="J926" i="8"/>
  <c r="O926" i="8" s="1"/>
  <c r="J925" i="8"/>
  <c r="O925" i="8" s="1"/>
  <c r="J924" i="8"/>
  <c r="K924" i="8" s="1"/>
  <c r="J923" i="8"/>
  <c r="J922" i="8"/>
  <c r="O922" i="8" s="1"/>
  <c r="J921" i="8"/>
  <c r="P921" i="8" s="1"/>
  <c r="J920" i="8"/>
  <c r="Q920" i="8" s="1"/>
  <c r="J919" i="8"/>
  <c r="O919" i="8" s="1"/>
  <c r="J918" i="8"/>
  <c r="K918" i="8" s="1"/>
  <c r="J917" i="8"/>
  <c r="O917" i="8" s="1"/>
  <c r="J916" i="8"/>
  <c r="Q916" i="8" s="1"/>
  <c r="J915" i="8"/>
  <c r="O915" i="8" s="1"/>
  <c r="J914" i="8"/>
  <c r="Q914" i="8" s="1"/>
  <c r="J913" i="8"/>
  <c r="Q913" i="8" s="1"/>
  <c r="J912" i="8"/>
  <c r="J910" i="8"/>
  <c r="P910" i="8" s="1"/>
  <c r="J909" i="8"/>
  <c r="O909" i="8" s="1"/>
  <c r="J908" i="8"/>
  <c r="O908" i="8" s="1"/>
  <c r="J907" i="8"/>
  <c r="K907" i="8" s="1"/>
  <c r="J906" i="8"/>
  <c r="P906" i="8" s="1"/>
  <c r="J905" i="8"/>
  <c r="K905" i="8" s="1"/>
  <c r="J904" i="8"/>
  <c r="Q904" i="8" s="1"/>
  <c r="J903" i="8"/>
  <c r="Q903" i="8" s="1"/>
  <c r="J902" i="8"/>
  <c r="K902" i="8" s="1"/>
  <c r="J901" i="8"/>
  <c r="O901" i="8" s="1"/>
  <c r="J900" i="8"/>
  <c r="O900" i="8" s="1"/>
  <c r="J898" i="8"/>
  <c r="J897" i="8"/>
  <c r="O897" i="8" s="1"/>
  <c r="J896" i="8"/>
  <c r="O896" i="8" s="1"/>
  <c r="J895" i="8"/>
  <c r="O895" i="8" s="1"/>
  <c r="J894" i="8"/>
  <c r="K894" i="8" s="1"/>
  <c r="J893" i="8"/>
  <c r="O893" i="8" s="1"/>
  <c r="J892" i="8"/>
  <c r="K892" i="8" s="1"/>
  <c r="J891" i="8"/>
  <c r="P891" i="8" s="1"/>
  <c r="J890" i="8"/>
  <c r="K890" i="8" s="1"/>
  <c r="J889" i="8"/>
  <c r="K889" i="8" s="1"/>
  <c r="J888" i="8"/>
  <c r="O888" i="8" s="1"/>
  <c r="J886" i="8"/>
  <c r="O886" i="8" s="1"/>
  <c r="J885" i="8"/>
  <c r="J884" i="8"/>
  <c r="K884" i="8" s="1"/>
  <c r="J883" i="8"/>
  <c r="O883" i="8" s="1"/>
  <c r="J882" i="8"/>
  <c r="P882" i="8" s="1"/>
  <c r="J881" i="8"/>
  <c r="O881" i="8" s="1"/>
  <c r="J880" i="8"/>
  <c r="O880" i="8" s="1"/>
  <c r="J879" i="8"/>
  <c r="K879" i="8" s="1"/>
  <c r="J878" i="8"/>
  <c r="O878" i="8" s="1"/>
  <c r="J877" i="8"/>
  <c r="K877" i="8" s="1"/>
  <c r="J876" i="8"/>
  <c r="O876" i="8" s="1"/>
  <c r="J872" i="8"/>
  <c r="Q872" i="8" s="1"/>
  <c r="J871" i="8"/>
  <c r="Q871" i="8" s="1"/>
  <c r="J870" i="8"/>
  <c r="J869" i="8"/>
  <c r="K869" i="8" s="1"/>
  <c r="J868" i="8"/>
  <c r="O868" i="8" s="1"/>
  <c r="J867" i="8"/>
  <c r="O867" i="8" s="1"/>
  <c r="J866" i="8"/>
  <c r="O866" i="8" s="1"/>
  <c r="J865" i="8"/>
  <c r="K865" i="8" s="1"/>
  <c r="J863" i="8"/>
  <c r="K863" i="8" s="1"/>
  <c r="J861" i="8"/>
  <c r="Q861" i="8" s="1"/>
  <c r="J860" i="8"/>
  <c r="O860" i="8" s="1"/>
  <c r="J859" i="8"/>
  <c r="O859" i="8" s="1"/>
  <c r="K858" i="8"/>
  <c r="O857" i="8"/>
  <c r="J856" i="8"/>
  <c r="Q856" i="8" s="1"/>
  <c r="K855" i="8"/>
  <c r="J854" i="8"/>
  <c r="K854" i="8" s="1"/>
  <c r="Q853" i="8"/>
  <c r="O852" i="8"/>
  <c r="O851" i="8"/>
  <c r="J849" i="8"/>
  <c r="K849" i="8" s="1"/>
  <c r="J848" i="8"/>
  <c r="K848" i="8" s="1"/>
  <c r="J847" i="8"/>
  <c r="K847" i="8" s="1"/>
  <c r="J846" i="8"/>
  <c r="O846" i="8" s="1"/>
  <c r="J845" i="8"/>
  <c r="O845" i="8" s="1"/>
  <c r="J844" i="8"/>
  <c r="O844" i="8" s="1"/>
  <c r="J843" i="8"/>
  <c r="P843" i="8" s="1"/>
  <c r="J842" i="8"/>
  <c r="Q842" i="8" s="1"/>
  <c r="J841" i="8"/>
  <c r="K841" i="8" s="1"/>
  <c r="J840" i="8"/>
  <c r="P840" i="8" s="1"/>
  <c r="J839" i="8"/>
  <c r="K839" i="8" s="1"/>
  <c r="J837" i="8"/>
  <c r="K837" i="8" s="1"/>
  <c r="J836" i="8"/>
  <c r="P836" i="8" s="1"/>
  <c r="J835" i="8"/>
  <c r="O835" i="8" s="1"/>
  <c r="J834" i="8"/>
  <c r="O834" i="8" s="1"/>
  <c r="J833" i="8"/>
  <c r="Q833" i="8" s="1"/>
  <c r="J832" i="8"/>
  <c r="J831" i="8"/>
  <c r="K831" i="8" s="1"/>
  <c r="J830" i="8"/>
  <c r="K830" i="8" s="1"/>
  <c r="J829" i="8"/>
  <c r="Q829" i="8" s="1"/>
  <c r="J828" i="8"/>
  <c r="O828" i="8" s="1"/>
  <c r="J826" i="8"/>
  <c r="K826" i="8" s="1"/>
  <c r="J825" i="8"/>
  <c r="P825" i="8" s="1"/>
  <c r="J824" i="8"/>
  <c r="O824" i="8" s="1"/>
  <c r="J823" i="8"/>
  <c r="Q823" i="8" s="1"/>
  <c r="J822" i="8"/>
  <c r="Q822" i="8" s="1"/>
  <c r="J821" i="8"/>
  <c r="P821" i="8" s="1"/>
  <c r="J820" i="8"/>
  <c r="O820" i="8" s="1"/>
  <c r="J819" i="8"/>
  <c r="J818" i="8"/>
  <c r="K818" i="8" s="1"/>
  <c r="J817" i="8"/>
  <c r="Q817" i="8" s="1"/>
  <c r="J815" i="8"/>
  <c r="Q815" i="8" s="1"/>
  <c r="J814" i="8"/>
  <c r="P814" i="8" s="1"/>
  <c r="J813" i="8"/>
  <c r="O813" i="8" s="1"/>
  <c r="J812" i="8"/>
  <c r="K812" i="8" s="1"/>
  <c r="J811" i="8"/>
  <c r="K811" i="8" s="1"/>
  <c r="J810" i="8"/>
  <c r="Q810" i="8" s="1"/>
  <c r="J809" i="8"/>
  <c r="K809" i="8" s="1"/>
  <c r="J808" i="8"/>
  <c r="P808" i="8" s="1"/>
  <c r="J807" i="8"/>
  <c r="P807" i="8" s="1"/>
  <c r="J806" i="8"/>
  <c r="J804" i="8"/>
  <c r="K804" i="8" s="1"/>
  <c r="J803" i="8"/>
  <c r="K803" i="8" s="1"/>
  <c r="J802" i="8"/>
  <c r="O802" i="8" s="1"/>
  <c r="J801" i="8"/>
  <c r="P801" i="8" s="1"/>
  <c r="J800" i="8"/>
  <c r="O800" i="8" s="1"/>
  <c r="J799" i="8"/>
  <c r="Q799" i="8" s="1"/>
  <c r="J798" i="8"/>
  <c r="K798" i="8" s="1"/>
  <c r="J797" i="8"/>
  <c r="O797" i="8" s="1"/>
  <c r="J796" i="8"/>
  <c r="O796" i="8" s="1"/>
  <c r="J795" i="8"/>
  <c r="O795" i="8" s="1"/>
  <c r="J793" i="8"/>
  <c r="J792" i="8"/>
  <c r="K792" i="8" s="1"/>
  <c r="J791" i="8"/>
  <c r="O791" i="8" s="1"/>
  <c r="J790" i="8"/>
  <c r="K790" i="8" s="1"/>
  <c r="J789" i="8"/>
  <c r="O789" i="8" s="1"/>
  <c r="J788" i="8"/>
  <c r="O788" i="8" s="1"/>
  <c r="J787" i="8"/>
  <c r="O787" i="8" s="1"/>
  <c r="J786" i="8"/>
  <c r="K786" i="8" s="1"/>
  <c r="J785" i="8"/>
  <c r="K785" i="8" s="1"/>
  <c r="J784" i="8"/>
  <c r="Q784" i="8" s="1"/>
  <c r="J781" i="8"/>
  <c r="P781" i="8" s="1"/>
  <c r="J780" i="8"/>
  <c r="P780" i="8" s="1"/>
  <c r="J779" i="8"/>
  <c r="K779" i="8" s="1"/>
  <c r="J778" i="8"/>
  <c r="K778" i="8" s="1"/>
  <c r="J777" i="8"/>
  <c r="O777" i="8" s="1"/>
  <c r="J776" i="8"/>
  <c r="P776" i="8" s="1"/>
  <c r="J775" i="8"/>
  <c r="Q775" i="8" s="1"/>
  <c r="J774" i="8"/>
  <c r="O774" i="8" s="1"/>
  <c r="J773" i="8"/>
  <c r="K773" i="8" s="1"/>
  <c r="J772" i="8"/>
  <c r="O772" i="8" s="1"/>
  <c r="J770" i="8"/>
  <c r="O770" i="8" s="1"/>
  <c r="J769" i="8"/>
  <c r="Q769" i="8" s="1"/>
  <c r="J768" i="8"/>
  <c r="K768" i="8" s="1"/>
  <c r="J767" i="8"/>
  <c r="J766" i="8"/>
  <c r="Q766" i="8" s="1"/>
  <c r="J765" i="8"/>
  <c r="O765" i="8" s="1"/>
  <c r="J764" i="8"/>
  <c r="K764" i="8" s="1"/>
  <c r="J763" i="8"/>
  <c r="K763" i="8" s="1"/>
  <c r="J748" i="8"/>
  <c r="K748" i="8" s="1"/>
  <c r="J747" i="8"/>
  <c r="O747" i="8" s="1"/>
  <c r="J746" i="8"/>
  <c r="K746" i="8" s="1"/>
  <c r="J745" i="8"/>
  <c r="K745" i="8" s="1"/>
  <c r="J744" i="8"/>
  <c r="K744" i="8" s="1"/>
  <c r="J743" i="8"/>
  <c r="K743" i="8" s="1"/>
  <c r="J742" i="8"/>
  <c r="J741" i="8"/>
  <c r="O741" i="8" s="1"/>
  <c r="J740" i="8"/>
  <c r="O740" i="8" s="1"/>
  <c r="J739" i="8"/>
  <c r="K739" i="8" s="1"/>
  <c r="J737" i="8"/>
  <c r="O737" i="8" s="1"/>
  <c r="J736" i="8"/>
  <c r="P736" i="8" s="1"/>
  <c r="J735" i="8"/>
  <c r="P735" i="8" s="1"/>
  <c r="J734" i="8"/>
  <c r="K734" i="8" s="1"/>
  <c r="J733" i="8"/>
  <c r="P733" i="8" s="1"/>
  <c r="J732" i="8"/>
  <c r="O732" i="8" s="1"/>
  <c r="J731" i="8"/>
  <c r="O731" i="8" s="1"/>
  <c r="J730" i="8"/>
  <c r="Q730" i="8" s="1"/>
  <c r="J729" i="8"/>
  <c r="J728" i="8"/>
  <c r="O728" i="8" s="1"/>
  <c r="P727" i="8"/>
  <c r="O727" i="8"/>
  <c r="J712" i="8"/>
  <c r="O712" i="8" s="1"/>
  <c r="J711" i="8"/>
  <c r="Q711" i="8" s="1"/>
  <c r="J710" i="8"/>
  <c r="O710" i="8" s="1"/>
  <c r="J709" i="8"/>
  <c r="K709" i="8" s="1"/>
  <c r="J708" i="8"/>
  <c r="O708" i="8" s="1"/>
  <c r="J707" i="8"/>
  <c r="Q707" i="8" s="1"/>
  <c r="J706" i="8"/>
  <c r="Q706" i="8" s="1"/>
  <c r="J705" i="8"/>
  <c r="Q705" i="8" s="1"/>
  <c r="J704" i="8"/>
  <c r="J703" i="8"/>
  <c r="Q703" i="8" s="1"/>
  <c r="J701" i="8"/>
  <c r="K701" i="8" s="1"/>
  <c r="J700" i="8"/>
  <c r="O700" i="8" s="1"/>
  <c r="J699" i="8"/>
  <c r="Q699" i="8" s="1"/>
  <c r="J698" i="8"/>
  <c r="O698" i="8" s="1"/>
  <c r="J697" i="8"/>
  <c r="P697" i="8" s="1"/>
  <c r="J696" i="8"/>
  <c r="K696" i="8" s="1"/>
  <c r="J695" i="8"/>
  <c r="Q695" i="8" s="1"/>
  <c r="J694" i="8"/>
  <c r="K694" i="8" s="1"/>
  <c r="J693" i="8"/>
  <c r="K693" i="8" s="1"/>
  <c r="J692" i="8"/>
  <c r="K692" i="8" s="1"/>
  <c r="J690" i="8"/>
  <c r="J689" i="8"/>
  <c r="Q689" i="8" s="1"/>
  <c r="J688" i="8"/>
  <c r="K688" i="8" s="1"/>
  <c r="J687" i="8"/>
  <c r="Q687" i="8" s="1"/>
  <c r="J686" i="8"/>
  <c r="Q686" i="8" s="1"/>
  <c r="J685" i="8"/>
  <c r="P685" i="8" s="1"/>
  <c r="J684" i="8"/>
  <c r="O684" i="8" s="1"/>
  <c r="J683" i="8"/>
  <c r="K683" i="8" s="1"/>
  <c r="J682" i="8"/>
  <c r="Q682" i="8" s="1"/>
  <c r="J681" i="8"/>
  <c r="K681" i="8" s="1"/>
  <c r="J667" i="8"/>
  <c r="O667" i="8" s="1"/>
  <c r="J666" i="8"/>
  <c r="O666" i="8" s="1"/>
  <c r="J665" i="8"/>
  <c r="J664" i="8"/>
  <c r="O664" i="8" s="1"/>
  <c r="J663" i="8"/>
  <c r="Q663" i="8" s="1"/>
  <c r="J662" i="8"/>
  <c r="Q662" i="8" s="1"/>
  <c r="J661" i="8"/>
  <c r="Q661" i="8" s="1"/>
  <c r="J660" i="8"/>
  <c r="Q660" i="8" s="1"/>
  <c r="J659" i="8"/>
  <c r="Q659" i="8" s="1"/>
  <c r="J658" i="8"/>
  <c r="Q658" i="8" s="1"/>
  <c r="J656" i="8"/>
  <c r="Q656" i="8" s="1"/>
  <c r="J655" i="8"/>
  <c r="K655" i="8" s="1"/>
  <c r="J654" i="8"/>
  <c r="K654" i="8" s="1"/>
  <c r="J653" i="8"/>
  <c r="P653" i="8" s="1"/>
  <c r="J652" i="8"/>
  <c r="J651" i="8"/>
  <c r="Q651" i="8" s="1"/>
  <c r="J650" i="8"/>
  <c r="P650" i="8" s="1"/>
  <c r="J649" i="8"/>
  <c r="P649" i="8" s="1"/>
  <c r="J648" i="8"/>
  <c r="Q648" i="8" s="1"/>
  <c r="J647" i="8"/>
  <c r="Q647" i="8" s="1"/>
  <c r="J645" i="8"/>
  <c r="Q645" i="8" s="1"/>
  <c r="J644" i="8"/>
  <c r="Q644" i="8" s="1"/>
  <c r="J643" i="8"/>
  <c r="K643" i="8" s="1"/>
  <c r="J642" i="8"/>
  <c r="J641" i="8"/>
  <c r="K641" i="8" s="1"/>
  <c r="J640" i="8"/>
  <c r="J639" i="8"/>
  <c r="J612" i="8"/>
  <c r="J611" i="8"/>
  <c r="K611" i="8" s="1"/>
  <c r="J610" i="8"/>
  <c r="Q610" i="8" s="1"/>
  <c r="J609" i="8"/>
  <c r="O609" i="8" s="1"/>
  <c r="J608" i="8"/>
  <c r="K608" i="8" s="1"/>
  <c r="J607" i="8"/>
  <c r="K607" i="8" s="1"/>
  <c r="J606" i="8"/>
  <c r="O606" i="8" s="1"/>
  <c r="J605" i="8"/>
  <c r="K605" i="8" s="1"/>
  <c r="J604" i="8"/>
  <c r="K604" i="8" s="1"/>
  <c r="J603" i="8"/>
  <c r="Q603" i="8" s="1"/>
  <c r="K585" i="8"/>
  <c r="K584" i="8"/>
  <c r="J583" i="8"/>
  <c r="K583" i="8" s="1"/>
  <c r="J582" i="8"/>
  <c r="K582" i="8" s="1"/>
  <c r="J581" i="8"/>
  <c r="P581" i="8" s="1"/>
  <c r="P580" i="8"/>
  <c r="P578" i="8"/>
  <c r="P577" i="8"/>
  <c r="O576" i="8"/>
  <c r="O575" i="8"/>
  <c r="K573" i="8"/>
  <c r="K572" i="8"/>
  <c r="K571" i="8"/>
  <c r="K570" i="8"/>
  <c r="K569" i="8"/>
  <c r="P568" i="8"/>
  <c r="K567" i="8"/>
  <c r="Q566" i="8"/>
  <c r="Q565" i="8"/>
  <c r="K564" i="8"/>
  <c r="K563" i="8"/>
  <c r="P561" i="8"/>
  <c r="K560" i="8"/>
  <c r="Q559" i="8"/>
  <c r="P558" i="8"/>
  <c r="O557" i="8"/>
  <c r="P556" i="8"/>
  <c r="P555" i="8"/>
  <c r="K554" i="8"/>
  <c r="Q552" i="8"/>
  <c r="K551" i="8"/>
  <c r="K550" i="8"/>
  <c r="K549" i="8"/>
  <c r="Q548" i="8"/>
  <c r="Q547" i="8"/>
  <c r="O546" i="8"/>
  <c r="P545" i="8"/>
  <c r="Q544" i="8"/>
  <c r="K543" i="8"/>
  <c r="Q542" i="8"/>
  <c r="P541" i="8"/>
  <c r="K540" i="8"/>
  <c r="K539" i="8"/>
  <c r="O537" i="8"/>
  <c r="K536" i="8"/>
  <c r="K535" i="8"/>
  <c r="K534" i="8"/>
  <c r="Q533" i="8"/>
  <c r="P533" i="8"/>
  <c r="K532" i="8"/>
  <c r="O531" i="8"/>
  <c r="K530" i="8"/>
  <c r="K529" i="8"/>
  <c r="K527" i="8"/>
  <c r="P525" i="8"/>
  <c r="K524" i="8"/>
  <c r="O523" i="8"/>
  <c r="P523" i="8"/>
  <c r="P522" i="8"/>
  <c r="K521" i="8"/>
  <c r="O520" i="8"/>
  <c r="O519" i="8"/>
  <c r="O518" i="8"/>
  <c r="K517" i="8"/>
  <c r="K516" i="8"/>
  <c r="K515" i="8"/>
  <c r="P514" i="8"/>
  <c r="Q513" i="8"/>
  <c r="K512" i="8"/>
  <c r="K511" i="8"/>
  <c r="O510" i="8"/>
  <c r="K509" i="8"/>
  <c r="P508" i="8"/>
  <c r="Q507" i="8"/>
  <c r="O506" i="8"/>
  <c r="K505" i="8"/>
  <c r="K504" i="8"/>
  <c r="O503" i="8"/>
  <c r="O502" i="8"/>
  <c r="O501" i="8"/>
  <c r="Q500" i="8"/>
  <c r="K499" i="8"/>
  <c r="P498" i="8"/>
  <c r="K497" i="8"/>
  <c r="K496" i="8"/>
  <c r="O495" i="8"/>
  <c r="K494" i="8"/>
  <c r="K493" i="8"/>
  <c r="Q492" i="8"/>
  <c r="K491" i="8"/>
  <c r="K490" i="8"/>
  <c r="K489" i="8"/>
  <c r="P488" i="8"/>
  <c r="K487" i="8"/>
  <c r="K486" i="8"/>
  <c r="Q485" i="8"/>
  <c r="O484" i="8"/>
  <c r="O483" i="8"/>
  <c r="J471" i="8"/>
  <c r="J470" i="8"/>
  <c r="O470" i="8" s="1"/>
  <c r="Q469" i="8"/>
  <c r="J468" i="8"/>
  <c r="O468" i="8" s="1"/>
  <c r="J467" i="8"/>
  <c r="K467" i="8" s="1"/>
  <c r="J466" i="8"/>
  <c r="O466" i="8" s="1"/>
  <c r="J465" i="8"/>
  <c r="K465" i="8" s="1"/>
  <c r="J464" i="8"/>
  <c r="Q464" i="8" s="1"/>
  <c r="J463" i="8"/>
  <c r="Q463" i="8" s="1"/>
  <c r="J462" i="8"/>
  <c r="P462" i="8" s="1"/>
  <c r="J461" i="8"/>
  <c r="Q461" i="8" s="1"/>
  <c r="J460" i="8"/>
  <c r="K460" i="8" s="1"/>
  <c r="J459" i="8"/>
  <c r="O459" i="8" s="1"/>
  <c r="J458" i="8"/>
  <c r="Q458" i="8" s="1"/>
  <c r="J457" i="8"/>
  <c r="K457" i="8" s="1"/>
  <c r="J456" i="8"/>
  <c r="Q456" i="8" s="1"/>
  <c r="J455" i="8"/>
  <c r="K455" i="8" s="1"/>
  <c r="Q454" i="8"/>
  <c r="O453" i="8"/>
  <c r="J452" i="8"/>
  <c r="K452" i="8" s="1"/>
  <c r="J451" i="8"/>
  <c r="P450" i="8"/>
  <c r="J449" i="8"/>
  <c r="P449" i="8" s="1"/>
  <c r="J448" i="8"/>
  <c r="P448" i="8" s="1"/>
  <c r="J447" i="8"/>
  <c r="K447" i="8" s="1"/>
  <c r="J445" i="8"/>
  <c r="Q445" i="8" s="1"/>
  <c r="J444" i="8"/>
  <c r="Q444" i="8" s="1"/>
  <c r="J443" i="8"/>
  <c r="P443" i="8" s="1"/>
  <c r="J442" i="8"/>
  <c r="K442" i="8" s="1"/>
  <c r="J441" i="8"/>
  <c r="K441" i="8" s="1"/>
  <c r="J440" i="8"/>
  <c r="Q440" i="8" s="1"/>
  <c r="J438" i="8"/>
  <c r="K438" i="8" s="1"/>
  <c r="J437" i="8"/>
  <c r="K437" i="8" s="1"/>
  <c r="J436" i="8"/>
  <c r="P436" i="8" s="1"/>
  <c r="J435" i="8"/>
  <c r="K435" i="8" s="1"/>
  <c r="J434" i="8"/>
  <c r="K434" i="8" s="1"/>
  <c r="J433" i="8"/>
  <c r="K433" i="8" s="1"/>
  <c r="J432" i="8"/>
  <c r="O432" i="8" s="1"/>
  <c r="J431" i="8"/>
  <c r="Q431" i="8" s="1"/>
  <c r="J430" i="8"/>
  <c r="P430" i="8" s="1"/>
  <c r="J429" i="8"/>
  <c r="Q429" i="8" s="1"/>
  <c r="J428" i="8"/>
  <c r="K428" i="8" s="1"/>
  <c r="J426" i="8"/>
  <c r="Q426" i="8" s="1"/>
  <c r="J425" i="8"/>
  <c r="Q425" i="8" s="1"/>
  <c r="J424" i="8"/>
  <c r="P424" i="8" s="1"/>
  <c r="J423" i="8"/>
  <c r="P423" i="8" s="1"/>
  <c r="J422" i="8"/>
  <c r="K422" i="8" s="1"/>
  <c r="J421" i="8"/>
  <c r="K421" i="8" s="1"/>
  <c r="J420" i="8"/>
  <c r="P420" i="8" s="1"/>
  <c r="J419" i="8"/>
  <c r="Q419" i="8" s="1"/>
  <c r="J418" i="8"/>
  <c r="K418" i="8" s="1"/>
  <c r="J416" i="8"/>
  <c r="Q416" i="8" s="1"/>
  <c r="J415" i="8"/>
  <c r="J414" i="8"/>
  <c r="P414" i="8" s="1"/>
  <c r="J413" i="8"/>
  <c r="Q413" i="8" s="1"/>
  <c r="J412" i="8"/>
  <c r="O412" i="8" s="1"/>
  <c r="J411" i="8"/>
  <c r="Q411" i="8" s="1"/>
  <c r="J410" i="8"/>
  <c r="K410" i="8" s="1"/>
  <c r="J409" i="8"/>
  <c r="P409" i="8" s="1"/>
  <c r="J408" i="8"/>
  <c r="P408" i="8" s="1"/>
  <c r="J407" i="8"/>
  <c r="P407" i="8" s="1"/>
  <c r="J405" i="8"/>
  <c r="O405" i="8" s="1"/>
  <c r="J404" i="8"/>
  <c r="Q404" i="8" s="1"/>
  <c r="J403" i="8"/>
  <c r="O403" i="8" s="1"/>
  <c r="J402" i="8"/>
  <c r="J401" i="8"/>
  <c r="K401" i="8" s="1"/>
  <c r="J400" i="8"/>
  <c r="K400" i="8" s="1"/>
  <c r="J399" i="8"/>
  <c r="K399" i="8" s="1"/>
  <c r="J398" i="8"/>
  <c r="P398" i="8" s="1"/>
  <c r="J397" i="8"/>
  <c r="Q397" i="8" s="1"/>
  <c r="J396" i="8"/>
  <c r="Q396" i="8" s="1"/>
  <c r="J394" i="8"/>
  <c r="K394" i="8" s="1"/>
  <c r="J393" i="8"/>
  <c r="K393" i="8" s="1"/>
  <c r="J392" i="8"/>
  <c r="K392" i="8" s="1"/>
  <c r="J391" i="8"/>
  <c r="O391" i="8" s="1"/>
  <c r="J390" i="8"/>
  <c r="P390" i="8" s="1"/>
  <c r="J389" i="8"/>
  <c r="J388" i="8"/>
  <c r="K388" i="8" s="1"/>
  <c r="J387" i="8"/>
  <c r="Q387" i="8" s="1"/>
  <c r="Q386" i="8"/>
  <c r="J385" i="8"/>
  <c r="K385" i="8" s="1"/>
  <c r="J383" i="8"/>
  <c r="O383" i="8" s="1"/>
  <c r="J382" i="8"/>
  <c r="Q382" i="8" s="1"/>
  <c r="J381" i="8"/>
  <c r="J380" i="8"/>
  <c r="P380" i="8" s="1"/>
  <c r="J379" i="8"/>
  <c r="Q379" i="8" s="1"/>
  <c r="J378" i="8"/>
  <c r="K378" i="8" s="1"/>
  <c r="J377" i="8"/>
  <c r="O377" i="8" s="1"/>
  <c r="J374" i="8"/>
  <c r="K374" i="8" s="1"/>
  <c r="J373" i="8"/>
  <c r="O373" i="8" s="1"/>
  <c r="J372" i="8"/>
  <c r="Q372" i="8" s="1"/>
  <c r="J371" i="8"/>
  <c r="K371" i="8" s="1"/>
  <c r="J370" i="8"/>
  <c r="P370" i="8" s="1"/>
  <c r="J369" i="8"/>
  <c r="K369" i="8" s="1"/>
  <c r="J368" i="8"/>
  <c r="K368" i="8" s="1"/>
  <c r="J367" i="8"/>
  <c r="P367" i="8" s="1"/>
  <c r="J366" i="8"/>
  <c r="O366" i="8" s="1"/>
  <c r="J365" i="8"/>
  <c r="K365" i="8" s="1"/>
  <c r="J364" i="8"/>
  <c r="P364" i="8" s="1"/>
  <c r="J363" i="8"/>
  <c r="O363" i="8" s="1"/>
  <c r="J361" i="8"/>
  <c r="J360" i="8"/>
  <c r="K360" i="8" s="1"/>
  <c r="J359" i="8"/>
  <c r="Q359" i="8" s="1"/>
  <c r="J358" i="8"/>
  <c r="Q358" i="8" s="1"/>
  <c r="J357" i="8"/>
  <c r="Q357" i="8" s="1"/>
  <c r="J356" i="8"/>
  <c r="K356" i="8" s="1"/>
  <c r="J355" i="8"/>
  <c r="Q355" i="8" s="1"/>
  <c r="J354" i="8"/>
  <c r="P354" i="8" s="1"/>
  <c r="J353" i="8"/>
  <c r="K353" i="8" s="1"/>
  <c r="J352" i="8"/>
  <c r="K352" i="8" s="1"/>
  <c r="J351" i="8"/>
  <c r="O351" i="8" s="1"/>
  <c r="J350" i="8"/>
  <c r="K350" i="8" s="1"/>
  <c r="J349" i="8"/>
  <c r="Q349" i="8" s="1"/>
  <c r="J348" i="8"/>
  <c r="Q348" i="8" s="1"/>
  <c r="J347" i="8"/>
  <c r="K347" i="8" s="1"/>
  <c r="J346" i="8"/>
  <c r="K346" i="8" s="1"/>
  <c r="J345" i="8"/>
  <c r="Q345" i="8" s="1"/>
  <c r="J344" i="8"/>
  <c r="K344" i="8" s="1"/>
  <c r="J342" i="8"/>
  <c r="Q342" i="8" s="1"/>
  <c r="J341" i="8"/>
  <c r="K341" i="8" s="1"/>
  <c r="J340" i="8"/>
  <c r="P340" i="8" s="1"/>
  <c r="J339" i="8"/>
  <c r="Q339" i="8" s="1"/>
  <c r="J338" i="8"/>
  <c r="K338" i="8" s="1"/>
  <c r="J337" i="8"/>
  <c r="K337" i="8" s="1"/>
  <c r="J336" i="8"/>
  <c r="Q336" i="8" s="1"/>
  <c r="J335" i="8"/>
  <c r="K335" i="8" s="1"/>
  <c r="J334" i="8"/>
  <c r="P334" i="8" s="1"/>
  <c r="J333" i="8"/>
  <c r="Q333" i="8" s="1"/>
  <c r="J332" i="8"/>
  <c r="K332" i="8" s="1"/>
  <c r="Q331" i="8"/>
  <c r="O329" i="8"/>
  <c r="Q328" i="8"/>
  <c r="J326" i="8"/>
  <c r="P326" i="8" s="1"/>
  <c r="J325" i="8"/>
  <c r="O325" i="8" s="1"/>
  <c r="J324" i="8"/>
  <c r="K324" i="8" s="1"/>
  <c r="J323" i="8"/>
  <c r="O323" i="8" s="1"/>
  <c r="J322" i="8"/>
  <c r="Q322" i="8" s="1"/>
  <c r="J321" i="8"/>
  <c r="P321" i="8" s="1"/>
  <c r="J320" i="8"/>
  <c r="Q320" i="8" s="1"/>
  <c r="J319" i="8"/>
  <c r="P319" i="8" s="1"/>
  <c r="J318" i="8"/>
  <c r="Q318" i="8" s="1"/>
  <c r="J317" i="8"/>
  <c r="K317" i="8" s="1"/>
  <c r="J316" i="8"/>
  <c r="P316" i="8" s="1"/>
  <c r="J315" i="8"/>
  <c r="Q315" i="8" s="1"/>
  <c r="J314" i="8"/>
  <c r="Q314" i="8" s="1"/>
  <c r="J313" i="8"/>
  <c r="K313" i="8" s="1"/>
  <c r="J312" i="8"/>
  <c r="K312" i="8" s="1"/>
  <c r="J311" i="8"/>
  <c r="Q311" i="8" s="1"/>
  <c r="J310" i="8"/>
  <c r="O310" i="8" s="1"/>
  <c r="J309" i="8"/>
  <c r="Q309" i="8" s="1"/>
  <c r="J308" i="8"/>
  <c r="Q308" i="8" s="1"/>
  <c r="J307" i="8"/>
  <c r="P307" i="8" s="1"/>
  <c r="J306" i="8"/>
  <c r="K306" i="8" s="1"/>
  <c r="J305" i="8"/>
  <c r="K305" i="8" s="1"/>
  <c r="J304" i="8"/>
  <c r="Q304" i="8" s="1"/>
  <c r="J303" i="8"/>
  <c r="K303" i="8" s="1"/>
  <c r="J302" i="8"/>
  <c r="Q302" i="8" s="1"/>
  <c r="J301" i="8"/>
  <c r="Q301" i="8" s="1"/>
  <c r="J300" i="8"/>
  <c r="J299" i="8"/>
  <c r="K299" i="8" s="1"/>
  <c r="J298" i="8"/>
  <c r="P298" i="8" s="1"/>
  <c r="J297" i="8"/>
  <c r="P297" i="8" s="1"/>
  <c r="J295" i="8"/>
  <c r="K295" i="8" s="1"/>
  <c r="J294" i="8"/>
  <c r="Q294" i="8" s="1"/>
  <c r="J293" i="8"/>
  <c r="K293" i="8" s="1"/>
  <c r="J292" i="8"/>
  <c r="K292" i="8" s="1"/>
  <c r="J291" i="8"/>
  <c r="Q291" i="8" s="1"/>
  <c r="J290" i="8"/>
  <c r="Q290" i="8" s="1"/>
  <c r="J289" i="8"/>
  <c r="K289" i="8" s="1"/>
  <c r="J288" i="8"/>
  <c r="K288" i="8" s="1"/>
  <c r="J287" i="8"/>
  <c r="J286" i="8"/>
  <c r="Q286" i="8" s="1"/>
  <c r="J285" i="8"/>
  <c r="P285" i="8" s="1"/>
  <c r="J284" i="8"/>
  <c r="Q284" i="8" s="1"/>
  <c r="J283" i="8"/>
  <c r="Q283" i="8" s="1"/>
  <c r="J282" i="8"/>
  <c r="K282" i="8" s="1"/>
  <c r="J281" i="8"/>
  <c r="K281" i="8" s="1"/>
  <c r="J278" i="8"/>
  <c r="Q278" i="8" s="1"/>
  <c r="J277" i="8"/>
  <c r="P277" i="8" s="1"/>
  <c r="J276" i="8"/>
  <c r="P276" i="8" s="1"/>
  <c r="J275" i="8"/>
  <c r="Q275" i="8" s="1"/>
  <c r="J274" i="8"/>
  <c r="O274" i="8" s="1"/>
  <c r="J273" i="8"/>
  <c r="J272" i="8"/>
  <c r="K272" i="8" s="1"/>
  <c r="J271" i="8"/>
  <c r="O271" i="8" s="1"/>
  <c r="J270" i="8"/>
  <c r="P270" i="8" s="1"/>
  <c r="J269" i="8"/>
  <c r="Q269" i="8" s="1"/>
  <c r="J268" i="8"/>
  <c r="Q268" i="8" s="1"/>
  <c r="J267" i="8"/>
  <c r="Q267" i="8" s="1"/>
  <c r="J266" i="8"/>
  <c r="Q266" i="8" s="1"/>
  <c r="J265" i="8"/>
  <c r="O265" i="8" s="1"/>
  <c r="J264" i="8"/>
  <c r="P264" i="8" s="1"/>
  <c r="J263" i="8"/>
  <c r="K263" i="8" s="1"/>
  <c r="P262" i="8"/>
  <c r="J261" i="8"/>
  <c r="J260" i="8"/>
  <c r="K260" i="8" s="1"/>
  <c r="J259" i="8"/>
  <c r="P259" i="8" s="1"/>
  <c r="J258" i="8"/>
  <c r="P258" i="8" s="1"/>
  <c r="J257" i="8"/>
  <c r="Q257" i="8" s="1"/>
  <c r="J256" i="8"/>
  <c r="O256" i="8" s="1"/>
  <c r="J255" i="8"/>
  <c r="K255" i="8" s="1"/>
  <c r="J254" i="8"/>
  <c r="K254" i="8" s="1"/>
  <c r="J253" i="8"/>
  <c r="Q253" i="8" s="1"/>
  <c r="O252" i="8"/>
  <c r="J251" i="8"/>
  <c r="K251" i="8" s="1"/>
  <c r="Q250" i="8"/>
  <c r="P248" i="8"/>
  <c r="O248" i="8"/>
  <c r="Q248" i="8"/>
  <c r="P247" i="8"/>
  <c r="P246" i="8"/>
  <c r="Q245" i="8"/>
  <c r="J242" i="8"/>
  <c r="K242" i="8" s="1"/>
  <c r="J241" i="8"/>
  <c r="K241" i="8" s="1"/>
  <c r="J240" i="8"/>
  <c r="Q240" i="8" s="1"/>
  <c r="J239" i="8"/>
  <c r="P239" i="8" s="1"/>
  <c r="J238" i="8"/>
  <c r="Q238" i="8" s="1"/>
  <c r="J237" i="8"/>
  <c r="K237" i="8" s="1"/>
  <c r="J236" i="8"/>
  <c r="O236" i="8" s="1"/>
  <c r="J235" i="8"/>
  <c r="K235" i="8" s="1"/>
  <c r="J234" i="8"/>
  <c r="Q234" i="8" s="1"/>
  <c r="J233" i="8"/>
  <c r="P233" i="8" s="1"/>
  <c r="J232" i="8"/>
  <c r="K232" i="8" s="1"/>
  <c r="J231" i="8"/>
  <c r="Q231" i="8" s="1"/>
  <c r="J230" i="8"/>
  <c r="P230" i="8" s="1"/>
  <c r="J229" i="8"/>
  <c r="Q229" i="8" s="1"/>
  <c r="J228" i="8"/>
  <c r="K228" i="8" s="1"/>
  <c r="J227" i="8"/>
  <c r="J226" i="8"/>
  <c r="P226" i="8" s="1"/>
  <c r="J225" i="8"/>
  <c r="Q225" i="8" s="1"/>
  <c r="J224" i="8"/>
  <c r="O224" i="8" s="1"/>
  <c r="J223" i="8"/>
  <c r="O223" i="8" s="1"/>
  <c r="J222" i="8"/>
  <c r="K222" i="8" s="1"/>
  <c r="J221" i="8"/>
  <c r="O221" i="8" s="1"/>
  <c r="J220" i="8"/>
  <c r="P220" i="8" s="1"/>
  <c r="J219" i="8"/>
  <c r="Q219" i="8" s="1"/>
  <c r="J218" i="8"/>
  <c r="K218" i="8" s="1"/>
  <c r="J217" i="8"/>
  <c r="P217" i="8" s="1"/>
  <c r="J216" i="8"/>
  <c r="O216" i="8" s="1"/>
  <c r="J215" i="8"/>
  <c r="K215" i="8" s="1"/>
  <c r="J214" i="8"/>
  <c r="Q214" i="8" s="1"/>
  <c r="J213" i="8"/>
  <c r="P213" i="8" s="1"/>
  <c r="J211" i="8"/>
  <c r="Q211" i="8" s="1"/>
  <c r="J210" i="8"/>
  <c r="K210" i="8" s="1"/>
  <c r="J209" i="8"/>
  <c r="P209" i="8" s="1"/>
  <c r="J208" i="8"/>
  <c r="K208" i="8" s="1"/>
  <c r="J207" i="8"/>
  <c r="K207" i="8" s="1"/>
  <c r="J205" i="8"/>
  <c r="P205" i="8" s="1"/>
  <c r="J204" i="8"/>
  <c r="O204" i="8" s="1"/>
  <c r="J203" i="8"/>
  <c r="P203" i="8" s="1"/>
  <c r="J202" i="8"/>
  <c r="J201" i="8"/>
  <c r="P201" i="8" s="1"/>
  <c r="J200" i="8"/>
  <c r="K200" i="8" s="1"/>
  <c r="J199" i="8"/>
  <c r="O199" i="8" s="1"/>
  <c r="J198" i="8"/>
  <c r="Q198" i="8" s="1"/>
  <c r="J197" i="8"/>
  <c r="P197" i="8" s="1"/>
  <c r="J196" i="8"/>
  <c r="K196" i="8" s="1"/>
  <c r="J195" i="8"/>
  <c r="Q195" i="8" s="1"/>
  <c r="J194" i="8"/>
  <c r="Q194" i="8" s="1"/>
  <c r="J193" i="8"/>
  <c r="P193" i="8" s="1"/>
  <c r="J192" i="8"/>
  <c r="O192" i="8" s="1"/>
  <c r="J191" i="8"/>
  <c r="J190" i="8"/>
  <c r="P190" i="8" s="1"/>
  <c r="J189" i="8"/>
  <c r="Q189" i="8" s="1"/>
  <c r="J187" i="8"/>
  <c r="P187" i="8" s="1"/>
  <c r="J186" i="8"/>
  <c r="P186" i="8" s="1"/>
  <c r="O185" i="8"/>
  <c r="Q184" i="8"/>
  <c r="J183" i="8"/>
  <c r="P183" i="8" s="1"/>
  <c r="J182" i="8"/>
  <c r="K182" i="8" s="1"/>
  <c r="J181" i="8"/>
  <c r="Q181" i="8" s="1"/>
  <c r="J180" i="8"/>
  <c r="P180" i="8" s="1"/>
  <c r="Q178" i="8"/>
  <c r="J177" i="8"/>
  <c r="J176" i="8"/>
  <c r="O176" i="8" s="1"/>
  <c r="J175" i="8"/>
  <c r="Q175" i="8" s="1"/>
  <c r="J174" i="8"/>
  <c r="P174" i="8" s="1"/>
  <c r="J173" i="8"/>
  <c r="K173" i="8" s="1"/>
  <c r="J172" i="8"/>
  <c r="K172" i="8" s="1"/>
  <c r="J171" i="8"/>
  <c r="P171" i="8" s="1"/>
  <c r="J170" i="8"/>
  <c r="P170" i="8" s="1"/>
  <c r="J169" i="8"/>
  <c r="K169" i="8" s="1"/>
  <c r="J168" i="8"/>
  <c r="P168" i="8" s="1"/>
  <c r="J167" i="8"/>
  <c r="O167" i="8" s="1"/>
  <c r="J166" i="8"/>
  <c r="P166" i="8" s="1"/>
  <c r="J165" i="8"/>
  <c r="J164" i="8"/>
  <c r="P164" i="8" s="1"/>
  <c r="O163" i="8"/>
  <c r="J162" i="8"/>
  <c r="O162" i="8" s="1"/>
  <c r="J161" i="8"/>
  <c r="Q161" i="8" s="1"/>
  <c r="J160" i="8"/>
  <c r="K160" i="8" s="1"/>
  <c r="J159" i="8"/>
  <c r="K159" i="8" s="1"/>
  <c r="J158" i="8"/>
  <c r="Q158" i="8" s="1"/>
  <c r="J157" i="8"/>
  <c r="Q157" i="8" s="1"/>
  <c r="J156" i="8"/>
  <c r="P156" i="8" s="1"/>
  <c r="J155" i="8"/>
  <c r="O155" i="8" s="1"/>
  <c r="J154" i="8"/>
  <c r="O154" i="8" s="1"/>
  <c r="J153" i="8"/>
  <c r="J152" i="8"/>
  <c r="Q152" i="8" s="1"/>
  <c r="J151" i="8"/>
  <c r="P151" i="8" s="1"/>
  <c r="J150" i="8"/>
  <c r="P150" i="8" s="1"/>
  <c r="J149" i="8"/>
  <c r="K149" i="8" s="1"/>
  <c r="J148" i="8"/>
  <c r="Q148" i="8" s="1"/>
  <c r="J147" i="8"/>
  <c r="P147" i="8" s="1"/>
  <c r="J146" i="8"/>
  <c r="K146" i="8" s="1"/>
  <c r="J145" i="8"/>
  <c r="Q145" i="8" s="1"/>
  <c r="J144" i="8"/>
  <c r="P144" i="8" s="1"/>
  <c r="P143" i="8"/>
  <c r="J142" i="8"/>
  <c r="Q142" i="8" s="1"/>
  <c r="J141" i="8"/>
  <c r="J140" i="8"/>
  <c r="K140" i="8" s="1"/>
  <c r="J139" i="8"/>
  <c r="Q139" i="8" s="1"/>
  <c r="J138" i="8"/>
  <c r="P138" i="8" s="1"/>
  <c r="J137" i="8"/>
  <c r="Q137" i="8" s="1"/>
  <c r="J136" i="8"/>
  <c r="K136" i="8" s="1"/>
  <c r="J135" i="8"/>
  <c r="P135" i="8" s="1"/>
  <c r="J134" i="8"/>
  <c r="K134" i="8" s="1"/>
  <c r="J133" i="8"/>
  <c r="K133" i="8" s="1"/>
  <c r="J132" i="8"/>
  <c r="P132" i="8" s="1"/>
  <c r="J131" i="8"/>
  <c r="O131" i="8" s="1"/>
  <c r="P130" i="8"/>
  <c r="J129" i="8"/>
  <c r="P128" i="8"/>
  <c r="J127" i="8"/>
  <c r="K127" i="8" s="1"/>
  <c r="O126" i="8"/>
  <c r="Q125" i="8"/>
  <c r="Q124" i="8"/>
  <c r="P122" i="8"/>
  <c r="Q121" i="8"/>
  <c r="P120" i="8"/>
  <c r="J119" i="8"/>
  <c r="O119" i="8" s="1"/>
  <c r="P118" i="8"/>
  <c r="J117" i="8"/>
  <c r="K117" i="8" s="1"/>
  <c r="J116" i="8"/>
  <c r="P115" i="8"/>
  <c r="J111" i="8"/>
  <c r="O111" i="8" s="1"/>
  <c r="J110" i="8"/>
  <c r="Q110" i="8" s="1"/>
  <c r="J109" i="8"/>
  <c r="P109" i="8" s="1"/>
  <c r="J108" i="8"/>
  <c r="K108" i="8" s="1"/>
  <c r="J107" i="8"/>
  <c r="P107" i="8" s="1"/>
  <c r="J106" i="8"/>
  <c r="P106" i="8" s="1"/>
  <c r="J105" i="8"/>
  <c r="K105" i="8" s="1"/>
  <c r="J104" i="8"/>
  <c r="Q104" i="8" s="1"/>
  <c r="J103" i="8"/>
  <c r="J102" i="8"/>
  <c r="P102" i="8" s="1"/>
  <c r="J101" i="8"/>
  <c r="Q101" i="8" s="1"/>
  <c r="J100" i="8"/>
  <c r="P100" i="8" s="1"/>
  <c r="J99" i="8"/>
  <c r="P99" i="8" s="1"/>
  <c r="J98" i="8"/>
  <c r="Q98" i="8" s="1"/>
  <c r="J97" i="8"/>
  <c r="K97" i="8" s="1"/>
  <c r="J96" i="8"/>
  <c r="Q96" i="8" s="1"/>
  <c r="J95" i="8"/>
  <c r="K95" i="8" s="1"/>
  <c r="J94" i="8"/>
  <c r="P94" i="8" s="1"/>
  <c r="J93" i="8"/>
  <c r="P93" i="8" s="1"/>
  <c r="J92" i="8"/>
  <c r="J91" i="8"/>
  <c r="P91" i="8" s="1"/>
  <c r="J90" i="8"/>
  <c r="P90" i="8" s="1"/>
  <c r="J89" i="8"/>
  <c r="O89" i="8" s="1"/>
  <c r="J88" i="8"/>
  <c r="K88" i="8" s="1"/>
  <c r="J87" i="8"/>
  <c r="Q87" i="8" s="1"/>
  <c r="J86" i="8"/>
  <c r="O86" i="8" s="1"/>
  <c r="J85" i="8"/>
  <c r="O85" i="8" s="1"/>
  <c r="J84" i="8"/>
  <c r="P84" i="8" s="1"/>
  <c r="J83" i="8"/>
  <c r="Q83" i="8" s="1"/>
  <c r="J82" i="8"/>
  <c r="K82" i="8" s="1"/>
  <c r="J80" i="8"/>
  <c r="Q80" i="8" s="1"/>
  <c r="J79" i="8"/>
  <c r="J78" i="8"/>
  <c r="P78" i="8" s="1"/>
  <c r="J77" i="8"/>
  <c r="P77" i="8" s="1"/>
  <c r="J76" i="8"/>
  <c r="O76" i="8" s="1"/>
  <c r="J75" i="8"/>
  <c r="P75" i="8" s="1"/>
  <c r="J74" i="8"/>
  <c r="K74" i="8" s="1"/>
  <c r="J73" i="8"/>
  <c r="O73" i="8" s="1"/>
  <c r="J72" i="8"/>
  <c r="P72" i="8" s="1"/>
  <c r="J71" i="8"/>
  <c r="K71" i="8" s="1"/>
  <c r="J70" i="8"/>
  <c r="Q70" i="8" s="1"/>
  <c r="J69" i="8"/>
  <c r="P69" i="8" s="1"/>
  <c r="J68" i="8"/>
  <c r="K68" i="8" s="1"/>
  <c r="J67" i="8"/>
  <c r="J66" i="8"/>
  <c r="K66" i="8" s="1"/>
  <c r="J65" i="8"/>
  <c r="Q65" i="8" s="1"/>
  <c r="J64" i="8"/>
  <c r="Q64" i="8" s="1"/>
  <c r="J62" i="8"/>
  <c r="P62" i="8" s="1"/>
  <c r="J61" i="8"/>
  <c r="Q61" i="8" s="1"/>
  <c r="J60" i="8"/>
  <c r="Q60" i="8" s="1"/>
  <c r="J59" i="8"/>
  <c r="P59" i="8" s="1"/>
  <c r="J58" i="8"/>
  <c r="K58" i="8" s="1"/>
  <c r="J57" i="8"/>
  <c r="K57" i="8" s="1"/>
  <c r="J56" i="8"/>
  <c r="P56" i="8" s="1"/>
  <c r="J55" i="8"/>
  <c r="Q55" i="8" s="1"/>
  <c r="J54" i="8"/>
  <c r="J53" i="8"/>
  <c r="P53" i="8" s="1"/>
  <c r="J52" i="8"/>
  <c r="P52" i="8" s="1"/>
  <c r="J51" i="8"/>
  <c r="O51" i="8" s="1"/>
  <c r="P50" i="8"/>
  <c r="Q49" i="8"/>
  <c r="J47" i="8"/>
  <c r="Q47" i="8" s="1"/>
  <c r="J46" i="8"/>
  <c r="O46" i="8" s="1"/>
  <c r="Q45" i="8"/>
  <c r="J44" i="8"/>
  <c r="P44" i="8" s="1"/>
  <c r="J43" i="8"/>
  <c r="K43" i="8" s="1"/>
  <c r="J42" i="8"/>
  <c r="J41" i="8"/>
  <c r="Q41" i="8" s="1"/>
  <c r="J40" i="8"/>
  <c r="P40" i="8" s="1"/>
  <c r="J39" i="8"/>
  <c r="Q39" i="8" s="1"/>
  <c r="O38" i="8"/>
  <c r="P37" i="8"/>
  <c r="J36" i="8"/>
  <c r="Q36" i="8" s="1"/>
  <c r="J35" i="8"/>
  <c r="P35" i="8" s="1"/>
  <c r="J34" i="8"/>
  <c r="O34" i="8" s="1"/>
  <c r="J33" i="8"/>
  <c r="Q33" i="8" s="1"/>
  <c r="J31" i="8"/>
  <c r="Q31" i="8" s="1"/>
  <c r="J30" i="8"/>
  <c r="Q30" i="8" s="1"/>
  <c r="J29" i="8"/>
  <c r="J28" i="8"/>
  <c r="Q28" i="8" s="1"/>
  <c r="J27" i="8"/>
  <c r="O27" i="8" s="1"/>
  <c r="J26" i="8"/>
  <c r="O26" i="8" s="1"/>
  <c r="J25" i="8"/>
  <c r="Q25" i="8" s="1"/>
  <c r="J24" i="8"/>
  <c r="K24" i="8" s="1"/>
  <c r="J23" i="8"/>
  <c r="P23" i="8" s="1"/>
  <c r="J22" i="8"/>
  <c r="Q22" i="8" s="1"/>
  <c r="O21" i="8"/>
  <c r="O20" i="8"/>
  <c r="Q19" i="8"/>
  <c r="J17" i="8"/>
  <c r="K17" i="8" s="1"/>
  <c r="J16" i="8"/>
  <c r="J15" i="8"/>
  <c r="P15" i="8" s="1"/>
  <c r="J14" i="8"/>
  <c r="O14" i="8" s="1"/>
  <c r="J13" i="8"/>
  <c r="P13" i="8" s="1"/>
  <c r="Q12" i="8"/>
  <c r="P12" i="8"/>
  <c r="O12" i="8"/>
  <c r="E2" i="5"/>
  <c r="K939" i="8" l="1"/>
  <c r="K808" i="8"/>
  <c r="Q215" i="8"/>
  <c r="P426" i="8"/>
  <c r="K881" i="8"/>
  <c r="K323" i="8"/>
  <c r="P356" i="8"/>
  <c r="K382" i="8"/>
  <c r="K880" i="8"/>
  <c r="Q554" i="8"/>
  <c r="K941" i="8"/>
  <c r="K322" i="8"/>
  <c r="K797" i="8"/>
  <c r="K684" i="8"/>
  <c r="K321" i="8"/>
  <c r="P764" i="8"/>
  <c r="Q776" i="8"/>
  <c r="K131" i="8"/>
  <c r="K35" i="8"/>
  <c r="Q233" i="8"/>
  <c r="K930" i="8"/>
  <c r="K345" i="8"/>
  <c r="K857" i="8"/>
  <c r="K201" i="8"/>
  <c r="K747" i="8"/>
  <c r="K650" i="8"/>
  <c r="K189" i="8"/>
  <c r="K649" i="8"/>
  <c r="K70" i="8"/>
  <c r="K648" i="8"/>
  <c r="K383" i="8"/>
  <c r="O253" i="8"/>
  <c r="Q468" i="8"/>
  <c r="K904" i="8"/>
  <c r="K844" i="8"/>
  <c r="K796" i="8"/>
  <c r="K575" i="8"/>
  <c r="K454" i="8"/>
  <c r="K311" i="8"/>
  <c r="K239" i="8"/>
  <c r="K59" i="8"/>
  <c r="K34" i="8"/>
  <c r="K466" i="8"/>
  <c r="K419" i="8"/>
  <c r="K845" i="8"/>
  <c r="K525" i="8"/>
  <c r="P458" i="8"/>
  <c r="K929" i="8"/>
  <c r="K903" i="8"/>
  <c r="K843" i="8"/>
  <c r="K735" i="8"/>
  <c r="K682" i="8"/>
  <c r="K514" i="8"/>
  <c r="K453" i="8"/>
  <c r="K407" i="8"/>
  <c r="K310" i="8"/>
  <c r="K226" i="8"/>
  <c r="K107" i="8"/>
  <c r="K33" i="8"/>
  <c r="K513" i="8"/>
  <c r="K334" i="8"/>
  <c r="K309" i="8"/>
  <c r="K225" i="8"/>
  <c r="K106" i="8"/>
  <c r="K927" i="8"/>
  <c r="K895" i="8"/>
  <c r="K833" i="8"/>
  <c r="K784" i="8"/>
  <c r="K733" i="8"/>
  <c r="K610" i="8"/>
  <c r="K561" i="8"/>
  <c r="K503" i="8"/>
  <c r="K443" i="8"/>
  <c r="K405" i="8"/>
  <c r="K370" i="8"/>
  <c r="K333" i="8"/>
  <c r="K23" i="8"/>
  <c r="K190" i="8"/>
  <c r="K919" i="8"/>
  <c r="K868" i="8"/>
  <c r="K708" i="8"/>
  <c r="K609" i="8"/>
  <c r="K502" i="8"/>
  <c r="K298" i="8"/>
  <c r="K214" i="8"/>
  <c r="K22" i="8"/>
  <c r="K275" i="8"/>
  <c r="K943" i="8"/>
  <c r="K893" i="8"/>
  <c r="K867" i="8"/>
  <c r="K707" i="8"/>
  <c r="K662" i="8"/>
  <c r="K501" i="8"/>
  <c r="K297" i="8"/>
  <c r="K213" i="8"/>
  <c r="K167" i="8"/>
  <c r="K94" i="8"/>
  <c r="O426" i="8"/>
  <c r="Q531" i="8"/>
  <c r="K917" i="8"/>
  <c r="K821" i="8"/>
  <c r="K661" i="8"/>
  <c r="K431" i="8"/>
  <c r="K359" i="8"/>
  <c r="K83" i="8"/>
  <c r="K47" i="8"/>
  <c r="K916" i="8"/>
  <c r="K891" i="8"/>
  <c r="K772" i="8"/>
  <c r="K660" i="8"/>
  <c r="K430" i="8"/>
  <c r="K358" i="8"/>
  <c r="K286" i="8"/>
  <c r="K155" i="8"/>
  <c r="K119" i="8"/>
  <c r="K46" i="8"/>
  <c r="K915" i="8"/>
  <c r="K856" i="8"/>
  <c r="K695" i="8"/>
  <c r="K537" i="8"/>
  <c r="K429" i="8"/>
  <c r="K357" i="8"/>
  <c r="K285" i="8"/>
  <c r="K203" i="8"/>
  <c r="Q665" i="8"/>
  <c r="K665" i="8"/>
  <c r="Q528" i="8"/>
  <c r="K528" i="8"/>
  <c r="O67" i="8"/>
  <c r="K67" i="8"/>
  <c r="P471" i="8"/>
  <c r="K471" i="8"/>
  <c r="P129" i="8"/>
  <c r="K129" i="8"/>
  <c r="Q729" i="8"/>
  <c r="K729" i="8"/>
  <c r="Q92" i="8"/>
  <c r="K92" i="8"/>
  <c r="O642" i="8"/>
  <c r="P642" i="8"/>
  <c r="Q642" i="8"/>
  <c r="K642" i="8"/>
  <c r="P42" i="8"/>
  <c r="K42" i="8"/>
  <c r="Q116" i="8"/>
  <c r="K116" i="8"/>
  <c r="P153" i="8"/>
  <c r="K153" i="8"/>
  <c r="P177" i="8"/>
  <c r="K177" i="8"/>
  <c r="Q652" i="8"/>
  <c r="K652" i="8"/>
  <c r="Q704" i="8"/>
  <c r="K704" i="8"/>
  <c r="O767" i="8"/>
  <c r="K767" i="8"/>
  <c r="Q793" i="8"/>
  <c r="K793" i="8"/>
  <c r="P103" i="8"/>
  <c r="Q103" i="8"/>
  <c r="O103" i="8"/>
  <c r="K103" i="8"/>
  <c r="Q54" i="8"/>
  <c r="K54" i="8"/>
  <c r="Q79" i="8"/>
  <c r="K79" i="8"/>
  <c r="Q574" i="8"/>
  <c r="K574" i="8"/>
  <c r="O451" i="8"/>
  <c r="Q451" i="8"/>
  <c r="P451" i="8"/>
  <c r="K451" i="8"/>
  <c r="P141" i="8"/>
  <c r="K141" i="8"/>
  <c r="P29" i="8"/>
  <c r="K29" i="8"/>
  <c r="Q361" i="8"/>
  <c r="K361" i="8"/>
  <c r="Q389" i="8"/>
  <c r="K389" i="8"/>
  <c r="Q402" i="8"/>
  <c r="K402" i="8"/>
  <c r="Q415" i="8"/>
  <c r="K415" i="8"/>
  <c r="O923" i="8"/>
  <c r="K923" i="8"/>
  <c r="P936" i="8"/>
  <c r="K936" i="8"/>
  <c r="P165" i="8"/>
  <c r="K165" i="8"/>
  <c r="Q742" i="8"/>
  <c r="K742" i="8"/>
  <c r="P16" i="8"/>
  <c r="K16" i="8"/>
  <c r="O261" i="8"/>
  <c r="K261" i="8"/>
  <c r="Q273" i="8"/>
  <c r="K273" i="8"/>
  <c r="Q287" i="8"/>
  <c r="K287" i="8"/>
  <c r="O300" i="8"/>
  <c r="K300" i="8"/>
  <c r="P870" i="8"/>
  <c r="K870" i="8"/>
  <c r="P885" i="8"/>
  <c r="K885" i="8"/>
  <c r="O898" i="8"/>
  <c r="K898" i="8"/>
  <c r="P912" i="8"/>
  <c r="K912" i="8"/>
  <c r="P191" i="8"/>
  <c r="K191" i="8"/>
  <c r="P690" i="8"/>
  <c r="K690" i="8"/>
  <c r="O562" i="8"/>
  <c r="K562" i="8"/>
  <c r="P202" i="8"/>
  <c r="K202" i="8"/>
  <c r="O227" i="8"/>
  <c r="K227" i="8"/>
  <c r="O806" i="8"/>
  <c r="K806" i="8"/>
  <c r="O819" i="8"/>
  <c r="K819" i="8"/>
  <c r="P832" i="8"/>
  <c r="K832" i="8"/>
  <c r="Q44" i="8"/>
  <c r="Q541" i="8"/>
  <c r="O644" i="8"/>
  <c r="P860" i="8"/>
  <c r="K938" i="8"/>
  <c r="K926" i="8"/>
  <c r="K914" i="8"/>
  <c r="K878" i="8"/>
  <c r="K866" i="8"/>
  <c r="K842" i="8"/>
  <c r="K770" i="8"/>
  <c r="K732" i="8"/>
  <c r="K705" i="8"/>
  <c r="K659" i="8"/>
  <c r="K647" i="8"/>
  <c r="K548" i="8"/>
  <c r="K500" i="8"/>
  <c r="K488" i="8"/>
  <c r="K464" i="8"/>
  <c r="K440" i="8"/>
  <c r="K416" i="8"/>
  <c r="K404" i="8"/>
  <c r="K380" i="8"/>
  <c r="K320" i="8"/>
  <c r="K308" i="8"/>
  <c r="K284" i="8"/>
  <c r="K236" i="8"/>
  <c r="K224" i="8"/>
  <c r="K176" i="8"/>
  <c r="K164" i="8"/>
  <c r="K152" i="8"/>
  <c r="K104" i="8"/>
  <c r="K80" i="8"/>
  <c r="K56" i="8"/>
  <c r="K44" i="8"/>
  <c r="K937" i="8"/>
  <c r="K925" i="8"/>
  <c r="K913" i="8"/>
  <c r="K901" i="8"/>
  <c r="K853" i="8"/>
  <c r="K829" i="8"/>
  <c r="K817" i="8"/>
  <c r="K781" i="8"/>
  <c r="K769" i="8"/>
  <c r="K731" i="8"/>
  <c r="K658" i="8"/>
  <c r="K559" i="8"/>
  <c r="K547" i="8"/>
  <c r="K523" i="8"/>
  <c r="K463" i="8"/>
  <c r="K403" i="8"/>
  <c r="K391" i="8"/>
  <c r="K379" i="8"/>
  <c r="K367" i="8"/>
  <c r="K355" i="8"/>
  <c r="K319" i="8"/>
  <c r="K307" i="8"/>
  <c r="K283" i="8"/>
  <c r="K271" i="8"/>
  <c r="K259" i="8"/>
  <c r="K223" i="8"/>
  <c r="K211" i="8"/>
  <c r="K199" i="8"/>
  <c r="K187" i="8"/>
  <c r="K175" i="8"/>
  <c r="K151" i="8"/>
  <c r="K139" i="8"/>
  <c r="K91" i="8"/>
  <c r="K55" i="8"/>
  <c r="K31" i="8"/>
  <c r="O416" i="8"/>
  <c r="O645" i="8"/>
  <c r="K900" i="8"/>
  <c r="K888" i="8"/>
  <c r="K876" i="8"/>
  <c r="K852" i="8"/>
  <c r="K840" i="8"/>
  <c r="K828" i="8"/>
  <c r="K780" i="8"/>
  <c r="K730" i="8"/>
  <c r="K703" i="8"/>
  <c r="K645" i="8"/>
  <c r="K606" i="8"/>
  <c r="K558" i="8"/>
  <c r="K546" i="8"/>
  <c r="K522" i="8"/>
  <c r="K510" i="8"/>
  <c r="K498" i="8"/>
  <c r="K462" i="8"/>
  <c r="K450" i="8"/>
  <c r="K426" i="8"/>
  <c r="K414" i="8"/>
  <c r="K390" i="8"/>
  <c r="K366" i="8"/>
  <c r="K354" i="8"/>
  <c r="K342" i="8"/>
  <c r="K318" i="8"/>
  <c r="K294" i="8"/>
  <c r="K270" i="8"/>
  <c r="K258" i="8"/>
  <c r="K234" i="8"/>
  <c r="K198" i="8"/>
  <c r="K186" i="8"/>
  <c r="K174" i="8"/>
  <c r="K162" i="8"/>
  <c r="K150" i="8"/>
  <c r="K138" i="8"/>
  <c r="K102" i="8"/>
  <c r="K90" i="8"/>
  <c r="K78" i="8"/>
  <c r="K30" i="8"/>
  <c r="K820" i="8"/>
  <c r="K274" i="8"/>
  <c r="K238" i="8"/>
  <c r="K166" i="8"/>
  <c r="K154" i="8"/>
  <c r="K142" i="8"/>
  <c r="Q93" i="8"/>
  <c r="K795" i="8"/>
  <c r="K706" i="8"/>
  <c r="P645" i="8"/>
  <c r="P799" i="8"/>
  <c r="K935" i="8"/>
  <c r="K851" i="8"/>
  <c r="K815" i="8"/>
  <c r="K791" i="8"/>
  <c r="K741" i="8"/>
  <c r="K656" i="8"/>
  <c r="K644" i="8"/>
  <c r="K581" i="8"/>
  <c r="K557" i="8"/>
  <c r="K545" i="8"/>
  <c r="K533" i="8"/>
  <c r="K485" i="8"/>
  <c r="K461" i="8"/>
  <c r="K449" i="8"/>
  <c r="K425" i="8"/>
  <c r="K413" i="8"/>
  <c r="K377" i="8"/>
  <c r="K269" i="8"/>
  <c r="K257" i="8"/>
  <c r="K233" i="8"/>
  <c r="K221" i="8"/>
  <c r="K209" i="8"/>
  <c r="K197" i="8"/>
  <c r="K161" i="8"/>
  <c r="K137" i="8"/>
  <c r="K101" i="8"/>
  <c r="K89" i="8"/>
  <c r="K77" i="8"/>
  <c r="K65" i="8"/>
  <c r="K53" i="8"/>
  <c r="K41" i="8"/>
  <c r="O611" i="8"/>
  <c r="Q611" i="8"/>
  <c r="P611" i="8"/>
  <c r="K922" i="8"/>
  <c r="K910" i="8"/>
  <c r="K886" i="8"/>
  <c r="K814" i="8"/>
  <c r="K802" i="8"/>
  <c r="K766" i="8"/>
  <c r="K740" i="8"/>
  <c r="K728" i="8"/>
  <c r="K689" i="8"/>
  <c r="K667" i="8"/>
  <c r="K580" i="8"/>
  <c r="K568" i="8"/>
  <c r="K556" i="8"/>
  <c r="K544" i="8"/>
  <c r="K520" i="8"/>
  <c r="K508" i="8"/>
  <c r="K484" i="8"/>
  <c r="K448" i="8"/>
  <c r="K436" i="8"/>
  <c r="K424" i="8"/>
  <c r="K412" i="8"/>
  <c r="K364" i="8"/>
  <c r="K340" i="8"/>
  <c r="K316" i="8"/>
  <c r="K304" i="8"/>
  <c r="K268" i="8"/>
  <c r="K256" i="8"/>
  <c r="K220" i="8"/>
  <c r="K148" i="8"/>
  <c r="K100" i="8"/>
  <c r="K76" i="8"/>
  <c r="K64" i="8"/>
  <c r="K52" i="8"/>
  <c r="K40" i="8"/>
  <c r="K28" i="8"/>
  <c r="K69" i="8"/>
  <c r="P612" i="8"/>
  <c r="Q612" i="8"/>
  <c r="O612" i="8"/>
  <c r="K921" i="8"/>
  <c r="K909" i="8"/>
  <c r="K897" i="8"/>
  <c r="K861" i="8"/>
  <c r="K825" i="8"/>
  <c r="K813" i="8"/>
  <c r="K801" i="8"/>
  <c r="K789" i="8"/>
  <c r="K777" i="8"/>
  <c r="K765" i="8"/>
  <c r="K712" i="8"/>
  <c r="K700" i="8"/>
  <c r="K666" i="8"/>
  <c r="K603" i="8"/>
  <c r="K555" i="8"/>
  <c r="K531" i="8"/>
  <c r="K519" i="8"/>
  <c r="K507" i="8"/>
  <c r="K495" i="8"/>
  <c r="K483" i="8"/>
  <c r="K459" i="8"/>
  <c r="K423" i="8"/>
  <c r="K411" i="8"/>
  <c r="K387" i="8"/>
  <c r="K363" i="8"/>
  <c r="K351" i="8"/>
  <c r="K339" i="8"/>
  <c r="K315" i="8"/>
  <c r="K291" i="8"/>
  <c r="K267" i="8"/>
  <c r="K231" i="8"/>
  <c r="K219" i="8"/>
  <c r="K195" i="8"/>
  <c r="K183" i="8"/>
  <c r="K171" i="8"/>
  <c r="K147" i="8"/>
  <c r="K135" i="8"/>
  <c r="K111" i="8"/>
  <c r="K99" i="8"/>
  <c r="K87" i="8"/>
  <c r="K75" i="8"/>
  <c r="K51" i="8"/>
  <c r="K39" i="8"/>
  <c r="K27" i="8"/>
  <c r="K15" i="8"/>
  <c r="O639" i="8"/>
  <c r="P639" i="8"/>
  <c r="Q639" i="8"/>
  <c r="K932" i="8"/>
  <c r="K920" i="8"/>
  <c r="K908" i="8"/>
  <c r="K896" i="8"/>
  <c r="K872" i="8"/>
  <c r="K860" i="8"/>
  <c r="K836" i="8"/>
  <c r="K824" i="8"/>
  <c r="K800" i="8"/>
  <c r="K788" i="8"/>
  <c r="K776" i="8"/>
  <c r="K711" i="8"/>
  <c r="K699" i="8"/>
  <c r="K687" i="8"/>
  <c r="K653" i="8"/>
  <c r="K578" i="8"/>
  <c r="K566" i="8"/>
  <c r="K542" i="8"/>
  <c r="K518" i="8"/>
  <c r="K506" i="8"/>
  <c r="K470" i="8"/>
  <c r="K458" i="8"/>
  <c r="K398" i="8"/>
  <c r="K326" i="8"/>
  <c r="K314" i="8"/>
  <c r="K302" i="8"/>
  <c r="K290" i="8"/>
  <c r="K278" i="8"/>
  <c r="K266" i="8"/>
  <c r="K230" i="8"/>
  <c r="K194" i="8"/>
  <c r="K170" i="8"/>
  <c r="K158" i="8"/>
  <c r="K110" i="8"/>
  <c r="K98" i="8"/>
  <c r="K86" i="8"/>
  <c r="K62" i="8"/>
  <c r="K26" i="8"/>
  <c r="K14" i="8"/>
  <c r="O640" i="8"/>
  <c r="P640" i="8"/>
  <c r="Q640" i="8"/>
  <c r="K883" i="8"/>
  <c r="K871" i="8"/>
  <c r="K859" i="8"/>
  <c r="K835" i="8"/>
  <c r="K823" i="8"/>
  <c r="K799" i="8"/>
  <c r="K787" i="8"/>
  <c r="K775" i="8"/>
  <c r="K737" i="8"/>
  <c r="K710" i="8"/>
  <c r="K698" i="8"/>
  <c r="K686" i="8"/>
  <c r="K664" i="8"/>
  <c r="K577" i="8"/>
  <c r="K565" i="8"/>
  <c r="K541" i="8"/>
  <c r="K469" i="8"/>
  <c r="K445" i="8"/>
  <c r="K409" i="8"/>
  <c r="K397" i="8"/>
  <c r="K373" i="8"/>
  <c r="K349" i="8"/>
  <c r="K325" i="8"/>
  <c r="K301" i="8"/>
  <c r="K277" i="8"/>
  <c r="K265" i="8"/>
  <c r="K253" i="8"/>
  <c r="K229" i="8"/>
  <c r="K217" i="8"/>
  <c r="K205" i="8"/>
  <c r="K193" i="8"/>
  <c r="K181" i="8"/>
  <c r="K157" i="8"/>
  <c r="K145" i="8"/>
  <c r="K109" i="8"/>
  <c r="K85" i="8"/>
  <c r="K73" i="8"/>
  <c r="K61" i="8"/>
  <c r="K25" i="8"/>
  <c r="K13" i="8"/>
  <c r="O643" i="8"/>
  <c r="P643" i="8"/>
  <c r="Q643" i="8"/>
  <c r="K807" i="8"/>
  <c r="K93" i="8"/>
  <c r="Q236" i="8"/>
  <c r="O336" i="8"/>
  <c r="Q450" i="8"/>
  <c r="O492" i="8"/>
  <c r="O641" i="8"/>
  <c r="Q641" i="8"/>
  <c r="P641" i="8"/>
  <c r="P922" i="8"/>
  <c r="K906" i="8"/>
  <c r="K882" i="8"/>
  <c r="K846" i="8"/>
  <c r="K834" i="8"/>
  <c r="K822" i="8"/>
  <c r="K810" i="8"/>
  <c r="K774" i="8"/>
  <c r="K736" i="8"/>
  <c r="K697" i="8"/>
  <c r="K685" i="8"/>
  <c r="K663" i="8"/>
  <c r="K651" i="8"/>
  <c r="K612" i="8"/>
  <c r="K576" i="8"/>
  <c r="K552" i="8"/>
  <c r="K492" i="8"/>
  <c r="K468" i="8"/>
  <c r="K456" i="8"/>
  <c r="K444" i="8"/>
  <c r="K432" i="8"/>
  <c r="K420" i="8"/>
  <c r="K408" i="8"/>
  <c r="K396" i="8"/>
  <c r="K372" i="8"/>
  <c r="K348" i="8"/>
  <c r="K336" i="8"/>
  <c r="K276" i="8"/>
  <c r="K264" i="8"/>
  <c r="K240" i="8"/>
  <c r="K216" i="8"/>
  <c r="K204" i="8"/>
  <c r="K192" i="8"/>
  <c r="K180" i="8"/>
  <c r="K168" i="8"/>
  <c r="K156" i="8"/>
  <c r="K144" i="8"/>
  <c r="K132" i="8"/>
  <c r="K96" i="8"/>
  <c r="K84" i="8"/>
  <c r="K72" i="8"/>
  <c r="K60" i="8"/>
  <c r="K36" i="8"/>
  <c r="P61" i="8"/>
  <c r="P575" i="8"/>
  <c r="Q936" i="8"/>
  <c r="P26" i="8"/>
  <c r="P86" i="8"/>
  <c r="Q443" i="8"/>
  <c r="Q546" i="8"/>
  <c r="O658" i="8"/>
  <c r="Q697" i="8"/>
  <c r="Q86" i="8"/>
  <c r="O161" i="8"/>
  <c r="Q259" i="8"/>
  <c r="O304" i="8"/>
  <c r="O568" i="8"/>
  <c r="Q733" i="8"/>
  <c r="O817" i="8"/>
  <c r="O141" i="8"/>
  <c r="O508" i="8"/>
  <c r="P817" i="8"/>
  <c r="Q77" i="8"/>
  <c r="Q197" i="8"/>
  <c r="O220" i="8"/>
  <c r="Q423" i="8"/>
  <c r="Q649" i="8"/>
  <c r="O107" i="8"/>
  <c r="Q220" i="8"/>
  <c r="Q252" i="8"/>
  <c r="Q377" i="8"/>
  <c r="P519" i="8"/>
  <c r="P868" i="8"/>
  <c r="Q99" i="8"/>
  <c r="Q107" i="8"/>
  <c r="O286" i="8"/>
  <c r="Q297" i="8"/>
  <c r="Q510" i="8"/>
  <c r="Q519" i="8"/>
  <c r="Q736" i="8"/>
  <c r="Q868" i="8"/>
  <c r="Q150" i="8"/>
  <c r="P252" i="8"/>
  <c r="Q568" i="8"/>
  <c r="P925" i="8"/>
  <c r="O552" i="8"/>
  <c r="O150" i="8"/>
  <c r="O197" i="8"/>
  <c r="P271" i="8"/>
  <c r="Q271" i="8"/>
  <c r="O297" i="8"/>
  <c r="P456" i="8"/>
  <c r="O370" i="8"/>
  <c r="P416" i="8"/>
  <c r="P552" i="8"/>
  <c r="P644" i="8"/>
  <c r="Q860" i="8"/>
  <c r="P898" i="8"/>
  <c r="Q922" i="8"/>
  <c r="Q483" i="8"/>
  <c r="P304" i="8"/>
  <c r="O93" i="8"/>
  <c r="Q370" i="8"/>
  <c r="O419" i="8"/>
  <c r="Q50" i="8"/>
  <c r="O547" i="8"/>
  <c r="Q23" i="8"/>
  <c r="P163" i="8"/>
  <c r="O440" i="8"/>
  <c r="P454" i="8"/>
  <c r="P506" i="8"/>
  <c r="Q886" i="8"/>
  <c r="P903" i="8"/>
  <c r="P929" i="8"/>
  <c r="P51" i="8"/>
  <c r="O157" i="8"/>
  <c r="Q163" i="8"/>
  <c r="P214" i="8"/>
  <c r="O266" i="8"/>
  <c r="P273" i="8"/>
  <c r="P310" i="8"/>
  <c r="P328" i="8"/>
  <c r="Q334" i="8"/>
  <c r="P372" i="8"/>
  <c r="O382" i="8"/>
  <c r="P391" i="8"/>
  <c r="P440" i="8"/>
  <c r="Q498" i="8"/>
  <c r="Q506" i="8"/>
  <c r="P513" i="8"/>
  <c r="P609" i="8"/>
  <c r="Q690" i="8"/>
  <c r="P708" i="8"/>
  <c r="P740" i="8"/>
  <c r="Q802" i="8"/>
  <c r="P846" i="8"/>
  <c r="P856" i="8"/>
  <c r="P897" i="8"/>
  <c r="Q939" i="8"/>
  <c r="O50" i="8"/>
  <c r="P461" i="8"/>
  <c r="O334" i="8"/>
  <c r="Q448" i="8"/>
  <c r="O690" i="8"/>
  <c r="Q747" i="8"/>
  <c r="Q832" i="8"/>
  <c r="Q876" i="8"/>
  <c r="O328" i="8"/>
  <c r="P363" i="8"/>
  <c r="Q731" i="8"/>
  <c r="P766" i="8"/>
  <c r="P793" i="8"/>
  <c r="O856" i="8"/>
  <c r="Q15" i="8"/>
  <c r="Q51" i="8"/>
  <c r="O61" i="8"/>
  <c r="O99" i="8"/>
  <c r="P157" i="8"/>
  <c r="Q203" i="8"/>
  <c r="O233" i="8"/>
  <c r="O259" i="8"/>
  <c r="P266" i="8"/>
  <c r="Q285" i="8"/>
  <c r="Q310" i="8"/>
  <c r="P320" i="8"/>
  <c r="O364" i="8"/>
  <c r="P382" i="8"/>
  <c r="Q391" i="8"/>
  <c r="O450" i="8"/>
  <c r="O464" i="8"/>
  <c r="P557" i="8"/>
  <c r="Q609" i="8"/>
  <c r="O649" i="8"/>
  <c r="O656" i="8"/>
  <c r="Q664" i="8"/>
  <c r="P700" i="8"/>
  <c r="Q708" i="8"/>
  <c r="Q740" i="8"/>
  <c r="Q767" i="8"/>
  <c r="O776" i="8"/>
  <c r="Q795" i="8"/>
  <c r="Q846" i="8"/>
  <c r="Q897" i="8"/>
  <c r="O23" i="8"/>
  <c r="P96" i="8"/>
  <c r="O170" i="8"/>
  <c r="Q89" i="8"/>
  <c r="Q128" i="8"/>
  <c r="P469" i="8"/>
  <c r="O498" i="8"/>
  <c r="P547" i="8"/>
  <c r="Q923" i="8"/>
  <c r="P464" i="8"/>
  <c r="Q557" i="8"/>
  <c r="Q700" i="8"/>
  <c r="Q230" i="8"/>
  <c r="Q398" i="8"/>
  <c r="Q40" i="8"/>
  <c r="Q170" i="8"/>
  <c r="P318" i="8"/>
  <c r="Q138" i="8"/>
  <c r="Q26" i="8"/>
  <c r="O35" i="8"/>
  <c r="Q132" i="8"/>
  <c r="P158" i="8"/>
  <c r="Q205" i="8"/>
  <c r="Q226" i="8"/>
  <c r="Q276" i="8"/>
  <c r="P286" i="8"/>
  <c r="O322" i="8"/>
  <c r="O331" i="8"/>
  <c r="P336" i="8"/>
  <c r="P492" i="8"/>
  <c r="Q508" i="8"/>
  <c r="Q523" i="8"/>
  <c r="Q558" i="8"/>
  <c r="Q575" i="8"/>
  <c r="P658" i="8"/>
  <c r="P666" i="8"/>
  <c r="P686" i="8"/>
  <c r="O769" i="8"/>
  <c r="P789" i="8"/>
  <c r="Q797" i="8"/>
  <c r="P806" i="8"/>
  <c r="Q881" i="8"/>
  <c r="Q898" i="8"/>
  <c r="Q926" i="8"/>
  <c r="Q380" i="8"/>
  <c r="Q653" i="8"/>
  <c r="Q895" i="8"/>
  <c r="Q29" i="8"/>
  <c r="O469" i="8"/>
  <c r="Q537" i="8"/>
  <c r="O793" i="8"/>
  <c r="P322" i="8"/>
  <c r="P331" i="8"/>
  <c r="Q666" i="8"/>
  <c r="P769" i="8"/>
  <c r="Q806" i="8"/>
  <c r="Q340" i="8"/>
  <c r="P747" i="8"/>
  <c r="O929" i="8"/>
  <c r="P27" i="8"/>
  <c r="Q143" i="8"/>
  <c r="Q168" i="8"/>
  <c r="O177" i="8"/>
  <c r="Q247" i="8"/>
  <c r="O277" i="8"/>
  <c r="O349" i="8"/>
  <c r="P358" i="8"/>
  <c r="P396" i="8"/>
  <c r="P425" i="8"/>
  <c r="P485" i="8"/>
  <c r="Q503" i="8"/>
  <c r="O559" i="8"/>
  <c r="P606" i="8"/>
  <c r="O659" i="8"/>
  <c r="P687" i="8"/>
  <c r="O736" i="8"/>
  <c r="O829" i="8"/>
  <c r="P900" i="8"/>
  <c r="Q909" i="8"/>
  <c r="P927" i="8"/>
  <c r="O936" i="8"/>
  <c r="P706" i="8"/>
  <c r="P419" i="8"/>
  <c r="Q555" i="8"/>
  <c r="Q27" i="8"/>
  <c r="Q56" i="8"/>
  <c r="O77" i="8"/>
  <c r="Q153" i="8"/>
  <c r="P236" i="8"/>
  <c r="Q298" i="8"/>
  <c r="P349" i="8"/>
  <c r="Q407" i="8"/>
  <c r="Q436" i="8"/>
  <c r="P468" i="8"/>
  <c r="P510" i="8"/>
  <c r="Q525" i="8"/>
  <c r="P559" i="8"/>
  <c r="Q606" i="8"/>
  <c r="O652" i="8"/>
  <c r="P659" i="8"/>
  <c r="O697" i="8"/>
  <c r="P705" i="8"/>
  <c r="Q791" i="8"/>
  <c r="O799" i="8"/>
  <c r="Q900" i="8"/>
  <c r="Q927" i="8"/>
  <c r="P134" i="8"/>
  <c r="Q134" i="8"/>
  <c r="O134" i="8"/>
  <c r="Q442" i="8"/>
  <c r="P442" i="8"/>
  <c r="O442" i="8"/>
  <c r="O194" i="8"/>
  <c r="P570" i="8"/>
  <c r="O570" i="8"/>
  <c r="Q570" i="8"/>
  <c r="Q514" i="8"/>
  <c r="O521" i="8"/>
  <c r="P521" i="8"/>
  <c r="Q521" i="8"/>
  <c r="Q778" i="8"/>
  <c r="P778" i="8"/>
  <c r="O65" i="8"/>
  <c r="P65" i="8"/>
  <c r="O186" i="8"/>
  <c r="Q256" i="8"/>
  <c r="P256" i="8"/>
  <c r="Q306" i="8"/>
  <c r="P306" i="8"/>
  <c r="P459" i="8"/>
  <c r="P583" i="8"/>
  <c r="Q583" i="8"/>
  <c r="O583" i="8"/>
  <c r="Q745" i="8"/>
  <c r="P745" i="8"/>
  <c r="O745" i="8"/>
  <c r="O778" i="8"/>
  <c r="Q839" i="8"/>
  <c r="P839" i="8"/>
  <c r="O839" i="8"/>
  <c r="Q917" i="8"/>
  <c r="P114" i="8"/>
  <c r="Q114" i="8"/>
  <c r="O514" i="8"/>
  <c r="P66" i="8"/>
  <c r="Q66" i="8"/>
  <c r="O66" i="8"/>
  <c r="P178" i="8"/>
  <c r="Q249" i="8"/>
  <c r="O249" i="8"/>
  <c r="Q282" i="8"/>
  <c r="P282" i="8"/>
  <c r="Q364" i="8"/>
  <c r="P428" i="8"/>
  <c r="Q428" i="8"/>
  <c r="O585" i="8"/>
  <c r="Q585" i="8"/>
  <c r="Q654" i="8"/>
  <c r="O654" i="8"/>
  <c r="P208" i="8"/>
  <c r="Q208" i="8"/>
  <c r="O692" i="8"/>
  <c r="Q692" i="8"/>
  <c r="P692" i="8"/>
  <c r="O114" i="8"/>
  <c r="Q164" i="8"/>
  <c r="Q173" i="8"/>
  <c r="P173" i="8"/>
  <c r="O173" i="8"/>
  <c r="Q350" i="8"/>
  <c r="O350" i="8"/>
  <c r="P378" i="8"/>
  <c r="Q378" i="8"/>
  <c r="O536" i="8"/>
  <c r="P536" i="8"/>
  <c r="Q536" i="8"/>
  <c r="O811" i="8"/>
  <c r="Q811" i="8"/>
  <c r="O877" i="8"/>
  <c r="Q877" i="8"/>
  <c r="O17" i="8"/>
  <c r="P17" i="8"/>
  <c r="Q17" i="8"/>
  <c r="P104" i="8"/>
  <c r="O200" i="8"/>
  <c r="P200" i="8"/>
  <c r="P227" i="8"/>
  <c r="Q260" i="8"/>
  <c r="O260" i="8"/>
  <c r="P877" i="8"/>
  <c r="Q465" i="8"/>
  <c r="P465" i="8"/>
  <c r="Q803" i="8"/>
  <c r="O803" i="8"/>
  <c r="P803" i="8"/>
  <c r="Q74" i="8"/>
  <c r="O74" i="8"/>
  <c r="Q160" i="8"/>
  <c r="P160" i="8"/>
  <c r="P194" i="8"/>
  <c r="P329" i="8"/>
  <c r="O342" i="8"/>
  <c r="O465" i="8"/>
  <c r="P608" i="8"/>
  <c r="Q608" i="8"/>
  <c r="O847" i="8"/>
  <c r="P847" i="8"/>
  <c r="Q847" i="8"/>
  <c r="O37" i="8"/>
  <c r="Q37" i="8"/>
  <c r="O127" i="8"/>
  <c r="P127" i="8"/>
  <c r="Q127" i="8"/>
  <c r="O145" i="8"/>
  <c r="P154" i="8"/>
  <c r="Q154" i="8"/>
  <c r="Q335" i="8"/>
  <c r="O335" i="8"/>
  <c r="Q371" i="8"/>
  <c r="O371" i="8"/>
  <c r="P371" i="8"/>
  <c r="Q186" i="8"/>
  <c r="Q222" i="8"/>
  <c r="O222" i="8"/>
  <c r="P222" i="8"/>
  <c r="Q323" i="8"/>
  <c r="P323" i="8"/>
  <c r="Q401" i="8"/>
  <c r="O401" i="8"/>
  <c r="O460" i="8"/>
  <c r="P460" i="8"/>
  <c r="Q460" i="8"/>
  <c r="O509" i="8"/>
  <c r="P509" i="8"/>
  <c r="Q509" i="8"/>
  <c r="P549" i="8"/>
  <c r="O549" i="8"/>
  <c r="Q58" i="8"/>
  <c r="O58" i="8"/>
  <c r="O121" i="8"/>
  <c r="O140" i="8"/>
  <c r="Q140" i="8"/>
  <c r="P140" i="8"/>
  <c r="O282" i="8"/>
  <c r="O413" i="8"/>
  <c r="P496" i="8"/>
  <c r="Q496" i="8"/>
  <c r="P504" i="8"/>
  <c r="O504" i="8"/>
  <c r="Q504" i="8"/>
  <c r="O160" i="8"/>
  <c r="Q329" i="8"/>
  <c r="P58" i="8"/>
  <c r="P88" i="8"/>
  <c r="Q88" i="8"/>
  <c r="O88" i="8"/>
  <c r="P121" i="8"/>
  <c r="P240" i="8"/>
  <c r="O273" i="8"/>
  <c r="O318" i="8"/>
  <c r="O357" i="8"/>
  <c r="P413" i="8"/>
  <c r="O488" i="8"/>
  <c r="Q488" i="8"/>
  <c r="O496" i="8"/>
  <c r="P543" i="8"/>
  <c r="Q543" i="8"/>
  <c r="O543" i="8"/>
  <c r="O831" i="8"/>
  <c r="Q831" i="8"/>
  <c r="P831" i="8"/>
  <c r="P894" i="8"/>
  <c r="Q894" i="8"/>
  <c r="O894" i="8"/>
  <c r="O104" i="8"/>
  <c r="Q200" i="8"/>
  <c r="P520" i="8"/>
  <c r="Q520" i="8"/>
  <c r="Q562" i="8"/>
  <c r="P562" i="8"/>
  <c r="Q78" i="8"/>
  <c r="P241" i="8"/>
  <c r="Q241" i="8"/>
  <c r="Q455" i="8"/>
  <c r="O455" i="8"/>
  <c r="P455" i="8"/>
  <c r="P534" i="8"/>
  <c r="O534" i="8"/>
  <c r="Q534" i="8"/>
  <c r="O47" i="8"/>
  <c r="O211" i="8"/>
  <c r="O394" i="8"/>
  <c r="P394" i="8"/>
  <c r="O408" i="8"/>
  <c r="P550" i="8"/>
  <c r="O550" i="8"/>
  <c r="Q550" i="8"/>
  <c r="O571" i="8"/>
  <c r="Q571" i="8"/>
  <c r="Q655" i="8"/>
  <c r="P655" i="8"/>
  <c r="O842" i="8"/>
  <c r="O932" i="8"/>
  <c r="P47" i="8"/>
  <c r="Q217" i="8"/>
  <c r="Q307" i="8"/>
  <c r="P359" i="8"/>
  <c r="O387" i="8"/>
  <c r="P466" i="8"/>
  <c r="P571" i="8"/>
  <c r="O603" i="8"/>
  <c r="O655" i="8"/>
  <c r="Q932" i="8"/>
  <c r="P60" i="8"/>
  <c r="O75" i="8"/>
  <c r="O101" i="8"/>
  <c r="P211" i="8"/>
  <c r="P229" i="8"/>
  <c r="Q274" i="8"/>
  <c r="Q300" i="8"/>
  <c r="O312" i="8"/>
  <c r="Q312" i="8"/>
  <c r="Q351" i="8"/>
  <c r="P366" i="8"/>
  <c r="P403" i="8"/>
  <c r="O429" i="8"/>
  <c r="P564" i="8"/>
  <c r="Q564" i="8"/>
  <c r="P774" i="8"/>
  <c r="O779" i="8"/>
  <c r="Q779" i="8"/>
  <c r="P779" i="8"/>
  <c r="P842" i="8"/>
  <c r="P888" i="8"/>
  <c r="Q52" i="8"/>
  <c r="Q75" i="8"/>
  <c r="P89" i="8"/>
  <c r="O96" i="8"/>
  <c r="P101" i="8"/>
  <c r="P117" i="8"/>
  <c r="Q117" i="8"/>
  <c r="Q174" i="8"/>
  <c r="O181" i="8"/>
  <c r="Q190" i="8"/>
  <c r="P223" i="8"/>
  <c r="P245" i="8"/>
  <c r="P257" i="8"/>
  <c r="Q262" i="8"/>
  <c r="Q270" i="8"/>
  <c r="O284" i="8"/>
  <c r="Q293" i="8"/>
  <c r="O293" i="8"/>
  <c r="O320" i="8"/>
  <c r="P325" i="8"/>
  <c r="Q366" i="8"/>
  <c r="O372" i="8"/>
  <c r="O380" i="8"/>
  <c r="Q403" i="8"/>
  <c r="O423" i="8"/>
  <c r="P429" i="8"/>
  <c r="P444" i="8"/>
  <c r="O456" i="8"/>
  <c r="O461" i="8"/>
  <c r="Q466" i="8"/>
  <c r="Q518" i="8"/>
  <c r="P518" i="8"/>
  <c r="P531" i="8"/>
  <c r="P537" i="8"/>
  <c r="P544" i="8"/>
  <c r="O558" i="8"/>
  <c r="Q578" i="8"/>
  <c r="P603" i="8"/>
  <c r="O687" i="8"/>
  <c r="P731" i="8"/>
  <c r="P767" i="8"/>
  <c r="Q774" i="8"/>
  <c r="O870" i="8"/>
  <c r="Q870" i="8"/>
  <c r="Q888" i="8"/>
  <c r="O903" i="8"/>
  <c r="O912" i="8"/>
  <c r="Q912" i="8"/>
  <c r="O24" i="8"/>
  <c r="Q24" i="8"/>
  <c r="P529" i="8"/>
  <c r="Q529" i="8"/>
  <c r="O529" i="8"/>
  <c r="P939" i="8"/>
  <c r="P195" i="8"/>
  <c r="Q414" i="8"/>
  <c r="O49" i="8"/>
  <c r="Q84" i="8"/>
  <c r="O219" i="8"/>
  <c r="O309" i="8"/>
  <c r="P314" i="8"/>
  <c r="O348" i="8"/>
  <c r="O361" i="8"/>
  <c r="Q367" i="8"/>
  <c r="O397" i="8"/>
  <c r="O404" i="8"/>
  <c r="O445" i="8"/>
  <c r="P532" i="8"/>
  <c r="Q532" i="8"/>
  <c r="P567" i="8"/>
  <c r="Q567" i="8"/>
  <c r="O567" i="8"/>
  <c r="O605" i="8"/>
  <c r="Q605" i="8"/>
  <c r="O682" i="8"/>
  <c r="Q688" i="8"/>
  <c r="P688" i="8"/>
  <c r="O688" i="8"/>
  <c r="O704" i="8"/>
  <c r="P14" i="8"/>
  <c r="Q21" i="8"/>
  <c r="Q34" i="8"/>
  <c r="P49" i="8"/>
  <c r="O70" i="8"/>
  <c r="Q76" i="8"/>
  <c r="P97" i="8"/>
  <c r="Q97" i="8"/>
  <c r="Q118" i="8"/>
  <c r="P124" i="8"/>
  <c r="Q130" i="8"/>
  <c r="P137" i="8"/>
  <c r="P176" i="8"/>
  <c r="Q191" i="8"/>
  <c r="Q224" i="8"/>
  <c r="P231" i="8"/>
  <c r="Q237" i="8"/>
  <c r="P237" i="8"/>
  <c r="Q258" i="8"/>
  <c r="P309" i="8"/>
  <c r="Q321" i="8"/>
  <c r="P348" i="8"/>
  <c r="P361" i="8"/>
  <c r="Q373" i="8"/>
  <c r="P373" i="8"/>
  <c r="Q390" i="8"/>
  <c r="P397" i="8"/>
  <c r="P404" i="8"/>
  <c r="O411" i="8"/>
  <c r="O431" i="8"/>
  <c r="P445" i="8"/>
  <c r="O457" i="8"/>
  <c r="Q457" i="8"/>
  <c r="P457" i="8"/>
  <c r="P501" i="8"/>
  <c r="O532" i="8"/>
  <c r="P554" i="8"/>
  <c r="O554" i="8"/>
  <c r="O574" i="8"/>
  <c r="O581" i="8"/>
  <c r="P605" i="8"/>
  <c r="P665" i="8"/>
  <c r="P682" i="8"/>
  <c r="P704" i="8"/>
  <c r="Q835" i="8"/>
  <c r="P179" i="8"/>
  <c r="Q179" i="8"/>
  <c r="Q344" i="8"/>
  <c r="P344" i="8"/>
  <c r="Q919" i="8"/>
  <c r="P919" i="8"/>
  <c r="P38" i="8"/>
  <c r="O122" i="8"/>
  <c r="Q122" i="8"/>
  <c r="Q166" i="8"/>
  <c r="O217" i="8"/>
  <c r="O234" i="8"/>
  <c r="Q435" i="8"/>
  <c r="P435" i="8"/>
  <c r="O435" i="8"/>
  <c r="Q263" i="8"/>
  <c r="P263" i="8"/>
  <c r="O889" i="8"/>
  <c r="Q889" i="8"/>
  <c r="P889" i="8"/>
  <c r="O124" i="8"/>
  <c r="O137" i="8"/>
  <c r="O191" i="8"/>
  <c r="Q213" i="8"/>
  <c r="P224" i="8"/>
  <c r="Q246" i="8"/>
  <c r="O258" i="8"/>
  <c r="Q381" i="8"/>
  <c r="O381" i="8"/>
  <c r="Q14" i="8"/>
  <c r="P70" i="8"/>
  <c r="Q176" i="8"/>
  <c r="P411" i="8"/>
  <c r="P431" i="8"/>
  <c r="P453" i="8"/>
  <c r="Q453" i="8"/>
  <c r="Q501" i="8"/>
  <c r="P574" i="8"/>
  <c r="Q581" i="8"/>
  <c r="O818" i="8"/>
  <c r="Q818" i="8"/>
  <c r="P818" i="8"/>
  <c r="Q883" i="8"/>
  <c r="P883" i="8"/>
  <c r="O30" i="8"/>
  <c r="P30" i="8"/>
  <c r="P24" i="8"/>
  <c r="Q201" i="8"/>
  <c r="O311" i="8"/>
  <c r="P351" i="8"/>
  <c r="O102" i="8"/>
  <c r="Q102" i="8"/>
  <c r="O650" i="8"/>
  <c r="Q650" i="8"/>
  <c r="Q710" i="8"/>
  <c r="P710" i="8"/>
  <c r="P21" i="8"/>
  <c r="P34" i="8"/>
  <c r="P76" i="8"/>
  <c r="O118" i="8"/>
  <c r="P142" i="8"/>
  <c r="O215" i="8"/>
  <c r="P215" i="8"/>
  <c r="Q405" i="8"/>
  <c r="P405" i="8"/>
  <c r="O560" i="8"/>
  <c r="Q560" i="8"/>
  <c r="P923" i="8"/>
  <c r="O389" i="8"/>
  <c r="P389" i="8"/>
  <c r="O396" i="8"/>
  <c r="P402" i="8"/>
  <c r="O407" i="8"/>
  <c r="O425" i="8"/>
  <c r="Q430" i="8"/>
  <c r="O454" i="8"/>
  <c r="P483" i="8"/>
  <c r="P503" i="8"/>
  <c r="O513" i="8"/>
  <c r="O541" i="8"/>
  <c r="P546" i="8"/>
  <c r="O561" i="8"/>
  <c r="Q577" i="8"/>
  <c r="P662" i="8"/>
  <c r="P703" i="8"/>
  <c r="O766" i="8"/>
  <c r="Q777" i="8"/>
  <c r="P791" i="8"/>
  <c r="P797" i="8"/>
  <c r="P802" i="8"/>
  <c r="Q807" i="8"/>
  <c r="Q820" i="8"/>
  <c r="Q834" i="8"/>
  <c r="Q840" i="8"/>
  <c r="P881" i="8"/>
  <c r="P886" i="8"/>
  <c r="Q891" i="8"/>
  <c r="P926" i="8"/>
  <c r="Q937" i="8"/>
  <c r="O647" i="8"/>
  <c r="P880" i="8"/>
  <c r="P913" i="8"/>
  <c r="P647" i="8"/>
  <c r="O707" i="8"/>
  <c r="O711" i="8"/>
  <c r="P728" i="8"/>
  <c r="P765" i="8"/>
  <c r="Q789" i="8"/>
  <c r="P796" i="8"/>
  <c r="P819" i="8"/>
  <c r="O833" i="8"/>
  <c r="P845" i="8"/>
  <c r="Q851" i="8"/>
  <c r="O872" i="8"/>
  <c r="Q880" i="8"/>
  <c r="Q925" i="8"/>
  <c r="P652" i="8"/>
  <c r="P656" i="8"/>
  <c r="O685" i="8"/>
  <c r="O689" i="8"/>
  <c r="P707" i="8"/>
  <c r="P711" i="8"/>
  <c r="Q728" i="8"/>
  <c r="Q765" i="8"/>
  <c r="Q796" i="8"/>
  <c r="O807" i="8"/>
  <c r="P828" i="8"/>
  <c r="P833" i="8"/>
  <c r="O840" i="8"/>
  <c r="Q845" i="8"/>
  <c r="P859" i="8"/>
  <c r="P867" i="8"/>
  <c r="P872" i="8"/>
  <c r="O891" i="8"/>
  <c r="P901" i="8"/>
  <c r="P908" i="8"/>
  <c r="P930" i="8"/>
  <c r="O430" i="8"/>
  <c r="Q462" i="8"/>
  <c r="O507" i="8"/>
  <c r="P610" i="8"/>
  <c r="O662" i="8"/>
  <c r="Q685" i="8"/>
  <c r="P689" i="8"/>
  <c r="O703" i="8"/>
  <c r="P777" i="8"/>
  <c r="Q781" i="8"/>
  <c r="P820" i="8"/>
  <c r="Q828" i="8"/>
  <c r="Q859" i="8"/>
  <c r="Q867" i="8"/>
  <c r="Q901" i="8"/>
  <c r="Q908" i="8"/>
  <c r="Q915" i="8"/>
  <c r="Q930" i="8"/>
  <c r="P937" i="8"/>
  <c r="Q57" i="8"/>
  <c r="P57" i="8"/>
  <c r="O69" i="8"/>
  <c r="O80" i="8"/>
  <c r="O125" i="8"/>
  <c r="Q133" i="8"/>
  <c r="P133" i="8"/>
  <c r="O133" i="8"/>
  <c r="O16" i="8"/>
  <c r="Q20" i="8"/>
  <c r="Q16" i="8"/>
  <c r="Q13" i="8"/>
  <c r="O31" i="8"/>
  <c r="Q38" i="8"/>
  <c r="O28" i="8"/>
  <c r="P31" i="8"/>
  <c r="O62" i="8"/>
  <c r="P74" i="8"/>
  <c r="O83" i="8"/>
  <c r="O90" i="8"/>
  <c r="O25" i="8"/>
  <c r="P28" i="8"/>
  <c r="O39" i="8"/>
  <c r="Q42" i="8"/>
  <c r="O55" i="8"/>
  <c r="Q62" i="8"/>
  <c r="Q71" i="8"/>
  <c r="P71" i="8"/>
  <c r="P83" i="8"/>
  <c r="O94" i="8"/>
  <c r="O98" i="8"/>
  <c r="Q109" i="8"/>
  <c r="O22" i="8"/>
  <c r="P25" i="8"/>
  <c r="O36" i="8"/>
  <c r="P39" i="8"/>
  <c r="P43" i="8"/>
  <c r="Q43" i="8"/>
  <c r="O43" i="8"/>
  <c r="P55" i="8"/>
  <c r="O59" i="8"/>
  <c r="P67" i="8"/>
  <c r="O71" i="8"/>
  <c r="O87" i="8"/>
  <c r="Q90" i="8"/>
  <c r="Q94" i="8"/>
  <c r="P98" i="8"/>
  <c r="Q115" i="8"/>
  <c r="P119" i="8"/>
  <c r="P131" i="8"/>
  <c r="Q135" i="8"/>
  <c r="P139" i="8"/>
  <c r="Q151" i="8"/>
  <c r="P155" i="8"/>
  <c r="P167" i="8"/>
  <c r="Q171" i="8"/>
  <c r="P175" i="8"/>
  <c r="Q187" i="8"/>
  <c r="P192" i="8"/>
  <c r="P204" i="8"/>
  <c r="Q209" i="8"/>
  <c r="Q254" i="8"/>
  <c r="P254" i="8"/>
  <c r="Q281" i="8"/>
  <c r="P281" i="8"/>
  <c r="P303" i="8"/>
  <c r="Q303" i="8"/>
  <c r="O303" i="8"/>
  <c r="Q352" i="8"/>
  <c r="P352" i="8"/>
  <c r="P490" i="8"/>
  <c r="Q490" i="8"/>
  <c r="O490" i="8"/>
  <c r="O530" i="8"/>
  <c r="P530" i="8"/>
  <c r="Q540" i="8"/>
  <c r="P540" i="8"/>
  <c r="O540" i="8"/>
  <c r="Q569" i="8"/>
  <c r="P569" i="8"/>
  <c r="O569" i="8"/>
  <c r="P743" i="8"/>
  <c r="O743" i="8"/>
  <c r="Q743" i="8"/>
  <c r="O19" i="8"/>
  <c r="P22" i="8"/>
  <c r="O33" i="8"/>
  <c r="P36" i="8"/>
  <c r="Q59" i="8"/>
  <c r="O64" i="8"/>
  <c r="Q67" i="8"/>
  <c r="O79" i="8"/>
  <c r="P87" i="8"/>
  <c r="Q95" i="8"/>
  <c r="P95" i="8"/>
  <c r="O106" i="8"/>
  <c r="O110" i="8"/>
  <c r="Q119" i="8"/>
  <c r="Q131" i="8"/>
  <c r="Q136" i="8"/>
  <c r="P136" i="8"/>
  <c r="O148" i="8"/>
  <c r="Q155" i="8"/>
  <c r="Q167" i="8"/>
  <c r="Q172" i="8"/>
  <c r="P172" i="8"/>
  <c r="O184" i="8"/>
  <c r="Q192" i="8"/>
  <c r="Q204" i="8"/>
  <c r="Q210" i="8"/>
  <c r="P210" i="8"/>
  <c r="P219" i="8"/>
  <c r="Q223" i="8"/>
  <c r="Q227" i="8"/>
  <c r="Q232" i="8"/>
  <c r="P232" i="8"/>
  <c r="O232" i="8"/>
  <c r="O250" i="8"/>
  <c r="O254" i="8"/>
  <c r="O281" i="8"/>
  <c r="O290" i="8"/>
  <c r="O294" i="8"/>
  <c r="Q299" i="8"/>
  <c r="P299" i="8"/>
  <c r="O308" i="8"/>
  <c r="P311" i="8"/>
  <c r="O316" i="8"/>
  <c r="Q325" i="8"/>
  <c r="Q341" i="8"/>
  <c r="O341" i="8"/>
  <c r="O352" i="8"/>
  <c r="Q363" i="8"/>
  <c r="O379" i="8"/>
  <c r="P385" i="8"/>
  <c r="O385" i="8"/>
  <c r="Q491" i="8"/>
  <c r="P491" i="8"/>
  <c r="O491" i="8"/>
  <c r="Q497" i="8"/>
  <c r="O497" i="8"/>
  <c r="Q524" i="8"/>
  <c r="P524" i="8"/>
  <c r="O524" i="8"/>
  <c r="Q530" i="8"/>
  <c r="O545" i="8"/>
  <c r="Q549" i="8"/>
  <c r="O580" i="8"/>
  <c r="O15" i="8"/>
  <c r="P19" i="8"/>
  <c r="O29" i="8"/>
  <c r="P33" i="8"/>
  <c r="O44" i="8"/>
  <c r="O52" i="8"/>
  <c r="P64" i="8"/>
  <c r="P68" i="8"/>
  <c r="O68" i="8"/>
  <c r="O72" i="8"/>
  <c r="P79" i="8"/>
  <c r="O84" i="8"/>
  <c r="O91" i="8"/>
  <c r="O95" i="8"/>
  <c r="Q106" i="8"/>
  <c r="P110" i="8"/>
  <c r="O116" i="8"/>
  <c r="O128" i="8"/>
  <c r="O136" i="8"/>
  <c r="O144" i="8"/>
  <c r="P148" i="8"/>
  <c r="O152" i="8"/>
  <c r="O164" i="8"/>
  <c r="O172" i="8"/>
  <c r="O180" i="8"/>
  <c r="P184" i="8"/>
  <c r="O189" i="8"/>
  <c r="O201" i="8"/>
  <c r="O210" i="8"/>
  <c r="Q228" i="8"/>
  <c r="P228" i="8"/>
  <c r="O241" i="8"/>
  <c r="O247" i="8"/>
  <c r="P250" i="8"/>
  <c r="Q255" i="8"/>
  <c r="P255" i="8"/>
  <c r="O255" i="8"/>
  <c r="O267" i="8"/>
  <c r="O275" i="8"/>
  <c r="P290" i="8"/>
  <c r="P294" i="8"/>
  <c r="O299" i="8"/>
  <c r="P308" i="8"/>
  <c r="Q316" i="8"/>
  <c r="P341" i="8"/>
  <c r="P353" i="8"/>
  <c r="O353" i="8"/>
  <c r="Q369" i="8"/>
  <c r="P369" i="8"/>
  <c r="O369" i="8"/>
  <c r="P379" i="8"/>
  <c r="Q385" i="8"/>
  <c r="O428" i="8"/>
  <c r="Q438" i="8"/>
  <c r="P438" i="8"/>
  <c r="O438" i="8"/>
  <c r="P497" i="8"/>
  <c r="Q515" i="8"/>
  <c r="P515" i="8"/>
  <c r="Q545" i="8"/>
  <c r="O565" i="8"/>
  <c r="Q580" i="8"/>
  <c r="Q607" i="8"/>
  <c r="P607" i="8"/>
  <c r="P773" i="8"/>
  <c r="Q773" i="8"/>
  <c r="O773" i="8"/>
  <c r="O56" i="8"/>
  <c r="O60" i="8"/>
  <c r="Q68" i="8"/>
  <c r="Q72" i="8"/>
  <c r="Q91" i="8"/>
  <c r="P116" i="8"/>
  <c r="O132" i="8"/>
  <c r="Q144" i="8"/>
  <c r="P152" i="8"/>
  <c r="O168" i="8"/>
  <c r="Q180" i="8"/>
  <c r="P189" i="8"/>
  <c r="O205" i="8"/>
  <c r="O228" i="8"/>
  <c r="O237" i="8"/>
  <c r="O263" i="8"/>
  <c r="P267" i="8"/>
  <c r="P275" i="8"/>
  <c r="P312" i="8"/>
  <c r="Q317" i="8"/>
  <c r="P317" i="8"/>
  <c r="O317" i="8"/>
  <c r="Q353" i="8"/>
  <c r="O359" i="8"/>
  <c r="Q432" i="8"/>
  <c r="P432" i="8"/>
  <c r="O444" i="8"/>
  <c r="Q470" i="8"/>
  <c r="P470" i="8"/>
  <c r="O485" i="8"/>
  <c r="O515" i="8"/>
  <c r="O525" i="8"/>
  <c r="P535" i="8"/>
  <c r="O535" i="8"/>
  <c r="Q535" i="8"/>
  <c r="P565" i="8"/>
  <c r="O607" i="8"/>
  <c r="Q792" i="8"/>
  <c r="P792" i="8"/>
  <c r="O792" i="8"/>
  <c r="Q855" i="8"/>
  <c r="P855" i="8"/>
  <c r="O855" i="8"/>
  <c r="P92" i="8"/>
  <c r="O92" i="8"/>
  <c r="Q111" i="8"/>
  <c r="P111" i="8"/>
  <c r="Q149" i="8"/>
  <c r="P149" i="8"/>
  <c r="Q185" i="8"/>
  <c r="P185" i="8"/>
  <c r="Q216" i="8"/>
  <c r="P216" i="8"/>
  <c r="Q251" i="8"/>
  <c r="O251" i="8"/>
  <c r="P251" i="8"/>
  <c r="Q295" i="8"/>
  <c r="P295" i="8"/>
  <c r="O295" i="8"/>
  <c r="Q332" i="8"/>
  <c r="P332" i="8"/>
  <c r="O332" i="8"/>
  <c r="Q418" i="8"/>
  <c r="P418" i="8"/>
  <c r="O418" i="8"/>
  <c r="O516" i="8"/>
  <c r="Q516" i="8"/>
  <c r="P516" i="8"/>
  <c r="P542" i="8"/>
  <c r="O542" i="8"/>
  <c r="Q869" i="8"/>
  <c r="P869" i="8"/>
  <c r="O869" i="8"/>
  <c r="O149" i="8"/>
  <c r="Q169" i="8"/>
  <c r="P169" i="8"/>
  <c r="O169" i="8"/>
  <c r="O198" i="8"/>
  <c r="Q207" i="8"/>
  <c r="P207" i="8"/>
  <c r="O207" i="8"/>
  <c r="Q242" i="8"/>
  <c r="P242" i="8"/>
  <c r="O268" i="8"/>
  <c r="Q272" i="8"/>
  <c r="P272" i="8"/>
  <c r="O272" i="8"/>
  <c r="O291" i="8"/>
  <c r="Q305" i="8"/>
  <c r="O305" i="8"/>
  <c r="O313" i="8"/>
  <c r="Q313" i="8"/>
  <c r="O337" i="8"/>
  <c r="Q337" i="8"/>
  <c r="P360" i="8"/>
  <c r="O360" i="8"/>
  <c r="O424" i="8"/>
  <c r="Q433" i="8"/>
  <c r="P433" i="8"/>
  <c r="O433" i="8"/>
  <c r="Q467" i="8"/>
  <c r="O467" i="8"/>
  <c r="O486" i="8"/>
  <c r="Q486" i="8"/>
  <c r="P486" i="8"/>
  <c r="P493" i="8"/>
  <c r="Q493" i="8"/>
  <c r="P511" i="8"/>
  <c r="Q511" i="8"/>
  <c r="P517" i="8"/>
  <c r="Q517" i="8"/>
  <c r="O517" i="8"/>
  <c r="P526" i="8"/>
  <c r="Q526" i="8"/>
  <c r="O526" i="8"/>
  <c r="O41" i="8"/>
  <c r="P20" i="8"/>
  <c r="P41" i="8"/>
  <c r="O45" i="8"/>
  <c r="O53" i="8"/>
  <c r="O57" i="8"/>
  <c r="Q69" i="8"/>
  <c r="P73" i="8"/>
  <c r="P80" i="8"/>
  <c r="O100" i="8"/>
  <c r="P125" i="8"/>
  <c r="O129" i="8"/>
  <c r="Q141" i="8"/>
  <c r="P145" i="8"/>
  <c r="P161" i="8"/>
  <c r="O165" i="8"/>
  <c r="Q177" i="8"/>
  <c r="P181" i="8"/>
  <c r="P198" i="8"/>
  <c r="O202" i="8"/>
  <c r="Q221" i="8"/>
  <c r="P221" i="8"/>
  <c r="O238" i="8"/>
  <c r="O242" i="8"/>
  <c r="O264" i="8"/>
  <c r="P268" i="8"/>
  <c r="O283" i="8"/>
  <c r="O287" i="8"/>
  <c r="P291" i="8"/>
  <c r="O301" i="8"/>
  <c r="P305" i="8"/>
  <c r="P313" i="8"/>
  <c r="O333" i="8"/>
  <c r="P337" i="8"/>
  <c r="O355" i="8"/>
  <c r="Q360" i="8"/>
  <c r="Q365" i="8"/>
  <c r="O365" i="8"/>
  <c r="P365" i="8"/>
  <c r="Q374" i="8"/>
  <c r="O374" i="8"/>
  <c r="P387" i="8"/>
  <c r="Q392" i="8"/>
  <c r="P392" i="8"/>
  <c r="O392" i="8"/>
  <c r="Q408" i="8"/>
  <c r="Q424" i="8"/>
  <c r="O434" i="8"/>
  <c r="Q434" i="8"/>
  <c r="P434" i="8"/>
  <c r="O463" i="8"/>
  <c r="P467" i="8"/>
  <c r="O471" i="8"/>
  <c r="P487" i="8"/>
  <c r="Q487" i="8"/>
  <c r="O487" i="8"/>
  <c r="O493" i="8"/>
  <c r="P507" i="8"/>
  <c r="O511" i="8"/>
  <c r="P527" i="8"/>
  <c r="O527" i="8"/>
  <c r="P551" i="8"/>
  <c r="Q551" i="8"/>
  <c r="O551" i="8"/>
  <c r="Q561" i="8"/>
  <c r="Q604" i="8"/>
  <c r="P604" i="8"/>
  <c r="O604" i="8"/>
  <c r="O739" i="8"/>
  <c r="Q739" i="8"/>
  <c r="P739" i="8"/>
  <c r="P763" i="8"/>
  <c r="Q763" i="8"/>
  <c r="O763" i="8"/>
  <c r="P45" i="8"/>
  <c r="Q53" i="8"/>
  <c r="Q73" i="8"/>
  <c r="Q100" i="8"/>
  <c r="Q108" i="8"/>
  <c r="P108" i="8"/>
  <c r="Q129" i="8"/>
  <c r="Q165" i="8"/>
  <c r="Q202" i="8"/>
  <c r="O208" i="8"/>
  <c r="O230" i="8"/>
  <c r="P238" i="8"/>
  <c r="Q264" i="8"/>
  <c r="P283" i="8"/>
  <c r="P287" i="8"/>
  <c r="P301" i="8"/>
  <c r="P333" i="8"/>
  <c r="P338" i="8"/>
  <c r="O338" i="8"/>
  <c r="P355" i="8"/>
  <c r="P374" i="8"/>
  <c r="O388" i="8"/>
  <c r="P388" i="8"/>
  <c r="Q393" i="8"/>
  <c r="P393" i="8"/>
  <c r="O393" i="8"/>
  <c r="Q399" i="8"/>
  <c r="P399" i="8"/>
  <c r="Q441" i="8"/>
  <c r="O441" i="8"/>
  <c r="P463" i="8"/>
  <c r="Q471" i="8"/>
  <c r="P494" i="8"/>
  <c r="O494" i="8"/>
  <c r="P512" i="8"/>
  <c r="Q512" i="8"/>
  <c r="O512" i="8"/>
  <c r="Q527" i="8"/>
  <c r="Q572" i="8"/>
  <c r="P572" i="8"/>
  <c r="Q582" i="8"/>
  <c r="P582" i="8"/>
  <c r="O582" i="8"/>
  <c r="Q865" i="8"/>
  <c r="P865" i="8"/>
  <c r="O865" i="8"/>
  <c r="P54" i="8"/>
  <c r="O54" i="8"/>
  <c r="P82" i="8"/>
  <c r="Q82" i="8"/>
  <c r="O82" i="8"/>
  <c r="O97" i="8"/>
  <c r="O108" i="8"/>
  <c r="P126" i="8"/>
  <c r="Q126" i="8"/>
  <c r="O138" i="8"/>
  <c r="O142" i="8"/>
  <c r="Q146" i="8"/>
  <c r="P146" i="8"/>
  <c r="O146" i="8"/>
  <c r="O158" i="8"/>
  <c r="P162" i="8"/>
  <c r="Q162" i="8"/>
  <c r="O174" i="8"/>
  <c r="O178" i="8"/>
  <c r="Q182" i="8"/>
  <c r="P182" i="8"/>
  <c r="O182" i="8"/>
  <c r="O195" i="8"/>
  <c r="P199" i="8"/>
  <c r="Q199" i="8"/>
  <c r="O213" i="8"/>
  <c r="O226" i="8"/>
  <c r="P234" i="8"/>
  <c r="O257" i="8"/>
  <c r="P260" i="8"/>
  <c r="Q265" i="8"/>
  <c r="P265" i="8"/>
  <c r="Q277" i="8"/>
  <c r="O306" i="8"/>
  <c r="Q319" i="8"/>
  <c r="O319" i="8"/>
  <c r="Q338" i="8"/>
  <c r="O345" i="8"/>
  <c r="Q356" i="8"/>
  <c r="O356" i="8"/>
  <c r="Q388" i="8"/>
  <c r="O399" i="8"/>
  <c r="O420" i="8"/>
  <c r="Q420" i="8"/>
  <c r="P441" i="8"/>
  <c r="Q447" i="8"/>
  <c r="P447" i="8"/>
  <c r="O447" i="8"/>
  <c r="Q459" i="8"/>
  <c r="Q494" i="8"/>
  <c r="O500" i="8"/>
  <c r="O522" i="8"/>
  <c r="Q522" i="8"/>
  <c r="O572" i="8"/>
  <c r="Q849" i="8"/>
  <c r="O849" i="8"/>
  <c r="P849" i="8"/>
  <c r="P85" i="8"/>
  <c r="Q85" i="8"/>
  <c r="O13" i="8"/>
  <c r="O42" i="8"/>
  <c r="Q235" i="8"/>
  <c r="P235" i="8"/>
  <c r="Q288" i="8"/>
  <c r="P288" i="8"/>
  <c r="O288" i="8"/>
  <c r="Q324" i="8"/>
  <c r="P324" i="8"/>
  <c r="O324" i="8"/>
  <c r="P345" i="8"/>
  <c r="Q400" i="8"/>
  <c r="O400" i="8"/>
  <c r="Q410" i="8"/>
  <c r="P410" i="8"/>
  <c r="O410" i="8"/>
  <c r="P500" i="8"/>
  <c r="O533" i="8"/>
  <c r="Q694" i="8"/>
  <c r="P694" i="8"/>
  <c r="O694" i="8"/>
  <c r="Q826" i="8"/>
  <c r="P826" i="8"/>
  <c r="O826" i="8"/>
  <c r="P884" i="8"/>
  <c r="Q884" i="8"/>
  <c r="O884" i="8"/>
  <c r="P46" i="8"/>
  <c r="Q46" i="8"/>
  <c r="Q35" i="8"/>
  <c r="P105" i="8"/>
  <c r="O105" i="8"/>
  <c r="O109" i="8"/>
  <c r="O115" i="8"/>
  <c r="O147" i="8"/>
  <c r="O151" i="8"/>
  <c r="O183" i="8"/>
  <c r="O187" i="8"/>
  <c r="Q218" i="8"/>
  <c r="P218" i="8"/>
  <c r="O218" i="8"/>
  <c r="O235" i="8"/>
  <c r="O246" i="8"/>
  <c r="P249" i="8"/>
  <c r="P253" i="8"/>
  <c r="P261" i="8"/>
  <c r="O270" i="8"/>
  <c r="O278" i="8"/>
  <c r="P284" i="8"/>
  <c r="Q289" i="8"/>
  <c r="O289" i="8"/>
  <c r="P293" i="8"/>
  <c r="O298" i="8"/>
  <c r="O302" i="8"/>
  <c r="O315" i="8"/>
  <c r="Q330" i="8"/>
  <c r="P330" i="8"/>
  <c r="Q346" i="8"/>
  <c r="P346" i="8"/>
  <c r="O346" i="8"/>
  <c r="Q394" i="8"/>
  <c r="P400" i="8"/>
  <c r="O415" i="8"/>
  <c r="P421" i="8"/>
  <c r="O421" i="8"/>
  <c r="O448" i="8"/>
  <c r="Q452" i="8"/>
  <c r="P452" i="8"/>
  <c r="P489" i="8"/>
  <c r="Q489" i="8"/>
  <c r="P563" i="8"/>
  <c r="O563" i="8"/>
  <c r="Q563" i="8"/>
  <c r="O748" i="8"/>
  <c r="Q748" i="8"/>
  <c r="P748" i="8"/>
  <c r="Q105" i="8"/>
  <c r="P123" i="8"/>
  <c r="Q123" i="8"/>
  <c r="O123" i="8"/>
  <c r="O135" i="8"/>
  <c r="O139" i="8"/>
  <c r="Q147" i="8"/>
  <c r="P159" i="8"/>
  <c r="Q159" i="8"/>
  <c r="O159" i="8"/>
  <c r="O171" i="8"/>
  <c r="O175" i="8"/>
  <c r="Q183" i="8"/>
  <c r="P196" i="8"/>
  <c r="Q196" i="8"/>
  <c r="O196" i="8"/>
  <c r="O209" i="8"/>
  <c r="O214" i="8"/>
  <c r="O231" i="8"/>
  <c r="O240" i="8"/>
  <c r="Q261" i="8"/>
  <c r="P274" i="8"/>
  <c r="P278" i="8"/>
  <c r="P289" i="8"/>
  <c r="P302" i="8"/>
  <c r="P315" i="8"/>
  <c r="O330" i="8"/>
  <c r="O340" i="8"/>
  <c r="Q347" i="8"/>
  <c r="P347" i="8"/>
  <c r="O347" i="8"/>
  <c r="O367" i="8"/>
  <c r="Q383" i="8"/>
  <c r="P383" i="8"/>
  <c r="P415" i="8"/>
  <c r="Q421" i="8"/>
  <c r="O436" i="8"/>
  <c r="O452" i="8"/>
  <c r="O489" i="8"/>
  <c r="O584" i="8"/>
  <c r="Q584" i="8"/>
  <c r="P584" i="8"/>
  <c r="O610" i="8"/>
  <c r="P335" i="8"/>
  <c r="P342" i="8"/>
  <c r="P350" i="8"/>
  <c r="P357" i="8"/>
  <c r="P381" i="8"/>
  <c r="P401" i="8"/>
  <c r="Q422" i="8"/>
  <c r="O422" i="8"/>
  <c r="O734" i="8"/>
  <c r="Q734" i="8"/>
  <c r="Q812" i="8"/>
  <c r="P812" i="8"/>
  <c r="O841" i="8"/>
  <c r="Q841" i="8"/>
  <c r="P841" i="8"/>
  <c r="O918" i="8"/>
  <c r="Q918" i="8"/>
  <c r="P918" i="8"/>
  <c r="O940" i="8"/>
  <c r="Q940" i="8"/>
  <c r="O120" i="8"/>
  <c r="O130" i="8"/>
  <c r="O143" i="8"/>
  <c r="O156" i="8"/>
  <c r="O166" i="8"/>
  <c r="O179" i="8"/>
  <c r="O193" i="8"/>
  <c r="O203" i="8"/>
  <c r="O225" i="8"/>
  <c r="O239" i="8"/>
  <c r="O262" i="8"/>
  <c r="O269" i="8"/>
  <c r="O276" i="8"/>
  <c r="O285" i="8"/>
  <c r="Q292" i="8"/>
  <c r="P292" i="8"/>
  <c r="O307" i="8"/>
  <c r="O321" i="8"/>
  <c r="O339" i="8"/>
  <c r="O354" i="8"/>
  <c r="O378" i="8"/>
  <c r="O386" i="8"/>
  <c r="O390" i="8"/>
  <c r="P422" i="8"/>
  <c r="O443" i="8"/>
  <c r="P495" i="8"/>
  <c r="P499" i="8"/>
  <c r="O499" i="8"/>
  <c r="O528" i="8"/>
  <c r="O556" i="8"/>
  <c r="O578" i="8"/>
  <c r="O653" i="8"/>
  <c r="O661" i="8"/>
  <c r="P681" i="8"/>
  <c r="O681" i="8"/>
  <c r="Q681" i="8"/>
  <c r="O699" i="8"/>
  <c r="Q709" i="8"/>
  <c r="P709" i="8"/>
  <c r="O709" i="8"/>
  <c r="O730" i="8"/>
  <c r="P734" i="8"/>
  <c r="O744" i="8"/>
  <c r="P744" i="8"/>
  <c r="Q744" i="8"/>
  <c r="P768" i="8"/>
  <c r="O768" i="8"/>
  <c r="Q768" i="8"/>
  <c r="O781" i="8"/>
  <c r="P788" i="8"/>
  <c r="O798" i="8"/>
  <c r="Q798" i="8"/>
  <c r="P798" i="8"/>
  <c r="O812" i="8"/>
  <c r="O822" i="8"/>
  <c r="O836" i="8"/>
  <c r="P890" i="8"/>
  <c r="O890" i="8"/>
  <c r="Q890" i="8"/>
  <c r="O914" i="8"/>
  <c r="Q931" i="8"/>
  <c r="P931" i="8"/>
  <c r="P940" i="8"/>
  <c r="O40" i="8"/>
  <c r="O78" i="8"/>
  <c r="O117" i="8"/>
  <c r="Q120" i="8"/>
  <c r="O153" i="8"/>
  <c r="Q156" i="8"/>
  <c r="O190" i="8"/>
  <c r="Q193" i="8"/>
  <c r="P225" i="8"/>
  <c r="O229" i="8"/>
  <c r="Q239" i="8"/>
  <c r="O245" i="8"/>
  <c r="P269" i="8"/>
  <c r="O292" i="8"/>
  <c r="P300" i="8"/>
  <c r="O314" i="8"/>
  <c r="P339" i="8"/>
  <c r="O344" i="8"/>
  <c r="Q354" i="8"/>
  <c r="O358" i="8"/>
  <c r="P386" i="8"/>
  <c r="O398" i="8"/>
  <c r="O402" i="8"/>
  <c r="O414" i="8"/>
  <c r="O458" i="8"/>
  <c r="O462" i="8"/>
  <c r="P484" i="8"/>
  <c r="Q484" i="8"/>
  <c r="Q495" i="8"/>
  <c r="Q499" i="8"/>
  <c r="P528" i="8"/>
  <c r="O544" i="8"/>
  <c r="P548" i="8"/>
  <c r="O548" i="8"/>
  <c r="Q556" i="8"/>
  <c r="P560" i="8"/>
  <c r="O564" i="8"/>
  <c r="P661" i="8"/>
  <c r="O686" i="8"/>
  <c r="P699" i="8"/>
  <c r="O705" i="8"/>
  <c r="P730" i="8"/>
  <c r="Q735" i="8"/>
  <c r="O735" i="8"/>
  <c r="O764" i="8"/>
  <c r="Q764" i="8"/>
  <c r="Q788" i="8"/>
  <c r="P813" i="8"/>
  <c r="Q813" i="8"/>
  <c r="P822" i="8"/>
  <c r="O832" i="8"/>
  <c r="Q836" i="8"/>
  <c r="P851" i="8"/>
  <c r="O885" i="8"/>
  <c r="Q885" i="8"/>
  <c r="P895" i="8"/>
  <c r="P904" i="8"/>
  <c r="O904" i="8"/>
  <c r="P909" i="8"/>
  <c r="P914" i="8"/>
  <c r="O931" i="8"/>
  <c r="Q941" i="8"/>
  <c r="O941" i="8"/>
  <c r="P695" i="8"/>
  <c r="O695" i="8"/>
  <c r="O808" i="8"/>
  <c r="Q808" i="8"/>
  <c r="O837" i="8"/>
  <c r="Q837" i="8"/>
  <c r="P837" i="8"/>
  <c r="Q866" i="8"/>
  <c r="P866" i="8"/>
  <c r="P784" i="8"/>
  <c r="O784" i="8"/>
  <c r="O814" i="8"/>
  <c r="Q814" i="8"/>
  <c r="Q896" i="8"/>
  <c r="P896" i="8"/>
  <c r="O905" i="8"/>
  <c r="P905" i="8"/>
  <c r="Q905" i="8"/>
  <c r="P942" i="8"/>
  <c r="O942" i="8"/>
  <c r="Q696" i="8"/>
  <c r="O696" i="8"/>
  <c r="P809" i="8"/>
  <c r="O809" i="8"/>
  <c r="Q809" i="8"/>
  <c r="Q942" i="8"/>
  <c r="O651" i="8"/>
  <c r="P654" i="8"/>
  <c r="P667" i="8"/>
  <c r="Q683" i="8"/>
  <c r="P683" i="8"/>
  <c r="P696" i="8"/>
  <c r="Q701" i="8"/>
  <c r="O701" i="8"/>
  <c r="P701" i="8"/>
  <c r="P741" i="8"/>
  <c r="Q746" i="8"/>
  <c r="P746" i="8"/>
  <c r="O775" i="8"/>
  <c r="O785" i="8"/>
  <c r="P785" i="8"/>
  <c r="Q790" i="8"/>
  <c r="O790" i="8"/>
  <c r="O804" i="8"/>
  <c r="Q804" i="8"/>
  <c r="Q819" i="8"/>
  <c r="P824" i="8"/>
  <c r="P829" i="8"/>
  <c r="O843" i="8"/>
  <c r="O861" i="8"/>
  <c r="O871" i="8"/>
  <c r="P878" i="8"/>
  <c r="O892" i="8"/>
  <c r="P892" i="8"/>
  <c r="O906" i="8"/>
  <c r="O916" i="8"/>
  <c r="O920" i="8"/>
  <c r="O924" i="8"/>
  <c r="Q924" i="8"/>
  <c r="P928" i="8"/>
  <c r="O928" i="8"/>
  <c r="Q928" i="8"/>
  <c r="O933" i="8"/>
  <c r="Q933" i="8"/>
  <c r="Q326" i="8"/>
  <c r="O326" i="8"/>
  <c r="Q412" i="8"/>
  <c r="P412" i="8"/>
  <c r="Q449" i="8"/>
  <c r="O449" i="8"/>
  <c r="P576" i="8"/>
  <c r="Q576" i="8"/>
  <c r="O648" i="8"/>
  <c r="P651" i="8"/>
  <c r="O663" i="8"/>
  <c r="Q667" i="8"/>
  <c r="O683" i="8"/>
  <c r="Q741" i="8"/>
  <c r="O746" i="8"/>
  <c r="P770" i="8"/>
  <c r="P775" i="8"/>
  <c r="Q785" i="8"/>
  <c r="P790" i="8"/>
  <c r="P800" i="8"/>
  <c r="P804" i="8"/>
  <c r="O810" i="8"/>
  <c r="O815" i="8"/>
  <c r="Q824" i="8"/>
  <c r="Q843" i="8"/>
  <c r="O853" i="8"/>
  <c r="P857" i="8"/>
  <c r="P861" i="8"/>
  <c r="P871" i="8"/>
  <c r="Q878" i="8"/>
  <c r="Q892" i="8"/>
  <c r="Q906" i="8"/>
  <c r="P916" i="8"/>
  <c r="P920" i="8"/>
  <c r="P924" i="8"/>
  <c r="P933" i="8"/>
  <c r="P938" i="8"/>
  <c r="P943" i="8"/>
  <c r="P648" i="8"/>
  <c r="P663" i="8"/>
  <c r="Q770" i="8"/>
  <c r="P786" i="8"/>
  <c r="O786" i="8"/>
  <c r="Q800" i="8"/>
  <c r="P810" i="8"/>
  <c r="P815" i="8"/>
  <c r="Q830" i="8"/>
  <c r="O830" i="8"/>
  <c r="P853" i="8"/>
  <c r="Q857" i="8"/>
  <c r="P863" i="8"/>
  <c r="O863" i="8"/>
  <c r="Q863" i="8"/>
  <c r="O902" i="8"/>
  <c r="Q902" i="8"/>
  <c r="Q907" i="8"/>
  <c r="P907" i="8"/>
  <c r="Q938" i="8"/>
  <c r="Q943" i="8"/>
  <c r="Q368" i="8"/>
  <c r="P368" i="8"/>
  <c r="Q409" i="8"/>
  <c r="O409" i="8"/>
  <c r="P437" i="8"/>
  <c r="O437" i="8"/>
  <c r="P505" i="8"/>
  <c r="Q505" i="8"/>
  <c r="P539" i="8"/>
  <c r="Q539" i="8"/>
  <c r="O566" i="8"/>
  <c r="P573" i="8"/>
  <c r="O573" i="8"/>
  <c r="O608" i="8"/>
  <c r="Q693" i="8"/>
  <c r="P693" i="8"/>
  <c r="O733" i="8"/>
  <c r="P737" i="8"/>
  <c r="O742" i="8"/>
  <c r="Q786" i="8"/>
  <c r="O825" i="8"/>
  <c r="P830" i="8"/>
  <c r="P844" i="8"/>
  <c r="P848" i="8"/>
  <c r="O848" i="8"/>
  <c r="O858" i="8"/>
  <c r="P858" i="8"/>
  <c r="O864" i="8"/>
  <c r="P864" i="8"/>
  <c r="P902" i="8"/>
  <c r="O907" i="8"/>
  <c r="O935" i="8"/>
  <c r="O944" i="8"/>
  <c r="Q944" i="8"/>
  <c r="O368" i="8"/>
  <c r="P377" i="8"/>
  <c r="Q437" i="8"/>
  <c r="O505" i="8"/>
  <c r="O539" i="8"/>
  <c r="O555" i="8"/>
  <c r="P566" i="8"/>
  <c r="Q573" i="8"/>
  <c r="O577" i="8"/>
  <c r="P585" i="8"/>
  <c r="O660" i="8"/>
  <c r="P660" i="8"/>
  <c r="P664" i="8"/>
  <c r="O693" i="8"/>
  <c r="Q698" i="8"/>
  <c r="P698" i="8"/>
  <c r="P729" i="8"/>
  <c r="O729" i="8"/>
  <c r="Q737" i="8"/>
  <c r="P742" i="8"/>
  <c r="O780" i="8"/>
  <c r="Q780" i="8"/>
  <c r="Q787" i="8"/>
  <c r="P787" i="8"/>
  <c r="P811" i="8"/>
  <c r="O821" i="8"/>
  <c r="Q821" i="8"/>
  <c r="Q825" i="8"/>
  <c r="P835" i="8"/>
  <c r="Q844" i="8"/>
  <c r="Q848" i="8"/>
  <c r="O854" i="8"/>
  <c r="Q854" i="8"/>
  <c r="P854" i="8"/>
  <c r="Q858" i="8"/>
  <c r="Q864" i="8"/>
  <c r="O913" i="8"/>
  <c r="P917" i="8"/>
  <c r="P935" i="8"/>
  <c r="P944" i="8"/>
  <c r="P502" i="8"/>
  <c r="Q502" i="8"/>
  <c r="P823" i="8"/>
  <c r="O823" i="8"/>
  <c r="O879" i="8"/>
  <c r="Q879" i="8"/>
  <c r="P879" i="8"/>
  <c r="Q910" i="8"/>
  <c r="O910" i="8"/>
  <c r="Q732" i="8"/>
  <c r="P732" i="8"/>
  <c r="Q852" i="8"/>
  <c r="P852" i="8"/>
  <c r="O882" i="8"/>
  <c r="Q882" i="8"/>
  <c r="Q684" i="8"/>
  <c r="P684" i="8"/>
  <c r="Q712" i="8"/>
  <c r="P712" i="8"/>
  <c r="Q772" i="8"/>
  <c r="P772" i="8"/>
  <c r="O801" i="8"/>
  <c r="Q801" i="8"/>
  <c r="Q893" i="8"/>
  <c r="P893" i="8"/>
  <c r="O921" i="8"/>
  <c r="Q921" i="8"/>
  <c r="O665" i="8"/>
  <c r="O706" i="8"/>
  <c r="P795" i="8"/>
  <c r="P834" i="8"/>
  <c r="P876" i="8"/>
  <c r="P915" i="8"/>
  <c r="AF1" i="5" a="1"/>
  <c r="AF5" i="5" a="1"/>
  <c r="Q947" i="8" l="1"/>
  <c r="Q472" i="8"/>
  <c r="Q586" i="8"/>
  <c r="AF1" i="5"/>
  <c r="AF5" i="5"/>
  <c r="F2" i="5"/>
  <c r="Q590" i="8" l="1"/>
  <c r="Q1" i="8" s="1"/>
  <c r="A2" i="5"/>
  <c r="AF2" i="5" a="1"/>
  <c r="AF3" i="5" a="1"/>
  <c r="C2" i="5" a="1"/>
  <c r="AF2" i="5" l="1"/>
  <c r="AF3" i="5"/>
  <c r="C2" i="5"/>
  <c r="O2" i="5" a="1"/>
  <c r="J2" i="5" a="1"/>
  <c r="G2" i="5" a="1"/>
  <c r="I2" i="5" a="1"/>
  <c r="H2" i="5" a="1"/>
  <c r="L2" i="5" a="1"/>
  <c r="M2" i="5" a="1"/>
  <c r="K2" i="5" a="1"/>
  <c r="P2" i="5" a="1"/>
  <c r="N2" i="5" a="1"/>
  <c r="D2" i="5" a="1"/>
  <c r="H2" i="5" l="1"/>
  <c r="L2" i="5"/>
  <c r="O2" i="5"/>
  <c r="M2" i="5"/>
  <c r="K2" i="5"/>
  <c r="P2" i="5"/>
  <c r="I2" i="5"/>
  <c r="G2" i="5"/>
  <c r="J2" i="5"/>
  <c r="N2" i="5"/>
  <c r="D2" i="5"/>
  <c r="W2" i="5"/>
  <c r="Y2" i="5"/>
  <c r="AC2" i="5" s="1"/>
  <c r="AA2" i="5"/>
  <c r="AB2" i="5"/>
  <c r="X2" i="5"/>
  <c r="Z2" i="5"/>
  <c r="AF6" i="5" a="1"/>
  <c r="AF4" i="5" a="1"/>
  <c r="R2" i="5" l="1"/>
  <c r="Q2" i="5"/>
  <c r="T2" i="5"/>
  <c r="S2" i="5"/>
  <c r="AF4" i="5"/>
  <c r="AF6" i="5"/>
  <c r="U2" i="5" l="1"/>
  <c r="V2" i="5"/>
  <c r="AF7" i="5" a="1"/>
  <c r="AF8" i="5" a="1"/>
  <c r="AF8" i="5" l="1"/>
  <c r="AF7" i="5"/>
  <c r="AF9" i="5" a="1"/>
  <c r="B2" i="5" l="1"/>
  <c r="AF9" i="5"/>
  <c r="A3" i="5" a="1"/>
  <c r="A3" i="5" l="1"/>
  <c r="B3" i="5" l="1"/>
  <c r="G3" i="5" s="1" a="1"/>
  <c r="E3" i="5" a="1"/>
  <c r="E3" i="5" s="1"/>
  <c r="A4" i="5" a="1"/>
  <c r="G3" i="5" l="1"/>
  <c r="F3" i="5" a="1"/>
  <c r="F3" i="5" s="1"/>
  <c r="Y3" i="5"/>
  <c r="AC3" i="5" s="1"/>
  <c r="A4" i="5"/>
  <c r="AB3" i="5"/>
  <c r="Z3" i="5"/>
  <c r="W3" i="5"/>
  <c r="AA3" i="5"/>
  <c r="X3" i="5"/>
  <c r="K3" i="5" a="1"/>
  <c r="H3" i="5" a="1"/>
  <c r="O3" i="5" a="1"/>
  <c r="L3" i="5" a="1"/>
  <c r="M3" i="5" a="1"/>
  <c r="I3" i="5" a="1"/>
  <c r="C3" i="5" a="1"/>
  <c r="J3" i="5" a="1"/>
  <c r="D3" i="5" a="1"/>
  <c r="P3" i="5" a="1"/>
  <c r="N3" i="5" a="1"/>
  <c r="P3" i="5" l="1"/>
  <c r="J3" i="5"/>
  <c r="E4" i="5" a="1"/>
  <c r="E4" i="5" s="1"/>
  <c r="B4" i="5"/>
  <c r="N4" i="5" s="1" a="1"/>
  <c r="O3" i="5"/>
  <c r="D3" i="5"/>
  <c r="K3" i="5"/>
  <c r="I3" i="5"/>
  <c r="H3" i="5"/>
  <c r="L3" i="5"/>
  <c r="M3" i="5"/>
  <c r="N3" i="5"/>
  <c r="C3" i="5"/>
  <c r="A5" i="5" a="1"/>
  <c r="T3" i="5" l="1"/>
  <c r="R3" i="5"/>
  <c r="N4" i="5"/>
  <c r="Z4" i="5"/>
  <c r="F4" i="5" a="1"/>
  <c r="F4" i="5" s="1"/>
  <c r="Q3" i="5"/>
  <c r="S3" i="5"/>
  <c r="AB4" i="5"/>
  <c r="W4" i="5"/>
  <c r="X4" i="5"/>
  <c r="A5" i="5"/>
  <c r="AA4" i="5"/>
  <c r="Y4" i="5"/>
  <c r="AC4" i="5" s="1"/>
  <c r="M4" i="5" a="1"/>
  <c r="C4" i="5" a="1"/>
  <c r="J4" i="5" a="1"/>
  <c r="O4" i="5" a="1"/>
  <c r="K4" i="5" a="1"/>
  <c r="D4" i="5" a="1"/>
  <c r="I4" i="5" a="1"/>
  <c r="P4" i="5" a="1"/>
  <c r="L4" i="5" a="1"/>
  <c r="G4" i="5" a="1"/>
  <c r="H4" i="5" a="1"/>
  <c r="V3" i="5" l="1" a="1"/>
  <c r="V3" i="5" s="1"/>
  <c r="U3" i="5" a="1"/>
  <c r="U3" i="5" s="1"/>
  <c r="O4" i="5"/>
  <c r="G4" i="5"/>
  <c r="M4" i="5"/>
  <c r="P4" i="5"/>
  <c r="D4" i="5"/>
  <c r="C4" i="5"/>
  <c r="K4" i="5"/>
  <c r="L4" i="5"/>
  <c r="H4" i="5"/>
  <c r="J4" i="5"/>
  <c r="I4" i="5"/>
  <c r="B5" i="5"/>
  <c r="E5" i="5" a="1"/>
  <c r="E5" i="5" s="1"/>
  <c r="AB5" i="5" s="1"/>
  <c r="A6" i="5" a="1"/>
  <c r="C5" i="5" a="1"/>
  <c r="C5" i="5" l="1"/>
  <c r="F5" i="5" a="1"/>
  <c r="F5" i="5" s="1"/>
  <c r="R4" i="5"/>
  <c r="T4" i="5"/>
  <c r="Q4" i="5"/>
  <c r="S4" i="5"/>
  <c r="W5" i="5"/>
  <c r="Z5" i="5"/>
  <c r="Y5" i="5"/>
  <c r="AC5" i="5" s="1"/>
  <c r="A6" i="5"/>
  <c r="AA5" i="5"/>
  <c r="X5" i="5"/>
  <c r="O5" i="5" a="1"/>
  <c r="L5" i="5" a="1"/>
  <c r="G5" i="5" a="1"/>
  <c r="I5" i="5" a="1"/>
  <c r="K5" i="5" a="1"/>
  <c r="P5" i="5" a="1"/>
  <c r="N5" i="5" a="1"/>
  <c r="M5" i="5" a="1"/>
  <c r="J5" i="5" a="1"/>
  <c r="H5" i="5" a="1"/>
  <c r="D5" i="5" a="1"/>
  <c r="H5" i="5" l="1"/>
  <c r="I5" i="5"/>
  <c r="U4" i="5" a="1"/>
  <c r="U4" i="5" s="1"/>
  <c r="V4" i="5" a="1"/>
  <c r="V4" i="5" s="1"/>
  <c r="M5" i="5"/>
  <c r="G5" i="5"/>
  <c r="N5" i="5"/>
  <c r="O5" i="5"/>
  <c r="J5" i="5"/>
  <c r="D5" i="5"/>
  <c r="L5" i="5"/>
  <c r="P5" i="5"/>
  <c r="K5" i="5"/>
  <c r="E6" i="5" a="1"/>
  <c r="E6" i="5" s="1"/>
  <c r="Z6" i="5" s="1"/>
  <c r="B6" i="5"/>
  <c r="F6" i="5" s="1" a="1"/>
  <c r="F6" i="5" s="1"/>
  <c r="A7" i="5" a="1"/>
  <c r="R5" i="5" l="1"/>
  <c r="T5" i="5"/>
  <c r="S5" i="5"/>
  <c r="Q5" i="5"/>
  <c r="X6" i="5"/>
  <c r="AA6" i="5"/>
  <c r="AB6" i="5"/>
  <c r="A7" i="5"/>
  <c r="W6" i="5"/>
  <c r="Y6" i="5"/>
  <c r="AC6" i="5" s="1"/>
  <c r="K6" i="5" a="1"/>
  <c r="H6" i="5" a="1"/>
  <c r="C6" i="5" a="1"/>
  <c r="J6" i="5" a="1"/>
  <c r="M6" i="5" a="1"/>
  <c r="O6" i="5" a="1"/>
  <c r="G6" i="5" a="1"/>
  <c r="P6" i="5" a="1"/>
  <c r="D6" i="5" a="1"/>
  <c r="L6" i="5" a="1"/>
  <c r="I6" i="5" a="1"/>
  <c r="N6" i="5" a="1"/>
  <c r="U5" i="5" l="1" a="1"/>
  <c r="U5" i="5" s="1"/>
  <c r="V5" i="5" a="1"/>
  <c r="V5" i="5" s="1"/>
  <c r="J6" i="5"/>
  <c r="H6" i="5"/>
  <c r="M6" i="5"/>
  <c r="D6" i="5"/>
  <c r="I6" i="5"/>
  <c r="N6" i="5"/>
  <c r="P6" i="5"/>
  <c r="C6" i="5"/>
  <c r="O6" i="5"/>
  <c r="L6" i="5"/>
  <c r="K6" i="5"/>
  <c r="G6" i="5"/>
  <c r="B7" i="5"/>
  <c r="J7" i="5" s="1" a="1"/>
  <c r="E7" i="5" a="1"/>
  <c r="E7" i="5" s="1"/>
  <c r="A8" i="5" a="1"/>
  <c r="R6" i="5" l="1"/>
  <c r="J7" i="5"/>
  <c r="T6" i="5"/>
  <c r="Q6" i="5"/>
  <c r="S6" i="5"/>
  <c r="X7" i="5"/>
  <c r="F7" i="5" a="1"/>
  <c r="F7" i="5" s="1"/>
  <c r="A8" i="5"/>
  <c r="W7" i="5"/>
  <c r="Y7" i="5"/>
  <c r="AC7" i="5" s="1"/>
  <c r="Z7" i="5"/>
  <c r="AB7" i="5"/>
  <c r="AA7" i="5"/>
  <c r="H7" i="5" a="1"/>
  <c r="L7" i="5" a="1"/>
  <c r="G7" i="5" a="1"/>
  <c r="K7" i="5" a="1"/>
  <c r="N7" i="5" a="1"/>
  <c r="I7" i="5" a="1"/>
  <c r="D7" i="5" a="1"/>
  <c r="A9" i="5" a="1"/>
  <c r="P7" i="5" a="1"/>
  <c r="C7" i="5" a="1"/>
  <c r="M7" i="5" a="1"/>
  <c r="O7" i="5" a="1"/>
  <c r="P7" i="5" l="1"/>
  <c r="U6" i="5" a="1"/>
  <c r="U6" i="5" s="1"/>
  <c r="V6" i="5" a="1"/>
  <c r="V6" i="5" s="1"/>
  <c r="G7" i="5"/>
  <c r="M7" i="5"/>
  <c r="D7" i="5"/>
  <c r="I7" i="5"/>
  <c r="K7" i="5"/>
  <c r="H7" i="5"/>
  <c r="C7" i="5"/>
  <c r="L7" i="5"/>
  <c r="N7" i="5"/>
  <c r="O7" i="5"/>
  <c r="B8" i="5"/>
  <c r="O8" i="5" s="1" a="1"/>
  <c r="E8" i="5" a="1"/>
  <c r="E8" i="5" s="1"/>
  <c r="W8" i="5" s="1"/>
  <c r="A9" i="5"/>
  <c r="A10" i="5" a="1"/>
  <c r="T7" i="5" l="1"/>
  <c r="R7" i="5"/>
  <c r="O8" i="5"/>
  <c r="Y8" i="5"/>
  <c r="AC8" i="5" s="1"/>
  <c r="S7" i="5"/>
  <c r="Q7" i="5"/>
  <c r="E9" i="5" a="1"/>
  <c r="E9" i="5" s="1"/>
  <c r="X9" i="5" s="1"/>
  <c r="B9" i="5"/>
  <c r="D9" i="5" s="1" a="1"/>
  <c r="AA8" i="5"/>
  <c r="X8" i="5"/>
  <c r="AB8" i="5"/>
  <c r="Z8" i="5"/>
  <c r="A10" i="5"/>
  <c r="M8" i="5" a="1"/>
  <c r="C8" i="5" a="1"/>
  <c r="F8" i="5" a="1"/>
  <c r="N8" i="5" a="1"/>
  <c r="H8" i="5" a="1"/>
  <c r="G8" i="5" a="1"/>
  <c r="D8" i="5" a="1"/>
  <c r="K8" i="5" a="1"/>
  <c r="L8" i="5" a="1"/>
  <c r="P8" i="5" a="1"/>
  <c r="J8" i="5" a="1"/>
  <c r="A11" i="5" a="1"/>
  <c r="I8" i="5" a="1"/>
  <c r="U7" i="5" l="1" a="1"/>
  <c r="U7" i="5" s="1"/>
  <c r="V7" i="5" a="1"/>
  <c r="V7" i="5" s="1"/>
  <c r="Z9" i="5"/>
  <c r="W9" i="5"/>
  <c r="AB9" i="5"/>
  <c r="F8" i="5"/>
  <c r="F9" i="5" s="1" a="1"/>
  <c r="F9" i="5" s="1"/>
  <c r="J8" i="5"/>
  <c r="D8" i="5"/>
  <c r="D9" i="5"/>
  <c r="L8" i="5"/>
  <c r="Q8" i="5" s="1"/>
  <c r="M8" i="5"/>
  <c r="G8" i="5"/>
  <c r="I8" i="5"/>
  <c r="N8" i="5"/>
  <c r="K8" i="5"/>
  <c r="P8" i="5"/>
  <c r="H8" i="5"/>
  <c r="C8" i="5"/>
  <c r="B10" i="5"/>
  <c r="O10" i="5" s="1" a="1"/>
  <c r="E10" i="5" a="1"/>
  <c r="E10" i="5" s="1"/>
  <c r="Z10" i="5" s="1"/>
  <c r="Y9" i="5"/>
  <c r="AC9" i="5" s="1"/>
  <c r="AA9" i="5"/>
  <c r="A11" i="5"/>
  <c r="N9" i="5" a="1"/>
  <c r="L9" i="5" a="1"/>
  <c r="I9" i="5" a="1"/>
  <c r="M9" i="5" a="1"/>
  <c r="J9" i="5" a="1"/>
  <c r="K9" i="5" a="1"/>
  <c r="C9" i="5" a="1"/>
  <c r="P9" i="5" a="1"/>
  <c r="G9" i="5" a="1"/>
  <c r="O9" i="5" a="1"/>
  <c r="H9" i="5" a="1"/>
  <c r="P9" i="5" l="1"/>
  <c r="O9" i="5"/>
  <c r="G9" i="5"/>
  <c r="M9" i="5"/>
  <c r="N9" i="5"/>
  <c r="J9" i="5"/>
  <c r="C9" i="5"/>
  <c r="L9" i="5"/>
  <c r="I9" i="5"/>
  <c r="H9" i="5"/>
  <c r="K9" i="5"/>
  <c r="F10" i="5" a="1"/>
  <c r="F10" i="5" s="1"/>
  <c r="W10" i="5"/>
  <c r="Y10" i="5"/>
  <c r="AC10" i="5" s="1"/>
  <c r="AA10" i="5"/>
  <c r="X10" i="5"/>
  <c r="AB10" i="5"/>
  <c r="O10" i="5"/>
  <c r="R8" i="5"/>
  <c r="U8" i="5" s="1" a="1"/>
  <c r="U8" i="5" s="1"/>
  <c r="B11" i="5"/>
  <c r="G11" i="5" s="1" a="1"/>
  <c r="E11" i="5" a="1"/>
  <c r="E11" i="5" s="1"/>
  <c r="AB11" i="5" s="1"/>
  <c r="T8" i="5"/>
  <c r="S8" i="5"/>
  <c r="P10" i="5" a="1"/>
  <c r="M10" i="5" a="1"/>
  <c r="K10" i="5" a="1"/>
  <c r="D10" i="5" a="1"/>
  <c r="G10" i="5" a="1"/>
  <c r="A12" i="5" a="1"/>
  <c r="J10" i="5" a="1"/>
  <c r="H10" i="5" a="1"/>
  <c r="C10" i="5" a="1"/>
  <c r="L10" i="5" a="1"/>
  <c r="N10" i="5" a="1"/>
  <c r="I10" i="5" a="1"/>
  <c r="S9" i="5" l="1"/>
  <c r="T9" i="5"/>
  <c r="R9" i="5"/>
  <c r="Q9" i="5"/>
  <c r="K10" i="5"/>
  <c r="J10" i="5"/>
  <c r="P10" i="5"/>
  <c r="N10" i="5"/>
  <c r="H10" i="5"/>
  <c r="C10" i="5"/>
  <c r="M10" i="5"/>
  <c r="S10" i="5" s="1"/>
  <c r="G10" i="5"/>
  <c r="D10" i="5"/>
  <c r="L10" i="5"/>
  <c r="Q10" i="5" s="1"/>
  <c r="I10" i="5"/>
  <c r="V8" i="5" a="1"/>
  <c r="V8" i="5" s="1"/>
  <c r="G11" i="5"/>
  <c r="F11" i="5" a="1"/>
  <c r="F11" i="5" s="1"/>
  <c r="Y11" i="5"/>
  <c r="AC11" i="5" s="1"/>
  <c r="Z11" i="5"/>
  <c r="A12" i="5"/>
  <c r="AA11" i="5"/>
  <c r="W11" i="5"/>
  <c r="X11" i="5"/>
  <c r="O11" i="5" a="1"/>
  <c r="N11" i="5" a="1"/>
  <c r="D11" i="5" a="1"/>
  <c r="M11" i="5" a="1"/>
  <c r="P11" i="5" a="1"/>
  <c r="C11" i="5" a="1"/>
  <c r="H11" i="5" a="1"/>
  <c r="J11" i="5" a="1"/>
  <c r="L11" i="5" a="1"/>
  <c r="I11" i="5" a="1"/>
  <c r="K11" i="5" a="1"/>
  <c r="V9" i="5" l="1" a="1"/>
  <c r="V9" i="5" s="1"/>
  <c r="U9" i="5" a="1"/>
  <c r="U9" i="5" s="1"/>
  <c r="T10" i="5"/>
  <c r="V10" i="5" s="1" a="1"/>
  <c r="V10" i="5" s="1"/>
  <c r="R10" i="5"/>
  <c r="U10" i="5" s="1" a="1"/>
  <c r="U10" i="5" s="1"/>
  <c r="O11" i="5"/>
  <c r="K11" i="5"/>
  <c r="P11" i="5"/>
  <c r="J11" i="5"/>
  <c r="I11" i="5"/>
  <c r="C11" i="5"/>
  <c r="H11" i="5"/>
  <c r="N11" i="5"/>
  <c r="M11" i="5"/>
  <c r="L11" i="5"/>
  <c r="D11" i="5"/>
  <c r="E12" i="5" a="1"/>
  <c r="E12" i="5" s="1"/>
  <c r="X12" i="5" s="1"/>
  <c r="B12" i="5"/>
  <c r="A13" i="5" a="1"/>
  <c r="R11" i="5" l="1"/>
  <c r="Q11" i="5"/>
  <c r="T11" i="5"/>
  <c r="S11" i="5"/>
  <c r="F12" i="5" a="1"/>
  <c r="F12" i="5" s="1"/>
  <c r="A13" i="5"/>
  <c r="AA12" i="5"/>
  <c r="Y12" i="5"/>
  <c r="AC12" i="5" s="1"/>
  <c r="W12" i="5"/>
  <c r="Z12" i="5"/>
  <c r="AB12" i="5"/>
  <c r="G12" i="5" a="1"/>
  <c r="N12" i="5" a="1"/>
  <c r="H12" i="5" a="1"/>
  <c r="I12" i="5" a="1"/>
  <c r="K12" i="5" a="1"/>
  <c r="C12" i="5" a="1"/>
  <c r="L12" i="5" a="1"/>
  <c r="O12" i="5" a="1"/>
  <c r="J12" i="5" a="1"/>
  <c r="D12" i="5" a="1"/>
  <c r="M12" i="5" a="1"/>
  <c r="P12" i="5" a="1"/>
  <c r="U11" i="5" l="1" a="1"/>
  <c r="U11" i="5" s="1"/>
  <c r="K12" i="5"/>
  <c r="I12" i="5"/>
  <c r="N12" i="5"/>
  <c r="G12" i="5"/>
  <c r="L12" i="5"/>
  <c r="D12" i="5"/>
  <c r="H12" i="5"/>
  <c r="M12" i="5"/>
  <c r="P12" i="5"/>
  <c r="C12" i="5"/>
  <c r="J12" i="5"/>
  <c r="O12" i="5"/>
  <c r="V11" i="5" a="1"/>
  <c r="V11" i="5" s="1"/>
  <c r="B13" i="5"/>
  <c r="G13" i="5" s="1" a="1"/>
  <c r="E13" i="5" a="1"/>
  <c r="E13" i="5" s="1"/>
  <c r="A14" i="5" a="1"/>
  <c r="T12" i="5" l="1"/>
  <c r="G13" i="5"/>
  <c r="F13" i="5" a="1"/>
  <c r="F13" i="5" s="1"/>
  <c r="S12" i="5"/>
  <c r="Q12" i="5"/>
  <c r="AB13" i="5"/>
  <c r="R12" i="5"/>
  <c r="A14" i="5"/>
  <c r="W13" i="5"/>
  <c r="AA13" i="5"/>
  <c r="X13" i="5"/>
  <c r="Y13" i="5"/>
  <c r="AC13" i="5" s="1"/>
  <c r="Z13" i="5"/>
  <c r="J13" i="5" a="1"/>
  <c r="O13" i="5" a="1"/>
  <c r="N13" i="5" a="1"/>
  <c r="L13" i="5" a="1"/>
  <c r="P13" i="5" a="1"/>
  <c r="C13" i="5" a="1"/>
  <c r="D13" i="5" a="1"/>
  <c r="H13" i="5" a="1"/>
  <c r="I13" i="5" a="1"/>
  <c r="K13" i="5" a="1"/>
  <c r="M13" i="5" a="1"/>
  <c r="V12" i="5" l="1" a="1"/>
  <c r="V12" i="5" s="1"/>
  <c r="O13" i="5"/>
  <c r="M13" i="5"/>
  <c r="L13" i="5"/>
  <c r="J13" i="5"/>
  <c r="P13" i="5"/>
  <c r="C13" i="5"/>
  <c r="I13" i="5"/>
  <c r="N13" i="5"/>
  <c r="K13" i="5"/>
  <c r="D13" i="5"/>
  <c r="H13" i="5"/>
  <c r="E14" i="5" a="1"/>
  <c r="E14" i="5" s="1"/>
  <c r="X14" i="5" s="1"/>
  <c r="B14" i="5"/>
  <c r="P14" i="5" s="1" a="1"/>
  <c r="U12" i="5" a="1"/>
  <c r="U12" i="5" s="1"/>
  <c r="A15" i="5" a="1"/>
  <c r="R13" i="5" l="1"/>
  <c r="T13" i="5"/>
  <c r="P14" i="5"/>
  <c r="F14" i="5" a="1"/>
  <c r="F14" i="5" s="1"/>
  <c r="Q13" i="5"/>
  <c r="S13" i="5"/>
  <c r="A15" i="5"/>
  <c r="Y14" i="5"/>
  <c r="AC14" i="5" s="1"/>
  <c r="W14" i="5"/>
  <c r="Z14" i="5"/>
  <c r="AA14" i="5"/>
  <c r="AB14" i="5"/>
  <c r="L14" i="5" a="1"/>
  <c r="G14" i="5" a="1"/>
  <c r="N14" i="5" a="1"/>
  <c r="K14" i="5" a="1"/>
  <c r="J14" i="5" a="1"/>
  <c r="H14" i="5" a="1"/>
  <c r="O14" i="5" a="1"/>
  <c r="M14" i="5" a="1"/>
  <c r="C14" i="5" a="1"/>
  <c r="D14" i="5" a="1"/>
  <c r="I14" i="5" a="1"/>
  <c r="U13" i="5" l="1" a="1"/>
  <c r="U13" i="5" s="1"/>
  <c r="V13" i="5" a="1"/>
  <c r="V13" i="5" s="1"/>
  <c r="K14" i="5"/>
  <c r="M14" i="5"/>
  <c r="T14" i="5" s="1"/>
  <c r="H14" i="5"/>
  <c r="N14" i="5"/>
  <c r="I14" i="5"/>
  <c r="G14" i="5"/>
  <c r="J14" i="5"/>
  <c r="O14" i="5"/>
  <c r="L14" i="5"/>
  <c r="R14" i="5" s="1"/>
  <c r="D14" i="5"/>
  <c r="C14" i="5"/>
  <c r="B15" i="5"/>
  <c r="F15" i="5" s="1" a="1"/>
  <c r="F15" i="5" s="1"/>
  <c r="E15" i="5" a="1"/>
  <c r="E15" i="5" s="1"/>
  <c r="AB15" i="5" s="1"/>
  <c r="A16" i="5" a="1"/>
  <c r="Q14" i="5" l="1"/>
  <c r="U14" i="5" s="1" a="1"/>
  <c r="U14" i="5" s="1"/>
  <c r="S14" i="5"/>
  <c r="V14" i="5" s="1" a="1"/>
  <c r="V14" i="5" s="1"/>
  <c r="X15" i="5"/>
  <c r="Z15" i="5"/>
  <c r="A16" i="5"/>
  <c r="W15" i="5"/>
  <c r="Y15" i="5"/>
  <c r="AC15" i="5" s="1"/>
  <c r="AA15" i="5"/>
  <c r="M15" i="5" a="1"/>
  <c r="C15" i="5" a="1"/>
  <c r="J15" i="5" a="1"/>
  <c r="N15" i="5" a="1"/>
  <c r="L15" i="5" a="1"/>
  <c r="K15" i="5" a="1"/>
  <c r="P15" i="5" a="1"/>
  <c r="G15" i="5" a="1"/>
  <c r="D15" i="5" a="1"/>
  <c r="O15" i="5" a="1"/>
  <c r="I15" i="5" a="1"/>
  <c r="H15" i="5" a="1"/>
  <c r="D15" i="5" l="1"/>
  <c r="P15" i="5"/>
  <c r="O15" i="5"/>
  <c r="I15" i="5"/>
  <c r="L15" i="5"/>
  <c r="K15" i="5"/>
  <c r="J15" i="5"/>
  <c r="N15" i="5"/>
  <c r="M15" i="5"/>
  <c r="H15" i="5"/>
  <c r="G15" i="5"/>
  <c r="C15" i="5"/>
  <c r="B16" i="5"/>
  <c r="H16" i="5" s="1" a="1"/>
  <c r="E16" i="5" a="1"/>
  <c r="E16" i="5" s="1"/>
  <c r="A17" i="5" a="1"/>
  <c r="R15" i="5" l="1"/>
  <c r="T15" i="5"/>
  <c r="S15" i="5"/>
  <c r="Q15" i="5"/>
  <c r="H16" i="5"/>
  <c r="F16" i="5" a="1"/>
  <c r="F16" i="5" s="1"/>
  <c r="X16" i="5"/>
  <c r="A17" i="5"/>
  <c r="AA16" i="5"/>
  <c r="Y16" i="5"/>
  <c r="AC16" i="5" s="1"/>
  <c r="W16" i="5"/>
  <c r="Z16" i="5"/>
  <c r="AB16" i="5"/>
  <c r="J16" i="5" a="1"/>
  <c r="P16" i="5" a="1"/>
  <c r="N16" i="5" a="1"/>
  <c r="L16" i="5" a="1"/>
  <c r="O16" i="5" a="1"/>
  <c r="K16" i="5" a="1"/>
  <c r="G16" i="5" a="1"/>
  <c r="I16" i="5" a="1"/>
  <c r="M16" i="5" a="1"/>
  <c r="C16" i="5" a="1"/>
  <c r="D16" i="5" a="1"/>
  <c r="U15" i="5" l="1" a="1"/>
  <c r="U15" i="5" s="1"/>
  <c r="V15" i="5" a="1"/>
  <c r="V15" i="5" s="1"/>
  <c r="I16" i="5"/>
  <c r="L16" i="5"/>
  <c r="K16" i="5"/>
  <c r="G16" i="5"/>
  <c r="D16" i="5"/>
  <c r="N16" i="5"/>
  <c r="P16" i="5"/>
  <c r="O16" i="5"/>
  <c r="C16" i="5"/>
  <c r="J16" i="5"/>
  <c r="M16" i="5"/>
  <c r="E17" i="5" a="1"/>
  <c r="E17" i="5" s="1"/>
  <c r="B17" i="5"/>
  <c r="N17" i="5" s="1" a="1"/>
  <c r="A18" i="5" a="1"/>
  <c r="R16" i="5" l="1"/>
  <c r="N17" i="5"/>
  <c r="T16" i="5"/>
  <c r="Q16" i="5"/>
  <c r="S16" i="5"/>
  <c r="F17" i="5" a="1"/>
  <c r="F17" i="5" s="1"/>
  <c r="Y17" i="5"/>
  <c r="AC17" i="5" s="1"/>
  <c r="A18" i="5"/>
  <c r="AB17" i="5"/>
  <c r="Z17" i="5"/>
  <c r="W17" i="5"/>
  <c r="AA17" i="5"/>
  <c r="X17" i="5"/>
  <c r="P17" i="5" a="1"/>
  <c r="G17" i="5" a="1"/>
  <c r="H17" i="5" a="1"/>
  <c r="L17" i="5" a="1"/>
  <c r="O17" i="5" a="1"/>
  <c r="I17" i="5" a="1"/>
  <c r="M17" i="5" a="1"/>
  <c r="C17" i="5" a="1"/>
  <c r="K17" i="5" a="1"/>
  <c r="D17" i="5" a="1"/>
  <c r="J17" i="5" a="1"/>
  <c r="V16" i="5" l="1" a="1"/>
  <c r="V16" i="5" s="1"/>
  <c r="U16" i="5" a="1"/>
  <c r="U16" i="5" s="1"/>
  <c r="L17" i="5"/>
  <c r="M17" i="5"/>
  <c r="K17" i="5"/>
  <c r="D17" i="5"/>
  <c r="O17" i="5"/>
  <c r="C17" i="5"/>
  <c r="I17" i="5"/>
  <c r="G17" i="5"/>
  <c r="J17" i="5"/>
  <c r="P17" i="5"/>
  <c r="H17" i="5"/>
  <c r="B18" i="5"/>
  <c r="D18" i="5" s="1" a="1"/>
  <c r="E18" i="5" a="1"/>
  <c r="E18" i="5" s="1"/>
  <c r="X18" i="5" s="1"/>
  <c r="A19" i="5" a="1"/>
  <c r="R17" i="5" l="1"/>
  <c r="D18" i="5"/>
  <c r="F18" i="5" a="1"/>
  <c r="F18" i="5" s="1"/>
  <c r="Q17" i="5"/>
  <c r="S17" i="5"/>
  <c r="T17" i="5"/>
  <c r="A19" i="5"/>
  <c r="AA18" i="5"/>
  <c r="Y18" i="5"/>
  <c r="AC18" i="5" s="1"/>
  <c r="W18" i="5"/>
  <c r="Z18" i="5"/>
  <c r="AB18" i="5"/>
  <c r="L18" i="5" a="1"/>
  <c r="O18" i="5" a="1"/>
  <c r="M18" i="5" a="1"/>
  <c r="C18" i="5" a="1"/>
  <c r="P18" i="5" a="1"/>
  <c r="H18" i="5" a="1"/>
  <c r="K18" i="5" a="1"/>
  <c r="N18" i="5" a="1"/>
  <c r="I18" i="5" a="1"/>
  <c r="J18" i="5" a="1"/>
  <c r="G18" i="5" a="1"/>
  <c r="U17" i="5" l="1" a="1"/>
  <c r="U17" i="5" s="1"/>
  <c r="C18" i="5"/>
  <c r="I18" i="5"/>
  <c r="V17" i="5" a="1"/>
  <c r="V17" i="5" s="1"/>
  <c r="G18" i="5"/>
  <c r="N18" i="5"/>
  <c r="O18" i="5"/>
  <c r="H18" i="5"/>
  <c r="M18" i="5"/>
  <c r="J18" i="5"/>
  <c r="P18" i="5"/>
  <c r="L18" i="5"/>
  <c r="K18" i="5"/>
  <c r="B19" i="5"/>
  <c r="K19" i="5" s="1" a="1"/>
  <c r="E19" i="5" a="1"/>
  <c r="E19" i="5" s="1"/>
  <c r="A20" i="5" a="1"/>
  <c r="R18" i="5" l="1"/>
  <c r="K19" i="5"/>
  <c r="AB19" i="5"/>
  <c r="F19" i="5" a="1"/>
  <c r="F19" i="5" s="1"/>
  <c r="Q18" i="5"/>
  <c r="S18" i="5"/>
  <c r="T18" i="5"/>
  <c r="Z19" i="5"/>
  <c r="A20" i="5"/>
  <c r="AA19" i="5"/>
  <c r="X19" i="5"/>
  <c r="W19" i="5"/>
  <c r="Y19" i="5"/>
  <c r="AC19" i="5" s="1"/>
  <c r="I19" i="5" a="1"/>
  <c r="J19" i="5" a="1"/>
  <c r="P19" i="5" a="1"/>
  <c r="L19" i="5" a="1"/>
  <c r="C19" i="5" a="1"/>
  <c r="M19" i="5" a="1"/>
  <c r="H19" i="5" a="1"/>
  <c r="D19" i="5" a="1"/>
  <c r="O19" i="5" a="1"/>
  <c r="G19" i="5" a="1"/>
  <c r="N19" i="5" a="1"/>
  <c r="U18" i="5" l="1" a="1"/>
  <c r="U18" i="5" s="1"/>
  <c r="O19" i="5"/>
  <c r="V18" i="5" a="1"/>
  <c r="V18" i="5" s="1"/>
  <c r="I19" i="5"/>
  <c r="C19" i="5"/>
  <c r="P19" i="5"/>
  <c r="D19" i="5"/>
  <c r="L19" i="5"/>
  <c r="M19" i="5"/>
  <c r="H19" i="5"/>
  <c r="G19" i="5"/>
  <c r="N19" i="5"/>
  <c r="J19" i="5"/>
  <c r="E20" i="5" a="1"/>
  <c r="E20" i="5" s="1"/>
  <c r="Z20" i="5" s="1"/>
  <c r="B20" i="5"/>
  <c r="M20" i="5" s="1" a="1"/>
  <c r="A21" i="5" a="1"/>
  <c r="Q19" i="5" l="1"/>
  <c r="M20" i="5"/>
  <c r="F20" i="5" a="1"/>
  <c r="F20" i="5" s="1"/>
  <c r="R19" i="5"/>
  <c r="T19" i="5"/>
  <c r="S19" i="5"/>
  <c r="A21" i="5"/>
  <c r="X20" i="5"/>
  <c r="AB20" i="5"/>
  <c r="AA20" i="5"/>
  <c r="Y20" i="5"/>
  <c r="AC20" i="5" s="1"/>
  <c r="W20" i="5"/>
  <c r="P20" i="5" a="1"/>
  <c r="L20" i="5" a="1"/>
  <c r="H20" i="5" a="1"/>
  <c r="O20" i="5" a="1"/>
  <c r="K20" i="5" a="1"/>
  <c r="N20" i="5" a="1"/>
  <c r="G20" i="5" a="1"/>
  <c r="C20" i="5" a="1"/>
  <c r="D20" i="5" a="1"/>
  <c r="I20" i="5" a="1"/>
  <c r="J20" i="5" a="1"/>
  <c r="U19" i="5" l="1" a="1"/>
  <c r="U19" i="5" s="1"/>
  <c r="V19" i="5" a="1"/>
  <c r="V19" i="5" s="1"/>
  <c r="I20" i="5"/>
  <c r="J20" i="5"/>
  <c r="H20" i="5"/>
  <c r="K20" i="5"/>
  <c r="N20" i="5"/>
  <c r="L20" i="5"/>
  <c r="O20" i="5"/>
  <c r="D20" i="5"/>
  <c r="P20" i="5"/>
  <c r="G20" i="5"/>
  <c r="C20" i="5"/>
  <c r="B21" i="5"/>
  <c r="L21" i="5" s="1" a="1"/>
  <c r="E21" i="5" a="1"/>
  <c r="E21" i="5" s="1"/>
  <c r="AB21" i="5" s="1"/>
  <c r="A22" i="5" a="1"/>
  <c r="L21" i="5" l="1"/>
  <c r="S20" i="5"/>
  <c r="Q20" i="5"/>
  <c r="R20" i="5"/>
  <c r="T20" i="5"/>
  <c r="A22" i="5"/>
  <c r="AA21" i="5"/>
  <c r="X21" i="5"/>
  <c r="W21" i="5"/>
  <c r="Y21" i="5"/>
  <c r="AC21" i="5" s="1"/>
  <c r="Z21" i="5"/>
  <c r="N21" i="5" a="1"/>
  <c r="D21" i="5" a="1"/>
  <c r="K21" i="5" a="1"/>
  <c r="J21" i="5" a="1"/>
  <c r="G21" i="5" a="1"/>
  <c r="P21" i="5" a="1"/>
  <c r="I21" i="5" a="1"/>
  <c r="F21" i="5" a="1"/>
  <c r="H21" i="5" a="1"/>
  <c r="M21" i="5" a="1"/>
  <c r="C21" i="5" a="1"/>
  <c r="O21" i="5" a="1"/>
  <c r="M21" i="5" l="1"/>
  <c r="C21" i="5"/>
  <c r="F21" i="5"/>
  <c r="O21" i="5"/>
  <c r="Q21" i="5" s="1"/>
  <c r="K21" i="5"/>
  <c r="G21" i="5"/>
  <c r="J21" i="5"/>
  <c r="P21" i="5"/>
  <c r="R21" i="5" s="1"/>
  <c r="H21" i="5"/>
  <c r="N21" i="5"/>
  <c r="D21" i="5"/>
  <c r="I21" i="5"/>
  <c r="E22" i="5" a="1"/>
  <c r="E22" i="5" s="1"/>
  <c r="Z22" i="5" s="1"/>
  <c r="B22" i="5"/>
  <c r="U20" i="5" a="1"/>
  <c r="U20" i="5" s="1"/>
  <c r="V20" i="5" a="1"/>
  <c r="V20" i="5" s="1"/>
  <c r="A23" i="5" a="1"/>
  <c r="F22" i="5" l="1" a="1"/>
  <c r="F22" i="5" s="1"/>
  <c r="S21" i="5"/>
  <c r="U21" i="5" a="1"/>
  <c r="U21" i="5" s="1"/>
  <c r="T21" i="5"/>
  <c r="A23" i="5"/>
  <c r="AB22" i="5"/>
  <c r="Y22" i="5"/>
  <c r="AC22" i="5" s="1"/>
  <c r="X22" i="5"/>
  <c r="AA22" i="5"/>
  <c r="W22" i="5"/>
  <c r="G22" i="5" a="1"/>
  <c r="I22" i="5" a="1"/>
  <c r="O22" i="5" a="1"/>
  <c r="D22" i="5" a="1"/>
  <c r="N22" i="5" a="1"/>
  <c r="L22" i="5" a="1"/>
  <c r="P22" i="5" a="1"/>
  <c r="K22" i="5" a="1"/>
  <c r="M22" i="5" a="1"/>
  <c r="H22" i="5" a="1"/>
  <c r="J22" i="5" a="1"/>
  <c r="C22" i="5" a="1"/>
  <c r="M22" i="5" l="1"/>
  <c r="D22" i="5"/>
  <c r="I22" i="5"/>
  <c r="K22" i="5"/>
  <c r="H22" i="5"/>
  <c r="N22" i="5"/>
  <c r="V21" i="5" a="1"/>
  <c r="V21" i="5" s="1"/>
  <c r="J22" i="5"/>
  <c r="O22" i="5"/>
  <c r="P22" i="5"/>
  <c r="C22" i="5"/>
  <c r="G22" i="5"/>
  <c r="L22" i="5"/>
  <c r="B23" i="5"/>
  <c r="J23" i="5" s="1" a="1"/>
  <c r="E23" i="5" a="1"/>
  <c r="E23" i="5" s="1"/>
  <c r="AB23" i="5" s="1"/>
  <c r="A24" i="5" a="1"/>
  <c r="T22" i="5" l="1"/>
  <c r="Q22" i="5"/>
  <c r="S22" i="5"/>
  <c r="J23" i="5"/>
  <c r="F23" i="5" a="1"/>
  <c r="F23" i="5" s="1"/>
  <c r="R22" i="5"/>
  <c r="A24" i="5"/>
  <c r="W23" i="5"/>
  <c r="Y23" i="5"/>
  <c r="AC23" i="5" s="1"/>
  <c r="AA23" i="5"/>
  <c r="X23" i="5"/>
  <c r="Z23" i="5"/>
  <c r="I23" i="5" a="1"/>
  <c r="G23" i="5" a="1"/>
  <c r="L23" i="5" a="1"/>
  <c r="K23" i="5" a="1"/>
  <c r="D23" i="5" a="1"/>
  <c r="H23" i="5" a="1"/>
  <c r="P23" i="5" a="1"/>
  <c r="C23" i="5" a="1"/>
  <c r="N23" i="5" a="1"/>
  <c r="M23" i="5" a="1"/>
  <c r="O23" i="5" a="1"/>
  <c r="V22" i="5" l="1" a="1"/>
  <c r="V22" i="5" s="1"/>
  <c r="U22" i="5" a="1"/>
  <c r="U22" i="5" s="1"/>
  <c r="M23" i="5"/>
  <c r="I23" i="5"/>
  <c r="N23" i="5"/>
  <c r="D23" i="5"/>
  <c r="G23" i="5"/>
  <c r="H23" i="5"/>
  <c r="K23" i="5"/>
  <c r="O23" i="5"/>
  <c r="L23" i="5"/>
  <c r="C23" i="5"/>
  <c r="P23" i="5"/>
  <c r="B24" i="5"/>
  <c r="N24" i="5" s="1" a="1"/>
  <c r="E24" i="5" a="1"/>
  <c r="E24" i="5" s="1"/>
  <c r="A25" i="5" a="1"/>
  <c r="R23" i="5" l="1"/>
  <c r="T23" i="5"/>
  <c r="N24" i="5"/>
  <c r="Q23" i="5"/>
  <c r="S23" i="5"/>
  <c r="F24" i="5" a="1"/>
  <c r="F24" i="5" s="1"/>
  <c r="Z24" i="5"/>
  <c r="AB24" i="5"/>
  <c r="X24" i="5"/>
  <c r="A25" i="5"/>
  <c r="AA24" i="5"/>
  <c r="Y24" i="5"/>
  <c r="AC24" i="5" s="1"/>
  <c r="W24" i="5"/>
  <c r="L24" i="5" a="1"/>
  <c r="P24" i="5" a="1"/>
  <c r="J24" i="5" a="1"/>
  <c r="I24" i="5" a="1"/>
  <c r="O24" i="5" a="1"/>
  <c r="H24" i="5" a="1"/>
  <c r="C24" i="5" a="1"/>
  <c r="M24" i="5" a="1"/>
  <c r="G24" i="5" a="1"/>
  <c r="D24" i="5" a="1"/>
  <c r="K24" i="5" a="1"/>
  <c r="U23" i="5" l="1" a="1"/>
  <c r="U23" i="5" s="1"/>
  <c r="V23" i="5" a="1"/>
  <c r="V23" i="5" s="1"/>
  <c r="H24" i="5"/>
  <c r="I24" i="5"/>
  <c r="M24" i="5"/>
  <c r="L24" i="5"/>
  <c r="O24" i="5"/>
  <c r="C24" i="5"/>
  <c r="D24" i="5"/>
  <c r="J24" i="5"/>
  <c r="K24" i="5"/>
  <c r="G24" i="5"/>
  <c r="P24" i="5"/>
  <c r="E25" i="5" a="1"/>
  <c r="E25" i="5" s="1"/>
  <c r="B25" i="5"/>
  <c r="A26" i="5" a="1"/>
  <c r="C25" i="5" a="1"/>
  <c r="R24" i="5" l="1"/>
  <c r="C25" i="5"/>
  <c r="T24" i="5"/>
  <c r="Q24" i="5"/>
  <c r="S24" i="5"/>
  <c r="F25" i="5" a="1"/>
  <c r="F25" i="5" s="1"/>
  <c r="Y25" i="5"/>
  <c r="AC25" i="5" s="1"/>
  <c r="A26" i="5"/>
  <c r="AA25" i="5"/>
  <c r="X25" i="5"/>
  <c r="W25" i="5"/>
  <c r="Z25" i="5"/>
  <c r="AB25" i="5"/>
  <c r="N25" i="5" a="1"/>
  <c r="P25" i="5" a="1"/>
  <c r="I25" i="5" a="1"/>
  <c r="O25" i="5" a="1"/>
  <c r="M25" i="5" a="1"/>
  <c r="J25" i="5" a="1"/>
  <c r="D25" i="5" a="1"/>
  <c r="L25" i="5" a="1"/>
  <c r="K25" i="5" a="1"/>
  <c r="H25" i="5" a="1"/>
  <c r="G25" i="5" a="1"/>
  <c r="V24" i="5" l="1" a="1"/>
  <c r="V24" i="5" s="1"/>
  <c r="U24" i="5" a="1"/>
  <c r="U24" i="5" s="1"/>
  <c r="H25" i="5"/>
  <c r="M25" i="5"/>
  <c r="N25" i="5"/>
  <c r="O25" i="5"/>
  <c r="G25" i="5"/>
  <c r="I25" i="5"/>
  <c r="J25" i="5"/>
  <c r="K25" i="5"/>
  <c r="L25" i="5"/>
  <c r="P25" i="5"/>
  <c r="D25" i="5"/>
  <c r="B26" i="5"/>
  <c r="K26" i="5" s="1" a="1"/>
  <c r="E26" i="5" a="1"/>
  <c r="E26" i="5" s="1"/>
  <c r="X26" i="5" s="1"/>
  <c r="A27" i="5" a="1"/>
  <c r="R25" i="5" l="1"/>
  <c r="K26" i="5"/>
  <c r="F26" i="5" a="1"/>
  <c r="F26" i="5" s="1"/>
  <c r="Q25" i="5"/>
  <c r="S25" i="5"/>
  <c r="T25" i="5"/>
  <c r="A27" i="5"/>
  <c r="A28" i="5" s="1" a="1"/>
  <c r="AA26" i="5"/>
  <c r="Y26" i="5"/>
  <c r="AC26" i="5" s="1"/>
  <c r="W26" i="5"/>
  <c r="Z26" i="5"/>
  <c r="AB26" i="5"/>
  <c r="I26" i="5" a="1"/>
  <c r="H26" i="5" a="1"/>
  <c r="D26" i="5" a="1"/>
  <c r="G26" i="5" a="1"/>
  <c r="P26" i="5" a="1"/>
  <c r="N26" i="5" a="1"/>
  <c r="J26" i="5" a="1"/>
  <c r="C26" i="5" a="1"/>
  <c r="O26" i="5" a="1"/>
  <c r="L26" i="5" a="1"/>
  <c r="M26" i="5" a="1"/>
  <c r="C26" i="5" l="1"/>
  <c r="D26" i="5"/>
  <c r="H26" i="5"/>
  <c r="U25" i="5" a="1"/>
  <c r="U25" i="5" s="1"/>
  <c r="V25" i="5" a="1"/>
  <c r="V25" i="5" s="1"/>
  <c r="G26" i="5"/>
  <c r="L26" i="5"/>
  <c r="N26" i="5"/>
  <c r="M26" i="5"/>
  <c r="I26" i="5"/>
  <c r="J26" i="5"/>
  <c r="P26" i="5"/>
  <c r="O26" i="5"/>
  <c r="B27" i="5"/>
  <c r="J27" i="5" s="1" a="1"/>
  <c r="E27" i="5" a="1"/>
  <c r="E27" i="5" s="1"/>
  <c r="AA27" i="5" s="1"/>
  <c r="A28" i="5"/>
  <c r="R26" i="5" l="1"/>
  <c r="W27" i="5"/>
  <c r="J27" i="5"/>
  <c r="Q26" i="5"/>
  <c r="S26" i="5"/>
  <c r="T26" i="5"/>
  <c r="E28" i="5" a="1"/>
  <c r="E28" i="5" s="1"/>
  <c r="B28" i="5"/>
  <c r="N28" i="5" s="1" a="1"/>
  <c r="AB27" i="5"/>
  <c r="Y27" i="5"/>
  <c r="AC27" i="5" s="1"/>
  <c r="Z27" i="5"/>
  <c r="F27" i="5" a="1"/>
  <c r="F27" i="5" s="1"/>
  <c r="X27" i="5"/>
  <c r="L27" i="5" a="1"/>
  <c r="N27" i="5" a="1"/>
  <c r="K27" i="5" a="1"/>
  <c r="H27" i="5" a="1"/>
  <c r="I27" i="5" a="1"/>
  <c r="G27" i="5" a="1"/>
  <c r="A29" i="5" a="1"/>
  <c r="M27" i="5" a="1"/>
  <c r="O27" i="5" a="1"/>
  <c r="C27" i="5" a="1"/>
  <c r="D27" i="5" a="1"/>
  <c r="P27" i="5" a="1"/>
  <c r="U26" i="5" l="1" a="1"/>
  <c r="U26" i="5" s="1"/>
  <c r="G27" i="5"/>
  <c r="V26" i="5" a="1"/>
  <c r="V26" i="5" s="1"/>
  <c r="N28" i="5"/>
  <c r="C27" i="5"/>
  <c r="K27" i="5"/>
  <c r="M27" i="5"/>
  <c r="L27" i="5"/>
  <c r="P27" i="5"/>
  <c r="I27" i="5"/>
  <c r="N27" i="5"/>
  <c r="H27" i="5"/>
  <c r="D27" i="5"/>
  <c r="O27" i="5"/>
  <c r="Z28" i="5"/>
  <c r="F28" i="5" a="1"/>
  <c r="F28" i="5" s="1"/>
  <c r="AA28" i="5"/>
  <c r="X28" i="5"/>
  <c r="AB28" i="5"/>
  <c r="A29" i="5"/>
  <c r="Y28" i="5"/>
  <c r="AC28" i="5" s="1"/>
  <c r="W28" i="5"/>
  <c r="I28" i="5" a="1"/>
  <c r="C28" i="5" a="1"/>
  <c r="P28" i="5" a="1"/>
  <c r="M28" i="5" a="1"/>
  <c r="K28" i="5" a="1"/>
  <c r="D28" i="5" a="1"/>
  <c r="L28" i="5" a="1"/>
  <c r="G28" i="5" a="1"/>
  <c r="H28" i="5" a="1"/>
  <c r="J28" i="5" a="1"/>
  <c r="O28" i="5" a="1"/>
  <c r="T27" i="5" l="1"/>
  <c r="K28" i="5"/>
  <c r="H28" i="5"/>
  <c r="M28" i="5"/>
  <c r="G28" i="5"/>
  <c r="L28" i="5"/>
  <c r="I28" i="5"/>
  <c r="D28" i="5"/>
  <c r="O28" i="5"/>
  <c r="J28" i="5"/>
  <c r="P28" i="5"/>
  <c r="C28" i="5"/>
  <c r="R27" i="5"/>
  <c r="Q27" i="5"/>
  <c r="S27" i="5"/>
  <c r="B29" i="5"/>
  <c r="K29" i="5" s="1" a="1"/>
  <c r="E29" i="5" a="1"/>
  <c r="E29" i="5" s="1"/>
  <c r="AB29" i="5" s="1"/>
  <c r="A30" i="5" a="1"/>
  <c r="T28" i="5" l="1"/>
  <c r="U27" i="5" a="1"/>
  <c r="U27" i="5" s="1"/>
  <c r="V27" i="5" a="1"/>
  <c r="V27" i="5" s="1"/>
  <c r="K29" i="5"/>
  <c r="R28" i="5"/>
  <c r="Q28" i="5"/>
  <c r="S28" i="5"/>
  <c r="F29" i="5" a="1"/>
  <c r="F29" i="5" s="1"/>
  <c r="A30" i="5"/>
  <c r="W29" i="5"/>
  <c r="AA29" i="5"/>
  <c r="X29" i="5"/>
  <c r="Y29" i="5"/>
  <c r="AC29" i="5" s="1"/>
  <c r="Z29" i="5"/>
  <c r="D29" i="5" a="1"/>
  <c r="G29" i="5" a="1"/>
  <c r="M29" i="5" a="1"/>
  <c r="J29" i="5" a="1"/>
  <c r="H29" i="5" a="1"/>
  <c r="I29" i="5" a="1"/>
  <c r="L29" i="5" a="1"/>
  <c r="C29" i="5" a="1"/>
  <c r="P29" i="5" a="1"/>
  <c r="N29" i="5" a="1"/>
  <c r="O29" i="5" a="1"/>
  <c r="V28" i="5" l="1" a="1"/>
  <c r="V28" i="5" s="1"/>
  <c r="C29" i="5"/>
  <c r="M29" i="5"/>
  <c r="L29" i="5"/>
  <c r="H29" i="5"/>
  <c r="N29" i="5"/>
  <c r="P29" i="5"/>
  <c r="I29" i="5"/>
  <c r="G29" i="5"/>
  <c r="O29" i="5"/>
  <c r="D29" i="5"/>
  <c r="J29" i="5"/>
  <c r="E30" i="5" a="1"/>
  <c r="E30" i="5" s="1"/>
  <c r="Z30" i="5" s="1"/>
  <c r="B30" i="5"/>
  <c r="P30" i="5" s="1" a="1"/>
  <c r="U28" i="5" a="1"/>
  <c r="U28" i="5" s="1"/>
  <c r="A31" i="5" a="1"/>
  <c r="R29" i="5" l="1"/>
  <c r="P30" i="5"/>
  <c r="F30" i="5" a="1"/>
  <c r="F30" i="5" s="1"/>
  <c r="T29" i="5"/>
  <c r="S29" i="5"/>
  <c r="Q29" i="5"/>
  <c r="X30" i="5"/>
  <c r="AA30" i="5"/>
  <c r="AB30" i="5"/>
  <c r="A31" i="5"/>
  <c r="Y30" i="5"/>
  <c r="AC30" i="5" s="1"/>
  <c r="W30" i="5"/>
  <c r="H30" i="5" a="1"/>
  <c r="N30" i="5" a="1"/>
  <c r="K30" i="5" a="1"/>
  <c r="D30" i="5" a="1"/>
  <c r="I30" i="5" a="1"/>
  <c r="M30" i="5" a="1"/>
  <c r="C30" i="5" a="1"/>
  <c r="L30" i="5" a="1"/>
  <c r="O30" i="5" a="1"/>
  <c r="G30" i="5" a="1"/>
  <c r="J30" i="5" a="1"/>
  <c r="V29" i="5" l="1" a="1"/>
  <c r="V29" i="5" s="1"/>
  <c r="U29" i="5" a="1"/>
  <c r="U29" i="5" s="1"/>
  <c r="G30" i="5"/>
  <c r="N30" i="5"/>
  <c r="J30" i="5"/>
  <c r="H30" i="5"/>
  <c r="C30" i="5"/>
  <c r="M30" i="5"/>
  <c r="T30" i="5" s="1"/>
  <c r="O30" i="5"/>
  <c r="L30" i="5"/>
  <c r="R30" i="5" s="1"/>
  <c r="I30" i="5"/>
  <c r="K30" i="5"/>
  <c r="D30" i="5"/>
  <c r="B31" i="5"/>
  <c r="F31" i="5" s="1" a="1"/>
  <c r="F31" i="5" s="1"/>
  <c r="E31" i="5" a="1"/>
  <c r="E31" i="5" s="1"/>
  <c r="A32" i="5" a="1"/>
  <c r="W31" i="5" l="1"/>
  <c r="S30" i="5"/>
  <c r="V30" i="5" s="1" a="1"/>
  <c r="V30" i="5" s="1"/>
  <c r="Q30" i="5"/>
  <c r="U30" i="5" s="1" a="1"/>
  <c r="U30" i="5" s="1"/>
  <c r="A32" i="5"/>
  <c r="AA31" i="5"/>
  <c r="X31" i="5"/>
  <c r="AB31" i="5"/>
  <c r="Y31" i="5"/>
  <c r="AC31" i="5" s="1"/>
  <c r="Z31" i="5"/>
  <c r="O31" i="5" a="1"/>
  <c r="J31" i="5" a="1"/>
  <c r="N31" i="5" a="1"/>
  <c r="D31" i="5" a="1"/>
  <c r="H31" i="5" a="1"/>
  <c r="I31" i="5" a="1"/>
  <c r="G31" i="5" a="1"/>
  <c r="K31" i="5" a="1"/>
  <c r="P31" i="5" a="1"/>
  <c r="C31" i="5" a="1"/>
  <c r="M31" i="5" a="1"/>
  <c r="L31" i="5" a="1"/>
  <c r="H31" i="5" l="1"/>
  <c r="C31" i="5"/>
  <c r="M31" i="5"/>
  <c r="L31" i="5"/>
  <c r="K31" i="5"/>
  <c r="P31" i="5"/>
  <c r="G31" i="5"/>
  <c r="D31" i="5"/>
  <c r="O31" i="5"/>
  <c r="N31" i="5"/>
  <c r="J31" i="5"/>
  <c r="I31" i="5"/>
  <c r="B32" i="5"/>
  <c r="F32" i="5" s="1" a="1"/>
  <c r="F32" i="5" s="1"/>
  <c r="E32" i="5" a="1"/>
  <c r="E32" i="5" s="1"/>
  <c r="A33" i="5" a="1"/>
  <c r="T31" i="5" l="1"/>
  <c r="Q31" i="5"/>
  <c r="S31" i="5"/>
  <c r="R31" i="5"/>
  <c r="X32" i="5"/>
  <c r="A33" i="5"/>
  <c r="AA32" i="5"/>
  <c r="Y32" i="5"/>
  <c r="AC32" i="5" s="1"/>
  <c r="Z32" i="5"/>
  <c r="W32" i="5"/>
  <c r="AB32" i="5"/>
  <c r="G32" i="5" a="1"/>
  <c r="D32" i="5" a="1"/>
  <c r="C32" i="5" a="1"/>
  <c r="H32" i="5" a="1"/>
  <c r="I32" i="5" a="1"/>
  <c r="P32" i="5" a="1"/>
  <c r="K32" i="5" a="1"/>
  <c r="M32" i="5" a="1"/>
  <c r="L32" i="5" a="1"/>
  <c r="N32" i="5" a="1"/>
  <c r="J32" i="5" a="1"/>
  <c r="O32" i="5" a="1"/>
  <c r="J32" i="5" l="1"/>
  <c r="O32" i="5"/>
  <c r="K32" i="5"/>
  <c r="G32" i="5"/>
  <c r="V31" i="5" a="1"/>
  <c r="V31" i="5" s="1"/>
  <c r="U31" i="5" a="1"/>
  <c r="U31" i="5" s="1"/>
  <c r="C32" i="5"/>
  <c r="P32" i="5"/>
  <c r="L32" i="5"/>
  <c r="N32" i="5"/>
  <c r="M32" i="5"/>
  <c r="I32" i="5"/>
  <c r="D32" i="5"/>
  <c r="H32" i="5"/>
  <c r="E33" i="5" a="1"/>
  <c r="E33" i="5" s="1"/>
  <c r="B33" i="5"/>
  <c r="F33" i="5" s="1" a="1"/>
  <c r="F33" i="5" s="1"/>
  <c r="A34" i="5" a="1"/>
  <c r="Q32" i="5" l="1"/>
  <c r="R32" i="5"/>
  <c r="T32" i="5"/>
  <c r="S32" i="5"/>
  <c r="Y33" i="5"/>
  <c r="AC33" i="5" s="1"/>
  <c r="A34" i="5"/>
  <c r="AA33" i="5"/>
  <c r="X33" i="5"/>
  <c r="W33" i="5"/>
  <c r="Z33" i="5"/>
  <c r="AB33" i="5"/>
  <c r="I33" i="5" a="1"/>
  <c r="O33" i="5" a="1"/>
  <c r="K33" i="5" a="1"/>
  <c r="C33" i="5" a="1"/>
  <c r="H33" i="5" a="1"/>
  <c r="D33" i="5" a="1"/>
  <c r="J33" i="5" a="1"/>
  <c r="L33" i="5" a="1"/>
  <c r="M33" i="5" a="1"/>
  <c r="P33" i="5" a="1"/>
  <c r="G33" i="5" a="1"/>
  <c r="N33" i="5" a="1"/>
  <c r="U32" i="5" l="1" a="1"/>
  <c r="U32" i="5" s="1"/>
  <c r="V32" i="5" a="1"/>
  <c r="V32" i="5" s="1"/>
  <c r="K33" i="5"/>
  <c r="O33" i="5"/>
  <c r="I33" i="5"/>
  <c r="C33" i="5"/>
  <c r="P33" i="5"/>
  <c r="M33" i="5"/>
  <c r="N33" i="5"/>
  <c r="L33" i="5"/>
  <c r="D33" i="5"/>
  <c r="H33" i="5"/>
  <c r="J33" i="5"/>
  <c r="G33" i="5"/>
  <c r="B34" i="5"/>
  <c r="F34" i="5" s="1" a="1"/>
  <c r="F34" i="5" s="1"/>
  <c r="E34" i="5" a="1"/>
  <c r="E34" i="5" s="1"/>
  <c r="X34" i="5" s="1"/>
  <c r="A35" i="5" a="1"/>
  <c r="T33" i="5" l="1"/>
  <c r="R33" i="5"/>
  <c r="Q33" i="5"/>
  <c r="S33" i="5"/>
  <c r="A35" i="5"/>
  <c r="AA34" i="5"/>
  <c r="Y34" i="5"/>
  <c r="AC34" i="5" s="1"/>
  <c r="W34" i="5"/>
  <c r="Z34" i="5"/>
  <c r="AB34" i="5"/>
  <c r="O34" i="5" a="1"/>
  <c r="M34" i="5" a="1"/>
  <c r="L34" i="5" a="1"/>
  <c r="H34" i="5" a="1"/>
  <c r="C34" i="5" a="1"/>
  <c r="J34" i="5" a="1"/>
  <c r="G34" i="5" a="1"/>
  <c r="K34" i="5" a="1"/>
  <c r="I34" i="5" a="1"/>
  <c r="D34" i="5" a="1"/>
  <c r="N34" i="5" a="1"/>
  <c r="P34" i="5" a="1"/>
  <c r="V33" i="5" l="1" a="1"/>
  <c r="V33" i="5" s="1"/>
  <c r="H34" i="5"/>
  <c r="N34" i="5"/>
  <c r="U33" i="5" a="1"/>
  <c r="U33" i="5" s="1"/>
  <c r="C34" i="5"/>
  <c r="O34" i="5"/>
  <c r="D34" i="5"/>
  <c r="P34" i="5"/>
  <c r="J34" i="5"/>
  <c r="M34" i="5"/>
  <c r="I34" i="5"/>
  <c r="L34" i="5"/>
  <c r="G34" i="5"/>
  <c r="K34" i="5"/>
  <c r="B35" i="5"/>
  <c r="E35" i="5" a="1"/>
  <c r="E35" i="5" s="1"/>
  <c r="A36" i="5" a="1"/>
  <c r="I35" i="5" a="1"/>
  <c r="R34" i="5" l="1"/>
  <c r="S34" i="5"/>
  <c r="Q34" i="5"/>
  <c r="T34" i="5"/>
  <c r="I35" i="5"/>
  <c r="AB35" i="5"/>
  <c r="F35" i="5" a="1"/>
  <c r="F35" i="5" s="1"/>
  <c r="A36" i="5"/>
  <c r="AA35" i="5"/>
  <c r="W35" i="5"/>
  <c r="X35" i="5"/>
  <c r="Z35" i="5"/>
  <c r="Y35" i="5"/>
  <c r="AC35" i="5" s="1"/>
  <c r="K35" i="5" a="1"/>
  <c r="J35" i="5" a="1"/>
  <c r="O35" i="5" a="1"/>
  <c r="M35" i="5" a="1"/>
  <c r="P35" i="5" a="1"/>
  <c r="G35" i="5" a="1"/>
  <c r="H35" i="5" a="1"/>
  <c r="N35" i="5" a="1"/>
  <c r="D35" i="5" a="1"/>
  <c r="C35" i="5" a="1"/>
  <c r="L35" i="5" a="1"/>
  <c r="V34" i="5" l="1" a="1"/>
  <c r="V34" i="5" s="1"/>
  <c r="U34" i="5" a="1"/>
  <c r="U34" i="5" s="1"/>
  <c r="O35" i="5"/>
  <c r="K35" i="5"/>
  <c r="J35" i="5"/>
  <c r="L35" i="5"/>
  <c r="M35" i="5"/>
  <c r="C35" i="5"/>
  <c r="H35" i="5"/>
  <c r="N35" i="5"/>
  <c r="D35" i="5"/>
  <c r="P35" i="5"/>
  <c r="G35" i="5"/>
  <c r="E36" i="5" a="1"/>
  <c r="E36" i="5" s="1"/>
  <c r="X36" i="5" s="1"/>
  <c r="B36" i="5"/>
  <c r="I36" i="5" s="1" a="1"/>
  <c r="A37" i="5" a="1"/>
  <c r="Q35" i="5" l="1"/>
  <c r="R35" i="5"/>
  <c r="I36" i="5"/>
  <c r="T35" i="5"/>
  <c r="S35" i="5"/>
  <c r="AA36" i="5"/>
  <c r="Y36" i="5"/>
  <c r="AC36" i="5" s="1"/>
  <c r="A37" i="5"/>
  <c r="W36" i="5"/>
  <c r="Z36" i="5"/>
  <c r="AB36" i="5"/>
  <c r="F36" i="5" a="1"/>
  <c r="L36" i="5" a="1"/>
  <c r="D36" i="5" a="1"/>
  <c r="P36" i="5" a="1"/>
  <c r="C36" i="5" a="1"/>
  <c r="G36" i="5" a="1"/>
  <c r="J36" i="5" a="1"/>
  <c r="K36" i="5" a="1"/>
  <c r="N36" i="5" a="1"/>
  <c r="M36" i="5" a="1"/>
  <c r="H36" i="5" a="1"/>
  <c r="O36" i="5" a="1"/>
  <c r="U35" i="5" l="1" a="1"/>
  <c r="U35" i="5" s="1"/>
  <c r="N36" i="5"/>
  <c r="G36" i="5"/>
  <c r="P36" i="5"/>
  <c r="H36" i="5"/>
  <c r="C36" i="5"/>
  <c r="D36" i="5"/>
  <c r="M36" i="5"/>
  <c r="L36" i="5"/>
  <c r="K36" i="5"/>
  <c r="J36" i="5"/>
  <c r="O36" i="5"/>
  <c r="F36" i="5"/>
  <c r="B37" i="5"/>
  <c r="E37" i="5" a="1"/>
  <c r="E37" i="5" s="1"/>
  <c r="V35" i="5" a="1"/>
  <c r="V35" i="5" s="1"/>
  <c r="A38" i="5" a="1"/>
  <c r="F37" i="5" l="1" a="1"/>
  <c r="F37" i="5" s="1"/>
  <c r="T36" i="5"/>
  <c r="AB37" i="5"/>
  <c r="R36" i="5"/>
  <c r="Q36" i="5"/>
  <c r="S36" i="5"/>
  <c r="A38" i="5"/>
  <c r="W37" i="5"/>
  <c r="AA37" i="5"/>
  <c r="X37" i="5"/>
  <c r="Y37" i="5"/>
  <c r="AC37" i="5" s="1"/>
  <c r="Z37" i="5"/>
  <c r="J37" i="5" a="1"/>
  <c r="N37" i="5" a="1"/>
  <c r="O37" i="5" a="1"/>
  <c r="M37" i="5" a="1"/>
  <c r="H37" i="5" a="1"/>
  <c r="C37" i="5" a="1"/>
  <c r="L37" i="5" a="1"/>
  <c r="D37" i="5" a="1"/>
  <c r="G37" i="5" a="1"/>
  <c r="I37" i="5" a="1"/>
  <c r="K37" i="5" a="1"/>
  <c r="P37" i="5" a="1"/>
  <c r="V36" i="5" l="1" a="1"/>
  <c r="V36" i="5" s="1"/>
  <c r="M37" i="5"/>
  <c r="L37" i="5"/>
  <c r="P37" i="5"/>
  <c r="J37" i="5"/>
  <c r="G37" i="5"/>
  <c r="K37" i="5"/>
  <c r="H37" i="5"/>
  <c r="I37" i="5"/>
  <c r="C37" i="5"/>
  <c r="U36" i="5" a="1"/>
  <c r="U36" i="5" s="1"/>
  <c r="N37" i="5"/>
  <c r="O37" i="5"/>
  <c r="D37" i="5"/>
  <c r="E38" i="5" a="1"/>
  <c r="E38" i="5" s="1"/>
  <c r="Z38" i="5" s="1"/>
  <c r="B38" i="5"/>
  <c r="P38" i="5" a="1"/>
  <c r="A39" i="5" a="1"/>
  <c r="R37" i="5" l="1"/>
  <c r="T37" i="5"/>
  <c r="P38" i="5"/>
  <c r="F38" i="5" a="1"/>
  <c r="F38" i="5" s="1"/>
  <c r="S37" i="5"/>
  <c r="Q37" i="5"/>
  <c r="AB38" i="5"/>
  <c r="X38" i="5"/>
  <c r="A39" i="5"/>
  <c r="Y38" i="5"/>
  <c r="AC38" i="5" s="1"/>
  <c r="AA38" i="5"/>
  <c r="W38" i="5"/>
  <c r="H38" i="5" a="1"/>
  <c r="L38" i="5" a="1"/>
  <c r="N38" i="5" a="1"/>
  <c r="I38" i="5" a="1"/>
  <c r="J38" i="5" a="1"/>
  <c r="K38" i="5" a="1"/>
  <c r="O38" i="5" a="1"/>
  <c r="C38" i="5" a="1"/>
  <c r="M38" i="5" a="1"/>
  <c r="G38" i="5" a="1"/>
  <c r="D38" i="5" a="1"/>
  <c r="U37" i="5" l="1" a="1"/>
  <c r="U37" i="5" s="1"/>
  <c r="V37" i="5" a="1"/>
  <c r="V37" i="5" s="1"/>
  <c r="J38" i="5"/>
  <c r="I38" i="5"/>
  <c r="C38" i="5"/>
  <c r="D38" i="5"/>
  <c r="O38" i="5"/>
  <c r="K38" i="5"/>
  <c r="L38" i="5"/>
  <c r="R38" i="5" s="1"/>
  <c r="M38" i="5"/>
  <c r="T38" i="5" s="1"/>
  <c r="H38" i="5"/>
  <c r="G38" i="5"/>
  <c r="N38" i="5"/>
  <c r="B39" i="5"/>
  <c r="F39" i="5" s="1" a="1"/>
  <c r="F39" i="5" s="1"/>
  <c r="E39" i="5" a="1"/>
  <c r="E39" i="5" s="1"/>
  <c r="AB39" i="5" s="1"/>
  <c r="A40" i="5" a="1"/>
  <c r="S38" i="5" l="1"/>
  <c r="V38" i="5" s="1" a="1"/>
  <c r="V38" i="5" s="1"/>
  <c r="Q38" i="5"/>
  <c r="U38" i="5" s="1" a="1"/>
  <c r="U38" i="5" s="1"/>
  <c r="A40" i="5"/>
  <c r="AA39" i="5"/>
  <c r="X39" i="5"/>
  <c r="W39" i="5"/>
  <c r="Y39" i="5"/>
  <c r="AC39" i="5" s="1"/>
  <c r="Z39" i="5"/>
  <c r="I39" i="5" a="1"/>
  <c r="N39" i="5" a="1"/>
  <c r="M39" i="5" a="1"/>
  <c r="L39" i="5" a="1"/>
  <c r="G39" i="5" a="1"/>
  <c r="C39" i="5" a="1"/>
  <c r="O39" i="5" a="1"/>
  <c r="P39" i="5" a="1"/>
  <c r="H39" i="5" a="1"/>
  <c r="D39" i="5" a="1"/>
  <c r="K39" i="5" a="1"/>
  <c r="J39" i="5" a="1"/>
  <c r="J39" i="5" l="1"/>
  <c r="G39" i="5"/>
  <c r="L39" i="5"/>
  <c r="I39" i="5"/>
  <c r="N39" i="5"/>
  <c r="P39" i="5"/>
  <c r="D39" i="5"/>
  <c r="C39" i="5"/>
  <c r="O39" i="5"/>
  <c r="H39" i="5"/>
  <c r="K39" i="5"/>
  <c r="M39" i="5"/>
  <c r="B40" i="5"/>
  <c r="O40" i="5" s="1" a="1"/>
  <c r="E40" i="5" a="1"/>
  <c r="E40" i="5" s="1"/>
  <c r="A41" i="5" a="1"/>
  <c r="R39" i="5" l="1"/>
  <c r="T39" i="5"/>
  <c r="O40" i="5"/>
  <c r="S39" i="5"/>
  <c r="Q39" i="5"/>
  <c r="X40" i="5"/>
  <c r="F40" i="5" a="1"/>
  <c r="F40" i="5" s="1"/>
  <c r="A41" i="5"/>
  <c r="AA40" i="5"/>
  <c r="Y40" i="5"/>
  <c r="AC40" i="5" s="1"/>
  <c r="W40" i="5"/>
  <c r="Z40" i="5"/>
  <c r="AB40" i="5"/>
  <c r="H40" i="5" a="1"/>
  <c r="K40" i="5" a="1"/>
  <c r="N40" i="5" a="1"/>
  <c r="M40" i="5" a="1"/>
  <c r="D40" i="5" a="1"/>
  <c r="C40" i="5" a="1"/>
  <c r="P40" i="5" a="1"/>
  <c r="L40" i="5" a="1"/>
  <c r="G40" i="5" a="1"/>
  <c r="I40" i="5" a="1"/>
  <c r="J40" i="5" a="1"/>
  <c r="N40" i="5" l="1"/>
  <c r="U39" i="5" a="1"/>
  <c r="U39" i="5" s="1"/>
  <c r="V39" i="5" a="1"/>
  <c r="V39" i="5" s="1"/>
  <c r="I40" i="5"/>
  <c r="P40" i="5"/>
  <c r="M40" i="5"/>
  <c r="D40" i="5"/>
  <c r="J40" i="5"/>
  <c r="L40" i="5"/>
  <c r="Q40" i="5" s="1"/>
  <c r="C40" i="5"/>
  <c r="H40" i="5"/>
  <c r="G40" i="5"/>
  <c r="K40" i="5"/>
  <c r="E41" i="5" a="1"/>
  <c r="E41" i="5" s="1"/>
  <c r="B41" i="5"/>
  <c r="P41" i="5" s="1" a="1"/>
  <c r="A42" i="5" a="1"/>
  <c r="P41" i="5" l="1"/>
  <c r="Y41" i="5"/>
  <c r="AC41" i="5" s="1"/>
  <c r="S40" i="5"/>
  <c r="T40" i="5"/>
  <c r="F41" i="5" a="1"/>
  <c r="F41" i="5" s="1"/>
  <c r="R40" i="5"/>
  <c r="U40" i="5" s="1" a="1"/>
  <c r="U40" i="5" s="1"/>
  <c r="A42" i="5"/>
  <c r="AA41" i="5"/>
  <c r="X41" i="5"/>
  <c r="W41" i="5"/>
  <c r="Z41" i="5"/>
  <c r="AB41" i="5"/>
  <c r="J41" i="5" a="1"/>
  <c r="O41" i="5" a="1"/>
  <c r="M41" i="5" a="1"/>
  <c r="I41" i="5" a="1"/>
  <c r="L41" i="5" a="1"/>
  <c r="C41" i="5" a="1"/>
  <c r="G41" i="5" a="1"/>
  <c r="K41" i="5" a="1"/>
  <c r="H41" i="5" a="1"/>
  <c r="D41" i="5" a="1"/>
  <c r="N41" i="5" a="1"/>
  <c r="V40" i="5" l="1" a="1"/>
  <c r="V40" i="5" s="1"/>
  <c r="H41" i="5"/>
  <c r="M41" i="5"/>
  <c r="T41" i="5" s="1"/>
  <c r="N41" i="5"/>
  <c r="I41" i="5"/>
  <c r="C41" i="5"/>
  <c r="G41" i="5"/>
  <c r="D41" i="5"/>
  <c r="O41" i="5"/>
  <c r="K41" i="5"/>
  <c r="J41" i="5"/>
  <c r="L41" i="5"/>
  <c r="R41" i="5" s="1"/>
  <c r="B42" i="5"/>
  <c r="E42" i="5" a="1"/>
  <c r="E42" i="5" s="1"/>
  <c r="Z42" i="5" s="1"/>
  <c r="A43" i="5" a="1"/>
  <c r="C42" i="5" a="1"/>
  <c r="C42" i="5" l="1"/>
  <c r="F42" i="5" a="1"/>
  <c r="F42" i="5" s="1"/>
  <c r="Q41" i="5"/>
  <c r="U41" i="5" s="1" a="1"/>
  <c r="U41" i="5" s="1"/>
  <c r="S41" i="5"/>
  <c r="V41" i="5" s="1" a="1"/>
  <c r="V41" i="5" s="1"/>
  <c r="AB42" i="5"/>
  <c r="X42" i="5"/>
  <c r="A43" i="5"/>
  <c r="Y42" i="5"/>
  <c r="AC42" i="5" s="1"/>
  <c r="AA42" i="5"/>
  <c r="W42" i="5"/>
  <c r="P42" i="5" a="1"/>
  <c r="N42" i="5" a="1"/>
  <c r="H42" i="5" a="1"/>
  <c r="D42" i="5" a="1"/>
  <c r="G42" i="5" a="1"/>
  <c r="J42" i="5" a="1"/>
  <c r="O42" i="5" a="1"/>
  <c r="K42" i="5" a="1"/>
  <c r="M42" i="5" a="1"/>
  <c r="L42" i="5" a="1"/>
  <c r="I42" i="5" a="1"/>
  <c r="G42" i="5" l="1"/>
  <c r="J42" i="5"/>
  <c r="D42" i="5"/>
  <c r="H42" i="5"/>
  <c r="P42" i="5"/>
  <c r="O42" i="5"/>
  <c r="M42" i="5"/>
  <c r="I42" i="5"/>
  <c r="K42" i="5"/>
  <c r="N42" i="5"/>
  <c r="L42" i="5"/>
  <c r="B43" i="5"/>
  <c r="M43" i="5" s="1" a="1"/>
  <c r="E43" i="5" a="1"/>
  <c r="E43" i="5" s="1"/>
  <c r="A44" i="5" a="1"/>
  <c r="T42" i="5" l="1"/>
  <c r="R42" i="5"/>
  <c r="M43" i="5"/>
  <c r="AB43" i="5"/>
  <c r="F43" i="5" a="1"/>
  <c r="F43" i="5" s="1"/>
  <c r="Q42" i="5"/>
  <c r="S42" i="5"/>
  <c r="A44" i="5"/>
  <c r="AA43" i="5"/>
  <c r="W43" i="5"/>
  <c r="X43" i="5"/>
  <c r="Y43" i="5"/>
  <c r="AC43" i="5" s="1"/>
  <c r="Z43" i="5"/>
  <c r="H43" i="5" a="1"/>
  <c r="O43" i="5" a="1"/>
  <c r="G43" i="5" a="1"/>
  <c r="I43" i="5" a="1"/>
  <c r="D43" i="5" a="1"/>
  <c r="K43" i="5" a="1"/>
  <c r="J43" i="5" a="1"/>
  <c r="L43" i="5" a="1"/>
  <c r="P43" i="5" a="1"/>
  <c r="N43" i="5" a="1"/>
  <c r="C43" i="5" a="1"/>
  <c r="V42" i="5" l="1" a="1"/>
  <c r="V42" i="5" s="1"/>
  <c r="L43" i="5"/>
  <c r="C43" i="5"/>
  <c r="U42" i="5" a="1"/>
  <c r="U42" i="5" s="1"/>
  <c r="P43" i="5"/>
  <c r="G43" i="5"/>
  <c r="D43" i="5"/>
  <c r="I43" i="5"/>
  <c r="N43" i="5"/>
  <c r="K43" i="5"/>
  <c r="J43" i="5"/>
  <c r="H43" i="5"/>
  <c r="O43" i="5"/>
  <c r="E44" i="5" a="1"/>
  <c r="E44" i="5" s="1"/>
  <c r="X44" i="5" s="1"/>
  <c r="B44" i="5"/>
  <c r="A45" i="5" a="1"/>
  <c r="R43" i="5" l="1"/>
  <c r="T43" i="5"/>
  <c r="S43" i="5"/>
  <c r="Q43" i="5"/>
  <c r="F44" i="5" a="1"/>
  <c r="F44" i="5" s="1"/>
  <c r="A45" i="5"/>
  <c r="AA44" i="5"/>
  <c r="Y44" i="5"/>
  <c r="AC44" i="5" s="1"/>
  <c r="Z44" i="5"/>
  <c r="W44" i="5"/>
  <c r="AB44" i="5"/>
  <c r="N44" i="5" a="1"/>
  <c r="K44" i="5" a="1"/>
  <c r="I44" i="5" a="1"/>
  <c r="P44" i="5" a="1"/>
  <c r="M44" i="5" a="1"/>
  <c r="J44" i="5" a="1"/>
  <c r="O44" i="5" a="1"/>
  <c r="H44" i="5" a="1"/>
  <c r="C44" i="5" a="1"/>
  <c r="G44" i="5" a="1"/>
  <c r="D44" i="5" a="1"/>
  <c r="L44" i="5" a="1"/>
  <c r="U43" i="5" l="1" a="1"/>
  <c r="U43" i="5" s="1"/>
  <c r="V43" i="5" a="1"/>
  <c r="V43" i="5" s="1"/>
  <c r="O44" i="5"/>
  <c r="K44" i="5"/>
  <c r="L44" i="5"/>
  <c r="M44" i="5"/>
  <c r="N44" i="5"/>
  <c r="C44" i="5"/>
  <c r="H44" i="5"/>
  <c r="P44" i="5"/>
  <c r="G44" i="5"/>
  <c r="I44" i="5"/>
  <c r="D44" i="5"/>
  <c r="J44" i="5"/>
  <c r="B45" i="5"/>
  <c r="E45" i="5" a="1"/>
  <c r="E45" i="5" s="1"/>
  <c r="A46" i="5" a="1"/>
  <c r="C45" i="5" a="1"/>
  <c r="R44" i="5" l="1"/>
  <c r="C45" i="5"/>
  <c r="F45" i="5" a="1"/>
  <c r="F45" i="5" s="1"/>
  <c r="T44" i="5"/>
  <c r="AB45" i="5"/>
  <c r="S44" i="5"/>
  <c r="Q44" i="5"/>
  <c r="A46" i="5"/>
  <c r="Y45" i="5"/>
  <c r="AC45" i="5" s="1"/>
  <c r="W45" i="5"/>
  <c r="AA45" i="5"/>
  <c r="X45" i="5"/>
  <c r="Z45" i="5"/>
  <c r="J45" i="5" a="1"/>
  <c r="M45" i="5" a="1"/>
  <c r="O45" i="5" a="1"/>
  <c r="D45" i="5" a="1"/>
  <c r="H45" i="5" a="1"/>
  <c r="N45" i="5" a="1"/>
  <c r="K45" i="5" a="1"/>
  <c r="G45" i="5" a="1"/>
  <c r="L45" i="5" a="1"/>
  <c r="I45" i="5" a="1"/>
  <c r="P45" i="5" a="1"/>
  <c r="U44" i="5" l="1" a="1"/>
  <c r="U44" i="5" s="1"/>
  <c r="V44" i="5" a="1"/>
  <c r="V44" i="5" s="1"/>
  <c r="M45" i="5"/>
  <c r="K45" i="5"/>
  <c r="N45" i="5"/>
  <c r="O45" i="5"/>
  <c r="D45" i="5"/>
  <c r="H45" i="5"/>
  <c r="J45" i="5"/>
  <c r="P45" i="5"/>
  <c r="L45" i="5"/>
  <c r="G45" i="5"/>
  <c r="I45" i="5"/>
  <c r="E46" i="5" a="1"/>
  <c r="E46" i="5" s="1"/>
  <c r="Z46" i="5" s="1"/>
  <c r="B46" i="5"/>
  <c r="P46" i="5" s="1" a="1"/>
  <c r="A47" i="5" a="1"/>
  <c r="R45" i="5" l="1"/>
  <c r="P46" i="5"/>
  <c r="S45" i="5"/>
  <c r="Q45" i="5"/>
  <c r="F46" i="5" a="1"/>
  <c r="F46" i="5" s="1"/>
  <c r="T45" i="5"/>
  <c r="AB46" i="5"/>
  <c r="X46" i="5"/>
  <c r="A47" i="5"/>
  <c r="Y46" i="5"/>
  <c r="AC46" i="5" s="1"/>
  <c r="AA46" i="5"/>
  <c r="W46" i="5"/>
  <c r="H46" i="5" a="1"/>
  <c r="K46" i="5" a="1"/>
  <c r="O46" i="5" a="1"/>
  <c r="L46" i="5" a="1"/>
  <c r="C46" i="5" a="1"/>
  <c r="J46" i="5" a="1"/>
  <c r="G46" i="5" a="1"/>
  <c r="M46" i="5" a="1"/>
  <c r="N46" i="5" a="1"/>
  <c r="I46" i="5" a="1"/>
  <c r="D46" i="5" a="1"/>
  <c r="U45" i="5" l="1" a="1"/>
  <c r="U45" i="5" s="1"/>
  <c r="I46" i="5"/>
  <c r="D46" i="5"/>
  <c r="M46" i="5"/>
  <c r="T46" i="5" s="1"/>
  <c r="C46" i="5"/>
  <c r="L46" i="5"/>
  <c r="R46" i="5" s="1"/>
  <c r="H46" i="5"/>
  <c r="K46" i="5"/>
  <c r="O46" i="5"/>
  <c r="G46" i="5"/>
  <c r="N46" i="5"/>
  <c r="J46" i="5"/>
  <c r="B47" i="5"/>
  <c r="F47" i="5" s="1" a="1"/>
  <c r="F47" i="5" s="1"/>
  <c r="E47" i="5" a="1"/>
  <c r="E47" i="5" s="1"/>
  <c r="AB47" i="5" s="1"/>
  <c r="V45" i="5" a="1"/>
  <c r="V45" i="5" s="1"/>
  <c r="A48" i="5" a="1"/>
  <c r="S46" i="5" l="1"/>
  <c r="V46" i="5" s="1" a="1"/>
  <c r="V46" i="5" s="1"/>
  <c r="Q46" i="5"/>
  <c r="U46" i="5" s="1" a="1"/>
  <c r="U46" i="5" s="1"/>
  <c r="A48" i="5"/>
  <c r="W47" i="5"/>
  <c r="Y47" i="5"/>
  <c r="AC47" i="5" s="1"/>
  <c r="AA47" i="5"/>
  <c r="X47" i="5"/>
  <c r="Z47" i="5"/>
  <c r="N47" i="5" a="1"/>
  <c r="J47" i="5" a="1"/>
  <c r="I47" i="5" a="1"/>
  <c r="D47" i="5" a="1"/>
  <c r="O47" i="5" a="1"/>
  <c r="C47" i="5" a="1"/>
  <c r="P47" i="5" a="1"/>
  <c r="G47" i="5" a="1"/>
  <c r="L47" i="5" a="1"/>
  <c r="K47" i="5" a="1"/>
  <c r="H47" i="5" a="1"/>
  <c r="M47" i="5" a="1"/>
  <c r="D47" i="5" l="1"/>
  <c r="M47" i="5"/>
  <c r="O47" i="5"/>
  <c r="K47" i="5"/>
  <c r="H47" i="5"/>
  <c r="I47" i="5"/>
  <c r="P47" i="5"/>
  <c r="C47" i="5"/>
  <c r="N47" i="5"/>
  <c r="G47" i="5"/>
  <c r="J47" i="5"/>
  <c r="L47" i="5"/>
  <c r="B48" i="5"/>
  <c r="D48" i="5" s="1" a="1"/>
  <c r="E48" i="5" a="1"/>
  <c r="E48" i="5" s="1"/>
  <c r="A49" i="5" a="1"/>
  <c r="R47" i="5" l="1"/>
  <c r="D48" i="5"/>
  <c r="F48" i="5" a="1"/>
  <c r="F48" i="5" s="1"/>
  <c r="Q47" i="5"/>
  <c r="S47" i="5"/>
  <c r="Z48" i="5"/>
  <c r="T47" i="5"/>
  <c r="AB48" i="5"/>
  <c r="X48" i="5"/>
  <c r="A49" i="5"/>
  <c r="Y48" i="5"/>
  <c r="AC48" i="5" s="1"/>
  <c r="AA48" i="5"/>
  <c r="W48" i="5"/>
  <c r="K48" i="5" a="1"/>
  <c r="O48" i="5" a="1"/>
  <c r="N48" i="5" a="1"/>
  <c r="C48" i="5" a="1"/>
  <c r="G48" i="5" a="1"/>
  <c r="H48" i="5" a="1"/>
  <c r="J48" i="5" a="1"/>
  <c r="M48" i="5" a="1"/>
  <c r="P48" i="5" a="1"/>
  <c r="L48" i="5" a="1"/>
  <c r="I48" i="5" a="1"/>
  <c r="U47" i="5" l="1" a="1"/>
  <c r="U47" i="5" s="1"/>
  <c r="V47" i="5" a="1"/>
  <c r="V47" i="5" s="1"/>
  <c r="I48" i="5"/>
  <c r="G48" i="5"/>
  <c r="M48" i="5"/>
  <c r="H48" i="5"/>
  <c r="O48" i="5"/>
  <c r="P48" i="5"/>
  <c r="J48" i="5"/>
  <c r="L48" i="5"/>
  <c r="C48" i="5"/>
  <c r="N48" i="5"/>
  <c r="K48" i="5"/>
  <c r="E49" i="5" a="1"/>
  <c r="E49" i="5" s="1"/>
  <c r="B49" i="5"/>
  <c r="F49" i="5" s="1" a="1"/>
  <c r="F49" i="5" s="1"/>
  <c r="A50" i="5" a="1"/>
  <c r="R48" i="5" l="1"/>
  <c r="Q48" i="5"/>
  <c r="S48" i="5"/>
  <c r="T48" i="5"/>
  <c r="AB49" i="5"/>
  <c r="Y49" i="5"/>
  <c r="AC49" i="5" s="1"/>
  <c r="A50" i="5"/>
  <c r="AA49" i="5"/>
  <c r="X49" i="5"/>
  <c r="W49" i="5"/>
  <c r="Z49" i="5"/>
  <c r="N49" i="5" a="1"/>
  <c r="D49" i="5" a="1"/>
  <c r="O49" i="5" a="1"/>
  <c r="H49" i="5" a="1"/>
  <c r="K49" i="5" a="1"/>
  <c r="G49" i="5" a="1"/>
  <c r="P49" i="5" a="1"/>
  <c r="J49" i="5" a="1"/>
  <c r="M49" i="5" a="1"/>
  <c r="L49" i="5" a="1"/>
  <c r="C49" i="5" a="1"/>
  <c r="I49" i="5" a="1"/>
  <c r="U48" i="5" l="1" a="1"/>
  <c r="U48" i="5" s="1"/>
  <c r="V48" i="5" a="1"/>
  <c r="V48" i="5" s="1"/>
  <c r="N49" i="5"/>
  <c r="G49" i="5"/>
  <c r="D49" i="5"/>
  <c r="L49" i="5"/>
  <c r="I49" i="5"/>
  <c r="M49" i="5"/>
  <c r="K49" i="5"/>
  <c r="O49" i="5"/>
  <c r="P49" i="5"/>
  <c r="H49" i="5"/>
  <c r="J49" i="5"/>
  <c r="C49" i="5"/>
  <c r="B50" i="5"/>
  <c r="E50" i="5" a="1"/>
  <c r="E50" i="5" s="1"/>
  <c r="X50" i="5" s="1"/>
  <c r="L50" i="5" a="1"/>
  <c r="A51" i="5" a="1"/>
  <c r="T49" i="5" l="1"/>
  <c r="L50" i="5"/>
  <c r="S49" i="5"/>
  <c r="Q49" i="5"/>
  <c r="R49" i="5"/>
  <c r="A51" i="5"/>
  <c r="AA50" i="5"/>
  <c r="Y50" i="5"/>
  <c r="AC50" i="5" s="1"/>
  <c r="W50" i="5"/>
  <c r="Z50" i="5"/>
  <c r="AB50" i="5"/>
  <c r="K50" i="5" a="1"/>
  <c r="D50" i="5" a="1"/>
  <c r="G50" i="5" a="1"/>
  <c r="I50" i="5" a="1"/>
  <c r="H50" i="5" a="1"/>
  <c r="J50" i="5" a="1"/>
  <c r="N50" i="5" a="1"/>
  <c r="F50" i="5" a="1"/>
  <c r="M50" i="5" a="1"/>
  <c r="O50" i="5" a="1"/>
  <c r="P50" i="5" a="1"/>
  <c r="C50" i="5" a="1"/>
  <c r="V49" i="5" l="1" a="1"/>
  <c r="V49" i="5" s="1"/>
  <c r="C50" i="5"/>
  <c r="O50" i="5"/>
  <c r="Q50" i="5" s="1"/>
  <c r="J50" i="5"/>
  <c r="F50" i="5"/>
  <c r="G50" i="5"/>
  <c r="P50" i="5"/>
  <c r="R50" i="5" s="1"/>
  <c r="K50" i="5"/>
  <c r="H50" i="5"/>
  <c r="N50" i="5"/>
  <c r="I50" i="5"/>
  <c r="D50" i="5"/>
  <c r="M50" i="5"/>
  <c r="B51" i="5"/>
  <c r="D51" i="5" s="1" a="1"/>
  <c r="E51" i="5" a="1"/>
  <c r="E51" i="5" s="1"/>
  <c r="Z51" i="5" s="1"/>
  <c r="U49" i="5" a="1"/>
  <c r="U49" i="5" s="1"/>
  <c r="A52" i="5" a="1"/>
  <c r="U50" i="5" l="1" a="1"/>
  <c r="U50" i="5" s="1"/>
  <c r="D51" i="5"/>
  <c r="T50" i="5"/>
  <c r="S50" i="5"/>
  <c r="F51" i="5" a="1"/>
  <c r="F51" i="5" s="1"/>
  <c r="A52" i="5"/>
  <c r="W51" i="5"/>
  <c r="AA51" i="5"/>
  <c r="X51" i="5"/>
  <c r="Y51" i="5"/>
  <c r="AC51" i="5" s="1"/>
  <c r="AB51" i="5"/>
  <c r="K51" i="5" a="1"/>
  <c r="J51" i="5" a="1"/>
  <c r="M51" i="5" a="1"/>
  <c r="H51" i="5" a="1"/>
  <c r="P51" i="5" a="1"/>
  <c r="I51" i="5" a="1"/>
  <c r="O51" i="5" a="1"/>
  <c r="N51" i="5" a="1"/>
  <c r="C51" i="5" a="1"/>
  <c r="L51" i="5" a="1"/>
  <c r="G51" i="5" a="1"/>
  <c r="V50" i="5" l="1" a="1"/>
  <c r="V50" i="5" s="1"/>
  <c r="I51" i="5"/>
  <c r="M51" i="5"/>
  <c r="O51" i="5"/>
  <c r="L51" i="5"/>
  <c r="H51" i="5"/>
  <c r="P51" i="5"/>
  <c r="C51" i="5"/>
  <c r="K51" i="5"/>
  <c r="J51" i="5"/>
  <c r="N51" i="5"/>
  <c r="G51" i="5"/>
  <c r="E52" i="5" a="1"/>
  <c r="E52" i="5" s="1"/>
  <c r="Z52" i="5" s="1"/>
  <c r="B52" i="5"/>
  <c r="A53" i="5" a="1"/>
  <c r="R51" i="5" l="1"/>
  <c r="S51" i="5"/>
  <c r="Q51" i="5"/>
  <c r="F52" i="5" a="1"/>
  <c r="F52" i="5" s="1"/>
  <c r="T51" i="5"/>
  <c r="AA52" i="5"/>
  <c r="AB52" i="5"/>
  <c r="X52" i="5"/>
  <c r="A53" i="5"/>
  <c r="Y52" i="5"/>
  <c r="AC52" i="5" s="1"/>
  <c r="W52" i="5"/>
  <c r="I52" i="5" a="1"/>
  <c r="H52" i="5" a="1"/>
  <c r="M52" i="5" a="1"/>
  <c r="O52" i="5" a="1"/>
  <c r="C52" i="5" a="1"/>
  <c r="P52" i="5" a="1"/>
  <c r="G52" i="5" a="1"/>
  <c r="N52" i="5" a="1"/>
  <c r="L52" i="5" a="1"/>
  <c r="D52" i="5" a="1"/>
  <c r="K52" i="5" a="1"/>
  <c r="J52" i="5" a="1"/>
  <c r="U51" i="5" l="1" a="1"/>
  <c r="U51" i="5" s="1"/>
  <c r="I52" i="5"/>
  <c r="K52" i="5"/>
  <c r="J52" i="5"/>
  <c r="D52" i="5"/>
  <c r="O52" i="5"/>
  <c r="P52" i="5"/>
  <c r="C52" i="5"/>
  <c r="L52" i="5"/>
  <c r="H52" i="5"/>
  <c r="G52" i="5"/>
  <c r="M52" i="5"/>
  <c r="N52" i="5"/>
  <c r="B53" i="5"/>
  <c r="F53" i="5" s="1" a="1"/>
  <c r="F53" i="5" s="1"/>
  <c r="E53" i="5" a="1"/>
  <c r="E53" i="5" s="1"/>
  <c r="V51" i="5" a="1"/>
  <c r="V51" i="5" s="1"/>
  <c r="A54" i="5" a="1"/>
  <c r="R52" i="5" l="1"/>
  <c r="Q52" i="5"/>
  <c r="S52" i="5"/>
  <c r="AB53" i="5"/>
  <c r="T52" i="5"/>
  <c r="A54" i="5"/>
  <c r="W53" i="5"/>
  <c r="AA53" i="5"/>
  <c r="X53" i="5"/>
  <c r="Y53" i="5"/>
  <c r="AC53" i="5" s="1"/>
  <c r="Z53" i="5"/>
  <c r="L53" i="5" a="1"/>
  <c r="D53" i="5" a="1"/>
  <c r="G53" i="5" a="1"/>
  <c r="K53" i="5" a="1"/>
  <c r="J53" i="5" a="1"/>
  <c r="P53" i="5" a="1"/>
  <c r="H53" i="5" a="1"/>
  <c r="N53" i="5" a="1"/>
  <c r="C53" i="5" a="1"/>
  <c r="I53" i="5" a="1"/>
  <c r="M53" i="5" a="1"/>
  <c r="O53" i="5" a="1"/>
  <c r="D53" i="5" l="1"/>
  <c r="C53" i="5"/>
  <c r="G53" i="5"/>
  <c r="M53" i="5"/>
  <c r="O53" i="5"/>
  <c r="H53" i="5"/>
  <c r="K53" i="5"/>
  <c r="P53" i="5"/>
  <c r="I53" i="5"/>
  <c r="J53" i="5"/>
  <c r="L53" i="5"/>
  <c r="N53" i="5"/>
  <c r="V52" i="5" a="1"/>
  <c r="V52" i="5" s="1"/>
  <c r="E54" i="5" a="1"/>
  <c r="E54" i="5" s="1"/>
  <c r="Z54" i="5" s="1"/>
  <c r="B54" i="5"/>
  <c r="U52" i="5" a="1"/>
  <c r="U52" i="5" s="1"/>
  <c r="A55" i="5" a="1"/>
  <c r="C54" i="5" a="1"/>
  <c r="C54" i="5" l="1"/>
  <c r="R53" i="5"/>
  <c r="F54" i="5" a="1"/>
  <c r="F54" i="5" s="1"/>
  <c r="Q53" i="5"/>
  <c r="S53" i="5"/>
  <c r="T53" i="5"/>
  <c r="A55" i="5"/>
  <c r="Y54" i="5"/>
  <c r="AC54" i="5" s="1"/>
  <c r="X54" i="5"/>
  <c r="AB54" i="5"/>
  <c r="AA54" i="5"/>
  <c r="W54" i="5"/>
  <c r="H54" i="5" a="1"/>
  <c r="K54" i="5" a="1"/>
  <c r="J54" i="5" a="1"/>
  <c r="G54" i="5" a="1"/>
  <c r="N54" i="5" a="1"/>
  <c r="D54" i="5" a="1"/>
  <c r="P54" i="5" a="1"/>
  <c r="L54" i="5" a="1"/>
  <c r="O54" i="5" a="1"/>
  <c r="I54" i="5" a="1"/>
  <c r="M54" i="5" a="1"/>
  <c r="U53" i="5" l="1" a="1"/>
  <c r="U53" i="5" s="1"/>
  <c r="L54" i="5"/>
  <c r="G54" i="5"/>
  <c r="D54" i="5"/>
  <c r="P54" i="5"/>
  <c r="I54" i="5"/>
  <c r="N54" i="5"/>
  <c r="J54" i="5"/>
  <c r="O54" i="5"/>
  <c r="K54" i="5"/>
  <c r="H54" i="5"/>
  <c r="M54" i="5"/>
  <c r="V53" i="5" a="1"/>
  <c r="V53" i="5" s="1"/>
  <c r="B55" i="5"/>
  <c r="F55" i="5" s="1" a="1"/>
  <c r="F55" i="5" s="1"/>
  <c r="E55" i="5" a="1"/>
  <c r="E55" i="5" s="1"/>
  <c r="A56" i="5" a="1"/>
  <c r="R54" i="5" l="1"/>
  <c r="T54" i="5"/>
  <c r="S54" i="5"/>
  <c r="Q54" i="5"/>
  <c r="AB55" i="5"/>
  <c r="A56" i="5"/>
  <c r="Y55" i="5"/>
  <c r="AC55" i="5" s="1"/>
  <c r="AA55" i="5"/>
  <c r="W55" i="5"/>
  <c r="X55" i="5"/>
  <c r="Z55" i="5"/>
  <c r="J55" i="5" a="1"/>
  <c r="I55" i="5" a="1"/>
  <c r="N55" i="5" a="1"/>
  <c r="K55" i="5" a="1"/>
  <c r="O55" i="5" a="1"/>
  <c r="H55" i="5" a="1"/>
  <c r="P55" i="5" a="1"/>
  <c r="L55" i="5" a="1"/>
  <c r="D55" i="5" a="1"/>
  <c r="C55" i="5" a="1"/>
  <c r="M55" i="5" a="1"/>
  <c r="G55" i="5" a="1"/>
  <c r="U54" i="5" l="1" a="1"/>
  <c r="U54" i="5" s="1"/>
  <c r="V54" i="5" a="1"/>
  <c r="V54" i="5" s="1"/>
  <c r="K55" i="5"/>
  <c r="G55" i="5"/>
  <c r="J55" i="5"/>
  <c r="H55" i="5"/>
  <c r="L55" i="5"/>
  <c r="D55" i="5"/>
  <c r="C55" i="5"/>
  <c r="N55" i="5"/>
  <c r="P55" i="5"/>
  <c r="M55" i="5"/>
  <c r="T55" i="5" s="1"/>
  <c r="O55" i="5"/>
  <c r="I55" i="5"/>
  <c r="B56" i="5"/>
  <c r="D56" i="5" s="1" a="1"/>
  <c r="E56" i="5" a="1"/>
  <c r="E56" i="5" s="1"/>
  <c r="A57" i="5" a="1"/>
  <c r="D56" i="5" l="1"/>
  <c r="F56" i="5" a="1"/>
  <c r="F56" i="5" s="1"/>
  <c r="S55" i="5"/>
  <c r="V55" i="5" s="1" a="1"/>
  <c r="V55" i="5" s="1"/>
  <c r="Q55" i="5"/>
  <c r="Z56" i="5"/>
  <c r="R55" i="5"/>
  <c r="A57" i="5"/>
  <c r="X56" i="5"/>
  <c r="Y56" i="5"/>
  <c r="AC56" i="5" s="1"/>
  <c r="AA56" i="5"/>
  <c r="AB56" i="5"/>
  <c r="W56" i="5"/>
  <c r="J56" i="5" a="1"/>
  <c r="P56" i="5" a="1"/>
  <c r="I56" i="5" a="1"/>
  <c r="L56" i="5" a="1"/>
  <c r="C56" i="5" a="1"/>
  <c r="G56" i="5" a="1"/>
  <c r="O56" i="5" a="1"/>
  <c r="H56" i="5" a="1"/>
  <c r="K56" i="5" a="1"/>
  <c r="M56" i="5" a="1"/>
  <c r="N56" i="5" a="1"/>
  <c r="G56" i="5" l="1"/>
  <c r="M56" i="5"/>
  <c r="H56" i="5"/>
  <c r="O56" i="5"/>
  <c r="J56" i="5"/>
  <c r="I56" i="5"/>
  <c r="N56" i="5"/>
  <c r="L56" i="5"/>
  <c r="C56" i="5"/>
  <c r="P56" i="5"/>
  <c r="K56" i="5"/>
  <c r="U55" i="5" a="1"/>
  <c r="U55" i="5" s="1"/>
  <c r="E57" i="5" a="1"/>
  <c r="E57" i="5" s="1"/>
  <c r="AB57" i="5" s="1"/>
  <c r="B57" i="5"/>
  <c r="A58" i="5" a="1"/>
  <c r="Q56" i="5" l="1"/>
  <c r="S56" i="5"/>
  <c r="R56" i="5"/>
  <c r="T56" i="5"/>
  <c r="F57" i="5" a="1"/>
  <c r="F57" i="5" s="1"/>
  <c r="A58" i="5"/>
  <c r="Y57" i="5"/>
  <c r="AC57" i="5" s="1"/>
  <c r="W57" i="5"/>
  <c r="AA57" i="5"/>
  <c r="X57" i="5"/>
  <c r="Z57" i="5"/>
  <c r="M57" i="5" a="1"/>
  <c r="D57" i="5" a="1"/>
  <c r="K57" i="5" a="1"/>
  <c r="L57" i="5" a="1"/>
  <c r="G57" i="5" a="1"/>
  <c r="J57" i="5" a="1"/>
  <c r="N57" i="5" a="1"/>
  <c r="H57" i="5" a="1"/>
  <c r="O57" i="5" a="1"/>
  <c r="C57" i="5" a="1"/>
  <c r="I57" i="5" a="1"/>
  <c r="P57" i="5" a="1"/>
  <c r="G57" i="5" l="1"/>
  <c r="N57" i="5"/>
  <c r="D57" i="5"/>
  <c r="M57" i="5"/>
  <c r="L57" i="5"/>
  <c r="H57" i="5"/>
  <c r="C57" i="5"/>
  <c r="O57" i="5"/>
  <c r="J57" i="5"/>
  <c r="P57" i="5"/>
  <c r="K57" i="5"/>
  <c r="I57" i="5"/>
  <c r="V56" i="5" a="1"/>
  <c r="V56" i="5" s="1"/>
  <c r="U56" i="5" a="1"/>
  <c r="U56" i="5" s="1"/>
  <c r="B58" i="5"/>
  <c r="E58" i="5" a="1"/>
  <c r="E58" i="5" s="1"/>
  <c r="A59" i="5" a="1"/>
  <c r="P58" i="5" a="1"/>
  <c r="T57" i="5" l="1"/>
  <c r="P58" i="5"/>
  <c r="S57" i="5"/>
  <c r="Q57" i="5"/>
  <c r="Z58" i="5"/>
  <c r="R57" i="5"/>
  <c r="F58" i="5" a="1"/>
  <c r="F58" i="5" s="1"/>
  <c r="A59" i="5"/>
  <c r="AB58" i="5"/>
  <c r="X58" i="5"/>
  <c r="AA58" i="5"/>
  <c r="Y58" i="5"/>
  <c r="AC58" i="5" s="1"/>
  <c r="W58" i="5"/>
  <c r="H58" i="5" a="1"/>
  <c r="G58" i="5" a="1"/>
  <c r="L58" i="5" a="1"/>
  <c r="J58" i="5" a="1"/>
  <c r="N58" i="5" a="1"/>
  <c r="C58" i="5" a="1"/>
  <c r="I58" i="5" a="1"/>
  <c r="K58" i="5" a="1"/>
  <c r="M58" i="5" a="1"/>
  <c r="O58" i="5" a="1"/>
  <c r="D58" i="5" a="1"/>
  <c r="K58" i="5" l="1"/>
  <c r="O58" i="5"/>
  <c r="J58" i="5"/>
  <c r="V57" i="5" a="1"/>
  <c r="V57" i="5" s="1"/>
  <c r="G58" i="5"/>
  <c r="C58" i="5"/>
  <c r="D58" i="5"/>
  <c r="H58" i="5"/>
  <c r="M58" i="5"/>
  <c r="L58" i="5"/>
  <c r="N58" i="5"/>
  <c r="I58" i="5"/>
  <c r="B59" i="5"/>
  <c r="G59" i="5" s="1" a="1"/>
  <c r="E59" i="5" a="1"/>
  <c r="E59" i="5" s="1"/>
  <c r="U57" i="5" a="1"/>
  <c r="U57" i="5" s="1"/>
  <c r="A60" i="5" a="1"/>
  <c r="G59" i="5" l="1"/>
  <c r="R58" i="5"/>
  <c r="Q58" i="5"/>
  <c r="T58" i="5"/>
  <c r="S58" i="5"/>
  <c r="F59" i="5" a="1"/>
  <c r="F59" i="5" s="1"/>
  <c r="AB59" i="5"/>
  <c r="A60" i="5"/>
  <c r="W59" i="5"/>
  <c r="AA59" i="5"/>
  <c r="X59" i="5"/>
  <c r="Y59" i="5"/>
  <c r="AC59" i="5" s="1"/>
  <c r="Z59" i="5"/>
  <c r="J59" i="5" a="1"/>
  <c r="M59" i="5" a="1"/>
  <c r="K59" i="5" a="1"/>
  <c r="D59" i="5" a="1"/>
  <c r="N59" i="5" a="1"/>
  <c r="H59" i="5" a="1"/>
  <c r="I59" i="5" a="1"/>
  <c r="C59" i="5" a="1"/>
  <c r="O59" i="5" a="1"/>
  <c r="L59" i="5" a="1"/>
  <c r="P59" i="5" a="1"/>
  <c r="V58" i="5" l="1" a="1"/>
  <c r="V58" i="5" s="1"/>
  <c r="U58" i="5" a="1"/>
  <c r="U58" i="5" s="1"/>
  <c r="N59" i="5"/>
  <c r="K59" i="5"/>
  <c r="D59" i="5"/>
  <c r="L59" i="5"/>
  <c r="P59" i="5"/>
  <c r="C59" i="5"/>
  <c r="O59" i="5"/>
  <c r="J59" i="5"/>
  <c r="I59" i="5"/>
  <c r="H59" i="5"/>
  <c r="M59" i="5"/>
  <c r="E60" i="5" a="1"/>
  <c r="E60" i="5" s="1"/>
  <c r="Z60" i="5" s="1"/>
  <c r="B60" i="5"/>
  <c r="A61" i="5" a="1"/>
  <c r="R59" i="5" l="1"/>
  <c r="F60" i="5" a="1"/>
  <c r="F60" i="5" s="1"/>
  <c r="T59" i="5"/>
  <c r="Q59" i="5"/>
  <c r="S59" i="5"/>
  <c r="A61" i="5"/>
  <c r="AA60" i="5"/>
  <c r="X60" i="5"/>
  <c r="Y60" i="5"/>
  <c r="AC60" i="5" s="1"/>
  <c r="AB60" i="5"/>
  <c r="W60" i="5"/>
  <c r="O60" i="5" a="1"/>
  <c r="C60" i="5" a="1"/>
  <c r="L60" i="5" a="1"/>
  <c r="I60" i="5" a="1"/>
  <c r="M60" i="5" a="1"/>
  <c r="N60" i="5" a="1"/>
  <c r="K60" i="5" a="1"/>
  <c r="G60" i="5" a="1"/>
  <c r="J60" i="5" a="1"/>
  <c r="D60" i="5" a="1"/>
  <c r="H60" i="5" a="1"/>
  <c r="P60" i="5" a="1"/>
  <c r="U59" i="5" l="1" a="1"/>
  <c r="U59" i="5" s="1"/>
  <c r="L60" i="5"/>
  <c r="H60" i="5"/>
  <c r="D60" i="5"/>
  <c r="G60" i="5"/>
  <c r="M60" i="5"/>
  <c r="K60" i="5"/>
  <c r="O60" i="5"/>
  <c r="P60" i="5"/>
  <c r="I60" i="5"/>
  <c r="N60" i="5"/>
  <c r="J60" i="5"/>
  <c r="C60" i="5"/>
  <c r="B61" i="5"/>
  <c r="F61" i="5" s="1" a="1"/>
  <c r="F61" i="5" s="1"/>
  <c r="E61" i="5" a="1"/>
  <c r="E61" i="5" s="1"/>
  <c r="AB61" i="5" s="1"/>
  <c r="V59" i="5" a="1"/>
  <c r="V59" i="5" s="1"/>
  <c r="A62" i="5" a="1"/>
  <c r="R60" i="5" l="1"/>
  <c r="Q60" i="5"/>
  <c r="S60" i="5"/>
  <c r="T60" i="5"/>
  <c r="Y61" i="5"/>
  <c r="AC61" i="5" s="1"/>
  <c r="X61" i="5"/>
  <c r="Z61" i="5"/>
  <c r="A62" i="5"/>
  <c r="W61" i="5"/>
  <c r="AA61" i="5"/>
  <c r="P61" i="5" a="1"/>
  <c r="M61" i="5" a="1"/>
  <c r="H61" i="5" a="1"/>
  <c r="D61" i="5" a="1"/>
  <c r="I61" i="5" a="1"/>
  <c r="O61" i="5" a="1"/>
  <c r="K61" i="5" a="1"/>
  <c r="G61" i="5" a="1"/>
  <c r="C61" i="5" a="1"/>
  <c r="J61" i="5" a="1"/>
  <c r="L61" i="5" a="1"/>
  <c r="N61" i="5" a="1"/>
  <c r="U60" i="5" l="1" a="1"/>
  <c r="U60" i="5" s="1"/>
  <c r="M61" i="5"/>
  <c r="N61" i="5"/>
  <c r="D61" i="5"/>
  <c r="G61" i="5"/>
  <c r="K61" i="5"/>
  <c r="J61" i="5"/>
  <c r="O61" i="5"/>
  <c r="C61" i="5"/>
  <c r="H61" i="5"/>
  <c r="P61" i="5"/>
  <c r="I61" i="5"/>
  <c r="L61" i="5"/>
  <c r="E62" i="5" a="1"/>
  <c r="E62" i="5" s="1"/>
  <c r="X62" i="5" s="1"/>
  <c r="B62" i="5"/>
  <c r="F62" i="5" s="1" a="1"/>
  <c r="F62" i="5" s="1"/>
  <c r="V60" i="5" a="1"/>
  <c r="V60" i="5" s="1"/>
  <c r="A63" i="5" a="1"/>
  <c r="T61" i="5" l="1"/>
  <c r="S61" i="5"/>
  <c r="Q61" i="5"/>
  <c r="R61" i="5"/>
  <c r="A63" i="5"/>
  <c r="Y62" i="5"/>
  <c r="AC62" i="5" s="1"/>
  <c r="AA62" i="5"/>
  <c r="W62" i="5"/>
  <c r="Z62" i="5"/>
  <c r="AB62" i="5"/>
  <c r="M62" i="5" a="1"/>
  <c r="G62" i="5" a="1"/>
  <c r="J62" i="5" a="1"/>
  <c r="O62" i="5" a="1"/>
  <c r="P62" i="5" a="1"/>
  <c r="N62" i="5" a="1"/>
  <c r="K62" i="5" a="1"/>
  <c r="L62" i="5" a="1"/>
  <c r="C62" i="5" a="1"/>
  <c r="H62" i="5" a="1"/>
  <c r="I62" i="5" a="1"/>
  <c r="D62" i="5" a="1"/>
  <c r="V61" i="5" l="1" a="1"/>
  <c r="V61" i="5" s="1"/>
  <c r="U61" i="5" a="1"/>
  <c r="U61" i="5" s="1"/>
  <c r="H62" i="5"/>
  <c r="I62" i="5"/>
  <c r="M62" i="5"/>
  <c r="N62" i="5"/>
  <c r="J62" i="5"/>
  <c r="D62" i="5"/>
  <c r="C62" i="5"/>
  <c r="K62" i="5"/>
  <c r="O62" i="5"/>
  <c r="P62" i="5"/>
  <c r="G62" i="5"/>
  <c r="L62" i="5"/>
  <c r="B63" i="5"/>
  <c r="E63" i="5" a="1"/>
  <c r="E63" i="5" s="1"/>
  <c r="AB63" i="5" s="1"/>
  <c r="A64" i="5" a="1"/>
  <c r="F63" i="5" l="1" a="1"/>
  <c r="F63" i="5" s="1"/>
  <c r="T62" i="5"/>
  <c r="R62" i="5"/>
  <c r="S62" i="5"/>
  <c r="Q62" i="5"/>
  <c r="A64" i="5"/>
  <c r="W63" i="5"/>
  <c r="AA63" i="5"/>
  <c r="Y63" i="5"/>
  <c r="AC63" i="5" s="1"/>
  <c r="X63" i="5"/>
  <c r="Z63" i="5"/>
  <c r="N63" i="5" a="1"/>
  <c r="I63" i="5" a="1"/>
  <c r="M63" i="5" a="1"/>
  <c r="P63" i="5" a="1"/>
  <c r="L63" i="5" a="1"/>
  <c r="G63" i="5" a="1"/>
  <c r="K63" i="5" a="1"/>
  <c r="C63" i="5" a="1"/>
  <c r="H63" i="5" a="1"/>
  <c r="O63" i="5" a="1"/>
  <c r="D63" i="5" a="1"/>
  <c r="J63" i="5" a="1"/>
  <c r="V62" i="5" l="1" a="1"/>
  <c r="V62" i="5" s="1"/>
  <c r="L63" i="5"/>
  <c r="J63" i="5"/>
  <c r="P63" i="5"/>
  <c r="D63" i="5"/>
  <c r="C63" i="5"/>
  <c r="I63" i="5"/>
  <c r="G63" i="5"/>
  <c r="N63" i="5"/>
  <c r="O63" i="5"/>
  <c r="M63" i="5"/>
  <c r="K63" i="5"/>
  <c r="H63" i="5"/>
  <c r="B64" i="5"/>
  <c r="D64" i="5" s="1" a="1"/>
  <c r="E64" i="5" a="1"/>
  <c r="E64" i="5" s="1"/>
  <c r="U62" i="5" a="1"/>
  <c r="U62" i="5" s="1"/>
  <c r="A65" i="5" a="1"/>
  <c r="R63" i="5" l="1"/>
  <c r="D64" i="5"/>
  <c r="F64" i="5" a="1"/>
  <c r="F64" i="5" s="1"/>
  <c r="X64" i="5"/>
  <c r="T63" i="5"/>
  <c r="S63" i="5"/>
  <c r="Q63" i="5"/>
  <c r="A65" i="5"/>
  <c r="Y64" i="5"/>
  <c r="AC64" i="5" s="1"/>
  <c r="W64" i="5"/>
  <c r="Z64" i="5"/>
  <c r="AA64" i="5"/>
  <c r="AB64" i="5"/>
  <c r="P64" i="5" a="1"/>
  <c r="C64" i="5" a="1"/>
  <c r="K64" i="5" a="1"/>
  <c r="L64" i="5" a="1"/>
  <c r="J64" i="5" a="1"/>
  <c r="I64" i="5" a="1"/>
  <c r="M64" i="5" a="1"/>
  <c r="O64" i="5" a="1"/>
  <c r="H64" i="5" a="1"/>
  <c r="N64" i="5" a="1"/>
  <c r="G64" i="5" a="1"/>
  <c r="U63" i="5" l="1" a="1"/>
  <c r="U63" i="5" s="1"/>
  <c r="V63" i="5" a="1"/>
  <c r="V63" i="5" s="1"/>
  <c r="O64" i="5"/>
  <c r="I64" i="5"/>
  <c r="G64" i="5"/>
  <c r="N64" i="5"/>
  <c r="M64" i="5"/>
  <c r="P64" i="5"/>
  <c r="J64" i="5"/>
  <c r="H64" i="5"/>
  <c r="L64" i="5"/>
  <c r="C64" i="5"/>
  <c r="K64" i="5"/>
  <c r="E65" i="5" a="1"/>
  <c r="E65" i="5" s="1"/>
  <c r="B65" i="5"/>
  <c r="N65" i="5" s="1" a="1"/>
  <c r="A66" i="5" a="1"/>
  <c r="R64" i="5" l="1"/>
  <c r="T64" i="5"/>
  <c r="N65" i="5"/>
  <c r="F65" i="5" a="1"/>
  <c r="F65" i="5" s="1"/>
  <c r="Y65" i="5"/>
  <c r="AC65" i="5" s="1"/>
  <c r="S64" i="5"/>
  <c r="Q64" i="5"/>
  <c r="A66" i="5"/>
  <c r="X65" i="5"/>
  <c r="W65" i="5"/>
  <c r="AA65" i="5"/>
  <c r="Z65" i="5"/>
  <c r="AB65" i="5"/>
  <c r="M65" i="5" a="1"/>
  <c r="I65" i="5" a="1"/>
  <c r="C65" i="5" a="1"/>
  <c r="J65" i="5" a="1"/>
  <c r="L65" i="5" a="1"/>
  <c r="D65" i="5" a="1"/>
  <c r="G65" i="5" a="1"/>
  <c r="H65" i="5" a="1"/>
  <c r="K65" i="5" a="1"/>
  <c r="O65" i="5" a="1"/>
  <c r="P65" i="5" a="1"/>
  <c r="U64" i="5" l="1" a="1"/>
  <c r="U64" i="5" s="1"/>
  <c r="V64" i="5" a="1"/>
  <c r="V64" i="5" s="1"/>
  <c r="L65" i="5"/>
  <c r="O65" i="5"/>
  <c r="G65" i="5"/>
  <c r="C65" i="5"/>
  <c r="I65" i="5"/>
  <c r="H65" i="5"/>
  <c r="J65" i="5"/>
  <c r="M65" i="5"/>
  <c r="D65" i="5"/>
  <c r="K65" i="5"/>
  <c r="P65" i="5"/>
  <c r="B66" i="5"/>
  <c r="F66" i="5" s="1" a="1"/>
  <c r="F66" i="5" s="1"/>
  <c r="E66" i="5" a="1"/>
  <c r="E66" i="5" s="1"/>
  <c r="X66" i="5" s="1"/>
  <c r="A67" i="5" a="1"/>
  <c r="R65" i="5" l="1"/>
  <c r="T65" i="5"/>
  <c r="Q65" i="5"/>
  <c r="S65" i="5"/>
  <c r="AA66" i="5"/>
  <c r="A67" i="5"/>
  <c r="Y66" i="5"/>
  <c r="AC66" i="5" s="1"/>
  <c r="W66" i="5"/>
  <c r="Z66" i="5"/>
  <c r="AB66" i="5"/>
  <c r="N66" i="5" a="1"/>
  <c r="O66" i="5" a="1"/>
  <c r="G66" i="5" a="1"/>
  <c r="M66" i="5" a="1"/>
  <c r="P66" i="5" a="1"/>
  <c r="C66" i="5" a="1"/>
  <c r="I66" i="5" a="1"/>
  <c r="D66" i="5" a="1"/>
  <c r="K66" i="5" a="1"/>
  <c r="H66" i="5" a="1"/>
  <c r="J66" i="5" a="1"/>
  <c r="L66" i="5" a="1"/>
  <c r="U65" i="5" l="1" a="1"/>
  <c r="U65" i="5" s="1"/>
  <c r="J66" i="5"/>
  <c r="V65" i="5" a="1"/>
  <c r="V65" i="5" s="1"/>
  <c r="G66" i="5"/>
  <c r="O66" i="5"/>
  <c r="C66" i="5"/>
  <c r="K66" i="5"/>
  <c r="D66" i="5"/>
  <c r="I66" i="5"/>
  <c r="L66" i="5"/>
  <c r="P66" i="5"/>
  <c r="H66" i="5"/>
  <c r="N66" i="5"/>
  <c r="M66" i="5"/>
  <c r="B67" i="5"/>
  <c r="E67" i="5" a="1"/>
  <c r="E67" i="5" s="1"/>
  <c r="A68" i="5" a="1"/>
  <c r="R66" i="5" l="1"/>
  <c r="Q66" i="5"/>
  <c r="AB67" i="5"/>
  <c r="T66" i="5"/>
  <c r="S66" i="5"/>
  <c r="A68" i="5"/>
  <c r="AA67" i="5"/>
  <c r="Y67" i="5"/>
  <c r="AC67" i="5" s="1"/>
  <c r="W67" i="5"/>
  <c r="X67" i="5"/>
  <c r="Z67" i="5"/>
  <c r="J67" i="5" a="1"/>
  <c r="O67" i="5" a="1"/>
  <c r="I67" i="5" a="1"/>
  <c r="K67" i="5" a="1"/>
  <c r="N67" i="5" a="1"/>
  <c r="M67" i="5" a="1"/>
  <c r="F67" i="5" a="1"/>
  <c r="G67" i="5" a="1"/>
  <c r="P67" i="5" a="1"/>
  <c r="H67" i="5" a="1"/>
  <c r="D67" i="5" a="1"/>
  <c r="L67" i="5" a="1"/>
  <c r="C67" i="5" a="1"/>
  <c r="U66" i="5" l="1" a="1"/>
  <c r="U66" i="5" s="1"/>
  <c r="O67" i="5"/>
  <c r="P67" i="5"/>
  <c r="M67" i="5"/>
  <c r="F67" i="5"/>
  <c r="D67" i="5"/>
  <c r="K67" i="5"/>
  <c r="L67" i="5"/>
  <c r="G67" i="5"/>
  <c r="N67" i="5"/>
  <c r="H67" i="5"/>
  <c r="C67" i="5"/>
  <c r="J67" i="5"/>
  <c r="I67" i="5"/>
  <c r="E68" i="5" a="1"/>
  <c r="E68" i="5" s="1"/>
  <c r="B68" i="5"/>
  <c r="V66" i="5" a="1"/>
  <c r="V66" i="5" s="1"/>
  <c r="A69" i="5" a="1"/>
  <c r="F68" i="5" l="1" a="1"/>
  <c r="F68" i="5" s="1"/>
  <c r="T67" i="5"/>
  <c r="Z68" i="5"/>
  <c r="R67" i="5"/>
  <c r="S67" i="5"/>
  <c r="Q67" i="5"/>
  <c r="AA68" i="5"/>
  <c r="X68" i="5"/>
  <c r="AB68" i="5"/>
  <c r="A69" i="5"/>
  <c r="Y68" i="5"/>
  <c r="AC68" i="5" s="1"/>
  <c r="W68" i="5"/>
  <c r="M68" i="5" a="1"/>
  <c r="C68" i="5" a="1"/>
  <c r="I68" i="5" a="1"/>
  <c r="L68" i="5" a="1"/>
  <c r="N68" i="5" a="1"/>
  <c r="K68" i="5" a="1"/>
  <c r="J68" i="5" a="1"/>
  <c r="P68" i="5" a="1"/>
  <c r="H68" i="5" a="1"/>
  <c r="O68" i="5" a="1"/>
  <c r="D68" i="5" a="1"/>
  <c r="G68" i="5" a="1"/>
  <c r="J68" i="5" l="1"/>
  <c r="G68" i="5"/>
  <c r="C68" i="5"/>
  <c r="P68" i="5"/>
  <c r="V67" i="5" a="1"/>
  <c r="V67" i="5" s="1"/>
  <c r="D68" i="5"/>
  <c r="N68" i="5"/>
  <c r="I68" i="5"/>
  <c r="L68" i="5"/>
  <c r="M68" i="5"/>
  <c r="K68" i="5"/>
  <c r="H68" i="5"/>
  <c r="O68" i="5"/>
  <c r="U67" i="5" a="1"/>
  <c r="U67" i="5" s="1"/>
  <c r="B69" i="5"/>
  <c r="F69" i="5" s="1" a="1"/>
  <c r="F69" i="5" s="1"/>
  <c r="E69" i="5" a="1"/>
  <c r="E69" i="5" s="1"/>
  <c r="AB69" i="5" s="1"/>
  <c r="A70" i="5" a="1"/>
  <c r="T68" i="5" l="1"/>
  <c r="R68" i="5"/>
  <c r="Q68" i="5"/>
  <c r="S68" i="5"/>
  <c r="A70" i="5"/>
  <c r="W69" i="5"/>
  <c r="AA69" i="5"/>
  <c r="Y69" i="5"/>
  <c r="AC69" i="5" s="1"/>
  <c r="X69" i="5"/>
  <c r="Z69" i="5"/>
  <c r="M69" i="5" a="1"/>
  <c r="J69" i="5" a="1"/>
  <c r="O69" i="5" a="1"/>
  <c r="D69" i="5" a="1"/>
  <c r="H69" i="5" a="1"/>
  <c r="G69" i="5" a="1"/>
  <c r="K69" i="5" a="1"/>
  <c r="P69" i="5" a="1"/>
  <c r="N69" i="5" a="1"/>
  <c r="I69" i="5" a="1"/>
  <c r="L69" i="5" a="1"/>
  <c r="C69" i="5" a="1"/>
  <c r="V68" i="5" l="1" a="1"/>
  <c r="V68" i="5" s="1"/>
  <c r="U68" i="5" a="1"/>
  <c r="U68" i="5" s="1"/>
  <c r="M69" i="5"/>
  <c r="J69" i="5"/>
  <c r="D69" i="5"/>
  <c r="L69" i="5"/>
  <c r="C69" i="5"/>
  <c r="P69" i="5"/>
  <c r="N69" i="5"/>
  <c r="G69" i="5"/>
  <c r="K69" i="5"/>
  <c r="H69" i="5"/>
  <c r="I69" i="5"/>
  <c r="O69" i="5"/>
  <c r="E70" i="5" a="1"/>
  <c r="E70" i="5" s="1"/>
  <c r="Z70" i="5" s="1"/>
  <c r="B70" i="5"/>
  <c r="F70" i="5" s="1" a="1"/>
  <c r="F70" i="5" s="1"/>
  <c r="A71" i="5" a="1"/>
  <c r="T69" i="5" l="1"/>
  <c r="R69" i="5"/>
  <c r="Q69" i="5"/>
  <c r="S69" i="5"/>
  <c r="A71" i="5"/>
  <c r="X70" i="5"/>
  <c r="AB70" i="5"/>
  <c r="Y70" i="5"/>
  <c r="AC70" i="5" s="1"/>
  <c r="AA70" i="5"/>
  <c r="W70" i="5"/>
  <c r="G70" i="5" a="1"/>
  <c r="M70" i="5" a="1"/>
  <c r="J70" i="5" a="1"/>
  <c r="O70" i="5" a="1"/>
  <c r="P70" i="5" a="1"/>
  <c r="K70" i="5" a="1"/>
  <c r="L70" i="5" a="1"/>
  <c r="N70" i="5" a="1"/>
  <c r="C70" i="5" a="1"/>
  <c r="H70" i="5" a="1"/>
  <c r="I70" i="5" a="1"/>
  <c r="D70" i="5" a="1"/>
  <c r="V69" i="5" l="1" a="1"/>
  <c r="V69" i="5" s="1"/>
  <c r="U69" i="5" a="1"/>
  <c r="U69" i="5" s="1"/>
  <c r="G70" i="5"/>
  <c r="C70" i="5"/>
  <c r="H70" i="5"/>
  <c r="O70" i="5"/>
  <c r="L70" i="5"/>
  <c r="P70" i="5"/>
  <c r="N70" i="5"/>
  <c r="K70" i="5"/>
  <c r="J70" i="5"/>
  <c r="D70" i="5"/>
  <c r="M70" i="5"/>
  <c r="I70" i="5"/>
  <c r="B71" i="5"/>
  <c r="E71" i="5" a="1"/>
  <c r="E71" i="5" s="1"/>
  <c r="AB71" i="5" s="1"/>
  <c r="A72" i="5" a="1"/>
  <c r="C71" i="5" a="1"/>
  <c r="R70" i="5" l="1"/>
  <c r="Q70" i="5"/>
  <c r="C71" i="5"/>
  <c r="F71" i="5" a="1"/>
  <c r="F71" i="5" s="1"/>
  <c r="T70" i="5"/>
  <c r="S70" i="5"/>
  <c r="A72" i="5"/>
  <c r="Y71" i="5"/>
  <c r="AC71" i="5" s="1"/>
  <c r="AA71" i="5"/>
  <c r="W71" i="5"/>
  <c r="X71" i="5"/>
  <c r="Z71" i="5"/>
  <c r="I71" i="5" a="1"/>
  <c r="N71" i="5" a="1"/>
  <c r="J71" i="5" a="1"/>
  <c r="D71" i="5" a="1"/>
  <c r="M71" i="5" a="1"/>
  <c r="G71" i="5" a="1"/>
  <c r="L71" i="5" a="1"/>
  <c r="O71" i="5" a="1"/>
  <c r="K71" i="5" a="1"/>
  <c r="H71" i="5" a="1"/>
  <c r="P71" i="5" a="1"/>
  <c r="U70" i="5" l="1" a="1"/>
  <c r="U70" i="5" s="1"/>
  <c r="I71" i="5"/>
  <c r="J71" i="5"/>
  <c r="V70" i="5" a="1"/>
  <c r="V70" i="5" s="1"/>
  <c r="H71" i="5"/>
  <c r="N71" i="5"/>
  <c r="M71" i="5"/>
  <c r="P71" i="5"/>
  <c r="G71" i="5"/>
  <c r="L71" i="5"/>
  <c r="O71" i="5"/>
  <c r="D71" i="5"/>
  <c r="K71" i="5"/>
  <c r="B72" i="5"/>
  <c r="E72" i="5" a="1"/>
  <c r="E72" i="5" s="1"/>
  <c r="A73" i="5" a="1"/>
  <c r="K72" i="5" a="1"/>
  <c r="T71" i="5" l="1"/>
  <c r="K72" i="5"/>
  <c r="Z72" i="5"/>
  <c r="R71" i="5"/>
  <c r="F72" i="5" a="1"/>
  <c r="F72" i="5" s="1"/>
  <c r="S71" i="5"/>
  <c r="Q71" i="5"/>
  <c r="A73" i="5"/>
  <c r="AB72" i="5"/>
  <c r="AA72" i="5"/>
  <c r="X72" i="5"/>
  <c r="Y72" i="5"/>
  <c r="AC72" i="5" s="1"/>
  <c r="W72" i="5"/>
  <c r="I72" i="5" a="1"/>
  <c r="P72" i="5" a="1"/>
  <c r="C72" i="5" a="1"/>
  <c r="L72" i="5" a="1"/>
  <c r="G72" i="5" a="1"/>
  <c r="M72" i="5" a="1"/>
  <c r="H72" i="5" a="1"/>
  <c r="N72" i="5" a="1"/>
  <c r="O72" i="5" a="1"/>
  <c r="D72" i="5" a="1"/>
  <c r="J72" i="5" a="1"/>
  <c r="V71" i="5" l="1" a="1"/>
  <c r="V71" i="5" s="1"/>
  <c r="J72" i="5"/>
  <c r="G72" i="5"/>
  <c r="L72" i="5"/>
  <c r="C72" i="5"/>
  <c r="I72" i="5"/>
  <c r="H72" i="5"/>
  <c r="M72" i="5"/>
  <c r="D72" i="5"/>
  <c r="P72" i="5"/>
  <c r="O72" i="5"/>
  <c r="N72" i="5"/>
  <c r="E73" i="5" a="1"/>
  <c r="E73" i="5" s="1"/>
  <c r="AB73" i="5" s="1"/>
  <c r="B73" i="5"/>
  <c r="I73" i="5" s="1" a="1"/>
  <c r="U71" i="5" a="1"/>
  <c r="U71" i="5" s="1"/>
  <c r="A74" i="5" a="1"/>
  <c r="T72" i="5" l="1"/>
  <c r="I73" i="5"/>
  <c r="F73" i="5" a="1"/>
  <c r="F73" i="5" s="1"/>
  <c r="S72" i="5"/>
  <c r="Q72" i="5"/>
  <c r="R72" i="5"/>
  <c r="A74" i="5"/>
  <c r="AA73" i="5"/>
  <c r="X73" i="5"/>
  <c r="Y73" i="5"/>
  <c r="AC73" i="5" s="1"/>
  <c r="W73" i="5"/>
  <c r="Z73" i="5"/>
  <c r="D73" i="5" a="1"/>
  <c r="P73" i="5" a="1"/>
  <c r="O73" i="5" a="1"/>
  <c r="M73" i="5" a="1"/>
  <c r="K73" i="5" a="1"/>
  <c r="C73" i="5" a="1"/>
  <c r="H73" i="5" a="1"/>
  <c r="J73" i="5" a="1"/>
  <c r="L73" i="5" a="1"/>
  <c r="N73" i="5" a="1"/>
  <c r="G73" i="5" a="1"/>
  <c r="V72" i="5" l="1" a="1"/>
  <c r="V72" i="5" s="1"/>
  <c r="O73" i="5"/>
  <c r="D73" i="5"/>
  <c r="J73" i="5"/>
  <c r="U72" i="5" a="1"/>
  <c r="U72" i="5" s="1"/>
  <c r="L73" i="5"/>
  <c r="K73" i="5"/>
  <c r="G73" i="5"/>
  <c r="M73" i="5"/>
  <c r="C73" i="5"/>
  <c r="N73" i="5"/>
  <c r="P73" i="5"/>
  <c r="H73" i="5"/>
  <c r="B74" i="5"/>
  <c r="N74" i="5" s="1" a="1"/>
  <c r="E74" i="5" a="1"/>
  <c r="E74" i="5" s="1"/>
  <c r="A75" i="5" a="1"/>
  <c r="Q73" i="5" l="1"/>
  <c r="R73" i="5"/>
  <c r="N74" i="5"/>
  <c r="Z74" i="5"/>
  <c r="T73" i="5"/>
  <c r="S73" i="5"/>
  <c r="F74" i="5" a="1"/>
  <c r="F74" i="5" s="1"/>
  <c r="AB74" i="5"/>
  <c r="X74" i="5"/>
  <c r="A75" i="5"/>
  <c r="AA74" i="5"/>
  <c r="Y74" i="5"/>
  <c r="AC74" i="5" s="1"/>
  <c r="W74" i="5"/>
  <c r="K74" i="5" a="1"/>
  <c r="J74" i="5" a="1"/>
  <c r="G74" i="5" a="1"/>
  <c r="I74" i="5" a="1"/>
  <c r="H74" i="5" a="1"/>
  <c r="C74" i="5" a="1"/>
  <c r="L74" i="5" a="1"/>
  <c r="O74" i="5" a="1"/>
  <c r="P74" i="5" a="1"/>
  <c r="D74" i="5" a="1"/>
  <c r="M74" i="5" a="1"/>
  <c r="U73" i="5" l="1" a="1"/>
  <c r="U73" i="5" s="1"/>
  <c r="G74" i="5"/>
  <c r="H74" i="5"/>
  <c r="K74" i="5"/>
  <c r="C74" i="5"/>
  <c r="I74" i="5"/>
  <c r="L74" i="5"/>
  <c r="D74" i="5"/>
  <c r="O74" i="5"/>
  <c r="M74" i="5"/>
  <c r="J74" i="5"/>
  <c r="P74" i="5"/>
  <c r="B75" i="5"/>
  <c r="D75" i="5" s="1" a="1"/>
  <c r="E75" i="5" a="1"/>
  <c r="E75" i="5" s="1"/>
  <c r="AB75" i="5" s="1"/>
  <c r="V73" i="5" a="1"/>
  <c r="V73" i="5" s="1"/>
  <c r="A76" i="5" a="1"/>
  <c r="D75" i="5" l="1"/>
  <c r="S74" i="5"/>
  <c r="Q74" i="5"/>
  <c r="R74" i="5"/>
  <c r="F75" i="5" a="1"/>
  <c r="F75" i="5" s="1"/>
  <c r="T74" i="5"/>
  <c r="A76" i="5"/>
  <c r="AA75" i="5"/>
  <c r="W75" i="5"/>
  <c r="X75" i="5"/>
  <c r="Y75" i="5"/>
  <c r="AC75" i="5" s="1"/>
  <c r="Z75" i="5"/>
  <c r="J75" i="5" a="1"/>
  <c r="C75" i="5" a="1"/>
  <c r="G75" i="5" a="1"/>
  <c r="I75" i="5" a="1"/>
  <c r="N75" i="5" a="1"/>
  <c r="H75" i="5" a="1"/>
  <c r="L75" i="5" a="1"/>
  <c r="K75" i="5" a="1"/>
  <c r="M75" i="5" a="1"/>
  <c r="P75" i="5" a="1"/>
  <c r="O75" i="5" a="1"/>
  <c r="H75" i="5" l="1"/>
  <c r="I75" i="5"/>
  <c r="C75" i="5"/>
  <c r="J75" i="5"/>
  <c r="P75" i="5"/>
  <c r="M75" i="5"/>
  <c r="T75" i="5" s="1"/>
  <c r="L75" i="5"/>
  <c r="N75" i="5"/>
  <c r="G75" i="5"/>
  <c r="O75" i="5"/>
  <c r="K75" i="5"/>
  <c r="U74" i="5" a="1"/>
  <c r="U74" i="5" s="1"/>
  <c r="E76" i="5" a="1"/>
  <c r="E76" i="5" s="1"/>
  <c r="B76" i="5"/>
  <c r="V74" i="5" a="1"/>
  <c r="V74" i="5" s="1"/>
  <c r="A77" i="5" a="1"/>
  <c r="R75" i="5" l="1"/>
  <c r="Q75" i="5"/>
  <c r="S75" i="5"/>
  <c r="V75" i="5" s="1" a="1"/>
  <c r="V75" i="5" s="1"/>
  <c r="F76" i="5" a="1"/>
  <c r="F76" i="5" s="1"/>
  <c r="Z76" i="5"/>
  <c r="AB76" i="5"/>
  <c r="AA76" i="5"/>
  <c r="X76" i="5"/>
  <c r="A77" i="5"/>
  <c r="Y76" i="5"/>
  <c r="AC76" i="5" s="1"/>
  <c r="W76" i="5"/>
  <c r="K76" i="5" a="1"/>
  <c r="O76" i="5" a="1"/>
  <c r="J76" i="5" a="1"/>
  <c r="C76" i="5" a="1"/>
  <c r="I76" i="5" a="1"/>
  <c r="P76" i="5" a="1"/>
  <c r="M76" i="5" a="1"/>
  <c r="N76" i="5" a="1"/>
  <c r="D76" i="5" a="1"/>
  <c r="G76" i="5" a="1"/>
  <c r="L76" i="5" a="1"/>
  <c r="H76" i="5" a="1"/>
  <c r="U75" i="5" l="1" a="1"/>
  <c r="U75" i="5" s="1"/>
  <c r="K76" i="5"/>
  <c r="G76" i="5"/>
  <c r="L76" i="5"/>
  <c r="O76" i="5"/>
  <c r="D76" i="5"/>
  <c r="C76" i="5"/>
  <c r="H76" i="5"/>
  <c r="M76" i="5"/>
  <c r="J76" i="5"/>
  <c r="N76" i="5"/>
  <c r="I76" i="5"/>
  <c r="P76" i="5"/>
  <c r="E77" i="5" a="1"/>
  <c r="E77" i="5" s="1"/>
  <c r="B77" i="5"/>
  <c r="G77" i="5" s="1" a="1"/>
  <c r="A78" i="5" a="1"/>
  <c r="T76" i="5" l="1"/>
  <c r="R76" i="5"/>
  <c r="G77" i="5"/>
  <c r="S76" i="5"/>
  <c r="Q76" i="5"/>
  <c r="AB77" i="5"/>
  <c r="F77" i="5" a="1"/>
  <c r="F77" i="5" s="1"/>
  <c r="A78" i="5"/>
  <c r="Y77" i="5"/>
  <c r="AC77" i="5" s="1"/>
  <c r="W77" i="5"/>
  <c r="AA77" i="5"/>
  <c r="X77" i="5"/>
  <c r="Z77" i="5"/>
  <c r="M77" i="5" a="1"/>
  <c r="J77" i="5" a="1"/>
  <c r="O77" i="5" a="1"/>
  <c r="K77" i="5" a="1"/>
  <c r="N77" i="5" a="1"/>
  <c r="D77" i="5" a="1"/>
  <c r="H77" i="5" a="1"/>
  <c r="L77" i="5" a="1"/>
  <c r="I77" i="5" a="1"/>
  <c r="P77" i="5" a="1"/>
  <c r="C77" i="5" a="1"/>
  <c r="U76" i="5" l="1" a="1"/>
  <c r="U76" i="5" s="1"/>
  <c r="V76" i="5" a="1"/>
  <c r="V76" i="5" s="1"/>
  <c r="C77" i="5"/>
  <c r="J77" i="5"/>
  <c r="M77" i="5"/>
  <c r="L77" i="5"/>
  <c r="D77" i="5"/>
  <c r="I77" i="5"/>
  <c r="N77" i="5"/>
  <c r="K77" i="5"/>
  <c r="H77" i="5"/>
  <c r="P77" i="5"/>
  <c r="O77" i="5"/>
  <c r="E78" i="5" a="1"/>
  <c r="E78" i="5" s="1"/>
  <c r="Z78" i="5" s="1"/>
  <c r="B78" i="5"/>
  <c r="P78" i="5" s="1" a="1"/>
  <c r="A79" i="5" a="1"/>
  <c r="T77" i="5" l="1"/>
  <c r="R77" i="5"/>
  <c r="P78" i="5"/>
  <c r="F78" i="5" a="1"/>
  <c r="F78" i="5" s="1"/>
  <c r="S77" i="5"/>
  <c r="Q77" i="5"/>
  <c r="A79" i="5"/>
  <c r="X78" i="5"/>
  <c r="AB78" i="5"/>
  <c r="Y78" i="5"/>
  <c r="AC78" i="5" s="1"/>
  <c r="AA78" i="5"/>
  <c r="W78" i="5"/>
  <c r="H78" i="5" a="1"/>
  <c r="D78" i="5" a="1"/>
  <c r="O78" i="5" a="1"/>
  <c r="K78" i="5" a="1"/>
  <c r="I78" i="5" a="1"/>
  <c r="J78" i="5" a="1"/>
  <c r="N78" i="5" a="1"/>
  <c r="C78" i="5" a="1"/>
  <c r="M78" i="5" a="1"/>
  <c r="L78" i="5" a="1"/>
  <c r="G78" i="5" a="1"/>
  <c r="V77" i="5" l="1" a="1"/>
  <c r="V77" i="5" s="1"/>
  <c r="U77" i="5" a="1"/>
  <c r="U77" i="5" s="1"/>
  <c r="O78" i="5"/>
  <c r="J78" i="5"/>
  <c r="H78" i="5"/>
  <c r="D78" i="5"/>
  <c r="L78" i="5"/>
  <c r="R78" i="5" s="1"/>
  <c r="N78" i="5"/>
  <c r="G78" i="5"/>
  <c r="C78" i="5"/>
  <c r="M78" i="5"/>
  <c r="T78" i="5" s="1"/>
  <c r="K78" i="5"/>
  <c r="I78" i="5"/>
  <c r="B79" i="5"/>
  <c r="O79" i="5" s="1" a="1"/>
  <c r="E79" i="5" a="1"/>
  <c r="E79" i="5" s="1"/>
  <c r="AB79" i="5" s="1"/>
  <c r="A80" i="5" a="1"/>
  <c r="O79" i="5" l="1"/>
  <c r="F79" i="5" a="1"/>
  <c r="F79" i="5" s="1"/>
  <c r="Q78" i="5"/>
  <c r="U78" i="5" s="1" a="1"/>
  <c r="U78" i="5" s="1"/>
  <c r="S78" i="5"/>
  <c r="V78" i="5" s="1" a="1"/>
  <c r="V78" i="5" s="1"/>
  <c r="A80" i="5"/>
  <c r="W79" i="5"/>
  <c r="Y79" i="5"/>
  <c r="AC79" i="5" s="1"/>
  <c r="AA79" i="5"/>
  <c r="X79" i="5"/>
  <c r="Z79" i="5"/>
  <c r="C79" i="5" a="1"/>
  <c r="I79" i="5" a="1"/>
  <c r="J79" i="5" a="1"/>
  <c r="D79" i="5" a="1"/>
  <c r="P79" i="5" a="1"/>
  <c r="L79" i="5" a="1"/>
  <c r="H79" i="5" a="1"/>
  <c r="N79" i="5" a="1"/>
  <c r="G79" i="5" a="1"/>
  <c r="K79" i="5" a="1"/>
  <c r="M79" i="5" a="1"/>
  <c r="J79" i="5" l="1"/>
  <c r="I79" i="5"/>
  <c r="N79" i="5"/>
  <c r="L79" i="5"/>
  <c r="Q79" i="5" s="1"/>
  <c r="D79" i="5"/>
  <c r="M79" i="5"/>
  <c r="G79" i="5"/>
  <c r="K79" i="5"/>
  <c r="H79" i="5"/>
  <c r="P79" i="5"/>
  <c r="C79" i="5"/>
  <c r="B80" i="5"/>
  <c r="K80" i="5" s="1" a="1"/>
  <c r="E80" i="5" a="1"/>
  <c r="E80" i="5" s="1"/>
  <c r="A81" i="5" a="1"/>
  <c r="R79" i="5" l="1"/>
  <c r="U79" i="5" s="1" a="1"/>
  <c r="U79" i="5" s="1"/>
  <c r="K80" i="5"/>
  <c r="Z80" i="5"/>
  <c r="T79" i="5"/>
  <c r="S79" i="5"/>
  <c r="F80" i="5" a="1"/>
  <c r="F80" i="5" s="1"/>
  <c r="A81" i="5"/>
  <c r="AA80" i="5"/>
  <c r="AB80" i="5"/>
  <c r="Y80" i="5"/>
  <c r="AC80" i="5" s="1"/>
  <c r="X80" i="5"/>
  <c r="W80" i="5"/>
  <c r="H80" i="5" a="1"/>
  <c r="G80" i="5" a="1"/>
  <c r="M80" i="5" a="1"/>
  <c r="N80" i="5" a="1"/>
  <c r="L80" i="5" a="1"/>
  <c r="I80" i="5" a="1"/>
  <c r="C80" i="5" a="1"/>
  <c r="O80" i="5" a="1"/>
  <c r="P80" i="5" a="1"/>
  <c r="J80" i="5" a="1"/>
  <c r="D80" i="5" a="1"/>
  <c r="J80" i="5" l="1"/>
  <c r="M80" i="5"/>
  <c r="H80" i="5"/>
  <c r="I80" i="5"/>
  <c r="N80" i="5"/>
  <c r="L80" i="5"/>
  <c r="D80" i="5"/>
  <c r="O80" i="5"/>
  <c r="C80" i="5"/>
  <c r="P80" i="5"/>
  <c r="G80" i="5"/>
  <c r="V79" i="5" a="1"/>
  <c r="V79" i="5" s="1"/>
  <c r="E81" i="5" a="1"/>
  <c r="E81" i="5" s="1"/>
  <c r="AB81" i="5" s="1"/>
  <c r="B81" i="5"/>
  <c r="I81" i="5" s="1" a="1"/>
  <c r="A82" i="5" a="1"/>
  <c r="R80" i="5" l="1"/>
  <c r="I81" i="5"/>
  <c r="F81" i="5" a="1"/>
  <c r="F81" i="5" s="1"/>
  <c r="S80" i="5"/>
  <c r="Q80" i="5"/>
  <c r="T80" i="5"/>
  <c r="A82" i="5"/>
  <c r="Y81" i="5"/>
  <c r="AC81" i="5" s="1"/>
  <c r="AA81" i="5"/>
  <c r="X81" i="5"/>
  <c r="W81" i="5"/>
  <c r="Z81" i="5"/>
  <c r="K81" i="5" a="1"/>
  <c r="H81" i="5" a="1"/>
  <c r="P81" i="5" a="1"/>
  <c r="G81" i="5" a="1"/>
  <c r="N81" i="5" a="1"/>
  <c r="O81" i="5" a="1"/>
  <c r="J81" i="5" a="1"/>
  <c r="D81" i="5" a="1"/>
  <c r="L81" i="5" a="1"/>
  <c r="C81" i="5" a="1"/>
  <c r="M81" i="5" a="1"/>
  <c r="U80" i="5" l="1" a="1"/>
  <c r="U80" i="5" s="1"/>
  <c r="O81" i="5"/>
  <c r="G81" i="5"/>
  <c r="D81" i="5"/>
  <c r="C81" i="5"/>
  <c r="P81" i="5"/>
  <c r="K81" i="5"/>
  <c r="M81" i="5"/>
  <c r="J81" i="5"/>
  <c r="H81" i="5"/>
  <c r="N81" i="5"/>
  <c r="L81" i="5"/>
  <c r="B82" i="5"/>
  <c r="F82" i="5" s="1" a="1"/>
  <c r="F82" i="5" s="1"/>
  <c r="E82" i="5" a="1"/>
  <c r="E82" i="5" s="1"/>
  <c r="X82" i="5" s="1"/>
  <c r="V80" i="5" a="1"/>
  <c r="V80" i="5" s="1"/>
  <c r="A83" i="5" a="1"/>
  <c r="T81" i="5" l="1"/>
  <c r="R81" i="5"/>
  <c r="Q81" i="5"/>
  <c r="S81" i="5"/>
  <c r="Y82" i="5"/>
  <c r="AC82" i="5" s="1"/>
  <c r="AA82" i="5"/>
  <c r="A83" i="5"/>
  <c r="W82" i="5"/>
  <c r="Z82" i="5"/>
  <c r="AB82" i="5"/>
  <c r="J82" i="5" a="1"/>
  <c r="M82" i="5" a="1"/>
  <c r="D82" i="5" a="1"/>
  <c r="N82" i="5" a="1"/>
  <c r="I82" i="5" a="1"/>
  <c r="O82" i="5" a="1"/>
  <c r="G82" i="5" a="1"/>
  <c r="L82" i="5" a="1"/>
  <c r="K82" i="5" a="1"/>
  <c r="C82" i="5" a="1"/>
  <c r="P82" i="5" a="1"/>
  <c r="H82" i="5" a="1"/>
  <c r="J82" i="5" l="1"/>
  <c r="V81" i="5" a="1"/>
  <c r="V81" i="5" s="1"/>
  <c r="L82" i="5"/>
  <c r="K82" i="5"/>
  <c r="I82" i="5"/>
  <c r="D82" i="5"/>
  <c r="P82" i="5"/>
  <c r="C82" i="5"/>
  <c r="G82" i="5"/>
  <c r="O82" i="5"/>
  <c r="H82" i="5"/>
  <c r="U81" i="5" a="1"/>
  <c r="U81" i="5" s="1"/>
  <c r="M82" i="5"/>
  <c r="N82" i="5"/>
  <c r="B83" i="5"/>
  <c r="L83" i="5" s="1" a="1"/>
  <c r="E83" i="5" a="1"/>
  <c r="E83" i="5" s="1"/>
  <c r="A84" i="5" a="1"/>
  <c r="Q82" i="5" l="1"/>
  <c r="R82" i="5"/>
  <c r="L83" i="5"/>
  <c r="AB83" i="5"/>
  <c r="F83" i="5" a="1"/>
  <c r="F83" i="5" s="1"/>
  <c r="T82" i="5"/>
  <c r="S82" i="5"/>
  <c r="X83" i="5"/>
  <c r="W83" i="5"/>
  <c r="A84" i="5"/>
  <c r="AA83" i="5"/>
  <c r="Z83" i="5"/>
  <c r="Y83" i="5"/>
  <c r="AC83" i="5" s="1"/>
  <c r="I83" i="5" a="1"/>
  <c r="P83" i="5" a="1"/>
  <c r="K83" i="5" a="1"/>
  <c r="D83" i="5" a="1"/>
  <c r="C83" i="5" a="1"/>
  <c r="H83" i="5" a="1"/>
  <c r="J83" i="5" a="1"/>
  <c r="O83" i="5" a="1"/>
  <c r="N83" i="5" a="1"/>
  <c r="G83" i="5" a="1"/>
  <c r="M83" i="5" a="1"/>
  <c r="U82" i="5" l="1" a="1"/>
  <c r="U82" i="5" s="1"/>
  <c r="H83" i="5"/>
  <c r="D83" i="5"/>
  <c r="C83" i="5"/>
  <c r="G83" i="5"/>
  <c r="I83" i="5"/>
  <c r="N83" i="5"/>
  <c r="V82" i="5" a="1"/>
  <c r="V82" i="5" s="1"/>
  <c r="M83" i="5"/>
  <c r="O83" i="5"/>
  <c r="K83" i="5"/>
  <c r="P83" i="5"/>
  <c r="R83" i="5" s="1"/>
  <c r="J83" i="5"/>
  <c r="E84" i="5" a="1"/>
  <c r="E84" i="5" s="1"/>
  <c r="Z84" i="5" s="1"/>
  <c r="B84" i="5"/>
  <c r="F84" i="5" s="1" a="1"/>
  <c r="F84" i="5" s="1"/>
  <c r="A85" i="5" a="1"/>
  <c r="T83" i="5" l="1"/>
  <c r="S83" i="5"/>
  <c r="Q83" i="5"/>
  <c r="U83" i="5" s="1" a="1"/>
  <c r="U83" i="5" s="1"/>
  <c r="AB84" i="5"/>
  <c r="X84" i="5"/>
  <c r="A85" i="5"/>
  <c r="AA84" i="5"/>
  <c r="Y84" i="5"/>
  <c r="AC84" i="5" s="1"/>
  <c r="W84" i="5"/>
  <c r="L84" i="5" a="1"/>
  <c r="M84" i="5" a="1"/>
  <c r="K84" i="5" a="1"/>
  <c r="N84" i="5" a="1"/>
  <c r="C84" i="5" a="1"/>
  <c r="G84" i="5" a="1"/>
  <c r="O84" i="5" a="1"/>
  <c r="I84" i="5" a="1"/>
  <c r="J84" i="5" a="1"/>
  <c r="H84" i="5" a="1"/>
  <c r="P84" i="5" a="1"/>
  <c r="D84" i="5" a="1"/>
  <c r="V83" i="5" l="1" a="1"/>
  <c r="V83" i="5" s="1"/>
  <c r="K84" i="5"/>
  <c r="H84" i="5"/>
  <c r="O84" i="5"/>
  <c r="M84" i="5"/>
  <c r="N84" i="5"/>
  <c r="I84" i="5"/>
  <c r="L84" i="5"/>
  <c r="P84" i="5"/>
  <c r="C84" i="5"/>
  <c r="D84" i="5"/>
  <c r="J84" i="5"/>
  <c r="G84" i="5"/>
  <c r="E85" i="5" a="1"/>
  <c r="E85" i="5" s="1"/>
  <c r="B85" i="5"/>
  <c r="L85" i="5" s="1" a="1"/>
  <c r="A86" i="5" a="1"/>
  <c r="R84" i="5" l="1"/>
  <c r="L85" i="5"/>
  <c r="S84" i="5"/>
  <c r="Q84" i="5"/>
  <c r="AB85" i="5"/>
  <c r="T84" i="5"/>
  <c r="F85" i="5" a="1"/>
  <c r="F85" i="5" s="1"/>
  <c r="Y85" i="5"/>
  <c r="AC85" i="5" s="1"/>
  <c r="A86" i="5"/>
  <c r="W85" i="5"/>
  <c r="AA85" i="5"/>
  <c r="X85" i="5"/>
  <c r="Z85" i="5"/>
  <c r="C85" i="5" a="1"/>
  <c r="H85" i="5" a="1"/>
  <c r="I85" i="5" a="1"/>
  <c r="O85" i="5" a="1"/>
  <c r="D85" i="5" a="1"/>
  <c r="P85" i="5" a="1"/>
  <c r="G85" i="5" a="1"/>
  <c r="M85" i="5" a="1"/>
  <c r="J85" i="5" a="1"/>
  <c r="N85" i="5" a="1"/>
  <c r="K85" i="5" a="1"/>
  <c r="U84" i="5" l="1" a="1"/>
  <c r="U84" i="5" s="1"/>
  <c r="J85" i="5"/>
  <c r="G85" i="5"/>
  <c r="K85" i="5"/>
  <c r="H85" i="5"/>
  <c r="O85" i="5"/>
  <c r="P85" i="5"/>
  <c r="R85" i="5" s="1"/>
  <c r="N85" i="5"/>
  <c r="D85" i="5"/>
  <c r="C85" i="5"/>
  <c r="M85" i="5"/>
  <c r="I85" i="5"/>
  <c r="V84" i="5" a="1"/>
  <c r="V84" i="5" s="1"/>
  <c r="E86" i="5" a="1"/>
  <c r="E86" i="5" s="1"/>
  <c r="B86" i="5"/>
  <c r="L86" i="5" s="1" a="1"/>
  <c r="A87" i="5" a="1"/>
  <c r="T85" i="5" l="1"/>
  <c r="L86" i="5"/>
  <c r="Z86" i="5"/>
  <c r="F86" i="5" a="1"/>
  <c r="F86" i="5" s="1"/>
  <c r="S85" i="5"/>
  <c r="Q85" i="5"/>
  <c r="U85" i="5" s="1" a="1"/>
  <c r="U85" i="5" s="1"/>
  <c r="A87" i="5"/>
  <c r="AB86" i="5"/>
  <c r="Y86" i="5"/>
  <c r="AC86" i="5" s="1"/>
  <c r="X86" i="5"/>
  <c r="AA86" i="5"/>
  <c r="W86" i="5"/>
  <c r="O86" i="5" a="1"/>
  <c r="C86" i="5" a="1"/>
  <c r="P86" i="5" a="1"/>
  <c r="H86" i="5" a="1"/>
  <c r="J86" i="5" a="1"/>
  <c r="N86" i="5" a="1"/>
  <c r="G86" i="5" a="1"/>
  <c r="M86" i="5" a="1"/>
  <c r="K86" i="5" a="1"/>
  <c r="I86" i="5" a="1"/>
  <c r="D86" i="5" a="1"/>
  <c r="V85" i="5" l="1" a="1"/>
  <c r="V85" i="5" s="1"/>
  <c r="P86" i="5"/>
  <c r="R86" i="5" s="1"/>
  <c r="H86" i="5"/>
  <c r="D86" i="5"/>
  <c r="N86" i="5"/>
  <c r="C86" i="5"/>
  <c r="O86" i="5"/>
  <c r="I86" i="5"/>
  <c r="M86" i="5"/>
  <c r="J86" i="5"/>
  <c r="G86" i="5"/>
  <c r="K86" i="5"/>
  <c r="B87" i="5"/>
  <c r="I87" i="5" s="1" a="1"/>
  <c r="E87" i="5" a="1"/>
  <c r="E87" i="5" s="1"/>
  <c r="AB87" i="5" s="1"/>
  <c r="A88" i="5" a="1"/>
  <c r="T86" i="5" l="1"/>
  <c r="I87" i="5"/>
  <c r="Q86" i="5"/>
  <c r="U86" i="5" s="1" a="1"/>
  <c r="U86" i="5" s="1"/>
  <c r="S86" i="5"/>
  <c r="F87" i="5" a="1"/>
  <c r="F87" i="5" s="1"/>
  <c r="A88" i="5"/>
  <c r="W87" i="5"/>
  <c r="Y87" i="5"/>
  <c r="AC87" i="5" s="1"/>
  <c r="AA87" i="5"/>
  <c r="X87" i="5"/>
  <c r="Z87" i="5"/>
  <c r="O87" i="5" a="1"/>
  <c r="J87" i="5" a="1"/>
  <c r="K87" i="5" a="1"/>
  <c r="C87" i="5" a="1"/>
  <c r="D87" i="5" a="1"/>
  <c r="L87" i="5" a="1"/>
  <c r="H87" i="5" a="1"/>
  <c r="N87" i="5" a="1"/>
  <c r="M87" i="5" a="1"/>
  <c r="G87" i="5" a="1"/>
  <c r="P87" i="5" a="1"/>
  <c r="V86" i="5" l="1" a="1"/>
  <c r="V86" i="5" s="1"/>
  <c r="J87" i="5"/>
  <c r="G87" i="5"/>
  <c r="N87" i="5"/>
  <c r="M87" i="5"/>
  <c r="O87" i="5"/>
  <c r="P87" i="5"/>
  <c r="H87" i="5"/>
  <c r="C87" i="5"/>
  <c r="L87" i="5"/>
  <c r="D87" i="5"/>
  <c r="K87" i="5"/>
  <c r="B88" i="5"/>
  <c r="G88" i="5" s="1" a="1"/>
  <c r="E88" i="5" a="1"/>
  <c r="E88" i="5" s="1"/>
  <c r="A89" i="5" a="1"/>
  <c r="G88" i="5" l="1"/>
  <c r="AB88" i="5"/>
  <c r="R87" i="5"/>
  <c r="Q87" i="5"/>
  <c r="S87" i="5"/>
  <c r="F88" i="5" a="1"/>
  <c r="F88" i="5" s="1"/>
  <c r="T87" i="5"/>
  <c r="W88" i="5"/>
  <c r="Z88" i="5"/>
  <c r="AA88" i="5"/>
  <c r="X88" i="5"/>
  <c r="Y88" i="5"/>
  <c r="AC88" i="5" s="1"/>
  <c r="A89" i="5"/>
  <c r="K88" i="5" a="1"/>
  <c r="H88" i="5" a="1"/>
  <c r="O88" i="5" a="1"/>
  <c r="N88" i="5" a="1"/>
  <c r="D88" i="5" a="1"/>
  <c r="C88" i="5" a="1"/>
  <c r="P88" i="5" a="1"/>
  <c r="J88" i="5" a="1"/>
  <c r="L88" i="5" a="1"/>
  <c r="I88" i="5" a="1"/>
  <c r="M88" i="5" a="1"/>
  <c r="K88" i="5" l="1"/>
  <c r="J88" i="5"/>
  <c r="N88" i="5"/>
  <c r="M88" i="5"/>
  <c r="O88" i="5"/>
  <c r="I88" i="5"/>
  <c r="L88" i="5"/>
  <c r="P88" i="5"/>
  <c r="D88" i="5"/>
  <c r="C88" i="5"/>
  <c r="H88" i="5"/>
  <c r="E89" i="5" a="1"/>
  <c r="E89" i="5" s="1"/>
  <c r="B89" i="5"/>
  <c r="V87" i="5" a="1"/>
  <c r="V87" i="5" s="1"/>
  <c r="U87" i="5" a="1"/>
  <c r="U87" i="5" s="1"/>
  <c r="A90" i="5" a="1"/>
  <c r="R88" i="5" l="1"/>
  <c r="AB89" i="5"/>
  <c r="F89" i="5" a="1"/>
  <c r="F89" i="5" s="1"/>
  <c r="Q88" i="5"/>
  <c r="S88" i="5"/>
  <c r="T88" i="5"/>
  <c r="Y89" i="5"/>
  <c r="AC89" i="5" s="1"/>
  <c r="A90" i="5"/>
  <c r="AA89" i="5"/>
  <c r="X89" i="5"/>
  <c r="W89" i="5"/>
  <c r="Z89" i="5"/>
  <c r="P89" i="5" a="1"/>
  <c r="H89" i="5" a="1"/>
  <c r="D89" i="5" a="1"/>
  <c r="I89" i="5" a="1"/>
  <c r="J89" i="5" a="1"/>
  <c r="L89" i="5" a="1"/>
  <c r="C89" i="5" a="1"/>
  <c r="N89" i="5" a="1"/>
  <c r="G89" i="5" a="1"/>
  <c r="O89" i="5" a="1"/>
  <c r="M89" i="5" a="1"/>
  <c r="K89" i="5" a="1"/>
  <c r="U88" i="5" l="1" a="1"/>
  <c r="U88" i="5" s="1"/>
  <c r="O89" i="5"/>
  <c r="L89" i="5"/>
  <c r="D89" i="5"/>
  <c r="N89" i="5"/>
  <c r="C89" i="5"/>
  <c r="M89" i="5"/>
  <c r="P89" i="5"/>
  <c r="H89" i="5"/>
  <c r="G89" i="5"/>
  <c r="I89" i="5"/>
  <c r="J89" i="5"/>
  <c r="K89" i="5"/>
  <c r="B90" i="5"/>
  <c r="F90" i="5" s="1" a="1"/>
  <c r="F90" i="5" s="1"/>
  <c r="E90" i="5" a="1"/>
  <c r="E90" i="5" s="1"/>
  <c r="Z90" i="5" s="1"/>
  <c r="V88" i="5" a="1"/>
  <c r="V88" i="5" s="1"/>
  <c r="A91" i="5" a="1"/>
  <c r="R89" i="5" l="1"/>
  <c r="T89" i="5"/>
  <c r="S89" i="5"/>
  <c r="Q89" i="5"/>
  <c r="AB90" i="5"/>
  <c r="X90" i="5"/>
  <c r="A91" i="5"/>
  <c r="AA90" i="5"/>
  <c r="Y90" i="5"/>
  <c r="AC90" i="5" s="1"/>
  <c r="W90" i="5"/>
  <c r="G90" i="5" a="1"/>
  <c r="N90" i="5" a="1"/>
  <c r="M90" i="5" a="1"/>
  <c r="L90" i="5" a="1"/>
  <c r="H90" i="5" a="1"/>
  <c r="O90" i="5" a="1"/>
  <c r="I90" i="5" a="1"/>
  <c r="C90" i="5" a="1"/>
  <c r="K90" i="5" a="1"/>
  <c r="D90" i="5" a="1"/>
  <c r="J90" i="5" a="1"/>
  <c r="P90" i="5" a="1"/>
  <c r="O90" i="5" l="1"/>
  <c r="U89" i="5" a="1"/>
  <c r="U89" i="5" s="1"/>
  <c r="C90" i="5"/>
  <c r="N90" i="5"/>
  <c r="G90" i="5"/>
  <c r="L90" i="5"/>
  <c r="J90" i="5"/>
  <c r="P90" i="5"/>
  <c r="K90" i="5"/>
  <c r="H90" i="5"/>
  <c r="V89" i="5" a="1"/>
  <c r="V89" i="5" s="1"/>
  <c r="I90" i="5"/>
  <c r="M90" i="5"/>
  <c r="D90" i="5"/>
  <c r="B91" i="5"/>
  <c r="E91" i="5" a="1"/>
  <c r="E91" i="5" s="1"/>
  <c r="Y91" i="5" s="1"/>
  <c r="A92" i="5" a="1"/>
  <c r="D91" i="5" a="1"/>
  <c r="R90" i="5" l="1"/>
  <c r="Q90" i="5"/>
  <c r="D91" i="5"/>
  <c r="F91" i="5" a="1"/>
  <c r="F91" i="5" s="1"/>
  <c r="S90" i="5"/>
  <c r="T90" i="5"/>
  <c r="A92" i="5"/>
  <c r="AA91" i="5"/>
  <c r="W91" i="5"/>
  <c r="X91" i="5"/>
  <c r="AC91" i="5"/>
  <c r="Z91" i="5"/>
  <c r="AB91" i="5"/>
  <c r="L91" i="5" a="1"/>
  <c r="H91" i="5" a="1"/>
  <c r="I91" i="5" a="1"/>
  <c r="J91" i="5" a="1"/>
  <c r="G91" i="5" a="1"/>
  <c r="K91" i="5" a="1"/>
  <c r="C91" i="5" a="1"/>
  <c r="M91" i="5" a="1"/>
  <c r="P91" i="5" a="1"/>
  <c r="O91" i="5" a="1"/>
  <c r="N91" i="5" a="1"/>
  <c r="U90" i="5" l="1" a="1"/>
  <c r="U90" i="5" s="1"/>
  <c r="J91" i="5"/>
  <c r="N91" i="5"/>
  <c r="M91" i="5"/>
  <c r="I91" i="5"/>
  <c r="G91" i="5"/>
  <c r="O91" i="5"/>
  <c r="P91" i="5"/>
  <c r="L91" i="5"/>
  <c r="K91" i="5"/>
  <c r="C91" i="5"/>
  <c r="H91" i="5"/>
  <c r="V90" i="5" a="1"/>
  <c r="V90" i="5" s="1"/>
  <c r="E92" i="5" a="1"/>
  <c r="E92" i="5" s="1"/>
  <c r="X92" i="5" s="1"/>
  <c r="B92" i="5"/>
  <c r="F92" i="5" s="1" a="1"/>
  <c r="F92" i="5" s="1"/>
  <c r="A93" i="5" a="1"/>
  <c r="Q91" i="5" l="1"/>
  <c r="S91" i="5"/>
  <c r="R91" i="5"/>
  <c r="T91" i="5"/>
  <c r="A93" i="5"/>
  <c r="AA92" i="5"/>
  <c r="Y92" i="5"/>
  <c r="AC92" i="5" s="1"/>
  <c r="W92" i="5"/>
  <c r="Z92" i="5"/>
  <c r="AB92" i="5"/>
  <c r="M92" i="5" a="1"/>
  <c r="L92" i="5" a="1"/>
  <c r="P92" i="5" a="1"/>
  <c r="N92" i="5" a="1"/>
  <c r="I92" i="5" a="1"/>
  <c r="H92" i="5" a="1"/>
  <c r="D92" i="5" a="1"/>
  <c r="C92" i="5" a="1"/>
  <c r="J92" i="5" a="1"/>
  <c r="G92" i="5" a="1"/>
  <c r="K92" i="5" a="1"/>
  <c r="O92" i="5" a="1"/>
  <c r="J92" i="5" l="1"/>
  <c r="M92" i="5"/>
  <c r="L92" i="5"/>
  <c r="O92" i="5"/>
  <c r="N92" i="5"/>
  <c r="P92" i="5"/>
  <c r="G92" i="5"/>
  <c r="K92" i="5"/>
  <c r="C92" i="5"/>
  <c r="I92" i="5"/>
  <c r="V91" i="5" a="1"/>
  <c r="V91" i="5" s="1"/>
  <c r="U91" i="5" a="1"/>
  <c r="U91" i="5" s="1"/>
  <c r="D92" i="5"/>
  <c r="H92" i="5"/>
  <c r="B93" i="5"/>
  <c r="F93" i="5" s="1" a="1"/>
  <c r="F93" i="5" s="1"/>
  <c r="E93" i="5" a="1"/>
  <c r="E93" i="5" s="1"/>
  <c r="AB93" i="5" s="1"/>
  <c r="A94" i="5" a="1"/>
  <c r="Q92" i="5" l="1"/>
  <c r="S92" i="5"/>
  <c r="T92" i="5"/>
  <c r="R92" i="5"/>
  <c r="A94" i="5"/>
  <c r="W93" i="5"/>
  <c r="AA93" i="5"/>
  <c r="X93" i="5"/>
  <c r="Y93" i="5"/>
  <c r="AC93" i="5" s="1"/>
  <c r="Z93" i="5"/>
  <c r="K93" i="5" a="1"/>
  <c r="J93" i="5" a="1"/>
  <c r="C93" i="5" a="1"/>
  <c r="L93" i="5" a="1"/>
  <c r="H93" i="5" a="1"/>
  <c r="O93" i="5" a="1"/>
  <c r="D93" i="5" a="1"/>
  <c r="G93" i="5" a="1"/>
  <c r="N93" i="5" a="1"/>
  <c r="M93" i="5" a="1"/>
  <c r="P93" i="5" a="1"/>
  <c r="I93" i="5" a="1"/>
  <c r="U92" i="5" l="1" a="1"/>
  <c r="U92" i="5" s="1"/>
  <c r="V92" i="5" a="1"/>
  <c r="V92" i="5" s="1"/>
  <c r="N93" i="5"/>
  <c r="J93" i="5"/>
  <c r="P93" i="5"/>
  <c r="G93" i="5"/>
  <c r="L93" i="5"/>
  <c r="C93" i="5"/>
  <c r="K93" i="5"/>
  <c r="I93" i="5"/>
  <c r="H93" i="5"/>
  <c r="D93" i="5"/>
  <c r="M93" i="5"/>
  <c r="O93" i="5"/>
  <c r="E94" i="5" a="1"/>
  <c r="E94" i="5" s="1"/>
  <c r="B94" i="5"/>
  <c r="M94" i="5" s="1" a="1"/>
  <c r="A95" i="5" a="1"/>
  <c r="T93" i="5" l="1"/>
  <c r="R93" i="5"/>
  <c r="M94" i="5"/>
  <c r="S93" i="5"/>
  <c r="Q93" i="5"/>
  <c r="X94" i="5"/>
  <c r="F94" i="5" a="1"/>
  <c r="F94" i="5" s="1"/>
  <c r="A95" i="5"/>
  <c r="Y94" i="5"/>
  <c r="AC94" i="5" s="1"/>
  <c r="AA94" i="5"/>
  <c r="W94" i="5"/>
  <c r="Z94" i="5"/>
  <c r="AB94" i="5"/>
  <c r="D94" i="5" a="1"/>
  <c r="I94" i="5" a="1"/>
  <c r="L94" i="5" a="1"/>
  <c r="C94" i="5" a="1"/>
  <c r="P94" i="5" a="1"/>
  <c r="N94" i="5" a="1"/>
  <c r="K94" i="5" a="1"/>
  <c r="J94" i="5" a="1"/>
  <c r="G94" i="5" a="1"/>
  <c r="O94" i="5" a="1"/>
  <c r="H94" i="5" a="1"/>
  <c r="V93" i="5" l="1" a="1"/>
  <c r="V93" i="5" s="1"/>
  <c r="U93" i="5" a="1"/>
  <c r="U93" i="5" s="1"/>
  <c r="N94" i="5"/>
  <c r="L94" i="5"/>
  <c r="I94" i="5"/>
  <c r="C94" i="5"/>
  <c r="G94" i="5"/>
  <c r="H94" i="5"/>
  <c r="K94" i="5"/>
  <c r="O94" i="5"/>
  <c r="D94" i="5"/>
  <c r="J94" i="5"/>
  <c r="P94" i="5"/>
  <c r="B95" i="5"/>
  <c r="E95" i="5" a="1"/>
  <c r="E95" i="5" s="1"/>
  <c r="AB95" i="5" s="1"/>
  <c r="A96" i="5" a="1"/>
  <c r="F95" i="5" l="1" a="1"/>
  <c r="F95" i="5" s="1"/>
  <c r="S94" i="5"/>
  <c r="Q94" i="5"/>
  <c r="T94" i="5"/>
  <c r="R94" i="5"/>
  <c r="A96" i="5"/>
  <c r="W95" i="5"/>
  <c r="Y95" i="5"/>
  <c r="AC95" i="5" s="1"/>
  <c r="AA95" i="5"/>
  <c r="X95" i="5"/>
  <c r="Z95" i="5"/>
  <c r="L95" i="5" a="1"/>
  <c r="D95" i="5" a="1"/>
  <c r="J95" i="5" a="1"/>
  <c r="H95" i="5" a="1"/>
  <c r="P95" i="5" a="1"/>
  <c r="M95" i="5" a="1"/>
  <c r="N95" i="5" a="1"/>
  <c r="K95" i="5" a="1"/>
  <c r="G95" i="5" a="1"/>
  <c r="I95" i="5" a="1"/>
  <c r="O95" i="5" a="1"/>
  <c r="C95" i="5" a="1"/>
  <c r="V94" i="5" l="1" a="1"/>
  <c r="V94" i="5" s="1"/>
  <c r="N95" i="5"/>
  <c r="O95" i="5"/>
  <c r="I95" i="5"/>
  <c r="M95" i="5"/>
  <c r="K95" i="5"/>
  <c r="G95" i="5"/>
  <c r="H95" i="5"/>
  <c r="P95" i="5"/>
  <c r="J95" i="5"/>
  <c r="D95" i="5"/>
  <c r="C95" i="5"/>
  <c r="L95" i="5"/>
  <c r="B96" i="5"/>
  <c r="E96" i="5" a="1"/>
  <c r="E96" i="5" s="1"/>
  <c r="U94" i="5" a="1"/>
  <c r="U94" i="5" s="1"/>
  <c r="A97" i="5" a="1"/>
  <c r="D96" i="5" a="1"/>
  <c r="R95" i="5" l="1"/>
  <c r="D96" i="5"/>
  <c r="F96" i="5" a="1"/>
  <c r="F96" i="5" s="1"/>
  <c r="T95" i="5"/>
  <c r="Z96" i="5"/>
  <c r="S95" i="5"/>
  <c r="Q95" i="5"/>
  <c r="AB96" i="5"/>
  <c r="X96" i="5"/>
  <c r="A97" i="5"/>
  <c r="A98" i="5" s="1" a="1"/>
  <c r="AA96" i="5"/>
  <c r="Y96" i="5"/>
  <c r="AC96" i="5" s="1"/>
  <c r="W96" i="5"/>
  <c r="P96" i="5" a="1"/>
  <c r="N96" i="5" a="1"/>
  <c r="I96" i="5" a="1"/>
  <c r="C96" i="5" a="1"/>
  <c r="O96" i="5" a="1"/>
  <c r="H96" i="5" a="1"/>
  <c r="G96" i="5" a="1"/>
  <c r="K96" i="5" a="1"/>
  <c r="M96" i="5" a="1"/>
  <c r="L96" i="5" a="1"/>
  <c r="J96" i="5" a="1"/>
  <c r="U95" i="5" l="1" a="1"/>
  <c r="U95" i="5" s="1"/>
  <c r="K96" i="5"/>
  <c r="J96" i="5"/>
  <c r="I96" i="5"/>
  <c r="O96" i="5"/>
  <c r="G96" i="5"/>
  <c r="L96" i="5"/>
  <c r="M96" i="5"/>
  <c r="C96" i="5"/>
  <c r="N96" i="5"/>
  <c r="H96" i="5"/>
  <c r="P96" i="5"/>
  <c r="V95" i="5" a="1"/>
  <c r="V95" i="5" s="1"/>
  <c r="B97" i="5"/>
  <c r="I97" i="5" s="1" a="1"/>
  <c r="A98" i="5"/>
  <c r="E97" i="5" a="1"/>
  <c r="T96" i="5" l="1"/>
  <c r="R96" i="5"/>
  <c r="I97" i="5"/>
  <c r="E97" i="5"/>
  <c r="Z97" i="5" s="1"/>
  <c r="S96" i="5"/>
  <c r="Q96" i="5"/>
  <c r="B98" i="5"/>
  <c r="L97" i="5" a="1"/>
  <c r="G97" i="5" a="1"/>
  <c r="H97" i="5" a="1"/>
  <c r="J97" i="5" a="1"/>
  <c r="P97" i="5" a="1"/>
  <c r="K97" i="5" a="1"/>
  <c r="D97" i="5" a="1"/>
  <c r="A99" i="5" a="1"/>
  <c r="M97" i="5" a="1"/>
  <c r="C97" i="5" a="1"/>
  <c r="N97" i="5" a="1"/>
  <c r="F97" i="5" a="1"/>
  <c r="O97" i="5" a="1"/>
  <c r="AA97" i="5" l="1"/>
  <c r="V96" i="5" a="1"/>
  <c r="V96" i="5" s="1"/>
  <c r="X97" i="5"/>
  <c r="W97" i="5"/>
  <c r="E98" i="5" a="1"/>
  <c r="E98" i="5" s="1"/>
  <c r="Y98" i="5" s="1"/>
  <c r="AC98" i="5" s="1"/>
  <c r="Y97" i="5"/>
  <c r="AC97" i="5" s="1"/>
  <c r="AB97" i="5"/>
  <c r="U96" i="5" a="1"/>
  <c r="U96" i="5" s="1"/>
  <c r="G97" i="5"/>
  <c r="C97" i="5"/>
  <c r="J97" i="5"/>
  <c r="M97" i="5"/>
  <c r="O97" i="5"/>
  <c r="N97" i="5"/>
  <c r="P97" i="5"/>
  <c r="F97" i="5"/>
  <c r="F98" i="5" s="1" a="1"/>
  <c r="F98" i="5" s="1"/>
  <c r="H97" i="5"/>
  <c r="D97" i="5"/>
  <c r="K97" i="5"/>
  <c r="L97" i="5"/>
  <c r="A99" i="5"/>
  <c r="P98" i="5" a="1"/>
  <c r="L98" i="5" a="1"/>
  <c r="G98" i="5" a="1"/>
  <c r="K98" i="5" a="1"/>
  <c r="C98" i="5" a="1"/>
  <c r="H98" i="5" a="1"/>
  <c r="N98" i="5" a="1"/>
  <c r="M98" i="5" a="1"/>
  <c r="D98" i="5" a="1"/>
  <c r="J98" i="5" a="1"/>
  <c r="I98" i="5" a="1"/>
  <c r="O98" i="5" a="1"/>
  <c r="AB98" i="5" l="1"/>
  <c r="AA98" i="5"/>
  <c r="X98" i="5"/>
  <c r="Z98" i="5"/>
  <c r="W98" i="5"/>
  <c r="R97" i="5"/>
  <c r="K98" i="5"/>
  <c r="N98" i="5"/>
  <c r="G98" i="5"/>
  <c r="H98" i="5"/>
  <c r="C98" i="5"/>
  <c r="J98" i="5"/>
  <c r="M98" i="5"/>
  <c r="P98" i="5"/>
  <c r="I98" i="5"/>
  <c r="L98" i="5"/>
  <c r="O98" i="5"/>
  <c r="D98" i="5"/>
  <c r="Q97" i="5"/>
  <c r="S97" i="5"/>
  <c r="B99" i="5"/>
  <c r="F99" i="5" s="1" a="1"/>
  <c r="F99" i="5" s="1"/>
  <c r="E99" i="5" a="1"/>
  <c r="E99" i="5" s="1"/>
  <c r="AB99" i="5" s="1"/>
  <c r="T97" i="5"/>
  <c r="A100" i="5" a="1"/>
  <c r="U97" i="5" l="1" a="1"/>
  <c r="U97" i="5" s="1"/>
  <c r="R98" i="5"/>
  <c r="V97" i="5" a="1"/>
  <c r="V97" i="5" s="1"/>
  <c r="T98" i="5"/>
  <c r="Q98" i="5"/>
  <c r="S98" i="5"/>
  <c r="A100" i="5"/>
  <c r="W99" i="5"/>
  <c r="AA99" i="5"/>
  <c r="X99" i="5"/>
  <c r="Y99" i="5"/>
  <c r="AC99" i="5" s="1"/>
  <c r="Z99" i="5"/>
  <c r="K99" i="5" a="1"/>
  <c r="H99" i="5" a="1"/>
  <c r="P99" i="5" a="1"/>
  <c r="J99" i="5" a="1"/>
  <c r="C99" i="5" a="1"/>
  <c r="L99" i="5" a="1"/>
  <c r="I99" i="5" a="1"/>
  <c r="N99" i="5" a="1"/>
  <c r="G99" i="5" a="1"/>
  <c r="M99" i="5" a="1"/>
  <c r="O99" i="5" a="1"/>
  <c r="D99" i="5" a="1"/>
  <c r="K99" i="5" l="1"/>
  <c r="P99" i="5"/>
  <c r="U98" i="5" a="1"/>
  <c r="U98" i="5" s="1"/>
  <c r="V98" i="5" a="1"/>
  <c r="V98" i="5" s="1"/>
  <c r="C99" i="5"/>
  <c r="D99" i="5"/>
  <c r="L99" i="5"/>
  <c r="G99" i="5"/>
  <c r="H99" i="5"/>
  <c r="O99" i="5"/>
  <c r="M99" i="5"/>
  <c r="N99" i="5"/>
  <c r="J99" i="5"/>
  <c r="I99" i="5"/>
  <c r="E100" i="5" a="1"/>
  <c r="E100" i="5" s="1"/>
  <c r="B100" i="5"/>
  <c r="M100" i="5" s="1" a="1"/>
  <c r="A101" i="5" a="1"/>
  <c r="R99" i="5" l="1"/>
  <c r="T99" i="5"/>
  <c r="M100" i="5"/>
  <c r="F100" i="5" a="1"/>
  <c r="F100" i="5" s="1"/>
  <c r="Q99" i="5"/>
  <c r="S99" i="5"/>
  <c r="Z100" i="5"/>
  <c r="A101" i="5"/>
  <c r="AB100" i="5"/>
  <c r="X100" i="5"/>
  <c r="AA100" i="5"/>
  <c r="Y100" i="5"/>
  <c r="AC100" i="5" s="1"/>
  <c r="W100" i="5"/>
  <c r="L100" i="5" a="1"/>
  <c r="H100" i="5" a="1"/>
  <c r="D100" i="5" a="1"/>
  <c r="G100" i="5" a="1"/>
  <c r="I100" i="5" a="1"/>
  <c r="O100" i="5" a="1"/>
  <c r="P100" i="5" a="1"/>
  <c r="C100" i="5" a="1"/>
  <c r="N100" i="5" a="1"/>
  <c r="K100" i="5" a="1"/>
  <c r="J100" i="5" a="1"/>
  <c r="V99" i="5" l="1" a="1"/>
  <c r="V99" i="5" s="1"/>
  <c r="U99" i="5" a="1"/>
  <c r="U99" i="5" s="1"/>
  <c r="L100" i="5"/>
  <c r="H100" i="5"/>
  <c r="K100" i="5"/>
  <c r="P100" i="5"/>
  <c r="C100" i="5"/>
  <c r="J100" i="5"/>
  <c r="N100" i="5"/>
  <c r="D100" i="5"/>
  <c r="I100" i="5"/>
  <c r="G100" i="5"/>
  <c r="O100" i="5"/>
  <c r="B101" i="5"/>
  <c r="F101" i="5" s="1" a="1"/>
  <c r="F101" i="5" s="1"/>
  <c r="E101" i="5" a="1"/>
  <c r="E101" i="5" s="1"/>
  <c r="AB101" i="5" s="1"/>
  <c r="A102" i="5" a="1"/>
  <c r="T100" i="5" l="1"/>
  <c r="R100" i="5"/>
  <c r="S100" i="5"/>
  <c r="Q100" i="5"/>
  <c r="A102" i="5"/>
  <c r="W101" i="5"/>
  <c r="AA101" i="5"/>
  <c r="X101" i="5"/>
  <c r="Y101" i="5"/>
  <c r="AC101" i="5" s="1"/>
  <c r="Z101" i="5"/>
  <c r="C101" i="5" a="1"/>
  <c r="J101" i="5" a="1"/>
  <c r="M101" i="5" a="1"/>
  <c r="K101" i="5" a="1"/>
  <c r="D101" i="5" a="1"/>
  <c r="O101" i="5" a="1"/>
  <c r="H101" i="5" a="1"/>
  <c r="N101" i="5" a="1"/>
  <c r="G101" i="5" a="1"/>
  <c r="L101" i="5" a="1"/>
  <c r="P101" i="5" a="1"/>
  <c r="I101" i="5" a="1"/>
  <c r="J101" i="5" l="1"/>
  <c r="D101" i="5"/>
  <c r="K101" i="5"/>
  <c r="C101" i="5"/>
  <c r="L101" i="5"/>
  <c r="G101" i="5"/>
  <c r="H101" i="5"/>
  <c r="V100" i="5" a="1"/>
  <c r="V100" i="5" s="1"/>
  <c r="M101" i="5"/>
  <c r="I101" i="5"/>
  <c r="N101" i="5"/>
  <c r="O101" i="5"/>
  <c r="P101" i="5"/>
  <c r="E102" i="5" a="1"/>
  <c r="E102" i="5" s="1"/>
  <c r="Z102" i="5" s="1"/>
  <c r="B102" i="5"/>
  <c r="F102" i="5" s="1" a="1"/>
  <c r="F102" i="5" s="1"/>
  <c r="U100" i="5" a="1"/>
  <c r="U100" i="5" s="1"/>
  <c r="A103" i="5" a="1"/>
  <c r="R101" i="5" l="1"/>
  <c r="S101" i="5"/>
  <c r="Q101" i="5"/>
  <c r="T101" i="5"/>
  <c r="A103" i="5"/>
  <c r="AB102" i="5"/>
  <c r="X102" i="5"/>
  <c r="Y102" i="5"/>
  <c r="AC102" i="5" s="1"/>
  <c r="AA102" i="5"/>
  <c r="W102" i="5"/>
  <c r="N102" i="5" a="1"/>
  <c r="L102" i="5" a="1"/>
  <c r="O102" i="5" a="1"/>
  <c r="J102" i="5" a="1"/>
  <c r="G102" i="5" a="1"/>
  <c r="K102" i="5" a="1"/>
  <c r="C102" i="5" a="1"/>
  <c r="I102" i="5" a="1"/>
  <c r="D102" i="5" a="1"/>
  <c r="M102" i="5" a="1"/>
  <c r="P102" i="5" a="1"/>
  <c r="H102" i="5" a="1"/>
  <c r="U101" i="5" l="1" a="1"/>
  <c r="U101" i="5" s="1"/>
  <c r="H102" i="5"/>
  <c r="D102" i="5"/>
  <c r="N102" i="5"/>
  <c r="M102" i="5"/>
  <c r="C102" i="5"/>
  <c r="P102" i="5"/>
  <c r="I102" i="5"/>
  <c r="L102" i="5"/>
  <c r="J102" i="5"/>
  <c r="V101" i="5" a="1"/>
  <c r="V101" i="5" s="1"/>
  <c r="K102" i="5"/>
  <c r="G102" i="5"/>
  <c r="O102" i="5"/>
  <c r="B103" i="5"/>
  <c r="E103" i="5" a="1"/>
  <c r="E103" i="5" s="1"/>
  <c r="W103" i="5" s="1"/>
  <c r="A104" i="5" a="1"/>
  <c r="J103" i="5" a="1"/>
  <c r="T102" i="5" l="1"/>
  <c r="R102" i="5"/>
  <c r="J103" i="5"/>
  <c r="S102" i="5"/>
  <c r="Q102" i="5"/>
  <c r="F103" i="5" a="1"/>
  <c r="F103" i="5" s="1"/>
  <c r="A104" i="5"/>
  <c r="Y103" i="5"/>
  <c r="AC103" i="5" s="1"/>
  <c r="AA103" i="5"/>
  <c r="X103" i="5"/>
  <c r="AB103" i="5"/>
  <c r="Z103" i="5"/>
  <c r="C103" i="5" a="1"/>
  <c r="O103" i="5" a="1"/>
  <c r="L103" i="5" a="1"/>
  <c r="G103" i="5" a="1"/>
  <c r="P103" i="5" a="1"/>
  <c r="D103" i="5" a="1"/>
  <c r="N103" i="5" a="1"/>
  <c r="H103" i="5" a="1"/>
  <c r="I103" i="5" a="1"/>
  <c r="M103" i="5" a="1"/>
  <c r="K103" i="5" a="1"/>
  <c r="U102" i="5" l="1" a="1"/>
  <c r="U102" i="5" s="1"/>
  <c r="V102" i="5" a="1"/>
  <c r="V102" i="5" s="1"/>
  <c r="P103" i="5"/>
  <c r="K103" i="5"/>
  <c r="C103" i="5"/>
  <c r="D103" i="5"/>
  <c r="N103" i="5"/>
  <c r="O103" i="5"/>
  <c r="L103" i="5"/>
  <c r="I103" i="5"/>
  <c r="G103" i="5"/>
  <c r="H103" i="5"/>
  <c r="M103" i="5"/>
  <c r="B104" i="5"/>
  <c r="E104" i="5" a="1"/>
  <c r="E104" i="5" s="1"/>
  <c r="A105" i="5" a="1"/>
  <c r="N104" i="5" a="1"/>
  <c r="T103" i="5" l="1"/>
  <c r="N104" i="5"/>
  <c r="S103" i="5"/>
  <c r="Q103" i="5"/>
  <c r="F104" i="5" a="1"/>
  <c r="F104" i="5" s="1"/>
  <c r="X104" i="5"/>
  <c r="R103" i="5"/>
  <c r="AB104" i="5"/>
  <c r="W104" i="5"/>
  <c r="Y104" i="5"/>
  <c r="AC104" i="5" s="1"/>
  <c r="AA104" i="5"/>
  <c r="A105" i="5"/>
  <c r="A106" i="5" s="1" a="1"/>
  <c r="Z104" i="5"/>
  <c r="C104" i="5" a="1"/>
  <c r="K104" i="5" a="1"/>
  <c r="O104" i="5" a="1"/>
  <c r="J104" i="5" a="1"/>
  <c r="D104" i="5" a="1"/>
  <c r="H104" i="5" a="1"/>
  <c r="L104" i="5" a="1"/>
  <c r="I104" i="5" a="1"/>
  <c r="M104" i="5" a="1"/>
  <c r="G104" i="5" a="1"/>
  <c r="P104" i="5" a="1"/>
  <c r="V103" i="5" l="1" a="1"/>
  <c r="V103" i="5" s="1"/>
  <c r="M104" i="5"/>
  <c r="J104" i="5"/>
  <c r="G104" i="5"/>
  <c r="L104" i="5"/>
  <c r="K104" i="5"/>
  <c r="I104" i="5"/>
  <c r="P104" i="5"/>
  <c r="C104" i="5"/>
  <c r="D104" i="5"/>
  <c r="O104" i="5"/>
  <c r="H104" i="5"/>
  <c r="U103" i="5" a="1"/>
  <c r="U103" i="5" s="1"/>
  <c r="E105" i="5" a="1"/>
  <c r="E105" i="5" s="1"/>
  <c r="AA105" i="5" s="1"/>
  <c r="B105" i="5"/>
  <c r="F105" i="5" s="1" a="1"/>
  <c r="F105" i="5" s="1"/>
  <c r="A106" i="5"/>
  <c r="R104" i="5" l="1"/>
  <c r="Y105" i="5"/>
  <c r="AC105" i="5" s="1"/>
  <c r="Z105" i="5"/>
  <c r="W105" i="5"/>
  <c r="X105" i="5"/>
  <c r="AB105" i="5"/>
  <c r="B106" i="5"/>
  <c r="O106" i="5" s="1" a="1"/>
  <c r="E106" i="5" a="1"/>
  <c r="E106" i="5" s="1"/>
  <c r="Z106" i="5" s="1"/>
  <c r="Q104" i="5"/>
  <c r="S104" i="5"/>
  <c r="T104" i="5"/>
  <c r="H105" i="5" a="1"/>
  <c r="P105" i="5" a="1"/>
  <c r="L105" i="5" a="1"/>
  <c r="K105" i="5" a="1"/>
  <c r="C105" i="5" a="1"/>
  <c r="A107" i="5" a="1"/>
  <c r="D105" i="5" a="1"/>
  <c r="J105" i="5" a="1"/>
  <c r="G105" i="5" a="1"/>
  <c r="O105" i="5" a="1"/>
  <c r="N105" i="5" a="1"/>
  <c r="M105" i="5" a="1"/>
  <c r="I105" i="5" a="1"/>
  <c r="M105" i="5" l="1"/>
  <c r="H105" i="5"/>
  <c r="I105" i="5"/>
  <c r="U104" i="5" a="1"/>
  <c r="U104" i="5" s="1"/>
  <c r="V104" i="5" a="1"/>
  <c r="V104" i="5" s="1"/>
  <c r="D105" i="5"/>
  <c r="O105" i="5"/>
  <c r="K105" i="5"/>
  <c r="P105" i="5"/>
  <c r="O106" i="5"/>
  <c r="J105" i="5"/>
  <c r="L105" i="5"/>
  <c r="G105" i="5"/>
  <c r="C105" i="5"/>
  <c r="N105" i="5"/>
  <c r="F106" i="5" a="1"/>
  <c r="F106" i="5" s="1"/>
  <c r="AB106" i="5"/>
  <c r="X106" i="5"/>
  <c r="A107" i="5"/>
  <c r="AA106" i="5"/>
  <c r="Y106" i="5"/>
  <c r="AC106" i="5" s="1"/>
  <c r="W106" i="5"/>
  <c r="J106" i="5" a="1"/>
  <c r="G106" i="5" a="1"/>
  <c r="P106" i="5" a="1"/>
  <c r="L106" i="5" a="1"/>
  <c r="N106" i="5" a="1"/>
  <c r="K106" i="5" a="1"/>
  <c r="H106" i="5" a="1"/>
  <c r="M106" i="5" a="1"/>
  <c r="D106" i="5" a="1"/>
  <c r="I106" i="5" a="1"/>
  <c r="C106" i="5" a="1"/>
  <c r="A108" i="5" a="1"/>
  <c r="K106" i="5" l="1"/>
  <c r="J106" i="5"/>
  <c r="P106" i="5"/>
  <c r="I106" i="5"/>
  <c r="N106" i="5"/>
  <c r="C106" i="5"/>
  <c r="D106" i="5"/>
  <c r="L106" i="5"/>
  <c r="H106" i="5"/>
  <c r="M106" i="5"/>
  <c r="G106" i="5"/>
  <c r="B107" i="5"/>
  <c r="F107" i="5" s="1" a="1"/>
  <c r="F107" i="5" s="1"/>
  <c r="E107" i="5" a="1"/>
  <c r="E107" i="5" s="1"/>
  <c r="Y107" i="5" s="1"/>
  <c r="AC107" i="5" s="1"/>
  <c r="T105" i="5"/>
  <c r="R105" i="5"/>
  <c r="S105" i="5"/>
  <c r="Q105" i="5"/>
  <c r="A108" i="5"/>
  <c r="T106" i="5" l="1"/>
  <c r="U105" i="5" a="1"/>
  <c r="U105" i="5" s="1"/>
  <c r="R106" i="5"/>
  <c r="W107" i="5"/>
  <c r="X107" i="5"/>
  <c r="Q106" i="5"/>
  <c r="E108" i="5" a="1"/>
  <c r="E108" i="5" s="1"/>
  <c r="Z108" i="5" s="1"/>
  <c r="B108" i="5"/>
  <c r="I108" i="5" s="1" a="1"/>
  <c r="AB107" i="5"/>
  <c r="V105" i="5" a="1"/>
  <c r="V105" i="5" s="1"/>
  <c r="AA107" i="5"/>
  <c r="Z107" i="5"/>
  <c r="S106" i="5"/>
  <c r="K107" i="5" a="1"/>
  <c r="G107" i="5" a="1"/>
  <c r="N107" i="5" a="1"/>
  <c r="D107" i="5" a="1"/>
  <c r="C107" i="5" a="1"/>
  <c r="J107" i="5" a="1"/>
  <c r="L107" i="5" a="1"/>
  <c r="P107" i="5" a="1"/>
  <c r="M107" i="5" a="1"/>
  <c r="H107" i="5" a="1"/>
  <c r="I107" i="5" a="1"/>
  <c r="O107" i="5" a="1"/>
  <c r="A109" i="5" a="1"/>
  <c r="U106" i="5" l="1" a="1"/>
  <c r="U106" i="5" s="1"/>
  <c r="V106" i="5" a="1"/>
  <c r="V106" i="5" s="1"/>
  <c r="I108" i="5"/>
  <c r="L107" i="5"/>
  <c r="M107" i="5"/>
  <c r="I107" i="5"/>
  <c r="J107" i="5"/>
  <c r="O107" i="5"/>
  <c r="N107" i="5"/>
  <c r="H107" i="5"/>
  <c r="D107" i="5"/>
  <c r="K107" i="5"/>
  <c r="G107" i="5"/>
  <c r="P107" i="5"/>
  <c r="C107" i="5"/>
  <c r="F108" i="5" a="1"/>
  <c r="F108" i="5" s="1"/>
  <c r="AA108" i="5"/>
  <c r="AB108" i="5"/>
  <c r="X108" i="5"/>
  <c r="A109" i="5"/>
  <c r="Y108" i="5"/>
  <c r="AC108" i="5" s="1"/>
  <c r="W108" i="5"/>
  <c r="D108" i="5" a="1"/>
  <c r="K108" i="5" a="1"/>
  <c r="P108" i="5" a="1"/>
  <c r="G108" i="5" a="1"/>
  <c r="O108" i="5" a="1"/>
  <c r="L108" i="5" a="1"/>
  <c r="C108" i="5" a="1"/>
  <c r="M108" i="5" a="1"/>
  <c r="H108" i="5" a="1"/>
  <c r="J108" i="5" a="1"/>
  <c r="N108" i="5" a="1"/>
  <c r="R107" i="5" l="1"/>
  <c r="T107" i="5"/>
  <c r="O108" i="5"/>
  <c r="J108" i="5"/>
  <c r="M108" i="5"/>
  <c r="P108" i="5"/>
  <c r="C108" i="5"/>
  <c r="D108" i="5"/>
  <c r="H108" i="5"/>
  <c r="L108" i="5"/>
  <c r="G108" i="5"/>
  <c r="K108" i="5"/>
  <c r="N108" i="5"/>
  <c r="S107" i="5"/>
  <c r="Q107" i="5"/>
  <c r="B109" i="5"/>
  <c r="K109" i="5" s="1" a="1"/>
  <c r="E109" i="5" a="1"/>
  <c r="E109" i="5" s="1"/>
  <c r="A110" i="5" a="1"/>
  <c r="U107" i="5" l="1" a="1"/>
  <c r="U107" i="5" s="1"/>
  <c r="V107" i="5" a="1"/>
  <c r="V107" i="5" s="1"/>
  <c r="T108" i="5"/>
  <c r="K109" i="5"/>
  <c r="R108" i="5"/>
  <c r="AB109" i="5"/>
  <c r="F109" i="5" a="1"/>
  <c r="F109" i="5" s="1"/>
  <c r="Q108" i="5"/>
  <c r="S108" i="5"/>
  <c r="A110" i="5"/>
  <c r="Y109" i="5"/>
  <c r="AC109" i="5" s="1"/>
  <c r="W109" i="5"/>
  <c r="AA109" i="5"/>
  <c r="X109" i="5"/>
  <c r="Z109" i="5"/>
  <c r="G109" i="5" a="1"/>
  <c r="C109" i="5" a="1"/>
  <c r="P109" i="5" a="1"/>
  <c r="N109" i="5" a="1"/>
  <c r="I109" i="5" a="1"/>
  <c r="J109" i="5" a="1"/>
  <c r="H109" i="5" a="1"/>
  <c r="D109" i="5" a="1"/>
  <c r="O109" i="5" a="1"/>
  <c r="L109" i="5" a="1"/>
  <c r="M109" i="5" a="1"/>
  <c r="V108" i="5" l="1" a="1"/>
  <c r="V108" i="5" s="1"/>
  <c r="U108" i="5" a="1"/>
  <c r="U108" i="5" s="1"/>
  <c r="P109" i="5"/>
  <c r="I109" i="5"/>
  <c r="O109" i="5"/>
  <c r="H109" i="5"/>
  <c r="M109" i="5"/>
  <c r="D109" i="5"/>
  <c r="L109" i="5"/>
  <c r="G109" i="5"/>
  <c r="J109" i="5"/>
  <c r="C109" i="5"/>
  <c r="N109" i="5"/>
  <c r="E110" i="5" a="1"/>
  <c r="E110" i="5" s="1"/>
  <c r="Z110" i="5" s="1"/>
  <c r="B110" i="5"/>
  <c r="F110" i="5" s="1" a="1"/>
  <c r="F110" i="5" s="1"/>
  <c r="A111" i="5" a="1"/>
  <c r="T109" i="5" l="1"/>
  <c r="S109" i="5"/>
  <c r="Q109" i="5"/>
  <c r="R109" i="5"/>
  <c r="AA110" i="5"/>
  <c r="AB110" i="5"/>
  <c r="A111" i="5"/>
  <c r="X110" i="5"/>
  <c r="Y110" i="5"/>
  <c r="AC110" i="5" s="1"/>
  <c r="W110" i="5"/>
  <c r="M110" i="5" a="1"/>
  <c r="C110" i="5" a="1"/>
  <c r="J110" i="5" a="1"/>
  <c r="K110" i="5" a="1"/>
  <c r="P110" i="5" a="1"/>
  <c r="D110" i="5" a="1"/>
  <c r="G110" i="5" a="1"/>
  <c r="L110" i="5" a="1"/>
  <c r="H110" i="5" a="1"/>
  <c r="I110" i="5" a="1"/>
  <c r="O110" i="5" a="1"/>
  <c r="N110" i="5" a="1"/>
  <c r="O110" i="5" l="1"/>
  <c r="K110" i="5"/>
  <c r="P110" i="5"/>
  <c r="J110" i="5"/>
  <c r="V109" i="5" a="1"/>
  <c r="V109" i="5" s="1"/>
  <c r="H110" i="5"/>
  <c r="D110" i="5"/>
  <c r="G110" i="5"/>
  <c r="L110" i="5"/>
  <c r="M110" i="5"/>
  <c r="C110" i="5"/>
  <c r="N110" i="5"/>
  <c r="I110" i="5"/>
  <c r="B111" i="5"/>
  <c r="E111" i="5" a="1"/>
  <c r="E111" i="5" s="1"/>
  <c r="U109" i="5" a="1"/>
  <c r="U109" i="5" s="1"/>
  <c r="A112" i="5" a="1"/>
  <c r="D111" i="5" a="1"/>
  <c r="D111" i="5" l="1"/>
  <c r="AB111" i="5"/>
  <c r="F111" i="5" a="1"/>
  <c r="F111" i="5" s="1"/>
  <c r="T110" i="5"/>
  <c r="S110" i="5"/>
  <c r="Q110" i="5"/>
  <c r="R110" i="5"/>
  <c r="A112" i="5"/>
  <c r="W111" i="5"/>
  <c r="AA111" i="5"/>
  <c r="Y111" i="5"/>
  <c r="AC111" i="5" s="1"/>
  <c r="X111" i="5"/>
  <c r="Z111" i="5"/>
  <c r="P111" i="5" a="1"/>
  <c r="I111" i="5" a="1"/>
  <c r="J111" i="5" a="1"/>
  <c r="M111" i="5" a="1"/>
  <c r="K111" i="5" a="1"/>
  <c r="L111" i="5" a="1"/>
  <c r="C111" i="5" a="1"/>
  <c r="G111" i="5" a="1"/>
  <c r="O111" i="5" a="1"/>
  <c r="H111" i="5" a="1"/>
  <c r="N111" i="5" a="1"/>
  <c r="V110" i="5" l="1" a="1"/>
  <c r="V110" i="5" s="1"/>
  <c r="G111" i="5"/>
  <c r="M111" i="5"/>
  <c r="H111" i="5"/>
  <c r="K111" i="5"/>
  <c r="P111" i="5"/>
  <c r="L111" i="5"/>
  <c r="O111" i="5"/>
  <c r="N111" i="5"/>
  <c r="J111" i="5"/>
  <c r="I111" i="5"/>
  <c r="C111" i="5"/>
  <c r="B112" i="5"/>
  <c r="P112" i="5" s="1" a="1"/>
  <c r="E112" i="5" a="1"/>
  <c r="E112" i="5" s="1"/>
  <c r="U110" i="5" a="1"/>
  <c r="U110" i="5" s="1"/>
  <c r="A113" i="5" a="1"/>
  <c r="R111" i="5" l="1"/>
  <c r="P112" i="5"/>
  <c r="Q111" i="5"/>
  <c r="S111" i="5"/>
  <c r="F112" i="5" a="1"/>
  <c r="F112" i="5" s="1"/>
  <c r="Z112" i="5"/>
  <c r="T111" i="5"/>
  <c r="A113" i="5"/>
  <c r="X112" i="5"/>
  <c r="Y112" i="5"/>
  <c r="AC112" i="5" s="1"/>
  <c r="AA112" i="5"/>
  <c r="AB112" i="5"/>
  <c r="W112" i="5"/>
  <c r="I112" i="5" a="1"/>
  <c r="L112" i="5" a="1"/>
  <c r="G112" i="5" a="1"/>
  <c r="N112" i="5" a="1"/>
  <c r="K112" i="5" a="1"/>
  <c r="J112" i="5" a="1"/>
  <c r="D112" i="5" a="1"/>
  <c r="H112" i="5" a="1"/>
  <c r="C112" i="5" a="1"/>
  <c r="O112" i="5" a="1"/>
  <c r="M112" i="5" a="1"/>
  <c r="U111" i="5" l="1" a="1"/>
  <c r="U111" i="5" s="1"/>
  <c r="K112" i="5"/>
  <c r="G112" i="5"/>
  <c r="H112" i="5"/>
  <c r="N112" i="5"/>
  <c r="L112" i="5"/>
  <c r="R112" i="5" s="1"/>
  <c r="I112" i="5"/>
  <c r="D112" i="5"/>
  <c r="C112" i="5"/>
  <c r="O112" i="5"/>
  <c r="M112" i="5"/>
  <c r="T112" i="5" s="1"/>
  <c r="J112" i="5"/>
  <c r="E113" i="5" a="1"/>
  <c r="E113" i="5" s="1"/>
  <c r="AB113" i="5" s="1"/>
  <c r="B113" i="5"/>
  <c r="O113" i="5" s="1" a="1"/>
  <c r="V111" i="5" a="1"/>
  <c r="V111" i="5" s="1"/>
  <c r="A114" i="5" a="1"/>
  <c r="O113" i="5" l="1"/>
  <c r="F113" i="5" a="1"/>
  <c r="F113" i="5" s="1"/>
  <c r="Q112" i="5"/>
  <c r="U112" i="5" s="1" a="1"/>
  <c r="U112" i="5" s="1"/>
  <c r="S112" i="5"/>
  <c r="V112" i="5" s="1" a="1"/>
  <c r="V112" i="5" s="1"/>
  <c r="A114" i="5"/>
  <c r="Y113" i="5"/>
  <c r="AC113" i="5" s="1"/>
  <c r="AA113" i="5"/>
  <c r="X113" i="5"/>
  <c r="W113" i="5"/>
  <c r="Z113" i="5"/>
  <c r="C113" i="5" a="1"/>
  <c r="J113" i="5" a="1"/>
  <c r="G113" i="5" a="1"/>
  <c r="L113" i="5" a="1"/>
  <c r="P113" i="5" a="1"/>
  <c r="N113" i="5" a="1"/>
  <c r="D113" i="5" a="1"/>
  <c r="I113" i="5" a="1"/>
  <c r="M113" i="5" a="1"/>
  <c r="K113" i="5" a="1"/>
  <c r="H113" i="5" a="1"/>
  <c r="N113" i="5" l="1"/>
  <c r="G113" i="5"/>
  <c r="M113" i="5"/>
  <c r="L113" i="5"/>
  <c r="Q113" i="5" s="1"/>
  <c r="H113" i="5"/>
  <c r="J113" i="5"/>
  <c r="K113" i="5"/>
  <c r="I113" i="5"/>
  <c r="C113" i="5"/>
  <c r="D113" i="5"/>
  <c r="P113" i="5"/>
  <c r="B114" i="5"/>
  <c r="E114" i="5" a="1"/>
  <c r="E114" i="5" s="1"/>
  <c r="Z114" i="5" s="1"/>
  <c r="A115" i="5" a="1"/>
  <c r="C114" i="5" a="1"/>
  <c r="R113" i="5" l="1"/>
  <c r="U113" i="5" s="1" a="1"/>
  <c r="U113" i="5" s="1"/>
  <c r="C114" i="5"/>
  <c r="F114" i="5" a="1"/>
  <c r="F114" i="5" s="1"/>
  <c r="S113" i="5"/>
  <c r="T113" i="5"/>
  <c r="AB114" i="5"/>
  <c r="X114" i="5"/>
  <c r="A115" i="5"/>
  <c r="AA114" i="5"/>
  <c r="Y114" i="5"/>
  <c r="AC114" i="5" s="1"/>
  <c r="W114" i="5"/>
  <c r="O114" i="5" a="1"/>
  <c r="L114" i="5" a="1"/>
  <c r="I114" i="5" a="1"/>
  <c r="P114" i="5" a="1"/>
  <c r="N114" i="5" a="1"/>
  <c r="D114" i="5" a="1"/>
  <c r="K114" i="5" a="1"/>
  <c r="M114" i="5" a="1"/>
  <c r="G114" i="5" a="1"/>
  <c r="H114" i="5" a="1"/>
  <c r="J114" i="5" a="1"/>
  <c r="H114" i="5" l="1"/>
  <c r="N114" i="5"/>
  <c r="P114" i="5"/>
  <c r="D114" i="5"/>
  <c r="J114" i="5"/>
  <c r="V113" i="5" a="1"/>
  <c r="V113" i="5" s="1"/>
  <c r="M114" i="5"/>
  <c r="O114" i="5"/>
  <c r="I114" i="5"/>
  <c r="K114" i="5"/>
  <c r="L114" i="5"/>
  <c r="G114" i="5"/>
  <c r="B115" i="5"/>
  <c r="P115" i="5" s="1" a="1"/>
  <c r="E115" i="5" a="1"/>
  <c r="E115" i="5" s="1"/>
  <c r="AB115" i="5" s="1"/>
  <c r="A116" i="5" a="1"/>
  <c r="R114" i="5" l="1"/>
  <c r="T114" i="5"/>
  <c r="P115" i="5"/>
  <c r="F115" i="5" a="1"/>
  <c r="F115" i="5" s="1"/>
  <c r="S114" i="5"/>
  <c r="Q114" i="5"/>
  <c r="A116" i="5"/>
  <c r="W115" i="5"/>
  <c r="AA115" i="5"/>
  <c r="X115" i="5"/>
  <c r="Y115" i="5"/>
  <c r="AC115" i="5" s="1"/>
  <c r="Z115" i="5"/>
  <c r="K115" i="5" a="1"/>
  <c r="L115" i="5" a="1"/>
  <c r="G115" i="5" a="1"/>
  <c r="N115" i="5" a="1"/>
  <c r="M115" i="5" a="1"/>
  <c r="O115" i="5" a="1"/>
  <c r="I115" i="5" a="1"/>
  <c r="D115" i="5" a="1"/>
  <c r="H115" i="5" a="1"/>
  <c r="J115" i="5" a="1"/>
  <c r="C115" i="5" a="1"/>
  <c r="U114" i="5" l="1" a="1"/>
  <c r="U114" i="5" s="1"/>
  <c r="V114" i="5" a="1"/>
  <c r="V114" i="5" s="1"/>
  <c r="G115" i="5"/>
  <c r="I115" i="5"/>
  <c r="N115" i="5"/>
  <c r="K115" i="5"/>
  <c r="H115" i="5"/>
  <c r="L115" i="5"/>
  <c r="R115" i="5" s="1"/>
  <c r="M115" i="5"/>
  <c r="T115" i="5" s="1"/>
  <c r="C115" i="5"/>
  <c r="J115" i="5"/>
  <c r="D115" i="5"/>
  <c r="O115" i="5"/>
  <c r="E116" i="5" a="1"/>
  <c r="E116" i="5" s="1"/>
  <c r="X116" i="5" s="1"/>
  <c r="B116" i="5"/>
  <c r="A117" i="5" a="1"/>
  <c r="Q115" i="5" l="1"/>
  <c r="U115" i="5" s="1" a="1"/>
  <c r="U115" i="5" s="1"/>
  <c r="S115" i="5"/>
  <c r="V115" i="5" s="1" a="1"/>
  <c r="V115" i="5" s="1"/>
  <c r="F116" i="5" a="1"/>
  <c r="F116" i="5" s="1"/>
  <c r="A117" i="5"/>
  <c r="AA116" i="5"/>
  <c r="Y116" i="5"/>
  <c r="AC116" i="5" s="1"/>
  <c r="W116" i="5"/>
  <c r="Z116" i="5"/>
  <c r="AB116" i="5"/>
  <c r="O116" i="5" a="1"/>
  <c r="J116" i="5" a="1"/>
  <c r="C116" i="5" a="1"/>
  <c r="N116" i="5" a="1"/>
  <c r="P116" i="5" a="1"/>
  <c r="K116" i="5" a="1"/>
  <c r="I116" i="5" a="1"/>
  <c r="M116" i="5" a="1"/>
  <c r="L116" i="5" a="1"/>
  <c r="D116" i="5" a="1"/>
  <c r="G116" i="5" a="1"/>
  <c r="H116" i="5" a="1"/>
  <c r="N116" i="5" l="1"/>
  <c r="H116" i="5"/>
  <c r="D116" i="5"/>
  <c r="I116" i="5"/>
  <c r="J116" i="5"/>
  <c r="C116" i="5"/>
  <c r="P116" i="5"/>
  <c r="O116" i="5"/>
  <c r="K116" i="5"/>
  <c r="L116" i="5"/>
  <c r="M116" i="5"/>
  <c r="G116" i="5"/>
  <c r="E117" i="5" a="1"/>
  <c r="E117" i="5" s="1"/>
  <c r="AB117" i="5" s="1"/>
  <c r="B117" i="5"/>
  <c r="A118" i="5" a="1"/>
  <c r="K117" i="5" a="1"/>
  <c r="R116" i="5" l="1"/>
  <c r="K117" i="5"/>
  <c r="Q116" i="5"/>
  <c r="S116" i="5"/>
  <c r="T116" i="5"/>
  <c r="F117" i="5" a="1"/>
  <c r="F117" i="5" s="1"/>
  <c r="A118" i="5"/>
  <c r="Y117" i="5"/>
  <c r="AC117" i="5" s="1"/>
  <c r="W117" i="5"/>
  <c r="AA117" i="5"/>
  <c r="X117" i="5"/>
  <c r="Z117" i="5"/>
  <c r="L117" i="5" a="1"/>
  <c r="O117" i="5" a="1"/>
  <c r="I117" i="5" a="1"/>
  <c r="M117" i="5" a="1"/>
  <c r="P117" i="5" a="1"/>
  <c r="C117" i="5" a="1"/>
  <c r="J117" i="5" a="1"/>
  <c r="D117" i="5" a="1"/>
  <c r="N117" i="5" a="1"/>
  <c r="H117" i="5" a="1"/>
  <c r="G117" i="5" a="1"/>
  <c r="U116" i="5" l="1" a="1"/>
  <c r="U116" i="5" s="1"/>
  <c r="J117" i="5"/>
  <c r="G117" i="5"/>
  <c r="N117" i="5"/>
  <c r="O117" i="5"/>
  <c r="D117" i="5"/>
  <c r="P117" i="5"/>
  <c r="I117" i="5"/>
  <c r="L117" i="5"/>
  <c r="M117" i="5"/>
  <c r="C117" i="5"/>
  <c r="H117" i="5"/>
  <c r="E118" i="5" a="1"/>
  <c r="E118" i="5" s="1"/>
  <c r="Z118" i="5" s="1"/>
  <c r="B118" i="5"/>
  <c r="F118" i="5" s="1" a="1"/>
  <c r="F118" i="5" s="1"/>
  <c r="V116" i="5" a="1"/>
  <c r="V116" i="5" s="1"/>
  <c r="A119" i="5" a="1"/>
  <c r="Q117" i="5" l="1"/>
  <c r="S117" i="5"/>
  <c r="T117" i="5"/>
  <c r="R117" i="5"/>
  <c r="AB118" i="5"/>
  <c r="X118" i="5"/>
  <c r="A119" i="5"/>
  <c r="Y118" i="5"/>
  <c r="AC118" i="5" s="1"/>
  <c r="AA118" i="5"/>
  <c r="W118" i="5"/>
  <c r="I118" i="5" a="1"/>
  <c r="P118" i="5" a="1"/>
  <c r="C118" i="5" a="1"/>
  <c r="N118" i="5" a="1"/>
  <c r="G118" i="5" a="1"/>
  <c r="H118" i="5" a="1"/>
  <c r="O118" i="5" a="1"/>
  <c r="L118" i="5" a="1"/>
  <c r="J118" i="5" a="1"/>
  <c r="M118" i="5" a="1"/>
  <c r="K118" i="5" a="1"/>
  <c r="D118" i="5" a="1"/>
  <c r="U117" i="5" l="1" a="1"/>
  <c r="U117" i="5" s="1"/>
  <c r="C118" i="5"/>
  <c r="I118" i="5"/>
  <c r="K118" i="5"/>
  <c r="H118" i="5"/>
  <c r="G118" i="5"/>
  <c r="P118" i="5"/>
  <c r="N118" i="5"/>
  <c r="M118" i="5"/>
  <c r="L118" i="5"/>
  <c r="O118" i="5"/>
  <c r="J118" i="5"/>
  <c r="D118" i="5"/>
  <c r="V117" i="5" a="1"/>
  <c r="V117" i="5" s="1"/>
  <c r="B119" i="5"/>
  <c r="E119" i="5" a="1"/>
  <c r="E119" i="5" s="1"/>
  <c r="AB119" i="5" s="1"/>
  <c r="A120" i="5" a="1"/>
  <c r="J119" i="5" a="1"/>
  <c r="R118" i="5" l="1"/>
  <c r="T118" i="5"/>
  <c r="S118" i="5"/>
  <c r="Q118" i="5"/>
  <c r="J119" i="5"/>
  <c r="F119" i="5" a="1"/>
  <c r="F119" i="5" s="1"/>
  <c r="A120" i="5"/>
  <c r="W119" i="5"/>
  <c r="Y119" i="5"/>
  <c r="AC119" i="5" s="1"/>
  <c r="AA119" i="5"/>
  <c r="X119" i="5"/>
  <c r="Z119" i="5"/>
  <c r="I119" i="5" a="1"/>
  <c r="P119" i="5" a="1"/>
  <c r="N119" i="5" a="1"/>
  <c r="M119" i="5" a="1"/>
  <c r="H119" i="5" a="1"/>
  <c r="G119" i="5" a="1"/>
  <c r="K119" i="5" a="1"/>
  <c r="D119" i="5" a="1"/>
  <c r="O119" i="5" a="1"/>
  <c r="L119" i="5" a="1"/>
  <c r="C119" i="5" a="1"/>
  <c r="U118" i="5" l="1" a="1"/>
  <c r="U118" i="5" s="1"/>
  <c r="V118" i="5" a="1"/>
  <c r="V118" i="5" s="1"/>
  <c r="H119" i="5"/>
  <c r="P119" i="5"/>
  <c r="K119" i="5"/>
  <c r="N119" i="5"/>
  <c r="M119" i="5"/>
  <c r="C119" i="5"/>
  <c r="I119" i="5"/>
  <c r="G119" i="5"/>
  <c r="O119" i="5"/>
  <c r="D119" i="5"/>
  <c r="L119" i="5"/>
  <c r="B120" i="5"/>
  <c r="E120" i="5" a="1"/>
  <c r="E120" i="5" s="1"/>
  <c r="Z120" i="5" s="1"/>
  <c r="A121" i="5" a="1"/>
  <c r="T119" i="5" l="1"/>
  <c r="R119" i="5"/>
  <c r="F120" i="5" a="1"/>
  <c r="F120" i="5" s="1"/>
  <c r="Q119" i="5"/>
  <c r="S119" i="5"/>
  <c r="AB120" i="5"/>
  <c r="X120" i="5"/>
  <c r="A121" i="5"/>
  <c r="AA120" i="5"/>
  <c r="Y120" i="5"/>
  <c r="AC120" i="5" s="1"/>
  <c r="W120" i="5"/>
  <c r="J120" i="5" a="1"/>
  <c r="I120" i="5" a="1"/>
  <c r="P120" i="5" a="1"/>
  <c r="L120" i="5" a="1"/>
  <c r="O120" i="5" a="1"/>
  <c r="D120" i="5" a="1"/>
  <c r="K120" i="5" a="1"/>
  <c r="N120" i="5" a="1"/>
  <c r="H120" i="5" a="1"/>
  <c r="M120" i="5" a="1"/>
  <c r="G120" i="5" a="1"/>
  <c r="C120" i="5" a="1"/>
  <c r="V119" i="5" l="1" a="1"/>
  <c r="V119" i="5" s="1"/>
  <c r="U119" i="5" a="1"/>
  <c r="U119" i="5" s="1"/>
  <c r="O120" i="5"/>
  <c r="J120" i="5"/>
  <c r="P120" i="5"/>
  <c r="K120" i="5"/>
  <c r="D120" i="5"/>
  <c r="L120" i="5"/>
  <c r="C120" i="5"/>
  <c r="M120" i="5"/>
  <c r="H120" i="5"/>
  <c r="I120" i="5"/>
  <c r="N120" i="5"/>
  <c r="G120" i="5"/>
  <c r="E121" i="5" a="1"/>
  <c r="E121" i="5" s="1"/>
  <c r="B121" i="5"/>
  <c r="M121" i="5" s="1" a="1"/>
  <c r="A122" i="5" a="1"/>
  <c r="T120" i="5" l="1"/>
  <c r="M121" i="5"/>
  <c r="R120" i="5"/>
  <c r="AB121" i="5"/>
  <c r="F121" i="5" a="1"/>
  <c r="F121" i="5" s="1"/>
  <c r="Q120" i="5"/>
  <c r="S120" i="5"/>
  <c r="A122" i="5"/>
  <c r="Y121" i="5"/>
  <c r="AC121" i="5" s="1"/>
  <c r="AA121" i="5"/>
  <c r="Z121" i="5"/>
  <c r="X121" i="5"/>
  <c r="W121" i="5"/>
  <c r="H121" i="5" a="1"/>
  <c r="L121" i="5" a="1"/>
  <c r="G121" i="5" a="1"/>
  <c r="J121" i="5" a="1"/>
  <c r="K121" i="5" a="1"/>
  <c r="O121" i="5" a="1"/>
  <c r="C121" i="5" a="1"/>
  <c r="I121" i="5" a="1"/>
  <c r="D121" i="5" a="1"/>
  <c r="P121" i="5" a="1"/>
  <c r="N121" i="5" a="1"/>
  <c r="V120" i="5" l="1" a="1"/>
  <c r="V120" i="5" s="1"/>
  <c r="U120" i="5" a="1"/>
  <c r="U120" i="5" s="1"/>
  <c r="I121" i="5"/>
  <c r="K121" i="5"/>
  <c r="O121" i="5"/>
  <c r="D121" i="5"/>
  <c r="L121" i="5"/>
  <c r="N121" i="5"/>
  <c r="P121" i="5"/>
  <c r="J121" i="5"/>
  <c r="C121" i="5"/>
  <c r="G121" i="5"/>
  <c r="H121" i="5"/>
  <c r="B122" i="5"/>
  <c r="J122" i="5" s="1" a="1"/>
  <c r="E122" i="5" a="1"/>
  <c r="E122" i="5" s="1"/>
  <c r="Z122" i="5" s="1"/>
  <c r="A123" i="5" a="1"/>
  <c r="J122" i="5" l="1"/>
  <c r="T121" i="5"/>
  <c r="R121" i="5"/>
  <c r="F122" i="5" a="1"/>
  <c r="F122" i="5" s="1"/>
  <c r="Q121" i="5"/>
  <c r="S121" i="5"/>
  <c r="AB122" i="5"/>
  <c r="X122" i="5"/>
  <c r="A123" i="5"/>
  <c r="AA122" i="5"/>
  <c r="Y122" i="5"/>
  <c r="AC122" i="5" s="1"/>
  <c r="W122" i="5"/>
  <c r="D122" i="5" a="1"/>
  <c r="M122" i="5" a="1"/>
  <c r="N122" i="5" a="1"/>
  <c r="K122" i="5" a="1"/>
  <c r="P122" i="5" a="1"/>
  <c r="I122" i="5" a="1"/>
  <c r="C122" i="5" a="1"/>
  <c r="G122" i="5" a="1"/>
  <c r="H122" i="5" a="1"/>
  <c r="L122" i="5" a="1"/>
  <c r="O122" i="5" a="1"/>
  <c r="L122" i="5" l="1"/>
  <c r="D122" i="5"/>
  <c r="H122" i="5"/>
  <c r="C122" i="5"/>
  <c r="P122" i="5"/>
  <c r="V121" i="5" a="1"/>
  <c r="V121" i="5" s="1"/>
  <c r="U121" i="5" a="1"/>
  <c r="U121" i="5" s="1"/>
  <c r="G122" i="5"/>
  <c r="N122" i="5"/>
  <c r="M122" i="5"/>
  <c r="I122" i="5"/>
  <c r="O122" i="5"/>
  <c r="K122" i="5"/>
  <c r="B123" i="5"/>
  <c r="E123" i="5" a="1"/>
  <c r="E123" i="5" s="1"/>
  <c r="AB123" i="5" s="1"/>
  <c r="A124" i="5" a="1"/>
  <c r="P123" i="5" a="1"/>
  <c r="R122" i="5" l="1"/>
  <c r="T122" i="5"/>
  <c r="P123" i="5"/>
  <c r="Q122" i="5"/>
  <c r="S122" i="5"/>
  <c r="F123" i="5" a="1"/>
  <c r="F123" i="5" s="1"/>
  <c r="W123" i="5"/>
  <c r="Y123" i="5"/>
  <c r="AC123" i="5" s="1"/>
  <c r="A124" i="5"/>
  <c r="AA123" i="5"/>
  <c r="X123" i="5"/>
  <c r="Z123" i="5"/>
  <c r="D123" i="5" a="1"/>
  <c r="C123" i="5" a="1"/>
  <c r="I123" i="5" a="1"/>
  <c r="G123" i="5" a="1"/>
  <c r="L123" i="5" a="1"/>
  <c r="M123" i="5" a="1"/>
  <c r="H123" i="5" a="1"/>
  <c r="N123" i="5" a="1"/>
  <c r="O123" i="5" a="1"/>
  <c r="J123" i="5" a="1"/>
  <c r="K123" i="5" a="1"/>
  <c r="U122" i="5" l="1" a="1"/>
  <c r="U122" i="5" s="1"/>
  <c r="V122" i="5" a="1"/>
  <c r="V122" i="5" s="1"/>
  <c r="C123" i="5"/>
  <c r="K123" i="5"/>
  <c r="J123" i="5"/>
  <c r="N123" i="5"/>
  <c r="D123" i="5"/>
  <c r="M123" i="5"/>
  <c r="T123" i="5" s="1"/>
  <c r="O123" i="5"/>
  <c r="H123" i="5"/>
  <c r="I123" i="5"/>
  <c r="G123" i="5"/>
  <c r="L123" i="5"/>
  <c r="R123" i="5" s="1"/>
  <c r="E124" i="5" a="1"/>
  <c r="E124" i="5" s="1"/>
  <c r="X124" i="5" s="1"/>
  <c r="B124" i="5"/>
  <c r="A125" i="5" a="1"/>
  <c r="F124" i="5" l="1" a="1"/>
  <c r="F124" i="5" s="1"/>
  <c r="S123" i="5"/>
  <c r="V123" i="5" s="1" a="1"/>
  <c r="V123" i="5" s="1"/>
  <c r="Q123" i="5"/>
  <c r="U123" i="5" s="1" a="1"/>
  <c r="U123" i="5" s="1"/>
  <c r="A125" i="5"/>
  <c r="AA124" i="5"/>
  <c r="Y124" i="5"/>
  <c r="AC124" i="5" s="1"/>
  <c r="W124" i="5"/>
  <c r="Z124" i="5"/>
  <c r="AB124" i="5"/>
  <c r="D124" i="5" a="1"/>
  <c r="M124" i="5" a="1"/>
  <c r="H124" i="5" a="1"/>
  <c r="N124" i="5" a="1"/>
  <c r="O124" i="5" a="1"/>
  <c r="G124" i="5" a="1"/>
  <c r="P124" i="5" a="1"/>
  <c r="L124" i="5" a="1"/>
  <c r="C124" i="5" a="1"/>
  <c r="J124" i="5" a="1"/>
  <c r="I124" i="5" a="1"/>
  <c r="K124" i="5" a="1"/>
  <c r="I124" i="5" l="1"/>
  <c r="N124" i="5"/>
  <c r="O124" i="5"/>
  <c r="P124" i="5"/>
  <c r="C124" i="5"/>
  <c r="L124" i="5"/>
  <c r="J124" i="5"/>
  <c r="D124" i="5"/>
  <c r="M124" i="5"/>
  <c r="K124" i="5"/>
  <c r="G124" i="5"/>
  <c r="H124" i="5"/>
  <c r="B125" i="5"/>
  <c r="G125" i="5" s="1" a="1"/>
  <c r="E125" i="5" a="1"/>
  <c r="E125" i="5" s="1"/>
  <c r="AB125" i="5" s="1"/>
  <c r="A126" i="5" a="1"/>
  <c r="T124" i="5" l="1"/>
  <c r="G125" i="5"/>
  <c r="R124" i="5"/>
  <c r="Q124" i="5"/>
  <c r="S124" i="5"/>
  <c r="F125" i="5" a="1"/>
  <c r="F125" i="5" s="1"/>
  <c r="A126" i="5"/>
  <c r="Y125" i="5"/>
  <c r="AC125" i="5" s="1"/>
  <c r="W125" i="5"/>
  <c r="AA125" i="5"/>
  <c r="X125" i="5"/>
  <c r="Z125" i="5"/>
  <c r="N125" i="5" a="1"/>
  <c r="I125" i="5" a="1"/>
  <c r="H125" i="5" a="1"/>
  <c r="J125" i="5" a="1"/>
  <c r="P125" i="5" a="1"/>
  <c r="D125" i="5" a="1"/>
  <c r="M125" i="5" a="1"/>
  <c r="C125" i="5" a="1"/>
  <c r="O125" i="5" a="1"/>
  <c r="K125" i="5" a="1"/>
  <c r="L125" i="5" a="1"/>
  <c r="V124" i="5" l="1" a="1"/>
  <c r="V124" i="5" s="1"/>
  <c r="U124" i="5" a="1"/>
  <c r="U124" i="5" s="1"/>
  <c r="P125" i="5"/>
  <c r="O125" i="5"/>
  <c r="I125" i="5"/>
  <c r="L125" i="5"/>
  <c r="H125" i="5"/>
  <c r="C125" i="5"/>
  <c r="N125" i="5"/>
  <c r="J125" i="5"/>
  <c r="K125" i="5"/>
  <c r="M125" i="5"/>
  <c r="D125" i="5"/>
  <c r="E126" i="5" a="1"/>
  <c r="E126" i="5" s="1"/>
  <c r="Z126" i="5" s="1"/>
  <c r="B126" i="5"/>
  <c r="F126" i="5" s="1" a="1"/>
  <c r="F126" i="5" s="1"/>
  <c r="A127" i="5" a="1"/>
  <c r="T125" i="5" l="1"/>
  <c r="R125" i="5"/>
  <c r="Q125" i="5"/>
  <c r="S125" i="5"/>
  <c r="AA126" i="5"/>
  <c r="AB126" i="5"/>
  <c r="X126" i="5"/>
  <c r="A127" i="5"/>
  <c r="Y126" i="5"/>
  <c r="AC126" i="5" s="1"/>
  <c r="W126" i="5"/>
  <c r="C126" i="5" a="1"/>
  <c r="K126" i="5" a="1"/>
  <c r="N126" i="5" a="1"/>
  <c r="P126" i="5" a="1"/>
  <c r="H126" i="5" a="1"/>
  <c r="G126" i="5" a="1"/>
  <c r="I126" i="5" a="1"/>
  <c r="O126" i="5" a="1"/>
  <c r="L126" i="5" a="1"/>
  <c r="M126" i="5" a="1"/>
  <c r="D126" i="5" a="1"/>
  <c r="J126" i="5" a="1"/>
  <c r="U125" i="5" l="1" a="1"/>
  <c r="U125" i="5" s="1"/>
  <c r="V125" i="5" a="1"/>
  <c r="V125" i="5" s="1"/>
  <c r="P126" i="5"/>
  <c r="K126" i="5"/>
  <c r="M126" i="5"/>
  <c r="L126" i="5"/>
  <c r="D126" i="5"/>
  <c r="C126" i="5"/>
  <c r="N126" i="5"/>
  <c r="G126" i="5"/>
  <c r="J126" i="5"/>
  <c r="I126" i="5"/>
  <c r="O126" i="5"/>
  <c r="H126" i="5"/>
  <c r="B127" i="5"/>
  <c r="F127" i="5" s="1" a="1"/>
  <c r="F127" i="5" s="1"/>
  <c r="E127" i="5" a="1"/>
  <c r="E127" i="5" s="1"/>
  <c r="A128" i="5" a="1"/>
  <c r="R126" i="5" l="1"/>
  <c r="T126" i="5"/>
  <c r="AB127" i="5"/>
  <c r="Q126" i="5"/>
  <c r="S126" i="5"/>
  <c r="A128" i="5"/>
  <c r="Y127" i="5"/>
  <c r="AC127" i="5" s="1"/>
  <c r="AA127" i="5"/>
  <c r="W127" i="5"/>
  <c r="X127" i="5"/>
  <c r="Z127" i="5"/>
  <c r="J127" i="5" a="1"/>
  <c r="P127" i="5" a="1"/>
  <c r="G127" i="5" a="1"/>
  <c r="O127" i="5" a="1"/>
  <c r="D127" i="5" a="1"/>
  <c r="L127" i="5" a="1"/>
  <c r="I127" i="5" a="1"/>
  <c r="H127" i="5" a="1"/>
  <c r="C127" i="5" a="1"/>
  <c r="N127" i="5" a="1"/>
  <c r="M127" i="5" a="1"/>
  <c r="K127" i="5" a="1"/>
  <c r="V126" i="5" l="1" a="1"/>
  <c r="V126" i="5" s="1"/>
  <c r="U126" i="5" a="1"/>
  <c r="U126" i="5" s="1"/>
  <c r="L127" i="5"/>
  <c r="H127" i="5"/>
  <c r="M127" i="5"/>
  <c r="K127" i="5"/>
  <c r="N127" i="5"/>
  <c r="I127" i="5"/>
  <c r="D127" i="5"/>
  <c r="O127" i="5"/>
  <c r="J127" i="5"/>
  <c r="P127" i="5"/>
  <c r="G127" i="5"/>
  <c r="C127" i="5"/>
  <c r="B128" i="5"/>
  <c r="D128" i="5" s="1" a="1"/>
  <c r="E128" i="5" a="1"/>
  <c r="E128" i="5" s="1"/>
  <c r="Z128" i="5" s="1"/>
  <c r="A129" i="5" a="1"/>
  <c r="R127" i="5" l="1"/>
  <c r="T127" i="5"/>
  <c r="D128" i="5"/>
  <c r="F128" i="5" a="1"/>
  <c r="F128" i="5" s="1"/>
  <c r="S127" i="5"/>
  <c r="Q127" i="5"/>
  <c r="A129" i="5"/>
  <c r="Y128" i="5"/>
  <c r="AC128" i="5" s="1"/>
  <c r="X128" i="5"/>
  <c r="AA128" i="5"/>
  <c r="AB128" i="5"/>
  <c r="W128" i="5"/>
  <c r="K128" i="5" a="1"/>
  <c r="O128" i="5" a="1"/>
  <c r="L128" i="5" a="1"/>
  <c r="M128" i="5" a="1"/>
  <c r="I128" i="5" a="1"/>
  <c r="C128" i="5" a="1"/>
  <c r="G128" i="5" a="1"/>
  <c r="H128" i="5" a="1"/>
  <c r="N128" i="5" a="1"/>
  <c r="P128" i="5" a="1"/>
  <c r="J128" i="5" a="1"/>
  <c r="V127" i="5" l="1" a="1"/>
  <c r="V127" i="5" s="1"/>
  <c r="U127" i="5" a="1"/>
  <c r="U127" i="5" s="1"/>
  <c r="N128" i="5"/>
  <c r="J128" i="5"/>
  <c r="G128" i="5"/>
  <c r="K128" i="5"/>
  <c r="H128" i="5"/>
  <c r="M128" i="5"/>
  <c r="P128" i="5"/>
  <c r="L128" i="5"/>
  <c r="O128" i="5"/>
  <c r="I128" i="5"/>
  <c r="C128" i="5"/>
  <c r="E129" i="5" a="1"/>
  <c r="E129" i="5" s="1"/>
  <c r="AB129" i="5" s="1"/>
  <c r="B129" i="5"/>
  <c r="G129" i="5" s="1" a="1"/>
  <c r="A130" i="5" a="1"/>
  <c r="T128" i="5" l="1"/>
  <c r="G129" i="5"/>
  <c r="F129" i="5" a="1"/>
  <c r="F129" i="5" s="1"/>
  <c r="R128" i="5"/>
  <c r="S128" i="5"/>
  <c r="Q128" i="5"/>
  <c r="A130" i="5"/>
  <c r="X129" i="5"/>
  <c r="AA129" i="5"/>
  <c r="Y129" i="5"/>
  <c r="AC129" i="5" s="1"/>
  <c r="W129" i="5"/>
  <c r="Z129" i="5"/>
  <c r="C129" i="5" a="1"/>
  <c r="D129" i="5" a="1"/>
  <c r="L129" i="5" a="1"/>
  <c r="J129" i="5" a="1"/>
  <c r="M129" i="5" a="1"/>
  <c r="H129" i="5" a="1"/>
  <c r="K129" i="5" a="1"/>
  <c r="P129" i="5" a="1"/>
  <c r="N129" i="5" a="1"/>
  <c r="O129" i="5" a="1"/>
  <c r="A131" i="5" a="1"/>
  <c r="I129" i="5" a="1"/>
  <c r="D129" i="5" l="1"/>
  <c r="I129" i="5"/>
  <c r="V128" i="5" a="1"/>
  <c r="V128" i="5" s="1"/>
  <c r="H129" i="5"/>
  <c r="J129" i="5"/>
  <c r="P129" i="5"/>
  <c r="O129" i="5"/>
  <c r="K129" i="5"/>
  <c r="C129" i="5"/>
  <c r="L129" i="5"/>
  <c r="N129" i="5"/>
  <c r="M129" i="5"/>
  <c r="U128" i="5" a="1"/>
  <c r="U128" i="5" s="1"/>
  <c r="B130" i="5"/>
  <c r="E130" i="5" a="1"/>
  <c r="E130" i="5" s="1"/>
  <c r="AB130" i="5" s="1"/>
  <c r="A131" i="5"/>
  <c r="I130" i="5" a="1"/>
  <c r="T129" i="5" l="1"/>
  <c r="Z130" i="5"/>
  <c r="W130" i="5"/>
  <c r="I130" i="5"/>
  <c r="X130" i="5"/>
  <c r="F130" i="5" a="1"/>
  <c r="F130" i="5" s="1"/>
  <c r="Y130" i="5"/>
  <c r="AC130" i="5" s="1"/>
  <c r="S129" i="5"/>
  <c r="Q129" i="5"/>
  <c r="B131" i="5"/>
  <c r="K131" i="5" s="1" a="1"/>
  <c r="E131" i="5" a="1"/>
  <c r="E131" i="5" s="1"/>
  <c r="AA130" i="5"/>
  <c r="R129" i="5"/>
  <c r="P130" i="5" a="1"/>
  <c r="N130" i="5" a="1"/>
  <c r="L130" i="5" a="1"/>
  <c r="D130" i="5" a="1"/>
  <c r="H130" i="5" a="1"/>
  <c r="J130" i="5" a="1"/>
  <c r="A132" i="5" a="1"/>
  <c r="O130" i="5" a="1"/>
  <c r="K130" i="5" a="1"/>
  <c r="M130" i="5" a="1"/>
  <c r="C130" i="5" a="1"/>
  <c r="G130" i="5" a="1"/>
  <c r="V129" i="5" l="1" a="1"/>
  <c r="V129" i="5" s="1"/>
  <c r="H130" i="5"/>
  <c r="M130" i="5"/>
  <c r="U129" i="5" a="1"/>
  <c r="U129" i="5" s="1"/>
  <c r="P130" i="5"/>
  <c r="D130" i="5"/>
  <c r="K131" i="5"/>
  <c r="G130" i="5"/>
  <c r="K130" i="5"/>
  <c r="N130" i="5"/>
  <c r="L130" i="5"/>
  <c r="O130" i="5"/>
  <c r="J130" i="5"/>
  <c r="C130" i="5"/>
  <c r="W131" i="5"/>
  <c r="F131" i="5" a="1"/>
  <c r="F131" i="5" s="1"/>
  <c r="A132" i="5"/>
  <c r="X131" i="5"/>
  <c r="AA131" i="5"/>
  <c r="Z131" i="5"/>
  <c r="AB131" i="5"/>
  <c r="Y131" i="5"/>
  <c r="AC131" i="5" s="1"/>
  <c r="I131" i="5" a="1"/>
  <c r="H131" i="5" a="1"/>
  <c r="G131" i="5" a="1"/>
  <c r="J131" i="5" a="1"/>
  <c r="M131" i="5" a="1"/>
  <c r="N131" i="5" a="1"/>
  <c r="C131" i="5" a="1"/>
  <c r="D131" i="5" a="1"/>
  <c r="P131" i="5" a="1"/>
  <c r="L131" i="5" a="1"/>
  <c r="O131" i="5" a="1"/>
  <c r="H131" i="5" l="1"/>
  <c r="P131" i="5"/>
  <c r="I131" i="5"/>
  <c r="O131" i="5"/>
  <c r="J131" i="5"/>
  <c r="M131" i="5"/>
  <c r="N131" i="5"/>
  <c r="L131" i="5"/>
  <c r="C131" i="5"/>
  <c r="D131" i="5"/>
  <c r="G131" i="5"/>
  <c r="S130" i="5"/>
  <c r="Q130" i="5"/>
  <c r="R130" i="5"/>
  <c r="T130" i="5"/>
  <c r="E132" i="5" a="1"/>
  <c r="E132" i="5" s="1"/>
  <c r="Z132" i="5" s="1"/>
  <c r="B132" i="5"/>
  <c r="F132" i="5" s="1" a="1"/>
  <c r="F132" i="5" s="1"/>
  <c r="A133" i="5" a="1"/>
  <c r="R131" i="5" l="1"/>
  <c r="U130" i="5" a="1"/>
  <c r="U130" i="5" s="1"/>
  <c r="Q131" i="5"/>
  <c r="T131" i="5"/>
  <c r="S131" i="5"/>
  <c r="V130" i="5" a="1"/>
  <c r="V130" i="5" s="1"/>
  <c r="A133" i="5"/>
  <c r="W132" i="5"/>
  <c r="Y132" i="5"/>
  <c r="AC132" i="5" s="1"/>
  <c r="AB132" i="5"/>
  <c r="X132" i="5"/>
  <c r="AA132" i="5"/>
  <c r="L132" i="5" a="1"/>
  <c r="G132" i="5" a="1"/>
  <c r="O132" i="5" a="1"/>
  <c r="J132" i="5" a="1"/>
  <c r="H132" i="5" a="1"/>
  <c r="P132" i="5" a="1"/>
  <c r="D132" i="5" a="1"/>
  <c r="N132" i="5" a="1"/>
  <c r="K132" i="5" a="1"/>
  <c r="M132" i="5" a="1"/>
  <c r="I132" i="5" a="1"/>
  <c r="C132" i="5" a="1"/>
  <c r="U131" i="5" l="1" a="1"/>
  <c r="U131" i="5" s="1"/>
  <c r="V131" i="5" a="1"/>
  <c r="V131" i="5" s="1"/>
  <c r="L132" i="5"/>
  <c r="D132" i="5"/>
  <c r="M132" i="5"/>
  <c r="N132" i="5"/>
  <c r="I132" i="5"/>
  <c r="J132" i="5"/>
  <c r="H132" i="5"/>
  <c r="K132" i="5"/>
  <c r="P132" i="5"/>
  <c r="G132" i="5"/>
  <c r="C132" i="5"/>
  <c r="O132" i="5"/>
  <c r="E133" i="5" a="1"/>
  <c r="E133" i="5" s="1"/>
  <c r="X133" i="5" s="1"/>
  <c r="B133" i="5"/>
  <c r="A134" i="5" a="1"/>
  <c r="C133" i="5" a="1"/>
  <c r="R132" i="5" l="1"/>
  <c r="C133" i="5"/>
  <c r="Q132" i="5"/>
  <c r="S132" i="5"/>
  <c r="F133" i="5" a="1"/>
  <c r="F133" i="5" s="1"/>
  <c r="T132" i="5"/>
  <c r="A134" i="5"/>
  <c r="AA133" i="5"/>
  <c r="W133" i="5"/>
  <c r="Z133" i="5"/>
  <c r="Y133" i="5"/>
  <c r="AC133" i="5" s="1"/>
  <c r="AB133" i="5"/>
  <c r="K133" i="5" a="1"/>
  <c r="I133" i="5" a="1"/>
  <c r="G133" i="5" a="1"/>
  <c r="O133" i="5" a="1"/>
  <c r="L133" i="5" a="1"/>
  <c r="D133" i="5" a="1"/>
  <c r="N133" i="5" a="1"/>
  <c r="P133" i="5" a="1"/>
  <c r="M133" i="5" a="1"/>
  <c r="H133" i="5" a="1"/>
  <c r="J133" i="5" a="1"/>
  <c r="U132" i="5" l="1" a="1"/>
  <c r="U132" i="5" s="1"/>
  <c r="J133" i="5"/>
  <c r="O133" i="5"/>
  <c r="N133" i="5"/>
  <c r="I133" i="5"/>
  <c r="H133" i="5"/>
  <c r="P133" i="5"/>
  <c r="M133" i="5"/>
  <c r="K133" i="5"/>
  <c r="G133" i="5"/>
  <c r="L133" i="5"/>
  <c r="D133" i="5"/>
  <c r="E134" i="5" a="1"/>
  <c r="E134" i="5" s="1"/>
  <c r="B134" i="5"/>
  <c r="V132" i="5" a="1"/>
  <c r="V132" i="5" s="1"/>
  <c r="A135" i="5" a="1"/>
  <c r="K134" i="5" a="1"/>
  <c r="R133" i="5" l="1"/>
  <c r="T133" i="5"/>
  <c r="K134" i="5"/>
  <c r="Z134" i="5"/>
  <c r="Q133" i="5"/>
  <c r="S133" i="5"/>
  <c r="F134" i="5" a="1"/>
  <c r="F134" i="5" s="1"/>
  <c r="A135" i="5"/>
  <c r="AB134" i="5"/>
  <c r="AA134" i="5"/>
  <c r="W134" i="5"/>
  <c r="Y134" i="5"/>
  <c r="AC134" i="5" s="1"/>
  <c r="X134" i="5"/>
  <c r="I134" i="5" a="1"/>
  <c r="D134" i="5" a="1"/>
  <c r="P134" i="5" a="1"/>
  <c r="N134" i="5" a="1"/>
  <c r="J134" i="5" a="1"/>
  <c r="O134" i="5" a="1"/>
  <c r="L134" i="5" a="1"/>
  <c r="H134" i="5" a="1"/>
  <c r="C134" i="5" a="1"/>
  <c r="M134" i="5" a="1"/>
  <c r="G134" i="5" a="1"/>
  <c r="U133" i="5" l="1" a="1"/>
  <c r="U133" i="5" s="1"/>
  <c r="V133" i="5" a="1"/>
  <c r="V133" i="5" s="1"/>
  <c r="L134" i="5"/>
  <c r="J134" i="5"/>
  <c r="C134" i="5"/>
  <c r="N134" i="5"/>
  <c r="M134" i="5"/>
  <c r="D134" i="5"/>
  <c r="I134" i="5"/>
  <c r="O134" i="5"/>
  <c r="P134" i="5"/>
  <c r="G134" i="5"/>
  <c r="H134" i="5"/>
  <c r="B135" i="5"/>
  <c r="E135" i="5" a="1"/>
  <c r="E135" i="5" s="1"/>
  <c r="A136" i="5" a="1"/>
  <c r="J135" i="5" a="1"/>
  <c r="R134" i="5" l="1"/>
  <c r="T134" i="5"/>
  <c r="J135" i="5"/>
  <c r="Q134" i="5"/>
  <c r="S134" i="5"/>
  <c r="AA135" i="5"/>
  <c r="F135" i="5" a="1"/>
  <c r="F135" i="5" s="1"/>
  <c r="A136" i="5"/>
  <c r="Y135" i="5"/>
  <c r="AC135" i="5" s="1"/>
  <c r="AB135" i="5"/>
  <c r="Z135" i="5"/>
  <c r="W135" i="5"/>
  <c r="X135" i="5"/>
  <c r="D135" i="5" a="1"/>
  <c r="H135" i="5" a="1"/>
  <c r="K135" i="5" a="1"/>
  <c r="N135" i="5" a="1"/>
  <c r="L135" i="5" a="1"/>
  <c r="G135" i="5" a="1"/>
  <c r="P135" i="5" a="1"/>
  <c r="M135" i="5" a="1"/>
  <c r="C135" i="5" a="1"/>
  <c r="I135" i="5" a="1"/>
  <c r="O135" i="5" a="1"/>
  <c r="U134" i="5" l="1" a="1"/>
  <c r="U134" i="5" s="1"/>
  <c r="V134" i="5" a="1"/>
  <c r="V134" i="5" s="1"/>
  <c r="D135" i="5"/>
  <c r="G135" i="5"/>
  <c r="C135" i="5"/>
  <c r="I135" i="5"/>
  <c r="H135" i="5"/>
  <c r="K135" i="5"/>
  <c r="N135" i="5"/>
  <c r="O135" i="5"/>
  <c r="L135" i="5"/>
  <c r="M135" i="5"/>
  <c r="P135" i="5"/>
  <c r="B136" i="5"/>
  <c r="E136" i="5" a="1"/>
  <c r="E136" i="5" s="1"/>
  <c r="A137" i="5" a="1"/>
  <c r="R135" i="5" l="1"/>
  <c r="T135" i="5"/>
  <c r="F136" i="5" a="1"/>
  <c r="F136" i="5" s="1"/>
  <c r="Q135" i="5"/>
  <c r="S135" i="5"/>
  <c r="Z136" i="5"/>
  <c r="A137" i="5"/>
  <c r="A138" i="5" s="1" a="1"/>
  <c r="Y136" i="5"/>
  <c r="AC136" i="5" s="1"/>
  <c r="AB136" i="5"/>
  <c r="AA136" i="5"/>
  <c r="W136" i="5"/>
  <c r="X136" i="5"/>
  <c r="I136" i="5" a="1"/>
  <c r="M136" i="5" a="1"/>
  <c r="C136" i="5" a="1"/>
  <c r="N136" i="5" a="1"/>
  <c r="L136" i="5" a="1"/>
  <c r="G136" i="5" a="1"/>
  <c r="K136" i="5" a="1"/>
  <c r="D136" i="5" a="1"/>
  <c r="O136" i="5" a="1"/>
  <c r="P136" i="5" a="1"/>
  <c r="H136" i="5" a="1"/>
  <c r="J136" i="5" a="1"/>
  <c r="U135" i="5" l="1" a="1"/>
  <c r="U135" i="5" s="1"/>
  <c r="V135" i="5" a="1"/>
  <c r="V135" i="5" s="1"/>
  <c r="C136" i="5"/>
  <c r="P136" i="5"/>
  <c r="D136" i="5"/>
  <c r="N136" i="5"/>
  <c r="K136" i="5"/>
  <c r="L136" i="5"/>
  <c r="O136" i="5"/>
  <c r="J136" i="5"/>
  <c r="I136" i="5"/>
  <c r="H136" i="5"/>
  <c r="M136" i="5"/>
  <c r="G136" i="5"/>
  <c r="E137" i="5" a="1"/>
  <c r="E137" i="5" s="1"/>
  <c r="B137" i="5"/>
  <c r="I137" i="5" s="1" a="1"/>
  <c r="A138" i="5"/>
  <c r="T136" i="5" l="1"/>
  <c r="I137" i="5"/>
  <c r="Z137" i="5"/>
  <c r="S136" i="5"/>
  <c r="Q136" i="5"/>
  <c r="X137" i="5"/>
  <c r="Y137" i="5"/>
  <c r="AC137" i="5" s="1"/>
  <c r="R136" i="5"/>
  <c r="AA137" i="5"/>
  <c r="AB137" i="5"/>
  <c r="W137" i="5"/>
  <c r="B138" i="5"/>
  <c r="H138" i="5" s="1" a="1"/>
  <c r="E138" i="5" a="1"/>
  <c r="E138" i="5" s="1"/>
  <c r="Z138" i="5" s="1"/>
  <c r="F137" i="5" a="1"/>
  <c r="F137" i="5" s="1"/>
  <c r="L137" i="5" a="1"/>
  <c r="A139" i="5" a="1"/>
  <c r="G137" i="5" a="1"/>
  <c r="N137" i="5" a="1"/>
  <c r="D137" i="5" a="1"/>
  <c r="M137" i="5" a="1"/>
  <c r="C137" i="5" a="1"/>
  <c r="J137" i="5" a="1"/>
  <c r="H137" i="5" a="1"/>
  <c r="K137" i="5" a="1"/>
  <c r="P137" i="5" a="1"/>
  <c r="O137" i="5" a="1"/>
  <c r="V136" i="5" l="1" a="1"/>
  <c r="V136" i="5" s="1"/>
  <c r="F138" i="5" a="1"/>
  <c r="F138" i="5" s="1"/>
  <c r="H138" i="5"/>
  <c r="G137" i="5"/>
  <c r="L137" i="5"/>
  <c r="O137" i="5"/>
  <c r="N137" i="5"/>
  <c r="C137" i="5"/>
  <c r="P137" i="5"/>
  <c r="H137" i="5"/>
  <c r="J137" i="5"/>
  <c r="M137" i="5"/>
  <c r="K137" i="5"/>
  <c r="D137" i="5"/>
  <c r="U136" i="5" a="1"/>
  <c r="U136" i="5" s="1"/>
  <c r="A139" i="5"/>
  <c r="AB138" i="5"/>
  <c r="X138" i="5"/>
  <c r="Y138" i="5"/>
  <c r="AC138" i="5" s="1"/>
  <c r="AA138" i="5"/>
  <c r="W138" i="5"/>
  <c r="D138" i="5" a="1"/>
  <c r="L138" i="5" a="1"/>
  <c r="C138" i="5" a="1"/>
  <c r="I138" i="5" a="1"/>
  <c r="O138" i="5" a="1"/>
  <c r="N138" i="5" a="1"/>
  <c r="J138" i="5" a="1"/>
  <c r="G138" i="5" a="1"/>
  <c r="K138" i="5" a="1"/>
  <c r="P138" i="5" a="1"/>
  <c r="M138" i="5" a="1"/>
  <c r="L138" i="5" l="1"/>
  <c r="N138" i="5"/>
  <c r="I138" i="5"/>
  <c r="O138" i="5"/>
  <c r="P138" i="5"/>
  <c r="C138" i="5"/>
  <c r="G138" i="5"/>
  <c r="D138" i="5"/>
  <c r="K138" i="5"/>
  <c r="M138" i="5"/>
  <c r="R137" i="5"/>
  <c r="T137" i="5"/>
  <c r="J138" i="5"/>
  <c r="B139" i="5"/>
  <c r="E139" i="5" a="1"/>
  <c r="E139" i="5" s="1"/>
  <c r="S137" i="5"/>
  <c r="Q137" i="5"/>
  <c r="A140" i="5" a="1"/>
  <c r="N139" i="5" a="1"/>
  <c r="S138" i="5" l="1"/>
  <c r="Q138" i="5"/>
  <c r="R138" i="5"/>
  <c r="T138" i="5"/>
  <c r="V137" i="5" a="1"/>
  <c r="V137" i="5" s="1"/>
  <c r="U137" i="5" a="1"/>
  <c r="U137" i="5" s="1"/>
  <c r="N139" i="5"/>
  <c r="F139" i="5" a="1"/>
  <c r="F139" i="5" s="1"/>
  <c r="X139" i="5"/>
  <c r="A140" i="5"/>
  <c r="AA139" i="5"/>
  <c r="AB139" i="5"/>
  <c r="Y139" i="5"/>
  <c r="AC139" i="5" s="1"/>
  <c r="Z139" i="5"/>
  <c r="W139" i="5"/>
  <c r="P139" i="5" a="1"/>
  <c r="C139" i="5" a="1"/>
  <c r="D139" i="5" a="1"/>
  <c r="K139" i="5" a="1"/>
  <c r="M139" i="5" a="1"/>
  <c r="I139" i="5" a="1"/>
  <c r="J139" i="5" a="1"/>
  <c r="L139" i="5" a="1"/>
  <c r="H139" i="5" a="1"/>
  <c r="G139" i="5" a="1"/>
  <c r="O139" i="5" a="1"/>
  <c r="V138" i="5" l="1" a="1"/>
  <c r="V138" i="5" s="1"/>
  <c r="U138" i="5" a="1"/>
  <c r="U138" i="5" s="1"/>
  <c r="C139" i="5"/>
  <c r="O139" i="5"/>
  <c r="H139" i="5"/>
  <c r="K139" i="5"/>
  <c r="J139" i="5"/>
  <c r="I139" i="5"/>
  <c r="M139" i="5"/>
  <c r="L139" i="5"/>
  <c r="P139" i="5"/>
  <c r="G139" i="5"/>
  <c r="D139" i="5"/>
  <c r="E140" i="5" a="1"/>
  <c r="E140" i="5" s="1"/>
  <c r="Z140" i="5" s="1"/>
  <c r="B140" i="5"/>
  <c r="A141" i="5" a="1"/>
  <c r="T139" i="5" l="1"/>
  <c r="F140" i="5" a="1"/>
  <c r="F140" i="5" s="1"/>
  <c r="Q139" i="5"/>
  <c r="S139" i="5"/>
  <c r="R139" i="5"/>
  <c r="A141" i="5"/>
  <c r="AA140" i="5"/>
  <c r="Y140" i="5"/>
  <c r="AC140" i="5" s="1"/>
  <c r="X140" i="5"/>
  <c r="AB140" i="5"/>
  <c r="W140" i="5"/>
  <c r="G140" i="5" a="1"/>
  <c r="D140" i="5" a="1"/>
  <c r="C140" i="5" a="1"/>
  <c r="K140" i="5" a="1"/>
  <c r="L140" i="5" a="1"/>
  <c r="I140" i="5" a="1"/>
  <c r="P140" i="5" a="1"/>
  <c r="N140" i="5" a="1"/>
  <c r="O140" i="5" a="1"/>
  <c r="J140" i="5" a="1"/>
  <c r="M140" i="5" a="1"/>
  <c r="H140" i="5" a="1"/>
  <c r="V139" i="5" l="1" a="1"/>
  <c r="V139" i="5" s="1"/>
  <c r="G140" i="5"/>
  <c r="I140" i="5"/>
  <c r="P140" i="5"/>
  <c r="K140" i="5"/>
  <c r="H140" i="5"/>
  <c r="C140" i="5"/>
  <c r="O140" i="5"/>
  <c r="J140" i="5"/>
  <c r="D140" i="5"/>
  <c r="M140" i="5"/>
  <c r="L140" i="5"/>
  <c r="N140" i="5"/>
  <c r="B141" i="5"/>
  <c r="G141" i="5" s="1" a="1"/>
  <c r="E141" i="5" a="1"/>
  <c r="E141" i="5" s="1"/>
  <c r="U139" i="5" a="1"/>
  <c r="U139" i="5" s="1"/>
  <c r="A142" i="5" a="1"/>
  <c r="T140" i="5" l="1"/>
  <c r="G141" i="5"/>
  <c r="Q140" i="5"/>
  <c r="S140" i="5"/>
  <c r="AB141" i="5"/>
  <c r="R140" i="5"/>
  <c r="F141" i="5" a="1"/>
  <c r="F141" i="5" s="1"/>
  <c r="A142" i="5"/>
  <c r="X141" i="5"/>
  <c r="AA141" i="5"/>
  <c r="Z141" i="5"/>
  <c r="W141" i="5"/>
  <c r="Y141" i="5"/>
  <c r="AC141" i="5" s="1"/>
  <c r="H141" i="5" a="1"/>
  <c r="I141" i="5" a="1"/>
  <c r="M141" i="5" a="1"/>
  <c r="J141" i="5" a="1"/>
  <c r="L141" i="5" a="1"/>
  <c r="C141" i="5" a="1"/>
  <c r="P141" i="5" a="1"/>
  <c r="D141" i="5" a="1"/>
  <c r="O141" i="5" a="1"/>
  <c r="N141" i="5" a="1"/>
  <c r="K141" i="5" a="1"/>
  <c r="V140" i="5" l="1" a="1"/>
  <c r="V140" i="5" s="1"/>
  <c r="D141" i="5"/>
  <c r="U140" i="5" a="1"/>
  <c r="U140" i="5" s="1"/>
  <c r="J141" i="5"/>
  <c r="K141" i="5"/>
  <c r="N141" i="5"/>
  <c r="O141" i="5"/>
  <c r="P141" i="5"/>
  <c r="C141" i="5"/>
  <c r="L141" i="5"/>
  <c r="I141" i="5"/>
  <c r="M141" i="5"/>
  <c r="H141" i="5"/>
  <c r="E142" i="5" a="1"/>
  <c r="E142" i="5" s="1"/>
  <c r="B142" i="5"/>
  <c r="P142" i="5" s="1" a="1"/>
  <c r="A143" i="5" a="1"/>
  <c r="R141" i="5" l="1"/>
  <c r="P142" i="5"/>
  <c r="F142" i="5" a="1"/>
  <c r="F142" i="5" s="1"/>
  <c r="Q141" i="5"/>
  <c r="S141" i="5"/>
  <c r="Z142" i="5"/>
  <c r="T141" i="5"/>
  <c r="A143" i="5"/>
  <c r="AB142" i="5"/>
  <c r="Y142" i="5"/>
  <c r="AC142" i="5" s="1"/>
  <c r="W142" i="5"/>
  <c r="AA142" i="5"/>
  <c r="X142" i="5"/>
  <c r="C142" i="5" a="1"/>
  <c r="L142" i="5" a="1"/>
  <c r="K142" i="5" a="1"/>
  <c r="H142" i="5" a="1"/>
  <c r="N142" i="5" a="1"/>
  <c r="M142" i="5" a="1"/>
  <c r="I142" i="5" a="1"/>
  <c r="J142" i="5" a="1"/>
  <c r="D142" i="5" a="1"/>
  <c r="O142" i="5" a="1"/>
  <c r="G142" i="5" a="1"/>
  <c r="U141" i="5" l="1" a="1"/>
  <c r="U141" i="5" s="1"/>
  <c r="D142" i="5"/>
  <c r="I142" i="5"/>
  <c r="G142" i="5"/>
  <c r="J142" i="5"/>
  <c r="K142" i="5"/>
  <c r="N142" i="5"/>
  <c r="L142" i="5"/>
  <c r="R142" i="5" s="1"/>
  <c r="O142" i="5"/>
  <c r="C142" i="5"/>
  <c r="H142" i="5"/>
  <c r="M142" i="5"/>
  <c r="T142" i="5" s="1"/>
  <c r="B143" i="5"/>
  <c r="J143" i="5" s="1" a="1"/>
  <c r="E143" i="5" a="1"/>
  <c r="E143" i="5" s="1"/>
  <c r="AB143" i="5" s="1"/>
  <c r="V141" i="5" a="1"/>
  <c r="V141" i="5" s="1"/>
  <c r="A144" i="5" a="1"/>
  <c r="J143" i="5" l="1"/>
  <c r="Q142" i="5"/>
  <c r="U142" i="5" s="1" a="1"/>
  <c r="U142" i="5" s="1"/>
  <c r="S142" i="5"/>
  <c r="V142" i="5" s="1" a="1"/>
  <c r="V142" i="5" s="1"/>
  <c r="F143" i="5" a="1"/>
  <c r="F143" i="5" s="1"/>
  <c r="A144" i="5"/>
  <c r="W143" i="5"/>
  <c r="AA143" i="5"/>
  <c r="X143" i="5"/>
  <c r="Y143" i="5"/>
  <c r="AC143" i="5" s="1"/>
  <c r="Z143" i="5"/>
  <c r="I143" i="5" a="1"/>
  <c r="M143" i="5" a="1"/>
  <c r="C143" i="5" a="1"/>
  <c r="G143" i="5" a="1"/>
  <c r="H143" i="5" a="1"/>
  <c r="D143" i="5" a="1"/>
  <c r="P143" i="5" a="1"/>
  <c r="K143" i="5" a="1"/>
  <c r="O143" i="5" a="1"/>
  <c r="N143" i="5" a="1"/>
  <c r="L143" i="5" a="1"/>
  <c r="M143" i="5" l="1"/>
  <c r="O143" i="5"/>
  <c r="H143" i="5"/>
  <c r="K143" i="5"/>
  <c r="L143" i="5"/>
  <c r="G143" i="5"/>
  <c r="I143" i="5"/>
  <c r="C143" i="5"/>
  <c r="D143" i="5"/>
  <c r="N143" i="5"/>
  <c r="P143" i="5"/>
  <c r="B144" i="5"/>
  <c r="E144" i="5" a="1"/>
  <c r="E144" i="5" s="1"/>
  <c r="A145" i="5" a="1"/>
  <c r="T143" i="5" l="1"/>
  <c r="F144" i="5" a="1"/>
  <c r="F144" i="5" s="1"/>
  <c r="R143" i="5"/>
  <c r="Q143" i="5"/>
  <c r="S143" i="5"/>
  <c r="X144" i="5"/>
  <c r="AB144" i="5"/>
  <c r="A145" i="5"/>
  <c r="Y144" i="5"/>
  <c r="AC144" i="5" s="1"/>
  <c r="AA144" i="5"/>
  <c r="W144" i="5"/>
  <c r="Z144" i="5"/>
  <c r="M144" i="5" a="1"/>
  <c r="G144" i="5" a="1"/>
  <c r="L144" i="5" a="1"/>
  <c r="I144" i="5" a="1"/>
  <c r="P144" i="5" a="1"/>
  <c r="D144" i="5" a="1"/>
  <c r="J144" i="5" a="1"/>
  <c r="H144" i="5" a="1"/>
  <c r="O144" i="5" a="1"/>
  <c r="N144" i="5" a="1"/>
  <c r="C144" i="5" a="1"/>
  <c r="K144" i="5" a="1"/>
  <c r="V143" i="5" l="1" a="1"/>
  <c r="V143" i="5" s="1"/>
  <c r="M144" i="5"/>
  <c r="P144" i="5"/>
  <c r="D144" i="5"/>
  <c r="J144" i="5"/>
  <c r="C144" i="5"/>
  <c r="L144" i="5"/>
  <c r="H144" i="5"/>
  <c r="N144" i="5"/>
  <c r="I144" i="5"/>
  <c r="G144" i="5"/>
  <c r="O144" i="5"/>
  <c r="K144" i="5"/>
  <c r="U143" i="5" a="1"/>
  <c r="U143" i="5" s="1"/>
  <c r="E145" i="5" a="1"/>
  <c r="E145" i="5" s="1"/>
  <c r="X145" i="5" s="1"/>
  <c r="B145" i="5"/>
  <c r="M145" i="5" s="1" a="1"/>
  <c r="A146" i="5" a="1"/>
  <c r="T144" i="5" l="1"/>
  <c r="M145" i="5"/>
  <c r="S144" i="5"/>
  <c r="Q144" i="5"/>
  <c r="R144" i="5"/>
  <c r="F145" i="5" a="1"/>
  <c r="F145" i="5" s="1"/>
  <c r="A146" i="5"/>
  <c r="AA145" i="5"/>
  <c r="Y145" i="5"/>
  <c r="AC145" i="5" s="1"/>
  <c r="W145" i="5"/>
  <c r="Z145" i="5"/>
  <c r="AB145" i="5"/>
  <c r="D145" i="5" a="1"/>
  <c r="H145" i="5" a="1"/>
  <c r="P145" i="5" a="1"/>
  <c r="I145" i="5" a="1"/>
  <c r="N145" i="5" a="1"/>
  <c r="G145" i="5" a="1"/>
  <c r="J145" i="5" a="1"/>
  <c r="L145" i="5" a="1"/>
  <c r="C145" i="5" a="1"/>
  <c r="O145" i="5" a="1"/>
  <c r="K145" i="5" a="1"/>
  <c r="V144" i="5" l="1" a="1"/>
  <c r="V144" i="5" s="1"/>
  <c r="J145" i="5"/>
  <c r="C145" i="5"/>
  <c r="N145" i="5"/>
  <c r="L145" i="5"/>
  <c r="O145" i="5"/>
  <c r="H145" i="5"/>
  <c r="P145" i="5"/>
  <c r="I145" i="5"/>
  <c r="G145" i="5"/>
  <c r="D145" i="5"/>
  <c r="K145" i="5"/>
  <c r="B146" i="5"/>
  <c r="F146" i="5" s="1" a="1"/>
  <c r="F146" i="5" s="1"/>
  <c r="E146" i="5" a="1"/>
  <c r="E146" i="5" s="1"/>
  <c r="X146" i="5" s="1"/>
  <c r="U144" i="5" a="1"/>
  <c r="U144" i="5" s="1"/>
  <c r="A147" i="5" a="1"/>
  <c r="R145" i="5" l="1"/>
  <c r="T145" i="5"/>
  <c r="Q145" i="5"/>
  <c r="S145" i="5"/>
  <c r="A147" i="5"/>
  <c r="AB146" i="5"/>
  <c r="Y146" i="5"/>
  <c r="AC146" i="5" s="1"/>
  <c r="AA146" i="5"/>
  <c r="W146" i="5"/>
  <c r="Z146" i="5"/>
  <c r="P146" i="5" a="1"/>
  <c r="D146" i="5" a="1"/>
  <c r="J146" i="5" a="1"/>
  <c r="M146" i="5" a="1"/>
  <c r="K146" i="5" a="1"/>
  <c r="L146" i="5" a="1"/>
  <c r="C146" i="5" a="1"/>
  <c r="I146" i="5" a="1"/>
  <c r="G146" i="5" a="1"/>
  <c r="H146" i="5" a="1"/>
  <c r="N146" i="5" a="1"/>
  <c r="O146" i="5" a="1"/>
  <c r="U145" i="5" l="1" a="1"/>
  <c r="U145" i="5" s="1"/>
  <c r="V145" i="5" a="1"/>
  <c r="V145" i="5" s="1"/>
  <c r="C146" i="5"/>
  <c r="P146" i="5"/>
  <c r="L146" i="5"/>
  <c r="J146" i="5"/>
  <c r="G146" i="5"/>
  <c r="H146" i="5"/>
  <c r="D146" i="5"/>
  <c r="O146" i="5"/>
  <c r="K146" i="5"/>
  <c r="M146" i="5"/>
  <c r="I146" i="5"/>
  <c r="N146" i="5"/>
  <c r="B147" i="5"/>
  <c r="M147" i="5" s="1" a="1"/>
  <c r="E147" i="5" a="1"/>
  <c r="E147" i="5" s="1"/>
  <c r="X147" i="5" s="1"/>
  <c r="A148" i="5" a="1"/>
  <c r="T146" i="5" l="1"/>
  <c r="R146" i="5"/>
  <c r="Q146" i="5"/>
  <c r="S146" i="5"/>
  <c r="M147" i="5"/>
  <c r="F147" i="5" a="1"/>
  <c r="F147" i="5" s="1"/>
  <c r="A148" i="5"/>
  <c r="AA147" i="5"/>
  <c r="Y147" i="5"/>
  <c r="AC147" i="5" s="1"/>
  <c r="Z147" i="5"/>
  <c r="AB147" i="5"/>
  <c r="W147" i="5"/>
  <c r="D147" i="5" a="1"/>
  <c r="L147" i="5" a="1"/>
  <c r="C147" i="5" a="1"/>
  <c r="P147" i="5" a="1"/>
  <c r="H147" i="5" a="1"/>
  <c r="N147" i="5" a="1"/>
  <c r="G147" i="5" a="1"/>
  <c r="I147" i="5" a="1"/>
  <c r="J147" i="5" a="1"/>
  <c r="O147" i="5" a="1"/>
  <c r="K147" i="5" a="1"/>
  <c r="V146" i="5" l="1" a="1"/>
  <c r="V146" i="5" s="1"/>
  <c r="U146" i="5" a="1"/>
  <c r="U146" i="5" s="1"/>
  <c r="O147" i="5"/>
  <c r="S147" i="5" s="1"/>
  <c r="L147" i="5"/>
  <c r="G147" i="5"/>
  <c r="C147" i="5"/>
  <c r="H147" i="5"/>
  <c r="D147" i="5"/>
  <c r="P147" i="5"/>
  <c r="I147" i="5"/>
  <c r="K147" i="5"/>
  <c r="N147" i="5"/>
  <c r="J147" i="5"/>
  <c r="E148" i="5" a="1"/>
  <c r="E148" i="5" s="1"/>
  <c r="X148" i="5" s="1"/>
  <c r="B148" i="5"/>
  <c r="A149" i="5" a="1"/>
  <c r="Q147" i="5" l="1"/>
  <c r="R147" i="5"/>
  <c r="T147" i="5"/>
  <c r="V147" i="5" s="1" a="1"/>
  <c r="V147" i="5" s="1"/>
  <c r="F148" i="5" a="1"/>
  <c r="F148" i="5" s="1"/>
  <c r="A149" i="5"/>
  <c r="Y148" i="5"/>
  <c r="AC148" i="5" s="1"/>
  <c r="AB148" i="5"/>
  <c r="AA148" i="5"/>
  <c r="W148" i="5"/>
  <c r="Z148" i="5"/>
  <c r="O148" i="5" a="1"/>
  <c r="C148" i="5" a="1"/>
  <c r="P148" i="5" a="1"/>
  <c r="H148" i="5" a="1"/>
  <c r="D148" i="5" a="1"/>
  <c r="L148" i="5" a="1"/>
  <c r="K148" i="5" a="1"/>
  <c r="N148" i="5" a="1"/>
  <c r="G148" i="5" a="1"/>
  <c r="M148" i="5" a="1"/>
  <c r="I148" i="5" a="1"/>
  <c r="J148" i="5" a="1"/>
  <c r="U147" i="5" l="1" a="1"/>
  <c r="U147" i="5" s="1"/>
  <c r="J148" i="5"/>
  <c r="P148" i="5"/>
  <c r="G148" i="5"/>
  <c r="L148" i="5"/>
  <c r="H148" i="5"/>
  <c r="M148" i="5"/>
  <c r="D148" i="5"/>
  <c r="I148" i="5"/>
  <c r="O148" i="5"/>
  <c r="C148" i="5"/>
  <c r="K148" i="5"/>
  <c r="N148" i="5"/>
  <c r="B149" i="5"/>
  <c r="E149" i="5" a="1"/>
  <c r="E149" i="5" s="1"/>
  <c r="AB149" i="5" s="1"/>
  <c r="A150" i="5" a="1"/>
  <c r="C149" i="5" a="1"/>
  <c r="T148" i="5" l="1"/>
  <c r="C149" i="5"/>
  <c r="R148" i="5"/>
  <c r="F149" i="5" a="1"/>
  <c r="F149" i="5" s="1"/>
  <c r="Q148" i="5"/>
  <c r="S148" i="5"/>
  <c r="A150" i="5"/>
  <c r="W149" i="5"/>
  <c r="AA149" i="5"/>
  <c r="X149" i="5"/>
  <c r="Y149" i="5"/>
  <c r="AC149" i="5" s="1"/>
  <c r="Z149" i="5"/>
  <c r="D149" i="5" a="1"/>
  <c r="I149" i="5" a="1"/>
  <c r="L149" i="5" a="1"/>
  <c r="O149" i="5" a="1"/>
  <c r="M149" i="5" a="1"/>
  <c r="K149" i="5" a="1"/>
  <c r="N149" i="5" a="1"/>
  <c r="P149" i="5" a="1"/>
  <c r="H149" i="5" a="1"/>
  <c r="G149" i="5" a="1"/>
  <c r="J149" i="5" a="1"/>
  <c r="V148" i="5" l="1" a="1"/>
  <c r="V148" i="5" s="1"/>
  <c r="U148" i="5" a="1"/>
  <c r="U148" i="5" s="1"/>
  <c r="N149" i="5"/>
  <c r="I149" i="5"/>
  <c r="O149" i="5"/>
  <c r="K149" i="5"/>
  <c r="H149" i="5"/>
  <c r="L149" i="5"/>
  <c r="D149" i="5"/>
  <c r="P149" i="5"/>
  <c r="G149" i="5"/>
  <c r="J149" i="5"/>
  <c r="M149" i="5"/>
  <c r="E150" i="5" a="1"/>
  <c r="E150" i="5" s="1"/>
  <c r="Z150" i="5" s="1"/>
  <c r="B150" i="5"/>
  <c r="F150" i="5" s="1" a="1"/>
  <c r="F150" i="5" s="1"/>
  <c r="A151" i="5" a="1"/>
  <c r="R149" i="5" l="1"/>
  <c r="T149" i="5"/>
  <c r="S149" i="5"/>
  <c r="Q149" i="5"/>
  <c r="A151" i="5"/>
  <c r="X150" i="5"/>
  <c r="AB150" i="5"/>
  <c r="Y150" i="5"/>
  <c r="AC150" i="5" s="1"/>
  <c r="AA150" i="5"/>
  <c r="W150" i="5"/>
  <c r="D150" i="5" a="1"/>
  <c r="J150" i="5" a="1"/>
  <c r="M150" i="5" a="1"/>
  <c r="N150" i="5" a="1"/>
  <c r="O150" i="5" a="1"/>
  <c r="G150" i="5" a="1"/>
  <c r="H150" i="5" a="1"/>
  <c r="L150" i="5" a="1"/>
  <c r="P150" i="5" a="1"/>
  <c r="K150" i="5" a="1"/>
  <c r="I150" i="5" a="1"/>
  <c r="C150" i="5" a="1"/>
  <c r="C150" i="5" l="1"/>
  <c r="J150" i="5"/>
  <c r="P150" i="5"/>
  <c r="K150" i="5"/>
  <c r="G150" i="5"/>
  <c r="D150" i="5"/>
  <c r="O150" i="5"/>
  <c r="U149" i="5" a="1"/>
  <c r="U149" i="5" s="1"/>
  <c r="V149" i="5" a="1"/>
  <c r="V149" i="5" s="1"/>
  <c r="L150" i="5"/>
  <c r="H150" i="5"/>
  <c r="I150" i="5"/>
  <c r="M150" i="5"/>
  <c r="N150" i="5"/>
  <c r="B151" i="5"/>
  <c r="E151" i="5" a="1"/>
  <c r="E151" i="5" s="1"/>
  <c r="A152" i="5" a="1"/>
  <c r="F151" i="5" l="1" a="1"/>
  <c r="F151" i="5" s="1"/>
  <c r="T150" i="5"/>
  <c r="S150" i="5"/>
  <c r="AB151" i="5"/>
  <c r="Q150" i="5"/>
  <c r="R150" i="5"/>
  <c r="A152" i="5"/>
  <c r="X151" i="5"/>
  <c r="AA151" i="5"/>
  <c r="Y151" i="5"/>
  <c r="AC151" i="5" s="1"/>
  <c r="W151" i="5"/>
  <c r="Z151" i="5"/>
  <c r="D151" i="5" a="1"/>
  <c r="P151" i="5" a="1"/>
  <c r="C151" i="5" a="1"/>
  <c r="O151" i="5" a="1"/>
  <c r="L151" i="5" a="1"/>
  <c r="N151" i="5" a="1"/>
  <c r="G151" i="5" a="1"/>
  <c r="J151" i="5" a="1"/>
  <c r="I151" i="5" a="1"/>
  <c r="K151" i="5" a="1"/>
  <c r="M151" i="5" a="1"/>
  <c r="H151" i="5" a="1"/>
  <c r="U150" i="5" l="1" a="1"/>
  <c r="U150" i="5" s="1"/>
  <c r="I151" i="5"/>
  <c r="H151" i="5"/>
  <c r="M151" i="5"/>
  <c r="P151" i="5"/>
  <c r="O151" i="5"/>
  <c r="L151" i="5"/>
  <c r="C151" i="5"/>
  <c r="G151" i="5"/>
  <c r="K151" i="5"/>
  <c r="J151" i="5"/>
  <c r="D151" i="5"/>
  <c r="N151" i="5"/>
  <c r="B152" i="5"/>
  <c r="F152" i="5" s="1" a="1"/>
  <c r="F152" i="5" s="1"/>
  <c r="E152" i="5" a="1"/>
  <c r="E152" i="5" s="1"/>
  <c r="V150" i="5" a="1"/>
  <c r="V150" i="5" s="1"/>
  <c r="A153" i="5" a="1"/>
  <c r="T151" i="5" l="1"/>
  <c r="S151" i="5"/>
  <c r="Q151" i="5"/>
  <c r="R151" i="5"/>
  <c r="X152" i="5"/>
  <c r="AB152" i="5"/>
  <c r="A153" i="5"/>
  <c r="AA152" i="5"/>
  <c r="Y152" i="5"/>
  <c r="AC152" i="5" s="1"/>
  <c r="W152" i="5"/>
  <c r="Z152" i="5"/>
  <c r="K152" i="5" a="1"/>
  <c r="L152" i="5" a="1"/>
  <c r="H152" i="5" a="1"/>
  <c r="O152" i="5" a="1"/>
  <c r="M152" i="5" a="1"/>
  <c r="J152" i="5" a="1"/>
  <c r="I152" i="5" a="1"/>
  <c r="G152" i="5" a="1"/>
  <c r="N152" i="5" a="1"/>
  <c r="P152" i="5" a="1"/>
  <c r="D152" i="5" a="1"/>
  <c r="C152" i="5" a="1"/>
  <c r="D152" i="5" l="1"/>
  <c r="K152" i="5"/>
  <c r="M152" i="5"/>
  <c r="L152" i="5"/>
  <c r="C152" i="5"/>
  <c r="I152" i="5"/>
  <c r="G152" i="5"/>
  <c r="P152" i="5"/>
  <c r="H152" i="5"/>
  <c r="U151" i="5" a="1"/>
  <c r="U151" i="5" s="1"/>
  <c r="V151" i="5" a="1"/>
  <c r="V151" i="5" s="1"/>
  <c r="O152" i="5"/>
  <c r="J152" i="5"/>
  <c r="N152" i="5"/>
  <c r="E153" i="5" a="1"/>
  <c r="E153" i="5" s="1"/>
  <c r="AB153" i="5" s="1"/>
  <c r="B153" i="5"/>
  <c r="F153" i="5" s="1" a="1"/>
  <c r="F153" i="5" s="1"/>
  <c r="A154" i="5" a="1"/>
  <c r="R152" i="5" l="1"/>
  <c r="T152" i="5"/>
  <c r="Q152" i="5"/>
  <c r="S152" i="5"/>
  <c r="A154" i="5"/>
  <c r="W153" i="5"/>
  <c r="AA153" i="5"/>
  <c r="X153" i="5"/>
  <c r="Y153" i="5"/>
  <c r="AC153" i="5" s="1"/>
  <c r="Z153" i="5"/>
  <c r="G153" i="5" a="1"/>
  <c r="K153" i="5" a="1"/>
  <c r="L153" i="5" a="1"/>
  <c r="C153" i="5" a="1"/>
  <c r="M153" i="5" a="1"/>
  <c r="O153" i="5" a="1"/>
  <c r="J153" i="5" a="1"/>
  <c r="D153" i="5" a="1"/>
  <c r="P153" i="5" a="1"/>
  <c r="I153" i="5" a="1"/>
  <c r="N153" i="5" a="1"/>
  <c r="H153" i="5" a="1"/>
  <c r="V152" i="5" l="1" a="1"/>
  <c r="V152" i="5" s="1"/>
  <c r="U152" i="5" a="1"/>
  <c r="U152" i="5" s="1"/>
  <c r="O153" i="5"/>
  <c r="C153" i="5"/>
  <c r="N153" i="5"/>
  <c r="J153" i="5"/>
  <c r="K153" i="5"/>
  <c r="I153" i="5"/>
  <c r="L153" i="5"/>
  <c r="M153" i="5"/>
  <c r="P153" i="5"/>
  <c r="H153" i="5"/>
  <c r="G153" i="5"/>
  <c r="D153" i="5"/>
  <c r="B154" i="5"/>
  <c r="F154" i="5" s="1" a="1"/>
  <c r="F154" i="5" s="1"/>
  <c r="E154" i="5" a="1"/>
  <c r="E154" i="5" s="1"/>
  <c r="Z154" i="5" s="1"/>
  <c r="A155" i="5" a="1"/>
  <c r="Q153" i="5" l="1"/>
  <c r="R153" i="5"/>
  <c r="T153" i="5"/>
  <c r="S153" i="5"/>
  <c r="A155" i="5"/>
  <c r="X154" i="5"/>
  <c r="Y154" i="5"/>
  <c r="AC154" i="5" s="1"/>
  <c r="AB154" i="5"/>
  <c r="AA154" i="5"/>
  <c r="W154" i="5"/>
  <c r="H154" i="5" a="1"/>
  <c r="J154" i="5" a="1"/>
  <c r="G154" i="5" a="1"/>
  <c r="P154" i="5" a="1"/>
  <c r="M154" i="5" a="1"/>
  <c r="O154" i="5" a="1"/>
  <c r="I154" i="5" a="1"/>
  <c r="D154" i="5" a="1"/>
  <c r="N154" i="5" a="1"/>
  <c r="L154" i="5" a="1"/>
  <c r="C154" i="5" a="1"/>
  <c r="K154" i="5" a="1"/>
  <c r="U153" i="5" l="1" a="1"/>
  <c r="U153" i="5" s="1"/>
  <c r="G154" i="5"/>
  <c r="P154" i="5"/>
  <c r="H154" i="5"/>
  <c r="V153" i="5" a="1"/>
  <c r="V153" i="5" s="1"/>
  <c r="L154" i="5"/>
  <c r="C154" i="5"/>
  <c r="D154" i="5"/>
  <c r="O154" i="5"/>
  <c r="J154" i="5"/>
  <c r="K154" i="5"/>
  <c r="I154" i="5"/>
  <c r="N154" i="5"/>
  <c r="M154" i="5"/>
  <c r="B155" i="5"/>
  <c r="E155" i="5" a="1"/>
  <c r="E155" i="5" s="1"/>
  <c r="Z155" i="5" s="1"/>
  <c r="N155" i="5" a="1"/>
  <c r="A156" i="5" a="1"/>
  <c r="R154" i="5" l="1"/>
  <c r="T154" i="5"/>
  <c r="S154" i="5"/>
  <c r="Q154" i="5"/>
  <c r="N155" i="5"/>
  <c r="F155" i="5" a="1"/>
  <c r="F155" i="5" s="1"/>
  <c r="A156" i="5"/>
  <c r="AB155" i="5"/>
  <c r="X155" i="5"/>
  <c r="AA155" i="5"/>
  <c r="Y155" i="5"/>
  <c r="AC155" i="5" s="1"/>
  <c r="W155" i="5"/>
  <c r="J155" i="5" a="1"/>
  <c r="M155" i="5" a="1"/>
  <c r="G155" i="5" a="1"/>
  <c r="D155" i="5" a="1"/>
  <c r="H155" i="5" a="1"/>
  <c r="P155" i="5" a="1"/>
  <c r="L155" i="5" a="1"/>
  <c r="K155" i="5" a="1"/>
  <c r="O155" i="5" a="1"/>
  <c r="C155" i="5" a="1"/>
  <c r="I155" i="5" a="1"/>
  <c r="U154" i="5" l="1" a="1"/>
  <c r="U154" i="5" s="1"/>
  <c r="V154" i="5" a="1"/>
  <c r="V154" i="5" s="1"/>
  <c r="D155" i="5"/>
  <c r="O155" i="5"/>
  <c r="C155" i="5"/>
  <c r="H155" i="5"/>
  <c r="I155" i="5"/>
  <c r="L155" i="5"/>
  <c r="K155" i="5"/>
  <c r="P155" i="5"/>
  <c r="M155" i="5"/>
  <c r="J155" i="5"/>
  <c r="G155" i="5"/>
  <c r="E156" i="5" a="1"/>
  <c r="E156" i="5" s="1"/>
  <c r="Z156" i="5" s="1"/>
  <c r="B156" i="5"/>
  <c r="M156" i="5" s="1" a="1"/>
  <c r="A157" i="5" a="1"/>
  <c r="T155" i="5" l="1"/>
  <c r="R155" i="5"/>
  <c r="M156" i="5"/>
  <c r="F156" i="5" a="1"/>
  <c r="F156" i="5" s="1"/>
  <c r="S155" i="5"/>
  <c r="Q155" i="5"/>
  <c r="A157" i="5"/>
  <c r="X156" i="5"/>
  <c r="AA156" i="5"/>
  <c r="Y156" i="5"/>
  <c r="AC156" i="5" s="1"/>
  <c r="AB156" i="5"/>
  <c r="W156" i="5"/>
  <c r="P156" i="5" a="1"/>
  <c r="I156" i="5" a="1"/>
  <c r="D156" i="5" a="1"/>
  <c r="H156" i="5" a="1"/>
  <c r="L156" i="5" a="1"/>
  <c r="G156" i="5" a="1"/>
  <c r="K156" i="5" a="1"/>
  <c r="J156" i="5" a="1"/>
  <c r="O156" i="5" a="1"/>
  <c r="N156" i="5" a="1"/>
  <c r="C156" i="5" a="1"/>
  <c r="V155" i="5" l="1" a="1"/>
  <c r="V155" i="5" s="1"/>
  <c r="U155" i="5" a="1"/>
  <c r="U155" i="5" s="1"/>
  <c r="I156" i="5"/>
  <c r="N156" i="5"/>
  <c r="C156" i="5"/>
  <c r="L156" i="5"/>
  <c r="J156" i="5"/>
  <c r="H156" i="5"/>
  <c r="O156" i="5"/>
  <c r="G156" i="5"/>
  <c r="D156" i="5"/>
  <c r="K156" i="5"/>
  <c r="P156" i="5"/>
  <c r="B157" i="5"/>
  <c r="F157" i="5" s="1" a="1"/>
  <c r="F157" i="5" s="1"/>
  <c r="E157" i="5" a="1"/>
  <c r="E157" i="5" s="1"/>
  <c r="AB157" i="5" s="1"/>
  <c r="A158" i="5" a="1"/>
  <c r="S156" i="5" l="1"/>
  <c r="Q156" i="5"/>
  <c r="R156" i="5"/>
  <c r="T156" i="5"/>
  <c r="X157" i="5"/>
  <c r="A158" i="5"/>
  <c r="AA157" i="5"/>
  <c r="Y157" i="5"/>
  <c r="AC157" i="5" s="1"/>
  <c r="W157" i="5"/>
  <c r="Z157" i="5"/>
  <c r="G157" i="5" a="1"/>
  <c r="C157" i="5" a="1"/>
  <c r="O157" i="5" a="1"/>
  <c r="L157" i="5" a="1"/>
  <c r="N157" i="5" a="1"/>
  <c r="P157" i="5" a="1"/>
  <c r="I157" i="5" a="1"/>
  <c r="D157" i="5" a="1"/>
  <c r="H157" i="5" a="1"/>
  <c r="J157" i="5" a="1"/>
  <c r="K157" i="5" a="1"/>
  <c r="M157" i="5" a="1"/>
  <c r="G157" i="5" l="1"/>
  <c r="P157" i="5"/>
  <c r="L157" i="5"/>
  <c r="C157" i="5"/>
  <c r="V156" i="5" a="1"/>
  <c r="V156" i="5" s="1"/>
  <c r="U156" i="5" a="1"/>
  <c r="U156" i="5" s="1"/>
  <c r="N157" i="5"/>
  <c r="K157" i="5"/>
  <c r="I157" i="5"/>
  <c r="D157" i="5"/>
  <c r="J157" i="5"/>
  <c r="H157" i="5"/>
  <c r="O157" i="5"/>
  <c r="M157" i="5"/>
  <c r="E158" i="5" a="1"/>
  <c r="E158" i="5" s="1"/>
  <c r="Z158" i="5" s="1"/>
  <c r="B158" i="5"/>
  <c r="F158" i="5" s="1" a="1"/>
  <c r="F158" i="5" s="1"/>
  <c r="A159" i="5" a="1"/>
  <c r="T157" i="5" l="1"/>
  <c r="R157" i="5"/>
  <c r="S157" i="5"/>
  <c r="Q157" i="5"/>
  <c r="A159" i="5"/>
  <c r="X158" i="5"/>
  <c r="AB158" i="5"/>
  <c r="Y158" i="5"/>
  <c r="AC158" i="5" s="1"/>
  <c r="AA158" i="5"/>
  <c r="W158" i="5"/>
  <c r="D158" i="5" a="1"/>
  <c r="C158" i="5" a="1"/>
  <c r="L158" i="5" a="1"/>
  <c r="J158" i="5" a="1"/>
  <c r="G158" i="5" a="1"/>
  <c r="H158" i="5" a="1"/>
  <c r="N158" i="5" a="1"/>
  <c r="K158" i="5" a="1"/>
  <c r="M158" i="5" a="1"/>
  <c r="P158" i="5" a="1"/>
  <c r="O158" i="5" a="1"/>
  <c r="I158" i="5" a="1"/>
  <c r="V157" i="5" l="1" a="1"/>
  <c r="V157" i="5" s="1"/>
  <c r="U157" i="5" a="1"/>
  <c r="U157" i="5" s="1"/>
  <c r="P158" i="5"/>
  <c r="G158" i="5"/>
  <c r="C158" i="5"/>
  <c r="H158" i="5"/>
  <c r="K158" i="5"/>
  <c r="L158" i="5"/>
  <c r="M158" i="5"/>
  <c r="O158" i="5"/>
  <c r="I158" i="5"/>
  <c r="J158" i="5"/>
  <c r="D158" i="5"/>
  <c r="N158" i="5"/>
  <c r="B159" i="5"/>
  <c r="H159" i="5" s="1" a="1"/>
  <c r="E159" i="5" a="1"/>
  <c r="E159" i="5" s="1"/>
  <c r="AB159" i="5" s="1"/>
  <c r="A160" i="5" a="1"/>
  <c r="T158" i="5" l="1"/>
  <c r="R158" i="5"/>
  <c r="H159" i="5"/>
  <c r="F159" i="5" a="1"/>
  <c r="F159" i="5" s="1"/>
  <c r="S158" i="5"/>
  <c r="Q158" i="5"/>
  <c r="A160" i="5"/>
  <c r="W159" i="5"/>
  <c r="AA159" i="5"/>
  <c r="X159" i="5"/>
  <c r="Y159" i="5"/>
  <c r="AC159" i="5" s="1"/>
  <c r="Z159" i="5"/>
  <c r="J159" i="5" a="1"/>
  <c r="N159" i="5" a="1"/>
  <c r="C159" i="5" a="1"/>
  <c r="D159" i="5" a="1"/>
  <c r="O159" i="5" a="1"/>
  <c r="I159" i="5" a="1"/>
  <c r="K159" i="5" a="1"/>
  <c r="M159" i="5" a="1"/>
  <c r="L159" i="5" a="1"/>
  <c r="G159" i="5" a="1"/>
  <c r="P159" i="5" a="1"/>
  <c r="U158" i="5" l="1" a="1"/>
  <c r="U158" i="5" s="1"/>
  <c r="V158" i="5" a="1"/>
  <c r="V158" i="5" s="1"/>
  <c r="I159" i="5"/>
  <c r="G159" i="5"/>
  <c r="M159" i="5"/>
  <c r="J159" i="5"/>
  <c r="O159" i="5"/>
  <c r="D159" i="5"/>
  <c r="L159" i="5"/>
  <c r="K159" i="5"/>
  <c r="C159" i="5"/>
  <c r="P159" i="5"/>
  <c r="N159" i="5"/>
  <c r="B160" i="5"/>
  <c r="E160" i="5" a="1"/>
  <c r="E160" i="5" s="1"/>
  <c r="Z160" i="5" s="1"/>
  <c r="A161" i="5" a="1"/>
  <c r="T159" i="5" l="1"/>
  <c r="F160" i="5" a="1"/>
  <c r="F160" i="5" s="1"/>
  <c r="R159" i="5"/>
  <c r="Q159" i="5"/>
  <c r="S159" i="5"/>
  <c r="A161" i="5"/>
  <c r="Y160" i="5"/>
  <c r="AC160" i="5" s="1"/>
  <c r="W160" i="5"/>
  <c r="AB160" i="5"/>
  <c r="X160" i="5"/>
  <c r="AA160" i="5"/>
  <c r="J160" i="5" a="1"/>
  <c r="I160" i="5" a="1"/>
  <c r="M160" i="5" a="1"/>
  <c r="P160" i="5" a="1"/>
  <c r="L160" i="5" a="1"/>
  <c r="K160" i="5" a="1"/>
  <c r="N160" i="5" a="1"/>
  <c r="C160" i="5" a="1"/>
  <c r="O160" i="5" a="1"/>
  <c r="D160" i="5" a="1"/>
  <c r="H160" i="5" a="1"/>
  <c r="G160" i="5" a="1"/>
  <c r="V159" i="5" l="1" a="1"/>
  <c r="V159" i="5" s="1"/>
  <c r="H160" i="5"/>
  <c r="K160" i="5"/>
  <c r="M160" i="5"/>
  <c r="J160" i="5"/>
  <c r="O160" i="5"/>
  <c r="G160" i="5"/>
  <c r="N160" i="5"/>
  <c r="L160" i="5"/>
  <c r="P160" i="5"/>
  <c r="D160" i="5"/>
  <c r="I160" i="5"/>
  <c r="C160" i="5"/>
  <c r="E161" i="5" a="1"/>
  <c r="E161" i="5" s="1"/>
  <c r="AB161" i="5" s="1"/>
  <c r="B161" i="5"/>
  <c r="I161" i="5" s="1" a="1"/>
  <c r="U159" i="5" a="1"/>
  <c r="U159" i="5" s="1"/>
  <c r="A162" i="5" a="1"/>
  <c r="T160" i="5" l="1"/>
  <c r="I161" i="5"/>
  <c r="Q160" i="5"/>
  <c r="S160" i="5"/>
  <c r="F161" i="5" a="1"/>
  <c r="F161" i="5" s="1"/>
  <c r="R160" i="5"/>
  <c r="A162" i="5"/>
  <c r="X161" i="5"/>
  <c r="AA161" i="5"/>
  <c r="Y161" i="5"/>
  <c r="AC161" i="5" s="1"/>
  <c r="Z161" i="5"/>
  <c r="W161" i="5"/>
  <c r="L161" i="5" a="1"/>
  <c r="K161" i="5" a="1"/>
  <c r="O161" i="5" a="1"/>
  <c r="P161" i="5" a="1"/>
  <c r="N161" i="5" a="1"/>
  <c r="D161" i="5" a="1"/>
  <c r="C161" i="5" a="1"/>
  <c r="M161" i="5" a="1"/>
  <c r="J161" i="5" a="1"/>
  <c r="G161" i="5" a="1"/>
  <c r="H161" i="5" a="1"/>
  <c r="V160" i="5" l="1" a="1"/>
  <c r="V160" i="5" s="1"/>
  <c r="G161" i="5"/>
  <c r="C161" i="5"/>
  <c r="O161" i="5"/>
  <c r="J161" i="5"/>
  <c r="L161" i="5"/>
  <c r="N161" i="5"/>
  <c r="H161" i="5"/>
  <c r="M161" i="5"/>
  <c r="D161" i="5"/>
  <c r="K161" i="5"/>
  <c r="P161" i="5"/>
  <c r="B162" i="5"/>
  <c r="F162" i="5" s="1" a="1"/>
  <c r="F162" i="5" s="1"/>
  <c r="E162" i="5" a="1"/>
  <c r="E162" i="5" s="1"/>
  <c r="Z162" i="5" s="1"/>
  <c r="U160" i="5" a="1"/>
  <c r="U160" i="5" s="1"/>
  <c r="A163" i="5" a="1"/>
  <c r="T161" i="5" l="1"/>
  <c r="R161" i="5"/>
  <c r="Q161" i="5"/>
  <c r="S161" i="5"/>
  <c r="A163" i="5"/>
  <c r="X162" i="5"/>
  <c r="AB162" i="5"/>
  <c r="AA162" i="5"/>
  <c r="Y162" i="5"/>
  <c r="AC162" i="5" s="1"/>
  <c r="W162" i="5"/>
  <c r="I162" i="5" a="1"/>
  <c r="J162" i="5" a="1"/>
  <c r="O162" i="5" a="1"/>
  <c r="M162" i="5" a="1"/>
  <c r="D162" i="5" a="1"/>
  <c r="P162" i="5" a="1"/>
  <c r="C162" i="5" a="1"/>
  <c r="G162" i="5" a="1"/>
  <c r="K162" i="5" a="1"/>
  <c r="N162" i="5" a="1"/>
  <c r="L162" i="5" a="1"/>
  <c r="H162" i="5" a="1"/>
  <c r="C162" i="5" l="1"/>
  <c r="G162" i="5"/>
  <c r="P162" i="5"/>
  <c r="D162" i="5"/>
  <c r="J162" i="5"/>
  <c r="H162" i="5"/>
  <c r="O162" i="5"/>
  <c r="K162" i="5"/>
  <c r="L162" i="5"/>
  <c r="I162" i="5"/>
  <c r="V161" i="5" a="1"/>
  <c r="V161" i="5" s="1"/>
  <c r="U161" i="5" a="1"/>
  <c r="U161" i="5" s="1"/>
  <c r="N162" i="5"/>
  <c r="M162" i="5"/>
  <c r="B163" i="5"/>
  <c r="E163" i="5" a="1"/>
  <c r="E163" i="5" s="1"/>
  <c r="X163" i="5" s="1"/>
  <c r="A164" i="5" a="1"/>
  <c r="C163" i="5" a="1"/>
  <c r="S162" i="5" l="1"/>
  <c r="R162" i="5"/>
  <c r="T162" i="5"/>
  <c r="Q162" i="5"/>
  <c r="C163" i="5"/>
  <c r="F163" i="5" a="1"/>
  <c r="F163" i="5" s="1"/>
  <c r="A164" i="5"/>
  <c r="AA163" i="5"/>
  <c r="Y163" i="5"/>
  <c r="AC163" i="5" s="1"/>
  <c r="Z163" i="5"/>
  <c r="W163" i="5"/>
  <c r="AB163" i="5"/>
  <c r="M163" i="5" a="1"/>
  <c r="D163" i="5" a="1"/>
  <c r="P163" i="5" a="1"/>
  <c r="O163" i="5" a="1"/>
  <c r="L163" i="5" a="1"/>
  <c r="G163" i="5" a="1"/>
  <c r="N163" i="5" a="1"/>
  <c r="K163" i="5" a="1"/>
  <c r="I163" i="5" a="1"/>
  <c r="H163" i="5" a="1"/>
  <c r="J163" i="5" a="1"/>
  <c r="V162" i="5" l="1" a="1"/>
  <c r="V162" i="5" s="1"/>
  <c r="U162" i="5" a="1"/>
  <c r="U162" i="5" s="1"/>
  <c r="P163" i="5"/>
  <c r="L163" i="5"/>
  <c r="H163" i="5"/>
  <c r="J163" i="5"/>
  <c r="I163" i="5"/>
  <c r="K163" i="5"/>
  <c r="G163" i="5"/>
  <c r="D163" i="5"/>
  <c r="M163" i="5"/>
  <c r="N163" i="5"/>
  <c r="O163" i="5"/>
  <c r="E164" i="5" a="1"/>
  <c r="E164" i="5" s="1"/>
  <c r="Z164" i="5" s="1"/>
  <c r="B164" i="5"/>
  <c r="M164" i="5" s="1" a="1"/>
  <c r="A165" i="5" a="1"/>
  <c r="T163" i="5" l="1"/>
  <c r="R163" i="5"/>
  <c r="M164" i="5"/>
  <c r="F164" i="5" a="1"/>
  <c r="F164" i="5" s="1"/>
  <c r="Q163" i="5"/>
  <c r="S163" i="5"/>
  <c r="AB164" i="5"/>
  <c r="X164" i="5"/>
  <c r="A165" i="5"/>
  <c r="Y164" i="5"/>
  <c r="AC164" i="5" s="1"/>
  <c r="AA164" i="5"/>
  <c r="W164" i="5"/>
  <c r="H164" i="5" a="1"/>
  <c r="K164" i="5" a="1"/>
  <c r="G164" i="5" a="1"/>
  <c r="L164" i="5" a="1"/>
  <c r="I164" i="5" a="1"/>
  <c r="P164" i="5" a="1"/>
  <c r="D164" i="5" a="1"/>
  <c r="N164" i="5" a="1"/>
  <c r="C164" i="5" a="1"/>
  <c r="O164" i="5" a="1"/>
  <c r="J164" i="5" a="1"/>
  <c r="V163" i="5" l="1" a="1"/>
  <c r="V163" i="5" s="1"/>
  <c r="U163" i="5" a="1"/>
  <c r="U163" i="5" s="1"/>
  <c r="D164" i="5"/>
  <c r="I164" i="5"/>
  <c r="K164" i="5"/>
  <c r="O164" i="5"/>
  <c r="J164" i="5"/>
  <c r="P164" i="5"/>
  <c r="N164" i="5"/>
  <c r="G164" i="5"/>
  <c r="L164" i="5"/>
  <c r="C164" i="5"/>
  <c r="H164" i="5"/>
  <c r="B165" i="5"/>
  <c r="F165" i="5" s="1" a="1"/>
  <c r="F165" i="5" s="1"/>
  <c r="E165" i="5" a="1"/>
  <c r="E165" i="5" s="1"/>
  <c r="X165" i="5" s="1"/>
  <c r="A166" i="5" a="1"/>
  <c r="R164" i="5" l="1"/>
  <c r="T164" i="5"/>
  <c r="S164" i="5"/>
  <c r="Q164" i="5"/>
  <c r="A166" i="5"/>
  <c r="W165" i="5"/>
  <c r="AA165" i="5"/>
  <c r="Y165" i="5"/>
  <c r="AC165" i="5" s="1"/>
  <c r="Z165" i="5"/>
  <c r="AB165" i="5"/>
  <c r="L165" i="5" a="1"/>
  <c r="D165" i="5" a="1"/>
  <c r="N165" i="5" a="1"/>
  <c r="J165" i="5" a="1"/>
  <c r="O165" i="5" a="1"/>
  <c r="M165" i="5" a="1"/>
  <c r="K165" i="5" a="1"/>
  <c r="P165" i="5" a="1"/>
  <c r="H165" i="5" a="1"/>
  <c r="G165" i="5" a="1"/>
  <c r="C165" i="5" a="1"/>
  <c r="I165" i="5" a="1"/>
  <c r="L165" i="5" l="1"/>
  <c r="C165" i="5"/>
  <c r="D165" i="5"/>
  <c r="H165" i="5"/>
  <c r="G165" i="5"/>
  <c r="P165" i="5"/>
  <c r="J165" i="5"/>
  <c r="K165" i="5"/>
  <c r="N165" i="5"/>
  <c r="M165" i="5"/>
  <c r="V164" i="5" a="1"/>
  <c r="V164" i="5" s="1"/>
  <c r="O165" i="5"/>
  <c r="I165" i="5"/>
  <c r="E166" i="5" a="1"/>
  <c r="E166" i="5" s="1"/>
  <c r="B166" i="5"/>
  <c r="U164" i="5" a="1"/>
  <c r="U164" i="5" s="1"/>
  <c r="A167" i="5" a="1"/>
  <c r="G166" i="5" a="1"/>
  <c r="R165" i="5" l="1"/>
  <c r="T165" i="5"/>
  <c r="G166" i="5"/>
  <c r="F166" i="5" a="1"/>
  <c r="F166" i="5" s="1"/>
  <c r="X166" i="5"/>
  <c r="Q165" i="5"/>
  <c r="S165" i="5"/>
  <c r="AA166" i="5"/>
  <c r="AB166" i="5"/>
  <c r="Y166" i="5"/>
  <c r="AC166" i="5" s="1"/>
  <c r="A167" i="5"/>
  <c r="W166" i="5"/>
  <c r="Z166" i="5"/>
  <c r="L166" i="5" a="1"/>
  <c r="O166" i="5" a="1"/>
  <c r="J166" i="5" a="1"/>
  <c r="I166" i="5" a="1"/>
  <c r="M166" i="5" a="1"/>
  <c r="K166" i="5" a="1"/>
  <c r="P166" i="5" a="1"/>
  <c r="D166" i="5" a="1"/>
  <c r="C166" i="5" a="1"/>
  <c r="N166" i="5" a="1"/>
  <c r="H166" i="5" a="1"/>
  <c r="V165" i="5" l="1" a="1"/>
  <c r="V165" i="5" s="1"/>
  <c r="U165" i="5" a="1"/>
  <c r="U165" i="5" s="1"/>
  <c r="N166" i="5"/>
  <c r="M166" i="5"/>
  <c r="J166" i="5"/>
  <c r="K166" i="5"/>
  <c r="C166" i="5"/>
  <c r="P166" i="5"/>
  <c r="O166" i="5"/>
  <c r="D166" i="5"/>
  <c r="L166" i="5"/>
  <c r="I166" i="5"/>
  <c r="H166" i="5"/>
  <c r="B167" i="5"/>
  <c r="N167" i="5" s="1" a="1"/>
  <c r="E167" i="5" a="1"/>
  <c r="E167" i="5" s="1"/>
  <c r="A168" i="5" a="1"/>
  <c r="R166" i="5" l="1"/>
  <c r="N167" i="5"/>
  <c r="S166" i="5"/>
  <c r="Q166" i="5"/>
  <c r="X167" i="5"/>
  <c r="F167" i="5" a="1"/>
  <c r="F167" i="5" s="1"/>
  <c r="T166" i="5"/>
  <c r="W167" i="5"/>
  <c r="A168" i="5"/>
  <c r="AA167" i="5"/>
  <c r="Y167" i="5"/>
  <c r="AC167" i="5" s="1"/>
  <c r="AB167" i="5"/>
  <c r="Z167" i="5"/>
  <c r="C167" i="5" a="1"/>
  <c r="P167" i="5" a="1"/>
  <c r="H167" i="5" a="1"/>
  <c r="M167" i="5" a="1"/>
  <c r="G167" i="5" a="1"/>
  <c r="K167" i="5" a="1"/>
  <c r="D167" i="5" a="1"/>
  <c r="I167" i="5" a="1"/>
  <c r="L167" i="5" a="1"/>
  <c r="J167" i="5" a="1"/>
  <c r="O167" i="5" a="1"/>
  <c r="U166" i="5" l="1" a="1"/>
  <c r="U166" i="5" s="1"/>
  <c r="H167" i="5"/>
  <c r="J167" i="5"/>
  <c r="L167" i="5"/>
  <c r="P167" i="5"/>
  <c r="C167" i="5"/>
  <c r="O167" i="5"/>
  <c r="M167" i="5"/>
  <c r="K167" i="5"/>
  <c r="I167" i="5"/>
  <c r="D167" i="5"/>
  <c r="G167" i="5"/>
  <c r="V166" i="5" a="1"/>
  <c r="V166" i="5" s="1"/>
  <c r="B168" i="5"/>
  <c r="D168" i="5" s="1" a="1"/>
  <c r="E168" i="5" a="1"/>
  <c r="E168" i="5" s="1"/>
  <c r="X168" i="5" s="1"/>
  <c r="A169" i="5" a="1"/>
  <c r="T167" i="5" l="1"/>
  <c r="D168" i="5"/>
  <c r="S167" i="5"/>
  <c r="Q167" i="5"/>
  <c r="R167" i="5"/>
  <c r="F168" i="5" a="1"/>
  <c r="F168" i="5" s="1"/>
  <c r="A169" i="5"/>
  <c r="AB168" i="5"/>
  <c r="Y168" i="5"/>
  <c r="AC168" i="5" s="1"/>
  <c r="AA168" i="5"/>
  <c r="W168" i="5"/>
  <c r="Z168" i="5"/>
  <c r="N168" i="5" a="1"/>
  <c r="J168" i="5" a="1"/>
  <c r="K168" i="5" a="1"/>
  <c r="I168" i="5" a="1"/>
  <c r="M168" i="5" a="1"/>
  <c r="C168" i="5" a="1"/>
  <c r="H168" i="5" a="1"/>
  <c r="L168" i="5" a="1"/>
  <c r="P168" i="5" a="1"/>
  <c r="G168" i="5" a="1"/>
  <c r="O168" i="5" a="1"/>
  <c r="V167" i="5" l="1" a="1"/>
  <c r="V167" i="5" s="1"/>
  <c r="J168" i="5"/>
  <c r="P168" i="5"/>
  <c r="H168" i="5"/>
  <c r="N168" i="5"/>
  <c r="O168" i="5"/>
  <c r="M168" i="5"/>
  <c r="L168" i="5"/>
  <c r="G168" i="5"/>
  <c r="K168" i="5"/>
  <c r="I168" i="5"/>
  <c r="C168" i="5"/>
  <c r="E169" i="5" a="1"/>
  <c r="E169" i="5" s="1"/>
  <c r="AB169" i="5" s="1"/>
  <c r="B169" i="5"/>
  <c r="U167" i="5" a="1"/>
  <c r="U167" i="5" s="1"/>
  <c r="A170" i="5" a="1"/>
  <c r="C169" i="5" a="1"/>
  <c r="T168" i="5" l="1"/>
  <c r="C169" i="5"/>
  <c r="F169" i="5" a="1"/>
  <c r="F169" i="5" s="1"/>
  <c r="Q168" i="5"/>
  <c r="S168" i="5"/>
  <c r="R168" i="5"/>
  <c r="A170" i="5"/>
  <c r="AA169" i="5"/>
  <c r="X169" i="5"/>
  <c r="Y169" i="5"/>
  <c r="AC169" i="5" s="1"/>
  <c r="W169" i="5"/>
  <c r="Z169" i="5"/>
  <c r="I169" i="5" a="1"/>
  <c r="P169" i="5" a="1"/>
  <c r="K169" i="5" a="1"/>
  <c r="L169" i="5" a="1"/>
  <c r="O169" i="5" a="1"/>
  <c r="H169" i="5" a="1"/>
  <c r="G169" i="5" a="1"/>
  <c r="J169" i="5" a="1"/>
  <c r="M169" i="5" a="1"/>
  <c r="D169" i="5" a="1"/>
  <c r="N169" i="5" a="1"/>
  <c r="V168" i="5" l="1" a="1"/>
  <c r="V168" i="5" s="1"/>
  <c r="M169" i="5"/>
  <c r="H169" i="5"/>
  <c r="O169" i="5"/>
  <c r="G169" i="5"/>
  <c r="I169" i="5"/>
  <c r="J169" i="5"/>
  <c r="D169" i="5"/>
  <c r="L169" i="5"/>
  <c r="N169" i="5"/>
  <c r="K169" i="5"/>
  <c r="P169" i="5"/>
  <c r="B170" i="5"/>
  <c r="F170" i="5" s="1" a="1"/>
  <c r="F170" i="5" s="1"/>
  <c r="E170" i="5" a="1"/>
  <c r="E170" i="5" s="1"/>
  <c r="Z170" i="5" s="1"/>
  <c r="U168" i="5" a="1"/>
  <c r="U168" i="5" s="1"/>
  <c r="A171" i="5" a="1"/>
  <c r="R169" i="5" l="1"/>
  <c r="Q169" i="5"/>
  <c r="S169" i="5"/>
  <c r="T169" i="5"/>
  <c r="A171" i="5"/>
  <c r="X170" i="5"/>
  <c r="AB170" i="5"/>
  <c r="Y170" i="5"/>
  <c r="AC170" i="5" s="1"/>
  <c r="AA170" i="5"/>
  <c r="W170" i="5"/>
  <c r="I170" i="5" a="1"/>
  <c r="O170" i="5" a="1"/>
  <c r="M170" i="5" a="1"/>
  <c r="H170" i="5" a="1"/>
  <c r="D170" i="5" a="1"/>
  <c r="J170" i="5" a="1"/>
  <c r="K170" i="5" a="1"/>
  <c r="G170" i="5" a="1"/>
  <c r="N170" i="5" a="1"/>
  <c r="P170" i="5" a="1"/>
  <c r="C170" i="5" a="1"/>
  <c r="L170" i="5" a="1"/>
  <c r="H170" i="5" l="1"/>
  <c r="I170" i="5"/>
  <c r="C170" i="5"/>
  <c r="L170" i="5"/>
  <c r="D170" i="5"/>
  <c r="O170" i="5"/>
  <c r="J170" i="5"/>
  <c r="P170" i="5"/>
  <c r="K170" i="5"/>
  <c r="G170" i="5"/>
  <c r="M170" i="5"/>
  <c r="U169" i="5" a="1"/>
  <c r="U169" i="5" s="1"/>
  <c r="N170" i="5"/>
  <c r="B171" i="5"/>
  <c r="E171" i="5" a="1"/>
  <c r="E171" i="5" s="1"/>
  <c r="AB171" i="5" s="1"/>
  <c r="V169" i="5" a="1"/>
  <c r="V169" i="5" s="1"/>
  <c r="I171" i="5" a="1"/>
  <c r="A172" i="5" a="1"/>
  <c r="Q170" i="5" l="1"/>
  <c r="R170" i="5"/>
  <c r="T170" i="5"/>
  <c r="S170" i="5"/>
  <c r="I171" i="5"/>
  <c r="A172" i="5"/>
  <c r="X171" i="5"/>
  <c r="AA171" i="5"/>
  <c r="Y171" i="5"/>
  <c r="AC171" i="5" s="1"/>
  <c r="W171" i="5"/>
  <c r="Z171" i="5"/>
  <c r="F171" i="5" a="1"/>
  <c r="H171" i="5" a="1"/>
  <c r="M171" i="5" a="1"/>
  <c r="G171" i="5" a="1"/>
  <c r="O171" i="5" a="1"/>
  <c r="C171" i="5" a="1"/>
  <c r="P171" i="5" a="1"/>
  <c r="D171" i="5" a="1"/>
  <c r="K171" i="5" a="1"/>
  <c r="L171" i="5" a="1"/>
  <c r="N171" i="5" a="1"/>
  <c r="J171" i="5" a="1"/>
  <c r="U170" i="5" l="1" a="1"/>
  <c r="U170" i="5" s="1"/>
  <c r="V170" i="5" a="1"/>
  <c r="V170" i="5" s="1"/>
  <c r="F171" i="5"/>
  <c r="D171" i="5"/>
  <c r="M171" i="5"/>
  <c r="C171" i="5"/>
  <c r="J171" i="5"/>
  <c r="G171" i="5"/>
  <c r="N171" i="5"/>
  <c r="H171" i="5"/>
  <c r="O171" i="5"/>
  <c r="P171" i="5"/>
  <c r="L171" i="5"/>
  <c r="K171" i="5"/>
  <c r="E172" i="5" a="1"/>
  <c r="E172" i="5" s="1"/>
  <c r="Z172" i="5" s="1"/>
  <c r="B172" i="5"/>
  <c r="A173" i="5" a="1"/>
  <c r="F172" i="5" l="1" a="1"/>
  <c r="F172" i="5" s="1"/>
  <c r="T171" i="5"/>
  <c r="R171" i="5"/>
  <c r="S171" i="5"/>
  <c r="Q171" i="5"/>
  <c r="A173" i="5"/>
  <c r="X172" i="5"/>
  <c r="AB172" i="5"/>
  <c r="Y172" i="5"/>
  <c r="AC172" i="5" s="1"/>
  <c r="AA172" i="5"/>
  <c r="W172" i="5"/>
  <c r="I172" i="5" a="1"/>
  <c r="O172" i="5" a="1"/>
  <c r="D172" i="5" a="1"/>
  <c r="N172" i="5" a="1"/>
  <c r="J172" i="5" a="1"/>
  <c r="L172" i="5" a="1"/>
  <c r="C172" i="5" a="1"/>
  <c r="M172" i="5" a="1"/>
  <c r="G172" i="5" a="1"/>
  <c r="H172" i="5" a="1"/>
  <c r="K172" i="5" a="1"/>
  <c r="P172" i="5" a="1"/>
  <c r="V171" i="5" l="1" a="1"/>
  <c r="V171" i="5" s="1"/>
  <c r="K172" i="5"/>
  <c r="C172" i="5"/>
  <c r="J172" i="5"/>
  <c r="P172" i="5"/>
  <c r="G172" i="5"/>
  <c r="U171" i="5" a="1"/>
  <c r="U171" i="5" s="1"/>
  <c r="M172" i="5"/>
  <c r="O172" i="5"/>
  <c r="H172" i="5"/>
  <c r="D172" i="5"/>
  <c r="I172" i="5"/>
  <c r="L172" i="5"/>
  <c r="N172" i="5"/>
  <c r="B173" i="5"/>
  <c r="E173" i="5" a="1"/>
  <c r="E173" i="5" s="1"/>
  <c r="A174" i="5" a="1"/>
  <c r="T172" i="5" l="1"/>
  <c r="R172" i="5"/>
  <c r="F173" i="5" a="1"/>
  <c r="F173" i="5" s="1"/>
  <c r="S172" i="5"/>
  <c r="Q172" i="5"/>
  <c r="AB173" i="5"/>
  <c r="A174" i="5"/>
  <c r="X173" i="5"/>
  <c r="AA173" i="5"/>
  <c r="Y173" i="5"/>
  <c r="AC173" i="5" s="1"/>
  <c r="W173" i="5"/>
  <c r="Z173" i="5"/>
  <c r="C173" i="5" a="1"/>
  <c r="L173" i="5" a="1"/>
  <c r="J173" i="5" a="1"/>
  <c r="M173" i="5" a="1"/>
  <c r="G173" i="5" a="1"/>
  <c r="D173" i="5" a="1"/>
  <c r="P173" i="5" a="1"/>
  <c r="N173" i="5" a="1"/>
  <c r="I173" i="5" a="1"/>
  <c r="K173" i="5" a="1"/>
  <c r="H173" i="5" a="1"/>
  <c r="O173" i="5" a="1"/>
  <c r="U172" i="5" l="1" a="1"/>
  <c r="U172" i="5" s="1"/>
  <c r="V172" i="5" a="1"/>
  <c r="V172" i="5" s="1"/>
  <c r="P173" i="5"/>
  <c r="G173" i="5"/>
  <c r="I173" i="5"/>
  <c r="C173" i="5"/>
  <c r="D173" i="5"/>
  <c r="M173" i="5"/>
  <c r="L173" i="5"/>
  <c r="K173" i="5"/>
  <c r="O173" i="5"/>
  <c r="J173" i="5"/>
  <c r="N173" i="5"/>
  <c r="H173" i="5"/>
  <c r="E174" i="5" a="1"/>
  <c r="E174" i="5" s="1"/>
  <c r="B174" i="5"/>
  <c r="F174" i="5" s="1" a="1"/>
  <c r="F174" i="5" s="1"/>
  <c r="A175" i="5" a="1"/>
  <c r="T173" i="5" l="1"/>
  <c r="Z174" i="5"/>
  <c r="S173" i="5"/>
  <c r="Q173" i="5"/>
  <c r="R173" i="5"/>
  <c r="A175" i="5"/>
  <c r="X174" i="5"/>
  <c r="AB174" i="5"/>
  <c r="Y174" i="5"/>
  <c r="AC174" i="5" s="1"/>
  <c r="AA174" i="5"/>
  <c r="W174" i="5"/>
  <c r="C174" i="5" a="1"/>
  <c r="J174" i="5" a="1"/>
  <c r="D174" i="5" a="1"/>
  <c r="K174" i="5" a="1"/>
  <c r="P174" i="5" a="1"/>
  <c r="N174" i="5" a="1"/>
  <c r="O174" i="5" a="1"/>
  <c r="H174" i="5" a="1"/>
  <c r="G174" i="5" a="1"/>
  <c r="I174" i="5" a="1"/>
  <c r="L174" i="5" a="1"/>
  <c r="M174" i="5" a="1"/>
  <c r="V173" i="5" l="1" a="1"/>
  <c r="V173" i="5" s="1"/>
  <c r="N174" i="5"/>
  <c r="J174" i="5"/>
  <c r="H174" i="5"/>
  <c r="I174" i="5"/>
  <c r="K174" i="5"/>
  <c r="M174" i="5"/>
  <c r="G174" i="5"/>
  <c r="D174" i="5"/>
  <c r="O174" i="5"/>
  <c r="U173" i="5" a="1"/>
  <c r="U173" i="5" s="1"/>
  <c r="P174" i="5"/>
  <c r="C174" i="5"/>
  <c r="L174" i="5"/>
  <c r="B175" i="5"/>
  <c r="L175" i="5" s="1" a="1"/>
  <c r="E175" i="5" a="1"/>
  <c r="E175" i="5" s="1"/>
  <c r="X175" i="5" s="1"/>
  <c r="A176" i="5" a="1"/>
  <c r="S174" i="5" l="1"/>
  <c r="Q174" i="5"/>
  <c r="T174" i="5"/>
  <c r="R174" i="5"/>
  <c r="L175" i="5"/>
  <c r="F175" i="5" a="1"/>
  <c r="F175" i="5" s="1"/>
  <c r="A176" i="5"/>
  <c r="W175" i="5"/>
  <c r="AA175" i="5"/>
  <c r="Y175" i="5"/>
  <c r="AC175" i="5" s="1"/>
  <c r="Z175" i="5"/>
  <c r="AB175" i="5"/>
  <c r="C175" i="5" a="1"/>
  <c r="D175" i="5" a="1"/>
  <c r="N175" i="5" a="1"/>
  <c r="J175" i="5" a="1"/>
  <c r="P175" i="5" a="1"/>
  <c r="K175" i="5" a="1"/>
  <c r="M175" i="5" a="1"/>
  <c r="H175" i="5" a="1"/>
  <c r="O175" i="5" a="1"/>
  <c r="I175" i="5" a="1"/>
  <c r="G175" i="5" a="1"/>
  <c r="V174" i="5" l="1" a="1"/>
  <c r="V174" i="5" s="1"/>
  <c r="U174" i="5" a="1"/>
  <c r="U174" i="5" s="1"/>
  <c r="C175" i="5"/>
  <c r="H175" i="5"/>
  <c r="M175" i="5"/>
  <c r="J175" i="5"/>
  <c r="P175" i="5"/>
  <c r="R175" i="5" s="1"/>
  <c r="G175" i="5"/>
  <c r="O175" i="5"/>
  <c r="N175" i="5"/>
  <c r="K175" i="5"/>
  <c r="D175" i="5"/>
  <c r="I175" i="5"/>
  <c r="B176" i="5"/>
  <c r="E176" i="5" a="1"/>
  <c r="E176" i="5" s="1"/>
  <c r="Z176" i="5" s="1"/>
  <c r="A177" i="5" a="1"/>
  <c r="T175" i="5" l="1"/>
  <c r="Q175" i="5"/>
  <c r="U175" i="5" s="1" a="1"/>
  <c r="U175" i="5" s="1"/>
  <c r="S175" i="5"/>
  <c r="F176" i="5" a="1"/>
  <c r="F176" i="5" s="1"/>
  <c r="A177" i="5"/>
  <c r="X176" i="5"/>
  <c r="Y176" i="5"/>
  <c r="AC176" i="5" s="1"/>
  <c r="AB176" i="5"/>
  <c r="AA176" i="5"/>
  <c r="W176" i="5"/>
  <c r="M176" i="5" a="1"/>
  <c r="P176" i="5" a="1"/>
  <c r="N176" i="5" a="1"/>
  <c r="K176" i="5" a="1"/>
  <c r="H176" i="5" a="1"/>
  <c r="O176" i="5" a="1"/>
  <c r="G176" i="5" a="1"/>
  <c r="I176" i="5" a="1"/>
  <c r="J176" i="5" a="1"/>
  <c r="C176" i="5" a="1"/>
  <c r="D176" i="5" a="1"/>
  <c r="L176" i="5" a="1"/>
  <c r="H176" i="5" l="1"/>
  <c r="N176" i="5"/>
  <c r="K176" i="5"/>
  <c r="O176" i="5"/>
  <c r="J176" i="5"/>
  <c r="D176" i="5"/>
  <c r="M176" i="5"/>
  <c r="I176" i="5"/>
  <c r="P176" i="5"/>
  <c r="G176" i="5"/>
  <c r="C176" i="5"/>
  <c r="L176" i="5"/>
  <c r="E177" i="5" a="1"/>
  <c r="E177" i="5" s="1"/>
  <c r="B177" i="5"/>
  <c r="V175" i="5" a="1"/>
  <c r="V175" i="5" s="1"/>
  <c r="A178" i="5" a="1"/>
  <c r="I177" i="5" a="1"/>
  <c r="T176" i="5" l="1"/>
  <c r="R176" i="5"/>
  <c r="I177" i="5"/>
  <c r="S176" i="5"/>
  <c r="Q176" i="5"/>
  <c r="X177" i="5"/>
  <c r="F177" i="5" a="1"/>
  <c r="F177" i="5" s="1"/>
  <c r="A178" i="5"/>
  <c r="AA177" i="5"/>
  <c r="Y177" i="5"/>
  <c r="AC177" i="5" s="1"/>
  <c r="Z177" i="5"/>
  <c r="AB177" i="5"/>
  <c r="W177" i="5"/>
  <c r="L177" i="5" a="1"/>
  <c r="H177" i="5" a="1"/>
  <c r="C177" i="5" a="1"/>
  <c r="G177" i="5" a="1"/>
  <c r="K177" i="5" a="1"/>
  <c r="D177" i="5" a="1"/>
  <c r="O177" i="5" a="1"/>
  <c r="M177" i="5" a="1"/>
  <c r="P177" i="5" a="1"/>
  <c r="J177" i="5" a="1"/>
  <c r="N177" i="5" a="1"/>
  <c r="V176" i="5" l="1" a="1"/>
  <c r="V176" i="5" s="1"/>
  <c r="U176" i="5" a="1"/>
  <c r="U176" i="5" s="1"/>
  <c r="P177" i="5"/>
  <c r="O177" i="5"/>
  <c r="L177" i="5"/>
  <c r="H177" i="5"/>
  <c r="N177" i="5"/>
  <c r="K177" i="5"/>
  <c r="M177" i="5"/>
  <c r="D177" i="5"/>
  <c r="J177" i="5"/>
  <c r="G177" i="5"/>
  <c r="C177" i="5"/>
  <c r="B178" i="5"/>
  <c r="F178" i="5" s="1" a="1"/>
  <c r="F178" i="5" s="1"/>
  <c r="E178" i="5" a="1"/>
  <c r="E178" i="5" s="1"/>
  <c r="Z178" i="5" s="1"/>
  <c r="A179" i="5" a="1"/>
  <c r="T177" i="5" l="1"/>
  <c r="R177" i="5"/>
  <c r="S177" i="5"/>
  <c r="Q177" i="5"/>
  <c r="A179" i="5"/>
  <c r="X178" i="5"/>
  <c r="AB178" i="5"/>
  <c r="Y178" i="5"/>
  <c r="AC178" i="5" s="1"/>
  <c r="AA178" i="5"/>
  <c r="W178" i="5"/>
  <c r="N178" i="5" a="1"/>
  <c r="J178" i="5" a="1"/>
  <c r="I178" i="5" a="1"/>
  <c r="C178" i="5" a="1"/>
  <c r="L178" i="5" a="1"/>
  <c r="P178" i="5" a="1"/>
  <c r="O178" i="5" a="1"/>
  <c r="K178" i="5" a="1"/>
  <c r="D178" i="5" a="1"/>
  <c r="H178" i="5" a="1"/>
  <c r="M178" i="5" a="1"/>
  <c r="G178" i="5" a="1"/>
  <c r="U177" i="5" l="1" a="1"/>
  <c r="U177" i="5" s="1"/>
  <c r="V177" i="5" a="1"/>
  <c r="V177" i="5" s="1"/>
  <c r="C178" i="5"/>
  <c r="P178" i="5"/>
  <c r="G178" i="5"/>
  <c r="J178" i="5"/>
  <c r="O178" i="5"/>
  <c r="K178" i="5"/>
  <c r="D178" i="5"/>
  <c r="L178" i="5"/>
  <c r="H178" i="5"/>
  <c r="I178" i="5"/>
  <c r="N178" i="5"/>
  <c r="M178" i="5"/>
  <c r="B179" i="5"/>
  <c r="E179" i="5" a="1"/>
  <c r="E179" i="5" s="1"/>
  <c r="A180" i="5" a="1"/>
  <c r="J179" i="5" a="1"/>
  <c r="R178" i="5" l="1"/>
  <c r="Q178" i="5"/>
  <c r="J179" i="5"/>
  <c r="AB179" i="5"/>
  <c r="F179" i="5" a="1"/>
  <c r="F179" i="5" s="1"/>
  <c r="S178" i="5"/>
  <c r="T178" i="5"/>
  <c r="A180" i="5"/>
  <c r="X179" i="5"/>
  <c r="AA179" i="5"/>
  <c r="Y179" i="5"/>
  <c r="AC179" i="5" s="1"/>
  <c r="W179" i="5"/>
  <c r="Z179" i="5"/>
  <c r="M179" i="5" a="1"/>
  <c r="L179" i="5" a="1"/>
  <c r="D179" i="5" a="1"/>
  <c r="P179" i="5" a="1"/>
  <c r="C179" i="5" a="1"/>
  <c r="I179" i="5" a="1"/>
  <c r="N179" i="5" a="1"/>
  <c r="G179" i="5" a="1"/>
  <c r="H179" i="5" a="1"/>
  <c r="O179" i="5" a="1"/>
  <c r="K179" i="5" a="1"/>
  <c r="U178" i="5" l="1" a="1"/>
  <c r="U178" i="5" s="1"/>
  <c r="H179" i="5"/>
  <c r="N179" i="5"/>
  <c r="K179" i="5"/>
  <c r="C179" i="5"/>
  <c r="P179" i="5"/>
  <c r="M179" i="5"/>
  <c r="D179" i="5"/>
  <c r="O179" i="5"/>
  <c r="I179" i="5"/>
  <c r="G179" i="5"/>
  <c r="L179" i="5"/>
  <c r="E180" i="5" a="1"/>
  <c r="E180" i="5" s="1"/>
  <c r="B180" i="5"/>
  <c r="V178" i="5" a="1"/>
  <c r="V178" i="5" s="1"/>
  <c r="A181" i="5" a="1"/>
  <c r="T179" i="5" l="1"/>
  <c r="R179" i="5"/>
  <c r="F180" i="5" a="1"/>
  <c r="F180" i="5" s="1"/>
  <c r="X180" i="5"/>
  <c r="Q179" i="5"/>
  <c r="S179" i="5"/>
  <c r="A181" i="5"/>
  <c r="AB180" i="5"/>
  <c r="Y180" i="5"/>
  <c r="AC180" i="5" s="1"/>
  <c r="AA180" i="5"/>
  <c r="W180" i="5"/>
  <c r="Z180" i="5"/>
  <c r="D180" i="5" a="1"/>
  <c r="K180" i="5" a="1"/>
  <c r="L180" i="5" a="1"/>
  <c r="I180" i="5" a="1"/>
  <c r="O180" i="5" a="1"/>
  <c r="G180" i="5" a="1"/>
  <c r="M180" i="5" a="1"/>
  <c r="H180" i="5" a="1"/>
  <c r="P180" i="5" a="1"/>
  <c r="N180" i="5" a="1"/>
  <c r="J180" i="5" a="1"/>
  <c r="C180" i="5" a="1"/>
  <c r="V179" i="5" l="1" a="1"/>
  <c r="V179" i="5" s="1"/>
  <c r="U179" i="5" a="1"/>
  <c r="U179" i="5" s="1"/>
  <c r="C180" i="5"/>
  <c r="D180" i="5"/>
  <c r="O180" i="5"/>
  <c r="N180" i="5"/>
  <c r="L180" i="5"/>
  <c r="K180" i="5"/>
  <c r="H180" i="5"/>
  <c r="G180" i="5"/>
  <c r="I180" i="5"/>
  <c r="M180" i="5"/>
  <c r="J180" i="5"/>
  <c r="P180" i="5"/>
  <c r="B181" i="5"/>
  <c r="E181" i="5" a="1"/>
  <c r="E181" i="5" s="1"/>
  <c r="AB181" i="5" s="1"/>
  <c r="A182" i="5" a="1"/>
  <c r="G181" i="5" a="1"/>
  <c r="G181" i="5" l="1"/>
  <c r="R180" i="5"/>
  <c r="Q180" i="5"/>
  <c r="S180" i="5"/>
  <c r="T180" i="5"/>
  <c r="F181" i="5" a="1"/>
  <c r="F181" i="5" s="1"/>
  <c r="A182" i="5"/>
  <c r="AA181" i="5"/>
  <c r="X181" i="5"/>
  <c r="W181" i="5"/>
  <c r="Y181" i="5"/>
  <c r="AC181" i="5" s="1"/>
  <c r="Z181" i="5"/>
  <c r="M181" i="5" a="1"/>
  <c r="C181" i="5" a="1"/>
  <c r="K181" i="5" a="1"/>
  <c r="I181" i="5" a="1"/>
  <c r="J181" i="5" a="1"/>
  <c r="L181" i="5" a="1"/>
  <c r="H181" i="5" a="1"/>
  <c r="N181" i="5" a="1"/>
  <c r="D181" i="5" a="1"/>
  <c r="O181" i="5" a="1"/>
  <c r="P181" i="5" a="1"/>
  <c r="U180" i="5" l="1" a="1"/>
  <c r="U180" i="5" s="1"/>
  <c r="V180" i="5" a="1"/>
  <c r="V180" i="5" s="1"/>
  <c r="H181" i="5"/>
  <c r="J181" i="5"/>
  <c r="L181" i="5"/>
  <c r="I181" i="5"/>
  <c r="K181" i="5"/>
  <c r="P181" i="5"/>
  <c r="D181" i="5"/>
  <c r="O181" i="5"/>
  <c r="N181" i="5"/>
  <c r="M181" i="5"/>
  <c r="C181" i="5"/>
  <c r="E182" i="5" a="1"/>
  <c r="E182" i="5" s="1"/>
  <c r="B182" i="5"/>
  <c r="K182" i="5" s="1" a="1"/>
  <c r="A183" i="5" a="1"/>
  <c r="R181" i="5" l="1"/>
  <c r="K182" i="5"/>
  <c r="Q181" i="5"/>
  <c r="S181" i="5"/>
  <c r="T181" i="5"/>
  <c r="F182" i="5" a="1"/>
  <c r="F182" i="5" s="1"/>
  <c r="Z182" i="5"/>
  <c r="AB182" i="5"/>
  <c r="X182" i="5"/>
  <c r="A183" i="5"/>
  <c r="AA182" i="5"/>
  <c r="Y182" i="5"/>
  <c r="AC182" i="5" s="1"/>
  <c r="W182" i="5"/>
  <c r="J182" i="5" a="1"/>
  <c r="N182" i="5" a="1"/>
  <c r="H182" i="5" a="1"/>
  <c r="O182" i="5" a="1"/>
  <c r="P182" i="5" a="1"/>
  <c r="M182" i="5" a="1"/>
  <c r="D182" i="5" a="1"/>
  <c r="L182" i="5" a="1"/>
  <c r="G182" i="5" a="1"/>
  <c r="I182" i="5" a="1"/>
  <c r="C182" i="5" a="1"/>
  <c r="V181" i="5" l="1" a="1"/>
  <c r="V181" i="5" s="1"/>
  <c r="U181" i="5" a="1"/>
  <c r="U181" i="5" s="1"/>
  <c r="G182" i="5"/>
  <c r="J182" i="5"/>
  <c r="N182" i="5"/>
  <c r="L182" i="5"/>
  <c r="O182" i="5"/>
  <c r="C182" i="5"/>
  <c r="M182" i="5"/>
  <c r="I182" i="5"/>
  <c r="H182" i="5"/>
  <c r="P182" i="5"/>
  <c r="D182" i="5"/>
  <c r="B183" i="5"/>
  <c r="E183" i="5" a="1"/>
  <c r="E183" i="5" s="1"/>
  <c r="AB183" i="5" s="1"/>
  <c r="A184" i="5" a="1"/>
  <c r="I183" i="5" a="1"/>
  <c r="T182" i="5" l="1"/>
  <c r="I183" i="5"/>
  <c r="S182" i="5"/>
  <c r="Q182" i="5"/>
  <c r="F183" i="5" a="1"/>
  <c r="F183" i="5" s="1"/>
  <c r="R182" i="5"/>
  <c r="A184" i="5"/>
  <c r="X183" i="5"/>
  <c r="AA183" i="5"/>
  <c r="Y183" i="5"/>
  <c r="AC183" i="5" s="1"/>
  <c r="W183" i="5"/>
  <c r="Z183" i="5"/>
  <c r="C183" i="5" a="1"/>
  <c r="H183" i="5" a="1"/>
  <c r="D183" i="5" a="1"/>
  <c r="L183" i="5" a="1"/>
  <c r="P183" i="5" a="1"/>
  <c r="K183" i="5" a="1"/>
  <c r="M183" i="5" a="1"/>
  <c r="N183" i="5" a="1"/>
  <c r="O183" i="5" a="1"/>
  <c r="J183" i="5" a="1"/>
  <c r="G183" i="5" a="1"/>
  <c r="O183" i="5" l="1"/>
  <c r="N183" i="5"/>
  <c r="J183" i="5"/>
  <c r="K183" i="5"/>
  <c r="V182" i="5" a="1"/>
  <c r="V182" i="5" s="1"/>
  <c r="D183" i="5"/>
  <c r="M183" i="5"/>
  <c r="L183" i="5"/>
  <c r="G183" i="5"/>
  <c r="P183" i="5"/>
  <c r="C183" i="5"/>
  <c r="H183" i="5"/>
  <c r="B184" i="5"/>
  <c r="F184" i="5" s="1" a="1"/>
  <c r="F184" i="5" s="1"/>
  <c r="E184" i="5" a="1"/>
  <c r="E184" i="5" s="1"/>
  <c r="Z184" i="5" s="1"/>
  <c r="U182" i="5" a="1"/>
  <c r="U182" i="5" s="1"/>
  <c r="A185" i="5" a="1"/>
  <c r="Q183" i="5" l="1"/>
  <c r="R183" i="5"/>
  <c r="S183" i="5"/>
  <c r="T183" i="5"/>
  <c r="A185" i="5"/>
  <c r="X184" i="5"/>
  <c r="AB184" i="5"/>
  <c r="Y184" i="5"/>
  <c r="AC184" i="5" s="1"/>
  <c r="AA184" i="5"/>
  <c r="W184" i="5"/>
  <c r="K184" i="5" a="1"/>
  <c r="C184" i="5" a="1"/>
  <c r="I184" i="5" a="1"/>
  <c r="O184" i="5" a="1"/>
  <c r="G184" i="5" a="1"/>
  <c r="D184" i="5" a="1"/>
  <c r="P184" i="5" a="1"/>
  <c r="M184" i="5" a="1"/>
  <c r="J184" i="5" a="1"/>
  <c r="H184" i="5" a="1"/>
  <c r="L184" i="5" a="1"/>
  <c r="N184" i="5" a="1"/>
  <c r="U183" i="5" l="1" a="1"/>
  <c r="U183" i="5" s="1"/>
  <c r="N184" i="5"/>
  <c r="J184" i="5"/>
  <c r="K184" i="5"/>
  <c r="O184" i="5"/>
  <c r="P184" i="5"/>
  <c r="V183" i="5" a="1"/>
  <c r="V183" i="5" s="1"/>
  <c r="L184" i="5"/>
  <c r="M184" i="5"/>
  <c r="H184" i="5"/>
  <c r="G184" i="5"/>
  <c r="I184" i="5"/>
  <c r="C184" i="5"/>
  <c r="D184" i="5"/>
  <c r="E185" i="5" a="1"/>
  <c r="E185" i="5" s="1"/>
  <c r="AB185" i="5" s="1"/>
  <c r="B185" i="5"/>
  <c r="A186" i="5" a="1"/>
  <c r="K185" i="5" a="1"/>
  <c r="K185" i="5" l="1"/>
  <c r="F185" i="5" a="1"/>
  <c r="F185" i="5" s="1"/>
  <c r="T184" i="5"/>
  <c r="S184" i="5"/>
  <c r="R184" i="5"/>
  <c r="Q184" i="5"/>
  <c r="A186" i="5"/>
  <c r="X185" i="5"/>
  <c r="W185" i="5"/>
  <c r="AA185" i="5"/>
  <c r="Y185" i="5"/>
  <c r="AC185" i="5" s="1"/>
  <c r="Z185" i="5"/>
  <c r="L185" i="5" a="1"/>
  <c r="O185" i="5" a="1"/>
  <c r="D185" i="5" a="1"/>
  <c r="N185" i="5" a="1"/>
  <c r="I185" i="5" a="1"/>
  <c r="H185" i="5" a="1"/>
  <c r="C185" i="5" a="1"/>
  <c r="G185" i="5" a="1"/>
  <c r="M185" i="5" a="1"/>
  <c r="J185" i="5" a="1"/>
  <c r="P185" i="5" a="1"/>
  <c r="V184" i="5" l="1" a="1"/>
  <c r="V184" i="5" s="1"/>
  <c r="U184" i="5" a="1"/>
  <c r="U184" i="5" s="1"/>
  <c r="L185" i="5"/>
  <c r="G185" i="5"/>
  <c r="I185" i="5"/>
  <c r="D185" i="5"/>
  <c r="O185" i="5"/>
  <c r="P185" i="5"/>
  <c r="M185" i="5"/>
  <c r="C185" i="5"/>
  <c r="N185" i="5"/>
  <c r="H185" i="5"/>
  <c r="J185" i="5"/>
  <c r="B186" i="5"/>
  <c r="E186" i="5" a="1"/>
  <c r="E186" i="5" s="1"/>
  <c r="A187" i="5" a="1"/>
  <c r="R185" i="5" l="1"/>
  <c r="T185" i="5"/>
  <c r="F186" i="5" a="1"/>
  <c r="F186" i="5" s="1"/>
  <c r="Q185" i="5"/>
  <c r="S185" i="5"/>
  <c r="Z186" i="5"/>
  <c r="X186" i="5"/>
  <c r="A187" i="5"/>
  <c r="A188" i="5" s="1" a="1"/>
  <c r="AB186" i="5"/>
  <c r="Y186" i="5"/>
  <c r="AC186" i="5" s="1"/>
  <c r="AA186" i="5"/>
  <c r="W186" i="5"/>
  <c r="D186" i="5" a="1"/>
  <c r="J186" i="5" a="1"/>
  <c r="K186" i="5" a="1"/>
  <c r="L186" i="5" a="1"/>
  <c r="P186" i="5" a="1"/>
  <c r="M186" i="5" a="1"/>
  <c r="N186" i="5" a="1"/>
  <c r="C186" i="5" a="1"/>
  <c r="O186" i="5" a="1"/>
  <c r="I186" i="5" a="1"/>
  <c r="H186" i="5" a="1"/>
  <c r="G186" i="5" a="1"/>
  <c r="U185" i="5" l="1" a="1"/>
  <c r="U185" i="5" s="1"/>
  <c r="V185" i="5" a="1"/>
  <c r="V185" i="5" s="1"/>
  <c r="C186" i="5"/>
  <c r="M186" i="5"/>
  <c r="H186" i="5"/>
  <c r="J186" i="5"/>
  <c r="G186" i="5"/>
  <c r="N186" i="5"/>
  <c r="D186" i="5"/>
  <c r="O186" i="5"/>
  <c r="P186" i="5"/>
  <c r="L186" i="5"/>
  <c r="I186" i="5"/>
  <c r="K186" i="5"/>
  <c r="B187" i="5"/>
  <c r="F187" i="5" s="1" a="1"/>
  <c r="F187" i="5" s="1"/>
  <c r="E187" i="5" a="1"/>
  <c r="E187" i="5" s="1"/>
  <c r="Z187" i="5" s="1"/>
  <c r="A188" i="5"/>
  <c r="T186" i="5" l="1"/>
  <c r="W187" i="5"/>
  <c r="Y187" i="5"/>
  <c r="AC187" i="5" s="1"/>
  <c r="X187" i="5"/>
  <c r="R186" i="5"/>
  <c r="S186" i="5"/>
  <c r="Q186" i="5"/>
  <c r="AA187" i="5"/>
  <c r="AB187" i="5"/>
  <c r="B188" i="5"/>
  <c r="O188" i="5" s="1" a="1"/>
  <c r="E188" i="5" a="1"/>
  <c r="E188" i="5" s="1"/>
  <c r="N187" i="5" a="1"/>
  <c r="A189" i="5" a="1"/>
  <c r="C187" i="5" a="1"/>
  <c r="I187" i="5" a="1"/>
  <c r="J187" i="5" a="1"/>
  <c r="O187" i="5" a="1"/>
  <c r="K187" i="5" a="1"/>
  <c r="G187" i="5" a="1"/>
  <c r="H187" i="5" a="1"/>
  <c r="M187" i="5" a="1"/>
  <c r="D187" i="5" a="1"/>
  <c r="L187" i="5" a="1"/>
  <c r="P187" i="5" a="1"/>
  <c r="V186" i="5" l="1" a="1"/>
  <c r="V186" i="5" s="1"/>
  <c r="L187" i="5"/>
  <c r="C187" i="5"/>
  <c r="U186" i="5" a="1"/>
  <c r="U186" i="5" s="1"/>
  <c r="O188" i="5"/>
  <c r="M187" i="5"/>
  <c r="K187" i="5"/>
  <c r="G187" i="5"/>
  <c r="N187" i="5"/>
  <c r="O187" i="5"/>
  <c r="H187" i="5"/>
  <c r="D187" i="5"/>
  <c r="I187" i="5"/>
  <c r="J187" i="5"/>
  <c r="P187" i="5"/>
  <c r="Z188" i="5"/>
  <c r="A189" i="5"/>
  <c r="X188" i="5"/>
  <c r="AA188" i="5"/>
  <c r="Y188" i="5"/>
  <c r="AC188" i="5" s="1"/>
  <c r="AB188" i="5"/>
  <c r="W188" i="5"/>
  <c r="F188" i="5" a="1"/>
  <c r="D188" i="5" a="1"/>
  <c r="K188" i="5" a="1"/>
  <c r="H188" i="5" a="1"/>
  <c r="L188" i="5" a="1"/>
  <c r="I188" i="5" a="1"/>
  <c r="M188" i="5" a="1"/>
  <c r="P188" i="5" a="1"/>
  <c r="G188" i="5" a="1"/>
  <c r="J188" i="5" a="1"/>
  <c r="C188" i="5" a="1"/>
  <c r="N188" i="5" a="1"/>
  <c r="R187" i="5" l="1"/>
  <c r="J188" i="5"/>
  <c r="N188" i="5"/>
  <c r="I188" i="5"/>
  <c r="P188" i="5"/>
  <c r="M188" i="5"/>
  <c r="F188" i="5"/>
  <c r="K188" i="5"/>
  <c r="G188" i="5"/>
  <c r="C188" i="5"/>
  <c r="D188" i="5"/>
  <c r="H188" i="5"/>
  <c r="L188" i="5"/>
  <c r="Q188" i="5" s="1"/>
  <c r="S187" i="5"/>
  <c r="Q187" i="5"/>
  <c r="E189" i="5" a="1"/>
  <c r="E189" i="5" s="1"/>
  <c r="B189" i="5"/>
  <c r="T187" i="5"/>
  <c r="A190" i="5" a="1"/>
  <c r="I189" i="5" a="1"/>
  <c r="U187" i="5" l="1" a="1"/>
  <c r="U187" i="5" s="1"/>
  <c r="V187" i="5" a="1"/>
  <c r="V187" i="5" s="1"/>
  <c r="I189" i="5"/>
  <c r="R188" i="5"/>
  <c r="U188" i="5" s="1" a="1"/>
  <c r="U188" i="5" s="1"/>
  <c r="X189" i="5"/>
  <c r="F189" i="5" a="1"/>
  <c r="F189" i="5" s="1"/>
  <c r="T188" i="5"/>
  <c r="S188" i="5"/>
  <c r="A190" i="5"/>
  <c r="AA189" i="5"/>
  <c r="Y189" i="5"/>
  <c r="AC189" i="5" s="1"/>
  <c r="W189" i="5"/>
  <c r="Z189" i="5"/>
  <c r="AB189" i="5"/>
  <c r="N189" i="5" a="1"/>
  <c r="D189" i="5" a="1"/>
  <c r="M189" i="5" a="1"/>
  <c r="J189" i="5" a="1"/>
  <c r="G189" i="5" a="1"/>
  <c r="K189" i="5" a="1"/>
  <c r="P189" i="5" a="1"/>
  <c r="L189" i="5" a="1"/>
  <c r="O189" i="5" a="1"/>
  <c r="H189" i="5" a="1"/>
  <c r="C189" i="5" a="1"/>
  <c r="K189" i="5" l="1"/>
  <c r="G189" i="5"/>
  <c r="O189" i="5"/>
  <c r="J189" i="5"/>
  <c r="V188" i="5" a="1"/>
  <c r="V188" i="5" s="1"/>
  <c r="P189" i="5"/>
  <c r="L189" i="5"/>
  <c r="N189" i="5"/>
  <c r="H189" i="5"/>
  <c r="D189" i="5"/>
  <c r="M189" i="5"/>
  <c r="C189" i="5"/>
  <c r="B190" i="5"/>
  <c r="O190" i="5" s="1" a="1"/>
  <c r="E190" i="5" a="1"/>
  <c r="E190" i="5" s="1"/>
  <c r="A191" i="5" a="1"/>
  <c r="Q189" i="5" l="1"/>
  <c r="R189" i="5"/>
  <c r="O190" i="5"/>
  <c r="Z190" i="5"/>
  <c r="S189" i="5"/>
  <c r="T189" i="5"/>
  <c r="F190" i="5" a="1"/>
  <c r="F190" i="5" s="1"/>
  <c r="A191" i="5"/>
  <c r="X190" i="5"/>
  <c r="AB190" i="5"/>
  <c r="Y190" i="5"/>
  <c r="AC190" i="5" s="1"/>
  <c r="AA190" i="5"/>
  <c r="W190" i="5"/>
  <c r="P190" i="5" a="1"/>
  <c r="J190" i="5" a="1"/>
  <c r="C190" i="5" a="1"/>
  <c r="G190" i="5" a="1"/>
  <c r="I190" i="5" a="1"/>
  <c r="H190" i="5" a="1"/>
  <c r="M190" i="5" a="1"/>
  <c r="L190" i="5" a="1"/>
  <c r="D190" i="5" a="1"/>
  <c r="N190" i="5" a="1"/>
  <c r="K190" i="5" a="1"/>
  <c r="U189" i="5" l="1" a="1"/>
  <c r="U189" i="5" s="1"/>
  <c r="V189" i="5" a="1"/>
  <c r="V189" i="5" s="1"/>
  <c r="G190" i="5"/>
  <c r="H190" i="5"/>
  <c r="I190" i="5"/>
  <c r="C190" i="5"/>
  <c r="M190" i="5"/>
  <c r="N190" i="5"/>
  <c r="L190" i="5"/>
  <c r="Q190" i="5" s="1"/>
  <c r="D190" i="5"/>
  <c r="J190" i="5"/>
  <c r="P190" i="5"/>
  <c r="K190" i="5"/>
  <c r="E191" i="5" a="1"/>
  <c r="E191" i="5" s="1"/>
  <c r="AB191" i="5" s="1"/>
  <c r="B191" i="5"/>
  <c r="P191" i="5" s="1" a="1"/>
  <c r="A192" i="5" a="1"/>
  <c r="P191" i="5" l="1"/>
  <c r="F191" i="5" a="1"/>
  <c r="F191" i="5" s="1"/>
  <c r="T190" i="5"/>
  <c r="S190" i="5"/>
  <c r="R190" i="5"/>
  <c r="U190" i="5" s="1" a="1"/>
  <c r="U190" i="5" s="1"/>
  <c r="A192" i="5"/>
  <c r="X191" i="5"/>
  <c r="AA191" i="5"/>
  <c r="W191" i="5"/>
  <c r="Y191" i="5"/>
  <c r="AC191" i="5" s="1"/>
  <c r="Z191" i="5"/>
  <c r="N191" i="5" a="1"/>
  <c r="H191" i="5" a="1"/>
  <c r="L191" i="5" a="1"/>
  <c r="C191" i="5" a="1"/>
  <c r="D191" i="5" a="1"/>
  <c r="I191" i="5" a="1"/>
  <c r="J191" i="5" a="1"/>
  <c r="K191" i="5" a="1"/>
  <c r="O191" i="5" a="1"/>
  <c r="M191" i="5" a="1"/>
  <c r="G191" i="5" a="1"/>
  <c r="K191" i="5" l="1"/>
  <c r="G191" i="5"/>
  <c r="H191" i="5"/>
  <c r="N191" i="5"/>
  <c r="D191" i="5"/>
  <c r="C191" i="5"/>
  <c r="L191" i="5"/>
  <c r="R191" i="5" s="1"/>
  <c r="J191" i="5"/>
  <c r="O191" i="5"/>
  <c r="I191" i="5"/>
  <c r="M191" i="5"/>
  <c r="T191" i="5" s="1"/>
  <c r="B192" i="5"/>
  <c r="F192" i="5" s="1" a="1"/>
  <c r="F192" i="5" s="1"/>
  <c r="E192" i="5" a="1"/>
  <c r="E192" i="5" s="1"/>
  <c r="Z192" i="5" s="1"/>
  <c r="V190" i="5" a="1"/>
  <c r="V190" i="5" s="1"/>
  <c r="A193" i="5" a="1"/>
  <c r="S191" i="5" l="1"/>
  <c r="V191" i="5" s="1" a="1"/>
  <c r="V191" i="5" s="1"/>
  <c r="Q191" i="5"/>
  <c r="U191" i="5" s="1" a="1"/>
  <c r="U191" i="5" s="1"/>
  <c r="A193" i="5"/>
  <c r="X192" i="5"/>
  <c r="AB192" i="5"/>
  <c r="Y192" i="5"/>
  <c r="AC192" i="5" s="1"/>
  <c r="AA192" i="5"/>
  <c r="W192" i="5"/>
  <c r="M192" i="5" a="1"/>
  <c r="N192" i="5" a="1"/>
  <c r="J192" i="5" a="1"/>
  <c r="K192" i="5" a="1"/>
  <c r="C192" i="5" a="1"/>
  <c r="G192" i="5" a="1"/>
  <c r="I192" i="5" a="1"/>
  <c r="L192" i="5" a="1"/>
  <c r="O192" i="5" a="1"/>
  <c r="H192" i="5" a="1"/>
  <c r="D192" i="5" a="1"/>
  <c r="P192" i="5" a="1"/>
  <c r="K192" i="5" l="1"/>
  <c r="J192" i="5"/>
  <c r="P192" i="5"/>
  <c r="N192" i="5"/>
  <c r="O192" i="5"/>
  <c r="C192" i="5"/>
  <c r="M192" i="5"/>
  <c r="G192" i="5"/>
  <c r="I192" i="5"/>
  <c r="D192" i="5"/>
  <c r="H192" i="5"/>
  <c r="L192" i="5"/>
  <c r="B193" i="5"/>
  <c r="K193" i="5" s="1" a="1"/>
  <c r="E193" i="5" a="1"/>
  <c r="E193" i="5" s="1"/>
  <c r="A194" i="5" a="1"/>
  <c r="T192" i="5" l="1"/>
  <c r="S192" i="5"/>
  <c r="K193" i="5"/>
  <c r="AB193" i="5"/>
  <c r="R192" i="5"/>
  <c r="Q192" i="5"/>
  <c r="A194" i="5"/>
  <c r="X193" i="5"/>
  <c r="AA193" i="5"/>
  <c r="Y193" i="5"/>
  <c r="AC193" i="5" s="1"/>
  <c r="W193" i="5"/>
  <c r="Z193" i="5"/>
  <c r="H193" i="5" a="1"/>
  <c r="J193" i="5" a="1"/>
  <c r="D193" i="5" a="1"/>
  <c r="O193" i="5" a="1"/>
  <c r="F193" i="5" a="1"/>
  <c r="L193" i="5" a="1"/>
  <c r="G193" i="5" a="1"/>
  <c r="C193" i="5" a="1"/>
  <c r="N193" i="5" a="1"/>
  <c r="M193" i="5" a="1"/>
  <c r="P193" i="5" a="1"/>
  <c r="I193" i="5" a="1"/>
  <c r="V192" i="5" l="1" a="1"/>
  <c r="V192" i="5" s="1"/>
  <c r="O193" i="5"/>
  <c r="F193" i="5"/>
  <c r="G193" i="5"/>
  <c r="J193" i="5"/>
  <c r="L193" i="5"/>
  <c r="D193" i="5"/>
  <c r="N193" i="5"/>
  <c r="I193" i="5"/>
  <c r="P193" i="5"/>
  <c r="H193" i="5"/>
  <c r="C193" i="5"/>
  <c r="M193" i="5"/>
  <c r="E194" i="5" a="1"/>
  <c r="E194" i="5" s="1"/>
  <c r="B194" i="5"/>
  <c r="U192" i="5" a="1"/>
  <c r="U192" i="5" s="1"/>
  <c r="A195" i="5" a="1"/>
  <c r="F194" i="5" l="1" a="1"/>
  <c r="F194" i="5" s="1"/>
  <c r="Q193" i="5"/>
  <c r="T193" i="5"/>
  <c r="R193" i="5"/>
  <c r="Z194" i="5"/>
  <c r="S193" i="5"/>
  <c r="A195" i="5"/>
  <c r="X194" i="5"/>
  <c r="AB194" i="5"/>
  <c r="AA194" i="5"/>
  <c r="Y194" i="5"/>
  <c r="AC194" i="5" s="1"/>
  <c r="W194" i="5"/>
  <c r="M194" i="5" a="1"/>
  <c r="L194" i="5" a="1"/>
  <c r="D194" i="5" a="1"/>
  <c r="J194" i="5" a="1"/>
  <c r="G194" i="5" a="1"/>
  <c r="O194" i="5" a="1"/>
  <c r="H194" i="5" a="1"/>
  <c r="N194" i="5" a="1"/>
  <c r="P194" i="5" a="1"/>
  <c r="K194" i="5" a="1"/>
  <c r="I194" i="5" a="1"/>
  <c r="C194" i="5" a="1"/>
  <c r="U193" i="5" l="1" a="1"/>
  <c r="U193" i="5" s="1"/>
  <c r="L194" i="5"/>
  <c r="P194" i="5"/>
  <c r="V193" i="5" a="1"/>
  <c r="V193" i="5" s="1"/>
  <c r="C194" i="5"/>
  <c r="I194" i="5"/>
  <c r="K194" i="5"/>
  <c r="G194" i="5"/>
  <c r="N194" i="5"/>
  <c r="D194" i="5"/>
  <c r="J194" i="5"/>
  <c r="O194" i="5"/>
  <c r="H194" i="5"/>
  <c r="M194" i="5"/>
  <c r="B195" i="5"/>
  <c r="E195" i="5" a="1"/>
  <c r="E195" i="5" s="1"/>
  <c r="AB195" i="5" s="1"/>
  <c r="I195" i="5" a="1"/>
  <c r="A196" i="5" a="1"/>
  <c r="T194" i="5" l="1"/>
  <c r="R194" i="5"/>
  <c r="I195" i="5"/>
  <c r="Q194" i="5"/>
  <c r="S194" i="5"/>
  <c r="F195" i="5" a="1"/>
  <c r="F195" i="5" s="1"/>
  <c r="A196" i="5"/>
  <c r="X195" i="5"/>
  <c r="AA195" i="5"/>
  <c r="Y195" i="5"/>
  <c r="AC195" i="5" s="1"/>
  <c r="W195" i="5"/>
  <c r="Z195" i="5"/>
  <c r="D195" i="5" a="1"/>
  <c r="H195" i="5" a="1"/>
  <c r="M195" i="5" a="1"/>
  <c r="P195" i="5" a="1"/>
  <c r="G195" i="5" a="1"/>
  <c r="L195" i="5" a="1"/>
  <c r="K195" i="5" a="1"/>
  <c r="N195" i="5" a="1"/>
  <c r="J195" i="5" a="1"/>
  <c r="C195" i="5" a="1"/>
  <c r="O195" i="5" a="1"/>
  <c r="V194" i="5" l="1" a="1"/>
  <c r="V194" i="5" s="1"/>
  <c r="U194" i="5" a="1"/>
  <c r="U194" i="5" s="1"/>
  <c r="G195" i="5"/>
  <c r="D195" i="5"/>
  <c r="H195" i="5"/>
  <c r="C195" i="5"/>
  <c r="M195" i="5"/>
  <c r="O195" i="5"/>
  <c r="K195" i="5"/>
  <c r="J195" i="5"/>
  <c r="P195" i="5"/>
  <c r="L195" i="5"/>
  <c r="N195" i="5"/>
  <c r="B196" i="5"/>
  <c r="E196" i="5" a="1"/>
  <c r="E196" i="5" s="1"/>
  <c r="Z196" i="5" s="1"/>
  <c r="K196" i="5" a="1"/>
  <c r="A197" i="5" a="1"/>
  <c r="T195" i="5" l="1"/>
  <c r="K196" i="5"/>
  <c r="R195" i="5"/>
  <c r="F196" i="5" a="1"/>
  <c r="F196" i="5" s="1"/>
  <c r="Q195" i="5"/>
  <c r="S195" i="5"/>
  <c r="A197" i="5"/>
  <c r="X196" i="5"/>
  <c r="Y196" i="5"/>
  <c r="AC196" i="5" s="1"/>
  <c r="AB196" i="5"/>
  <c r="AA196" i="5"/>
  <c r="W196" i="5"/>
  <c r="M196" i="5" a="1"/>
  <c r="D196" i="5" a="1"/>
  <c r="I196" i="5" a="1"/>
  <c r="C196" i="5" a="1"/>
  <c r="G196" i="5" a="1"/>
  <c r="J196" i="5" a="1"/>
  <c r="H196" i="5" a="1"/>
  <c r="P196" i="5" a="1"/>
  <c r="O196" i="5" a="1"/>
  <c r="N196" i="5" a="1"/>
  <c r="L196" i="5" a="1"/>
  <c r="V195" i="5" l="1" a="1"/>
  <c r="V195" i="5" s="1"/>
  <c r="N196" i="5"/>
  <c r="M196" i="5"/>
  <c r="P196" i="5"/>
  <c r="O196" i="5"/>
  <c r="G196" i="5"/>
  <c r="C196" i="5"/>
  <c r="L196" i="5"/>
  <c r="I196" i="5"/>
  <c r="U195" i="5" a="1"/>
  <c r="U195" i="5" s="1"/>
  <c r="D196" i="5"/>
  <c r="H196" i="5"/>
  <c r="J196" i="5"/>
  <c r="E197" i="5" a="1"/>
  <c r="E197" i="5" s="1"/>
  <c r="X197" i="5" s="1"/>
  <c r="B197" i="5"/>
  <c r="A198" i="5" a="1"/>
  <c r="T196" i="5" l="1"/>
  <c r="R196" i="5"/>
  <c r="Q196" i="5"/>
  <c r="S196" i="5"/>
  <c r="F197" i="5" a="1"/>
  <c r="F197" i="5" s="1"/>
  <c r="A198" i="5"/>
  <c r="W197" i="5"/>
  <c r="AA197" i="5"/>
  <c r="Y197" i="5"/>
  <c r="AC197" i="5" s="1"/>
  <c r="Z197" i="5"/>
  <c r="AB197" i="5"/>
  <c r="H197" i="5" a="1"/>
  <c r="P197" i="5" a="1"/>
  <c r="O197" i="5" a="1"/>
  <c r="G197" i="5" a="1"/>
  <c r="I197" i="5" a="1"/>
  <c r="N197" i="5" a="1"/>
  <c r="K197" i="5" a="1"/>
  <c r="J197" i="5" a="1"/>
  <c r="D197" i="5" a="1"/>
  <c r="L197" i="5" a="1"/>
  <c r="M197" i="5" a="1"/>
  <c r="C197" i="5" a="1"/>
  <c r="V196" i="5" l="1" a="1"/>
  <c r="V196" i="5" s="1"/>
  <c r="U196" i="5" a="1"/>
  <c r="U196" i="5" s="1"/>
  <c r="L197" i="5"/>
  <c r="H197" i="5"/>
  <c r="K197" i="5"/>
  <c r="I197" i="5"/>
  <c r="O197" i="5"/>
  <c r="C197" i="5"/>
  <c r="M197" i="5"/>
  <c r="D197" i="5"/>
  <c r="N197" i="5"/>
  <c r="G197" i="5"/>
  <c r="J197" i="5"/>
  <c r="P197" i="5"/>
  <c r="B198" i="5"/>
  <c r="F198" i="5" s="1" a="1"/>
  <c r="F198" i="5" s="1"/>
  <c r="E198" i="5" a="1"/>
  <c r="E198" i="5" s="1"/>
  <c r="A199" i="5" a="1"/>
  <c r="T197" i="5" l="1"/>
  <c r="R197" i="5"/>
  <c r="Q197" i="5"/>
  <c r="S197" i="5"/>
  <c r="X198" i="5"/>
  <c r="A199" i="5"/>
  <c r="Y198" i="5"/>
  <c r="AC198" i="5" s="1"/>
  <c r="AB198" i="5"/>
  <c r="W198" i="5"/>
  <c r="Z198" i="5"/>
  <c r="AA198" i="5"/>
  <c r="O198" i="5" a="1"/>
  <c r="C198" i="5" a="1"/>
  <c r="H198" i="5" a="1"/>
  <c r="D198" i="5" a="1"/>
  <c r="J198" i="5" a="1"/>
  <c r="I198" i="5" a="1"/>
  <c r="P198" i="5" a="1"/>
  <c r="M198" i="5" a="1"/>
  <c r="K198" i="5" a="1"/>
  <c r="L198" i="5" a="1"/>
  <c r="G198" i="5" a="1"/>
  <c r="A200" i="5" a="1"/>
  <c r="N198" i="5" a="1"/>
  <c r="V197" i="5" l="1" a="1"/>
  <c r="V197" i="5" s="1"/>
  <c r="U197" i="5" a="1"/>
  <c r="U197" i="5" s="1"/>
  <c r="J198" i="5"/>
  <c r="H198" i="5"/>
  <c r="G198" i="5"/>
  <c r="K198" i="5"/>
  <c r="N198" i="5"/>
  <c r="C198" i="5"/>
  <c r="O198" i="5"/>
  <c r="L198" i="5"/>
  <c r="D198" i="5"/>
  <c r="P198" i="5"/>
  <c r="I198" i="5"/>
  <c r="M198" i="5"/>
  <c r="E199" i="5" a="1"/>
  <c r="E199" i="5" s="1"/>
  <c r="AB199" i="5" s="1"/>
  <c r="B199" i="5"/>
  <c r="F199" i="5" s="1" a="1"/>
  <c r="F199" i="5" s="1"/>
  <c r="A200" i="5"/>
  <c r="Q198" i="5" l="1"/>
  <c r="S198" i="5"/>
  <c r="R198" i="5"/>
  <c r="T198" i="5"/>
  <c r="Y199" i="5"/>
  <c r="AC199" i="5" s="1"/>
  <c r="AA199" i="5"/>
  <c r="W199" i="5"/>
  <c r="Z199" i="5"/>
  <c r="X199" i="5"/>
  <c r="B200" i="5"/>
  <c r="F200" i="5" s="1" a="1"/>
  <c r="F200" i="5" s="1"/>
  <c r="E200" i="5" a="1"/>
  <c r="E200" i="5" s="1"/>
  <c r="L199" i="5" a="1"/>
  <c r="P199" i="5" a="1"/>
  <c r="M199" i="5" a="1"/>
  <c r="J199" i="5" a="1"/>
  <c r="G199" i="5" a="1"/>
  <c r="D199" i="5" a="1"/>
  <c r="C199" i="5" a="1"/>
  <c r="N199" i="5" a="1"/>
  <c r="A201" i="5" a="1"/>
  <c r="H199" i="5" a="1"/>
  <c r="I199" i="5" a="1"/>
  <c r="K199" i="5" a="1"/>
  <c r="O199" i="5" a="1"/>
  <c r="U198" i="5" l="1" a="1"/>
  <c r="U198" i="5" s="1"/>
  <c r="V198" i="5" a="1"/>
  <c r="V198" i="5" s="1"/>
  <c r="H199" i="5"/>
  <c r="L199" i="5"/>
  <c r="D199" i="5"/>
  <c r="J199" i="5"/>
  <c r="I199" i="5"/>
  <c r="N199" i="5"/>
  <c r="C199" i="5"/>
  <c r="M199" i="5"/>
  <c r="O199" i="5"/>
  <c r="G199" i="5"/>
  <c r="K199" i="5"/>
  <c r="P199" i="5"/>
  <c r="X200" i="5"/>
  <c r="A201" i="5"/>
  <c r="AA200" i="5"/>
  <c r="Y200" i="5"/>
  <c r="AC200" i="5" s="1"/>
  <c r="AB200" i="5"/>
  <c r="W200" i="5"/>
  <c r="Z200" i="5"/>
  <c r="L200" i="5" a="1"/>
  <c r="J200" i="5" a="1"/>
  <c r="O200" i="5" a="1"/>
  <c r="M200" i="5" a="1"/>
  <c r="H200" i="5" a="1"/>
  <c r="C200" i="5" a="1"/>
  <c r="K200" i="5" a="1"/>
  <c r="I200" i="5" a="1"/>
  <c r="N200" i="5" a="1"/>
  <c r="D200" i="5" a="1"/>
  <c r="G200" i="5" a="1"/>
  <c r="P200" i="5" a="1"/>
  <c r="R199" i="5" l="1"/>
  <c r="G200" i="5"/>
  <c r="D200" i="5"/>
  <c r="M200" i="5"/>
  <c r="K200" i="5"/>
  <c r="P200" i="5"/>
  <c r="I200" i="5"/>
  <c r="C200" i="5"/>
  <c r="L200" i="5"/>
  <c r="H200" i="5"/>
  <c r="N200" i="5"/>
  <c r="O200" i="5"/>
  <c r="J200" i="5"/>
  <c r="S199" i="5"/>
  <c r="Q199" i="5"/>
  <c r="B201" i="5"/>
  <c r="F201" i="5" s="1" a="1"/>
  <c r="F201" i="5" s="1"/>
  <c r="E201" i="5" a="1"/>
  <c r="E201" i="5" s="1"/>
  <c r="T199" i="5"/>
  <c r="A202" i="5" a="1"/>
  <c r="U199" i="5" l="1" a="1"/>
  <c r="U199" i="5" s="1"/>
  <c r="T200" i="5"/>
  <c r="V199" i="5" a="1"/>
  <c r="V199" i="5" s="1"/>
  <c r="AB201" i="5"/>
  <c r="R200" i="5"/>
  <c r="Q200" i="5"/>
  <c r="S200" i="5"/>
  <c r="A202" i="5"/>
  <c r="W201" i="5"/>
  <c r="X201" i="5"/>
  <c r="AA201" i="5"/>
  <c r="Y201" i="5"/>
  <c r="AC201" i="5" s="1"/>
  <c r="Z201" i="5"/>
  <c r="M201" i="5" a="1"/>
  <c r="N201" i="5" a="1"/>
  <c r="J201" i="5" a="1"/>
  <c r="C201" i="5" a="1"/>
  <c r="I201" i="5" a="1"/>
  <c r="O201" i="5" a="1"/>
  <c r="L201" i="5" a="1"/>
  <c r="P201" i="5" a="1"/>
  <c r="K201" i="5" a="1"/>
  <c r="D201" i="5" a="1"/>
  <c r="H201" i="5" a="1"/>
  <c r="G201" i="5" a="1"/>
  <c r="V200" i="5" l="1" a="1"/>
  <c r="V200" i="5" s="1"/>
  <c r="I201" i="5"/>
  <c r="J201" i="5"/>
  <c r="C201" i="5"/>
  <c r="K201" i="5"/>
  <c r="L201" i="5"/>
  <c r="M201" i="5"/>
  <c r="P201" i="5"/>
  <c r="G201" i="5"/>
  <c r="O201" i="5"/>
  <c r="N201" i="5"/>
  <c r="H201" i="5"/>
  <c r="D201" i="5"/>
  <c r="E202" i="5" a="1"/>
  <c r="E202" i="5" s="1"/>
  <c r="B202" i="5"/>
  <c r="U200" i="5" a="1"/>
  <c r="U200" i="5" s="1"/>
  <c r="C202" i="5" a="1"/>
  <c r="A203" i="5" a="1"/>
  <c r="S201" i="5" l="1"/>
  <c r="R201" i="5"/>
  <c r="T201" i="5"/>
  <c r="Q201" i="5"/>
  <c r="C202" i="5"/>
  <c r="F202" i="5" a="1"/>
  <c r="F202" i="5" s="1"/>
  <c r="Z202" i="5"/>
  <c r="A203" i="5"/>
  <c r="X202" i="5"/>
  <c r="AB202" i="5"/>
  <c r="Y202" i="5"/>
  <c r="AC202" i="5" s="1"/>
  <c r="AA202" i="5"/>
  <c r="W202" i="5"/>
  <c r="N202" i="5" a="1"/>
  <c r="P202" i="5" a="1"/>
  <c r="D202" i="5" a="1"/>
  <c r="G202" i="5" a="1"/>
  <c r="J202" i="5" a="1"/>
  <c r="I202" i="5" a="1"/>
  <c r="O202" i="5" a="1"/>
  <c r="L202" i="5" a="1"/>
  <c r="H202" i="5" a="1"/>
  <c r="K202" i="5" a="1"/>
  <c r="M202" i="5" a="1"/>
  <c r="U201" i="5" l="1" a="1"/>
  <c r="U201" i="5" s="1"/>
  <c r="V201" i="5" a="1"/>
  <c r="V201" i="5" s="1"/>
  <c r="H202" i="5"/>
  <c r="L202" i="5"/>
  <c r="G202" i="5"/>
  <c r="M202" i="5"/>
  <c r="O202" i="5"/>
  <c r="D202" i="5"/>
  <c r="K202" i="5"/>
  <c r="N202" i="5"/>
  <c r="J202" i="5"/>
  <c r="I202" i="5"/>
  <c r="P202" i="5"/>
  <c r="B203" i="5"/>
  <c r="F203" i="5" s="1" a="1"/>
  <c r="F203" i="5" s="1"/>
  <c r="E203" i="5" a="1"/>
  <c r="E203" i="5" s="1"/>
  <c r="X203" i="5" s="1"/>
  <c r="A204" i="5" a="1"/>
  <c r="R202" i="5" l="1"/>
  <c r="T202" i="5"/>
  <c r="S202" i="5"/>
  <c r="Q202" i="5"/>
  <c r="A204" i="5"/>
  <c r="AA203" i="5"/>
  <c r="W203" i="5"/>
  <c r="Y203" i="5"/>
  <c r="AC203" i="5" s="1"/>
  <c r="Z203" i="5"/>
  <c r="AB203" i="5"/>
  <c r="I203" i="5" a="1"/>
  <c r="L203" i="5" a="1"/>
  <c r="O203" i="5" a="1"/>
  <c r="N203" i="5" a="1"/>
  <c r="G203" i="5" a="1"/>
  <c r="P203" i="5" a="1"/>
  <c r="C203" i="5" a="1"/>
  <c r="D203" i="5" a="1"/>
  <c r="H203" i="5" a="1"/>
  <c r="K203" i="5" a="1"/>
  <c r="M203" i="5" a="1"/>
  <c r="J203" i="5" a="1"/>
  <c r="U202" i="5" l="1" a="1"/>
  <c r="U202" i="5" s="1"/>
  <c r="V202" i="5" a="1"/>
  <c r="V202" i="5" s="1"/>
  <c r="K203" i="5"/>
  <c r="C203" i="5"/>
  <c r="D203" i="5"/>
  <c r="O203" i="5"/>
  <c r="P203" i="5"/>
  <c r="G203" i="5"/>
  <c r="J203" i="5"/>
  <c r="L203" i="5"/>
  <c r="H203" i="5"/>
  <c r="N203" i="5"/>
  <c r="M203" i="5"/>
  <c r="I203" i="5"/>
  <c r="B204" i="5"/>
  <c r="D204" i="5" s="1" a="1"/>
  <c r="E204" i="5" a="1"/>
  <c r="E204" i="5" s="1"/>
  <c r="A205" i="5" a="1"/>
  <c r="R203" i="5" l="1"/>
  <c r="Q203" i="5"/>
  <c r="D204" i="5"/>
  <c r="Z204" i="5"/>
  <c r="F204" i="5" a="1"/>
  <c r="F204" i="5" s="1"/>
  <c r="T203" i="5"/>
  <c r="S203" i="5"/>
  <c r="A205" i="5"/>
  <c r="X204" i="5"/>
  <c r="AA204" i="5"/>
  <c r="AB204" i="5"/>
  <c r="Y204" i="5"/>
  <c r="AC204" i="5" s="1"/>
  <c r="W204" i="5"/>
  <c r="K204" i="5" a="1"/>
  <c r="P204" i="5" a="1"/>
  <c r="J204" i="5" a="1"/>
  <c r="C204" i="5" a="1"/>
  <c r="O204" i="5" a="1"/>
  <c r="G204" i="5" a="1"/>
  <c r="I204" i="5" a="1"/>
  <c r="L204" i="5" a="1"/>
  <c r="H204" i="5" a="1"/>
  <c r="M204" i="5" a="1"/>
  <c r="N204" i="5" a="1"/>
  <c r="U203" i="5" l="1" a="1"/>
  <c r="U203" i="5" s="1"/>
  <c r="V203" i="5" a="1"/>
  <c r="V203" i="5" s="1"/>
  <c r="J204" i="5"/>
  <c r="P204" i="5"/>
  <c r="I204" i="5"/>
  <c r="C204" i="5"/>
  <c r="K204" i="5"/>
  <c r="L204" i="5"/>
  <c r="O204" i="5"/>
  <c r="H204" i="5"/>
  <c r="G204" i="5"/>
  <c r="M204" i="5"/>
  <c r="N204" i="5"/>
  <c r="E205" i="5" a="1"/>
  <c r="E205" i="5" s="1"/>
  <c r="W205" i="5" s="1"/>
  <c r="B205" i="5"/>
  <c r="A206" i="5" a="1"/>
  <c r="T204" i="5" l="1"/>
  <c r="Q204" i="5"/>
  <c r="S204" i="5"/>
  <c r="F205" i="5" a="1"/>
  <c r="F205" i="5" s="1"/>
  <c r="R204" i="5"/>
  <c r="A206" i="5"/>
  <c r="AB205" i="5"/>
  <c r="X205" i="5"/>
  <c r="AA205" i="5"/>
  <c r="Z205" i="5"/>
  <c r="Y205" i="5"/>
  <c r="AC205" i="5" s="1"/>
  <c r="O205" i="5" a="1"/>
  <c r="L205" i="5" a="1"/>
  <c r="C205" i="5" a="1"/>
  <c r="M205" i="5" a="1"/>
  <c r="P205" i="5" a="1"/>
  <c r="K205" i="5" a="1"/>
  <c r="H205" i="5" a="1"/>
  <c r="I205" i="5" a="1"/>
  <c r="D205" i="5" a="1"/>
  <c r="N205" i="5" a="1"/>
  <c r="J205" i="5" a="1"/>
  <c r="G205" i="5" a="1"/>
  <c r="V204" i="5" l="1" a="1"/>
  <c r="V204" i="5" s="1"/>
  <c r="C205" i="5"/>
  <c r="K205" i="5"/>
  <c r="D205" i="5"/>
  <c r="G205" i="5"/>
  <c r="J205" i="5"/>
  <c r="H205" i="5"/>
  <c r="N205" i="5"/>
  <c r="I205" i="5"/>
  <c r="O205" i="5"/>
  <c r="P205" i="5"/>
  <c r="M205" i="5"/>
  <c r="L205" i="5"/>
  <c r="B206" i="5"/>
  <c r="F206" i="5" s="1" a="1"/>
  <c r="F206" i="5" s="1"/>
  <c r="E206" i="5" a="1"/>
  <c r="E206" i="5" s="1"/>
  <c r="Z206" i="5" s="1"/>
  <c r="U204" i="5" a="1"/>
  <c r="U204" i="5" s="1"/>
  <c r="A207" i="5" a="1"/>
  <c r="T205" i="5" l="1"/>
  <c r="R205" i="5"/>
  <c r="Q205" i="5"/>
  <c r="S205" i="5"/>
  <c r="A207" i="5"/>
  <c r="X206" i="5"/>
  <c r="Y206" i="5"/>
  <c r="AC206" i="5" s="1"/>
  <c r="AB206" i="5"/>
  <c r="AA206" i="5"/>
  <c r="W206" i="5"/>
  <c r="P206" i="5" a="1"/>
  <c r="O206" i="5" a="1"/>
  <c r="D206" i="5" a="1"/>
  <c r="N206" i="5" a="1"/>
  <c r="H206" i="5" a="1"/>
  <c r="C206" i="5" a="1"/>
  <c r="I206" i="5" a="1"/>
  <c r="G206" i="5" a="1"/>
  <c r="M206" i="5" a="1"/>
  <c r="J206" i="5" a="1"/>
  <c r="L206" i="5" a="1"/>
  <c r="K206" i="5" a="1"/>
  <c r="V205" i="5" l="1" a="1"/>
  <c r="V205" i="5" s="1"/>
  <c r="D206" i="5"/>
  <c r="M206" i="5"/>
  <c r="K206" i="5"/>
  <c r="C206" i="5"/>
  <c r="J206" i="5"/>
  <c r="O206" i="5"/>
  <c r="G206" i="5"/>
  <c r="U205" i="5" a="1"/>
  <c r="U205" i="5" s="1"/>
  <c r="N206" i="5"/>
  <c r="H206" i="5"/>
  <c r="L206" i="5"/>
  <c r="P206" i="5"/>
  <c r="I206" i="5"/>
  <c r="E207" i="5" a="1"/>
  <c r="E207" i="5" s="1"/>
  <c r="AB207" i="5" s="1"/>
  <c r="B207" i="5"/>
  <c r="F207" i="5" s="1" a="1"/>
  <c r="F207" i="5" s="1"/>
  <c r="A208" i="5" a="1"/>
  <c r="S206" i="5" l="1"/>
  <c r="Q206" i="5"/>
  <c r="R206" i="5"/>
  <c r="T206" i="5"/>
  <c r="A208" i="5"/>
  <c r="X207" i="5"/>
  <c r="W207" i="5"/>
  <c r="AA207" i="5"/>
  <c r="Y207" i="5"/>
  <c r="AC207" i="5" s="1"/>
  <c r="Z207" i="5"/>
  <c r="I207" i="5" a="1"/>
  <c r="C207" i="5" a="1"/>
  <c r="O207" i="5" a="1"/>
  <c r="G207" i="5" a="1"/>
  <c r="L207" i="5" a="1"/>
  <c r="P207" i="5" a="1"/>
  <c r="M207" i="5" a="1"/>
  <c r="D207" i="5" a="1"/>
  <c r="J207" i="5" a="1"/>
  <c r="N207" i="5" a="1"/>
  <c r="K207" i="5" a="1"/>
  <c r="H207" i="5" a="1"/>
  <c r="U206" i="5" l="1" a="1"/>
  <c r="U206" i="5" s="1"/>
  <c r="V206" i="5" a="1"/>
  <c r="V206" i="5" s="1"/>
  <c r="J207" i="5"/>
  <c r="N207" i="5"/>
  <c r="H207" i="5"/>
  <c r="I207" i="5"/>
  <c r="D207" i="5"/>
  <c r="C207" i="5"/>
  <c r="G207" i="5"/>
  <c r="O207" i="5"/>
  <c r="M207" i="5"/>
  <c r="L207" i="5"/>
  <c r="K207" i="5"/>
  <c r="P207" i="5"/>
  <c r="B208" i="5"/>
  <c r="F208" i="5" s="1" a="1"/>
  <c r="F208" i="5" s="1"/>
  <c r="E208" i="5" a="1"/>
  <c r="E208" i="5" s="1"/>
  <c r="Z208" i="5" s="1"/>
  <c r="A209" i="5" a="1"/>
  <c r="R207" i="5" l="1"/>
  <c r="T207" i="5"/>
  <c r="Q207" i="5"/>
  <c r="S207" i="5"/>
  <c r="A209" i="5"/>
  <c r="X208" i="5"/>
  <c r="Y208" i="5"/>
  <c r="AC208" i="5" s="1"/>
  <c r="AB208" i="5"/>
  <c r="AA208" i="5"/>
  <c r="W208" i="5"/>
  <c r="M208" i="5" a="1"/>
  <c r="N208" i="5" a="1"/>
  <c r="K208" i="5" a="1"/>
  <c r="J208" i="5" a="1"/>
  <c r="G208" i="5" a="1"/>
  <c r="D208" i="5" a="1"/>
  <c r="C208" i="5" a="1"/>
  <c r="L208" i="5" a="1"/>
  <c r="O208" i="5" a="1"/>
  <c r="I208" i="5" a="1"/>
  <c r="H208" i="5" a="1"/>
  <c r="P208" i="5" a="1"/>
  <c r="U207" i="5" l="1" a="1"/>
  <c r="U207" i="5" s="1"/>
  <c r="J208" i="5"/>
  <c r="L208" i="5"/>
  <c r="K208" i="5"/>
  <c r="P208" i="5"/>
  <c r="I208" i="5"/>
  <c r="M208" i="5"/>
  <c r="C208" i="5"/>
  <c r="D208" i="5"/>
  <c r="G208" i="5"/>
  <c r="O208" i="5"/>
  <c r="V207" i="5" a="1"/>
  <c r="V207" i="5" s="1"/>
  <c r="N208" i="5"/>
  <c r="H208" i="5"/>
  <c r="B209" i="5"/>
  <c r="E209" i="5" a="1"/>
  <c r="E209" i="5" s="1"/>
  <c r="AB209" i="5" s="1"/>
  <c r="A210" i="5" a="1"/>
  <c r="O209" i="5" a="1"/>
  <c r="Q208" i="5" l="1"/>
  <c r="R208" i="5"/>
  <c r="T208" i="5"/>
  <c r="S208" i="5"/>
  <c r="O209" i="5"/>
  <c r="F209" i="5" a="1"/>
  <c r="F209" i="5" s="1"/>
  <c r="A210" i="5"/>
  <c r="AA209" i="5"/>
  <c r="X209" i="5"/>
  <c r="Y209" i="5"/>
  <c r="AC209" i="5" s="1"/>
  <c r="W209" i="5"/>
  <c r="Z209" i="5"/>
  <c r="K209" i="5" a="1"/>
  <c r="C209" i="5" a="1"/>
  <c r="J209" i="5" a="1"/>
  <c r="P209" i="5" a="1"/>
  <c r="H209" i="5" a="1"/>
  <c r="N209" i="5" a="1"/>
  <c r="I209" i="5" a="1"/>
  <c r="M209" i="5" a="1"/>
  <c r="G209" i="5" a="1"/>
  <c r="L209" i="5" a="1"/>
  <c r="D209" i="5" a="1"/>
  <c r="U208" i="5" l="1" a="1"/>
  <c r="U208" i="5" s="1"/>
  <c r="V208" i="5" a="1"/>
  <c r="V208" i="5" s="1"/>
  <c r="K209" i="5"/>
  <c r="P209" i="5"/>
  <c r="M209" i="5"/>
  <c r="I209" i="5"/>
  <c r="J209" i="5"/>
  <c r="G209" i="5"/>
  <c r="N209" i="5"/>
  <c r="C209" i="5"/>
  <c r="H209" i="5"/>
  <c r="D209" i="5"/>
  <c r="L209" i="5"/>
  <c r="Q209" i="5" s="1"/>
  <c r="E210" i="5" a="1"/>
  <c r="E210" i="5" s="1"/>
  <c r="B210" i="5"/>
  <c r="N210" i="5" s="1" a="1"/>
  <c r="A211" i="5" a="1"/>
  <c r="N210" i="5" l="1"/>
  <c r="F210" i="5" a="1"/>
  <c r="F210" i="5" s="1"/>
  <c r="T209" i="5"/>
  <c r="S209" i="5"/>
  <c r="R209" i="5"/>
  <c r="U209" i="5" s="1" a="1"/>
  <c r="U209" i="5" s="1"/>
  <c r="Z210" i="5"/>
  <c r="A211" i="5"/>
  <c r="X210" i="5"/>
  <c r="AB210" i="5"/>
  <c r="Y210" i="5"/>
  <c r="AC210" i="5" s="1"/>
  <c r="AA210" i="5"/>
  <c r="W210" i="5"/>
  <c r="D210" i="5" a="1"/>
  <c r="I210" i="5" a="1"/>
  <c r="H210" i="5" a="1"/>
  <c r="M210" i="5" a="1"/>
  <c r="P210" i="5" a="1"/>
  <c r="C210" i="5" a="1"/>
  <c r="J210" i="5" a="1"/>
  <c r="K210" i="5" a="1"/>
  <c r="L210" i="5" a="1"/>
  <c r="O210" i="5" a="1"/>
  <c r="G210" i="5" a="1"/>
  <c r="V209" i="5" l="1" a="1"/>
  <c r="V209" i="5" s="1"/>
  <c r="D210" i="5"/>
  <c r="H210" i="5"/>
  <c r="G210" i="5"/>
  <c r="C210" i="5"/>
  <c r="M210" i="5"/>
  <c r="P210" i="5"/>
  <c r="K210" i="5"/>
  <c r="J210" i="5"/>
  <c r="O210" i="5"/>
  <c r="L210" i="5"/>
  <c r="I210" i="5"/>
  <c r="B211" i="5"/>
  <c r="F211" i="5" s="1" a="1"/>
  <c r="F211" i="5" s="1"/>
  <c r="E211" i="5" a="1"/>
  <c r="E211" i="5" s="1"/>
  <c r="AB211" i="5" s="1"/>
  <c r="A212" i="5" a="1"/>
  <c r="R210" i="5" l="1"/>
  <c r="T210" i="5"/>
  <c r="Q210" i="5"/>
  <c r="S210" i="5"/>
  <c r="A212" i="5"/>
  <c r="X211" i="5"/>
  <c r="AA211" i="5"/>
  <c r="Y211" i="5"/>
  <c r="AC211" i="5" s="1"/>
  <c r="W211" i="5"/>
  <c r="Z211" i="5"/>
  <c r="M211" i="5" a="1"/>
  <c r="H211" i="5" a="1"/>
  <c r="I211" i="5" a="1"/>
  <c r="L211" i="5" a="1"/>
  <c r="C211" i="5" a="1"/>
  <c r="N211" i="5" a="1"/>
  <c r="K211" i="5" a="1"/>
  <c r="D211" i="5" a="1"/>
  <c r="G211" i="5" a="1"/>
  <c r="O211" i="5" a="1"/>
  <c r="P211" i="5" a="1"/>
  <c r="J211" i="5" a="1"/>
  <c r="U210" i="5" l="1" a="1"/>
  <c r="U210" i="5" s="1"/>
  <c r="O211" i="5"/>
  <c r="I211" i="5"/>
  <c r="K211" i="5"/>
  <c r="D211" i="5"/>
  <c r="J211" i="5"/>
  <c r="P211" i="5"/>
  <c r="G211" i="5"/>
  <c r="H211" i="5"/>
  <c r="L211" i="5"/>
  <c r="C211" i="5"/>
  <c r="V210" i="5" a="1"/>
  <c r="V210" i="5" s="1"/>
  <c r="N211" i="5"/>
  <c r="M211" i="5"/>
  <c r="B212" i="5"/>
  <c r="E212" i="5" a="1"/>
  <c r="E212" i="5" s="1"/>
  <c r="A213" i="5" a="1"/>
  <c r="J212" i="5" a="1"/>
  <c r="Q211" i="5" l="1"/>
  <c r="R211" i="5"/>
  <c r="J212" i="5"/>
  <c r="T211" i="5"/>
  <c r="S211" i="5"/>
  <c r="F212" i="5" a="1"/>
  <c r="F212" i="5" s="1"/>
  <c r="Z212" i="5"/>
  <c r="X212" i="5"/>
  <c r="A213" i="5"/>
  <c r="AB212" i="5"/>
  <c r="Y212" i="5"/>
  <c r="AC212" i="5" s="1"/>
  <c r="AA212" i="5"/>
  <c r="W212" i="5"/>
  <c r="H212" i="5" a="1"/>
  <c r="N212" i="5" a="1"/>
  <c r="C212" i="5" a="1"/>
  <c r="P212" i="5" a="1"/>
  <c r="D212" i="5" a="1"/>
  <c r="I212" i="5" a="1"/>
  <c r="O212" i="5" a="1"/>
  <c r="L212" i="5" a="1"/>
  <c r="K212" i="5" a="1"/>
  <c r="M212" i="5" a="1"/>
  <c r="G212" i="5" a="1"/>
  <c r="U211" i="5" l="1" a="1"/>
  <c r="U211" i="5" s="1"/>
  <c r="V211" i="5" a="1"/>
  <c r="V211" i="5" s="1"/>
  <c r="M212" i="5"/>
  <c r="H212" i="5"/>
  <c r="G212" i="5"/>
  <c r="I212" i="5"/>
  <c r="C212" i="5"/>
  <c r="K212" i="5"/>
  <c r="D212" i="5"/>
  <c r="L212" i="5"/>
  <c r="P212" i="5"/>
  <c r="O212" i="5"/>
  <c r="N212" i="5"/>
  <c r="E213" i="5" a="1"/>
  <c r="E213" i="5" s="1"/>
  <c r="AB213" i="5" s="1"/>
  <c r="B213" i="5"/>
  <c r="A214" i="5" a="1"/>
  <c r="F213" i="5" l="1" a="1"/>
  <c r="F213" i="5" s="1"/>
  <c r="S212" i="5"/>
  <c r="Q212" i="5"/>
  <c r="R212" i="5"/>
  <c r="T212" i="5"/>
  <c r="A214" i="5"/>
  <c r="W213" i="5"/>
  <c r="AA213" i="5"/>
  <c r="X213" i="5"/>
  <c r="Y213" i="5"/>
  <c r="AC213" i="5" s="1"/>
  <c r="Z213" i="5"/>
  <c r="D213" i="5" a="1"/>
  <c r="M213" i="5" a="1"/>
  <c r="L213" i="5" a="1"/>
  <c r="O213" i="5" a="1"/>
  <c r="G213" i="5" a="1"/>
  <c r="J213" i="5" a="1"/>
  <c r="I213" i="5" a="1"/>
  <c r="C213" i="5" a="1"/>
  <c r="H213" i="5" a="1"/>
  <c r="K213" i="5" a="1"/>
  <c r="P213" i="5" a="1"/>
  <c r="N213" i="5" a="1"/>
  <c r="K213" i="5" l="1"/>
  <c r="C213" i="5"/>
  <c r="P213" i="5"/>
  <c r="G213" i="5"/>
  <c r="H213" i="5"/>
  <c r="I213" i="5"/>
  <c r="O213" i="5"/>
  <c r="L213" i="5"/>
  <c r="M213" i="5"/>
  <c r="N213" i="5"/>
  <c r="D213" i="5"/>
  <c r="J213" i="5"/>
  <c r="B214" i="5"/>
  <c r="D214" i="5" s="1" a="1"/>
  <c r="E214" i="5" a="1"/>
  <c r="E214" i="5" s="1"/>
  <c r="U212" i="5" a="1"/>
  <c r="U212" i="5" s="1"/>
  <c r="V212" i="5" a="1"/>
  <c r="V212" i="5" s="1"/>
  <c r="A215" i="5" a="1"/>
  <c r="T213" i="5" l="1"/>
  <c r="D214" i="5"/>
  <c r="Q213" i="5"/>
  <c r="S213" i="5"/>
  <c r="F214" i="5" a="1"/>
  <c r="F214" i="5" s="1"/>
  <c r="Z214" i="5"/>
  <c r="R213" i="5"/>
  <c r="A215" i="5"/>
  <c r="AA214" i="5"/>
  <c r="Y214" i="5"/>
  <c r="AC214" i="5" s="1"/>
  <c r="X214" i="5"/>
  <c r="AB214" i="5"/>
  <c r="W214" i="5"/>
  <c r="C214" i="5" a="1"/>
  <c r="L214" i="5" a="1"/>
  <c r="M214" i="5" a="1"/>
  <c r="H214" i="5" a="1"/>
  <c r="G214" i="5" a="1"/>
  <c r="J214" i="5" a="1"/>
  <c r="I214" i="5" a="1"/>
  <c r="K214" i="5" a="1"/>
  <c r="P214" i="5" a="1"/>
  <c r="N214" i="5" a="1"/>
  <c r="O214" i="5" a="1"/>
  <c r="V213" i="5" l="1" a="1"/>
  <c r="V213" i="5" s="1"/>
  <c r="I214" i="5"/>
  <c r="H214" i="5"/>
  <c r="C214" i="5"/>
  <c r="K214" i="5"/>
  <c r="G214" i="5"/>
  <c r="J214" i="5"/>
  <c r="L214" i="5"/>
  <c r="P214" i="5"/>
  <c r="O214" i="5"/>
  <c r="M214" i="5"/>
  <c r="N214" i="5"/>
  <c r="U213" i="5" a="1"/>
  <c r="U213" i="5" s="1"/>
  <c r="E215" i="5" a="1"/>
  <c r="E215" i="5" s="1"/>
  <c r="B215" i="5"/>
  <c r="A216" i="5" a="1"/>
  <c r="H215" i="5" a="1"/>
  <c r="R214" i="5" l="1"/>
  <c r="T214" i="5"/>
  <c r="H215" i="5"/>
  <c r="S214" i="5"/>
  <c r="Q214" i="5"/>
  <c r="AB215" i="5"/>
  <c r="F215" i="5" a="1"/>
  <c r="F215" i="5" s="1"/>
  <c r="A216" i="5"/>
  <c r="Z215" i="5"/>
  <c r="X215" i="5"/>
  <c r="AA215" i="5"/>
  <c r="Y215" i="5"/>
  <c r="AC215" i="5" s="1"/>
  <c r="W215" i="5"/>
  <c r="N215" i="5" a="1"/>
  <c r="C215" i="5" a="1"/>
  <c r="G215" i="5" a="1"/>
  <c r="K215" i="5" a="1"/>
  <c r="D215" i="5" a="1"/>
  <c r="P215" i="5" a="1"/>
  <c r="J215" i="5" a="1"/>
  <c r="O215" i="5" a="1"/>
  <c r="I215" i="5" a="1"/>
  <c r="M215" i="5" a="1"/>
  <c r="L215" i="5" a="1"/>
  <c r="U214" i="5" l="1" a="1"/>
  <c r="U214" i="5" s="1"/>
  <c r="V214" i="5" a="1"/>
  <c r="V214" i="5" s="1"/>
  <c r="M215" i="5"/>
  <c r="K215" i="5"/>
  <c r="N215" i="5"/>
  <c r="C215" i="5"/>
  <c r="P215" i="5"/>
  <c r="L215" i="5"/>
  <c r="G215" i="5"/>
  <c r="D215" i="5"/>
  <c r="I215" i="5"/>
  <c r="J215" i="5"/>
  <c r="O215" i="5"/>
  <c r="B216" i="5"/>
  <c r="F216" i="5" s="1" a="1"/>
  <c r="F216" i="5" s="1"/>
  <c r="E216" i="5" a="1"/>
  <c r="E216" i="5" s="1"/>
  <c r="X216" i="5" s="1"/>
  <c r="A217" i="5" a="1"/>
  <c r="R215" i="5" l="1"/>
  <c r="S215" i="5"/>
  <c r="Q215" i="5"/>
  <c r="T215" i="5"/>
  <c r="A217" i="5"/>
  <c r="AB216" i="5"/>
  <c r="Y216" i="5"/>
  <c r="AC216" i="5" s="1"/>
  <c r="AA216" i="5"/>
  <c r="W216" i="5"/>
  <c r="Z216" i="5"/>
  <c r="K216" i="5" a="1"/>
  <c r="G216" i="5" a="1"/>
  <c r="C216" i="5" a="1"/>
  <c r="L216" i="5" a="1"/>
  <c r="H216" i="5" a="1"/>
  <c r="N216" i="5" a="1"/>
  <c r="P216" i="5" a="1"/>
  <c r="M216" i="5" a="1"/>
  <c r="J216" i="5" a="1"/>
  <c r="O216" i="5" a="1"/>
  <c r="D216" i="5" a="1"/>
  <c r="I216" i="5" a="1"/>
  <c r="U215" i="5" l="1" a="1"/>
  <c r="U215" i="5" s="1"/>
  <c r="G216" i="5"/>
  <c r="K216" i="5"/>
  <c r="P216" i="5"/>
  <c r="I216" i="5"/>
  <c r="C216" i="5"/>
  <c r="L216" i="5"/>
  <c r="D216" i="5"/>
  <c r="N216" i="5"/>
  <c r="M216" i="5"/>
  <c r="O216" i="5"/>
  <c r="H216" i="5"/>
  <c r="J216" i="5"/>
  <c r="B217" i="5"/>
  <c r="E217" i="5" a="1"/>
  <c r="E217" i="5" s="1"/>
  <c r="V215" i="5" a="1"/>
  <c r="V215" i="5" s="1"/>
  <c r="A218" i="5" a="1"/>
  <c r="D217" i="5" a="1"/>
  <c r="T216" i="5" l="1"/>
  <c r="D217" i="5"/>
  <c r="F217" i="5" a="1"/>
  <c r="F217" i="5" s="1"/>
  <c r="X217" i="5"/>
  <c r="R216" i="5"/>
  <c r="S216" i="5"/>
  <c r="Q216" i="5"/>
  <c r="A218" i="5"/>
  <c r="W217" i="5"/>
  <c r="AA217" i="5"/>
  <c r="Y217" i="5"/>
  <c r="AC217" i="5" s="1"/>
  <c r="Z217" i="5"/>
  <c r="AB217" i="5"/>
  <c r="C217" i="5" a="1"/>
  <c r="P217" i="5" a="1"/>
  <c r="K217" i="5" a="1"/>
  <c r="M217" i="5" a="1"/>
  <c r="O217" i="5" a="1"/>
  <c r="G217" i="5" a="1"/>
  <c r="N217" i="5" a="1"/>
  <c r="L217" i="5" a="1"/>
  <c r="I217" i="5" a="1"/>
  <c r="H217" i="5" a="1"/>
  <c r="J217" i="5" a="1"/>
  <c r="V216" i="5" l="1" a="1"/>
  <c r="V216" i="5" s="1"/>
  <c r="I217" i="5"/>
  <c r="C217" i="5"/>
  <c r="O217" i="5"/>
  <c r="J217" i="5"/>
  <c r="L217" i="5"/>
  <c r="M217" i="5"/>
  <c r="H217" i="5"/>
  <c r="N217" i="5"/>
  <c r="K217" i="5"/>
  <c r="P217" i="5"/>
  <c r="G217" i="5"/>
  <c r="E218" i="5" a="1"/>
  <c r="E218" i="5" s="1"/>
  <c r="B218" i="5"/>
  <c r="J218" i="5" s="1" a="1"/>
  <c r="U216" i="5" a="1"/>
  <c r="U216" i="5" s="1"/>
  <c r="A219" i="5" a="1"/>
  <c r="T217" i="5" l="1"/>
  <c r="J218" i="5"/>
  <c r="F218" i="5" a="1"/>
  <c r="F218" i="5" s="1"/>
  <c r="S217" i="5"/>
  <c r="Q217" i="5"/>
  <c r="Z218" i="5"/>
  <c r="R217" i="5"/>
  <c r="A219" i="5"/>
  <c r="X218" i="5"/>
  <c r="AB218" i="5"/>
  <c r="Y218" i="5"/>
  <c r="AC218" i="5" s="1"/>
  <c r="AA218" i="5"/>
  <c r="W218" i="5"/>
  <c r="D218" i="5" a="1"/>
  <c r="M218" i="5" a="1"/>
  <c r="L218" i="5" a="1"/>
  <c r="I218" i="5" a="1"/>
  <c r="H218" i="5" a="1"/>
  <c r="C218" i="5" a="1"/>
  <c r="K218" i="5" a="1"/>
  <c r="O218" i="5" a="1"/>
  <c r="G218" i="5" a="1"/>
  <c r="N218" i="5" a="1"/>
  <c r="P218" i="5" a="1"/>
  <c r="V217" i="5" l="1" a="1"/>
  <c r="V217" i="5" s="1"/>
  <c r="L218" i="5"/>
  <c r="M218" i="5"/>
  <c r="C218" i="5"/>
  <c r="P218" i="5"/>
  <c r="I218" i="5"/>
  <c r="O218" i="5"/>
  <c r="K218" i="5"/>
  <c r="D218" i="5"/>
  <c r="N218" i="5"/>
  <c r="G218" i="5"/>
  <c r="H218" i="5"/>
  <c r="B219" i="5"/>
  <c r="F219" i="5" s="1" a="1"/>
  <c r="F219" i="5" s="1"/>
  <c r="E219" i="5" a="1"/>
  <c r="E219" i="5" s="1"/>
  <c r="AB219" i="5" s="1"/>
  <c r="U217" i="5" a="1"/>
  <c r="U217" i="5" s="1"/>
  <c r="A220" i="5" a="1"/>
  <c r="R218" i="5" l="1"/>
  <c r="S218" i="5"/>
  <c r="Q218" i="5"/>
  <c r="T218" i="5"/>
  <c r="X219" i="5"/>
  <c r="Z219" i="5"/>
  <c r="A220" i="5"/>
  <c r="AA219" i="5"/>
  <c r="Y219" i="5"/>
  <c r="AC219" i="5" s="1"/>
  <c r="W219" i="5"/>
  <c r="H219" i="5" a="1"/>
  <c r="C219" i="5" a="1"/>
  <c r="O219" i="5" a="1"/>
  <c r="J219" i="5" a="1"/>
  <c r="M219" i="5" a="1"/>
  <c r="P219" i="5" a="1"/>
  <c r="N219" i="5" a="1"/>
  <c r="D219" i="5" a="1"/>
  <c r="K219" i="5" a="1"/>
  <c r="L219" i="5" a="1"/>
  <c r="G219" i="5" a="1"/>
  <c r="I219" i="5" a="1"/>
  <c r="G219" i="5" l="1"/>
  <c r="N219" i="5"/>
  <c r="O219" i="5"/>
  <c r="K219" i="5"/>
  <c r="D219" i="5"/>
  <c r="P219" i="5"/>
  <c r="J219" i="5"/>
  <c r="H219" i="5"/>
  <c r="L219" i="5"/>
  <c r="C219" i="5"/>
  <c r="U218" i="5" a="1"/>
  <c r="U218" i="5" s="1"/>
  <c r="M219" i="5"/>
  <c r="I219" i="5"/>
  <c r="B220" i="5"/>
  <c r="E220" i="5" a="1"/>
  <c r="E220" i="5" s="1"/>
  <c r="V218" i="5" a="1"/>
  <c r="V218" i="5" s="1"/>
  <c r="A221" i="5" a="1"/>
  <c r="O220" i="5" a="1"/>
  <c r="Q219" i="5" l="1"/>
  <c r="R219" i="5"/>
  <c r="O220" i="5"/>
  <c r="Z220" i="5"/>
  <c r="F220" i="5" a="1"/>
  <c r="F220" i="5" s="1"/>
  <c r="T219" i="5"/>
  <c r="S219" i="5"/>
  <c r="A221" i="5"/>
  <c r="AA220" i="5"/>
  <c r="X220" i="5"/>
  <c r="Y220" i="5"/>
  <c r="AC220" i="5" s="1"/>
  <c r="AB220" i="5"/>
  <c r="W220" i="5"/>
  <c r="C220" i="5" a="1"/>
  <c r="I220" i="5" a="1"/>
  <c r="H220" i="5" a="1"/>
  <c r="L220" i="5" a="1"/>
  <c r="K220" i="5" a="1"/>
  <c r="M220" i="5" a="1"/>
  <c r="G220" i="5" a="1"/>
  <c r="N220" i="5" a="1"/>
  <c r="D220" i="5" a="1"/>
  <c r="J220" i="5" a="1"/>
  <c r="P220" i="5" a="1"/>
  <c r="U219" i="5" l="1" a="1"/>
  <c r="U219" i="5" s="1"/>
  <c r="V219" i="5" a="1"/>
  <c r="V219" i="5" s="1"/>
  <c r="P220" i="5"/>
  <c r="C220" i="5"/>
  <c r="G220" i="5"/>
  <c r="H220" i="5"/>
  <c r="D220" i="5"/>
  <c r="I220" i="5"/>
  <c r="L220" i="5"/>
  <c r="Q220" i="5" s="1"/>
  <c r="K220" i="5"/>
  <c r="N220" i="5"/>
  <c r="M220" i="5"/>
  <c r="J220" i="5"/>
  <c r="E221" i="5" a="1"/>
  <c r="E221" i="5" s="1"/>
  <c r="AB221" i="5" s="1"/>
  <c r="B221" i="5"/>
  <c r="A222" i="5" a="1"/>
  <c r="T220" i="5" l="1"/>
  <c r="S220" i="5"/>
  <c r="F221" i="5" a="1"/>
  <c r="F221" i="5" s="1"/>
  <c r="R220" i="5"/>
  <c r="U220" i="5" s="1" a="1"/>
  <c r="U220" i="5" s="1"/>
  <c r="A222" i="5"/>
  <c r="X221" i="5"/>
  <c r="AA221" i="5"/>
  <c r="Y221" i="5"/>
  <c r="AC221" i="5" s="1"/>
  <c r="W221" i="5"/>
  <c r="Z221" i="5"/>
  <c r="P221" i="5" a="1"/>
  <c r="D221" i="5" a="1"/>
  <c r="M221" i="5" a="1"/>
  <c r="G221" i="5" a="1"/>
  <c r="N221" i="5" a="1"/>
  <c r="I221" i="5" a="1"/>
  <c r="C221" i="5" a="1"/>
  <c r="J221" i="5" a="1"/>
  <c r="H221" i="5" a="1"/>
  <c r="L221" i="5" a="1"/>
  <c r="K221" i="5" a="1"/>
  <c r="O221" i="5" a="1"/>
  <c r="V220" i="5" l="1" a="1"/>
  <c r="V220" i="5" s="1"/>
  <c r="M221" i="5"/>
  <c r="K221" i="5"/>
  <c r="G221" i="5"/>
  <c r="N221" i="5"/>
  <c r="C221" i="5"/>
  <c r="L221" i="5"/>
  <c r="J221" i="5"/>
  <c r="I221" i="5"/>
  <c r="P221" i="5"/>
  <c r="O221" i="5"/>
  <c r="H221" i="5"/>
  <c r="D221" i="5"/>
  <c r="B222" i="5"/>
  <c r="F222" i="5" s="1" a="1"/>
  <c r="F222" i="5" s="1"/>
  <c r="E222" i="5" a="1"/>
  <c r="E222" i="5" s="1"/>
  <c r="Z222" i="5" s="1"/>
  <c r="A223" i="5" a="1"/>
  <c r="Q221" i="5" l="1"/>
  <c r="S221" i="5"/>
  <c r="R221" i="5"/>
  <c r="T221" i="5"/>
  <c r="X222" i="5"/>
  <c r="A223" i="5"/>
  <c r="A224" i="5" s="1" a="1"/>
  <c r="Y222" i="5"/>
  <c r="AC222" i="5" s="1"/>
  <c r="AB222" i="5"/>
  <c r="AA222" i="5"/>
  <c r="W222" i="5"/>
  <c r="H222" i="5" a="1"/>
  <c r="M222" i="5" a="1"/>
  <c r="O222" i="5" a="1"/>
  <c r="L222" i="5" a="1"/>
  <c r="C222" i="5" a="1"/>
  <c r="K222" i="5" a="1"/>
  <c r="J222" i="5" a="1"/>
  <c r="N222" i="5" a="1"/>
  <c r="D222" i="5" a="1"/>
  <c r="I222" i="5" a="1"/>
  <c r="G222" i="5" a="1"/>
  <c r="P222" i="5" a="1"/>
  <c r="O222" i="5" l="1"/>
  <c r="I222" i="5"/>
  <c r="L222" i="5"/>
  <c r="D222" i="5"/>
  <c r="J222" i="5"/>
  <c r="N222" i="5"/>
  <c r="C222" i="5"/>
  <c r="K222" i="5"/>
  <c r="G222" i="5"/>
  <c r="H222" i="5"/>
  <c r="M222" i="5"/>
  <c r="P222" i="5"/>
  <c r="B223" i="5"/>
  <c r="G223" i="5" s="1" a="1"/>
  <c r="V221" i="5" a="1"/>
  <c r="V221" i="5" s="1"/>
  <c r="U221" i="5" a="1"/>
  <c r="U221" i="5" s="1"/>
  <c r="A224" i="5"/>
  <c r="E223" i="5" a="1"/>
  <c r="Q222" i="5" l="1"/>
  <c r="R222" i="5"/>
  <c r="G223" i="5"/>
  <c r="E223" i="5"/>
  <c r="AB223" i="5" s="1"/>
  <c r="B224" i="5"/>
  <c r="T222" i="5"/>
  <c r="S222" i="5"/>
  <c r="I223" i="5" a="1"/>
  <c r="L223" i="5" a="1"/>
  <c r="P223" i="5" a="1"/>
  <c r="I224" i="5" a="1"/>
  <c r="N223" i="5" a="1"/>
  <c r="A225" i="5" a="1"/>
  <c r="M223" i="5" a="1"/>
  <c r="K223" i="5" a="1"/>
  <c r="H223" i="5" a="1"/>
  <c r="D223" i="5" a="1"/>
  <c r="J223" i="5" a="1"/>
  <c r="C223" i="5" a="1"/>
  <c r="F223" i="5" a="1"/>
  <c r="O223" i="5" a="1"/>
  <c r="W223" i="5" l="1"/>
  <c r="U222" i="5" a="1"/>
  <c r="U222" i="5" s="1"/>
  <c r="V222" i="5" a="1"/>
  <c r="V222" i="5" s="1"/>
  <c r="AA223" i="5"/>
  <c r="X223" i="5"/>
  <c r="Y223" i="5"/>
  <c r="AC223" i="5" s="1"/>
  <c r="E224" i="5" a="1"/>
  <c r="E224" i="5" s="1"/>
  <c r="Z224" i="5" s="1"/>
  <c r="Z223" i="5"/>
  <c r="L223" i="5"/>
  <c r="K223" i="5"/>
  <c r="J223" i="5"/>
  <c r="I223" i="5"/>
  <c r="H223" i="5"/>
  <c r="M223" i="5"/>
  <c r="O223" i="5"/>
  <c r="P223" i="5"/>
  <c r="C223" i="5"/>
  <c r="F223" i="5"/>
  <c r="F224" i="5" s="1" a="1"/>
  <c r="F224" i="5" s="1"/>
  <c r="N223" i="5"/>
  <c r="D223" i="5"/>
  <c r="I224" i="5"/>
  <c r="A225" i="5"/>
  <c r="L224" i="5" a="1"/>
  <c r="D224" i="5" a="1"/>
  <c r="J224" i="5" a="1"/>
  <c r="H224" i="5" a="1"/>
  <c r="M224" i="5" a="1"/>
  <c r="N224" i="5" a="1"/>
  <c r="C224" i="5" a="1"/>
  <c r="O224" i="5" a="1"/>
  <c r="G224" i="5" a="1"/>
  <c r="K224" i="5" a="1"/>
  <c r="P224" i="5" a="1"/>
  <c r="M224" i="5" l="1"/>
  <c r="P224" i="5"/>
  <c r="H224" i="5"/>
  <c r="D224" i="5"/>
  <c r="L224" i="5"/>
  <c r="AA224" i="5"/>
  <c r="Y224" i="5"/>
  <c r="AC224" i="5" s="1"/>
  <c r="W224" i="5"/>
  <c r="X224" i="5"/>
  <c r="K224" i="5"/>
  <c r="G224" i="5"/>
  <c r="O224" i="5"/>
  <c r="C224" i="5"/>
  <c r="N224" i="5"/>
  <c r="AB224" i="5"/>
  <c r="R223" i="5"/>
  <c r="T223" i="5"/>
  <c r="J224" i="5"/>
  <c r="B225" i="5"/>
  <c r="E225" i="5" a="1"/>
  <c r="E225" i="5" s="1"/>
  <c r="Q223" i="5"/>
  <c r="S223" i="5"/>
  <c r="A226" i="5" a="1"/>
  <c r="O225" i="5" a="1"/>
  <c r="R224" i="5" l="1"/>
  <c r="T224" i="5"/>
  <c r="Q224" i="5"/>
  <c r="V223" i="5" a="1"/>
  <c r="V223" i="5" s="1"/>
  <c r="U223" i="5" a="1"/>
  <c r="U223" i="5" s="1"/>
  <c r="S224" i="5"/>
  <c r="O225" i="5"/>
  <c r="AB225" i="5"/>
  <c r="F225" i="5" a="1"/>
  <c r="F225" i="5" s="1"/>
  <c r="A226" i="5"/>
  <c r="AA225" i="5"/>
  <c r="Y225" i="5"/>
  <c r="AC225" i="5" s="1"/>
  <c r="X225" i="5"/>
  <c r="W225" i="5"/>
  <c r="Z225" i="5"/>
  <c r="K225" i="5" a="1"/>
  <c r="I225" i="5" a="1"/>
  <c r="P225" i="5" a="1"/>
  <c r="L225" i="5" a="1"/>
  <c r="N225" i="5" a="1"/>
  <c r="M225" i="5" a="1"/>
  <c r="J225" i="5" a="1"/>
  <c r="H225" i="5" a="1"/>
  <c r="G225" i="5" a="1"/>
  <c r="D225" i="5" a="1"/>
  <c r="C225" i="5" a="1"/>
  <c r="U224" i="5" l="1" a="1"/>
  <c r="U224" i="5" s="1"/>
  <c r="V224" i="5" a="1"/>
  <c r="V224" i="5" s="1"/>
  <c r="G225" i="5"/>
  <c r="L225" i="5"/>
  <c r="Q225" i="5" s="1"/>
  <c r="H225" i="5"/>
  <c r="J225" i="5"/>
  <c r="P225" i="5"/>
  <c r="D225" i="5"/>
  <c r="C225" i="5"/>
  <c r="N225" i="5"/>
  <c r="I225" i="5"/>
  <c r="K225" i="5"/>
  <c r="M225" i="5"/>
  <c r="E226" i="5" a="1"/>
  <c r="E226" i="5" s="1"/>
  <c r="B226" i="5"/>
  <c r="F226" i="5" s="1" a="1"/>
  <c r="F226" i="5" s="1"/>
  <c r="A227" i="5" a="1"/>
  <c r="R225" i="5" l="1"/>
  <c r="U225" i="5" s="1" a="1"/>
  <c r="U225" i="5" s="1"/>
  <c r="S225" i="5"/>
  <c r="T225" i="5"/>
  <c r="Z226" i="5"/>
  <c r="A227" i="5"/>
  <c r="X226" i="5"/>
  <c r="AB226" i="5"/>
  <c r="AA226" i="5"/>
  <c r="Y226" i="5"/>
  <c r="AC226" i="5" s="1"/>
  <c r="W226" i="5"/>
  <c r="P226" i="5" a="1"/>
  <c r="J226" i="5" a="1"/>
  <c r="O226" i="5" a="1"/>
  <c r="H226" i="5" a="1"/>
  <c r="N226" i="5" a="1"/>
  <c r="M226" i="5" a="1"/>
  <c r="K226" i="5" a="1"/>
  <c r="L226" i="5" a="1"/>
  <c r="C226" i="5" a="1"/>
  <c r="I226" i="5" a="1"/>
  <c r="G226" i="5" a="1"/>
  <c r="D226" i="5" a="1"/>
  <c r="P226" i="5" l="1"/>
  <c r="C226" i="5"/>
  <c r="H226" i="5"/>
  <c r="K226" i="5"/>
  <c r="D226" i="5"/>
  <c r="I226" i="5"/>
  <c r="M226" i="5"/>
  <c r="N226" i="5"/>
  <c r="J226" i="5"/>
  <c r="G226" i="5"/>
  <c r="O226" i="5"/>
  <c r="L226" i="5"/>
  <c r="B227" i="5"/>
  <c r="F227" i="5" s="1" a="1"/>
  <c r="F227" i="5" s="1"/>
  <c r="E227" i="5" a="1"/>
  <c r="E227" i="5" s="1"/>
  <c r="AB227" i="5" s="1"/>
  <c r="V225" i="5" a="1"/>
  <c r="V225" i="5" s="1"/>
  <c r="A228" i="5" a="1"/>
  <c r="T226" i="5" l="1"/>
  <c r="R226" i="5"/>
  <c r="Q226" i="5"/>
  <c r="S226" i="5"/>
  <c r="A228" i="5"/>
  <c r="AA227" i="5"/>
  <c r="X227" i="5"/>
  <c r="Y227" i="5"/>
  <c r="AC227" i="5" s="1"/>
  <c r="W227" i="5"/>
  <c r="Z227" i="5"/>
  <c r="D227" i="5" a="1"/>
  <c r="G227" i="5" a="1"/>
  <c r="O227" i="5" a="1"/>
  <c r="P227" i="5" a="1"/>
  <c r="M227" i="5" a="1"/>
  <c r="J227" i="5" a="1"/>
  <c r="C227" i="5" a="1"/>
  <c r="L227" i="5" a="1"/>
  <c r="N227" i="5" a="1"/>
  <c r="H227" i="5" a="1"/>
  <c r="I227" i="5" a="1"/>
  <c r="K227" i="5" a="1"/>
  <c r="G227" i="5" l="1"/>
  <c r="V226" i="5" a="1"/>
  <c r="V226" i="5" s="1"/>
  <c r="D227" i="5"/>
  <c r="K227" i="5"/>
  <c r="L227" i="5"/>
  <c r="P227" i="5"/>
  <c r="C227" i="5"/>
  <c r="H227" i="5"/>
  <c r="J227" i="5"/>
  <c r="N227" i="5"/>
  <c r="O227" i="5"/>
  <c r="U226" i="5" a="1"/>
  <c r="U226" i="5" s="1"/>
  <c r="I227" i="5"/>
  <c r="M227" i="5"/>
  <c r="B228" i="5"/>
  <c r="O228" i="5" s="1" a="1"/>
  <c r="E228" i="5" a="1"/>
  <c r="E228" i="5" s="1"/>
  <c r="A229" i="5" a="1"/>
  <c r="R227" i="5" l="1"/>
  <c r="Q227" i="5"/>
  <c r="O228" i="5"/>
  <c r="X228" i="5"/>
  <c r="F228" i="5" a="1"/>
  <c r="F228" i="5" s="1"/>
  <c r="T227" i="5"/>
  <c r="S227" i="5"/>
  <c r="Y228" i="5"/>
  <c r="AC228" i="5" s="1"/>
  <c r="AB228" i="5"/>
  <c r="A229" i="5"/>
  <c r="AA228" i="5"/>
  <c r="W228" i="5"/>
  <c r="Z228" i="5"/>
  <c r="G228" i="5" a="1"/>
  <c r="C228" i="5" a="1"/>
  <c r="M228" i="5" a="1"/>
  <c r="N228" i="5" a="1"/>
  <c r="I228" i="5" a="1"/>
  <c r="J228" i="5" a="1"/>
  <c r="L228" i="5" a="1"/>
  <c r="K228" i="5" a="1"/>
  <c r="P228" i="5" a="1"/>
  <c r="D228" i="5" a="1"/>
  <c r="H228" i="5" a="1"/>
  <c r="U227" i="5" l="1" a="1"/>
  <c r="U227" i="5" s="1"/>
  <c r="K228" i="5"/>
  <c r="P228" i="5"/>
  <c r="C228" i="5"/>
  <c r="G228" i="5"/>
  <c r="J228" i="5"/>
  <c r="I228" i="5"/>
  <c r="M228" i="5"/>
  <c r="H228" i="5"/>
  <c r="D228" i="5"/>
  <c r="L228" i="5"/>
  <c r="Q228" i="5" s="1"/>
  <c r="N228" i="5"/>
  <c r="V227" i="5" a="1"/>
  <c r="V227" i="5" s="1"/>
  <c r="E229" i="5" a="1"/>
  <c r="E229" i="5" s="1"/>
  <c r="AB229" i="5" s="1"/>
  <c r="B229" i="5"/>
  <c r="A230" i="5" a="1"/>
  <c r="C229" i="5" a="1"/>
  <c r="C229" i="5" l="1"/>
  <c r="F229" i="5" a="1"/>
  <c r="F229" i="5" s="1"/>
  <c r="R228" i="5"/>
  <c r="U228" i="5" s="1" a="1"/>
  <c r="U228" i="5" s="1"/>
  <c r="S228" i="5"/>
  <c r="T228" i="5"/>
  <c r="X229" i="5"/>
  <c r="A230" i="5"/>
  <c r="W229" i="5"/>
  <c r="AA229" i="5"/>
  <c r="Y229" i="5"/>
  <c r="AC229" i="5" s="1"/>
  <c r="Z229" i="5"/>
  <c r="J229" i="5" a="1"/>
  <c r="K229" i="5" a="1"/>
  <c r="M229" i="5" a="1"/>
  <c r="G229" i="5" a="1"/>
  <c r="D229" i="5" a="1"/>
  <c r="H229" i="5" a="1"/>
  <c r="P229" i="5" a="1"/>
  <c r="I229" i="5" a="1"/>
  <c r="L229" i="5" a="1"/>
  <c r="O229" i="5" a="1"/>
  <c r="N229" i="5" a="1"/>
  <c r="J229" i="5" l="1"/>
  <c r="P229" i="5"/>
  <c r="G229" i="5"/>
  <c r="N229" i="5"/>
  <c r="L229" i="5"/>
  <c r="O229" i="5"/>
  <c r="M229" i="5"/>
  <c r="I229" i="5"/>
  <c r="K229" i="5"/>
  <c r="H229" i="5"/>
  <c r="D229" i="5"/>
  <c r="V228" i="5" a="1"/>
  <c r="V228" i="5" s="1"/>
  <c r="B230" i="5"/>
  <c r="O230" i="5" s="1" a="1"/>
  <c r="E230" i="5" a="1"/>
  <c r="E230" i="5" s="1"/>
  <c r="X230" i="5" s="1"/>
  <c r="A231" i="5" a="1"/>
  <c r="T229" i="5" l="1"/>
  <c r="R229" i="5"/>
  <c r="O230" i="5"/>
  <c r="F230" i="5" a="1"/>
  <c r="F230" i="5" s="1"/>
  <c r="S229" i="5"/>
  <c r="Q229" i="5"/>
  <c r="AA230" i="5"/>
  <c r="AB230" i="5"/>
  <c r="A231" i="5"/>
  <c r="Y230" i="5"/>
  <c r="AC230" i="5" s="1"/>
  <c r="W230" i="5"/>
  <c r="Z230" i="5"/>
  <c r="J230" i="5" a="1"/>
  <c r="M230" i="5" a="1"/>
  <c r="I230" i="5" a="1"/>
  <c r="D230" i="5" a="1"/>
  <c r="G230" i="5" a="1"/>
  <c r="L230" i="5" a="1"/>
  <c r="N230" i="5" a="1"/>
  <c r="C230" i="5" a="1"/>
  <c r="P230" i="5" a="1"/>
  <c r="H230" i="5" a="1"/>
  <c r="K230" i="5" a="1"/>
  <c r="U229" i="5" l="1" a="1"/>
  <c r="U229" i="5" s="1"/>
  <c r="V229" i="5" a="1"/>
  <c r="V229" i="5" s="1"/>
  <c r="K230" i="5"/>
  <c r="P230" i="5"/>
  <c r="H230" i="5"/>
  <c r="G230" i="5"/>
  <c r="L230" i="5"/>
  <c r="Q230" i="5" s="1"/>
  <c r="D230" i="5"/>
  <c r="J230" i="5"/>
  <c r="I230" i="5"/>
  <c r="C230" i="5"/>
  <c r="N230" i="5"/>
  <c r="M230" i="5"/>
  <c r="E231" i="5" a="1"/>
  <c r="E231" i="5" s="1"/>
  <c r="AB231" i="5" s="1"/>
  <c r="B231" i="5"/>
  <c r="P231" i="5" s="1" a="1"/>
  <c r="A232" i="5" a="1"/>
  <c r="P231" i="5" l="1"/>
  <c r="T230" i="5"/>
  <c r="S230" i="5"/>
  <c r="R230" i="5"/>
  <c r="U230" i="5" s="1" a="1"/>
  <c r="U230" i="5" s="1"/>
  <c r="F231" i="5" a="1"/>
  <c r="F231" i="5" s="1"/>
  <c r="W231" i="5"/>
  <c r="X231" i="5"/>
  <c r="AA231" i="5"/>
  <c r="A232" i="5"/>
  <c r="Y231" i="5"/>
  <c r="AC231" i="5" s="1"/>
  <c r="Z231" i="5"/>
  <c r="K231" i="5" a="1"/>
  <c r="H231" i="5" a="1"/>
  <c r="C231" i="5" a="1"/>
  <c r="N231" i="5" a="1"/>
  <c r="L231" i="5" a="1"/>
  <c r="D231" i="5" a="1"/>
  <c r="O231" i="5" a="1"/>
  <c r="J231" i="5" a="1"/>
  <c r="G231" i="5" a="1"/>
  <c r="M231" i="5" a="1"/>
  <c r="I231" i="5" a="1"/>
  <c r="C231" i="5" l="1"/>
  <c r="K231" i="5"/>
  <c r="G231" i="5"/>
  <c r="D231" i="5"/>
  <c r="L231" i="5"/>
  <c r="R231" i="5" s="1"/>
  <c r="H231" i="5"/>
  <c r="N231" i="5"/>
  <c r="M231" i="5"/>
  <c r="T231" i="5" s="1"/>
  <c r="J231" i="5"/>
  <c r="O231" i="5"/>
  <c r="I231" i="5"/>
  <c r="V230" i="5" a="1"/>
  <c r="V230" i="5" s="1"/>
  <c r="B232" i="5"/>
  <c r="J232" i="5" s="1" a="1"/>
  <c r="E232" i="5" a="1"/>
  <c r="E232" i="5" s="1"/>
  <c r="Z232" i="5" s="1"/>
  <c r="A233" i="5" a="1"/>
  <c r="J232" i="5" l="1"/>
  <c r="F232" i="5" a="1"/>
  <c r="F232" i="5" s="1"/>
  <c r="S231" i="5"/>
  <c r="V231" i="5" s="1" a="1"/>
  <c r="V231" i="5" s="1"/>
  <c r="Q231" i="5"/>
  <c r="U231" i="5" s="1" a="1"/>
  <c r="U231" i="5" s="1"/>
  <c r="A233" i="5"/>
  <c r="X232" i="5"/>
  <c r="AA232" i="5"/>
  <c r="Y232" i="5"/>
  <c r="AC232" i="5" s="1"/>
  <c r="AB232" i="5"/>
  <c r="W232" i="5"/>
  <c r="O232" i="5" a="1"/>
  <c r="H232" i="5" a="1"/>
  <c r="M232" i="5" a="1"/>
  <c r="G232" i="5" a="1"/>
  <c r="C232" i="5" a="1"/>
  <c r="N232" i="5" a="1"/>
  <c r="I232" i="5" a="1"/>
  <c r="L232" i="5" a="1"/>
  <c r="D232" i="5" a="1"/>
  <c r="K232" i="5" a="1"/>
  <c r="P232" i="5" a="1"/>
  <c r="L232" i="5" l="1"/>
  <c r="G232" i="5"/>
  <c r="K232" i="5"/>
  <c r="O232" i="5"/>
  <c r="C232" i="5"/>
  <c r="M232" i="5"/>
  <c r="H232" i="5"/>
  <c r="N232" i="5"/>
  <c r="I232" i="5"/>
  <c r="D232" i="5"/>
  <c r="P232" i="5"/>
  <c r="B233" i="5"/>
  <c r="N233" i="5" s="1" a="1"/>
  <c r="E233" i="5" a="1"/>
  <c r="E233" i="5" s="1"/>
  <c r="A234" i="5" a="1"/>
  <c r="T232" i="5" l="1"/>
  <c r="R232" i="5"/>
  <c r="N233" i="5"/>
  <c r="S232" i="5"/>
  <c r="Q232" i="5"/>
  <c r="F233" i="5" a="1"/>
  <c r="F233" i="5" s="1"/>
  <c r="AB233" i="5"/>
  <c r="A234" i="5"/>
  <c r="W233" i="5"/>
  <c r="AA233" i="5"/>
  <c r="X233" i="5"/>
  <c r="Y233" i="5"/>
  <c r="AC233" i="5" s="1"/>
  <c r="Z233" i="5"/>
  <c r="D233" i="5" a="1"/>
  <c r="J233" i="5" a="1"/>
  <c r="G233" i="5" a="1"/>
  <c r="C233" i="5" a="1"/>
  <c r="I233" i="5" a="1"/>
  <c r="H233" i="5" a="1"/>
  <c r="L233" i="5" a="1"/>
  <c r="M233" i="5" a="1"/>
  <c r="O233" i="5" a="1"/>
  <c r="K233" i="5" a="1"/>
  <c r="P233" i="5" a="1"/>
  <c r="V232" i="5" l="1" a="1"/>
  <c r="V232" i="5" s="1"/>
  <c r="U232" i="5" a="1"/>
  <c r="U232" i="5" s="1"/>
  <c r="O233" i="5"/>
  <c r="J233" i="5"/>
  <c r="K233" i="5"/>
  <c r="L233" i="5"/>
  <c r="C233" i="5"/>
  <c r="P233" i="5"/>
  <c r="M233" i="5"/>
  <c r="G233" i="5"/>
  <c r="H233" i="5"/>
  <c r="I233" i="5"/>
  <c r="D233" i="5"/>
  <c r="E234" i="5" a="1"/>
  <c r="E234" i="5" s="1"/>
  <c r="B234" i="5"/>
  <c r="A235" i="5" a="1"/>
  <c r="C234" i="5" a="1"/>
  <c r="R233" i="5" l="1"/>
  <c r="T233" i="5"/>
  <c r="C234" i="5"/>
  <c r="F234" i="5" a="1"/>
  <c r="F234" i="5" s="1"/>
  <c r="Z234" i="5"/>
  <c r="S233" i="5"/>
  <c r="Q233" i="5"/>
  <c r="A235" i="5"/>
  <c r="X234" i="5"/>
  <c r="AB234" i="5"/>
  <c r="Y234" i="5"/>
  <c r="AC234" i="5" s="1"/>
  <c r="AA234" i="5"/>
  <c r="W234" i="5"/>
  <c r="N234" i="5" a="1"/>
  <c r="L234" i="5" a="1"/>
  <c r="K234" i="5" a="1"/>
  <c r="M234" i="5" a="1"/>
  <c r="O234" i="5" a="1"/>
  <c r="J234" i="5" a="1"/>
  <c r="I234" i="5" a="1"/>
  <c r="D234" i="5" a="1"/>
  <c r="H234" i="5" a="1"/>
  <c r="G234" i="5" a="1"/>
  <c r="P234" i="5" a="1"/>
  <c r="V233" i="5" l="1" a="1"/>
  <c r="V233" i="5" s="1"/>
  <c r="U233" i="5" a="1"/>
  <c r="U233" i="5" s="1"/>
  <c r="P234" i="5"/>
  <c r="D234" i="5"/>
  <c r="M234" i="5"/>
  <c r="O234" i="5"/>
  <c r="I234" i="5"/>
  <c r="K234" i="5"/>
  <c r="J234" i="5"/>
  <c r="H234" i="5"/>
  <c r="G234" i="5"/>
  <c r="L234" i="5"/>
  <c r="N234" i="5"/>
  <c r="B235" i="5"/>
  <c r="F235" i="5" s="1" a="1"/>
  <c r="F235" i="5" s="1"/>
  <c r="E235" i="5" a="1"/>
  <c r="E235" i="5" s="1"/>
  <c r="AB235" i="5" s="1"/>
  <c r="A236" i="5" a="1"/>
  <c r="T234" i="5" l="1"/>
  <c r="R234" i="5"/>
  <c r="S234" i="5"/>
  <c r="Q234" i="5"/>
  <c r="A236" i="5"/>
  <c r="X235" i="5"/>
  <c r="AA235" i="5"/>
  <c r="Y235" i="5"/>
  <c r="AC235" i="5" s="1"/>
  <c r="W235" i="5"/>
  <c r="Z235" i="5"/>
  <c r="C235" i="5" a="1"/>
  <c r="N235" i="5" a="1"/>
  <c r="H235" i="5" a="1"/>
  <c r="L235" i="5" a="1"/>
  <c r="M235" i="5" a="1"/>
  <c r="D235" i="5" a="1"/>
  <c r="J235" i="5" a="1"/>
  <c r="I235" i="5" a="1"/>
  <c r="O235" i="5" a="1"/>
  <c r="K235" i="5" a="1"/>
  <c r="P235" i="5" a="1"/>
  <c r="G235" i="5" a="1"/>
  <c r="V234" i="5" l="1" a="1"/>
  <c r="V234" i="5" s="1"/>
  <c r="L235" i="5"/>
  <c r="K235" i="5"/>
  <c r="D235" i="5"/>
  <c r="H235" i="5"/>
  <c r="P235" i="5"/>
  <c r="J235" i="5"/>
  <c r="I235" i="5"/>
  <c r="G235" i="5"/>
  <c r="O235" i="5"/>
  <c r="C235" i="5"/>
  <c r="U234" i="5" a="1"/>
  <c r="U234" i="5" s="1"/>
  <c r="N235" i="5"/>
  <c r="M235" i="5"/>
  <c r="B236" i="5"/>
  <c r="E236" i="5" a="1"/>
  <c r="E236" i="5" s="1"/>
  <c r="A237" i="5" a="1"/>
  <c r="D236" i="5" a="1"/>
  <c r="T235" i="5" l="1"/>
  <c r="Q235" i="5"/>
  <c r="S235" i="5"/>
  <c r="R235" i="5"/>
  <c r="D236" i="5"/>
  <c r="F236" i="5" a="1"/>
  <c r="F236" i="5" s="1"/>
  <c r="Z236" i="5"/>
  <c r="A237" i="5"/>
  <c r="X236" i="5"/>
  <c r="AA236" i="5"/>
  <c r="AB236" i="5"/>
  <c r="Y236" i="5"/>
  <c r="AC236" i="5" s="1"/>
  <c r="W236" i="5"/>
  <c r="M236" i="5" a="1"/>
  <c r="J236" i="5" a="1"/>
  <c r="I236" i="5" a="1"/>
  <c r="P236" i="5" a="1"/>
  <c r="G236" i="5" a="1"/>
  <c r="C236" i="5" a="1"/>
  <c r="H236" i="5" a="1"/>
  <c r="L236" i="5" a="1"/>
  <c r="O236" i="5" a="1"/>
  <c r="N236" i="5" a="1"/>
  <c r="K236" i="5" a="1"/>
  <c r="U235" i="5" l="1" a="1"/>
  <c r="U235" i="5" s="1"/>
  <c r="V235" i="5" a="1"/>
  <c r="V235" i="5" s="1"/>
  <c r="K236" i="5"/>
  <c r="C236" i="5"/>
  <c r="J236" i="5"/>
  <c r="I236" i="5"/>
  <c r="P236" i="5"/>
  <c r="M236" i="5"/>
  <c r="H236" i="5"/>
  <c r="N236" i="5"/>
  <c r="G236" i="5"/>
  <c r="O236" i="5"/>
  <c r="L236" i="5"/>
  <c r="E237" i="5" a="1"/>
  <c r="E237" i="5" s="1"/>
  <c r="AB237" i="5" s="1"/>
  <c r="B237" i="5"/>
  <c r="A238" i="5" a="1"/>
  <c r="R236" i="5" l="1"/>
  <c r="T236" i="5"/>
  <c r="S236" i="5"/>
  <c r="Q236" i="5"/>
  <c r="F237" i="5" a="1"/>
  <c r="F237" i="5" s="1"/>
  <c r="A238" i="5"/>
  <c r="X237" i="5"/>
  <c r="AA237" i="5"/>
  <c r="W237" i="5"/>
  <c r="Y237" i="5"/>
  <c r="AC237" i="5" s="1"/>
  <c r="Z237" i="5"/>
  <c r="C237" i="5" a="1"/>
  <c r="I237" i="5" a="1"/>
  <c r="P237" i="5" a="1"/>
  <c r="D237" i="5" a="1"/>
  <c r="K237" i="5" a="1"/>
  <c r="L237" i="5" a="1"/>
  <c r="H237" i="5" a="1"/>
  <c r="M237" i="5" a="1"/>
  <c r="N237" i="5" a="1"/>
  <c r="J237" i="5" a="1"/>
  <c r="G237" i="5" a="1"/>
  <c r="O237" i="5" a="1"/>
  <c r="U236" i="5" l="1" a="1"/>
  <c r="U236" i="5" s="1"/>
  <c r="V236" i="5" a="1"/>
  <c r="V236" i="5" s="1"/>
  <c r="N237" i="5"/>
  <c r="G237" i="5"/>
  <c r="D237" i="5"/>
  <c r="C237" i="5"/>
  <c r="P237" i="5"/>
  <c r="M237" i="5"/>
  <c r="K237" i="5"/>
  <c r="L237" i="5"/>
  <c r="H237" i="5"/>
  <c r="J237" i="5"/>
  <c r="I237" i="5"/>
  <c r="O237" i="5"/>
  <c r="B238" i="5"/>
  <c r="F238" i="5" s="1" a="1"/>
  <c r="F238" i="5" s="1"/>
  <c r="E238" i="5" a="1"/>
  <c r="E238" i="5" s="1"/>
  <c r="Z238" i="5" s="1"/>
  <c r="A239" i="5" a="1"/>
  <c r="T237" i="5" l="1"/>
  <c r="Q237" i="5"/>
  <c r="S237" i="5"/>
  <c r="R237" i="5"/>
  <c r="AB238" i="5"/>
  <c r="X238" i="5"/>
  <c r="A239" i="5"/>
  <c r="Y238" i="5"/>
  <c r="AC238" i="5" s="1"/>
  <c r="AA238" i="5"/>
  <c r="W238" i="5"/>
  <c r="C238" i="5" a="1"/>
  <c r="H238" i="5" a="1"/>
  <c r="L238" i="5" a="1"/>
  <c r="K238" i="5" a="1"/>
  <c r="P238" i="5" a="1"/>
  <c r="G238" i="5" a="1"/>
  <c r="N238" i="5" a="1"/>
  <c r="M238" i="5" a="1"/>
  <c r="O238" i="5" a="1"/>
  <c r="D238" i="5" a="1"/>
  <c r="J238" i="5" a="1"/>
  <c r="I238" i="5" a="1"/>
  <c r="V237" i="5" l="1" a="1"/>
  <c r="V237" i="5" s="1"/>
  <c r="M238" i="5"/>
  <c r="N238" i="5"/>
  <c r="K238" i="5"/>
  <c r="C238" i="5"/>
  <c r="J238" i="5"/>
  <c r="G238" i="5"/>
  <c r="O238" i="5"/>
  <c r="P238" i="5"/>
  <c r="D238" i="5"/>
  <c r="H238" i="5"/>
  <c r="I238" i="5"/>
  <c r="L238" i="5"/>
  <c r="E239" i="5" a="1"/>
  <c r="E239" i="5" s="1"/>
  <c r="B239" i="5"/>
  <c r="U237" i="5" a="1"/>
  <c r="U237" i="5" s="1"/>
  <c r="A240" i="5" a="1"/>
  <c r="G239" i="5" a="1"/>
  <c r="S238" i="5" l="1"/>
  <c r="T238" i="5"/>
  <c r="Q238" i="5"/>
  <c r="R238" i="5"/>
  <c r="G239" i="5"/>
  <c r="AB239" i="5"/>
  <c r="F239" i="5" a="1"/>
  <c r="F239" i="5" s="1"/>
  <c r="A240" i="5"/>
  <c r="X239" i="5"/>
  <c r="W239" i="5"/>
  <c r="AA239" i="5"/>
  <c r="Y239" i="5"/>
  <c r="AC239" i="5" s="1"/>
  <c r="Z239" i="5"/>
  <c r="K239" i="5" a="1"/>
  <c r="O239" i="5" a="1"/>
  <c r="D239" i="5" a="1"/>
  <c r="P239" i="5" a="1"/>
  <c r="N239" i="5" a="1"/>
  <c r="H239" i="5" a="1"/>
  <c r="M239" i="5" a="1"/>
  <c r="J239" i="5" a="1"/>
  <c r="C239" i="5" a="1"/>
  <c r="L239" i="5" a="1"/>
  <c r="I239" i="5" a="1"/>
  <c r="U238" i="5" l="1" a="1"/>
  <c r="U238" i="5" s="1"/>
  <c r="V238" i="5" a="1"/>
  <c r="V238" i="5" s="1"/>
  <c r="C239" i="5"/>
  <c r="J239" i="5"/>
  <c r="M239" i="5"/>
  <c r="I239" i="5"/>
  <c r="L239" i="5"/>
  <c r="O239" i="5"/>
  <c r="D239" i="5"/>
  <c r="K239" i="5"/>
  <c r="H239" i="5"/>
  <c r="P239" i="5"/>
  <c r="N239" i="5"/>
  <c r="B240" i="5"/>
  <c r="F240" i="5" s="1" a="1"/>
  <c r="F240" i="5" s="1"/>
  <c r="E240" i="5" a="1"/>
  <c r="E240" i="5" s="1"/>
  <c r="Z240" i="5" s="1"/>
  <c r="A241" i="5" a="1"/>
  <c r="T239" i="5" l="1"/>
  <c r="S239" i="5"/>
  <c r="Q239" i="5"/>
  <c r="R239" i="5"/>
  <c r="A241" i="5"/>
  <c r="X240" i="5"/>
  <c r="Y240" i="5"/>
  <c r="AC240" i="5" s="1"/>
  <c r="AB240" i="5"/>
  <c r="AA240" i="5"/>
  <c r="W240" i="5"/>
  <c r="I240" i="5" a="1"/>
  <c r="G240" i="5" a="1"/>
  <c r="J240" i="5" a="1"/>
  <c r="C240" i="5" a="1"/>
  <c r="P240" i="5" a="1"/>
  <c r="H240" i="5" a="1"/>
  <c r="D240" i="5" a="1"/>
  <c r="N240" i="5" a="1"/>
  <c r="L240" i="5" a="1"/>
  <c r="M240" i="5" a="1"/>
  <c r="K240" i="5" a="1"/>
  <c r="O240" i="5" a="1"/>
  <c r="V239" i="5" l="1" a="1"/>
  <c r="V239" i="5" s="1"/>
  <c r="M240" i="5"/>
  <c r="C240" i="5"/>
  <c r="D240" i="5"/>
  <c r="P240" i="5"/>
  <c r="I240" i="5"/>
  <c r="L240" i="5"/>
  <c r="O240" i="5"/>
  <c r="H240" i="5"/>
  <c r="G240" i="5"/>
  <c r="J240" i="5"/>
  <c r="K240" i="5"/>
  <c r="N240" i="5"/>
  <c r="B241" i="5"/>
  <c r="D241" i="5" s="1" a="1"/>
  <c r="E241" i="5" a="1"/>
  <c r="E241" i="5" s="1"/>
  <c r="U239" i="5" a="1"/>
  <c r="U239" i="5" s="1"/>
  <c r="A242" i="5" a="1"/>
  <c r="T240" i="5" l="1"/>
  <c r="D241" i="5"/>
  <c r="S240" i="5"/>
  <c r="Q240" i="5"/>
  <c r="R240" i="5"/>
  <c r="F241" i="5" a="1"/>
  <c r="F241" i="5" s="1"/>
  <c r="AB241" i="5"/>
  <c r="X241" i="5"/>
  <c r="A242" i="5"/>
  <c r="AA241" i="5"/>
  <c r="Y241" i="5"/>
  <c r="AC241" i="5" s="1"/>
  <c r="W241" i="5"/>
  <c r="Z241" i="5"/>
  <c r="J241" i="5" a="1"/>
  <c r="P241" i="5" a="1"/>
  <c r="N241" i="5" a="1"/>
  <c r="O241" i="5" a="1"/>
  <c r="L241" i="5" a="1"/>
  <c r="G241" i="5" a="1"/>
  <c r="H241" i="5" a="1"/>
  <c r="C241" i="5" a="1"/>
  <c r="M241" i="5" a="1"/>
  <c r="K241" i="5" a="1"/>
  <c r="I241" i="5" a="1"/>
  <c r="V240" i="5" l="1" a="1"/>
  <c r="V240" i="5" s="1"/>
  <c r="U240" i="5" a="1"/>
  <c r="U240" i="5" s="1"/>
  <c r="C241" i="5"/>
  <c r="H241" i="5"/>
  <c r="M241" i="5"/>
  <c r="N241" i="5"/>
  <c r="L241" i="5"/>
  <c r="I241" i="5"/>
  <c r="K241" i="5"/>
  <c r="O241" i="5"/>
  <c r="G241" i="5"/>
  <c r="J241" i="5"/>
  <c r="P241" i="5"/>
  <c r="E242" i="5" a="1"/>
  <c r="E242" i="5" s="1"/>
  <c r="B242" i="5"/>
  <c r="N242" i="5" s="1" a="1"/>
  <c r="A243" i="5" a="1"/>
  <c r="T241" i="5" l="1"/>
  <c r="N242" i="5"/>
  <c r="S241" i="5"/>
  <c r="Q241" i="5"/>
  <c r="F242" i="5" a="1"/>
  <c r="F242" i="5" s="1"/>
  <c r="R241" i="5"/>
  <c r="X242" i="5"/>
  <c r="A243" i="5"/>
  <c r="AB242" i="5"/>
  <c r="Y242" i="5"/>
  <c r="AC242" i="5" s="1"/>
  <c r="W242" i="5"/>
  <c r="Z242" i="5"/>
  <c r="AA242" i="5"/>
  <c r="I242" i="5" a="1"/>
  <c r="L242" i="5" a="1"/>
  <c r="M242" i="5" a="1"/>
  <c r="O242" i="5" a="1"/>
  <c r="G242" i="5" a="1"/>
  <c r="H242" i="5" a="1"/>
  <c r="K242" i="5" a="1"/>
  <c r="C242" i="5" a="1"/>
  <c r="P242" i="5" a="1"/>
  <c r="D242" i="5" a="1"/>
  <c r="J242" i="5" a="1"/>
  <c r="V241" i="5" l="1" a="1"/>
  <c r="V241" i="5" s="1"/>
  <c r="H242" i="5"/>
  <c r="J242" i="5"/>
  <c r="L242" i="5"/>
  <c r="D242" i="5"/>
  <c r="M242" i="5"/>
  <c r="G242" i="5"/>
  <c r="K242" i="5"/>
  <c r="C242" i="5"/>
  <c r="I242" i="5"/>
  <c r="O242" i="5"/>
  <c r="P242" i="5"/>
  <c r="B243" i="5"/>
  <c r="E243" i="5" a="1"/>
  <c r="E243" i="5" s="1"/>
  <c r="U241" i="5" a="1"/>
  <c r="U241" i="5" s="1"/>
  <c r="A244" i="5" a="1"/>
  <c r="T242" i="5" l="1"/>
  <c r="R242" i="5"/>
  <c r="X243" i="5"/>
  <c r="F243" i="5" a="1"/>
  <c r="F243" i="5" s="1"/>
  <c r="S242" i="5"/>
  <c r="Q242" i="5"/>
  <c r="A244" i="5"/>
  <c r="AA243" i="5"/>
  <c r="Y243" i="5"/>
  <c r="AC243" i="5" s="1"/>
  <c r="W243" i="5"/>
  <c r="AB243" i="5"/>
  <c r="Z243" i="5"/>
  <c r="C243" i="5" a="1"/>
  <c r="K243" i="5" a="1"/>
  <c r="P243" i="5" a="1"/>
  <c r="M243" i="5" a="1"/>
  <c r="N243" i="5" a="1"/>
  <c r="L243" i="5" a="1"/>
  <c r="J243" i="5" a="1"/>
  <c r="G243" i="5" a="1"/>
  <c r="I243" i="5" a="1"/>
  <c r="H243" i="5" a="1"/>
  <c r="O243" i="5" a="1"/>
  <c r="D243" i="5" a="1"/>
  <c r="V242" i="5" l="1" a="1"/>
  <c r="V242" i="5" s="1"/>
  <c r="U242" i="5" a="1"/>
  <c r="U242" i="5" s="1"/>
  <c r="O243" i="5"/>
  <c r="L243" i="5"/>
  <c r="J243" i="5"/>
  <c r="G243" i="5"/>
  <c r="M243" i="5"/>
  <c r="C243" i="5"/>
  <c r="P243" i="5"/>
  <c r="H243" i="5"/>
  <c r="I243" i="5"/>
  <c r="N243" i="5"/>
  <c r="K243" i="5"/>
  <c r="D243" i="5"/>
  <c r="B244" i="5"/>
  <c r="E244" i="5" a="1"/>
  <c r="E244" i="5" s="1"/>
  <c r="X244" i="5" s="1"/>
  <c r="D244" i="5" a="1"/>
  <c r="A245" i="5" a="1"/>
  <c r="R243" i="5" l="1"/>
  <c r="T243" i="5"/>
  <c r="D244" i="5"/>
  <c r="F244" i="5" a="1"/>
  <c r="F244" i="5" s="1"/>
  <c r="S243" i="5"/>
  <c r="Q243" i="5"/>
  <c r="A245" i="5"/>
  <c r="AB244" i="5"/>
  <c r="Y244" i="5"/>
  <c r="AC244" i="5" s="1"/>
  <c r="AA244" i="5"/>
  <c r="W244" i="5"/>
  <c r="Z244" i="5"/>
  <c r="M244" i="5" a="1"/>
  <c r="N244" i="5" a="1"/>
  <c r="K244" i="5" a="1"/>
  <c r="H244" i="5" a="1"/>
  <c r="L244" i="5" a="1"/>
  <c r="P244" i="5" a="1"/>
  <c r="G244" i="5" a="1"/>
  <c r="O244" i="5" a="1"/>
  <c r="C244" i="5" a="1"/>
  <c r="I244" i="5" a="1"/>
  <c r="J244" i="5" a="1"/>
  <c r="U243" i="5" l="1" a="1"/>
  <c r="U243" i="5" s="1"/>
  <c r="V243" i="5" a="1"/>
  <c r="V243" i="5" s="1"/>
  <c r="L244" i="5"/>
  <c r="G244" i="5"/>
  <c r="J244" i="5"/>
  <c r="P244" i="5"/>
  <c r="O244" i="5"/>
  <c r="K244" i="5"/>
  <c r="I244" i="5"/>
  <c r="N244" i="5"/>
  <c r="M244" i="5"/>
  <c r="H244" i="5"/>
  <c r="C244" i="5"/>
  <c r="E245" i="5" a="1"/>
  <c r="E245" i="5" s="1"/>
  <c r="AB245" i="5" s="1"/>
  <c r="B245" i="5"/>
  <c r="A246" i="5" a="1"/>
  <c r="R244" i="5" l="1"/>
  <c r="T244" i="5"/>
  <c r="F245" i="5" a="1"/>
  <c r="F245" i="5" s="1"/>
  <c r="Q244" i="5"/>
  <c r="S244" i="5"/>
  <c r="A246" i="5"/>
  <c r="X245" i="5"/>
  <c r="AA245" i="5"/>
  <c r="W245" i="5"/>
  <c r="Y245" i="5"/>
  <c r="AC245" i="5" s="1"/>
  <c r="Z245" i="5"/>
  <c r="D245" i="5" a="1"/>
  <c r="C245" i="5" a="1"/>
  <c r="M245" i="5" a="1"/>
  <c r="N245" i="5" a="1"/>
  <c r="O245" i="5" a="1"/>
  <c r="K245" i="5" a="1"/>
  <c r="G245" i="5" a="1"/>
  <c r="J245" i="5" a="1"/>
  <c r="L245" i="5" a="1"/>
  <c r="P245" i="5" a="1"/>
  <c r="I245" i="5" a="1"/>
  <c r="H245" i="5" a="1"/>
  <c r="V244" i="5" l="1" a="1"/>
  <c r="V244" i="5" s="1"/>
  <c r="U244" i="5" a="1"/>
  <c r="U244" i="5" s="1"/>
  <c r="C245" i="5"/>
  <c r="I245" i="5"/>
  <c r="H245" i="5"/>
  <c r="D245" i="5"/>
  <c r="O245" i="5"/>
  <c r="J245" i="5"/>
  <c r="L245" i="5"/>
  <c r="G245" i="5"/>
  <c r="M245" i="5"/>
  <c r="K245" i="5"/>
  <c r="P245" i="5"/>
  <c r="N245" i="5"/>
  <c r="B246" i="5"/>
  <c r="E246" i="5" a="1"/>
  <c r="E246" i="5" s="1"/>
  <c r="A247" i="5" a="1"/>
  <c r="C246" i="5" a="1"/>
  <c r="T245" i="5" l="1"/>
  <c r="C246" i="5"/>
  <c r="Q245" i="5"/>
  <c r="S245" i="5"/>
  <c r="R245" i="5"/>
  <c r="F246" i="5" a="1"/>
  <c r="F246" i="5" s="1"/>
  <c r="Z246" i="5"/>
  <c r="A247" i="5"/>
  <c r="X246" i="5"/>
  <c r="Y246" i="5"/>
  <c r="AC246" i="5" s="1"/>
  <c r="AB246" i="5"/>
  <c r="AA246" i="5"/>
  <c r="W246" i="5"/>
  <c r="L246" i="5" a="1"/>
  <c r="K246" i="5" a="1"/>
  <c r="N246" i="5" a="1"/>
  <c r="O246" i="5" a="1"/>
  <c r="M246" i="5" a="1"/>
  <c r="G246" i="5" a="1"/>
  <c r="J246" i="5" a="1"/>
  <c r="D246" i="5" a="1"/>
  <c r="H246" i="5" a="1"/>
  <c r="I246" i="5" a="1"/>
  <c r="P246" i="5" a="1"/>
  <c r="V245" i="5" l="1" a="1"/>
  <c r="V245" i="5" s="1"/>
  <c r="U245" i="5" a="1"/>
  <c r="U245" i="5" s="1"/>
  <c r="O246" i="5"/>
  <c r="M246" i="5"/>
  <c r="L246" i="5"/>
  <c r="H246" i="5"/>
  <c r="J246" i="5"/>
  <c r="K246" i="5"/>
  <c r="N246" i="5"/>
  <c r="G246" i="5"/>
  <c r="I246" i="5"/>
  <c r="D246" i="5"/>
  <c r="P246" i="5"/>
  <c r="E247" i="5" a="1"/>
  <c r="E247" i="5" s="1"/>
  <c r="B247" i="5"/>
  <c r="L247" i="5" s="1" a="1"/>
  <c r="A248" i="5" a="1"/>
  <c r="R246" i="5" l="1"/>
  <c r="T246" i="5"/>
  <c r="L247" i="5"/>
  <c r="F247" i="5" a="1"/>
  <c r="F247" i="5" s="1"/>
  <c r="S246" i="5"/>
  <c r="Q246" i="5"/>
  <c r="AB247" i="5"/>
  <c r="A248" i="5"/>
  <c r="X247" i="5"/>
  <c r="AA247" i="5"/>
  <c r="Y247" i="5"/>
  <c r="AC247" i="5" s="1"/>
  <c r="W247" i="5"/>
  <c r="Z247" i="5"/>
  <c r="C247" i="5" a="1"/>
  <c r="O247" i="5" a="1"/>
  <c r="M247" i="5" a="1"/>
  <c r="D247" i="5" a="1"/>
  <c r="I247" i="5" a="1"/>
  <c r="G247" i="5" a="1"/>
  <c r="N247" i="5" a="1"/>
  <c r="K247" i="5" a="1"/>
  <c r="P247" i="5" a="1"/>
  <c r="J247" i="5" a="1"/>
  <c r="H247" i="5" a="1"/>
  <c r="U246" i="5" l="1" a="1"/>
  <c r="U246" i="5" s="1"/>
  <c r="V246" i="5" a="1"/>
  <c r="V246" i="5" s="1"/>
  <c r="G247" i="5"/>
  <c r="O247" i="5"/>
  <c r="I247" i="5"/>
  <c r="N247" i="5"/>
  <c r="K247" i="5"/>
  <c r="H247" i="5"/>
  <c r="C247" i="5"/>
  <c r="P247" i="5"/>
  <c r="R247" i="5" s="1"/>
  <c r="M247" i="5"/>
  <c r="J247" i="5"/>
  <c r="D247" i="5"/>
  <c r="B248" i="5"/>
  <c r="F248" i="5" s="1" a="1"/>
  <c r="F248" i="5" s="1"/>
  <c r="E248" i="5" a="1"/>
  <c r="E248" i="5" s="1"/>
  <c r="W248" i="5" s="1"/>
  <c r="A249" i="5" a="1"/>
  <c r="S247" i="5" l="1"/>
  <c r="Q247" i="5"/>
  <c r="U247" i="5" s="1" a="1"/>
  <c r="U247" i="5" s="1"/>
  <c r="T247" i="5"/>
  <c r="A249" i="5"/>
  <c r="X248" i="5"/>
  <c r="AA248" i="5"/>
  <c r="Y248" i="5"/>
  <c r="AC248" i="5" s="1"/>
  <c r="Z248" i="5"/>
  <c r="AB248" i="5"/>
  <c r="I248" i="5" a="1"/>
  <c r="M248" i="5" a="1"/>
  <c r="C248" i="5" a="1"/>
  <c r="N248" i="5" a="1"/>
  <c r="L248" i="5" a="1"/>
  <c r="H248" i="5" a="1"/>
  <c r="P248" i="5" a="1"/>
  <c r="K248" i="5" a="1"/>
  <c r="G248" i="5" a="1"/>
  <c r="D248" i="5" a="1"/>
  <c r="J248" i="5" a="1"/>
  <c r="O248" i="5" a="1"/>
  <c r="D248" i="5" l="1"/>
  <c r="H248" i="5"/>
  <c r="I248" i="5"/>
  <c r="J248" i="5"/>
  <c r="M248" i="5"/>
  <c r="K248" i="5"/>
  <c r="O248" i="5"/>
  <c r="N248" i="5"/>
  <c r="P248" i="5"/>
  <c r="L248" i="5"/>
  <c r="G248" i="5"/>
  <c r="C248" i="5"/>
  <c r="B249" i="5"/>
  <c r="D249" i="5" s="1" a="1"/>
  <c r="E249" i="5" a="1"/>
  <c r="E249" i="5" s="1"/>
  <c r="V247" i="5" a="1"/>
  <c r="V247" i="5" s="1"/>
  <c r="A250" i="5" a="1"/>
  <c r="T248" i="5" l="1"/>
  <c r="R248" i="5"/>
  <c r="D249" i="5"/>
  <c r="S248" i="5"/>
  <c r="Q248" i="5"/>
  <c r="F249" i="5" a="1"/>
  <c r="F249" i="5" s="1"/>
  <c r="AA249" i="5"/>
  <c r="X249" i="5"/>
  <c r="A250" i="5"/>
  <c r="Y249" i="5"/>
  <c r="AC249" i="5" s="1"/>
  <c r="W249" i="5"/>
  <c r="Z249" i="5"/>
  <c r="AB249" i="5"/>
  <c r="K249" i="5" a="1"/>
  <c r="N249" i="5" a="1"/>
  <c r="H249" i="5" a="1"/>
  <c r="O249" i="5" a="1"/>
  <c r="P249" i="5" a="1"/>
  <c r="G249" i="5" a="1"/>
  <c r="C249" i="5" a="1"/>
  <c r="I249" i="5" a="1"/>
  <c r="J249" i="5" a="1"/>
  <c r="L249" i="5" a="1"/>
  <c r="M249" i="5" a="1"/>
  <c r="V248" i="5" l="1" a="1"/>
  <c r="V248" i="5" s="1"/>
  <c r="U248" i="5" a="1"/>
  <c r="U248" i="5" s="1"/>
  <c r="O249" i="5"/>
  <c r="H249" i="5"/>
  <c r="G249" i="5"/>
  <c r="J249" i="5"/>
  <c r="C249" i="5"/>
  <c r="L249" i="5"/>
  <c r="M249" i="5"/>
  <c r="N249" i="5"/>
  <c r="I249" i="5"/>
  <c r="P249" i="5"/>
  <c r="K249" i="5"/>
  <c r="E250" i="5" a="1"/>
  <c r="E250" i="5" s="1"/>
  <c r="B250" i="5"/>
  <c r="J250" i="5" s="1" a="1"/>
  <c r="A251" i="5" a="1"/>
  <c r="T249" i="5" l="1"/>
  <c r="J250" i="5"/>
  <c r="F250" i="5" a="1"/>
  <c r="F250" i="5" s="1"/>
  <c r="R249" i="5"/>
  <c r="W250" i="5"/>
  <c r="Q249" i="5"/>
  <c r="S249" i="5"/>
  <c r="A251" i="5"/>
  <c r="Y250" i="5"/>
  <c r="AC250" i="5" s="1"/>
  <c r="AB250" i="5"/>
  <c r="Z250" i="5"/>
  <c r="X250" i="5"/>
  <c r="AA250" i="5"/>
  <c r="K250" i="5" a="1"/>
  <c r="H250" i="5" a="1"/>
  <c r="N250" i="5" a="1"/>
  <c r="C250" i="5" a="1"/>
  <c r="O250" i="5" a="1"/>
  <c r="D250" i="5" a="1"/>
  <c r="I250" i="5" a="1"/>
  <c r="P250" i="5" a="1"/>
  <c r="M250" i="5" a="1"/>
  <c r="G250" i="5" a="1"/>
  <c r="L250" i="5" a="1"/>
  <c r="V249" i="5" l="1" a="1"/>
  <c r="V249" i="5" s="1"/>
  <c r="U249" i="5" a="1"/>
  <c r="U249" i="5" s="1"/>
  <c r="G250" i="5"/>
  <c r="D250" i="5"/>
  <c r="M250" i="5"/>
  <c r="L250" i="5"/>
  <c r="H250" i="5"/>
  <c r="C250" i="5"/>
  <c r="P250" i="5"/>
  <c r="I250" i="5"/>
  <c r="N250" i="5"/>
  <c r="K250" i="5"/>
  <c r="O250" i="5"/>
  <c r="B251" i="5"/>
  <c r="E251" i="5" a="1"/>
  <c r="E251" i="5" s="1"/>
  <c r="AA251" i="5" s="1"/>
  <c r="A252" i="5" a="1"/>
  <c r="R250" i="5" l="1"/>
  <c r="T250" i="5"/>
  <c r="F251" i="5" a="1"/>
  <c r="F251" i="5" s="1"/>
  <c r="S250" i="5"/>
  <c r="Q250" i="5"/>
  <c r="X251" i="5"/>
  <c r="A252" i="5"/>
  <c r="Y251" i="5"/>
  <c r="AC251" i="5" s="1"/>
  <c r="W251" i="5"/>
  <c r="Z251" i="5"/>
  <c r="AB251" i="5"/>
  <c r="H251" i="5" a="1"/>
  <c r="K251" i="5" a="1"/>
  <c r="I251" i="5" a="1"/>
  <c r="L251" i="5" a="1"/>
  <c r="M251" i="5" a="1"/>
  <c r="D251" i="5" a="1"/>
  <c r="N251" i="5" a="1"/>
  <c r="C251" i="5" a="1"/>
  <c r="J251" i="5" a="1"/>
  <c r="O251" i="5" a="1"/>
  <c r="P251" i="5" a="1"/>
  <c r="G251" i="5" a="1"/>
  <c r="U250" i="5" l="1" a="1"/>
  <c r="U250" i="5" s="1"/>
  <c r="V250" i="5" a="1"/>
  <c r="V250" i="5" s="1"/>
  <c r="D251" i="5"/>
  <c r="N251" i="5"/>
  <c r="K251" i="5"/>
  <c r="L251" i="5"/>
  <c r="M251" i="5"/>
  <c r="I251" i="5"/>
  <c r="O251" i="5"/>
  <c r="G251" i="5"/>
  <c r="J251" i="5"/>
  <c r="C251" i="5"/>
  <c r="P251" i="5"/>
  <c r="H251" i="5"/>
  <c r="B252" i="5"/>
  <c r="E252" i="5" a="1"/>
  <c r="E252" i="5" s="1"/>
  <c r="D252" i="5" a="1"/>
  <c r="A253" i="5" a="1"/>
  <c r="T251" i="5" l="1"/>
  <c r="R251" i="5"/>
  <c r="D252" i="5"/>
  <c r="W252" i="5"/>
  <c r="F252" i="5" a="1"/>
  <c r="F252" i="5" s="1"/>
  <c r="S251" i="5"/>
  <c r="Q251" i="5"/>
  <c r="A253" i="5"/>
  <c r="Z252" i="5"/>
  <c r="X252" i="5"/>
  <c r="Y252" i="5"/>
  <c r="AC252" i="5" s="1"/>
  <c r="AB252" i="5"/>
  <c r="AA252" i="5"/>
  <c r="G252" i="5" a="1"/>
  <c r="L252" i="5" a="1"/>
  <c r="P252" i="5" a="1"/>
  <c r="N252" i="5" a="1"/>
  <c r="O252" i="5" a="1"/>
  <c r="H252" i="5" a="1"/>
  <c r="J252" i="5" a="1"/>
  <c r="K252" i="5" a="1"/>
  <c r="I252" i="5" a="1"/>
  <c r="M252" i="5" a="1"/>
  <c r="C252" i="5" a="1"/>
  <c r="V251" i="5" l="1" a="1"/>
  <c r="V251" i="5" s="1"/>
  <c r="U251" i="5" a="1"/>
  <c r="U251" i="5" s="1"/>
  <c r="K252" i="5"/>
  <c r="G252" i="5"/>
  <c r="I252" i="5"/>
  <c r="O252" i="5"/>
  <c r="J252" i="5"/>
  <c r="P252" i="5"/>
  <c r="C252" i="5"/>
  <c r="L252" i="5"/>
  <c r="M252" i="5"/>
  <c r="N252" i="5"/>
  <c r="H252" i="5"/>
  <c r="E253" i="5" a="1"/>
  <c r="E253" i="5" s="1"/>
  <c r="AA253" i="5" s="1"/>
  <c r="B253" i="5"/>
  <c r="A254" i="5" a="1"/>
  <c r="R252" i="5" l="1"/>
  <c r="F253" i="5" a="1"/>
  <c r="F253" i="5" s="1"/>
  <c r="S252" i="5"/>
  <c r="Q252" i="5"/>
  <c r="T252" i="5"/>
  <c r="A254" i="5"/>
  <c r="Y253" i="5"/>
  <c r="AC253" i="5" s="1"/>
  <c r="W253" i="5"/>
  <c r="Z253" i="5"/>
  <c r="AB253" i="5"/>
  <c r="X253" i="5"/>
  <c r="K253" i="5" a="1"/>
  <c r="D253" i="5" a="1"/>
  <c r="L253" i="5" a="1"/>
  <c r="O253" i="5" a="1"/>
  <c r="I253" i="5" a="1"/>
  <c r="N253" i="5" a="1"/>
  <c r="C253" i="5" a="1"/>
  <c r="H253" i="5" a="1"/>
  <c r="J253" i="5" a="1"/>
  <c r="G253" i="5" a="1"/>
  <c r="P253" i="5" a="1"/>
  <c r="A255" i="5" a="1"/>
  <c r="M253" i="5" a="1"/>
  <c r="U252" i="5" l="1" a="1"/>
  <c r="U252" i="5" s="1"/>
  <c r="I253" i="5"/>
  <c r="H253" i="5"/>
  <c r="O253" i="5"/>
  <c r="L253" i="5"/>
  <c r="M253" i="5"/>
  <c r="K253" i="5"/>
  <c r="D253" i="5"/>
  <c r="N253" i="5"/>
  <c r="G253" i="5"/>
  <c r="P253" i="5"/>
  <c r="J253" i="5"/>
  <c r="C253" i="5"/>
  <c r="V252" i="5" a="1"/>
  <c r="V252" i="5" s="1"/>
  <c r="B254" i="5"/>
  <c r="F254" i="5" s="1" a="1"/>
  <c r="F254" i="5" s="1"/>
  <c r="E254" i="5" a="1"/>
  <c r="E254" i="5" s="1"/>
  <c r="A255" i="5"/>
  <c r="T253" i="5" l="1"/>
  <c r="R253" i="5"/>
  <c r="AA254" i="5"/>
  <c r="AB254" i="5"/>
  <c r="X254" i="5"/>
  <c r="Z254" i="5"/>
  <c r="E255" i="5" a="1"/>
  <c r="E255" i="5" s="1"/>
  <c r="Y255" i="5" s="1"/>
  <c r="B255" i="5"/>
  <c r="N255" i="5" s="1" a="1"/>
  <c r="Q253" i="5"/>
  <c r="S253" i="5"/>
  <c r="W254" i="5"/>
  <c r="Y254" i="5"/>
  <c r="AC254" i="5" s="1"/>
  <c r="O254" i="5" a="1"/>
  <c r="P254" i="5" a="1"/>
  <c r="M254" i="5" a="1"/>
  <c r="G254" i="5" a="1"/>
  <c r="H254" i="5" a="1"/>
  <c r="N254" i="5" a="1"/>
  <c r="K254" i="5" a="1"/>
  <c r="J254" i="5" a="1"/>
  <c r="A256" i="5" a="1"/>
  <c r="L254" i="5" a="1"/>
  <c r="I254" i="5" a="1"/>
  <c r="C254" i="5" a="1"/>
  <c r="D254" i="5" a="1"/>
  <c r="V253" i="5" l="1" a="1"/>
  <c r="V253" i="5" s="1"/>
  <c r="U253" i="5" a="1"/>
  <c r="U253" i="5" s="1"/>
  <c r="D254" i="5"/>
  <c r="M254" i="5"/>
  <c r="L254" i="5"/>
  <c r="H254" i="5"/>
  <c r="G254" i="5"/>
  <c r="N254" i="5"/>
  <c r="K254" i="5"/>
  <c r="N255" i="5"/>
  <c r="O254" i="5"/>
  <c r="J254" i="5"/>
  <c r="P254" i="5"/>
  <c r="I254" i="5"/>
  <c r="C254" i="5"/>
  <c r="F255" i="5" a="1"/>
  <c r="F255" i="5" s="1"/>
  <c r="A256" i="5"/>
  <c r="W255" i="5"/>
  <c r="Z255" i="5"/>
  <c r="X255" i="5"/>
  <c r="AC255" i="5"/>
  <c r="AA255" i="5"/>
  <c r="AB255" i="5"/>
  <c r="K255" i="5" a="1"/>
  <c r="J255" i="5" a="1"/>
  <c r="C255" i="5" a="1"/>
  <c r="M255" i="5" a="1"/>
  <c r="I255" i="5" a="1"/>
  <c r="O255" i="5" a="1"/>
  <c r="L255" i="5" a="1"/>
  <c r="P255" i="5" a="1"/>
  <c r="G255" i="5" a="1"/>
  <c r="D255" i="5" a="1"/>
  <c r="H255" i="5" a="1"/>
  <c r="H255" i="5" l="1"/>
  <c r="D255" i="5"/>
  <c r="J255" i="5"/>
  <c r="M255" i="5"/>
  <c r="G255" i="5"/>
  <c r="I255" i="5"/>
  <c r="L255" i="5"/>
  <c r="K255" i="5"/>
  <c r="C255" i="5"/>
  <c r="P255" i="5"/>
  <c r="O255" i="5"/>
  <c r="T254" i="5"/>
  <c r="R254" i="5"/>
  <c r="Q254" i="5"/>
  <c r="S254" i="5"/>
  <c r="B256" i="5"/>
  <c r="F256" i="5" s="1" a="1"/>
  <c r="F256" i="5" s="1"/>
  <c r="E256" i="5" a="1"/>
  <c r="E256" i="5" s="1"/>
  <c r="W256" i="5" s="1"/>
  <c r="A257" i="5" a="1"/>
  <c r="V254" i="5" l="1" a="1"/>
  <c r="V254" i="5" s="1"/>
  <c r="U254" i="5" a="1"/>
  <c r="U254" i="5" s="1"/>
  <c r="T255" i="5"/>
  <c r="S255" i="5"/>
  <c r="Q255" i="5"/>
  <c r="R255" i="5"/>
  <c r="A257" i="5"/>
  <c r="A258" i="5" s="1" a="1"/>
  <c r="Y256" i="5"/>
  <c r="AC256" i="5" s="1"/>
  <c r="Z256" i="5"/>
  <c r="X256" i="5"/>
  <c r="AB256" i="5"/>
  <c r="AA256" i="5"/>
  <c r="O256" i="5" a="1"/>
  <c r="P256" i="5" a="1"/>
  <c r="K256" i="5" a="1"/>
  <c r="G256" i="5" a="1"/>
  <c r="C256" i="5" a="1"/>
  <c r="H256" i="5" a="1"/>
  <c r="L256" i="5" a="1"/>
  <c r="D256" i="5" a="1"/>
  <c r="M256" i="5" a="1"/>
  <c r="N256" i="5" a="1"/>
  <c r="J256" i="5" a="1"/>
  <c r="I256" i="5" a="1"/>
  <c r="V255" i="5" l="1" a="1"/>
  <c r="V255" i="5" s="1"/>
  <c r="I256" i="5"/>
  <c r="D256" i="5"/>
  <c r="H256" i="5"/>
  <c r="G256" i="5"/>
  <c r="C256" i="5"/>
  <c r="O256" i="5"/>
  <c r="M256" i="5"/>
  <c r="N256" i="5"/>
  <c r="L256" i="5"/>
  <c r="P256" i="5"/>
  <c r="K256" i="5"/>
  <c r="J256" i="5"/>
  <c r="U255" i="5" a="1"/>
  <c r="U255" i="5" s="1"/>
  <c r="B257" i="5"/>
  <c r="K257" i="5" s="1" a="1"/>
  <c r="A258" i="5"/>
  <c r="E257" i="5" a="1"/>
  <c r="T256" i="5" l="1"/>
  <c r="S256" i="5"/>
  <c r="Q256" i="5"/>
  <c r="R256" i="5"/>
  <c r="K257" i="5"/>
  <c r="E257" i="5"/>
  <c r="X257" i="5" s="1"/>
  <c r="B258" i="5"/>
  <c r="K258" i="5" s="1" a="1"/>
  <c r="O257" i="5" a="1"/>
  <c r="F257" i="5" a="1"/>
  <c r="C257" i="5" a="1"/>
  <c r="M257" i="5" a="1"/>
  <c r="A259" i="5" a="1"/>
  <c r="J257" i="5" a="1"/>
  <c r="P257" i="5" a="1"/>
  <c r="I257" i="5" a="1"/>
  <c r="L257" i="5" a="1"/>
  <c r="G257" i="5" a="1"/>
  <c r="N257" i="5" a="1"/>
  <c r="H257" i="5" a="1"/>
  <c r="D257" i="5" a="1"/>
  <c r="V256" i="5" l="1" a="1"/>
  <c r="V256" i="5" s="1"/>
  <c r="AA257" i="5"/>
  <c r="U256" i="5" a="1"/>
  <c r="U256" i="5" s="1"/>
  <c r="Y257" i="5"/>
  <c r="AC257" i="5" s="1"/>
  <c r="AB257" i="5"/>
  <c r="F257" i="5"/>
  <c r="F258" i="5" s="1" a="1"/>
  <c r="F258" i="5" s="1"/>
  <c r="G257" i="5"/>
  <c r="J257" i="5"/>
  <c r="W257" i="5"/>
  <c r="Z257" i="5"/>
  <c r="C257" i="5"/>
  <c r="N257" i="5"/>
  <c r="O257" i="5"/>
  <c r="H257" i="5"/>
  <c r="D257" i="5"/>
  <c r="I257" i="5"/>
  <c r="K258" i="5"/>
  <c r="L257" i="5"/>
  <c r="P257" i="5"/>
  <c r="M257" i="5"/>
  <c r="E258" i="5" a="1"/>
  <c r="E258" i="5" s="1"/>
  <c r="A259" i="5"/>
  <c r="P258" i="5" a="1"/>
  <c r="O258" i="5" a="1"/>
  <c r="C258" i="5" a="1"/>
  <c r="I258" i="5" a="1"/>
  <c r="L258" i="5" a="1"/>
  <c r="M258" i="5" a="1"/>
  <c r="H258" i="5" a="1"/>
  <c r="D258" i="5" a="1"/>
  <c r="N258" i="5" a="1"/>
  <c r="J258" i="5" a="1"/>
  <c r="G258" i="5" a="1"/>
  <c r="T257" i="5" l="1"/>
  <c r="R257" i="5"/>
  <c r="L258" i="5"/>
  <c r="M258" i="5"/>
  <c r="C258" i="5"/>
  <c r="D258" i="5"/>
  <c r="O258" i="5"/>
  <c r="H258" i="5"/>
  <c r="G258" i="5"/>
  <c r="J258" i="5"/>
  <c r="N258" i="5"/>
  <c r="P258" i="5"/>
  <c r="I258" i="5"/>
  <c r="S257" i="5"/>
  <c r="Q257" i="5"/>
  <c r="Y258" i="5"/>
  <c r="AC258" i="5" s="1"/>
  <c r="X258" i="5"/>
  <c r="AB258" i="5"/>
  <c r="AA258" i="5"/>
  <c r="W258" i="5"/>
  <c r="B259" i="5"/>
  <c r="E259" i="5" a="1"/>
  <c r="E259" i="5" s="1"/>
  <c r="Z258" i="5"/>
  <c r="A260" i="5" a="1"/>
  <c r="T258" i="5" l="1"/>
  <c r="V257" i="5" a="1"/>
  <c r="V257" i="5" s="1"/>
  <c r="R258" i="5"/>
  <c r="U257" i="5" a="1"/>
  <c r="U257" i="5" s="1"/>
  <c r="S258" i="5"/>
  <c r="Q258" i="5"/>
  <c r="AA259" i="5"/>
  <c r="F259" i="5" a="1"/>
  <c r="F259" i="5" s="1"/>
  <c r="X259" i="5"/>
  <c r="A260" i="5"/>
  <c r="A261" i="5" s="1" a="1"/>
  <c r="Y259" i="5"/>
  <c r="AC259" i="5" s="1"/>
  <c r="W259" i="5"/>
  <c r="Z259" i="5"/>
  <c r="AB259" i="5"/>
  <c r="J259" i="5" a="1"/>
  <c r="G259" i="5" a="1"/>
  <c r="N259" i="5" a="1"/>
  <c r="O259" i="5" a="1"/>
  <c r="P259" i="5" a="1"/>
  <c r="K259" i="5" a="1"/>
  <c r="M259" i="5" a="1"/>
  <c r="H259" i="5" a="1"/>
  <c r="C259" i="5" a="1"/>
  <c r="D259" i="5" a="1"/>
  <c r="I259" i="5" a="1"/>
  <c r="L259" i="5" a="1"/>
  <c r="V258" i="5" l="1" a="1"/>
  <c r="V258" i="5" s="1"/>
  <c r="U258" i="5" a="1"/>
  <c r="U258" i="5" s="1"/>
  <c r="J259" i="5"/>
  <c r="M259" i="5"/>
  <c r="P259" i="5"/>
  <c r="D259" i="5"/>
  <c r="I259" i="5"/>
  <c r="L259" i="5"/>
  <c r="G259" i="5"/>
  <c r="H259" i="5"/>
  <c r="N259" i="5"/>
  <c r="C259" i="5"/>
  <c r="K259" i="5"/>
  <c r="O259" i="5"/>
  <c r="B260" i="5"/>
  <c r="D260" i="5" s="1" a="1"/>
  <c r="E260" i="5" a="1"/>
  <c r="E260" i="5" s="1"/>
  <c r="W260" i="5" s="1"/>
  <c r="A261" i="5"/>
  <c r="AA260" i="5" l="1"/>
  <c r="Y260" i="5"/>
  <c r="AC260" i="5" s="1"/>
  <c r="D260" i="5"/>
  <c r="F260" i="5" a="1"/>
  <c r="F260" i="5" s="1"/>
  <c r="AB260" i="5"/>
  <c r="X260" i="5"/>
  <c r="Z260" i="5"/>
  <c r="Q259" i="5"/>
  <c r="S259" i="5"/>
  <c r="R259" i="5"/>
  <c r="E261" i="5" a="1"/>
  <c r="E261" i="5" s="1"/>
  <c r="Y261" i="5" s="1"/>
  <c r="B261" i="5"/>
  <c r="M261" i="5" s="1" a="1"/>
  <c r="T259" i="5"/>
  <c r="I260" i="5" a="1"/>
  <c r="O260" i="5" a="1"/>
  <c r="N260" i="5" a="1"/>
  <c r="G260" i="5" a="1"/>
  <c r="A262" i="5" a="1"/>
  <c r="M260" i="5" a="1"/>
  <c r="H260" i="5" a="1"/>
  <c r="P260" i="5" a="1"/>
  <c r="J260" i="5" a="1"/>
  <c r="C260" i="5" a="1"/>
  <c r="L260" i="5" a="1"/>
  <c r="K260" i="5" a="1"/>
  <c r="U259" i="5" l="1" a="1"/>
  <c r="U259" i="5" s="1"/>
  <c r="C260" i="5"/>
  <c r="N260" i="5"/>
  <c r="J260" i="5"/>
  <c r="M260" i="5"/>
  <c r="K260" i="5"/>
  <c r="P260" i="5"/>
  <c r="M261" i="5"/>
  <c r="L260" i="5"/>
  <c r="O260" i="5"/>
  <c r="H260" i="5"/>
  <c r="I260" i="5"/>
  <c r="G260" i="5"/>
  <c r="V259" i="5" a="1"/>
  <c r="V259" i="5" s="1"/>
  <c r="F261" i="5" a="1"/>
  <c r="F261" i="5" s="1"/>
  <c r="A262" i="5"/>
  <c r="Z261" i="5"/>
  <c r="W261" i="5"/>
  <c r="AC261" i="5"/>
  <c r="AB261" i="5"/>
  <c r="AA261" i="5"/>
  <c r="X261" i="5"/>
  <c r="L261" i="5" a="1"/>
  <c r="N261" i="5" a="1"/>
  <c r="J261" i="5" a="1"/>
  <c r="D261" i="5" a="1"/>
  <c r="G261" i="5" a="1"/>
  <c r="K261" i="5" a="1"/>
  <c r="H261" i="5" a="1"/>
  <c r="O261" i="5" a="1"/>
  <c r="P261" i="5" a="1"/>
  <c r="C261" i="5" a="1"/>
  <c r="I261" i="5" a="1"/>
  <c r="O261" i="5" l="1"/>
  <c r="S261" i="5" s="1"/>
  <c r="I261" i="5"/>
  <c r="R260" i="5"/>
  <c r="P261" i="5"/>
  <c r="T261" i="5" s="1"/>
  <c r="C261" i="5"/>
  <c r="D261" i="5"/>
  <c r="N261" i="5"/>
  <c r="G261" i="5"/>
  <c r="L261" i="5"/>
  <c r="K261" i="5"/>
  <c r="H261" i="5"/>
  <c r="J261" i="5"/>
  <c r="B262" i="5"/>
  <c r="F262" i="5" s="1" a="1"/>
  <c r="F262" i="5" s="1"/>
  <c r="E262" i="5" a="1"/>
  <c r="E262" i="5" s="1"/>
  <c r="T260" i="5"/>
  <c r="Q260" i="5"/>
  <c r="S260" i="5"/>
  <c r="A263" i="5" a="1"/>
  <c r="Q261" i="5" l="1"/>
  <c r="U260" i="5" a="1"/>
  <c r="U260" i="5" s="1"/>
  <c r="V261" i="5" a="1"/>
  <c r="V261" i="5" s="1"/>
  <c r="W262" i="5"/>
  <c r="V260" i="5" a="1"/>
  <c r="V260" i="5" s="1"/>
  <c r="R261" i="5"/>
  <c r="A263" i="5"/>
  <c r="X262" i="5"/>
  <c r="AB262" i="5"/>
  <c r="Y262" i="5"/>
  <c r="AC262" i="5" s="1"/>
  <c r="Z262" i="5"/>
  <c r="AA262" i="5"/>
  <c r="M262" i="5" a="1"/>
  <c r="L262" i="5" a="1"/>
  <c r="K262" i="5" a="1"/>
  <c r="N262" i="5" a="1"/>
  <c r="H262" i="5" a="1"/>
  <c r="I262" i="5" a="1"/>
  <c r="O262" i="5" a="1"/>
  <c r="J262" i="5" a="1"/>
  <c r="G262" i="5" a="1"/>
  <c r="P262" i="5" a="1"/>
  <c r="D262" i="5" a="1"/>
  <c r="C262" i="5" a="1"/>
  <c r="U261" i="5" l="1" a="1"/>
  <c r="U261" i="5" s="1"/>
  <c r="O262" i="5"/>
  <c r="K262" i="5"/>
  <c r="G262" i="5"/>
  <c r="C262" i="5"/>
  <c r="D262" i="5"/>
  <c r="H262" i="5"/>
  <c r="M262" i="5"/>
  <c r="P262" i="5"/>
  <c r="N262" i="5"/>
  <c r="L262" i="5"/>
  <c r="I262" i="5"/>
  <c r="J262" i="5"/>
  <c r="E263" i="5" a="1"/>
  <c r="E263" i="5" s="1"/>
  <c r="B263" i="5"/>
  <c r="H263" i="5" s="1" a="1"/>
  <c r="A264" i="5" a="1"/>
  <c r="R262" i="5" l="1"/>
  <c r="T262" i="5"/>
  <c r="S262" i="5"/>
  <c r="Q262" i="5"/>
  <c r="H263" i="5"/>
  <c r="AA263" i="5"/>
  <c r="F263" i="5" a="1"/>
  <c r="F263" i="5" s="1"/>
  <c r="AB263" i="5"/>
  <c r="X263" i="5"/>
  <c r="Y263" i="5"/>
  <c r="AC263" i="5" s="1"/>
  <c r="A264" i="5"/>
  <c r="W263" i="5"/>
  <c r="Z263" i="5"/>
  <c r="N263" i="5" a="1"/>
  <c r="L263" i="5" a="1"/>
  <c r="M263" i="5" a="1"/>
  <c r="G263" i="5" a="1"/>
  <c r="D263" i="5" a="1"/>
  <c r="C263" i="5" a="1"/>
  <c r="O263" i="5" a="1"/>
  <c r="J263" i="5" a="1"/>
  <c r="K263" i="5" a="1"/>
  <c r="P263" i="5" a="1"/>
  <c r="I263" i="5" a="1"/>
  <c r="U262" i="5" l="1" a="1"/>
  <c r="U262" i="5" s="1"/>
  <c r="V262" i="5" a="1"/>
  <c r="V262" i="5" s="1"/>
  <c r="O263" i="5"/>
  <c r="D263" i="5"/>
  <c r="C263" i="5"/>
  <c r="N263" i="5"/>
  <c r="K263" i="5"/>
  <c r="G263" i="5"/>
  <c r="J263" i="5"/>
  <c r="M263" i="5"/>
  <c r="P263" i="5"/>
  <c r="L263" i="5"/>
  <c r="I263" i="5"/>
  <c r="B264" i="5"/>
  <c r="F264" i="5" s="1" a="1"/>
  <c r="F264" i="5" s="1"/>
  <c r="E264" i="5" a="1"/>
  <c r="E264" i="5" s="1"/>
  <c r="W264" i="5" s="1"/>
  <c r="A265" i="5" a="1"/>
  <c r="T263" i="5" l="1"/>
  <c r="R263" i="5"/>
  <c r="S263" i="5"/>
  <c r="Q263" i="5"/>
  <c r="Y264" i="5"/>
  <c r="AC264" i="5" s="1"/>
  <c r="A265" i="5"/>
  <c r="X264" i="5"/>
  <c r="Z264" i="5"/>
  <c r="AB264" i="5"/>
  <c r="AA264" i="5"/>
  <c r="H264" i="5" a="1"/>
  <c r="K264" i="5" a="1"/>
  <c r="O264" i="5" a="1"/>
  <c r="M264" i="5" a="1"/>
  <c r="D264" i="5" a="1"/>
  <c r="G264" i="5" a="1"/>
  <c r="I264" i="5" a="1"/>
  <c r="C264" i="5" a="1"/>
  <c r="N264" i="5" a="1"/>
  <c r="P264" i="5" a="1"/>
  <c r="L264" i="5" a="1"/>
  <c r="J264" i="5" a="1"/>
  <c r="V263" i="5" l="1" a="1"/>
  <c r="V263" i="5" s="1"/>
  <c r="U263" i="5" a="1"/>
  <c r="U263" i="5" s="1"/>
  <c r="K264" i="5"/>
  <c r="J264" i="5"/>
  <c r="M264" i="5"/>
  <c r="I264" i="5"/>
  <c r="P264" i="5"/>
  <c r="C264" i="5"/>
  <c r="L264" i="5"/>
  <c r="O264" i="5"/>
  <c r="G264" i="5"/>
  <c r="D264" i="5"/>
  <c r="H264" i="5"/>
  <c r="N264" i="5"/>
  <c r="B265" i="5"/>
  <c r="N265" i="5" s="1" a="1"/>
  <c r="E265" i="5" a="1"/>
  <c r="E265" i="5" s="1"/>
  <c r="A266" i="5" a="1"/>
  <c r="N265" i="5" l="1"/>
  <c r="R264" i="5"/>
  <c r="F265" i="5" a="1"/>
  <c r="F265" i="5" s="1"/>
  <c r="T264" i="5"/>
  <c r="Q264" i="5"/>
  <c r="S264" i="5"/>
  <c r="AA265" i="5"/>
  <c r="A266" i="5"/>
  <c r="Y265" i="5"/>
  <c r="AC265" i="5" s="1"/>
  <c r="W265" i="5"/>
  <c r="Z265" i="5"/>
  <c r="X265" i="5"/>
  <c r="AB265" i="5"/>
  <c r="I265" i="5" a="1"/>
  <c r="J265" i="5" a="1"/>
  <c r="M265" i="5" a="1"/>
  <c r="L265" i="5" a="1"/>
  <c r="O265" i="5" a="1"/>
  <c r="H265" i="5" a="1"/>
  <c r="C265" i="5" a="1"/>
  <c r="G265" i="5" a="1"/>
  <c r="P265" i="5" a="1"/>
  <c r="K265" i="5" a="1"/>
  <c r="D265" i="5" a="1"/>
  <c r="V264" i="5" l="1" a="1"/>
  <c r="V264" i="5" s="1"/>
  <c r="O265" i="5"/>
  <c r="P265" i="5"/>
  <c r="J265" i="5"/>
  <c r="C265" i="5"/>
  <c r="M265" i="5"/>
  <c r="L265" i="5"/>
  <c r="I265" i="5"/>
  <c r="D265" i="5"/>
  <c r="H265" i="5"/>
  <c r="K265" i="5"/>
  <c r="G265" i="5"/>
  <c r="U264" i="5" a="1"/>
  <c r="U264" i="5" s="1"/>
  <c r="E266" i="5" a="1"/>
  <c r="E266" i="5" s="1"/>
  <c r="B266" i="5"/>
  <c r="A267" i="5" a="1"/>
  <c r="T265" i="5" l="1"/>
  <c r="F266" i="5" a="1"/>
  <c r="F266" i="5" s="1"/>
  <c r="W266" i="5"/>
  <c r="R265" i="5"/>
  <c r="S265" i="5"/>
  <c r="Q265" i="5"/>
  <c r="A267" i="5"/>
  <c r="Y266" i="5"/>
  <c r="AC266" i="5" s="1"/>
  <c r="X266" i="5"/>
  <c r="AB266" i="5"/>
  <c r="Z266" i="5"/>
  <c r="AA266" i="5"/>
  <c r="H266" i="5" a="1"/>
  <c r="K266" i="5" a="1"/>
  <c r="J266" i="5" a="1"/>
  <c r="L266" i="5" a="1"/>
  <c r="P266" i="5" a="1"/>
  <c r="N266" i="5" a="1"/>
  <c r="M266" i="5" a="1"/>
  <c r="D266" i="5" a="1"/>
  <c r="I266" i="5" a="1"/>
  <c r="C266" i="5" a="1"/>
  <c r="G266" i="5" a="1"/>
  <c r="O266" i="5" a="1"/>
  <c r="U265" i="5" l="1" a="1"/>
  <c r="U265" i="5" s="1"/>
  <c r="V265" i="5" a="1"/>
  <c r="V265" i="5" s="1"/>
  <c r="P266" i="5"/>
  <c r="J266" i="5"/>
  <c r="N266" i="5"/>
  <c r="H266" i="5"/>
  <c r="O266" i="5"/>
  <c r="G266" i="5"/>
  <c r="C266" i="5"/>
  <c r="M266" i="5"/>
  <c r="I266" i="5"/>
  <c r="L266" i="5"/>
  <c r="D266" i="5"/>
  <c r="K266" i="5"/>
  <c r="B267" i="5"/>
  <c r="F267" i="5" s="1" a="1"/>
  <c r="F267" i="5" s="1"/>
  <c r="E267" i="5" a="1"/>
  <c r="E267" i="5" s="1"/>
  <c r="AA267" i="5" s="1"/>
  <c r="A268" i="5" a="1"/>
  <c r="T266" i="5" l="1"/>
  <c r="R266" i="5"/>
  <c r="Q266" i="5"/>
  <c r="S266" i="5"/>
  <c r="W267" i="5"/>
  <c r="A268" i="5"/>
  <c r="Y267" i="5"/>
  <c r="AC267" i="5" s="1"/>
  <c r="Z267" i="5"/>
  <c r="X267" i="5"/>
  <c r="AB267" i="5"/>
  <c r="H267" i="5" a="1"/>
  <c r="I267" i="5" a="1"/>
  <c r="C267" i="5" a="1"/>
  <c r="G267" i="5" a="1"/>
  <c r="P267" i="5" a="1"/>
  <c r="J267" i="5" a="1"/>
  <c r="L267" i="5" a="1"/>
  <c r="K267" i="5" a="1"/>
  <c r="O267" i="5" a="1"/>
  <c r="D267" i="5" a="1"/>
  <c r="M267" i="5" a="1"/>
  <c r="N267" i="5" a="1"/>
  <c r="V266" i="5" l="1" a="1"/>
  <c r="V266" i="5" s="1"/>
  <c r="U266" i="5" a="1"/>
  <c r="U266" i="5" s="1"/>
  <c r="G267" i="5"/>
  <c r="K267" i="5"/>
  <c r="O267" i="5"/>
  <c r="H267" i="5"/>
  <c r="P267" i="5"/>
  <c r="C267" i="5"/>
  <c r="L267" i="5"/>
  <c r="J267" i="5"/>
  <c r="N267" i="5"/>
  <c r="M267" i="5"/>
  <c r="I267" i="5"/>
  <c r="D267" i="5"/>
  <c r="B268" i="5"/>
  <c r="N268" i="5" s="1" a="1"/>
  <c r="E268" i="5" a="1"/>
  <c r="E268" i="5" s="1"/>
  <c r="A269" i="5" a="1"/>
  <c r="Q267" i="5" l="1"/>
  <c r="R267" i="5"/>
  <c r="T267" i="5"/>
  <c r="S267" i="5"/>
  <c r="N268" i="5"/>
  <c r="F268" i="5" a="1"/>
  <c r="F268" i="5" s="1"/>
  <c r="W268" i="5"/>
  <c r="A269" i="5"/>
  <c r="Y268" i="5"/>
  <c r="AC268" i="5" s="1"/>
  <c r="AB268" i="5"/>
  <c r="Z268" i="5"/>
  <c r="X268" i="5"/>
  <c r="AA268" i="5"/>
  <c r="I268" i="5" a="1"/>
  <c r="C268" i="5" a="1"/>
  <c r="D268" i="5" a="1"/>
  <c r="H268" i="5" a="1"/>
  <c r="O268" i="5" a="1"/>
  <c r="J268" i="5" a="1"/>
  <c r="P268" i="5" a="1"/>
  <c r="L268" i="5" a="1"/>
  <c r="M268" i="5" a="1"/>
  <c r="G268" i="5" a="1"/>
  <c r="K268" i="5" a="1"/>
  <c r="V267" i="5" l="1" a="1"/>
  <c r="V267" i="5" s="1"/>
  <c r="U267" i="5" a="1"/>
  <c r="U267" i="5" s="1"/>
  <c r="I268" i="5"/>
  <c r="L268" i="5"/>
  <c r="H268" i="5"/>
  <c r="D268" i="5"/>
  <c r="K268" i="5"/>
  <c r="P268" i="5"/>
  <c r="O268" i="5"/>
  <c r="M268" i="5"/>
  <c r="G268" i="5"/>
  <c r="J268" i="5"/>
  <c r="C268" i="5"/>
  <c r="E269" i="5" a="1"/>
  <c r="E269" i="5" s="1"/>
  <c r="AA269" i="5" s="1"/>
  <c r="B269" i="5"/>
  <c r="A270" i="5" a="1"/>
  <c r="R268" i="5" l="1"/>
  <c r="T268" i="5"/>
  <c r="F269" i="5" a="1"/>
  <c r="F269" i="5" s="1"/>
  <c r="Q268" i="5"/>
  <c r="S268" i="5"/>
  <c r="A270" i="5"/>
  <c r="Y269" i="5"/>
  <c r="AC269" i="5" s="1"/>
  <c r="W269" i="5"/>
  <c r="Z269" i="5"/>
  <c r="X269" i="5"/>
  <c r="AB269" i="5"/>
  <c r="M269" i="5" a="1"/>
  <c r="P269" i="5" a="1"/>
  <c r="I269" i="5" a="1"/>
  <c r="D269" i="5" a="1"/>
  <c r="J269" i="5" a="1"/>
  <c r="L269" i="5" a="1"/>
  <c r="G269" i="5" a="1"/>
  <c r="H269" i="5" a="1"/>
  <c r="O269" i="5" a="1"/>
  <c r="N269" i="5" a="1"/>
  <c r="C269" i="5" a="1"/>
  <c r="K269" i="5" a="1"/>
  <c r="U268" i="5" l="1" a="1"/>
  <c r="U268" i="5" s="1"/>
  <c r="V268" i="5" a="1"/>
  <c r="V268" i="5" s="1"/>
  <c r="N269" i="5"/>
  <c r="J269" i="5"/>
  <c r="P269" i="5"/>
  <c r="C269" i="5"/>
  <c r="D269" i="5"/>
  <c r="G269" i="5"/>
  <c r="L269" i="5"/>
  <c r="H269" i="5"/>
  <c r="M269" i="5"/>
  <c r="I269" i="5"/>
  <c r="K269" i="5"/>
  <c r="O269" i="5"/>
  <c r="B270" i="5"/>
  <c r="F270" i="5" s="1" a="1"/>
  <c r="F270" i="5" s="1"/>
  <c r="E270" i="5" a="1"/>
  <c r="E270" i="5" s="1"/>
  <c r="AB270" i="5" s="1"/>
  <c r="A271" i="5" a="1"/>
  <c r="Q269" i="5" l="1"/>
  <c r="S269" i="5"/>
  <c r="R269" i="5"/>
  <c r="T269" i="5"/>
  <c r="A271" i="5"/>
  <c r="X270" i="5"/>
  <c r="AA270" i="5"/>
  <c r="W270" i="5"/>
  <c r="Y270" i="5"/>
  <c r="AC270" i="5" s="1"/>
  <c r="Z270" i="5"/>
  <c r="N270" i="5" a="1"/>
  <c r="G270" i="5" a="1"/>
  <c r="H270" i="5" a="1"/>
  <c r="O270" i="5" a="1"/>
  <c r="C270" i="5" a="1"/>
  <c r="K270" i="5" a="1"/>
  <c r="L270" i="5" a="1"/>
  <c r="P270" i="5" a="1"/>
  <c r="D270" i="5" a="1"/>
  <c r="I270" i="5" a="1"/>
  <c r="M270" i="5" a="1"/>
  <c r="J270" i="5" a="1"/>
  <c r="K270" i="5" l="1"/>
  <c r="D270" i="5"/>
  <c r="C270" i="5"/>
  <c r="G270" i="5"/>
  <c r="M270" i="5"/>
  <c r="N270" i="5"/>
  <c r="O270" i="5"/>
  <c r="I270" i="5"/>
  <c r="L270" i="5"/>
  <c r="J270" i="5"/>
  <c r="H270" i="5"/>
  <c r="P270" i="5"/>
  <c r="E271" i="5" a="1"/>
  <c r="E271" i="5" s="1"/>
  <c r="AA271" i="5" s="1"/>
  <c r="B271" i="5"/>
  <c r="V269" i="5" a="1"/>
  <c r="V269" i="5" s="1"/>
  <c r="U269" i="5" a="1"/>
  <c r="U269" i="5" s="1"/>
  <c r="A272" i="5" a="1"/>
  <c r="N271" i="5" a="1"/>
  <c r="N271" i="5" l="1"/>
  <c r="S270" i="5"/>
  <c r="Q270" i="5"/>
  <c r="R270" i="5"/>
  <c r="T270" i="5"/>
  <c r="F271" i="5" a="1"/>
  <c r="F271" i="5" s="1"/>
  <c r="A272" i="5"/>
  <c r="Y271" i="5"/>
  <c r="AC271" i="5" s="1"/>
  <c r="W271" i="5"/>
  <c r="Z271" i="5"/>
  <c r="X271" i="5"/>
  <c r="AB271" i="5"/>
  <c r="O271" i="5" a="1"/>
  <c r="J271" i="5" a="1"/>
  <c r="K271" i="5" a="1"/>
  <c r="L271" i="5" a="1"/>
  <c r="C271" i="5" a="1"/>
  <c r="P271" i="5" a="1"/>
  <c r="H271" i="5" a="1"/>
  <c r="D271" i="5" a="1"/>
  <c r="I271" i="5" a="1"/>
  <c r="M271" i="5" a="1"/>
  <c r="A273" i="5" a="1"/>
  <c r="G271" i="5" a="1"/>
  <c r="V270" i="5" l="1" a="1"/>
  <c r="V270" i="5" s="1"/>
  <c r="D271" i="5"/>
  <c r="H271" i="5"/>
  <c r="J271" i="5"/>
  <c r="M271" i="5"/>
  <c r="U270" i="5" a="1"/>
  <c r="U270" i="5" s="1"/>
  <c r="I271" i="5"/>
  <c r="L271" i="5"/>
  <c r="K271" i="5"/>
  <c r="C271" i="5"/>
  <c r="O271" i="5"/>
  <c r="G271" i="5"/>
  <c r="P271" i="5"/>
  <c r="B272" i="5"/>
  <c r="O272" i="5" s="1" a="1"/>
  <c r="E272" i="5" a="1"/>
  <c r="E272" i="5" s="1"/>
  <c r="X272" i="5" s="1"/>
  <c r="A273" i="5"/>
  <c r="AA272" i="5" l="1"/>
  <c r="Z272" i="5"/>
  <c r="W272" i="5"/>
  <c r="AB272" i="5"/>
  <c r="O272" i="5"/>
  <c r="R271" i="5"/>
  <c r="T271" i="5"/>
  <c r="Q271" i="5"/>
  <c r="S271" i="5"/>
  <c r="B273" i="5"/>
  <c r="K273" i="5" s="1" a="1"/>
  <c r="E273" i="5" a="1"/>
  <c r="E273" i="5" s="1"/>
  <c r="Y272" i="5"/>
  <c r="AC272" i="5" s="1"/>
  <c r="A274" i="5" a="1"/>
  <c r="M272" i="5" a="1"/>
  <c r="J272" i="5" a="1"/>
  <c r="L272" i="5" a="1"/>
  <c r="C272" i="5" a="1"/>
  <c r="F272" i="5" a="1"/>
  <c r="N272" i="5" a="1"/>
  <c r="H272" i="5" a="1"/>
  <c r="P272" i="5" a="1"/>
  <c r="I272" i="5" a="1"/>
  <c r="K272" i="5" a="1"/>
  <c r="D272" i="5" a="1"/>
  <c r="G272" i="5" a="1"/>
  <c r="L272" i="5" l="1"/>
  <c r="Q272" i="5" s="1"/>
  <c r="D272" i="5"/>
  <c r="K272" i="5"/>
  <c r="I272" i="5"/>
  <c r="C272" i="5"/>
  <c r="G272" i="5"/>
  <c r="F272" i="5"/>
  <c r="F273" i="5" s="1" a="1"/>
  <c r="F273" i="5" s="1"/>
  <c r="M272" i="5"/>
  <c r="S272" i="5" s="1"/>
  <c r="P272" i="5"/>
  <c r="U271" i="5" a="1"/>
  <c r="U271" i="5" s="1"/>
  <c r="K273" i="5"/>
  <c r="H272" i="5"/>
  <c r="N272" i="5"/>
  <c r="J272" i="5"/>
  <c r="V271" i="5" a="1"/>
  <c r="V271" i="5" s="1"/>
  <c r="Y273" i="5"/>
  <c r="AC273" i="5" s="1"/>
  <c r="A274" i="5"/>
  <c r="Z273" i="5"/>
  <c r="W273" i="5"/>
  <c r="X273" i="5"/>
  <c r="AB273" i="5"/>
  <c r="AA273" i="5"/>
  <c r="G273" i="5" a="1"/>
  <c r="L273" i="5" a="1"/>
  <c r="C273" i="5" a="1"/>
  <c r="H273" i="5" a="1"/>
  <c r="P273" i="5" a="1"/>
  <c r="O273" i="5" a="1"/>
  <c r="M273" i="5" a="1"/>
  <c r="I273" i="5" a="1"/>
  <c r="J273" i="5" a="1"/>
  <c r="N273" i="5" a="1"/>
  <c r="D273" i="5" a="1"/>
  <c r="R272" i="5" l="1"/>
  <c r="U272" i="5" s="1" a="1"/>
  <c r="U272" i="5" s="1"/>
  <c r="T272" i="5"/>
  <c r="V272" i="5" s="1" a="1"/>
  <c r="V272" i="5" s="1"/>
  <c r="C273" i="5"/>
  <c r="J273" i="5"/>
  <c r="H273" i="5"/>
  <c r="O273" i="5"/>
  <c r="D273" i="5"/>
  <c r="L273" i="5"/>
  <c r="M273" i="5"/>
  <c r="G273" i="5"/>
  <c r="I273" i="5"/>
  <c r="P273" i="5"/>
  <c r="N273" i="5"/>
  <c r="E274" i="5" a="1"/>
  <c r="E274" i="5" s="1"/>
  <c r="B274" i="5"/>
  <c r="N274" i="5" s="1" a="1"/>
  <c r="A275" i="5" a="1"/>
  <c r="T273" i="5" l="1"/>
  <c r="N274" i="5"/>
  <c r="S273" i="5"/>
  <c r="Q273" i="5"/>
  <c r="F274" i="5" a="1"/>
  <c r="F274" i="5" s="1"/>
  <c r="W274" i="5"/>
  <c r="R273" i="5"/>
  <c r="A275" i="5"/>
  <c r="Y274" i="5"/>
  <c r="AC274" i="5" s="1"/>
  <c r="Z274" i="5"/>
  <c r="X274" i="5"/>
  <c r="AB274" i="5"/>
  <c r="AA274" i="5"/>
  <c r="J274" i="5" a="1"/>
  <c r="D274" i="5" a="1"/>
  <c r="P274" i="5" a="1"/>
  <c r="I274" i="5" a="1"/>
  <c r="M274" i="5" a="1"/>
  <c r="G274" i="5" a="1"/>
  <c r="C274" i="5" a="1"/>
  <c r="O274" i="5" a="1"/>
  <c r="L274" i="5" a="1"/>
  <c r="K274" i="5" a="1"/>
  <c r="H274" i="5" a="1"/>
  <c r="V273" i="5" l="1" a="1"/>
  <c r="V273" i="5" s="1"/>
  <c r="G274" i="5"/>
  <c r="D274" i="5"/>
  <c r="P274" i="5"/>
  <c r="O274" i="5"/>
  <c r="K274" i="5"/>
  <c r="I274" i="5"/>
  <c r="C274" i="5"/>
  <c r="J274" i="5"/>
  <c r="M274" i="5"/>
  <c r="L274" i="5"/>
  <c r="H274" i="5"/>
  <c r="B275" i="5"/>
  <c r="F275" i="5" s="1" a="1"/>
  <c r="F275" i="5" s="1"/>
  <c r="E275" i="5" a="1"/>
  <c r="E275" i="5" s="1"/>
  <c r="Y275" i="5" s="1"/>
  <c r="U273" i="5" a="1"/>
  <c r="U273" i="5" s="1"/>
  <c r="A276" i="5" a="1"/>
  <c r="R274" i="5" l="1"/>
  <c r="Q274" i="5"/>
  <c r="S274" i="5"/>
  <c r="T274" i="5"/>
  <c r="A276" i="5"/>
  <c r="W275" i="5"/>
  <c r="Z275" i="5"/>
  <c r="AC275" i="5"/>
  <c r="X275" i="5"/>
  <c r="AA275" i="5"/>
  <c r="AB275" i="5"/>
  <c r="N275" i="5" a="1"/>
  <c r="O275" i="5" a="1"/>
  <c r="P275" i="5" a="1"/>
  <c r="L275" i="5" a="1"/>
  <c r="C275" i="5" a="1"/>
  <c r="I275" i="5" a="1"/>
  <c r="D275" i="5" a="1"/>
  <c r="M275" i="5" a="1"/>
  <c r="K275" i="5" a="1"/>
  <c r="G275" i="5" a="1"/>
  <c r="J275" i="5" a="1"/>
  <c r="H275" i="5" a="1"/>
  <c r="D275" i="5" l="1"/>
  <c r="C275" i="5"/>
  <c r="P275" i="5"/>
  <c r="J275" i="5"/>
  <c r="G275" i="5"/>
  <c r="H275" i="5"/>
  <c r="I275" i="5"/>
  <c r="L275" i="5"/>
  <c r="U274" i="5" a="1"/>
  <c r="U274" i="5" s="1"/>
  <c r="V274" i="5" a="1"/>
  <c r="V274" i="5" s="1"/>
  <c r="N275" i="5"/>
  <c r="O275" i="5"/>
  <c r="M275" i="5"/>
  <c r="K275" i="5"/>
  <c r="B276" i="5"/>
  <c r="E276" i="5" a="1"/>
  <c r="E276" i="5" s="1"/>
  <c r="W276" i="5" s="1"/>
  <c r="A277" i="5" a="1"/>
  <c r="D276" i="5" a="1"/>
  <c r="R275" i="5" l="1"/>
  <c r="T275" i="5"/>
  <c r="D276" i="5"/>
  <c r="F276" i="5" a="1"/>
  <c r="F276" i="5" s="1"/>
  <c r="Q275" i="5"/>
  <c r="S275" i="5"/>
  <c r="A277" i="5"/>
  <c r="AB276" i="5"/>
  <c r="X276" i="5"/>
  <c r="Y276" i="5"/>
  <c r="AC276" i="5" s="1"/>
  <c r="Z276" i="5"/>
  <c r="AA276" i="5"/>
  <c r="L276" i="5" a="1"/>
  <c r="H276" i="5" a="1"/>
  <c r="P276" i="5" a="1"/>
  <c r="C276" i="5" a="1"/>
  <c r="K276" i="5" a="1"/>
  <c r="O276" i="5" a="1"/>
  <c r="M276" i="5" a="1"/>
  <c r="N276" i="5" a="1"/>
  <c r="J276" i="5" a="1"/>
  <c r="G276" i="5" a="1"/>
  <c r="I276" i="5" a="1"/>
  <c r="U275" i="5" l="1" a="1"/>
  <c r="U275" i="5" s="1"/>
  <c r="V275" i="5" a="1"/>
  <c r="V275" i="5" s="1"/>
  <c r="L276" i="5"/>
  <c r="K276" i="5"/>
  <c r="M276" i="5"/>
  <c r="J276" i="5"/>
  <c r="I276" i="5"/>
  <c r="O276" i="5"/>
  <c r="H276" i="5"/>
  <c r="G276" i="5"/>
  <c r="N276" i="5"/>
  <c r="P276" i="5"/>
  <c r="C276" i="5"/>
  <c r="E277" i="5" a="1"/>
  <c r="E277" i="5" s="1"/>
  <c r="AA277" i="5" s="1"/>
  <c r="B277" i="5"/>
  <c r="A278" i="5" a="1"/>
  <c r="R276" i="5" l="1"/>
  <c r="T276" i="5"/>
  <c r="F277" i="5" a="1"/>
  <c r="F277" i="5" s="1"/>
  <c r="S276" i="5"/>
  <c r="Q276" i="5"/>
  <c r="W277" i="5"/>
  <c r="X277" i="5"/>
  <c r="A278" i="5"/>
  <c r="Y277" i="5"/>
  <c r="AC277" i="5" s="1"/>
  <c r="Z277" i="5"/>
  <c r="AB277" i="5"/>
  <c r="L277" i="5" a="1"/>
  <c r="O277" i="5" a="1"/>
  <c r="D277" i="5" a="1"/>
  <c r="K277" i="5" a="1"/>
  <c r="I277" i="5" a="1"/>
  <c r="P277" i="5" a="1"/>
  <c r="H277" i="5" a="1"/>
  <c r="G277" i="5" a="1"/>
  <c r="C277" i="5" a="1"/>
  <c r="N277" i="5" a="1"/>
  <c r="M277" i="5" a="1"/>
  <c r="J277" i="5" a="1"/>
  <c r="U276" i="5" l="1" a="1"/>
  <c r="U276" i="5" s="1"/>
  <c r="V276" i="5" a="1"/>
  <c r="V276" i="5" s="1"/>
  <c r="J277" i="5"/>
  <c r="P277" i="5"/>
  <c r="D277" i="5"/>
  <c r="I277" i="5"/>
  <c r="L277" i="5"/>
  <c r="H277" i="5"/>
  <c r="M277" i="5"/>
  <c r="O277" i="5"/>
  <c r="G277" i="5"/>
  <c r="N277" i="5"/>
  <c r="K277" i="5"/>
  <c r="C277" i="5"/>
  <c r="B278" i="5"/>
  <c r="F278" i="5" s="1" a="1"/>
  <c r="F278" i="5" s="1"/>
  <c r="E278" i="5" a="1"/>
  <c r="E278" i="5" s="1"/>
  <c r="A279" i="5" a="1"/>
  <c r="T277" i="5" l="1"/>
  <c r="Q277" i="5"/>
  <c r="S277" i="5"/>
  <c r="W278" i="5"/>
  <c r="R277" i="5"/>
  <c r="Y278" i="5"/>
  <c r="AC278" i="5" s="1"/>
  <c r="A279" i="5"/>
  <c r="AB278" i="5"/>
  <c r="Z278" i="5"/>
  <c r="X278" i="5"/>
  <c r="AA278" i="5"/>
  <c r="C278" i="5" a="1"/>
  <c r="G278" i="5" a="1"/>
  <c r="N278" i="5" a="1"/>
  <c r="O278" i="5" a="1"/>
  <c r="J278" i="5" a="1"/>
  <c r="L278" i="5" a="1"/>
  <c r="H278" i="5" a="1"/>
  <c r="D278" i="5" a="1"/>
  <c r="K278" i="5" a="1"/>
  <c r="P278" i="5" a="1"/>
  <c r="I278" i="5" a="1"/>
  <c r="M278" i="5" a="1"/>
  <c r="V277" i="5" l="1" a="1"/>
  <c r="V277" i="5" s="1"/>
  <c r="O278" i="5"/>
  <c r="K278" i="5"/>
  <c r="P278" i="5"/>
  <c r="I278" i="5"/>
  <c r="C278" i="5"/>
  <c r="D278" i="5"/>
  <c r="J278" i="5"/>
  <c r="N278" i="5"/>
  <c r="M278" i="5"/>
  <c r="G278" i="5"/>
  <c r="H278" i="5"/>
  <c r="U277" i="5" a="1"/>
  <c r="U277" i="5" s="1"/>
  <c r="L278" i="5"/>
  <c r="E279" i="5" a="1"/>
  <c r="E279" i="5" s="1"/>
  <c r="AA279" i="5" s="1"/>
  <c r="B279" i="5"/>
  <c r="H279" i="5" s="1" a="1"/>
  <c r="A280" i="5" a="1"/>
  <c r="S278" i="5" l="1"/>
  <c r="R278" i="5"/>
  <c r="Q278" i="5"/>
  <c r="T278" i="5"/>
  <c r="H279" i="5"/>
  <c r="F279" i="5" a="1"/>
  <c r="F279" i="5" s="1"/>
  <c r="W279" i="5"/>
  <c r="X279" i="5"/>
  <c r="Y279" i="5"/>
  <c r="AC279" i="5" s="1"/>
  <c r="A280" i="5"/>
  <c r="Z279" i="5"/>
  <c r="AB279" i="5"/>
  <c r="P279" i="5" a="1"/>
  <c r="L279" i="5" a="1"/>
  <c r="G279" i="5" a="1"/>
  <c r="M279" i="5" a="1"/>
  <c r="N279" i="5" a="1"/>
  <c r="O279" i="5" a="1"/>
  <c r="J279" i="5" a="1"/>
  <c r="C279" i="5" a="1"/>
  <c r="D279" i="5" a="1"/>
  <c r="K279" i="5" a="1"/>
  <c r="I279" i="5" a="1"/>
  <c r="V278" i="5" l="1" a="1"/>
  <c r="V278" i="5" s="1"/>
  <c r="U278" i="5" a="1"/>
  <c r="U278" i="5" s="1"/>
  <c r="O279" i="5"/>
  <c r="K279" i="5"/>
  <c r="L279" i="5"/>
  <c r="G279" i="5"/>
  <c r="P279" i="5"/>
  <c r="J279" i="5"/>
  <c r="M279" i="5"/>
  <c r="N279" i="5"/>
  <c r="C279" i="5"/>
  <c r="D279" i="5"/>
  <c r="I279" i="5"/>
  <c r="B280" i="5"/>
  <c r="F280" i="5" s="1" a="1"/>
  <c r="F280" i="5" s="1"/>
  <c r="E280" i="5" a="1"/>
  <c r="E280" i="5" s="1"/>
  <c r="W280" i="5" s="1"/>
  <c r="A281" i="5" a="1"/>
  <c r="R279" i="5" l="1"/>
  <c r="T279" i="5"/>
  <c r="S279" i="5"/>
  <c r="Q279" i="5"/>
  <c r="A281" i="5"/>
  <c r="X280" i="5"/>
  <c r="AB280" i="5"/>
  <c r="Y280" i="5"/>
  <c r="AC280" i="5" s="1"/>
  <c r="Z280" i="5"/>
  <c r="AA280" i="5"/>
  <c r="G280" i="5" a="1"/>
  <c r="N280" i="5" a="1"/>
  <c r="O280" i="5" a="1"/>
  <c r="I280" i="5" a="1"/>
  <c r="K280" i="5" a="1"/>
  <c r="P280" i="5" a="1"/>
  <c r="H280" i="5" a="1"/>
  <c r="L280" i="5" a="1"/>
  <c r="D280" i="5" a="1"/>
  <c r="J280" i="5" a="1"/>
  <c r="C280" i="5" a="1"/>
  <c r="M280" i="5" a="1"/>
  <c r="U279" i="5" l="1" a="1"/>
  <c r="U279" i="5" s="1"/>
  <c r="C280" i="5"/>
  <c r="V279" i="5" a="1"/>
  <c r="V279" i="5" s="1"/>
  <c r="M280" i="5"/>
  <c r="L280" i="5"/>
  <c r="K280" i="5"/>
  <c r="P280" i="5"/>
  <c r="G280" i="5"/>
  <c r="J280" i="5"/>
  <c r="H280" i="5"/>
  <c r="D280" i="5"/>
  <c r="O280" i="5"/>
  <c r="I280" i="5"/>
  <c r="N280" i="5"/>
  <c r="B281" i="5"/>
  <c r="E281" i="5" a="1"/>
  <c r="E281" i="5" s="1"/>
  <c r="A282" i="5" a="1"/>
  <c r="O281" i="5" a="1"/>
  <c r="O281" i="5" l="1"/>
  <c r="AA281" i="5"/>
  <c r="R280" i="5"/>
  <c r="F281" i="5" a="1"/>
  <c r="F281" i="5" s="1"/>
  <c r="S280" i="5"/>
  <c r="Q280" i="5"/>
  <c r="T280" i="5"/>
  <c r="X281" i="5"/>
  <c r="A282" i="5"/>
  <c r="Y281" i="5"/>
  <c r="AC281" i="5" s="1"/>
  <c r="W281" i="5"/>
  <c r="Z281" i="5"/>
  <c r="AB281" i="5"/>
  <c r="M281" i="5" a="1"/>
  <c r="L281" i="5" a="1"/>
  <c r="C281" i="5" a="1"/>
  <c r="N281" i="5" a="1"/>
  <c r="H281" i="5" a="1"/>
  <c r="G281" i="5" a="1"/>
  <c r="I281" i="5" a="1"/>
  <c r="P281" i="5" a="1"/>
  <c r="J281" i="5" a="1"/>
  <c r="D281" i="5" a="1"/>
  <c r="K281" i="5" a="1"/>
  <c r="U280" i="5" l="1" a="1"/>
  <c r="U280" i="5" s="1"/>
  <c r="G281" i="5"/>
  <c r="P281" i="5"/>
  <c r="M281" i="5"/>
  <c r="J281" i="5"/>
  <c r="D281" i="5"/>
  <c r="L281" i="5"/>
  <c r="Q281" i="5" s="1"/>
  <c r="H281" i="5"/>
  <c r="N281" i="5"/>
  <c r="C281" i="5"/>
  <c r="K281" i="5"/>
  <c r="I281" i="5"/>
  <c r="V280" i="5" a="1"/>
  <c r="V280" i="5" s="1"/>
  <c r="E282" i="5" a="1"/>
  <c r="E282" i="5" s="1"/>
  <c r="B282" i="5"/>
  <c r="K282" i="5" s="1" a="1"/>
  <c r="A283" i="5" a="1"/>
  <c r="K282" i="5" l="1"/>
  <c r="F282" i="5" a="1"/>
  <c r="F282" i="5" s="1"/>
  <c r="T281" i="5"/>
  <c r="S281" i="5"/>
  <c r="W282" i="5"/>
  <c r="R281" i="5"/>
  <c r="U281" i="5" s="1" a="1"/>
  <c r="U281" i="5" s="1"/>
  <c r="A283" i="5"/>
  <c r="Y282" i="5"/>
  <c r="AC282" i="5" s="1"/>
  <c r="X282" i="5"/>
  <c r="AB282" i="5"/>
  <c r="Z282" i="5"/>
  <c r="AA282" i="5"/>
  <c r="C282" i="5" a="1"/>
  <c r="D282" i="5" a="1"/>
  <c r="O282" i="5" a="1"/>
  <c r="H282" i="5" a="1"/>
  <c r="L282" i="5" a="1"/>
  <c r="P282" i="5" a="1"/>
  <c r="G282" i="5" a="1"/>
  <c r="M282" i="5" a="1"/>
  <c r="N282" i="5" a="1"/>
  <c r="J282" i="5" a="1"/>
  <c r="I282" i="5" a="1"/>
  <c r="V281" i="5" l="1" a="1"/>
  <c r="V281" i="5" s="1"/>
  <c r="I282" i="5"/>
  <c r="G282" i="5"/>
  <c r="O282" i="5"/>
  <c r="H282" i="5"/>
  <c r="N282" i="5"/>
  <c r="C282" i="5"/>
  <c r="J282" i="5"/>
  <c r="L282" i="5"/>
  <c r="M282" i="5"/>
  <c r="P282" i="5"/>
  <c r="D282" i="5"/>
  <c r="B283" i="5"/>
  <c r="D283" i="5" s="1" a="1"/>
  <c r="E283" i="5" a="1"/>
  <c r="E283" i="5" s="1"/>
  <c r="Y283" i="5" s="1"/>
  <c r="A284" i="5" a="1"/>
  <c r="T282" i="5" l="1"/>
  <c r="D283" i="5"/>
  <c r="F283" i="5" a="1"/>
  <c r="F283" i="5" s="1"/>
  <c r="Q282" i="5"/>
  <c r="S282" i="5"/>
  <c r="R282" i="5"/>
  <c r="A284" i="5"/>
  <c r="Z283" i="5"/>
  <c r="W283" i="5"/>
  <c r="X283" i="5"/>
  <c r="AB283" i="5"/>
  <c r="AA283" i="5"/>
  <c r="AC283" i="5"/>
  <c r="L283" i="5" a="1"/>
  <c r="C283" i="5" a="1"/>
  <c r="K283" i="5" a="1"/>
  <c r="J283" i="5" a="1"/>
  <c r="I283" i="5" a="1"/>
  <c r="P283" i="5" a="1"/>
  <c r="N283" i="5" a="1"/>
  <c r="H283" i="5" a="1"/>
  <c r="M283" i="5" a="1"/>
  <c r="O283" i="5" a="1"/>
  <c r="G283" i="5" a="1"/>
  <c r="C283" i="5" l="1"/>
  <c r="H283" i="5"/>
  <c r="V282" i="5" a="1"/>
  <c r="V282" i="5" s="1"/>
  <c r="L283" i="5"/>
  <c r="G283" i="5"/>
  <c r="J283" i="5"/>
  <c r="M283" i="5"/>
  <c r="P283" i="5"/>
  <c r="I283" i="5"/>
  <c r="O283" i="5"/>
  <c r="N283" i="5"/>
  <c r="K283" i="5"/>
  <c r="B284" i="5"/>
  <c r="K284" i="5" s="1" a="1"/>
  <c r="E284" i="5" a="1"/>
  <c r="E284" i="5" s="1"/>
  <c r="U282" i="5" a="1"/>
  <c r="U282" i="5" s="1"/>
  <c r="A285" i="5" a="1"/>
  <c r="R283" i="5" l="1"/>
  <c r="T283" i="5"/>
  <c r="K284" i="5"/>
  <c r="W284" i="5"/>
  <c r="F284" i="5" a="1"/>
  <c r="F284" i="5" s="1"/>
  <c r="Q283" i="5"/>
  <c r="S283" i="5"/>
  <c r="A285" i="5"/>
  <c r="Y284" i="5"/>
  <c r="AC284" i="5" s="1"/>
  <c r="Z284" i="5"/>
  <c r="AB284" i="5"/>
  <c r="X284" i="5"/>
  <c r="AA284" i="5"/>
  <c r="H284" i="5" a="1"/>
  <c r="G284" i="5" a="1"/>
  <c r="C284" i="5" a="1"/>
  <c r="M284" i="5" a="1"/>
  <c r="D284" i="5" a="1"/>
  <c r="J284" i="5" a="1"/>
  <c r="O284" i="5" a="1"/>
  <c r="P284" i="5" a="1"/>
  <c r="N284" i="5" a="1"/>
  <c r="I284" i="5" a="1"/>
  <c r="L284" i="5" a="1"/>
  <c r="U283" i="5" l="1" a="1"/>
  <c r="U283" i="5" s="1"/>
  <c r="V283" i="5" a="1"/>
  <c r="V283" i="5" s="1"/>
  <c r="L284" i="5"/>
  <c r="O284" i="5"/>
  <c r="N284" i="5"/>
  <c r="M284" i="5"/>
  <c r="J284" i="5"/>
  <c r="D284" i="5"/>
  <c r="H284" i="5"/>
  <c r="I284" i="5"/>
  <c r="G284" i="5"/>
  <c r="P284" i="5"/>
  <c r="C284" i="5"/>
  <c r="E285" i="5" a="1"/>
  <c r="E285" i="5" s="1"/>
  <c r="AA285" i="5" s="1"/>
  <c r="B285" i="5"/>
  <c r="A286" i="5" a="1"/>
  <c r="R284" i="5" l="1"/>
  <c r="T284" i="5"/>
  <c r="F285" i="5" a="1"/>
  <c r="F285" i="5" s="1"/>
  <c r="S284" i="5"/>
  <c r="Q284" i="5"/>
  <c r="X285" i="5"/>
  <c r="W285" i="5"/>
  <c r="A286" i="5"/>
  <c r="Y285" i="5"/>
  <c r="AC285" i="5" s="1"/>
  <c r="Z285" i="5"/>
  <c r="AB285" i="5"/>
  <c r="C285" i="5" a="1"/>
  <c r="J285" i="5" a="1"/>
  <c r="D285" i="5" a="1"/>
  <c r="M285" i="5" a="1"/>
  <c r="K285" i="5" a="1"/>
  <c r="H285" i="5" a="1"/>
  <c r="L285" i="5" a="1"/>
  <c r="G285" i="5" a="1"/>
  <c r="N285" i="5" a="1"/>
  <c r="P285" i="5" a="1"/>
  <c r="I285" i="5" a="1"/>
  <c r="O285" i="5" a="1"/>
  <c r="V284" i="5" l="1" a="1"/>
  <c r="V284" i="5" s="1"/>
  <c r="U284" i="5" a="1"/>
  <c r="U284" i="5" s="1"/>
  <c r="N285" i="5"/>
  <c r="M285" i="5"/>
  <c r="H285" i="5"/>
  <c r="J285" i="5"/>
  <c r="L285" i="5"/>
  <c r="P285" i="5"/>
  <c r="D285" i="5"/>
  <c r="O285" i="5"/>
  <c r="C285" i="5"/>
  <c r="K285" i="5"/>
  <c r="I285" i="5"/>
  <c r="G285" i="5"/>
  <c r="B286" i="5"/>
  <c r="F286" i="5" s="1" a="1"/>
  <c r="F286" i="5" s="1"/>
  <c r="E286" i="5" a="1"/>
  <c r="E286" i="5" s="1"/>
  <c r="W286" i="5" s="1"/>
  <c r="A287" i="5" a="1"/>
  <c r="R285" i="5" l="1"/>
  <c r="Q285" i="5"/>
  <c r="S285" i="5"/>
  <c r="T285" i="5"/>
  <c r="A287" i="5"/>
  <c r="Y286" i="5"/>
  <c r="AC286" i="5" s="1"/>
  <c r="Z286" i="5"/>
  <c r="X286" i="5"/>
  <c r="AB286" i="5"/>
  <c r="AA286" i="5"/>
  <c r="N286" i="5" a="1"/>
  <c r="H286" i="5" a="1"/>
  <c r="K286" i="5" a="1"/>
  <c r="L286" i="5" a="1"/>
  <c r="J286" i="5" a="1"/>
  <c r="C286" i="5" a="1"/>
  <c r="O286" i="5" a="1"/>
  <c r="P286" i="5" a="1"/>
  <c r="I286" i="5" a="1"/>
  <c r="D286" i="5" a="1"/>
  <c r="M286" i="5" a="1"/>
  <c r="G286" i="5" a="1"/>
  <c r="U285" i="5" l="1" a="1"/>
  <c r="U285" i="5" s="1"/>
  <c r="G286" i="5"/>
  <c r="M286" i="5"/>
  <c r="I286" i="5"/>
  <c r="J286" i="5"/>
  <c r="C286" i="5"/>
  <c r="K286" i="5"/>
  <c r="O286" i="5"/>
  <c r="H286" i="5"/>
  <c r="D286" i="5"/>
  <c r="L286" i="5"/>
  <c r="P286" i="5"/>
  <c r="N286" i="5"/>
  <c r="E287" i="5" a="1"/>
  <c r="E287" i="5" s="1"/>
  <c r="AA287" i="5" s="1"/>
  <c r="B287" i="5"/>
  <c r="N287" i="5" s="1" a="1"/>
  <c r="V285" i="5" a="1"/>
  <c r="V285" i="5" s="1"/>
  <c r="A288" i="5" a="1"/>
  <c r="S286" i="5" l="1"/>
  <c r="R286" i="5"/>
  <c r="Q286" i="5"/>
  <c r="T286" i="5"/>
  <c r="N287" i="5"/>
  <c r="F287" i="5" a="1"/>
  <c r="F287" i="5" s="1"/>
  <c r="X287" i="5"/>
  <c r="Y287" i="5"/>
  <c r="AC287" i="5" s="1"/>
  <c r="A288" i="5"/>
  <c r="W287" i="5"/>
  <c r="Z287" i="5"/>
  <c r="AB287" i="5"/>
  <c r="P287" i="5" a="1"/>
  <c r="G287" i="5" a="1"/>
  <c r="L287" i="5" a="1"/>
  <c r="M287" i="5" a="1"/>
  <c r="J287" i="5" a="1"/>
  <c r="D287" i="5" a="1"/>
  <c r="I287" i="5" a="1"/>
  <c r="H287" i="5" a="1"/>
  <c r="K287" i="5" a="1"/>
  <c r="A289" i="5" a="1"/>
  <c r="C287" i="5" a="1"/>
  <c r="O287" i="5" a="1"/>
  <c r="V286" i="5" l="1" a="1"/>
  <c r="V286" i="5" s="1"/>
  <c r="U286" i="5" a="1"/>
  <c r="U286" i="5" s="1"/>
  <c r="H287" i="5"/>
  <c r="J287" i="5"/>
  <c r="L287" i="5"/>
  <c r="M287" i="5"/>
  <c r="C287" i="5"/>
  <c r="O287" i="5"/>
  <c r="D287" i="5"/>
  <c r="K287" i="5"/>
  <c r="I287" i="5"/>
  <c r="G287" i="5"/>
  <c r="P287" i="5"/>
  <c r="B288" i="5"/>
  <c r="F288" i="5" s="1" a="1"/>
  <c r="F288" i="5" s="1"/>
  <c r="E288" i="5" a="1"/>
  <c r="E288" i="5" s="1"/>
  <c r="Y288" i="5" s="1"/>
  <c r="AC288" i="5" s="1"/>
  <c r="A289" i="5"/>
  <c r="X288" i="5" l="1"/>
  <c r="AB288" i="5"/>
  <c r="W288" i="5"/>
  <c r="Z288" i="5"/>
  <c r="AA288" i="5"/>
  <c r="R287" i="5"/>
  <c r="T287" i="5"/>
  <c r="B289" i="5"/>
  <c r="F289" i="5" s="1" a="1"/>
  <c r="F289" i="5" s="1"/>
  <c r="E289" i="5" a="1"/>
  <c r="E289" i="5" s="1"/>
  <c r="AA289" i="5" s="1"/>
  <c r="S287" i="5"/>
  <c r="Q287" i="5"/>
  <c r="I288" i="5" a="1"/>
  <c r="K288" i="5" a="1"/>
  <c r="A290" i="5" a="1"/>
  <c r="N288" i="5" a="1"/>
  <c r="O288" i="5" a="1"/>
  <c r="D288" i="5" a="1"/>
  <c r="H288" i="5" a="1"/>
  <c r="L288" i="5" a="1"/>
  <c r="M288" i="5" a="1"/>
  <c r="J288" i="5" a="1"/>
  <c r="G288" i="5" a="1"/>
  <c r="C288" i="5" a="1"/>
  <c r="P288" i="5" a="1"/>
  <c r="H288" i="5" l="1"/>
  <c r="M288" i="5"/>
  <c r="G288" i="5"/>
  <c r="I288" i="5"/>
  <c r="C288" i="5"/>
  <c r="D288" i="5"/>
  <c r="V287" i="5" a="1"/>
  <c r="V287" i="5" s="1"/>
  <c r="U287" i="5" a="1"/>
  <c r="U287" i="5" s="1"/>
  <c r="J288" i="5"/>
  <c r="N288" i="5"/>
  <c r="L288" i="5"/>
  <c r="K288" i="5"/>
  <c r="P288" i="5"/>
  <c r="O288" i="5"/>
  <c r="A290" i="5"/>
  <c r="Y289" i="5"/>
  <c r="AC289" i="5" s="1"/>
  <c r="W289" i="5"/>
  <c r="Z289" i="5"/>
  <c r="X289" i="5"/>
  <c r="AB289" i="5"/>
  <c r="O289" i="5" a="1"/>
  <c r="D289" i="5" a="1"/>
  <c r="C289" i="5" a="1"/>
  <c r="G289" i="5" a="1"/>
  <c r="I289" i="5" a="1"/>
  <c r="K289" i="5" a="1"/>
  <c r="L289" i="5" a="1"/>
  <c r="P289" i="5" a="1"/>
  <c r="N289" i="5" a="1"/>
  <c r="M289" i="5" a="1"/>
  <c r="J289" i="5" a="1"/>
  <c r="H289" i="5" a="1"/>
  <c r="K289" i="5" l="1"/>
  <c r="I289" i="5"/>
  <c r="G289" i="5"/>
  <c r="J289" i="5"/>
  <c r="M289" i="5"/>
  <c r="P289" i="5"/>
  <c r="C289" i="5"/>
  <c r="L289" i="5"/>
  <c r="N289" i="5"/>
  <c r="H289" i="5"/>
  <c r="O289" i="5"/>
  <c r="D289" i="5"/>
  <c r="E290" i="5" a="1"/>
  <c r="E290" i="5" s="1"/>
  <c r="W290" i="5" s="1"/>
  <c r="B290" i="5"/>
  <c r="G290" i="5" s="1" a="1"/>
  <c r="Q288" i="5"/>
  <c r="S288" i="5"/>
  <c r="R288" i="5"/>
  <c r="T288" i="5"/>
  <c r="A291" i="5" a="1"/>
  <c r="R289" i="5" l="1"/>
  <c r="T289" i="5"/>
  <c r="G290" i="5"/>
  <c r="V288" i="5" a="1"/>
  <c r="V288" i="5" s="1"/>
  <c r="F290" i="5" a="1"/>
  <c r="F290" i="5" s="1"/>
  <c r="Q289" i="5"/>
  <c r="S289" i="5"/>
  <c r="U288" i="5" a="1"/>
  <c r="U288" i="5" s="1"/>
  <c r="A291" i="5"/>
  <c r="X290" i="5"/>
  <c r="Z290" i="5"/>
  <c r="Y290" i="5"/>
  <c r="AC290" i="5" s="1"/>
  <c r="AB290" i="5"/>
  <c r="AA290" i="5"/>
  <c r="N290" i="5" a="1"/>
  <c r="L290" i="5" a="1"/>
  <c r="D290" i="5" a="1"/>
  <c r="C290" i="5" a="1"/>
  <c r="M290" i="5" a="1"/>
  <c r="I290" i="5" a="1"/>
  <c r="K290" i="5" a="1"/>
  <c r="H290" i="5" a="1"/>
  <c r="J290" i="5" a="1"/>
  <c r="P290" i="5" a="1"/>
  <c r="O290" i="5" a="1"/>
  <c r="U289" i="5" l="1" a="1"/>
  <c r="U289" i="5" s="1"/>
  <c r="V289" i="5" a="1"/>
  <c r="V289" i="5" s="1"/>
  <c r="H290" i="5"/>
  <c r="P290" i="5"/>
  <c r="D290" i="5"/>
  <c r="N290" i="5"/>
  <c r="M290" i="5"/>
  <c r="K290" i="5"/>
  <c r="I290" i="5"/>
  <c r="C290" i="5"/>
  <c r="O290" i="5"/>
  <c r="J290" i="5"/>
  <c r="L290" i="5"/>
  <c r="B291" i="5"/>
  <c r="H291" i="5" s="1" a="1"/>
  <c r="E291" i="5" a="1"/>
  <c r="E291" i="5" s="1"/>
  <c r="Y291" i="5" s="1"/>
  <c r="A292" i="5" a="1"/>
  <c r="T290" i="5" l="1"/>
  <c r="H291" i="5"/>
  <c r="F291" i="5" a="1"/>
  <c r="F291" i="5" s="1"/>
  <c r="R290" i="5"/>
  <c r="Q290" i="5"/>
  <c r="S290" i="5"/>
  <c r="A292" i="5"/>
  <c r="W291" i="5"/>
  <c r="Z291" i="5"/>
  <c r="X291" i="5"/>
  <c r="AA291" i="5"/>
  <c r="AC291" i="5"/>
  <c r="AB291" i="5"/>
  <c r="J291" i="5" a="1"/>
  <c r="O291" i="5" a="1"/>
  <c r="L291" i="5" a="1"/>
  <c r="G291" i="5" a="1"/>
  <c r="I291" i="5" a="1"/>
  <c r="N291" i="5" a="1"/>
  <c r="C291" i="5" a="1"/>
  <c r="D291" i="5" a="1"/>
  <c r="M291" i="5" a="1"/>
  <c r="K291" i="5" a="1"/>
  <c r="P291" i="5" a="1"/>
  <c r="C291" i="5" l="1"/>
  <c r="V290" i="5" a="1"/>
  <c r="V290" i="5" s="1"/>
  <c r="I291" i="5"/>
  <c r="D291" i="5"/>
  <c r="U290" i="5" a="1"/>
  <c r="U290" i="5" s="1"/>
  <c r="N291" i="5"/>
  <c r="L291" i="5"/>
  <c r="G291" i="5"/>
  <c r="J291" i="5"/>
  <c r="M291" i="5"/>
  <c r="P291" i="5"/>
  <c r="O291" i="5"/>
  <c r="K291" i="5"/>
  <c r="B292" i="5"/>
  <c r="E292" i="5" a="1"/>
  <c r="E292" i="5" s="1"/>
  <c r="A293" i="5" a="1"/>
  <c r="O292" i="5" a="1"/>
  <c r="T291" i="5" l="1"/>
  <c r="R291" i="5"/>
  <c r="O292" i="5"/>
  <c r="W292" i="5"/>
  <c r="F292" i="5" a="1"/>
  <c r="F292" i="5" s="1"/>
  <c r="S291" i="5"/>
  <c r="Q291" i="5"/>
  <c r="Y292" i="5"/>
  <c r="AC292" i="5" s="1"/>
  <c r="A293" i="5"/>
  <c r="Z292" i="5"/>
  <c r="AB292" i="5"/>
  <c r="X292" i="5"/>
  <c r="AA292" i="5"/>
  <c r="H292" i="5" a="1"/>
  <c r="N292" i="5" a="1"/>
  <c r="J292" i="5" a="1"/>
  <c r="L292" i="5" a="1"/>
  <c r="D292" i="5" a="1"/>
  <c r="C292" i="5" a="1"/>
  <c r="M292" i="5" a="1"/>
  <c r="P292" i="5" a="1"/>
  <c r="G292" i="5" a="1"/>
  <c r="I292" i="5" a="1"/>
  <c r="K292" i="5" a="1"/>
  <c r="V291" i="5" l="1" a="1"/>
  <c r="V291" i="5" s="1"/>
  <c r="N292" i="5"/>
  <c r="G292" i="5"/>
  <c r="U291" i="5" a="1"/>
  <c r="U291" i="5" s="1"/>
  <c r="L292" i="5"/>
  <c r="Q292" i="5" s="1"/>
  <c r="J292" i="5"/>
  <c r="K292" i="5"/>
  <c r="D292" i="5"/>
  <c r="C292" i="5"/>
  <c r="H292" i="5"/>
  <c r="P292" i="5"/>
  <c r="M292" i="5"/>
  <c r="I292" i="5"/>
  <c r="E293" i="5" a="1"/>
  <c r="E293" i="5" s="1"/>
  <c r="AA293" i="5" s="1"/>
  <c r="B293" i="5"/>
  <c r="I293" i="5" s="1" a="1"/>
  <c r="A294" i="5" a="1"/>
  <c r="R292" i="5" l="1"/>
  <c r="U292" i="5" s="1" a="1"/>
  <c r="U292" i="5" s="1"/>
  <c r="I293" i="5"/>
  <c r="T292" i="5"/>
  <c r="S292" i="5"/>
  <c r="F293" i="5" a="1"/>
  <c r="F293" i="5" s="1"/>
  <c r="A294" i="5"/>
  <c r="Y293" i="5"/>
  <c r="AC293" i="5" s="1"/>
  <c r="W293" i="5"/>
  <c r="Z293" i="5"/>
  <c r="X293" i="5"/>
  <c r="AB293" i="5"/>
  <c r="C293" i="5" a="1"/>
  <c r="M293" i="5" a="1"/>
  <c r="H293" i="5" a="1"/>
  <c r="K293" i="5" a="1"/>
  <c r="P293" i="5" a="1"/>
  <c r="J293" i="5" a="1"/>
  <c r="O293" i="5" a="1"/>
  <c r="L293" i="5" a="1"/>
  <c r="G293" i="5" a="1"/>
  <c r="N293" i="5" a="1"/>
  <c r="D293" i="5" a="1"/>
  <c r="V292" i="5" l="1" a="1"/>
  <c r="V292" i="5" s="1"/>
  <c r="N293" i="5"/>
  <c r="O293" i="5"/>
  <c r="K293" i="5"/>
  <c r="J293" i="5"/>
  <c r="G293" i="5"/>
  <c r="H293" i="5"/>
  <c r="P293" i="5"/>
  <c r="M293" i="5"/>
  <c r="D293" i="5"/>
  <c r="C293" i="5"/>
  <c r="L293" i="5"/>
  <c r="B294" i="5"/>
  <c r="P294" i="5" s="1" a="1"/>
  <c r="E294" i="5" a="1"/>
  <c r="E294" i="5" s="1"/>
  <c r="A295" i="5" a="1"/>
  <c r="T293" i="5" l="1"/>
  <c r="R293" i="5"/>
  <c r="P294" i="5"/>
  <c r="F294" i="5" a="1"/>
  <c r="F294" i="5" s="1"/>
  <c r="S293" i="5"/>
  <c r="Q293" i="5"/>
  <c r="W294" i="5"/>
  <c r="A295" i="5"/>
  <c r="Z294" i="5"/>
  <c r="Y294" i="5"/>
  <c r="AC294" i="5" s="1"/>
  <c r="X294" i="5"/>
  <c r="AB294" i="5"/>
  <c r="AA294" i="5"/>
  <c r="H294" i="5" a="1"/>
  <c r="I294" i="5" a="1"/>
  <c r="N294" i="5" a="1"/>
  <c r="O294" i="5" a="1"/>
  <c r="D294" i="5" a="1"/>
  <c r="K294" i="5" a="1"/>
  <c r="L294" i="5" a="1"/>
  <c r="G294" i="5" a="1"/>
  <c r="C294" i="5" a="1"/>
  <c r="M294" i="5" a="1"/>
  <c r="J294" i="5" a="1"/>
  <c r="V293" i="5" l="1" a="1"/>
  <c r="V293" i="5" s="1"/>
  <c r="U293" i="5" a="1"/>
  <c r="U293" i="5" s="1"/>
  <c r="C294" i="5"/>
  <c r="G294" i="5"/>
  <c r="M294" i="5"/>
  <c r="T294" i="5" s="1"/>
  <c r="O294" i="5"/>
  <c r="D294" i="5"/>
  <c r="H294" i="5"/>
  <c r="K294" i="5"/>
  <c r="I294" i="5"/>
  <c r="L294" i="5"/>
  <c r="R294" i="5" s="1"/>
  <c r="N294" i="5"/>
  <c r="J294" i="5"/>
  <c r="E295" i="5" a="1"/>
  <c r="E295" i="5" s="1"/>
  <c r="B295" i="5"/>
  <c r="A296" i="5" a="1"/>
  <c r="F295" i="5" l="1" a="1"/>
  <c r="F295" i="5" s="1"/>
  <c r="AA295" i="5"/>
  <c r="Q294" i="5"/>
  <c r="U294" i="5" s="1" a="1"/>
  <c r="U294" i="5" s="1"/>
  <c r="S294" i="5"/>
  <c r="V294" i="5" s="1" a="1"/>
  <c r="V294" i="5" s="1"/>
  <c r="A296" i="5"/>
  <c r="Y295" i="5"/>
  <c r="AC295" i="5" s="1"/>
  <c r="W295" i="5"/>
  <c r="Z295" i="5"/>
  <c r="AB295" i="5"/>
  <c r="X295" i="5"/>
  <c r="O295" i="5" a="1"/>
  <c r="L295" i="5" a="1"/>
  <c r="J295" i="5" a="1"/>
  <c r="N295" i="5" a="1"/>
  <c r="D295" i="5" a="1"/>
  <c r="H295" i="5" a="1"/>
  <c r="G295" i="5" a="1"/>
  <c r="M295" i="5" a="1"/>
  <c r="K295" i="5" a="1"/>
  <c r="C295" i="5" a="1"/>
  <c r="P295" i="5" a="1"/>
  <c r="I295" i="5" a="1"/>
  <c r="G295" i="5" l="1"/>
  <c r="O295" i="5"/>
  <c r="P295" i="5"/>
  <c r="K295" i="5"/>
  <c r="C295" i="5"/>
  <c r="D295" i="5"/>
  <c r="L295" i="5"/>
  <c r="J295" i="5"/>
  <c r="N295" i="5"/>
  <c r="H295" i="5"/>
  <c r="I295" i="5"/>
  <c r="M295" i="5"/>
  <c r="B296" i="5"/>
  <c r="J296" i="5" s="1" a="1"/>
  <c r="E296" i="5" a="1"/>
  <c r="E296" i="5" s="1"/>
  <c r="A297" i="5" a="1"/>
  <c r="T295" i="5" l="1"/>
  <c r="J296" i="5"/>
  <c r="R295" i="5"/>
  <c r="W296" i="5"/>
  <c r="F296" i="5" a="1"/>
  <c r="F296" i="5" s="1"/>
  <c r="Q295" i="5"/>
  <c r="S295" i="5"/>
  <c r="A297" i="5"/>
  <c r="Y296" i="5"/>
  <c r="AC296" i="5" s="1"/>
  <c r="Z296" i="5"/>
  <c r="X296" i="5"/>
  <c r="AB296" i="5"/>
  <c r="AA296" i="5"/>
  <c r="D296" i="5" a="1"/>
  <c r="C296" i="5" a="1"/>
  <c r="M296" i="5" a="1"/>
  <c r="H296" i="5" a="1"/>
  <c r="O296" i="5" a="1"/>
  <c r="I296" i="5" a="1"/>
  <c r="P296" i="5" a="1"/>
  <c r="G296" i="5" a="1"/>
  <c r="L296" i="5" a="1"/>
  <c r="N296" i="5" a="1"/>
  <c r="K296" i="5" a="1"/>
  <c r="V295" i="5" l="1" a="1"/>
  <c r="V295" i="5" s="1"/>
  <c r="U295" i="5" a="1"/>
  <c r="U295" i="5" s="1"/>
  <c r="K296" i="5"/>
  <c r="H296" i="5"/>
  <c r="O296" i="5"/>
  <c r="I296" i="5"/>
  <c r="D296" i="5"/>
  <c r="P296" i="5"/>
  <c r="N296" i="5"/>
  <c r="G296" i="5"/>
  <c r="L296" i="5"/>
  <c r="M296" i="5"/>
  <c r="C296" i="5"/>
  <c r="B297" i="5"/>
  <c r="E297" i="5" a="1"/>
  <c r="E297" i="5" s="1"/>
  <c r="A298" i="5" a="1"/>
  <c r="N297" i="5" a="1"/>
  <c r="R296" i="5" l="1"/>
  <c r="N297" i="5"/>
  <c r="F297" i="5" a="1"/>
  <c r="F297" i="5" s="1"/>
  <c r="S296" i="5"/>
  <c r="Q296" i="5"/>
  <c r="T296" i="5"/>
  <c r="AA297" i="5"/>
  <c r="A298" i="5"/>
  <c r="Y297" i="5"/>
  <c r="AC297" i="5" s="1"/>
  <c r="W297" i="5"/>
  <c r="Z297" i="5"/>
  <c r="AB297" i="5"/>
  <c r="X297" i="5"/>
  <c r="D297" i="5" a="1"/>
  <c r="G297" i="5" a="1"/>
  <c r="J297" i="5" a="1"/>
  <c r="K297" i="5" a="1"/>
  <c r="O297" i="5" a="1"/>
  <c r="L297" i="5" a="1"/>
  <c r="C297" i="5" a="1"/>
  <c r="M297" i="5" a="1"/>
  <c r="P297" i="5" a="1"/>
  <c r="H297" i="5" a="1"/>
  <c r="I297" i="5" a="1"/>
  <c r="U296" i="5" l="1" a="1"/>
  <c r="U296" i="5" s="1"/>
  <c r="V296" i="5" a="1"/>
  <c r="V296" i="5" s="1"/>
  <c r="G297" i="5"/>
  <c r="C297" i="5"/>
  <c r="I297" i="5"/>
  <c r="L297" i="5"/>
  <c r="P297" i="5"/>
  <c r="H297" i="5"/>
  <c r="K297" i="5"/>
  <c r="M297" i="5"/>
  <c r="D297" i="5"/>
  <c r="J297" i="5"/>
  <c r="O297" i="5"/>
  <c r="E298" i="5" a="1"/>
  <c r="E298" i="5" s="1"/>
  <c r="B298" i="5"/>
  <c r="A299" i="5" a="1"/>
  <c r="C298" i="5" a="1"/>
  <c r="R297" i="5" l="1"/>
  <c r="T297" i="5"/>
  <c r="C298" i="5"/>
  <c r="F298" i="5" a="1"/>
  <c r="F298" i="5" s="1"/>
  <c r="S297" i="5"/>
  <c r="Q297" i="5"/>
  <c r="W298" i="5"/>
  <c r="A299" i="5"/>
  <c r="Y298" i="5"/>
  <c r="AC298" i="5" s="1"/>
  <c r="Z298" i="5"/>
  <c r="AB298" i="5"/>
  <c r="X298" i="5"/>
  <c r="AA298" i="5"/>
  <c r="P298" i="5" a="1"/>
  <c r="M298" i="5" a="1"/>
  <c r="N298" i="5" a="1"/>
  <c r="L298" i="5" a="1"/>
  <c r="I298" i="5" a="1"/>
  <c r="J298" i="5" a="1"/>
  <c r="G298" i="5" a="1"/>
  <c r="K298" i="5" a="1"/>
  <c r="H298" i="5" a="1"/>
  <c r="O298" i="5" a="1"/>
  <c r="D298" i="5" a="1"/>
  <c r="U297" i="5" l="1" a="1"/>
  <c r="U297" i="5" s="1"/>
  <c r="V297" i="5" a="1"/>
  <c r="V297" i="5" s="1"/>
  <c r="I298" i="5"/>
  <c r="N298" i="5"/>
  <c r="P298" i="5"/>
  <c r="L298" i="5"/>
  <c r="M298" i="5"/>
  <c r="O298" i="5"/>
  <c r="G298" i="5"/>
  <c r="H298" i="5"/>
  <c r="D298" i="5"/>
  <c r="K298" i="5"/>
  <c r="J298" i="5"/>
  <c r="B299" i="5"/>
  <c r="F299" i="5" s="1" a="1"/>
  <c r="F299" i="5" s="1"/>
  <c r="E299" i="5" a="1"/>
  <c r="E299" i="5" s="1"/>
  <c r="AA299" i="5" s="1"/>
  <c r="A300" i="5" a="1"/>
  <c r="R298" i="5" l="1"/>
  <c r="T298" i="5"/>
  <c r="Q298" i="5"/>
  <c r="S298" i="5"/>
  <c r="A300" i="5"/>
  <c r="W299" i="5"/>
  <c r="Z299" i="5"/>
  <c r="X299" i="5"/>
  <c r="Y299" i="5"/>
  <c r="AC299" i="5" s="1"/>
  <c r="AB299" i="5"/>
  <c r="N299" i="5" a="1"/>
  <c r="L299" i="5" a="1"/>
  <c r="P299" i="5" a="1"/>
  <c r="O299" i="5" a="1"/>
  <c r="J299" i="5" a="1"/>
  <c r="G299" i="5" a="1"/>
  <c r="D299" i="5" a="1"/>
  <c r="H299" i="5" a="1"/>
  <c r="M299" i="5" a="1"/>
  <c r="C299" i="5" a="1"/>
  <c r="I299" i="5" a="1"/>
  <c r="K299" i="5" a="1"/>
  <c r="V298" i="5" l="1" a="1"/>
  <c r="V298" i="5" s="1"/>
  <c r="J299" i="5"/>
  <c r="H299" i="5"/>
  <c r="L299" i="5"/>
  <c r="D299" i="5"/>
  <c r="P299" i="5"/>
  <c r="C299" i="5"/>
  <c r="O299" i="5"/>
  <c r="G299" i="5"/>
  <c r="K299" i="5"/>
  <c r="U298" i="5" a="1"/>
  <c r="U298" i="5" s="1"/>
  <c r="N299" i="5"/>
  <c r="M299" i="5"/>
  <c r="I299" i="5"/>
  <c r="B300" i="5"/>
  <c r="E300" i="5" a="1"/>
  <c r="E300" i="5" s="1"/>
  <c r="A301" i="5" a="1"/>
  <c r="D300" i="5" a="1"/>
  <c r="R299" i="5" l="1"/>
  <c r="Q299" i="5"/>
  <c r="D300" i="5"/>
  <c r="W300" i="5"/>
  <c r="T299" i="5"/>
  <c r="S299" i="5"/>
  <c r="F300" i="5" a="1"/>
  <c r="F300" i="5" s="1"/>
  <c r="A301" i="5"/>
  <c r="Y300" i="5"/>
  <c r="AC300" i="5" s="1"/>
  <c r="X300" i="5"/>
  <c r="Z300" i="5"/>
  <c r="AB300" i="5"/>
  <c r="AA300" i="5"/>
  <c r="K300" i="5" a="1"/>
  <c r="M300" i="5" a="1"/>
  <c r="O300" i="5" a="1"/>
  <c r="P300" i="5" a="1"/>
  <c r="N300" i="5" a="1"/>
  <c r="I300" i="5" a="1"/>
  <c r="J300" i="5" a="1"/>
  <c r="L300" i="5" a="1"/>
  <c r="C300" i="5" a="1"/>
  <c r="G300" i="5" a="1"/>
  <c r="H300" i="5" a="1"/>
  <c r="U299" i="5" l="1" a="1"/>
  <c r="U299" i="5" s="1"/>
  <c r="V299" i="5" a="1"/>
  <c r="V299" i="5" s="1"/>
  <c r="J300" i="5"/>
  <c r="G300" i="5"/>
  <c r="P300" i="5"/>
  <c r="K300" i="5"/>
  <c r="L300" i="5"/>
  <c r="N300" i="5"/>
  <c r="I300" i="5"/>
  <c r="H300" i="5"/>
  <c r="C300" i="5"/>
  <c r="O300" i="5"/>
  <c r="M300" i="5"/>
  <c r="E301" i="5" a="1"/>
  <c r="E301" i="5" s="1"/>
  <c r="AA301" i="5" s="1"/>
  <c r="B301" i="5"/>
  <c r="A302" i="5" a="1"/>
  <c r="T300" i="5" l="1"/>
  <c r="F301" i="5" a="1"/>
  <c r="F301" i="5" s="1"/>
  <c r="Q300" i="5"/>
  <c r="S300" i="5"/>
  <c r="R300" i="5"/>
  <c r="A302" i="5"/>
  <c r="Y301" i="5"/>
  <c r="AC301" i="5" s="1"/>
  <c r="W301" i="5"/>
  <c r="Z301" i="5"/>
  <c r="X301" i="5"/>
  <c r="AB301" i="5"/>
  <c r="I301" i="5" a="1"/>
  <c r="H301" i="5" a="1"/>
  <c r="L301" i="5" a="1"/>
  <c r="M301" i="5" a="1"/>
  <c r="K301" i="5" a="1"/>
  <c r="N301" i="5" a="1"/>
  <c r="D301" i="5" a="1"/>
  <c r="P301" i="5" a="1"/>
  <c r="O301" i="5" a="1"/>
  <c r="G301" i="5" a="1"/>
  <c r="J301" i="5" a="1"/>
  <c r="C301" i="5" a="1"/>
  <c r="V300" i="5" l="1" a="1"/>
  <c r="V300" i="5" s="1"/>
  <c r="U300" i="5" a="1"/>
  <c r="U300" i="5" s="1"/>
  <c r="P301" i="5"/>
  <c r="D301" i="5"/>
  <c r="I301" i="5"/>
  <c r="M301" i="5"/>
  <c r="N301" i="5"/>
  <c r="O301" i="5"/>
  <c r="K301" i="5"/>
  <c r="L301" i="5"/>
  <c r="C301" i="5"/>
  <c r="H301" i="5"/>
  <c r="G301" i="5"/>
  <c r="J301" i="5"/>
  <c r="B302" i="5"/>
  <c r="E302" i="5" a="1"/>
  <c r="E302" i="5" s="1"/>
  <c r="W302" i="5" s="1"/>
  <c r="A303" i="5" a="1"/>
  <c r="M302" i="5" a="1"/>
  <c r="T301" i="5" l="1"/>
  <c r="M302" i="5"/>
  <c r="Q301" i="5"/>
  <c r="S301" i="5"/>
  <c r="R301" i="5"/>
  <c r="A303" i="5"/>
  <c r="Y302" i="5"/>
  <c r="AC302" i="5" s="1"/>
  <c r="AB302" i="5"/>
  <c r="Z302" i="5"/>
  <c r="X302" i="5"/>
  <c r="AA302" i="5"/>
  <c r="D302" i="5" a="1"/>
  <c r="P302" i="5" a="1"/>
  <c r="G302" i="5" a="1"/>
  <c r="K302" i="5" a="1"/>
  <c r="F302" i="5" a="1"/>
  <c r="J302" i="5" a="1"/>
  <c r="H302" i="5" a="1"/>
  <c r="N302" i="5" a="1"/>
  <c r="I302" i="5" a="1"/>
  <c r="L302" i="5" a="1"/>
  <c r="C302" i="5" a="1"/>
  <c r="O302" i="5" a="1"/>
  <c r="K302" i="5" l="1"/>
  <c r="C302" i="5"/>
  <c r="D302" i="5"/>
  <c r="F302" i="5"/>
  <c r="G302" i="5"/>
  <c r="O302" i="5"/>
  <c r="S302" i="5" s="1"/>
  <c r="J302" i="5"/>
  <c r="V301" i="5" a="1"/>
  <c r="V301" i="5" s="1"/>
  <c r="N302" i="5"/>
  <c r="I302" i="5"/>
  <c r="L302" i="5"/>
  <c r="P302" i="5"/>
  <c r="T302" i="5" s="1"/>
  <c r="H302" i="5"/>
  <c r="E303" i="5" a="1"/>
  <c r="E303" i="5" s="1"/>
  <c r="Y303" i="5" s="1"/>
  <c r="B303" i="5"/>
  <c r="U301" i="5" a="1"/>
  <c r="U301" i="5" s="1"/>
  <c r="A304" i="5" a="1"/>
  <c r="M303" i="5" a="1"/>
  <c r="R302" i="5" l="1"/>
  <c r="Q302" i="5"/>
  <c r="V302" i="5" a="1"/>
  <c r="V302" i="5" s="1"/>
  <c r="M303" i="5"/>
  <c r="F303" i="5" a="1"/>
  <c r="F303" i="5" s="1"/>
  <c r="A304" i="5"/>
  <c r="Z303" i="5"/>
  <c r="X303" i="5"/>
  <c r="W303" i="5"/>
  <c r="AC303" i="5"/>
  <c r="AA303" i="5"/>
  <c r="AB303" i="5"/>
  <c r="C303" i="5" a="1"/>
  <c r="H303" i="5" a="1"/>
  <c r="D303" i="5" a="1"/>
  <c r="I303" i="5" a="1"/>
  <c r="J303" i="5" a="1"/>
  <c r="P303" i="5" a="1"/>
  <c r="K303" i="5" a="1"/>
  <c r="N303" i="5" a="1"/>
  <c r="G303" i="5" a="1"/>
  <c r="L303" i="5" a="1"/>
  <c r="O303" i="5" a="1"/>
  <c r="U302" i="5" l="1" a="1"/>
  <c r="U302" i="5" s="1"/>
  <c r="O303" i="5"/>
  <c r="N303" i="5"/>
  <c r="C303" i="5"/>
  <c r="P303" i="5"/>
  <c r="H303" i="5"/>
  <c r="D303" i="5"/>
  <c r="G303" i="5"/>
  <c r="J303" i="5"/>
  <c r="K303" i="5"/>
  <c r="L303" i="5"/>
  <c r="I303" i="5"/>
  <c r="B304" i="5"/>
  <c r="F304" i="5" s="1" a="1"/>
  <c r="F304" i="5" s="1"/>
  <c r="E304" i="5" a="1"/>
  <c r="E304" i="5" s="1"/>
  <c r="W304" i="5" s="1"/>
  <c r="A305" i="5" a="1"/>
  <c r="R303" i="5" l="1"/>
  <c r="T303" i="5"/>
  <c r="S303" i="5"/>
  <c r="Q303" i="5"/>
  <c r="A305" i="5"/>
  <c r="X304" i="5"/>
  <c r="Y304" i="5"/>
  <c r="AC304" i="5" s="1"/>
  <c r="Z304" i="5"/>
  <c r="AB304" i="5"/>
  <c r="AA304" i="5"/>
  <c r="L304" i="5" a="1"/>
  <c r="C304" i="5" a="1"/>
  <c r="N304" i="5" a="1"/>
  <c r="P304" i="5" a="1"/>
  <c r="K304" i="5" a="1"/>
  <c r="O304" i="5" a="1"/>
  <c r="M304" i="5" a="1"/>
  <c r="J304" i="5" a="1"/>
  <c r="G304" i="5" a="1"/>
  <c r="H304" i="5" a="1"/>
  <c r="D304" i="5" a="1"/>
  <c r="I304" i="5" a="1"/>
  <c r="V303" i="5" l="1" a="1"/>
  <c r="V303" i="5" s="1"/>
  <c r="U303" i="5" a="1"/>
  <c r="U303" i="5" s="1"/>
  <c r="G304" i="5"/>
  <c r="M304" i="5"/>
  <c r="K304" i="5"/>
  <c r="C304" i="5"/>
  <c r="I304" i="5"/>
  <c r="P304" i="5"/>
  <c r="O304" i="5"/>
  <c r="L304" i="5"/>
  <c r="N304" i="5"/>
  <c r="J304" i="5"/>
  <c r="D304" i="5"/>
  <c r="H304" i="5"/>
  <c r="B305" i="5"/>
  <c r="E305" i="5" a="1"/>
  <c r="E305" i="5" s="1"/>
  <c r="A306" i="5" a="1"/>
  <c r="N305" i="5" a="1"/>
  <c r="R304" i="5" l="1"/>
  <c r="N305" i="5"/>
  <c r="F305" i="5" a="1"/>
  <c r="F305" i="5" s="1"/>
  <c r="Q304" i="5"/>
  <c r="S304" i="5"/>
  <c r="AA305" i="5"/>
  <c r="T304" i="5"/>
  <c r="A306" i="5"/>
  <c r="Y305" i="5"/>
  <c r="AC305" i="5" s="1"/>
  <c r="W305" i="5"/>
  <c r="Z305" i="5"/>
  <c r="X305" i="5"/>
  <c r="AB305" i="5"/>
  <c r="P305" i="5" a="1"/>
  <c r="I305" i="5" a="1"/>
  <c r="K305" i="5" a="1"/>
  <c r="H305" i="5" a="1"/>
  <c r="L305" i="5" a="1"/>
  <c r="G305" i="5" a="1"/>
  <c r="J305" i="5" a="1"/>
  <c r="D305" i="5" a="1"/>
  <c r="O305" i="5" a="1"/>
  <c r="C305" i="5" a="1"/>
  <c r="M305" i="5" a="1"/>
  <c r="U304" i="5" l="1" a="1"/>
  <c r="U304" i="5" s="1"/>
  <c r="G305" i="5"/>
  <c r="C305" i="5"/>
  <c r="P305" i="5"/>
  <c r="H305" i="5"/>
  <c r="I305" i="5"/>
  <c r="D305" i="5"/>
  <c r="L305" i="5"/>
  <c r="M305" i="5"/>
  <c r="O305" i="5"/>
  <c r="K305" i="5"/>
  <c r="J305" i="5"/>
  <c r="E306" i="5" a="1"/>
  <c r="E306" i="5" s="1"/>
  <c r="B306" i="5"/>
  <c r="N306" i="5" s="1" a="1"/>
  <c r="V304" i="5" a="1"/>
  <c r="V304" i="5" s="1"/>
  <c r="A307" i="5" a="1"/>
  <c r="T305" i="5" l="1"/>
  <c r="N306" i="5"/>
  <c r="R305" i="5"/>
  <c r="W306" i="5"/>
  <c r="F306" i="5" a="1"/>
  <c r="F306" i="5" s="1"/>
  <c r="Q305" i="5"/>
  <c r="S305" i="5"/>
  <c r="Y306" i="5"/>
  <c r="AC306" i="5" s="1"/>
  <c r="A307" i="5"/>
  <c r="AB306" i="5"/>
  <c r="Z306" i="5"/>
  <c r="X306" i="5"/>
  <c r="AA306" i="5"/>
  <c r="P306" i="5" a="1"/>
  <c r="D306" i="5" a="1"/>
  <c r="C306" i="5" a="1"/>
  <c r="O306" i="5" a="1"/>
  <c r="L306" i="5" a="1"/>
  <c r="M306" i="5" a="1"/>
  <c r="K306" i="5" a="1"/>
  <c r="J306" i="5" a="1"/>
  <c r="G306" i="5" a="1"/>
  <c r="I306" i="5" a="1"/>
  <c r="H306" i="5" a="1"/>
  <c r="U305" i="5" l="1" a="1"/>
  <c r="U305" i="5" s="1"/>
  <c r="V305" i="5" a="1"/>
  <c r="V305" i="5" s="1"/>
  <c r="M306" i="5"/>
  <c r="H306" i="5"/>
  <c r="J306" i="5"/>
  <c r="D306" i="5"/>
  <c r="K306" i="5"/>
  <c r="G306" i="5"/>
  <c r="O306" i="5"/>
  <c r="I306" i="5"/>
  <c r="P306" i="5"/>
  <c r="L306" i="5"/>
  <c r="C306" i="5"/>
  <c r="B307" i="5"/>
  <c r="F307" i="5" s="1" a="1"/>
  <c r="F307" i="5" s="1"/>
  <c r="E307" i="5" a="1"/>
  <c r="E307" i="5" s="1"/>
  <c r="Y307" i="5" s="1"/>
  <c r="A308" i="5" a="1"/>
  <c r="R306" i="5" l="1"/>
  <c r="Q306" i="5"/>
  <c r="S306" i="5"/>
  <c r="T306" i="5"/>
  <c r="A308" i="5"/>
  <c r="Z307" i="5"/>
  <c r="W307" i="5"/>
  <c r="AC307" i="5"/>
  <c r="AB307" i="5"/>
  <c r="AA307" i="5"/>
  <c r="X307" i="5"/>
  <c r="D307" i="5" a="1"/>
  <c r="M307" i="5" a="1"/>
  <c r="I307" i="5" a="1"/>
  <c r="G307" i="5" a="1"/>
  <c r="N307" i="5" a="1"/>
  <c r="H307" i="5" a="1"/>
  <c r="O307" i="5" a="1"/>
  <c r="L307" i="5" a="1"/>
  <c r="K307" i="5" a="1"/>
  <c r="A309" i="5" a="1"/>
  <c r="J307" i="5" a="1"/>
  <c r="C307" i="5" a="1"/>
  <c r="P307" i="5" a="1"/>
  <c r="N307" i="5" l="1"/>
  <c r="P307" i="5"/>
  <c r="H307" i="5"/>
  <c r="O307" i="5"/>
  <c r="I307" i="5"/>
  <c r="M307" i="5"/>
  <c r="G307" i="5"/>
  <c r="L307" i="5"/>
  <c r="J307" i="5"/>
  <c r="D307" i="5"/>
  <c r="C307" i="5"/>
  <c r="K307" i="5"/>
  <c r="U306" i="5" a="1"/>
  <c r="U306" i="5" s="1"/>
  <c r="V306" i="5" a="1"/>
  <c r="V306" i="5" s="1"/>
  <c r="B308" i="5"/>
  <c r="F308" i="5" s="1" a="1"/>
  <c r="F308" i="5" s="1"/>
  <c r="E308" i="5" a="1"/>
  <c r="E308" i="5" s="1"/>
  <c r="Y308" i="5" s="1"/>
  <c r="AC308" i="5" s="1"/>
  <c r="A309" i="5"/>
  <c r="R307" i="5" l="1"/>
  <c r="T307" i="5"/>
  <c r="Q307" i="5"/>
  <c r="S307" i="5"/>
  <c r="X308" i="5"/>
  <c r="E309" i="5" a="1"/>
  <c r="E309" i="5" s="1"/>
  <c r="B309" i="5"/>
  <c r="F309" i="5" s="1" a="1"/>
  <c r="F309" i="5" s="1"/>
  <c r="AA308" i="5"/>
  <c r="Z308" i="5"/>
  <c r="W308" i="5"/>
  <c r="AB308" i="5"/>
  <c r="L308" i="5" a="1"/>
  <c r="G308" i="5" a="1"/>
  <c r="N308" i="5" a="1"/>
  <c r="K308" i="5" a="1"/>
  <c r="D308" i="5" a="1"/>
  <c r="O308" i="5" a="1"/>
  <c r="I308" i="5" a="1"/>
  <c r="C308" i="5" a="1"/>
  <c r="M308" i="5" a="1"/>
  <c r="A310" i="5" a="1"/>
  <c r="J308" i="5" a="1"/>
  <c r="P308" i="5" a="1"/>
  <c r="H308" i="5" a="1"/>
  <c r="U307" i="5" l="1" a="1"/>
  <c r="U307" i="5" s="1"/>
  <c r="V307" i="5" a="1"/>
  <c r="V307" i="5" s="1"/>
  <c r="O308" i="5"/>
  <c r="G308" i="5"/>
  <c r="I308" i="5"/>
  <c r="N308" i="5"/>
  <c r="K308" i="5"/>
  <c r="D308" i="5"/>
  <c r="H308" i="5"/>
  <c r="J308" i="5"/>
  <c r="L308" i="5"/>
  <c r="M308" i="5"/>
  <c r="P308" i="5"/>
  <c r="C308" i="5"/>
  <c r="AA309" i="5"/>
  <c r="AB309" i="5"/>
  <c r="X309" i="5"/>
  <c r="A310" i="5"/>
  <c r="Y309" i="5"/>
  <c r="AC309" i="5" s="1"/>
  <c r="W309" i="5"/>
  <c r="Z309" i="5"/>
  <c r="L309" i="5" a="1"/>
  <c r="H309" i="5" a="1"/>
  <c r="A311" i="5" a="1"/>
  <c r="G309" i="5" a="1"/>
  <c r="O309" i="5" a="1"/>
  <c r="I309" i="5" a="1"/>
  <c r="J309" i="5" a="1"/>
  <c r="D309" i="5" a="1"/>
  <c r="N309" i="5" a="1"/>
  <c r="K309" i="5" a="1"/>
  <c r="M309" i="5" a="1"/>
  <c r="P309" i="5" a="1"/>
  <c r="C309" i="5" a="1"/>
  <c r="J309" i="5" l="1"/>
  <c r="Q308" i="5"/>
  <c r="N309" i="5"/>
  <c r="G309" i="5"/>
  <c r="K309" i="5"/>
  <c r="R308" i="5"/>
  <c r="P309" i="5"/>
  <c r="C309" i="5"/>
  <c r="O309" i="5"/>
  <c r="I309" i="5"/>
  <c r="D309" i="5"/>
  <c r="L309" i="5"/>
  <c r="M309" i="5"/>
  <c r="H309" i="5"/>
  <c r="B310" i="5"/>
  <c r="F310" i="5" s="1" a="1"/>
  <c r="F310" i="5" s="1"/>
  <c r="E310" i="5" a="1"/>
  <c r="E310" i="5" s="1"/>
  <c r="Z310" i="5" s="1"/>
  <c r="S308" i="5"/>
  <c r="T308" i="5"/>
  <c r="A311" i="5"/>
  <c r="U308" i="5" l="1" a="1"/>
  <c r="U308" i="5" s="1"/>
  <c r="T309" i="5"/>
  <c r="S309" i="5"/>
  <c r="X310" i="5"/>
  <c r="AB310" i="5"/>
  <c r="E311" i="5" a="1"/>
  <c r="E311" i="5" s="1"/>
  <c r="B311" i="5"/>
  <c r="V308" i="5" a="1"/>
  <c r="V308" i="5" s="1"/>
  <c r="Y310" i="5"/>
  <c r="AC310" i="5" s="1"/>
  <c r="R309" i="5"/>
  <c r="Q309" i="5"/>
  <c r="W310" i="5"/>
  <c r="AA310" i="5"/>
  <c r="D310" i="5" a="1"/>
  <c r="M310" i="5" a="1"/>
  <c r="C310" i="5" a="1"/>
  <c r="O310" i="5" a="1"/>
  <c r="K310" i="5" a="1"/>
  <c r="P310" i="5" a="1"/>
  <c r="J310" i="5" a="1"/>
  <c r="I310" i="5" a="1"/>
  <c r="N310" i="5" a="1"/>
  <c r="A312" i="5" a="1"/>
  <c r="L310" i="5" a="1"/>
  <c r="H310" i="5" a="1"/>
  <c r="G310" i="5" a="1"/>
  <c r="V309" i="5" l="1" a="1"/>
  <c r="V309" i="5" s="1"/>
  <c r="N310" i="5"/>
  <c r="J310" i="5"/>
  <c r="M310" i="5"/>
  <c r="O310" i="5"/>
  <c r="D310" i="5"/>
  <c r="G310" i="5"/>
  <c r="P310" i="5"/>
  <c r="K310" i="5"/>
  <c r="U309" i="5" a="1"/>
  <c r="U309" i="5" s="1"/>
  <c r="H310" i="5"/>
  <c r="L310" i="5"/>
  <c r="C310" i="5"/>
  <c r="I310" i="5"/>
  <c r="Y311" i="5"/>
  <c r="AC311" i="5" s="1"/>
  <c r="F311" i="5" a="1"/>
  <c r="F311" i="5" s="1"/>
  <c r="A312" i="5"/>
  <c r="W311" i="5"/>
  <c r="Z311" i="5"/>
  <c r="X311" i="5"/>
  <c r="AB311" i="5"/>
  <c r="AA311" i="5"/>
  <c r="L311" i="5" a="1"/>
  <c r="O311" i="5" a="1"/>
  <c r="J311" i="5" a="1"/>
  <c r="M311" i="5" a="1"/>
  <c r="P311" i="5" a="1"/>
  <c r="H311" i="5" a="1"/>
  <c r="D311" i="5" a="1"/>
  <c r="K311" i="5" a="1"/>
  <c r="G311" i="5" a="1"/>
  <c r="C311" i="5" a="1"/>
  <c r="N311" i="5" a="1"/>
  <c r="I311" i="5" a="1"/>
  <c r="S310" i="5" l="1"/>
  <c r="T310" i="5"/>
  <c r="Q310" i="5"/>
  <c r="R310" i="5"/>
  <c r="G311" i="5"/>
  <c r="O311" i="5"/>
  <c r="H311" i="5"/>
  <c r="N311" i="5"/>
  <c r="P311" i="5"/>
  <c r="D311" i="5"/>
  <c r="C311" i="5"/>
  <c r="M311" i="5"/>
  <c r="J311" i="5"/>
  <c r="L311" i="5"/>
  <c r="K311" i="5"/>
  <c r="I311" i="5"/>
  <c r="B312" i="5"/>
  <c r="J312" i="5" s="1" a="1"/>
  <c r="E312" i="5" a="1"/>
  <c r="E312" i="5" s="1"/>
  <c r="A313" i="5" a="1"/>
  <c r="V310" i="5" l="1" a="1"/>
  <c r="V310" i="5" s="1"/>
  <c r="U310" i="5" a="1"/>
  <c r="U310" i="5" s="1"/>
  <c r="R311" i="5"/>
  <c r="T311" i="5"/>
  <c r="J312" i="5"/>
  <c r="W312" i="5"/>
  <c r="F312" i="5" a="1"/>
  <c r="F312" i="5" s="1"/>
  <c r="S311" i="5"/>
  <c r="Q311" i="5"/>
  <c r="A313" i="5"/>
  <c r="Y312" i="5"/>
  <c r="AC312" i="5" s="1"/>
  <c r="AB312" i="5"/>
  <c r="Z312" i="5"/>
  <c r="X312" i="5"/>
  <c r="AA312" i="5"/>
  <c r="O312" i="5" a="1"/>
  <c r="K312" i="5" a="1"/>
  <c r="P312" i="5" a="1"/>
  <c r="I312" i="5" a="1"/>
  <c r="N312" i="5" a="1"/>
  <c r="H312" i="5" a="1"/>
  <c r="D312" i="5" a="1"/>
  <c r="M312" i="5" a="1"/>
  <c r="G312" i="5" a="1"/>
  <c r="C312" i="5" a="1"/>
  <c r="L312" i="5" a="1"/>
  <c r="V311" i="5" l="1" a="1"/>
  <c r="V311" i="5" s="1"/>
  <c r="U311" i="5" a="1"/>
  <c r="U311" i="5" s="1"/>
  <c r="I312" i="5"/>
  <c r="K312" i="5"/>
  <c r="H312" i="5"/>
  <c r="O312" i="5"/>
  <c r="G312" i="5"/>
  <c r="N312" i="5"/>
  <c r="D312" i="5"/>
  <c r="M312" i="5"/>
  <c r="P312" i="5"/>
  <c r="C312" i="5"/>
  <c r="L312" i="5"/>
  <c r="B313" i="5"/>
  <c r="N313" i="5" s="1" a="1"/>
  <c r="E313" i="5" a="1"/>
  <c r="E313" i="5" s="1"/>
  <c r="A314" i="5" a="1"/>
  <c r="R312" i="5" l="1"/>
  <c r="T312" i="5"/>
  <c r="N313" i="5"/>
  <c r="Q312" i="5"/>
  <c r="S312" i="5"/>
  <c r="F313" i="5" a="1"/>
  <c r="F313" i="5" s="1"/>
  <c r="AA313" i="5"/>
  <c r="A314" i="5"/>
  <c r="Y313" i="5"/>
  <c r="AC313" i="5" s="1"/>
  <c r="W313" i="5"/>
  <c r="Z313" i="5"/>
  <c r="X313" i="5"/>
  <c r="AB313" i="5"/>
  <c r="M313" i="5" a="1"/>
  <c r="H313" i="5" a="1"/>
  <c r="G313" i="5" a="1"/>
  <c r="O313" i="5" a="1"/>
  <c r="I313" i="5" a="1"/>
  <c r="D313" i="5" a="1"/>
  <c r="K313" i="5" a="1"/>
  <c r="C313" i="5" a="1"/>
  <c r="J313" i="5" a="1"/>
  <c r="P313" i="5" a="1"/>
  <c r="L313" i="5" a="1"/>
  <c r="V312" i="5" l="1" a="1"/>
  <c r="V312" i="5" s="1"/>
  <c r="U312" i="5" a="1"/>
  <c r="U312" i="5" s="1"/>
  <c r="H313" i="5"/>
  <c r="M313" i="5"/>
  <c r="K313" i="5"/>
  <c r="I313" i="5"/>
  <c r="J313" i="5"/>
  <c r="C313" i="5"/>
  <c r="D313" i="5"/>
  <c r="G313" i="5"/>
  <c r="P313" i="5"/>
  <c r="O313" i="5"/>
  <c r="L313" i="5"/>
  <c r="E314" i="5" a="1"/>
  <c r="E314" i="5" s="1"/>
  <c r="B314" i="5"/>
  <c r="A315" i="5" a="1"/>
  <c r="T313" i="5" l="1"/>
  <c r="R313" i="5"/>
  <c r="F314" i="5" a="1"/>
  <c r="F314" i="5" s="1"/>
  <c r="S313" i="5"/>
  <c r="Q313" i="5"/>
  <c r="W314" i="5"/>
  <c r="A315" i="5"/>
  <c r="Y314" i="5"/>
  <c r="AC314" i="5" s="1"/>
  <c r="Z314" i="5"/>
  <c r="X314" i="5"/>
  <c r="AB314" i="5"/>
  <c r="AA314" i="5"/>
  <c r="G314" i="5" a="1"/>
  <c r="H314" i="5" a="1"/>
  <c r="P314" i="5" a="1"/>
  <c r="M314" i="5" a="1"/>
  <c r="L314" i="5" a="1"/>
  <c r="N314" i="5" a="1"/>
  <c r="C314" i="5" a="1"/>
  <c r="K314" i="5" a="1"/>
  <c r="I314" i="5" a="1"/>
  <c r="D314" i="5" a="1"/>
  <c r="J314" i="5" a="1"/>
  <c r="O314" i="5" a="1"/>
  <c r="V313" i="5" l="1" a="1"/>
  <c r="V313" i="5" s="1"/>
  <c r="U313" i="5" a="1"/>
  <c r="U313" i="5" s="1"/>
  <c r="K314" i="5"/>
  <c r="D314" i="5"/>
  <c r="M314" i="5"/>
  <c r="L314" i="5"/>
  <c r="I314" i="5"/>
  <c r="N314" i="5"/>
  <c r="P314" i="5"/>
  <c r="O314" i="5"/>
  <c r="J314" i="5"/>
  <c r="G314" i="5"/>
  <c r="C314" i="5"/>
  <c r="H314" i="5"/>
  <c r="B315" i="5"/>
  <c r="F315" i="5" s="1" a="1"/>
  <c r="F315" i="5" s="1"/>
  <c r="E315" i="5" a="1"/>
  <c r="E315" i="5" s="1"/>
  <c r="A316" i="5" a="1"/>
  <c r="R314" i="5" l="1"/>
  <c r="S314" i="5"/>
  <c r="Q314" i="5"/>
  <c r="T314" i="5"/>
  <c r="AA315" i="5"/>
  <c r="W315" i="5"/>
  <c r="X315" i="5"/>
  <c r="A316" i="5"/>
  <c r="Y315" i="5"/>
  <c r="AC315" i="5" s="1"/>
  <c r="Z315" i="5"/>
  <c r="AB315" i="5"/>
  <c r="N315" i="5" a="1"/>
  <c r="G315" i="5" a="1"/>
  <c r="O315" i="5" a="1"/>
  <c r="C315" i="5" a="1"/>
  <c r="K315" i="5" a="1"/>
  <c r="I315" i="5" a="1"/>
  <c r="L315" i="5" a="1"/>
  <c r="D315" i="5" a="1"/>
  <c r="P315" i="5" a="1"/>
  <c r="J315" i="5" a="1"/>
  <c r="H315" i="5" a="1"/>
  <c r="M315" i="5" a="1"/>
  <c r="U314" i="5" l="1" a="1"/>
  <c r="U314" i="5" s="1"/>
  <c r="G315" i="5"/>
  <c r="H315" i="5"/>
  <c r="L315" i="5"/>
  <c r="K315" i="5"/>
  <c r="C315" i="5"/>
  <c r="V314" i="5" a="1"/>
  <c r="V314" i="5" s="1"/>
  <c r="N315" i="5"/>
  <c r="D315" i="5"/>
  <c r="J315" i="5"/>
  <c r="O315" i="5"/>
  <c r="I315" i="5"/>
  <c r="M315" i="5"/>
  <c r="P315" i="5"/>
  <c r="B316" i="5"/>
  <c r="E316" i="5" a="1"/>
  <c r="E316" i="5" s="1"/>
  <c r="K316" i="5" a="1"/>
  <c r="A317" i="5" a="1"/>
  <c r="R315" i="5" l="1"/>
  <c r="T315" i="5"/>
  <c r="K316" i="5"/>
  <c r="W316" i="5"/>
  <c r="F316" i="5" a="1"/>
  <c r="F316" i="5" s="1"/>
  <c r="S315" i="5"/>
  <c r="Q315" i="5"/>
  <c r="Y316" i="5"/>
  <c r="AC316" i="5" s="1"/>
  <c r="A317" i="5"/>
  <c r="X316" i="5"/>
  <c r="Z316" i="5"/>
  <c r="AB316" i="5"/>
  <c r="AA316" i="5"/>
  <c r="G316" i="5" a="1"/>
  <c r="D316" i="5" a="1"/>
  <c r="H316" i="5" a="1"/>
  <c r="C316" i="5" a="1"/>
  <c r="N316" i="5" a="1"/>
  <c r="I316" i="5" a="1"/>
  <c r="P316" i="5" a="1"/>
  <c r="O316" i="5" a="1"/>
  <c r="M316" i="5" a="1"/>
  <c r="J316" i="5" a="1"/>
  <c r="L316" i="5" a="1"/>
  <c r="U315" i="5" l="1" a="1"/>
  <c r="U315" i="5" s="1"/>
  <c r="V315" i="5" a="1"/>
  <c r="V315" i="5" s="1"/>
  <c r="G316" i="5"/>
  <c r="P316" i="5"/>
  <c r="M316" i="5"/>
  <c r="N316" i="5"/>
  <c r="O316" i="5"/>
  <c r="H316" i="5"/>
  <c r="D316" i="5"/>
  <c r="C316" i="5"/>
  <c r="J316" i="5"/>
  <c r="L316" i="5"/>
  <c r="I316" i="5"/>
  <c r="E317" i="5" a="1"/>
  <c r="E317" i="5" s="1"/>
  <c r="B317" i="5"/>
  <c r="A318" i="5" a="1"/>
  <c r="R316" i="5" l="1"/>
  <c r="T316" i="5"/>
  <c r="AA317" i="5"/>
  <c r="Q316" i="5"/>
  <c r="S316" i="5"/>
  <c r="W317" i="5"/>
  <c r="Y317" i="5"/>
  <c r="AC317" i="5" s="1"/>
  <c r="A318" i="5"/>
  <c r="Z317" i="5"/>
  <c r="X317" i="5"/>
  <c r="AB317" i="5"/>
  <c r="H317" i="5" a="1"/>
  <c r="L317" i="5" a="1"/>
  <c r="F317" i="5" a="1"/>
  <c r="J317" i="5" a="1"/>
  <c r="O317" i="5" a="1"/>
  <c r="C317" i="5" a="1"/>
  <c r="G317" i="5" a="1"/>
  <c r="K317" i="5" a="1"/>
  <c r="N317" i="5" a="1"/>
  <c r="M317" i="5" a="1"/>
  <c r="D317" i="5" a="1"/>
  <c r="P317" i="5" a="1"/>
  <c r="I317" i="5" a="1"/>
  <c r="U316" i="5" l="1" a="1"/>
  <c r="U316" i="5" s="1"/>
  <c r="V316" i="5" a="1"/>
  <c r="V316" i="5" s="1"/>
  <c r="J317" i="5"/>
  <c r="O317" i="5"/>
  <c r="P317" i="5"/>
  <c r="C317" i="5"/>
  <c r="H317" i="5"/>
  <c r="L317" i="5"/>
  <c r="D317" i="5"/>
  <c r="N317" i="5"/>
  <c r="I317" i="5"/>
  <c r="K317" i="5"/>
  <c r="G317" i="5"/>
  <c r="F317" i="5"/>
  <c r="M317" i="5"/>
  <c r="B318" i="5"/>
  <c r="E318" i="5" a="1"/>
  <c r="E318" i="5" s="1"/>
  <c r="A319" i="5" a="1"/>
  <c r="F318" i="5" l="1" a="1"/>
  <c r="F318" i="5" s="1"/>
  <c r="T317" i="5"/>
  <c r="R317" i="5"/>
  <c r="W318" i="5"/>
  <c r="S317" i="5"/>
  <c r="Q317" i="5"/>
  <c r="A319" i="5"/>
  <c r="AB318" i="5"/>
  <c r="Z318" i="5"/>
  <c r="X318" i="5"/>
  <c r="Y318" i="5"/>
  <c r="AC318" i="5" s="1"/>
  <c r="AA318" i="5"/>
  <c r="J318" i="5" a="1"/>
  <c r="D318" i="5" a="1"/>
  <c r="K318" i="5" a="1"/>
  <c r="G318" i="5" a="1"/>
  <c r="C318" i="5" a="1"/>
  <c r="P318" i="5" a="1"/>
  <c r="I318" i="5" a="1"/>
  <c r="M318" i="5" a="1"/>
  <c r="N318" i="5" a="1"/>
  <c r="O318" i="5" a="1"/>
  <c r="L318" i="5" a="1"/>
  <c r="H318" i="5" a="1"/>
  <c r="I318" i="5" l="1"/>
  <c r="J318" i="5"/>
  <c r="H318" i="5"/>
  <c r="G318" i="5"/>
  <c r="O318" i="5"/>
  <c r="K318" i="5"/>
  <c r="N318" i="5"/>
  <c r="V317" i="5" a="1"/>
  <c r="V317" i="5" s="1"/>
  <c r="D318" i="5"/>
  <c r="L318" i="5"/>
  <c r="M318" i="5"/>
  <c r="P318" i="5"/>
  <c r="C318" i="5"/>
  <c r="U317" i="5" a="1"/>
  <c r="U317" i="5" s="1"/>
  <c r="E319" i="5" a="1"/>
  <c r="E319" i="5" s="1"/>
  <c r="B319" i="5"/>
  <c r="M319" i="5" s="1" a="1"/>
  <c r="A320" i="5" a="1"/>
  <c r="T318" i="5" l="1"/>
  <c r="Q318" i="5"/>
  <c r="S318" i="5"/>
  <c r="R318" i="5"/>
  <c r="M319" i="5"/>
  <c r="AA319" i="5"/>
  <c r="F319" i="5" a="1"/>
  <c r="F319" i="5" s="1"/>
  <c r="W319" i="5"/>
  <c r="A320" i="5"/>
  <c r="Y319" i="5"/>
  <c r="AC319" i="5" s="1"/>
  <c r="Z319" i="5"/>
  <c r="X319" i="5"/>
  <c r="AB319" i="5"/>
  <c r="P319" i="5" a="1"/>
  <c r="G319" i="5" a="1"/>
  <c r="I319" i="5" a="1"/>
  <c r="H319" i="5" a="1"/>
  <c r="D319" i="5" a="1"/>
  <c r="N319" i="5" a="1"/>
  <c r="O319" i="5" a="1"/>
  <c r="J319" i="5" a="1"/>
  <c r="K319" i="5" a="1"/>
  <c r="L319" i="5" a="1"/>
  <c r="C319" i="5" a="1"/>
  <c r="U318" i="5" l="1" a="1"/>
  <c r="U318" i="5" s="1"/>
  <c r="V318" i="5" a="1"/>
  <c r="V318" i="5" s="1"/>
  <c r="K319" i="5"/>
  <c r="P319" i="5"/>
  <c r="C319" i="5"/>
  <c r="J319" i="5"/>
  <c r="L319" i="5"/>
  <c r="H319" i="5"/>
  <c r="O319" i="5"/>
  <c r="N319" i="5"/>
  <c r="G319" i="5"/>
  <c r="D319" i="5"/>
  <c r="I319" i="5"/>
  <c r="B320" i="5"/>
  <c r="F320" i="5" s="1" a="1"/>
  <c r="F320" i="5" s="1"/>
  <c r="E320" i="5" a="1"/>
  <c r="E320" i="5" s="1"/>
  <c r="W320" i="5" s="1"/>
  <c r="A321" i="5" a="1"/>
  <c r="Q319" i="5" l="1"/>
  <c r="S319" i="5"/>
  <c r="T319" i="5"/>
  <c r="R319" i="5"/>
  <c r="A321" i="5"/>
  <c r="Y320" i="5"/>
  <c r="AC320" i="5" s="1"/>
  <c r="Z320" i="5"/>
  <c r="X320" i="5"/>
  <c r="AB320" i="5"/>
  <c r="AA320" i="5"/>
  <c r="L320" i="5" a="1"/>
  <c r="G320" i="5" a="1"/>
  <c r="H320" i="5" a="1"/>
  <c r="K320" i="5" a="1"/>
  <c r="I320" i="5" a="1"/>
  <c r="C320" i="5" a="1"/>
  <c r="D320" i="5" a="1"/>
  <c r="J320" i="5" a="1"/>
  <c r="O320" i="5" a="1"/>
  <c r="P320" i="5" a="1"/>
  <c r="M320" i="5" a="1"/>
  <c r="N320" i="5" a="1"/>
  <c r="J320" i="5" l="1"/>
  <c r="C320" i="5"/>
  <c r="G320" i="5"/>
  <c r="L320" i="5"/>
  <c r="D320" i="5"/>
  <c r="M320" i="5"/>
  <c r="K320" i="5"/>
  <c r="I320" i="5"/>
  <c r="N320" i="5"/>
  <c r="H320" i="5"/>
  <c r="P320" i="5"/>
  <c r="O320" i="5"/>
  <c r="B321" i="5"/>
  <c r="D321" i="5" s="1" a="1"/>
  <c r="E321" i="5" a="1"/>
  <c r="E321" i="5" s="1"/>
  <c r="V319" i="5" a="1"/>
  <c r="V319" i="5" s="1"/>
  <c r="U319" i="5" a="1"/>
  <c r="U319" i="5" s="1"/>
  <c r="A322" i="5" a="1"/>
  <c r="T320" i="5" l="1"/>
  <c r="D321" i="5"/>
  <c r="Q320" i="5"/>
  <c r="S320" i="5"/>
  <c r="R320" i="5"/>
  <c r="AA321" i="5"/>
  <c r="F321" i="5" a="1"/>
  <c r="F321" i="5" s="1"/>
  <c r="Y321" i="5"/>
  <c r="AC321" i="5" s="1"/>
  <c r="A322" i="5"/>
  <c r="W321" i="5"/>
  <c r="Z321" i="5"/>
  <c r="X321" i="5"/>
  <c r="AB321" i="5"/>
  <c r="M321" i="5" a="1"/>
  <c r="K321" i="5" a="1"/>
  <c r="I321" i="5" a="1"/>
  <c r="L321" i="5" a="1"/>
  <c r="P321" i="5" a="1"/>
  <c r="O321" i="5" a="1"/>
  <c r="H321" i="5" a="1"/>
  <c r="G321" i="5" a="1"/>
  <c r="J321" i="5" a="1"/>
  <c r="N321" i="5" a="1"/>
  <c r="C321" i="5" a="1"/>
  <c r="V320" i="5" l="1" a="1"/>
  <c r="V320" i="5" s="1"/>
  <c r="M321" i="5"/>
  <c r="P321" i="5"/>
  <c r="G321" i="5"/>
  <c r="O321" i="5"/>
  <c r="L321" i="5"/>
  <c r="I321" i="5"/>
  <c r="H321" i="5"/>
  <c r="C321" i="5"/>
  <c r="N321" i="5"/>
  <c r="J321" i="5"/>
  <c r="K321" i="5"/>
  <c r="U320" i="5" a="1"/>
  <c r="U320" i="5" s="1"/>
  <c r="E322" i="5" a="1"/>
  <c r="E322" i="5" s="1"/>
  <c r="B322" i="5"/>
  <c r="G322" i="5" s="1" a="1"/>
  <c r="A323" i="5" a="1"/>
  <c r="T321" i="5" l="1"/>
  <c r="G322" i="5"/>
  <c r="Q321" i="5"/>
  <c r="S321" i="5"/>
  <c r="F322" i="5" a="1"/>
  <c r="F322" i="5" s="1"/>
  <c r="W322" i="5"/>
  <c r="R321" i="5"/>
  <c r="A323" i="5"/>
  <c r="AB322" i="5"/>
  <c r="Y322" i="5"/>
  <c r="AC322" i="5" s="1"/>
  <c r="X322" i="5"/>
  <c r="Z322" i="5"/>
  <c r="AA322" i="5"/>
  <c r="I322" i="5" a="1"/>
  <c r="D322" i="5" a="1"/>
  <c r="P322" i="5" a="1"/>
  <c r="K322" i="5" a="1"/>
  <c r="L322" i="5" a="1"/>
  <c r="O322" i="5" a="1"/>
  <c r="C322" i="5" a="1"/>
  <c r="N322" i="5" a="1"/>
  <c r="J322" i="5" a="1"/>
  <c r="H322" i="5" a="1"/>
  <c r="M322" i="5" a="1"/>
  <c r="V321" i="5" l="1" a="1"/>
  <c r="V321" i="5" s="1"/>
  <c r="M322" i="5"/>
  <c r="L322" i="5"/>
  <c r="D322" i="5"/>
  <c r="J322" i="5"/>
  <c r="N322" i="5"/>
  <c r="H322" i="5"/>
  <c r="O322" i="5"/>
  <c r="K322" i="5"/>
  <c r="I322" i="5"/>
  <c r="P322" i="5"/>
  <c r="C322" i="5"/>
  <c r="B323" i="5"/>
  <c r="F323" i="5" s="1" a="1"/>
  <c r="F323" i="5" s="1"/>
  <c r="E323" i="5" a="1"/>
  <c r="E323" i="5" s="1"/>
  <c r="AA323" i="5" s="1"/>
  <c r="U321" i="5" a="1"/>
  <c r="U321" i="5" s="1"/>
  <c r="A324" i="5" a="1"/>
  <c r="R322" i="5" l="1"/>
  <c r="T322" i="5"/>
  <c r="Q322" i="5"/>
  <c r="S322" i="5"/>
  <c r="W323" i="5"/>
  <c r="A324" i="5"/>
  <c r="Y323" i="5"/>
  <c r="AC323" i="5" s="1"/>
  <c r="Z323" i="5"/>
  <c r="X323" i="5"/>
  <c r="AB323" i="5"/>
  <c r="J323" i="5" a="1"/>
  <c r="H323" i="5" a="1"/>
  <c r="K323" i="5" a="1"/>
  <c r="C323" i="5" a="1"/>
  <c r="P323" i="5" a="1"/>
  <c r="L323" i="5" a="1"/>
  <c r="D323" i="5" a="1"/>
  <c r="O323" i="5" a="1"/>
  <c r="G323" i="5" a="1"/>
  <c r="N323" i="5" a="1"/>
  <c r="M323" i="5" a="1"/>
  <c r="I323" i="5" a="1"/>
  <c r="U322" i="5" l="1" a="1"/>
  <c r="U322" i="5" s="1"/>
  <c r="V322" i="5" a="1"/>
  <c r="V322" i="5" s="1"/>
  <c r="K323" i="5"/>
  <c r="L323" i="5"/>
  <c r="D323" i="5"/>
  <c r="J323" i="5"/>
  <c r="C323" i="5"/>
  <c r="I323" i="5"/>
  <c r="N323" i="5"/>
  <c r="G323" i="5"/>
  <c r="O323" i="5"/>
  <c r="H323" i="5"/>
  <c r="P323" i="5"/>
  <c r="M323" i="5"/>
  <c r="B324" i="5"/>
  <c r="K324" i="5" s="1" a="1"/>
  <c r="E324" i="5" a="1"/>
  <c r="E324" i="5" s="1"/>
  <c r="A325" i="5" a="1"/>
  <c r="R323" i="5" l="1"/>
  <c r="Q323" i="5"/>
  <c r="K324" i="5"/>
  <c r="W324" i="5"/>
  <c r="F324" i="5" a="1"/>
  <c r="F324" i="5" s="1"/>
  <c r="T323" i="5"/>
  <c r="S323" i="5"/>
  <c r="A325" i="5"/>
  <c r="Z324" i="5"/>
  <c r="AB324" i="5"/>
  <c r="Y324" i="5"/>
  <c r="AC324" i="5" s="1"/>
  <c r="X324" i="5"/>
  <c r="AA324" i="5"/>
  <c r="C324" i="5" a="1"/>
  <c r="P324" i="5" a="1"/>
  <c r="N324" i="5" a="1"/>
  <c r="L324" i="5" a="1"/>
  <c r="M324" i="5" a="1"/>
  <c r="G324" i="5" a="1"/>
  <c r="J324" i="5" a="1"/>
  <c r="D324" i="5" a="1"/>
  <c r="O324" i="5" a="1"/>
  <c r="I324" i="5" a="1"/>
  <c r="H324" i="5" a="1"/>
  <c r="U323" i="5" l="1" a="1"/>
  <c r="U323" i="5" s="1"/>
  <c r="V323" i="5" a="1"/>
  <c r="V323" i="5" s="1"/>
  <c r="N324" i="5"/>
  <c r="O324" i="5"/>
  <c r="D324" i="5"/>
  <c r="P324" i="5"/>
  <c r="C324" i="5"/>
  <c r="M324" i="5"/>
  <c r="J324" i="5"/>
  <c r="H324" i="5"/>
  <c r="I324" i="5"/>
  <c r="L324" i="5"/>
  <c r="G324" i="5"/>
  <c r="E325" i="5" a="1"/>
  <c r="E325" i="5" s="1"/>
  <c r="Y325" i="5" s="1"/>
  <c r="B325" i="5"/>
  <c r="A326" i="5" a="1"/>
  <c r="T324" i="5" l="1"/>
  <c r="R324" i="5"/>
  <c r="F325" i="5" a="1"/>
  <c r="F325" i="5" s="1"/>
  <c r="S324" i="5"/>
  <c r="Q324" i="5"/>
  <c r="A326" i="5"/>
  <c r="A327" i="5" s="1" a="1"/>
  <c r="Z325" i="5"/>
  <c r="W325" i="5"/>
  <c r="AC325" i="5"/>
  <c r="AA325" i="5"/>
  <c r="X325" i="5"/>
  <c r="AB325" i="5"/>
  <c r="C325" i="5" a="1"/>
  <c r="P325" i="5" a="1"/>
  <c r="L325" i="5" a="1"/>
  <c r="D325" i="5" a="1"/>
  <c r="G325" i="5" a="1"/>
  <c r="M325" i="5" a="1"/>
  <c r="O325" i="5" a="1"/>
  <c r="J325" i="5" a="1"/>
  <c r="K325" i="5" a="1"/>
  <c r="I325" i="5" a="1"/>
  <c r="H325" i="5" a="1"/>
  <c r="N325" i="5" a="1"/>
  <c r="V324" i="5" l="1" a="1"/>
  <c r="V324" i="5" s="1"/>
  <c r="U324" i="5" a="1"/>
  <c r="U324" i="5" s="1"/>
  <c r="C325" i="5"/>
  <c r="N325" i="5"/>
  <c r="D325" i="5"/>
  <c r="P325" i="5"/>
  <c r="O325" i="5"/>
  <c r="M325" i="5"/>
  <c r="L325" i="5"/>
  <c r="K325" i="5"/>
  <c r="I325" i="5"/>
  <c r="H325" i="5"/>
  <c r="G325" i="5"/>
  <c r="J325" i="5"/>
  <c r="B326" i="5"/>
  <c r="E326" i="5" a="1"/>
  <c r="E326" i="5" s="1"/>
  <c r="X326" i="5" s="1"/>
  <c r="A327" i="5"/>
  <c r="G326" i="5" a="1"/>
  <c r="T325" i="5" l="1"/>
  <c r="R325" i="5"/>
  <c r="G326" i="5"/>
  <c r="W326" i="5"/>
  <c r="F326" i="5" a="1"/>
  <c r="F326" i="5" s="1"/>
  <c r="Q325" i="5"/>
  <c r="S325" i="5"/>
  <c r="Y326" i="5"/>
  <c r="AC326" i="5" s="1"/>
  <c r="AA326" i="5"/>
  <c r="AB326" i="5"/>
  <c r="E327" i="5" a="1"/>
  <c r="E327" i="5" s="1"/>
  <c r="B327" i="5"/>
  <c r="P327" i="5" s="1" a="1"/>
  <c r="Z326" i="5"/>
  <c r="A328" i="5" a="1"/>
  <c r="I326" i="5" a="1"/>
  <c r="M326" i="5" a="1"/>
  <c r="L326" i="5" a="1"/>
  <c r="C326" i="5" a="1"/>
  <c r="N326" i="5" a="1"/>
  <c r="H326" i="5" a="1"/>
  <c r="D326" i="5" a="1"/>
  <c r="P326" i="5" a="1"/>
  <c r="J326" i="5" a="1"/>
  <c r="O326" i="5" a="1"/>
  <c r="K326" i="5" a="1"/>
  <c r="V325" i="5" l="1" a="1"/>
  <c r="V325" i="5" s="1"/>
  <c r="N326" i="5"/>
  <c r="J326" i="5"/>
  <c r="C326" i="5"/>
  <c r="U325" i="5" a="1"/>
  <c r="U325" i="5" s="1"/>
  <c r="P327" i="5"/>
  <c r="D326" i="5"/>
  <c r="M326" i="5"/>
  <c r="L326" i="5"/>
  <c r="I326" i="5"/>
  <c r="O326" i="5"/>
  <c r="P326" i="5"/>
  <c r="H326" i="5"/>
  <c r="K326" i="5"/>
  <c r="F327" i="5" a="1"/>
  <c r="F327" i="5" s="1"/>
  <c r="AA327" i="5"/>
  <c r="X327" i="5"/>
  <c r="Y327" i="5"/>
  <c r="AC327" i="5" s="1"/>
  <c r="A328" i="5"/>
  <c r="W327" i="5"/>
  <c r="Z327" i="5"/>
  <c r="AB327" i="5"/>
  <c r="N327" i="5" a="1"/>
  <c r="O327" i="5" a="1"/>
  <c r="J327" i="5" a="1"/>
  <c r="M327" i="5" a="1"/>
  <c r="D327" i="5" a="1"/>
  <c r="I327" i="5" a="1"/>
  <c r="G327" i="5" a="1"/>
  <c r="L327" i="5" a="1"/>
  <c r="H327" i="5" a="1"/>
  <c r="C327" i="5" a="1"/>
  <c r="K327" i="5" a="1"/>
  <c r="A329" i="5" a="1"/>
  <c r="R326" i="5" l="1"/>
  <c r="M327" i="5"/>
  <c r="T327" i="5" s="1"/>
  <c r="I327" i="5"/>
  <c r="O327" i="5"/>
  <c r="C327" i="5"/>
  <c r="K327" i="5"/>
  <c r="H327" i="5"/>
  <c r="N327" i="5"/>
  <c r="G327" i="5"/>
  <c r="L327" i="5"/>
  <c r="R327" i="5" s="1"/>
  <c r="D327" i="5"/>
  <c r="J327" i="5"/>
  <c r="S326" i="5"/>
  <c r="Q326" i="5"/>
  <c r="T326" i="5"/>
  <c r="B328" i="5"/>
  <c r="E328" i="5" a="1"/>
  <c r="E328" i="5" s="1"/>
  <c r="Y328" i="5" s="1"/>
  <c r="AC328" i="5" s="1"/>
  <c r="A329" i="5"/>
  <c r="U326" i="5" l="1" a="1"/>
  <c r="U326" i="5" s="1"/>
  <c r="AA328" i="5"/>
  <c r="Z328" i="5"/>
  <c r="B329" i="5"/>
  <c r="N329" i="5" s="1" a="1"/>
  <c r="E329" i="5" a="1"/>
  <c r="E329" i="5" s="1"/>
  <c r="F328" i="5" a="1"/>
  <c r="F328" i="5" s="1"/>
  <c r="V326" i="5" a="1"/>
  <c r="V326" i="5" s="1"/>
  <c r="AB328" i="5"/>
  <c r="S327" i="5"/>
  <c r="V327" i="5" s="1" a="1"/>
  <c r="V327" i="5" s="1"/>
  <c r="Q327" i="5"/>
  <c r="U327" i="5" s="1" a="1"/>
  <c r="U327" i="5" s="1"/>
  <c r="W328" i="5"/>
  <c r="X328" i="5"/>
  <c r="P328" i="5" a="1"/>
  <c r="M328" i="5" a="1"/>
  <c r="I328" i="5" a="1"/>
  <c r="H328" i="5" a="1"/>
  <c r="D328" i="5" a="1"/>
  <c r="L328" i="5" a="1"/>
  <c r="N328" i="5" a="1"/>
  <c r="G328" i="5" a="1"/>
  <c r="J328" i="5" a="1"/>
  <c r="A330" i="5" a="1"/>
  <c r="K328" i="5" a="1"/>
  <c r="C328" i="5" a="1"/>
  <c r="O328" i="5" a="1"/>
  <c r="N329" i="5" l="1"/>
  <c r="H328" i="5"/>
  <c r="N328" i="5"/>
  <c r="J328" i="5"/>
  <c r="O328" i="5"/>
  <c r="G328" i="5"/>
  <c r="K328" i="5"/>
  <c r="L328" i="5"/>
  <c r="M328" i="5"/>
  <c r="C328" i="5"/>
  <c r="D328" i="5"/>
  <c r="I328" i="5"/>
  <c r="P328" i="5"/>
  <c r="AA329" i="5"/>
  <c r="F329" i="5" a="1"/>
  <c r="F329" i="5" s="1"/>
  <c r="W329" i="5"/>
  <c r="A330" i="5"/>
  <c r="Y329" i="5"/>
  <c r="AC329" i="5" s="1"/>
  <c r="Z329" i="5"/>
  <c r="AB329" i="5"/>
  <c r="X329" i="5"/>
  <c r="H329" i="5" a="1"/>
  <c r="C329" i="5" a="1"/>
  <c r="L329" i="5" a="1"/>
  <c r="O329" i="5" a="1"/>
  <c r="D329" i="5" a="1"/>
  <c r="M329" i="5" a="1"/>
  <c r="G329" i="5" a="1"/>
  <c r="I329" i="5" a="1"/>
  <c r="P329" i="5" a="1"/>
  <c r="J329" i="5" a="1"/>
  <c r="K329" i="5" a="1"/>
  <c r="R328" i="5" l="1"/>
  <c r="J329" i="5"/>
  <c r="O329" i="5"/>
  <c r="P329" i="5"/>
  <c r="C329" i="5"/>
  <c r="M329" i="5"/>
  <c r="K329" i="5"/>
  <c r="L329" i="5"/>
  <c r="G329" i="5"/>
  <c r="I329" i="5"/>
  <c r="D329" i="5"/>
  <c r="H329" i="5"/>
  <c r="S328" i="5"/>
  <c r="Q328" i="5"/>
  <c r="E330" i="5" a="1"/>
  <c r="E330" i="5" s="1"/>
  <c r="W330" i="5" s="1"/>
  <c r="B330" i="5"/>
  <c r="F330" i="5" s="1" a="1"/>
  <c r="F330" i="5" s="1"/>
  <c r="T328" i="5"/>
  <c r="A331" i="5" a="1"/>
  <c r="U328" i="5" l="1" a="1"/>
  <c r="U328" i="5" s="1"/>
  <c r="T329" i="5"/>
  <c r="V328" i="5" a="1"/>
  <c r="V328" i="5" s="1"/>
  <c r="R329" i="5"/>
  <c r="S329" i="5"/>
  <c r="Q329" i="5"/>
  <c r="A331" i="5"/>
  <c r="Y330" i="5"/>
  <c r="AC330" i="5" s="1"/>
  <c r="Z330" i="5"/>
  <c r="X330" i="5"/>
  <c r="AB330" i="5"/>
  <c r="AA330" i="5"/>
  <c r="J330" i="5" a="1"/>
  <c r="C330" i="5" a="1"/>
  <c r="K330" i="5" a="1"/>
  <c r="L330" i="5" a="1"/>
  <c r="H330" i="5" a="1"/>
  <c r="I330" i="5" a="1"/>
  <c r="M330" i="5" a="1"/>
  <c r="N330" i="5" a="1"/>
  <c r="D330" i="5" a="1"/>
  <c r="G330" i="5" a="1"/>
  <c r="O330" i="5" a="1"/>
  <c r="P330" i="5" a="1"/>
  <c r="M330" i="5" l="1"/>
  <c r="I330" i="5"/>
  <c r="P330" i="5"/>
  <c r="O330" i="5"/>
  <c r="H330" i="5"/>
  <c r="D330" i="5"/>
  <c r="K330" i="5"/>
  <c r="J330" i="5"/>
  <c r="L330" i="5"/>
  <c r="G330" i="5"/>
  <c r="N330" i="5"/>
  <c r="V329" i="5" a="1"/>
  <c r="V329" i="5" s="1"/>
  <c r="C330" i="5"/>
  <c r="B331" i="5"/>
  <c r="E331" i="5" a="1"/>
  <c r="E331" i="5" s="1"/>
  <c r="U329" i="5" a="1"/>
  <c r="U329" i="5" s="1"/>
  <c r="A332" i="5" a="1"/>
  <c r="R330" i="5" l="1"/>
  <c r="S330" i="5"/>
  <c r="T330" i="5"/>
  <c r="Q330" i="5"/>
  <c r="F331" i="5" a="1"/>
  <c r="F331" i="5" s="1"/>
  <c r="Y331" i="5"/>
  <c r="AC331" i="5" s="1"/>
  <c r="A332" i="5"/>
  <c r="Z331" i="5"/>
  <c r="W331" i="5"/>
  <c r="X331" i="5"/>
  <c r="AB331" i="5"/>
  <c r="AA331" i="5"/>
  <c r="L331" i="5" a="1"/>
  <c r="P331" i="5" a="1"/>
  <c r="G331" i="5" a="1"/>
  <c r="N331" i="5" a="1"/>
  <c r="C331" i="5" a="1"/>
  <c r="I331" i="5" a="1"/>
  <c r="M331" i="5" a="1"/>
  <c r="D331" i="5" a="1"/>
  <c r="H331" i="5" a="1"/>
  <c r="K331" i="5" a="1"/>
  <c r="J331" i="5" a="1"/>
  <c r="O331" i="5" a="1"/>
  <c r="U330" i="5" l="1" a="1"/>
  <c r="U330" i="5" s="1"/>
  <c r="V330" i="5" a="1"/>
  <c r="V330" i="5" s="1"/>
  <c r="H331" i="5"/>
  <c r="G331" i="5"/>
  <c r="J331" i="5"/>
  <c r="L331" i="5"/>
  <c r="M331" i="5"/>
  <c r="O331" i="5"/>
  <c r="C331" i="5"/>
  <c r="N331" i="5"/>
  <c r="I331" i="5"/>
  <c r="P331" i="5"/>
  <c r="D331" i="5"/>
  <c r="K331" i="5"/>
  <c r="B332" i="5"/>
  <c r="E332" i="5" a="1"/>
  <c r="E332" i="5" s="1"/>
  <c r="W332" i="5" s="1"/>
  <c r="A333" i="5" a="1"/>
  <c r="D332" i="5" a="1"/>
  <c r="T331" i="5" l="1"/>
  <c r="D332" i="5"/>
  <c r="F332" i="5" a="1"/>
  <c r="F332" i="5" s="1"/>
  <c r="S331" i="5"/>
  <c r="Q331" i="5"/>
  <c r="R331" i="5"/>
  <c r="A333" i="5"/>
  <c r="Y332" i="5"/>
  <c r="AC332" i="5" s="1"/>
  <c r="AB332" i="5"/>
  <c r="Z332" i="5"/>
  <c r="X332" i="5"/>
  <c r="AA332" i="5"/>
  <c r="J332" i="5" a="1"/>
  <c r="M332" i="5" a="1"/>
  <c r="G332" i="5" a="1"/>
  <c r="H332" i="5" a="1"/>
  <c r="N332" i="5" a="1"/>
  <c r="I332" i="5" a="1"/>
  <c r="L332" i="5" a="1"/>
  <c r="C332" i="5" a="1"/>
  <c r="O332" i="5" a="1"/>
  <c r="K332" i="5" a="1"/>
  <c r="P332" i="5" a="1"/>
  <c r="V331" i="5" l="1" a="1"/>
  <c r="V331" i="5" s="1"/>
  <c r="U331" i="5" a="1"/>
  <c r="U331" i="5" s="1"/>
  <c r="N332" i="5"/>
  <c r="J332" i="5"/>
  <c r="I332" i="5"/>
  <c r="G332" i="5"/>
  <c r="L332" i="5"/>
  <c r="K332" i="5"/>
  <c r="C332" i="5"/>
  <c r="O332" i="5"/>
  <c r="H332" i="5"/>
  <c r="P332" i="5"/>
  <c r="M332" i="5"/>
  <c r="E333" i="5" a="1"/>
  <c r="E333" i="5" s="1"/>
  <c r="AA333" i="5" s="1"/>
  <c r="B333" i="5"/>
  <c r="A334" i="5" a="1"/>
  <c r="T332" i="5" l="1"/>
  <c r="Q332" i="5"/>
  <c r="S332" i="5"/>
  <c r="F333" i="5" a="1"/>
  <c r="F333" i="5" s="1"/>
  <c r="R332" i="5"/>
  <c r="A334" i="5"/>
  <c r="Y333" i="5"/>
  <c r="AC333" i="5" s="1"/>
  <c r="W333" i="5"/>
  <c r="Z333" i="5"/>
  <c r="X333" i="5"/>
  <c r="AB333" i="5"/>
  <c r="C333" i="5" a="1"/>
  <c r="O333" i="5" a="1"/>
  <c r="H333" i="5" a="1"/>
  <c r="G333" i="5" a="1"/>
  <c r="N333" i="5" a="1"/>
  <c r="I333" i="5" a="1"/>
  <c r="P333" i="5" a="1"/>
  <c r="J333" i="5" a="1"/>
  <c r="D333" i="5" a="1"/>
  <c r="L333" i="5" a="1"/>
  <c r="K333" i="5" a="1"/>
  <c r="M333" i="5" a="1"/>
  <c r="V332" i="5" l="1" a="1"/>
  <c r="V332" i="5" s="1"/>
  <c r="U332" i="5" a="1"/>
  <c r="U332" i="5" s="1"/>
  <c r="M333" i="5"/>
  <c r="N333" i="5"/>
  <c r="J333" i="5"/>
  <c r="I333" i="5"/>
  <c r="D333" i="5"/>
  <c r="K333" i="5"/>
  <c r="O333" i="5"/>
  <c r="C333" i="5"/>
  <c r="P333" i="5"/>
  <c r="G333" i="5"/>
  <c r="L333" i="5"/>
  <c r="H333" i="5"/>
  <c r="B334" i="5"/>
  <c r="F334" i="5" s="1" a="1"/>
  <c r="F334" i="5" s="1"/>
  <c r="E334" i="5" a="1"/>
  <c r="E334" i="5" s="1"/>
  <c r="W334" i="5" s="1"/>
  <c r="A335" i="5" a="1"/>
  <c r="R333" i="5" l="1"/>
  <c r="Q333" i="5"/>
  <c r="S333" i="5"/>
  <c r="T333" i="5"/>
  <c r="A335" i="5"/>
  <c r="X334" i="5"/>
  <c r="Y334" i="5"/>
  <c r="AC334" i="5" s="1"/>
  <c r="Z334" i="5"/>
  <c r="AB334" i="5"/>
  <c r="AA334" i="5"/>
  <c r="I334" i="5" a="1"/>
  <c r="L334" i="5" a="1"/>
  <c r="N334" i="5" a="1"/>
  <c r="K334" i="5" a="1"/>
  <c r="J334" i="5" a="1"/>
  <c r="G334" i="5" a="1"/>
  <c r="M334" i="5" a="1"/>
  <c r="D334" i="5" a="1"/>
  <c r="P334" i="5" a="1"/>
  <c r="H334" i="5" a="1"/>
  <c r="C334" i="5" a="1"/>
  <c r="O334" i="5" a="1"/>
  <c r="U333" i="5" l="1" a="1"/>
  <c r="U333" i="5" s="1"/>
  <c r="O334" i="5"/>
  <c r="J334" i="5"/>
  <c r="M334" i="5"/>
  <c r="G334" i="5"/>
  <c r="C334" i="5"/>
  <c r="D334" i="5"/>
  <c r="L334" i="5"/>
  <c r="K334" i="5"/>
  <c r="H334" i="5"/>
  <c r="N334" i="5"/>
  <c r="P334" i="5"/>
  <c r="I334" i="5"/>
  <c r="E335" i="5" a="1"/>
  <c r="E335" i="5" s="1"/>
  <c r="AA335" i="5" s="1"/>
  <c r="B335" i="5"/>
  <c r="V333" i="5" a="1"/>
  <c r="V333" i="5" s="1"/>
  <c r="A336" i="5" a="1"/>
  <c r="D335" i="5" a="1"/>
  <c r="S334" i="5" l="1"/>
  <c r="Q334" i="5"/>
  <c r="D335" i="5"/>
  <c r="R334" i="5"/>
  <c r="T334" i="5"/>
  <c r="A336" i="5"/>
  <c r="Y335" i="5"/>
  <c r="AC335" i="5" s="1"/>
  <c r="W335" i="5"/>
  <c r="Z335" i="5"/>
  <c r="AB335" i="5"/>
  <c r="X335" i="5"/>
  <c r="L335" i="5" a="1"/>
  <c r="G335" i="5" a="1"/>
  <c r="O335" i="5" a="1"/>
  <c r="I335" i="5" a="1"/>
  <c r="M335" i="5" a="1"/>
  <c r="P335" i="5" a="1"/>
  <c r="J335" i="5" a="1"/>
  <c r="C335" i="5" a="1"/>
  <c r="H335" i="5" a="1"/>
  <c r="N335" i="5" a="1"/>
  <c r="F335" i="5" a="1"/>
  <c r="K335" i="5" a="1"/>
  <c r="V334" i="5" l="1" a="1"/>
  <c r="V334" i="5" s="1"/>
  <c r="J335" i="5"/>
  <c r="I335" i="5"/>
  <c r="F335" i="5"/>
  <c r="M335" i="5"/>
  <c r="U334" i="5" a="1"/>
  <c r="U334" i="5" s="1"/>
  <c r="P335" i="5"/>
  <c r="N335" i="5"/>
  <c r="H335" i="5"/>
  <c r="O335" i="5"/>
  <c r="G335" i="5"/>
  <c r="C335" i="5"/>
  <c r="K335" i="5"/>
  <c r="L335" i="5"/>
  <c r="B336" i="5"/>
  <c r="E336" i="5" a="1"/>
  <c r="E336" i="5" s="1"/>
  <c r="W336" i="5" s="1"/>
  <c r="A337" i="5" a="1"/>
  <c r="F336" i="5" l="1" a="1"/>
  <c r="F336" i="5" s="1"/>
  <c r="Q335" i="5"/>
  <c r="S335" i="5"/>
  <c r="T335" i="5"/>
  <c r="R335" i="5"/>
  <c r="A337" i="5"/>
  <c r="X336" i="5"/>
  <c r="Y336" i="5"/>
  <c r="AC336" i="5" s="1"/>
  <c r="Z336" i="5"/>
  <c r="AB336" i="5"/>
  <c r="AA336" i="5"/>
  <c r="O336" i="5" a="1"/>
  <c r="I336" i="5" a="1"/>
  <c r="H336" i="5" a="1"/>
  <c r="K336" i="5" a="1"/>
  <c r="D336" i="5" a="1"/>
  <c r="L336" i="5" a="1"/>
  <c r="P336" i="5" a="1"/>
  <c r="J336" i="5" a="1"/>
  <c r="N336" i="5" a="1"/>
  <c r="G336" i="5" a="1"/>
  <c r="M336" i="5" a="1"/>
  <c r="C336" i="5" a="1"/>
  <c r="G336" i="5" l="1"/>
  <c r="C336" i="5"/>
  <c r="D336" i="5"/>
  <c r="H336" i="5"/>
  <c r="L336" i="5"/>
  <c r="P336" i="5"/>
  <c r="J336" i="5"/>
  <c r="K336" i="5"/>
  <c r="V335" i="5" a="1"/>
  <c r="V335" i="5" s="1"/>
  <c r="O336" i="5"/>
  <c r="N336" i="5"/>
  <c r="I336" i="5"/>
  <c r="M336" i="5"/>
  <c r="B337" i="5"/>
  <c r="D337" i="5" s="1" a="1"/>
  <c r="E337" i="5" a="1"/>
  <c r="E337" i="5" s="1"/>
  <c r="U335" i="5" a="1"/>
  <c r="U335" i="5" s="1"/>
  <c r="A338" i="5" a="1"/>
  <c r="R336" i="5" l="1"/>
  <c r="T336" i="5"/>
  <c r="D337" i="5"/>
  <c r="Y337" i="5"/>
  <c r="AC337" i="5" s="1"/>
  <c r="F337" i="5" a="1"/>
  <c r="F337" i="5" s="1"/>
  <c r="Q336" i="5"/>
  <c r="S336" i="5"/>
  <c r="W337" i="5"/>
  <c r="Z337" i="5"/>
  <c r="A338" i="5"/>
  <c r="X337" i="5"/>
  <c r="AA337" i="5"/>
  <c r="AB337" i="5"/>
  <c r="O337" i="5" a="1"/>
  <c r="N337" i="5" a="1"/>
  <c r="C337" i="5" a="1"/>
  <c r="I337" i="5" a="1"/>
  <c r="H337" i="5" a="1"/>
  <c r="P337" i="5" a="1"/>
  <c r="J337" i="5" a="1"/>
  <c r="G337" i="5" a="1"/>
  <c r="K337" i="5" a="1"/>
  <c r="L337" i="5" a="1"/>
  <c r="M337" i="5" a="1"/>
  <c r="U336" i="5" l="1" a="1"/>
  <c r="U336" i="5" s="1"/>
  <c r="V336" i="5" a="1"/>
  <c r="V336" i="5" s="1"/>
  <c r="N337" i="5"/>
  <c r="M337" i="5"/>
  <c r="I337" i="5"/>
  <c r="L337" i="5"/>
  <c r="J337" i="5"/>
  <c r="K337" i="5"/>
  <c r="P337" i="5"/>
  <c r="H337" i="5"/>
  <c r="G337" i="5"/>
  <c r="O337" i="5"/>
  <c r="C337" i="5"/>
  <c r="E338" i="5" a="1"/>
  <c r="E338" i="5" s="1"/>
  <c r="B338" i="5"/>
  <c r="N338" i="5" s="1" a="1"/>
  <c r="A339" i="5" a="1"/>
  <c r="R337" i="5" l="1"/>
  <c r="N338" i="5"/>
  <c r="F338" i="5" a="1"/>
  <c r="F338" i="5" s="1"/>
  <c r="Q337" i="5"/>
  <c r="S337" i="5"/>
  <c r="T337" i="5"/>
  <c r="W338" i="5"/>
  <c r="A339" i="5"/>
  <c r="Y338" i="5"/>
  <c r="AC338" i="5" s="1"/>
  <c r="X338" i="5"/>
  <c r="Z338" i="5"/>
  <c r="AB338" i="5"/>
  <c r="AA338" i="5"/>
  <c r="H338" i="5" a="1"/>
  <c r="D338" i="5" a="1"/>
  <c r="O338" i="5" a="1"/>
  <c r="M338" i="5" a="1"/>
  <c r="I338" i="5" a="1"/>
  <c r="G338" i="5" a="1"/>
  <c r="J338" i="5" a="1"/>
  <c r="P338" i="5" a="1"/>
  <c r="L338" i="5" a="1"/>
  <c r="C338" i="5" a="1"/>
  <c r="K338" i="5" a="1"/>
  <c r="U337" i="5" l="1" a="1"/>
  <c r="U337" i="5" s="1"/>
  <c r="O338" i="5"/>
  <c r="P338" i="5"/>
  <c r="D338" i="5"/>
  <c r="G338" i="5"/>
  <c r="L338" i="5"/>
  <c r="I338" i="5"/>
  <c r="J338" i="5"/>
  <c r="C338" i="5"/>
  <c r="K338" i="5"/>
  <c r="M338" i="5"/>
  <c r="H338" i="5"/>
  <c r="B339" i="5"/>
  <c r="F339" i="5" s="1" a="1"/>
  <c r="F339" i="5" s="1"/>
  <c r="E339" i="5" a="1"/>
  <c r="E339" i="5" s="1"/>
  <c r="AA339" i="5" s="1"/>
  <c r="V337" i="5" a="1"/>
  <c r="V337" i="5" s="1"/>
  <c r="A340" i="5" a="1"/>
  <c r="T338" i="5" l="1"/>
  <c r="R338" i="5"/>
  <c r="Q338" i="5"/>
  <c r="S338" i="5"/>
  <c r="A340" i="5"/>
  <c r="Y339" i="5"/>
  <c r="AC339" i="5" s="1"/>
  <c r="W339" i="5"/>
  <c r="Z339" i="5"/>
  <c r="X339" i="5"/>
  <c r="AB339" i="5"/>
  <c r="N339" i="5" a="1"/>
  <c r="K339" i="5" a="1"/>
  <c r="D339" i="5" a="1"/>
  <c r="M339" i="5" a="1"/>
  <c r="I339" i="5" a="1"/>
  <c r="L339" i="5" a="1"/>
  <c r="G339" i="5" a="1"/>
  <c r="J339" i="5" a="1"/>
  <c r="O339" i="5" a="1"/>
  <c r="C339" i="5" a="1"/>
  <c r="P339" i="5" a="1"/>
  <c r="H339" i="5" a="1"/>
  <c r="V338" i="5" l="1" a="1"/>
  <c r="V338" i="5" s="1"/>
  <c r="G339" i="5"/>
  <c r="H339" i="5"/>
  <c r="L339" i="5"/>
  <c r="D339" i="5"/>
  <c r="K339" i="5"/>
  <c r="C339" i="5"/>
  <c r="P339" i="5"/>
  <c r="N339" i="5"/>
  <c r="M339" i="5"/>
  <c r="O339" i="5"/>
  <c r="I339" i="5"/>
  <c r="J339" i="5"/>
  <c r="U338" i="5" a="1"/>
  <c r="U338" i="5" s="1"/>
  <c r="B340" i="5"/>
  <c r="F340" i="5" s="1" a="1"/>
  <c r="F340" i="5" s="1"/>
  <c r="E340" i="5" a="1"/>
  <c r="E340" i="5" s="1"/>
  <c r="A341" i="5" a="1"/>
  <c r="R339" i="5" l="1"/>
  <c r="T339" i="5"/>
  <c r="W340" i="5"/>
  <c r="S339" i="5"/>
  <c r="Q339" i="5"/>
  <c r="A341" i="5"/>
  <c r="Y340" i="5"/>
  <c r="AC340" i="5" s="1"/>
  <c r="X340" i="5"/>
  <c r="Z340" i="5"/>
  <c r="AB340" i="5"/>
  <c r="AA340" i="5"/>
  <c r="M340" i="5" a="1"/>
  <c r="J340" i="5" a="1"/>
  <c r="P340" i="5" a="1"/>
  <c r="C340" i="5" a="1"/>
  <c r="G340" i="5" a="1"/>
  <c r="L340" i="5" a="1"/>
  <c r="O340" i="5" a="1"/>
  <c r="N340" i="5" a="1"/>
  <c r="K340" i="5" a="1"/>
  <c r="I340" i="5" a="1"/>
  <c r="D340" i="5" a="1"/>
  <c r="H340" i="5" a="1"/>
  <c r="V339" i="5" l="1" a="1"/>
  <c r="V339" i="5" s="1"/>
  <c r="U339" i="5" a="1"/>
  <c r="U339" i="5" s="1"/>
  <c r="K340" i="5"/>
  <c r="J340" i="5"/>
  <c r="I340" i="5"/>
  <c r="G340" i="5"/>
  <c r="O340" i="5"/>
  <c r="D340" i="5"/>
  <c r="N340" i="5"/>
  <c r="M340" i="5"/>
  <c r="P340" i="5"/>
  <c r="C340" i="5"/>
  <c r="L340" i="5"/>
  <c r="H340" i="5"/>
  <c r="E341" i="5" a="1"/>
  <c r="E341" i="5" s="1"/>
  <c r="B341" i="5"/>
  <c r="N341" i="5" s="1" a="1"/>
  <c r="A342" i="5" a="1"/>
  <c r="Q340" i="5" l="1"/>
  <c r="N341" i="5"/>
  <c r="R340" i="5"/>
  <c r="AA341" i="5"/>
  <c r="F341" i="5" a="1"/>
  <c r="F341" i="5" s="1"/>
  <c r="T340" i="5"/>
  <c r="S340" i="5"/>
  <c r="A342" i="5"/>
  <c r="Y341" i="5"/>
  <c r="AC341" i="5" s="1"/>
  <c r="W341" i="5"/>
  <c r="Z341" i="5"/>
  <c r="X341" i="5"/>
  <c r="AB341" i="5"/>
  <c r="G341" i="5" a="1"/>
  <c r="C341" i="5" a="1"/>
  <c r="L341" i="5" a="1"/>
  <c r="M341" i="5" a="1"/>
  <c r="I341" i="5" a="1"/>
  <c r="J341" i="5" a="1"/>
  <c r="K341" i="5" a="1"/>
  <c r="D341" i="5" a="1"/>
  <c r="H341" i="5" a="1"/>
  <c r="O341" i="5" a="1"/>
  <c r="P341" i="5" a="1"/>
  <c r="U340" i="5" l="1" a="1"/>
  <c r="U340" i="5" s="1"/>
  <c r="G341" i="5"/>
  <c r="O341" i="5"/>
  <c r="I341" i="5"/>
  <c r="M341" i="5"/>
  <c r="L341" i="5"/>
  <c r="H341" i="5"/>
  <c r="C341" i="5"/>
  <c r="K341" i="5"/>
  <c r="D341" i="5"/>
  <c r="J341" i="5"/>
  <c r="P341" i="5"/>
  <c r="B342" i="5"/>
  <c r="F342" i="5" s="1" a="1"/>
  <c r="F342" i="5" s="1"/>
  <c r="E342" i="5" a="1"/>
  <c r="E342" i="5" s="1"/>
  <c r="W342" i="5" s="1"/>
  <c r="V340" i="5" a="1"/>
  <c r="V340" i="5" s="1"/>
  <c r="A343" i="5" a="1"/>
  <c r="T341" i="5" l="1"/>
  <c r="R341" i="5"/>
  <c r="Q341" i="5"/>
  <c r="S341" i="5"/>
  <c r="Z342" i="5"/>
  <c r="X342" i="5"/>
  <c r="AB342" i="5"/>
  <c r="A343" i="5"/>
  <c r="Y342" i="5"/>
  <c r="AC342" i="5" s="1"/>
  <c r="AA342" i="5"/>
  <c r="J342" i="5" a="1"/>
  <c r="K342" i="5" a="1"/>
  <c r="P342" i="5" a="1"/>
  <c r="L342" i="5" a="1"/>
  <c r="D342" i="5" a="1"/>
  <c r="H342" i="5" a="1"/>
  <c r="G342" i="5" a="1"/>
  <c r="I342" i="5" a="1"/>
  <c r="N342" i="5" a="1"/>
  <c r="O342" i="5" a="1"/>
  <c r="C342" i="5" a="1"/>
  <c r="M342" i="5" a="1"/>
  <c r="V341" i="5" l="1" a="1"/>
  <c r="V341" i="5" s="1"/>
  <c r="I342" i="5"/>
  <c r="D342" i="5"/>
  <c r="J342" i="5"/>
  <c r="M342" i="5"/>
  <c r="O342" i="5"/>
  <c r="P342" i="5"/>
  <c r="N342" i="5"/>
  <c r="C342" i="5"/>
  <c r="G342" i="5"/>
  <c r="H342" i="5"/>
  <c r="K342" i="5"/>
  <c r="L342" i="5"/>
  <c r="U341" i="5" a="1"/>
  <c r="U341" i="5" s="1"/>
  <c r="E343" i="5" a="1"/>
  <c r="E343" i="5" s="1"/>
  <c r="AA343" i="5" s="1"/>
  <c r="B343" i="5"/>
  <c r="P343" i="5" s="1" a="1"/>
  <c r="A344" i="5" a="1"/>
  <c r="T342" i="5" l="1"/>
  <c r="S342" i="5"/>
  <c r="P343" i="5"/>
  <c r="F343" i="5" a="1"/>
  <c r="F343" i="5" s="1"/>
  <c r="Q342" i="5"/>
  <c r="R342" i="5"/>
  <c r="A344" i="5"/>
  <c r="Y343" i="5"/>
  <c r="AC343" i="5" s="1"/>
  <c r="W343" i="5"/>
  <c r="Z343" i="5"/>
  <c r="AB343" i="5"/>
  <c r="X343" i="5"/>
  <c r="O343" i="5" a="1"/>
  <c r="D343" i="5" a="1"/>
  <c r="I343" i="5" a="1"/>
  <c r="L343" i="5" a="1"/>
  <c r="K343" i="5" a="1"/>
  <c r="H343" i="5" a="1"/>
  <c r="G343" i="5" a="1"/>
  <c r="N343" i="5" a="1"/>
  <c r="M343" i="5" a="1"/>
  <c r="J343" i="5" a="1"/>
  <c r="C343" i="5" a="1"/>
  <c r="V342" i="5" l="1" a="1"/>
  <c r="V342" i="5" s="1"/>
  <c r="U342" i="5" a="1"/>
  <c r="U342" i="5" s="1"/>
  <c r="K343" i="5"/>
  <c r="D343" i="5"/>
  <c r="M343" i="5"/>
  <c r="T343" i="5" s="1"/>
  <c r="I343" i="5"/>
  <c r="C343" i="5"/>
  <c r="G343" i="5"/>
  <c r="J343" i="5"/>
  <c r="N343" i="5"/>
  <c r="O343" i="5"/>
  <c r="L343" i="5"/>
  <c r="R343" i="5" s="1"/>
  <c r="H343" i="5"/>
  <c r="B344" i="5"/>
  <c r="F344" i="5" s="1" a="1"/>
  <c r="F344" i="5" s="1"/>
  <c r="E344" i="5" a="1"/>
  <c r="E344" i="5" s="1"/>
  <c r="W344" i="5" s="1"/>
  <c r="A345" i="5" a="1"/>
  <c r="Q343" i="5" l="1"/>
  <c r="U343" i="5" s="1" a="1"/>
  <c r="U343" i="5" s="1"/>
  <c r="S343" i="5"/>
  <c r="V343" i="5" s="1" a="1"/>
  <c r="V343" i="5" s="1"/>
  <c r="A345" i="5"/>
  <c r="Z344" i="5"/>
  <c r="Y344" i="5"/>
  <c r="AC344" i="5" s="1"/>
  <c r="AB344" i="5"/>
  <c r="X344" i="5"/>
  <c r="AA344" i="5"/>
  <c r="C344" i="5" a="1"/>
  <c r="L344" i="5" a="1"/>
  <c r="N344" i="5" a="1"/>
  <c r="I344" i="5" a="1"/>
  <c r="M344" i="5" a="1"/>
  <c r="G344" i="5" a="1"/>
  <c r="H344" i="5" a="1"/>
  <c r="D344" i="5" a="1"/>
  <c r="P344" i="5" a="1"/>
  <c r="K344" i="5" a="1"/>
  <c r="O344" i="5" a="1"/>
  <c r="J344" i="5" a="1"/>
  <c r="H344" i="5" l="1"/>
  <c r="M344" i="5"/>
  <c r="P344" i="5"/>
  <c r="I344" i="5"/>
  <c r="N344" i="5"/>
  <c r="K344" i="5"/>
  <c r="D344" i="5"/>
  <c r="L344" i="5"/>
  <c r="O344" i="5"/>
  <c r="C344" i="5"/>
  <c r="G344" i="5"/>
  <c r="J344" i="5"/>
  <c r="B345" i="5"/>
  <c r="D345" i="5" s="1" a="1"/>
  <c r="E345" i="5" a="1"/>
  <c r="E345" i="5" s="1"/>
  <c r="A346" i="5" a="1"/>
  <c r="D345" i="5" l="1"/>
  <c r="R344" i="5"/>
  <c r="F345" i="5" a="1"/>
  <c r="F345" i="5" s="1"/>
  <c r="Y345" i="5"/>
  <c r="AC345" i="5" s="1"/>
  <c r="T344" i="5"/>
  <c r="Q344" i="5"/>
  <c r="S344" i="5"/>
  <c r="A346" i="5"/>
  <c r="W345" i="5"/>
  <c r="Z345" i="5"/>
  <c r="X345" i="5"/>
  <c r="AB345" i="5"/>
  <c r="AA345" i="5"/>
  <c r="H345" i="5" a="1"/>
  <c r="C345" i="5" a="1"/>
  <c r="M345" i="5" a="1"/>
  <c r="N345" i="5" a="1"/>
  <c r="I345" i="5" a="1"/>
  <c r="L345" i="5" a="1"/>
  <c r="K345" i="5" a="1"/>
  <c r="P345" i="5" a="1"/>
  <c r="O345" i="5" a="1"/>
  <c r="J345" i="5" a="1"/>
  <c r="G345" i="5" a="1"/>
  <c r="V344" i="5" l="1" a="1"/>
  <c r="V344" i="5" s="1"/>
  <c r="U344" i="5" a="1"/>
  <c r="U344" i="5" s="1"/>
  <c r="K345" i="5"/>
  <c r="P345" i="5"/>
  <c r="L345" i="5"/>
  <c r="M345" i="5"/>
  <c r="O345" i="5"/>
  <c r="I345" i="5"/>
  <c r="J345" i="5"/>
  <c r="H345" i="5"/>
  <c r="G345" i="5"/>
  <c r="N345" i="5"/>
  <c r="C345" i="5"/>
  <c r="E346" i="5" a="1"/>
  <c r="E346" i="5" s="1"/>
  <c r="B346" i="5"/>
  <c r="A347" i="5" a="1"/>
  <c r="T345" i="5" l="1"/>
  <c r="F346" i="5" a="1"/>
  <c r="F346" i="5" s="1"/>
  <c r="Q345" i="5"/>
  <c r="S345" i="5"/>
  <c r="R345" i="5"/>
  <c r="W346" i="5"/>
  <c r="A347" i="5"/>
  <c r="A348" i="5" s="1" a="1"/>
  <c r="X346" i="5"/>
  <c r="Y346" i="5"/>
  <c r="AC346" i="5" s="1"/>
  <c r="AB346" i="5"/>
  <c r="Z346" i="5"/>
  <c r="AA346" i="5"/>
  <c r="P346" i="5" a="1"/>
  <c r="N346" i="5" a="1"/>
  <c r="C346" i="5" a="1"/>
  <c r="L346" i="5" a="1"/>
  <c r="M346" i="5" a="1"/>
  <c r="H346" i="5" a="1"/>
  <c r="O346" i="5" a="1"/>
  <c r="J346" i="5" a="1"/>
  <c r="K346" i="5" a="1"/>
  <c r="G346" i="5" a="1"/>
  <c r="D346" i="5" a="1"/>
  <c r="I346" i="5" a="1"/>
  <c r="V345" i="5" l="1" a="1"/>
  <c r="V345" i="5" s="1"/>
  <c r="D346" i="5"/>
  <c r="M346" i="5"/>
  <c r="I346" i="5"/>
  <c r="O346" i="5"/>
  <c r="K346" i="5"/>
  <c r="P346" i="5"/>
  <c r="N346" i="5"/>
  <c r="J346" i="5"/>
  <c r="L346" i="5"/>
  <c r="C346" i="5"/>
  <c r="H346" i="5"/>
  <c r="G346" i="5"/>
  <c r="B347" i="5"/>
  <c r="H347" i="5" s="1" a="1"/>
  <c r="U345" i="5" a="1"/>
  <c r="U345" i="5" s="1"/>
  <c r="A348" i="5"/>
  <c r="E347" i="5" a="1"/>
  <c r="R346" i="5" l="1"/>
  <c r="H347" i="5"/>
  <c r="E347" i="5"/>
  <c r="AA347" i="5" s="1"/>
  <c r="S346" i="5"/>
  <c r="Q346" i="5"/>
  <c r="T346" i="5"/>
  <c r="B348" i="5"/>
  <c r="K348" i="5" s="1" a="1"/>
  <c r="I347" i="5" a="1"/>
  <c r="N347" i="5" a="1"/>
  <c r="J347" i="5" a="1"/>
  <c r="M347" i="5" a="1"/>
  <c r="F347" i="5" a="1"/>
  <c r="L347" i="5" a="1"/>
  <c r="D347" i="5" a="1"/>
  <c r="K347" i="5" a="1"/>
  <c r="G347" i="5" a="1"/>
  <c r="A349" i="5" a="1"/>
  <c r="O347" i="5" a="1"/>
  <c r="C347" i="5" a="1"/>
  <c r="P347" i="5" a="1"/>
  <c r="E348" i="5" l="1" a="1"/>
  <c r="E348" i="5" s="1"/>
  <c r="Z348" i="5" s="1"/>
  <c r="U346" i="5" a="1"/>
  <c r="U346" i="5" s="1"/>
  <c r="Y347" i="5"/>
  <c r="AC347" i="5" s="1"/>
  <c r="Z347" i="5"/>
  <c r="W347" i="5"/>
  <c r="X347" i="5"/>
  <c r="AB347" i="5"/>
  <c r="L347" i="5"/>
  <c r="F347" i="5"/>
  <c r="F348" i="5" s="1" a="1"/>
  <c r="F348" i="5" s="1"/>
  <c r="K347" i="5"/>
  <c r="C347" i="5"/>
  <c r="P347" i="5"/>
  <c r="N347" i="5"/>
  <c r="J347" i="5"/>
  <c r="G347" i="5"/>
  <c r="O347" i="5"/>
  <c r="V346" i="5" a="1"/>
  <c r="V346" i="5" s="1"/>
  <c r="K348" i="5"/>
  <c r="M347" i="5"/>
  <c r="D347" i="5"/>
  <c r="I347" i="5"/>
  <c r="A349" i="5"/>
  <c r="H348" i="5" a="1"/>
  <c r="O348" i="5" a="1"/>
  <c r="D348" i="5" a="1"/>
  <c r="N348" i="5" a="1"/>
  <c r="L348" i="5" a="1"/>
  <c r="I348" i="5" a="1"/>
  <c r="C348" i="5" a="1"/>
  <c r="J348" i="5" a="1"/>
  <c r="M348" i="5" a="1"/>
  <c r="P348" i="5" a="1"/>
  <c r="G348" i="5" a="1"/>
  <c r="AA348" i="5" l="1"/>
  <c r="AB348" i="5"/>
  <c r="Y348" i="5"/>
  <c r="AC348" i="5" s="1"/>
  <c r="W348" i="5"/>
  <c r="X348" i="5"/>
  <c r="R347" i="5"/>
  <c r="Q347" i="5"/>
  <c r="P348" i="5"/>
  <c r="I348" i="5"/>
  <c r="G348" i="5"/>
  <c r="O348" i="5"/>
  <c r="C348" i="5"/>
  <c r="L348" i="5"/>
  <c r="H348" i="5"/>
  <c r="M348" i="5"/>
  <c r="J348" i="5"/>
  <c r="N348" i="5"/>
  <c r="D348" i="5"/>
  <c r="E349" i="5" a="1"/>
  <c r="E349" i="5" s="1"/>
  <c r="B349" i="5"/>
  <c r="S347" i="5"/>
  <c r="T347" i="5"/>
  <c r="A350" i="5" a="1"/>
  <c r="U347" i="5" l="1" a="1"/>
  <c r="U347" i="5" s="1"/>
  <c r="T348" i="5"/>
  <c r="V347" i="5" a="1"/>
  <c r="V347" i="5" s="1"/>
  <c r="F349" i="5" a="1"/>
  <c r="F349" i="5" s="1"/>
  <c r="S348" i="5"/>
  <c r="Q348" i="5"/>
  <c r="Y349" i="5"/>
  <c r="AC349" i="5" s="1"/>
  <c r="R348" i="5"/>
  <c r="A350" i="5"/>
  <c r="W349" i="5"/>
  <c r="Z349" i="5"/>
  <c r="X349" i="5"/>
  <c r="AA349" i="5"/>
  <c r="AB349" i="5"/>
  <c r="K349" i="5" a="1"/>
  <c r="C349" i="5" a="1"/>
  <c r="P349" i="5" a="1"/>
  <c r="M349" i="5" a="1"/>
  <c r="G349" i="5" a="1"/>
  <c r="O349" i="5" a="1"/>
  <c r="D349" i="5" a="1"/>
  <c r="H349" i="5" a="1"/>
  <c r="I349" i="5" a="1"/>
  <c r="N349" i="5" a="1"/>
  <c r="J349" i="5" a="1"/>
  <c r="L349" i="5" a="1"/>
  <c r="V348" i="5" l="1" a="1"/>
  <c r="V348" i="5" s="1"/>
  <c r="I349" i="5"/>
  <c r="N349" i="5"/>
  <c r="C349" i="5"/>
  <c r="K349" i="5"/>
  <c r="P349" i="5"/>
  <c r="D349" i="5"/>
  <c r="H349" i="5"/>
  <c r="M349" i="5"/>
  <c r="G349" i="5"/>
  <c r="L349" i="5"/>
  <c r="O349" i="5"/>
  <c r="J349" i="5"/>
  <c r="B350" i="5"/>
  <c r="F350" i="5" s="1" a="1"/>
  <c r="F350" i="5" s="1"/>
  <c r="E350" i="5" a="1"/>
  <c r="E350" i="5" s="1"/>
  <c r="W350" i="5" s="1"/>
  <c r="U348" i="5" a="1"/>
  <c r="U348" i="5" s="1"/>
  <c r="A351" i="5" a="1"/>
  <c r="T349" i="5" l="1"/>
  <c r="R349" i="5"/>
  <c r="Q349" i="5"/>
  <c r="S349" i="5"/>
  <c r="A351" i="5"/>
  <c r="Y350" i="5"/>
  <c r="AC350" i="5" s="1"/>
  <c r="AB350" i="5"/>
  <c r="Z350" i="5"/>
  <c r="X350" i="5"/>
  <c r="AA350" i="5"/>
  <c r="G350" i="5" a="1"/>
  <c r="J350" i="5" a="1"/>
  <c r="K350" i="5" a="1"/>
  <c r="L350" i="5" a="1"/>
  <c r="N350" i="5" a="1"/>
  <c r="D350" i="5" a="1"/>
  <c r="O350" i="5" a="1"/>
  <c r="P350" i="5" a="1"/>
  <c r="C350" i="5" a="1"/>
  <c r="M350" i="5" a="1"/>
  <c r="I350" i="5" a="1"/>
  <c r="H350" i="5" a="1"/>
  <c r="V349" i="5" l="1" a="1"/>
  <c r="V349" i="5" s="1"/>
  <c r="U349" i="5" a="1"/>
  <c r="U349" i="5" s="1"/>
  <c r="L350" i="5"/>
  <c r="O350" i="5"/>
  <c r="J350" i="5"/>
  <c r="G350" i="5"/>
  <c r="I350" i="5"/>
  <c r="C350" i="5"/>
  <c r="K350" i="5"/>
  <c r="H350" i="5"/>
  <c r="M350" i="5"/>
  <c r="D350" i="5"/>
  <c r="P350" i="5"/>
  <c r="N350" i="5"/>
  <c r="E351" i="5" a="1"/>
  <c r="E351" i="5" s="1"/>
  <c r="AA351" i="5" s="1"/>
  <c r="B351" i="5"/>
  <c r="M351" i="5" s="1" a="1"/>
  <c r="A352" i="5" a="1"/>
  <c r="Q350" i="5" l="1"/>
  <c r="S350" i="5"/>
  <c r="R350" i="5"/>
  <c r="M351" i="5"/>
  <c r="T350" i="5"/>
  <c r="F351" i="5" a="1"/>
  <c r="F351" i="5" s="1"/>
  <c r="A352" i="5"/>
  <c r="Y351" i="5"/>
  <c r="AC351" i="5" s="1"/>
  <c r="W351" i="5"/>
  <c r="Z351" i="5"/>
  <c r="X351" i="5"/>
  <c r="AB351" i="5"/>
  <c r="G351" i="5" a="1"/>
  <c r="P351" i="5" a="1"/>
  <c r="I351" i="5" a="1"/>
  <c r="J351" i="5" a="1"/>
  <c r="C351" i="5" a="1"/>
  <c r="D351" i="5" a="1"/>
  <c r="K351" i="5" a="1"/>
  <c r="N351" i="5" a="1"/>
  <c r="O351" i="5" a="1"/>
  <c r="H351" i="5" a="1"/>
  <c r="L351" i="5" a="1"/>
  <c r="U350" i="5" l="1" a="1"/>
  <c r="U350" i="5" s="1"/>
  <c r="V350" i="5" a="1"/>
  <c r="V350" i="5" s="1"/>
  <c r="K351" i="5"/>
  <c r="P351" i="5"/>
  <c r="C351" i="5"/>
  <c r="H351" i="5"/>
  <c r="D351" i="5"/>
  <c r="I351" i="5"/>
  <c r="L351" i="5"/>
  <c r="J351" i="5"/>
  <c r="G351" i="5"/>
  <c r="O351" i="5"/>
  <c r="N351" i="5"/>
  <c r="B352" i="5"/>
  <c r="F352" i="5" s="1" a="1"/>
  <c r="F352" i="5" s="1"/>
  <c r="E352" i="5" a="1"/>
  <c r="E352" i="5" s="1"/>
  <c r="W352" i="5" s="1"/>
  <c r="A353" i="5" a="1"/>
  <c r="Q351" i="5" l="1"/>
  <c r="S351" i="5"/>
  <c r="T351" i="5"/>
  <c r="R351" i="5"/>
  <c r="A353" i="5"/>
  <c r="Y352" i="5"/>
  <c r="AC352" i="5" s="1"/>
  <c r="X352" i="5"/>
  <c r="Z352" i="5"/>
  <c r="AB352" i="5"/>
  <c r="AA352" i="5"/>
  <c r="K352" i="5" a="1"/>
  <c r="I352" i="5" a="1"/>
  <c r="O352" i="5" a="1"/>
  <c r="G352" i="5" a="1"/>
  <c r="M352" i="5" a="1"/>
  <c r="C352" i="5" a="1"/>
  <c r="D352" i="5" a="1"/>
  <c r="L352" i="5" a="1"/>
  <c r="H352" i="5" a="1"/>
  <c r="N352" i="5" a="1"/>
  <c r="J352" i="5" a="1"/>
  <c r="P352" i="5" a="1"/>
  <c r="V351" i="5" l="1" a="1"/>
  <c r="V351" i="5" s="1"/>
  <c r="U351" i="5" a="1"/>
  <c r="U351" i="5" s="1"/>
  <c r="D352" i="5"/>
  <c r="L352" i="5"/>
  <c r="I352" i="5"/>
  <c r="H352" i="5"/>
  <c r="N352" i="5"/>
  <c r="G352" i="5"/>
  <c r="P352" i="5"/>
  <c r="M352" i="5"/>
  <c r="C352" i="5"/>
  <c r="K352" i="5"/>
  <c r="J352" i="5"/>
  <c r="O352" i="5"/>
  <c r="B353" i="5"/>
  <c r="D353" i="5" s="1" a="1"/>
  <c r="E353" i="5" a="1"/>
  <c r="E353" i="5" s="1"/>
  <c r="A354" i="5" a="1"/>
  <c r="T352" i="5" l="1"/>
  <c r="R352" i="5"/>
  <c r="D353" i="5"/>
  <c r="S352" i="5"/>
  <c r="Q352" i="5"/>
  <c r="Y353" i="5"/>
  <c r="AC353" i="5" s="1"/>
  <c r="F353" i="5" a="1"/>
  <c r="F353" i="5" s="1"/>
  <c r="A354" i="5"/>
  <c r="W353" i="5"/>
  <c r="Z353" i="5"/>
  <c r="AB353" i="5"/>
  <c r="X353" i="5"/>
  <c r="AA353" i="5"/>
  <c r="K353" i="5" a="1"/>
  <c r="M353" i="5" a="1"/>
  <c r="J353" i="5" a="1"/>
  <c r="N353" i="5" a="1"/>
  <c r="G353" i="5" a="1"/>
  <c r="L353" i="5" a="1"/>
  <c r="O353" i="5" a="1"/>
  <c r="C353" i="5" a="1"/>
  <c r="H353" i="5" a="1"/>
  <c r="I353" i="5" a="1"/>
  <c r="P353" i="5" a="1"/>
  <c r="U352" i="5" l="1" a="1"/>
  <c r="U352" i="5" s="1"/>
  <c r="V352" i="5" a="1"/>
  <c r="V352" i="5" s="1"/>
  <c r="M353" i="5"/>
  <c r="G353" i="5"/>
  <c r="L353" i="5"/>
  <c r="O353" i="5"/>
  <c r="C353" i="5"/>
  <c r="K353" i="5"/>
  <c r="H353" i="5"/>
  <c r="P353" i="5"/>
  <c r="J353" i="5"/>
  <c r="N353" i="5"/>
  <c r="I353" i="5"/>
  <c r="E354" i="5" a="1"/>
  <c r="E354" i="5" s="1"/>
  <c r="B354" i="5"/>
  <c r="N354" i="5" s="1" a="1"/>
  <c r="A355" i="5" a="1"/>
  <c r="R353" i="5" l="1"/>
  <c r="N354" i="5"/>
  <c r="Q353" i="5"/>
  <c r="S353" i="5"/>
  <c r="W354" i="5"/>
  <c r="T353" i="5"/>
  <c r="A355" i="5"/>
  <c r="Z354" i="5"/>
  <c r="Y354" i="5"/>
  <c r="AC354" i="5" s="1"/>
  <c r="AB354" i="5"/>
  <c r="X354" i="5"/>
  <c r="AA354" i="5"/>
  <c r="F354" i="5" a="1"/>
  <c r="I354" i="5" a="1"/>
  <c r="H354" i="5" a="1"/>
  <c r="L354" i="5" a="1"/>
  <c r="M354" i="5" a="1"/>
  <c r="G354" i="5" a="1"/>
  <c r="J354" i="5" a="1"/>
  <c r="D354" i="5" a="1"/>
  <c r="O354" i="5" a="1"/>
  <c r="K354" i="5" a="1"/>
  <c r="P354" i="5" a="1"/>
  <c r="C354" i="5" a="1"/>
  <c r="U353" i="5" l="1" a="1"/>
  <c r="U353" i="5" s="1"/>
  <c r="K354" i="5"/>
  <c r="D354" i="5"/>
  <c r="O354" i="5"/>
  <c r="L354" i="5"/>
  <c r="G354" i="5"/>
  <c r="P354" i="5"/>
  <c r="J354" i="5"/>
  <c r="H354" i="5"/>
  <c r="M354" i="5"/>
  <c r="F354" i="5"/>
  <c r="C354" i="5"/>
  <c r="I354" i="5"/>
  <c r="B355" i="5"/>
  <c r="E355" i="5" a="1"/>
  <c r="E355" i="5" s="1"/>
  <c r="AA355" i="5" s="1"/>
  <c r="V353" i="5" a="1"/>
  <c r="V353" i="5" s="1"/>
  <c r="A356" i="5" a="1"/>
  <c r="G355" i="5" a="1"/>
  <c r="R354" i="5" l="1"/>
  <c r="F355" i="5" a="1"/>
  <c r="F355" i="5" s="1"/>
  <c r="G355" i="5"/>
  <c r="S354" i="5"/>
  <c r="Q354" i="5"/>
  <c r="T354" i="5"/>
  <c r="Y355" i="5"/>
  <c r="AC355" i="5" s="1"/>
  <c r="A356" i="5"/>
  <c r="W355" i="5"/>
  <c r="Z355" i="5"/>
  <c r="X355" i="5"/>
  <c r="AB355" i="5"/>
  <c r="J355" i="5" a="1"/>
  <c r="O355" i="5" a="1"/>
  <c r="C355" i="5" a="1"/>
  <c r="H355" i="5" a="1"/>
  <c r="L355" i="5" a="1"/>
  <c r="D355" i="5" a="1"/>
  <c r="P355" i="5" a="1"/>
  <c r="K355" i="5" a="1"/>
  <c r="M355" i="5" a="1"/>
  <c r="N355" i="5" a="1"/>
  <c r="I355" i="5" a="1"/>
  <c r="U354" i="5" l="1" a="1"/>
  <c r="U354" i="5" s="1"/>
  <c r="I355" i="5"/>
  <c r="J355" i="5"/>
  <c r="L355" i="5"/>
  <c r="O355" i="5"/>
  <c r="C355" i="5"/>
  <c r="P355" i="5"/>
  <c r="H355" i="5"/>
  <c r="N355" i="5"/>
  <c r="K355" i="5"/>
  <c r="V354" i="5" a="1"/>
  <c r="V354" i="5" s="1"/>
  <c r="D355" i="5"/>
  <c r="M355" i="5"/>
  <c r="B356" i="5"/>
  <c r="O356" i="5" s="1" a="1"/>
  <c r="E356" i="5" a="1"/>
  <c r="E356" i="5" s="1"/>
  <c r="A357" i="5" a="1"/>
  <c r="Q355" i="5" l="1"/>
  <c r="R355" i="5"/>
  <c r="O356" i="5"/>
  <c r="X356" i="5"/>
  <c r="F356" i="5" a="1"/>
  <c r="F356" i="5" s="1"/>
  <c r="S355" i="5"/>
  <c r="T355" i="5"/>
  <c r="A357" i="5"/>
  <c r="A358" i="5" s="1" a="1"/>
  <c r="Y356" i="5"/>
  <c r="AC356" i="5" s="1"/>
  <c r="W356" i="5"/>
  <c r="Z356" i="5"/>
  <c r="AB356" i="5"/>
  <c r="AA356" i="5"/>
  <c r="C356" i="5" a="1"/>
  <c r="J356" i="5" a="1"/>
  <c r="G356" i="5" a="1"/>
  <c r="H356" i="5" a="1"/>
  <c r="I356" i="5" a="1"/>
  <c r="M356" i="5" a="1"/>
  <c r="N356" i="5" a="1"/>
  <c r="P356" i="5" a="1"/>
  <c r="K356" i="5" a="1"/>
  <c r="D356" i="5" a="1"/>
  <c r="L356" i="5" a="1"/>
  <c r="U355" i="5" l="1" a="1"/>
  <c r="U355" i="5" s="1"/>
  <c r="V355" i="5" a="1"/>
  <c r="V355" i="5" s="1"/>
  <c r="C356" i="5"/>
  <c r="K356" i="5"/>
  <c r="G356" i="5"/>
  <c r="N356" i="5"/>
  <c r="L356" i="5"/>
  <c r="Q356" i="5" s="1"/>
  <c r="P356" i="5"/>
  <c r="I356" i="5"/>
  <c r="J356" i="5"/>
  <c r="M356" i="5"/>
  <c r="D356" i="5"/>
  <c r="H356" i="5"/>
  <c r="E357" i="5" a="1"/>
  <c r="E357" i="5" s="1"/>
  <c r="X357" i="5" s="1"/>
  <c r="B357" i="5"/>
  <c r="A358" i="5"/>
  <c r="A359" i="5" s="1" a="1"/>
  <c r="R356" i="5" l="1"/>
  <c r="U356" i="5" s="1" a="1"/>
  <c r="U356" i="5" s="1"/>
  <c r="F357" i="5" a="1"/>
  <c r="F357" i="5" s="1"/>
  <c r="AB357" i="5"/>
  <c r="Z357" i="5"/>
  <c r="W357" i="5"/>
  <c r="Y357" i="5"/>
  <c r="AC357" i="5" s="1"/>
  <c r="AA357" i="5"/>
  <c r="B358" i="5"/>
  <c r="O358" i="5" s="1" a="1"/>
  <c r="E358" i="5" a="1"/>
  <c r="E358" i="5" s="1"/>
  <c r="T356" i="5"/>
  <c r="S356" i="5"/>
  <c r="A359" i="5"/>
  <c r="A360" i="5" s="1" a="1"/>
  <c r="H357" i="5" a="1"/>
  <c r="L357" i="5" a="1"/>
  <c r="I357" i="5" a="1"/>
  <c r="K357" i="5" a="1"/>
  <c r="G357" i="5" a="1"/>
  <c r="N357" i="5" a="1"/>
  <c r="J357" i="5" a="1"/>
  <c r="O357" i="5" a="1"/>
  <c r="M357" i="5" a="1"/>
  <c r="D357" i="5" a="1"/>
  <c r="C357" i="5" a="1"/>
  <c r="P357" i="5" a="1"/>
  <c r="V356" i="5" l="1" a="1"/>
  <c r="V356" i="5" s="1"/>
  <c r="O358" i="5"/>
  <c r="M357" i="5"/>
  <c r="P357" i="5"/>
  <c r="C357" i="5"/>
  <c r="L357" i="5"/>
  <c r="K357" i="5"/>
  <c r="D357" i="5"/>
  <c r="I357" i="5"/>
  <c r="H357" i="5"/>
  <c r="N357" i="5"/>
  <c r="O357" i="5"/>
  <c r="G357" i="5"/>
  <c r="J357" i="5"/>
  <c r="AB358" i="5"/>
  <c r="W358" i="5"/>
  <c r="E359" i="5" a="1"/>
  <c r="E359" i="5" s="1"/>
  <c r="Y359" i="5" s="1"/>
  <c r="AC359" i="5" s="1"/>
  <c r="B359" i="5"/>
  <c r="AA358" i="5"/>
  <c r="Y358" i="5"/>
  <c r="AC358" i="5" s="1"/>
  <c r="X358" i="5"/>
  <c r="Z358" i="5"/>
  <c r="F358" i="5" a="1"/>
  <c r="F358" i="5" s="1"/>
  <c r="A360" i="5"/>
  <c r="H358" i="5" a="1"/>
  <c r="D358" i="5" a="1"/>
  <c r="L358" i="5" a="1"/>
  <c r="J358" i="5" a="1"/>
  <c r="N358" i="5" a="1"/>
  <c r="I358" i="5" a="1"/>
  <c r="G358" i="5" a="1"/>
  <c r="C358" i="5" a="1"/>
  <c r="P358" i="5" a="1"/>
  <c r="M358" i="5" a="1"/>
  <c r="K358" i="5" a="1"/>
  <c r="H359" i="5" a="1"/>
  <c r="AB359" i="5" l="1"/>
  <c r="X359" i="5"/>
  <c r="Z359" i="5"/>
  <c r="W359" i="5"/>
  <c r="AA359" i="5"/>
  <c r="H359" i="5"/>
  <c r="D358" i="5"/>
  <c r="N358" i="5"/>
  <c r="M358" i="5"/>
  <c r="C358" i="5"/>
  <c r="L358" i="5"/>
  <c r="Q358" i="5" s="1"/>
  <c r="I358" i="5"/>
  <c r="P358" i="5"/>
  <c r="J358" i="5"/>
  <c r="G358" i="5"/>
  <c r="H358" i="5"/>
  <c r="K358" i="5"/>
  <c r="B360" i="5"/>
  <c r="L360" i="5" s="1" a="1"/>
  <c r="E360" i="5" a="1"/>
  <c r="E360" i="5" s="1"/>
  <c r="F359" i="5" a="1"/>
  <c r="F359" i="5" s="1"/>
  <c r="Q357" i="5"/>
  <c r="S357" i="5"/>
  <c r="R357" i="5"/>
  <c r="T357" i="5"/>
  <c r="K359" i="5" a="1"/>
  <c r="P359" i="5" a="1"/>
  <c r="M359" i="5" a="1"/>
  <c r="C359" i="5" a="1"/>
  <c r="D359" i="5" a="1"/>
  <c r="O359" i="5" a="1"/>
  <c r="J359" i="5" a="1"/>
  <c r="A361" i="5" a="1"/>
  <c r="L359" i="5" a="1"/>
  <c r="G359" i="5" a="1"/>
  <c r="I359" i="5" a="1"/>
  <c r="N359" i="5" a="1"/>
  <c r="U357" i="5" l="1" a="1"/>
  <c r="U357" i="5" s="1"/>
  <c r="F360" i="5" a="1"/>
  <c r="F360" i="5" s="1"/>
  <c r="P359" i="5"/>
  <c r="N359" i="5"/>
  <c r="L360" i="5"/>
  <c r="C359" i="5"/>
  <c r="M359" i="5"/>
  <c r="J359" i="5"/>
  <c r="I359" i="5"/>
  <c r="D359" i="5"/>
  <c r="K359" i="5"/>
  <c r="O359" i="5"/>
  <c r="G359" i="5"/>
  <c r="L359" i="5"/>
  <c r="Y360" i="5"/>
  <c r="AC360" i="5" s="1"/>
  <c r="V357" i="5" a="1"/>
  <c r="V357" i="5" s="1"/>
  <c r="R358" i="5"/>
  <c r="U358" i="5" s="1" a="1"/>
  <c r="U358" i="5" s="1"/>
  <c r="T358" i="5"/>
  <c r="S358" i="5"/>
  <c r="A361" i="5"/>
  <c r="A362" i="5" s="1" a="1"/>
  <c r="AA360" i="5"/>
  <c r="W360" i="5"/>
  <c r="Z360" i="5"/>
  <c r="AB360" i="5"/>
  <c r="X360" i="5"/>
  <c r="K360" i="5" a="1"/>
  <c r="J360" i="5" a="1"/>
  <c r="M360" i="5" a="1"/>
  <c r="C360" i="5" a="1"/>
  <c r="P360" i="5" a="1"/>
  <c r="D360" i="5" a="1"/>
  <c r="H360" i="5" a="1"/>
  <c r="O360" i="5" a="1"/>
  <c r="I360" i="5" a="1"/>
  <c r="G360" i="5" a="1"/>
  <c r="N360" i="5" a="1"/>
  <c r="P360" i="5" l="1"/>
  <c r="R360" i="5" s="1"/>
  <c r="T359" i="5"/>
  <c r="V358" i="5" a="1"/>
  <c r="V358" i="5" s="1"/>
  <c r="C360" i="5"/>
  <c r="N360" i="5"/>
  <c r="H360" i="5"/>
  <c r="O360" i="5"/>
  <c r="I360" i="5"/>
  <c r="J360" i="5"/>
  <c r="G360" i="5"/>
  <c r="D360" i="5"/>
  <c r="M360" i="5"/>
  <c r="K360" i="5"/>
  <c r="B361" i="5"/>
  <c r="E361" i="5" a="1"/>
  <c r="E361" i="5" s="1"/>
  <c r="Y361" i="5" s="1"/>
  <c r="AC361" i="5" s="1"/>
  <c r="Q359" i="5"/>
  <c r="S359" i="5"/>
  <c r="R359" i="5"/>
  <c r="A362" i="5"/>
  <c r="O361" i="5" a="1"/>
  <c r="T360" i="5" l="1"/>
  <c r="V359" i="5" a="1"/>
  <c r="V359" i="5" s="1"/>
  <c r="U359" i="5" a="1"/>
  <c r="U359" i="5" s="1"/>
  <c r="O361" i="5"/>
  <c r="W361" i="5"/>
  <c r="Q360" i="5"/>
  <c r="U360" i="5" s="1" a="1"/>
  <c r="U360" i="5" s="1"/>
  <c r="S360" i="5"/>
  <c r="X361" i="5"/>
  <c r="Z361" i="5"/>
  <c r="E362" i="5" a="1"/>
  <c r="E362" i="5" s="1"/>
  <c r="B362" i="5"/>
  <c r="F361" i="5" a="1"/>
  <c r="F361" i="5" s="1"/>
  <c r="AA361" i="5"/>
  <c r="AB361" i="5"/>
  <c r="M361" i="5" a="1"/>
  <c r="P361" i="5" a="1"/>
  <c r="A363" i="5" a="1"/>
  <c r="J361" i="5" a="1"/>
  <c r="C361" i="5" a="1"/>
  <c r="K361" i="5" a="1"/>
  <c r="D361" i="5" a="1"/>
  <c r="G361" i="5" a="1"/>
  <c r="L361" i="5" a="1"/>
  <c r="H361" i="5" a="1"/>
  <c r="N361" i="5" a="1"/>
  <c r="I361" i="5" a="1"/>
  <c r="C362" i="5" a="1"/>
  <c r="V360" i="5" l="1" a="1"/>
  <c r="V360" i="5" s="1"/>
  <c r="F362" i="5" a="1"/>
  <c r="F362" i="5" s="1"/>
  <c r="C362" i="5"/>
  <c r="L361" i="5"/>
  <c r="Q361" i="5" s="1"/>
  <c r="H361" i="5"/>
  <c r="J361" i="5"/>
  <c r="N361" i="5"/>
  <c r="P361" i="5"/>
  <c r="D361" i="5"/>
  <c r="K361" i="5"/>
  <c r="C361" i="5"/>
  <c r="I361" i="5"/>
  <c r="G361" i="5"/>
  <c r="M361" i="5"/>
  <c r="Y362" i="5"/>
  <c r="AC362" i="5" s="1"/>
  <c r="X362" i="5"/>
  <c r="A363" i="5"/>
  <c r="AA362" i="5"/>
  <c r="W362" i="5"/>
  <c r="Z362" i="5"/>
  <c r="AB362" i="5"/>
  <c r="N362" i="5" a="1"/>
  <c r="P362" i="5" a="1"/>
  <c r="O362" i="5" a="1"/>
  <c r="L362" i="5" a="1"/>
  <c r="J362" i="5" a="1"/>
  <c r="G362" i="5" a="1"/>
  <c r="H362" i="5" a="1"/>
  <c r="D362" i="5" a="1"/>
  <c r="I362" i="5" a="1"/>
  <c r="A364" i="5" a="1"/>
  <c r="M362" i="5" a="1"/>
  <c r="K362" i="5" a="1"/>
  <c r="G362" i="5" l="1"/>
  <c r="R361" i="5"/>
  <c r="U361" i="5" s="1" a="1"/>
  <c r="U361" i="5" s="1"/>
  <c r="I362" i="5"/>
  <c r="L362" i="5"/>
  <c r="P362" i="5"/>
  <c r="H362" i="5"/>
  <c r="N362" i="5"/>
  <c r="D362" i="5"/>
  <c r="K362" i="5"/>
  <c r="M362" i="5"/>
  <c r="O362" i="5"/>
  <c r="J362" i="5"/>
  <c r="S361" i="5"/>
  <c r="T361" i="5"/>
  <c r="B363" i="5"/>
  <c r="G363" i="5" s="1" a="1"/>
  <c r="E363" i="5" a="1"/>
  <c r="E363" i="5" s="1"/>
  <c r="Y363" i="5" s="1"/>
  <c r="AC363" i="5" s="1"/>
  <c r="A364" i="5"/>
  <c r="A365" i="5" s="1" a="1"/>
  <c r="R362" i="5" l="1"/>
  <c r="V361" i="5" a="1"/>
  <c r="V361" i="5" s="1"/>
  <c r="T362" i="5"/>
  <c r="AA363" i="5"/>
  <c r="G363" i="5"/>
  <c r="W363" i="5"/>
  <c r="F363" i="5" a="1"/>
  <c r="F363" i="5" s="1"/>
  <c r="X363" i="5"/>
  <c r="AB363" i="5"/>
  <c r="Z363" i="5"/>
  <c r="B364" i="5"/>
  <c r="O364" i="5" s="1" a="1"/>
  <c r="E364" i="5" a="1"/>
  <c r="E364" i="5" s="1"/>
  <c r="X364" i="5" s="1"/>
  <c r="Q362" i="5"/>
  <c r="S362" i="5"/>
  <c r="A365" i="5"/>
  <c r="M363" i="5" a="1"/>
  <c r="J363" i="5" a="1"/>
  <c r="D363" i="5" a="1"/>
  <c r="C363" i="5" a="1"/>
  <c r="I363" i="5" a="1"/>
  <c r="N363" i="5" a="1"/>
  <c r="L363" i="5" a="1"/>
  <c r="H363" i="5" a="1"/>
  <c r="K363" i="5" a="1"/>
  <c r="P363" i="5" a="1"/>
  <c r="O363" i="5" a="1"/>
  <c r="A366" i="5" a="1"/>
  <c r="U362" i="5" l="1" a="1"/>
  <c r="U362" i="5" s="1"/>
  <c r="C363" i="5"/>
  <c r="V362" i="5" a="1"/>
  <c r="V362" i="5" s="1"/>
  <c r="Y364" i="5"/>
  <c r="AC364" i="5" s="1"/>
  <c r="W364" i="5"/>
  <c r="AB364" i="5"/>
  <c r="AA364" i="5"/>
  <c r="Z364" i="5"/>
  <c r="O364" i="5"/>
  <c r="N363" i="5"/>
  <c r="K363" i="5"/>
  <c r="L363" i="5"/>
  <c r="I363" i="5"/>
  <c r="D363" i="5"/>
  <c r="O363" i="5"/>
  <c r="H363" i="5"/>
  <c r="J363" i="5"/>
  <c r="M363" i="5"/>
  <c r="P363" i="5"/>
  <c r="E365" i="5" a="1"/>
  <c r="E365" i="5" s="1"/>
  <c r="AB365" i="5" s="1"/>
  <c r="B365" i="5"/>
  <c r="O365" i="5" s="1" a="1"/>
  <c r="A366" i="5"/>
  <c r="J364" i="5" a="1"/>
  <c r="C364" i="5" a="1"/>
  <c r="M364" i="5" a="1"/>
  <c r="G364" i="5" a="1"/>
  <c r="L364" i="5" a="1"/>
  <c r="D364" i="5" a="1"/>
  <c r="K364" i="5" a="1"/>
  <c r="F364" i="5" a="1"/>
  <c r="I364" i="5" a="1"/>
  <c r="N364" i="5" a="1"/>
  <c r="P364" i="5" a="1"/>
  <c r="H364" i="5" a="1"/>
  <c r="D364" i="5" l="1"/>
  <c r="N364" i="5"/>
  <c r="T363" i="5"/>
  <c r="AA365" i="5"/>
  <c r="H364" i="5"/>
  <c r="C364" i="5"/>
  <c r="M364" i="5"/>
  <c r="S364" i="5" s="1"/>
  <c r="F364" i="5"/>
  <c r="F365" i="5" s="1" a="1"/>
  <c r="F365" i="5" s="1"/>
  <c r="L364" i="5"/>
  <c r="Q364" i="5" s="1"/>
  <c r="I364" i="5"/>
  <c r="K364" i="5"/>
  <c r="G364" i="5"/>
  <c r="J364" i="5"/>
  <c r="O365" i="5"/>
  <c r="P364" i="5"/>
  <c r="R363" i="5"/>
  <c r="Y365" i="5"/>
  <c r="AC365" i="5" s="1"/>
  <c r="Z365" i="5"/>
  <c r="X365" i="5"/>
  <c r="B366" i="5"/>
  <c r="P366" i="5" s="1" a="1"/>
  <c r="E366" i="5" a="1"/>
  <c r="E366" i="5" s="1"/>
  <c r="W366" i="5" s="1"/>
  <c r="W365" i="5"/>
  <c r="S363" i="5"/>
  <c r="Q363" i="5"/>
  <c r="M365" i="5" a="1"/>
  <c r="J365" i="5" a="1"/>
  <c r="I365" i="5" a="1"/>
  <c r="D365" i="5" a="1"/>
  <c r="N365" i="5" a="1"/>
  <c r="H365" i="5" a="1"/>
  <c r="L365" i="5" a="1"/>
  <c r="A367" i="5" a="1"/>
  <c r="K365" i="5" a="1"/>
  <c r="P365" i="5" a="1"/>
  <c r="G365" i="5" a="1"/>
  <c r="C365" i="5" a="1"/>
  <c r="U363" i="5" l="1" a="1"/>
  <c r="U363" i="5" s="1"/>
  <c r="V363" i="5" a="1"/>
  <c r="V363" i="5" s="1"/>
  <c r="I365" i="5"/>
  <c r="G365" i="5"/>
  <c r="N365" i="5"/>
  <c r="K365" i="5"/>
  <c r="J365" i="5"/>
  <c r="R364" i="5"/>
  <c r="U364" i="5" s="1" a="1"/>
  <c r="U364" i="5" s="1"/>
  <c r="P366" i="5"/>
  <c r="M365" i="5"/>
  <c r="L365" i="5"/>
  <c r="Q365" i="5" s="1"/>
  <c r="P365" i="5"/>
  <c r="D365" i="5"/>
  <c r="C365" i="5"/>
  <c r="H365" i="5"/>
  <c r="T364" i="5"/>
  <c r="V364" i="5" s="1" a="1"/>
  <c r="V364" i="5" s="1"/>
  <c r="F366" i="5" a="1"/>
  <c r="F366" i="5" s="1"/>
  <c r="A367" i="5"/>
  <c r="A368" i="5" s="1" a="1"/>
  <c r="AB366" i="5"/>
  <c r="X366" i="5"/>
  <c r="Z366" i="5"/>
  <c r="Y366" i="5"/>
  <c r="AC366" i="5" s="1"/>
  <c r="AA366" i="5"/>
  <c r="H366" i="5" a="1"/>
  <c r="L366" i="5" a="1"/>
  <c r="C366" i="5" a="1"/>
  <c r="M366" i="5" a="1"/>
  <c r="N366" i="5" a="1"/>
  <c r="D366" i="5" a="1"/>
  <c r="K366" i="5" a="1"/>
  <c r="O366" i="5" a="1"/>
  <c r="J366" i="5" a="1"/>
  <c r="G366" i="5" a="1"/>
  <c r="I366" i="5" a="1"/>
  <c r="D366" i="5" l="1"/>
  <c r="K366" i="5"/>
  <c r="J366" i="5"/>
  <c r="O366" i="5"/>
  <c r="R365" i="5"/>
  <c r="U365" i="5" s="1" a="1"/>
  <c r="U365" i="5" s="1"/>
  <c r="M366" i="5"/>
  <c r="T366" i="5" s="1"/>
  <c r="I366" i="5"/>
  <c r="N366" i="5"/>
  <c r="L366" i="5"/>
  <c r="C366" i="5"/>
  <c r="G366" i="5"/>
  <c r="H366" i="5"/>
  <c r="T365" i="5"/>
  <c r="S365" i="5"/>
  <c r="E367" i="5" a="1"/>
  <c r="E367" i="5" s="1"/>
  <c r="W367" i="5" s="1"/>
  <c r="B367" i="5"/>
  <c r="H367" i="5" s="1" a="1"/>
  <c r="A368" i="5"/>
  <c r="S366" i="5" l="1"/>
  <c r="V366" i="5" s="1" a="1"/>
  <c r="V366" i="5" s="1"/>
  <c r="H367" i="5"/>
  <c r="Y367" i="5"/>
  <c r="AC367" i="5" s="1"/>
  <c r="B368" i="5"/>
  <c r="K368" i="5" s="1" a="1"/>
  <c r="E368" i="5" a="1"/>
  <c r="E368" i="5" s="1"/>
  <c r="Q366" i="5"/>
  <c r="R366" i="5"/>
  <c r="F367" i="5" a="1"/>
  <c r="F367" i="5" s="1"/>
  <c r="X367" i="5"/>
  <c r="AB367" i="5"/>
  <c r="Z367" i="5"/>
  <c r="AA367" i="5"/>
  <c r="V365" i="5" a="1"/>
  <c r="V365" i="5" s="1"/>
  <c r="G367" i="5" a="1"/>
  <c r="N367" i="5" a="1"/>
  <c r="L367" i="5" a="1"/>
  <c r="K367" i="5" a="1"/>
  <c r="I367" i="5" a="1"/>
  <c r="J367" i="5" a="1"/>
  <c r="O367" i="5" a="1"/>
  <c r="C367" i="5" a="1"/>
  <c r="A369" i="5" a="1"/>
  <c r="D367" i="5" a="1"/>
  <c r="M367" i="5" a="1"/>
  <c r="P367" i="5" a="1"/>
  <c r="I367" i="5" l="1"/>
  <c r="O367" i="5"/>
  <c r="K368" i="5"/>
  <c r="G367" i="5"/>
  <c r="N367" i="5"/>
  <c r="M367" i="5"/>
  <c r="K367" i="5"/>
  <c r="D367" i="5"/>
  <c r="L367" i="5"/>
  <c r="P367" i="5"/>
  <c r="C367" i="5"/>
  <c r="J367" i="5"/>
  <c r="F368" i="5" a="1"/>
  <c r="F368" i="5" s="1"/>
  <c r="Y368" i="5"/>
  <c r="AC368" i="5" s="1"/>
  <c r="U366" i="5" a="1"/>
  <c r="U366" i="5" s="1"/>
  <c r="Z368" i="5"/>
  <c r="AA368" i="5"/>
  <c r="AB368" i="5"/>
  <c r="W368" i="5"/>
  <c r="X368" i="5"/>
  <c r="A369" i="5"/>
  <c r="A370" i="5" s="1" a="1"/>
  <c r="M368" i="5" a="1"/>
  <c r="D368" i="5" a="1"/>
  <c r="G368" i="5" a="1"/>
  <c r="C368" i="5" a="1"/>
  <c r="N368" i="5" a="1"/>
  <c r="J368" i="5" a="1"/>
  <c r="O368" i="5" a="1"/>
  <c r="H368" i="5" a="1"/>
  <c r="I368" i="5" a="1"/>
  <c r="L368" i="5" a="1"/>
  <c r="P368" i="5" a="1"/>
  <c r="N368" i="5" l="1"/>
  <c r="C368" i="5"/>
  <c r="I368" i="5"/>
  <c r="L368" i="5"/>
  <c r="R367" i="5"/>
  <c r="P368" i="5"/>
  <c r="J368" i="5"/>
  <c r="M368" i="5"/>
  <c r="H368" i="5"/>
  <c r="D368" i="5"/>
  <c r="G368" i="5"/>
  <c r="O368" i="5"/>
  <c r="B369" i="5"/>
  <c r="E369" i="5" a="1"/>
  <c r="E369" i="5" s="1"/>
  <c r="W369" i="5" s="1"/>
  <c r="Q367" i="5"/>
  <c r="S367" i="5"/>
  <c r="T367" i="5"/>
  <c r="A370" i="5"/>
  <c r="G369" i="5" a="1"/>
  <c r="U367" i="5" l="1" a="1"/>
  <c r="U367" i="5" s="1"/>
  <c r="R368" i="5"/>
  <c r="T368" i="5"/>
  <c r="V367" i="5" a="1"/>
  <c r="V367" i="5" s="1"/>
  <c r="G369" i="5"/>
  <c r="F369" i="5" a="1"/>
  <c r="F369" i="5" s="1"/>
  <c r="S368" i="5"/>
  <c r="Q368" i="5"/>
  <c r="Y369" i="5"/>
  <c r="AC369" i="5" s="1"/>
  <c r="AA369" i="5"/>
  <c r="X369" i="5"/>
  <c r="AB369" i="5"/>
  <c r="Z369" i="5"/>
  <c r="E370" i="5" a="1"/>
  <c r="E370" i="5" s="1"/>
  <c r="Z370" i="5" s="1"/>
  <c r="B370" i="5"/>
  <c r="L369" i="5" a="1"/>
  <c r="H369" i="5" a="1"/>
  <c r="A371" i="5" a="1"/>
  <c r="M369" i="5" a="1"/>
  <c r="K369" i="5" a="1"/>
  <c r="C369" i="5" a="1"/>
  <c r="I369" i="5" a="1"/>
  <c r="P369" i="5" a="1"/>
  <c r="H370" i="5" a="1"/>
  <c r="D369" i="5" a="1"/>
  <c r="N369" i="5" a="1"/>
  <c r="J369" i="5" a="1"/>
  <c r="O369" i="5" a="1"/>
  <c r="U368" i="5" l="1" a="1"/>
  <c r="U368" i="5" s="1"/>
  <c r="V368" i="5" a="1"/>
  <c r="V368" i="5" s="1"/>
  <c r="P369" i="5"/>
  <c r="F370" i="5" a="1"/>
  <c r="F370" i="5" s="1"/>
  <c r="M369" i="5"/>
  <c r="I369" i="5"/>
  <c r="K369" i="5"/>
  <c r="H370" i="5"/>
  <c r="H369" i="5"/>
  <c r="J369" i="5"/>
  <c r="L369" i="5"/>
  <c r="C369" i="5"/>
  <c r="N369" i="5"/>
  <c r="D369" i="5"/>
  <c r="O369" i="5"/>
  <c r="AA370" i="5"/>
  <c r="AB370" i="5"/>
  <c r="X370" i="5"/>
  <c r="W370" i="5"/>
  <c r="A371" i="5"/>
  <c r="A372" i="5" s="1" a="1"/>
  <c r="Y370" i="5"/>
  <c r="AC370" i="5" s="1"/>
  <c r="N370" i="5" a="1"/>
  <c r="G370" i="5" a="1"/>
  <c r="K370" i="5" a="1"/>
  <c r="O370" i="5" a="1"/>
  <c r="P370" i="5" a="1"/>
  <c r="C370" i="5" a="1"/>
  <c r="I370" i="5" a="1"/>
  <c r="L370" i="5" a="1"/>
  <c r="M370" i="5" a="1"/>
  <c r="J370" i="5" a="1"/>
  <c r="D370" i="5" a="1"/>
  <c r="L370" i="5" l="1"/>
  <c r="T369" i="5"/>
  <c r="R369" i="5"/>
  <c r="K370" i="5"/>
  <c r="J370" i="5"/>
  <c r="I370" i="5"/>
  <c r="M370" i="5"/>
  <c r="C370" i="5"/>
  <c r="D370" i="5"/>
  <c r="G370" i="5"/>
  <c r="N370" i="5"/>
  <c r="O370" i="5"/>
  <c r="P370" i="5"/>
  <c r="B371" i="5"/>
  <c r="N371" i="5" s="1" a="1"/>
  <c r="E371" i="5" a="1"/>
  <c r="E371" i="5" s="1"/>
  <c r="Q369" i="5"/>
  <c r="S369" i="5"/>
  <c r="A372" i="5"/>
  <c r="R370" i="5" l="1"/>
  <c r="V369" i="5" a="1"/>
  <c r="V369" i="5" s="1"/>
  <c r="U369" i="5" a="1"/>
  <c r="U369" i="5" s="1"/>
  <c r="N371" i="5"/>
  <c r="S370" i="5"/>
  <c r="Q370" i="5"/>
  <c r="Y371" i="5"/>
  <c r="AC371" i="5" s="1"/>
  <c r="X371" i="5"/>
  <c r="F371" i="5" a="1"/>
  <c r="F371" i="5" s="1"/>
  <c r="B372" i="5"/>
  <c r="G372" i="5" s="1" a="1"/>
  <c r="E372" i="5" a="1"/>
  <c r="E372" i="5" s="1"/>
  <c r="Y372" i="5" s="1"/>
  <c r="AA371" i="5"/>
  <c r="AB371" i="5"/>
  <c r="Z371" i="5"/>
  <c r="T370" i="5"/>
  <c r="W371" i="5"/>
  <c r="O371" i="5" a="1"/>
  <c r="G371" i="5" a="1"/>
  <c r="K371" i="5" a="1"/>
  <c r="P371" i="5" a="1"/>
  <c r="C371" i="5" a="1"/>
  <c r="L371" i="5" a="1"/>
  <c r="I371" i="5" a="1"/>
  <c r="J371" i="5" a="1"/>
  <c r="A373" i="5" a="1"/>
  <c r="H371" i="5" a="1"/>
  <c r="D371" i="5" a="1"/>
  <c r="M371" i="5" a="1"/>
  <c r="U370" i="5" l="1" a="1"/>
  <c r="U370" i="5" s="1"/>
  <c r="F372" i="5" a="1"/>
  <c r="F372" i="5" s="1"/>
  <c r="C371" i="5"/>
  <c r="D371" i="5"/>
  <c r="I371" i="5"/>
  <c r="H371" i="5"/>
  <c r="L371" i="5"/>
  <c r="K371" i="5"/>
  <c r="G371" i="5"/>
  <c r="J371" i="5"/>
  <c r="P371" i="5"/>
  <c r="G372" i="5"/>
  <c r="O371" i="5"/>
  <c r="M371" i="5"/>
  <c r="V370" i="5" a="1"/>
  <c r="V370" i="5" s="1"/>
  <c r="A373" i="5"/>
  <c r="A374" i="5" s="1" a="1"/>
  <c r="AA372" i="5"/>
  <c r="W372" i="5"/>
  <c r="AC372" i="5"/>
  <c r="X372" i="5"/>
  <c r="Z372" i="5"/>
  <c r="AB372" i="5"/>
  <c r="I372" i="5" a="1"/>
  <c r="C372" i="5" a="1"/>
  <c r="M372" i="5" a="1"/>
  <c r="L372" i="5" a="1"/>
  <c r="N372" i="5" a="1"/>
  <c r="D372" i="5" a="1"/>
  <c r="H372" i="5" a="1"/>
  <c r="P372" i="5" a="1"/>
  <c r="K372" i="5" a="1"/>
  <c r="J372" i="5" a="1"/>
  <c r="O372" i="5" a="1"/>
  <c r="I372" i="5" l="1"/>
  <c r="P372" i="5"/>
  <c r="K372" i="5"/>
  <c r="T371" i="5"/>
  <c r="R371" i="5"/>
  <c r="N372" i="5"/>
  <c r="O372" i="5"/>
  <c r="H372" i="5"/>
  <c r="D372" i="5"/>
  <c r="C372" i="5"/>
  <c r="L372" i="5"/>
  <c r="M372" i="5"/>
  <c r="J372" i="5"/>
  <c r="Q371" i="5"/>
  <c r="S371" i="5"/>
  <c r="E373" i="5" a="1"/>
  <c r="E373" i="5" s="1"/>
  <c r="B373" i="5"/>
  <c r="M373" i="5" s="1" a="1"/>
  <c r="A374" i="5"/>
  <c r="T372" i="5" l="1"/>
  <c r="R372" i="5"/>
  <c r="V371" i="5" a="1"/>
  <c r="V371" i="5" s="1"/>
  <c r="U371" i="5" a="1"/>
  <c r="U371" i="5" s="1"/>
  <c r="M373" i="5"/>
  <c r="B374" i="5"/>
  <c r="G374" i="5" s="1" a="1"/>
  <c r="E374" i="5" a="1"/>
  <c r="E374" i="5" s="1"/>
  <c r="Y374" i="5" s="1"/>
  <c r="F373" i="5" a="1"/>
  <c r="F373" i="5" s="1"/>
  <c r="AA373" i="5"/>
  <c r="W373" i="5"/>
  <c r="AB373" i="5"/>
  <c r="Q372" i="5"/>
  <c r="S372" i="5"/>
  <c r="Y373" i="5"/>
  <c r="AC373" i="5" s="1"/>
  <c r="X373" i="5"/>
  <c r="Z373" i="5"/>
  <c r="L373" i="5" a="1"/>
  <c r="P373" i="5" a="1"/>
  <c r="C373" i="5" a="1"/>
  <c r="O373" i="5" a="1"/>
  <c r="K373" i="5" a="1"/>
  <c r="D373" i="5" a="1"/>
  <c r="J373" i="5" a="1"/>
  <c r="H373" i="5" a="1"/>
  <c r="A375" i="5" a="1"/>
  <c r="I373" i="5" a="1"/>
  <c r="N373" i="5" a="1"/>
  <c r="G373" i="5" a="1"/>
  <c r="I374" i="5" l="1" a="1"/>
  <c r="V372" i="5" a="1"/>
  <c r="V372" i="5" s="1"/>
  <c r="U372" i="5" a="1"/>
  <c r="U372" i="5" s="1"/>
  <c r="K373" i="5"/>
  <c r="H373" i="5"/>
  <c r="J373" i="5"/>
  <c r="G374" i="5"/>
  <c r="P373" i="5"/>
  <c r="N373" i="5"/>
  <c r="C373" i="5"/>
  <c r="I374" i="5"/>
  <c r="L373" i="5"/>
  <c r="D373" i="5"/>
  <c r="I373" i="5"/>
  <c r="G373" i="5"/>
  <c r="O373" i="5"/>
  <c r="X374" i="5"/>
  <c r="A375" i="5"/>
  <c r="AA374" i="5"/>
  <c r="W374" i="5"/>
  <c r="Z374" i="5"/>
  <c r="AC374" i="5"/>
  <c r="AB374" i="5"/>
  <c r="M374" i="5" a="1"/>
  <c r="K374" i="5" a="1"/>
  <c r="D374" i="5" a="1"/>
  <c r="P374" i="5" a="1"/>
  <c r="N374" i="5" a="1"/>
  <c r="O374" i="5" a="1"/>
  <c r="H374" i="5" a="1"/>
  <c r="C374" i="5" a="1"/>
  <c r="J374" i="5" a="1"/>
  <c r="A376" i="5" a="1"/>
  <c r="F374" i="5" a="1"/>
  <c r="L374" i="5" a="1"/>
  <c r="C374" i="5" l="1"/>
  <c r="D374" i="5"/>
  <c r="P374" i="5"/>
  <c r="O374" i="5"/>
  <c r="N374" i="5"/>
  <c r="J374" i="5"/>
  <c r="L374" i="5"/>
  <c r="K374" i="5"/>
  <c r="H374" i="5"/>
  <c r="F374" i="5"/>
  <c r="M374" i="5"/>
  <c r="E375" i="5" a="1"/>
  <c r="E375" i="5" s="1"/>
  <c r="Y375" i="5" s="1"/>
  <c r="AC375" i="5" s="1"/>
  <c r="B375" i="5"/>
  <c r="H375" i="5" s="1" a="1"/>
  <c r="S373" i="5"/>
  <c r="Q373" i="5"/>
  <c r="R373" i="5"/>
  <c r="T373" i="5"/>
  <c r="A376" i="5"/>
  <c r="T374" i="5" l="1"/>
  <c r="U373" i="5" a="1"/>
  <c r="U373" i="5" s="1"/>
  <c r="V373" i="5" a="1"/>
  <c r="V373" i="5" s="1"/>
  <c r="H375" i="5"/>
  <c r="AA375" i="5"/>
  <c r="X375" i="5"/>
  <c r="Z375" i="5"/>
  <c r="W375" i="5"/>
  <c r="B376" i="5"/>
  <c r="I376" i="5" s="1" a="1"/>
  <c r="E376" i="5" a="1"/>
  <c r="E376" i="5" s="1"/>
  <c r="F375" i="5" a="1"/>
  <c r="F375" i="5" s="1"/>
  <c r="AB375" i="5"/>
  <c r="Q374" i="5"/>
  <c r="S374" i="5"/>
  <c r="R374" i="5"/>
  <c r="L375" i="5" a="1"/>
  <c r="D375" i="5" a="1"/>
  <c r="O375" i="5" a="1"/>
  <c r="G375" i="5" a="1"/>
  <c r="C375" i="5" a="1"/>
  <c r="A377" i="5" a="1"/>
  <c r="I375" i="5" a="1"/>
  <c r="N375" i="5" a="1"/>
  <c r="M375" i="5" a="1"/>
  <c r="J375" i="5" a="1"/>
  <c r="K375" i="5" a="1"/>
  <c r="P375" i="5" a="1"/>
  <c r="V374" i="5" l="1" a="1"/>
  <c r="V374" i="5" s="1"/>
  <c r="I376" i="5"/>
  <c r="L375" i="5"/>
  <c r="G375" i="5"/>
  <c r="M375" i="5"/>
  <c r="I375" i="5"/>
  <c r="C375" i="5"/>
  <c r="O375" i="5"/>
  <c r="P375" i="5"/>
  <c r="N375" i="5"/>
  <c r="D375" i="5"/>
  <c r="J375" i="5"/>
  <c r="K375" i="5"/>
  <c r="F376" i="5" a="1"/>
  <c r="F376" i="5" s="1"/>
  <c r="U374" i="5" a="1"/>
  <c r="U374" i="5" s="1"/>
  <c r="X376" i="5"/>
  <c r="A377" i="5"/>
  <c r="A378" i="5" s="1" a="1"/>
  <c r="AB376" i="5"/>
  <c r="Y376" i="5"/>
  <c r="AC376" i="5" s="1"/>
  <c r="Z376" i="5"/>
  <c r="AA376" i="5"/>
  <c r="W376" i="5"/>
  <c r="C376" i="5" a="1"/>
  <c r="J376" i="5" a="1"/>
  <c r="O376" i="5" a="1"/>
  <c r="M376" i="5" a="1"/>
  <c r="P376" i="5" a="1"/>
  <c r="L376" i="5" a="1"/>
  <c r="N376" i="5" a="1"/>
  <c r="H376" i="5" a="1"/>
  <c r="G376" i="5" a="1"/>
  <c r="K376" i="5" a="1"/>
  <c r="D376" i="5" a="1"/>
  <c r="T375" i="5" l="1"/>
  <c r="D376" i="5"/>
  <c r="N376" i="5"/>
  <c r="G376" i="5"/>
  <c r="L376" i="5"/>
  <c r="K376" i="5"/>
  <c r="J376" i="5"/>
  <c r="P376" i="5"/>
  <c r="O376" i="5"/>
  <c r="M376" i="5"/>
  <c r="C376" i="5"/>
  <c r="H376" i="5"/>
  <c r="R375" i="5"/>
  <c r="B377" i="5"/>
  <c r="O377" i="5" s="1" a="1"/>
  <c r="E377" i="5" a="1"/>
  <c r="E377" i="5" s="1"/>
  <c r="Q375" i="5"/>
  <c r="S375" i="5"/>
  <c r="A378" i="5"/>
  <c r="V375" i="5" l="1" a="1"/>
  <c r="V375" i="5" s="1"/>
  <c r="T376" i="5"/>
  <c r="U375" i="5" a="1"/>
  <c r="U375" i="5" s="1"/>
  <c r="R376" i="5"/>
  <c r="O377" i="5"/>
  <c r="AB377" i="5"/>
  <c r="Q376" i="5"/>
  <c r="S376" i="5"/>
  <c r="X377" i="5"/>
  <c r="Z377" i="5"/>
  <c r="Y377" i="5"/>
  <c r="AC377" i="5" s="1"/>
  <c r="AA377" i="5"/>
  <c r="W377" i="5"/>
  <c r="E378" i="5" a="1"/>
  <c r="E378" i="5" s="1"/>
  <c r="Y378" i="5" s="1"/>
  <c r="B378" i="5"/>
  <c r="G378" i="5" s="1" a="1"/>
  <c r="F377" i="5" a="1"/>
  <c r="F377" i="5" s="1"/>
  <c r="I377" i="5" a="1"/>
  <c r="L377" i="5" a="1"/>
  <c r="K377" i="5" a="1"/>
  <c r="M377" i="5" a="1"/>
  <c r="J377" i="5" a="1"/>
  <c r="H377" i="5" a="1"/>
  <c r="P377" i="5" a="1"/>
  <c r="A379" i="5" a="1"/>
  <c r="N377" i="5" a="1"/>
  <c r="G377" i="5" a="1"/>
  <c r="D377" i="5" a="1"/>
  <c r="C377" i="5" a="1"/>
  <c r="V376" i="5" l="1" a="1"/>
  <c r="V376" i="5" s="1"/>
  <c r="F378" i="5" a="1"/>
  <c r="F378" i="5" s="1"/>
  <c r="U376" i="5" a="1"/>
  <c r="U376" i="5" s="1"/>
  <c r="I377" i="5"/>
  <c r="P377" i="5"/>
  <c r="D377" i="5"/>
  <c r="C377" i="5"/>
  <c r="M377" i="5"/>
  <c r="H377" i="5"/>
  <c r="J377" i="5"/>
  <c r="G378" i="5"/>
  <c r="K377" i="5"/>
  <c r="L377" i="5"/>
  <c r="Q377" i="5" s="1"/>
  <c r="G377" i="5"/>
  <c r="N377" i="5"/>
  <c r="A379" i="5"/>
  <c r="AA378" i="5"/>
  <c r="W378" i="5"/>
  <c r="AC378" i="5"/>
  <c r="X378" i="5"/>
  <c r="Z378" i="5"/>
  <c r="AB378" i="5"/>
  <c r="C378" i="5" a="1"/>
  <c r="D378" i="5" a="1"/>
  <c r="O378" i="5" a="1"/>
  <c r="J378" i="5" a="1"/>
  <c r="H378" i="5" a="1"/>
  <c r="P378" i="5" a="1"/>
  <c r="I378" i="5" a="1"/>
  <c r="K378" i="5" a="1"/>
  <c r="N378" i="5" a="1"/>
  <c r="M378" i="5" a="1"/>
  <c r="L378" i="5" a="1"/>
  <c r="A380" i="5" a="1"/>
  <c r="D378" i="5" l="1"/>
  <c r="M378" i="5"/>
  <c r="P378" i="5"/>
  <c r="N378" i="5"/>
  <c r="L378" i="5"/>
  <c r="K378" i="5"/>
  <c r="J378" i="5"/>
  <c r="H378" i="5"/>
  <c r="I378" i="5"/>
  <c r="O378" i="5"/>
  <c r="C378" i="5"/>
  <c r="R377" i="5"/>
  <c r="U377" i="5" s="1" a="1"/>
  <c r="U377" i="5" s="1"/>
  <c r="B379" i="5"/>
  <c r="F379" i="5" s="1" a="1"/>
  <c r="F379" i="5" s="1"/>
  <c r="E379" i="5" a="1"/>
  <c r="E379" i="5" s="1"/>
  <c r="AB379" i="5" s="1"/>
  <c r="S377" i="5"/>
  <c r="T377" i="5"/>
  <c r="A380" i="5"/>
  <c r="R378" i="5" l="1"/>
  <c r="T378" i="5"/>
  <c r="Y379" i="5"/>
  <c r="AC379" i="5" s="1"/>
  <c r="Z379" i="5"/>
  <c r="AA379" i="5"/>
  <c r="W379" i="5"/>
  <c r="V377" i="5" a="1"/>
  <c r="V377" i="5" s="1"/>
  <c r="X379" i="5"/>
  <c r="S378" i="5"/>
  <c r="Q378" i="5"/>
  <c r="B380" i="5"/>
  <c r="F380" i="5" s="1" a="1"/>
  <c r="F380" i="5" s="1"/>
  <c r="E380" i="5" a="1"/>
  <c r="E380" i="5" s="1"/>
  <c r="Y380" i="5" s="1"/>
  <c r="A381" i="5" a="1"/>
  <c r="K379" i="5" a="1"/>
  <c r="J379" i="5" a="1"/>
  <c r="H379" i="5" a="1"/>
  <c r="M379" i="5" a="1"/>
  <c r="O379" i="5" a="1"/>
  <c r="G379" i="5" a="1"/>
  <c r="L379" i="5" a="1"/>
  <c r="D379" i="5" a="1"/>
  <c r="N379" i="5" a="1"/>
  <c r="P379" i="5" a="1"/>
  <c r="C379" i="5" a="1"/>
  <c r="I379" i="5" a="1"/>
  <c r="U378" i="5" l="1" a="1"/>
  <c r="U378" i="5" s="1"/>
  <c r="V378" i="5" a="1"/>
  <c r="V378" i="5" s="1"/>
  <c r="G379" i="5"/>
  <c r="J379" i="5"/>
  <c r="K379" i="5"/>
  <c r="M379" i="5"/>
  <c r="H379" i="5"/>
  <c r="I379" i="5"/>
  <c r="N379" i="5"/>
  <c r="C379" i="5"/>
  <c r="P379" i="5"/>
  <c r="D379" i="5"/>
  <c r="L379" i="5"/>
  <c r="O379" i="5"/>
  <c r="A381" i="5"/>
  <c r="AA380" i="5"/>
  <c r="W380" i="5"/>
  <c r="AC380" i="5"/>
  <c r="X380" i="5"/>
  <c r="AB380" i="5"/>
  <c r="Z380" i="5"/>
  <c r="G380" i="5" a="1"/>
  <c r="D380" i="5" a="1"/>
  <c r="P380" i="5" a="1"/>
  <c r="N380" i="5" a="1"/>
  <c r="H380" i="5" a="1"/>
  <c r="I380" i="5" a="1"/>
  <c r="M380" i="5" a="1"/>
  <c r="O380" i="5" a="1"/>
  <c r="C380" i="5" a="1"/>
  <c r="L380" i="5" a="1"/>
  <c r="K380" i="5" a="1"/>
  <c r="J380" i="5" a="1"/>
  <c r="A382" i="5" a="1"/>
  <c r="D380" i="5" l="1"/>
  <c r="G380" i="5"/>
  <c r="I380" i="5"/>
  <c r="M380" i="5"/>
  <c r="N380" i="5"/>
  <c r="L380" i="5"/>
  <c r="J380" i="5"/>
  <c r="K380" i="5"/>
  <c r="H380" i="5"/>
  <c r="O380" i="5"/>
  <c r="P380" i="5"/>
  <c r="C380" i="5"/>
  <c r="E381" i="5" a="1"/>
  <c r="E381" i="5" s="1"/>
  <c r="X381" i="5" s="1"/>
  <c r="B381" i="5"/>
  <c r="F381" i="5" s="1" a="1"/>
  <c r="F381" i="5" s="1"/>
  <c r="T379" i="5"/>
  <c r="R379" i="5"/>
  <c r="Q379" i="5"/>
  <c r="S379" i="5"/>
  <c r="A382" i="5"/>
  <c r="A383" i="5" a="1"/>
  <c r="R380" i="5" l="1"/>
  <c r="T380" i="5"/>
  <c r="U379" i="5" a="1"/>
  <c r="U379" i="5" s="1"/>
  <c r="V379" i="5" a="1"/>
  <c r="V379" i="5" s="1"/>
  <c r="AB381" i="5"/>
  <c r="B382" i="5"/>
  <c r="G382" i="5" s="1" a="1"/>
  <c r="E382" i="5" a="1"/>
  <c r="E382" i="5" s="1"/>
  <c r="AB382" i="5" s="1"/>
  <c r="Z381" i="5"/>
  <c r="AA381" i="5"/>
  <c r="Q380" i="5"/>
  <c r="S380" i="5"/>
  <c r="Y381" i="5"/>
  <c r="AC381" i="5" s="1"/>
  <c r="W381" i="5"/>
  <c r="A383" i="5"/>
  <c r="K381" i="5" a="1"/>
  <c r="G381" i="5" a="1"/>
  <c r="I381" i="5" a="1"/>
  <c r="H381" i="5" a="1"/>
  <c r="A384" i="5" a="1"/>
  <c r="D381" i="5" a="1"/>
  <c r="P381" i="5" a="1"/>
  <c r="N381" i="5" a="1"/>
  <c r="L381" i="5" a="1"/>
  <c r="C381" i="5" a="1"/>
  <c r="J381" i="5" a="1"/>
  <c r="O381" i="5" a="1"/>
  <c r="M381" i="5" a="1"/>
  <c r="U380" i="5" l="1" a="1"/>
  <c r="U380" i="5" s="1"/>
  <c r="V380" i="5" a="1"/>
  <c r="V380" i="5" s="1"/>
  <c r="K381" i="5"/>
  <c r="N381" i="5"/>
  <c r="G381" i="5"/>
  <c r="O381" i="5"/>
  <c r="P381" i="5"/>
  <c r="J381" i="5"/>
  <c r="D381" i="5"/>
  <c r="C381" i="5"/>
  <c r="I381" i="5"/>
  <c r="W382" i="5"/>
  <c r="Z382" i="5"/>
  <c r="Y382" i="5"/>
  <c r="AC382" i="5" s="1"/>
  <c r="X382" i="5"/>
  <c r="H381" i="5"/>
  <c r="G382" i="5"/>
  <c r="L381" i="5"/>
  <c r="M381" i="5"/>
  <c r="F382" i="5" a="1"/>
  <c r="F382" i="5" s="1"/>
  <c r="E383" i="5" a="1"/>
  <c r="E383" i="5" s="1"/>
  <c r="AB383" i="5" s="1"/>
  <c r="B383" i="5"/>
  <c r="AA382" i="5"/>
  <c r="A384" i="5"/>
  <c r="D382" i="5" a="1"/>
  <c r="C382" i="5" a="1"/>
  <c r="O382" i="5" a="1"/>
  <c r="N382" i="5" a="1"/>
  <c r="M382" i="5" a="1"/>
  <c r="H382" i="5" a="1"/>
  <c r="P382" i="5" a="1"/>
  <c r="L382" i="5" a="1"/>
  <c r="J382" i="5" a="1"/>
  <c r="I382" i="5" a="1"/>
  <c r="K382" i="5" a="1"/>
  <c r="L383" i="5" a="1"/>
  <c r="P382" i="5" l="1"/>
  <c r="R381" i="5"/>
  <c r="T381" i="5"/>
  <c r="C382" i="5"/>
  <c r="AA383" i="5"/>
  <c r="Q381" i="5"/>
  <c r="W383" i="5"/>
  <c r="S381" i="5"/>
  <c r="Z383" i="5"/>
  <c r="M382" i="5"/>
  <c r="J382" i="5"/>
  <c r="I382" i="5"/>
  <c r="L383" i="5"/>
  <c r="N382" i="5"/>
  <c r="D382" i="5"/>
  <c r="L382" i="5"/>
  <c r="H382" i="5"/>
  <c r="O382" i="5"/>
  <c r="K382" i="5"/>
  <c r="B384" i="5"/>
  <c r="K384" i="5" s="1" a="1"/>
  <c r="E384" i="5" a="1"/>
  <c r="E384" i="5" s="1"/>
  <c r="Y384" i="5" s="1"/>
  <c r="Y383" i="5"/>
  <c r="AC383" i="5" s="1"/>
  <c r="F383" i="5" a="1"/>
  <c r="F383" i="5" s="1"/>
  <c r="X383" i="5"/>
  <c r="O383" i="5" a="1"/>
  <c r="K383" i="5" a="1"/>
  <c r="D383" i="5" a="1"/>
  <c r="P383" i="5" a="1"/>
  <c r="G383" i="5" a="1"/>
  <c r="C383" i="5" a="1"/>
  <c r="J383" i="5" a="1"/>
  <c r="I383" i="5" a="1"/>
  <c r="A385" i="5" a="1"/>
  <c r="N383" i="5" a="1"/>
  <c r="H383" i="5" a="1"/>
  <c r="M383" i="5" a="1"/>
  <c r="U381" i="5" l="1" a="1"/>
  <c r="U381" i="5" s="1"/>
  <c r="R382" i="5"/>
  <c r="T382" i="5"/>
  <c r="V381" i="5" a="1"/>
  <c r="V381" i="5" s="1"/>
  <c r="H383" i="5"/>
  <c r="O383" i="5"/>
  <c r="G383" i="5"/>
  <c r="I383" i="5"/>
  <c r="C383" i="5"/>
  <c r="K384" i="5"/>
  <c r="M383" i="5"/>
  <c r="P383" i="5"/>
  <c r="R383" i="5" s="1"/>
  <c r="K383" i="5"/>
  <c r="N383" i="5"/>
  <c r="J383" i="5"/>
  <c r="D383" i="5"/>
  <c r="Q382" i="5"/>
  <c r="S382" i="5"/>
  <c r="A385" i="5"/>
  <c r="A386" i="5" s="1" a="1"/>
  <c r="AA384" i="5"/>
  <c r="W384" i="5"/>
  <c r="AC384" i="5"/>
  <c r="X384" i="5"/>
  <c r="Z384" i="5"/>
  <c r="AB384" i="5"/>
  <c r="H384" i="5" a="1"/>
  <c r="O384" i="5" a="1"/>
  <c r="M384" i="5" a="1"/>
  <c r="P384" i="5" a="1"/>
  <c r="N384" i="5" a="1"/>
  <c r="D384" i="5" a="1"/>
  <c r="G384" i="5" a="1"/>
  <c r="J384" i="5" a="1"/>
  <c r="F384" i="5" a="1"/>
  <c r="C384" i="5" a="1"/>
  <c r="L384" i="5" a="1"/>
  <c r="I384" i="5" a="1"/>
  <c r="V382" i="5" l="1" a="1"/>
  <c r="V382" i="5" s="1"/>
  <c r="N384" i="5"/>
  <c r="C384" i="5"/>
  <c r="J384" i="5"/>
  <c r="U382" i="5" a="1"/>
  <c r="U382" i="5" s="1"/>
  <c r="G384" i="5"/>
  <c r="H384" i="5"/>
  <c r="P384" i="5"/>
  <c r="F384" i="5"/>
  <c r="O384" i="5"/>
  <c r="D384" i="5"/>
  <c r="I384" i="5"/>
  <c r="L384" i="5"/>
  <c r="M384" i="5"/>
  <c r="B385" i="5"/>
  <c r="E385" i="5" a="1"/>
  <c r="E385" i="5" s="1"/>
  <c r="Y385" i="5" s="1"/>
  <c r="AC385" i="5" s="1"/>
  <c r="T383" i="5"/>
  <c r="S383" i="5"/>
  <c r="Q383" i="5"/>
  <c r="U383" i="5" s="1" a="1"/>
  <c r="U383" i="5" s="1"/>
  <c r="A386" i="5"/>
  <c r="A387" i="5" a="1"/>
  <c r="K385" i="5" a="1"/>
  <c r="Q384" i="5" l="1"/>
  <c r="T384" i="5"/>
  <c r="R384" i="5"/>
  <c r="S384" i="5"/>
  <c r="K385" i="5"/>
  <c r="W385" i="5"/>
  <c r="AA385" i="5"/>
  <c r="Z385" i="5"/>
  <c r="X385" i="5"/>
  <c r="AB385" i="5"/>
  <c r="E386" i="5" a="1"/>
  <c r="E386" i="5" s="1"/>
  <c r="W386" i="5" s="1"/>
  <c r="B386" i="5"/>
  <c r="K386" i="5" s="1" a="1"/>
  <c r="V383" i="5" a="1"/>
  <c r="V383" i="5" s="1"/>
  <c r="F385" i="5" a="1"/>
  <c r="F385" i="5" s="1"/>
  <c r="A387" i="5"/>
  <c r="L385" i="5" a="1"/>
  <c r="J385" i="5" a="1"/>
  <c r="C385" i="5" a="1"/>
  <c r="G385" i="5" a="1"/>
  <c r="M385" i="5" a="1"/>
  <c r="P385" i="5" a="1"/>
  <c r="H385" i="5" a="1"/>
  <c r="N385" i="5" a="1"/>
  <c r="A388" i="5" a="1"/>
  <c r="I385" i="5" a="1"/>
  <c r="O385" i="5" a="1"/>
  <c r="D385" i="5" a="1"/>
  <c r="U384" i="5" l="1" a="1"/>
  <c r="U384" i="5" s="1"/>
  <c r="V384" i="5" a="1"/>
  <c r="V384" i="5" s="1"/>
  <c r="AA386" i="5"/>
  <c r="Y386" i="5"/>
  <c r="AC386" i="5" s="1"/>
  <c r="X386" i="5"/>
  <c r="Z386" i="5"/>
  <c r="AB386" i="5"/>
  <c r="H385" i="5"/>
  <c r="P385" i="5"/>
  <c r="D385" i="5"/>
  <c r="C385" i="5"/>
  <c r="M385" i="5"/>
  <c r="J385" i="5"/>
  <c r="O385" i="5"/>
  <c r="L385" i="5"/>
  <c r="K386" i="5"/>
  <c r="N385" i="5"/>
  <c r="G385" i="5"/>
  <c r="I385" i="5"/>
  <c r="B387" i="5"/>
  <c r="E387" i="5" a="1"/>
  <c r="E387" i="5" s="1"/>
  <c r="F386" i="5" a="1"/>
  <c r="F386" i="5" s="1"/>
  <c r="A388" i="5"/>
  <c r="I386" i="5" a="1"/>
  <c r="N386" i="5" a="1"/>
  <c r="H386" i="5" a="1"/>
  <c r="G386" i="5" a="1"/>
  <c r="L386" i="5" a="1"/>
  <c r="P386" i="5" a="1"/>
  <c r="C386" i="5" a="1"/>
  <c r="M386" i="5" a="1"/>
  <c r="O386" i="5" a="1"/>
  <c r="J386" i="5" a="1"/>
  <c r="D386" i="5" a="1"/>
  <c r="N387" i="5" a="1"/>
  <c r="J386" i="5" l="1"/>
  <c r="M386" i="5"/>
  <c r="R385" i="5"/>
  <c r="D386" i="5"/>
  <c r="G386" i="5"/>
  <c r="N387" i="5"/>
  <c r="N386" i="5"/>
  <c r="P386" i="5"/>
  <c r="H386" i="5"/>
  <c r="O386" i="5"/>
  <c r="I386" i="5"/>
  <c r="L386" i="5"/>
  <c r="C386" i="5"/>
  <c r="Q385" i="5"/>
  <c r="S385" i="5"/>
  <c r="T385" i="5"/>
  <c r="AB387" i="5"/>
  <c r="Z387" i="5"/>
  <c r="W387" i="5"/>
  <c r="Y387" i="5"/>
  <c r="AC387" i="5" s="1"/>
  <c r="AA387" i="5"/>
  <c r="X387" i="5"/>
  <c r="F387" i="5" a="1"/>
  <c r="F387" i="5" s="1"/>
  <c r="B388" i="5"/>
  <c r="O388" i="5" s="1" a="1"/>
  <c r="E388" i="5" a="1"/>
  <c r="E388" i="5" s="1"/>
  <c r="Y388" i="5" s="1"/>
  <c r="C387" i="5" a="1"/>
  <c r="O387" i="5" a="1"/>
  <c r="A389" i="5" a="1"/>
  <c r="P387" i="5" a="1"/>
  <c r="K387" i="5" a="1"/>
  <c r="M387" i="5" a="1"/>
  <c r="L387" i="5" a="1"/>
  <c r="H387" i="5" a="1"/>
  <c r="G387" i="5" a="1"/>
  <c r="D387" i="5" a="1"/>
  <c r="J387" i="5" a="1"/>
  <c r="I387" i="5" a="1"/>
  <c r="U385" i="5" l="1" a="1"/>
  <c r="U385" i="5" s="1"/>
  <c r="O388" i="5"/>
  <c r="O387" i="5"/>
  <c r="H387" i="5"/>
  <c r="J387" i="5"/>
  <c r="M387" i="5"/>
  <c r="P387" i="5"/>
  <c r="I387" i="5"/>
  <c r="K387" i="5"/>
  <c r="L387" i="5"/>
  <c r="C387" i="5"/>
  <c r="G387" i="5"/>
  <c r="D387" i="5"/>
  <c r="S386" i="5"/>
  <c r="Q386" i="5"/>
  <c r="F388" i="5" a="1"/>
  <c r="F388" i="5" s="1"/>
  <c r="V385" i="5" a="1"/>
  <c r="V385" i="5" s="1"/>
  <c r="T386" i="5"/>
  <c r="R386" i="5"/>
  <c r="A389" i="5"/>
  <c r="A390" i="5" s="1" a="1"/>
  <c r="AA388" i="5"/>
  <c r="W388" i="5"/>
  <c r="AC388" i="5"/>
  <c r="X388" i="5"/>
  <c r="AB388" i="5"/>
  <c r="Z388" i="5"/>
  <c r="P388" i="5" a="1"/>
  <c r="G388" i="5" a="1"/>
  <c r="I388" i="5" a="1"/>
  <c r="L388" i="5" a="1"/>
  <c r="J388" i="5" a="1"/>
  <c r="N388" i="5" a="1"/>
  <c r="H388" i="5" a="1"/>
  <c r="D388" i="5" a="1"/>
  <c r="C388" i="5" a="1"/>
  <c r="K388" i="5" a="1"/>
  <c r="M388" i="5" a="1"/>
  <c r="R387" i="5" l="1"/>
  <c r="T387" i="5"/>
  <c r="H388" i="5"/>
  <c r="M388" i="5"/>
  <c r="D388" i="5"/>
  <c r="N388" i="5"/>
  <c r="I388" i="5"/>
  <c r="L388" i="5"/>
  <c r="Q388" i="5" s="1"/>
  <c r="G388" i="5"/>
  <c r="K388" i="5"/>
  <c r="P388" i="5"/>
  <c r="C388" i="5"/>
  <c r="J388" i="5"/>
  <c r="U386" i="5" a="1"/>
  <c r="U386" i="5" s="1"/>
  <c r="V386" i="5" a="1"/>
  <c r="V386" i="5" s="1"/>
  <c r="S387" i="5"/>
  <c r="Q387" i="5"/>
  <c r="E389" i="5" a="1"/>
  <c r="E389" i="5" s="1"/>
  <c r="B389" i="5"/>
  <c r="K389" i="5" s="1" a="1"/>
  <c r="A390" i="5"/>
  <c r="U387" i="5" l="1" a="1"/>
  <c r="U387" i="5" s="1"/>
  <c r="V387" i="5" a="1"/>
  <c r="V387" i="5" s="1"/>
  <c r="K389" i="5"/>
  <c r="Z389" i="5"/>
  <c r="AB389" i="5"/>
  <c r="F389" i="5" a="1"/>
  <c r="F389" i="5" s="1"/>
  <c r="AA389" i="5"/>
  <c r="T388" i="5"/>
  <c r="S388" i="5"/>
  <c r="W389" i="5"/>
  <c r="B390" i="5"/>
  <c r="D390" i="5" s="1" a="1"/>
  <c r="E390" i="5" a="1"/>
  <c r="E390" i="5" s="1"/>
  <c r="AA390" i="5" s="1"/>
  <c r="Y389" i="5"/>
  <c r="AC389" i="5" s="1"/>
  <c r="X389" i="5"/>
  <c r="R388" i="5"/>
  <c r="U388" i="5" s="1" a="1"/>
  <c r="U388" i="5" s="1"/>
  <c r="N389" i="5" a="1"/>
  <c r="M389" i="5" a="1"/>
  <c r="H389" i="5" a="1"/>
  <c r="G389" i="5" a="1"/>
  <c r="L389" i="5" a="1"/>
  <c r="C389" i="5" a="1"/>
  <c r="P389" i="5" a="1"/>
  <c r="D389" i="5" a="1"/>
  <c r="O389" i="5" a="1"/>
  <c r="I389" i="5" a="1"/>
  <c r="A391" i="5" a="1"/>
  <c r="J389" i="5" a="1"/>
  <c r="N389" i="5" l="1"/>
  <c r="C389" i="5"/>
  <c r="O389" i="5"/>
  <c r="D390" i="5"/>
  <c r="H389" i="5"/>
  <c r="I389" i="5"/>
  <c r="L389" i="5"/>
  <c r="J389" i="5"/>
  <c r="D389" i="5"/>
  <c r="G389" i="5"/>
  <c r="P389" i="5"/>
  <c r="M389" i="5"/>
  <c r="V388" i="5" a="1"/>
  <c r="V388" i="5" s="1"/>
  <c r="F390" i="5" a="1"/>
  <c r="F390" i="5" s="1"/>
  <c r="A391" i="5"/>
  <c r="W390" i="5"/>
  <c r="X390" i="5"/>
  <c r="Z390" i="5"/>
  <c r="AB390" i="5"/>
  <c r="Y390" i="5"/>
  <c r="AC390" i="5" s="1"/>
  <c r="M390" i="5" a="1"/>
  <c r="G390" i="5" a="1"/>
  <c r="H390" i="5" a="1"/>
  <c r="N390" i="5" a="1"/>
  <c r="J390" i="5" a="1"/>
  <c r="I390" i="5" a="1"/>
  <c r="L390" i="5" a="1"/>
  <c r="O390" i="5" a="1"/>
  <c r="C390" i="5" a="1"/>
  <c r="K390" i="5" a="1"/>
  <c r="P390" i="5" a="1"/>
  <c r="A392" i="5" a="1"/>
  <c r="J390" i="5" l="1"/>
  <c r="T389" i="5"/>
  <c r="H390" i="5"/>
  <c r="O390" i="5"/>
  <c r="K390" i="5"/>
  <c r="I390" i="5"/>
  <c r="M390" i="5"/>
  <c r="C390" i="5"/>
  <c r="P390" i="5"/>
  <c r="L390" i="5"/>
  <c r="G390" i="5"/>
  <c r="N390" i="5"/>
  <c r="E391" i="5" a="1"/>
  <c r="E391" i="5" s="1"/>
  <c r="AA391" i="5" s="1"/>
  <c r="B391" i="5"/>
  <c r="J391" i="5" s="1" a="1"/>
  <c r="R389" i="5"/>
  <c r="Q389" i="5"/>
  <c r="S389" i="5"/>
  <c r="A392" i="5"/>
  <c r="V389" i="5" l="1" a="1"/>
  <c r="V389" i="5" s="1"/>
  <c r="S390" i="5"/>
  <c r="Q390" i="5"/>
  <c r="R390" i="5"/>
  <c r="Z391" i="5"/>
  <c r="X391" i="5"/>
  <c r="Y391" i="5"/>
  <c r="AC391" i="5" s="1"/>
  <c r="AB391" i="5"/>
  <c r="J391" i="5"/>
  <c r="U389" i="5" a="1"/>
  <c r="U389" i="5" s="1"/>
  <c r="W391" i="5"/>
  <c r="T390" i="5"/>
  <c r="B392" i="5"/>
  <c r="N392" i="5" s="1" a="1"/>
  <c r="E392" i="5" a="1"/>
  <c r="E392" i="5" s="1"/>
  <c r="F391" i="5" a="1"/>
  <c r="F391" i="5" s="1"/>
  <c r="I391" i="5" a="1"/>
  <c r="A393" i="5" a="1"/>
  <c r="L391" i="5" a="1"/>
  <c r="P391" i="5" a="1"/>
  <c r="G391" i="5" a="1"/>
  <c r="H391" i="5" a="1"/>
  <c r="D391" i="5" a="1"/>
  <c r="K391" i="5" a="1"/>
  <c r="O391" i="5" a="1"/>
  <c r="N391" i="5" a="1"/>
  <c r="M391" i="5" a="1"/>
  <c r="C391" i="5" a="1"/>
  <c r="V390" i="5" l="1" a="1"/>
  <c r="V390" i="5" s="1"/>
  <c r="U390" i="5" a="1"/>
  <c r="U390" i="5" s="1"/>
  <c r="M391" i="5"/>
  <c r="D391" i="5"/>
  <c r="N392" i="5"/>
  <c r="H391" i="5"/>
  <c r="P391" i="5"/>
  <c r="N391" i="5"/>
  <c r="G391" i="5"/>
  <c r="I391" i="5"/>
  <c r="C391" i="5"/>
  <c r="O391" i="5"/>
  <c r="L391" i="5"/>
  <c r="K391" i="5"/>
  <c r="Y392" i="5"/>
  <c r="AC392" i="5" s="1"/>
  <c r="F392" i="5" a="1"/>
  <c r="F392" i="5" s="1"/>
  <c r="A393" i="5"/>
  <c r="AA392" i="5"/>
  <c r="W392" i="5"/>
  <c r="X392" i="5"/>
  <c r="AB392" i="5"/>
  <c r="Z392" i="5"/>
  <c r="H392" i="5" a="1"/>
  <c r="I392" i="5" a="1"/>
  <c r="C392" i="5" a="1"/>
  <c r="M392" i="5" a="1"/>
  <c r="G392" i="5" a="1"/>
  <c r="K392" i="5" a="1"/>
  <c r="A394" i="5" a="1"/>
  <c r="J392" i="5" a="1"/>
  <c r="L392" i="5" a="1"/>
  <c r="P392" i="5" a="1"/>
  <c r="D392" i="5" a="1"/>
  <c r="O392" i="5" a="1"/>
  <c r="O392" i="5" l="1"/>
  <c r="D392" i="5"/>
  <c r="H392" i="5"/>
  <c r="I392" i="5"/>
  <c r="M392" i="5"/>
  <c r="C392" i="5"/>
  <c r="J392" i="5"/>
  <c r="L392" i="5"/>
  <c r="G392" i="5"/>
  <c r="K392" i="5"/>
  <c r="P392" i="5"/>
  <c r="B393" i="5"/>
  <c r="N393" i="5" s="1" a="1"/>
  <c r="E393" i="5" a="1"/>
  <c r="E393" i="5" s="1"/>
  <c r="Q391" i="5"/>
  <c r="S391" i="5"/>
  <c r="R391" i="5"/>
  <c r="T391" i="5"/>
  <c r="A394" i="5"/>
  <c r="T392" i="5" l="1"/>
  <c r="N393" i="5"/>
  <c r="AA393" i="5"/>
  <c r="X393" i="5"/>
  <c r="Z393" i="5"/>
  <c r="R392" i="5"/>
  <c r="E394" i="5" a="1"/>
  <c r="E394" i="5" s="1"/>
  <c r="B394" i="5"/>
  <c r="K394" i="5" s="1" a="1"/>
  <c r="Y393" i="5"/>
  <c r="AC393" i="5" s="1"/>
  <c r="AB393" i="5"/>
  <c r="V391" i="5" a="1"/>
  <c r="V391" i="5" s="1"/>
  <c r="W393" i="5"/>
  <c r="U391" i="5" a="1"/>
  <c r="U391" i="5" s="1"/>
  <c r="Q392" i="5"/>
  <c r="S392" i="5"/>
  <c r="K393" i="5" a="1"/>
  <c r="C393" i="5" a="1"/>
  <c r="L393" i="5" a="1"/>
  <c r="F393" i="5" a="1"/>
  <c r="I393" i="5" a="1"/>
  <c r="O393" i="5" a="1"/>
  <c r="H393" i="5" a="1"/>
  <c r="A395" i="5" a="1"/>
  <c r="J393" i="5" a="1"/>
  <c r="P393" i="5" a="1"/>
  <c r="G393" i="5" a="1"/>
  <c r="D393" i="5" a="1"/>
  <c r="M393" i="5" a="1"/>
  <c r="V392" i="5" l="1" a="1"/>
  <c r="V392" i="5" s="1"/>
  <c r="U392" i="5" a="1"/>
  <c r="U392" i="5" s="1"/>
  <c r="L393" i="5"/>
  <c r="K394" i="5"/>
  <c r="G393" i="5"/>
  <c r="D393" i="5"/>
  <c r="O393" i="5"/>
  <c r="M393" i="5"/>
  <c r="J393" i="5"/>
  <c r="I393" i="5"/>
  <c r="H393" i="5"/>
  <c r="K393" i="5"/>
  <c r="P393" i="5"/>
  <c r="F393" i="5"/>
  <c r="F394" i="5" s="1" a="1"/>
  <c r="F394" i="5" s="1"/>
  <c r="C393" i="5"/>
  <c r="Y394" i="5"/>
  <c r="AC394" i="5" s="1"/>
  <c r="AA394" i="5"/>
  <c r="X394" i="5"/>
  <c r="AB394" i="5"/>
  <c r="Z394" i="5"/>
  <c r="A395" i="5"/>
  <c r="A396" i="5" s="1" a="1"/>
  <c r="W394" i="5"/>
  <c r="J394" i="5" a="1"/>
  <c r="P394" i="5" a="1"/>
  <c r="H394" i="5" a="1"/>
  <c r="G394" i="5" a="1"/>
  <c r="O394" i="5" a="1"/>
  <c r="D394" i="5" a="1"/>
  <c r="I394" i="5" a="1"/>
  <c r="N394" i="5" a="1"/>
  <c r="M394" i="5" a="1"/>
  <c r="L394" i="5" a="1"/>
  <c r="C394" i="5" a="1"/>
  <c r="G394" i="5" l="1"/>
  <c r="C394" i="5"/>
  <c r="R393" i="5"/>
  <c r="T393" i="5"/>
  <c r="P394" i="5"/>
  <c r="J394" i="5"/>
  <c r="L394" i="5"/>
  <c r="O394" i="5"/>
  <c r="M394" i="5"/>
  <c r="D394" i="5"/>
  <c r="H394" i="5"/>
  <c r="I394" i="5"/>
  <c r="N394" i="5"/>
  <c r="S393" i="5"/>
  <c r="Q393" i="5"/>
  <c r="B395" i="5"/>
  <c r="F395" i="5" s="1" a="1"/>
  <c r="F395" i="5" s="1"/>
  <c r="E395" i="5" a="1"/>
  <c r="E395" i="5" s="1"/>
  <c r="W395" i="5" s="1"/>
  <c r="A396" i="5"/>
  <c r="U393" i="5" l="1" a="1"/>
  <c r="U393" i="5" s="1"/>
  <c r="T394" i="5"/>
  <c r="V393" i="5" a="1"/>
  <c r="V393" i="5" s="1"/>
  <c r="X395" i="5"/>
  <c r="Y395" i="5"/>
  <c r="AC395" i="5" s="1"/>
  <c r="AB395" i="5"/>
  <c r="S394" i="5"/>
  <c r="Q394" i="5"/>
  <c r="AA395" i="5"/>
  <c r="Z395" i="5"/>
  <c r="B396" i="5"/>
  <c r="P396" i="5" s="1" a="1"/>
  <c r="E396" i="5" a="1"/>
  <c r="E396" i="5" s="1"/>
  <c r="R394" i="5"/>
  <c r="M395" i="5" a="1"/>
  <c r="J395" i="5" a="1"/>
  <c r="H395" i="5" a="1"/>
  <c r="N395" i="5" a="1"/>
  <c r="I395" i="5" a="1"/>
  <c r="G395" i="5" a="1"/>
  <c r="O395" i="5" a="1"/>
  <c r="P395" i="5" a="1"/>
  <c r="D395" i="5" a="1"/>
  <c r="L395" i="5" a="1"/>
  <c r="A397" i="5" a="1"/>
  <c r="C395" i="5" a="1"/>
  <c r="K395" i="5" a="1"/>
  <c r="G395" i="5" l="1"/>
  <c r="H395" i="5"/>
  <c r="P395" i="5"/>
  <c r="D395" i="5"/>
  <c r="K395" i="5"/>
  <c r="L395" i="5"/>
  <c r="C395" i="5"/>
  <c r="V394" i="5" a="1"/>
  <c r="V394" i="5" s="1"/>
  <c r="P396" i="5"/>
  <c r="I395" i="5"/>
  <c r="M395" i="5"/>
  <c r="J395" i="5"/>
  <c r="O395" i="5"/>
  <c r="N395" i="5"/>
  <c r="Y396" i="5"/>
  <c r="AC396" i="5" s="1"/>
  <c r="U394" i="5" a="1"/>
  <c r="U394" i="5" s="1"/>
  <c r="F396" i="5" a="1"/>
  <c r="F396" i="5" s="1"/>
  <c r="A397" i="5"/>
  <c r="AA396" i="5"/>
  <c r="W396" i="5"/>
  <c r="X396" i="5"/>
  <c r="Z396" i="5"/>
  <c r="AB396" i="5"/>
  <c r="O396" i="5" a="1"/>
  <c r="D396" i="5" a="1"/>
  <c r="C396" i="5" a="1"/>
  <c r="N396" i="5" a="1"/>
  <c r="G396" i="5" a="1"/>
  <c r="J396" i="5" a="1"/>
  <c r="H396" i="5" a="1"/>
  <c r="I396" i="5" a="1"/>
  <c r="L396" i="5" a="1"/>
  <c r="M396" i="5" a="1"/>
  <c r="K396" i="5" a="1"/>
  <c r="A398" i="5" a="1"/>
  <c r="T395" i="5" l="1"/>
  <c r="J396" i="5"/>
  <c r="G396" i="5"/>
  <c r="R395" i="5"/>
  <c r="N396" i="5"/>
  <c r="H396" i="5"/>
  <c r="O396" i="5"/>
  <c r="L396" i="5"/>
  <c r="R396" i="5" s="1"/>
  <c r="M396" i="5"/>
  <c r="T396" i="5" s="1"/>
  <c r="C396" i="5"/>
  <c r="K396" i="5"/>
  <c r="I396" i="5"/>
  <c r="D396" i="5"/>
  <c r="Q395" i="5"/>
  <c r="S395" i="5"/>
  <c r="E397" i="5" a="1"/>
  <c r="E397" i="5" s="1"/>
  <c r="W397" i="5" s="1"/>
  <c r="B397" i="5"/>
  <c r="A398" i="5"/>
  <c r="V395" i="5" l="1" a="1"/>
  <c r="V395" i="5" s="1"/>
  <c r="U395" i="5" a="1"/>
  <c r="U395" i="5" s="1"/>
  <c r="F397" i="5" a="1"/>
  <c r="F397" i="5" s="1"/>
  <c r="Y397" i="5"/>
  <c r="AC397" i="5" s="1"/>
  <c r="Q396" i="5"/>
  <c r="U396" i="5" s="1" a="1"/>
  <c r="U396" i="5" s="1"/>
  <c r="S396" i="5"/>
  <c r="V396" i="5" s="1" a="1"/>
  <c r="V396" i="5" s="1"/>
  <c r="AA397" i="5"/>
  <c r="X397" i="5"/>
  <c r="AB397" i="5"/>
  <c r="Z397" i="5"/>
  <c r="B398" i="5"/>
  <c r="E398" i="5" a="1"/>
  <c r="E398" i="5" s="1"/>
  <c r="Y398" i="5" s="1"/>
  <c r="N397" i="5" a="1"/>
  <c r="H397" i="5" a="1"/>
  <c r="K397" i="5" a="1"/>
  <c r="D397" i="5" a="1"/>
  <c r="I397" i="5" a="1"/>
  <c r="A399" i="5" a="1"/>
  <c r="J397" i="5" a="1"/>
  <c r="L397" i="5" a="1"/>
  <c r="C397" i="5" a="1"/>
  <c r="M397" i="5" a="1"/>
  <c r="P397" i="5" a="1"/>
  <c r="G397" i="5" a="1"/>
  <c r="O397" i="5" a="1"/>
  <c r="O397" i="5" l="1"/>
  <c r="K397" i="5"/>
  <c r="G397" i="5"/>
  <c r="I397" i="5"/>
  <c r="P397" i="5"/>
  <c r="N397" i="5"/>
  <c r="J397" i="5"/>
  <c r="D397" i="5"/>
  <c r="H397" i="5"/>
  <c r="L397" i="5"/>
  <c r="M397" i="5"/>
  <c r="C397" i="5"/>
  <c r="F398" i="5" a="1"/>
  <c r="F398" i="5" s="1"/>
  <c r="AA398" i="5"/>
  <c r="A399" i="5"/>
  <c r="Z398" i="5"/>
  <c r="W398" i="5"/>
  <c r="AC398" i="5"/>
  <c r="X398" i="5"/>
  <c r="AB398" i="5"/>
  <c r="H398" i="5" a="1"/>
  <c r="P398" i="5" a="1"/>
  <c r="M398" i="5" a="1"/>
  <c r="L398" i="5" a="1"/>
  <c r="G398" i="5" a="1"/>
  <c r="O398" i="5" a="1"/>
  <c r="N398" i="5" a="1"/>
  <c r="J398" i="5" a="1"/>
  <c r="D398" i="5" a="1"/>
  <c r="K398" i="5" a="1"/>
  <c r="C398" i="5" a="1"/>
  <c r="I398" i="5" a="1"/>
  <c r="R397" i="5" l="1"/>
  <c r="T397" i="5"/>
  <c r="P398" i="5"/>
  <c r="G398" i="5"/>
  <c r="H398" i="5"/>
  <c r="N398" i="5"/>
  <c r="J398" i="5"/>
  <c r="M398" i="5"/>
  <c r="D398" i="5"/>
  <c r="O398" i="5"/>
  <c r="I398" i="5"/>
  <c r="L398" i="5"/>
  <c r="C398" i="5"/>
  <c r="K398" i="5"/>
  <c r="E399" i="5" a="1"/>
  <c r="E399" i="5" s="1"/>
  <c r="B399" i="5"/>
  <c r="Q397" i="5"/>
  <c r="S397" i="5"/>
  <c r="A400" i="5" a="1"/>
  <c r="G399" i="5" a="1"/>
  <c r="U397" i="5" l="1" a="1"/>
  <c r="U397" i="5" s="1"/>
  <c r="V397" i="5" a="1"/>
  <c r="V397" i="5" s="1"/>
  <c r="R398" i="5"/>
  <c r="T398" i="5"/>
  <c r="G399" i="5"/>
  <c r="AB399" i="5"/>
  <c r="Q398" i="5"/>
  <c r="S398" i="5"/>
  <c r="F399" i="5" a="1"/>
  <c r="F399" i="5" s="1"/>
  <c r="A400" i="5"/>
  <c r="A401" i="5" s="1" a="1"/>
  <c r="X399" i="5"/>
  <c r="AA399" i="5"/>
  <c r="Y399" i="5"/>
  <c r="AC399" i="5" s="1"/>
  <c r="W399" i="5"/>
  <c r="Z399" i="5"/>
  <c r="D399" i="5" a="1"/>
  <c r="O399" i="5" a="1"/>
  <c r="K399" i="5" a="1"/>
  <c r="I399" i="5" a="1"/>
  <c r="C399" i="5" a="1"/>
  <c r="J399" i="5" a="1"/>
  <c r="L399" i="5" a="1"/>
  <c r="M399" i="5" a="1"/>
  <c r="P399" i="5" a="1"/>
  <c r="N399" i="5" a="1"/>
  <c r="H399" i="5" a="1"/>
  <c r="V398" i="5" l="1" a="1"/>
  <c r="V398" i="5" s="1"/>
  <c r="U398" i="5" a="1"/>
  <c r="U398" i="5" s="1"/>
  <c r="K399" i="5"/>
  <c r="P399" i="5"/>
  <c r="H399" i="5"/>
  <c r="N399" i="5"/>
  <c r="L399" i="5"/>
  <c r="C399" i="5"/>
  <c r="D399" i="5"/>
  <c r="I399" i="5"/>
  <c r="J399" i="5"/>
  <c r="M399" i="5"/>
  <c r="O399" i="5"/>
  <c r="B400" i="5"/>
  <c r="F400" i="5" s="1" a="1"/>
  <c r="F400" i="5" s="1"/>
  <c r="E400" i="5" a="1"/>
  <c r="E400" i="5" s="1"/>
  <c r="A401" i="5"/>
  <c r="A402" i="5" a="1"/>
  <c r="T399" i="5" l="1"/>
  <c r="X400" i="5"/>
  <c r="Q399" i="5"/>
  <c r="S399" i="5"/>
  <c r="Y400" i="5"/>
  <c r="AC400" i="5" s="1"/>
  <c r="AB400" i="5"/>
  <c r="Z400" i="5"/>
  <c r="AA400" i="5"/>
  <c r="R399" i="5"/>
  <c r="W400" i="5"/>
  <c r="B401" i="5"/>
  <c r="N401" i="5" s="1" a="1"/>
  <c r="E401" i="5" a="1"/>
  <c r="E401" i="5" s="1"/>
  <c r="A402" i="5"/>
  <c r="K400" i="5" a="1"/>
  <c r="M400" i="5" a="1"/>
  <c r="H400" i="5" a="1"/>
  <c r="O400" i="5" a="1"/>
  <c r="J400" i="5" a="1"/>
  <c r="D400" i="5" a="1"/>
  <c r="I400" i="5" a="1"/>
  <c r="C400" i="5" a="1"/>
  <c r="L400" i="5" a="1"/>
  <c r="P400" i="5" a="1"/>
  <c r="G400" i="5" a="1"/>
  <c r="N400" i="5" a="1"/>
  <c r="V399" i="5" l="1" a="1"/>
  <c r="V399" i="5" s="1"/>
  <c r="N401" i="5"/>
  <c r="G400" i="5"/>
  <c r="O400" i="5"/>
  <c r="K400" i="5"/>
  <c r="D400" i="5"/>
  <c r="H400" i="5"/>
  <c r="P400" i="5"/>
  <c r="N400" i="5"/>
  <c r="J400" i="5"/>
  <c r="I400" i="5"/>
  <c r="M400" i="5"/>
  <c r="C400" i="5"/>
  <c r="L400" i="5"/>
  <c r="AA401" i="5"/>
  <c r="U399" i="5" a="1"/>
  <c r="U399" i="5" s="1"/>
  <c r="X401" i="5"/>
  <c r="Y401" i="5"/>
  <c r="AC401" i="5" s="1"/>
  <c r="AB401" i="5"/>
  <c r="W401" i="5"/>
  <c r="F401" i="5" a="1"/>
  <c r="F401" i="5" s="1"/>
  <c r="Z401" i="5"/>
  <c r="E402" i="5" a="1"/>
  <c r="E402" i="5" s="1"/>
  <c r="B402" i="5"/>
  <c r="M402" i="5" s="1" a="1"/>
  <c r="K401" i="5" a="1"/>
  <c r="M401" i="5" a="1"/>
  <c r="I401" i="5" a="1"/>
  <c r="P401" i="5" a="1"/>
  <c r="D401" i="5" a="1"/>
  <c r="G401" i="5" a="1"/>
  <c r="J401" i="5" a="1"/>
  <c r="C401" i="5" a="1"/>
  <c r="L401" i="5" a="1"/>
  <c r="O401" i="5" a="1"/>
  <c r="H401" i="5" a="1"/>
  <c r="A403" i="5" a="1"/>
  <c r="D401" i="5" l="1"/>
  <c r="F402" i="5" a="1"/>
  <c r="F402" i="5" s="1"/>
  <c r="R400" i="5"/>
  <c r="M402" i="5"/>
  <c r="C401" i="5"/>
  <c r="O401" i="5"/>
  <c r="I401" i="5"/>
  <c r="L401" i="5"/>
  <c r="G401" i="5"/>
  <c r="H401" i="5"/>
  <c r="P401" i="5"/>
  <c r="K401" i="5"/>
  <c r="M401" i="5"/>
  <c r="J401" i="5"/>
  <c r="Y402" i="5"/>
  <c r="AC402" i="5" s="1"/>
  <c r="T400" i="5"/>
  <c r="S400" i="5"/>
  <c r="Q400" i="5"/>
  <c r="A403" i="5"/>
  <c r="A404" i="5" s="1" a="1"/>
  <c r="W402" i="5"/>
  <c r="X402" i="5"/>
  <c r="AB402" i="5"/>
  <c r="AA402" i="5"/>
  <c r="Z402" i="5"/>
  <c r="O402" i="5" a="1"/>
  <c r="K402" i="5" a="1"/>
  <c r="C402" i="5" a="1"/>
  <c r="N402" i="5" a="1"/>
  <c r="P402" i="5" a="1"/>
  <c r="G402" i="5" a="1"/>
  <c r="D402" i="5" a="1"/>
  <c r="H402" i="5" a="1"/>
  <c r="I402" i="5" a="1"/>
  <c r="L402" i="5" a="1"/>
  <c r="J402" i="5" a="1"/>
  <c r="K402" i="5" l="1"/>
  <c r="G402" i="5"/>
  <c r="D402" i="5"/>
  <c r="H402" i="5"/>
  <c r="P402" i="5"/>
  <c r="T402" i="5" s="1"/>
  <c r="U400" i="5" a="1"/>
  <c r="U400" i="5" s="1"/>
  <c r="V400" i="5" a="1"/>
  <c r="V400" i="5" s="1"/>
  <c r="T401" i="5"/>
  <c r="C402" i="5"/>
  <c r="N402" i="5"/>
  <c r="O402" i="5"/>
  <c r="I402" i="5"/>
  <c r="L402" i="5"/>
  <c r="J402" i="5"/>
  <c r="B403" i="5"/>
  <c r="O403" i="5" s="1" a="1"/>
  <c r="E403" i="5" a="1"/>
  <c r="E403" i="5" s="1"/>
  <c r="Z403" i="5" s="1"/>
  <c r="S401" i="5"/>
  <c r="Q401" i="5"/>
  <c r="R401" i="5"/>
  <c r="A404" i="5"/>
  <c r="R402" i="5" l="1"/>
  <c r="V401" i="5" a="1"/>
  <c r="V401" i="5" s="1"/>
  <c r="W403" i="5"/>
  <c r="O403" i="5"/>
  <c r="Y403" i="5"/>
  <c r="AC403" i="5" s="1"/>
  <c r="B404" i="5"/>
  <c r="F404" i="5" s="1" a="1"/>
  <c r="E404" i="5" a="1"/>
  <c r="E404" i="5" s="1"/>
  <c r="AA403" i="5"/>
  <c r="X403" i="5"/>
  <c r="Q402" i="5"/>
  <c r="S402" i="5"/>
  <c r="V402" i="5" s="1" a="1"/>
  <c r="V402" i="5" s="1"/>
  <c r="AB403" i="5"/>
  <c r="U401" i="5" a="1"/>
  <c r="U401" i="5" s="1"/>
  <c r="F403" i="5" a="1"/>
  <c r="F403" i="5" s="1"/>
  <c r="N403" i="5" a="1"/>
  <c r="J403" i="5" a="1"/>
  <c r="P403" i="5" a="1"/>
  <c r="C403" i="5" a="1"/>
  <c r="M403" i="5" a="1"/>
  <c r="I403" i="5" a="1"/>
  <c r="L403" i="5" a="1"/>
  <c r="D403" i="5" a="1"/>
  <c r="A405" i="5" a="1"/>
  <c r="G403" i="5" a="1"/>
  <c r="H403" i="5" a="1"/>
  <c r="K403" i="5" a="1"/>
  <c r="U402" i="5" l="1" a="1"/>
  <c r="U402" i="5" s="1"/>
  <c r="K403" i="5"/>
  <c r="J403" i="5"/>
  <c r="N403" i="5"/>
  <c r="P403" i="5"/>
  <c r="F404" i="5"/>
  <c r="C403" i="5"/>
  <c r="D403" i="5"/>
  <c r="M403" i="5"/>
  <c r="L403" i="5"/>
  <c r="I403" i="5"/>
  <c r="G403" i="5"/>
  <c r="H403" i="5"/>
  <c r="Y404" i="5"/>
  <c r="AC404" i="5" s="1"/>
  <c r="AA404" i="5"/>
  <c r="W404" i="5"/>
  <c r="Z404" i="5"/>
  <c r="A405" i="5"/>
  <c r="X404" i="5"/>
  <c r="AB404" i="5"/>
  <c r="H404" i="5" a="1"/>
  <c r="I404" i="5" a="1"/>
  <c r="K404" i="5" a="1"/>
  <c r="A406" i="5" a="1"/>
  <c r="N404" i="5" a="1"/>
  <c r="C404" i="5" a="1"/>
  <c r="P404" i="5" a="1"/>
  <c r="O404" i="5" a="1"/>
  <c r="G404" i="5" a="1"/>
  <c r="D404" i="5" a="1"/>
  <c r="M404" i="5" a="1"/>
  <c r="J404" i="5" a="1"/>
  <c r="L404" i="5" a="1"/>
  <c r="C404" i="5" l="1"/>
  <c r="N404" i="5"/>
  <c r="G404" i="5"/>
  <c r="P404" i="5"/>
  <c r="K404" i="5"/>
  <c r="L404" i="5"/>
  <c r="I404" i="5"/>
  <c r="M404" i="5"/>
  <c r="D404" i="5"/>
  <c r="J404" i="5"/>
  <c r="H404" i="5"/>
  <c r="O404" i="5"/>
  <c r="S403" i="5"/>
  <c r="T403" i="5"/>
  <c r="E405" i="5" a="1"/>
  <c r="E405" i="5" s="1"/>
  <c r="AB405" i="5" s="1"/>
  <c r="B405" i="5"/>
  <c r="F405" i="5" s="1" a="1"/>
  <c r="F405" i="5" s="1"/>
  <c r="R403" i="5"/>
  <c r="Q403" i="5"/>
  <c r="A406" i="5"/>
  <c r="A407" i="5" a="1"/>
  <c r="T404" i="5" l="1"/>
  <c r="R404" i="5"/>
  <c r="Z405" i="5"/>
  <c r="U403" i="5" a="1"/>
  <c r="U403" i="5" s="1"/>
  <c r="W405" i="5"/>
  <c r="Y405" i="5"/>
  <c r="AC405" i="5" s="1"/>
  <c r="AA405" i="5"/>
  <c r="X405" i="5"/>
  <c r="S404" i="5"/>
  <c r="Q404" i="5"/>
  <c r="V403" i="5" a="1"/>
  <c r="V403" i="5" s="1"/>
  <c r="B406" i="5"/>
  <c r="N406" i="5" s="1" a="1"/>
  <c r="E406" i="5" a="1"/>
  <c r="E406" i="5" s="1"/>
  <c r="A407" i="5"/>
  <c r="A408" i="5" s="1" a="1"/>
  <c r="I405" i="5" a="1"/>
  <c r="G405" i="5" a="1"/>
  <c r="O405" i="5" a="1"/>
  <c r="D405" i="5" a="1"/>
  <c r="L405" i="5" a="1"/>
  <c r="P405" i="5" a="1"/>
  <c r="K405" i="5" a="1"/>
  <c r="N405" i="5" a="1"/>
  <c r="H405" i="5" a="1"/>
  <c r="J405" i="5" a="1"/>
  <c r="M405" i="5" a="1"/>
  <c r="C405" i="5" a="1"/>
  <c r="U404" i="5" l="1" a="1"/>
  <c r="U404" i="5" s="1"/>
  <c r="V404" i="5" a="1"/>
  <c r="V404" i="5" s="1"/>
  <c r="M405" i="5"/>
  <c r="O405" i="5"/>
  <c r="I405" i="5"/>
  <c r="G405" i="5"/>
  <c r="D405" i="5"/>
  <c r="K405" i="5"/>
  <c r="N405" i="5"/>
  <c r="N406" i="5"/>
  <c r="P405" i="5"/>
  <c r="C405" i="5"/>
  <c r="H405" i="5"/>
  <c r="J405" i="5"/>
  <c r="L405" i="5"/>
  <c r="Y406" i="5"/>
  <c r="AC406" i="5" s="1"/>
  <c r="AB406" i="5"/>
  <c r="F406" i="5" a="1"/>
  <c r="F406" i="5" s="1"/>
  <c r="Z406" i="5"/>
  <c r="X406" i="5"/>
  <c r="W406" i="5"/>
  <c r="AA406" i="5"/>
  <c r="E407" i="5" a="1"/>
  <c r="E407" i="5" s="1"/>
  <c r="B407" i="5"/>
  <c r="G407" i="5" s="1" a="1"/>
  <c r="A408" i="5"/>
  <c r="C406" i="5" a="1"/>
  <c r="L406" i="5" a="1"/>
  <c r="D406" i="5" a="1"/>
  <c r="M406" i="5" a="1"/>
  <c r="K406" i="5" a="1"/>
  <c r="J406" i="5" a="1"/>
  <c r="O406" i="5" a="1"/>
  <c r="G406" i="5" a="1"/>
  <c r="H406" i="5" a="1"/>
  <c r="P406" i="5" a="1"/>
  <c r="I406" i="5" a="1"/>
  <c r="D406" i="5" l="1"/>
  <c r="I406" i="5"/>
  <c r="L406" i="5"/>
  <c r="G406" i="5"/>
  <c r="P406" i="5"/>
  <c r="H406" i="5"/>
  <c r="S405" i="5"/>
  <c r="C406" i="5"/>
  <c r="Q405" i="5"/>
  <c r="T405" i="5"/>
  <c r="R405" i="5"/>
  <c r="G407" i="5"/>
  <c r="M406" i="5"/>
  <c r="J406" i="5"/>
  <c r="O406" i="5"/>
  <c r="K406" i="5"/>
  <c r="X407" i="5"/>
  <c r="F407" i="5" a="1"/>
  <c r="F407" i="5" s="1"/>
  <c r="Y407" i="5"/>
  <c r="AC407" i="5" s="1"/>
  <c r="AA407" i="5"/>
  <c r="W407" i="5"/>
  <c r="AB407" i="5"/>
  <c r="Z407" i="5"/>
  <c r="B408" i="5"/>
  <c r="E408" i="5" a="1"/>
  <c r="E408" i="5" s="1"/>
  <c r="A409" i="5" a="1"/>
  <c r="C407" i="5" a="1"/>
  <c r="O407" i="5" a="1"/>
  <c r="J407" i="5" a="1"/>
  <c r="L407" i="5" a="1"/>
  <c r="N407" i="5" a="1"/>
  <c r="K407" i="5" a="1"/>
  <c r="M407" i="5" a="1"/>
  <c r="H407" i="5" a="1"/>
  <c r="I407" i="5" a="1"/>
  <c r="D407" i="5" a="1"/>
  <c r="P407" i="5" a="1"/>
  <c r="C408" i="5" a="1"/>
  <c r="T406" i="5" l="1"/>
  <c r="V405" i="5" a="1"/>
  <c r="V405" i="5" s="1"/>
  <c r="U405" i="5" a="1"/>
  <c r="U405" i="5" s="1"/>
  <c r="R406" i="5"/>
  <c r="F408" i="5" a="1"/>
  <c r="F408" i="5" s="1"/>
  <c r="C408" i="5"/>
  <c r="O407" i="5"/>
  <c r="C407" i="5"/>
  <c r="H407" i="5"/>
  <c r="N407" i="5"/>
  <c r="J407" i="5"/>
  <c r="I407" i="5"/>
  <c r="L407" i="5"/>
  <c r="D407" i="5"/>
  <c r="M407" i="5"/>
  <c r="K407" i="5"/>
  <c r="P407" i="5"/>
  <c r="Y408" i="5"/>
  <c r="AC408" i="5" s="1"/>
  <c r="S406" i="5"/>
  <c r="Q406" i="5"/>
  <c r="A409" i="5"/>
  <c r="A410" i="5" s="1" a="1"/>
  <c r="W408" i="5"/>
  <c r="X408" i="5"/>
  <c r="AB408" i="5"/>
  <c r="AA408" i="5"/>
  <c r="Z408" i="5"/>
  <c r="J408" i="5" a="1"/>
  <c r="L408" i="5" a="1"/>
  <c r="N408" i="5" a="1"/>
  <c r="G408" i="5" a="1"/>
  <c r="O408" i="5" a="1"/>
  <c r="I408" i="5" a="1"/>
  <c r="D408" i="5" a="1"/>
  <c r="M408" i="5" a="1"/>
  <c r="K408" i="5" a="1"/>
  <c r="P408" i="5" a="1"/>
  <c r="H408" i="5" a="1"/>
  <c r="V406" i="5" l="1" a="1"/>
  <c r="V406" i="5" s="1"/>
  <c r="U406" i="5" a="1"/>
  <c r="U406" i="5" s="1"/>
  <c r="K408" i="5"/>
  <c r="I408" i="5"/>
  <c r="O408" i="5"/>
  <c r="G408" i="5"/>
  <c r="N408" i="5"/>
  <c r="J408" i="5"/>
  <c r="M408" i="5"/>
  <c r="D408" i="5"/>
  <c r="P408" i="5"/>
  <c r="H408" i="5"/>
  <c r="L408" i="5"/>
  <c r="R407" i="5"/>
  <c r="T407" i="5"/>
  <c r="Q407" i="5"/>
  <c r="S407" i="5"/>
  <c r="B409" i="5"/>
  <c r="N409" i="5" s="1" a="1"/>
  <c r="E409" i="5" a="1"/>
  <c r="E409" i="5" s="1"/>
  <c r="X409" i="5" s="1"/>
  <c r="A410" i="5"/>
  <c r="Q408" i="5" l="1"/>
  <c r="S408" i="5"/>
  <c r="U407" i="5" a="1"/>
  <c r="U407" i="5" s="1"/>
  <c r="T408" i="5"/>
  <c r="R408" i="5"/>
  <c r="V407" i="5" a="1"/>
  <c r="V407" i="5" s="1"/>
  <c r="AA409" i="5"/>
  <c r="N409" i="5"/>
  <c r="Z409" i="5"/>
  <c r="F409" i="5" a="1"/>
  <c r="F409" i="5" s="1"/>
  <c r="AB409" i="5"/>
  <c r="W409" i="5"/>
  <c r="E410" i="5" a="1"/>
  <c r="E410" i="5" s="1"/>
  <c r="B410" i="5"/>
  <c r="H410" i="5" s="1" a="1"/>
  <c r="Y409" i="5"/>
  <c r="AC409" i="5" s="1"/>
  <c r="D409" i="5" a="1"/>
  <c r="C409" i="5" a="1"/>
  <c r="M409" i="5" a="1"/>
  <c r="J409" i="5" a="1"/>
  <c r="L409" i="5" a="1"/>
  <c r="G409" i="5" a="1"/>
  <c r="O409" i="5" a="1"/>
  <c r="K409" i="5" a="1"/>
  <c r="A411" i="5" a="1"/>
  <c r="H409" i="5" a="1"/>
  <c r="I409" i="5" a="1"/>
  <c r="P409" i="5" a="1"/>
  <c r="U408" i="5" l="1" a="1"/>
  <c r="U408" i="5" s="1"/>
  <c r="V408" i="5" a="1"/>
  <c r="V408" i="5" s="1"/>
  <c r="M409" i="5"/>
  <c r="L409" i="5"/>
  <c r="J409" i="5"/>
  <c r="C409" i="5"/>
  <c r="G409" i="5"/>
  <c r="P409" i="5"/>
  <c r="H410" i="5"/>
  <c r="O409" i="5"/>
  <c r="H409" i="5"/>
  <c r="D409" i="5"/>
  <c r="I409" i="5"/>
  <c r="K409" i="5"/>
  <c r="Y410" i="5"/>
  <c r="AC410" i="5" s="1"/>
  <c r="A411" i="5"/>
  <c r="A412" i="5" s="1" a="1"/>
  <c r="W410" i="5"/>
  <c r="X410" i="5"/>
  <c r="AB410" i="5"/>
  <c r="Z410" i="5"/>
  <c r="AA410" i="5"/>
  <c r="I410" i="5" a="1"/>
  <c r="P410" i="5" a="1"/>
  <c r="J410" i="5" a="1"/>
  <c r="O410" i="5" a="1"/>
  <c r="K410" i="5" a="1"/>
  <c r="C410" i="5" a="1"/>
  <c r="N410" i="5" a="1"/>
  <c r="L410" i="5" a="1"/>
  <c r="M410" i="5" a="1"/>
  <c r="G410" i="5" a="1"/>
  <c r="F410" i="5" a="1"/>
  <c r="D410" i="5" a="1"/>
  <c r="L410" i="5" l="1"/>
  <c r="N410" i="5"/>
  <c r="G410" i="5"/>
  <c r="K410" i="5"/>
  <c r="O410" i="5"/>
  <c r="F410" i="5"/>
  <c r="T409" i="5"/>
  <c r="R409" i="5"/>
  <c r="D410" i="5"/>
  <c r="P410" i="5"/>
  <c r="M410" i="5"/>
  <c r="C410" i="5"/>
  <c r="I410" i="5"/>
  <c r="J410" i="5"/>
  <c r="Q409" i="5"/>
  <c r="S409" i="5"/>
  <c r="B411" i="5"/>
  <c r="E411" i="5" a="1"/>
  <c r="E411" i="5" s="1"/>
  <c r="Z411" i="5" s="1"/>
  <c r="A412" i="5"/>
  <c r="T410" i="5" l="1"/>
  <c r="Q410" i="5"/>
  <c r="R410" i="5"/>
  <c r="S410" i="5"/>
  <c r="U409" i="5" a="1"/>
  <c r="U409" i="5" s="1"/>
  <c r="V409" i="5" a="1"/>
  <c r="V409" i="5" s="1"/>
  <c r="W411" i="5"/>
  <c r="AB411" i="5"/>
  <c r="Y411" i="5"/>
  <c r="AC411" i="5" s="1"/>
  <c r="AA411" i="5"/>
  <c r="F411" i="5" a="1"/>
  <c r="F411" i="5" s="1"/>
  <c r="B412" i="5"/>
  <c r="K412" i="5" s="1" a="1"/>
  <c r="E412" i="5" a="1"/>
  <c r="E412" i="5" s="1"/>
  <c r="X411" i="5"/>
  <c r="D411" i="5" a="1"/>
  <c r="P411" i="5" a="1"/>
  <c r="M411" i="5" a="1"/>
  <c r="J411" i="5" a="1"/>
  <c r="O411" i="5" a="1"/>
  <c r="L411" i="5" a="1"/>
  <c r="N411" i="5" a="1"/>
  <c r="G411" i="5" a="1"/>
  <c r="I411" i="5" a="1"/>
  <c r="H411" i="5" a="1"/>
  <c r="K411" i="5" a="1"/>
  <c r="A413" i="5" a="1"/>
  <c r="C411" i="5" a="1"/>
  <c r="V410" i="5" l="1" a="1"/>
  <c r="V410" i="5" s="1"/>
  <c r="U410" i="5" a="1"/>
  <c r="U410" i="5" s="1"/>
  <c r="F412" i="5" a="1"/>
  <c r="F412" i="5" s="1"/>
  <c r="C411" i="5"/>
  <c r="L411" i="5"/>
  <c r="D411" i="5"/>
  <c r="K412" i="5"/>
  <c r="P411" i="5"/>
  <c r="M411" i="5"/>
  <c r="O411" i="5"/>
  <c r="K411" i="5"/>
  <c r="J411" i="5"/>
  <c r="G411" i="5"/>
  <c r="I411" i="5"/>
  <c r="N411" i="5"/>
  <c r="H411" i="5"/>
  <c r="Y412" i="5"/>
  <c r="AC412" i="5" s="1"/>
  <c r="AA412" i="5"/>
  <c r="A413" i="5"/>
  <c r="A414" i="5" s="1" a="1"/>
  <c r="W412" i="5"/>
  <c r="X412" i="5"/>
  <c r="AB412" i="5"/>
  <c r="Z412" i="5"/>
  <c r="D412" i="5" a="1"/>
  <c r="P412" i="5" a="1"/>
  <c r="G412" i="5" a="1"/>
  <c r="I412" i="5" a="1"/>
  <c r="L412" i="5" a="1"/>
  <c r="O412" i="5" a="1"/>
  <c r="N412" i="5" a="1"/>
  <c r="C412" i="5" a="1"/>
  <c r="M412" i="5" a="1"/>
  <c r="H412" i="5" a="1"/>
  <c r="J412" i="5" a="1"/>
  <c r="G412" i="5" l="1"/>
  <c r="O412" i="5"/>
  <c r="R411" i="5"/>
  <c r="M412" i="5"/>
  <c r="J412" i="5"/>
  <c r="P412" i="5"/>
  <c r="C412" i="5"/>
  <c r="D412" i="5"/>
  <c r="I412" i="5"/>
  <c r="N412" i="5"/>
  <c r="H412" i="5"/>
  <c r="L412" i="5"/>
  <c r="T411" i="5"/>
  <c r="E413" i="5" a="1"/>
  <c r="E413" i="5" s="1"/>
  <c r="AB413" i="5" s="1"/>
  <c r="B413" i="5"/>
  <c r="F413" i="5" s="1" a="1"/>
  <c r="F413" i="5" s="1"/>
  <c r="S411" i="5"/>
  <c r="Q411" i="5"/>
  <c r="A414" i="5"/>
  <c r="Q412" i="5" l="1"/>
  <c r="U411" i="5" a="1"/>
  <c r="U411" i="5" s="1"/>
  <c r="T412" i="5"/>
  <c r="S412" i="5"/>
  <c r="V411" i="5" a="1"/>
  <c r="V411" i="5" s="1"/>
  <c r="Y413" i="5"/>
  <c r="AC413" i="5" s="1"/>
  <c r="AA413" i="5"/>
  <c r="Z413" i="5"/>
  <c r="X413" i="5"/>
  <c r="W413" i="5"/>
  <c r="B414" i="5"/>
  <c r="L414" i="5" s="1" a="1"/>
  <c r="E414" i="5" a="1"/>
  <c r="E414" i="5" s="1"/>
  <c r="R412" i="5"/>
  <c r="A415" i="5" a="1"/>
  <c r="I413" i="5" a="1"/>
  <c r="P413" i="5" a="1"/>
  <c r="M413" i="5" a="1"/>
  <c r="G413" i="5" a="1"/>
  <c r="D413" i="5" a="1"/>
  <c r="J413" i="5" a="1"/>
  <c r="K413" i="5" a="1"/>
  <c r="L413" i="5" a="1"/>
  <c r="O413" i="5" a="1"/>
  <c r="N413" i="5" a="1"/>
  <c r="C413" i="5" a="1"/>
  <c r="H413" i="5" a="1"/>
  <c r="V412" i="5" l="1" a="1"/>
  <c r="V412" i="5" s="1"/>
  <c r="U412" i="5" a="1"/>
  <c r="U412" i="5" s="1"/>
  <c r="C413" i="5"/>
  <c r="P413" i="5"/>
  <c r="D413" i="5"/>
  <c r="L413" i="5"/>
  <c r="I413" i="5"/>
  <c r="J413" i="5"/>
  <c r="O413" i="5"/>
  <c r="L414" i="5"/>
  <c r="H413" i="5"/>
  <c r="N413" i="5"/>
  <c r="K413" i="5"/>
  <c r="M413" i="5"/>
  <c r="G413" i="5"/>
  <c r="W414" i="5"/>
  <c r="F414" i="5" a="1"/>
  <c r="F414" i="5" s="1"/>
  <c r="A415" i="5"/>
  <c r="X414" i="5"/>
  <c r="Z414" i="5"/>
  <c r="Y414" i="5"/>
  <c r="AC414" i="5" s="1"/>
  <c r="AB414" i="5"/>
  <c r="AA414" i="5"/>
  <c r="C414" i="5" a="1"/>
  <c r="O414" i="5" a="1"/>
  <c r="H414" i="5" a="1"/>
  <c r="N414" i="5" a="1"/>
  <c r="D414" i="5" a="1"/>
  <c r="J414" i="5" a="1"/>
  <c r="P414" i="5" a="1"/>
  <c r="G414" i="5" a="1"/>
  <c r="I414" i="5" a="1"/>
  <c r="M414" i="5" a="1"/>
  <c r="K414" i="5" a="1"/>
  <c r="N414" i="5" l="1"/>
  <c r="T413" i="5"/>
  <c r="O414" i="5"/>
  <c r="Q414" i="5" s="1"/>
  <c r="R413" i="5"/>
  <c r="G414" i="5"/>
  <c r="M414" i="5"/>
  <c r="K414" i="5"/>
  <c r="D414" i="5"/>
  <c r="J414" i="5"/>
  <c r="H414" i="5"/>
  <c r="P414" i="5"/>
  <c r="R414" i="5" s="1"/>
  <c r="I414" i="5"/>
  <c r="C414" i="5"/>
  <c r="E415" i="5" a="1"/>
  <c r="E415" i="5" s="1"/>
  <c r="AB415" i="5" s="1"/>
  <c r="B415" i="5"/>
  <c r="H415" i="5" s="1" a="1"/>
  <c r="Q413" i="5"/>
  <c r="S413" i="5"/>
  <c r="A416" i="5" a="1"/>
  <c r="V413" i="5" l="1" a="1"/>
  <c r="V413" i="5" s="1"/>
  <c r="U413" i="5" a="1"/>
  <c r="U413" i="5" s="1"/>
  <c r="U414" i="5" a="1"/>
  <c r="U414" i="5" s="1"/>
  <c r="H415" i="5"/>
  <c r="F415" i="5" a="1"/>
  <c r="F415" i="5" s="1"/>
  <c r="S414" i="5"/>
  <c r="T414" i="5"/>
  <c r="Z415" i="5"/>
  <c r="A416" i="5"/>
  <c r="W415" i="5"/>
  <c r="X415" i="5"/>
  <c r="AA415" i="5"/>
  <c r="Y415" i="5"/>
  <c r="AC415" i="5" s="1"/>
  <c r="P415" i="5" a="1"/>
  <c r="M415" i="5" a="1"/>
  <c r="C415" i="5" a="1"/>
  <c r="J415" i="5" a="1"/>
  <c r="L415" i="5" a="1"/>
  <c r="O415" i="5" a="1"/>
  <c r="I415" i="5" a="1"/>
  <c r="G415" i="5" a="1"/>
  <c r="N415" i="5" a="1"/>
  <c r="D415" i="5" a="1"/>
  <c r="K415" i="5" a="1"/>
  <c r="V414" i="5" l="1" a="1"/>
  <c r="V414" i="5" s="1"/>
  <c r="O415" i="5"/>
  <c r="D415" i="5"/>
  <c r="N415" i="5"/>
  <c r="J415" i="5"/>
  <c r="P415" i="5"/>
  <c r="K415" i="5"/>
  <c r="M415" i="5"/>
  <c r="C415" i="5"/>
  <c r="G415" i="5"/>
  <c r="I415" i="5"/>
  <c r="L415" i="5"/>
  <c r="B416" i="5"/>
  <c r="F416" i="5" s="1" a="1"/>
  <c r="F416" i="5" s="1"/>
  <c r="E416" i="5" a="1"/>
  <c r="E416" i="5" s="1"/>
  <c r="A417" i="5" a="1"/>
  <c r="T415" i="5" l="1"/>
  <c r="R415" i="5"/>
  <c r="W416" i="5"/>
  <c r="S415" i="5"/>
  <c r="Q415" i="5"/>
  <c r="Z416" i="5"/>
  <c r="AA416" i="5"/>
  <c r="AB416" i="5"/>
  <c r="A417" i="5"/>
  <c r="A418" i="5" s="1" a="1"/>
  <c r="X416" i="5"/>
  <c r="Y416" i="5"/>
  <c r="AC416" i="5" s="1"/>
  <c r="C416" i="5" a="1"/>
  <c r="G416" i="5" a="1"/>
  <c r="N416" i="5" a="1"/>
  <c r="J416" i="5" a="1"/>
  <c r="M416" i="5" a="1"/>
  <c r="O416" i="5" a="1"/>
  <c r="K416" i="5" a="1"/>
  <c r="P416" i="5" a="1"/>
  <c r="I416" i="5" a="1"/>
  <c r="L416" i="5" a="1"/>
  <c r="H416" i="5" a="1"/>
  <c r="D416" i="5" a="1"/>
  <c r="V415" i="5" l="1" a="1"/>
  <c r="V415" i="5" s="1"/>
  <c r="U415" i="5" a="1"/>
  <c r="U415" i="5" s="1"/>
  <c r="M416" i="5"/>
  <c r="I416" i="5"/>
  <c r="G416" i="5"/>
  <c r="D416" i="5"/>
  <c r="O416" i="5"/>
  <c r="H416" i="5"/>
  <c r="L416" i="5"/>
  <c r="N416" i="5"/>
  <c r="P416" i="5"/>
  <c r="J416" i="5"/>
  <c r="C416" i="5"/>
  <c r="K416" i="5"/>
  <c r="B417" i="5"/>
  <c r="E417" i="5" a="1"/>
  <c r="E417" i="5" s="1"/>
  <c r="Z417" i="5" s="1"/>
  <c r="A418" i="5"/>
  <c r="D417" i="5" a="1"/>
  <c r="D417" i="5" l="1"/>
  <c r="S416" i="5"/>
  <c r="Q416" i="5"/>
  <c r="Y417" i="5"/>
  <c r="AC417" i="5" s="1"/>
  <c r="AB417" i="5"/>
  <c r="F417" i="5" a="1"/>
  <c r="F417" i="5" s="1"/>
  <c r="W417" i="5"/>
  <c r="X417" i="5"/>
  <c r="AA417" i="5"/>
  <c r="E418" i="5" a="1"/>
  <c r="E418" i="5" s="1"/>
  <c r="Y418" i="5" s="1"/>
  <c r="B418" i="5"/>
  <c r="L418" i="5" s="1" a="1"/>
  <c r="R416" i="5"/>
  <c r="T416" i="5"/>
  <c r="K417" i="5" a="1"/>
  <c r="J417" i="5" a="1"/>
  <c r="C417" i="5" a="1"/>
  <c r="P417" i="5" a="1"/>
  <c r="O417" i="5" a="1"/>
  <c r="I417" i="5" a="1"/>
  <c r="M417" i="5" a="1"/>
  <c r="N417" i="5" a="1"/>
  <c r="L417" i="5" a="1"/>
  <c r="A419" i="5" a="1"/>
  <c r="H417" i="5" a="1"/>
  <c r="G417" i="5" a="1"/>
  <c r="F418" i="5" l="1" a="1"/>
  <c r="F418" i="5" s="1"/>
  <c r="G417" i="5"/>
  <c r="K417" i="5"/>
  <c r="P417" i="5"/>
  <c r="L417" i="5"/>
  <c r="L418" i="5"/>
  <c r="C417" i="5"/>
  <c r="N417" i="5"/>
  <c r="O417" i="5"/>
  <c r="M417" i="5"/>
  <c r="I417" i="5"/>
  <c r="H417" i="5"/>
  <c r="J417" i="5"/>
  <c r="V416" i="5" a="1"/>
  <c r="V416" i="5" s="1"/>
  <c r="U416" i="5" a="1"/>
  <c r="U416" i="5" s="1"/>
  <c r="A419" i="5"/>
  <c r="AA418" i="5"/>
  <c r="W418" i="5"/>
  <c r="AC418" i="5"/>
  <c r="X418" i="5"/>
  <c r="AB418" i="5"/>
  <c r="Z418" i="5"/>
  <c r="D418" i="5" a="1"/>
  <c r="G418" i="5" a="1"/>
  <c r="N418" i="5" a="1"/>
  <c r="H418" i="5" a="1"/>
  <c r="M418" i="5" a="1"/>
  <c r="A420" i="5" a="1"/>
  <c r="J418" i="5" a="1"/>
  <c r="P418" i="5" a="1"/>
  <c r="O418" i="5" a="1"/>
  <c r="K418" i="5" a="1"/>
  <c r="C418" i="5" a="1"/>
  <c r="I418" i="5" a="1"/>
  <c r="J418" i="5" l="1"/>
  <c r="T417" i="5"/>
  <c r="R417" i="5"/>
  <c r="P418" i="5"/>
  <c r="R418" i="5" s="1"/>
  <c r="H418" i="5"/>
  <c r="I418" i="5"/>
  <c r="O418" i="5"/>
  <c r="C418" i="5"/>
  <c r="K418" i="5"/>
  <c r="G418" i="5"/>
  <c r="D418" i="5"/>
  <c r="M418" i="5"/>
  <c r="N418" i="5"/>
  <c r="B419" i="5"/>
  <c r="E419" i="5" a="1"/>
  <c r="E419" i="5" s="1"/>
  <c r="X419" i="5" s="1"/>
  <c r="S417" i="5"/>
  <c r="Q417" i="5"/>
  <c r="A420" i="5"/>
  <c r="I419" i="5" a="1"/>
  <c r="U417" i="5" l="1" a="1"/>
  <c r="U417" i="5" s="1"/>
  <c r="T418" i="5"/>
  <c r="V417" i="5" a="1"/>
  <c r="V417" i="5" s="1"/>
  <c r="Y419" i="5"/>
  <c r="AC419" i="5" s="1"/>
  <c r="AA419" i="5"/>
  <c r="W419" i="5"/>
  <c r="AB419" i="5"/>
  <c r="I419" i="5"/>
  <c r="Z419" i="5"/>
  <c r="F419" i="5" a="1"/>
  <c r="F419" i="5" s="1"/>
  <c r="S418" i="5"/>
  <c r="Q418" i="5"/>
  <c r="U418" i="5" s="1" a="1"/>
  <c r="U418" i="5" s="1"/>
  <c r="B420" i="5"/>
  <c r="E420" i="5" a="1"/>
  <c r="E420" i="5" s="1"/>
  <c r="A421" i="5" a="1"/>
  <c r="C419" i="5" a="1"/>
  <c r="D419" i="5" a="1"/>
  <c r="M419" i="5" a="1"/>
  <c r="H419" i="5" a="1"/>
  <c r="L419" i="5" a="1"/>
  <c r="N419" i="5" a="1"/>
  <c r="G419" i="5" a="1"/>
  <c r="K419" i="5" a="1"/>
  <c r="J419" i="5" a="1"/>
  <c r="O419" i="5" a="1"/>
  <c r="P419" i="5" a="1"/>
  <c r="V418" i="5" l="1" a="1"/>
  <c r="V418" i="5" s="1"/>
  <c r="N419" i="5"/>
  <c r="M419" i="5"/>
  <c r="L419" i="5"/>
  <c r="D419" i="5"/>
  <c r="P419" i="5"/>
  <c r="C419" i="5"/>
  <c r="J419" i="5"/>
  <c r="K419" i="5"/>
  <c r="G419" i="5"/>
  <c r="H419" i="5"/>
  <c r="O419" i="5"/>
  <c r="F420" i="5" a="1"/>
  <c r="F420" i="5" s="1"/>
  <c r="Y420" i="5"/>
  <c r="AC420" i="5" s="1"/>
  <c r="AA420" i="5"/>
  <c r="A421" i="5"/>
  <c r="A422" i="5" s="1" a="1"/>
  <c r="W420" i="5"/>
  <c r="X420" i="5"/>
  <c r="Z420" i="5"/>
  <c r="AB420" i="5"/>
  <c r="H420" i="5" a="1"/>
  <c r="P420" i="5" a="1"/>
  <c r="D420" i="5" a="1"/>
  <c r="J420" i="5" a="1"/>
  <c r="N420" i="5" a="1"/>
  <c r="M420" i="5" a="1"/>
  <c r="O420" i="5" a="1"/>
  <c r="L420" i="5" a="1"/>
  <c r="G420" i="5" a="1"/>
  <c r="I420" i="5" a="1"/>
  <c r="C420" i="5" a="1"/>
  <c r="K420" i="5" a="1"/>
  <c r="R419" i="5" l="1"/>
  <c r="T419" i="5"/>
  <c r="I420" i="5"/>
  <c r="L420" i="5"/>
  <c r="J420" i="5"/>
  <c r="G420" i="5"/>
  <c r="M420" i="5"/>
  <c r="D420" i="5"/>
  <c r="O420" i="5"/>
  <c r="N420" i="5"/>
  <c r="K420" i="5"/>
  <c r="H420" i="5"/>
  <c r="C420" i="5"/>
  <c r="P420" i="5"/>
  <c r="S419" i="5"/>
  <c r="Q419" i="5"/>
  <c r="E421" i="5" a="1"/>
  <c r="E421" i="5" s="1"/>
  <c r="AA421" i="5" s="1"/>
  <c r="B421" i="5"/>
  <c r="J421" i="5" s="1" a="1"/>
  <c r="A422" i="5"/>
  <c r="U419" i="5" l="1" a="1"/>
  <c r="U419" i="5" s="1"/>
  <c r="V419" i="5" a="1"/>
  <c r="V419" i="5" s="1"/>
  <c r="T420" i="5"/>
  <c r="R420" i="5"/>
  <c r="Z421" i="5"/>
  <c r="J421" i="5"/>
  <c r="Q420" i="5"/>
  <c r="S420" i="5"/>
  <c r="W421" i="5"/>
  <c r="AB421" i="5"/>
  <c r="X421" i="5"/>
  <c r="B422" i="5"/>
  <c r="I422" i="5" s="1" a="1"/>
  <c r="E422" i="5" a="1"/>
  <c r="E422" i="5" s="1"/>
  <c r="Y421" i="5"/>
  <c r="AC421" i="5" s="1"/>
  <c r="F421" i="5" a="1"/>
  <c r="F421" i="5" s="1"/>
  <c r="K421" i="5" a="1"/>
  <c r="C421" i="5" a="1"/>
  <c r="I421" i="5" a="1"/>
  <c r="G421" i="5" a="1"/>
  <c r="L421" i="5" a="1"/>
  <c r="N421" i="5" a="1"/>
  <c r="A423" i="5" a="1"/>
  <c r="O421" i="5" a="1"/>
  <c r="H421" i="5" a="1"/>
  <c r="M421" i="5" a="1"/>
  <c r="D421" i="5" a="1"/>
  <c r="P421" i="5" a="1"/>
  <c r="V420" i="5" l="1" a="1"/>
  <c r="V420" i="5" s="1"/>
  <c r="U420" i="5" a="1"/>
  <c r="U420" i="5" s="1"/>
  <c r="G421" i="5"/>
  <c r="O421" i="5"/>
  <c r="N421" i="5"/>
  <c r="K421" i="5"/>
  <c r="H421" i="5"/>
  <c r="C421" i="5"/>
  <c r="D421" i="5"/>
  <c r="I422" i="5"/>
  <c r="P421" i="5"/>
  <c r="M421" i="5"/>
  <c r="I421" i="5"/>
  <c r="L421" i="5"/>
  <c r="Y422" i="5"/>
  <c r="AC422" i="5" s="1"/>
  <c r="F422" i="5" a="1"/>
  <c r="F422" i="5" s="1"/>
  <c r="AA422" i="5"/>
  <c r="A423" i="5"/>
  <c r="X422" i="5"/>
  <c r="Z422" i="5"/>
  <c r="W422" i="5"/>
  <c r="AB422" i="5"/>
  <c r="C422" i="5" a="1"/>
  <c r="K422" i="5" a="1"/>
  <c r="P422" i="5" a="1"/>
  <c r="G422" i="5" a="1"/>
  <c r="M422" i="5" a="1"/>
  <c r="D422" i="5" a="1"/>
  <c r="H422" i="5" a="1"/>
  <c r="L422" i="5" a="1"/>
  <c r="J422" i="5" a="1"/>
  <c r="A424" i="5" a="1"/>
  <c r="O422" i="5" a="1"/>
  <c r="N422" i="5" a="1"/>
  <c r="Q421" i="5" l="1"/>
  <c r="M422" i="5"/>
  <c r="J422" i="5"/>
  <c r="P422" i="5"/>
  <c r="C422" i="5"/>
  <c r="L422" i="5"/>
  <c r="H422" i="5"/>
  <c r="D422" i="5"/>
  <c r="K422" i="5"/>
  <c r="O422" i="5"/>
  <c r="N422" i="5"/>
  <c r="G422" i="5"/>
  <c r="T421" i="5"/>
  <c r="S421" i="5"/>
  <c r="R421" i="5"/>
  <c r="E423" i="5" a="1"/>
  <c r="E423" i="5" s="1"/>
  <c r="AB423" i="5" s="1"/>
  <c r="B423" i="5"/>
  <c r="J423" i="5" s="1" a="1"/>
  <c r="A424" i="5"/>
  <c r="V421" i="5" l="1" a="1"/>
  <c r="V421" i="5" s="1"/>
  <c r="U421" i="5" a="1"/>
  <c r="U421" i="5" s="1"/>
  <c r="Z423" i="5"/>
  <c r="J423" i="5"/>
  <c r="W423" i="5"/>
  <c r="B424" i="5"/>
  <c r="D424" i="5" s="1" a="1"/>
  <c r="E424" i="5" a="1"/>
  <c r="E424" i="5" s="1"/>
  <c r="Y424" i="5" s="1"/>
  <c r="R422" i="5"/>
  <c r="Y423" i="5"/>
  <c r="AC423" i="5" s="1"/>
  <c r="AA423" i="5"/>
  <c r="X423" i="5"/>
  <c r="F423" i="5" a="1"/>
  <c r="F423" i="5" s="1"/>
  <c r="S422" i="5"/>
  <c r="Q422" i="5"/>
  <c r="T422" i="5"/>
  <c r="G423" i="5" a="1"/>
  <c r="I423" i="5" a="1"/>
  <c r="H423" i="5" a="1"/>
  <c r="N423" i="5" a="1"/>
  <c r="P423" i="5" a="1"/>
  <c r="K423" i="5" a="1"/>
  <c r="D423" i="5" a="1"/>
  <c r="O423" i="5" a="1"/>
  <c r="A425" i="5" a="1"/>
  <c r="M423" i="5" a="1"/>
  <c r="L423" i="5" a="1"/>
  <c r="C423" i="5" a="1"/>
  <c r="D423" i="5" l="1"/>
  <c r="M423" i="5"/>
  <c r="I423" i="5"/>
  <c r="C423" i="5"/>
  <c r="L423" i="5"/>
  <c r="N423" i="5"/>
  <c r="O423" i="5"/>
  <c r="H423" i="5"/>
  <c r="D424" i="5"/>
  <c r="K423" i="5"/>
  <c r="G423" i="5"/>
  <c r="P423" i="5"/>
  <c r="F424" i="5" a="1"/>
  <c r="F424" i="5" s="1"/>
  <c r="V422" i="5" a="1"/>
  <c r="V422" i="5" s="1"/>
  <c r="U422" i="5" a="1"/>
  <c r="U422" i="5" s="1"/>
  <c r="AA424" i="5"/>
  <c r="A425" i="5"/>
  <c r="A426" i="5" s="1" a="1"/>
  <c r="W424" i="5"/>
  <c r="AC424" i="5"/>
  <c r="X424" i="5"/>
  <c r="Z424" i="5"/>
  <c r="AB424" i="5"/>
  <c r="N424" i="5" a="1"/>
  <c r="O424" i="5" a="1"/>
  <c r="L424" i="5" a="1"/>
  <c r="H424" i="5" a="1"/>
  <c r="I424" i="5" a="1"/>
  <c r="J424" i="5" a="1"/>
  <c r="G424" i="5" a="1"/>
  <c r="K424" i="5" a="1"/>
  <c r="M424" i="5" a="1"/>
  <c r="P424" i="5" a="1"/>
  <c r="C424" i="5" a="1"/>
  <c r="O424" i="5" l="1"/>
  <c r="G424" i="5"/>
  <c r="K424" i="5"/>
  <c r="I424" i="5"/>
  <c r="C424" i="5"/>
  <c r="P424" i="5"/>
  <c r="N424" i="5"/>
  <c r="H424" i="5"/>
  <c r="M424" i="5"/>
  <c r="L424" i="5"/>
  <c r="J424" i="5"/>
  <c r="T423" i="5"/>
  <c r="R423" i="5"/>
  <c r="Q423" i="5"/>
  <c r="S423" i="5"/>
  <c r="B425" i="5"/>
  <c r="E425" i="5" a="1"/>
  <c r="E425" i="5" s="1"/>
  <c r="A426" i="5"/>
  <c r="A427" i="5" a="1"/>
  <c r="N425" i="5" a="1"/>
  <c r="Q424" i="5" l="1"/>
  <c r="N425" i="5"/>
  <c r="AA425" i="5"/>
  <c r="AB425" i="5"/>
  <c r="S424" i="5"/>
  <c r="T424" i="5"/>
  <c r="X425" i="5"/>
  <c r="Z425" i="5"/>
  <c r="F425" i="5" a="1"/>
  <c r="F425" i="5" s="1"/>
  <c r="Y425" i="5"/>
  <c r="AC425" i="5" s="1"/>
  <c r="W425" i="5"/>
  <c r="V423" i="5" a="1"/>
  <c r="V423" i="5" s="1"/>
  <c r="E426" i="5" a="1"/>
  <c r="E426" i="5" s="1"/>
  <c r="AA426" i="5" s="1"/>
  <c r="B426" i="5"/>
  <c r="U423" i="5" a="1"/>
  <c r="U423" i="5" s="1"/>
  <c r="R424" i="5"/>
  <c r="A427" i="5"/>
  <c r="A428" i="5" s="1" a="1"/>
  <c r="M425" i="5" a="1"/>
  <c r="D425" i="5" a="1"/>
  <c r="H425" i="5" a="1"/>
  <c r="C425" i="5" a="1"/>
  <c r="P425" i="5" a="1"/>
  <c r="J425" i="5" a="1"/>
  <c r="K426" i="5" a="1"/>
  <c r="G425" i="5" a="1"/>
  <c r="K425" i="5" a="1"/>
  <c r="I425" i="5" a="1"/>
  <c r="L425" i="5" a="1"/>
  <c r="O425" i="5" a="1"/>
  <c r="U424" i="5" l="1" a="1"/>
  <c r="U424" i="5" s="1"/>
  <c r="F426" i="5" a="1"/>
  <c r="F426" i="5" s="1"/>
  <c r="Z426" i="5"/>
  <c r="Y426" i="5"/>
  <c r="AC426" i="5" s="1"/>
  <c r="AB426" i="5"/>
  <c r="X426" i="5"/>
  <c r="W426" i="5"/>
  <c r="G425" i="5"/>
  <c r="L425" i="5"/>
  <c r="K425" i="5"/>
  <c r="I425" i="5"/>
  <c r="M425" i="5"/>
  <c r="H425" i="5"/>
  <c r="K426" i="5"/>
  <c r="O425" i="5"/>
  <c r="P425" i="5"/>
  <c r="J425" i="5"/>
  <c r="C425" i="5"/>
  <c r="D425" i="5"/>
  <c r="B427" i="5"/>
  <c r="O427" i="5" s="1" a="1"/>
  <c r="E427" i="5" a="1"/>
  <c r="E427" i="5" s="1"/>
  <c r="AB427" i="5" s="1"/>
  <c r="V424" i="5" a="1"/>
  <c r="V424" i="5" s="1"/>
  <c r="A428" i="5"/>
  <c r="G426" i="5" a="1"/>
  <c r="O426" i="5" a="1"/>
  <c r="I426" i="5" a="1"/>
  <c r="N426" i="5" a="1"/>
  <c r="D426" i="5" a="1"/>
  <c r="P426" i="5" a="1"/>
  <c r="C426" i="5" a="1"/>
  <c r="H426" i="5" a="1"/>
  <c r="J426" i="5" a="1"/>
  <c r="M426" i="5" a="1"/>
  <c r="L426" i="5" a="1"/>
  <c r="I426" i="5" l="1"/>
  <c r="J426" i="5"/>
  <c r="M426" i="5"/>
  <c r="L426" i="5"/>
  <c r="D426" i="5"/>
  <c r="N426" i="5"/>
  <c r="G426" i="5"/>
  <c r="O426" i="5"/>
  <c r="R425" i="5"/>
  <c r="O427" i="5"/>
  <c r="C426" i="5"/>
  <c r="H426" i="5"/>
  <c r="P426" i="5"/>
  <c r="Y427" i="5"/>
  <c r="AC427" i="5" s="1"/>
  <c r="AA427" i="5"/>
  <c r="S425" i="5"/>
  <c r="Q425" i="5"/>
  <c r="W427" i="5"/>
  <c r="Z427" i="5"/>
  <c r="T425" i="5"/>
  <c r="X427" i="5"/>
  <c r="F427" i="5" a="1"/>
  <c r="F427" i="5" s="1"/>
  <c r="B428" i="5"/>
  <c r="P428" i="5" s="1" a="1"/>
  <c r="E428" i="5" a="1"/>
  <c r="E428" i="5" s="1"/>
  <c r="N427" i="5" a="1"/>
  <c r="I427" i="5" a="1"/>
  <c r="L427" i="5" a="1"/>
  <c r="G427" i="5" a="1"/>
  <c r="H427" i="5" a="1"/>
  <c r="J427" i="5" a="1"/>
  <c r="P427" i="5" a="1"/>
  <c r="C427" i="5" a="1"/>
  <c r="A429" i="5" a="1"/>
  <c r="K427" i="5" a="1"/>
  <c r="M427" i="5" a="1"/>
  <c r="D427" i="5" a="1"/>
  <c r="S426" i="5" l="1"/>
  <c r="U425" i="5" a="1"/>
  <c r="U425" i="5" s="1"/>
  <c r="R426" i="5"/>
  <c r="Q426" i="5"/>
  <c r="T426" i="5"/>
  <c r="P428" i="5"/>
  <c r="I427" i="5"/>
  <c r="N427" i="5"/>
  <c r="C427" i="5"/>
  <c r="D427" i="5"/>
  <c r="J427" i="5"/>
  <c r="G427" i="5"/>
  <c r="M427" i="5"/>
  <c r="K427" i="5"/>
  <c r="P427" i="5"/>
  <c r="L427" i="5"/>
  <c r="Q427" i="5" s="1"/>
  <c r="H427" i="5"/>
  <c r="Y428" i="5"/>
  <c r="AC428" i="5" s="1"/>
  <c r="F428" i="5" a="1"/>
  <c r="F428" i="5" s="1"/>
  <c r="V425" i="5" a="1"/>
  <c r="V425" i="5" s="1"/>
  <c r="A429" i="5"/>
  <c r="A430" i="5" s="1" a="1"/>
  <c r="AA428" i="5"/>
  <c r="W428" i="5"/>
  <c r="X428" i="5"/>
  <c r="Z428" i="5"/>
  <c r="AB428" i="5"/>
  <c r="N428" i="5" a="1"/>
  <c r="G428" i="5" a="1"/>
  <c r="K428" i="5" a="1"/>
  <c r="L428" i="5" a="1"/>
  <c r="J428" i="5" a="1"/>
  <c r="D428" i="5" a="1"/>
  <c r="M428" i="5" a="1"/>
  <c r="O428" i="5" a="1"/>
  <c r="H428" i="5" a="1"/>
  <c r="I428" i="5" a="1"/>
  <c r="C428" i="5" a="1"/>
  <c r="U426" i="5" l="1" a="1"/>
  <c r="U426" i="5" s="1"/>
  <c r="V426" i="5" a="1"/>
  <c r="V426" i="5" s="1"/>
  <c r="K428" i="5"/>
  <c r="O428" i="5"/>
  <c r="M428" i="5"/>
  <c r="T428" i="5" s="1"/>
  <c r="J428" i="5"/>
  <c r="G428" i="5"/>
  <c r="H428" i="5"/>
  <c r="C428" i="5"/>
  <c r="I428" i="5"/>
  <c r="N428" i="5"/>
  <c r="L428" i="5"/>
  <c r="R428" i="5" s="1"/>
  <c r="D428" i="5"/>
  <c r="R427" i="5"/>
  <c r="U427" i="5" s="1" a="1"/>
  <c r="U427" i="5" s="1"/>
  <c r="S427" i="5"/>
  <c r="T427" i="5"/>
  <c r="E429" i="5" a="1"/>
  <c r="E429" i="5" s="1"/>
  <c r="Y429" i="5" s="1"/>
  <c r="AC429" i="5" s="1"/>
  <c r="B429" i="5"/>
  <c r="A430" i="5"/>
  <c r="A431" i="5" a="1"/>
  <c r="S428" i="5" l="1"/>
  <c r="V428" i="5" s="1" a="1"/>
  <c r="V428" i="5" s="1"/>
  <c r="Q428" i="5"/>
  <c r="U428" i="5" s="1" a="1"/>
  <c r="U428" i="5" s="1"/>
  <c r="V427" i="5" a="1"/>
  <c r="V427" i="5" s="1"/>
  <c r="AA429" i="5"/>
  <c r="Z429" i="5"/>
  <c r="W429" i="5"/>
  <c r="AB429" i="5"/>
  <c r="F429" i="5" a="1"/>
  <c r="F429" i="5" s="1"/>
  <c r="X429" i="5"/>
  <c r="B430" i="5"/>
  <c r="O430" i="5" s="1" a="1"/>
  <c r="E430" i="5" a="1"/>
  <c r="E430" i="5" s="1"/>
  <c r="X430" i="5" s="1"/>
  <c r="A431" i="5"/>
  <c r="G429" i="5" a="1"/>
  <c r="L429" i="5" a="1"/>
  <c r="J429" i="5" a="1"/>
  <c r="O429" i="5" a="1"/>
  <c r="P429" i="5" a="1"/>
  <c r="C429" i="5" a="1"/>
  <c r="H429" i="5" a="1"/>
  <c r="M429" i="5" a="1"/>
  <c r="I429" i="5" a="1"/>
  <c r="N429" i="5" a="1"/>
  <c r="K429" i="5" a="1"/>
  <c r="D429" i="5" a="1"/>
  <c r="O430" i="5" l="1"/>
  <c r="N429" i="5"/>
  <c r="I429" i="5"/>
  <c r="O429" i="5"/>
  <c r="D429" i="5"/>
  <c r="M429" i="5"/>
  <c r="K429" i="5"/>
  <c r="H429" i="5"/>
  <c r="C429" i="5"/>
  <c r="G429" i="5"/>
  <c r="P429" i="5"/>
  <c r="J429" i="5"/>
  <c r="L429" i="5"/>
  <c r="W430" i="5"/>
  <c r="E431" i="5" a="1"/>
  <c r="E431" i="5" s="1"/>
  <c r="X431" i="5" s="1"/>
  <c r="B431" i="5"/>
  <c r="L431" i="5" s="1" a="1"/>
  <c r="AA430" i="5"/>
  <c r="Y430" i="5"/>
  <c r="AC430" i="5" s="1"/>
  <c r="Z430" i="5"/>
  <c r="AB430" i="5"/>
  <c r="F430" i="5" a="1"/>
  <c r="F430" i="5" s="1"/>
  <c r="K430" i="5" a="1"/>
  <c r="A432" i="5" a="1"/>
  <c r="C430" i="5" a="1"/>
  <c r="I430" i="5" a="1"/>
  <c r="L430" i="5" a="1"/>
  <c r="N430" i="5" a="1"/>
  <c r="D430" i="5" a="1"/>
  <c r="M430" i="5" a="1"/>
  <c r="G430" i="5" a="1"/>
  <c r="J430" i="5" a="1"/>
  <c r="H430" i="5" a="1"/>
  <c r="P430" i="5" a="1"/>
  <c r="T429" i="5" l="1"/>
  <c r="L431" i="5"/>
  <c r="M430" i="5"/>
  <c r="K430" i="5"/>
  <c r="L430" i="5"/>
  <c r="Q430" i="5" s="1"/>
  <c r="D430" i="5"/>
  <c r="C430" i="5"/>
  <c r="H430" i="5"/>
  <c r="I430" i="5"/>
  <c r="P430" i="5"/>
  <c r="G430" i="5"/>
  <c r="N430" i="5"/>
  <c r="J430" i="5"/>
  <c r="F431" i="5" a="1"/>
  <c r="F431" i="5" s="1"/>
  <c r="Q429" i="5"/>
  <c r="S429" i="5"/>
  <c r="R429" i="5"/>
  <c r="A432" i="5"/>
  <c r="W431" i="5"/>
  <c r="Z431" i="5"/>
  <c r="AB431" i="5"/>
  <c r="AA431" i="5"/>
  <c r="Y431" i="5"/>
  <c r="AC431" i="5" s="1"/>
  <c r="K431" i="5" a="1"/>
  <c r="G431" i="5" a="1"/>
  <c r="D431" i="5" a="1"/>
  <c r="H431" i="5" a="1"/>
  <c r="P431" i="5" a="1"/>
  <c r="O431" i="5" a="1"/>
  <c r="C431" i="5" a="1"/>
  <c r="M431" i="5" a="1"/>
  <c r="J431" i="5" a="1"/>
  <c r="I431" i="5" a="1"/>
  <c r="N431" i="5" a="1"/>
  <c r="V429" i="5" l="1" a="1"/>
  <c r="V429" i="5" s="1"/>
  <c r="U429" i="5" a="1"/>
  <c r="U429" i="5" s="1"/>
  <c r="N431" i="5"/>
  <c r="M431" i="5"/>
  <c r="G431" i="5"/>
  <c r="P431" i="5"/>
  <c r="R431" i="5" s="1"/>
  <c r="C431" i="5"/>
  <c r="H431" i="5"/>
  <c r="K431" i="5"/>
  <c r="D431" i="5"/>
  <c r="I431" i="5"/>
  <c r="J431" i="5"/>
  <c r="O431" i="5"/>
  <c r="B432" i="5"/>
  <c r="J432" i="5" s="1" a="1"/>
  <c r="E432" i="5" a="1"/>
  <c r="E432" i="5" s="1"/>
  <c r="T430" i="5"/>
  <c r="S430" i="5"/>
  <c r="R430" i="5"/>
  <c r="U430" i="5" s="1" a="1"/>
  <c r="U430" i="5" s="1"/>
  <c r="A433" i="5" a="1"/>
  <c r="V430" i="5" l="1" a="1"/>
  <c r="V430" i="5" s="1"/>
  <c r="J432" i="5"/>
  <c r="Y432" i="5"/>
  <c r="AC432" i="5" s="1"/>
  <c r="S431" i="5"/>
  <c r="Q431" i="5"/>
  <c r="U431" i="5" s="1" a="1"/>
  <c r="U431" i="5" s="1"/>
  <c r="F432" i="5" a="1"/>
  <c r="F432" i="5" s="1"/>
  <c r="T431" i="5"/>
  <c r="A433" i="5"/>
  <c r="A434" i="5" s="1" a="1"/>
  <c r="AA432" i="5"/>
  <c r="W432" i="5"/>
  <c r="X432" i="5"/>
  <c r="Z432" i="5"/>
  <c r="AB432" i="5"/>
  <c r="D432" i="5" a="1"/>
  <c r="P432" i="5" a="1"/>
  <c r="I432" i="5" a="1"/>
  <c r="H432" i="5" a="1"/>
  <c r="O432" i="5" a="1"/>
  <c r="L432" i="5" a="1"/>
  <c r="C432" i="5" a="1"/>
  <c r="M432" i="5" a="1"/>
  <c r="G432" i="5" a="1"/>
  <c r="N432" i="5" a="1"/>
  <c r="K432" i="5" a="1"/>
  <c r="V431" i="5" l="1" a="1"/>
  <c r="V431" i="5" s="1"/>
  <c r="D432" i="5"/>
  <c r="G432" i="5"/>
  <c r="M432" i="5"/>
  <c r="L432" i="5"/>
  <c r="N432" i="5"/>
  <c r="P432" i="5"/>
  <c r="I432" i="5"/>
  <c r="K432" i="5"/>
  <c r="O432" i="5"/>
  <c r="C432" i="5"/>
  <c r="H432" i="5"/>
  <c r="B433" i="5"/>
  <c r="N433" i="5" s="1" a="1"/>
  <c r="E433" i="5" a="1"/>
  <c r="E433" i="5" s="1"/>
  <c r="A434" i="5"/>
  <c r="R432" i="5" l="1"/>
  <c r="T432" i="5"/>
  <c r="N433" i="5"/>
  <c r="Y433" i="5"/>
  <c r="AC433" i="5" s="1"/>
  <c r="AB433" i="5"/>
  <c r="X433" i="5"/>
  <c r="AA433" i="5"/>
  <c r="F433" i="5" a="1"/>
  <c r="F433" i="5" s="1"/>
  <c r="W433" i="5"/>
  <c r="Z433" i="5"/>
  <c r="E434" i="5" a="1"/>
  <c r="E434" i="5" s="1"/>
  <c r="W434" i="5" s="1"/>
  <c r="B434" i="5"/>
  <c r="L434" i="5" s="1" a="1"/>
  <c r="Q432" i="5"/>
  <c r="S432" i="5"/>
  <c r="A435" i="5" a="1"/>
  <c r="A435" i="5" s="1"/>
  <c r="M433" i="5" a="1"/>
  <c r="L433" i="5" a="1"/>
  <c r="D433" i="5" a="1"/>
  <c r="P433" i="5" a="1"/>
  <c r="J433" i="5" a="1"/>
  <c r="C433" i="5" a="1"/>
  <c r="K433" i="5" a="1"/>
  <c r="G433" i="5" a="1"/>
  <c r="O433" i="5" a="1"/>
  <c r="H433" i="5" a="1"/>
  <c r="I433" i="5" a="1"/>
  <c r="U432" i="5" l="1" a="1"/>
  <c r="U432" i="5" s="1"/>
  <c r="V432" i="5" a="1"/>
  <c r="V432" i="5" s="1"/>
  <c r="L434" i="5"/>
  <c r="C433" i="5"/>
  <c r="O433" i="5"/>
  <c r="I433" i="5"/>
  <c r="J433" i="5"/>
  <c r="G433" i="5"/>
  <c r="D433" i="5"/>
  <c r="K433" i="5"/>
  <c r="H433" i="5"/>
  <c r="L433" i="5"/>
  <c r="M433" i="5"/>
  <c r="P433" i="5"/>
  <c r="B435" i="5"/>
  <c r="F434" i="5" a="1"/>
  <c r="F434" i="5" s="1"/>
  <c r="AA434" i="5"/>
  <c r="X434" i="5"/>
  <c r="AB434" i="5"/>
  <c r="Y434" i="5"/>
  <c r="AC434" i="5" s="1"/>
  <c r="Z434" i="5"/>
  <c r="E435" i="5" a="1"/>
  <c r="H434" i="5" a="1"/>
  <c r="O434" i="5" a="1"/>
  <c r="C434" i="5" a="1"/>
  <c r="A436" i="5" a="1"/>
  <c r="K434" i="5" a="1"/>
  <c r="I434" i="5" a="1"/>
  <c r="D434" i="5" a="1"/>
  <c r="N434" i="5" a="1"/>
  <c r="G434" i="5" a="1"/>
  <c r="J434" i="5" a="1"/>
  <c r="M434" i="5" a="1"/>
  <c r="P434" i="5" a="1"/>
  <c r="T433" i="5" l="1"/>
  <c r="R433" i="5"/>
  <c r="D434" i="5"/>
  <c r="G434" i="5"/>
  <c r="I434" i="5"/>
  <c r="H434" i="5"/>
  <c r="N434" i="5"/>
  <c r="M434" i="5"/>
  <c r="J434" i="5"/>
  <c r="P434" i="5"/>
  <c r="R434" i="5" s="1"/>
  <c r="O434" i="5"/>
  <c r="E435" i="5"/>
  <c r="K434" i="5"/>
  <c r="C434" i="5"/>
  <c r="S433" i="5"/>
  <c r="Q433" i="5"/>
  <c r="A436" i="5"/>
  <c r="P435" i="5" a="1"/>
  <c r="C435" i="5" a="1"/>
  <c r="I435" i="5" a="1"/>
  <c r="H435" i="5" a="1"/>
  <c r="K435" i="5" a="1"/>
  <c r="G435" i="5" a="1"/>
  <c r="F435" i="5" a="1"/>
  <c r="D435" i="5" a="1"/>
  <c r="L435" i="5" a="1"/>
  <c r="M435" i="5" a="1"/>
  <c r="N435" i="5" a="1"/>
  <c r="J435" i="5" a="1"/>
  <c r="O435" i="5" a="1"/>
  <c r="V433" i="5" l="1" a="1"/>
  <c r="V433" i="5" s="1"/>
  <c r="U433" i="5" a="1"/>
  <c r="U433" i="5" s="1"/>
  <c r="J435" i="5"/>
  <c r="N435" i="5"/>
  <c r="C435" i="5"/>
  <c r="P435" i="5"/>
  <c r="M435" i="5"/>
  <c r="O435" i="5"/>
  <c r="K435" i="5"/>
  <c r="G435" i="5"/>
  <c r="D435" i="5"/>
  <c r="L435" i="5"/>
  <c r="F435" i="5"/>
  <c r="I435" i="5"/>
  <c r="H435" i="5"/>
  <c r="B436" i="5"/>
  <c r="N436" i="5" s="1" a="1"/>
  <c r="E436" i="5" a="1"/>
  <c r="E436" i="5" s="1"/>
  <c r="T434" i="5"/>
  <c r="S434" i="5"/>
  <c r="Q434" i="5"/>
  <c r="U434" i="5" s="1" a="1"/>
  <c r="U434" i="5" s="1"/>
  <c r="AA435" i="5"/>
  <c r="X435" i="5"/>
  <c r="AB435" i="5"/>
  <c r="W435" i="5"/>
  <c r="Z435" i="5"/>
  <c r="Y435" i="5"/>
  <c r="AC435" i="5" s="1"/>
  <c r="A437" i="5" a="1"/>
  <c r="V434" i="5" l="1" a="1"/>
  <c r="V434" i="5" s="1"/>
  <c r="F436" i="5" a="1"/>
  <c r="F436" i="5" s="1"/>
  <c r="T435" i="5"/>
  <c r="R435" i="5"/>
  <c r="N436" i="5"/>
  <c r="Y436" i="5"/>
  <c r="AC436" i="5" s="1"/>
  <c r="S435" i="5"/>
  <c r="Q435" i="5"/>
  <c r="Z436" i="5"/>
  <c r="AA436" i="5"/>
  <c r="AB436" i="5"/>
  <c r="A437" i="5"/>
  <c r="A438" i="5" s="1" a="1"/>
  <c r="W436" i="5"/>
  <c r="X436" i="5"/>
  <c r="H436" i="5" a="1"/>
  <c r="J436" i="5" a="1"/>
  <c r="L436" i="5" a="1"/>
  <c r="M436" i="5" a="1"/>
  <c r="I436" i="5" a="1"/>
  <c r="K436" i="5" a="1"/>
  <c r="P436" i="5" a="1"/>
  <c r="D436" i="5" a="1"/>
  <c r="O436" i="5" a="1"/>
  <c r="C436" i="5" a="1"/>
  <c r="G436" i="5" a="1"/>
  <c r="I436" i="5" l="1"/>
  <c r="P436" i="5"/>
  <c r="C436" i="5"/>
  <c r="H436" i="5"/>
  <c r="K436" i="5"/>
  <c r="G436" i="5"/>
  <c r="L436" i="5"/>
  <c r="U435" i="5" a="1"/>
  <c r="U435" i="5" s="1"/>
  <c r="V435" i="5" a="1"/>
  <c r="V435" i="5" s="1"/>
  <c r="J436" i="5"/>
  <c r="O436" i="5"/>
  <c r="D436" i="5"/>
  <c r="M436" i="5"/>
  <c r="E437" i="5" a="1"/>
  <c r="E437" i="5" s="1"/>
  <c r="B437" i="5"/>
  <c r="F437" i="5" s="1" a="1"/>
  <c r="F437" i="5" s="1"/>
  <c r="A438" i="5"/>
  <c r="T436" i="5" l="1"/>
  <c r="R436" i="5"/>
  <c r="Y437" i="5"/>
  <c r="AC437" i="5" s="1"/>
  <c r="AA437" i="5"/>
  <c r="Z437" i="5"/>
  <c r="X437" i="5"/>
  <c r="AB437" i="5"/>
  <c r="W437" i="5"/>
  <c r="B438" i="5"/>
  <c r="G438" i="5" s="1" a="1"/>
  <c r="E438" i="5" a="1"/>
  <c r="E438" i="5" s="1"/>
  <c r="Q436" i="5"/>
  <c r="S436" i="5"/>
  <c r="C437" i="5" a="1"/>
  <c r="H437" i="5" a="1"/>
  <c r="D437" i="5" a="1"/>
  <c r="N437" i="5" a="1"/>
  <c r="P437" i="5" a="1"/>
  <c r="M437" i="5" a="1"/>
  <c r="O437" i="5" a="1"/>
  <c r="L437" i="5" a="1"/>
  <c r="A439" i="5" a="1"/>
  <c r="K437" i="5" a="1"/>
  <c r="J437" i="5" a="1"/>
  <c r="G437" i="5" a="1"/>
  <c r="I437" i="5" a="1"/>
  <c r="V436" i="5" l="1" a="1"/>
  <c r="V436" i="5" s="1"/>
  <c r="U436" i="5" a="1"/>
  <c r="U436" i="5" s="1"/>
  <c r="P437" i="5"/>
  <c r="C437" i="5"/>
  <c r="G437" i="5"/>
  <c r="N437" i="5"/>
  <c r="L437" i="5"/>
  <c r="J437" i="5"/>
  <c r="G438" i="5"/>
  <c r="H437" i="5"/>
  <c r="O437" i="5"/>
  <c r="I437" i="5"/>
  <c r="M437" i="5"/>
  <c r="D437" i="5"/>
  <c r="K437" i="5"/>
  <c r="F438" i="5" a="1"/>
  <c r="F438" i="5" s="1"/>
  <c r="Y438" i="5"/>
  <c r="AC438" i="5" s="1"/>
  <c r="AA438" i="5"/>
  <c r="W438" i="5"/>
  <c r="A439" i="5"/>
  <c r="X438" i="5"/>
  <c r="AB438" i="5"/>
  <c r="Z438" i="5"/>
  <c r="L438" i="5" a="1"/>
  <c r="I438" i="5" a="1"/>
  <c r="M438" i="5" a="1"/>
  <c r="O438" i="5" a="1"/>
  <c r="C438" i="5" a="1"/>
  <c r="D438" i="5" a="1"/>
  <c r="J438" i="5" a="1"/>
  <c r="N438" i="5" a="1"/>
  <c r="P438" i="5" a="1"/>
  <c r="K438" i="5" a="1"/>
  <c r="H438" i="5" a="1"/>
  <c r="R437" i="5" l="1"/>
  <c r="T437" i="5"/>
  <c r="C438" i="5"/>
  <c r="I438" i="5"/>
  <c r="H438" i="5"/>
  <c r="K438" i="5"/>
  <c r="L438" i="5"/>
  <c r="N438" i="5"/>
  <c r="P438" i="5"/>
  <c r="M438" i="5"/>
  <c r="O438" i="5"/>
  <c r="D438" i="5"/>
  <c r="J438" i="5"/>
  <c r="Q437" i="5"/>
  <c r="S437" i="5"/>
  <c r="E439" i="5" a="1"/>
  <c r="E439" i="5" s="1"/>
  <c r="B439" i="5"/>
  <c r="L439" i="5" s="1" a="1"/>
  <c r="A440" i="5" a="1"/>
  <c r="U437" i="5" l="1" a="1"/>
  <c r="U437" i="5" s="1"/>
  <c r="V437" i="5" a="1"/>
  <c r="V437" i="5" s="1"/>
  <c r="T438" i="5"/>
  <c r="R438" i="5"/>
  <c r="L439" i="5"/>
  <c r="S438" i="5"/>
  <c r="Q438" i="5"/>
  <c r="AB439" i="5"/>
  <c r="F439" i="5" a="1"/>
  <c r="F439" i="5" s="1"/>
  <c r="A440" i="5"/>
  <c r="AA439" i="5"/>
  <c r="X439" i="5"/>
  <c r="Y439" i="5"/>
  <c r="AC439" i="5" s="1"/>
  <c r="W439" i="5"/>
  <c r="Z439" i="5"/>
  <c r="N439" i="5" a="1"/>
  <c r="K439" i="5" a="1"/>
  <c r="P439" i="5" a="1"/>
  <c r="J439" i="5" a="1"/>
  <c r="O439" i="5" a="1"/>
  <c r="D439" i="5" a="1"/>
  <c r="G439" i="5" a="1"/>
  <c r="M439" i="5" a="1"/>
  <c r="H439" i="5" a="1"/>
  <c r="C439" i="5" a="1"/>
  <c r="I439" i="5" a="1"/>
  <c r="V438" i="5" l="1" a="1"/>
  <c r="V438" i="5" s="1"/>
  <c r="U438" i="5" a="1"/>
  <c r="U438" i="5" s="1"/>
  <c r="P439" i="5"/>
  <c r="R439" i="5" s="1"/>
  <c r="G439" i="5"/>
  <c r="C439" i="5"/>
  <c r="D439" i="5"/>
  <c r="J439" i="5"/>
  <c r="H439" i="5"/>
  <c r="N439" i="5"/>
  <c r="M439" i="5"/>
  <c r="K439" i="5"/>
  <c r="O439" i="5"/>
  <c r="I439" i="5"/>
  <c r="B440" i="5"/>
  <c r="F440" i="5" s="1" a="1"/>
  <c r="F440" i="5" s="1"/>
  <c r="E440" i="5" a="1"/>
  <c r="E440" i="5" s="1"/>
  <c r="Y440" i="5" s="1"/>
  <c r="A441" i="5" a="1"/>
  <c r="T439" i="5" l="1"/>
  <c r="S439" i="5"/>
  <c r="Q439" i="5"/>
  <c r="U439" i="5" s="1" a="1"/>
  <c r="U439" i="5" s="1"/>
  <c r="AA440" i="5"/>
  <c r="A441" i="5"/>
  <c r="W440" i="5"/>
  <c r="AC440" i="5"/>
  <c r="X440" i="5"/>
  <c r="AB440" i="5"/>
  <c r="Z440" i="5"/>
  <c r="I440" i="5" a="1"/>
  <c r="P440" i="5" a="1"/>
  <c r="K440" i="5" a="1"/>
  <c r="M440" i="5" a="1"/>
  <c r="N440" i="5" a="1"/>
  <c r="H440" i="5" a="1"/>
  <c r="G440" i="5" a="1"/>
  <c r="L440" i="5" a="1"/>
  <c r="O440" i="5" a="1"/>
  <c r="C440" i="5" a="1"/>
  <c r="A442" i="5" a="1"/>
  <c r="J440" i="5" a="1"/>
  <c r="D440" i="5" a="1"/>
  <c r="V439" i="5" l="1" a="1"/>
  <c r="V439" i="5" s="1"/>
  <c r="M440" i="5"/>
  <c r="H440" i="5"/>
  <c r="I440" i="5"/>
  <c r="O440" i="5"/>
  <c r="N440" i="5"/>
  <c r="K440" i="5"/>
  <c r="L440" i="5"/>
  <c r="D440" i="5"/>
  <c r="G440" i="5"/>
  <c r="C440" i="5"/>
  <c r="P440" i="5"/>
  <c r="J440" i="5"/>
  <c r="B441" i="5"/>
  <c r="E441" i="5" a="1"/>
  <c r="E441" i="5" s="1"/>
  <c r="AB441" i="5" s="1"/>
  <c r="A442" i="5"/>
  <c r="D441" i="5" a="1"/>
  <c r="D441" i="5" l="1"/>
  <c r="X441" i="5"/>
  <c r="AA441" i="5"/>
  <c r="F441" i="5" a="1"/>
  <c r="F441" i="5" s="1"/>
  <c r="Q440" i="5"/>
  <c r="S440" i="5"/>
  <c r="Y441" i="5"/>
  <c r="AC441" i="5" s="1"/>
  <c r="Z441" i="5"/>
  <c r="R440" i="5"/>
  <c r="E442" i="5" a="1"/>
  <c r="E442" i="5" s="1"/>
  <c r="Y442" i="5" s="1"/>
  <c r="B442" i="5"/>
  <c r="K442" i="5" s="1" a="1"/>
  <c r="W441" i="5"/>
  <c r="T440" i="5"/>
  <c r="A443" i="5" a="1"/>
  <c r="N441" i="5" a="1"/>
  <c r="P441" i="5" a="1"/>
  <c r="M441" i="5" a="1"/>
  <c r="I441" i="5" a="1"/>
  <c r="O441" i="5" a="1"/>
  <c r="C441" i="5" a="1"/>
  <c r="G441" i="5" a="1"/>
  <c r="K441" i="5" a="1"/>
  <c r="L441" i="5" a="1"/>
  <c r="J441" i="5" a="1"/>
  <c r="H441" i="5" a="1"/>
  <c r="F442" i="5" l="1" a="1"/>
  <c r="F442" i="5" s="1"/>
  <c r="C441" i="5"/>
  <c r="G441" i="5"/>
  <c r="L441" i="5"/>
  <c r="O441" i="5"/>
  <c r="J441" i="5"/>
  <c r="P441" i="5"/>
  <c r="N441" i="5"/>
  <c r="K442" i="5"/>
  <c r="M441" i="5"/>
  <c r="I441" i="5"/>
  <c r="H441" i="5"/>
  <c r="K441" i="5"/>
  <c r="V440" i="5" a="1"/>
  <c r="V440" i="5" s="1"/>
  <c r="U440" i="5" a="1"/>
  <c r="U440" i="5" s="1"/>
  <c r="AA442" i="5"/>
  <c r="W442" i="5"/>
  <c r="A443" i="5"/>
  <c r="AC442" i="5"/>
  <c r="X442" i="5"/>
  <c r="Z442" i="5"/>
  <c r="AB442" i="5"/>
  <c r="L442" i="5" a="1"/>
  <c r="D442" i="5" a="1"/>
  <c r="G442" i="5" a="1"/>
  <c r="P442" i="5" a="1"/>
  <c r="O442" i="5" a="1"/>
  <c r="I442" i="5" a="1"/>
  <c r="H442" i="5" a="1"/>
  <c r="N442" i="5" a="1"/>
  <c r="M442" i="5" a="1"/>
  <c r="J442" i="5" a="1"/>
  <c r="C442" i="5" a="1"/>
  <c r="M442" i="5" l="1"/>
  <c r="C442" i="5"/>
  <c r="G442" i="5"/>
  <c r="L442" i="5"/>
  <c r="I442" i="5"/>
  <c r="J442" i="5"/>
  <c r="P442" i="5"/>
  <c r="D442" i="5"/>
  <c r="N442" i="5"/>
  <c r="O442" i="5"/>
  <c r="T441" i="5"/>
  <c r="H442" i="5"/>
  <c r="Q441" i="5"/>
  <c r="S441" i="5"/>
  <c r="B443" i="5"/>
  <c r="E443" i="5" a="1"/>
  <c r="E443" i="5" s="1"/>
  <c r="R441" i="5"/>
  <c r="A444" i="5" a="1"/>
  <c r="S442" i="5" l="1"/>
  <c r="R442" i="5"/>
  <c r="Q442" i="5"/>
  <c r="T442" i="5"/>
  <c r="V441" i="5" a="1"/>
  <c r="V441" i="5" s="1"/>
  <c r="F443" i="5" a="1"/>
  <c r="F443" i="5" s="1"/>
  <c r="X443" i="5"/>
  <c r="U441" i="5" a="1"/>
  <c r="U441" i="5" s="1"/>
  <c r="A444" i="5"/>
  <c r="A445" i="5" s="1" a="1"/>
  <c r="AA443" i="5"/>
  <c r="Y443" i="5"/>
  <c r="AC443" i="5" s="1"/>
  <c r="W443" i="5"/>
  <c r="Z443" i="5"/>
  <c r="AB443" i="5"/>
  <c r="D443" i="5" a="1"/>
  <c r="K443" i="5" a="1"/>
  <c r="O443" i="5" a="1"/>
  <c r="P443" i="5" a="1"/>
  <c r="L443" i="5" a="1"/>
  <c r="G443" i="5" a="1"/>
  <c r="H443" i="5" a="1"/>
  <c r="C443" i="5" a="1"/>
  <c r="J443" i="5" a="1"/>
  <c r="I443" i="5" a="1"/>
  <c r="M443" i="5" a="1"/>
  <c r="N443" i="5" a="1"/>
  <c r="V442" i="5" l="1" a="1"/>
  <c r="V442" i="5" s="1"/>
  <c r="U442" i="5" a="1"/>
  <c r="U442" i="5" s="1"/>
  <c r="J443" i="5"/>
  <c r="C443" i="5"/>
  <c r="O443" i="5"/>
  <c r="G443" i="5"/>
  <c r="P443" i="5"/>
  <c r="M443" i="5"/>
  <c r="H443" i="5"/>
  <c r="I443" i="5"/>
  <c r="D443" i="5"/>
  <c r="K443" i="5"/>
  <c r="N443" i="5"/>
  <c r="L443" i="5"/>
  <c r="B444" i="5"/>
  <c r="E444" i="5" a="1"/>
  <c r="E444" i="5" s="1"/>
  <c r="W444" i="5" s="1"/>
  <c r="A445" i="5"/>
  <c r="A446" i="5" s="1" a="1"/>
  <c r="D444" i="5" a="1"/>
  <c r="R443" i="5" l="1"/>
  <c r="T443" i="5"/>
  <c r="D444" i="5"/>
  <c r="Y444" i="5"/>
  <c r="AC444" i="5" s="1"/>
  <c r="AA444" i="5"/>
  <c r="S443" i="5"/>
  <c r="Q443" i="5"/>
  <c r="AB444" i="5"/>
  <c r="Z444" i="5"/>
  <c r="X444" i="5"/>
  <c r="E445" i="5" a="1"/>
  <c r="E445" i="5" s="1"/>
  <c r="B445" i="5"/>
  <c r="N445" i="5" s="1" a="1"/>
  <c r="F444" i="5" a="1"/>
  <c r="F444" i="5" s="1"/>
  <c r="A446" i="5"/>
  <c r="G444" i="5" a="1"/>
  <c r="L444" i="5" a="1"/>
  <c r="K444" i="5" a="1"/>
  <c r="I444" i="5" a="1"/>
  <c r="J444" i="5" a="1"/>
  <c r="M444" i="5" a="1"/>
  <c r="C444" i="5" a="1"/>
  <c r="P444" i="5" a="1"/>
  <c r="N444" i="5" a="1"/>
  <c r="O444" i="5" a="1"/>
  <c r="H444" i="5" a="1"/>
  <c r="U443" i="5" l="1" a="1"/>
  <c r="U443" i="5" s="1"/>
  <c r="V443" i="5" a="1"/>
  <c r="V443" i="5" s="1"/>
  <c r="N445" i="5"/>
  <c r="N444" i="5"/>
  <c r="C444" i="5"/>
  <c r="J444" i="5"/>
  <c r="K444" i="5"/>
  <c r="P444" i="5"/>
  <c r="O444" i="5"/>
  <c r="M444" i="5"/>
  <c r="L444" i="5"/>
  <c r="I444" i="5"/>
  <c r="H444" i="5"/>
  <c r="G444" i="5"/>
  <c r="B446" i="5"/>
  <c r="E446" i="5" a="1"/>
  <c r="E446" i="5" s="1"/>
  <c r="Y446" i="5" s="1"/>
  <c r="Y445" i="5"/>
  <c r="AC445" i="5" s="1"/>
  <c r="Z445" i="5"/>
  <c r="AA445" i="5"/>
  <c r="AB445" i="5"/>
  <c r="F445" i="5" a="1"/>
  <c r="F445" i="5" s="1"/>
  <c r="W445" i="5"/>
  <c r="X445" i="5"/>
  <c r="C445" i="5" a="1"/>
  <c r="L445" i="5" a="1"/>
  <c r="M445" i="5" a="1"/>
  <c r="C446" i="5" a="1"/>
  <c r="H445" i="5" a="1"/>
  <c r="A447" i="5" a="1"/>
  <c r="G445" i="5" a="1"/>
  <c r="K445" i="5" a="1"/>
  <c r="P445" i="5" a="1"/>
  <c r="D445" i="5" a="1"/>
  <c r="O445" i="5" a="1"/>
  <c r="I445" i="5" a="1"/>
  <c r="J445" i="5" a="1"/>
  <c r="T444" i="5" l="1"/>
  <c r="R444" i="5"/>
  <c r="F446" i="5" a="1"/>
  <c r="F446" i="5" s="1"/>
  <c r="C446" i="5"/>
  <c r="I445" i="5"/>
  <c r="O445" i="5"/>
  <c r="P445" i="5"/>
  <c r="K445" i="5"/>
  <c r="J445" i="5"/>
  <c r="D445" i="5"/>
  <c r="H445" i="5"/>
  <c r="C445" i="5"/>
  <c r="M445" i="5"/>
  <c r="G445" i="5"/>
  <c r="L445" i="5"/>
  <c r="Q444" i="5"/>
  <c r="S444" i="5"/>
  <c r="A447" i="5"/>
  <c r="AA446" i="5"/>
  <c r="W446" i="5"/>
  <c r="AC446" i="5"/>
  <c r="X446" i="5"/>
  <c r="Z446" i="5"/>
  <c r="AB446" i="5"/>
  <c r="J446" i="5" a="1"/>
  <c r="K446" i="5" a="1"/>
  <c r="D446" i="5" a="1"/>
  <c r="I446" i="5" a="1"/>
  <c r="M446" i="5" a="1"/>
  <c r="L446" i="5" a="1"/>
  <c r="H446" i="5" a="1"/>
  <c r="O446" i="5" a="1"/>
  <c r="P446" i="5" a="1"/>
  <c r="A448" i="5" a="1"/>
  <c r="N446" i="5" a="1"/>
  <c r="G446" i="5" a="1"/>
  <c r="V444" i="5" l="1" a="1"/>
  <c r="V444" i="5" s="1"/>
  <c r="K446" i="5"/>
  <c r="U444" i="5" a="1"/>
  <c r="U444" i="5" s="1"/>
  <c r="I446" i="5"/>
  <c r="T445" i="5"/>
  <c r="M446" i="5"/>
  <c r="G446" i="5"/>
  <c r="J446" i="5"/>
  <c r="O446" i="5"/>
  <c r="R445" i="5"/>
  <c r="N446" i="5"/>
  <c r="H446" i="5"/>
  <c r="D446" i="5"/>
  <c r="P446" i="5"/>
  <c r="L446" i="5"/>
  <c r="E447" i="5" a="1"/>
  <c r="E447" i="5" s="1"/>
  <c r="AB447" i="5" s="1"/>
  <c r="B447" i="5"/>
  <c r="F447" i="5" s="1" a="1"/>
  <c r="F447" i="5" s="1"/>
  <c r="Q445" i="5"/>
  <c r="S445" i="5"/>
  <c r="A448" i="5"/>
  <c r="S446" i="5" l="1"/>
  <c r="V445" i="5" a="1"/>
  <c r="V445" i="5" s="1"/>
  <c r="U445" i="5" a="1"/>
  <c r="U445" i="5" s="1"/>
  <c r="Q446" i="5"/>
  <c r="Y447" i="5"/>
  <c r="AC447" i="5" s="1"/>
  <c r="W447" i="5"/>
  <c r="Z447" i="5"/>
  <c r="X447" i="5"/>
  <c r="B448" i="5"/>
  <c r="E448" i="5" a="1"/>
  <c r="E448" i="5" s="1"/>
  <c r="Y448" i="5" s="1"/>
  <c r="R446" i="5"/>
  <c r="T446" i="5"/>
  <c r="AA447" i="5"/>
  <c r="P447" i="5" a="1"/>
  <c r="J447" i="5" a="1"/>
  <c r="N447" i="5" a="1"/>
  <c r="G447" i="5" a="1"/>
  <c r="K447" i="5" a="1"/>
  <c r="L447" i="5" a="1"/>
  <c r="D447" i="5" a="1"/>
  <c r="C447" i="5" a="1"/>
  <c r="H447" i="5" a="1"/>
  <c r="O447" i="5" a="1"/>
  <c r="I447" i="5" a="1"/>
  <c r="A449" i="5" a="1"/>
  <c r="M447" i="5" a="1"/>
  <c r="V446" i="5" l="1" a="1"/>
  <c r="V446" i="5" s="1"/>
  <c r="U446" i="5" a="1"/>
  <c r="U446" i="5" s="1"/>
  <c r="I447" i="5"/>
  <c r="G447" i="5"/>
  <c r="L447" i="5"/>
  <c r="J447" i="5"/>
  <c r="H447" i="5"/>
  <c r="M447" i="5"/>
  <c r="N447" i="5"/>
  <c r="O447" i="5"/>
  <c r="P447" i="5"/>
  <c r="D447" i="5"/>
  <c r="K447" i="5"/>
  <c r="C447" i="5"/>
  <c r="F448" i="5" a="1"/>
  <c r="F448" i="5" s="1"/>
  <c r="A449" i="5"/>
  <c r="A450" i="5" s="1" a="1"/>
  <c r="AA448" i="5"/>
  <c r="W448" i="5"/>
  <c r="AC448" i="5"/>
  <c r="X448" i="5"/>
  <c r="Z448" i="5"/>
  <c r="AB448" i="5"/>
  <c r="O448" i="5" a="1"/>
  <c r="N448" i="5" a="1"/>
  <c r="D448" i="5" a="1"/>
  <c r="K448" i="5" a="1"/>
  <c r="I448" i="5" a="1"/>
  <c r="G448" i="5" a="1"/>
  <c r="J448" i="5" a="1"/>
  <c r="C448" i="5" a="1"/>
  <c r="H448" i="5" a="1"/>
  <c r="P448" i="5" a="1"/>
  <c r="L448" i="5" a="1"/>
  <c r="M448" i="5" a="1"/>
  <c r="R447" i="5" l="1"/>
  <c r="O448" i="5"/>
  <c r="M448" i="5"/>
  <c r="C448" i="5"/>
  <c r="N448" i="5"/>
  <c r="G448" i="5"/>
  <c r="L448" i="5"/>
  <c r="K448" i="5"/>
  <c r="P448" i="5"/>
  <c r="H448" i="5"/>
  <c r="I448" i="5"/>
  <c r="D448" i="5"/>
  <c r="J448" i="5"/>
  <c r="B449" i="5"/>
  <c r="D449" i="5" s="1" a="1"/>
  <c r="E449" i="5" a="1"/>
  <c r="E449" i="5" s="1"/>
  <c r="X449" i="5" s="1"/>
  <c r="S447" i="5"/>
  <c r="Q447" i="5"/>
  <c r="T447" i="5"/>
  <c r="A450" i="5"/>
  <c r="A451" i="5" a="1"/>
  <c r="U447" i="5" l="1" a="1"/>
  <c r="U447" i="5" s="1"/>
  <c r="R448" i="5"/>
  <c r="D449" i="5"/>
  <c r="Z449" i="5"/>
  <c r="W449" i="5"/>
  <c r="F449" i="5" a="1"/>
  <c r="F449" i="5" s="1"/>
  <c r="AB449" i="5"/>
  <c r="E450" i="5" a="1"/>
  <c r="E450" i="5" s="1"/>
  <c r="X450" i="5" s="1"/>
  <c r="B450" i="5"/>
  <c r="H450" i="5" s="1" a="1"/>
  <c r="Y449" i="5"/>
  <c r="AC449" i="5" s="1"/>
  <c r="AA449" i="5"/>
  <c r="T448" i="5"/>
  <c r="V447" i="5" a="1"/>
  <c r="V447" i="5" s="1"/>
  <c r="Q448" i="5"/>
  <c r="S448" i="5"/>
  <c r="A451" i="5"/>
  <c r="P449" i="5" a="1"/>
  <c r="M449" i="5" a="1"/>
  <c r="K449" i="5" a="1"/>
  <c r="O449" i="5" a="1"/>
  <c r="A452" i="5" a="1"/>
  <c r="G449" i="5" a="1"/>
  <c r="L449" i="5" a="1"/>
  <c r="I449" i="5" a="1"/>
  <c r="H449" i="5" a="1"/>
  <c r="J449" i="5" a="1"/>
  <c r="C449" i="5" a="1"/>
  <c r="N449" i="5" a="1"/>
  <c r="U448" i="5" l="1" a="1"/>
  <c r="U448" i="5" s="1"/>
  <c r="V448" i="5" a="1"/>
  <c r="V448" i="5" s="1"/>
  <c r="W450" i="5"/>
  <c r="AA450" i="5"/>
  <c r="Y450" i="5"/>
  <c r="AC450" i="5" s="1"/>
  <c r="Z450" i="5"/>
  <c r="AB450" i="5"/>
  <c r="I449" i="5"/>
  <c r="P449" i="5"/>
  <c r="C449" i="5"/>
  <c r="G449" i="5"/>
  <c r="O449" i="5"/>
  <c r="M449" i="5"/>
  <c r="H450" i="5"/>
  <c r="J449" i="5"/>
  <c r="N449" i="5"/>
  <c r="L449" i="5"/>
  <c r="H449" i="5"/>
  <c r="K449" i="5"/>
  <c r="F450" i="5" a="1"/>
  <c r="F450" i="5" s="1"/>
  <c r="B451" i="5"/>
  <c r="O451" i="5" s="1" a="1"/>
  <c r="E451" i="5" a="1"/>
  <c r="E451" i="5" s="1"/>
  <c r="W451" i="5" s="1"/>
  <c r="A452" i="5"/>
  <c r="K450" i="5" a="1"/>
  <c r="I450" i="5" a="1"/>
  <c r="N450" i="5" a="1"/>
  <c r="M450" i="5" a="1"/>
  <c r="L450" i="5" a="1"/>
  <c r="P450" i="5" a="1"/>
  <c r="D450" i="5" a="1"/>
  <c r="G450" i="5" a="1"/>
  <c r="C450" i="5" a="1"/>
  <c r="J450" i="5" a="1"/>
  <c r="O450" i="5" a="1"/>
  <c r="J450" i="5" l="1"/>
  <c r="G450" i="5"/>
  <c r="R449" i="5"/>
  <c r="T449" i="5"/>
  <c r="O451" i="5"/>
  <c r="K450" i="5"/>
  <c r="O450" i="5"/>
  <c r="I450" i="5"/>
  <c r="M450" i="5"/>
  <c r="N450" i="5"/>
  <c r="P450" i="5"/>
  <c r="L450" i="5"/>
  <c r="D450" i="5"/>
  <c r="C450" i="5"/>
  <c r="AA451" i="5"/>
  <c r="Q449" i="5"/>
  <c r="S449" i="5"/>
  <c r="Y451" i="5"/>
  <c r="AC451" i="5" s="1"/>
  <c r="X451" i="5"/>
  <c r="Z451" i="5"/>
  <c r="AB451" i="5"/>
  <c r="B452" i="5"/>
  <c r="L452" i="5" s="1" a="1"/>
  <c r="E452" i="5" a="1"/>
  <c r="E452" i="5" s="1"/>
  <c r="Y452" i="5" s="1"/>
  <c r="F451" i="5" a="1"/>
  <c r="F451" i="5" s="1"/>
  <c r="M451" i="5" a="1"/>
  <c r="H451" i="5" a="1"/>
  <c r="A453" i="5" a="1"/>
  <c r="J451" i="5" a="1"/>
  <c r="N451" i="5" a="1"/>
  <c r="L451" i="5" a="1"/>
  <c r="D451" i="5" a="1"/>
  <c r="P451" i="5" a="1"/>
  <c r="I451" i="5" a="1"/>
  <c r="G451" i="5" a="1"/>
  <c r="C451" i="5" a="1"/>
  <c r="K451" i="5" a="1"/>
  <c r="U449" i="5" l="1" a="1"/>
  <c r="U449" i="5" s="1"/>
  <c r="F452" i="5" a="1"/>
  <c r="F452" i="5" s="1"/>
  <c r="V449" i="5" a="1"/>
  <c r="V449" i="5" s="1"/>
  <c r="L452" i="5"/>
  <c r="H451" i="5"/>
  <c r="M451" i="5"/>
  <c r="K451" i="5"/>
  <c r="I451" i="5"/>
  <c r="C451" i="5"/>
  <c r="J451" i="5"/>
  <c r="P451" i="5"/>
  <c r="L451" i="5"/>
  <c r="Q451" i="5" s="1"/>
  <c r="G451" i="5"/>
  <c r="D451" i="5"/>
  <c r="N451" i="5"/>
  <c r="R450" i="5"/>
  <c r="T450" i="5"/>
  <c r="S450" i="5"/>
  <c r="Q450" i="5"/>
  <c r="AA452" i="5"/>
  <c r="W452" i="5"/>
  <c r="A453" i="5"/>
  <c r="AC452" i="5"/>
  <c r="X452" i="5"/>
  <c r="AB452" i="5"/>
  <c r="Z452" i="5"/>
  <c r="D452" i="5" a="1"/>
  <c r="K452" i="5" a="1"/>
  <c r="H452" i="5" a="1"/>
  <c r="C452" i="5" a="1"/>
  <c r="G452" i="5" a="1"/>
  <c r="O452" i="5" a="1"/>
  <c r="N452" i="5" a="1"/>
  <c r="I452" i="5" a="1"/>
  <c r="M452" i="5" a="1"/>
  <c r="P452" i="5" a="1"/>
  <c r="J452" i="5" a="1"/>
  <c r="N452" i="5" l="1"/>
  <c r="U450" i="5" a="1"/>
  <c r="U450" i="5" s="1"/>
  <c r="P452" i="5"/>
  <c r="R452" i="5" s="1"/>
  <c r="C452" i="5"/>
  <c r="M452" i="5"/>
  <c r="H452" i="5"/>
  <c r="J452" i="5"/>
  <c r="G452" i="5"/>
  <c r="K452" i="5"/>
  <c r="I452" i="5"/>
  <c r="O452" i="5"/>
  <c r="D452" i="5"/>
  <c r="R451" i="5"/>
  <c r="U451" i="5" s="1" a="1"/>
  <c r="U451" i="5" s="1"/>
  <c r="T451" i="5"/>
  <c r="S451" i="5"/>
  <c r="V450" i="5" a="1"/>
  <c r="V450" i="5" s="1"/>
  <c r="E453" i="5" a="1"/>
  <c r="E453" i="5" s="1"/>
  <c r="AB453" i="5" s="1"/>
  <c r="B453" i="5"/>
  <c r="I453" i="5" s="1" a="1"/>
  <c r="A454" i="5" a="1"/>
  <c r="T452" i="5" l="1"/>
  <c r="V451" i="5" a="1"/>
  <c r="V451" i="5" s="1"/>
  <c r="I453" i="5"/>
  <c r="F453" i="5" a="1"/>
  <c r="F453" i="5" s="1"/>
  <c r="Q452" i="5"/>
  <c r="U452" i="5" s="1" a="1"/>
  <c r="U452" i="5" s="1"/>
  <c r="S452" i="5"/>
  <c r="A454" i="5"/>
  <c r="X453" i="5"/>
  <c r="AA453" i="5"/>
  <c r="Y453" i="5"/>
  <c r="AC453" i="5" s="1"/>
  <c r="W453" i="5"/>
  <c r="Z453" i="5"/>
  <c r="K453" i="5" a="1"/>
  <c r="C453" i="5" a="1"/>
  <c r="D453" i="5" a="1"/>
  <c r="G453" i="5" a="1"/>
  <c r="P453" i="5" a="1"/>
  <c r="H453" i="5" a="1"/>
  <c r="O453" i="5" a="1"/>
  <c r="L453" i="5" a="1"/>
  <c r="N453" i="5" a="1"/>
  <c r="M453" i="5" a="1"/>
  <c r="J453" i="5" a="1"/>
  <c r="V452" i="5" l="1" a="1"/>
  <c r="V452" i="5" s="1"/>
  <c r="J453" i="5"/>
  <c r="D453" i="5"/>
  <c r="P453" i="5"/>
  <c r="C453" i="5"/>
  <c r="O453" i="5"/>
  <c r="M453" i="5"/>
  <c r="K453" i="5"/>
  <c r="L453" i="5"/>
  <c r="N453" i="5"/>
  <c r="H453" i="5"/>
  <c r="G453" i="5"/>
  <c r="B454" i="5"/>
  <c r="F454" i="5" s="1" a="1"/>
  <c r="F454" i="5" s="1"/>
  <c r="E454" i="5" a="1"/>
  <c r="E454" i="5" s="1"/>
  <c r="Y454" i="5" s="1"/>
  <c r="A455" i="5" a="1"/>
  <c r="T453" i="5" l="1"/>
  <c r="Q453" i="5"/>
  <c r="S453" i="5"/>
  <c r="R453" i="5"/>
  <c r="A455" i="5"/>
  <c r="A456" i="5" s="1" a="1"/>
  <c r="AA454" i="5"/>
  <c r="W454" i="5"/>
  <c r="AC454" i="5"/>
  <c r="X454" i="5"/>
  <c r="Z454" i="5"/>
  <c r="AB454" i="5"/>
  <c r="O454" i="5" a="1"/>
  <c r="M454" i="5" a="1"/>
  <c r="D454" i="5" a="1"/>
  <c r="G454" i="5" a="1"/>
  <c r="H454" i="5" a="1"/>
  <c r="J454" i="5" a="1"/>
  <c r="C454" i="5" a="1"/>
  <c r="K454" i="5" a="1"/>
  <c r="N454" i="5" a="1"/>
  <c r="L454" i="5" a="1"/>
  <c r="I454" i="5" a="1"/>
  <c r="P454" i="5" a="1"/>
  <c r="V453" i="5" l="1" a="1"/>
  <c r="V453" i="5" s="1"/>
  <c r="C454" i="5"/>
  <c r="G454" i="5"/>
  <c r="P454" i="5"/>
  <c r="M454" i="5"/>
  <c r="K454" i="5"/>
  <c r="D454" i="5"/>
  <c r="H454" i="5"/>
  <c r="J454" i="5"/>
  <c r="L454" i="5"/>
  <c r="I454" i="5"/>
  <c r="N454" i="5"/>
  <c r="O454" i="5"/>
  <c r="B455" i="5"/>
  <c r="M455" i="5" s="1" a="1"/>
  <c r="U453" i="5" a="1"/>
  <c r="U453" i="5" s="1"/>
  <c r="A456" i="5"/>
  <c r="E455" i="5" a="1"/>
  <c r="E455" i="5" l="1"/>
  <c r="W455" i="5" s="1"/>
  <c r="T454" i="5"/>
  <c r="R454" i="5"/>
  <c r="M455" i="5"/>
  <c r="S454" i="5"/>
  <c r="Q454" i="5"/>
  <c r="B456" i="5"/>
  <c r="F455" i="5" a="1"/>
  <c r="F455" i="5" s="1"/>
  <c r="O455" i="5" a="1"/>
  <c r="D455" i="5" a="1"/>
  <c r="C455" i="5" a="1"/>
  <c r="J455" i="5" a="1"/>
  <c r="K455" i="5" a="1"/>
  <c r="L455" i="5" a="1"/>
  <c r="G455" i="5" a="1"/>
  <c r="I455" i="5" a="1"/>
  <c r="N455" i="5" a="1"/>
  <c r="A457" i="5" a="1"/>
  <c r="H455" i="5" a="1"/>
  <c r="P455" i="5" a="1"/>
  <c r="AA455" i="5" l="1"/>
  <c r="X455" i="5"/>
  <c r="V454" i="5" a="1"/>
  <c r="V454" i="5" s="1"/>
  <c r="E456" i="5" a="1"/>
  <c r="E456" i="5" s="1"/>
  <c r="AA456" i="5" s="1"/>
  <c r="U454" i="5" a="1"/>
  <c r="U454" i="5" s="1"/>
  <c r="Y455" i="5"/>
  <c r="AC455" i="5" s="1"/>
  <c r="AB455" i="5"/>
  <c r="Z455" i="5"/>
  <c r="O455" i="5"/>
  <c r="P455" i="5"/>
  <c r="D455" i="5"/>
  <c r="C455" i="5"/>
  <c r="H455" i="5"/>
  <c r="K455" i="5"/>
  <c r="L455" i="5"/>
  <c r="N455" i="5"/>
  <c r="G455" i="5"/>
  <c r="I455" i="5"/>
  <c r="J455" i="5"/>
  <c r="A457" i="5"/>
  <c r="A458" i="5" s="1" a="1"/>
  <c r="F456" i="5" a="1"/>
  <c r="D456" i="5" a="1"/>
  <c r="J456" i="5" a="1"/>
  <c r="L456" i="5" a="1"/>
  <c r="P456" i="5" a="1"/>
  <c r="O456" i="5" a="1"/>
  <c r="C456" i="5" a="1"/>
  <c r="K456" i="5" a="1"/>
  <c r="I456" i="5" a="1"/>
  <c r="N456" i="5" a="1"/>
  <c r="M456" i="5" a="1"/>
  <c r="G456" i="5" a="1"/>
  <c r="H456" i="5" a="1"/>
  <c r="AB456" i="5" l="1"/>
  <c r="Y456" i="5"/>
  <c r="AC456" i="5" s="1"/>
  <c r="W456" i="5"/>
  <c r="Z456" i="5"/>
  <c r="X456" i="5"/>
  <c r="F456" i="5"/>
  <c r="J456" i="5"/>
  <c r="G456" i="5"/>
  <c r="O456" i="5"/>
  <c r="K456" i="5"/>
  <c r="M456" i="5"/>
  <c r="N456" i="5"/>
  <c r="I456" i="5"/>
  <c r="C456" i="5"/>
  <c r="H456" i="5"/>
  <c r="L456" i="5"/>
  <c r="D456" i="5"/>
  <c r="P456" i="5"/>
  <c r="B457" i="5"/>
  <c r="D457" i="5" s="1" a="1"/>
  <c r="E457" i="5" a="1"/>
  <c r="E457" i="5" s="1"/>
  <c r="X457" i="5" s="1"/>
  <c r="T455" i="5"/>
  <c r="R455" i="5"/>
  <c r="Q455" i="5"/>
  <c r="S455" i="5"/>
  <c r="A458" i="5"/>
  <c r="T456" i="5" l="1"/>
  <c r="R456" i="5"/>
  <c r="D457" i="5"/>
  <c r="W457" i="5"/>
  <c r="E458" i="5" a="1"/>
  <c r="E458" i="5" s="1"/>
  <c r="Y458" i="5" s="1"/>
  <c r="B458" i="5"/>
  <c r="AB457" i="5"/>
  <c r="Y457" i="5"/>
  <c r="AC457" i="5" s="1"/>
  <c r="Z457" i="5"/>
  <c r="Q456" i="5"/>
  <c r="S456" i="5"/>
  <c r="F457" i="5" a="1"/>
  <c r="F457" i="5" s="1"/>
  <c r="AA457" i="5"/>
  <c r="V455" i="5" a="1"/>
  <c r="U455" i="5" a="1"/>
  <c r="N457" i="5" a="1"/>
  <c r="H457" i="5" a="1"/>
  <c r="M457" i="5" a="1"/>
  <c r="P457" i="5" a="1"/>
  <c r="L457" i="5" a="1"/>
  <c r="G457" i="5" a="1"/>
  <c r="O457" i="5" a="1"/>
  <c r="J457" i="5" a="1"/>
  <c r="I457" i="5" a="1"/>
  <c r="A459" i="5" a="1"/>
  <c r="C457" i="5" a="1"/>
  <c r="K457" i="5" a="1"/>
  <c r="V456" i="5" l="1" a="1"/>
  <c r="V456" i="5" s="1"/>
  <c r="U455" i="5"/>
  <c r="V455" i="5"/>
  <c r="U456" i="5" a="1"/>
  <c r="U456" i="5" s="1"/>
  <c r="N457" i="5"/>
  <c r="K457" i="5"/>
  <c r="P457" i="5"/>
  <c r="H457" i="5"/>
  <c r="C457" i="5"/>
  <c r="O457" i="5"/>
  <c r="M457" i="5"/>
  <c r="L457" i="5"/>
  <c r="G457" i="5"/>
  <c r="I457" i="5"/>
  <c r="J457" i="5"/>
  <c r="F458" i="5" a="1"/>
  <c r="F458" i="5" s="1"/>
  <c r="A459" i="5"/>
  <c r="W458" i="5"/>
  <c r="AC458" i="5"/>
  <c r="X458" i="5"/>
  <c r="AA458" i="5"/>
  <c r="AB458" i="5"/>
  <c r="Z458" i="5"/>
  <c r="J458" i="5" a="1"/>
  <c r="O458" i="5" a="1"/>
  <c r="P458" i="5" a="1"/>
  <c r="K458" i="5" a="1"/>
  <c r="N458" i="5" a="1"/>
  <c r="G458" i="5" a="1"/>
  <c r="M458" i="5" a="1"/>
  <c r="I458" i="5" a="1"/>
  <c r="D458" i="5" a="1"/>
  <c r="H458" i="5" a="1"/>
  <c r="L458" i="5" a="1"/>
  <c r="C458" i="5" a="1"/>
  <c r="A460" i="5" a="1"/>
  <c r="T457" i="5" l="1"/>
  <c r="H458" i="5"/>
  <c r="K458" i="5"/>
  <c r="M458" i="5"/>
  <c r="C458" i="5"/>
  <c r="O458" i="5"/>
  <c r="P458" i="5"/>
  <c r="I458" i="5"/>
  <c r="G458" i="5"/>
  <c r="L458" i="5"/>
  <c r="D458" i="5"/>
  <c r="J458" i="5"/>
  <c r="N458" i="5"/>
  <c r="Q457" i="5"/>
  <c r="S457" i="5"/>
  <c r="B459" i="5"/>
  <c r="E459" i="5" a="1"/>
  <c r="E459" i="5" s="1"/>
  <c r="X459" i="5" s="1"/>
  <c r="R457" i="5"/>
  <c r="A460" i="5"/>
  <c r="K459" i="5" a="1"/>
  <c r="V457" i="5" l="1" a="1"/>
  <c r="V457" i="5" s="1"/>
  <c r="R458" i="5"/>
  <c r="K459" i="5"/>
  <c r="W459" i="5"/>
  <c r="AB459" i="5"/>
  <c r="U457" i="5" a="1"/>
  <c r="U457" i="5" s="1"/>
  <c r="Q458" i="5"/>
  <c r="S458" i="5"/>
  <c r="Z459" i="5"/>
  <c r="B460" i="5"/>
  <c r="P460" i="5" s="1" a="1"/>
  <c r="E460" i="5" a="1"/>
  <c r="E460" i="5" s="1"/>
  <c r="Y460" i="5" s="1"/>
  <c r="T458" i="5"/>
  <c r="AA459" i="5"/>
  <c r="Y459" i="5"/>
  <c r="AC459" i="5" s="1"/>
  <c r="F459" i="5" a="1"/>
  <c r="F459" i="5" s="1"/>
  <c r="O459" i="5" a="1"/>
  <c r="I459" i="5" a="1"/>
  <c r="L459" i="5" a="1"/>
  <c r="H459" i="5" a="1"/>
  <c r="J459" i="5" a="1"/>
  <c r="N459" i="5" a="1"/>
  <c r="M459" i="5" a="1"/>
  <c r="D459" i="5" a="1"/>
  <c r="A461" i="5" a="1"/>
  <c r="C459" i="5" a="1"/>
  <c r="G459" i="5" a="1"/>
  <c r="P459" i="5" a="1"/>
  <c r="U458" i="5" l="1" a="1"/>
  <c r="U458" i="5" s="1"/>
  <c r="P460" i="5"/>
  <c r="C459" i="5"/>
  <c r="M459" i="5"/>
  <c r="N459" i="5"/>
  <c r="I459" i="5"/>
  <c r="L459" i="5"/>
  <c r="O459" i="5"/>
  <c r="D459" i="5"/>
  <c r="J459" i="5"/>
  <c r="G459" i="5"/>
  <c r="H459" i="5"/>
  <c r="P459" i="5"/>
  <c r="V458" i="5" a="1"/>
  <c r="V458" i="5" s="1"/>
  <c r="F460" i="5" a="1"/>
  <c r="F460" i="5" s="1"/>
  <c r="A461" i="5"/>
  <c r="W460" i="5"/>
  <c r="AC460" i="5"/>
  <c r="X460" i="5"/>
  <c r="AA460" i="5"/>
  <c r="AB460" i="5"/>
  <c r="Z460" i="5"/>
  <c r="D460" i="5" a="1"/>
  <c r="I460" i="5" a="1"/>
  <c r="K460" i="5" a="1"/>
  <c r="L460" i="5" a="1"/>
  <c r="O460" i="5" a="1"/>
  <c r="J460" i="5" a="1"/>
  <c r="H460" i="5" a="1"/>
  <c r="G460" i="5" a="1"/>
  <c r="M460" i="5" a="1"/>
  <c r="N460" i="5" a="1"/>
  <c r="C460" i="5" a="1"/>
  <c r="A462" i="5" a="1"/>
  <c r="G460" i="5" l="1"/>
  <c r="I460" i="5"/>
  <c r="T459" i="5"/>
  <c r="M460" i="5"/>
  <c r="T460" i="5" s="1"/>
  <c r="H460" i="5"/>
  <c r="J460" i="5"/>
  <c r="C460" i="5"/>
  <c r="D460" i="5"/>
  <c r="L460" i="5"/>
  <c r="R460" i="5" s="1"/>
  <c r="K460" i="5"/>
  <c r="N460" i="5"/>
  <c r="O460" i="5"/>
  <c r="R459" i="5"/>
  <c r="Q459" i="5"/>
  <c r="S459" i="5"/>
  <c r="E461" i="5" a="1"/>
  <c r="E461" i="5" s="1"/>
  <c r="B461" i="5"/>
  <c r="A462" i="5"/>
  <c r="V459" i="5" l="1" a="1"/>
  <c r="V459" i="5" s="1"/>
  <c r="U459" i="5" a="1"/>
  <c r="U459" i="5" s="1"/>
  <c r="AA461" i="5"/>
  <c r="Z461" i="5"/>
  <c r="AB461" i="5"/>
  <c r="W461" i="5"/>
  <c r="Y461" i="5"/>
  <c r="AC461" i="5" s="1"/>
  <c r="X461" i="5"/>
  <c r="F461" i="5" a="1"/>
  <c r="F461" i="5" s="1"/>
  <c r="B462" i="5"/>
  <c r="L462" i="5" s="1" a="1"/>
  <c r="E462" i="5" a="1"/>
  <c r="E462" i="5" s="1"/>
  <c r="Y462" i="5" s="1"/>
  <c r="S460" i="5"/>
  <c r="V460" i="5" s="1" a="1"/>
  <c r="V460" i="5" s="1"/>
  <c r="Q460" i="5"/>
  <c r="U460" i="5" s="1" a="1"/>
  <c r="U460" i="5" s="1"/>
  <c r="G461" i="5" a="1"/>
  <c r="N461" i="5" a="1"/>
  <c r="M461" i="5" a="1"/>
  <c r="I461" i="5" a="1"/>
  <c r="O461" i="5" a="1"/>
  <c r="L461" i="5" a="1"/>
  <c r="A463" i="5" a="1"/>
  <c r="H461" i="5" a="1"/>
  <c r="J461" i="5" a="1"/>
  <c r="K461" i="5" a="1"/>
  <c r="C461" i="5" a="1"/>
  <c r="D461" i="5" a="1"/>
  <c r="P461" i="5" a="1"/>
  <c r="L462" i="5" l="1"/>
  <c r="H461" i="5"/>
  <c r="C461" i="5"/>
  <c r="P461" i="5"/>
  <c r="L461" i="5"/>
  <c r="J461" i="5"/>
  <c r="K461" i="5"/>
  <c r="M461" i="5"/>
  <c r="G461" i="5"/>
  <c r="O461" i="5"/>
  <c r="D461" i="5"/>
  <c r="I461" i="5"/>
  <c r="N461" i="5"/>
  <c r="F462" i="5" a="1"/>
  <c r="F462" i="5" s="1"/>
  <c r="A463" i="5"/>
  <c r="A464" i="5" s="1" a="1"/>
  <c r="AA462" i="5"/>
  <c r="W462" i="5"/>
  <c r="AC462" i="5"/>
  <c r="X462" i="5"/>
  <c r="Z462" i="5"/>
  <c r="AB462" i="5"/>
  <c r="M462" i="5" a="1"/>
  <c r="O462" i="5" a="1"/>
  <c r="D462" i="5" a="1"/>
  <c r="G462" i="5" a="1"/>
  <c r="H462" i="5" a="1"/>
  <c r="J462" i="5" a="1"/>
  <c r="N462" i="5" a="1"/>
  <c r="P462" i="5" a="1"/>
  <c r="C462" i="5" a="1"/>
  <c r="K462" i="5" a="1"/>
  <c r="I462" i="5" a="1"/>
  <c r="T461" i="5" l="1"/>
  <c r="R461" i="5"/>
  <c r="C462" i="5"/>
  <c r="J462" i="5"/>
  <c r="I462" i="5"/>
  <c r="O462" i="5"/>
  <c r="G462" i="5"/>
  <c r="N462" i="5"/>
  <c r="P462" i="5"/>
  <c r="R462" i="5" s="1"/>
  <c r="K462" i="5"/>
  <c r="H462" i="5"/>
  <c r="M462" i="5"/>
  <c r="D462" i="5"/>
  <c r="E463" i="5" a="1"/>
  <c r="E463" i="5" s="1"/>
  <c r="Y463" i="5" s="1"/>
  <c r="AC463" i="5" s="1"/>
  <c r="B463" i="5"/>
  <c r="N463" i="5" s="1" a="1"/>
  <c r="S461" i="5"/>
  <c r="Q461" i="5"/>
  <c r="A464" i="5"/>
  <c r="U461" i="5" l="1" a="1"/>
  <c r="U461" i="5" s="1"/>
  <c r="V461" i="5" a="1"/>
  <c r="V461" i="5" s="1"/>
  <c r="N463" i="5"/>
  <c r="W463" i="5"/>
  <c r="AA463" i="5"/>
  <c r="AB463" i="5"/>
  <c r="Z463" i="5"/>
  <c r="X463" i="5"/>
  <c r="S462" i="5"/>
  <c r="Q462" i="5"/>
  <c r="U462" i="5" s="1" a="1"/>
  <c r="U462" i="5" s="1"/>
  <c r="F463" i="5" a="1"/>
  <c r="F463" i="5" s="1"/>
  <c r="T462" i="5"/>
  <c r="B464" i="5"/>
  <c r="O464" i="5" s="1" a="1"/>
  <c r="E464" i="5" a="1"/>
  <c r="E464" i="5" s="1"/>
  <c r="Y464" i="5" s="1"/>
  <c r="L463" i="5" a="1"/>
  <c r="O463" i="5" a="1"/>
  <c r="M463" i="5" a="1"/>
  <c r="P463" i="5" a="1"/>
  <c r="A465" i="5" a="1"/>
  <c r="K463" i="5" a="1"/>
  <c r="G463" i="5" a="1"/>
  <c r="J463" i="5" a="1"/>
  <c r="I463" i="5" a="1"/>
  <c r="H463" i="5" a="1"/>
  <c r="C463" i="5" a="1"/>
  <c r="D463" i="5" a="1"/>
  <c r="V462" i="5" l="1" a="1"/>
  <c r="V462" i="5" s="1"/>
  <c r="O464" i="5"/>
  <c r="M463" i="5"/>
  <c r="I463" i="5"/>
  <c r="C463" i="5"/>
  <c r="H463" i="5"/>
  <c r="D463" i="5"/>
  <c r="G463" i="5"/>
  <c r="P463" i="5"/>
  <c r="K463" i="5"/>
  <c r="O463" i="5"/>
  <c r="L463" i="5"/>
  <c r="J463" i="5"/>
  <c r="F464" i="5" a="1"/>
  <c r="F464" i="5" s="1"/>
  <c r="A465" i="5"/>
  <c r="AA464" i="5"/>
  <c r="W464" i="5"/>
  <c r="AC464" i="5"/>
  <c r="X464" i="5"/>
  <c r="AB464" i="5"/>
  <c r="Z464" i="5"/>
  <c r="H464" i="5" a="1"/>
  <c r="C464" i="5" a="1"/>
  <c r="L464" i="5" a="1"/>
  <c r="N464" i="5" a="1"/>
  <c r="G464" i="5" a="1"/>
  <c r="M464" i="5" a="1"/>
  <c r="P464" i="5" a="1"/>
  <c r="I464" i="5" a="1"/>
  <c r="D464" i="5" a="1"/>
  <c r="K464" i="5" a="1"/>
  <c r="J464" i="5" a="1"/>
  <c r="A466" i="5" a="1"/>
  <c r="T463" i="5" l="1"/>
  <c r="N464" i="5"/>
  <c r="M464" i="5"/>
  <c r="H464" i="5"/>
  <c r="J464" i="5"/>
  <c r="C464" i="5"/>
  <c r="G464" i="5"/>
  <c r="I464" i="5"/>
  <c r="P464" i="5"/>
  <c r="L464" i="5"/>
  <c r="Q464" i="5" s="1"/>
  <c r="K464" i="5"/>
  <c r="D464" i="5"/>
  <c r="E465" i="5" a="1"/>
  <c r="E465" i="5" s="1"/>
  <c r="Y465" i="5" s="1"/>
  <c r="AC465" i="5" s="1"/>
  <c r="B465" i="5"/>
  <c r="M465" i="5" s="1" a="1"/>
  <c r="Q463" i="5"/>
  <c r="S463" i="5"/>
  <c r="R463" i="5"/>
  <c r="A466" i="5"/>
  <c r="V463" i="5" l="1" a="1"/>
  <c r="V463" i="5" s="1"/>
  <c r="U463" i="5" a="1"/>
  <c r="U463" i="5" s="1"/>
  <c r="Z465" i="5"/>
  <c r="AA465" i="5"/>
  <c r="X465" i="5"/>
  <c r="M465" i="5"/>
  <c r="R464" i="5"/>
  <c r="U464" i="5" s="1" a="1"/>
  <c r="U464" i="5" s="1"/>
  <c r="F465" i="5" a="1"/>
  <c r="F465" i="5" s="1"/>
  <c r="W465" i="5"/>
  <c r="AB465" i="5"/>
  <c r="B466" i="5"/>
  <c r="H466" i="5" s="1" a="1"/>
  <c r="E466" i="5" a="1"/>
  <c r="E466" i="5" s="1"/>
  <c r="T464" i="5"/>
  <c r="S464" i="5"/>
  <c r="L465" i="5" a="1"/>
  <c r="G465" i="5" a="1"/>
  <c r="J465" i="5" a="1"/>
  <c r="N465" i="5" a="1"/>
  <c r="H465" i="5" a="1"/>
  <c r="P465" i="5" a="1"/>
  <c r="K465" i="5" a="1"/>
  <c r="A467" i="5" a="1"/>
  <c r="O465" i="5" a="1"/>
  <c r="I465" i="5" a="1"/>
  <c r="C465" i="5" a="1"/>
  <c r="D465" i="5" a="1"/>
  <c r="N465" i="5" l="1"/>
  <c r="J465" i="5"/>
  <c r="C465" i="5"/>
  <c r="D465" i="5"/>
  <c r="K465" i="5"/>
  <c r="O465" i="5"/>
  <c r="P465" i="5"/>
  <c r="I465" i="5"/>
  <c r="G465" i="5"/>
  <c r="L465" i="5"/>
  <c r="H465" i="5"/>
  <c r="H466" i="5"/>
  <c r="Y466" i="5"/>
  <c r="AC466" i="5" s="1"/>
  <c r="V464" i="5" a="1"/>
  <c r="V464" i="5" s="1"/>
  <c r="A467" i="5"/>
  <c r="AA466" i="5"/>
  <c r="W466" i="5"/>
  <c r="X466" i="5"/>
  <c r="Z466" i="5"/>
  <c r="AB466" i="5"/>
  <c r="F466" i="5" a="1"/>
  <c r="J466" i="5" a="1"/>
  <c r="D466" i="5" a="1"/>
  <c r="G466" i="5" a="1"/>
  <c r="P466" i="5" a="1"/>
  <c r="I466" i="5" a="1"/>
  <c r="L466" i="5" a="1"/>
  <c r="M466" i="5" a="1"/>
  <c r="K466" i="5" a="1"/>
  <c r="C466" i="5" a="1"/>
  <c r="N466" i="5" a="1"/>
  <c r="O466" i="5" a="1"/>
  <c r="P466" i="5" l="1"/>
  <c r="L466" i="5"/>
  <c r="C466" i="5"/>
  <c r="N466" i="5"/>
  <c r="F466" i="5"/>
  <c r="M466" i="5"/>
  <c r="D466" i="5"/>
  <c r="G466" i="5"/>
  <c r="I466" i="5"/>
  <c r="J466" i="5"/>
  <c r="O466" i="5"/>
  <c r="K466" i="5"/>
  <c r="E467" i="5" a="1"/>
  <c r="E467" i="5" s="1"/>
  <c r="AB467" i="5" s="1"/>
  <c r="B467" i="5"/>
  <c r="T465" i="5"/>
  <c r="R465" i="5"/>
  <c r="S465" i="5"/>
  <c r="Q465" i="5"/>
  <c r="A468" i="5" a="1"/>
  <c r="M467" i="5" a="1"/>
  <c r="R466" i="5" l="1"/>
  <c r="T466" i="5"/>
  <c r="U465" i="5" a="1"/>
  <c r="U465" i="5" s="1"/>
  <c r="M467" i="5"/>
  <c r="Q466" i="5"/>
  <c r="S466" i="5"/>
  <c r="V465" i="5" a="1"/>
  <c r="V465" i="5" s="1"/>
  <c r="F467" i="5" a="1"/>
  <c r="F467" i="5" s="1"/>
  <c r="A468" i="5"/>
  <c r="X467" i="5"/>
  <c r="AA467" i="5"/>
  <c r="Y467" i="5"/>
  <c r="AC467" i="5" s="1"/>
  <c r="W467" i="5"/>
  <c r="Z467" i="5"/>
  <c r="N467" i="5" a="1"/>
  <c r="O467" i="5" a="1"/>
  <c r="P467" i="5" a="1"/>
  <c r="G467" i="5" a="1"/>
  <c r="H467" i="5" a="1"/>
  <c r="C467" i="5" a="1"/>
  <c r="L467" i="5" a="1"/>
  <c r="K467" i="5" a="1"/>
  <c r="D467" i="5" a="1"/>
  <c r="J467" i="5" a="1"/>
  <c r="I467" i="5" a="1"/>
  <c r="V466" i="5" l="1" a="1"/>
  <c r="V466" i="5" s="1"/>
  <c r="U466" i="5" a="1"/>
  <c r="U466" i="5" s="1"/>
  <c r="I467" i="5"/>
  <c r="L467" i="5"/>
  <c r="H467" i="5"/>
  <c r="O467" i="5"/>
  <c r="D467" i="5"/>
  <c r="P467" i="5"/>
  <c r="C467" i="5"/>
  <c r="J467" i="5"/>
  <c r="K467" i="5"/>
  <c r="N467" i="5"/>
  <c r="G467" i="5"/>
  <c r="B468" i="5"/>
  <c r="E468" i="5" a="1"/>
  <c r="E468" i="5" s="1"/>
  <c r="A469" i="5" a="1"/>
  <c r="F468" i="5" l="1" a="1"/>
  <c r="F468" i="5" s="1"/>
  <c r="R467" i="5"/>
  <c r="T467" i="5"/>
  <c r="Y468" i="5"/>
  <c r="AC468" i="5" s="1"/>
  <c r="S467" i="5"/>
  <c r="Q467" i="5"/>
  <c r="A469" i="5"/>
  <c r="A470" i="5" s="1" a="1"/>
  <c r="AA468" i="5"/>
  <c r="W468" i="5"/>
  <c r="X468" i="5"/>
  <c r="Z468" i="5"/>
  <c r="AB468" i="5"/>
  <c r="M468" i="5" a="1"/>
  <c r="K468" i="5" a="1"/>
  <c r="G468" i="5" a="1"/>
  <c r="C468" i="5" a="1"/>
  <c r="N468" i="5" a="1"/>
  <c r="L468" i="5" a="1"/>
  <c r="H468" i="5" a="1"/>
  <c r="I468" i="5" a="1"/>
  <c r="O468" i="5" a="1"/>
  <c r="J468" i="5" a="1"/>
  <c r="P468" i="5" a="1"/>
  <c r="D468" i="5" a="1"/>
  <c r="V467" i="5" l="1" a="1"/>
  <c r="V467" i="5" s="1"/>
  <c r="U467" i="5" a="1"/>
  <c r="U467" i="5" s="1"/>
  <c r="J468" i="5"/>
  <c r="H468" i="5"/>
  <c r="K468" i="5"/>
  <c r="N468" i="5"/>
  <c r="O468" i="5"/>
  <c r="D468" i="5"/>
  <c r="P468" i="5"/>
  <c r="L468" i="5"/>
  <c r="I468" i="5"/>
  <c r="G468" i="5"/>
  <c r="C468" i="5"/>
  <c r="M468" i="5"/>
  <c r="B469" i="5"/>
  <c r="E469" i="5" a="1"/>
  <c r="E469" i="5" s="1"/>
  <c r="X469" i="5" s="1"/>
  <c r="A470" i="5"/>
  <c r="D469" i="5" a="1"/>
  <c r="R468" i="5" l="1"/>
  <c r="AB469" i="5"/>
  <c r="Y469" i="5"/>
  <c r="AC469" i="5" s="1"/>
  <c r="AA469" i="5"/>
  <c r="D469" i="5"/>
  <c r="Q468" i="5"/>
  <c r="S468" i="5"/>
  <c r="T468" i="5"/>
  <c r="Z469" i="5"/>
  <c r="W469" i="5"/>
  <c r="F469" i="5" a="1"/>
  <c r="F469" i="5" s="1"/>
  <c r="E470" i="5" a="1"/>
  <c r="E470" i="5" s="1"/>
  <c r="B470" i="5"/>
  <c r="G470" i="5" s="1" a="1"/>
  <c r="I469" i="5" a="1"/>
  <c r="H469" i="5" a="1"/>
  <c r="M469" i="5" a="1"/>
  <c r="G469" i="5" a="1"/>
  <c r="J469" i="5" a="1"/>
  <c r="O469" i="5" a="1"/>
  <c r="C469" i="5" a="1"/>
  <c r="A471" i="5" a="1"/>
  <c r="P469" i="5" a="1"/>
  <c r="N469" i="5" a="1"/>
  <c r="L469" i="5" a="1"/>
  <c r="K469" i="5" a="1"/>
  <c r="U468" i="5" l="1" a="1"/>
  <c r="U468" i="5" s="1"/>
  <c r="V468" i="5" a="1"/>
  <c r="V468" i="5" s="1"/>
  <c r="G470" i="5"/>
  <c r="M469" i="5"/>
  <c r="I469" i="5"/>
  <c r="G469" i="5"/>
  <c r="L469" i="5"/>
  <c r="J469" i="5"/>
  <c r="P469" i="5"/>
  <c r="O469" i="5"/>
  <c r="H469" i="5"/>
  <c r="K469" i="5"/>
  <c r="N469" i="5"/>
  <c r="C469" i="5"/>
  <c r="Y470" i="5"/>
  <c r="AC470" i="5" s="1"/>
  <c r="F470" i="5" a="1"/>
  <c r="F470" i="5" s="1"/>
  <c r="A471" i="5"/>
  <c r="AA470" i="5"/>
  <c r="W470" i="5"/>
  <c r="X470" i="5"/>
  <c r="Z470" i="5"/>
  <c r="AB470" i="5"/>
  <c r="P470" i="5" a="1"/>
  <c r="H470" i="5" a="1"/>
  <c r="L470" i="5" a="1"/>
  <c r="M470" i="5" a="1"/>
  <c r="N470" i="5" a="1"/>
  <c r="J470" i="5" a="1"/>
  <c r="I470" i="5" a="1"/>
  <c r="D470" i="5" a="1"/>
  <c r="O470" i="5" a="1"/>
  <c r="K470" i="5" a="1"/>
  <c r="C470" i="5" a="1"/>
  <c r="A472" i="5" a="1"/>
  <c r="R469" i="5" l="1"/>
  <c r="O470" i="5"/>
  <c r="L470" i="5"/>
  <c r="K470" i="5"/>
  <c r="J470" i="5"/>
  <c r="H470" i="5"/>
  <c r="M470" i="5"/>
  <c r="D470" i="5"/>
  <c r="N470" i="5"/>
  <c r="P470" i="5"/>
  <c r="C470" i="5"/>
  <c r="I470" i="5"/>
  <c r="Q469" i="5"/>
  <c r="S469" i="5"/>
  <c r="B471" i="5"/>
  <c r="E471" i="5" a="1"/>
  <c r="E471" i="5" s="1"/>
  <c r="AA471" i="5" s="1"/>
  <c r="T469" i="5"/>
  <c r="A472" i="5"/>
  <c r="G471" i="5" a="1"/>
  <c r="U469" i="5" l="1" a="1"/>
  <c r="U469" i="5" s="1"/>
  <c r="R470" i="5"/>
  <c r="T470" i="5"/>
  <c r="V469" i="5" a="1"/>
  <c r="V469" i="5" s="1"/>
  <c r="AB471" i="5"/>
  <c r="G471" i="5"/>
  <c r="X471" i="5"/>
  <c r="F471" i="5" a="1"/>
  <c r="F471" i="5" s="1"/>
  <c r="W471" i="5"/>
  <c r="Z471" i="5"/>
  <c r="Y471" i="5"/>
  <c r="AC471" i="5" s="1"/>
  <c r="B472" i="5"/>
  <c r="N472" i="5" s="1" a="1"/>
  <c r="E472" i="5" a="1"/>
  <c r="E472" i="5" s="1"/>
  <c r="S470" i="5"/>
  <c r="Q470" i="5"/>
  <c r="J471" i="5" a="1"/>
  <c r="O471" i="5" a="1"/>
  <c r="N471" i="5" a="1"/>
  <c r="L471" i="5" a="1"/>
  <c r="H471" i="5" a="1"/>
  <c r="M471" i="5" a="1"/>
  <c r="K471" i="5" a="1"/>
  <c r="I471" i="5" a="1"/>
  <c r="C471" i="5" a="1"/>
  <c r="P471" i="5" a="1"/>
  <c r="A473" i="5" a="1"/>
  <c r="D471" i="5" a="1"/>
  <c r="V470" i="5" l="1" a="1"/>
  <c r="V470" i="5" s="1"/>
  <c r="U470" i="5" a="1"/>
  <c r="U470" i="5" s="1"/>
  <c r="N472" i="5"/>
  <c r="M471" i="5"/>
  <c r="N471" i="5"/>
  <c r="O471" i="5"/>
  <c r="C471" i="5"/>
  <c r="L471" i="5"/>
  <c r="J471" i="5"/>
  <c r="D471" i="5"/>
  <c r="H471" i="5"/>
  <c r="I471" i="5"/>
  <c r="P471" i="5"/>
  <c r="K471" i="5"/>
  <c r="Y472" i="5"/>
  <c r="AC472" i="5" s="1"/>
  <c r="F472" i="5" a="1"/>
  <c r="F472" i="5" s="1"/>
  <c r="A473" i="5"/>
  <c r="AA472" i="5"/>
  <c r="W472" i="5"/>
  <c r="X472" i="5"/>
  <c r="Z472" i="5"/>
  <c r="AB472" i="5"/>
  <c r="G472" i="5" a="1"/>
  <c r="M472" i="5" a="1"/>
  <c r="P472" i="5" a="1"/>
  <c r="K472" i="5" a="1"/>
  <c r="I472" i="5" a="1"/>
  <c r="D472" i="5" a="1"/>
  <c r="H472" i="5" a="1"/>
  <c r="C472" i="5" a="1"/>
  <c r="L472" i="5" a="1"/>
  <c r="J472" i="5" a="1"/>
  <c r="O472" i="5" a="1"/>
  <c r="A474" i="5" a="1"/>
  <c r="O472" i="5" l="1"/>
  <c r="J472" i="5"/>
  <c r="I472" i="5"/>
  <c r="H472" i="5"/>
  <c r="P472" i="5"/>
  <c r="G472" i="5"/>
  <c r="M472" i="5"/>
  <c r="C472" i="5"/>
  <c r="D472" i="5"/>
  <c r="L472" i="5"/>
  <c r="K472" i="5"/>
  <c r="E473" i="5" a="1"/>
  <c r="E473" i="5" s="1"/>
  <c r="Z473" i="5" s="1"/>
  <c r="B473" i="5"/>
  <c r="Q471" i="5"/>
  <c r="S471" i="5"/>
  <c r="R471" i="5"/>
  <c r="T471" i="5"/>
  <c r="A474" i="5"/>
  <c r="R472" i="5" l="1"/>
  <c r="T472" i="5"/>
  <c r="F473" i="5" a="1"/>
  <c r="F473" i="5" s="1"/>
  <c r="AB473" i="5"/>
  <c r="Y473" i="5"/>
  <c r="AC473" i="5" s="1"/>
  <c r="X473" i="5"/>
  <c r="B474" i="5"/>
  <c r="E474" i="5" a="1"/>
  <c r="E474" i="5" s="1"/>
  <c r="AA473" i="5"/>
  <c r="V471" i="5" a="1"/>
  <c r="V471" i="5" s="1"/>
  <c r="W473" i="5"/>
  <c r="U471" i="5" a="1"/>
  <c r="U471" i="5" s="1"/>
  <c r="Q472" i="5"/>
  <c r="S472" i="5"/>
  <c r="H473" i="5" a="1"/>
  <c r="L473" i="5" a="1"/>
  <c r="P473" i="5" a="1"/>
  <c r="I473" i="5" a="1"/>
  <c r="M473" i="5" a="1"/>
  <c r="G473" i="5" a="1"/>
  <c r="J473" i="5" a="1"/>
  <c r="O473" i="5" a="1"/>
  <c r="K473" i="5" a="1"/>
  <c r="D473" i="5" a="1"/>
  <c r="N473" i="5" a="1"/>
  <c r="A475" i="5" a="1"/>
  <c r="C473" i="5" a="1"/>
  <c r="V472" i="5" l="1" a="1"/>
  <c r="V472" i="5" s="1"/>
  <c r="U472" i="5" a="1"/>
  <c r="U472" i="5" s="1"/>
  <c r="D473" i="5"/>
  <c r="C473" i="5"/>
  <c r="I473" i="5"/>
  <c r="H473" i="5"/>
  <c r="J473" i="5"/>
  <c r="P473" i="5"/>
  <c r="N473" i="5"/>
  <c r="O473" i="5"/>
  <c r="L473" i="5"/>
  <c r="M473" i="5"/>
  <c r="G473" i="5"/>
  <c r="K473" i="5"/>
  <c r="F474" i="5" a="1"/>
  <c r="F474" i="5" s="1"/>
  <c r="X474" i="5"/>
  <c r="A475" i="5"/>
  <c r="AA474" i="5"/>
  <c r="W474" i="5"/>
  <c r="AB474" i="5"/>
  <c r="Y474" i="5"/>
  <c r="AC474" i="5" s="1"/>
  <c r="Z474" i="5"/>
  <c r="O474" i="5" a="1"/>
  <c r="H474" i="5" a="1"/>
  <c r="D474" i="5" a="1"/>
  <c r="J474" i="5" a="1"/>
  <c r="M474" i="5" a="1"/>
  <c r="L474" i="5" a="1"/>
  <c r="G474" i="5" a="1"/>
  <c r="K474" i="5" a="1"/>
  <c r="N474" i="5" a="1"/>
  <c r="P474" i="5" a="1"/>
  <c r="I474" i="5" a="1"/>
  <c r="C474" i="5" a="1"/>
  <c r="R473" i="5" l="1"/>
  <c r="G474" i="5"/>
  <c r="M474" i="5"/>
  <c r="D474" i="5"/>
  <c r="L474" i="5"/>
  <c r="K474" i="5"/>
  <c r="N474" i="5"/>
  <c r="P474" i="5"/>
  <c r="C474" i="5"/>
  <c r="O474" i="5"/>
  <c r="H474" i="5"/>
  <c r="J474" i="5"/>
  <c r="I474" i="5"/>
  <c r="Q473" i="5"/>
  <c r="S473" i="5"/>
  <c r="T473" i="5"/>
  <c r="E475" i="5" a="1"/>
  <c r="E475" i="5" s="1"/>
  <c r="B475" i="5"/>
  <c r="A476" i="5" a="1"/>
  <c r="M475" i="5" a="1"/>
  <c r="R474" i="5" l="1"/>
  <c r="U473" i="5" a="1"/>
  <c r="U473" i="5" s="1"/>
  <c r="M475" i="5"/>
  <c r="V473" i="5" a="1"/>
  <c r="V473" i="5" s="1"/>
  <c r="Z475" i="5"/>
  <c r="F475" i="5" a="1"/>
  <c r="F475" i="5" s="1"/>
  <c r="T474" i="5"/>
  <c r="Q474" i="5"/>
  <c r="S474" i="5"/>
  <c r="A476" i="5"/>
  <c r="A477" i="5" s="1" a="1"/>
  <c r="AB475" i="5"/>
  <c r="AA475" i="5"/>
  <c r="X475" i="5"/>
  <c r="W475" i="5"/>
  <c r="Y475" i="5"/>
  <c r="AC475" i="5" s="1"/>
  <c r="I475" i="5" a="1"/>
  <c r="G475" i="5" a="1"/>
  <c r="J475" i="5" a="1"/>
  <c r="N475" i="5" a="1"/>
  <c r="L475" i="5" a="1"/>
  <c r="D475" i="5" a="1"/>
  <c r="H475" i="5" a="1"/>
  <c r="C475" i="5" a="1"/>
  <c r="P475" i="5" a="1"/>
  <c r="O475" i="5" a="1"/>
  <c r="K475" i="5" a="1"/>
  <c r="U474" i="5" l="1" a="1"/>
  <c r="U474" i="5" s="1"/>
  <c r="V474" i="5" a="1"/>
  <c r="V474" i="5" s="1"/>
  <c r="D475" i="5"/>
  <c r="H475" i="5"/>
  <c r="O475" i="5"/>
  <c r="I475" i="5"/>
  <c r="N475" i="5"/>
  <c r="G475" i="5"/>
  <c r="J475" i="5"/>
  <c r="K475" i="5"/>
  <c r="P475" i="5"/>
  <c r="L475" i="5"/>
  <c r="C475" i="5"/>
  <c r="B476" i="5"/>
  <c r="F476" i="5" s="1" a="1"/>
  <c r="E476" i="5" a="1"/>
  <c r="E476" i="5" s="1"/>
  <c r="W476" i="5" s="1"/>
  <c r="A477" i="5"/>
  <c r="F476" i="5" l="1"/>
  <c r="AA476" i="5"/>
  <c r="AB476" i="5"/>
  <c r="Z476" i="5"/>
  <c r="Y476" i="5"/>
  <c r="AC476" i="5" s="1"/>
  <c r="X476" i="5"/>
  <c r="S475" i="5"/>
  <c r="Q475" i="5"/>
  <c r="B477" i="5"/>
  <c r="E477" i="5" a="1"/>
  <c r="E477" i="5" s="1"/>
  <c r="T475" i="5"/>
  <c r="R475" i="5"/>
  <c r="A478" i="5" a="1"/>
  <c r="J476" i="5" a="1"/>
  <c r="N476" i="5" a="1"/>
  <c r="H476" i="5" a="1"/>
  <c r="C476" i="5" a="1"/>
  <c r="G476" i="5" a="1"/>
  <c r="P476" i="5" a="1"/>
  <c r="K476" i="5" a="1"/>
  <c r="D476" i="5" a="1"/>
  <c r="I476" i="5" a="1"/>
  <c r="L476" i="5" a="1"/>
  <c r="O476" i="5" a="1"/>
  <c r="M476" i="5" a="1"/>
  <c r="F477" i="5" l="1" a="1"/>
  <c r="F477" i="5" s="1"/>
  <c r="M476" i="5"/>
  <c r="I476" i="5"/>
  <c r="J476" i="5"/>
  <c r="L476" i="5"/>
  <c r="H476" i="5"/>
  <c r="D476" i="5"/>
  <c r="O476" i="5"/>
  <c r="C476" i="5"/>
  <c r="K476" i="5"/>
  <c r="N476" i="5"/>
  <c r="G476" i="5"/>
  <c r="P476" i="5"/>
  <c r="V475" i="5" a="1"/>
  <c r="V475" i="5" s="1"/>
  <c r="U475" i="5" a="1"/>
  <c r="U475" i="5" s="1"/>
  <c r="Z477" i="5"/>
  <c r="A478" i="5"/>
  <c r="AA477" i="5"/>
  <c r="AB477" i="5"/>
  <c r="Y477" i="5"/>
  <c r="AC477" i="5" s="1"/>
  <c r="X477" i="5"/>
  <c r="W477" i="5"/>
  <c r="K477" i="5" a="1"/>
  <c r="N477" i="5" a="1"/>
  <c r="D477" i="5" a="1"/>
  <c r="I477" i="5" a="1"/>
  <c r="H477" i="5" a="1"/>
  <c r="C477" i="5" a="1"/>
  <c r="J477" i="5" a="1"/>
  <c r="O477" i="5" a="1"/>
  <c r="P477" i="5" a="1"/>
  <c r="G477" i="5" a="1"/>
  <c r="M477" i="5" a="1"/>
  <c r="L477" i="5" a="1"/>
  <c r="K477" i="5" l="1"/>
  <c r="G477" i="5"/>
  <c r="R476" i="5"/>
  <c r="L477" i="5"/>
  <c r="P477" i="5"/>
  <c r="N477" i="5"/>
  <c r="D477" i="5"/>
  <c r="H477" i="5"/>
  <c r="C477" i="5"/>
  <c r="O477" i="5"/>
  <c r="M477" i="5"/>
  <c r="J477" i="5"/>
  <c r="I477" i="5"/>
  <c r="T476" i="5"/>
  <c r="E478" i="5" a="1"/>
  <c r="E478" i="5" s="1"/>
  <c r="B478" i="5"/>
  <c r="S476" i="5"/>
  <c r="Q476" i="5"/>
  <c r="A479" i="5" a="1"/>
  <c r="G478" i="5" a="1"/>
  <c r="R477" i="5" l="1"/>
  <c r="T477" i="5"/>
  <c r="V476" i="5" a="1"/>
  <c r="V476" i="5" s="1"/>
  <c r="U476" i="5" a="1"/>
  <c r="U476" i="5" s="1"/>
  <c r="G478" i="5"/>
  <c r="S477" i="5"/>
  <c r="Q477" i="5"/>
  <c r="F478" i="5" a="1"/>
  <c r="F478" i="5" s="1"/>
  <c r="AA478" i="5"/>
  <c r="X478" i="5"/>
  <c r="A479" i="5"/>
  <c r="W478" i="5"/>
  <c r="Z478" i="5"/>
  <c r="Y478" i="5"/>
  <c r="AC478" i="5" s="1"/>
  <c r="AB478" i="5"/>
  <c r="K478" i="5" a="1"/>
  <c r="N478" i="5" a="1"/>
  <c r="J478" i="5" a="1"/>
  <c r="D478" i="5" a="1"/>
  <c r="H478" i="5" a="1"/>
  <c r="C478" i="5" a="1"/>
  <c r="L478" i="5" a="1"/>
  <c r="O478" i="5" a="1"/>
  <c r="I478" i="5" a="1"/>
  <c r="M478" i="5" a="1"/>
  <c r="P478" i="5" a="1"/>
  <c r="U477" i="5" l="1" a="1"/>
  <c r="U477" i="5" s="1"/>
  <c r="V477" i="5" a="1"/>
  <c r="V477" i="5" s="1"/>
  <c r="H478" i="5"/>
  <c r="I478" i="5"/>
  <c r="C478" i="5"/>
  <c r="O478" i="5"/>
  <c r="K478" i="5"/>
  <c r="D478" i="5"/>
  <c r="J478" i="5"/>
  <c r="M478" i="5"/>
  <c r="P478" i="5"/>
  <c r="L478" i="5"/>
  <c r="N478" i="5"/>
  <c r="B479" i="5"/>
  <c r="F479" i="5" s="1" a="1"/>
  <c r="F479" i="5" s="1"/>
  <c r="E479" i="5" a="1"/>
  <c r="E479" i="5" s="1"/>
  <c r="Z479" i="5" s="1"/>
  <c r="A480" i="5" a="1"/>
  <c r="T478" i="5" l="1"/>
  <c r="R478" i="5"/>
  <c r="S478" i="5"/>
  <c r="Q478" i="5"/>
  <c r="AA479" i="5"/>
  <c r="A480" i="5"/>
  <c r="AB479" i="5"/>
  <c r="X479" i="5"/>
  <c r="W479" i="5"/>
  <c r="Y479" i="5"/>
  <c r="AC479" i="5" s="1"/>
  <c r="L479" i="5" a="1"/>
  <c r="I479" i="5" a="1"/>
  <c r="O479" i="5" a="1"/>
  <c r="J479" i="5" a="1"/>
  <c r="G479" i="5" a="1"/>
  <c r="H479" i="5" a="1"/>
  <c r="K479" i="5" a="1"/>
  <c r="C479" i="5" a="1"/>
  <c r="D479" i="5" a="1"/>
  <c r="P479" i="5" a="1"/>
  <c r="M479" i="5" a="1"/>
  <c r="N479" i="5" a="1"/>
  <c r="A481" i="5" a="1"/>
  <c r="V478" i="5" l="1" a="1"/>
  <c r="V478" i="5" s="1"/>
  <c r="P479" i="5"/>
  <c r="C479" i="5"/>
  <c r="J479" i="5"/>
  <c r="G479" i="5"/>
  <c r="D479" i="5"/>
  <c r="L479" i="5"/>
  <c r="H479" i="5"/>
  <c r="I479" i="5"/>
  <c r="U478" i="5" a="1"/>
  <c r="U478" i="5" s="1"/>
  <c r="N479" i="5"/>
  <c r="O479" i="5"/>
  <c r="K479" i="5"/>
  <c r="M479" i="5"/>
  <c r="B480" i="5"/>
  <c r="E480" i="5" a="1"/>
  <c r="E480" i="5" s="1"/>
  <c r="AA480" i="5" s="1"/>
  <c r="A481" i="5"/>
  <c r="D480" i="5" a="1"/>
  <c r="R479" i="5" l="1"/>
  <c r="T479" i="5"/>
  <c r="D480" i="5"/>
  <c r="AB480" i="5"/>
  <c r="W480" i="5"/>
  <c r="Y480" i="5"/>
  <c r="AC480" i="5" s="1"/>
  <c r="F480" i="5" a="1"/>
  <c r="F480" i="5" s="1"/>
  <c r="E481" i="5" a="1"/>
  <c r="E481" i="5" s="1"/>
  <c r="Z481" i="5" s="1"/>
  <c r="B481" i="5"/>
  <c r="G481" i="5" s="1" a="1"/>
  <c r="Q479" i="5"/>
  <c r="S479" i="5"/>
  <c r="Z480" i="5"/>
  <c r="X480" i="5"/>
  <c r="J480" i="5" a="1"/>
  <c r="A482" i="5" a="1"/>
  <c r="H480" i="5" a="1"/>
  <c r="C480" i="5" a="1"/>
  <c r="O480" i="5" a="1"/>
  <c r="K480" i="5" a="1"/>
  <c r="G480" i="5" a="1"/>
  <c r="N480" i="5" a="1"/>
  <c r="L480" i="5" a="1"/>
  <c r="M480" i="5" a="1"/>
  <c r="I480" i="5" a="1"/>
  <c r="P480" i="5" a="1"/>
  <c r="V479" i="5" l="1" a="1"/>
  <c r="V479" i="5" s="1"/>
  <c r="U479" i="5" a="1"/>
  <c r="U479" i="5" s="1"/>
  <c r="F481" i="5" a="1"/>
  <c r="F481" i="5" s="1"/>
  <c r="O480" i="5"/>
  <c r="P480" i="5"/>
  <c r="J480" i="5"/>
  <c r="C480" i="5"/>
  <c r="I480" i="5"/>
  <c r="K480" i="5"/>
  <c r="L480" i="5"/>
  <c r="H480" i="5"/>
  <c r="M480" i="5"/>
  <c r="G481" i="5"/>
  <c r="N480" i="5"/>
  <c r="G480" i="5"/>
  <c r="A482" i="5"/>
  <c r="AA481" i="5"/>
  <c r="AB481" i="5"/>
  <c r="Y481" i="5"/>
  <c r="AC481" i="5" s="1"/>
  <c r="X481" i="5"/>
  <c r="W481" i="5"/>
  <c r="D481" i="5" a="1"/>
  <c r="M481" i="5" a="1"/>
  <c r="C481" i="5" a="1"/>
  <c r="I481" i="5" a="1"/>
  <c r="K481" i="5" a="1"/>
  <c r="P481" i="5" a="1"/>
  <c r="J481" i="5" a="1"/>
  <c r="L481" i="5" a="1"/>
  <c r="O481" i="5" a="1"/>
  <c r="N481" i="5" a="1"/>
  <c r="H481" i="5" a="1"/>
  <c r="R480" i="5" l="1"/>
  <c r="T480" i="5"/>
  <c r="K481" i="5"/>
  <c r="H481" i="5"/>
  <c r="L481" i="5"/>
  <c r="C481" i="5"/>
  <c r="N481" i="5"/>
  <c r="D481" i="5"/>
  <c r="M481" i="5"/>
  <c r="J481" i="5"/>
  <c r="P481" i="5"/>
  <c r="I481" i="5"/>
  <c r="O481" i="5"/>
  <c r="B482" i="5"/>
  <c r="N482" i="5" s="1" a="1"/>
  <c r="E482" i="5" a="1"/>
  <c r="E482" i="5" s="1"/>
  <c r="Q480" i="5"/>
  <c r="S480" i="5"/>
  <c r="A483" i="5" a="1"/>
  <c r="U480" i="5" l="1" a="1"/>
  <c r="U480" i="5" s="1"/>
  <c r="V480" i="5" a="1"/>
  <c r="V480" i="5" s="1"/>
  <c r="R481" i="5"/>
  <c r="T481" i="5"/>
  <c r="N482" i="5"/>
  <c r="AA482" i="5"/>
  <c r="Q481" i="5"/>
  <c r="S481" i="5"/>
  <c r="F482" i="5" a="1"/>
  <c r="F482" i="5" s="1"/>
  <c r="A483" i="5"/>
  <c r="X482" i="5"/>
  <c r="W482" i="5"/>
  <c r="Z482" i="5"/>
  <c r="Y482" i="5"/>
  <c r="AC482" i="5" s="1"/>
  <c r="AB482" i="5"/>
  <c r="D482" i="5" a="1"/>
  <c r="C482" i="5" a="1"/>
  <c r="J482" i="5" a="1"/>
  <c r="K482" i="5" a="1"/>
  <c r="G482" i="5" a="1"/>
  <c r="H482" i="5" a="1"/>
  <c r="L482" i="5" a="1"/>
  <c r="M482" i="5" a="1"/>
  <c r="O482" i="5" a="1"/>
  <c r="P482" i="5" a="1"/>
  <c r="I482" i="5" a="1"/>
  <c r="U481" i="5" l="1" a="1"/>
  <c r="U481" i="5" s="1"/>
  <c r="V481" i="5" a="1"/>
  <c r="V481" i="5" s="1"/>
  <c r="H482" i="5"/>
  <c r="K482" i="5"/>
  <c r="G482" i="5"/>
  <c r="O482" i="5"/>
  <c r="P482" i="5"/>
  <c r="C482" i="5"/>
  <c r="L482" i="5"/>
  <c r="I482" i="5"/>
  <c r="D482" i="5"/>
  <c r="M482" i="5"/>
  <c r="J482" i="5"/>
  <c r="E483" i="5" a="1"/>
  <c r="E483" i="5" s="1"/>
  <c r="Z483" i="5" s="1"/>
  <c r="B483" i="5"/>
  <c r="P483" i="5" s="1" a="1"/>
  <c r="A484" i="5" a="1"/>
  <c r="P483" i="5" l="1"/>
  <c r="F483" i="5" a="1"/>
  <c r="F483" i="5" s="1"/>
  <c r="R482" i="5"/>
  <c r="Q482" i="5"/>
  <c r="S482" i="5"/>
  <c r="T482" i="5"/>
  <c r="A484" i="5"/>
  <c r="A485" i="5" s="1" a="1"/>
  <c r="AA483" i="5"/>
  <c r="AB483" i="5"/>
  <c r="X483" i="5"/>
  <c r="W483" i="5"/>
  <c r="Y483" i="5"/>
  <c r="AC483" i="5" s="1"/>
  <c r="L483" i="5" a="1"/>
  <c r="N483" i="5" a="1"/>
  <c r="J483" i="5" a="1"/>
  <c r="M483" i="5" a="1"/>
  <c r="I483" i="5" a="1"/>
  <c r="O483" i="5" a="1"/>
  <c r="G483" i="5" a="1"/>
  <c r="K483" i="5" a="1"/>
  <c r="D483" i="5" a="1"/>
  <c r="C483" i="5" a="1"/>
  <c r="H483" i="5" a="1"/>
  <c r="C483" i="5" l="1"/>
  <c r="M483" i="5"/>
  <c r="T483" i="5" s="1"/>
  <c r="N483" i="5"/>
  <c r="J483" i="5"/>
  <c r="L483" i="5"/>
  <c r="R483" i="5" s="1"/>
  <c r="H483" i="5"/>
  <c r="G483" i="5"/>
  <c r="D483" i="5"/>
  <c r="I483" i="5"/>
  <c r="O483" i="5"/>
  <c r="K483" i="5"/>
  <c r="V482" i="5" a="1"/>
  <c r="V482" i="5" s="1"/>
  <c r="B484" i="5"/>
  <c r="E484" i="5" a="1"/>
  <c r="E484" i="5" s="1"/>
  <c r="Z484" i="5" s="1"/>
  <c r="U482" i="5" a="1"/>
  <c r="U482" i="5" s="1"/>
  <c r="A485" i="5"/>
  <c r="J484" i="5" a="1"/>
  <c r="J484" i="5" l="1"/>
  <c r="AB484" i="5"/>
  <c r="X484" i="5"/>
  <c r="Y484" i="5"/>
  <c r="AC484" i="5" s="1"/>
  <c r="B485" i="5"/>
  <c r="E485" i="5" a="1"/>
  <c r="E485" i="5" s="1"/>
  <c r="Z485" i="5" s="1"/>
  <c r="W484" i="5"/>
  <c r="F484" i="5" a="1"/>
  <c r="F484" i="5" s="1"/>
  <c r="Q483" i="5"/>
  <c r="U483" i="5" s="1" a="1"/>
  <c r="U483" i="5" s="1"/>
  <c r="S483" i="5"/>
  <c r="V483" i="5" s="1" a="1"/>
  <c r="V483" i="5" s="1"/>
  <c r="AA484" i="5"/>
  <c r="M484" i="5" a="1"/>
  <c r="O484" i="5" a="1"/>
  <c r="D484" i="5" a="1"/>
  <c r="K484" i="5" a="1"/>
  <c r="G484" i="5" a="1"/>
  <c r="A486" i="5" a="1"/>
  <c r="H484" i="5" a="1"/>
  <c r="P484" i="5" a="1"/>
  <c r="N484" i="5" a="1"/>
  <c r="D485" i="5" a="1"/>
  <c r="C484" i="5" a="1"/>
  <c r="I484" i="5" a="1"/>
  <c r="L484" i="5" a="1"/>
  <c r="D485" i="5" l="1"/>
  <c r="O484" i="5"/>
  <c r="G484" i="5"/>
  <c r="C484" i="5"/>
  <c r="M484" i="5"/>
  <c r="L484" i="5"/>
  <c r="P484" i="5"/>
  <c r="N484" i="5"/>
  <c r="K484" i="5"/>
  <c r="D484" i="5"/>
  <c r="I484" i="5"/>
  <c r="H484" i="5"/>
  <c r="F485" i="5" a="1"/>
  <c r="F485" i="5" s="1"/>
  <c r="A486" i="5"/>
  <c r="W485" i="5"/>
  <c r="X485" i="5"/>
  <c r="AA485" i="5"/>
  <c r="Y485" i="5"/>
  <c r="AC485" i="5" s="1"/>
  <c r="AB485" i="5"/>
  <c r="O485" i="5" a="1"/>
  <c r="H485" i="5" a="1"/>
  <c r="L485" i="5" a="1"/>
  <c r="C485" i="5" a="1"/>
  <c r="J485" i="5" a="1"/>
  <c r="K485" i="5" a="1"/>
  <c r="G485" i="5" a="1"/>
  <c r="P485" i="5" a="1"/>
  <c r="M485" i="5" a="1"/>
  <c r="I485" i="5" a="1"/>
  <c r="N485" i="5" a="1"/>
  <c r="R484" i="5" l="1"/>
  <c r="L485" i="5"/>
  <c r="G485" i="5"/>
  <c r="N485" i="5"/>
  <c r="H485" i="5"/>
  <c r="O485" i="5"/>
  <c r="I485" i="5"/>
  <c r="M485" i="5"/>
  <c r="J485" i="5"/>
  <c r="P485" i="5"/>
  <c r="K485" i="5"/>
  <c r="C485" i="5"/>
  <c r="T484" i="5"/>
  <c r="S484" i="5"/>
  <c r="Q484" i="5"/>
  <c r="E486" i="5" a="1"/>
  <c r="E486" i="5" s="1"/>
  <c r="AB486" i="5" s="1"/>
  <c r="B486" i="5"/>
  <c r="M486" i="5" s="1" a="1"/>
  <c r="A487" i="5" a="1"/>
  <c r="R485" i="5" l="1"/>
  <c r="U484" i="5" a="1"/>
  <c r="U484" i="5" s="1"/>
  <c r="V484" i="5" a="1"/>
  <c r="V484" i="5" s="1"/>
  <c r="T485" i="5"/>
  <c r="M486" i="5"/>
  <c r="Q485" i="5"/>
  <c r="S485" i="5"/>
  <c r="A487" i="5"/>
  <c r="X486" i="5"/>
  <c r="AA486" i="5"/>
  <c r="Y486" i="5"/>
  <c r="AC486" i="5" s="1"/>
  <c r="W486" i="5"/>
  <c r="Z486" i="5"/>
  <c r="F486" i="5" a="1"/>
  <c r="D486" i="5" a="1"/>
  <c r="C486" i="5" a="1"/>
  <c r="O486" i="5" a="1"/>
  <c r="P486" i="5" a="1"/>
  <c r="H486" i="5" a="1"/>
  <c r="L486" i="5" a="1"/>
  <c r="N486" i="5" a="1"/>
  <c r="K486" i="5" a="1"/>
  <c r="G486" i="5" a="1"/>
  <c r="I486" i="5" a="1"/>
  <c r="J486" i="5" a="1"/>
  <c r="U485" i="5" l="1" a="1"/>
  <c r="U485" i="5" s="1"/>
  <c r="F486" i="5"/>
  <c r="V485" i="5" a="1"/>
  <c r="V485" i="5" s="1"/>
  <c r="I486" i="5"/>
  <c r="O486" i="5"/>
  <c r="H486" i="5"/>
  <c r="N486" i="5"/>
  <c r="D486" i="5"/>
  <c r="K486" i="5"/>
  <c r="J486" i="5"/>
  <c r="P486" i="5"/>
  <c r="C486" i="5"/>
  <c r="G486" i="5"/>
  <c r="L486" i="5"/>
  <c r="B487" i="5"/>
  <c r="E487" i="5" a="1"/>
  <c r="E487" i="5" s="1"/>
  <c r="Z487" i="5" s="1"/>
  <c r="A488" i="5" a="1"/>
  <c r="L487" i="5" a="1"/>
  <c r="L487" i="5" l="1"/>
  <c r="F487" i="5" a="1"/>
  <c r="F487" i="5" s="1"/>
  <c r="Q486" i="5"/>
  <c r="S486" i="5"/>
  <c r="T486" i="5"/>
  <c r="R486" i="5"/>
  <c r="A488" i="5"/>
  <c r="X487" i="5"/>
  <c r="Y487" i="5"/>
  <c r="AC487" i="5" s="1"/>
  <c r="AB487" i="5"/>
  <c r="AA487" i="5"/>
  <c r="W487" i="5"/>
  <c r="D487" i="5" a="1"/>
  <c r="K487" i="5" a="1"/>
  <c r="M487" i="5" a="1"/>
  <c r="J487" i="5" a="1"/>
  <c r="P487" i="5" a="1"/>
  <c r="N487" i="5" a="1"/>
  <c r="O487" i="5" a="1"/>
  <c r="G487" i="5" a="1"/>
  <c r="I487" i="5" a="1"/>
  <c r="H487" i="5" a="1"/>
  <c r="C487" i="5" a="1"/>
  <c r="H487" i="5" l="1"/>
  <c r="C487" i="5"/>
  <c r="V486" i="5" a="1"/>
  <c r="V486" i="5" s="1"/>
  <c r="J487" i="5"/>
  <c r="K487" i="5"/>
  <c r="G487" i="5"/>
  <c r="M487" i="5"/>
  <c r="I487" i="5"/>
  <c r="D487" i="5"/>
  <c r="N487" i="5"/>
  <c r="P487" i="5"/>
  <c r="R487" i="5" s="1"/>
  <c r="O487" i="5"/>
  <c r="U486" i="5" a="1"/>
  <c r="U486" i="5" s="1"/>
  <c r="B488" i="5"/>
  <c r="E488" i="5" a="1"/>
  <c r="E488" i="5" s="1"/>
  <c r="A489" i="5" a="1"/>
  <c r="O488" i="5" a="1"/>
  <c r="O488" i="5" l="1"/>
  <c r="AB488" i="5"/>
  <c r="T487" i="5"/>
  <c r="F488" i="5" a="1"/>
  <c r="F488" i="5" s="1"/>
  <c r="Q487" i="5"/>
  <c r="U487" i="5" s="1" a="1"/>
  <c r="U487" i="5" s="1"/>
  <c r="S487" i="5"/>
  <c r="A489" i="5"/>
  <c r="AA488" i="5"/>
  <c r="X488" i="5"/>
  <c r="Y488" i="5"/>
  <c r="AC488" i="5" s="1"/>
  <c r="W488" i="5"/>
  <c r="Z488" i="5"/>
  <c r="J488" i="5" a="1"/>
  <c r="P488" i="5" a="1"/>
  <c r="N488" i="5" a="1"/>
  <c r="I488" i="5" a="1"/>
  <c r="C488" i="5" a="1"/>
  <c r="H488" i="5" a="1"/>
  <c r="M488" i="5" a="1"/>
  <c r="D488" i="5" a="1"/>
  <c r="L488" i="5" a="1"/>
  <c r="G488" i="5" a="1"/>
  <c r="K488" i="5" a="1"/>
  <c r="V487" i="5" l="1" a="1"/>
  <c r="V487" i="5" s="1"/>
  <c r="I488" i="5"/>
  <c r="H488" i="5"/>
  <c r="J488" i="5"/>
  <c r="P488" i="5"/>
  <c r="L488" i="5"/>
  <c r="Q488" i="5" s="1"/>
  <c r="D488" i="5"/>
  <c r="N488" i="5"/>
  <c r="G488" i="5"/>
  <c r="M488" i="5"/>
  <c r="K488" i="5"/>
  <c r="C488" i="5"/>
  <c r="E489" i="5" a="1"/>
  <c r="E489" i="5" s="1"/>
  <c r="Z489" i="5" s="1"/>
  <c r="B489" i="5"/>
  <c r="A490" i="5" a="1"/>
  <c r="R488" i="5" l="1"/>
  <c r="U488" i="5" s="1" a="1"/>
  <c r="U488" i="5" s="1"/>
  <c r="F489" i="5" a="1"/>
  <c r="F489" i="5" s="1"/>
  <c r="T488" i="5"/>
  <c r="S488" i="5"/>
  <c r="A490" i="5"/>
  <c r="X489" i="5"/>
  <c r="AB489" i="5"/>
  <c r="Y489" i="5"/>
  <c r="AC489" i="5" s="1"/>
  <c r="AA489" i="5"/>
  <c r="W489" i="5"/>
  <c r="P489" i="5" a="1"/>
  <c r="I489" i="5" a="1"/>
  <c r="G489" i="5" a="1"/>
  <c r="J489" i="5" a="1"/>
  <c r="H489" i="5" a="1"/>
  <c r="D489" i="5" a="1"/>
  <c r="L489" i="5" a="1"/>
  <c r="O489" i="5" a="1"/>
  <c r="N489" i="5" a="1"/>
  <c r="C489" i="5" a="1"/>
  <c r="M489" i="5" a="1"/>
  <c r="K489" i="5" a="1"/>
  <c r="V488" i="5" l="1" a="1"/>
  <c r="V488" i="5" s="1"/>
  <c r="O489" i="5"/>
  <c r="P489" i="5"/>
  <c r="C489" i="5"/>
  <c r="J489" i="5"/>
  <c r="N489" i="5"/>
  <c r="I489" i="5"/>
  <c r="K489" i="5"/>
  <c r="M489" i="5"/>
  <c r="D489" i="5"/>
  <c r="H489" i="5"/>
  <c r="L489" i="5"/>
  <c r="G489" i="5"/>
  <c r="B490" i="5"/>
  <c r="E490" i="5" a="1"/>
  <c r="E490" i="5" s="1"/>
  <c r="AB490" i="5" s="1"/>
  <c r="A491" i="5" a="1"/>
  <c r="C490" i="5" a="1"/>
  <c r="T489" i="5" l="1"/>
  <c r="C490" i="5"/>
  <c r="R489" i="5"/>
  <c r="Q489" i="5"/>
  <c r="S489" i="5"/>
  <c r="A491" i="5"/>
  <c r="X490" i="5"/>
  <c r="AA490" i="5"/>
  <c r="Y490" i="5"/>
  <c r="AC490" i="5" s="1"/>
  <c r="W490" i="5"/>
  <c r="Z490" i="5"/>
  <c r="G490" i="5" a="1"/>
  <c r="M490" i="5" a="1"/>
  <c r="I490" i="5" a="1"/>
  <c r="O490" i="5" a="1"/>
  <c r="F490" i="5" a="1"/>
  <c r="D490" i="5" a="1"/>
  <c r="L490" i="5" a="1"/>
  <c r="P490" i="5" a="1"/>
  <c r="K490" i="5" a="1"/>
  <c r="H490" i="5" a="1"/>
  <c r="N490" i="5" a="1"/>
  <c r="J490" i="5" a="1"/>
  <c r="V489" i="5" l="1" a="1"/>
  <c r="V489" i="5" s="1"/>
  <c r="U489" i="5" a="1"/>
  <c r="U489" i="5" s="1"/>
  <c r="L490" i="5"/>
  <c r="N490" i="5"/>
  <c r="O490" i="5"/>
  <c r="J490" i="5"/>
  <c r="H490" i="5"/>
  <c r="K490" i="5"/>
  <c r="M490" i="5"/>
  <c r="D490" i="5"/>
  <c r="P490" i="5"/>
  <c r="G490" i="5"/>
  <c r="I490" i="5"/>
  <c r="F490" i="5"/>
  <c r="E491" i="5" a="1"/>
  <c r="E491" i="5" s="1"/>
  <c r="B491" i="5"/>
  <c r="G491" i="5" s="1" a="1"/>
  <c r="A492" i="5" a="1"/>
  <c r="R490" i="5" l="1"/>
  <c r="T490" i="5"/>
  <c r="G491" i="5"/>
  <c r="F491" i="5" a="1"/>
  <c r="F491" i="5" s="1"/>
  <c r="S490" i="5"/>
  <c r="Q490" i="5"/>
  <c r="X491" i="5"/>
  <c r="AB491" i="5"/>
  <c r="A492" i="5"/>
  <c r="Y491" i="5"/>
  <c r="AC491" i="5" s="1"/>
  <c r="AA491" i="5"/>
  <c r="W491" i="5"/>
  <c r="Z491" i="5"/>
  <c r="I491" i="5" a="1"/>
  <c r="D491" i="5" a="1"/>
  <c r="L491" i="5" a="1"/>
  <c r="K491" i="5" a="1"/>
  <c r="H491" i="5" a="1"/>
  <c r="P491" i="5" a="1"/>
  <c r="M491" i="5" a="1"/>
  <c r="J491" i="5" a="1"/>
  <c r="C491" i="5" a="1"/>
  <c r="O491" i="5" a="1"/>
  <c r="N491" i="5" a="1"/>
  <c r="U490" i="5" l="1" a="1"/>
  <c r="U490" i="5" s="1"/>
  <c r="V490" i="5" a="1"/>
  <c r="V490" i="5" s="1"/>
  <c r="M491" i="5"/>
  <c r="O491" i="5"/>
  <c r="K491" i="5"/>
  <c r="P491" i="5"/>
  <c r="I491" i="5"/>
  <c r="C491" i="5"/>
  <c r="L491" i="5"/>
  <c r="N491" i="5"/>
  <c r="H491" i="5"/>
  <c r="J491" i="5"/>
  <c r="D491" i="5"/>
  <c r="B492" i="5"/>
  <c r="F492" i="5" s="1" a="1"/>
  <c r="F492" i="5" s="1"/>
  <c r="E492" i="5" a="1"/>
  <c r="E492" i="5" s="1"/>
  <c r="AB492" i="5" s="1"/>
  <c r="A493" i="5" a="1"/>
  <c r="R491" i="5" l="1"/>
  <c r="Q491" i="5"/>
  <c r="S491" i="5"/>
  <c r="T491" i="5"/>
  <c r="A493" i="5"/>
  <c r="AA492" i="5"/>
  <c r="X492" i="5"/>
  <c r="Y492" i="5"/>
  <c r="AC492" i="5" s="1"/>
  <c r="W492" i="5"/>
  <c r="Z492" i="5"/>
  <c r="C492" i="5" a="1"/>
  <c r="L492" i="5" a="1"/>
  <c r="J492" i="5" a="1"/>
  <c r="I492" i="5" a="1"/>
  <c r="O492" i="5" a="1"/>
  <c r="P492" i="5" a="1"/>
  <c r="D492" i="5" a="1"/>
  <c r="M492" i="5" a="1"/>
  <c r="G492" i="5" a="1"/>
  <c r="H492" i="5" a="1"/>
  <c r="N492" i="5" a="1"/>
  <c r="K492" i="5" a="1"/>
  <c r="H492" i="5" l="1"/>
  <c r="K492" i="5"/>
  <c r="O492" i="5"/>
  <c r="L492" i="5"/>
  <c r="G492" i="5"/>
  <c r="D492" i="5"/>
  <c r="C492" i="5"/>
  <c r="P492" i="5"/>
  <c r="M492" i="5"/>
  <c r="N492" i="5"/>
  <c r="I492" i="5"/>
  <c r="J492" i="5"/>
  <c r="V491" i="5" a="1"/>
  <c r="V491" i="5" s="1"/>
  <c r="U491" i="5" a="1"/>
  <c r="U491" i="5" s="1"/>
  <c r="B493" i="5"/>
  <c r="F493" i="5" s="1" a="1"/>
  <c r="F493" i="5" s="1"/>
  <c r="E493" i="5" a="1"/>
  <c r="E493" i="5" s="1"/>
  <c r="Z493" i="5" s="1"/>
  <c r="A494" i="5" a="1"/>
  <c r="R492" i="5" l="1"/>
  <c r="S492" i="5"/>
  <c r="Q492" i="5"/>
  <c r="T492" i="5"/>
  <c r="A494" i="5"/>
  <c r="X493" i="5"/>
  <c r="AB493" i="5"/>
  <c r="Y493" i="5"/>
  <c r="AC493" i="5" s="1"/>
  <c r="AA493" i="5"/>
  <c r="W493" i="5"/>
  <c r="L493" i="5" a="1"/>
  <c r="M493" i="5" a="1"/>
  <c r="O493" i="5" a="1"/>
  <c r="J493" i="5" a="1"/>
  <c r="P493" i="5" a="1"/>
  <c r="H493" i="5" a="1"/>
  <c r="D493" i="5" a="1"/>
  <c r="K493" i="5" a="1"/>
  <c r="G493" i="5" a="1"/>
  <c r="C493" i="5" a="1"/>
  <c r="N493" i="5" a="1"/>
  <c r="I493" i="5" a="1"/>
  <c r="J493" i="5" l="1"/>
  <c r="G493" i="5"/>
  <c r="C493" i="5"/>
  <c r="K493" i="5"/>
  <c r="P493" i="5"/>
  <c r="L493" i="5"/>
  <c r="O493" i="5"/>
  <c r="U492" i="5" a="1"/>
  <c r="U492" i="5" s="1"/>
  <c r="V492" i="5" a="1"/>
  <c r="V492" i="5" s="1"/>
  <c r="D493" i="5"/>
  <c r="I493" i="5"/>
  <c r="M493" i="5"/>
  <c r="N493" i="5"/>
  <c r="H493" i="5"/>
  <c r="E494" i="5" a="1"/>
  <c r="E494" i="5" s="1"/>
  <c r="AB494" i="5" s="1"/>
  <c r="B494" i="5"/>
  <c r="I494" i="5" s="1" a="1"/>
  <c r="A495" i="5" a="1"/>
  <c r="Q493" i="5" l="1"/>
  <c r="R493" i="5"/>
  <c r="I494" i="5"/>
  <c r="T493" i="5"/>
  <c r="S493" i="5"/>
  <c r="F494" i="5" a="1"/>
  <c r="F494" i="5" s="1"/>
  <c r="A495" i="5"/>
  <c r="X494" i="5"/>
  <c r="AA494" i="5"/>
  <c r="Y494" i="5"/>
  <c r="AC494" i="5" s="1"/>
  <c r="W494" i="5"/>
  <c r="Z494" i="5"/>
  <c r="G494" i="5" a="1"/>
  <c r="O494" i="5" a="1"/>
  <c r="D494" i="5" a="1"/>
  <c r="J494" i="5" a="1"/>
  <c r="C494" i="5" a="1"/>
  <c r="L494" i="5" a="1"/>
  <c r="N494" i="5" a="1"/>
  <c r="H494" i="5" a="1"/>
  <c r="P494" i="5" a="1"/>
  <c r="K494" i="5" a="1"/>
  <c r="M494" i="5" a="1"/>
  <c r="U493" i="5" l="1" a="1"/>
  <c r="U493" i="5" s="1"/>
  <c r="V493" i="5" a="1"/>
  <c r="V493" i="5" s="1"/>
  <c r="G494" i="5"/>
  <c r="M494" i="5"/>
  <c r="L494" i="5"/>
  <c r="O494" i="5"/>
  <c r="D494" i="5"/>
  <c r="P494" i="5"/>
  <c r="J494" i="5"/>
  <c r="K494" i="5"/>
  <c r="H494" i="5"/>
  <c r="N494" i="5"/>
  <c r="C494" i="5"/>
  <c r="B495" i="5"/>
  <c r="F495" i="5" s="1" a="1"/>
  <c r="F495" i="5" s="1"/>
  <c r="E495" i="5" a="1"/>
  <c r="E495" i="5" s="1"/>
  <c r="Z495" i="5" s="1"/>
  <c r="A496" i="5" a="1"/>
  <c r="R494" i="5" l="1"/>
  <c r="S494" i="5"/>
  <c r="Q494" i="5"/>
  <c r="T494" i="5"/>
  <c r="A496" i="5"/>
  <c r="X495" i="5"/>
  <c r="AB495" i="5"/>
  <c r="Y495" i="5"/>
  <c r="AC495" i="5" s="1"/>
  <c r="AA495" i="5"/>
  <c r="W495" i="5"/>
  <c r="M495" i="5" a="1"/>
  <c r="G495" i="5" a="1"/>
  <c r="K495" i="5" a="1"/>
  <c r="O495" i="5" a="1"/>
  <c r="D495" i="5" a="1"/>
  <c r="I495" i="5" a="1"/>
  <c r="N495" i="5" a="1"/>
  <c r="J495" i="5" a="1"/>
  <c r="L495" i="5" a="1"/>
  <c r="C495" i="5" a="1"/>
  <c r="H495" i="5" a="1"/>
  <c r="P495" i="5" a="1"/>
  <c r="U494" i="5" l="1" a="1"/>
  <c r="U494" i="5" s="1"/>
  <c r="D495" i="5"/>
  <c r="G495" i="5"/>
  <c r="H495" i="5"/>
  <c r="P495" i="5"/>
  <c r="J495" i="5"/>
  <c r="L495" i="5"/>
  <c r="O495" i="5"/>
  <c r="C495" i="5"/>
  <c r="M495" i="5"/>
  <c r="K495" i="5"/>
  <c r="I495" i="5"/>
  <c r="N495" i="5"/>
  <c r="V494" i="5" a="1"/>
  <c r="V494" i="5" s="1"/>
  <c r="B496" i="5"/>
  <c r="O496" i="5" s="1" a="1"/>
  <c r="E496" i="5" a="1"/>
  <c r="E496" i="5" s="1"/>
  <c r="A497" i="5" a="1"/>
  <c r="T495" i="5" l="1"/>
  <c r="R495" i="5"/>
  <c r="O496" i="5"/>
  <c r="X496" i="5"/>
  <c r="Q495" i="5"/>
  <c r="S495" i="5"/>
  <c r="Y496" i="5"/>
  <c r="AC496" i="5" s="1"/>
  <c r="A497" i="5"/>
  <c r="AA496" i="5"/>
  <c r="W496" i="5"/>
  <c r="Z496" i="5"/>
  <c r="AB496" i="5"/>
  <c r="F496" i="5" a="1"/>
  <c r="H496" i="5" a="1"/>
  <c r="I496" i="5" a="1"/>
  <c r="P496" i="5" a="1"/>
  <c r="K496" i="5" a="1"/>
  <c r="G496" i="5" a="1"/>
  <c r="D496" i="5" a="1"/>
  <c r="L496" i="5" a="1"/>
  <c r="C496" i="5" a="1"/>
  <c r="M496" i="5" a="1"/>
  <c r="N496" i="5" a="1"/>
  <c r="J496" i="5" a="1"/>
  <c r="V495" i="5" l="1" a="1"/>
  <c r="V495" i="5" s="1"/>
  <c r="F496" i="5"/>
  <c r="U495" i="5" a="1"/>
  <c r="U495" i="5" s="1"/>
  <c r="J496" i="5"/>
  <c r="C496" i="5"/>
  <c r="H496" i="5"/>
  <c r="I496" i="5"/>
  <c r="P496" i="5"/>
  <c r="N496" i="5"/>
  <c r="K496" i="5"/>
  <c r="G496" i="5"/>
  <c r="L496" i="5"/>
  <c r="Q496" i="5" s="1"/>
  <c r="M496" i="5"/>
  <c r="D496" i="5"/>
  <c r="E497" i="5" a="1"/>
  <c r="E497" i="5" s="1"/>
  <c r="Z497" i="5" s="1"/>
  <c r="B497" i="5"/>
  <c r="A498" i="5" a="1"/>
  <c r="R496" i="5" l="1"/>
  <c r="U496" i="5" s="1" a="1"/>
  <c r="U496" i="5" s="1"/>
  <c r="F497" i="5" a="1"/>
  <c r="F497" i="5" s="1"/>
  <c r="S496" i="5"/>
  <c r="T496" i="5"/>
  <c r="A498" i="5"/>
  <c r="X497" i="5"/>
  <c r="AB497" i="5"/>
  <c r="Y497" i="5"/>
  <c r="AC497" i="5" s="1"/>
  <c r="AA497" i="5"/>
  <c r="W497" i="5"/>
  <c r="D497" i="5" a="1"/>
  <c r="P497" i="5" a="1"/>
  <c r="K497" i="5" a="1"/>
  <c r="O497" i="5" a="1"/>
  <c r="C497" i="5" a="1"/>
  <c r="L497" i="5" a="1"/>
  <c r="M497" i="5" a="1"/>
  <c r="G497" i="5" a="1"/>
  <c r="J497" i="5" a="1"/>
  <c r="N497" i="5" a="1"/>
  <c r="I497" i="5" a="1"/>
  <c r="H497" i="5" a="1"/>
  <c r="V496" i="5" l="1" a="1"/>
  <c r="V496" i="5" s="1"/>
  <c r="M497" i="5"/>
  <c r="C497" i="5"/>
  <c r="N497" i="5"/>
  <c r="G497" i="5"/>
  <c r="P497" i="5"/>
  <c r="D497" i="5"/>
  <c r="O497" i="5"/>
  <c r="K497" i="5"/>
  <c r="L497" i="5"/>
  <c r="J497" i="5"/>
  <c r="I497" i="5"/>
  <c r="H497" i="5"/>
  <c r="B498" i="5"/>
  <c r="E498" i="5" a="1"/>
  <c r="E498" i="5" s="1"/>
  <c r="X498" i="5" s="1"/>
  <c r="A499" i="5" a="1"/>
  <c r="C498" i="5" a="1"/>
  <c r="R497" i="5" l="1"/>
  <c r="C498" i="5"/>
  <c r="Q497" i="5"/>
  <c r="S497" i="5"/>
  <c r="F498" i="5" a="1"/>
  <c r="F498" i="5" s="1"/>
  <c r="T497" i="5"/>
  <c r="A499" i="5"/>
  <c r="AA498" i="5"/>
  <c r="Y498" i="5"/>
  <c r="AC498" i="5" s="1"/>
  <c r="W498" i="5"/>
  <c r="Z498" i="5"/>
  <c r="AB498" i="5"/>
  <c r="N498" i="5" a="1"/>
  <c r="O498" i="5" a="1"/>
  <c r="H498" i="5" a="1"/>
  <c r="M498" i="5" a="1"/>
  <c r="D498" i="5" a="1"/>
  <c r="L498" i="5" a="1"/>
  <c r="K498" i="5" a="1"/>
  <c r="P498" i="5" a="1"/>
  <c r="I498" i="5" a="1"/>
  <c r="G498" i="5" a="1"/>
  <c r="J498" i="5" a="1"/>
  <c r="U497" i="5" l="1" a="1"/>
  <c r="U497" i="5" s="1"/>
  <c r="I498" i="5"/>
  <c r="K498" i="5"/>
  <c r="O498" i="5"/>
  <c r="J498" i="5"/>
  <c r="N498" i="5"/>
  <c r="L498" i="5"/>
  <c r="D498" i="5"/>
  <c r="P498" i="5"/>
  <c r="G498" i="5"/>
  <c r="M498" i="5"/>
  <c r="H498" i="5"/>
  <c r="V497" i="5" a="1"/>
  <c r="V497" i="5" s="1"/>
  <c r="E499" i="5" a="1"/>
  <c r="E499" i="5" s="1"/>
  <c r="Z499" i="5" s="1"/>
  <c r="B499" i="5"/>
  <c r="I499" i="5" s="1" a="1"/>
  <c r="A500" i="5" a="1"/>
  <c r="R498" i="5" l="1"/>
  <c r="I499" i="5"/>
  <c r="F499" i="5" a="1"/>
  <c r="F499" i="5" s="1"/>
  <c r="S498" i="5"/>
  <c r="Q498" i="5"/>
  <c r="T498" i="5"/>
  <c r="A500" i="5"/>
  <c r="X499" i="5"/>
  <c r="AB499" i="5"/>
  <c r="Y499" i="5"/>
  <c r="AC499" i="5" s="1"/>
  <c r="AA499" i="5"/>
  <c r="W499" i="5"/>
  <c r="G499" i="5" a="1"/>
  <c r="K499" i="5" a="1"/>
  <c r="N499" i="5" a="1"/>
  <c r="D499" i="5" a="1"/>
  <c r="O499" i="5" a="1"/>
  <c r="P499" i="5" a="1"/>
  <c r="C499" i="5" a="1"/>
  <c r="H499" i="5" a="1"/>
  <c r="L499" i="5" a="1"/>
  <c r="J499" i="5" a="1"/>
  <c r="M499" i="5" a="1"/>
  <c r="U498" i="5" l="1" a="1"/>
  <c r="U498" i="5" s="1"/>
  <c r="V498" i="5" a="1"/>
  <c r="V498" i="5" s="1"/>
  <c r="N499" i="5"/>
  <c r="O499" i="5"/>
  <c r="G499" i="5"/>
  <c r="H499" i="5"/>
  <c r="M499" i="5"/>
  <c r="C499" i="5"/>
  <c r="L499" i="5"/>
  <c r="K499" i="5"/>
  <c r="J499" i="5"/>
  <c r="D499" i="5"/>
  <c r="P499" i="5"/>
  <c r="E500" i="5" a="1"/>
  <c r="E500" i="5" s="1"/>
  <c r="AB500" i="5" s="1"/>
  <c r="B500" i="5"/>
  <c r="P500" i="5" s="1" a="1"/>
  <c r="A501" i="5" a="1"/>
  <c r="T499" i="5" l="1"/>
  <c r="P500" i="5"/>
  <c r="F500" i="5" a="1"/>
  <c r="F500" i="5" s="1"/>
  <c r="R499" i="5"/>
  <c r="Q499" i="5"/>
  <c r="S499" i="5"/>
  <c r="A501" i="5"/>
  <c r="AA500" i="5"/>
  <c r="Y500" i="5"/>
  <c r="AC500" i="5" s="1"/>
  <c r="X500" i="5"/>
  <c r="W500" i="5"/>
  <c r="Z500" i="5"/>
  <c r="G500" i="5" a="1"/>
  <c r="K500" i="5" a="1"/>
  <c r="M500" i="5" a="1"/>
  <c r="L500" i="5" a="1"/>
  <c r="I500" i="5" a="1"/>
  <c r="O500" i="5" a="1"/>
  <c r="J500" i="5" a="1"/>
  <c r="N500" i="5" a="1"/>
  <c r="D500" i="5" a="1"/>
  <c r="C500" i="5" a="1"/>
  <c r="H500" i="5" a="1"/>
  <c r="V499" i="5" l="1" a="1"/>
  <c r="V499" i="5" s="1"/>
  <c r="H500" i="5"/>
  <c r="G500" i="5"/>
  <c r="I500" i="5"/>
  <c r="D500" i="5"/>
  <c r="J500" i="5"/>
  <c r="K500" i="5"/>
  <c r="M500" i="5"/>
  <c r="T500" i="5" s="1"/>
  <c r="C500" i="5"/>
  <c r="L500" i="5"/>
  <c r="R500" i="5" s="1"/>
  <c r="O500" i="5"/>
  <c r="N500" i="5"/>
  <c r="B501" i="5"/>
  <c r="F501" i="5" s="1" a="1"/>
  <c r="F501" i="5" s="1"/>
  <c r="E501" i="5" a="1"/>
  <c r="E501" i="5" s="1"/>
  <c r="U499" i="5" a="1"/>
  <c r="U499" i="5" s="1"/>
  <c r="A502" i="5" a="1"/>
  <c r="X501" i="5" l="1"/>
  <c r="S500" i="5"/>
  <c r="V500" i="5" s="1" a="1"/>
  <c r="V500" i="5" s="1"/>
  <c r="Q500" i="5"/>
  <c r="U500" i="5" s="1" a="1"/>
  <c r="U500" i="5" s="1"/>
  <c r="AB501" i="5"/>
  <c r="A502" i="5"/>
  <c r="Y501" i="5"/>
  <c r="AC501" i="5" s="1"/>
  <c r="AA501" i="5"/>
  <c r="W501" i="5"/>
  <c r="Z501" i="5"/>
  <c r="I501" i="5" a="1"/>
  <c r="N501" i="5" a="1"/>
  <c r="M501" i="5" a="1"/>
  <c r="H501" i="5" a="1"/>
  <c r="O501" i="5" a="1"/>
  <c r="D501" i="5" a="1"/>
  <c r="J501" i="5" a="1"/>
  <c r="G501" i="5" a="1"/>
  <c r="L501" i="5" a="1"/>
  <c r="C501" i="5" a="1"/>
  <c r="P501" i="5" a="1"/>
  <c r="K501" i="5" a="1"/>
  <c r="K501" i="5" l="1"/>
  <c r="C501" i="5"/>
  <c r="P501" i="5"/>
  <c r="M501" i="5"/>
  <c r="N501" i="5"/>
  <c r="H501" i="5"/>
  <c r="D501" i="5"/>
  <c r="G501" i="5"/>
  <c r="O501" i="5"/>
  <c r="I501" i="5"/>
  <c r="J501" i="5"/>
  <c r="L501" i="5"/>
  <c r="B502" i="5"/>
  <c r="D502" i="5" s="1" a="1"/>
  <c r="E502" i="5" a="1"/>
  <c r="E502" i="5" s="1"/>
  <c r="A503" i="5" a="1"/>
  <c r="T501" i="5" l="1"/>
  <c r="R501" i="5"/>
  <c r="D502" i="5"/>
  <c r="Z502" i="5"/>
  <c r="F502" i="5" a="1"/>
  <c r="F502" i="5" s="1"/>
  <c r="S501" i="5"/>
  <c r="Q501" i="5"/>
  <c r="A503" i="5"/>
  <c r="AB502" i="5"/>
  <c r="W502" i="5"/>
  <c r="AA502" i="5"/>
  <c r="X502" i="5"/>
  <c r="Y502" i="5"/>
  <c r="AC502" i="5" s="1"/>
  <c r="N502" i="5" a="1"/>
  <c r="G502" i="5" a="1"/>
  <c r="M502" i="5" a="1"/>
  <c r="C502" i="5" a="1"/>
  <c r="H502" i="5" a="1"/>
  <c r="I502" i="5" a="1"/>
  <c r="J502" i="5" a="1"/>
  <c r="O502" i="5" a="1"/>
  <c r="P502" i="5" a="1"/>
  <c r="L502" i="5" a="1"/>
  <c r="K502" i="5" a="1"/>
  <c r="V501" i="5" l="1" a="1"/>
  <c r="V501" i="5" s="1"/>
  <c r="U501" i="5" a="1"/>
  <c r="U501" i="5" s="1"/>
  <c r="L502" i="5"/>
  <c r="H502" i="5"/>
  <c r="C502" i="5"/>
  <c r="M502" i="5"/>
  <c r="J502" i="5"/>
  <c r="I502" i="5"/>
  <c r="K502" i="5"/>
  <c r="N502" i="5"/>
  <c r="G502" i="5"/>
  <c r="O502" i="5"/>
  <c r="P502" i="5"/>
  <c r="E503" i="5" a="1"/>
  <c r="E503" i="5" s="1"/>
  <c r="B503" i="5"/>
  <c r="J503" i="5" s="1" a="1"/>
  <c r="A504" i="5" a="1"/>
  <c r="T502" i="5" l="1"/>
  <c r="R502" i="5"/>
  <c r="J503" i="5"/>
  <c r="F503" i="5" a="1"/>
  <c r="F503" i="5" s="1"/>
  <c r="Q502" i="5"/>
  <c r="S502" i="5"/>
  <c r="Z503" i="5"/>
  <c r="A504" i="5"/>
  <c r="X503" i="5"/>
  <c r="Y503" i="5"/>
  <c r="AC503" i="5" s="1"/>
  <c r="AB503" i="5"/>
  <c r="AA503" i="5"/>
  <c r="W503" i="5"/>
  <c r="D503" i="5" a="1"/>
  <c r="P503" i="5" a="1"/>
  <c r="O503" i="5" a="1"/>
  <c r="M503" i="5" a="1"/>
  <c r="I503" i="5" a="1"/>
  <c r="G503" i="5" a="1"/>
  <c r="H503" i="5" a="1"/>
  <c r="K503" i="5" a="1"/>
  <c r="L503" i="5" a="1"/>
  <c r="C503" i="5" a="1"/>
  <c r="N503" i="5" a="1"/>
  <c r="V502" i="5" l="1" a="1"/>
  <c r="V502" i="5" s="1"/>
  <c r="U502" i="5" a="1"/>
  <c r="U502" i="5" s="1"/>
  <c r="H503" i="5"/>
  <c r="C503" i="5"/>
  <c r="G503" i="5"/>
  <c r="O503" i="5"/>
  <c r="I503" i="5"/>
  <c r="M503" i="5"/>
  <c r="L503" i="5"/>
  <c r="N503" i="5"/>
  <c r="P503" i="5"/>
  <c r="D503" i="5"/>
  <c r="K503" i="5"/>
  <c r="B504" i="5"/>
  <c r="P504" i="5" s="1" a="1"/>
  <c r="E504" i="5" a="1"/>
  <c r="E504" i="5" s="1"/>
  <c r="X504" i="5" s="1"/>
  <c r="A505" i="5" a="1"/>
  <c r="T503" i="5" l="1"/>
  <c r="P504" i="5"/>
  <c r="Q503" i="5"/>
  <c r="S503" i="5"/>
  <c r="R503" i="5"/>
  <c r="A505" i="5"/>
  <c r="AA504" i="5"/>
  <c r="Y504" i="5"/>
  <c r="AC504" i="5" s="1"/>
  <c r="W504" i="5"/>
  <c r="Z504" i="5"/>
  <c r="AB504" i="5"/>
  <c r="K504" i="5" a="1"/>
  <c r="M504" i="5" a="1"/>
  <c r="D504" i="5" a="1"/>
  <c r="J504" i="5" a="1"/>
  <c r="I504" i="5" a="1"/>
  <c r="H504" i="5" a="1"/>
  <c r="F504" i="5" a="1"/>
  <c r="C504" i="5" a="1"/>
  <c r="N504" i="5" a="1"/>
  <c r="O504" i="5" a="1"/>
  <c r="G504" i="5" a="1"/>
  <c r="L504" i="5" a="1"/>
  <c r="V503" i="5" l="1" a="1"/>
  <c r="V503" i="5" s="1"/>
  <c r="G504" i="5"/>
  <c r="J504" i="5"/>
  <c r="D504" i="5"/>
  <c r="H504" i="5"/>
  <c r="C504" i="5"/>
  <c r="L504" i="5"/>
  <c r="R504" i="5" s="1"/>
  <c r="K504" i="5"/>
  <c r="F504" i="5"/>
  <c r="U503" i="5" a="1"/>
  <c r="U503" i="5" s="1"/>
  <c r="N504" i="5"/>
  <c r="O504" i="5"/>
  <c r="M504" i="5"/>
  <c r="T504" i="5" s="1"/>
  <c r="I504" i="5"/>
  <c r="B505" i="5"/>
  <c r="E505" i="5" a="1"/>
  <c r="E505" i="5" s="1"/>
  <c r="A506" i="5" a="1"/>
  <c r="D505" i="5" a="1"/>
  <c r="D505" i="5" l="1"/>
  <c r="X505" i="5"/>
  <c r="F505" i="5" a="1"/>
  <c r="F505" i="5" s="1"/>
  <c r="Q504" i="5"/>
  <c r="U504" i="5" s="1" a="1"/>
  <c r="U504" i="5" s="1"/>
  <c r="S504" i="5"/>
  <c r="V504" i="5" s="1" a="1"/>
  <c r="V504" i="5" s="1"/>
  <c r="A506" i="5"/>
  <c r="Y505" i="5"/>
  <c r="AC505" i="5" s="1"/>
  <c r="AB505" i="5"/>
  <c r="AA505" i="5"/>
  <c r="W505" i="5"/>
  <c r="Z505" i="5"/>
  <c r="G505" i="5" a="1"/>
  <c r="P505" i="5" a="1"/>
  <c r="O505" i="5" a="1"/>
  <c r="I505" i="5" a="1"/>
  <c r="K505" i="5" a="1"/>
  <c r="H505" i="5" a="1"/>
  <c r="C505" i="5" a="1"/>
  <c r="N505" i="5" a="1"/>
  <c r="J505" i="5" a="1"/>
  <c r="M505" i="5" a="1"/>
  <c r="L505" i="5" a="1"/>
  <c r="H505" i="5" l="1"/>
  <c r="C505" i="5"/>
  <c r="M505" i="5"/>
  <c r="G505" i="5"/>
  <c r="I505" i="5"/>
  <c r="L505" i="5"/>
  <c r="N505" i="5"/>
  <c r="J505" i="5"/>
  <c r="O505" i="5"/>
  <c r="P505" i="5"/>
  <c r="K505" i="5"/>
  <c r="E506" i="5" a="1"/>
  <c r="E506" i="5" s="1"/>
  <c r="AB506" i="5" s="1"/>
  <c r="B506" i="5"/>
  <c r="A507" i="5" a="1"/>
  <c r="C506" i="5" a="1"/>
  <c r="T505" i="5" l="1"/>
  <c r="C506" i="5"/>
  <c r="R505" i="5"/>
  <c r="Q505" i="5"/>
  <c r="S505" i="5"/>
  <c r="A507" i="5"/>
  <c r="AA506" i="5"/>
  <c r="X506" i="5"/>
  <c r="Y506" i="5"/>
  <c r="AC506" i="5" s="1"/>
  <c r="W506" i="5"/>
  <c r="Z506" i="5"/>
  <c r="F506" i="5" a="1"/>
  <c r="P506" i="5" a="1"/>
  <c r="O506" i="5" a="1"/>
  <c r="D506" i="5" a="1"/>
  <c r="M506" i="5" a="1"/>
  <c r="G506" i="5" a="1"/>
  <c r="H506" i="5" a="1"/>
  <c r="I506" i="5" a="1"/>
  <c r="K506" i="5" a="1"/>
  <c r="N506" i="5" a="1"/>
  <c r="L506" i="5" a="1"/>
  <c r="J506" i="5" a="1"/>
  <c r="U505" i="5" l="1" a="1"/>
  <c r="U505" i="5" s="1"/>
  <c r="V505" i="5" a="1"/>
  <c r="V505" i="5" s="1"/>
  <c r="F506" i="5"/>
  <c r="L506" i="5"/>
  <c r="I506" i="5"/>
  <c r="M506" i="5"/>
  <c r="D506" i="5"/>
  <c r="K506" i="5"/>
  <c r="O506" i="5"/>
  <c r="G506" i="5"/>
  <c r="H506" i="5"/>
  <c r="N506" i="5"/>
  <c r="P506" i="5"/>
  <c r="J506" i="5"/>
  <c r="B507" i="5"/>
  <c r="D507" i="5" s="1" a="1"/>
  <c r="E507" i="5" a="1"/>
  <c r="E507" i="5" s="1"/>
  <c r="Z507" i="5" s="1"/>
  <c r="A508" i="5" a="1"/>
  <c r="R506" i="5" l="1"/>
  <c r="T506" i="5"/>
  <c r="D507" i="5"/>
  <c r="F507" i="5" a="1"/>
  <c r="F507" i="5" s="1"/>
  <c r="Q506" i="5"/>
  <c r="S506" i="5"/>
  <c r="X507" i="5"/>
  <c r="A508" i="5"/>
  <c r="Y507" i="5"/>
  <c r="AC507" i="5" s="1"/>
  <c r="AB507" i="5"/>
  <c r="AA507" i="5"/>
  <c r="W507" i="5"/>
  <c r="J507" i="5" a="1"/>
  <c r="M507" i="5" a="1"/>
  <c r="K507" i="5" a="1"/>
  <c r="L507" i="5" a="1"/>
  <c r="G507" i="5" a="1"/>
  <c r="I507" i="5" a="1"/>
  <c r="O507" i="5" a="1"/>
  <c r="H507" i="5" a="1"/>
  <c r="N507" i="5" a="1"/>
  <c r="C507" i="5" a="1"/>
  <c r="P507" i="5" a="1"/>
  <c r="U506" i="5" l="1" a="1"/>
  <c r="U506" i="5" s="1"/>
  <c r="V506" i="5" a="1"/>
  <c r="V506" i="5" s="1"/>
  <c r="G507" i="5"/>
  <c r="C507" i="5"/>
  <c r="J507" i="5"/>
  <c r="M507" i="5"/>
  <c r="L507" i="5"/>
  <c r="I507" i="5"/>
  <c r="P507" i="5"/>
  <c r="K507" i="5"/>
  <c r="H507" i="5"/>
  <c r="O507" i="5"/>
  <c r="N507" i="5"/>
  <c r="E508" i="5" a="1"/>
  <c r="E508" i="5" s="1"/>
  <c r="B508" i="5"/>
  <c r="H508" i="5" s="1" a="1"/>
  <c r="A509" i="5" a="1"/>
  <c r="R507" i="5" l="1"/>
  <c r="H508" i="5"/>
  <c r="S507" i="5"/>
  <c r="Q507" i="5"/>
  <c r="AB508" i="5"/>
  <c r="F508" i="5" a="1"/>
  <c r="F508" i="5" s="1"/>
  <c r="T507" i="5"/>
  <c r="X508" i="5"/>
  <c r="A509" i="5"/>
  <c r="AA508" i="5"/>
  <c r="Y508" i="5"/>
  <c r="AC508" i="5" s="1"/>
  <c r="W508" i="5"/>
  <c r="Z508" i="5"/>
  <c r="P508" i="5" a="1"/>
  <c r="I508" i="5" a="1"/>
  <c r="K508" i="5" a="1"/>
  <c r="O508" i="5" a="1"/>
  <c r="G508" i="5" a="1"/>
  <c r="D508" i="5" a="1"/>
  <c r="M508" i="5" a="1"/>
  <c r="L508" i="5" a="1"/>
  <c r="C508" i="5" a="1"/>
  <c r="J508" i="5" a="1"/>
  <c r="N508" i="5" a="1"/>
  <c r="U507" i="5" l="1" a="1"/>
  <c r="U507" i="5" s="1"/>
  <c r="V507" i="5" a="1"/>
  <c r="V507" i="5" s="1"/>
  <c r="G508" i="5"/>
  <c r="J508" i="5"/>
  <c r="D508" i="5"/>
  <c r="M508" i="5"/>
  <c r="L508" i="5"/>
  <c r="N508" i="5"/>
  <c r="O508" i="5"/>
  <c r="K508" i="5"/>
  <c r="I508" i="5"/>
  <c r="C508" i="5"/>
  <c r="P508" i="5"/>
  <c r="B509" i="5"/>
  <c r="F509" i="5" s="1" a="1"/>
  <c r="F509" i="5" s="1"/>
  <c r="E509" i="5" a="1"/>
  <c r="E509" i="5" s="1"/>
  <c r="Z509" i="5" s="1"/>
  <c r="A510" i="5" a="1"/>
  <c r="T508" i="5" l="1"/>
  <c r="S508" i="5"/>
  <c r="Q508" i="5"/>
  <c r="R508" i="5"/>
  <c r="AB509" i="5"/>
  <c r="X509" i="5"/>
  <c r="A510" i="5"/>
  <c r="Y509" i="5"/>
  <c r="AC509" i="5" s="1"/>
  <c r="AA509" i="5"/>
  <c r="W509" i="5"/>
  <c r="D509" i="5" a="1"/>
  <c r="C509" i="5" a="1"/>
  <c r="O509" i="5" a="1"/>
  <c r="K509" i="5" a="1"/>
  <c r="G509" i="5" a="1"/>
  <c r="I509" i="5" a="1"/>
  <c r="H509" i="5" a="1"/>
  <c r="L509" i="5" a="1"/>
  <c r="N509" i="5" a="1"/>
  <c r="J509" i="5" a="1"/>
  <c r="M509" i="5" a="1"/>
  <c r="P509" i="5" a="1"/>
  <c r="V508" i="5" l="1" a="1"/>
  <c r="V508" i="5" s="1"/>
  <c r="U508" i="5" a="1"/>
  <c r="U508" i="5" s="1"/>
  <c r="O509" i="5"/>
  <c r="N509" i="5"/>
  <c r="I509" i="5"/>
  <c r="H509" i="5"/>
  <c r="L509" i="5"/>
  <c r="G509" i="5"/>
  <c r="M509" i="5"/>
  <c r="D509" i="5"/>
  <c r="K509" i="5"/>
  <c r="P509" i="5"/>
  <c r="C509" i="5"/>
  <c r="J509" i="5"/>
  <c r="B510" i="5"/>
  <c r="E510" i="5" a="1"/>
  <c r="E510" i="5" s="1"/>
  <c r="A511" i="5" a="1"/>
  <c r="D510" i="5" a="1"/>
  <c r="T509" i="5" l="1"/>
  <c r="D510" i="5"/>
  <c r="F510" i="5" a="1"/>
  <c r="F510" i="5" s="1"/>
  <c r="AB510" i="5"/>
  <c r="R509" i="5"/>
  <c r="S509" i="5"/>
  <c r="Q509" i="5"/>
  <c r="A511" i="5"/>
  <c r="AA510" i="5"/>
  <c r="Y510" i="5"/>
  <c r="AC510" i="5" s="1"/>
  <c r="X510" i="5"/>
  <c r="W510" i="5"/>
  <c r="Z510" i="5"/>
  <c r="O510" i="5" a="1"/>
  <c r="H510" i="5" a="1"/>
  <c r="C510" i="5" a="1"/>
  <c r="P510" i="5" a="1"/>
  <c r="G510" i="5" a="1"/>
  <c r="L510" i="5" a="1"/>
  <c r="J510" i="5" a="1"/>
  <c r="K510" i="5" a="1"/>
  <c r="I510" i="5" a="1"/>
  <c r="N510" i="5" a="1"/>
  <c r="M510" i="5" a="1"/>
  <c r="V509" i="5" l="1" a="1"/>
  <c r="V509" i="5" s="1"/>
  <c r="U509" i="5" a="1"/>
  <c r="U509" i="5" s="1"/>
  <c r="L510" i="5"/>
  <c r="C510" i="5"/>
  <c r="N510" i="5"/>
  <c r="O510" i="5"/>
  <c r="P510" i="5"/>
  <c r="J510" i="5"/>
  <c r="H510" i="5"/>
  <c r="M510" i="5"/>
  <c r="G510" i="5"/>
  <c r="I510" i="5"/>
  <c r="K510" i="5"/>
  <c r="E511" i="5" a="1"/>
  <c r="E511" i="5" s="1"/>
  <c r="B511" i="5"/>
  <c r="F511" i="5" s="1" a="1"/>
  <c r="F511" i="5" s="1"/>
  <c r="A512" i="5" a="1"/>
  <c r="T510" i="5" l="1"/>
  <c r="R510" i="5"/>
  <c r="Q510" i="5"/>
  <c r="S510" i="5"/>
  <c r="Z511" i="5"/>
  <c r="A512" i="5"/>
  <c r="AB511" i="5"/>
  <c r="Y511" i="5"/>
  <c r="AC511" i="5" s="1"/>
  <c r="X511" i="5"/>
  <c r="AA511" i="5"/>
  <c r="W511" i="5"/>
  <c r="P511" i="5" a="1"/>
  <c r="J511" i="5" a="1"/>
  <c r="H511" i="5" a="1"/>
  <c r="D511" i="5" a="1"/>
  <c r="K511" i="5" a="1"/>
  <c r="C511" i="5" a="1"/>
  <c r="G511" i="5" a="1"/>
  <c r="N511" i="5" a="1"/>
  <c r="O511" i="5" a="1"/>
  <c r="I511" i="5" a="1"/>
  <c r="L511" i="5" a="1"/>
  <c r="M511" i="5" a="1"/>
  <c r="U510" i="5" l="1" a="1"/>
  <c r="U510" i="5" s="1"/>
  <c r="V510" i="5" a="1"/>
  <c r="V510" i="5" s="1"/>
  <c r="H511" i="5"/>
  <c r="C511" i="5"/>
  <c r="M511" i="5"/>
  <c r="G511" i="5"/>
  <c r="I511" i="5"/>
  <c r="D511" i="5"/>
  <c r="K511" i="5"/>
  <c r="P511" i="5"/>
  <c r="N511" i="5"/>
  <c r="O511" i="5"/>
  <c r="L511" i="5"/>
  <c r="J511" i="5"/>
  <c r="B512" i="5"/>
  <c r="E512" i="5" a="1"/>
  <c r="E512" i="5" s="1"/>
  <c r="W512" i="5" s="1"/>
  <c r="A513" i="5" a="1"/>
  <c r="C512" i="5" a="1"/>
  <c r="R511" i="5" l="1"/>
  <c r="C512" i="5"/>
  <c r="T511" i="5"/>
  <c r="S511" i="5"/>
  <c r="Q511" i="5"/>
  <c r="F512" i="5" a="1"/>
  <c r="F512" i="5" s="1"/>
  <c r="X512" i="5"/>
  <c r="AB512" i="5"/>
  <c r="Y512" i="5"/>
  <c r="AC512" i="5" s="1"/>
  <c r="Z512" i="5"/>
  <c r="A513" i="5"/>
  <c r="AA512" i="5"/>
  <c r="L512" i="5" a="1"/>
  <c r="H512" i="5" a="1"/>
  <c r="J512" i="5" a="1"/>
  <c r="M512" i="5" a="1"/>
  <c r="O512" i="5" a="1"/>
  <c r="I512" i="5" a="1"/>
  <c r="G512" i="5" a="1"/>
  <c r="D512" i="5" a="1"/>
  <c r="N512" i="5" a="1"/>
  <c r="P512" i="5" a="1"/>
  <c r="K512" i="5" a="1"/>
  <c r="V511" i="5" l="1" a="1"/>
  <c r="V511" i="5" s="1"/>
  <c r="U511" i="5" a="1"/>
  <c r="U511" i="5" s="1"/>
  <c r="G512" i="5"/>
  <c r="P512" i="5"/>
  <c r="K512" i="5"/>
  <c r="H512" i="5"/>
  <c r="D512" i="5"/>
  <c r="M512" i="5"/>
  <c r="O512" i="5"/>
  <c r="N512" i="5"/>
  <c r="L512" i="5"/>
  <c r="J512" i="5"/>
  <c r="I512" i="5"/>
  <c r="B513" i="5"/>
  <c r="E513" i="5" a="1"/>
  <c r="E513" i="5" s="1"/>
  <c r="A514" i="5" a="1"/>
  <c r="T512" i="5" l="1"/>
  <c r="R512" i="5"/>
  <c r="S512" i="5"/>
  <c r="Q512" i="5"/>
  <c r="F513" i="5" a="1"/>
  <c r="F513" i="5" s="1"/>
  <c r="Z513" i="5"/>
  <c r="A514" i="5"/>
  <c r="X513" i="5"/>
  <c r="Y513" i="5"/>
  <c r="AC513" i="5" s="1"/>
  <c r="AB513" i="5"/>
  <c r="AA513" i="5"/>
  <c r="W513" i="5"/>
  <c r="C513" i="5" a="1"/>
  <c r="D513" i="5" a="1"/>
  <c r="O513" i="5" a="1"/>
  <c r="J513" i="5" a="1"/>
  <c r="H513" i="5" a="1"/>
  <c r="M513" i="5" a="1"/>
  <c r="I513" i="5" a="1"/>
  <c r="N513" i="5" a="1"/>
  <c r="K513" i="5" a="1"/>
  <c r="L513" i="5" a="1"/>
  <c r="G513" i="5" a="1"/>
  <c r="P513" i="5" a="1"/>
  <c r="V512" i="5" l="1" a="1"/>
  <c r="V512" i="5" s="1"/>
  <c r="U512" i="5" a="1"/>
  <c r="U512" i="5" s="1"/>
  <c r="J513" i="5"/>
  <c r="K513" i="5"/>
  <c r="N513" i="5"/>
  <c r="H513" i="5"/>
  <c r="P513" i="5"/>
  <c r="G513" i="5"/>
  <c r="I513" i="5"/>
  <c r="C513" i="5"/>
  <c r="D513" i="5"/>
  <c r="O513" i="5"/>
  <c r="L513" i="5"/>
  <c r="M513" i="5"/>
  <c r="E514" i="5" a="1"/>
  <c r="E514" i="5" s="1"/>
  <c r="AB514" i="5" s="1"/>
  <c r="B514" i="5"/>
  <c r="A515" i="5" a="1"/>
  <c r="R513" i="5" l="1"/>
  <c r="T513" i="5"/>
  <c r="F514" i="5" a="1"/>
  <c r="F514" i="5" s="1"/>
  <c r="S513" i="5"/>
  <c r="Q513" i="5"/>
  <c r="A515" i="5"/>
  <c r="X514" i="5"/>
  <c r="AA514" i="5"/>
  <c r="Y514" i="5"/>
  <c r="AC514" i="5" s="1"/>
  <c r="W514" i="5"/>
  <c r="Z514" i="5"/>
  <c r="N514" i="5" a="1"/>
  <c r="C514" i="5" a="1"/>
  <c r="M514" i="5" a="1"/>
  <c r="H514" i="5" a="1"/>
  <c r="P514" i="5" a="1"/>
  <c r="J514" i="5" a="1"/>
  <c r="K514" i="5" a="1"/>
  <c r="G514" i="5" a="1"/>
  <c r="O514" i="5" a="1"/>
  <c r="L514" i="5" a="1"/>
  <c r="I514" i="5" a="1"/>
  <c r="D514" i="5" a="1"/>
  <c r="U513" i="5" l="1" a="1"/>
  <c r="U513" i="5" s="1"/>
  <c r="V513" i="5" a="1"/>
  <c r="V513" i="5" s="1"/>
  <c r="I514" i="5"/>
  <c r="P514" i="5"/>
  <c r="L514" i="5"/>
  <c r="M514" i="5"/>
  <c r="K514" i="5"/>
  <c r="G514" i="5"/>
  <c r="O514" i="5"/>
  <c r="C514" i="5"/>
  <c r="H514" i="5"/>
  <c r="J514" i="5"/>
  <c r="D514" i="5"/>
  <c r="N514" i="5"/>
  <c r="B515" i="5"/>
  <c r="E515" i="5" a="1"/>
  <c r="E515" i="5" s="1"/>
  <c r="X515" i="5" s="1"/>
  <c r="A516" i="5" a="1"/>
  <c r="C515" i="5" a="1"/>
  <c r="T514" i="5" l="1"/>
  <c r="R514" i="5"/>
  <c r="C515" i="5"/>
  <c r="F515" i="5" a="1"/>
  <c r="F515" i="5" s="1"/>
  <c r="Q514" i="5"/>
  <c r="S514" i="5"/>
  <c r="A516" i="5"/>
  <c r="AB515" i="5"/>
  <c r="Y515" i="5"/>
  <c r="AC515" i="5" s="1"/>
  <c r="AA515" i="5"/>
  <c r="W515" i="5"/>
  <c r="Z515" i="5"/>
  <c r="P515" i="5" a="1"/>
  <c r="D515" i="5" a="1"/>
  <c r="H515" i="5" a="1"/>
  <c r="N515" i="5" a="1"/>
  <c r="O515" i="5" a="1"/>
  <c r="J515" i="5" a="1"/>
  <c r="G515" i="5" a="1"/>
  <c r="I515" i="5" a="1"/>
  <c r="K515" i="5" a="1"/>
  <c r="M515" i="5" a="1"/>
  <c r="L515" i="5" a="1"/>
  <c r="V514" i="5" l="1" a="1"/>
  <c r="V514" i="5" s="1"/>
  <c r="U514" i="5" a="1"/>
  <c r="U514" i="5" s="1"/>
  <c r="O515" i="5"/>
  <c r="K515" i="5"/>
  <c r="D515" i="5"/>
  <c r="M515" i="5"/>
  <c r="N515" i="5"/>
  <c r="P515" i="5"/>
  <c r="L515" i="5"/>
  <c r="I515" i="5"/>
  <c r="G515" i="5"/>
  <c r="H515" i="5"/>
  <c r="J515" i="5"/>
  <c r="B516" i="5"/>
  <c r="P516" i="5" s="1" a="1"/>
  <c r="E516" i="5" a="1"/>
  <c r="A517" i="5" a="1"/>
  <c r="E516" i="5" l="1"/>
  <c r="X516" i="5" s="1"/>
  <c r="P516" i="5"/>
  <c r="R515" i="5"/>
  <c r="T515" i="5"/>
  <c r="Q515" i="5"/>
  <c r="S515" i="5"/>
  <c r="A517" i="5"/>
  <c r="F516" i="5" a="1"/>
  <c r="I516" i="5" a="1"/>
  <c r="N516" i="5" a="1"/>
  <c r="G516" i="5" a="1"/>
  <c r="O516" i="5" a="1"/>
  <c r="M516" i="5" a="1"/>
  <c r="C516" i="5" a="1"/>
  <c r="L516" i="5" a="1"/>
  <c r="D516" i="5" a="1"/>
  <c r="J516" i="5" a="1"/>
  <c r="H516" i="5" a="1"/>
  <c r="K516" i="5" a="1"/>
  <c r="U515" i="5" l="1" a="1"/>
  <c r="U515" i="5" s="1"/>
  <c r="V515" i="5" a="1"/>
  <c r="V515" i="5" s="1"/>
  <c r="AB516" i="5"/>
  <c r="Z516" i="5"/>
  <c r="W516" i="5"/>
  <c r="Y516" i="5"/>
  <c r="AC516" i="5" s="1"/>
  <c r="AA516" i="5"/>
  <c r="F516" i="5"/>
  <c r="L516" i="5"/>
  <c r="R516" i="5" s="1"/>
  <c r="M516" i="5"/>
  <c r="T516" i="5" s="1"/>
  <c r="I516" i="5"/>
  <c r="O516" i="5"/>
  <c r="C516" i="5"/>
  <c r="K516" i="5"/>
  <c r="D516" i="5"/>
  <c r="H516" i="5"/>
  <c r="N516" i="5"/>
  <c r="G516" i="5"/>
  <c r="J516" i="5"/>
  <c r="B517" i="5"/>
  <c r="E517" i="5" a="1"/>
  <c r="E517" i="5" s="1"/>
  <c r="A518" i="5" a="1"/>
  <c r="F517" i="5" l="1" a="1"/>
  <c r="F517" i="5" s="1"/>
  <c r="S516" i="5"/>
  <c r="V516" i="5" s="1" a="1"/>
  <c r="V516" i="5" s="1"/>
  <c r="Q516" i="5"/>
  <c r="U516" i="5" s="1" a="1"/>
  <c r="U516" i="5" s="1"/>
  <c r="Z517" i="5"/>
  <c r="A518" i="5"/>
  <c r="X517" i="5"/>
  <c r="AB517" i="5"/>
  <c r="Y517" i="5"/>
  <c r="AC517" i="5" s="1"/>
  <c r="AA517" i="5"/>
  <c r="W517" i="5"/>
  <c r="O517" i="5" a="1"/>
  <c r="C517" i="5" a="1"/>
  <c r="L517" i="5" a="1"/>
  <c r="D517" i="5" a="1"/>
  <c r="G517" i="5" a="1"/>
  <c r="P517" i="5" a="1"/>
  <c r="K517" i="5" a="1"/>
  <c r="J517" i="5" a="1"/>
  <c r="N517" i="5" a="1"/>
  <c r="M517" i="5" a="1"/>
  <c r="H517" i="5" a="1"/>
  <c r="I517" i="5" a="1"/>
  <c r="O517" i="5" l="1"/>
  <c r="H517" i="5"/>
  <c r="C517" i="5"/>
  <c r="P517" i="5"/>
  <c r="L517" i="5"/>
  <c r="N517" i="5"/>
  <c r="K517" i="5"/>
  <c r="J517" i="5"/>
  <c r="I517" i="5"/>
  <c r="D517" i="5"/>
  <c r="M517" i="5"/>
  <c r="G517" i="5"/>
  <c r="B518" i="5"/>
  <c r="D518" i="5" s="1" a="1"/>
  <c r="E518" i="5" a="1"/>
  <c r="E518" i="5" s="1"/>
  <c r="A519" i="5" a="1"/>
  <c r="T517" i="5" l="1"/>
  <c r="R517" i="5"/>
  <c r="D518" i="5"/>
  <c r="F518" i="5" a="1"/>
  <c r="F518" i="5" s="1"/>
  <c r="AB518" i="5"/>
  <c r="S517" i="5"/>
  <c r="Q517" i="5"/>
  <c r="A519" i="5"/>
  <c r="X518" i="5"/>
  <c r="AA518" i="5"/>
  <c r="Y518" i="5"/>
  <c r="AC518" i="5" s="1"/>
  <c r="W518" i="5"/>
  <c r="Z518" i="5"/>
  <c r="N518" i="5" a="1"/>
  <c r="C518" i="5" a="1"/>
  <c r="O518" i="5" a="1"/>
  <c r="M518" i="5" a="1"/>
  <c r="K518" i="5" a="1"/>
  <c r="H518" i="5" a="1"/>
  <c r="J518" i="5" a="1"/>
  <c r="G518" i="5" a="1"/>
  <c r="I518" i="5" a="1"/>
  <c r="P518" i="5" a="1"/>
  <c r="L518" i="5" a="1"/>
  <c r="V517" i="5" l="1" a="1"/>
  <c r="V517" i="5" s="1"/>
  <c r="U517" i="5" a="1"/>
  <c r="U517" i="5" s="1"/>
  <c r="M518" i="5"/>
  <c r="I518" i="5"/>
  <c r="K518" i="5"/>
  <c r="J518" i="5"/>
  <c r="C518" i="5"/>
  <c r="G518" i="5"/>
  <c r="H518" i="5"/>
  <c r="N518" i="5"/>
  <c r="P518" i="5"/>
  <c r="O518" i="5"/>
  <c r="L518" i="5"/>
  <c r="E519" i="5" a="1"/>
  <c r="E519" i="5" s="1"/>
  <c r="B519" i="5"/>
  <c r="A520" i="5" a="1"/>
  <c r="C519" i="5" a="1"/>
  <c r="R518" i="5" l="1"/>
  <c r="C519" i="5"/>
  <c r="F519" i="5" a="1"/>
  <c r="F519" i="5" s="1"/>
  <c r="S518" i="5"/>
  <c r="Q518" i="5"/>
  <c r="Z519" i="5"/>
  <c r="T518" i="5"/>
  <c r="A520" i="5"/>
  <c r="X519" i="5"/>
  <c r="AB519" i="5"/>
  <c r="Y519" i="5"/>
  <c r="AC519" i="5" s="1"/>
  <c r="AA519" i="5"/>
  <c r="W519" i="5"/>
  <c r="M519" i="5" a="1"/>
  <c r="N519" i="5" a="1"/>
  <c r="P519" i="5" a="1"/>
  <c r="D519" i="5" a="1"/>
  <c r="K519" i="5" a="1"/>
  <c r="J519" i="5" a="1"/>
  <c r="I519" i="5" a="1"/>
  <c r="O519" i="5" a="1"/>
  <c r="G519" i="5" a="1"/>
  <c r="L519" i="5" a="1"/>
  <c r="H519" i="5" a="1"/>
  <c r="U518" i="5" l="1" a="1"/>
  <c r="U518" i="5" s="1"/>
  <c r="K519" i="5"/>
  <c r="N519" i="5"/>
  <c r="I519" i="5"/>
  <c r="D519" i="5"/>
  <c r="J519" i="5"/>
  <c r="G519" i="5"/>
  <c r="H519" i="5"/>
  <c r="O519" i="5"/>
  <c r="L519" i="5"/>
  <c r="P519" i="5"/>
  <c r="M519" i="5"/>
  <c r="T519" i="5" s="1"/>
  <c r="B520" i="5"/>
  <c r="F520" i="5" s="1" a="1"/>
  <c r="F520" i="5" s="1"/>
  <c r="E520" i="5" a="1"/>
  <c r="E520" i="5" s="1"/>
  <c r="AB520" i="5" s="1"/>
  <c r="V518" i="5" a="1"/>
  <c r="V518" i="5" s="1"/>
  <c r="A521" i="5" a="1"/>
  <c r="R519" i="5" l="1"/>
  <c r="Q519" i="5"/>
  <c r="S519" i="5"/>
  <c r="V519" i="5" s="1" a="1"/>
  <c r="V519" i="5" s="1"/>
  <c r="A521" i="5"/>
  <c r="X520" i="5"/>
  <c r="AA520" i="5"/>
  <c r="Y520" i="5"/>
  <c r="AC520" i="5" s="1"/>
  <c r="W520" i="5"/>
  <c r="Z520" i="5"/>
  <c r="G520" i="5" a="1"/>
  <c r="M520" i="5" a="1"/>
  <c r="J520" i="5" a="1"/>
  <c r="D520" i="5" a="1"/>
  <c r="H520" i="5" a="1"/>
  <c r="K520" i="5" a="1"/>
  <c r="I520" i="5" a="1"/>
  <c r="P520" i="5" a="1"/>
  <c r="N520" i="5" a="1"/>
  <c r="L520" i="5" a="1"/>
  <c r="C520" i="5" a="1"/>
  <c r="O520" i="5" a="1"/>
  <c r="U519" i="5" l="1" a="1"/>
  <c r="U519" i="5" s="1"/>
  <c r="O520" i="5"/>
  <c r="H520" i="5"/>
  <c r="G520" i="5"/>
  <c r="K520" i="5"/>
  <c r="C520" i="5"/>
  <c r="J520" i="5"/>
  <c r="D520" i="5"/>
  <c r="L520" i="5"/>
  <c r="P520" i="5"/>
  <c r="N520" i="5"/>
  <c r="M520" i="5"/>
  <c r="I520" i="5"/>
  <c r="B521" i="5"/>
  <c r="E521" i="5" a="1"/>
  <c r="E521" i="5" s="1"/>
  <c r="A522" i="5" a="1"/>
  <c r="N521" i="5" a="1"/>
  <c r="Q520" i="5" l="1"/>
  <c r="R520" i="5"/>
  <c r="N521" i="5"/>
  <c r="F521" i="5" a="1"/>
  <c r="F521" i="5" s="1"/>
  <c r="T520" i="5"/>
  <c r="S520" i="5"/>
  <c r="Z521" i="5"/>
  <c r="X521" i="5"/>
  <c r="AB521" i="5"/>
  <c r="A522" i="5"/>
  <c r="Y521" i="5"/>
  <c r="AC521" i="5" s="1"/>
  <c r="AA521" i="5"/>
  <c r="W521" i="5"/>
  <c r="H521" i="5" a="1"/>
  <c r="P521" i="5" a="1"/>
  <c r="G521" i="5" a="1"/>
  <c r="C521" i="5" a="1"/>
  <c r="L521" i="5" a="1"/>
  <c r="I521" i="5" a="1"/>
  <c r="M521" i="5" a="1"/>
  <c r="D521" i="5" a="1"/>
  <c r="K521" i="5" a="1"/>
  <c r="J521" i="5" a="1"/>
  <c r="O521" i="5" a="1"/>
  <c r="U520" i="5" l="1" a="1"/>
  <c r="U520" i="5" s="1"/>
  <c r="O521" i="5"/>
  <c r="P521" i="5"/>
  <c r="M521" i="5"/>
  <c r="K521" i="5"/>
  <c r="C521" i="5"/>
  <c r="I521" i="5"/>
  <c r="D521" i="5"/>
  <c r="G521" i="5"/>
  <c r="J521" i="5"/>
  <c r="L521" i="5"/>
  <c r="H521" i="5"/>
  <c r="E522" i="5" a="1"/>
  <c r="E522" i="5" s="1"/>
  <c r="B522" i="5"/>
  <c r="V520" i="5" a="1"/>
  <c r="V520" i="5" s="1"/>
  <c r="A523" i="5" a="1"/>
  <c r="T521" i="5" l="1"/>
  <c r="R521" i="5"/>
  <c r="F522" i="5" a="1"/>
  <c r="F522" i="5" s="1"/>
  <c r="AB522" i="5"/>
  <c r="S521" i="5"/>
  <c r="Q521" i="5"/>
  <c r="A523" i="5"/>
  <c r="AA522" i="5"/>
  <c r="X522" i="5"/>
  <c r="Y522" i="5"/>
  <c r="AC522" i="5" s="1"/>
  <c r="W522" i="5"/>
  <c r="Z522" i="5"/>
  <c r="O522" i="5" a="1"/>
  <c r="I522" i="5" a="1"/>
  <c r="P522" i="5" a="1"/>
  <c r="J522" i="5" a="1"/>
  <c r="H522" i="5" a="1"/>
  <c r="K522" i="5" a="1"/>
  <c r="M522" i="5" a="1"/>
  <c r="C522" i="5" a="1"/>
  <c r="G522" i="5" a="1"/>
  <c r="N522" i="5" a="1"/>
  <c r="L522" i="5" a="1"/>
  <c r="D522" i="5" a="1"/>
  <c r="V521" i="5" l="1" a="1"/>
  <c r="V521" i="5" s="1"/>
  <c r="U521" i="5" a="1"/>
  <c r="U521" i="5" s="1"/>
  <c r="I522" i="5"/>
  <c r="O522" i="5"/>
  <c r="P522" i="5"/>
  <c r="G522" i="5"/>
  <c r="J522" i="5"/>
  <c r="H522" i="5"/>
  <c r="C522" i="5"/>
  <c r="M522" i="5"/>
  <c r="K522" i="5"/>
  <c r="N522" i="5"/>
  <c r="D522" i="5"/>
  <c r="L522" i="5"/>
  <c r="B523" i="5"/>
  <c r="E523" i="5" a="1"/>
  <c r="E523" i="5" s="1"/>
  <c r="Z523" i="5" s="1"/>
  <c r="A524" i="5" a="1"/>
  <c r="C523" i="5" a="1"/>
  <c r="T522" i="5" l="1"/>
  <c r="R522" i="5"/>
  <c r="C523" i="5"/>
  <c r="F523" i="5" a="1"/>
  <c r="F523" i="5" s="1"/>
  <c r="Q522" i="5"/>
  <c r="S522" i="5"/>
  <c r="A524" i="5"/>
  <c r="X523" i="5"/>
  <c r="AB523" i="5"/>
  <c r="Y523" i="5"/>
  <c r="AC523" i="5" s="1"/>
  <c r="AA523" i="5"/>
  <c r="W523" i="5"/>
  <c r="I523" i="5" a="1"/>
  <c r="H523" i="5" a="1"/>
  <c r="L523" i="5" a="1"/>
  <c r="P523" i="5" a="1"/>
  <c r="J523" i="5" a="1"/>
  <c r="D523" i="5" a="1"/>
  <c r="N523" i="5" a="1"/>
  <c r="O523" i="5" a="1"/>
  <c r="M523" i="5" a="1"/>
  <c r="K523" i="5" a="1"/>
  <c r="G523" i="5" a="1"/>
  <c r="V522" i="5" l="1" a="1"/>
  <c r="V522" i="5" s="1"/>
  <c r="U522" i="5" a="1"/>
  <c r="U522" i="5" s="1"/>
  <c r="H523" i="5"/>
  <c r="O523" i="5"/>
  <c r="P523" i="5"/>
  <c r="J523" i="5"/>
  <c r="L523" i="5"/>
  <c r="G523" i="5"/>
  <c r="M523" i="5"/>
  <c r="I523" i="5"/>
  <c r="K523" i="5"/>
  <c r="D523" i="5"/>
  <c r="N523" i="5"/>
  <c r="E524" i="5" a="1"/>
  <c r="E524" i="5" s="1"/>
  <c r="AB524" i="5" s="1"/>
  <c r="B524" i="5"/>
  <c r="P524" i="5" s="1" a="1"/>
  <c r="A525" i="5" a="1"/>
  <c r="T523" i="5" l="1"/>
  <c r="P524" i="5"/>
  <c r="R523" i="5"/>
  <c r="F524" i="5" a="1"/>
  <c r="F524" i="5" s="1"/>
  <c r="S523" i="5"/>
  <c r="Q523" i="5"/>
  <c r="X524" i="5"/>
  <c r="A525" i="5"/>
  <c r="AA524" i="5"/>
  <c r="Y524" i="5"/>
  <c r="AC524" i="5" s="1"/>
  <c r="W524" i="5"/>
  <c r="Z524" i="5"/>
  <c r="G524" i="5" a="1"/>
  <c r="I524" i="5" a="1"/>
  <c r="M524" i="5" a="1"/>
  <c r="D524" i="5" a="1"/>
  <c r="J524" i="5" a="1"/>
  <c r="K524" i="5" a="1"/>
  <c r="N524" i="5" a="1"/>
  <c r="H524" i="5" a="1"/>
  <c r="C524" i="5" a="1"/>
  <c r="O524" i="5" a="1"/>
  <c r="L524" i="5" a="1"/>
  <c r="V523" i="5" l="1" a="1"/>
  <c r="V523" i="5" s="1"/>
  <c r="U523" i="5" a="1"/>
  <c r="U523" i="5" s="1"/>
  <c r="H524" i="5"/>
  <c r="D524" i="5"/>
  <c r="N524" i="5"/>
  <c r="M524" i="5"/>
  <c r="T524" i="5" s="1"/>
  <c r="O524" i="5"/>
  <c r="K524" i="5"/>
  <c r="C524" i="5"/>
  <c r="J524" i="5"/>
  <c r="I524" i="5"/>
  <c r="G524" i="5"/>
  <c r="L524" i="5"/>
  <c r="R524" i="5" s="1"/>
  <c r="B525" i="5"/>
  <c r="F525" i="5" s="1" a="1"/>
  <c r="F525" i="5" s="1"/>
  <c r="E525" i="5" a="1"/>
  <c r="E525" i="5" s="1"/>
  <c r="A526" i="5" a="1"/>
  <c r="Q524" i="5" l="1"/>
  <c r="U524" i="5" s="1" a="1"/>
  <c r="U524" i="5" s="1"/>
  <c r="S524" i="5"/>
  <c r="V524" i="5" s="1" a="1"/>
  <c r="V524" i="5" s="1"/>
  <c r="Z525" i="5"/>
  <c r="A526" i="5"/>
  <c r="X525" i="5"/>
  <c r="Y525" i="5"/>
  <c r="AC525" i="5" s="1"/>
  <c r="AB525" i="5"/>
  <c r="AA525" i="5"/>
  <c r="W525" i="5"/>
  <c r="C525" i="5" a="1"/>
  <c r="D525" i="5" a="1"/>
  <c r="I525" i="5" a="1"/>
  <c r="K525" i="5" a="1"/>
  <c r="P525" i="5" a="1"/>
  <c r="H525" i="5" a="1"/>
  <c r="G525" i="5" a="1"/>
  <c r="M525" i="5" a="1"/>
  <c r="L525" i="5" a="1"/>
  <c r="O525" i="5" a="1"/>
  <c r="J525" i="5" a="1"/>
  <c r="N525" i="5" a="1"/>
  <c r="N525" i="5" l="1"/>
  <c r="J525" i="5"/>
  <c r="P525" i="5"/>
  <c r="C525" i="5"/>
  <c r="O525" i="5"/>
  <c r="K525" i="5"/>
  <c r="L525" i="5"/>
  <c r="H525" i="5"/>
  <c r="M525" i="5"/>
  <c r="D525" i="5"/>
  <c r="G525" i="5"/>
  <c r="I525" i="5"/>
  <c r="B526" i="5"/>
  <c r="D526" i="5" s="1" a="1"/>
  <c r="E526" i="5" a="1"/>
  <c r="E526" i="5" s="1"/>
  <c r="A527" i="5" a="1"/>
  <c r="T525" i="5" l="1"/>
  <c r="D526" i="5"/>
  <c r="Q525" i="5"/>
  <c r="S525" i="5"/>
  <c r="R525" i="5"/>
  <c r="AB526" i="5"/>
  <c r="A527" i="5"/>
  <c r="Z526" i="5"/>
  <c r="AA526" i="5"/>
  <c r="X526" i="5"/>
  <c r="Y526" i="5"/>
  <c r="AC526" i="5" s="1"/>
  <c r="W526" i="5"/>
  <c r="F526" i="5" a="1"/>
  <c r="J526" i="5" a="1"/>
  <c r="L526" i="5" a="1"/>
  <c r="P526" i="5" a="1"/>
  <c r="N526" i="5" a="1"/>
  <c r="G526" i="5" a="1"/>
  <c r="H526" i="5" a="1"/>
  <c r="M526" i="5" a="1"/>
  <c r="C526" i="5" a="1"/>
  <c r="O526" i="5" a="1"/>
  <c r="K526" i="5" a="1"/>
  <c r="I526" i="5" a="1"/>
  <c r="V525" i="5" l="1" a="1"/>
  <c r="V525" i="5" s="1"/>
  <c r="F526" i="5"/>
  <c r="C526" i="5"/>
  <c r="L526" i="5"/>
  <c r="J526" i="5"/>
  <c r="M526" i="5"/>
  <c r="I526" i="5"/>
  <c r="P526" i="5"/>
  <c r="H526" i="5"/>
  <c r="K526" i="5"/>
  <c r="O526" i="5"/>
  <c r="N526" i="5"/>
  <c r="G526" i="5"/>
  <c r="E527" i="5" a="1"/>
  <c r="E527" i="5" s="1"/>
  <c r="B527" i="5"/>
  <c r="N527" i="5" s="1" a="1"/>
  <c r="U525" i="5" a="1"/>
  <c r="U525" i="5" s="1"/>
  <c r="A528" i="5" a="1"/>
  <c r="R526" i="5" l="1"/>
  <c r="T526" i="5"/>
  <c r="N527" i="5"/>
  <c r="F527" i="5" a="1"/>
  <c r="F527" i="5" s="1"/>
  <c r="Z527" i="5"/>
  <c r="Q526" i="5"/>
  <c r="S526" i="5"/>
  <c r="A528" i="5"/>
  <c r="X527" i="5"/>
  <c r="AB527" i="5"/>
  <c r="Y527" i="5"/>
  <c r="AC527" i="5" s="1"/>
  <c r="AA527" i="5"/>
  <c r="W527" i="5"/>
  <c r="G527" i="5" a="1"/>
  <c r="L527" i="5" a="1"/>
  <c r="O527" i="5" a="1"/>
  <c r="K527" i="5" a="1"/>
  <c r="P527" i="5" a="1"/>
  <c r="C527" i="5" a="1"/>
  <c r="J527" i="5" a="1"/>
  <c r="I527" i="5" a="1"/>
  <c r="D527" i="5" a="1"/>
  <c r="M527" i="5" a="1"/>
  <c r="H527" i="5" a="1"/>
  <c r="U526" i="5" l="1" a="1"/>
  <c r="U526" i="5" s="1"/>
  <c r="V526" i="5" a="1"/>
  <c r="V526" i="5" s="1"/>
  <c r="J527" i="5"/>
  <c r="O527" i="5"/>
  <c r="M527" i="5"/>
  <c r="I527" i="5"/>
  <c r="C527" i="5"/>
  <c r="L527" i="5"/>
  <c r="D527" i="5"/>
  <c r="P527" i="5"/>
  <c r="K527" i="5"/>
  <c r="G527" i="5"/>
  <c r="H527" i="5"/>
  <c r="B528" i="5"/>
  <c r="F528" i="5" s="1" a="1"/>
  <c r="F528" i="5" s="1"/>
  <c r="E528" i="5" a="1"/>
  <c r="E528" i="5" s="1"/>
  <c r="AB528" i="5" s="1"/>
  <c r="A529" i="5" a="1"/>
  <c r="R527" i="5" l="1"/>
  <c r="T527" i="5"/>
  <c r="S527" i="5"/>
  <c r="Q527" i="5"/>
  <c r="A529" i="5"/>
  <c r="X528" i="5"/>
  <c r="AA528" i="5"/>
  <c r="Y528" i="5"/>
  <c r="AC528" i="5" s="1"/>
  <c r="W528" i="5"/>
  <c r="Z528" i="5"/>
  <c r="I528" i="5" a="1"/>
  <c r="K528" i="5" a="1"/>
  <c r="N528" i="5" a="1"/>
  <c r="M528" i="5" a="1"/>
  <c r="P528" i="5" a="1"/>
  <c r="D528" i="5" a="1"/>
  <c r="H528" i="5" a="1"/>
  <c r="J528" i="5" a="1"/>
  <c r="O528" i="5" a="1"/>
  <c r="G528" i="5" a="1"/>
  <c r="C528" i="5" a="1"/>
  <c r="L528" i="5" a="1"/>
  <c r="U527" i="5" l="1" a="1"/>
  <c r="U527" i="5" s="1"/>
  <c r="K528" i="5"/>
  <c r="H528" i="5"/>
  <c r="D528" i="5"/>
  <c r="L528" i="5"/>
  <c r="G528" i="5"/>
  <c r="C528" i="5"/>
  <c r="N528" i="5"/>
  <c r="P528" i="5"/>
  <c r="O528" i="5"/>
  <c r="J528" i="5"/>
  <c r="V527" i="5" a="1"/>
  <c r="V527" i="5" s="1"/>
  <c r="M528" i="5"/>
  <c r="I528" i="5"/>
  <c r="B529" i="5"/>
  <c r="E529" i="5" a="1"/>
  <c r="E529" i="5" s="1"/>
  <c r="Z529" i="5" s="1"/>
  <c r="A530" i="5" a="1"/>
  <c r="O529" i="5" a="1"/>
  <c r="Q528" i="5" l="1"/>
  <c r="R528" i="5"/>
  <c r="T528" i="5"/>
  <c r="S528" i="5"/>
  <c r="O529" i="5"/>
  <c r="A530" i="5"/>
  <c r="X529" i="5"/>
  <c r="AB529" i="5"/>
  <c r="Y529" i="5"/>
  <c r="AC529" i="5" s="1"/>
  <c r="AA529" i="5"/>
  <c r="W529" i="5"/>
  <c r="C529" i="5" a="1"/>
  <c r="J529" i="5" a="1"/>
  <c r="I529" i="5" a="1"/>
  <c r="N529" i="5" a="1"/>
  <c r="H529" i="5" a="1"/>
  <c r="M529" i="5" a="1"/>
  <c r="K529" i="5" a="1"/>
  <c r="L529" i="5" a="1"/>
  <c r="G529" i="5" a="1"/>
  <c r="P529" i="5" a="1"/>
  <c r="F529" i="5" a="1"/>
  <c r="D529" i="5" a="1"/>
  <c r="V528" i="5" l="1" a="1"/>
  <c r="V528" i="5" s="1"/>
  <c r="U528" i="5" a="1"/>
  <c r="U528" i="5" s="1"/>
  <c r="P529" i="5"/>
  <c r="C529" i="5"/>
  <c r="D529" i="5"/>
  <c r="L529" i="5"/>
  <c r="Q529" i="5" s="1"/>
  <c r="F529" i="5"/>
  <c r="G529" i="5"/>
  <c r="I529" i="5"/>
  <c r="M529" i="5"/>
  <c r="K529" i="5"/>
  <c r="N529" i="5"/>
  <c r="H529" i="5"/>
  <c r="J529" i="5"/>
  <c r="E530" i="5" a="1"/>
  <c r="E530" i="5" s="1"/>
  <c r="X530" i="5" s="1"/>
  <c r="B530" i="5"/>
  <c r="A531" i="5" a="1"/>
  <c r="F530" i="5" l="1" a="1"/>
  <c r="F530" i="5" s="1"/>
  <c r="S529" i="5"/>
  <c r="T529" i="5"/>
  <c r="R529" i="5"/>
  <c r="U529" i="5" s="1" a="1"/>
  <c r="U529" i="5" s="1"/>
  <c r="A531" i="5"/>
  <c r="AA530" i="5"/>
  <c r="Y530" i="5"/>
  <c r="AC530" i="5" s="1"/>
  <c r="W530" i="5"/>
  <c r="Z530" i="5"/>
  <c r="AB530" i="5"/>
  <c r="L530" i="5" a="1"/>
  <c r="H530" i="5" a="1"/>
  <c r="I530" i="5" a="1"/>
  <c r="J530" i="5" a="1"/>
  <c r="P530" i="5" a="1"/>
  <c r="D530" i="5" a="1"/>
  <c r="G530" i="5" a="1"/>
  <c r="M530" i="5" a="1"/>
  <c r="N530" i="5" a="1"/>
  <c r="K530" i="5" a="1"/>
  <c r="C530" i="5" a="1"/>
  <c r="O530" i="5" a="1"/>
  <c r="H530" i="5" l="1"/>
  <c r="M530" i="5"/>
  <c r="K530" i="5"/>
  <c r="J530" i="5"/>
  <c r="L530" i="5"/>
  <c r="I530" i="5"/>
  <c r="D530" i="5"/>
  <c r="O530" i="5"/>
  <c r="N530" i="5"/>
  <c r="P530" i="5"/>
  <c r="G530" i="5"/>
  <c r="C530" i="5"/>
  <c r="B531" i="5"/>
  <c r="F531" i="5" s="1" a="1"/>
  <c r="F531" i="5" s="1"/>
  <c r="E531" i="5" a="1"/>
  <c r="E531" i="5" s="1"/>
  <c r="V529" i="5" a="1"/>
  <c r="V529" i="5" s="1"/>
  <c r="A532" i="5" a="1"/>
  <c r="S530" i="5" l="1"/>
  <c r="Q530" i="5"/>
  <c r="Z531" i="5"/>
  <c r="R530" i="5"/>
  <c r="T530" i="5"/>
  <c r="A532" i="5"/>
  <c r="X531" i="5"/>
  <c r="AB531" i="5"/>
  <c r="Y531" i="5"/>
  <c r="AC531" i="5" s="1"/>
  <c r="AA531" i="5"/>
  <c r="W531" i="5"/>
  <c r="M531" i="5" a="1"/>
  <c r="P531" i="5" a="1"/>
  <c r="G531" i="5" a="1"/>
  <c r="D531" i="5" a="1"/>
  <c r="J531" i="5" a="1"/>
  <c r="L531" i="5" a="1"/>
  <c r="H531" i="5" a="1"/>
  <c r="K531" i="5" a="1"/>
  <c r="O531" i="5" a="1"/>
  <c r="N531" i="5" a="1"/>
  <c r="C531" i="5" a="1"/>
  <c r="I531" i="5" a="1"/>
  <c r="D531" i="5" l="1"/>
  <c r="M531" i="5"/>
  <c r="J531" i="5"/>
  <c r="K531" i="5"/>
  <c r="I531" i="5"/>
  <c r="G531" i="5"/>
  <c r="H531" i="5"/>
  <c r="L531" i="5"/>
  <c r="C531" i="5"/>
  <c r="N531" i="5"/>
  <c r="P531" i="5"/>
  <c r="O531" i="5"/>
  <c r="E532" i="5" a="1"/>
  <c r="E532" i="5" s="1"/>
  <c r="X532" i="5" s="1"/>
  <c r="B532" i="5"/>
  <c r="U530" i="5" a="1"/>
  <c r="U530" i="5" s="1"/>
  <c r="V530" i="5" a="1"/>
  <c r="V530" i="5" s="1"/>
  <c r="A533" i="5" a="1"/>
  <c r="P532" i="5" a="1"/>
  <c r="P532" i="5" l="1"/>
  <c r="F532" i="5" a="1"/>
  <c r="F532" i="5" s="1"/>
  <c r="Q531" i="5"/>
  <c r="S531" i="5"/>
  <c r="R531" i="5"/>
  <c r="T531" i="5"/>
  <c r="A533" i="5"/>
  <c r="AA532" i="5"/>
  <c r="Y532" i="5"/>
  <c r="AC532" i="5" s="1"/>
  <c r="W532" i="5"/>
  <c r="AB532" i="5"/>
  <c r="Z532" i="5"/>
  <c r="H532" i="5" a="1"/>
  <c r="K532" i="5" a="1"/>
  <c r="O532" i="5" a="1"/>
  <c r="C532" i="5" a="1"/>
  <c r="M532" i="5" a="1"/>
  <c r="I532" i="5" a="1"/>
  <c r="J532" i="5" a="1"/>
  <c r="D532" i="5" a="1"/>
  <c r="N532" i="5" a="1"/>
  <c r="G532" i="5" a="1"/>
  <c r="L532" i="5" a="1"/>
  <c r="U531" i="5" l="1" a="1"/>
  <c r="U531" i="5" s="1"/>
  <c r="J532" i="5"/>
  <c r="C532" i="5"/>
  <c r="H532" i="5"/>
  <c r="O532" i="5"/>
  <c r="K532" i="5"/>
  <c r="L532" i="5"/>
  <c r="R532" i="5" s="1"/>
  <c r="N532" i="5"/>
  <c r="G532" i="5"/>
  <c r="I532" i="5"/>
  <c r="M532" i="5"/>
  <c r="T532" i="5" s="1"/>
  <c r="D532" i="5"/>
  <c r="B533" i="5"/>
  <c r="F533" i="5" s="1" a="1"/>
  <c r="F533" i="5" s="1"/>
  <c r="E533" i="5" a="1"/>
  <c r="E533" i="5" s="1"/>
  <c r="X533" i="5" s="1"/>
  <c r="V531" i="5" a="1"/>
  <c r="V531" i="5" s="1"/>
  <c r="A534" i="5" a="1"/>
  <c r="Q532" i="5" l="1"/>
  <c r="U532" i="5" s="1" a="1"/>
  <c r="U532" i="5" s="1"/>
  <c r="S532" i="5"/>
  <c r="V532" i="5" s="1" a="1"/>
  <c r="V532" i="5" s="1"/>
  <c r="AB533" i="5"/>
  <c r="A534" i="5"/>
  <c r="Y533" i="5"/>
  <c r="AC533" i="5" s="1"/>
  <c r="AA533" i="5"/>
  <c r="W533" i="5"/>
  <c r="Z533" i="5"/>
  <c r="N533" i="5" a="1"/>
  <c r="P533" i="5" a="1"/>
  <c r="M533" i="5" a="1"/>
  <c r="D533" i="5" a="1"/>
  <c r="L533" i="5" a="1"/>
  <c r="I533" i="5" a="1"/>
  <c r="J533" i="5" a="1"/>
  <c r="H533" i="5" a="1"/>
  <c r="O533" i="5" a="1"/>
  <c r="K533" i="5" a="1"/>
  <c r="G533" i="5" a="1"/>
  <c r="C533" i="5" a="1"/>
  <c r="K533" i="5" l="1"/>
  <c r="J533" i="5"/>
  <c r="N533" i="5"/>
  <c r="P533" i="5"/>
  <c r="L533" i="5"/>
  <c r="M533" i="5"/>
  <c r="O533" i="5"/>
  <c r="D533" i="5"/>
  <c r="G533" i="5"/>
  <c r="C533" i="5"/>
  <c r="H533" i="5"/>
  <c r="I533" i="5"/>
  <c r="B534" i="5"/>
  <c r="E534" i="5" a="1"/>
  <c r="E534" i="5" s="1"/>
  <c r="A535" i="5" a="1"/>
  <c r="N534" i="5" a="1"/>
  <c r="A535" i="5" l="1"/>
  <c r="A536" i="5" s="1" a="1"/>
  <c r="R533" i="5"/>
  <c r="T533" i="5"/>
  <c r="N534" i="5"/>
  <c r="Q533" i="5"/>
  <c r="S533" i="5"/>
  <c r="F534" i="5" a="1"/>
  <c r="F534" i="5" s="1"/>
  <c r="AB534" i="5"/>
  <c r="X534" i="5"/>
  <c r="AA534" i="5"/>
  <c r="Y534" i="5"/>
  <c r="AC534" i="5" s="1"/>
  <c r="W534" i="5"/>
  <c r="Z534" i="5"/>
  <c r="D534" i="5" a="1"/>
  <c r="J534" i="5" a="1"/>
  <c r="G534" i="5" a="1"/>
  <c r="M534" i="5" a="1"/>
  <c r="H534" i="5" a="1"/>
  <c r="O534" i="5" a="1"/>
  <c r="I534" i="5" a="1"/>
  <c r="C534" i="5" a="1"/>
  <c r="P534" i="5" a="1"/>
  <c r="L534" i="5" a="1"/>
  <c r="K534" i="5" a="1"/>
  <c r="E535" i="5" l="1" a="1"/>
  <c r="E535" i="5" s="1"/>
  <c r="Z535" i="5" s="1"/>
  <c r="B535" i="5"/>
  <c r="M535" i="5" s="1" a="1"/>
  <c r="M535" i="5" s="1"/>
  <c r="U533" i="5" a="1"/>
  <c r="U533" i="5" s="1"/>
  <c r="V533" i="5" a="1"/>
  <c r="V533" i="5" s="1"/>
  <c r="A536" i="5"/>
  <c r="B536" i="5" s="1"/>
  <c r="M534" i="5"/>
  <c r="O534" i="5"/>
  <c r="I534" i="5"/>
  <c r="L534" i="5"/>
  <c r="J534" i="5"/>
  <c r="D534" i="5"/>
  <c r="H534" i="5"/>
  <c r="K534" i="5"/>
  <c r="G534" i="5"/>
  <c r="P534" i="5"/>
  <c r="C534" i="5"/>
  <c r="H535" i="5" l="1" a="1"/>
  <c r="H535" i="5" s="1"/>
  <c r="Y535" i="5"/>
  <c r="AC535" i="5" s="1"/>
  <c r="AB535" i="5"/>
  <c r="K535" i="5" a="1"/>
  <c r="K535" i="5" s="1"/>
  <c r="X535" i="5"/>
  <c r="C535" i="5" a="1"/>
  <c r="C535" i="5" s="1"/>
  <c r="F535" i="5" a="1"/>
  <c r="F535" i="5" s="1"/>
  <c r="O535" i="5" a="1"/>
  <c r="O535" i="5" s="1"/>
  <c r="I535" i="5" a="1"/>
  <c r="I535" i="5" s="1"/>
  <c r="W535" i="5"/>
  <c r="N535" i="5" a="1"/>
  <c r="N535" i="5" s="1"/>
  <c r="P535" i="5" a="1"/>
  <c r="P535" i="5" s="1"/>
  <c r="AA535" i="5"/>
  <c r="L535" i="5" a="1"/>
  <c r="L535" i="5" s="1"/>
  <c r="D535" i="5" a="1"/>
  <c r="D535" i="5" s="1"/>
  <c r="G535" i="5" a="1"/>
  <c r="G535" i="5" s="1"/>
  <c r="J535" i="5" a="1"/>
  <c r="J535" i="5" s="1"/>
  <c r="R534" i="5"/>
  <c r="Q534" i="5"/>
  <c r="S534" i="5"/>
  <c r="T534" i="5"/>
  <c r="H536" i="5" a="1"/>
  <c r="J536" i="5" a="1"/>
  <c r="L536" i="5" a="1"/>
  <c r="D536" i="5" a="1"/>
  <c r="O536" i="5" a="1"/>
  <c r="I536" i="5" a="1"/>
  <c r="F536" i="5" a="1"/>
  <c r="C536" i="5" a="1"/>
  <c r="G536" i="5" a="1"/>
  <c r="P536" i="5" a="1"/>
  <c r="M536" i="5" a="1"/>
  <c r="K536" i="5" a="1"/>
  <c r="E536" i="5" a="1"/>
  <c r="N536" i="5" a="1"/>
  <c r="A537" i="5" a="1"/>
  <c r="E536" i="5" l="1"/>
  <c r="X536" i="5" s="1"/>
  <c r="A537" i="5"/>
  <c r="S535" i="5"/>
  <c r="Q535" i="5"/>
  <c r="R535" i="5"/>
  <c r="T535" i="5"/>
  <c r="C536" i="5"/>
  <c r="D536" i="5"/>
  <c r="O536" i="5"/>
  <c r="M536" i="5"/>
  <c r="P536" i="5"/>
  <c r="H536" i="5"/>
  <c r="J536" i="5"/>
  <c r="F536" i="5"/>
  <c r="L536" i="5"/>
  <c r="K536" i="5"/>
  <c r="N536" i="5"/>
  <c r="G536" i="5"/>
  <c r="I536" i="5"/>
  <c r="U534" i="5" a="1"/>
  <c r="U534" i="5" s="1"/>
  <c r="V534" i="5" a="1"/>
  <c r="V534" i="5" s="1"/>
  <c r="U535" i="5" a="1"/>
  <c r="A538" i="5" a="1"/>
  <c r="V535" i="5" a="1"/>
  <c r="AA536" i="5" l="1"/>
  <c r="B537" i="5"/>
  <c r="N537" i="5" s="1" a="1"/>
  <c r="Y536" i="5"/>
  <c r="AC536" i="5" s="1"/>
  <c r="E537" i="5" a="1"/>
  <c r="E537" i="5" s="1"/>
  <c r="AA537" i="5" s="1"/>
  <c r="Z536" i="5"/>
  <c r="AB536" i="5"/>
  <c r="W536" i="5"/>
  <c r="U535" i="5"/>
  <c r="V535" i="5"/>
  <c r="T536" i="5"/>
  <c r="R536" i="5"/>
  <c r="S536" i="5"/>
  <c r="Q536" i="5"/>
  <c r="A538" i="5"/>
  <c r="M537" i="5" a="1"/>
  <c r="H537" i="5" a="1"/>
  <c r="P537" i="5" a="1"/>
  <c r="I537" i="5" a="1"/>
  <c r="O537" i="5" a="1"/>
  <c r="C537" i="5" a="1"/>
  <c r="D537" i="5" a="1"/>
  <c r="J537" i="5" a="1"/>
  <c r="L537" i="5" a="1"/>
  <c r="D537" i="5" l="1"/>
  <c r="F537" i="5" a="1"/>
  <c r="F537" i="5" s="1"/>
  <c r="Z537" i="5"/>
  <c r="W537" i="5"/>
  <c r="Y537" i="5"/>
  <c r="AC537" i="5" s="1"/>
  <c r="AB537" i="5"/>
  <c r="X537" i="5"/>
  <c r="V536" i="5" a="1"/>
  <c r="V536" i="5" s="1"/>
  <c r="J537" i="5"/>
  <c r="L537" i="5"/>
  <c r="O537" i="5"/>
  <c r="M537" i="5"/>
  <c r="P537" i="5"/>
  <c r="I537" i="5"/>
  <c r="N537" i="5"/>
  <c r="C537" i="5"/>
  <c r="H537" i="5"/>
  <c r="E538" i="5" a="1"/>
  <c r="E538" i="5" s="1"/>
  <c r="B538" i="5"/>
  <c r="U536" i="5" a="1"/>
  <c r="U536" i="5" s="1"/>
  <c r="A539" i="5" a="1"/>
  <c r="G537" i="5" a="1"/>
  <c r="K537" i="5" a="1"/>
  <c r="G537" i="5" l="1"/>
  <c r="K537" i="5"/>
  <c r="R537" i="5"/>
  <c r="T537" i="5"/>
  <c r="F538" i="5" a="1"/>
  <c r="F538" i="5" s="1"/>
  <c r="S537" i="5"/>
  <c r="Q537" i="5"/>
  <c r="AB538" i="5"/>
  <c r="A539" i="5"/>
  <c r="X538" i="5"/>
  <c r="AA538" i="5"/>
  <c r="Y538" i="5"/>
  <c r="AC538" i="5" s="1"/>
  <c r="W538" i="5"/>
  <c r="Z538" i="5"/>
  <c r="L538" i="5" a="1"/>
  <c r="J538" i="5" a="1"/>
  <c r="I538" i="5" a="1"/>
  <c r="D538" i="5" a="1"/>
  <c r="M538" i="5" a="1"/>
  <c r="O538" i="5" a="1"/>
  <c r="P538" i="5" a="1"/>
  <c r="C538" i="5" a="1"/>
  <c r="G538" i="5" a="1"/>
  <c r="N538" i="5" a="1"/>
  <c r="H538" i="5" a="1"/>
  <c r="K538" i="5" a="1"/>
  <c r="U537" i="5" l="1" a="1"/>
  <c r="U537" i="5" s="1"/>
  <c r="V537" i="5" a="1"/>
  <c r="V537" i="5" s="1"/>
  <c r="P538" i="5"/>
  <c r="L538" i="5"/>
  <c r="G538" i="5"/>
  <c r="D538" i="5"/>
  <c r="I538" i="5"/>
  <c r="M538" i="5"/>
  <c r="K538" i="5"/>
  <c r="O538" i="5"/>
  <c r="H538" i="5"/>
  <c r="N538" i="5"/>
  <c r="J538" i="5"/>
  <c r="C538" i="5"/>
  <c r="B539" i="5"/>
  <c r="F539" i="5" s="1" a="1"/>
  <c r="F539" i="5" s="1"/>
  <c r="E539" i="5" a="1"/>
  <c r="E539" i="5" s="1"/>
  <c r="A540" i="5" a="1"/>
  <c r="T538" i="5" l="1"/>
  <c r="R538" i="5"/>
  <c r="Q538" i="5"/>
  <c r="S538" i="5"/>
  <c r="Z539" i="5"/>
  <c r="A540" i="5"/>
  <c r="X539" i="5"/>
  <c r="AB539" i="5"/>
  <c r="Y539" i="5"/>
  <c r="AC539" i="5" s="1"/>
  <c r="AA539" i="5"/>
  <c r="W539" i="5"/>
  <c r="D539" i="5" a="1"/>
  <c r="I539" i="5" a="1"/>
  <c r="P539" i="5" a="1"/>
  <c r="L539" i="5" a="1"/>
  <c r="N539" i="5" a="1"/>
  <c r="J539" i="5" a="1"/>
  <c r="G539" i="5" a="1"/>
  <c r="M539" i="5" a="1"/>
  <c r="O539" i="5" a="1"/>
  <c r="C539" i="5" a="1"/>
  <c r="H539" i="5" a="1"/>
  <c r="K539" i="5" a="1"/>
  <c r="U538" i="5" l="1" a="1"/>
  <c r="U538" i="5" s="1"/>
  <c r="V538" i="5" a="1"/>
  <c r="V538" i="5" s="1"/>
  <c r="G539" i="5"/>
  <c r="H539" i="5"/>
  <c r="C539" i="5"/>
  <c r="J539" i="5"/>
  <c r="D539" i="5"/>
  <c r="K539" i="5"/>
  <c r="O539" i="5"/>
  <c r="I539" i="5"/>
  <c r="L539" i="5"/>
  <c r="N539" i="5"/>
  <c r="P539" i="5"/>
  <c r="M539" i="5"/>
  <c r="E540" i="5" a="1"/>
  <c r="E540" i="5" s="1"/>
  <c r="B540" i="5"/>
  <c r="G540" i="5" s="1" a="1"/>
  <c r="A541" i="5" a="1"/>
  <c r="R539" i="5" l="1"/>
  <c r="Q539" i="5"/>
  <c r="G540" i="5"/>
  <c r="F540" i="5" a="1"/>
  <c r="F540" i="5" s="1"/>
  <c r="T539" i="5"/>
  <c r="S539" i="5"/>
  <c r="AB540" i="5"/>
  <c r="A541" i="5"/>
  <c r="AA540" i="5"/>
  <c r="X540" i="5"/>
  <c r="Y540" i="5"/>
  <c r="AC540" i="5" s="1"/>
  <c r="W540" i="5"/>
  <c r="Z540" i="5"/>
  <c r="D540" i="5" a="1"/>
  <c r="C540" i="5" a="1"/>
  <c r="M540" i="5" a="1"/>
  <c r="P540" i="5" a="1"/>
  <c r="K540" i="5" a="1"/>
  <c r="N540" i="5" a="1"/>
  <c r="J540" i="5" a="1"/>
  <c r="I540" i="5" a="1"/>
  <c r="L540" i="5" a="1"/>
  <c r="O540" i="5" a="1"/>
  <c r="H540" i="5" a="1"/>
  <c r="U539" i="5" l="1" a="1"/>
  <c r="U539" i="5" s="1"/>
  <c r="V539" i="5" a="1"/>
  <c r="V539" i="5" s="1"/>
  <c r="O540" i="5"/>
  <c r="N540" i="5"/>
  <c r="M540" i="5"/>
  <c r="D540" i="5"/>
  <c r="J540" i="5"/>
  <c r="L540" i="5"/>
  <c r="I540" i="5"/>
  <c r="C540" i="5"/>
  <c r="K540" i="5"/>
  <c r="P540" i="5"/>
  <c r="H540" i="5"/>
  <c r="B541" i="5"/>
  <c r="F541" i="5" s="1" a="1"/>
  <c r="F541" i="5" s="1"/>
  <c r="E541" i="5" a="1"/>
  <c r="E541" i="5" s="1"/>
  <c r="Z541" i="5" s="1"/>
  <c r="A542" i="5" a="1"/>
  <c r="T540" i="5" l="1"/>
  <c r="R540" i="5"/>
  <c r="Q540" i="5"/>
  <c r="S540" i="5"/>
  <c r="A542" i="5"/>
  <c r="X541" i="5"/>
  <c r="Y541" i="5"/>
  <c r="AC541" i="5" s="1"/>
  <c r="AB541" i="5"/>
  <c r="AA541" i="5"/>
  <c r="W541" i="5"/>
  <c r="J541" i="5" a="1"/>
  <c r="O541" i="5" a="1"/>
  <c r="H541" i="5" a="1"/>
  <c r="N541" i="5" a="1"/>
  <c r="P541" i="5" a="1"/>
  <c r="G541" i="5" a="1"/>
  <c r="C541" i="5" a="1"/>
  <c r="K541" i="5" a="1"/>
  <c r="M541" i="5" a="1"/>
  <c r="D541" i="5" a="1"/>
  <c r="L541" i="5" a="1"/>
  <c r="I541" i="5" a="1"/>
  <c r="V540" i="5" l="1" a="1"/>
  <c r="V540" i="5" s="1"/>
  <c r="L541" i="5"/>
  <c r="C541" i="5"/>
  <c r="I541" i="5"/>
  <c r="O541" i="5"/>
  <c r="G541" i="5"/>
  <c r="H541" i="5"/>
  <c r="P541" i="5"/>
  <c r="N541" i="5"/>
  <c r="M541" i="5"/>
  <c r="K541" i="5"/>
  <c r="D541" i="5"/>
  <c r="J541" i="5"/>
  <c r="B542" i="5"/>
  <c r="E542" i="5" a="1"/>
  <c r="E542" i="5" s="1"/>
  <c r="U540" i="5" a="1"/>
  <c r="U540" i="5" s="1"/>
  <c r="A543" i="5" a="1"/>
  <c r="D542" i="5" a="1"/>
  <c r="R541" i="5" l="1"/>
  <c r="D542" i="5"/>
  <c r="Q541" i="5"/>
  <c r="S541" i="5"/>
  <c r="F542" i="5" a="1"/>
  <c r="F542" i="5" s="1"/>
  <c r="AB542" i="5"/>
  <c r="T541" i="5"/>
  <c r="A543" i="5"/>
  <c r="X542" i="5"/>
  <c r="AA542" i="5"/>
  <c r="Y542" i="5"/>
  <c r="AC542" i="5" s="1"/>
  <c r="W542" i="5"/>
  <c r="Z542" i="5"/>
  <c r="I542" i="5" a="1"/>
  <c r="C542" i="5" a="1"/>
  <c r="H542" i="5" a="1"/>
  <c r="L542" i="5" a="1"/>
  <c r="P542" i="5" a="1"/>
  <c r="M542" i="5" a="1"/>
  <c r="J542" i="5" a="1"/>
  <c r="O542" i="5" a="1"/>
  <c r="G542" i="5" a="1"/>
  <c r="K542" i="5" a="1"/>
  <c r="N542" i="5" a="1"/>
  <c r="U541" i="5" l="1" a="1"/>
  <c r="U541" i="5" s="1"/>
  <c r="V541" i="5" a="1"/>
  <c r="V541" i="5" s="1"/>
  <c r="I542" i="5"/>
  <c r="M542" i="5"/>
  <c r="H542" i="5"/>
  <c r="N542" i="5"/>
  <c r="P542" i="5"/>
  <c r="L542" i="5"/>
  <c r="O542" i="5"/>
  <c r="K542" i="5"/>
  <c r="J542" i="5"/>
  <c r="G542" i="5"/>
  <c r="C542" i="5"/>
  <c r="E543" i="5" a="1"/>
  <c r="E543" i="5" s="1"/>
  <c r="B543" i="5"/>
  <c r="F543" i="5" s="1" a="1"/>
  <c r="F543" i="5" s="1"/>
  <c r="A544" i="5" a="1"/>
  <c r="S542" i="5" l="1"/>
  <c r="Q542" i="5"/>
  <c r="R542" i="5"/>
  <c r="T542" i="5"/>
  <c r="Z543" i="5"/>
  <c r="A544" i="5"/>
  <c r="X543" i="5"/>
  <c r="Y543" i="5"/>
  <c r="AC543" i="5" s="1"/>
  <c r="AB543" i="5"/>
  <c r="AA543" i="5"/>
  <c r="W543" i="5"/>
  <c r="H543" i="5" a="1"/>
  <c r="G543" i="5" a="1"/>
  <c r="I543" i="5" a="1"/>
  <c r="L543" i="5" a="1"/>
  <c r="D543" i="5" a="1"/>
  <c r="J543" i="5" a="1"/>
  <c r="P543" i="5" a="1"/>
  <c r="K543" i="5" a="1"/>
  <c r="N543" i="5" a="1"/>
  <c r="M543" i="5" a="1"/>
  <c r="O543" i="5" a="1"/>
  <c r="C543" i="5" a="1"/>
  <c r="P543" i="5" l="1"/>
  <c r="K543" i="5"/>
  <c r="D543" i="5"/>
  <c r="O543" i="5"/>
  <c r="J543" i="5"/>
  <c r="M543" i="5"/>
  <c r="G543" i="5"/>
  <c r="H543" i="5"/>
  <c r="I543" i="5"/>
  <c r="C543" i="5"/>
  <c r="N543" i="5"/>
  <c r="L543" i="5"/>
  <c r="B544" i="5"/>
  <c r="F544" i="5" s="1" a="1"/>
  <c r="F544" i="5" s="1"/>
  <c r="E544" i="5" a="1"/>
  <c r="E544" i="5" s="1"/>
  <c r="X544" i="5" s="1"/>
  <c r="U542" i="5" a="1"/>
  <c r="U542" i="5" s="1"/>
  <c r="V542" i="5" a="1"/>
  <c r="V542" i="5" s="1"/>
  <c r="A545" i="5" a="1"/>
  <c r="T543" i="5" l="1"/>
  <c r="S543" i="5"/>
  <c r="Q543" i="5"/>
  <c r="R543" i="5"/>
  <c r="A545" i="5"/>
  <c r="AA544" i="5"/>
  <c r="Y544" i="5"/>
  <c r="AC544" i="5" s="1"/>
  <c r="Z544" i="5"/>
  <c r="AB544" i="5"/>
  <c r="W544" i="5"/>
  <c r="O544" i="5" a="1"/>
  <c r="L544" i="5" a="1"/>
  <c r="C544" i="5" a="1"/>
  <c r="N544" i="5" a="1"/>
  <c r="M544" i="5" a="1"/>
  <c r="D544" i="5" a="1"/>
  <c r="I544" i="5" a="1"/>
  <c r="K544" i="5" a="1"/>
  <c r="P544" i="5" a="1"/>
  <c r="G544" i="5" a="1"/>
  <c r="J544" i="5" a="1"/>
  <c r="H544" i="5" a="1"/>
  <c r="V543" i="5" l="1" a="1"/>
  <c r="V543" i="5" s="1"/>
  <c r="G544" i="5"/>
  <c r="H544" i="5"/>
  <c r="C544" i="5"/>
  <c r="L544" i="5"/>
  <c r="P544" i="5"/>
  <c r="U543" i="5" a="1"/>
  <c r="U543" i="5" s="1"/>
  <c r="N544" i="5"/>
  <c r="M544" i="5"/>
  <c r="O544" i="5"/>
  <c r="D544" i="5"/>
  <c r="J544" i="5"/>
  <c r="I544" i="5"/>
  <c r="K544" i="5"/>
  <c r="B545" i="5"/>
  <c r="E545" i="5" a="1"/>
  <c r="E545" i="5" s="1"/>
  <c r="A546" i="5" a="1"/>
  <c r="P545" i="5" a="1"/>
  <c r="R544" i="5" l="1"/>
  <c r="T544" i="5"/>
  <c r="P545" i="5"/>
  <c r="Z545" i="5"/>
  <c r="F545" i="5" a="1"/>
  <c r="F545" i="5" s="1"/>
  <c r="Q544" i="5"/>
  <c r="S544" i="5"/>
  <c r="A546" i="5"/>
  <c r="X545" i="5"/>
  <c r="AB545" i="5"/>
  <c r="Y545" i="5"/>
  <c r="AC545" i="5" s="1"/>
  <c r="AA545" i="5"/>
  <c r="W545" i="5"/>
  <c r="N545" i="5" a="1"/>
  <c r="C545" i="5" a="1"/>
  <c r="D545" i="5" a="1"/>
  <c r="O545" i="5" a="1"/>
  <c r="L545" i="5" a="1"/>
  <c r="J545" i="5" a="1"/>
  <c r="H545" i="5" a="1"/>
  <c r="M545" i="5" a="1"/>
  <c r="G545" i="5" a="1"/>
  <c r="I545" i="5" a="1"/>
  <c r="K545" i="5" a="1"/>
  <c r="U544" i="5" l="1" a="1"/>
  <c r="U544" i="5" s="1"/>
  <c r="V544" i="5" a="1"/>
  <c r="V544" i="5" s="1"/>
  <c r="N545" i="5"/>
  <c r="K545" i="5"/>
  <c r="H545" i="5"/>
  <c r="C545" i="5"/>
  <c r="O545" i="5"/>
  <c r="L545" i="5"/>
  <c r="R545" i="5" s="1"/>
  <c r="D545" i="5"/>
  <c r="M545" i="5"/>
  <c r="T545" i="5" s="1"/>
  <c r="J545" i="5"/>
  <c r="G545" i="5"/>
  <c r="I545" i="5"/>
  <c r="E546" i="5" a="1"/>
  <c r="E546" i="5" s="1"/>
  <c r="AB546" i="5" s="1"/>
  <c r="B546" i="5"/>
  <c r="A547" i="5" a="1"/>
  <c r="Q545" i="5" l="1"/>
  <c r="U545" i="5" s="1" a="1"/>
  <c r="U545" i="5" s="1"/>
  <c r="S545" i="5"/>
  <c r="V545" i="5" s="1" a="1"/>
  <c r="V545" i="5" s="1"/>
  <c r="A547" i="5"/>
  <c r="X546" i="5"/>
  <c r="AA546" i="5"/>
  <c r="Y546" i="5"/>
  <c r="AC546" i="5" s="1"/>
  <c r="W546" i="5"/>
  <c r="Z546" i="5"/>
  <c r="H546" i="5" a="1"/>
  <c r="D546" i="5" a="1"/>
  <c r="F546" i="5" a="1"/>
  <c r="G546" i="5" a="1"/>
  <c r="M546" i="5" a="1"/>
  <c r="P546" i="5" a="1"/>
  <c r="O546" i="5" a="1"/>
  <c r="L546" i="5" a="1"/>
  <c r="C546" i="5" a="1"/>
  <c r="K546" i="5" a="1"/>
  <c r="N546" i="5" a="1"/>
  <c r="I546" i="5" a="1"/>
  <c r="J546" i="5" a="1"/>
  <c r="P546" i="5" l="1"/>
  <c r="C546" i="5"/>
  <c r="G546" i="5"/>
  <c r="D546" i="5"/>
  <c r="L546" i="5"/>
  <c r="H546" i="5"/>
  <c r="J546" i="5"/>
  <c r="O546" i="5"/>
  <c r="M546" i="5"/>
  <c r="F546" i="5"/>
  <c r="N546" i="5"/>
  <c r="I546" i="5"/>
  <c r="K546" i="5"/>
  <c r="B547" i="5"/>
  <c r="E547" i="5" a="1"/>
  <c r="E547" i="5" s="1"/>
  <c r="A548" i="5" a="1"/>
  <c r="T546" i="5" l="1"/>
  <c r="F547" i="5" a="1"/>
  <c r="F547" i="5" s="1"/>
  <c r="Q546" i="5"/>
  <c r="S546" i="5"/>
  <c r="Z547" i="5"/>
  <c r="R546" i="5"/>
  <c r="A548" i="5"/>
  <c r="AB547" i="5"/>
  <c r="X547" i="5"/>
  <c r="Y547" i="5"/>
  <c r="AC547" i="5" s="1"/>
  <c r="AA547" i="5"/>
  <c r="W547" i="5"/>
  <c r="H547" i="5" a="1"/>
  <c r="M547" i="5" a="1"/>
  <c r="L547" i="5" a="1"/>
  <c r="G547" i="5" a="1"/>
  <c r="K547" i="5" a="1"/>
  <c r="N547" i="5" a="1"/>
  <c r="J547" i="5" a="1"/>
  <c r="D547" i="5" a="1"/>
  <c r="P547" i="5" a="1"/>
  <c r="I547" i="5" a="1"/>
  <c r="C547" i="5" a="1"/>
  <c r="O547" i="5" a="1"/>
  <c r="V546" i="5" l="1" a="1"/>
  <c r="V546" i="5" s="1"/>
  <c r="K547" i="5"/>
  <c r="D547" i="5"/>
  <c r="O547" i="5"/>
  <c r="G547" i="5"/>
  <c r="J547" i="5"/>
  <c r="N547" i="5"/>
  <c r="H547" i="5"/>
  <c r="I547" i="5"/>
  <c r="C547" i="5"/>
  <c r="P547" i="5"/>
  <c r="M547" i="5"/>
  <c r="L547" i="5"/>
  <c r="E548" i="5" a="1"/>
  <c r="E548" i="5" s="1"/>
  <c r="X548" i="5" s="1"/>
  <c r="B548" i="5"/>
  <c r="L548" i="5" s="1" a="1"/>
  <c r="U546" i="5" a="1"/>
  <c r="U546" i="5" s="1"/>
  <c r="A549" i="5" a="1"/>
  <c r="T547" i="5" l="1"/>
  <c r="Q547" i="5"/>
  <c r="S547" i="5"/>
  <c r="L548" i="5"/>
  <c r="R547" i="5"/>
  <c r="F548" i="5" a="1"/>
  <c r="F548" i="5" s="1"/>
  <c r="A549" i="5"/>
  <c r="AA548" i="5"/>
  <c r="Y548" i="5"/>
  <c r="AC548" i="5" s="1"/>
  <c r="W548" i="5"/>
  <c r="Z548" i="5"/>
  <c r="AB548" i="5"/>
  <c r="J548" i="5" a="1"/>
  <c r="P548" i="5" a="1"/>
  <c r="D548" i="5" a="1"/>
  <c r="G548" i="5" a="1"/>
  <c r="I548" i="5" a="1"/>
  <c r="C548" i="5" a="1"/>
  <c r="H548" i="5" a="1"/>
  <c r="K548" i="5" a="1"/>
  <c r="M548" i="5" a="1"/>
  <c r="N548" i="5" a="1"/>
  <c r="O548" i="5" a="1"/>
  <c r="V547" i="5" l="1" a="1"/>
  <c r="V547" i="5" s="1"/>
  <c r="U547" i="5" a="1"/>
  <c r="U547" i="5" s="1"/>
  <c r="M548" i="5"/>
  <c r="N548" i="5"/>
  <c r="J548" i="5"/>
  <c r="C548" i="5"/>
  <c r="H548" i="5"/>
  <c r="G548" i="5"/>
  <c r="P548" i="5"/>
  <c r="R548" i="5" s="1"/>
  <c r="D548" i="5"/>
  <c r="I548" i="5"/>
  <c r="K548" i="5"/>
  <c r="O548" i="5"/>
  <c r="B549" i="5"/>
  <c r="F549" i="5" s="1" a="1"/>
  <c r="F549" i="5" s="1"/>
  <c r="E549" i="5" a="1"/>
  <c r="E549" i="5" s="1"/>
  <c r="A550" i="5" a="1"/>
  <c r="T548" i="5" l="1"/>
  <c r="S548" i="5"/>
  <c r="Q548" i="5"/>
  <c r="U548" i="5" s="1" a="1"/>
  <c r="U548" i="5" s="1"/>
  <c r="Z549" i="5"/>
  <c r="A550" i="5"/>
  <c r="X549" i="5"/>
  <c r="Y549" i="5"/>
  <c r="AC549" i="5" s="1"/>
  <c r="AB549" i="5"/>
  <c r="AA549" i="5"/>
  <c r="W549" i="5"/>
  <c r="P549" i="5" a="1"/>
  <c r="N549" i="5" a="1"/>
  <c r="M549" i="5" a="1"/>
  <c r="H549" i="5" a="1"/>
  <c r="J549" i="5" a="1"/>
  <c r="G549" i="5" a="1"/>
  <c r="I549" i="5" a="1"/>
  <c r="K549" i="5" a="1"/>
  <c r="D549" i="5" a="1"/>
  <c r="L549" i="5" a="1"/>
  <c r="O549" i="5" a="1"/>
  <c r="C549" i="5" a="1"/>
  <c r="V548" i="5" l="1" a="1"/>
  <c r="V548" i="5" s="1"/>
  <c r="C549" i="5"/>
  <c r="M549" i="5"/>
  <c r="I549" i="5"/>
  <c r="G549" i="5"/>
  <c r="P549" i="5"/>
  <c r="H549" i="5"/>
  <c r="J549" i="5"/>
  <c r="L549" i="5"/>
  <c r="O549" i="5"/>
  <c r="N549" i="5"/>
  <c r="K549" i="5"/>
  <c r="D549" i="5"/>
  <c r="B550" i="5"/>
  <c r="D550" i="5" s="1" a="1"/>
  <c r="E550" i="5" a="1"/>
  <c r="E550" i="5" s="1"/>
  <c r="A551" i="5" a="1"/>
  <c r="R549" i="5" l="1"/>
  <c r="D550" i="5"/>
  <c r="F550" i="5" a="1"/>
  <c r="F550" i="5" s="1"/>
  <c r="AB550" i="5"/>
  <c r="T549" i="5"/>
  <c r="Q549" i="5"/>
  <c r="S549" i="5"/>
  <c r="A551" i="5"/>
  <c r="X550" i="5"/>
  <c r="AA550" i="5"/>
  <c r="Y550" i="5"/>
  <c r="AC550" i="5" s="1"/>
  <c r="W550" i="5"/>
  <c r="Z550" i="5"/>
  <c r="J550" i="5" a="1"/>
  <c r="K550" i="5" a="1"/>
  <c r="L550" i="5" a="1"/>
  <c r="I550" i="5" a="1"/>
  <c r="O550" i="5" a="1"/>
  <c r="H550" i="5" a="1"/>
  <c r="N550" i="5" a="1"/>
  <c r="G550" i="5" a="1"/>
  <c r="P550" i="5" a="1"/>
  <c r="C550" i="5" a="1"/>
  <c r="M550" i="5" a="1"/>
  <c r="U549" i="5" l="1" a="1"/>
  <c r="U549" i="5" s="1"/>
  <c r="V549" i="5" a="1"/>
  <c r="V549" i="5" s="1"/>
  <c r="K550" i="5"/>
  <c r="P550" i="5"/>
  <c r="G550" i="5"/>
  <c r="M550" i="5"/>
  <c r="I550" i="5"/>
  <c r="L550" i="5"/>
  <c r="N550" i="5"/>
  <c r="O550" i="5"/>
  <c r="H550" i="5"/>
  <c r="C550" i="5"/>
  <c r="J550" i="5"/>
  <c r="E551" i="5" a="1"/>
  <c r="E551" i="5" s="1"/>
  <c r="B551" i="5"/>
  <c r="A552" i="5" a="1"/>
  <c r="C551" i="5" a="1"/>
  <c r="T550" i="5" l="1"/>
  <c r="C551" i="5"/>
  <c r="F551" i="5" a="1"/>
  <c r="F551" i="5" s="1"/>
  <c r="Q550" i="5"/>
  <c r="S550" i="5"/>
  <c r="R550" i="5"/>
  <c r="Z551" i="5"/>
  <c r="A552" i="5"/>
  <c r="X551" i="5"/>
  <c r="Y551" i="5"/>
  <c r="AC551" i="5" s="1"/>
  <c r="AB551" i="5"/>
  <c r="AA551" i="5"/>
  <c r="W551" i="5"/>
  <c r="D551" i="5" a="1"/>
  <c r="P551" i="5" a="1"/>
  <c r="G551" i="5" a="1"/>
  <c r="J551" i="5" a="1"/>
  <c r="L551" i="5" a="1"/>
  <c r="H551" i="5" a="1"/>
  <c r="N551" i="5" a="1"/>
  <c r="M551" i="5" a="1"/>
  <c r="O551" i="5" a="1"/>
  <c r="K551" i="5" a="1"/>
  <c r="I551" i="5" a="1"/>
  <c r="V550" i="5" l="1" a="1"/>
  <c r="V550" i="5" s="1"/>
  <c r="L551" i="5"/>
  <c r="M551" i="5"/>
  <c r="I551" i="5"/>
  <c r="J551" i="5"/>
  <c r="G551" i="5"/>
  <c r="K551" i="5"/>
  <c r="O551" i="5"/>
  <c r="P551" i="5"/>
  <c r="N551" i="5"/>
  <c r="H551" i="5"/>
  <c r="D551" i="5"/>
  <c r="B552" i="5"/>
  <c r="F552" i="5" s="1" a="1"/>
  <c r="F552" i="5" s="1"/>
  <c r="E552" i="5" a="1"/>
  <c r="E552" i="5" s="1"/>
  <c r="AB552" i="5" s="1"/>
  <c r="U550" i="5" a="1"/>
  <c r="U550" i="5" s="1"/>
  <c r="A553" i="5" a="1"/>
  <c r="R551" i="5" l="1"/>
  <c r="S551" i="5"/>
  <c r="Q551" i="5"/>
  <c r="T551" i="5"/>
  <c r="A553" i="5"/>
  <c r="X552" i="5"/>
  <c r="AA552" i="5"/>
  <c r="Y552" i="5"/>
  <c r="AC552" i="5" s="1"/>
  <c r="W552" i="5"/>
  <c r="Z552" i="5"/>
  <c r="K552" i="5" a="1"/>
  <c r="D552" i="5" a="1"/>
  <c r="G552" i="5" a="1"/>
  <c r="H552" i="5" a="1"/>
  <c r="C552" i="5" a="1"/>
  <c r="M552" i="5" a="1"/>
  <c r="I552" i="5" a="1"/>
  <c r="N552" i="5" a="1"/>
  <c r="L552" i="5" a="1"/>
  <c r="P552" i="5" a="1"/>
  <c r="J552" i="5" a="1"/>
  <c r="O552" i="5" a="1"/>
  <c r="U551" i="5" l="1" a="1"/>
  <c r="U551" i="5" s="1"/>
  <c r="P552" i="5"/>
  <c r="D552" i="5"/>
  <c r="G552" i="5"/>
  <c r="L552" i="5"/>
  <c r="I552" i="5"/>
  <c r="N552" i="5"/>
  <c r="C552" i="5"/>
  <c r="H552" i="5"/>
  <c r="O552" i="5"/>
  <c r="J552" i="5"/>
  <c r="K552" i="5"/>
  <c r="V551" i="5" a="1"/>
  <c r="V551" i="5" s="1"/>
  <c r="M552" i="5"/>
  <c r="B553" i="5"/>
  <c r="N553" i="5" s="1" a="1"/>
  <c r="E553" i="5" a="1"/>
  <c r="E553" i="5" s="1"/>
  <c r="A554" i="5" a="1"/>
  <c r="R552" i="5" l="1"/>
  <c r="T552" i="5"/>
  <c r="Q552" i="5"/>
  <c r="S552" i="5"/>
  <c r="N553" i="5"/>
  <c r="F553" i="5" a="1"/>
  <c r="F553" i="5" s="1"/>
  <c r="Z553" i="5"/>
  <c r="A554" i="5"/>
  <c r="X553" i="5"/>
  <c r="Y553" i="5"/>
  <c r="AC553" i="5" s="1"/>
  <c r="AB553" i="5"/>
  <c r="AA553" i="5"/>
  <c r="W553" i="5"/>
  <c r="K553" i="5" a="1"/>
  <c r="J553" i="5" a="1"/>
  <c r="D553" i="5" a="1"/>
  <c r="G553" i="5" a="1"/>
  <c r="M553" i="5" a="1"/>
  <c r="H553" i="5" a="1"/>
  <c r="C553" i="5" a="1"/>
  <c r="O553" i="5" a="1"/>
  <c r="I553" i="5" a="1"/>
  <c r="P553" i="5" a="1"/>
  <c r="L553" i="5" a="1"/>
  <c r="U552" i="5" l="1" a="1"/>
  <c r="U552" i="5" s="1"/>
  <c r="V552" i="5" a="1"/>
  <c r="V552" i="5" s="1"/>
  <c r="H553" i="5"/>
  <c r="I553" i="5"/>
  <c r="L553" i="5"/>
  <c r="D553" i="5"/>
  <c r="C553" i="5"/>
  <c r="J553" i="5"/>
  <c r="O553" i="5"/>
  <c r="K553" i="5"/>
  <c r="P553" i="5"/>
  <c r="M553" i="5"/>
  <c r="G553" i="5"/>
  <c r="E554" i="5" a="1"/>
  <c r="E554" i="5" s="1"/>
  <c r="X554" i="5" s="1"/>
  <c r="B554" i="5"/>
  <c r="A555" i="5" a="1"/>
  <c r="T553" i="5" l="1"/>
  <c r="R553" i="5"/>
  <c r="F554" i="5" a="1"/>
  <c r="F554" i="5" s="1"/>
  <c r="Q553" i="5"/>
  <c r="S553" i="5"/>
  <c r="Y554" i="5"/>
  <c r="AC554" i="5" s="1"/>
  <c r="A555" i="5"/>
  <c r="AA554" i="5"/>
  <c r="Z554" i="5"/>
  <c r="AB554" i="5"/>
  <c r="W554" i="5"/>
  <c r="L554" i="5" a="1"/>
  <c r="N554" i="5" a="1"/>
  <c r="D554" i="5" a="1"/>
  <c r="O554" i="5" a="1"/>
  <c r="H554" i="5" a="1"/>
  <c r="G554" i="5" a="1"/>
  <c r="M554" i="5" a="1"/>
  <c r="K554" i="5" a="1"/>
  <c r="C554" i="5" a="1"/>
  <c r="I554" i="5" a="1"/>
  <c r="J554" i="5" a="1"/>
  <c r="P554" i="5" a="1"/>
  <c r="V553" i="5" l="1" a="1"/>
  <c r="V553" i="5" s="1"/>
  <c r="U553" i="5" a="1"/>
  <c r="U553" i="5" s="1"/>
  <c r="G554" i="5"/>
  <c r="N554" i="5"/>
  <c r="P554" i="5"/>
  <c r="J554" i="5"/>
  <c r="H554" i="5"/>
  <c r="D554" i="5"/>
  <c r="L554" i="5"/>
  <c r="I554" i="5"/>
  <c r="O554" i="5"/>
  <c r="C554" i="5"/>
  <c r="M554" i="5"/>
  <c r="K554" i="5"/>
  <c r="B555" i="5"/>
  <c r="F555" i="5" s="1" a="1"/>
  <c r="F555" i="5" s="1"/>
  <c r="E555" i="5" a="1"/>
  <c r="E555" i="5" s="1"/>
  <c r="Z555" i="5" s="1"/>
  <c r="A556" i="5" a="1"/>
  <c r="T554" i="5" l="1"/>
  <c r="R554" i="5"/>
  <c r="Q554" i="5"/>
  <c r="S554" i="5"/>
  <c r="A556" i="5"/>
  <c r="X555" i="5"/>
  <c r="Y555" i="5"/>
  <c r="AC555" i="5" s="1"/>
  <c r="AB555" i="5"/>
  <c r="AA555" i="5"/>
  <c r="W555" i="5"/>
  <c r="P555" i="5" a="1"/>
  <c r="M555" i="5" a="1"/>
  <c r="N555" i="5" a="1"/>
  <c r="G555" i="5" a="1"/>
  <c r="H555" i="5" a="1"/>
  <c r="O555" i="5" a="1"/>
  <c r="K555" i="5" a="1"/>
  <c r="D555" i="5" a="1"/>
  <c r="C555" i="5" a="1"/>
  <c r="I555" i="5" a="1"/>
  <c r="J555" i="5" a="1"/>
  <c r="L555" i="5" a="1"/>
  <c r="V554" i="5" l="1" a="1"/>
  <c r="V554" i="5" s="1"/>
  <c r="P555" i="5"/>
  <c r="G555" i="5"/>
  <c r="C555" i="5"/>
  <c r="K555" i="5"/>
  <c r="M555" i="5"/>
  <c r="O555" i="5"/>
  <c r="N555" i="5"/>
  <c r="D555" i="5"/>
  <c r="J555" i="5"/>
  <c r="H555" i="5"/>
  <c r="I555" i="5"/>
  <c r="L555" i="5"/>
  <c r="B556" i="5"/>
  <c r="N556" i="5" s="1" a="1"/>
  <c r="U554" i="5" a="1"/>
  <c r="U554" i="5" s="1"/>
  <c r="E556" i="5" a="1"/>
  <c r="A557" i="5" a="1"/>
  <c r="T555" i="5" l="1"/>
  <c r="R555" i="5"/>
  <c r="E556" i="5"/>
  <c r="AB556" i="5" s="1"/>
  <c r="N556" i="5"/>
  <c r="S555" i="5"/>
  <c r="Q555" i="5"/>
  <c r="A557" i="5"/>
  <c r="H556" i="5" a="1"/>
  <c r="J556" i="5" a="1"/>
  <c r="F556" i="5" a="1"/>
  <c r="C556" i="5" a="1"/>
  <c r="D556" i="5" a="1"/>
  <c r="P556" i="5" a="1"/>
  <c r="O556" i="5" a="1"/>
  <c r="L556" i="5" a="1"/>
  <c r="G556" i="5" a="1"/>
  <c r="M556" i="5" a="1"/>
  <c r="I556" i="5" a="1"/>
  <c r="K556" i="5" a="1"/>
  <c r="U555" i="5" l="1" a="1"/>
  <c r="U555" i="5" s="1"/>
  <c r="W556" i="5"/>
  <c r="V555" i="5" a="1"/>
  <c r="V555" i="5" s="1"/>
  <c r="AA556" i="5"/>
  <c r="X556" i="5"/>
  <c r="Y556" i="5"/>
  <c r="AC556" i="5" s="1"/>
  <c r="Z556" i="5"/>
  <c r="M556" i="5"/>
  <c r="D556" i="5"/>
  <c r="J556" i="5"/>
  <c r="P556" i="5"/>
  <c r="G556" i="5"/>
  <c r="K556" i="5"/>
  <c r="C556" i="5"/>
  <c r="L556" i="5"/>
  <c r="F556" i="5"/>
  <c r="I556" i="5"/>
  <c r="H556" i="5"/>
  <c r="O556" i="5"/>
  <c r="B557" i="5"/>
  <c r="E557" i="5" a="1"/>
  <c r="E557" i="5" s="1"/>
  <c r="Z557" i="5" s="1"/>
  <c r="A558" i="5" a="1"/>
  <c r="F557" i="5" l="1" a="1"/>
  <c r="F557" i="5" s="1"/>
  <c r="S556" i="5"/>
  <c r="Q556" i="5"/>
  <c r="R556" i="5"/>
  <c r="T556" i="5"/>
  <c r="A558" i="5"/>
  <c r="Y557" i="5"/>
  <c r="AC557" i="5" s="1"/>
  <c r="X557" i="5"/>
  <c r="AB557" i="5"/>
  <c r="AA557" i="5"/>
  <c r="W557" i="5"/>
  <c r="P557" i="5" a="1"/>
  <c r="N557" i="5" a="1"/>
  <c r="D557" i="5" a="1"/>
  <c r="L557" i="5" a="1"/>
  <c r="K557" i="5" a="1"/>
  <c r="I557" i="5" a="1"/>
  <c r="C557" i="5" a="1"/>
  <c r="G557" i="5" a="1"/>
  <c r="J557" i="5" a="1"/>
  <c r="M557" i="5" a="1"/>
  <c r="O557" i="5" a="1"/>
  <c r="H557" i="5" a="1"/>
  <c r="J557" i="5" l="1"/>
  <c r="C557" i="5"/>
  <c r="D557" i="5"/>
  <c r="H557" i="5"/>
  <c r="G557" i="5"/>
  <c r="K557" i="5"/>
  <c r="O557" i="5"/>
  <c r="I557" i="5"/>
  <c r="M557" i="5"/>
  <c r="L557" i="5"/>
  <c r="P557" i="5"/>
  <c r="N557" i="5"/>
  <c r="B558" i="5"/>
  <c r="F558" i="5" s="1" a="1"/>
  <c r="F558" i="5" s="1"/>
  <c r="E558" i="5" a="1"/>
  <c r="E558" i="5" s="1"/>
  <c r="X558" i="5" s="1"/>
  <c r="U556" i="5" a="1"/>
  <c r="U556" i="5" s="1"/>
  <c r="V556" i="5" a="1"/>
  <c r="V556" i="5" s="1"/>
  <c r="A559" i="5" a="1"/>
  <c r="R557" i="5" l="1"/>
  <c r="T557" i="5"/>
  <c r="S557" i="5"/>
  <c r="Q557" i="5"/>
  <c r="A559" i="5"/>
  <c r="AA558" i="5"/>
  <c r="Y558" i="5"/>
  <c r="AC558" i="5" s="1"/>
  <c r="W558" i="5"/>
  <c r="Z558" i="5"/>
  <c r="AB558" i="5"/>
  <c r="L558" i="5" a="1"/>
  <c r="D558" i="5" a="1"/>
  <c r="J558" i="5" a="1"/>
  <c r="I558" i="5" a="1"/>
  <c r="K558" i="5" a="1"/>
  <c r="N558" i="5" a="1"/>
  <c r="C558" i="5" a="1"/>
  <c r="M558" i="5" a="1"/>
  <c r="G558" i="5" a="1"/>
  <c r="O558" i="5" a="1"/>
  <c r="P558" i="5" a="1"/>
  <c r="H558" i="5" a="1"/>
  <c r="U557" i="5" l="1" a="1"/>
  <c r="U557" i="5" s="1"/>
  <c r="V557" i="5" a="1"/>
  <c r="V557" i="5" s="1"/>
  <c r="O558" i="5"/>
  <c r="J558" i="5"/>
  <c r="P558" i="5"/>
  <c r="K558" i="5"/>
  <c r="G558" i="5"/>
  <c r="N558" i="5"/>
  <c r="L558" i="5"/>
  <c r="C558" i="5"/>
  <c r="M558" i="5"/>
  <c r="I558" i="5"/>
  <c r="D558" i="5"/>
  <c r="H558" i="5"/>
  <c r="E559" i="5" a="1"/>
  <c r="E559" i="5" s="1"/>
  <c r="B559" i="5"/>
  <c r="A560" i="5" a="1"/>
  <c r="R558" i="5" l="1"/>
  <c r="Q558" i="5"/>
  <c r="Z559" i="5"/>
  <c r="F559" i="5" a="1"/>
  <c r="F559" i="5" s="1"/>
  <c r="S558" i="5"/>
  <c r="T558" i="5"/>
  <c r="A560" i="5"/>
  <c r="X559" i="5"/>
  <c r="Y559" i="5"/>
  <c r="AC559" i="5" s="1"/>
  <c r="AB559" i="5"/>
  <c r="AA559" i="5"/>
  <c r="W559" i="5"/>
  <c r="N559" i="5" a="1"/>
  <c r="G559" i="5" a="1"/>
  <c r="H559" i="5" a="1"/>
  <c r="O559" i="5" a="1"/>
  <c r="D559" i="5" a="1"/>
  <c r="K559" i="5" a="1"/>
  <c r="M559" i="5" a="1"/>
  <c r="C559" i="5" a="1"/>
  <c r="I559" i="5" a="1"/>
  <c r="J559" i="5" a="1"/>
  <c r="L559" i="5" a="1"/>
  <c r="P559" i="5" a="1"/>
  <c r="U558" i="5" l="1" a="1"/>
  <c r="U558" i="5" s="1"/>
  <c r="I559" i="5"/>
  <c r="N559" i="5"/>
  <c r="O559" i="5"/>
  <c r="K559" i="5"/>
  <c r="C559" i="5"/>
  <c r="H559" i="5"/>
  <c r="J559" i="5"/>
  <c r="P559" i="5"/>
  <c r="M559" i="5"/>
  <c r="L559" i="5"/>
  <c r="G559" i="5"/>
  <c r="D559" i="5"/>
  <c r="V558" i="5" a="1"/>
  <c r="V558" i="5" s="1"/>
  <c r="B560" i="5"/>
  <c r="F560" i="5" s="1" a="1"/>
  <c r="F560" i="5" s="1"/>
  <c r="E560" i="5" a="1"/>
  <c r="E560" i="5" s="1"/>
  <c r="AB560" i="5" s="1"/>
  <c r="A561" i="5" a="1"/>
  <c r="R559" i="5" l="1"/>
  <c r="Q559" i="5"/>
  <c r="S559" i="5"/>
  <c r="T559" i="5"/>
  <c r="A561" i="5"/>
  <c r="X560" i="5"/>
  <c r="AA560" i="5"/>
  <c r="Y560" i="5"/>
  <c r="AC560" i="5" s="1"/>
  <c r="W560" i="5"/>
  <c r="Z560" i="5"/>
  <c r="K560" i="5" a="1"/>
  <c r="J560" i="5" a="1"/>
  <c r="O560" i="5" a="1"/>
  <c r="P560" i="5" a="1"/>
  <c r="N560" i="5" a="1"/>
  <c r="H560" i="5" a="1"/>
  <c r="G560" i="5" a="1"/>
  <c r="L560" i="5" a="1"/>
  <c r="D560" i="5" a="1"/>
  <c r="M560" i="5" a="1"/>
  <c r="C560" i="5" a="1"/>
  <c r="I560" i="5" a="1"/>
  <c r="U559" i="5" l="1" a="1"/>
  <c r="U559" i="5" s="1"/>
  <c r="L560" i="5"/>
  <c r="G560" i="5"/>
  <c r="P560" i="5"/>
  <c r="N560" i="5"/>
  <c r="J560" i="5"/>
  <c r="D560" i="5"/>
  <c r="K560" i="5"/>
  <c r="I560" i="5"/>
  <c r="O560" i="5"/>
  <c r="H560" i="5"/>
  <c r="C560" i="5"/>
  <c r="M560" i="5"/>
  <c r="B561" i="5"/>
  <c r="K561" i="5" s="1" a="1"/>
  <c r="E561" i="5" a="1"/>
  <c r="E561" i="5" s="1"/>
  <c r="Z561" i="5" s="1"/>
  <c r="V559" i="5" a="1"/>
  <c r="V559" i="5" s="1"/>
  <c r="A562" i="5" a="1"/>
  <c r="T560" i="5" l="1"/>
  <c r="R560" i="5"/>
  <c r="K561" i="5"/>
  <c r="Q560" i="5"/>
  <c r="S560" i="5"/>
  <c r="F561" i="5" a="1"/>
  <c r="F561" i="5" s="1"/>
  <c r="A562" i="5"/>
  <c r="X561" i="5"/>
  <c r="Y561" i="5"/>
  <c r="AC561" i="5" s="1"/>
  <c r="AB561" i="5"/>
  <c r="AA561" i="5"/>
  <c r="W561" i="5"/>
  <c r="L561" i="5" a="1"/>
  <c r="N561" i="5" a="1"/>
  <c r="M561" i="5" a="1"/>
  <c r="O561" i="5" a="1"/>
  <c r="P561" i="5" a="1"/>
  <c r="H561" i="5" a="1"/>
  <c r="G561" i="5" a="1"/>
  <c r="I561" i="5" a="1"/>
  <c r="J561" i="5" a="1"/>
  <c r="D561" i="5" a="1"/>
  <c r="C561" i="5" a="1"/>
  <c r="V560" i="5" l="1" a="1"/>
  <c r="V560" i="5" s="1"/>
  <c r="U560" i="5" a="1"/>
  <c r="U560" i="5" s="1"/>
  <c r="C561" i="5"/>
  <c r="O561" i="5"/>
  <c r="H561" i="5"/>
  <c r="D561" i="5"/>
  <c r="N561" i="5"/>
  <c r="J561" i="5"/>
  <c r="G561" i="5"/>
  <c r="I561" i="5"/>
  <c r="L561" i="5"/>
  <c r="P561" i="5"/>
  <c r="M561" i="5"/>
  <c r="E562" i="5" a="1"/>
  <c r="E562" i="5" s="1"/>
  <c r="AB562" i="5" s="1"/>
  <c r="B562" i="5"/>
  <c r="A563" i="5" a="1"/>
  <c r="T561" i="5" l="1"/>
  <c r="R561" i="5"/>
  <c r="Q561" i="5"/>
  <c r="S561" i="5"/>
  <c r="F562" i="5" a="1"/>
  <c r="F562" i="5" s="1"/>
  <c r="A563" i="5"/>
  <c r="W562" i="5"/>
  <c r="AA562" i="5"/>
  <c r="X562" i="5"/>
  <c r="Y562" i="5"/>
  <c r="AC562" i="5" s="1"/>
  <c r="Z562" i="5"/>
  <c r="P562" i="5" a="1"/>
  <c r="O562" i="5" a="1"/>
  <c r="N562" i="5" a="1"/>
  <c r="D562" i="5" a="1"/>
  <c r="C562" i="5" a="1"/>
  <c r="K562" i="5" a="1"/>
  <c r="G562" i="5" a="1"/>
  <c r="I562" i="5" a="1"/>
  <c r="M562" i="5" a="1"/>
  <c r="J562" i="5" a="1"/>
  <c r="H562" i="5" a="1"/>
  <c r="L562" i="5" a="1"/>
  <c r="V561" i="5" l="1" a="1"/>
  <c r="V561" i="5" s="1"/>
  <c r="U561" i="5" a="1"/>
  <c r="U561" i="5" s="1"/>
  <c r="G562" i="5"/>
  <c r="M562" i="5"/>
  <c r="D562" i="5"/>
  <c r="J562" i="5"/>
  <c r="O562" i="5"/>
  <c r="I562" i="5"/>
  <c r="C562" i="5"/>
  <c r="N562" i="5"/>
  <c r="K562" i="5"/>
  <c r="P562" i="5"/>
  <c r="H562" i="5"/>
  <c r="L562" i="5"/>
  <c r="B563" i="5"/>
  <c r="E563" i="5" a="1"/>
  <c r="E563" i="5" s="1"/>
  <c r="A564" i="5" a="1"/>
  <c r="C563" i="5" a="1"/>
  <c r="C563" i="5" l="1"/>
  <c r="F563" i="5" a="1"/>
  <c r="F563" i="5" s="1"/>
  <c r="Q562" i="5"/>
  <c r="S562" i="5"/>
  <c r="Z563" i="5"/>
  <c r="R562" i="5"/>
  <c r="T562" i="5"/>
  <c r="X563" i="5"/>
  <c r="A564" i="5"/>
  <c r="AB563" i="5"/>
  <c r="Y563" i="5"/>
  <c r="AC563" i="5" s="1"/>
  <c r="AA563" i="5"/>
  <c r="W563" i="5"/>
  <c r="N563" i="5" a="1"/>
  <c r="L563" i="5" a="1"/>
  <c r="D563" i="5" a="1"/>
  <c r="K563" i="5" a="1"/>
  <c r="I563" i="5" a="1"/>
  <c r="G563" i="5" a="1"/>
  <c r="J563" i="5" a="1"/>
  <c r="P563" i="5" a="1"/>
  <c r="M563" i="5" a="1"/>
  <c r="O563" i="5" a="1"/>
  <c r="H563" i="5" a="1"/>
  <c r="V562" i="5" l="1" a="1"/>
  <c r="V562" i="5" s="1"/>
  <c r="I563" i="5"/>
  <c r="L563" i="5"/>
  <c r="O563" i="5"/>
  <c r="N563" i="5"/>
  <c r="P563" i="5"/>
  <c r="G563" i="5"/>
  <c r="J563" i="5"/>
  <c r="H563" i="5"/>
  <c r="K563" i="5"/>
  <c r="M563" i="5"/>
  <c r="D563" i="5"/>
  <c r="U562" i="5" a="1"/>
  <c r="U562" i="5" s="1"/>
  <c r="E564" i="5" a="1"/>
  <c r="E564" i="5" s="1"/>
  <c r="X564" i="5" s="1"/>
  <c r="B564" i="5"/>
  <c r="L564" i="5" s="1" a="1"/>
  <c r="A565" i="5" a="1"/>
  <c r="R563" i="5" l="1"/>
  <c r="T563" i="5"/>
  <c r="L564" i="5"/>
  <c r="F564" i="5" a="1"/>
  <c r="F564" i="5" s="1"/>
  <c r="S563" i="5"/>
  <c r="Q563" i="5"/>
  <c r="A565" i="5"/>
  <c r="AA564" i="5"/>
  <c r="Y564" i="5"/>
  <c r="AC564" i="5" s="1"/>
  <c r="W564" i="5"/>
  <c r="Z564" i="5"/>
  <c r="AB564" i="5"/>
  <c r="O564" i="5" a="1"/>
  <c r="K564" i="5" a="1"/>
  <c r="M564" i="5" a="1"/>
  <c r="G564" i="5" a="1"/>
  <c r="C564" i="5" a="1"/>
  <c r="N564" i="5" a="1"/>
  <c r="H564" i="5" a="1"/>
  <c r="P564" i="5" a="1"/>
  <c r="I564" i="5" a="1"/>
  <c r="J564" i="5" a="1"/>
  <c r="D564" i="5" a="1"/>
  <c r="V563" i="5" l="1" a="1"/>
  <c r="V563" i="5" s="1"/>
  <c r="U563" i="5" a="1"/>
  <c r="U563" i="5" s="1"/>
  <c r="N564" i="5"/>
  <c r="M564" i="5"/>
  <c r="H564" i="5"/>
  <c r="D564" i="5"/>
  <c r="O564" i="5"/>
  <c r="G564" i="5"/>
  <c r="C564" i="5"/>
  <c r="P564" i="5"/>
  <c r="R564" i="5" s="1"/>
  <c r="J564" i="5"/>
  <c r="I564" i="5"/>
  <c r="K564" i="5"/>
  <c r="B565" i="5"/>
  <c r="F565" i="5" s="1" a="1"/>
  <c r="F565" i="5" s="1"/>
  <c r="E565" i="5" a="1"/>
  <c r="E565" i="5" s="1"/>
  <c r="Z565" i="5" s="1"/>
  <c r="A566" i="5" a="1"/>
  <c r="Q564" i="5" l="1"/>
  <c r="U564" i="5" s="1" a="1"/>
  <c r="U564" i="5" s="1"/>
  <c r="S564" i="5"/>
  <c r="T564" i="5"/>
  <c r="A566" i="5"/>
  <c r="X565" i="5"/>
  <c r="AB565" i="5"/>
  <c r="Y565" i="5"/>
  <c r="AC565" i="5" s="1"/>
  <c r="AA565" i="5"/>
  <c r="W565" i="5"/>
  <c r="C565" i="5" a="1"/>
  <c r="P565" i="5" a="1"/>
  <c r="J565" i="5" a="1"/>
  <c r="I565" i="5" a="1"/>
  <c r="D565" i="5" a="1"/>
  <c r="M565" i="5" a="1"/>
  <c r="O565" i="5" a="1"/>
  <c r="H565" i="5" a="1"/>
  <c r="K565" i="5" a="1"/>
  <c r="G565" i="5" a="1"/>
  <c r="L565" i="5" a="1"/>
  <c r="N565" i="5" a="1"/>
  <c r="V564" i="5" l="1" a="1"/>
  <c r="V564" i="5" s="1"/>
  <c r="G565" i="5"/>
  <c r="I565" i="5"/>
  <c r="J565" i="5"/>
  <c r="M565" i="5"/>
  <c r="H565" i="5"/>
  <c r="N565" i="5"/>
  <c r="K565" i="5"/>
  <c r="D565" i="5"/>
  <c r="C565" i="5"/>
  <c r="L565" i="5"/>
  <c r="O565" i="5"/>
  <c r="P565" i="5"/>
  <c r="B566" i="5"/>
  <c r="E566" i="5" a="1"/>
  <c r="E566" i="5" s="1"/>
  <c r="AB566" i="5" s="1"/>
  <c r="A567" i="5" a="1"/>
  <c r="D566" i="5" a="1"/>
  <c r="R565" i="5" l="1"/>
  <c r="T565" i="5"/>
  <c r="D566" i="5"/>
  <c r="S565" i="5"/>
  <c r="Q565" i="5"/>
  <c r="A567" i="5"/>
  <c r="X566" i="5"/>
  <c r="AA566" i="5"/>
  <c r="Y566" i="5"/>
  <c r="AC566" i="5" s="1"/>
  <c r="W566" i="5"/>
  <c r="Z566" i="5"/>
  <c r="I566" i="5" a="1"/>
  <c r="N566" i="5" a="1"/>
  <c r="G566" i="5" a="1"/>
  <c r="H566" i="5" a="1"/>
  <c r="O566" i="5" a="1"/>
  <c r="P566" i="5" a="1"/>
  <c r="M566" i="5" a="1"/>
  <c r="F566" i="5" a="1"/>
  <c r="K566" i="5" a="1"/>
  <c r="L566" i="5" a="1"/>
  <c r="J566" i="5" a="1"/>
  <c r="C566" i="5" a="1"/>
  <c r="U565" i="5" l="1" a="1"/>
  <c r="U565" i="5" s="1"/>
  <c r="V565" i="5" a="1"/>
  <c r="V565" i="5" s="1"/>
  <c r="M566" i="5"/>
  <c r="G566" i="5"/>
  <c r="C566" i="5"/>
  <c r="L566" i="5"/>
  <c r="H566" i="5"/>
  <c r="K566" i="5"/>
  <c r="N566" i="5"/>
  <c r="O566" i="5"/>
  <c r="P566" i="5"/>
  <c r="J566" i="5"/>
  <c r="I566" i="5"/>
  <c r="F566" i="5"/>
  <c r="B567" i="5"/>
  <c r="E567" i="5" a="1"/>
  <c r="K567" i="5" a="1"/>
  <c r="A568" i="5" a="1"/>
  <c r="E567" i="5" l="1"/>
  <c r="AB567" i="5" s="1"/>
  <c r="K567" i="5"/>
  <c r="S566" i="5"/>
  <c r="Q566" i="5"/>
  <c r="R566" i="5"/>
  <c r="T566" i="5"/>
  <c r="A568" i="5"/>
  <c r="F567" i="5" a="1"/>
  <c r="G567" i="5" a="1"/>
  <c r="N567" i="5" a="1"/>
  <c r="H567" i="5" a="1"/>
  <c r="J567" i="5" a="1"/>
  <c r="I567" i="5" a="1"/>
  <c r="D567" i="5" a="1"/>
  <c r="P567" i="5" a="1"/>
  <c r="C567" i="5" a="1"/>
  <c r="O567" i="5" a="1"/>
  <c r="M567" i="5" a="1"/>
  <c r="L567" i="5" a="1"/>
  <c r="X567" i="5" l="1"/>
  <c r="W567" i="5"/>
  <c r="Z567" i="5"/>
  <c r="AA567" i="5"/>
  <c r="Y567" i="5"/>
  <c r="AC567" i="5" s="1"/>
  <c r="F567" i="5"/>
  <c r="V566" i="5" a="1"/>
  <c r="V566" i="5" s="1"/>
  <c r="O567" i="5"/>
  <c r="M567" i="5"/>
  <c r="H567" i="5"/>
  <c r="J567" i="5"/>
  <c r="N567" i="5"/>
  <c r="I567" i="5"/>
  <c r="L567" i="5"/>
  <c r="D567" i="5"/>
  <c r="C567" i="5"/>
  <c r="P567" i="5"/>
  <c r="G567" i="5"/>
  <c r="B568" i="5"/>
  <c r="E568" i="5" a="1"/>
  <c r="E568" i="5" s="1"/>
  <c r="AB568" i="5" s="1"/>
  <c r="U566" i="5" a="1"/>
  <c r="U566" i="5" s="1"/>
  <c r="A569" i="5" a="1"/>
  <c r="D568" i="5" a="1"/>
  <c r="D568" i="5" l="1"/>
  <c r="F568" i="5" a="1"/>
  <c r="F568" i="5" s="1"/>
  <c r="R567" i="5"/>
  <c r="T567" i="5"/>
  <c r="S567" i="5"/>
  <c r="Q567" i="5"/>
  <c r="A569" i="5"/>
  <c r="AA568" i="5"/>
  <c r="Y568" i="5"/>
  <c r="AC568" i="5" s="1"/>
  <c r="X568" i="5"/>
  <c r="W568" i="5"/>
  <c r="Z568" i="5"/>
  <c r="N568" i="5" a="1"/>
  <c r="K568" i="5" a="1"/>
  <c r="O568" i="5" a="1"/>
  <c r="H568" i="5" a="1"/>
  <c r="L568" i="5" a="1"/>
  <c r="C568" i="5" a="1"/>
  <c r="G568" i="5" a="1"/>
  <c r="J568" i="5" a="1"/>
  <c r="P568" i="5" a="1"/>
  <c r="I568" i="5" a="1"/>
  <c r="M568" i="5" a="1"/>
  <c r="V567" i="5" l="1" a="1"/>
  <c r="V567" i="5" s="1"/>
  <c r="P568" i="5"/>
  <c r="K568" i="5"/>
  <c r="N568" i="5"/>
  <c r="I568" i="5"/>
  <c r="H568" i="5"/>
  <c r="O568" i="5"/>
  <c r="J568" i="5"/>
  <c r="G568" i="5"/>
  <c r="M568" i="5"/>
  <c r="C568" i="5"/>
  <c r="L568" i="5"/>
  <c r="U567" i="5" a="1"/>
  <c r="U567" i="5" s="1"/>
  <c r="B569" i="5"/>
  <c r="D569" i="5" s="1" a="1"/>
  <c r="E569" i="5" a="1"/>
  <c r="E569" i="5" s="1"/>
  <c r="A570" i="5" a="1"/>
  <c r="T568" i="5" l="1"/>
  <c r="D569" i="5"/>
  <c r="Q568" i="5"/>
  <c r="S568" i="5"/>
  <c r="Z569" i="5"/>
  <c r="F569" i="5" a="1"/>
  <c r="F569" i="5" s="1"/>
  <c r="R568" i="5"/>
  <c r="A570" i="5"/>
  <c r="X569" i="5"/>
  <c r="Y569" i="5"/>
  <c r="AC569" i="5" s="1"/>
  <c r="AB569" i="5"/>
  <c r="AA569" i="5"/>
  <c r="W569" i="5"/>
  <c r="K569" i="5" a="1"/>
  <c r="O569" i="5" a="1"/>
  <c r="P569" i="5" a="1"/>
  <c r="L569" i="5" a="1"/>
  <c r="G569" i="5" a="1"/>
  <c r="N569" i="5" a="1"/>
  <c r="M569" i="5" a="1"/>
  <c r="C569" i="5" a="1"/>
  <c r="I569" i="5" a="1"/>
  <c r="H569" i="5" a="1"/>
  <c r="J569" i="5" a="1"/>
  <c r="V568" i="5" l="1" a="1"/>
  <c r="V568" i="5" s="1"/>
  <c r="P569" i="5"/>
  <c r="K569" i="5"/>
  <c r="C569" i="5"/>
  <c r="G569" i="5"/>
  <c r="M569" i="5"/>
  <c r="I569" i="5"/>
  <c r="O569" i="5"/>
  <c r="L569" i="5"/>
  <c r="J569" i="5"/>
  <c r="H569" i="5"/>
  <c r="N569" i="5"/>
  <c r="U568" i="5" a="1"/>
  <c r="U568" i="5" s="1"/>
  <c r="E570" i="5" a="1"/>
  <c r="E570" i="5" s="1"/>
  <c r="X570" i="5" s="1"/>
  <c r="B570" i="5"/>
  <c r="F570" i="5" s="1" a="1"/>
  <c r="F570" i="5" s="1"/>
  <c r="A571" i="5" a="1"/>
  <c r="T569" i="5" l="1"/>
  <c r="Q569" i="5"/>
  <c r="S569" i="5"/>
  <c r="R569" i="5"/>
  <c r="A571" i="5"/>
  <c r="AA570" i="5"/>
  <c r="Y570" i="5"/>
  <c r="AC570" i="5" s="1"/>
  <c r="W570" i="5"/>
  <c r="AB570" i="5"/>
  <c r="Z570" i="5"/>
  <c r="H570" i="5" a="1"/>
  <c r="G570" i="5" a="1"/>
  <c r="D570" i="5" a="1"/>
  <c r="K570" i="5" a="1"/>
  <c r="O570" i="5" a="1"/>
  <c r="L570" i="5" a="1"/>
  <c r="I570" i="5" a="1"/>
  <c r="J570" i="5" a="1"/>
  <c r="P570" i="5" a="1"/>
  <c r="C570" i="5" a="1"/>
  <c r="M570" i="5" a="1"/>
  <c r="N570" i="5" a="1"/>
  <c r="V569" i="5" l="1" a="1"/>
  <c r="V569" i="5" s="1"/>
  <c r="P570" i="5"/>
  <c r="C570" i="5"/>
  <c r="L570" i="5"/>
  <c r="U569" i="5" a="1"/>
  <c r="U569" i="5" s="1"/>
  <c r="I570" i="5"/>
  <c r="J570" i="5"/>
  <c r="O570" i="5"/>
  <c r="M570" i="5"/>
  <c r="H570" i="5"/>
  <c r="K570" i="5"/>
  <c r="N570" i="5"/>
  <c r="G570" i="5"/>
  <c r="D570" i="5"/>
  <c r="B571" i="5"/>
  <c r="E571" i="5" a="1"/>
  <c r="E571" i="5" s="1"/>
  <c r="A572" i="5" a="1"/>
  <c r="T570" i="5" l="1"/>
  <c r="R570" i="5"/>
  <c r="Z571" i="5"/>
  <c r="F571" i="5" a="1"/>
  <c r="F571" i="5" s="1"/>
  <c r="Q570" i="5"/>
  <c r="S570" i="5"/>
  <c r="A572" i="5"/>
  <c r="X571" i="5"/>
  <c r="AB571" i="5"/>
  <c r="Y571" i="5"/>
  <c r="AC571" i="5" s="1"/>
  <c r="AA571" i="5"/>
  <c r="W571" i="5"/>
  <c r="K571" i="5" a="1"/>
  <c r="L571" i="5" a="1"/>
  <c r="O571" i="5" a="1"/>
  <c r="H571" i="5" a="1"/>
  <c r="G571" i="5" a="1"/>
  <c r="J571" i="5" a="1"/>
  <c r="P571" i="5" a="1"/>
  <c r="C571" i="5" a="1"/>
  <c r="I571" i="5" a="1"/>
  <c r="N571" i="5" a="1"/>
  <c r="M571" i="5" a="1"/>
  <c r="D571" i="5" a="1"/>
  <c r="V570" i="5" l="1" a="1"/>
  <c r="V570" i="5" s="1"/>
  <c r="U570" i="5" a="1"/>
  <c r="U570" i="5" s="1"/>
  <c r="C571" i="5"/>
  <c r="H571" i="5"/>
  <c r="G571" i="5"/>
  <c r="I571" i="5"/>
  <c r="O571" i="5"/>
  <c r="K571" i="5"/>
  <c r="J571" i="5"/>
  <c r="M571" i="5"/>
  <c r="P571" i="5"/>
  <c r="L571" i="5"/>
  <c r="N571" i="5"/>
  <c r="D571" i="5"/>
  <c r="E572" i="5" a="1"/>
  <c r="E572" i="5" s="1"/>
  <c r="B572" i="5"/>
  <c r="G572" i="5" s="1" a="1"/>
  <c r="A573" i="5" a="1"/>
  <c r="T571" i="5" l="1"/>
  <c r="R571" i="5"/>
  <c r="G572" i="5"/>
  <c r="S571" i="5"/>
  <c r="Q571" i="5"/>
  <c r="F572" i="5" a="1"/>
  <c r="F572" i="5" s="1"/>
  <c r="AB572" i="5"/>
  <c r="A573" i="5"/>
  <c r="X572" i="5"/>
  <c r="AA572" i="5"/>
  <c r="Y572" i="5"/>
  <c r="AC572" i="5" s="1"/>
  <c r="W572" i="5"/>
  <c r="Z572" i="5"/>
  <c r="M572" i="5" a="1"/>
  <c r="I572" i="5" a="1"/>
  <c r="D572" i="5" a="1"/>
  <c r="H572" i="5" a="1"/>
  <c r="K572" i="5" a="1"/>
  <c r="O572" i="5" a="1"/>
  <c r="N572" i="5" a="1"/>
  <c r="L572" i="5" a="1"/>
  <c r="P572" i="5" a="1"/>
  <c r="J572" i="5" a="1"/>
  <c r="C572" i="5" a="1"/>
  <c r="U571" i="5" l="1" a="1"/>
  <c r="U571" i="5" s="1"/>
  <c r="V571" i="5" a="1"/>
  <c r="V571" i="5" s="1"/>
  <c r="L572" i="5"/>
  <c r="C572" i="5"/>
  <c r="M572" i="5"/>
  <c r="O572" i="5"/>
  <c r="P572" i="5"/>
  <c r="N572" i="5"/>
  <c r="H572" i="5"/>
  <c r="I572" i="5"/>
  <c r="J572" i="5"/>
  <c r="D572" i="5"/>
  <c r="K572" i="5"/>
  <c r="B573" i="5"/>
  <c r="F573" i="5" s="1" a="1"/>
  <c r="F573" i="5" s="1"/>
  <c r="E573" i="5" a="1"/>
  <c r="E573" i="5" s="1"/>
  <c r="Z573" i="5" s="1"/>
  <c r="A574" i="5" a="1"/>
  <c r="R572" i="5" l="1"/>
  <c r="Q572" i="5"/>
  <c r="S572" i="5"/>
  <c r="T572" i="5"/>
  <c r="A574" i="5"/>
  <c r="X573" i="5"/>
  <c r="AB573" i="5"/>
  <c r="Y573" i="5"/>
  <c r="AC573" i="5" s="1"/>
  <c r="AA573" i="5"/>
  <c r="W573" i="5"/>
  <c r="L573" i="5" a="1"/>
  <c r="G573" i="5" a="1"/>
  <c r="I573" i="5" a="1"/>
  <c r="D573" i="5" a="1"/>
  <c r="M573" i="5" a="1"/>
  <c r="P573" i="5" a="1"/>
  <c r="C573" i="5" a="1"/>
  <c r="O573" i="5" a="1"/>
  <c r="K573" i="5" a="1"/>
  <c r="H573" i="5" a="1"/>
  <c r="J573" i="5" a="1"/>
  <c r="N573" i="5" a="1"/>
  <c r="U572" i="5" l="1" a="1"/>
  <c r="U572" i="5" s="1"/>
  <c r="C573" i="5"/>
  <c r="O573" i="5"/>
  <c r="I573" i="5"/>
  <c r="P573" i="5"/>
  <c r="K573" i="5"/>
  <c r="M573" i="5"/>
  <c r="G573" i="5"/>
  <c r="J573" i="5"/>
  <c r="H573" i="5"/>
  <c r="D573" i="5"/>
  <c r="L573" i="5"/>
  <c r="N573" i="5"/>
  <c r="V572" i="5" a="1"/>
  <c r="V572" i="5" s="1"/>
  <c r="B574" i="5"/>
  <c r="F574" i="5" s="1" a="1"/>
  <c r="F574" i="5" s="1"/>
  <c r="E574" i="5" a="1"/>
  <c r="E574" i="5" s="1"/>
  <c r="A575" i="5" a="1"/>
  <c r="R573" i="5" l="1"/>
  <c r="T573" i="5"/>
  <c r="AB574" i="5"/>
  <c r="S573" i="5"/>
  <c r="Q573" i="5"/>
  <c r="A575" i="5"/>
  <c r="AA574" i="5"/>
  <c r="Y574" i="5"/>
  <c r="AC574" i="5" s="1"/>
  <c r="X574" i="5"/>
  <c r="W574" i="5"/>
  <c r="Z574" i="5"/>
  <c r="C574" i="5" a="1"/>
  <c r="P574" i="5" a="1"/>
  <c r="K574" i="5" a="1"/>
  <c r="H574" i="5" a="1"/>
  <c r="L574" i="5" a="1"/>
  <c r="O574" i="5" a="1"/>
  <c r="G574" i="5" a="1"/>
  <c r="M574" i="5" a="1"/>
  <c r="I574" i="5" a="1"/>
  <c r="N574" i="5" a="1"/>
  <c r="J574" i="5" a="1"/>
  <c r="D574" i="5" a="1"/>
  <c r="U573" i="5" l="1" a="1"/>
  <c r="U573" i="5" s="1"/>
  <c r="V573" i="5" a="1"/>
  <c r="V573" i="5" s="1"/>
  <c r="G574" i="5"/>
  <c r="I574" i="5"/>
  <c r="O574" i="5"/>
  <c r="C574" i="5"/>
  <c r="K574" i="5"/>
  <c r="M574" i="5"/>
  <c r="J574" i="5"/>
  <c r="P574" i="5"/>
  <c r="H574" i="5"/>
  <c r="L574" i="5"/>
  <c r="N574" i="5"/>
  <c r="D574" i="5"/>
  <c r="E575" i="5" a="1"/>
  <c r="E575" i="5" s="1"/>
  <c r="B575" i="5"/>
  <c r="P575" i="5" s="1" a="1"/>
  <c r="A576" i="5" a="1"/>
  <c r="Q574" i="5" l="1"/>
  <c r="S574" i="5"/>
  <c r="T574" i="5"/>
  <c r="R574" i="5"/>
  <c r="P575" i="5"/>
  <c r="Z575" i="5"/>
  <c r="F575" i="5" a="1"/>
  <c r="F575" i="5" s="1"/>
  <c r="A576" i="5"/>
  <c r="X575" i="5"/>
  <c r="AB575" i="5"/>
  <c r="Y575" i="5"/>
  <c r="AC575" i="5" s="1"/>
  <c r="AA575" i="5"/>
  <c r="W575" i="5"/>
  <c r="J575" i="5" a="1"/>
  <c r="D575" i="5" a="1"/>
  <c r="L575" i="5" a="1"/>
  <c r="M575" i="5" a="1"/>
  <c r="N575" i="5" a="1"/>
  <c r="K575" i="5" a="1"/>
  <c r="G575" i="5" a="1"/>
  <c r="I575" i="5" a="1"/>
  <c r="H575" i="5" a="1"/>
  <c r="C575" i="5" a="1"/>
  <c r="O575" i="5" a="1"/>
  <c r="U574" i="5" l="1" a="1"/>
  <c r="U574" i="5" s="1"/>
  <c r="V574" i="5" a="1"/>
  <c r="V574" i="5" s="1"/>
  <c r="H575" i="5"/>
  <c r="M575" i="5"/>
  <c r="T575" i="5" s="1"/>
  <c r="I575" i="5"/>
  <c r="O575" i="5"/>
  <c r="D575" i="5"/>
  <c r="K575" i="5"/>
  <c r="L575" i="5"/>
  <c r="R575" i="5" s="1"/>
  <c r="N575" i="5"/>
  <c r="J575" i="5"/>
  <c r="C575" i="5"/>
  <c r="G575" i="5"/>
  <c r="B576" i="5"/>
  <c r="F576" i="5" s="1" a="1"/>
  <c r="E576" i="5" a="1"/>
  <c r="E576" i="5" s="1"/>
  <c r="AB576" i="5" s="1"/>
  <c r="A577" i="5" a="1"/>
  <c r="F576" i="5" l="1"/>
  <c r="S575" i="5"/>
  <c r="V575" i="5" s="1" a="1"/>
  <c r="V575" i="5" s="1"/>
  <c r="Q575" i="5"/>
  <c r="U575" i="5" s="1" a="1"/>
  <c r="U575" i="5" s="1"/>
  <c r="A577" i="5"/>
  <c r="X576" i="5"/>
  <c r="AA576" i="5"/>
  <c r="Y576" i="5"/>
  <c r="AC576" i="5" s="1"/>
  <c r="W576" i="5"/>
  <c r="Z576" i="5"/>
  <c r="H576" i="5" a="1"/>
  <c r="J576" i="5" a="1"/>
  <c r="L576" i="5" a="1"/>
  <c r="C576" i="5" a="1"/>
  <c r="O576" i="5" a="1"/>
  <c r="P576" i="5" a="1"/>
  <c r="G576" i="5" a="1"/>
  <c r="N576" i="5" a="1"/>
  <c r="K576" i="5" a="1"/>
  <c r="D576" i="5" a="1"/>
  <c r="M576" i="5" a="1"/>
  <c r="I576" i="5" a="1"/>
  <c r="O576" i="5" l="1"/>
  <c r="H576" i="5"/>
  <c r="C576" i="5"/>
  <c r="K576" i="5"/>
  <c r="G576" i="5"/>
  <c r="L576" i="5"/>
  <c r="D576" i="5"/>
  <c r="M576" i="5"/>
  <c r="I576" i="5"/>
  <c r="P576" i="5"/>
  <c r="J576" i="5"/>
  <c r="N576" i="5"/>
  <c r="B577" i="5"/>
  <c r="F577" i="5" s="1" a="1"/>
  <c r="E577" i="5" a="1"/>
  <c r="E577" i="5" s="1"/>
  <c r="Z577" i="5" s="1"/>
  <c r="A578" i="5" a="1"/>
  <c r="F577" i="5" l="1"/>
  <c r="R576" i="5"/>
  <c r="Q576" i="5"/>
  <c r="T576" i="5"/>
  <c r="S576" i="5"/>
  <c r="A578" i="5"/>
  <c r="X577" i="5"/>
  <c r="Y577" i="5"/>
  <c r="AC577" i="5" s="1"/>
  <c r="AB577" i="5"/>
  <c r="AA577" i="5"/>
  <c r="W577" i="5"/>
  <c r="L577" i="5" a="1"/>
  <c r="N577" i="5" a="1"/>
  <c r="D577" i="5" a="1"/>
  <c r="G577" i="5" a="1"/>
  <c r="J577" i="5" a="1"/>
  <c r="P577" i="5" a="1"/>
  <c r="H577" i="5" a="1"/>
  <c r="M577" i="5" a="1"/>
  <c r="K577" i="5" a="1"/>
  <c r="O577" i="5" a="1"/>
  <c r="C577" i="5" a="1"/>
  <c r="I577" i="5" a="1"/>
  <c r="V576" i="5" l="1" a="1"/>
  <c r="V576" i="5" s="1"/>
  <c r="U576" i="5" a="1"/>
  <c r="U576" i="5" s="1"/>
  <c r="J577" i="5"/>
  <c r="G577" i="5"/>
  <c r="I577" i="5"/>
  <c r="L577" i="5"/>
  <c r="H577" i="5"/>
  <c r="C577" i="5"/>
  <c r="M577" i="5"/>
  <c r="P577" i="5"/>
  <c r="D577" i="5"/>
  <c r="O577" i="5"/>
  <c r="N577" i="5"/>
  <c r="K577" i="5"/>
  <c r="E578" i="5" a="1"/>
  <c r="E578" i="5" s="1"/>
  <c r="X578" i="5" s="1"/>
  <c r="B578" i="5"/>
  <c r="A579" i="5" a="1"/>
  <c r="R577" i="5" l="1"/>
  <c r="T577" i="5"/>
  <c r="F578" i="5" a="1"/>
  <c r="F578" i="5" s="1"/>
  <c r="S577" i="5"/>
  <c r="Q577" i="5"/>
  <c r="A579" i="5"/>
  <c r="AA578" i="5"/>
  <c r="Y578" i="5"/>
  <c r="AC578" i="5" s="1"/>
  <c r="W578" i="5"/>
  <c r="Z578" i="5"/>
  <c r="AB578" i="5"/>
  <c r="J578" i="5" a="1"/>
  <c r="L578" i="5" a="1"/>
  <c r="O578" i="5" a="1"/>
  <c r="N578" i="5" a="1"/>
  <c r="H578" i="5" a="1"/>
  <c r="G578" i="5" a="1"/>
  <c r="C578" i="5" a="1"/>
  <c r="K578" i="5" a="1"/>
  <c r="I578" i="5" a="1"/>
  <c r="M578" i="5" a="1"/>
  <c r="D578" i="5" a="1"/>
  <c r="P578" i="5" a="1"/>
  <c r="U577" i="5" l="1" a="1"/>
  <c r="U577" i="5" s="1"/>
  <c r="V577" i="5" a="1"/>
  <c r="V577" i="5" s="1"/>
  <c r="O578" i="5"/>
  <c r="P578" i="5"/>
  <c r="I578" i="5"/>
  <c r="H578" i="5"/>
  <c r="L578" i="5"/>
  <c r="M578" i="5"/>
  <c r="C578" i="5"/>
  <c r="K578" i="5"/>
  <c r="N578" i="5"/>
  <c r="J578" i="5"/>
  <c r="D578" i="5"/>
  <c r="G578" i="5"/>
  <c r="B579" i="5"/>
  <c r="F579" i="5" s="1" a="1"/>
  <c r="F579" i="5" s="1"/>
  <c r="E579" i="5" a="1"/>
  <c r="E579" i="5" s="1"/>
  <c r="Z579" i="5" s="1"/>
  <c r="A580" i="5" a="1"/>
  <c r="T578" i="5" l="1"/>
  <c r="R578" i="5"/>
  <c r="Q578" i="5"/>
  <c r="S578" i="5"/>
  <c r="AB579" i="5"/>
  <c r="X579" i="5"/>
  <c r="A580" i="5"/>
  <c r="Y579" i="5"/>
  <c r="AC579" i="5" s="1"/>
  <c r="AA579" i="5"/>
  <c r="W579" i="5"/>
  <c r="K579" i="5" a="1"/>
  <c r="M579" i="5" a="1"/>
  <c r="G579" i="5" a="1"/>
  <c r="D579" i="5" a="1"/>
  <c r="J579" i="5" a="1"/>
  <c r="L579" i="5" a="1"/>
  <c r="P579" i="5" a="1"/>
  <c r="I579" i="5" a="1"/>
  <c r="C579" i="5" a="1"/>
  <c r="O579" i="5" a="1"/>
  <c r="N579" i="5" a="1"/>
  <c r="H579" i="5" a="1"/>
  <c r="V578" i="5" l="1" a="1"/>
  <c r="V578" i="5" s="1"/>
  <c r="J579" i="5"/>
  <c r="C579" i="5"/>
  <c r="G579" i="5"/>
  <c r="K579" i="5"/>
  <c r="D579" i="5"/>
  <c r="I579" i="5"/>
  <c r="M579" i="5"/>
  <c r="O579" i="5"/>
  <c r="L579" i="5"/>
  <c r="P579" i="5"/>
  <c r="H579" i="5"/>
  <c r="N579" i="5"/>
  <c r="U578" i="5" a="1"/>
  <c r="U578" i="5" s="1"/>
  <c r="E580" i="5" a="1"/>
  <c r="E580" i="5" s="1"/>
  <c r="B580" i="5"/>
  <c r="L580" i="5" s="1" a="1"/>
  <c r="A581" i="5" a="1"/>
  <c r="R579" i="5" l="1"/>
  <c r="L580" i="5"/>
  <c r="X580" i="5"/>
  <c r="S579" i="5"/>
  <c r="Q579" i="5"/>
  <c r="F580" i="5" a="1"/>
  <c r="F580" i="5" s="1"/>
  <c r="T579" i="5"/>
  <c r="A581" i="5"/>
  <c r="AA580" i="5"/>
  <c r="Y580" i="5"/>
  <c r="AC580" i="5" s="1"/>
  <c r="W580" i="5"/>
  <c r="Z580" i="5"/>
  <c r="AB580" i="5"/>
  <c r="D580" i="5" a="1"/>
  <c r="P580" i="5" a="1"/>
  <c r="G580" i="5" a="1"/>
  <c r="K580" i="5" a="1"/>
  <c r="M580" i="5" a="1"/>
  <c r="J580" i="5" a="1"/>
  <c r="I580" i="5" a="1"/>
  <c r="C580" i="5" a="1"/>
  <c r="H580" i="5" a="1"/>
  <c r="O580" i="5" a="1"/>
  <c r="N580" i="5" a="1"/>
  <c r="U579" i="5" l="1" a="1"/>
  <c r="U579" i="5" s="1"/>
  <c r="N580" i="5"/>
  <c r="H580" i="5"/>
  <c r="V579" i="5" a="1"/>
  <c r="V579" i="5" s="1"/>
  <c r="G580" i="5"/>
  <c r="C580" i="5"/>
  <c r="D580" i="5"/>
  <c r="P580" i="5"/>
  <c r="R580" i="5" s="1"/>
  <c r="I580" i="5"/>
  <c r="M580" i="5"/>
  <c r="O580" i="5"/>
  <c r="J580" i="5"/>
  <c r="K580" i="5"/>
  <c r="B581" i="5"/>
  <c r="E581" i="5" a="1"/>
  <c r="E581" i="5" s="1"/>
  <c r="X581" i="5" s="1"/>
  <c r="A582" i="5" a="1"/>
  <c r="T580" i="5" l="1"/>
  <c r="F581" i="5" a="1"/>
  <c r="F581" i="5" s="1"/>
  <c r="S580" i="5"/>
  <c r="Q580" i="5"/>
  <c r="U580" i="5" s="1" a="1"/>
  <c r="U580" i="5" s="1"/>
  <c r="A582" i="5"/>
  <c r="AB581" i="5"/>
  <c r="Y581" i="5"/>
  <c r="AC581" i="5" s="1"/>
  <c r="AA581" i="5"/>
  <c r="W581" i="5"/>
  <c r="Z581" i="5"/>
  <c r="K581" i="5" a="1"/>
  <c r="P581" i="5" a="1"/>
  <c r="H581" i="5" a="1"/>
  <c r="G581" i="5" a="1"/>
  <c r="M581" i="5" a="1"/>
  <c r="N581" i="5" a="1"/>
  <c r="I581" i="5" a="1"/>
  <c r="O581" i="5" a="1"/>
  <c r="C581" i="5" a="1"/>
  <c r="L581" i="5" a="1"/>
  <c r="J581" i="5" a="1"/>
  <c r="D581" i="5" a="1"/>
  <c r="V580" i="5" l="1" a="1"/>
  <c r="V580" i="5" s="1"/>
  <c r="I581" i="5"/>
  <c r="N581" i="5"/>
  <c r="L581" i="5"/>
  <c r="G581" i="5"/>
  <c r="P581" i="5"/>
  <c r="H581" i="5"/>
  <c r="D581" i="5"/>
  <c r="O581" i="5"/>
  <c r="M581" i="5"/>
  <c r="J581" i="5"/>
  <c r="C581" i="5"/>
  <c r="K581" i="5"/>
  <c r="B582" i="5"/>
  <c r="E582" i="5" a="1"/>
  <c r="E582" i="5" s="1"/>
  <c r="A583" i="5" a="1"/>
  <c r="D582" i="5" a="1"/>
  <c r="R581" i="5" l="1"/>
  <c r="D582" i="5"/>
  <c r="Q581" i="5"/>
  <c r="S581" i="5"/>
  <c r="F582" i="5" a="1"/>
  <c r="F582" i="5" s="1"/>
  <c r="X582" i="5"/>
  <c r="T581" i="5"/>
  <c r="A583" i="5"/>
  <c r="AA582" i="5"/>
  <c r="Y582" i="5"/>
  <c r="AC582" i="5" s="1"/>
  <c r="W582" i="5"/>
  <c r="Z582" i="5"/>
  <c r="AB582" i="5"/>
  <c r="N582" i="5" a="1"/>
  <c r="C582" i="5" a="1"/>
  <c r="P582" i="5" a="1"/>
  <c r="L582" i="5" a="1"/>
  <c r="O582" i="5" a="1"/>
  <c r="I582" i="5" a="1"/>
  <c r="M582" i="5" a="1"/>
  <c r="H582" i="5" a="1"/>
  <c r="K582" i="5" a="1"/>
  <c r="G582" i="5" a="1"/>
  <c r="J582" i="5" a="1"/>
  <c r="U581" i="5" l="1" a="1"/>
  <c r="U581" i="5" s="1"/>
  <c r="C582" i="5"/>
  <c r="I582" i="5"/>
  <c r="O582" i="5"/>
  <c r="J582" i="5"/>
  <c r="P582" i="5"/>
  <c r="N582" i="5"/>
  <c r="G582" i="5"/>
  <c r="H582" i="5"/>
  <c r="M582" i="5"/>
  <c r="L582" i="5"/>
  <c r="K582" i="5"/>
  <c r="E583" i="5" a="1"/>
  <c r="E583" i="5" s="1"/>
  <c r="B583" i="5"/>
  <c r="V581" i="5" a="1"/>
  <c r="V581" i="5" s="1"/>
  <c r="A584" i="5" a="1"/>
  <c r="C583" i="5" a="1"/>
  <c r="R582" i="5" l="1"/>
  <c r="C583" i="5"/>
  <c r="F583" i="5" a="1"/>
  <c r="F583" i="5" s="1"/>
  <c r="S582" i="5"/>
  <c r="Q582" i="5"/>
  <c r="Z583" i="5"/>
  <c r="T582" i="5"/>
  <c r="X583" i="5"/>
  <c r="AB583" i="5"/>
  <c r="A584" i="5"/>
  <c r="Y583" i="5"/>
  <c r="AC583" i="5" s="1"/>
  <c r="AA583" i="5"/>
  <c r="W583" i="5"/>
  <c r="P583" i="5" a="1"/>
  <c r="J583" i="5" a="1"/>
  <c r="M583" i="5" a="1"/>
  <c r="D583" i="5" a="1"/>
  <c r="K583" i="5" a="1"/>
  <c r="G583" i="5" a="1"/>
  <c r="N583" i="5" a="1"/>
  <c r="I583" i="5" a="1"/>
  <c r="O583" i="5" a="1"/>
  <c r="H583" i="5" a="1"/>
  <c r="L583" i="5" a="1"/>
  <c r="U582" i="5" l="1" a="1"/>
  <c r="U582" i="5" s="1"/>
  <c r="D583" i="5"/>
  <c r="L583" i="5"/>
  <c r="J583" i="5"/>
  <c r="P583" i="5"/>
  <c r="N583" i="5"/>
  <c r="G583" i="5"/>
  <c r="K583" i="5"/>
  <c r="O583" i="5"/>
  <c r="I583" i="5"/>
  <c r="M583" i="5"/>
  <c r="H583" i="5"/>
  <c r="V582" i="5" a="1"/>
  <c r="V582" i="5" s="1"/>
  <c r="B584" i="5"/>
  <c r="F584" i="5" s="1" a="1"/>
  <c r="F584" i="5" s="1"/>
  <c r="E584" i="5" a="1"/>
  <c r="E584" i="5" s="1"/>
  <c r="X584" i="5" s="1"/>
  <c r="A585" i="5" a="1"/>
  <c r="R583" i="5" l="1"/>
  <c r="S583" i="5"/>
  <c r="Q583" i="5"/>
  <c r="T583" i="5"/>
  <c r="A585" i="5"/>
  <c r="AA584" i="5"/>
  <c r="Y584" i="5"/>
  <c r="AC584" i="5" s="1"/>
  <c r="Z584" i="5"/>
  <c r="W584" i="5"/>
  <c r="AB584" i="5"/>
  <c r="M584" i="5" a="1"/>
  <c r="L584" i="5" a="1"/>
  <c r="N584" i="5" a="1"/>
  <c r="P584" i="5" a="1"/>
  <c r="H584" i="5" a="1"/>
  <c r="K584" i="5" a="1"/>
  <c r="G584" i="5" a="1"/>
  <c r="J584" i="5" a="1"/>
  <c r="C584" i="5" a="1"/>
  <c r="D584" i="5" a="1"/>
  <c r="I584" i="5" a="1"/>
  <c r="O584" i="5" a="1"/>
  <c r="U583" i="5" l="1" a="1"/>
  <c r="U583" i="5" s="1"/>
  <c r="V583" i="5" a="1"/>
  <c r="V583" i="5" s="1"/>
  <c r="L584" i="5"/>
  <c r="K584" i="5"/>
  <c r="H584" i="5"/>
  <c r="P584" i="5"/>
  <c r="G584" i="5"/>
  <c r="C584" i="5"/>
  <c r="D584" i="5"/>
  <c r="N584" i="5"/>
  <c r="I584" i="5"/>
  <c r="O584" i="5"/>
  <c r="M584" i="5"/>
  <c r="J584" i="5"/>
  <c r="B585" i="5"/>
  <c r="F585" i="5" s="1" a="1"/>
  <c r="F585" i="5" s="1"/>
  <c r="E585" i="5" a="1"/>
  <c r="E585" i="5" s="1"/>
  <c r="A586" i="5" a="1"/>
  <c r="R584" i="5" l="1"/>
  <c r="T584" i="5"/>
  <c r="X585" i="5"/>
  <c r="S584" i="5"/>
  <c r="Q584" i="5"/>
  <c r="AB585" i="5"/>
  <c r="Y585" i="5"/>
  <c r="AC585" i="5" s="1"/>
  <c r="A586" i="5"/>
  <c r="AA585" i="5"/>
  <c r="W585" i="5"/>
  <c r="Z585" i="5"/>
  <c r="H585" i="5" a="1"/>
  <c r="L585" i="5" a="1"/>
  <c r="M585" i="5" a="1"/>
  <c r="P585" i="5" a="1"/>
  <c r="C585" i="5" a="1"/>
  <c r="O585" i="5" a="1"/>
  <c r="G585" i="5" a="1"/>
  <c r="D585" i="5" a="1"/>
  <c r="I585" i="5" a="1"/>
  <c r="N585" i="5" a="1"/>
  <c r="K585" i="5" a="1"/>
  <c r="J585" i="5" a="1"/>
  <c r="U584" i="5" l="1" a="1"/>
  <c r="U584" i="5" s="1"/>
  <c r="V584" i="5" a="1"/>
  <c r="V584" i="5" s="1"/>
  <c r="M585" i="5"/>
  <c r="G585" i="5"/>
  <c r="I585" i="5"/>
  <c r="L585" i="5"/>
  <c r="J585" i="5"/>
  <c r="P585" i="5"/>
  <c r="C585" i="5"/>
  <c r="K585" i="5"/>
  <c r="N585" i="5"/>
  <c r="O585" i="5"/>
  <c r="H585" i="5"/>
  <c r="D585" i="5"/>
  <c r="E586" i="5" a="1"/>
  <c r="E586" i="5" s="1"/>
  <c r="B586" i="5"/>
  <c r="M586" i="5" s="1" a="1"/>
  <c r="A587" i="5" a="1"/>
  <c r="R585" i="5" l="1"/>
  <c r="Q585" i="5"/>
  <c r="S585" i="5"/>
  <c r="T585" i="5"/>
  <c r="M586" i="5"/>
  <c r="AB586" i="5"/>
  <c r="A587" i="5"/>
  <c r="AA586" i="5"/>
  <c r="W586" i="5"/>
  <c r="Y586" i="5"/>
  <c r="AC586" i="5" s="1"/>
  <c r="X586" i="5"/>
  <c r="Z586" i="5"/>
  <c r="J586" i="5" a="1"/>
  <c r="N586" i="5" a="1"/>
  <c r="D586" i="5" a="1"/>
  <c r="L586" i="5" a="1"/>
  <c r="F586" i="5" a="1"/>
  <c r="I586" i="5" a="1"/>
  <c r="O586" i="5" a="1"/>
  <c r="G586" i="5" a="1"/>
  <c r="C586" i="5" a="1"/>
  <c r="H586" i="5" a="1"/>
  <c r="P586" i="5" a="1"/>
  <c r="K586" i="5" a="1"/>
  <c r="U585" i="5" l="1" a="1"/>
  <c r="U585" i="5" s="1"/>
  <c r="V585" i="5" a="1"/>
  <c r="V585" i="5" s="1"/>
  <c r="I586" i="5"/>
  <c r="F586" i="5"/>
  <c r="H586" i="5"/>
  <c r="C586" i="5"/>
  <c r="O586" i="5"/>
  <c r="P586" i="5"/>
  <c r="K586" i="5"/>
  <c r="J586" i="5"/>
  <c r="D586" i="5"/>
  <c r="G586" i="5"/>
  <c r="L586" i="5"/>
  <c r="N586" i="5"/>
  <c r="B587" i="5"/>
  <c r="E587" i="5" a="1"/>
  <c r="E587" i="5" s="1"/>
  <c r="A588" i="5" a="1"/>
  <c r="F587" i="5" l="1" a="1"/>
  <c r="F587" i="5" s="1"/>
  <c r="T586" i="5"/>
  <c r="R586" i="5"/>
  <c r="Z587" i="5"/>
  <c r="S586" i="5"/>
  <c r="Q586" i="5"/>
  <c r="AB587" i="5"/>
  <c r="X587" i="5"/>
  <c r="A588" i="5"/>
  <c r="Y587" i="5"/>
  <c r="AC587" i="5" s="1"/>
  <c r="AA587" i="5"/>
  <c r="W587" i="5"/>
  <c r="P587" i="5" a="1"/>
  <c r="C587" i="5" a="1"/>
  <c r="J587" i="5" a="1"/>
  <c r="I587" i="5" a="1"/>
  <c r="M587" i="5" a="1"/>
  <c r="L587" i="5" a="1"/>
  <c r="K587" i="5" a="1"/>
  <c r="H587" i="5" a="1"/>
  <c r="O587" i="5" a="1"/>
  <c r="G587" i="5" a="1"/>
  <c r="D587" i="5" a="1"/>
  <c r="N587" i="5" a="1"/>
  <c r="P587" i="5" l="1"/>
  <c r="J587" i="5"/>
  <c r="G587" i="5"/>
  <c r="K587" i="5"/>
  <c r="C587" i="5"/>
  <c r="M587" i="5"/>
  <c r="O587" i="5"/>
  <c r="V586" i="5" a="1"/>
  <c r="V586" i="5" s="1"/>
  <c r="D587" i="5"/>
  <c r="L587" i="5"/>
  <c r="I587" i="5"/>
  <c r="H587" i="5"/>
  <c r="N587" i="5"/>
  <c r="E588" i="5" a="1"/>
  <c r="E588" i="5" s="1"/>
  <c r="AB588" i="5" s="1"/>
  <c r="B588" i="5"/>
  <c r="F588" i="5" s="1" a="1"/>
  <c r="F588" i="5" s="1"/>
  <c r="U586" i="5" a="1"/>
  <c r="U586" i="5" s="1"/>
  <c r="A589" i="5" a="1"/>
  <c r="R587" i="5" l="1"/>
  <c r="Q587" i="5"/>
  <c r="S587" i="5"/>
  <c r="T587" i="5"/>
  <c r="X588" i="5"/>
  <c r="A589" i="5"/>
  <c r="AA588" i="5"/>
  <c r="Y588" i="5"/>
  <c r="AC588" i="5" s="1"/>
  <c r="W588" i="5"/>
  <c r="Z588" i="5"/>
  <c r="P588" i="5" a="1"/>
  <c r="G588" i="5" a="1"/>
  <c r="K588" i="5" a="1"/>
  <c r="L588" i="5" a="1"/>
  <c r="C588" i="5" a="1"/>
  <c r="H588" i="5" a="1"/>
  <c r="N588" i="5" a="1"/>
  <c r="D588" i="5" a="1"/>
  <c r="O588" i="5" a="1"/>
  <c r="J588" i="5" a="1"/>
  <c r="M588" i="5" a="1"/>
  <c r="I588" i="5" a="1"/>
  <c r="U587" i="5" l="1" a="1"/>
  <c r="U587" i="5" s="1"/>
  <c r="J588" i="5"/>
  <c r="H588" i="5"/>
  <c r="N588" i="5"/>
  <c r="D588" i="5"/>
  <c r="I588" i="5"/>
  <c r="V587" i="5" a="1"/>
  <c r="V587" i="5" s="1"/>
  <c r="L588" i="5"/>
  <c r="M588" i="5"/>
  <c r="G588" i="5"/>
  <c r="C588" i="5"/>
  <c r="P588" i="5"/>
  <c r="K588" i="5"/>
  <c r="O588" i="5"/>
  <c r="B589" i="5"/>
  <c r="F589" i="5" s="1" a="1"/>
  <c r="F589" i="5" s="1"/>
  <c r="E589" i="5" a="1"/>
  <c r="E589" i="5" s="1"/>
  <c r="Z589" i="5" s="1"/>
  <c r="A590" i="5" a="1"/>
  <c r="R588" i="5" l="1"/>
  <c r="Q588" i="5"/>
  <c r="S588" i="5"/>
  <c r="T588" i="5"/>
  <c r="X589" i="5"/>
  <c r="AB589" i="5"/>
  <c r="A590" i="5"/>
  <c r="Y589" i="5"/>
  <c r="AC589" i="5" s="1"/>
  <c r="AA589" i="5"/>
  <c r="W589" i="5"/>
  <c r="I589" i="5" a="1"/>
  <c r="L589" i="5" a="1"/>
  <c r="M589" i="5" a="1"/>
  <c r="D589" i="5" a="1"/>
  <c r="K589" i="5" a="1"/>
  <c r="J589" i="5" a="1"/>
  <c r="H589" i="5" a="1"/>
  <c r="O589" i="5" a="1"/>
  <c r="N589" i="5" a="1"/>
  <c r="P589" i="5" a="1"/>
  <c r="C589" i="5" a="1"/>
  <c r="G589" i="5" a="1"/>
  <c r="U588" i="5" l="1" a="1"/>
  <c r="U588" i="5" s="1"/>
  <c r="K589" i="5"/>
  <c r="M589" i="5"/>
  <c r="C589" i="5"/>
  <c r="L589" i="5"/>
  <c r="J589" i="5"/>
  <c r="P589" i="5"/>
  <c r="H589" i="5"/>
  <c r="O589" i="5"/>
  <c r="I589" i="5"/>
  <c r="G589" i="5"/>
  <c r="D589" i="5"/>
  <c r="V588" i="5" a="1"/>
  <c r="V588" i="5" s="1"/>
  <c r="N589" i="5"/>
  <c r="B590" i="5"/>
  <c r="N590" i="5" s="1" a="1"/>
  <c r="E590" i="5" a="1"/>
  <c r="E590" i="5" s="1"/>
  <c r="A591" i="5" a="1"/>
  <c r="R589" i="5" l="1"/>
  <c r="Q589" i="5"/>
  <c r="S589" i="5"/>
  <c r="T589" i="5"/>
  <c r="N590" i="5"/>
  <c r="X590" i="5"/>
  <c r="F590" i="5" a="1"/>
  <c r="F590" i="5" s="1"/>
  <c r="A591" i="5"/>
  <c r="AA590" i="5"/>
  <c r="Y590" i="5"/>
  <c r="AC590" i="5" s="1"/>
  <c r="Z590" i="5"/>
  <c r="W590" i="5"/>
  <c r="AB590" i="5"/>
  <c r="O590" i="5" a="1"/>
  <c r="J590" i="5" a="1"/>
  <c r="I590" i="5" a="1"/>
  <c r="K590" i="5" a="1"/>
  <c r="P590" i="5" a="1"/>
  <c r="H590" i="5" a="1"/>
  <c r="C590" i="5" a="1"/>
  <c r="L590" i="5" a="1"/>
  <c r="D590" i="5" a="1"/>
  <c r="G590" i="5" a="1"/>
  <c r="M590" i="5" a="1"/>
  <c r="U589" i="5" l="1" a="1"/>
  <c r="U589" i="5" s="1"/>
  <c r="V589" i="5" a="1"/>
  <c r="V589" i="5" s="1"/>
  <c r="K590" i="5"/>
  <c r="L590" i="5"/>
  <c r="I590" i="5"/>
  <c r="J590" i="5"/>
  <c r="C590" i="5"/>
  <c r="H590" i="5"/>
  <c r="D590" i="5"/>
  <c r="O590" i="5"/>
  <c r="M590" i="5"/>
  <c r="G590" i="5"/>
  <c r="P590" i="5"/>
  <c r="E591" i="5" a="1"/>
  <c r="E591" i="5" s="1"/>
  <c r="B591" i="5"/>
  <c r="N591" i="5" s="1" a="1"/>
  <c r="A592" i="5" a="1"/>
  <c r="R590" i="5" l="1"/>
  <c r="N591" i="5"/>
  <c r="Q590" i="5"/>
  <c r="S590" i="5"/>
  <c r="F591" i="5" a="1"/>
  <c r="F591" i="5" s="1"/>
  <c r="Z591" i="5"/>
  <c r="T590" i="5"/>
  <c r="A592" i="5"/>
  <c r="X591" i="5"/>
  <c r="AB591" i="5"/>
  <c r="Y591" i="5"/>
  <c r="AC591" i="5" s="1"/>
  <c r="AA591" i="5"/>
  <c r="W591" i="5"/>
  <c r="L591" i="5" a="1"/>
  <c r="J591" i="5" a="1"/>
  <c r="K591" i="5" a="1"/>
  <c r="I591" i="5" a="1"/>
  <c r="O591" i="5" a="1"/>
  <c r="D591" i="5" a="1"/>
  <c r="C591" i="5" a="1"/>
  <c r="M591" i="5" a="1"/>
  <c r="P591" i="5" a="1"/>
  <c r="G591" i="5" a="1"/>
  <c r="H591" i="5" a="1"/>
  <c r="U590" i="5" l="1" a="1"/>
  <c r="U590" i="5" s="1"/>
  <c r="G591" i="5"/>
  <c r="C591" i="5"/>
  <c r="D591" i="5"/>
  <c r="P591" i="5"/>
  <c r="I591" i="5"/>
  <c r="K591" i="5"/>
  <c r="H591" i="5"/>
  <c r="L591" i="5"/>
  <c r="M591" i="5"/>
  <c r="J591" i="5"/>
  <c r="O591" i="5"/>
  <c r="B592" i="5"/>
  <c r="F592" i="5" s="1" a="1"/>
  <c r="F592" i="5" s="1"/>
  <c r="E592" i="5" a="1"/>
  <c r="E592" i="5" s="1"/>
  <c r="V590" i="5" a="1"/>
  <c r="V590" i="5" s="1"/>
  <c r="A593" i="5" a="1"/>
  <c r="R591" i="5" l="1"/>
  <c r="S591" i="5"/>
  <c r="Q591" i="5"/>
  <c r="AB592" i="5"/>
  <c r="T591" i="5"/>
  <c r="A593" i="5"/>
  <c r="AA592" i="5"/>
  <c r="X592" i="5"/>
  <c r="Y592" i="5"/>
  <c r="AC592" i="5" s="1"/>
  <c r="W592" i="5"/>
  <c r="Z592" i="5"/>
  <c r="L592" i="5" a="1"/>
  <c r="D592" i="5" a="1"/>
  <c r="P592" i="5" a="1"/>
  <c r="N592" i="5" a="1"/>
  <c r="K592" i="5" a="1"/>
  <c r="G592" i="5" a="1"/>
  <c r="I592" i="5" a="1"/>
  <c r="H592" i="5" a="1"/>
  <c r="M592" i="5" a="1"/>
  <c r="O592" i="5" a="1"/>
  <c r="J592" i="5" a="1"/>
  <c r="C592" i="5" a="1"/>
  <c r="P592" i="5" l="1"/>
  <c r="I592" i="5"/>
  <c r="D592" i="5"/>
  <c r="G592" i="5"/>
  <c r="J592" i="5"/>
  <c r="C592" i="5"/>
  <c r="N592" i="5"/>
  <c r="O592" i="5"/>
  <c r="L592" i="5"/>
  <c r="H592" i="5"/>
  <c r="K592" i="5"/>
  <c r="M592" i="5"/>
  <c r="B593" i="5"/>
  <c r="O593" i="5" s="1" a="1"/>
  <c r="E593" i="5" a="1"/>
  <c r="E593" i="5" s="1"/>
  <c r="X593" i="5" s="1"/>
  <c r="U591" i="5" a="1"/>
  <c r="U591" i="5" s="1"/>
  <c r="V591" i="5" a="1"/>
  <c r="V591" i="5" s="1"/>
  <c r="A594" i="5" a="1"/>
  <c r="R592" i="5" l="1"/>
  <c r="Q592" i="5"/>
  <c r="O593" i="5"/>
  <c r="F593" i="5" a="1"/>
  <c r="F593" i="5" s="1"/>
  <c r="T592" i="5"/>
  <c r="S592" i="5"/>
  <c r="A594" i="5"/>
  <c r="Y593" i="5"/>
  <c r="AC593" i="5" s="1"/>
  <c r="AB593" i="5"/>
  <c r="AA593" i="5"/>
  <c r="W593" i="5"/>
  <c r="Z593" i="5"/>
  <c r="J593" i="5" a="1"/>
  <c r="D593" i="5" a="1"/>
  <c r="C593" i="5" a="1"/>
  <c r="L593" i="5" a="1"/>
  <c r="I593" i="5" a="1"/>
  <c r="M593" i="5" a="1"/>
  <c r="K593" i="5" a="1"/>
  <c r="H593" i="5" a="1"/>
  <c r="G593" i="5" a="1"/>
  <c r="P593" i="5" a="1"/>
  <c r="N593" i="5" a="1"/>
  <c r="U592" i="5" l="1" a="1"/>
  <c r="U592" i="5" s="1"/>
  <c r="V592" i="5" a="1"/>
  <c r="V592" i="5" s="1"/>
  <c r="L593" i="5"/>
  <c r="Q593" i="5" s="1"/>
  <c r="G593" i="5"/>
  <c r="M593" i="5"/>
  <c r="K593" i="5"/>
  <c r="P593" i="5"/>
  <c r="H593" i="5"/>
  <c r="I593" i="5"/>
  <c r="C593" i="5"/>
  <c r="J593" i="5"/>
  <c r="D593" i="5"/>
  <c r="N593" i="5"/>
  <c r="E594" i="5" a="1"/>
  <c r="E594" i="5" s="1"/>
  <c r="AB594" i="5" s="1"/>
  <c r="B594" i="5"/>
  <c r="A595" i="5" a="1"/>
  <c r="R593" i="5" l="1"/>
  <c r="U593" i="5" s="1" a="1"/>
  <c r="U593" i="5" s="1"/>
  <c r="S593" i="5"/>
  <c r="T593" i="5"/>
  <c r="F594" i="5" a="1"/>
  <c r="F594" i="5" s="1"/>
  <c r="A595" i="5"/>
  <c r="AA594" i="5"/>
  <c r="X594" i="5"/>
  <c r="Y594" i="5"/>
  <c r="AC594" i="5" s="1"/>
  <c r="W594" i="5"/>
  <c r="Z594" i="5"/>
  <c r="G594" i="5" a="1"/>
  <c r="I594" i="5" a="1"/>
  <c r="C594" i="5" a="1"/>
  <c r="P594" i="5" a="1"/>
  <c r="H594" i="5" a="1"/>
  <c r="K594" i="5" a="1"/>
  <c r="L594" i="5" a="1"/>
  <c r="J594" i="5" a="1"/>
  <c r="D594" i="5" a="1"/>
  <c r="O594" i="5" a="1"/>
  <c r="N594" i="5" a="1"/>
  <c r="M594" i="5" a="1"/>
  <c r="K594" i="5" l="1"/>
  <c r="N594" i="5"/>
  <c r="G594" i="5"/>
  <c r="L594" i="5"/>
  <c r="D594" i="5"/>
  <c r="J594" i="5"/>
  <c r="I594" i="5"/>
  <c r="P594" i="5"/>
  <c r="M594" i="5"/>
  <c r="C594" i="5"/>
  <c r="H594" i="5"/>
  <c r="O594" i="5"/>
  <c r="V593" i="5" a="1"/>
  <c r="V593" i="5" s="1"/>
  <c r="B595" i="5"/>
  <c r="G595" i="5" s="1" a="1"/>
  <c r="E595" i="5" a="1"/>
  <c r="E595" i="5" s="1"/>
  <c r="A596" i="5" a="1"/>
  <c r="R594" i="5" l="1"/>
  <c r="G595" i="5"/>
  <c r="Q594" i="5"/>
  <c r="S594" i="5"/>
  <c r="Z595" i="5"/>
  <c r="F595" i="5" a="1"/>
  <c r="F595" i="5" s="1"/>
  <c r="T594" i="5"/>
  <c r="AB595" i="5"/>
  <c r="X595" i="5"/>
  <c r="A596" i="5"/>
  <c r="A597" i="5" s="1" a="1"/>
  <c r="Y595" i="5"/>
  <c r="AC595" i="5" s="1"/>
  <c r="AA595" i="5"/>
  <c r="W595" i="5"/>
  <c r="N595" i="5" a="1"/>
  <c r="C595" i="5" a="1"/>
  <c r="K595" i="5" a="1"/>
  <c r="I595" i="5" a="1"/>
  <c r="L595" i="5" a="1"/>
  <c r="M595" i="5" a="1"/>
  <c r="D595" i="5" a="1"/>
  <c r="P595" i="5" a="1"/>
  <c r="O595" i="5" a="1"/>
  <c r="H595" i="5" a="1"/>
  <c r="J595" i="5" a="1"/>
  <c r="U594" i="5" l="1" a="1"/>
  <c r="U594" i="5" s="1"/>
  <c r="O595" i="5"/>
  <c r="C595" i="5"/>
  <c r="L595" i="5"/>
  <c r="I595" i="5"/>
  <c r="P595" i="5"/>
  <c r="J595" i="5"/>
  <c r="K595" i="5"/>
  <c r="D595" i="5"/>
  <c r="N595" i="5"/>
  <c r="H595" i="5"/>
  <c r="M595" i="5"/>
  <c r="V594" i="5" a="1"/>
  <c r="V594" i="5" s="1"/>
  <c r="B596" i="5"/>
  <c r="G596" i="5" s="1" a="1"/>
  <c r="A597" i="5"/>
  <c r="E596" i="5" a="1"/>
  <c r="R595" i="5" l="1"/>
  <c r="G596" i="5"/>
  <c r="E596" i="5"/>
  <c r="Z596" i="5" s="1"/>
  <c r="T595" i="5"/>
  <c r="B597" i="5"/>
  <c r="Q595" i="5"/>
  <c r="S595" i="5"/>
  <c r="N596" i="5" a="1"/>
  <c r="C596" i="5" a="1"/>
  <c r="O596" i="5" a="1"/>
  <c r="K596" i="5" a="1"/>
  <c r="D596" i="5" a="1"/>
  <c r="A598" i="5" a="1"/>
  <c r="I596" i="5" a="1"/>
  <c r="P596" i="5" a="1"/>
  <c r="F596" i="5" a="1"/>
  <c r="G597" i="5" a="1"/>
  <c r="M596" i="5" a="1"/>
  <c r="H596" i="5" a="1"/>
  <c r="J596" i="5" a="1"/>
  <c r="L596" i="5" a="1"/>
  <c r="U595" i="5" l="1" a="1"/>
  <c r="U595" i="5" s="1"/>
  <c r="AA596" i="5"/>
  <c r="X596" i="5"/>
  <c r="AB596" i="5"/>
  <c r="E597" i="5" a="1"/>
  <c r="E597" i="5" s="1"/>
  <c r="Z597" i="5" s="1"/>
  <c r="Y596" i="5"/>
  <c r="AC596" i="5" s="1"/>
  <c r="W596" i="5"/>
  <c r="H596" i="5"/>
  <c r="G597" i="5"/>
  <c r="M596" i="5"/>
  <c r="L596" i="5"/>
  <c r="F596" i="5"/>
  <c r="F597" i="5" s="1" a="1"/>
  <c r="I596" i="5"/>
  <c r="P596" i="5"/>
  <c r="C596" i="5"/>
  <c r="N596" i="5"/>
  <c r="J596" i="5"/>
  <c r="K596" i="5"/>
  <c r="D596" i="5"/>
  <c r="O596" i="5"/>
  <c r="V595" i="5" a="1"/>
  <c r="V595" i="5" s="1"/>
  <c r="A598" i="5"/>
  <c r="P597" i="5" a="1"/>
  <c r="M597" i="5" a="1"/>
  <c r="C597" i="5" a="1"/>
  <c r="I597" i="5" a="1"/>
  <c r="L597" i="5" a="1"/>
  <c r="J597" i="5" a="1"/>
  <c r="D597" i="5" a="1"/>
  <c r="N597" i="5" a="1"/>
  <c r="O597" i="5" a="1"/>
  <c r="H597" i="5" a="1"/>
  <c r="K597" i="5" a="1"/>
  <c r="I597" i="5" l="1"/>
  <c r="H597" i="5"/>
  <c r="K597" i="5"/>
  <c r="M597" i="5"/>
  <c r="W597" i="5"/>
  <c r="AA597" i="5"/>
  <c r="Y597" i="5"/>
  <c r="AC597" i="5" s="1"/>
  <c r="X597" i="5"/>
  <c r="AB597" i="5"/>
  <c r="T596" i="5"/>
  <c r="F597" i="5"/>
  <c r="J597" i="5"/>
  <c r="O597" i="5"/>
  <c r="C597" i="5"/>
  <c r="N597" i="5"/>
  <c r="P597" i="5"/>
  <c r="D597" i="5"/>
  <c r="L597" i="5"/>
  <c r="R596" i="5"/>
  <c r="B598" i="5"/>
  <c r="E598" i="5" a="1"/>
  <c r="E598" i="5" s="1"/>
  <c r="Q596" i="5"/>
  <c r="S596" i="5"/>
  <c r="A599" i="5" a="1"/>
  <c r="F598" i="5" l="1" a="1"/>
  <c r="F598" i="5" s="1"/>
  <c r="V596" i="5" a="1"/>
  <c r="V596" i="5" s="1"/>
  <c r="U596" i="5" a="1"/>
  <c r="U596" i="5" s="1"/>
  <c r="AB598" i="5"/>
  <c r="T597" i="5"/>
  <c r="R597" i="5"/>
  <c r="Q597" i="5"/>
  <c r="S597" i="5"/>
  <c r="A599" i="5"/>
  <c r="AA598" i="5"/>
  <c r="X598" i="5"/>
  <c r="W598" i="5"/>
  <c r="Y598" i="5"/>
  <c r="AC598" i="5" s="1"/>
  <c r="Z598" i="5"/>
  <c r="K598" i="5" a="1"/>
  <c r="C598" i="5" a="1"/>
  <c r="H598" i="5" a="1"/>
  <c r="M598" i="5" a="1"/>
  <c r="I598" i="5" a="1"/>
  <c r="N598" i="5" a="1"/>
  <c r="P598" i="5" a="1"/>
  <c r="G598" i="5" a="1"/>
  <c r="J598" i="5" a="1"/>
  <c r="D598" i="5" a="1"/>
  <c r="O598" i="5" a="1"/>
  <c r="L598" i="5" a="1"/>
  <c r="J598" i="5" l="1"/>
  <c r="K598" i="5"/>
  <c r="O598" i="5"/>
  <c r="G598" i="5"/>
  <c r="U597" i="5" a="1"/>
  <c r="U597" i="5" s="1"/>
  <c r="V597" i="5" a="1"/>
  <c r="V597" i="5" s="1"/>
  <c r="D598" i="5"/>
  <c r="M598" i="5"/>
  <c r="N598" i="5"/>
  <c r="L598" i="5"/>
  <c r="I598" i="5"/>
  <c r="H598" i="5"/>
  <c r="P598" i="5"/>
  <c r="C598" i="5"/>
  <c r="E599" i="5" a="1"/>
  <c r="E599" i="5" s="1"/>
  <c r="B599" i="5"/>
  <c r="L599" i="5" s="1" a="1"/>
  <c r="A600" i="5" a="1"/>
  <c r="S598" i="5" l="1"/>
  <c r="Q598" i="5"/>
  <c r="R598" i="5"/>
  <c r="L599" i="5"/>
  <c r="Z599" i="5"/>
  <c r="T598" i="5"/>
  <c r="F599" i="5" a="1"/>
  <c r="F599" i="5" s="1"/>
  <c r="A600" i="5"/>
  <c r="X599" i="5"/>
  <c r="AB599" i="5"/>
  <c r="Y599" i="5"/>
  <c r="AC599" i="5" s="1"/>
  <c r="AA599" i="5"/>
  <c r="W599" i="5"/>
  <c r="I599" i="5" a="1"/>
  <c r="O599" i="5" a="1"/>
  <c r="J599" i="5" a="1"/>
  <c r="M599" i="5" a="1"/>
  <c r="H599" i="5" a="1"/>
  <c r="P599" i="5" a="1"/>
  <c r="D599" i="5" a="1"/>
  <c r="C599" i="5" a="1"/>
  <c r="N599" i="5" a="1"/>
  <c r="G599" i="5" a="1"/>
  <c r="K599" i="5" a="1"/>
  <c r="U598" i="5" l="1" a="1"/>
  <c r="U598" i="5" s="1"/>
  <c r="V598" i="5" a="1"/>
  <c r="V598" i="5" s="1"/>
  <c r="I599" i="5"/>
  <c r="D599" i="5"/>
  <c r="N599" i="5"/>
  <c r="O599" i="5"/>
  <c r="P599" i="5"/>
  <c r="R599" i="5" s="1"/>
  <c r="H599" i="5"/>
  <c r="K599" i="5"/>
  <c r="G599" i="5"/>
  <c r="M599" i="5"/>
  <c r="C599" i="5"/>
  <c r="J599" i="5"/>
  <c r="B600" i="5"/>
  <c r="F600" i="5" s="1" a="1"/>
  <c r="F600" i="5" s="1"/>
  <c r="E600" i="5" a="1"/>
  <c r="E600" i="5" s="1"/>
  <c r="AB600" i="5" s="1"/>
  <c r="A601" i="5" a="1"/>
  <c r="S599" i="5" l="1"/>
  <c r="Q599" i="5"/>
  <c r="U599" i="5" s="1" a="1"/>
  <c r="U599" i="5" s="1"/>
  <c r="T599" i="5"/>
  <c r="A601" i="5"/>
  <c r="X600" i="5"/>
  <c r="AA600" i="5"/>
  <c r="Y600" i="5"/>
  <c r="AC600" i="5" s="1"/>
  <c r="W600" i="5"/>
  <c r="Z600" i="5"/>
  <c r="I600" i="5" a="1"/>
  <c r="M600" i="5" a="1"/>
  <c r="G600" i="5" a="1"/>
  <c r="J600" i="5" a="1"/>
  <c r="L600" i="5" a="1"/>
  <c r="K600" i="5" a="1"/>
  <c r="N600" i="5" a="1"/>
  <c r="D600" i="5" a="1"/>
  <c r="P600" i="5" a="1"/>
  <c r="H600" i="5" a="1"/>
  <c r="C600" i="5" a="1"/>
  <c r="O600" i="5" a="1"/>
  <c r="K600" i="5" l="1"/>
  <c r="C600" i="5"/>
  <c r="L600" i="5"/>
  <c r="J600" i="5"/>
  <c r="P600" i="5"/>
  <c r="H600" i="5"/>
  <c r="D600" i="5"/>
  <c r="N600" i="5"/>
  <c r="O600" i="5"/>
  <c r="G600" i="5"/>
  <c r="I600" i="5"/>
  <c r="V599" i="5" a="1"/>
  <c r="V599" i="5" s="1"/>
  <c r="M600" i="5"/>
  <c r="B601" i="5"/>
  <c r="E601" i="5" a="1"/>
  <c r="E601" i="5" s="1"/>
  <c r="Z601" i="5" s="1"/>
  <c r="A602" i="5" a="1"/>
  <c r="K601" i="5" a="1"/>
  <c r="Q600" i="5" l="1"/>
  <c r="R600" i="5"/>
  <c r="K601" i="5"/>
  <c r="F601" i="5" a="1"/>
  <c r="F601" i="5" s="1"/>
  <c r="T600" i="5"/>
  <c r="S600" i="5"/>
  <c r="A602" i="5"/>
  <c r="AB601" i="5"/>
  <c r="X601" i="5"/>
  <c r="Y601" i="5"/>
  <c r="AC601" i="5" s="1"/>
  <c r="AA601" i="5"/>
  <c r="W601" i="5"/>
  <c r="L601" i="5" a="1"/>
  <c r="O601" i="5" a="1"/>
  <c r="G601" i="5" a="1"/>
  <c r="P601" i="5" a="1"/>
  <c r="M601" i="5" a="1"/>
  <c r="I601" i="5" a="1"/>
  <c r="D601" i="5" a="1"/>
  <c r="J601" i="5" a="1"/>
  <c r="C601" i="5" a="1"/>
  <c r="H601" i="5" a="1"/>
  <c r="N601" i="5" a="1"/>
  <c r="U600" i="5" l="1" a="1"/>
  <c r="U600" i="5" s="1"/>
  <c r="V600" i="5" a="1"/>
  <c r="V600" i="5" s="1"/>
  <c r="J601" i="5"/>
  <c r="M601" i="5"/>
  <c r="D601" i="5"/>
  <c r="G601" i="5"/>
  <c r="I601" i="5"/>
  <c r="H601" i="5"/>
  <c r="C601" i="5"/>
  <c r="N601" i="5"/>
  <c r="P601" i="5"/>
  <c r="O601" i="5"/>
  <c r="L601" i="5"/>
  <c r="E602" i="5" a="1"/>
  <c r="E602" i="5" s="1"/>
  <c r="AB602" i="5" s="1"/>
  <c r="B602" i="5"/>
  <c r="A603" i="5" a="1"/>
  <c r="T601" i="5" l="1"/>
  <c r="F602" i="5" a="1"/>
  <c r="F602" i="5" s="1"/>
  <c r="S601" i="5"/>
  <c r="Q601" i="5"/>
  <c r="R601" i="5"/>
  <c r="A603" i="5"/>
  <c r="X602" i="5"/>
  <c r="AA602" i="5"/>
  <c r="Y602" i="5"/>
  <c r="AC602" i="5" s="1"/>
  <c r="W602" i="5"/>
  <c r="Z602" i="5"/>
  <c r="C602" i="5" a="1"/>
  <c r="I602" i="5" a="1"/>
  <c r="D602" i="5" a="1"/>
  <c r="K602" i="5" a="1"/>
  <c r="N602" i="5" a="1"/>
  <c r="O602" i="5" a="1"/>
  <c r="G602" i="5" a="1"/>
  <c r="L602" i="5" a="1"/>
  <c r="M602" i="5" a="1"/>
  <c r="P602" i="5" a="1"/>
  <c r="J602" i="5" a="1"/>
  <c r="H602" i="5" a="1"/>
  <c r="V601" i="5" l="1" a="1"/>
  <c r="V601" i="5" s="1"/>
  <c r="K602" i="5"/>
  <c r="J602" i="5"/>
  <c r="P602" i="5"/>
  <c r="I602" i="5"/>
  <c r="D602" i="5"/>
  <c r="O602" i="5"/>
  <c r="G602" i="5"/>
  <c r="L602" i="5"/>
  <c r="N602" i="5"/>
  <c r="C602" i="5"/>
  <c r="M602" i="5"/>
  <c r="H602" i="5"/>
  <c r="B603" i="5"/>
  <c r="F603" i="5" s="1" a="1"/>
  <c r="F603" i="5" s="1"/>
  <c r="E603" i="5" a="1"/>
  <c r="E603" i="5" s="1"/>
  <c r="U601" i="5" a="1"/>
  <c r="U601" i="5" s="1"/>
  <c r="A604" i="5" a="1"/>
  <c r="T602" i="5" l="1"/>
  <c r="Q602" i="5"/>
  <c r="S602" i="5"/>
  <c r="Z603" i="5"/>
  <c r="R602" i="5"/>
  <c r="AB603" i="5"/>
  <c r="X603" i="5"/>
  <c r="A604" i="5"/>
  <c r="Y603" i="5"/>
  <c r="AC603" i="5" s="1"/>
  <c r="AA603" i="5"/>
  <c r="W603" i="5"/>
  <c r="G603" i="5" a="1"/>
  <c r="L603" i="5" a="1"/>
  <c r="N603" i="5" a="1"/>
  <c r="J603" i="5" a="1"/>
  <c r="O603" i="5" a="1"/>
  <c r="C603" i="5" a="1"/>
  <c r="P603" i="5" a="1"/>
  <c r="H603" i="5" a="1"/>
  <c r="K603" i="5" a="1"/>
  <c r="I603" i="5" a="1"/>
  <c r="D603" i="5" a="1"/>
  <c r="M603" i="5" a="1"/>
  <c r="V602" i="5" l="1" a="1"/>
  <c r="V602" i="5" s="1"/>
  <c r="J603" i="5"/>
  <c r="G603" i="5"/>
  <c r="C603" i="5"/>
  <c r="O603" i="5"/>
  <c r="D603" i="5"/>
  <c r="K603" i="5"/>
  <c r="M603" i="5"/>
  <c r="I603" i="5"/>
  <c r="L603" i="5"/>
  <c r="N603" i="5"/>
  <c r="P603" i="5"/>
  <c r="H603" i="5"/>
  <c r="U602" i="5" a="1"/>
  <c r="U602" i="5" s="1"/>
  <c r="E604" i="5" a="1"/>
  <c r="E604" i="5" s="1"/>
  <c r="B604" i="5"/>
  <c r="L604" i="5" s="1" a="1"/>
  <c r="A605" i="5" a="1"/>
  <c r="R603" i="5" l="1"/>
  <c r="L604" i="5"/>
  <c r="X604" i="5"/>
  <c r="T603" i="5"/>
  <c r="F604" i="5" a="1"/>
  <c r="F604" i="5" s="1"/>
  <c r="Q603" i="5"/>
  <c r="S603" i="5"/>
  <c r="A605" i="5"/>
  <c r="AA604" i="5"/>
  <c r="Y604" i="5"/>
  <c r="AC604" i="5" s="1"/>
  <c r="W604" i="5"/>
  <c r="AB604" i="5"/>
  <c r="Z604" i="5"/>
  <c r="G604" i="5" a="1"/>
  <c r="P604" i="5" a="1"/>
  <c r="N604" i="5" a="1"/>
  <c r="K604" i="5" a="1"/>
  <c r="D604" i="5" a="1"/>
  <c r="I604" i="5" a="1"/>
  <c r="C604" i="5" a="1"/>
  <c r="H604" i="5" a="1"/>
  <c r="O604" i="5" a="1"/>
  <c r="M604" i="5" a="1"/>
  <c r="J604" i="5" a="1"/>
  <c r="U603" i="5" l="1" a="1"/>
  <c r="U603" i="5" s="1"/>
  <c r="V603" i="5" a="1"/>
  <c r="V603" i="5" s="1"/>
  <c r="I604" i="5"/>
  <c r="K604" i="5"/>
  <c r="H604" i="5"/>
  <c r="G604" i="5"/>
  <c r="J604" i="5"/>
  <c r="O604" i="5"/>
  <c r="N604" i="5"/>
  <c r="M604" i="5"/>
  <c r="C604" i="5"/>
  <c r="D604" i="5"/>
  <c r="P604" i="5"/>
  <c r="R604" i="5" s="1"/>
  <c r="B605" i="5"/>
  <c r="F605" i="5" s="1" a="1"/>
  <c r="F605" i="5" s="1"/>
  <c r="E605" i="5" a="1"/>
  <c r="E605" i="5" s="1"/>
  <c r="X605" i="5" s="1"/>
  <c r="A606" i="5" a="1"/>
  <c r="T604" i="5" l="1"/>
  <c r="S604" i="5"/>
  <c r="Q604" i="5"/>
  <c r="U604" i="5" s="1" a="1"/>
  <c r="U604" i="5" s="1"/>
  <c r="A606" i="5"/>
  <c r="AB605" i="5"/>
  <c r="Y605" i="5"/>
  <c r="AC605" i="5" s="1"/>
  <c r="AA605" i="5"/>
  <c r="W605" i="5"/>
  <c r="Z605" i="5"/>
  <c r="G605" i="5" a="1"/>
  <c r="N605" i="5" a="1"/>
  <c r="P605" i="5" a="1"/>
  <c r="L605" i="5" a="1"/>
  <c r="C605" i="5" a="1"/>
  <c r="K605" i="5" a="1"/>
  <c r="H605" i="5" a="1"/>
  <c r="I605" i="5" a="1"/>
  <c r="D605" i="5" a="1"/>
  <c r="M605" i="5" a="1"/>
  <c r="J605" i="5" a="1"/>
  <c r="O605" i="5" a="1"/>
  <c r="V604" i="5" l="1" a="1"/>
  <c r="V604" i="5" s="1"/>
  <c r="I605" i="5"/>
  <c r="C605" i="5"/>
  <c r="O605" i="5"/>
  <c r="M605" i="5"/>
  <c r="H605" i="5"/>
  <c r="L605" i="5"/>
  <c r="G605" i="5"/>
  <c r="P605" i="5"/>
  <c r="K605" i="5"/>
  <c r="D605" i="5"/>
  <c r="J605" i="5"/>
  <c r="N605" i="5"/>
  <c r="B606" i="5"/>
  <c r="D606" i="5" s="1" a="1"/>
  <c r="E606" i="5" a="1"/>
  <c r="E606" i="5" s="1"/>
  <c r="A607" i="5" a="1"/>
  <c r="R605" i="5" l="1"/>
  <c r="D606" i="5"/>
  <c r="T605" i="5"/>
  <c r="Q605" i="5"/>
  <c r="S605" i="5"/>
  <c r="AB606" i="5"/>
  <c r="A607" i="5"/>
  <c r="X606" i="5"/>
  <c r="AA606" i="5"/>
  <c r="Y606" i="5"/>
  <c r="AC606" i="5" s="1"/>
  <c r="W606" i="5"/>
  <c r="Z606" i="5"/>
  <c r="M606" i="5" a="1"/>
  <c r="N606" i="5" a="1"/>
  <c r="K606" i="5" a="1"/>
  <c r="P606" i="5" a="1"/>
  <c r="O606" i="5" a="1"/>
  <c r="F606" i="5" a="1"/>
  <c r="G606" i="5" a="1"/>
  <c r="J606" i="5" a="1"/>
  <c r="I606" i="5" a="1"/>
  <c r="L606" i="5" a="1"/>
  <c r="H606" i="5" a="1"/>
  <c r="C606" i="5" a="1"/>
  <c r="U605" i="5" l="1" a="1"/>
  <c r="U605" i="5" s="1"/>
  <c r="K606" i="5"/>
  <c r="G606" i="5"/>
  <c r="O606" i="5"/>
  <c r="H606" i="5"/>
  <c r="P606" i="5"/>
  <c r="J606" i="5"/>
  <c r="C606" i="5"/>
  <c r="N606" i="5"/>
  <c r="F606" i="5"/>
  <c r="L606" i="5"/>
  <c r="I606" i="5"/>
  <c r="M606" i="5"/>
  <c r="E607" i="5" a="1"/>
  <c r="E607" i="5" s="1"/>
  <c r="B607" i="5"/>
  <c r="V605" i="5" a="1"/>
  <c r="V605" i="5" s="1"/>
  <c r="A608" i="5" a="1"/>
  <c r="F607" i="5" l="1" a="1"/>
  <c r="F607" i="5" s="1"/>
  <c r="R606" i="5"/>
  <c r="T606" i="5"/>
  <c r="AB607" i="5"/>
  <c r="Q606" i="5"/>
  <c r="S606" i="5"/>
  <c r="A608" i="5"/>
  <c r="Y607" i="5"/>
  <c r="AC607" i="5" s="1"/>
  <c r="AA607" i="5"/>
  <c r="W607" i="5"/>
  <c r="Z607" i="5"/>
  <c r="X607" i="5"/>
  <c r="L607" i="5" a="1"/>
  <c r="G607" i="5" a="1"/>
  <c r="J607" i="5" a="1"/>
  <c r="M607" i="5" a="1"/>
  <c r="O607" i="5" a="1"/>
  <c r="H607" i="5" a="1"/>
  <c r="P607" i="5" a="1"/>
  <c r="C607" i="5" a="1"/>
  <c r="N607" i="5" a="1"/>
  <c r="D607" i="5" a="1"/>
  <c r="K607" i="5" a="1"/>
  <c r="I607" i="5" a="1"/>
  <c r="V606" i="5" l="1" a="1"/>
  <c r="V606" i="5" s="1"/>
  <c r="U606" i="5" a="1"/>
  <c r="U606" i="5" s="1"/>
  <c r="P607" i="5"/>
  <c r="N607" i="5"/>
  <c r="L607" i="5"/>
  <c r="J607" i="5"/>
  <c r="O607" i="5"/>
  <c r="C607" i="5"/>
  <c r="M607" i="5"/>
  <c r="G607" i="5"/>
  <c r="D607" i="5"/>
  <c r="K607" i="5"/>
  <c r="H607" i="5"/>
  <c r="I607" i="5"/>
  <c r="B608" i="5"/>
  <c r="F608" i="5" s="1" a="1"/>
  <c r="F608" i="5" s="1"/>
  <c r="E608" i="5" a="1"/>
  <c r="E608" i="5" s="1"/>
  <c r="A609" i="5" a="1"/>
  <c r="T607" i="5" l="1"/>
  <c r="R607" i="5"/>
  <c r="S607" i="5"/>
  <c r="Q607" i="5"/>
  <c r="AA608" i="5"/>
  <c r="A609" i="5"/>
  <c r="X608" i="5"/>
  <c r="AB608" i="5"/>
  <c r="Z608" i="5"/>
  <c r="Y608" i="5"/>
  <c r="AC608" i="5" s="1"/>
  <c r="W608" i="5"/>
  <c r="O608" i="5" a="1"/>
  <c r="J608" i="5" a="1"/>
  <c r="P608" i="5" a="1"/>
  <c r="H608" i="5" a="1"/>
  <c r="C608" i="5" a="1"/>
  <c r="L608" i="5" a="1"/>
  <c r="I608" i="5" a="1"/>
  <c r="K608" i="5" a="1"/>
  <c r="M608" i="5" a="1"/>
  <c r="D608" i="5" a="1"/>
  <c r="A610" i="5" a="1"/>
  <c r="G608" i="5" a="1"/>
  <c r="N608" i="5" a="1"/>
  <c r="V607" i="5" l="1" a="1"/>
  <c r="V607" i="5" s="1"/>
  <c r="H608" i="5"/>
  <c r="G608" i="5"/>
  <c r="O608" i="5"/>
  <c r="P608" i="5"/>
  <c r="N608" i="5"/>
  <c r="J608" i="5"/>
  <c r="D608" i="5"/>
  <c r="C608" i="5"/>
  <c r="K608" i="5"/>
  <c r="L608" i="5"/>
  <c r="I608" i="5"/>
  <c r="U607" i="5" a="1"/>
  <c r="U607" i="5" s="1"/>
  <c r="M608" i="5"/>
  <c r="B609" i="5"/>
  <c r="E609" i="5" a="1"/>
  <c r="E609" i="5" s="1"/>
  <c r="A610" i="5"/>
  <c r="A611" i="5" a="1"/>
  <c r="R608" i="5" l="1"/>
  <c r="Q608" i="5"/>
  <c r="W609" i="5"/>
  <c r="Y609" i="5"/>
  <c r="AC609" i="5" s="1"/>
  <c r="Z609" i="5"/>
  <c r="F609" i="5" a="1"/>
  <c r="F609" i="5" s="1"/>
  <c r="AB609" i="5"/>
  <c r="AA609" i="5"/>
  <c r="X609" i="5"/>
  <c r="E610" i="5" a="1"/>
  <c r="E610" i="5" s="1"/>
  <c r="X610" i="5" s="1"/>
  <c r="B610" i="5"/>
  <c r="P610" i="5" s="1" a="1"/>
  <c r="S608" i="5"/>
  <c r="T608" i="5"/>
  <c r="A611" i="5"/>
  <c r="N609" i="5" a="1"/>
  <c r="K609" i="5" a="1"/>
  <c r="I609" i="5" a="1"/>
  <c r="P609" i="5" a="1"/>
  <c r="M609" i="5" a="1"/>
  <c r="D609" i="5" a="1"/>
  <c r="H609" i="5" a="1"/>
  <c r="C609" i="5" a="1"/>
  <c r="O609" i="5" a="1"/>
  <c r="L609" i="5" a="1"/>
  <c r="J609" i="5" a="1"/>
  <c r="G609" i="5" a="1"/>
  <c r="U608" i="5" l="1" a="1"/>
  <c r="U608" i="5" s="1"/>
  <c r="F610" i="5" a="1"/>
  <c r="F610" i="5" s="1"/>
  <c r="K609" i="5"/>
  <c r="M609" i="5"/>
  <c r="P609" i="5"/>
  <c r="I609" i="5"/>
  <c r="L609" i="5"/>
  <c r="D609" i="5"/>
  <c r="J609" i="5"/>
  <c r="C609" i="5"/>
  <c r="H609" i="5"/>
  <c r="P610" i="5"/>
  <c r="G609" i="5"/>
  <c r="O609" i="5"/>
  <c r="N609" i="5"/>
  <c r="Y610" i="5"/>
  <c r="AC610" i="5" s="1"/>
  <c r="V608" i="5" a="1"/>
  <c r="V608" i="5" s="1"/>
  <c r="AB610" i="5"/>
  <c r="AA610" i="5"/>
  <c r="Z610" i="5"/>
  <c r="W610" i="5"/>
  <c r="B611" i="5"/>
  <c r="N611" i="5" s="1" a="1"/>
  <c r="E611" i="5" a="1"/>
  <c r="E611" i="5" s="1"/>
  <c r="H610" i="5" a="1"/>
  <c r="M610" i="5" a="1"/>
  <c r="C610" i="5" a="1"/>
  <c r="A612" i="5" a="1"/>
  <c r="O610" i="5" a="1"/>
  <c r="K610" i="5" a="1"/>
  <c r="D610" i="5" a="1"/>
  <c r="L610" i="5" a="1"/>
  <c r="G610" i="5" a="1"/>
  <c r="J610" i="5" a="1"/>
  <c r="I610" i="5" a="1"/>
  <c r="N610" i="5" a="1"/>
  <c r="T609" i="5" l="1"/>
  <c r="N611" i="5"/>
  <c r="K610" i="5"/>
  <c r="O610" i="5"/>
  <c r="C610" i="5"/>
  <c r="H610" i="5"/>
  <c r="J610" i="5"/>
  <c r="I610" i="5"/>
  <c r="D610" i="5"/>
  <c r="N610" i="5"/>
  <c r="G610" i="5"/>
  <c r="L610" i="5"/>
  <c r="R610" i="5" s="1"/>
  <c r="M610" i="5"/>
  <c r="T610" i="5" s="1"/>
  <c r="S609" i="5"/>
  <c r="Q609" i="5"/>
  <c r="F611" i="5" a="1"/>
  <c r="F611" i="5" s="1"/>
  <c r="R609" i="5"/>
  <c r="Y611" i="5"/>
  <c r="AC611" i="5" s="1"/>
  <c r="AA611" i="5"/>
  <c r="A612" i="5"/>
  <c r="W611" i="5"/>
  <c r="X611" i="5"/>
  <c r="AB611" i="5"/>
  <c r="Z611" i="5"/>
  <c r="J611" i="5" a="1"/>
  <c r="H611" i="5" a="1"/>
  <c r="M611" i="5" a="1"/>
  <c r="K611" i="5" a="1"/>
  <c r="G611" i="5" a="1"/>
  <c r="I611" i="5" a="1"/>
  <c r="D611" i="5" a="1"/>
  <c r="O611" i="5" a="1"/>
  <c r="L611" i="5" a="1"/>
  <c r="A613" i="5" a="1"/>
  <c r="P611" i="5" a="1"/>
  <c r="C611" i="5" a="1"/>
  <c r="V609" i="5" l="1" a="1"/>
  <c r="V609" i="5" s="1"/>
  <c r="C611" i="5"/>
  <c r="L611" i="5"/>
  <c r="M611" i="5"/>
  <c r="O611" i="5"/>
  <c r="H611" i="5"/>
  <c r="J611" i="5"/>
  <c r="I611" i="5"/>
  <c r="G611" i="5"/>
  <c r="D611" i="5"/>
  <c r="K611" i="5"/>
  <c r="P611" i="5"/>
  <c r="U609" i="5" a="1"/>
  <c r="U609" i="5" s="1"/>
  <c r="E612" i="5" a="1"/>
  <c r="E612" i="5" s="1"/>
  <c r="AA612" i="5" s="1"/>
  <c r="B612" i="5"/>
  <c r="S610" i="5"/>
  <c r="V610" i="5" s="1" a="1"/>
  <c r="V610" i="5" s="1"/>
  <c r="Q610" i="5"/>
  <c r="U610" i="5" s="1" a="1"/>
  <c r="U610" i="5" s="1"/>
  <c r="A613" i="5"/>
  <c r="A614" i="5" a="1"/>
  <c r="G612" i="5" a="1"/>
  <c r="R611" i="5" l="1"/>
  <c r="Y612" i="5"/>
  <c r="AC612" i="5" s="1"/>
  <c r="X612" i="5"/>
  <c r="AB612" i="5"/>
  <c r="Z612" i="5"/>
  <c r="W612" i="5"/>
  <c r="G612" i="5"/>
  <c r="B613" i="5"/>
  <c r="G613" i="5" s="1" a="1"/>
  <c r="E613" i="5" a="1"/>
  <c r="E613" i="5" s="1"/>
  <c r="AB613" i="5" s="1"/>
  <c r="Q611" i="5"/>
  <c r="S611" i="5"/>
  <c r="T611" i="5"/>
  <c r="F612" i="5" a="1"/>
  <c r="F612" i="5" s="1"/>
  <c r="A614" i="5"/>
  <c r="H612" i="5" a="1"/>
  <c r="L612" i="5" a="1"/>
  <c r="N612" i="5" a="1"/>
  <c r="D612" i="5" a="1"/>
  <c r="P612" i="5" a="1"/>
  <c r="I612" i="5" a="1"/>
  <c r="C612" i="5" a="1"/>
  <c r="J612" i="5" a="1"/>
  <c r="M612" i="5" a="1"/>
  <c r="K612" i="5" a="1"/>
  <c r="O612" i="5" a="1"/>
  <c r="A615" i="5" a="1"/>
  <c r="U611" i="5" l="1" a="1"/>
  <c r="U611" i="5" s="1"/>
  <c r="F613" i="5" a="1"/>
  <c r="F613" i="5" s="1"/>
  <c r="V611" i="5" a="1"/>
  <c r="V611" i="5" s="1"/>
  <c r="G613" i="5"/>
  <c r="P612" i="5"/>
  <c r="D612" i="5"/>
  <c r="O612" i="5"/>
  <c r="I612" i="5"/>
  <c r="M612" i="5"/>
  <c r="N612" i="5"/>
  <c r="L612" i="5"/>
  <c r="C612" i="5"/>
  <c r="K612" i="5"/>
  <c r="H612" i="5"/>
  <c r="J612" i="5"/>
  <c r="W613" i="5"/>
  <c r="Z613" i="5"/>
  <c r="AA613" i="5"/>
  <c r="X613" i="5"/>
  <c r="B614" i="5"/>
  <c r="M614" i="5" s="1" a="1"/>
  <c r="E614" i="5" a="1"/>
  <c r="E614" i="5" s="1"/>
  <c r="W614" i="5" s="1"/>
  <c r="Y613" i="5"/>
  <c r="AC613" i="5" s="1"/>
  <c r="A615" i="5"/>
  <c r="A616" i="5" s="1" a="1"/>
  <c r="H613" i="5" a="1"/>
  <c r="O613" i="5" a="1"/>
  <c r="D613" i="5" a="1"/>
  <c r="L613" i="5" a="1"/>
  <c r="M613" i="5" a="1"/>
  <c r="P613" i="5" a="1"/>
  <c r="C613" i="5" a="1"/>
  <c r="I613" i="5" a="1"/>
  <c r="N613" i="5" a="1"/>
  <c r="J613" i="5" a="1"/>
  <c r="K613" i="5" a="1"/>
  <c r="K613" i="5" l="1"/>
  <c r="L613" i="5"/>
  <c r="T612" i="5"/>
  <c r="R612" i="5"/>
  <c r="C613" i="5"/>
  <c r="P613" i="5"/>
  <c r="D613" i="5"/>
  <c r="M614" i="5"/>
  <c r="H613" i="5"/>
  <c r="N613" i="5"/>
  <c r="M613" i="5"/>
  <c r="O613" i="5"/>
  <c r="I613" i="5"/>
  <c r="J613" i="5"/>
  <c r="Y614" i="5"/>
  <c r="AC614" i="5" s="1"/>
  <c r="S612" i="5"/>
  <c r="Q612" i="5"/>
  <c r="E615" i="5" a="1"/>
  <c r="E615" i="5" s="1"/>
  <c r="W615" i="5" s="1"/>
  <c r="B615" i="5"/>
  <c r="N615" i="5" s="1" a="1"/>
  <c r="AA614" i="5"/>
  <c r="X614" i="5"/>
  <c r="Z614" i="5"/>
  <c r="F614" i="5" a="1"/>
  <c r="F614" i="5" s="1"/>
  <c r="AB614" i="5"/>
  <c r="A616" i="5"/>
  <c r="O614" i="5" a="1"/>
  <c r="G614" i="5" a="1"/>
  <c r="D614" i="5" a="1"/>
  <c r="J614" i="5" a="1"/>
  <c r="C614" i="5" a="1"/>
  <c r="H614" i="5" a="1"/>
  <c r="I614" i="5" a="1"/>
  <c r="L614" i="5" a="1"/>
  <c r="N614" i="5" a="1"/>
  <c r="P614" i="5" a="1"/>
  <c r="K614" i="5" a="1"/>
  <c r="A617" i="5" a="1"/>
  <c r="G614" i="5" l="1"/>
  <c r="P614" i="5"/>
  <c r="T614" i="5" s="1"/>
  <c r="R613" i="5"/>
  <c r="V612" i="5" a="1"/>
  <c r="V612" i="5" s="1"/>
  <c r="AA615" i="5"/>
  <c r="U612" i="5" a="1"/>
  <c r="U612" i="5" s="1"/>
  <c r="N614" i="5"/>
  <c r="O614" i="5"/>
  <c r="S614" i="5" s="1"/>
  <c r="AB615" i="5"/>
  <c r="Y615" i="5"/>
  <c r="AC615" i="5" s="1"/>
  <c r="H614" i="5"/>
  <c r="K614" i="5"/>
  <c r="N615" i="5"/>
  <c r="J614" i="5"/>
  <c r="D614" i="5"/>
  <c r="L614" i="5"/>
  <c r="I614" i="5"/>
  <c r="C614" i="5"/>
  <c r="B616" i="5"/>
  <c r="H616" i="5" s="1" a="1"/>
  <c r="E616" i="5" a="1"/>
  <c r="E616" i="5" s="1"/>
  <c r="AA616" i="5" s="1"/>
  <c r="S613" i="5"/>
  <c r="Q613" i="5"/>
  <c r="Z615" i="5"/>
  <c r="X615" i="5"/>
  <c r="T613" i="5"/>
  <c r="F615" i="5" a="1"/>
  <c r="F615" i="5" s="1"/>
  <c r="A617" i="5"/>
  <c r="A618" i="5" s="1" a="1"/>
  <c r="C615" i="5" a="1"/>
  <c r="H615" i="5" a="1"/>
  <c r="L615" i="5" a="1"/>
  <c r="D615" i="5" a="1"/>
  <c r="P615" i="5" a="1"/>
  <c r="I615" i="5" a="1"/>
  <c r="O615" i="5" a="1"/>
  <c r="J615" i="5" a="1"/>
  <c r="G615" i="5" a="1"/>
  <c r="K615" i="5" a="1"/>
  <c r="M615" i="5" a="1"/>
  <c r="I615" i="5" l="1"/>
  <c r="J615" i="5"/>
  <c r="O615" i="5"/>
  <c r="M615" i="5"/>
  <c r="G615" i="5"/>
  <c r="V614" i="5" a="1"/>
  <c r="V614" i="5" s="1"/>
  <c r="K615" i="5"/>
  <c r="U613" i="5" a="1"/>
  <c r="U613" i="5" s="1"/>
  <c r="X616" i="5"/>
  <c r="V613" i="5" a="1"/>
  <c r="V613" i="5" s="1"/>
  <c r="W616" i="5"/>
  <c r="AB616" i="5"/>
  <c r="Z616" i="5"/>
  <c r="H616" i="5"/>
  <c r="D615" i="5"/>
  <c r="P615" i="5"/>
  <c r="H615" i="5"/>
  <c r="C615" i="5"/>
  <c r="L615" i="5"/>
  <c r="B617" i="5"/>
  <c r="K617" i="5" s="1" a="1"/>
  <c r="Y616" i="5"/>
  <c r="AC616" i="5" s="1"/>
  <c r="R614" i="5"/>
  <c r="Q614" i="5"/>
  <c r="A618" i="5"/>
  <c r="A619" i="5" s="1" a="1"/>
  <c r="E617" i="5" a="1"/>
  <c r="K616" i="5" a="1"/>
  <c r="D616" i="5" a="1"/>
  <c r="I616" i="5" a="1"/>
  <c r="N616" i="5" a="1"/>
  <c r="P616" i="5" a="1"/>
  <c r="G616" i="5" a="1"/>
  <c r="F616" i="5" a="1"/>
  <c r="O616" i="5" a="1"/>
  <c r="M616" i="5" a="1"/>
  <c r="C616" i="5" a="1"/>
  <c r="L616" i="5" a="1"/>
  <c r="J616" i="5" a="1"/>
  <c r="Q615" i="5" l="1"/>
  <c r="S615" i="5"/>
  <c r="E617" i="5"/>
  <c r="AB617" i="5" s="1"/>
  <c r="U614" i="5" a="1"/>
  <c r="U614" i="5" s="1"/>
  <c r="I616" i="5"/>
  <c r="N616" i="5"/>
  <c r="K617" i="5"/>
  <c r="P616" i="5"/>
  <c r="G616" i="5"/>
  <c r="C616" i="5"/>
  <c r="K616" i="5"/>
  <c r="M616" i="5"/>
  <c r="D616" i="5"/>
  <c r="L616" i="5"/>
  <c r="J616" i="5"/>
  <c r="F616" i="5"/>
  <c r="F617" i="5" s="1" a="1"/>
  <c r="O616" i="5"/>
  <c r="R615" i="5"/>
  <c r="B618" i="5"/>
  <c r="T615" i="5"/>
  <c r="A619" i="5"/>
  <c r="N617" i="5" a="1"/>
  <c r="L617" i="5" a="1"/>
  <c r="J617" i="5" a="1"/>
  <c r="G617" i="5" a="1"/>
  <c r="O617" i="5" a="1"/>
  <c r="C617" i="5" a="1"/>
  <c r="I617" i="5" a="1"/>
  <c r="D617" i="5" a="1"/>
  <c r="M617" i="5" a="1"/>
  <c r="H617" i="5" a="1"/>
  <c r="P617" i="5" a="1"/>
  <c r="U615" i="5" l="1" a="1"/>
  <c r="U615" i="5" s="1"/>
  <c r="V615" i="5" a="1"/>
  <c r="V615" i="5" s="1"/>
  <c r="AA617" i="5"/>
  <c r="W617" i="5"/>
  <c r="Z617" i="5"/>
  <c r="Y617" i="5"/>
  <c r="AC617" i="5" s="1"/>
  <c r="X617" i="5"/>
  <c r="E618" i="5" a="1"/>
  <c r="E618" i="5" s="1"/>
  <c r="X618" i="5" s="1"/>
  <c r="O617" i="5"/>
  <c r="I617" i="5"/>
  <c r="F617" i="5"/>
  <c r="F618" i="5" s="1" a="1"/>
  <c r="F618" i="5" s="1"/>
  <c r="R616" i="5"/>
  <c r="T616" i="5"/>
  <c r="H617" i="5"/>
  <c r="N617" i="5"/>
  <c r="P617" i="5"/>
  <c r="L617" i="5"/>
  <c r="G617" i="5"/>
  <c r="C617" i="5"/>
  <c r="D617" i="5"/>
  <c r="M617" i="5"/>
  <c r="J617" i="5"/>
  <c r="S616" i="5"/>
  <c r="Q616" i="5"/>
  <c r="B619" i="5"/>
  <c r="J618" i="5" a="1"/>
  <c r="L618" i="5" a="1"/>
  <c r="A620" i="5" a="1"/>
  <c r="I618" i="5" a="1"/>
  <c r="M618" i="5" a="1"/>
  <c r="C618" i="5" a="1"/>
  <c r="N618" i="5" a="1"/>
  <c r="P618" i="5" a="1"/>
  <c r="H618" i="5" a="1"/>
  <c r="G618" i="5" a="1"/>
  <c r="O618" i="5" a="1"/>
  <c r="K618" i="5" a="1"/>
  <c r="D618" i="5" a="1"/>
  <c r="Q617" i="5" l="1"/>
  <c r="E619" i="5" a="1"/>
  <c r="E619" i="5" s="1"/>
  <c r="Y619" i="5" s="1"/>
  <c r="F619" i="5" a="1"/>
  <c r="F619" i="5" s="1"/>
  <c r="Y618" i="5"/>
  <c r="AC618" i="5" s="1"/>
  <c r="AB618" i="5"/>
  <c r="Z618" i="5"/>
  <c r="AA618" i="5"/>
  <c r="W618" i="5"/>
  <c r="V616" i="5" a="1"/>
  <c r="V616" i="5" s="1"/>
  <c r="U616" i="5" a="1"/>
  <c r="U616" i="5" s="1"/>
  <c r="N618" i="5"/>
  <c r="O618" i="5"/>
  <c r="L618" i="5"/>
  <c r="K618" i="5"/>
  <c r="J618" i="5"/>
  <c r="H618" i="5"/>
  <c r="G618" i="5"/>
  <c r="R617" i="5"/>
  <c r="C618" i="5"/>
  <c r="I618" i="5"/>
  <c r="M618" i="5"/>
  <c r="P618" i="5"/>
  <c r="D618" i="5"/>
  <c r="T617" i="5"/>
  <c r="S617" i="5"/>
  <c r="A620" i="5"/>
  <c r="A621" i="5" s="1" a="1"/>
  <c r="I619" i="5" a="1"/>
  <c r="O619" i="5" a="1"/>
  <c r="K619" i="5" a="1"/>
  <c r="L619" i="5" a="1"/>
  <c r="M619" i="5" a="1"/>
  <c r="H619" i="5" a="1"/>
  <c r="N619" i="5" a="1"/>
  <c r="G619" i="5" a="1"/>
  <c r="P619" i="5" a="1"/>
  <c r="J619" i="5" a="1"/>
  <c r="C619" i="5" a="1"/>
  <c r="D619" i="5" a="1"/>
  <c r="U617" i="5" l="1" a="1"/>
  <c r="U617" i="5" s="1"/>
  <c r="W619" i="5"/>
  <c r="Z619" i="5"/>
  <c r="AB619" i="5"/>
  <c r="X619" i="5"/>
  <c r="AC619" i="5"/>
  <c r="AA619" i="5"/>
  <c r="K619" i="5"/>
  <c r="G619" i="5"/>
  <c r="J619" i="5"/>
  <c r="Q618" i="5"/>
  <c r="T618" i="5"/>
  <c r="P619" i="5"/>
  <c r="O619" i="5"/>
  <c r="N619" i="5"/>
  <c r="R618" i="5"/>
  <c r="I619" i="5"/>
  <c r="D619" i="5"/>
  <c r="L619" i="5"/>
  <c r="H619" i="5"/>
  <c r="C619" i="5"/>
  <c r="M619" i="5"/>
  <c r="S618" i="5"/>
  <c r="E620" i="5" a="1"/>
  <c r="E620" i="5" s="1"/>
  <c r="W620" i="5" s="1"/>
  <c r="B620" i="5"/>
  <c r="H620" i="5" s="1" a="1"/>
  <c r="V617" i="5" a="1"/>
  <c r="V617" i="5" s="1"/>
  <c r="A621" i="5"/>
  <c r="V618" i="5" l="1" a="1"/>
  <c r="V618" i="5" s="1"/>
  <c r="U618" i="5" a="1"/>
  <c r="U618" i="5" s="1"/>
  <c r="R619" i="5"/>
  <c r="Q619" i="5"/>
  <c r="Y620" i="5"/>
  <c r="AC620" i="5" s="1"/>
  <c r="X620" i="5"/>
  <c r="H620" i="5"/>
  <c r="B621" i="5"/>
  <c r="O621" i="5" s="1" a="1"/>
  <c r="E621" i="5" a="1"/>
  <c r="E621" i="5" s="1"/>
  <c r="Y621" i="5" s="1"/>
  <c r="S619" i="5"/>
  <c r="T619" i="5"/>
  <c r="Z620" i="5"/>
  <c r="AB620" i="5"/>
  <c r="F620" i="5" a="1"/>
  <c r="F620" i="5" s="1"/>
  <c r="AA620" i="5"/>
  <c r="M620" i="5" a="1"/>
  <c r="J620" i="5" a="1"/>
  <c r="I620" i="5" a="1"/>
  <c r="A622" i="5" a="1"/>
  <c r="P620" i="5" a="1"/>
  <c r="N620" i="5" a="1"/>
  <c r="K620" i="5" a="1"/>
  <c r="D620" i="5" a="1"/>
  <c r="G620" i="5" a="1"/>
  <c r="C620" i="5" a="1"/>
  <c r="L620" i="5" a="1"/>
  <c r="O620" i="5" a="1"/>
  <c r="U619" i="5" l="1" a="1"/>
  <c r="U619" i="5" s="1"/>
  <c r="L620" i="5"/>
  <c r="N620" i="5"/>
  <c r="P620" i="5"/>
  <c r="O620" i="5"/>
  <c r="O621" i="5"/>
  <c r="M620" i="5"/>
  <c r="C620" i="5"/>
  <c r="J620" i="5"/>
  <c r="K620" i="5"/>
  <c r="I620" i="5"/>
  <c r="G620" i="5"/>
  <c r="D620" i="5"/>
  <c r="V619" i="5" a="1"/>
  <c r="V619" i="5" s="1"/>
  <c r="F621" i="5" a="1"/>
  <c r="F621" i="5" s="1"/>
  <c r="A622" i="5"/>
  <c r="AC621" i="5"/>
  <c r="X621" i="5"/>
  <c r="AA621" i="5"/>
  <c r="W621" i="5"/>
  <c r="AB621" i="5"/>
  <c r="Z621" i="5"/>
  <c r="G621" i="5" a="1"/>
  <c r="N621" i="5" a="1"/>
  <c r="L621" i="5" a="1"/>
  <c r="J621" i="5" a="1"/>
  <c r="H621" i="5" a="1"/>
  <c r="P621" i="5" a="1"/>
  <c r="I621" i="5" a="1"/>
  <c r="M621" i="5" a="1"/>
  <c r="K621" i="5" a="1"/>
  <c r="C621" i="5" a="1"/>
  <c r="D621" i="5" a="1"/>
  <c r="P621" i="5" l="1"/>
  <c r="K621" i="5"/>
  <c r="J621" i="5"/>
  <c r="Q620" i="5"/>
  <c r="T620" i="5"/>
  <c r="R620" i="5"/>
  <c r="S620" i="5"/>
  <c r="H621" i="5"/>
  <c r="I621" i="5"/>
  <c r="N621" i="5"/>
  <c r="C621" i="5"/>
  <c r="L621" i="5"/>
  <c r="D621" i="5"/>
  <c r="G621" i="5"/>
  <c r="M621" i="5"/>
  <c r="B622" i="5"/>
  <c r="E622" i="5" a="1"/>
  <c r="E622" i="5" s="1"/>
  <c r="A623" i="5" a="1"/>
  <c r="G622" i="5" a="1"/>
  <c r="U620" i="5" l="1" a="1"/>
  <c r="U620" i="5" s="1"/>
  <c r="V620" i="5" a="1"/>
  <c r="V620" i="5" s="1"/>
  <c r="G622" i="5"/>
  <c r="T621" i="5"/>
  <c r="S621" i="5"/>
  <c r="R621" i="5"/>
  <c r="Q621" i="5"/>
  <c r="AB622" i="5"/>
  <c r="F622" i="5" a="1"/>
  <c r="F622" i="5" s="1"/>
  <c r="A623" i="5"/>
  <c r="X622" i="5"/>
  <c r="AA622" i="5"/>
  <c r="Y622" i="5"/>
  <c r="AC622" i="5" s="1"/>
  <c r="W622" i="5"/>
  <c r="Z622" i="5"/>
  <c r="M622" i="5" a="1"/>
  <c r="N622" i="5" a="1"/>
  <c r="O622" i="5" a="1"/>
  <c r="L622" i="5" a="1"/>
  <c r="H622" i="5" a="1"/>
  <c r="D622" i="5" a="1"/>
  <c r="C622" i="5" a="1"/>
  <c r="J622" i="5" a="1"/>
  <c r="K622" i="5" a="1"/>
  <c r="I622" i="5" a="1"/>
  <c r="P622" i="5" a="1"/>
  <c r="U621" i="5" l="1" a="1"/>
  <c r="U621" i="5" s="1"/>
  <c r="V621" i="5" a="1"/>
  <c r="V621" i="5" s="1"/>
  <c r="P622" i="5"/>
  <c r="J622" i="5"/>
  <c r="I622" i="5"/>
  <c r="K622" i="5"/>
  <c r="N622" i="5"/>
  <c r="C622" i="5"/>
  <c r="O622" i="5"/>
  <c r="H622" i="5"/>
  <c r="L622" i="5"/>
  <c r="M622" i="5"/>
  <c r="D622" i="5"/>
  <c r="E623" i="5" a="1"/>
  <c r="E623" i="5" s="1"/>
  <c r="Y623" i="5" s="1"/>
  <c r="B623" i="5"/>
  <c r="A624" i="5" a="1"/>
  <c r="T622" i="5" l="1"/>
  <c r="S622" i="5"/>
  <c r="Q622" i="5"/>
  <c r="F623" i="5" a="1"/>
  <c r="F623" i="5" s="1"/>
  <c r="R622" i="5"/>
  <c r="AA623" i="5"/>
  <c r="A624" i="5"/>
  <c r="A625" i="5" s="1" a="1"/>
  <c r="W623" i="5"/>
  <c r="AC623" i="5"/>
  <c r="X623" i="5"/>
  <c r="Z623" i="5"/>
  <c r="AB623" i="5"/>
  <c r="I623" i="5" a="1"/>
  <c r="H623" i="5" a="1"/>
  <c r="J623" i="5" a="1"/>
  <c r="K623" i="5" a="1"/>
  <c r="P623" i="5" a="1"/>
  <c r="N623" i="5" a="1"/>
  <c r="G623" i="5" a="1"/>
  <c r="M623" i="5" a="1"/>
  <c r="O623" i="5" a="1"/>
  <c r="D623" i="5" a="1"/>
  <c r="C623" i="5" a="1"/>
  <c r="L623" i="5" a="1"/>
  <c r="V622" i="5" l="1" a="1"/>
  <c r="V622" i="5" s="1"/>
  <c r="O623" i="5"/>
  <c r="H623" i="5"/>
  <c r="I623" i="5"/>
  <c r="D623" i="5"/>
  <c r="K623" i="5"/>
  <c r="C623" i="5"/>
  <c r="G623" i="5"/>
  <c r="N623" i="5"/>
  <c r="P623" i="5"/>
  <c r="J623" i="5"/>
  <c r="L623" i="5"/>
  <c r="M623" i="5"/>
  <c r="U622" i="5" a="1"/>
  <c r="U622" i="5" s="1"/>
  <c r="B624" i="5"/>
  <c r="G624" i="5" s="1" a="1"/>
  <c r="E624" i="5" a="1"/>
  <c r="E624" i="5" s="1"/>
  <c r="Y624" i="5" s="1"/>
  <c r="AC624" i="5" s="1"/>
  <c r="A625" i="5"/>
  <c r="T623" i="5" l="1"/>
  <c r="R623" i="5"/>
  <c r="G624" i="5"/>
  <c r="W624" i="5"/>
  <c r="F624" i="5" a="1"/>
  <c r="F624" i="5" s="1"/>
  <c r="AB624" i="5"/>
  <c r="AA624" i="5"/>
  <c r="Z624" i="5"/>
  <c r="X624" i="5"/>
  <c r="E625" i="5" a="1"/>
  <c r="E625" i="5" s="1"/>
  <c r="Y625" i="5" s="1"/>
  <c r="B625" i="5"/>
  <c r="L625" i="5" s="1" a="1"/>
  <c r="Q623" i="5"/>
  <c r="S623" i="5"/>
  <c r="J624" i="5" a="1"/>
  <c r="C624" i="5" a="1"/>
  <c r="M624" i="5" a="1"/>
  <c r="L624" i="5" a="1"/>
  <c r="D624" i="5" a="1"/>
  <c r="I624" i="5" a="1"/>
  <c r="A626" i="5" a="1"/>
  <c r="K624" i="5" a="1"/>
  <c r="O624" i="5" a="1"/>
  <c r="H624" i="5" a="1"/>
  <c r="P624" i="5" a="1"/>
  <c r="N624" i="5" a="1"/>
  <c r="U623" i="5" l="1" a="1"/>
  <c r="U623" i="5" s="1"/>
  <c r="V623" i="5" a="1"/>
  <c r="V623" i="5" s="1"/>
  <c r="M624" i="5"/>
  <c r="O624" i="5"/>
  <c r="L625" i="5"/>
  <c r="J624" i="5"/>
  <c r="P624" i="5"/>
  <c r="H624" i="5"/>
  <c r="L624" i="5"/>
  <c r="C624" i="5"/>
  <c r="N624" i="5"/>
  <c r="K624" i="5"/>
  <c r="I624" i="5"/>
  <c r="D624" i="5"/>
  <c r="F625" i="5" a="1"/>
  <c r="F625" i="5" s="1"/>
  <c r="AA625" i="5"/>
  <c r="A626" i="5"/>
  <c r="W625" i="5"/>
  <c r="X625" i="5"/>
  <c r="Z625" i="5"/>
  <c r="AC625" i="5"/>
  <c r="AB625" i="5"/>
  <c r="I625" i="5" a="1"/>
  <c r="N625" i="5" a="1"/>
  <c r="C625" i="5" a="1"/>
  <c r="J625" i="5" a="1"/>
  <c r="D625" i="5" a="1"/>
  <c r="P625" i="5" a="1"/>
  <c r="H625" i="5" a="1"/>
  <c r="A627" i="5" a="1"/>
  <c r="G625" i="5" a="1"/>
  <c r="M625" i="5" a="1"/>
  <c r="K625" i="5" a="1"/>
  <c r="O625" i="5" a="1"/>
  <c r="H625" i="5" l="1"/>
  <c r="C625" i="5"/>
  <c r="P625" i="5"/>
  <c r="R625" i="5" s="1"/>
  <c r="N625" i="5"/>
  <c r="O625" i="5"/>
  <c r="M625" i="5"/>
  <c r="D625" i="5"/>
  <c r="J625" i="5"/>
  <c r="G625" i="5"/>
  <c r="I625" i="5"/>
  <c r="K625" i="5"/>
  <c r="R624" i="5"/>
  <c r="Q624" i="5"/>
  <c r="S624" i="5"/>
  <c r="B626" i="5"/>
  <c r="H626" i="5" s="1" a="1"/>
  <c r="E626" i="5" a="1"/>
  <c r="E626" i="5" s="1"/>
  <c r="T624" i="5"/>
  <c r="A627" i="5"/>
  <c r="T625" i="5" l="1"/>
  <c r="U624" i="5" a="1"/>
  <c r="U624" i="5" s="1"/>
  <c r="V624" i="5" a="1"/>
  <c r="V624" i="5" s="1"/>
  <c r="H626" i="5"/>
  <c r="S625" i="5"/>
  <c r="Q625" i="5"/>
  <c r="U625" i="5" s="1" a="1"/>
  <c r="U625" i="5" s="1"/>
  <c r="X626" i="5"/>
  <c r="B627" i="5"/>
  <c r="D627" i="5" s="1" a="1"/>
  <c r="E627" i="5" a="1"/>
  <c r="E627" i="5" s="1"/>
  <c r="Y627" i="5" s="1"/>
  <c r="AB626" i="5"/>
  <c r="Z626" i="5"/>
  <c r="W626" i="5"/>
  <c r="Y626" i="5"/>
  <c r="AC626" i="5" s="1"/>
  <c r="AA626" i="5"/>
  <c r="K626" i="5" a="1"/>
  <c r="P626" i="5" a="1"/>
  <c r="J626" i="5" a="1"/>
  <c r="D626" i="5" a="1"/>
  <c r="F626" i="5" a="1"/>
  <c r="L626" i="5" a="1"/>
  <c r="C626" i="5" a="1"/>
  <c r="I626" i="5" a="1"/>
  <c r="N626" i="5" a="1"/>
  <c r="A628" i="5" a="1"/>
  <c r="O626" i="5" a="1"/>
  <c r="M626" i="5" a="1"/>
  <c r="G626" i="5" a="1"/>
  <c r="V625" i="5" l="1" a="1"/>
  <c r="V625" i="5" s="1"/>
  <c r="N626" i="5"/>
  <c r="D627" i="5"/>
  <c r="C626" i="5"/>
  <c r="O626" i="5"/>
  <c r="K626" i="5"/>
  <c r="D626" i="5"/>
  <c r="G626" i="5"/>
  <c r="P626" i="5"/>
  <c r="M626" i="5"/>
  <c r="F626" i="5"/>
  <c r="F627" i="5" s="1" a="1"/>
  <c r="L626" i="5"/>
  <c r="I626" i="5"/>
  <c r="J626" i="5"/>
  <c r="A628" i="5"/>
  <c r="W627" i="5"/>
  <c r="AA627" i="5"/>
  <c r="AC627" i="5"/>
  <c r="X627" i="5"/>
  <c r="AB627" i="5"/>
  <c r="Z627" i="5"/>
  <c r="P627" i="5" a="1"/>
  <c r="M627" i="5" a="1"/>
  <c r="O627" i="5" a="1"/>
  <c r="N627" i="5" a="1"/>
  <c r="J627" i="5" a="1"/>
  <c r="A629" i="5" a="1"/>
  <c r="I627" i="5" a="1"/>
  <c r="H627" i="5" a="1"/>
  <c r="K627" i="5" a="1"/>
  <c r="L627" i="5" a="1"/>
  <c r="C627" i="5" a="1"/>
  <c r="G627" i="5" a="1"/>
  <c r="R626" i="5" l="1"/>
  <c r="F627" i="5"/>
  <c r="T626" i="5"/>
  <c r="J627" i="5"/>
  <c r="L627" i="5"/>
  <c r="K627" i="5"/>
  <c r="M627" i="5"/>
  <c r="I627" i="5"/>
  <c r="G627" i="5"/>
  <c r="H627" i="5"/>
  <c r="P627" i="5"/>
  <c r="O627" i="5"/>
  <c r="N627" i="5"/>
  <c r="C627" i="5"/>
  <c r="E628" i="5" a="1"/>
  <c r="E628" i="5" s="1"/>
  <c r="B628" i="5"/>
  <c r="S626" i="5"/>
  <c r="Q626" i="5"/>
  <c r="A629" i="5"/>
  <c r="A630" i="5" a="1"/>
  <c r="N628" i="5" a="1"/>
  <c r="U626" i="5" l="1" a="1"/>
  <c r="U626" i="5" s="1"/>
  <c r="V626" i="5" a="1"/>
  <c r="V626" i="5" s="1"/>
  <c r="R627" i="5"/>
  <c r="N628" i="5"/>
  <c r="AA628" i="5"/>
  <c r="W628" i="5"/>
  <c r="AB628" i="5"/>
  <c r="F628" i="5" a="1"/>
  <c r="F628" i="5" s="1"/>
  <c r="X628" i="5"/>
  <c r="Z628" i="5"/>
  <c r="T627" i="5"/>
  <c r="B629" i="5"/>
  <c r="G629" i="5" s="1" a="1"/>
  <c r="E629" i="5" a="1"/>
  <c r="E629" i="5" s="1"/>
  <c r="AA629" i="5" s="1"/>
  <c r="Y628" i="5"/>
  <c r="AC628" i="5" s="1"/>
  <c r="S627" i="5"/>
  <c r="Q627" i="5"/>
  <c r="A630" i="5"/>
  <c r="D628" i="5" a="1"/>
  <c r="I628" i="5" a="1"/>
  <c r="L628" i="5" a="1"/>
  <c r="C628" i="5" a="1"/>
  <c r="A631" i="5" a="1"/>
  <c r="P628" i="5" a="1"/>
  <c r="O628" i="5" a="1"/>
  <c r="M628" i="5" a="1"/>
  <c r="K628" i="5" a="1"/>
  <c r="J628" i="5" a="1"/>
  <c r="G628" i="5" a="1"/>
  <c r="H628" i="5" a="1"/>
  <c r="U627" i="5" l="1" a="1"/>
  <c r="U627" i="5" s="1"/>
  <c r="AB629" i="5"/>
  <c r="Z629" i="5"/>
  <c r="V627" i="5" a="1"/>
  <c r="V627" i="5" s="1"/>
  <c r="Y629" i="5"/>
  <c r="AC629" i="5" s="1"/>
  <c r="M628" i="5"/>
  <c r="I628" i="5"/>
  <c r="G628" i="5"/>
  <c r="K628" i="5"/>
  <c r="C628" i="5"/>
  <c r="O628" i="5"/>
  <c r="P628" i="5"/>
  <c r="G629" i="5"/>
  <c r="L628" i="5"/>
  <c r="J628" i="5"/>
  <c r="D628" i="5"/>
  <c r="H628" i="5"/>
  <c r="F629" i="5" a="1"/>
  <c r="F629" i="5" s="1"/>
  <c r="W629" i="5"/>
  <c r="B630" i="5"/>
  <c r="K630" i="5" s="1" a="1"/>
  <c r="E630" i="5" a="1"/>
  <c r="E630" i="5" s="1"/>
  <c r="AA630" i="5" s="1"/>
  <c r="X629" i="5"/>
  <c r="A631" i="5"/>
  <c r="K629" i="5" a="1"/>
  <c r="L629" i="5" a="1"/>
  <c r="D629" i="5" a="1"/>
  <c r="C629" i="5" a="1"/>
  <c r="N629" i="5" a="1"/>
  <c r="J629" i="5" a="1"/>
  <c r="H629" i="5" a="1"/>
  <c r="O629" i="5" a="1"/>
  <c r="M629" i="5" a="1"/>
  <c r="P629" i="5" a="1"/>
  <c r="I629" i="5" a="1"/>
  <c r="H629" i="5" l="1"/>
  <c r="I629" i="5"/>
  <c r="J629" i="5"/>
  <c r="N629" i="5"/>
  <c r="C629" i="5"/>
  <c r="O629" i="5"/>
  <c r="P629" i="5"/>
  <c r="L629" i="5"/>
  <c r="R628" i="5"/>
  <c r="X630" i="5"/>
  <c r="W630" i="5"/>
  <c r="AB630" i="5"/>
  <c r="Z630" i="5"/>
  <c r="K630" i="5"/>
  <c r="M629" i="5"/>
  <c r="K629" i="5"/>
  <c r="D629" i="5"/>
  <c r="E631" i="5" a="1"/>
  <c r="E631" i="5" s="1"/>
  <c r="Y631" i="5" s="1"/>
  <c r="B631" i="5"/>
  <c r="M631" i="5" s="1" a="1"/>
  <c r="Y630" i="5"/>
  <c r="AC630" i="5" s="1"/>
  <c r="S628" i="5"/>
  <c r="Q628" i="5"/>
  <c r="T628" i="5"/>
  <c r="F630" i="5" a="1"/>
  <c r="F630" i="5" s="1"/>
  <c r="N630" i="5" a="1"/>
  <c r="C630" i="5" a="1"/>
  <c r="G630" i="5" a="1"/>
  <c r="L630" i="5" a="1"/>
  <c r="I630" i="5" a="1"/>
  <c r="A632" i="5" a="1"/>
  <c r="D630" i="5" a="1"/>
  <c r="P630" i="5" a="1"/>
  <c r="H630" i="5" a="1"/>
  <c r="M630" i="5" a="1"/>
  <c r="O630" i="5" a="1"/>
  <c r="J630" i="5" a="1"/>
  <c r="R629" i="5" l="1"/>
  <c r="Q629" i="5"/>
  <c r="U628" i="5" a="1"/>
  <c r="U628" i="5" s="1"/>
  <c r="M631" i="5"/>
  <c r="J630" i="5"/>
  <c r="O630" i="5"/>
  <c r="M630" i="5"/>
  <c r="G630" i="5"/>
  <c r="L630" i="5"/>
  <c r="P630" i="5"/>
  <c r="C630" i="5"/>
  <c r="N630" i="5"/>
  <c r="D630" i="5"/>
  <c r="I630" i="5"/>
  <c r="H630" i="5"/>
  <c r="F631" i="5" a="1"/>
  <c r="F631" i="5" s="1"/>
  <c r="S629" i="5"/>
  <c r="T629" i="5"/>
  <c r="V628" i="5" a="1"/>
  <c r="V628" i="5" s="1"/>
  <c r="AA631" i="5"/>
  <c r="A632" i="5"/>
  <c r="A633" i="5" s="1" a="1"/>
  <c r="W631" i="5"/>
  <c r="AC631" i="5"/>
  <c r="X631" i="5"/>
  <c r="Z631" i="5"/>
  <c r="AB631" i="5"/>
  <c r="L631" i="5" a="1"/>
  <c r="H631" i="5" a="1"/>
  <c r="O631" i="5" a="1"/>
  <c r="C631" i="5" a="1"/>
  <c r="I631" i="5" a="1"/>
  <c r="D631" i="5" a="1"/>
  <c r="K631" i="5" a="1"/>
  <c r="P631" i="5" a="1"/>
  <c r="G631" i="5" a="1"/>
  <c r="J631" i="5" a="1"/>
  <c r="N631" i="5" a="1"/>
  <c r="U629" i="5" l="1" a="1"/>
  <c r="U629" i="5" s="1"/>
  <c r="R630" i="5"/>
  <c r="D631" i="5"/>
  <c r="H631" i="5"/>
  <c r="G631" i="5"/>
  <c r="J631" i="5"/>
  <c r="I631" i="5"/>
  <c r="P631" i="5"/>
  <c r="N631" i="5"/>
  <c r="O631" i="5"/>
  <c r="C631" i="5"/>
  <c r="K631" i="5"/>
  <c r="L631" i="5"/>
  <c r="V629" i="5" a="1"/>
  <c r="V629" i="5" s="1"/>
  <c r="T630" i="5"/>
  <c r="Q630" i="5"/>
  <c r="S630" i="5"/>
  <c r="B632" i="5"/>
  <c r="K632" i="5" s="1" a="1"/>
  <c r="E632" i="5" a="1"/>
  <c r="E632" i="5" s="1"/>
  <c r="AA632" i="5" s="1"/>
  <c r="A633" i="5"/>
  <c r="U630" i="5" l="1" a="1"/>
  <c r="U630" i="5" s="1"/>
  <c r="V630" i="5" a="1"/>
  <c r="V630" i="5" s="1"/>
  <c r="X632" i="5"/>
  <c r="K632" i="5"/>
  <c r="Q631" i="5"/>
  <c r="S631" i="5"/>
  <c r="R631" i="5"/>
  <c r="T631" i="5"/>
  <c r="Z632" i="5"/>
  <c r="W632" i="5"/>
  <c r="Y632" i="5"/>
  <c r="AC632" i="5" s="1"/>
  <c r="AB632" i="5"/>
  <c r="E633" i="5" a="1"/>
  <c r="E633" i="5" s="1"/>
  <c r="Y633" i="5" s="1"/>
  <c r="B633" i="5"/>
  <c r="F632" i="5" a="1"/>
  <c r="F632" i="5" s="1"/>
  <c r="N632" i="5" a="1"/>
  <c r="I632" i="5" a="1"/>
  <c r="O632" i="5" a="1"/>
  <c r="L632" i="5" a="1"/>
  <c r="P632" i="5" a="1"/>
  <c r="A634" i="5" a="1"/>
  <c r="C633" i="5" a="1"/>
  <c r="G632" i="5" a="1"/>
  <c r="H632" i="5" a="1"/>
  <c r="M632" i="5" a="1"/>
  <c r="C632" i="5" a="1"/>
  <c r="J632" i="5" a="1"/>
  <c r="D632" i="5" a="1"/>
  <c r="V631" i="5" l="1" a="1"/>
  <c r="V631" i="5" s="1"/>
  <c r="U631" i="5" a="1"/>
  <c r="U631" i="5" s="1"/>
  <c r="M632" i="5"/>
  <c r="I632" i="5"/>
  <c r="C633" i="5"/>
  <c r="G632" i="5"/>
  <c r="D632" i="5"/>
  <c r="N632" i="5"/>
  <c r="L632" i="5"/>
  <c r="J632" i="5"/>
  <c r="P632" i="5"/>
  <c r="O632" i="5"/>
  <c r="H632" i="5"/>
  <c r="C632" i="5"/>
  <c r="F633" i="5" a="1"/>
  <c r="F633" i="5" s="1"/>
  <c r="A634" i="5"/>
  <c r="W633" i="5"/>
  <c r="AC633" i="5"/>
  <c r="X633" i="5"/>
  <c r="AA633" i="5"/>
  <c r="AB633" i="5"/>
  <c r="Z633" i="5"/>
  <c r="I633" i="5" a="1"/>
  <c r="L633" i="5" a="1"/>
  <c r="D633" i="5" a="1"/>
  <c r="J633" i="5" a="1"/>
  <c r="K633" i="5" a="1"/>
  <c r="H633" i="5" a="1"/>
  <c r="P633" i="5" a="1"/>
  <c r="N633" i="5" a="1"/>
  <c r="G633" i="5" a="1"/>
  <c r="M633" i="5" a="1"/>
  <c r="O633" i="5" a="1"/>
  <c r="A635" i="5" a="1"/>
  <c r="H633" i="5" l="1"/>
  <c r="N633" i="5"/>
  <c r="P633" i="5"/>
  <c r="R632" i="5"/>
  <c r="T632" i="5"/>
  <c r="K633" i="5"/>
  <c r="J633" i="5"/>
  <c r="G633" i="5"/>
  <c r="D633" i="5"/>
  <c r="M633" i="5"/>
  <c r="I633" i="5"/>
  <c r="L633" i="5"/>
  <c r="O633" i="5"/>
  <c r="B634" i="5"/>
  <c r="F634" i="5" s="1" a="1"/>
  <c r="F634" i="5" s="1"/>
  <c r="E634" i="5" a="1"/>
  <c r="E634" i="5" s="1"/>
  <c r="X634" i="5" s="1"/>
  <c r="Q632" i="5"/>
  <c r="S632" i="5"/>
  <c r="A635" i="5"/>
  <c r="R633" i="5" l="1"/>
  <c r="U632" i="5" a="1"/>
  <c r="U632" i="5" s="1"/>
  <c r="T633" i="5"/>
  <c r="V632" i="5" a="1"/>
  <c r="V632" i="5" s="1"/>
  <c r="AB634" i="5"/>
  <c r="Y634" i="5"/>
  <c r="AC634" i="5" s="1"/>
  <c r="AA634" i="5"/>
  <c r="Z634" i="5"/>
  <c r="S633" i="5"/>
  <c r="Q633" i="5"/>
  <c r="W634" i="5"/>
  <c r="B635" i="5"/>
  <c r="H635" i="5" s="1" a="1"/>
  <c r="E635" i="5" a="1"/>
  <c r="E635" i="5" s="1"/>
  <c r="D634" i="5" a="1"/>
  <c r="H634" i="5" a="1"/>
  <c r="J634" i="5" a="1"/>
  <c r="P634" i="5" a="1"/>
  <c r="K634" i="5" a="1"/>
  <c r="A636" i="5" a="1"/>
  <c r="I634" i="5" a="1"/>
  <c r="O634" i="5" a="1"/>
  <c r="C634" i="5" a="1"/>
  <c r="G634" i="5" a="1"/>
  <c r="L634" i="5" a="1"/>
  <c r="N634" i="5" a="1"/>
  <c r="M634" i="5" a="1"/>
  <c r="U633" i="5" l="1" a="1"/>
  <c r="U633" i="5" s="1"/>
  <c r="V633" i="5" a="1"/>
  <c r="V633" i="5" s="1"/>
  <c r="N634" i="5"/>
  <c r="D634" i="5"/>
  <c r="I634" i="5"/>
  <c r="P634" i="5"/>
  <c r="H634" i="5"/>
  <c r="O634" i="5"/>
  <c r="K634" i="5"/>
  <c r="C634" i="5"/>
  <c r="J634" i="5"/>
  <c r="G634" i="5"/>
  <c r="L634" i="5"/>
  <c r="H635" i="5"/>
  <c r="M634" i="5"/>
  <c r="F635" i="5" a="1"/>
  <c r="F635" i="5" s="1"/>
  <c r="W635" i="5"/>
  <c r="A636" i="5"/>
  <c r="X635" i="5"/>
  <c r="Y635" i="5"/>
  <c r="AC635" i="5" s="1"/>
  <c r="Z635" i="5"/>
  <c r="AB635" i="5"/>
  <c r="AA635" i="5"/>
  <c r="M635" i="5" a="1"/>
  <c r="L635" i="5" a="1"/>
  <c r="G635" i="5" a="1"/>
  <c r="N635" i="5" a="1"/>
  <c r="I635" i="5" a="1"/>
  <c r="C635" i="5" a="1"/>
  <c r="K635" i="5" a="1"/>
  <c r="J635" i="5" a="1"/>
  <c r="D635" i="5" a="1"/>
  <c r="O635" i="5" a="1"/>
  <c r="P635" i="5" a="1"/>
  <c r="A637" i="5" a="1"/>
  <c r="R634" i="5" l="1"/>
  <c r="Q634" i="5"/>
  <c r="P635" i="5"/>
  <c r="K635" i="5"/>
  <c r="C635" i="5"/>
  <c r="J635" i="5"/>
  <c r="M635" i="5"/>
  <c r="L635" i="5"/>
  <c r="O635" i="5"/>
  <c r="G635" i="5"/>
  <c r="N635" i="5"/>
  <c r="D635" i="5"/>
  <c r="I635" i="5"/>
  <c r="B636" i="5"/>
  <c r="T634" i="5"/>
  <c r="S634" i="5"/>
  <c r="A637" i="5"/>
  <c r="E636" i="5" a="1"/>
  <c r="J636" i="5" a="1"/>
  <c r="U634" i="5" l="1" a="1"/>
  <c r="U634" i="5" s="1"/>
  <c r="T635" i="5"/>
  <c r="V634" i="5" a="1"/>
  <c r="V634" i="5" s="1"/>
  <c r="J636" i="5"/>
  <c r="E636" i="5"/>
  <c r="AA636" i="5" s="1"/>
  <c r="S635" i="5"/>
  <c r="Q635" i="5"/>
  <c r="B637" i="5"/>
  <c r="R635" i="5"/>
  <c r="H636" i="5" a="1"/>
  <c r="C636" i="5" a="1"/>
  <c r="P636" i="5" a="1"/>
  <c r="D636" i="5" a="1"/>
  <c r="M636" i="5" a="1"/>
  <c r="N636" i="5" a="1"/>
  <c r="K636" i="5" a="1"/>
  <c r="F636" i="5" a="1"/>
  <c r="G636" i="5" a="1"/>
  <c r="O636" i="5" a="1"/>
  <c r="A638" i="5" a="1"/>
  <c r="L636" i="5" a="1"/>
  <c r="I636" i="5" a="1"/>
  <c r="P637" i="5" a="1"/>
  <c r="V635" i="5" l="1" a="1"/>
  <c r="V635" i="5" s="1"/>
  <c r="AB636" i="5"/>
  <c r="E637" i="5" a="1"/>
  <c r="E637" i="5" s="1"/>
  <c r="AA637" i="5" s="1"/>
  <c r="X636" i="5"/>
  <c r="W636" i="5"/>
  <c r="Z636" i="5"/>
  <c r="Y636" i="5"/>
  <c r="AC636" i="5" s="1"/>
  <c r="O636" i="5"/>
  <c r="G636" i="5"/>
  <c r="N636" i="5"/>
  <c r="P636" i="5"/>
  <c r="M636" i="5"/>
  <c r="K636" i="5"/>
  <c r="L636" i="5"/>
  <c r="H636" i="5"/>
  <c r="I636" i="5"/>
  <c r="P637" i="5"/>
  <c r="F636" i="5"/>
  <c r="F637" i="5" s="1" a="1"/>
  <c r="D636" i="5"/>
  <c r="C636" i="5"/>
  <c r="U635" i="5" a="1"/>
  <c r="U635" i="5" s="1"/>
  <c r="A638" i="5"/>
  <c r="M637" i="5" a="1"/>
  <c r="G637" i="5" a="1"/>
  <c r="L637" i="5" a="1"/>
  <c r="N637" i="5" a="1"/>
  <c r="D637" i="5" a="1"/>
  <c r="C637" i="5" a="1"/>
  <c r="J637" i="5" a="1"/>
  <c r="H637" i="5" a="1"/>
  <c r="K637" i="5" a="1"/>
  <c r="I637" i="5" a="1"/>
  <c r="O637" i="5" a="1"/>
  <c r="W637" i="5" l="1"/>
  <c r="X637" i="5"/>
  <c r="Z637" i="5"/>
  <c r="AB637" i="5"/>
  <c r="Y637" i="5"/>
  <c r="AC637" i="5" s="1"/>
  <c r="T636" i="5"/>
  <c r="F637" i="5"/>
  <c r="N637" i="5"/>
  <c r="O637" i="5"/>
  <c r="J637" i="5"/>
  <c r="K637" i="5"/>
  <c r="R636" i="5"/>
  <c r="I637" i="5"/>
  <c r="M637" i="5"/>
  <c r="C637" i="5"/>
  <c r="G637" i="5"/>
  <c r="L637" i="5"/>
  <c r="D637" i="5"/>
  <c r="H637" i="5"/>
  <c r="B638" i="5"/>
  <c r="P638" i="5" s="1" a="1"/>
  <c r="E638" i="5" a="1"/>
  <c r="E638" i="5" s="1"/>
  <c r="AB638" i="5" s="1"/>
  <c r="S636" i="5"/>
  <c r="Q636" i="5"/>
  <c r="A639" i="5" a="1"/>
  <c r="V636" i="5" l="1" a="1"/>
  <c r="V636" i="5" s="1"/>
  <c r="U636" i="5" a="1"/>
  <c r="U636" i="5" s="1"/>
  <c r="P638" i="5"/>
  <c r="F638" i="5" a="1"/>
  <c r="F638" i="5" s="1"/>
  <c r="Q637" i="5"/>
  <c r="R637" i="5"/>
  <c r="S637" i="5"/>
  <c r="T637" i="5"/>
  <c r="A639" i="5"/>
  <c r="X638" i="5"/>
  <c r="AA638" i="5"/>
  <c r="Y638" i="5"/>
  <c r="AC638" i="5" s="1"/>
  <c r="W638" i="5"/>
  <c r="Z638" i="5"/>
  <c r="L638" i="5" a="1"/>
  <c r="C638" i="5" a="1"/>
  <c r="O638" i="5" a="1"/>
  <c r="J638" i="5" a="1"/>
  <c r="M638" i="5" a="1"/>
  <c r="K638" i="5" a="1"/>
  <c r="D638" i="5" a="1"/>
  <c r="N638" i="5" a="1"/>
  <c r="I638" i="5" a="1"/>
  <c r="G638" i="5" a="1"/>
  <c r="H638" i="5" a="1"/>
  <c r="V637" i="5" l="1" a="1"/>
  <c r="V637" i="5" s="1"/>
  <c r="U637" i="5" a="1"/>
  <c r="U637" i="5" s="1"/>
  <c r="N638" i="5"/>
  <c r="M638" i="5"/>
  <c r="T638" i="5" s="1"/>
  <c r="D638" i="5"/>
  <c r="K638" i="5"/>
  <c r="G638" i="5"/>
  <c r="L638" i="5"/>
  <c r="R638" i="5" s="1"/>
  <c r="J638" i="5"/>
  <c r="I638" i="5"/>
  <c r="C638" i="5"/>
  <c r="H638" i="5"/>
  <c r="O638" i="5"/>
  <c r="E639" i="5" a="1"/>
  <c r="E639" i="5" s="1"/>
  <c r="Y639" i="5" s="1"/>
  <c r="B639" i="5"/>
  <c r="A640" i="5" a="1"/>
  <c r="F639" i="5" l="1" a="1"/>
  <c r="F639" i="5" s="1"/>
  <c r="Q638" i="5"/>
  <c r="U638" i="5" s="1" a="1"/>
  <c r="U638" i="5" s="1"/>
  <c r="S638" i="5"/>
  <c r="V638" i="5" s="1" a="1"/>
  <c r="V638" i="5" s="1"/>
  <c r="A640" i="5"/>
  <c r="A641" i="5" s="1" a="1"/>
  <c r="AA639" i="5"/>
  <c r="W639" i="5"/>
  <c r="AC639" i="5"/>
  <c r="X639" i="5"/>
  <c r="Z639" i="5"/>
  <c r="AB639" i="5"/>
  <c r="D639" i="5" a="1"/>
  <c r="P639" i="5" a="1"/>
  <c r="C639" i="5" a="1"/>
  <c r="I639" i="5" a="1"/>
  <c r="M639" i="5" a="1"/>
  <c r="G639" i="5" a="1"/>
  <c r="N639" i="5" a="1"/>
  <c r="J639" i="5" a="1"/>
  <c r="H639" i="5" a="1"/>
  <c r="K639" i="5" a="1"/>
  <c r="L639" i="5" a="1"/>
  <c r="O639" i="5" a="1"/>
  <c r="G639" i="5" l="1"/>
  <c r="I639" i="5"/>
  <c r="C639" i="5"/>
  <c r="D639" i="5"/>
  <c r="O639" i="5"/>
  <c r="J639" i="5"/>
  <c r="K639" i="5"/>
  <c r="M639" i="5"/>
  <c r="P639" i="5"/>
  <c r="L639" i="5"/>
  <c r="H639" i="5"/>
  <c r="N639" i="5"/>
  <c r="B640" i="5"/>
  <c r="F640" i="5" s="1" a="1"/>
  <c r="F640" i="5" s="1"/>
  <c r="E640" i="5" a="1"/>
  <c r="E640" i="5" s="1"/>
  <c r="W640" i="5" s="1"/>
  <c r="A641" i="5"/>
  <c r="T639" i="5" l="1"/>
  <c r="R639" i="5"/>
  <c r="Y640" i="5"/>
  <c r="AC640" i="5" s="1"/>
  <c r="Q639" i="5"/>
  <c r="S639" i="5"/>
  <c r="X640" i="5"/>
  <c r="AA640" i="5"/>
  <c r="Z640" i="5"/>
  <c r="AB640" i="5"/>
  <c r="E641" i="5" a="1"/>
  <c r="E641" i="5" s="1"/>
  <c r="Y641" i="5" s="1"/>
  <c r="B641" i="5"/>
  <c r="F641" i="5" s="1" a="1"/>
  <c r="F641" i="5" s="1"/>
  <c r="L640" i="5" a="1"/>
  <c r="H640" i="5" a="1"/>
  <c r="I640" i="5" a="1"/>
  <c r="J640" i="5" a="1"/>
  <c r="M640" i="5" a="1"/>
  <c r="K640" i="5" a="1"/>
  <c r="C640" i="5" a="1"/>
  <c r="G640" i="5" a="1"/>
  <c r="P640" i="5" a="1"/>
  <c r="D640" i="5" a="1"/>
  <c r="O640" i="5" a="1"/>
  <c r="A642" i="5" a="1"/>
  <c r="N640" i="5" a="1"/>
  <c r="V639" i="5" l="1" a="1"/>
  <c r="V639" i="5" s="1"/>
  <c r="C640" i="5"/>
  <c r="O640" i="5"/>
  <c r="N640" i="5"/>
  <c r="K640" i="5"/>
  <c r="G640" i="5"/>
  <c r="I640" i="5"/>
  <c r="L640" i="5"/>
  <c r="H640" i="5"/>
  <c r="J640" i="5"/>
  <c r="M640" i="5"/>
  <c r="D640" i="5"/>
  <c r="U639" i="5" a="1"/>
  <c r="U639" i="5" s="1"/>
  <c r="P640" i="5"/>
  <c r="AA641" i="5"/>
  <c r="A642" i="5"/>
  <c r="W641" i="5"/>
  <c r="AC641" i="5"/>
  <c r="X641" i="5"/>
  <c r="AB641" i="5"/>
  <c r="Z641" i="5"/>
  <c r="N641" i="5" a="1"/>
  <c r="O641" i="5" a="1"/>
  <c r="I641" i="5" a="1"/>
  <c r="L641" i="5" a="1"/>
  <c r="P641" i="5" a="1"/>
  <c r="J641" i="5" a="1"/>
  <c r="G641" i="5" a="1"/>
  <c r="H641" i="5" a="1"/>
  <c r="M641" i="5" a="1"/>
  <c r="D641" i="5" a="1"/>
  <c r="K641" i="5" a="1"/>
  <c r="C641" i="5" a="1"/>
  <c r="Q640" i="5" l="1"/>
  <c r="J641" i="5"/>
  <c r="D641" i="5"/>
  <c r="N641" i="5"/>
  <c r="L641" i="5"/>
  <c r="H641" i="5"/>
  <c r="I641" i="5"/>
  <c r="G641" i="5"/>
  <c r="S640" i="5"/>
  <c r="P641" i="5"/>
  <c r="M641" i="5"/>
  <c r="K641" i="5"/>
  <c r="C641" i="5"/>
  <c r="O641" i="5"/>
  <c r="T640" i="5"/>
  <c r="R640" i="5"/>
  <c r="B642" i="5"/>
  <c r="E642" i="5" a="1"/>
  <c r="E642" i="5" s="1"/>
  <c r="AB642" i="5" s="1"/>
  <c r="A643" i="5" a="1"/>
  <c r="I642" i="5" a="1"/>
  <c r="T641" i="5" l="1"/>
  <c r="U640" i="5" a="1"/>
  <c r="U640" i="5" s="1"/>
  <c r="V640" i="5" a="1"/>
  <c r="V640" i="5" s="1"/>
  <c r="R641" i="5"/>
  <c r="I642" i="5"/>
  <c r="F642" i="5" a="1"/>
  <c r="F642" i="5" s="1"/>
  <c r="S641" i="5"/>
  <c r="Q641" i="5"/>
  <c r="A643" i="5"/>
  <c r="A644" i="5" s="1" a="1"/>
  <c r="AA642" i="5"/>
  <c r="X642" i="5"/>
  <c r="Y642" i="5"/>
  <c r="AC642" i="5" s="1"/>
  <c r="W642" i="5"/>
  <c r="Z642" i="5"/>
  <c r="M642" i="5" a="1"/>
  <c r="C642" i="5" a="1"/>
  <c r="G642" i="5" a="1"/>
  <c r="K642" i="5" a="1"/>
  <c r="D642" i="5" a="1"/>
  <c r="N642" i="5" a="1"/>
  <c r="J642" i="5" a="1"/>
  <c r="O642" i="5" a="1"/>
  <c r="L642" i="5" a="1"/>
  <c r="H642" i="5" a="1"/>
  <c r="P642" i="5" a="1"/>
  <c r="V641" i="5" l="1" a="1"/>
  <c r="V641" i="5" s="1"/>
  <c r="U641" i="5" a="1"/>
  <c r="U641" i="5" s="1"/>
  <c r="M642" i="5"/>
  <c r="P642" i="5"/>
  <c r="D642" i="5"/>
  <c r="C642" i="5"/>
  <c r="O642" i="5"/>
  <c r="J642" i="5"/>
  <c r="H642" i="5"/>
  <c r="N642" i="5"/>
  <c r="G642" i="5"/>
  <c r="K642" i="5"/>
  <c r="L642" i="5"/>
  <c r="B643" i="5"/>
  <c r="E643" i="5" a="1"/>
  <c r="E643" i="5" s="1"/>
  <c r="A644" i="5"/>
  <c r="A645" i="5" s="1" a="1"/>
  <c r="G643" i="5" a="1"/>
  <c r="R642" i="5" l="1"/>
  <c r="T642" i="5"/>
  <c r="G643" i="5"/>
  <c r="F643" i="5" a="1"/>
  <c r="F643" i="5" s="1"/>
  <c r="AA643" i="5"/>
  <c r="E644" i="5" a="1"/>
  <c r="E644" i="5" s="1"/>
  <c r="W644" i="5" s="1"/>
  <c r="B644" i="5"/>
  <c r="G644" i="5" s="1" a="1"/>
  <c r="W643" i="5"/>
  <c r="Y643" i="5"/>
  <c r="AC643" i="5" s="1"/>
  <c r="Z643" i="5"/>
  <c r="AB643" i="5"/>
  <c r="Q642" i="5"/>
  <c r="S642" i="5"/>
  <c r="X643" i="5"/>
  <c r="A645" i="5"/>
  <c r="C643" i="5" a="1"/>
  <c r="L643" i="5" a="1"/>
  <c r="O643" i="5" a="1"/>
  <c r="D643" i="5" a="1"/>
  <c r="P643" i="5" a="1"/>
  <c r="I643" i="5" a="1"/>
  <c r="J643" i="5" a="1"/>
  <c r="H643" i="5" a="1"/>
  <c r="M643" i="5" a="1"/>
  <c r="K643" i="5" a="1"/>
  <c r="N643" i="5" a="1"/>
  <c r="U642" i="5" l="1" a="1"/>
  <c r="U642" i="5" s="1"/>
  <c r="V642" i="5" a="1"/>
  <c r="V642" i="5" s="1"/>
  <c r="Z644" i="5"/>
  <c r="AB644" i="5"/>
  <c r="X644" i="5"/>
  <c r="Y644" i="5"/>
  <c r="AC644" i="5" s="1"/>
  <c r="AA644" i="5"/>
  <c r="I643" i="5"/>
  <c r="H643" i="5"/>
  <c r="N643" i="5"/>
  <c r="L643" i="5"/>
  <c r="G644" i="5"/>
  <c r="O643" i="5"/>
  <c r="P643" i="5"/>
  <c r="K643" i="5"/>
  <c r="C643" i="5"/>
  <c r="M643" i="5"/>
  <c r="D643" i="5"/>
  <c r="J643" i="5"/>
  <c r="F644" i="5" a="1"/>
  <c r="F644" i="5" s="1"/>
  <c r="B645" i="5"/>
  <c r="G645" i="5" s="1" a="1"/>
  <c r="E645" i="5" a="1"/>
  <c r="E645" i="5" s="1"/>
  <c r="Y645" i="5" s="1"/>
  <c r="J644" i="5" a="1"/>
  <c r="L644" i="5" a="1"/>
  <c r="O644" i="5" a="1"/>
  <c r="P644" i="5" a="1"/>
  <c r="N644" i="5" a="1"/>
  <c r="M644" i="5" a="1"/>
  <c r="I644" i="5" a="1"/>
  <c r="D644" i="5" a="1"/>
  <c r="C644" i="5" a="1"/>
  <c r="A646" i="5" a="1"/>
  <c r="K644" i="5" a="1"/>
  <c r="H644" i="5" a="1"/>
  <c r="J644" i="5" l="1"/>
  <c r="L644" i="5"/>
  <c r="N644" i="5"/>
  <c r="T643" i="5"/>
  <c r="G645" i="5"/>
  <c r="O644" i="5"/>
  <c r="M644" i="5"/>
  <c r="K644" i="5"/>
  <c r="H644" i="5"/>
  <c r="I644" i="5"/>
  <c r="C644" i="5"/>
  <c r="D644" i="5"/>
  <c r="P644" i="5"/>
  <c r="F645" i="5" a="1"/>
  <c r="F645" i="5" s="1"/>
  <c r="S643" i="5"/>
  <c r="Q643" i="5"/>
  <c r="R643" i="5"/>
  <c r="A646" i="5"/>
  <c r="A647" i="5" s="1" a="1"/>
  <c r="AA645" i="5"/>
  <c r="W645" i="5"/>
  <c r="AC645" i="5"/>
  <c r="X645" i="5"/>
  <c r="Z645" i="5"/>
  <c r="AB645" i="5"/>
  <c r="H645" i="5" a="1"/>
  <c r="C645" i="5" a="1"/>
  <c r="D645" i="5" a="1"/>
  <c r="M645" i="5" a="1"/>
  <c r="I645" i="5" a="1"/>
  <c r="K645" i="5" a="1"/>
  <c r="P645" i="5" a="1"/>
  <c r="N645" i="5" a="1"/>
  <c r="O645" i="5" a="1"/>
  <c r="J645" i="5" a="1"/>
  <c r="L645" i="5" a="1"/>
  <c r="T644" i="5" l="1"/>
  <c r="V643" i="5" a="1"/>
  <c r="V643" i="5" s="1"/>
  <c r="R644" i="5"/>
  <c r="D645" i="5"/>
  <c r="P645" i="5"/>
  <c r="O645" i="5"/>
  <c r="M645" i="5"/>
  <c r="I645" i="5"/>
  <c r="H645" i="5"/>
  <c r="J645" i="5"/>
  <c r="K645" i="5"/>
  <c r="N645" i="5"/>
  <c r="L645" i="5"/>
  <c r="C645" i="5"/>
  <c r="B646" i="5"/>
  <c r="E646" i="5" a="1"/>
  <c r="E646" i="5" s="1"/>
  <c r="U643" i="5" a="1"/>
  <c r="U643" i="5" s="1"/>
  <c r="Q644" i="5"/>
  <c r="S644" i="5"/>
  <c r="A647" i="5"/>
  <c r="A648" i="5" a="1"/>
  <c r="V644" i="5" l="1" a="1"/>
  <c r="V644" i="5" s="1"/>
  <c r="T645" i="5"/>
  <c r="U644" i="5" a="1"/>
  <c r="U644" i="5" s="1"/>
  <c r="AB646" i="5"/>
  <c r="W646" i="5"/>
  <c r="B647" i="5"/>
  <c r="G647" i="5" s="1" a="1"/>
  <c r="S645" i="5"/>
  <c r="Q645" i="5"/>
  <c r="X646" i="5"/>
  <c r="Z646" i="5"/>
  <c r="R645" i="5"/>
  <c r="F646" i="5" a="1"/>
  <c r="F646" i="5" s="1"/>
  <c r="Y646" i="5"/>
  <c r="AC646" i="5" s="1"/>
  <c r="AA646" i="5"/>
  <c r="A648" i="5"/>
  <c r="O646" i="5" a="1"/>
  <c r="D646" i="5" a="1"/>
  <c r="J646" i="5" a="1"/>
  <c r="K646" i="5" a="1"/>
  <c r="C646" i="5" a="1"/>
  <c r="G646" i="5" a="1"/>
  <c r="L646" i="5" a="1"/>
  <c r="N647" i="5" a="1"/>
  <c r="I646" i="5" a="1"/>
  <c r="M646" i="5" a="1"/>
  <c r="H646" i="5" a="1"/>
  <c r="E647" i="5" a="1"/>
  <c r="P646" i="5" a="1"/>
  <c r="N646" i="5" a="1"/>
  <c r="V645" i="5" l="1" a="1"/>
  <c r="V645" i="5" s="1"/>
  <c r="L646" i="5"/>
  <c r="G647" i="5"/>
  <c r="N647" i="5"/>
  <c r="E647" i="5"/>
  <c r="AB647" i="5" s="1"/>
  <c r="P646" i="5"/>
  <c r="H646" i="5"/>
  <c r="K646" i="5"/>
  <c r="O646" i="5"/>
  <c r="G646" i="5"/>
  <c r="C646" i="5"/>
  <c r="D646" i="5"/>
  <c r="M646" i="5"/>
  <c r="J646" i="5"/>
  <c r="N646" i="5"/>
  <c r="I646" i="5"/>
  <c r="B648" i="5"/>
  <c r="U645" i="5" a="1"/>
  <c r="U645" i="5" s="1"/>
  <c r="L647" i="5" a="1"/>
  <c r="D647" i="5" a="1"/>
  <c r="M647" i="5" a="1"/>
  <c r="P647" i="5" a="1"/>
  <c r="A649" i="5" a="1"/>
  <c r="J647" i="5" a="1"/>
  <c r="I647" i="5" a="1"/>
  <c r="F647" i="5" a="1"/>
  <c r="K647" i="5" a="1"/>
  <c r="H647" i="5" a="1"/>
  <c r="O647" i="5" a="1"/>
  <c r="C647" i="5" a="1"/>
  <c r="K647" i="5" l="1"/>
  <c r="F647" i="5"/>
  <c r="F648" i="5" s="1" a="1"/>
  <c r="F648" i="5" s="1"/>
  <c r="AA647" i="5"/>
  <c r="Z647" i="5"/>
  <c r="R646" i="5"/>
  <c r="Y647" i="5"/>
  <c r="AC647" i="5" s="1"/>
  <c r="T646" i="5"/>
  <c r="E648" i="5" a="1"/>
  <c r="E648" i="5" s="1"/>
  <c r="W648" i="5" s="1"/>
  <c r="W647" i="5"/>
  <c r="X647" i="5"/>
  <c r="H647" i="5"/>
  <c r="M647" i="5"/>
  <c r="I647" i="5"/>
  <c r="O647" i="5"/>
  <c r="J647" i="5"/>
  <c r="P647" i="5"/>
  <c r="L647" i="5"/>
  <c r="C647" i="5"/>
  <c r="D647" i="5"/>
  <c r="S646" i="5"/>
  <c r="Q646" i="5"/>
  <c r="A649" i="5"/>
  <c r="J648" i="5" a="1"/>
  <c r="H648" i="5" a="1"/>
  <c r="C648" i="5" a="1"/>
  <c r="P648" i="5" a="1"/>
  <c r="L648" i="5" a="1"/>
  <c r="G648" i="5" a="1"/>
  <c r="O648" i="5" a="1"/>
  <c r="M648" i="5" a="1"/>
  <c r="I648" i="5" a="1"/>
  <c r="K648" i="5" a="1"/>
  <c r="D648" i="5" a="1"/>
  <c r="N648" i="5" a="1"/>
  <c r="U646" i="5" l="1" a="1"/>
  <c r="U646" i="5" s="1"/>
  <c r="C648" i="5"/>
  <c r="O648" i="5"/>
  <c r="K648" i="5"/>
  <c r="J648" i="5"/>
  <c r="P648" i="5"/>
  <c r="L648" i="5"/>
  <c r="G648" i="5"/>
  <c r="V646" i="5" a="1"/>
  <c r="V646" i="5" s="1"/>
  <c r="Y648" i="5"/>
  <c r="AC648" i="5" s="1"/>
  <c r="M648" i="5"/>
  <c r="S647" i="5"/>
  <c r="AA648" i="5"/>
  <c r="X648" i="5"/>
  <c r="AB648" i="5"/>
  <c r="Z648" i="5"/>
  <c r="I648" i="5"/>
  <c r="D648" i="5"/>
  <c r="Q647" i="5"/>
  <c r="R647" i="5"/>
  <c r="H648" i="5"/>
  <c r="N648" i="5"/>
  <c r="T647" i="5"/>
  <c r="E649" i="5" a="1"/>
  <c r="E649" i="5" s="1"/>
  <c r="B649" i="5"/>
  <c r="G649" i="5" s="1" a="1"/>
  <c r="A650" i="5" a="1"/>
  <c r="S648" i="5" l="1"/>
  <c r="R648" i="5"/>
  <c r="Q648" i="5"/>
  <c r="V647" i="5" a="1"/>
  <c r="V647" i="5" s="1"/>
  <c r="T648" i="5"/>
  <c r="U647" i="5" a="1"/>
  <c r="U647" i="5" s="1"/>
  <c r="G649" i="5"/>
  <c r="F649" i="5" a="1"/>
  <c r="F649" i="5" s="1"/>
  <c r="Y649" i="5"/>
  <c r="AC649" i="5" s="1"/>
  <c r="AA649" i="5"/>
  <c r="A650" i="5"/>
  <c r="A651" i="5" s="1" a="1"/>
  <c r="W649" i="5"/>
  <c r="X649" i="5"/>
  <c r="Z649" i="5"/>
  <c r="AB649" i="5"/>
  <c r="I649" i="5" a="1"/>
  <c r="M649" i="5" a="1"/>
  <c r="C649" i="5" a="1"/>
  <c r="K649" i="5" a="1"/>
  <c r="N649" i="5" a="1"/>
  <c r="O649" i="5" a="1"/>
  <c r="H649" i="5" a="1"/>
  <c r="L649" i="5" a="1"/>
  <c r="J649" i="5" a="1"/>
  <c r="D649" i="5" a="1"/>
  <c r="P649" i="5" a="1"/>
  <c r="V648" i="5" l="1" a="1"/>
  <c r="V648" i="5" s="1"/>
  <c r="U648" i="5" a="1"/>
  <c r="U648" i="5" s="1"/>
  <c r="C649" i="5"/>
  <c r="J649" i="5"/>
  <c r="H649" i="5"/>
  <c r="N649" i="5"/>
  <c r="K649" i="5"/>
  <c r="M649" i="5"/>
  <c r="D649" i="5"/>
  <c r="I649" i="5"/>
  <c r="O649" i="5"/>
  <c r="P649" i="5"/>
  <c r="L649" i="5"/>
  <c r="B650" i="5"/>
  <c r="F650" i="5" s="1" a="1"/>
  <c r="F650" i="5" s="1"/>
  <c r="E650" i="5" a="1"/>
  <c r="E650" i="5" s="1"/>
  <c r="A651" i="5"/>
  <c r="A652" i="5" a="1"/>
  <c r="T649" i="5" l="1"/>
  <c r="Y650" i="5"/>
  <c r="AC650" i="5" s="1"/>
  <c r="AA650" i="5"/>
  <c r="X650" i="5"/>
  <c r="AB650" i="5"/>
  <c r="W650" i="5"/>
  <c r="R649" i="5"/>
  <c r="Z650" i="5"/>
  <c r="B651" i="5"/>
  <c r="K651" i="5" s="1" a="1"/>
  <c r="E651" i="5" a="1"/>
  <c r="E651" i="5" s="1"/>
  <c r="W651" i="5" s="1"/>
  <c r="S649" i="5"/>
  <c r="Q649" i="5"/>
  <c r="A652" i="5"/>
  <c r="P650" i="5" a="1"/>
  <c r="K650" i="5" a="1"/>
  <c r="M650" i="5" a="1"/>
  <c r="J650" i="5" a="1"/>
  <c r="D650" i="5" a="1"/>
  <c r="G650" i="5" a="1"/>
  <c r="I650" i="5" a="1"/>
  <c r="H650" i="5" a="1"/>
  <c r="N650" i="5" a="1"/>
  <c r="C650" i="5" a="1"/>
  <c r="L650" i="5" a="1"/>
  <c r="O650" i="5" a="1"/>
  <c r="A653" i="5" a="1"/>
  <c r="V649" i="5" l="1" a="1"/>
  <c r="V649" i="5" s="1"/>
  <c r="K650" i="5"/>
  <c r="U649" i="5" a="1"/>
  <c r="U649" i="5" s="1"/>
  <c r="Y651" i="5"/>
  <c r="AC651" i="5" s="1"/>
  <c r="K651" i="5"/>
  <c r="M650" i="5"/>
  <c r="H650" i="5"/>
  <c r="N650" i="5"/>
  <c r="L650" i="5"/>
  <c r="D650" i="5"/>
  <c r="P650" i="5"/>
  <c r="J650" i="5"/>
  <c r="G650" i="5"/>
  <c r="C650" i="5"/>
  <c r="I650" i="5"/>
  <c r="O650" i="5"/>
  <c r="AB651" i="5"/>
  <c r="Z651" i="5"/>
  <c r="X651" i="5"/>
  <c r="AA651" i="5"/>
  <c r="E652" i="5" a="1"/>
  <c r="E652" i="5" s="1"/>
  <c r="W652" i="5" s="1"/>
  <c r="B652" i="5"/>
  <c r="L652" i="5" s="1" a="1"/>
  <c r="F651" i="5" a="1"/>
  <c r="F651" i="5" s="1"/>
  <c r="A653" i="5"/>
  <c r="N651" i="5" a="1"/>
  <c r="I651" i="5" a="1"/>
  <c r="J651" i="5" a="1"/>
  <c r="D651" i="5" a="1"/>
  <c r="C651" i="5" a="1"/>
  <c r="M651" i="5" a="1"/>
  <c r="O651" i="5" a="1"/>
  <c r="P651" i="5" a="1"/>
  <c r="G651" i="5" a="1"/>
  <c r="L651" i="5" a="1"/>
  <c r="H651" i="5" a="1"/>
  <c r="R650" i="5" l="1"/>
  <c r="L652" i="5"/>
  <c r="D651" i="5"/>
  <c r="G651" i="5"/>
  <c r="N651" i="5"/>
  <c r="O651" i="5"/>
  <c r="C651" i="5"/>
  <c r="J651" i="5"/>
  <c r="M651" i="5"/>
  <c r="I651" i="5"/>
  <c r="L651" i="5"/>
  <c r="P651" i="5"/>
  <c r="H651" i="5"/>
  <c r="B653" i="5"/>
  <c r="E653" i="5" a="1"/>
  <c r="E653" i="5" s="1"/>
  <c r="Y653" i="5" s="1"/>
  <c r="Y652" i="5"/>
  <c r="AC652" i="5" s="1"/>
  <c r="S650" i="5"/>
  <c r="Q650" i="5"/>
  <c r="X652" i="5"/>
  <c r="AB652" i="5"/>
  <c r="Z652" i="5"/>
  <c r="T650" i="5"/>
  <c r="F652" i="5" a="1"/>
  <c r="F652" i="5" s="1"/>
  <c r="AA652" i="5"/>
  <c r="M652" i="5" a="1"/>
  <c r="J653" i="5" a="1"/>
  <c r="G652" i="5" a="1"/>
  <c r="C652" i="5" a="1"/>
  <c r="O652" i="5" a="1"/>
  <c r="N652" i="5" a="1"/>
  <c r="P652" i="5" a="1"/>
  <c r="H652" i="5" a="1"/>
  <c r="I652" i="5" a="1"/>
  <c r="J652" i="5" a="1"/>
  <c r="K652" i="5" a="1"/>
  <c r="D652" i="5" a="1"/>
  <c r="A654" i="5" a="1"/>
  <c r="R651" i="5" l="1"/>
  <c r="U650" i="5" a="1"/>
  <c r="U650" i="5" s="1"/>
  <c r="T651" i="5"/>
  <c r="F653" i="5" a="1"/>
  <c r="F653" i="5" s="1"/>
  <c r="J653" i="5"/>
  <c r="D652" i="5"/>
  <c r="H652" i="5"/>
  <c r="K652" i="5"/>
  <c r="C652" i="5"/>
  <c r="N652" i="5"/>
  <c r="P652" i="5"/>
  <c r="R652" i="5" s="1"/>
  <c r="J652" i="5"/>
  <c r="O652" i="5"/>
  <c r="M652" i="5"/>
  <c r="I652" i="5"/>
  <c r="G652" i="5"/>
  <c r="S651" i="5"/>
  <c r="Q651" i="5"/>
  <c r="V650" i="5" a="1"/>
  <c r="V650" i="5" s="1"/>
  <c r="AA653" i="5"/>
  <c r="A654" i="5"/>
  <c r="W653" i="5"/>
  <c r="AC653" i="5"/>
  <c r="X653" i="5"/>
  <c r="Z653" i="5"/>
  <c r="AB653" i="5"/>
  <c r="M653" i="5" a="1"/>
  <c r="P653" i="5" a="1"/>
  <c r="L653" i="5" a="1"/>
  <c r="O653" i="5" a="1"/>
  <c r="C653" i="5" a="1"/>
  <c r="D653" i="5" a="1"/>
  <c r="G653" i="5" a="1"/>
  <c r="N653" i="5" a="1"/>
  <c r="H653" i="5" a="1"/>
  <c r="K653" i="5" a="1"/>
  <c r="I653" i="5" a="1"/>
  <c r="U651" i="5" l="1" a="1"/>
  <c r="U651" i="5" s="1"/>
  <c r="L653" i="5"/>
  <c r="I653" i="5"/>
  <c r="P653" i="5"/>
  <c r="G653" i="5"/>
  <c r="O653" i="5"/>
  <c r="V651" i="5" a="1"/>
  <c r="V651" i="5" s="1"/>
  <c r="T652" i="5"/>
  <c r="K653" i="5"/>
  <c r="H653" i="5"/>
  <c r="C653" i="5"/>
  <c r="N653" i="5"/>
  <c r="M653" i="5"/>
  <c r="D653" i="5"/>
  <c r="S652" i="5"/>
  <c r="Q652" i="5"/>
  <c r="U652" i="5" s="1" a="1"/>
  <c r="U652" i="5" s="1"/>
  <c r="B654" i="5"/>
  <c r="K654" i="5" s="1" a="1"/>
  <c r="E654" i="5" a="1"/>
  <c r="E654" i="5" s="1"/>
  <c r="AB654" i="5" s="1"/>
  <c r="A655" i="5" a="1"/>
  <c r="V652" i="5" l="1" a="1"/>
  <c r="V652" i="5" s="1"/>
  <c r="Q653" i="5"/>
  <c r="R653" i="5"/>
  <c r="K654" i="5"/>
  <c r="T653" i="5"/>
  <c r="S653" i="5"/>
  <c r="F654" i="5" a="1"/>
  <c r="F654" i="5" s="1"/>
  <c r="A655" i="5"/>
  <c r="AA654" i="5"/>
  <c r="X654" i="5"/>
  <c r="Y654" i="5"/>
  <c r="AC654" i="5" s="1"/>
  <c r="W654" i="5"/>
  <c r="Z654" i="5"/>
  <c r="D654" i="5" a="1"/>
  <c r="G654" i="5" a="1"/>
  <c r="I654" i="5" a="1"/>
  <c r="L654" i="5" a="1"/>
  <c r="C654" i="5" a="1"/>
  <c r="P654" i="5" a="1"/>
  <c r="J654" i="5" a="1"/>
  <c r="O654" i="5" a="1"/>
  <c r="N654" i="5" a="1"/>
  <c r="M654" i="5" a="1"/>
  <c r="H654" i="5" a="1"/>
  <c r="U653" i="5" l="1" a="1"/>
  <c r="U653" i="5" s="1"/>
  <c r="V653" i="5" a="1"/>
  <c r="V653" i="5" s="1"/>
  <c r="J654" i="5"/>
  <c r="P654" i="5"/>
  <c r="O654" i="5"/>
  <c r="N654" i="5"/>
  <c r="H654" i="5"/>
  <c r="C654" i="5"/>
  <c r="G654" i="5"/>
  <c r="I654" i="5"/>
  <c r="M654" i="5"/>
  <c r="D654" i="5"/>
  <c r="L654" i="5"/>
  <c r="E655" i="5" a="1"/>
  <c r="E655" i="5" s="1"/>
  <c r="Y655" i="5" s="1"/>
  <c r="B655" i="5"/>
  <c r="I655" i="5" s="1" a="1"/>
  <c r="A656" i="5" a="1"/>
  <c r="R654" i="5" l="1"/>
  <c r="T654" i="5"/>
  <c r="I655" i="5"/>
  <c r="F655" i="5" a="1"/>
  <c r="F655" i="5" s="1"/>
  <c r="Q654" i="5"/>
  <c r="S654" i="5"/>
  <c r="A656" i="5"/>
  <c r="A657" i="5" s="1" a="1"/>
  <c r="AA655" i="5"/>
  <c r="W655" i="5"/>
  <c r="AC655" i="5"/>
  <c r="X655" i="5"/>
  <c r="Z655" i="5"/>
  <c r="AB655" i="5"/>
  <c r="G655" i="5" a="1"/>
  <c r="N655" i="5" a="1"/>
  <c r="K655" i="5" a="1"/>
  <c r="D655" i="5" a="1"/>
  <c r="O655" i="5" a="1"/>
  <c r="L655" i="5" a="1"/>
  <c r="J655" i="5" a="1"/>
  <c r="C655" i="5" a="1"/>
  <c r="H655" i="5" a="1"/>
  <c r="M655" i="5" a="1"/>
  <c r="P655" i="5" a="1"/>
  <c r="U654" i="5" l="1" a="1"/>
  <c r="U654" i="5" s="1"/>
  <c r="V654" i="5" a="1"/>
  <c r="V654" i="5" s="1"/>
  <c r="P655" i="5"/>
  <c r="L655" i="5"/>
  <c r="D655" i="5"/>
  <c r="N655" i="5"/>
  <c r="O655" i="5"/>
  <c r="H655" i="5"/>
  <c r="M655" i="5"/>
  <c r="G655" i="5"/>
  <c r="K655" i="5"/>
  <c r="C655" i="5"/>
  <c r="J655" i="5"/>
  <c r="B656" i="5"/>
  <c r="F656" i="5" s="1" a="1"/>
  <c r="F656" i="5" s="1"/>
  <c r="E656" i="5" a="1"/>
  <c r="E656" i="5" s="1"/>
  <c r="X656" i="5" s="1"/>
  <c r="A657" i="5"/>
  <c r="R655" i="5" l="1"/>
  <c r="T655" i="5"/>
  <c r="Y656" i="5"/>
  <c r="AC656" i="5" s="1"/>
  <c r="W656" i="5"/>
  <c r="AA656" i="5"/>
  <c r="Q655" i="5"/>
  <c r="S655" i="5"/>
  <c r="AB656" i="5"/>
  <c r="Z656" i="5"/>
  <c r="E657" i="5" a="1"/>
  <c r="E657" i="5" s="1"/>
  <c r="B657" i="5"/>
  <c r="D657" i="5" s="1" a="1"/>
  <c r="P656" i="5" a="1"/>
  <c r="J656" i="5" a="1"/>
  <c r="O656" i="5" a="1"/>
  <c r="D656" i="5" a="1"/>
  <c r="K656" i="5" a="1"/>
  <c r="C656" i="5" a="1"/>
  <c r="L656" i="5" a="1"/>
  <c r="A658" i="5" a="1"/>
  <c r="M656" i="5" a="1"/>
  <c r="N656" i="5" a="1"/>
  <c r="I656" i="5" a="1"/>
  <c r="H656" i="5" a="1"/>
  <c r="G656" i="5" a="1"/>
  <c r="V655" i="5" l="1" a="1"/>
  <c r="V655" i="5" s="1"/>
  <c r="U655" i="5" a="1"/>
  <c r="U655" i="5" s="1"/>
  <c r="I656" i="5"/>
  <c r="N656" i="5"/>
  <c r="P656" i="5"/>
  <c r="J656" i="5"/>
  <c r="C656" i="5"/>
  <c r="O656" i="5"/>
  <c r="D656" i="5"/>
  <c r="H656" i="5"/>
  <c r="G656" i="5"/>
  <c r="L656" i="5"/>
  <c r="M656" i="5"/>
  <c r="K656" i="5"/>
  <c r="D657" i="5"/>
  <c r="Y657" i="5"/>
  <c r="AC657" i="5" s="1"/>
  <c r="A658" i="5"/>
  <c r="A659" i="5" s="1" a="1"/>
  <c r="W657" i="5"/>
  <c r="X657" i="5"/>
  <c r="AA657" i="5"/>
  <c r="Z657" i="5"/>
  <c r="AB657" i="5"/>
  <c r="K657" i="5" a="1"/>
  <c r="F657" i="5" a="1"/>
  <c r="O657" i="5" a="1"/>
  <c r="H657" i="5" a="1"/>
  <c r="P657" i="5" a="1"/>
  <c r="I657" i="5" a="1"/>
  <c r="L657" i="5" a="1"/>
  <c r="G657" i="5" a="1"/>
  <c r="M657" i="5" a="1"/>
  <c r="N657" i="5" a="1"/>
  <c r="C657" i="5" a="1"/>
  <c r="J657" i="5" a="1"/>
  <c r="R656" i="5" l="1"/>
  <c r="Q656" i="5"/>
  <c r="G657" i="5"/>
  <c r="S656" i="5"/>
  <c r="T656" i="5"/>
  <c r="P657" i="5"/>
  <c r="J657" i="5"/>
  <c r="C657" i="5"/>
  <c r="L657" i="5"/>
  <c r="I657" i="5"/>
  <c r="H657" i="5"/>
  <c r="M657" i="5"/>
  <c r="N657" i="5"/>
  <c r="F657" i="5"/>
  <c r="O657" i="5"/>
  <c r="K657" i="5"/>
  <c r="B658" i="5"/>
  <c r="E658" i="5" a="1"/>
  <c r="E658" i="5" s="1"/>
  <c r="A659" i="5"/>
  <c r="U656" i="5" l="1" a="1"/>
  <c r="U656" i="5" s="1"/>
  <c r="F658" i="5" a="1"/>
  <c r="F658" i="5" s="1"/>
  <c r="T657" i="5"/>
  <c r="V656" i="5" a="1"/>
  <c r="V656" i="5" s="1"/>
  <c r="AA658" i="5"/>
  <c r="X658" i="5"/>
  <c r="AB658" i="5"/>
  <c r="Z658" i="5"/>
  <c r="W658" i="5"/>
  <c r="Q657" i="5"/>
  <c r="S657" i="5"/>
  <c r="Y658" i="5"/>
  <c r="AC658" i="5" s="1"/>
  <c r="B659" i="5"/>
  <c r="O659" i="5" s="1" a="1"/>
  <c r="E659" i="5" a="1"/>
  <c r="E659" i="5" s="1"/>
  <c r="Y659" i="5" s="1"/>
  <c r="R657" i="5"/>
  <c r="H658" i="5" a="1"/>
  <c r="M658" i="5" a="1"/>
  <c r="O658" i="5" a="1"/>
  <c r="D658" i="5" a="1"/>
  <c r="J658" i="5" a="1"/>
  <c r="P658" i="5" a="1"/>
  <c r="G658" i="5" a="1"/>
  <c r="L658" i="5" a="1"/>
  <c r="C658" i="5" a="1"/>
  <c r="A660" i="5" a="1"/>
  <c r="K658" i="5" a="1"/>
  <c r="I658" i="5" a="1"/>
  <c r="N658" i="5" a="1"/>
  <c r="V657" i="5" l="1" a="1"/>
  <c r="V657" i="5" s="1"/>
  <c r="O659" i="5"/>
  <c r="L658" i="5"/>
  <c r="H658" i="5"/>
  <c r="N658" i="5"/>
  <c r="I658" i="5"/>
  <c r="P658" i="5"/>
  <c r="K658" i="5"/>
  <c r="C658" i="5"/>
  <c r="J658" i="5"/>
  <c r="D658" i="5"/>
  <c r="O658" i="5"/>
  <c r="G658" i="5"/>
  <c r="M658" i="5"/>
  <c r="U657" i="5" a="1"/>
  <c r="U657" i="5" s="1"/>
  <c r="F659" i="5" a="1"/>
  <c r="F659" i="5" s="1"/>
  <c r="AA659" i="5"/>
  <c r="A660" i="5"/>
  <c r="W659" i="5"/>
  <c r="AC659" i="5"/>
  <c r="X659" i="5"/>
  <c r="Z659" i="5"/>
  <c r="AB659" i="5"/>
  <c r="H659" i="5" a="1"/>
  <c r="K659" i="5" a="1"/>
  <c r="M659" i="5" a="1"/>
  <c r="G659" i="5" a="1"/>
  <c r="P659" i="5" a="1"/>
  <c r="I659" i="5" a="1"/>
  <c r="N659" i="5" a="1"/>
  <c r="L659" i="5" a="1"/>
  <c r="C659" i="5" a="1"/>
  <c r="J659" i="5" a="1"/>
  <c r="D659" i="5" a="1"/>
  <c r="R658" i="5" l="1"/>
  <c r="T658" i="5"/>
  <c r="J659" i="5"/>
  <c r="C659" i="5"/>
  <c r="I659" i="5"/>
  <c r="N659" i="5"/>
  <c r="K659" i="5"/>
  <c r="H659" i="5"/>
  <c r="L659" i="5"/>
  <c r="Q659" i="5" s="1"/>
  <c r="D659" i="5"/>
  <c r="G659" i="5"/>
  <c r="P659" i="5"/>
  <c r="M659" i="5"/>
  <c r="S658" i="5"/>
  <c r="Q658" i="5"/>
  <c r="E660" i="5" a="1"/>
  <c r="E660" i="5" s="1"/>
  <c r="B660" i="5"/>
  <c r="F660" i="5" s="1" a="1"/>
  <c r="F660" i="5" s="1"/>
  <c r="A661" i="5" a="1"/>
  <c r="U658" i="5" l="1" a="1"/>
  <c r="U658" i="5" s="1"/>
  <c r="V658" i="5" a="1"/>
  <c r="V658" i="5" s="1"/>
  <c r="AB660" i="5"/>
  <c r="S659" i="5"/>
  <c r="T659" i="5"/>
  <c r="R659" i="5"/>
  <c r="U659" i="5" s="1" a="1"/>
  <c r="U659" i="5" s="1"/>
  <c r="A661" i="5"/>
  <c r="AA660" i="5"/>
  <c r="X660" i="5"/>
  <c r="Y660" i="5"/>
  <c r="AC660" i="5" s="1"/>
  <c r="W660" i="5"/>
  <c r="Z660" i="5"/>
  <c r="G660" i="5" a="1"/>
  <c r="C660" i="5" a="1"/>
  <c r="D660" i="5" a="1"/>
  <c r="M660" i="5" a="1"/>
  <c r="I660" i="5" a="1"/>
  <c r="N660" i="5" a="1"/>
  <c r="J660" i="5" a="1"/>
  <c r="H660" i="5" a="1"/>
  <c r="O660" i="5" a="1"/>
  <c r="L660" i="5" a="1"/>
  <c r="K660" i="5" a="1"/>
  <c r="P660" i="5" a="1"/>
  <c r="C660" i="5" l="1"/>
  <c r="I660" i="5"/>
  <c r="P660" i="5"/>
  <c r="J660" i="5"/>
  <c r="L660" i="5"/>
  <c r="O660" i="5"/>
  <c r="G660" i="5"/>
  <c r="M660" i="5"/>
  <c r="H660" i="5"/>
  <c r="D660" i="5"/>
  <c r="K660" i="5"/>
  <c r="V659" i="5" a="1"/>
  <c r="V659" i="5" s="1"/>
  <c r="N660" i="5"/>
  <c r="B661" i="5"/>
  <c r="E661" i="5" a="1"/>
  <c r="E661" i="5" s="1"/>
  <c r="A662" i="5" a="1"/>
  <c r="Q660" i="5" l="1"/>
  <c r="T660" i="5"/>
  <c r="R660" i="5"/>
  <c r="S660" i="5"/>
  <c r="F661" i="5" a="1"/>
  <c r="F661" i="5" s="1"/>
  <c r="Y661" i="5"/>
  <c r="AC661" i="5" s="1"/>
  <c r="A662" i="5"/>
  <c r="A663" i="5" s="1" a="1"/>
  <c r="AA661" i="5"/>
  <c r="W661" i="5"/>
  <c r="X661" i="5"/>
  <c r="Z661" i="5"/>
  <c r="AB661" i="5"/>
  <c r="I661" i="5" a="1"/>
  <c r="P661" i="5" a="1"/>
  <c r="G661" i="5" a="1"/>
  <c r="H661" i="5" a="1"/>
  <c r="M661" i="5" a="1"/>
  <c r="D661" i="5" a="1"/>
  <c r="N661" i="5" a="1"/>
  <c r="K661" i="5" a="1"/>
  <c r="L661" i="5" a="1"/>
  <c r="J661" i="5" a="1"/>
  <c r="C661" i="5" a="1"/>
  <c r="O661" i="5" a="1"/>
  <c r="U660" i="5" l="1" a="1"/>
  <c r="U660" i="5" s="1"/>
  <c r="V660" i="5" a="1"/>
  <c r="V660" i="5" s="1"/>
  <c r="H661" i="5"/>
  <c r="C661" i="5"/>
  <c r="J661" i="5"/>
  <c r="G661" i="5"/>
  <c r="O661" i="5"/>
  <c r="P661" i="5"/>
  <c r="M661" i="5"/>
  <c r="N661" i="5"/>
  <c r="D661" i="5"/>
  <c r="I661" i="5"/>
  <c r="L661" i="5"/>
  <c r="K661" i="5"/>
  <c r="B662" i="5"/>
  <c r="E662" i="5" a="1"/>
  <c r="E662" i="5" s="1"/>
  <c r="Y662" i="5" s="1"/>
  <c r="AC662" i="5" s="1"/>
  <c r="A663" i="5"/>
  <c r="A664" i="5" a="1"/>
  <c r="D662" i="5" a="1"/>
  <c r="T661" i="5" l="1"/>
  <c r="R661" i="5"/>
  <c r="D662" i="5"/>
  <c r="S661" i="5"/>
  <c r="Q661" i="5"/>
  <c r="Z662" i="5"/>
  <c r="AA662" i="5"/>
  <c r="AB662" i="5"/>
  <c r="X662" i="5"/>
  <c r="W662" i="5"/>
  <c r="E663" i="5" a="1"/>
  <c r="E663" i="5" s="1"/>
  <c r="AA663" i="5" s="1"/>
  <c r="B663" i="5"/>
  <c r="F662" i="5" a="1"/>
  <c r="F662" i="5" s="1"/>
  <c r="A664" i="5"/>
  <c r="N662" i="5" a="1"/>
  <c r="K662" i="5" a="1"/>
  <c r="O662" i="5" a="1"/>
  <c r="H662" i="5" a="1"/>
  <c r="I662" i="5" a="1"/>
  <c r="A665" i="5" a="1"/>
  <c r="L662" i="5" a="1"/>
  <c r="C662" i="5" a="1"/>
  <c r="G662" i="5" a="1"/>
  <c r="M662" i="5" a="1"/>
  <c r="J662" i="5" a="1"/>
  <c r="P662" i="5" a="1"/>
  <c r="V661" i="5" l="1" a="1"/>
  <c r="V661" i="5" s="1"/>
  <c r="U661" i="5" a="1"/>
  <c r="U661" i="5" s="1"/>
  <c r="M662" i="5"/>
  <c r="G662" i="5"/>
  <c r="P662" i="5"/>
  <c r="C662" i="5"/>
  <c r="L662" i="5"/>
  <c r="O662" i="5"/>
  <c r="K662" i="5"/>
  <c r="N662" i="5"/>
  <c r="I662" i="5"/>
  <c r="H662" i="5"/>
  <c r="J662" i="5"/>
  <c r="B664" i="5"/>
  <c r="D664" i="5" s="1" a="1"/>
  <c r="E664" i="5" a="1"/>
  <c r="E664" i="5" s="1"/>
  <c r="Y663" i="5"/>
  <c r="AC663" i="5" s="1"/>
  <c r="F663" i="5" a="1"/>
  <c r="F663" i="5" s="1"/>
  <c r="X663" i="5"/>
  <c r="Z663" i="5"/>
  <c r="AB663" i="5"/>
  <c r="W663" i="5"/>
  <c r="A665" i="5"/>
  <c r="H663" i="5" a="1"/>
  <c r="K663" i="5" a="1"/>
  <c r="L663" i="5" a="1"/>
  <c r="J663" i="5" a="1"/>
  <c r="O663" i="5" a="1"/>
  <c r="P663" i="5" a="1"/>
  <c r="N663" i="5" a="1"/>
  <c r="C663" i="5" a="1"/>
  <c r="I663" i="5" a="1"/>
  <c r="M663" i="5" a="1"/>
  <c r="D663" i="5" a="1"/>
  <c r="G663" i="5" a="1"/>
  <c r="D664" i="5" l="1"/>
  <c r="P663" i="5"/>
  <c r="O663" i="5"/>
  <c r="C663" i="5"/>
  <c r="H663" i="5"/>
  <c r="M663" i="5"/>
  <c r="N663" i="5"/>
  <c r="I663" i="5"/>
  <c r="K663" i="5"/>
  <c r="D663" i="5"/>
  <c r="L663" i="5"/>
  <c r="G663" i="5"/>
  <c r="J663" i="5"/>
  <c r="Q662" i="5"/>
  <c r="S662" i="5"/>
  <c r="Y664" i="5"/>
  <c r="AC664" i="5" s="1"/>
  <c r="AA664" i="5"/>
  <c r="X664" i="5"/>
  <c r="F664" i="5" a="1"/>
  <c r="F664" i="5" s="1"/>
  <c r="AB664" i="5"/>
  <c r="Z664" i="5"/>
  <c r="R662" i="5"/>
  <c r="W664" i="5"/>
  <c r="E665" i="5" a="1"/>
  <c r="E665" i="5" s="1"/>
  <c r="Y665" i="5" s="1"/>
  <c r="B665" i="5"/>
  <c r="H665" i="5" s="1" a="1"/>
  <c r="T662" i="5"/>
  <c r="L664" i="5" a="1"/>
  <c r="P664" i="5" a="1"/>
  <c r="N664" i="5" a="1"/>
  <c r="C664" i="5" a="1"/>
  <c r="O664" i="5" a="1"/>
  <c r="G664" i="5" a="1"/>
  <c r="H664" i="5" a="1"/>
  <c r="M664" i="5" a="1"/>
  <c r="K664" i="5" a="1"/>
  <c r="I664" i="5" a="1"/>
  <c r="J664" i="5" a="1"/>
  <c r="A666" i="5" a="1"/>
  <c r="T663" i="5" l="1"/>
  <c r="R663" i="5"/>
  <c r="L664" i="5"/>
  <c r="N664" i="5"/>
  <c r="H664" i="5"/>
  <c r="H665" i="5"/>
  <c r="P664" i="5"/>
  <c r="K664" i="5"/>
  <c r="I664" i="5"/>
  <c r="O664" i="5"/>
  <c r="J664" i="5"/>
  <c r="G664" i="5"/>
  <c r="C664" i="5"/>
  <c r="M664" i="5"/>
  <c r="V662" i="5" a="1"/>
  <c r="V662" i="5" s="1"/>
  <c r="U662" i="5" a="1"/>
  <c r="U662" i="5" s="1"/>
  <c r="Q663" i="5"/>
  <c r="S663" i="5"/>
  <c r="F665" i="5" a="1"/>
  <c r="F665" i="5" s="1"/>
  <c r="A666" i="5"/>
  <c r="A667" i="5" s="1" a="1"/>
  <c r="W665" i="5"/>
  <c r="AC665" i="5"/>
  <c r="X665" i="5"/>
  <c r="AB665" i="5"/>
  <c r="AA665" i="5"/>
  <c r="Z665" i="5"/>
  <c r="C665" i="5" a="1"/>
  <c r="O665" i="5" a="1"/>
  <c r="N665" i="5" a="1"/>
  <c r="J665" i="5" a="1"/>
  <c r="P665" i="5" a="1"/>
  <c r="L665" i="5" a="1"/>
  <c r="I665" i="5" a="1"/>
  <c r="M665" i="5" a="1"/>
  <c r="K665" i="5" a="1"/>
  <c r="G665" i="5" a="1"/>
  <c r="D665" i="5" a="1"/>
  <c r="N665" i="5" l="1"/>
  <c r="M665" i="5"/>
  <c r="U663" i="5" a="1"/>
  <c r="U663" i="5" s="1"/>
  <c r="V663" i="5" a="1"/>
  <c r="V663" i="5" s="1"/>
  <c r="R664" i="5"/>
  <c r="O665" i="5"/>
  <c r="J665" i="5"/>
  <c r="K665" i="5"/>
  <c r="C665" i="5"/>
  <c r="G665" i="5"/>
  <c r="L665" i="5"/>
  <c r="P665" i="5"/>
  <c r="I665" i="5"/>
  <c r="D665" i="5"/>
  <c r="T664" i="5"/>
  <c r="B666" i="5"/>
  <c r="E666" i="5" a="1"/>
  <c r="E666" i="5" s="1"/>
  <c r="Y666" i="5" s="1"/>
  <c r="Q664" i="5"/>
  <c r="S664" i="5"/>
  <c r="A667" i="5"/>
  <c r="C666" i="5" a="1"/>
  <c r="U664" i="5" l="1" a="1"/>
  <c r="U664" i="5" s="1"/>
  <c r="V664" i="5" a="1"/>
  <c r="V664" i="5" s="1"/>
  <c r="X666" i="5"/>
  <c r="AA666" i="5"/>
  <c r="C666" i="5"/>
  <c r="F666" i="5" a="1"/>
  <c r="F666" i="5" s="1"/>
  <c r="T665" i="5"/>
  <c r="R665" i="5"/>
  <c r="AC666" i="5"/>
  <c r="W666" i="5"/>
  <c r="B667" i="5"/>
  <c r="N667" i="5" s="1" a="1"/>
  <c r="E667" i="5" a="1"/>
  <c r="E667" i="5" s="1"/>
  <c r="Z666" i="5"/>
  <c r="AB666" i="5"/>
  <c r="Q665" i="5"/>
  <c r="S665" i="5"/>
  <c r="A668" i="5" a="1"/>
  <c r="D666" i="5" a="1"/>
  <c r="P666" i="5" a="1"/>
  <c r="N666" i="5" a="1"/>
  <c r="I666" i="5" a="1"/>
  <c r="K666" i="5" a="1"/>
  <c r="H666" i="5" a="1"/>
  <c r="O666" i="5" a="1"/>
  <c r="G666" i="5" a="1"/>
  <c r="L666" i="5" a="1"/>
  <c r="J666" i="5" a="1"/>
  <c r="M666" i="5" a="1"/>
  <c r="G666" i="5" l="1"/>
  <c r="V665" i="5" a="1"/>
  <c r="V665" i="5" s="1"/>
  <c r="U665" i="5" a="1"/>
  <c r="U665" i="5" s="1"/>
  <c r="O666" i="5"/>
  <c r="J666" i="5"/>
  <c r="L666" i="5"/>
  <c r="P666" i="5"/>
  <c r="N667" i="5"/>
  <c r="M666" i="5"/>
  <c r="K666" i="5"/>
  <c r="D666" i="5"/>
  <c r="I666" i="5"/>
  <c r="N666" i="5"/>
  <c r="H666" i="5"/>
  <c r="Y667" i="5"/>
  <c r="AC667" i="5" s="1"/>
  <c r="AA667" i="5"/>
  <c r="A668" i="5"/>
  <c r="X667" i="5"/>
  <c r="W667" i="5"/>
  <c r="Z667" i="5"/>
  <c r="AB667" i="5"/>
  <c r="P667" i="5" a="1"/>
  <c r="G667" i="5" a="1"/>
  <c r="L667" i="5" a="1"/>
  <c r="K667" i="5" a="1"/>
  <c r="J667" i="5" a="1"/>
  <c r="D667" i="5" a="1"/>
  <c r="M667" i="5" a="1"/>
  <c r="F667" i="5" a="1"/>
  <c r="H667" i="5" a="1"/>
  <c r="I667" i="5" a="1"/>
  <c r="O667" i="5" a="1"/>
  <c r="C667" i="5" a="1"/>
  <c r="R666" i="5" l="1"/>
  <c r="Q666" i="5"/>
  <c r="H667" i="5"/>
  <c r="G667" i="5"/>
  <c r="L667" i="5"/>
  <c r="O667" i="5"/>
  <c r="F667" i="5"/>
  <c r="I667" i="5"/>
  <c r="J667" i="5"/>
  <c r="K667" i="5"/>
  <c r="P667" i="5"/>
  <c r="D667" i="5"/>
  <c r="M667" i="5"/>
  <c r="C667" i="5"/>
  <c r="E668" i="5" a="1"/>
  <c r="E668" i="5" s="1"/>
  <c r="B668" i="5"/>
  <c r="K668" i="5" s="1" a="1"/>
  <c r="S666" i="5"/>
  <c r="T666" i="5"/>
  <c r="A669" i="5" a="1"/>
  <c r="T667" i="5" l="1"/>
  <c r="U666" i="5" a="1"/>
  <c r="U666" i="5" s="1"/>
  <c r="K668" i="5"/>
  <c r="X668" i="5"/>
  <c r="F668" i="5" a="1"/>
  <c r="F668" i="5" s="1"/>
  <c r="S667" i="5"/>
  <c r="Q667" i="5"/>
  <c r="V666" i="5" a="1"/>
  <c r="V666" i="5" s="1"/>
  <c r="R667" i="5"/>
  <c r="Y668" i="5"/>
  <c r="AC668" i="5" s="1"/>
  <c r="A669" i="5"/>
  <c r="Z668" i="5"/>
  <c r="AA668" i="5"/>
  <c r="AB668" i="5"/>
  <c r="W668" i="5"/>
  <c r="O668" i="5" a="1"/>
  <c r="P668" i="5" a="1"/>
  <c r="C668" i="5" a="1"/>
  <c r="G668" i="5" a="1"/>
  <c r="D668" i="5" a="1"/>
  <c r="N668" i="5" a="1"/>
  <c r="I668" i="5" a="1"/>
  <c r="J668" i="5" a="1"/>
  <c r="L668" i="5" a="1"/>
  <c r="H668" i="5" a="1"/>
  <c r="M668" i="5" a="1"/>
  <c r="V667" i="5" l="1" a="1"/>
  <c r="V667" i="5" s="1"/>
  <c r="N668" i="5"/>
  <c r="P668" i="5"/>
  <c r="O668" i="5"/>
  <c r="G668" i="5"/>
  <c r="L668" i="5"/>
  <c r="M668" i="5"/>
  <c r="J668" i="5"/>
  <c r="I668" i="5"/>
  <c r="H668" i="5"/>
  <c r="D668" i="5"/>
  <c r="C668" i="5"/>
  <c r="U667" i="5" a="1"/>
  <c r="U667" i="5" s="1"/>
  <c r="B669" i="5"/>
  <c r="F669" i="5" s="1" a="1"/>
  <c r="F669" i="5" s="1"/>
  <c r="E669" i="5" a="1"/>
  <c r="E669" i="5" s="1"/>
  <c r="AB669" i="5" s="1"/>
  <c r="A670" i="5" a="1"/>
  <c r="T668" i="5" l="1"/>
  <c r="Q668" i="5"/>
  <c r="S668" i="5"/>
  <c r="R668" i="5"/>
  <c r="A670" i="5"/>
  <c r="AA669" i="5"/>
  <c r="W669" i="5"/>
  <c r="X669" i="5"/>
  <c r="Z669" i="5"/>
  <c r="Y669" i="5"/>
  <c r="AC669" i="5" s="1"/>
  <c r="O669" i="5" a="1"/>
  <c r="P669" i="5" a="1"/>
  <c r="L669" i="5" a="1"/>
  <c r="J669" i="5" a="1"/>
  <c r="M669" i="5" a="1"/>
  <c r="K669" i="5" a="1"/>
  <c r="G669" i="5" a="1"/>
  <c r="N669" i="5" a="1"/>
  <c r="H669" i="5" a="1"/>
  <c r="C669" i="5" a="1"/>
  <c r="I669" i="5" a="1"/>
  <c r="D669" i="5" a="1"/>
  <c r="V668" i="5" l="1" a="1"/>
  <c r="V668" i="5" s="1"/>
  <c r="L669" i="5"/>
  <c r="H669" i="5"/>
  <c r="P669" i="5"/>
  <c r="O669" i="5"/>
  <c r="C669" i="5"/>
  <c r="G669" i="5"/>
  <c r="K669" i="5"/>
  <c r="J669" i="5"/>
  <c r="M669" i="5"/>
  <c r="D669" i="5"/>
  <c r="I669" i="5"/>
  <c r="N669" i="5"/>
  <c r="B670" i="5"/>
  <c r="E670" i="5" a="1"/>
  <c r="E670" i="5" s="1"/>
  <c r="X670" i="5" s="1"/>
  <c r="U668" i="5" a="1"/>
  <c r="U668" i="5" s="1"/>
  <c r="A671" i="5" a="1"/>
  <c r="L670" i="5" a="1"/>
  <c r="R669" i="5" l="1"/>
  <c r="Q669" i="5"/>
  <c r="L670" i="5"/>
  <c r="F670" i="5" a="1"/>
  <c r="F670" i="5" s="1"/>
  <c r="S669" i="5"/>
  <c r="T669" i="5"/>
  <c r="A671" i="5"/>
  <c r="Y670" i="5"/>
  <c r="AC670" i="5" s="1"/>
  <c r="Z670" i="5"/>
  <c r="AA670" i="5"/>
  <c r="AB670" i="5"/>
  <c r="W670" i="5"/>
  <c r="N670" i="5" a="1"/>
  <c r="H670" i="5" a="1"/>
  <c r="D670" i="5" a="1"/>
  <c r="K670" i="5" a="1"/>
  <c r="O670" i="5" a="1"/>
  <c r="G670" i="5" a="1"/>
  <c r="J670" i="5" a="1"/>
  <c r="P670" i="5" a="1"/>
  <c r="M670" i="5" a="1"/>
  <c r="I670" i="5" a="1"/>
  <c r="C670" i="5" a="1"/>
  <c r="U669" i="5" l="1" a="1"/>
  <c r="U669" i="5" s="1"/>
  <c r="N670" i="5"/>
  <c r="C670" i="5"/>
  <c r="O670" i="5"/>
  <c r="H670" i="5"/>
  <c r="G670" i="5"/>
  <c r="P670" i="5"/>
  <c r="R670" i="5" s="1"/>
  <c r="M670" i="5"/>
  <c r="T670" i="5" s="1"/>
  <c r="I670" i="5"/>
  <c r="D670" i="5"/>
  <c r="K670" i="5"/>
  <c r="J670" i="5"/>
  <c r="V669" i="5" a="1"/>
  <c r="V669" i="5" s="1"/>
  <c r="E671" i="5" a="1"/>
  <c r="E671" i="5" s="1"/>
  <c r="AB671" i="5" s="1"/>
  <c r="B671" i="5"/>
  <c r="M671" i="5" s="1" a="1"/>
  <c r="A672" i="5" a="1"/>
  <c r="M671" i="5" l="1"/>
  <c r="F671" i="5" a="1"/>
  <c r="F671" i="5" s="1"/>
  <c r="S670" i="5"/>
  <c r="V670" i="5" s="1" a="1"/>
  <c r="V670" i="5" s="1"/>
  <c r="Q670" i="5"/>
  <c r="U670" i="5" s="1" a="1"/>
  <c r="U670" i="5" s="1"/>
  <c r="A672" i="5"/>
  <c r="X671" i="5"/>
  <c r="W671" i="5"/>
  <c r="Z671" i="5"/>
  <c r="AA671" i="5"/>
  <c r="Y671" i="5"/>
  <c r="AC671" i="5" s="1"/>
  <c r="J671" i="5" a="1"/>
  <c r="K671" i="5" a="1"/>
  <c r="C671" i="5" a="1"/>
  <c r="I671" i="5" a="1"/>
  <c r="H671" i="5" a="1"/>
  <c r="O671" i="5" a="1"/>
  <c r="L671" i="5" a="1"/>
  <c r="P671" i="5" a="1"/>
  <c r="G671" i="5" a="1"/>
  <c r="D671" i="5" a="1"/>
  <c r="N671" i="5" a="1"/>
  <c r="G671" i="5" l="1"/>
  <c r="J671" i="5"/>
  <c r="H671" i="5"/>
  <c r="L671" i="5"/>
  <c r="I671" i="5"/>
  <c r="P671" i="5"/>
  <c r="N671" i="5"/>
  <c r="C671" i="5"/>
  <c r="O671" i="5"/>
  <c r="D671" i="5"/>
  <c r="K671" i="5"/>
  <c r="B672" i="5"/>
  <c r="F672" i="5" s="1" a="1"/>
  <c r="F672" i="5" s="1"/>
  <c r="E672" i="5" a="1"/>
  <c r="E672" i="5" s="1"/>
  <c r="Y672" i="5" s="1"/>
  <c r="A673" i="5" a="1"/>
  <c r="R671" i="5" l="1"/>
  <c r="T671" i="5"/>
  <c r="S671" i="5"/>
  <c r="Q671" i="5"/>
  <c r="A673" i="5"/>
  <c r="Z672" i="5"/>
  <c r="W672" i="5"/>
  <c r="AB672" i="5"/>
  <c r="X672" i="5"/>
  <c r="AC672" i="5"/>
  <c r="AA672" i="5"/>
  <c r="N672" i="5" a="1"/>
  <c r="K672" i="5" a="1"/>
  <c r="P672" i="5" a="1"/>
  <c r="D672" i="5" a="1"/>
  <c r="H672" i="5" a="1"/>
  <c r="A674" i="5" a="1"/>
  <c r="O672" i="5" a="1"/>
  <c r="J672" i="5" a="1"/>
  <c r="M672" i="5" a="1"/>
  <c r="G672" i="5" a="1"/>
  <c r="I672" i="5" a="1"/>
  <c r="C672" i="5" a="1"/>
  <c r="L672" i="5" a="1"/>
  <c r="V671" i="5" l="1" a="1"/>
  <c r="V671" i="5" s="1"/>
  <c r="J672" i="5"/>
  <c r="H672" i="5"/>
  <c r="O672" i="5"/>
  <c r="C672" i="5"/>
  <c r="G672" i="5"/>
  <c r="K672" i="5"/>
  <c r="D672" i="5"/>
  <c r="U671" i="5" a="1"/>
  <c r="U671" i="5" s="1"/>
  <c r="L672" i="5"/>
  <c r="N672" i="5"/>
  <c r="P672" i="5"/>
  <c r="M672" i="5"/>
  <c r="I672" i="5"/>
  <c r="E673" i="5" a="1"/>
  <c r="E673" i="5" s="1"/>
  <c r="Y673" i="5" s="1"/>
  <c r="AC673" i="5" s="1"/>
  <c r="B673" i="5"/>
  <c r="F673" i="5" s="1" a="1"/>
  <c r="F673" i="5" s="1"/>
  <c r="A674" i="5"/>
  <c r="Q672" i="5" l="1"/>
  <c r="R672" i="5"/>
  <c r="AA673" i="5"/>
  <c r="AB673" i="5"/>
  <c r="Z673" i="5"/>
  <c r="X673" i="5"/>
  <c r="W673" i="5"/>
  <c r="B674" i="5"/>
  <c r="E674" i="5" a="1"/>
  <c r="E674" i="5" s="1"/>
  <c r="S672" i="5"/>
  <c r="T672" i="5"/>
  <c r="C673" i="5" a="1"/>
  <c r="M673" i="5" a="1"/>
  <c r="P673" i="5" a="1"/>
  <c r="D673" i="5" a="1"/>
  <c r="N673" i="5" a="1"/>
  <c r="L673" i="5" a="1"/>
  <c r="I673" i="5" a="1"/>
  <c r="K673" i="5" a="1"/>
  <c r="A675" i="5" a="1"/>
  <c r="O673" i="5" a="1"/>
  <c r="J673" i="5" a="1"/>
  <c r="H673" i="5" a="1"/>
  <c r="G673" i="5" a="1"/>
  <c r="U672" i="5" l="1" a="1"/>
  <c r="U672" i="5" s="1"/>
  <c r="I673" i="5"/>
  <c r="V672" i="5" a="1"/>
  <c r="V672" i="5" s="1"/>
  <c r="O673" i="5"/>
  <c r="P673" i="5"/>
  <c r="L673" i="5"/>
  <c r="H673" i="5"/>
  <c r="C673" i="5"/>
  <c r="J673" i="5"/>
  <c r="G673" i="5"/>
  <c r="D673" i="5"/>
  <c r="M673" i="5"/>
  <c r="K673" i="5"/>
  <c r="N673" i="5"/>
  <c r="F674" i="5" a="1"/>
  <c r="F674" i="5" s="1"/>
  <c r="Y674" i="5"/>
  <c r="AC674" i="5" s="1"/>
  <c r="A675" i="5"/>
  <c r="A676" i="5" s="1" a="1"/>
  <c r="Z674" i="5"/>
  <c r="AA674" i="5"/>
  <c r="W674" i="5"/>
  <c r="X674" i="5"/>
  <c r="AB674" i="5"/>
  <c r="J674" i="5" a="1"/>
  <c r="O674" i="5" a="1"/>
  <c r="P674" i="5" a="1"/>
  <c r="K674" i="5" a="1"/>
  <c r="D674" i="5" a="1"/>
  <c r="L674" i="5" a="1"/>
  <c r="N674" i="5" a="1"/>
  <c r="H674" i="5" a="1"/>
  <c r="C674" i="5" a="1"/>
  <c r="I674" i="5" a="1"/>
  <c r="M674" i="5" a="1"/>
  <c r="G674" i="5" a="1"/>
  <c r="T673" i="5" l="1"/>
  <c r="I674" i="5"/>
  <c r="P674" i="5"/>
  <c r="N674" i="5"/>
  <c r="G674" i="5"/>
  <c r="L674" i="5"/>
  <c r="C674" i="5"/>
  <c r="H674" i="5"/>
  <c r="J674" i="5"/>
  <c r="M674" i="5"/>
  <c r="O674" i="5"/>
  <c r="D674" i="5"/>
  <c r="K674" i="5"/>
  <c r="B675" i="5"/>
  <c r="E675" i="5" a="1"/>
  <c r="E675" i="5" s="1"/>
  <c r="AA675" i="5" s="1"/>
  <c r="R673" i="5"/>
  <c r="S673" i="5"/>
  <c r="Q673" i="5"/>
  <c r="A676" i="5"/>
  <c r="D675" i="5" a="1"/>
  <c r="V673" i="5" l="1" a="1"/>
  <c r="V673" i="5" s="1"/>
  <c r="T674" i="5"/>
  <c r="U673" i="5" a="1"/>
  <c r="U673" i="5" s="1"/>
  <c r="D675" i="5"/>
  <c r="W675" i="5"/>
  <c r="Z675" i="5"/>
  <c r="F675" i="5" a="1"/>
  <c r="F675" i="5" s="1"/>
  <c r="X675" i="5"/>
  <c r="AB675" i="5"/>
  <c r="S674" i="5"/>
  <c r="Q674" i="5"/>
  <c r="R674" i="5"/>
  <c r="E676" i="5" a="1"/>
  <c r="E676" i="5" s="1"/>
  <c r="W676" i="5" s="1"/>
  <c r="B676" i="5"/>
  <c r="P676" i="5" s="1" a="1"/>
  <c r="Y675" i="5"/>
  <c r="AC675" i="5" s="1"/>
  <c r="C675" i="5" a="1"/>
  <c r="N675" i="5" a="1"/>
  <c r="J675" i="5" a="1"/>
  <c r="G675" i="5" a="1"/>
  <c r="I675" i="5" a="1"/>
  <c r="A677" i="5" a="1"/>
  <c r="P675" i="5" a="1"/>
  <c r="O675" i="5" a="1"/>
  <c r="H675" i="5" a="1"/>
  <c r="L675" i="5" a="1"/>
  <c r="K675" i="5" a="1"/>
  <c r="M675" i="5" a="1"/>
  <c r="V674" i="5" l="1" a="1"/>
  <c r="V674" i="5" s="1"/>
  <c r="U674" i="5" a="1"/>
  <c r="U674" i="5" s="1"/>
  <c r="C675" i="5"/>
  <c r="M675" i="5"/>
  <c r="L675" i="5"/>
  <c r="O675" i="5"/>
  <c r="I675" i="5"/>
  <c r="J675" i="5"/>
  <c r="P675" i="5"/>
  <c r="P676" i="5"/>
  <c r="N675" i="5"/>
  <c r="K675" i="5"/>
  <c r="H675" i="5"/>
  <c r="G675" i="5"/>
  <c r="F676" i="5" a="1"/>
  <c r="F676" i="5" s="1"/>
  <c r="A677" i="5"/>
  <c r="X676" i="5"/>
  <c r="Z676" i="5"/>
  <c r="AB676" i="5"/>
  <c r="Y676" i="5"/>
  <c r="AC676" i="5" s="1"/>
  <c r="AA676" i="5"/>
  <c r="J676" i="5" a="1"/>
  <c r="M676" i="5" a="1"/>
  <c r="K676" i="5" a="1"/>
  <c r="N676" i="5" a="1"/>
  <c r="O676" i="5" a="1"/>
  <c r="L676" i="5" a="1"/>
  <c r="H676" i="5" a="1"/>
  <c r="G676" i="5" a="1"/>
  <c r="D676" i="5" a="1"/>
  <c r="C676" i="5" a="1"/>
  <c r="I676" i="5" a="1"/>
  <c r="A678" i="5" a="1"/>
  <c r="R675" i="5" l="1"/>
  <c r="N676" i="5"/>
  <c r="C676" i="5"/>
  <c r="H676" i="5"/>
  <c r="D676" i="5"/>
  <c r="I676" i="5"/>
  <c r="K676" i="5"/>
  <c r="L676" i="5"/>
  <c r="R676" i="5" s="1"/>
  <c r="G676" i="5"/>
  <c r="M676" i="5"/>
  <c r="T676" i="5" s="1"/>
  <c r="O676" i="5"/>
  <c r="J676" i="5"/>
  <c r="B677" i="5"/>
  <c r="E677" i="5" a="1"/>
  <c r="E677" i="5" s="1"/>
  <c r="AB677" i="5" s="1"/>
  <c r="Q675" i="5"/>
  <c r="S675" i="5"/>
  <c r="T675" i="5"/>
  <c r="A678" i="5"/>
  <c r="L677" i="5" a="1"/>
  <c r="U675" i="5" l="1" a="1"/>
  <c r="U675" i="5" s="1"/>
  <c r="Y677" i="5"/>
  <c r="AC677" i="5" s="1"/>
  <c r="AA677" i="5"/>
  <c r="Z677" i="5"/>
  <c r="W677" i="5"/>
  <c r="X677" i="5"/>
  <c r="L677" i="5"/>
  <c r="B678" i="5"/>
  <c r="N678" i="5" s="1" a="1"/>
  <c r="E678" i="5" a="1"/>
  <c r="E678" i="5" s="1"/>
  <c r="Z678" i="5" s="1"/>
  <c r="V675" i="5" a="1"/>
  <c r="V675" i="5" s="1"/>
  <c r="Q676" i="5"/>
  <c r="U676" i="5" s="1" a="1"/>
  <c r="U676" i="5" s="1"/>
  <c r="S676" i="5"/>
  <c r="V676" i="5" s="1" a="1"/>
  <c r="V676" i="5" s="1"/>
  <c r="J677" i="5" a="1"/>
  <c r="P677" i="5" a="1"/>
  <c r="I677" i="5" a="1"/>
  <c r="G677" i="5" a="1"/>
  <c r="A679" i="5" a="1"/>
  <c r="D677" i="5" a="1"/>
  <c r="N677" i="5" a="1"/>
  <c r="O677" i="5" a="1"/>
  <c r="F677" i="5" a="1"/>
  <c r="K677" i="5" a="1"/>
  <c r="M677" i="5" a="1"/>
  <c r="C677" i="5" a="1"/>
  <c r="H677" i="5" a="1"/>
  <c r="K677" i="5" l="1"/>
  <c r="F677" i="5"/>
  <c r="F678" i="5" s="1" a="1"/>
  <c r="G677" i="5"/>
  <c r="I677" i="5"/>
  <c r="H677" i="5"/>
  <c r="O677" i="5"/>
  <c r="P677" i="5"/>
  <c r="J677" i="5"/>
  <c r="C677" i="5"/>
  <c r="N677" i="5"/>
  <c r="M677" i="5"/>
  <c r="D677" i="5"/>
  <c r="N678" i="5"/>
  <c r="W678" i="5"/>
  <c r="AA678" i="5"/>
  <c r="AB678" i="5"/>
  <c r="X678" i="5"/>
  <c r="A679" i="5"/>
  <c r="A680" i="5" s="1" a="1"/>
  <c r="Y678" i="5"/>
  <c r="AC678" i="5" s="1"/>
  <c r="C678" i="5" a="1"/>
  <c r="P678" i="5" a="1"/>
  <c r="O678" i="5" a="1"/>
  <c r="L678" i="5" a="1"/>
  <c r="M678" i="5" a="1"/>
  <c r="G678" i="5" a="1"/>
  <c r="H678" i="5" a="1"/>
  <c r="D678" i="5" a="1"/>
  <c r="I678" i="5" a="1"/>
  <c r="K678" i="5" a="1"/>
  <c r="J678" i="5" a="1"/>
  <c r="T677" i="5" l="1"/>
  <c r="S677" i="5"/>
  <c r="R677" i="5"/>
  <c r="F678" i="5"/>
  <c r="K678" i="5"/>
  <c r="O678" i="5"/>
  <c r="P678" i="5"/>
  <c r="G678" i="5"/>
  <c r="M678" i="5"/>
  <c r="Q677" i="5"/>
  <c r="H678" i="5"/>
  <c r="I678" i="5"/>
  <c r="J678" i="5"/>
  <c r="C678" i="5"/>
  <c r="L678" i="5"/>
  <c r="D678" i="5"/>
  <c r="E679" i="5" a="1"/>
  <c r="E679" i="5" s="1"/>
  <c r="Z679" i="5" s="1"/>
  <c r="B679" i="5"/>
  <c r="G679" i="5" s="1" a="1"/>
  <c r="A680" i="5"/>
  <c r="A681" i="5" a="1"/>
  <c r="V677" i="5" l="1" a="1"/>
  <c r="V677" i="5" s="1"/>
  <c r="U677" i="5" a="1"/>
  <c r="U677" i="5" s="1"/>
  <c r="T678" i="5"/>
  <c r="S678" i="5"/>
  <c r="G679" i="5"/>
  <c r="AA679" i="5"/>
  <c r="X679" i="5"/>
  <c r="W679" i="5"/>
  <c r="AB679" i="5"/>
  <c r="R678" i="5"/>
  <c r="Q678" i="5"/>
  <c r="B680" i="5"/>
  <c r="K680" i="5" s="1" a="1"/>
  <c r="E680" i="5" a="1"/>
  <c r="E680" i="5" s="1"/>
  <c r="Y679" i="5"/>
  <c r="AC679" i="5" s="1"/>
  <c r="F679" i="5" a="1"/>
  <c r="F679" i="5" s="1"/>
  <c r="A681" i="5"/>
  <c r="K679" i="5" a="1"/>
  <c r="O679" i="5" a="1"/>
  <c r="L679" i="5" a="1"/>
  <c r="C679" i="5" a="1"/>
  <c r="I679" i="5" a="1"/>
  <c r="H679" i="5" a="1"/>
  <c r="M679" i="5" a="1"/>
  <c r="N679" i="5" a="1"/>
  <c r="J679" i="5" a="1"/>
  <c r="P679" i="5" a="1"/>
  <c r="D679" i="5" a="1"/>
  <c r="A682" i="5" a="1"/>
  <c r="V678" i="5" l="1" a="1"/>
  <c r="V678" i="5" s="1"/>
  <c r="N679" i="5"/>
  <c r="J679" i="5"/>
  <c r="U678" i="5" a="1"/>
  <c r="U678" i="5" s="1"/>
  <c r="K680" i="5"/>
  <c r="P679" i="5"/>
  <c r="L679" i="5"/>
  <c r="M679" i="5"/>
  <c r="O679" i="5"/>
  <c r="D679" i="5"/>
  <c r="H679" i="5"/>
  <c r="I679" i="5"/>
  <c r="K679" i="5"/>
  <c r="C679" i="5"/>
  <c r="AB680" i="5"/>
  <c r="E681" i="5" a="1"/>
  <c r="E681" i="5" s="1"/>
  <c r="Z681" i="5" s="1"/>
  <c r="B681" i="5"/>
  <c r="Y680" i="5"/>
  <c r="AC680" i="5" s="1"/>
  <c r="Z680" i="5"/>
  <c r="AA680" i="5"/>
  <c r="X680" i="5"/>
  <c r="W680" i="5"/>
  <c r="F680" i="5" a="1"/>
  <c r="F680" i="5" s="1"/>
  <c r="A682" i="5"/>
  <c r="C680" i="5" a="1"/>
  <c r="I680" i="5" a="1"/>
  <c r="G680" i="5" a="1"/>
  <c r="H680" i="5" a="1"/>
  <c r="M680" i="5" a="1"/>
  <c r="D680" i="5" a="1"/>
  <c r="J680" i="5" a="1"/>
  <c r="L681" i="5" a="1"/>
  <c r="L680" i="5" a="1"/>
  <c r="P680" i="5" a="1"/>
  <c r="N680" i="5" a="1"/>
  <c r="O680" i="5" a="1"/>
  <c r="O680" i="5" l="1"/>
  <c r="J680" i="5"/>
  <c r="T679" i="5"/>
  <c r="L681" i="5"/>
  <c r="D680" i="5"/>
  <c r="H680" i="5"/>
  <c r="N680" i="5"/>
  <c r="G680" i="5"/>
  <c r="I680" i="5"/>
  <c r="L680" i="5"/>
  <c r="P680" i="5"/>
  <c r="C680" i="5"/>
  <c r="M680" i="5"/>
  <c r="W681" i="5"/>
  <c r="Q679" i="5"/>
  <c r="S679" i="5"/>
  <c r="F681" i="5" a="1"/>
  <c r="F681" i="5" s="1"/>
  <c r="R679" i="5"/>
  <c r="Y681" i="5"/>
  <c r="AC681" i="5" s="1"/>
  <c r="AB681" i="5"/>
  <c r="B682" i="5"/>
  <c r="H682" i="5" s="1" a="1"/>
  <c r="E682" i="5" a="1"/>
  <c r="E682" i="5" s="1"/>
  <c r="AA681" i="5"/>
  <c r="X681" i="5"/>
  <c r="M681" i="5" a="1"/>
  <c r="H681" i="5" a="1"/>
  <c r="P681" i="5" a="1"/>
  <c r="D681" i="5" a="1"/>
  <c r="N681" i="5" a="1"/>
  <c r="K681" i="5" a="1"/>
  <c r="A683" i="5" a="1"/>
  <c r="J681" i="5" a="1"/>
  <c r="G681" i="5" a="1"/>
  <c r="O681" i="5" a="1"/>
  <c r="C681" i="5" a="1"/>
  <c r="I681" i="5" a="1"/>
  <c r="V679" i="5" l="1" a="1"/>
  <c r="V679" i="5" s="1"/>
  <c r="Q680" i="5"/>
  <c r="N681" i="5"/>
  <c r="M681" i="5"/>
  <c r="G681" i="5"/>
  <c r="O681" i="5"/>
  <c r="P681" i="5"/>
  <c r="R681" i="5" s="1"/>
  <c r="K681" i="5"/>
  <c r="C681" i="5"/>
  <c r="H682" i="5"/>
  <c r="I681" i="5"/>
  <c r="D681" i="5"/>
  <c r="H681" i="5"/>
  <c r="J681" i="5"/>
  <c r="F682" i="5" a="1"/>
  <c r="F682" i="5" s="1"/>
  <c r="R680" i="5"/>
  <c r="Z682" i="5"/>
  <c r="S680" i="5"/>
  <c r="T680" i="5"/>
  <c r="U679" i="5" a="1"/>
  <c r="U679" i="5" s="1"/>
  <c r="A683" i="5"/>
  <c r="W682" i="5"/>
  <c r="X682" i="5"/>
  <c r="Y682" i="5"/>
  <c r="AC682" i="5" s="1"/>
  <c r="AA682" i="5"/>
  <c r="AB682" i="5"/>
  <c r="G682" i="5" a="1"/>
  <c r="M682" i="5" a="1"/>
  <c r="O682" i="5" a="1"/>
  <c r="J682" i="5" a="1"/>
  <c r="I682" i="5" a="1"/>
  <c r="D682" i="5" a="1"/>
  <c r="P682" i="5" a="1"/>
  <c r="N682" i="5" a="1"/>
  <c r="K682" i="5" a="1"/>
  <c r="C682" i="5" a="1"/>
  <c r="L682" i="5" a="1"/>
  <c r="O682" i="5" l="1"/>
  <c r="U680" i="5" a="1"/>
  <c r="U680" i="5" s="1"/>
  <c r="G682" i="5"/>
  <c r="K682" i="5"/>
  <c r="V680" i="5" a="1"/>
  <c r="V680" i="5" s="1"/>
  <c r="L682" i="5"/>
  <c r="N682" i="5"/>
  <c r="J682" i="5"/>
  <c r="D682" i="5"/>
  <c r="C682" i="5"/>
  <c r="P682" i="5"/>
  <c r="M682" i="5"/>
  <c r="I682" i="5"/>
  <c r="S681" i="5"/>
  <c r="Q681" i="5"/>
  <c r="U681" i="5" s="1" a="1"/>
  <c r="U681" i="5" s="1"/>
  <c r="B683" i="5"/>
  <c r="E683" i="5" a="1"/>
  <c r="E683" i="5" s="1"/>
  <c r="AB683" i="5" s="1"/>
  <c r="T681" i="5"/>
  <c r="A684" i="5" a="1"/>
  <c r="O683" i="5" a="1"/>
  <c r="Q682" i="5" l="1"/>
  <c r="R682" i="5"/>
  <c r="O683" i="5"/>
  <c r="S682" i="5"/>
  <c r="T682" i="5"/>
  <c r="F683" i="5" a="1"/>
  <c r="F683" i="5" s="1"/>
  <c r="V681" i="5" a="1"/>
  <c r="V681" i="5" s="1"/>
  <c r="Y683" i="5"/>
  <c r="AC683" i="5" s="1"/>
  <c r="A684" i="5"/>
  <c r="AA683" i="5"/>
  <c r="X683" i="5"/>
  <c r="W683" i="5"/>
  <c r="Z683" i="5"/>
  <c r="H683" i="5" a="1"/>
  <c r="P683" i="5" a="1"/>
  <c r="N683" i="5" a="1"/>
  <c r="K683" i="5" a="1"/>
  <c r="L683" i="5" a="1"/>
  <c r="J683" i="5" a="1"/>
  <c r="G683" i="5" a="1"/>
  <c r="I683" i="5" a="1"/>
  <c r="D683" i="5" a="1"/>
  <c r="C683" i="5" a="1"/>
  <c r="M683" i="5" a="1"/>
  <c r="U682" i="5" l="1" a="1"/>
  <c r="U682" i="5" s="1"/>
  <c r="L683" i="5"/>
  <c r="Q683" i="5" s="1"/>
  <c r="P683" i="5"/>
  <c r="G683" i="5"/>
  <c r="M683" i="5"/>
  <c r="D683" i="5"/>
  <c r="N683" i="5"/>
  <c r="I683" i="5"/>
  <c r="C683" i="5"/>
  <c r="K683" i="5"/>
  <c r="H683" i="5"/>
  <c r="J683" i="5"/>
  <c r="V682" i="5" a="1"/>
  <c r="V682" i="5" s="1"/>
  <c r="E684" i="5" a="1"/>
  <c r="E684" i="5" s="1"/>
  <c r="B684" i="5"/>
  <c r="A685" i="5" a="1"/>
  <c r="C684" i="5" a="1"/>
  <c r="R683" i="5" l="1"/>
  <c r="U683" i="5" s="1" a="1"/>
  <c r="U683" i="5" s="1"/>
  <c r="C684" i="5"/>
  <c r="S683" i="5"/>
  <c r="T683" i="5"/>
  <c r="F684" i="5" a="1"/>
  <c r="F684" i="5" s="1"/>
  <c r="X684" i="5"/>
  <c r="A685" i="5"/>
  <c r="Y684" i="5"/>
  <c r="AC684" i="5" s="1"/>
  <c r="AA684" i="5"/>
  <c r="W684" i="5"/>
  <c r="Z684" i="5"/>
  <c r="AB684" i="5"/>
  <c r="N684" i="5" a="1"/>
  <c r="G684" i="5" a="1"/>
  <c r="D684" i="5" a="1"/>
  <c r="J684" i="5" a="1"/>
  <c r="I684" i="5" a="1"/>
  <c r="P684" i="5" a="1"/>
  <c r="K684" i="5" a="1"/>
  <c r="O684" i="5" a="1"/>
  <c r="M684" i="5" a="1"/>
  <c r="L684" i="5" a="1"/>
  <c r="H684" i="5" a="1"/>
  <c r="H684" i="5" l="1"/>
  <c r="G684" i="5"/>
  <c r="D684" i="5"/>
  <c r="O684" i="5"/>
  <c r="N684" i="5"/>
  <c r="P684" i="5"/>
  <c r="K684" i="5"/>
  <c r="I684" i="5"/>
  <c r="J684" i="5"/>
  <c r="M684" i="5"/>
  <c r="L684" i="5"/>
  <c r="B685" i="5"/>
  <c r="F685" i="5" s="1" a="1"/>
  <c r="F685" i="5" s="1"/>
  <c r="E685" i="5" a="1"/>
  <c r="E685" i="5" s="1"/>
  <c r="AB685" i="5" s="1"/>
  <c r="V683" i="5" a="1"/>
  <c r="V683" i="5" s="1"/>
  <c r="A686" i="5" a="1"/>
  <c r="R684" i="5" l="1"/>
  <c r="S684" i="5"/>
  <c r="Q684" i="5"/>
  <c r="T684" i="5"/>
  <c r="A686" i="5"/>
  <c r="AA685" i="5"/>
  <c r="W685" i="5"/>
  <c r="X685" i="5"/>
  <c r="Y685" i="5"/>
  <c r="AC685" i="5" s="1"/>
  <c r="Z685" i="5"/>
  <c r="L685" i="5" a="1"/>
  <c r="K685" i="5" a="1"/>
  <c r="G685" i="5" a="1"/>
  <c r="J685" i="5" a="1"/>
  <c r="C685" i="5" a="1"/>
  <c r="I685" i="5" a="1"/>
  <c r="M685" i="5" a="1"/>
  <c r="P685" i="5" a="1"/>
  <c r="D685" i="5" a="1"/>
  <c r="N685" i="5" a="1"/>
  <c r="O685" i="5" a="1"/>
  <c r="H685" i="5" a="1"/>
  <c r="U684" i="5" l="1" a="1"/>
  <c r="U684" i="5" s="1"/>
  <c r="P685" i="5"/>
  <c r="D685" i="5"/>
  <c r="H685" i="5"/>
  <c r="J685" i="5"/>
  <c r="G685" i="5"/>
  <c r="L685" i="5"/>
  <c r="I685" i="5"/>
  <c r="K685" i="5"/>
  <c r="C685" i="5"/>
  <c r="V684" i="5" a="1"/>
  <c r="V684" i="5" s="1"/>
  <c r="N685" i="5"/>
  <c r="O685" i="5"/>
  <c r="M685" i="5"/>
  <c r="B686" i="5"/>
  <c r="E686" i="5" a="1"/>
  <c r="E686" i="5" s="1"/>
  <c r="A687" i="5" a="1"/>
  <c r="D686" i="5" a="1"/>
  <c r="R685" i="5" l="1"/>
  <c r="T685" i="5"/>
  <c r="D686" i="5"/>
  <c r="F686" i="5" a="1"/>
  <c r="F686" i="5" s="1"/>
  <c r="Z686" i="5"/>
  <c r="Q685" i="5"/>
  <c r="S685" i="5"/>
  <c r="A687" i="5"/>
  <c r="AB686" i="5"/>
  <c r="X686" i="5"/>
  <c r="Y686" i="5"/>
  <c r="AC686" i="5" s="1"/>
  <c r="AA686" i="5"/>
  <c r="W686" i="5"/>
  <c r="M686" i="5" a="1"/>
  <c r="O686" i="5" a="1"/>
  <c r="L686" i="5" a="1"/>
  <c r="H686" i="5" a="1"/>
  <c r="C686" i="5" a="1"/>
  <c r="J686" i="5" a="1"/>
  <c r="G686" i="5" a="1"/>
  <c r="K686" i="5" a="1"/>
  <c r="I686" i="5" a="1"/>
  <c r="P686" i="5" a="1"/>
  <c r="N686" i="5" a="1"/>
  <c r="V685" i="5" l="1" a="1"/>
  <c r="V685" i="5" s="1"/>
  <c r="U685" i="5" a="1"/>
  <c r="U685" i="5" s="1"/>
  <c r="M686" i="5"/>
  <c r="K686" i="5"/>
  <c r="G686" i="5"/>
  <c r="L686" i="5"/>
  <c r="J686" i="5"/>
  <c r="C686" i="5"/>
  <c r="N686" i="5"/>
  <c r="P686" i="5"/>
  <c r="H686" i="5"/>
  <c r="I686" i="5"/>
  <c r="O686" i="5"/>
  <c r="E687" i="5" a="1"/>
  <c r="E687" i="5" s="1"/>
  <c r="AB687" i="5" s="1"/>
  <c r="B687" i="5"/>
  <c r="A688" i="5" a="1"/>
  <c r="R686" i="5" l="1"/>
  <c r="Q686" i="5"/>
  <c r="S686" i="5"/>
  <c r="T686" i="5"/>
  <c r="A688" i="5"/>
  <c r="X687" i="5"/>
  <c r="AA687" i="5"/>
  <c r="Y687" i="5"/>
  <c r="AC687" i="5" s="1"/>
  <c r="W687" i="5"/>
  <c r="Z687" i="5"/>
  <c r="G687" i="5" a="1"/>
  <c r="H687" i="5" a="1"/>
  <c r="I687" i="5" a="1"/>
  <c r="K687" i="5" a="1"/>
  <c r="M687" i="5" a="1"/>
  <c r="J687" i="5" a="1"/>
  <c r="F687" i="5" a="1"/>
  <c r="L687" i="5" a="1"/>
  <c r="C687" i="5" a="1"/>
  <c r="O687" i="5" a="1"/>
  <c r="P687" i="5" a="1"/>
  <c r="D687" i="5" a="1"/>
  <c r="N687" i="5" a="1"/>
  <c r="U686" i="5" l="1" a="1"/>
  <c r="U686" i="5" s="1"/>
  <c r="O687" i="5"/>
  <c r="N687" i="5"/>
  <c r="J687" i="5"/>
  <c r="K687" i="5"/>
  <c r="D687" i="5"/>
  <c r="P687" i="5"/>
  <c r="L687" i="5"/>
  <c r="C687" i="5"/>
  <c r="G687" i="5"/>
  <c r="H687" i="5"/>
  <c r="F687" i="5"/>
  <c r="M687" i="5"/>
  <c r="I687" i="5"/>
  <c r="B688" i="5"/>
  <c r="E688" i="5" a="1"/>
  <c r="E688" i="5" s="1"/>
  <c r="V686" i="5" a="1"/>
  <c r="V686" i="5" s="1"/>
  <c r="A689" i="5" a="1"/>
  <c r="F688" i="5" l="1" a="1"/>
  <c r="F688" i="5" s="1"/>
  <c r="R687" i="5"/>
  <c r="Z688" i="5"/>
  <c r="T687" i="5"/>
  <c r="Q687" i="5"/>
  <c r="S687" i="5"/>
  <c r="A689" i="5"/>
  <c r="X688" i="5"/>
  <c r="AA688" i="5"/>
  <c r="Y688" i="5"/>
  <c r="AC688" i="5" s="1"/>
  <c r="AB688" i="5"/>
  <c r="W688" i="5"/>
  <c r="K688" i="5" a="1"/>
  <c r="L688" i="5" a="1"/>
  <c r="N688" i="5" a="1"/>
  <c r="M688" i="5" a="1"/>
  <c r="G688" i="5" a="1"/>
  <c r="C688" i="5" a="1"/>
  <c r="P688" i="5" a="1"/>
  <c r="I688" i="5" a="1"/>
  <c r="J688" i="5" a="1"/>
  <c r="H688" i="5" a="1"/>
  <c r="O688" i="5" a="1"/>
  <c r="D688" i="5" a="1"/>
  <c r="U687" i="5" l="1" a="1"/>
  <c r="U687" i="5" s="1"/>
  <c r="O688" i="5"/>
  <c r="J688" i="5"/>
  <c r="M688" i="5"/>
  <c r="N688" i="5"/>
  <c r="K688" i="5"/>
  <c r="D688" i="5"/>
  <c r="G688" i="5"/>
  <c r="V687" i="5" a="1"/>
  <c r="V687" i="5" s="1"/>
  <c r="C688" i="5"/>
  <c r="L688" i="5"/>
  <c r="H688" i="5"/>
  <c r="I688" i="5"/>
  <c r="P688" i="5"/>
  <c r="E689" i="5" a="1"/>
  <c r="E689" i="5" s="1"/>
  <c r="AB689" i="5" s="1"/>
  <c r="B689" i="5"/>
  <c r="F689" i="5" s="1" a="1"/>
  <c r="A690" i="5" a="1"/>
  <c r="S688" i="5" l="1"/>
  <c r="Q688" i="5"/>
  <c r="F689" i="5"/>
  <c r="R688" i="5"/>
  <c r="T688" i="5"/>
  <c r="A690" i="5"/>
  <c r="AA689" i="5"/>
  <c r="X689" i="5"/>
  <c r="Y689" i="5"/>
  <c r="AC689" i="5" s="1"/>
  <c r="W689" i="5"/>
  <c r="Z689" i="5"/>
  <c r="M689" i="5" a="1"/>
  <c r="K689" i="5" a="1"/>
  <c r="H689" i="5" a="1"/>
  <c r="I689" i="5" a="1"/>
  <c r="P689" i="5" a="1"/>
  <c r="D689" i="5" a="1"/>
  <c r="N689" i="5" a="1"/>
  <c r="G689" i="5" a="1"/>
  <c r="C689" i="5" a="1"/>
  <c r="J689" i="5" a="1"/>
  <c r="L689" i="5" a="1"/>
  <c r="O689" i="5" a="1"/>
  <c r="U688" i="5" l="1" a="1"/>
  <c r="U688" i="5" s="1"/>
  <c r="V688" i="5" a="1"/>
  <c r="V688" i="5" s="1"/>
  <c r="D689" i="5"/>
  <c r="J689" i="5"/>
  <c r="I689" i="5"/>
  <c r="N689" i="5"/>
  <c r="G689" i="5"/>
  <c r="M689" i="5"/>
  <c r="O689" i="5"/>
  <c r="P689" i="5"/>
  <c r="K689" i="5"/>
  <c r="C689" i="5"/>
  <c r="L689" i="5"/>
  <c r="H689" i="5"/>
  <c r="B690" i="5"/>
  <c r="F690" i="5" s="1" a="1"/>
  <c r="F690" i="5" s="1"/>
  <c r="E690" i="5" a="1"/>
  <c r="E690" i="5" s="1"/>
  <c r="Z690" i="5" s="1"/>
  <c r="A691" i="5" a="1"/>
  <c r="R689" i="5" l="1"/>
  <c r="S689" i="5"/>
  <c r="Q689" i="5"/>
  <c r="T689" i="5"/>
  <c r="A691" i="5"/>
  <c r="X690" i="5"/>
  <c r="AB690" i="5"/>
  <c r="Y690" i="5"/>
  <c r="AC690" i="5" s="1"/>
  <c r="AA690" i="5"/>
  <c r="W690" i="5"/>
  <c r="C690" i="5" a="1"/>
  <c r="O690" i="5" a="1"/>
  <c r="K690" i="5" a="1"/>
  <c r="P690" i="5" a="1"/>
  <c r="D690" i="5" a="1"/>
  <c r="J690" i="5" a="1"/>
  <c r="N690" i="5" a="1"/>
  <c r="L690" i="5" a="1"/>
  <c r="G690" i="5" a="1"/>
  <c r="H690" i="5" a="1"/>
  <c r="I690" i="5" a="1"/>
  <c r="M690" i="5" a="1"/>
  <c r="U689" i="5" l="1" a="1"/>
  <c r="U689" i="5" s="1"/>
  <c r="G690" i="5"/>
  <c r="C690" i="5"/>
  <c r="D690" i="5"/>
  <c r="J690" i="5"/>
  <c r="K690" i="5"/>
  <c r="N690" i="5"/>
  <c r="P690" i="5"/>
  <c r="I690" i="5"/>
  <c r="L690" i="5"/>
  <c r="H690" i="5"/>
  <c r="O690" i="5"/>
  <c r="M690" i="5"/>
  <c r="V689" i="5" a="1"/>
  <c r="V689" i="5" s="1"/>
  <c r="B691" i="5"/>
  <c r="F691" i="5" s="1" a="1"/>
  <c r="F691" i="5" s="1"/>
  <c r="E691" i="5" a="1"/>
  <c r="E691" i="5" s="1"/>
  <c r="A692" i="5" a="1"/>
  <c r="T690" i="5" l="1"/>
  <c r="AB691" i="5"/>
  <c r="S690" i="5"/>
  <c r="Q690" i="5"/>
  <c r="R690" i="5"/>
  <c r="A692" i="5"/>
  <c r="AA691" i="5"/>
  <c r="X691" i="5"/>
  <c r="W691" i="5"/>
  <c r="Y691" i="5"/>
  <c r="AC691" i="5" s="1"/>
  <c r="Z691" i="5"/>
  <c r="L691" i="5" a="1"/>
  <c r="J691" i="5" a="1"/>
  <c r="G691" i="5" a="1"/>
  <c r="N691" i="5" a="1"/>
  <c r="O691" i="5" a="1"/>
  <c r="M691" i="5" a="1"/>
  <c r="P691" i="5" a="1"/>
  <c r="H691" i="5" a="1"/>
  <c r="C691" i="5" a="1"/>
  <c r="D691" i="5" a="1"/>
  <c r="I691" i="5" a="1"/>
  <c r="K691" i="5" a="1"/>
  <c r="V690" i="5" l="1" a="1"/>
  <c r="V690" i="5" s="1"/>
  <c r="J691" i="5"/>
  <c r="G691" i="5"/>
  <c r="K691" i="5"/>
  <c r="O691" i="5"/>
  <c r="I691" i="5"/>
  <c r="L691" i="5"/>
  <c r="D691" i="5"/>
  <c r="N691" i="5"/>
  <c r="P691" i="5"/>
  <c r="H691" i="5"/>
  <c r="C691" i="5"/>
  <c r="M691" i="5"/>
  <c r="E692" i="5" a="1"/>
  <c r="E692" i="5" s="1"/>
  <c r="Z692" i="5" s="1"/>
  <c r="B692" i="5"/>
  <c r="U690" i="5" a="1"/>
  <c r="U690" i="5" s="1"/>
  <c r="A693" i="5" a="1"/>
  <c r="L692" i="5" a="1"/>
  <c r="R691" i="5" l="1"/>
  <c r="L692" i="5"/>
  <c r="F692" i="5" a="1"/>
  <c r="F692" i="5" s="1"/>
  <c r="T691" i="5"/>
  <c r="S691" i="5"/>
  <c r="Q691" i="5"/>
  <c r="A693" i="5"/>
  <c r="X692" i="5"/>
  <c r="AB692" i="5"/>
  <c r="Y692" i="5"/>
  <c r="AC692" i="5" s="1"/>
  <c r="AA692" i="5"/>
  <c r="W692" i="5"/>
  <c r="I692" i="5" a="1"/>
  <c r="J692" i="5" a="1"/>
  <c r="H692" i="5" a="1"/>
  <c r="O692" i="5" a="1"/>
  <c r="K692" i="5" a="1"/>
  <c r="N692" i="5" a="1"/>
  <c r="C692" i="5" a="1"/>
  <c r="G692" i="5" a="1"/>
  <c r="M692" i="5" a="1"/>
  <c r="D692" i="5" a="1"/>
  <c r="P692" i="5" a="1"/>
  <c r="U691" i="5" l="1" a="1"/>
  <c r="U691" i="5" s="1"/>
  <c r="V691" i="5" a="1"/>
  <c r="V691" i="5" s="1"/>
  <c r="K692" i="5"/>
  <c r="H692" i="5"/>
  <c r="C692" i="5"/>
  <c r="G692" i="5"/>
  <c r="M692" i="5"/>
  <c r="N692" i="5"/>
  <c r="D692" i="5"/>
  <c r="O692" i="5"/>
  <c r="J692" i="5"/>
  <c r="P692" i="5"/>
  <c r="R692" i="5" s="1"/>
  <c r="I692" i="5"/>
  <c r="B693" i="5"/>
  <c r="F693" i="5" s="1" a="1"/>
  <c r="F693" i="5" s="1"/>
  <c r="E693" i="5" a="1"/>
  <c r="E693" i="5" s="1"/>
  <c r="AB693" i="5" s="1"/>
  <c r="A694" i="5" a="1"/>
  <c r="T692" i="5" l="1"/>
  <c r="S692" i="5"/>
  <c r="Q692" i="5"/>
  <c r="U692" i="5" s="1" a="1"/>
  <c r="U692" i="5" s="1"/>
  <c r="A694" i="5"/>
  <c r="AA693" i="5"/>
  <c r="Y693" i="5"/>
  <c r="AC693" i="5" s="1"/>
  <c r="X693" i="5"/>
  <c r="W693" i="5"/>
  <c r="Z693" i="5"/>
  <c r="J693" i="5" a="1"/>
  <c r="K693" i="5" a="1"/>
  <c r="N693" i="5" a="1"/>
  <c r="H693" i="5" a="1"/>
  <c r="G693" i="5" a="1"/>
  <c r="M693" i="5" a="1"/>
  <c r="P693" i="5" a="1"/>
  <c r="D693" i="5" a="1"/>
  <c r="C693" i="5" a="1"/>
  <c r="O693" i="5" a="1"/>
  <c r="L693" i="5" a="1"/>
  <c r="I693" i="5" a="1"/>
  <c r="V692" i="5" l="1" a="1"/>
  <c r="V692" i="5" s="1"/>
  <c r="O693" i="5"/>
  <c r="C693" i="5"/>
  <c r="K693" i="5"/>
  <c r="D693" i="5"/>
  <c r="L693" i="5"/>
  <c r="P693" i="5"/>
  <c r="G693" i="5"/>
  <c r="J693" i="5"/>
  <c r="H693" i="5"/>
  <c r="N693" i="5"/>
  <c r="M693" i="5"/>
  <c r="I693" i="5"/>
  <c r="B694" i="5"/>
  <c r="J694" i="5" s="1" a="1"/>
  <c r="E694" i="5" a="1"/>
  <c r="E694" i="5" s="1"/>
  <c r="A695" i="5" a="1"/>
  <c r="R693" i="5" l="1"/>
  <c r="Q693" i="5"/>
  <c r="J694" i="5"/>
  <c r="F694" i="5" a="1"/>
  <c r="F694" i="5" s="1"/>
  <c r="T693" i="5"/>
  <c r="S693" i="5"/>
  <c r="Z694" i="5"/>
  <c r="A695" i="5"/>
  <c r="X694" i="5"/>
  <c r="AB694" i="5"/>
  <c r="Y694" i="5"/>
  <c r="AC694" i="5" s="1"/>
  <c r="AA694" i="5"/>
  <c r="W694" i="5"/>
  <c r="O694" i="5" a="1"/>
  <c r="C694" i="5" a="1"/>
  <c r="D694" i="5" a="1"/>
  <c r="P694" i="5" a="1"/>
  <c r="L694" i="5" a="1"/>
  <c r="H694" i="5" a="1"/>
  <c r="G694" i="5" a="1"/>
  <c r="K694" i="5" a="1"/>
  <c r="N694" i="5" a="1"/>
  <c r="M694" i="5" a="1"/>
  <c r="I694" i="5" a="1"/>
  <c r="U693" i="5" l="1" a="1"/>
  <c r="U693" i="5" s="1"/>
  <c r="O694" i="5"/>
  <c r="G694" i="5"/>
  <c r="L694" i="5"/>
  <c r="P694" i="5"/>
  <c r="M694" i="5"/>
  <c r="I694" i="5"/>
  <c r="C694" i="5"/>
  <c r="H694" i="5"/>
  <c r="N694" i="5"/>
  <c r="D694" i="5"/>
  <c r="K694" i="5"/>
  <c r="E695" i="5" a="1"/>
  <c r="E695" i="5" s="1"/>
  <c r="B695" i="5"/>
  <c r="V693" i="5" a="1"/>
  <c r="V693" i="5" s="1"/>
  <c r="A696" i="5" a="1"/>
  <c r="R694" i="5" l="1"/>
  <c r="T694" i="5"/>
  <c r="F695" i="5" a="1"/>
  <c r="F695" i="5" s="1"/>
  <c r="AB695" i="5"/>
  <c r="Q694" i="5"/>
  <c r="S694" i="5"/>
  <c r="A696" i="5"/>
  <c r="X695" i="5"/>
  <c r="W695" i="5"/>
  <c r="AA695" i="5"/>
  <c r="Y695" i="5"/>
  <c r="AC695" i="5" s="1"/>
  <c r="Z695" i="5"/>
  <c r="O695" i="5" a="1"/>
  <c r="L695" i="5" a="1"/>
  <c r="C695" i="5" a="1"/>
  <c r="J695" i="5" a="1"/>
  <c r="H695" i="5" a="1"/>
  <c r="K695" i="5" a="1"/>
  <c r="G695" i="5" a="1"/>
  <c r="I695" i="5" a="1"/>
  <c r="N695" i="5" a="1"/>
  <c r="D695" i="5" a="1"/>
  <c r="M695" i="5" a="1"/>
  <c r="P695" i="5" a="1"/>
  <c r="U694" i="5" l="1" a="1"/>
  <c r="U694" i="5" s="1"/>
  <c r="V694" i="5" a="1"/>
  <c r="V694" i="5" s="1"/>
  <c r="G695" i="5"/>
  <c r="I695" i="5"/>
  <c r="L695" i="5"/>
  <c r="J695" i="5"/>
  <c r="O695" i="5"/>
  <c r="D695" i="5"/>
  <c r="H695" i="5"/>
  <c r="N695" i="5"/>
  <c r="C695" i="5"/>
  <c r="P695" i="5"/>
  <c r="K695" i="5"/>
  <c r="M695" i="5"/>
  <c r="B696" i="5"/>
  <c r="F696" i="5" s="1" a="1"/>
  <c r="F696" i="5" s="1"/>
  <c r="E696" i="5" a="1"/>
  <c r="E696" i="5" s="1"/>
  <c r="A697" i="5" a="1"/>
  <c r="T695" i="5" l="1"/>
  <c r="R695" i="5"/>
  <c r="Q695" i="5"/>
  <c r="S695" i="5"/>
  <c r="Z696" i="5"/>
  <c r="A697" i="5"/>
  <c r="A698" i="5" s="1" a="1"/>
  <c r="X696" i="5"/>
  <c r="AB696" i="5"/>
  <c r="Y696" i="5"/>
  <c r="AC696" i="5" s="1"/>
  <c r="AA696" i="5"/>
  <c r="W696" i="5"/>
  <c r="G696" i="5" a="1"/>
  <c r="C696" i="5" a="1"/>
  <c r="O696" i="5" a="1"/>
  <c r="K696" i="5" a="1"/>
  <c r="N696" i="5" a="1"/>
  <c r="I696" i="5" a="1"/>
  <c r="M696" i="5" a="1"/>
  <c r="L696" i="5" a="1"/>
  <c r="J696" i="5" a="1"/>
  <c r="H696" i="5" a="1"/>
  <c r="D696" i="5" a="1"/>
  <c r="P696" i="5" a="1"/>
  <c r="U695" i="5" l="1" a="1"/>
  <c r="U695" i="5" s="1"/>
  <c r="V695" i="5" a="1"/>
  <c r="V695" i="5" s="1"/>
  <c r="L696" i="5"/>
  <c r="J696" i="5"/>
  <c r="K696" i="5"/>
  <c r="O696" i="5"/>
  <c r="H696" i="5"/>
  <c r="G696" i="5"/>
  <c r="I696" i="5"/>
  <c r="P696" i="5"/>
  <c r="M696" i="5"/>
  <c r="C696" i="5"/>
  <c r="N696" i="5"/>
  <c r="D696" i="5"/>
  <c r="B697" i="5"/>
  <c r="A698" i="5"/>
  <c r="E697" i="5" a="1"/>
  <c r="G697" i="5" a="1"/>
  <c r="R696" i="5" l="1"/>
  <c r="S696" i="5"/>
  <c r="Q696" i="5"/>
  <c r="T696" i="5"/>
  <c r="G697" i="5"/>
  <c r="E697" i="5"/>
  <c r="Y697" i="5" s="1"/>
  <c r="AC697" i="5" s="1"/>
  <c r="B698" i="5"/>
  <c r="K697" i="5" a="1"/>
  <c r="A699" i="5" a="1"/>
  <c r="H697" i="5" a="1"/>
  <c r="D697" i="5" a="1"/>
  <c r="N697" i="5" a="1"/>
  <c r="P697" i="5" a="1"/>
  <c r="F697" i="5" a="1"/>
  <c r="I697" i="5" a="1"/>
  <c r="L697" i="5" a="1"/>
  <c r="C697" i="5" a="1"/>
  <c r="J697" i="5" a="1"/>
  <c r="O697" i="5" a="1"/>
  <c r="M697" i="5" a="1"/>
  <c r="G698" i="5" a="1"/>
  <c r="AA697" i="5" l="1"/>
  <c r="U696" i="5" a="1"/>
  <c r="U696" i="5" s="1"/>
  <c r="E698" i="5" a="1"/>
  <c r="E698" i="5" s="1"/>
  <c r="Z698" i="5" s="1"/>
  <c r="V696" i="5" a="1"/>
  <c r="V696" i="5" s="1"/>
  <c r="AB697" i="5"/>
  <c r="W697" i="5"/>
  <c r="X697" i="5"/>
  <c r="Z697" i="5"/>
  <c r="C697" i="5"/>
  <c r="M697" i="5"/>
  <c r="L697" i="5"/>
  <c r="O697" i="5"/>
  <c r="K697" i="5"/>
  <c r="I697" i="5"/>
  <c r="G698" i="5"/>
  <c r="N697" i="5"/>
  <c r="F697" i="5"/>
  <c r="F698" i="5" s="1" a="1"/>
  <c r="F698" i="5" s="1"/>
  <c r="H697" i="5"/>
  <c r="D697" i="5"/>
  <c r="P697" i="5"/>
  <c r="J697" i="5"/>
  <c r="A699" i="5"/>
  <c r="M698" i="5" a="1"/>
  <c r="H698" i="5" a="1"/>
  <c r="L698" i="5" a="1"/>
  <c r="O698" i="5" a="1"/>
  <c r="I698" i="5" a="1"/>
  <c r="N698" i="5" a="1"/>
  <c r="C698" i="5" a="1"/>
  <c r="D698" i="5" a="1"/>
  <c r="J698" i="5" a="1"/>
  <c r="P698" i="5" a="1"/>
  <c r="K698" i="5" a="1"/>
  <c r="C698" i="5" l="1"/>
  <c r="D698" i="5"/>
  <c r="J698" i="5"/>
  <c r="I698" i="5"/>
  <c r="N698" i="5"/>
  <c r="W698" i="5"/>
  <c r="AA698" i="5"/>
  <c r="AB698" i="5"/>
  <c r="Y698" i="5"/>
  <c r="AC698" i="5" s="1"/>
  <c r="X698" i="5"/>
  <c r="L698" i="5"/>
  <c r="O698" i="5"/>
  <c r="R697" i="5"/>
  <c r="P698" i="5"/>
  <c r="T697" i="5"/>
  <c r="H698" i="5"/>
  <c r="M698" i="5"/>
  <c r="K698" i="5"/>
  <c r="B699" i="5"/>
  <c r="S697" i="5"/>
  <c r="Q697" i="5"/>
  <c r="E699" i="5" a="1"/>
  <c r="N699" i="5" a="1"/>
  <c r="A700" i="5" a="1"/>
  <c r="U697" i="5" l="1" a="1"/>
  <c r="U697" i="5" s="1"/>
  <c r="R698" i="5"/>
  <c r="Q698" i="5"/>
  <c r="V697" i="5" a="1"/>
  <c r="V697" i="5" s="1"/>
  <c r="E699" i="5"/>
  <c r="X699" i="5" s="1"/>
  <c r="N699" i="5"/>
  <c r="S698" i="5"/>
  <c r="T698" i="5"/>
  <c r="A700" i="5"/>
  <c r="F699" i="5" a="1"/>
  <c r="D699" i="5" a="1"/>
  <c r="P699" i="5" a="1"/>
  <c r="M699" i="5" a="1"/>
  <c r="K699" i="5" a="1"/>
  <c r="C699" i="5" a="1"/>
  <c r="H699" i="5" a="1"/>
  <c r="I699" i="5" a="1"/>
  <c r="L699" i="5" a="1"/>
  <c r="O699" i="5" a="1"/>
  <c r="J699" i="5" a="1"/>
  <c r="G699" i="5" a="1"/>
  <c r="AB699" i="5" l="1"/>
  <c r="W699" i="5"/>
  <c r="Z699" i="5"/>
  <c r="Y699" i="5"/>
  <c r="AC699" i="5" s="1"/>
  <c r="AA699" i="5"/>
  <c r="U698" i="5" a="1"/>
  <c r="U698" i="5" s="1"/>
  <c r="F699" i="5"/>
  <c r="H699" i="5"/>
  <c r="G699" i="5"/>
  <c r="L699" i="5"/>
  <c r="P699" i="5"/>
  <c r="O699" i="5"/>
  <c r="C699" i="5"/>
  <c r="M699" i="5"/>
  <c r="D699" i="5"/>
  <c r="J699" i="5"/>
  <c r="K699" i="5"/>
  <c r="I699" i="5"/>
  <c r="E700" i="5" a="1"/>
  <c r="E700" i="5" s="1"/>
  <c r="B700" i="5"/>
  <c r="V698" i="5" a="1"/>
  <c r="V698" i="5" s="1"/>
  <c r="A701" i="5" a="1"/>
  <c r="J700" i="5" a="1"/>
  <c r="T699" i="5" l="1"/>
  <c r="R699" i="5"/>
  <c r="J700" i="5"/>
  <c r="S699" i="5"/>
  <c r="Q699" i="5"/>
  <c r="F700" i="5" a="1"/>
  <c r="F700" i="5" s="1"/>
  <c r="Z700" i="5"/>
  <c r="A701" i="5"/>
  <c r="X700" i="5"/>
  <c r="AB700" i="5"/>
  <c r="Y700" i="5"/>
  <c r="AC700" i="5" s="1"/>
  <c r="AA700" i="5"/>
  <c r="W700" i="5"/>
  <c r="D700" i="5" a="1"/>
  <c r="K700" i="5" a="1"/>
  <c r="C700" i="5" a="1"/>
  <c r="P700" i="5" a="1"/>
  <c r="O700" i="5" a="1"/>
  <c r="G700" i="5" a="1"/>
  <c r="N700" i="5" a="1"/>
  <c r="H700" i="5" a="1"/>
  <c r="M700" i="5" a="1"/>
  <c r="I700" i="5" a="1"/>
  <c r="L700" i="5" a="1"/>
  <c r="V699" i="5" l="1" a="1"/>
  <c r="V699" i="5" s="1"/>
  <c r="U699" i="5" a="1"/>
  <c r="U699" i="5" s="1"/>
  <c r="I700" i="5"/>
  <c r="P700" i="5"/>
  <c r="D700" i="5"/>
  <c r="G700" i="5"/>
  <c r="C700" i="5"/>
  <c r="O700" i="5"/>
  <c r="N700" i="5"/>
  <c r="L700" i="5"/>
  <c r="M700" i="5"/>
  <c r="H700" i="5"/>
  <c r="K700" i="5"/>
  <c r="B701" i="5"/>
  <c r="F701" i="5" s="1" a="1"/>
  <c r="F701" i="5" s="1"/>
  <c r="E701" i="5" a="1"/>
  <c r="E701" i="5" s="1"/>
  <c r="X701" i="5" s="1"/>
  <c r="A702" i="5" a="1"/>
  <c r="T700" i="5" l="1"/>
  <c r="S700" i="5"/>
  <c r="Q700" i="5"/>
  <c r="R700" i="5"/>
  <c r="A702" i="5"/>
  <c r="W701" i="5"/>
  <c r="AA701" i="5"/>
  <c r="Y701" i="5"/>
  <c r="AC701" i="5" s="1"/>
  <c r="Z701" i="5"/>
  <c r="AB701" i="5"/>
  <c r="M701" i="5" a="1"/>
  <c r="J701" i="5" a="1"/>
  <c r="K701" i="5" a="1"/>
  <c r="I701" i="5" a="1"/>
  <c r="D701" i="5" a="1"/>
  <c r="G701" i="5" a="1"/>
  <c r="P701" i="5" a="1"/>
  <c r="C701" i="5" a="1"/>
  <c r="O701" i="5" a="1"/>
  <c r="N701" i="5" a="1"/>
  <c r="H701" i="5" a="1"/>
  <c r="L701" i="5" a="1"/>
  <c r="V700" i="5" l="1" a="1"/>
  <c r="V700" i="5" s="1"/>
  <c r="O701" i="5"/>
  <c r="H701" i="5"/>
  <c r="G701" i="5"/>
  <c r="C701" i="5"/>
  <c r="K701" i="5"/>
  <c r="J701" i="5"/>
  <c r="L701" i="5"/>
  <c r="P701" i="5"/>
  <c r="D701" i="5"/>
  <c r="U700" i="5" a="1"/>
  <c r="U700" i="5" s="1"/>
  <c r="N701" i="5"/>
  <c r="M701" i="5"/>
  <c r="I701" i="5"/>
  <c r="B702" i="5"/>
  <c r="E702" i="5" a="1"/>
  <c r="E702" i="5" s="1"/>
  <c r="A703" i="5" a="1"/>
  <c r="D702" i="5" a="1"/>
  <c r="R701" i="5" l="1"/>
  <c r="Q701" i="5"/>
  <c r="D702" i="5"/>
  <c r="X702" i="5"/>
  <c r="T701" i="5"/>
  <c r="S701" i="5"/>
  <c r="F702" i="5" a="1"/>
  <c r="F702" i="5" s="1"/>
  <c r="AB702" i="5"/>
  <c r="A703" i="5"/>
  <c r="Y702" i="5"/>
  <c r="AC702" i="5" s="1"/>
  <c r="AA702" i="5"/>
  <c r="W702" i="5"/>
  <c r="Z702" i="5"/>
  <c r="C702" i="5" a="1"/>
  <c r="K702" i="5" a="1"/>
  <c r="N702" i="5" a="1"/>
  <c r="O702" i="5" a="1"/>
  <c r="G702" i="5" a="1"/>
  <c r="J702" i="5" a="1"/>
  <c r="H702" i="5" a="1"/>
  <c r="L702" i="5" a="1"/>
  <c r="P702" i="5" a="1"/>
  <c r="I702" i="5" a="1"/>
  <c r="M702" i="5" a="1"/>
  <c r="U701" i="5" l="1" a="1"/>
  <c r="U701" i="5" s="1"/>
  <c r="O702" i="5"/>
  <c r="H702" i="5"/>
  <c r="I702" i="5"/>
  <c r="M702" i="5"/>
  <c r="N702" i="5"/>
  <c r="K702" i="5"/>
  <c r="J702" i="5"/>
  <c r="L702" i="5"/>
  <c r="C702" i="5"/>
  <c r="G702" i="5"/>
  <c r="P702" i="5"/>
  <c r="V701" i="5" a="1"/>
  <c r="V701" i="5" s="1"/>
  <c r="E703" i="5" a="1"/>
  <c r="E703" i="5" s="1"/>
  <c r="AB703" i="5" s="1"/>
  <c r="B703" i="5"/>
  <c r="F703" i="5" s="1" a="1"/>
  <c r="F703" i="5" s="1"/>
  <c r="A704" i="5" a="1"/>
  <c r="T702" i="5" l="1"/>
  <c r="R702" i="5"/>
  <c r="S702" i="5"/>
  <c r="Q702" i="5"/>
  <c r="A704" i="5"/>
  <c r="X703" i="5"/>
  <c r="AA703" i="5"/>
  <c r="Y703" i="5"/>
  <c r="AC703" i="5" s="1"/>
  <c r="W703" i="5"/>
  <c r="Z703" i="5"/>
  <c r="P703" i="5" a="1"/>
  <c r="K703" i="5" a="1"/>
  <c r="C703" i="5" a="1"/>
  <c r="M703" i="5" a="1"/>
  <c r="G703" i="5" a="1"/>
  <c r="N703" i="5" a="1"/>
  <c r="L703" i="5" a="1"/>
  <c r="I703" i="5" a="1"/>
  <c r="H703" i="5" a="1"/>
  <c r="D703" i="5" a="1"/>
  <c r="J703" i="5" a="1"/>
  <c r="O703" i="5" a="1"/>
  <c r="V702" i="5" l="1" a="1"/>
  <c r="V702" i="5" s="1"/>
  <c r="G703" i="5"/>
  <c r="K703" i="5"/>
  <c r="L703" i="5"/>
  <c r="J703" i="5"/>
  <c r="P703" i="5"/>
  <c r="N703" i="5"/>
  <c r="C703" i="5"/>
  <c r="D703" i="5"/>
  <c r="M703" i="5"/>
  <c r="O703" i="5"/>
  <c r="I703" i="5"/>
  <c r="H703" i="5"/>
  <c r="B704" i="5"/>
  <c r="E704" i="5" a="1"/>
  <c r="E704" i="5" s="1"/>
  <c r="U702" i="5" a="1"/>
  <c r="U702" i="5" s="1"/>
  <c r="A705" i="5" a="1"/>
  <c r="G704" i="5" a="1"/>
  <c r="R703" i="5" l="1"/>
  <c r="T703" i="5"/>
  <c r="G704" i="5"/>
  <c r="F704" i="5" a="1"/>
  <c r="F704" i="5" s="1"/>
  <c r="Z704" i="5"/>
  <c r="S703" i="5"/>
  <c r="Q703" i="5"/>
  <c r="A705" i="5"/>
  <c r="X704" i="5"/>
  <c r="AB704" i="5"/>
  <c r="AA704" i="5"/>
  <c r="Y704" i="5"/>
  <c r="AC704" i="5" s="1"/>
  <c r="W704" i="5"/>
  <c r="H704" i="5" a="1"/>
  <c r="C704" i="5" a="1"/>
  <c r="K704" i="5" a="1"/>
  <c r="L704" i="5" a="1"/>
  <c r="J704" i="5" a="1"/>
  <c r="M704" i="5" a="1"/>
  <c r="D704" i="5" a="1"/>
  <c r="N704" i="5" a="1"/>
  <c r="I704" i="5" a="1"/>
  <c r="O704" i="5" a="1"/>
  <c r="P704" i="5" a="1"/>
  <c r="U703" i="5" l="1" a="1"/>
  <c r="U703" i="5" s="1"/>
  <c r="V703" i="5" a="1"/>
  <c r="V703" i="5" s="1"/>
  <c r="M704" i="5"/>
  <c r="N704" i="5"/>
  <c r="L704" i="5"/>
  <c r="I704" i="5"/>
  <c r="K704" i="5"/>
  <c r="H704" i="5"/>
  <c r="C704" i="5"/>
  <c r="J704" i="5"/>
  <c r="O704" i="5"/>
  <c r="D704" i="5"/>
  <c r="P704" i="5"/>
  <c r="E705" i="5" a="1"/>
  <c r="E705" i="5" s="1"/>
  <c r="AB705" i="5" s="1"/>
  <c r="B705" i="5"/>
  <c r="P705" i="5" s="1" a="1"/>
  <c r="A706" i="5" a="1"/>
  <c r="R704" i="5" l="1"/>
  <c r="T704" i="5"/>
  <c r="P705" i="5"/>
  <c r="F705" i="5" a="1"/>
  <c r="F705" i="5" s="1"/>
  <c r="Q704" i="5"/>
  <c r="S704" i="5"/>
  <c r="A706" i="5"/>
  <c r="X705" i="5"/>
  <c r="AA705" i="5"/>
  <c r="Y705" i="5"/>
  <c r="AC705" i="5" s="1"/>
  <c r="W705" i="5"/>
  <c r="Z705" i="5"/>
  <c r="J705" i="5" a="1"/>
  <c r="D705" i="5" a="1"/>
  <c r="L705" i="5" a="1"/>
  <c r="H705" i="5" a="1"/>
  <c r="I705" i="5" a="1"/>
  <c r="M705" i="5" a="1"/>
  <c r="C705" i="5" a="1"/>
  <c r="O705" i="5" a="1"/>
  <c r="G705" i="5" a="1"/>
  <c r="K705" i="5" a="1"/>
  <c r="N705" i="5" a="1"/>
  <c r="U704" i="5" l="1" a="1"/>
  <c r="U704" i="5" s="1"/>
  <c r="V704" i="5" a="1"/>
  <c r="V704" i="5" s="1"/>
  <c r="K705" i="5"/>
  <c r="J705" i="5"/>
  <c r="H705" i="5"/>
  <c r="M705" i="5"/>
  <c r="T705" i="5" s="1"/>
  <c r="N705" i="5"/>
  <c r="G705" i="5"/>
  <c r="I705" i="5"/>
  <c r="C705" i="5"/>
  <c r="O705" i="5"/>
  <c r="L705" i="5"/>
  <c r="R705" i="5" s="1"/>
  <c r="D705" i="5"/>
  <c r="B706" i="5"/>
  <c r="F706" i="5" s="1" a="1"/>
  <c r="F706" i="5" s="1"/>
  <c r="E706" i="5" a="1"/>
  <c r="E706" i="5" s="1"/>
  <c r="Z706" i="5" s="1"/>
  <c r="A707" i="5" a="1"/>
  <c r="S705" i="5" l="1"/>
  <c r="V705" i="5" s="1" a="1"/>
  <c r="V705" i="5" s="1"/>
  <c r="Q705" i="5"/>
  <c r="U705" i="5" s="1" a="1"/>
  <c r="U705" i="5" s="1"/>
  <c r="A707" i="5"/>
  <c r="X706" i="5"/>
  <c r="AB706" i="5"/>
  <c r="Y706" i="5"/>
  <c r="AC706" i="5" s="1"/>
  <c r="AA706" i="5"/>
  <c r="W706" i="5"/>
  <c r="P706" i="5" a="1"/>
  <c r="L706" i="5" a="1"/>
  <c r="G706" i="5" a="1"/>
  <c r="A708" i="5" a="1"/>
  <c r="J706" i="5" a="1"/>
  <c r="H706" i="5" a="1"/>
  <c r="C706" i="5" a="1"/>
  <c r="N706" i="5" a="1"/>
  <c r="O706" i="5" a="1"/>
  <c r="I706" i="5" a="1"/>
  <c r="K706" i="5" a="1"/>
  <c r="M706" i="5" a="1"/>
  <c r="D706" i="5" a="1"/>
  <c r="M706" i="5" l="1"/>
  <c r="G706" i="5"/>
  <c r="L706" i="5"/>
  <c r="D706" i="5"/>
  <c r="J706" i="5"/>
  <c r="K706" i="5"/>
  <c r="I706" i="5"/>
  <c r="N706" i="5"/>
  <c r="H706" i="5"/>
  <c r="O706" i="5"/>
  <c r="C706" i="5"/>
  <c r="P706" i="5"/>
  <c r="B707" i="5"/>
  <c r="E707" i="5" a="1"/>
  <c r="E707" i="5" s="1"/>
  <c r="Z707" i="5" s="1"/>
  <c r="A708" i="5"/>
  <c r="D707" i="5" a="1"/>
  <c r="T706" i="5" l="1"/>
  <c r="D707" i="5"/>
  <c r="AB707" i="5"/>
  <c r="AA707" i="5"/>
  <c r="W707" i="5"/>
  <c r="X707" i="5"/>
  <c r="R706" i="5"/>
  <c r="Y707" i="5"/>
  <c r="AC707" i="5" s="1"/>
  <c r="E708" i="5" a="1"/>
  <c r="E708" i="5" s="1"/>
  <c r="X708" i="5" s="1"/>
  <c r="B708" i="5"/>
  <c r="G708" i="5" s="1" a="1"/>
  <c r="S706" i="5"/>
  <c r="Q706" i="5"/>
  <c r="O707" i="5" a="1"/>
  <c r="A709" i="5" a="1"/>
  <c r="J707" i="5" a="1"/>
  <c r="N707" i="5" a="1"/>
  <c r="K707" i="5" a="1"/>
  <c r="C707" i="5" a="1"/>
  <c r="I707" i="5" a="1"/>
  <c r="P707" i="5" a="1"/>
  <c r="G707" i="5" a="1"/>
  <c r="M707" i="5" a="1"/>
  <c r="F707" i="5" a="1"/>
  <c r="H707" i="5" a="1"/>
  <c r="L707" i="5" a="1"/>
  <c r="V706" i="5" l="1" a="1"/>
  <c r="V706" i="5" s="1"/>
  <c r="G708" i="5"/>
  <c r="F707" i="5"/>
  <c r="F708" i="5" s="1" a="1"/>
  <c r="F708" i="5" s="1"/>
  <c r="M707" i="5"/>
  <c r="K707" i="5"/>
  <c r="I707" i="5"/>
  <c r="O707" i="5"/>
  <c r="C707" i="5"/>
  <c r="P707" i="5"/>
  <c r="L707" i="5"/>
  <c r="J707" i="5"/>
  <c r="N707" i="5"/>
  <c r="H707" i="5"/>
  <c r="G707" i="5"/>
  <c r="U706" i="5" a="1"/>
  <c r="U706" i="5" s="1"/>
  <c r="AB708" i="5"/>
  <c r="Y708" i="5"/>
  <c r="AC708" i="5" s="1"/>
  <c r="AA708" i="5"/>
  <c r="A709" i="5"/>
  <c r="W708" i="5"/>
  <c r="Z708" i="5"/>
  <c r="K708" i="5" a="1"/>
  <c r="O708" i="5" a="1"/>
  <c r="C708" i="5" a="1"/>
  <c r="P708" i="5" a="1"/>
  <c r="M708" i="5" a="1"/>
  <c r="I708" i="5" a="1"/>
  <c r="D708" i="5" a="1"/>
  <c r="L708" i="5" a="1"/>
  <c r="H708" i="5" a="1"/>
  <c r="J708" i="5" a="1"/>
  <c r="N708" i="5" a="1"/>
  <c r="R707" i="5" l="1"/>
  <c r="C708" i="5"/>
  <c r="K708" i="5"/>
  <c r="H708" i="5"/>
  <c r="I708" i="5"/>
  <c r="J708" i="5"/>
  <c r="P708" i="5"/>
  <c r="D708" i="5"/>
  <c r="L708" i="5"/>
  <c r="O708" i="5"/>
  <c r="N708" i="5"/>
  <c r="M708" i="5"/>
  <c r="T707" i="5"/>
  <c r="Q707" i="5"/>
  <c r="S707" i="5"/>
  <c r="B709" i="5"/>
  <c r="P709" i="5" s="1" a="1"/>
  <c r="E709" i="5" a="1"/>
  <c r="E709" i="5" s="1"/>
  <c r="AB709" i="5" s="1"/>
  <c r="A710" i="5" a="1"/>
  <c r="U707" i="5" l="1" a="1"/>
  <c r="U707" i="5" s="1"/>
  <c r="V707" i="5" a="1"/>
  <c r="V707" i="5" s="1"/>
  <c r="P709" i="5"/>
  <c r="R708" i="5"/>
  <c r="T708" i="5"/>
  <c r="F709" i="5" a="1"/>
  <c r="F709" i="5" s="1"/>
  <c r="S708" i="5"/>
  <c r="Q708" i="5"/>
  <c r="W709" i="5"/>
  <c r="X709" i="5"/>
  <c r="A710" i="5"/>
  <c r="AA709" i="5"/>
  <c r="Y709" i="5"/>
  <c r="AC709" i="5" s="1"/>
  <c r="Z709" i="5"/>
  <c r="J709" i="5" a="1"/>
  <c r="H709" i="5" a="1"/>
  <c r="G709" i="5" a="1"/>
  <c r="K709" i="5" a="1"/>
  <c r="D709" i="5" a="1"/>
  <c r="O709" i="5" a="1"/>
  <c r="L709" i="5" a="1"/>
  <c r="N709" i="5" a="1"/>
  <c r="I709" i="5" a="1"/>
  <c r="M709" i="5" a="1"/>
  <c r="C709" i="5" a="1"/>
  <c r="V708" i="5" l="1" a="1"/>
  <c r="V708" i="5" s="1"/>
  <c r="K709" i="5"/>
  <c r="J709" i="5"/>
  <c r="O709" i="5"/>
  <c r="U708" i="5" a="1"/>
  <c r="U708" i="5" s="1"/>
  <c r="H709" i="5"/>
  <c r="D709" i="5"/>
  <c r="N709" i="5"/>
  <c r="L709" i="5"/>
  <c r="C709" i="5"/>
  <c r="I709" i="5"/>
  <c r="G709" i="5"/>
  <c r="M709" i="5"/>
  <c r="B710" i="5"/>
  <c r="E710" i="5" a="1"/>
  <c r="E710" i="5" s="1"/>
  <c r="A711" i="5" a="1"/>
  <c r="G710" i="5" a="1"/>
  <c r="G710" i="5" l="1"/>
  <c r="X710" i="5"/>
  <c r="T709" i="5"/>
  <c r="S709" i="5"/>
  <c r="Q709" i="5"/>
  <c r="R709" i="5"/>
  <c r="A711" i="5"/>
  <c r="Y710" i="5"/>
  <c r="AC710" i="5" s="1"/>
  <c r="AA710" i="5"/>
  <c r="W710" i="5"/>
  <c r="Z710" i="5"/>
  <c r="AB710" i="5"/>
  <c r="F710" i="5" a="1"/>
  <c r="O710" i="5" a="1"/>
  <c r="H710" i="5" a="1"/>
  <c r="D710" i="5" a="1"/>
  <c r="I710" i="5" a="1"/>
  <c r="P710" i="5" a="1"/>
  <c r="K710" i="5" a="1"/>
  <c r="N710" i="5" a="1"/>
  <c r="M710" i="5" a="1"/>
  <c r="J710" i="5" a="1"/>
  <c r="C710" i="5" a="1"/>
  <c r="L710" i="5" a="1"/>
  <c r="F710" i="5" l="1"/>
  <c r="U709" i="5" a="1"/>
  <c r="U709" i="5" s="1"/>
  <c r="M710" i="5"/>
  <c r="L710" i="5"/>
  <c r="N710" i="5"/>
  <c r="D710" i="5"/>
  <c r="J710" i="5"/>
  <c r="H710" i="5"/>
  <c r="K710" i="5"/>
  <c r="C710" i="5"/>
  <c r="O710" i="5"/>
  <c r="P710" i="5"/>
  <c r="I710" i="5"/>
  <c r="E711" i="5" a="1"/>
  <c r="E711" i="5" s="1"/>
  <c r="B711" i="5"/>
  <c r="V709" i="5" a="1"/>
  <c r="V709" i="5" s="1"/>
  <c r="A712" i="5" a="1"/>
  <c r="R710" i="5" l="1"/>
  <c r="T710" i="5"/>
  <c r="F711" i="5" a="1"/>
  <c r="F711" i="5" s="1"/>
  <c r="AB711" i="5"/>
  <c r="S710" i="5"/>
  <c r="Q710" i="5"/>
  <c r="A712" i="5"/>
  <c r="X711" i="5"/>
  <c r="AA711" i="5"/>
  <c r="W711" i="5"/>
  <c r="Y711" i="5"/>
  <c r="AC711" i="5" s="1"/>
  <c r="Z711" i="5"/>
  <c r="M711" i="5" a="1"/>
  <c r="G711" i="5" a="1"/>
  <c r="J711" i="5" a="1"/>
  <c r="N711" i="5" a="1"/>
  <c r="L711" i="5" a="1"/>
  <c r="K711" i="5" a="1"/>
  <c r="O711" i="5" a="1"/>
  <c r="P711" i="5" a="1"/>
  <c r="C711" i="5" a="1"/>
  <c r="D711" i="5" a="1"/>
  <c r="I711" i="5" a="1"/>
  <c r="H711" i="5" a="1"/>
  <c r="V710" i="5" l="1" a="1"/>
  <c r="V710" i="5" s="1"/>
  <c r="U710" i="5" a="1"/>
  <c r="U710" i="5" s="1"/>
  <c r="G711" i="5"/>
  <c r="N711" i="5"/>
  <c r="I711" i="5"/>
  <c r="J711" i="5"/>
  <c r="C711" i="5"/>
  <c r="O711" i="5"/>
  <c r="L711" i="5"/>
  <c r="D711" i="5"/>
  <c r="K711" i="5"/>
  <c r="P711" i="5"/>
  <c r="H711" i="5"/>
  <c r="M711" i="5"/>
  <c r="B712" i="5"/>
  <c r="F712" i="5" s="1" a="1"/>
  <c r="F712" i="5" s="1"/>
  <c r="E712" i="5" a="1"/>
  <c r="E712" i="5" s="1"/>
  <c r="A713" i="5" a="1"/>
  <c r="T711" i="5" l="1"/>
  <c r="Z712" i="5"/>
  <c r="R711" i="5"/>
  <c r="Q711" i="5"/>
  <c r="S711" i="5"/>
  <c r="A713" i="5"/>
  <c r="X712" i="5"/>
  <c r="Y712" i="5"/>
  <c r="AC712" i="5" s="1"/>
  <c r="AB712" i="5"/>
  <c r="AA712" i="5"/>
  <c r="W712" i="5"/>
  <c r="D712" i="5" a="1"/>
  <c r="J712" i="5" a="1"/>
  <c r="N712" i="5" a="1"/>
  <c r="I712" i="5" a="1"/>
  <c r="M712" i="5" a="1"/>
  <c r="C712" i="5" a="1"/>
  <c r="G712" i="5" a="1"/>
  <c r="L712" i="5" a="1"/>
  <c r="O712" i="5" a="1"/>
  <c r="P712" i="5" a="1"/>
  <c r="K712" i="5" a="1"/>
  <c r="H712" i="5" a="1"/>
  <c r="V711" i="5" l="1" a="1"/>
  <c r="V711" i="5" s="1"/>
  <c r="J712" i="5"/>
  <c r="G712" i="5"/>
  <c r="C712" i="5"/>
  <c r="D712" i="5"/>
  <c r="O712" i="5"/>
  <c r="K712" i="5"/>
  <c r="U711" i="5" a="1"/>
  <c r="U711" i="5" s="1"/>
  <c r="M712" i="5"/>
  <c r="N712" i="5"/>
  <c r="P712" i="5"/>
  <c r="L712" i="5"/>
  <c r="I712" i="5"/>
  <c r="H712" i="5"/>
  <c r="E713" i="5" a="1"/>
  <c r="E713" i="5" s="1"/>
  <c r="AB713" i="5" s="1"/>
  <c r="B713" i="5"/>
  <c r="F713" i="5" s="1" a="1"/>
  <c r="F713" i="5" s="1"/>
  <c r="A714" i="5" a="1"/>
  <c r="Q712" i="5" l="1"/>
  <c r="R712" i="5"/>
  <c r="T712" i="5"/>
  <c r="S712" i="5"/>
  <c r="A714" i="5"/>
  <c r="AA713" i="5"/>
  <c r="Y713" i="5"/>
  <c r="AC713" i="5" s="1"/>
  <c r="W713" i="5"/>
  <c r="X713" i="5"/>
  <c r="Z713" i="5"/>
  <c r="I713" i="5" a="1"/>
  <c r="C713" i="5" a="1"/>
  <c r="H713" i="5" a="1"/>
  <c r="G713" i="5" a="1"/>
  <c r="P713" i="5" a="1"/>
  <c r="J713" i="5" a="1"/>
  <c r="L713" i="5" a="1"/>
  <c r="D713" i="5" a="1"/>
  <c r="K713" i="5" a="1"/>
  <c r="M713" i="5" a="1"/>
  <c r="N713" i="5" a="1"/>
  <c r="O713" i="5" a="1"/>
  <c r="U712" i="5" l="1" a="1"/>
  <c r="U712" i="5" s="1"/>
  <c r="C713" i="5"/>
  <c r="N713" i="5"/>
  <c r="J713" i="5"/>
  <c r="H713" i="5"/>
  <c r="I713" i="5"/>
  <c r="D713" i="5"/>
  <c r="V712" i="5" a="1"/>
  <c r="V712" i="5" s="1"/>
  <c r="K713" i="5"/>
  <c r="M713" i="5"/>
  <c r="G713" i="5"/>
  <c r="P713" i="5"/>
  <c r="O713" i="5"/>
  <c r="L713" i="5"/>
  <c r="B714" i="5"/>
  <c r="E714" i="5" a="1"/>
  <c r="E714" i="5" s="1"/>
  <c r="X714" i="5" s="1"/>
  <c r="A715" i="5" a="1"/>
  <c r="Q713" i="5" l="1"/>
  <c r="S713" i="5"/>
  <c r="R713" i="5"/>
  <c r="F714" i="5" a="1"/>
  <c r="F714" i="5" s="1"/>
  <c r="T713" i="5"/>
  <c r="AA714" i="5"/>
  <c r="AB714" i="5"/>
  <c r="A715" i="5"/>
  <c r="Y714" i="5"/>
  <c r="AC714" i="5" s="1"/>
  <c r="W714" i="5"/>
  <c r="Z714" i="5"/>
  <c r="D714" i="5" a="1"/>
  <c r="K714" i="5" a="1"/>
  <c r="M714" i="5" a="1"/>
  <c r="L714" i="5" a="1"/>
  <c r="O714" i="5" a="1"/>
  <c r="N714" i="5" a="1"/>
  <c r="G714" i="5" a="1"/>
  <c r="P714" i="5" a="1"/>
  <c r="I714" i="5" a="1"/>
  <c r="H714" i="5" a="1"/>
  <c r="C714" i="5" a="1"/>
  <c r="J714" i="5" a="1"/>
  <c r="U713" i="5" l="1" a="1"/>
  <c r="U713" i="5" s="1"/>
  <c r="I714" i="5"/>
  <c r="G714" i="5"/>
  <c r="L714" i="5"/>
  <c r="K714" i="5"/>
  <c r="C714" i="5"/>
  <c r="H714" i="5"/>
  <c r="D714" i="5"/>
  <c r="P714" i="5"/>
  <c r="O714" i="5"/>
  <c r="M714" i="5"/>
  <c r="J714" i="5"/>
  <c r="N714" i="5"/>
  <c r="V713" i="5" a="1"/>
  <c r="V713" i="5" s="1"/>
  <c r="B715" i="5"/>
  <c r="E715" i="5" a="1"/>
  <c r="E715" i="5" s="1"/>
  <c r="A716" i="5" a="1"/>
  <c r="P715" i="5" a="1"/>
  <c r="R714" i="5" l="1"/>
  <c r="P715" i="5"/>
  <c r="AB715" i="5"/>
  <c r="F715" i="5" a="1"/>
  <c r="F715" i="5" s="1"/>
  <c r="T714" i="5"/>
  <c r="S714" i="5"/>
  <c r="Q714" i="5"/>
  <c r="A716" i="5"/>
  <c r="AA715" i="5"/>
  <c r="X715" i="5"/>
  <c r="Y715" i="5"/>
  <c r="AC715" i="5" s="1"/>
  <c r="W715" i="5"/>
  <c r="Z715" i="5"/>
  <c r="O715" i="5" a="1"/>
  <c r="J715" i="5" a="1"/>
  <c r="G715" i="5" a="1"/>
  <c r="I715" i="5" a="1"/>
  <c r="H715" i="5" a="1"/>
  <c r="M715" i="5" a="1"/>
  <c r="K715" i="5" a="1"/>
  <c r="N715" i="5" a="1"/>
  <c r="C715" i="5" a="1"/>
  <c r="D715" i="5" a="1"/>
  <c r="L715" i="5" a="1"/>
  <c r="U714" i="5" l="1" a="1"/>
  <c r="U714" i="5" s="1"/>
  <c r="H715" i="5"/>
  <c r="M715" i="5"/>
  <c r="T715" i="5" s="1"/>
  <c r="G715" i="5"/>
  <c r="C715" i="5"/>
  <c r="L715" i="5"/>
  <c r="R715" i="5" s="1"/>
  <c r="I715" i="5"/>
  <c r="V714" i="5" a="1"/>
  <c r="V714" i="5" s="1"/>
  <c r="N715" i="5"/>
  <c r="K715" i="5"/>
  <c r="D715" i="5"/>
  <c r="O715" i="5"/>
  <c r="J715" i="5"/>
  <c r="E716" i="5" a="1"/>
  <c r="E716" i="5" s="1"/>
  <c r="X716" i="5" s="1"/>
  <c r="B716" i="5"/>
  <c r="F716" i="5" s="1" a="1"/>
  <c r="F716" i="5" s="1"/>
  <c r="A717" i="5" a="1"/>
  <c r="S715" i="5" l="1"/>
  <c r="V715" i="5" s="1" a="1"/>
  <c r="V715" i="5" s="1"/>
  <c r="Q715" i="5"/>
  <c r="U715" i="5" s="1" a="1"/>
  <c r="U715" i="5" s="1"/>
  <c r="AB716" i="5"/>
  <c r="A717" i="5"/>
  <c r="Y716" i="5"/>
  <c r="AC716" i="5" s="1"/>
  <c r="AA716" i="5"/>
  <c r="W716" i="5"/>
  <c r="Z716" i="5"/>
  <c r="G716" i="5" a="1"/>
  <c r="J716" i="5" a="1"/>
  <c r="I716" i="5" a="1"/>
  <c r="P716" i="5" a="1"/>
  <c r="M716" i="5" a="1"/>
  <c r="L716" i="5" a="1"/>
  <c r="N716" i="5" a="1"/>
  <c r="K716" i="5" a="1"/>
  <c r="C716" i="5" a="1"/>
  <c r="H716" i="5" a="1"/>
  <c r="D716" i="5" a="1"/>
  <c r="O716" i="5" a="1"/>
  <c r="C716" i="5" l="1"/>
  <c r="I716" i="5"/>
  <c r="K716" i="5"/>
  <c r="N716" i="5"/>
  <c r="G716" i="5"/>
  <c r="J716" i="5"/>
  <c r="O716" i="5"/>
  <c r="D716" i="5"/>
  <c r="M716" i="5"/>
  <c r="L716" i="5"/>
  <c r="H716" i="5"/>
  <c r="P716" i="5"/>
  <c r="B717" i="5"/>
  <c r="E717" i="5" a="1"/>
  <c r="E717" i="5" s="1"/>
  <c r="A718" i="5" a="1"/>
  <c r="T716" i="5" l="1"/>
  <c r="S716" i="5"/>
  <c r="R716" i="5"/>
  <c r="Q716" i="5"/>
  <c r="AB717" i="5"/>
  <c r="A718" i="5"/>
  <c r="X717" i="5"/>
  <c r="W717" i="5"/>
  <c r="AA717" i="5"/>
  <c r="Y717" i="5"/>
  <c r="AC717" i="5" s="1"/>
  <c r="Z717" i="5"/>
  <c r="M717" i="5" a="1"/>
  <c r="D717" i="5" a="1"/>
  <c r="N717" i="5" a="1"/>
  <c r="G717" i="5" a="1"/>
  <c r="I717" i="5" a="1"/>
  <c r="H717" i="5" a="1"/>
  <c r="J717" i="5" a="1"/>
  <c r="O717" i="5" a="1"/>
  <c r="P717" i="5" a="1"/>
  <c r="F717" i="5" a="1"/>
  <c r="K717" i="5" a="1"/>
  <c r="C717" i="5" a="1"/>
  <c r="L717" i="5" a="1"/>
  <c r="U716" i="5" l="1" a="1"/>
  <c r="U716" i="5" s="1"/>
  <c r="V716" i="5" a="1"/>
  <c r="V716" i="5" s="1"/>
  <c r="M717" i="5"/>
  <c r="F717" i="5"/>
  <c r="H717" i="5"/>
  <c r="D717" i="5"/>
  <c r="P717" i="5"/>
  <c r="I717" i="5"/>
  <c r="J717" i="5"/>
  <c r="G717" i="5"/>
  <c r="L717" i="5"/>
  <c r="C717" i="5"/>
  <c r="O717" i="5"/>
  <c r="N717" i="5"/>
  <c r="K717" i="5"/>
  <c r="B718" i="5"/>
  <c r="F718" i="5" s="1" a="1"/>
  <c r="F718" i="5" s="1"/>
  <c r="E718" i="5" a="1"/>
  <c r="E718" i="5" s="1"/>
  <c r="X718" i="5" s="1"/>
  <c r="A719" i="5" a="1"/>
  <c r="R717" i="5" l="1"/>
  <c r="S717" i="5"/>
  <c r="Q717" i="5"/>
  <c r="T717" i="5"/>
  <c r="A719" i="5"/>
  <c r="Y718" i="5"/>
  <c r="AC718" i="5" s="1"/>
  <c r="AA718" i="5"/>
  <c r="W718" i="5"/>
  <c r="Z718" i="5"/>
  <c r="AB718" i="5"/>
  <c r="M718" i="5" a="1"/>
  <c r="I718" i="5" a="1"/>
  <c r="H718" i="5" a="1"/>
  <c r="D718" i="5" a="1"/>
  <c r="O718" i="5" a="1"/>
  <c r="N718" i="5" a="1"/>
  <c r="P718" i="5" a="1"/>
  <c r="L718" i="5" a="1"/>
  <c r="G718" i="5" a="1"/>
  <c r="J718" i="5" a="1"/>
  <c r="C718" i="5" a="1"/>
  <c r="K718" i="5" a="1"/>
  <c r="U717" i="5" l="1" a="1"/>
  <c r="U717" i="5" s="1"/>
  <c r="I718" i="5"/>
  <c r="C718" i="5"/>
  <c r="J718" i="5"/>
  <c r="G718" i="5"/>
  <c r="P718" i="5"/>
  <c r="L718" i="5"/>
  <c r="N718" i="5"/>
  <c r="K718" i="5"/>
  <c r="H718" i="5"/>
  <c r="D718" i="5"/>
  <c r="O718" i="5"/>
  <c r="M718" i="5"/>
  <c r="V717" i="5" a="1"/>
  <c r="V717" i="5" s="1"/>
  <c r="E719" i="5" a="1"/>
  <c r="E719" i="5" s="1"/>
  <c r="AB719" i="5" s="1"/>
  <c r="B719" i="5"/>
  <c r="A720" i="5" a="1"/>
  <c r="T718" i="5" l="1"/>
  <c r="R718" i="5"/>
  <c r="F719" i="5" a="1"/>
  <c r="F719" i="5" s="1"/>
  <c r="Q718" i="5"/>
  <c r="S718" i="5"/>
  <c r="A720" i="5"/>
  <c r="X719" i="5"/>
  <c r="AA719" i="5"/>
  <c r="Y719" i="5"/>
  <c r="AC719" i="5" s="1"/>
  <c r="W719" i="5"/>
  <c r="Z719" i="5"/>
  <c r="L719" i="5" a="1"/>
  <c r="K719" i="5" a="1"/>
  <c r="H719" i="5" a="1"/>
  <c r="I719" i="5" a="1"/>
  <c r="J719" i="5" a="1"/>
  <c r="N719" i="5" a="1"/>
  <c r="P719" i="5" a="1"/>
  <c r="O719" i="5" a="1"/>
  <c r="C719" i="5" a="1"/>
  <c r="M719" i="5" a="1"/>
  <c r="D719" i="5" a="1"/>
  <c r="G719" i="5" a="1"/>
  <c r="V718" i="5" l="1" a="1"/>
  <c r="V718" i="5" s="1"/>
  <c r="U718" i="5" a="1"/>
  <c r="U718" i="5" s="1"/>
  <c r="K719" i="5"/>
  <c r="M719" i="5"/>
  <c r="P719" i="5"/>
  <c r="G719" i="5"/>
  <c r="H719" i="5"/>
  <c r="L719" i="5"/>
  <c r="J719" i="5"/>
  <c r="N719" i="5"/>
  <c r="C719" i="5"/>
  <c r="I719" i="5"/>
  <c r="O719" i="5"/>
  <c r="D719" i="5"/>
  <c r="B720" i="5"/>
  <c r="F720" i="5" s="1" a="1"/>
  <c r="F720" i="5" s="1"/>
  <c r="E720" i="5" a="1"/>
  <c r="E720" i="5" s="1"/>
  <c r="Z720" i="5" s="1"/>
  <c r="A721" i="5" a="1"/>
  <c r="T719" i="5" l="1"/>
  <c r="R719" i="5"/>
  <c r="Q719" i="5"/>
  <c r="S719" i="5"/>
  <c r="A721" i="5"/>
  <c r="X720" i="5"/>
  <c r="Y720" i="5"/>
  <c r="AC720" i="5" s="1"/>
  <c r="AB720" i="5"/>
  <c r="AA720" i="5"/>
  <c r="W720" i="5"/>
  <c r="O720" i="5" a="1"/>
  <c r="N720" i="5" a="1"/>
  <c r="I720" i="5" a="1"/>
  <c r="G720" i="5" a="1"/>
  <c r="M720" i="5" a="1"/>
  <c r="J720" i="5" a="1"/>
  <c r="H720" i="5" a="1"/>
  <c r="L720" i="5" a="1"/>
  <c r="P720" i="5" a="1"/>
  <c r="C720" i="5" a="1"/>
  <c r="K720" i="5" a="1"/>
  <c r="D720" i="5" a="1"/>
  <c r="V719" i="5" l="1" a="1"/>
  <c r="V719" i="5" s="1"/>
  <c r="U719" i="5" a="1"/>
  <c r="U719" i="5" s="1"/>
  <c r="P720" i="5"/>
  <c r="C720" i="5"/>
  <c r="K720" i="5"/>
  <c r="M720" i="5"/>
  <c r="O720" i="5"/>
  <c r="D720" i="5"/>
  <c r="G720" i="5"/>
  <c r="I720" i="5"/>
  <c r="J720" i="5"/>
  <c r="L720" i="5"/>
  <c r="H720" i="5"/>
  <c r="N720" i="5"/>
  <c r="E721" i="5" a="1"/>
  <c r="E721" i="5" s="1"/>
  <c r="B721" i="5"/>
  <c r="N721" i="5" s="1" a="1"/>
  <c r="A722" i="5" a="1"/>
  <c r="T720" i="5" l="1"/>
  <c r="R720" i="5"/>
  <c r="N721" i="5"/>
  <c r="AB721" i="5"/>
  <c r="S720" i="5"/>
  <c r="Q720" i="5"/>
  <c r="A722" i="5"/>
  <c r="X721" i="5"/>
  <c r="AA721" i="5"/>
  <c r="Y721" i="5"/>
  <c r="AC721" i="5" s="1"/>
  <c r="W721" i="5"/>
  <c r="Z721" i="5"/>
  <c r="F721" i="5" a="1"/>
  <c r="M721" i="5" a="1"/>
  <c r="O721" i="5" a="1"/>
  <c r="C721" i="5" a="1"/>
  <c r="H721" i="5" a="1"/>
  <c r="K721" i="5" a="1"/>
  <c r="G721" i="5" a="1"/>
  <c r="L721" i="5" a="1"/>
  <c r="J721" i="5" a="1"/>
  <c r="P721" i="5" a="1"/>
  <c r="D721" i="5" a="1"/>
  <c r="I721" i="5" a="1"/>
  <c r="U720" i="5" l="1" a="1"/>
  <c r="U720" i="5" s="1"/>
  <c r="V720" i="5" a="1"/>
  <c r="V720" i="5" s="1"/>
  <c r="F721" i="5"/>
  <c r="M721" i="5"/>
  <c r="C721" i="5"/>
  <c r="G721" i="5"/>
  <c r="P721" i="5"/>
  <c r="L721" i="5"/>
  <c r="K721" i="5"/>
  <c r="D721" i="5"/>
  <c r="H721" i="5"/>
  <c r="J721" i="5"/>
  <c r="I721" i="5"/>
  <c r="O721" i="5"/>
  <c r="B722" i="5"/>
  <c r="F722" i="5" s="1" a="1"/>
  <c r="F722" i="5" s="1"/>
  <c r="E722" i="5" a="1"/>
  <c r="E722" i="5" s="1"/>
  <c r="A723" i="5" a="1"/>
  <c r="R721" i="5" l="1"/>
  <c r="Q721" i="5"/>
  <c r="S721" i="5"/>
  <c r="Z722" i="5"/>
  <c r="T721" i="5"/>
  <c r="A723" i="5"/>
  <c r="X722" i="5"/>
  <c r="AB722" i="5"/>
  <c r="Y722" i="5"/>
  <c r="AC722" i="5" s="1"/>
  <c r="AA722" i="5"/>
  <c r="W722" i="5"/>
  <c r="K722" i="5" a="1"/>
  <c r="P722" i="5" a="1"/>
  <c r="G722" i="5" a="1"/>
  <c r="J722" i="5" a="1"/>
  <c r="I722" i="5" a="1"/>
  <c r="M722" i="5" a="1"/>
  <c r="H722" i="5" a="1"/>
  <c r="C722" i="5" a="1"/>
  <c r="N722" i="5" a="1"/>
  <c r="L722" i="5" a="1"/>
  <c r="O722" i="5" a="1"/>
  <c r="D722" i="5" a="1"/>
  <c r="O722" i="5" l="1"/>
  <c r="I722" i="5"/>
  <c r="M722" i="5"/>
  <c r="L722" i="5"/>
  <c r="N722" i="5"/>
  <c r="H722" i="5"/>
  <c r="J722" i="5"/>
  <c r="K722" i="5"/>
  <c r="G722" i="5"/>
  <c r="C722" i="5"/>
  <c r="D722" i="5"/>
  <c r="P722" i="5"/>
  <c r="B723" i="5"/>
  <c r="E723" i="5" a="1"/>
  <c r="E723" i="5" s="1"/>
  <c r="V721" i="5" a="1"/>
  <c r="V721" i="5" s="1"/>
  <c r="U721" i="5" a="1"/>
  <c r="U721" i="5" s="1"/>
  <c r="A724" i="5" a="1"/>
  <c r="D723" i="5" a="1"/>
  <c r="R722" i="5" l="1"/>
  <c r="T722" i="5"/>
  <c r="D723" i="5"/>
  <c r="F723" i="5" a="1"/>
  <c r="F723" i="5" s="1"/>
  <c r="AB723" i="5"/>
  <c r="Q722" i="5"/>
  <c r="S722" i="5"/>
  <c r="A724" i="5"/>
  <c r="X723" i="5"/>
  <c r="AA723" i="5"/>
  <c r="W723" i="5"/>
  <c r="Y723" i="5"/>
  <c r="AC723" i="5" s="1"/>
  <c r="Z723" i="5"/>
  <c r="H723" i="5" a="1"/>
  <c r="M723" i="5" a="1"/>
  <c r="I723" i="5" a="1"/>
  <c r="L723" i="5" a="1"/>
  <c r="G723" i="5" a="1"/>
  <c r="J723" i="5" a="1"/>
  <c r="O723" i="5" a="1"/>
  <c r="K723" i="5" a="1"/>
  <c r="P723" i="5" a="1"/>
  <c r="N723" i="5" a="1"/>
  <c r="C723" i="5" a="1"/>
  <c r="U722" i="5" l="1" a="1"/>
  <c r="U722" i="5" s="1"/>
  <c r="V722" i="5" a="1"/>
  <c r="V722" i="5" s="1"/>
  <c r="C723" i="5"/>
  <c r="G723" i="5"/>
  <c r="J723" i="5"/>
  <c r="L723" i="5"/>
  <c r="P723" i="5"/>
  <c r="I723" i="5"/>
  <c r="K723" i="5"/>
  <c r="H723" i="5"/>
  <c r="O723" i="5"/>
  <c r="N723" i="5"/>
  <c r="M723" i="5"/>
  <c r="E724" i="5" a="1"/>
  <c r="E724" i="5" s="1"/>
  <c r="B724" i="5"/>
  <c r="N724" i="5" s="1" a="1"/>
  <c r="A725" i="5" a="1"/>
  <c r="R723" i="5" l="1"/>
  <c r="N724" i="5"/>
  <c r="T723" i="5"/>
  <c r="F724" i="5" a="1"/>
  <c r="F724" i="5" s="1"/>
  <c r="Z724" i="5"/>
  <c r="Q723" i="5"/>
  <c r="S723" i="5"/>
  <c r="A725" i="5"/>
  <c r="X724" i="5"/>
  <c r="AB724" i="5"/>
  <c r="AA724" i="5"/>
  <c r="Y724" i="5"/>
  <c r="AC724" i="5" s="1"/>
  <c r="W724" i="5"/>
  <c r="H724" i="5" a="1"/>
  <c r="M724" i="5" a="1"/>
  <c r="D724" i="5" a="1"/>
  <c r="G724" i="5" a="1"/>
  <c r="J724" i="5" a="1"/>
  <c r="C724" i="5" a="1"/>
  <c r="O724" i="5" a="1"/>
  <c r="K724" i="5" a="1"/>
  <c r="L724" i="5" a="1"/>
  <c r="I724" i="5" a="1"/>
  <c r="P724" i="5" a="1"/>
  <c r="U723" i="5" l="1" a="1"/>
  <c r="U723" i="5" s="1"/>
  <c r="V723" i="5" a="1"/>
  <c r="V723" i="5" s="1"/>
  <c r="K724" i="5"/>
  <c r="H724" i="5"/>
  <c r="J724" i="5"/>
  <c r="M724" i="5"/>
  <c r="G724" i="5"/>
  <c r="I724" i="5"/>
  <c r="D724" i="5"/>
  <c r="C724" i="5"/>
  <c r="L724" i="5"/>
  <c r="O724" i="5"/>
  <c r="P724" i="5"/>
  <c r="B725" i="5"/>
  <c r="F725" i="5" s="1" a="1"/>
  <c r="F725" i="5" s="1"/>
  <c r="E725" i="5" a="1"/>
  <c r="E725" i="5" s="1"/>
  <c r="AB725" i="5" s="1"/>
  <c r="A726" i="5" a="1"/>
  <c r="T724" i="5" l="1"/>
  <c r="R724" i="5"/>
  <c r="S724" i="5"/>
  <c r="Q724" i="5"/>
  <c r="A726" i="5"/>
  <c r="AA725" i="5"/>
  <c r="X725" i="5"/>
  <c r="Y725" i="5"/>
  <c r="AC725" i="5" s="1"/>
  <c r="W725" i="5"/>
  <c r="Z725" i="5"/>
  <c r="H725" i="5" a="1"/>
  <c r="K725" i="5" a="1"/>
  <c r="D725" i="5" a="1"/>
  <c r="M725" i="5" a="1"/>
  <c r="L725" i="5" a="1"/>
  <c r="P725" i="5" a="1"/>
  <c r="I725" i="5" a="1"/>
  <c r="G725" i="5" a="1"/>
  <c r="O725" i="5" a="1"/>
  <c r="C725" i="5" a="1"/>
  <c r="J725" i="5" a="1"/>
  <c r="N725" i="5" a="1"/>
  <c r="U724" i="5" l="1" a="1"/>
  <c r="U724" i="5" s="1"/>
  <c r="V724" i="5" a="1"/>
  <c r="V724" i="5" s="1"/>
  <c r="I725" i="5"/>
  <c r="G725" i="5"/>
  <c r="C725" i="5"/>
  <c r="H725" i="5"/>
  <c r="D725" i="5"/>
  <c r="J725" i="5"/>
  <c r="P725" i="5"/>
  <c r="N725" i="5"/>
  <c r="K725" i="5"/>
  <c r="L725" i="5"/>
  <c r="O725" i="5"/>
  <c r="M725" i="5"/>
  <c r="B726" i="5"/>
  <c r="O726" i="5" s="1" a="1"/>
  <c r="E726" i="5" a="1"/>
  <c r="E726" i="5" s="1"/>
  <c r="Z726" i="5" s="1"/>
  <c r="A727" i="5" a="1"/>
  <c r="T725" i="5" l="1"/>
  <c r="R725" i="5"/>
  <c r="O726" i="5"/>
  <c r="F726" i="5" a="1"/>
  <c r="F726" i="5" s="1"/>
  <c r="Q725" i="5"/>
  <c r="S725" i="5"/>
  <c r="AB726" i="5"/>
  <c r="X726" i="5"/>
  <c r="A727" i="5"/>
  <c r="Y726" i="5"/>
  <c r="AC726" i="5" s="1"/>
  <c r="AA726" i="5"/>
  <c r="W726" i="5"/>
  <c r="K726" i="5" a="1"/>
  <c r="H726" i="5" a="1"/>
  <c r="M726" i="5" a="1"/>
  <c r="C726" i="5" a="1"/>
  <c r="D726" i="5" a="1"/>
  <c r="P726" i="5" a="1"/>
  <c r="G726" i="5" a="1"/>
  <c r="I726" i="5" a="1"/>
  <c r="J726" i="5" a="1"/>
  <c r="N726" i="5" a="1"/>
  <c r="L726" i="5" a="1"/>
  <c r="U725" i="5" l="1" a="1"/>
  <c r="U725" i="5" s="1"/>
  <c r="V725" i="5" a="1"/>
  <c r="V725" i="5" s="1"/>
  <c r="L726" i="5"/>
  <c r="Q726" i="5" s="1"/>
  <c r="H726" i="5"/>
  <c r="G726" i="5"/>
  <c r="M726" i="5"/>
  <c r="N726" i="5"/>
  <c r="J726" i="5"/>
  <c r="I726" i="5"/>
  <c r="D726" i="5"/>
  <c r="K726" i="5"/>
  <c r="P726" i="5"/>
  <c r="C726" i="5"/>
  <c r="E727" i="5" a="1"/>
  <c r="E727" i="5" s="1"/>
  <c r="X727" i="5" s="1"/>
  <c r="B727" i="5"/>
  <c r="A728" i="5" a="1"/>
  <c r="R726" i="5" l="1"/>
  <c r="U726" i="5" s="1" a="1"/>
  <c r="U726" i="5" s="1"/>
  <c r="T726" i="5"/>
  <c r="S726" i="5"/>
  <c r="A728" i="5"/>
  <c r="W727" i="5"/>
  <c r="AA727" i="5"/>
  <c r="Y727" i="5"/>
  <c r="AC727" i="5" s="1"/>
  <c r="Z727" i="5"/>
  <c r="AB727" i="5"/>
  <c r="O727" i="5" a="1"/>
  <c r="N727" i="5" a="1"/>
  <c r="I727" i="5" a="1"/>
  <c r="L727" i="5" a="1"/>
  <c r="P727" i="5" a="1"/>
  <c r="M727" i="5" a="1"/>
  <c r="D727" i="5" a="1"/>
  <c r="G727" i="5" a="1"/>
  <c r="J727" i="5" a="1"/>
  <c r="K727" i="5" a="1"/>
  <c r="F727" i="5" a="1"/>
  <c r="C727" i="5" a="1"/>
  <c r="H727" i="5" a="1"/>
  <c r="V726" i="5" l="1" a="1"/>
  <c r="V726" i="5" s="1"/>
  <c r="N727" i="5"/>
  <c r="J727" i="5"/>
  <c r="D727" i="5"/>
  <c r="O727" i="5"/>
  <c r="L727" i="5"/>
  <c r="K727" i="5"/>
  <c r="P727" i="5"/>
  <c r="I727" i="5"/>
  <c r="G727" i="5"/>
  <c r="F727" i="5"/>
  <c r="C727" i="5"/>
  <c r="M727" i="5"/>
  <c r="H727" i="5"/>
  <c r="B728" i="5"/>
  <c r="E728" i="5" a="1"/>
  <c r="E728" i="5" s="1"/>
  <c r="Z728" i="5" s="1"/>
  <c r="A729" i="5" a="1"/>
  <c r="G728" i="5" a="1"/>
  <c r="R727" i="5" l="1"/>
  <c r="G728" i="5"/>
  <c r="F728" i="5" a="1"/>
  <c r="F728" i="5" s="1"/>
  <c r="T727" i="5"/>
  <c r="Q727" i="5"/>
  <c r="S727" i="5"/>
  <c r="A729" i="5"/>
  <c r="X728" i="5"/>
  <c r="AB728" i="5"/>
  <c r="Y728" i="5"/>
  <c r="AC728" i="5" s="1"/>
  <c r="AA728" i="5"/>
  <c r="W728" i="5"/>
  <c r="K728" i="5" a="1"/>
  <c r="L728" i="5" a="1"/>
  <c r="N728" i="5" a="1"/>
  <c r="O728" i="5" a="1"/>
  <c r="H728" i="5" a="1"/>
  <c r="P728" i="5" a="1"/>
  <c r="M728" i="5" a="1"/>
  <c r="C728" i="5" a="1"/>
  <c r="D728" i="5" a="1"/>
  <c r="J728" i="5" a="1"/>
  <c r="I728" i="5" a="1"/>
  <c r="U727" i="5" l="1" a="1"/>
  <c r="U727" i="5" s="1"/>
  <c r="I728" i="5"/>
  <c r="J728" i="5"/>
  <c r="P728" i="5"/>
  <c r="N728" i="5"/>
  <c r="L728" i="5"/>
  <c r="O728" i="5"/>
  <c r="C728" i="5"/>
  <c r="M728" i="5"/>
  <c r="D728" i="5"/>
  <c r="K728" i="5"/>
  <c r="H728" i="5"/>
  <c r="E729" i="5" a="1"/>
  <c r="E729" i="5" s="1"/>
  <c r="AB729" i="5" s="1"/>
  <c r="B729" i="5"/>
  <c r="V727" i="5" a="1"/>
  <c r="V727" i="5" s="1"/>
  <c r="A730" i="5" a="1"/>
  <c r="L729" i="5" a="1"/>
  <c r="T728" i="5" l="1"/>
  <c r="L729" i="5"/>
  <c r="Q728" i="5"/>
  <c r="S728" i="5"/>
  <c r="F729" i="5" a="1"/>
  <c r="F729" i="5" s="1"/>
  <c r="R728" i="5"/>
  <c r="A730" i="5"/>
  <c r="AA729" i="5"/>
  <c r="X729" i="5"/>
  <c r="Y729" i="5"/>
  <c r="AC729" i="5" s="1"/>
  <c r="W729" i="5"/>
  <c r="Z729" i="5"/>
  <c r="P729" i="5" a="1"/>
  <c r="J729" i="5" a="1"/>
  <c r="N729" i="5" a="1"/>
  <c r="H729" i="5" a="1"/>
  <c r="O729" i="5" a="1"/>
  <c r="C729" i="5" a="1"/>
  <c r="K729" i="5" a="1"/>
  <c r="I729" i="5" a="1"/>
  <c r="M729" i="5" a="1"/>
  <c r="G729" i="5" a="1"/>
  <c r="D729" i="5" a="1"/>
  <c r="V728" i="5" l="1" a="1"/>
  <c r="V728" i="5" s="1"/>
  <c r="I729" i="5"/>
  <c r="D729" i="5"/>
  <c r="K729" i="5"/>
  <c r="G729" i="5"/>
  <c r="H729" i="5"/>
  <c r="C729" i="5"/>
  <c r="N729" i="5"/>
  <c r="P729" i="5"/>
  <c r="R729" i="5" s="1"/>
  <c r="J729" i="5"/>
  <c r="O729" i="5"/>
  <c r="M729" i="5"/>
  <c r="U728" i="5" a="1"/>
  <c r="U728" i="5" s="1"/>
  <c r="B730" i="5"/>
  <c r="J730" i="5" s="1" a="1"/>
  <c r="E730" i="5" a="1"/>
  <c r="E730" i="5" s="1"/>
  <c r="A731" i="5" a="1"/>
  <c r="J730" i="5" l="1"/>
  <c r="T729" i="5"/>
  <c r="Z730" i="5"/>
  <c r="F730" i="5" a="1"/>
  <c r="F730" i="5" s="1"/>
  <c r="Q729" i="5"/>
  <c r="U729" i="5" s="1" a="1"/>
  <c r="U729" i="5" s="1"/>
  <c r="S729" i="5"/>
  <c r="A731" i="5"/>
  <c r="X730" i="5"/>
  <c r="AB730" i="5"/>
  <c r="Y730" i="5"/>
  <c r="AC730" i="5" s="1"/>
  <c r="AA730" i="5"/>
  <c r="W730" i="5"/>
  <c r="D730" i="5" a="1"/>
  <c r="O730" i="5" a="1"/>
  <c r="K730" i="5" a="1"/>
  <c r="C730" i="5" a="1"/>
  <c r="P730" i="5" a="1"/>
  <c r="I730" i="5" a="1"/>
  <c r="L730" i="5" a="1"/>
  <c r="M730" i="5" a="1"/>
  <c r="H730" i="5" a="1"/>
  <c r="G730" i="5" a="1"/>
  <c r="N730" i="5" a="1"/>
  <c r="V729" i="5" l="1" a="1"/>
  <c r="V729" i="5" s="1"/>
  <c r="M730" i="5"/>
  <c r="P730" i="5"/>
  <c r="O730" i="5"/>
  <c r="I730" i="5"/>
  <c r="K730" i="5"/>
  <c r="N730" i="5"/>
  <c r="L730" i="5"/>
  <c r="H730" i="5"/>
  <c r="G730" i="5"/>
  <c r="D730" i="5"/>
  <c r="C730" i="5"/>
  <c r="B731" i="5"/>
  <c r="N731" i="5" s="1" a="1"/>
  <c r="E731" i="5" a="1"/>
  <c r="E731" i="5" s="1"/>
  <c r="A732" i="5" a="1"/>
  <c r="T730" i="5" l="1"/>
  <c r="N731" i="5"/>
  <c r="F731" i="5" a="1"/>
  <c r="F731" i="5" s="1"/>
  <c r="S730" i="5"/>
  <c r="Q730" i="5"/>
  <c r="R730" i="5"/>
  <c r="AB731" i="5"/>
  <c r="A732" i="5"/>
  <c r="X731" i="5"/>
  <c r="AA731" i="5"/>
  <c r="Y731" i="5"/>
  <c r="AC731" i="5" s="1"/>
  <c r="W731" i="5"/>
  <c r="Z731" i="5"/>
  <c r="J731" i="5" a="1"/>
  <c r="L731" i="5" a="1"/>
  <c r="D731" i="5" a="1"/>
  <c r="O731" i="5" a="1"/>
  <c r="M731" i="5" a="1"/>
  <c r="C731" i="5" a="1"/>
  <c r="K731" i="5" a="1"/>
  <c r="H731" i="5" a="1"/>
  <c r="G731" i="5" a="1"/>
  <c r="I731" i="5" a="1"/>
  <c r="P731" i="5" a="1"/>
  <c r="V730" i="5" l="1" a="1"/>
  <c r="V730" i="5" s="1"/>
  <c r="U730" i="5" a="1"/>
  <c r="U730" i="5" s="1"/>
  <c r="I731" i="5"/>
  <c r="K731" i="5"/>
  <c r="P731" i="5"/>
  <c r="C731" i="5"/>
  <c r="L731" i="5"/>
  <c r="O731" i="5"/>
  <c r="H731" i="5"/>
  <c r="D731" i="5"/>
  <c r="J731" i="5"/>
  <c r="M731" i="5"/>
  <c r="G731" i="5"/>
  <c r="E732" i="5" a="1"/>
  <c r="E732" i="5" s="1"/>
  <c r="B732" i="5"/>
  <c r="J732" i="5" s="1" a="1"/>
  <c r="A733" i="5" a="1"/>
  <c r="T731" i="5" l="1"/>
  <c r="J732" i="5"/>
  <c r="S731" i="5"/>
  <c r="Q731" i="5"/>
  <c r="R731" i="5"/>
  <c r="Z732" i="5"/>
  <c r="X732" i="5"/>
  <c r="A733" i="5"/>
  <c r="AB732" i="5"/>
  <c r="Y732" i="5"/>
  <c r="AC732" i="5" s="1"/>
  <c r="AA732" i="5"/>
  <c r="W732" i="5"/>
  <c r="F732" i="5" a="1"/>
  <c r="M732" i="5" a="1"/>
  <c r="C732" i="5" a="1"/>
  <c r="K732" i="5" a="1"/>
  <c r="I732" i="5" a="1"/>
  <c r="P732" i="5" a="1"/>
  <c r="D732" i="5" a="1"/>
  <c r="O732" i="5" a="1"/>
  <c r="L732" i="5" a="1"/>
  <c r="H732" i="5" a="1"/>
  <c r="N732" i="5" a="1"/>
  <c r="G732" i="5" a="1"/>
  <c r="V731" i="5" l="1" a="1"/>
  <c r="V731" i="5" s="1"/>
  <c r="F732" i="5"/>
  <c r="U731" i="5" a="1"/>
  <c r="U731" i="5" s="1"/>
  <c r="H732" i="5"/>
  <c r="C732" i="5"/>
  <c r="D732" i="5"/>
  <c r="I732" i="5"/>
  <c r="K732" i="5"/>
  <c r="O732" i="5"/>
  <c r="L732" i="5"/>
  <c r="M732" i="5"/>
  <c r="N732" i="5"/>
  <c r="P732" i="5"/>
  <c r="G732" i="5"/>
  <c r="B733" i="5"/>
  <c r="E733" i="5" a="1"/>
  <c r="E733" i="5" s="1"/>
  <c r="X733" i="5" s="1"/>
  <c r="A734" i="5" a="1"/>
  <c r="F733" i="5" l="1" a="1"/>
  <c r="F733" i="5" s="1"/>
  <c r="T732" i="5"/>
  <c r="R732" i="5"/>
  <c r="Q732" i="5"/>
  <c r="S732" i="5"/>
  <c r="A734" i="5"/>
  <c r="W733" i="5"/>
  <c r="AA733" i="5"/>
  <c r="Y733" i="5"/>
  <c r="AC733" i="5" s="1"/>
  <c r="Z733" i="5"/>
  <c r="AB733" i="5"/>
  <c r="N733" i="5" a="1"/>
  <c r="J733" i="5" a="1"/>
  <c r="I733" i="5" a="1"/>
  <c r="G733" i="5" a="1"/>
  <c r="M733" i="5" a="1"/>
  <c r="P733" i="5" a="1"/>
  <c r="K733" i="5" a="1"/>
  <c r="C733" i="5" a="1"/>
  <c r="D733" i="5" a="1"/>
  <c r="L733" i="5" a="1"/>
  <c r="H733" i="5" a="1"/>
  <c r="O733" i="5" a="1"/>
  <c r="V732" i="5" l="1" a="1"/>
  <c r="V732" i="5" s="1"/>
  <c r="U732" i="5" a="1"/>
  <c r="U732" i="5" s="1"/>
  <c r="D733" i="5"/>
  <c r="G733" i="5"/>
  <c r="K733" i="5"/>
  <c r="C733" i="5"/>
  <c r="L733" i="5"/>
  <c r="H733" i="5"/>
  <c r="J733" i="5"/>
  <c r="M733" i="5"/>
  <c r="O733" i="5"/>
  <c r="I733" i="5"/>
  <c r="N733" i="5"/>
  <c r="P733" i="5"/>
  <c r="B734" i="5"/>
  <c r="E734" i="5" a="1"/>
  <c r="E734" i="5" s="1"/>
  <c r="Z734" i="5" s="1"/>
  <c r="N734" i="5" a="1"/>
  <c r="A735" i="5" a="1"/>
  <c r="R733" i="5" l="1"/>
  <c r="N734" i="5"/>
  <c r="Q733" i="5"/>
  <c r="S733" i="5"/>
  <c r="T733" i="5"/>
  <c r="F734" i="5" a="1"/>
  <c r="F734" i="5" s="1"/>
  <c r="X734" i="5"/>
  <c r="A735" i="5"/>
  <c r="AB734" i="5"/>
  <c r="Y734" i="5"/>
  <c r="AC734" i="5" s="1"/>
  <c r="AA734" i="5"/>
  <c r="W734" i="5"/>
  <c r="C734" i="5" a="1"/>
  <c r="I734" i="5" a="1"/>
  <c r="O734" i="5" a="1"/>
  <c r="J734" i="5" a="1"/>
  <c r="M734" i="5" a="1"/>
  <c r="P734" i="5" a="1"/>
  <c r="K734" i="5" a="1"/>
  <c r="H734" i="5" a="1"/>
  <c r="G734" i="5" a="1"/>
  <c r="D734" i="5" a="1"/>
  <c r="L734" i="5" a="1"/>
  <c r="U733" i="5" l="1" a="1"/>
  <c r="U733" i="5" s="1"/>
  <c r="V733" i="5" a="1"/>
  <c r="V733" i="5" s="1"/>
  <c r="L734" i="5"/>
  <c r="P734" i="5"/>
  <c r="G734" i="5"/>
  <c r="C734" i="5"/>
  <c r="O734" i="5"/>
  <c r="J734" i="5"/>
  <c r="D734" i="5"/>
  <c r="H734" i="5"/>
  <c r="I734" i="5"/>
  <c r="M734" i="5"/>
  <c r="K734" i="5"/>
  <c r="E735" i="5" a="1"/>
  <c r="E735" i="5" s="1"/>
  <c r="B735" i="5"/>
  <c r="N735" i="5" s="1" a="1"/>
  <c r="A736" i="5" a="1"/>
  <c r="T734" i="5" l="1"/>
  <c r="R734" i="5"/>
  <c r="N735" i="5"/>
  <c r="F735" i="5" a="1"/>
  <c r="F735" i="5" s="1"/>
  <c r="AB735" i="5"/>
  <c r="Q734" i="5"/>
  <c r="S734" i="5"/>
  <c r="A736" i="5"/>
  <c r="X735" i="5"/>
  <c r="AA735" i="5"/>
  <c r="Y735" i="5"/>
  <c r="AC735" i="5" s="1"/>
  <c r="W735" i="5"/>
  <c r="Z735" i="5"/>
  <c r="O735" i="5" a="1"/>
  <c r="K735" i="5" a="1"/>
  <c r="I735" i="5" a="1"/>
  <c r="J735" i="5" a="1"/>
  <c r="L735" i="5" a="1"/>
  <c r="C735" i="5" a="1"/>
  <c r="G735" i="5" a="1"/>
  <c r="P735" i="5" a="1"/>
  <c r="D735" i="5" a="1"/>
  <c r="H735" i="5" a="1"/>
  <c r="M735" i="5" a="1"/>
  <c r="V734" i="5" l="1" a="1"/>
  <c r="V734" i="5" s="1"/>
  <c r="U734" i="5" a="1"/>
  <c r="U734" i="5" s="1"/>
  <c r="L735" i="5"/>
  <c r="K735" i="5"/>
  <c r="H735" i="5"/>
  <c r="C735" i="5"/>
  <c r="P735" i="5"/>
  <c r="G735" i="5"/>
  <c r="D735" i="5"/>
  <c r="I735" i="5"/>
  <c r="J735" i="5"/>
  <c r="O735" i="5"/>
  <c r="M735" i="5"/>
  <c r="B736" i="5"/>
  <c r="F736" i="5" s="1" a="1"/>
  <c r="F736" i="5" s="1"/>
  <c r="E736" i="5" a="1"/>
  <c r="E736" i="5" s="1"/>
  <c r="Z736" i="5" s="1"/>
  <c r="A737" i="5" a="1"/>
  <c r="R735" i="5" l="1"/>
  <c r="T735" i="5"/>
  <c r="S735" i="5"/>
  <c r="Q735" i="5"/>
  <c r="A737" i="5"/>
  <c r="X736" i="5"/>
  <c r="AB736" i="5"/>
  <c r="Y736" i="5"/>
  <c r="AC736" i="5" s="1"/>
  <c r="AA736" i="5"/>
  <c r="W736" i="5"/>
  <c r="D736" i="5" a="1"/>
  <c r="C736" i="5" a="1"/>
  <c r="I736" i="5" a="1"/>
  <c r="J736" i="5" a="1"/>
  <c r="O736" i="5" a="1"/>
  <c r="P736" i="5" a="1"/>
  <c r="K736" i="5" a="1"/>
  <c r="M736" i="5" a="1"/>
  <c r="N736" i="5" a="1"/>
  <c r="G736" i="5" a="1"/>
  <c r="H736" i="5" a="1"/>
  <c r="L736" i="5" a="1"/>
  <c r="U735" i="5" l="1" a="1"/>
  <c r="U735" i="5" s="1"/>
  <c r="H736" i="5"/>
  <c r="J736" i="5"/>
  <c r="V735" i="5" a="1"/>
  <c r="V735" i="5" s="1"/>
  <c r="O736" i="5"/>
  <c r="N736" i="5"/>
  <c r="K736" i="5"/>
  <c r="D736" i="5"/>
  <c r="G736" i="5"/>
  <c r="I736" i="5"/>
  <c r="C736" i="5"/>
  <c r="M736" i="5"/>
  <c r="P736" i="5"/>
  <c r="L736" i="5"/>
  <c r="E737" i="5" a="1"/>
  <c r="E737" i="5" s="1"/>
  <c r="B737" i="5"/>
  <c r="G737" i="5" s="1" a="1"/>
  <c r="A738" i="5" a="1"/>
  <c r="Q736" i="5" l="1"/>
  <c r="T736" i="5"/>
  <c r="S736" i="5"/>
  <c r="R736" i="5"/>
  <c r="G737" i="5"/>
  <c r="AB737" i="5"/>
  <c r="A738" i="5"/>
  <c r="X737" i="5"/>
  <c r="AA737" i="5"/>
  <c r="Y737" i="5"/>
  <c r="AC737" i="5" s="1"/>
  <c r="W737" i="5"/>
  <c r="Z737" i="5"/>
  <c r="M737" i="5" a="1"/>
  <c r="J737" i="5" a="1"/>
  <c r="O737" i="5" a="1"/>
  <c r="L737" i="5" a="1"/>
  <c r="N737" i="5" a="1"/>
  <c r="I737" i="5" a="1"/>
  <c r="D737" i="5" a="1"/>
  <c r="C737" i="5" a="1"/>
  <c r="H737" i="5" a="1"/>
  <c r="F737" i="5" a="1"/>
  <c r="K737" i="5" a="1"/>
  <c r="P737" i="5" a="1"/>
  <c r="U736" i="5" l="1" a="1"/>
  <c r="U736" i="5" s="1"/>
  <c r="V736" i="5" a="1"/>
  <c r="V736" i="5" s="1"/>
  <c r="O737" i="5"/>
  <c r="D737" i="5"/>
  <c r="P737" i="5"/>
  <c r="L737" i="5"/>
  <c r="I737" i="5"/>
  <c r="K737" i="5"/>
  <c r="C737" i="5"/>
  <c r="N737" i="5"/>
  <c r="J737" i="5"/>
  <c r="H737" i="5"/>
  <c r="F737" i="5"/>
  <c r="M737" i="5"/>
  <c r="B738" i="5"/>
  <c r="E738" i="5" a="1"/>
  <c r="E738" i="5" s="1"/>
  <c r="Z738" i="5" s="1"/>
  <c r="A739" i="5" a="1"/>
  <c r="N738" i="5" a="1"/>
  <c r="T737" i="5" l="1"/>
  <c r="R737" i="5"/>
  <c r="N738" i="5"/>
  <c r="F738" i="5" a="1"/>
  <c r="F738" i="5" s="1"/>
  <c r="S737" i="5"/>
  <c r="Q737" i="5"/>
  <c r="A739" i="5"/>
  <c r="X738" i="5"/>
  <c r="AB738" i="5"/>
  <c r="Y738" i="5"/>
  <c r="AC738" i="5" s="1"/>
  <c r="AA738" i="5"/>
  <c r="W738" i="5"/>
  <c r="D738" i="5" a="1"/>
  <c r="C738" i="5" a="1"/>
  <c r="L738" i="5" a="1"/>
  <c r="H738" i="5" a="1"/>
  <c r="M738" i="5" a="1"/>
  <c r="K738" i="5" a="1"/>
  <c r="G738" i="5" a="1"/>
  <c r="P738" i="5" a="1"/>
  <c r="J738" i="5" a="1"/>
  <c r="O738" i="5" a="1"/>
  <c r="I738" i="5" a="1"/>
  <c r="V737" i="5" l="1" a="1"/>
  <c r="V737" i="5" s="1"/>
  <c r="U737" i="5" a="1"/>
  <c r="U737" i="5" s="1"/>
  <c r="D738" i="5"/>
  <c r="J738" i="5"/>
  <c r="I738" i="5"/>
  <c r="K738" i="5"/>
  <c r="M738" i="5"/>
  <c r="O738" i="5"/>
  <c r="G738" i="5"/>
  <c r="L738" i="5"/>
  <c r="C738" i="5"/>
  <c r="H738" i="5"/>
  <c r="P738" i="5"/>
  <c r="B739" i="5"/>
  <c r="O739" i="5" s="1" a="1"/>
  <c r="E739" i="5" a="1"/>
  <c r="E739" i="5" s="1"/>
  <c r="X739" i="5" s="1"/>
  <c r="A740" i="5" a="1"/>
  <c r="T738" i="5" l="1"/>
  <c r="O739" i="5"/>
  <c r="R738" i="5"/>
  <c r="S738" i="5"/>
  <c r="Q738" i="5"/>
  <c r="F739" i="5" a="1"/>
  <c r="F739" i="5" s="1"/>
  <c r="A740" i="5"/>
  <c r="AA739" i="5"/>
  <c r="W739" i="5"/>
  <c r="Y739" i="5"/>
  <c r="AC739" i="5" s="1"/>
  <c r="Z739" i="5"/>
  <c r="AB739" i="5"/>
  <c r="M739" i="5" a="1"/>
  <c r="L739" i="5" a="1"/>
  <c r="J739" i="5" a="1"/>
  <c r="I739" i="5" a="1"/>
  <c r="H739" i="5" a="1"/>
  <c r="C739" i="5" a="1"/>
  <c r="G739" i="5" a="1"/>
  <c r="P739" i="5" a="1"/>
  <c r="N739" i="5" a="1"/>
  <c r="D739" i="5" a="1"/>
  <c r="K739" i="5" a="1"/>
  <c r="V738" i="5" l="1" a="1"/>
  <c r="V738" i="5" s="1"/>
  <c r="U738" i="5" a="1"/>
  <c r="U738" i="5" s="1"/>
  <c r="C739" i="5"/>
  <c r="N739" i="5"/>
  <c r="L739" i="5"/>
  <c r="Q739" i="5" s="1"/>
  <c r="J739" i="5"/>
  <c r="P739" i="5"/>
  <c r="I739" i="5"/>
  <c r="D739" i="5"/>
  <c r="H739" i="5"/>
  <c r="M739" i="5"/>
  <c r="G739" i="5"/>
  <c r="K739" i="5"/>
  <c r="E740" i="5" a="1"/>
  <c r="E740" i="5" s="1"/>
  <c r="Z740" i="5" s="1"/>
  <c r="B740" i="5"/>
  <c r="A741" i="5" a="1"/>
  <c r="R739" i="5" l="1"/>
  <c r="U739" i="5" s="1" a="1"/>
  <c r="U739" i="5" s="1"/>
  <c r="F740" i="5" a="1"/>
  <c r="F740" i="5" s="1"/>
  <c r="S739" i="5"/>
  <c r="T739" i="5"/>
  <c r="A741" i="5"/>
  <c r="X740" i="5"/>
  <c r="AB740" i="5"/>
  <c r="Y740" i="5"/>
  <c r="AC740" i="5" s="1"/>
  <c r="AA740" i="5"/>
  <c r="W740" i="5"/>
  <c r="D740" i="5" a="1"/>
  <c r="L740" i="5" a="1"/>
  <c r="C740" i="5" a="1"/>
  <c r="H740" i="5" a="1"/>
  <c r="N740" i="5" a="1"/>
  <c r="P740" i="5" a="1"/>
  <c r="G740" i="5" a="1"/>
  <c r="K740" i="5" a="1"/>
  <c r="J740" i="5" a="1"/>
  <c r="M740" i="5" a="1"/>
  <c r="O740" i="5" a="1"/>
  <c r="I740" i="5" a="1"/>
  <c r="O740" i="5" l="1"/>
  <c r="C740" i="5"/>
  <c r="K740" i="5"/>
  <c r="P740" i="5"/>
  <c r="D740" i="5"/>
  <c r="L740" i="5"/>
  <c r="J740" i="5"/>
  <c r="I740" i="5"/>
  <c r="M740" i="5"/>
  <c r="N740" i="5"/>
  <c r="H740" i="5"/>
  <c r="G740" i="5"/>
  <c r="B741" i="5"/>
  <c r="F741" i="5" s="1" a="1"/>
  <c r="F741" i="5" s="1"/>
  <c r="E741" i="5" a="1"/>
  <c r="E741" i="5" s="1"/>
  <c r="V739" i="5" a="1"/>
  <c r="V739" i="5" s="1"/>
  <c r="A742" i="5" a="1"/>
  <c r="T740" i="5" l="1"/>
  <c r="R740" i="5"/>
  <c r="X741" i="5"/>
  <c r="Q740" i="5"/>
  <c r="S740" i="5"/>
  <c r="A742" i="5"/>
  <c r="AA741" i="5"/>
  <c r="Y741" i="5"/>
  <c r="AC741" i="5" s="1"/>
  <c r="Z741" i="5"/>
  <c r="AB741" i="5"/>
  <c r="W741" i="5"/>
  <c r="H741" i="5" a="1"/>
  <c r="G741" i="5" a="1"/>
  <c r="L741" i="5" a="1"/>
  <c r="K741" i="5" a="1"/>
  <c r="O741" i="5" a="1"/>
  <c r="N741" i="5" a="1"/>
  <c r="C741" i="5" a="1"/>
  <c r="I741" i="5" a="1"/>
  <c r="M741" i="5" a="1"/>
  <c r="J741" i="5" a="1"/>
  <c r="D741" i="5" a="1"/>
  <c r="P741" i="5" a="1"/>
  <c r="V740" i="5" l="1" a="1"/>
  <c r="V740" i="5" s="1"/>
  <c r="N741" i="5"/>
  <c r="M741" i="5"/>
  <c r="L741" i="5"/>
  <c r="H741" i="5"/>
  <c r="O741" i="5"/>
  <c r="I741" i="5"/>
  <c r="J741" i="5"/>
  <c r="G741" i="5"/>
  <c r="K741" i="5"/>
  <c r="C741" i="5"/>
  <c r="D741" i="5"/>
  <c r="U740" i="5" a="1"/>
  <c r="U740" i="5" s="1"/>
  <c r="P741" i="5"/>
  <c r="E742" i="5" a="1"/>
  <c r="E742" i="5" s="1"/>
  <c r="B742" i="5"/>
  <c r="L742" i="5" s="1" a="1"/>
  <c r="A743" i="5" a="1"/>
  <c r="S741" i="5" l="1"/>
  <c r="Q741" i="5"/>
  <c r="L742" i="5"/>
  <c r="Z742" i="5"/>
  <c r="F742" i="5" a="1"/>
  <c r="F742" i="5" s="1"/>
  <c r="T741" i="5"/>
  <c r="R741" i="5"/>
  <c r="X742" i="5"/>
  <c r="A743" i="5"/>
  <c r="AB742" i="5"/>
  <c r="Y742" i="5"/>
  <c r="AC742" i="5" s="1"/>
  <c r="AA742" i="5"/>
  <c r="W742" i="5"/>
  <c r="N742" i="5" a="1"/>
  <c r="K742" i="5" a="1"/>
  <c r="I742" i="5" a="1"/>
  <c r="H742" i="5" a="1"/>
  <c r="M742" i="5" a="1"/>
  <c r="C742" i="5" a="1"/>
  <c r="J742" i="5" a="1"/>
  <c r="O742" i="5" a="1"/>
  <c r="P742" i="5" a="1"/>
  <c r="G742" i="5" a="1"/>
  <c r="D742" i="5" a="1"/>
  <c r="V741" i="5" l="1" a="1"/>
  <c r="V741" i="5" s="1"/>
  <c r="U741" i="5" a="1"/>
  <c r="U741" i="5" s="1"/>
  <c r="I742" i="5"/>
  <c r="K742" i="5"/>
  <c r="G742" i="5"/>
  <c r="O742" i="5"/>
  <c r="C742" i="5"/>
  <c r="H742" i="5"/>
  <c r="N742" i="5"/>
  <c r="P742" i="5"/>
  <c r="R742" i="5" s="1"/>
  <c r="D742" i="5"/>
  <c r="J742" i="5"/>
  <c r="M742" i="5"/>
  <c r="B743" i="5"/>
  <c r="F743" i="5" s="1" a="1"/>
  <c r="F743" i="5" s="1"/>
  <c r="E743" i="5" a="1"/>
  <c r="E743" i="5" s="1"/>
  <c r="AB743" i="5" s="1"/>
  <c r="A744" i="5" a="1"/>
  <c r="S742" i="5" l="1"/>
  <c r="Q742" i="5"/>
  <c r="U742" i="5" s="1" a="1"/>
  <c r="U742" i="5" s="1"/>
  <c r="T742" i="5"/>
  <c r="A744" i="5"/>
  <c r="X743" i="5"/>
  <c r="W743" i="5"/>
  <c r="AA743" i="5"/>
  <c r="Y743" i="5"/>
  <c r="AC743" i="5" s="1"/>
  <c r="Z743" i="5"/>
  <c r="N743" i="5" a="1"/>
  <c r="J743" i="5" a="1"/>
  <c r="H743" i="5" a="1"/>
  <c r="P743" i="5" a="1"/>
  <c r="L743" i="5" a="1"/>
  <c r="M743" i="5" a="1"/>
  <c r="K743" i="5" a="1"/>
  <c r="D743" i="5" a="1"/>
  <c r="I743" i="5" a="1"/>
  <c r="G743" i="5" a="1"/>
  <c r="C743" i="5" a="1"/>
  <c r="O743" i="5" a="1"/>
  <c r="M743" i="5" l="1"/>
  <c r="P743" i="5"/>
  <c r="C743" i="5"/>
  <c r="G743" i="5"/>
  <c r="J743" i="5"/>
  <c r="D743" i="5"/>
  <c r="O743" i="5"/>
  <c r="L743" i="5"/>
  <c r="H743" i="5"/>
  <c r="I743" i="5"/>
  <c r="K743" i="5"/>
  <c r="N743" i="5"/>
  <c r="B744" i="5"/>
  <c r="D744" i="5" s="1" a="1"/>
  <c r="E744" i="5" a="1"/>
  <c r="E744" i="5" s="1"/>
  <c r="V742" i="5" a="1"/>
  <c r="V742" i="5" s="1"/>
  <c r="A745" i="5" a="1"/>
  <c r="D744" i="5" l="1"/>
  <c r="S743" i="5"/>
  <c r="Q743" i="5"/>
  <c r="F744" i="5" a="1"/>
  <c r="F744" i="5" s="1"/>
  <c r="Z744" i="5"/>
  <c r="R743" i="5"/>
  <c r="T743" i="5"/>
  <c r="AB744" i="5"/>
  <c r="X744" i="5"/>
  <c r="A745" i="5"/>
  <c r="Y744" i="5"/>
  <c r="AC744" i="5" s="1"/>
  <c r="AA744" i="5"/>
  <c r="W744" i="5"/>
  <c r="C744" i="5" a="1"/>
  <c r="I744" i="5" a="1"/>
  <c r="H744" i="5" a="1"/>
  <c r="G744" i="5" a="1"/>
  <c r="K744" i="5" a="1"/>
  <c r="P744" i="5" a="1"/>
  <c r="N744" i="5" a="1"/>
  <c r="J744" i="5" a="1"/>
  <c r="L744" i="5" a="1"/>
  <c r="M744" i="5" a="1"/>
  <c r="O744" i="5" a="1"/>
  <c r="U743" i="5" l="1" a="1"/>
  <c r="U743" i="5" s="1"/>
  <c r="K744" i="5"/>
  <c r="P744" i="5"/>
  <c r="L744" i="5"/>
  <c r="G744" i="5"/>
  <c r="H744" i="5"/>
  <c r="M744" i="5"/>
  <c r="O744" i="5"/>
  <c r="J744" i="5"/>
  <c r="C744" i="5"/>
  <c r="N744" i="5"/>
  <c r="I744" i="5"/>
  <c r="V743" i="5" a="1"/>
  <c r="V743" i="5" s="1"/>
  <c r="E745" i="5" a="1"/>
  <c r="E745" i="5" s="1"/>
  <c r="AB745" i="5" s="1"/>
  <c r="B745" i="5"/>
  <c r="G745" i="5" s="1" a="1"/>
  <c r="A746" i="5" a="1"/>
  <c r="T744" i="5" l="1"/>
  <c r="R744" i="5"/>
  <c r="G745" i="5"/>
  <c r="S744" i="5"/>
  <c r="Q744" i="5"/>
  <c r="F745" i="5" a="1"/>
  <c r="F745" i="5" s="1"/>
  <c r="A746" i="5"/>
  <c r="X745" i="5"/>
  <c r="AA745" i="5"/>
  <c r="Y745" i="5"/>
  <c r="AC745" i="5" s="1"/>
  <c r="W745" i="5"/>
  <c r="Z745" i="5"/>
  <c r="O745" i="5" a="1"/>
  <c r="I745" i="5" a="1"/>
  <c r="P745" i="5" a="1"/>
  <c r="D745" i="5" a="1"/>
  <c r="L745" i="5" a="1"/>
  <c r="C745" i="5" a="1"/>
  <c r="J745" i="5" a="1"/>
  <c r="N745" i="5" a="1"/>
  <c r="K745" i="5" a="1"/>
  <c r="M745" i="5" a="1"/>
  <c r="H745" i="5" a="1"/>
  <c r="U744" i="5" l="1" a="1"/>
  <c r="U744" i="5" s="1"/>
  <c r="V744" i="5" a="1"/>
  <c r="V744" i="5" s="1"/>
  <c r="C745" i="5"/>
  <c r="J745" i="5"/>
  <c r="M745" i="5"/>
  <c r="N745" i="5"/>
  <c r="D745" i="5"/>
  <c r="O745" i="5"/>
  <c r="P745" i="5"/>
  <c r="H745" i="5"/>
  <c r="K745" i="5"/>
  <c r="I745" i="5"/>
  <c r="L745" i="5"/>
  <c r="B746" i="5"/>
  <c r="F746" i="5" s="1" a="1"/>
  <c r="F746" i="5" s="1"/>
  <c r="E746" i="5" a="1"/>
  <c r="E746" i="5" s="1"/>
  <c r="Z746" i="5" s="1"/>
  <c r="A747" i="5" a="1"/>
  <c r="R745" i="5" l="1"/>
  <c r="Q745" i="5"/>
  <c r="S745" i="5"/>
  <c r="T745" i="5"/>
  <c r="A747" i="5"/>
  <c r="X746" i="5"/>
  <c r="AA746" i="5"/>
  <c r="Y746" i="5"/>
  <c r="AC746" i="5" s="1"/>
  <c r="AB746" i="5"/>
  <c r="W746" i="5"/>
  <c r="G746" i="5" a="1"/>
  <c r="O746" i="5" a="1"/>
  <c r="D746" i="5" a="1"/>
  <c r="P746" i="5" a="1"/>
  <c r="H746" i="5" a="1"/>
  <c r="J746" i="5" a="1"/>
  <c r="M746" i="5" a="1"/>
  <c r="N746" i="5" a="1"/>
  <c r="I746" i="5" a="1"/>
  <c r="L746" i="5" a="1"/>
  <c r="K746" i="5" a="1"/>
  <c r="C746" i="5" a="1"/>
  <c r="H746" i="5" l="1"/>
  <c r="U745" i="5" a="1"/>
  <c r="U745" i="5" s="1"/>
  <c r="D746" i="5"/>
  <c r="K746" i="5"/>
  <c r="P746" i="5"/>
  <c r="G746" i="5"/>
  <c r="C746" i="5"/>
  <c r="J746" i="5"/>
  <c r="L746" i="5"/>
  <c r="V745" i="5" a="1"/>
  <c r="V745" i="5" s="1"/>
  <c r="N746" i="5"/>
  <c r="O746" i="5"/>
  <c r="M746" i="5"/>
  <c r="I746" i="5"/>
  <c r="B747" i="5"/>
  <c r="M747" i="5" s="1" a="1"/>
  <c r="E747" i="5" a="1"/>
  <c r="E747" i="5" s="1"/>
  <c r="A748" i="5" a="1"/>
  <c r="R746" i="5" l="1"/>
  <c r="T746" i="5"/>
  <c r="M747" i="5"/>
  <c r="AB747" i="5"/>
  <c r="Q746" i="5"/>
  <c r="S746" i="5"/>
  <c r="A748" i="5"/>
  <c r="X747" i="5"/>
  <c r="AA747" i="5"/>
  <c r="Z747" i="5"/>
  <c r="Y747" i="5"/>
  <c r="AC747" i="5" s="1"/>
  <c r="W747" i="5"/>
  <c r="F747" i="5" a="1"/>
  <c r="N747" i="5" a="1"/>
  <c r="G747" i="5" a="1"/>
  <c r="P747" i="5" a="1"/>
  <c r="D747" i="5" a="1"/>
  <c r="I747" i="5" a="1"/>
  <c r="L747" i="5" a="1"/>
  <c r="O747" i="5" a="1"/>
  <c r="J747" i="5" a="1"/>
  <c r="H747" i="5" a="1"/>
  <c r="K747" i="5" a="1"/>
  <c r="C747" i="5" a="1"/>
  <c r="U746" i="5" l="1" a="1"/>
  <c r="U746" i="5" s="1"/>
  <c r="V746" i="5" a="1"/>
  <c r="V746" i="5" s="1"/>
  <c r="F747" i="5"/>
  <c r="L747" i="5"/>
  <c r="G747" i="5"/>
  <c r="K747" i="5"/>
  <c r="N747" i="5"/>
  <c r="I747" i="5"/>
  <c r="C747" i="5"/>
  <c r="J747" i="5"/>
  <c r="H747" i="5"/>
  <c r="P747" i="5"/>
  <c r="T747" i="5" s="1"/>
  <c r="O747" i="5"/>
  <c r="D747" i="5"/>
  <c r="E748" i="5" a="1"/>
  <c r="E748" i="5" s="1"/>
  <c r="Z748" i="5" s="1"/>
  <c r="B748" i="5"/>
  <c r="M748" i="5" s="1" a="1"/>
  <c r="A749" i="5" a="1"/>
  <c r="R747" i="5" l="1"/>
  <c r="M748" i="5"/>
  <c r="F748" i="5" a="1"/>
  <c r="F748" i="5" s="1"/>
  <c r="S747" i="5"/>
  <c r="V747" i="5" s="1" a="1"/>
  <c r="V747" i="5" s="1"/>
  <c r="Q747" i="5"/>
  <c r="AB748" i="5"/>
  <c r="X748" i="5"/>
  <c r="A749" i="5"/>
  <c r="Y748" i="5"/>
  <c r="AC748" i="5" s="1"/>
  <c r="AA748" i="5"/>
  <c r="W748" i="5"/>
  <c r="G748" i="5" a="1"/>
  <c r="D748" i="5" a="1"/>
  <c r="N748" i="5" a="1"/>
  <c r="K748" i="5" a="1"/>
  <c r="H748" i="5" a="1"/>
  <c r="I748" i="5" a="1"/>
  <c r="J748" i="5" a="1"/>
  <c r="L748" i="5" a="1"/>
  <c r="O748" i="5" a="1"/>
  <c r="P748" i="5" a="1"/>
  <c r="C748" i="5" a="1"/>
  <c r="U747" i="5" l="1" a="1"/>
  <c r="U747" i="5" s="1"/>
  <c r="N748" i="5"/>
  <c r="P748" i="5"/>
  <c r="C748" i="5"/>
  <c r="D748" i="5"/>
  <c r="I748" i="5"/>
  <c r="H748" i="5"/>
  <c r="K748" i="5"/>
  <c r="O748" i="5"/>
  <c r="J748" i="5"/>
  <c r="G748" i="5"/>
  <c r="L748" i="5"/>
  <c r="B749" i="5"/>
  <c r="F749" i="5" s="1" a="1"/>
  <c r="F749" i="5" s="1"/>
  <c r="E749" i="5" a="1"/>
  <c r="E749" i="5" s="1"/>
  <c r="AB749" i="5" s="1"/>
  <c r="A750" i="5" a="1"/>
  <c r="S748" i="5" l="1"/>
  <c r="Q748" i="5"/>
  <c r="R748" i="5"/>
  <c r="T748" i="5"/>
  <c r="A750" i="5"/>
  <c r="W749" i="5"/>
  <c r="AA749" i="5"/>
  <c r="Y749" i="5"/>
  <c r="AC749" i="5" s="1"/>
  <c r="X749" i="5"/>
  <c r="Z749" i="5"/>
  <c r="I749" i="5" a="1"/>
  <c r="O749" i="5" a="1"/>
  <c r="J749" i="5" a="1"/>
  <c r="C749" i="5" a="1"/>
  <c r="H749" i="5" a="1"/>
  <c r="L749" i="5" a="1"/>
  <c r="P749" i="5" a="1"/>
  <c r="K749" i="5" a="1"/>
  <c r="M749" i="5" a="1"/>
  <c r="N749" i="5" a="1"/>
  <c r="G749" i="5" a="1"/>
  <c r="D749" i="5" a="1"/>
  <c r="G749" i="5" l="1"/>
  <c r="K749" i="5"/>
  <c r="C749" i="5"/>
  <c r="P749" i="5"/>
  <c r="D749" i="5"/>
  <c r="I749" i="5"/>
  <c r="M749" i="5"/>
  <c r="L749" i="5"/>
  <c r="J749" i="5"/>
  <c r="O749" i="5"/>
  <c r="H749" i="5"/>
  <c r="N749" i="5"/>
  <c r="E750" i="5" a="1"/>
  <c r="E750" i="5" s="1"/>
  <c r="B750" i="5"/>
  <c r="U748" i="5" a="1"/>
  <c r="U748" i="5" s="1"/>
  <c r="V748" i="5" a="1"/>
  <c r="V748" i="5" s="1"/>
  <c r="A751" i="5" a="1"/>
  <c r="G750" i="5" a="1"/>
  <c r="T749" i="5" l="1"/>
  <c r="R749" i="5"/>
  <c r="G750" i="5"/>
  <c r="Z750" i="5"/>
  <c r="S749" i="5"/>
  <c r="Q749" i="5"/>
  <c r="F750" i="5" a="1"/>
  <c r="F750" i="5" s="1"/>
  <c r="AB750" i="5"/>
  <c r="X750" i="5"/>
  <c r="A751" i="5"/>
  <c r="Y750" i="5"/>
  <c r="AC750" i="5" s="1"/>
  <c r="AA750" i="5"/>
  <c r="W750" i="5"/>
  <c r="J750" i="5" a="1"/>
  <c r="D750" i="5" a="1"/>
  <c r="O750" i="5" a="1"/>
  <c r="K750" i="5" a="1"/>
  <c r="M750" i="5" a="1"/>
  <c r="I750" i="5" a="1"/>
  <c r="L750" i="5" a="1"/>
  <c r="C750" i="5" a="1"/>
  <c r="N750" i="5" a="1"/>
  <c r="H750" i="5" a="1"/>
  <c r="P750" i="5" a="1"/>
  <c r="U749" i="5" l="1" a="1"/>
  <c r="U749" i="5" s="1"/>
  <c r="V749" i="5" a="1"/>
  <c r="V749" i="5" s="1"/>
  <c r="C750" i="5"/>
  <c r="I750" i="5"/>
  <c r="N750" i="5"/>
  <c r="D750" i="5"/>
  <c r="K750" i="5"/>
  <c r="L750" i="5"/>
  <c r="J750" i="5"/>
  <c r="M750" i="5"/>
  <c r="O750" i="5"/>
  <c r="P750" i="5"/>
  <c r="H750" i="5"/>
  <c r="B751" i="5"/>
  <c r="F751" i="5" s="1" a="1"/>
  <c r="F751" i="5" s="1"/>
  <c r="E751" i="5" a="1"/>
  <c r="E751" i="5" s="1"/>
  <c r="A752" i="5" a="1"/>
  <c r="T750" i="5" l="1"/>
  <c r="R750" i="5"/>
  <c r="AB751" i="5"/>
  <c r="S750" i="5"/>
  <c r="Q750" i="5"/>
  <c r="A752" i="5"/>
  <c r="AA751" i="5"/>
  <c r="X751" i="5"/>
  <c r="Y751" i="5"/>
  <c r="AC751" i="5" s="1"/>
  <c r="W751" i="5"/>
  <c r="Z751" i="5"/>
  <c r="M751" i="5" a="1"/>
  <c r="O751" i="5" a="1"/>
  <c r="N751" i="5" a="1"/>
  <c r="K751" i="5" a="1"/>
  <c r="C751" i="5" a="1"/>
  <c r="H751" i="5" a="1"/>
  <c r="G751" i="5" a="1"/>
  <c r="P751" i="5" a="1"/>
  <c r="J751" i="5" a="1"/>
  <c r="D751" i="5" a="1"/>
  <c r="L751" i="5" a="1"/>
  <c r="I751" i="5" a="1"/>
  <c r="V750" i="5" l="1" a="1"/>
  <c r="V750" i="5" s="1"/>
  <c r="U750" i="5" a="1"/>
  <c r="U750" i="5" s="1"/>
  <c r="G751" i="5"/>
  <c r="K751" i="5"/>
  <c r="P751" i="5"/>
  <c r="H751" i="5"/>
  <c r="M751" i="5"/>
  <c r="I751" i="5"/>
  <c r="O751" i="5"/>
  <c r="D751" i="5"/>
  <c r="L751" i="5"/>
  <c r="C751" i="5"/>
  <c r="N751" i="5"/>
  <c r="J751" i="5"/>
  <c r="B752" i="5"/>
  <c r="O752" i="5" s="1" a="1"/>
  <c r="E752" i="5" a="1"/>
  <c r="E752" i="5" s="1"/>
  <c r="A753" i="5" a="1"/>
  <c r="T751" i="5" l="1"/>
  <c r="O752" i="5"/>
  <c r="Z752" i="5"/>
  <c r="S751" i="5"/>
  <c r="Q751" i="5"/>
  <c r="F752" i="5" a="1"/>
  <c r="F752" i="5" s="1"/>
  <c r="R751" i="5"/>
  <c r="A753" i="5"/>
  <c r="X752" i="5"/>
  <c r="AB752" i="5"/>
  <c r="Y752" i="5"/>
  <c r="AC752" i="5" s="1"/>
  <c r="AA752" i="5"/>
  <c r="W752" i="5"/>
  <c r="G752" i="5" a="1"/>
  <c r="P752" i="5" a="1"/>
  <c r="K752" i="5" a="1"/>
  <c r="H752" i="5" a="1"/>
  <c r="J752" i="5" a="1"/>
  <c r="M752" i="5" a="1"/>
  <c r="C752" i="5" a="1"/>
  <c r="L752" i="5" a="1"/>
  <c r="N752" i="5" a="1"/>
  <c r="D752" i="5" a="1"/>
  <c r="I752" i="5" a="1"/>
  <c r="V751" i="5" l="1" a="1"/>
  <c r="V751" i="5" s="1"/>
  <c r="L752" i="5"/>
  <c r="Q752" i="5" s="1"/>
  <c r="G752" i="5"/>
  <c r="J752" i="5"/>
  <c r="M752" i="5"/>
  <c r="I752" i="5"/>
  <c r="H752" i="5"/>
  <c r="D752" i="5"/>
  <c r="N752" i="5"/>
  <c r="P752" i="5"/>
  <c r="K752" i="5"/>
  <c r="C752" i="5"/>
  <c r="U751" i="5" a="1"/>
  <c r="U751" i="5" s="1"/>
  <c r="E753" i="5" a="1"/>
  <c r="E753" i="5" s="1"/>
  <c r="B753" i="5"/>
  <c r="A754" i="5" a="1"/>
  <c r="C753" i="5" a="1"/>
  <c r="R752" i="5" l="1"/>
  <c r="U752" i="5" s="1" a="1"/>
  <c r="U752" i="5" s="1"/>
  <c r="C753" i="5"/>
  <c r="F753" i="5" a="1"/>
  <c r="F753" i="5" s="1"/>
  <c r="T752" i="5"/>
  <c r="S752" i="5"/>
  <c r="AB753" i="5"/>
  <c r="A754" i="5"/>
  <c r="AA753" i="5"/>
  <c r="X753" i="5"/>
  <c r="Y753" i="5"/>
  <c r="AC753" i="5" s="1"/>
  <c r="W753" i="5"/>
  <c r="Z753" i="5"/>
  <c r="G753" i="5" a="1"/>
  <c r="P753" i="5" a="1"/>
  <c r="N753" i="5" a="1"/>
  <c r="M753" i="5" a="1"/>
  <c r="H753" i="5" a="1"/>
  <c r="O753" i="5" a="1"/>
  <c r="D753" i="5" a="1"/>
  <c r="K753" i="5" a="1"/>
  <c r="I753" i="5" a="1"/>
  <c r="L753" i="5" a="1"/>
  <c r="J753" i="5" a="1"/>
  <c r="V752" i="5" l="1" a="1"/>
  <c r="V752" i="5" s="1"/>
  <c r="H753" i="5"/>
  <c r="O753" i="5"/>
  <c r="N753" i="5"/>
  <c r="G753" i="5"/>
  <c r="K753" i="5"/>
  <c r="I753" i="5"/>
  <c r="D753" i="5"/>
  <c r="J753" i="5"/>
  <c r="L753" i="5"/>
  <c r="P753" i="5"/>
  <c r="M753" i="5"/>
  <c r="B754" i="5"/>
  <c r="L754" i="5" s="1" a="1"/>
  <c r="E754" i="5" a="1"/>
  <c r="E754" i="5" s="1"/>
  <c r="Z754" i="5" s="1"/>
  <c r="A755" i="5" a="1"/>
  <c r="T753" i="5" l="1"/>
  <c r="F754" i="5" a="1"/>
  <c r="F754" i="5" s="1"/>
  <c r="R753" i="5"/>
  <c r="L754" i="5"/>
  <c r="Q753" i="5"/>
  <c r="S753" i="5"/>
  <c r="A755" i="5"/>
  <c r="X754" i="5"/>
  <c r="Y754" i="5"/>
  <c r="AC754" i="5" s="1"/>
  <c r="AB754" i="5"/>
  <c r="AA754" i="5"/>
  <c r="W754" i="5"/>
  <c r="I754" i="5" a="1"/>
  <c r="H754" i="5" a="1"/>
  <c r="M754" i="5" a="1"/>
  <c r="G754" i="5" a="1"/>
  <c r="K754" i="5" a="1"/>
  <c r="P754" i="5" a="1"/>
  <c r="C754" i="5" a="1"/>
  <c r="D754" i="5" a="1"/>
  <c r="N754" i="5" a="1"/>
  <c r="J754" i="5" a="1"/>
  <c r="O754" i="5" a="1"/>
  <c r="V753" i="5" l="1" a="1"/>
  <c r="V753" i="5" s="1"/>
  <c r="D754" i="5"/>
  <c r="J754" i="5"/>
  <c r="G754" i="5"/>
  <c r="C754" i="5"/>
  <c r="O754" i="5"/>
  <c r="Q754" i="5" s="1"/>
  <c r="H754" i="5"/>
  <c r="K754" i="5"/>
  <c r="P754" i="5"/>
  <c r="R754" i="5" s="1"/>
  <c r="U753" i="5" a="1"/>
  <c r="U753" i="5" s="1"/>
  <c r="N754" i="5"/>
  <c r="M754" i="5"/>
  <c r="I754" i="5"/>
  <c r="B755" i="5"/>
  <c r="D755" i="5" s="1" a="1"/>
  <c r="E755" i="5" a="1"/>
  <c r="E755" i="5" s="1"/>
  <c r="A756" i="5" a="1"/>
  <c r="U754" i="5" l="1" a="1"/>
  <c r="U754" i="5" s="1"/>
  <c r="D755" i="5"/>
  <c r="F755" i="5" a="1"/>
  <c r="F755" i="5" s="1"/>
  <c r="AB755" i="5"/>
  <c r="T754" i="5"/>
  <c r="S754" i="5"/>
  <c r="A756" i="5"/>
  <c r="AA755" i="5"/>
  <c r="X755" i="5"/>
  <c r="W755" i="5"/>
  <c r="Y755" i="5"/>
  <c r="AC755" i="5" s="1"/>
  <c r="Z755" i="5"/>
  <c r="N755" i="5" a="1"/>
  <c r="J755" i="5" a="1"/>
  <c r="O755" i="5" a="1"/>
  <c r="L755" i="5" a="1"/>
  <c r="M755" i="5" a="1"/>
  <c r="I755" i="5" a="1"/>
  <c r="K755" i="5" a="1"/>
  <c r="C755" i="5" a="1"/>
  <c r="H755" i="5" a="1"/>
  <c r="P755" i="5" a="1"/>
  <c r="G755" i="5" a="1"/>
  <c r="V754" i="5" l="1" a="1"/>
  <c r="V754" i="5" s="1"/>
  <c r="I755" i="5"/>
  <c r="P755" i="5"/>
  <c r="O755" i="5"/>
  <c r="M755" i="5"/>
  <c r="L755" i="5"/>
  <c r="H755" i="5"/>
  <c r="N755" i="5"/>
  <c r="J755" i="5"/>
  <c r="C755" i="5"/>
  <c r="K755" i="5"/>
  <c r="G755" i="5"/>
  <c r="E756" i="5" a="1"/>
  <c r="E756" i="5" s="1"/>
  <c r="Z756" i="5" s="1"/>
  <c r="B756" i="5"/>
  <c r="A757" i="5" a="1"/>
  <c r="T755" i="5" l="1"/>
  <c r="F756" i="5" a="1"/>
  <c r="F756" i="5" s="1"/>
  <c r="S755" i="5"/>
  <c r="Q755" i="5"/>
  <c r="R755" i="5"/>
  <c r="AA756" i="5"/>
  <c r="AB756" i="5"/>
  <c r="X756" i="5"/>
  <c r="A757" i="5"/>
  <c r="Y756" i="5"/>
  <c r="AC756" i="5" s="1"/>
  <c r="W756" i="5"/>
  <c r="L756" i="5" a="1"/>
  <c r="I756" i="5" a="1"/>
  <c r="M756" i="5" a="1"/>
  <c r="D756" i="5" a="1"/>
  <c r="P756" i="5" a="1"/>
  <c r="J756" i="5" a="1"/>
  <c r="N756" i="5" a="1"/>
  <c r="G756" i="5" a="1"/>
  <c r="H756" i="5" a="1"/>
  <c r="O756" i="5" a="1"/>
  <c r="K756" i="5" a="1"/>
  <c r="C756" i="5" a="1"/>
  <c r="V755" i="5" l="1" a="1"/>
  <c r="V755" i="5" s="1"/>
  <c r="M756" i="5"/>
  <c r="I756" i="5"/>
  <c r="O756" i="5"/>
  <c r="K756" i="5"/>
  <c r="P756" i="5"/>
  <c r="D756" i="5"/>
  <c r="N756" i="5"/>
  <c r="G756" i="5"/>
  <c r="J756" i="5"/>
  <c r="H756" i="5"/>
  <c r="L756" i="5"/>
  <c r="C756" i="5"/>
  <c r="B757" i="5"/>
  <c r="F757" i="5" s="1" a="1"/>
  <c r="F757" i="5" s="1"/>
  <c r="E757" i="5" a="1"/>
  <c r="E757" i="5" s="1"/>
  <c r="X757" i="5" s="1"/>
  <c r="U755" i="5" a="1"/>
  <c r="U755" i="5" s="1"/>
  <c r="A758" i="5" a="1"/>
  <c r="R756" i="5" l="1"/>
  <c r="Q756" i="5"/>
  <c r="S756" i="5"/>
  <c r="T756" i="5"/>
  <c r="A758" i="5"/>
  <c r="AA757" i="5"/>
  <c r="Y757" i="5"/>
  <c r="AC757" i="5" s="1"/>
  <c r="W757" i="5"/>
  <c r="Z757" i="5"/>
  <c r="AB757" i="5"/>
  <c r="J757" i="5" a="1"/>
  <c r="H757" i="5" a="1"/>
  <c r="M757" i="5" a="1"/>
  <c r="N757" i="5" a="1"/>
  <c r="C757" i="5" a="1"/>
  <c r="I757" i="5" a="1"/>
  <c r="L757" i="5" a="1"/>
  <c r="K757" i="5" a="1"/>
  <c r="O757" i="5" a="1"/>
  <c r="G757" i="5" a="1"/>
  <c r="D757" i="5" a="1"/>
  <c r="P757" i="5" a="1"/>
  <c r="U756" i="5" l="1" a="1"/>
  <c r="U756" i="5" s="1"/>
  <c r="C757" i="5"/>
  <c r="M757" i="5"/>
  <c r="J757" i="5"/>
  <c r="P757" i="5"/>
  <c r="O757" i="5"/>
  <c r="D757" i="5"/>
  <c r="G757" i="5"/>
  <c r="K757" i="5"/>
  <c r="N757" i="5"/>
  <c r="V756" i="5" a="1"/>
  <c r="V756" i="5" s="1"/>
  <c r="H757" i="5"/>
  <c r="I757" i="5"/>
  <c r="L757" i="5"/>
  <c r="E758" i="5" a="1"/>
  <c r="E758" i="5" s="1"/>
  <c r="Z758" i="5" s="1"/>
  <c r="B758" i="5"/>
  <c r="K758" i="5" s="1" a="1"/>
  <c r="A759" i="5" a="1"/>
  <c r="Q757" i="5" l="1"/>
  <c r="R757" i="5"/>
  <c r="T757" i="5"/>
  <c r="S757" i="5"/>
  <c r="K758" i="5"/>
  <c r="A759" i="5"/>
  <c r="Y758" i="5"/>
  <c r="AC758" i="5" s="1"/>
  <c r="AB758" i="5"/>
  <c r="X758" i="5"/>
  <c r="AA758" i="5"/>
  <c r="W758" i="5"/>
  <c r="G758" i="5" a="1"/>
  <c r="C758" i="5" a="1"/>
  <c r="H758" i="5" a="1"/>
  <c r="F758" i="5" a="1"/>
  <c r="M758" i="5" a="1"/>
  <c r="D758" i="5" a="1"/>
  <c r="N758" i="5" a="1"/>
  <c r="I758" i="5" a="1"/>
  <c r="P758" i="5" a="1"/>
  <c r="J758" i="5" a="1"/>
  <c r="L758" i="5" a="1"/>
  <c r="O758" i="5" a="1"/>
  <c r="U757" i="5" l="1" a="1"/>
  <c r="U757" i="5" s="1"/>
  <c r="V757" i="5" a="1"/>
  <c r="V757" i="5" s="1"/>
  <c r="N758" i="5"/>
  <c r="J758" i="5"/>
  <c r="D758" i="5"/>
  <c r="C758" i="5"/>
  <c r="H758" i="5"/>
  <c r="I758" i="5"/>
  <c r="P758" i="5"/>
  <c r="M758" i="5"/>
  <c r="O758" i="5"/>
  <c r="L758" i="5"/>
  <c r="G758" i="5"/>
  <c r="F758" i="5"/>
  <c r="B759" i="5"/>
  <c r="J759" i="5" s="1" a="1"/>
  <c r="E759" i="5" a="1"/>
  <c r="E759" i="5" s="1"/>
  <c r="AB759" i="5" s="1"/>
  <c r="A760" i="5" a="1"/>
  <c r="R758" i="5" l="1"/>
  <c r="T758" i="5"/>
  <c r="J759" i="5"/>
  <c r="F759" i="5" a="1"/>
  <c r="F759" i="5" s="1"/>
  <c r="S758" i="5"/>
  <c r="Q758" i="5"/>
  <c r="X759" i="5"/>
  <c r="A760" i="5"/>
  <c r="W759" i="5"/>
  <c r="AA759" i="5"/>
  <c r="Y759" i="5"/>
  <c r="AC759" i="5" s="1"/>
  <c r="Z759" i="5"/>
  <c r="C759" i="5" a="1"/>
  <c r="D759" i="5" a="1"/>
  <c r="N759" i="5" a="1"/>
  <c r="K759" i="5" a="1"/>
  <c r="L759" i="5" a="1"/>
  <c r="P759" i="5" a="1"/>
  <c r="O759" i="5" a="1"/>
  <c r="G759" i="5" a="1"/>
  <c r="M759" i="5" a="1"/>
  <c r="H759" i="5" a="1"/>
  <c r="I759" i="5" a="1"/>
  <c r="U758" i="5" l="1" a="1"/>
  <c r="U758" i="5" s="1"/>
  <c r="V758" i="5" a="1"/>
  <c r="V758" i="5" s="1"/>
  <c r="L759" i="5"/>
  <c r="I759" i="5"/>
  <c r="O759" i="5"/>
  <c r="H759" i="5"/>
  <c r="K759" i="5"/>
  <c r="D759" i="5"/>
  <c r="G759" i="5"/>
  <c r="C759" i="5"/>
  <c r="N759" i="5"/>
  <c r="P759" i="5"/>
  <c r="M759" i="5"/>
  <c r="B760" i="5"/>
  <c r="N760" i="5" s="1" a="1"/>
  <c r="E760" i="5" a="1"/>
  <c r="E760" i="5" s="1"/>
  <c r="A761" i="5" a="1"/>
  <c r="T759" i="5" l="1"/>
  <c r="R759" i="5"/>
  <c r="N760" i="5"/>
  <c r="S759" i="5"/>
  <c r="Q759" i="5"/>
  <c r="F760" i="5" a="1"/>
  <c r="F760" i="5" s="1"/>
  <c r="Z760" i="5"/>
  <c r="A761" i="5"/>
  <c r="Y760" i="5"/>
  <c r="AC760" i="5" s="1"/>
  <c r="X760" i="5"/>
  <c r="AB760" i="5"/>
  <c r="AA760" i="5"/>
  <c r="W760" i="5"/>
  <c r="I760" i="5" a="1"/>
  <c r="P760" i="5" a="1"/>
  <c r="L760" i="5" a="1"/>
  <c r="O760" i="5" a="1"/>
  <c r="G760" i="5" a="1"/>
  <c r="M760" i="5" a="1"/>
  <c r="H760" i="5" a="1"/>
  <c r="K760" i="5" a="1"/>
  <c r="J760" i="5" a="1"/>
  <c r="D760" i="5" a="1"/>
  <c r="C760" i="5" a="1"/>
  <c r="V759" i="5" l="1" a="1"/>
  <c r="V759" i="5" s="1"/>
  <c r="U759" i="5" a="1"/>
  <c r="U759" i="5" s="1"/>
  <c r="I760" i="5"/>
  <c r="G760" i="5"/>
  <c r="C760" i="5"/>
  <c r="L760" i="5"/>
  <c r="M760" i="5"/>
  <c r="O760" i="5"/>
  <c r="K760" i="5"/>
  <c r="D760" i="5"/>
  <c r="J760" i="5"/>
  <c r="P760" i="5"/>
  <c r="H760" i="5"/>
  <c r="E761" i="5" a="1"/>
  <c r="E761" i="5" s="1"/>
  <c r="B761" i="5"/>
  <c r="N761" i="5" s="1" a="1"/>
  <c r="A762" i="5" a="1"/>
  <c r="T760" i="5" l="1"/>
  <c r="N761" i="5"/>
  <c r="Q760" i="5"/>
  <c r="S760" i="5"/>
  <c r="F761" i="5" a="1"/>
  <c r="F761" i="5" s="1"/>
  <c r="R760" i="5"/>
  <c r="AB761" i="5"/>
  <c r="A762" i="5"/>
  <c r="AA761" i="5"/>
  <c r="X761" i="5"/>
  <c r="Y761" i="5"/>
  <c r="AC761" i="5" s="1"/>
  <c r="W761" i="5"/>
  <c r="Z761" i="5"/>
  <c r="J761" i="5" a="1"/>
  <c r="K761" i="5" a="1"/>
  <c r="M761" i="5" a="1"/>
  <c r="G761" i="5" a="1"/>
  <c r="H761" i="5" a="1"/>
  <c r="I761" i="5" a="1"/>
  <c r="D761" i="5" a="1"/>
  <c r="C761" i="5" a="1"/>
  <c r="L761" i="5" a="1"/>
  <c r="P761" i="5" a="1"/>
  <c r="O761" i="5" a="1"/>
  <c r="V760" i="5" l="1" a="1"/>
  <c r="V760" i="5" s="1"/>
  <c r="K761" i="5"/>
  <c r="I761" i="5"/>
  <c r="L761" i="5"/>
  <c r="J761" i="5"/>
  <c r="H761" i="5"/>
  <c r="C761" i="5"/>
  <c r="G761" i="5"/>
  <c r="D761" i="5"/>
  <c r="O761" i="5"/>
  <c r="P761" i="5"/>
  <c r="M761" i="5"/>
  <c r="B762" i="5"/>
  <c r="F762" i="5" s="1" a="1"/>
  <c r="F762" i="5" s="1"/>
  <c r="E762" i="5" a="1"/>
  <c r="E762" i="5" s="1"/>
  <c r="Z762" i="5" s="1"/>
  <c r="U760" i="5" a="1"/>
  <c r="U760" i="5" s="1"/>
  <c r="A763" i="5" a="1"/>
  <c r="R761" i="5" l="1"/>
  <c r="T761" i="5"/>
  <c r="S761" i="5"/>
  <c r="Q761" i="5"/>
  <c r="A763" i="5"/>
  <c r="X762" i="5"/>
  <c r="AB762" i="5"/>
  <c r="Y762" i="5"/>
  <c r="AC762" i="5" s="1"/>
  <c r="AA762" i="5"/>
  <c r="W762" i="5"/>
  <c r="G762" i="5" a="1"/>
  <c r="K762" i="5" a="1"/>
  <c r="C762" i="5" a="1"/>
  <c r="L762" i="5" a="1"/>
  <c r="N762" i="5" a="1"/>
  <c r="J762" i="5" a="1"/>
  <c r="D762" i="5" a="1"/>
  <c r="M762" i="5" a="1"/>
  <c r="O762" i="5" a="1"/>
  <c r="P762" i="5" a="1"/>
  <c r="H762" i="5" a="1"/>
  <c r="I762" i="5" a="1"/>
  <c r="U761" i="5" l="1" a="1"/>
  <c r="U761" i="5" s="1"/>
  <c r="V761" i="5" a="1"/>
  <c r="V761" i="5" s="1"/>
  <c r="D762" i="5"/>
  <c r="P762" i="5"/>
  <c r="O762" i="5"/>
  <c r="L762" i="5"/>
  <c r="G762" i="5"/>
  <c r="C762" i="5"/>
  <c r="K762" i="5"/>
  <c r="H762" i="5"/>
  <c r="J762" i="5"/>
  <c r="M762" i="5"/>
  <c r="I762" i="5"/>
  <c r="N762" i="5"/>
  <c r="B763" i="5"/>
  <c r="J763" i="5" s="1" a="1"/>
  <c r="E763" i="5" a="1"/>
  <c r="E763" i="5" s="1"/>
  <c r="A764" i="5" a="1"/>
  <c r="Q762" i="5" l="1"/>
  <c r="R762" i="5"/>
  <c r="J763" i="5"/>
  <c r="F763" i="5" a="1"/>
  <c r="F763" i="5" s="1"/>
  <c r="X763" i="5"/>
  <c r="T762" i="5"/>
  <c r="S762" i="5"/>
  <c r="W763" i="5"/>
  <c r="Z763" i="5"/>
  <c r="A764" i="5"/>
  <c r="AA763" i="5"/>
  <c r="Y763" i="5"/>
  <c r="AC763" i="5" s="1"/>
  <c r="AB763" i="5"/>
  <c r="I763" i="5" a="1"/>
  <c r="H763" i="5" a="1"/>
  <c r="O763" i="5" a="1"/>
  <c r="C763" i="5" a="1"/>
  <c r="M763" i="5" a="1"/>
  <c r="K763" i="5" a="1"/>
  <c r="N763" i="5" a="1"/>
  <c r="L763" i="5" a="1"/>
  <c r="P763" i="5" a="1"/>
  <c r="D763" i="5" a="1"/>
  <c r="G763" i="5" a="1"/>
  <c r="U762" i="5" l="1" a="1"/>
  <c r="U762" i="5" s="1"/>
  <c r="V762" i="5" a="1"/>
  <c r="V762" i="5" s="1"/>
  <c r="N763" i="5"/>
  <c r="P763" i="5"/>
  <c r="D763" i="5"/>
  <c r="L763" i="5"/>
  <c r="H763" i="5"/>
  <c r="K763" i="5"/>
  <c r="M763" i="5"/>
  <c r="O763" i="5"/>
  <c r="I763" i="5"/>
  <c r="C763" i="5"/>
  <c r="G763" i="5"/>
  <c r="E764" i="5" a="1"/>
  <c r="E764" i="5" s="1"/>
  <c r="Z764" i="5" s="1"/>
  <c r="B764" i="5"/>
  <c r="A765" i="5" a="1"/>
  <c r="T763" i="5" l="1"/>
  <c r="S763" i="5"/>
  <c r="Q763" i="5"/>
  <c r="F764" i="5" a="1"/>
  <c r="F764" i="5" s="1"/>
  <c r="R763" i="5"/>
  <c r="A765" i="5"/>
  <c r="X764" i="5"/>
  <c r="Y764" i="5"/>
  <c r="AC764" i="5" s="1"/>
  <c r="AB764" i="5"/>
  <c r="AA764" i="5"/>
  <c r="W764" i="5"/>
  <c r="L764" i="5" a="1"/>
  <c r="J764" i="5" a="1"/>
  <c r="M764" i="5" a="1"/>
  <c r="K764" i="5" a="1"/>
  <c r="G764" i="5" a="1"/>
  <c r="I764" i="5" a="1"/>
  <c r="D764" i="5" a="1"/>
  <c r="N764" i="5" a="1"/>
  <c r="H764" i="5" a="1"/>
  <c r="P764" i="5" a="1"/>
  <c r="C764" i="5" a="1"/>
  <c r="O764" i="5" a="1"/>
  <c r="V763" i="5" l="1" a="1"/>
  <c r="V763" i="5" s="1"/>
  <c r="D764" i="5"/>
  <c r="N764" i="5"/>
  <c r="M764" i="5"/>
  <c r="L764" i="5"/>
  <c r="K764" i="5"/>
  <c r="I764" i="5"/>
  <c r="G764" i="5"/>
  <c r="O764" i="5"/>
  <c r="P764" i="5"/>
  <c r="C764" i="5"/>
  <c r="H764" i="5"/>
  <c r="J764" i="5"/>
  <c r="B765" i="5"/>
  <c r="F765" i="5" s="1" a="1"/>
  <c r="F765" i="5" s="1"/>
  <c r="E765" i="5" a="1"/>
  <c r="E765" i="5" s="1"/>
  <c r="AB765" i="5" s="1"/>
  <c r="U763" i="5" a="1"/>
  <c r="U763" i="5" s="1"/>
  <c r="A766" i="5" a="1"/>
  <c r="T764" i="5" l="1"/>
  <c r="Q764" i="5"/>
  <c r="S764" i="5"/>
  <c r="R764" i="5"/>
  <c r="A766" i="5"/>
  <c r="X765" i="5"/>
  <c r="W765" i="5"/>
  <c r="AA765" i="5"/>
  <c r="Z765" i="5"/>
  <c r="Y765" i="5"/>
  <c r="AC765" i="5" s="1"/>
  <c r="G765" i="5" a="1"/>
  <c r="D765" i="5" a="1"/>
  <c r="M765" i="5" a="1"/>
  <c r="J765" i="5" a="1"/>
  <c r="O765" i="5" a="1"/>
  <c r="N765" i="5" a="1"/>
  <c r="K765" i="5" a="1"/>
  <c r="H765" i="5" a="1"/>
  <c r="C765" i="5" a="1"/>
  <c r="P765" i="5" a="1"/>
  <c r="L765" i="5" a="1"/>
  <c r="I765" i="5" a="1"/>
  <c r="V764" i="5" l="1" a="1"/>
  <c r="V764" i="5" s="1"/>
  <c r="K765" i="5"/>
  <c r="I765" i="5"/>
  <c r="M765" i="5"/>
  <c r="J765" i="5"/>
  <c r="O765" i="5"/>
  <c r="G765" i="5"/>
  <c r="H765" i="5"/>
  <c r="L765" i="5"/>
  <c r="C765" i="5"/>
  <c r="P765" i="5"/>
  <c r="N765" i="5"/>
  <c r="D765" i="5"/>
  <c r="E766" i="5" a="1"/>
  <c r="E766" i="5" s="1"/>
  <c r="Z766" i="5" s="1"/>
  <c r="B766" i="5"/>
  <c r="F766" i="5" s="1" a="1"/>
  <c r="F766" i="5" s="1"/>
  <c r="U764" i="5" a="1"/>
  <c r="U764" i="5" s="1"/>
  <c r="A767" i="5" a="1"/>
  <c r="S765" i="5" l="1"/>
  <c r="T765" i="5"/>
  <c r="Q765" i="5"/>
  <c r="R765" i="5"/>
  <c r="X766" i="5"/>
  <c r="AB766" i="5"/>
  <c r="A767" i="5"/>
  <c r="Y766" i="5"/>
  <c r="AC766" i="5" s="1"/>
  <c r="AA766" i="5"/>
  <c r="W766" i="5"/>
  <c r="M766" i="5" a="1"/>
  <c r="O766" i="5" a="1"/>
  <c r="J766" i="5" a="1"/>
  <c r="P766" i="5" a="1"/>
  <c r="N766" i="5" a="1"/>
  <c r="H766" i="5" a="1"/>
  <c r="I766" i="5" a="1"/>
  <c r="D766" i="5" a="1"/>
  <c r="K766" i="5" a="1"/>
  <c r="L766" i="5" a="1"/>
  <c r="G766" i="5" a="1"/>
  <c r="C766" i="5" a="1"/>
  <c r="V765" i="5" l="1" a="1"/>
  <c r="V765" i="5" s="1"/>
  <c r="U765" i="5" a="1"/>
  <c r="U765" i="5" s="1"/>
  <c r="D766" i="5"/>
  <c r="J766" i="5"/>
  <c r="I766" i="5"/>
  <c r="N766" i="5"/>
  <c r="H766" i="5"/>
  <c r="M766" i="5"/>
  <c r="G766" i="5"/>
  <c r="K766" i="5"/>
  <c r="L766" i="5"/>
  <c r="P766" i="5"/>
  <c r="C766" i="5"/>
  <c r="O766" i="5"/>
  <c r="B767" i="5"/>
  <c r="I767" i="5" s="1" a="1"/>
  <c r="E767" i="5" a="1"/>
  <c r="E767" i="5" s="1"/>
  <c r="X767" i="5" s="1"/>
  <c r="A768" i="5" a="1"/>
  <c r="R766" i="5" l="1"/>
  <c r="I767" i="5"/>
  <c r="F767" i="5" a="1"/>
  <c r="F767" i="5" s="1"/>
  <c r="Q766" i="5"/>
  <c r="S766" i="5"/>
  <c r="T766" i="5"/>
  <c r="A768" i="5"/>
  <c r="AA767" i="5"/>
  <c r="Y767" i="5"/>
  <c r="AC767" i="5" s="1"/>
  <c r="AB767" i="5"/>
  <c r="W767" i="5"/>
  <c r="Z767" i="5"/>
  <c r="P767" i="5" a="1"/>
  <c r="G767" i="5" a="1"/>
  <c r="J767" i="5" a="1"/>
  <c r="M767" i="5" a="1"/>
  <c r="H767" i="5" a="1"/>
  <c r="C767" i="5" a="1"/>
  <c r="N767" i="5" a="1"/>
  <c r="D767" i="5" a="1"/>
  <c r="O767" i="5" a="1"/>
  <c r="L767" i="5" a="1"/>
  <c r="K767" i="5" a="1"/>
  <c r="U766" i="5" l="1" a="1"/>
  <c r="U766" i="5" s="1"/>
  <c r="V766" i="5" a="1"/>
  <c r="V766" i="5" s="1"/>
  <c r="K767" i="5"/>
  <c r="H767" i="5"/>
  <c r="M767" i="5"/>
  <c r="D767" i="5"/>
  <c r="C767" i="5"/>
  <c r="L767" i="5"/>
  <c r="J767" i="5"/>
  <c r="G767" i="5"/>
  <c r="O767" i="5"/>
  <c r="N767" i="5"/>
  <c r="P767" i="5"/>
  <c r="B768" i="5"/>
  <c r="F768" i="5" s="1" a="1"/>
  <c r="F768" i="5" s="1"/>
  <c r="E768" i="5" a="1"/>
  <c r="E768" i="5" s="1"/>
  <c r="X768" i="5" s="1"/>
  <c r="A769" i="5" a="1"/>
  <c r="R767" i="5" l="1"/>
  <c r="T767" i="5"/>
  <c r="Q767" i="5"/>
  <c r="S767" i="5"/>
  <c r="A769" i="5"/>
  <c r="Y768" i="5"/>
  <c r="AC768" i="5" s="1"/>
  <c r="AA768" i="5"/>
  <c r="W768" i="5"/>
  <c r="Z768" i="5"/>
  <c r="AB768" i="5"/>
  <c r="J768" i="5" a="1"/>
  <c r="C768" i="5" a="1"/>
  <c r="K768" i="5" a="1"/>
  <c r="M768" i="5" a="1"/>
  <c r="L768" i="5" a="1"/>
  <c r="I768" i="5" a="1"/>
  <c r="H768" i="5" a="1"/>
  <c r="D768" i="5" a="1"/>
  <c r="N768" i="5" a="1"/>
  <c r="P768" i="5" a="1"/>
  <c r="O768" i="5" a="1"/>
  <c r="G768" i="5" a="1"/>
  <c r="U767" i="5" l="1" a="1"/>
  <c r="U767" i="5" s="1"/>
  <c r="K768" i="5"/>
  <c r="G768" i="5"/>
  <c r="P768" i="5"/>
  <c r="O768" i="5"/>
  <c r="J768" i="5"/>
  <c r="L768" i="5"/>
  <c r="N768" i="5"/>
  <c r="H768" i="5"/>
  <c r="M768" i="5"/>
  <c r="C768" i="5"/>
  <c r="I768" i="5"/>
  <c r="D768" i="5"/>
  <c r="E769" i="5" a="1"/>
  <c r="E769" i="5" s="1"/>
  <c r="B769" i="5"/>
  <c r="L769" i="5" s="1" a="1"/>
  <c r="V767" i="5" a="1"/>
  <c r="V767" i="5" s="1"/>
  <c r="A770" i="5" a="1"/>
  <c r="Q768" i="5" l="1"/>
  <c r="R768" i="5"/>
  <c r="L769" i="5"/>
  <c r="S768" i="5"/>
  <c r="T768" i="5"/>
  <c r="X769" i="5"/>
  <c r="A770" i="5"/>
  <c r="AA769" i="5"/>
  <c r="Y769" i="5"/>
  <c r="AC769" i="5" s="1"/>
  <c r="Z769" i="5"/>
  <c r="W769" i="5"/>
  <c r="AB769" i="5"/>
  <c r="C769" i="5" a="1"/>
  <c r="N769" i="5" a="1"/>
  <c r="M769" i="5" a="1"/>
  <c r="J769" i="5" a="1"/>
  <c r="O769" i="5" a="1"/>
  <c r="G769" i="5" a="1"/>
  <c r="H769" i="5" a="1"/>
  <c r="K769" i="5" a="1"/>
  <c r="D769" i="5" a="1"/>
  <c r="P769" i="5" a="1"/>
  <c r="F769" i="5" a="1"/>
  <c r="I769" i="5" a="1"/>
  <c r="U768" i="5" l="1" a="1"/>
  <c r="U768" i="5" s="1"/>
  <c r="F769" i="5"/>
  <c r="V768" i="5" a="1"/>
  <c r="V768" i="5" s="1"/>
  <c r="C769" i="5"/>
  <c r="M769" i="5"/>
  <c r="P769" i="5"/>
  <c r="R769" i="5" s="1"/>
  <c r="H769" i="5"/>
  <c r="G769" i="5"/>
  <c r="I769" i="5"/>
  <c r="K769" i="5"/>
  <c r="O769" i="5"/>
  <c r="D769" i="5"/>
  <c r="J769" i="5"/>
  <c r="N769" i="5"/>
  <c r="B770" i="5"/>
  <c r="E770" i="5" a="1"/>
  <c r="E770" i="5" s="1"/>
  <c r="Z770" i="5" s="1"/>
  <c r="A771" i="5" a="1"/>
  <c r="T769" i="5" l="1"/>
  <c r="Q769" i="5"/>
  <c r="U769" i="5" s="1" a="1"/>
  <c r="U769" i="5" s="1"/>
  <c r="S769" i="5"/>
  <c r="F770" i="5" a="1"/>
  <c r="F770" i="5" s="1"/>
  <c r="A771" i="5"/>
  <c r="X770" i="5"/>
  <c r="Y770" i="5"/>
  <c r="AC770" i="5" s="1"/>
  <c r="AB770" i="5"/>
  <c r="AA770" i="5"/>
  <c r="W770" i="5"/>
  <c r="D770" i="5" a="1"/>
  <c r="H770" i="5" a="1"/>
  <c r="G770" i="5" a="1"/>
  <c r="M770" i="5" a="1"/>
  <c r="I770" i="5" a="1"/>
  <c r="J770" i="5" a="1"/>
  <c r="L770" i="5" a="1"/>
  <c r="N770" i="5" a="1"/>
  <c r="P770" i="5" a="1"/>
  <c r="C770" i="5" a="1"/>
  <c r="O770" i="5" a="1"/>
  <c r="K770" i="5" a="1"/>
  <c r="V769" i="5" l="1" a="1"/>
  <c r="V769" i="5" s="1"/>
  <c r="L770" i="5"/>
  <c r="H770" i="5"/>
  <c r="N770" i="5"/>
  <c r="I770" i="5"/>
  <c r="K770" i="5"/>
  <c r="P770" i="5"/>
  <c r="C770" i="5"/>
  <c r="M770" i="5"/>
  <c r="G770" i="5"/>
  <c r="O770" i="5"/>
  <c r="D770" i="5"/>
  <c r="J770" i="5"/>
  <c r="B771" i="5"/>
  <c r="E771" i="5" a="1"/>
  <c r="E771" i="5" s="1"/>
  <c r="A772" i="5" a="1"/>
  <c r="D771" i="5" a="1"/>
  <c r="T770" i="5" l="1"/>
  <c r="R770" i="5"/>
  <c r="D771" i="5"/>
  <c r="X771" i="5"/>
  <c r="Q770" i="5"/>
  <c r="S770" i="5"/>
  <c r="F771" i="5" a="1"/>
  <c r="F771" i="5" s="1"/>
  <c r="A772" i="5"/>
  <c r="AA771" i="5"/>
  <c r="W771" i="5"/>
  <c r="Y771" i="5"/>
  <c r="AC771" i="5" s="1"/>
  <c r="Z771" i="5"/>
  <c r="AB771" i="5"/>
  <c r="L771" i="5" a="1"/>
  <c r="K771" i="5" a="1"/>
  <c r="M771" i="5" a="1"/>
  <c r="N771" i="5" a="1"/>
  <c r="J771" i="5" a="1"/>
  <c r="I771" i="5" a="1"/>
  <c r="G771" i="5" a="1"/>
  <c r="O771" i="5" a="1"/>
  <c r="P771" i="5" a="1"/>
  <c r="H771" i="5" a="1"/>
  <c r="C771" i="5" a="1"/>
  <c r="U770" i="5" l="1" a="1"/>
  <c r="U770" i="5" s="1"/>
  <c r="V770" i="5" a="1"/>
  <c r="V770" i="5" s="1"/>
  <c r="J771" i="5"/>
  <c r="P771" i="5"/>
  <c r="H771" i="5"/>
  <c r="L771" i="5"/>
  <c r="M771" i="5"/>
  <c r="O771" i="5"/>
  <c r="N771" i="5"/>
  <c r="G771" i="5"/>
  <c r="K771" i="5"/>
  <c r="I771" i="5"/>
  <c r="C771" i="5"/>
  <c r="E772" i="5" a="1"/>
  <c r="E772" i="5" s="1"/>
  <c r="X772" i="5" s="1"/>
  <c r="B772" i="5"/>
  <c r="A773" i="5" a="1"/>
  <c r="T771" i="5" l="1"/>
  <c r="Q771" i="5"/>
  <c r="S771" i="5"/>
  <c r="F772" i="5" a="1"/>
  <c r="F772" i="5" s="1"/>
  <c r="R771" i="5"/>
  <c r="AA772" i="5"/>
  <c r="AB772" i="5"/>
  <c r="A773" i="5"/>
  <c r="Y772" i="5"/>
  <c r="AC772" i="5" s="1"/>
  <c r="W772" i="5"/>
  <c r="Z772" i="5"/>
  <c r="N772" i="5" a="1"/>
  <c r="L772" i="5" a="1"/>
  <c r="C772" i="5" a="1"/>
  <c r="P772" i="5" a="1"/>
  <c r="K772" i="5" a="1"/>
  <c r="H772" i="5" a="1"/>
  <c r="G772" i="5" a="1"/>
  <c r="O772" i="5" a="1"/>
  <c r="M772" i="5" a="1"/>
  <c r="J772" i="5" a="1"/>
  <c r="I772" i="5" a="1"/>
  <c r="D772" i="5" a="1"/>
  <c r="V771" i="5" l="1" a="1"/>
  <c r="V771" i="5" s="1"/>
  <c r="O772" i="5"/>
  <c r="K772" i="5"/>
  <c r="P772" i="5"/>
  <c r="D772" i="5"/>
  <c r="N772" i="5"/>
  <c r="H772" i="5"/>
  <c r="G772" i="5"/>
  <c r="L772" i="5"/>
  <c r="M772" i="5"/>
  <c r="J772" i="5"/>
  <c r="C772" i="5"/>
  <c r="I772" i="5"/>
  <c r="U771" i="5" a="1"/>
  <c r="U771" i="5" s="1"/>
  <c r="B773" i="5"/>
  <c r="F773" i="5" s="1" a="1"/>
  <c r="F773" i="5" s="1"/>
  <c r="E773" i="5" a="1"/>
  <c r="E773" i="5" s="1"/>
  <c r="AB773" i="5" s="1"/>
  <c r="A774" i="5" a="1"/>
  <c r="R772" i="5" l="1"/>
  <c r="T772" i="5"/>
  <c r="Q772" i="5"/>
  <c r="S772" i="5"/>
  <c r="A774" i="5"/>
  <c r="Z773" i="5"/>
  <c r="W773" i="5"/>
  <c r="AA773" i="5"/>
  <c r="X773" i="5"/>
  <c r="Y773" i="5"/>
  <c r="AC773" i="5" s="1"/>
  <c r="K773" i="5" a="1"/>
  <c r="H773" i="5" a="1"/>
  <c r="C773" i="5" a="1"/>
  <c r="J773" i="5" a="1"/>
  <c r="L773" i="5" a="1"/>
  <c r="O773" i="5" a="1"/>
  <c r="N773" i="5" a="1"/>
  <c r="G773" i="5" a="1"/>
  <c r="I773" i="5" a="1"/>
  <c r="P773" i="5" a="1"/>
  <c r="D773" i="5" a="1"/>
  <c r="M773" i="5" a="1"/>
  <c r="U772" i="5" l="1" a="1"/>
  <c r="U772" i="5" s="1"/>
  <c r="V772" i="5" a="1"/>
  <c r="V772" i="5" s="1"/>
  <c r="G773" i="5"/>
  <c r="D773" i="5"/>
  <c r="M773" i="5"/>
  <c r="O773" i="5"/>
  <c r="L773" i="5"/>
  <c r="N773" i="5"/>
  <c r="I773" i="5"/>
  <c r="J773" i="5"/>
  <c r="H773" i="5"/>
  <c r="K773" i="5"/>
  <c r="C773" i="5"/>
  <c r="P773" i="5"/>
  <c r="E774" i="5" a="1"/>
  <c r="E774" i="5" s="1"/>
  <c r="Z774" i="5" s="1"/>
  <c r="B774" i="5"/>
  <c r="A775" i="5" a="1"/>
  <c r="P774" i="5" a="1"/>
  <c r="R773" i="5" l="1"/>
  <c r="P774" i="5"/>
  <c r="S773" i="5"/>
  <c r="Q773" i="5"/>
  <c r="T773" i="5"/>
  <c r="F774" i="5" a="1"/>
  <c r="F774" i="5" s="1"/>
  <c r="A775" i="5"/>
  <c r="X774" i="5"/>
  <c r="AB774" i="5"/>
  <c r="Y774" i="5"/>
  <c r="AC774" i="5" s="1"/>
  <c r="AA774" i="5"/>
  <c r="W774" i="5"/>
  <c r="G774" i="5" a="1"/>
  <c r="J774" i="5" a="1"/>
  <c r="L774" i="5" a="1"/>
  <c r="I774" i="5" a="1"/>
  <c r="K774" i="5" a="1"/>
  <c r="M774" i="5" a="1"/>
  <c r="C774" i="5" a="1"/>
  <c r="O774" i="5" a="1"/>
  <c r="N774" i="5" a="1"/>
  <c r="D774" i="5" a="1"/>
  <c r="H774" i="5" a="1"/>
  <c r="U773" i="5" l="1" a="1"/>
  <c r="U773" i="5" s="1"/>
  <c r="D774" i="5"/>
  <c r="I774" i="5"/>
  <c r="C774" i="5"/>
  <c r="M774" i="5"/>
  <c r="T774" i="5" s="1"/>
  <c r="L774" i="5"/>
  <c r="R774" i="5" s="1"/>
  <c r="O774" i="5"/>
  <c r="G774" i="5"/>
  <c r="N774" i="5"/>
  <c r="J774" i="5"/>
  <c r="K774" i="5"/>
  <c r="H774" i="5"/>
  <c r="V773" i="5" a="1"/>
  <c r="V773" i="5" s="1"/>
  <c r="B775" i="5"/>
  <c r="J775" i="5" s="1" a="1"/>
  <c r="E775" i="5" a="1"/>
  <c r="E775" i="5" s="1"/>
  <c r="X775" i="5" s="1"/>
  <c r="A776" i="5" a="1"/>
  <c r="J775" i="5" l="1"/>
  <c r="Q774" i="5"/>
  <c r="U774" i="5" s="1" a="1"/>
  <c r="U774" i="5" s="1"/>
  <c r="S774" i="5"/>
  <c r="V774" i="5" s="1" a="1"/>
  <c r="V774" i="5" s="1"/>
  <c r="F775" i="5" a="1"/>
  <c r="F775" i="5" s="1"/>
  <c r="A776" i="5"/>
  <c r="W775" i="5"/>
  <c r="AA775" i="5"/>
  <c r="Y775" i="5"/>
  <c r="AC775" i="5" s="1"/>
  <c r="Z775" i="5"/>
  <c r="AB775" i="5"/>
  <c r="C775" i="5" a="1"/>
  <c r="M775" i="5" a="1"/>
  <c r="K775" i="5" a="1"/>
  <c r="H775" i="5" a="1"/>
  <c r="G775" i="5" a="1"/>
  <c r="N775" i="5" a="1"/>
  <c r="O775" i="5" a="1"/>
  <c r="L775" i="5" a="1"/>
  <c r="P775" i="5" a="1"/>
  <c r="D775" i="5" a="1"/>
  <c r="I775" i="5" a="1"/>
  <c r="H775" i="5" l="1"/>
  <c r="P775" i="5"/>
  <c r="N775" i="5"/>
  <c r="I775" i="5"/>
  <c r="C775" i="5"/>
  <c r="K775" i="5"/>
  <c r="G775" i="5"/>
  <c r="M775" i="5"/>
  <c r="O775" i="5"/>
  <c r="L775" i="5"/>
  <c r="D775" i="5"/>
  <c r="B776" i="5"/>
  <c r="N776" i="5" s="1" a="1"/>
  <c r="E776" i="5" a="1"/>
  <c r="E776" i="5" s="1"/>
  <c r="A777" i="5" a="1"/>
  <c r="T775" i="5" l="1"/>
  <c r="N776" i="5"/>
  <c r="F776" i="5" a="1"/>
  <c r="F776" i="5" s="1"/>
  <c r="R775" i="5"/>
  <c r="X776" i="5"/>
  <c r="Q775" i="5"/>
  <c r="S775" i="5"/>
  <c r="AB776" i="5"/>
  <c r="A777" i="5"/>
  <c r="Y776" i="5"/>
  <c r="AC776" i="5" s="1"/>
  <c r="AA776" i="5"/>
  <c r="W776" i="5"/>
  <c r="Z776" i="5"/>
  <c r="I776" i="5" a="1"/>
  <c r="H776" i="5" a="1"/>
  <c r="G776" i="5" a="1"/>
  <c r="K776" i="5" a="1"/>
  <c r="M776" i="5" a="1"/>
  <c r="L776" i="5" a="1"/>
  <c r="C776" i="5" a="1"/>
  <c r="D776" i="5" a="1"/>
  <c r="J776" i="5" a="1"/>
  <c r="P776" i="5" a="1"/>
  <c r="O776" i="5" a="1"/>
  <c r="V775" i="5" l="1" a="1"/>
  <c r="V775" i="5" s="1"/>
  <c r="O776" i="5"/>
  <c r="G776" i="5"/>
  <c r="C776" i="5"/>
  <c r="I776" i="5"/>
  <c r="J776" i="5"/>
  <c r="H776" i="5"/>
  <c r="P776" i="5"/>
  <c r="D776" i="5"/>
  <c r="M776" i="5"/>
  <c r="K776" i="5"/>
  <c r="L776" i="5"/>
  <c r="U775" i="5" a="1"/>
  <c r="U775" i="5" s="1"/>
  <c r="E777" i="5" a="1"/>
  <c r="E777" i="5" s="1"/>
  <c r="AB777" i="5" s="1"/>
  <c r="B777" i="5"/>
  <c r="G777" i="5" s="1" a="1"/>
  <c r="A778" i="5" a="1"/>
  <c r="R776" i="5" l="1"/>
  <c r="G777" i="5"/>
  <c r="F777" i="5" a="1"/>
  <c r="F777" i="5" s="1"/>
  <c r="T776" i="5"/>
  <c r="S776" i="5"/>
  <c r="Q776" i="5"/>
  <c r="A778" i="5"/>
  <c r="X777" i="5"/>
  <c r="AA777" i="5"/>
  <c r="Y777" i="5"/>
  <c r="AC777" i="5" s="1"/>
  <c r="W777" i="5"/>
  <c r="Z777" i="5"/>
  <c r="D777" i="5" a="1"/>
  <c r="I777" i="5" a="1"/>
  <c r="J777" i="5" a="1"/>
  <c r="O777" i="5" a="1"/>
  <c r="M777" i="5" a="1"/>
  <c r="H777" i="5" a="1"/>
  <c r="N777" i="5" a="1"/>
  <c r="L777" i="5" a="1"/>
  <c r="C777" i="5" a="1"/>
  <c r="P777" i="5" a="1"/>
  <c r="K777" i="5" a="1"/>
  <c r="V776" i="5" l="1" a="1"/>
  <c r="V776" i="5" s="1"/>
  <c r="U776" i="5" a="1"/>
  <c r="U776" i="5" s="1"/>
  <c r="C777" i="5"/>
  <c r="O777" i="5"/>
  <c r="J777" i="5"/>
  <c r="M777" i="5"/>
  <c r="L777" i="5"/>
  <c r="N777" i="5"/>
  <c r="D777" i="5"/>
  <c r="K777" i="5"/>
  <c r="I777" i="5"/>
  <c r="P777" i="5"/>
  <c r="H777" i="5"/>
  <c r="B778" i="5"/>
  <c r="D778" i="5" s="1" a="1"/>
  <c r="E778" i="5" a="1"/>
  <c r="E778" i="5" s="1"/>
  <c r="Z778" i="5" s="1"/>
  <c r="A779" i="5" a="1"/>
  <c r="A779" i="5" s="1"/>
  <c r="T777" i="5" l="1"/>
  <c r="D778" i="5"/>
  <c r="F778" i="5" a="1"/>
  <c r="F778" i="5" s="1"/>
  <c r="B779" i="5"/>
  <c r="G779" i="5" s="1" a="1"/>
  <c r="R777" i="5"/>
  <c r="S777" i="5"/>
  <c r="Q777" i="5"/>
  <c r="AB778" i="5"/>
  <c r="X778" i="5"/>
  <c r="AA778" i="5"/>
  <c r="Y778" i="5"/>
  <c r="AC778" i="5" s="1"/>
  <c r="W778" i="5"/>
  <c r="G778" i="5" a="1"/>
  <c r="K778" i="5" a="1"/>
  <c r="P778" i="5" a="1"/>
  <c r="N778" i="5" a="1"/>
  <c r="J778" i="5" a="1"/>
  <c r="A780" i="5" a="1"/>
  <c r="M778" i="5" a="1"/>
  <c r="E779" i="5" a="1"/>
  <c r="H778" i="5" a="1"/>
  <c r="I778" i="5" a="1"/>
  <c r="L778" i="5" a="1"/>
  <c r="C778" i="5" a="1"/>
  <c r="O778" i="5" a="1"/>
  <c r="V777" i="5" l="1" a="1"/>
  <c r="V777" i="5" s="1"/>
  <c r="L778" i="5"/>
  <c r="G779" i="5"/>
  <c r="G778" i="5"/>
  <c r="I778" i="5"/>
  <c r="N778" i="5"/>
  <c r="K778" i="5"/>
  <c r="H778" i="5"/>
  <c r="P778" i="5"/>
  <c r="C778" i="5"/>
  <c r="M778" i="5"/>
  <c r="O778" i="5"/>
  <c r="E779" i="5"/>
  <c r="J778" i="5"/>
  <c r="U777" i="5" a="1"/>
  <c r="U777" i="5" s="1"/>
  <c r="A780" i="5"/>
  <c r="C779" i="5" a="1"/>
  <c r="I779" i="5" a="1"/>
  <c r="M779" i="5" a="1"/>
  <c r="D779" i="5" a="1"/>
  <c r="F779" i="5" a="1"/>
  <c r="H779" i="5" a="1"/>
  <c r="J779" i="5" a="1"/>
  <c r="P779" i="5" a="1"/>
  <c r="K779" i="5" a="1"/>
  <c r="L779" i="5" a="1"/>
  <c r="O779" i="5" a="1"/>
  <c r="N779" i="5" a="1"/>
  <c r="R778" i="5" l="1"/>
  <c r="N779" i="5"/>
  <c r="O779" i="5"/>
  <c r="J779" i="5"/>
  <c r="F779" i="5"/>
  <c r="M779" i="5"/>
  <c r="L779" i="5"/>
  <c r="H779" i="5"/>
  <c r="P779" i="5"/>
  <c r="I779" i="5"/>
  <c r="D779" i="5"/>
  <c r="C779" i="5"/>
  <c r="K779" i="5"/>
  <c r="E780" i="5" a="1"/>
  <c r="E780" i="5" s="1"/>
  <c r="B780" i="5"/>
  <c r="Q778" i="5"/>
  <c r="S778" i="5"/>
  <c r="T778" i="5"/>
  <c r="Y779" i="5"/>
  <c r="AC779" i="5" s="1"/>
  <c r="AA779" i="5"/>
  <c r="X779" i="5"/>
  <c r="AB779" i="5"/>
  <c r="Z779" i="5"/>
  <c r="W779" i="5"/>
  <c r="A781" i="5" a="1"/>
  <c r="U778" i="5" l="1" a="1"/>
  <c r="U778" i="5" s="1"/>
  <c r="F780" i="5" a="1"/>
  <c r="F780" i="5" s="1"/>
  <c r="V778" i="5" a="1"/>
  <c r="V778" i="5" s="1"/>
  <c r="R779" i="5"/>
  <c r="T779" i="5"/>
  <c r="AA780" i="5"/>
  <c r="S779" i="5"/>
  <c r="Q779" i="5"/>
  <c r="AB780" i="5"/>
  <c r="X780" i="5"/>
  <c r="A781" i="5"/>
  <c r="Y780" i="5"/>
  <c r="AC780" i="5" s="1"/>
  <c r="W780" i="5"/>
  <c r="Z780" i="5"/>
  <c r="O780" i="5" a="1"/>
  <c r="M780" i="5" a="1"/>
  <c r="J780" i="5" a="1"/>
  <c r="C780" i="5" a="1"/>
  <c r="P780" i="5" a="1"/>
  <c r="I780" i="5" a="1"/>
  <c r="H780" i="5" a="1"/>
  <c r="K780" i="5" a="1"/>
  <c r="L780" i="5" a="1"/>
  <c r="G780" i="5" a="1"/>
  <c r="D780" i="5" a="1"/>
  <c r="N780" i="5" a="1"/>
  <c r="U779" i="5" l="1" a="1"/>
  <c r="U779" i="5" s="1"/>
  <c r="V779" i="5" a="1"/>
  <c r="V779" i="5" s="1"/>
  <c r="K780" i="5"/>
  <c r="G780" i="5"/>
  <c r="L780" i="5"/>
  <c r="D780" i="5"/>
  <c r="C780" i="5"/>
  <c r="H780" i="5"/>
  <c r="O780" i="5"/>
  <c r="N780" i="5"/>
  <c r="I780" i="5"/>
  <c r="P780" i="5"/>
  <c r="M780" i="5"/>
  <c r="J780" i="5"/>
  <c r="B781" i="5"/>
  <c r="E781" i="5" a="1"/>
  <c r="E781" i="5" s="1"/>
  <c r="A782" i="5" a="1"/>
  <c r="N781" i="5" a="1"/>
  <c r="T780" i="5" l="1"/>
  <c r="R780" i="5"/>
  <c r="N781" i="5"/>
  <c r="AB781" i="5"/>
  <c r="F781" i="5" a="1"/>
  <c r="F781" i="5" s="1"/>
  <c r="S780" i="5"/>
  <c r="Q780" i="5"/>
  <c r="A782" i="5"/>
  <c r="X781" i="5"/>
  <c r="W781" i="5"/>
  <c r="AA781" i="5"/>
  <c r="Y781" i="5"/>
  <c r="AC781" i="5" s="1"/>
  <c r="Z781" i="5"/>
  <c r="K781" i="5" a="1"/>
  <c r="J781" i="5" a="1"/>
  <c r="O781" i="5" a="1"/>
  <c r="I781" i="5" a="1"/>
  <c r="P781" i="5" a="1"/>
  <c r="C781" i="5" a="1"/>
  <c r="L781" i="5" a="1"/>
  <c r="D781" i="5" a="1"/>
  <c r="H781" i="5" a="1"/>
  <c r="M781" i="5" a="1"/>
  <c r="G781" i="5" a="1"/>
  <c r="V780" i="5" l="1" a="1"/>
  <c r="V780" i="5" s="1"/>
  <c r="U780" i="5" a="1"/>
  <c r="U780" i="5" s="1"/>
  <c r="K781" i="5"/>
  <c r="O781" i="5"/>
  <c r="L781" i="5"/>
  <c r="D781" i="5"/>
  <c r="I781" i="5"/>
  <c r="J781" i="5"/>
  <c r="P781" i="5"/>
  <c r="C781" i="5"/>
  <c r="M781" i="5"/>
  <c r="H781" i="5"/>
  <c r="G781" i="5"/>
  <c r="E782" i="5" a="1"/>
  <c r="E782" i="5" s="1"/>
  <c r="Z782" i="5" s="1"/>
  <c r="B782" i="5"/>
  <c r="P782" i="5" s="1" a="1"/>
  <c r="A783" i="5" a="1"/>
  <c r="R781" i="5" l="1"/>
  <c r="P782" i="5"/>
  <c r="F782" i="5" a="1"/>
  <c r="F782" i="5" s="1"/>
  <c r="S781" i="5"/>
  <c r="Q781" i="5"/>
  <c r="T781" i="5"/>
  <c r="A783" i="5"/>
  <c r="X782" i="5"/>
  <c r="Y782" i="5"/>
  <c r="AC782" i="5" s="1"/>
  <c r="AB782" i="5"/>
  <c r="AA782" i="5"/>
  <c r="W782" i="5"/>
  <c r="M782" i="5" a="1"/>
  <c r="C782" i="5" a="1"/>
  <c r="D782" i="5" a="1"/>
  <c r="L782" i="5" a="1"/>
  <c r="N782" i="5" a="1"/>
  <c r="I782" i="5" a="1"/>
  <c r="H782" i="5" a="1"/>
  <c r="J782" i="5" a="1"/>
  <c r="G782" i="5" a="1"/>
  <c r="O782" i="5" a="1"/>
  <c r="K782" i="5" a="1"/>
  <c r="U781" i="5" l="1" a="1"/>
  <c r="U781" i="5" s="1"/>
  <c r="J782" i="5"/>
  <c r="I782" i="5"/>
  <c r="H782" i="5"/>
  <c r="K782" i="5"/>
  <c r="D782" i="5"/>
  <c r="N782" i="5"/>
  <c r="M782" i="5"/>
  <c r="T782" i="5" s="1"/>
  <c r="G782" i="5"/>
  <c r="O782" i="5"/>
  <c r="C782" i="5"/>
  <c r="L782" i="5"/>
  <c r="R782" i="5" s="1"/>
  <c r="B783" i="5"/>
  <c r="F783" i="5" s="1" a="1"/>
  <c r="F783" i="5" s="1"/>
  <c r="E783" i="5" a="1"/>
  <c r="E783" i="5" s="1"/>
  <c r="V781" i="5" a="1"/>
  <c r="V781" i="5" s="1"/>
  <c r="A784" i="5" a="1"/>
  <c r="AB783" i="5" l="1"/>
  <c r="S782" i="5"/>
  <c r="V782" i="5" s="1" a="1"/>
  <c r="V782" i="5" s="1"/>
  <c r="Q782" i="5"/>
  <c r="U782" i="5" s="1" a="1"/>
  <c r="U782" i="5" s="1"/>
  <c r="A784" i="5"/>
  <c r="AA783" i="5"/>
  <c r="Y783" i="5"/>
  <c r="AC783" i="5" s="1"/>
  <c r="X783" i="5"/>
  <c r="W783" i="5"/>
  <c r="Z783" i="5"/>
  <c r="H783" i="5" a="1"/>
  <c r="I783" i="5" a="1"/>
  <c r="J783" i="5" a="1"/>
  <c r="K783" i="5" a="1"/>
  <c r="L783" i="5" a="1"/>
  <c r="G783" i="5" a="1"/>
  <c r="C783" i="5" a="1"/>
  <c r="O783" i="5" a="1"/>
  <c r="D783" i="5" a="1"/>
  <c r="M783" i="5" a="1"/>
  <c r="P783" i="5" a="1"/>
  <c r="N783" i="5" a="1"/>
  <c r="D783" i="5" l="1"/>
  <c r="P783" i="5"/>
  <c r="C783" i="5"/>
  <c r="M783" i="5"/>
  <c r="N783" i="5"/>
  <c r="I783" i="5"/>
  <c r="L783" i="5"/>
  <c r="G783" i="5"/>
  <c r="H783" i="5"/>
  <c r="K783" i="5"/>
  <c r="O783" i="5"/>
  <c r="J783" i="5"/>
  <c r="B784" i="5"/>
  <c r="D784" i="5" s="1" a="1"/>
  <c r="E784" i="5" a="1"/>
  <c r="E784" i="5" s="1"/>
  <c r="Z784" i="5" s="1"/>
  <c r="A785" i="5" a="1"/>
  <c r="T783" i="5" l="1"/>
  <c r="D784" i="5"/>
  <c r="F784" i="5" a="1"/>
  <c r="F784" i="5" s="1"/>
  <c r="Q783" i="5"/>
  <c r="S783" i="5"/>
  <c r="R783" i="5"/>
  <c r="AB784" i="5"/>
  <c r="X784" i="5"/>
  <c r="A785" i="5"/>
  <c r="AA784" i="5"/>
  <c r="Y784" i="5"/>
  <c r="AC784" i="5" s="1"/>
  <c r="W784" i="5"/>
  <c r="M784" i="5" a="1"/>
  <c r="G784" i="5" a="1"/>
  <c r="H784" i="5" a="1"/>
  <c r="N784" i="5" a="1"/>
  <c r="L784" i="5" a="1"/>
  <c r="J784" i="5" a="1"/>
  <c r="K784" i="5" a="1"/>
  <c r="C784" i="5" a="1"/>
  <c r="I784" i="5" a="1"/>
  <c r="O784" i="5" a="1"/>
  <c r="P784" i="5" a="1"/>
  <c r="V783" i="5" l="1" a="1"/>
  <c r="V783" i="5" s="1"/>
  <c r="J784" i="5"/>
  <c r="K784" i="5"/>
  <c r="M784" i="5"/>
  <c r="N784" i="5"/>
  <c r="I784" i="5"/>
  <c r="G784" i="5"/>
  <c r="L784" i="5"/>
  <c r="P784" i="5"/>
  <c r="R784" i="5" s="1"/>
  <c r="C784" i="5"/>
  <c r="H784" i="5"/>
  <c r="O784" i="5"/>
  <c r="U783" i="5" a="1"/>
  <c r="U783" i="5" s="1"/>
  <c r="E785" i="5" a="1"/>
  <c r="E785" i="5" s="1"/>
  <c r="B785" i="5"/>
  <c r="A786" i="5" a="1"/>
  <c r="Q784" i="5" l="1"/>
  <c r="U784" i="5" s="1" a="1"/>
  <c r="U784" i="5" s="1"/>
  <c r="S784" i="5"/>
  <c r="T784" i="5"/>
  <c r="AB785" i="5"/>
  <c r="F785" i="5" a="1"/>
  <c r="F785" i="5" s="1"/>
  <c r="A786" i="5"/>
  <c r="AA785" i="5"/>
  <c r="X785" i="5"/>
  <c r="Y785" i="5"/>
  <c r="AC785" i="5" s="1"/>
  <c r="W785" i="5"/>
  <c r="Z785" i="5"/>
  <c r="C785" i="5" a="1"/>
  <c r="K785" i="5" a="1"/>
  <c r="J785" i="5" a="1"/>
  <c r="G785" i="5" a="1"/>
  <c r="O785" i="5" a="1"/>
  <c r="I785" i="5" a="1"/>
  <c r="N785" i="5" a="1"/>
  <c r="H785" i="5" a="1"/>
  <c r="L785" i="5" a="1"/>
  <c r="D785" i="5" a="1"/>
  <c r="P785" i="5" a="1"/>
  <c r="M785" i="5" a="1"/>
  <c r="V784" i="5" l="1" a="1"/>
  <c r="V784" i="5" s="1"/>
  <c r="J785" i="5"/>
  <c r="M785" i="5"/>
  <c r="P785" i="5"/>
  <c r="H785" i="5"/>
  <c r="O785" i="5"/>
  <c r="G785" i="5"/>
  <c r="N785" i="5"/>
  <c r="K785" i="5"/>
  <c r="D785" i="5"/>
  <c r="C785" i="5"/>
  <c r="I785" i="5"/>
  <c r="L785" i="5"/>
  <c r="B786" i="5"/>
  <c r="E786" i="5" a="1"/>
  <c r="E786" i="5" s="1"/>
  <c r="Z786" i="5" s="1"/>
  <c r="A787" i="5" a="1"/>
  <c r="T785" i="5" l="1"/>
  <c r="R785" i="5"/>
  <c r="F786" i="5" a="1"/>
  <c r="F786" i="5" s="1"/>
  <c r="S785" i="5"/>
  <c r="Q785" i="5"/>
  <c r="X786" i="5"/>
  <c r="A787" i="5"/>
  <c r="AB786" i="5"/>
  <c r="Y786" i="5"/>
  <c r="AC786" i="5" s="1"/>
  <c r="AA786" i="5"/>
  <c r="W786" i="5"/>
  <c r="C786" i="5" a="1"/>
  <c r="J786" i="5" a="1"/>
  <c r="O786" i="5" a="1"/>
  <c r="D786" i="5" a="1"/>
  <c r="M786" i="5" a="1"/>
  <c r="K786" i="5" a="1"/>
  <c r="P786" i="5" a="1"/>
  <c r="N786" i="5" a="1"/>
  <c r="G786" i="5" a="1"/>
  <c r="I786" i="5" a="1"/>
  <c r="H786" i="5" a="1"/>
  <c r="L786" i="5" a="1"/>
  <c r="V785" i="5" l="1" a="1"/>
  <c r="V785" i="5" s="1"/>
  <c r="U785" i="5" a="1"/>
  <c r="U785" i="5" s="1"/>
  <c r="P786" i="5"/>
  <c r="M786" i="5"/>
  <c r="I786" i="5"/>
  <c r="K786" i="5"/>
  <c r="C786" i="5"/>
  <c r="G786" i="5"/>
  <c r="N786" i="5"/>
  <c r="L786" i="5"/>
  <c r="O786" i="5"/>
  <c r="H786" i="5"/>
  <c r="D786" i="5"/>
  <c r="J786" i="5"/>
  <c r="B787" i="5"/>
  <c r="D787" i="5" s="1" a="1"/>
  <c r="E787" i="5" a="1"/>
  <c r="E787" i="5" s="1"/>
  <c r="A788" i="5" a="1"/>
  <c r="T786" i="5" l="1"/>
  <c r="D787" i="5"/>
  <c r="F787" i="5" a="1"/>
  <c r="F787" i="5" s="1"/>
  <c r="AB787" i="5"/>
  <c r="S786" i="5"/>
  <c r="Q786" i="5"/>
  <c r="R786" i="5"/>
  <c r="A788" i="5"/>
  <c r="AA787" i="5"/>
  <c r="W787" i="5"/>
  <c r="Y787" i="5"/>
  <c r="AC787" i="5" s="1"/>
  <c r="X787" i="5"/>
  <c r="Z787" i="5"/>
  <c r="P787" i="5" a="1"/>
  <c r="K787" i="5" a="1"/>
  <c r="G787" i="5" a="1"/>
  <c r="N787" i="5" a="1"/>
  <c r="C787" i="5" a="1"/>
  <c r="O787" i="5" a="1"/>
  <c r="I787" i="5" a="1"/>
  <c r="L787" i="5" a="1"/>
  <c r="H787" i="5" a="1"/>
  <c r="M787" i="5" a="1"/>
  <c r="J787" i="5" a="1"/>
  <c r="V786" i="5" l="1" a="1"/>
  <c r="V786" i="5" s="1"/>
  <c r="U786" i="5" a="1"/>
  <c r="U786" i="5" s="1"/>
  <c r="I787" i="5"/>
  <c r="P787" i="5"/>
  <c r="L787" i="5"/>
  <c r="K787" i="5"/>
  <c r="M787" i="5"/>
  <c r="J787" i="5"/>
  <c r="N787" i="5"/>
  <c r="H787" i="5"/>
  <c r="C787" i="5"/>
  <c r="G787" i="5"/>
  <c r="O787" i="5"/>
  <c r="E788" i="5" a="1"/>
  <c r="E788" i="5" s="1"/>
  <c r="Z788" i="5" s="1"/>
  <c r="B788" i="5"/>
  <c r="A789" i="5" a="1"/>
  <c r="T787" i="5" l="1"/>
  <c r="F788" i="5" a="1"/>
  <c r="F788" i="5" s="1"/>
  <c r="Q787" i="5"/>
  <c r="S787" i="5"/>
  <c r="R787" i="5"/>
  <c r="A789" i="5"/>
  <c r="X788" i="5"/>
  <c r="AB788" i="5"/>
  <c r="AA788" i="5"/>
  <c r="Y788" i="5"/>
  <c r="AC788" i="5" s="1"/>
  <c r="W788" i="5"/>
  <c r="H788" i="5" a="1"/>
  <c r="O788" i="5" a="1"/>
  <c r="N788" i="5" a="1"/>
  <c r="D788" i="5" a="1"/>
  <c r="K788" i="5" a="1"/>
  <c r="J788" i="5" a="1"/>
  <c r="I788" i="5" a="1"/>
  <c r="P788" i="5" a="1"/>
  <c r="L788" i="5" a="1"/>
  <c r="C788" i="5" a="1"/>
  <c r="G788" i="5" a="1"/>
  <c r="M788" i="5" a="1"/>
  <c r="V787" i="5" l="1" a="1"/>
  <c r="V787" i="5" s="1"/>
  <c r="U787" i="5" a="1"/>
  <c r="U787" i="5" s="1"/>
  <c r="K788" i="5"/>
  <c r="J788" i="5"/>
  <c r="G788" i="5"/>
  <c r="D788" i="5"/>
  <c r="C788" i="5"/>
  <c r="O788" i="5"/>
  <c r="N788" i="5"/>
  <c r="H788" i="5"/>
  <c r="P788" i="5"/>
  <c r="L788" i="5"/>
  <c r="M788" i="5"/>
  <c r="I788" i="5"/>
  <c r="B789" i="5"/>
  <c r="E789" i="5" a="1"/>
  <c r="E789" i="5" s="1"/>
  <c r="X789" i="5" s="1"/>
  <c r="C789" i="5" a="1"/>
  <c r="A790" i="5" a="1"/>
  <c r="T788" i="5" l="1"/>
  <c r="R788" i="5"/>
  <c r="C789" i="5"/>
  <c r="Q788" i="5"/>
  <c r="S788" i="5"/>
  <c r="F789" i="5" a="1"/>
  <c r="F789" i="5" s="1"/>
  <c r="A790" i="5"/>
  <c r="AA789" i="5"/>
  <c r="Y789" i="5"/>
  <c r="AC789" i="5" s="1"/>
  <c r="W789" i="5"/>
  <c r="Z789" i="5"/>
  <c r="AB789" i="5"/>
  <c r="M789" i="5" a="1"/>
  <c r="O789" i="5" a="1"/>
  <c r="G789" i="5" a="1"/>
  <c r="I789" i="5" a="1"/>
  <c r="P789" i="5" a="1"/>
  <c r="J789" i="5" a="1"/>
  <c r="N789" i="5" a="1"/>
  <c r="D789" i="5" a="1"/>
  <c r="L789" i="5" a="1"/>
  <c r="H789" i="5" a="1"/>
  <c r="K789" i="5" a="1"/>
  <c r="U788" i="5" l="1" a="1"/>
  <c r="U788" i="5" s="1"/>
  <c r="V788" i="5" a="1"/>
  <c r="V788" i="5" s="1"/>
  <c r="P789" i="5"/>
  <c r="I789" i="5"/>
  <c r="J789" i="5"/>
  <c r="N789" i="5"/>
  <c r="L789" i="5"/>
  <c r="H789" i="5"/>
  <c r="D789" i="5"/>
  <c r="G789" i="5"/>
  <c r="M789" i="5"/>
  <c r="O789" i="5"/>
  <c r="K789" i="5"/>
  <c r="E790" i="5" a="1"/>
  <c r="E790" i="5" s="1"/>
  <c r="X790" i="5" s="1"/>
  <c r="B790" i="5"/>
  <c r="P790" i="5" s="1" a="1"/>
  <c r="A791" i="5" a="1"/>
  <c r="T789" i="5" l="1"/>
  <c r="P790" i="5"/>
  <c r="S789" i="5"/>
  <c r="Q789" i="5"/>
  <c r="R789" i="5"/>
  <c r="AB790" i="5"/>
  <c r="A791" i="5"/>
  <c r="Y790" i="5"/>
  <c r="AC790" i="5" s="1"/>
  <c r="AA790" i="5"/>
  <c r="W790" i="5"/>
  <c r="Z790" i="5"/>
  <c r="L790" i="5" a="1"/>
  <c r="G790" i="5" a="1"/>
  <c r="I790" i="5" a="1"/>
  <c r="N790" i="5" a="1"/>
  <c r="M790" i="5" a="1"/>
  <c r="K790" i="5" a="1"/>
  <c r="D790" i="5" a="1"/>
  <c r="J790" i="5" a="1"/>
  <c r="H790" i="5" a="1"/>
  <c r="C790" i="5" a="1"/>
  <c r="O790" i="5" a="1"/>
  <c r="F790" i="5" a="1"/>
  <c r="V789" i="5" l="1" a="1"/>
  <c r="V789" i="5" s="1"/>
  <c r="J790" i="5"/>
  <c r="F790" i="5"/>
  <c r="N790" i="5"/>
  <c r="K790" i="5"/>
  <c r="C790" i="5"/>
  <c r="M790" i="5"/>
  <c r="T790" i="5" s="1"/>
  <c r="O790" i="5"/>
  <c r="G790" i="5"/>
  <c r="L790" i="5"/>
  <c r="R790" i="5" s="1"/>
  <c r="I790" i="5"/>
  <c r="H790" i="5"/>
  <c r="D790" i="5"/>
  <c r="B791" i="5"/>
  <c r="E791" i="5" a="1"/>
  <c r="E791" i="5" s="1"/>
  <c r="U789" i="5" a="1"/>
  <c r="U789" i="5" s="1"/>
  <c r="A792" i="5" a="1"/>
  <c r="J791" i="5" a="1"/>
  <c r="J791" i="5" l="1"/>
  <c r="X791" i="5"/>
  <c r="F791" i="5" a="1"/>
  <c r="F791" i="5" s="1"/>
  <c r="S790" i="5"/>
  <c r="V790" i="5" s="1" a="1"/>
  <c r="V790" i="5" s="1"/>
  <c r="Q790" i="5"/>
  <c r="U790" i="5" s="1" a="1"/>
  <c r="U790" i="5" s="1"/>
  <c r="A792" i="5"/>
  <c r="W791" i="5"/>
  <c r="AA791" i="5"/>
  <c r="Y791" i="5"/>
  <c r="AC791" i="5" s="1"/>
  <c r="Z791" i="5"/>
  <c r="AB791" i="5"/>
  <c r="K791" i="5" a="1"/>
  <c r="H791" i="5" a="1"/>
  <c r="C791" i="5" a="1"/>
  <c r="M791" i="5" a="1"/>
  <c r="P791" i="5" a="1"/>
  <c r="I791" i="5" a="1"/>
  <c r="G791" i="5" a="1"/>
  <c r="D791" i="5" a="1"/>
  <c r="L791" i="5" a="1"/>
  <c r="O791" i="5" a="1"/>
  <c r="N791" i="5" a="1"/>
  <c r="L791" i="5" l="1"/>
  <c r="C791" i="5"/>
  <c r="K791" i="5"/>
  <c r="D791" i="5"/>
  <c r="G791" i="5"/>
  <c r="M791" i="5"/>
  <c r="I791" i="5"/>
  <c r="N791" i="5"/>
  <c r="H791" i="5"/>
  <c r="P791" i="5"/>
  <c r="O791" i="5"/>
  <c r="B792" i="5"/>
  <c r="N792" i="5" s="1" a="1"/>
  <c r="E792" i="5" a="1"/>
  <c r="E792" i="5" s="1"/>
  <c r="A793" i="5" a="1"/>
  <c r="T791" i="5" l="1"/>
  <c r="R791" i="5"/>
  <c r="N792" i="5"/>
  <c r="F792" i="5" a="1"/>
  <c r="F792" i="5" s="1"/>
  <c r="Q791" i="5"/>
  <c r="S791" i="5"/>
  <c r="X792" i="5"/>
  <c r="AB792" i="5"/>
  <c r="A793" i="5"/>
  <c r="Y792" i="5"/>
  <c r="AC792" i="5" s="1"/>
  <c r="AA792" i="5"/>
  <c r="W792" i="5"/>
  <c r="Z792" i="5"/>
  <c r="O792" i="5" a="1"/>
  <c r="K792" i="5" a="1"/>
  <c r="M792" i="5" a="1"/>
  <c r="C792" i="5" a="1"/>
  <c r="D792" i="5" a="1"/>
  <c r="L792" i="5" a="1"/>
  <c r="I792" i="5" a="1"/>
  <c r="G792" i="5" a="1"/>
  <c r="P792" i="5" a="1"/>
  <c r="H792" i="5" a="1"/>
  <c r="J792" i="5" a="1"/>
  <c r="U791" i="5" l="1" a="1"/>
  <c r="U791" i="5" s="1"/>
  <c r="V791" i="5" a="1"/>
  <c r="V791" i="5" s="1"/>
  <c r="G792" i="5"/>
  <c r="P792" i="5"/>
  <c r="C792" i="5"/>
  <c r="M792" i="5"/>
  <c r="L792" i="5"/>
  <c r="H792" i="5"/>
  <c r="D792" i="5"/>
  <c r="O792" i="5"/>
  <c r="K792" i="5"/>
  <c r="J792" i="5"/>
  <c r="I792" i="5"/>
  <c r="E793" i="5" a="1"/>
  <c r="E793" i="5" s="1"/>
  <c r="B793" i="5"/>
  <c r="N793" i="5" s="1" a="1"/>
  <c r="A794" i="5" a="1"/>
  <c r="T792" i="5" l="1"/>
  <c r="N793" i="5"/>
  <c r="Q792" i="5"/>
  <c r="S792" i="5"/>
  <c r="R792" i="5"/>
  <c r="F793" i="5" a="1"/>
  <c r="F793" i="5" s="1"/>
  <c r="X793" i="5"/>
  <c r="A794" i="5"/>
  <c r="AA793" i="5"/>
  <c r="Y793" i="5"/>
  <c r="AC793" i="5" s="1"/>
  <c r="W793" i="5"/>
  <c r="Z793" i="5"/>
  <c r="AB793" i="5"/>
  <c r="P793" i="5" a="1"/>
  <c r="M793" i="5" a="1"/>
  <c r="H793" i="5" a="1"/>
  <c r="O793" i="5" a="1"/>
  <c r="D793" i="5" a="1"/>
  <c r="K793" i="5" a="1"/>
  <c r="I793" i="5" a="1"/>
  <c r="C793" i="5" a="1"/>
  <c r="G793" i="5" a="1"/>
  <c r="J793" i="5" a="1"/>
  <c r="L793" i="5" a="1"/>
  <c r="V792" i="5" l="1" a="1"/>
  <c r="V792" i="5" s="1"/>
  <c r="K793" i="5"/>
  <c r="H793" i="5"/>
  <c r="I793" i="5"/>
  <c r="C793" i="5"/>
  <c r="L793" i="5"/>
  <c r="O793" i="5"/>
  <c r="M793" i="5"/>
  <c r="J793" i="5"/>
  <c r="G793" i="5"/>
  <c r="D793" i="5"/>
  <c r="P793" i="5"/>
  <c r="B794" i="5"/>
  <c r="E794" i="5" a="1"/>
  <c r="E794" i="5" s="1"/>
  <c r="Z794" i="5" s="1"/>
  <c r="U792" i="5" a="1"/>
  <c r="U792" i="5" s="1"/>
  <c r="A795" i="5" a="1"/>
  <c r="T793" i="5" l="1"/>
  <c r="F794" i="5" a="1"/>
  <c r="F794" i="5" s="1"/>
  <c r="S793" i="5"/>
  <c r="Q793" i="5"/>
  <c r="R793" i="5"/>
  <c r="A795" i="5"/>
  <c r="X794" i="5"/>
  <c r="Y794" i="5"/>
  <c r="AC794" i="5" s="1"/>
  <c r="AB794" i="5"/>
  <c r="AA794" i="5"/>
  <c r="W794" i="5"/>
  <c r="N794" i="5" a="1"/>
  <c r="I794" i="5" a="1"/>
  <c r="P794" i="5" a="1"/>
  <c r="C794" i="5" a="1"/>
  <c r="L794" i="5" a="1"/>
  <c r="D794" i="5" a="1"/>
  <c r="J794" i="5" a="1"/>
  <c r="M794" i="5" a="1"/>
  <c r="O794" i="5" a="1"/>
  <c r="K794" i="5" a="1"/>
  <c r="H794" i="5" a="1"/>
  <c r="G794" i="5" a="1"/>
  <c r="V793" i="5" l="1" a="1"/>
  <c r="V793" i="5" s="1"/>
  <c r="H794" i="5"/>
  <c r="D794" i="5"/>
  <c r="P794" i="5"/>
  <c r="K794" i="5"/>
  <c r="O794" i="5"/>
  <c r="I794" i="5"/>
  <c r="L794" i="5"/>
  <c r="G794" i="5"/>
  <c r="C794" i="5"/>
  <c r="J794" i="5"/>
  <c r="M794" i="5"/>
  <c r="N794" i="5"/>
  <c r="E795" i="5" a="1"/>
  <c r="E795" i="5" s="1"/>
  <c r="AB795" i="5" s="1"/>
  <c r="B795" i="5"/>
  <c r="U793" i="5" a="1"/>
  <c r="U793" i="5" s="1"/>
  <c r="C795" i="5" a="1"/>
  <c r="A796" i="5" a="1"/>
  <c r="T794" i="5" l="1"/>
  <c r="C795" i="5"/>
  <c r="F795" i="5" a="1"/>
  <c r="F795" i="5" s="1"/>
  <c r="S794" i="5"/>
  <c r="Q794" i="5"/>
  <c r="R794" i="5"/>
  <c r="A796" i="5"/>
  <c r="AA795" i="5"/>
  <c r="X795" i="5"/>
  <c r="Y795" i="5"/>
  <c r="AC795" i="5" s="1"/>
  <c r="W795" i="5"/>
  <c r="Z795" i="5"/>
  <c r="L795" i="5" a="1"/>
  <c r="N795" i="5" a="1"/>
  <c r="H795" i="5" a="1"/>
  <c r="O795" i="5" a="1"/>
  <c r="I795" i="5" a="1"/>
  <c r="K795" i="5" a="1"/>
  <c r="D795" i="5" a="1"/>
  <c r="G795" i="5" a="1"/>
  <c r="J795" i="5" a="1"/>
  <c r="M795" i="5" a="1"/>
  <c r="P795" i="5" a="1"/>
  <c r="V794" i="5" l="1" a="1"/>
  <c r="V794" i="5" s="1"/>
  <c r="U794" i="5" a="1"/>
  <c r="U794" i="5" s="1"/>
  <c r="L795" i="5"/>
  <c r="J795" i="5"/>
  <c r="P795" i="5"/>
  <c r="N795" i="5"/>
  <c r="H795" i="5"/>
  <c r="O795" i="5"/>
  <c r="D795" i="5"/>
  <c r="M795" i="5"/>
  <c r="G795" i="5"/>
  <c r="K795" i="5"/>
  <c r="I795" i="5"/>
  <c r="B796" i="5"/>
  <c r="N796" i="5" s="1" a="1"/>
  <c r="E796" i="5" a="1"/>
  <c r="E796" i="5" s="1"/>
  <c r="A797" i="5" a="1"/>
  <c r="T795" i="5" l="1"/>
  <c r="R795" i="5"/>
  <c r="N796" i="5"/>
  <c r="Z796" i="5"/>
  <c r="F796" i="5" a="1"/>
  <c r="F796" i="5" s="1"/>
  <c r="Q795" i="5"/>
  <c r="S795" i="5"/>
  <c r="A797" i="5"/>
  <c r="X796" i="5"/>
  <c r="Y796" i="5"/>
  <c r="AC796" i="5" s="1"/>
  <c r="AB796" i="5"/>
  <c r="AA796" i="5"/>
  <c r="W796" i="5"/>
  <c r="L796" i="5" a="1"/>
  <c r="O796" i="5" a="1"/>
  <c r="P796" i="5" a="1"/>
  <c r="J796" i="5" a="1"/>
  <c r="M796" i="5" a="1"/>
  <c r="H796" i="5" a="1"/>
  <c r="D796" i="5" a="1"/>
  <c r="K796" i="5" a="1"/>
  <c r="G796" i="5" a="1"/>
  <c r="I796" i="5" a="1"/>
  <c r="C796" i="5" a="1"/>
  <c r="V795" i="5" l="1" a="1"/>
  <c r="V795" i="5" s="1"/>
  <c r="U795" i="5" a="1"/>
  <c r="U795" i="5" s="1"/>
  <c r="J796" i="5"/>
  <c r="G796" i="5"/>
  <c r="H796" i="5"/>
  <c r="P796" i="5"/>
  <c r="D796" i="5"/>
  <c r="M796" i="5"/>
  <c r="I796" i="5"/>
  <c r="C796" i="5"/>
  <c r="K796" i="5"/>
  <c r="O796" i="5"/>
  <c r="L796" i="5"/>
  <c r="E797" i="5" a="1"/>
  <c r="E797" i="5" s="1"/>
  <c r="AB797" i="5" s="1"/>
  <c r="B797" i="5"/>
  <c r="P797" i="5" s="1" a="1"/>
  <c r="A798" i="5" a="1"/>
  <c r="T796" i="5" l="1"/>
  <c r="R796" i="5"/>
  <c r="P797" i="5"/>
  <c r="F797" i="5" a="1"/>
  <c r="F797" i="5" s="1"/>
  <c r="Q796" i="5"/>
  <c r="S796" i="5"/>
  <c r="A798" i="5"/>
  <c r="Y797" i="5"/>
  <c r="AC797" i="5" s="1"/>
  <c r="X797" i="5"/>
  <c r="Z797" i="5"/>
  <c r="W797" i="5"/>
  <c r="AA797" i="5"/>
  <c r="C797" i="5" a="1"/>
  <c r="M797" i="5" a="1"/>
  <c r="I797" i="5" a="1"/>
  <c r="H797" i="5" a="1"/>
  <c r="L797" i="5" a="1"/>
  <c r="N797" i="5" a="1"/>
  <c r="G797" i="5" a="1"/>
  <c r="D797" i="5" a="1"/>
  <c r="O797" i="5" a="1"/>
  <c r="J797" i="5" a="1"/>
  <c r="K797" i="5" a="1"/>
  <c r="V796" i="5" l="1" a="1"/>
  <c r="V796" i="5" s="1"/>
  <c r="U796" i="5" a="1"/>
  <c r="U796" i="5" s="1"/>
  <c r="N797" i="5"/>
  <c r="J797" i="5"/>
  <c r="L797" i="5"/>
  <c r="R797" i="5" s="1"/>
  <c r="G797" i="5"/>
  <c r="D797" i="5"/>
  <c r="K797" i="5"/>
  <c r="M797" i="5"/>
  <c r="T797" i="5" s="1"/>
  <c r="I797" i="5"/>
  <c r="O797" i="5"/>
  <c r="C797" i="5"/>
  <c r="H797" i="5"/>
  <c r="B798" i="5"/>
  <c r="F798" i="5" s="1" a="1"/>
  <c r="F798" i="5" s="1"/>
  <c r="E798" i="5" a="1"/>
  <c r="E798" i="5" s="1"/>
  <c r="X798" i="5" s="1"/>
  <c r="A799" i="5" a="1"/>
  <c r="S797" i="5" l="1"/>
  <c r="V797" i="5" s="1" a="1"/>
  <c r="V797" i="5" s="1"/>
  <c r="Q797" i="5"/>
  <c r="U797" i="5" s="1" a="1"/>
  <c r="U797" i="5" s="1"/>
  <c r="A799" i="5"/>
  <c r="AA798" i="5"/>
  <c r="Z798" i="5"/>
  <c r="Y798" i="5"/>
  <c r="AC798" i="5" s="1"/>
  <c r="W798" i="5"/>
  <c r="AB798" i="5"/>
  <c r="O798" i="5" a="1"/>
  <c r="M798" i="5" a="1"/>
  <c r="K798" i="5" a="1"/>
  <c r="C798" i="5" a="1"/>
  <c r="L798" i="5" a="1"/>
  <c r="P798" i="5" a="1"/>
  <c r="I798" i="5" a="1"/>
  <c r="H798" i="5" a="1"/>
  <c r="G798" i="5" a="1"/>
  <c r="N798" i="5" a="1"/>
  <c r="D798" i="5" a="1"/>
  <c r="J798" i="5" a="1"/>
  <c r="M798" i="5" l="1"/>
  <c r="G798" i="5"/>
  <c r="C798" i="5"/>
  <c r="D798" i="5"/>
  <c r="P798" i="5"/>
  <c r="O798" i="5"/>
  <c r="L798" i="5"/>
  <c r="K798" i="5"/>
  <c r="N798" i="5"/>
  <c r="I798" i="5"/>
  <c r="H798" i="5"/>
  <c r="J798" i="5"/>
  <c r="B799" i="5"/>
  <c r="E799" i="5" a="1"/>
  <c r="E799" i="5" s="1"/>
  <c r="A800" i="5" a="1"/>
  <c r="D799" i="5" a="1"/>
  <c r="D799" i="5" l="1"/>
  <c r="Q798" i="5"/>
  <c r="S798" i="5"/>
  <c r="F799" i="5" a="1"/>
  <c r="F799" i="5" s="1"/>
  <c r="R798" i="5"/>
  <c r="AB799" i="5"/>
  <c r="T798" i="5"/>
  <c r="X799" i="5"/>
  <c r="W799" i="5"/>
  <c r="A800" i="5"/>
  <c r="AA799" i="5"/>
  <c r="Y799" i="5"/>
  <c r="AC799" i="5" s="1"/>
  <c r="Z799" i="5"/>
  <c r="O799" i="5" a="1"/>
  <c r="J799" i="5" a="1"/>
  <c r="P799" i="5" a="1"/>
  <c r="L799" i="5" a="1"/>
  <c r="C799" i="5" a="1"/>
  <c r="G799" i="5" a="1"/>
  <c r="I799" i="5" a="1"/>
  <c r="N799" i="5" a="1"/>
  <c r="H799" i="5" a="1"/>
  <c r="M799" i="5" a="1"/>
  <c r="K799" i="5" a="1"/>
  <c r="U798" i="5" l="1" a="1"/>
  <c r="U798" i="5" s="1"/>
  <c r="J799" i="5"/>
  <c r="G799" i="5"/>
  <c r="I799" i="5"/>
  <c r="N799" i="5"/>
  <c r="M799" i="5"/>
  <c r="C799" i="5"/>
  <c r="L799" i="5"/>
  <c r="K799" i="5"/>
  <c r="H799" i="5"/>
  <c r="P799" i="5"/>
  <c r="O799" i="5"/>
  <c r="V798" i="5" a="1"/>
  <c r="V798" i="5" s="1"/>
  <c r="E800" i="5" a="1"/>
  <c r="E800" i="5" s="1"/>
  <c r="B800" i="5"/>
  <c r="K800" i="5" s="1" a="1"/>
  <c r="A801" i="5" a="1"/>
  <c r="T799" i="5" l="1"/>
  <c r="K800" i="5"/>
  <c r="S799" i="5"/>
  <c r="Q799" i="5"/>
  <c r="F800" i="5" a="1"/>
  <c r="F800" i="5" s="1"/>
  <c r="AB800" i="5"/>
  <c r="R799" i="5"/>
  <c r="Y800" i="5"/>
  <c r="AC800" i="5" s="1"/>
  <c r="A801" i="5"/>
  <c r="AA800" i="5"/>
  <c r="Z800" i="5"/>
  <c r="W800" i="5"/>
  <c r="X800" i="5"/>
  <c r="I800" i="5" a="1"/>
  <c r="N800" i="5" a="1"/>
  <c r="G800" i="5" a="1"/>
  <c r="M800" i="5" a="1"/>
  <c r="H800" i="5" a="1"/>
  <c r="P800" i="5" a="1"/>
  <c r="J800" i="5" a="1"/>
  <c r="L800" i="5" a="1"/>
  <c r="D800" i="5" a="1"/>
  <c r="C800" i="5" a="1"/>
  <c r="O800" i="5" a="1"/>
  <c r="V799" i="5" l="1" a="1"/>
  <c r="V799" i="5" s="1"/>
  <c r="D800" i="5"/>
  <c r="O800" i="5"/>
  <c r="N800" i="5"/>
  <c r="P800" i="5"/>
  <c r="G800" i="5"/>
  <c r="C800" i="5"/>
  <c r="L800" i="5"/>
  <c r="M800" i="5"/>
  <c r="I800" i="5"/>
  <c r="H800" i="5"/>
  <c r="J800" i="5"/>
  <c r="U799" i="5" a="1"/>
  <c r="U799" i="5" s="1"/>
  <c r="B801" i="5"/>
  <c r="E801" i="5" a="1"/>
  <c r="E801" i="5" s="1"/>
  <c r="A802" i="5" a="1"/>
  <c r="H801" i="5" a="1"/>
  <c r="T800" i="5" l="1"/>
  <c r="H801" i="5"/>
  <c r="R800" i="5"/>
  <c r="X801" i="5"/>
  <c r="S800" i="5"/>
  <c r="Q800" i="5"/>
  <c r="A802" i="5"/>
  <c r="AA801" i="5"/>
  <c r="Y801" i="5"/>
  <c r="AC801" i="5" s="1"/>
  <c r="W801" i="5"/>
  <c r="Z801" i="5"/>
  <c r="AB801" i="5"/>
  <c r="F801" i="5" a="1"/>
  <c r="D801" i="5" a="1"/>
  <c r="M801" i="5" a="1"/>
  <c r="L801" i="5" a="1"/>
  <c r="J801" i="5" a="1"/>
  <c r="I801" i="5" a="1"/>
  <c r="O801" i="5" a="1"/>
  <c r="P801" i="5" a="1"/>
  <c r="G801" i="5" a="1"/>
  <c r="C801" i="5" a="1"/>
  <c r="N801" i="5" a="1"/>
  <c r="K801" i="5" a="1"/>
  <c r="U800" i="5" l="1" a="1"/>
  <c r="U800" i="5" s="1"/>
  <c r="V800" i="5" a="1"/>
  <c r="V800" i="5" s="1"/>
  <c r="C801" i="5"/>
  <c r="G801" i="5"/>
  <c r="F801" i="5"/>
  <c r="K801" i="5"/>
  <c r="I801" i="5"/>
  <c r="D801" i="5"/>
  <c r="J801" i="5"/>
  <c r="N801" i="5"/>
  <c r="M801" i="5"/>
  <c r="P801" i="5"/>
  <c r="L801" i="5"/>
  <c r="O801" i="5"/>
  <c r="B802" i="5"/>
  <c r="K802" i="5" s="1" a="1"/>
  <c r="E802" i="5" a="1"/>
  <c r="E802" i="5" s="1"/>
  <c r="A803" i="5" a="1"/>
  <c r="R801" i="5" l="1"/>
  <c r="T801" i="5"/>
  <c r="K802" i="5"/>
  <c r="F802" i="5" a="1"/>
  <c r="F802" i="5" s="1"/>
  <c r="X802" i="5"/>
  <c r="S801" i="5"/>
  <c r="Q801" i="5"/>
  <c r="A803" i="5"/>
  <c r="AB802" i="5"/>
  <c r="Z802" i="5"/>
  <c r="Y802" i="5"/>
  <c r="AC802" i="5" s="1"/>
  <c r="AA802" i="5"/>
  <c r="W802" i="5"/>
  <c r="C802" i="5" a="1"/>
  <c r="J802" i="5" a="1"/>
  <c r="L802" i="5" a="1"/>
  <c r="M802" i="5" a="1"/>
  <c r="P802" i="5" a="1"/>
  <c r="D802" i="5" a="1"/>
  <c r="G802" i="5" a="1"/>
  <c r="N802" i="5" a="1"/>
  <c r="I802" i="5" a="1"/>
  <c r="H802" i="5" a="1"/>
  <c r="O802" i="5" a="1"/>
  <c r="U801" i="5" l="1" a="1"/>
  <c r="U801" i="5" s="1"/>
  <c r="V801" i="5" a="1"/>
  <c r="V801" i="5" s="1"/>
  <c r="P802" i="5"/>
  <c r="H802" i="5"/>
  <c r="C802" i="5"/>
  <c r="D802" i="5"/>
  <c r="I802" i="5"/>
  <c r="L802" i="5"/>
  <c r="O802" i="5"/>
  <c r="G802" i="5"/>
  <c r="J802" i="5"/>
  <c r="N802" i="5"/>
  <c r="M802" i="5"/>
  <c r="E803" i="5" a="1"/>
  <c r="E803" i="5" s="1"/>
  <c r="AB803" i="5" s="1"/>
  <c r="B803" i="5"/>
  <c r="A804" i="5" a="1"/>
  <c r="T802" i="5" l="1"/>
  <c r="F803" i="5" a="1"/>
  <c r="F803" i="5" s="1"/>
  <c r="Q802" i="5"/>
  <c r="S802" i="5"/>
  <c r="R802" i="5"/>
  <c r="A804" i="5"/>
  <c r="X803" i="5"/>
  <c r="AA803" i="5"/>
  <c r="Y803" i="5"/>
  <c r="AC803" i="5" s="1"/>
  <c r="W803" i="5"/>
  <c r="Z803" i="5"/>
  <c r="D803" i="5" a="1"/>
  <c r="P803" i="5" a="1"/>
  <c r="J803" i="5" a="1"/>
  <c r="I803" i="5" a="1"/>
  <c r="G803" i="5" a="1"/>
  <c r="O803" i="5" a="1"/>
  <c r="M803" i="5" a="1"/>
  <c r="N803" i="5" a="1"/>
  <c r="L803" i="5" a="1"/>
  <c r="C803" i="5" a="1"/>
  <c r="H803" i="5" a="1"/>
  <c r="K803" i="5" a="1"/>
  <c r="V802" i="5" l="1" a="1"/>
  <c r="V802" i="5" s="1"/>
  <c r="P803" i="5"/>
  <c r="C803" i="5"/>
  <c r="K803" i="5"/>
  <c r="H803" i="5"/>
  <c r="L803" i="5"/>
  <c r="I803" i="5"/>
  <c r="D803" i="5"/>
  <c r="N803" i="5"/>
  <c r="G803" i="5"/>
  <c r="M803" i="5"/>
  <c r="O803" i="5"/>
  <c r="J803" i="5"/>
  <c r="B804" i="5"/>
  <c r="F804" i="5" s="1" a="1"/>
  <c r="F804" i="5" s="1"/>
  <c r="E804" i="5" a="1"/>
  <c r="E804" i="5" s="1"/>
  <c r="X804" i="5" s="1"/>
  <c r="U802" i="5" a="1"/>
  <c r="U802" i="5" s="1"/>
  <c r="A805" i="5" a="1"/>
  <c r="T803" i="5" l="1"/>
  <c r="Q803" i="5"/>
  <c r="S803" i="5"/>
  <c r="R803" i="5"/>
  <c r="A805" i="5"/>
  <c r="AB804" i="5"/>
  <c r="Y804" i="5"/>
  <c r="AC804" i="5" s="1"/>
  <c r="Z804" i="5"/>
  <c r="AA804" i="5"/>
  <c r="W804" i="5"/>
  <c r="H804" i="5" a="1"/>
  <c r="L804" i="5" a="1"/>
  <c r="J804" i="5" a="1"/>
  <c r="G804" i="5" a="1"/>
  <c r="I804" i="5" a="1"/>
  <c r="D804" i="5" a="1"/>
  <c r="M804" i="5" a="1"/>
  <c r="K804" i="5" a="1"/>
  <c r="O804" i="5" a="1"/>
  <c r="N804" i="5" a="1"/>
  <c r="C804" i="5" a="1"/>
  <c r="P804" i="5" a="1"/>
  <c r="V803" i="5" l="1" a="1"/>
  <c r="V803" i="5" s="1"/>
  <c r="H804" i="5"/>
  <c r="C804" i="5"/>
  <c r="G804" i="5"/>
  <c r="U803" i="5" a="1"/>
  <c r="U803" i="5" s="1"/>
  <c r="P804" i="5"/>
  <c r="O804" i="5"/>
  <c r="J804" i="5"/>
  <c r="K804" i="5"/>
  <c r="D804" i="5"/>
  <c r="L804" i="5"/>
  <c r="M804" i="5"/>
  <c r="N804" i="5"/>
  <c r="I804" i="5"/>
  <c r="E805" i="5" a="1"/>
  <c r="E805" i="5" s="1"/>
  <c r="B805" i="5"/>
  <c r="H805" i="5" s="1" a="1"/>
  <c r="A806" i="5" a="1"/>
  <c r="T804" i="5" l="1"/>
  <c r="H805" i="5"/>
  <c r="X805" i="5"/>
  <c r="F805" i="5" a="1"/>
  <c r="F805" i="5" s="1"/>
  <c r="Q804" i="5"/>
  <c r="S804" i="5"/>
  <c r="R804" i="5"/>
  <c r="A806" i="5"/>
  <c r="AA805" i="5"/>
  <c r="Y805" i="5"/>
  <c r="AC805" i="5" s="1"/>
  <c r="W805" i="5"/>
  <c r="Z805" i="5"/>
  <c r="AB805" i="5"/>
  <c r="C805" i="5" a="1"/>
  <c r="P805" i="5" a="1"/>
  <c r="G805" i="5" a="1"/>
  <c r="M805" i="5" a="1"/>
  <c r="J805" i="5" a="1"/>
  <c r="K805" i="5" a="1"/>
  <c r="O805" i="5" a="1"/>
  <c r="N805" i="5" a="1"/>
  <c r="L805" i="5" a="1"/>
  <c r="I805" i="5" a="1"/>
  <c r="D805" i="5" a="1"/>
  <c r="V804" i="5" l="1" a="1"/>
  <c r="V804" i="5" s="1"/>
  <c r="J805" i="5"/>
  <c r="K805" i="5"/>
  <c r="C805" i="5"/>
  <c r="N805" i="5"/>
  <c r="G805" i="5"/>
  <c r="M805" i="5"/>
  <c r="L805" i="5"/>
  <c r="I805" i="5"/>
  <c r="P805" i="5"/>
  <c r="D805" i="5"/>
  <c r="O805" i="5"/>
  <c r="U804" i="5" a="1"/>
  <c r="U804" i="5" s="1"/>
  <c r="B806" i="5"/>
  <c r="E806" i="5" a="1"/>
  <c r="E806" i="5" s="1"/>
  <c r="A807" i="5" a="1"/>
  <c r="J806" i="5" a="1"/>
  <c r="T805" i="5" l="1"/>
  <c r="J806" i="5"/>
  <c r="Q805" i="5"/>
  <c r="S805" i="5"/>
  <c r="X806" i="5"/>
  <c r="F806" i="5" a="1"/>
  <c r="F806" i="5" s="1"/>
  <c r="R805" i="5"/>
  <c r="Z806" i="5"/>
  <c r="A807" i="5"/>
  <c r="AB806" i="5"/>
  <c r="Y806" i="5"/>
  <c r="AC806" i="5" s="1"/>
  <c r="AA806" i="5"/>
  <c r="W806" i="5"/>
  <c r="N806" i="5" a="1"/>
  <c r="C806" i="5" a="1"/>
  <c r="I806" i="5" a="1"/>
  <c r="D806" i="5" a="1"/>
  <c r="O806" i="5" a="1"/>
  <c r="P806" i="5" a="1"/>
  <c r="H806" i="5" a="1"/>
  <c r="M806" i="5" a="1"/>
  <c r="K806" i="5" a="1"/>
  <c r="G806" i="5" a="1"/>
  <c r="L806" i="5" a="1"/>
  <c r="V805" i="5" l="1" a="1"/>
  <c r="V805" i="5" s="1"/>
  <c r="L806" i="5"/>
  <c r="K806" i="5"/>
  <c r="M806" i="5"/>
  <c r="D806" i="5"/>
  <c r="P806" i="5"/>
  <c r="N806" i="5"/>
  <c r="C806" i="5"/>
  <c r="O806" i="5"/>
  <c r="I806" i="5"/>
  <c r="G806" i="5"/>
  <c r="H806" i="5"/>
  <c r="U805" i="5" a="1"/>
  <c r="U805" i="5" s="1"/>
  <c r="B807" i="5"/>
  <c r="D807" i="5" s="1" a="1"/>
  <c r="E807" i="5" a="1"/>
  <c r="E807" i="5" s="1"/>
  <c r="A808" i="5" a="1"/>
  <c r="R806" i="5" l="1"/>
  <c r="D807" i="5"/>
  <c r="Q806" i="5"/>
  <c r="S806" i="5"/>
  <c r="T806" i="5"/>
  <c r="X807" i="5"/>
  <c r="F807" i="5" a="1"/>
  <c r="F807" i="5" s="1"/>
  <c r="Y807" i="5"/>
  <c r="AC807" i="5" s="1"/>
  <c r="AA807" i="5"/>
  <c r="A808" i="5"/>
  <c r="W807" i="5"/>
  <c r="Z807" i="5"/>
  <c r="AB807" i="5"/>
  <c r="P807" i="5" a="1"/>
  <c r="N807" i="5" a="1"/>
  <c r="I807" i="5" a="1"/>
  <c r="C807" i="5" a="1"/>
  <c r="J807" i="5" a="1"/>
  <c r="O807" i="5" a="1"/>
  <c r="L807" i="5" a="1"/>
  <c r="M807" i="5" a="1"/>
  <c r="H807" i="5" a="1"/>
  <c r="G807" i="5" a="1"/>
  <c r="K807" i="5" a="1"/>
  <c r="U806" i="5" l="1" a="1"/>
  <c r="U806" i="5" s="1"/>
  <c r="V806" i="5" a="1"/>
  <c r="V806" i="5" s="1"/>
  <c r="C807" i="5"/>
  <c r="L807" i="5"/>
  <c r="I807" i="5"/>
  <c r="N807" i="5"/>
  <c r="M807" i="5"/>
  <c r="K807" i="5"/>
  <c r="O807" i="5"/>
  <c r="J807" i="5"/>
  <c r="H807" i="5"/>
  <c r="G807" i="5"/>
  <c r="P807" i="5"/>
  <c r="E808" i="5" a="1"/>
  <c r="E808" i="5" s="1"/>
  <c r="B808" i="5"/>
  <c r="F808" i="5" s="1" a="1"/>
  <c r="F808" i="5" s="1"/>
  <c r="A809" i="5" a="1"/>
  <c r="R807" i="5" l="1"/>
  <c r="T807" i="5"/>
  <c r="Q807" i="5"/>
  <c r="S807" i="5"/>
  <c r="X808" i="5"/>
  <c r="A809" i="5"/>
  <c r="Z808" i="5"/>
  <c r="Y808" i="5"/>
  <c r="AC808" i="5" s="1"/>
  <c r="AB808" i="5"/>
  <c r="AA808" i="5"/>
  <c r="W808" i="5"/>
  <c r="H808" i="5" a="1"/>
  <c r="L808" i="5" a="1"/>
  <c r="G808" i="5" a="1"/>
  <c r="P808" i="5" a="1"/>
  <c r="C808" i="5" a="1"/>
  <c r="J808" i="5" a="1"/>
  <c r="O808" i="5" a="1"/>
  <c r="D808" i="5" a="1"/>
  <c r="M808" i="5" a="1"/>
  <c r="N808" i="5" a="1"/>
  <c r="I808" i="5" a="1"/>
  <c r="K808" i="5" a="1"/>
  <c r="U807" i="5" l="1" a="1"/>
  <c r="U807" i="5" s="1"/>
  <c r="V807" i="5" a="1"/>
  <c r="V807" i="5" s="1"/>
  <c r="G808" i="5"/>
  <c r="H808" i="5"/>
  <c r="C808" i="5"/>
  <c r="M808" i="5"/>
  <c r="N808" i="5"/>
  <c r="I808" i="5"/>
  <c r="J808" i="5"/>
  <c r="P808" i="5"/>
  <c r="L808" i="5"/>
  <c r="D808" i="5"/>
  <c r="O808" i="5"/>
  <c r="K808" i="5"/>
  <c r="B809" i="5"/>
  <c r="F809" i="5" s="1" a="1"/>
  <c r="F809" i="5" s="1"/>
  <c r="E809" i="5" a="1"/>
  <c r="E809" i="5" s="1"/>
  <c r="A810" i="5" a="1"/>
  <c r="R808" i="5" l="1"/>
  <c r="T808" i="5"/>
  <c r="S808" i="5"/>
  <c r="Q808" i="5"/>
  <c r="X809" i="5"/>
  <c r="A810" i="5"/>
  <c r="AA809" i="5"/>
  <c r="Y809" i="5"/>
  <c r="AC809" i="5" s="1"/>
  <c r="W809" i="5"/>
  <c r="Z809" i="5"/>
  <c r="AB809" i="5"/>
  <c r="P809" i="5" a="1"/>
  <c r="G809" i="5" a="1"/>
  <c r="O809" i="5" a="1"/>
  <c r="H809" i="5" a="1"/>
  <c r="C809" i="5" a="1"/>
  <c r="N809" i="5" a="1"/>
  <c r="L809" i="5" a="1"/>
  <c r="I809" i="5" a="1"/>
  <c r="D809" i="5" a="1"/>
  <c r="K809" i="5" a="1"/>
  <c r="J809" i="5" a="1"/>
  <c r="M809" i="5" a="1"/>
  <c r="U808" i="5" l="1" a="1"/>
  <c r="U808" i="5" s="1"/>
  <c r="V808" i="5" a="1"/>
  <c r="V808" i="5" s="1"/>
  <c r="L809" i="5"/>
  <c r="C809" i="5"/>
  <c r="P809" i="5"/>
  <c r="G809" i="5"/>
  <c r="H809" i="5"/>
  <c r="J809" i="5"/>
  <c r="I809" i="5"/>
  <c r="N809" i="5"/>
  <c r="K809" i="5"/>
  <c r="D809" i="5"/>
  <c r="M809" i="5"/>
  <c r="O809" i="5"/>
  <c r="B810" i="5"/>
  <c r="P810" i="5" s="1" a="1"/>
  <c r="E810" i="5" a="1"/>
  <c r="E810" i="5" s="1"/>
  <c r="A811" i="5" a="1"/>
  <c r="T809" i="5" l="1"/>
  <c r="R809" i="5"/>
  <c r="P810" i="5"/>
  <c r="S809" i="5"/>
  <c r="Q809" i="5"/>
  <c r="X810" i="5"/>
  <c r="F810" i="5" a="1"/>
  <c r="F810" i="5" s="1"/>
  <c r="A811" i="5"/>
  <c r="Z810" i="5"/>
  <c r="AA810" i="5"/>
  <c r="W810" i="5"/>
  <c r="AB810" i="5"/>
  <c r="Y810" i="5"/>
  <c r="AC810" i="5" s="1"/>
  <c r="M810" i="5" a="1"/>
  <c r="N810" i="5" a="1"/>
  <c r="I810" i="5" a="1"/>
  <c r="O810" i="5" a="1"/>
  <c r="G810" i="5" a="1"/>
  <c r="H810" i="5" a="1"/>
  <c r="C810" i="5" a="1"/>
  <c r="L810" i="5" a="1"/>
  <c r="J810" i="5" a="1"/>
  <c r="D810" i="5" a="1"/>
  <c r="K810" i="5" a="1"/>
  <c r="V809" i="5" l="1" a="1"/>
  <c r="V809" i="5" s="1"/>
  <c r="U809" i="5" a="1"/>
  <c r="U809" i="5" s="1"/>
  <c r="M810" i="5"/>
  <c r="T810" i="5" s="1"/>
  <c r="H810" i="5"/>
  <c r="K810" i="5"/>
  <c r="D810" i="5"/>
  <c r="N810" i="5"/>
  <c r="J810" i="5"/>
  <c r="I810" i="5"/>
  <c r="C810" i="5"/>
  <c r="L810" i="5"/>
  <c r="R810" i="5" s="1"/>
  <c r="G810" i="5"/>
  <c r="O810" i="5"/>
  <c r="E811" i="5" a="1"/>
  <c r="E811" i="5" s="1"/>
  <c r="AB811" i="5" s="1"/>
  <c r="B811" i="5"/>
  <c r="A812" i="5" a="1"/>
  <c r="F811" i="5" l="1" a="1"/>
  <c r="F811" i="5" s="1"/>
  <c r="S810" i="5"/>
  <c r="V810" i="5" s="1" a="1"/>
  <c r="V810" i="5" s="1"/>
  <c r="Q810" i="5"/>
  <c r="U810" i="5" s="1" a="1"/>
  <c r="U810" i="5" s="1"/>
  <c r="A812" i="5"/>
  <c r="AA811" i="5"/>
  <c r="X811" i="5"/>
  <c r="Y811" i="5"/>
  <c r="AC811" i="5" s="1"/>
  <c r="W811" i="5"/>
  <c r="Z811" i="5"/>
  <c r="O811" i="5" a="1"/>
  <c r="N811" i="5" a="1"/>
  <c r="L811" i="5" a="1"/>
  <c r="P811" i="5" a="1"/>
  <c r="I811" i="5" a="1"/>
  <c r="K811" i="5" a="1"/>
  <c r="M811" i="5" a="1"/>
  <c r="H811" i="5" a="1"/>
  <c r="D811" i="5" a="1"/>
  <c r="C811" i="5" a="1"/>
  <c r="J811" i="5" a="1"/>
  <c r="G811" i="5" a="1"/>
  <c r="K811" i="5" l="1"/>
  <c r="J811" i="5"/>
  <c r="I811" i="5"/>
  <c r="D811" i="5"/>
  <c r="O811" i="5"/>
  <c r="N811" i="5"/>
  <c r="C811" i="5"/>
  <c r="P811" i="5"/>
  <c r="L811" i="5"/>
  <c r="G811" i="5"/>
  <c r="M811" i="5"/>
  <c r="H811" i="5"/>
  <c r="B812" i="5"/>
  <c r="E812" i="5" a="1"/>
  <c r="E812" i="5" s="1"/>
  <c r="X812" i="5" s="1"/>
  <c r="A813" i="5" a="1"/>
  <c r="C812" i="5" a="1"/>
  <c r="R811" i="5" l="1"/>
  <c r="C812" i="5"/>
  <c r="Q811" i="5"/>
  <c r="S811" i="5"/>
  <c r="T811" i="5"/>
  <c r="Z812" i="5"/>
  <c r="AB812" i="5"/>
  <c r="A813" i="5"/>
  <c r="Y812" i="5"/>
  <c r="AC812" i="5" s="1"/>
  <c r="AA812" i="5"/>
  <c r="W812" i="5"/>
  <c r="K812" i="5" a="1"/>
  <c r="L812" i="5" a="1"/>
  <c r="O812" i="5" a="1"/>
  <c r="H812" i="5" a="1"/>
  <c r="G812" i="5" a="1"/>
  <c r="M812" i="5" a="1"/>
  <c r="F812" i="5" a="1"/>
  <c r="P812" i="5" a="1"/>
  <c r="D812" i="5" a="1"/>
  <c r="N812" i="5" a="1"/>
  <c r="I812" i="5" a="1"/>
  <c r="J812" i="5" a="1"/>
  <c r="U811" i="5" l="1" a="1"/>
  <c r="U811" i="5" s="1"/>
  <c r="I812" i="5"/>
  <c r="H812" i="5"/>
  <c r="M812" i="5"/>
  <c r="P812" i="5"/>
  <c r="N812" i="5"/>
  <c r="D812" i="5"/>
  <c r="J812" i="5"/>
  <c r="O812" i="5"/>
  <c r="K812" i="5"/>
  <c r="F812" i="5"/>
  <c r="L812" i="5"/>
  <c r="G812" i="5"/>
  <c r="V811" i="5" a="1"/>
  <c r="V811" i="5" s="1"/>
  <c r="E813" i="5" a="1"/>
  <c r="E813" i="5" s="1"/>
  <c r="AB813" i="5" s="1"/>
  <c r="B813" i="5"/>
  <c r="K813" i="5" s="1" a="1"/>
  <c r="A814" i="5" a="1"/>
  <c r="R812" i="5" l="1"/>
  <c r="T812" i="5"/>
  <c r="K813" i="5"/>
  <c r="Q812" i="5"/>
  <c r="S812" i="5"/>
  <c r="F813" i="5" a="1"/>
  <c r="F813" i="5" s="1"/>
  <c r="A814" i="5"/>
  <c r="X813" i="5"/>
  <c r="AA813" i="5"/>
  <c r="Y813" i="5"/>
  <c r="AC813" i="5" s="1"/>
  <c r="W813" i="5"/>
  <c r="Z813" i="5"/>
  <c r="N813" i="5" a="1"/>
  <c r="J813" i="5" a="1"/>
  <c r="O813" i="5" a="1"/>
  <c r="P813" i="5" a="1"/>
  <c r="G813" i="5" a="1"/>
  <c r="M813" i="5" a="1"/>
  <c r="L813" i="5" a="1"/>
  <c r="I813" i="5" a="1"/>
  <c r="C813" i="5" a="1"/>
  <c r="H813" i="5" a="1"/>
  <c r="D813" i="5" a="1"/>
  <c r="U812" i="5" l="1" a="1"/>
  <c r="U812" i="5" s="1"/>
  <c r="V812" i="5" a="1"/>
  <c r="V812" i="5" s="1"/>
  <c r="M813" i="5"/>
  <c r="G813" i="5"/>
  <c r="L813" i="5"/>
  <c r="I813" i="5"/>
  <c r="H813" i="5"/>
  <c r="J813" i="5"/>
  <c r="O813" i="5"/>
  <c r="P813" i="5"/>
  <c r="D813" i="5"/>
  <c r="N813" i="5"/>
  <c r="C813" i="5"/>
  <c r="B814" i="5"/>
  <c r="F814" i="5" s="1" a="1"/>
  <c r="F814" i="5" s="1"/>
  <c r="E814" i="5" a="1"/>
  <c r="E814" i="5" s="1"/>
  <c r="A815" i="5" a="1"/>
  <c r="R813" i="5" l="1"/>
  <c r="Q813" i="5"/>
  <c r="S813" i="5"/>
  <c r="X814" i="5"/>
  <c r="T813" i="5"/>
  <c r="A815" i="5"/>
  <c r="AB814" i="5"/>
  <c r="Z814" i="5"/>
  <c r="AA814" i="5"/>
  <c r="W814" i="5"/>
  <c r="Y814" i="5"/>
  <c r="AC814" i="5" s="1"/>
  <c r="H814" i="5" a="1"/>
  <c r="D814" i="5" a="1"/>
  <c r="K814" i="5" a="1"/>
  <c r="O814" i="5" a="1"/>
  <c r="N814" i="5" a="1"/>
  <c r="J814" i="5" a="1"/>
  <c r="C814" i="5" a="1"/>
  <c r="G814" i="5" a="1"/>
  <c r="L814" i="5" a="1"/>
  <c r="I814" i="5" a="1"/>
  <c r="P814" i="5" a="1"/>
  <c r="M814" i="5" a="1"/>
  <c r="U813" i="5" l="1" a="1"/>
  <c r="U813" i="5" s="1"/>
  <c r="H814" i="5"/>
  <c r="O814" i="5"/>
  <c r="J814" i="5"/>
  <c r="D814" i="5"/>
  <c r="N814" i="5"/>
  <c r="M814" i="5"/>
  <c r="C814" i="5"/>
  <c r="K814" i="5"/>
  <c r="I814" i="5"/>
  <c r="P814" i="5"/>
  <c r="G814" i="5"/>
  <c r="L814" i="5"/>
  <c r="V813" i="5" a="1"/>
  <c r="V813" i="5" s="1"/>
  <c r="B815" i="5"/>
  <c r="E815" i="5" a="1"/>
  <c r="E815" i="5" s="1"/>
  <c r="A816" i="5" a="1"/>
  <c r="H815" i="5" a="1"/>
  <c r="T814" i="5" l="1"/>
  <c r="H815" i="5"/>
  <c r="F815" i="5" a="1"/>
  <c r="F815" i="5" s="1"/>
  <c r="X815" i="5"/>
  <c r="R814" i="5"/>
  <c r="Q814" i="5"/>
  <c r="S814" i="5"/>
  <c r="A816" i="5"/>
  <c r="AA815" i="5"/>
  <c r="Y815" i="5"/>
  <c r="AC815" i="5" s="1"/>
  <c r="W815" i="5"/>
  <c r="Z815" i="5"/>
  <c r="AB815" i="5"/>
  <c r="I815" i="5" a="1"/>
  <c r="C815" i="5" a="1"/>
  <c r="G815" i="5" a="1"/>
  <c r="M815" i="5" a="1"/>
  <c r="D815" i="5" a="1"/>
  <c r="N815" i="5" a="1"/>
  <c r="O815" i="5" a="1"/>
  <c r="K815" i="5" a="1"/>
  <c r="P815" i="5" a="1"/>
  <c r="J815" i="5" a="1"/>
  <c r="L815" i="5" a="1"/>
  <c r="V814" i="5" l="1" a="1"/>
  <c r="V814" i="5" s="1"/>
  <c r="U814" i="5" a="1"/>
  <c r="U814" i="5" s="1"/>
  <c r="N815" i="5"/>
  <c r="G815" i="5"/>
  <c r="M815" i="5"/>
  <c r="K815" i="5"/>
  <c r="I815" i="5"/>
  <c r="D815" i="5"/>
  <c r="C815" i="5"/>
  <c r="O815" i="5"/>
  <c r="L815" i="5"/>
  <c r="J815" i="5"/>
  <c r="P815" i="5"/>
  <c r="E816" i="5" a="1"/>
  <c r="E816" i="5" s="1"/>
  <c r="B816" i="5"/>
  <c r="A817" i="5" a="1"/>
  <c r="C816" i="5" a="1"/>
  <c r="T815" i="5" l="1"/>
  <c r="R815" i="5"/>
  <c r="C816" i="5"/>
  <c r="S815" i="5"/>
  <c r="Q815" i="5"/>
  <c r="F816" i="5" a="1"/>
  <c r="F816" i="5" s="1"/>
  <c r="X816" i="5"/>
  <c r="A817" i="5"/>
  <c r="Z816" i="5"/>
  <c r="Y816" i="5"/>
  <c r="AC816" i="5" s="1"/>
  <c r="AB816" i="5"/>
  <c r="AA816" i="5"/>
  <c r="W816" i="5"/>
  <c r="I816" i="5" a="1"/>
  <c r="J816" i="5" a="1"/>
  <c r="L816" i="5" a="1"/>
  <c r="O816" i="5" a="1"/>
  <c r="K816" i="5" a="1"/>
  <c r="M816" i="5" a="1"/>
  <c r="P816" i="5" a="1"/>
  <c r="N816" i="5" a="1"/>
  <c r="H816" i="5" a="1"/>
  <c r="G816" i="5" a="1"/>
  <c r="D816" i="5" a="1"/>
  <c r="V815" i="5" l="1" a="1"/>
  <c r="V815" i="5" s="1"/>
  <c r="U815" i="5" a="1"/>
  <c r="U815" i="5" s="1"/>
  <c r="P816" i="5"/>
  <c r="D816" i="5"/>
  <c r="I816" i="5"/>
  <c r="G816" i="5"/>
  <c r="L816" i="5"/>
  <c r="K816" i="5"/>
  <c r="N816" i="5"/>
  <c r="O816" i="5"/>
  <c r="H816" i="5"/>
  <c r="J816" i="5"/>
  <c r="M816" i="5"/>
  <c r="B817" i="5"/>
  <c r="F817" i="5" s="1" a="1"/>
  <c r="F817" i="5" s="1"/>
  <c r="E817" i="5" a="1"/>
  <c r="E817" i="5" s="1"/>
  <c r="AB817" i="5" s="1"/>
  <c r="A818" i="5" a="1"/>
  <c r="T816" i="5" l="1"/>
  <c r="Q816" i="5"/>
  <c r="S816" i="5"/>
  <c r="R816" i="5"/>
  <c r="A818" i="5"/>
  <c r="X817" i="5"/>
  <c r="AA817" i="5"/>
  <c r="Y817" i="5"/>
  <c r="AC817" i="5" s="1"/>
  <c r="W817" i="5"/>
  <c r="Z817" i="5"/>
  <c r="M817" i="5" a="1"/>
  <c r="J817" i="5" a="1"/>
  <c r="G817" i="5" a="1"/>
  <c r="I817" i="5" a="1"/>
  <c r="C817" i="5" a="1"/>
  <c r="D817" i="5" a="1"/>
  <c r="P817" i="5" a="1"/>
  <c r="O817" i="5" a="1"/>
  <c r="H817" i="5" a="1"/>
  <c r="K817" i="5" a="1"/>
  <c r="L817" i="5" a="1"/>
  <c r="N817" i="5" a="1"/>
  <c r="V816" i="5" l="1" a="1"/>
  <c r="V816" i="5" s="1"/>
  <c r="H817" i="5"/>
  <c r="L817" i="5"/>
  <c r="K817" i="5"/>
  <c r="C817" i="5"/>
  <c r="P817" i="5"/>
  <c r="D817" i="5"/>
  <c r="G817" i="5"/>
  <c r="N817" i="5"/>
  <c r="J817" i="5"/>
  <c r="O817" i="5"/>
  <c r="M817" i="5"/>
  <c r="I817" i="5"/>
  <c r="B818" i="5"/>
  <c r="F818" i="5" s="1" a="1"/>
  <c r="F818" i="5" s="1"/>
  <c r="E818" i="5" a="1"/>
  <c r="E818" i="5" s="1"/>
  <c r="X818" i="5" s="1"/>
  <c r="U816" i="5" a="1"/>
  <c r="U816" i="5" s="1"/>
  <c r="A819" i="5" a="1"/>
  <c r="R817" i="5" l="1"/>
  <c r="T817" i="5"/>
  <c r="Q817" i="5"/>
  <c r="S817" i="5"/>
  <c r="A819" i="5"/>
  <c r="Z818" i="5"/>
  <c r="AB818" i="5"/>
  <c r="Y818" i="5"/>
  <c r="AC818" i="5" s="1"/>
  <c r="AA818" i="5"/>
  <c r="W818" i="5"/>
  <c r="M818" i="5" a="1"/>
  <c r="H818" i="5" a="1"/>
  <c r="D818" i="5" a="1"/>
  <c r="J818" i="5" a="1"/>
  <c r="K818" i="5" a="1"/>
  <c r="P818" i="5" a="1"/>
  <c r="L818" i="5" a="1"/>
  <c r="G818" i="5" a="1"/>
  <c r="C818" i="5" a="1"/>
  <c r="N818" i="5" a="1"/>
  <c r="O818" i="5" a="1"/>
  <c r="I818" i="5" a="1"/>
  <c r="U817" i="5" l="1" a="1"/>
  <c r="U817" i="5" s="1"/>
  <c r="V817" i="5" a="1"/>
  <c r="V817" i="5" s="1"/>
  <c r="M818" i="5"/>
  <c r="K818" i="5"/>
  <c r="G818" i="5"/>
  <c r="I818" i="5"/>
  <c r="L818" i="5"/>
  <c r="J818" i="5"/>
  <c r="H818" i="5"/>
  <c r="P818" i="5"/>
  <c r="C818" i="5"/>
  <c r="N818" i="5"/>
  <c r="D818" i="5"/>
  <c r="O818" i="5"/>
  <c r="E819" i="5" a="1"/>
  <c r="E819" i="5" s="1"/>
  <c r="AB819" i="5" s="1"/>
  <c r="B819" i="5"/>
  <c r="A820" i="5" a="1"/>
  <c r="R818" i="5" l="1"/>
  <c r="T818" i="5"/>
  <c r="F819" i="5" a="1"/>
  <c r="F819" i="5" s="1"/>
  <c r="Q818" i="5"/>
  <c r="S818" i="5"/>
  <c r="A820" i="5"/>
  <c r="AA819" i="5"/>
  <c r="X819" i="5"/>
  <c r="Y819" i="5"/>
  <c r="AC819" i="5" s="1"/>
  <c r="W819" i="5"/>
  <c r="Z819" i="5"/>
  <c r="L819" i="5" a="1"/>
  <c r="M819" i="5" a="1"/>
  <c r="P819" i="5" a="1"/>
  <c r="G819" i="5" a="1"/>
  <c r="O819" i="5" a="1"/>
  <c r="C819" i="5" a="1"/>
  <c r="N819" i="5" a="1"/>
  <c r="H819" i="5" a="1"/>
  <c r="J819" i="5" a="1"/>
  <c r="D819" i="5" a="1"/>
  <c r="I819" i="5" a="1"/>
  <c r="K819" i="5" a="1"/>
  <c r="V818" i="5" l="1" a="1"/>
  <c r="V818" i="5" s="1"/>
  <c r="U818" i="5" a="1"/>
  <c r="U818" i="5" s="1"/>
  <c r="J819" i="5"/>
  <c r="L819" i="5"/>
  <c r="H819" i="5"/>
  <c r="D819" i="5"/>
  <c r="P819" i="5"/>
  <c r="O819" i="5"/>
  <c r="C819" i="5"/>
  <c r="M819" i="5"/>
  <c r="I819" i="5"/>
  <c r="K819" i="5"/>
  <c r="N819" i="5"/>
  <c r="G819" i="5"/>
  <c r="B820" i="5"/>
  <c r="E820" i="5" a="1"/>
  <c r="E820" i="5" s="1"/>
  <c r="X820" i="5" s="1"/>
  <c r="A821" i="5" a="1"/>
  <c r="C820" i="5" a="1"/>
  <c r="R819" i="5" l="1"/>
  <c r="T819" i="5"/>
  <c r="C820" i="5"/>
  <c r="Q819" i="5"/>
  <c r="S819" i="5"/>
  <c r="F820" i="5" a="1"/>
  <c r="F820" i="5" s="1"/>
  <c r="A821" i="5"/>
  <c r="AB820" i="5"/>
  <c r="AA820" i="5"/>
  <c r="W820" i="5"/>
  <c r="Z820" i="5"/>
  <c r="Y820" i="5"/>
  <c r="AC820" i="5" s="1"/>
  <c r="N820" i="5" a="1"/>
  <c r="P820" i="5" a="1"/>
  <c r="L820" i="5" a="1"/>
  <c r="M820" i="5" a="1"/>
  <c r="I820" i="5" a="1"/>
  <c r="K820" i="5" a="1"/>
  <c r="H820" i="5" a="1"/>
  <c r="J820" i="5" a="1"/>
  <c r="O820" i="5" a="1"/>
  <c r="G820" i="5" a="1"/>
  <c r="D820" i="5" a="1"/>
  <c r="U819" i="5" l="1" a="1"/>
  <c r="U819" i="5" s="1"/>
  <c r="V819" i="5" a="1"/>
  <c r="V819" i="5" s="1"/>
  <c r="G820" i="5"/>
  <c r="P820" i="5"/>
  <c r="O820" i="5"/>
  <c r="D820" i="5"/>
  <c r="M820" i="5"/>
  <c r="K820" i="5"/>
  <c r="I820" i="5"/>
  <c r="H820" i="5"/>
  <c r="N820" i="5"/>
  <c r="J820" i="5"/>
  <c r="L820" i="5"/>
  <c r="E821" i="5" a="1"/>
  <c r="E821" i="5" s="1"/>
  <c r="B821" i="5"/>
  <c r="H821" i="5" s="1" a="1"/>
  <c r="A822" i="5" a="1"/>
  <c r="T820" i="5" l="1"/>
  <c r="R820" i="5"/>
  <c r="H821" i="5"/>
  <c r="X821" i="5"/>
  <c r="F821" i="5" a="1"/>
  <c r="F821" i="5" s="1"/>
  <c r="S820" i="5"/>
  <c r="Q820" i="5"/>
  <c r="A822" i="5"/>
  <c r="AA821" i="5"/>
  <c r="Y821" i="5"/>
  <c r="AC821" i="5" s="1"/>
  <c r="W821" i="5"/>
  <c r="Z821" i="5"/>
  <c r="AB821" i="5"/>
  <c r="C821" i="5" a="1"/>
  <c r="N821" i="5" a="1"/>
  <c r="G821" i="5" a="1"/>
  <c r="D821" i="5" a="1"/>
  <c r="M821" i="5" a="1"/>
  <c r="I821" i="5" a="1"/>
  <c r="L821" i="5" a="1"/>
  <c r="O821" i="5" a="1"/>
  <c r="P821" i="5" a="1"/>
  <c r="J821" i="5" a="1"/>
  <c r="K821" i="5" a="1"/>
  <c r="V820" i="5" l="1" a="1"/>
  <c r="V820" i="5" s="1"/>
  <c r="U820" i="5" a="1"/>
  <c r="U820" i="5" s="1"/>
  <c r="I821" i="5"/>
  <c r="J821" i="5"/>
  <c r="O821" i="5"/>
  <c r="D821" i="5"/>
  <c r="N821" i="5"/>
  <c r="G821" i="5"/>
  <c r="M821" i="5"/>
  <c r="K821" i="5"/>
  <c r="P821" i="5"/>
  <c r="C821" i="5"/>
  <c r="L821" i="5"/>
  <c r="B822" i="5"/>
  <c r="F822" i="5" s="1" a="1"/>
  <c r="F822" i="5" s="1"/>
  <c r="E822" i="5" a="1"/>
  <c r="E822" i="5" s="1"/>
  <c r="A823" i="5" a="1"/>
  <c r="T821" i="5" l="1"/>
  <c r="Q821" i="5"/>
  <c r="S821" i="5"/>
  <c r="X822" i="5"/>
  <c r="R821" i="5"/>
  <c r="A823" i="5"/>
  <c r="AB822" i="5"/>
  <c r="Y822" i="5"/>
  <c r="AC822" i="5" s="1"/>
  <c r="AA822" i="5"/>
  <c r="W822" i="5"/>
  <c r="Z822" i="5"/>
  <c r="J822" i="5" a="1"/>
  <c r="O822" i="5" a="1"/>
  <c r="K822" i="5" a="1"/>
  <c r="C822" i="5" a="1"/>
  <c r="M822" i="5" a="1"/>
  <c r="G822" i="5" a="1"/>
  <c r="P822" i="5" a="1"/>
  <c r="I822" i="5" a="1"/>
  <c r="D822" i="5" a="1"/>
  <c r="N822" i="5" a="1"/>
  <c r="L822" i="5" a="1"/>
  <c r="H822" i="5" a="1"/>
  <c r="V821" i="5" l="1" a="1"/>
  <c r="V821" i="5" s="1"/>
  <c r="U821" i="5" a="1"/>
  <c r="U821" i="5" s="1"/>
  <c r="D822" i="5"/>
  <c r="P822" i="5"/>
  <c r="L822" i="5"/>
  <c r="I822" i="5"/>
  <c r="G822" i="5"/>
  <c r="C822" i="5"/>
  <c r="J822" i="5"/>
  <c r="K822" i="5"/>
  <c r="O822" i="5"/>
  <c r="M822" i="5"/>
  <c r="N822" i="5"/>
  <c r="H822" i="5"/>
  <c r="B823" i="5"/>
  <c r="D823" i="5" s="1" a="1"/>
  <c r="E823" i="5" a="1"/>
  <c r="E823" i="5" s="1"/>
  <c r="A824" i="5" a="1"/>
  <c r="T822" i="5" l="1"/>
  <c r="R822" i="5"/>
  <c r="D823" i="5"/>
  <c r="F823" i="5" a="1"/>
  <c r="F823" i="5" s="1"/>
  <c r="AB823" i="5"/>
  <c r="S822" i="5"/>
  <c r="Q822" i="5"/>
  <c r="X823" i="5"/>
  <c r="A824" i="5"/>
  <c r="AA823" i="5"/>
  <c r="Y823" i="5"/>
  <c r="AC823" i="5" s="1"/>
  <c r="W823" i="5"/>
  <c r="Z823" i="5"/>
  <c r="P823" i="5" a="1"/>
  <c r="I823" i="5" a="1"/>
  <c r="O823" i="5" a="1"/>
  <c r="H823" i="5" a="1"/>
  <c r="N823" i="5" a="1"/>
  <c r="G823" i="5" a="1"/>
  <c r="L823" i="5" a="1"/>
  <c r="J823" i="5" a="1"/>
  <c r="M823" i="5" a="1"/>
  <c r="C823" i="5" a="1"/>
  <c r="K823" i="5" a="1"/>
  <c r="V822" i="5" l="1" a="1"/>
  <c r="V822" i="5" s="1"/>
  <c r="U822" i="5" a="1"/>
  <c r="U822" i="5" s="1"/>
  <c r="N823" i="5"/>
  <c r="M823" i="5"/>
  <c r="P823" i="5"/>
  <c r="O823" i="5"/>
  <c r="H823" i="5"/>
  <c r="J823" i="5"/>
  <c r="L823" i="5"/>
  <c r="G823" i="5"/>
  <c r="C823" i="5"/>
  <c r="I823" i="5"/>
  <c r="K823" i="5"/>
  <c r="E824" i="5" a="1"/>
  <c r="E824" i="5" s="1"/>
  <c r="B824" i="5"/>
  <c r="N824" i="5" s="1" a="1"/>
  <c r="A825" i="5" a="1"/>
  <c r="T823" i="5" l="1"/>
  <c r="N824" i="5"/>
  <c r="F824" i="5" a="1"/>
  <c r="F824" i="5" s="1"/>
  <c r="Q823" i="5"/>
  <c r="S823" i="5"/>
  <c r="R823" i="5"/>
  <c r="X824" i="5"/>
  <c r="A825" i="5"/>
  <c r="AB824" i="5"/>
  <c r="Z824" i="5"/>
  <c r="AA824" i="5"/>
  <c r="W824" i="5"/>
  <c r="Y824" i="5"/>
  <c r="AC824" i="5" s="1"/>
  <c r="D824" i="5" a="1"/>
  <c r="O824" i="5" a="1"/>
  <c r="G824" i="5" a="1"/>
  <c r="I824" i="5" a="1"/>
  <c r="P824" i="5" a="1"/>
  <c r="C824" i="5" a="1"/>
  <c r="H824" i="5" a="1"/>
  <c r="M824" i="5" a="1"/>
  <c r="L824" i="5" a="1"/>
  <c r="J824" i="5" a="1"/>
  <c r="K824" i="5" a="1"/>
  <c r="V823" i="5" l="1" a="1"/>
  <c r="V823" i="5" s="1"/>
  <c r="G824" i="5"/>
  <c r="L824" i="5"/>
  <c r="D824" i="5"/>
  <c r="K824" i="5"/>
  <c r="O824" i="5"/>
  <c r="C824" i="5"/>
  <c r="P824" i="5"/>
  <c r="I824" i="5"/>
  <c r="H824" i="5"/>
  <c r="J824" i="5"/>
  <c r="M824" i="5"/>
  <c r="B825" i="5"/>
  <c r="F825" i="5" s="1" a="1"/>
  <c r="F825" i="5" s="1"/>
  <c r="E825" i="5" a="1"/>
  <c r="E825" i="5" s="1"/>
  <c r="AB825" i="5" s="1"/>
  <c r="U823" i="5" a="1"/>
  <c r="U823" i="5" s="1"/>
  <c r="A826" i="5" a="1"/>
  <c r="R824" i="5" l="1"/>
  <c r="Q824" i="5"/>
  <c r="S824" i="5"/>
  <c r="T824" i="5"/>
  <c r="A826" i="5"/>
  <c r="X825" i="5"/>
  <c r="AA825" i="5"/>
  <c r="Y825" i="5"/>
  <c r="AC825" i="5" s="1"/>
  <c r="W825" i="5"/>
  <c r="Z825" i="5"/>
  <c r="I825" i="5" a="1"/>
  <c r="K825" i="5" a="1"/>
  <c r="H825" i="5" a="1"/>
  <c r="D825" i="5" a="1"/>
  <c r="C825" i="5" a="1"/>
  <c r="G825" i="5" a="1"/>
  <c r="P825" i="5" a="1"/>
  <c r="N825" i="5" a="1"/>
  <c r="L825" i="5" a="1"/>
  <c r="M825" i="5" a="1"/>
  <c r="O825" i="5" a="1"/>
  <c r="J825" i="5" a="1"/>
  <c r="U824" i="5" l="1" a="1"/>
  <c r="U824" i="5" s="1"/>
  <c r="L825" i="5"/>
  <c r="P825" i="5"/>
  <c r="D825" i="5"/>
  <c r="H825" i="5"/>
  <c r="I825" i="5"/>
  <c r="C825" i="5"/>
  <c r="J825" i="5"/>
  <c r="M825" i="5"/>
  <c r="O825" i="5"/>
  <c r="K825" i="5"/>
  <c r="N825" i="5"/>
  <c r="G825" i="5"/>
  <c r="B826" i="5"/>
  <c r="E826" i="5" a="1"/>
  <c r="E826" i="5" s="1"/>
  <c r="V824" i="5" a="1"/>
  <c r="V824" i="5" s="1"/>
  <c r="A827" i="5" a="1"/>
  <c r="L826" i="5" a="1"/>
  <c r="R825" i="5" l="1"/>
  <c r="T825" i="5"/>
  <c r="L826" i="5"/>
  <c r="F826" i="5" a="1"/>
  <c r="F826" i="5" s="1"/>
  <c r="X826" i="5"/>
  <c r="Q825" i="5"/>
  <c r="S825" i="5"/>
  <c r="A827" i="5"/>
  <c r="Z826" i="5"/>
  <c r="AB826" i="5"/>
  <c r="AA826" i="5"/>
  <c r="W826" i="5"/>
  <c r="Y826" i="5"/>
  <c r="AC826" i="5" s="1"/>
  <c r="D826" i="5" a="1"/>
  <c r="I826" i="5" a="1"/>
  <c r="N826" i="5" a="1"/>
  <c r="G826" i="5" a="1"/>
  <c r="C826" i="5" a="1"/>
  <c r="H826" i="5" a="1"/>
  <c r="O826" i="5" a="1"/>
  <c r="J826" i="5" a="1"/>
  <c r="P826" i="5" a="1"/>
  <c r="K826" i="5" a="1"/>
  <c r="M826" i="5" a="1"/>
  <c r="V825" i="5" l="1" a="1"/>
  <c r="V825" i="5" s="1"/>
  <c r="U825" i="5" a="1"/>
  <c r="U825" i="5" s="1"/>
  <c r="C826" i="5"/>
  <c r="D826" i="5"/>
  <c r="M826" i="5"/>
  <c r="J826" i="5"/>
  <c r="G826" i="5"/>
  <c r="I826" i="5"/>
  <c r="P826" i="5"/>
  <c r="R826" i="5" s="1"/>
  <c r="O826" i="5"/>
  <c r="N826" i="5"/>
  <c r="H826" i="5"/>
  <c r="K826" i="5"/>
  <c r="E827" i="5" a="1"/>
  <c r="E827" i="5" s="1"/>
  <c r="AB827" i="5" s="1"/>
  <c r="B827" i="5"/>
  <c r="A828" i="5" a="1"/>
  <c r="F827" i="5" l="1" a="1"/>
  <c r="F827" i="5" s="1"/>
  <c r="S826" i="5"/>
  <c r="Q826" i="5"/>
  <c r="U826" i="5" s="1" a="1"/>
  <c r="U826" i="5" s="1"/>
  <c r="T826" i="5"/>
  <c r="A828" i="5"/>
  <c r="X827" i="5"/>
  <c r="AA827" i="5"/>
  <c r="Y827" i="5"/>
  <c r="AC827" i="5" s="1"/>
  <c r="W827" i="5"/>
  <c r="Z827" i="5"/>
  <c r="D827" i="5" a="1"/>
  <c r="K827" i="5" a="1"/>
  <c r="L827" i="5" a="1"/>
  <c r="N827" i="5" a="1"/>
  <c r="C827" i="5" a="1"/>
  <c r="O827" i="5" a="1"/>
  <c r="P827" i="5" a="1"/>
  <c r="J827" i="5" a="1"/>
  <c r="M827" i="5" a="1"/>
  <c r="G827" i="5" a="1"/>
  <c r="I827" i="5" a="1"/>
  <c r="H827" i="5" a="1"/>
  <c r="V826" i="5" l="1" a="1"/>
  <c r="V826" i="5" s="1"/>
  <c r="M827" i="5"/>
  <c r="K827" i="5"/>
  <c r="I827" i="5"/>
  <c r="N827" i="5"/>
  <c r="O827" i="5"/>
  <c r="G827" i="5"/>
  <c r="H827" i="5"/>
  <c r="C827" i="5"/>
  <c r="P827" i="5"/>
  <c r="J827" i="5"/>
  <c r="L827" i="5"/>
  <c r="D827" i="5"/>
  <c r="B828" i="5"/>
  <c r="F828" i="5" s="1" a="1"/>
  <c r="F828" i="5" s="1"/>
  <c r="E828" i="5" a="1"/>
  <c r="E828" i="5" s="1"/>
  <c r="A829" i="5" a="1"/>
  <c r="R827" i="5" l="1"/>
  <c r="Q827" i="5"/>
  <c r="S827" i="5"/>
  <c r="X828" i="5"/>
  <c r="T827" i="5"/>
  <c r="AB828" i="5"/>
  <c r="Y828" i="5"/>
  <c r="AC828" i="5" s="1"/>
  <c r="Z828" i="5"/>
  <c r="A829" i="5"/>
  <c r="AA828" i="5"/>
  <c r="W828" i="5"/>
  <c r="L828" i="5" a="1"/>
  <c r="M828" i="5" a="1"/>
  <c r="G828" i="5" a="1"/>
  <c r="H828" i="5" a="1"/>
  <c r="N828" i="5" a="1"/>
  <c r="C828" i="5" a="1"/>
  <c r="K828" i="5" a="1"/>
  <c r="J828" i="5" a="1"/>
  <c r="O828" i="5" a="1"/>
  <c r="D828" i="5" a="1"/>
  <c r="I828" i="5" a="1"/>
  <c r="P828" i="5" a="1"/>
  <c r="I828" i="5" l="1"/>
  <c r="G828" i="5"/>
  <c r="K828" i="5"/>
  <c r="L828" i="5"/>
  <c r="C828" i="5"/>
  <c r="H828" i="5"/>
  <c r="U827" i="5" a="1"/>
  <c r="U827" i="5" s="1"/>
  <c r="J828" i="5"/>
  <c r="M828" i="5"/>
  <c r="O828" i="5"/>
  <c r="D828" i="5"/>
  <c r="P828" i="5"/>
  <c r="N828" i="5"/>
  <c r="V827" i="5" a="1"/>
  <c r="V827" i="5" s="1"/>
  <c r="E829" i="5" a="1"/>
  <c r="E829" i="5" s="1"/>
  <c r="B829" i="5"/>
  <c r="M829" i="5" s="1" a="1"/>
  <c r="A830" i="5" a="1"/>
  <c r="R828" i="5" l="1"/>
  <c r="T828" i="5"/>
  <c r="M829" i="5"/>
  <c r="AB829" i="5"/>
  <c r="S828" i="5"/>
  <c r="Q828" i="5"/>
  <c r="F829" i="5" a="1"/>
  <c r="F829" i="5" s="1"/>
  <c r="X829" i="5"/>
  <c r="Y829" i="5"/>
  <c r="AC829" i="5" s="1"/>
  <c r="AA829" i="5"/>
  <c r="A830" i="5"/>
  <c r="W829" i="5"/>
  <c r="Z829" i="5"/>
  <c r="C829" i="5" a="1"/>
  <c r="N829" i="5" a="1"/>
  <c r="K829" i="5" a="1"/>
  <c r="H829" i="5" a="1"/>
  <c r="D829" i="5" a="1"/>
  <c r="J829" i="5" a="1"/>
  <c r="P829" i="5" a="1"/>
  <c r="L829" i="5" a="1"/>
  <c r="I829" i="5" a="1"/>
  <c r="G829" i="5" a="1"/>
  <c r="O829" i="5" a="1"/>
  <c r="U828" i="5" l="1" a="1"/>
  <c r="U828" i="5" s="1"/>
  <c r="V828" i="5" a="1"/>
  <c r="V828" i="5" s="1"/>
  <c r="H829" i="5"/>
  <c r="P829" i="5"/>
  <c r="J829" i="5"/>
  <c r="L829" i="5"/>
  <c r="C829" i="5"/>
  <c r="I829" i="5"/>
  <c r="D829" i="5"/>
  <c r="O829" i="5"/>
  <c r="N829" i="5"/>
  <c r="K829" i="5"/>
  <c r="G829" i="5"/>
  <c r="B830" i="5"/>
  <c r="F830" i="5" s="1" a="1"/>
  <c r="F830" i="5" s="1"/>
  <c r="E830" i="5" a="1"/>
  <c r="E830" i="5" s="1"/>
  <c r="Z830" i="5" s="1"/>
  <c r="A831" i="5" a="1"/>
  <c r="S829" i="5" l="1"/>
  <c r="Q829" i="5"/>
  <c r="R829" i="5"/>
  <c r="T829" i="5"/>
  <c r="A831" i="5"/>
  <c r="W830" i="5"/>
  <c r="X830" i="5"/>
  <c r="AB830" i="5"/>
  <c r="AA830" i="5"/>
  <c r="Y830" i="5"/>
  <c r="AC830" i="5" s="1"/>
  <c r="K830" i="5" a="1"/>
  <c r="J830" i="5" a="1"/>
  <c r="L830" i="5" a="1"/>
  <c r="P830" i="5" a="1"/>
  <c r="N830" i="5" a="1"/>
  <c r="M830" i="5" a="1"/>
  <c r="H830" i="5" a="1"/>
  <c r="C830" i="5" a="1"/>
  <c r="I830" i="5" a="1"/>
  <c r="G830" i="5" a="1"/>
  <c r="D830" i="5" a="1"/>
  <c r="O830" i="5" a="1"/>
  <c r="U829" i="5" l="1" a="1"/>
  <c r="U829" i="5" s="1"/>
  <c r="V829" i="5" a="1"/>
  <c r="V829" i="5" s="1"/>
  <c r="K830" i="5"/>
  <c r="L830" i="5"/>
  <c r="M830" i="5"/>
  <c r="O830" i="5"/>
  <c r="I830" i="5"/>
  <c r="N830" i="5"/>
  <c r="H830" i="5"/>
  <c r="J830" i="5"/>
  <c r="D830" i="5"/>
  <c r="C830" i="5"/>
  <c r="G830" i="5"/>
  <c r="P830" i="5"/>
  <c r="B831" i="5"/>
  <c r="D831" i="5" s="1" a="1"/>
  <c r="E831" i="5" a="1"/>
  <c r="E831" i="5" s="1"/>
  <c r="A832" i="5" a="1"/>
  <c r="R830" i="5" l="1"/>
  <c r="D831" i="5"/>
  <c r="F831" i="5" a="1"/>
  <c r="F831" i="5" s="1"/>
  <c r="S830" i="5"/>
  <c r="Q830" i="5"/>
  <c r="T830" i="5"/>
  <c r="AB831" i="5"/>
  <c r="A832" i="5"/>
  <c r="X831" i="5"/>
  <c r="AA831" i="5"/>
  <c r="Y831" i="5"/>
  <c r="AC831" i="5" s="1"/>
  <c r="W831" i="5"/>
  <c r="Z831" i="5"/>
  <c r="P831" i="5" a="1"/>
  <c r="G831" i="5" a="1"/>
  <c r="I831" i="5" a="1"/>
  <c r="N831" i="5" a="1"/>
  <c r="H831" i="5" a="1"/>
  <c r="K831" i="5" a="1"/>
  <c r="J831" i="5" a="1"/>
  <c r="O831" i="5" a="1"/>
  <c r="C831" i="5" a="1"/>
  <c r="M831" i="5" a="1"/>
  <c r="L831" i="5" a="1"/>
  <c r="U830" i="5" l="1" a="1"/>
  <c r="U830" i="5" s="1"/>
  <c r="V830" i="5" a="1"/>
  <c r="V830" i="5" s="1"/>
  <c r="G831" i="5"/>
  <c r="I831" i="5"/>
  <c r="P831" i="5"/>
  <c r="J831" i="5"/>
  <c r="O831" i="5"/>
  <c r="N831" i="5"/>
  <c r="K831" i="5"/>
  <c r="H831" i="5"/>
  <c r="M831" i="5"/>
  <c r="C831" i="5"/>
  <c r="L831" i="5"/>
  <c r="E832" i="5" a="1"/>
  <c r="E832" i="5" s="1"/>
  <c r="B832" i="5"/>
  <c r="J832" i="5" s="1" a="1"/>
  <c r="A833" i="5" a="1"/>
  <c r="R831" i="5" l="1"/>
  <c r="J832" i="5"/>
  <c r="Q831" i="5"/>
  <c r="S831" i="5"/>
  <c r="F832" i="5" a="1"/>
  <c r="F832" i="5" s="1"/>
  <c r="X832" i="5"/>
  <c r="T831" i="5"/>
  <c r="A833" i="5"/>
  <c r="Y832" i="5"/>
  <c r="AC832" i="5" s="1"/>
  <c r="AB832" i="5"/>
  <c r="AA832" i="5"/>
  <c r="W832" i="5"/>
  <c r="Z832" i="5"/>
  <c r="O832" i="5" a="1"/>
  <c r="C832" i="5" a="1"/>
  <c r="P832" i="5" a="1"/>
  <c r="L832" i="5" a="1"/>
  <c r="D832" i="5" a="1"/>
  <c r="H832" i="5" a="1"/>
  <c r="M832" i="5" a="1"/>
  <c r="K832" i="5" a="1"/>
  <c r="G832" i="5" a="1"/>
  <c r="N832" i="5" a="1"/>
  <c r="I832" i="5" a="1"/>
  <c r="U831" i="5" l="1" a="1"/>
  <c r="U831" i="5" s="1"/>
  <c r="K832" i="5"/>
  <c r="D832" i="5"/>
  <c r="O832" i="5"/>
  <c r="C832" i="5"/>
  <c r="P832" i="5"/>
  <c r="H832" i="5"/>
  <c r="N832" i="5"/>
  <c r="G832" i="5"/>
  <c r="M832" i="5"/>
  <c r="L832" i="5"/>
  <c r="I832" i="5"/>
  <c r="B833" i="5"/>
  <c r="F833" i="5" s="1" a="1"/>
  <c r="F833" i="5" s="1"/>
  <c r="E833" i="5" a="1"/>
  <c r="E833" i="5" s="1"/>
  <c r="AB833" i="5" s="1"/>
  <c r="V831" i="5" a="1"/>
  <c r="V831" i="5" s="1"/>
  <c r="A834" i="5" a="1"/>
  <c r="R832" i="5" l="1"/>
  <c r="S832" i="5"/>
  <c r="Q832" i="5"/>
  <c r="T832" i="5"/>
  <c r="A834" i="5"/>
  <c r="X833" i="5"/>
  <c r="AA833" i="5"/>
  <c r="Y833" i="5"/>
  <c r="AC833" i="5" s="1"/>
  <c r="W833" i="5"/>
  <c r="Z833" i="5"/>
  <c r="M833" i="5" a="1"/>
  <c r="P833" i="5" a="1"/>
  <c r="L833" i="5" a="1"/>
  <c r="I833" i="5" a="1"/>
  <c r="D833" i="5" a="1"/>
  <c r="J833" i="5" a="1"/>
  <c r="K833" i="5" a="1"/>
  <c r="C833" i="5" a="1"/>
  <c r="G833" i="5" a="1"/>
  <c r="N833" i="5" a="1"/>
  <c r="O833" i="5" a="1"/>
  <c r="H833" i="5" a="1"/>
  <c r="U832" i="5" l="1" a="1"/>
  <c r="U832" i="5" s="1"/>
  <c r="D833" i="5"/>
  <c r="J833" i="5"/>
  <c r="H833" i="5"/>
  <c r="K833" i="5"/>
  <c r="L833" i="5"/>
  <c r="G833" i="5"/>
  <c r="I833" i="5"/>
  <c r="P833" i="5"/>
  <c r="C833" i="5"/>
  <c r="V832" i="5" a="1"/>
  <c r="V832" i="5" s="1"/>
  <c r="N833" i="5"/>
  <c r="O833" i="5"/>
  <c r="M833" i="5"/>
  <c r="B834" i="5"/>
  <c r="E834" i="5" a="1"/>
  <c r="E834" i="5" s="1"/>
  <c r="A835" i="5" a="1"/>
  <c r="F834" i="5" a="1"/>
  <c r="R833" i="5" l="1"/>
  <c r="T833" i="5"/>
  <c r="F834" i="5"/>
  <c r="Q833" i="5"/>
  <c r="S833" i="5"/>
  <c r="X834" i="5"/>
  <c r="A835" i="5"/>
  <c r="AB834" i="5"/>
  <c r="Z834" i="5"/>
  <c r="Y834" i="5"/>
  <c r="AC834" i="5" s="1"/>
  <c r="AA834" i="5"/>
  <c r="W834" i="5"/>
  <c r="L834" i="5" a="1"/>
  <c r="O834" i="5" a="1"/>
  <c r="H834" i="5" a="1"/>
  <c r="N834" i="5" a="1"/>
  <c r="M834" i="5" a="1"/>
  <c r="J834" i="5" a="1"/>
  <c r="D834" i="5" a="1"/>
  <c r="K834" i="5" a="1"/>
  <c r="G834" i="5" a="1"/>
  <c r="I834" i="5" a="1"/>
  <c r="C834" i="5" a="1"/>
  <c r="P834" i="5" a="1"/>
  <c r="V833" i="5" l="1" a="1"/>
  <c r="V833" i="5" s="1"/>
  <c r="U833" i="5" a="1"/>
  <c r="U833" i="5" s="1"/>
  <c r="G834" i="5"/>
  <c r="M834" i="5"/>
  <c r="I834" i="5"/>
  <c r="L834" i="5"/>
  <c r="K834" i="5"/>
  <c r="C834" i="5"/>
  <c r="H834" i="5"/>
  <c r="D834" i="5"/>
  <c r="P834" i="5"/>
  <c r="N834" i="5"/>
  <c r="O834" i="5"/>
  <c r="J834" i="5"/>
  <c r="E835" i="5" a="1"/>
  <c r="E835" i="5" s="1"/>
  <c r="AB835" i="5" s="1"/>
  <c r="B835" i="5"/>
  <c r="A836" i="5" a="1"/>
  <c r="T834" i="5" l="1"/>
  <c r="F835" i="5" a="1"/>
  <c r="F835" i="5" s="1"/>
  <c r="S834" i="5"/>
  <c r="Q834" i="5"/>
  <c r="R834" i="5"/>
  <c r="X835" i="5"/>
  <c r="A836" i="5"/>
  <c r="AA835" i="5"/>
  <c r="Y835" i="5"/>
  <c r="AC835" i="5" s="1"/>
  <c r="W835" i="5"/>
  <c r="Z835" i="5"/>
  <c r="G835" i="5" a="1"/>
  <c r="M835" i="5" a="1"/>
  <c r="C835" i="5" a="1"/>
  <c r="P835" i="5" a="1"/>
  <c r="J835" i="5" a="1"/>
  <c r="K835" i="5" a="1"/>
  <c r="L835" i="5" a="1"/>
  <c r="O835" i="5" a="1"/>
  <c r="I835" i="5" a="1"/>
  <c r="N835" i="5" a="1"/>
  <c r="D835" i="5" a="1"/>
  <c r="H835" i="5" a="1"/>
  <c r="V834" i="5" l="1" a="1"/>
  <c r="V834" i="5" s="1"/>
  <c r="M835" i="5"/>
  <c r="G835" i="5"/>
  <c r="K835" i="5"/>
  <c r="N835" i="5"/>
  <c r="H835" i="5"/>
  <c r="J835" i="5"/>
  <c r="P835" i="5"/>
  <c r="I835" i="5"/>
  <c r="D835" i="5"/>
  <c r="O835" i="5"/>
  <c r="L835" i="5"/>
  <c r="C835" i="5"/>
  <c r="B836" i="5"/>
  <c r="F836" i="5" s="1" a="1"/>
  <c r="F836" i="5" s="1"/>
  <c r="E836" i="5" a="1"/>
  <c r="E836" i="5" s="1"/>
  <c r="U834" i="5" a="1"/>
  <c r="U834" i="5" s="1"/>
  <c r="A837" i="5" a="1"/>
  <c r="R835" i="5" l="1"/>
  <c r="X836" i="5"/>
  <c r="Q835" i="5"/>
  <c r="S835" i="5"/>
  <c r="T835" i="5"/>
  <c r="A837" i="5"/>
  <c r="AA836" i="5"/>
  <c r="W836" i="5"/>
  <c r="Z836" i="5"/>
  <c r="AB836" i="5"/>
  <c r="Y836" i="5"/>
  <c r="AC836" i="5" s="1"/>
  <c r="M836" i="5" a="1"/>
  <c r="H836" i="5" a="1"/>
  <c r="I836" i="5" a="1"/>
  <c r="P836" i="5" a="1"/>
  <c r="C836" i="5" a="1"/>
  <c r="D836" i="5" a="1"/>
  <c r="J836" i="5" a="1"/>
  <c r="O836" i="5" a="1"/>
  <c r="N836" i="5" a="1"/>
  <c r="K836" i="5" a="1"/>
  <c r="G836" i="5" a="1"/>
  <c r="L836" i="5" a="1"/>
  <c r="U835" i="5" l="1" a="1"/>
  <c r="U835" i="5" s="1"/>
  <c r="D836" i="5"/>
  <c r="C836" i="5"/>
  <c r="H836" i="5"/>
  <c r="K836" i="5"/>
  <c r="P836" i="5"/>
  <c r="O836" i="5"/>
  <c r="G836" i="5"/>
  <c r="M836" i="5"/>
  <c r="I836" i="5"/>
  <c r="L836" i="5"/>
  <c r="N836" i="5"/>
  <c r="J836" i="5"/>
  <c r="E837" i="5" a="1"/>
  <c r="E837" i="5" s="1"/>
  <c r="B837" i="5"/>
  <c r="V835" i="5" a="1"/>
  <c r="V835" i="5" s="1"/>
  <c r="A838" i="5" a="1"/>
  <c r="T836" i="5" l="1"/>
  <c r="X837" i="5"/>
  <c r="F837" i="5" a="1"/>
  <c r="F837" i="5" s="1"/>
  <c r="Q836" i="5"/>
  <c r="S836" i="5"/>
  <c r="R836" i="5"/>
  <c r="A838" i="5"/>
  <c r="AA837" i="5"/>
  <c r="Y837" i="5"/>
  <c r="AC837" i="5" s="1"/>
  <c r="W837" i="5"/>
  <c r="Z837" i="5"/>
  <c r="AB837" i="5"/>
  <c r="L837" i="5" a="1"/>
  <c r="O837" i="5" a="1"/>
  <c r="M837" i="5" a="1"/>
  <c r="G837" i="5" a="1"/>
  <c r="H837" i="5" a="1"/>
  <c r="I837" i="5" a="1"/>
  <c r="J837" i="5" a="1"/>
  <c r="D837" i="5" a="1"/>
  <c r="N837" i="5" a="1"/>
  <c r="K837" i="5" a="1"/>
  <c r="C837" i="5" a="1"/>
  <c r="P837" i="5" a="1"/>
  <c r="V836" i="5" l="1" a="1"/>
  <c r="V836" i="5" s="1"/>
  <c r="U836" i="5" a="1"/>
  <c r="U836" i="5" s="1"/>
  <c r="M837" i="5"/>
  <c r="P837" i="5"/>
  <c r="J837" i="5"/>
  <c r="I837" i="5"/>
  <c r="K837" i="5"/>
  <c r="O837" i="5"/>
  <c r="H837" i="5"/>
  <c r="C837" i="5"/>
  <c r="G837" i="5"/>
  <c r="N837" i="5"/>
  <c r="L837" i="5"/>
  <c r="D837" i="5"/>
  <c r="B838" i="5"/>
  <c r="E838" i="5" a="1"/>
  <c r="E838" i="5" s="1"/>
  <c r="X838" i="5" s="1"/>
  <c r="A839" i="5" a="1"/>
  <c r="J838" i="5" a="1"/>
  <c r="R837" i="5" l="1"/>
  <c r="T837" i="5"/>
  <c r="J838" i="5"/>
  <c r="Q837" i="5"/>
  <c r="S837" i="5"/>
  <c r="F838" i="5" a="1"/>
  <c r="F838" i="5" s="1"/>
  <c r="A839" i="5"/>
  <c r="Z838" i="5"/>
  <c r="AB838" i="5"/>
  <c r="Y838" i="5"/>
  <c r="AC838" i="5" s="1"/>
  <c r="AA838" i="5"/>
  <c r="W838" i="5"/>
  <c r="M838" i="5" a="1"/>
  <c r="L838" i="5" a="1"/>
  <c r="H838" i="5" a="1"/>
  <c r="C838" i="5" a="1"/>
  <c r="G838" i="5" a="1"/>
  <c r="N838" i="5" a="1"/>
  <c r="K838" i="5" a="1"/>
  <c r="O838" i="5" a="1"/>
  <c r="I838" i="5" a="1"/>
  <c r="D838" i="5" a="1"/>
  <c r="P838" i="5" a="1"/>
  <c r="U837" i="5" l="1" a="1"/>
  <c r="U837" i="5" s="1"/>
  <c r="V837" i="5" a="1"/>
  <c r="V837" i="5" s="1"/>
  <c r="H838" i="5"/>
  <c r="K838" i="5"/>
  <c r="C838" i="5"/>
  <c r="D838" i="5"/>
  <c r="L838" i="5"/>
  <c r="I838" i="5"/>
  <c r="P838" i="5"/>
  <c r="G838" i="5"/>
  <c r="N838" i="5"/>
  <c r="O838" i="5"/>
  <c r="M838" i="5"/>
  <c r="B839" i="5"/>
  <c r="E839" i="5" a="1"/>
  <c r="E839" i="5" s="1"/>
  <c r="A840" i="5" a="1"/>
  <c r="N839" i="5" a="1"/>
  <c r="R838" i="5" l="1"/>
  <c r="N839" i="5"/>
  <c r="T838" i="5"/>
  <c r="F839" i="5" a="1"/>
  <c r="F839" i="5" s="1"/>
  <c r="Q838" i="5"/>
  <c r="S838" i="5"/>
  <c r="AB839" i="5"/>
  <c r="A840" i="5"/>
  <c r="AA839" i="5"/>
  <c r="X839" i="5"/>
  <c r="Y839" i="5"/>
  <c r="AC839" i="5" s="1"/>
  <c r="W839" i="5"/>
  <c r="Z839" i="5"/>
  <c r="C839" i="5" a="1"/>
  <c r="O839" i="5" a="1"/>
  <c r="P839" i="5" a="1"/>
  <c r="K839" i="5" a="1"/>
  <c r="L839" i="5" a="1"/>
  <c r="M839" i="5" a="1"/>
  <c r="H839" i="5" a="1"/>
  <c r="J839" i="5" a="1"/>
  <c r="I839" i="5" a="1"/>
  <c r="D839" i="5" a="1"/>
  <c r="G839" i="5" a="1"/>
  <c r="V838" i="5" l="1" a="1"/>
  <c r="V838" i="5" s="1"/>
  <c r="U838" i="5" a="1"/>
  <c r="U838" i="5" s="1"/>
  <c r="M839" i="5"/>
  <c r="O839" i="5"/>
  <c r="J839" i="5"/>
  <c r="G839" i="5"/>
  <c r="K839" i="5"/>
  <c r="L839" i="5"/>
  <c r="H839" i="5"/>
  <c r="C839" i="5"/>
  <c r="I839" i="5"/>
  <c r="D839" i="5"/>
  <c r="P839" i="5"/>
  <c r="E840" i="5" a="1"/>
  <c r="E840" i="5" s="1"/>
  <c r="B840" i="5"/>
  <c r="F840" i="5" s="1" a="1"/>
  <c r="F840" i="5" s="1"/>
  <c r="A841" i="5" a="1"/>
  <c r="R839" i="5" l="1"/>
  <c r="S839" i="5"/>
  <c r="Q839" i="5"/>
  <c r="X840" i="5"/>
  <c r="T839" i="5"/>
  <c r="A841" i="5"/>
  <c r="AB840" i="5"/>
  <c r="Z840" i="5"/>
  <c r="AA840" i="5"/>
  <c r="W840" i="5"/>
  <c r="Y840" i="5"/>
  <c r="AC840" i="5" s="1"/>
  <c r="L840" i="5" a="1"/>
  <c r="N840" i="5" a="1"/>
  <c r="O840" i="5" a="1"/>
  <c r="G840" i="5" a="1"/>
  <c r="I840" i="5" a="1"/>
  <c r="J840" i="5" a="1"/>
  <c r="M840" i="5" a="1"/>
  <c r="C840" i="5" a="1"/>
  <c r="D840" i="5" a="1"/>
  <c r="K840" i="5" a="1"/>
  <c r="P840" i="5" a="1"/>
  <c r="H840" i="5" a="1"/>
  <c r="U839" i="5" l="1" a="1"/>
  <c r="U839" i="5" s="1"/>
  <c r="D840" i="5"/>
  <c r="K840" i="5"/>
  <c r="H840" i="5"/>
  <c r="O840" i="5"/>
  <c r="M840" i="5"/>
  <c r="I840" i="5"/>
  <c r="J840" i="5"/>
  <c r="N840" i="5"/>
  <c r="L840" i="5"/>
  <c r="G840" i="5"/>
  <c r="P840" i="5"/>
  <c r="C840" i="5"/>
  <c r="B841" i="5"/>
  <c r="F841" i="5" s="1" a="1"/>
  <c r="F841" i="5" s="1"/>
  <c r="E841" i="5" a="1"/>
  <c r="E841" i="5" s="1"/>
  <c r="V839" i="5" a="1"/>
  <c r="V839" i="5" s="1"/>
  <c r="A842" i="5" a="1"/>
  <c r="R840" i="5" l="1"/>
  <c r="T840" i="5"/>
  <c r="Q840" i="5"/>
  <c r="S840" i="5"/>
  <c r="X841" i="5"/>
  <c r="A842" i="5"/>
  <c r="AA841" i="5"/>
  <c r="Y841" i="5"/>
  <c r="AC841" i="5" s="1"/>
  <c r="W841" i="5"/>
  <c r="Z841" i="5"/>
  <c r="AB841" i="5"/>
  <c r="I841" i="5" a="1"/>
  <c r="C841" i="5" a="1"/>
  <c r="G841" i="5" a="1"/>
  <c r="P841" i="5" a="1"/>
  <c r="N841" i="5" a="1"/>
  <c r="M841" i="5" a="1"/>
  <c r="K841" i="5" a="1"/>
  <c r="A843" i="5" a="1"/>
  <c r="L841" i="5" a="1"/>
  <c r="J841" i="5" a="1"/>
  <c r="O841" i="5" a="1"/>
  <c r="H841" i="5" a="1"/>
  <c r="D841" i="5" a="1"/>
  <c r="U840" i="5" l="1" a="1"/>
  <c r="U840" i="5" s="1"/>
  <c r="V840" i="5" a="1"/>
  <c r="V840" i="5" s="1"/>
  <c r="G841" i="5"/>
  <c r="L841" i="5"/>
  <c r="C841" i="5"/>
  <c r="H841" i="5"/>
  <c r="N841" i="5"/>
  <c r="O841" i="5"/>
  <c r="K841" i="5"/>
  <c r="D841" i="5"/>
  <c r="J841" i="5"/>
  <c r="M841" i="5"/>
  <c r="P841" i="5"/>
  <c r="I841" i="5"/>
  <c r="B842" i="5"/>
  <c r="E842" i="5" a="1"/>
  <c r="E842" i="5" s="1"/>
  <c r="A843" i="5"/>
  <c r="G842" i="5" a="1"/>
  <c r="R841" i="5" l="1"/>
  <c r="T841" i="5"/>
  <c r="G842" i="5"/>
  <c r="AB842" i="5"/>
  <c r="F842" i="5" a="1"/>
  <c r="F842" i="5" s="1"/>
  <c r="Y842" i="5"/>
  <c r="AC842" i="5" s="1"/>
  <c r="W842" i="5"/>
  <c r="S841" i="5"/>
  <c r="Q841" i="5"/>
  <c r="Z842" i="5"/>
  <c r="E843" i="5" a="1"/>
  <c r="E843" i="5" s="1"/>
  <c r="B843" i="5"/>
  <c r="N843" i="5" s="1" a="1"/>
  <c r="X842" i="5"/>
  <c r="AA842" i="5"/>
  <c r="A844" i="5" a="1"/>
  <c r="A844" i="5" s="1"/>
  <c r="I842" i="5" a="1"/>
  <c r="M842" i="5" a="1"/>
  <c r="P842" i="5" a="1"/>
  <c r="N842" i="5" a="1"/>
  <c r="O842" i="5" a="1"/>
  <c r="C842" i="5" a="1"/>
  <c r="H842" i="5" a="1"/>
  <c r="L842" i="5" a="1"/>
  <c r="D842" i="5" a="1"/>
  <c r="J842" i="5" a="1"/>
  <c r="K842" i="5" a="1"/>
  <c r="U841" i="5" l="1" a="1"/>
  <c r="U841" i="5" s="1"/>
  <c r="V841" i="5" a="1"/>
  <c r="V841" i="5" s="1"/>
  <c r="N843" i="5"/>
  <c r="O842" i="5"/>
  <c r="H842" i="5"/>
  <c r="D842" i="5"/>
  <c r="L842" i="5"/>
  <c r="M842" i="5"/>
  <c r="K842" i="5"/>
  <c r="N842" i="5"/>
  <c r="P842" i="5"/>
  <c r="C842" i="5"/>
  <c r="I842" i="5"/>
  <c r="J842" i="5"/>
  <c r="F843" i="5" a="1"/>
  <c r="F843" i="5" s="1"/>
  <c r="U844" i="5" a="1"/>
  <c r="U844" i="5" s="1"/>
  <c r="C844" i="5" a="1"/>
  <c r="C844" i="5" s="1"/>
  <c r="B844" i="5"/>
  <c r="M844" i="5" s="1" a="1"/>
  <c r="M844" i="5" s="1"/>
  <c r="E844" i="5" a="1"/>
  <c r="E844" i="5" s="1"/>
  <c r="V844" i="5" a="1"/>
  <c r="V844" i="5" s="1"/>
  <c r="AB843" i="5"/>
  <c r="X843" i="5"/>
  <c r="AA843" i="5"/>
  <c r="X844" i="5"/>
  <c r="W844" i="5"/>
  <c r="A845" i="5" a="1"/>
  <c r="A845" i="5" s="1"/>
  <c r="AC844" i="5"/>
  <c r="AB844" i="5"/>
  <c r="AA844" i="5"/>
  <c r="Z844" i="5"/>
  <c r="Y844" i="5"/>
  <c r="Y843" i="5"/>
  <c r="AC843" i="5" s="1"/>
  <c r="W843" i="5"/>
  <c r="Z843" i="5"/>
  <c r="G843" i="5" a="1"/>
  <c r="H843" i="5" a="1"/>
  <c r="M843" i="5" a="1"/>
  <c r="D843" i="5" a="1"/>
  <c r="K843" i="5" a="1"/>
  <c r="P843" i="5" a="1"/>
  <c r="O843" i="5" a="1"/>
  <c r="C843" i="5" a="1"/>
  <c r="I843" i="5" a="1"/>
  <c r="L843" i="5" a="1"/>
  <c r="J843" i="5" a="1"/>
  <c r="K843" i="5" l="1"/>
  <c r="T842" i="5"/>
  <c r="O843" i="5"/>
  <c r="D843" i="5"/>
  <c r="G843" i="5"/>
  <c r="J843" i="5"/>
  <c r="H843" i="5"/>
  <c r="M843" i="5"/>
  <c r="P843" i="5"/>
  <c r="C843" i="5"/>
  <c r="L843" i="5"/>
  <c r="I843" i="5"/>
  <c r="D844" i="5" a="1"/>
  <c r="D844" i="5" s="1"/>
  <c r="R844" i="5"/>
  <c r="G844" i="5" a="1"/>
  <c r="G844" i="5" s="1"/>
  <c r="F844" i="5" a="1"/>
  <c r="F844" i="5" s="1"/>
  <c r="K844" i="5" a="1"/>
  <c r="K844" i="5" s="1"/>
  <c r="Q844" i="5"/>
  <c r="J844" i="5" a="1"/>
  <c r="J844" i="5" s="1"/>
  <c r="O844" i="5" a="1"/>
  <c r="O844" i="5" s="1"/>
  <c r="N844" i="5" a="1"/>
  <c r="N844" i="5" s="1"/>
  <c r="H844" i="5" a="1"/>
  <c r="H844" i="5" s="1"/>
  <c r="S844" i="5"/>
  <c r="Q842" i="5"/>
  <c r="S842" i="5"/>
  <c r="I844" i="5" a="1"/>
  <c r="I844" i="5" s="1"/>
  <c r="L844" i="5" a="1"/>
  <c r="L844" i="5" s="1"/>
  <c r="T844" i="5"/>
  <c r="R842" i="5"/>
  <c r="E845" i="5" a="1"/>
  <c r="E845" i="5" s="1"/>
  <c r="V845" i="5" a="1"/>
  <c r="V845" i="5" s="1"/>
  <c r="U845" i="5" a="1"/>
  <c r="U845" i="5" s="1"/>
  <c r="C845" i="5" a="1"/>
  <c r="C845" i="5" s="1"/>
  <c r="B845" i="5"/>
  <c r="P845" i="5" s="1" a="1"/>
  <c r="P845" i="5" s="1"/>
  <c r="P844" i="5" a="1"/>
  <c r="P844" i="5" s="1"/>
  <c r="AB845" i="5"/>
  <c r="AA845" i="5"/>
  <c r="Z845" i="5"/>
  <c r="Y845" i="5"/>
  <c r="X845" i="5"/>
  <c r="W845" i="5"/>
  <c r="A846" i="5" a="1"/>
  <c r="A846" i="5" s="1"/>
  <c r="AC845" i="5"/>
  <c r="V842" i="5" l="1" a="1"/>
  <c r="V842" i="5" s="1"/>
  <c r="R843" i="5"/>
  <c r="U842" i="5" a="1"/>
  <c r="U842" i="5" s="1"/>
  <c r="B846" i="5"/>
  <c r="T846" i="5" s="1"/>
  <c r="E846" i="5" a="1"/>
  <c r="E846" i="5" s="1"/>
  <c r="V846" i="5" a="1"/>
  <c r="V846" i="5" s="1"/>
  <c r="U846" i="5" a="1"/>
  <c r="U846" i="5" s="1"/>
  <c r="C846" i="5" a="1"/>
  <c r="C846" i="5" s="1"/>
  <c r="R845" i="5"/>
  <c r="G845" i="5" a="1"/>
  <c r="G845" i="5" s="1"/>
  <c r="T843" i="5"/>
  <c r="T845" i="5"/>
  <c r="F845" i="5" a="1"/>
  <c r="F845" i="5" s="1"/>
  <c r="M845" i="5" a="1"/>
  <c r="M845" i="5" s="1"/>
  <c r="K845" i="5" a="1"/>
  <c r="K845" i="5" s="1"/>
  <c r="I845" i="5" a="1"/>
  <c r="I845" i="5" s="1"/>
  <c r="J845" i="5" a="1"/>
  <c r="J845" i="5" s="1"/>
  <c r="D845" i="5" a="1"/>
  <c r="D845" i="5" s="1"/>
  <c r="Q845" i="5"/>
  <c r="O845" i="5" a="1"/>
  <c r="O845" i="5" s="1"/>
  <c r="N845" i="5" a="1"/>
  <c r="N845" i="5" s="1"/>
  <c r="S845" i="5"/>
  <c r="L845" i="5" a="1"/>
  <c r="L845" i="5" s="1"/>
  <c r="H845" i="5" a="1"/>
  <c r="H845" i="5" s="1"/>
  <c r="S843" i="5"/>
  <c r="Q843" i="5"/>
  <c r="X846" i="5"/>
  <c r="W846" i="5"/>
  <c r="A847" i="5" a="1"/>
  <c r="A847" i="5" s="1"/>
  <c r="AC846" i="5"/>
  <c r="AB846" i="5"/>
  <c r="AA846" i="5"/>
  <c r="Z846" i="5"/>
  <c r="Y846" i="5"/>
  <c r="U843" i="5" l="1" a="1"/>
  <c r="U843" i="5" s="1"/>
  <c r="D846" i="5" a="1"/>
  <c r="D846" i="5" s="1"/>
  <c r="K846" i="5" a="1"/>
  <c r="K846" i="5" s="1"/>
  <c r="H846" i="5" a="1"/>
  <c r="H846" i="5" s="1"/>
  <c r="V843" i="5" a="1"/>
  <c r="V843" i="5" s="1"/>
  <c r="O846" i="5" a="1"/>
  <c r="O846" i="5" s="1"/>
  <c r="L846" i="5" a="1"/>
  <c r="L846" i="5" s="1"/>
  <c r="I846" i="5" a="1"/>
  <c r="I846" i="5" s="1"/>
  <c r="P846" i="5" a="1"/>
  <c r="P846" i="5" s="1"/>
  <c r="Q846" i="5"/>
  <c r="R846" i="5"/>
  <c r="F846" i="5" a="1"/>
  <c r="F846" i="5" s="1"/>
  <c r="G846" i="5" a="1"/>
  <c r="G846" i="5" s="1"/>
  <c r="J846" i="5" a="1"/>
  <c r="J846" i="5" s="1"/>
  <c r="N846" i="5" a="1"/>
  <c r="N846" i="5" s="1"/>
  <c r="S846" i="5"/>
  <c r="V847" i="5" a="1"/>
  <c r="V847" i="5" s="1"/>
  <c r="U847" i="5" a="1"/>
  <c r="U847" i="5" s="1"/>
  <c r="C847" i="5" a="1"/>
  <c r="C847" i="5" s="1"/>
  <c r="B847" i="5"/>
  <c r="G847" i="5" s="1" a="1"/>
  <c r="G847" i="5" s="1"/>
  <c r="E847" i="5" a="1"/>
  <c r="E847" i="5" s="1"/>
  <c r="M846" i="5" a="1"/>
  <c r="M846" i="5" s="1"/>
  <c r="AB847" i="5"/>
  <c r="AA847" i="5"/>
  <c r="Z847" i="5"/>
  <c r="Y847" i="5"/>
  <c r="X847" i="5"/>
  <c r="W847" i="5"/>
  <c r="A848" i="5" a="1"/>
  <c r="A848" i="5" s="1"/>
  <c r="AC847" i="5"/>
  <c r="S847" i="5" l="1"/>
  <c r="O847" i="5" a="1"/>
  <c r="O847" i="5" s="1"/>
  <c r="R847" i="5"/>
  <c r="F847" i="5" a="1"/>
  <c r="F847" i="5" s="1"/>
  <c r="J847" i="5" a="1"/>
  <c r="J847" i="5" s="1"/>
  <c r="K847" i="5" a="1"/>
  <c r="K847" i="5" s="1"/>
  <c r="N847" i="5" a="1"/>
  <c r="N847" i="5" s="1"/>
  <c r="D847" i="5" a="1"/>
  <c r="D847" i="5" s="1"/>
  <c r="H847" i="5" a="1"/>
  <c r="H847" i="5" s="1"/>
  <c r="I847" i="5" a="1"/>
  <c r="I847" i="5" s="1"/>
  <c r="T847" i="5"/>
  <c r="L847" i="5" a="1"/>
  <c r="L847" i="5" s="1"/>
  <c r="E848" i="5" a="1"/>
  <c r="E848" i="5" s="1"/>
  <c r="V848" i="5" a="1"/>
  <c r="V848" i="5" s="1"/>
  <c r="B848" i="5"/>
  <c r="I848" i="5" s="1" a="1"/>
  <c r="I848" i="5" s="1"/>
  <c r="U848" i="5" a="1"/>
  <c r="U848" i="5" s="1"/>
  <c r="C848" i="5" a="1"/>
  <c r="C848" i="5" s="1"/>
  <c r="M847" i="5" a="1"/>
  <c r="M847" i="5" s="1"/>
  <c r="P847" i="5" a="1"/>
  <c r="P847" i="5" s="1"/>
  <c r="Q847" i="5"/>
  <c r="X848" i="5"/>
  <c r="W848" i="5"/>
  <c r="A849" i="5" a="1"/>
  <c r="A849" i="5" s="1"/>
  <c r="AC848" i="5"/>
  <c r="AB848" i="5"/>
  <c r="AA848" i="5"/>
  <c r="Z848" i="5"/>
  <c r="Y848" i="5"/>
  <c r="F848" i="5" l="1" a="1"/>
  <c r="F848" i="5" s="1"/>
  <c r="J848" i="5" a="1"/>
  <c r="J848" i="5" s="1"/>
  <c r="M848" i="5" a="1"/>
  <c r="M848" i="5" s="1"/>
  <c r="G848" i="5" a="1"/>
  <c r="G848" i="5" s="1"/>
  <c r="T848" i="5"/>
  <c r="Q848" i="5"/>
  <c r="D848" i="5" a="1"/>
  <c r="D848" i="5" s="1"/>
  <c r="R848" i="5"/>
  <c r="N848" i="5" a="1"/>
  <c r="N848" i="5" s="1"/>
  <c r="H848" i="5" a="1"/>
  <c r="H848" i="5" s="1"/>
  <c r="K848" i="5" a="1"/>
  <c r="K848" i="5" s="1"/>
  <c r="O848" i="5" a="1"/>
  <c r="O848" i="5" s="1"/>
  <c r="L848" i="5" a="1"/>
  <c r="L848" i="5" s="1"/>
  <c r="S848" i="5"/>
  <c r="P848" i="5" a="1"/>
  <c r="P848" i="5" s="1"/>
  <c r="U849" i="5" a="1"/>
  <c r="U849" i="5" s="1"/>
  <c r="C849" i="5" a="1"/>
  <c r="C849" i="5" s="1"/>
  <c r="B849" i="5"/>
  <c r="N849" i="5" s="1" a="1"/>
  <c r="N849" i="5" s="1"/>
  <c r="E849" i="5" a="1"/>
  <c r="E849" i="5" s="1"/>
  <c r="V849" i="5" a="1"/>
  <c r="V849" i="5" s="1"/>
  <c r="AB849" i="5"/>
  <c r="AA849" i="5"/>
  <c r="Z849" i="5"/>
  <c r="Y849" i="5"/>
  <c r="X849" i="5"/>
  <c r="W849" i="5"/>
  <c r="A850" i="5" a="1"/>
  <c r="A850" i="5" s="1"/>
  <c r="AC849" i="5"/>
  <c r="S849" i="5" l="1"/>
  <c r="M849" i="5" a="1"/>
  <c r="M849" i="5" s="1"/>
  <c r="V850" i="5" a="1"/>
  <c r="V850" i="5" s="1"/>
  <c r="U850" i="5" a="1"/>
  <c r="U850" i="5" s="1"/>
  <c r="C850" i="5" a="1"/>
  <c r="C850" i="5" s="1"/>
  <c r="B850" i="5"/>
  <c r="O850" i="5" s="1" a="1"/>
  <c r="O850" i="5" s="1"/>
  <c r="E850" i="5" a="1"/>
  <c r="E850" i="5" s="1"/>
  <c r="H849" i="5" a="1"/>
  <c r="H849" i="5" s="1"/>
  <c r="R849" i="5"/>
  <c r="G849" i="5" a="1"/>
  <c r="G849" i="5" s="1"/>
  <c r="Q849" i="5"/>
  <c r="L849" i="5" a="1"/>
  <c r="L849" i="5" s="1"/>
  <c r="F849" i="5" a="1"/>
  <c r="F849" i="5" s="1"/>
  <c r="K849" i="5" a="1"/>
  <c r="K849" i="5" s="1"/>
  <c r="I849" i="5" a="1"/>
  <c r="I849" i="5" s="1"/>
  <c r="P849" i="5" a="1"/>
  <c r="P849" i="5" s="1"/>
  <c r="J849" i="5" a="1"/>
  <c r="J849" i="5" s="1"/>
  <c r="O849" i="5" a="1"/>
  <c r="O849" i="5" s="1"/>
  <c r="T849" i="5"/>
  <c r="D849" i="5" a="1"/>
  <c r="D849" i="5" s="1"/>
  <c r="X850" i="5"/>
  <c r="W850" i="5"/>
  <c r="A851" i="5" a="1"/>
  <c r="A851" i="5" s="1"/>
  <c r="AC850" i="5"/>
  <c r="AB850" i="5"/>
  <c r="AA850" i="5"/>
  <c r="Z850" i="5"/>
  <c r="Y850" i="5"/>
  <c r="N850" i="5" l="1" a="1"/>
  <c r="N850" i="5" s="1"/>
  <c r="E851" i="5" a="1"/>
  <c r="E851" i="5" s="1"/>
  <c r="V851" i="5" a="1"/>
  <c r="V851" i="5" s="1"/>
  <c r="U851" i="5" a="1"/>
  <c r="U851" i="5" s="1"/>
  <c r="C851" i="5" a="1"/>
  <c r="C851" i="5" s="1"/>
  <c r="B851" i="5"/>
  <c r="I851" i="5" s="1" a="1"/>
  <c r="I851" i="5" s="1"/>
  <c r="Q850" i="5"/>
  <c r="R850" i="5"/>
  <c r="D850" i="5" a="1"/>
  <c r="D850" i="5" s="1"/>
  <c r="H850" i="5" a="1"/>
  <c r="H850" i="5" s="1"/>
  <c r="S850" i="5"/>
  <c r="T850" i="5"/>
  <c r="L850" i="5" a="1"/>
  <c r="L850" i="5" s="1"/>
  <c r="F850" i="5" a="1"/>
  <c r="F850" i="5" s="1"/>
  <c r="P850" i="5" a="1"/>
  <c r="P850" i="5" s="1"/>
  <c r="I850" i="5" a="1"/>
  <c r="I850" i="5" s="1"/>
  <c r="G850" i="5" a="1"/>
  <c r="G850" i="5" s="1"/>
  <c r="J850" i="5" a="1"/>
  <c r="J850" i="5" s="1"/>
  <c r="K850" i="5" a="1"/>
  <c r="K850" i="5" s="1"/>
  <c r="M850" i="5" a="1"/>
  <c r="M850" i="5" s="1"/>
  <c r="AB851" i="5"/>
  <c r="AA851" i="5"/>
  <c r="Z851" i="5"/>
  <c r="Y851" i="5"/>
  <c r="X851" i="5"/>
  <c r="W851" i="5"/>
  <c r="A852" i="5" a="1"/>
  <c r="A852" i="5" s="1"/>
  <c r="AC851" i="5"/>
  <c r="M851" i="5" l="1" a="1"/>
  <c r="M851" i="5" s="1"/>
  <c r="D851" i="5" a="1"/>
  <c r="D851" i="5" s="1"/>
  <c r="Q851" i="5"/>
  <c r="H851" i="5" a="1"/>
  <c r="H851" i="5" s="1"/>
  <c r="R851" i="5"/>
  <c r="T851" i="5"/>
  <c r="L851" i="5" a="1"/>
  <c r="L851" i="5" s="1"/>
  <c r="F851" i="5" a="1"/>
  <c r="F851" i="5" s="1"/>
  <c r="P851" i="5" a="1"/>
  <c r="P851" i="5" s="1"/>
  <c r="J851" i="5" a="1"/>
  <c r="J851" i="5" s="1"/>
  <c r="U852" i="5" a="1"/>
  <c r="U852" i="5" s="1"/>
  <c r="C852" i="5" a="1"/>
  <c r="C852" i="5" s="1"/>
  <c r="B852" i="5"/>
  <c r="O852" i="5" s="1" a="1"/>
  <c r="O852" i="5" s="1"/>
  <c r="E852" i="5" a="1"/>
  <c r="E852" i="5" s="1"/>
  <c r="V852" i="5" a="1"/>
  <c r="V852" i="5" s="1"/>
  <c r="G851" i="5" a="1"/>
  <c r="G851" i="5" s="1"/>
  <c r="N851" i="5" a="1"/>
  <c r="N851" i="5" s="1"/>
  <c r="K851" i="5" a="1"/>
  <c r="K851" i="5" s="1"/>
  <c r="S851" i="5"/>
  <c r="O851" i="5" a="1"/>
  <c r="O851" i="5" s="1"/>
  <c r="X852" i="5"/>
  <c r="W852" i="5"/>
  <c r="A853" i="5" a="1"/>
  <c r="A853" i="5" s="1"/>
  <c r="AC852" i="5"/>
  <c r="AB852" i="5"/>
  <c r="AA852" i="5"/>
  <c r="Z852" i="5"/>
  <c r="Y852" i="5"/>
  <c r="I852" i="5" l="1" a="1"/>
  <c r="I852" i="5" s="1"/>
  <c r="R852" i="5"/>
  <c r="P852" i="5" a="1"/>
  <c r="P852" i="5" s="1"/>
  <c r="T852" i="5"/>
  <c r="L852" i="5" a="1"/>
  <c r="L852" i="5" s="1"/>
  <c r="M852" i="5" a="1"/>
  <c r="M852" i="5" s="1"/>
  <c r="H852" i="5" a="1"/>
  <c r="H852" i="5" s="1"/>
  <c r="G852" i="5" a="1"/>
  <c r="G852" i="5" s="1"/>
  <c r="F852" i="5" a="1"/>
  <c r="F852" i="5" s="1"/>
  <c r="K852" i="5" a="1"/>
  <c r="K852" i="5" s="1"/>
  <c r="Q852" i="5"/>
  <c r="J852" i="5" a="1"/>
  <c r="J852" i="5" s="1"/>
  <c r="D852" i="5" a="1"/>
  <c r="D852" i="5" s="1"/>
  <c r="N852" i="5" a="1"/>
  <c r="N852" i="5" s="1"/>
  <c r="S852" i="5"/>
  <c r="E853" i="5" a="1"/>
  <c r="E853" i="5" s="1"/>
  <c r="V853" i="5" a="1"/>
  <c r="V853" i="5" s="1"/>
  <c r="U853" i="5" a="1"/>
  <c r="U853" i="5" s="1"/>
  <c r="C853" i="5" a="1"/>
  <c r="C853" i="5" s="1"/>
  <c r="B853" i="5"/>
  <c r="Q853" i="5" s="1"/>
  <c r="AB853" i="5"/>
  <c r="AA853" i="5"/>
  <c r="Z853" i="5"/>
  <c r="Y853" i="5"/>
  <c r="X853" i="5"/>
  <c r="W853" i="5"/>
  <c r="A854" i="5" a="1"/>
  <c r="A854" i="5" s="1"/>
  <c r="AC853" i="5"/>
  <c r="N853" i="5" l="1" a="1"/>
  <c r="N853" i="5" s="1"/>
  <c r="S853" i="5"/>
  <c r="H853" i="5" a="1"/>
  <c r="H853" i="5" s="1"/>
  <c r="L853" i="5" a="1"/>
  <c r="L853" i="5" s="1"/>
  <c r="P853" i="5" a="1"/>
  <c r="P853" i="5" s="1"/>
  <c r="R853" i="5"/>
  <c r="G853" i="5" a="1"/>
  <c r="G853" i="5" s="1"/>
  <c r="T853" i="5"/>
  <c r="O853" i="5" a="1"/>
  <c r="O853" i="5" s="1"/>
  <c r="I853" i="5" a="1"/>
  <c r="I853" i="5" s="1"/>
  <c r="K853" i="5" a="1"/>
  <c r="K853" i="5" s="1"/>
  <c r="F853" i="5" a="1"/>
  <c r="F853" i="5" s="1"/>
  <c r="M853" i="5" a="1"/>
  <c r="M853" i="5" s="1"/>
  <c r="B854" i="5"/>
  <c r="Q854" i="5" s="1"/>
  <c r="E854" i="5" a="1"/>
  <c r="E854" i="5" s="1"/>
  <c r="V854" i="5" a="1"/>
  <c r="V854" i="5" s="1"/>
  <c r="U854" i="5" a="1"/>
  <c r="U854" i="5" s="1"/>
  <c r="C854" i="5" a="1"/>
  <c r="C854" i="5" s="1"/>
  <c r="J853" i="5" a="1"/>
  <c r="J853" i="5" s="1"/>
  <c r="D853" i="5" a="1"/>
  <c r="D853" i="5" s="1"/>
  <c r="X854" i="5"/>
  <c r="W854" i="5"/>
  <c r="A855" i="5" a="1"/>
  <c r="A855" i="5" s="1"/>
  <c r="AC854" i="5"/>
  <c r="AB854" i="5"/>
  <c r="AA854" i="5"/>
  <c r="Z854" i="5"/>
  <c r="Y854" i="5"/>
  <c r="R854" i="5" l="1"/>
  <c r="H854" i="5" a="1"/>
  <c r="H854" i="5" s="1"/>
  <c r="L854" i="5" a="1"/>
  <c r="L854" i="5" s="1"/>
  <c r="K854" i="5" a="1"/>
  <c r="K854" i="5" s="1"/>
  <c r="F854" i="5" a="1"/>
  <c r="F854" i="5" s="1"/>
  <c r="D854" i="5" a="1"/>
  <c r="D854" i="5" s="1"/>
  <c r="I854" i="5" a="1"/>
  <c r="I854" i="5" s="1"/>
  <c r="J854" i="5" a="1"/>
  <c r="J854" i="5" s="1"/>
  <c r="N854" i="5" a="1"/>
  <c r="N854" i="5" s="1"/>
  <c r="G854" i="5" a="1"/>
  <c r="G854" i="5" s="1"/>
  <c r="S854" i="5"/>
  <c r="O854" i="5" a="1"/>
  <c r="O854" i="5" s="1"/>
  <c r="M854" i="5" a="1"/>
  <c r="M854" i="5" s="1"/>
  <c r="T854" i="5"/>
  <c r="V855" i="5" a="1"/>
  <c r="V855" i="5" s="1"/>
  <c r="U855" i="5" a="1"/>
  <c r="U855" i="5" s="1"/>
  <c r="C855" i="5" a="1"/>
  <c r="C855" i="5" s="1"/>
  <c r="B855" i="5"/>
  <c r="D855" i="5" s="1" a="1"/>
  <c r="D855" i="5" s="1"/>
  <c r="E855" i="5" a="1"/>
  <c r="E855" i="5" s="1"/>
  <c r="P854" i="5" a="1"/>
  <c r="P854" i="5" s="1"/>
  <c r="A856" i="5" a="1"/>
  <c r="A856" i="5" s="1"/>
  <c r="AC855" i="5"/>
  <c r="AB855" i="5"/>
  <c r="AA855" i="5"/>
  <c r="Z855" i="5"/>
  <c r="X855" i="5"/>
  <c r="Y855" i="5"/>
  <c r="W855" i="5"/>
  <c r="I855" i="5" l="1" a="1"/>
  <c r="I855" i="5" s="1"/>
  <c r="T855" i="5"/>
  <c r="L855" i="5" a="1"/>
  <c r="L855" i="5" s="1"/>
  <c r="P855" i="5" a="1"/>
  <c r="P855" i="5" s="1"/>
  <c r="M855" i="5" a="1"/>
  <c r="M855" i="5" s="1"/>
  <c r="Q855" i="5"/>
  <c r="G855" i="5" a="1"/>
  <c r="G855" i="5" s="1"/>
  <c r="H855" i="5" a="1"/>
  <c r="H855" i="5" s="1"/>
  <c r="F855" i="5" a="1"/>
  <c r="F855" i="5" s="1"/>
  <c r="K855" i="5" a="1"/>
  <c r="K855" i="5" s="1"/>
  <c r="E856" i="5" a="1"/>
  <c r="E856" i="5" s="1"/>
  <c r="V856" i="5" a="1"/>
  <c r="V856" i="5" s="1"/>
  <c r="B856" i="5"/>
  <c r="P856" i="5" s="1" a="1"/>
  <c r="P856" i="5" s="1"/>
  <c r="U856" i="5" a="1"/>
  <c r="U856" i="5" s="1"/>
  <c r="C856" i="5" a="1"/>
  <c r="C856" i="5" s="1"/>
  <c r="J855" i="5" a="1"/>
  <c r="J855" i="5" s="1"/>
  <c r="O855" i="5" a="1"/>
  <c r="O855" i="5" s="1"/>
  <c r="N855" i="5" a="1"/>
  <c r="N855" i="5" s="1"/>
  <c r="R855" i="5"/>
  <c r="S855" i="5"/>
  <c r="Z856" i="5"/>
  <c r="Y856" i="5"/>
  <c r="X856" i="5"/>
  <c r="W856" i="5"/>
  <c r="A857" i="5" a="1"/>
  <c r="A857" i="5" s="1"/>
  <c r="AB856" i="5"/>
  <c r="AC856" i="5"/>
  <c r="AA856" i="5"/>
  <c r="O856" i="5" l="1" a="1"/>
  <c r="O856" i="5" s="1"/>
  <c r="F856" i="5" a="1"/>
  <c r="F856" i="5" s="1"/>
  <c r="N856" i="5" a="1"/>
  <c r="N856" i="5" s="1"/>
  <c r="I856" i="5" a="1"/>
  <c r="I856" i="5" s="1"/>
  <c r="T856" i="5"/>
  <c r="M856" i="5" a="1"/>
  <c r="M856" i="5" s="1"/>
  <c r="D856" i="5" a="1"/>
  <c r="D856" i="5" s="1"/>
  <c r="Q856" i="5"/>
  <c r="S856" i="5"/>
  <c r="G856" i="5" a="1"/>
  <c r="G856" i="5" s="1"/>
  <c r="H856" i="5" a="1"/>
  <c r="H856" i="5" s="1"/>
  <c r="R856" i="5"/>
  <c r="J856" i="5" a="1"/>
  <c r="J856" i="5" s="1"/>
  <c r="L856" i="5" a="1"/>
  <c r="L856" i="5" s="1"/>
  <c r="U857" i="5" a="1"/>
  <c r="U857" i="5" s="1"/>
  <c r="C857" i="5" a="1"/>
  <c r="C857" i="5" s="1"/>
  <c r="B857" i="5"/>
  <c r="R857" i="5" s="1"/>
  <c r="V857" i="5" a="1"/>
  <c r="V857" i="5" s="1"/>
  <c r="E857" i="5" a="1"/>
  <c r="E857" i="5" s="1"/>
  <c r="K856" i="5" a="1"/>
  <c r="K856" i="5" s="1"/>
  <c r="A858" i="5" a="1"/>
  <c r="A858" i="5" s="1"/>
  <c r="AC857" i="5"/>
  <c r="AB857" i="5"/>
  <c r="AA857" i="5"/>
  <c r="Z857" i="5"/>
  <c r="Y857" i="5"/>
  <c r="X857" i="5"/>
  <c r="W857" i="5"/>
  <c r="H857" i="5" l="1" a="1"/>
  <c r="H857" i="5" s="1"/>
  <c r="N857" i="5" a="1"/>
  <c r="N857" i="5" s="1"/>
  <c r="S857" i="5"/>
  <c r="D857" i="5" a="1"/>
  <c r="D857" i="5" s="1"/>
  <c r="G857" i="5" a="1"/>
  <c r="G857" i="5" s="1"/>
  <c r="O857" i="5" a="1"/>
  <c r="O857" i="5" s="1"/>
  <c r="P857" i="5" a="1"/>
  <c r="P857" i="5" s="1"/>
  <c r="J857" i="5" a="1"/>
  <c r="J857" i="5" s="1"/>
  <c r="L857" i="5" a="1"/>
  <c r="L857" i="5" s="1"/>
  <c r="I857" i="5" a="1"/>
  <c r="I857" i="5" s="1"/>
  <c r="U858" i="5" a="1"/>
  <c r="U858" i="5" s="1"/>
  <c r="C858" i="5" a="1"/>
  <c r="C858" i="5" s="1"/>
  <c r="B858" i="5"/>
  <c r="O858" i="5" s="1" a="1"/>
  <c r="O858" i="5" s="1"/>
  <c r="E858" i="5" a="1"/>
  <c r="E858" i="5" s="1"/>
  <c r="V858" i="5" a="1"/>
  <c r="V858" i="5" s="1"/>
  <c r="T857" i="5"/>
  <c r="M857" i="5" a="1"/>
  <c r="M857" i="5" s="1"/>
  <c r="F857" i="5" a="1"/>
  <c r="F857" i="5" s="1"/>
  <c r="Q857" i="5"/>
  <c r="K857" i="5" a="1"/>
  <c r="K857" i="5" s="1"/>
  <c r="Z858" i="5"/>
  <c r="Y858" i="5"/>
  <c r="X858" i="5"/>
  <c r="W858" i="5"/>
  <c r="A859" i="5" a="1"/>
  <c r="A859" i="5" s="1"/>
  <c r="AC858" i="5"/>
  <c r="AB858" i="5"/>
  <c r="AA858" i="5"/>
  <c r="L858" i="5" l="1" a="1"/>
  <c r="L858" i="5" s="1"/>
  <c r="S858" i="5"/>
  <c r="Q858" i="5"/>
  <c r="T858" i="5"/>
  <c r="M858" i="5" a="1"/>
  <c r="M858" i="5" s="1"/>
  <c r="D858" i="5" a="1"/>
  <c r="D858" i="5" s="1"/>
  <c r="I858" i="5" a="1"/>
  <c r="I858" i="5" s="1"/>
  <c r="P858" i="5" a="1"/>
  <c r="P858" i="5" s="1"/>
  <c r="G858" i="5" a="1"/>
  <c r="G858" i="5" s="1"/>
  <c r="F858" i="5" a="1"/>
  <c r="F858" i="5" s="1"/>
  <c r="H858" i="5" a="1"/>
  <c r="H858" i="5" s="1"/>
  <c r="J858" i="5" a="1"/>
  <c r="J858" i="5" s="1"/>
  <c r="R858" i="5"/>
  <c r="N858" i="5" a="1"/>
  <c r="N858" i="5" s="1"/>
  <c r="K858" i="5" a="1"/>
  <c r="K858" i="5" s="1"/>
  <c r="E859" i="5" a="1"/>
  <c r="E859" i="5" s="1"/>
  <c r="V859" i="5" a="1"/>
  <c r="V859" i="5" s="1"/>
  <c r="C859" i="5" a="1"/>
  <c r="C859" i="5" s="1"/>
  <c r="B859" i="5"/>
  <c r="S859" i="5" s="1"/>
  <c r="U859" i="5" a="1"/>
  <c r="U859" i="5" s="1"/>
  <c r="A860" i="5" a="1"/>
  <c r="A860" i="5" s="1"/>
  <c r="AC859" i="5"/>
  <c r="AB859" i="5"/>
  <c r="AA859" i="5"/>
  <c r="Z859" i="5"/>
  <c r="Y859" i="5"/>
  <c r="X859" i="5"/>
  <c r="W859" i="5"/>
  <c r="R859" i="5" l="1"/>
  <c r="G859" i="5" a="1"/>
  <c r="G859" i="5" s="1"/>
  <c r="T859" i="5"/>
  <c r="K859" i="5" a="1"/>
  <c r="K859" i="5" s="1"/>
  <c r="I859" i="5" a="1"/>
  <c r="I859" i="5" s="1"/>
  <c r="M859" i="5" a="1"/>
  <c r="M859" i="5" s="1"/>
  <c r="D859" i="5" a="1"/>
  <c r="D859" i="5" s="1"/>
  <c r="Q859" i="5"/>
  <c r="H859" i="5" a="1"/>
  <c r="H859" i="5" s="1"/>
  <c r="F859" i="5" a="1"/>
  <c r="F859" i="5" s="1"/>
  <c r="B860" i="5"/>
  <c r="J860" i="5" s="1" a="1"/>
  <c r="J860" i="5" s="1"/>
  <c r="E860" i="5" a="1"/>
  <c r="E860" i="5" s="1"/>
  <c r="V860" i="5" a="1"/>
  <c r="V860" i="5" s="1"/>
  <c r="U860" i="5" a="1"/>
  <c r="U860" i="5" s="1"/>
  <c r="C860" i="5" a="1"/>
  <c r="C860" i="5" s="1"/>
  <c r="L859" i="5" a="1"/>
  <c r="L859" i="5" s="1"/>
  <c r="J859" i="5" a="1"/>
  <c r="J859" i="5" s="1"/>
  <c r="P859" i="5" a="1"/>
  <c r="P859" i="5" s="1"/>
  <c r="N859" i="5" a="1"/>
  <c r="N859" i="5" s="1"/>
  <c r="O859" i="5" a="1"/>
  <c r="O859" i="5" s="1"/>
  <c r="Z860" i="5"/>
  <c r="Y860" i="5"/>
  <c r="X860" i="5"/>
  <c r="W860" i="5"/>
  <c r="A861" i="5" a="1"/>
  <c r="A861" i="5" s="1"/>
  <c r="AC860" i="5"/>
  <c r="AB860" i="5"/>
  <c r="AA860" i="5"/>
  <c r="P860" i="5" l="1" a="1"/>
  <c r="P860" i="5" s="1"/>
  <c r="D860" i="5" a="1"/>
  <c r="D860" i="5" s="1"/>
  <c r="O860" i="5" a="1"/>
  <c r="O860" i="5" s="1"/>
  <c r="S860" i="5"/>
  <c r="I860" i="5" a="1"/>
  <c r="I860" i="5" s="1"/>
  <c r="K860" i="5" a="1"/>
  <c r="K860" i="5" s="1"/>
  <c r="N860" i="5" a="1"/>
  <c r="N860" i="5" s="1"/>
  <c r="M860" i="5" a="1"/>
  <c r="M860" i="5" s="1"/>
  <c r="T860" i="5"/>
  <c r="G860" i="5" a="1"/>
  <c r="G860" i="5" s="1"/>
  <c r="Q860" i="5"/>
  <c r="E861" i="5" a="1"/>
  <c r="E861" i="5" s="1"/>
  <c r="V861" i="5" a="1"/>
  <c r="V861" i="5" s="1"/>
  <c r="U861" i="5" a="1"/>
  <c r="U861" i="5" s="1"/>
  <c r="C861" i="5" a="1"/>
  <c r="C861" i="5" s="1"/>
  <c r="B861" i="5"/>
  <c r="I861" i="5" s="1" a="1"/>
  <c r="I861" i="5" s="1"/>
  <c r="H860" i="5" a="1"/>
  <c r="H860" i="5" s="1"/>
  <c r="R860" i="5"/>
  <c r="F860" i="5" a="1"/>
  <c r="F860" i="5" s="1"/>
  <c r="L860" i="5" a="1"/>
  <c r="L860" i="5" s="1"/>
  <c r="A862" i="5" a="1"/>
  <c r="A862" i="5" s="1"/>
  <c r="AC861" i="5"/>
  <c r="AB861" i="5"/>
  <c r="AA861" i="5"/>
  <c r="Z861" i="5"/>
  <c r="Y861" i="5"/>
  <c r="X861" i="5"/>
  <c r="W861" i="5"/>
  <c r="B862" i="5" l="1"/>
  <c r="T862" i="5" s="1"/>
  <c r="E862" i="5" a="1"/>
  <c r="E862" i="5" s="1"/>
  <c r="V862" i="5" a="1"/>
  <c r="V862" i="5" s="1"/>
  <c r="C862" i="5" a="1"/>
  <c r="C862" i="5" s="1"/>
  <c r="U862" i="5" a="1"/>
  <c r="U862" i="5" s="1"/>
  <c r="S861" i="5"/>
  <c r="M861" i="5" a="1"/>
  <c r="M861" i="5" s="1"/>
  <c r="J861" i="5" a="1"/>
  <c r="J861" i="5" s="1"/>
  <c r="D861" i="5" a="1"/>
  <c r="D861" i="5" s="1"/>
  <c r="Q861" i="5"/>
  <c r="H861" i="5" a="1"/>
  <c r="H861" i="5" s="1"/>
  <c r="T861" i="5"/>
  <c r="L861" i="5" a="1"/>
  <c r="L861" i="5" s="1"/>
  <c r="P861" i="5" a="1"/>
  <c r="P861" i="5" s="1"/>
  <c r="F861" i="5" a="1"/>
  <c r="F861" i="5" s="1"/>
  <c r="G861" i="5" a="1"/>
  <c r="G861" i="5" s="1"/>
  <c r="N861" i="5" a="1"/>
  <c r="N861" i="5" s="1"/>
  <c r="K861" i="5" a="1"/>
  <c r="K861" i="5" s="1"/>
  <c r="R861" i="5"/>
  <c r="O861" i="5" a="1"/>
  <c r="O861" i="5" s="1"/>
  <c r="Z862" i="5"/>
  <c r="Y862" i="5"/>
  <c r="X862" i="5"/>
  <c r="W862" i="5"/>
  <c r="A863" i="5" a="1"/>
  <c r="A863" i="5" s="1"/>
  <c r="AC862" i="5"/>
  <c r="AB862" i="5"/>
  <c r="AA862" i="5"/>
  <c r="K862" i="5" l="1" a="1"/>
  <c r="K862" i="5" s="1"/>
  <c r="I862" i="5" a="1"/>
  <c r="I862" i="5" s="1"/>
  <c r="N862" i="5" a="1"/>
  <c r="N862" i="5" s="1"/>
  <c r="O862" i="5" a="1"/>
  <c r="O862" i="5" s="1"/>
  <c r="S862" i="5"/>
  <c r="F862" i="5" a="1"/>
  <c r="F862" i="5" s="1"/>
  <c r="G862" i="5" a="1"/>
  <c r="G862" i="5" s="1"/>
  <c r="D862" i="5" a="1"/>
  <c r="D862" i="5" s="1"/>
  <c r="J862" i="5" a="1"/>
  <c r="J862" i="5" s="1"/>
  <c r="H862" i="5" a="1"/>
  <c r="H862" i="5" s="1"/>
  <c r="L862" i="5" a="1"/>
  <c r="L862" i="5" s="1"/>
  <c r="M862" i="5" a="1"/>
  <c r="M862" i="5" s="1"/>
  <c r="Q862" i="5"/>
  <c r="R862" i="5"/>
  <c r="V863" i="5" a="1"/>
  <c r="V863" i="5" s="1"/>
  <c r="U863" i="5" a="1"/>
  <c r="U863" i="5" s="1"/>
  <c r="C863" i="5" a="1"/>
  <c r="C863" i="5" s="1"/>
  <c r="B863" i="5"/>
  <c r="G863" i="5" s="1" a="1"/>
  <c r="G863" i="5" s="1"/>
  <c r="E863" i="5" a="1"/>
  <c r="E863" i="5" s="1"/>
  <c r="P862" i="5" a="1"/>
  <c r="P862" i="5" s="1"/>
  <c r="A864" i="5" a="1"/>
  <c r="A864" i="5" s="1"/>
  <c r="AC863" i="5"/>
  <c r="AB863" i="5"/>
  <c r="AA863" i="5"/>
  <c r="Z863" i="5"/>
  <c r="Y863" i="5"/>
  <c r="X863" i="5"/>
  <c r="W863" i="5"/>
  <c r="I863" i="5" l="1" a="1"/>
  <c r="I863" i="5" s="1"/>
  <c r="M863" i="5" a="1"/>
  <c r="M863" i="5" s="1"/>
  <c r="K863" i="5" a="1"/>
  <c r="K863" i="5" s="1"/>
  <c r="O863" i="5" a="1"/>
  <c r="O863" i="5" s="1"/>
  <c r="F863" i="5" a="1"/>
  <c r="F863" i="5" s="1"/>
  <c r="J863" i="5" a="1"/>
  <c r="J863" i="5" s="1"/>
  <c r="N863" i="5" a="1"/>
  <c r="N863" i="5" s="1"/>
  <c r="S863" i="5"/>
  <c r="D863" i="5" a="1"/>
  <c r="D863" i="5" s="1"/>
  <c r="H863" i="5" a="1"/>
  <c r="H863" i="5" s="1"/>
  <c r="T863" i="5"/>
  <c r="L863" i="5" a="1"/>
  <c r="L863" i="5" s="1"/>
  <c r="Q863" i="5"/>
  <c r="P863" i="5" a="1"/>
  <c r="P863" i="5" s="1"/>
  <c r="V864" i="5" a="1"/>
  <c r="V864" i="5" s="1"/>
  <c r="U864" i="5" a="1"/>
  <c r="U864" i="5" s="1"/>
  <c r="C864" i="5" a="1"/>
  <c r="C864" i="5" s="1"/>
  <c r="B864" i="5"/>
  <c r="P864" i="5" s="1" a="1"/>
  <c r="P864" i="5" s="1"/>
  <c r="E864" i="5" a="1"/>
  <c r="E864" i="5" s="1"/>
  <c r="R863" i="5"/>
  <c r="Z864" i="5"/>
  <c r="Y864" i="5"/>
  <c r="X864" i="5"/>
  <c r="W864" i="5"/>
  <c r="A865" i="5" a="1"/>
  <c r="A865" i="5" s="1"/>
  <c r="AC864" i="5"/>
  <c r="AB864" i="5"/>
  <c r="AA864" i="5"/>
  <c r="R864" i="5" l="1"/>
  <c r="Q864" i="5"/>
  <c r="S864" i="5"/>
  <c r="I864" i="5" a="1"/>
  <c r="I864" i="5" s="1"/>
  <c r="F864" i="5" a="1"/>
  <c r="F864" i="5" s="1"/>
  <c r="G864" i="5" a="1"/>
  <c r="G864" i="5" s="1"/>
  <c r="K864" i="5" a="1"/>
  <c r="K864" i="5" s="1"/>
  <c r="N864" i="5" a="1"/>
  <c r="N864" i="5" s="1"/>
  <c r="O864" i="5" a="1"/>
  <c r="O864" i="5" s="1"/>
  <c r="D864" i="5" a="1"/>
  <c r="D864" i="5" s="1"/>
  <c r="T864" i="5"/>
  <c r="H864" i="5" a="1"/>
  <c r="H864" i="5" s="1"/>
  <c r="M864" i="5" a="1"/>
  <c r="M864" i="5" s="1"/>
  <c r="J864" i="5" a="1"/>
  <c r="J864" i="5" s="1"/>
  <c r="L864" i="5" a="1"/>
  <c r="L864" i="5" s="1"/>
  <c r="U865" i="5" a="1"/>
  <c r="U865" i="5" s="1"/>
  <c r="C865" i="5" a="1"/>
  <c r="C865" i="5" s="1"/>
  <c r="E865" i="5" a="1"/>
  <c r="E865" i="5" s="1"/>
  <c r="B865" i="5"/>
  <c r="K865" i="5" s="1" a="1"/>
  <c r="K865" i="5" s="1"/>
  <c r="V865" i="5" a="1"/>
  <c r="V865" i="5" s="1"/>
  <c r="A866" i="5" a="1"/>
  <c r="A866" i="5" s="1"/>
  <c r="AC865" i="5"/>
  <c r="AB865" i="5"/>
  <c r="AA865" i="5"/>
  <c r="Z865" i="5"/>
  <c r="Y865" i="5"/>
  <c r="X865" i="5"/>
  <c r="W865" i="5"/>
  <c r="F865" i="5" l="1" a="1"/>
  <c r="F865" i="5" s="1"/>
  <c r="H865" i="5" a="1"/>
  <c r="H865" i="5" s="1"/>
  <c r="R865" i="5"/>
  <c r="O865" i="5" a="1"/>
  <c r="O865" i="5" s="1"/>
  <c r="J865" i="5" a="1"/>
  <c r="J865" i="5" s="1"/>
  <c r="N865" i="5" a="1"/>
  <c r="N865" i="5" s="1"/>
  <c r="S865" i="5"/>
  <c r="L865" i="5" a="1"/>
  <c r="L865" i="5" s="1"/>
  <c r="I865" i="5" a="1"/>
  <c r="I865" i="5" s="1"/>
  <c r="U866" i="5" a="1"/>
  <c r="U866" i="5" s="1"/>
  <c r="C866" i="5" a="1"/>
  <c r="C866" i="5" s="1"/>
  <c r="B866" i="5"/>
  <c r="N866" i="5" s="1" a="1"/>
  <c r="N866" i="5" s="1"/>
  <c r="E866" i="5" a="1"/>
  <c r="E866" i="5" s="1"/>
  <c r="V866" i="5" a="1"/>
  <c r="V866" i="5" s="1"/>
  <c r="D865" i="5" a="1"/>
  <c r="D865" i="5" s="1"/>
  <c r="T865" i="5"/>
  <c r="M865" i="5" a="1"/>
  <c r="M865" i="5" s="1"/>
  <c r="G865" i="5" a="1"/>
  <c r="G865" i="5" s="1"/>
  <c r="P865" i="5" a="1"/>
  <c r="P865" i="5" s="1"/>
  <c r="Q865" i="5"/>
  <c r="Z866" i="5"/>
  <c r="Y866" i="5"/>
  <c r="X866" i="5"/>
  <c r="W866" i="5"/>
  <c r="A867" i="5" a="1"/>
  <c r="A867" i="5" s="1"/>
  <c r="AC866" i="5"/>
  <c r="AB866" i="5"/>
  <c r="AA866" i="5"/>
  <c r="M866" i="5" l="1" a="1"/>
  <c r="M866" i="5" s="1"/>
  <c r="D866" i="5" a="1"/>
  <c r="D866" i="5" s="1"/>
  <c r="S866" i="5"/>
  <c r="T866" i="5"/>
  <c r="P866" i="5" a="1"/>
  <c r="P866" i="5" s="1"/>
  <c r="H866" i="5" a="1"/>
  <c r="H866" i="5" s="1"/>
  <c r="R866" i="5"/>
  <c r="Q866" i="5"/>
  <c r="G866" i="5" a="1"/>
  <c r="G866" i="5" s="1"/>
  <c r="I866" i="5" a="1"/>
  <c r="I866" i="5" s="1"/>
  <c r="F866" i="5" a="1"/>
  <c r="F866" i="5" s="1"/>
  <c r="K866" i="5" a="1"/>
  <c r="K866" i="5" s="1"/>
  <c r="E867" i="5" a="1"/>
  <c r="E867" i="5" s="1"/>
  <c r="V867" i="5" a="1"/>
  <c r="V867" i="5" s="1"/>
  <c r="U867" i="5" a="1"/>
  <c r="U867" i="5" s="1"/>
  <c r="C867" i="5" a="1"/>
  <c r="C867" i="5" s="1"/>
  <c r="B867" i="5"/>
  <c r="G867" i="5" s="1" a="1"/>
  <c r="G867" i="5" s="1"/>
  <c r="J866" i="5" a="1"/>
  <c r="J866" i="5" s="1"/>
  <c r="O866" i="5" a="1"/>
  <c r="O866" i="5" s="1"/>
  <c r="L866" i="5" a="1"/>
  <c r="L866" i="5" s="1"/>
  <c r="A868" i="5" a="1"/>
  <c r="A868" i="5" s="1"/>
  <c r="AC867" i="5"/>
  <c r="AB867" i="5"/>
  <c r="AA867" i="5"/>
  <c r="Z867" i="5"/>
  <c r="Y867" i="5"/>
  <c r="X867" i="5"/>
  <c r="W867" i="5"/>
  <c r="M867" i="5" l="1" a="1"/>
  <c r="M867" i="5" s="1"/>
  <c r="T867" i="5"/>
  <c r="I867" i="5" a="1"/>
  <c r="I867" i="5" s="1"/>
  <c r="Q867" i="5"/>
  <c r="H867" i="5" a="1"/>
  <c r="H867" i="5" s="1"/>
  <c r="F867" i="5" a="1"/>
  <c r="F867" i="5" s="1"/>
  <c r="D867" i="5" a="1"/>
  <c r="D867" i="5" s="1"/>
  <c r="L867" i="5" a="1"/>
  <c r="L867" i="5" s="1"/>
  <c r="J867" i="5" a="1"/>
  <c r="J867" i="5" s="1"/>
  <c r="K867" i="5" a="1"/>
  <c r="K867" i="5" s="1"/>
  <c r="O867" i="5" a="1"/>
  <c r="O867" i="5" s="1"/>
  <c r="P867" i="5" a="1"/>
  <c r="P867" i="5" s="1"/>
  <c r="N867" i="5" a="1"/>
  <c r="N867" i="5" s="1"/>
  <c r="B868" i="5"/>
  <c r="J868" i="5" s="1" a="1"/>
  <c r="J868" i="5" s="1"/>
  <c r="E868" i="5" a="1"/>
  <c r="E868" i="5" s="1"/>
  <c r="V868" i="5" a="1"/>
  <c r="V868" i="5" s="1"/>
  <c r="U868" i="5" a="1"/>
  <c r="U868" i="5" s="1"/>
  <c r="C868" i="5" a="1"/>
  <c r="C868" i="5" s="1"/>
  <c r="R867" i="5"/>
  <c r="S867" i="5"/>
  <c r="Z868" i="5"/>
  <c r="Y868" i="5"/>
  <c r="X868" i="5"/>
  <c r="W868" i="5"/>
  <c r="A869" i="5" a="1"/>
  <c r="A869" i="5" s="1"/>
  <c r="AC868" i="5"/>
  <c r="AB868" i="5"/>
  <c r="AA868" i="5"/>
  <c r="S868" i="5" l="1"/>
  <c r="P868" i="5" a="1"/>
  <c r="P868" i="5" s="1"/>
  <c r="D868" i="5" a="1"/>
  <c r="D868" i="5" s="1"/>
  <c r="I868" i="5" a="1"/>
  <c r="I868" i="5" s="1"/>
  <c r="O868" i="5" a="1"/>
  <c r="O868" i="5" s="1"/>
  <c r="G868" i="5" a="1"/>
  <c r="G868" i="5" s="1"/>
  <c r="E869" i="5" a="1"/>
  <c r="E869" i="5" s="1"/>
  <c r="V869" i="5" a="1"/>
  <c r="V869" i="5" s="1"/>
  <c r="U869" i="5" a="1"/>
  <c r="U869" i="5" s="1"/>
  <c r="C869" i="5" a="1"/>
  <c r="C869" i="5" s="1"/>
  <c r="B869" i="5"/>
  <c r="Q869" i="5" s="1"/>
  <c r="L868" i="5" a="1"/>
  <c r="L868" i="5" s="1"/>
  <c r="N868" i="5" a="1"/>
  <c r="N868" i="5" s="1"/>
  <c r="M868" i="5" a="1"/>
  <c r="M868" i="5" s="1"/>
  <c r="T868" i="5"/>
  <c r="H868" i="5" a="1"/>
  <c r="H868" i="5" s="1"/>
  <c r="Q868" i="5"/>
  <c r="R868" i="5"/>
  <c r="F868" i="5" a="1"/>
  <c r="F868" i="5" s="1"/>
  <c r="K868" i="5" a="1"/>
  <c r="K868" i="5" s="1"/>
  <c r="A870" i="5" a="1"/>
  <c r="A870" i="5" s="1"/>
  <c r="AC869" i="5"/>
  <c r="AB869" i="5"/>
  <c r="AA869" i="5"/>
  <c r="Z869" i="5"/>
  <c r="Y869" i="5"/>
  <c r="X869" i="5"/>
  <c r="W869" i="5"/>
  <c r="H869" i="5" l="1" a="1"/>
  <c r="H869" i="5" s="1"/>
  <c r="T869" i="5"/>
  <c r="L869" i="5" a="1"/>
  <c r="L869" i="5" s="1"/>
  <c r="P869" i="5" a="1"/>
  <c r="P869" i="5" s="1"/>
  <c r="S869" i="5"/>
  <c r="G869" i="5" a="1"/>
  <c r="G869" i="5" s="1"/>
  <c r="B870" i="5"/>
  <c r="R870" i="5" s="1"/>
  <c r="E870" i="5" a="1"/>
  <c r="E870" i="5" s="1"/>
  <c r="V870" i="5" a="1"/>
  <c r="V870" i="5" s="1"/>
  <c r="C870" i="5" a="1"/>
  <c r="C870" i="5" s="1"/>
  <c r="U870" i="5" a="1"/>
  <c r="U870" i="5" s="1"/>
  <c r="F869" i="5" a="1"/>
  <c r="F869" i="5" s="1"/>
  <c r="K869" i="5" a="1"/>
  <c r="K869" i="5" s="1"/>
  <c r="R869" i="5"/>
  <c r="O869" i="5" a="1"/>
  <c r="O869" i="5" s="1"/>
  <c r="I869" i="5" a="1"/>
  <c r="I869" i="5" s="1"/>
  <c r="J869" i="5" a="1"/>
  <c r="J869" i="5" s="1"/>
  <c r="M869" i="5" a="1"/>
  <c r="M869" i="5" s="1"/>
  <c r="N869" i="5" a="1"/>
  <c r="N869" i="5" s="1"/>
  <c r="D869" i="5" a="1"/>
  <c r="D869" i="5" s="1"/>
  <c r="Z870" i="5"/>
  <c r="Y870" i="5"/>
  <c r="X870" i="5"/>
  <c r="W870" i="5"/>
  <c r="A871" i="5" a="1"/>
  <c r="A871" i="5" s="1"/>
  <c r="AC870" i="5"/>
  <c r="AB870" i="5"/>
  <c r="AA870" i="5"/>
  <c r="L870" i="5" l="1" a="1"/>
  <c r="L870" i="5" s="1"/>
  <c r="N870" i="5" a="1"/>
  <c r="N870" i="5" s="1"/>
  <c r="P870" i="5" a="1"/>
  <c r="P870" i="5" s="1"/>
  <c r="T870" i="5"/>
  <c r="O870" i="5" a="1"/>
  <c r="O870" i="5" s="1"/>
  <c r="F870" i="5" a="1"/>
  <c r="F870" i="5" s="1"/>
  <c r="G870" i="5" a="1"/>
  <c r="G870" i="5" s="1"/>
  <c r="I870" i="5" a="1"/>
  <c r="I870" i="5" s="1"/>
  <c r="K870" i="5" a="1"/>
  <c r="K870" i="5" s="1"/>
  <c r="S870" i="5"/>
  <c r="M870" i="5" a="1"/>
  <c r="M870" i="5" s="1"/>
  <c r="D870" i="5" a="1"/>
  <c r="D870" i="5" s="1"/>
  <c r="Q870" i="5"/>
  <c r="V871" i="5" a="1"/>
  <c r="V871" i="5" s="1"/>
  <c r="U871" i="5" a="1"/>
  <c r="U871" i="5" s="1"/>
  <c r="C871" i="5" a="1"/>
  <c r="C871" i="5" s="1"/>
  <c r="B871" i="5"/>
  <c r="D871" i="5" s="1" a="1"/>
  <c r="D871" i="5" s="1"/>
  <c r="E871" i="5" a="1"/>
  <c r="E871" i="5" s="1"/>
  <c r="J870" i="5" a="1"/>
  <c r="J870" i="5" s="1"/>
  <c r="H870" i="5" a="1"/>
  <c r="H870" i="5" s="1"/>
  <c r="A872" i="5" a="1"/>
  <c r="A872" i="5" s="1"/>
  <c r="AC871" i="5"/>
  <c r="AB871" i="5"/>
  <c r="AA871" i="5"/>
  <c r="Z871" i="5"/>
  <c r="Y871" i="5"/>
  <c r="X871" i="5"/>
  <c r="W871" i="5"/>
  <c r="L871" i="5" l="1" a="1"/>
  <c r="L871" i="5" s="1"/>
  <c r="I871" i="5" a="1"/>
  <c r="I871" i="5" s="1"/>
  <c r="T871" i="5"/>
  <c r="H871" i="5" a="1"/>
  <c r="H871" i="5" s="1"/>
  <c r="P871" i="5" a="1"/>
  <c r="P871" i="5" s="1"/>
  <c r="R871" i="5"/>
  <c r="G871" i="5" a="1"/>
  <c r="G871" i="5" s="1"/>
  <c r="E872" i="5" a="1"/>
  <c r="E872" i="5" s="1"/>
  <c r="V872" i="5" a="1"/>
  <c r="V872" i="5" s="1"/>
  <c r="U872" i="5" a="1"/>
  <c r="U872" i="5" s="1"/>
  <c r="C872" i="5" a="1"/>
  <c r="C872" i="5" s="1"/>
  <c r="B872" i="5"/>
  <c r="K872" i="5" s="1" a="1"/>
  <c r="K872" i="5" s="1"/>
  <c r="F871" i="5" a="1"/>
  <c r="F871" i="5" s="1"/>
  <c r="K871" i="5" a="1"/>
  <c r="K871" i="5" s="1"/>
  <c r="J871" i="5" a="1"/>
  <c r="J871" i="5" s="1"/>
  <c r="O871" i="5" a="1"/>
  <c r="O871" i="5" s="1"/>
  <c r="M871" i="5" a="1"/>
  <c r="M871" i="5" s="1"/>
  <c r="N871" i="5" a="1"/>
  <c r="N871" i="5" s="1"/>
  <c r="Q871" i="5"/>
  <c r="S871" i="5"/>
  <c r="Z872" i="5"/>
  <c r="Y872" i="5"/>
  <c r="X872" i="5"/>
  <c r="W872" i="5"/>
  <c r="A873" i="5" a="1"/>
  <c r="A873" i="5" s="1"/>
  <c r="AC872" i="5"/>
  <c r="AB872" i="5"/>
  <c r="AA872" i="5"/>
  <c r="I872" i="5" l="1" a="1"/>
  <c r="I872" i="5" s="1"/>
  <c r="S872" i="5"/>
  <c r="O872" i="5" a="1"/>
  <c r="O872" i="5" s="1"/>
  <c r="M872" i="5" a="1"/>
  <c r="M872" i="5" s="1"/>
  <c r="U873" i="5" a="1"/>
  <c r="U873" i="5" s="1"/>
  <c r="C873" i="5" a="1"/>
  <c r="C873" i="5" s="1"/>
  <c r="B873" i="5"/>
  <c r="S873" i="5" s="1"/>
  <c r="E873" i="5" a="1"/>
  <c r="E873" i="5" s="1"/>
  <c r="V873" i="5" a="1"/>
  <c r="V873" i="5" s="1"/>
  <c r="T872" i="5"/>
  <c r="D872" i="5" a="1"/>
  <c r="D872" i="5" s="1"/>
  <c r="Q872" i="5"/>
  <c r="F872" i="5" a="1"/>
  <c r="F872" i="5" s="1"/>
  <c r="H872" i="5" a="1"/>
  <c r="H872" i="5" s="1"/>
  <c r="R872" i="5"/>
  <c r="J872" i="5" a="1"/>
  <c r="J872" i="5" s="1"/>
  <c r="L872" i="5" a="1"/>
  <c r="L872" i="5" s="1"/>
  <c r="P872" i="5" a="1"/>
  <c r="P872" i="5" s="1"/>
  <c r="G872" i="5" a="1"/>
  <c r="G872" i="5" s="1"/>
  <c r="N872" i="5" a="1"/>
  <c r="N872" i="5" s="1"/>
  <c r="A874" i="5" a="1"/>
  <c r="A874" i="5" s="1"/>
  <c r="AC873" i="5"/>
  <c r="AB873" i="5"/>
  <c r="AA873" i="5"/>
  <c r="Z873" i="5"/>
  <c r="Y873" i="5"/>
  <c r="X873" i="5"/>
  <c r="W873" i="5"/>
  <c r="Q873" i="5" l="1"/>
  <c r="L873" i="5" a="1"/>
  <c r="L873" i="5" s="1"/>
  <c r="T873" i="5"/>
  <c r="I873" i="5" a="1"/>
  <c r="I873" i="5" s="1"/>
  <c r="M873" i="5" a="1"/>
  <c r="M873" i="5" s="1"/>
  <c r="P873" i="5" a="1"/>
  <c r="P873" i="5" s="1"/>
  <c r="R873" i="5"/>
  <c r="G873" i="5" a="1"/>
  <c r="G873" i="5" s="1"/>
  <c r="D873" i="5" a="1"/>
  <c r="D873" i="5" s="1"/>
  <c r="F873" i="5" a="1"/>
  <c r="F873" i="5" s="1"/>
  <c r="K873" i="5" a="1"/>
  <c r="K873" i="5" s="1"/>
  <c r="J873" i="5" a="1"/>
  <c r="J873" i="5" s="1"/>
  <c r="O873" i="5" a="1"/>
  <c r="O873" i="5" s="1"/>
  <c r="V874" i="5" a="1"/>
  <c r="V874" i="5" s="1"/>
  <c r="U874" i="5" a="1"/>
  <c r="U874" i="5" s="1"/>
  <c r="C874" i="5" a="1"/>
  <c r="C874" i="5" s="1"/>
  <c r="B874" i="5"/>
  <c r="G874" i="5" s="1" a="1"/>
  <c r="G874" i="5" s="1"/>
  <c r="E874" i="5" a="1"/>
  <c r="E874" i="5" s="1"/>
  <c r="H873" i="5" a="1"/>
  <c r="H873" i="5" s="1"/>
  <c r="N873" i="5" a="1"/>
  <c r="N873" i="5" s="1"/>
  <c r="Z874" i="5"/>
  <c r="Y874" i="5"/>
  <c r="X874" i="5"/>
  <c r="W874" i="5"/>
  <c r="A875" i="5" a="1"/>
  <c r="A875" i="5" s="1"/>
  <c r="AC874" i="5"/>
  <c r="AB874" i="5"/>
  <c r="AA874" i="5"/>
  <c r="O874" i="5" l="1" a="1"/>
  <c r="O874" i="5" s="1"/>
  <c r="J874" i="5" a="1"/>
  <c r="J874" i="5" s="1"/>
  <c r="N874" i="5" a="1"/>
  <c r="N874" i="5" s="1"/>
  <c r="F874" i="5" a="1"/>
  <c r="F874" i="5" s="1"/>
  <c r="K874" i="5" a="1"/>
  <c r="K874" i="5" s="1"/>
  <c r="I874" i="5" a="1"/>
  <c r="I874" i="5" s="1"/>
  <c r="S874" i="5"/>
  <c r="D874" i="5" a="1"/>
  <c r="D874" i="5" s="1"/>
  <c r="E875" i="5" a="1"/>
  <c r="E875" i="5" s="1"/>
  <c r="V875" i="5" a="1"/>
  <c r="V875" i="5" s="1"/>
  <c r="U875" i="5" a="1"/>
  <c r="U875" i="5" s="1"/>
  <c r="C875" i="5" a="1"/>
  <c r="C875" i="5" s="1"/>
  <c r="B875" i="5"/>
  <c r="F875" i="5" s="1" a="1"/>
  <c r="F875" i="5" s="1"/>
  <c r="H874" i="5" a="1"/>
  <c r="H874" i="5" s="1"/>
  <c r="Q874" i="5"/>
  <c r="L874" i="5" a="1"/>
  <c r="L874" i="5" s="1"/>
  <c r="R874" i="5"/>
  <c r="P874" i="5" a="1"/>
  <c r="P874" i="5" s="1"/>
  <c r="M874" i="5" a="1"/>
  <c r="M874" i="5" s="1"/>
  <c r="T874" i="5"/>
  <c r="A876" i="5" a="1"/>
  <c r="A876" i="5" s="1"/>
  <c r="AC875" i="5"/>
  <c r="AB875" i="5"/>
  <c r="AA875" i="5"/>
  <c r="Z875" i="5"/>
  <c r="Y875" i="5"/>
  <c r="X875" i="5"/>
  <c r="W875" i="5"/>
  <c r="O875" i="5" l="1" a="1"/>
  <c r="O875" i="5" s="1"/>
  <c r="P875" i="5" a="1"/>
  <c r="P875" i="5" s="1"/>
  <c r="J875" i="5" a="1"/>
  <c r="J875" i="5" s="1"/>
  <c r="N875" i="5" a="1"/>
  <c r="N875" i="5" s="1"/>
  <c r="T875" i="5"/>
  <c r="S875" i="5"/>
  <c r="I875" i="5" a="1"/>
  <c r="I875" i="5" s="1"/>
  <c r="M875" i="5" a="1"/>
  <c r="M875" i="5" s="1"/>
  <c r="D875" i="5" a="1"/>
  <c r="D875" i="5" s="1"/>
  <c r="Q875" i="5"/>
  <c r="U876" i="5" a="1"/>
  <c r="U876" i="5" s="1"/>
  <c r="C876" i="5" a="1"/>
  <c r="C876" i="5" s="1"/>
  <c r="B876" i="5"/>
  <c r="S876" i="5" s="1"/>
  <c r="E876" i="5" a="1"/>
  <c r="E876" i="5" s="1"/>
  <c r="V876" i="5" a="1"/>
  <c r="V876" i="5" s="1"/>
  <c r="G875" i="5" a="1"/>
  <c r="G875" i="5" s="1"/>
  <c r="H875" i="5" a="1"/>
  <c r="H875" i="5" s="1"/>
  <c r="R875" i="5"/>
  <c r="K875" i="5" a="1"/>
  <c r="K875" i="5" s="1"/>
  <c r="L875" i="5" a="1"/>
  <c r="L875" i="5" s="1"/>
  <c r="Z876" i="5"/>
  <c r="Y876" i="5"/>
  <c r="X876" i="5"/>
  <c r="W876" i="5"/>
  <c r="A877" i="5" a="1"/>
  <c r="A877" i="5" s="1"/>
  <c r="AC876" i="5"/>
  <c r="AB876" i="5"/>
  <c r="AA876" i="5"/>
  <c r="T876" i="5" l="1"/>
  <c r="M876" i="5" a="1"/>
  <c r="M876" i="5" s="1"/>
  <c r="G876" i="5" a="1"/>
  <c r="G876" i="5" s="1"/>
  <c r="P876" i="5" a="1"/>
  <c r="P876" i="5" s="1"/>
  <c r="I876" i="5" a="1"/>
  <c r="I876" i="5" s="1"/>
  <c r="D876" i="5" a="1"/>
  <c r="D876" i="5" s="1"/>
  <c r="Q876" i="5"/>
  <c r="K876" i="5" a="1"/>
  <c r="K876" i="5" s="1"/>
  <c r="R876" i="5"/>
  <c r="H876" i="5" a="1"/>
  <c r="H876" i="5" s="1"/>
  <c r="F876" i="5" a="1"/>
  <c r="F876" i="5" s="1"/>
  <c r="L876" i="5" a="1"/>
  <c r="L876" i="5" s="1"/>
  <c r="J876" i="5" a="1"/>
  <c r="J876" i="5" s="1"/>
  <c r="O876" i="5" a="1"/>
  <c r="O876" i="5" s="1"/>
  <c r="N876" i="5" a="1"/>
  <c r="N876" i="5" s="1"/>
  <c r="E877" i="5" a="1"/>
  <c r="E877" i="5" s="1"/>
  <c r="V877" i="5" a="1"/>
  <c r="V877" i="5" s="1"/>
  <c r="U877" i="5" a="1"/>
  <c r="U877" i="5" s="1"/>
  <c r="C877" i="5" a="1"/>
  <c r="C877" i="5" s="1"/>
  <c r="B877" i="5"/>
  <c r="Q877" i="5" s="1"/>
  <c r="A878" i="5" a="1"/>
  <c r="A878" i="5" s="1"/>
  <c r="AC877" i="5"/>
  <c r="AB877" i="5"/>
  <c r="AA877" i="5"/>
  <c r="Z877" i="5"/>
  <c r="Y877" i="5"/>
  <c r="X877" i="5"/>
  <c r="W877" i="5"/>
  <c r="H877" i="5" l="1" a="1"/>
  <c r="H877" i="5" s="1"/>
  <c r="P877" i="5" a="1"/>
  <c r="P877" i="5" s="1"/>
  <c r="T877" i="5"/>
  <c r="G877" i="5" a="1"/>
  <c r="G877" i="5" s="1"/>
  <c r="F877" i="5" a="1"/>
  <c r="F877" i="5" s="1"/>
  <c r="O877" i="5" a="1"/>
  <c r="O877" i="5" s="1"/>
  <c r="I877" i="5" a="1"/>
  <c r="I877" i="5" s="1"/>
  <c r="B878" i="5"/>
  <c r="S878" i="5" s="1"/>
  <c r="E878" i="5" a="1"/>
  <c r="E878" i="5" s="1"/>
  <c r="V878" i="5" a="1"/>
  <c r="V878" i="5" s="1"/>
  <c r="U878" i="5" a="1"/>
  <c r="U878" i="5" s="1"/>
  <c r="C878" i="5" a="1"/>
  <c r="C878" i="5" s="1"/>
  <c r="R877" i="5"/>
  <c r="S877" i="5"/>
  <c r="J877" i="5" a="1"/>
  <c r="J877" i="5" s="1"/>
  <c r="M877" i="5" a="1"/>
  <c r="M877" i="5" s="1"/>
  <c r="L877" i="5" a="1"/>
  <c r="L877" i="5" s="1"/>
  <c r="K877" i="5" a="1"/>
  <c r="K877" i="5" s="1"/>
  <c r="N877" i="5" a="1"/>
  <c r="N877" i="5" s="1"/>
  <c r="D877" i="5" a="1"/>
  <c r="D877" i="5" s="1"/>
  <c r="Z878" i="5"/>
  <c r="Y878" i="5"/>
  <c r="X878" i="5"/>
  <c r="W878" i="5"/>
  <c r="A879" i="5" a="1"/>
  <c r="A879" i="5" s="1"/>
  <c r="AC878" i="5"/>
  <c r="AB878" i="5"/>
  <c r="AA878" i="5"/>
  <c r="G878" i="5" l="1" a="1"/>
  <c r="G878" i="5" s="1"/>
  <c r="K878" i="5" a="1"/>
  <c r="K878" i="5" s="1"/>
  <c r="L878" i="5" a="1"/>
  <c r="L878" i="5" s="1"/>
  <c r="P878" i="5" a="1"/>
  <c r="P878" i="5" s="1"/>
  <c r="O878" i="5" a="1"/>
  <c r="O878" i="5" s="1"/>
  <c r="I878" i="5" a="1"/>
  <c r="I878" i="5" s="1"/>
  <c r="M878" i="5" a="1"/>
  <c r="M878" i="5" s="1"/>
  <c r="D878" i="5" a="1"/>
  <c r="D878" i="5" s="1"/>
  <c r="Q878" i="5"/>
  <c r="H878" i="5" a="1"/>
  <c r="H878" i="5" s="1"/>
  <c r="F878" i="5" a="1"/>
  <c r="F878" i="5" s="1"/>
  <c r="T878" i="5"/>
  <c r="R878" i="5"/>
  <c r="J878" i="5" a="1"/>
  <c r="J878" i="5" s="1"/>
  <c r="N878" i="5" a="1"/>
  <c r="N878" i="5" s="1"/>
  <c r="V879" i="5" a="1"/>
  <c r="V879" i="5" s="1"/>
  <c r="U879" i="5" a="1"/>
  <c r="U879" i="5" s="1"/>
  <c r="C879" i="5" a="1"/>
  <c r="C879" i="5" s="1"/>
  <c r="B879" i="5"/>
  <c r="G879" i="5" s="1" a="1"/>
  <c r="G879" i="5" s="1"/>
  <c r="E879" i="5" a="1"/>
  <c r="E879" i="5" s="1"/>
  <c r="A880" i="5" a="1"/>
  <c r="A880" i="5" s="1"/>
  <c r="AC879" i="5"/>
  <c r="AB879" i="5"/>
  <c r="AA879" i="5"/>
  <c r="Z879" i="5"/>
  <c r="Y879" i="5"/>
  <c r="X879" i="5"/>
  <c r="W879" i="5"/>
  <c r="N879" i="5" l="1" a="1"/>
  <c r="N879" i="5" s="1"/>
  <c r="J879" i="5" a="1"/>
  <c r="J879" i="5" s="1"/>
  <c r="O879" i="5" a="1"/>
  <c r="O879" i="5" s="1"/>
  <c r="F879" i="5" a="1"/>
  <c r="F879" i="5" s="1"/>
  <c r="K879" i="5" a="1"/>
  <c r="K879" i="5" s="1"/>
  <c r="E880" i="5" a="1"/>
  <c r="E880" i="5" s="1"/>
  <c r="V880" i="5" a="1"/>
  <c r="V880" i="5" s="1"/>
  <c r="U880" i="5" a="1"/>
  <c r="U880" i="5" s="1"/>
  <c r="C880" i="5" a="1"/>
  <c r="C880" i="5" s="1"/>
  <c r="B880" i="5"/>
  <c r="L880" i="5" s="1" a="1"/>
  <c r="L880" i="5" s="1"/>
  <c r="M879" i="5" a="1"/>
  <c r="M879" i="5" s="1"/>
  <c r="D879" i="5" a="1"/>
  <c r="D879" i="5" s="1"/>
  <c r="H879" i="5" a="1"/>
  <c r="H879" i="5" s="1"/>
  <c r="Q879" i="5"/>
  <c r="T879" i="5"/>
  <c r="L879" i="5" a="1"/>
  <c r="L879" i="5" s="1"/>
  <c r="I879" i="5" a="1"/>
  <c r="I879" i="5" s="1"/>
  <c r="P879" i="5" a="1"/>
  <c r="P879" i="5" s="1"/>
  <c r="S879" i="5"/>
  <c r="R879" i="5"/>
  <c r="Z880" i="5"/>
  <c r="Y880" i="5"/>
  <c r="X880" i="5"/>
  <c r="W880" i="5"/>
  <c r="A881" i="5" a="1"/>
  <c r="A881" i="5" s="1"/>
  <c r="AC880" i="5"/>
  <c r="AB880" i="5"/>
  <c r="AA880" i="5"/>
  <c r="S880" i="5" l="1"/>
  <c r="I880" i="5" a="1"/>
  <c r="I880" i="5" s="1"/>
  <c r="G880" i="5" a="1"/>
  <c r="G880" i="5" s="1"/>
  <c r="K880" i="5" a="1"/>
  <c r="K880" i="5" s="1"/>
  <c r="O880" i="5" a="1"/>
  <c r="O880" i="5" s="1"/>
  <c r="J880" i="5" a="1"/>
  <c r="J880" i="5" s="1"/>
  <c r="N880" i="5" a="1"/>
  <c r="N880" i="5" s="1"/>
  <c r="P880" i="5" a="1"/>
  <c r="P880" i="5" s="1"/>
  <c r="M880" i="5" a="1"/>
  <c r="M880" i="5" s="1"/>
  <c r="D880" i="5" a="1"/>
  <c r="D880" i="5" s="1"/>
  <c r="Q880" i="5"/>
  <c r="T880" i="5"/>
  <c r="H880" i="5" a="1"/>
  <c r="H880" i="5" s="1"/>
  <c r="R880" i="5"/>
  <c r="U881" i="5" a="1"/>
  <c r="U881" i="5" s="1"/>
  <c r="C881" i="5" a="1"/>
  <c r="C881" i="5" s="1"/>
  <c r="B881" i="5"/>
  <c r="K881" i="5" s="1" a="1"/>
  <c r="K881" i="5" s="1"/>
  <c r="E881" i="5" a="1"/>
  <c r="E881" i="5" s="1"/>
  <c r="V881" i="5" a="1"/>
  <c r="V881" i="5" s="1"/>
  <c r="F880" i="5" a="1"/>
  <c r="F880" i="5" s="1"/>
  <c r="A882" i="5" a="1"/>
  <c r="A882" i="5" s="1"/>
  <c r="AC881" i="5"/>
  <c r="AB881" i="5"/>
  <c r="AA881" i="5"/>
  <c r="Z881" i="5"/>
  <c r="Y881" i="5"/>
  <c r="X881" i="5"/>
  <c r="W881" i="5"/>
  <c r="D881" i="5" l="1" a="1"/>
  <c r="D881" i="5" s="1"/>
  <c r="J881" i="5" a="1"/>
  <c r="J881" i="5" s="1"/>
  <c r="O881" i="5" a="1"/>
  <c r="O881" i="5" s="1"/>
  <c r="N881" i="5" a="1"/>
  <c r="N881" i="5" s="1"/>
  <c r="S881" i="5"/>
  <c r="V882" i="5" a="1"/>
  <c r="V882" i="5" s="1"/>
  <c r="U882" i="5" a="1"/>
  <c r="U882" i="5" s="1"/>
  <c r="C882" i="5" a="1"/>
  <c r="C882" i="5" s="1"/>
  <c r="B882" i="5"/>
  <c r="H882" i="5" s="1" a="1"/>
  <c r="H882" i="5" s="1"/>
  <c r="E882" i="5" a="1"/>
  <c r="E882" i="5" s="1"/>
  <c r="M881" i="5" a="1"/>
  <c r="M881" i="5" s="1"/>
  <c r="T881" i="5"/>
  <c r="H881" i="5" a="1"/>
  <c r="H881" i="5" s="1"/>
  <c r="Q881" i="5"/>
  <c r="L881" i="5" a="1"/>
  <c r="L881" i="5" s="1"/>
  <c r="R881" i="5"/>
  <c r="G881" i="5" a="1"/>
  <c r="G881" i="5" s="1"/>
  <c r="I881" i="5" a="1"/>
  <c r="I881" i="5" s="1"/>
  <c r="P881" i="5" a="1"/>
  <c r="P881" i="5" s="1"/>
  <c r="F881" i="5" a="1"/>
  <c r="F881" i="5" s="1"/>
  <c r="Z882" i="5"/>
  <c r="Y882" i="5"/>
  <c r="X882" i="5"/>
  <c r="W882" i="5"/>
  <c r="A883" i="5" a="1"/>
  <c r="A883" i="5" s="1"/>
  <c r="AC882" i="5"/>
  <c r="AB882" i="5"/>
  <c r="AA882" i="5"/>
  <c r="I882" i="5" l="1" a="1"/>
  <c r="I882" i="5" s="1"/>
  <c r="L882" i="5" a="1"/>
  <c r="L882" i="5" s="1"/>
  <c r="M882" i="5" a="1"/>
  <c r="M882" i="5" s="1"/>
  <c r="T882" i="5"/>
  <c r="P882" i="5" a="1"/>
  <c r="P882" i="5" s="1"/>
  <c r="R882" i="5"/>
  <c r="G882" i="5" a="1"/>
  <c r="G882" i="5" s="1"/>
  <c r="Q882" i="5"/>
  <c r="F882" i="5" a="1"/>
  <c r="F882" i="5" s="1"/>
  <c r="K882" i="5" a="1"/>
  <c r="K882" i="5" s="1"/>
  <c r="J882" i="5" a="1"/>
  <c r="J882" i="5" s="1"/>
  <c r="O882" i="5" a="1"/>
  <c r="O882" i="5" s="1"/>
  <c r="N882" i="5" a="1"/>
  <c r="N882" i="5" s="1"/>
  <c r="S882" i="5"/>
  <c r="D882" i="5" a="1"/>
  <c r="D882" i="5" s="1"/>
  <c r="E883" i="5" a="1"/>
  <c r="E883" i="5" s="1"/>
  <c r="V883" i="5" a="1"/>
  <c r="V883" i="5" s="1"/>
  <c r="U883" i="5" a="1"/>
  <c r="U883" i="5" s="1"/>
  <c r="C883" i="5" a="1"/>
  <c r="C883" i="5" s="1"/>
  <c r="B883" i="5"/>
  <c r="S883" i="5" s="1"/>
  <c r="A884" i="5" a="1"/>
  <c r="A884" i="5" s="1"/>
  <c r="AC883" i="5"/>
  <c r="AB883" i="5"/>
  <c r="AA883" i="5"/>
  <c r="Z883" i="5"/>
  <c r="Y883" i="5"/>
  <c r="X883" i="5"/>
  <c r="W883" i="5"/>
  <c r="K883" i="5" l="1" a="1"/>
  <c r="K883" i="5" s="1"/>
  <c r="I883" i="5" a="1"/>
  <c r="I883" i="5" s="1"/>
  <c r="O883" i="5" a="1"/>
  <c r="O883" i="5" s="1"/>
  <c r="M883" i="5" a="1"/>
  <c r="M883" i="5" s="1"/>
  <c r="D883" i="5" a="1"/>
  <c r="D883" i="5" s="1"/>
  <c r="Q883" i="5"/>
  <c r="H883" i="5" a="1"/>
  <c r="H883" i="5" s="1"/>
  <c r="R883" i="5"/>
  <c r="T883" i="5"/>
  <c r="L883" i="5" a="1"/>
  <c r="L883" i="5" s="1"/>
  <c r="F883" i="5" a="1"/>
  <c r="F883" i="5" s="1"/>
  <c r="U884" i="5" a="1"/>
  <c r="U884" i="5" s="1"/>
  <c r="C884" i="5" a="1"/>
  <c r="C884" i="5" s="1"/>
  <c r="B884" i="5"/>
  <c r="S884" i="5" s="1"/>
  <c r="E884" i="5" a="1"/>
  <c r="E884" i="5" s="1"/>
  <c r="V884" i="5" a="1"/>
  <c r="V884" i="5" s="1"/>
  <c r="P883" i="5" a="1"/>
  <c r="P883" i="5" s="1"/>
  <c r="J883" i="5" a="1"/>
  <c r="J883" i="5" s="1"/>
  <c r="N883" i="5" a="1"/>
  <c r="N883" i="5" s="1"/>
  <c r="G883" i="5" a="1"/>
  <c r="G883" i="5" s="1"/>
  <c r="Z884" i="5"/>
  <c r="Y884" i="5"/>
  <c r="X884" i="5"/>
  <c r="W884" i="5"/>
  <c r="A885" i="5" a="1"/>
  <c r="A885" i="5" s="1"/>
  <c r="AC884" i="5"/>
  <c r="AB884" i="5"/>
  <c r="AA884" i="5"/>
  <c r="P884" i="5" l="1" a="1"/>
  <c r="P884" i="5" s="1"/>
  <c r="T884" i="5"/>
  <c r="D884" i="5" a="1"/>
  <c r="D884" i="5" s="1"/>
  <c r="G884" i="5" a="1"/>
  <c r="G884" i="5" s="1"/>
  <c r="I884" i="5" a="1"/>
  <c r="I884" i="5" s="1"/>
  <c r="M884" i="5" a="1"/>
  <c r="M884" i="5" s="1"/>
  <c r="Q884" i="5"/>
  <c r="R884" i="5"/>
  <c r="F884" i="5" a="1"/>
  <c r="F884" i="5" s="1"/>
  <c r="K884" i="5" a="1"/>
  <c r="K884" i="5" s="1"/>
  <c r="E885" i="5" a="1"/>
  <c r="E885" i="5" s="1"/>
  <c r="V885" i="5" a="1"/>
  <c r="V885" i="5" s="1"/>
  <c r="U885" i="5" a="1"/>
  <c r="U885" i="5" s="1"/>
  <c r="C885" i="5" a="1"/>
  <c r="C885" i="5" s="1"/>
  <c r="B885" i="5"/>
  <c r="L885" i="5" s="1" a="1"/>
  <c r="L885" i="5" s="1"/>
  <c r="H884" i="5" a="1"/>
  <c r="H884" i="5" s="1"/>
  <c r="J884" i="5" a="1"/>
  <c r="J884" i="5" s="1"/>
  <c r="O884" i="5" a="1"/>
  <c r="O884" i="5" s="1"/>
  <c r="L884" i="5" a="1"/>
  <c r="L884" i="5" s="1"/>
  <c r="N884" i="5" a="1"/>
  <c r="N884" i="5" s="1"/>
  <c r="A886" i="5" a="1"/>
  <c r="A886" i="5" s="1"/>
  <c r="AC885" i="5"/>
  <c r="AB885" i="5"/>
  <c r="AA885" i="5"/>
  <c r="Z885" i="5"/>
  <c r="Y885" i="5"/>
  <c r="X885" i="5"/>
  <c r="W885" i="5"/>
  <c r="G885" i="5" l="1" a="1"/>
  <c r="G885" i="5" s="1"/>
  <c r="K885" i="5" a="1"/>
  <c r="K885" i="5" s="1"/>
  <c r="R885" i="5"/>
  <c r="P885" i="5" a="1"/>
  <c r="P885" i="5" s="1"/>
  <c r="N885" i="5" a="1"/>
  <c r="N885" i="5" s="1"/>
  <c r="S885" i="5"/>
  <c r="O885" i="5" a="1"/>
  <c r="O885" i="5" s="1"/>
  <c r="I885" i="5" a="1"/>
  <c r="I885" i="5" s="1"/>
  <c r="F885" i="5" a="1"/>
  <c r="F885" i="5" s="1"/>
  <c r="M885" i="5" a="1"/>
  <c r="M885" i="5" s="1"/>
  <c r="B886" i="5"/>
  <c r="J886" i="5" s="1" a="1"/>
  <c r="J886" i="5" s="1"/>
  <c r="E886" i="5" a="1"/>
  <c r="E886" i="5" s="1"/>
  <c r="V886" i="5" a="1"/>
  <c r="V886" i="5" s="1"/>
  <c r="U886" i="5" a="1"/>
  <c r="U886" i="5" s="1"/>
  <c r="C886" i="5" a="1"/>
  <c r="C886" i="5" s="1"/>
  <c r="J885" i="5" a="1"/>
  <c r="J885" i="5" s="1"/>
  <c r="D885" i="5" a="1"/>
  <c r="D885" i="5" s="1"/>
  <c r="Q885" i="5"/>
  <c r="H885" i="5" a="1"/>
  <c r="H885" i="5" s="1"/>
  <c r="T885" i="5"/>
  <c r="Z886" i="5"/>
  <c r="Y886" i="5"/>
  <c r="X886" i="5"/>
  <c r="W886" i="5"/>
  <c r="A887" i="5" a="1"/>
  <c r="A887" i="5" s="1"/>
  <c r="AC886" i="5"/>
  <c r="AB886" i="5"/>
  <c r="AA886" i="5"/>
  <c r="I886" i="5" l="1" a="1"/>
  <c r="I886" i="5" s="1"/>
  <c r="O886" i="5" a="1"/>
  <c r="O886" i="5" s="1"/>
  <c r="N886" i="5" a="1"/>
  <c r="N886" i="5" s="1"/>
  <c r="S886" i="5"/>
  <c r="G886" i="5" a="1"/>
  <c r="G886" i="5" s="1"/>
  <c r="M886" i="5" a="1"/>
  <c r="M886" i="5" s="1"/>
  <c r="T886" i="5"/>
  <c r="D886" i="5" a="1"/>
  <c r="D886" i="5" s="1"/>
  <c r="Q886" i="5"/>
  <c r="V887" i="5" a="1"/>
  <c r="V887" i="5" s="1"/>
  <c r="U887" i="5" a="1"/>
  <c r="U887" i="5" s="1"/>
  <c r="C887" i="5" a="1"/>
  <c r="C887" i="5" s="1"/>
  <c r="B887" i="5"/>
  <c r="P887" i="5" s="1" a="1"/>
  <c r="P887" i="5" s="1"/>
  <c r="E887" i="5" a="1"/>
  <c r="E887" i="5" s="1"/>
  <c r="H886" i="5" a="1"/>
  <c r="H886" i="5" s="1"/>
  <c r="R886" i="5"/>
  <c r="L886" i="5" a="1"/>
  <c r="L886" i="5" s="1"/>
  <c r="F886" i="5" a="1"/>
  <c r="F886" i="5" s="1"/>
  <c r="K886" i="5" a="1"/>
  <c r="K886" i="5" s="1"/>
  <c r="P886" i="5" a="1"/>
  <c r="P886" i="5" s="1"/>
  <c r="A888" i="5" a="1"/>
  <c r="A888" i="5" s="1"/>
  <c r="AC887" i="5"/>
  <c r="AB887" i="5"/>
  <c r="AA887" i="5"/>
  <c r="Z887" i="5"/>
  <c r="Y887" i="5"/>
  <c r="X887" i="5"/>
  <c r="W887" i="5"/>
  <c r="I887" i="5" l="1" a="1"/>
  <c r="I887" i="5" s="1"/>
  <c r="M887" i="5" a="1"/>
  <c r="M887" i="5" s="1"/>
  <c r="G887" i="5" a="1"/>
  <c r="G887" i="5" s="1"/>
  <c r="K887" i="5" a="1"/>
  <c r="K887" i="5" s="1"/>
  <c r="R887" i="5"/>
  <c r="O887" i="5" a="1"/>
  <c r="O887" i="5" s="1"/>
  <c r="F887" i="5" a="1"/>
  <c r="F887" i="5" s="1"/>
  <c r="J887" i="5" a="1"/>
  <c r="J887" i="5" s="1"/>
  <c r="N887" i="5" a="1"/>
  <c r="N887" i="5" s="1"/>
  <c r="S887" i="5"/>
  <c r="D887" i="5" a="1"/>
  <c r="D887" i="5" s="1"/>
  <c r="H887" i="5" a="1"/>
  <c r="H887" i="5" s="1"/>
  <c r="E888" i="5" a="1"/>
  <c r="E888" i="5" s="1"/>
  <c r="V888" i="5" a="1"/>
  <c r="V888" i="5" s="1"/>
  <c r="U888" i="5" a="1"/>
  <c r="U888" i="5" s="1"/>
  <c r="C888" i="5" a="1"/>
  <c r="C888" i="5" s="1"/>
  <c r="B888" i="5"/>
  <c r="G888" i="5" s="1" a="1"/>
  <c r="G888" i="5" s="1"/>
  <c r="Q887" i="5"/>
  <c r="T887" i="5"/>
  <c r="L887" i="5" a="1"/>
  <c r="L887" i="5" s="1"/>
  <c r="Z888" i="5"/>
  <c r="Y888" i="5"/>
  <c r="X888" i="5"/>
  <c r="W888" i="5"/>
  <c r="A889" i="5" a="1"/>
  <c r="A889" i="5" s="1"/>
  <c r="AC888" i="5"/>
  <c r="AB888" i="5"/>
  <c r="AA888" i="5"/>
  <c r="F888" i="5" l="1" a="1"/>
  <c r="F888" i="5" s="1"/>
  <c r="J888" i="5" a="1"/>
  <c r="J888" i="5" s="1"/>
  <c r="N888" i="5" a="1"/>
  <c r="N888" i="5" s="1"/>
  <c r="I888" i="5" a="1"/>
  <c r="I888" i="5" s="1"/>
  <c r="T888" i="5"/>
  <c r="K888" i="5" a="1"/>
  <c r="K888" i="5" s="1"/>
  <c r="O888" i="5" a="1"/>
  <c r="O888" i="5" s="1"/>
  <c r="M888" i="5" a="1"/>
  <c r="M888" i="5" s="1"/>
  <c r="S888" i="5"/>
  <c r="D888" i="5" a="1"/>
  <c r="D888" i="5" s="1"/>
  <c r="Q888" i="5"/>
  <c r="H888" i="5" a="1"/>
  <c r="H888" i="5" s="1"/>
  <c r="R888" i="5"/>
  <c r="V889" i="5" a="1"/>
  <c r="V889" i="5" s="1"/>
  <c r="C889" i="5" a="1"/>
  <c r="C889" i="5" s="1"/>
  <c r="B889" i="5"/>
  <c r="N889" i="5" s="1" a="1"/>
  <c r="N889" i="5" s="1"/>
  <c r="E889" i="5" a="1"/>
  <c r="E889" i="5" s="1"/>
  <c r="U889" i="5" a="1"/>
  <c r="U889" i="5" s="1"/>
  <c r="L888" i="5" a="1"/>
  <c r="L888" i="5" s="1"/>
  <c r="P888" i="5" a="1"/>
  <c r="P888" i="5" s="1"/>
  <c r="A890" i="5" a="1"/>
  <c r="A890" i="5" s="1"/>
  <c r="AC889" i="5"/>
  <c r="AB889" i="5"/>
  <c r="AA889" i="5"/>
  <c r="Z889" i="5"/>
  <c r="Y889" i="5"/>
  <c r="X889" i="5"/>
  <c r="W889" i="5"/>
  <c r="F889" i="5" l="1" a="1"/>
  <c r="F889" i="5" s="1"/>
  <c r="P889" i="5" a="1"/>
  <c r="P889" i="5" s="1"/>
  <c r="S889" i="5"/>
  <c r="T889" i="5"/>
  <c r="V890" i="5" a="1"/>
  <c r="V890" i="5" s="1"/>
  <c r="U890" i="5" a="1"/>
  <c r="U890" i="5" s="1"/>
  <c r="C890" i="5" a="1"/>
  <c r="C890" i="5" s="1"/>
  <c r="B890" i="5"/>
  <c r="N890" i="5" s="1" a="1"/>
  <c r="N890" i="5" s="1"/>
  <c r="E890" i="5" a="1"/>
  <c r="E890" i="5" s="1"/>
  <c r="G889" i="5" a="1"/>
  <c r="G889" i="5" s="1"/>
  <c r="I889" i="5" a="1"/>
  <c r="I889" i="5" s="1"/>
  <c r="H889" i="5" a="1"/>
  <c r="H889" i="5" s="1"/>
  <c r="Q889" i="5"/>
  <c r="M889" i="5" a="1"/>
  <c r="M889" i="5" s="1"/>
  <c r="O889" i="5" a="1"/>
  <c r="O889" i="5" s="1"/>
  <c r="R889" i="5"/>
  <c r="D889" i="5" a="1"/>
  <c r="D889" i="5" s="1"/>
  <c r="K889" i="5" a="1"/>
  <c r="K889" i="5" s="1"/>
  <c r="J889" i="5" a="1"/>
  <c r="J889" i="5" s="1"/>
  <c r="L889" i="5" a="1"/>
  <c r="L889" i="5" s="1"/>
  <c r="Z890" i="5"/>
  <c r="Y890" i="5"/>
  <c r="X890" i="5"/>
  <c r="W890" i="5"/>
  <c r="A891" i="5" a="1"/>
  <c r="A891" i="5" s="1"/>
  <c r="AC890" i="5"/>
  <c r="AB890" i="5"/>
  <c r="AA890" i="5"/>
  <c r="M890" i="5" l="1" a="1"/>
  <c r="M890" i="5" s="1"/>
  <c r="T890" i="5"/>
  <c r="I890" i="5" a="1"/>
  <c r="I890" i="5" s="1"/>
  <c r="E891" i="5" a="1"/>
  <c r="E891" i="5" s="1"/>
  <c r="V891" i="5" a="1"/>
  <c r="V891" i="5" s="1"/>
  <c r="U891" i="5" a="1"/>
  <c r="U891" i="5" s="1"/>
  <c r="C891" i="5" a="1"/>
  <c r="C891" i="5" s="1"/>
  <c r="B891" i="5"/>
  <c r="R891" i="5" s="1"/>
  <c r="S890" i="5"/>
  <c r="D890" i="5" a="1"/>
  <c r="D890" i="5" s="1"/>
  <c r="H890" i="5" a="1"/>
  <c r="H890" i="5" s="1"/>
  <c r="L890" i="5" a="1"/>
  <c r="L890" i="5" s="1"/>
  <c r="Q890" i="5"/>
  <c r="P890" i="5" a="1"/>
  <c r="P890" i="5" s="1"/>
  <c r="R890" i="5"/>
  <c r="G890" i="5" a="1"/>
  <c r="G890" i="5" s="1"/>
  <c r="F890" i="5" a="1"/>
  <c r="F890" i="5" s="1"/>
  <c r="K890" i="5" a="1"/>
  <c r="K890" i="5" s="1"/>
  <c r="J890" i="5" a="1"/>
  <c r="J890" i="5" s="1"/>
  <c r="O890" i="5" a="1"/>
  <c r="O890" i="5" s="1"/>
  <c r="A892" i="5" a="1"/>
  <c r="A892" i="5" s="1"/>
  <c r="AC891" i="5"/>
  <c r="AB891" i="5"/>
  <c r="AA891" i="5"/>
  <c r="Z891" i="5"/>
  <c r="Y891" i="5"/>
  <c r="X891" i="5"/>
  <c r="W891" i="5"/>
  <c r="N891" i="5" l="1" a="1"/>
  <c r="N891" i="5" s="1"/>
  <c r="O891" i="5" a="1"/>
  <c r="O891" i="5" s="1"/>
  <c r="S891" i="5"/>
  <c r="F891" i="5" a="1"/>
  <c r="F891" i="5" s="1"/>
  <c r="D891" i="5" a="1"/>
  <c r="D891" i="5" s="1"/>
  <c r="L891" i="5" a="1"/>
  <c r="L891" i="5" s="1"/>
  <c r="T891" i="5"/>
  <c r="P891" i="5" a="1"/>
  <c r="P891" i="5" s="1"/>
  <c r="G891" i="5" a="1"/>
  <c r="G891" i="5" s="1"/>
  <c r="J891" i="5" a="1"/>
  <c r="J891" i="5" s="1"/>
  <c r="K891" i="5" a="1"/>
  <c r="K891" i="5" s="1"/>
  <c r="I891" i="5" a="1"/>
  <c r="I891" i="5" s="1"/>
  <c r="M891" i="5" a="1"/>
  <c r="M891" i="5" s="1"/>
  <c r="U892" i="5" a="1"/>
  <c r="U892" i="5" s="1"/>
  <c r="C892" i="5" a="1"/>
  <c r="C892" i="5" s="1"/>
  <c r="B892" i="5"/>
  <c r="S892" i="5" s="1"/>
  <c r="E892" i="5" a="1"/>
  <c r="E892" i="5" s="1"/>
  <c r="V892" i="5" a="1"/>
  <c r="V892" i="5" s="1"/>
  <c r="Q891" i="5"/>
  <c r="H891" i="5" a="1"/>
  <c r="H891" i="5" s="1"/>
  <c r="Z892" i="5"/>
  <c r="Y892" i="5"/>
  <c r="X892" i="5"/>
  <c r="W892" i="5"/>
  <c r="A893" i="5" a="1"/>
  <c r="A893" i="5" s="1"/>
  <c r="AC892" i="5"/>
  <c r="AB892" i="5"/>
  <c r="AA892" i="5"/>
  <c r="Q892" i="5" l="1"/>
  <c r="T892" i="5"/>
  <c r="H892" i="5" a="1"/>
  <c r="H892" i="5" s="1"/>
  <c r="D892" i="5" a="1"/>
  <c r="D892" i="5" s="1"/>
  <c r="I892" i="5" a="1"/>
  <c r="I892" i="5" s="1"/>
  <c r="M892" i="5" a="1"/>
  <c r="M892" i="5" s="1"/>
  <c r="V893" i="5" a="1"/>
  <c r="V893" i="5" s="1"/>
  <c r="U893" i="5" a="1"/>
  <c r="U893" i="5" s="1"/>
  <c r="C893" i="5" a="1"/>
  <c r="C893" i="5" s="1"/>
  <c r="B893" i="5"/>
  <c r="G893" i="5" s="1" a="1"/>
  <c r="G893" i="5" s="1"/>
  <c r="E893" i="5" a="1"/>
  <c r="E893" i="5" s="1"/>
  <c r="R892" i="5"/>
  <c r="G892" i="5" a="1"/>
  <c r="G892" i="5" s="1"/>
  <c r="L892" i="5" a="1"/>
  <c r="L892" i="5" s="1"/>
  <c r="F892" i="5" a="1"/>
  <c r="F892" i="5" s="1"/>
  <c r="K892" i="5" a="1"/>
  <c r="K892" i="5" s="1"/>
  <c r="P892" i="5" a="1"/>
  <c r="P892" i="5" s="1"/>
  <c r="J892" i="5" a="1"/>
  <c r="J892" i="5" s="1"/>
  <c r="O892" i="5" a="1"/>
  <c r="O892" i="5" s="1"/>
  <c r="N892" i="5" a="1"/>
  <c r="N892" i="5" s="1"/>
  <c r="A894" i="5" a="1"/>
  <c r="A894" i="5" s="1"/>
  <c r="AC893" i="5"/>
  <c r="AB893" i="5"/>
  <c r="AA893" i="5"/>
  <c r="Z893" i="5"/>
  <c r="Y893" i="5"/>
  <c r="X893" i="5"/>
  <c r="W893" i="5"/>
  <c r="I893" i="5" l="1" a="1"/>
  <c r="I893" i="5" s="1"/>
  <c r="Q893" i="5"/>
  <c r="F893" i="5" a="1"/>
  <c r="F893" i="5" s="1"/>
  <c r="J893" i="5" a="1"/>
  <c r="J893" i="5" s="1"/>
  <c r="N893" i="5" a="1"/>
  <c r="N893" i="5" s="1"/>
  <c r="O893" i="5" a="1"/>
  <c r="O893" i="5" s="1"/>
  <c r="K893" i="5" a="1"/>
  <c r="K893" i="5" s="1"/>
  <c r="S893" i="5"/>
  <c r="D893" i="5" a="1"/>
  <c r="D893" i="5" s="1"/>
  <c r="H893" i="5" a="1"/>
  <c r="H893" i="5" s="1"/>
  <c r="M893" i="5" a="1"/>
  <c r="M893" i="5" s="1"/>
  <c r="T893" i="5"/>
  <c r="L893" i="5" a="1"/>
  <c r="L893" i="5" s="1"/>
  <c r="E894" i="5" a="1"/>
  <c r="E894" i="5" s="1"/>
  <c r="V894" i="5" a="1"/>
  <c r="V894" i="5" s="1"/>
  <c r="U894" i="5" a="1"/>
  <c r="U894" i="5" s="1"/>
  <c r="C894" i="5" a="1"/>
  <c r="C894" i="5" s="1"/>
  <c r="B894" i="5"/>
  <c r="J894" i="5" s="1" a="1"/>
  <c r="J894" i="5" s="1"/>
  <c r="P893" i="5" a="1"/>
  <c r="P893" i="5" s="1"/>
  <c r="R893" i="5"/>
  <c r="Z894" i="5"/>
  <c r="Y894" i="5"/>
  <c r="X894" i="5"/>
  <c r="W894" i="5"/>
  <c r="A895" i="5" a="1"/>
  <c r="A895" i="5" s="1"/>
  <c r="AC894" i="5"/>
  <c r="AB894" i="5"/>
  <c r="AA894" i="5"/>
  <c r="O894" i="5" l="1" a="1"/>
  <c r="O894" i="5" s="1"/>
  <c r="S894" i="5"/>
  <c r="D894" i="5" a="1"/>
  <c r="D894" i="5" s="1"/>
  <c r="T894" i="5"/>
  <c r="I894" i="5" a="1"/>
  <c r="I894" i="5" s="1"/>
  <c r="G894" i="5" a="1"/>
  <c r="G894" i="5" s="1"/>
  <c r="M894" i="5" a="1"/>
  <c r="M894" i="5" s="1"/>
  <c r="K894" i="5" a="1"/>
  <c r="K894" i="5" s="1"/>
  <c r="N894" i="5" a="1"/>
  <c r="N894" i="5" s="1"/>
  <c r="Q894" i="5"/>
  <c r="H894" i="5" a="1"/>
  <c r="H894" i="5" s="1"/>
  <c r="R894" i="5"/>
  <c r="U895" i="5" a="1"/>
  <c r="U895" i="5" s="1"/>
  <c r="C895" i="5" a="1"/>
  <c r="C895" i="5" s="1"/>
  <c r="B895" i="5"/>
  <c r="T895" i="5" s="1"/>
  <c r="E895" i="5" a="1"/>
  <c r="E895" i="5" s="1"/>
  <c r="V895" i="5" a="1"/>
  <c r="V895" i="5" s="1"/>
  <c r="L894" i="5" a="1"/>
  <c r="L894" i="5" s="1"/>
  <c r="F894" i="5" a="1"/>
  <c r="F894" i="5" s="1"/>
  <c r="P894" i="5" a="1"/>
  <c r="P894" i="5" s="1"/>
  <c r="A896" i="5" a="1"/>
  <c r="A896" i="5" s="1"/>
  <c r="AC895" i="5"/>
  <c r="AB895" i="5"/>
  <c r="AA895" i="5"/>
  <c r="Z895" i="5"/>
  <c r="Y895" i="5"/>
  <c r="X895" i="5"/>
  <c r="W895" i="5"/>
  <c r="I895" i="5" l="1" a="1"/>
  <c r="I895" i="5" s="1"/>
  <c r="G895" i="5" a="1"/>
  <c r="G895" i="5" s="1"/>
  <c r="K895" i="5" a="1"/>
  <c r="K895" i="5" s="1"/>
  <c r="D895" i="5" a="1"/>
  <c r="D895" i="5" s="1"/>
  <c r="R895" i="5"/>
  <c r="O895" i="5" a="1"/>
  <c r="O895" i="5" s="1"/>
  <c r="Q895" i="5"/>
  <c r="F895" i="5" a="1"/>
  <c r="F895" i="5" s="1"/>
  <c r="L895" i="5" a="1"/>
  <c r="L895" i="5" s="1"/>
  <c r="J895" i="5" a="1"/>
  <c r="J895" i="5" s="1"/>
  <c r="H895" i="5" a="1"/>
  <c r="H895" i="5" s="1"/>
  <c r="P895" i="5" a="1"/>
  <c r="P895" i="5" s="1"/>
  <c r="S895" i="5"/>
  <c r="E896" i="5" a="1"/>
  <c r="E896" i="5" s="1"/>
  <c r="V896" i="5" a="1"/>
  <c r="V896" i="5" s="1"/>
  <c r="U896" i="5" a="1"/>
  <c r="U896" i="5" s="1"/>
  <c r="C896" i="5" a="1"/>
  <c r="C896" i="5" s="1"/>
  <c r="B896" i="5"/>
  <c r="Q896" i="5" s="1"/>
  <c r="N895" i="5" a="1"/>
  <c r="N895" i="5" s="1"/>
  <c r="M895" i="5" a="1"/>
  <c r="M895" i="5" s="1"/>
  <c r="Z896" i="5"/>
  <c r="Y896" i="5"/>
  <c r="X896" i="5"/>
  <c r="W896" i="5"/>
  <c r="A897" i="5" a="1"/>
  <c r="A897" i="5" s="1"/>
  <c r="AC896" i="5"/>
  <c r="AB896" i="5"/>
  <c r="AA896" i="5"/>
  <c r="T896" i="5" l="1"/>
  <c r="L896" i="5" a="1"/>
  <c r="L896" i="5" s="1"/>
  <c r="P896" i="5" a="1"/>
  <c r="P896" i="5" s="1"/>
  <c r="H896" i="5" a="1"/>
  <c r="H896" i="5" s="1"/>
  <c r="F896" i="5" a="1"/>
  <c r="F896" i="5" s="1"/>
  <c r="G896" i="5" a="1"/>
  <c r="G896" i="5" s="1"/>
  <c r="J896" i="5" a="1"/>
  <c r="J896" i="5" s="1"/>
  <c r="O896" i="5" a="1"/>
  <c r="O896" i="5" s="1"/>
  <c r="I896" i="5" a="1"/>
  <c r="I896" i="5" s="1"/>
  <c r="R896" i="5"/>
  <c r="M896" i="5" a="1"/>
  <c r="M896" i="5" s="1"/>
  <c r="B897" i="5"/>
  <c r="F897" i="5" s="1" a="1"/>
  <c r="F897" i="5" s="1"/>
  <c r="E897" i="5" a="1"/>
  <c r="E897" i="5" s="1"/>
  <c r="V897" i="5" a="1"/>
  <c r="V897" i="5" s="1"/>
  <c r="U897" i="5" a="1"/>
  <c r="U897" i="5" s="1"/>
  <c r="C897" i="5" a="1"/>
  <c r="C897" i="5" s="1"/>
  <c r="K896" i="5" a="1"/>
  <c r="K896" i="5" s="1"/>
  <c r="N896" i="5" a="1"/>
  <c r="N896" i="5" s="1"/>
  <c r="S896" i="5"/>
  <c r="D896" i="5" a="1"/>
  <c r="D896" i="5" s="1"/>
  <c r="A898" i="5" a="1"/>
  <c r="A898" i="5" s="1"/>
  <c r="AC897" i="5"/>
  <c r="AB897" i="5"/>
  <c r="AA897" i="5"/>
  <c r="Z897" i="5"/>
  <c r="Y897" i="5"/>
  <c r="X897" i="5"/>
  <c r="W897" i="5"/>
  <c r="J897" i="5" l="1" a="1"/>
  <c r="J897" i="5" s="1"/>
  <c r="N897" i="5" a="1"/>
  <c r="N897" i="5" s="1"/>
  <c r="G897" i="5" a="1"/>
  <c r="G897" i="5" s="1"/>
  <c r="P897" i="5" a="1"/>
  <c r="P897" i="5" s="1"/>
  <c r="K897" i="5" a="1"/>
  <c r="K897" i="5" s="1"/>
  <c r="S897" i="5"/>
  <c r="I897" i="5" a="1"/>
  <c r="I897" i="5" s="1"/>
  <c r="O897" i="5" a="1"/>
  <c r="O897" i="5" s="1"/>
  <c r="M897" i="5" a="1"/>
  <c r="M897" i="5" s="1"/>
  <c r="T897" i="5"/>
  <c r="D897" i="5" a="1"/>
  <c r="D897" i="5" s="1"/>
  <c r="Q897" i="5"/>
  <c r="V898" i="5" a="1"/>
  <c r="V898" i="5" s="1"/>
  <c r="U898" i="5" a="1"/>
  <c r="U898" i="5" s="1"/>
  <c r="C898" i="5" a="1"/>
  <c r="C898" i="5" s="1"/>
  <c r="B898" i="5"/>
  <c r="G898" i="5" s="1" a="1"/>
  <c r="G898" i="5" s="1"/>
  <c r="E898" i="5" a="1"/>
  <c r="E898" i="5" s="1"/>
  <c r="H897" i="5" a="1"/>
  <c r="H897" i="5" s="1"/>
  <c r="R897" i="5"/>
  <c r="L897" i="5" a="1"/>
  <c r="L897" i="5" s="1"/>
  <c r="Z898" i="5"/>
  <c r="Y898" i="5"/>
  <c r="X898" i="5"/>
  <c r="W898" i="5"/>
  <c r="A899" i="5" a="1"/>
  <c r="A899" i="5" s="1"/>
  <c r="AC898" i="5"/>
  <c r="AB898" i="5"/>
  <c r="AA898" i="5"/>
  <c r="Q898" i="5" l="1"/>
  <c r="O898" i="5" a="1"/>
  <c r="O898" i="5" s="1"/>
  <c r="K898" i="5" a="1"/>
  <c r="K898" i="5" s="1"/>
  <c r="F898" i="5" a="1"/>
  <c r="F898" i="5" s="1"/>
  <c r="J898" i="5" a="1"/>
  <c r="J898" i="5" s="1"/>
  <c r="D898" i="5" a="1"/>
  <c r="D898" i="5" s="1"/>
  <c r="I898" i="5" a="1"/>
  <c r="I898" i="5" s="1"/>
  <c r="N898" i="5" a="1"/>
  <c r="N898" i="5" s="1"/>
  <c r="S898" i="5"/>
  <c r="E899" i="5" a="1"/>
  <c r="E899" i="5" s="1"/>
  <c r="V899" i="5" a="1"/>
  <c r="V899" i="5" s="1"/>
  <c r="U899" i="5" a="1"/>
  <c r="U899" i="5" s="1"/>
  <c r="C899" i="5" a="1"/>
  <c r="C899" i="5" s="1"/>
  <c r="B899" i="5"/>
  <c r="R899" i="5" s="1"/>
  <c r="H898" i="5" a="1"/>
  <c r="H898" i="5" s="1"/>
  <c r="M898" i="5" a="1"/>
  <c r="M898" i="5" s="1"/>
  <c r="T898" i="5"/>
  <c r="L898" i="5" a="1"/>
  <c r="L898" i="5" s="1"/>
  <c r="P898" i="5" a="1"/>
  <c r="P898" i="5" s="1"/>
  <c r="R898" i="5"/>
  <c r="A900" i="5" a="1"/>
  <c r="A900" i="5" s="1"/>
  <c r="AC899" i="5"/>
  <c r="AB899" i="5"/>
  <c r="AA899" i="5"/>
  <c r="Z899" i="5"/>
  <c r="Y899" i="5"/>
  <c r="X899" i="5"/>
  <c r="W899" i="5"/>
  <c r="T899" i="5" l="1"/>
  <c r="D899" i="5" a="1"/>
  <c r="D899" i="5" s="1"/>
  <c r="S899" i="5"/>
  <c r="P899" i="5" a="1"/>
  <c r="P899" i="5" s="1"/>
  <c r="L899" i="5" a="1"/>
  <c r="L899" i="5" s="1"/>
  <c r="G899" i="5" a="1"/>
  <c r="G899" i="5" s="1"/>
  <c r="F899" i="5" a="1"/>
  <c r="F899" i="5" s="1"/>
  <c r="K899" i="5" a="1"/>
  <c r="K899" i="5" s="1"/>
  <c r="I899" i="5" a="1"/>
  <c r="I899" i="5" s="1"/>
  <c r="J899" i="5" a="1"/>
  <c r="J899" i="5" s="1"/>
  <c r="O899" i="5" a="1"/>
  <c r="O899" i="5" s="1"/>
  <c r="Q899" i="5"/>
  <c r="N899" i="5" a="1"/>
  <c r="N899" i="5" s="1"/>
  <c r="U900" i="5" a="1"/>
  <c r="U900" i="5" s="1"/>
  <c r="C900" i="5" a="1"/>
  <c r="C900" i="5" s="1"/>
  <c r="B900" i="5"/>
  <c r="N900" i="5" s="1" a="1"/>
  <c r="N900" i="5" s="1"/>
  <c r="E900" i="5" a="1"/>
  <c r="E900" i="5" s="1"/>
  <c r="V900" i="5" a="1"/>
  <c r="V900" i="5" s="1"/>
  <c r="M899" i="5" a="1"/>
  <c r="M899" i="5" s="1"/>
  <c r="H899" i="5" a="1"/>
  <c r="H899" i="5" s="1"/>
  <c r="Z900" i="5"/>
  <c r="Y900" i="5"/>
  <c r="X900" i="5"/>
  <c r="W900" i="5"/>
  <c r="A901" i="5" a="1"/>
  <c r="A901" i="5" s="1"/>
  <c r="AC900" i="5"/>
  <c r="AB900" i="5"/>
  <c r="AA900" i="5"/>
  <c r="I900" i="5" l="1" a="1"/>
  <c r="I900" i="5" s="1"/>
  <c r="S900" i="5"/>
  <c r="T900" i="5"/>
  <c r="D900" i="5" a="1"/>
  <c r="D900" i="5" s="1"/>
  <c r="M900" i="5" a="1"/>
  <c r="M900" i="5" s="1"/>
  <c r="Q900" i="5"/>
  <c r="H900" i="5" a="1"/>
  <c r="H900" i="5" s="1"/>
  <c r="R900" i="5"/>
  <c r="G900" i="5" a="1"/>
  <c r="G900" i="5" s="1"/>
  <c r="V901" i="5" a="1"/>
  <c r="V901" i="5" s="1"/>
  <c r="U901" i="5" a="1"/>
  <c r="U901" i="5" s="1"/>
  <c r="C901" i="5" a="1"/>
  <c r="C901" i="5" s="1"/>
  <c r="B901" i="5"/>
  <c r="P901" i="5" s="1" a="1"/>
  <c r="P901" i="5" s="1"/>
  <c r="E901" i="5" a="1"/>
  <c r="E901" i="5" s="1"/>
  <c r="L900" i="5" a="1"/>
  <c r="L900" i="5" s="1"/>
  <c r="F900" i="5" a="1"/>
  <c r="F900" i="5" s="1"/>
  <c r="K900" i="5" a="1"/>
  <c r="K900" i="5" s="1"/>
  <c r="P900" i="5" a="1"/>
  <c r="P900" i="5" s="1"/>
  <c r="J900" i="5" a="1"/>
  <c r="J900" i="5" s="1"/>
  <c r="O900" i="5" a="1"/>
  <c r="O900" i="5" s="1"/>
  <c r="A902" i="5" a="1"/>
  <c r="A902" i="5" s="1"/>
  <c r="AC901" i="5"/>
  <c r="AB901" i="5"/>
  <c r="AA901" i="5"/>
  <c r="Z901" i="5"/>
  <c r="Y901" i="5"/>
  <c r="X901" i="5"/>
  <c r="W901" i="5"/>
  <c r="S901" i="5" l="1"/>
  <c r="I901" i="5" a="1"/>
  <c r="I901" i="5" s="1"/>
  <c r="G901" i="5" a="1"/>
  <c r="G901" i="5" s="1"/>
  <c r="Q901" i="5"/>
  <c r="R901" i="5"/>
  <c r="K901" i="5" a="1"/>
  <c r="K901" i="5" s="1"/>
  <c r="F901" i="5" a="1"/>
  <c r="F901" i="5" s="1"/>
  <c r="O901" i="5" a="1"/>
  <c r="O901" i="5" s="1"/>
  <c r="J901" i="5" a="1"/>
  <c r="J901" i="5" s="1"/>
  <c r="N901" i="5" a="1"/>
  <c r="N901" i="5" s="1"/>
  <c r="D901" i="5" a="1"/>
  <c r="D901" i="5" s="1"/>
  <c r="E902" i="5" a="1"/>
  <c r="E902" i="5" s="1"/>
  <c r="V902" i="5" a="1"/>
  <c r="V902" i="5" s="1"/>
  <c r="U902" i="5" a="1"/>
  <c r="U902" i="5" s="1"/>
  <c r="C902" i="5" a="1"/>
  <c r="C902" i="5" s="1"/>
  <c r="B902" i="5"/>
  <c r="I902" i="5" s="1" a="1"/>
  <c r="I902" i="5" s="1"/>
  <c r="H901" i="5" a="1"/>
  <c r="H901" i="5" s="1"/>
  <c r="T901" i="5"/>
  <c r="L901" i="5" a="1"/>
  <c r="L901" i="5" s="1"/>
  <c r="M901" i="5" a="1"/>
  <c r="M901" i="5" s="1"/>
  <c r="Z902" i="5"/>
  <c r="Y902" i="5"/>
  <c r="X902" i="5"/>
  <c r="W902" i="5"/>
  <c r="A903" i="5" a="1"/>
  <c r="A903" i="5" s="1"/>
  <c r="AC902" i="5"/>
  <c r="AB902" i="5"/>
  <c r="AA902" i="5"/>
  <c r="M902" i="5" l="1" a="1"/>
  <c r="M902" i="5" s="1"/>
  <c r="D902" i="5" a="1"/>
  <c r="D902" i="5" s="1"/>
  <c r="Q902" i="5"/>
  <c r="H902" i="5" a="1"/>
  <c r="H902" i="5" s="1"/>
  <c r="R902" i="5"/>
  <c r="L902" i="5" a="1"/>
  <c r="L902" i="5" s="1"/>
  <c r="F902" i="5" a="1"/>
  <c r="F902" i="5" s="1"/>
  <c r="U903" i="5" a="1"/>
  <c r="U903" i="5" s="1"/>
  <c r="C903" i="5" a="1"/>
  <c r="C903" i="5" s="1"/>
  <c r="B903" i="5"/>
  <c r="K903" i="5" s="1" a="1"/>
  <c r="K903" i="5" s="1"/>
  <c r="E903" i="5" a="1"/>
  <c r="E903" i="5" s="1"/>
  <c r="V903" i="5" a="1"/>
  <c r="V903" i="5" s="1"/>
  <c r="P902" i="5" a="1"/>
  <c r="P902" i="5" s="1"/>
  <c r="J902" i="5" a="1"/>
  <c r="J902" i="5" s="1"/>
  <c r="G902" i="5" a="1"/>
  <c r="G902" i="5" s="1"/>
  <c r="N902" i="5" a="1"/>
  <c r="N902" i="5" s="1"/>
  <c r="T902" i="5"/>
  <c r="K902" i="5" a="1"/>
  <c r="K902" i="5" s="1"/>
  <c r="S902" i="5"/>
  <c r="O902" i="5" a="1"/>
  <c r="O902" i="5" s="1"/>
  <c r="A904" i="5" a="1"/>
  <c r="A904" i="5" s="1"/>
  <c r="AC903" i="5"/>
  <c r="AB903" i="5"/>
  <c r="AA903" i="5"/>
  <c r="Z903" i="5"/>
  <c r="Y903" i="5"/>
  <c r="X903" i="5"/>
  <c r="W903" i="5"/>
  <c r="D903" i="5" l="1" a="1"/>
  <c r="D903" i="5" s="1"/>
  <c r="J903" i="5" a="1"/>
  <c r="J903" i="5" s="1"/>
  <c r="O903" i="5" a="1"/>
  <c r="O903" i="5" s="1"/>
  <c r="H903" i="5" a="1"/>
  <c r="H903" i="5" s="1"/>
  <c r="N903" i="5" a="1"/>
  <c r="N903" i="5" s="1"/>
  <c r="S903" i="5"/>
  <c r="E904" i="5" a="1"/>
  <c r="E904" i="5" s="1"/>
  <c r="V904" i="5" a="1"/>
  <c r="V904" i="5" s="1"/>
  <c r="U904" i="5" a="1"/>
  <c r="U904" i="5" s="1"/>
  <c r="C904" i="5" a="1"/>
  <c r="C904" i="5" s="1"/>
  <c r="B904" i="5"/>
  <c r="P904" i="5" s="1" a="1"/>
  <c r="P904" i="5" s="1"/>
  <c r="M903" i="5" a="1"/>
  <c r="M903" i="5" s="1"/>
  <c r="T903" i="5"/>
  <c r="I903" i="5" a="1"/>
  <c r="I903" i="5" s="1"/>
  <c r="L903" i="5" a="1"/>
  <c r="L903" i="5" s="1"/>
  <c r="Q903" i="5"/>
  <c r="P903" i="5" a="1"/>
  <c r="P903" i="5" s="1"/>
  <c r="R903" i="5"/>
  <c r="G903" i="5" a="1"/>
  <c r="G903" i="5" s="1"/>
  <c r="F903" i="5" a="1"/>
  <c r="F903" i="5" s="1"/>
  <c r="Z904" i="5"/>
  <c r="Y904" i="5"/>
  <c r="X904" i="5"/>
  <c r="W904" i="5"/>
  <c r="A905" i="5" a="1"/>
  <c r="A905" i="5" s="1"/>
  <c r="AC904" i="5"/>
  <c r="AB904" i="5"/>
  <c r="AA904" i="5"/>
  <c r="F904" i="5" l="1" a="1"/>
  <c r="F904" i="5" s="1"/>
  <c r="R904" i="5"/>
  <c r="J904" i="5" a="1"/>
  <c r="J904" i="5" s="1"/>
  <c r="O904" i="5" a="1"/>
  <c r="O904" i="5" s="1"/>
  <c r="N904" i="5" a="1"/>
  <c r="N904" i="5" s="1"/>
  <c r="K904" i="5" a="1"/>
  <c r="K904" i="5" s="1"/>
  <c r="G904" i="5" a="1"/>
  <c r="G904" i="5" s="1"/>
  <c r="I904" i="5" a="1"/>
  <c r="I904" i="5" s="1"/>
  <c r="M904" i="5" a="1"/>
  <c r="M904" i="5" s="1"/>
  <c r="B905" i="5"/>
  <c r="R905" i="5" s="1"/>
  <c r="E905" i="5" a="1"/>
  <c r="E905" i="5" s="1"/>
  <c r="V905" i="5" a="1"/>
  <c r="V905" i="5" s="1"/>
  <c r="C905" i="5" a="1"/>
  <c r="C905" i="5" s="1"/>
  <c r="U905" i="5" a="1"/>
  <c r="U905" i="5" s="1"/>
  <c r="S904" i="5"/>
  <c r="D904" i="5" a="1"/>
  <c r="D904" i="5" s="1"/>
  <c r="Q904" i="5"/>
  <c r="H904" i="5" a="1"/>
  <c r="H904" i="5" s="1"/>
  <c r="T904" i="5"/>
  <c r="L904" i="5" a="1"/>
  <c r="L904" i="5" s="1"/>
  <c r="A906" i="5" a="1"/>
  <c r="A906" i="5" s="1"/>
  <c r="AC905" i="5"/>
  <c r="AB905" i="5"/>
  <c r="AA905" i="5"/>
  <c r="Z905" i="5"/>
  <c r="Y905" i="5"/>
  <c r="X905" i="5"/>
  <c r="W905" i="5"/>
  <c r="G905" i="5" l="1" a="1"/>
  <c r="G905" i="5" s="1"/>
  <c r="K905" i="5" a="1"/>
  <c r="K905" i="5" s="1"/>
  <c r="S905" i="5"/>
  <c r="H905" i="5" a="1"/>
  <c r="H905" i="5" s="1"/>
  <c r="L905" i="5" a="1"/>
  <c r="L905" i="5" s="1"/>
  <c r="P905" i="5" a="1"/>
  <c r="P905" i="5" s="1"/>
  <c r="O905" i="5" a="1"/>
  <c r="O905" i="5" s="1"/>
  <c r="F905" i="5" a="1"/>
  <c r="F905" i="5" s="1"/>
  <c r="J905" i="5" a="1"/>
  <c r="J905" i="5" s="1"/>
  <c r="N905" i="5" a="1"/>
  <c r="N905" i="5" s="1"/>
  <c r="I905" i="5" a="1"/>
  <c r="I905" i="5" s="1"/>
  <c r="V906" i="5" a="1"/>
  <c r="V906" i="5" s="1"/>
  <c r="U906" i="5" a="1"/>
  <c r="U906" i="5" s="1"/>
  <c r="C906" i="5" a="1"/>
  <c r="C906" i="5" s="1"/>
  <c r="B906" i="5"/>
  <c r="G906" i="5" s="1" a="1"/>
  <c r="G906" i="5" s="1"/>
  <c r="E906" i="5" a="1"/>
  <c r="E906" i="5" s="1"/>
  <c r="M905" i="5" a="1"/>
  <c r="M905" i="5" s="1"/>
  <c r="T905" i="5"/>
  <c r="D905" i="5" a="1"/>
  <c r="D905" i="5" s="1"/>
  <c r="Q905" i="5"/>
  <c r="Z906" i="5"/>
  <c r="Y906" i="5"/>
  <c r="X906" i="5"/>
  <c r="W906" i="5"/>
  <c r="A907" i="5" a="1"/>
  <c r="A907" i="5" s="1"/>
  <c r="AC906" i="5"/>
  <c r="AB906" i="5"/>
  <c r="AA906" i="5"/>
  <c r="S906" i="5" l="1"/>
  <c r="I906" i="5" a="1"/>
  <c r="I906" i="5" s="1"/>
  <c r="K906" i="5" a="1"/>
  <c r="K906" i="5" s="1"/>
  <c r="Q906" i="5"/>
  <c r="O906" i="5" a="1"/>
  <c r="O906" i="5" s="1"/>
  <c r="F906" i="5" a="1"/>
  <c r="F906" i="5" s="1"/>
  <c r="J906" i="5" a="1"/>
  <c r="J906" i="5" s="1"/>
  <c r="N906" i="5" a="1"/>
  <c r="N906" i="5" s="1"/>
  <c r="D906" i="5" a="1"/>
  <c r="D906" i="5" s="1"/>
  <c r="H906" i="5" a="1"/>
  <c r="H906" i="5" s="1"/>
  <c r="M906" i="5" a="1"/>
  <c r="M906" i="5" s="1"/>
  <c r="T906" i="5"/>
  <c r="L906" i="5" a="1"/>
  <c r="L906" i="5" s="1"/>
  <c r="E907" i="5" a="1"/>
  <c r="E907" i="5" s="1"/>
  <c r="V907" i="5" a="1"/>
  <c r="V907" i="5" s="1"/>
  <c r="U907" i="5" a="1"/>
  <c r="U907" i="5" s="1"/>
  <c r="C907" i="5" a="1"/>
  <c r="C907" i="5" s="1"/>
  <c r="B907" i="5"/>
  <c r="I907" i="5" s="1" a="1"/>
  <c r="I907" i="5" s="1"/>
  <c r="P906" i="5" a="1"/>
  <c r="P906" i="5" s="1"/>
  <c r="R906" i="5"/>
  <c r="A908" i="5" a="1"/>
  <c r="A908" i="5" s="1"/>
  <c r="AC907" i="5"/>
  <c r="AB907" i="5"/>
  <c r="AA907" i="5"/>
  <c r="Z907" i="5"/>
  <c r="Y907" i="5"/>
  <c r="X907" i="5"/>
  <c r="W907" i="5"/>
  <c r="M907" i="5" l="1" a="1"/>
  <c r="M907" i="5" s="1"/>
  <c r="N907" i="5" a="1"/>
  <c r="N907" i="5" s="1"/>
  <c r="S907" i="5"/>
  <c r="D907" i="5" a="1"/>
  <c r="D907" i="5" s="1"/>
  <c r="Q907" i="5"/>
  <c r="H907" i="5" a="1"/>
  <c r="H907" i="5" s="1"/>
  <c r="R907" i="5"/>
  <c r="U908" i="5" a="1"/>
  <c r="U908" i="5" s="1"/>
  <c r="C908" i="5" a="1"/>
  <c r="C908" i="5" s="1"/>
  <c r="B908" i="5"/>
  <c r="G908" i="5" s="1" a="1"/>
  <c r="G908" i="5" s="1"/>
  <c r="E908" i="5" a="1"/>
  <c r="E908" i="5" s="1"/>
  <c r="V908" i="5" a="1"/>
  <c r="V908" i="5" s="1"/>
  <c r="P907" i="5" a="1"/>
  <c r="P907" i="5" s="1"/>
  <c r="L907" i="5" a="1"/>
  <c r="L907" i="5" s="1"/>
  <c r="G907" i="5" a="1"/>
  <c r="G907" i="5" s="1"/>
  <c r="F907" i="5" a="1"/>
  <c r="F907" i="5" s="1"/>
  <c r="K907" i="5" a="1"/>
  <c r="K907" i="5" s="1"/>
  <c r="T907" i="5"/>
  <c r="J907" i="5" a="1"/>
  <c r="J907" i="5" s="1"/>
  <c r="O907" i="5" a="1"/>
  <c r="O907" i="5" s="1"/>
  <c r="Z908" i="5"/>
  <c r="Y908" i="5"/>
  <c r="X908" i="5"/>
  <c r="W908" i="5"/>
  <c r="A909" i="5" a="1"/>
  <c r="A909" i="5" s="1"/>
  <c r="AC908" i="5"/>
  <c r="AB908" i="5"/>
  <c r="AA908" i="5"/>
  <c r="L908" i="5" l="1" a="1"/>
  <c r="L908" i="5" s="1"/>
  <c r="P908" i="5" a="1"/>
  <c r="P908" i="5" s="1"/>
  <c r="I908" i="5" a="1"/>
  <c r="I908" i="5" s="1"/>
  <c r="F908" i="5" a="1"/>
  <c r="F908" i="5" s="1"/>
  <c r="N908" i="5" a="1"/>
  <c r="N908" i="5" s="1"/>
  <c r="S908" i="5"/>
  <c r="K908" i="5" a="1"/>
  <c r="K908" i="5" s="1"/>
  <c r="J908" i="5" a="1"/>
  <c r="J908" i="5" s="1"/>
  <c r="O908" i="5" a="1"/>
  <c r="O908" i="5" s="1"/>
  <c r="M908" i="5" a="1"/>
  <c r="M908" i="5" s="1"/>
  <c r="T908" i="5"/>
  <c r="V909" i="5" a="1"/>
  <c r="V909" i="5" s="1"/>
  <c r="U909" i="5" a="1"/>
  <c r="U909" i="5" s="1"/>
  <c r="C909" i="5" a="1"/>
  <c r="C909" i="5" s="1"/>
  <c r="B909" i="5"/>
  <c r="D909" i="5" s="1" a="1"/>
  <c r="D909" i="5" s="1"/>
  <c r="E909" i="5" a="1"/>
  <c r="E909" i="5" s="1"/>
  <c r="D908" i="5" a="1"/>
  <c r="D908" i="5" s="1"/>
  <c r="Q908" i="5"/>
  <c r="H908" i="5" a="1"/>
  <c r="H908" i="5" s="1"/>
  <c r="R908" i="5"/>
  <c r="A910" i="5" a="1"/>
  <c r="A910" i="5" s="1"/>
  <c r="AC909" i="5"/>
  <c r="AB909" i="5"/>
  <c r="AA909" i="5"/>
  <c r="Z909" i="5"/>
  <c r="Y909" i="5"/>
  <c r="X909" i="5"/>
  <c r="W909" i="5"/>
  <c r="H909" i="5" l="1" a="1"/>
  <c r="H909" i="5" s="1"/>
  <c r="M909" i="5" a="1"/>
  <c r="M909" i="5" s="1"/>
  <c r="T909" i="5"/>
  <c r="L909" i="5" a="1"/>
  <c r="L909" i="5" s="1"/>
  <c r="E910" i="5" a="1"/>
  <c r="E910" i="5" s="1"/>
  <c r="V910" i="5" a="1"/>
  <c r="V910" i="5" s="1"/>
  <c r="U910" i="5" a="1"/>
  <c r="U910" i="5" s="1"/>
  <c r="C910" i="5" a="1"/>
  <c r="C910" i="5" s="1"/>
  <c r="B910" i="5"/>
  <c r="R910" i="5" s="1"/>
  <c r="Q909" i="5"/>
  <c r="P909" i="5" a="1"/>
  <c r="P909" i="5" s="1"/>
  <c r="G909" i="5" a="1"/>
  <c r="G909" i="5" s="1"/>
  <c r="F909" i="5" a="1"/>
  <c r="F909" i="5" s="1"/>
  <c r="K909" i="5" a="1"/>
  <c r="K909" i="5" s="1"/>
  <c r="I909" i="5" a="1"/>
  <c r="I909" i="5" s="1"/>
  <c r="R909" i="5"/>
  <c r="J909" i="5" a="1"/>
  <c r="J909" i="5" s="1"/>
  <c r="O909" i="5" a="1"/>
  <c r="O909" i="5" s="1"/>
  <c r="N909" i="5" a="1"/>
  <c r="N909" i="5" s="1"/>
  <c r="S909" i="5"/>
  <c r="Z910" i="5"/>
  <c r="Y910" i="5"/>
  <c r="X910" i="5"/>
  <c r="W910" i="5"/>
  <c r="A911" i="5" a="1"/>
  <c r="A911" i="5" s="1"/>
  <c r="AC910" i="5"/>
  <c r="AB910" i="5"/>
  <c r="AA910" i="5"/>
  <c r="F910" i="5" l="1" a="1"/>
  <c r="F910" i="5" s="1"/>
  <c r="P910" i="5" a="1"/>
  <c r="P910" i="5" s="1"/>
  <c r="J910" i="5" a="1"/>
  <c r="J910" i="5" s="1"/>
  <c r="G910" i="5" a="1"/>
  <c r="G910" i="5" s="1"/>
  <c r="N910" i="5" a="1"/>
  <c r="N910" i="5" s="1"/>
  <c r="K910" i="5" a="1"/>
  <c r="K910" i="5" s="1"/>
  <c r="S910" i="5"/>
  <c r="L910" i="5" a="1"/>
  <c r="L910" i="5" s="1"/>
  <c r="O910" i="5" a="1"/>
  <c r="O910" i="5" s="1"/>
  <c r="I910" i="5" a="1"/>
  <c r="I910" i="5" s="1"/>
  <c r="M910" i="5" a="1"/>
  <c r="M910" i="5" s="1"/>
  <c r="D910" i="5" a="1"/>
  <c r="D910" i="5" s="1"/>
  <c r="Q910" i="5"/>
  <c r="U911" i="5" a="1"/>
  <c r="U911" i="5" s="1"/>
  <c r="C911" i="5" a="1"/>
  <c r="C911" i="5" s="1"/>
  <c r="B911" i="5"/>
  <c r="G911" i="5" s="1" a="1"/>
  <c r="G911" i="5" s="1"/>
  <c r="E911" i="5" a="1"/>
  <c r="E911" i="5" s="1"/>
  <c r="V911" i="5" a="1"/>
  <c r="V911" i="5" s="1"/>
  <c r="T910" i="5"/>
  <c r="H910" i="5" a="1"/>
  <c r="H910" i="5" s="1"/>
  <c r="A912" i="5" a="1"/>
  <c r="A912" i="5" s="1"/>
  <c r="AC911" i="5"/>
  <c r="AB911" i="5"/>
  <c r="AA911" i="5"/>
  <c r="Z911" i="5"/>
  <c r="Y911" i="5"/>
  <c r="X911" i="5"/>
  <c r="W911" i="5"/>
  <c r="H911" i="5" l="1" a="1"/>
  <c r="H911" i="5" s="1"/>
  <c r="K911" i="5" a="1"/>
  <c r="K911" i="5" s="1"/>
  <c r="L911" i="5" a="1"/>
  <c r="L911" i="5" s="1"/>
  <c r="I911" i="5" a="1"/>
  <c r="I911" i="5" s="1"/>
  <c r="R911" i="5"/>
  <c r="F911" i="5" a="1"/>
  <c r="F911" i="5" s="1"/>
  <c r="S911" i="5"/>
  <c r="P911" i="5" a="1"/>
  <c r="P911" i="5" s="1"/>
  <c r="J911" i="5" a="1"/>
  <c r="J911" i="5" s="1"/>
  <c r="O911" i="5" a="1"/>
  <c r="O911" i="5" s="1"/>
  <c r="N911" i="5" a="1"/>
  <c r="N911" i="5" s="1"/>
  <c r="E912" i="5" a="1"/>
  <c r="E912" i="5" s="1"/>
  <c r="V912" i="5" a="1"/>
  <c r="V912" i="5" s="1"/>
  <c r="U912" i="5" a="1"/>
  <c r="U912" i="5" s="1"/>
  <c r="C912" i="5" a="1"/>
  <c r="C912" i="5" s="1"/>
  <c r="B912" i="5"/>
  <c r="G912" i="5" s="1" a="1"/>
  <c r="G912" i="5" s="1"/>
  <c r="M911" i="5" a="1"/>
  <c r="M911" i="5" s="1"/>
  <c r="T911" i="5"/>
  <c r="D911" i="5" a="1"/>
  <c r="D911" i="5" s="1"/>
  <c r="Q911" i="5"/>
  <c r="Z912" i="5"/>
  <c r="Y912" i="5"/>
  <c r="X912" i="5"/>
  <c r="W912" i="5"/>
  <c r="A913" i="5" a="1"/>
  <c r="A913" i="5" s="1"/>
  <c r="AC912" i="5"/>
  <c r="AB912" i="5"/>
  <c r="AA912" i="5"/>
  <c r="R912" i="5" l="1"/>
  <c r="N912" i="5" a="1"/>
  <c r="N912" i="5" s="1"/>
  <c r="F912" i="5" a="1"/>
  <c r="F912" i="5" s="1"/>
  <c r="M912" i="5" a="1"/>
  <c r="M912" i="5" s="1"/>
  <c r="K912" i="5" a="1"/>
  <c r="K912" i="5" s="1"/>
  <c r="J912" i="5" a="1"/>
  <c r="J912" i="5" s="1"/>
  <c r="O912" i="5" a="1"/>
  <c r="O912" i="5" s="1"/>
  <c r="I912" i="5" a="1"/>
  <c r="I912" i="5" s="1"/>
  <c r="S912" i="5"/>
  <c r="D912" i="5" a="1"/>
  <c r="D912" i="5" s="1"/>
  <c r="Q912" i="5"/>
  <c r="H912" i="5" a="1"/>
  <c r="H912" i="5" s="1"/>
  <c r="T912" i="5"/>
  <c r="L912" i="5" a="1"/>
  <c r="L912" i="5" s="1"/>
  <c r="B913" i="5"/>
  <c r="Q913" i="5" s="1"/>
  <c r="E913" i="5" a="1"/>
  <c r="E913" i="5" s="1"/>
  <c r="V913" i="5" a="1"/>
  <c r="V913" i="5" s="1"/>
  <c r="C913" i="5" a="1"/>
  <c r="C913" i="5" s="1"/>
  <c r="U913" i="5" a="1"/>
  <c r="U913" i="5" s="1"/>
  <c r="P912" i="5" a="1"/>
  <c r="P912" i="5" s="1"/>
  <c r="A914" i="5" a="1"/>
  <c r="A914" i="5" s="1"/>
  <c r="AC913" i="5"/>
  <c r="AB913" i="5"/>
  <c r="AA913" i="5"/>
  <c r="Z913" i="5"/>
  <c r="Y913" i="5"/>
  <c r="X913" i="5"/>
  <c r="W913" i="5"/>
  <c r="J913" i="5" l="1" a="1"/>
  <c r="J913" i="5" s="1"/>
  <c r="G913" i="5" a="1"/>
  <c r="G913" i="5" s="1"/>
  <c r="L913" i="5" a="1"/>
  <c r="L913" i="5" s="1"/>
  <c r="P913" i="5" a="1"/>
  <c r="P913" i="5" s="1"/>
  <c r="N913" i="5" a="1"/>
  <c r="N913" i="5" s="1"/>
  <c r="T913" i="5"/>
  <c r="K913" i="5" a="1"/>
  <c r="K913" i="5" s="1"/>
  <c r="I913" i="5" a="1"/>
  <c r="I913" i="5" s="1"/>
  <c r="O913" i="5" a="1"/>
  <c r="O913" i="5" s="1"/>
  <c r="M913" i="5" a="1"/>
  <c r="M913" i="5" s="1"/>
  <c r="D913" i="5" a="1"/>
  <c r="D913" i="5" s="1"/>
  <c r="R913" i="5"/>
  <c r="H913" i="5" a="1"/>
  <c r="H913" i="5" s="1"/>
  <c r="F913" i="5" a="1"/>
  <c r="F913" i="5" s="1"/>
  <c r="S913" i="5"/>
  <c r="V914" i="5" a="1"/>
  <c r="V914" i="5" s="1"/>
  <c r="U914" i="5" a="1"/>
  <c r="U914" i="5" s="1"/>
  <c r="C914" i="5" a="1"/>
  <c r="C914" i="5" s="1"/>
  <c r="B914" i="5"/>
  <c r="K914" i="5" s="1" a="1"/>
  <c r="K914" i="5" s="1"/>
  <c r="E914" i="5" a="1"/>
  <c r="E914" i="5" s="1"/>
  <c r="Z914" i="5"/>
  <c r="Y914" i="5"/>
  <c r="X914" i="5"/>
  <c r="W914" i="5"/>
  <c r="A915" i="5" a="1"/>
  <c r="A915" i="5" s="1"/>
  <c r="AC914" i="5"/>
  <c r="AB914" i="5"/>
  <c r="AA914" i="5"/>
  <c r="S914" i="5" l="1"/>
  <c r="J914" i="5" a="1"/>
  <c r="J914" i="5" s="1"/>
  <c r="N914" i="5" a="1"/>
  <c r="N914" i="5" s="1"/>
  <c r="O914" i="5" a="1"/>
  <c r="O914" i="5" s="1"/>
  <c r="I914" i="5" a="1"/>
  <c r="I914" i="5" s="1"/>
  <c r="D914" i="5" a="1"/>
  <c r="D914" i="5" s="1"/>
  <c r="H914" i="5" a="1"/>
  <c r="H914" i="5" s="1"/>
  <c r="L914" i="5" a="1"/>
  <c r="L914" i="5" s="1"/>
  <c r="P914" i="5" a="1"/>
  <c r="P914" i="5" s="1"/>
  <c r="E915" i="5" a="1"/>
  <c r="E915" i="5" s="1"/>
  <c r="V915" i="5" a="1"/>
  <c r="V915" i="5" s="1"/>
  <c r="U915" i="5" a="1"/>
  <c r="U915" i="5" s="1"/>
  <c r="C915" i="5" a="1"/>
  <c r="C915" i="5" s="1"/>
  <c r="B915" i="5"/>
  <c r="G915" i="5" s="1" a="1"/>
  <c r="G915" i="5" s="1"/>
  <c r="R914" i="5"/>
  <c r="G914" i="5" a="1"/>
  <c r="G914" i="5" s="1"/>
  <c r="M914" i="5" a="1"/>
  <c r="M914" i="5" s="1"/>
  <c r="T914" i="5"/>
  <c r="Q914" i="5"/>
  <c r="F914" i="5" a="1"/>
  <c r="F914" i="5" s="1"/>
  <c r="A916" i="5" a="1"/>
  <c r="A916" i="5" s="1"/>
  <c r="AC915" i="5"/>
  <c r="AB915" i="5"/>
  <c r="AA915" i="5"/>
  <c r="Z915" i="5"/>
  <c r="Y915" i="5"/>
  <c r="X915" i="5"/>
  <c r="W915" i="5"/>
  <c r="F915" i="5" l="1" a="1"/>
  <c r="F915" i="5" s="1"/>
  <c r="J915" i="5" a="1"/>
  <c r="J915" i="5" s="1"/>
  <c r="I915" i="5" a="1"/>
  <c r="I915" i="5" s="1"/>
  <c r="M915" i="5" a="1"/>
  <c r="M915" i="5" s="1"/>
  <c r="K915" i="5" a="1"/>
  <c r="K915" i="5" s="1"/>
  <c r="Q915" i="5"/>
  <c r="O915" i="5" a="1"/>
  <c r="O915" i="5" s="1"/>
  <c r="N915" i="5" a="1"/>
  <c r="N915" i="5" s="1"/>
  <c r="S915" i="5"/>
  <c r="D915" i="5" a="1"/>
  <c r="D915" i="5" s="1"/>
  <c r="U916" i="5" a="1"/>
  <c r="U916" i="5" s="1"/>
  <c r="C916" i="5" a="1"/>
  <c r="C916" i="5" s="1"/>
  <c r="B916" i="5"/>
  <c r="N916" i="5" s="1" a="1"/>
  <c r="N916" i="5" s="1"/>
  <c r="E916" i="5" a="1"/>
  <c r="E916" i="5" s="1"/>
  <c r="V916" i="5" a="1"/>
  <c r="V916" i="5" s="1"/>
  <c r="H915" i="5" a="1"/>
  <c r="H915" i="5" s="1"/>
  <c r="R915" i="5"/>
  <c r="T915" i="5"/>
  <c r="L915" i="5" a="1"/>
  <c r="L915" i="5" s="1"/>
  <c r="P915" i="5" a="1"/>
  <c r="P915" i="5" s="1"/>
  <c r="Z916" i="5"/>
  <c r="Y916" i="5"/>
  <c r="X916" i="5"/>
  <c r="W916" i="5"/>
  <c r="A917" i="5" a="1"/>
  <c r="A917" i="5" s="1"/>
  <c r="AC916" i="5"/>
  <c r="AB916" i="5"/>
  <c r="AA916" i="5"/>
  <c r="M916" i="5" l="1" a="1"/>
  <c r="M916" i="5" s="1"/>
  <c r="Q916" i="5"/>
  <c r="S916" i="5"/>
  <c r="D916" i="5" a="1"/>
  <c r="D916" i="5" s="1"/>
  <c r="T916" i="5"/>
  <c r="I916" i="5" a="1"/>
  <c r="I916" i="5" s="1"/>
  <c r="V917" i="5" a="1"/>
  <c r="V917" i="5" s="1"/>
  <c r="U917" i="5" a="1"/>
  <c r="U917" i="5" s="1"/>
  <c r="C917" i="5" a="1"/>
  <c r="C917" i="5" s="1"/>
  <c r="B917" i="5"/>
  <c r="G917" i="5" s="1" a="1"/>
  <c r="G917" i="5" s="1"/>
  <c r="E917" i="5" a="1"/>
  <c r="E917" i="5" s="1"/>
  <c r="H916" i="5" a="1"/>
  <c r="H916" i="5" s="1"/>
  <c r="R916" i="5"/>
  <c r="G916" i="5" a="1"/>
  <c r="G916" i="5" s="1"/>
  <c r="L916" i="5" a="1"/>
  <c r="L916" i="5" s="1"/>
  <c r="F916" i="5" a="1"/>
  <c r="F916" i="5" s="1"/>
  <c r="K916" i="5" a="1"/>
  <c r="K916" i="5" s="1"/>
  <c r="P916" i="5" a="1"/>
  <c r="P916" i="5" s="1"/>
  <c r="J916" i="5" a="1"/>
  <c r="J916" i="5" s="1"/>
  <c r="O916" i="5" a="1"/>
  <c r="O916" i="5" s="1"/>
  <c r="AB917" i="5"/>
  <c r="AA917" i="5"/>
  <c r="Z917" i="5"/>
  <c r="X917" i="5"/>
  <c r="W917" i="5"/>
  <c r="A918" i="5" a="1"/>
  <c r="A918" i="5" s="1"/>
  <c r="AC917" i="5"/>
  <c r="Y917" i="5"/>
  <c r="O917" i="5" l="1" a="1"/>
  <c r="O917" i="5" s="1"/>
  <c r="F917" i="5" a="1"/>
  <c r="F917" i="5" s="1"/>
  <c r="J917" i="5" a="1"/>
  <c r="J917" i="5" s="1"/>
  <c r="K917" i="5" a="1"/>
  <c r="K917" i="5" s="1"/>
  <c r="N917" i="5" a="1"/>
  <c r="N917" i="5" s="1"/>
  <c r="I917" i="5" a="1"/>
  <c r="I917" i="5" s="1"/>
  <c r="S917" i="5"/>
  <c r="D917" i="5" a="1"/>
  <c r="D917" i="5" s="1"/>
  <c r="E918" i="5" a="1"/>
  <c r="E918" i="5" s="1"/>
  <c r="V918" i="5" a="1"/>
  <c r="V918" i="5" s="1"/>
  <c r="U918" i="5" a="1"/>
  <c r="U918" i="5" s="1"/>
  <c r="C918" i="5" a="1"/>
  <c r="C918" i="5" s="1"/>
  <c r="B918" i="5"/>
  <c r="Q918" i="5" s="1"/>
  <c r="M917" i="5" a="1"/>
  <c r="M917" i="5" s="1"/>
  <c r="Q917" i="5"/>
  <c r="T917" i="5"/>
  <c r="L917" i="5" a="1"/>
  <c r="L917" i="5" s="1"/>
  <c r="P917" i="5" a="1"/>
  <c r="P917" i="5" s="1"/>
  <c r="H917" i="5" a="1"/>
  <c r="H917" i="5" s="1"/>
  <c r="R917" i="5"/>
  <c r="Y918" i="5"/>
  <c r="X918" i="5"/>
  <c r="W918" i="5"/>
  <c r="A919" i="5" a="1"/>
  <c r="A919" i="5" s="1"/>
  <c r="AC918" i="5"/>
  <c r="AB918" i="5"/>
  <c r="AA918" i="5"/>
  <c r="Z918" i="5"/>
  <c r="H918" i="5" l="1" a="1"/>
  <c r="H918" i="5" s="1"/>
  <c r="R918" i="5"/>
  <c r="T918" i="5"/>
  <c r="L918" i="5" a="1"/>
  <c r="L918" i="5" s="1"/>
  <c r="F918" i="5" a="1"/>
  <c r="F918" i="5" s="1"/>
  <c r="P918" i="5" a="1"/>
  <c r="P918" i="5" s="1"/>
  <c r="J918" i="5" a="1"/>
  <c r="J918" i="5" s="1"/>
  <c r="N918" i="5" a="1"/>
  <c r="N918" i="5" s="1"/>
  <c r="G918" i="5" a="1"/>
  <c r="G918" i="5" s="1"/>
  <c r="K918" i="5" a="1"/>
  <c r="K918" i="5" s="1"/>
  <c r="S918" i="5"/>
  <c r="O918" i="5" a="1"/>
  <c r="O918" i="5" s="1"/>
  <c r="I918" i="5" a="1"/>
  <c r="I918" i="5" s="1"/>
  <c r="U919" i="5" a="1"/>
  <c r="U919" i="5" s="1"/>
  <c r="C919" i="5" a="1"/>
  <c r="C919" i="5" s="1"/>
  <c r="B919" i="5"/>
  <c r="G919" i="5" s="1" a="1"/>
  <c r="G919" i="5" s="1"/>
  <c r="E919" i="5" a="1"/>
  <c r="E919" i="5" s="1"/>
  <c r="V919" i="5" a="1"/>
  <c r="V919" i="5" s="1"/>
  <c r="M918" i="5" a="1"/>
  <c r="M918" i="5" s="1"/>
  <c r="D918" i="5" a="1"/>
  <c r="D918" i="5" s="1"/>
  <c r="AC919" i="5"/>
  <c r="AB919" i="5"/>
  <c r="AA919" i="5"/>
  <c r="Z919" i="5"/>
  <c r="Y919" i="5"/>
  <c r="X919" i="5"/>
  <c r="W919" i="5"/>
  <c r="A920" i="5" a="1"/>
  <c r="A920" i="5" s="1"/>
  <c r="O919" i="5" l="1" a="1"/>
  <c r="O919" i="5" s="1"/>
  <c r="P919" i="5" a="1"/>
  <c r="P919" i="5" s="1"/>
  <c r="D919" i="5" a="1"/>
  <c r="D919" i="5" s="1"/>
  <c r="I919" i="5" a="1"/>
  <c r="I919" i="5" s="1"/>
  <c r="Q919" i="5"/>
  <c r="R919" i="5"/>
  <c r="K919" i="5" a="1"/>
  <c r="K919" i="5" s="1"/>
  <c r="H919" i="5" a="1"/>
  <c r="H919" i="5" s="1"/>
  <c r="F919" i="5" a="1"/>
  <c r="F919" i="5" s="1"/>
  <c r="L919" i="5" a="1"/>
  <c r="L919" i="5" s="1"/>
  <c r="J919" i="5" a="1"/>
  <c r="J919" i="5" s="1"/>
  <c r="N919" i="5" a="1"/>
  <c r="N919" i="5" s="1"/>
  <c r="S919" i="5"/>
  <c r="M919" i="5" a="1"/>
  <c r="M919" i="5" s="1"/>
  <c r="E920" i="5" a="1"/>
  <c r="E920" i="5" s="1"/>
  <c r="V920" i="5" a="1"/>
  <c r="V920" i="5" s="1"/>
  <c r="U920" i="5" a="1"/>
  <c r="U920" i="5" s="1"/>
  <c r="C920" i="5" a="1"/>
  <c r="C920" i="5" s="1"/>
  <c r="B920" i="5"/>
  <c r="Q920" i="5" s="1"/>
  <c r="T919" i="5"/>
  <c r="Y920" i="5"/>
  <c r="X920" i="5"/>
  <c r="W920" i="5"/>
  <c r="A921" i="5" a="1"/>
  <c r="A921" i="5" s="1"/>
  <c r="AC920" i="5"/>
  <c r="AB920" i="5"/>
  <c r="AA920" i="5"/>
  <c r="Z920" i="5"/>
  <c r="P920" i="5" l="1" a="1"/>
  <c r="P920" i="5" s="1"/>
  <c r="R920" i="5"/>
  <c r="G920" i="5" a="1"/>
  <c r="G920" i="5" s="1"/>
  <c r="T920" i="5"/>
  <c r="J920" i="5" a="1"/>
  <c r="J920" i="5" s="1"/>
  <c r="O920" i="5" a="1"/>
  <c r="O920" i="5" s="1"/>
  <c r="I920" i="5" a="1"/>
  <c r="I920" i="5" s="1"/>
  <c r="L920" i="5" a="1"/>
  <c r="L920" i="5" s="1"/>
  <c r="F920" i="5" a="1"/>
  <c r="F920" i="5" s="1"/>
  <c r="V921" i="5" a="1"/>
  <c r="V921" i="5" s="1"/>
  <c r="U921" i="5" a="1"/>
  <c r="U921" i="5" s="1"/>
  <c r="B921" i="5"/>
  <c r="R921" i="5" s="1"/>
  <c r="E921" i="5" a="1"/>
  <c r="E921" i="5" s="1"/>
  <c r="C921" i="5" a="1"/>
  <c r="C921" i="5" s="1"/>
  <c r="N920" i="5" a="1"/>
  <c r="N920" i="5" s="1"/>
  <c r="M920" i="5" a="1"/>
  <c r="M920" i="5" s="1"/>
  <c r="H920" i="5" a="1"/>
  <c r="H920" i="5" s="1"/>
  <c r="K920" i="5" a="1"/>
  <c r="K920" i="5" s="1"/>
  <c r="S920" i="5"/>
  <c r="D920" i="5" a="1"/>
  <c r="D920" i="5" s="1"/>
  <c r="AC921" i="5"/>
  <c r="AB921" i="5"/>
  <c r="AA921" i="5"/>
  <c r="Z921" i="5"/>
  <c r="Y921" i="5"/>
  <c r="X921" i="5"/>
  <c r="W921" i="5"/>
  <c r="A922" i="5" a="1"/>
  <c r="A922" i="5" s="1"/>
  <c r="G921" i="5" l="1" a="1"/>
  <c r="G921" i="5" s="1"/>
  <c r="M921" i="5" a="1"/>
  <c r="M921" i="5" s="1"/>
  <c r="N921" i="5" a="1"/>
  <c r="N921" i="5" s="1"/>
  <c r="H921" i="5" a="1"/>
  <c r="H921" i="5" s="1"/>
  <c r="S921" i="5"/>
  <c r="I921" i="5" a="1"/>
  <c r="I921" i="5" s="1"/>
  <c r="T921" i="5"/>
  <c r="O921" i="5" a="1"/>
  <c r="O921" i="5" s="1"/>
  <c r="J921" i="5" a="1"/>
  <c r="J921" i="5" s="1"/>
  <c r="F921" i="5" a="1"/>
  <c r="F921" i="5" s="1"/>
  <c r="K921" i="5" a="1"/>
  <c r="K921" i="5" s="1"/>
  <c r="P921" i="5" a="1"/>
  <c r="P921" i="5" s="1"/>
  <c r="Q921" i="5"/>
  <c r="L921" i="5" a="1"/>
  <c r="L921" i="5" s="1"/>
  <c r="E922" i="5" a="1"/>
  <c r="E922" i="5" s="1"/>
  <c r="V922" i="5" a="1"/>
  <c r="V922" i="5" s="1"/>
  <c r="U922" i="5" a="1"/>
  <c r="U922" i="5" s="1"/>
  <c r="C922" i="5" a="1"/>
  <c r="C922" i="5" s="1"/>
  <c r="B922" i="5"/>
  <c r="Q922" i="5" s="1"/>
  <c r="D921" i="5" a="1"/>
  <c r="D921" i="5" s="1"/>
  <c r="Y922" i="5"/>
  <c r="X922" i="5"/>
  <c r="W922" i="5"/>
  <c r="A923" i="5" a="1"/>
  <c r="A923" i="5" s="1"/>
  <c r="AC922" i="5"/>
  <c r="AB922" i="5"/>
  <c r="AA922" i="5"/>
  <c r="Z922" i="5"/>
  <c r="P922" i="5" l="1" a="1"/>
  <c r="P922" i="5" s="1"/>
  <c r="J922" i="5" a="1"/>
  <c r="J922" i="5" s="1"/>
  <c r="U923" i="5" a="1"/>
  <c r="U923" i="5" s="1"/>
  <c r="C923" i="5" a="1"/>
  <c r="C923" i="5" s="1"/>
  <c r="B923" i="5"/>
  <c r="S923" i="5" s="1"/>
  <c r="E923" i="5" a="1"/>
  <c r="E923" i="5" s="1"/>
  <c r="V923" i="5" a="1"/>
  <c r="V923" i="5" s="1"/>
  <c r="G922" i="5" a="1"/>
  <c r="G922" i="5" s="1"/>
  <c r="N922" i="5" a="1"/>
  <c r="N922" i="5" s="1"/>
  <c r="R922" i="5"/>
  <c r="T922" i="5"/>
  <c r="K922" i="5" a="1"/>
  <c r="K922" i="5" s="1"/>
  <c r="S922" i="5"/>
  <c r="F922" i="5" a="1"/>
  <c r="F922" i="5" s="1"/>
  <c r="I922" i="5" a="1"/>
  <c r="I922" i="5" s="1"/>
  <c r="O922" i="5" a="1"/>
  <c r="O922" i="5" s="1"/>
  <c r="M922" i="5" a="1"/>
  <c r="M922" i="5" s="1"/>
  <c r="H922" i="5" a="1"/>
  <c r="H922" i="5" s="1"/>
  <c r="L922" i="5" a="1"/>
  <c r="L922" i="5" s="1"/>
  <c r="D922" i="5" a="1"/>
  <c r="D922" i="5" s="1"/>
  <c r="AC923" i="5"/>
  <c r="AB923" i="5"/>
  <c r="AA923" i="5"/>
  <c r="Z923" i="5"/>
  <c r="Y923" i="5"/>
  <c r="X923" i="5"/>
  <c r="W923" i="5"/>
  <c r="A924" i="5" a="1"/>
  <c r="A924" i="5" s="1"/>
  <c r="Q923" i="5" l="1"/>
  <c r="H923" i="5" a="1"/>
  <c r="H923" i="5" s="1"/>
  <c r="R923" i="5"/>
  <c r="L923" i="5" a="1"/>
  <c r="L923" i="5" s="1"/>
  <c r="T923" i="5"/>
  <c r="I923" i="5" a="1"/>
  <c r="I923" i="5" s="1"/>
  <c r="M923" i="5" a="1"/>
  <c r="M923" i="5" s="1"/>
  <c r="G923" i="5" a="1"/>
  <c r="G923" i="5" s="1"/>
  <c r="P923" i="5" a="1"/>
  <c r="P923" i="5" s="1"/>
  <c r="F923" i="5" a="1"/>
  <c r="F923" i="5" s="1"/>
  <c r="K923" i="5" a="1"/>
  <c r="K923" i="5" s="1"/>
  <c r="J923" i="5" a="1"/>
  <c r="J923" i="5" s="1"/>
  <c r="O923" i="5" a="1"/>
  <c r="O923" i="5" s="1"/>
  <c r="E924" i="5" a="1"/>
  <c r="E924" i="5" s="1"/>
  <c r="V924" i="5" a="1"/>
  <c r="V924" i="5" s="1"/>
  <c r="U924" i="5" a="1"/>
  <c r="U924" i="5" s="1"/>
  <c r="C924" i="5" a="1"/>
  <c r="C924" i="5" s="1"/>
  <c r="B924" i="5"/>
  <c r="I924" i="5" s="1" a="1"/>
  <c r="I924" i="5" s="1"/>
  <c r="D923" i="5" a="1"/>
  <c r="D923" i="5" s="1"/>
  <c r="N923" i="5" a="1"/>
  <c r="N923" i="5" s="1"/>
  <c r="Y924" i="5"/>
  <c r="X924" i="5"/>
  <c r="W924" i="5"/>
  <c r="A925" i="5" a="1"/>
  <c r="A925" i="5" s="1"/>
  <c r="AC924" i="5"/>
  <c r="AB924" i="5"/>
  <c r="AA924" i="5"/>
  <c r="Z924" i="5"/>
  <c r="M924" i="5" l="1" a="1"/>
  <c r="M924" i="5" s="1"/>
  <c r="S924" i="5"/>
  <c r="N924" i="5" a="1"/>
  <c r="N924" i="5" s="1"/>
  <c r="Q924" i="5"/>
  <c r="D924" i="5" a="1"/>
  <c r="D924" i="5" s="1"/>
  <c r="H924" i="5" a="1"/>
  <c r="H924" i="5" s="1"/>
  <c r="T924" i="5"/>
  <c r="L924" i="5" a="1"/>
  <c r="L924" i="5" s="1"/>
  <c r="P924" i="5" a="1"/>
  <c r="P924" i="5" s="1"/>
  <c r="G924" i="5" a="1"/>
  <c r="G924" i="5" s="1"/>
  <c r="F924" i="5" a="1"/>
  <c r="F924" i="5" s="1"/>
  <c r="K924" i="5" a="1"/>
  <c r="K924" i="5" s="1"/>
  <c r="R924" i="5"/>
  <c r="B925" i="5"/>
  <c r="T925" i="5" s="1"/>
  <c r="E925" i="5" a="1"/>
  <c r="E925" i="5" s="1"/>
  <c r="V925" i="5" a="1"/>
  <c r="V925" i="5" s="1"/>
  <c r="U925" i="5" a="1"/>
  <c r="U925" i="5" s="1"/>
  <c r="C925" i="5" a="1"/>
  <c r="C925" i="5" s="1"/>
  <c r="J924" i="5" a="1"/>
  <c r="J924" i="5" s="1"/>
  <c r="O924" i="5" a="1"/>
  <c r="O924" i="5" s="1"/>
  <c r="AC925" i="5"/>
  <c r="AB925" i="5"/>
  <c r="AA925" i="5"/>
  <c r="Z925" i="5"/>
  <c r="Y925" i="5"/>
  <c r="X925" i="5"/>
  <c r="W925" i="5"/>
  <c r="A926" i="5" a="1"/>
  <c r="A926" i="5" s="1"/>
  <c r="O925" i="5" l="1" a="1"/>
  <c r="O925" i="5" s="1"/>
  <c r="H925" i="5" a="1"/>
  <c r="H925" i="5" s="1"/>
  <c r="I925" i="5" a="1"/>
  <c r="I925" i="5" s="1"/>
  <c r="R925" i="5"/>
  <c r="G925" i="5" a="1"/>
  <c r="G925" i="5" s="1"/>
  <c r="F925" i="5" a="1"/>
  <c r="F925" i="5" s="1"/>
  <c r="D925" i="5" a="1"/>
  <c r="D925" i="5" s="1"/>
  <c r="J925" i="5" a="1"/>
  <c r="J925" i="5" s="1"/>
  <c r="L925" i="5" a="1"/>
  <c r="L925" i="5" s="1"/>
  <c r="P925" i="5" a="1"/>
  <c r="P925" i="5" s="1"/>
  <c r="N925" i="5" a="1"/>
  <c r="N925" i="5" s="1"/>
  <c r="K925" i="5" a="1"/>
  <c r="K925" i="5" s="1"/>
  <c r="M925" i="5" a="1"/>
  <c r="M925" i="5" s="1"/>
  <c r="S925" i="5"/>
  <c r="Q925" i="5"/>
  <c r="V926" i="5" a="1"/>
  <c r="V926" i="5" s="1"/>
  <c r="U926" i="5" a="1"/>
  <c r="U926" i="5" s="1"/>
  <c r="C926" i="5" a="1"/>
  <c r="C926" i="5" s="1"/>
  <c r="B926" i="5"/>
  <c r="G926" i="5" s="1" a="1"/>
  <c r="G926" i="5" s="1"/>
  <c r="E926" i="5" a="1"/>
  <c r="E926" i="5" s="1"/>
  <c r="Y926" i="5"/>
  <c r="X926" i="5"/>
  <c r="W926" i="5"/>
  <c r="A927" i="5" a="1"/>
  <c r="A927" i="5" s="1"/>
  <c r="AC926" i="5"/>
  <c r="AB926" i="5"/>
  <c r="AA926" i="5"/>
  <c r="Z926" i="5"/>
  <c r="I926" i="5" l="1" a="1"/>
  <c r="I926" i="5" s="1"/>
  <c r="J926" i="5" a="1"/>
  <c r="J926" i="5" s="1"/>
  <c r="N926" i="5" a="1"/>
  <c r="N926" i="5" s="1"/>
  <c r="K926" i="5" a="1"/>
  <c r="K926" i="5" s="1"/>
  <c r="O926" i="5" a="1"/>
  <c r="O926" i="5" s="1"/>
  <c r="F926" i="5" a="1"/>
  <c r="F926" i="5" s="1"/>
  <c r="S926" i="5"/>
  <c r="D926" i="5" a="1"/>
  <c r="D926" i="5" s="1"/>
  <c r="H926" i="5" a="1"/>
  <c r="H926" i="5" s="1"/>
  <c r="M926" i="5" a="1"/>
  <c r="M926" i="5" s="1"/>
  <c r="T926" i="5"/>
  <c r="L926" i="5" a="1"/>
  <c r="L926" i="5" s="1"/>
  <c r="Q926" i="5"/>
  <c r="P926" i="5" a="1"/>
  <c r="P926" i="5" s="1"/>
  <c r="E927" i="5" a="1"/>
  <c r="E927" i="5" s="1"/>
  <c r="V927" i="5" a="1"/>
  <c r="V927" i="5" s="1"/>
  <c r="U927" i="5" a="1"/>
  <c r="U927" i="5" s="1"/>
  <c r="C927" i="5" a="1"/>
  <c r="C927" i="5" s="1"/>
  <c r="B927" i="5"/>
  <c r="R927" i="5" s="1"/>
  <c r="R926" i="5"/>
  <c r="AC927" i="5"/>
  <c r="AB927" i="5"/>
  <c r="AA927" i="5"/>
  <c r="Z927" i="5"/>
  <c r="Y927" i="5"/>
  <c r="X927" i="5"/>
  <c r="W927" i="5"/>
  <c r="A928" i="5" a="1"/>
  <c r="A928" i="5" s="1"/>
  <c r="S927" i="5" l="1"/>
  <c r="M927" i="5" a="1"/>
  <c r="M927" i="5" s="1"/>
  <c r="G927" i="5" a="1"/>
  <c r="G927" i="5" s="1"/>
  <c r="K927" i="5" a="1"/>
  <c r="K927" i="5" s="1"/>
  <c r="F927" i="5" a="1"/>
  <c r="F927" i="5" s="1"/>
  <c r="O927" i="5" a="1"/>
  <c r="O927" i="5" s="1"/>
  <c r="J927" i="5" a="1"/>
  <c r="J927" i="5" s="1"/>
  <c r="I927" i="5" a="1"/>
  <c r="I927" i="5" s="1"/>
  <c r="N927" i="5" a="1"/>
  <c r="N927" i="5" s="1"/>
  <c r="D927" i="5" a="1"/>
  <c r="D927" i="5" s="1"/>
  <c r="L927" i="5" a="1"/>
  <c r="L927" i="5" s="1"/>
  <c r="T927" i="5"/>
  <c r="P927" i="5" a="1"/>
  <c r="P927" i="5" s="1"/>
  <c r="U928" i="5" a="1"/>
  <c r="U928" i="5" s="1"/>
  <c r="C928" i="5" a="1"/>
  <c r="C928" i="5" s="1"/>
  <c r="B928" i="5"/>
  <c r="N928" i="5" s="1" a="1"/>
  <c r="N928" i="5" s="1"/>
  <c r="E928" i="5" a="1"/>
  <c r="E928" i="5" s="1"/>
  <c r="V928" i="5" a="1"/>
  <c r="V928" i="5" s="1"/>
  <c r="Q927" i="5"/>
  <c r="H927" i="5" a="1"/>
  <c r="H927" i="5" s="1"/>
  <c r="A929" i="5" a="1"/>
  <c r="A929" i="5" s="1"/>
  <c r="AC928" i="5"/>
  <c r="AB928" i="5"/>
  <c r="Z928" i="5"/>
  <c r="X928" i="5"/>
  <c r="AA928" i="5"/>
  <c r="Y928" i="5"/>
  <c r="W928" i="5"/>
  <c r="D928" i="5" l="1" a="1"/>
  <c r="D928" i="5" s="1"/>
  <c r="T928" i="5"/>
  <c r="I928" i="5" a="1"/>
  <c r="I928" i="5" s="1"/>
  <c r="M928" i="5" a="1"/>
  <c r="M928" i="5" s="1"/>
  <c r="Q928" i="5"/>
  <c r="S928" i="5"/>
  <c r="V929" i="5" a="1"/>
  <c r="V929" i="5" s="1"/>
  <c r="U929" i="5" a="1"/>
  <c r="U929" i="5" s="1"/>
  <c r="C929" i="5" a="1"/>
  <c r="C929" i="5" s="1"/>
  <c r="B929" i="5"/>
  <c r="G929" i="5" s="1" a="1"/>
  <c r="G929" i="5" s="1"/>
  <c r="E929" i="5" a="1"/>
  <c r="E929" i="5" s="1"/>
  <c r="H928" i="5" a="1"/>
  <c r="H928" i="5" s="1"/>
  <c r="R928" i="5"/>
  <c r="G928" i="5" a="1"/>
  <c r="G928" i="5" s="1"/>
  <c r="L928" i="5" a="1"/>
  <c r="L928" i="5" s="1"/>
  <c r="F928" i="5" a="1"/>
  <c r="F928" i="5" s="1"/>
  <c r="K928" i="5" a="1"/>
  <c r="K928" i="5" s="1"/>
  <c r="P928" i="5" a="1"/>
  <c r="P928" i="5" s="1"/>
  <c r="J928" i="5" a="1"/>
  <c r="J928" i="5" s="1"/>
  <c r="O928" i="5" a="1"/>
  <c r="O928" i="5" s="1"/>
  <c r="Z929" i="5"/>
  <c r="Y929" i="5"/>
  <c r="X929" i="5"/>
  <c r="W929" i="5"/>
  <c r="A930" i="5" a="1"/>
  <c r="A930" i="5" s="1"/>
  <c r="AC929" i="5"/>
  <c r="AB929" i="5"/>
  <c r="AA929" i="5"/>
  <c r="J929" i="5" l="1" a="1"/>
  <c r="J929" i="5" s="1"/>
  <c r="F929" i="5" a="1"/>
  <c r="F929" i="5" s="1"/>
  <c r="I929" i="5" a="1"/>
  <c r="I929" i="5" s="1"/>
  <c r="N929" i="5" a="1"/>
  <c r="N929" i="5" s="1"/>
  <c r="K929" i="5" a="1"/>
  <c r="K929" i="5" s="1"/>
  <c r="O929" i="5" a="1"/>
  <c r="O929" i="5" s="1"/>
  <c r="S929" i="5"/>
  <c r="D929" i="5" a="1"/>
  <c r="D929" i="5" s="1"/>
  <c r="H929" i="5" a="1"/>
  <c r="H929" i="5" s="1"/>
  <c r="E930" i="5" a="1"/>
  <c r="E930" i="5" s="1"/>
  <c r="V930" i="5" a="1"/>
  <c r="V930" i="5" s="1"/>
  <c r="U930" i="5" a="1"/>
  <c r="U930" i="5" s="1"/>
  <c r="C930" i="5" a="1"/>
  <c r="C930" i="5" s="1"/>
  <c r="B930" i="5"/>
  <c r="Q930" i="5" s="1"/>
  <c r="M929" i="5" a="1"/>
  <c r="M929" i="5" s="1"/>
  <c r="T929" i="5"/>
  <c r="L929" i="5" a="1"/>
  <c r="L929" i="5" s="1"/>
  <c r="Q929" i="5"/>
  <c r="P929" i="5" a="1"/>
  <c r="P929" i="5" s="1"/>
  <c r="R929" i="5"/>
  <c r="A931" i="5" a="1"/>
  <c r="A931" i="5" s="1"/>
  <c r="AC930" i="5"/>
  <c r="AB930" i="5"/>
  <c r="AA930" i="5"/>
  <c r="Z930" i="5"/>
  <c r="Y930" i="5"/>
  <c r="X930" i="5"/>
  <c r="W930" i="5"/>
  <c r="H930" i="5" l="1" a="1"/>
  <c r="H930" i="5" s="1"/>
  <c r="P930" i="5" a="1"/>
  <c r="P930" i="5" s="1"/>
  <c r="J930" i="5" a="1"/>
  <c r="J930" i="5" s="1"/>
  <c r="T930" i="5"/>
  <c r="F930" i="5" a="1"/>
  <c r="F930" i="5" s="1"/>
  <c r="G930" i="5" a="1"/>
  <c r="G930" i="5" s="1"/>
  <c r="N930" i="5" a="1"/>
  <c r="N930" i="5" s="1"/>
  <c r="L930" i="5" a="1"/>
  <c r="L930" i="5" s="1"/>
  <c r="K930" i="5" a="1"/>
  <c r="K930" i="5" s="1"/>
  <c r="S930" i="5"/>
  <c r="O930" i="5" a="1"/>
  <c r="O930" i="5" s="1"/>
  <c r="I930" i="5" a="1"/>
  <c r="I930" i="5" s="1"/>
  <c r="U931" i="5" a="1"/>
  <c r="U931" i="5" s="1"/>
  <c r="C931" i="5" a="1"/>
  <c r="C931" i="5" s="1"/>
  <c r="B931" i="5"/>
  <c r="Q931" i="5" s="1"/>
  <c r="E931" i="5" a="1"/>
  <c r="E931" i="5" s="1"/>
  <c r="V931" i="5" a="1"/>
  <c r="V931" i="5" s="1"/>
  <c r="M930" i="5" a="1"/>
  <c r="M930" i="5" s="1"/>
  <c r="R930" i="5"/>
  <c r="D930" i="5" a="1"/>
  <c r="D930" i="5" s="1"/>
  <c r="Z931" i="5"/>
  <c r="Y931" i="5"/>
  <c r="X931" i="5"/>
  <c r="W931" i="5"/>
  <c r="A932" i="5" a="1"/>
  <c r="A932" i="5" s="1"/>
  <c r="AC931" i="5"/>
  <c r="AB931" i="5"/>
  <c r="AA931" i="5"/>
  <c r="I931" i="5" l="1" a="1"/>
  <c r="I931" i="5" s="1"/>
  <c r="O931" i="5" a="1"/>
  <c r="O931" i="5" s="1"/>
  <c r="D931" i="5" a="1"/>
  <c r="D931" i="5" s="1"/>
  <c r="H931" i="5" a="1"/>
  <c r="H931" i="5" s="1"/>
  <c r="G931" i="5" a="1"/>
  <c r="G931" i="5" s="1"/>
  <c r="K931" i="5" a="1"/>
  <c r="K931" i="5" s="1"/>
  <c r="R931" i="5"/>
  <c r="F931" i="5" a="1"/>
  <c r="F931" i="5" s="1"/>
  <c r="J931" i="5" a="1"/>
  <c r="J931" i="5" s="1"/>
  <c r="N931" i="5" a="1"/>
  <c r="N931" i="5" s="1"/>
  <c r="L931" i="5" a="1"/>
  <c r="L931" i="5" s="1"/>
  <c r="P931" i="5" a="1"/>
  <c r="P931" i="5" s="1"/>
  <c r="S931" i="5"/>
  <c r="M931" i="5" a="1"/>
  <c r="M931" i="5" s="1"/>
  <c r="T931" i="5"/>
  <c r="E932" i="5" a="1"/>
  <c r="E932" i="5" s="1"/>
  <c r="V932" i="5" a="1"/>
  <c r="V932" i="5" s="1"/>
  <c r="U932" i="5" a="1"/>
  <c r="U932" i="5" s="1"/>
  <c r="C932" i="5" a="1"/>
  <c r="C932" i="5" s="1"/>
  <c r="B932" i="5"/>
  <c r="P932" i="5" s="1" a="1"/>
  <c r="P932" i="5" s="1"/>
  <c r="A933" i="5" a="1"/>
  <c r="A933" i="5" s="1"/>
  <c r="AC932" i="5"/>
  <c r="AB932" i="5"/>
  <c r="AA932" i="5"/>
  <c r="Z932" i="5"/>
  <c r="Y932" i="5"/>
  <c r="X932" i="5"/>
  <c r="W932" i="5"/>
  <c r="S932" i="5" l="1"/>
  <c r="I932" i="5" a="1"/>
  <c r="I932" i="5" s="1"/>
  <c r="G932" i="5" a="1"/>
  <c r="G932" i="5" s="1"/>
  <c r="Q932" i="5"/>
  <c r="K932" i="5" a="1"/>
  <c r="K932" i="5" s="1"/>
  <c r="R932" i="5"/>
  <c r="O932" i="5" a="1"/>
  <c r="O932" i="5" s="1"/>
  <c r="F932" i="5" a="1"/>
  <c r="F932" i="5" s="1"/>
  <c r="J932" i="5" a="1"/>
  <c r="J932" i="5" s="1"/>
  <c r="D932" i="5" a="1"/>
  <c r="D932" i="5" s="1"/>
  <c r="N932" i="5" a="1"/>
  <c r="N932" i="5" s="1"/>
  <c r="M932" i="5" a="1"/>
  <c r="M932" i="5" s="1"/>
  <c r="H932" i="5" a="1"/>
  <c r="H932" i="5" s="1"/>
  <c r="T932" i="5"/>
  <c r="L932" i="5" a="1"/>
  <c r="L932" i="5" s="1"/>
  <c r="B933" i="5"/>
  <c r="N933" i="5" s="1" a="1"/>
  <c r="N933" i="5" s="1"/>
  <c r="E933" i="5" a="1"/>
  <c r="E933" i="5" s="1"/>
  <c r="V933" i="5" a="1"/>
  <c r="V933" i="5" s="1"/>
  <c r="C933" i="5" a="1"/>
  <c r="C933" i="5" s="1"/>
  <c r="U933" i="5" a="1"/>
  <c r="U933" i="5" s="1"/>
  <c r="Z933" i="5"/>
  <c r="Y933" i="5"/>
  <c r="X933" i="5"/>
  <c r="W933" i="5"/>
  <c r="A934" i="5" a="1"/>
  <c r="A934" i="5" s="1"/>
  <c r="AC933" i="5"/>
  <c r="AB933" i="5"/>
  <c r="AA933" i="5"/>
  <c r="S933" i="5" l="1"/>
  <c r="V934" i="5" a="1"/>
  <c r="V934" i="5" s="1"/>
  <c r="U934" i="5" a="1"/>
  <c r="U934" i="5" s="1"/>
  <c r="C934" i="5" a="1"/>
  <c r="C934" i="5" s="1"/>
  <c r="B934" i="5"/>
  <c r="G934" i="5" s="1" a="1"/>
  <c r="G934" i="5" s="1"/>
  <c r="E934" i="5" a="1"/>
  <c r="E934" i="5" s="1"/>
  <c r="Q933" i="5"/>
  <c r="K933" i="5" a="1"/>
  <c r="K933" i="5" s="1"/>
  <c r="T933" i="5"/>
  <c r="D933" i="5" a="1"/>
  <c r="D933" i="5" s="1"/>
  <c r="H933" i="5" a="1"/>
  <c r="H933" i="5" s="1"/>
  <c r="R933" i="5"/>
  <c r="L933" i="5" a="1"/>
  <c r="L933" i="5" s="1"/>
  <c r="F933" i="5" a="1"/>
  <c r="F933" i="5" s="1"/>
  <c r="I933" i="5" a="1"/>
  <c r="I933" i="5" s="1"/>
  <c r="M933" i="5" a="1"/>
  <c r="M933" i="5" s="1"/>
  <c r="O933" i="5" a="1"/>
  <c r="O933" i="5" s="1"/>
  <c r="P933" i="5" a="1"/>
  <c r="P933" i="5" s="1"/>
  <c r="J933" i="5" a="1"/>
  <c r="J933" i="5" s="1"/>
  <c r="G933" i="5" a="1"/>
  <c r="G933" i="5" s="1"/>
  <c r="A935" i="5" a="1"/>
  <c r="A935" i="5" s="1"/>
  <c r="AC934" i="5"/>
  <c r="AB934" i="5"/>
  <c r="AA934" i="5"/>
  <c r="Z934" i="5"/>
  <c r="Y934" i="5"/>
  <c r="X934" i="5"/>
  <c r="W934" i="5"/>
  <c r="J934" i="5" l="1" a="1"/>
  <c r="J934" i="5" s="1"/>
  <c r="K934" i="5" a="1"/>
  <c r="K934" i="5" s="1"/>
  <c r="O934" i="5" a="1"/>
  <c r="O934" i="5" s="1"/>
  <c r="F934" i="5" a="1"/>
  <c r="F934" i="5" s="1"/>
  <c r="N934" i="5" a="1"/>
  <c r="N934" i="5" s="1"/>
  <c r="S934" i="5"/>
  <c r="D934" i="5" a="1"/>
  <c r="D934" i="5" s="1"/>
  <c r="M934" i="5" a="1"/>
  <c r="M934" i="5" s="1"/>
  <c r="T934" i="5"/>
  <c r="L934" i="5" a="1"/>
  <c r="L934" i="5" s="1"/>
  <c r="I934" i="5" a="1"/>
  <c r="I934" i="5" s="1"/>
  <c r="H934" i="5" a="1"/>
  <c r="H934" i="5" s="1"/>
  <c r="Q934" i="5"/>
  <c r="P934" i="5" a="1"/>
  <c r="P934" i="5" s="1"/>
  <c r="E935" i="5" a="1"/>
  <c r="E935" i="5" s="1"/>
  <c r="V935" i="5" a="1"/>
  <c r="V935" i="5" s="1"/>
  <c r="U935" i="5" a="1"/>
  <c r="U935" i="5" s="1"/>
  <c r="C935" i="5" a="1"/>
  <c r="C935" i="5" s="1"/>
  <c r="B935" i="5"/>
  <c r="P935" i="5" s="1" a="1"/>
  <c r="P935" i="5" s="1"/>
  <c r="R934" i="5"/>
  <c r="Z935" i="5"/>
  <c r="Y935" i="5"/>
  <c r="X935" i="5"/>
  <c r="W935" i="5"/>
  <c r="A936" i="5" a="1"/>
  <c r="A936" i="5" s="1"/>
  <c r="AC935" i="5"/>
  <c r="AB935" i="5"/>
  <c r="AA935" i="5"/>
  <c r="I935" i="5" l="1" a="1"/>
  <c r="I935" i="5" s="1"/>
  <c r="G935" i="5" a="1"/>
  <c r="G935" i="5" s="1"/>
  <c r="Q935" i="5"/>
  <c r="K935" i="5" a="1"/>
  <c r="K935" i="5" s="1"/>
  <c r="J935" i="5" a="1"/>
  <c r="J935" i="5" s="1"/>
  <c r="O935" i="5" a="1"/>
  <c r="O935" i="5" s="1"/>
  <c r="N935" i="5" a="1"/>
  <c r="N935" i="5" s="1"/>
  <c r="S935" i="5"/>
  <c r="D935" i="5" a="1"/>
  <c r="D935" i="5" s="1"/>
  <c r="F935" i="5" a="1"/>
  <c r="F935" i="5" s="1"/>
  <c r="U936" i="5" a="1"/>
  <c r="U936" i="5" s="1"/>
  <c r="C936" i="5" a="1"/>
  <c r="C936" i="5" s="1"/>
  <c r="B936" i="5"/>
  <c r="N936" i="5" s="1" a="1"/>
  <c r="N936" i="5" s="1"/>
  <c r="E936" i="5" a="1"/>
  <c r="E936" i="5" s="1"/>
  <c r="V936" i="5" a="1"/>
  <c r="V936" i="5" s="1"/>
  <c r="M935" i="5" a="1"/>
  <c r="M935" i="5" s="1"/>
  <c r="H935" i="5" a="1"/>
  <c r="H935" i="5" s="1"/>
  <c r="R935" i="5"/>
  <c r="T935" i="5"/>
  <c r="L935" i="5" a="1"/>
  <c r="L935" i="5" s="1"/>
  <c r="A937" i="5" a="1"/>
  <c r="A937" i="5" s="1"/>
  <c r="AC936" i="5"/>
  <c r="AB936" i="5"/>
  <c r="AA936" i="5"/>
  <c r="Z936" i="5"/>
  <c r="Y936" i="5"/>
  <c r="X936" i="5"/>
  <c r="W936" i="5"/>
  <c r="I936" i="5" l="1" a="1"/>
  <c r="I936" i="5" s="1"/>
  <c r="M936" i="5" a="1"/>
  <c r="M936" i="5" s="1"/>
  <c r="S936" i="5"/>
  <c r="T936" i="5"/>
  <c r="D936" i="5" a="1"/>
  <c r="D936" i="5" s="1"/>
  <c r="Q936" i="5"/>
  <c r="H936" i="5" a="1"/>
  <c r="H936" i="5" s="1"/>
  <c r="R936" i="5"/>
  <c r="G936" i="5" a="1"/>
  <c r="G936" i="5" s="1"/>
  <c r="V937" i="5" a="1"/>
  <c r="V937" i="5" s="1"/>
  <c r="U937" i="5" a="1"/>
  <c r="U937" i="5" s="1"/>
  <c r="C937" i="5" a="1"/>
  <c r="C937" i="5" s="1"/>
  <c r="B937" i="5"/>
  <c r="H937" i="5" s="1" a="1"/>
  <c r="H937" i="5" s="1"/>
  <c r="E937" i="5" a="1"/>
  <c r="E937" i="5" s="1"/>
  <c r="L936" i="5" a="1"/>
  <c r="L936" i="5" s="1"/>
  <c r="F936" i="5" a="1"/>
  <c r="F936" i="5" s="1"/>
  <c r="K936" i="5" a="1"/>
  <c r="K936" i="5" s="1"/>
  <c r="P936" i="5" a="1"/>
  <c r="P936" i="5" s="1"/>
  <c r="J936" i="5" a="1"/>
  <c r="J936" i="5" s="1"/>
  <c r="O936" i="5" a="1"/>
  <c r="O936" i="5" s="1"/>
  <c r="Z937" i="5"/>
  <c r="Y937" i="5"/>
  <c r="X937" i="5"/>
  <c r="W937" i="5"/>
  <c r="A938" i="5" a="1"/>
  <c r="A938" i="5" s="1"/>
  <c r="AC937" i="5"/>
  <c r="AB937" i="5"/>
  <c r="AA937" i="5"/>
  <c r="N937" i="5" l="1" a="1"/>
  <c r="N937" i="5" s="1"/>
  <c r="P937" i="5" a="1"/>
  <c r="P937" i="5" s="1"/>
  <c r="I937" i="5" a="1"/>
  <c r="I937" i="5" s="1"/>
  <c r="T937" i="5"/>
  <c r="M937" i="5" a="1"/>
  <c r="M937" i="5" s="1"/>
  <c r="Q937" i="5"/>
  <c r="G937" i="5" a="1"/>
  <c r="G937" i="5" s="1"/>
  <c r="R937" i="5"/>
  <c r="K937" i="5" a="1"/>
  <c r="K937" i="5" s="1"/>
  <c r="F937" i="5" a="1"/>
  <c r="F937" i="5" s="1"/>
  <c r="O937" i="5" a="1"/>
  <c r="O937" i="5" s="1"/>
  <c r="J937" i="5" a="1"/>
  <c r="J937" i="5" s="1"/>
  <c r="S937" i="5"/>
  <c r="D937" i="5" a="1"/>
  <c r="D937" i="5" s="1"/>
  <c r="L937" i="5" a="1"/>
  <c r="L937" i="5" s="1"/>
  <c r="E938" i="5" a="1"/>
  <c r="E938" i="5" s="1"/>
  <c r="V938" i="5" a="1"/>
  <c r="V938" i="5" s="1"/>
  <c r="U938" i="5" a="1"/>
  <c r="U938" i="5" s="1"/>
  <c r="C938" i="5" a="1"/>
  <c r="C938" i="5" s="1"/>
  <c r="B938" i="5"/>
  <c r="S938" i="5" s="1"/>
  <c r="A939" i="5" a="1"/>
  <c r="A939" i="5" s="1"/>
  <c r="AC938" i="5"/>
  <c r="AB938" i="5"/>
  <c r="AA938" i="5"/>
  <c r="Z938" i="5"/>
  <c r="Y938" i="5"/>
  <c r="X938" i="5"/>
  <c r="W938" i="5"/>
  <c r="I938" i="5" l="1" a="1"/>
  <c r="I938" i="5" s="1"/>
  <c r="M938" i="5" a="1"/>
  <c r="M938" i="5" s="1"/>
  <c r="Q938" i="5"/>
  <c r="O938" i="5" a="1"/>
  <c r="O938" i="5" s="1"/>
  <c r="D938" i="5" a="1"/>
  <c r="D938" i="5" s="1"/>
  <c r="T938" i="5"/>
  <c r="H938" i="5" a="1"/>
  <c r="H938" i="5" s="1"/>
  <c r="R938" i="5"/>
  <c r="L938" i="5" a="1"/>
  <c r="L938" i="5" s="1"/>
  <c r="F938" i="5" a="1"/>
  <c r="F938" i="5" s="1"/>
  <c r="U939" i="5" a="1"/>
  <c r="U939" i="5" s="1"/>
  <c r="C939" i="5" a="1"/>
  <c r="C939" i="5" s="1"/>
  <c r="B939" i="5"/>
  <c r="G939" i="5" s="1" a="1"/>
  <c r="G939" i="5" s="1"/>
  <c r="E939" i="5" a="1"/>
  <c r="E939" i="5" s="1"/>
  <c r="V939" i="5" a="1"/>
  <c r="V939" i="5" s="1"/>
  <c r="P938" i="5" a="1"/>
  <c r="P938" i="5" s="1"/>
  <c r="J938" i="5" a="1"/>
  <c r="J938" i="5" s="1"/>
  <c r="G938" i="5" a="1"/>
  <c r="G938" i="5" s="1"/>
  <c r="N938" i="5" a="1"/>
  <c r="N938" i="5" s="1"/>
  <c r="K938" i="5" a="1"/>
  <c r="K938" i="5" s="1"/>
  <c r="Z939" i="5"/>
  <c r="Y939" i="5"/>
  <c r="X939" i="5"/>
  <c r="W939" i="5"/>
  <c r="A940" i="5" a="1"/>
  <c r="A940" i="5" s="1"/>
  <c r="AC939" i="5"/>
  <c r="AB939" i="5"/>
  <c r="AA939" i="5"/>
  <c r="F939" i="5" l="1" a="1"/>
  <c r="F939" i="5" s="1"/>
  <c r="K939" i="5" a="1"/>
  <c r="K939" i="5" s="1"/>
  <c r="I939" i="5" a="1"/>
  <c r="I939" i="5" s="1"/>
  <c r="L939" i="5" a="1"/>
  <c r="L939" i="5" s="1"/>
  <c r="P939" i="5" a="1"/>
  <c r="P939" i="5" s="1"/>
  <c r="J939" i="5" a="1"/>
  <c r="J939" i="5" s="1"/>
  <c r="O939" i="5" a="1"/>
  <c r="O939" i="5" s="1"/>
  <c r="N939" i="5" a="1"/>
  <c r="N939" i="5" s="1"/>
  <c r="S939" i="5"/>
  <c r="E940" i="5" a="1"/>
  <c r="E940" i="5" s="1"/>
  <c r="V940" i="5" a="1"/>
  <c r="V940" i="5" s="1"/>
  <c r="U940" i="5" a="1"/>
  <c r="U940" i="5" s="1"/>
  <c r="C940" i="5" a="1"/>
  <c r="C940" i="5" s="1"/>
  <c r="B940" i="5"/>
  <c r="K940" i="5" s="1" a="1"/>
  <c r="K940" i="5" s="1"/>
  <c r="M939" i="5" a="1"/>
  <c r="M939" i="5" s="1"/>
  <c r="T939" i="5"/>
  <c r="D939" i="5" a="1"/>
  <c r="D939" i="5" s="1"/>
  <c r="Q939" i="5"/>
  <c r="H939" i="5" a="1"/>
  <c r="H939" i="5" s="1"/>
  <c r="R939" i="5"/>
  <c r="A941" i="5" a="1"/>
  <c r="A941" i="5" s="1"/>
  <c r="AC940" i="5"/>
  <c r="AB940" i="5"/>
  <c r="AA940" i="5"/>
  <c r="Z940" i="5"/>
  <c r="Y940" i="5"/>
  <c r="X940" i="5"/>
  <c r="W940" i="5"/>
  <c r="M940" i="5" l="1" a="1"/>
  <c r="M940" i="5" s="1"/>
  <c r="N940" i="5" a="1"/>
  <c r="N940" i="5" s="1"/>
  <c r="J940" i="5" a="1"/>
  <c r="J940" i="5" s="1"/>
  <c r="I940" i="5" a="1"/>
  <c r="I940" i="5" s="1"/>
  <c r="O940" i="5" a="1"/>
  <c r="O940" i="5" s="1"/>
  <c r="S940" i="5"/>
  <c r="D940" i="5" a="1"/>
  <c r="D940" i="5" s="1"/>
  <c r="Q940" i="5"/>
  <c r="H940" i="5" a="1"/>
  <c r="H940" i="5" s="1"/>
  <c r="T940" i="5"/>
  <c r="L940" i="5" a="1"/>
  <c r="L940" i="5" s="1"/>
  <c r="P940" i="5" a="1"/>
  <c r="P940" i="5" s="1"/>
  <c r="R940" i="5"/>
  <c r="G940" i="5" a="1"/>
  <c r="G940" i="5" s="1"/>
  <c r="B941" i="5"/>
  <c r="Q941" i="5" s="1"/>
  <c r="E941" i="5" a="1"/>
  <c r="E941" i="5" s="1"/>
  <c r="V941" i="5" a="1"/>
  <c r="V941" i="5" s="1"/>
  <c r="U941" i="5" a="1"/>
  <c r="U941" i="5" s="1"/>
  <c r="C941" i="5" a="1"/>
  <c r="C941" i="5" s="1"/>
  <c r="F940" i="5" a="1"/>
  <c r="F940" i="5" s="1"/>
  <c r="Z941" i="5"/>
  <c r="Y941" i="5"/>
  <c r="X941" i="5"/>
  <c r="W941" i="5"/>
  <c r="A942" i="5" a="1"/>
  <c r="A942" i="5" s="1"/>
  <c r="AC941" i="5"/>
  <c r="AB941" i="5"/>
  <c r="AA941" i="5"/>
  <c r="N941" i="5" l="1" a="1"/>
  <c r="N941" i="5" s="1"/>
  <c r="G941" i="5" a="1"/>
  <c r="G941" i="5" s="1"/>
  <c r="K941" i="5" a="1"/>
  <c r="K941" i="5" s="1"/>
  <c r="L941" i="5" a="1"/>
  <c r="L941" i="5" s="1"/>
  <c r="P941" i="5" a="1"/>
  <c r="P941" i="5" s="1"/>
  <c r="J941" i="5" a="1"/>
  <c r="J941" i="5" s="1"/>
  <c r="S941" i="5"/>
  <c r="I941" i="5" a="1"/>
  <c r="I941" i="5" s="1"/>
  <c r="O941" i="5" a="1"/>
  <c r="O941" i="5" s="1"/>
  <c r="M941" i="5" a="1"/>
  <c r="M941" i="5" s="1"/>
  <c r="R941" i="5"/>
  <c r="H941" i="5" a="1"/>
  <c r="H941" i="5" s="1"/>
  <c r="F941" i="5" a="1"/>
  <c r="F941" i="5" s="1"/>
  <c r="V942" i="5" a="1"/>
  <c r="V942" i="5" s="1"/>
  <c r="U942" i="5" a="1"/>
  <c r="U942" i="5" s="1"/>
  <c r="C942" i="5" a="1"/>
  <c r="C942" i="5" s="1"/>
  <c r="B942" i="5"/>
  <c r="G942" i="5" s="1" a="1"/>
  <c r="G942" i="5" s="1"/>
  <c r="E942" i="5" a="1"/>
  <c r="E942" i="5" s="1"/>
  <c r="T941" i="5"/>
  <c r="D941" i="5" a="1"/>
  <c r="D941" i="5" s="1"/>
  <c r="A943" i="5" a="1"/>
  <c r="A943" i="5" s="1"/>
  <c r="AC942" i="5"/>
  <c r="AB942" i="5"/>
  <c r="AA942" i="5"/>
  <c r="Z942" i="5"/>
  <c r="Y942" i="5"/>
  <c r="X942" i="5"/>
  <c r="W942" i="5"/>
  <c r="S942" i="5" l="1"/>
  <c r="N942" i="5" a="1"/>
  <c r="N942" i="5" s="1"/>
  <c r="J942" i="5" a="1"/>
  <c r="J942" i="5" s="1"/>
  <c r="I942" i="5" a="1"/>
  <c r="I942" i="5" s="1"/>
  <c r="K942" i="5" a="1"/>
  <c r="K942" i="5" s="1"/>
  <c r="Q942" i="5"/>
  <c r="O942" i="5" a="1"/>
  <c r="O942" i="5" s="1"/>
  <c r="F942" i="5" a="1"/>
  <c r="F942" i="5" s="1"/>
  <c r="E943" i="5" a="1"/>
  <c r="E943" i="5" s="1"/>
  <c r="V943" i="5" a="1"/>
  <c r="V943" i="5" s="1"/>
  <c r="U943" i="5" a="1"/>
  <c r="U943" i="5" s="1"/>
  <c r="C943" i="5" a="1"/>
  <c r="C943" i="5" s="1"/>
  <c r="B943" i="5"/>
  <c r="R943" i="5" s="1"/>
  <c r="D942" i="5" a="1"/>
  <c r="D942" i="5" s="1"/>
  <c r="H942" i="5" a="1"/>
  <c r="H942" i="5" s="1"/>
  <c r="M942" i="5" a="1"/>
  <c r="M942" i="5" s="1"/>
  <c r="T942" i="5"/>
  <c r="L942" i="5" a="1"/>
  <c r="L942" i="5" s="1"/>
  <c r="P942" i="5" a="1"/>
  <c r="P942" i="5" s="1"/>
  <c r="R942" i="5"/>
  <c r="Z943" i="5"/>
  <c r="Y943" i="5"/>
  <c r="X943" i="5"/>
  <c r="W943" i="5"/>
  <c r="A944" i="5" a="1"/>
  <c r="A944" i="5" s="1"/>
  <c r="AC943" i="5"/>
  <c r="AB943" i="5"/>
  <c r="AA943" i="5"/>
  <c r="N943" i="5" l="1" a="1"/>
  <c r="N943" i="5" s="1"/>
  <c r="G943" i="5" a="1"/>
  <c r="G943" i="5" s="1"/>
  <c r="K943" i="5" a="1"/>
  <c r="K943" i="5" s="1"/>
  <c r="O943" i="5" a="1"/>
  <c r="O943" i="5" s="1"/>
  <c r="F943" i="5" a="1"/>
  <c r="F943" i="5" s="1"/>
  <c r="J943" i="5" a="1"/>
  <c r="J943" i="5" s="1"/>
  <c r="I943" i="5" a="1"/>
  <c r="I943" i="5" s="1"/>
  <c r="S943" i="5"/>
  <c r="D943" i="5" a="1"/>
  <c r="D943" i="5" s="1"/>
  <c r="L943" i="5" a="1"/>
  <c r="L943" i="5" s="1"/>
  <c r="T943" i="5"/>
  <c r="P943" i="5" a="1"/>
  <c r="P943" i="5" s="1"/>
  <c r="M943" i="5" a="1"/>
  <c r="M943" i="5" s="1"/>
  <c r="Q943" i="5"/>
  <c r="U944" i="5" a="1"/>
  <c r="U944" i="5" s="1"/>
  <c r="C944" i="5" a="1"/>
  <c r="C944" i="5" s="1"/>
  <c r="B944" i="5"/>
  <c r="S944" i="5" s="1"/>
  <c r="E944" i="5" a="1"/>
  <c r="E944" i="5" s="1"/>
  <c r="V944" i="5" a="1"/>
  <c r="V944" i="5" s="1"/>
  <c r="H943" i="5" a="1"/>
  <c r="H943" i="5" s="1"/>
  <c r="A945" i="5" a="1"/>
  <c r="A945" i="5" s="1"/>
  <c r="AC944" i="5"/>
  <c r="AB944" i="5"/>
  <c r="AA944" i="5"/>
  <c r="Z944" i="5"/>
  <c r="Y944" i="5"/>
  <c r="X944" i="5"/>
  <c r="W944" i="5"/>
  <c r="D944" i="5" l="1" a="1"/>
  <c r="D944" i="5" s="1"/>
  <c r="H944" i="5" a="1"/>
  <c r="H944" i="5" s="1"/>
  <c r="L944" i="5" a="1"/>
  <c r="L944" i="5" s="1"/>
  <c r="F944" i="5" a="1"/>
  <c r="F944" i="5" s="1"/>
  <c r="R944" i="5"/>
  <c r="Q944" i="5"/>
  <c r="T944" i="5"/>
  <c r="I944" i="5" a="1"/>
  <c r="I944" i="5" s="1"/>
  <c r="G944" i="5" a="1"/>
  <c r="G944" i="5" s="1"/>
  <c r="M944" i="5" a="1"/>
  <c r="M944" i="5" s="1"/>
  <c r="K944" i="5" a="1"/>
  <c r="K944" i="5" s="1"/>
  <c r="P944" i="5" a="1"/>
  <c r="P944" i="5" s="1"/>
  <c r="J944" i="5" a="1"/>
  <c r="J944" i="5" s="1"/>
  <c r="O944" i="5" a="1"/>
  <c r="O944" i="5" s="1"/>
  <c r="N944" i="5" a="1"/>
  <c r="N944" i="5" s="1"/>
  <c r="V945" i="5" a="1"/>
  <c r="V945" i="5" s="1"/>
  <c r="U945" i="5" a="1"/>
  <c r="U945" i="5" s="1"/>
  <c r="C945" i="5" a="1"/>
  <c r="C945" i="5" s="1"/>
  <c r="B945" i="5"/>
  <c r="H945" i="5" s="1" a="1"/>
  <c r="H945" i="5" s="1"/>
  <c r="E945" i="5" a="1"/>
  <c r="E945" i="5" s="1"/>
  <c r="Z945" i="5"/>
  <c r="Y945" i="5"/>
  <c r="X945" i="5"/>
  <c r="W945" i="5"/>
  <c r="A946" i="5" a="1"/>
  <c r="A946" i="5" s="1"/>
  <c r="AC945" i="5"/>
  <c r="AB945" i="5"/>
  <c r="AA945" i="5"/>
  <c r="M945" i="5" l="1" a="1"/>
  <c r="M945" i="5" s="1"/>
  <c r="F945" i="5" a="1"/>
  <c r="F945" i="5" s="1"/>
  <c r="K945" i="5" a="1"/>
  <c r="K945" i="5" s="1"/>
  <c r="D945" i="5" a="1"/>
  <c r="D945" i="5" s="1"/>
  <c r="I945" i="5" a="1"/>
  <c r="I945" i="5" s="1"/>
  <c r="J945" i="5" a="1"/>
  <c r="J945" i="5" s="1"/>
  <c r="S945" i="5"/>
  <c r="Q945" i="5"/>
  <c r="N945" i="5" a="1"/>
  <c r="N945" i="5" s="1"/>
  <c r="L945" i="5" a="1"/>
  <c r="L945" i="5" s="1"/>
  <c r="T945" i="5"/>
  <c r="P945" i="5" a="1"/>
  <c r="P945" i="5" s="1"/>
  <c r="R945" i="5"/>
  <c r="G945" i="5" a="1"/>
  <c r="G945" i="5" s="1"/>
  <c r="O945" i="5" a="1"/>
  <c r="O945" i="5" s="1"/>
  <c r="E946" i="5" a="1"/>
  <c r="E946" i="5" s="1"/>
  <c r="V946" i="5" a="1"/>
  <c r="V946" i="5" s="1"/>
  <c r="U946" i="5" a="1"/>
  <c r="U946" i="5" s="1"/>
  <c r="C946" i="5" a="1"/>
  <c r="C946" i="5" s="1"/>
  <c r="B946" i="5"/>
  <c r="I946" i="5" s="1" a="1"/>
  <c r="I946" i="5" s="1"/>
  <c r="A947" i="5" a="1"/>
  <c r="A947" i="5" s="1"/>
  <c r="AC946" i="5"/>
  <c r="AB946" i="5"/>
  <c r="AA946" i="5"/>
  <c r="Z946" i="5"/>
  <c r="Y946" i="5"/>
  <c r="X946" i="5"/>
  <c r="W946" i="5"/>
  <c r="M946" i="5" l="1" a="1"/>
  <c r="M946" i="5" s="1"/>
  <c r="U947" i="5" a="1"/>
  <c r="U947" i="5" s="1"/>
  <c r="C947" i="5" a="1"/>
  <c r="C947" i="5" s="1"/>
  <c r="B947" i="5"/>
  <c r="S947" i="5" s="1"/>
  <c r="E947" i="5" a="1"/>
  <c r="E947" i="5" s="1"/>
  <c r="V947" i="5" a="1"/>
  <c r="V947" i="5" s="1"/>
  <c r="D946" i="5" a="1"/>
  <c r="D946" i="5" s="1"/>
  <c r="Q946" i="5"/>
  <c r="H946" i="5" a="1"/>
  <c r="H946" i="5" s="1"/>
  <c r="T946" i="5"/>
  <c r="F946" i="5" a="1"/>
  <c r="F946" i="5" s="1"/>
  <c r="P946" i="5" a="1"/>
  <c r="P946" i="5" s="1"/>
  <c r="J946" i="5" a="1"/>
  <c r="J946" i="5" s="1"/>
  <c r="L946" i="5" a="1"/>
  <c r="L946" i="5" s="1"/>
  <c r="G946" i="5" a="1"/>
  <c r="G946" i="5" s="1"/>
  <c r="N946" i="5" a="1"/>
  <c r="N946" i="5" s="1"/>
  <c r="K946" i="5" a="1"/>
  <c r="K946" i="5" s="1"/>
  <c r="S946" i="5"/>
  <c r="R946" i="5"/>
  <c r="O946" i="5" a="1"/>
  <c r="O946" i="5" s="1"/>
  <c r="Z947" i="5"/>
  <c r="Y947" i="5"/>
  <c r="X947" i="5"/>
  <c r="W947" i="5"/>
  <c r="A948" i="5" a="1"/>
  <c r="A948" i="5" s="1"/>
  <c r="AC947" i="5"/>
  <c r="AB947" i="5"/>
  <c r="AA947" i="5"/>
  <c r="E948" i="5" l="1" a="1"/>
  <c r="E948" i="5" s="1"/>
  <c r="V948" i="5" a="1"/>
  <c r="V948" i="5" s="1"/>
  <c r="U948" i="5" a="1"/>
  <c r="U948" i="5" s="1"/>
  <c r="C948" i="5" a="1"/>
  <c r="C948" i="5" s="1"/>
  <c r="B948" i="5"/>
  <c r="Q948" i="5" s="1"/>
  <c r="L947" i="5" a="1"/>
  <c r="L947" i="5" s="1"/>
  <c r="Q947" i="5"/>
  <c r="M947" i="5" a="1"/>
  <c r="M947" i="5" s="1"/>
  <c r="P947" i="5" a="1"/>
  <c r="P947" i="5" s="1"/>
  <c r="R947" i="5"/>
  <c r="G947" i="5" a="1"/>
  <c r="G947" i="5" s="1"/>
  <c r="I947" i="5" a="1"/>
  <c r="I947" i="5" s="1"/>
  <c r="T947" i="5"/>
  <c r="F947" i="5" a="1"/>
  <c r="F947" i="5" s="1"/>
  <c r="K947" i="5" a="1"/>
  <c r="K947" i="5" s="1"/>
  <c r="D947" i="5" a="1"/>
  <c r="D947" i="5" s="1"/>
  <c r="J947" i="5" a="1"/>
  <c r="J947" i="5" s="1"/>
  <c r="O947" i="5" a="1"/>
  <c r="O947" i="5" s="1"/>
  <c r="H947" i="5" a="1"/>
  <c r="H947" i="5" s="1"/>
  <c r="N947" i="5" a="1"/>
  <c r="N947" i="5" s="1"/>
  <c r="A949" i="5" a="1"/>
  <c r="A949" i="5" s="1"/>
  <c r="AC948" i="5"/>
  <c r="AB948" i="5"/>
  <c r="AA948" i="5"/>
  <c r="Z948" i="5"/>
  <c r="Y948" i="5"/>
  <c r="X948" i="5"/>
  <c r="W948" i="5"/>
  <c r="H948" i="5" l="1" a="1"/>
  <c r="H948" i="5" s="1"/>
  <c r="T948" i="5"/>
  <c r="L948" i="5" a="1"/>
  <c r="L948" i="5" s="1"/>
  <c r="P948" i="5" a="1"/>
  <c r="P948" i="5" s="1"/>
  <c r="R948" i="5"/>
  <c r="G948" i="5" a="1"/>
  <c r="G948" i="5" s="1"/>
  <c r="F948" i="5" a="1"/>
  <c r="F948" i="5" s="1"/>
  <c r="K948" i="5" a="1"/>
  <c r="K948" i="5" s="1"/>
  <c r="J948" i="5" a="1"/>
  <c r="J948" i="5" s="1"/>
  <c r="O948" i="5" a="1"/>
  <c r="O948" i="5" s="1"/>
  <c r="I948" i="5" a="1"/>
  <c r="I948" i="5" s="1"/>
  <c r="N948" i="5" a="1"/>
  <c r="N948" i="5" s="1"/>
  <c r="M948" i="5" a="1"/>
  <c r="M948" i="5" s="1"/>
  <c r="B949" i="5"/>
  <c r="J949" i="5" s="1" a="1"/>
  <c r="J949" i="5" s="1"/>
  <c r="E949" i="5" a="1"/>
  <c r="E949" i="5" s="1"/>
  <c r="V949" i="5" a="1"/>
  <c r="V949" i="5" s="1"/>
  <c r="C949" i="5" a="1"/>
  <c r="C949" i="5" s="1"/>
  <c r="U949" i="5" a="1"/>
  <c r="U949" i="5" s="1"/>
  <c r="S948" i="5"/>
  <c r="D948" i="5" a="1"/>
  <c r="D948" i="5" s="1"/>
  <c r="Z949" i="5"/>
  <c r="Y949" i="5"/>
  <c r="X949" i="5"/>
  <c r="W949" i="5"/>
  <c r="A950" i="5" a="1"/>
  <c r="A950" i="5" s="1"/>
  <c r="AC949" i="5"/>
  <c r="AB949" i="5"/>
  <c r="AA949" i="5"/>
  <c r="N949" i="5" l="1" a="1"/>
  <c r="N949" i="5" s="1"/>
  <c r="K949" i="5" a="1"/>
  <c r="K949" i="5" s="1"/>
  <c r="O949" i="5" a="1"/>
  <c r="O949" i="5" s="1"/>
  <c r="S949" i="5"/>
  <c r="M949" i="5" a="1"/>
  <c r="M949" i="5" s="1"/>
  <c r="T949" i="5"/>
  <c r="I949" i="5" a="1"/>
  <c r="I949" i="5" s="1"/>
  <c r="D949" i="5" a="1"/>
  <c r="D949" i="5" s="1"/>
  <c r="Q949" i="5"/>
  <c r="H949" i="5" a="1"/>
  <c r="H949" i="5" s="1"/>
  <c r="R949" i="5"/>
  <c r="L949" i="5" a="1"/>
  <c r="L949" i="5" s="1"/>
  <c r="F949" i="5" a="1"/>
  <c r="F949" i="5" s="1"/>
  <c r="V950" i="5" a="1"/>
  <c r="V950" i="5" s="1"/>
  <c r="U950" i="5" a="1"/>
  <c r="U950" i="5" s="1"/>
  <c r="C950" i="5" a="1"/>
  <c r="C950" i="5" s="1"/>
  <c r="B950" i="5"/>
  <c r="O950" i="5" s="1" a="1"/>
  <c r="O950" i="5" s="1"/>
  <c r="E950" i="5" a="1"/>
  <c r="E950" i="5" s="1"/>
  <c r="G949" i="5" a="1"/>
  <c r="G949" i="5" s="1"/>
  <c r="P949" i="5" a="1"/>
  <c r="P949" i="5" s="1"/>
  <c r="A951" i="5" a="1"/>
  <c r="A951" i="5" s="1"/>
  <c r="AC950" i="5"/>
  <c r="AB950" i="5"/>
  <c r="AA950" i="5"/>
  <c r="Z950" i="5"/>
  <c r="Y950" i="5"/>
  <c r="X950" i="5"/>
  <c r="W950" i="5"/>
  <c r="N950" i="5" l="1" a="1"/>
  <c r="N950" i="5" s="1"/>
  <c r="S950" i="5"/>
  <c r="D950" i="5" a="1"/>
  <c r="D950" i="5" s="1"/>
  <c r="H950" i="5" a="1"/>
  <c r="H950" i="5" s="1"/>
  <c r="M950" i="5" a="1"/>
  <c r="M950" i="5" s="1"/>
  <c r="T950" i="5"/>
  <c r="L950" i="5" a="1"/>
  <c r="L950" i="5" s="1"/>
  <c r="I950" i="5" a="1"/>
  <c r="I950" i="5" s="1"/>
  <c r="Q950" i="5"/>
  <c r="P950" i="5" a="1"/>
  <c r="P950" i="5" s="1"/>
  <c r="R950" i="5"/>
  <c r="G950" i="5" a="1"/>
  <c r="G950" i="5" s="1"/>
  <c r="E951" i="5" a="1"/>
  <c r="E951" i="5" s="1"/>
  <c r="V951" i="5" a="1"/>
  <c r="V951" i="5" s="1"/>
  <c r="U951" i="5" a="1"/>
  <c r="U951" i="5" s="1"/>
  <c r="C951" i="5" a="1"/>
  <c r="C951" i="5" s="1"/>
  <c r="B951" i="5"/>
  <c r="G951" i="5" s="1" a="1"/>
  <c r="G951" i="5" s="1"/>
  <c r="F950" i="5" a="1"/>
  <c r="F950" i="5" s="1"/>
  <c r="K950" i="5" a="1"/>
  <c r="K950" i="5" s="1"/>
  <c r="J950" i="5" a="1"/>
  <c r="J950" i="5" s="1"/>
  <c r="Z951" i="5"/>
  <c r="Y951" i="5"/>
  <c r="X951" i="5"/>
  <c r="W951" i="5"/>
  <c r="A952" i="5" a="1"/>
  <c r="A952" i="5" s="1"/>
  <c r="AC951" i="5"/>
  <c r="AB951" i="5"/>
  <c r="AA951" i="5"/>
  <c r="N951" i="5" l="1" a="1"/>
  <c r="N951" i="5" s="1"/>
  <c r="S951" i="5"/>
  <c r="J951" i="5" a="1"/>
  <c r="J951" i="5" s="1"/>
  <c r="I951" i="5" a="1"/>
  <c r="I951" i="5" s="1"/>
  <c r="T951" i="5"/>
  <c r="M951" i="5" a="1"/>
  <c r="M951" i="5" s="1"/>
  <c r="K951" i="5" a="1"/>
  <c r="K951" i="5" s="1"/>
  <c r="F951" i="5" a="1"/>
  <c r="F951" i="5" s="1"/>
  <c r="O951" i="5" a="1"/>
  <c r="O951" i="5" s="1"/>
  <c r="D951" i="5" a="1"/>
  <c r="D951" i="5" s="1"/>
  <c r="Q951" i="5"/>
  <c r="U952" i="5" a="1"/>
  <c r="U952" i="5" s="1"/>
  <c r="C952" i="5" a="1"/>
  <c r="C952" i="5" s="1"/>
  <c r="B952" i="5"/>
  <c r="S952" i="5" s="1"/>
  <c r="E952" i="5" a="1"/>
  <c r="E952" i="5" s="1"/>
  <c r="V952" i="5" a="1"/>
  <c r="V952" i="5" s="1"/>
  <c r="H951" i="5" a="1"/>
  <c r="H951" i="5" s="1"/>
  <c r="R951" i="5"/>
  <c r="L951" i="5" a="1"/>
  <c r="L951" i="5" s="1"/>
  <c r="P951" i="5" a="1"/>
  <c r="P951" i="5" s="1"/>
  <c r="A953" i="5" a="1"/>
  <c r="A953" i="5" s="1"/>
  <c r="AC952" i="5"/>
  <c r="AB952" i="5"/>
  <c r="AA952" i="5"/>
  <c r="Z952" i="5"/>
  <c r="Y952" i="5"/>
  <c r="X952" i="5"/>
  <c r="W952" i="5"/>
  <c r="H952" i="5" l="1" a="1"/>
  <c r="H952" i="5" s="1"/>
  <c r="R952" i="5"/>
  <c r="G952" i="5" a="1"/>
  <c r="G952" i="5" s="1"/>
  <c r="D952" i="5" a="1"/>
  <c r="D952" i="5" s="1"/>
  <c r="Q952" i="5"/>
  <c r="L952" i="5" a="1"/>
  <c r="L952" i="5" s="1"/>
  <c r="F952" i="5" a="1"/>
  <c r="F952" i="5" s="1"/>
  <c r="K952" i="5" a="1"/>
  <c r="K952" i="5" s="1"/>
  <c r="I952" i="5" a="1"/>
  <c r="I952" i="5" s="1"/>
  <c r="M952" i="5" a="1"/>
  <c r="M952" i="5" s="1"/>
  <c r="V953" i="5" a="1"/>
  <c r="V953" i="5" s="1"/>
  <c r="U953" i="5" a="1"/>
  <c r="U953" i="5" s="1"/>
  <c r="C953" i="5" a="1"/>
  <c r="C953" i="5" s="1"/>
  <c r="B953" i="5"/>
  <c r="O953" i="5" s="1" a="1"/>
  <c r="O953" i="5" s="1"/>
  <c r="E953" i="5" a="1"/>
  <c r="E953" i="5" s="1"/>
  <c r="P952" i="5" a="1"/>
  <c r="P952" i="5" s="1"/>
  <c r="J952" i="5" a="1"/>
  <c r="J952" i="5" s="1"/>
  <c r="O952" i="5" a="1"/>
  <c r="O952" i="5" s="1"/>
  <c r="T952" i="5"/>
  <c r="N952" i="5" a="1"/>
  <c r="N952" i="5" s="1"/>
  <c r="Z953" i="5"/>
  <c r="Y953" i="5"/>
  <c r="X953" i="5"/>
  <c r="W953" i="5"/>
  <c r="A954" i="5" a="1"/>
  <c r="A954" i="5" s="1"/>
  <c r="AC953" i="5"/>
  <c r="AB953" i="5"/>
  <c r="AA953" i="5"/>
  <c r="N953" i="5" l="1" a="1"/>
  <c r="N953" i="5" s="1"/>
  <c r="S953" i="5"/>
  <c r="D953" i="5" a="1"/>
  <c r="D953" i="5" s="1"/>
  <c r="M953" i="5" a="1"/>
  <c r="M953" i="5" s="1"/>
  <c r="T953" i="5"/>
  <c r="L953" i="5" a="1"/>
  <c r="L953" i="5" s="1"/>
  <c r="Q953" i="5"/>
  <c r="P953" i="5" a="1"/>
  <c r="P953" i="5" s="1"/>
  <c r="R953" i="5"/>
  <c r="G953" i="5" a="1"/>
  <c r="G953" i="5" s="1"/>
  <c r="I953" i="5" a="1"/>
  <c r="I953" i="5" s="1"/>
  <c r="H953" i="5" a="1"/>
  <c r="H953" i="5" s="1"/>
  <c r="F953" i="5" a="1"/>
  <c r="F953" i="5" s="1"/>
  <c r="K953" i="5" a="1"/>
  <c r="K953" i="5" s="1"/>
  <c r="V954" i="5" a="1"/>
  <c r="V954" i="5" s="1"/>
  <c r="U954" i="5" a="1"/>
  <c r="U954" i="5" s="1"/>
  <c r="E954" i="5" a="1"/>
  <c r="E954" i="5" s="1"/>
  <c r="C954" i="5" a="1"/>
  <c r="C954" i="5" s="1"/>
  <c r="B954" i="5"/>
  <c r="Q954" i="5" s="1"/>
  <c r="J953" i="5" a="1"/>
  <c r="J953" i="5" s="1"/>
  <c r="A955" i="5" a="1"/>
  <c r="A955" i="5" s="1"/>
  <c r="AC954" i="5"/>
  <c r="AB954" i="5"/>
  <c r="AA954" i="5"/>
  <c r="Z954" i="5"/>
  <c r="Y954" i="5"/>
  <c r="X954" i="5"/>
  <c r="W954" i="5"/>
  <c r="G954" i="5" l="1" a="1"/>
  <c r="G954" i="5" s="1"/>
  <c r="S954" i="5"/>
  <c r="K954" i="5" a="1"/>
  <c r="K954" i="5" s="1"/>
  <c r="O954" i="5" a="1"/>
  <c r="O954" i="5" s="1"/>
  <c r="I954" i="5" a="1"/>
  <c r="I954" i="5" s="1"/>
  <c r="M954" i="5" a="1"/>
  <c r="M954" i="5" s="1"/>
  <c r="R954" i="5"/>
  <c r="D954" i="5" a="1"/>
  <c r="D954" i="5" s="1"/>
  <c r="T954" i="5"/>
  <c r="V955" i="5" a="1"/>
  <c r="V955" i="5" s="1"/>
  <c r="U955" i="5" a="1"/>
  <c r="U955" i="5" s="1"/>
  <c r="C955" i="5" a="1"/>
  <c r="C955" i="5" s="1"/>
  <c r="B955" i="5"/>
  <c r="D955" i="5" s="1" a="1"/>
  <c r="D955" i="5" s="1"/>
  <c r="E955" i="5" a="1"/>
  <c r="E955" i="5" s="1"/>
  <c r="H954" i="5" a="1"/>
  <c r="H954" i="5" s="1"/>
  <c r="F954" i="5" a="1"/>
  <c r="F954" i="5" s="1"/>
  <c r="L954" i="5" a="1"/>
  <c r="L954" i="5" s="1"/>
  <c r="J954" i="5" a="1"/>
  <c r="J954" i="5" s="1"/>
  <c r="P954" i="5" a="1"/>
  <c r="P954" i="5" s="1"/>
  <c r="N954" i="5" a="1"/>
  <c r="N954" i="5" s="1"/>
  <c r="Z955" i="5"/>
  <c r="Y955" i="5"/>
  <c r="X955" i="5"/>
  <c r="W955" i="5"/>
  <c r="A956" i="5" a="1"/>
  <c r="A956" i="5" s="1"/>
  <c r="AC955" i="5"/>
  <c r="AB955" i="5"/>
  <c r="AA955" i="5"/>
  <c r="S955" i="5" l="1"/>
  <c r="H955" i="5" a="1"/>
  <c r="H955" i="5" s="1"/>
  <c r="T955" i="5"/>
  <c r="L955" i="5" a="1"/>
  <c r="L955" i="5" s="1"/>
  <c r="F955" i="5" a="1"/>
  <c r="F955" i="5" s="1"/>
  <c r="I955" i="5" a="1"/>
  <c r="I955" i="5" s="1"/>
  <c r="G955" i="5" a="1"/>
  <c r="G955" i="5" s="1"/>
  <c r="J955" i="5" a="1"/>
  <c r="J955" i="5" s="1"/>
  <c r="K955" i="5" a="1"/>
  <c r="K955" i="5" s="1"/>
  <c r="R955" i="5"/>
  <c r="U956" i="5" a="1"/>
  <c r="U956" i="5" s="1"/>
  <c r="C956" i="5" a="1"/>
  <c r="C956" i="5" s="1"/>
  <c r="E956" i="5" a="1"/>
  <c r="E956" i="5" s="1"/>
  <c r="V956" i="5" a="1"/>
  <c r="V956" i="5" s="1"/>
  <c r="B956" i="5"/>
  <c r="J956" i="5" s="1" a="1"/>
  <c r="J956" i="5" s="1"/>
  <c r="M955" i="5" a="1"/>
  <c r="M955" i="5" s="1"/>
  <c r="O955" i="5" a="1"/>
  <c r="O955" i="5" s="1"/>
  <c r="P955" i="5" a="1"/>
  <c r="P955" i="5" s="1"/>
  <c r="N955" i="5" a="1"/>
  <c r="N955" i="5" s="1"/>
  <c r="Q955" i="5"/>
  <c r="Z956" i="5"/>
  <c r="Y956" i="5"/>
  <c r="X956" i="5"/>
  <c r="W956" i="5"/>
  <c r="A957" i="5" a="1"/>
  <c r="A957" i="5" s="1"/>
  <c r="AC956" i="5"/>
  <c r="AB956" i="5"/>
  <c r="AA956" i="5"/>
  <c r="N956" i="5" l="1" a="1"/>
  <c r="N956" i="5" s="1"/>
  <c r="S956" i="5"/>
  <c r="I956" i="5" a="1"/>
  <c r="I956" i="5" s="1"/>
  <c r="T956" i="5"/>
  <c r="M956" i="5" a="1"/>
  <c r="M956" i="5" s="1"/>
  <c r="G956" i="5" a="1"/>
  <c r="G956" i="5" s="1"/>
  <c r="D956" i="5" a="1"/>
  <c r="D956" i="5" s="1"/>
  <c r="Q956" i="5"/>
  <c r="K956" i="5" a="1"/>
  <c r="K956" i="5" s="1"/>
  <c r="H956" i="5" a="1"/>
  <c r="H956" i="5" s="1"/>
  <c r="R956" i="5"/>
  <c r="O956" i="5" a="1"/>
  <c r="O956" i="5" s="1"/>
  <c r="U957" i="5" a="1"/>
  <c r="U957" i="5" s="1"/>
  <c r="C957" i="5" a="1"/>
  <c r="C957" i="5" s="1"/>
  <c r="B957" i="5"/>
  <c r="T957" i="5" s="1"/>
  <c r="E957" i="5" a="1"/>
  <c r="E957" i="5" s="1"/>
  <c r="V957" i="5" a="1"/>
  <c r="V957" i="5" s="1"/>
  <c r="L956" i="5" a="1"/>
  <c r="L956" i="5" s="1"/>
  <c r="F956" i="5" a="1"/>
  <c r="F956" i="5" s="1"/>
  <c r="P956" i="5" a="1"/>
  <c r="P956" i="5" s="1"/>
  <c r="A958" i="5" a="1"/>
  <c r="A958" i="5" s="1"/>
  <c r="AC957" i="5"/>
  <c r="AB957" i="5"/>
  <c r="AA957" i="5"/>
  <c r="Z957" i="5"/>
  <c r="Y957" i="5"/>
  <c r="X957" i="5"/>
  <c r="W957" i="5"/>
  <c r="G957" i="5" l="1" a="1"/>
  <c r="G957" i="5" s="1"/>
  <c r="K957" i="5" a="1"/>
  <c r="K957" i="5" s="1"/>
  <c r="P957" i="5" a="1"/>
  <c r="P957" i="5" s="1"/>
  <c r="Q957" i="5"/>
  <c r="D957" i="5" a="1"/>
  <c r="D957" i="5" s="1"/>
  <c r="O957" i="5" a="1"/>
  <c r="O957" i="5" s="1"/>
  <c r="H957" i="5" a="1"/>
  <c r="H957" i="5" s="1"/>
  <c r="M957" i="5" a="1"/>
  <c r="M957" i="5" s="1"/>
  <c r="L957" i="5" a="1"/>
  <c r="L957" i="5" s="1"/>
  <c r="R957" i="5"/>
  <c r="F957" i="5" a="1"/>
  <c r="F957" i="5" s="1"/>
  <c r="J957" i="5" a="1"/>
  <c r="J957" i="5" s="1"/>
  <c r="N957" i="5" a="1"/>
  <c r="N957" i="5" s="1"/>
  <c r="E958" i="5" a="1"/>
  <c r="E958" i="5" s="1"/>
  <c r="V958" i="5" a="1"/>
  <c r="V958" i="5" s="1"/>
  <c r="U958" i="5" a="1"/>
  <c r="U958" i="5" s="1"/>
  <c r="C958" i="5" a="1"/>
  <c r="C958" i="5" s="1"/>
  <c r="B958" i="5"/>
  <c r="S958" i="5" s="1"/>
  <c r="S957" i="5"/>
  <c r="I957" i="5" a="1"/>
  <c r="I957" i="5" s="1"/>
  <c r="Z958" i="5"/>
  <c r="Y958" i="5"/>
  <c r="X958" i="5"/>
  <c r="W958" i="5"/>
  <c r="A959" i="5" a="1"/>
  <c r="A959" i="5" s="1"/>
  <c r="AC958" i="5"/>
  <c r="AB958" i="5"/>
  <c r="AA958" i="5"/>
  <c r="O958" i="5" l="1" a="1"/>
  <c r="O958" i="5" s="1"/>
  <c r="K958" i="5" a="1"/>
  <c r="K958" i="5" s="1"/>
  <c r="I958" i="5" a="1"/>
  <c r="I958" i="5" s="1"/>
  <c r="M958" i="5" a="1"/>
  <c r="M958" i="5" s="1"/>
  <c r="R958" i="5"/>
  <c r="D958" i="5" a="1"/>
  <c r="D958" i="5" s="1"/>
  <c r="Q958" i="5"/>
  <c r="B959" i="5"/>
  <c r="F959" i="5" s="1" a="1"/>
  <c r="F959" i="5" s="1"/>
  <c r="E959" i="5" a="1"/>
  <c r="E959" i="5" s="1"/>
  <c r="V959" i="5" a="1"/>
  <c r="V959" i="5" s="1"/>
  <c r="U959" i="5" a="1"/>
  <c r="U959" i="5" s="1"/>
  <c r="C959" i="5" a="1"/>
  <c r="C959" i="5" s="1"/>
  <c r="H958" i="5" a="1"/>
  <c r="H958" i="5" s="1"/>
  <c r="F958" i="5" a="1"/>
  <c r="F958" i="5" s="1"/>
  <c r="T958" i="5"/>
  <c r="L958" i="5" a="1"/>
  <c r="L958" i="5" s="1"/>
  <c r="J958" i="5" a="1"/>
  <c r="J958" i="5" s="1"/>
  <c r="P958" i="5" a="1"/>
  <c r="P958" i="5" s="1"/>
  <c r="N958" i="5" a="1"/>
  <c r="N958" i="5" s="1"/>
  <c r="G958" i="5" a="1"/>
  <c r="G958" i="5" s="1"/>
  <c r="A960" i="5" a="1"/>
  <c r="A960" i="5" s="1"/>
  <c r="AC959" i="5"/>
  <c r="AB959" i="5"/>
  <c r="AA959" i="5"/>
  <c r="Z959" i="5"/>
  <c r="Y959" i="5"/>
  <c r="X959" i="5"/>
  <c r="W959" i="5"/>
  <c r="S959" i="5" l="1"/>
  <c r="H959" i="5" a="1"/>
  <c r="H959" i="5" s="1"/>
  <c r="J959" i="5" a="1"/>
  <c r="J959" i="5" s="1"/>
  <c r="L959" i="5" a="1"/>
  <c r="L959" i="5" s="1"/>
  <c r="K959" i="5" a="1"/>
  <c r="K959" i="5" s="1"/>
  <c r="G959" i="5" a="1"/>
  <c r="G959" i="5" s="1"/>
  <c r="N959" i="5" a="1"/>
  <c r="N959" i="5" s="1"/>
  <c r="P959" i="5" a="1"/>
  <c r="P959" i="5" s="1"/>
  <c r="M959" i="5" a="1"/>
  <c r="M959" i="5" s="1"/>
  <c r="T959" i="5"/>
  <c r="I959" i="5" a="1"/>
  <c r="I959" i="5" s="1"/>
  <c r="Q959" i="5"/>
  <c r="R959" i="5"/>
  <c r="O959" i="5" a="1"/>
  <c r="O959" i="5" s="1"/>
  <c r="E960" i="5" a="1"/>
  <c r="E960" i="5" s="1"/>
  <c r="V960" i="5" a="1"/>
  <c r="V960" i="5" s="1"/>
  <c r="U960" i="5" a="1"/>
  <c r="U960" i="5" s="1"/>
  <c r="C960" i="5" a="1"/>
  <c r="C960" i="5" s="1"/>
  <c r="B960" i="5"/>
  <c r="L960" i="5" s="1" a="1"/>
  <c r="L960" i="5" s="1"/>
  <c r="D959" i="5" a="1"/>
  <c r="D959" i="5" s="1"/>
  <c r="Z960" i="5"/>
  <c r="Y960" i="5"/>
  <c r="X960" i="5"/>
  <c r="W960" i="5"/>
  <c r="A961" i="5" a="1"/>
  <c r="A961" i="5" s="1"/>
  <c r="AC960" i="5"/>
  <c r="AB960" i="5"/>
  <c r="AA960" i="5"/>
  <c r="F960" i="5" l="1" a="1"/>
  <c r="F960" i="5" s="1"/>
  <c r="N960" i="5" a="1"/>
  <c r="N960" i="5" s="1"/>
  <c r="R960" i="5"/>
  <c r="O960" i="5" a="1"/>
  <c r="O960" i="5" s="1"/>
  <c r="J960" i="5" a="1"/>
  <c r="J960" i="5" s="1"/>
  <c r="P960" i="5" a="1"/>
  <c r="P960" i="5" s="1"/>
  <c r="I960" i="5" a="1"/>
  <c r="I960" i="5" s="1"/>
  <c r="G960" i="5" a="1"/>
  <c r="G960" i="5" s="1"/>
  <c r="K960" i="5" a="1"/>
  <c r="K960" i="5" s="1"/>
  <c r="M960" i="5" a="1"/>
  <c r="M960" i="5" s="1"/>
  <c r="B961" i="5"/>
  <c r="Q961" i="5" s="1"/>
  <c r="E961" i="5" a="1"/>
  <c r="E961" i="5" s="1"/>
  <c r="V961" i="5" a="1"/>
  <c r="V961" i="5" s="1"/>
  <c r="C961" i="5" a="1"/>
  <c r="C961" i="5" s="1"/>
  <c r="U961" i="5" a="1"/>
  <c r="U961" i="5" s="1"/>
  <c r="S960" i="5"/>
  <c r="D960" i="5" a="1"/>
  <c r="D960" i="5" s="1"/>
  <c r="Q960" i="5"/>
  <c r="H960" i="5" a="1"/>
  <c r="H960" i="5" s="1"/>
  <c r="T960" i="5"/>
  <c r="A962" i="5" a="1"/>
  <c r="A962" i="5" s="1"/>
  <c r="AC961" i="5"/>
  <c r="AB961" i="5"/>
  <c r="AA961" i="5"/>
  <c r="Z961" i="5"/>
  <c r="Y961" i="5"/>
  <c r="X961" i="5"/>
  <c r="W961" i="5"/>
  <c r="I961" i="5" l="1" a="1"/>
  <c r="I961" i="5" s="1"/>
  <c r="R961" i="5"/>
  <c r="G961" i="5" a="1"/>
  <c r="G961" i="5" s="1"/>
  <c r="K961" i="5" a="1"/>
  <c r="K961" i="5" s="1"/>
  <c r="O961" i="5" a="1"/>
  <c r="O961" i="5" s="1"/>
  <c r="D961" i="5" a="1"/>
  <c r="D961" i="5" s="1"/>
  <c r="F961" i="5" a="1"/>
  <c r="F961" i="5" s="1"/>
  <c r="H961" i="5" a="1"/>
  <c r="H961" i="5" s="1"/>
  <c r="J961" i="5" a="1"/>
  <c r="J961" i="5" s="1"/>
  <c r="L961" i="5" a="1"/>
  <c r="L961" i="5" s="1"/>
  <c r="N961" i="5" a="1"/>
  <c r="N961" i="5" s="1"/>
  <c r="P961" i="5" a="1"/>
  <c r="P961" i="5" s="1"/>
  <c r="S961" i="5"/>
  <c r="V962" i="5" a="1"/>
  <c r="V962" i="5" s="1"/>
  <c r="U962" i="5" a="1"/>
  <c r="U962" i="5" s="1"/>
  <c r="C962" i="5" a="1"/>
  <c r="C962" i="5" s="1"/>
  <c r="B962" i="5"/>
  <c r="G962" i="5" s="1" a="1"/>
  <c r="G962" i="5" s="1"/>
  <c r="E962" i="5" a="1"/>
  <c r="E962" i="5" s="1"/>
  <c r="M961" i="5" a="1"/>
  <c r="M961" i="5" s="1"/>
  <c r="T961" i="5"/>
  <c r="Z962" i="5"/>
  <c r="Y962" i="5"/>
  <c r="X962" i="5"/>
  <c r="W962" i="5"/>
  <c r="A963" i="5" a="1"/>
  <c r="A963" i="5" s="1"/>
  <c r="AC962" i="5"/>
  <c r="AB962" i="5"/>
  <c r="AA962" i="5"/>
  <c r="K962" i="5" l="1" a="1"/>
  <c r="K962" i="5" s="1"/>
  <c r="F962" i="5" a="1"/>
  <c r="F962" i="5" s="1"/>
  <c r="N962" i="5" a="1"/>
  <c r="N962" i="5" s="1"/>
  <c r="J962" i="5" a="1"/>
  <c r="J962" i="5" s="1"/>
  <c r="O962" i="5" a="1"/>
  <c r="O962" i="5" s="1"/>
  <c r="S962" i="5"/>
  <c r="D962" i="5" a="1"/>
  <c r="D962" i="5" s="1"/>
  <c r="H962" i="5" a="1"/>
  <c r="H962" i="5" s="1"/>
  <c r="E963" i="5" a="1"/>
  <c r="E963" i="5" s="1"/>
  <c r="V963" i="5" a="1"/>
  <c r="V963" i="5" s="1"/>
  <c r="U963" i="5" a="1"/>
  <c r="U963" i="5" s="1"/>
  <c r="C963" i="5" a="1"/>
  <c r="C963" i="5" s="1"/>
  <c r="B963" i="5"/>
  <c r="I963" i="5" s="1" a="1"/>
  <c r="I963" i="5" s="1"/>
  <c r="I962" i="5" a="1"/>
  <c r="I962" i="5" s="1"/>
  <c r="M962" i="5" a="1"/>
  <c r="M962" i="5" s="1"/>
  <c r="T962" i="5"/>
  <c r="L962" i="5" a="1"/>
  <c r="L962" i="5" s="1"/>
  <c r="Q962" i="5"/>
  <c r="P962" i="5" a="1"/>
  <c r="P962" i="5" s="1"/>
  <c r="R962" i="5"/>
  <c r="A964" i="5" a="1"/>
  <c r="A964" i="5" s="1"/>
  <c r="AC963" i="5"/>
  <c r="AB963" i="5"/>
  <c r="AA963" i="5"/>
  <c r="Z963" i="5"/>
  <c r="Y963" i="5"/>
  <c r="X963" i="5"/>
  <c r="W963" i="5"/>
  <c r="N963" i="5" l="1" a="1"/>
  <c r="N963" i="5" s="1"/>
  <c r="M963" i="5" a="1"/>
  <c r="M963" i="5" s="1"/>
  <c r="S963" i="5"/>
  <c r="Q963" i="5"/>
  <c r="D963" i="5" a="1"/>
  <c r="D963" i="5" s="1"/>
  <c r="H963" i="5" a="1"/>
  <c r="H963" i="5" s="1"/>
  <c r="R963" i="5"/>
  <c r="T963" i="5"/>
  <c r="L963" i="5" a="1"/>
  <c r="L963" i="5" s="1"/>
  <c r="P963" i="5" a="1"/>
  <c r="P963" i="5" s="1"/>
  <c r="G963" i="5" a="1"/>
  <c r="G963" i="5" s="1"/>
  <c r="U964" i="5" a="1"/>
  <c r="U964" i="5" s="1"/>
  <c r="C964" i="5" a="1"/>
  <c r="C964" i="5" s="1"/>
  <c r="B964" i="5"/>
  <c r="K964" i="5" s="1" a="1"/>
  <c r="K964" i="5" s="1"/>
  <c r="E964" i="5" a="1"/>
  <c r="E964" i="5" s="1"/>
  <c r="V964" i="5" a="1"/>
  <c r="V964" i="5" s="1"/>
  <c r="F963" i="5" a="1"/>
  <c r="F963" i="5" s="1"/>
  <c r="K963" i="5" a="1"/>
  <c r="K963" i="5" s="1"/>
  <c r="J963" i="5" a="1"/>
  <c r="J963" i="5" s="1"/>
  <c r="O963" i="5" a="1"/>
  <c r="O963" i="5" s="1"/>
  <c r="Z964" i="5"/>
  <c r="Y964" i="5"/>
  <c r="X964" i="5"/>
  <c r="W964" i="5"/>
  <c r="A965" i="5" a="1"/>
  <c r="A965" i="5" s="1"/>
  <c r="AC964" i="5"/>
  <c r="AB964" i="5"/>
  <c r="AA964" i="5"/>
  <c r="S964" i="5" l="1"/>
  <c r="O964" i="5" a="1"/>
  <c r="O964" i="5" s="1"/>
  <c r="P964" i="5" a="1"/>
  <c r="P964" i="5" s="1"/>
  <c r="J964" i="5" a="1"/>
  <c r="J964" i="5" s="1"/>
  <c r="N964" i="5" a="1"/>
  <c r="N964" i="5" s="1"/>
  <c r="V965" i="5" a="1"/>
  <c r="V965" i="5" s="1"/>
  <c r="U965" i="5" a="1"/>
  <c r="U965" i="5" s="1"/>
  <c r="C965" i="5" a="1"/>
  <c r="C965" i="5" s="1"/>
  <c r="B965" i="5"/>
  <c r="K965" i="5" s="1" a="1"/>
  <c r="K965" i="5" s="1"/>
  <c r="E965" i="5" a="1"/>
  <c r="E965" i="5" s="1"/>
  <c r="T964" i="5"/>
  <c r="D964" i="5" a="1"/>
  <c r="D964" i="5" s="1"/>
  <c r="Q964" i="5"/>
  <c r="M964" i="5" a="1"/>
  <c r="M964" i="5" s="1"/>
  <c r="H964" i="5" a="1"/>
  <c r="H964" i="5" s="1"/>
  <c r="R964" i="5"/>
  <c r="G964" i="5" a="1"/>
  <c r="G964" i="5" s="1"/>
  <c r="I964" i="5" a="1"/>
  <c r="I964" i="5" s="1"/>
  <c r="L964" i="5" a="1"/>
  <c r="L964" i="5" s="1"/>
  <c r="F964" i="5" a="1"/>
  <c r="F964" i="5" s="1"/>
  <c r="A966" i="5" a="1"/>
  <c r="A966" i="5" s="1"/>
  <c r="AC965" i="5"/>
  <c r="AB965" i="5"/>
  <c r="AA965" i="5"/>
  <c r="Z965" i="5"/>
  <c r="Y965" i="5"/>
  <c r="X965" i="5"/>
  <c r="W965" i="5"/>
  <c r="I965" i="5" l="1" a="1"/>
  <c r="I965" i="5" s="1"/>
  <c r="J965" i="5" a="1"/>
  <c r="J965" i="5" s="1"/>
  <c r="O965" i="5" a="1"/>
  <c r="O965" i="5" s="1"/>
  <c r="N965" i="5" a="1"/>
  <c r="N965" i="5" s="1"/>
  <c r="S965" i="5"/>
  <c r="D965" i="5" a="1"/>
  <c r="D965" i="5" s="1"/>
  <c r="H965" i="5" a="1"/>
  <c r="H965" i="5" s="1"/>
  <c r="M965" i="5" a="1"/>
  <c r="M965" i="5" s="1"/>
  <c r="T965" i="5"/>
  <c r="L965" i="5" a="1"/>
  <c r="L965" i="5" s="1"/>
  <c r="Q965" i="5"/>
  <c r="P965" i="5" a="1"/>
  <c r="P965" i="5" s="1"/>
  <c r="R965" i="5"/>
  <c r="G965" i="5" a="1"/>
  <c r="G965" i="5" s="1"/>
  <c r="E966" i="5" a="1"/>
  <c r="E966" i="5" s="1"/>
  <c r="V966" i="5" a="1"/>
  <c r="V966" i="5" s="1"/>
  <c r="U966" i="5" a="1"/>
  <c r="U966" i="5" s="1"/>
  <c r="C966" i="5" a="1"/>
  <c r="C966" i="5" s="1"/>
  <c r="B966" i="5"/>
  <c r="I966" i="5" s="1" a="1"/>
  <c r="I966" i="5" s="1"/>
  <c r="F965" i="5" a="1"/>
  <c r="F965" i="5" s="1"/>
  <c r="Z966" i="5"/>
  <c r="Y966" i="5"/>
  <c r="X966" i="5"/>
  <c r="W966" i="5"/>
  <c r="A967" i="5" a="1"/>
  <c r="A967" i="5" s="1"/>
  <c r="AC966" i="5"/>
  <c r="AB966" i="5"/>
  <c r="AA966" i="5"/>
  <c r="D966" i="5" l="1" a="1"/>
  <c r="D966" i="5" s="1"/>
  <c r="M966" i="5" a="1"/>
  <c r="M966" i="5" s="1"/>
  <c r="T966" i="5"/>
  <c r="Q966" i="5"/>
  <c r="H966" i="5" a="1"/>
  <c r="H966" i="5" s="1"/>
  <c r="R966" i="5"/>
  <c r="L966" i="5" a="1"/>
  <c r="L966" i="5" s="1"/>
  <c r="F966" i="5" a="1"/>
  <c r="F966" i="5" s="1"/>
  <c r="P966" i="5" a="1"/>
  <c r="P966" i="5" s="1"/>
  <c r="J966" i="5" a="1"/>
  <c r="J966" i="5" s="1"/>
  <c r="G966" i="5" a="1"/>
  <c r="G966" i="5" s="1"/>
  <c r="N966" i="5" a="1"/>
  <c r="N966" i="5" s="1"/>
  <c r="U967" i="5" a="1"/>
  <c r="U967" i="5" s="1"/>
  <c r="C967" i="5" a="1"/>
  <c r="C967" i="5" s="1"/>
  <c r="B967" i="5"/>
  <c r="N967" i="5" s="1" a="1"/>
  <c r="N967" i="5" s="1"/>
  <c r="E967" i="5" a="1"/>
  <c r="E967" i="5" s="1"/>
  <c r="V967" i="5" a="1"/>
  <c r="V967" i="5" s="1"/>
  <c r="K966" i="5" a="1"/>
  <c r="K966" i="5" s="1"/>
  <c r="S966" i="5"/>
  <c r="O966" i="5" a="1"/>
  <c r="O966" i="5" s="1"/>
  <c r="A968" i="5" a="1"/>
  <c r="A968" i="5" s="1"/>
  <c r="AC967" i="5"/>
  <c r="AB967" i="5"/>
  <c r="AA967" i="5"/>
  <c r="Z967" i="5"/>
  <c r="Y967" i="5"/>
  <c r="X967" i="5"/>
  <c r="W967" i="5"/>
  <c r="S967" i="5" l="1"/>
  <c r="I967" i="5" a="1"/>
  <c r="I967" i="5" s="1"/>
  <c r="M967" i="5" a="1"/>
  <c r="M967" i="5" s="1"/>
  <c r="T967" i="5"/>
  <c r="D967" i="5" a="1"/>
  <c r="D967" i="5" s="1"/>
  <c r="Q967" i="5"/>
  <c r="H967" i="5" a="1"/>
  <c r="H967" i="5" s="1"/>
  <c r="R967" i="5"/>
  <c r="G967" i="5" a="1"/>
  <c r="G967" i="5" s="1"/>
  <c r="L967" i="5" a="1"/>
  <c r="L967" i="5" s="1"/>
  <c r="F967" i="5" a="1"/>
  <c r="F967" i="5" s="1"/>
  <c r="K967" i="5" a="1"/>
  <c r="K967" i="5" s="1"/>
  <c r="P967" i="5" a="1"/>
  <c r="P967" i="5" s="1"/>
  <c r="J967" i="5" a="1"/>
  <c r="J967" i="5" s="1"/>
  <c r="O967" i="5" a="1"/>
  <c r="O967" i="5" s="1"/>
  <c r="V968" i="5" a="1"/>
  <c r="V968" i="5" s="1"/>
  <c r="U968" i="5" a="1"/>
  <c r="U968" i="5" s="1"/>
  <c r="E968" i="5" a="1"/>
  <c r="E968" i="5" s="1"/>
  <c r="C968" i="5" a="1"/>
  <c r="C968" i="5" s="1"/>
  <c r="B968" i="5"/>
  <c r="L968" i="5" s="1" a="1"/>
  <c r="L968" i="5" s="1"/>
  <c r="Z968" i="5"/>
  <c r="Y968" i="5"/>
  <c r="X968" i="5"/>
  <c r="W968" i="5"/>
  <c r="A969" i="5" a="1"/>
  <c r="A969" i="5" s="1"/>
  <c r="AC968" i="5"/>
  <c r="AB968" i="5"/>
  <c r="AA968" i="5"/>
  <c r="U969" i="5" l="1" a="1"/>
  <c r="U969" i="5" s="1"/>
  <c r="C969" i="5" a="1"/>
  <c r="C969" i="5" s="1"/>
  <c r="B969" i="5"/>
  <c r="N969" i="5" s="1" a="1"/>
  <c r="N969" i="5" s="1"/>
  <c r="E969" i="5" a="1"/>
  <c r="E969" i="5" s="1"/>
  <c r="V969" i="5" a="1"/>
  <c r="V969" i="5" s="1"/>
  <c r="O968" i="5" a="1"/>
  <c r="O968" i="5" s="1"/>
  <c r="T968" i="5"/>
  <c r="N968" i="5" a="1"/>
  <c r="N968" i="5" s="1"/>
  <c r="R968" i="5"/>
  <c r="S968" i="5"/>
  <c r="Q968" i="5"/>
  <c r="G968" i="5" a="1"/>
  <c r="G968" i="5" s="1"/>
  <c r="I968" i="5" a="1"/>
  <c r="I968" i="5" s="1"/>
  <c r="K968" i="5" a="1"/>
  <c r="K968" i="5" s="1"/>
  <c r="M968" i="5" a="1"/>
  <c r="M968" i="5" s="1"/>
  <c r="D968" i="5" a="1"/>
  <c r="D968" i="5" s="1"/>
  <c r="F968" i="5" a="1"/>
  <c r="F968" i="5" s="1"/>
  <c r="H968" i="5" a="1"/>
  <c r="H968" i="5" s="1"/>
  <c r="P968" i="5" a="1"/>
  <c r="P968" i="5" s="1"/>
  <c r="J968" i="5" a="1"/>
  <c r="J968" i="5" s="1"/>
  <c r="A970" i="5" a="1"/>
  <c r="A970" i="5" s="1"/>
  <c r="AC969" i="5"/>
  <c r="AB969" i="5"/>
  <c r="AA969" i="5"/>
  <c r="Z969" i="5"/>
  <c r="Y969" i="5"/>
  <c r="X969" i="5"/>
  <c r="W969" i="5"/>
  <c r="L969" i="5" l="1" a="1"/>
  <c r="L969" i="5" s="1"/>
  <c r="M969" i="5" a="1"/>
  <c r="M969" i="5" s="1"/>
  <c r="P969" i="5" a="1"/>
  <c r="P969" i="5" s="1"/>
  <c r="T969" i="5"/>
  <c r="E970" i="5" a="1"/>
  <c r="E970" i="5" s="1"/>
  <c r="V970" i="5" a="1"/>
  <c r="V970" i="5" s="1"/>
  <c r="U970" i="5" a="1"/>
  <c r="U970" i="5" s="1"/>
  <c r="C970" i="5" a="1"/>
  <c r="C970" i="5" s="1"/>
  <c r="B970" i="5"/>
  <c r="P970" i="5" s="1" a="1"/>
  <c r="P970" i="5" s="1"/>
  <c r="D969" i="5" a="1"/>
  <c r="D969" i="5" s="1"/>
  <c r="Q969" i="5"/>
  <c r="R969" i="5"/>
  <c r="G969" i="5" a="1"/>
  <c r="G969" i="5" s="1"/>
  <c r="F969" i="5" a="1"/>
  <c r="F969" i="5" s="1"/>
  <c r="K969" i="5" a="1"/>
  <c r="K969" i="5" s="1"/>
  <c r="S969" i="5"/>
  <c r="H969" i="5" a="1"/>
  <c r="H969" i="5" s="1"/>
  <c r="J969" i="5" a="1"/>
  <c r="J969" i="5" s="1"/>
  <c r="O969" i="5" a="1"/>
  <c r="O969" i="5" s="1"/>
  <c r="I969" i="5" a="1"/>
  <c r="I969" i="5" s="1"/>
  <c r="Z970" i="5"/>
  <c r="Y970" i="5"/>
  <c r="X970" i="5"/>
  <c r="W970" i="5"/>
  <c r="A971" i="5" a="1"/>
  <c r="A971" i="5" s="1"/>
  <c r="AC970" i="5"/>
  <c r="AB970" i="5"/>
  <c r="AA970" i="5"/>
  <c r="G970" i="5" l="1" a="1"/>
  <c r="G970" i="5" s="1"/>
  <c r="R970" i="5"/>
  <c r="K970" i="5" a="1"/>
  <c r="K970" i="5" s="1"/>
  <c r="T970" i="5"/>
  <c r="O970" i="5" a="1"/>
  <c r="O970" i="5" s="1"/>
  <c r="I970" i="5" a="1"/>
  <c r="I970" i="5" s="1"/>
  <c r="B971" i="5"/>
  <c r="J971" i="5" s="1" a="1"/>
  <c r="J971" i="5" s="1"/>
  <c r="E971" i="5" a="1"/>
  <c r="E971" i="5" s="1"/>
  <c r="V971" i="5" a="1"/>
  <c r="V971" i="5" s="1"/>
  <c r="U971" i="5" a="1"/>
  <c r="U971" i="5" s="1"/>
  <c r="C971" i="5" a="1"/>
  <c r="C971" i="5" s="1"/>
  <c r="F970" i="5" a="1"/>
  <c r="F970" i="5" s="1"/>
  <c r="M970" i="5" a="1"/>
  <c r="M970" i="5" s="1"/>
  <c r="J970" i="5" a="1"/>
  <c r="J970" i="5" s="1"/>
  <c r="D970" i="5" a="1"/>
  <c r="D970" i="5" s="1"/>
  <c r="Q970" i="5"/>
  <c r="N970" i="5" a="1"/>
  <c r="N970" i="5" s="1"/>
  <c r="H970" i="5" a="1"/>
  <c r="H970" i="5" s="1"/>
  <c r="S970" i="5"/>
  <c r="L970" i="5" a="1"/>
  <c r="L970" i="5" s="1"/>
  <c r="A972" i="5" a="1"/>
  <c r="A972" i="5" s="1"/>
  <c r="AC971" i="5"/>
  <c r="AB971" i="5"/>
  <c r="AA971" i="5"/>
  <c r="Z971" i="5"/>
  <c r="Y971" i="5"/>
  <c r="X971" i="5"/>
  <c r="W971" i="5"/>
  <c r="I971" i="5" l="1" a="1"/>
  <c r="I971" i="5" s="1"/>
  <c r="P971" i="5" a="1"/>
  <c r="P971" i="5" s="1"/>
  <c r="N971" i="5" a="1"/>
  <c r="N971" i="5" s="1"/>
  <c r="L971" i="5" a="1"/>
  <c r="L971" i="5" s="1"/>
  <c r="S971" i="5"/>
  <c r="D971" i="5" a="1"/>
  <c r="D971" i="5" s="1"/>
  <c r="M971" i="5" a="1"/>
  <c r="M971" i="5" s="1"/>
  <c r="T971" i="5"/>
  <c r="Q971" i="5"/>
  <c r="V972" i="5" a="1"/>
  <c r="V972" i="5" s="1"/>
  <c r="U972" i="5" a="1"/>
  <c r="U972" i="5" s="1"/>
  <c r="C972" i="5" a="1"/>
  <c r="C972" i="5" s="1"/>
  <c r="B972" i="5"/>
  <c r="H972" i="5" s="1" a="1"/>
  <c r="H972" i="5" s="1"/>
  <c r="E972" i="5" a="1"/>
  <c r="E972" i="5" s="1"/>
  <c r="G971" i="5" a="1"/>
  <c r="G971" i="5" s="1"/>
  <c r="R971" i="5"/>
  <c r="H971" i="5" a="1"/>
  <c r="H971" i="5" s="1"/>
  <c r="F971" i="5" a="1"/>
  <c r="F971" i="5" s="1"/>
  <c r="O971" i="5" a="1"/>
  <c r="O971" i="5" s="1"/>
  <c r="K971" i="5" a="1"/>
  <c r="K971" i="5" s="1"/>
  <c r="Z972" i="5"/>
  <c r="Y972" i="5"/>
  <c r="X972" i="5"/>
  <c r="W972" i="5"/>
  <c r="A973" i="5" a="1"/>
  <c r="A973" i="5" s="1"/>
  <c r="AC972" i="5"/>
  <c r="AB972" i="5"/>
  <c r="AA972" i="5"/>
  <c r="I972" i="5" l="1" a="1"/>
  <c r="I972" i="5" s="1"/>
  <c r="M972" i="5" a="1"/>
  <c r="M972" i="5" s="1"/>
  <c r="T972" i="5"/>
  <c r="P972" i="5" a="1"/>
  <c r="P972" i="5" s="1"/>
  <c r="Q972" i="5"/>
  <c r="G972" i="5" a="1"/>
  <c r="G972" i="5" s="1"/>
  <c r="F972" i="5" a="1"/>
  <c r="F972" i="5" s="1"/>
  <c r="K972" i="5" a="1"/>
  <c r="K972" i="5" s="1"/>
  <c r="J972" i="5" a="1"/>
  <c r="J972" i="5" s="1"/>
  <c r="O972" i="5" a="1"/>
  <c r="O972" i="5" s="1"/>
  <c r="N972" i="5" a="1"/>
  <c r="N972" i="5" s="1"/>
  <c r="R972" i="5"/>
  <c r="S972" i="5"/>
  <c r="L972" i="5" a="1"/>
  <c r="L972" i="5" s="1"/>
  <c r="E973" i="5" a="1"/>
  <c r="E973" i="5" s="1"/>
  <c r="V973" i="5" a="1"/>
  <c r="V973" i="5" s="1"/>
  <c r="B973" i="5"/>
  <c r="R973" i="5" s="1"/>
  <c r="U973" i="5" a="1"/>
  <c r="U973" i="5" s="1"/>
  <c r="C973" i="5" a="1"/>
  <c r="C973" i="5" s="1"/>
  <c r="D972" i="5" a="1"/>
  <c r="D972" i="5" s="1"/>
  <c r="A974" i="5" a="1"/>
  <c r="A974" i="5" s="1"/>
  <c r="AC973" i="5"/>
  <c r="AB973" i="5"/>
  <c r="AA973" i="5"/>
  <c r="Z973" i="5"/>
  <c r="Y973" i="5"/>
  <c r="X973" i="5"/>
  <c r="W973" i="5"/>
  <c r="P973" i="5" l="1" a="1"/>
  <c r="P973" i="5" s="1"/>
  <c r="L973" i="5" a="1"/>
  <c r="L973" i="5" s="1"/>
  <c r="K973" i="5" a="1"/>
  <c r="K973" i="5" s="1"/>
  <c r="F973" i="5" a="1"/>
  <c r="F973" i="5" s="1"/>
  <c r="J973" i="5" a="1"/>
  <c r="J973" i="5" s="1"/>
  <c r="G973" i="5" a="1"/>
  <c r="G973" i="5" s="1"/>
  <c r="I973" i="5" a="1"/>
  <c r="I973" i="5" s="1"/>
  <c r="N973" i="5" a="1"/>
  <c r="N973" i="5" s="1"/>
  <c r="T973" i="5"/>
  <c r="M973" i="5" a="1"/>
  <c r="M973" i="5" s="1"/>
  <c r="O973" i="5" a="1"/>
  <c r="O973" i="5" s="1"/>
  <c r="D973" i="5" a="1"/>
  <c r="D973" i="5" s="1"/>
  <c r="Q973" i="5"/>
  <c r="U974" i="5" a="1"/>
  <c r="U974" i="5" s="1"/>
  <c r="C974" i="5" a="1"/>
  <c r="C974" i="5" s="1"/>
  <c r="B974" i="5"/>
  <c r="O974" i="5" s="1" a="1"/>
  <c r="O974" i="5" s="1"/>
  <c r="E974" i="5" a="1"/>
  <c r="E974" i="5" s="1"/>
  <c r="V974" i="5" a="1"/>
  <c r="V974" i="5" s="1"/>
  <c r="S973" i="5"/>
  <c r="H973" i="5" a="1"/>
  <c r="H973" i="5" s="1"/>
  <c r="Z974" i="5"/>
  <c r="Y974" i="5"/>
  <c r="X974" i="5"/>
  <c r="W974" i="5"/>
  <c r="A975" i="5" a="1"/>
  <c r="A975" i="5" s="1"/>
  <c r="AC974" i="5"/>
  <c r="AB974" i="5"/>
  <c r="AA974" i="5"/>
  <c r="L974" i="5" l="1" a="1"/>
  <c r="L974" i="5" s="1"/>
  <c r="I974" i="5" a="1"/>
  <c r="I974" i="5" s="1"/>
  <c r="F974" i="5" a="1"/>
  <c r="F974" i="5" s="1"/>
  <c r="N974" i="5" a="1"/>
  <c r="N974" i="5" s="1"/>
  <c r="S974" i="5"/>
  <c r="M974" i="5" a="1"/>
  <c r="M974" i="5" s="1"/>
  <c r="T974" i="5"/>
  <c r="D974" i="5" a="1"/>
  <c r="D974" i="5" s="1"/>
  <c r="Q974" i="5"/>
  <c r="V975" i="5" a="1"/>
  <c r="V975" i="5" s="1"/>
  <c r="U975" i="5" a="1"/>
  <c r="U975" i="5" s="1"/>
  <c r="C975" i="5" a="1"/>
  <c r="C975" i="5" s="1"/>
  <c r="B975" i="5"/>
  <c r="D975" i="5" s="1" a="1"/>
  <c r="D975" i="5" s="1"/>
  <c r="E975" i="5" a="1"/>
  <c r="E975" i="5" s="1"/>
  <c r="H974" i="5" a="1"/>
  <c r="H974" i="5" s="1"/>
  <c r="R974" i="5"/>
  <c r="G974" i="5" a="1"/>
  <c r="G974" i="5" s="1"/>
  <c r="K974" i="5" a="1"/>
  <c r="K974" i="5" s="1"/>
  <c r="P974" i="5" a="1"/>
  <c r="P974" i="5" s="1"/>
  <c r="J974" i="5" a="1"/>
  <c r="J974" i="5" s="1"/>
  <c r="A976" i="5" a="1"/>
  <c r="A976" i="5" s="1"/>
  <c r="AC975" i="5"/>
  <c r="AB975" i="5"/>
  <c r="AA975" i="5"/>
  <c r="Z975" i="5"/>
  <c r="Y975" i="5"/>
  <c r="X975" i="5"/>
  <c r="W975" i="5"/>
  <c r="F975" i="5" l="1" a="1"/>
  <c r="F975" i="5" s="1"/>
  <c r="I975" i="5" a="1"/>
  <c r="I975" i="5" s="1"/>
  <c r="T975" i="5"/>
  <c r="L975" i="5" a="1"/>
  <c r="L975" i="5" s="1"/>
  <c r="E976" i="5" a="1"/>
  <c r="E976" i="5" s="1"/>
  <c r="V976" i="5" a="1"/>
  <c r="V976" i="5" s="1"/>
  <c r="U976" i="5" a="1"/>
  <c r="U976" i="5" s="1"/>
  <c r="C976" i="5" a="1"/>
  <c r="C976" i="5" s="1"/>
  <c r="B976" i="5"/>
  <c r="R976" i="5" s="1"/>
  <c r="M975" i="5" a="1"/>
  <c r="M975" i="5" s="1"/>
  <c r="G975" i="5" a="1"/>
  <c r="G975" i="5" s="1"/>
  <c r="N975" i="5" a="1"/>
  <c r="N975" i="5" s="1"/>
  <c r="K975" i="5" a="1"/>
  <c r="K975" i="5" s="1"/>
  <c r="P975" i="5" a="1"/>
  <c r="P975" i="5" s="1"/>
  <c r="Q975" i="5"/>
  <c r="O975" i="5" a="1"/>
  <c r="O975" i="5" s="1"/>
  <c r="S975" i="5"/>
  <c r="H975" i="5" a="1"/>
  <c r="H975" i="5" s="1"/>
  <c r="J975" i="5" a="1"/>
  <c r="J975" i="5" s="1"/>
  <c r="R975" i="5"/>
  <c r="Z976" i="5"/>
  <c r="Y976" i="5"/>
  <c r="X976" i="5"/>
  <c r="W976" i="5"/>
  <c r="A977" i="5" a="1"/>
  <c r="A977" i="5" s="1"/>
  <c r="AC976" i="5"/>
  <c r="AB976" i="5"/>
  <c r="AA976" i="5"/>
  <c r="F976" i="5" l="1" a="1"/>
  <c r="F976" i="5" s="1"/>
  <c r="T976" i="5"/>
  <c r="J976" i="5" a="1"/>
  <c r="J976" i="5" s="1"/>
  <c r="L976" i="5" a="1"/>
  <c r="L976" i="5" s="1"/>
  <c r="P976" i="5" a="1"/>
  <c r="P976" i="5" s="1"/>
  <c r="G976" i="5" a="1"/>
  <c r="G976" i="5" s="1"/>
  <c r="N976" i="5" a="1"/>
  <c r="N976" i="5" s="1"/>
  <c r="K976" i="5" a="1"/>
  <c r="K976" i="5" s="1"/>
  <c r="S976" i="5"/>
  <c r="O976" i="5" a="1"/>
  <c r="O976" i="5" s="1"/>
  <c r="I976" i="5" a="1"/>
  <c r="I976" i="5" s="1"/>
  <c r="M976" i="5" a="1"/>
  <c r="M976" i="5" s="1"/>
  <c r="D976" i="5" a="1"/>
  <c r="D976" i="5" s="1"/>
  <c r="Q976" i="5"/>
  <c r="U977" i="5" a="1"/>
  <c r="U977" i="5" s="1"/>
  <c r="C977" i="5" a="1"/>
  <c r="C977" i="5" s="1"/>
  <c r="B977" i="5"/>
  <c r="S977" i="5" s="1"/>
  <c r="E977" i="5" a="1"/>
  <c r="E977" i="5" s="1"/>
  <c r="V977" i="5" a="1"/>
  <c r="V977" i="5" s="1"/>
  <c r="H976" i="5" a="1"/>
  <c r="H976" i="5" s="1"/>
  <c r="A978" i="5" a="1"/>
  <c r="A978" i="5" s="1"/>
  <c r="AC977" i="5"/>
  <c r="AB977" i="5"/>
  <c r="AA977" i="5"/>
  <c r="Z977" i="5"/>
  <c r="Y977" i="5"/>
  <c r="X977" i="5"/>
  <c r="W977" i="5"/>
  <c r="L977" i="5" l="1" a="1"/>
  <c r="L977" i="5" s="1"/>
  <c r="T977" i="5"/>
  <c r="Q977" i="5"/>
  <c r="R977" i="5"/>
  <c r="G977" i="5" a="1"/>
  <c r="G977" i="5" s="1"/>
  <c r="E978" i="5" a="1"/>
  <c r="E978" i="5" s="1"/>
  <c r="V978" i="5" a="1"/>
  <c r="V978" i="5" s="1"/>
  <c r="U978" i="5" a="1"/>
  <c r="U978" i="5" s="1"/>
  <c r="C978" i="5" a="1"/>
  <c r="C978" i="5" s="1"/>
  <c r="B978" i="5"/>
  <c r="K978" i="5" s="1" a="1"/>
  <c r="K978" i="5" s="1"/>
  <c r="P977" i="5" a="1"/>
  <c r="P977" i="5" s="1"/>
  <c r="D977" i="5" a="1"/>
  <c r="D977" i="5" s="1"/>
  <c r="F977" i="5" a="1"/>
  <c r="F977" i="5" s="1"/>
  <c r="K977" i="5" a="1"/>
  <c r="K977" i="5" s="1"/>
  <c r="J977" i="5" a="1"/>
  <c r="J977" i="5" s="1"/>
  <c r="O977" i="5" a="1"/>
  <c r="O977" i="5" s="1"/>
  <c r="N977" i="5" a="1"/>
  <c r="N977" i="5" s="1"/>
  <c r="I977" i="5" a="1"/>
  <c r="I977" i="5" s="1"/>
  <c r="M977" i="5" a="1"/>
  <c r="M977" i="5" s="1"/>
  <c r="H977" i="5" a="1"/>
  <c r="H977" i="5" s="1"/>
  <c r="Z978" i="5"/>
  <c r="Y978" i="5"/>
  <c r="X978" i="5"/>
  <c r="W978" i="5"/>
  <c r="A979" i="5" a="1"/>
  <c r="A979" i="5" s="1"/>
  <c r="AC978" i="5"/>
  <c r="AB978" i="5"/>
  <c r="AA978" i="5"/>
  <c r="F978" i="5" l="1" a="1"/>
  <c r="F978" i="5" s="1"/>
  <c r="J978" i="5" a="1"/>
  <c r="J978" i="5" s="1"/>
  <c r="S978" i="5"/>
  <c r="N978" i="5" a="1"/>
  <c r="N978" i="5" s="1"/>
  <c r="I978" i="5" a="1"/>
  <c r="I978" i="5" s="1"/>
  <c r="O978" i="5" a="1"/>
  <c r="O978" i="5" s="1"/>
  <c r="T978" i="5"/>
  <c r="D978" i="5" a="1"/>
  <c r="D978" i="5" s="1"/>
  <c r="M978" i="5" a="1"/>
  <c r="M978" i="5" s="1"/>
  <c r="Q978" i="5"/>
  <c r="H978" i="5" a="1"/>
  <c r="H978" i="5" s="1"/>
  <c r="L978" i="5" a="1"/>
  <c r="L978" i="5" s="1"/>
  <c r="P978" i="5" a="1"/>
  <c r="P978" i="5" s="1"/>
  <c r="R978" i="5"/>
  <c r="G978" i="5" a="1"/>
  <c r="G978" i="5" s="1"/>
  <c r="B979" i="5"/>
  <c r="S979" i="5" s="1"/>
  <c r="E979" i="5" a="1"/>
  <c r="E979" i="5" s="1"/>
  <c r="V979" i="5" a="1"/>
  <c r="V979" i="5" s="1"/>
  <c r="U979" i="5" a="1"/>
  <c r="U979" i="5" s="1"/>
  <c r="C979" i="5" a="1"/>
  <c r="C979" i="5" s="1"/>
  <c r="A980" i="5" a="1"/>
  <c r="A980" i="5" s="1"/>
  <c r="AC979" i="5"/>
  <c r="AB979" i="5"/>
  <c r="AA979" i="5"/>
  <c r="Z979" i="5"/>
  <c r="Y979" i="5"/>
  <c r="X979" i="5"/>
  <c r="W979" i="5"/>
  <c r="G979" i="5" l="1" a="1"/>
  <c r="G979" i="5" s="1"/>
  <c r="D979" i="5" a="1"/>
  <c r="D979" i="5" s="1"/>
  <c r="K979" i="5" a="1"/>
  <c r="K979" i="5" s="1"/>
  <c r="R979" i="5"/>
  <c r="L979" i="5" a="1"/>
  <c r="L979" i="5" s="1"/>
  <c r="F979" i="5" a="1"/>
  <c r="F979" i="5" s="1"/>
  <c r="T979" i="5"/>
  <c r="O979" i="5" a="1"/>
  <c r="O979" i="5" s="1"/>
  <c r="I979" i="5" a="1"/>
  <c r="I979" i="5" s="1"/>
  <c r="P979" i="5" a="1"/>
  <c r="P979" i="5" s="1"/>
  <c r="M979" i="5" a="1"/>
  <c r="M979" i="5" s="1"/>
  <c r="Q979" i="5"/>
  <c r="V980" i="5" a="1"/>
  <c r="V980" i="5" s="1"/>
  <c r="U980" i="5" a="1"/>
  <c r="U980" i="5" s="1"/>
  <c r="C980" i="5" a="1"/>
  <c r="C980" i="5" s="1"/>
  <c r="B980" i="5"/>
  <c r="G980" i="5" s="1" a="1"/>
  <c r="G980" i="5" s="1"/>
  <c r="E980" i="5" a="1"/>
  <c r="E980" i="5" s="1"/>
  <c r="J979" i="5" a="1"/>
  <c r="J979" i="5" s="1"/>
  <c r="H979" i="5" a="1"/>
  <c r="H979" i="5" s="1"/>
  <c r="N979" i="5" a="1"/>
  <c r="N979" i="5" s="1"/>
  <c r="Z980" i="5"/>
  <c r="Y980" i="5"/>
  <c r="X980" i="5"/>
  <c r="W980" i="5"/>
  <c r="A981" i="5" a="1"/>
  <c r="A981" i="5" s="1"/>
  <c r="AC980" i="5"/>
  <c r="AB980" i="5"/>
  <c r="AA980" i="5"/>
  <c r="F980" i="5" l="1" a="1"/>
  <c r="F980" i="5" s="1"/>
  <c r="J980" i="5" a="1"/>
  <c r="J980" i="5" s="1"/>
  <c r="N980" i="5" a="1"/>
  <c r="N980" i="5" s="1"/>
  <c r="K980" i="5" a="1"/>
  <c r="K980" i="5" s="1"/>
  <c r="O980" i="5" a="1"/>
  <c r="O980" i="5" s="1"/>
  <c r="E981" i="5" a="1"/>
  <c r="E981" i="5" s="1"/>
  <c r="V981" i="5" a="1"/>
  <c r="V981" i="5" s="1"/>
  <c r="B981" i="5"/>
  <c r="L981" i="5" s="1" a="1"/>
  <c r="L981" i="5" s="1"/>
  <c r="U981" i="5" a="1"/>
  <c r="U981" i="5" s="1"/>
  <c r="C981" i="5" a="1"/>
  <c r="C981" i="5" s="1"/>
  <c r="R980" i="5"/>
  <c r="S980" i="5"/>
  <c r="D980" i="5" a="1"/>
  <c r="D980" i="5" s="1"/>
  <c r="H980" i="5" a="1"/>
  <c r="H980" i="5" s="1"/>
  <c r="I980" i="5" a="1"/>
  <c r="I980" i="5" s="1"/>
  <c r="T980" i="5"/>
  <c r="L980" i="5" a="1"/>
  <c r="L980" i="5" s="1"/>
  <c r="M980" i="5" a="1"/>
  <c r="M980" i="5" s="1"/>
  <c r="P980" i="5" a="1"/>
  <c r="P980" i="5" s="1"/>
  <c r="Q980" i="5"/>
  <c r="A982" i="5" a="1"/>
  <c r="A982" i="5" s="1"/>
  <c r="AC981" i="5"/>
  <c r="AB981" i="5"/>
  <c r="AA981" i="5"/>
  <c r="Z981" i="5"/>
  <c r="Y981" i="5"/>
  <c r="X981" i="5"/>
  <c r="W981" i="5"/>
  <c r="P981" i="5" l="1" a="1"/>
  <c r="P981" i="5" s="1"/>
  <c r="F981" i="5" a="1"/>
  <c r="F981" i="5" s="1"/>
  <c r="G981" i="5" a="1"/>
  <c r="G981" i="5" s="1"/>
  <c r="S981" i="5"/>
  <c r="I981" i="5" a="1"/>
  <c r="I981" i="5" s="1"/>
  <c r="J981" i="5" a="1"/>
  <c r="J981" i="5" s="1"/>
  <c r="T981" i="5"/>
  <c r="M981" i="5" a="1"/>
  <c r="M981" i="5" s="1"/>
  <c r="K981" i="5" a="1"/>
  <c r="K981" i="5" s="1"/>
  <c r="D981" i="5" a="1"/>
  <c r="D981" i="5" s="1"/>
  <c r="Q981" i="5"/>
  <c r="N981" i="5" a="1"/>
  <c r="N981" i="5" s="1"/>
  <c r="H981" i="5" a="1"/>
  <c r="H981" i="5" s="1"/>
  <c r="R981" i="5"/>
  <c r="V982" i="5" a="1"/>
  <c r="V982" i="5" s="1"/>
  <c r="C982" i="5" a="1"/>
  <c r="C982" i="5" s="1"/>
  <c r="B982" i="5"/>
  <c r="K982" i="5" s="1" a="1"/>
  <c r="K982" i="5" s="1"/>
  <c r="E982" i="5" a="1"/>
  <c r="E982" i="5" s="1"/>
  <c r="U982" i="5" a="1"/>
  <c r="U982" i="5" s="1"/>
  <c r="O981" i="5" a="1"/>
  <c r="O981" i="5" s="1"/>
  <c r="Z982" i="5"/>
  <c r="Y982" i="5"/>
  <c r="X982" i="5"/>
  <c r="W982" i="5"/>
  <c r="A983" i="5" a="1"/>
  <c r="A983" i="5" s="1"/>
  <c r="AC982" i="5"/>
  <c r="AB982" i="5"/>
  <c r="AA982" i="5"/>
  <c r="P982" i="5" l="1" a="1"/>
  <c r="P982" i="5" s="1"/>
  <c r="D982" i="5" a="1"/>
  <c r="D982" i="5" s="1"/>
  <c r="H982" i="5" a="1"/>
  <c r="H982" i="5" s="1"/>
  <c r="M982" i="5" a="1"/>
  <c r="M982" i="5" s="1"/>
  <c r="F982" i="5" a="1"/>
  <c r="F982" i="5" s="1"/>
  <c r="S982" i="5"/>
  <c r="J982" i="5" a="1"/>
  <c r="J982" i="5" s="1"/>
  <c r="N982" i="5" a="1"/>
  <c r="N982" i="5" s="1"/>
  <c r="L982" i="5" a="1"/>
  <c r="L982" i="5" s="1"/>
  <c r="O982" i="5" a="1"/>
  <c r="O982" i="5" s="1"/>
  <c r="T982" i="5"/>
  <c r="Q982" i="5"/>
  <c r="U983" i="5" a="1"/>
  <c r="U983" i="5" s="1"/>
  <c r="C983" i="5" a="1"/>
  <c r="C983" i="5" s="1"/>
  <c r="B983" i="5"/>
  <c r="T983" i="5" s="1"/>
  <c r="E983" i="5" a="1"/>
  <c r="E983" i="5" s="1"/>
  <c r="V983" i="5" a="1"/>
  <c r="V983" i="5" s="1"/>
  <c r="R982" i="5"/>
  <c r="G982" i="5" a="1"/>
  <c r="G982" i="5" s="1"/>
  <c r="I982" i="5" a="1"/>
  <c r="I982" i="5" s="1"/>
  <c r="A984" i="5" a="1"/>
  <c r="A984" i="5" s="1"/>
  <c r="AC983" i="5"/>
  <c r="AB983" i="5"/>
  <c r="AA983" i="5"/>
  <c r="Z983" i="5"/>
  <c r="Y983" i="5"/>
  <c r="X983" i="5"/>
  <c r="W983" i="5"/>
  <c r="H983" i="5" l="1" a="1"/>
  <c r="H983" i="5" s="1"/>
  <c r="L983" i="5" a="1"/>
  <c r="L983" i="5" s="1"/>
  <c r="D983" i="5" a="1"/>
  <c r="D983" i="5" s="1"/>
  <c r="I983" i="5" a="1"/>
  <c r="I983" i="5" s="1"/>
  <c r="Q983" i="5"/>
  <c r="R983" i="5"/>
  <c r="F983" i="5" a="1"/>
  <c r="F983" i="5" s="1"/>
  <c r="G983" i="5" a="1"/>
  <c r="G983" i="5" s="1"/>
  <c r="K983" i="5" a="1"/>
  <c r="K983" i="5" s="1"/>
  <c r="P983" i="5" a="1"/>
  <c r="P983" i="5" s="1"/>
  <c r="J983" i="5" a="1"/>
  <c r="J983" i="5" s="1"/>
  <c r="O983" i="5" a="1"/>
  <c r="O983" i="5" s="1"/>
  <c r="N983" i="5" a="1"/>
  <c r="N983" i="5" s="1"/>
  <c r="S983" i="5"/>
  <c r="M983" i="5" a="1"/>
  <c r="M983" i="5" s="1"/>
  <c r="V984" i="5" a="1"/>
  <c r="V984" i="5" s="1"/>
  <c r="U984" i="5" a="1"/>
  <c r="U984" i="5" s="1"/>
  <c r="C984" i="5" a="1"/>
  <c r="C984" i="5" s="1"/>
  <c r="B984" i="5"/>
  <c r="G984" i="5" s="1" a="1"/>
  <c r="G984" i="5" s="1"/>
  <c r="E984" i="5" a="1"/>
  <c r="E984" i="5" s="1"/>
  <c r="Z984" i="5"/>
  <c r="Y984" i="5"/>
  <c r="X984" i="5"/>
  <c r="W984" i="5"/>
  <c r="A985" i="5" a="1"/>
  <c r="A985" i="5" s="1"/>
  <c r="AC984" i="5"/>
  <c r="AB984" i="5"/>
  <c r="AA984" i="5"/>
  <c r="F984" i="5" l="1" a="1"/>
  <c r="F984" i="5" s="1"/>
  <c r="J984" i="5" a="1"/>
  <c r="J984" i="5" s="1"/>
  <c r="K984" i="5" a="1"/>
  <c r="K984" i="5" s="1"/>
  <c r="Q984" i="5"/>
  <c r="I984" i="5" a="1"/>
  <c r="I984" i="5" s="1"/>
  <c r="O984" i="5" a="1"/>
  <c r="O984" i="5" s="1"/>
  <c r="M984" i="5" a="1"/>
  <c r="M984" i="5" s="1"/>
  <c r="R984" i="5"/>
  <c r="D984" i="5" a="1"/>
  <c r="D984" i="5" s="1"/>
  <c r="H984" i="5" a="1"/>
  <c r="H984" i="5" s="1"/>
  <c r="N984" i="5" a="1"/>
  <c r="N984" i="5" s="1"/>
  <c r="T984" i="5"/>
  <c r="L984" i="5" a="1"/>
  <c r="L984" i="5" s="1"/>
  <c r="S984" i="5"/>
  <c r="P984" i="5" a="1"/>
  <c r="P984" i="5" s="1"/>
  <c r="E985" i="5" a="1"/>
  <c r="E985" i="5" s="1"/>
  <c r="V985" i="5" a="1"/>
  <c r="V985" i="5" s="1"/>
  <c r="U985" i="5" a="1"/>
  <c r="U985" i="5" s="1"/>
  <c r="C985" i="5" a="1"/>
  <c r="C985" i="5" s="1"/>
  <c r="B985" i="5"/>
  <c r="Q985" i="5" s="1"/>
  <c r="Y985" i="5"/>
  <c r="X985" i="5"/>
  <c r="W985" i="5"/>
  <c r="A986" i="5" a="1"/>
  <c r="A986" i="5" s="1"/>
  <c r="AC985" i="5"/>
  <c r="AB985" i="5"/>
  <c r="AA985" i="5"/>
  <c r="Z985" i="5"/>
  <c r="R985" i="5" l="1"/>
  <c r="L985" i="5" a="1"/>
  <c r="L985" i="5" s="1"/>
  <c r="F985" i="5" a="1"/>
  <c r="F985" i="5" s="1"/>
  <c r="P985" i="5" a="1"/>
  <c r="P985" i="5" s="1"/>
  <c r="J985" i="5" a="1"/>
  <c r="J985" i="5" s="1"/>
  <c r="N985" i="5" a="1"/>
  <c r="N985" i="5" s="1"/>
  <c r="H985" i="5" a="1"/>
  <c r="H985" i="5" s="1"/>
  <c r="T985" i="5"/>
  <c r="G985" i="5" a="1"/>
  <c r="G985" i="5" s="1"/>
  <c r="K985" i="5" a="1"/>
  <c r="K985" i="5" s="1"/>
  <c r="S985" i="5"/>
  <c r="U986" i="5" a="1"/>
  <c r="U986" i="5" s="1"/>
  <c r="C986" i="5" a="1"/>
  <c r="C986" i="5" s="1"/>
  <c r="B986" i="5"/>
  <c r="T986" i="5" s="1"/>
  <c r="E986" i="5" a="1"/>
  <c r="E986" i="5" s="1"/>
  <c r="V986" i="5" a="1"/>
  <c r="V986" i="5" s="1"/>
  <c r="O985" i="5" a="1"/>
  <c r="O985" i="5" s="1"/>
  <c r="I985" i="5" a="1"/>
  <c r="I985" i="5" s="1"/>
  <c r="M985" i="5" a="1"/>
  <c r="M985" i="5" s="1"/>
  <c r="D985" i="5" a="1"/>
  <c r="D985" i="5" s="1"/>
  <c r="AC986" i="5"/>
  <c r="AB986" i="5"/>
  <c r="AA986" i="5"/>
  <c r="Z986" i="5"/>
  <c r="Y986" i="5"/>
  <c r="X986" i="5"/>
  <c r="W986" i="5"/>
  <c r="A987" i="5" a="1"/>
  <c r="A987" i="5" s="1"/>
  <c r="F986" i="5" l="1" a="1"/>
  <c r="F986" i="5" s="1"/>
  <c r="H986" i="5" a="1"/>
  <c r="H986" i="5" s="1"/>
  <c r="R986" i="5"/>
  <c r="L986" i="5" a="1"/>
  <c r="L986" i="5" s="1"/>
  <c r="P986" i="5" a="1"/>
  <c r="P986" i="5" s="1"/>
  <c r="D986" i="5" a="1"/>
  <c r="D986" i="5" s="1"/>
  <c r="G986" i="5" a="1"/>
  <c r="G986" i="5" s="1"/>
  <c r="K986" i="5" a="1"/>
  <c r="K986" i="5" s="1"/>
  <c r="I986" i="5" a="1"/>
  <c r="I986" i="5" s="1"/>
  <c r="J986" i="5" a="1"/>
  <c r="J986" i="5" s="1"/>
  <c r="M986" i="5" a="1"/>
  <c r="M986" i="5" s="1"/>
  <c r="N986" i="5" a="1"/>
  <c r="N986" i="5" s="1"/>
  <c r="O986" i="5" a="1"/>
  <c r="O986" i="5" s="1"/>
  <c r="E987" i="5" a="1"/>
  <c r="E987" i="5" s="1"/>
  <c r="V987" i="5" a="1"/>
  <c r="V987" i="5" s="1"/>
  <c r="U987" i="5" a="1"/>
  <c r="U987" i="5" s="1"/>
  <c r="C987" i="5" a="1"/>
  <c r="C987" i="5" s="1"/>
  <c r="B987" i="5"/>
  <c r="H987" i="5" s="1" a="1"/>
  <c r="H987" i="5" s="1"/>
  <c r="Q986" i="5"/>
  <c r="S986" i="5"/>
  <c r="Y987" i="5"/>
  <c r="X987" i="5"/>
  <c r="W987" i="5"/>
  <c r="A988" i="5" a="1"/>
  <c r="A988" i="5" s="1"/>
  <c r="AC987" i="5"/>
  <c r="AB987" i="5"/>
  <c r="AA987" i="5"/>
  <c r="Z987" i="5"/>
  <c r="S987" i="5" l="1"/>
  <c r="G987" i="5" a="1"/>
  <c r="G987" i="5" s="1"/>
  <c r="L987" i="5" a="1"/>
  <c r="L987" i="5" s="1"/>
  <c r="P987" i="5" a="1"/>
  <c r="P987" i="5" s="1"/>
  <c r="B988" i="5"/>
  <c r="T988" i="5" s="1"/>
  <c r="E988" i="5" a="1"/>
  <c r="E988" i="5" s="1"/>
  <c r="V988" i="5" a="1"/>
  <c r="V988" i="5" s="1"/>
  <c r="U988" i="5" a="1"/>
  <c r="U988" i="5" s="1"/>
  <c r="C988" i="5" a="1"/>
  <c r="C988" i="5" s="1"/>
  <c r="T987" i="5"/>
  <c r="O987" i="5" a="1"/>
  <c r="O987" i="5" s="1"/>
  <c r="I987" i="5" a="1"/>
  <c r="I987" i="5" s="1"/>
  <c r="F987" i="5" a="1"/>
  <c r="F987" i="5" s="1"/>
  <c r="M987" i="5" a="1"/>
  <c r="M987" i="5" s="1"/>
  <c r="R987" i="5"/>
  <c r="K987" i="5" a="1"/>
  <c r="K987" i="5" s="1"/>
  <c r="J987" i="5" a="1"/>
  <c r="J987" i="5" s="1"/>
  <c r="D987" i="5" a="1"/>
  <c r="D987" i="5" s="1"/>
  <c r="Q987" i="5"/>
  <c r="N987" i="5" a="1"/>
  <c r="N987" i="5" s="1"/>
  <c r="AC988" i="5"/>
  <c r="AB988" i="5"/>
  <c r="AA988" i="5"/>
  <c r="Z988" i="5"/>
  <c r="Y988" i="5"/>
  <c r="X988" i="5"/>
  <c r="W988" i="5"/>
  <c r="A989" i="5" a="1"/>
  <c r="A989" i="5" s="1"/>
  <c r="I988" i="5" l="1" a="1"/>
  <c r="I988" i="5" s="1"/>
  <c r="G988" i="5" a="1"/>
  <c r="G988" i="5" s="1"/>
  <c r="M988" i="5" a="1"/>
  <c r="M988" i="5" s="1"/>
  <c r="N988" i="5" a="1"/>
  <c r="N988" i="5" s="1"/>
  <c r="D988" i="5" a="1"/>
  <c r="D988" i="5" s="1"/>
  <c r="H988" i="5" a="1"/>
  <c r="H988" i="5" s="1"/>
  <c r="O988" i="5" a="1"/>
  <c r="O988" i="5" s="1"/>
  <c r="P988" i="5" a="1"/>
  <c r="P988" i="5" s="1"/>
  <c r="J988" i="5" a="1"/>
  <c r="J988" i="5" s="1"/>
  <c r="S988" i="5"/>
  <c r="Q988" i="5"/>
  <c r="K988" i="5" a="1"/>
  <c r="K988" i="5" s="1"/>
  <c r="R988" i="5"/>
  <c r="L988" i="5" a="1"/>
  <c r="L988" i="5" s="1"/>
  <c r="F988" i="5" a="1"/>
  <c r="F988" i="5" s="1"/>
  <c r="V989" i="5" a="1"/>
  <c r="V989" i="5" s="1"/>
  <c r="U989" i="5" a="1"/>
  <c r="U989" i="5" s="1"/>
  <c r="C989" i="5" a="1"/>
  <c r="C989" i="5" s="1"/>
  <c r="B989" i="5"/>
  <c r="G989" i="5" s="1" a="1"/>
  <c r="G989" i="5" s="1"/>
  <c r="E989" i="5" a="1"/>
  <c r="E989" i="5" s="1"/>
  <c r="Y989" i="5"/>
  <c r="X989" i="5"/>
  <c r="W989" i="5"/>
  <c r="A990" i="5" a="1"/>
  <c r="A990" i="5" s="1"/>
  <c r="AC989" i="5"/>
  <c r="AB989" i="5"/>
  <c r="AA989" i="5"/>
  <c r="Z989" i="5"/>
  <c r="I989" i="5" l="1" a="1"/>
  <c r="I989" i="5" s="1"/>
  <c r="S989" i="5"/>
  <c r="R989" i="5"/>
  <c r="N989" i="5" a="1"/>
  <c r="N989" i="5" s="1"/>
  <c r="T989" i="5"/>
  <c r="F989" i="5" a="1"/>
  <c r="F989" i="5" s="1"/>
  <c r="O989" i="5" a="1"/>
  <c r="O989" i="5" s="1"/>
  <c r="M989" i="5" a="1"/>
  <c r="M989" i="5" s="1"/>
  <c r="K989" i="5" a="1"/>
  <c r="K989" i="5" s="1"/>
  <c r="J989" i="5" a="1"/>
  <c r="J989" i="5" s="1"/>
  <c r="D989" i="5" a="1"/>
  <c r="D989" i="5" s="1"/>
  <c r="H989" i="5" a="1"/>
  <c r="H989" i="5" s="1"/>
  <c r="L989" i="5" a="1"/>
  <c r="L989" i="5" s="1"/>
  <c r="P989" i="5" a="1"/>
  <c r="P989" i="5" s="1"/>
  <c r="E990" i="5" a="1"/>
  <c r="E990" i="5" s="1"/>
  <c r="V990" i="5" a="1"/>
  <c r="V990" i="5" s="1"/>
  <c r="B990" i="5"/>
  <c r="K990" i="5" s="1" a="1"/>
  <c r="K990" i="5" s="1"/>
  <c r="U990" i="5" a="1"/>
  <c r="U990" i="5" s="1"/>
  <c r="C990" i="5" a="1"/>
  <c r="C990" i="5" s="1"/>
  <c r="Q989" i="5"/>
  <c r="AC990" i="5"/>
  <c r="AB990" i="5"/>
  <c r="AA990" i="5"/>
  <c r="Z990" i="5"/>
  <c r="Y990" i="5"/>
  <c r="X990" i="5"/>
  <c r="W990" i="5"/>
  <c r="A991" i="5" a="1"/>
  <c r="A991" i="5" s="1"/>
  <c r="O990" i="5" l="1" a="1"/>
  <c r="O990" i="5" s="1"/>
  <c r="T990" i="5"/>
  <c r="M990" i="5" a="1"/>
  <c r="M990" i="5" s="1"/>
  <c r="D990" i="5" a="1"/>
  <c r="D990" i="5" s="1"/>
  <c r="Q990" i="5"/>
  <c r="S990" i="5"/>
  <c r="H990" i="5" a="1"/>
  <c r="H990" i="5" s="1"/>
  <c r="R990" i="5"/>
  <c r="F990" i="5" a="1"/>
  <c r="F990" i="5" s="1"/>
  <c r="L990" i="5" a="1"/>
  <c r="L990" i="5" s="1"/>
  <c r="I990" i="5" a="1"/>
  <c r="I990" i="5" s="1"/>
  <c r="G990" i="5" a="1"/>
  <c r="G990" i="5" s="1"/>
  <c r="P990" i="5" a="1"/>
  <c r="P990" i="5" s="1"/>
  <c r="U991" i="5" a="1"/>
  <c r="U991" i="5" s="1"/>
  <c r="C991" i="5" a="1"/>
  <c r="C991" i="5" s="1"/>
  <c r="B991" i="5"/>
  <c r="G991" i="5" s="1" a="1"/>
  <c r="G991" i="5" s="1"/>
  <c r="E991" i="5" a="1"/>
  <c r="E991" i="5" s="1"/>
  <c r="V991" i="5" a="1"/>
  <c r="V991" i="5" s="1"/>
  <c r="J990" i="5" a="1"/>
  <c r="J990" i="5" s="1"/>
  <c r="N990" i="5" a="1"/>
  <c r="N990" i="5" s="1"/>
  <c r="Y991" i="5"/>
  <c r="X991" i="5"/>
  <c r="W991" i="5"/>
  <c r="A992" i="5" a="1"/>
  <c r="A992" i="5" s="1"/>
  <c r="AC991" i="5"/>
  <c r="AB991" i="5"/>
  <c r="AA991" i="5"/>
  <c r="Z991" i="5"/>
  <c r="K991" i="5" l="1" a="1"/>
  <c r="K991" i="5" s="1"/>
  <c r="D991" i="5" a="1"/>
  <c r="D991" i="5" s="1"/>
  <c r="O991" i="5" a="1"/>
  <c r="O991" i="5" s="1"/>
  <c r="P991" i="5" a="1"/>
  <c r="P991" i="5" s="1"/>
  <c r="Q991" i="5"/>
  <c r="F991" i="5" a="1"/>
  <c r="F991" i="5" s="1"/>
  <c r="I991" i="5" a="1"/>
  <c r="I991" i="5" s="1"/>
  <c r="J991" i="5" a="1"/>
  <c r="J991" i="5" s="1"/>
  <c r="L991" i="5" a="1"/>
  <c r="L991" i="5" s="1"/>
  <c r="S991" i="5"/>
  <c r="V992" i="5" a="1"/>
  <c r="V992" i="5" s="1"/>
  <c r="U992" i="5" a="1"/>
  <c r="U992" i="5" s="1"/>
  <c r="C992" i="5" a="1"/>
  <c r="C992" i="5" s="1"/>
  <c r="B992" i="5"/>
  <c r="G992" i="5" s="1" a="1"/>
  <c r="G992" i="5" s="1"/>
  <c r="E992" i="5" a="1"/>
  <c r="E992" i="5" s="1"/>
  <c r="N991" i="5" a="1"/>
  <c r="N991" i="5" s="1"/>
  <c r="M991" i="5" a="1"/>
  <c r="M991" i="5" s="1"/>
  <c r="T991" i="5"/>
  <c r="H991" i="5" a="1"/>
  <c r="H991" i="5" s="1"/>
  <c r="R991" i="5"/>
  <c r="AC992" i="5"/>
  <c r="AB992" i="5"/>
  <c r="AA992" i="5"/>
  <c r="Z992" i="5"/>
  <c r="Y992" i="5"/>
  <c r="X992" i="5"/>
  <c r="W992" i="5"/>
  <c r="A993" i="5" a="1"/>
  <c r="A993" i="5" s="1"/>
  <c r="S992" i="5" l="1"/>
  <c r="F992" i="5" a="1"/>
  <c r="F992" i="5" s="1"/>
  <c r="K992" i="5" a="1"/>
  <c r="K992" i="5" s="1"/>
  <c r="O992" i="5" a="1"/>
  <c r="O992" i="5" s="1"/>
  <c r="I992" i="5" a="1"/>
  <c r="I992" i="5" s="1"/>
  <c r="R992" i="5"/>
  <c r="D992" i="5" a="1"/>
  <c r="D992" i="5" s="1"/>
  <c r="H992" i="5" a="1"/>
  <c r="H992" i="5" s="1"/>
  <c r="M992" i="5" a="1"/>
  <c r="M992" i="5" s="1"/>
  <c r="J992" i="5" a="1"/>
  <c r="J992" i="5" s="1"/>
  <c r="T992" i="5"/>
  <c r="L992" i="5" a="1"/>
  <c r="L992" i="5" s="1"/>
  <c r="N992" i="5" a="1"/>
  <c r="N992" i="5" s="1"/>
  <c r="P992" i="5" a="1"/>
  <c r="P992" i="5" s="1"/>
  <c r="E993" i="5" a="1"/>
  <c r="E993" i="5" s="1"/>
  <c r="V993" i="5" a="1"/>
  <c r="V993" i="5" s="1"/>
  <c r="U993" i="5" a="1"/>
  <c r="U993" i="5" s="1"/>
  <c r="C993" i="5" a="1"/>
  <c r="C993" i="5" s="1"/>
  <c r="B993" i="5"/>
  <c r="Q993" i="5" s="1"/>
  <c r="Q992" i="5"/>
  <c r="Y993" i="5"/>
  <c r="X993" i="5"/>
  <c r="W993" i="5"/>
  <c r="A994" i="5" a="1"/>
  <c r="A994" i="5" s="1"/>
  <c r="AC993" i="5"/>
  <c r="AB993" i="5"/>
  <c r="AA993" i="5"/>
  <c r="Z993" i="5"/>
  <c r="L993" i="5" l="1" a="1"/>
  <c r="L993" i="5" s="1"/>
  <c r="F993" i="5" a="1"/>
  <c r="F993" i="5" s="1"/>
  <c r="H993" i="5" a="1"/>
  <c r="H993" i="5" s="1"/>
  <c r="P993" i="5" a="1"/>
  <c r="P993" i="5" s="1"/>
  <c r="J993" i="5" a="1"/>
  <c r="J993" i="5" s="1"/>
  <c r="T993" i="5"/>
  <c r="N993" i="5" a="1"/>
  <c r="N993" i="5" s="1"/>
  <c r="R993" i="5"/>
  <c r="G993" i="5" a="1"/>
  <c r="G993" i="5" s="1"/>
  <c r="S993" i="5"/>
  <c r="O993" i="5" a="1"/>
  <c r="O993" i="5" s="1"/>
  <c r="I993" i="5" a="1"/>
  <c r="I993" i="5" s="1"/>
  <c r="U994" i="5" a="1"/>
  <c r="U994" i="5" s="1"/>
  <c r="C994" i="5" a="1"/>
  <c r="C994" i="5" s="1"/>
  <c r="B994" i="5"/>
  <c r="T994" i="5" s="1"/>
  <c r="E994" i="5" a="1"/>
  <c r="E994" i="5" s="1"/>
  <c r="V994" i="5" a="1"/>
  <c r="V994" i="5" s="1"/>
  <c r="M993" i="5" a="1"/>
  <c r="M993" i="5" s="1"/>
  <c r="K993" i="5" a="1"/>
  <c r="K993" i="5" s="1"/>
  <c r="D993" i="5" a="1"/>
  <c r="D993" i="5" s="1"/>
  <c r="AC994" i="5"/>
  <c r="AB994" i="5"/>
  <c r="AA994" i="5"/>
  <c r="Z994" i="5"/>
  <c r="Y994" i="5"/>
  <c r="X994" i="5"/>
  <c r="W994" i="5"/>
  <c r="A995" i="5" a="1"/>
  <c r="A995" i="5" s="1"/>
  <c r="D994" i="5" l="1" a="1"/>
  <c r="D994" i="5" s="1"/>
  <c r="H994" i="5" a="1"/>
  <c r="H994" i="5" s="1"/>
  <c r="G994" i="5" a="1"/>
  <c r="G994" i="5" s="1"/>
  <c r="K994" i="5" a="1"/>
  <c r="K994" i="5" s="1"/>
  <c r="I994" i="5" a="1"/>
  <c r="I994" i="5" s="1"/>
  <c r="L994" i="5" a="1"/>
  <c r="L994" i="5" s="1"/>
  <c r="M994" i="5" a="1"/>
  <c r="M994" i="5" s="1"/>
  <c r="Q994" i="5"/>
  <c r="R994" i="5"/>
  <c r="F994" i="5" a="1"/>
  <c r="F994" i="5" s="1"/>
  <c r="J994" i="5" a="1"/>
  <c r="J994" i="5" s="1"/>
  <c r="N994" i="5" a="1"/>
  <c r="N994" i="5" s="1"/>
  <c r="S994" i="5"/>
  <c r="O994" i="5" a="1"/>
  <c r="O994" i="5" s="1"/>
  <c r="P994" i="5" a="1"/>
  <c r="P994" i="5" s="1"/>
  <c r="E995" i="5" a="1"/>
  <c r="E995" i="5" s="1"/>
  <c r="V995" i="5" a="1"/>
  <c r="V995" i="5" s="1"/>
  <c r="U995" i="5" a="1"/>
  <c r="U995" i="5" s="1"/>
  <c r="C995" i="5" a="1"/>
  <c r="C995" i="5" s="1"/>
  <c r="B995" i="5"/>
  <c r="L995" i="5" s="1" a="1"/>
  <c r="L995" i="5" s="1"/>
  <c r="Y995" i="5"/>
  <c r="X995" i="5"/>
  <c r="W995" i="5"/>
  <c r="A996" i="5" a="1"/>
  <c r="A996" i="5" s="1"/>
  <c r="AC995" i="5"/>
  <c r="AB995" i="5"/>
  <c r="AA995" i="5"/>
  <c r="Z995" i="5"/>
  <c r="P995" i="5" l="1" a="1"/>
  <c r="P995" i="5" s="1"/>
  <c r="G995" i="5" a="1"/>
  <c r="G995" i="5" s="1"/>
  <c r="T995" i="5"/>
  <c r="O995" i="5" a="1"/>
  <c r="O995" i="5" s="1"/>
  <c r="I995" i="5" a="1"/>
  <c r="I995" i="5" s="1"/>
  <c r="F995" i="5" a="1"/>
  <c r="F995" i="5" s="1"/>
  <c r="M995" i="5" a="1"/>
  <c r="M995" i="5" s="1"/>
  <c r="K995" i="5" a="1"/>
  <c r="K995" i="5" s="1"/>
  <c r="B996" i="5"/>
  <c r="S996" i="5" s="1"/>
  <c r="E996" i="5" a="1"/>
  <c r="E996" i="5" s="1"/>
  <c r="V996" i="5" a="1"/>
  <c r="V996" i="5" s="1"/>
  <c r="U996" i="5" a="1"/>
  <c r="U996" i="5" s="1"/>
  <c r="C996" i="5" a="1"/>
  <c r="C996" i="5" s="1"/>
  <c r="J995" i="5" a="1"/>
  <c r="J995" i="5" s="1"/>
  <c r="D995" i="5" a="1"/>
  <c r="D995" i="5" s="1"/>
  <c r="Q995" i="5"/>
  <c r="R995" i="5"/>
  <c r="N995" i="5" a="1"/>
  <c r="N995" i="5" s="1"/>
  <c r="H995" i="5" a="1"/>
  <c r="H995" i="5" s="1"/>
  <c r="S995" i="5"/>
  <c r="AC996" i="5"/>
  <c r="AB996" i="5"/>
  <c r="AA996" i="5"/>
  <c r="Z996" i="5"/>
  <c r="Y996" i="5"/>
  <c r="X996" i="5"/>
  <c r="W996" i="5"/>
  <c r="A997" i="5" a="1"/>
  <c r="A997" i="5" s="1"/>
  <c r="D996" i="5" l="1" a="1"/>
  <c r="D996" i="5" s="1"/>
  <c r="R996" i="5"/>
  <c r="Q996" i="5"/>
  <c r="H996" i="5" a="1"/>
  <c r="H996" i="5" s="1"/>
  <c r="G996" i="5" a="1"/>
  <c r="G996" i="5" s="1"/>
  <c r="K996" i="5" a="1"/>
  <c r="K996" i="5" s="1"/>
  <c r="L996" i="5" a="1"/>
  <c r="L996" i="5" s="1"/>
  <c r="O996" i="5" a="1"/>
  <c r="O996" i="5" s="1"/>
  <c r="M996" i="5" a="1"/>
  <c r="M996" i="5" s="1"/>
  <c r="J996" i="5" a="1"/>
  <c r="J996" i="5" s="1"/>
  <c r="F996" i="5" a="1"/>
  <c r="F996" i="5" s="1"/>
  <c r="N996" i="5" a="1"/>
  <c r="N996" i="5" s="1"/>
  <c r="P996" i="5" a="1"/>
  <c r="P996" i="5" s="1"/>
  <c r="I996" i="5" a="1"/>
  <c r="I996" i="5" s="1"/>
  <c r="T996" i="5"/>
  <c r="V997" i="5" a="1"/>
  <c r="V997" i="5" s="1"/>
  <c r="U997" i="5" a="1"/>
  <c r="U997" i="5" s="1"/>
  <c r="C997" i="5" a="1"/>
  <c r="C997" i="5" s="1"/>
  <c r="B997" i="5"/>
  <c r="G997" i="5" s="1" a="1"/>
  <c r="G997" i="5" s="1"/>
  <c r="E997" i="5" a="1"/>
  <c r="E997" i="5" s="1"/>
  <c r="Y997" i="5"/>
  <c r="X997" i="5"/>
  <c r="W997" i="5"/>
  <c r="A998" i="5" a="1"/>
  <c r="A998" i="5" s="1"/>
  <c r="AC997" i="5"/>
  <c r="AB997" i="5"/>
  <c r="AA997" i="5"/>
  <c r="Z997" i="5"/>
  <c r="N997" i="5" l="1" a="1"/>
  <c r="N997" i="5" s="1"/>
  <c r="J997" i="5" a="1"/>
  <c r="J997" i="5" s="1"/>
  <c r="S997" i="5"/>
  <c r="R997" i="5"/>
  <c r="K997" i="5" a="1"/>
  <c r="K997" i="5" s="1"/>
  <c r="F997" i="5" a="1"/>
  <c r="F997" i="5" s="1"/>
  <c r="O997" i="5" a="1"/>
  <c r="O997" i="5" s="1"/>
  <c r="D997" i="5" a="1"/>
  <c r="D997" i="5" s="1"/>
  <c r="H997" i="5" a="1"/>
  <c r="H997" i="5" s="1"/>
  <c r="I997" i="5" a="1"/>
  <c r="I997" i="5" s="1"/>
  <c r="T997" i="5"/>
  <c r="L997" i="5" a="1"/>
  <c r="L997" i="5" s="1"/>
  <c r="M997" i="5" a="1"/>
  <c r="M997" i="5" s="1"/>
  <c r="P997" i="5" a="1"/>
  <c r="P997" i="5" s="1"/>
  <c r="E998" i="5" a="1"/>
  <c r="E998" i="5" s="1"/>
  <c r="V998" i="5" a="1"/>
  <c r="V998" i="5" s="1"/>
  <c r="B998" i="5"/>
  <c r="R998" i="5" s="1"/>
  <c r="U998" i="5" a="1"/>
  <c r="U998" i="5" s="1"/>
  <c r="C998" i="5" a="1"/>
  <c r="C998" i="5" s="1"/>
  <c r="Q997" i="5"/>
  <c r="AC998" i="5"/>
  <c r="AB998" i="5"/>
  <c r="AA998" i="5"/>
  <c r="Z998" i="5"/>
  <c r="Y998" i="5"/>
  <c r="X998" i="5"/>
  <c r="W998" i="5"/>
  <c r="A999" i="5" a="1"/>
  <c r="A999" i="5" s="1"/>
  <c r="J998" i="5" l="1" a="1"/>
  <c r="J998" i="5" s="1"/>
  <c r="L998" i="5" a="1"/>
  <c r="L998" i="5" s="1"/>
  <c r="F998" i="5" a="1"/>
  <c r="F998" i="5" s="1"/>
  <c r="P998" i="5" a="1"/>
  <c r="P998" i="5" s="1"/>
  <c r="U999" i="5" a="1"/>
  <c r="U999" i="5" s="1"/>
  <c r="C999" i="5" a="1"/>
  <c r="C999" i="5" s="1"/>
  <c r="B999" i="5"/>
  <c r="S999" i="5" s="1"/>
  <c r="E999" i="5" a="1"/>
  <c r="E999" i="5" s="1"/>
  <c r="V999" i="5" a="1"/>
  <c r="V999" i="5" s="1"/>
  <c r="N998" i="5" a="1"/>
  <c r="N998" i="5" s="1"/>
  <c r="I998" i="5" a="1"/>
  <c r="I998" i="5" s="1"/>
  <c r="G998" i="5" a="1"/>
  <c r="G998" i="5" s="1"/>
  <c r="K998" i="5" a="1"/>
  <c r="K998" i="5" s="1"/>
  <c r="T998" i="5"/>
  <c r="M998" i="5" a="1"/>
  <c r="M998" i="5" s="1"/>
  <c r="O998" i="5" a="1"/>
  <c r="O998" i="5" s="1"/>
  <c r="D998" i="5" a="1"/>
  <c r="D998" i="5" s="1"/>
  <c r="Q998" i="5"/>
  <c r="S998" i="5"/>
  <c r="H998" i="5" a="1"/>
  <c r="H998" i="5" s="1"/>
  <c r="Y999" i="5"/>
  <c r="X999" i="5"/>
  <c r="W999" i="5"/>
  <c r="A1000" i="5" a="1"/>
  <c r="A1000" i="5" s="1"/>
  <c r="AC999" i="5"/>
  <c r="AB999" i="5"/>
  <c r="AA999" i="5"/>
  <c r="Z999" i="5"/>
  <c r="M999" i="5" l="1" a="1"/>
  <c r="M999" i="5" s="1"/>
  <c r="T999" i="5"/>
  <c r="D999" i="5" a="1"/>
  <c r="D999" i="5" s="1"/>
  <c r="Q999" i="5"/>
  <c r="I999" i="5" a="1"/>
  <c r="I999" i="5" s="1"/>
  <c r="H999" i="5" a="1"/>
  <c r="H999" i="5" s="1"/>
  <c r="R999" i="5"/>
  <c r="G999" i="5" a="1"/>
  <c r="G999" i="5" s="1"/>
  <c r="L999" i="5" a="1"/>
  <c r="L999" i="5" s="1"/>
  <c r="F999" i="5" a="1"/>
  <c r="F999" i="5" s="1"/>
  <c r="K999" i="5" a="1"/>
  <c r="K999" i="5" s="1"/>
  <c r="V1000" i="5" a="1"/>
  <c r="V1000" i="5" s="1"/>
  <c r="U1000" i="5" a="1"/>
  <c r="U1000" i="5" s="1"/>
  <c r="C1000" i="5" a="1"/>
  <c r="C1000" i="5" s="1"/>
  <c r="B1000" i="5"/>
  <c r="S1000" i="5" s="1"/>
  <c r="E1000" i="5" a="1"/>
  <c r="E1000" i="5" s="1"/>
  <c r="P999" i="5" a="1"/>
  <c r="P999" i="5" s="1"/>
  <c r="J999" i="5" a="1"/>
  <c r="J999" i="5" s="1"/>
  <c r="O999" i="5" a="1"/>
  <c r="O999" i="5" s="1"/>
  <c r="N999" i="5" a="1"/>
  <c r="N999" i="5" s="1"/>
  <c r="AC1000" i="5"/>
  <c r="AB1000" i="5"/>
  <c r="AA1000" i="5"/>
  <c r="Z1000" i="5"/>
  <c r="Y1000" i="5"/>
  <c r="X1000" i="5"/>
  <c r="W1000" i="5"/>
  <c r="T1000" i="5" l="1"/>
  <c r="I1000" i="5" a="1"/>
  <c r="I1000" i="5" s="1"/>
  <c r="F1000" i="5" a="1"/>
  <c r="F1000" i="5" s="1"/>
  <c r="J1000" i="5" a="1"/>
  <c r="J1000" i="5" s="1"/>
  <c r="Q1000" i="5"/>
  <c r="D1000" i="5" a="1"/>
  <c r="D1000" i="5" s="1"/>
  <c r="R1000" i="5"/>
  <c r="H1000" i="5" a="1"/>
  <c r="H1000" i="5" s="1"/>
  <c r="L1000" i="5" a="1"/>
  <c r="L1000" i="5" s="1"/>
  <c r="P1000" i="5" a="1"/>
  <c r="P1000" i="5" s="1"/>
  <c r="M1000" i="5" a="1"/>
  <c r="M1000" i="5" s="1"/>
  <c r="G1000" i="5" a="1"/>
  <c r="G1000" i="5" s="1"/>
  <c r="N1000" i="5" a="1"/>
  <c r="N1000" i="5" s="1"/>
  <c r="K1000" i="5" a="1"/>
  <c r="K1000" i="5" s="1"/>
  <c r="O1000" i="5" a="1"/>
  <c r="O1000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<sst xmlns="http://schemas.openxmlformats.org/spreadsheetml/2006/main" count="4868" uniqueCount="575">
  <si>
    <t xml:space="preserve">Hook-up Mechanical and Fluids
</t>
  </si>
  <si>
    <t>TOTAL</t>
  </si>
  <si>
    <t>Rev 0</t>
  </si>
  <si>
    <t>Rev 1</t>
  </si>
  <si>
    <t>Rev 2</t>
  </si>
  <si>
    <t>Rev 3</t>
  </si>
  <si>
    <t>N°</t>
  </si>
  <si>
    <t>CODE</t>
  </si>
  <si>
    <t>FACILITIES</t>
  </si>
  <si>
    <t>MATERIALS</t>
  </si>
  <si>
    <t>BRAND</t>
  </si>
  <si>
    <t>CHARACTERISTICS</t>
  </si>
  <si>
    <t>DIAMETER</t>
  </si>
  <si>
    <t>Quantity ST</t>
  </si>
  <si>
    <t>Quantity Supplier</t>
  </si>
  <si>
    <t>unit</t>
  </si>
  <si>
    <t>Unit Price materials (€)</t>
  </si>
  <si>
    <t xml:space="preserve"> Unit Price manpower (€)</t>
  </si>
  <si>
    <t>Total Price Material</t>
  </si>
  <si>
    <t>Total Price Manpower</t>
  </si>
  <si>
    <t>Total</t>
  </si>
  <si>
    <t>VACUUM</t>
  </si>
  <si>
    <t xml:space="preserve">PV  </t>
  </si>
  <si>
    <t>GASEOUS FLUIDS</t>
  </si>
  <si>
    <t>Tube  (curves, reduction,cups,…..)</t>
  </si>
  <si>
    <t>PPH</t>
  </si>
  <si>
    <t>PN10/PN16</t>
  </si>
  <si>
    <t>DN20 to DN40</t>
  </si>
  <si>
    <t xml:space="preserve">m </t>
  </si>
  <si>
    <t>Ball valve</t>
  </si>
  <si>
    <t>DN20 to DN25</t>
  </si>
  <si>
    <t xml:space="preserve">unit </t>
  </si>
  <si>
    <t>DN32 to DN40</t>
  </si>
  <si>
    <t xml:space="preserve">Regulator  </t>
  </si>
  <si>
    <t>Tube</t>
  </si>
  <si>
    <t>PFA</t>
  </si>
  <si>
    <t>450HP</t>
  </si>
  <si>
    <t>1/4'' to 3/4''</t>
  </si>
  <si>
    <t>Test</t>
  </si>
  <si>
    <t>GASES</t>
  </si>
  <si>
    <t>BULK GASES</t>
  </si>
  <si>
    <t>BULK GASES (N2uhp / Aruhp /Heuhp / O2uhp)</t>
  </si>
  <si>
    <t>316L EP</t>
  </si>
  <si>
    <t>316L-  seamless- EP-    Ra ≤ 0.25- um - AOD/VAR</t>
  </si>
  <si>
    <t>1/4'' to 3/8"</t>
  </si>
  <si>
    <t>m</t>
  </si>
  <si>
    <t>Elbows</t>
  </si>
  <si>
    <t>Valve</t>
  </si>
  <si>
    <t>Regulator + Manometer</t>
  </si>
  <si>
    <t>1/2" to 3/4"</t>
  </si>
  <si>
    <t>1''</t>
  </si>
  <si>
    <t>Test and certification (Pressure,moisture,Particles)</t>
  </si>
  <si>
    <t>unit/m</t>
  </si>
  <si>
    <t>CDA/O2S</t>
  </si>
  <si>
    <t>CDA/O2-Scr</t>
  </si>
  <si>
    <t>304L</t>
  </si>
  <si>
    <t>304L-  seamless    Ra ≤ 0.8</t>
  </si>
  <si>
    <t>Elbowss</t>
  </si>
  <si>
    <t>Digitals Flowmeter</t>
  </si>
  <si>
    <t>various</t>
  </si>
  <si>
    <t>Test and certification (Pressure,moisture,Particles,leak for gas lines)</t>
  </si>
  <si>
    <t>SN2</t>
  </si>
  <si>
    <t>316L</t>
  </si>
  <si>
    <t>316L-  seamless    Ra ≤ 0.8</t>
  </si>
  <si>
    <t>Gas Single Envel.</t>
  </si>
  <si>
    <r>
      <t xml:space="preserve">Specilaty Gas Single envelope (INERTS)
</t>
    </r>
    <r>
      <rPr>
        <sz val="18"/>
        <rFont val="Calibri"/>
        <family val="2"/>
      </rPr>
      <t xml:space="preserve"> ArXeNe,CO2,HeN2,KrNe,Xe,C4F8,ArHe,C2F6,CF4,CHF3,CO2,N2O,O2He,SF6,H2N2-3%,O2N2</t>
    </r>
  </si>
  <si>
    <t>316L-  seamless- EP-    Ra ≤ 0.25um - AOD/VAR</t>
  </si>
  <si>
    <t>Gas Stick</t>
  </si>
  <si>
    <t>Bulkhead</t>
  </si>
  <si>
    <t>Gas Double Envel.</t>
  </si>
  <si>
    <r>
      <t xml:space="preserve">Specilaty Gas Double envelope (Toxic,Flammable,Corrosive)
</t>
    </r>
    <r>
      <rPr>
        <sz val="18"/>
        <rFont val="Calibri"/>
        <family val="2"/>
      </rPr>
      <t>4%B2H6/H2,CH4/Ar10%,CH3F,CO,PH3,SiH4,C4F6,CH2F2,DCS,TMS,He/N2,NF3,CH4,NO,O3,H2,SiH2Cl2,NH3,N2H2,He/H2-5%,,TEOS,TCS,C2H2,DCE-TRANSLC,TEB,TDMAT,F2KrNe,Cl2,HBr,HCl,BF3,SiF4,TEPO,HCD,SO2,BCl3,HF,N2O,5%B2H6/N2,F2ArNe,BCl3,WF6,SiCl4</t>
    </r>
  </si>
  <si>
    <t xml:space="preserve">316L EP </t>
  </si>
  <si>
    <t>1/4'' X 1/2''…..</t>
  </si>
  <si>
    <t>Fittings</t>
  </si>
  <si>
    <t>Tee purge + purge valve</t>
  </si>
  <si>
    <t>3/8'' X 5/8''….</t>
  </si>
  <si>
    <t>1/2'' X 3/4''…..</t>
  </si>
  <si>
    <t>Pressure indicator for coaxial leakage control</t>
  </si>
  <si>
    <t xml:space="preserve">316L-  seamless- EP-    Ra ≤ 0.25um - </t>
  </si>
  <si>
    <t>Gas stick azardous gases with multivalve purge</t>
  </si>
  <si>
    <t>WATER</t>
  </si>
  <si>
    <t>PCW</t>
  </si>
  <si>
    <t>LIQUID FLUIDS</t>
  </si>
  <si>
    <t>Tube (tees,curves, reductions,….….)</t>
  </si>
  <si>
    <t>304L - rolled welded</t>
  </si>
  <si>
    <t xml:space="preserve">1/2"- DN15 </t>
  </si>
  <si>
    <t>Isolation Valve</t>
  </si>
  <si>
    <t>304L spherical</t>
  </si>
  <si>
    <t>Balancing Valve</t>
  </si>
  <si>
    <t>Regulator</t>
  </si>
  <si>
    <t>Digital flowmeter</t>
  </si>
  <si>
    <t xml:space="preserve">Analog flowmeter </t>
  </si>
  <si>
    <t>3/4'' -DN20</t>
  </si>
  <si>
    <t xml:space="preserve"> 1'' - DN 25</t>
  </si>
  <si>
    <t>1"1/4  - DN32</t>
  </si>
  <si>
    <t>1"1/2'- DN40</t>
  </si>
  <si>
    <t>2" DN50</t>
  </si>
  <si>
    <t>2"1/2 '- DN63</t>
  </si>
  <si>
    <t>3"-  DN80</t>
  </si>
  <si>
    <t>Push on rubber flexible hose</t>
  </si>
  <si>
    <t>rubber</t>
  </si>
  <si>
    <t>Parker, Awagwlock</t>
  </si>
  <si>
    <t>PN16</t>
  </si>
  <si>
    <t>1/2"</t>
  </si>
  <si>
    <t>3/4"</t>
  </si>
  <si>
    <t>1"</t>
  </si>
  <si>
    <t>Push on SS braided flexible hose</t>
  </si>
  <si>
    <t>rubber + SS ext.</t>
  </si>
  <si>
    <t>Push on connector</t>
  </si>
  <si>
    <t>Test and certification (Pressure)</t>
  </si>
  <si>
    <t>PSW</t>
  </si>
  <si>
    <t>1/2"to 1"</t>
  </si>
  <si>
    <t>Elbow</t>
  </si>
  <si>
    <t>Flowmeter</t>
  </si>
  <si>
    <t xml:space="preserve">INOX  </t>
  </si>
  <si>
    <t xml:space="preserve">1/2'' </t>
  </si>
  <si>
    <t>Twisted SS ext.</t>
  </si>
  <si>
    <t>CH4  TPU</t>
  </si>
  <si>
    <t xml:space="preserve"> - ext : SS304L - rolled / welded
 - Int : SS304L - rolled / welded</t>
  </si>
  <si>
    <t>1/2'' TO 3/4''</t>
  </si>
  <si>
    <t>Pneumatich valve</t>
  </si>
  <si>
    <t>3/4'' TO 1''</t>
  </si>
  <si>
    <t>UPW/DIW</t>
  </si>
  <si>
    <t>PVDF HP</t>
  </si>
  <si>
    <t>PVDF HP - PN 16</t>
  </si>
  <si>
    <t>DN15 to 25</t>
  </si>
  <si>
    <t>PVDF HP - PN 16 - Diaphragm</t>
  </si>
  <si>
    <t>Bocchettone</t>
  </si>
  <si>
    <t>GF+(V582)</t>
  </si>
  <si>
    <t>Flaretek</t>
  </si>
  <si>
    <t>DN32 to 50</t>
  </si>
  <si>
    <t>Signet Transmitter +GF+</t>
  </si>
  <si>
    <t>Flowsensor/flowswitch/Temperatur +GF+</t>
  </si>
  <si>
    <t>Check valve</t>
  </si>
  <si>
    <t>3 way diaphragm  Valve</t>
  </si>
  <si>
    <t>Joints</t>
  </si>
  <si>
    <t>FPM White</t>
  </si>
  <si>
    <t>DN32 to 40</t>
  </si>
  <si>
    <t>ABOVE 40</t>
  </si>
  <si>
    <t>KALREZ 6375 UP</t>
  </si>
  <si>
    <t>1/4'' to 1/2''</t>
  </si>
  <si>
    <t>3/4'' to 1''</t>
  </si>
  <si>
    <t>Calibrated orifice</t>
  </si>
  <si>
    <t>Test (TOC)</t>
  </si>
  <si>
    <t>Lines</t>
  </si>
  <si>
    <t>VDM</t>
  </si>
  <si>
    <t>DN40/50</t>
  </si>
  <si>
    <t>Flange+center ring+clamp</t>
  </si>
  <si>
    <t>DN80</t>
  </si>
  <si>
    <t>DN100</t>
  </si>
  <si>
    <t>DN160</t>
  </si>
  <si>
    <t>Valve spherical</t>
  </si>
  <si>
    <t>Sperichal</t>
  </si>
  <si>
    <t>DN16</t>
  </si>
  <si>
    <t>DN25</t>
  </si>
  <si>
    <t>Pumps - EXAC Tube</t>
  </si>
  <si>
    <t>DN40 to DN50</t>
  </si>
  <si>
    <t>Pumps - EXAC Valve</t>
  </si>
  <si>
    <t>Pumps - EXAC Elbow</t>
  </si>
  <si>
    <t>Pumps - EXAC -flange+center ring+clamp</t>
  </si>
  <si>
    <t>Above DN50</t>
  </si>
  <si>
    <t>Dead Leg</t>
  </si>
  <si>
    <t>100 to 160</t>
  </si>
  <si>
    <t>Test inboard leak test</t>
  </si>
  <si>
    <t>Heat tracing FORELINE/EXHAUST</t>
  </si>
  <si>
    <t>Heat jacket double glassfiber insulated or Aramide fiber insulation</t>
  </si>
  <si>
    <t xml:space="preserve">DN40 </t>
  </si>
  <si>
    <t>DN50</t>
  </si>
  <si>
    <t>Gaskets</t>
  </si>
  <si>
    <t>Viton</t>
  </si>
  <si>
    <t xml:space="preserve">Kalrez gaskets </t>
  </si>
  <si>
    <t>DN25/DN100/DN160</t>
  </si>
  <si>
    <t>EXHAUST</t>
  </si>
  <si>
    <t xml:space="preserve">Acid/Ammonia Exhaust HALAR COATING (Highly corrosive T&gt;80C) </t>
  </si>
  <si>
    <t>Jacob</t>
  </si>
  <si>
    <t>Halar /Teflon coating</t>
  </si>
  <si>
    <t>DN&lt;40</t>
  </si>
  <si>
    <t>Dampers</t>
  </si>
  <si>
    <t>DN40 to DN80</t>
  </si>
  <si>
    <t>DN100 to DN160</t>
  </si>
  <si>
    <t>DN200 to DN250</t>
  </si>
  <si>
    <t>Above DN250</t>
  </si>
  <si>
    <t xml:space="preserve">Acid/Ammonia/Heat/Maintenance/Solvent EXHAUST  (Low corrosive T&lt;80C) </t>
  </si>
  <si>
    <t>aisi 304</t>
  </si>
  <si>
    <t xml:space="preserve">Heat EXHAUST  (Low corrosive T&lt;80C) </t>
  </si>
  <si>
    <t xml:space="preserve">Acid/Ammonia/ EXHAUST  T&lt;80C) </t>
  </si>
  <si>
    <t>AGRU,GF+</t>
  </si>
  <si>
    <t>PVDF ventilation</t>
  </si>
  <si>
    <t>Magnehelic</t>
  </si>
  <si>
    <t>UNIT</t>
  </si>
  <si>
    <t>Masterflex</t>
  </si>
  <si>
    <t>DN50 TO75</t>
  </si>
  <si>
    <t>DN100 TO150</t>
  </si>
  <si>
    <t>Other</t>
  </si>
  <si>
    <t xml:space="preserve">Solvent Exhaust (EXVO) </t>
  </si>
  <si>
    <t>304L, rolled weldded</t>
  </si>
  <si>
    <t>DRAINS</t>
  </si>
  <si>
    <t>H2S04 (Sulfuric)</t>
  </si>
  <si>
    <t>PFA + Transparent PVC</t>
  </si>
  <si>
    <t>PFA 450 HP + Transparent PVC</t>
  </si>
  <si>
    <t>DN25 or Less</t>
  </si>
  <si>
    <t>Valves</t>
  </si>
  <si>
    <t>PFA 450 HP</t>
  </si>
  <si>
    <t>Corroflon</t>
  </si>
  <si>
    <t>PTFE</t>
  </si>
  <si>
    <t>DN32 to DN50</t>
  </si>
  <si>
    <t>DN63 TO DN80</t>
  </si>
  <si>
    <t>Test and Certifications</t>
  </si>
  <si>
    <t>Bases (NH4OH,H2O2)   -  Diluted Acid (T&lt; 60°C), Reclaim, Slurry Copper -  Back Grinding</t>
  </si>
  <si>
    <t>PPH  - IR welded</t>
  </si>
  <si>
    <t>DN 32 to DN50</t>
  </si>
  <si>
    <t>DN 65 to DN80</t>
  </si>
  <si>
    <t>HF Concentrated - Mix Concentrated Acid - Nitric  (T&lt; 100°C) - Diluted Acid  (60°C &lt;T &lt;100°C) - Nickel Palladium T&lt;100°C</t>
  </si>
  <si>
    <t xml:space="preserve">PVDF </t>
  </si>
  <si>
    <t>PVDF PN16 IR welded</t>
  </si>
  <si>
    <t>Solvent    (General solvent, Corrosive Solvent, Photo &amp; resist,Polimyde</t>
  </si>
  <si>
    <t>SS304L</t>
  </si>
  <si>
    <t xml:space="preserve"> SS304L-  rolled / welded mech. polish</t>
  </si>
  <si>
    <t>Chemicals containming TMAH (TMA,OPD,SP27,ESC)</t>
  </si>
  <si>
    <t>PPH or SS304L MIX DEPENDENT</t>
  </si>
  <si>
    <t>PPH  - IR welded - SS304L-  rolled / welded mech. polish</t>
  </si>
  <si>
    <t>CHEMICALS</t>
  </si>
  <si>
    <t xml:space="preserve">CHEMICALS  </t>
  </si>
  <si>
    <t>Tube for ACID, BASES, SLURRY</t>
  </si>
  <si>
    <t>PVC + PFA</t>
  </si>
  <si>
    <t>PVC (ext)  + PFA 450 HP (int) - 950 HP for HCL</t>
  </si>
  <si>
    <t>1/4" to 1/2''</t>
  </si>
  <si>
    <t>3/4'' to 1"</t>
  </si>
  <si>
    <t>Tube for SLURRY</t>
  </si>
  <si>
    <t>PVC (ext)  +  2 x PFA 450 HP (int)</t>
  </si>
  <si>
    <t>PVC (ext)  + 2  x PFA 450 HP (int)</t>
  </si>
  <si>
    <t>Tube for SOLVENT,EKC,IPA</t>
  </si>
  <si>
    <t>AISI 304L+PFA</t>
  </si>
  <si>
    <t>304L (ext)  + PFA 450 HP (int)</t>
  </si>
  <si>
    <t>1/4'' to 1/2"</t>
  </si>
  <si>
    <t>Tube for Photosensitive</t>
  </si>
  <si>
    <t>Grey PVC-C +PFA</t>
  </si>
  <si>
    <t>PVC (ext)  + PFA 450 HP (int)</t>
  </si>
  <si>
    <t>1/2'' to 3/4"</t>
  </si>
  <si>
    <t>Flareteck</t>
  </si>
  <si>
    <t>CLEANROOM</t>
  </si>
  <si>
    <t xml:space="preserve">CLEANROOM  </t>
  </si>
  <si>
    <t>Blind tile in ALU 600x600, top cover in PVC</t>
  </si>
  <si>
    <t>Aluminium</t>
  </si>
  <si>
    <t>die-cast aluminum with reinforcement ribs</t>
  </si>
  <si>
    <t>Perforated tile in ALU 600x600, top cover in PVC</t>
  </si>
  <si>
    <t>Grid tile in ALU 600x600, top cover in PVC</t>
  </si>
  <si>
    <t>Blind/Perforated tile 600x600 with inspection window</t>
  </si>
  <si>
    <t>Cleanroom wall (Supply and installation)</t>
  </si>
  <si>
    <t>Cleanroom wall (Rework existing - Only manpower)</t>
  </si>
  <si>
    <t>GENERAL</t>
  </si>
  <si>
    <t>OTHER GENERAL</t>
  </si>
  <si>
    <t>Pedestal</t>
  </si>
  <si>
    <t>Steel plate</t>
  </si>
  <si>
    <t>Mechanical lines Supports (cda,bulk,pcw,foreline,exac)</t>
  </si>
  <si>
    <t>unistrut/ Wurth</t>
  </si>
  <si>
    <t>Hot deep Galvanized steel</t>
  </si>
  <si>
    <t>Stainless Steel</t>
  </si>
  <si>
    <t>Facilities Panels (Only structure)</t>
  </si>
  <si>
    <t>aisi</t>
  </si>
  <si>
    <t>Gas box (complete of valves and fittings)</t>
  </si>
  <si>
    <t>AISI</t>
  </si>
  <si>
    <t>Cable tray for mechanical and electrical lines</t>
  </si>
  <si>
    <t>Hot deep Galvanized steel  (epoxy painted in Cleanroom)</t>
  </si>
  <si>
    <t>WIDTH 50 to 100</t>
  </si>
  <si>
    <t>WIDTH 150 to 200</t>
  </si>
  <si>
    <t>WIDTH 250 or above</t>
  </si>
  <si>
    <t>Infills</t>
  </si>
  <si>
    <t>factori mutual</t>
  </si>
  <si>
    <t>factory mutual</t>
  </si>
  <si>
    <t>m2</t>
  </si>
  <si>
    <t>Facilities Protections</t>
  </si>
  <si>
    <t>Cable trays or similar</t>
  </si>
  <si>
    <t>Coibentation</t>
  </si>
  <si>
    <t>trocellen class M1</t>
  </si>
  <si>
    <t>3/4" to 1/2"</t>
  </si>
  <si>
    <t>1" to 1 1/2"</t>
  </si>
  <si>
    <t>LIM - Tube</t>
  </si>
  <si>
    <t>LIM - Valves</t>
  </si>
  <si>
    <t>Cables/tubes laying support</t>
  </si>
  <si>
    <t>manpower</t>
  </si>
  <si>
    <t>hours</t>
  </si>
  <si>
    <t>Rilsan tube</t>
  </si>
  <si>
    <t xml:space="preserve">1/4" </t>
  </si>
  <si>
    <t>Heat tracing for specialty gases</t>
  </si>
  <si>
    <t>Cables + Cooibentation</t>
  </si>
  <si>
    <t>Control box for Specialty gases Heat tracing</t>
  </si>
  <si>
    <t>Gas detection,VMB,GAS Stick, PNEUMATIC VALVES  interconnections</t>
  </si>
  <si>
    <t>Termometer</t>
  </si>
  <si>
    <t>Labels (all facilites, tool, subequipment, electrical)</t>
  </si>
  <si>
    <t>Documentation (DM37 or local law requirements))</t>
  </si>
  <si>
    <t>Indirect costs (Project Management, other…...)</t>
  </si>
  <si>
    <t>Technical specification details on HOOK-UP STANDARD BOOK or Fab Documentsd</t>
  </si>
  <si>
    <t>Important information</t>
  </si>
  <si>
    <t>The cable lengths and calculation results in the PID and the calculation note are estimates to be confirmed by the installer on site.</t>
  </si>
  <si>
    <t>OTHER</t>
  </si>
  <si>
    <t>POWER</t>
  </si>
  <si>
    <t>CABLES</t>
  </si>
  <si>
    <t xml:space="preserve">Power Cable </t>
  </si>
  <si>
    <t>FG16M16 (CPR Compliant)</t>
  </si>
  <si>
    <t>FG16OM16 1X240mm2</t>
  </si>
  <si>
    <t>FG16OM16 1X185mm2</t>
  </si>
  <si>
    <t>FG16OM16 1X150mm2</t>
  </si>
  <si>
    <t>FG16OM16 1X120mm2</t>
  </si>
  <si>
    <t>FG16OM16 1X95mm2</t>
  </si>
  <si>
    <t>FG16OM16 1X70mm2</t>
  </si>
  <si>
    <t>FG16OM16 1X50mm2</t>
  </si>
  <si>
    <t>FG16OM16 1X35mm2</t>
  </si>
  <si>
    <t>FG16OM16 1X25mm2</t>
  </si>
  <si>
    <t>FG16OM16 2X2,5</t>
  </si>
  <si>
    <t>FG16OM16 2X6</t>
  </si>
  <si>
    <t>FG16OM16 2X16</t>
  </si>
  <si>
    <t>FG16OM16 2X25</t>
  </si>
  <si>
    <t>FG16OM16 2X35</t>
  </si>
  <si>
    <t>FG16OM16 1X2,5</t>
  </si>
  <si>
    <t>FG16OM16 1X6</t>
  </si>
  <si>
    <t>FG16OM16 1X16</t>
  </si>
  <si>
    <t>FG16OM16 3G1,5mm2</t>
  </si>
  <si>
    <t>FG16OM16 3G2,5mm2</t>
  </si>
  <si>
    <t>FG16OM16 3G4mm2</t>
  </si>
  <si>
    <t>FG16OM16 3G6mm2</t>
  </si>
  <si>
    <t>FG16OM16 3g10mm2</t>
  </si>
  <si>
    <t>FG16OM16 3g16mm2</t>
  </si>
  <si>
    <t>FG16OM16 3g25mm2</t>
  </si>
  <si>
    <t>FG16OM16 4G1,5mm2</t>
  </si>
  <si>
    <t>FG16OM16 4G2,5mm2</t>
  </si>
  <si>
    <t>FG16OM16 4G4mm2</t>
  </si>
  <si>
    <t>FG16OM16 4G6mm2</t>
  </si>
  <si>
    <t>FG16OM16 4G10mm2</t>
  </si>
  <si>
    <t>FG16OM16 4G16mm2</t>
  </si>
  <si>
    <t>FG16OM16 4G25mm2</t>
  </si>
  <si>
    <t>FG16OM16 5G1,5mm2</t>
  </si>
  <si>
    <t>FG16OM16 5G2,5mm2</t>
  </si>
  <si>
    <t>FG16OM16 5G4mm2</t>
  </si>
  <si>
    <t>FG16OM16 5G6mm2</t>
  </si>
  <si>
    <t>FG16OM16 5G10mm2</t>
  </si>
  <si>
    <t>FG16OM16 5G16mm2</t>
  </si>
  <si>
    <t>FG16OM16 5G25mm2</t>
  </si>
  <si>
    <t>Ground Cable</t>
  </si>
  <si>
    <t>FG17GVB (CPR Compliant)</t>
  </si>
  <si>
    <t>FG17-GVB 1X240mm2</t>
  </si>
  <si>
    <t>FG17-GVB 1X185mm2</t>
  </si>
  <si>
    <t>FG17-GVB 1X150mm2</t>
  </si>
  <si>
    <t>FG17-GVB 1X120mm2</t>
  </si>
  <si>
    <t>FG17-GVB 1X95mm2</t>
  </si>
  <si>
    <t>FG17-GVB 1X70mm2</t>
  </si>
  <si>
    <t>FG17-GVB 1X50mm2</t>
  </si>
  <si>
    <t>FG17-GVB 1X35mm2</t>
  </si>
  <si>
    <t>FG17-GVB 1X25mm2</t>
  </si>
  <si>
    <t>Shielderd Cable</t>
  </si>
  <si>
    <t>FROR16</t>
  </si>
  <si>
    <t>FROR 2X1mm2 sch</t>
  </si>
  <si>
    <t>Signal cable Type RJ45</t>
  </si>
  <si>
    <t>TRANSFORMER</t>
  </si>
  <si>
    <t>Tranformer</t>
  </si>
  <si>
    <t>25KVa</t>
  </si>
  <si>
    <t>50KVa</t>
  </si>
  <si>
    <t>75KVa</t>
  </si>
  <si>
    <t>100KVa</t>
  </si>
  <si>
    <t>160KVa</t>
  </si>
  <si>
    <t>&gt;160 Kva</t>
  </si>
  <si>
    <t>SOCKET</t>
  </si>
  <si>
    <t>Interlocked socket + Plug</t>
  </si>
  <si>
    <t>IP44</t>
  </si>
  <si>
    <t>2P+T 16A</t>
  </si>
  <si>
    <t>2P+T 32A</t>
  </si>
  <si>
    <t>3P+T 16A</t>
  </si>
  <si>
    <t>3P+T 32A</t>
  </si>
  <si>
    <t>3P+N+T 16A</t>
  </si>
  <si>
    <t>3P+N+T 32A</t>
  </si>
  <si>
    <t>other</t>
  </si>
  <si>
    <t>Service plug</t>
  </si>
  <si>
    <t>Universal plug</t>
  </si>
  <si>
    <t>2P+T 10/16 A + SHUKO</t>
  </si>
  <si>
    <t>2P+T 32</t>
  </si>
  <si>
    <t>BREACKERS</t>
  </si>
  <si>
    <t>BREAKERS</t>
  </si>
  <si>
    <t>Differential Magnetothermic Breaker</t>
  </si>
  <si>
    <t>Various  sizes</t>
  </si>
  <si>
    <t>Magnetothermic Breacker</t>
  </si>
  <si>
    <t>curva C/D</t>
  </si>
  <si>
    <t>2X16A to 2X32 A</t>
  </si>
  <si>
    <t>3X16A to 3X25 A</t>
  </si>
  <si>
    <t>3X32A to 3X50 A</t>
  </si>
  <si>
    <t>3X80A to 3X125 A</t>
  </si>
  <si>
    <t>4X32A to 4X50A</t>
  </si>
  <si>
    <t>4X80A to 4X125A</t>
  </si>
  <si>
    <t>Modular Switchboard</t>
  </si>
  <si>
    <t>IP54/IP55/IP56/IP65 KAEDRA</t>
  </si>
  <si>
    <t>4 modules</t>
  </si>
  <si>
    <t>8 modules</t>
  </si>
  <si>
    <t>12 modules</t>
  </si>
  <si>
    <t>24 modules</t>
  </si>
  <si>
    <t>36 modules</t>
  </si>
  <si>
    <t xml:space="preserve">Electrical Box </t>
  </si>
  <si>
    <t>IP54/IP55/IP56/IP65</t>
  </si>
  <si>
    <t>Electrical Cabinet (BOX)</t>
  </si>
  <si>
    <t>1200x250x2000 or similar</t>
  </si>
  <si>
    <t>BUSSBAR/JUNCTION BOX</t>
  </si>
  <si>
    <t>Electrical Busbarr cassette/Junction box</t>
  </si>
  <si>
    <t>3T+N 25A</t>
  </si>
  <si>
    <t>3T+N 32A</t>
  </si>
  <si>
    <t>3T+N 40A</t>
  </si>
  <si>
    <t>3T+N 63A</t>
  </si>
  <si>
    <t>3T+N 125A</t>
  </si>
  <si>
    <t>3T+N 250A</t>
  </si>
  <si>
    <t>3T+N 400A</t>
  </si>
  <si>
    <t>3T+N 630A</t>
  </si>
  <si>
    <t>Industrial Fuses</t>
  </si>
  <si>
    <t>various size</t>
  </si>
  <si>
    <t>FLEXIBLE  INOX SHEAT</t>
  </si>
  <si>
    <t>D15 to D50</t>
  </si>
  <si>
    <t>TUBE SHEAT</t>
  </si>
  <si>
    <t>D20 to D40</t>
  </si>
  <si>
    <t>Manpower (8-17) to support cable installation</t>
  </si>
  <si>
    <t>Hours</t>
  </si>
  <si>
    <t>Test and certificatons</t>
  </si>
  <si>
    <t>Electrical project</t>
  </si>
  <si>
    <t>Documentation (DM37)</t>
  </si>
  <si>
    <t>SAFETY COSTS</t>
  </si>
  <si>
    <t>Euro</t>
  </si>
  <si>
    <t>CLINAME</t>
  </si>
  <si>
    <t>DATETIME</t>
  </si>
  <si>
    <t>DONEBY</t>
  </si>
  <si>
    <t>IPADDRESS</t>
  </si>
  <si>
    <t>APPVER</t>
  </si>
  <si>
    <t>RANDOM</t>
  </si>
  <si>
    <t>CHECKSUM</t>
  </si>
  <si>
    <t>౞౷ౌ౵౪౼౼౲౯౲౮౭</t>
  </si>
  <si>
    <t>఻స఺ిస఻హ఺ు఩఩఺హృహాొౖ఩ఱ౐ౖౝఴ఺ృహల</t>
  </si>
  <si>
    <t>౜ౝ౥ౌ౱౪౻౵ಂ఩౫౾౻౰౪౾౭</t>
  </si>
  <si>
    <t>ౌ౛ౘౌౠౕ఺హూాా</t>
  </si>
  <si>
    <t>ిషహషహషహ</t>
  </si>
  <si>
    <t>ాహ఼఺</t>
  </si>
  <si>
    <t>ᑤᑥᐱᑣᑶᒄᒅᒃᑺᑴᒅᑶᑵ</t>
  </si>
  <si>
    <t>ᑄᑀᑂᑀᑃᑁᑂᑉᐱᐱᑂᑄᑋᑂᑅᑡᑞᐱᐹᑘᑞᑥᐼᑂᑋᑁᐺ</t>
  </si>
  <si>
    <t>ᑤᑥᑭᑣᑶᑾᒊᐱᑾᑶᒃᑽᒀᒋ</t>
  </si>
  <si>
    <t>ᑔᑣᑠᑔᑨᑝᑊᑆᑉᑄ</t>
  </si>
  <si>
    <t>ᑇᐿᑁᐿᑁᐿᑁ</t>
  </si>
  <si>
    <t>ᑅᑈᑂᑃ</t>
  </si>
  <si>
    <t>࡚ࡳࡈࡱࡦࡸࡸ࡮࡫࡮ࡪࡩ</t>
  </si>
  <si>
    <t>࠻࠴࠷࠷࠴࠷࠵࠷࠶ࠥࠥ࠾࠿࠷࠼ࠥ࠭ࡌࡒ࡙࠰࠷࠿࠵࠮</t>
  </si>
  <si>
    <t>ࡠࡘ࡙ࠥࡗࡪࡸࡹࡷ࡮ࡨࡹࡪࡩࡢࠥࡃࠥࡆࡎࡕࠥ࡭ࡦࡳࡩࡴࡻࡪࡷ</t>
  </si>
  <si>
    <t>ࡆࡌࡗࡈ࡜ࡑ࠾࠶࠷࠸</t>
  </si>
  <si>
    <t>࠼࠳࠶࠳࠵࠳࠵</t>
  </si>
  <si>
    <t>࠺࠽࠵࠶</t>
  </si>
  <si>
    <t>DRAINS Sulfuric</t>
  </si>
  <si>
    <t>DRAINS BASES</t>
  </si>
  <si>
    <t>DRAINS HF</t>
  </si>
  <si>
    <t>DRAINS Solvent</t>
  </si>
  <si>
    <t>DRAINS Chemicals containming</t>
  </si>
  <si>
    <t>segment</t>
  </si>
  <si>
    <t>subsegment</t>
  </si>
  <si>
    <t>Facilities</t>
  </si>
  <si>
    <t>Materials</t>
  </si>
  <si>
    <t>Brand</t>
  </si>
  <si>
    <t>Characteristics</t>
  </si>
  <si>
    <t>diameter</t>
  </si>
  <si>
    <t>quantity_supplier</t>
  </si>
  <si>
    <t>unit_price_material</t>
  </si>
  <si>
    <t>unit_price_manpower</t>
  </si>
  <si>
    <t>total_price_material_st</t>
  </si>
  <si>
    <t>total_price_manpower_st</t>
  </si>
  <si>
    <t>total_price_material_supplier</t>
  </si>
  <si>
    <t>total_price_manpower_supplier</t>
  </si>
  <si>
    <t>total_qty_st</t>
  </si>
  <si>
    <t>total_qty_supplier</t>
  </si>
  <si>
    <t>Supplier</t>
  </si>
  <si>
    <t>Attrezzatura</t>
  </si>
  <si>
    <t>movein</t>
  </si>
  <si>
    <t>progetto</t>
  </si>
  <si>
    <t>tipoattrezzatura</t>
  </si>
  <si>
    <t>area</t>
  </si>
  <si>
    <t>Move in date</t>
  </si>
  <si>
    <t>Progetto</t>
  </si>
  <si>
    <t>Tipo attrezzatura</t>
  </si>
  <si>
    <t>Area</t>
  </si>
  <si>
    <t>Week</t>
  </si>
  <si>
    <t>Tool</t>
  </si>
  <si>
    <t>Sector</t>
  </si>
  <si>
    <t>Environment</t>
  </si>
  <si>
    <t>Sub Sector</t>
  </si>
  <si>
    <r>
      <t xml:space="preserve">Specialty Gas Double envelope (Toxic,Flammable,Corrosive)
</t>
    </r>
    <r>
      <rPr>
        <sz val="18"/>
        <rFont val="Calibri"/>
        <family val="2"/>
      </rPr>
      <t>4%B2H6/H2,CH4/Ar10%,CH3F,CO,PH3,SiH4,C4F6,CH2F2,DCS,TMS,He/N2,NF3,CH4,NO,O3,H2,SiH2Cl2,NH3,N2H2,He/H2-5%,,TEOS,TCS,C2H2,DCE-TRANSLC,TEB,TDMAT,F2KrNe,Cl2,HBr,HCl,BF3,SiF4,TEPO,HCD,SO2,BCl3,HF,N2O,5%B2H6/N2,F2ArNe,BCl3,WF6,SiCl4</t>
    </r>
  </si>
  <si>
    <r>
      <t xml:space="preserve">Specialty Gas Single envelope (INERTS)
</t>
    </r>
    <r>
      <rPr>
        <sz val="18"/>
        <rFont val="Calibri"/>
        <family val="2"/>
      </rPr>
      <t xml:space="preserve"> ArXeNe,CO2,HeN2,KrNe,Xe,C4F8,ArHe,C2F6,CF4,CHF3,CO2,N2O,O2He,SF6,H2N2-3%,O2N2</t>
    </r>
  </si>
  <si>
    <t>Version 1.6 - Dec 2024</t>
  </si>
  <si>
    <t>3/4'' X 1''….</t>
  </si>
  <si>
    <t>Tee purge + purge valve + manometer</t>
  </si>
  <si>
    <t>4" - DN100</t>
  </si>
  <si>
    <t>Flex parker</t>
  </si>
  <si>
    <t>DN15/DN15</t>
  </si>
  <si>
    <t>DN20/DN15</t>
  </si>
  <si>
    <t>DN20/DN20</t>
  </si>
  <si>
    <t>aisi 316</t>
  </si>
  <si>
    <t>Schneider</t>
  </si>
  <si>
    <t>XB4BS9445 + ZBZ1604</t>
  </si>
  <si>
    <t>Ø22 - white - 230V</t>
  </si>
  <si>
    <t>XB4-BVM1</t>
  </si>
  <si>
    <t>Ø22 - red - 230V</t>
  </si>
  <si>
    <t>XB4-BVM4</t>
  </si>
  <si>
    <t>LEGRAND</t>
  </si>
  <si>
    <t xml:space="preserve"> LEGRAND </t>
  </si>
  <si>
    <t xml:space="preserve">2  PRISES 2P+ T </t>
  </si>
  <si>
    <t xml:space="preserve">EMERGENCY STOP </t>
  </si>
  <si>
    <t>LED indicator light white</t>
  </si>
  <si>
    <t>LED indicator light red</t>
  </si>
  <si>
    <t>Socket IP44</t>
  </si>
  <si>
    <t>other SOCKET PANEL</t>
  </si>
  <si>
    <t>quantity_ST</t>
  </si>
  <si>
    <t>rownmb</t>
  </si>
  <si>
    <t>Prima riga mechanical</t>
  </si>
  <si>
    <t>Prima riga electric</t>
  </si>
  <si>
    <t>riga safety</t>
  </si>
  <si>
    <t>prima riga mechanical other</t>
  </si>
  <si>
    <t>prima riga electric other</t>
  </si>
  <si>
    <t>Ultima riga mechanical</t>
  </si>
  <si>
    <t>Ultima riga electric</t>
  </si>
  <si>
    <t>ultima riga mechanical other</t>
  </si>
  <si>
    <t>ultima riga electric other</t>
  </si>
  <si>
    <t>Sent on 22/05/2025 - Antivibranti QVERIK1</t>
  </si>
  <si>
    <t>Valves &amp; Filter for Chiller</t>
  </si>
  <si>
    <t>Sent on 22/05/2025 - Valves&amp;Filter QVERIK1</t>
  </si>
  <si>
    <t>Sent on 31/03/2025 - Pedestal QVERIK1</t>
  </si>
  <si>
    <t>Accessories</t>
  </si>
  <si>
    <t>Sent on 24/04/2025 - Accessories QVERIK1</t>
  </si>
  <si>
    <t>Electrical Cabinets</t>
  </si>
  <si>
    <t>Sent on 08/05/2025 - Quadri Elettrici QVERIK1</t>
  </si>
  <si>
    <t>Drip Panel For Chiller</t>
  </si>
  <si>
    <t>Sent on 21/05/2025 - Drip Panel</t>
  </si>
  <si>
    <t>Breaker</t>
  </si>
  <si>
    <t>Sent on 29/05/2025 - Breaker</t>
  </si>
  <si>
    <t>ea</t>
  </si>
  <si>
    <t>NON FORNITI COME RICHIESTO DA ST</t>
  </si>
  <si>
    <t xml:space="preserve">AS BUILT </t>
  </si>
  <si>
    <t xml:space="preserve">DELTA </t>
  </si>
  <si>
    <t>N2UHP</t>
  </si>
  <si>
    <t xml:space="preserve">AGGIUNTA VALVOLA DEL LATERAL (PURGE PORT) </t>
  </si>
  <si>
    <t>Other Fittings 1/4'' to 3/8" EP</t>
  </si>
  <si>
    <t>Other Fittings 1/2'' to 3/4" EP</t>
  </si>
  <si>
    <t xml:space="preserve">Other Fittings 1" EP ( riduzioni) </t>
  </si>
  <si>
    <t xml:space="preserve">Other Fittings 1/4'' to 3/8" </t>
  </si>
  <si>
    <t xml:space="preserve">Other Fittings 1/2'' to 3/4" </t>
  </si>
  <si>
    <t xml:space="preserve">Other Fittings 1" </t>
  </si>
  <si>
    <t>Other fitting DA 1"1/2 A 3" (CALOTTE-TEE RIDUZOIONI)</t>
  </si>
  <si>
    <t>Other Flange+gasket+clamp (FLAN)(GASK)+tee</t>
  </si>
  <si>
    <t>Other Flange+gasket+clamp (FLAN)(GASK)</t>
  </si>
  <si>
    <t>Non return Valve</t>
  </si>
  <si>
    <t>LIM BOCCHETTIONI DA 1"</t>
  </si>
  <si>
    <t>3/4"- 1"</t>
  </si>
  <si>
    <t>DUE RIDUZIONI DA 3"</t>
  </si>
  <si>
    <t xml:space="preserve">VALVOLE A TRE VIE </t>
  </si>
  <si>
    <t xml:space="preserve">VALVOLA IN Più PER GRUPPO BYPAS </t>
  </si>
  <si>
    <t xml:space="preserve">2 VALVOLA IN Più PER GRUPPO BYPAS </t>
  </si>
  <si>
    <t xml:space="preserve">VALVOLE IN Più PER GRUPPO BYPAS </t>
  </si>
  <si>
    <t>VDM-BELLOWS</t>
  </si>
  <si>
    <t>304L-316L(if corrosive gases)</t>
  </si>
  <si>
    <t>PUMPS - EXAC bellows</t>
  </si>
  <si>
    <t>Other Double Gasket Flange</t>
  </si>
  <si>
    <t>Control box Heat tracing</t>
  </si>
  <si>
    <t xml:space="preserve">AGGIUNTE DUE TEE </t>
  </si>
  <si>
    <t>EXAC   Tee</t>
  </si>
  <si>
    <t>aisi 304 ungreased</t>
  </si>
  <si>
    <t>EXAC   gasket+clamp</t>
  </si>
  <si>
    <t>FPM(Viton)</t>
  </si>
  <si>
    <t xml:space="preserve">FITTINGS (TAPPI + RID) </t>
  </si>
  <si>
    <t>AGGIUNTI DUE BOCCHETTONI E UNA FLANGIA</t>
  </si>
  <si>
    <t>ASBUILT</t>
  </si>
  <si>
    <t>DELTA</t>
  </si>
  <si>
    <t xml:space="preserve">7,9 M  PARTE MECCANICA </t>
  </si>
  <si>
    <t xml:space="preserve">2,9 M PARTE MECCANICA </t>
  </si>
  <si>
    <t xml:space="preserve">Other ANTIVIBRANTI DA M10PER LE POMPE </t>
  </si>
  <si>
    <t xml:space="preserve">INSERITA NELL'EXTRA BYPASS PCW </t>
  </si>
  <si>
    <t xml:space="preserve">QVERIK2 - ASBUILT </t>
  </si>
  <si>
    <t>INSERITO SOPRA NELLA PARTE ELETTRICA</t>
  </si>
  <si>
    <t xml:space="preserve">supporti per le anchillaries </t>
  </si>
  <si>
    <t xml:space="preserve">AGGIUNTI 5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</si>
</sst>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  <numFmt numFmtId="165" formatCode="_-* #,##0.00\ [$€-40C]_-;\-* #,##0.00\ [$€-40C]_-;_-* &quot;-&quot;??\ [$€-40C]_-;_-@_-"/>
    <numFmt numFmtId="166" formatCode="[$-409]d\-mmm\-yy;@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</font>
    <font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Calibri"/>
      <family val="2"/>
    </font>
    <font>
      <b/>
      <sz val="18"/>
      <color rgb="FFFF0000"/>
      <name val="Calibri"/>
      <family val="2"/>
    </font>
    <font>
      <sz val="18"/>
      <name val="Calibri"/>
      <family val="2"/>
    </font>
    <font>
      <sz val="16"/>
      <color rgb="FF000000"/>
      <name val="Calibri"/>
      <family val="2"/>
    </font>
    <font>
      <sz val="16"/>
      <color rgb="FFFF0000"/>
      <name val="Calibri"/>
      <family val="2"/>
    </font>
    <font>
      <sz val="16"/>
      <color rgb="FFFF0000"/>
      <name val="Calibri"/>
      <family val="2"/>
      <scheme val="minor"/>
    </font>
    <font>
      <sz val="16"/>
      <name val="Calibri"/>
      <family val="2"/>
    </font>
    <font>
      <b/>
      <sz val="18"/>
      <color rgb="FFFF0000"/>
      <name val="Calibri"/>
      <family val="2"/>
      <scheme val="minor"/>
    </font>
    <font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gray0625">
        <fgColor theme="0" tint="-0.49998474074526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fgColor theme="0" tint="-0.499984740745262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fgColor theme="0" tint="-0.499984740745262"/>
        <bgColor rgb="FFFFFF00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8">
    <xf numFmtId="0" fontId="0" fillId="0" borderId="0" xfId="0"/>
    <xf numFmtId="165" fontId="2" fillId="0" borderId="4" xfId="1" applyNumberFormat="1" applyFont="1" applyBorder="1" applyAlignment="1" applyProtection="1">
      <alignment vertical="center"/>
    </xf>
    <xf numFmtId="165" fontId="2" fillId="0" borderId="9" xfId="1" applyNumberFormat="1" applyFont="1" applyBorder="1" applyAlignment="1" applyProtection="1">
      <alignment vertical="center"/>
    </xf>
    <xf numFmtId="0" fontId="0" fillId="6" borderId="0" xfId="0" applyFill="1" applyProtection="1">
      <protection locked="0"/>
    </xf>
    <xf numFmtId="0" fontId="9" fillId="6" borderId="0" xfId="0" applyFont="1" applyFill="1" applyProtection="1">
      <protection locked="0"/>
    </xf>
    <xf numFmtId="165" fontId="15" fillId="6" borderId="5" xfId="1" applyNumberFormat="1" applyFont="1" applyFill="1" applyBorder="1" applyProtection="1"/>
    <xf numFmtId="165" fontId="0" fillId="5" borderId="5" xfId="1" applyNumberFormat="1" applyFont="1" applyFill="1" applyBorder="1" applyProtection="1"/>
    <xf numFmtId="165" fontId="0" fillId="5" borderId="15" xfId="1" applyNumberFormat="1" applyFont="1" applyFill="1" applyBorder="1" applyProtection="1"/>
    <xf numFmtId="165" fontId="15" fillId="6" borderId="15" xfId="1" applyNumberFormat="1" applyFont="1" applyFill="1" applyBorder="1" applyProtection="1"/>
    <xf numFmtId="165" fontId="5" fillId="6" borderId="15" xfId="1" applyNumberFormat="1" applyFont="1" applyFill="1" applyBorder="1" applyProtection="1"/>
    <xf numFmtId="165" fontId="2" fillId="0" borderId="8" xfId="1" applyNumberFormat="1" applyFont="1" applyBorder="1" applyAlignment="1" applyProtection="1">
      <alignment vertical="center"/>
    </xf>
    <xf numFmtId="165" fontId="2" fillId="0" borderId="3" xfId="1" applyNumberFormat="1" applyFont="1" applyBorder="1" applyAlignment="1" applyProtection="1">
      <alignment vertical="center"/>
    </xf>
    <xf numFmtId="165" fontId="0" fillId="5" borderId="14" xfId="1" applyNumberFormat="1" applyFont="1" applyFill="1" applyBorder="1" applyProtection="1"/>
    <xf numFmtId="165" fontId="15" fillId="6" borderId="18" xfId="1" applyNumberFormat="1" applyFont="1" applyFill="1" applyBorder="1" applyProtection="1"/>
    <xf numFmtId="0" fontId="19" fillId="7" borderId="13" xfId="0" applyFont="1" applyFill="1" applyBorder="1" applyAlignment="1" applyProtection="1">
      <alignment vertical="center"/>
      <protection locked="0"/>
    </xf>
    <xf numFmtId="0" fontId="19" fillId="7" borderId="5" xfId="0" applyFont="1" applyFill="1" applyBorder="1" applyAlignment="1" applyProtection="1">
      <alignment vertical="center"/>
      <protection locked="0"/>
    </xf>
    <xf numFmtId="0" fontId="15" fillId="7" borderId="5" xfId="0" applyFont="1" applyFill="1" applyBorder="1" applyAlignment="1" applyProtection="1">
      <alignment horizontal="center"/>
      <protection locked="0"/>
    </xf>
    <xf numFmtId="165" fontId="15" fillId="7" borderId="5" xfId="1" applyNumberFormat="1" applyFont="1" applyFill="1" applyBorder="1" applyProtection="1">
      <protection locked="0"/>
    </xf>
    <xf numFmtId="165" fontId="15" fillId="6" borderId="14" xfId="1" applyNumberFormat="1" applyFont="1" applyFill="1" applyBorder="1" applyProtection="1"/>
    <xf numFmtId="165" fontId="0" fillId="6" borderId="14" xfId="1" applyNumberFormat="1" applyFont="1" applyFill="1" applyBorder="1" applyProtection="1"/>
    <xf numFmtId="165" fontId="15" fillId="6" borderId="17" xfId="1" applyNumberFormat="1" applyFont="1" applyFill="1" applyBorder="1" applyProtection="1"/>
    <xf numFmtId="0" fontId="19" fillId="7" borderId="5" xfId="0" applyFont="1" applyFill="1" applyBorder="1" applyProtection="1">
      <protection locked="0"/>
    </xf>
    <xf numFmtId="0" fontId="19" fillId="7" borderId="16" xfId="0" applyFont="1" applyFill="1" applyBorder="1" applyAlignment="1" applyProtection="1">
      <alignment vertical="center"/>
      <protection locked="0"/>
    </xf>
    <xf numFmtId="0" fontId="19" fillId="7" borderId="25" xfId="0" applyFont="1" applyFill="1" applyBorder="1" applyAlignment="1" applyProtection="1">
      <alignment vertical="center"/>
      <protection locked="0"/>
    </xf>
    <xf numFmtId="0" fontId="15" fillId="7" borderId="25" xfId="0" applyFont="1" applyFill="1" applyBorder="1" applyAlignment="1" applyProtection="1">
      <alignment horizontal="center"/>
      <protection locked="0"/>
    </xf>
    <xf numFmtId="165" fontId="15" fillId="7" borderId="25" xfId="1" applyNumberFormat="1" applyFont="1" applyFill="1" applyBorder="1" applyProtection="1">
      <protection locked="0"/>
    </xf>
    <xf numFmtId="165" fontId="0" fillId="8" borderId="14" xfId="1" applyNumberFormat="1" applyFont="1" applyFill="1" applyBorder="1" applyProtection="1"/>
    <xf numFmtId="165" fontId="15" fillId="7" borderId="5" xfId="0" applyNumberFormat="1" applyFont="1" applyFill="1" applyBorder="1" applyProtection="1">
      <protection locked="0"/>
    </xf>
    <xf numFmtId="165" fontId="14" fillId="7" borderId="5" xfId="0" applyNumberFormat="1" applyFont="1" applyFill="1" applyBorder="1" applyProtection="1">
      <protection locked="0"/>
    </xf>
    <xf numFmtId="165" fontId="21" fillId="7" borderId="5" xfId="0" applyNumberFormat="1" applyFont="1" applyFill="1" applyBorder="1" applyProtection="1">
      <protection locked="0"/>
    </xf>
    <xf numFmtId="0" fontId="15" fillId="7" borderId="5" xfId="0" applyFont="1" applyFill="1" applyBorder="1" applyAlignment="1" applyProtection="1">
      <alignment horizontal="right"/>
      <protection locked="0"/>
    </xf>
    <xf numFmtId="165" fontId="0" fillId="5" borderId="12" xfId="1" applyNumberFormat="1" applyFont="1" applyFill="1" applyBorder="1" applyProtection="1"/>
    <xf numFmtId="165" fontId="0" fillId="5" borderId="2" xfId="1" applyNumberFormat="1" applyFont="1" applyFill="1" applyBorder="1" applyProtection="1"/>
    <xf numFmtId="165" fontId="0" fillId="8" borderId="5" xfId="1" applyNumberFormat="1" applyFont="1" applyFill="1" applyBorder="1" applyProtection="1"/>
    <xf numFmtId="165" fontId="15" fillId="6" borderId="21" xfId="1" applyNumberFormat="1" applyFont="1" applyFill="1" applyBorder="1" applyProtection="1"/>
    <xf numFmtId="165" fontId="15" fillId="6" borderId="32" xfId="1" applyNumberFormat="1" applyFont="1" applyFill="1" applyBorder="1" applyProtection="1"/>
    <xf numFmtId="165" fontId="0" fillId="6" borderId="0" xfId="0" applyNumberFormat="1" applyFill="1" applyProtection="1">
      <protection locked="0"/>
    </xf>
    <xf numFmtId="165" fontId="0" fillId="6" borderId="5" xfId="1" applyNumberFormat="1" applyFont="1" applyFill="1" applyBorder="1" applyProtection="1"/>
    <xf numFmtId="165" fontId="2" fillId="0" borderId="0" xfId="1" applyNumberFormat="1" applyFont="1" applyBorder="1" applyAlignment="1" applyProtection="1">
      <alignment vertical="center"/>
    </xf>
    <xf numFmtId="166" fontId="0" fillId="0" borderId="0" xfId="0" applyNumberFormat="1"/>
    <xf numFmtId="0" fontId="0" fillId="0" borderId="0" xfId="0" quotePrefix="1"/>
    <xf numFmtId="165" fontId="2" fillId="0" borderId="0" xfId="1" applyNumberFormat="1" applyFont="1" applyAlignment="1" applyProtection="1">
      <alignment vertical="center"/>
    </xf>
    <xf numFmtId="165" fontId="2" fillId="0" borderId="10" xfId="1" applyNumberFormat="1" applyFont="1" applyBorder="1" applyAlignment="1" applyProtection="1">
      <alignment vertical="center"/>
    </xf>
    <xf numFmtId="165" fontId="23" fillId="0" borderId="0" xfId="1" applyNumberFormat="1" applyFont="1" applyAlignment="1" applyProtection="1">
      <alignment vertical="center"/>
    </xf>
    <xf numFmtId="165" fontId="23" fillId="0" borderId="9" xfId="1" applyNumberFormat="1" applyFont="1" applyBorder="1" applyAlignment="1" applyProtection="1">
      <alignment vertical="center"/>
    </xf>
    <xf numFmtId="165" fontId="15" fillId="7" borderId="15" xfId="0" applyNumberFormat="1" applyFont="1" applyFill="1" applyBorder="1" applyProtection="1">
      <protection locked="0"/>
    </xf>
    <xf numFmtId="0" fontId="26" fillId="0" borderId="7" xfId="0" applyFont="1" applyBorder="1" applyAlignment="1" applyProtection="1">
      <alignment vertical="top" wrapText="1"/>
      <protection locked="0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top" wrapText="1"/>
    </xf>
    <xf numFmtId="0" fontId="26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6" fillId="0" borderId="7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 wrapText="1"/>
    </xf>
    <xf numFmtId="14" fontId="0" fillId="0" borderId="2" xfId="0" applyNumberFormat="1" applyBorder="1" applyAlignment="1">
      <alignment horizontal="left" vertical="center" wrapText="1"/>
    </xf>
    <xf numFmtId="166" fontId="26" fillId="0" borderId="7" xfId="0" applyNumberFormat="1" applyFont="1" applyBorder="1" applyAlignment="1">
      <alignment vertical="top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6" fillId="0" borderId="15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6" fillId="0" borderId="18" xfId="0" applyFont="1" applyBorder="1" applyAlignment="1">
      <alignment vertical="top" wrapText="1"/>
    </xf>
    <xf numFmtId="0" fontId="7" fillId="0" borderId="0" xfId="0" applyFont="1" applyAlignment="1">
      <alignment horizontal="right"/>
    </xf>
    <xf numFmtId="0" fontId="13" fillId="3" borderId="23" xfId="0" applyFont="1" applyFill="1" applyBorder="1" applyAlignment="1">
      <alignment horizontal="left" vertical="center"/>
    </xf>
    <xf numFmtId="0" fontId="13" fillId="3" borderId="29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wrapText="1"/>
    </xf>
    <xf numFmtId="0" fontId="15" fillId="4" borderId="12" xfId="0" applyFont="1" applyFill="1" applyBorder="1" applyAlignment="1">
      <alignment horizontal="center" wrapText="1"/>
    </xf>
    <xf numFmtId="0" fontId="15" fillId="4" borderId="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0" fillId="0" borderId="14" xfId="0" applyFont="1" applyBorder="1" applyAlignment="1">
      <alignment wrapText="1"/>
    </xf>
    <xf numFmtId="0" fontId="17" fillId="5" borderId="13" xfId="0" applyFont="1" applyFill="1" applyBorder="1"/>
    <xf numFmtId="0" fontId="11" fillId="5" borderId="5" xfId="0" applyFont="1" applyFill="1" applyBorder="1"/>
    <xf numFmtId="0" fontId="3" fillId="5" borderId="5" xfId="0" applyFont="1" applyFill="1" applyBorder="1"/>
    <xf numFmtId="0" fontId="0" fillId="5" borderId="5" xfId="0" applyFill="1" applyBorder="1" applyAlignment="1">
      <alignment horizontal="right"/>
    </xf>
    <xf numFmtId="0" fontId="0" fillId="5" borderId="5" xfId="0" applyFill="1" applyBorder="1" applyAlignment="1">
      <alignment horizontal="center"/>
    </xf>
    <xf numFmtId="0" fontId="16" fillId="6" borderId="13" xfId="0" applyFont="1" applyFill="1" applyBorder="1" applyAlignment="1">
      <alignment wrapText="1"/>
    </xf>
    <xf numFmtId="0" fontId="12" fillId="6" borderId="5" xfId="0" applyFont="1" applyFill="1" applyBorder="1" applyAlignment="1">
      <alignment wrapText="1"/>
    </xf>
    <xf numFmtId="0" fontId="12" fillId="6" borderId="5" xfId="0" applyFont="1" applyFill="1" applyBorder="1"/>
    <xf numFmtId="0" fontId="25" fillId="6" borderId="5" xfId="0" applyFont="1" applyFill="1" applyBorder="1"/>
    <xf numFmtId="0" fontId="12" fillId="6" borderId="5" xfId="0" applyFont="1" applyFill="1" applyBorder="1" applyAlignment="1">
      <alignment horizontal="center"/>
    </xf>
    <xf numFmtId="0" fontId="12" fillId="6" borderId="14" xfId="0" applyFont="1" applyFill="1" applyBorder="1"/>
    <xf numFmtId="0" fontId="12" fillId="6" borderId="15" xfId="0" applyFont="1" applyFill="1" applyBorder="1"/>
    <xf numFmtId="0" fontId="19" fillId="6" borderId="13" xfId="0" applyFont="1" applyFill="1" applyBorder="1" applyAlignment="1">
      <alignment vertical="center"/>
    </xf>
    <xf numFmtId="0" fontId="19" fillId="6" borderId="5" xfId="0" applyFont="1" applyFill="1" applyBorder="1" applyAlignment="1">
      <alignment vertical="center"/>
    </xf>
    <xf numFmtId="0" fontId="24" fillId="6" borderId="5" xfId="0" applyFont="1" applyFill="1" applyBorder="1" applyAlignment="1">
      <alignment vertical="center"/>
    </xf>
    <xf numFmtId="0" fontId="15" fillId="6" borderId="5" xfId="0" applyFont="1" applyFill="1" applyBorder="1" applyAlignment="1">
      <alignment horizontal="center"/>
    </xf>
    <xf numFmtId="0" fontId="0" fillId="0" borderId="14" xfId="0" applyBorder="1"/>
    <xf numFmtId="0" fontId="19" fillId="6" borderId="5" xfId="0" applyFont="1" applyFill="1" applyBorder="1"/>
    <xf numFmtId="0" fontId="19" fillId="6" borderId="5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right"/>
    </xf>
    <xf numFmtId="0" fontId="10" fillId="0" borderId="14" xfId="0" applyFont="1" applyBorder="1"/>
    <xf numFmtId="0" fontId="19" fillId="6" borderId="13" xfId="0" applyFont="1" applyFill="1" applyBorder="1"/>
    <xf numFmtId="0" fontId="0" fillId="0" borderId="14" xfId="0" applyBorder="1" applyAlignment="1">
      <alignment vertical="center"/>
    </xf>
    <xf numFmtId="0" fontId="15" fillId="6" borderId="13" xfId="0" applyFont="1" applyFill="1" applyBorder="1" applyAlignment="1">
      <alignment vertical="center"/>
    </xf>
    <xf numFmtId="0" fontId="15" fillId="6" borderId="5" xfId="0" applyFont="1" applyFill="1" applyBorder="1" applyAlignment="1">
      <alignment vertical="center"/>
    </xf>
    <xf numFmtId="0" fontId="15" fillId="6" borderId="5" xfId="0" applyFont="1" applyFill="1" applyBorder="1"/>
    <xf numFmtId="0" fontId="16" fillId="6" borderId="13" xfId="0" applyFont="1" applyFill="1" applyBorder="1"/>
    <xf numFmtId="0" fontId="3" fillId="6" borderId="5" xfId="0" applyFont="1" applyFill="1" applyBorder="1"/>
    <xf numFmtId="0" fontId="9" fillId="6" borderId="5" xfId="0" applyFont="1" applyFill="1" applyBorder="1" applyAlignment="1">
      <alignment horizontal="right"/>
    </xf>
    <xf numFmtId="0" fontId="0" fillId="6" borderId="5" xfId="0" applyFill="1" applyBorder="1" applyAlignment="1">
      <alignment horizontal="center"/>
    </xf>
    <xf numFmtId="0" fontId="19" fillId="6" borderId="5" xfId="0" applyFont="1" applyFill="1" applyBorder="1" applyAlignment="1">
      <alignment horizontal="left" vertical="center"/>
    </xf>
    <xf numFmtId="0" fontId="3" fillId="0" borderId="14" xfId="0" applyFont="1" applyBorder="1"/>
    <xf numFmtId="165" fontId="0" fillId="6" borderId="5" xfId="0" applyNumberFormat="1" applyFill="1" applyBorder="1"/>
    <xf numFmtId="165" fontId="0" fillId="6" borderId="14" xfId="0" applyNumberFormat="1" applyFill="1" applyBorder="1"/>
    <xf numFmtId="0" fontId="27" fillId="5" borderId="5" xfId="0" applyFont="1" applyFill="1" applyBorder="1"/>
    <xf numFmtId="0" fontId="3" fillId="0" borderId="14" xfId="0" applyFont="1" applyBorder="1" applyAlignment="1">
      <alignment vertical="center"/>
    </xf>
    <xf numFmtId="0" fontId="19" fillId="6" borderId="5" xfId="0" applyFont="1" applyFill="1" applyBorder="1" applyAlignment="1">
      <alignment horizontal="center"/>
    </xf>
    <xf numFmtId="0" fontId="19" fillId="0" borderId="13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19" fillId="0" borderId="5" xfId="0" applyFont="1" applyBorder="1"/>
    <xf numFmtId="0" fontId="15" fillId="0" borderId="5" xfId="0" applyFont="1" applyBorder="1" applyAlignment="1">
      <alignment horizontal="center"/>
    </xf>
    <xf numFmtId="0" fontId="15" fillId="0" borderId="13" xfId="0" applyFont="1" applyBorder="1"/>
    <xf numFmtId="0" fontId="15" fillId="0" borderId="5" xfId="0" applyFont="1" applyBorder="1"/>
    <xf numFmtId="0" fontId="15" fillId="0" borderId="5" xfId="0" applyFont="1" applyBorder="1" applyAlignment="1">
      <alignment horizontal="right"/>
    </xf>
    <xf numFmtId="0" fontId="19" fillId="0" borderId="13" xfId="0" applyFont="1" applyBorder="1"/>
    <xf numFmtId="0" fontId="8" fillId="0" borderId="1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0" fillId="0" borderId="14" xfId="0" applyBorder="1" applyAlignment="1">
      <alignment vertical="center" textRotation="90"/>
    </xf>
    <xf numFmtId="0" fontId="8" fillId="0" borderId="2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8" xfId="0" applyBorder="1" applyAlignment="1">
      <alignment vertical="center" textRotation="90"/>
    </xf>
    <xf numFmtId="0" fontId="7" fillId="2" borderId="10" xfId="0" applyFont="1" applyFill="1" applyBorder="1"/>
    <xf numFmtId="0" fontId="7" fillId="2" borderId="8" xfId="0" applyFont="1" applyFill="1" applyBorder="1"/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/>
    <xf numFmtId="0" fontId="4" fillId="0" borderId="0" xfId="0" applyFont="1" applyAlignment="1">
      <alignment vertical="center" textRotation="90"/>
    </xf>
    <xf numFmtId="0" fontId="22" fillId="0" borderId="5" xfId="0" applyFont="1" applyBorder="1"/>
    <xf numFmtId="0" fontId="8" fillId="0" borderId="2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textRotation="90"/>
    </xf>
    <xf numFmtId="0" fontId="0" fillId="2" borderId="3" xfId="0" applyFill="1" applyBorder="1"/>
    <xf numFmtId="0" fontId="6" fillId="0" borderId="3" xfId="0" applyFont="1" applyBorder="1" applyAlignment="1">
      <alignment vertical="center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0" fillId="0" borderId="9" xfId="0" applyBorder="1"/>
    <xf numFmtId="0" fontId="0" fillId="2" borderId="10" xfId="0" applyFill="1" applyBorder="1"/>
    <xf numFmtId="0" fontId="0" fillId="2" borderId="8" xfId="0" applyFill="1" applyBorder="1"/>
    <xf numFmtId="0" fontId="6" fillId="0" borderId="8" xfId="0" applyFont="1" applyBorder="1" applyAlignment="1">
      <alignment vertical="center"/>
    </xf>
    <xf numFmtId="0" fontId="0" fillId="0" borderId="8" xfId="0" applyBorder="1" applyAlignment="1">
      <alignment horizontal="right"/>
    </xf>
    <xf numFmtId="0" fontId="15" fillId="0" borderId="28" xfId="0" applyFont="1" applyBorder="1" applyAlignment="1">
      <alignment horizontal="center"/>
    </xf>
    <xf numFmtId="0" fontId="4" fillId="0" borderId="10" xfId="0" applyFont="1" applyBorder="1" applyAlignment="1">
      <alignment vertical="center" textRotation="90"/>
    </xf>
    <xf numFmtId="0" fontId="4" fillId="0" borderId="8" xfId="0" applyFont="1" applyBorder="1" applyAlignment="1">
      <alignment vertical="center" textRotation="90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19" xfId="0" applyBorder="1"/>
    <xf numFmtId="0" fontId="0" fillId="0" borderId="6" xfId="0" applyBorder="1"/>
    <xf numFmtId="0" fontId="0" fillId="0" borderId="9" xfId="0" applyBorder="1" applyAlignment="1">
      <alignment vertical="center" textRotation="90"/>
    </xf>
    <xf numFmtId="0" fontId="0" fillId="0" borderId="29" xfId="0" applyBorder="1" applyAlignment="1">
      <alignment horizontal="center" vertical="center"/>
    </xf>
    <xf numFmtId="0" fontId="10" fillId="0" borderId="12" xfId="0" applyFont="1" applyBorder="1" applyAlignment="1">
      <alignment wrapText="1"/>
    </xf>
    <xf numFmtId="0" fontId="17" fillId="5" borderId="11" xfId="0" applyFont="1" applyFill="1" applyBorder="1"/>
    <xf numFmtId="0" fontId="11" fillId="5" borderId="1" xfId="0" applyFont="1" applyFill="1" applyBorder="1"/>
    <xf numFmtId="0" fontId="3" fillId="5" borderId="1" xfId="0" applyFont="1" applyFill="1" applyBorder="1"/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center"/>
    </xf>
    <xf numFmtId="0" fontId="0" fillId="6" borderId="5" xfId="0" applyFill="1" applyBorder="1" applyAlignment="1">
      <alignment horizontal="right"/>
    </xf>
    <xf numFmtId="0" fontId="0" fillId="0" borderId="31" xfId="0" applyBorder="1" applyAlignment="1">
      <alignment horizontal="center" vertical="center"/>
    </xf>
    <xf numFmtId="0" fontId="10" fillId="0" borderId="17" xfId="0" applyFont="1" applyBorder="1"/>
    <xf numFmtId="0" fontId="10" fillId="0" borderId="21" xfId="0" applyFont="1" applyBorder="1"/>
    <xf numFmtId="0" fontId="25" fillId="5" borderId="5" xfId="0" applyFont="1" applyFill="1" applyBorder="1"/>
    <xf numFmtId="0" fontId="8" fillId="0" borderId="31" xfId="0" applyFont="1" applyBorder="1" applyAlignment="1">
      <alignment horizontal="center" vertical="center"/>
    </xf>
    <xf numFmtId="0" fontId="12" fillId="6" borderId="5" xfId="0" applyFont="1" applyFill="1" applyBorder="1" applyProtection="1">
      <protection locked="0"/>
    </xf>
    <xf numFmtId="0" fontId="24" fillId="7" borderId="5" xfId="0" applyFont="1" applyFill="1" applyBorder="1" applyAlignment="1" applyProtection="1">
      <alignment vertical="center"/>
      <protection locked="0"/>
    </xf>
    <xf numFmtId="0" fontId="24" fillId="7" borderId="25" xfId="0" applyFont="1" applyFill="1" applyBorder="1" applyAlignment="1" applyProtection="1">
      <alignment vertical="center"/>
      <protection locked="0"/>
    </xf>
    <xf numFmtId="0" fontId="21" fillId="6" borderId="36" xfId="0" applyFont="1" applyFill="1" applyBorder="1" applyAlignment="1" applyProtection="1">
      <alignment horizontal="right"/>
      <protection locked="0"/>
    </xf>
    <xf numFmtId="0" fontId="21" fillId="0" borderId="36" xfId="0" applyFont="1" applyBorder="1" applyAlignment="1" applyProtection="1">
      <alignment horizontal="right"/>
      <protection locked="0"/>
    </xf>
    <xf numFmtId="0" fontId="19" fillId="9" borderId="37" xfId="0" applyFont="1" applyFill="1" applyBorder="1"/>
    <xf numFmtId="0" fontId="0" fillId="2" borderId="16" xfId="0" applyFill="1" applyBorder="1"/>
    <xf numFmtId="0" fontId="0" fillId="2" borderId="25" xfId="0" applyFill="1" applyBorder="1"/>
    <xf numFmtId="0" fontId="6" fillId="0" borderId="25" xfId="0" applyFont="1" applyBorder="1" applyAlignment="1">
      <alignment vertical="center"/>
    </xf>
    <xf numFmtId="0" fontId="0" fillId="0" borderId="25" xfId="0" applyBorder="1" applyAlignment="1">
      <alignment horizontal="right"/>
    </xf>
    <xf numFmtId="0" fontId="0" fillId="0" borderId="25" xfId="0" applyBorder="1" applyAlignment="1">
      <alignment horizontal="center"/>
    </xf>
    <xf numFmtId="165" fontId="2" fillId="0" borderId="25" xfId="1" applyNumberFormat="1" applyFont="1" applyBorder="1" applyAlignment="1" applyProtection="1">
      <alignment vertical="center"/>
    </xf>
    <xf numFmtId="165" fontId="2" fillId="0" borderId="17" xfId="1" applyNumberFormat="1" applyFont="1" applyBorder="1" applyAlignment="1" applyProtection="1">
      <alignment vertical="center"/>
    </xf>
    <xf numFmtId="165" fontId="2" fillId="0" borderId="18" xfId="1" applyNumberFormat="1" applyFont="1" applyBorder="1" applyAlignment="1" applyProtection="1">
      <alignment vertical="center"/>
    </xf>
    <xf numFmtId="0" fontId="13" fillId="3" borderId="38" xfId="0" applyFont="1" applyFill="1" applyBorder="1" applyAlignment="1">
      <alignment horizontal="left" vertical="center"/>
    </xf>
    <xf numFmtId="0" fontId="17" fillId="5" borderId="39" xfId="0" applyFont="1" applyFill="1" applyBorder="1"/>
    <xf numFmtId="0" fontId="19" fillId="6" borderId="39" xfId="0" applyFont="1" applyFill="1" applyBorder="1" applyAlignment="1">
      <alignment vertical="center"/>
    </xf>
    <xf numFmtId="0" fontId="19" fillId="6" borderId="39" xfId="0" applyFont="1" applyFill="1" applyBorder="1"/>
    <xf numFmtId="0" fontId="19" fillId="0" borderId="39" xfId="0" applyFont="1" applyBorder="1"/>
    <xf numFmtId="0" fontId="13" fillId="3" borderId="2" xfId="0" applyFont="1" applyFill="1" applyBorder="1" applyAlignment="1">
      <alignment horizontal="left" vertical="center"/>
    </xf>
    <xf numFmtId="0" fontId="10" fillId="0" borderId="15" xfId="0" applyFont="1" applyBorder="1"/>
    <xf numFmtId="0" fontId="22" fillId="0" borderId="39" xfId="0" applyFont="1" applyBorder="1"/>
    <xf numFmtId="0" fontId="10" fillId="6" borderId="15" xfId="0" applyFont="1" applyFill="1" applyBorder="1"/>
    <xf numFmtId="0" fontId="0" fillId="10" borderId="0" xfId="0" applyFill="1"/>
    <xf numFmtId="166" fontId="0" fillId="10" borderId="0" xfId="0" applyNumberFormat="1" applyFill="1"/>
    <xf numFmtId="0" fontId="6" fillId="0" borderId="7" xfId="0" applyFont="1" applyBorder="1" applyAlignment="1" applyProtection="1">
      <alignment vertical="top" wrapText="1"/>
      <protection locked="0"/>
    </xf>
    <xf numFmtId="0" fontId="9" fillId="10" borderId="0" xfId="0" applyFont="1" applyFill="1" applyAlignment="1">
      <alignment horizontal="right"/>
    </xf>
    <xf numFmtId="0" fontId="9" fillId="10" borderId="0" xfId="0" applyFont="1" applyFill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right"/>
    </xf>
    <xf numFmtId="0" fontId="11" fillId="10" borderId="5" xfId="0" applyFont="1" applyFill="1" applyBorder="1"/>
    <xf numFmtId="0" fontId="20" fillId="10" borderId="5" xfId="0" applyFont="1" applyFill="1" applyBorder="1" applyAlignment="1" applyProtection="1">
      <alignment vertical="center"/>
      <protection locked="0"/>
    </xf>
    <xf numFmtId="0" fontId="9" fillId="10" borderId="5" xfId="0" applyFont="1" applyFill="1" applyBorder="1" applyAlignment="1">
      <alignment horizontal="right"/>
    </xf>
    <xf numFmtId="0" fontId="3" fillId="11" borderId="5" xfId="0" applyFont="1" applyFill="1" applyBorder="1"/>
    <xf numFmtId="0" fontId="9" fillId="11" borderId="1" xfId="0" applyFont="1" applyFill="1" applyBorder="1" applyAlignment="1">
      <alignment horizontal="right"/>
    </xf>
    <xf numFmtId="0" fontId="20" fillId="10" borderId="5" xfId="0" applyFont="1" applyFill="1" applyBorder="1" applyAlignment="1">
      <alignment vertical="center"/>
    </xf>
    <xf numFmtId="0" fontId="20" fillId="10" borderId="25" xfId="0" applyFont="1" applyFill="1" applyBorder="1" applyAlignment="1" applyProtection="1">
      <alignment vertical="center"/>
      <protection locked="0"/>
    </xf>
    <xf numFmtId="165" fontId="15" fillId="10" borderId="21" xfId="1" applyNumberFormat="1" applyFont="1" applyFill="1" applyBorder="1" applyProtection="1"/>
    <xf numFmtId="0" fontId="11" fillId="11" borderId="5" xfId="0" applyFont="1" applyFill="1" applyBorder="1"/>
    <xf numFmtId="0" fontId="28" fillId="6" borderId="0" xfId="0" applyFont="1" applyFill="1" applyProtection="1">
      <protection locked="0"/>
    </xf>
    <xf numFmtId="0" fontId="28" fillId="10" borderId="0" xfId="0" applyFont="1" applyFill="1" applyProtection="1">
      <protection locked="0"/>
    </xf>
    <xf numFmtId="0" fontId="29" fillId="10" borderId="0" xfId="0" applyFont="1" applyFill="1" applyProtection="1">
      <protection locked="0"/>
    </xf>
    <xf numFmtId="0" fontId="0" fillId="10" borderId="0" xfId="0" applyFill="1" applyProtection="1">
      <protection locked="0"/>
    </xf>
    <xf numFmtId="0" fontId="9" fillId="10" borderId="0" xfId="0" applyFont="1" applyFill="1" applyProtection="1">
      <protection locked="0"/>
    </xf>
    <xf numFmtId="0" fontId="24" fillId="6" borderId="5" xfId="0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10" fillId="12" borderId="14" xfId="0" applyFont="1" applyFill="1" applyBorder="1"/>
    <xf numFmtId="0" fontId="19" fillId="12" borderId="13" xfId="0" applyFont="1" applyFill="1" applyBorder="1"/>
    <xf numFmtId="0" fontId="19" fillId="12" borderId="5" xfId="0" applyFont="1" applyFill="1" applyBorder="1"/>
    <xf numFmtId="0" fontId="15" fillId="12" borderId="5" xfId="0" applyFont="1" applyFill="1" applyBorder="1" applyAlignment="1">
      <alignment horizontal="right"/>
    </xf>
    <xf numFmtId="0" fontId="20" fillId="12" borderId="5" xfId="0" applyFont="1" applyFill="1" applyBorder="1" applyAlignment="1" applyProtection="1">
      <alignment vertical="center"/>
      <protection locked="0"/>
    </xf>
    <xf numFmtId="0" fontId="24" fillId="12" borderId="5" xfId="0" applyFont="1" applyFill="1" applyBorder="1" applyAlignment="1">
      <alignment vertical="center"/>
    </xf>
    <xf numFmtId="0" fontId="15" fillId="12" borderId="5" xfId="0" applyFont="1" applyFill="1" applyBorder="1" applyAlignment="1">
      <alignment horizontal="center"/>
    </xf>
    <xf numFmtId="165" fontId="15" fillId="12" borderId="5" xfId="0" applyNumberFormat="1" applyFont="1" applyFill="1" applyBorder="1" applyProtection="1">
      <protection locked="0"/>
    </xf>
    <xf numFmtId="165" fontId="15" fillId="12" borderId="14" xfId="1" applyNumberFormat="1" applyFont="1" applyFill="1" applyBorder="1" applyProtection="1"/>
    <xf numFmtId="165" fontId="15" fillId="12" borderId="15" xfId="1" applyNumberFormat="1" applyFont="1" applyFill="1" applyBorder="1" applyProtection="1"/>
    <xf numFmtId="0" fontId="28" fillId="12" borderId="0" xfId="0" applyFont="1" applyFill="1" applyProtection="1">
      <protection locked="0"/>
    </xf>
    <xf numFmtId="0" fontId="0" fillId="12" borderId="0" xfId="0" applyFill="1" applyProtection="1">
      <protection locked="0"/>
    </xf>
    <xf numFmtId="0" fontId="15" fillId="12" borderId="5" xfId="0" applyFont="1" applyFill="1" applyBorder="1" applyAlignment="1" applyProtection="1">
      <alignment horizontal="right"/>
      <protection locked="0"/>
    </xf>
    <xf numFmtId="0" fontId="0" fillId="12" borderId="14" xfId="0" applyFill="1" applyBorder="1" applyAlignment="1">
      <alignment vertical="center"/>
    </xf>
    <xf numFmtId="0" fontId="19" fillId="12" borderId="13" xfId="0" applyFont="1" applyFill="1" applyBorder="1" applyAlignment="1" applyProtection="1">
      <alignment vertical="center"/>
      <protection locked="0"/>
    </xf>
    <xf numFmtId="0" fontId="19" fillId="12" borderId="5" xfId="0" applyFont="1" applyFill="1" applyBorder="1" applyAlignment="1" applyProtection="1">
      <alignment vertical="center"/>
      <protection locked="0"/>
    </xf>
    <xf numFmtId="0" fontId="24" fillId="12" borderId="5" xfId="0" applyFont="1" applyFill="1" applyBorder="1" applyAlignment="1" applyProtection="1">
      <alignment vertical="center"/>
      <protection locked="0"/>
    </xf>
    <xf numFmtId="0" fontId="15" fillId="12" borderId="5" xfId="0" applyFont="1" applyFill="1" applyBorder="1" applyAlignment="1" applyProtection="1">
      <alignment horizontal="center"/>
      <protection locked="0"/>
    </xf>
    <xf numFmtId="165" fontId="15" fillId="12" borderId="5" xfId="1" applyNumberFormat="1" applyFont="1" applyFill="1" applyBorder="1" applyProtection="1">
      <protection locked="0"/>
    </xf>
    <xf numFmtId="0" fontId="3" fillId="12" borderId="14" xfId="0" applyFont="1" applyFill="1" applyBorder="1" applyAlignment="1">
      <alignment vertical="center"/>
    </xf>
    <xf numFmtId="0" fontId="19" fillId="12" borderId="5" xfId="0" applyFont="1" applyFill="1" applyBorder="1" applyProtection="1">
      <protection locked="0"/>
    </xf>
    <xf numFmtId="0" fontId="19" fillId="12" borderId="13" xfId="0" applyFont="1" applyFill="1" applyBorder="1" applyAlignment="1">
      <alignment vertical="center"/>
    </xf>
    <xf numFmtId="0" fontId="19" fillId="12" borderId="5" xfId="0" applyFont="1" applyFill="1" applyBorder="1" applyAlignment="1">
      <alignment vertical="center"/>
    </xf>
    <xf numFmtId="0" fontId="19" fillId="0" borderId="13" xfId="0" applyFont="1" applyBorder="1" applyAlignment="1" applyProtection="1">
      <alignment vertical="center"/>
      <protection locked="0"/>
    </xf>
    <xf numFmtId="0" fontId="19" fillId="0" borderId="5" xfId="0" applyFont="1" applyBorder="1" applyAlignment="1" applyProtection="1">
      <alignment vertical="center"/>
      <protection locked="0"/>
    </xf>
    <xf numFmtId="0" fontId="24" fillId="0" borderId="5" xfId="0" applyFont="1" applyBorder="1" applyAlignment="1" applyProtection="1">
      <alignment vertical="center"/>
      <protection locked="0"/>
    </xf>
    <xf numFmtId="0" fontId="20" fillId="0" borderId="5" xfId="0" applyFont="1" applyBorder="1" applyAlignment="1" applyProtection="1">
      <alignment vertical="center"/>
      <protection locked="0"/>
    </xf>
    <xf numFmtId="0" fontId="24" fillId="0" borderId="5" xfId="0" applyFont="1" applyBorder="1" applyAlignment="1">
      <alignment vertical="center"/>
    </xf>
    <xf numFmtId="0" fontId="15" fillId="0" borderId="5" xfId="0" applyFont="1" applyBorder="1" applyAlignment="1" applyProtection="1">
      <alignment horizontal="center"/>
      <protection locked="0"/>
    </xf>
    <xf numFmtId="165" fontId="15" fillId="0" borderId="5" xfId="1" applyNumberFormat="1" applyFont="1" applyFill="1" applyBorder="1" applyProtection="1">
      <protection locked="0"/>
    </xf>
    <xf numFmtId="165" fontId="15" fillId="0" borderId="14" xfId="1" applyNumberFormat="1" applyFont="1" applyFill="1" applyBorder="1" applyProtection="1"/>
    <xf numFmtId="165" fontId="15" fillId="0" borderId="15" xfId="1" applyNumberFormat="1" applyFont="1" applyFill="1" applyBorder="1" applyProtection="1"/>
    <xf numFmtId="0" fontId="0" fillId="0" borderId="0" xfId="0" applyProtection="1">
      <protection locked="0"/>
    </xf>
    <xf numFmtId="0" fontId="0" fillId="13" borderId="30" xfId="0" applyFill="1" applyBorder="1" applyAlignment="1">
      <alignment horizontal="center" vertical="center"/>
    </xf>
    <xf numFmtId="0" fontId="0" fillId="13" borderId="14" xfId="0" applyFill="1" applyBorder="1" applyAlignment="1">
      <alignment vertical="center"/>
    </xf>
    <xf numFmtId="0" fontId="19" fillId="13" borderId="13" xfId="0" applyFont="1" applyFill="1" applyBorder="1" applyAlignment="1" applyProtection="1">
      <alignment vertical="center"/>
      <protection locked="0"/>
    </xf>
    <xf numFmtId="0" fontId="19" fillId="13" borderId="5" xfId="0" applyFont="1" applyFill="1" applyBorder="1" applyAlignment="1" applyProtection="1">
      <alignment vertical="center"/>
      <protection locked="0"/>
    </xf>
    <xf numFmtId="0" fontId="24" fillId="13" borderId="5" xfId="0" applyFont="1" applyFill="1" applyBorder="1" applyAlignment="1" applyProtection="1">
      <alignment vertical="center"/>
      <protection locked="0"/>
    </xf>
    <xf numFmtId="0" fontId="20" fillId="13" borderId="5" xfId="0" applyFont="1" applyFill="1" applyBorder="1" applyAlignment="1" applyProtection="1">
      <alignment vertical="center"/>
      <protection locked="0"/>
    </xf>
    <xf numFmtId="0" fontId="24" fillId="13" borderId="5" xfId="0" applyFont="1" applyFill="1" applyBorder="1" applyAlignment="1">
      <alignment vertical="center"/>
    </xf>
    <xf numFmtId="0" fontId="15" fillId="13" borderId="5" xfId="0" applyFont="1" applyFill="1" applyBorder="1" applyAlignment="1" applyProtection="1">
      <alignment horizontal="center"/>
      <protection locked="0"/>
    </xf>
    <xf numFmtId="165" fontId="15" fillId="13" borderId="5" xfId="1" applyNumberFormat="1" applyFont="1" applyFill="1" applyBorder="1" applyProtection="1">
      <protection locked="0"/>
    </xf>
    <xf numFmtId="165" fontId="15" fillId="13" borderId="14" xfId="1" applyNumberFormat="1" applyFont="1" applyFill="1" applyBorder="1" applyProtection="1"/>
    <xf numFmtId="165" fontId="15" fillId="13" borderId="15" xfId="1" applyNumberFormat="1" applyFont="1" applyFill="1" applyBorder="1" applyProtection="1"/>
    <xf numFmtId="0" fontId="28" fillId="13" borderId="0" xfId="0" applyFont="1" applyFill="1" applyProtection="1">
      <protection locked="0"/>
    </xf>
    <xf numFmtId="0" fontId="0" fillId="13" borderId="0" xfId="0" applyFill="1" applyProtection="1">
      <protection locked="0"/>
    </xf>
    <xf numFmtId="0" fontId="0" fillId="13" borderId="13" xfId="0" applyFill="1" applyBorder="1" applyAlignment="1">
      <alignment horizontal="center" vertical="center"/>
    </xf>
    <xf numFmtId="0" fontId="3" fillId="13" borderId="14" xfId="0" applyFont="1" applyFill="1" applyBorder="1" applyAlignment="1">
      <alignment vertical="center"/>
    </xf>
    <xf numFmtId="0" fontId="10" fillId="13" borderId="14" xfId="0" applyFont="1" applyFill="1" applyBorder="1"/>
    <xf numFmtId="0" fontId="19" fillId="13" borderId="13" xfId="0" applyFont="1" applyFill="1" applyBorder="1"/>
    <xf numFmtId="0" fontId="19" fillId="13" borderId="5" xfId="0" applyFont="1" applyFill="1" applyBorder="1"/>
    <xf numFmtId="0" fontId="15" fillId="13" borderId="5" xfId="0" applyFont="1" applyFill="1" applyBorder="1" applyAlignment="1">
      <alignment horizontal="right"/>
    </xf>
    <xf numFmtId="0" fontId="15" fillId="13" borderId="5" xfId="0" applyFont="1" applyFill="1" applyBorder="1" applyAlignment="1">
      <alignment horizontal="center"/>
    </xf>
    <xf numFmtId="165" fontId="15" fillId="13" borderId="5" xfId="0" applyNumberFormat="1" applyFont="1" applyFill="1" applyBorder="1" applyProtection="1">
      <protection locked="0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2" borderId="33" xfId="0" applyFont="1" applyFill="1" applyBorder="1" applyAlignment="1">
      <alignment horizontal="center" vertical="center" wrapText="1"/>
    </xf>
    <xf numFmtId="0" fontId="23" fillId="2" borderId="34" xfId="0" applyFont="1" applyFill="1" applyBorder="1" applyAlignment="1">
      <alignment horizontal="center" vertical="center" wrapText="1"/>
    </xf>
    <xf numFmtId="0" fontId="23" fillId="2" borderId="35" xfId="0" applyFont="1" applyFill="1" applyBorder="1" applyAlignment="1">
      <alignment horizontal="center" vertical="center" wrapText="1"/>
    </xf>
  </cellXfs>
  <cellStyles count="4">
    <cellStyle name="Normale" xfId="0" builtinId="0"/>
    <cellStyle name="Valuta" xfId="1" builtinId="4"/>
    <cellStyle name="Valuta 2" xfId="3" xr:uid="{D7F554E3-07BD-4A63-99A7-9AEACFD3E33D}"/>
    <cellStyle name="Valuta 3" xfId="2" xr:uid="{7FB1CA14-696E-4F3E-BF5B-0B52CD12627C}"/>
  </cellStyles>
  <dxfs count="2">
    <dxf>
      <font>
        <color rgb="FFFFFF00"/>
      </font>
      <fill>
        <patternFill>
          <bgColor rgb="FFFF0000"/>
        </patternFill>
      </fill>
    </dxf>
    <dxf>
      <font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3"/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188849</xdr:colOff>
      <xdr:row>0</xdr:row>
      <xdr:rowOff>145002</xdr:rowOff>
    </xdr:from>
    <xdr:to>
      <xdr:col>1</xdr:col>
      <xdr:colOff>865732</xdr:colOff>
      <xdr:row>1</xdr:row>
      <xdr:rowOff>266701</xdr:rowOff>
    </xdr:to>
    <xdr:pic>
      <xdr:nvPicPr>
        <xdr:cNvPr id="2" name="Picture 1" descr="ST">
          <a:extLst>
            <a:ext uri="{FF2B5EF4-FFF2-40B4-BE49-F238E27FC236}">
              <a16:creationId xmlns:a16="http://schemas.microsoft.com/office/drawing/2014/main" id="{4D19DD84-A688-4E3A-86AE-66D1DB187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849" y="145002"/>
          <a:ext cx="1064233" cy="1217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9CA4-81F3-464A-AE53-0C935B3F085A}">
  <dimension ref="A1:U947"/>
  <sheetViews>
    <sheetView tabSelected="1" zoomScale="60" zoomScaleNormal="60" workbookViewId="0">
      <selection activeCell="H19" sqref="H19"/>
    </sheetView>
  </sheetViews>
  <sheetFormatPr defaultColWidth="11.453125" defaultRowHeight="14.5" x14ac:dyDescent="0.35"/>
  <cols>
    <col min="1" max="1" width="5.54296875" bestFit="1" customWidth="1"/>
    <col min="2" max="2" width="16" customWidth="1"/>
    <col min="3" max="3" width="14.90625" customWidth="1"/>
    <col min="4" max="4" width="51.6328125" customWidth="1"/>
    <col min="5" max="5" width="15.7265625" customWidth="1"/>
    <col min="6" max="6" width="11.453125" customWidth="1"/>
    <col min="7" max="7" width="68.453125" customWidth="1"/>
    <col min="8" max="8" width="19.36328125" style="51" customWidth="1"/>
    <col min="9" max="9" width="11.08984375" style="51" customWidth="1"/>
    <col min="10" max="10" width="16.453125" style="197" customWidth="1"/>
    <col min="11" max="11" width="16.453125" style="51" customWidth="1"/>
    <col min="12" max="12" width="11.453125" style="52" customWidth="1"/>
    <col min="13" max="13" width="15.54296875" customWidth="1"/>
    <col min="14" max="16" width="23" customWidth="1"/>
    <col min="17" max="17" width="25.81640625" customWidth="1"/>
    <col min="18" max="16384" width="11.453125" style="3"/>
  </cols>
  <sheetData>
    <row r="1" spans="1:19" ht="86" thickBot="1" x14ac:dyDescent="0.4">
      <c r="A1" s="47"/>
      <c r="B1" s="47"/>
      <c r="C1" s="48"/>
      <c r="D1" s="49" t="s">
        <v>0</v>
      </c>
      <c r="E1" s="49"/>
      <c r="H1" s="50"/>
      <c r="M1" s="43" t="s">
        <v>1</v>
      </c>
      <c r="N1" s="42"/>
      <c r="O1" s="10"/>
      <c r="P1" s="10"/>
      <c r="Q1" s="44">
        <f>Q590+Q947</f>
        <v>0</v>
      </c>
    </row>
    <row r="2" spans="1:19" ht="28.5" customHeight="1" thickBot="1" x14ac:dyDescent="0.4">
      <c r="A2" s="47"/>
      <c r="B2" s="47"/>
      <c r="C2" s="48"/>
      <c r="D2" s="49"/>
      <c r="E2" s="49"/>
      <c r="F2" s="50" t="s">
        <v>467</v>
      </c>
      <c r="G2" s="46"/>
      <c r="H2" s="54"/>
      <c r="M2" s="41"/>
      <c r="N2" s="38"/>
      <c r="O2" s="38"/>
      <c r="P2" s="38"/>
      <c r="Q2" s="38"/>
    </row>
    <row r="3" spans="1:19" ht="29.15" customHeight="1" thickBot="1" x14ac:dyDescent="0.4">
      <c r="A3" s="47"/>
      <c r="B3" s="47"/>
      <c r="C3" s="48"/>
      <c r="D3" s="49"/>
      <c r="E3" s="49"/>
      <c r="F3" s="50" t="s">
        <v>478</v>
      </c>
      <c r="G3" s="196" t="s">
        <v>571</v>
      </c>
      <c r="H3" s="54"/>
    </row>
    <row r="4" spans="1:19" ht="47.5" thickBot="1" x14ac:dyDescent="0.4">
      <c r="A4" s="47"/>
      <c r="B4" s="47"/>
      <c r="C4" s="55" t="s">
        <v>2</v>
      </c>
      <c r="D4" s="56"/>
      <c r="E4" s="57"/>
      <c r="F4" s="50" t="s">
        <v>473</v>
      </c>
      <c r="G4" s="58"/>
      <c r="H4" s="54"/>
    </row>
    <row r="5" spans="1:19" ht="47.5" thickBot="1" x14ac:dyDescent="0.4">
      <c r="A5" s="47"/>
      <c r="B5" s="47"/>
      <c r="C5" s="59" t="s">
        <v>3</v>
      </c>
      <c r="D5" s="60"/>
      <c r="E5" s="61"/>
      <c r="F5" s="62" t="s">
        <v>474</v>
      </c>
      <c r="G5" s="53"/>
      <c r="H5" s="54"/>
    </row>
    <row r="6" spans="1:19" ht="71" thickBot="1" x14ac:dyDescent="0.4">
      <c r="C6" s="59" t="s">
        <v>4</v>
      </c>
      <c r="D6" s="60"/>
      <c r="E6" s="61"/>
      <c r="F6" s="62" t="s">
        <v>475</v>
      </c>
      <c r="G6" s="53"/>
      <c r="H6" s="54"/>
      <c r="I6" s="63"/>
      <c r="J6" s="198"/>
      <c r="K6" s="63"/>
      <c r="L6" s="63"/>
      <c r="M6" s="48"/>
      <c r="N6" s="63"/>
      <c r="O6" s="63"/>
      <c r="P6" s="63"/>
    </row>
    <row r="7" spans="1:19" ht="29" thickBot="1" x14ac:dyDescent="0.4">
      <c r="C7" s="64" t="s">
        <v>5</v>
      </c>
      <c r="D7" s="65"/>
      <c r="E7" s="66"/>
      <c r="F7" s="62" t="s">
        <v>476</v>
      </c>
      <c r="G7" s="53"/>
      <c r="H7" s="54"/>
      <c r="I7" s="63"/>
      <c r="J7" s="198"/>
      <c r="K7" s="63"/>
      <c r="L7" s="63"/>
      <c r="M7" s="48"/>
      <c r="N7" s="63"/>
      <c r="O7" s="63"/>
      <c r="P7" s="63"/>
    </row>
    <row r="8" spans="1:19" ht="25.75" customHeight="1" thickBot="1" x14ac:dyDescent="0.4">
      <c r="N8" s="67"/>
      <c r="O8" s="67"/>
      <c r="P8" s="67"/>
      <c r="Q8" s="67" t="s">
        <v>484</v>
      </c>
    </row>
    <row r="9" spans="1:19" ht="63" x14ac:dyDescent="0.5">
      <c r="A9" s="68" t="s">
        <v>6</v>
      </c>
      <c r="B9" s="69"/>
      <c r="C9" s="70" t="s">
        <v>7</v>
      </c>
      <c r="D9" s="71" t="s">
        <v>8</v>
      </c>
      <c r="E9" s="72" t="s">
        <v>9</v>
      </c>
      <c r="F9" s="72" t="s">
        <v>10</v>
      </c>
      <c r="G9" s="72" t="s">
        <v>11</v>
      </c>
      <c r="H9" s="72" t="s">
        <v>12</v>
      </c>
      <c r="I9" s="73" t="s">
        <v>13</v>
      </c>
      <c r="J9" s="199" t="s">
        <v>532</v>
      </c>
      <c r="K9" s="73" t="s">
        <v>533</v>
      </c>
      <c r="L9" s="73" t="s">
        <v>15</v>
      </c>
      <c r="M9" s="74" t="s">
        <v>16</v>
      </c>
      <c r="N9" s="74" t="s">
        <v>17</v>
      </c>
      <c r="O9" s="75" t="s">
        <v>18</v>
      </c>
      <c r="P9" s="75" t="s">
        <v>19</v>
      </c>
      <c r="Q9" s="76" t="s">
        <v>20</v>
      </c>
    </row>
    <row r="10" spans="1:19" ht="23.25" customHeight="1" x14ac:dyDescent="0.55000000000000004">
      <c r="A10" s="77">
        <v>1</v>
      </c>
      <c r="B10" s="78" t="s">
        <v>21</v>
      </c>
      <c r="C10" s="79" t="s">
        <v>22</v>
      </c>
      <c r="D10" s="80" t="s">
        <v>23</v>
      </c>
      <c r="E10" s="81"/>
      <c r="F10" s="81"/>
      <c r="G10" s="81"/>
      <c r="H10" s="82"/>
      <c r="I10" s="83"/>
      <c r="J10" s="200"/>
      <c r="K10" s="83"/>
      <c r="L10" s="84"/>
      <c r="M10" s="6"/>
      <c r="N10" s="6"/>
      <c r="O10" s="12"/>
      <c r="P10" s="12"/>
      <c r="Q10" s="7"/>
    </row>
    <row r="11" spans="1:19" ht="23.25" customHeight="1" x14ac:dyDescent="0.55000000000000004">
      <c r="A11" s="77">
        <v>2</v>
      </c>
      <c r="B11" s="78" t="s">
        <v>21</v>
      </c>
      <c r="C11" s="79" t="s">
        <v>22</v>
      </c>
      <c r="D11" s="85" t="s">
        <v>22</v>
      </c>
      <c r="E11" s="86"/>
      <c r="F11" s="86"/>
      <c r="G11" s="86"/>
      <c r="H11" s="87"/>
      <c r="I11" s="88"/>
      <c r="J11" s="201"/>
      <c r="K11" s="88"/>
      <c r="L11" s="89"/>
      <c r="M11" s="87"/>
      <c r="N11" s="87"/>
      <c r="O11" s="90"/>
      <c r="P11" s="90"/>
      <c r="Q11" s="91"/>
    </row>
    <row r="12" spans="1:19" ht="23.25" customHeight="1" x14ac:dyDescent="0.5">
      <c r="A12" s="77">
        <v>3</v>
      </c>
      <c r="B12" s="78" t="s">
        <v>21</v>
      </c>
      <c r="C12" s="79" t="s">
        <v>22</v>
      </c>
      <c r="D12" s="92" t="s">
        <v>24</v>
      </c>
      <c r="E12" s="93" t="s">
        <v>25</v>
      </c>
      <c r="F12" s="93"/>
      <c r="G12" s="93" t="s">
        <v>26</v>
      </c>
      <c r="H12" s="93" t="s">
        <v>27</v>
      </c>
      <c r="I12" s="94">
        <v>6.8</v>
      </c>
      <c r="J12" s="202">
        <v>7.1</v>
      </c>
      <c r="K12" s="94">
        <f>+J12-I12</f>
        <v>0.29999999999999982</v>
      </c>
      <c r="L12" s="95" t="s">
        <v>28</v>
      </c>
      <c r="M12" s="17"/>
      <c r="N12" s="17"/>
      <c r="O12" s="18">
        <f t="shared" ref="O12:O17" si="0">M12*J12</f>
        <v>0</v>
      </c>
      <c r="P12" s="18">
        <f t="shared" ref="P12:P17" si="1">N12*J12</f>
        <v>0</v>
      </c>
      <c r="Q12" s="8">
        <f t="shared" ref="Q12:Q17" si="2">(M12*J12)+(N12*J12)</f>
        <v>0</v>
      </c>
      <c r="R12" s="36"/>
      <c r="S12" s="36"/>
    </row>
    <row r="13" spans="1:19" ht="23.25" customHeight="1" x14ac:dyDescent="0.5">
      <c r="A13" s="77">
        <v>4</v>
      </c>
      <c r="B13" s="78" t="s">
        <v>21</v>
      </c>
      <c r="C13" s="79" t="s">
        <v>22</v>
      </c>
      <c r="D13" s="92" t="s">
        <v>29</v>
      </c>
      <c r="E13" s="93" t="s">
        <v>25</v>
      </c>
      <c r="F13" s="93"/>
      <c r="G13" s="93" t="s">
        <v>26</v>
      </c>
      <c r="H13" s="93" t="s">
        <v>30</v>
      </c>
      <c r="I13" s="94">
        <v>1</v>
      </c>
      <c r="J13" s="202">
        <f t="shared" ref="J13:J31" si="3">I13</f>
        <v>1</v>
      </c>
      <c r="K13" s="94">
        <f t="shared" ref="K13:K76" si="4">+J13-I13</f>
        <v>0</v>
      </c>
      <c r="L13" s="95" t="s">
        <v>31</v>
      </c>
      <c r="M13" s="17"/>
      <c r="N13" s="17"/>
      <c r="O13" s="18">
        <f t="shared" si="0"/>
        <v>0</v>
      </c>
      <c r="P13" s="18">
        <f t="shared" si="1"/>
        <v>0</v>
      </c>
      <c r="Q13" s="8">
        <f t="shared" si="2"/>
        <v>0</v>
      </c>
      <c r="R13" s="36"/>
      <c r="S13" s="36"/>
    </row>
    <row r="14" spans="1:19" ht="23.25" customHeight="1" x14ac:dyDescent="0.5">
      <c r="A14" s="77">
        <v>5</v>
      </c>
      <c r="B14" s="78" t="s">
        <v>21</v>
      </c>
      <c r="C14" s="79" t="s">
        <v>22</v>
      </c>
      <c r="D14" s="92" t="s">
        <v>29</v>
      </c>
      <c r="E14" s="93" t="s">
        <v>25</v>
      </c>
      <c r="F14" s="93"/>
      <c r="G14" s="93" t="s">
        <v>26</v>
      </c>
      <c r="H14" s="93" t="s">
        <v>32</v>
      </c>
      <c r="I14" s="94"/>
      <c r="J14" s="202">
        <f t="shared" si="3"/>
        <v>0</v>
      </c>
      <c r="K14" s="94">
        <f t="shared" si="4"/>
        <v>0</v>
      </c>
      <c r="L14" s="95" t="s">
        <v>31</v>
      </c>
      <c r="M14" s="17"/>
      <c r="N14" s="17"/>
      <c r="O14" s="18">
        <f t="shared" si="0"/>
        <v>0</v>
      </c>
      <c r="P14" s="18">
        <f t="shared" si="1"/>
        <v>0</v>
      </c>
      <c r="Q14" s="8">
        <f t="shared" si="2"/>
        <v>0</v>
      </c>
    </row>
    <row r="15" spans="1:19" ht="23.25" customHeight="1" x14ac:dyDescent="0.5">
      <c r="A15" s="77">
        <v>6</v>
      </c>
      <c r="B15" s="78" t="s">
        <v>21</v>
      </c>
      <c r="C15" s="79" t="s">
        <v>22</v>
      </c>
      <c r="D15" s="92" t="s">
        <v>33</v>
      </c>
      <c r="E15" s="93" t="s">
        <v>25</v>
      </c>
      <c r="F15" s="93"/>
      <c r="G15" s="93" t="s">
        <v>26</v>
      </c>
      <c r="H15" s="93" t="s">
        <v>27</v>
      </c>
      <c r="I15" s="94"/>
      <c r="J15" s="202">
        <f t="shared" si="3"/>
        <v>0</v>
      </c>
      <c r="K15" s="94">
        <f t="shared" si="4"/>
        <v>0</v>
      </c>
      <c r="L15" s="95" t="s">
        <v>31</v>
      </c>
      <c r="M15" s="17"/>
      <c r="N15" s="17"/>
      <c r="O15" s="18">
        <f t="shared" si="0"/>
        <v>0</v>
      </c>
      <c r="P15" s="18">
        <f t="shared" si="1"/>
        <v>0</v>
      </c>
      <c r="Q15" s="8">
        <f t="shared" si="2"/>
        <v>0</v>
      </c>
    </row>
    <row r="16" spans="1:19" ht="23.25" customHeight="1" x14ac:dyDescent="0.5">
      <c r="A16" s="77">
        <v>7</v>
      </c>
      <c r="B16" s="78" t="s">
        <v>21</v>
      </c>
      <c r="C16" s="79" t="s">
        <v>22</v>
      </c>
      <c r="D16" s="92" t="s">
        <v>34</v>
      </c>
      <c r="E16" s="93" t="s">
        <v>35</v>
      </c>
      <c r="F16" s="93"/>
      <c r="G16" s="93" t="s">
        <v>36</v>
      </c>
      <c r="H16" s="93" t="s">
        <v>37</v>
      </c>
      <c r="I16" s="94">
        <v>10</v>
      </c>
      <c r="J16" s="202">
        <f t="shared" si="3"/>
        <v>10</v>
      </c>
      <c r="K16" s="94">
        <f t="shared" si="4"/>
        <v>0</v>
      </c>
      <c r="L16" s="95" t="s">
        <v>28</v>
      </c>
      <c r="M16" s="17"/>
      <c r="N16" s="17"/>
      <c r="O16" s="18">
        <f t="shared" si="0"/>
        <v>0</v>
      </c>
      <c r="P16" s="18">
        <f t="shared" si="1"/>
        <v>0</v>
      </c>
      <c r="Q16" s="8">
        <f t="shared" si="2"/>
        <v>0</v>
      </c>
    </row>
    <row r="17" spans="1:20" ht="23.25" customHeight="1" x14ac:dyDescent="0.5">
      <c r="A17" s="77">
        <v>8</v>
      </c>
      <c r="B17" s="78" t="s">
        <v>21</v>
      </c>
      <c r="C17" s="96" t="s">
        <v>22</v>
      </c>
      <c r="D17" s="92" t="s">
        <v>38</v>
      </c>
      <c r="E17" s="5"/>
      <c r="F17" s="5"/>
      <c r="G17" s="5"/>
      <c r="H17" s="5"/>
      <c r="I17" s="94">
        <v>1</v>
      </c>
      <c r="J17" s="202">
        <f t="shared" si="3"/>
        <v>1</v>
      </c>
      <c r="K17" s="94">
        <f t="shared" si="4"/>
        <v>0</v>
      </c>
      <c r="L17" s="95" t="s">
        <v>31</v>
      </c>
      <c r="M17" s="17"/>
      <c r="N17" s="17"/>
      <c r="O17" s="18">
        <f t="shared" si="0"/>
        <v>0</v>
      </c>
      <c r="P17" s="18">
        <f t="shared" si="1"/>
        <v>0</v>
      </c>
      <c r="Q17" s="8">
        <f t="shared" si="2"/>
        <v>0</v>
      </c>
    </row>
    <row r="18" spans="1:20" ht="23.25" customHeight="1" x14ac:dyDescent="0.55000000000000004">
      <c r="A18" s="77">
        <v>9</v>
      </c>
      <c r="B18" s="78" t="s">
        <v>39</v>
      </c>
      <c r="C18" s="79" t="s">
        <v>40</v>
      </c>
      <c r="D18" s="85" t="s">
        <v>41</v>
      </c>
      <c r="E18" s="86"/>
      <c r="F18" s="86"/>
      <c r="G18" s="86"/>
      <c r="H18" s="87"/>
      <c r="I18" s="88"/>
      <c r="J18" s="201"/>
      <c r="K18" s="94">
        <f t="shared" si="4"/>
        <v>0</v>
      </c>
      <c r="L18" s="89"/>
      <c r="M18" s="87"/>
      <c r="N18" s="87"/>
      <c r="O18" s="90"/>
      <c r="P18" s="90"/>
      <c r="Q18" s="9"/>
    </row>
    <row r="19" spans="1:20" ht="23.25" customHeight="1" x14ac:dyDescent="0.5">
      <c r="A19" s="77">
        <v>10</v>
      </c>
      <c r="B19" s="78" t="s">
        <v>39</v>
      </c>
      <c r="C19" s="79" t="s">
        <v>40</v>
      </c>
      <c r="D19" s="92" t="s">
        <v>34</v>
      </c>
      <c r="E19" s="93" t="s">
        <v>42</v>
      </c>
      <c r="F19" s="93"/>
      <c r="G19" s="93" t="s">
        <v>43</v>
      </c>
      <c r="H19" s="97" t="s">
        <v>44</v>
      </c>
      <c r="I19" s="94">
        <v>6.2</v>
      </c>
      <c r="J19" s="202">
        <v>5.3</v>
      </c>
      <c r="K19" s="94">
        <f t="shared" si="4"/>
        <v>-0.90000000000000036</v>
      </c>
      <c r="L19" s="98" t="s">
        <v>45</v>
      </c>
      <c r="M19" s="27"/>
      <c r="N19" s="15"/>
      <c r="O19" s="18">
        <f t="shared" ref="O19:O31" si="5">M19*J19</f>
        <v>0</v>
      </c>
      <c r="P19" s="18">
        <f t="shared" ref="P19:P31" si="6">N19*J19</f>
        <v>0</v>
      </c>
      <c r="Q19" s="8">
        <f t="shared" ref="Q19:Q31" si="7">(M19*J19)+(N19*J19)</f>
        <v>0</v>
      </c>
      <c r="R19" s="212" t="s">
        <v>534</v>
      </c>
    </row>
    <row r="20" spans="1:20" s="4" customFormat="1" ht="23.25" customHeight="1" x14ac:dyDescent="0.5">
      <c r="A20" s="77">
        <v>11</v>
      </c>
      <c r="B20" s="78" t="s">
        <v>39</v>
      </c>
      <c r="C20" s="79" t="s">
        <v>40</v>
      </c>
      <c r="D20" s="92" t="s">
        <v>46</v>
      </c>
      <c r="E20" s="93" t="s">
        <v>42</v>
      </c>
      <c r="F20" s="93"/>
      <c r="G20" s="93" t="s">
        <v>43</v>
      </c>
      <c r="H20" s="97" t="s">
        <v>44</v>
      </c>
      <c r="I20" s="94">
        <v>9</v>
      </c>
      <c r="J20" s="202">
        <v>11</v>
      </c>
      <c r="K20" s="94">
        <f t="shared" si="4"/>
        <v>2</v>
      </c>
      <c r="L20" s="98" t="s">
        <v>15</v>
      </c>
      <c r="M20" s="27"/>
      <c r="N20" s="15"/>
      <c r="O20" s="18">
        <f t="shared" si="5"/>
        <v>0</v>
      </c>
      <c r="P20" s="18">
        <f t="shared" si="6"/>
        <v>0</v>
      </c>
      <c r="Q20" s="8">
        <f t="shared" si="7"/>
        <v>0</v>
      </c>
      <c r="R20" s="213" t="s">
        <v>535</v>
      </c>
      <c r="S20" s="213"/>
      <c r="T20" s="214"/>
    </row>
    <row r="21" spans="1:20" s="4" customFormat="1" ht="23.25" customHeight="1" x14ac:dyDescent="0.5">
      <c r="A21" s="77">
        <v>12</v>
      </c>
      <c r="B21" s="78" t="s">
        <v>39</v>
      </c>
      <c r="C21" s="79" t="s">
        <v>40</v>
      </c>
      <c r="D21" s="92" t="s">
        <v>47</v>
      </c>
      <c r="E21" s="93" t="s">
        <v>42</v>
      </c>
      <c r="F21" s="93"/>
      <c r="G21" s="93" t="s">
        <v>43</v>
      </c>
      <c r="H21" s="97" t="s">
        <v>44</v>
      </c>
      <c r="I21" s="94">
        <v>1</v>
      </c>
      <c r="J21" s="202">
        <v>2</v>
      </c>
      <c r="K21" s="94">
        <f t="shared" si="4"/>
        <v>1</v>
      </c>
      <c r="L21" s="98" t="s">
        <v>15</v>
      </c>
      <c r="M21" s="27"/>
      <c r="N21" s="15"/>
      <c r="O21" s="18">
        <f t="shared" si="5"/>
        <v>0</v>
      </c>
      <c r="P21" s="18">
        <f t="shared" si="6"/>
        <v>0</v>
      </c>
      <c r="Q21" s="8">
        <f t="shared" si="7"/>
        <v>0</v>
      </c>
      <c r="R21" s="3"/>
      <c r="S21" s="3"/>
    </row>
    <row r="22" spans="1:20" s="4" customFormat="1" ht="23.25" customHeight="1" x14ac:dyDescent="0.5">
      <c r="A22" s="77">
        <v>13</v>
      </c>
      <c r="B22" s="78" t="s">
        <v>39</v>
      </c>
      <c r="C22" s="79" t="s">
        <v>40</v>
      </c>
      <c r="D22" s="92" t="s">
        <v>48</v>
      </c>
      <c r="E22" s="93" t="s">
        <v>42</v>
      </c>
      <c r="F22" s="93"/>
      <c r="G22" s="93" t="s">
        <v>43</v>
      </c>
      <c r="H22" s="97" t="s">
        <v>44</v>
      </c>
      <c r="I22" s="94">
        <v>1</v>
      </c>
      <c r="J22" s="202">
        <f t="shared" si="3"/>
        <v>1</v>
      </c>
      <c r="K22" s="94">
        <f t="shared" si="4"/>
        <v>0</v>
      </c>
      <c r="L22" s="98" t="s">
        <v>15</v>
      </c>
      <c r="M22" s="27"/>
      <c r="N22" s="15"/>
      <c r="O22" s="18">
        <f t="shared" si="5"/>
        <v>0</v>
      </c>
      <c r="P22" s="18">
        <f t="shared" si="6"/>
        <v>0</v>
      </c>
      <c r="Q22" s="8">
        <f t="shared" si="7"/>
        <v>0</v>
      </c>
      <c r="R22" s="3"/>
      <c r="S22" s="3"/>
    </row>
    <row r="23" spans="1:20" s="4" customFormat="1" ht="23.25" customHeight="1" x14ac:dyDescent="0.5">
      <c r="A23" s="77">
        <v>14</v>
      </c>
      <c r="B23" s="78" t="s">
        <v>39</v>
      </c>
      <c r="C23" s="79" t="s">
        <v>40</v>
      </c>
      <c r="D23" s="92" t="s">
        <v>34</v>
      </c>
      <c r="E23" s="93" t="s">
        <v>42</v>
      </c>
      <c r="F23" s="93"/>
      <c r="G23" s="93" t="s">
        <v>43</v>
      </c>
      <c r="H23" s="93" t="s">
        <v>49</v>
      </c>
      <c r="I23" s="94"/>
      <c r="J23" s="202">
        <f t="shared" si="3"/>
        <v>0</v>
      </c>
      <c r="K23" s="94">
        <f t="shared" si="4"/>
        <v>0</v>
      </c>
      <c r="L23" s="98" t="s">
        <v>45</v>
      </c>
      <c r="M23" s="27"/>
      <c r="N23" s="15"/>
      <c r="O23" s="18">
        <f t="shared" si="5"/>
        <v>0</v>
      </c>
      <c r="P23" s="18">
        <f t="shared" si="6"/>
        <v>0</v>
      </c>
      <c r="Q23" s="8">
        <f t="shared" si="7"/>
        <v>0</v>
      </c>
      <c r="R23" s="3"/>
      <c r="S23" s="3"/>
    </row>
    <row r="24" spans="1:20" s="4" customFormat="1" ht="23.25" customHeight="1" x14ac:dyDescent="0.5">
      <c r="A24" s="77">
        <v>15</v>
      </c>
      <c r="B24" s="78" t="s">
        <v>39</v>
      </c>
      <c r="C24" s="79" t="s">
        <v>40</v>
      </c>
      <c r="D24" s="92" t="s">
        <v>46</v>
      </c>
      <c r="E24" s="93" t="s">
        <v>42</v>
      </c>
      <c r="F24" s="93"/>
      <c r="G24" s="93" t="s">
        <v>43</v>
      </c>
      <c r="H24" s="93" t="s">
        <v>49</v>
      </c>
      <c r="I24" s="94"/>
      <c r="J24" s="202">
        <f t="shared" si="3"/>
        <v>0</v>
      </c>
      <c r="K24" s="94">
        <f t="shared" si="4"/>
        <v>0</v>
      </c>
      <c r="L24" s="98" t="s">
        <v>15</v>
      </c>
      <c r="M24" s="27"/>
      <c r="N24" s="15"/>
      <c r="O24" s="18">
        <f t="shared" si="5"/>
        <v>0</v>
      </c>
      <c r="P24" s="18">
        <f t="shared" si="6"/>
        <v>0</v>
      </c>
      <c r="Q24" s="8">
        <f t="shared" si="7"/>
        <v>0</v>
      </c>
      <c r="R24" s="3"/>
      <c r="S24" s="3"/>
    </row>
    <row r="25" spans="1:20" s="4" customFormat="1" ht="23.25" customHeight="1" x14ac:dyDescent="0.5">
      <c r="A25" s="77">
        <v>16</v>
      </c>
      <c r="B25" s="78" t="s">
        <v>39</v>
      </c>
      <c r="C25" s="79" t="s">
        <v>40</v>
      </c>
      <c r="D25" s="92" t="s">
        <v>47</v>
      </c>
      <c r="E25" s="93" t="s">
        <v>42</v>
      </c>
      <c r="F25" s="93"/>
      <c r="G25" s="93" t="s">
        <v>43</v>
      </c>
      <c r="H25" s="93" t="s">
        <v>49</v>
      </c>
      <c r="I25" s="94"/>
      <c r="J25" s="202">
        <f t="shared" si="3"/>
        <v>0</v>
      </c>
      <c r="K25" s="94">
        <f t="shared" si="4"/>
        <v>0</v>
      </c>
      <c r="L25" s="98" t="s">
        <v>15</v>
      </c>
      <c r="M25" s="27"/>
      <c r="N25" s="15"/>
      <c r="O25" s="18">
        <f t="shared" si="5"/>
        <v>0</v>
      </c>
      <c r="P25" s="18">
        <f t="shared" si="6"/>
        <v>0</v>
      </c>
      <c r="Q25" s="8">
        <f t="shared" si="7"/>
        <v>0</v>
      </c>
      <c r="R25" s="3"/>
      <c r="S25" s="3"/>
    </row>
    <row r="26" spans="1:20" s="4" customFormat="1" ht="23.25" customHeight="1" x14ac:dyDescent="0.5">
      <c r="A26" s="77">
        <v>17</v>
      </c>
      <c r="B26" s="78" t="s">
        <v>39</v>
      </c>
      <c r="C26" s="79" t="s">
        <v>40</v>
      </c>
      <c r="D26" s="92" t="s">
        <v>48</v>
      </c>
      <c r="E26" s="93" t="s">
        <v>42</v>
      </c>
      <c r="F26" s="93"/>
      <c r="G26" s="93" t="s">
        <v>43</v>
      </c>
      <c r="H26" s="93" t="s">
        <v>49</v>
      </c>
      <c r="I26" s="94"/>
      <c r="J26" s="202">
        <f t="shared" si="3"/>
        <v>0</v>
      </c>
      <c r="K26" s="94">
        <f t="shared" si="4"/>
        <v>0</v>
      </c>
      <c r="L26" s="98" t="s">
        <v>15</v>
      </c>
      <c r="M26" s="27"/>
      <c r="N26" s="15"/>
      <c r="O26" s="18">
        <f t="shared" si="5"/>
        <v>0</v>
      </c>
      <c r="P26" s="18">
        <f t="shared" si="6"/>
        <v>0</v>
      </c>
      <c r="Q26" s="8">
        <f t="shared" si="7"/>
        <v>0</v>
      </c>
      <c r="R26" s="3"/>
      <c r="S26" s="3"/>
    </row>
    <row r="27" spans="1:20" s="4" customFormat="1" ht="23.25" customHeight="1" x14ac:dyDescent="0.5">
      <c r="A27" s="77">
        <v>18</v>
      </c>
      <c r="B27" s="78" t="s">
        <v>39</v>
      </c>
      <c r="C27" s="79" t="s">
        <v>40</v>
      </c>
      <c r="D27" s="92" t="s">
        <v>34</v>
      </c>
      <c r="E27" s="93" t="s">
        <v>42</v>
      </c>
      <c r="F27" s="93"/>
      <c r="G27" s="93" t="s">
        <v>43</v>
      </c>
      <c r="H27" s="93" t="s">
        <v>50</v>
      </c>
      <c r="I27" s="94"/>
      <c r="J27" s="202">
        <f t="shared" si="3"/>
        <v>0</v>
      </c>
      <c r="K27" s="94">
        <f t="shared" si="4"/>
        <v>0</v>
      </c>
      <c r="L27" s="98" t="s">
        <v>45</v>
      </c>
      <c r="M27" s="15"/>
      <c r="N27" s="15"/>
      <c r="O27" s="18">
        <f t="shared" si="5"/>
        <v>0</v>
      </c>
      <c r="P27" s="18">
        <f t="shared" si="6"/>
        <v>0</v>
      </c>
      <c r="Q27" s="8">
        <f t="shared" si="7"/>
        <v>0</v>
      </c>
      <c r="R27" s="3"/>
      <c r="S27" s="3"/>
    </row>
    <row r="28" spans="1:20" s="4" customFormat="1" ht="23.25" customHeight="1" x14ac:dyDescent="0.5">
      <c r="A28" s="77">
        <v>19</v>
      </c>
      <c r="B28" s="78" t="s">
        <v>39</v>
      </c>
      <c r="C28" s="79" t="s">
        <v>40</v>
      </c>
      <c r="D28" s="92" t="s">
        <v>46</v>
      </c>
      <c r="E28" s="93" t="s">
        <v>42</v>
      </c>
      <c r="F28" s="93"/>
      <c r="G28" s="93" t="s">
        <v>43</v>
      </c>
      <c r="H28" s="93" t="s">
        <v>50</v>
      </c>
      <c r="I28" s="94"/>
      <c r="J28" s="202">
        <f t="shared" si="3"/>
        <v>0</v>
      </c>
      <c r="K28" s="94">
        <f t="shared" si="4"/>
        <v>0</v>
      </c>
      <c r="L28" s="98" t="s">
        <v>15</v>
      </c>
      <c r="M28" s="15"/>
      <c r="N28" s="15"/>
      <c r="O28" s="18">
        <f t="shared" si="5"/>
        <v>0</v>
      </c>
      <c r="P28" s="18">
        <f t="shared" si="6"/>
        <v>0</v>
      </c>
      <c r="Q28" s="8">
        <f t="shared" si="7"/>
        <v>0</v>
      </c>
      <c r="R28" s="3"/>
      <c r="S28" s="3"/>
    </row>
    <row r="29" spans="1:20" s="4" customFormat="1" ht="23.25" customHeight="1" x14ac:dyDescent="0.5">
      <c r="A29" s="77">
        <v>20</v>
      </c>
      <c r="B29" s="78" t="s">
        <v>39</v>
      </c>
      <c r="C29" s="79" t="s">
        <v>40</v>
      </c>
      <c r="D29" s="92" t="s">
        <v>47</v>
      </c>
      <c r="E29" s="93" t="s">
        <v>42</v>
      </c>
      <c r="F29" s="93"/>
      <c r="G29" s="93" t="s">
        <v>43</v>
      </c>
      <c r="H29" s="93" t="s">
        <v>50</v>
      </c>
      <c r="I29" s="94"/>
      <c r="J29" s="202">
        <f t="shared" si="3"/>
        <v>0</v>
      </c>
      <c r="K29" s="94">
        <f t="shared" si="4"/>
        <v>0</v>
      </c>
      <c r="L29" s="98" t="s">
        <v>15</v>
      </c>
      <c r="M29" s="15"/>
      <c r="N29" s="15"/>
      <c r="O29" s="18">
        <f t="shared" si="5"/>
        <v>0</v>
      </c>
      <c r="P29" s="18">
        <f t="shared" si="6"/>
        <v>0</v>
      </c>
      <c r="Q29" s="8">
        <f t="shared" si="7"/>
        <v>0</v>
      </c>
      <c r="R29" s="3"/>
      <c r="S29" s="3"/>
    </row>
    <row r="30" spans="1:20" s="4" customFormat="1" ht="23.25" customHeight="1" x14ac:dyDescent="0.5">
      <c r="A30" s="77">
        <v>21</v>
      </c>
      <c r="B30" s="78" t="s">
        <v>39</v>
      </c>
      <c r="C30" s="79" t="s">
        <v>40</v>
      </c>
      <c r="D30" s="92" t="s">
        <v>48</v>
      </c>
      <c r="E30" s="93" t="s">
        <v>42</v>
      </c>
      <c r="F30" s="93"/>
      <c r="G30" s="93" t="s">
        <v>43</v>
      </c>
      <c r="H30" s="93" t="s">
        <v>50</v>
      </c>
      <c r="I30" s="94"/>
      <c r="J30" s="202">
        <f t="shared" si="3"/>
        <v>0</v>
      </c>
      <c r="K30" s="94">
        <f t="shared" si="4"/>
        <v>0</v>
      </c>
      <c r="L30" s="98" t="s">
        <v>15</v>
      </c>
      <c r="M30" s="15"/>
      <c r="N30" s="15"/>
      <c r="O30" s="18">
        <f t="shared" si="5"/>
        <v>0</v>
      </c>
      <c r="P30" s="18">
        <f t="shared" si="6"/>
        <v>0</v>
      </c>
      <c r="Q30" s="8">
        <f t="shared" si="7"/>
        <v>0</v>
      </c>
      <c r="R30" s="3"/>
      <c r="S30" s="3"/>
    </row>
    <row r="31" spans="1:20" s="4" customFormat="1" ht="23.25" customHeight="1" x14ac:dyDescent="0.5">
      <c r="A31" s="77">
        <v>22</v>
      </c>
      <c r="B31" s="78" t="s">
        <v>39</v>
      </c>
      <c r="C31" s="79" t="s">
        <v>40</v>
      </c>
      <c r="D31" s="92" t="s">
        <v>51</v>
      </c>
      <c r="E31" s="93"/>
      <c r="F31" s="93"/>
      <c r="G31" s="93"/>
      <c r="H31" s="97"/>
      <c r="I31" s="99">
        <v>1</v>
      </c>
      <c r="J31" s="202">
        <f t="shared" si="3"/>
        <v>1</v>
      </c>
      <c r="K31" s="94">
        <f t="shared" si="4"/>
        <v>0</v>
      </c>
      <c r="L31" s="95" t="s">
        <v>52</v>
      </c>
      <c r="M31" s="17"/>
      <c r="N31" s="17"/>
      <c r="O31" s="18">
        <f t="shared" si="5"/>
        <v>0</v>
      </c>
      <c r="P31" s="18">
        <f t="shared" si="6"/>
        <v>0</v>
      </c>
      <c r="Q31" s="8">
        <f t="shared" si="7"/>
        <v>0</v>
      </c>
      <c r="R31" s="3"/>
      <c r="S31" s="3"/>
    </row>
    <row r="32" spans="1:20" ht="23.25" customHeight="1" x14ac:dyDescent="0.55000000000000004">
      <c r="A32" s="77">
        <v>23</v>
      </c>
      <c r="B32" s="78" t="s">
        <v>39</v>
      </c>
      <c r="C32" s="79" t="s">
        <v>53</v>
      </c>
      <c r="D32" s="85" t="s">
        <v>54</v>
      </c>
      <c r="E32" s="86"/>
      <c r="F32" s="86"/>
      <c r="G32" s="86"/>
      <c r="H32" s="87"/>
      <c r="I32" s="88"/>
      <c r="J32" s="201"/>
      <c r="K32" s="94">
        <f t="shared" si="4"/>
        <v>0</v>
      </c>
      <c r="L32" s="89"/>
      <c r="M32" s="171"/>
      <c r="N32" s="171"/>
      <c r="O32" s="90"/>
      <c r="P32" s="90"/>
      <c r="Q32" s="9"/>
    </row>
    <row r="33" spans="1:17" ht="23.25" customHeight="1" x14ac:dyDescent="0.5">
      <c r="A33" s="77">
        <v>24</v>
      </c>
      <c r="B33" s="78" t="s">
        <v>39</v>
      </c>
      <c r="C33" s="79" t="s">
        <v>53</v>
      </c>
      <c r="D33" s="92" t="s">
        <v>34</v>
      </c>
      <c r="E33" s="93" t="s">
        <v>55</v>
      </c>
      <c r="F33" s="93"/>
      <c r="G33" s="93" t="s">
        <v>56</v>
      </c>
      <c r="H33" s="97" t="s">
        <v>44</v>
      </c>
      <c r="I33" s="99"/>
      <c r="J33" s="202">
        <f t="shared" ref="J33:J62" si="8">I33</f>
        <v>0</v>
      </c>
      <c r="K33" s="94">
        <f t="shared" si="4"/>
        <v>0</v>
      </c>
      <c r="L33" s="95" t="s">
        <v>28</v>
      </c>
      <c r="M33" s="27"/>
      <c r="N33" s="27"/>
      <c r="O33" s="18">
        <f t="shared" ref="O33:O47" si="9">M33*J33</f>
        <v>0</v>
      </c>
      <c r="P33" s="18">
        <f t="shared" ref="P33:P47" si="10">N33*J33</f>
        <v>0</v>
      </c>
      <c r="Q33" s="8">
        <f t="shared" ref="Q33:Q47" si="11">(M33*J33)+(N33*J33)</f>
        <v>0</v>
      </c>
    </row>
    <row r="34" spans="1:17" ht="23.25" customHeight="1" x14ac:dyDescent="0.5">
      <c r="A34" s="77">
        <v>25</v>
      </c>
      <c r="B34" s="78" t="s">
        <v>39</v>
      </c>
      <c r="C34" s="79" t="s">
        <v>53</v>
      </c>
      <c r="D34" s="92" t="s">
        <v>46</v>
      </c>
      <c r="E34" s="93" t="s">
        <v>55</v>
      </c>
      <c r="F34" s="93"/>
      <c r="G34" s="93" t="s">
        <v>56</v>
      </c>
      <c r="H34" s="97" t="s">
        <v>44</v>
      </c>
      <c r="I34" s="99"/>
      <c r="J34" s="202">
        <f t="shared" si="8"/>
        <v>0</v>
      </c>
      <c r="K34" s="94">
        <f t="shared" si="4"/>
        <v>0</v>
      </c>
      <c r="L34" s="95" t="s">
        <v>31</v>
      </c>
      <c r="M34" s="27"/>
      <c r="N34" s="27"/>
      <c r="O34" s="18">
        <f t="shared" si="9"/>
        <v>0</v>
      </c>
      <c r="P34" s="18">
        <f t="shared" si="10"/>
        <v>0</v>
      </c>
      <c r="Q34" s="8">
        <f t="shared" si="11"/>
        <v>0</v>
      </c>
    </row>
    <row r="35" spans="1:17" ht="23.25" customHeight="1" x14ac:dyDescent="0.5">
      <c r="A35" s="77">
        <v>26</v>
      </c>
      <c r="B35" s="78" t="s">
        <v>39</v>
      </c>
      <c r="C35" s="79" t="s">
        <v>53</v>
      </c>
      <c r="D35" s="92" t="s">
        <v>47</v>
      </c>
      <c r="E35" s="93" t="s">
        <v>55</v>
      </c>
      <c r="F35" s="93"/>
      <c r="G35" s="93" t="s">
        <v>56</v>
      </c>
      <c r="H35" s="97" t="s">
        <v>44</v>
      </c>
      <c r="I35" s="99"/>
      <c r="J35" s="202">
        <f t="shared" si="8"/>
        <v>0</v>
      </c>
      <c r="K35" s="94">
        <f t="shared" si="4"/>
        <v>0</v>
      </c>
      <c r="L35" s="95" t="s">
        <v>31</v>
      </c>
      <c r="M35" s="27"/>
      <c r="N35" s="27"/>
      <c r="O35" s="18">
        <f t="shared" si="9"/>
        <v>0</v>
      </c>
      <c r="P35" s="18">
        <f t="shared" si="10"/>
        <v>0</v>
      </c>
      <c r="Q35" s="8">
        <f t="shared" si="11"/>
        <v>0</v>
      </c>
    </row>
    <row r="36" spans="1:17" ht="23.25" customHeight="1" x14ac:dyDescent="0.5">
      <c r="A36" s="77">
        <v>27</v>
      </c>
      <c r="B36" s="78" t="s">
        <v>39</v>
      </c>
      <c r="C36" s="79" t="s">
        <v>53</v>
      </c>
      <c r="D36" s="92" t="s">
        <v>48</v>
      </c>
      <c r="E36" s="93" t="s">
        <v>55</v>
      </c>
      <c r="F36" s="93"/>
      <c r="G36" s="93" t="s">
        <v>56</v>
      </c>
      <c r="H36" s="97" t="s">
        <v>44</v>
      </c>
      <c r="I36" s="99"/>
      <c r="J36" s="202">
        <f t="shared" si="8"/>
        <v>0</v>
      </c>
      <c r="K36" s="94">
        <f t="shared" si="4"/>
        <v>0</v>
      </c>
      <c r="L36" s="95" t="s">
        <v>31</v>
      </c>
      <c r="M36" s="27"/>
      <c r="N36" s="27"/>
      <c r="O36" s="18">
        <f t="shared" si="9"/>
        <v>0</v>
      </c>
      <c r="P36" s="18">
        <f t="shared" si="10"/>
        <v>0</v>
      </c>
      <c r="Q36" s="8">
        <f t="shared" si="11"/>
        <v>0</v>
      </c>
    </row>
    <row r="37" spans="1:17" ht="23.25" customHeight="1" x14ac:dyDescent="0.5">
      <c r="A37" s="77">
        <v>28</v>
      </c>
      <c r="B37" s="78" t="s">
        <v>39</v>
      </c>
      <c r="C37" s="79" t="s">
        <v>53</v>
      </c>
      <c r="D37" s="92" t="s">
        <v>34</v>
      </c>
      <c r="E37" s="93" t="s">
        <v>55</v>
      </c>
      <c r="F37" s="93"/>
      <c r="G37" s="93" t="s">
        <v>56</v>
      </c>
      <c r="H37" s="93" t="s">
        <v>49</v>
      </c>
      <c r="I37" s="99">
        <v>4.0999999999999996</v>
      </c>
      <c r="J37" s="202">
        <v>3.6</v>
      </c>
      <c r="K37" s="94">
        <f t="shared" si="4"/>
        <v>-0.49999999999999956</v>
      </c>
      <c r="L37" s="95" t="s">
        <v>28</v>
      </c>
      <c r="M37" s="27"/>
      <c r="N37" s="27"/>
      <c r="O37" s="18">
        <f t="shared" si="9"/>
        <v>0</v>
      </c>
      <c r="P37" s="18">
        <f t="shared" si="10"/>
        <v>0</v>
      </c>
      <c r="Q37" s="8">
        <f t="shared" si="11"/>
        <v>0</v>
      </c>
    </row>
    <row r="38" spans="1:17" ht="23.25" customHeight="1" x14ac:dyDescent="0.5">
      <c r="A38" s="77">
        <v>29</v>
      </c>
      <c r="B38" s="78" t="s">
        <v>39</v>
      </c>
      <c r="C38" s="79" t="s">
        <v>53</v>
      </c>
      <c r="D38" s="92" t="s">
        <v>46</v>
      </c>
      <c r="E38" s="93" t="s">
        <v>55</v>
      </c>
      <c r="F38" s="93"/>
      <c r="G38" s="93" t="s">
        <v>56</v>
      </c>
      <c r="H38" s="93" t="s">
        <v>49</v>
      </c>
      <c r="I38" s="99"/>
      <c r="J38" s="202">
        <v>5</v>
      </c>
      <c r="K38" s="94">
        <f t="shared" si="4"/>
        <v>5</v>
      </c>
      <c r="L38" s="95" t="s">
        <v>31</v>
      </c>
      <c r="M38" s="27"/>
      <c r="N38" s="27"/>
      <c r="O38" s="18">
        <f t="shared" si="9"/>
        <v>0</v>
      </c>
      <c r="P38" s="18">
        <f t="shared" si="10"/>
        <v>0</v>
      </c>
      <c r="Q38" s="8">
        <f t="shared" si="11"/>
        <v>0</v>
      </c>
    </row>
    <row r="39" spans="1:17" ht="23.25" customHeight="1" x14ac:dyDescent="0.5">
      <c r="A39" s="77">
        <v>30</v>
      </c>
      <c r="B39" s="78" t="s">
        <v>39</v>
      </c>
      <c r="C39" s="79" t="s">
        <v>53</v>
      </c>
      <c r="D39" s="92" t="s">
        <v>47</v>
      </c>
      <c r="E39" s="93" t="s">
        <v>55</v>
      </c>
      <c r="F39" s="93"/>
      <c r="G39" s="93" t="s">
        <v>56</v>
      </c>
      <c r="H39" s="93" t="s">
        <v>49</v>
      </c>
      <c r="I39" s="99">
        <v>1</v>
      </c>
      <c r="J39" s="202">
        <f t="shared" si="8"/>
        <v>1</v>
      </c>
      <c r="K39" s="94">
        <f t="shared" si="4"/>
        <v>0</v>
      </c>
      <c r="L39" s="95" t="s">
        <v>31</v>
      </c>
      <c r="M39" s="27"/>
      <c r="N39" s="27"/>
      <c r="O39" s="18">
        <f t="shared" si="9"/>
        <v>0</v>
      </c>
      <c r="P39" s="18">
        <f t="shared" si="10"/>
        <v>0</v>
      </c>
      <c r="Q39" s="8">
        <f t="shared" si="11"/>
        <v>0</v>
      </c>
    </row>
    <row r="40" spans="1:17" ht="23.25" customHeight="1" x14ac:dyDescent="0.5">
      <c r="A40" s="77">
        <v>31</v>
      </c>
      <c r="B40" s="78" t="s">
        <v>39</v>
      </c>
      <c r="C40" s="79" t="s">
        <v>53</v>
      </c>
      <c r="D40" s="92" t="s">
        <v>48</v>
      </c>
      <c r="E40" s="93" t="s">
        <v>55</v>
      </c>
      <c r="F40" s="93"/>
      <c r="G40" s="93" t="s">
        <v>56</v>
      </c>
      <c r="H40" s="93" t="s">
        <v>49</v>
      </c>
      <c r="I40" s="99">
        <v>1</v>
      </c>
      <c r="J40" s="202">
        <f t="shared" si="8"/>
        <v>1</v>
      </c>
      <c r="K40" s="94">
        <f t="shared" si="4"/>
        <v>0</v>
      </c>
      <c r="L40" s="95" t="s">
        <v>31</v>
      </c>
      <c r="M40" s="27"/>
      <c r="N40" s="27"/>
      <c r="O40" s="18">
        <f t="shared" si="9"/>
        <v>0</v>
      </c>
      <c r="P40" s="18">
        <f t="shared" si="10"/>
        <v>0</v>
      </c>
      <c r="Q40" s="8">
        <f t="shared" si="11"/>
        <v>0</v>
      </c>
    </row>
    <row r="41" spans="1:17" ht="23.25" customHeight="1" x14ac:dyDescent="0.5">
      <c r="A41" s="77">
        <v>32</v>
      </c>
      <c r="B41" s="78" t="s">
        <v>39</v>
      </c>
      <c r="C41" s="79" t="s">
        <v>53</v>
      </c>
      <c r="D41" s="92" t="s">
        <v>34</v>
      </c>
      <c r="E41" s="93" t="s">
        <v>55</v>
      </c>
      <c r="F41" s="93"/>
      <c r="G41" s="93" t="s">
        <v>56</v>
      </c>
      <c r="H41" s="97" t="s">
        <v>50</v>
      </c>
      <c r="I41" s="99"/>
      <c r="J41" s="202">
        <f t="shared" si="8"/>
        <v>0</v>
      </c>
      <c r="K41" s="94">
        <f t="shared" si="4"/>
        <v>0</v>
      </c>
      <c r="L41" s="95" t="s">
        <v>45</v>
      </c>
      <c r="M41" s="27"/>
      <c r="N41" s="27"/>
      <c r="O41" s="18">
        <f t="shared" si="9"/>
        <v>0</v>
      </c>
      <c r="P41" s="18">
        <f t="shared" si="10"/>
        <v>0</v>
      </c>
      <c r="Q41" s="8">
        <f t="shared" si="11"/>
        <v>0</v>
      </c>
    </row>
    <row r="42" spans="1:17" ht="23.25" customHeight="1" x14ac:dyDescent="0.5">
      <c r="A42" s="77">
        <v>33</v>
      </c>
      <c r="B42" s="78" t="s">
        <v>39</v>
      </c>
      <c r="C42" s="79" t="s">
        <v>53</v>
      </c>
      <c r="D42" s="92" t="s">
        <v>57</v>
      </c>
      <c r="E42" s="93" t="s">
        <v>55</v>
      </c>
      <c r="F42" s="93"/>
      <c r="G42" s="93" t="s">
        <v>56</v>
      </c>
      <c r="H42" s="97" t="s">
        <v>50</v>
      </c>
      <c r="I42" s="99"/>
      <c r="J42" s="202">
        <f t="shared" si="8"/>
        <v>0</v>
      </c>
      <c r="K42" s="94">
        <f t="shared" si="4"/>
        <v>0</v>
      </c>
      <c r="L42" s="95" t="s">
        <v>15</v>
      </c>
      <c r="M42" s="27"/>
      <c r="N42" s="27"/>
      <c r="O42" s="18">
        <f t="shared" si="9"/>
        <v>0</v>
      </c>
      <c r="P42" s="18">
        <f t="shared" si="10"/>
        <v>0</v>
      </c>
      <c r="Q42" s="8">
        <f t="shared" si="11"/>
        <v>0</v>
      </c>
    </row>
    <row r="43" spans="1:17" ht="23.25" customHeight="1" x14ac:dyDescent="0.5">
      <c r="A43" s="77">
        <v>34</v>
      </c>
      <c r="B43" s="78" t="s">
        <v>39</v>
      </c>
      <c r="C43" s="79" t="s">
        <v>53</v>
      </c>
      <c r="D43" s="92" t="s">
        <v>47</v>
      </c>
      <c r="E43" s="93" t="s">
        <v>55</v>
      </c>
      <c r="F43" s="93"/>
      <c r="G43" s="93" t="s">
        <v>56</v>
      </c>
      <c r="H43" s="97" t="s">
        <v>50</v>
      </c>
      <c r="I43" s="99"/>
      <c r="J43" s="202">
        <f t="shared" si="8"/>
        <v>0</v>
      </c>
      <c r="K43" s="94">
        <f t="shared" si="4"/>
        <v>0</v>
      </c>
      <c r="L43" s="95" t="s">
        <v>15</v>
      </c>
      <c r="M43" s="27"/>
      <c r="N43" s="27"/>
      <c r="O43" s="18">
        <f t="shared" si="9"/>
        <v>0</v>
      </c>
      <c r="P43" s="18">
        <f t="shared" si="10"/>
        <v>0</v>
      </c>
      <c r="Q43" s="8">
        <f t="shared" si="11"/>
        <v>0</v>
      </c>
    </row>
    <row r="44" spans="1:17" ht="23.25" customHeight="1" x14ac:dyDescent="0.5">
      <c r="A44" s="77">
        <v>35</v>
      </c>
      <c r="B44" s="78" t="s">
        <v>39</v>
      </c>
      <c r="C44" s="79" t="s">
        <v>53</v>
      </c>
      <c r="D44" s="92" t="s">
        <v>48</v>
      </c>
      <c r="E44" s="93" t="s">
        <v>55</v>
      </c>
      <c r="F44" s="93"/>
      <c r="G44" s="93" t="s">
        <v>56</v>
      </c>
      <c r="H44" s="97" t="s">
        <v>50</v>
      </c>
      <c r="I44" s="99"/>
      <c r="J44" s="202">
        <f t="shared" si="8"/>
        <v>0</v>
      </c>
      <c r="K44" s="94">
        <f t="shared" si="4"/>
        <v>0</v>
      </c>
      <c r="L44" s="95" t="s">
        <v>15</v>
      </c>
      <c r="M44" s="27"/>
      <c r="N44" s="27"/>
      <c r="O44" s="18">
        <f t="shared" si="9"/>
        <v>0</v>
      </c>
      <c r="P44" s="18">
        <f t="shared" si="10"/>
        <v>0</v>
      </c>
      <c r="Q44" s="8">
        <f t="shared" si="11"/>
        <v>0</v>
      </c>
    </row>
    <row r="45" spans="1:17" ht="23.25" customHeight="1" x14ac:dyDescent="0.5">
      <c r="A45" s="77">
        <v>36</v>
      </c>
      <c r="B45" s="78" t="s">
        <v>39</v>
      </c>
      <c r="C45" s="79" t="s">
        <v>53</v>
      </c>
      <c r="D45" s="92" t="s">
        <v>34</v>
      </c>
      <c r="E45" s="93" t="s">
        <v>35</v>
      </c>
      <c r="F45" s="93"/>
      <c r="G45" s="93" t="s">
        <v>36</v>
      </c>
      <c r="H45" s="93" t="s">
        <v>37</v>
      </c>
      <c r="I45" s="99">
        <v>12</v>
      </c>
      <c r="J45" s="202">
        <v>4</v>
      </c>
      <c r="K45" s="94">
        <f t="shared" si="4"/>
        <v>-8</v>
      </c>
      <c r="L45" s="95" t="s">
        <v>28</v>
      </c>
      <c r="M45" s="27"/>
      <c r="N45" s="27"/>
      <c r="O45" s="18">
        <f t="shared" si="9"/>
        <v>0</v>
      </c>
      <c r="P45" s="18">
        <f t="shared" si="10"/>
        <v>0</v>
      </c>
      <c r="Q45" s="8">
        <f t="shared" si="11"/>
        <v>0</v>
      </c>
    </row>
    <row r="46" spans="1:17" ht="23.25" customHeight="1" x14ac:dyDescent="0.5">
      <c r="A46" s="77">
        <v>37</v>
      </c>
      <c r="B46" s="78" t="s">
        <v>39</v>
      </c>
      <c r="C46" s="79" t="s">
        <v>53</v>
      </c>
      <c r="D46" s="92" t="s">
        <v>58</v>
      </c>
      <c r="E46" s="93"/>
      <c r="F46" s="93"/>
      <c r="G46" s="93"/>
      <c r="H46" s="93" t="s">
        <v>59</v>
      </c>
      <c r="I46" s="99"/>
      <c r="J46" s="202">
        <f t="shared" si="8"/>
        <v>0</v>
      </c>
      <c r="K46" s="94">
        <f t="shared" si="4"/>
        <v>0</v>
      </c>
      <c r="L46" s="95" t="s">
        <v>15</v>
      </c>
      <c r="M46" s="27"/>
      <c r="N46" s="27"/>
      <c r="O46" s="18">
        <f t="shared" si="9"/>
        <v>0</v>
      </c>
      <c r="P46" s="18">
        <f t="shared" si="10"/>
        <v>0</v>
      </c>
      <c r="Q46" s="8">
        <f t="shared" si="11"/>
        <v>0</v>
      </c>
    </row>
    <row r="47" spans="1:17" ht="23.25" customHeight="1" x14ac:dyDescent="0.5">
      <c r="A47" s="77">
        <v>38</v>
      </c>
      <c r="B47" s="78" t="s">
        <v>39</v>
      </c>
      <c r="C47" s="79" t="s">
        <v>53</v>
      </c>
      <c r="D47" s="92" t="s">
        <v>60</v>
      </c>
      <c r="E47" s="93"/>
      <c r="F47" s="93"/>
      <c r="G47" s="93"/>
      <c r="H47" s="97"/>
      <c r="I47" s="99">
        <v>1</v>
      </c>
      <c r="J47" s="202">
        <f t="shared" si="8"/>
        <v>1</v>
      </c>
      <c r="K47" s="94">
        <f t="shared" si="4"/>
        <v>0</v>
      </c>
      <c r="L47" s="95" t="s">
        <v>52</v>
      </c>
      <c r="M47" s="17"/>
      <c r="N47" s="17"/>
      <c r="O47" s="18">
        <f t="shared" si="9"/>
        <v>0</v>
      </c>
      <c r="P47" s="18">
        <f t="shared" si="10"/>
        <v>0</v>
      </c>
      <c r="Q47" s="8">
        <f t="shared" si="11"/>
        <v>0</v>
      </c>
    </row>
    <row r="48" spans="1:17" ht="23.25" customHeight="1" x14ac:dyDescent="0.55000000000000004">
      <c r="A48" s="77">
        <v>39</v>
      </c>
      <c r="B48" s="78" t="s">
        <v>39</v>
      </c>
      <c r="C48" s="79" t="s">
        <v>61</v>
      </c>
      <c r="D48" s="85" t="s">
        <v>61</v>
      </c>
      <c r="E48" s="86"/>
      <c r="F48" s="86"/>
      <c r="G48" s="86"/>
      <c r="H48" s="87"/>
      <c r="I48" s="88"/>
      <c r="J48" s="201"/>
      <c r="K48" s="94">
        <f t="shared" si="4"/>
        <v>0</v>
      </c>
      <c r="L48" s="89"/>
      <c r="M48" s="87"/>
      <c r="N48" s="87"/>
      <c r="O48" s="90"/>
      <c r="P48" s="90"/>
      <c r="Q48" s="9"/>
    </row>
    <row r="49" spans="1:17" ht="23.25" customHeight="1" x14ac:dyDescent="0.5">
      <c r="A49" s="77">
        <v>40</v>
      </c>
      <c r="B49" s="78" t="s">
        <v>39</v>
      </c>
      <c r="C49" s="79" t="s">
        <v>61</v>
      </c>
      <c r="D49" s="92" t="s">
        <v>34</v>
      </c>
      <c r="E49" s="93" t="s">
        <v>62</v>
      </c>
      <c r="F49" s="93"/>
      <c r="G49" s="93" t="s">
        <v>63</v>
      </c>
      <c r="H49" s="97" t="s">
        <v>44</v>
      </c>
      <c r="I49" s="99">
        <v>3.1999999999999997</v>
      </c>
      <c r="J49" s="202">
        <v>3.9</v>
      </c>
      <c r="K49" s="94">
        <f t="shared" si="4"/>
        <v>0.70000000000000018</v>
      </c>
      <c r="L49" s="95" t="s">
        <v>28</v>
      </c>
      <c r="M49" s="27"/>
      <c r="N49" s="27"/>
      <c r="O49" s="18">
        <f t="shared" ref="O49:O62" si="12">M49*J49</f>
        <v>0</v>
      </c>
      <c r="P49" s="18">
        <f t="shared" ref="P49:P62" si="13">N49*J49</f>
        <v>0</v>
      </c>
      <c r="Q49" s="8">
        <f t="shared" ref="Q49:Q62" si="14">(M49*J49)+(N49*J49)</f>
        <v>0</v>
      </c>
    </row>
    <row r="50" spans="1:17" ht="23.25" customHeight="1" x14ac:dyDescent="0.5">
      <c r="A50" s="77">
        <v>41</v>
      </c>
      <c r="B50" s="78" t="s">
        <v>39</v>
      </c>
      <c r="C50" s="79" t="s">
        <v>61</v>
      </c>
      <c r="D50" s="92" t="s">
        <v>46</v>
      </c>
      <c r="E50" s="93" t="s">
        <v>62</v>
      </c>
      <c r="F50" s="93"/>
      <c r="G50" s="93" t="s">
        <v>63</v>
      </c>
      <c r="H50" s="97" t="s">
        <v>44</v>
      </c>
      <c r="I50" s="99"/>
      <c r="J50" s="202">
        <v>3</v>
      </c>
      <c r="K50" s="94">
        <f t="shared" si="4"/>
        <v>3</v>
      </c>
      <c r="L50" s="95" t="s">
        <v>31</v>
      </c>
      <c r="M50" s="27"/>
      <c r="N50" s="27"/>
      <c r="O50" s="18">
        <f t="shared" si="12"/>
        <v>0</v>
      </c>
      <c r="P50" s="18">
        <f t="shared" si="13"/>
        <v>0</v>
      </c>
      <c r="Q50" s="8">
        <f t="shared" si="14"/>
        <v>0</v>
      </c>
    </row>
    <row r="51" spans="1:17" ht="23.25" customHeight="1" x14ac:dyDescent="0.5">
      <c r="A51" s="77">
        <v>42</v>
      </c>
      <c r="B51" s="78" t="s">
        <v>39</v>
      </c>
      <c r="C51" s="79" t="s">
        <v>61</v>
      </c>
      <c r="D51" s="92" t="s">
        <v>47</v>
      </c>
      <c r="E51" s="93" t="s">
        <v>62</v>
      </c>
      <c r="F51" s="93"/>
      <c r="G51" s="93" t="s">
        <v>63</v>
      </c>
      <c r="H51" s="97" t="s">
        <v>44</v>
      </c>
      <c r="I51" s="99">
        <v>2</v>
      </c>
      <c r="J51" s="202">
        <f t="shared" si="8"/>
        <v>2</v>
      </c>
      <c r="K51" s="94">
        <f t="shared" si="4"/>
        <v>0</v>
      </c>
      <c r="L51" s="95" t="s">
        <v>31</v>
      </c>
      <c r="M51" s="27"/>
      <c r="N51" s="27"/>
      <c r="O51" s="18">
        <f t="shared" si="12"/>
        <v>0</v>
      </c>
      <c r="P51" s="18">
        <f t="shared" si="13"/>
        <v>0</v>
      </c>
      <c r="Q51" s="8">
        <f t="shared" si="14"/>
        <v>0</v>
      </c>
    </row>
    <row r="52" spans="1:17" ht="23.25" customHeight="1" x14ac:dyDescent="0.5">
      <c r="A52" s="77">
        <v>43</v>
      </c>
      <c r="B52" s="78" t="s">
        <v>39</v>
      </c>
      <c r="C52" s="79" t="s">
        <v>61</v>
      </c>
      <c r="D52" s="92" t="s">
        <v>48</v>
      </c>
      <c r="E52" s="93" t="s">
        <v>62</v>
      </c>
      <c r="F52" s="93"/>
      <c r="G52" s="93" t="s">
        <v>63</v>
      </c>
      <c r="H52" s="97" t="s">
        <v>44</v>
      </c>
      <c r="I52" s="99">
        <v>2</v>
      </c>
      <c r="J52" s="202">
        <f t="shared" si="8"/>
        <v>2</v>
      </c>
      <c r="K52" s="94">
        <f t="shared" si="4"/>
        <v>0</v>
      </c>
      <c r="L52" s="95" t="s">
        <v>31</v>
      </c>
      <c r="M52" s="27"/>
      <c r="N52" s="27"/>
      <c r="O52" s="18">
        <f t="shared" si="12"/>
        <v>0</v>
      </c>
      <c r="P52" s="18">
        <f t="shared" si="13"/>
        <v>0</v>
      </c>
      <c r="Q52" s="8">
        <f t="shared" si="14"/>
        <v>0</v>
      </c>
    </row>
    <row r="53" spans="1:17" ht="23.25" customHeight="1" x14ac:dyDescent="0.5">
      <c r="A53" s="77">
        <v>44</v>
      </c>
      <c r="B53" s="78" t="s">
        <v>39</v>
      </c>
      <c r="C53" s="79" t="s">
        <v>61</v>
      </c>
      <c r="D53" s="92" t="s">
        <v>34</v>
      </c>
      <c r="E53" s="93" t="s">
        <v>62</v>
      </c>
      <c r="F53" s="93"/>
      <c r="G53" s="93" t="s">
        <v>63</v>
      </c>
      <c r="H53" s="93" t="s">
        <v>49</v>
      </c>
      <c r="I53" s="99"/>
      <c r="J53" s="202">
        <f t="shared" si="8"/>
        <v>0</v>
      </c>
      <c r="K53" s="94">
        <f t="shared" si="4"/>
        <v>0</v>
      </c>
      <c r="L53" s="95" t="s">
        <v>28</v>
      </c>
      <c r="M53" s="27"/>
      <c r="N53" s="27"/>
      <c r="O53" s="18">
        <f t="shared" si="12"/>
        <v>0</v>
      </c>
      <c r="P53" s="18">
        <f t="shared" si="13"/>
        <v>0</v>
      </c>
      <c r="Q53" s="8">
        <f t="shared" si="14"/>
        <v>0</v>
      </c>
    </row>
    <row r="54" spans="1:17" ht="23.25" customHeight="1" x14ac:dyDescent="0.5">
      <c r="A54" s="77">
        <v>45</v>
      </c>
      <c r="B54" s="78" t="s">
        <v>39</v>
      </c>
      <c r="C54" s="79" t="s">
        <v>61</v>
      </c>
      <c r="D54" s="92" t="s">
        <v>46</v>
      </c>
      <c r="E54" s="93" t="s">
        <v>62</v>
      </c>
      <c r="F54" s="93"/>
      <c r="G54" s="93" t="s">
        <v>63</v>
      </c>
      <c r="H54" s="93" t="s">
        <v>49</v>
      </c>
      <c r="I54" s="99"/>
      <c r="J54" s="202">
        <f t="shared" si="8"/>
        <v>0</v>
      </c>
      <c r="K54" s="94">
        <f t="shared" si="4"/>
        <v>0</v>
      </c>
      <c r="L54" s="95" t="s">
        <v>31</v>
      </c>
      <c r="M54" s="27"/>
      <c r="N54" s="27"/>
      <c r="O54" s="18">
        <f t="shared" si="12"/>
        <v>0</v>
      </c>
      <c r="P54" s="18">
        <f t="shared" si="13"/>
        <v>0</v>
      </c>
      <c r="Q54" s="8">
        <f t="shared" si="14"/>
        <v>0</v>
      </c>
    </row>
    <row r="55" spans="1:17" ht="23.25" customHeight="1" x14ac:dyDescent="0.5">
      <c r="A55" s="77">
        <v>46</v>
      </c>
      <c r="B55" s="78" t="s">
        <v>39</v>
      </c>
      <c r="C55" s="79" t="s">
        <v>61</v>
      </c>
      <c r="D55" s="92" t="s">
        <v>47</v>
      </c>
      <c r="E55" s="93" t="s">
        <v>62</v>
      </c>
      <c r="F55" s="93"/>
      <c r="G55" s="93" t="s">
        <v>63</v>
      </c>
      <c r="H55" s="93" t="s">
        <v>49</v>
      </c>
      <c r="I55" s="99"/>
      <c r="J55" s="202">
        <f t="shared" si="8"/>
        <v>0</v>
      </c>
      <c r="K55" s="94">
        <f t="shared" si="4"/>
        <v>0</v>
      </c>
      <c r="L55" s="95" t="s">
        <v>31</v>
      </c>
      <c r="M55" s="27"/>
      <c r="N55" s="27"/>
      <c r="O55" s="18">
        <f t="shared" si="12"/>
        <v>0</v>
      </c>
      <c r="P55" s="18">
        <f t="shared" si="13"/>
        <v>0</v>
      </c>
      <c r="Q55" s="8">
        <f t="shared" si="14"/>
        <v>0</v>
      </c>
    </row>
    <row r="56" spans="1:17" ht="23.25" customHeight="1" x14ac:dyDescent="0.5">
      <c r="A56" s="77">
        <v>47</v>
      </c>
      <c r="B56" s="78" t="s">
        <v>39</v>
      </c>
      <c r="C56" s="79" t="s">
        <v>61</v>
      </c>
      <c r="D56" s="92" t="s">
        <v>48</v>
      </c>
      <c r="E56" s="93" t="s">
        <v>62</v>
      </c>
      <c r="F56" s="93"/>
      <c r="G56" s="93" t="s">
        <v>63</v>
      </c>
      <c r="H56" s="93" t="s">
        <v>49</v>
      </c>
      <c r="I56" s="99"/>
      <c r="J56" s="202">
        <f t="shared" si="8"/>
        <v>0</v>
      </c>
      <c r="K56" s="94">
        <f t="shared" si="4"/>
        <v>0</v>
      </c>
      <c r="L56" s="95" t="s">
        <v>31</v>
      </c>
      <c r="M56" s="27"/>
      <c r="N56" s="27"/>
      <c r="O56" s="18">
        <f t="shared" si="12"/>
        <v>0</v>
      </c>
      <c r="P56" s="18">
        <f t="shared" si="13"/>
        <v>0</v>
      </c>
      <c r="Q56" s="8">
        <f t="shared" si="14"/>
        <v>0</v>
      </c>
    </row>
    <row r="57" spans="1:17" ht="23.25" customHeight="1" x14ac:dyDescent="0.5">
      <c r="A57" s="77">
        <v>48</v>
      </c>
      <c r="B57" s="78" t="s">
        <v>39</v>
      </c>
      <c r="C57" s="79" t="s">
        <v>61</v>
      </c>
      <c r="D57" s="92" t="s">
        <v>34</v>
      </c>
      <c r="E57" s="93" t="s">
        <v>62</v>
      </c>
      <c r="F57" s="93"/>
      <c r="G57" s="93" t="s">
        <v>63</v>
      </c>
      <c r="H57" s="97" t="s">
        <v>50</v>
      </c>
      <c r="I57" s="99"/>
      <c r="J57" s="202">
        <f t="shared" si="8"/>
        <v>0</v>
      </c>
      <c r="K57" s="94">
        <f t="shared" si="4"/>
        <v>0</v>
      </c>
      <c r="L57" s="95" t="s">
        <v>45</v>
      </c>
      <c r="M57" s="27"/>
      <c r="N57" s="27"/>
      <c r="O57" s="18">
        <f t="shared" si="12"/>
        <v>0</v>
      </c>
      <c r="P57" s="18">
        <f t="shared" si="13"/>
        <v>0</v>
      </c>
      <c r="Q57" s="8">
        <f t="shared" si="14"/>
        <v>0</v>
      </c>
    </row>
    <row r="58" spans="1:17" ht="23.25" customHeight="1" x14ac:dyDescent="0.5">
      <c r="A58" s="77">
        <v>49</v>
      </c>
      <c r="B58" s="78" t="s">
        <v>39</v>
      </c>
      <c r="C58" s="79" t="s">
        <v>61</v>
      </c>
      <c r="D58" s="92" t="s">
        <v>57</v>
      </c>
      <c r="E58" s="93" t="s">
        <v>62</v>
      </c>
      <c r="F58" s="93"/>
      <c r="G58" s="93" t="s">
        <v>63</v>
      </c>
      <c r="H58" s="97" t="s">
        <v>50</v>
      </c>
      <c r="I58" s="99"/>
      <c r="J58" s="202">
        <f t="shared" si="8"/>
        <v>0</v>
      </c>
      <c r="K58" s="94">
        <f t="shared" si="4"/>
        <v>0</v>
      </c>
      <c r="L58" s="95" t="s">
        <v>15</v>
      </c>
      <c r="M58" s="27"/>
      <c r="N58" s="27"/>
      <c r="O58" s="18">
        <f t="shared" si="12"/>
        <v>0</v>
      </c>
      <c r="P58" s="18">
        <f t="shared" si="13"/>
        <v>0</v>
      </c>
      <c r="Q58" s="8">
        <f t="shared" si="14"/>
        <v>0</v>
      </c>
    </row>
    <row r="59" spans="1:17" ht="23.25" customHeight="1" x14ac:dyDescent="0.5">
      <c r="A59" s="77">
        <v>50</v>
      </c>
      <c r="B59" s="78" t="s">
        <v>39</v>
      </c>
      <c r="C59" s="79" t="s">
        <v>61</v>
      </c>
      <c r="D59" s="92" t="s">
        <v>47</v>
      </c>
      <c r="E59" s="93" t="s">
        <v>62</v>
      </c>
      <c r="F59" s="93"/>
      <c r="G59" s="93" t="s">
        <v>63</v>
      </c>
      <c r="H59" s="97" t="s">
        <v>50</v>
      </c>
      <c r="I59" s="99"/>
      <c r="J59" s="202">
        <f t="shared" si="8"/>
        <v>0</v>
      </c>
      <c r="K59" s="94">
        <f t="shared" si="4"/>
        <v>0</v>
      </c>
      <c r="L59" s="95" t="s">
        <v>15</v>
      </c>
      <c r="M59" s="27"/>
      <c r="N59" s="27"/>
      <c r="O59" s="18">
        <f t="shared" si="12"/>
        <v>0</v>
      </c>
      <c r="P59" s="18">
        <f t="shared" si="13"/>
        <v>0</v>
      </c>
      <c r="Q59" s="8">
        <f t="shared" si="14"/>
        <v>0</v>
      </c>
    </row>
    <row r="60" spans="1:17" ht="23.25" customHeight="1" x14ac:dyDescent="0.5">
      <c r="A60" s="77">
        <v>51</v>
      </c>
      <c r="B60" s="78" t="s">
        <v>39</v>
      </c>
      <c r="C60" s="79" t="s">
        <v>61</v>
      </c>
      <c r="D60" s="92" t="s">
        <v>48</v>
      </c>
      <c r="E60" s="93" t="s">
        <v>62</v>
      </c>
      <c r="F60" s="93"/>
      <c r="G60" s="93" t="s">
        <v>63</v>
      </c>
      <c r="H60" s="97" t="s">
        <v>50</v>
      </c>
      <c r="I60" s="99"/>
      <c r="J60" s="202">
        <f t="shared" si="8"/>
        <v>0</v>
      </c>
      <c r="K60" s="94">
        <f t="shared" si="4"/>
        <v>0</v>
      </c>
      <c r="L60" s="95" t="s">
        <v>15</v>
      </c>
      <c r="M60" s="27"/>
      <c r="N60" s="27"/>
      <c r="O60" s="18">
        <f t="shared" si="12"/>
        <v>0</v>
      </c>
      <c r="P60" s="18">
        <f t="shared" si="13"/>
        <v>0</v>
      </c>
      <c r="Q60" s="8">
        <f t="shared" si="14"/>
        <v>0</v>
      </c>
    </row>
    <row r="61" spans="1:17" ht="23.25" customHeight="1" x14ac:dyDescent="0.5">
      <c r="A61" s="77">
        <v>52</v>
      </c>
      <c r="B61" s="78" t="s">
        <v>39</v>
      </c>
      <c r="C61" s="79" t="s">
        <v>61</v>
      </c>
      <c r="D61" s="92" t="s">
        <v>34</v>
      </c>
      <c r="E61" s="93" t="s">
        <v>35</v>
      </c>
      <c r="F61" s="93"/>
      <c r="G61" s="93" t="s">
        <v>36</v>
      </c>
      <c r="H61" s="93" t="s">
        <v>37</v>
      </c>
      <c r="I61" s="99">
        <v>5</v>
      </c>
      <c r="J61" s="202">
        <f t="shared" si="8"/>
        <v>5</v>
      </c>
      <c r="K61" s="94">
        <f t="shared" si="4"/>
        <v>0</v>
      </c>
      <c r="L61" s="95" t="s">
        <v>28</v>
      </c>
      <c r="M61" s="27"/>
      <c r="N61" s="27"/>
      <c r="O61" s="18">
        <f t="shared" si="12"/>
        <v>0</v>
      </c>
      <c r="P61" s="18">
        <f t="shared" si="13"/>
        <v>0</v>
      </c>
      <c r="Q61" s="8">
        <f t="shared" si="14"/>
        <v>0</v>
      </c>
    </row>
    <row r="62" spans="1:17" ht="23.25" customHeight="1" x14ac:dyDescent="0.5">
      <c r="A62" s="77">
        <v>53</v>
      </c>
      <c r="B62" s="78" t="s">
        <v>39</v>
      </c>
      <c r="C62" s="79" t="s">
        <v>61</v>
      </c>
      <c r="D62" s="92" t="s">
        <v>60</v>
      </c>
      <c r="E62" s="93"/>
      <c r="F62" s="93"/>
      <c r="G62" s="93"/>
      <c r="H62" s="97"/>
      <c r="I62" s="99">
        <v>1</v>
      </c>
      <c r="J62" s="202">
        <f t="shared" si="8"/>
        <v>1</v>
      </c>
      <c r="K62" s="94">
        <f t="shared" si="4"/>
        <v>0</v>
      </c>
      <c r="L62" s="95" t="s">
        <v>52</v>
      </c>
      <c r="M62" s="17"/>
      <c r="N62" s="17"/>
      <c r="O62" s="18">
        <f t="shared" si="12"/>
        <v>0</v>
      </c>
      <c r="P62" s="18">
        <f t="shared" si="13"/>
        <v>0</v>
      </c>
      <c r="Q62" s="8">
        <f t="shared" si="14"/>
        <v>0</v>
      </c>
    </row>
    <row r="63" spans="1:17" ht="23.25" customHeight="1" x14ac:dyDescent="0.55000000000000004">
      <c r="A63" s="77">
        <v>54</v>
      </c>
      <c r="B63" s="78" t="s">
        <v>39</v>
      </c>
      <c r="C63" s="79" t="s">
        <v>64</v>
      </c>
      <c r="D63" s="85" t="s">
        <v>483</v>
      </c>
      <c r="E63" s="86"/>
      <c r="F63" s="86"/>
      <c r="G63" s="86"/>
      <c r="H63" s="87"/>
      <c r="I63" s="88"/>
      <c r="J63" s="201"/>
      <c r="K63" s="94">
        <f t="shared" si="4"/>
        <v>0</v>
      </c>
      <c r="L63" s="89"/>
      <c r="M63" s="87"/>
      <c r="N63" s="87"/>
      <c r="O63" s="90"/>
      <c r="P63" s="90"/>
      <c r="Q63" s="9"/>
    </row>
    <row r="64" spans="1:17" ht="23.25" customHeight="1" x14ac:dyDescent="0.5">
      <c r="A64" s="77">
        <v>55</v>
      </c>
      <c r="B64" s="78" t="s">
        <v>39</v>
      </c>
      <c r="C64" s="79" t="s">
        <v>64</v>
      </c>
      <c r="D64" s="92" t="s">
        <v>34</v>
      </c>
      <c r="E64" s="93" t="s">
        <v>42</v>
      </c>
      <c r="F64" s="93"/>
      <c r="G64" s="93" t="s">
        <v>66</v>
      </c>
      <c r="H64" s="97" t="s">
        <v>44</v>
      </c>
      <c r="I64" s="99"/>
      <c r="J64" s="202">
        <f t="shared" ref="J64:J80" si="15">I64</f>
        <v>0</v>
      </c>
      <c r="K64" s="94">
        <f t="shared" si="4"/>
        <v>0</v>
      </c>
      <c r="L64" s="95" t="s">
        <v>45</v>
      </c>
      <c r="M64" s="27"/>
      <c r="N64" s="27"/>
      <c r="O64" s="18">
        <f t="shared" ref="O64:O80" si="16">M64*J64</f>
        <v>0</v>
      </c>
      <c r="P64" s="18">
        <f t="shared" ref="P64:P80" si="17">N64*J64</f>
        <v>0</v>
      </c>
      <c r="Q64" s="8">
        <f t="shared" ref="Q64:Q80" si="18">(M64*J64)+(N64*J64)</f>
        <v>0</v>
      </c>
    </row>
    <row r="65" spans="1:17" ht="23.25" customHeight="1" x14ac:dyDescent="0.5">
      <c r="A65" s="77">
        <v>56</v>
      </c>
      <c r="B65" s="78" t="s">
        <v>39</v>
      </c>
      <c r="C65" s="79" t="s">
        <v>64</v>
      </c>
      <c r="D65" s="92" t="s">
        <v>46</v>
      </c>
      <c r="E65" s="93" t="s">
        <v>42</v>
      </c>
      <c r="F65" s="93"/>
      <c r="G65" s="93" t="s">
        <v>66</v>
      </c>
      <c r="H65" s="97" t="s">
        <v>44</v>
      </c>
      <c r="I65" s="99"/>
      <c r="J65" s="202">
        <f t="shared" si="15"/>
        <v>0</v>
      </c>
      <c r="K65" s="94">
        <f t="shared" si="4"/>
        <v>0</v>
      </c>
      <c r="L65" s="95" t="s">
        <v>31</v>
      </c>
      <c r="M65" s="27"/>
      <c r="N65" s="27"/>
      <c r="O65" s="18">
        <f t="shared" si="16"/>
        <v>0</v>
      </c>
      <c r="P65" s="18">
        <f t="shared" si="17"/>
        <v>0</v>
      </c>
      <c r="Q65" s="8">
        <f t="shared" si="18"/>
        <v>0</v>
      </c>
    </row>
    <row r="66" spans="1:17" ht="23.25" customHeight="1" x14ac:dyDescent="0.5">
      <c r="A66" s="77">
        <v>57</v>
      </c>
      <c r="B66" s="78" t="s">
        <v>39</v>
      </c>
      <c r="C66" s="79" t="s">
        <v>64</v>
      </c>
      <c r="D66" s="92" t="s">
        <v>47</v>
      </c>
      <c r="E66" s="93" t="s">
        <v>42</v>
      </c>
      <c r="F66" s="93"/>
      <c r="G66" s="93" t="s">
        <v>66</v>
      </c>
      <c r="H66" s="97" t="s">
        <v>44</v>
      </c>
      <c r="I66" s="99"/>
      <c r="J66" s="202">
        <f t="shared" si="15"/>
        <v>0</v>
      </c>
      <c r="K66" s="94">
        <f t="shared" si="4"/>
        <v>0</v>
      </c>
      <c r="L66" s="95" t="s">
        <v>31</v>
      </c>
      <c r="M66" s="27"/>
      <c r="N66" s="27"/>
      <c r="O66" s="18">
        <f t="shared" si="16"/>
        <v>0</v>
      </c>
      <c r="P66" s="18">
        <f t="shared" si="17"/>
        <v>0</v>
      </c>
      <c r="Q66" s="8">
        <f t="shared" si="18"/>
        <v>0</v>
      </c>
    </row>
    <row r="67" spans="1:17" ht="23.25" customHeight="1" x14ac:dyDescent="0.5">
      <c r="A67" s="77">
        <v>58</v>
      </c>
      <c r="B67" s="78" t="s">
        <v>39</v>
      </c>
      <c r="C67" s="79" t="s">
        <v>64</v>
      </c>
      <c r="D67" s="92" t="s">
        <v>48</v>
      </c>
      <c r="E67" s="93" t="s">
        <v>42</v>
      </c>
      <c r="F67" s="93"/>
      <c r="G67" s="93" t="s">
        <v>66</v>
      </c>
      <c r="H67" s="97" t="s">
        <v>44</v>
      </c>
      <c r="I67" s="99"/>
      <c r="J67" s="202">
        <f t="shared" si="15"/>
        <v>0</v>
      </c>
      <c r="K67" s="94">
        <f t="shared" si="4"/>
        <v>0</v>
      </c>
      <c r="L67" s="95" t="s">
        <v>31</v>
      </c>
      <c r="M67" s="27"/>
      <c r="N67" s="27"/>
      <c r="O67" s="18">
        <f t="shared" si="16"/>
        <v>0</v>
      </c>
      <c r="P67" s="18">
        <f t="shared" si="17"/>
        <v>0</v>
      </c>
      <c r="Q67" s="8">
        <f t="shared" si="18"/>
        <v>0</v>
      </c>
    </row>
    <row r="68" spans="1:17" ht="23.25" customHeight="1" x14ac:dyDescent="0.5">
      <c r="A68" s="77">
        <v>59</v>
      </c>
      <c r="B68" s="78" t="s">
        <v>39</v>
      </c>
      <c r="C68" s="79" t="s">
        <v>64</v>
      </c>
      <c r="D68" s="92" t="s">
        <v>67</v>
      </c>
      <c r="E68" s="93" t="s">
        <v>42</v>
      </c>
      <c r="F68" s="93"/>
      <c r="G68" s="93" t="s">
        <v>66</v>
      </c>
      <c r="H68" s="97" t="s">
        <v>44</v>
      </c>
      <c r="I68" s="99"/>
      <c r="J68" s="202">
        <f t="shared" si="15"/>
        <v>0</v>
      </c>
      <c r="K68" s="94">
        <f t="shared" si="4"/>
        <v>0</v>
      </c>
      <c r="L68" s="95" t="s">
        <v>31</v>
      </c>
      <c r="M68" s="27"/>
      <c r="N68" s="27"/>
      <c r="O68" s="18">
        <f t="shared" si="16"/>
        <v>0</v>
      </c>
      <c r="P68" s="18">
        <f t="shared" si="17"/>
        <v>0</v>
      </c>
      <c r="Q68" s="8">
        <f t="shared" si="18"/>
        <v>0</v>
      </c>
    </row>
    <row r="69" spans="1:17" ht="23.25" customHeight="1" x14ac:dyDescent="0.5">
      <c r="A69" s="77">
        <v>60</v>
      </c>
      <c r="B69" s="78" t="s">
        <v>39</v>
      </c>
      <c r="C69" s="79" t="s">
        <v>64</v>
      </c>
      <c r="D69" s="92" t="s">
        <v>34</v>
      </c>
      <c r="E69" s="93" t="s">
        <v>42</v>
      </c>
      <c r="F69" s="93"/>
      <c r="G69" s="93" t="s">
        <v>66</v>
      </c>
      <c r="H69" s="93" t="s">
        <v>49</v>
      </c>
      <c r="I69" s="99"/>
      <c r="J69" s="202">
        <f t="shared" si="15"/>
        <v>0</v>
      </c>
      <c r="K69" s="94">
        <f t="shared" si="4"/>
        <v>0</v>
      </c>
      <c r="L69" s="95" t="s">
        <v>45</v>
      </c>
      <c r="M69" s="27"/>
      <c r="N69" s="27"/>
      <c r="O69" s="18">
        <f t="shared" si="16"/>
        <v>0</v>
      </c>
      <c r="P69" s="18">
        <f t="shared" si="17"/>
        <v>0</v>
      </c>
      <c r="Q69" s="8">
        <f t="shared" si="18"/>
        <v>0</v>
      </c>
    </row>
    <row r="70" spans="1:17" ht="23.25" customHeight="1" x14ac:dyDescent="0.5">
      <c r="A70" s="77">
        <v>61</v>
      </c>
      <c r="B70" s="78" t="s">
        <v>39</v>
      </c>
      <c r="C70" s="79" t="s">
        <v>64</v>
      </c>
      <c r="D70" s="92" t="s">
        <v>46</v>
      </c>
      <c r="E70" s="93" t="s">
        <v>42</v>
      </c>
      <c r="F70" s="93"/>
      <c r="G70" s="93" t="s">
        <v>66</v>
      </c>
      <c r="H70" s="93" t="s">
        <v>49</v>
      </c>
      <c r="I70" s="99"/>
      <c r="J70" s="202">
        <f t="shared" si="15"/>
        <v>0</v>
      </c>
      <c r="K70" s="94">
        <f t="shared" si="4"/>
        <v>0</v>
      </c>
      <c r="L70" s="95" t="s">
        <v>31</v>
      </c>
      <c r="M70" s="27"/>
      <c r="N70" s="27"/>
      <c r="O70" s="18">
        <f t="shared" si="16"/>
        <v>0</v>
      </c>
      <c r="P70" s="18">
        <f t="shared" si="17"/>
        <v>0</v>
      </c>
      <c r="Q70" s="8">
        <f t="shared" si="18"/>
        <v>0</v>
      </c>
    </row>
    <row r="71" spans="1:17" ht="23.25" customHeight="1" x14ac:dyDescent="0.5">
      <c r="A71" s="77">
        <v>62</v>
      </c>
      <c r="B71" s="78" t="s">
        <v>39</v>
      </c>
      <c r="C71" s="79" t="s">
        <v>64</v>
      </c>
      <c r="D71" s="92" t="s">
        <v>47</v>
      </c>
      <c r="E71" s="93" t="s">
        <v>42</v>
      </c>
      <c r="F71" s="93"/>
      <c r="G71" s="93" t="s">
        <v>66</v>
      </c>
      <c r="H71" s="93" t="s">
        <v>49</v>
      </c>
      <c r="I71" s="99"/>
      <c r="J71" s="202">
        <f t="shared" si="15"/>
        <v>0</v>
      </c>
      <c r="K71" s="94">
        <f t="shared" si="4"/>
        <v>0</v>
      </c>
      <c r="L71" s="95" t="s">
        <v>31</v>
      </c>
      <c r="M71" s="27"/>
      <c r="N71" s="27"/>
      <c r="O71" s="18">
        <f t="shared" si="16"/>
        <v>0</v>
      </c>
      <c r="P71" s="18">
        <f t="shared" si="17"/>
        <v>0</v>
      </c>
      <c r="Q71" s="8">
        <f t="shared" si="18"/>
        <v>0</v>
      </c>
    </row>
    <row r="72" spans="1:17" ht="23.25" customHeight="1" x14ac:dyDescent="0.5">
      <c r="A72" s="77">
        <v>63</v>
      </c>
      <c r="B72" s="78" t="s">
        <v>39</v>
      </c>
      <c r="C72" s="79" t="s">
        <v>64</v>
      </c>
      <c r="D72" s="92" t="s">
        <v>48</v>
      </c>
      <c r="E72" s="93" t="s">
        <v>42</v>
      </c>
      <c r="F72" s="93"/>
      <c r="G72" s="93" t="s">
        <v>66</v>
      </c>
      <c r="H72" s="93" t="s">
        <v>49</v>
      </c>
      <c r="I72" s="99"/>
      <c r="J72" s="202">
        <f t="shared" si="15"/>
        <v>0</v>
      </c>
      <c r="K72" s="94">
        <f t="shared" si="4"/>
        <v>0</v>
      </c>
      <c r="L72" s="95" t="s">
        <v>31</v>
      </c>
      <c r="M72" s="27"/>
      <c r="N72" s="27"/>
      <c r="O72" s="18">
        <f t="shared" si="16"/>
        <v>0</v>
      </c>
      <c r="P72" s="18">
        <f t="shared" si="17"/>
        <v>0</v>
      </c>
      <c r="Q72" s="8">
        <f t="shared" si="18"/>
        <v>0</v>
      </c>
    </row>
    <row r="73" spans="1:17" ht="23.25" customHeight="1" x14ac:dyDescent="0.5">
      <c r="A73" s="77">
        <v>64</v>
      </c>
      <c r="B73" s="78" t="s">
        <v>39</v>
      </c>
      <c r="C73" s="79" t="s">
        <v>64</v>
      </c>
      <c r="D73" s="92" t="s">
        <v>67</v>
      </c>
      <c r="E73" s="93" t="s">
        <v>42</v>
      </c>
      <c r="F73" s="93"/>
      <c r="G73" s="93" t="s">
        <v>66</v>
      </c>
      <c r="H73" s="93" t="s">
        <v>49</v>
      </c>
      <c r="I73" s="99"/>
      <c r="J73" s="202">
        <f t="shared" si="15"/>
        <v>0</v>
      </c>
      <c r="K73" s="94">
        <f t="shared" si="4"/>
        <v>0</v>
      </c>
      <c r="L73" s="95" t="s">
        <v>31</v>
      </c>
      <c r="M73" s="27"/>
      <c r="N73" s="27"/>
      <c r="O73" s="18">
        <f t="shared" si="16"/>
        <v>0</v>
      </c>
      <c r="P73" s="18">
        <f t="shared" si="17"/>
        <v>0</v>
      </c>
      <c r="Q73" s="8">
        <f t="shared" si="18"/>
        <v>0</v>
      </c>
    </row>
    <row r="74" spans="1:17" ht="23.25" customHeight="1" x14ac:dyDescent="0.5">
      <c r="A74" s="77">
        <v>65</v>
      </c>
      <c r="B74" s="78" t="s">
        <v>39</v>
      </c>
      <c r="C74" s="79" t="s">
        <v>64</v>
      </c>
      <c r="D74" s="92" t="s">
        <v>34</v>
      </c>
      <c r="E74" s="93" t="s">
        <v>42</v>
      </c>
      <c r="F74" s="93"/>
      <c r="G74" s="93" t="s">
        <v>66</v>
      </c>
      <c r="H74" s="97" t="s">
        <v>50</v>
      </c>
      <c r="I74" s="99"/>
      <c r="J74" s="202">
        <f t="shared" si="15"/>
        <v>0</v>
      </c>
      <c r="K74" s="94">
        <f t="shared" si="4"/>
        <v>0</v>
      </c>
      <c r="L74" s="95" t="s">
        <v>45</v>
      </c>
      <c r="M74" s="27"/>
      <c r="N74" s="27"/>
      <c r="O74" s="18">
        <f t="shared" si="16"/>
        <v>0</v>
      </c>
      <c r="P74" s="18">
        <f t="shared" si="17"/>
        <v>0</v>
      </c>
      <c r="Q74" s="8">
        <f t="shared" si="18"/>
        <v>0</v>
      </c>
    </row>
    <row r="75" spans="1:17" ht="23.25" customHeight="1" x14ac:dyDescent="0.5">
      <c r="A75" s="77">
        <v>66</v>
      </c>
      <c r="B75" s="78" t="s">
        <v>39</v>
      </c>
      <c r="C75" s="79" t="s">
        <v>64</v>
      </c>
      <c r="D75" s="92" t="s">
        <v>46</v>
      </c>
      <c r="E75" s="93" t="s">
        <v>42</v>
      </c>
      <c r="F75" s="93"/>
      <c r="G75" s="93" t="s">
        <v>66</v>
      </c>
      <c r="H75" s="97" t="s">
        <v>50</v>
      </c>
      <c r="I75" s="99"/>
      <c r="J75" s="202">
        <f t="shared" si="15"/>
        <v>0</v>
      </c>
      <c r="K75" s="94">
        <f t="shared" si="4"/>
        <v>0</v>
      </c>
      <c r="L75" s="95" t="s">
        <v>31</v>
      </c>
      <c r="M75" s="27"/>
      <c r="N75" s="27"/>
      <c r="O75" s="18">
        <f t="shared" si="16"/>
        <v>0</v>
      </c>
      <c r="P75" s="18">
        <f t="shared" si="17"/>
        <v>0</v>
      </c>
      <c r="Q75" s="8">
        <f t="shared" si="18"/>
        <v>0</v>
      </c>
    </row>
    <row r="76" spans="1:17" ht="23.25" customHeight="1" x14ac:dyDescent="0.5">
      <c r="A76" s="77">
        <v>67</v>
      </c>
      <c r="B76" s="78" t="s">
        <v>39</v>
      </c>
      <c r="C76" s="79" t="s">
        <v>64</v>
      </c>
      <c r="D76" s="92" t="s">
        <v>47</v>
      </c>
      <c r="E76" s="93" t="s">
        <v>42</v>
      </c>
      <c r="F76" s="93"/>
      <c r="G76" s="93" t="s">
        <v>66</v>
      </c>
      <c r="H76" s="97" t="s">
        <v>50</v>
      </c>
      <c r="I76" s="99"/>
      <c r="J76" s="202">
        <f t="shared" si="15"/>
        <v>0</v>
      </c>
      <c r="K76" s="94">
        <f t="shared" si="4"/>
        <v>0</v>
      </c>
      <c r="L76" s="95" t="s">
        <v>31</v>
      </c>
      <c r="M76" s="27"/>
      <c r="N76" s="27"/>
      <c r="O76" s="18">
        <f t="shared" si="16"/>
        <v>0</v>
      </c>
      <c r="P76" s="18">
        <f t="shared" si="17"/>
        <v>0</v>
      </c>
      <c r="Q76" s="8">
        <f t="shared" si="18"/>
        <v>0</v>
      </c>
    </row>
    <row r="77" spans="1:17" ht="23.25" customHeight="1" x14ac:dyDescent="0.5">
      <c r="A77" s="77">
        <v>68</v>
      </c>
      <c r="B77" s="78" t="s">
        <v>39</v>
      </c>
      <c r="C77" s="79" t="s">
        <v>64</v>
      </c>
      <c r="D77" s="92" t="s">
        <v>48</v>
      </c>
      <c r="E77" s="93" t="s">
        <v>42</v>
      </c>
      <c r="F77" s="93"/>
      <c r="G77" s="93" t="s">
        <v>66</v>
      </c>
      <c r="H77" s="97" t="s">
        <v>50</v>
      </c>
      <c r="I77" s="99"/>
      <c r="J77" s="202">
        <f t="shared" si="15"/>
        <v>0</v>
      </c>
      <c r="K77" s="94">
        <f t="shared" ref="K77:K140" si="19">+J77-I77</f>
        <v>0</v>
      </c>
      <c r="L77" s="95" t="s">
        <v>31</v>
      </c>
      <c r="M77" s="27"/>
      <c r="N77" s="27"/>
      <c r="O77" s="18">
        <f t="shared" si="16"/>
        <v>0</v>
      </c>
      <c r="P77" s="18">
        <f t="shared" si="17"/>
        <v>0</v>
      </c>
      <c r="Q77" s="8">
        <f t="shared" si="18"/>
        <v>0</v>
      </c>
    </row>
    <row r="78" spans="1:17" ht="23.25" customHeight="1" x14ac:dyDescent="0.5">
      <c r="A78" s="77">
        <v>69</v>
      </c>
      <c r="B78" s="78" t="s">
        <v>39</v>
      </c>
      <c r="C78" s="79" t="s">
        <v>64</v>
      </c>
      <c r="D78" s="92" t="s">
        <v>67</v>
      </c>
      <c r="E78" s="93" t="s">
        <v>42</v>
      </c>
      <c r="F78" s="93"/>
      <c r="G78" s="93" t="s">
        <v>66</v>
      </c>
      <c r="H78" s="97" t="s">
        <v>50</v>
      </c>
      <c r="I78" s="99"/>
      <c r="J78" s="202">
        <f t="shared" si="15"/>
        <v>0</v>
      </c>
      <c r="K78" s="94">
        <f t="shared" si="19"/>
        <v>0</v>
      </c>
      <c r="L78" s="95" t="s">
        <v>31</v>
      </c>
      <c r="M78" s="27"/>
      <c r="N78" s="27"/>
      <c r="O78" s="18">
        <f t="shared" si="16"/>
        <v>0</v>
      </c>
      <c r="P78" s="18">
        <f t="shared" si="17"/>
        <v>0</v>
      </c>
      <c r="Q78" s="8">
        <f t="shared" si="18"/>
        <v>0</v>
      </c>
    </row>
    <row r="79" spans="1:17" ht="23.25" customHeight="1" x14ac:dyDescent="0.5">
      <c r="A79" s="77">
        <v>70</v>
      </c>
      <c r="B79" s="78" t="s">
        <v>39</v>
      </c>
      <c r="C79" s="79" t="s">
        <v>64</v>
      </c>
      <c r="D79" s="92" t="s">
        <v>68</v>
      </c>
      <c r="E79" s="93"/>
      <c r="F79" s="93"/>
      <c r="G79" s="93"/>
      <c r="H79" s="97" t="s">
        <v>59</v>
      </c>
      <c r="I79" s="99"/>
      <c r="J79" s="202">
        <f t="shared" si="15"/>
        <v>0</v>
      </c>
      <c r="K79" s="94">
        <f t="shared" si="19"/>
        <v>0</v>
      </c>
      <c r="L79" s="95" t="s">
        <v>15</v>
      </c>
      <c r="M79" s="27"/>
      <c r="N79" s="27"/>
      <c r="O79" s="18">
        <f t="shared" si="16"/>
        <v>0</v>
      </c>
      <c r="P79" s="18">
        <f t="shared" si="17"/>
        <v>0</v>
      </c>
      <c r="Q79" s="8">
        <f t="shared" si="18"/>
        <v>0</v>
      </c>
    </row>
    <row r="80" spans="1:17" ht="23.25" customHeight="1" x14ac:dyDescent="0.5">
      <c r="A80" s="77">
        <v>71</v>
      </c>
      <c r="B80" s="78" t="s">
        <v>39</v>
      </c>
      <c r="C80" s="96" t="s">
        <v>64</v>
      </c>
      <c r="D80" s="92" t="s">
        <v>60</v>
      </c>
      <c r="E80" s="93"/>
      <c r="F80" s="93"/>
      <c r="G80" s="93"/>
      <c r="H80" s="97"/>
      <c r="I80" s="99"/>
      <c r="J80" s="202">
        <f t="shared" si="15"/>
        <v>0</v>
      </c>
      <c r="K80" s="94">
        <f t="shared" si="19"/>
        <v>0</v>
      </c>
      <c r="L80" s="95" t="s">
        <v>52</v>
      </c>
      <c r="M80" s="17"/>
      <c r="N80" s="17"/>
      <c r="O80" s="18">
        <f t="shared" si="16"/>
        <v>0</v>
      </c>
      <c r="P80" s="18">
        <f t="shared" si="17"/>
        <v>0</v>
      </c>
      <c r="Q80" s="8">
        <f t="shared" si="18"/>
        <v>0</v>
      </c>
    </row>
    <row r="81" spans="1:17" ht="23.25" customHeight="1" x14ac:dyDescent="0.55000000000000004">
      <c r="A81" s="77">
        <v>72</v>
      </c>
      <c r="B81" s="78" t="s">
        <v>39</v>
      </c>
      <c r="C81" s="79" t="s">
        <v>69</v>
      </c>
      <c r="D81" s="85" t="s">
        <v>482</v>
      </c>
      <c r="E81" s="86"/>
      <c r="F81" s="86"/>
      <c r="G81" s="86"/>
      <c r="H81" s="87"/>
      <c r="I81" s="88"/>
      <c r="J81" s="201"/>
      <c r="K81" s="94">
        <f t="shared" si="19"/>
        <v>0</v>
      </c>
      <c r="L81" s="89"/>
      <c r="M81" s="87"/>
      <c r="N81" s="87"/>
      <c r="O81" s="90"/>
      <c r="P81" s="90"/>
      <c r="Q81" s="9"/>
    </row>
    <row r="82" spans="1:17" ht="23.25" customHeight="1" x14ac:dyDescent="0.5">
      <c r="A82" s="77">
        <v>73</v>
      </c>
      <c r="B82" s="78" t="s">
        <v>39</v>
      </c>
      <c r="C82" s="79" t="s">
        <v>69</v>
      </c>
      <c r="D82" s="92" t="s">
        <v>34</v>
      </c>
      <c r="E82" s="93" t="s">
        <v>71</v>
      </c>
      <c r="F82" s="93"/>
      <c r="G82" s="93" t="s">
        <v>66</v>
      </c>
      <c r="H82" s="93" t="s">
        <v>72</v>
      </c>
      <c r="I82" s="94"/>
      <c r="J82" s="202">
        <f t="shared" ref="J82:J111" si="20">I82</f>
        <v>0</v>
      </c>
      <c r="K82" s="94">
        <f t="shared" si="19"/>
        <v>0</v>
      </c>
      <c r="L82" s="95" t="s">
        <v>45</v>
      </c>
      <c r="M82" s="15"/>
      <c r="N82" s="15"/>
      <c r="O82" s="18">
        <f t="shared" ref="O82:O111" si="21">M82*J82</f>
        <v>0</v>
      </c>
      <c r="P82" s="18">
        <f t="shared" ref="P82:P111" si="22">N82*J82</f>
        <v>0</v>
      </c>
      <c r="Q82" s="8">
        <f t="shared" ref="Q82:Q111" si="23">(M82*J82)+(N82*J82)</f>
        <v>0</v>
      </c>
    </row>
    <row r="83" spans="1:17" ht="23.25" customHeight="1" x14ac:dyDescent="0.5">
      <c r="A83" s="77">
        <v>74</v>
      </c>
      <c r="B83" s="78" t="s">
        <v>39</v>
      </c>
      <c r="C83" s="79" t="s">
        <v>69</v>
      </c>
      <c r="D83" s="92" t="s">
        <v>73</v>
      </c>
      <c r="E83" s="93" t="s">
        <v>71</v>
      </c>
      <c r="F83" s="93"/>
      <c r="G83" s="93" t="s">
        <v>66</v>
      </c>
      <c r="H83" s="93" t="s">
        <v>72</v>
      </c>
      <c r="I83" s="94"/>
      <c r="J83" s="202">
        <f t="shared" si="20"/>
        <v>0</v>
      </c>
      <c r="K83" s="94">
        <f t="shared" si="19"/>
        <v>0</v>
      </c>
      <c r="L83" s="95" t="s">
        <v>45</v>
      </c>
      <c r="M83" s="15"/>
      <c r="N83" s="15"/>
      <c r="O83" s="18">
        <f t="shared" si="21"/>
        <v>0</v>
      </c>
      <c r="P83" s="18">
        <f t="shared" si="22"/>
        <v>0</v>
      </c>
      <c r="Q83" s="8">
        <f t="shared" si="23"/>
        <v>0</v>
      </c>
    </row>
    <row r="84" spans="1:17" ht="23.25" customHeight="1" x14ac:dyDescent="0.5">
      <c r="A84" s="77">
        <v>75</v>
      </c>
      <c r="B84" s="78" t="s">
        <v>39</v>
      </c>
      <c r="C84" s="79" t="s">
        <v>69</v>
      </c>
      <c r="D84" s="92" t="s">
        <v>74</v>
      </c>
      <c r="E84" s="93" t="s">
        <v>71</v>
      </c>
      <c r="F84" s="93"/>
      <c r="G84" s="93" t="s">
        <v>66</v>
      </c>
      <c r="H84" s="93" t="s">
        <v>72</v>
      </c>
      <c r="I84" s="94"/>
      <c r="J84" s="202">
        <f t="shared" si="20"/>
        <v>0</v>
      </c>
      <c r="K84" s="94">
        <f t="shared" si="19"/>
        <v>0</v>
      </c>
      <c r="L84" s="95" t="s">
        <v>45</v>
      </c>
      <c r="M84" s="27"/>
      <c r="N84" s="27"/>
      <c r="O84" s="18">
        <f t="shared" si="21"/>
        <v>0</v>
      </c>
      <c r="P84" s="18">
        <f t="shared" si="22"/>
        <v>0</v>
      </c>
      <c r="Q84" s="8">
        <f t="shared" si="23"/>
        <v>0</v>
      </c>
    </row>
    <row r="85" spans="1:17" ht="23.25" customHeight="1" x14ac:dyDescent="0.5">
      <c r="A85" s="77">
        <v>76</v>
      </c>
      <c r="B85" s="78" t="s">
        <v>39</v>
      </c>
      <c r="C85" s="79" t="s">
        <v>69</v>
      </c>
      <c r="D85" s="92" t="s">
        <v>46</v>
      </c>
      <c r="E85" s="93" t="s">
        <v>71</v>
      </c>
      <c r="F85" s="93"/>
      <c r="G85" s="93" t="s">
        <v>66</v>
      </c>
      <c r="H85" s="93" t="s">
        <v>72</v>
      </c>
      <c r="I85" s="94"/>
      <c r="J85" s="202">
        <f t="shared" si="20"/>
        <v>0</v>
      </c>
      <c r="K85" s="94">
        <f t="shared" si="19"/>
        <v>0</v>
      </c>
      <c r="L85" s="95" t="s">
        <v>45</v>
      </c>
      <c r="M85" s="27"/>
      <c r="N85" s="27"/>
      <c r="O85" s="18">
        <f t="shared" si="21"/>
        <v>0</v>
      </c>
      <c r="P85" s="18">
        <f t="shared" si="22"/>
        <v>0</v>
      </c>
      <c r="Q85" s="8">
        <f t="shared" si="23"/>
        <v>0</v>
      </c>
    </row>
    <row r="86" spans="1:17" ht="23.25" customHeight="1" x14ac:dyDescent="0.5">
      <c r="A86" s="77">
        <v>77</v>
      </c>
      <c r="B86" s="78" t="s">
        <v>39</v>
      </c>
      <c r="C86" s="79" t="s">
        <v>69</v>
      </c>
      <c r="D86" s="92" t="s">
        <v>47</v>
      </c>
      <c r="E86" s="93" t="s">
        <v>71</v>
      </c>
      <c r="F86" s="93"/>
      <c r="G86" s="93" t="s">
        <v>66</v>
      </c>
      <c r="H86" s="93" t="s">
        <v>72</v>
      </c>
      <c r="I86" s="94"/>
      <c r="J86" s="202">
        <f t="shared" si="20"/>
        <v>0</v>
      </c>
      <c r="K86" s="94">
        <f t="shared" si="19"/>
        <v>0</v>
      </c>
      <c r="L86" s="95" t="s">
        <v>45</v>
      </c>
      <c r="M86" s="27"/>
      <c r="N86" s="27"/>
      <c r="O86" s="18">
        <f t="shared" si="21"/>
        <v>0</v>
      </c>
      <c r="P86" s="18">
        <f t="shared" si="22"/>
        <v>0</v>
      </c>
      <c r="Q86" s="8">
        <f t="shared" si="23"/>
        <v>0</v>
      </c>
    </row>
    <row r="87" spans="1:17" ht="23.25" customHeight="1" x14ac:dyDescent="0.5">
      <c r="A87" s="77">
        <v>78</v>
      </c>
      <c r="B87" s="78" t="s">
        <v>39</v>
      </c>
      <c r="C87" s="79" t="s">
        <v>69</v>
      </c>
      <c r="D87" s="92" t="s">
        <v>48</v>
      </c>
      <c r="E87" s="93" t="s">
        <v>71</v>
      </c>
      <c r="F87" s="93"/>
      <c r="G87" s="93" t="s">
        <v>66</v>
      </c>
      <c r="H87" s="93" t="s">
        <v>72</v>
      </c>
      <c r="I87" s="94"/>
      <c r="J87" s="202">
        <f t="shared" si="20"/>
        <v>0</v>
      </c>
      <c r="K87" s="94">
        <f t="shared" si="19"/>
        <v>0</v>
      </c>
      <c r="L87" s="95" t="s">
        <v>45</v>
      </c>
      <c r="M87" s="27"/>
      <c r="N87" s="27"/>
      <c r="O87" s="18">
        <f t="shared" si="21"/>
        <v>0</v>
      </c>
      <c r="P87" s="18">
        <f t="shared" si="22"/>
        <v>0</v>
      </c>
      <c r="Q87" s="8">
        <f t="shared" si="23"/>
        <v>0</v>
      </c>
    </row>
    <row r="88" spans="1:17" ht="23.25" customHeight="1" x14ac:dyDescent="0.5">
      <c r="A88" s="77">
        <v>79</v>
      </c>
      <c r="B88" s="78" t="s">
        <v>39</v>
      </c>
      <c r="C88" s="79" t="s">
        <v>69</v>
      </c>
      <c r="D88" s="92" t="s">
        <v>67</v>
      </c>
      <c r="E88" s="93" t="s">
        <v>71</v>
      </c>
      <c r="F88" s="93"/>
      <c r="G88" s="93" t="s">
        <v>66</v>
      </c>
      <c r="H88" s="93" t="s">
        <v>72</v>
      </c>
      <c r="I88" s="94"/>
      <c r="J88" s="202">
        <f t="shared" si="20"/>
        <v>0</v>
      </c>
      <c r="K88" s="94">
        <f t="shared" si="19"/>
        <v>0</v>
      </c>
      <c r="L88" s="95" t="s">
        <v>45</v>
      </c>
      <c r="M88" s="27"/>
      <c r="N88" s="27"/>
      <c r="O88" s="18">
        <f t="shared" si="21"/>
        <v>0</v>
      </c>
      <c r="P88" s="18">
        <f t="shared" si="22"/>
        <v>0</v>
      </c>
      <c r="Q88" s="8">
        <f t="shared" si="23"/>
        <v>0</v>
      </c>
    </row>
    <row r="89" spans="1:17" ht="23.25" customHeight="1" x14ac:dyDescent="0.5">
      <c r="A89" s="77">
        <v>80</v>
      </c>
      <c r="B89" s="78" t="s">
        <v>39</v>
      </c>
      <c r="C89" s="79" t="s">
        <v>69</v>
      </c>
      <c r="D89" s="92" t="s">
        <v>34</v>
      </c>
      <c r="E89" s="93" t="s">
        <v>42</v>
      </c>
      <c r="F89" s="93"/>
      <c r="G89" s="93" t="s">
        <v>66</v>
      </c>
      <c r="H89" s="97" t="s">
        <v>75</v>
      </c>
      <c r="I89" s="94"/>
      <c r="J89" s="202">
        <f t="shared" si="20"/>
        <v>0</v>
      </c>
      <c r="K89" s="94">
        <f t="shared" si="19"/>
        <v>0</v>
      </c>
      <c r="L89" s="95" t="s">
        <v>45</v>
      </c>
      <c r="M89" s="27"/>
      <c r="N89" s="27"/>
      <c r="O89" s="18">
        <f t="shared" si="21"/>
        <v>0</v>
      </c>
      <c r="P89" s="18">
        <f t="shared" si="22"/>
        <v>0</v>
      </c>
      <c r="Q89" s="8">
        <f t="shared" si="23"/>
        <v>0</v>
      </c>
    </row>
    <row r="90" spans="1:17" ht="23.25" customHeight="1" x14ac:dyDescent="0.5">
      <c r="A90" s="77">
        <v>81</v>
      </c>
      <c r="B90" s="78" t="s">
        <v>39</v>
      </c>
      <c r="C90" s="79" t="s">
        <v>69</v>
      </c>
      <c r="D90" s="92" t="s">
        <v>73</v>
      </c>
      <c r="E90" s="93" t="s">
        <v>42</v>
      </c>
      <c r="F90" s="93"/>
      <c r="G90" s="93" t="s">
        <v>66</v>
      </c>
      <c r="H90" s="97" t="s">
        <v>75</v>
      </c>
      <c r="I90" s="94"/>
      <c r="J90" s="202">
        <f t="shared" si="20"/>
        <v>0</v>
      </c>
      <c r="K90" s="94">
        <f t="shared" si="19"/>
        <v>0</v>
      </c>
      <c r="L90" s="95" t="s">
        <v>45</v>
      </c>
      <c r="M90" s="27"/>
      <c r="N90" s="27"/>
      <c r="O90" s="18">
        <f t="shared" si="21"/>
        <v>0</v>
      </c>
      <c r="P90" s="18">
        <f t="shared" si="22"/>
        <v>0</v>
      </c>
      <c r="Q90" s="8">
        <f t="shared" si="23"/>
        <v>0</v>
      </c>
    </row>
    <row r="91" spans="1:17" ht="23.25" customHeight="1" x14ac:dyDescent="0.5">
      <c r="A91" s="77">
        <v>82</v>
      </c>
      <c r="B91" s="78" t="s">
        <v>39</v>
      </c>
      <c r="C91" s="79" t="s">
        <v>69</v>
      </c>
      <c r="D91" s="92" t="s">
        <v>46</v>
      </c>
      <c r="E91" s="93" t="s">
        <v>42</v>
      </c>
      <c r="F91" s="93"/>
      <c r="G91" s="93" t="s">
        <v>66</v>
      </c>
      <c r="H91" s="97" t="s">
        <v>75</v>
      </c>
      <c r="I91" s="94"/>
      <c r="J91" s="202">
        <f t="shared" si="20"/>
        <v>0</v>
      </c>
      <c r="K91" s="94">
        <f t="shared" si="19"/>
        <v>0</v>
      </c>
      <c r="L91" s="95" t="s">
        <v>45</v>
      </c>
      <c r="M91" s="27"/>
      <c r="N91" s="27"/>
      <c r="O91" s="18">
        <f t="shared" si="21"/>
        <v>0</v>
      </c>
      <c r="P91" s="18">
        <f t="shared" si="22"/>
        <v>0</v>
      </c>
      <c r="Q91" s="8">
        <f t="shared" si="23"/>
        <v>0</v>
      </c>
    </row>
    <row r="92" spans="1:17" ht="23.25" customHeight="1" x14ac:dyDescent="0.5">
      <c r="A92" s="77">
        <v>83</v>
      </c>
      <c r="B92" s="78" t="s">
        <v>39</v>
      </c>
      <c r="C92" s="79" t="s">
        <v>69</v>
      </c>
      <c r="D92" s="92" t="s">
        <v>47</v>
      </c>
      <c r="E92" s="93" t="s">
        <v>42</v>
      </c>
      <c r="F92" s="93"/>
      <c r="G92" s="93" t="s">
        <v>66</v>
      </c>
      <c r="H92" s="97" t="s">
        <v>75</v>
      </c>
      <c r="I92" s="94"/>
      <c r="J92" s="202">
        <f t="shared" si="20"/>
        <v>0</v>
      </c>
      <c r="K92" s="94">
        <f t="shared" si="19"/>
        <v>0</v>
      </c>
      <c r="L92" s="95" t="s">
        <v>45</v>
      </c>
      <c r="M92" s="27"/>
      <c r="N92" s="27"/>
      <c r="O92" s="18">
        <f t="shared" si="21"/>
        <v>0</v>
      </c>
      <c r="P92" s="18">
        <f t="shared" si="22"/>
        <v>0</v>
      </c>
      <c r="Q92" s="8">
        <f t="shared" si="23"/>
        <v>0</v>
      </c>
    </row>
    <row r="93" spans="1:17" ht="23.25" customHeight="1" x14ac:dyDescent="0.5">
      <c r="A93" s="77">
        <v>84</v>
      </c>
      <c r="B93" s="78" t="s">
        <v>39</v>
      </c>
      <c r="C93" s="79" t="s">
        <v>69</v>
      </c>
      <c r="D93" s="92" t="s">
        <v>48</v>
      </c>
      <c r="E93" s="93" t="s">
        <v>42</v>
      </c>
      <c r="F93" s="93"/>
      <c r="G93" s="93" t="s">
        <v>66</v>
      </c>
      <c r="H93" s="97" t="s">
        <v>75</v>
      </c>
      <c r="I93" s="94"/>
      <c r="J93" s="202">
        <f t="shared" si="20"/>
        <v>0</v>
      </c>
      <c r="K93" s="94">
        <f t="shared" si="19"/>
        <v>0</v>
      </c>
      <c r="L93" s="95" t="s">
        <v>45</v>
      </c>
      <c r="M93" s="27"/>
      <c r="N93" s="27"/>
      <c r="O93" s="18">
        <f t="shared" si="21"/>
        <v>0</v>
      </c>
      <c r="P93" s="18">
        <f t="shared" si="22"/>
        <v>0</v>
      </c>
      <c r="Q93" s="8">
        <f t="shared" si="23"/>
        <v>0</v>
      </c>
    </row>
    <row r="94" spans="1:17" ht="23.25" customHeight="1" x14ac:dyDescent="0.5">
      <c r="A94" s="77">
        <v>85</v>
      </c>
      <c r="B94" s="78" t="s">
        <v>39</v>
      </c>
      <c r="C94" s="79" t="s">
        <v>69</v>
      </c>
      <c r="D94" s="92" t="s">
        <v>67</v>
      </c>
      <c r="E94" s="93" t="s">
        <v>42</v>
      </c>
      <c r="F94" s="93"/>
      <c r="G94" s="93" t="s">
        <v>66</v>
      </c>
      <c r="H94" s="97" t="s">
        <v>75</v>
      </c>
      <c r="I94" s="94"/>
      <c r="J94" s="202">
        <f t="shared" si="20"/>
        <v>0</v>
      </c>
      <c r="K94" s="94">
        <f t="shared" si="19"/>
        <v>0</v>
      </c>
      <c r="L94" s="95" t="s">
        <v>45</v>
      </c>
      <c r="M94" s="27"/>
      <c r="N94" s="27"/>
      <c r="O94" s="18">
        <f t="shared" si="21"/>
        <v>0</v>
      </c>
      <c r="P94" s="18">
        <f t="shared" si="22"/>
        <v>0</v>
      </c>
      <c r="Q94" s="8">
        <f t="shared" si="23"/>
        <v>0</v>
      </c>
    </row>
    <row r="95" spans="1:17" ht="23.25" customHeight="1" x14ac:dyDescent="0.5">
      <c r="A95" s="77">
        <v>86</v>
      </c>
      <c r="B95" s="78" t="s">
        <v>39</v>
      </c>
      <c r="C95" s="79" t="s">
        <v>69</v>
      </c>
      <c r="D95" s="92" t="s">
        <v>34</v>
      </c>
      <c r="E95" s="93" t="s">
        <v>71</v>
      </c>
      <c r="F95" s="93"/>
      <c r="G95" s="93" t="s">
        <v>66</v>
      </c>
      <c r="H95" s="97" t="s">
        <v>76</v>
      </c>
      <c r="I95" s="94"/>
      <c r="J95" s="202">
        <f t="shared" si="20"/>
        <v>0</v>
      </c>
      <c r="K95" s="94">
        <f t="shared" si="19"/>
        <v>0</v>
      </c>
      <c r="L95" s="95" t="s">
        <v>45</v>
      </c>
      <c r="M95" s="27"/>
      <c r="N95" s="27"/>
      <c r="O95" s="18">
        <f t="shared" si="21"/>
        <v>0</v>
      </c>
      <c r="P95" s="18">
        <f t="shared" si="22"/>
        <v>0</v>
      </c>
      <c r="Q95" s="8">
        <f t="shared" si="23"/>
        <v>0</v>
      </c>
    </row>
    <row r="96" spans="1:17" ht="23.25" customHeight="1" x14ac:dyDescent="0.5">
      <c r="A96" s="77">
        <v>87</v>
      </c>
      <c r="B96" s="78" t="s">
        <v>39</v>
      </c>
      <c r="C96" s="79" t="s">
        <v>69</v>
      </c>
      <c r="D96" s="92" t="s">
        <v>73</v>
      </c>
      <c r="E96" s="93" t="s">
        <v>71</v>
      </c>
      <c r="F96" s="93"/>
      <c r="G96" s="93" t="s">
        <v>66</v>
      </c>
      <c r="H96" s="97" t="s">
        <v>76</v>
      </c>
      <c r="I96" s="94"/>
      <c r="J96" s="202">
        <f t="shared" si="20"/>
        <v>0</v>
      </c>
      <c r="K96" s="94">
        <f t="shared" si="19"/>
        <v>0</v>
      </c>
      <c r="L96" s="95" t="s">
        <v>45</v>
      </c>
      <c r="M96" s="27"/>
      <c r="N96" s="27"/>
      <c r="O96" s="18">
        <f t="shared" si="21"/>
        <v>0</v>
      </c>
      <c r="P96" s="18">
        <f t="shared" si="22"/>
        <v>0</v>
      </c>
      <c r="Q96" s="8">
        <f t="shared" si="23"/>
        <v>0</v>
      </c>
    </row>
    <row r="97" spans="1:17" ht="23.25" customHeight="1" x14ac:dyDescent="0.5">
      <c r="A97" s="77">
        <v>88</v>
      </c>
      <c r="B97" s="78" t="s">
        <v>39</v>
      </c>
      <c r="C97" s="79" t="s">
        <v>69</v>
      </c>
      <c r="D97" s="92" t="s">
        <v>74</v>
      </c>
      <c r="E97" s="93" t="s">
        <v>71</v>
      </c>
      <c r="F97" s="93"/>
      <c r="G97" s="93" t="s">
        <v>66</v>
      </c>
      <c r="H97" s="97" t="s">
        <v>76</v>
      </c>
      <c r="I97" s="94"/>
      <c r="J97" s="202">
        <f t="shared" si="20"/>
        <v>0</v>
      </c>
      <c r="K97" s="94">
        <f t="shared" si="19"/>
        <v>0</v>
      </c>
      <c r="L97" s="95" t="s">
        <v>45</v>
      </c>
      <c r="M97" s="27"/>
      <c r="N97" s="27"/>
      <c r="O97" s="18">
        <f t="shared" si="21"/>
        <v>0</v>
      </c>
      <c r="P97" s="18">
        <f t="shared" si="22"/>
        <v>0</v>
      </c>
      <c r="Q97" s="8">
        <f t="shared" si="23"/>
        <v>0</v>
      </c>
    </row>
    <row r="98" spans="1:17" ht="23.25" customHeight="1" x14ac:dyDescent="0.5">
      <c r="A98" s="77">
        <v>89</v>
      </c>
      <c r="B98" s="78" t="s">
        <v>39</v>
      </c>
      <c r="C98" s="79" t="s">
        <v>69</v>
      </c>
      <c r="D98" s="92" t="s">
        <v>46</v>
      </c>
      <c r="E98" s="93" t="s">
        <v>71</v>
      </c>
      <c r="F98" s="93"/>
      <c r="G98" s="93" t="s">
        <v>66</v>
      </c>
      <c r="H98" s="97" t="s">
        <v>76</v>
      </c>
      <c r="I98" s="94"/>
      <c r="J98" s="202">
        <f t="shared" si="20"/>
        <v>0</v>
      </c>
      <c r="K98" s="94">
        <f t="shared" si="19"/>
        <v>0</v>
      </c>
      <c r="L98" s="95" t="s">
        <v>45</v>
      </c>
      <c r="M98" s="27"/>
      <c r="N98" s="27"/>
      <c r="O98" s="18">
        <f t="shared" si="21"/>
        <v>0</v>
      </c>
      <c r="P98" s="18">
        <f t="shared" si="22"/>
        <v>0</v>
      </c>
      <c r="Q98" s="8">
        <f t="shared" si="23"/>
        <v>0</v>
      </c>
    </row>
    <row r="99" spans="1:17" ht="23.25" customHeight="1" x14ac:dyDescent="0.5">
      <c r="A99" s="77">
        <v>90</v>
      </c>
      <c r="B99" s="78" t="s">
        <v>39</v>
      </c>
      <c r="C99" s="79" t="s">
        <v>69</v>
      </c>
      <c r="D99" s="92" t="s">
        <v>47</v>
      </c>
      <c r="E99" s="93" t="s">
        <v>71</v>
      </c>
      <c r="F99" s="93"/>
      <c r="G99" s="93" t="s">
        <v>66</v>
      </c>
      <c r="H99" s="97" t="s">
        <v>76</v>
      </c>
      <c r="I99" s="94"/>
      <c r="J99" s="202">
        <f t="shared" si="20"/>
        <v>0</v>
      </c>
      <c r="K99" s="94">
        <f t="shared" si="19"/>
        <v>0</v>
      </c>
      <c r="L99" s="95" t="s">
        <v>45</v>
      </c>
      <c r="M99" s="27"/>
      <c r="N99" s="27"/>
      <c r="O99" s="18">
        <f t="shared" si="21"/>
        <v>0</v>
      </c>
      <c r="P99" s="18">
        <f t="shared" si="22"/>
        <v>0</v>
      </c>
      <c r="Q99" s="8">
        <f t="shared" si="23"/>
        <v>0</v>
      </c>
    </row>
    <row r="100" spans="1:17" ht="23.25" customHeight="1" x14ac:dyDescent="0.5">
      <c r="A100" s="77">
        <v>91</v>
      </c>
      <c r="B100" s="78" t="s">
        <v>39</v>
      </c>
      <c r="C100" s="79" t="s">
        <v>69</v>
      </c>
      <c r="D100" s="92" t="s">
        <v>48</v>
      </c>
      <c r="E100" s="93" t="s">
        <v>71</v>
      </c>
      <c r="F100" s="93"/>
      <c r="G100" s="93" t="s">
        <v>66</v>
      </c>
      <c r="H100" s="97" t="s">
        <v>76</v>
      </c>
      <c r="I100" s="94"/>
      <c r="J100" s="202">
        <f t="shared" si="20"/>
        <v>0</v>
      </c>
      <c r="K100" s="94">
        <f t="shared" si="19"/>
        <v>0</v>
      </c>
      <c r="L100" s="95" t="s">
        <v>45</v>
      </c>
      <c r="M100" s="27"/>
      <c r="N100" s="27"/>
      <c r="O100" s="18">
        <f t="shared" si="21"/>
        <v>0</v>
      </c>
      <c r="P100" s="18">
        <f t="shared" si="22"/>
        <v>0</v>
      </c>
      <c r="Q100" s="8">
        <f t="shared" si="23"/>
        <v>0</v>
      </c>
    </row>
    <row r="101" spans="1:17" ht="23.25" customHeight="1" x14ac:dyDescent="0.5">
      <c r="A101" s="77"/>
      <c r="B101" s="78" t="s">
        <v>39</v>
      </c>
      <c r="C101" s="79" t="s">
        <v>69</v>
      </c>
      <c r="D101" s="92" t="s">
        <v>34</v>
      </c>
      <c r="E101" s="93" t="s">
        <v>42</v>
      </c>
      <c r="F101" s="93"/>
      <c r="G101" s="93" t="s">
        <v>66</v>
      </c>
      <c r="H101" s="97" t="s">
        <v>485</v>
      </c>
      <c r="I101" s="174"/>
      <c r="J101" s="202">
        <f t="shared" si="20"/>
        <v>0</v>
      </c>
      <c r="K101" s="94">
        <f t="shared" si="19"/>
        <v>0</v>
      </c>
      <c r="L101" s="95" t="s">
        <v>45</v>
      </c>
      <c r="M101" s="27"/>
      <c r="N101" s="27"/>
      <c r="O101" s="18">
        <f t="shared" si="21"/>
        <v>0</v>
      </c>
      <c r="P101" s="18">
        <f t="shared" si="22"/>
        <v>0</v>
      </c>
      <c r="Q101" s="8">
        <f t="shared" si="23"/>
        <v>0</v>
      </c>
    </row>
    <row r="102" spans="1:17" ht="23.25" customHeight="1" x14ac:dyDescent="0.5">
      <c r="A102" s="77"/>
      <c r="B102" s="78" t="s">
        <v>39</v>
      </c>
      <c r="C102" s="79" t="s">
        <v>69</v>
      </c>
      <c r="D102" s="92" t="s">
        <v>73</v>
      </c>
      <c r="E102" s="93" t="s">
        <v>42</v>
      </c>
      <c r="F102" s="93"/>
      <c r="G102" s="93" t="s">
        <v>66</v>
      </c>
      <c r="H102" s="97" t="s">
        <v>485</v>
      </c>
      <c r="I102" s="174"/>
      <c r="J102" s="202">
        <f t="shared" si="20"/>
        <v>0</v>
      </c>
      <c r="K102" s="94">
        <f t="shared" si="19"/>
        <v>0</v>
      </c>
      <c r="L102" s="95" t="s">
        <v>45</v>
      </c>
      <c r="M102" s="27"/>
      <c r="N102" s="27"/>
      <c r="O102" s="18">
        <f t="shared" si="21"/>
        <v>0</v>
      </c>
      <c r="P102" s="18">
        <f t="shared" si="22"/>
        <v>0</v>
      </c>
      <c r="Q102" s="8">
        <f t="shared" si="23"/>
        <v>0</v>
      </c>
    </row>
    <row r="103" spans="1:17" ht="23.25" customHeight="1" x14ac:dyDescent="0.5">
      <c r="A103" s="77"/>
      <c r="B103" s="78" t="s">
        <v>39</v>
      </c>
      <c r="C103" s="79" t="s">
        <v>69</v>
      </c>
      <c r="D103" s="92" t="s">
        <v>486</v>
      </c>
      <c r="E103" s="93" t="s">
        <v>71</v>
      </c>
      <c r="F103" s="93"/>
      <c r="G103" s="93" t="s">
        <v>66</v>
      </c>
      <c r="H103" s="97" t="s">
        <v>485</v>
      </c>
      <c r="I103" s="174"/>
      <c r="J103" s="202">
        <f t="shared" si="20"/>
        <v>0</v>
      </c>
      <c r="K103" s="94">
        <f t="shared" si="19"/>
        <v>0</v>
      </c>
      <c r="L103" s="95" t="s">
        <v>45</v>
      </c>
      <c r="M103" s="27"/>
      <c r="N103" s="27"/>
      <c r="O103" s="18">
        <f t="shared" si="21"/>
        <v>0</v>
      </c>
      <c r="P103" s="18">
        <f t="shared" si="22"/>
        <v>0</v>
      </c>
      <c r="Q103" s="8">
        <f t="shared" si="23"/>
        <v>0</v>
      </c>
    </row>
    <row r="104" spans="1:17" ht="23.25" customHeight="1" x14ac:dyDescent="0.5">
      <c r="A104" s="77"/>
      <c r="B104" s="78" t="s">
        <v>39</v>
      </c>
      <c r="C104" s="79" t="s">
        <v>69</v>
      </c>
      <c r="D104" s="92" t="s">
        <v>46</v>
      </c>
      <c r="E104" s="93" t="s">
        <v>42</v>
      </c>
      <c r="F104" s="93"/>
      <c r="G104" s="93" t="s">
        <v>66</v>
      </c>
      <c r="H104" s="97" t="s">
        <v>485</v>
      </c>
      <c r="I104" s="174"/>
      <c r="J104" s="202">
        <f t="shared" si="20"/>
        <v>0</v>
      </c>
      <c r="K104" s="94">
        <f t="shared" si="19"/>
        <v>0</v>
      </c>
      <c r="L104" s="95" t="s">
        <v>45</v>
      </c>
      <c r="M104" s="27"/>
      <c r="N104" s="27"/>
      <c r="O104" s="18">
        <f t="shared" si="21"/>
        <v>0</v>
      </c>
      <c r="P104" s="18">
        <f t="shared" si="22"/>
        <v>0</v>
      </c>
      <c r="Q104" s="8">
        <f t="shared" si="23"/>
        <v>0</v>
      </c>
    </row>
    <row r="105" spans="1:17" ht="23.25" customHeight="1" x14ac:dyDescent="0.5">
      <c r="A105" s="77"/>
      <c r="B105" s="78" t="s">
        <v>39</v>
      </c>
      <c r="C105" s="79" t="s">
        <v>69</v>
      </c>
      <c r="D105" s="92" t="s">
        <v>47</v>
      </c>
      <c r="E105" s="93" t="s">
        <v>42</v>
      </c>
      <c r="F105" s="93"/>
      <c r="G105" s="93" t="s">
        <v>66</v>
      </c>
      <c r="H105" s="97" t="s">
        <v>485</v>
      </c>
      <c r="I105" s="174"/>
      <c r="J105" s="202">
        <f t="shared" si="20"/>
        <v>0</v>
      </c>
      <c r="K105" s="94">
        <f t="shared" si="19"/>
        <v>0</v>
      </c>
      <c r="L105" s="95" t="s">
        <v>45</v>
      </c>
      <c r="M105" s="27"/>
      <c r="N105" s="27"/>
      <c r="O105" s="18">
        <f t="shared" si="21"/>
        <v>0</v>
      </c>
      <c r="P105" s="18">
        <f t="shared" si="22"/>
        <v>0</v>
      </c>
      <c r="Q105" s="8">
        <f t="shared" si="23"/>
        <v>0</v>
      </c>
    </row>
    <row r="106" spans="1:17" ht="23.25" customHeight="1" x14ac:dyDescent="0.5">
      <c r="A106" s="77"/>
      <c r="B106" s="78" t="s">
        <v>39</v>
      </c>
      <c r="C106" s="79" t="s">
        <v>69</v>
      </c>
      <c r="D106" s="92" t="s">
        <v>48</v>
      </c>
      <c r="E106" s="93" t="s">
        <v>42</v>
      </c>
      <c r="F106" s="93"/>
      <c r="G106" s="93" t="s">
        <v>66</v>
      </c>
      <c r="H106" s="97" t="s">
        <v>485</v>
      </c>
      <c r="I106" s="174"/>
      <c r="J106" s="202">
        <f t="shared" si="20"/>
        <v>0</v>
      </c>
      <c r="K106" s="94">
        <f t="shared" si="19"/>
        <v>0</v>
      </c>
      <c r="L106" s="95" t="s">
        <v>45</v>
      </c>
      <c r="M106" s="27"/>
      <c r="N106" s="27"/>
      <c r="O106" s="18">
        <f t="shared" si="21"/>
        <v>0</v>
      </c>
      <c r="P106" s="18">
        <f t="shared" si="22"/>
        <v>0</v>
      </c>
      <c r="Q106" s="8">
        <f t="shared" si="23"/>
        <v>0</v>
      </c>
    </row>
    <row r="107" spans="1:17" ht="23.25" customHeight="1" x14ac:dyDescent="0.5">
      <c r="A107" s="77"/>
      <c r="B107" s="78" t="s">
        <v>39</v>
      </c>
      <c r="C107" s="79" t="s">
        <v>69</v>
      </c>
      <c r="D107" s="92" t="s">
        <v>67</v>
      </c>
      <c r="E107" s="93" t="s">
        <v>42</v>
      </c>
      <c r="F107" s="93"/>
      <c r="G107" s="93" t="s">
        <v>66</v>
      </c>
      <c r="H107" s="97" t="s">
        <v>485</v>
      </c>
      <c r="I107" s="175"/>
      <c r="J107" s="202">
        <f t="shared" si="20"/>
        <v>0</v>
      </c>
      <c r="K107" s="94">
        <f t="shared" si="19"/>
        <v>0</v>
      </c>
      <c r="L107" s="95" t="s">
        <v>45</v>
      </c>
      <c r="M107" s="27"/>
      <c r="N107" s="27"/>
      <c r="O107" s="18">
        <f t="shared" si="21"/>
        <v>0</v>
      </c>
      <c r="P107" s="18">
        <f t="shared" si="22"/>
        <v>0</v>
      </c>
      <c r="Q107" s="8">
        <f t="shared" si="23"/>
        <v>0</v>
      </c>
    </row>
    <row r="108" spans="1:17" ht="23.25" customHeight="1" x14ac:dyDescent="0.5">
      <c r="A108" s="77">
        <v>92</v>
      </c>
      <c r="B108" s="78" t="s">
        <v>39</v>
      </c>
      <c r="C108" s="79" t="s">
        <v>69</v>
      </c>
      <c r="D108" s="92" t="s">
        <v>77</v>
      </c>
      <c r="E108" s="93" t="s">
        <v>42</v>
      </c>
      <c r="F108" s="93"/>
      <c r="G108" s="93" t="s">
        <v>78</v>
      </c>
      <c r="H108" s="97" t="s">
        <v>59</v>
      </c>
      <c r="I108" s="94"/>
      <c r="J108" s="202">
        <f t="shared" si="20"/>
        <v>0</v>
      </c>
      <c r="K108" s="94">
        <f t="shared" si="19"/>
        <v>0</v>
      </c>
      <c r="L108" s="95" t="s">
        <v>15</v>
      </c>
      <c r="M108" s="27"/>
      <c r="N108" s="27"/>
      <c r="O108" s="18">
        <f t="shared" si="21"/>
        <v>0</v>
      </c>
      <c r="P108" s="18">
        <f t="shared" si="22"/>
        <v>0</v>
      </c>
      <c r="Q108" s="8">
        <f t="shared" si="23"/>
        <v>0</v>
      </c>
    </row>
    <row r="109" spans="1:17" ht="23.25" customHeight="1" x14ac:dyDescent="0.5">
      <c r="A109" s="77">
        <v>93</v>
      </c>
      <c r="B109" s="78" t="s">
        <v>39</v>
      </c>
      <c r="C109" s="79" t="s">
        <v>69</v>
      </c>
      <c r="D109" s="92" t="s">
        <v>68</v>
      </c>
      <c r="E109" s="93" t="s">
        <v>42</v>
      </c>
      <c r="F109" s="93"/>
      <c r="G109" s="93" t="s">
        <v>78</v>
      </c>
      <c r="H109" s="97" t="s">
        <v>59</v>
      </c>
      <c r="I109" s="94"/>
      <c r="J109" s="202">
        <f t="shared" si="20"/>
        <v>0</v>
      </c>
      <c r="K109" s="94">
        <f t="shared" si="19"/>
        <v>0</v>
      </c>
      <c r="L109" s="95" t="s">
        <v>15</v>
      </c>
      <c r="M109" s="27"/>
      <c r="N109" s="27"/>
      <c r="O109" s="18">
        <f t="shared" si="21"/>
        <v>0</v>
      </c>
      <c r="P109" s="18">
        <f t="shared" si="22"/>
        <v>0</v>
      </c>
      <c r="Q109" s="8">
        <f t="shared" si="23"/>
        <v>0</v>
      </c>
    </row>
    <row r="110" spans="1:17" ht="23.25" customHeight="1" x14ac:dyDescent="0.5">
      <c r="A110" s="77">
        <v>94</v>
      </c>
      <c r="B110" s="78" t="s">
        <v>39</v>
      </c>
      <c r="C110" s="79" t="s">
        <v>69</v>
      </c>
      <c r="D110" s="92" t="s">
        <v>79</v>
      </c>
      <c r="E110" s="93" t="s">
        <v>42</v>
      </c>
      <c r="F110" s="93"/>
      <c r="G110" s="93" t="s">
        <v>78</v>
      </c>
      <c r="H110" s="97" t="s">
        <v>59</v>
      </c>
      <c r="I110" s="94"/>
      <c r="J110" s="202">
        <f t="shared" si="20"/>
        <v>0</v>
      </c>
      <c r="K110" s="94">
        <f t="shared" si="19"/>
        <v>0</v>
      </c>
      <c r="L110" s="95" t="s">
        <v>15</v>
      </c>
      <c r="M110" s="27"/>
      <c r="N110" s="27"/>
      <c r="O110" s="18">
        <f t="shared" si="21"/>
        <v>0</v>
      </c>
      <c r="P110" s="18">
        <f t="shared" si="22"/>
        <v>0</v>
      </c>
      <c r="Q110" s="8">
        <f t="shared" si="23"/>
        <v>0</v>
      </c>
    </row>
    <row r="111" spans="1:17" ht="27.65" customHeight="1" x14ac:dyDescent="0.5">
      <c r="A111" s="77">
        <v>95</v>
      </c>
      <c r="B111" s="78" t="s">
        <v>39</v>
      </c>
      <c r="C111" s="96" t="s">
        <v>69</v>
      </c>
      <c r="D111" s="92" t="s">
        <v>60</v>
      </c>
      <c r="E111" s="93"/>
      <c r="F111" s="93"/>
      <c r="G111" s="93"/>
      <c r="H111" s="97"/>
      <c r="I111" s="99"/>
      <c r="J111" s="202">
        <f t="shared" si="20"/>
        <v>0</v>
      </c>
      <c r="K111" s="94">
        <f t="shared" si="19"/>
        <v>0</v>
      </c>
      <c r="L111" s="95" t="s">
        <v>15</v>
      </c>
      <c r="M111" s="17"/>
      <c r="N111" s="17"/>
      <c r="O111" s="18">
        <f t="shared" si="21"/>
        <v>0</v>
      </c>
      <c r="P111" s="18">
        <f t="shared" si="22"/>
        <v>0</v>
      </c>
      <c r="Q111" s="8">
        <f t="shared" si="23"/>
        <v>0</v>
      </c>
    </row>
    <row r="112" spans="1:17" ht="23.15" customHeight="1" x14ac:dyDescent="0.55000000000000004">
      <c r="A112" s="77">
        <v>96</v>
      </c>
      <c r="B112" s="78" t="s">
        <v>80</v>
      </c>
      <c r="C112" s="100" t="s">
        <v>81</v>
      </c>
      <c r="D112" s="80" t="s">
        <v>82</v>
      </c>
      <c r="E112" s="81"/>
      <c r="F112" s="81"/>
      <c r="G112" s="81"/>
      <c r="H112" s="82"/>
      <c r="I112" s="83"/>
      <c r="J112" s="200"/>
      <c r="K112" s="94">
        <f t="shared" si="19"/>
        <v>0</v>
      </c>
      <c r="L112" s="84"/>
      <c r="M112" s="33"/>
      <c r="N112" s="33"/>
      <c r="O112" s="26"/>
      <c r="P112" s="26"/>
      <c r="Q112" s="7"/>
    </row>
    <row r="113" spans="1:19" ht="23.25" customHeight="1" x14ac:dyDescent="0.55000000000000004">
      <c r="A113" s="77">
        <v>97</v>
      </c>
      <c r="B113" s="78" t="s">
        <v>80</v>
      </c>
      <c r="C113" s="100" t="s">
        <v>81</v>
      </c>
      <c r="D113" s="85" t="s">
        <v>81</v>
      </c>
      <c r="E113" s="86"/>
      <c r="F113" s="86"/>
      <c r="G113" s="86"/>
      <c r="H113" s="87"/>
      <c r="I113" s="88"/>
      <c r="J113" s="201"/>
      <c r="K113" s="94">
        <f t="shared" si="19"/>
        <v>0</v>
      </c>
      <c r="L113" s="89"/>
      <c r="M113" s="87"/>
      <c r="N113" s="87"/>
      <c r="O113" s="90"/>
      <c r="P113" s="90"/>
      <c r="Q113" s="9"/>
    </row>
    <row r="114" spans="1:19" ht="23.25" customHeight="1" x14ac:dyDescent="0.5">
      <c r="A114" s="77">
        <v>98</v>
      </c>
      <c r="B114" s="78" t="s">
        <v>80</v>
      </c>
      <c r="C114" s="100" t="s">
        <v>81</v>
      </c>
      <c r="D114" s="101" t="s">
        <v>83</v>
      </c>
      <c r="E114" s="97" t="s">
        <v>55</v>
      </c>
      <c r="F114" s="97"/>
      <c r="G114" s="97" t="s">
        <v>84</v>
      </c>
      <c r="H114" s="97" t="s">
        <v>85</v>
      </c>
      <c r="I114" s="99">
        <v>0.89999999999999991</v>
      </c>
      <c r="J114" s="202">
        <v>0.4</v>
      </c>
      <c r="K114" s="94">
        <f t="shared" si="19"/>
        <v>-0.49999999999999989</v>
      </c>
      <c r="L114" s="95" t="s">
        <v>45</v>
      </c>
      <c r="M114" s="27"/>
      <c r="N114" s="27"/>
      <c r="O114" s="18">
        <f t="shared" ref="O114:O145" si="24">M114*J114</f>
        <v>0</v>
      </c>
      <c r="P114" s="18">
        <f t="shared" ref="P114:P145" si="25">N114*J114</f>
        <v>0</v>
      </c>
      <c r="Q114" s="8">
        <f t="shared" ref="Q114:Q145" si="26">(M114*J114)+(N114*J114)</f>
        <v>0</v>
      </c>
    </row>
    <row r="115" spans="1:19" ht="23.25" customHeight="1" x14ac:dyDescent="0.5">
      <c r="A115" s="77">
        <v>99</v>
      </c>
      <c r="B115" s="78" t="s">
        <v>80</v>
      </c>
      <c r="C115" s="100" t="s">
        <v>81</v>
      </c>
      <c r="D115" s="101" t="s">
        <v>86</v>
      </c>
      <c r="E115" s="97" t="s">
        <v>55</v>
      </c>
      <c r="F115" s="97"/>
      <c r="G115" s="97" t="s">
        <v>87</v>
      </c>
      <c r="H115" s="97" t="s">
        <v>85</v>
      </c>
      <c r="I115" s="99">
        <v>4</v>
      </c>
      <c r="J115" s="202">
        <v>5</v>
      </c>
      <c r="K115" s="94">
        <f t="shared" si="19"/>
        <v>1</v>
      </c>
      <c r="L115" s="95" t="s">
        <v>15</v>
      </c>
      <c r="M115" s="27"/>
      <c r="N115" s="27"/>
      <c r="O115" s="18">
        <f t="shared" si="24"/>
        <v>0</v>
      </c>
      <c r="P115" s="18">
        <f t="shared" si="25"/>
        <v>0</v>
      </c>
      <c r="Q115" s="8">
        <f t="shared" si="26"/>
        <v>0</v>
      </c>
      <c r="R115" s="211" t="s">
        <v>550</v>
      </c>
      <c r="S115" s="211"/>
    </row>
    <row r="116" spans="1:19" ht="23.25" customHeight="1" x14ac:dyDescent="0.5">
      <c r="A116" s="77">
        <v>100</v>
      </c>
      <c r="B116" s="78" t="s">
        <v>80</v>
      </c>
      <c r="C116" s="100" t="s">
        <v>81</v>
      </c>
      <c r="D116" s="101" t="s">
        <v>46</v>
      </c>
      <c r="E116" s="97" t="s">
        <v>55</v>
      </c>
      <c r="F116" s="97"/>
      <c r="G116" s="97" t="s">
        <v>55</v>
      </c>
      <c r="H116" s="97" t="s">
        <v>85</v>
      </c>
      <c r="I116" s="99"/>
      <c r="J116" s="202">
        <f t="shared" ref="J116:J177" si="27">I116</f>
        <v>0</v>
      </c>
      <c r="K116" s="94">
        <f t="shared" si="19"/>
        <v>0</v>
      </c>
      <c r="L116" s="95" t="s">
        <v>15</v>
      </c>
      <c r="M116" s="27"/>
      <c r="N116" s="27"/>
      <c r="O116" s="18">
        <f t="shared" si="24"/>
        <v>0</v>
      </c>
      <c r="P116" s="18">
        <f t="shared" si="25"/>
        <v>0</v>
      </c>
      <c r="Q116" s="8">
        <f t="shared" si="26"/>
        <v>0</v>
      </c>
      <c r="R116" s="210"/>
      <c r="S116" s="210"/>
    </row>
    <row r="117" spans="1:19" ht="23.25" customHeight="1" x14ac:dyDescent="0.5">
      <c r="A117" s="77">
        <v>101</v>
      </c>
      <c r="B117" s="78" t="s">
        <v>80</v>
      </c>
      <c r="C117" s="100" t="s">
        <v>81</v>
      </c>
      <c r="D117" s="101" t="s">
        <v>88</v>
      </c>
      <c r="E117" s="97" t="s">
        <v>55</v>
      </c>
      <c r="F117" s="97"/>
      <c r="G117" s="97" t="s">
        <v>55</v>
      </c>
      <c r="H117" s="97" t="s">
        <v>85</v>
      </c>
      <c r="I117" s="99"/>
      <c r="J117" s="202">
        <f t="shared" si="27"/>
        <v>0</v>
      </c>
      <c r="K117" s="94">
        <f t="shared" si="19"/>
        <v>0</v>
      </c>
      <c r="L117" s="95" t="s">
        <v>15</v>
      </c>
      <c r="M117" s="27"/>
      <c r="N117" s="27"/>
      <c r="O117" s="18">
        <f t="shared" si="24"/>
        <v>0</v>
      </c>
      <c r="P117" s="18">
        <f t="shared" si="25"/>
        <v>0</v>
      </c>
      <c r="Q117" s="8">
        <f t="shared" si="26"/>
        <v>0</v>
      </c>
      <c r="R117" s="210"/>
      <c r="S117" s="210"/>
    </row>
    <row r="118" spans="1:19" ht="23.25" customHeight="1" x14ac:dyDescent="0.5">
      <c r="A118" s="77">
        <v>102</v>
      </c>
      <c r="B118" s="78" t="s">
        <v>80</v>
      </c>
      <c r="C118" s="100" t="s">
        <v>81</v>
      </c>
      <c r="D118" s="101" t="s">
        <v>89</v>
      </c>
      <c r="E118" s="97" t="s">
        <v>55</v>
      </c>
      <c r="F118" s="97"/>
      <c r="G118" s="97" t="s">
        <v>55</v>
      </c>
      <c r="H118" s="97" t="s">
        <v>85</v>
      </c>
      <c r="I118" s="99">
        <v>3</v>
      </c>
      <c r="J118" s="202">
        <v>0</v>
      </c>
      <c r="K118" s="94">
        <f t="shared" si="19"/>
        <v>-3</v>
      </c>
      <c r="L118" s="95" t="s">
        <v>15</v>
      </c>
      <c r="M118" s="27"/>
      <c r="N118" s="27"/>
      <c r="O118" s="18">
        <f t="shared" si="24"/>
        <v>0</v>
      </c>
      <c r="P118" s="18">
        <f t="shared" si="25"/>
        <v>0</v>
      </c>
      <c r="Q118" s="8">
        <f t="shared" si="26"/>
        <v>0</v>
      </c>
      <c r="R118" s="210"/>
      <c r="S118" s="210"/>
    </row>
    <row r="119" spans="1:19" ht="23.25" customHeight="1" x14ac:dyDescent="0.5">
      <c r="A119" s="77">
        <v>103</v>
      </c>
      <c r="B119" s="78" t="s">
        <v>80</v>
      </c>
      <c r="C119" s="100" t="s">
        <v>81</v>
      </c>
      <c r="D119" s="101" t="s">
        <v>90</v>
      </c>
      <c r="E119" s="97" t="s">
        <v>55</v>
      </c>
      <c r="F119" s="97"/>
      <c r="G119" s="97" t="s">
        <v>55</v>
      </c>
      <c r="H119" s="97" t="s">
        <v>85</v>
      </c>
      <c r="I119" s="99"/>
      <c r="J119" s="202">
        <f t="shared" si="27"/>
        <v>0</v>
      </c>
      <c r="K119" s="94">
        <f t="shared" si="19"/>
        <v>0</v>
      </c>
      <c r="L119" s="95" t="s">
        <v>15</v>
      </c>
      <c r="M119" s="27"/>
      <c r="N119" s="27"/>
      <c r="O119" s="18">
        <f t="shared" si="24"/>
        <v>0</v>
      </c>
      <c r="P119" s="18">
        <f t="shared" si="25"/>
        <v>0</v>
      </c>
      <c r="Q119" s="8">
        <f t="shared" si="26"/>
        <v>0</v>
      </c>
      <c r="R119" s="210"/>
      <c r="S119" s="210"/>
    </row>
    <row r="120" spans="1:19" ht="23.25" customHeight="1" x14ac:dyDescent="0.5">
      <c r="A120" s="77">
        <v>104</v>
      </c>
      <c r="B120" s="78" t="s">
        <v>80</v>
      </c>
      <c r="C120" s="100" t="s">
        <v>81</v>
      </c>
      <c r="D120" s="101" t="s">
        <v>91</v>
      </c>
      <c r="E120" s="97" t="s">
        <v>55</v>
      </c>
      <c r="F120" s="97"/>
      <c r="G120" s="97" t="s">
        <v>55</v>
      </c>
      <c r="H120" s="97" t="s">
        <v>85</v>
      </c>
      <c r="I120" s="99">
        <v>3</v>
      </c>
      <c r="J120" s="202">
        <v>0</v>
      </c>
      <c r="K120" s="94">
        <f t="shared" si="19"/>
        <v>-3</v>
      </c>
      <c r="L120" s="95" t="s">
        <v>15</v>
      </c>
      <c r="M120" s="27"/>
      <c r="N120" s="27"/>
      <c r="O120" s="18">
        <f t="shared" si="24"/>
        <v>0</v>
      </c>
      <c r="P120" s="18">
        <f t="shared" si="25"/>
        <v>0</v>
      </c>
      <c r="Q120" s="8">
        <f t="shared" si="26"/>
        <v>0</v>
      </c>
      <c r="R120" s="210"/>
      <c r="S120" s="210"/>
    </row>
    <row r="121" spans="1:19" s="263" customFormat="1" ht="23.25" customHeight="1" x14ac:dyDescent="0.5">
      <c r="A121" s="264">
        <v>105</v>
      </c>
      <c r="B121" s="251" t="s">
        <v>80</v>
      </c>
      <c r="C121" s="266" t="s">
        <v>81</v>
      </c>
      <c r="D121" s="267" t="s">
        <v>83</v>
      </c>
      <c r="E121" s="268" t="s">
        <v>55</v>
      </c>
      <c r="F121" s="268"/>
      <c r="G121" s="268" t="s">
        <v>84</v>
      </c>
      <c r="H121" s="268" t="s">
        <v>92</v>
      </c>
      <c r="I121" s="269">
        <v>0.5</v>
      </c>
      <c r="J121" s="256">
        <v>7.6</v>
      </c>
      <c r="K121" s="257">
        <f t="shared" si="19"/>
        <v>7.1</v>
      </c>
      <c r="L121" s="270" t="s">
        <v>45</v>
      </c>
      <c r="M121" s="271"/>
      <c r="N121" s="271"/>
      <c r="O121" s="260">
        <f t="shared" si="24"/>
        <v>0</v>
      </c>
      <c r="P121" s="260">
        <f t="shared" si="25"/>
        <v>0</v>
      </c>
      <c r="Q121" s="261">
        <f t="shared" si="26"/>
        <v>0</v>
      </c>
      <c r="R121" s="262" t="s">
        <v>574</v>
      </c>
      <c r="S121" s="262"/>
    </row>
    <row r="122" spans="1:19" ht="23.25" customHeight="1" x14ac:dyDescent="0.5">
      <c r="A122" s="77">
        <v>106</v>
      </c>
      <c r="B122" s="78" t="s">
        <v>80</v>
      </c>
      <c r="C122" s="100" t="s">
        <v>81</v>
      </c>
      <c r="D122" s="101" t="s">
        <v>86</v>
      </c>
      <c r="E122" s="97" t="s">
        <v>55</v>
      </c>
      <c r="F122" s="97"/>
      <c r="G122" s="97" t="s">
        <v>87</v>
      </c>
      <c r="H122" s="97" t="s">
        <v>92</v>
      </c>
      <c r="I122" s="99">
        <v>6</v>
      </c>
      <c r="J122" s="202">
        <v>5</v>
      </c>
      <c r="K122" s="94">
        <f t="shared" si="19"/>
        <v>-1</v>
      </c>
      <c r="L122" s="95" t="s">
        <v>15</v>
      </c>
      <c r="M122" s="27"/>
      <c r="N122" s="27"/>
      <c r="O122" s="18">
        <f t="shared" si="24"/>
        <v>0</v>
      </c>
      <c r="P122" s="18">
        <f t="shared" si="25"/>
        <v>0</v>
      </c>
      <c r="Q122" s="8">
        <f t="shared" si="26"/>
        <v>0</v>
      </c>
      <c r="R122" s="211" t="s">
        <v>551</v>
      </c>
      <c r="S122" s="211"/>
    </row>
    <row r="123" spans="1:19" ht="23.25" customHeight="1" x14ac:dyDescent="0.5">
      <c r="A123" s="77">
        <v>107</v>
      </c>
      <c r="B123" s="78" t="s">
        <v>80</v>
      </c>
      <c r="C123" s="100" t="s">
        <v>81</v>
      </c>
      <c r="D123" s="101" t="s">
        <v>46</v>
      </c>
      <c r="E123" s="97" t="s">
        <v>55</v>
      </c>
      <c r="F123" s="97"/>
      <c r="G123" s="97" t="s">
        <v>55</v>
      </c>
      <c r="H123" s="97" t="s">
        <v>92</v>
      </c>
      <c r="I123" s="99">
        <v>6</v>
      </c>
      <c r="J123" s="202">
        <v>6</v>
      </c>
      <c r="K123" s="94">
        <f t="shared" si="19"/>
        <v>0</v>
      </c>
      <c r="L123" s="95" t="s">
        <v>15</v>
      </c>
      <c r="M123" s="27"/>
      <c r="N123" s="27"/>
      <c r="O123" s="18">
        <f t="shared" si="24"/>
        <v>0</v>
      </c>
      <c r="P123" s="18">
        <f t="shared" si="25"/>
        <v>0</v>
      </c>
      <c r="Q123" s="8">
        <f t="shared" si="26"/>
        <v>0</v>
      </c>
      <c r="R123" s="210"/>
      <c r="S123" s="210"/>
    </row>
    <row r="124" spans="1:19" s="229" customFormat="1" ht="23.25" customHeight="1" x14ac:dyDescent="0.5">
      <c r="A124" s="216">
        <v>108</v>
      </c>
      <c r="B124" s="217" t="s">
        <v>80</v>
      </c>
      <c r="C124" s="218" t="s">
        <v>81</v>
      </c>
      <c r="D124" s="219" t="s">
        <v>88</v>
      </c>
      <c r="E124" s="220" t="s">
        <v>55</v>
      </c>
      <c r="F124" s="220"/>
      <c r="G124" s="220" t="s">
        <v>55</v>
      </c>
      <c r="H124" s="220" t="s">
        <v>92</v>
      </c>
      <c r="I124" s="221"/>
      <c r="J124" s="222">
        <v>3</v>
      </c>
      <c r="K124" s="223">
        <f t="shared" si="19"/>
        <v>3</v>
      </c>
      <c r="L124" s="224" t="s">
        <v>15</v>
      </c>
      <c r="M124" s="225"/>
      <c r="N124" s="225"/>
      <c r="O124" s="226">
        <f t="shared" si="24"/>
        <v>0</v>
      </c>
      <c r="P124" s="226">
        <f t="shared" si="25"/>
        <v>0</v>
      </c>
      <c r="Q124" s="227">
        <f t="shared" si="26"/>
        <v>0</v>
      </c>
      <c r="R124" s="228"/>
      <c r="S124" s="228"/>
    </row>
    <row r="125" spans="1:19" s="229" customFormat="1" ht="23.25" customHeight="1" x14ac:dyDescent="0.5">
      <c r="A125" s="216">
        <v>109</v>
      </c>
      <c r="B125" s="217" t="s">
        <v>80</v>
      </c>
      <c r="C125" s="218" t="s">
        <v>81</v>
      </c>
      <c r="D125" s="219" t="s">
        <v>89</v>
      </c>
      <c r="E125" s="220" t="s">
        <v>55</v>
      </c>
      <c r="F125" s="220"/>
      <c r="G125" s="220" t="s">
        <v>55</v>
      </c>
      <c r="H125" s="220" t="s">
        <v>92</v>
      </c>
      <c r="I125" s="221"/>
      <c r="J125" s="222">
        <v>3</v>
      </c>
      <c r="K125" s="223">
        <f t="shared" si="19"/>
        <v>3</v>
      </c>
      <c r="L125" s="224" t="s">
        <v>15</v>
      </c>
      <c r="M125" s="225"/>
      <c r="N125" s="225"/>
      <c r="O125" s="226">
        <f t="shared" si="24"/>
        <v>0</v>
      </c>
      <c r="P125" s="226">
        <f t="shared" si="25"/>
        <v>0</v>
      </c>
      <c r="Q125" s="227">
        <f t="shared" si="26"/>
        <v>0</v>
      </c>
      <c r="R125" s="228"/>
      <c r="S125" s="228"/>
    </row>
    <row r="126" spans="1:19" s="229" customFormat="1" ht="23.25" customHeight="1" x14ac:dyDescent="0.5">
      <c r="A126" s="216">
        <v>110</v>
      </c>
      <c r="B126" s="217" t="s">
        <v>80</v>
      </c>
      <c r="C126" s="218" t="s">
        <v>81</v>
      </c>
      <c r="D126" s="219" t="s">
        <v>90</v>
      </c>
      <c r="E126" s="220" t="s">
        <v>55</v>
      </c>
      <c r="F126" s="220"/>
      <c r="G126" s="220" t="s">
        <v>55</v>
      </c>
      <c r="H126" s="220" t="s">
        <v>92</v>
      </c>
      <c r="I126" s="221"/>
      <c r="J126" s="222">
        <v>3</v>
      </c>
      <c r="K126" s="223">
        <f t="shared" si="19"/>
        <v>3</v>
      </c>
      <c r="L126" s="224" t="s">
        <v>15</v>
      </c>
      <c r="M126" s="225"/>
      <c r="N126" s="225"/>
      <c r="O126" s="226">
        <f t="shared" si="24"/>
        <v>0</v>
      </c>
      <c r="P126" s="226">
        <f t="shared" si="25"/>
        <v>0</v>
      </c>
      <c r="Q126" s="227">
        <f t="shared" si="26"/>
        <v>0</v>
      </c>
      <c r="R126" s="228"/>
      <c r="S126" s="228"/>
    </row>
    <row r="127" spans="1:19" ht="23.25" customHeight="1" x14ac:dyDescent="0.5">
      <c r="A127" s="77">
        <v>111</v>
      </c>
      <c r="B127" s="78" t="s">
        <v>80</v>
      </c>
      <c r="C127" s="100" t="s">
        <v>81</v>
      </c>
      <c r="D127" s="101" t="s">
        <v>91</v>
      </c>
      <c r="E127" s="97" t="s">
        <v>55</v>
      </c>
      <c r="F127" s="97"/>
      <c r="G127" s="97" t="s">
        <v>55</v>
      </c>
      <c r="H127" s="97" t="s">
        <v>92</v>
      </c>
      <c r="I127" s="99"/>
      <c r="J127" s="202">
        <f t="shared" si="27"/>
        <v>0</v>
      </c>
      <c r="K127" s="94">
        <f t="shared" si="19"/>
        <v>0</v>
      </c>
      <c r="L127" s="95" t="s">
        <v>15</v>
      </c>
      <c r="M127" s="27"/>
      <c r="N127" s="27"/>
      <c r="O127" s="18">
        <f t="shared" si="24"/>
        <v>0</v>
      </c>
      <c r="P127" s="18">
        <f t="shared" si="25"/>
        <v>0</v>
      </c>
      <c r="Q127" s="8">
        <f t="shared" si="26"/>
        <v>0</v>
      </c>
      <c r="R127" s="210"/>
      <c r="S127" s="210"/>
    </row>
    <row r="128" spans="1:19" ht="23.25" customHeight="1" x14ac:dyDescent="0.5">
      <c r="A128" s="77">
        <v>112</v>
      </c>
      <c r="B128" s="78" t="s">
        <v>80</v>
      </c>
      <c r="C128" s="100" t="s">
        <v>81</v>
      </c>
      <c r="D128" s="101" t="s">
        <v>83</v>
      </c>
      <c r="E128" s="97" t="s">
        <v>55</v>
      </c>
      <c r="F128" s="97"/>
      <c r="G128" s="97" t="s">
        <v>84</v>
      </c>
      <c r="H128" s="97" t="s">
        <v>93</v>
      </c>
      <c r="I128" s="99">
        <v>12.399999999999999</v>
      </c>
      <c r="J128" s="202">
        <v>13.2</v>
      </c>
      <c r="K128" s="94">
        <f t="shared" si="19"/>
        <v>0.80000000000000071</v>
      </c>
      <c r="L128" s="95" t="s">
        <v>45</v>
      </c>
      <c r="M128" s="27"/>
      <c r="N128" s="27"/>
      <c r="O128" s="18">
        <f t="shared" si="24"/>
        <v>0</v>
      </c>
      <c r="P128" s="18">
        <f t="shared" si="25"/>
        <v>0</v>
      </c>
      <c r="Q128" s="8">
        <f t="shared" si="26"/>
        <v>0</v>
      </c>
      <c r="R128" s="210"/>
      <c r="S128" s="210"/>
    </row>
    <row r="129" spans="1:19" ht="23.25" customHeight="1" x14ac:dyDescent="0.5">
      <c r="A129" s="77">
        <v>113</v>
      </c>
      <c r="B129" s="78" t="s">
        <v>80</v>
      </c>
      <c r="C129" s="100" t="s">
        <v>81</v>
      </c>
      <c r="D129" s="101" t="s">
        <v>86</v>
      </c>
      <c r="E129" s="97" t="s">
        <v>55</v>
      </c>
      <c r="F129" s="97"/>
      <c r="G129" s="97" t="s">
        <v>87</v>
      </c>
      <c r="H129" s="97" t="s">
        <v>93</v>
      </c>
      <c r="I129" s="99">
        <v>0</v>
      </c>
      <c r="J129" s="202">
        <f t="shared" si="27"/>
        <v>0</v>
      </c>
      <c r="K129" s="94">
        <f t="shared" si="19"/>
        <v>0</v>
      </c>
      <c r="L129" s="95" t="s">
        <v>15</v>
      </c>
      <c r="M129" s="27"/>
      <c r="N129" s="27"/>
      <c r="O129" s="18">
        <f t="shared" si="24"/>
        <v>0</v>
      </c>
      <c r="P129" s="18">
        <f t="shared" si="25"/>
        <v>0</v>
      </c>
      <c r="Q129" s="8">
        <f t="shared" si="26"/>
        <v>0</v>
      </c>
      <c r="R129" s="210"/>
      <c r="S129" s="210"/>
    </row>
    <row r="130" spans="1:19" ht="23" customHeight="1" x14ac:dyDescent="0.5">
      <c r="A130" s="77">
        <v>114</v>
      </c>
      <c r="B130" s="78" t="s">
        <v>80</v>
      </c>
      <c r="C130" s="100" t="s">
        <v>81</v>
      </c>
      <c r="D130" s="101" t="s">
        <v>46</v>
      </c>
      <c r="E130" s="97" t="s">
        <v>55</v>
      </c>
      <c r="F130" s="97"/>
      <c r="G130" s="97" t="s">
        <v>55</v>
      </c>
      <c r="H130" s="97" t="s">
        <v>93</v>
      </c>
      <c r="I130" s="99">
        <v>10</v>
      </c>
      <c r="J130" s="202">
        <v>11</v>
      </c>
      <c r="K130" s="94">
        <f t="shared" si="19"/>
        <v>1</v>
      </c>
      <c r="L130" s="95" t="s">
        <v>15</v>
      </c>
      <c r="M130" s="27"/>
      <c r="N130" s="27"/>
      <c r="O130" s="18">
        <f t="shared" si="24"/>
        <v>0</v>
      </c>
      <c r="P130" s="18">
        <f t="shared" si="25"/>
        <v>0</v>
      </c>
      <c r="Q130" s="8">
        <f t="shared" si="26"/>
        <v>0</v>
      </c>
      <c r="R130" s="210"/>
      <c r="S130" s="210"/>
    </row>
    <row r="131" spans="1:19" ht="23.25" customHeight="1" x14ac:dyDescent="0.5">
      <c r="A131" s="77">
        <v>115</v>
      </c>
      <c r="B131" s="78" t="s">
        <v>80</v>
      </c>
      <c r="C131" s="100" t="s">
        <v>81</v>
      </c>
      <c r="D131" s="101" t="s">
        <v>88</v>
      </c>
      <c r="E131" s="97" t="s">
        <v>55</v>
      </c>
      <c r="F131" s="97"/>
      <c r="G131" s="97" t="s">
        <v>55</v>
      </c>
      <c r="H131" s="97" t="s">
        <v>93</v>
      </c>
      <c r="I131" s="99"/>
      <c r="J131" s="202">
        <f t="shared" si="27"/>
        <v>0</v>
      </c>
      <c r="K131" s="94">
        <f t="shared" si="19"/>
        <v>0</v>
      </c>
      <c r="L131" s="95" t="s">
        <v>15</v>
      </c>
      <c r="M131" s="27"/>
      <c r="N131" s="27"/>
      <c r="O131" s="18">
        <f t="shared" si="24"/>
        <v>0</v>
      </c>
      <c r="P131" s="18">
        <f t="shared" si="25"/>
        <v>0</v>
      </c>
      <c r="Q131" s="8">
        <f t="shared" si="26"/>
        <v>0</v>
      </c>
      <c r="R131" s="210"/>
      <c r="S131" s="210"/>
    </row>
    <row r="132" spans="1:19" ht="23.25" customHeight="1" x14ac:dyDescent="0.5">
      <c r="A132" s="77">
        <v>116</v>
      </c>
      <c r="B132" s="78" t="s">
        <v>80</v>
      </c>
      <c r="C132" s="100" t="s">
        <v>81</v>
      </c>
      <c r="D132" s="101" t="s">
        <v>89</v>
      </c>
      <c r="E132" s="97" t="s">
        <v>55</v>
      </c>
      <c r="F132" s="97"/>
      <c r="G132" s="97" t="s">
        <v>55</v>
      </c>
      <c r="H132" s="97" t="s">
        <v>93</v>
      </c>
      <c r="I132" s="99"/>
      <c r="J132" s="202">
        <f t="shared" si="27"/>
        <v>0</v>
      </c>
      <c r="K132" s="94">
        <f t="shared" si="19"/>
        <v>0</v>
      </c>
      <c r="L132" s="95" t="s">
        <v>15</v>
      </c>
      <c r="M132" s="27"/>
      <c r="N132" s="27"/>
      <c r="O132" s="18">
        <f t="shared" si="24"/>
        <v>0</v>
      </c>
      <c r="P132" s="18">
        <f t="shared" si="25"/>
        <v>0</v>
      </c>
      <c r="Q132" s="8">
        <f t="shared" si="26"/>
        <v>0</v>
      </c>
      <c r="R132" s="210"/>
      <c r="S132" s="210"/>
    </row>
    <row r="133" spans="1:19" ht="23.25" customHeight="1" x14ac:dyDescent="0.5">
      <c r="A133" s="77">
        <v>117</v>
      </c>
      <c r="B133" s="78" t="s">
        <v>80</v>
      </c>
      <c r="C133" s="100" t="s">
        <v>81</v>
      </c>
      <c r="D133" s="101" t="s">
        <v>90</v>
      </c>
      <c r="E133" s="97" t="s">
        <v>55</v>
      </c>
      <c r="F133" s="97"/>
      <c r="G133" s="97" t="s">
        <v>55</v>
      </c>
      <c r="H133" s="97" t="s">
        <v>93</v>
      </c>
      <c r="I133" s="99"/>
      <c r="J133" s="202">
        <f t="shared" si="27"/>
        <v>0</v>
      </c>
      <c r="K133" s="94">
        <f t="shared" si="19"/>
        <v>0</v>
      </c>
      <c r="L133" s="95" t="s">
        <v>15</v>
      </c>
      <c r="M133" s="27"/>
      <c r="N133" s="27"/>
      <c r="O133" s="18">
        <f t="shared" si="24"/>
        <v>0</v>
      </c>
      <c r="P133" s="18">
        <f t="shared" si="25"/>
        <v>0</v>
      </c>
      <c r="Q133" s="8">
        <f t="shared" si="26"/>
        <v>0</v>
      </c>
      <c r="R133" s="210"/>
      <c r="S133" s="210"/>
    </row>
    <row r="134" spans="1:19" ht="23.25" customHeight="1" x14ac:dyDescent="0.5">
      <c r="A134" s="77">
        <v>118</v>
      </c>
      <c r="B134" s="78" t="s">
        <v>80</v>
      </c>
      <c r="C134" s="100" t="s">
        <v>81</v>
      </c>
      <c r="D134" s="101" t="s">
        <v>91</v>
      </c>
      <c r="E134" s="97" t="s">
        <v>55</v>
      </c>
      <c r="F134" s="97"/>
      <c r="G134" s="97" t="s">
        <v>55</v>
      </c>
      <c r="H134" s="97" t="s">
        <v>93</v>
      </c>
      <c r="I134" s="99"/>
      <c r="J134" s="202">
        <f t="shared" si="27"/>
        <v>0</v>
      </c>
      <c r="K134" s="94">
        <f t="shared" si="19"/>
        <v>0</v>
      </c>
      <c r="L134" s="95" t="s">
        <v>15</v>
      </c>
      <c r="M134" s="27"/>
      <c r="N134" s="27"/>
      <c r="O134" s="18">
        <f t="shared" si="24"/>
        <v>0</v>
      </c>
      <c r="P134" s="18">
        <f t="shared" si="25"/>
        <v>0</v>
      </c>
      <c r="Q134" s="8">
        <f t="shared" si="26"/>
        <v>0</v>
      </c>
      <c r="R134" s="210"/>
      <c r="S134" s="210"/>
    </row>
    <row r="135" spans="1:19" ht="23.25" customHeight="1" x14ac:dyDescent="0.5">
      <c r="A135" s="77">
        <v>119</v>
      </c>
      <c r="B135" s="78" t="s">
        <v>80</v>
      </c>
      <c r="C135" s="100" t="s">
        <v>81</v>
      </c>
      <c r="D135" s="101" t="s">
        <v>83</v>
      </c>
      <c r="E135" s="97" t="s">
        <v>55</v>
      </c>
      <c r="F135" s="97"/>
      <c r="G135" s="97" t="s">
        <v>84</v>
      </c>
      <c r="H135" s="97" t="s">
        <v>94</v>
      </c>
      <c r="I135" s="99"/>
      <c r="J135" s="202">
        <f t="shared" si="27"/>
        <v>0</v>
      </c>
      <c r="K135" s="94">
        <f t="shared" si="19"/>
        <v>0</v>
      </c>
      <c r="L135" s="95" t="s">
        <v>45</v>
      </c>
      <c r="M135" s="27"/>
      <c r="N135" s="27"/>
      <c r="O135" s="18">
        <f t="shared" si="24"/>
        <v>0</v>
      </c>
      <c r="P135" s="18">
        <f t="shared" si="25"/>
        <v>0</v>
      </c>
      <c r="Q135" s="8">
        <f t="shared" si="26"/>
        <v>0</v>
      </c>
      <c r="R135" s="210"/>
      <c r="S135" s="210"/>
    </row>
    <row r="136" spans="1:19" ht="23.25" customHeight="1" x14ac:dyDescent="0.5">
      <c r="A136" s="77">
        <v>120</v>
      </c>
      <c r="B136" s="78" t="s">
        <v>80</v>
      </c>
      <c r="C136" s="100" t="s">
        <v>81</v>
      </c>
      <c r="D136" s="101" t="s">
        <v>86</v>
      </c>
      <c r="E136" s="97" t="s">
        <v>55</v>
      </c>
      <c r="F136" s="97"/>
      <c r="G136" s="97" t="s">
        <v>87</v>
      </c>
      <c r="H136" s="97" t="s">
        <v>94</v>
      </c>
      <c r="I136" s="99"/>
      <c r="J136" s="202">
        <f t="shared" si="27"/>
        <v>0</v>
      </c>
      <c r="K136" s="94">
        <f t="shared" si="19"/>
        <v>0</v>
      </c>
      <c r="L136" s="95" t="s">
        <v>15</v>
      </c>
      <c r="M136" s="27"/>
      <c r="N136" s="27"/>
      <c r="O136" s="18">
        <f t="shared" si="24"/>
        <v>0</v>
      </c>
      <c r="P136" s="18">
        <f t="shared" si="25"/>
        <v>0</v>
      </c>
      <c r="Q136" s="8">
        <f t="shared" si="26"/>
        <v>0</v>
      </c>
      <c r="R136" s="210"/>
      <c r="S136" s="210"/>
    </row>
    <row r="137" spans="1:19" ht="23.25" customHeight="1" x14ac:dyDescent="0.5">
      <c r="A137" s="77">
        <v>121</v>
      </c>
      <c r="B137" s="78" t="s">
        <v>80</v>
      </c>
      <c r="C137" s="100" t="s">
        <v>81</v>
      </c>
      <c r="D137" s="101" t="s">
        <v>46</v>
      </c>
      <c r="E137" s="97" t="s">
        <v>55</v>
      </c>
      <c r="F137" s="97"/>
      <c r="G137" s="97" t="s">
        <v>55</v>
      </c>
      <c r="H137" s="97" t="s">
        <v>94</v>
      </c>
      <c r="I137" s="99"/>
      <c r="J137" s="202">
        <f t="shared" si="27"/>
        <v>0</v>
      </c>
      <c r="K137" s="94">
        <f t="shared" si="19"/>
        <v>0</v>
      </c>
      <c r="L137" s="95" t="s">
        <v>15</v>
      </c>
      <c r="M137" s="27"/>
      <c r="N137" s="27"/>
      <c r="O137" s="18">
        <f t="shared" si="24"/>
        <v>0</v>
      </c>
      <c r="P137" s="18">
        <f t="shared" si="25"/>
        <v>0</v>
      </c>
      <c r="Q137" s="8">
        <f t="shared" si="26"/>
        <v>0</v>
      </c>
      <c r="R137" s="210"/>
      <c r="S137" s="210"/>
    </row>
    <row r="138" spans="1:19" ht="23.25" customHeight="1" x14ac:dyDescent="0.5">
      <c r="A138" s="77">
        <v>122</v>
      </c>
      <c r="B138" s="78" t="s">
        <v>80</v>
      </c>
      <c r="C138" s="100" t="s">
        <v>81</v>
      </c>
      <c r="D138" s="101" t="s">
        <v>88</v>
      </c>
      <c r="E138" s="97" t="s">
        <v>55</v>
      </c>
      <c r="F138" s="97"/>
      <c r="G138" s="97" t="s">
        <v>55</v>
      </c>
      <c r="H138" s="97" t="s">
        <v>94</v>
      </c>
      <c r="I138" s="99"/>
      <c r="J138" s="202">
        <f t="shared" si="27"/>
        <v>0</v>
      </c>
      <c r="K138" s="94">
        <f t="shared" si="19"/>
        <v>0</v>
      </c>
      <c r="L138" s="95" t="s">
        <v>15</v>
      </c>
      <c r="M138" s="27"/>
      <c r="N138" s="27"/>
      <c r="O138" s="18">
        <f t="shared" si="24"/>
        <v>0</v>
      </c>
      <c r="P138" s="18">
        <f t="shared" si="25"/>
        <v>0</v>
      </c>
      <c r="Q138" s="8">
        <f t="shared" si="26"/>
        <v>0</v>
      </c>
      <c r="R138" s="210"/>
      <c r="S138" s="210"/>
    </row>
    <row r="139" spans="1:19" ht="23.25" customHeight="1" x14ac:dyDescent="0.5">
      <c r="A139" s="77">
        <v>123</v>
      </c>
      <c r="B139" s="78" t="s">
        <v>80</v>
      </c>
      <c r="C139" s="100" t="s">
        <v>81</v>
      </c>
      <c r="D139" s="101" t="s">
        <v>89</v>
      </c>
      <c r="E139" s="97" t="s">
        <v>55</v>
      </c>
      <c r="F139" s="97"/>
      <c r="G139" s="97" t="s">
        <v>55</v>
      </c>
      <c r="H139" s="97" t="s">
        <v>94</v>
      </c>
      <c r="I139" s="99"/>
      <c r="J139" s="202">
        <f t="shared" si="27"/>
        <v>0</v>
      </c>
      <c r="K139" s="94">
        <f t="shared" si="19"/>
        <v>0</v>
      </c>
      <c r="L139" s="95" t="s">
        <v>15</v>
      </c>
      <c r="M139" s="27"/>
      <c r="N139" s="27"/>
      <c r="O139" s="18">
        <f t="shared" si="24"/>
        <v>0</v>
      </c>
      <c r="P139" s="18">
        <f t="shared" si="25"/>
        <v>0</v>
      </c>
      <c r="Q139" s="8">
        <f t="shared" si="26"/>
        <v>0</v>
      </c>
      <c r="R139" s="210"/>
      <c r="S139" s="210"/>
    </row>
    <row r="140" spans="1:19" ht="23.25" customHeight="1" x14ac:dyDescent="0.5">
      <c r="A140" s="77">
        <v>124</v>
      </c>
      <c r="B140" s="78" t="s">
        <v>80</v>
      </c>
      <c r="C140" s="100" t="s">
        <v>81</v>
      </c>
      <c r="D140" s="101" t="s">
        <v>90</v>
      </c>
      <c r="E140" s="97" t="s">
        <v>55</v>
      </c>
      <c r="F140" s="97"/>
      <c r="G140" s="97" t="s">
        <v>55</v>
      </c>
      <c r="H140" s="97" t="s">
        <v>94</v>
      </c>
      <c r="I140" s="99"/>
      <c r="J140" s="202">
        <f t="shared" si="27"/>
        <v>0</v>
      </c>
      <c r="K140" s="94">
        <f t="shared" si="19"/>
        <v>0</v>
      </c>
      <c r="L140" s="95" t="s">
        <v>15</v>
      </c>
      <c r="M140" s="27"/>
      <c r="N140" s="27"/>
      <c r="O140" s="18">
        <f t="shared" si="24"/>
        <v>0</v>
      </c>
      <c r="P140" s="18">
        <f t="shared" si="25"/>
        <v>0</v>
      </c>
      <c r="Q140" s="8">
        <f t="shared" si="26"/>
        <v>0</v>
      </c>
      <c r="R140" s="210"/>
      <c r="S140" s="210"/>
    </row>
    <row r="141" spans="1:19" ht="23.25" customHeight="1" x14ac:dyDescent="0.5">
      <c r="A141" s="77">
        <v>125</v>
      </c>
      <c r="B141" s="78" t="s">
        <v>80</v>
      </c>
      <c r="C141" s="100" t="s">
        <v>81</v>
      </c>
      <c r="D141" s="101" t="s">
        <v>91</v>
      </c>
      <c r="E141" s="97" t="s">
        <v>55</v>
      </c>
      <c r="F141" s="97"/>
      <c r="G141" s="97" t="s">
        <v>55</v>
      </c>
      <c r="H141" s="97" t="s">
        <v>94</v>
      </c>
      <c r="I141" s="99"/>
      <c r="J141" s="202">
        <f t="shared" si="27"/>
        <v>0</v>
      </c>
      <c r="K141" s="94">
        <f t="shared" ref="K141:K204" si="28">+J141-I141</f>
        <v>0</v>
      </c>
      <c r="L141" s="95" t="s">
        <v>15</v>
      </c>
      <c r="M141" s="27"/>
      <c r="N141" s="27"/>
      <c r="O141" s="18">
        <f t="shared" si="24"/>
        <v>0</v>
      </c>
      <c r="P141" s="18">
        <f t="shared" si="25"/>
        <v>0</v>
      </c>
      <c r="Q141" s="8">
        <f t="shared" si="26"/>
        <v>0</v>
      </c>
      <c r="R141" s="210"/>
      <c r="S141" s="210"/>
    </row>
    <row r="142" spans="1:19" ht="23.25" customHeight="1" x14ac:dyDescent="0.5">
      <c r="A142" s="77">
        <v>126</v>
      </c>
      <c r="B142" s="78" t="s">
        <v>80</v>
      </c>
      <c r="C142" s="100" t="s">
        <v>81</v>
      </c>
      <c r="D142" s="101" t="s">
        <v>83</v>
      </c>
      <c r="E142" s="97" t="s">
        <v>55</v>
      </c>
      <c r="F142" s="97"/>
      <c r="G142" s="97" t="s">
        <v>84</v>
      </c>
      <c r="H142" s="97" t="s">
        <v>95</v>
      </c>
      <c r="I142" s="99"/>
      <c r="J142" s="202">
        <f t="shared" si="27"/>
        <v>0</v>
      </c>
      <c r="K142" s="94">
        <f t="shared" si="28"/>
        <v>0</v>
      </c>
      <c r="L142" s="95" t="s">
        <v>45</v>
      </c>
      <c r="M142" s="27"/>
      <c r="N142" s="27"/>
      <c r="O142" s="18">
        <f t="shared" si="24"/>
        <v>0</v>
      </c>
      <c r="P142" s="18">
        <f t="shared" si="25"/>
        <v>0</v>
      </c>
      <c r="Q142" s="8">
        <f t="shared" si="26"/>
        <v>0</v>
      </c>
      <c r="R142" s="210"/>
      <c r="S142" s="210"/>
    </row>
    <row r="143" spans="1:19" s="229" customFormat="1" ht="23.25" customHeight="1" x14ac:dyDescent="0.5">
      <c r="A143" s="216">
        <v>127</v>
      </c>
      <c r="B143" s="217" t="s">
        <v>80</v>
      </c>
      <c r="C143" s="218" t="s">
        <v>81</v>
      </c>
      <c r="D143" s="219" t="s">
        <v>86</v>
      </c>
      <c r="E143" s="220" t="s">
        <v>55</v>
      </c>
      <c r="F143" s="220"/>
      <c r="G143" s="220" t="s">
        <v>87</v>
      </c>
      <c r="H143" s="220" t="s">
        <v>95</v>
      </c>
      <c r="I143" s="221"/>
      <c r="J143" s="222">
        <v>2</v>
      </c>
      <c r="K143" s="223">
        <f t="shared" si="28"/>
        <v>2</v>
      </c>
      <c r="L143" s="224" t="s">
        <v>15</v>
      </c>
      <c r="M143" s="225"/>
      <c r="N143" s="225"/>
      <c r="O143" s="226">
        <f t="shared" si="24"/>
        <v>0</v>
      </c>
      <c r="P143" s="226">
        <f t="shared" si="25"/>
        <v>0</v>
      </c>
      <c r="Q143" s="227">
        <f t="shared" si="26"/>
        <v>0</v>
      </c>
      <c r="R143" s="228" t="s">
        <v>551</v>
      </c>
      <c r="S143" s="228"/>
    </row>
    <row r="144" spans="1:19" ht="23.25" customHeight="1" x14ac:dyDescent="0.5">
      <c r="A144" s="77">
        <v>128</v>
      </c>
      <c r="B144" s="78" t="s">
        <v>80</v>
      </c>
      <c r="C144" s="100" t="s">
        <v>81</v>
      </c>
      <c r="D144" s="101" t="s">
        <v>46</v>
      </c>
      <c r="E144" s="97" t="s">
        <v>55</v>
      </c>
      <c r="F144" s="97"/>
      <c r="G144" s="97" t="s">
        <v>55</v>
      </c>
      <c r="H144" s="97" t="s">
        <v>95</v>
      </c>
      <c r="I144" s="99"/>
      <c r="J144" s="202">
        <f t="shared" si="27"/>
        <v>0</v>
      </c>
      <c r="K144" s="94">
        <f t="shared" si="28"/>
        <v>0</v>
      </c>
      <c r="L144" s="95" t="s">
        <v>15</v>
      </c>
      <c r="M144" s="27"/>
      <c r="N144" s="27"/>
      <c r="O144" s="18">
        <f t="shared" si="24"/>
        <v>0</v>
      </c>
      <c r="P144" s="18">
        <f t="shared" si="25"/>
        <v>0</v>
      </c>
      <c r="Q144" s="8">
        <f t="shared" si="26"/>
        <v>0</v>
      </c>
      <c r="R144" s="210"/>
      <c r="S144" s="210"/>
    </row>
    <row r="145" spans="1:19" ht="23.25" customHeight="1" x14ac:dyDescent="0.5">
      <c r="A145" s="77">
        <v>129</v>
      </c>
      <c r="B145" s="78" t="s">
        <v>80</v>
      </c>
      <c r="C145" s="100" t="s">
        <v>81</v>
      </c>
      <c r="D145" s="101" t="s">
        <v>88</v>
      </c>
      <c r="E145" s="97" t="s">
        <v>55</v>
      </c>
      <c r="F145" s="97"/>
      <c r="G145" s="97" t="s">
        <v>55</v>
      </c>
      <c r="H145" s="97" t="s">
        <v>95</v>
      </c>
      <c r="I145" s="99"/>
      <c r="J145" s="202">
        <f t="shared" si="27"/>
        <v>0</v>
      </c>
      <c r="K145" s="94">
        <f t="shared" si="28"/>
        <v>0</v>
      </c>
      <c r="L145" s="95" t="s">
        <v>15</v>
      </c>
      <c r="M145" s="27"/>
      <c r="N145" s="27"/>
      <c r="O145" s="18">
        <f t="shared" si="24"/>
        <v>0</v>
      </c>
      <c r="P145" s="18">
        <f t="shared" si="25"/>
        <v>0</v>
      </c>
      <c r="Q145" s="8">
        <f t="shared" si="26"/>
        <v>0</v>
      </c>
      <c r="R145" s="210"/>
      <c r="S145" s="210"/>
    </row>
    <row r="146" spans="1:19" ht="23.25" customHeight="1" x14ac:dyDescent="0.5">
      <c r="A146" s="77">
        <v>130</v>
      </c>
      <c r="B146" s="78" t="s">
        <v>80</v>
      </c>
      <c r="C146" s="100" t="s">
        <v>81</v>
      </c>
      <c r="D146" s="101" t="s">
        <v>89</v>
      </c>
      <c r="E146" s="97" t="s">
        <v>55</v>
      </c>
      <c r="F146" s="97"/>
      <c r="G146" s="97" t="s">
        <v>55</v>
      </c>
      <c r="H146" s="97" t="s">
        <v>95</v>
      </c>
      <c r="I146" s="99"/>
      <c r="J146" s="202">
        <f t="shared" si="27"/>
        <v>0</v>
      </c>
      <c r="K146" s="94">
        <f t="shared" si="28"/>
        <v>0</v>
      </c>
      <c r="L146" s="95" t="s">
        <v>15</v>
      </c>
      <c r="M146" s="27"/>
      <c r="N146" s="27"/>
      <c r="O146" s="18">
        <f t="shared" ref="O146:O177" si="29">M146*J146</f>
        <v>0</v>
      </c>
      <c r="P146" s="18">
        <f t="shared" ref="P146:P177" si="30">N146*J146</f>
        <v>0</v>
      </c>
      <c r="Q146" s="8">
        <f t="shared" ref="Q146:Q177" si="31">(M146*J146)+(N146*J146)</f>
        <v>0</v>
      </c>
      <c r="R146" s="210"/>
      <c r="S146" s="210"/>
    </row>
    <row r="147" spans="1:19" ht="23.25" customHeight="1" x14ac:dyDescent="0.5">
      <c r="A147" s="77">
        <v>131</v>
      </c>
      <c r="B147" s="78" t="s">
        <v>80</v>
      </c>
      <c r="C147" s="100" t="s">
        <v>81</v>
      </c>
      <c r="D147" s="101" t="s">
        <v>90</v>
      </c>
      <c r="E147" s="97" t="s">
        <v>55</v>
      </c>
      <c r="F147" s="97"/>
      <c r="G147" s="97" t="s">
        <v>55</v>
      </c>
      <c r="H147" s="97" t="s">
        <v>95</v>
      </c>
      <c r="I147" s="99"/>
      <c r="J147" s="202">
        <f t="shared" si="27"/>
        <v>0</v>
      </c>
      <c r="K147" s="94">
        <f t="shared" si="28"/>
        <v>0</v>
      </c>
      <c r="L147" s="95" t="s">
        <v>15</v>
      </c>
      <c r="M147" s="27"/>
      <c r="N147" s="27"/>
      <c r="O147" s="18">
        <f t="shared" si="29"/>
        <v>0</v>
      </c>
      <c r="P147" s="18">
        <f t="shared" si="30"/>
        <v>0</v>
      </c>
      <c r="Q147" s="8">
        <f t="shared" si="31"/>
        <v>0</v>
      </c>
      <c r="R147" s="210"/>
      <c r="S147" s="210"/>
    </row>
    <row r="148" spans="1:19" ht="23.25" customHeight="1" x14ac:dyDescent="0.5">
      <c r="A148" s="77">
        <v>132</v>
      </c>
      <c r="B148" s="78" t="s">
        <v>80</v>
      </c>
      <c r="C148" s="100" t="s">
        <v>81</v>
      </c>
      <c r="D148" s="101" t="s">
        <v>91</v>
      </c>
      <c r="E148" s="97" t="s">
        <v>55</v>
      </c>
      <c r="F148" s="97"/>
      <c r="G148" s="97" t="s">
        <v>55</v>
      </c>
      <c r="H148" s="97" t="s">
        <v>95</v>
      </c>
      <c r="I148" s="99"/>
      <c r="J148" s="202">
        <f t="shared" si="27"/>
        <v>0</v>
      </c>
      <c r="K148" s="94">
        <f t="shared" si="28"/>
        <v>0</v>
      </c>
      <c r="L148" s="95" t="s">
        <v>15</v>
      </c>
      <c r="M148" s="27"/>
      <c r="N148" s="27"/>
      <c r="O148" s="18">
        <f t="shared" si="29"/>
        <v>0</v>
      </c>
      <c r="P148" s="18">
        <f t="shared" si="30"/>
        <v>0</v>
      </c>
      <c r="Q148" s="8">
        <f t="shared" si="31"/>
        <v>0</v>
      </c>
      <c r="R148" s="210"/>
      <c r="S148" s="210"/>
    </row>
    <row r="149" spans="1:19" ht="23.25" customHeight="1" x14ac:dyDescent="0.5">
      <c r="A149" s="77">
        <v>133</v>
      </c>
      <c r="B149" s="78" t="s">
        <v>80</v>
      </c>
      <c r="C149" s="100" t="s">
        <v>81</v>
      </c>
      <c r="D149" s="101" t="s">
        <v>83</v>
      </c>
      <c r="E149" s="97" t="s">
        <v>55</v>
      </c>
      <c r="F149" s="97"/>
      <c r="G149" s="97" t="s">
        <v>84</v>
      </c>
      <c r="H149" s="97" t="s">
        <v>96</v>
      </c>
      <c r="I149" s="99"/>
      <c r="J149" s="202">
        <f t="shared" si="27"/>
        <v>0</v>
      </c>
      <c r="K149" s="94">
        <f t="shared" si="28"/>
        <v>0</v>
      </c>
      <c r="L149" s="95" t="s">
        <v>45</v>
      </c>
      <c r="M149" s="27"/>
      <c r="N149" s="27"/>
      <c r="O149" s="18">
        <f t="shared" si="29"/>
        <v>0</v>
      </c>
      <c r="P149" s="18">
        <f t="shared" si="30"/>
        <v>0</v>
      </c>
      <c r="Q149" s="8">
        <f t="shared" si="31"/>
        <v>0</v>
      </c>
      <c r="R149" s="210"/>
      <c r="S149" s="210"/>
    </row>
    <row r="150" spans="1:19" ht="23.25" customHeight="1" x14ac:dyDescent="0.5">
      <c r="A150" s="77">
        <v>134</v>
      </c>
      <c r="B150" s="78" t="s">
        <v>80</v>
      </c>
      <c r="C150" s="100" t="s">
        <v>81</v>
      </c>
      <c r="D150" s="101" t="s">
        <v>86</v>
      </c>
      <c r="E150" s="97" t="s">
        <v>55</v>
      </c>
      <c r="F150" s="97"/>
      <c r="G150" s="97" t="s">
        <v>87</v>
      </c>
      <c r="H150" s="97" t="s">
        <v>96</v>
      </c>
      <c r="I150" s="99"/>
      <c r="J150" s="202">
        <f t="shared" si="27"/>
        <v>0</v>
      </c>
      <c r="K150" s="94">
        <f t="shared" si="28"/>
        <v>0</v>
      </c>
      <c r="L150" s="95" t="s">
        <v>15</v>
      </c>
      <c r="M150" s="27"/>
      <c r="N150" s="27"/>
      <c r="O150" s="18">
        <f t="shared" si="29"/>
        <v>0</v>
      </c>
      <c r="P150" s="18">
        <f t="shared" si="30"/>
        <v>0</v>
      </c>
      <c r="Q150" s="8">
        <f t="shared" si="31"/>
        <v>0</v>
      </c>
      <c r="R150" s="210"/>
      <c r="S150" s="210"/>
    </row>
    <row r="151" spans="1:19" ht="23.25" customHeight="1" x14ac:dyDescent="0.5">
      <c r="A151" s="77">
        <v>135</v>
      </c>
      <c r="B151" s="78" t="s">
        <v>80</v>
      </c>
      <c r="C151" s="100" t="s">
        <v>81</v>
      </c>
      <c r="D151" s="101" t="s">
        <v>46</v>
      </c>
      <c r="E151" s="97" t="s">
        <v>55</v>
      </c>
      <c r="F151" s="97"/>
      <c r="G151" s="97" t="s">
        <v>55</v>
      </c>
      <c r="H151" s="97" t="s">
        <v>96</v>
      </c>
      <c r="I151" s="99"/>
      <c r="J151" s="202">
        <f t="shared" si="27"/>
        <v>0</v>
      </c>
      <c r="K151" s="94">
        <f t="shared" si="28"/>
        <v>0</v>
      </c>
      <c r="L151" s="95" t="s">
        <v>15</v>
      </c>
      <c r="M151" s="27"/>
      <c r="N151" s="27"/>
      <c r="O151" s="18">
        <f t="shared" si="29"/>
        <v>0</v>
      </c>
      <c r="P151" s="18">
        <f t="shared" si="30"/>
        <v>0</v>
      </c>
      <c r="Q151" s="8">
        <f t="shared" si="31"/>
        <v>0</v>
      </c>
      <c r="R151" s="210"/>
      <c r="S151" s="210"/>
    </row>
    <row r="152" spans="1:19" ht="23.25" customHeight="1" x14ac:dyDescent="0.5">
      <c r="A152" s="77">
        <v>136</v>
      </c>
      <c r="B152" s="78" t="s">
        <v>80</v>
      </c>
      <c r="C152" s="100" t="s">
        <v>81</v>
      </c>
      <c r="D152" s="101" t="s">
        <v>88</v>
      </c>
      <c r="E152" s="97" t="s">
        <v>55</v>
      </c>
      <c r="F152" s="97"/>
      <c r="G152" s="97" t="s">
        <v>55</v>
      </c>
      <c r="H152" s="97" t="s">
        <v>96</v>
      </c>
      <c r="I152" s="99"/>
      <c r="J152" s="202">
        <f t="shared" si="27"/>
        <v>0</v>
      </c>
      <c r="K152" s="94">
        <f t="shared" si="28"/>
        <v>0</v>
      </c>
      <c r="L152" s="95" t="s">
        <v>15</v>
      </c>
      <c r="M152" s="27"/>
      <c r="N152" s="27"/>
      <c r="O152" s="18">
        <f t="shared" si="29"/>
        <v>0</v>
      </c>
      <c r="P152" s="18">
        <f t="shared" si="30"/>
        <v>0</v>
      </c>
      <c r="Q152" s="8">
        <f t="shared" si="31"/>
        <v>0</v>
      </c>
      <c r="R152" s="210"/>
      <c r="S152" s="210"/>
    </row>
    <row r="153" spans="1:19" ht="23.25" customHeight="1" x14ac:dyDescent="0.5">
      <c r="A153" s="77">
        <v>137</v>
      </c>
      <c r="B153" s="78" t="s">
        <v>80</v>
      </c>
      <c r="C153" s="100" t="s">
        <v>81</v>
      </c>
      <c r="D153" s="101" t="s">
        <v>89</v>
      </c>
      <c r="E153" s="97" t="s">
        <v>55</v>
      </c>
      <c r="F153" s="97"/>
      <c r="G153" s="97" t="s">
        <v>55</v>
      </c>
      <c r="H153" s="97" t="s">
        <v>96</v>
      </c>
      <c r="I153" s="99"/>
      <c r="J153" s="202">
        <f t="shared" si="27"/>
        <v>0</v>
      </c>
      <c r="K153" s="94">
        <f t="shared" si="28"/>
        <v>0</v>
      </c>
      <c r="L153" s="95" t="s">
        <v>15</v>
      </c>
      <c r="M153" s="27"/>
      <c r="N153" s="27"/>
      <c r="O153" s="18">
        <f t="shared" si="29"/>
        <v>0</v>
      </c>
      <c r="P153" s="18">
        <f t="shared" si="30"/>
        <v>0</v>
      </c>
      <c r="Q153" s="8">
        <f t="shared" si="31"/>
        <v>0</v>
      </c>
      <c r="R153" s="210"/>
      <c r="S153" s="210"/>
    </row>
    <row r="154" spans="1:19" ht="23.25" customHeight="1" x14ac:dyDescent="0.5">
      <c r="A154" s="77">
        <v>138</v>
      </c>
      <c r="B154" s="78" t="s">
        <v>80</v>
      </c>
      <c r="C154" s="100" t="s">
        <v>81</v>
      </c>
      <c r="D154" s="101" t="s">
        <v>90</v>
      </c>
      <c r="E154" s="97" t="s">
        <v>55</v>
      </c>
      <c r="F154" s="97"/>
      <c r="G154" s="97" t="s">
        <v>55</v>
      </c>
      <c r="H154" s="97" t="s">
        <v>96</v>
      </c>
      <c r="I154" s="99"/>
      <c r="J154" s="202">
        <f t="shared" si="27"/>
        <v>0</v>
      </c>
      <c r="K154" s="94">
        <f t="shared" si="28"/>
        <v>0</v>
      </c>
      <c r="L154" s="95" t="s">
        <v>15</v>
      </c>
      <c r="M154" s="27"/>
      <c r="N154" s="27"/>
      <c r="O154" s="18">
        <f t="shared" si="29"/>
        <v>0</v>
      </c>
      <c r="P154" s="18">
        <f t="shared" si="30"/>
        <v>0</v>
      </c>
      <c r="Q154" s="8">
        <f t="shared" si="31"/>
        <v>0</v>
      </c>
      <c r="R154" s="210"/>
      <c r="S154" s="210"/>
    </row>
    <row r="155" spans="1:19" ht="23.25" customHeight="1" x14ac:dyDescent="0.5">
      <c r="A155" s="77">
        <v>139</v>
      </c>
      <c r="B155" s="78" t="s">
        <v>80</v>
      </c>
      <c r="C155" s="100" t="s">
        <v>81</v>
      </c>
      <c r="D155" s="101" t="s">
        <v>91</v>
      </c>
      <c r="E155" s="97" t="s">
        <v>55</v>
      </c>
      <c r="F155" s="97"/>
      <c r="G155" s="97" t="s">
        <v>55</v>
      </c>
      <c r="H155" s="97" t="s">
        <v>96</v>
      </c>
      <c r="I155" s="99"/>
      <c r="J155" s="202">
        <f t="shared" si="27"/>
        <v>0</v>
      </c>
      <c r="K155" s="94">
        <f t="shared" si="28"/>
        <v>0</v>
      </c>
      <c r="L155" s="95" t="s">
        <v>15</v>
      </c>
      <c r="M155" s="27"/>
      <c r="N155" s="27"/>
      <c r="O155" s="18">
        <f t="shared" si="29"/>
        <v>0</v>
      </c>
      <c r="P155" s="18">
        <f t="shared" si="30"/>
        <v>0</v>
      </c>
      <c r="Q155" s="8">
        <f t="shared" si="31"/>
        <v>0</v>
      </c>
      <c r="R155" s="210"/>
      <c r="S155" s="210"/>
    </row>
    <row r="156" spans="1:19" ht="23.25" customHeight="1" x14ac:dyDescent="0.5">
      <c r="A156" s="77">
        <v>140</v>
      </c>
      <c r="B156" s="78" t="s">
        <v>80</v>
      </c>
      <c r="C156" s="100" t="s">
        <v>81</v>
      </c>
      <c r="D156" s="101" t="s">
        <v>83</v>
      </c>
      <c r="E156" s="97" t="s">
        <v>55</v>
      </c>
      <c r="F156" s="97"/>
      <c r="G156" s="97" t="s">
        <v>84</v>
      </c>
      <c r="H156" s="97" t="s">
        <v>97</v>
      </c>
      <c r="I156" s="99"/>
      <c r="J156" s="202">
        <f t="shared" si="27"/>
        <v>0</v>
      </c>
      <c r="K156" s="94">
        <f t="shared" si="28"/>
        <v>0</v>
      </c>
      <c r="L156" s="95" t="s">
        <v>15</v>
      </c>
      <c r="M156" s="27"/>
      <c r="N156" s="27"/>
      <c r="O156" s="18">
        <f t="shared" si="29"/>
        <v>0</v>
      </c>
      <c r="P156" s="18">
        <f t="shared" si="30"/>
        <v>0</v>
      </c>
      <c r="Q156" s="8">
        <f t="shared" si="31"/>
        <v>0</v>
      </c>
      <c r="R156" s="210"/>
      <c r="S156" s="210"/>
    </row>
    <row r="157" spans="1:19" ht="23.25" customHeight="1" x14ac:dyDescent="0.5">
      <c r="A157" s="77">
        <v>141</v>
      </c>
      <c r="B157" s="78" t="s">
        <v>80</v>
      </c>
      <c r="C157" s="100" t="s">
        <v>81</v>
      </c>
      <c r="D157" s="101" t="s">
        <v>86</v>
      </c>
      <c r="E157" s="97" t="s">
        <v>55</v>
      </c>
      <c r="F157" s="97"/>
      <c r="G157" s="97" t="s">
        <v>87</v>
      </c>
      <c r="H157" s="97" t="s">
        <v>97</v>
      </c>
      <c r="I157" s="99"/>
      <c r="J157" s="202">
        <f t="shared" si="27"/>
        <v>0</v>
      </c>
      <c r="K157" s="94">
        <f t="shared" si="28"/>
        <v>0</v>
      </c>
      <c r="L157" s="95" t="s">
        <v>15</v>
      </c>
      <c r="M157" s="27"/>
      <c r="N157" s="27"/>
      <c r="O157" s="18">
        <f t="shared" si="29"/>
        <v>0</v>
      </c>
      <c r="P157" s="18">
        <f t="shared" si="30"/>
        <v>0</v>
      </c>
      <c r="Q157" s="8">
        <f t="shared" si="31"/>
        <v>0</v>
      </c>
      <c r="R157" s="210"/>
      <c r="S157" s="210"/>
    </row>
    <row r="158" spans="1:19" ht="23.25" customHeight="1" x14ac:dyDescent="0.5">
      <c r="A158" s="77">
        <v>142</v>
      </c>
      <c r="B158" s="78" t="s">
        <v>80</v>
      </c>
      <c r="C158" s="100" t="s">
        <v>81</v>
      </c>
      <c r="D158" s="101" t="s">
        <v>46</v>
      </c>
      <c r="E158" s="97" t="s">
        <v>55</v>
      </c>
      <c r="F158" s="97"/>
      <c r="G158" s="97" t="s">
        <v>55</v>
      </c>
      <c r="H158" s="97" t="s">
        <v>97</v>
      </c>
      <c r="I158" s="99"/>
      <c r="J158" s="202">
        <f t="shared" si="27"/>
        <v>0</v>
      </c>
      <c r="K158" s="94">
        <f t="shared" si="28"/>
        <v>0</v>
      </c>
      <c r="L158" s="95" t="s">
        <v>15</v>
      </c>
      <c r="M158" s="27"/>
      <c r="N158" s="27"/>
      <c r="O158" s="18">
        <f t="shared" si="29"/>
        <v>0</v>
      </c>
      <c r="P158" s="18">
        <f t="shared" si="30"/>
        <v>0</v>
      </c>
      <c r="Q158" s="8">
        <f t="shared" si="31"/>
        <v>0</v>
      </c>
      <c r="R158" s="210"/>
      <c r="S158" s="210"/>
    </row>
    <row r="159" spans="1:19" ht="23.25" customHeight="1" x14ac:dyDescent="0.5">
      <c r="A159" s="77">
        <v>143</v>
      </c>
      <c r="B159" s="78" t="s">
        <v>80</v>
      </c>
      <c r="C159" s="100" t="s">
        <v>81</v>
      </c>
      <c r="D159" s="101" t="s">
        <v>88</v>
      </c>
      <c r="E159" s="97" t="s">
        <v>55</v>
      </c>
      <c r="F159" s="97"/>
      <c r="G159" s="97" t="s">
        <v>55</v>
      </c>
      <c r="H159" s="97" t="s">
        <v>97</v>
      </c>
      <c r="I159" s="99"/>
      <c r="J159" s="202">
        <f t="shared" si="27"/>
        <v>0</v>
      </c>
      <c r="K159" s="94">
        <f t="shared" si="28"/>
        <v>0</v>
      </c>
      <c r="L159" s="95" t="s">
        <v>15</v>
      </c>
      <c r="M159" s="27"/>
      <c r="N159" s="27"/>
      <c r="O159" s="18">
        <f t="shared" si="29"/>
        <v>0</v>
      </c>
      <c r="P159" s="18">
        <f t="shared" si="30"/>
        <v>0</v>
      </c>
      <c r="Q159" s="8">
        <f t="shared" si="31"/>
        <v>0</v>
      </c>
      <c r="R159" s="210"/>
      <c r="S159" s="210"/>
    </row>
    <row r="160" spans="1:19" ht="23.25" customHeight="1" x14ac:dyDescent="0.5">
      <c r="A160" s="77">
        <v>144</v>
      </c>
      <c r="B160" s="78" t="s">
        <v>80</v>
      </c>
      <c r="C160" s="100" t="s">
        <v>81</v>
      </c>
      <c r="D160" s="101" t="s">
        <v>89</v>
      </c>
      <c r="E160" s="97" t="s">
        <v>55</v>
      </c>
      <c r="F160" s="97"/>
      <c r="G160" s="97" t="s">
        <v>55</v>
      </c>
      <c r="H160" s="97" t="s">
        <v>97</v>
      </c>
      <c r="I160" s="99"/>
      <c r="J160" s="202">
        <f t="shared" si="27"/>
        <v>0</v>
      </c>
      <c r="K160" s="94">
        <f t="shared" si="28"/>
        <v>0</v>
      </c>
      <c r="L160" s="95" t="s">
        <v>15</v>
      </c>
      <c r="M160" s="27"/>
      <c r="N160" s="27"/>
      <c r="O160" s="18">
        <f t="shared" si="29"/>
        <v>0</v>
      </c>
      <c r="P160" s="18">
        <f t="shared" si="30"/>
        <v>0</v>
      </c>
      <c r="Q160" s="8">
        <f t="shared" si="31"/>
        <v>0</v>
      </c>
      <c r="R160" s="210"/>
      <c r="S160" s="210"/>
    </row>
    <row r="161" spans="1:19" ht="23.25" customHeight="1" x14ac:dyDescent="0.5">
      <c r="A161" s="77">
        <v>145</v>
      </c>
      <c r="B161" s="78" t="s">
        <v>80</v>
      </c>
      <c r="C161" s="100" t="s">
        <v>81</v>
      </c>
      <c r="D161" s="101" t="s">
        <v>90</v>
      </c>
      <c r="E161" s="97" t="s">
        <v>55</v>
      </c>
      <c r="F161" s="97"/>
      <c r="G161" s="97" t="s">
        <v>55</v>
      </c>
      <c r="H161" s="97" t="s">
        <v>97</v>
      </c>
      <c r="I161" s="99"/>
      <c r="J161" s="202">
        <f t="shared" si="27"/>
        <v>0</v>
      </c>
      <c r="K161" s="94">
        <f t="shared" si="28"/>
        <v>0</v>
      </c>
      <c r="L161" s="95" t="s">
        <v>15</v>
      </c>
      <c r="M161" s="27"/>
      <c r="N161" s="27"/>
      <c r="O161" s="18">
        <f t="shared" si="29"/>
        <v>0</v>
      </c>
      <c r="P161" s="18">
        <f t="shared" si="30"/>
        <v>0</v>
      </c>
      <c r="Q161" s="8">
        <f t="shared" si="31"/>
        <v>0</v>
      </c>
      <c r="R161" s="210"/>
      <c r="S161" s="210"/>
    </row>
    <row r="162" spans="1:19" ht="23.25" customHeight="1" x14ac:dyDescent="0.5">
      <c r="A162" s="77">
        <v>146</v>
      </c>
      <c r="B162" s="78" t="s">
        <v>80</v>
      </c>
      <c r="C162" s="100" t="s">
        <v>81</v>
      </c>
      <c r="D162" s="101" t="s">
        <v>91</v>
      </c>
      <c r="E162" s="97" t="s">
        <v>55</v>
      </c>
      <c r="F162" s="97"/>
      <c r="G162" s="97" t="s">
        <v>55</v>
      </c>
      <c r="H162" s="97" t="s">
        <v>97</v>
      </c>
      <c r="I162" s="99"/>
      <c r="J162" s="202">
        <f t="shared" si="27"/>
        <v>0</v>
      </c>
      <c r="K162" s="94">
        <f t="shared" si="28"/>
        <v>0</v>
      </c>
      <c r="L162" s="95" t="s">
        <v>15</v>
      </c>
      <c r="M162" s="27"/>
      <c r="N162" s="27"/>
      <c r="O162" s="18">
        <f t="shared" si="29"/>
        <v>0</v>
      </c>
      <c r="P162" s="18">
        <f t="shared" si="30"/>
        <v>0</v>
      </c>
      <c r="Q162" s="8">
        <f t="shared" si="31"/>
        <v>0</v>
      </c>
      <c r="R162" s="210"/>
      <c r="S162" s="210"/>
    </row>
    <row r="163" spans="1:19" ht="23.25" customHeight="1" x14ac:dyDescent="0.5">
      <c r="A163" s="77">
        <v>147</v>
      </c>
      <c r="B163" s="78" t="s">
        <v>80</v>
      </c>
      <c r="C163" s="100" t="s">
        <v>81</v>
      </c>
      <c r="D163" s="101" t="s">
        <v>83</v>
      </c>
      <c r="E163" s="97" t="s">
        <v>55</v>
      </c>
      <c r="F163" s="97"/>
      <c r="G163" s="97" t="s">
        <v>84</v>
      </c>
      <c r="H163" s="97" t="s">
        <v>98</v>
      </c>
      <c r="I163" s="99"/>
      <c r="J163" s="202">
        <v>0.2</v>
      </c>
      <c r="K163" s="94">
        <f t="shared" si="28"/>
        <v>0.2</v>
      </c>
      <c r="L163" s="95" t="s">
        <v>45</v>
      </c>
      <c r="M163" s="27"/>
      <c r="N163" s="27"/>
      <c r="O163" s="18">
        <f t="shared" si="29"/>
        <v>0</v>
      </c>
      <c r="P163" s="18">
        <f t="shared" si="30"/>
        <v>0</v>
      </c>
      <c r="Q163" s="8">
        <f t="shared" si="31"/>
        <v>0</v>
      </c>
      <c r="R163" s="210"/>
      <c r="S163" s="210"/>
    </row>
    <row r="164" spans="1:19" ht="23.25" customHeight="1" x14ac:dyDescent="0.5">
      <c r="A164" s="77">
        <v>148</v>
      </c>
      <c r="B164" s="78" t="s">
        <v>80</v>
      </c>
      <c r="C164" s="100" t="s">
        <v>81</v>
      </c>
      <c r="D164" s="101" t="s">
        <v>86</v>
      </c>
      <c r="E164" s="97" t="s">
        <v>55</v>
      </c>
      <c r="F164" s="97"/>
      <c r="G164" s="97" t="s">
        <v>87</v>
      </c>
      <c r="H164" s="97" t="s">
        <v>98</v>
      </c>
      <c r="I164" s="99"/>
      <c r="J164" s="202">
        <f t="shared" si="27"/>
        <v>0</v>
      </c>
      <c r="K164" s="94">
        <f t="shared" si="28"/>
        <v>0</v>
      </c>
      <c r="L164" s="95" t="s">
        <v>15</v>
      </c>
      <c r="M164" s="27"/>
      <c r="N164" s="27"/>
      <c r="O164" s="18">
        <f t="shared" si="29"/>
        <v>0</v>
      </c>
      <c r="P164" s="18">
        <f t="shared" si="30"/>
        <v>0</v>
      </c>
      <c r="Q164" s="8">
        <f t="shared" si="31"/>
        <v>0</v>
      </c>
      <c r="R164" s="210"/>
      <c r="S164" s="210"/>
    </row>
    <row r="165" spans="1:19" ht="23.25" customHeight="1" x14ac:dyDescent="0.5">
      <c r="A165" s="77">
        <v>149</v>
      </c>
      <c r="B165" s="78" t="s">
        <v>80</v>
      </c>
      <c r="C165" s="100" t="s">
        <v>81</v>
      </c>
      <c r="D165" s="101" t="s">
        <v>46</v>
      </c>
      <c r="E165" s="97" t="s">
        <v>55</v>
      </c>
      <c r="F165" s="97"/>
      <c r="G165" s="97" t="s">
        <v>55</v>
      </c>
      <c r="H165" s="97" t="s">
        <v>98</v>
      </c>
      <c r="I165" s="99"/>
      <c r="J165" s="202">
        <f t="shared" si="27"/>
        <v>0</v>
      </c>
      <c r="K165" s="94">
        <f t="shared" si="28"/>
        <v>0</v>
      </c>
      <c r="L165" s="95" t="s">
        <v>15</v>
      </c>
      <c r="M165" s="27"/>
      <c r="N165" s="27"/>
      <c r="O165" s="18">
        <f t="shared" si="29"/>
        <v>0</v>
      </c>
      <c r="P165" s="18">
        <f t="shared" si="30"/>
        <v>0</v>
      </c>
      <c r="Q165" s="8">
        <f t="shared" si="31"/>
        <v>0</v>
      </c>
      <c r="R165" s="210"/>
      <c r="S165" s="210"/>
    </row>
    <row r="166" spans="1:19" ht="23.25" customHeight="1" x14ac:dyDescent="0.5">
      <c r="A166" s="77">
        <v>150</v>
      </c>
      <c r="B166" s="78" t="s">
        <v>80</v>
      </c>
      <c r="C166" s="100" t="s">
        <v>81</v>
      </c>
      <c r="D166" s="101" t="s">
        <v>88</v>
      </c>
      <c r="E166" s="97" t="s">
        <v>55</v>
      </c>
      <c r="F166" s="97"/>
      <c r="G166" s="97" t="s">
        <v>55</v>
      </c>
      <c r="H166" s="97" t="s">
        <v>98</v>
      </c>
      <c r="I166" s="99"/>
      <c r="J166" s="202">
        <f t="shared" si="27"/>
        <v>0</v>
      </c>
      <c r="K166" s="94">
        <f t="shared" si="28"/>
        <v>0</v>
      </c>
      <c r="L166" s="95" t="s">
        <v>15</v>
      </c>
      <c r="M166" s="27"/>
      <c r="N166" s="27"/>
      <c r="O166" s="18">
        <f t="shared" si="29"/>
        <v>0</v>
      </c>
      <c r="P166" s="18">
        <f t="shared" si="30"/>
        <v>0</v>
      </c>
      <c r="Q166" s="8">
        <f t="shared" si="31"/>
        <v>0</v>
      </c>
      <c r="R166" s="210"/>
      <c r="S166" s="210"/>
    </row>
    <row r="167" spans="1:19" ht="23.25" customHeight="1" x14ac:dyDescent="0.5">
      <c r="A167" s="77">
        <v>151</v>
      </c>
      <c r="B167" s="78" t="s">
        <v>80</v>
      </c>
      <c r="C167" s="100" t="s">
        <v>81</v>
      </c>
      <c r="D167" s="101" t="s">
        <v>89</v>
      </c>
      <c r="E167" s="97" t="s">
        <v>55</v>
      </c>
      <c r="F167" s="97"/>
      <c r="G167" s="97" t="s">
        <v>55</v>
      </c>
      <c r="H167" s="97" t="s">
        <v>98</v>
      </c>
      <c r="I167" s="99"/>
      <c r="J167" s="202">
        <f t="shared" si="27"/>
        <v>0</v>
      </c>
      <c r="K167" s="94">
        <f t="shared" si="28"/>
        <v>0</v>
      </c>
      <c r="L167" s="95" t="s">
        <v>15</v>
      </c>
      <c r="M167" s="27"/>
      <c r="N167" s="27"/>
      <c r="O167" s="18">
        <f t="shared" si="29"/>
        <v>0</v>
      </c>
      <c r="P167" s="18">
        <f t="shared" si="30"/>
        <v>0</v>
      </c>
      <c r="Q167" s="8">
        <f t="shared" si="31"/>
        <v>0</v>
      </c>
      <c r="R167" s="210"/>
      <c r="S167" s="210"/>
    </row>
    <row r="168" spans="1:19" ht="23.25" customHeight="1" x14ac:dyDescent="0.5">
      <c r="A168" s="77">
        <v>152</v>
      </c>
      <c r="B168" s="78" t="s">
        <v>80</v>
      </c>
      <c r="C168" s="100" t="s">
        <v>81</v>
      </c>
      <c r="D168" s="101" t="s">
        <v>90</v>
      </c>
      <c r="E168" s="97" t="s">
        <v>55</v>
      </c>
      <c r="F168" s="97"/>
      <c r="G168" s="97" t="s">
        <v>55</v>
      </c>
      <c r="H168" s="97" t="s">
        <v>98</v>
      </c>
      <c r="I168" s="99"/>
      <c r="J168" s="202">
        <f t="shared" si="27"/>
        <v>0</v>
      </c>
      <c r="K168" s="94">
        <f t="shared" si="28"/>
        <v>0</v>
      </c>
      <c r="L168" s="95" t="s">
        <v>15</v>
      </c>
      <c r="M168" s="27"/>
      <c r="N168" s="27"/>
      <c r="O168" s="18">
        <f t="shared" si="29"/>
        <v>0</v>
      </c>
      <c r="P168" s="18">
        <f t="shared" si="30"/>
        <v>0</v>
      </c>
      <c r="Q168" s="8">
        <f t="shared" si="31"/>
        <v>0</v>
      </c>
      <c r="R168" s="210"/>
      <c r="S168" s="210"/>
    </row>
    <row r="169" spans="1:19" ht="23.25" customHeight="1" x14ac:dyDescent="0.5">
      <c r="A169" s="77">
        <v>153</v>
      </c>
      <c r="B169" s="78" t="s">
        <v>80</v>
      </c>
      <c r="C169" s="100" t="s">
        <v>81</v>
      </c>
      <c r="D169" s="101" t="s">
        <v>91</v>
      </c>
      <c r="E169" s="97" t="s">
        <v>55</v>
      </c>
      <c r="F169" s="97"/>
      <c r="G169" s="97" t="s">
        <v>55</v>
      </c>
      <c r="H169" s="97" t="s">
        <v>98</v>
      </c>
      <c r="I169" s="99"/>
      <c r="J169" s="202">
        <f t="shared" si="27"/>
        <v>0</v>
      </c>
      <c r="K169" s="94">
        <f t="shared" si="28"/>
        <v>0</v>
      </c>
      <c r="L169" s="95" t="s">
        <v>15</v>
      </c>
      <c r="M169" s="27"/>
      <c r="N169" s="27"/>
      <c r="O169" s="18">
        <f t="shared" si="29"/>
        <v>0</v>
      </c>
      <c r="P169" s="18">
        <f t="shared" si="30"/>
        <v>0</v>
      </c>
      <c r="Q169" s="8">
        <f t="shared" si="31"/>
        <v>0</v>
      </c>
      <c r="R169" s="210"/>
      <c r="S169" s="210"/>
    </row>
    <row r="170" spans="1:19" ht="23.25" customHeight="1" x14ac:dyDescent="0.5">
      <c r="A170" s="77"/>
      <c r="B170" s="78" t="s">
        <v>80</v>
      </c>
      <c r="C170" s="100" t="s">
        <v>81</v>
      </c>
      <c r="D170" s="101" t="s">
        <v>83</v>
      </c>
      <c r="E170" s="97" t="s">
        <v>55</v>
      </c>
      <c r="F170" s="97"/>
      <c r="G170" s="97" t="s">
        <v>84</v>
      </c>
      <c r="H170" s="97" t="s">
        <v>487</v>
      </c>
      <c r="I170" s="99"/>
      <c r="J170" s="202">
        <f t="shared" si="27"/>
        <v>0</v>
      </c>
      <c r="K170" s="94">
        <f t="shared" si="28"/>
        <v>0</v>
      </c>
      <c r="L170" s="95" t="s">
        <v>15</v>
      </c>
      <c r="M170" s="27"/>
      <c r="N170" s="27"/>
      <c r="O170" s="18">
        <f t="shared" si="29"/>
        <v>0</v>
      </c>
      <c r="P170" s="18">
        <f t="shared" si="30"/>
        <v>0</v>
      </c>
      <c r="Q170" s="8">
        <f t="shared" si="31"/>
        <v>0</v>
      </c>
      <c r="R170" s="210"/>
      <c r="S170" s="210"/>
    </row>
    <row r="171" spans="1:19" ht="23.25" customHeight="1" x14ac:dyDescent="0.5">
      <c r="A171" s="77"/>
      <c r="B171" s="78" t="s">
        <v>80</v>
      </c>
      <c r="C171" s="100" t="s">
        <v>81</v>
      </c>
      <c r="D171" s="101" t="s">
        <v>86</v>
      </c>
      <c r="E171" s="97" t="s">
        <v>55</v>
      </c>
      <c r="F171" s="97"/>
      <c r="G171" s="97" t="s">
        <v>87</v>
      </c>
      <c r="H171" s="97" t="s">
        <v>487</v>
      </c>
      <c r="I171" s="99"/>
      <c r="J171" s="202">
        <f t="shared" si="27"/>
        <v>0</v>
      </c>
      <c r="K171" s="94">
        <f t="shared" si="28"/>
        <v>0</v>
      </c>
      <c r="L171" s="95" t="s">
        <v>15</v>
      </c>
      <c r="M171" s="27"/>
      <c r="N171" s="27"/>
      <c r="O171" s="18">
        <f t="shared" si="29"/>
        <v>0</v>
      </c>
      <c r="P171" s="18">
        <f t="shared" si="30"/>
        <v>0</v>
      </c>
      <c r="Q171" s="8">
        <f t="shared" si="31"/>
        <v>0</v>
      </c>
      <c r="R171" s="210"/>
      <c r="S171" s="210"/>
    </row>
    <row r="172" spans="1:19" ht="23.25" customHeight="1" x14ac:dyDescent="0.5">
      <c r="A172" s="77"/>
      <c r="B172" s="78" t="s">
        <v>80</v>
      </c>
      <c r="C172" s="100" t="s">
        <v>81</v>
      </c>
      <c r="D172" s="101" t="s">
        <v>46</v>
      </c>
      <c r="E172" s="97" t="s">
        <v>55</v>
      </c>
      <c r="F172" s="97"/>
      <c r="G172" s="97" t="s">
        <v>55</v>
      </c>
      <c r="H172" s="97" t="s">
        <v>487</v>
      </c>
      <c r="I172" s="99"/>
      <c r="J172" s="202">
        <f t="shared" si="27"/>
        <v>0</v>
      </c>
      <c r="K172" s="94">
        <f t="shared" si="28"/>
        <v>0</v>
      </c>
      <c r="L172" s="95" t="s">
        <v>15</v>
      </c>
      <c r="M172" s="27"/>
      <c r="N172" s="27"/>
      <c r="O172" s="18">
        <f t="shared" si="29"/>
        <v>0</v>
      </c>
      <c r="P172" s="18">
        <f t="shared" si="30"/>
        <v>0</v>
      </c>
      <c r="Q172" s="8">
        <f t="shared" si="31"/>
        <v>0</v>
      </c>
      <c r="R172" s="210"/>
      <c r="S172" s="210"/>
    </row>
    <row r="173" spans="1:19" ht="23.25" customHeight="1" x14ac:dyDescent="0.5">
      <c r="A173" s="77"/>
      <c r="B173" s="78" t="s">
        <v>80</v>
      </c>
      <c r="C173" s="100" t="s">
        <v>81</v>
      </c>
      <c r="D173" s="101" t="s">
        <v>88</v>
      </c>
      <c r="E173" s="97" t="s">
        <v>55</v>
      </c>
      <c r="F173" s="97"/>
      <c r="G173" s="97" t="s">
        <v>55</v>
      </c>
      <c r="H173" s="97" t="s">
        <v>487</v>
      </c>
      <c r="I173" s="99"/>
      <c r="J173" s="202">
        <f t="shared" si="27"/>
        <v>0</v>
      </c>
      <c r="K173" s="94">
        <f t="shared" si="28"/>
        <v>0</v>
      </c>
      <c r="L173" s="95" t="s">
        <v>15</v>
      </c>
      <c r="M173" s="27"/>
      <c r="N173" s="27"/>
      <c r="O173" s="18">
        <f t="shared" si="29"/>
        <v>0</v>
      </c>
      <c r="P173" s="18">
        <f t="shared" si="30"/>
        <v>0</v>
      </c>
      <c r="Q173" s="8">
        <f t="shared" si="31"/>
        <v>0</v>
      </c>
      <c r="R173" s="210"/>
      <c r="S173" s="210"/>
    </row>
    <row r="174" spans="1:19" ht="23.25" customHeight="1" x14ac:dyDescent="0.5">
      <c r="A174" s="77"/>
      <c r="B174" s="78" t="s">
        <v>80</v>
      </c>
      <c r="C174" s="100" t="s">
        <v>81</v>
      </c>
      <c r="D174" s="101" t="s">
        <v>89</v>
      </c>
      <c r="E174" s="97" t="s">
        <v>55</v>
      </c>
      <c r="F174" s="97"/>
      <c r="G174" s="97" t="s">
        <v>55</v>
      </c>
      <c r="H174" s="97" t="s">
        <v>487</v>
      </c>
      <c r="I174" s="99"/>
      <c r="J174" s="202">
        <f t="shared" si="27"/>
        <v>0</v>
      </c>
      <c r="K174" s="94">
        <f t="shared" si="28"/>
        <v>0</v>
      </c>
      <c r="L174" s="95" t="s">
        <v>15</v>
      </c>
      <c r="M174" s="27"/>
      <c r="N174" s="27"/>
      <c r="O174" s="18">
        <f t="shared" si="29"/>
        <v>0</v>
      </c>
      <c r="P174" s="18">
        <f t="shared" si="30"/>
        <v>0</v>
      </c>
      <c r="Q174" s="8">
        <f t="shared" si="31"/>
        <v>0</v>
      </c>
      <c r="R174" s="210"/>
      <c r="S174" s="210"/>
    </row>
    <row r="175" spans="1:19" ht="23.25" customHeight="1" x14ac:dyDescent="0.5">
      <c r="A175" s="77"/>
      <c r="B175" s="78" t="s">
        <v>80</v>
      </c>
      <c r="C175" s="100" t="s">
        <v>81</v>
      </c>
      <c r="D175" s="101" t="s">
        <v>90</v>
      </c>
      <c r="E175" s="97" t="s">
        <v>55</v>
      </c>
      <c r="F175" s="97"/>
      <c r="G175" s="97" t="s">
        <v>55</v>
      </c>
      <c r="H175" s="97" t="s">
        <v>487</v>
      </c>
      <c r="I175" s="99"/>
      <c r="J175" s="202">
        <f t="shared" si="27"/>
        <v>0</v>
      </c>
      <c r="K175" s="94">
        <f t="shared" si="28"/>
        <v>0</v>
      </c>
      <c r="L175" s="95" t="s">
        <v>15</v>
      </c>
      <c r="M175" s="27"/>
      <c r="N175" s="27"/>
      <c r="O175" s="18">
        <f t="shared" si="29"/>
        <v>0</v>
      </c>
      <c r="P175" s="18">
        <f t="shared" si="30"/>
        <v>0</v>
      </c>
      <c r="Q175" s="8">
        <f t="shared" si="31"/>
        <v>0</v>
      </c>
      <c r="R175" s="210"/>
      <c r="S175" s="210"/>
    </row>
    <row r="176" spans="1:19" ht="23.25" customHeight="1" x14ac:dyDescent="0.5">
      <c r="A176" s="77"/>
      <c r="B176" s="78" t="s">
        <v>80</v>
      </c>
      <c r="C176" s="100" t="s">
        <v>81</v>
      </c>
      <c r="D176" s="101" t="s">
        <v>91</v>
      </c>
      <c r="E176" s="97" t="s">
        <v>55</v>
      </c>
      <c r="F176" s="97"/>
      <c r="G176" s="97" t="s">
        <v>55</v>
      </c>
      <c r="H176" s="97" t="s">
        <v>487</v>
      </c>
      <c r="I176" s="99"/>
      <c r="J176" s="202">
        <f t="shared" si="27"/>
        <v>0</v>
      </c>
      <c r="K176" s="94">
        <f t="shared" si="28"/>
        <v>0</v>
      </c>
      <c r="L176" s="95" t="s">
        <v>15</v>
      </c>
      <c r="M176" s="27"/>
      <c r="N176" s="27"/>
      <c r="O176" s="18">
        <f t="shared" si="29"/>
        <v>0</v>
      </c>
      <c r="P176" s="18">
        <f t="shared" si="30"/>
        <v>0</v>
      </c>
      <c r="Q176" s="8">
        <f t="shared" si="31"/>
        <v>0</v>
      </c>
      <c r="R176" s="210"/>
      <c r="S176" s="210"/>
    </row>
    <row r="177" spans="1:19" ht="23.25" customHeight="1" x14ac:dyDescent="0.5">
      <c r="A177" s="77"/>
      <c r="B177" s="78" t="s">
        <v>80</v>
      </c>
      <c r="C177" s="100" t="s">
        <v>81</v>
      </c>
      <c r="D177" s="101" t="s">
        <v>83</v>
      </c>
      <c r="E177" s="97" t="s">
        <v>488</v>
      </c>
      <c r="F177" s="97"/>
      <c r="G177" s="97" t="s">
        <v>488</v>
      </c>
      <c r="H177" s="97" t="s">
        <v>105</v>
      </c>
      <c r="I177" s="99"/>
      <c r="J177" s="202">
        <f t="shared" si="27"/>
        <v>0</v>
      </c>
      <c r="K177" s="94">
        <f t="shared" si="28"/>
        <v>0</v>
      </c>
      <c r="L177" s="95" t="s">
        <v>15</v>
      </c>
      <c r="M177" s="27"/>
      <c r="N177" s="27"/>
      <c r="O177" s="18">
        <f t="shared" si="29"/>
        <v>0</v>
      </c>
      <c r="P177" s="18">
        <f t="shared" si="30"/>
        <v>0</v>
      </c>
      <c r="Q177" s="8">
        <f t="shared" si="31"/>
        <v>0</v>
      </c>
      <c r="R177" s="210"/>
      <c r="S177" s="210"/>
    </row>
    <row r="178" spans="1:19" ht="23.25" customHeight="1" x14ac:dyDescent="0.5">
      <c r="A178" s="77">
        <v>154</v>
      </c>
      <c r="B178" s="78" t="s">
        <v>80</v>
      </c>
      <c r="C178" s="100" t="s">
        <v>81</v>
      </c>
      <c r="D178" s="101" t="s">
        <v>99</v>
      </c>
      <c r="E178" s="97" t="s">
        <v>100</v>
      </c>
      <c r="F178" s="97" t="s">
        <v>101</v>
      </c>
      <c r="G178" s="97" t="s">
        <v>102</v>
      </c>
      <c r="H178" s="97" t="s">
        <v>103</v>
      </c>
      <c r="I178" s="99">
        <v>30</v>
      </c>
      <c r="J178" s="202">
        <v>0</v>
      </c>
      <c r="K178" s="94">
        <f t="shared" si="28"/>
        <v>-30</v>
      </c>
      <c r="L178" s="95" t="s">
        <v>45</v>
      </c>
      <c r="M178" s="27"/>
      <c r="N178" s="27"/>
      <c r="O178" s="18">
        <f t="shared" ref="O178:O187" si="32">M178*J178</f>
        <v>0</v>
      </c>
      <c r="P178" s="18">
        <f t="shared" ref="P178:P187" si="33">N178*J178</f>
        <v>0</v>
      </c>
      <c r="Q178" s="8">
        <f t="shared" ref="Q178:Q187" si="34">(M178*J178)+(N178*J178)</f>
        <v>0</v>
      </c>
      <c r="R178" s="210"/>
      <c r="S178" s="210"/>
    </row>
    <row r="179" spans="1:19" s="229" customFormat="1" ht="23.25" customHeight="1" x14ac:dyDescent="0.5">
      <c r="A179" s="216">
        <v>155</v>
      </c>
      <c r="B179" s="217" t="s">
        <v>80</v>
      </c>
      <c r="C179" s="218" t="s">
        <v>81</v>
      </c>
      <c r="D179" s="219" t="s">
        <v>99</v>
      </c>
      <c r="E179" s="220" t="s">
        <v>100</v>
      </c>
      <c r="F179" s="220" t="s">
        <v>101</v>
      </c>
      <c r="G179" s="220" t="s">
        <v>102</v>
      </c>
      <c r="H179" s="220" t="s">
        <v>104</v>
      </c>
      <c r="I179" s="221"/>
      <c r="J179" s="222">
        <v>60</v>
      </c>
      <c r="K179" s="223">
        <f t="shared" si="28"/>
        <v>60</v>
      </c>
      <c r="L179" s="224" t="s">
        <v>45</v>
      </c>
      <c r="M179" s="225"/>
      <c r="N179" s="225"/>
      <c r="O179" s="226">
        <f t="shared" si="32"/>
        <v>0</v>
      </c>
      <c r="P179" s="226">
        <f t="shared" si="33"/>
        <v>0</v>
      </c>
      <c r="Q179" s="227">
        <f t="shared" si="34"/>
        <v>0</v>
      </c>
      <c r="R179" s="228"/>
      <c r="S179" s="228"/>
    </row>
    <row r="180" spans="1:19" ht="23.25" customHeight="1" x14ac:dyDescent="0.5">
      <c r="A180" s="77">
        <v>156</v>
      </c>
      <c r="B180" s="78" t="s">
        <v>80</v>
      </c>
      <c r="C180" s="100" t="s">
        <v>81</v>
      </c>
      <c r="D180" s="101" t="s">
        <v>99</v>
      </c>
      <c r="E180" s="97" t="s">
        <v>100</v>
      </c>
      <c r="F180" s="97" t="s">
        <v>101</v>
      </c>
      <c r="G180" s="97" t="s">
        <v>102</v>
      </c>
      <c r="H180" s="97" t="s">
        <v>105</v>
      </c>
      <c r="I180" s="99"/>
      <c r="J180" s="202">
        <f t="shared" ref="J180:J187" si="35">I180</f>
        <v>0</v>
      </c>
      <c r="K180" s="94">
        <f t="shared" si="28"/>
        <v>0</v>
      </c>
      <c r="L180" s="95" t="s">
        <v>45</v>
      </c>
      <c r="M180" s="27"/>
      <c r="N180" s="27"/>
      <c r="O180" s="18">
        <f t="shared" si="32"/>
        <v>0</v>
      </c>
      <c r="P180" s="18">
        <f t="shared" si="33"/>
        <v>0</v>
      </c>
      <c r="Q180" s="8">
        <f t="shared" si="34"/>
        <v>0</v>
      </c>
      <c r="R180" s="210"/>
      <c r="S180" s="210"/>
    </row>
    <row r="181" spans="1:19" ht="23.25" customHeight="1" x14ac:dyDescent="0.5">
      <c r="A181" s="77">
        <v>157</v>
      </c>
      <c r="B181" s="78" t="s">
        <v>80</v>
      </c>
      <c r="C181" s="100" t="s">
        <v>81</v>
      </c>
      <c r="D181" s="101" t="s">
        <v>106</v>
      </c>
      <c r="E181" s="97" t="s">
        <v>107</v>
      </c>
      <c r="F181" s="97"/>
      <c r="G181" s="97" t="s">
        <v>102</v>
      </c>
      <c r="H181" s="97" t="s">
        <v>103</v>
      </c>
      <c r="I181" s="99"/>
      <c r="J181" s="202">
        <f t="shared" si="35"/>
        <v>0</v>
      </c>
      <c r="K181" s="94">
        <f t="shared" si="28"/>
        <v>0</v>
      </c>
      <c r="L181" s="95" t="s">
        <v>45</v>
      </c>
      <c r="M181" s="27"/>
      <c r="N181" s="27"/>
      <c r="O181" s="18">
        <f t="shared" si="32"/>
        <v>0</v>
      </c>
      <c r="P181" s="18">
        <f t="shared" si="33"/>
        <v>0</v>
      </c>
      <c r="Q181" s="8">
        <f t="shared" si="34"/>
        <v>0</v>
      </c>
      <c r="R181" s="210"/>
      <c r="S181" s="210"/>
    </row>
    <row r="182" spans="1:19" ht="23.25" customHeight="1" x14ac:dyDescent="0.5">
      <c r="A182" s="77">
        <v>158</v>
      </c>
      <c r="B182" s="78" t="s">
        <v>80</v>
      </c>
      <c r="C182" s="100" t="s">
        <v>81</v>
      </c>
      <c r="D182" s="101" t="s">
        <v>106</v>
      </c>
      <c r="E182" s="97" t="s">
        <v>107</v>
      </c>
      <c r="F182" s="97"/>
      <c r="G182" s="97" t="s">
        <v>102</v>
      </c>
      <c r="H182" s="97" t="s">
        <v>104</v>
      </c>
      <c r="I182" s="99"/>
      <c r="J182" s="202">
        <f t="shared" si="35"/>
        <v>0</v>
      </c>
      <c r="K182" s="94">
        <f t="shared" si="28"/>
        <v>0</v>
      </c>
      <c r="L182" s="95" t="s">
        <v>45</v>
      </c>
      <c r="M182" s="27"/>
      <c r="N182" s="27"/>
      <c r="O182" s="18">
        <f t="shared" si="32"/>
        <v>0</v>
      </c>
      <c r="P182" s="18">
        <f t="shared" si="33"/>
        <v>0</v>
      </c>
      <c r="Q182" s="8">
        <f t="shared" si="34"/>
        <v>0</v>
      </c>
      <c r="R182" s="210"/>
      <c r="S182" s="210"/>
    </row>
    <row r="183" spans="1:19" ht="23.25" customHeight="1" x14ac:dyDescent="0.5">
      <c r="A183" s="77">
        <v>159</v>
      </c>
      <c r="B183" s="78" t="s">
        <v>80</v>
      </c>
      <c r="C183" s="100" t="s">
        <v>81</v>
      </c>
      <c r="D183" s="101" t="s">
        <v>106</v>
      </c>
      <c r="E183" s="97" t="s">
        <v>107</v>
      </c>
      <c r="F183" s="97"/>
      <c r="G183" s="97" t="s">
        <v>102</v>
      </c>
      <c r="H183" s="97" t="s">
        <v>105</v>
      </c>
      <c r="I183" s="99"/>
      <c r="J183" s="202">
        <f t="shared" si="35"/>
        <v>0</v>
      </c>
      <c r="K183" s="94">
        <f t="shared" si="28"/>
        <v>0</v>
      </c>
      <c r="L183" s="95" t="s">
        <v>45</v>
      </c>
      <c r="M183" s="27"/>
      <c r="N183" s="27"/>
      <c r="O183" s="18">
        <f t="shared" si="32"/>
        <v>0</v>
      </c>
      <c r="P183" s="18">
        <f t="shared" si="33"/>
        <v>0</v>
      </c>
      <c r="Q183" s="8">
        <f t="shared" si="34"/>
        <v>0</v>
      </c>
      <c r="R183" s="210"/>
      <c r="S183" s="210"/>
    </row>
    <row r="184" spans="1:19" ht="23.25" customHeight="1" x14ac:dyDescent="0.5">
      <c r="A184" s="77">
        <v>160</v>
      </c>
      <c r="B184" s="78" t="s">
        <v>80</v>
      </c>
      <c r="C184" s="100" t="s">
        <v>81</v>
      </c>
      <c r="D184" s="101" t="s">
        <v>108</v>
      </c>
      <c r="E184" s="97" t="s">
        <v>55</v>
      </c>
      <c r="F184" s="97" t="s">
        <v>101</v>
      </c>
      <c r="G184" s="97" t="s">
        <v>102</v>
      </c>
      <c r="H184" s="97" t="s">
        <v>103</v>
      </c>
      <c r="I184" s="99">
        <v>24</v>
      </c>
      <c r="J184" s="202">
        <v>0</v>
      </c>
      <c r="K184" s="94">
        <f t="shared" si="28"/>
        <v>-24</v>
      </c>
      <c r="L184" s="95" t="s">
        <v>15</v>
      </c>
      <c r="M184" s="27"/>
      <c r="N184" s="27"/>
      <c r="O184" s="18">
        <f t="shared" si="32"/>
        <v>0</v>
      </c>
      <c r="P184" s="18">
        <f t="shared" si="33"/>
        <v>0</v>
      </c>
      <c r="Q184" s="8">
        <f t="shared" si="34"/>
        <v>0</v>
      </c>
      <c r="R184" s="210"/>
      <c r="S184" s="210"/>
    </row>
    <row r="185" spans="1:19" ht="23.25" customHeight="1" x14ac:dyDescent="0.5">
      <c r="A185" s="77">
        <v>161</v>
      </c>
      <c r="B185" s="78" t="s">
        <v>80</v>
      </c>
      <c r="C185" s="100" t="s">
        <v>81</v>
      </c>
      <c r="D185" s="101" t="s">
        <v>108</v>
      </c>
      <c r="E185" s="97" t="s">
        <v>55</v>
      </c>
      <c r="F185" s="97" t="s">
        <v>101</v>
      </c>
      <c r="G185" s="97" t="s">
        <v>102</v>
      </c>
      <c r="H185" s="97" t="s">
        <v>104</v>
      </c>
      <c r="I185" s="99"/>
      <c r="J185" s="202">
        <v>12</v>
      </c>
      <c r="K185" s="94">
        <f t="shared" si="28"/>
        <v>12</v>
      </c>
      <c r="L185" s="95" t="s">
        <v>15</v>
      </c>
      <c r="M185" s="27"/>
      <c r="N185" s="27"/>
      <c r="O185" s="18">
        <f t="shared" si="32"/>
        <v>0</v>
      </c>
      <c r="P185" s="18">
        <f t="shared" si="33"/>
        <v>0</v>
      </c>
      <c r="Q185" s="8">
        <f t="shared" si="34"/>
        <v>0</v>
      </c>
      <c r="R185" s="210"/>
      <c r="S185" s="210"/>
    </row>
    <row r="186" spans="1:19" ht="23.25" customHeight="1" x14ac:dyDescent="0.5">
      <c r="A186" s="77">
        <v>162</v>
      </c>
      <c r="B186" s="78" t="s">
        <v>80</v>
      </c>
      <c r="C186" s="100" t="s">
        <v>81</v>
      </c>
      <c r="D186" s="101" t="s">
        <v>108</v>
      </c>
      <c r="E186" s="97" t="s">
        <v>55</v>
      </c>
      <c r="F186" s="97" t="s">
        <v>101</v>
      </c>
      <c r="G186" s="97" t="s">
        <v>102</v>
      </c>
      <c r="H186" s="97" t="s">
        <v>105</v>
      </c>
      <c r="I186" s="99"/>
      <c r="J186" s="202">
        <f t="shared" si="35"/>
        <v>0</v>
      </c>
      <c r="K186" s="94">
        <f t="shared" si="28"/>
        <v>0</v>
      </c>
      <c r="L186" s="95" t="s">
        <v>15</v>
      </c>
      <c r="M186" s="27"/>
      <c r="N186" s="27"/>
      <c r="O186" s="18">
        <f t="shared" si="32"/>
        <v>0</v>
      </c>
      <c r="P186" s="18">
        <f t="shared" si="33"/>
        <v>0</v>
      </c>
      <c r="Q186" s="8">
        <f t="shared" si="34"/>
        <v>0</v>
      </c>
      <c r="R186" s="210"/>
      <c r="S186" s="210"/>
    </row>
    <row r="187" spans="1:19" ht="23.15" customHeight="1" x14ac:dyDescent="0.5">
      <c r="A187" s="77">
        <v>163</v>
      </c>
      <c r="B187" s="78" t="s">
        <v>80</v>
      </c>
      <c r="C187" s="102" t="s">
        <v>81</v>
      </c>
      <c r="D187" s="103" t="s">
        <v>109</v>
      </c>
      <c r="E187" s="104"/>
      <c r="F187" s="104"/>
      <c r="G187" s="104"/>
      <c r="H187" s="105"/>
      <c r="I187" s="99">
        <v>2</v>
      </c>
      <c r="J187" s="202">
        <f t="shared" si="35"/>
        <v>2</v>
      </c>
      <c r="K187" s="94">
        <f t="shared" si="28"/>
        <v>0</v>
      </c>
      <c r="L187" s="95" t="s">
        <v>15</v>
      </c>
      <c r="M187" s="27"/>
      <c r="N187" s="27"/>
      <c r="O187" s="18">
        <f t="shared" si="32"/>
        <v>0</v>
      </c>
      <c r="P187" s="18">
        <f t="shared" si="33"/>
        <v>0</v>
      </c>
      <c r="Q187" s="8">
        <f t="shared" si="34"/>
        <v>0</v>
      </c>
      <c r="R187" s="210"/>
      <c r="S187" s="210"/>
    </row>
    <row r="188" spans="1:19" ht="23.25" customHeight="1" x14ac:dyDescent="0.55000000000000004">
      <c r="A188" s="77">
        <v>164</v>
      </c>
      <c r="B188" s="78" t="s">
        <v>80</v>
      </c>
      <c r="C188" s="100" t="s">
        <v>110</v>
      </c>
      <c r="D188" s="106" t="s">
        <v>110</v>
      </c>
      <c r="E188" s="87"/>
      <c r="F188" s="87"/>
      <c r="G188" s="87"/>
      <c r="H188" s="107"/>
      <c r="I188" s="99"/>
      <c r="J188" s="203"/>
      <c r="K188" s="94">
        <f t="shared" si="28"/>
        <v>0</v>
      </c>
      <c r="L188" s="109"/>
      <c r="M188" s="37"/>
      <c r="N188" s="37"/>
      <c r="O188" s="19"/>
      <c r="P188" s="19"/>
      <c r="Q188" s="9"/>
      <c r="R188" s="210"/>
      <c r="S188" s="210"/>
    </row>
    <row r="189" spans="1:19" ht="23.25" customHeight="1" x14ac:dyDescent="0.5">
      <c r="A189" s="77">
        <v>165</v>
      </c>
      <c r="B189" s="78" t="s">
        <v>80</v>
      </c>
      <c r="C189" s="100" t="s">
        <v>110</v>
      </c>
      <c r="D189" s="101" t="s">
        <v>34</v>
      </c>
      <c r="E189" s="97" t="s">
        <v>25</v>
      </c>
      <c r="F189" s="97"/>
      <c r="G189" s="97" t="s">
        <v>26</v>
      </c>
      <c r="H189" s="97" t="s">
        <v>111</v>
      </c>
      <c r="I189" s="99"/>
      <c r="J189" s="202">
        <f t="shared" ref="J189:J205" si="36">I189</f>
        <v>0</v>
      </c>
      <c r="K189" s="94">
        <f t="shared" si="28"/>
        <v>0</v>
      </c>
      <c r="L189" s="95" t="s">
        <v>45</v>
      </c>
      <c r="M189" s="27"/>
      <c r="N189" s="27"/>
      <c r="O189" s="18">
        <f t="shared" ref="O189:O205" si="37">M189*J189</f>
        <v>0</v>
      </c>
      <c r="P189" s="18">
        <f t="shared" ref="P189:P205" si="38">N189*J189</f>
        <v>0</v>
      </c>
      <c r="Q189" s="8">
        <f t="shared" ref="Q189:Q205" si="39">(M189*J189)+(N189*J189)</f>
        <v>0</v>
      </c>
      <c r="R189" s="210"/>
      <c r="S189" s="210"/>
    </row>
    <row r="190" spans="1:19" ht="23.25" customHeight="1" x14ac:dyDescent="0.5">
      <c r="A190" s="77">
        <v>166</v>
      </c>
      <c r="B190" s="78" t="s">
        <v>80</v>
      </c>
      <c r="C190" s="100" t="s">
        <v>110</v>
      </c>
      <c r="D190" s="101" t="s">
        <v>112</v>
      </c>
      <c r="E190" s="97" t="s">
        <v>25</v>
      </c>
      <c r="F190" s="97"/>
      <c r="G190" s="97" t="s">
        <v>26</v>
      </c>
      <c r="H190" s="97" t="s">
        <v>111</v>
      </c>
      <c r="I190" s="99"/>
      <c r="J190" s="202">
        <f t="shared" si="36"/>
        <v>0</v>
      </c>
      <c r="K190" s="94">
        <f t="shared" si="28"/>
        <v>0</v>
      </c>
      <c r="L190" s="95" t="s">
        <v>15</v>
      </c>
      <c r="M190" s="27"/>
      <c r="N190" s="27"/>
      <c r="O190" s="18">
        <f t="shared" si="37"/>
        <v>0</v>
      </c>
      <c r="P190" s="18">
        <f t="shared" si="38"/>
        <v>0</v>
      </c>
      <c r="Q190" s="8">
        <f t="shared" si="39"/>
        <v>0</v>
      </c>
      <c r="R190" s="210"/>
      <c r="S190" s="210"/>
    </row>
    <row r="191" spans="1:19" ht="23.25" customHeight="1" x14ac:dyDescent="0.5">
      <c r="A191" s="77">
        <v>167</v>
      </c>
      <c r="B191" s="78" t="s">
        <v>80</v>
      </c>
      <c r="C191" s="100" t="s">
        <v>110</v>
      </c>
      <c r="D191" s="101" t="s">
        <v>47</v>
      </c>
      <c r="E191" s="97" t="s">
        <v>25</v>
      </c>
      <c r="F191" s="97"/>
      <c r="G191" s="97" t="s">
        <v>26</v>
      </c>
      <c r="H191" s="97" t="s">
        <v>111</v>
      </c>
      <c r="I191" s="99"/>
      <c r="J191" s="202">
        <f t="shared" si="36"/>
        <v>0</v>
      </c>
      <c r="K191" s="94">
        <f t="shared" si="28"/>
        <v>0</v>
      </c>
      <c r="L191" s="95" t="s">
        <v>15</v>
      </c>
      <c r="M191" s="27"/>
      <c r="N191" s="27"/>
      <c r="O191" s="18">
        <f t="shared" si="37"/>
        <v>0</v>
      </c>
      <c r="P191" s="18">
        <f t="shared" si="38"/>
        <v>0</v>
      </c>
      <c r="Q191" s="8">
        <f t="shared" si="39"/>
        <v>0</v>
      </c>
      <c r="R191" s="210"/>
      <c r="S191" s="210"/>
    </row>
    <row r="192" spans="1:19" ht="23.25" customHeight="1" x14ac:dyDescent="0.5">
      <c r="A192" s="77">
        <v>168</v>
      </c>
      <c r="B192" s="78" t="s">
        <v>80</v>
      </c>
      <c r="C192" s="100" t="s">
        <v>110</v>
      </c>
      <c r="D192" s="101" t="s">
        <v>89</v>
      </c>
      <c r="E192" s="97" t="s">
        <v>25</v>
      </c>
      <c r="F192" s="97"/>
      <c r="G192" s="97" t="s">
        <v>26</v>
      </c>
      <c r="H192" s="97" t="s">
        <v>111</v>
      </c>
      <c r="I192" s="99"/>
      <c r="J192" s="202">
        <f t="shared" si="36"/>
        <v>0</v>
      </c>
      <c r="K192" s="94">
        <f t="shared" si="28"/>
        <v>0</v>
      </c>
      <c r="L192" s="95" t="s">
        <v>15</v>
      </c>
      <c r="M192" s="27"/>
      <c r="N192" s="27"/>
      <c r="O192" s="18">
        <f t="shared" si="37"/>
        <v>0</v>
      </c>
      <c r="P192" s="18">
        <f t="shared" si="38"/>
        <v>0</v>
      </c>
      <c r="Q192" s="8">
        <f t="shared" si="39"/>
        <v>0</v>
      </c>
      <c r="R192" s="210"/>
      <c r="S192" s="210"/>
    </row>
    <row r="193" spans="1:19" ht="23.25" customHeight="1" x14ac:dyDescent="0.5">
      <c r="A193" s="77">
        <v>169</v>
      </c>
      <c r="B193" s="78" t="s">
        <v>80</v>
      </c>
      <c r="C193" s="100" t="s">
        <v>110</v>
      </c>
      <c r="D193" s="101" t="s">
        <v>113</v>
      </c>
      <c r="E193" s="97" t="s">
        <v>25</v>
      </c>
      <c r="F193" s="97"/>
      <c r="G193" s="97" t="s">
        <v>26</v>
      </c>
      <c r="H193" s="97" t="s">
        <v>111</v>
      </c>
      <c r="I193" s="99"/>
      <c r="J193" s="202">
        <f t="shared" si="36"/>
        <v>0</v>
      </c>
      <c r="K193" s="94">
        <f t="shared" si="28"/>
        <v>0</v>
      </c>
      <c r="L193" s="95" t="s">
        <v>15</v>
      </c>
      <c r="M193" s="27"/>
      <c r="N193" s="27"/>
      <c r="O193" s="18">
        <f t="shared" si="37"/>
        <v>0</v>
      </c>
      <c r="P193" s="18">
        <f t="shared" si="38"/>
        <v>0</v>
      </c>
      <c r="Q193" s="8">
        <f t="shared" si="39"/>
        <v>0</v>
      </c>
      <c r="R193" s="210"/>
      <c r="S193" s="210"/>
    </row>
    <row r="194" spans="1:19" ht="23.25" customHeight="1" x14ac:dyDescent="0.5">
      <c r="A194" s="77">
        <v>170</v>
      </c>
      <c r="B194" s="78" t="s">
        <v>80</v>
      </c>
      <c r="C194" s="100" t="s">
        <v>110</v>
      </c>
      <c r="D194" s="101" t="s">
        <v>34</v>
      </c>
      <c r="E194" s="97" t="s">
        <v>114</v>
      </c>
      <c r="F194" s="97"/>
      <c r="G194" s="97" t="s">
        <v>26</v>
      </c>
      <c r="H194" s="97" t="s">
        <v>111</v>
      </c>
      <c r="I194" s="99"/>
      <c r="J194" s="202">
        <f t="shared" si="36"/>
        <v>0</v>
      </c>
      <c r="K194" s="94">
        <f t="shared" si="28"/>
        <v>0</v>
      </c>
      <c r="L194" s="95" t="s">
        <v>45</v>
      </c>
      <c r="M194" s="27"/>
      <c r="N194" s="27"/>
      <c r="O194" s="18">
        <f t="shared" si="37"/>
        <v>0</v>
      </c>
      <c r="P194" s="18">
        <f t="shared" si="38"/>
        <v>0</v>
      </c>
      <c r="Q194" s="8">
        <f t="shared" si="39"/>
        <v>0</v>
      </c>
      <c r="R194" s="210"/>
      <c r="S194" s="210"/>
    </row>
    <row r="195" spans="1:19" ht="23.25" customHeight="1" x14ac:dyDescent="0.5">
      <c r="A195" s="77">
        <v>171</v>
      </c>
      <c r="B195" s="78" t="s">
        <v>80</v>
      </c>
      <c r="C195" s="100" t="s">
        <v>110</v>
      </c>
      <c r="D195" s="101" t="s">
        <v>112</v>
      </c>
      <c r="E195" s="97" t="s">
        <v>114</v>
      </c>
      <c r="F195" s="97"/>
      <c r="G195" s="97" t="s">
        <v>26</v>
      </c>
      <c r="H195" s="97" t="s">
        <v>111</v>
      </c>
      <c r="I195" s="99"/>
      <c r="J195" s="202">
        <f t="shared" si="36"/>
        <v>0</v>
      </c>
      <c r="K195" s="94">
        <f t="shared" si="28"/>
        <v>0</v>
      </c>
      <c r="L195" s="95" t="s">
        <v>15</v>
      </c>
      <c r="M195" s="27"/>
      <c r="N195" s="27"/>
      <c r="O195" s="18">
        <f t="shared" si="37"/>
        <v>0</v>
      </c>
      <c r="P195" s="18">
        <f t="shared" si="38"/>
        <v>0</v>
      </c>
      <c r="Q195" s="8">
        <f t="shared" si="39"/>
        <v>0</v>
      </c>
      <c r="R195" s="210"/>
      <c r="S195" s="210"/>
    </row>
    <row r="196" spans="1:19" ht="23.25" customHeight="1" x14ac:dyDescent="0.5">
      <c r="A196" s="77">
        <v>172</v>
      </c>
      <c r="B196" s="78" t="s">
        <v>80</v>
      </c>
      <c r="C196" s="100" t="s">
        <v>110</v>
      </c>
      <c r="D196" s="101" t="s">
        <v>47</v>
      </c>
      <c r="E196" s="97" t="s">
        <v>114</v>
      </c>
      <c r="F196" s="97"/>
      <c r="G196" s="97" t="s">
        <v>26</v>
      </c>
      <c r="H196" s="97" t="s">
        <v>111</v>
      </c>
      <c r="I196" s="99"/>
      <c r="J196" s="202">
        <f t="shared" si="36"/>
        <v>0</v>
      </c>
      <c r="K196" s="94">
        <f t="shared" si="28"/>
        <v>0</v>
      </c>
      <c r="L196" s="95" t="s">
        <v>15</v>
      </c>
      <c r="M196" s="27"/>
      <c r="N196" s="27"/>
      <c r="O196" s="18">
        <f t="shared" si="37"/>
        <v>0</v>
      </c>
      <c r="P196" s="18">
        <f t="shared" si="38"/>
        <v>0</v>
      </c>
      <c r="Q196" s="8">
        <f t="shared" si="39"/>
        <v>0</v>
      </c>
      <c r="R196" s="210"/>
      <c r="S196" s="210"/>
    </row>
    <row r="197" spans="1:19" ht="23.25" customHeight="1" x14ac:dyDescent="0.5">
      <c r="A197" s="77">
        <v>173</v>
      </c>
      <c r="B197" s="78" t="s">
        <v>80</v>
      </c>
      <c r="C197" s="100" t="s">
        <v>110</v>
      </c>
      <c r="D197" s="101" t="s">
        <v>89</v>
      </c>
      <c r="E197" s="97" t="s">
        <v>114</v>
      </c>
      <c r="F197" s="97"/>
      <c r="G197" s="97" t="s">
        <v>26</v>
      </c>
      <c r="H197" s="97" t="s">
        <v>111</v>
      </c>
      <c r="I197" s="99"/>
      <c r="J197" s="202">
        <f t="shared" si="36"/>
        <v>0</v>
      </c>
      <c r="K197" s="94">
        <f t="shared" si="28"/>
        <v>0</v>
      </c>
      <c r="L197" s="95" t="s">
        <v>15</v>
      </c>
      <c r="M197" s="27"/>
      <c r="N197" s="27"/>
      <c r="O197" s="18">
        <f t="shared" si="37"/>
        <v>0</v>
      </c>
      <c r="P197" s="18">
        <f t="shared" si="38"/>
        <v>0</v>
      </c>
      <c r="Q197" s="8">
        <f t="shared" si="39"/>
        <v>0</v>
      </c>
      <c r="R197" s="210"/>
      <c r="S197" s="210"/>
    </row>
    <row r="198" spans="1:19" ht="23.25" customHeight="1" x14ac:dyDescent="0.5">
      <c r="A198" s="77">
        <v>174</v>
      </c>
      <c r="B198" s="78" t="s">
        <v>80</v>
      </c>
      <c r="C198" s="100" t="s">
        <v>110</v>
      </c>
      <c r="D198" s="101" t="s">
        <v>113</v>
      </c>
      <c r="E198" s="97" t="s">
        <v>114</v>
      </c>
      <c r="F198" s="97"/>
      <c r="G198" s="97" t="s">
        <v>26</v>
      </c>
      <c r="H198" s="97" t="s">
        <v>111</v>
      </c>
      <c r="I198" s="99"/>
      <c r="J198" s="202">
        <f t="shared" si="36"/>
        <v>0</v>
      </c>
      <c r="K198" s="94">
        <f t="shared" si="28"/>
        <v>0</v>
      </c>
      <c r="L198" s="95" t="s">
        <v>15</v>
      </c>
      <c r="M198" s="27"/>
      <c r="N198" s="27"/>
      <c r="O198" s="18">
        <f t="shared" si="37"/>
        <v>0</v>
      </c>
      <c r="P198" s="18">
        <f t="shared" si="38"/>
        <v>0</v>
      </c>
      <c r="Q198" s="8">
        <f t="shared" si="39"/>
        <v>0</v>
      </c>
      <c r="R198" s="210"/>
      <c r="S198" s="210"/>
    </row>
    <row r="199" spans="1:19" ht="23.25" customHeight="1" x14ac:dyDescent="0.5">
      <c r="A199" s="77">
        <v>175</v>
      </c>
      <c r="B199" s="78" t="s">
        <v>80</v>
      </c>
      <c r="C199" s="100" t="s">
        <v>110</v>
      </c>
      <c r="D199" s="101" t="s">
        <v>99</v>
      </c>
      <c r="E199" s="97" t="s">
        <v>100</v>
      </c>
      <c r="F199" s="97"/>
      <c r="G199" s="97" t="s">
        <v>26</v>
      </c>
      <c r="H199" s="97" t="s">
        <v>115</v>
      </c>
      <c r="I199" s="99"/>
      <c r="J199" s="202">
        <f t="shared" si="36"/>
        <v>0</v>
      </c>
      <c r="K199" s="94">
        <f t="shared" si="28"/>
        <v>0</v>
      </c>
      <c r="L199" s="95" t="s">
        <v>45</v>
      </c>
      <c r="M199" s="27"/>
      <c r="N199" s="27"/>
      <c r="O199" s="18">
        <f t="shared" si="37"/>
        <v>0</v>
      </c>
      <c r="P199" s="18">
        <f t="shared" si="38"/>
        <v>0</v>
      </c>
      <c r="Q199" s="8">
        <f t="shared" si="39"/>
        <v>0</v>
      </c>
      <c r="R199" s="210"/>
      <c r="S199" s="210"/>
    </row>
    <row r="200" spans="1:19" ht="23.25" customHeight="1" x14ac:dyDescent="0.5">
      <c r="A200" s="77">
        <v>176</v>
      </c>
      <c r="B200" s="78" t="s">
        <v>80</v>
      </c>
      <c r="C200" s="100" t="s">
        <v>110</v>
      </c>
      <c r="D200" s="101" t="s">
        <v>99</v>
      </c>
      <c r="E200" s="97" t="s">
        <v>100</v>
      </c>
      <c r="F200" s="97"/>
      <c r="G200" s="97" t="s">
        <v>26</v>
      </c>
      <c r="H200" s="97" t="s">
        <v>104</v>
      </c>
      <c r="I200" s="99"/>
      <c r="J200" s="202">
        <f t="shared" si="36"/>
        <v>0</v>
      </c>
      <c r="K200" s="94">
        <f t="shared" si="28"/>
        <v>0</v>
      </c>
      <c r="L200" s="95" t="s">
        <v>45</v>
      </c>
      <c r="M200" s="27"/>
      <c r="N200" s="27"/>
      <c r="O200" s="18">
        <f t="shared" si="37"/>
        <v>0</v>
      </c>
      <c r="P200" s="18">
        <f t="shared" si="38"/>
        <v>0</v>
      </c>
      <c r="Q200" s="8">
        <f t="shared" si="39"/>
        <v>0</v>
      </c>
      <c r="R200" s="210"/>
      <c r="S200" s="210"/>
    </row>
    <row r="201" spans="1:19" ht="23.25" customHeight="1" x14ac:dyDescent="0.5">
      <c r="A201" s="77">
        <v>177</v>
      </c>
      <c r="B201" s="78" t="s">
        <v>80</v>
      </c>
      <c r="C201" s="100" t="s">
        <v>110</v>
      </c>
      <c r="D201" s="101" t="s">
        <v>99</v>
      </c>
      <c r="E201" s="97" t="s">
        <v>100</v>
      </c>
      <c r="F201" s="97"/>
      <c r="G201" s="97" t="s">
        <v>26</v>
      </c>
      <c r="H201" s="97" t="s">
        <v>105</v>
      </c>
      <c r="I201" s="99"/>
      <c r="J201" s="202">
        <f t="shared" si="36"/>
        <v>0</v>
      </c>
      <c r="K201" s="94">
        <f t="shared" si="28"/>
        <v>0</v>
      </c>
      <c r="L201" s="95" t="s">
        <v>45</v>
      </c>
      <c r="M201" s="27"/>
      <c r="N201" s="27"/>
      <c r="O201" s="18">
        <f t="shared" si="37"/>
        <v>0</v>
      </c>
      <c r="P201" s="18">
        <f t="shared" si="38"/>
        <v>0</v>
      </c>
      <c r="Q201" s="8">
        <f t="shared" si="39"/>
        <v>0</v>
      </c>
      <c r="R201" s="210"/>
      <c r="S201" s="210"/>
    </row>
    <row r="202" spans="1:19" ht="23.25" customHeight="1" x14ac:dyDescent="0.5">
      <c r="A202" s="77">
        <v>178</v>
      </c>
      <c r="B202" s="78" t="s">
        <v>80</v>
      </c>
      <c r="C202" s="100" t="s">
        <v>110</v>
      </c>
      <c r="D202" s="101" t="s">
        <v>99</v>
      </c>
      <c r="E202" s="97" t="s">
        <v>116</v>
      </c>
      <c r="F202" s="97"/>
      <c r="G202" s="97" t="s">
        <v>26</v>
      </c>
      <c r="H202" s="97" t="s">
        <v>115</v>
      </c>
      <c r="I202" s="99"/>
      <c r="J202" s="202">
        <f t="shared" si="36"/>
        <v>0</v>
      </c>
      <c r="K202" s="94">
        <f t="shared" si="28"/>
        <v>0</v>
      </c>
      <c r="L202" s="95" t="s">
        <v>45</v>
      </c>
      <c r="M202" s="27"/>
      <c r="N202" s="27"/>
      <c r="O202" s="18">
        <f t="shared" si="37"/>
        <v>0</v>
      </c>
      <c r="P202" s="18">
        <f t="shared" si="38"/>
        <v>0</v>
      </c>
      <c r="Q202" s="8">
        <f t="shared" si="39"/>
        <v>0</v>
      </c>
      <c r="R202" s="210"/>
      <c r="S202" s="210"/>
    </row>
    <row r="203" spans="1:19" ht="23.25" customHeight="1" x14ac:dyDescent="0.5">
      <c r="A203" s="77">
        <v>179</v>
      </c>
      <c r="B203" s="78" t="s">
        <v>80</v>
      </c>
      <c r="C203" s="100" t="s">
        <v>110</v>
      </c>
      <c r="D203" s="101" t="s">
        <v>99</v>
      </c>
      <c r="E203" s="97" t="s">
        <v>116</v>
      </c>
      <c r="F203" s="97"/>
      <c r="G203" s="97" t="s">
        <v>26</v>
      </c>
      <c r="H203" s="97" t="s">
        <v>104</v>
      </c>
      <c r="I203" s="99"/>
      <c r="J203" s="202">
        <f t="shared" si="36"/>
        <v>0</v>
      </c>
      <c r="K203" s="94">
        <f t="shared" si="28"/>
        <v>0</v>
      </c>
      <c r="L203" s="95" t="s">
        <v>45</v>
      </c>
      <c r="M203" s="27"/>
      <c r="N203" s="27"/>
      <c r="O203" s="18">
        <f t="shared" si="37"/>
        <v>0</v>
      </c>
      <c r="P203" s="18">
        <f t="shared" si="38"/>
        <v>0</v>
      </c>
      <c r="Q203" s="8">
        <f t="shared" si="39"/>
        <v>0</v>
      </c>
      <c r="R203" s="210"/>
      <c r="S203" s="210"/>
    </row>
    <row r="204" spans="1:19" ht="23.25" customHeight="1" x14ac:dyDescent="0.5">
      <c r="A204" s="77">
        <v>180</v>
      </c>
      <c r="B204" s="78" t="s">
        <v>80</v>
      </c>
      <c r="C204" s="100" t="s">
        <v>110</v>
      </c>
      <c r="D204" s="101" t="s">
        <v>99</v>
      </c>
      <c r="E204" s="97" t="s">
        <v>116</v>
      </c>
      <c r="F204" s="97"/>
      <c r="G204" s="97" t="s">
        <v>26</v>
      </c>
      <c r="H204" s="97" t="s">
        <v>105</v>
      </c>
      <c r="I204" s="99"/>
      <c r="J204" s="202">
        <f t="shared" si="36"/>
        <v>0</v>
      </c>
      <c r="K204" s="94">
        <f t="shared" si="28"/>
        <v>0</v>
      </c>
      <c r="L204" s="95" t="s">
        <v>45</v>
      </c>
      <c r="M204" s="27"/>
      <c r="N204" s="27"/>
      <c r="O204" s="18">
        <f t="shared" si="37"/>
        <v>0</v>
      </c>
      <c r="P204" s="18">
        <f t="shared" si="38"/>
        <v>0</v>
      </c>
      <c r="Q204" s="8">
        <f t="shared" si="39"/>
        <v>0</v>
      </c>
      <c r="R204" s="210"/>
      <c r="S204" s="210"/>
    </row>
    <row r="205" spans="1:19" ht="23.25" customHeight="1" x14ac:dyDescent="0.5">
      <c r="A205" s="77">
        <v>181</v>
      </c>
      <c r="B205" s="78" t="s">
        <v>80</v>
      </c>
      <c r="C205" s="100" t="s">
        <v>110</v>
      </c>
      <c r="D205" s="103" t="s">
        <v>109</v>
      </c>
      <c r="E205" s="93"/>
      <c r="F205" s="93"/>
      <c r="G205" s="93"/>
      <c r="H205" s="97"/>
      <c r="I205" s="99"/>
      <c r="J205" s="202">
        <f t="shared" si="36"/>
        <v>0</v>
      </c>
      <c r="K205" s="94">
        <f t="shared" ref="K205:K268" si="40">+J205-I205</f>
        <v>0</v>
      </c>
      <c r="L205" s="95" t="s">
        <v>15</v>
      </c>
      <c r="M205" s="27"/>
      <c r="N205" s="27"/>
      <c r="O205" s="18">
        <f t="shared" si="37"/>
        <v>0</v>
      </c>
      <c r="P205" s="18">
        <f t="shared" si="38"/>
        <v>0</v>
      </c>
      <c r="Q205" s="8">
        <f t="shared" si="39"/>
        <v>0</v>
      </c>
      <c r="R205" s="210"/>
      <c r="S205" s="210"/>
    </row>
    <row r="206" spans="1:19" ht="23.25" customHeight="1" x14ac:dyDescent="0.55000000000000004">
      <c r="A206" s="77">
        <v>182</v>
      </c>
      <c r="B206" s="78" t="s">
        <v>39</v>
      </c>
      <c r="C206" s="100" t="s">
        <v>117</v>
      </c>
      <c r="D206" s="106" t="s">
        <v>117</v>
      </c>
      <c r="E206" s="87"/>
      <c r="F206" s="87"/>
      <c r="G206" s="87"/>
      <c r="H206" s="87"/>
      <c r="I206" s="99"/>
      <c r="J206" s="201"/>
      <c r="K206" s="94">
        <f t="shared" si="40"/>
        <v>0</v>
      </c>
      <c r="L206" s="89"/>
      <c r="M206" s="87"/>
      <c r="N206" s="87"/>
      <c r="O206" s="90"/>
      <c r="P206" s="90"/>
      <c r="Q206" s="9"/>
      <c r="R206" s="210"/>
      <c r="S206" s="210"/>
    </row>
    <row r="207" spans="1:19" ht="23.25" customHeight="1" x14ac:dyDescent="0.5">
      <c r="A207" s="77">
        <v>183</v>
      </c>
      <c r="B207" s="78" t="s">
        <v>39</v>
      </c>
      <c r="C207" s="100" t="s">
        <v>117</v>
      </c>
      <c r="D207" s="92" t="s">
        <v>34</v>
      </c>
      <c r="E207" s="110">
        <v>304</v>
      </c>
      <c r="F207" s="93"/>
      <c r="G207" s="93" t="s">
        <v>118</v>
      </c>
      <c r="H207" s="97" t="s">
        <v>119</v>
      </c>
      <c r="I207" s="99"/>
      <c r="J207" s="202">
        <f>I207</f>
        <v>0</v>
      </c>
      <c r="K207" s="94">
        <f t="shared" si="40"/>
        <v>0</v>
      </c>
      <c r="L207" s="95" t="s">
        <v>28</v>
      </c>
      <c r="M207" s="27"/>
      <c r="N207" s="27"/>
      <c r="O207" s="18">
        <f>M207*J207</f>
        <v>0</v>
      </c>
      <c r="P207" s="18">
        <f>N207*J207</f>
        <v>0</v>
      </c>
      <c r="Q207" s="8">
        <f>(M207*J207)+(N207*J207)</f>
        <v>0</v>
      </c>
      <c r="R207" s="210"/>
      <c r="S207" s="210"/>
    </row>
    <row r="208" spans="1:19" ht="23.25" customHeight="1" x14ac:dyDescent="0.5">
      <c r="A208" s="77">
        <v>184</v>
      </c>
      <c r="B208" s="78" t="s">
        <v>39</v>
      </c>
      <c r="C208" s="100" t="s">
        <v>117</v>
      </c>
      <c r="D208" s="92" t="s">
        <v>120</v>
      </c>
      <c r="E208" s="110">
        <v>304</v>
      </c>
      <c r="F208" s="93"/>
      <c r="G208" s="93" t="s">
        <v>55</v>
      </c>
      <c r="H208" s="97" t="s">
        <v>119</v>
      </c>
      <c r="I208" s="99"/>
      <c r="J208" s="202">
        <f>I208</f>
        <v>0</v>
      </c>
      <c r="K208" s="94">
        <f t="shared" si="40"/>
        <v>0</v>
      </c>
      <c r="L208" s="95" t="s">
        <v>15</v>
      </c>
      <c r="M208" s="27"/>
      <c r="N208" s="27"/>
      <c r="O208" s="18">
        <f>M208*J208</f>
        <v>0</v>
      </c>
      <c r="P208" s="18">
        <f>N208*J208</f>
        <v>0</v>
      </c>
      <c r="Q208" s="8">
        <f>(M208*J208)+(N208*J208)</f>
        <v>0</v>
      </c>
      <c r="R208" s="210"/>
      <c r="S208" s="210"/>
    </row>
    <row r="209" spans="1:19" ht="23.25" customHeight="1" x14ac:dyDescent="0.5">
      <c r="A209" s="77">
        <v>185</v>
      </c>
      <c r="B209" s="78" t="s">
        <v>39</v>
      </c>
      <c r="C209" s="100" t="s">
        <v>117</v>
      </c>
      <c r="D209" s="92" t="s">
        <v>34</v>
      </c>
      <c r="E209" s="110">
        <v>304</v>
      </c>
      <c r="F209" s="93"/>
      <c r="G209" s="93" t="s">
        <v>118</v>
      </c>
      <c r="H209" s="97" t="s">
        <v>121</v>
      </c>
      <c r="I209" s="99"/>
      <c r="J209" s="202">
        <f>I209</f>
        <v>0</v>
      </c>
      <c r="K209" s="94">
        <f t="shared" si="40"/>
        <v>0</v>
      </c>
      <c r="L209" s="95" t="s">
        <v>28</v>
      </c>
      <c r="M209" s="27"/>
      <c r="N209" s="27"/>
      <c r="O209" s="18">
        <f>M209*J209</f>
        <v>0</v>
      </c>
      <c r="P209" s="18">
        <f>N209*J209</f>
        <v>0</v>
      </c>
      <c r="Q209" s="8">
        <f>(M209*J209)+(N209*J209)</f>
        <v>0</v>
      </c>
      <c r="R209" s="210"/>
      <c r="S209" s="210"/>
    </row>
    <row r="210" spans="1:19" ht="23.25" customHeight="1" x14ac:dyDescent="0.5">
      <c r="A210" s="77">
        <v>186</v>
      </c>
      <c r="B210" s="78" t="s">
        <v>39</v>
      </c>
      <c r="C210" s="100" t="s">
        <v>117</v>
      </c>
      <c r="D210" s="92" t="s">
        <v>120</v>
      </c>
      <c r="E210" s="110">
        <v>304</v>
      </c>
      <c r="F210" s="93"/>
      <c r="G210" s="93" t="s">
        <v>55</v>
      </c>
      <c r="H210" s="97" t="s">
        <v>121</v>
      </c>
      <c r="I210" s="99"/>
      <c r="J210" s="202">
        <f>I210</f>
        <v>0</v>
      </c>
      <c r="K210" s="94">
        <f t="shared" si="40"/>
        <v>0</v>
      </c>
      <c r="L210" s="95" t="s">
        <v>15</v>
      </c>
      <c r="M210" s="27"/>
      <c r="N210" s="27"/>
      <c r="O210" s="18">
        <f>M210*J210</f>
        <v>0</v>
      </c>
      <c r="P210" s="18">
        <f>N210*J210</f>
        <v>0</v>
      </c>
      <c r="Q210" s="8">
        <f>(M210*J210)+(N210*J210)</f>
        <v>0</v>
      </c>
      <c r="R210" s="210"/>
      <c r="S210" s="210"/>
    </row>
    <row r="211" spans="1:19" ht="23.25" customHeight="1" x14ac:dyDescent="0.5">
      <c r="A211" s="77">
        <v>187</v>
      </c>
      <c r="B211" s="78" t="s">
        <v>39</v>
      </c>
      <c r="C211" s="102" t="s">
        <v>117</v>
      </c>
      <c r="D211" s="103" t="s">
        <v>109</v>
      </c>
      <c r="E211" s="93"/>
      <c r="F211" s="93"/>
      <c r="G211" s="93"/>
      <c r="H211" s="97"/>
      <c r="I211" s="99"/>
      <c r="J211" s="202">
        <f>I211</f>
        <v>0</v>
      </c>
      <c r="K211" s="94">
        <f t="shared" si="40"/>
        <v>0</v>
      </c>
      <c r="L211" s="95" t="s">
        <v>15</v>
      </c>
      <c r="M211" s="27"/>
      <c r="N211" s="27"/>
      <c r="O211" s="18">
        <f>M211*J211</f>
        <v>0</v>
      </c>
      <c r="P211" s="18">
        <f>N211*J211</f>
        <v>0</v>
      </c>
      <c r="Q211" s="8">
        <f>(M211*J211)+(N211*J211)</f>
        <v>0</v>
      </c>
      <c r="R211" s="210"/>
      <c r="S211" s="210"/>
    </row>
    <row r="212" spans="1:19" ht="23.25" customHeight="1" x14ac:dyDescent="0.55000000000000004">
      <c r="A212" s="77">
        <v>188</v>
      </c>
      <c r="B212" s="78" t="s">
        <v>80</v>
      </c>
      <c r="C212" s="100" t="s">
        <v>122</v>
      </c>
      <c r="D212" s="106" t="s">
        <v>122</v>
      </c>
      <c r="E212" s="87"/>
      <c r="F212" s="87"/>
      <c r="G212" s="87"/>
      <c r="H212" s="107"/>
      <c r="I212" s="99"/>
      <c r="J212" s="203"/>
      <c r="K212" s="94">
        <f t="shared" si="40"/>
        <v>0</v>
      </c>
      <c r="L212" s="109"/>
      <c r="M212" s="37"/>
      <c r="N212" s="37"/>
      <c r="O212" s="19"/>
      <c r="P212" s="19"/>
      <c r="Q212" s="9"/>
      <c r="R212" s="210"/>
      <c r="S212" s="210"/>
    </row>
    <row r="213" spans="1:19" ht="23.25" customHeight="1" x14ac:dyDescent="0.5">
      <c r="A213" s="77">
        <v>189</v>
      </c>
      <c r="B213" s="78" t="s">
        <v>80</v>
      </c>
      <c r="C213" s="100" t="s">
        <v>122</v>
      </c>
      <c r="D213" s="101" t="s">
        <v>34</v>
      </c>
      <c r="E213" s="97" t="s">
        <v>123</v>
      </c>
      <c r="F213" s="97"/>
      <c r="G213" s="97" t="s">
        <v>124</v>
      </c>
      <c r="H213" s="97" t="s">
        <v>125</v>
      </c>
      <c r="I213" s="99"/>
      <c r="J213" s="202">
        <f t="shared" ref="J213:J242" si="41">I213</f>
        <v>0</v>
      </c>
      <c r="K213" s="94">
        <f t="shared" si="40"/>
        <v>0</v>
      </c>
      <c r="L213" s="95" t="s">
        <v>45</v>
      </c>
      <c r="M213" s="27"/>
      <c r="N213" s="27"/>
      <c r="O213" s="18">
        <f t="shared" ref="O213:O242" si="42">M213*J213</f>
        <v>0</v>
      </c>
      <c r="P213" s="18">
        <f t="shared" ref="P213:P242" si="43">N213*J213</f>
        <v>0</v>
      </c>
      <c r="Q213" s="8">
        <f t="shared" ref="Q213:Q242" si="44">(M213*J213)+(N213*J213)</f>
        <v>0</v>
      </c>
      <c r="R213" s="210"/>
      <c r="S213" s="210"/>
    </row>
    <row r="214" spans="1:19" ht="23.25" customHeight="1" x14ac:dyDescent="0.5">
      <c r="A214" s="77">
        <v>190</v>
      </c>
      <c r="B214" s="78" t="s">
        <v>80</v>
      </c>
      <c r="C214" s="100" t="s">
        <v>122</v>
      </c>
      <c r="D214" s="101" t="s">
        <v>47</v>
      </c>
      <c r="E214" s="97" t="s">
        <v>123</v>
      </c>
      <c r="F214" s="97"/>
      <c r="G214" s="97" t="s">
        <v>126</v>
      </c>
      <c r="H214" s="97" t="s">
        <v>125</v>
      </c>
      <c r="I214" s="99"/>
      <c r="J214" s="202">
        <f t="shared" si="41"/>
        <v>0</v>
      </c>
      <c r="K214" s="94">
        <f t="shared" si="40"/>
        <v>0</v>
      </c>
      <c r="L214" s="95" t="s">
        <v>15</v>
      </c>
      <c r="M214" s="27"/>
      <c r="N214" s="27"/>
      <c r="O214" s="18">
        <f t="shared" si="42"/>
        <v>0</v>
      </c>
      <c r="P214" s="18">
        <f t="shared" si="43"/>
        <v>0</v>
      </c>
      <c r="Q214" s="8">
        <f t="shared" si="44"/>
        <v>0</v>
      </c>
      <c r="R214" s="210"/>
      <c r="S214" s="210"/>
    </row>
    <row r="215" spans="1:19" ht="23.25" customHeight="1" x14ac:dyDescent="0.5">
      <c r="A215" s="77">
        <v>191</v>
      </c>
      <c r="B215" s="78" t="s">
        <v>80</v>
      </c>
      <c r="C215" s="100" t="s">
        <v>122</v>
      </c>
      <c r="D215" s="101" t="s">
        <v>112</v>
      </c>
      <c r="E215" s="97" t="s">
        <v>123</v>
      </c>
      <c r="F215" s="97"/>
      <c r="G215" s="97" t="s">
        <v>124</v>
      </c>
      <c r="H215" s="97" t="s">
        <v>125</v>
      </c>
      <c r="I215" s="99"/>
      <c r="J215" s="202">
        <f t="shared" si="41"/>
        <v>0</v>
      </c>
      <c r="K215" s="94">
        <f t="shared" si="40"/>
        <v>0</v>
      </c>
      <c r="L215" s="95" t="s">
        <v>15</v>
      </c>
      <c r="M215" s="27"/>
      <c r="N215" s="27"/>
      <c r="O215" s="18">
        <f t="shared" si="42"/>
        <v>0</v>
      </c>
      <c r="P215" s="18">
        <f t="shared" si="43"/>
        <v>0</v>
      </c>
      <c r="Q215" s="8">
        <f t="shared" si="44"/>
        <v>0</v>
      </c>
      <c r="R215" s="210"/>
      <c r="S215" s="210"/>
    </row>
    <row r="216" spans="1:19" ht="23.25" customHeight="1" x14ac:dyDescent="0.5">
      <c r="A216" s="77">
        <v>192</v>
      </c>
      <c r="B216" s="78" t="s">
        <v>80</v>
      </c>
      <c r="C216" s="100" t="s">
        <v>122</v>
      </c>
      <c r="D216" s="101" t="s">
        <v>127</v>
      </c>
      <c r="E216" s="97" t="s">
        <v>123</v>
      </c>
      <c r="F216" s="97"/>
      <c r="G216" s="97" t="s">
        <v>124</v>
      </c>
      <c r="H216" s="97" t="s">
        <v>125</v>
      </c>
      <c r="I216" s="99"/>
      <c r="J216" s="202">
        <f t="shared" si="41"/>
        <v>0</v>
      </c>
      <c r="K216" s="94">
        <f t="shared" si="40"/>
        <v>0</v>
      </c>
      <c r="L216" s="95" t="s">
        <v>15</v>
      </c>
      <c r="M216" s="27"/>
      <c r="N216" s="27"/>
      <c r="O216" s="18">
        <f t="shared" si="42"/>
        <v>0</v>
      </c>
      <c r="P216" s="18">
        <f t="shared" si="43"/>
        <v>0</v>
      </c>
      <c r="Q216" s="8">
        <f t="shared" si="44"/>
        <v>0</v>
      </c>
      <c r="R216" s="210"/>
      <c r="S216" s="210"/>
    </row>
    <row r="217" spans="1:19" ht="23.25" customHeight="1" x14ac:dyDescent="0.5">
      <c r="A217" s="77">
        <v>193</v>
      </c>
      <c r="B217" s="78" t="s">
        <v>80</v>
      </c>
      <c r="C217" s="100" t="s">
        <v>122</v>
      </c>
      <c r="D217" s="101" t="s">
        <v>89</v>
      </c>
      <c r="E217" s="97" t="s">
        <v>123</v>
      </c>
      <c r="F217" s="97" t="s">
        <v>128</v>
      </c>
      <c r="G217" s="97" t="s">
        <v>124</v>
      </c>
      <c r="H217" s="97" t="s">
        <v>125</v>
      </c>
      <c r="I217" s="99"/>
      <c r="J217" s="202">
        <f t="shared" si="41"/>
        <v>0</v>
      </c>
      <c r="K217" s="94">
        <f t="shared" si="40"/>
        <v>0</v>
      </c>
      <c r="L217" s="95" t="s">
        <v>15</v>
      </c>
      <c r="M217" s="27"/>
      <c r="N217" s="27"/>
      <c r="O217" s="18">
        <f t="shared" si="42"/>
        <v>0</v>
      </c>
      <c r="P217" s="18">
        <f t="shared" si="43"/>
        <v>0</v>
      </c>
      <c r="Q217" s="8">
        <f t="shared" si="44"/>
        <v>0</v>
      </c>
      <c r="R217" s="210"/>
      <c r="S217" s="210"/>
    </row>
    <row r="218" spans="1:19" ht="23.25" customHeight="1" x14ac:dyDescent="0.5">
      <c r="A218" s="77">
        <v>194</v>
      </c>
      <c r="B218" s="78" t="s">
        <v>80</v>
      </c>
      <c r="C218" s="100" t="s">
        <v>122</v>
      </c>
      <c r="D218" s="101" t="s">
        <v>113</v>
      </c>
      <c r="E218" s="97" t="s">
        <v>123</v>
      </c>
      <c r="F218" s="97"/>
      <c r="G218" s="97" t="s">
        <v>124</v>
      </c>
      <c r="H218" s="97" t="s">
        <v>125</v>
      </c>
      <c r="I218" s="99"/>
      <c r="J218" s="202">
        <f t="shared" si="41"/>
        <v>0</v>
      </c>
      <c r="K218" s="94">
        <f t="shared" si="40"/>
        <v>0</v>
      </c>
      <c r="L218" s="95" t="s">
        <v>15</v>
      </c>
      <c r="M218" s="27"/>
      <c r="N218" s="27"/>
      <c r="O218" s="18">
        <f t="shared" si="42"/>
        <v>0</v>
      </c>
      <c r="P218" s="18">
        <f t="shared" si="43"/>
        <v>0</v>
      </c>
      <c r="Q218" s="8">
        <f t="shared" si="44"/>
        <v>0</v>
      </c>
      <c r="R218" s="210"/>
      <c r="S218" s="210"/>
    </row>
    <row r="219" spans="1:19" ht="23.25" customHeight="1" x14ac:dyDescent="0.5">
      <c r="A219" s="77">
        <v>195</v>
      </c>
      <c r="B219" s="78" t="s">
        <v>80</v>
      </c>
      <c r="C219" s="100" t="s">
        <v>122</v>
      </c>
      <c r="D219" s="101" t="s">
        <v>129</v>
      </c>
      <c r="E219" s="97" t="s">
        <v>123</v>
      </c>
      <c r="F219" s="97"/>
      <c r="G219" s="97" t="s">
        <v>124</v>
      </c>
      <c r="H219" s="97" t="s">
        <v>125</v>
      </c>
      <c r="I219" s="99"/>
      <c r="J219" s="202">
        <f t="shared" si="41"/>
        <v>0</v>
      </c>
      <c r="K219" s="94">
        <f t="shared" si="40"/>
        <v>0</v>
      </c>
      <c r="L219" s="95" t="s">
        <v>15</v>
      </c>
      <c r="M219" s="27"/>
      <c r="N219" s="27"/>
      <c r="O219" s="18">
        <f t="shared" si="42"/>
        <v>0</v>
      </c>
      <c r="P219" s="18">
        <f t="shared" si="43"/>
        <v>0</v>
      </c>
      <c r="Q219" s="8">
        <f t="shared" si="44"/>
        <v>0</v>
      </c>
      <c r="R219" s="210"/>
      <c r="S219" s="210"/>
    </row>
    <row r="220" spans="1:19" ht="23.25" customHeight="1" x14ac:dyDescent="0.5">
      <c r="A220" s="77">
        <v>196</v>
      </c>
      <c r="B220" s="78" t="s">
        <v>80</v>
      </c>
      <c r="C220" s="100" t="s">
        <v>122</v>
      </c>
      <c r="D220" s="101" t="s">
        <v>34</v>
      </c>
      <c r="E220" s="97" t="s">
        <v>123</v>
      </c>
      <c r="F220" s="97"/>
      <c r="G220" s="97" t="s">
        <v>124</v>
      </c>
      <c r="H220" s="97" t="s">
        <v>130</v>
      </c>
      <c r="I220" s="99"/>
      <c r="J220" s="202">
        <f t="shared" si="41"/>
        <v>0</v>
      </c>
      <c r="K220" s="94">
        <f t="shared" si="40"/>
        <v>0</v>
      </c>
      <c r="L220" s="95" t="s">
        <v>45</v>
      </c>
      <c r="M220" s="27"/>
      <c r="N220" s="27"/>
      <c r="O220" s="18">
        <f t="shared" si="42"/>
        <v>0</v>
      </c>
      <c r="P220" s="18">
        <f t="shared" si="43"/>
        <v>0</v>
      </c>
      <c r="Q220" s="8">
        <f t="shared" si="44"/>
        <v>0</v>
      </c>
      <c r="R220" s="210"/>
      <c r="S220" s="210"/>
    </row>
    <row r="221" spans="1:19" ht="23.25" customHeight="1" x14ac:dyDescent="0.5">
      <c r="A221" s="77">
        <v>197</v>
      </c>
      <c r="B221" s="78" t="s">
        <v>80</v>
      </c>
      <c r="C221" s="100" t="s">
        <v>122</v>
      </c>
      <c r="D221" s="101" t="s">
        <v>47</v>
      </c>
      <c r="E221" s="97" t="s">
        <v>123</v>
      </c>
      <c r="F221" s="97"/>
      <c r="G221" s="97" t="s">
        <v>126</v>
      </c>
      <c r="H221" s="97" t="s">
        <v>130</v>
      </c>
      <c r="I221" s="99"/>
      <c r="J221" s="202">
        <f t="shared" si="41"/>
        <v>0</v>
      </c>
      <c r="K221" s="94">
        <f t="shared" si="40"/>
        <v>0</v>
      </c>
      <c r="L221" s="95" t="s">
        <v>15</v>
      </c>
      <c r="M221" s="27"/>
      <c r="N221" s="27"/>
      <c r="O221" s="18">
        <f t="shared" si="42"/>
        <v>0</v>
      </c>
      <c r="P221" s="18">
        <f t="shared" si="43"/>
        <v>0</v>
      </c>
      <c r="Q221" s="8">
        <f t="shared" si="44"/>
        <v>0</v>
      </c>
      <c r="R221" s="210"/>
      <c r="S221" s="210"/>
    </row>
    <row r="222" spans="1:19" ht="23.25" customHeight="1" x14ac:dyDescent="0.5">
      <c r="A222" s="77">
        <v>198</v>
      </c>
      <c r="B222" s="78" t="s">
        <v>80</v>
      </c>
      <c r="C222" s="100" t="s">
        <v>122</v>
      </c>
      <c r="D222" s="101" t="s">
        <v>112</v>
      </c>
      <c r="E222" s="97" t="s">
        <v>123</v>
      </c>
      <c r="F222" s="97"/>
      <c r="G222" s="97" t="s">
        <v>124</v>
      </c>
      <c r="H222" s="97" t="s">
        <v>130</v>
      </c>
      <c r="I222" s="99"/>
      <c r="J222" s="202">
        <f t="shared" si="41"/>
        <v>0</v>
      </c>
      <c r="K222" s="94">
        <f t="shared" si="40"/>
        <v>0</v>
      </c>
      <c r="L222" s="95" t="s">
        <v>15</v>
      </c>
      <c r="M222" s="27"/>
      <c r="N222" s="27"/>
      <c r="O222" s="18">
        <f t="shared" si="42"/>
        <v>0</v>
      </c>
      <c r="P222" s="18">
        <f t="shared" si="43"/>
        <v>0</v>
      </c>
      <c r="Q222" s="8">
        <f t="shared" si="44"/>
        <v>0</v>
      </c>
      <c r="R222" s="210"/>
      <c r="S222" s="210"/>
    </row>
    <row r="223" spans="1:19" ht="23.25" customHeight="1" x14ac:dyDescent="0.5">
      <c r="A223" s="77">
        <v>199</v>
      </c>
      <c r="B223" s="78" t="s">
        <v>80</v>
      </c>
      <c r="C223" s="100" t="s">
        <v>122</v>
      </c>
      <c r="D223" s="101" t="s">
        <v>127</v>
      </c>
      <c r="E223" s="97" t="s">
        <v>123</v>
      </c>
      <c r="F223" s="97"/>
      <c r="G223" s="97" t="s">
        <v>124</v>
      </c>
      <c r="H223" s="97" t="s">
        <v>130</v>
      </c>
      <c r="I223" s="99"/>
      <c r="J223" s="202">
        <f t="shared" si="41"/>
        <v>0</v>
      </c>
      <c r="K223" s="94">
        <f t="shared" si="40"/>
        <v>0</v>
      </c>
      <c r="L223" s="95" t="s">
        <v>15</v>
      </c>
      <c r="M223" s="27"/>
      <c r="N223" s="27"/>
      <c r="O223" s="18">
        <f t="shared" si="42"/>
        <v>0</v>
      </c>
      <c r="P223" s="18">
        <f t="shared" si="43"/>
        <v>0</v>
      </c>
      <c r="Q223" s="8">
        <f t="shared" si="44"/>
        <v>0</v>
      </c>
      <c r="R223" s="210"/>
      <c r="S223" s="210"/>
    </row>
    <row r="224" spans="1:19" ht="23.25" customHeight="1" x14ac:dyDescent="0.5">
      <c r="A224" s="77">
        <v>200</v>
      </c>
      <c r="B224" s="78" t="s">
        <v>80</v>
      </c>
      <c r="C224" s="100" t="s">
        <v>122</v>
      </c>
      <c r="D224" s="101" t="s">
        <v>89</v>
      </c>
      <c r="E224" s="97" t="s">
        <v>123</v>
      </c>
      <c r="F224" s="97" t="s">
        <v>128</v>
      </c>
      <c r="G224" s="97" t="s">
        <v>124</v>
      </c>
      <c r="H224" s="97" t="s">
        <v>130</v>
      </c>
      <c r="I224" s="99"/>
      <c r="J224" s="202">
        <f t="shared" si="41"/>
        <v>0</v>
      </c>
      <c r="K224" s="94">
        <f t="shared" si="40"/>
        <v>0</v>
      </c>
      <c r="L224" s="95" t="s">
        <v>15</v>
      </c>
      <c r="M224" s="27"/>
      <c r="N224" s="27"/>
      <c r="O224" s="18">
        <f t="shared" si="42"/>
        <v>0</v>
      </c>
      <c r="P224" s="18">
        <f t="shared" si="43"/>
        <v>0</v>
      </c>
      <c r="Q224" s="8">
        <f t="shared" si="44"/>
        <v>0</v>
      </c>
    </row>
    <row r="225" spans="1:17" ht="23.25" customHeight="1" x14ac:dyDescent="0.5">
      <c r="A225" s="77">
        <v>201</v>
      </c>
      <c r="B225" s="78" t="s">
        <v>80</v>
      </c>
      <c r="C225" s="100" t="s">
        <v>122</v>
      </c>
      <c r="D225" s="101" t="s">
        <v>113</v>
      </c>
      <c r="E225" s="97" t="s">
        <v>123</v>
      </c>
      <c r="F225" s="97"/>
      <c r="G225" s="97" t="s">
        <v>124</v>
      </c>
      <c r="H225" s="97" t="s">
        <v>130</v>
      </c>
      <c r="I225" s="99"/>
      <c r="J225" s="202">
        <f t="shared" si="41"/>
        <v>0</v>
      </c>
      <c r="K225" s="94">
        <f t="shared" si="40"/>
        <v>0</v>
      </c>
      <c r="L225" s="95" t="s">
        <v>15</v>
      </c>
      <c r="M225" s="27"/>
      <c r="N225" s="27"/>
      <c r="O225" s="18">
        <f t="shared" si="42"/>
        <v>0</v>
      </c>
      <c r="P225" s="18">
        <f t="shared" si="43"/>
        <v>0</v>
      </c>
      <c r="Q225" s="8">
        <f t="shared" si="44"/>
        <v>0</v>
      </c>
    </row>
    <row r="226" spans="1:17" ht="23.25" customHeight="1" x14ac:dyDescent="0.5">
      <c r="A226" s="77">
        <v>202</v>
      </c>
      <c r="B226" s="78" t="s">
        <v>80</v>
      </c>
      <c r="C226" s="100" t="s">
        <v>122</v>
      </c>
      <c r="D226" s="101" t="s">
        <v>129</v>
      </c>
      <c r="E226" s="97" t="s">
        <v>123</v>
      </c>
      <c r="F226" s="97"/>
      <c r="G226" s="97" t="s">
        <v>124</v>
      </c>
      <c r="H226" s="97" t="s">
        <v>130</v>
      </c>
      <c r="I226" s="99"/>
      <c r="J226" s="202">
        <f t="shared" si="41"/>
        <v>0</v>
      </c>
      <c r="K226" s="94">
        <f t="shared" si="40"/>
        <v>0</v>
      </c>
      <c r="L226" s="95" t="s">
        <v>15</v>
      </c>
      <c r="M226" s="27"/>
      <c r="N226" s="27"/>
      <c r="O226" s="18">
        <f t="shared" si="42"/>
        <v>0</v>
      </c>
      <c r="P226" s="18">
        <f t="shared" si="43"/>
        <v>0</v>
      </c>
      <c r="Q226" s="8">
        <f t="shared" si="44"/>
        <v>0</v>
      </c>
    </row>
    <row r="227" spans="1:17" ht="23.25" customHeight="1" x14ac:dyDescent="0.5">
      <c r="A227" s="77">
        <v>203</v>
      </c>
      <c r="B227" s="78" t="s">
        <v>80</v>
      </c>
      <c r="C227" s="100" t="s">
        <v>122</v>
      </c>
      <c r="D227" s="101" t="s">
        <v>131</v>
      </c>
      <c r="E227" s="97" t="s">
        <v>123</v>
      </c>
      <c r="F227" s="97"/>
      <c r="G227" s="97" t="s">
        <v>102</v>
      </c>
      <c r="H227" s="97"/>
      <c r="I227" s="99"/>
      <c r="J227" s="202">
        <f t="shared" si="41"/>
        <v>0</v>
      </c>
      <c r="K227" s="94">
        <f t="shared" si="40"/>
        <v>0</v>
      </c>
      <c r="L227" s="95" t="s">
        <v>15</v>
      </c>
      <c r="M227" s="27"/>
      <c r="N227" s="27"/>
      <c r="O227" s="18">
        <f t="shared" si="42"/>
        <v>0</v>
      </c>
      <c r="P227" s="18">
        <f t="shared" si="43"/>
        <v>0</v>
      </c>
      <c r="Q227" s="8">
        <f t="shared" si="44"/>
        <v>0</v>
      </c>
    </row>
    <row r="228" spans="1:17" ht="23.25" customHeight="1" x14ac:dyDescent="0.5">
      <c r="A228" s="77">
        <v>204</v>
      </c>
      <c r="B228" s="78" t="s">
        <v>80</v>
      </c>
      <c r="C228" s="100" t="s">
        <v>122</v>
      </c>
      <c r="D228" s="101" t="s">
        <v>132</v>
      </c>
      <c r="E228" s="97" t="s">
        <v>123</v>
      </c>
      <c r="F228" s="97"/>
      <c r="G228" s="97" t="s">
        <v>102</v>
      </c>
      <c r="H228" s="97"/>
      <c r="I228" s="99"/>
      <c r="J228" s="202">
        <f t="shared" si="41"/>
        <v>0</v>
      </c>
      <c r="K228" s="94">
        <f t="shared" si="40"/>
        <v>0</v>
      </c>
      <c r="L228" s="95" t="s">
        <v>15</v>
      </c>
      <c r="M228" s="27"/>
      <c r="N228" s="27"/>
      <c r="O228" s="18">
        <f t="shared" si="42"/>
        <v>0</v>
      </c>
      <c r="P228" s="18">
        <f t="shared" si="43"/>
        <v>0</v>
      </c>
      <c r="Q228" s="8">
        <f t="shared" si="44"/>
        <v>0</v>
      </c>
    </row>
    <row r="229" spans="1:17" ht="23.25" customHeight="1" x14ac:dyDescent="0.5">
      <c r="A229" s="77">
        <v>205</v>
      </c>
      <c r="B229" s="78" t="s">
        <v>80</v>
      </c>
      <c r="C229" s="100" t="s">
        <v>122</v>
      </c>
      <c r="D229" s="101" t="s">
        <v>133</v>
      </c>
      <c r="E229" s="97" t="s">
        <v>123</v>
      </c>
      <c r="F229" s="97"/>
      <c r="G229" s="97" t="s">
        <v>102</v>
      </c>
      <c r="H229" s="97"/>
      <c r="I229" s="99"/>
      <c r="J229" s="202">
        <f t="shared" si="41"/>
        <v>0</v>
      </c>
      <c r="K229" s="94">
        <f t="shared" si="40"/>
        <v>0</v>
      </c>
      <c r="L229" s="95" t="s">
        <v>15</v>
      </c>
      <c r="M229" s="27"/>
      <c r="N229" s="27"/>
      <c r="O229" s="18">
        <f t="shared" si="42"/>
        <v>0</v>
      </c>
      <c r="P229" s="18">
        <f t="shared" si="43"/>
        <v>0</v>
      </c>
      <c r="Q229" s="8">
        <f t="shared" si="44"/>
        <v>0</v>
      </c>
    </row>
    <row r="230" spans="1:17" ht="23.25" customHeight="1" x14ac:dyDescent="0.5">
      <c r="A230" s="77">
        <v>206</v>
      </c>
      <c r="B230" s="78" t="s">
        <v>80</v>
      </c>
      <c r="C230" s="100" t="s">
        <v>122</v>
      </c>
      <c r="D230" s="101" t="s">
        <v>134</v>
      </c>
      <c r="E230" s="97" t="s">
        <v>123</v>
      </c>
      <c r="F230" s="97"/>
      <c r="G230" s="97" t="s">
        <v>102</v>
      </c>
      <c r="H230" s="176" t="s">
        <v>489</v>
      </c>
      <c r="I230" s="99"/>
      <c r="J230" s="202">
        <f t="shared" si="41"/>
        <v>0</v>
      </c>
      <c r="K230" s="94">
        <f t="shared" si="40"/>
        <v>0</v>
      </c>
      <c r="L230" s="95" t="s">
        <v>15</v>
      </c>
      <c r="M230" s="27"/>
      <c r="N230" s="27"/>
      <c r="O230" s="18">
        <f t="shared" si="42"/>
        <v>0</v>
      </c>
      <c r="P230" s="18">
        <f t="shared" si="43"/>
        <v>0</v>
      </c>
      <c r="Q230" s="8">
        <f t="shared" si="44"/>
        <v>0</v>
      </c>
    </row>
    <row r="231" spans="1:17" ht="23.25" customHeight="1" x14ac:dyDescent="0.5">
      <c r="A231" s="77"/>
      <c r="B231" s="78" t="s">
        <v>80</v>
      </c>
      <c r="C231" s="100" t="s">
        <v>122</v>
      </c>
      <c r="D231" s="101" t="s">
        <v>134</v>
      </c>
      <c r="E231" s="97" t="s">
        <v>123</v>
      </c>
      <c r="F231" s="97"/>
      <c r="G231" s="97" t="s">
        <v>102</v>
      </c>
      <c r="H231" s="176" t="s">
        <v>490</v>
      </c>
      <c r="I231" s="99"/>
      <c r="J231" s="202">
        <f t="shared" si="41"/>
        <v>0</v>
      </c>
      <c r="K231" s="94">
        <f t="shared" si="40"/>
        <v>0</v>
      </c>
      <c r="L231" s="95" t="s">
        <v>15</v>
      </c>
      <c r="M231" s="27"/>
      <c r="N231" s="27"/>
      <c r="O231" s="18">
        <f t="shared" si="42"/>
        <v>0</v>
      </c>
      <c r="P231" s="18">
        <f t="shared" si="43"/>
        <v>0</v>
      </c>
      <c r="Q231" s="8">
        <f t="shared" si="44"/>
        <v>0</v>
      </c>
    </row>
    <row r="232" spans="1:17" ht="23.25" customHeight="1" x14ac:dyDescent="0.5">
      <c r="A232" s="77"/>
      <c r="B232" s="78" t="s">
        <v>80</v>
      </c>
      <c r="C232" s="100" t="s">
        <v>122</v>
      </c>
      <c r="D232" s="101" t="s">
        <v>134</v>
      </c>
      <c r="E232" s="97" t="s">
        <v>123</v>
      </c>
      <c r="F232" s="97"/>
      <c r="G232" s="97" t="s">
        <v>102</v>
      </c>
      <c r="H232" s="176" t="s">
        <v>491</v>
      </c>
      <c r="I232" s="99"/>
      <c r="J232" s="202">
        <f t="shared" si="41"/>
        <v>0</v>
      </c>
      <c r="K232" s="94">
        <f t="shared" si="40"/>
        <v>0</v>
      </c>
      <c r="L232" s="95" t="s">
        <v>15</v>
      </c>
      <c r="M232" s="27"/>
      <c r="N232" s="27"/>
      <c r="O232" s="18">
        <f t="shared" si="42"/>
        <v>0</v>
      </c>
      <c r="P232" s="18">
        <f t="shared" si="43"/>
        <v>0</v>
      </c>
      <c r="Q232" s="8">
        <f t="shared" si="44"/>
        <v>0</v>
      </c>
    </row>
    <row r="233" spans="1:17" ht="23.25" customHeight="1" x14ac:dyDescent="0.5">
      <c r="A233" s="77">
        <v>207</v>
      </c>
      <c r="B233" s="78" t="s">
        <v>80</v>
      </c>
      <c r="C233" s="100" t="s">
        <v>122</v>
      </c>
      <c r="D233" s="101" t="s">
        <v>135</v>
      </c>
      <c r="E233" s="97" t="s">
        <v>136</v>
      </c>
      <c r="F233" s="97"/>
      <c r="G233" s="97"/>
      <c r="H233" s="97" t="s">
        <v>125</v>
      </c>
      <c r="I233" s="99"/>
      <c r="J233" s="202">
        <f t="shared" si="41"/>
        <v>0</v>
      </c>
      <c r="K233" s="94">
        <f t="shared" si="40"/>
        <v>0</v>
      </c>
      <c r="L233" s="95" t="s">
        <v>15</v>
      </c>
      <c r="M233" s="27"/>
      <c r="N233" s="27"/>
      <c r="O233" s="18">
        <f t="shared" si="42"/>
        <v>0</v>
      </c>
      <c r="P233" s="18">
        <f t="shared" si="43"/>
        <v>0</v>
      </c>
      <c r="Q233" s="8">
        <f t="shared" si="44"/>
        <v>0</v>
      </c>
    </row>
    <row r="234" spans="1:17" ht="23.25" customHeight="1" x14ac:dyDescent="0.5">
      <c r="A234" s="77">
        <v>208</v>
      </c>
      <c r="B234" s="78" t="s">
        <v>80</v>
      </c>
      <c r="C234" s="100" t="s">
        <v>122</v>
      </c>
      <c r="D234" s="101" t="s">
        <v>135</v>
      </c>
      <c r="E234" s="97" t="s">
        <v>136</v>
      </c>
      <c r="F234" s="97"/>
      <c r="G234" s="97"/>
      <c r="H234" s="97" t="s">
        <v>137</v>
      </c>
      <c r="I234" s="99"/>
      <c r="J234" s="202">
        <f t="shared" si="41"/>
        <v>0</v>
      </c>
      <c r="K234" s="94">
        <f t="shared" si="40"/>
        <v>0</v>
      </c>
      <c r="L234" s="95" t="s">
        <v>15</v>
      </c>
      <c r="M234" s="27"/>
      <c r="N234" s="27"/>
      <c r="O234" s="18">
        <f t="shared" si="42"/>
        <v>0</v>
      </c>
      <c r="P234" s="18">
        <f t="shared" si="43"/>
        <v>0</v>
      </c>
      <c r="Q234" s="8">
        <f t="shared" si="44"/>
        <v>0</v>
      </c>
    </row>
    <row r="235" spans="1:17" ht="23.25" customHeight="1" x14ac:dyDescent="0.5">
      <c r="A235" s="77">
        <v>209</v>
      </c>
      <c r="B235" s="78" t="s">
        <v>80</v>
      </c>
      <c r="C235" s="100" t="s">
        <v>122</v>
      </c>
      <c r="D235" s="101" t="s">
        <v>135</v>
      </c>
      <c r="E235" s="97" t="s">
        <v>136</v>
      </c>
      <c r="F235" s="97"/>
      <c r="G235" s="97"/>
      <c r="H235" s="97" t="s">
        <v>138</v>
      </c>
      <c r="I235" s="99"/>
      <c r="J235" s="202">
        <f t="shared" si="41"/>
        <v>0</v>
      </c>
      <c r="K235" s="94">
        <f t="shared" si="40"/>
        <v>0</v>
      </c>
      <c r="L235" s="95" t="s">
        <v>15</v>
      </c>
      <c r="M235" s="27"/>
      <c r="N235" s="27"/>
      <c r="O235" s="18">
        <f t="shared" si="42"/>
        <v>0</v>
      </c>
      <c r="P235" s="18">
        <f t="shared" si="43"/>
        <v>0</v>
      </c>
      <c r="Q235" s="8">
        <f t="shared" si="44"/>
        <v>0</v>
      </c>
    </row>
    <row r="236" spans="1:17" ht="23.25" customHeight="1" x14ac:dyDescent="0.5">
      <c r="A236" s="77">
        <v>210</v>
      </c>
      <c r="B236" s="78" t="s">
        <v>80</v>
      </c>
      <c r="C236" s="100" t="s">
        <v>122</v>
      </c>
      <c r="D236" s="101" t="s">
        <v>135</v>
      </c>
      <c r="E236" s="97" t="s">
        <v>139</v>
      </c>
      <c r="F236" s="97"/>
      <c r="G236" s="97"/>
      <c r="H236" s="97" t="s">
        <v>125</v>
      </c>
      <c r="I236" s="99"/>
      <c r="J236" s="202">
        <f t="shared" si="41"/>
        <v>0</v>
      </c>
      <c r="K236" s="94">
        <f t="shared" si="40"/>
        <v>0</v>
      </c>
      <c r="L236" s="95" t="s">
        <v>15</v>
      </c>
      <c r="M236" s="27"/>
      <c r="N236" s="27"/>
      <c r="O236" s="18">
        <f t="shared" si="42"/>
        <v>0</v>
      </c>
      <c r="P236" s="18">
        <f t="shared" si="43"/>
        <v>0</v>
      </c>
      <c r="Q236" s="8">
        <f t="shared" si="44"/>
        <v>0</v>
      </c>
    </row>
    <row r="237" spans="1:17" ht="23.25" customHeight="1" x14ac:dyDescent="0.5">
      <c r="A237" s="77">
        <v>211</v>
      </c>
      <c r="B237" s="78" t="s">
        <v>80</v>
      </c>
      <c r="C237" s="100" t="s">
        <v>122</v>
      </c>
      <c r="D237" s="101" t="s">
        <v>135</v>
      </c>
      <c r="E237" s="97" t="s">
        <v>139</v>
      </c>
      <c r="F237" s="97"/>
      <c r="G237" s="97"/>
      <c r="H237" s="97" t="s">
        <v>137</v>
      </c>
      <c r="I237" s="99"/>
      <c r="J237" s="202">
        <f t="shared" si="41"/>
        <v>0</v>
      </c>
      <c r="K237" s="94">
        <f t="shared" si="40"/>
        <v>0</v>
      </c>
      <c r="L237" s="95" t="s">
        <v>15</v>
      </c>
      <c r="M237" s="27"/>
      <c r="N237" s="27"/>
      <c r="O237" s="18">
        <f t="shared" si="42"/>
        <v>0</v>
      </c>
      <c r="P237" s="18">
        <f t="shared" si="43"/>
        <v>0</v>
      </c>
      <c r="Q237" s="8">
        <f t="shared" si="44"/>
        <v>0</v>
      </c>
    </row>
    <row r="238" spans="1:17" ht="23.25" customHeight="1" x14ac:dyDescent="0.5">
      <c r="A238" s="77">
        <v>212</v>
      </c>
      <c r="B238" s="78" t="s">
        <v>80</v>
      </c>
      <c r="C238" s="100" t="s">
        <v>122</v>
      </c>
      <c r="D238" s="101" t="s">
        <v>135</v>
      </c>
      <c r="E238" s="97" t="s">
        <v>139</v>
      </c>
      <c r="F238" s="97"/>
      <c r="G238" s="97"/>
      <c r="H238" s="97" t="s">
        <v>138</v>
      </c>
      <c r="I238" s="99"/>
      <c r="J238" s="202">
        <f t="shared" si="41"/>
        <v>0</v>
      </c>
      <c r="K238" s="94">
        <f t="shared" si="40"/>
        <v>0</v>
      </c>
      <c r="L238" s="95" t="s">
        <v>15</v>
      </c>
      <c r="M238" s="27"/>
      <c r="N238" s="27"/>
      <c r="O238" s="18">
        <f t="shared" si="42"/>
        <v>0</v>
      </c>
      <c r="P238" s="18">
        <f t="shared" si="43"/>
        <v>0</v>
      </c>
      <c r="Q238" s="8">
        <f t="shared" si="44"/>
        <v>0</v>
      </c>
    </row>
    <row r="239" spans="1:17" ht="23.25" customHeight="1" x14ac:dyDescent="0.5">
      <c r="A239" s="77">
        <v>213</v>
      </c>
      <c r="B239" s="78" t="s">
        <v>80</v>
      </c>
      <c r="C239" s="100" t="s">
        <v>122</v>
      </c>
      <c r="D239" s="101" t="s">
        <v>34</v>
      </c>
      <c r="E239" s="97" t="s">
        <v>35</v>
      </c>
      <c r="F239" s="97"/>
      <c r="G239" s="97" t="s">
        <v>36</v>
      </c>
      <c r="H239" s="97" t="s">
        <v>140</v>
      </c>
      <c r="I239" s="99"/>
      <c r="J239" s="202">
        <f t="shared" si="41"/>
        <v>0</v>
      </c>
      <c r="K239" s="94">
        <f t="shared" si="40"/>
        <v>0</v>
      </c>
      <c r="L239" s="95" t="s">
        <v>28</v>
      </c>
      <c r="M239" s="27"/>
      <c r="N239" s="27"/>
      <c r="O239" s="18">
        <f t="shared" si="42"/>
        <v>0</v>
      </c>
      <c r="P239" s="18">
        <f t="shared" si="43"/>
        <v>0</v>
      </c>
      <c r="Q239" s="8">
        <f t="shared" si="44"/>
        <v>0</v>
      </c>
    </row>
    <row r="240" spans="1:17" ht="23.25" customHeight="1" x14ac:dyDescent="0.5">
      <c r="A240" s="77">
        <v>214</v>
      </c>
      <c r="B240" s="78" t="s">
        <v>80</v>
      </c>
      <c r="C240" s="100" t="s">
        <v>122</v>
      </c>
      <c r="D240" s="101" t="s">
        <v>34</v>
      </c>
      <c r="E240" s="97" t="s">
        <v>35</v>
      </c>
      <c r="F240" s="97"/>
      <c r="G240" s="97" t="s">
        <v>36</v>
      </c>
      <c r="H240" s="97" t="s">
        <v>141</v>
      </c>
      <c r="I240" s="99"/>
      <c r="J240" s="202">
        <f t="shared" si="41"/>
        <v>0</v>
      </c>
      <c r="K240" s="94">
        <f t="shared" si="40"/>
        <v>0</v>
      </c>
      <c r="L240" s="95" t="s">
        <v>28</v>
      </c>
      <c r="M240" s="27"/>
      <c r="N240" s="27"/>
      <c r="O240" s="18">
        <f t="shared" si="42"/>
        <v>0</v>
      </c>
      <c r="P240" s="18">
        <f t="shared" si="43"/>
        <v>0</v>
      </c>
      <c r="Q240" s="8">
        <f t="shared" si="44"/>
        <v>0</v>
      </c>
    </row>
    <row r="241" spans="1:17" ht="23.25" customHeight="1" x14ac:dyDescent="0.5">
      <c r="A241" s="77">
        <v>215</v>
      </c>
      <c r="B241" s="78" t="s">
        <v>80</v>
      </c>
      <c r="C241" s="100" t="s">
        <v>122</v>
      </c>
      <c r="D241" s="101" t="s">
        <v>142</v>
      </c>
      <c r="E241" s="97" t="s">
        <v>35</v>
      </c>
      <c r="F241" s="97"/>
      <c r="G241" s="97" t="s">
        <v>36</v>
      </c>
      <c r="H241" s="97" t="s">
        <v>59</v>
      </c>
      <c r="I241" s="99"/>
      <c r="J241" s="202">
        <f t="shared" si="41"/>
        <v>0</v>
      </c>
      <c r="K241" s="94">
        <f t="shared" si="40"/>
        <v>0</v>
      </c>
      <c r="L241" s="95" t="s">
        <v>15</v>
      </c>
      <c r="M241" s="27"/>
      <c r="N241" s="27"/>
      <c r="O241" s="18">
        <f t="shared" si="42"/>
        <v>0</v>
      </c>
      <c r="P241" s="18">
        <f t="shared" si="43"/>
        <v>0</v>
      </c>
      <c r="Q241" s="8">
        <f t="shared" si="44"/>
        <v>0</v>
      </c>
    </row>
    <row r="242" spans="1:17" ht="23.25" customHeight="1" x14ac:dyDescent="0.5">
      <c r="A242" s="77">
        <v>216</v>
      </c>
      <c r="B242" s="78" t="s">
        <v>80</v>
      </c>
      <c r="C242" s="111" t="s">
        <v>122</v>
      </c>
      <c r="D242" s="101" t="s">
        <v>143</v>
      </c>
      <c r="E242" s="97"/>
      <c r="F242" s="97"/>
      <c r="G242" s="97"/>
      <c r="H242" s="97"/>
      <c r="I242" s="99"/>
      <c r="J242" s="202">
        <f t="shared" si="41"/>
        <v>0</v>
      </c>
      <c r="K242" s="94">
        <f t="shared" si="40"/>
        <v>0</v>
      </c>
      <c r="L242" s="95" t="s">
        <v>144</v>
      </c>
      <c r="M242" s="27"/>
      <c r="N242" s="27"/>
      <c r="O242" s="18">
        <f t="shared" si="42"/>
        <v>0</v>
      </c>
      <c r="P242" s="18">
        <f t="shared" si="43"/>
        <v>0</v>
      </c>
      <c r="Q242" s="8">
        <f t="shared" si="44"/>
        <v>0</v>
      </c>
    </row>
    <row r="243" spans="1:17" ht="23.25" customHeight="1" x14ac:dyDescent="0.55000000000000004">
      <c r="A243" s="77">
        <v>217</v>
      </c>
      <c r="B243" s="78" t="s">
        <v>21</v>
      </c>
      <c r="C243" s="100" t="s">
        <v>145</v>
      </c>
      <c r="D243" s="80" t="s">
        <v>21</v>
      </c>
      <c r="E243" s="81"/>
      <c r="F243" s="81"/>
      <c r="G243" s="81"/>
      <c r="H243" s="82"/>
      <c r="I243" s="99"/>
      <c r="J243" s="200"/>
      <c r="K243" s="94">
        <f t="shared" si="40"/>
        <v>0</v>
      </c>
      <c r="L243" s="84"/>
      <c r="M243" s="33"/>
      <c r="N243" s="33"/>
      <c r="O243" s="26"/>
      <c r="P243" s="26"/>
      <c r="Q243" s="7"/>
    </row>
    <row r="244" spans="1:17" ht="23.25" customHeight="1" x14ac:dyDescent="0.55000000000000004">
      <c r="A244" s="77">
        <v>218</v>
      </c>
      <c r="B244" s="78" t="s">
        <v>21</v>
      </c>
      <c r="C244" s="100" t="s">
        <v>145</v>
      </c>
      <c r="D244" s="106" t="s">
        <v>145</v>
      </c>
      <c r="E244" s="107"/>
      <c r="F244" s="107"/>
      <c r="G244" s="107"/>
      <c r="H244" s="107"/>
      <c r="I244" s="99"/>
      <c r="J244" s="203"/>
      <c r="K244" s="94">
        <f t="shared" si="40"/>
        <v>0</v>
      </c>
      <c r="L244" s="109"/>
      <c r="M244" s="112"/>
      <c r="N244" s="112"/>
      <c r="O244" s="113"/>
      <c r="P244" s="113"/>
      <c r="Q244" s="9"/>
    </row>
    <row r="245" spans="1:17" ht="23.25" customHeight="1" x14ac:dyDescent="0.5">
      <c r="A245" s="77">
        <v>219</v>
      </c>
      <c r="B245" s="78" t="s">
        <v>21</v>
      </c>
      <c r="C245" s="100" t="s">
        <v>145</v>
      </c>
      <c r="D245" s="101" t="s">
        <v>34</v>
      </c>
      <c r="E245" s="97" t="s">
        <v>62</v>
      </c>
      <c r="F245" s="97"/>
      <c r="G245" s="97"/>
      <c r="H245" s="97" t="s">
        <v>146</v>
      </c>
      <c r="I245" s="99">
        <v>10.899999999999999</v>
      </c>
      <c r="J245" s="202">
        <v>2.1</v>
      </c>
      <c r="K245" s="94">
        <f t="shared" si="40"/>
        <v>-8.7999999999999989</v>
      </c>
      <c r="L245" s="95" t="s">
        <v>45</v>
      </c>
      <c r="M245" s="27"/>
      <c r="N245" s="27"/>
      <c r="O245" s="18">
        <f t="shared" ref="O245:O278" si="45">M245*J245</f>
        <v>0</v>
      </c>
      <c r="P245" s="18">
        <f t="shared" ref="P245:P278" si="46">N245*J245</f>
        <v>0</v>
      </c>
      <c r="Q245" s="8">
        <f t="shared" ref="Q245:Q278" si="47">(M245*J245)+(N245*J245)</f>
        <v>0</v>
      </c>
    </row>
    <row r="246" spans="1:17" ht="23.25" customHeight="1" x14ac:dyDescent="0.5">
      <c r="A246" s="77">
        <v>220</v>
      </c>
      <c r="B246" s="78" t="s">
        <v>21</v>
      </c>
      <c r="C246" s="100" t="s">
        <v>145</v>
      </c>
      <c r="D246" s="101" t="s">
        <v>112</v>
      </c>
      <c r="E246" s="97" t="s">
        <v>62</v>
      </c>
      <c r="F246" s="97"/>
      <c r="G246" s="97"/>
      <c r="H246" s="97" t="s">
        <v>146</v>
      </c>
      <c r="I246" s="99">
        <v>17</v>
      </c>
      <c r="J246" s="202">
        <v>12</v>
      </c>
      <c r="K246" s="94">
        <f t="shared" si="40"/>
        <v>-5</v>
      </c>
      <c r="L246" s="95" t="s">
        <v>15</v>
      </c>
      <c r="M246" s="27"/>
      <c r="N246" s="27"/>
      <c r="O246" s="18">
        <f t="shared" si="45"/>
        <v>0</v>
      </c>
      <c r="P246" s="18">
        <f t="shared" si="46"/>
        <v>0</v>
      </c>
      <c r="Q246" s="8">
        <f t="shared" si="47"/>
        <v>0</v>
      </c>
    </row>
    <row r="247" spans="1:17" ht="23.25" customHeight="1" x14ac:dyDescent="0.5">
      <c r="A247" s="77">
        <v>221</v>
      </c>
      <c r="B247" s="78" t="s">
        <v>21</v>
      </c>
      <c r="C247" s="100" t="s">
        <v>145</v>
      </c>
      <c r="D247" s="101" t="s">
        <v>47</v>
      </c>
      <c r="E247" s="97" t="s">
        <v>62</v>
      </c>
      <c r="F247" s="97"/>
      <c r="G247" s="97"/>
      <c r="H247" s="97" t="s">
        <v>146</v>
      </c>
      <c r="I247" s="99">
        <v>4</v>
      </c>
      <c r="J247" s="202">
        <v>0</v>
      </c>
      <c r="K247" s="94">
        <f t="shared" si="40"/>
        <v>-4</v>
      </c>
      <c r="L247" s="95" t="s">
        <v>15</v>
      </c>
      <c r="M247" s="27"/>
      <c r="N247" s="27"/>
      <c r="O247" s="18">
        <f t="shared" si="45"/>
        <v>0</v>
      </c>
      <c r="P247" s="18">
        <f t="shared" si="46"/>
        <v>0</v>
      </c>
      <c r="Q247" s="8">
        <f t="shared" si="47"/>
        <v>0</v>
      </c>
    </row>
    <row r="248" spans="1:17" ht="23.25" customHeight="1" x14ac:dyDescent="0.5">
      <c r="A248" s="77">
        <v>222</v>
      </c>
      <c r="B248" s="78" t="s">
        <v>21</v>
      </c>
      <c r="C248" s="100" t="s">
        <v>145</v>
      </c>
      <c r="D248" s="101" t="s">
        <v>147</v>
      </c>
      <c r="E248" s="97" t="s">
        <v>62</v>
      </c>
      <c r="F248" s="97"/>
      <c r="G248" s="97"/>
      <c r="H248" s="97" t="s">
        <v>146</v>
      </c>
      <c r="I248" s="99"/>
      <c r="J248" s="202">
        <v>16</v>
      </c>
      <c r="K248" s="94">
        <f t="shared" si="40"/>
        <v>16</v>
      </c>
      <c r="L248" s="95" t="s">
        <v>15</v>
      </c>
      <c r="M248" s="27"/>
      <c r="N248" s="27"/>
      <c r="O248" s="18">
        <f t="shared" si="45"/>
        <v>0</v>
      </c>
      <c r="P248" s="18">
        <f t="shared" si="46"/>
        <v>0</v>
      </c>
      <c r="Q248" s="8">
        <f t="shared" si="47"/>
        <v>0</v>
      </c>
    </row>
    <row r="249" spans="1:17" s="229" customFormat="1" ht="23.25" customHeight="1" x14ac:dyDescent="0.5">
      <c r="A249" s="216">
        <v>223</v>
      </c>
      <c r="B249" s="217" t="s">
        <v>21</v>
      </c>
      <c r="C249" s="218" t="s">
        <v>145</v>
      </c>
      <c r="D249" s="219" t="s">
        <v>34</v>
      </c>
      <c r="E249" s="220" t="s">
        <v>62</v>
      </c>
      <c r="F249" s="220"/>
      <c r="G249" s="220"/>
      <c r="H249" s="220" t="s">
        <v>148</v>
      </c>
      <c r="I249" s="221"/>
      <c r="J249" s="222">
        <v>9.1</v>
      </c>
      <c r="K249" s="223">
        <f t="shared" si="40"/>
        <v>9.1</v>
      </c>
      <c r="L249" s="224" t="s">
        <v>45</v>
      </c>
      <c r="M249" s="225"/>
      <c r="N249" s="225"/>
      <c r="O249" s="226">
        <f t="shared" si="45"/>
        <v>0</v>
      </c>
      <c r="P249" s="226">
        <f t="shared" si="46"/>
        <v>0</v>
      </c>
      <c r="Q249" s="227">
        <f t="shared" si="47"/>
        <v>0</v>
      </c>
    </row>
    <row r="250" spans="1:17" s="229" customFormat="1" ht="23.25" customHeight="1" x14ac:dyDescent="0.5">
      <c r="A250" s="216">
        <v>224</v>
      </c>
      <c r="B250" s="217" t="s">
        <v>21</v>
      </c>
      <c r="C250" s="218" t="s">
        <v>145</v>
      </c>
      <c r="D250" s="219" t="s">
        <v>112</v>
      </c>
      <c r="E250" s="220" t="s">
        <v>62</v>
      </c>
      <c r="F250" s="220"/>
      <c r="G250" s="220"/>
      <c r="H250" s="220" t="s">
        <v>148</v>
      </c>
      <c r="I250" s="221"/>
      <c r="J250" s="222">
        <v>6</v>
      </c>
      <c r="K250" s="223">
        <f t="shared" si="40"/>
        <v>6</v>
      </c>
      <c r="L250" s="224" t="s">
        <v>15</v>
      </c>
      <c r="M250" s="225"/>
      <c r="N250" s="225"/>
      <c r="O250" s="226">
        <f t="shared" si="45"/>
        <v>0</v>
      </c>
      <c r="P250" s="226">
        <f t="shared" si="46"/>
        <v>0</v>
      </c>
      <c r="Q250" s="227">
        <f t="shared" si="47"/>
        <v>0</v>
      </c>
    </row>
    <row r="251" spans="1:17" s="229" customFormat="1" ht="23.25" customHeight="1" x14ac:dyDescent="0.5">
      <c r="A251" s="216">
        <v>225</v>
      </c>
      <c r="B251" s="217" t="s">
        <v>21</v>
      </c>
      <c r="C251" s="218" t="s">
        <v>145</v>
      </c>
      <c r="D251" s="219" t="s">
        <v>47</v>
      </c>
      <c r="E251" s="220" t="s">
        <v>62</v>
      </c>
      <c r="F251" s="220"/>
      <c r="G251" s="220"/>
      <c r="H251" s="220" t="s">
        <v>148</v>
      </c>
      <c r="I251" s="221"/>
      <c r="J251" s="222">
        <f t="shared" ref="J251:J278" si="48">I251</f>
        <v>0</v>
      </c>
      <c r="K251" s="223">
        <f t="shared" si="40"/>
        <v>0</v>
      </c>
      <c r="L251" s="224"/>
      <c r="M251" s="225"/>
      <c r="N251" s="225"/>
      <c r="O251" s="226">
        <f t="shared" si="45"/>
        <v>0</v>
      </c>
      <c r="P251" s="226">
        <f t="shared" si="46"/>
        <v>0</v>
      </c>
      <c r="Q251" s="227">
        <f t="shared" si="47"/>
        <v>0</v>
      </c>
    </row>
    <row r="252" spans="1:17" s="229" customFormat="1" ht="23.25" customHeight="1" x14ac:dyDescent="0.5">
      <c r="A252" s="216">
        <v>226</v>
      </c>
      <c r="B252" s="217" t="s">
        <v>21</v>
      </c>
      <c r="C252" s="218" t="s">
        <v>145</v>
      </c>
      <c r="D252" s="219" t="s">
        <v>147</v>
      </c>
      <c r="E252" s="220" t="s">
        <v>62</v>
      </c>
      <c r="F252" s="220"/>
      <c r="G252" s="220"/>
      <c r="H252" s="220" t="s">
        <v>148</v>
      </c>
      <c r="I252" s="221"/>
      <c r="J252" s="222">
        <v>12</v>
      </c>
      <c r="K252" s="223">
        <f t="shared" si="40"/>
        <v>12</v>
      </c>
      <c r="L252" s="224" t="s">
        <v>15</v>
      </c>
      <c r="M252" s="225"/>
      <c r="N252" s="225"/>
      <c r="O252" s="226">
        <f t="shared" si="45"/>
        <v>0</v>
      </c>
      <c r="P252" s="226">
        <f t="shared" si="46"/>
        <v>0</v>
      </c>
      <c r="Q252" s="227">
        <f t="shared" si="47"/>
        <v>0</v>
      </c>
    </row>
    <row r="253" spans="1:17" ht="23.25" customHeight="1" x14ac:dyDescent="0.5">
      <c r="A253" s="77">
        <v>227</v>
      </c>
      <c r="B253" s="78" t="s">
        <v>21</v>
      </c>
      <c r="C253" s="100" t="s">
        <v>145</v>
      </c>
      <c r="D253" s="101" t="s">
        <v>34</v>
      </c>
      <c r="E253" s="97" t="s">
        <v>62</v>
      </c>
      <c r="F253" s="97"/>
      <c r="G253" s="97"/>
      <c r="H253" s="97" t="s">
        <v>149</v>
      </c>
      <c r="I253" s="99"/>
      <c r="J253" s="202">
        <f t="shared" si="48"/>
        <v>0</v>
      </c>
      <c r="K253" s="94">
        <f t="shared" si="40"/>
        <v>0</v>
      </c>
      <c r="L253" s="95" t="s">
        <v>45</v>
      </c>
      <c r="M253" s="27"/>
      <c r="N253" s="27"/>
      <c r="O253" s="18">
        <f t="shared" si="45"/>
        <v>0</v>
      </c>
      <c r="P253" s="18">
        <f t="shared" si="46"/>
        <v>0</v>
      </c>
      <c r="Q253" s="8">
        <f t="shared" si="47"/>
        <v>0</v>
      </c>
    </row>
    <row r="254" spans="1:17" ht="23.25" customHeight="1" x14ac:dyDescent="0.5">
      <c r="A254" s="77">
        <v>228</v>
      </c>
      <c r="B254" s="78" t="s">
        <v>21</v>
      </c>
      <c r="C254" s="100" t="s">
        <v>145</v>
      </c>
      <c r="D254" s="101" t="s">
        <v>112</v>
      </c>
      <c r="E254" s="97" t="s">
        <v>62</v>
      </c>
      <c r="F254" s="97"/>
      <c r="G254" s="97"/>
      <c r="H254" s="97" t="s">
        <v>149</v>
      </c>
      <c r="I254" s="99"/>
      <c r="J254" s="202">
        <f t="shared" si="48"/>
        <v>0</v>
      </c>
      <c r="K254" s="94">
        <f t="shared" si="40"/>
        <v>0</v>
      </c>
      <c r="L254" s="95" t="s">
        <v>15</v>
      </c>
      <c r="M254" s="27"/>
      <c r="N254" s="27"/>
      <c r="O254" s="18">
        <f t="shared" si="45"/>
        <v>0</v>
      </c>
      <c r="P254" s="18">
        <f t="shared" si="46"/>
        <v>0</v>
      </c>
      <c r="Q254" s="8">
        <f t="shared" si="47"/>
        <v>0</v>
      </c>
    </row>
    <row r="255" spans="1:17" ht="23.25" customHeight="1" x14ac:dyDescent="0.5">
      <c r="A255" s="77">
        <v>229</v>
      </c>
      <c r="B255" s="78" t="s">
        <v>21</v>
      </c>
      <c r="C255" s="100" t="s">
        <v>145</v>
      </c>
      <c r="D255" s="101" t="s">
        <v>47</v>
      </c>
      <c r="E255" s="97" t="s">
        <v>62</v>
      </c>
      <c r="F255" s="97"/>
      <c r="G255" s="97"/>
      <c r="H255" s="97" t="s">
        <v>149</v>
      </c>
      <c r="I255" s="99"/>
      <c r="J255" s="202">
        <f t="shared" si="48"/>
        <v>0</v>
      </c>
      <c r="K255" s="94">
        <f t="shared" si="40"/>
        <v>0</v>
      </c>
      <c r="L255" s="95" t="s">
        <v>15</v>
      </c>
      <c r="M255" s="27"/>
      <c r="N255" s="27"/>
      <c r="O255" s="18">
        <f t="shared" si="45"/>
        <v>0</v>
      </c>
      <c r="P255" s="18">
        <f t="shared" si="46"/>
        <v>0</v>
      </c>
      <c r="Q255" s="8">
        <f t="shared" si="47"/>
        <v>0</v>
      </c>
    </row>
    <row r="256" spans="1:17" ht="23.25" customHeight="1" x14ac:dyDescent="0.5">
      <c r="A256" s="77">
        <v>230</v>
      </c>
      <c r="B256" s="78" t="s">
        <v>21</v>
      </c>
      <c r="C256" s="100" t="s">
        <v>145</v>
      </c>
      <c r="D256" s="101" t="s">
        <v>147</v>
      </c>
      <c r="E256" s="97" t="s">
        <v>62</v>
      </c>
      <c r="F256" s="97"/>
      <c r="G256" s="97"/>
      <c r="H256" s="97" t="s">
        <v>149</v>
      </c>
      <c r="I256" s="99"/>
      <c r="J256" s="202">
        <f t="shared" si="48"/>
        <v>0</v>
      </c>
      <c r="K256" s="94">
        <f t="shared" si="40"/>
        <v>0</v>
      </c>
      <c r="L256" s="95" t="s">
        <v>15</v>
      </c>
      <c r="M256" s="27"/>
      <c r="N256" s="27"/>
      <c r="O256" s="18">
        <f t="shared" si="45"/>
        <v>0</v>
      </c>
      <c r="P256" s="18">
        <f t="shared" si="46"/>
        <v>0</v>
      </c>
      <c r="Q256" s="8">
        <f t="shared" si="47"/>
        <v>0</v>
      </c>
    </row>
    <row r="257" spans="1:17" ht="23.25" customHeight="1" x14ac:dyDescent="0.5">
      <c r="A257" s="77">
        <v>231</v>
      </c>
      <c r="B257" s="78" t="s">
        <v>21</v>
      </c>
      <c r="C257" s="100" t="s">
        <v>145</v>
      </c>
      <c r="D257" s="101" t="s">
        <v>34</v>
      </c>
      <c r="E257" s="97" t="s">
        <v>62</v>
      </c>
      <c r="F257" s="97"/>
      <c r="G257" s="97"/>
      <c r="H257" s="97" t="s">
        <v>150</v>
      </c>
      <c r="I257" s="99"/>
      <c r="J257" s="202">
        <f t="shared" si="48"/>
        <v>0</v>
      </c>
      <c r="K257" s="94">
        <f t="shared" si="40"/>
        <v>0</v>
      </c>
      <c r="L257" s="95" t="s">
        <v>45</v>
      </c>
      <c r="M257" s="27"/>
      <c r="N257" s="27"/>
      <c r="O257" s="18">
        <f t="shared" si="45"/>
        <v>0</v>
      </c>
      <c r="P257" s="18">
        <f t="shared" si="46"/>
        <v>0</v>
      </c>
      <c r="Q257" s="8">
        <f t="shared" si="47"/>
        <v>0</v>
      </c>
    </row>
    <row r="258" spans="1:17" ht="23.25" customHeight="1" x14ac:dyDescent="0.5">
      <c r="A258" s="77">
        <v>232</v>
      </c>
      <c r="B258" s="78" t="s">
        <v>21</v>
      </c>
      <c r="C258" s="100" t="s">
        <v>145</v>
      </c>
      <c r="D258" s="101" t="s">
        <v>112</v>
      </c>
      <c r="E258" s="97" t="s">
        <v>62</v>
      </c>
      <c r="F258" s="97"/>
      <c r="G258" s="97"/>
      <c r="H258" s="97" t="s">
        <v>150</v>
      </c>
      <c r="I258" s="99"/>
      <c r="J258" s="202">
        <f t="shared" si="48"/>
        <v>0</v>
      </c>
      <c r="K258" s="94">
        <f t="shared" si="40"/>
        <v>0</v>
      </c>
      <c r="L258" s="95" t="s">
        <v>15</v>
      </c>
      <c r="M258" s="27"/>
      <c r="N258" s="27"/>
      <c r="O258" s="18">
        <f t="shared" si="45"/>
        <v>0</v>
      </c>
      <c r="P258" s="18">
        <f t="shared" si="46"/>
        <v>0</v>
      </c>
      <c r="Q258" s="8">
        <f t="shared" si="47"/>
        <v>0</v>
      </c>
    </row>
    <row r="259" spans="1:17" ht="23.25" customHeight="1" x14ac:dyDescent="0.5">
      <c r="A259" s="77">
        <v>233</v>
      </c>
      <c r="B259" s="78" t="s">
        <v>21</v>
      </c>
      <c r="C259" s="100" t="s">
        <v>145</v>
      </c>
      <c r="D259" s="101" t="s">
        <v>47</v>
      </c>
      <c r="E259" s="97" t="s">
        <v>62</v>
      </c>
      <c r="F259" s="97"/>
      <c r="G259" s="97"/>
      <c r="H259" s="97" t="s">
        <v>150</v>
      </c>
      <c r="I259" s="99"/>
      <c r="J259" s="202">
        <f t="shared" si="48"/>
        <v>0</v>
      </c>
      <c r="K259" s="94">
        <f t="shared" si="40"/>
        <v>0</v>
      </c>
      <c r="L259" s="95" t="s">
        <v>15</v>
      </c>
      <c r="M259" s="27"/>
      <c r="N259" s="27"/>
      <c r="O259" s="18">
        <f t="shared" si="45"/>
        <v>0</v>
      </c>
      <c r="P259" s="18">
        <f t="shared" si="46"/>
        <v>0</v>
      </c>
      <c r="Q259" s="8">
        <f t="shared" si="47"/>
        <v>0</v>
      </c>
    </row>
    <row r="260" spans="1:17" ht="23.25" customHeight="1" x14ac:dyDescent="0.5">
      <c r="A260" s="77">
        <v>234</v>
      </c>
      <c r="B260" s="78" t="s">
        <v>21</v>
      </c>
      <c r="C260" s="100" t="s">
        <v>145</v>
      </c>
      <c r="D260" s="101" t="s">
        <v>147</v>
      </c>
      <c r="E260" s="97" t="s">
        <v>62</v>
      </c>
      <c r="F260" s="97"/>
      <c r="G260" s="97"/>
      <c r="H260" s="97" t="s">
        <v>150</v>
      </c>
      <c r="I260" s="99"/>
      <c r="J260" s="202">
        <f t="shared" si="48"/>
        <v>0</v>
      </c>
      <c r="K260" s="94">
        <f t="shared" si="40"/>
        <v>0</v>
      </c>
      <c r="L260" s="95" t="s">
        <v>15</v>
      </c>
      <c r="M260" s="27"/>
      <c r="N260" s="27"/>
      <c r="O260" s="18">
        <f t="shared" si="45"/>
        <v>0</v>
      </c>
      <c r="P260" s="18">
        <f t="shared" si="46"/>
        <v>0</v>
      </c>
      <c r="Q260" s="8">
        <f t="shared" si="47"/>
        <v>0</v>
      </c>
    </row>
    <row r="261" spans="1:17" ht="23.25" customHeight="1" x14ac:dyDescent="0.5">
      <c r="A261" s="77">
        <v>235</v>
      </c>
      <c r="B261" s="78" t="s">
        <v>21</v>
      </c>
      <c r="C261" s="100" t="s">
        <v>145</v>
      </c>
      <c r="D261" s="101" t="s">
        <v>151</v>
      </c>
      <c r="E261" s="97" t="s">
        <v>62</v>
      </c>
      <c r="F261" s="97"/>
      <c r="G261" s="97" t="s">
        <v>152</v>
      </c>
      <c r="H261" s="97" t="s">
        <v>153</v>
      </c>
      <c r="I261" s="99"/>
      <c r="J261" s="202">
        <f t="shared" si="48"/>
        <v>0</v>
      </c>
      <c r="K261" s="94">
        <f t="shared" si="40"/>
        <v>0</v>
      </c>
      <c r="L261" s="95" t="s">
        <v>15</v>
      </c>
      <c r="M261" s="27"/>
      <c r="N261" s="27"/>
      <c r="O261" s="18">
        <f t="shared" si="45"/>
        <v>0</v>
      </c>
      <c r="P261" s="18">
        <f t="shared" si="46"/>
        <v>0</v>
      </c>
      <c r="Q261" s="8">
        <f t="shared" si="47"/>
        <v>0</v>
      </c>
    </row>
    <row r="262" spans="1:17" s="229" customFormat="1" ht="23" customHeight="1" x14ac:dyDescent="0.5">
      <c r="A262" s="216">
        <v>236</v>
      </c>
      <c r="B262" s="217" t="s">
        <v>21</v>
      </c>
      <c r="C262" s="218" t="s">
        <v>145</v>
      </c>
      <c r="D262" s="219" t="s">
        <v>151</v>
      </c>
      <c r="E262" s="220" t="s">
        <v>62</v>
      </c>
      <c r="F262" s="220"/>
      <c r="G262" s="220" t="s">
        <v>152</v>
      </c>
      <c r="H262" s="220" t="s">
        <v>154</v>
      </c>
      <c r="I262" s="221"/>
      <c r="J262" s="222">
        <v>2</v>
      </c>
      <c r="K262" s="223">
        <f t="shared" si="40"/>
        <v>2</v>
      </c>
      <c r="L262" s="224" t="s">
        <v>15</v>
      </c>
      <c r="M262" s="225"/>
      <c r="N262" s="225"/>
      <c r="O262" s="226">
        <f t="shared" si="45"/>
        <v>0</v>
      </c>
      <c r="P262" s="226">
        <f t="shared" si="46"/>
        <v>0</v>
      </c>
      <c r="Q262" s="227">
        <f t="shared" si="47"/>
        <v>0</v>
      </c>
    </row>
    <row r="263" spans="1:17" ht="23.25" customHeight="1" x14ac:dyDescent="0.5">
      <c r="A263" s="77">
        <v>237</v>
      </c>
      <c r="B263" s="78" t="s">
        <v>21</v>
      </c>
      <c r="C263" s="100" t="s">
        <v>145</v>
      </c>
      <c r="D263" s="101" t="s">
        <v>155</v>
      </c>
      <c r="E263" s="97" t="s">
        <v>62</v>
      </c>
      <c r="F263" s="97"/>
      <c r="G263" s="97"/>
      <c r="H263" s="97" t="s">
        <v>156</v>
      </c>
      <c r="I263" s="99"/>
      <c r="J263" s="202">
        <f t="shared" si="48"/>
        <v>0</v>
      </c>
      <c r="K263" s="94">
        <f t="shared" si="40"/>
        <v>0</v>
      </c>
      <c r="L263" s="95" t="s">
        <v>45</v>
      </c>
      <c r="M263" s="27"/>
      <c r="N263" s="27"/>
      <c r="O263" s="18">
        <f t="shared" si="45"/>
        <v>0</v>
      </c>
      <c r="P263" s="18">
        <f t="shared" si="46"/>
        <v>0</v>
      </c>
      <c r="Q263" s="8">
        <f t="shared" si="47"/>
        <v>0</v>
      </c>
    </row>
    <row r="264" spans="1:17" ht="23.25" customHeight="1" x14ac:dyDescent="0.5">
      <c r="A264" s="77">
        <v>238</v>
      </c>
      <c r="B264" s="78" t="s">
        <v>21</v>
      </c>
      <c r="C264" s="100" t="s">
        <v>145</v>
      </c>
      <c r="D264" s="101" t="s">
        <v>157</v>
      </c>
      <c r="E264" s="97" t="s">
        <v>62</v>
      </c>
      <c r="F264" s="97"/>
      <c r="G264" s="97"/>
      <c r="H264" s="97" t="s">
        <v>156</v>
      </c>
      <c r="I264" s="99"/>
      <c r="J264" s="202">
        <f t="shared" si="48"/>
        <v>0</v>
      </c>
      <c r="K264" s="94">
        <f t="shared" si="40"/>
        <v>0</v>
      </c>
      <c r="L264" s="95" t="s">
        <v>15</v>
      </c>
      <c r="M264" s="27"/>
      <c r="N264" s="27"/>
      <c r="O264" s="18">
        <f t="shared" si="45"/>
        <v>0</v>
      </c>
      <c r="P264" s="18">
        <f t="shared" si="46"/>
        <v>0</v>
      </c>
      <c r="Q264" s="8">
        <f t="shared" si="47"/>
        <v>0</v>
      </c>
    </row>
    <row r="265" spans="1:17" ht="23.25" customHeight="1" x14ac:dyDescent="0.5">
      <c r="A265" s="77">
        <v>239</v>
      </c>
      <c r="B265" s="78" t="s">
        <v>21</v>
      </c>
      <c r="C265" s="100" t="s">
        <v>145</v>
      </c>
      <c r="D265" s="101" t="s">
        <v>158</v>
      </c>
      <c r="E265" s="97" t="s">
        <v>62</v>
      </c>
      <c r="F265" s="97"/>
      <c r="G265" s="97"/>
      <c r="H265" s="97" t="s">
        <v>156</v>
      </c>
      <c r="I265" s="99"/>
      <c r="J265" s="202">
        <f t="shared" si="48"/>
        <v>0</v>
      </c>
      <c r="K265" s="94">
        <f t="shared" si="40"/>
        <v>0</v>
      </c>
      <c r="L265" s="95" t="s">
        <v>15</v>
      </c>
      <c r="M265" s="27"/>
      <c r="N265" s="27"/>
      <c r="O265" s="18">
        <f t="shared" si="45"/>
        <v>0</v>
      </c>
      <c r="P265" s="18">
        <f t="shared" si="46"/>
        <v>0</v>
      </c>
      <c r="Q265" s="8">
        <f t="shared" si="47"/>
        <v>0</v>
      </c>
    </row>
    <row r="266" spans="1:17" ht="23.25" customHeight="1" x14ac:dyDescent="0.5">
      <c r="A266" s="77">
        <v>240</v>
      </c>
      <c r="B266" s="78" t="s">
        <v>21</v>
      </c>
      <c r="C266" s="100" t="s">
        <v>145</v>
      </c>
      <c r="D266" s="101" t="s">
        <v>159</v>
      </c>
      <c r="E266" s="97" t="s">
        <v>62</v>
      </c>
      <c r="F266" s="97"/>
      <c r="G266" s="97"/>
      <c r="H266" s="97" t="s">
        <v>156</v>
      </c>
      <c r="I266" s="99"/>
      <c r="J266" s="202">
        <f t="shared" si="48"/>
        <v>0</v>
      </c>
      <c r="K266" s="94">
        <f t="shared" si="40"/>
        <v>0</v>
      </c>
      <c r="L266" s="95" t="s">
        <v>15</v>
      </c>
      <c r="M266" s="27"/>
      <c r="N266" s="27"/>
      <c r="O266" s="18">
        <f t="shared" si="45"/>
        <v>0</v>
      </c>
      <c r="P266" s="18">
        <f t="shared" si="46"/>
        <v>0</v>
      </c>
      <c r="Q266" s="8">
        <f t="shared" si="47"/>
        <v>0</v>
      </c>
    </row>
    <row r="267" spans="1:17" ht="23.25" customHeight="1" x14ac:dyDescent="0.5">
      <c r="A267" s="77">
        <v>241</v>
      </c>
      <c r="B267" s="78" t="s">
        <v>21</v>
      </c>
      <c r="C267" s="100" t="s">
        <v>145</v>
      </c>
      <c r="D267" s="101" t="s">
        <v>155</v>
      </c>
      <c r="E267" s="97" t="s">
        <v>62</v>
      </c>
      <c r="F267" s="97"/>
      <c r="G267" s="97"/>
      <c r="H267" s="97" t="s">
        <v>160</v>
      </c>
      <c r="I267" s="99"/>
      <c r="J267" s="202">
        <f t="shared" si="48"/>
        <v>0</v>
      </c>
      <c r="K267" s="94">
        <f t="shared" si="40"/>
        <v>0</v>
      </c>
      <c r="L267" s="95" t="s">
        <v>45</v>
      </c>
      <c r="M267" s="27"/>
      <c r="N267" s="27"/>
      <c r="O267" s="18">
        <f t="shared" si="45"/>
        <v>0</v>
      </c>
      <c r="P267" s="18">
        <f t="shared" si="46"/>
        <v>0</v>
      </c>
      <c r="Q267" s="8">
        <f t="shared" si="47"/>
        <v>0</v>
      </c>
    </row>
    <row r="268" spans="1:17" ht="23.25" customHeight="1" x14ac:dyDescent="0.5">
      <c r="A268" s="77">
        <v>242</v>
      </c>
      <c r="B268" s="78" t="s">
        <v>21</v>
      </c>
      <c r="C268" s="100" t="s">
        <v>145</v>
      </c>
      <c r="D268" s="101" t="s">
        <v>157</v>
      </c>
      <c r="E268" s="97" t="s">
        <v>62</v>
      </c>
      <c r="F268" s="97"/>
      <c r="G268" s="97"/>
      <c r="H268" s="97" t="s">
        <v>160</v>
      </c>
      <c r="I268" s="99"/>
      <c r="J268" s="202">
        <f t="shared" si="48"/>
        <v>0</v>
      </c>
      <c r="K268" s="94">
        <f t="shared" si="40"/>
        <v>0</v>
      </c>
      <c r="L268" s="95" t="s">
        <v>15</v>
      </c>
      <c r="M268" s="27"/>
      <c r="N268" s="27"/>
      <c r="O268" s="18">
        <f t="shared" si="45"/>
        <v>0</v>
      </c>
      <c r="P268" s="18">
        <f t="shared" si="46"/>
        <v>0</v>
      </c>
      <c r="Q268" s="8">
        <f t="shared" si="47"/>
        <v>0</v>
      </c>
    </row>
    <row r="269" spans="1:17" ht="23.25" customHeight="1" x14ac:dyDescent="0.5">
      <c r="A269" s="77">
        <v>243</v>
      </c>
      <c r="B269" s="78" t="s">
        <v>21</v>
      </c>
      <c r="C269" s="100" t="s">
        <v>145</v>
      </c>
      <c r="D269" s="101" t="s">
        <v>158</v>
      </c>
      <c r="E269" s="97" t="s">
        <v>62</v>
      </c>
      <c r="F269" s="97"/>
      <c r="G269" s="97"/>
      <c r="H269" s="97" t="s">
        <v>160</v>
      </c>
      <c r="I269" s="99"/>
      <c r="J269" s="202">
        <f t="shared" si="48"/>
        <v>0</v>
      </c>
      <c r="K269" s="94">
        <f t="shared" ref="K269:K332" si="49">+J269-I269</f>
        <v>0</v>
      </c>
      <c r="L269" s="95" t="s">
        <v>15</v>
      </c>
      <c r="M269" s="27"/>
      <c r="N269" s="27"/>
      <c r="O269" s="18">
        <f t="shared" si="45"/>
        <v>0</v>
      </c>
      <c r="P269" s="18">
        <f t="shared" si="46"/>
        <v>0</v>
      </c>
      <c r="Q269" s="8">
        <f t="shared" si="47"/>
        <v>0</v>
      </c>
    </row>
    <row r="270" spans="1:17" ht="23.25" customHeight="1" x14ac:dyDescent="0.5">
      <c r="A270" s="77">
        <v>244</v>
      </c>
      <c r="B270" s="78" t="s">
        <v>21</v>
      </c>
      <c r="C270" s="100" t="s">
        <v>145</v>
      </c>
      <c r="D270" s="101" t="s">
        <v>159</v>
      </c>
      <c r="E270" s="97" t="s">
        <v>62</v>
      </c>
      <c r="F270" s="97"/>
      <c r="G270" s="97"/>
      <c r="H270" s="97" t="s">
        <v>160</v>
      </c>
      <c r="I270" s="99"/>
      <c r="J270" s="202">
        <f t="shared" si="48"/>
        <v>0</v>
      </c>
      <c r="K270" s="94">
        <f t="shared" si="49"/>
        <v>0</v>
      </c>
      <c r="L270" s="95" t="s">
        <v>15</v>
      </c>
      <c r="M270" s="27"/>
      <c r="N270" s="27"/>
      <c r="O270" s="18">
        <f t="shared" si="45"/>
        <v>0</v>
      </c>
      <c r="P270" s="18">
        <f t="shared" si="46"/>
        <v>0</v>
      </c>
      <c r="Q270" s="8">
        <f t="shared" si="47"/>
        <v>0</v>
      </c>
    </row>
    <row r="271" spans="1:17" ht="23.25" customHeight="1" x14ac:dyDescent="0.5">
      <c r="A271" s="77">
        <v>245</v>
      </c>
      <c r="B271" s="78" t="s">
        <v>21</v>
      </c>
      <c r="C271" s="100" t="s">
        <v>145</v>
      </c>
      <c r="D271" s="101" t="s">
        <v>161</v>
      </c>
      <c r="E271" s="97" t="s">
        <v>62</v>
      </c>
      <c r="F271" s="97"/>
      <c r="G271" s="97"/>
      <c r="H271" s="97" t="s">
        <v>162</v>
      </c>
      <c r="I271" s="99"/>
      <c r="J271" s="202">
        <f t="shared" si="48"/>
        <v>0</v>
      </c>
      <c r="K271" s="94">
        <f t="shared" si="49"/>
        <v>0</v>
      </c>
      <c r="L271" s="95" t="s">
        <v>15</v>
      </c>
      <c r="M271" s="27"/>
      <c r="N271" s="27"/>
      <c r="O271" s="18">
        <f t="shared" si="45"/>
        <v>0</v>
      </c>
      <c r="P271" s="18">
        <f t="shared" si="46"/>
        <v>0</v>
      </c>
      <c r="Q271" s="8">
        <f t="shared" si="47"/>
        <v>0</v>
      </c>
    </row>
    <row r="272" spans="1:17" ht="23.25" customHeight="1" x14ac:dyDescent="0.5">
      <c r="A272" s="77">
        <v>246</v>
      </c>
      <c r="B272" s="78" t="s">
        <v>21</v>
      </c>
      <c r="C272" s="100" t="s">
        <v>145</v>
      </c>
      <c r="D272" s="101" t="s">
        <v>163</v>
      </c>
      <c r="E272" s="97"/>
      <c r="F272" s="97"/>
      <c r="G272" s="97"/>
      <c r="H272" s="97"/>
      <c r="I272" s="99">
        <v>4</v>
      </c>
      <c r="J272" s="202">
        <f t="shared" si="48"/>
        <v>4</v>
      </c>
      <c r="K272" s="94">
        <f t="shared" si="49"/>
        <v>0</v>
      </c>
      <c r="L272" s="95" t="s">
        <v>15</v>
      </c>
      <c r="M272" s="27"/>
      <c r="N272" s="27"/>
      <c r="O272" s="18">
        <f t="shared" si="45"/>
        <v>0</v>
      </c>
      <c r="P272" s="18">
        <f t="shared" si="46"/>
        <v>0</v>
      </c>
      <c r="Q272" s="8">
        <f t="shared" si="47"/>
        <v>0</v>
      </c>
    </row>
    <row r="273" spans="1:17" ht="23.25" customHeight="1" x14ac:dyDescent="0.5">
      <c r="A273" s="77">
        <v>247</v>
      </c>
      <c r="B273" s="78" t="s">
        <v>21</v>
      </c>
      <c r="C273" s="100" t="s">
        <v>145</v>
      </c>
      <c r="D273" s="92" t="s">
        <v>164</v>
      </c>
      <c r="E273" s="93"/>
      <c r="F273" s="93"/>
      <c r="G273" s="93" t="s">
        <v>165</v>
      </c>
      <c r="H273" s="97" t="s">
        <v>166</v>
      </c>
      <c r="I273" s="99"/>
      <c r="J273" s="202">
        <f t="shared" si="48"/>
        <v>0</v>
      </c>
      <c r="K273" s="94">
        <f t="shared" si="49"/>
        <v>0</v>
      </c>
      <c r="L273" s="95" t="s">
        <v>45</v>
      </c>
      <c r="M273" s="27"/>
      <c r="N273" s="27"/>
      <c r="O273" s="18">
        <f t="shared" si="45"/>
        <v>0</v>
      </c>
      <c r="P273" s="18">
        <f t="shared" si="46"/>
        <v>0</v>
      </c>
      <c r="Q273" s="8">
        <f t="shared" si="47"/>
        <v>0</v>
      </c>
    </row>
    <row r="274" spans="1:17" ht="23.25" customHeight="1" x14ac:dyDescent="0.5">
      <c r="A274" s="77">
        <v>248</v>
      </c>
      <c r="B274" s="78" t="s">
        <v>21</v>
      </c>
      <c r="C274" s="100" t="s">
        <v>145</v>
      </c>
      <c r="D274" s="92" t="s">
        <v>164</v>
      </c>
      <c r="E274" s="93"/>
      <c r="F274" s="93"/>
      <c r="G274" s="93" t="s">
        <v>165</v>
      </c>
      <c r="H274" s="97" t="s">
        <v>167</v>
      </c>
      <c r="I274" s="99"/>
      <c r="J274" s="202">
        <f t="shared" si="48"/>
        <v>0</v>
      </c>
      <c r="K274" s="94">
        <f t="shared" si="49"/>
        <v>0</v>
      </c>
      <c r="L274" s="95" t="s">
        <v>45</v>
      </c>
      <c r="M274" s="27"/>
      <c r="N274" s="27"/>
      <c r="O274" s="18">
        <f t="shared" si="45"/>
        <v>0</v>
      </c>
      <c r="P274" s="18">
        <f t="shared" si="46"/>
        <v>0</v>
      </c>
      <c r="Q274" s="8">
        <f t="shared" si="47"/>
        <v>0</v>
      </c>
    </row>
    <row r="275" spans="1:17" ht="23.25" customHeight="1" x14ac:dyDescent="0.5">
      <c r="A275" s="77">
        <v>249</v>
      </c>
      <c r="B275" s="78" t="s">
        <v>21</v>
      </c>
      <c r="C275" s="100" t="s">
        <v>145</v>
      </c>
      <c r="D275" s="92" t="s">
        <v>164</v>
      </c>
      <c r="E275" s="93"/>
      <c r="F275" s="93"/>
      <c r="G275" s="93" t="s">
        <v>165</v>
      </c>
      <c r="H275" s="97" t="s">
        <v>149</v>
      </c>
      <c r="I275" s="99"/>
      <c r="J275" s="202">
        <f t="shared" si="48"/>
        <v>0</v>
      </c>
      <c r="K275" s="94">
        <f t="shared" si="49"/>
        <v>0</v>
      </c>
      <c r="L275" s="95" t="s">
        <v>45</v>
      </c>
      <c r="M275" s="27"/>
      <c r="N275" s="27"/>
      <c r="O275" s="18">
        <f t="shared" si="45"/>
        <v>0</v>
      </c>
      <c r="P275" s="18">
        <f t="shared" si="46"/>
        <v>0</v>
      </c>
      <c r="Q275" s="8">
        <f t="shared" si="47"/>
        <v>0</v>
      </c>
    </row>
    <row r="276" spans="1:17" ht="23.25" customHeight="1" x14ac:dyDescent="0.5">
      <c r="A276" s="77">
        <v>250</v>
      </c>
      <c r="B276" s="78" t="s">
        <v>21</v>
      </c>
      <c r="C276" s="100" t="s">
        <v>145</v>
      </c>
      <c r="D276" s="92" t="s">
        <v>164</v>
      </c>
      <c r="E276" s="93"/>
      <c r="F276" s="93"/>
      <c r="G276" s="93" t="s">
        <v>165</v>
      </c>
      <c r="H276" s="97" t="s">
        <v>150</v>
      </c>
      <c r="I276" s="99"/>
      <c r="J276" s="202">
        <f t="shared" si="48"/>
        <v>0</v>
      </c>
      <c r="K276" s="94">
        <f t="shared" si="49"/>
        <v>0</v>
      </c>
      <c r="L276" s="95" t="s">
        <v>45</v>
      </c>
      <c r="M276" s="27"/>
      <c r="N276" s="27"/>
      <c r="O276" s="18">
        <f t="shared" si="45"/>
        <v>0</v>
      </c>
      <c r="P276" s="18">
        <f t="shared" si="46"/>
        <v>0</v>
      </c>
      <c r="Q276" s="8">
        <f t="shared" si="47"/>
        <v>0</v>
      </c>
    </row>
    <row r="277" spans="1:17" ht="23.25" customHeight="1" x14ac:dyDescent="0.5">
      <c r="A277" s="77">
        <v>251</v>
      </c>
      <c r="B277" s="78" t="s">
        <v>21</v>
      </c>
      <c r="C277" s="100" t="s">
        <v>145</v>
      </c>
      <c r="D277" s="92" t="s">
        <v>168</v>
      </c>
      <c r="E277" s="93" t="s">
        <v>169</v>
      </c>
      <c r="F277" s="93"/>
      <c r="G277" s="93"/>
      <c r="H277" s="97"/>
      <c r="I277" s="99"/>
      <c r="J277" s="202">
        <f t="shared" si="48"/>
        <v>0</v>
      </c>
      <c r="K277" s="94">
        <f t="shared" si="49"/>
        <v>0</v>
      </c>
      <c r="L277" s="95" t="s">
        <v>15</v>
      </c>
      <c r="M277" s="27"/>
      <c r="N277" s="27"/>
      <c r="O277" s="18">
        <f t="shared" si="45"/>
        <v>0</v>
      </c>
      <c r="P277" s="18">
        <f t="shared" si="46"/>
        <v>0</v>
      </c>
      <c r="Q277" s="8">
        <f t="shared" si="47"/>
        <v>0</v>
      </c>
    </row>
    <row r="278" spans="1:17" ht="23.25" customHeight="1" x14ac:dyDescent="0.5">
      <c r="A278" s="77">
        <v>252</v>
      </c>
      <c r="B278" s="78" t="s">
        <v>21</v>
      </c>
      <c r="C278" s="100" t="s">
        <v>145</v>
      </c>
      <c r="D278" s="101" t="s">
        <v>170</v>
      </c>
      <c r="E278" s="97" t="s">
        <v>139</v>
      </c>
      <c r="F278" s="97"/>
      <c r="G278" s="97"/>
      <c r="H278" s="97" t="s">
        <v>171</v>
      </c>
      <c r="I278" s="99"/>
      <c r="J278" s="202">
        <f t="shared" si="48"/>
        <v>0</v>
      </c>
      <c r="K278" s="94">
        <f t="shared" si="49"/>
        <v>0</v>
      </c>
      <c r="L278" s="95" t="s">
        <v>15</v>
      </c>
      <c r="M278" s="27"/>
      <c r="N278" s="27"/>
      <c r="O278" s="18">
        <f t="shared" si="45"/>
        <v>0</v>
      </c>
      <c r="P278" s="18">
        <f t="shared" si="46"/>
        <v>0</v>
      </c>
      <c r="Q278" s="8">
        <f t="shared" si="47"/>
        <v>0</v>
      </c>
    </row>
    <row r="279" spans="1:17" ht="23.25" customHeight="1" x14ac:dyDescent="0.55000000000000004">
      <c r="A279" s="77">
        <v>253</v>
      </c>
      <c r="B279" s="78" t="s">
        <v>21</v>
      </c>
      <c r="C279" s="100" t="s">
        <v>172</v>
      </c>
      <c r="D279" s="80" t="s">
        <v>172</v>
      </c>
      <c r="E279" s="81"/>
      <c r="F279" s="81"/>
      <c r="G279" s="81"/>
      <c r="H279" s="82"/>
      <c r="I279" s="114"/>
      <c r="J279" s="200"/>
      <c r="K279" s="94">
        <f t="shared" si="49"/>
        <v>0</v>
      </c>
      <c r="L279" s="84"/>
      <c r="M279" s="33"/>
      <c r="N279" s="33"/>
      <c r="O279" s="26"/>
      <c r="P279" s="26"/>
      <c r="Q279" s="7"/>
    </row>
    <row r="280" spans="1:17" ht="23.25" customHeight="1" x14ac:dyDescent="0.55000000000000004">
      <c r="A280" s="77">
        <v>254</v>
      </c>
      <c r="B280" s="78" t="s">
        <v>21</v>
      </c>
      <c r="C280" s="100" t="s">
        <v>172</v>
      </c>
      <c r="D280" s="106" t="s">
        <v>173</v>
      </c>
      <c r="E280" s="87"/>
      <c r="F280" s="87"/>
      <c r="G280" s="87"/>
      <c r="H280" s="107"/>
      <c r="I280" s="99"/>
      <c r="J280" s="203"/>
      <c r="K280" s="94">
        <f t="shared" si="49"/>
        <v>0</v>
      </c>
      <c r="L280" s="109"/>
      <c r="M280" s="37"/>
      <c r="N280" s="37"/>
      <c r="O280" s="18"/>
      <c r="P280" s="18"/>
      <c r="Q280" s="9"/>
    </row>
    <row r="281" spans="1:17" ht="23.25" customHeight="1" x14ac:dyDescent="0.5">
      <c r="A281" s="77">
        <v>255</v>
      </c>
      <c r="B281" s="78" t="s">
        <v>21</v>
      </c>
      <c r="C281" s="100" t="s">
        <v>172</v>
      </c>
      <c r="D281" s="92" t="s">
        <v>34</v>
      </c>
      <c r="E281" s="93" t="s">
        <v>55</v>
      </c>
      <c r="F281" s="93" t="s">
        <v>174</v>
      </c>
      <c r="G281" s="93" t="s">
        <v>175</v>
      </c>
      <c r="H281" s="97" t="s">
        <v>176</v>
      </c>
      <c r="I281" s="99"/>
      <c r="J281" s="202">
        <f t="shared" ref="J281:J295" si="50">I281</f>
        <v>0</v>
      </c>
      <c r="K281" s="94">
        <f t="shared" si="49"/>
        <v>0</v>
      </c>
      <c r="L281" s="95" t="s">
        <v>45</v>
      </c>
      <c r="M281" s="27"/>
      <c r="N281" s="27"/>
      <c r="O281" s="18">
        <f t="shared" ref="O281:O295" si="51">M281*J281</f>
        <v>0</v>
      </c>
      <c r="P281" s="18">
        <f t="shared" ref="P281:P295" si="52">N281*J281</f>
        <v>0</v>
      </c>
      <c r="Q281" s="8">
        <f t="shared" ref="Q281:Q295" si="53">(M281*J281)+(N281*J281)</f>
        <v>0</v>
      </c>
    </row>
    <row r="282" spans="1:17" ht="23.25" customHeight="1" x14ac:dyDescent="0.5">
      <c r="A282" s="77">
        <v>256</v>
      </c>
      <c r="B282" s="78" t="s">
        <v>21</v>
      </c>
      <c r="C282" s="100" t="s">
        <v>172</v>
      </c>
      <c r="D282" s="92" t="s">
        <v>177</v>
      </c>
      <c r="E282" s="93" t="s">
        <v>55</v>
      </c>
      <c r="F282" s="93" t="s">
        <v>174</v>
      </c>
      <c r="G282" s="93" t="s">
        <v>175</v>
      </c>
      <c r="H282" s="97" t="s">
        <v>176</v>
      </c>
      <c r="I282" s="99"/>
      <c r="J282" s="202">
        <f t="shared" si="50"/>
        <v>0</v>
      </c>
      <c r="K282" s="94">
        <f t="shared" si="49"/>
        <v>0</v>
      </c>
      <c r="L282" s="95" t="s">
        <v>15</v>
      </c>
      <c r="M282" s="27"/>
      <c r="N282" s="27"/>
      <c r="O282" s="18">
        <f t="shared" si="51"/>
        <v>0</v>
      </c>
      <c r="P282" s="18">
        <f t="shared" si="52"/>
        <v>0</v>
      </c>
      <c r="Q282" s="8">
        <f t="shared" si="53"/>
        <v>0</v>
      </c>
    </row>
    <row r="283" spans="1:17" ht="23.25" customHeight="1" x14ac:dyDescent="0.5">
      <c r="A283" s="77">
        <v>257</v>
      </c>
      <c r="B283" s="78" t="s">
        <v>21</v>
      </c>
      <c r="C283" s="100" t="s">
        <v>172</v>
      </c>
      <c r="D283" s="92" t="s">
        <v>112</v>
      </c>
      <c r="E283" s="93" t="s">
        <v>55</v>
      </c>
      <c r="F283" s="93" t="s">
        <v>174</v>
      </c>
      <c r="G283" s="93" t="s">
        <v>175</v>
      </c>
      <c r="H283" s="97" t="s">
        <v>176</v>
      </c>
      <c r="I283" s="99"/>
      <c r="J283" s="202">
        <f t="shared" si="50"/>
        <v>0</v>
      </c>
      <c r="K283" s="94">
        <f t="shared" si="49"/>
        <v>0</v>
      </c>
      <c r="L283" s="95" t="s">
        <v>15</v>
      </c>
      <c r="M283" s="27"/>
      <c r="N283" s="27"/>
      <c r="O283" s="18">
        <f t="shared" si="51"/>
        <v>0</v>
      </c>
      <c r="P283" s="18">
        <f t="shared" si="52"/>
        <v>0</v>
      </c>
      <c r="Q283" s="8">
        <f t="shared" si="53"/>
        <v>0</v>
      </c>
    </row>
    <row r="284" spans="1:17" ht="23.25" customHeight="1" x14ac:dyDescent="0.5">
      <c r="A284" s="77">
        <v>258</v>
      </c>
      <c r="B284" s="78" t="s">
        <v>21</v>
      </c>
      <c r="C284" s="100" t="s">
        <v>172</v>
      </c>
      <c r="D284" s="92" t="s">
        <v>34</v>
      </c>
      <c r="E284" s="97" t="s">
        <v>55</v>
      </c>
      <c r="F284" s="97" t="s">
        <v>174</v>
      </c>
      <c r="G284" s="97" t="s">
        <v>175</v>
      </c>
      <c r="H284" s="97" t="s">
        <v>178</v>
      </c>
      <c r="I284" s="99"/>
      <c r="J284" s="202">
        <f t="shared" si="50"/>
        <v>0</v>
      </c>
      <c r="K284" s="94">
        <f t="shared" si="49"/>
        <v>0</v>
      </c>
      <c r="L284" s="95" t="s">
        <v>45</v>
      </c>
      <c r="M284" s="27"/>
      <c r="N284" s="27"/>
      <c r="O284" s="18">
        <f t="shared" si="51"/>
        <v>0</v>
      </c>
      <c r="P284" s="18">
        <f t="shared" si="52"/>
        <v>0</v>
      </c>
      <c r="Q284" s="8">
        <f t="shared" si="53"/>
        <v>0</v>
      </c>
    </row>
    <row r="285" spans="1:17" ht="23.25" customHeight="1" x14ac:dyDescent="0.5">
      <c r="A285" s="77">
        <v>259</v>
      </c>
      <c r="B285" s="78" t="s">
        <v>21</v>
      </c>
      <c r="C285" s="100" t="s">
        <v>172</v>
      </c>
      <c r="D285" s="92" t="s">
        <v>177</v>
      </c>
      <c r="E285" s="97" t="s">
        <v>55</v>
      </c>
      <c r="F285" s="97" t="s">
        <v>174</v>
      </c>
      <c r="G285" s="97" t="s">
        <v>175</v>
      </c>
      <c r="H285" s="97" t="s">
        <v>178</v>
      </c>
      <c r="I285" s="99"/>
      <c r="J285" s="202">
        <f t="shared" si="50"/>
        <v>0</v>
      </c>
      <c r="K285" s="94">
        <f t="shared" si="49"/>
        <v>0</v>
      </c>
      <c r="L285" s="95" t="s">
        <v>15</v>
      </c>
      <c r="M285" s="27"/>
      <c r="N285" s="27"/>
      <c r="O285" s="18">
        <f t="shared" si="51"/>
        <v>0</v>
      </c>
      <c r="P285" s="18">
        <f t="shared" si="52"/>
        <v>0</v>
      </c>
      <c r="Q285" s="8">
        <f t="shared" si="53"/>
        <v>0</v>
      </c>
    </row>
    <row r="286" spans="1:17" ht="23.25" customHeight="1" x14ac:dyDescent="0.5">
      <c r="A286" s="77">
        <v>260</v>
      </c>
      <c r="B286" s="78" t="s">
        <v>21</v>
      </c>
      <c r="C286" s="100" t="s">
        <v>172</v>
      </c>
      <c r="D286" s="92" t="s">
        <v>112</v>
      </c>
      <c r="E286" s="97" t="s">
        <v>55</v>
      </c>
      <c r="F286" s="97" t="s">
        <v>174</v>
      </c>
      <c r="G286" s="97" t="s">
        <v>175</v>
      </c>
      <c r="H286" s="97" t="s">
        <v>178</v>
      </c>
      <c r="I286" s="99"/>
      <c r="J286" s="202">
        <f t="shared" si="50"/>
        <v>0</v>
      </c>
      <c r="K286" s="94">
        <f t="shared" si="49"/>
        <v>0</v>
      </c>
      <c r="L286" s="95" t="s">
        <v>15</v>
      </c>
      <c r="M286" s="27"/>
      <c r="N286" s="27"/>
      <c r="O286" s="18">
        <f t="shared" si="51"/>
        <v>0</v>
      </c>
      <c r="P286" s="18">
        <f t="shared" si="52"/>
        <v>0</v>
      </c>
      <c r="Q286" s="8">
        <f t="shared" si="53"/>
        <v>0</v>
      </c>
    </row>
    <row r="287" spans="1:17" ht="23.25" customHeight="1" x14ac:dyDescent="0.5">
      <c r="A287" s="77">
        <v>261</v>
      </c>
      <c r="B287" s="78" t="s">
        <v>21</v>
      </c>
      <c r="C287" s="100" t="s">
        <v>172</v>
      </c>
      <c r="D287" s="92" t="s">
        <v>34</v>
      </c>
      <c r="E287" s="93" t="s">
        <v>55</v>
      </c>
      <c r="F287" s="93" t="s">
        <v>174</v>
      </c>
      <c r="G287" s="93" t="s">
        <v>175</v>
      </c>
      <c r="H287" s="97" t="s">
        <v>179</v>
      </c>
      <c r="I287" s="99"/>
      <c r="J287" s="202">
        <f t="shared" si="50"/>
        <v>0</v>
      </c>
      <c r="K287" s="94">
        <f t="shared" si="49"/>
        <v>0</v>
      </c>
      <c r="L287" s="95" t="s">
        <v>45</v>
      </c>
      <c r="M287" s="27"/>
      <c r="N287" s="27"/>
      <c r="O287" s="18">
        <f t="shared" si="51"/>
        <v>0</v>
      </c>
      <c r="P287" s="18">
        <f t="shared" si="52"/>
        <v>0</v>
      </c>
      <c r="Q287" s="8">
        <f t="shared" si="53"/>
        <v>0</v>
      </c>
    </row>
    <row r="288" spans="1:17" ht="23.25" customHeight="1" x14ac:dyDescent="0.5">
      <c r="A288" s="77">
        <v>262</v>
      </c>
      <c r="B288" s="78" t="s">
        <v>21</v>
      </c>
      <c r="C288" s="100" t="s">
        <v>172</v>
      </c>
      <c r="D288" s="92" t="s">
        <v>177</v>
      </c>
      <c r="E288" s="93" t="s">
        <v>55</v>
      </c>
      <c r="F288" s="93" t="s">
        <v>174</v>
      </c>
      <c r="G288" s="93" t="s">
        <v>175</v>
      </c>
      <c r="H288" s="97" t="s">
        <v>179</v>
      </c>
      <c r="I288" s="99"/>
      <c r="J288" s="202">
        <f t="shared" si="50"/>
        <v>0</v>
      </c>
      <c r="K288" s="94">
        <f t="shared" si="49"/>
        <v>0</v>
      </c>
      <c r="L288" s="95" t="s">
        <v>15</v>
      </c>
      <c r="M288" s="27"/>
      <c r="N288" s="27"/>
      <c r="O288" s="18">
        <f t="shared" si="51"/>
        <v>0</v>
      </c>
      <c r="P288" s="18">
        <f t="shared" si="52"/>
        <v>0</v>
      </c>
      <c r="Q288" s="8">
        <f t="shared" si="53"/>
        <v>0</v>
      </c>
    </row>
    <row r="289" spans="1:17" ht="23.25" customHeight="1" x14ac:dyDescent="0.5">
      <c r="A289" s="77">
        <v>263</v>
      </c>
      <c r="B289" s="78" t="s">
        <v>21</v>
      </c>
      <c r="C289" s="100" t="s">
        <v>172</v>
      </c>
      <c r="D289" s="92" t="s">
        <v>112</v>
      </c>
      <c r="E289" s="93" t="s">
        <v>55</v>
      </c>
      <c r="F289" s="93" t="s">
        <v>174</v>
      </c>
      <c r="G289" s="93" t="s">
        <v>175</v>
      </c>
      <c r="H289" s="97" t="s">
        <v>179</v>
      </c>
      <c r="I289" s="99"/>
      <c r="J289" s="202">
        <f t="shared" si="50"/>
        <v>0</v>
      </c>
      <c r="K289" s="94">
        <f t="shared" si="49"/>
        <v>0</v>
      </c>
      <c r="L289" s="95" t="s">
        <v>15</v>
      </c>
      <c r="M289" s="27"/>
      <c r="N289" s="27"/>
      <c r="O289" s="18">
        <f t="shared" si="51"/>
        <v>0</v>
      </c>
      <c r="P289" s="18">
        <f t="shared" si="52"/>
        <v>0</v>
      </c>
      <c r="Q289" s="8">
        <f t="shared" si="53"/>
        <v>0</v>
      </c>
    </row>
    <row r="290" spans="1:17" ht="23.25" customHeight="1" x14ac:dyDescent="0.5">
      <c r="A290" s="77">
        <v>264</v>
      </c>
      <c r="B290" s="78" t="s">
        <v>21</v>
      </c>
      <c r="C290" s="100" t="s">
        <v>172</v>
      </c>
      <c r="D290" s="92" t="s">
        <v>34</v>
      </c>
      <c r="E290" s="97" t="s">
        <v>55</v>
      </c>
      <c r="F290" s="97" t="s">
        <v>174</v>
      </c>
      <c r="G290" s="97" t="s">
        <v>175</v>
      </c>
      <c r="H290" s="97" t="s">
        <v>180</v>
      </c>
      <c r="I290" s="99"/>
      <c r="J290" s="202">
        <f t="shared" si="50"/>
        <v>0</v>
      </c>
      <c r="K290" s="94">
        <f t="shared" si="49"/>
        <v>0</v>
      </c>
      <c r="L290" s="95" t="s">
        <v>45</v>
      </c>
      <c r="M290" s="27"/>
      <c r="N290" s="27"/>
      <c r="O290" s="18">
        <f t="shared" si="51"/>
        <v>0</v>
      </c>
      <c r="P290" s="18">
        <f t="shared" si="52"/>
        <v>0</v>
      </c>
      <c r="Q290" s="8">
        <f t="shared" si="53"/>
        <v>0</v>
      </c>
    </row>
    <row r="291" spans="1:17" ht="23.25" customHeight="1" x14ac:dyDescent="0.5">
      <c r="A291" s="77">
        <v>265</v>
      </c>
      <c r="B291" s="78" t="s">
        <v>21</v>
      </c>
      <c r="C291" s="100" t="s">
        <v>172</v>
      </c>
      <c r="D291" s="92" t="s">
        <v>177</v>
      </c>
      <c r="E291" s="97" t="s">
        <v>55</v>
      </c>
      <c r="F291" s="97" t="s">
        <v>174</v>
      </c>
      <c r="G291" s="97" t="s">
        <v>175</v>
      </c>
      <c r="H291" s="97" t="s">
        <v>180</v>
      </c>
      <c r="I291" s="99"/>
      <c r="J291" s="202">
        <f t="shared" si="50"/>
        <v>0</v>
      </c>
      <c r="K291" s="94">
        <f t="shared" si="49"/>
        <v>0</v>
      </c>
      <c r="L291" s="95" t="s">
        <v>15</v>
      </c>
      <c r="M291" s="27"/>
      <c r="N291" s="27"/>
      <c r="O291" s="18">
        <f t="shared" si="51"/>
        <v>0</v>
      </c>
      <c r="P291" s="18">
        <f t="shared" si="52"/>
        <v>0</v>
      </c>
      <c r="Q291" s="8">
        <f t="shared" si="53"/>
        <v>0</v>
      </c>
    </row>
    <row r="292" spans="1:17" ht="23.25" customHeight="1" x14ac:dyDescent="0.5">
      <c r="A292" s="77">
        <v>266</v>
      </c>
      <c r="B292" s="78" t="s">
        <v>21</v>
      </c>
      <c r="C292" s="100" t="s">
        <v>172</v>
      </c>
      <c r="D292" s="92" t="s">
        <v>112</v>
      </c>
      <c r="E292" s="97" t="s">
        <v>55</v>
      </c>
      <c r="F292" s="97" t="s">
        <v>174</v>
      </c>
      <c r="G292" s="97" t="s">
        <v>175</v>
      </c>
      <c r="H292" s="97" t="s">
        <v>180</v>
      </c>
      <c r="I292" s="99"/>
      <c r="J292" s="202">
        <f t="shared" si="50"/>
        <v>0</v>
      </c>
      <c r="K292" s="94">
        <f t="shared" si="49"/>
        <v>0</v>
      </c>
      <c r="L292" s="95" t="s">
        <v>15</v>
      </c>
      <c r="M292" s="27"/>
      <c r="N292" s="27"/>
      <c r="O292" s="18">
        <f t="shared" si="51"/>
        <v>0</v>
      </c>
      <c r="P292" s="18">
        <f t="shared" si="52"/>
        <v>0</v>
      </c>
      <c r="Q292" s="8">
        <f t="shared" si="53"/>
        <v>0</v>
      </c>
    </row>
    <row r="293" spans="1:17" ht="23.25" customHeight="1" x14ac:dyDescent="0.5">
      <c r="A293" s="77">
        <v>267</v>
      </c>
      <c r="B293" s="78" t="s">
        <v>21</v>
      </c>
      <c r="C293" s="100" t="s">
        <v>172</v>
      </c>
      <c r="D293" s="92" t="s">
        <v>34</v>
      </c>
      <c r="E293" s="93" t="s">
        <v>55</v>
      </c>
      <c r="F293" s="93" t="s">
        <v>174</v>
      </c>
      <c r="G293" s="93" t="s">
        <v>175</v>
      </c>
      <c r="H293" s="97" t="s">
        <v>181</v>
      </c>
      <c r="I293" s="99"/>
      <c r="J293" s="202">
        <f t="shared" si="50"/>
        <v>0</v>
      </c>
      <c r="K293" s="94">
        <f t="shared" si="49"/>
        <v>0</v>
      </c>
      <c r="L293" s="95" t="s">
        <v>45</v>
      </c>
      <c r="M293" s="27"/>
      <c r="N293" s="27"/>
      <c r="O293" s="18">
        <f t="shared" si="51"/>
        <v>0</v>
      </c>
      <c r="P293" s="18">
        <f t="shared" si="52"/>
        <v>0</v>
      </c>
      <c r="Q293" s="8">
        <f t="shared" si="53"/>
        <v>0</v>
      </c>
    </row>
    <row r="294" spans="1:17" ht="23.25" customHeight="1" x14ac:dyDescent="0.5">
      <c r="A294" s="77">
        <v>268</v>
      </c>
      <c r="B294" s="78" t="s">
        <v>21</v>
      </c>
      <c r="C294" s="100" t="s">
        <v>172</v>
      </c>
      <c r="D294" s="92" t="s">
        <v>177</v>
      </c>
      <c r="E294" s="93" t="s">
        <v>55</v>
      </c>
      <c r="F294" s="93" t="s">
        <v>174</v>
      </c>
      <c r="G294" s="93" t="s">
        <v>175</v>
      </c>
      <c r="H294" s="97" t="s">
        <v>181</v>
      </c>
      <c r="I294" s="99"/>
      <c r="J294" s="202">
        <f t="shared" si="50"/>
        <v>0</v>
      </c>
      <c r="K294" s="94">
        <f t="shared" si="49"/>
        <v>0</v>
      </c>
      <c r="L294" s="95" t="s">
        <v>45</v>
      </c>
      <c r="M294" s="27"/>
      <c r="N294" s="27"/>
      <c r="O294" s="18">
        <f t="shared" si="51"/>
        <v>0</v>
      </c>
      <c r="P294" s="18">
        <f t="shared" si="52"/>
        <v>0</v>
      </c>
      <c r="Q294" s="8">
        <f t="shared" si="53"/>
        <v>0</v>
      </c>
    </row>
    <row r="295" spans="1:17" ht="23.25" customHeight="1" x14ac:dyDescent="0.5">
      <c r="A295" s="77">
        <v>269</v>
      </c>
      <c r="B295" s="78" t="s">
        <v>21</v>
      </c>
      <c r="C295" s="100" t="s">
        <v>172</v>
      </c>
      <c r="D295" s="92" t="s">
        <v>112</v>
      </c>
      <c r="E295" s="93" t="s">
        <v>55</v>
      </c>
      <c r="F295" s="93" t="s">
        <v>174</v>
      </c>
      <c r="G295" s="93" t="s">
        <v>175</v>
      </c>
      <c r="H295" s="97" t="s">
        <v>181</v>
      </c>
      <c r="I295" s="99"/>
      <c r="J295" s="202">
        <f t="shared" si="50"/>
        <v>0</v>
      </c>
      <c r="K295" s="94">
        <f t="shared" si="49"/>
        <v>0</v>
      </c>
      <c r="L295" s="95" t="s">
        <v>45</v>
      </c>
      <c r="M295" s="27"/>
      <c r="N295" s="27"/>
      <c r="O295" s="18">
        <f t="shared" si="51"/>
        <v>0</v>
      </c>
      <c r="P295" s="18">
        <f t="shared" si="52"/>
        <v>0</v>
      </c>
      <c r="Q295" s="8">
        <f t="shared" si="53"/>
        <v>0</v>
      </c>
    </row>
    <row r="296" spans="1:17" ht="23.25" customHeight="1" x14ac:dyDescent="0.55000000000000004">
      <c r="A296" s="77">
        <v>270</v>
      </c>
      <c r="B296" s="78" t="s">
        <v>21</v>
      </c>
      <c r="C296" s="100" t="s">
        <v>172</v>
      </c>
      <c r="D296" s="106" t="s">
        <v>182</v>
      </c>
      <c r="E296" s="87"/>
      <c r="F296" s="87"/>
      <c r="G296" s="87"/>
      <c r="H296" s="107"/>
      <c r="I296" s="99"/>
      <c r="J296" s="203"/>
      <c r="K296" s="94">
        <f t="shared" si="49"/>
        <v>0</v>
      </c>
      <c r="L296" s="109"/>
      <c r="M296" s="37"/>
      <c r="N296" s="37"/>
      <c r="O296" s="19"/>
      <c r="P296" s="19"/>
      <c r="Q296" s="9"/>
    </row>
    <row r="297" spans="1:17" ht="23.25" customHeight="1" x14ac:dyDescent="0.5">
      <c r="A297" s="77">
        <v>271</v>
      </c>
      <c r="B297" s="78" t="s">
        <v>21</v>
      </c>
      <c r="C297" s="100" t="s">
        <v>172</v>
      </c>
      <c r="D297" s="92" t="s">
        <v>34</v>
      </c>
      <c r="E297" s="93" t="s">
        <v>55</v>
      </c>
      <c r="F297" s="93" t="s">
        <v>174</v>
      </c>
      <c r="G297" s="93" t="s">
        <v>183</v>
      </c>
      <c r="H297" s="97" t="s">
        <v>176</v>
      </c>
      <c r="I297" s="99"/>
      <c r="J297" s="202">
        <f t="shared" ref="J297:J326" si="54">I297</f>
        <v>0</v>
      </c>
      <c r="K297" s="94">
        <f t="shared" si="49"/>
        <v>0</v>
      </c>
      <c r="L297" s="95" t="s">
        <v>45</v>
      </c>
      <c r="M297" s="27"/>
      <c r="N297" s="27"/>
      <c r="O297" s="18">
        <f t="shared" ref="O297:O326" si="55">M297*J297</f>
        <v>0</v>
      </c>
      <c r="P297" s="18">
        <f t="shared" ref="P297:P326" si="56">N297*J297</f>
        <v>0</v>
      </c>
      <c r="Q297" s="8">
        <f t="shared" ref="Q297:Q326" si="57">(M297*J297)+(N297*J297)</f>
        <v>0</v>
      </c>
    </row>
    <row r="298" spans="1:17" ht="23.25" customHeight="1" x14ac:dyDescent="0.5">
      <c r="A298" s="77">
        <v>272</v>
      </c>
      <c r="B298" s="78" t="s">
        <v>21</v>
      </c>
      <c r="C298" s="100" t="s">
        <v>172</v>
      </c>
      <c r="D298" s="92" t="s">
        <v>177</v>
      </c>
      <c r="E298" s="93" t="s">
        <v>55</v>
      </c>
      <c r="F298" s="93" t="s">
        <v>174</v>
      </c>
      <c r="G298" s="93" t="s">
        <v>183</v>
      </c>
      <c r="H298" s="97" t="s">
        <v>176</v>
      </c>
      <c r="I298" s="99"/>
      <c r="J298" s="202">
        <f t="shared" si="54"/>
        <v>0</v>
      </c>
      <c r="K298" s="94">
        <f t="shared" si="49"/>
        <v>0</v>
      </c>
      <c r="L298" s="95" t="s">
        <v>15</v>
      </c>
      <c r="M298" s="27"/>
      <c r="N298" s="27"/>
      <c r="O298" s="18">
        <f t="shared" si="55"/>
        <v>0</v>
      </c>
      <c r="P298" s="18">
        <f t="shared" si="56"/>
        <v>0</v>
      </c>
      <c r="Q298" s="8">
        <f t="shared" si="57"/>
        <v>0</v>
      </c>
    </row>
    <row r="299" spans="1:17" ht="23.25" customHeight="1" x14ac:dyDescent="0.5">
      <c r="A299" s="77">
        <v>273</v>
      </c>
      <c r="B299" s="78" t="s">
        <v>21</v>
      </c>
      <c r="C299" s="100" t="s">
        <v>172</v>
      </c>
      <c r="D299" s="92" t="s">
        <v>112</v>
      </c>
      <c r="E299" s="93" t="s">
        <v>55</v>
      </c>
      <c r="F299" s="93" t="s">
        <v>174</v>
      </c>
      <c r="G299" s="93" t="s">
        <v>183</v>
      </c>
      <c r="H299" s="97" t="s">
        <v>176</v>
      </c>
      <c r="I299" s="99"/>
      <c r="J299" s="202">
        <f t="shared" si="54"/>
        <v>0</v>
      </c>
      <c r="K299" s="94">
        <f t="shared" si="49"/>
        <v>0</v>
      </c>
      <c r="L299" s="95" t="s">
        <v>15</v>
      </c>
      <c r="M299" s="27"/>
      <c r="N299" s="27"/>
      <c r="O299" s="18">
        <f t="shared" si="55"/>
        <v>0</v>
      </c>
      <c r="P299" s="18">
        <f t="shared" si="56"/>
        <v>0</v>
      </c>
      <c r="Q299" s="8">
        <f t="shared" si="57"/>
        <v>0</v>
      </c>
    </row>
    <row r="300" spans="1:17" ht="23.25" customHeight="1" x14ac:dyDescent="0.5">
      <c r="A300" s="77">
        <v>274</v>
      </c>
      <c r="B300" s="78" t="s">
        <v>21</v>
      </c>
      <c r="C300" s="100" t="s">
        <v>172</v>
      </c>
      <c r="D300" s="92" t="s">
        <v>34</v>
      </c>
      <c r="E300" s="97" t="s">
        <v>55</v>
      </c>
      <c r="F300" s="97" t="s">
        <v>174</v>
      </c>
      <c r="G300" s="97" t="s">
        <v>183</v>
      </c>
      <c r="H300" s="97" t="s">
        <v>178</v>
      </c>
      <c r="I300" s="99"/>
      <c r="J300" s="202">
        <f t="shared" si="54"/>
        <v>0</v>
      </c>
      <c r="K300" s="94">
        <f t="shared" si="49"/>
        <v>0</v>
      </c>
      <c r="L300" s="95" t="s">
        <v>45</v>
      </c>
      <c r="M300" s="27"/>
      <c r="N300" s="27"/>
      <c r="O300" s="18">
        <f t="shared" si="55"/>
        <v>0</v>
      </c>
      <c r="P300" s="18">
        <f t="shared" si="56"/>
        <v>0</v>
      </c>
      <c r="Q300" s="8">
        <f t="shared" si="57"/>
        <v>0</v>
      </c>
    </row>
    <row r="301" spans="1:17" ht="23.25" customHeight="1" x14ac:dyDescent="0.5">
      <c r="A301" s="77">
        <v>275</v>
      </c>
      <c r="B301" s="78" t="s">
        <v>21</v>
      </c>
      <c r="C301" s="100" t="s">
        <v>172</v>
      </c>
      <c r="D301" s="92" t="s">
        <v>177</v>
      </c>
      <c r="E301" s="97" t="s">
        <v>55</v>
      </c>
      <c r="F301" s="97" t="s">
        <v>174</v>
      </c>
      <c r="G301" s="97" t="s">
        <v>183</v>
      </c>
      <c r="H301" s="97" t="s">
        <v>178</v>
      </c>
      <c r="I301" s="99"/>
      <c r="J301" s="202">
        <f t="shared" si="54"/>
        <v>0</v>
      </c>
      <c r="K301" s="94">
        <f t="shared" si="49"/>
        <v>0</v>
      </c>
      <c r="L301" s="95" t="s">
        <v>15</v>
      </c>
      <c r="M301" s="27"/>
      <c r="N301" s="27"/>
      <c r="O301" s="18">
        <f t="shared" si="55"/>
        <v>0</v>
      </c>
      <c r="P301" s="18">
        <f t="shared" si="56"/>
        <v>0</v>
      </c>
      <c r="Q301" s="8">
        <f t="shared" si="57"/>
        <v>0</v>
      </c>
    </row>
    <row r="302" spans="1:17" ht="23.25" customHeight="1" x14ac:dyDescent="0.5">
      <c r="A302" s="77">
        <v>276</v>
      </c>
      <c r="B302" s="78" t="s">
        <v>21</v>
      </c>
      <c r="C302" s="100" t="s">
        <v>172</v>
      </c>
      <c r="D302" s="92" t="s">
        <v>112</v>
      </c>
      <c r="E302" s="97" t="s">
        <v>55</v>
      </c>
      <c r="F302" s="97" t="s">
        <v>174</v>
      </c>
      <c r="G302" s="97" t="s">
        <v>183</v>
      </c>
      <c r="H302" s="97" t="s">
        <v>178</v>
      </c>
      <c r="I302" s="99"/>
      <c r="J302" s="202">
        <f t="shared" si="54"/>
        <v>0</v>
      </c>
      <c r="K302" s="94">
        <f t="shared" si="49"/>
        <v>0</v>
      </c>
      <c r="L302" s="95" t="s">
        <v>15</v>
      </c>
      <c r="M302" s="27"/>
      <c r="N302" s="27"/>
      <c r="O302" s="18">
        <f t="shared" si="55"/>
        <v>0</v>
      </c>
      <c r="P302" s="18">
        <f t="shared" si="56"/>
        <v>0</v>
      </c>
      <c r="Q302" s="8">
        <f t="shared" si="57"/>
        <v>0</v>
      </c>
    </row>
    <row r="303" spans="1:17" ht="23.25" customHeight="1" x14ac:dyDescent="0.5">
      <c r="A303" s="77">
        <v>277</v>
      </c>
      <c r="B303" s="78" t="s">
        <v>21</v>
      </c>
      <c r="C303" s="100" t="s">
        <v>172</v>
      </c>
      <c r="D303" s="92" t="s">
        <v>34</v>
      </c>
      <c r="E303" s="93" t="s">
        <v>55</v>
      </c>
      <c r="F303" s="93" t="s">
        <v>174</v>
      </c>
      <c r="G303" s="93" t="s">
        <v>183</v>
      </c>
      <c r="H303" s="97" t="s">
        <v>179</v>
      </c>
      <c r="I303" s="99"/>
      <c r="J303" s="202">
        <f t="shared" si="54"/>
        <v>0</v>
      </c>
      <c r="K303" s="94">
        <f t="shared" si="49"/>
        <v>0</v>
      </c>
      <c r="L303" s="95" t="s">
        <v>45</v>
      </c>
      <c r="M303" s="27"/>
      <c r="N303" s="27"/>
      <c r="O303" s="18">
        <f t="shared" si="55"/>
        <v>0</v>
      </c>
      <c r="P303" s="18">
        <f t="shared" si="56"/>
        <v>0</v>
      </c>
      <c r="Q303" s="8">
        <f t="shared" si="57"/>
        <v>0</v>
      </c>
    </row>
    <row r="304" spans="1:17" ht="23.25" customHeight="1" x14ac:dyDescent="0.5">
      <c r="A304" s="77">
        <v>278</v>
      </c>
      <c r="B304" s="78" t="s">
        <v>21</v>
      </c>
      <c r="C304" s="100" t="s">
        <v>172</v>
      </c>
      <c r="D304" s="92" t="s">
        <v>177</v>
      </c>
      <c r="E304" s="93" t="s">
        <v>55</v>
      </c>
      <c r="F304" s="93" t="s">
        <v>174</v>
      </c>
      <c r="G304" s="93" t="s">
        <v>183</v>
      </c>
      <c r="H304" s="97" t="s">
        <v>179</v>
      </c>
      <c r="I304" s="99"/>
      <c r="J304" s="202">
        <f t="shared" si="54"/>
        <v>0</v>
      </c>
      <c r="K304" s="94">
        <f t="shared" si="49"/>
        <v>0</v>
      </c>
      <c r="L304" s="95" t="s">
        <v>15</v>
      </c>
      <c r="M304" s="27"/>
      <c r="N304" s="27"/>
      <c r="O304" s="18">
        <f t="shared" si="55"/>
        <v>0</v>
      </c>
      <c r="P304" s="18">
        <f t="shared" si="56"/>
        <v>0</v>
      </c>
      <c r="Q304" s="8">
        <f t="shared" si="57"/>
        <v>0</v>
      </c>
    </row>
    <row r="305" spans="1:17" ht="23.25" customHeight="1" x14ac:dyDescent="0.5">
      <c r="A305" s="77">
        <v>279</v>
      </c>
      <c r="B305" s="78" t="s">
        <v>21</v>
      </c>
      <c r="C305" s="100" t="s">
        <v>172</v>
      </c>
      <c r="D305" s="92" t="s">
        <v>112</v>
      </c>
      <c r="E305" s="93" t="s">
        <v>55</v>
      </c>
      <c r="F305" s="93" t="s">
        <v>174</v>
      </c>
      <c r="G305" s="93" t="s">
        <v>183</v>
      </c>
      <c r="H305" s="97" t="s">
        <v>179</v>
      </c>
      <c r="I305" s="99"/>
      <c r="J305" s="202">
        <f t="shared" si="54"/>
        <v>0</v>
      </c>
      <c r="K305" s="94">
        <f t="shared" si="49"/>
        <v>0</v>
      </c>
      <c r="L305" s="95" t="s">
        <v>15</v>
      </c>
      <c r="M305" s="27"/>
      <c r="N305" s="27"/>
      <c r="O305" s="18">
        <f t="shared" si="55"/>
        <v>0</v>
      </c>
      <c r="P305" s="18">
        <f t="shared" si="56"/>
        <v>0</v>
      </c>
      <c r="Q305" s="8">
        <f t="shared" si="57"/>
        <v>0</v>
      </c>
    </row>
    <row r="306" spans="1:17" ht="23.25" customHeight="1" x14ac:dyDescent="0.5">
      <c r="A306" s="77">
        <v>280</v>
      </c>
      <c r="B306" s="78" t="s">
        <v>21</v>
      </c>
      <c r="C306" s="100" t="s">
        <v>172</v>
      </c>
      <c r="D306" s="92" t="s">
        <v>34</v>
      </c>
      <c r="E306" s="97" t="s">
        <v>55</v>
      </c>
      <c r="F306" s="97" t="s">
        <v>174</v>
      </c>
      <c r="G306" s="97" t="s">
        <v>183</v>
      </c>
      <c r="H306" s="97" t="s">
        <v>180</v>
      </c>
      <c r="I306" s="99"/>
      <c r="J306" s="202">
        <f t="shared" si="54"/>
        <v>0</v>
      </c>
      <c r="K306" s="94">
        <f t="shared" si="49"/>
        <v>0</v>
      </c>
      <c r="L306" s="95" t="s">
        <v>45</v>
      </c>
      <c r="M306" s="27"/>
      <c r="N306" s="27"/>
      <c r="O306" s="18">
        <f t="shared" si="55"/>
        <v>0</v>
      </c>
      <c r="P306" s="18">
        <f t="shared" si="56"/>
        <v>0</v>
      </c>
      <c r="Q306" s="8">
        <f t="shared" si="57"/>
        <v>0</v>
      </c>
    </row>
    <row r="307" spans="1:17" ht="23.25" customHeight="1" x14ac:dyDescent="0.5">
      <c r="A307" s="77">
        <v>281</v>
      </c>
      <c r="B307" s="78" t="s">
        <v>21</v>
      </c>
      <c r="C307" s="100" t="s">
        <v>172</v>
      </c>
      <c r="D307" s="92" t="s">
        <v>177</v>
      </c>
      <c r="E307" s="97" t="s">
        <v>55</v>
      </c>
      <c r="F307" s="97" t="s">
        <v>174</v>
      </c>
      <c r="G307" s="97" t="s">
        <v>183</v>
      </c>
      <c r="H307" s="97" t="s">
        <v>180</v>
      </c>
      <c r="I307" s="99"/>
      <c r="J307" s="202">
        <f t="shared" si="54"/>
        <v>0</v>
      </c>
      <c r="K307" s="94">
        <f t="shared" si="49"/>
        <v>0</v>
      </c>
      <c r="L307" s="95" t="s">
        <v>15</v>
      </c>
      <c r="M307" s="27"/>
      <c r="N307" s="27"/>
      <c r="O307" s="18">
        <f t="shared" si="55"/>
        <v>0</v>
      </c>
      <c r="P307" s="18">
        <f t="shared" si="56"/>
        <v>0</v>
      </c>
      <c r="Q307" s="8">
        <f t="shared" si="57"/>
        <v>0</v>
      </c>
    </row>
    <row r="308" spans="1:17" ht="23.25" customHeight="1" x14ac:dyDescent="0.5">
      <c r="A308" s="77">
        <v>282</v>
      </c>
      <c r="B308" s="78" t="s">
        <v>21</v>
      </c>
      <c r="C308" s="100" t="s">
        <v>172</v>
      </c>
      <c r="D308" s="92" t="s">
        <v>112</v>
      </c>
      <c r="E308" s="97" t="s">
        <v>55</v>
      </c>
      <c r="F308" s="97" t="s">
        <v>174</v>
      </c>
      <c r="G308" s="97" t="s">
        <v>183</v>
      </c>
      <c r="H308" s="97" t="s">
        <v>180</v>
      </c>
      <c r="I308" s="99"/>
      <c r="J308" s="202">
        <f t="shared" si="54"/>
        <v>0</v>
      </c>
      <c r="K308" s="94">
        <f t="shared" si="49"/>
        <v>0</v>
      </c>
      <c r="L308" s="95" t="s">
        <v>15</v>
      </c>
      <c r="M308" s="27"/>
      <c r="N308" s="27"/>
      <c r="O308" s="18">
        <f t="shared" si="55"/>
        <v>0</v>
      </c>
      <c r="P308" s="18">
        <f t="shared" si="56"/>
        <v>0</v>
      </c>
      <c r="Q308" s="8">
        <f t="shared" si="57"/>
        <v>0</v>
      </c>
    </row>
    <row r="309" spans="1:17" ht="23.25" customHeight="1" x14ac:dyDescent="0.5">
      <c r="A309" s="77">
        <v>283</v>
      </c>
      <c r="B309" s="78" t="s">
        <v>21</v>
      </c>
      <c r="C309" s="100" t="s">
        <v>172</v>
      </c>
      <c r="D309" s="92" t="s">
        <v>34</v>
      </c>
      <c r="E309" s="93" t="s">
        <v>55</v>
      </c>
      <c r="F309" s="93" t="s">
        <v>174</v>
      </c>
      <c r="G309" s="93" t="s">
        <v>183</v>
      </c>
      <c r="H309" s="97" t="s">
        <v>181</v>
      </c>
      <c r="I309" s="99"/>
      <c r="J309" s="202">
        <f t="shared" si="54"/>
        <v>0</v>
      </c>
      <c r="K309" s="94">
        <f t="shared" si="49"/>
        <v>0</v>
      </c>
      <c r="L309" s="95" t="s">
        <v>45</v>
      </c>
      <c r="M309" s="27"/>
      <c r="N309" s="27"/>
      <c r="O309" s="18">
        <f t="shared" si="55"/>
        <v>0</v>
      </c>
      <c r="P309" s="18">
        <f t="shared" si="56"/>
        <v>0</v>
      </c>
      <c r="Q309" s="8">
        <f t="shared" si="57"/>
        <v>0</v>
      </c>
    </row>
    <row r="310" spans="1:17" ht="23.25" customHeight="1" x14ac:dyDescent="0.5">
      <c r="A310" s="77">
        <v>284</v>
      </c>
      <c r="B310" s="78" t="s">
        <v>21</v>
      </c>
      <c r="C310" s="100" t="s">
        <v>172</v>
      </c>
      <c r="D310" s="92" t="s">
        <v>177</v>
      </c>
      <c r="E310" s="93" t="s">
        <v>55</v>
      </c>
      <c r="F310" s="93" t="s">
        <v>174</v>
      </c>
      <c r="G310" s="93" t="s">
        <v>183</v>
      </c>
      <c r="H310" s="97" t="s">
        <v>181</v>
      </c>
      <c r="I310" s="99"/>
      <c r="J310" s="202">
        <f t="shared" si="54"/>
        <v>0</v>
      </c>
      <c r="K310" s="94">
        <f t="shared" si="49"/>
        <v>0</v>
      </c>
      <c r="L310" s="95" t="s">
        <v>45</v>
      </c>
      <c r="M310" s="27"/>
      <c r="N310" s="27"/>
      <c r="O310" s="18">
        <f t="shared" si="55"/>
        <v>0</v>
      </c>
      <c r="P310" s="18">
        <f t="shared" si="56"/>
        <v>0</v>
      </c>
      <c r="Q310" s="8">
        <f t="shared" si="57"/>
        <v>0</v>
      </c>
    </row>
    <row r="311" spans="1:17" ht="23.25" customHeight="1" x14ac:dyDescent="0.5">
      <c r="A311" s="77">
        <v>285</v>
      </c>
      <c r="B311" s="78" t="s">
        <v>21</v>
      </c>
      <c r="C311" s="100" t="s">
        <v>172</v>
      </c>
      <c r="D311" s="92" t="s">
        <v>112</v>
      </c>
      <c r="E311" s="93" t="s">
        <v>55</v>
      </c>
      <c r="F311" s="93" t="s">
        <v>174</v>
      </c>
      <c r="G311" s="93" t="s">
        <v>183</v>
      </c>
      <c r="H311" s="97" t="s">
        <v>181</v>
      </c>
      <c r="I311" s="99"/>
      <c r="J311" s="202">
        <f t="shared" si="54"/>
        <v>0</v>
      </c>
      <c r="K311" s="94">
        <f t="shared" si="49"/>
        <v>0</v>
      </c>
      <c r="L311" s="95" t="s">
        <v>45</v>
      </c>
      <c r="M311" s="27"/>
      <c r="N311" s="27"/>
      <c r="O311" s="18">
        <f t="shared" si="55"/>
        <v>0</v>
      </c>
      <c r="P311" s="18">
        <f t="shared" si="56"/>
        <v>0</v>
      </c>
      <c r="Q311" s="8">
        <f t="shared" si="57"/>
        <v>0</v>
      </c>
    </row>
    <row r="312" spans="1:17" ht="23.25" customHeight="1" x14ac:dyDescent="0.5">
      <c r="A312" s="77"/>
      <c r="B312" s="78" t="s">
        <v>21</v>
      </c>
      <c r="C312" s="100" t="s">
        <v>172</v>
      </c>
      <c r="D312" s="92" t="s">
        <v>34</v>
      </c>
      <c r="E312" s="93" t="s">
        <v>55</v>
      </c>
      <c r="F312" s="93" t="s">
        <v>174</v>
      </c>
      <c r="G312" s="93" t="s">
        <v>492</v>
      </c>
      <c r="H312" s="97" t="s">
        <v>176</v>
      </c>
      <c r="I312" s="99"/>
      <c r="J312" s="202">
        <f t="shared" si="54"/>
        <v>0</v>
      </c>
      <c r="K312" s="94">
        <f t="shared" si="49"/>
        <v>0</v>
      </c>
      <c r="L312" s="95" t="s">
        <v>45</v>
      </c>
      <c r="M312" s="27"/>
      <c r="N312" s="27"/>
      <c r="O312" s="18">
        <f t="shared" si="55"/>
        <v>0</v>
      </c>
      <c r="P312" s="18">
        <f t="shared" si="56"/>
        <v>0</v>
      </c>
      <c r="Q312" s="8">
        <f t="shared" si="57"/>
        <v>0</v>
      </c>
    </row>
    <row r="313" spans="1:17" ht="23.25" customHeight="1" x14ac:dyDescent="0.5">
      <c r="A313" s="77"/>
      <c r="B313" s="78" t="s">
        <v>21</v>
      </c>
      <c r="C313" s="100" t="s">
        <v>172</v>
      </c>
      <c r="D313" s="92" t="s">
        <v>177</v>
      </c>
      <c r="E313" s="93" t="s">
        <v>55</v>
      </c>
      <c r="F313" s="93" t="s">
        <v>174</v>
      </c>
      <c r="G313" s="93" t="s">
        <v>492</v>
      </c>
      <c r="H313" s="97" t="s">
        <v>176</v>
      </c>
      <c r="I313" s="99"/>
      <c r="J313" s="202">
        <f t="shared" si="54"/>
        <v>0</v>
      </c>
      <c r="K313" s="94">
        <f t="shared" si="49"/>
        <v>0</v>
      </c>
      <c r="L313" s="95" t="s">
        <v>45</v>
      </c>
      <c r="M313" s="27"/>
      <c r="N313" s="27"/>
      <c r="O313" s="18">
        <f t="shared" si="55"/>
        <v>0</v>
      </c>
      <c r="P313" s="18">
        <f t="shared" si="56"/>
        <v>0</v>
      </c>
      <c r="Q313" s="8">
        <f t="shared" si="57"/>
        <v>0</v>
      </c>
    </row>
    <row r="314" spans="1:17" ht="23.25" customHeight="1" x14ac:dyDescent="0.5">
      <c r="A314" s="77"/>
      <c r="B314" s="78" t="s">
        <v>21</v>
      </c>
      <c r="C314" s="100" t="s">
        <v>172</v>
      </c>
      <c r="D314" s="92" t="s">
        <v>112</v>
      </c>
      <c r="E314" s="93" t="s">
        <v>55</v>
      </c>
      <c r="F314" s="93" t="s">
        <v>174</v>
      </c>
      <c r="G314" s="93" t="s">
        <v>492</v>
      </c>
      <c r="H314" s="97" t="s">
        <v>176</v>
      </c>
      <c r="I314" s="99"/>
      <c r="J314" s="202">
        <f t="shared" si="54"/>
        <v>0</v>
      </c>
      <c r="K314" s="94">
        <f t="shared" si="49"/>
        <v>0</v>
      </c>
      <c r="L314" s="95" t="s">
        <v>45</v>
      </c>
      <c r="M314" s="27"/>
      <c r="N314" s="27"/>
      <c r="O314" s="18">
        <f t="shared" si="55"/>
        <v>0</v>
      </c>
      <c r="P314" s="18">
        <f t="shared" si="56"/>
        <v>0</v>
      </c>
      <c r="Q314" s="8">
        <f t="shared" si="57"/>
        <v>0</v>
      </c>
    </row>
    <row r="315" spans="1:17" ht="23.25" customHeight="1" x14ac:dyDescent="0.5">
      <c r="A315" s="77"/>
      <c r="B315" s="78" t="s">
        <v>21</v>
      </c>
      <c r="C315" s="100" t="s">
        <v>172</v>
      </c>
      <c r="D315" s="92" t="s">
        <v>34</v>
      </c>
      <c r="E315" s="97" t="s">
        <v>55</v>
      </c>
      <c r="F315" s="97" t="s">
        <v>174</v>
      </c>
      <c r="G315" s="93" t="s">
        <v>492</v>
      </c>
      <c r="H315" s="97" t="s">
        <v>178</v>
      </c>
      <c r="I315" s="99"/>
      <c r="J315" s="202">
        <f t="shared" si="54"/>
        <v>0</v>
      </c>
      <c r="K315" s="94">
        <f t="shared" si="49"/>
        <v>0</v>
      </c>
      <c r="L315" s="95" t="s">
        <v>45</v>
      </c>
      <c r="M315" s="27"/>
      <c r="N315" s="27"/>
      <c r="O315" s="18">
        <f t="shared" si="55"/>
        <v>0</v>
      </c>
      <c r="P315" s="18">
        <f t="shared" si="56"/>
        <v>0</v>
      </c>
      <c r="Q315" s="8">
        <f t="shared" si="57"/>
        <v>0</v>
      </c>
    </row>
    <row r="316" spans="1:17" ht="23.25" customHeight="1" x14ac:dyDescent="0.5">
      <c r="A316" s="77"/>
      <c r="B316" s="78" t="s">
        <v>21</v>
      </c>
      <c r="C316" s="100" t="s">
        <v>172</v>
      </c>
      <c r="D316" s="92" t="s">
        <v>177</v>
      </c>
      <c r="E316" s="97" t="s">
        <v>55</v>
      </c>
      <c r="F316" s="97" t="s">
        <v>174</v>
      </c>
      <c r="G316" s="93" t="s">
        <v>492</v>
      </c>
      <c r="H316" s="97" t="s">
        <v>178</v>
      </c>
      <c r="I316" s="99"/>
      <c r="J316" s="202">
        <f t="shared" si="54"/>
        <v>0</v>
      </c>
      <c r="K316" s="94">
        <f t="shared" si="49"/>
        <v>0</v>
      </c>
      <c r="L316" s="95" t="s">
        <v>45</v>
      </c>
      <c r="M316" s="27"/>
      <c r="N316" s="27"/>
      <c r="O316" s="18">
        <f t="shared" si="55"/>
        <v>0</v>
      </c>
      <c r="P316" s="18">
        <f t="shared" si="56"/>
        <v>0</v>
      </c>
      <c r="Q316" s="8">
        <f t="shared" si="57"/>
        <v>0</v>
      </c>
    </row>
    <row r="317" spans="1:17" ht="23.25" customHeight="1" x14ac:dyDescent="0.5">
      <c r="A317" s="77"/>
      <c r="B317" s="78" t="s">
        <v>21</v>
      </c>
      <c r="C317" s="100" t="s">
        <v>172</v>
      </c>
      <c r="D317" s="92" t="s">
        <v>112</v>
      </c>
      <c r="E317" s="97" t="s">
        <v>55</v>
      </c>
      <c r="F317" s="97" t="s">
        <v>174</v>
      </c>
      <c r="G317" s="93" t="s">
        <v>492</v>
      </c>
      <c r="H317" s="97" t="s">
        <v>178</v>
      </c>
      <c r="I317" s="99"/>
      <c r="J317" s="202">
        <f t="shared" si="54"/>
        <v>0</v>
      </c>
      <c r="K317" s="94">
        <f t="shared" si="49"/>
        <v>0</v>
      </c>
      <c r="L317" s="95" t="s">
        <v>45</v>
      </c>
      <c r="M317" s="27"/>
      <c r="N317" s="27"/>
      <c r="O317" s="18">
        <f t="shared" si="55"/>
        <v>0</v>
      </c>
      <c r="P317" s="18">
        <f t="shared" si="56"/>
        <v>0</v>
      </c>
      <c r="Q317" s="8">
        <f t="shared" si="57"/>
        <v>0</v>
      </c>
    </row>
    <row r="318" spans="1:17" ht="23.25" customHeight="1" x14ac:dyDescent="0.5">
      <c r="A318" s="77"/>
      <c r="B318" s="78" t="s">
        <v>21</v>
      </c>
      <c r="C318" s="100" t="s">
        <v>172</v>
      </c>
      <c r="D318" s="92" t="s">
        <v>34</v>
      </c>
      <c r="E318" s="93" t="s">
        <v>55</v>
      </c>
      <c r="F318" s="93" t="s">
        <v>174</v>
      </c>
      <c r="G318" s="93" t="s">
        <v>492</v>
      </c>
      <c r="H318" s="97" t="s">
        <v>179</v>
      </c>
      <c r="I318" s="99"/>
      <c r="J318" s="202">
        <f t="shared" si="54"/>
        <v>0</v>
      </c>
      <c r="K318" s="94">
        <f t="shared" si="49"/>
        <v>0</v>
      </c>
      <c r="L318" s="95" t="s">
        <v>45</v>
      </c>
      <c r="M318" s="27"/>
      <c r="N318" s="27"/>
      <c r="O318" s="18">
        <f t="shared" si="55"/>
        <v>0</v>
      </c>
      <c r="P318" s="18">
        <f t="shared" si="56"/>
        <v>0</v>
      </c>
      <c r="Q318" s="8">
        <f t="shared" si="57"/>
        <v>0</v>
      </c>
    </row>
    <row r="319" spans="1:17" ht="23.25" customHeight="1" x14ac:dyDescent="0.5">
      <c r="A319" s="77"/>
      <c r="B319" s="78" t="s">
        <v>21</v>
      </c>
      <c r="C319" s="100" t="s">
        <v>172</v>
      </c>
      <c r="D319" s="92" t="s">
        <v>177</v>
      </c>
      <c r="E319" s="93" t="s">
        <v>55</v>
      </c>
      <c r="F319" s="93" t="s">
        <v>174</v>
      </c>
      <c r="G319" s="93" t="s">
        <v>492</v>
      </c>
      <c r="H319" s="97" t="s">
        <v>179</v>
      </c>
      <c r="I319" s="99"/>
      <c r="J319" s="202">
        <f t="shared" si="54"/>
        <v>0</v>
      </c>
      <c r="K319" s="94">
        <f t="shared" si="49"/>
        <v>0</v>
      </c>
      <c r="L319" s="95" t="s">
        <v>45</v>
      </c>
      <c r="M319" s="27"/>
      <c r="N319" s="27"/>
      <c r="O319" s="18">
        <f t="shared" si="55"/>
        <v>0</v>
      </c>
      <c r="P319" s="18">
        <f t="shared" si="56"/>
        <v>0</v>
      </c>
      <c r="Q319" s="8">
        <f t="shared" si="57"/>
        <v>0</v>
      </c>
    </row>
    <row r="320" spans="1:17" ht="23.25" customHeight="1" x14ac:dyDescent="0.5">
      <c r="A320" s="77"/>
      <c r="B320" s="78" t="s">
        <v>21</v>
      </c>
      <c r="C320" s="100" t="s">
        <v>172</v>
      </c>
      <c r="D320" s="92" t="s">
        <v>112</v>
      </c>
      <c r="E320" s="93" t="s">
        <v>55</v>
      </c>
      <c r="F320" s="93" t="s">
        <v>174</v>
      </c>
      <c r="G320" s="93" t="s">
        <v>492</v>
      </c>
      <c r="H320" s="97" t="s">
        <v>179</v>
      </c>
      <c r="I320" s="99"/>
      <c r="J320" s="202">
        <f t="shared" si="54"/>
        <v>0</v>
      </c>
      <c r="K320" s="94">
        <f t="shared" si="49"/>
        <v>0</v>
      </c>
      <c r="L320" s="95" t="s">
        <v>45</v>
      </c>
      <c r="M320" s="27"/>
      <c r="N320" s="27"/>
      <c r="O320" s="18">
        <f t="shared" si="55"/>
        <v>0</v>
      </c>
      <c r="P320" s="18">
        <f t="shared" si="56"/>
        <v>0</v>
      </c>
      <c r="Q320" s="8">
        <f t="shared" si="57"/>
        <v>0</v>
      </c>
    </row>
    <row r="321" spans="1:18" ht="23.25" customHeight="1" x14ac:dyDescent="0.5">
      <c r="A321" s="77"/>
      <c r="B321" s="78" t="s">
        <v>21</v>
      </c>
      <c r="C321" s="100" t="s">
        <v>172</v>
      </c>
      <c r="D321" s="92" t="s">
        <v>34</v>
      </c>
      <c r="E321" s="97" t="s">
        <v>55</v>
      </c>
      <c r="F321" s="97" t="s">
        <v>174</v>
      </c>
      <c r="G321" s="93" t="s">
        <v>492</v>
      </c>
      <c r="H321" s="97" t="s">
        <v>180</v>
      </c>
      <c r="I321" s="99"/>
      <c r="J321" s="202">
        <f t="shared" si="54"/>
        <v>0</v>
      </c>
      <c r="K321" s="94">
        <f t="shared" si="49"/>
        <v>0</v>
      </c>
      <c r="L321" s="95" t="s">
        <v>45</v>
      </c>
      <c r="M321" s="27"/>
      <c r="N321" s="27"/>
      <c r="O321" s="18">
        <f t="shared" si="55"/>
        <v>0</v>
      </c>
      <c r="P321" s="18">
        <f t="shared" si="56"/>
        <v>0</v>
      </c>
      <c r="Q321" s="8">
        <f t="shared" si="57"/>
        <v>0</v>
      </c>
    </row>
    <row r="322" spans="1:18" ht="23.25" customHeight="1" x14ac:dyDescent="0.5">
      <c r="A322" s="77"/>
      <c r="B322" s="78" t="s">
        <v>21</v>
      </c>
      <c r="C322" s="100" t="s">
        <v>172</v>
      </c>
      <c r="D322" s="92" t="s">
        <v>177</v>
      </c>
      <c r="E322" s="97" t="s">
        <v>55</v>
      </c>
      <c r="F322" s="97" t="s">
        <v>174</v>
      </c>
      <c r="G322" s="93" t="s">
        <v>492</v>
      </c>
      <c r="H322" s="97" t="s">
        <v>180</v>
      </c>
      <c r="I322" s="99"/>
      <c r="J322" s="202">
        <f t="shared" si="54"/>
        <v>0</v>
      </c>
      <c r="K322" s="94">
        <f t="shared" si="49"/>
        <v>0</v>
      </c>
      <c r="L322" s="95" t="s">
        <v>45</v>
      </c>
      <c r="M322" s="27"/>
      <c r="N322" s="27"/>
      <c r="O322" s="18">
        <f t="shared" si="55"/>
        <v>0</v>
      </c>
      <c r="P322" s="18">
        <f t="shared" si="56"/>
        <v>0</v>
      </c>
      <c r="Q322" s="8">
        <f t="shared" si="57"/>
        <v>0</v>
      </c>
    </row>
    <row r="323" spans="1:18" ht="23.25" customHeight="1" x14ac:dyDescent="0.5">
      <c r="A323" s="77"/>
      <c r="B323" s="78" t="s">
        <v>21</v>
      </c>
      <c r="C323" s="100" t="s">
        <v>172</v>
      </c>
      <c r="D323" s="92" t="s">
        <v>112</v>
      </c>
      <c r="E323" s="97" t="s">
        <v>55</v>
      </c>
      <c r="F323" s="97" t="s">
        <v>174</v>
      </c>
      <c r="G323" s="93" t="s">
        <v>492</v>
      </c>
      <c r="H323" s="97" t="s">
        <v>180</v>
      </c>
      <c r="I323" s="99"/>
      <c r="J323" s="202">
        <f t="shared" si="54"/>
        <v>0</v>
      </c>
      <c r="K323" s="94">
        <f t="shared" si="49"/>
        <v>0</v>
      </c>
      <c r="L323" s="95" t="s">
        <v>45</v>
      </c>
      <c r="M323" s="27"/>
      <c r="N323" s="27"/>
      <c r="O323" s="18">
        <f t="shared" si="55"/>
        <v>0</v>
      </c>
      <c r="P323" s="18">
        <f t="shared" si="56"/>
        <v>0</v>
      </c>
      <c r="Q323" s="8">
        <f t="shared" si="57"/>
        <v>0</v>
      </c>
    </row>
    <row r="324" spans="1:18" ht="23.25" customHeight="1" x14ac:dyDescent="0.5">
      <c r="A324" s="77"/>
      <c r="B324" s="78" t="s">
        <v>21</v>
      </c>
      <c r="C324" s="100" t="s">
        <v>172</v>
      </c>
      <c r="D324" s="92" t="s">
        <v>34</v>
      </c>
      <c r="E324" s="93" t="s">
        <v>55</v>
      </c>
      <c r="F324" s="93" t="s">
        <v>174</v>
      </c>
      <c r="G324" s="93" t="s">
        <v>492</v>
      </c>
      <c r="H324" s="97" t="s">
        <v>181</v>
      </c>
      <c r="I324" s="99"/>
      <c r="J324" s="202">
        <f t="shared" si="54"/>
        <v>0</v>
      </c>
      <c r="K324" s="94">
        <f t="shared" si="49"/>
        <v>0</v>
      </c>
      <c r="L324" s="95" t="s">
        <v>45</v>
      </c>
      <c r="M324" s="27"/>
      <c r="N324" s="27"/>
      <c r="O324" s="18">
        <f t="shared" si="55"/>
        <v>0</v>
      </c>
      <c r="P324" s="18">
        <f t="shared" si="56"/>
        <v>0</v>
      </c>
      <c r="Q324" s="8">
        <f t="shared" si="57"/>
        <v>0</v>
      </c>
    </row>
    <row r="325" spans="1:18" ht="23.25" customHeight="1" x14ac:dyDescent="0.5">
      <c r="A325" s="77"/>
      <c r="B325" s="78" t="s">
        <v>21</v>
      </c>
      <c r="C325" s="100" t="s">
        <v>172</v>
      </c>
      <c r="D325" s="92" t="s">
        <v>177</v>
      </c>
      <c r="E325" s="93" t="s">
        <v>55</v>
      </c>
      <c r="F325" s="93" t="s">
        <v>174</v>
      </c>
      <c r="G325" s="93" t="s">
        <v>492</v>
      </c>
      <c r="H325" s="97" t="s">
        <v>181</v>
      </c>
      <c r="I325" s="99"/>
      <c r="J325" s="202">
        <f t="shared" si="54"/>
        <v>0</v>
      </c>
      <c r="K325" s="94">
        <f t="shared" si="49"/>
        <v>0</v>
      </c>
      <c r="L325" s="95" t="s">
        <v>45</v>
      </c>
      <c r="M325" s="27"/>
      <c r="N325" s="27"/>
      <c r="O325" s="18">
        <f t="shared" si="55"/>
        <v>0</v>
      </c>
      <c r="P325" s="18">
        <f t="shared" si="56"/>
        <v>0</v>
      </c>
      <c r="Q325" s="8">
        <f t="shared" si="57"/>
        <v>0</v>
      </c>
    </row>
    <row r="326" spans="1:18" ht="23.25" customHeight="1" x14ac:dyDescent="0.5">
      <c r="A326" s="77"/>
      <c r="B326" s="78" t="s">
        <v>21</v>
      </c>
      <c r="C326" s="100" t="s">
        <v>172</v>
      </c>
      <c r="D326" s="92" t="s">
        <v>112</v>
      </c>
      <c r="E326" s="93" t="s">
        <v>55</v>
      </c>
      <c r="F326" s="93" t="s">
        <v>174</v>
      </c>
      <c r="G326" s="93" t="s">
        <v>492</v>
      </c>
      <c r="H326" s="97" t="s">
        <v>181</v>
      </c>
      <c r="I326" s="99"/>
      <c r="J326" s="202">
        <f t="shared" si="54"/>
        <v>0</v>
      </c>
      <c r="K326" s="94">
        <f t="shared" si="49"/>
        <v>0</v>
      </c>
      <c r="L326" s="95" t="s">
        <v>45</v>
      </c>
      <c r="M326" s="27"/>
      <c r="N326" s="27"/>
      <c r="O326" s="18">
        <f t="shared" si="55"/>
        <v>0</v>
      </c>
      <c r="P326" s="18">
        <f t="shared" si="56"/>
        <v>0</v>
      </c>
      <c r="Q326" s="8">
        <f t="shared" si="57"/>
        <v>0</v>
      </c>
    </row>
    <row r="327" spans="1:18" ht="23.25" customHeight="1" x14ac:dyDescent="0.55000000000000004">
      <c r="A327" s="77">
        <v>286</v>
      </c>
      <c r="B327" s="78" t="s">
        <v>21</v>
      </c>
      <c r="C327" s="100" t="s">
        <v>172</v>
      </c>
      <c r="D327" s="106" t="s">
        <v>184</v>
      </c>
      <c r="E327" s="87"/>
      <c r="F327" s="87"/>
      <c r="G327" s="87"/>
      <c r="H327" s="107"/>
      <c r="I327" s="99"/>
      <c r="J327" s="203"/>
      <c r="K327" s="94">
        <f t="shared" si="49"/>
        <v>0</v>
      </c>
      <c r="L327" s="109"/>
      <c r="M327" s="37"/>
      <c r="N327" s="37"/>
      <c r="O327" s="19"/>
      <c r="P327" s="19"/>
      <c r="Q327" s="9"/>
    </row>
    <row r="328" spans="1:18" ht="23.25" customHeight="1" x14ac:dyDescent="0.5">
      <c r="A328" s="77">
        <v>287</v>
      </c>
      <c r="B328" s="78" t="s">
        <v>21</v>
      </c>
      <c r="C328" s="100" t="s">
        <v>172</v>
      </c>
      <c r="D328" s="92" t="s">
        <v>34</v>
      </c>
      <c r="E328" s="93" t="s">
        <v>174</v>
      </c>
      <c r="F328" s="93" t="s">
        <v>174</v>
      </c>
      <c r="G328" s="93"/>
      <c r="H328" s="97" t="s">
        <v>176</v>
      </c>
      <c r="I328" s="99">
        <v>2</v>
      </c>
      <c r="J328" s="202">
        <v>3.7</v>
      </c>
      <c r="K328" s="94">
        <f t="shared" si="49"/>
        <v>1.7000000000000002</v>
      </c>
      <c r="L328" s="95" t="s">
        <v>45</v>
      </c>
      <c r="M328" s="27"/>
      <c r="N328" s="27"/>
      <c r="O328" s="18">
        <f t="shared" ref="O328:O342" si="58">M328*J328</f>
        <v>0</v>
      </c>
      <c r="P328" s="18">
        <f t="shared" ref="P328:P342" si="59">N328*J328</f>
        <v>0</v>
      </c>
      <c r="Q328" s="8">
        <f t="shared" ref="Q328:Q342" si="60">(M328*J328)+(N328*J328)</f>
        <v>0</v>
      </c>
    </row>
    <row r="329" spans="1:18" s="229" customFormat="1" ht="23.25" customHeight="1" x14ac:dyDescent="0.5">
      <c r="A329" s="216">
        <v>288</v>
      </c>
      <c r="B329" s="217" t="s">
        <v>21</v>
      </c>
      <c r="C329" s="218" t="s">
        <v>172</v>
      </c>
      <c r="D329" s="239" t="s">
        <v>177</v>
      </c>
      <c r="E329" s="240" t="s">
        <v>174</v>
      </c>
      <c r="F329" s="240" t="s">
        <v>174</v>
      </c>
      <c r="G329" s="240"/>
      <c r="H329" s="220" t="s">
        <v>176</v>
      </c>
      <c r="I329" s="221">
        <v>2</v>
      </c>
      <c r="J329" s="222">
        <v>4</v>
      </c>
      <c r="K329" s="223">
        <f t="shared" si="49"/>
        <v>2</v>
      </c>
      <c r="L329" s="224" t="s">
        <v>15</v>
      </c>
      <c r="M329" s="225"/>
      <c r="N329" s="225"/>
      <c r="O329" s="226">
        <f t="shared" si="58"/>
        <v>0</v>
      </c>
      <c r="P329" s="226">
        <f t="shared" si="59"/>
        <v>0</v>
      </c>
      <c r="Q329" s="227">
        <f t="shared" si="60"/>
        <v>0</v>
      </c>
    </row>
    <row r="330" spans="1:18" s="229" customFormat="1" ht="23.25" customHeight="1" x14ac:dyDescent="0.5">
      <c r="A330" s="216">
        <v>289</v>
      </c>
      <c r="B330" s="217" t="s">
        <v>21</v>
      </c>
      <c r="C330" s="218" t="s">
        <v>172</v>
      </c>
      <c r="D330" s="239" t="s">
        <v>112</v>
      </c>
      <c r="E330" s="240" t="s">
        <v>174</v>
      </c>
      <c r="F330" s="240" t="s">
        <v>174</v>
      </c>
      <c r="G330" s="240"/>
      <c r="H330" s="220" t="s">
        <v>176</v>
      </c>
      <c r="I330" s="221">
        <v>1</v>
      </c>
      <c r="J330" s="222">
        <v>14</v>
      </c>
      <c r="K330" s="223">
        <f t="shared" si="49"/>
        <v>13</v>
      </c>
      <c r="L330" s="224" t="s">
        <v>15</v>
      </c>
      <c r="M330" s="225"/>
      <c r="N330" s="225"/>
      <c r="O330" s="226">
        <f t="shared" si="58"/>
        <v>0</v>
      </c>
      <c r="P330" s="226">
        <f t="shared" si="59"/>
        <v>0</v>
      </c>
      <c r="Q330" s="227">
        <f t="shared" si="60"/>
        <v>0</v>
      </c>
      <c r="R330" s="228" t="s">
        <v>558</v>
      </c>
    </row>
    <row r="331" spans="1:18" ht="23.25" customHeight="1" x14ac:dyDescent="0.5">
      <c r="A331" s="77">
        <v>290</v>
      </c>
      <c r="B331" s="78" t="s">
        <v>21</v>
      </c>
      <c r="C331" s="100" t="s">
        <v>172</v>
      </c>
      <c r="D331" s="92" t="s">
        <v>34</v>
      </c>
      <c r="E331" s="93" t="s">
        <v>174</v>
      </c>
      <c r="F331" s="97" t="s">
        <v>174</v>
      </c>
      <c r="G331" s="97"/>
      <c r="H331" s="97" t="s">
        <v>178</v>
      </c>
      <c r="I331" s="99">
        <v>4.4000000000000004</v>
      </c>
      <c r="J331" s="202">
        <v>0</v>
      </c>
      <c r="K331" s="94">
        <f t="shared" si="49"/>
        <v>-4.4000000000000004</v>
      </c>
      <c r="L331" s="95" t="s">
        <v>45</v>
      </c>
      <c r="M331" s="27"/>
      <c r="N331" s="27"/>
      <c r="O331" s="18">
        <f t="shared" si="58"/>
        <v>0</v>
      </c>
      <c r="P331" s="18">
        <f t="shared" si="59"/>
        <v>0</v>
      </c>
      <c r="Q331" s="8">
        <f t="shared" si="60"/>
        <v>0</v>
      </c>
    </row>
    <row r="332" spans="1:18" ht="23.25" customHeight="1" x14ac:dyDescent="0.5">
      <c r="A332" s="77">
        <v>291</v>
      </c>
      <c r="B332" s="78" t="s">
        <v>21</v>
      </c>
      <c r="C332" s="100" t="s">
        <v>172</v>
      </c>
      <c r="D332" s="92" t="s">
        <v>177</v>
      </c>
      <c r="E332" s="93" t="s">
        <v>174</v>
      </c>
      <c r="F332" s="97" t="s">
        <v>174</v>
      </c>
      <c r="G332" s="97"/>
      <c r="H332" s="97" t="s">
        <v>178</v>
      </c>
      <c r="I332" s="99"/>
      <c r="J332" s="202">
        <f t="shared" ref="J332:J342" si="61">I332</f>
        <v>0</v>
      </c>
      <c r="K332" s="94">
        <f t="shared" si="49"/>
        <v>0</v>
      </c>
      <c r="L332" s="95" t="s">
        <v>15</v>
      </c>
      <c r="M332" s="27"/>
      <c r="N332" s="27"/>
      <c r="O332" s="18">
        <f t="shared" si="58"/>
        <v>0</v>
      </c>
      <c r="P332" s="18">
        <f t="shared" si="59"/>
        <v>0</v>
      </c>
      <c r="Q332" s="8">
        <f t="shared" si="60"/>
        <v>0</v>
      </c>
    </row>
    <row r="333" spans="1:18" ht="23.25" customHeight="1" x14ac:dyDescent="0.5">
      <c r="A333" s="77">
        <v>292</v>
      </c>
      <c r="B333" s="78" t="s">
        <v>21</v>
      </c>
      <c r="C333" s="100" t="s">
        <v>172</v>
      </c>
      <c r="D333" s="92" t="s">
        <v>112</v>
      </c>
      <c r="E333" s="93" t="s">
        <v>174</v>
      </c>
      <c r="F333" s="97" t="s">
        <v>174</v>
      </c>
      <c r="G333" s="97"/>
      <c r="H333" s="97" t="s">
        <v>178</v>
      </c>
      <c r="I333" s="99"/>
      <c r="J333" s="202">
        <f t="shared" si="61"/>
        <v>0</v>
      </c>
      <c r="K333" s="94">
        <f t="shared" ref="K333:K396" si="62">+J333-I333</f>
        <v>0</v>
      </c>
      <c r="L333" s="95" t="s">
        <v>15</v>
      </c>
      <c r="M333" s="27"/>
      <c r="N333" s="27"/>
      <c r="O333" s="18">
        <f t="shared" si="58"/>
        <v>0</v>
      </c>
      <c r="P333" s="18">
        <f t="shared" si="59"/>
        <v>0</v>
      </c>
      <c r="Q333" s="8">
        <f t="shared" si="60"/>
        <v>0</v>
      </c>
    </row>
    <row r="334" spans="1:18" ht="23.25" customHeight="1" x14ac:dyDescent="0.5">
      <c r="A334" s="77">
        <v>293</v>
      </c>
      <c r="B334" s="78" t="s">
        <v>21</v>
      </c>
      <c r="C334" s="100" t="s">
        <v>172</v>
      </c>
      <c r="D334" s="92" t="s">
        <v>34</v>
      </c>
      <c r="E334" s="93" t="s">
        <v>174</v>
      </c>
      <c r="F334" s="93" t="s">
        <v>174</v>
      </c>
      <c r="G334" s="93"/>
      <c r="H334" s="97" t="s">
        <v>179</v>
      </c>
      <c r="I334" s="99"/>
      <c r="J334" s="202">
        <f t="shared" si="61"/>
        <v>0</v>
      </c>
      <c r="K334" s="94">
        <f t="shared" si="62"/>
        <v>0</v>
      </c>
      <c r="L334" s="95" t="s">
        <v>45</v>
      </c>
      <c r="M334" s="27"/>
      <c r="N334" s="27"/>
      <c r="O334" s="18">
        <f t="shared" si="58"/>
        <v>0</v>
      </c>
      <c r="P334" s="18">
        <f t="shared" si="59"/>
        <v>0</v>
      </c>
      <c r="Q334" s="8">
        <f t="shared" si="60"/>
        <v>0</v>
      </c>
    </row>
    <row r="335" spans="1:18" ht="23.25" customHeight="1" x14ac:dyDescent="0.5">
      <c r="A335" s="77">
        <v>294</v>
      </c>
      <c r="B335" s="78" t="s">
        <v>21</v>
      </c>
      <c r="C335" s="100" t="s">
        <v>172</v>
      </c>
      <c r="D335" s="92" t="s">
        <v>177</v>
      </c>
      <c r="E335" s="93" t="s">
        <v>174</v>
      </c>
      <c r="F335" s="93" t="s">
        <v>174</v>
      </c>
      <c r="G335" s="93"/>
      <c r="H335" s="97" t="s">
        <v>179</v>
      </c>
      <c r="I335" s="99"/>
      <c r="J335" s="202">
        <f t="shared" si="61"/>
        <v>0</v>
      </c>
      <c r="K335" s="94">
        <f t="shared" si="62"/>
        <v>0</v>
      </c>
      <c r="L335" s="95" t="s">
        <v>15</v>
      </c>
      <c r="M335" s="27"/>
      <c r="N335" s="27"/>
      <c r="O335" s="18">
        <f t="shared" si="58"/>
        <v>0</v>
      </c>
      <c r="P335" s="18">
        <f t="shared" si="59"/>
        <v>0</v>
      </c>
      <c r="Q335" s="8">
        <f t="shared" si="60"/>
        <v>0</v>
      </c>
    </row>
    <row r="336" spans="1:18" ht="23.25" customHeight="1" x14ac:dyDescent="0.5">
      <c r="A336" s="77">
        <v>295</v>
      </c>
      <c r="B336" s="78" t="s">
        <v>21</v>
      </c>
      <c r="C336" s="100" t="s">
        <v>172</v>
      </c>
      <c r="D336" s="92" t="s">
        <v>112</v>
      </c>
      <c r="E336" s="93" t="s">
        <v>174</v>
      </c>
      <c r="F336" s="93" t="s">
        <v>174</v>
      </c>
      <c r="G336" s="93"/>
      <c r="H336" s="97" t="s">
        <v>179</v>
      </c>
      <c r="I336" s="99"/>
      <c r="J336" s="202">
        <f t="shared" si="61"/>
        <v>0</v>
      </c>
      <c r="K336" s="94">
        <f t="shared" si="62"/>
        <v>0</v>
      </c>
      <c r="L336" s="95" t="s">
        <v>15</v>
      </c>
      <c r="M336" s="27"/>
      <c r="N336" s="27"/>
      <c r="O336" s="18">
        <f t="shared" si="58"/>
        <v>0</v>
      </c>
      <c r="P336" s="18">
        <f t="shared" si="59"/>
        <v>0</v>
      </c>
      <c r="Q336" s="8">
        <f t="shared" si="60"/>
        <v>0</v>
      </c>
    </row>
    <row r="337" spans="1:17" ht="23.25" customHeight="1" x14ac:dyDescent="0.5">
      <c r="A337" s="77">
        <v>296</v>
      </c>
      <c r="B337" s="78" t="s">
        <v>21</v>
      </c>
      <c r="C337" s="100" t="s">
        <v>172</v>
      </c>
      <c r="D337" s="92" t="s">
        <v>34</v>
      </c>
      <c r="E337" s="93" t="s">
        <v>174</v>
      </c>
      <c r="F337" s="97" t="s">
        <v>174</v>
      </c>
      <c r="G337" s="97"/>
      <c r="H337" s="97" t="s">
        <v>180</v>
      </c>
      <c r="I337" s="99"/>
      <c r="J337" s="202">
        <f t="shared" si="61"/>
        <v>0</v>
      </c>
      <c r="K337" s="94">
        <f t="shared" si="62"/>
        <v>0</v>
      </c>
      <c r="L337" s="95" t="s">
        <v>45</v>
      </c>
      <c r="M337" s="27"/>
      <c r="N337" s="27"/>
      <c r="O337" s="18">
        <f t="shared" si="58"/>
        <v>0</v>
      </c>
      <c r="P337" s="18">
        <f t="shared" si="59"/>
        <v>0</v>
      </c>
      <c r="Q337" s="8">
        <f t="shared" si="60"/>
        <v>0</v>
      </c>
    </row>
    <row r="338" spans="1:17" ht="23.25" customHeight="1" x14ac:dyDescent="0.5">
      <c r="A338" s="77">
        <v>297</v>
      </c>
      <c r="B338" s="78" t="s">
        <v>21</v>
      </c>
      <c r="C338" s="100" t="s">
        <v>172</v>
      </c>
      <c r="D338" s="92" t="s">
        <v>177</v>
      </c>
      <c r="E338" s="93" t="s">
        <v>174</v>
      </c>
      <c r="F338" s="97" t="s">
        <v>174</v>
      </c>
      <c r="G338" s="97"/>
      <c r="H338" s="97" t="s">
        <v>180</v>
      </c>
      <c r="I338" s="99"/>
      <c r="J338" s="202">
        <f t="shared" si="61"/>
        <v>0</v>
      </c>
      <c r="K338" s="94">
        <f t="shared" si="62"/>
        <v>0</v>
      </c>
      <c r="L338" s="95" t="s">
        <v>15</v>
      </c>
      <c r="M338" s="27"/>
      <c r="N338" s="27"/>
      <c r="O338" s="18">
        <f t="shared" si="58"/>
        <v>0</v>
      </c>
      <c r="P338" s="18">
        <f t="shared" si="59"/>
        <v>0</v>
      </c>
      <c r="Q338" s="8">
        <f t="shared" si="60"/>
        <v>0</v>
      </c>
    </row>
    <row r="339" spans="1:17" ht="23.25" customHeight="1" x14ac:dyDescent="0.5">
      <c r="A339" s="77">
        <v>298</v>
      </c>
      <c r="B339" s="78" t="s">
        <v>21</v>
      </c>
      <c r="C339" s="100" t="s">
        <v>172</v>
      </c>
      <c r="D339" s="92" t="s">
        <v>112</v>
      </c>
      <c r="E339" s="93" t="s">
        <v>174</v>
      </c>
      <c r="F339" s="97" t="s">
        <v>174</v>
      </c>
      <c r="G339" s="97"/>
      <c r="H339" s="97" t="s">
        <v>180</v>
      </c>
      <c r="I339" s="99"/>
      <c r="J339" s="202">
        <f t="shared" si="61"/>
        <v>0</v>
      </c>
      <c r="K339" s="94">
        <f t="shared" si="62"/>
        <v>0</v>
      </c>
      <c r="L339" s="95" t="s">
        <v>15</v>
      </c>
      <c r="M339" s="27"/>
      <c r="N339" s="27"/>
      <c r="O339" s="18">
        <f t="shared" si="58"/>
        <v>0</v>
      </c>
      <c r="P339" s="18">
        <f t="shared" si="59"/>
        <v>0</v>
      </c>
      <c r="Q339" s="8">
        <f t="shared" si="60"/>
        <v>0</v>
      </c>
    </row>
    <row r="340" spans="1:17" ht="23.25" customHeight="1" x14ac:dyDescent="0.5">
      <c r="A340" s="77">
        <v>299</v>
      </c>
      <c r="B340" s="78" t="s">
        <v>21</v>
      </c>
      <c r="C340" s="100" t="s">
        <v>172</v>
      </c>
      <c r="D340" s="92" t="s">
        <v>34</v>
      </c>
      <c r="E340" s="93" t="s">
        <v>174</v>
      </c>
      <c r="F340" s="93" t="s">
        <v>174</v>
      </c>
      <c r="G340" s="93"/>
      <c r="H340" s="97" t="s">
        <v>181</v>
      </c>
      <c r="I340" s="99"/>
      <c r="J340" s="202">
        <f t="shared" si="61"/>
        <v>0</v>
      </c>
      <c r="K340" s="94">
        <f t="shared" si="62"/>
        <v>0</v>
      </c>
      <c r="L340" s="95" t="s">
        <v>45</v>
      </c>
      <c r="M340" s="27"/>
      <c r="N340" s="27"/>
      <c r="O340" s="18">
        <f t="shared" si="58"/>
        <v>0</v>
      </c>
      <c r="P340" s="18">
        <f t="shared" si="59"/>
        <v>0</v>
      </c>
      <c r="Q340" s="8">
        <f t="shared" si="60"/>
        <v>0</v>
      </c>
    </row>
    <row r="341" spans="1:17" ht="23.25" customHeight="1" x14ac:dyDescent="0.5">
      <c r="A341" s="77">
        <v>300</v>
      </c>
      <c r="B341" s="78" t="s">
        <v>21</v>
      </c>
      <c r="C341" s="100" t="s">
        <v>172</v>
      </c>
      <c r="D341" s="92" t="s">
        <v>177</v>
      </c>
      <c r="E341" s="93" t="s">
        <v>174</v>
      </c>
      <c r="F341" s="93" t="s">
        <v>174</v>
      </c>
      <c r="G341" s="93"/>
      <c r="H341" s="97" t="s">
        <v>181</v>
      </c>
      <c r="I341" s="99"/>
      <c r="J341" s="202">
        <f t="shared" si="61"/>
        <v>0</v>
      </c>
      <c r="K341" s="94">
        <f t="shared" si="62"/>
        <v>0</v>
      </c>
      <c r="L341" s="95" t="s">
        <v>45</v>
      </c>
      <c r="M341" s="27"/>
      <c r="N341" s="27"/>
      <c r="O341" s="18">
        <f t="shared" si="58"/>
        <v>0</v>
      </c>
      <c r="P341" s="18">
        <f t="shared" si="59"/>
        <v>0</v>
      </c>
      <c r="Q341" s="8">
        <f t="shared" si="60"/>
        <v>0</v>
      </c>
    </row>
    <row r="342" spans="1:17" ht="23.25" customHeight="1" x14ac:dyDescent="0.5">
      <c r="A342" s="77">
        <v>301</v>
      </c>
      <c r="B342" s="78" t="s">
        <v>21</v>
      </c>
      <c r="C342" s="100" t="s">
        <v>172</v>
      </c>
      <c r="D342" s="92" t="s">
        <v>112</v>
      </c>
      <c r="E342" s="93" t="s">
        <v>174</v>
      </c>
      <c r="F342" s="93" t="s">
        <v>174</v>
      </c>
      <c r="G342" s="93"/>
      <c r="H342" s="97" t="s">
        <v>181</v>
      </c>
      <c r="I342" s="99"/>
      <c r="J342" s="202">
        <f t="shared" si="61"/>
        <v>0</v>
      </c>
      <c r="K342" s="94">
        <f t="shared" si="62"/>
        <v>0</v>
      </c>
      <c r="L342" s="95" t="s">
        <v>45</v>
      </c>
      <c r="M342" s="27"/>
      <c r="N342" s="27"/>
      <c r="O342" s="18">
        <f t="shared" si="58"/>
        <v>0</v>
      </c>
      <c r="P342" s="18">
        <f t="shared" si="59"/>
        <v>0</v>
      </c>
      <c r="Q342" s="8">
        <f t="shared" si="60"/>
        <v>0</v>
      </c>
    </row>
    <row r="343" spans="1:17" ht="23.25" customHeight="1" x14ac:dyDescent="0.55000000000000004">
      <c r="A343" s="77">
        <v>302</v>
      </c>
      <c r="B343" s="78" t="s">
        <v>21</v>
      </c>
      <c r="C343" s="100" t="s">
        <v>172</v>
      </c>
      <c r="D343" s="106" t="s">
        <v>185</v>
      </c>
      <c r="E343" s="87"/>
      <c r="F343" s="87"/>
      <c r="G343" s="87"/>
      <c r="H343" s="107"/>
      <c r="I343" s="99"/>
      <c r="J343" s="203"/>
      <c r="K343" s="94">
        <f t="shared" si="62"/>
        <v>0</v>
      </c>
      <c r="L343" s="109"/>
      <c r="M343" s="37"/>
      <c r="N343" s="37"/>
      <c r="O343" s="19"/>
      <c r="P343" s="19"/>
      <c r="Q343" s="9"/>
    </row>
    <row r="344" spans="1:17" ht="23.25" customHeight="1" x14ac:dyDescent="0.5">
      <c r="A344" s="77">
        <v>303</v>
      </c>
      <c r="B344" s="78" t="s">
        <v>21</v>
      </c>
      <c r="C344" s="100" t="s">
        <v>172</v>
      </c>
      <c r="D344" s="92" t="s">
        <v>34</v>
      </c>
      <c r="E344" s="93" t="s">
        <v>55</v>
      </c>
      <c r="F344" s="93" t="s">
        <v>186</v>
      </c>
      <c r="G344" s="93" t="s">
        <v>187</v>
      </c>
      <c r="H344" s="97" t="s">
        <v>176</v>
      </c>
      <c r="I344" s="99"/>
      <c r="J344" s="202">
        <f t="shared" ref="J344:J361" si="63">I344</f>
        <v>0</v>
      </c>
      <c r="K344" s="94">
        <f t="shared" si="62"/>
        <v>0</v>
      </c>
      <c r="L344" s="95" t="s">
        <v>45</v>
      </c>
      <c r="M344" s="27"/>
      <c r="N344" s="27"/>
      <c r="O344" s="18">
        <f t="shared" ref="O344:O361" si="64">M344*J344</f>
        <v>0</v>
      </c>
      <c r="P344" s="18">
        <f t="shared" ref="P344:P361" si="65">N344*J344</f>
        <v>0</v>
      </c>
      <c r="Q344" s="8">
        <f t="shared" ref="Q344:Q361" si="66">(M344*J344)+(N344*J344)</f>
        <v>0</v>
      </c>
    </row>
    <row r="345" spans="1:17" ht="23.25" customHeight="1" x14ac:dyDescent="0.5">
      <c r="A345" s="77">
        <v>304</v>
      </c>
      <c r="B345" s="78" t="s">
        <v>21</v>
      </c>
      <c r="C345" s="100" t="s">
        <v>172</v>
      </c>
      <c r="D345" s="92" t="s">
        <v>177</v>
      </c>
      <c r="E345" s="93" t="s">
        <v>55</v>
      </c>
      <c r="F345" s="93" t="s">
        <v>186</v>
      </c>
      <c r="G345" s="93" t="s">
        <v>187</v>
      </c>
      <c r="H345" s="97" t="s">
        <v>176</v>
      </c>
      <c r="I345" s="99"/>
      <c r="J345" s="202">
        <f t="shared" si="63"/>
        <v>0</v>
      </c>
      <c r="K345" s="94">
        <f t="shared" si="62"/>
        <v>0</v>
      </c>
      <c r="L345" s="95" t="s">
        <v>15</v>
      </c>
      <c r="M345" s="27"/>
      <c r="N345" s="27"/>
      <c r="O345" s="18">
        <f t="shared" si="64"/>
        <v>0</v>
      </c>
      <c r="P345" s="18">
        <f t="shared" si="65"/>
        <v>0</v>
      </c>
      <c r="Q345" s="8">
        <f t="shared" si="66"/>
        <v>0</v>
      </c>
    </row>
    <row r="346" spans="1:17" ht="23.25" customHeight="1" x14ac:dyDescent="0.5">
      <c r="A346" s="77">
        <v>305</v>
      </c>
      <c r="B346" s="78" t="s">
        <v>21</v>
      </c>
      <c r="C346" s="100" t="s">
        <v>172</v>
      </c>
      <c r="D346" s="92" t="s">
        <v>112</v>
      </c>
      <c r="E346" s="93" t="s">
        <v>55</v>
      </c>
      <c r="F346" s="93" t="s">
        <v>186</v>
      </c>
      <c r="G346" s="93" t="s">
        <v>187</v>
      </c>
      <c r="H346" s="97" t="s">
        <v>176</v>
      </c>
      <c r="I346" s="99"/>
      <c r="J346" s="202">
        <f t="shared" si="63"/>
        <v>0</v>
      </c>
      <c r="K346" s="94">
        <f t="shared" si="62"/>
        <v>0</v>
      </c>
      <c r="L346" s="95" t="s">
        <v>15</v>
      </c>
      <c r="M346" s="27"/>
      <c r="N346" s="27"/>
      <c r="O346" s="18">
        <f t="shared" si="64"/>
        <v>0</v>
      </c>
      <c r="P346" s="18">
        <f t="shared" si="65"/>
        <v>0</v>
      </c>
      <c r="Q346" s="8">
        <f t="shared" si="66"/>
        <v>0</v>
      </c>
    </row>
    <row r="347" spans="1:17" ht="23.25" customHeight="1" x14ac:dyDescent="0.5">
      <c r="A347" s="77">
        <v>306</v>
      </c>
      <c r="B347" s="78" t="s">
        <v>21</v>
      </c>
      <c r="C347" s="100" t="s">
        <v>172</v>
      </c>
      <c r="D347" s="92" t="s">
        <v>34</v>
      </c>
      <c r="E347" s="97" t="s">
        <v>55</v>
      </c>
      <c r="F347" s="97" t="s">
        <v>186</v>
      </c>
      <c r="G347" s="97" t="s">
        <v>187</v>
      </c>
      <c r="H347" s="97" t="s">
        <v>178</v>
      </c>
      <c r="I347" s="99"/>
      <c r="J347" s="202">
        <f t="shared" si="63"/>
        <v>0</v>
      </c>
      <c r="K347" s="94">
        <f t="shared" si="62"/>
        <v>0</v>
      </c>
      <c r="L347" s="95" t="s">
        <v>45</v>
      </c>
      <c r="M347" s="27"/>
      <c r="N347" s="27"/>
      <c r="O347" s="18">
        <f t="shared" si="64"/>
        <v>0</v>
      </c>
      <c r="P347" s="18">
        <f t="shared" si="65"/>
        <v>0</v>
      </c>
      <c r="Q347" s="8">
        <f t="shared" si="66"/>
        <v>0</v>
      </c>
    </row>
    <row r="348" spans="1:17" ht="23.25" customHeight="1" x14ac:dyDescent="0.5">
      <c r="A348" s="77">
        <v>307</v>
      </c>
      <c r="B348" s="78" t="s">
        <v>21</v>
      </c>
      <c r="C348" s="100" t="s">
        <v>172</v>
      </c>
      <c r="D348" s="92" t="s">
        <v>177</v>
      </c>
      <c r="E348" s="97" t="s">
        <v>55</v>
      </c>
      <c r="F348" s="97" t="s">
        <v>186</v>
      </c>
      <c r="G348" s="97" t="s">
        <v>187</v>
      </c>
      <c r="H348" s="97" t="s">
        <v>178</v>
      </c>
      <c r="I348" s="99"/>
      <c r="J348" s="202">
        <f t="shared" si="63"/>
        <v>0</v>
      </c>
      <c r="K348" s="94">
        <f t="shared" si="62"/>
        <v>0</v>
      </c>
      <c r="L348" s="95" t="s">
        <v>15</v>
      </c>
      <c r="M348" s="27"/>
      <c r="N348" s="27"/>
      <c r="O348" s="18">
        <f t="shared" si="64"/>
        <v>0</v>
      </c>
      <c r="P348" s="18">
        <f t="shared" si="65"/>
        <v>0</v>
      </c>
      <c r="Q348" s="8">
        <f t="shared" si="66"/>
        <v>0</v>
      </c>
    </row>
    <row r="349" spans="1:17" ht="23.25" customHeight="1" x14ac:dyDescent="0.5">
      <c r="A349" s="77">
        <v>308</v>
      </c>
      <c r="B349" s="78" t="s">
        <v>21</v>
      </c>
      <c r="C349" s="100" t="s">
        <v>172</v>
      </c>
      <c r="D349" s="92" t="s">
        <v>112</v>
      </c>
      <c r="E349" s="97" t="s">
        <v>55</v>
      </c>
      <c r="F349" s="97" t="s">
        <v>186</v>
      </c>
      <c r="G349" s="97" t="s">
        <v>187</v>
      </c>
      <c r="H349" s="97" t="s">
        <v>178</v>
      </c>
      <c r="I349" s="99"/>
      <c r="J349" s="202">
        <f t="shared" si="63"/>
        <v>0</v>
      </c>
      <c r="K349" s="94">
        <f t="shared" si="62"/>
        <v>0</v>
      </c>
      <c r="L349" s="95" t="s">
        <v>15</v>
      </c>
      <c r="M349" s="27"/>
      <c r="N349" s="27"/>
      <c r="O349" s="18">
        <f t="shared" si="64"/>
        <v>0</v>
      </c>
      <c r="P349" s="18">
        <f t="shared" si="65"/>
        <v>0</v>
      </c>
      <c r="Q349" s="8">
        <f t="shared" si="66"/>
        <v>0</v>
      </c>
    </row>
    <row r="350" spans="1:17" ht="23.25" customHeight="1" x14ac:dyDescent="0.5">
      <c r="A350" s="77">
        <v>309</v>
      </c>
      <c r="B350" s="78" t="s">
        <v>21</v>
      </c>
      <c r="C350" s="100" t="s">
        <v>172</v>
      </c>
      <c r="D350" s="92" t="s">
        <v>34</v>
      </c>
      <c r="E350" s="93" t="s">
        <v>55</v>
      </c>
      <c r="F350" s="93" t="s">
        <v>186</v>
      </c>
      <c r="G350" s="93" t="s">
        <v>187</v>
      </c>
      <c r="H350" s="97" t="s">
        <v>179</v>
      </c>
      <c r="I350" s="99"/>
      <c r="J350" s="202">
        <f t="shared" si="63"/>
        <v>0</v>
      </c>
      <c r="K350" s="94">
        <f t="shared" si="62"/>
        <v>0</v>
      </c>
      <c r="L350" s="95" t="s">
        <v>45</v>
      </c>
      <c r="M350" s="27"/>
      <c r="N350" s="27"/>
      <c r="O350" s="18">
        <f t="shared" si="64"/>
        <v>0</v>
      </c>
      <c r="P350" s="18">
        <f t="shared" si="65"/>
        <v>0</v>
      </c>
      <c r="Q350" s="8">
        <f t="shared" si="66"/>
        <v>0</v>
      </c>
    </row>
    <row r="351" spans="1:17" ht="23.25" customHeight="1" x14ac:dyDescent="0.5">
      <c r="A351" s="77">
        <v>310</v>
      </c>
      <c r="B351" s="78" t="s">
        <v>21</v>
      </c>
      <c r="C351" s="100" t="s">
        <v>172</v>
      </c>
      <c r="D351" s="92" t="s">
        <v>177</v>
      </c>
      <c r="E351" s="93" t="s">
        <v>55</v>
      </c>
      <c r="F351" s="93" t="s">
        <v>186</v>
      </c>
      <c r="G351" s="93" t="s">
        <v>187</v>
      </c>
      <c r="H351" s="97" t="s">
        <v>179</v>
      </c>
      <c r="I351" s="99"/>
      <c r="J351" s="202">
        <f t="shared" si="63"/>
        <v>0</v>
      </c>
      <c r="K351" s="94">
        <f t="shared" si="62"/>
        <v>0</v>
      </c>
      <c r="L351" s="95" t="s">
        <v>15</v>
      </c>
      <c r="M351" s="27"/>
      <c r="N351" s="27"/>
      <c r="O351" s="18">
        <f t="shared" si="64"/>
        <v>0</v>
      </c>
      <c r="P351" s="18">
        <f t="shared" si="65"/>
        <v>0</v>
      </c>
      <c r="Q351" s="8">
        <f t="shared" si="66"/>
        <v>0</v>
      </c>
    </row>
    <row r="352" spans="1:17" ht="23.25" customHeight="1" x14ac:dyDescent="0.5">
      <c r="A352" s="77">
        <v>311</v>
      </c>
      <c r="B352" s="78" t="s">
        <v>21</v>
      </c>
      <c r="C352" s="100" t="s">
        <v>172</v>
      </c>
      <c r="D352" s="92" t="s">
        <v>112</v>
      </c>
      <c r="E352" s="93" t="s">
        <v>55</v>
      </c>
      <c r="F352" s="93" t="s">
        <v>186</v>
      </c>
      <c r="G352" s="93" t="s">
        <v>187</v>
      </c>
      <c r="H352" s="97" t="s">
        <v>179</v>
      </c>
      <c r="I352" s="99"/>
      <c r="J352" s="202">
        <f t="shared" si="63"/>
        <v>0</v>
      </c>
      <c r="K352" s="94">
        <f t="shared" si="62"/>
        <v>0</v>
      </c>
      <c r="L352" s="95" t="s">
        <v>15</v>
      </c>
      <c r="M352" s="27"/>
      <c r="N352" s="27"/>
      <c r="O352" s="18">
        <f t="shared" si="64"/>
        <v>0</v>
      </c>
      <c r="P352" s="18">
        <f t="shared" si="65"/>
        <v>0</v>
      </c>
      <c r="Q352" s="8">
        <f t="shared" si="66"/>
        <v>0</v>
      </c>
    </row>
    <row r="353" spans="1:17" ht="23.25" customHeight="1" x14ac:dyDescent="0.5">
      <c r="A353" s="77">
        <v>312</v>
      </c>
      <c r="B353" s="78" t="s">
        <v>21</v>
      </c>
      <c r="C353" s="100" t="s">
        <v>172</v>
      </c>
      <c r="D353" s="92" t="s">
        <v>34</v>
      </c>
      <c r="E353" s="97" t="s">
        <v>55</v>
      </c>
      <c r="F353" s="97" t="s">
        <v>186</v>
      </c>
      <c r="G353" s="97" t="s">
        <v>187</v>
      </c>
      <c r="H353" s="97" t="s">
        <v>180</v>
      </c>
      <c r="I353" s="99"/>
      <c r="J353" s="202">
        <f t="shared" si="63"/>
        <v>0</v>
      </c>
      <c r="K353" s="94">
        <f t="shared" si="62"/>
        <v>0</v>
      </c>
      <c r="L353" s="95" t="s">
        <v>45</v>
      </c>
      <c r="M353" s="27"/>
      <c r="N353" s="27"/>
      <c r="O353" s="18">
        <f t="shared" si="64"/>
        <v>0</v>
      </c>
      <c r="P353" s="18">
        <f t="shared" si="65"/>
        <v>0</v>
      </c>
      <c r="Q353" s="8">
        <f t="shared" si="66"/>
        <v>0</v>
      </c>
    </row>
    <row r="354" spans="1:17" ht="23.25" customHeight="1" x14ac:dyDescent="0.5">
      <c r="A354" s="77">
        <v>313</v>
      </c>
      <c r="B354" s="78" t="s">
        <v>21</v>
      </c>
      <c r="C354" s="100" t="s">
        <v>172</v>
      </c>
      <c r="D354" s="92" t="s">
        <v>177</v>
      </c>
      <c r="E354" s="97" t="s">
        <v>55</v>
      </c>
      <c r="F354" s="97" t="s">
        <v>186</v>
      </c>
      <c r="G354" s="97" t="s">
        <v>187</v>
      </c>
      <c r="H354" s="97" t="s">
        <v>180</v>
      </c>
      <c r="I354" s="99"/>
      <c r="J354" s="202">
        <f t="shared" si="63"/>
        <v>0</v>
      </c>
      <c r="K354" s="94">
        <f t="shared" si="62"/>
        <v>0</v>
      </c>
      <c r="L354" s="95" t="s">
        <v>15</v>
      </c>
      <c r="M354" s="27"/>
      <c r="N354" s="27"/>
      <c r="O354" s="18">
        <f t="shared" si="64"/>
        <v>0</v>
      </c>
      <c r="P354" s="18">
        <f t="shared" si="65"/>
        <v>0</v>
      </c>
      <c r="Q354" s="8">
        <f t="shared" si="66"/>
        <v>0</v>
      </c>
    </row>
    <row r="355" spans="1:17" ht="23.25" customHeight="1" x14ac:dyDescent="0.5">
      <c r="A355" s="77">
        <v>314</v>
      </c>
      <c r="B355" s="78" t="s">
        <v>21</v>
      </c>
      <c r="C355" s="100" t="s">
        <v>172</v>
      </c>
      <c r="D355" s="92" t="s">
        <v>112</v>
      </c>
      <c r="E355" s="97" t="s">
        <v>55</v>
      </c>
      <c r="F355" s="97" t="s">
        <v>186</v>
      </c>
      <c r="G355" s="97" t="s">
        <v>187</v>
      </c>
      <c r="H355" s="97" t="s">
        <v>180</v>
      </c>
      <c r="I355" s="99"/>
      <c r="J355" s="202">
        <f t="shared" si="63"/>
        <v>0</v>
      </c>
      <c r="K355" s="94">
        <f t="shared" si="62"/>
        <v>0</v>
      </c>
      <c r="L355" s="95" t="s">
        <v>15</v>
      </c>
      <c r="M355" s="27"/>
      <c r="N355" s="27"/>
      <c r="O355" s="18">
        <f t="shared" si="64"/>
        <v>0</v>
      </c>
      <c r="P355" s="18">
        <f t="shared" si="65"/>
        <v>0</v>
      </c>
      <c r="Q355" s="8">
        <f t="shared" si="66"/>
        <v>0</v>
      </c>
    </row>
    <row r="356" spans="1:17" ht="23.25" customHeight="1" x14ac:dyDescent="0.5">
      <c r="A356" s="77">
        <v>315</v>
      </c>
      <c r="B356" s="78" t="s">
        <v>21</v>
      </c>
      <c r="C356" s="100" t="s">
        <v>172</v>
      </c>
      <c r="D356" s="92" t="s">
        <v>34</v>
      </c>
      <c r="E356" s="93" t="s">
        <v>55</v>
      </c>
      <c r="F356" s="93" t="s">
        <v>186</v>
      </c>
      <c r="G356" s="93" t="s">
        <v>187</v>
      </c>
      <c r="H356" s="97" t="s">
        <v>181</v>
      </c>
      <c r="I356" s="99"/>
      <c r="J356" s="202">
        <f t="shared" si="63"/>
        <v>0</v>
      </c>
      <c r="K356" s="94">
        <f t="shared" si="62"/>
        <v>0</v>
      </c>
      <c r="L356" s="95" t="s">
        <v>45</v>
      </c>
      <c r="M356" s="27"/>
      <c r="N356" s="27"/>
      <c r="O356" s="18">
        <f t="shared" si="64"/>
        <v>0</v>
      </c>
      <c r="P356" s="18">
        <f t="shared" si="65"/>
        <v>0</v>
      </c>
      <c r="Q356" s="8">
        <f t="shared" si="66"/>
        <v>0</v>
      </c>
    </row>
    <row r="357" spans="1:17" ht="23.25" customHeight="1" x14ac:dyDescent="0.5">
      <c r="A357" s="77">
        <v>316</v>
      </c>
      <c r="B357" s="78" t="s">
        <v>21</v>
      </c>
      <c r="C357" s="100" t="s">
        <v>172</v>
      </c>
      <c r="D357" s="92" t="s">
        <v>177</v>
      </c>
      <c r="E357" s="93" t="s">
        <v>55</v>
      </c>
      <c r="F357" s="93" t="s">
        <v>186</v>
      </c>
      <c r="G357" s="93" t="s">
        <v>187</v>
      </c>
      <c r="H357" s="97" t="s">
        <v>181</v>
      </c>
      <c r="I357" s="99"/>
      <c r="J357" s="202">
        <f t="shared" si="63"/>
        <v>0</v>
      </c>
      <c r="K357" s="94">
        <f t="shared" si="62"/>
        <v>0</v>
      </c>
      <c r="L357" s="95" t="s">
        <v>45</v>
      </c>
      <c r="M357" s="27"/>
      <c r="N357" s="27"/>
      <c r="O357" s="18">
        <f t="shared" si="64"/>
        <v>0</v>
      </c>
      <c r="P357" s="18">
        <f t="shared" si="65"/>
        <v>0</v>
      </c>
      <c r="Q357" s="8">
        <f t="shared" si="66"/>
        <v>0</v>
      </c>
    </row>
    <row r="358" spans="1:17" ht="23.25" customHeight="1" x14ac:dyDescent="0.5">
      <c r="A358" s="77">
        <v>317</v>
      </c>
      <c r="B358" s="78" t="s">
        <v>21</v>
      </c>
      <c r="C358" s="100" t="s">
        <v>172</v>
      </c>
      <c r="D358" s="92" t="s">
        <v>112</v>
      </c>
      <c r="E358" s="93" t="s">
        <v>55</v>
      </c>
      <c r="F358" s="93" t="s">
        <v>186</v>
      </c>
      <c r="G358" s="93" t="s">
        <v>187</v>
      </c>
      <c r="H358" s="97" t="s">
        <v>181</v>
      </c>
      <c r="I358" s="99"/>
      <c r="J358" s="202">
        <f t="shared" si="63"/>
        <v>0</v>
      </c>
      <c r="K358" s="94">
        <f t="shared" si="62"/>
        <v>0</v>
      </c>
      <c r="L358" s="95" t="s">
        <v>45</v>
      </c>
      <c r="M358" s="27"/>
      <c r="N358" s="27"/>
      <c r="O358" s="18">
        <f t="shared" si="64"/>
        <v>0</v>
      </c>
      <c r="P358" s="18">
        <f t="shared" si="65"/>
        <v>0</v>
      </c>
      <c r="Q358" s="8">
        <f t="shared" si="66"/>
        <v>0</v>
      </c>
    </row>
    <row r="359" spans="1:17" ht="23.25" customHeight="1" x14ac:dyDescent="0.5">
      <c r="A359" s="77">
        <v>318</v>
      </c>
      <c r="B359" s="78" t="s">
        <v>21</v>
      </c>
      <c r="C359" s="100" t="s">
        <v>172</v>
      </c>
      <c r="D359" s="92" t="s">
        <v>188</v>
      </c>
      <c r="E359" s="93"/>
      <c r="F359" s="93"/>
      <c r="G359" s="93"/>
      <c r="H359" s="97"/>
      <c r="I359" s="99"/>
      <c r="J359" s="202">
        <f t="shared" si="63"/>
        <v>0</v>
      </c>
      <c r="K359" s="94">
        <f t="shared" si="62"/>
        <v>0</v>
      </c>
      <c r="L359" s="95" t="s">
        <v>189</v>
      </c>
      <c r="M359" s="27"/>
      <c r="N359" s="27"/>
      <c r="O359" s="18">
        <f t="shared" si="64"/>
        <v>0</v>
      </c>
      <c r="P359" s="18">
        <f t="shared" si="65"/>
        <v>0</v>
      </c>
      <c r="Q359" s="8">
        <f t="shared" si="66"/>
        <v>0</v>
      </c>
    </row>
    <row r="360" spans="1:17" ht="23.25" customHeight="1" x14ac:dyDescent="0.5">
      <c r="A360" s="77">
        <v>319</v>
      </c>
      <c r="B360" s="78" t="s">
        <v>21</v>
      </c>
      <c r="C360" s="100" t="s">
        <v>172</v>
      </c>
      <c r="D360" s="101" t="s">
        <v>190</v>
      </c>
      <c r="E360" s="97"/>
      <c r="F360" s="97"/>
      <c r="G360" s="97"/>
      <c r="H360" s="97" t="s">
        <v>191</v>
      </c>
      <c r="I360" s="99"/>
      <c r="J360" s="202">
        <f t="shared" si="63"/>
        <v>0</v>
      </c>
      <c r="K360" s="94">
        <f t="shared" si="62"/>
        <v>0</v>
      </c>
      <c r="L360" s="95" t="s">
        <v>189</v>
      </c>
      <c r="M360" s="27"/>
      <c r="N360" s="27"/>
      <c r="O360" s="18">
        <f t="shared" si="64"/>
        <v>0</v>
      </c>
      <c r="P360" s="18">
        <f t="shared" si="65"/>
        <v>0</v>
      </c>
      <c r="Q360" s="8">
        <f t="shared" si="66"/>
        <v>0</v>
      </c>
    </row>
    <row r="361" spans="1:17" ht="23.25" customHeight="1" x14ac:dyDescent="0.5">
      <c r="A361" s="77">
        <v>320</v>
      </c>
      <c r="B361" s="78" t="s">
        <v>21</v>
      </c>
      <c r="C361" s="115" t="s">
        <v>172</v>
      </c>
      <c r="D361" s="101" t="s">
        <v>190</v>
      </c>
      <c r="E361" s="93"/>
      <c r="F361" s="93"/>
      <c r="G361" s="93"/>
      <c r="H361" s="97" t="s">
        <v>192</v>
      </c>
      <c r="I361" s="99"/>
      <c r="J361" s="202">
        <f t="shared" si="63"/>
        <v>0</v>
      </c>
      <c r="K361" s="94">
        <f t="shared" si="62"/>
        <v>0</v>
      </c>
      <c r="L361" s="95" t="s">
        <v>189</v>
      </c>
      <c r="M361" s="17"/>
      <c r="N361" s="17"/>
      <c r="O361" s="18">
        <f t="shared" si="64"/>
        <v>0</v>
      </c>
      <c r="P361" s="18">
        <f t="shared" si="65"/>
        <v>0</v>
      </c>
      <c r="Q361" s="8">
        <f t="shared" si="66"/>
        <v>0</v>
      </c>
    </row>
    <row r="362" spans="1:17" ht="23.25" customHeight="1" x14ac:dyDescent="0.55000000000000004">
      <c r="A362" s="77">
        <v>321</v>
      </c>
      <c r="B362" s="78" t="s">
        <v>21</v>
      </c>
      <c r="C362" s="100" t="s">
        <v>172</v>
      </c>
      <c r="D362" s="106" t="s">
        <v>194</v>
      </c>
      <c r="E362" s="87"/>
      <c r="F362" s="87"/>
      <c r="G362" s="87"/>
      <c r="H362" s="107"/>
      <c r="I362" s="99"/>
      <c r="J362" s="203"/>
      <c r="K362" s="94">
        <f t="shared" si="62"/>
        <v>0</v>
      </c>
      <c r="L362" s="109"/>
      <c r="M362" s="37"/>
      <c r="N362" s="37"/>
      <c r="O362" s="19"/>
      <c r="P362" s="19"/>
      <c r="Q362" s="9"/>
    </row>
    <row r="363" spans="1:17" ht="23.25" customHeight="1" x14ac:dyDescent="0.5">
      <c r="A363" s="77">
        <v>322</v>
      </c>
      <c r="B363" s="78" t="s">
        <v>21</v>
      </c>
      <c r="C363" s="100" t="s">
        <v>172</v>
      </c>
      <c r="D363" s="92" t="s">
        <v>34</v>
      </c>
      <c r="E363" s="93" t="s">
        <v>55</v>
      </c>
      <c r="F363" s="93"/>
      <c r="G363" s="93" t="s">
        <v>195</v>
      </c>
      <c r="H363" s="97" t="s">
        <v>178</v>
      </c>
      <c r="I363" s="99"/>
      <c r="J363" s="202">
        <f t="shared" ref="J363:J374" si="67">I363</f>
        <v>0</v>
      </c>
      <c r="K363" s="94">
        <f t="shared" si="62"/>
        <v>0</v>
      </c>
      <c r="L363" s="95" t="s">
        <v>45</v>
      </c>
      <c r="M363" s="27"/>
      <c r="N363" s="27"/>
      <c r="O363" s="18">
        <f t="shared" ref="O363:O374" si="68">M363*J363</f>
        <v>0</v>
      </c>
      <c r="P363" s="18">
        <f t="shared" ref="P363:P374" si="69">N363*J363</f>
        <v>0</v>
      </c>
      <c r="Q363" s="8">
        <f t="shared" ref="Q363:Q374" si="70">(M363*J363)+(N363*J363)</f>
        <v>0</v>
      </c>
    </row>
    <row r="364" spans="1:17" ht="23.25" customHeight="1" x14ac:dyDescent="0.5">
      <c r="A364" s="77">
        <v>323</v>
      </c>
      <c r="B364" s="78" t="s">
        <v>21</v>
      </c>
      <c r="C364" s="100" t="s">
        <v>172</v>
      </c>
      <c r="D364" s="92" t="s">
        <v>177</v>
      </c>
      <c r="E364" s="93" t="s">
        <v>55</v>
      </c>
      <c r="F364" s="93"/>
      <c r="G364" s="93" t="s">
        <v>195</v>
      </c>
      <c r="H364" s="97" t="s">
        <v>178</v>
      </c>
      <c r="I364" s="99"/>
      <c r="J364" s="202">
        <f t="shared" si="67"/>
        <v>0</v>
      </c>
      <c r="K364" s="94">
        <f t="shared" si="62"/>
        <v>0</v>
      </c>
      <c r="L364" s="95" t="s">
        <v>15</v>
      </c>
      <c r="M364" s="27"/>
      <c r="N364" s="27"/>
      <c r="O364" s="18">
        <f t="shared" si="68"/>
        <v>0</v>
      </c>
      <c r="P364" s="18">
        <f t="shared" si="69"/>
        <v>0</v>
      </c>
      <c r="Q364" s="8">
        <f t="shared" si="70"/>
        <v>0</v>
      </c>
    </row>
    <row r="365" spans="1:17" ht="23.25" customHeight="1" x14ac:dyDescent="0.5">
      <c r="A365" s="77">
        <v>324</v>
      </c>
      <c r="B365" s="78" t="s">
        <v>21</v>
      </c>
      <c r="C365" s="100" t="s">
        <v>172</v>
      </c>
      <c r="D365" s="92" t="s">
        <v>112</v>
      </c>
      <c r="E365" s="93" t="s">
        <v>55</v>
      </c>
      <c r="F365" s="93"/>
      <c r="G365" s="93" t="s">
        <v>195</v>
      </c>
      <c r="H365" s="97" t="s">
        <v>178</v>
      </c>
      <c r="I365" s="99"/>
      <c r="J365" s="202">
        <f t="shared" si="67"/>
        <v>0</v>
      </c>
      <c r="K365" s="94">
        <f t="shared" si="62"/>
        <v>0</v>
      </c>
      <c r="L365" s="95" t="s">
        <v>15</v>
      </c>
      <c r="M365" s="27"/>
      <c r="N365" s="27"/>
      <c r="O365" s="18">
        <f t="shared" si="68"/>
        <v>0</v>
      </c>
      <c r="P365" s="18">
        <f t="shared" si="69"/>
        <v>0</v>
      </c>
      <c r="Q365" s="8">
        <f t="shared" si="70"/>
        <v>0</v>
      </c>
    </row>
    <row r="366" spans="1:17" ht="23.25" customHeight="1" x14ac:dyDescent="0.5">
      <c r="A366" s="77">
        <v>325</v>
      </c>
      <c r="B366" s="78" t="s">
        <v>21</v>
      </c>
      <c r="C366" s="100" t="s">
        <v>172</v>
      </c>
      <c r="D366" s="92" t="s">
        <v>34</v>
      </c>
      <c r="E366" s="97" t="s">
        <v>55</v>
      </c>
      <c r="F366" s="97"/>
      <c r="G366" s="97" t="s">
        <v>195</v>
      </c>
      <c r="H366" s="97" t="s">
        <v>179</v>
      </c>
      <c r="I366" s="99"/>
      <c r="J366" s="202">
        <f t="shared" si="67"/>
        <v>0</v>
      </c>
      <c r="K366" s="94">
        <f t="shared" si="62"/>
        <v>0</v>
      </c>
      <c r="L366" s="95" t="s">
        <v>45</v>
      </c>
      <c r="M366" s="27"/>
      <c r="N366" s="21"/>
      <c r="O366" s="18">
        <f t="shared" si="68"/>
        <v>0</v>
      </c>
      <c r="P366" s="18">
        <f t="shared" si="69"/>
        <v>0</v>
      </c>
      <c r="Q366" s="8">
        <f t="shared" si="70"/>
        <v>0</v>
      </c>
    </row>
    <row r="367" spans="1:17" ht="23.25" customHeight="1" x14ac:dyDescent="0.5">
      <c r="A367" s="77">
        <v>326</v>
      </c>
      <c r="B367" s="78" t="s">
        <v>21</v>
      </c>
      <c r="C367" s="100" t="s">
        <v>172</v>
      </c>
      <c r="D367" s="92" t="s">
        <v>177</v>
      </c>
      <c r="E367" s="97" t="s">
        <v>55</v>
      </c>
      <c r="F367" s="97"/>
      <c r="G367" s="97" t="s">
        <v>195</v>
      </c>
      <c r="H367" s="97" t="s">
        <v>179</v>
      </c>
      <c r="I367" s="99"/>
      <c r="J367" s="202">
        <f t="shared" si="67"/>
        <v>0</v>
      </c>
      <c r="K367" s="94">
        <f t="shared" si="62"/>
        <v>0</v>
      </c>
      <c r="L367" s="95" t="s">
        <v>15</v>
      </c>
      <c r="M367" s="27"/>
      <c r="N367" s="21"/>
      <c r="O367" s="18">
        <f t="shared" si="68"/>
        <v>0</v>
      </c>
      <c r="P367" s="18">
        <f t="shared" si="69"/>
        <v>0</v>
      </c>
      <c r="Q367" s="8">
        <f t="shared" si="70"/>
        <v>0</v>
      </c>
    </row>
    <row r="368" spans="1:17" ht="23.25" customHeight="1" x14ac:dyDescent="0.5">
      <c r="A368" s="77">
        <v>327</v>
      </c>
      <c r="B368" s="78" t="s">
        <v>21</v>
      </c>
      <c r="C368" s="100" t="s">
        <v>172</v>
      </c>
      <c r="D368" s="92" t="s">
        <v>112</v>
      </c>
      <c r="E368" s="97" t="s">
        <v>55</v>
      </c>
      <c r="F368" s="97"/>
      <c r="G368" s="97" t="s">
        <v>195</v>
      </c>
      <c r="H368" s="97" t="s">
        <v>179</v>
      </c>
      <c r="I368" s="99"/>
      <c r="J368" s="202">
        <f t="shared" si="67"/>
        <v>0</v>
      </c>
      <c r="K368" s="94">
        <f t="shared" si="62"/>
        <v>0</v>
      </c>
      <c r="L368" s="95" t="s">
        <v>15</v>
      </c>
      <c r="M368" s="27"/>
      <c r="N368" s="21"/>
      <c r="O368" s="18">
        <f t="shared" si="68"/>
        <v>0</v>
      </c>
      <c r="P368" s="18">
        <f t="shared" si="69"/>
        <v>0</v>
      </c>
      <c r="Q368" s="8">
        <f t="shared" si="70"/>
        <v>0</v>
      </c>
    </row>
    <row r="369" spans="1:17" ht="23.25" customHeight="1" x14ac:dyDescent="0.5">
      <c r="A369" s="77">
        <v>328</v>
      </c>
      <c r="B369" s="78" t="s">
        <v>21</v>
      </c>
      <c r="C369" s="100" t="s">
        <v>172</v>
      </c>
      <c r="D369" s="92" t="s">
        <v>34</v>
      </c>
      <c r="E369" s="93" t="s">
        <v>55</v>
      </c>
      <c r="F369" s="93"/>
      <c r="G369" s="93" t="s">
        <v>195</v>
      </c>
      <c r="H369" s="97" t="s">
        <v>180</v>
      </c>
      <c r="I369" s="99"/>
      <c r="J369" s="202">
        <f t="shared" si="67"/>
        <v>0</v>
      </c>
      <c r="K369" s="94">
        <f t="shared" si="62"/>
        <v>0</v>
      </c>
      <c r="L369" s="95" t="s">
        <v>45</v>
      </c>
      <c r="M369" s="27"/>
      <c r="N369" s="27"/>
      <c r="O369" s="18">
        <f t="shared" si="68"/>
        <v>0</v>
      </c>
      <c r="P369" s="18">
        <f t="shared" si="69"/>
        <v>0</v>
      </c>
      <c r="Q369" s="8">
        <f t="shared" si="70"/>
        <v>0</v>
      </c>
    </row>
    <row r="370" spans="1:17" ht="23.25" customHeight="1" x14ac:dyDescent="0.5">
      <c r="A370" s="77">
        <v>329</v>
      </c>
      <c r="B370" s="78" t="s">
        <v>21</v>
      </c>
      <c r="C370" s="100" t="s">
        <v>172</v>
      </c>
      <c r="D370" s="92" t="s">
        <v>177</v>
      </c>
      <c r="E370" s="93" t="s">
        <v>55</v>
      </c>
      <c r="F370" s="93"/>
      <c r="G370" s="93" t="s">
        <v>195</v>
      </c>
      <c r="H370" s="97" t="s">
        <v>180</v>
      </c>
      <c r="I370" s="99"/>
      <c r="J370" s="202">
        <f t="shared" si="67"/>
        <v>0</v>
      </c>
      <c r="K370" s="94">
        <f t="shared" si="62"/>
        <v>0</v>
      </c>
      <c r="L370" s="95" t="s">
        <v>15</v>
      </c>
      <c r="M370" s="27"/>
      <c r="N370" s="27"/>
      <c r="O370" s="18">
        <f t="shared" si="68"/>
        <v>0</v>
      </c>
      <c r="P370" s="18">
        <f t="shared" si="69"/>
        <v>0</v>
      </c>
      <c r="Q370" s="8">
        <f t="shared" si="70"/>
        <v>0</v>
      </c>
    </row>
    <row r="371" spans="1:17" ht="23.25" customHeight="1" x14ac:dyDescent="0.5">
      <c r="A371" s="77">
        <v>330</v>
      </c>
      <c r="B371" s="78" t="s">
        <v>21</v>
      </c>
      <c r="C371" s="100" t="s">
        <v>172</v>
      </c>
      <c r="D371" s="92" t="s">
        <v>112</v>
      </c>
      <c r="E371" s="93" t="s">
        <v>55</v>
      </c>
      <c r="F371" s="93"/>
      <c r="G371" s="93" t="s">
        <v>195</v>
      </c>
      <c r="H371" s="97" t="s">
        <v>180</v>
      </c>
      <c r="I371" s="99"/>
      <c r="J371" s="202">
        <f t="shared" si="67"/>
        <v>0</v>
      </c>
      <c r="K371" s="94">
        <f t="shared" si="62"/>
        <v>0</v>
      </c>
      <c r="L371" s="95" t="s">
        <v>15</v>
      </c>
      <c r="M371" s="27"/>
      <c r="N371" s="27"/>
      <c r="O371" s="18">
        <f t="shared" si="68"/>
        <v>0</v>
      </c>
      <c r="P371" s="18">
        <f t="shared" si="69"/>
        <v>0</v>
      </c>
      <c r="Q371" s="8">
        <f t="shared" si="70"/>
        <v>0</v>
      </c>
    </row>
    <row r="372" spans="1:17" ht="23.25" customHeight="1" x14ac:dyDescent="0.5">
      <c r="A372" s="77">
        <v>331</v>
      </c>
      <c r="B372" s="78" t="s">
        <v>21</v>
      </c>
      <c r="C372" s="100" t="s">
        <v>172</v>
      </c>
      <c r="D372" s="92" t="s">
        <v>34</v>
      </c>
      <c r="E372" s="97" t="s">
        <v>55</v>
      </c>
      <c r="F372" s="97"/>
      <c r="G372" s="97" t="s">
        <v>195</v>
      </c>
      <c r="H372" s="97" t="s">
        <v>181</v>
      </c>
      <c r="I372" s="99"/>
      <c r="J372" s="202">
        <f t="shared" si="67"/>
        <v>0</v>
      </c>
      <c r="K372" s="94">
        <f t="shared" si="62"/>
        <v>0</v>
      </c>
      <c r="L372" s="95" t="s">
        <v>45</v>
      </c>
      <c r="M372" s="27"/>
      <c r="N372" s="21"/>
      <c r="O372" s="18">
        <f t="shared" si="68"/>
        <v>0</v>
      </c>
      <c r="P372" s="18">
        <f t="shared" si="69"/>
        <v>0</v>
      </c>
      <c r="Q372" s="8">
        <f t="shared" si="70"/>
        <v>0</v>
      </c>
    </row>
    <row r="373" spans="1:17" ht="23.25" customHeight="1" x14ac:dyDescent="0.5">
      <c r="A373" s="77">
        <v>332</v>
      </c>
      <c r="B373" s="78" t="s">
        <v>21</v>
      </c>
      <c r="C373" s="100" t="s">
        <v>172</v>
      </c>
      <c r="D373" s="92" t="s">
        <v>177</v>
      </c>
      <c r="E373" s="97" t="s">
        <v>55</v>
      </c>
      <c r="F373" s="97"/>
      <c r="G373" s="97" t="s">
        <v>195</v>
      </c>
      <c r="H373" s="97" t="s">
        <v>181</v>
      </c>
      <c r="I373" s="99"/>
      <c r="J373" s="202">
        <f t="shared" si="67"/>
        <v>0</v>
      </c>
      <c r="K373" s="94">
        <f t="shared" si="62"/>
        <v>0</v>
      </c>
      <c r="L373" s="95" t="s">
        <v>15</v>
      </c>
      <c r="M373" s="27"/>
      <c r="N373" s="21"/>
      <c r="O373" s="18">
        <f t="shared" si="68"/>
        <v>0</v>
      </c>
      <c r="P373" s="18">
        <f t="shared" si="69"/>
        <v>0</v>
      </c>
      <c r="Q373" s="8">
        <f t="shared" si="70"/>
        <v>0</v>
      </c>
    </row>
    <row r="374" spans="1:17" ht="23.25" customHeight="1" x14ac:dyDescent="0.5">
      <c r="A374" s="77">
        <v>333</v>
      </c>
      <c r="B374" s="78" t="s">
        <v>21</v>
      </c>
      <c r="C374" s="100" t="s">
        <v>172</v>
      </c>
      <c r="D374" s="92" t="s">
        <v>112</v>
      </c>
      <c r="E374" s="97" t="s">
        <v>55</v>
      </c>
      <c r="F374" s="97"/>
      <c r="G374" s="97" t="s">
        <v>195</v>
      </c>
      <c r="H374" s="97" t="s">
        <v>181</v>
      </c>
      <c r="I374" s="99"/>
      <c r="J374" s="202">
        <f t="shared" si="67"/>
        <v>0</v>
      </c>
      <c r="K374" s="94">
        <f t="shared" si="62"/>
        <v>0</v>
      </c>
      <c r="L374" s="95" t="s">
        <v>15</v>
      </c>
      <c r="M374" s="27"/>
      <c r="N374" s="21"/>
      <c r="O374" s="18">
        <f t="shared" si="68"/>
        <v>0</v>
      </c>
      <c r="P374" s="18">
        <f t="shared" si="69"/>
        <v>0</v>
      </c>
      <c r="Q374" s="8">
        <f t="shared" si="70"/>
        <v>0</v>
      </c>
    </row>
    <row r="375" spans="1:17" ht="23.25" customHeight="1" x14ac:dyDescent="0.55000000000000004">
      <c r="A375" s="77">
        <v>334</v>
      </c>
      <c r="B375" s="78" t="s">
        <v>196</v>
      </c>
      <c r="C375" s="100" t="s">
        <v>446</v>
      </c>
      <c r="D375" s="80" t="s">
        <v>196</v>
      </c>
      <c r="E375" s="81"/>
      <c r="F375" s="81"/>
      <c r="G375" s="81"/>
      <c r="H375" s="82"/>
      <c r="I375" s="114"/>
      <c r="J375" s="200"/>
      <c r="K375" s="94">
        <f t="shared" si="62"/>
        <v>0</v>
      </c>
      <c r="L375" s="84"/>
      <c r="M375" s="33"/>
      <c r="N375" s="33"/>
      <c r="O375" s="26"/>
      <c r="P375" s="26"/>
      <c r="Q375" s="7"/>
    </row>
    <row r="376" spans="1:17" ht="23.25" customHeight="1" x14ac:dyDescent="0.55000000000000004">
      <c r="A376" s="77">
        <v>335</v>
      </c>
      <c r="B376" s="78" t="s">
        <v>196</v>
      </c>
      <c r="C376" s="100" t="s">
        <v>446</v>
      </c>
      <c r="D376" s="106" t="s">
        <v>197</v>
      </c>
      <c r="E376" s="87"/>
      <c r="F376" s="87"/>
      <c r="G376" s="87"/>
      <c r="H376" s="107"/>
      <c r="I376" s="99"/>
      <c r="J376" s="203"/>
      <c r="K376" s="94">
        <f t="shared" si="62"/>
        <v>0</v>
      </c>
      <c r="L376" s="109"/>
      <c r="M376" s="37"/>
      <c r="N376" s="37"/>
      <c r="O376" s="19"/>
      <c r="P376" s="19"/>
      <c r="Q376" s="9"/>
    </row>
    <row r="377" spans="1:17" ht="23.25" customHeight="1" x14ac:dyDescent="0.5">
      <c r="A377" s="77">
        <v>336</v>
      </c>
      <c r="B377" s="78" t="s">
        <v>196</v>
      </c>
      <c r="C377" s="100" t="s">
        <v>446</v>
      </c>
      <c r="D377" s="92" t="s">
        <v>34</v>
      </c>
      <c r="E377" s="93" t="s">
        <v>198</v>
      </c>
      <c r="F377" s="93"/>
      <c r="G377" s="93" t="s">
        <v>199</v>
      </c>
      <c r="H377" s="97" t="s">
        <v>200</v>
      </c>
      <c r="I377" s="99"/>
      <c r="J377" s="202">
        <f t="shared" ref="J377:J383" si="71">I377</f>
        <v>0</v>
      </c>
      <c r="K377" s="94">
        <f t="shared" si="62"/>
        <v>0</v>
      </c>
      <c r="L377" s="95" t="s">
        <v>45</v>
      </c>
      <c r="M377" s="27"/>
      <c r="N377" s="27"/>
      <c r="O377" s="18">
        <f t="shared" ref="O377:O383" si="72">M377*J377</f>
        <v>0</v>
      </c>
      <c r="P377" s="18">
        <f t="shared" ref="P377:P383" si="73">N377*J377</f>
        <v>0</v>
      </c>
      <c r="Q377" s="8">
        <f t="shared" ref="Q377:Q383" si="74">(M377*J377)+(N377*J377)</f>
        <v>0</v>
      </c>
    </row>
    <row r="378" spans="1:17" ht="23.25" customHeight="1" x14ac:dyDescent="0.5">
      <c r="A378" s="77">
        <v>337</v>
      </c>
      <c r="B378" s="78" t="s">
        <v>196</v>
      </c>
      <c r="C378" s="100" t="s">
        <v>446</v>
      </c>
      <c r="D378" s="92" t="s">
        <v>201</v>
      </c>
      <c r="E378" s="93" t="s">
        <v>35</v>
      </c>
      <c r="F378" s="93"/>
      <c r="G378" s="93" t="s">
        <v>202</v>
      </c>
      <c r="H378" s="97" t="s">
        <v>200</v>
      </c>
      <c r="I378" s="99"/>
      <c r="J378" s="202">
        <f t="shared" si="71"/>
        <v>0</v>
      </c>
      <c r="K378" s="94">
        <f t="shared" si="62"/>
        <v>0</v>
      </c>
      <c r="L378" s="95" t="s">
        <v>15</v>
      </c>
      <c r="M378" s="27"/>
      <c r="N378" s="27"/>
      <c r="O378" s="18">
        <f t="shared" si="72"/>
        <v>0</v>
      </c>
      <c r="P378" s="18">
        <f t="shared" si="73"/>
        <v>0</v>
      </c>
      <c r="Q378" s="8">
        <f t="shared" si="74"/>
        <v>0</v>
      </c>
    </row>
    <row r="379" spans="1:17" ht="23.25" customHeight="1" x14ac:dyDescent="0.5">
      <c r="A379" s="77">
        <v>338</v>
      </c>
      <c r="B379" s="78" t="s">
        <v>196</v>
      </c>
      <c r="C379" s="100" t="s">
        <v>446</v>
      </c>
      <c r="D379" s="101" t="s">
        <v>34</v>
      </c>
      <c r="E379" s="97" t="s">
        <v>203</v>
      </c>
      <c r="F379" s="97"/>
      <c r="G379" s="97" t="s">
        <v>204</v>
      </c>
      <c r="H379" s="97" t="s">
        <v>205</v>
      </c>
      <c r="I379" s="99"/>
      <c r="J379" s="202">
        <f t="shared" si="71"/>
        <v>0</v>
      </c>
      <c r="K379" s="94">
        <f t="shared" si="62"/>
        <v>0</v>
      </c>
      <c r="L379" s="116" t="s">
        <v>45</v>
      </c>
      <c r="M379" s="21"/>
      <c r="N379" s="21"/>
      <c r="O379" s="18">
        <f t="shared" si="72"/>
        <v>0</v>
      </c>
      <c r="P379" s="18">
        <f t="shared" si="73"/>
        <v>0</v>
      </c>
      <c r="Q379" s="8">
        <f t="shared" si="74"/>
        <v>0</v>
      </c>
    </row>
    <row r="380" spans="1:17" ht="23.25" customHeight="1" x14ac:dyDescent="0.5">
      <c r="A380" s="77">
        <v>339</v>
      </c>
      <c r="B380" s="78" t="s">
        <v>196</v>
      </c>
      <c r="C380" s="100" t="s">
        <v>446</v>
      </c>
      <c r="D380" s="101" t="s">
        <v>201</v>
      </c>
      <c r="E380" s="97" t="s">
        <v>203</v>
      </c>
      <c r="F380" s="97"/>
      <c r="G380" s="97" t="s">
        <v>204</v>
      </c>
      <c r="H380" s="97" t="s">
        <v>205</v>
      </c>
      <c r="I380" s="99"/>
      <c r="J380" s="202">
        <f t="shared" si="71"/>
        <v>0</v>
      </c>
      <c r="K380" s="94">
        <f t="shared" si="62"/>
        <v>0</v>
      </c>
      <c r="L380" s="95" t="s">
        <v>15</v>
      </c>
      <c r="M380" s="21"/>
      <c r="N380" s="21"/>
      <c r="O380" s="18">
        <f t="shared" si="72"/>
        <v>0</v>
      </c>
      <c r="P380" s="18">
        <f t="shared" si="73"/>
        <v>0</v>
      </c>
      <c r="Q380" s="8">
        <f t="shared" si="74"/>
        <v>0</v>
      </c>
    </row>
    <row r="381" spans="1:17" ht="23.25" customHeight="1" x14ac:dyDescent="0.5">
      <c r="A381" s="77">
        <v>340</v>
      </c>
      <c r="B381" s="78" t="s">
        <v>196</v>
      </c>
      <c r="C381" s="100" t="s">
        <v>446</v>
      </c>
      <c r="D381" s="92" t="s">
        <v>34</v>
      </c>
      <c r="E381" s="93" t="s">
        <v>203</v>
      </c>
      <c r="F381" s="93"/>
      <c r="G381" s="93" t="s">
        <v>204</v>
      </c>
      <c r="H381" s="97" t="s">
        <v>206</v>
      </c>
      <c r="I381" s="99"/>
      <c r="J381" s="202">
        <f t="shared" si="71"/>
        <v>0</v>
      </c>
      <c r="K381" s="94">
        <f t="shared" si="62"/>
        <v>0</v>
      </c>
      <c r="L381" s="95" t="s">
        <v>45</v>
      </c>
      <c r="M381" s="27"/>
      <c r="N381" s="27"/>
      <c r="O381" s="18">
        <f t="shared" si="72"/>
        <v>0</v>
      </c>
      <c r="P381" s="18">
        <f t="shared" si="73"/>
        <v>0</v>
      </c>
      <c r="Q381" s="8">
        <f t="shared" si="74"/>
        <v>0</v>
      </c>
    </row>
    <row r="382" spans="1:17" ht="23.25" customHeight="1" x14ac:dyDescent="0.5">
      <c r="A382" s="77">
        <v>341</v>
      </c>
      <c r="B382" s="78" t="s">
        <v>196</v>
      </c>
      <c r="C382" s="100" t="s">
        <v>446</v>
      </c>
      <c r="D382" s="92" t="s">
        <v>201</v>
      </c>
      <c r="E382" s="93" t="s">
        <v>203</v>
      </c>
      <c r="F382" s="93"/>
      <c r="G382" s="93" t="s">
        <v>204</v>
      </c>
      <c r="H382" s="97" t="s">
        <v>206</v>
      </c>
      <c r="I382" s="99"/>
      <c r="J382" s="202">
        <f t="shared" si="71"/>
        <v>0</v>
      </c>
      <c r="K382" s="94">
        <f t="shared" si="62"/>
        <v>0</v>
      </c>
      <c r="L382" s="95" t="s">
        <v>15</v>
      </c>
      <c r="M382" s="27"/>
      <c r="N382" s="27"/>
      <c r="O382" s="18">
        <f t="shared" si="72"/>
        <v>0</v>
      </c>
      <c r="P382" s="18">
        <f t="shared" si="73"/>
        <v>0</v>
      </c>
      <c r="Q382" s="8">
        <f t="shared" si="74"/>
        <v>0</v>
      </c>
    </row>
    <row r="383" spans="1:17" ht="23.25" customHeight="1" x14ac:dyDescent="0.5">
      <c r="A383" s="77">
        <v>342</v>
      </c>
      <c r="B383" s="78" t="s">
        <v>196</v>
      </c>
      <c r="C383" s="100" t="s">
        <v>446</v>
      </c>
      <c r="D383" s="92" t="s">
        <v>207</v>
      </c>
      <c r="E383" s="93"/>
      <c r="F383" s="93"/>
      <c r="G383" s="93"/>
      <c r="H383" s="97"/>
      <c r="I383" s="99"/>
      <c r="J383" s="202">
        <f t="shared" si="71"/>
        <v>0</v>
      </c>
      <c r="K383" s="94">
        <f t="shared" si="62"/>
        <v>0</v>
      </c>
      <c r="L383" s="95" t="s">
        <v>15</v>
      </c>
      <c r="M383" s="27"/>
      <c r="N383" s="27"/>
      <c r="O383" s="18">
        <f t="shared" si="72"/>
        <v>0</v>
      </c>
      <c r="P383" s="18">
        <f t="shared" si="73"/>
        <v>0</v>
      </c>
      <c r="Q383" s="8">
        <f t="shared" si="74"/>
        <v>0</v>
      </c>
    </row>
    <row r="384" spans="1:17" ht="23.25" customHeight="1" x14ac:dyDescent="0.55000000000000004">
      <c r="A384" s="77">
        <v>343</v>
      </c>
      <c r="B384" s="78" t="s">
        <v>196</v>
      </c>
      <c r="C384" s="100" t="s">
        <v>447</v>
      </c>
      <c r="D384" s="106" t="s">
        <v>208</v>
      </c>
      <c r="E384" s="87"/>
      <c r="F384" s="87"/>
      <c r="G384" s="87"/>
      <c r="H384" s="107"/>
      <c r="I384" s="99"/>
      <c r="J384" s="203"/>
      <c r="K384" s="94">
        <f t="shared" si="62"/>
        <v>0</v>
      </c>
      <c r="L384" s="109"/>
      <c r="M384" s="37"/>
      <c r="N384" s="37"/>
      <c r="O384" s="19"/>
      <c r="P384" s="19"/>
      <c r="Q384" s="9"/>
    </row>
    <row r="385" spans="1:21" ht="23.25" customHeight="1" x14ac:dyDescent="0.5">
      <c r="A385" s="77">
        <v>344</v>
      </c>
      <c r="B385" s="78" t="s">
        <v>196</v>
      </c>
      <c r="C385" s="100" t="s">
        <v>447</v>
      </c>
      <c r="D385" s="92" t="s">
        <v>34</v>
      </c>
      <c r="E385" s="93" t="s">
        <v>25</v>
      </c>
      <c r="F385" s="93"/>
      <c r="G385" s="93" t="s">
        <v>209</v>
      </c>
      <c r="H385" s="97" t="s">
        <v>200</v>
      </c>
      <c r="I385" s="99">
        <v>4.5999999999999996</v>
      </c>
      <c r="J385" s="202">
        <f t="shared" ref="J385:J394" si="75">I385</f>
        <v>4.5999999999999996</v>
      </c>
      <c r="K385" s="94">
        <f t="shared" si="62"/>
        <v>0</v>
      </c>
      <c r="L385" s="95" t="s">
        <v>45</v>
      </c>
      <c r="M385" s="27"/>
      <c r="N385" s="27"/>
      <c r="O385" s="18">
        <f t="shared" ref="O385:O394" si="76">M385*J385</f>
        <v>0</v>
      </c>
      <c r="P385" s="18">
        <f t="shared" ref="P385:P394" si="77">N385*J385</f>
        <v>0</v>
      </c>
      <c r="Q385" s="8">
        <f t="shared" ref="Q385:Q394" si="78">(M385*J385)+(N385*J385)</f>
        <v>0</v>
      </c>
    </row>
    <row r="386" spans="1:21" ht="23.25" customHeight="1" x14ac:dyDescent="0.5">
      <c r="A386" s="77">
        <v>345</v>
      </c>
      <c r="B386" s="78" t="s">
        <v>196</v>
      </c>
      <c r="C386" s="100" t="s">
        <v>447</v>
      </c>
      <c r="D386" s="92" t="s">
        <v>112</v>
      </c>
      <c r="E386" s="93" t="s">
        <v>25</v>
      </c>
      <c r="F386" s="93"/>
      <c r="G386" s="93" t="s">
        <v>209</v>
      </c>
      <c r="H386" s="97" t="s">
        <v>200</v>
      </c>
      <c r="I386" s="99">
        <v>9</v>
      </c>
      <c r="J386" s="202">
        <v>10</v>
      </c>
      <c r="K386" s="94">
        <f t="shared" si="62"/>
        <v>1</v>
      </c>
      <c r="L386" s="95" t="s">
        <v>15</v>
      </c>
      <c r="M386" s="27"/>
      <c r="N386" s="27"/>
      <c r="O386" s="18">
        <f t="shared" si="76"/>
        <v>0</v>
      </c>
      <c r="P386" s="18">
        <f t="shared" si="77"/>
        <v>0</v>
      </c>
      <c r="Q386" s="8">
        <f t="shared" si="78"/>
        <v>0</v>
      </c>
      <c r="R386" s="211" t="s">
        <v>564</v>
      </c>
      <c r="S386" s="211"/>
      <c r="T386" s="211"/>
      <c r="U386" s="213"/>
    </row>
    <row r="387" spans="1:21" ht="23.25" customHeight="1" x14ac:dyDescent="0.5">
      <c r="A387" s="77">
        <v>346</v>
      </c>
      <c r="B387" s="78" t="s">
        <v>196</v>
      </c>
      <c r="C387" s="100" t="s">
        <v>447</v>
      </c>
      <c r="D387" s="92" t="s">
        <v>201</v>
      </c>
      <c r="E387" s="93" t="s">
        <v>25</v>
      </c>
      <c r="F387" s="93"/>
      <c r="G387" s="93" t="s">
        <v>209</v>
      </c>
      <c r="H387" s="97" t="s">
        <v>200</v>
      </c>
      <c r="I387" s="99"/>
      <c r="J387" s="202">
        <f t="shared" si="75"/>
        <v>0</v>
      </c>
      <c r="K387" s="94">
        <f t="shared" si="62"/>
        <v>0</v>
      </c>
      <c r="L387" s="95" t="s">
        <v>15</v>
      </c>
      <c r="M387" s="27"/>
      <c r="N387" s="27"/>
      <c r="O387" s="18">
        <f t="shared" si="76"/>
        <v>0</v>
      </c>
      <c r="P387" s="18">
        <f t="shared" si="77"/>
        <v>0</v>
      </c>
      <c r="Q387" s="8">
        <f t="shared" si="78"/>
        <v>0</v>
      </c>
    </row>
    <row r="388" spans="1:21" ht="23.25" customHeight="1" x14ac:dyDescent="0.5">
      <c r="A388" s="77">
        <v>347</v>
      </c>
      <c r="B388" s="78" t="s">
        <v>196</v>
      </c>
      <c r="C388" s="100" t="s">
        <v>447</v>
      </c>
      <c r="D388" s="101" t="s">
        <v>34</v>
      </c>
      <c r="E388" s="97" t="s">
        <v>25</v>
      </c>
      <c r="F388" s="97"/>
      <c r="G388" s="97" t="s">
        <v>209</v>
      </c>
      <c r="H388" s="97" t="s">
        <v>210</v>
      </c>
      <c r="I388" s="99"/>
      <c r="J388" s="202">
        <f t="shared" si="75"/>
        <v>0</v>
      </c>
      <c r="K388" s="94">
        <f t="shared" si="62"/>
        <v>0</v>
      </c>
      <c r="L388" s="95" t="s">
        <v>45</v>
      </c>
      <c r="M388" s="27"/>
      <c r="N388" s="27"/>
      <c r="O388" s="18">
        <f t="shared" si="76"/>
        <v>0</v>
      </c>
      <c r="P388" s="18">
        <f t="shared" si="77"/>
        <v>0</v>
      </c>
      <c r="Q388" s="8">
        <f t="shared" si="78"/>
        <v>0</v>
      </c>
    </row>
    <row r="389" spans="1:21" ht="23.25" customHeight="1" x14ac:dyDescent="0.5">
      <c r="A389" s="77">
        <v>348</v>
      </c>
      <c r="B389" s="78" t="s">
        <v>196</v>
      </c>
      <c r="C389" s="100" t="s">
        <v>447</v>
      </c>
      <c r="D389" s="101" t="s">
        <v>112</v>
      </c>
      <c r="E389" s="97" t="s">
        <v>25</v>
      </c>
      <c r="F389" s="97"/>
      <c r="G389" s="97" t="s">
        <v>209</v>
      </c>
      <c r="H389" s="97" t="s">
        <v>210</v>
      </c>
      <c r="I389" s="99"/>
      <c r="J389" s="202">
        <f t="shared" si="75"/>
        <v>0</v>
      </c>
      <c r="K389" s="94">
        <f t="shared" si="62"/>
        <v>0</v>
      </c>
      <c r="L389" s="95" t="s">
        <v>15</v>
      </c>
      <c r="M389" s="27"/>
      <c r="N389" s="27"/>
      <c r="O389" s="18">
        <f t="shared" si="76"/>
        <v>0</v>
      </c>
      <c r="P389" s="18">
        <f t="shared" si="77"/>
        <v>0</v>
      </c>
      <c r="Q389" s="8">
        <f t="shared" si="78"/>
        <v>0</v>
      </c>
    </row>
    <row r="390" spans="1:21" ht="23.25" customHeight="1" x14ac:dyDescent="0.5">
      <c r="A390" s="77">
        <v>349</v>
      </c>
      <c r="B390" s="78" t="s">
        <v>196</v>
      </c>
      <c r="C390" s="100" t="s">
        <v>447</v>
      </c>
      <c r="D390" s="101" t="s">
        <v>201</v>
      </c>
      <c r="E390" s="97" t="s">
        <v>25</v>
      </c>
      <c r="F390" s="97"/>
      <c r="G390" s="97" t="s">
        <v>209</v>
      </c>
      <c r="H390" s="97" t="s">
        <v>210</v>
      </c>
      <c r="I390" s="99"/>
      <c r="J390" s="202">
        <f t="shared" si="75"/>
        <v>0</v>
      </c>
      <c r="K390" s="94">
        <f t="shared" si="62"/>
        <v>0</v>
      </c>
      <c r="L390" s="95" t="s">
        <v>15</v>
      </c>
      <c r="M390" s="27"/>
      <c r="N390" s="27"/>
      <c r="O390" s="18">
        <f t="shared" si="76"/>
        <v>0</v>
      </c>
      <c r="P390" s="18">
        <f t="shared" si="77"/>
        <v>0</v>
      </c>
      <c r="Q390" s="8">
        <f t="shared" si="78"/>
        <v>0</v>
      </c>
    </row>
    <row r="391" spans="1:21" ht="23.25" customHeight="1" x14ac:dyDescent="0.5">
      <c r="A391" s="77">
        <v>350</v>
      </c>
      <c r="B391" s="78" t="s">
        <v>196</v>
      </c>
      <c r="C391" s="100" t="s">
        <v>447</v>
      </c>
      <c r="D391" s="92" t="s">
        <v>34</v>
      </c>
      <c r="E391" s="93" t="s">
        <v>25</v>
      </c>
      <c r="F391" s="93"/>
      <c r="G391" s="93" t="s">
        <v>209</v>
      </c>
      <c r="H391" s="97" t="s">
        <v>211</v>
      </c>
      <c r="I391" s="99"/>
      <c r="J391" s="202">
        <f t="shared" si="75"/>
        <v>0</v>
      </c>
      <c r="K391" s="94">
        <f t="shared" si="62"/>
        <v>0</v>
      </c>
      <c r="L391" s="95" t="s">
        <v>45</v>
      </c>
      <c r="M391" s="27"/>
      <c r="N391" s="27"/>
      <c r="O391" s="18">
        <f t="shared" si="76"/>
        <v>0</v>
      </c>
      <c r="P391" s="18">
        <f t="shared" si="77"/>
        <v>0</v>
      </c>
      <c r="Q391" s="8">
        <f t="shared" si="78"/>
        <v>0</v>
      </c>
    </row>
    <row r="392" spans="1:21" ht="23.25" customHeight="1" x14ac:dyDescent="0.5">
      <c r="A392" s="77">
        <v>351</v>
      </c>
      <c r="B392" s="78" t="s">
        <v>196</v>
      </c>
      <c r="C392" s="100" t="s">
        <v>447</v>
      </c>
      <c r="D392" s="92" t="s">
        <v>112</v>
      </c>
      <c r="E392" s="93" t="s">
        <v>25</v>
      </c>
      <c r="F392" s="93"/>
      <c r="G392" s="93" t="s">
        <v>209</v>
      </c>
      <c r="H392" s="97" t="s">
        <v>211</v>
      </c>
      <c r="I392" s="99"/>
      <c r="J392" s="202">
        <f t="shared" si="75"/>
        <v>0</v>
      </c>
      <c r="K392" s="94">
        <f t="shared" si="62"/>
        <v>0</v>
      </c>
      <c r="L392" s="95" t="s">
        <v>15</v>
      </c>
      <c r="M392" s="27"/>
      <c r="N392" s="27"/>
      <c r="O392" s="18">
        <f t="shared" si="76"/>
        <v>0</v>
      </c>
      <c r="P392" s="18">
        <f t="shared" si="77"/>
        <v>0</v>
      </c>
      <c r="Q392" s="8">
        <f t="shared" si="78"/>
        <v>0</v>
      </c>
    </row>
    <row r="393" spans="1:21" ht="23.25" customHeight="1" x14ac:dyDescent="0.5">
      <c r="A393" s="77">
        <v>352</v>
      </c>
      <c r="B393" s="78" t="s">
        <v>196</v>
      </c>
      <c r="C393" s="100" t="s">
        <v>447</v>
      </c>
      <c r="D393" s="92" t="s">
        <v>201</v>
      </c>
      <c r="E393" s="93" t="s">
        <v>25</v>
      </c>
      <c r="F393" s="93"/>
      <c r="G393" s="93" t="s">
        <v>209</v>
      </c>
      <c r="H393" s="97" t="s">
        <v>211</v>
      </c>
      <c r="I393" s="99"/>
      <c r="J393" s="202">
        <f t="shared" si="75"/>
        <v>0</v>
      </c>
      <c r="K393" s="94">
        <f t="shared" si="62"/>
        <v>0</v>
      </c>
      <c r="L393" s="95" t="s">
        <v>15</v>
      </c>
      <c r="M393" s="27"/>
      <c r="N393" s="27"/>
      <c r="O393" s="18">
        <f t="shared" si="76"/>
        <v>0</v>
      </c>
      <c r="P393" s="18">
        <f t="shared" si="77"/>
        <v>0</v>
      </c>
      <c r="Q393" s="8">
        <f t="shared" si="78"/>
        <v>0</v>
      </c>
    </row>
    <row r="394" spans="1:21" ht="23.25" customHeight="1" x14ac:dyDescent="0.5">
      <c r="A394" s="77">
        <v>353</v>
      </c>
      <c r="B394" s="78" t="s">
        <v>196</v>
      </c>
      <c r="C394" s="100" t="s">
        <v>447</v>
      </c>
      <c r="D394" s="92" t="s">
        <v>207</v>
      </c>
      <c r="E394" s="93"/>
      <c r="F394" s="93"/>
      <c r="G394" s="93"/>
      <c r="H394" s="97"/>
      <c r="I394" s="99">
        <v>1</v>
      </c>
      <c r="J394" s="202">
        <f t="shared" si="75"/>
        <v>1</v>
      </c>
      <c r="K394" s="94">
        <f t="shared" si="62"/>
        <v>0</v>
      </c>
      <c r="L394" s="95" t="s">
        <v>15</v>
      </c>
      <c r="M394" s="27"/>
      <c r="N394" s="27"/>
      <c r="O394" s="18">
        <f t="shared" si="76"/>
        <v>0</v>
      </c>
      <c r="P394" s="18">
        <f t="shared" si="77"/>
        <v>0</v>
      </c>
      <c r="Q394" s="8">
        <f t="shared" si="78"/>
        <v>0</v>
      </c>
    </row>
    <row r="395" spans="1:21" ht="23.25" customHeight="1" x14ac:dyDescent="0.55000000000000004">
      <c r="A395" s="77">
        <v>354</v>
      </c>
      <c r="B395" s="78" t="s">
        <v>196</v>
      </c>
      <c r="C395" s="100" t="s">
        <v>448</v>
      </c>
      <c r="D395" s="85" t="s">
        <v>212</v>
      </c>
      <c r="E395" s="87"/>
      <c r="F395" s="87"/>
      <c r="G395" s="87"/>
      <c r="H395" s="107"/>
      <c r="I395" s="99"/>
      <c r="J395" s="203"/>
      <c r="K395" s="94">
        <f t="shared" si="62"/>
        <v>0</v>
      </c>
      <c r="L395" s="109"/>
      <c r="M395" s="37"/>
      <c r="N395" s="37"/>
      <c r="O395" s="19"/>
      <c r="P395" s="19"/>
      <c r="Q395" s="9"/>
    </row>
    <row r="396" spans="1:21" ht="22.5" customHeight="1" x14ac:dyDescent="0.5">
      <c r="A396" s="77">
        <v>355</v>
      </c>
      <c r="B396" s="78" t="s">
        <v>196</v>
      </c>
      <c r="C396" s="100" t="s">
        <v>448</v>
      </c>
      <c r="D396" s="92" t="s">
        <v>34</v>
      </c>
      <c r="E396" s="93" t="s">
        <v>198</v>
      </c>
      <c r="F396" s="93"/>
      <c r="G396" s="93" t="s">
        <v>199</v>
      </c>
      <c r="H396" s="97" t="s">
        <v>200</v>
      </c>
      <c r="I396" s="99"/>
      <c r="J396" s="202">
        <f t="shared" ref="J396:J416" si="79">I396</f>
        <v>0</v>
      </c>
      <c r="K396" s="94">
        <f t="shared" si="62"/>
        <v>0</v>
      </c>
      <c r="L396" s="95" t="s">
        <v>45</v>
      </c>
      <c r="M396" s="27"/>
      <c r="N396" s="27"/>
      <c r="O396" s="18">
        <f t="shared" ref="O396:O405" si="80">M396*J396</f>
        <v>0</v>
      </c>
      <c r="P396" s="18">
        <f t="shared" ref="P396:P405" si="81">N396*J396</f>
        <v>0</v>
      </c>
      <c r="Q396" s="8">
        <f t="shared" ref="Q396:Q405" si="82">(M396*J396)+(N396*J396)</f>
        <v>0</v>
      </c>
    </row>
    <row r="397" spans="1:21" ht="23.15" customHeight="1" x14ac:dyDescent="0.5">
      <c r="A397" s="77">
        <v>356</v>
      </c>
      <c r="B397" s="78" t="s">
        <v>196</v>
      </c>
      <c r="C397" s="100" t="s">
        <v>448</v>
      </c>
      <c r="D397" s="92" t="s">
        <v>112</v>
      </c>
      <c r="E397" s="93" t="s">
        <v>35</v>
      </c>
      <c r="F397" s="93"/>
      <c r="G397" s="93" t="s">
        <v>202</v>
      </c>
      <c r="H397" s="97" t="s">
        <v>200</v>
      </c>
      <c r="I397" s="99"/>
      <c r="J397" s="202">
        <f t="shared" si="79"/>
        <v>0</v>
      </c>
      <c r="K397" s="94">
        <f t="shared" ref="K397:K460" si="83">+J397-I397</f>
        <v>0</v>
      </c>
      <c r="L397" s="95" t="s">
        <v>15</v>
      </c>
      <c r="M397" s="27"/>
      <c r="N397" s="27"/>
      <c r="O397" s="18">
        <f t="shared" si="80"/>
        <v>0</v>
      </c>
      <c r="P397" s="18">
        <f t="shared" si="81"/>
        <v>0</v>
      </c>
      <c r="Q397" s="8">
        <f t="shared" si="82"/>
        <v>0</v>
      </c>
    </row>
    <row r="398" spans="1:21" ht="23.25" customHeight="1" x14ac:dyDescent="0.5">
      <c r="A398" s="77">
        <v>357</v>
      </c>
      <c r="B398" s="78" t="s">
        <v>196</v>
      </c>
      <c r="C398" s="100" t="s">
        <v>448</v>
      </c>
      <c r="D398" s="92" t="s">
        <v>201</v>
      </c>
      <c r="E398" s="93" t="s">
        <v>35</v>
      </c>
      <c r="F398" s="93"/>
      <c r="G398" s="93" t="s">
        <v>202</v>
      </c>
      <c r="H398" s="97" t="s">
        <v>200</v>
      </c>
      <c r="I398" s="99"/>
      <c r="J398" s="202">
        <f t="shared" si="79"/>
        <v>0</v>
      </c>
      <c r="K398" s="94">
        <f t="shared" si="83"/>
        <v>0</v>
      </c>
      <c r="L398" s="95" t="s">
        <v>15</v>
      </c>
      <c r="M398" s="27"/>
      <c r="N398" s="27"/>
      <c r="O398" s="18">
        <f t="shared" si="80"/>
        <v>0</v>
      </c>
      <c r="P398" s="18">
        <f t="shared" si="81"/>
        <v>0</v>
      </c>
      <c r="Q398" s="8">
        <f t="shared" si="82"/>
        <v>0</v>
      </c>
    </row>
    <row r="399" spans="1:21" ht="23.25" customHeight="1" x14ac:dyDescent="0.5">
      <c r="A399" s="77">
        <v>358</v>
      </c>
      <c r="B399" s="78" t="s">
        <v>196</v>
      </c>
      <c r="C399" s="100" t="s">
        <v>448</v>
      </c>
      <c r="D399" s="101" t="s">
        <v>34</v>
      </c>
      <c r="E399" s="97" t="s">
        <v>213</v>
      </c>
      <c r="F399" s="97"/>
      <c r="G399" s="97" t="s">
        <v>214</v>
      </c>
      <c r="H399" s="97" t="s">
        <v>210</v>
      </c>
      <c r="I399" s="99"/>
      <c r="J399" s="202">
        <f t="shared" si="79"/>
        <v>0</v>
      </c>
      <c r="K399" s="94">
        <f t="shared" si="83"/>
        <v>0</v>
      </c>
      <c r="L399" s="95" t="s">
        <v>45</v>
      </c>
      <c r="M399" s="27"/>
      <c r="N399" s="27"/>
      <c r="O399" s="18">
        <f t="shared" si="80"/>
        <v>0</v>
      </c>
      <c r="P399" s="18">
        <f t="shared" si="81"/>
        <v>0</v>
      </c>
      <c r="Q399" s="8">
        <f t="shared" si="82"/>
        <v>0</v>
      </c>
    </row>
    <row r="400" spans="1:21" ht="23.25" customHeight="1" x14ac:dyDescent="0.5">
      <c r="A400" s="77">
        <v>359</v>
      </c>
      <c r="B400" s="78" t="s">
        <v>196</v>
      </c>
      <c r="C400" s="100" t="s">
        <v>448</v>
      </c>
      <c r="D400" s="101" t="s">
        <v>112</v>
      </c>
      <c r="E400" s="97" t="s">
        <v>213</v>
      </c>
      <c r="F400" s="97"/>
      <c r="G400" s="97" t="s">
        <v>214</v>
      </c>
      <c r="H400" s="97" t="s">
        <v>210</v>
      </c>
      <c r="I400" s="99"/>
      <c r="J400" s="202">
        <f t="shared" si="79"/>
        <v>0</v>
      </c>
      <c r="K400" s="94">
        <f t="shared" si="83"/>
        <v>0</v>
      </c>
      <c r="L400" s="95" t="s">
        <v>15</v>
      </c>
      <c r="M400" s="27"/>
      <c r="N400" s="27"/>
      <c r="O400" s="18">
        <f t="shared" si="80"/>
        <v>0</v>
      </c>
      <c r="P400" s="18">
        <f t="shared" si="81"/>
        <v>0</v>
      </c>
      <c r="Q400" s="8">
        <f t="shared" si="82"/>
        <v>0</v>
      </c>
    </row>
    <row r="401" spans="1:17" ht="23.25" customHeight="1" x14ac:dyDescent="0.5">
      <c r="A401" s="77">
        <v>360</v>
      </c>
      <c r="B401" s="78" t="s">
        <v>196</v>
      </c>
      <c r="C401" s="100" t="s">
        <v>448</v>
      </c>
      <c r="D401" s="101" t="s">
        <v>201</v>
      </c>
      <c r="E401" s="97" t="s">
        <v>213</v>
      </c>
      <c r="F401" s="97"/>
      <c r="G401" s="97" t="s">
        <v>214</v>
      </c>
      <c r="H401" s="97" t="s">
        <v>210</v>
      </c>
      <c r="I401" s="99"/>
      <c r="J401" s="202">
        <f t="shared" si="79"/>
        <v>0</v>
      </c>
      <c r="K401" s="94">
        <f t="shared" si="83"/>
        <v>0</v>
      </c>
      <c r="L401" s="95" t="s">
        <v>15</v>
      </c>
      <c r="M401" s="27"/>
      <c r="N401" s="27"/>
      <c r="O401" s="18">
        <f t="shared" si="80"/>
        <v>0</v>
      </c>
      <c r="P401" s="18">
        <f t="shared" si="81"/>
        <v>0</v>
      </c>
      <c r="Q401" s="8">
        <f t="shared" si="82"/>
        <v>0</v>
      </c>
    </row>
    <row r="402" spans="1:17" ht="23.25" customHeight="1" x14ac:dyDescent="0.5">
      <c r="A402" s="77">
        <v>361</v>
      </c>
      <c r="B402" s="78" t="s">
        <v>196</v>
      </c>
      <c r="C402" s="100" t="s">
        <v>448</v>
      </c>
      <c r="D402" s="92" t="s">
        <v>34</v>
      </c>
      <c r="E402" s="93" t="s">
        <v>213</v>
      </c>
      <c r="F402" s="93"/>
      <c r="G402" s="93" t="s">
        <v>214</v>
      </c>
      <c r="H402" s="97" t="s">
        <v>211</v>
      </c>
      <c r="I402" s="99"/>
      <c r="J402" s="202">
        <f t="shared" si="79"/>
        <v>0</v>
      </c>
      <c r="K402" s="94">
        <f t="shared" si="83"/>
        <v>0</v>
      </c>
      <c r="L402" s="95" t="s">
        <v>45</v>
      </c>
      <c r="M402" s="27"/>
      <c r="N402" s="27"/>
      <c r="O402" s="18">
        <f t="shared" si="80"/>
        <v>0</v>
      </c>
      <c r="P402" s="18">
        <f t="shared" si="81"/>
        <v>0</v>
      </c>
      <c r="Q402" s="8">
        <f t="shared" si="82"/>
        <v>0</v>
      </c>
    </row>
    <row r="403" spans="1:17" ht="23.25" customHeight="1" x14ac:dyDescent="0.5">
      <c r="A403" s="77">
        <v>362</v>
      </c>
      <c r="B403" s="78" t="s">
        <v>196</v>
      </c>
      <c r="C403" s="100" t="s">
        <v>448</v>
      </c>
      <c r="D403" s="92" t="s">
        <v>112</v>
      </c>
      <c r="E403" s="93" t="s">
        <v>213</v>
      </c>
      <c r="F403" s="93"/>
      <c r="G403" s="93" t="s">
        <v>214</v>
      </c>
      <c r="H403" s="97" t="s">
        <v>211</v>
      </c>
      <c r="I403" s="99"/>
      <c r="J403" s="202">
        <f t="shared" si="79"/>
        <v>0</v>
      </c>
      <c r="K403" s="94">
        <f t="shared" si="83"/>
        <v>0</v>
      </c>
      <c r="L403" s="95" t="s">
        <v>15</v>
      </c>
      <c r="M403" s="27"/>
      <c r="N403" s="27"/>
      <c r="O403" s="18">
        <f t="shared" si="80"/>
        <v>0</v>
      </c>
      <c r="P403" s="18">
        <f t="shared" si="81"/>
        <v>0</v>
      </c>
      <c r="Q403" s="8">
        <f t="shared" si="82"/>
        <v>0</v>
      </c>
    </row>
    <row r="404" spans="1:17" ht="23.25" customHeight="1" x14ac:dyDescent="0.5">
      <c r="A404" s="77">
        <v>363</v>
      </c>
      <c r="B404" s="78" t="s">
        <v>196</v>
      </c>
      <c r="C404" s="100" t="s">
        <v>448</v>
      </c>
      <c r="D404" s="92" t="s">
        <v>201</v>
      </c>
      <c r="E404" s="93" t="s">
        <v>213</v>
      </c>
      <c r="F404" s="93"/>
      <c r="G404" s="93" t="s">
        <v>214</v>
      </c>
      <c r="H404" s="97" t="s">
        <v>211</v>
      </c>
      <c r="I404" s="99"/>
      <c r="J404" s="202">
        <f t="shared" si="79"/>
        <v>0</v>
      </c>
      <c r="K404" s="94">
        <f t="shared" si="83"/>
        <v>0</v>
      </c>
      <c r="L404" s="95" t="s">
        <v>15</v>
      </c>
      <c r="M404" s="27"/>
      <c r="N404" s="27"/>
      <c r="O404" s="18">
        <f t="shared" si="80"/>
        <v>0</v>
      </c>
      <c r="P404" s="18">
        <f t="shared" si="81"/>
        <v>0</v>
      </c>
      <c r="Q404" s="8">
        <f t="shared" si="82"/>
        <v>0</v>
      </c>
    </row>
    <row r="405" spans="1:17" ht="23.25" customHeight="1" x14ac:dyDescent="0.5">
      <c r="A405" s="77">
        <v>364</v>
      </c>
      <c r="B405" s="78" t="s">
        <v>196</v>
      </c>
      <c r="C405" s="100" t="s">
        <v>448</v>
      </c>
      <c r="D405" s="92" t="s">
        <v>207</v>
      </c>
      <c r="E405" s="93"/>
      <c r="F405" s="93"/>
      <c r="G405" s="93"/>
      <c r="H405" s="97"/>
      <c r="I405" s="99"/>
      <c r="J405" s="202">
        <f t="shared" si="79"/>
        <v>0</v>
      </c>
      <c r="K405" s="94">
        <f t="shared" si="83"/>
        <v>0</v>
      </c>
      <c r="L405" s="95" t="s">
        <v>15</v>
      </c>
      <c r="M405" s="27"/>
      <c r="N405" s="27"/>
      <c r="O405" s="18">
        <f t="shared" si="80"/>
        <v>0</v>
      </c>
      <c r="P405" s="18">
        <f t="shared" si="81"/>
        <v>0</v>
      </c>
      <c r="Q405" s="8">
        <f t="shared" si="82"/>
        <v>0</v>
      </c>
    </row>
    <row r="406" spans="1:17" ht="23.25" customHeight="1" x14ac:dyDescent="0.55000000000000004">
      <c r="A406" s="77">
        <v>365</v>
      </c>
      <c r="B406" s="78" t="s">
        <v>196</v>
      </c>
      <c r="C406" s="100" t="s">
        <v>449</v>
      </c>
      <c r="D406" s="106" t="s">
        <v>215</v>
      </c>
      <c r="E406" s="87"/>
      <c r="F406" s="87"/>
      <c r="G406" s="87"/>
      <c r="H406" s="107"/>
      <c r="I406" s="99"/>
      <c r="J406" s="203"/>
      <c r="K406" s="94">
        <f t="shared" si="83"/>
        <v>0</v>
      </c>
      <c r="L406" s="109"/>
      <c r="M406" s="37"/>
      <c r="N406" s="37"/>
      <c r="O406" s="19"/>
      <c r="P406" s="19"/>
      <c r="Q406" s="9"/>
    </row>
    <row r="407" spans="1:17" ht="23.25" customHeight="1" x14ac:dyDescent="0.5">
      <c r="A407" s="77">
        <v>366</v>
      </c>
      <c r="B407" s="78" t="s">
        <v>196</v>
      </c>
      <c r="C407" s="100" t="s">
        <v>449</v>
      </c>
      <c r="D407" s="92" t="s">
        <v>34</v>
      </c>
      <c r="E407" s="93" t="s">
        <v>216</v>
      </c>
      <c r="F407" s="93"/>
      <c r="G407" s="93" t="s">
        <v>217</v>
      </c>
      <c r="H407" s="97" t="s">
        <v>200</v>
      </c>
      <c r="I407" s="99"/>
      <c r="J407" s="202">
        <f t="shared" si="79"/>
        <v>0</v>
      </c>
      <c r="K407" s="94">
        <f t="shared" si="83"/>
        <v>0</v>
      </c>
      <c r="L407" s="95" t="s">
        <v>45</v>
      </c>
      <c r="M407" s="27"/>
      <c r="N407" s="27"/>
      <c r="O407" s="18">
        <f t="shared" ref="O407:O416" si="84">M407*J407</f>
        <v>0</v>
      </c>
      <c r="P407" s="18">
        <f t="shared" ref="P407:P416" si="85">N407*J407</f>
        <v>0</v>
      </c>
      <c r="Q407" s="8">
        <f t="shared" ref="Q407:Q416" si="86">(M407*J407)+(N407*J407)</f>
        <v>0</v>
      </c>
    </row>
    <row r="408" spans="1:17" ht="23.25" customHeight="1" x14ac:dyDescent="0.5">
      <c r="A408" s="77">
        <v>367</v>
      </c>
      <c r="B408" s="78" t="s">
        <v>196</v>
      </c>
      <c r="C408" s="100" t="s">
        <v>449</v>
      </c>
      <c r="D408" s="92" t="s">
        <v>112</v>
      </c>
      <c r="E408" s="93" t="s">
        <v>216</v>
      </c>
      <c r="F408" s="93"/>
      <c r="G408" s="93" t="s">
        <v>217</v>
      </c>
      <c r="H408" s="97" t="s">
        <v>200</v>
      </c>
      <c r="I408" s="99"/>
      <c r="J408" s="202">
        <f t="shared" si="79"/>
        <v>0</v>
      </c>
      <c r="K408" s="94">
        <f t="shared" si="83"/>
        <v>0</v>
      </c>
      <c r="L408" s="95" t="s">
        <v>15</v>
      </c>
      <c r="M408" s="27"/>
      <c r="N408" s="27"/>
      <c r="O408" s="18">
        <f t="shared" si="84"/>
        <v>0</v>
      </c>
      <c r="P408" s="18">
        <f t="shared" si="85"/>
        <v>0</v>
      </c>
      <c r="Q408" s="8">
        <f t="shared" si="86"/>
        <v>0</v>
      </c>
    </row>
    <row r="409" spans="1:17" ht="23.25" customHeight="1" x14ac:dyDescent="0.5">
      <c r="A409" s="77">
        <v>368</v>
      </c>
      <c r="B409" s="78" t="s">
        <v>196</v>
      </c>
      <c r="C409" s="100" t="s">
        <v>449</v>
      </c>
      <c r="D409" s="92" t="s">
        <v>47</v>
      </c>
      <c r="E409" s="93" t="s">
        <v>216</v>
      </c>
      <c r="F409" s="93"/>
      <c r="G409" s="93" t="s">
        <v>217</v>
      </c>
      <c r="H409" s="97" t="s">
        <v>200</v>
      </c>
      <c r="I409" s="99"/>
      <c r="J409" s="202">
        <f t="shared" si="79"/>
        <v>0</v>
      </c>
      <c r="K409" s="94">
        <f t="shared" si="83"/>
        <v>0</v>
      </c>
      <c r="L409" s="95" t="s">
        <v>15</v>
      </c>
      <c r="M409" s="27"/>
      <c r="N409" s="27"/>
      <c r="O409" s="18">
        <f t="shared" si="84"/>
        <v>0</v>
      </c>
      <c r="P409" s="18">
        <f t="shared" si="85"/>
        <v>0</v>
      </c>
      <c r="Q409" s="8">
        <f t="shared" si="86"/>
        <v>0</v>
      </c>
    </row>
    <row r="410" spans="1:17" ht="23.25" customHeight="1" x14ac:dyDescent="0.5">
      <c r="A410" s="77">
        <v>369</v>
      </c>
      <c r="B410" s="78" t="s">
        <v>196</v>
      </c>
      <c r="C410" s="100" t="s">
        <v>449</v>
      </c>
      <c r="D410" s="101" t="s">
        <v>34</v>
      </c>
      <c r="E410" s="97" t="s">
        <v>216</v>
      </c>
      <c r="F410" s="97"/>
      <c r="G410" s="97" t="s">
        <v>217</v>
      </c>
      <c r="H410" s="97" t="s">
        <v>210</v>
      </c>
      <c r="I410" s="99"/>
      <c r="J410" s="202">
        <f t="shared" si="79"/>
        <v>0</v>
      </c>
      <c r="K410" s="94">
        <f t="shared" si="83"/>
        <v>0</v>
      </c>
      <c r="L410" s="95" t="s">
        <v>45</v>
      </c>
      <c r="M410" s="27"/>
      <c r="N410" s="27"/>
      <c r="O410" s="18">
        <f t="shared" si="84"/>
        <v>0</v>
      </c>
      <c r="P410" s="18">
        <f t="shared" si="85"/>
        <v>0</v>
      </c>
      <c r="Q410" s="8">
        <f t="shared" si="86"/>
        <v>0</v>
      </c>
    </row>
    <row r="411" spans="1:17" ht="23.25" customHeight="1" x14ac:dyDescent="0.5">
      <c r="A411" s="77">
        <v>370</v>
      </c>
      <c r="B411" s="78" t="s">
        <v>196</v>
      </c>
      <c r="C411" s="100" t="s">
        <v>449</v>
      </c>
      <c r="D411" s="101" t="s">
        <v>112</v>
      </c>
      <c r="E411" s="97" t="s">
        <v>216</v>
      </c>
      <c r="F411" s="97"/>
      <c r="G411" s="97" t="s">
        <v>217</v>
      </c>
      <c r="H411" s="97" t="s">
        <v>210</v>
      </c>
      <c r="I411" s="99"/>
      <c r="J411" s="202">
        <f t="shared" si="79"/>
        <v>0</v>
      </c>
      <c r="K411" s="94">
        <f t="shared" si="83"/>
        <v>0</v>
      </c>
      <c r="L411" s="95" t="s">
        <v>15</v>
      </c>
      <c r="M411" s="21"/>
      <c r="N411" s="21"/>
      <c r="O411" s="18">
        <f t="shared" si="84"/>
        <v>0</v>
      </c>
      <c r="P411" s="18">
        <f t="shared" si="85"/>
        <v>0</v>
      </c>
      <c r="Q411" s="8">
        <f t="shared" si="86"/>
        <v>0</v>
      </c>
    </row>
    <row r="412" spans="1:17" ht="23.25" customHeight="1" x14ac:dyDescent="0.5">
      <c r="A412" s="77">
        <v>371</v>
      </c>
      <c r="B412" s="78" t="s">
        <v>196</v>
      </c>
      <c r="C412" s="100" t="s">
        <v>449</v>
      </c>
      <c r="D412" s="101" t="s">
        <v>47</v>
      </c>
      <c r="E412" s="97" t="s">
        <v>216</v>
      </c>
      <c r="F412" s="97"/>
      <c r="G412" s="97" t="s">
        <v>217</v>
      </c>
      <c r="H412" s="97" t="s">
        <v>210</v>
      </c>
      <c r="I412" s="99"/>
      <c r="J412" s="202">
        <f t="shared" si="79"/>
        <v>0</v>
      </c>
      <c r="K412" s="94">
        <f t="shared" si="83"/>
        <v>0</v>
      </c>
      <c r="L412" s="95" t="s">
        <v>15</v>
      </c>
      <c r="M412" s="21"/>
      <c r="N412" s="21"/>
      <c r="O412" s="18">
        <f t="shared" si="84"/>
        <v>0</v>
      </c>
      <c r="P412" s="18">
        <f t="shared" si="85"/>
        <v>0</v>
      </c>
      <c r="Q412" s="8">
        <f t="shared" si="86"/>
        <v>0</v>
      </c>
    </row>
    <row r="413" spans="1:17" ht="23.25" customHeight="1" x14ac:dyDescent="0.5">
      <c r="A413" s="77">
        <v>372</v>
      </c>
      <c r="B413" s="78" t="s">
        <v>196</v>
      </c>
      <c r="C413" s="100" t="s">
        <v>449</v>
      </c>
      <c r="D413" s="92" t="s">
        <v>34</v>
      </c>
      <c r="E413" s="93" t="s">
        <v>216</v>
      </c>
      <c r="F413" s="93"/>
      <c r="G413" s="93" t="s">
        <v>217</v>
      </c>
      <c r="H413" s="97" t="s">
        <v>211</v>
      </c>
      <c r="I413" s="99"/>
      <c r="J413" s="202">
        <f t="shared" si="79"/>
        <v>0</v>
      </c>
      <c r="K413" s="94">
        <f t="shared" si="83"/>
        <v>0</v>
      </c>
      <c r="L413" s="95" t="s">
        <v>45</v>
      </c>
      <c r="M413" s="27"/>
      <c r="N413" s="27"/>
      <c r="O413" s="18">
        <f t="shared" si="84"/>
        <v>0</v>
      </c>
      <c r="P413" s="18">
        <f t="shared" si="85"/>
        <v>0</v>
      </c>
      <c r="Q413" s="8">
        <f t="shared" si="86"/>
        <v>0</v>
      </c>
    </row>
    <row r="414" spans="1:17" ht="23.25" customHeight="1" x14ac:dyDescent="0.5">
      <c r="A414" s="77">
        <v>373</v>
      </c>
      <c r="B414" s="78" t="s">
        <v>196</v>
      </c>
      <c r="C414" s="100" t="s">
        <v>449</v>
      </c>
      <c r="D414" s="92" t="s">
        <v>112</v>
      </c>
      <c r="E414" s="93" t="s">
        <v>216</v>
      </c>
      <c r="F414" s="93"/>
      <c r="G414" s="93" t="s">
        <v>217</v>
      </c>
      <c r="H414" s="97" t="s">
        <v>211</v>
      </c>
      <c r="I414" s="99"/>
      <c r="J414" s="202">
        <f t="shared" si="79"/>
        <v>0</v>
      </c>
      <c r="K414" s="94">
        <f t="shared" si="83"/>
        <v>0</v>
      </c>
      <c r="L414" s="95" t="s">
        <v>15</v>
      </c>
      <c r="M414" s="27"/>
      <c r="N414" s="27"/>
      <c r="O414" s="18">
        <f t="shared" si="84"/>
        <v>0</v>
      </c>
      <c r="P414" s="18">
        <f t="shared" si="85"/>
        <v>0</v>
      </c>
      <c r="Q414" s="8">
        <f t="shared" si="86"/>
        <v>0</v>
      </c>
    </row>
    <row r="415" spans="1:17" ht="23.25" customHeight="1" x14ac:dyDescent="0.5">
      <c r="A415" s="77">
        <v>374</v>
      </c>
      <c r="B415" s="78" t="s">
        <v>196</v>
      </c>
      <c r="C415" s="100" t="s">
        <v>449</v>
      </c>
      <c r="D415" s="92" t="s">
        <v>47</v>
      </c>
      <c r="E415" s="93" t="s">
        <v>216</v>
      </c>
      <c r="F415" s="93"/>
      <c r="G415" s="93" t="s">
        <v>217</v>
      </c>
      <c r="H415" s="97" t="s">
        <v>211</v>
      </c>
      <c r="I415" s="99"/>
      <c r="J415" s="202">
        <f t="shared" si="79"/>
        <v>0</v>
      </c>
      <c r="K415" s="94">
        <f t="shared" si="83"/>
        <v>0</v>
      </c>
      <c r="L415" s="95" t="s">
        <v>15</v>
      </c>
      <c r="M415" s="27"/>
      <c r="N415" s="27"/>
      <c r="O415" s="18">
        <f t="shared" si="84"/>
        <v>0</v>
      </c>
      <c r="P415" s="18">
        <f t="shared" si="85"/>
        <v>0</v>
      </c>
      <c r="Q415" s="8">
        <f t="shared" si="86"/>
        <v>0</v>
      </c>
    </row>
    <row r="416" spans="1:17" ht="23.25" customHeight="1" x14ac:dyDescent="0.5">
      <c r="A416" s="77">
        <v>375</v>
      </c>
      <c r="B416" s="78" t="s">
        <v>196</v>
      </c>
      <c r="C416" s="100" t="s">
        <v>449</v>
      </c>
      <c r="D416" s="92" t="s">
        <v>207</v>
      </c>
      <c r="E416" s="93"/>
      <c r="F416" s="93"/>
      <c r="G416" s="93"/>
      <c r="H416" s="97"/>
      <c r="I416" s="99"/>
      <c r="J416" s="202">
        <f t="shared" si="79"/>
        <v>0</v>
      </c>
      <c r="K416" s="94">
        <f t="shared" si="83"/>
        <v>0</v>
      </c>
      <c r="L416" s="95" t="s">
        <v>15</v>
      </c>
      <c r="M416" s="27"/>
      <c r="N416" s="27"/>
      <c r="O416" s="18">
        <f t="shared" si="84"/>
        <v>0</v>
      </c>
      <c r="P416" s="18">
        <f t="shared" si="85"/>
        <v>0</v>
      </c>
      <c r="Q416" s="8">
        <f t="shared" si="86"/>
        <v>0</v>
      </c>
    </row>
    <row r="417" spans="1:17" ht="23.25" customHeight="1" x14ac:dyDescent="0.55000000000000004">
      <c r="A417" s="77">
        <v>376</v>
      </c>
      <c r="B417" s="78" t="s">
        <v>196</v>
      </c>
      <c r="C417" s="100" t="s">
        <v>450</v>
      </c>
      <c r="D417" s="106" t="s">
        <v>218</v>
      </c>
      <c r="E417" s="87"/>
      <c r="F417" s="87"/>
      <c r="G417" s="87"/>
      <c r="H417" s="107"/>
      <c r="I417" s="99"/>
      <c r="J417" s="203"/>
      <c r="K417" s="94">
        <f t="shared" si="83"/>
        <v>0</v>
      </c>
      <c r="L417" s="109"/>
      <c r="M417" s="37"/>
      <c r="N417" s="37"/>
      <c r="O417" s="19"/>
      <c r="P417" s="19"/>
      <c r="Q417" s="9"/>
    </row>
    <row r="418" spans="1:17" ht="23.25" customHeight="1" x14ac:dyDescent="0.5">
      <c r="A418" s="77">
        <v>377</v>
      </c>
      <c r="B418" s="78" t="s">
        <v>196</v>
      </c>
      <c r="C418" s="100" t="s">
        <v>450</v>
      </c>
      <c r="D418" s="92" t="s">
        <v>34</v>
      </c>
      <c r="E418" s="93" t="s">
        <v>219</v>
      </c>
      <c r="F418" s="93"/>
      <c r="G418" s="93" t="s">
        <v>220</v>
      </c>
      <c r="H418" s="97" t="s">
        <v>200</v>
      </c>
      <c r="I418" s="99"/>
      <c r="J418" s="202">
        <f t="shared" ref="J418:J426" si="87">I418</f>
        <v>0</v>
      </c>
      <c r="K418" s="94">
        <f t="shared" si="83"/>
        <v>0</v>
      </c>
      <c r="L418" s="95" t="s">
        <v>45</v>
      </c>
      <c r="M418" s="27"/>
      <c r="N418" s="27"/>
      <c r="O418" s="18">
        <f t="shared" ref="O418:O426" si="88">M418*J418</f>
        <v>0</v>
      </c>
      <c r="P418" s="18">
        <f t="shared" ref="P418:P426" si="89">N418*J418</f>
        <v>0</v>
      </c>
      <c r="Q418" s="8">
        <f t="shared" ref="Q418:Q426" si="90">(M418*J418)+(N418*J418)</f>
        <v>0</v>
      </c>
    </row>
    <row r="419" spans="1:17" ht="23.25" customHeight="1" x14ac:dyDescent="0.5">
      <c r="A419" s="77">
        <v>378</v>
      </c>
      <c r="B419" s="78" t="s">
        <v>196</v>
      </c>
      <c r="C419" s="100" t="s">
        <v>450</v>
      </c>
      <c r="D419" s="92" t="s">
        <v>112</v>
      </c>
      <c r="E419" s="93" t="s">
        <v>219</v>
      </c>
      <c r="F419" s="93"/>
      <c r="G419" s="93" t="s">
        <v>220</v>
      </c>
      <c r="H419" s="97" t="s">
        <v>200</v>
      </c>
      <c r="I419" s="99"/>
      <c r="J419" s="202">
        <f t="shared" si="87"/>
        <v>0</v>
      </c>
      <c r="K419" s="94">
        <f t="shared" si="83"/>
        <v>0</v>
      </c>
      <c r="L419" s="95" t="s">
        <v>15</v>
      </c>
      <c r="M419" s="27"/>
      <c r="N419" s="27"/>
      <c r="O419" s="18">
        <f t="shared" si="88"/>
        <v>0</v>
      </c>
      <c r="P419" s="18">
        <f t="shared" si="89"/>
        <v>0</v>
      </c>
      <c r="Q419" s="8">
        <f t="shared" si="90"/>
        <v>0</v>
      </c>
    </row>
    <row r="420" spans="1:17" ht="23.25" customHeight="1" x14ac:dyDescent="0.5">
      <c r="A420" s="77">
        <v>379</v>
      </c>
      <c r="B420" s="78" t="s">
        <v>196</v>
      </c>
      <c r="C420" s="100" t="s">
        <v>450</v>
      </c>
      <c r="D420" s="92" t="s">
        <v>47</v>
      </c>
      <c r="E420" s="93" t="s">
        <v>219</v>
      </c>
      <c r="F420" s="93"/>
      <c r="G420" s="93" t="s">
        <v>220</v>
      </c>
      <c r="H420" s="97" t="s">
        <v>200</v>
      </c>
      <c r="I420" s="99"/>
      <c r="J420" s="202">
        <f t="shared" si="87"/>
        <v>0</v>
      </c>
      <c r="K420" s="94">
        <f t="shared" si="83"/>
        <v>0</v>
      </c>
      <c r="L420" s="95" t="s">
        <v>15</v>
      </c>
      <c r="M420" s="27"/>
      <c r="N420" s="27"/>
      <c r="O420" s="18">
        <f t="shared" si="88"/>
        <v>0</v>
      </c>
      <c r="P420" s="18">
        <f t="shared" si="89"/>
        <v>0</v>
      </c>
      <c r="Q420" s="8">
        <f t="shared" si="90"/>
        <v>0</v>
      </c>
    </row>
    <row r="421" spans="1:17" ht="23.25" customHeight="1" x14ac:dyDescent="0.5">
      <c r="A421" s="77">
        <v>380</v>
      </c>
      <c r="B421" s="78" t="s">
        <v>196</v>
      </c>
      <c r="C421" s="100" t="s">
        <v>450</v>
      </c>
      <c r="D421" s="101" t="s">
        <v>34</v>
      </c>
      <c r="E421" s="97" t="s">
        <v>219</v>
      </c>
      <c r="F421" s="97"/>
      <c r="G421" s="97" t="s">
        <v>220</v>
      </c>
      <c r="H421" s="97" t="s">
        <v>210</v>
      </c>
      <c r="I421" s="99"/>
      <c r="J421" s="202">
        <f t="shared" si="87"/>
        <v>0</v>
      </c>
      <c r="K421" s="94">
        <f t="shared" si="83"/>
        <v>0</v>
      </c>
      <c r="L421" s="95" t="s">
        <v>45</v>
      </c>
      <c r="M421" s="27"/>
      <c r="N421" s="27"/>
      <c r="O421" s="18">
        <f t="shared" si="88"/>
        <v>0</v>
      </c>
      <c r="P421" s="18">
        <f t="shared" si="89"/>
        <v>0</v>
      </c>
      <c r="Q421" s="8">
        <f t="shared" si="90"/>
        <v>0</v>
      </c>
    </row>
    <row r="422" spans="1:17" ht="23.25" customHeight="1" x14ac:dyDescent="0.5">
      <c r="A422" s="77">
        <v>381</v>
      </c>
      <c r="B422" s="78" t="s">
        <v>196</v>
      </c>
      <c r="C422" s="100" t="s">
        <v>450</v>
      </c>
      <c r="D422" s="101" t="s">
        <v>112</v>
      </c>
      <c r="E422" s="97" t="s">
        <v>219</v>
      </c>
      <c r="F422" s="97"/>
      <c r="G422" s="97" t="s">
        <v>220</v>
      </c>
      <c r="H422" s="97" t="s">
        <v>210</v>
      </c>
      <c r="I422" s="99"/>
      <c r="J422" s="202">
        <f t="shared" si="87"/>
        <v>0</v>
      </c>
      <c r="K422" s="94">
        <f t="shared" si="83"/>
        <v>0</v>
      </c>
      <c r="L422" s="95" t="s">
        <v>15</v>
      </c>
      <c r="M422" s="21"/>
      <c r="N422" s="21"/>
      <c r="O422" s="18">
        <f t="shared" si="88"/>
        <v>0</v>
      </c>
      <c r="P422" s="18">
        <f t="shared" si="89"/>
        <v>0</v>
      </c>
      <c r="Q422" s="8">
        <f t="shared" si="90"/>
        <v>0</v>
      </c>
    </row>
    <row r="423" spans="1:17" ht="23.25" customHeight="1" x14ac:dyDescent="0.5">
      <c r="A423" s="77">
        <v>382</v>
      </c>
      <c r="B423" s="78" t="s">
        <v>196</v>
      </c>
      <c r="C423" s="100" t="s">
        <v>450</v>
      </c>
      <c r="D423" s="101" t="s">
        <v>47</v>
      </c>
      <c r="E423" s="97" t="s">
        <v>219</v>
      </c>
      <c r="F423" s="97"/>
      <c r="G423" s="97" t="s">
        <v>220</v>
      </c>
      <c r="H423" s="97" t="s">
        <v>210</v>
      </c>
      <c r="I423" s="99"/>
      <c r="J423" s="202">
        <f t="shared" si="87"/>
        <v>0</v>
      </c>
      <c r="K423" s="94">
        <f t="shared" si="83"/>
        <v>0</v>
      </c>
      <c r="L423" s="95" t="s">
        <v>15</v>
      </c>
      <c r="M423" s="21"/>
      <c r="N423" s="21"/>
      <c r="O423" s="18">
        <f t="shared" si="88"/>
        <v>0</v>
      </c>
      <c r="P423" s="18">
        <f t="shared" si="89"/>
        <v>0</v>
      </c>
      <c r="Q423" s="8">
        <f t="shared" si="90"/>
        <v>0</v>
      </c>
    </row>
    <row r="424" spans="1:17" ht="23.25" customHeight="1" x14ac:dyDescent="0.5">
      <c r="A424" s="77">
        <v>383</v>
      </c>
      <c r="B424" s="78" t="s">
        <v>196</v>
      </c>
      <c r="C424" s="100" t="s">
        <v>450</v>
      </c>
      <c r="D424" s="92" t="s">
        <v>34</v>
      </c>
      <c r="E424" s="93" t="s">
        <v>219</v>
      </c>
      <c r="F424" s="93"/>
      <c r="G424" s="93" t="s">
        <v>220</v>
      </c>
      <c r="H424" s="97" t="s">
        <v>211</v>
      </c>
      <c r="I424" s="99"/>
      <c r="J424" s="202">
        <f t="shared" si="87"/>
        <v>0</v>
      </c>
      <c r="K424" s="94">
        <f t="shared" si="83"/>
        <v>0</v>
      </c>
      <c r="L424" s="95" t="s">
        <v>45</v>
      </c>
      <c r="M424" s="27"/>
      <c r="N424" s="27"/>
      <c r="O424" s="18">
        <f t="shared" si="88"/>
        <v>0</v>
      </c>
      <c r="P424" s="18">
        <f t="shared" si="89"/>
        <v>0</v>
      </c>
      <c r="Q424" s="8">
        <f t="shared" si="90"/>
        <v>0</v>
      </c>
    </row>
    <row r="425" spans="1:17" ht="23.25" customHeight="1" x14ac:dyDescent="0.5">
      <c r="A425" s="77">
        <v>384</v>
      </c>
      <c r="B425" s="78" t="s">
        <v>196</v>
      </c>
      <c r="C425" s="100" t="s">
        <v>450</v>
      </c>
      <c r="D425" s="92" t="s">
        <v>112</v>
      </c>
      <c r="E425" s="93" t="s">
        <v>219</v>
      </c>
      <c r="F425" s="93"/>
      <c r="G425" s="93" t="s">
        <v>220</v>
      </c>
      <c r="H425" s="97" t="s">
        <v>211</v>
      </c>
      <c r="I425" s="99"/>
      <c r="J425" s="202">
        <f t="shared" si="87"/>
        <v>0</v>
      </c>
      <c r="K425" s="94">
        <f t="shared" si="83"/>
        <v>0</v>
      </c>
      <c r="L425" s="95" t="s">
        <v>15</v>
      </c>
      <c r="M425" s="27"/>
      <c r="N425" s="27"/>
      <c r="O425" s="18">
        <f t="shared" si="88"/>
        <v>0</v>
      </c>
      <c r="P425" s="18">
        <f t="shared" si="89"/>
        <v>0</v>
      </c>
      <c r="Q425" s="8">
        <f t="shared" si="90"/>
        <v>0</v>
      </c>
    </row>
    <row r="426" spans="1:17" ht="23.25" customHeight="1" x14ac:dyDescent="0.5">
      <c r="A426" s="77">
        <v>385</v>
      </c>
      <c r="B426" s="78" t="s">
        <v>196</v>
      </c>
      <c r="C426" s="100" t="s">
        <v>450</v>
      </c>
      <c r="D426" s="92" t="s">
        <v>47</v>
      </c>
      <c r="E426" s="93" t="s">
        <v>219</v>
      </c>
      <c r="F426" s="93"/>
      <c r="G426" s="93" t="s">
        <v>220</v>
      </c>
      <c r="H426" s="97" t="s">
        <v>211</v>
      </c>
      <c r="I426" s="99"/>
      <c r="J426" s="202">
        <f t="shared" si="87"/>
        <v>0</v>
      </c>
      <c r="K426" s="94">
        <f t="shared" si="83"/>
        <v>0</v>
      </c>
      <c r="L426" s="95" t="s">
        <v>15</v>
      </c>
      <c r="M426" s="27"/>
      <c r="N426" s="27"/>
      <c r="O426" s="18">
        <f t="shared" si="88"/>
        <v>0</v>
      </c>
      <c r="P426" s="18">
        <f t="shared" si="89"/>
        <v>0</v>
      </c>
      <c r="Q426" s="8">
        <f t="shared" si="90"/>
        <v>0</v>
      </c>
    </row>
    <row r="427" spans="1:17" ht="23.25" customHeight="1" x14ac:dyDescent="0.55000000000000004">
      <c r="A427" s="77">
        <v>386</v>
      </c>
      <c r="B427" s="78" t="s">
        <v>221</v>
      </c>
      <c r="C427" s="100" t="s">
        <v>221</v>
      </c>
      <c r="D427" s="80" t="s">
        <v>222</v>
      </c>
      <c r="E427" s="81"/>
      <c r="F427" s="81"/>
      <c r="G427" s="81"/>
      <c r="H427" s="82"/>
      <c r="I427" s="114"/>
      <c r="J427" s="200"/>
      <c r="K427" s="94">
        <f t="shared" si="83"/>
        <v>0</v>
      </c>
      <c r="L427" s="84"/>
      <c r="M427" s="33"/>
      <c r="N427" s="33"/>
      <c r="O427" s="26"/>
      <c r="P427" s="26"/>
      <c r="Q427" s="7"/>
    </row>
    <row r="428" spans="1:17" ht="23.25" customHeight="1" x14ac:dyDescent="0.5">
      <c r="A428" s="77">
        <v>387</v>
      </c>
      <c r="B428" s="78" t="s">
        <v>221</v>
      </c>
      <c r="C428" s="100" t="s">
        <v>221</v>
      </c>
      <c r="D428" s="92" t="s">
        <v>223</v>
      </c>
      <c r="E428" s="93" t="s">
        <v>224</v>
      </c>
      <c r="F428" s="93"/>
      <c r="G428" s="93" t="s">
        <v>225</v>
      </c>
      <c r="H428" s="97" t="s">
        <v>226</v>
      </c>
      <c r="I428" s="99"/>
      <c r="J428" s="202">
        <f t="shared" ref="J428:J438" si="91">I428</f>
        <v>0</v>
      </c>
      <c r="K428" s="94">
        <f t="shared" si="83"/>
        <v>0</v>
      </c>
      <c r="L428" s="95" t="s">
        <v>28</v>
      </c>
      <c r="M428" s="27"/>
      <c r="N428" s="27"/>
      <c r="O428" s="18">
        <f t="shared" ref="O428:O438" si="92">M428*J428</f>
        <v>0</v>
      </c>
      <c r="P428" s="18">
        <f t="shared" ref="P428:P438" si="93">N428*J428</f>
        <v>0</v>
      </c>
      <c r="Q428" s="8">
        <f t="shared" ref="Q428:Q438" si="94">(M428*J428)+(N428*J428)</f>
        <v>0</v>
      </c>
    </row>
    <row r="429" spans="1:17" ht="23.25" customHeight="1" x14ac:dyDescent="0.5">
      <c r="A429" s="77">
        <v>388</v>
      </c>
      <c r="B429" s="78" t="s">
        <v>221</v>
      </c>
      <c r="C429" s="100" t="s">
        <v>221</v>
      </c>
      <c r="D429" s="92" t="s">
        <v>223</v>
      </c>
      <c r="E429" s="93" t="s">
        <v>224</v>
      </c>
      <c r="F429" s="93"/>
      <c r="G429" s="93" t="s">
        <v>225</v>
      </c>
      <c r="H429" s="97" t="s">
        <v>227</v>
      </c>
      <c r="I429" s="99"/>
      <c r="J429" s="202">
        <f t="shared" si="91"/>
        <v>0</v>
      </c>
      <c r="K429" s="94">
        <f t="shared" si="83"/>
        <v>0</v>
      </c>
      <c r="L429" s="95" t="s">
        <v>28</v>
      </c>
      <c r="M429" s="27"/>
      <c r="N429" s="27"/>
      <c r="O429" s="18">
        <f t="shared" si="92"/>
        <v>0</v>
      </c>
      <c r="P429" s="18">
        <f t="shared" si="93"/>
        <v>0</v>
      </c>
      <c r="Q429" s="8">
        <f t="shared" si="94"/>
        <v>0</v>
      </c>
    </row>
    <row r="430" spans="1:17" ht="23.25" customHeight="1" x14ac:dyDescent="0.5">
      <c r="A430" s="77">
        <v>389</v>
      </c>
      <c r="B430" s="78" t="s">
        <v>221</v>
      </c>
      <c r="C430" s="100" t="s">
        <v>221</v>
      </c>
      <c r="D430" s="92" t="s">
        <v>73</v>
      </c>
      <c r="E430" s="93" t="s">
        <v>35</v>
      </c>
      <c r="F430" s="93"/>
      <c r="G430" s="93"/>
      <c r="H430" s="97"/>
      <c r="I430" s="99"/>
      <c r="J430" s="202">
        <f t="shared" si="91"/>
        <v>0</v>
      </c>
      <c r="K430" s="94">
        <f t="shared" si="83"/>
        <v>0</v>
      </c>
      <c r="L430" s="95" t="s">
        <v>15</v>
      </c>
      <c r="M430" s="27"/>
      <c r="N430" s="27"/>
      <c r="O430" s="18">
        <f t="shared" si="92"/>
        <v>0</v>
      </c>
      <c r="P430" s="18">
        <f t="shared" si="93"/>
        <v>0</v>
      </c>
      <c r="Q430" s="8">
        <f t="shared" si="94"/>
        <v>0</v>
      </c>
    </row>
    <row r="431" spans="1:17" ht="23.25" customHeight="1" x14ac:dyDescent="0.5">
      <c r="A431" s="77">
        <v>390</v>
      </c>
      <c r="B431" s="78" t="s">
        <v>221</v>
      </c>
      <c r="C431" s="100" t="s">
        <v>221</v>
      </c>
      <c r="D431" s="92" t="s">
        <v>201</v>
      </c>
      <c r="E431" s="93" t="s">
        <v>35</v>
      </c>
      <c r="F431" s="93"/>
      <c r="G431" s="93"/>
      <c r="H431" s="97"/>
      <c r="I431" s="99"/>
      <c r="J431" s="202">
        <f t="shared" si="91"/>
        <v>0</v>
      </c>
      <c r="K431" s="94">
        <f t="shared" si="83"/>
        <v>0</v>
      </c>
      <c r="L431" s="95" t="s">
        <v>15</v>
      </c>
      <c r="M431" s="27"/>
      <c r="N431" s="27"/>
      <c r="O431" s="18">
        <f t="shared" si="92"/>
        <v>0</v>
      </c>
      <c r="P431" s="18">
        <f t="shared" si="93"/>
        <v>0</v>
      </c>
      <c r="Q431" s="8">
        <f t="shared" si="94"/>
        <v>0</v>
      </c>
    </row>
    <row r="432" spans="1:17" ht="23.25" customHeight="1" x14ac:dyDescent="0.5">
      <c r="A432" s="77">
        <v>391</v>
      </c>
      <c r="B432" s="78" t="s">
        <v>221</v>
      </c>
      <c r="C432" s="100" t="s">
        <v>221</v>
      </c>
      <c r="D432" s="117" t="s">
        <v>228</v>
      </c>
      <c r="E432" s="118" t="s">
        <v>224</v>
      </c>
      <c r="F432" s="118"/>
      <c r="G432" s="118" t="s">
        <v>229</v>
      </c>
      <c r="H432" s="119" t="s">
        <v>226</v>
      </c>
      <c r="I432" s="99"/>
      <c r="J432" s="202">
        <f t="shared" si="91"/>
        <v>0</v>
      </c>
      <c r="K432" s="94">
        <f t="shared" si="83"/>
        <v>0</v>
      </c>
      <c r="L432" s="120" t="s">
        <v>28</v>
      </c>
      <c r="M432" s="27"/>
      <c r="N432" s="27"/>
      <c r="O432" s="18">
        <f t="shared" si="92"/>
        <v>0</v>
      </c>
      <c r="P432" s="18">
        <f t="shared" si="93"/>
        <v>0</v>
      </c>
      <c r="Q432" s="8">
        <f t="shared" si="94"/>
        <v>0</v>
      </c>
    </row>
    <row r="433" spans="1:17" ht="23.25" customHeight="1" x14ac:dyDescent="0.5">
      <c r="A433" s="77">
        <v>392</v>
      </c>
      <c r="B433" s="78" t="s">
        <v>221</v>
      </c>
      <c r="C433" s="100" t="s">
        <v>221</v>
      </c>
      <c r="D433" s="117" t="s">
        <v>228</v>
      </c>
      <c r="E433" s="118" t="s">
        <v>224</v>
      </c>
      <c r="F433" s="118"/>
      <c r="G433" s="118" t="s">
        <v>230</v>
      </c>
      <c r="H433" s="119" t="s">
        <v>227</v>
      </c>
      <c r="I433" s="99"/>
      <c r="J433" s="202">
        <f t="shared" si="91"/>
        <v>0</v>
      </c>
      <c r="K433" s="94">
        <f t="shared" si="83"/>
        <v>0</v>
      </c>
      <c r="L433" s="120" t="s">
        <v>28</v>
      </c>
      <c r="M433" s="27"/>
      <c r="N433" s="27"/>
      <c r="O433" s="18">
        <f t="shared" si="92"/>
        <v>0</v>
      </c>
      <c r="P433" s="18">
        <f t="shared" si="93"/>
        <v>0</v>
      </c>
      <c r="Q433" s="8">
        <f t="shared" si="94"/>
        <v>0</v>
      </c>
    </row>
    <row r="434" spans="1:17" ht="23.25" customHeight="1" x14ac:dyDescent="0.5">
      <c r="A434" s="77">
        <v>393</v>
      </c>
      <c r="B434" s="78" t="s">
        <v>221</v>
      </c>
      <c r="C434" s="100" t="s">
        <v>221</v>
      </c>
      <c r="D434" s="92" t="s">
        <v>231</v>
      </c>
      <c r="E434" s="93" t="s">
        <v>232</v>
      </c>
      <c r="F434" s="93"/>
      <c r="G434" s="93" t="s">
        <v>233</v>
      </c>
      <c r="H434" s="97" t="s">
        <v>234</v>
      </c>
      <c r="I434" s="99"/>
      <c r="J434" s="202">
        <f t="shared" si="91"/>
        <v>0</v>
      </c>
      <c r="K434" s="94">
        <f t="shared" si="83"/>
        <v>0</v>
      </c>
      <c r="L434" s="95" t="s">
        <v>28</v>
      </c>
      <c r="M434" s="27"/>
      <c r="N434" s="27"/>
      <c r="O434" s="18">
        <f t="shared" si="92"/>
        <v>0</v>
      </c>
      <c r="P434" s="18">
        <f t="shared" si="93"/>
        <v>0</v>
      </c>
      <c r="Q434" s="8">
        <f t="shared" si="94"/>
        <v>0</v>
      </c>
    </row>
    <row r="435" spans="1:17" ht="23.25" customHeight="1" x14ac:dyDescent="0.5">
      <c r="A435" s="77">
        <v>394</v>
      </c>
      <c r="B435" s="78" t="s">
        <v>221</v>
      </c>
      <c r="C435" s="100" t="s">
        <v>221</v>
      </c>
      <c r="D435" s="92" t="s">
        <v>231</v>
      </c>
      <c r="E435" s="93" t="s">
        <v>232</v>
      </c>
      <c r="F435" s="93"/>
      <c r="G435" s="93" t="s">
        <v>233</v>
      </c>
      <c r="H435" s="97" t="s">
        <v>227</v>
      </c>
      <c r="I435" s="99"/>
      <c r="J435" s="202">
        <f t="shared" si="91"/>
        <v>0</v>
      </c>
      <c r="K435" s="94">
        <f t="shared" si="83"/>
        <v>0</v>
      </c>
      <c r="L435" s="95" t="s">
        <v>28</v>
      </c>
      <c r="M435" s="27"/>
      <c r="N435" s="27"/>
      <c r="O435" s="18">
        <f t="shared" si="92"/>
        <v>0</v>
      </c>
      <c r="P435" s="18">
        <f t="shared" si="93"/>
        <v>0</v>
      </c>
      <c r="Q435" s="8">
        <f t="shared" si="94"/>
        <v>0</v>
      </c>
    </row>
    <row r="436" spans="1:17" ht="23.25" customHeight="1" x14ac:dyDescent="0.5">
      <c r="A436" s="77">
        <v>395</v>
      </c>
      <c r="B436" s="78" t="s">
        <v>221</v>
      </c>
      <c r="C436" s="100" t="s">
        <v>221</v>
      </c>
      <c r="D436" s="117" t="s">
        <v>235</v>
      </c>
      <c r="E436" s="118" t="s">
        <v>236</v>
      </c>
      <c r="F436" s="118"/>
      <c r="G436" s="118" t="s">
        <v>237</v>
      </c>
      <c r="H436" s="119" t="s">
        <v>238</v>
      </c>
      <c r="I436" s="99"/>
      <c r="J436" s="202">
        <f t="shared" si="91"/>
        <v>0</v>
      </c>
      <c r="K436" s="94">
        <f t="shared" si="83"/>
        <v>0</v>
      </c>
      <c r="L436" s="120" t="s">
        <v>28</v>
      </c>
      <c r="M436" s="27"/>
      <c r="N436" s="27"/>
      <c r="O436" s="18">
        <f t="shared" si="92"/>
        <v>0</v>
      </c>
      <c r="P436" s="18">
        <f t="shared" si="93"/>
        <v>0</v>
      </c>
      <c r="Q436" s="8">
        <f t="shared" si="94"/>
        <v>0</v>
      </c>
    </row>
    <row r="437" spans="1:17" ht="23.25" customHeight="1" x14ac:dyDescent="0.5">
      <c r="A437" s="77">
        <v>396</v>
      </c>
      <c r="B437" s="78" t="s">
        <v>221</v>
      </c>
      <c r="C437" s="100" t="s">
        <v>221</v>
      </c>
      <c r="D437" s="117" t="s">
        <v>239</v>
      </c>
      <c r="E437" s="118" t="s">
        <v>35</v>
      </c>
      <c r="F437" s="118"/>
      <c r="G437" s="118"/>
      <c r="H437" s="119"/>
      <c r="I437" s="99"/>
      <c r="J437" s="202">
        <f t="shared" si="91"/>
        <v>0</v>
      </c>
      <c r="K437" s="94">
        <f t="shared" si="83"/>
        <v>0</v>
      </c>
      <c r="L437" s="120" t="s">
        <v>15</v>
      </c>
      <c r="M437" s="27"/>
      <c r="N437" s="27"/>
      <c r="O437" s="18">
        <f t="shared" si="92"/>
        <v>0</v>
      </c>
      <c r="P437" s="18">
        <f t="shared" si="93"/>
        <v>0</v>
      </c>
      <c r="Q437" s="8">
        <f t="shared" si="94"/>
        <v>0</v>
      </c>
    </row>
    <row r="438" spans="1:17" ht="23.25" customHeight="1" x14ac:dyDescent="0.5">
      <c r="A438" s="77">
        <v>397</v>
      </c>
      <c r="B438" s="78" t="s">
        <v>221</v>
      </c>
      <c r="C438" s="100" t="s">
        <v>221</v>
      </c>
      <c r="D438" s="117" t="s">
        <v>207</v>
      </c>
      <c r="E438" s="118"/>
      <c r="F438" s="118"/>
      <c r="G438" s="118"/>
      <c r="H438" s="119"/>
      <c r="I438" s="99"/>
      <c r="J438" s="202">
        <f t="shared" si="91"/>
        <v>0</v>
      </c>
      <c r="K438" s="94">
        <f t="shared" si="83"/>
        <v>0</v>
      </c>
      <c r="L438" s="120" t="s">
        <v>15</v>
      </c>
      <c r="M438" s="27"/>
      <c r="N438" s="27"/>
      <c r="O438" s="18">
        <f t="shared" si="92"/>
        <v>0</v>
      </c>
      <c r="P438" s="18">
        <f t="shared" si="93"/>
        <v>0</v>
      </c>
      <c r="Q438" s="8">
        <f t="shared" si="94"/>
        <v>0</v>
      </c>
    </row>
    <row r="439" spans="1:17" ht="23.25" customHeight="1" x14ac:dyDescent="0.55000000000000004">
      <c r="A439" s="77">
        <v>398</v>
      </c>
      <c r="B439" s="78" t="s">
        <v>240</v>
      </c>
      <c r="C439" s="100" t="s">
        <v>240</v>
      </c>
      <c r="D439" s="80" t="s">
        <v>241</v>
      </c>
      <c r="E439" s="81"/>
      <c r="F439" s="81"/>
      <c r="G439" s="81"/>
      <c r="H439" s="82"/>
      <c r="I439" s="99"/>
      <c r="J439" s="200"/>
      <c r="K439" s="94">
        <f t="shared" si="83"/>
        <v>0</v>
      </c>
      <c r="L439" s="84"/>
      <c r="M439" s="33"/>
      <c r="N439" s="33"/>
      <c r="O439" s="26"/>
      <c r="P439" s="26"/>
      <c r="Q439" s="7"/>
    </row>
    <row r="440" spans="1:17" ht="23.25" customHeight="1" x14ac:dyDescent="0.5">
      <c r="A440" s="77">
        <v>399</v>
      </c>
      <c r="B440" s="78" t="s">
        <v>240</v>
      </c>
      <c r="C440" s="100" t="s">
        <v>240</v>
      </c>
      <c r="D440" s="121" t="s">
        <v>242</v>
      </c>
      <c r="E440" s="122" t="s">
        <v>243</v>
      </c>
      <c r="F440" s="122"/>
      <c r="G440" s="122" t="s">
        <v>244</v>
      </c>
      <c r="H440" s="123"/>
      <c r="I440" s="99"/>
      <c r="J440" s="202">
        <f t="shared" ref="J440:J445" si="95">I440</f>
        <v>0</v>
      </c>
      <c r="K440" s="94">
        <f t="shared" si="83"/>
        <v>0</v>
      </c>
      <c r="L440" s="120" t="s">
        <v>15</v>
      </c>
      <c r="M440" s="27"/>
      <c r="N440" s="27"/>
      <c r="O440" s="18">
        <f t="shared" ref="O440:O445" si="96">M440*J440</f>
        <v>0</v>
      </c>
      <c r="P440" s="18">
        <f t="shared" ref="P440:P445" si="97">N440*J440</f>
        <v>0</v>
      </c>
      <c r="Q440" s="8">
        <f t="shared" ref="Q440:Q445" si="98">(M440*J440)+(N440*J440)</f>
        <v>0</v>
      </c>
    </row>
    <row r="441" spans="1:17" ht="23.25" customHeight="1" x14ac:dyDescent="0.5">
      <c r="A441" s="77">
        <v>400</v>
      </c>
      <c r="B441" s="78" t="s">
        <v>240</v>
      </c>
      <c r="C441" s="100" t="s">
        <v>240</v>
      </c>
      <c r="D441" s="121" t="s">
        <v>245</v>
      </c>
      <c r="E441" s="122" t="s">
        <v>243</v>
      </c>
      <c r="F441" s="122"/>
      <c r="G441" s="122" t="s">
        <v>244</v>
      </c>
      <c r="H441" s="123"/>
      <c r="I441" s="99"/>
      <c r="J441" s="202">
        <f t="shared" si="95"/>
        <v>0</v>
      </c>
      <c r="K441" s="94">
        <f t="shared" si="83"/>
        <v>0</v>
      </c>
      <c r="L441" s="120" t="s">
        <v>15</v>
      </c>
      <c r="M441" s="27"/>
      <c r="N441" s="27"/>
      <c r="O441" s="18">
        <f t="shared" si="96"/>
        <v>0</v>
      </c>
      <c r="P441" s="18">
        <f t="shared" si="97"/>
        <v>0</v>
      </c>
      <c r="Q441" s="8">
        <f t="shared" si="98"/>
        <v>0</v>
      </c>
    </row>
    <row r="442" spans="1:17" ht="23.25" customHeight="1" x14ac:dyDescent="0.5">
      <c r="A442" s="77">
        <v>401</v>
      </c>
      <c r="B442" s="78" t="s">
        <v>240</v>
      </c>
      <c r="C442" s="100" t="s">
        <v>240</v>
      </c>
      <c r="D442" s="121" t="s">
        <v>246</v>
      </c>
      <c r="E442" s="122" t="s">
        <v>243</v>
      </c>
      <c r="F442" s="122"/>
      <c r="G442" s="122" t="s">
        <v>244</v>
      </c>
      <c r="H442" s="123"/>
      <c r="I442" s="99"/>
      <c r="J442" s="202">
        <f t="shared" si="95"/>
        <v>0</v>
      </c>
      <c r="K442" s="94">
        <f t="shared" si="83"/>
        <v>0</v>
      </c>
      <c r="L442" s="120" t="s">
        <v>15</v>
      </c>
      <c r="M442" s="27"/>
      <c r="N442" s="27"/>
      <c r="O442" s="18">
        <f t="shared" si="96"/>
        <v>0</v>
      </c>
      <c r="P442" s="18">
        <f t="shared" si="97"/>
        <v>0</v>
      </c>
      <c r="Q442" s="8">
        <f t="shared" si="98"/>
        <v>0</v>
      </c>
    </row>
    <row r="443" spans="1:17" ht="23.25" customHeight="1" x14ac:dyDescent="0.5">
      <c r="A443" s="77">
        <v>402</v>
      </c>
      <c r="B443" s="78" t="s">
        <v>240</v>
      </c>
      <c r="C443" s="100" t="s">
        <v>240</v>
      </c>
      <c r="D443" s="121" t="s">
        <v>247</v>
      </c>
      <c r="E443" s="122" t="s">
        <v>243</v>
      </c>
      <c r="F443" s="122"/>
      <c r="G443" s="122" t="s">
        <v>244</v>
      </c>
      <c r="H443" s="123"/>
      <c r="I443" s="99"/>
      <c r="J443" s="202">
        <f t="shared" si="95"/>
        <v>0</v>
      </c>
      <c r="K443" s="94">
        <f t="shared" si="83"/>
        <v>0</v>
      </c>
      <c r="L443" s="120" t="s">
        <v>15</v>
      </c>
      <c r="M443" s="27"/>
      <c r="N443" s="27"/>
      <c r="O443" s="18">
        <f t="shared" si="96"/>
        <v>0</v>
      </c>
      <c r="P443" s="18">
        <f t="shared" si="97"/>
        <v>0</v>
      </c>
      <c r="Q443" s="8">
        <f t="shared" si="98"/>
        <v>0</v>
      </c>
    </row>
    <row r="444" spans="1:17" ht="23.25" customHeight="1" x14ac:dyDescent="0.5">
      <c r="A444" s="77">
        <v>403</v>
      </c>
      <c r="B444" s="78" t="s">
        <v>240</v>
      </c>
      <c r="C444" s="100" t="s">
        <v>240</v>
      </c>
      <c r="D444" s="121" t="s">
        <v>248</v>
      </c>
      <c r="E444" s="122" t="s">
        <v>243</v>
      </c>
      <c r="F444" s="122"/>
      <c r="G444" s="122"/>
      <c r="H444" s="123"/>
      <c r="I444" s="99"/>
      <c r="J444" s="202">
        <f t="shared" si="95"/>
        <v>0</v>
      </c>
      <c r="K444" s="94">
        <f t="shared" si="83"/>
        <v>0</v>
      </c>
      <c r="L444" s="120" t="s">
        <v>15</v>
      </c>
      <c r="M444" s="27"/>
      <c r="N444" s="27"/>
      <c r="O444" s="18">
        <f t="shared" si="96"/>
        <v>0</v>
      </c>
      <c r="P444" s="18">
        <f t="shared" si="97"/>
        <v>0</v>
      </c>
      <c r="Q444" s="8">
        <f t="shared" si="98"/>
        <v>0</v>
      </c>
    </row>
    <row r="445" spans="1:17" ht="23.25" customHeight="1" x14ac:dyDescent="0.5">
      <c r="A445" s="77">
        <v>404</v>
      </c>
      <c r="B445" s="78" t="s">
        <v>240</v>
      </c>
      <c r="C445" s="100" t="s">
        <v>240</v>
      </c>
      <c r="D445" s="121" t="s">
        <v>249</v>
      </c>
      <c r="E445" s="122" t="s">
        <v>243</v>
      </c>
      <c r="F445" s="122"/>
      <c r="G445" s="122"/>
      <c r="H445" s="123"/>
      <c r="I445" s="99"/>
      <c r="J445" s="202">
        <f t="shared" si="95"/>
        <v>0</v>
      </c>
      <c r="K445" s="94">
        <f t="shared" si="83"/>
        <v>0</v>
      </c>
      <c r="L445" s="120" t="s">
        <v>15</v>
      </c>
      <c r="M445" s="27"/>
      <c r="N445" s="27"/>
      <c r="O445" s="18">
        <f t="shared" si="96"/>
        <v>0</v>
      </c>
      <c r="P445" s="18">
        <f t="shared" si="97"/>
        <v>0</v>
      </c>
      <c r="Q445" s="8">
        <f t="shared" si="98"/>
        <v>0</v>
      </c>
    </row>
    <row r="446" spans="1:17" ht="23.15" customHeight="1" x14ac:dyDescent="0.55000000000000004">
      <c r="A446" s="77">
        <v>405</v>
      </c>
      <c r="B446" s="78" t="s">
        <v>250</v>
      </c>
      <c r="C446" s="100" t="s">
        <v>250</v>
      </c>
      <c r="D446" s="80" t="s">
        <v>251</v>
      </c>
      <c r="E446" s="81"/>
      <c r="F446" s="81"/>
      <c r="G446" s="81"/>
      <c r="H446" s="82"/>
      <c r="I446" s="99"/>
      <c r="J446" s="200"/>
      <c r="K446" s="94">
        <f t="shared" si="83"/>
        <v>0</v>
      </c>
      <c r="L446" s="84"/>
      <c r="M446" s="33"/>
      <c r="N446" s="33"/>
      <c r="O446" s="26"/>
      <c r="P446" s="26"/>
      <c r="Q446" s="7"/>
    </row>
    <row r="447" spans="1:17" ht="23.25" customHeight="1" x14ac:dyDescent="0.5">
      <c r="A447" s="77">
        <v>406</v>
      </c>
      <c r="B447" s="78" t="s">
        <v>250</v>
      </c>
      <c r="C447" s="100" t="s">
        <v>250</v>
      </c>
      <c r="D447" s="124" t="s">
        <v>252</v>
      </c>
      <c r="E447" s="119"/>
      <c r="F447" s="119"/>
      <c r="G447" s="119"/>
      <c r="H447" s="122"/>
      <c r="I447" s="99"/>
      <c r="J447" s="202">
        <f t="shared" ref="J447:J471" si="99">I447</f>
        <v>0</v>
      </c>
      <c r="K447" s="94">
        <f t="shared" si="83"/>
        <v>0</v>
      </c>
      <c r="L447" s="120" t="s">
        <v>15</v>
      </c>
      <c r="M447" s="27"/>
      <c r="N447" s="27"/>
      <c r="O447" s="18">
        <f t="shared" ref="O447:O471" si="100">M447*J447</f>
        <v>0</v>
      </c>
      <c r="P447" s="18">
        <f t="shared" ref="P447:P471" si="101">N447*J447</f>
        <v>0</v>
      </c>
      <c r="Q447" s="8">
        <f t="shared" ref="Q447:Q471" si="102">(M447*J447)+(N447*J447)</f>
        <v>0</v>
      </c>
    </row>
    <row r="448" spans="1:17" ht="23.25" customHeight="1" x14ac:dyDescent="0.5">
      <c r="A448" s="77">
        <v>407</v>
      </c>
      <c r="B448" s="78" t="s">
        <v>250</v>
      </c>
      <c r="C448" s="100" t="s">
        <v>250</v>
      </c>
      <c r="D448" s="117" t="s">
        <v>253</v>
      </c>
      <c r="E448" s="118"/>
      <c r="F448" s="118"/>
      <c r="G448" s="118"/>
      <c r="H448" s="118"/>
      <c r="I448" s="99"/>
      <c r="J448" s="202">
        <f t="shared" si="99"/>
        <v>0</v>
      </c>
      <c r="K448" s="94">
        <f t="shared" si="83"/>
        <v>0</v>
      </c>
      <c r="L448" s="120" t="s">
        <v>15</v>
      </c>
      <c r="M448" s="28"/>
      <c r="N448" s="29"/>
      <c r="O448" s="18">
        <f t="shared" si="100"/>
        <v>0</v>
      </c>
      <c r="P448" s="18">
        <f t="shared" si="101"/>
        <v>0</v>
      </c>
      <c r="Q448" s="8">
        <f t="shared" si="102"/>
        <v>0</v>
      </c>
    </row>
    <row r="449" spans="1:18" ht="23.25" customHeight="1" x14ac:dyDescent="0.5">
      <c r="A449" s="77">
        <v>408</v>
      </c>
      <c r="B449" s="78" t="s">
        <v>250</v>
      </c>
      <c r="C449" s="100" t="s">
        <v>250</v>
      </c>
      <c r="D449" s="101" t="s">
        <v>254</v>
      </c>
      <c r="E449" s="97" t="s">
        <v>255</v>
      </c>
      <c r="F449" s="97"/>
      <c r="G449" s="97" t="s">
        <v>256</v>
      </c>
      <c r="H449" s="105"/>
      <c r="I449" s="99"/>
      <c r="J449" s="202">
        <f t="shared" si="99"/>
        <v>0</v>
      </c>
      <c r="K449" s="94">
        <f t="shared" si="83"/>
        <v>0</v>
      </c>
      <c r="L449" s="95" t="s">
        <v>45</v>
      </c>
      <c r="M449" s="27"/>
      <c r="N449" s="27"/>
      <c r="O449" s="18">
        <f t="shared" si="100"/>
        <v>0</v>
      </c>
      <c r="P449" s="18">
        <f t="shared" si="101"/>
        <v>0</v>
      </c>
      <c r="Q449" s="8">
        <f t="shared" si="102"/>
        <v>0</v>
      </c>
    </row>
    <row r="450" spans="1:18" ht="23.25" customHeight="1" x14ac:dyDescent="0.5">
      <c r="A450" s="77">
        <v>409</v>
      </c>
      <c r="B450" s="78" t="s">
        <v>250</v>
      </c>
      <c r="C450" s="100" t="s">
        <v>250</v>
      </c>
      <c r="D450" s="101" t="s">
        <v>254</v>
      </c>
      <c r="E450" s="97" t="s">
        <v>255</v>
      </c>
      <c r="F450" s="97"/>
      <c r="G450" s="97" t="s">
        <v>257</v>
      </c>
      <c r="H450" s="105"/>
      <c r="I450" s="99">
        <v>35</v>
      </c>
      <c r="J450" s="202">
        <v>35</v>
      </c>
      <c r="K450" s="94">
        <f t="shared" si="83"/>
        <v>0</v>
      </c>
      <c r="L450" s="95" t="s">
        <v>45</v>
      </c>
      <c r="M450" s="27"/>
      <c r="N450" s="27"/>
      <c r="O450" s="18">
        <f t="shared" si="100"/>
        <v>0</v>
      </c>
      <c r="P450" s="18">
        <f t="shared" si="101"/>
        <v>0</v>
      </c>
      <c r="Q450" s="8">
        <f t="shared" si="102"/>
        <v>0</v>
      </c>
    </row>
    <row r="451" spans="1:18" ht="23.25" customHeight="1" x14ac:dyDescent="0.5">
      <c r="A451" s="77">
        <v>410</v>
      </c>
      <c r="B451" s="78" t="s">
        <v>250</v>
      </c>
      <c r="C451" s="100" t="s">
        <v>250</v>
      </c>
      <c r="D451" s="101" t="s">
        <v>258</v>
      </c>
      <c r="E451" s="97" t="s">
        <v>259</v>
      </c>
      <c r="F451" s="97"/>
      <c r="G451" s="97" t="s">
        <v>183</v>
      </c>
      <c r="H451" s="105"/>
      <c r="I451" s="99">
        <v>4</v>
      </c>
      <c r="J451" s="202">
        <f t="shared" si="99"/>
        <v>4</v>
      </c>
      <c r="K451" s="94">
        <f t="shared" si="83"/>
        <v>0</v>
      </c>
      <c r="L451" s="95" t="s">
        <v>15</v>
      </c>
      <c r="M451" s="27"/>
      <c r="N451" s="27"/>
      <c r="O451" s="18">
        <f t="shared" si="100"/>
        <v>0</v>
      </c>
      <c r="P451" s="18">
        <f t="shared" si="101"/>
        <v>0</v>
      </c>
      <c r="Q451" s="8">
        <f t="shared" si="102"/>
        <v>0</v>
      </c>
    </row>
    <row r="452" spans="1:18" ht="23.25" customHeight="1" x14ac:dyDescent="0.5">
      <c r="A452" s="77">
        <v>411</v>
      </c>
      <c r="B452" s="78" t="s">
        <v>250</v>
      </c>
      <c r="C452" s="100" t="s">
        <v>250</v>
      </c>
      <c r="D452" s="92" t="s">
        <v>260</v>
      </c>
      <c r="E452" s="93" t="s">
        <v>261</v>
      </c>
      <c r="F452" s="93"/>
      <c r="G452" s="93"/>
      <c r="H452" s="93"/>
      <c r="I452" s="99"/>
      <c r="J452" s="202">
        <f t="shared" si="99"/>
        <v>0</v>
      </c>
      <c r="K452" s="94">
        <f t="shared" si="83"/>
        <v>0</v>
      </c>
      <c r="L452" s="95" t="s">
        <v>15</v>
      </c>
      <c r="M452" s="28"/>
      <c r="N452" s="29"/>
      <c r="O452" s="18">
        <f t="shared" si="100"/>
        <v>0</v>
      </c>
      <c r="P452" s="18">
        <f t="shared" si="101"/>
        <v>0</v>
      </c>
      <c r="Q452" s="8">
        <f t="shared" si="102"/>
        <v>0</v>
      </c>
    </row>
    <row r="453" spans="1:18" s="229" customFormat="1" ht="23.25" customHeight="1" x14ac:dyDescent="0.5">
      <c r="A453" s="216">
        <v>412</v>
      </c>
      <c r="B453" s="217" t="s">
        <v>250</v>
      </c>
      <c r="C453" s="218" t="s">
        <v>250</v>
      </c>
      <c r="D453" s="219" t="s">
        <v>262</v>
      </c>
      <c r="E453" s="220" t="s">
        <v>55</v>
      </c>
      <c r="F453" s="220"/>
      <c r="G453" s="220" t="s">
        <v>263</v>
      </c>
      <c r="H453" s="220" t="s">
        <v>264</v>
      </c>
      <c r="I453" s="221">
        <v>10</v>
      </c>
      <c r="J453" s="222">
        <v>19.899999999999999</v>
      </c>
      <c r="K453" s="223">
        <f t="shared" si="83"/>
        <v>9.8999999999999986</v>
      </c>
      <c r="L453" s="224" t="s">
        <v>45</v>
      </c>
      <c r="M453" s="225"/>
      <c r="N453" s="225"/>
      <c r="O453" s="226">
        <f t="shared" si="100"/>
        <v>0</v>
      </c>
      <c r="P453" s="226">
        <f t="shared" si="101"/>
        <v>0</v>
      </c>
      <c r="Q453" s="227">
        <f t="shared" si="102"/>
        <v>0</v>
      </c>
      <c r="R453" s="229" t="s">
        <v>567</v>
      </c>
    </row>
    <row r="454" spans="1:18" s="229" customFormat="1" ht="23.25" customHeight="1" x14ac:dyDescent="0.5">
      <c r="A454" s="216">
        <v>413</v>
      </c>
      <c r="B454" s="217" t="s">
        <v>250</v>
      </c>
      <c r="C454" s="218" t="s">
        <v>250</v>
      </c>
      <c r="D454" s="219" t="s">
        <v>262</v>
      </c>
      <c r="E454" s="220" t="s">
        <v>55</v>
      </c>
      <c r="F454" s="220"/>
      <c r="G454" s="220" t="s">
        <v>263</v>
      </c>
      <c r="H454" s="220" t="s">
        <v>265</v>
      </c>
      <c r="I454" s="221">
        <v>21</v>
      </c>
      <c r="J454" s="222">
        <v>26.9</v>
      </c>
      <c r="K454" s="223">
        <f t="shared" si="83"/>
        <v>5.8999999999999986</v>
      </c>
      <c r="L454" s="224" t="s">
        <v>45</v>
      </c>
      <c r="M454" s="225"/>
      <c r="N454" s="225"/>
      <c r="O454" s="226">
        <f t="shared" si="100"/>
        <v>0</v>
      </c>
      <c r="P454" s="226">
        <f t="shared" si="101"/>
        <v>0</v>
      </c>
      <c r="Q454" s="227">
        <f t="shared" si="102"/>
        <v>0</v>
      </c>
      <c r="R454" s="229" t="s">
        <v>568</v>
      </c>
    </row>
    <row r="455" spans="1:18" ht="23.25" customHeight="1" x14ac:dyDescent="0.5">
      <c r="A455" s="77">
        <v>414</v>
      </c>
      <c r="B455" s="78" t="s">
        <v>250</v>
      </c>
      <c r="C455" s="100" t="s">
        <v>250</v>
      </c>
      <c r="D455" s="101" t="s">
        <v>262</v>
      </c>
      <c r="E455" s="97" t="s">
        <v>55</v>
      </c>
      <c r="F455" s="97"/>
      <c r="G455" s="97" t="s">
        <v>263</v>
      </c>
      <c r="H455" s="97" t="s">
        <v>266</v>
      </c>
      <c r="I455" s="99"/>
      <c r="J455" s="202">
        <f t="shared" si="99"/>
        <v>0</v>
      </c>
      <c r="K455" s="94">
        <f t="shared" si="83"/>
        <v>0</v>
      </c>
      <c r="L455" s="95" t="s">
        <v>45</v>
      </c>
      <c r="M455" s="27"/>
      <c r="N455" s="27"/>
      <c r="O455" s="18">
        <f t="shared" si="100"/>
        <v>0</v>
      </c>
      <c r="P455" s="18">
        <f t="shared" si="101"/>
        <v>0</v>
      </c>
      <c r="Q455" s="8">
        <f t="shared" si="102"/>
        <v>0</v>
      </c>
    </row>
    <row r="456" spans="1:18" ht="23.25" customHeight="1" x14ac:dyDescent="0.5">
      <c r="A456" s="77">
        <v>415</v>
      </c>
      <c r="B456" s="78" t="s">
        <v>250</v>
      </c>
      <c r="C456" s="100" t="s">
        <v>250</v>
      </c>
      <c r="D456" s="101" t="s">
        <v>267</v>
      </c>
      <c r="E456" s="97" t="s">
        <v>268</v>
      </c>
      <c r="F456" s="97"/>
      <c r="G456" s="97" t="s">
        <v>269</v>
      </c>
      <c r="H456" s="97"/>
      <c r="I456" s="99"/>
      <c r="J456" s="202">
        <f t="shared" si="99"/>
        <v>0</v>
      </c>
      <c r="K456" s="94">
        <f t="shared" si="83"/>
        <v>0</v>
      </c>
      <c r="L456" s="95" t="s">
        <v>270</v>
      </c>
      <c r="M456" s="27"/>
      <c r="N456" s="27"/>
      <c r="O456" s="18">
        <f t="shared" si="100"/>
        <v>0</v>
      </c>
      <c r="P456" s="18">
        <f t="shared" si="101"/>
        <v>0</v>
      </c>
      <c r="Q456" s="8">
        <f t="shared" si="102"/>
        <v>0</v>
      </c>
    </row>
    <row r="457" spans="1:18" ht="23.25" customHeight="1" x14ac:dyDescent="0.5">
      <c r="A457" s="77">
        <v>416</v>
      </c>
      <c r="B457" s="78" t="s">
        <v>250</v>
      </c>
      <c r="C457" s="100" t="s">
        <v>250</v>
      </c>
      <c r="D457" s="101" t="s">
        <v>271</v>
      </c>
      <c r="E457" s="97" t="s">
        <v>55</v>
      </c>
      <c r="F457" s="97"/>
      <c r="G457" s="97" t="s">
        <v>272</v>
      </c>
      <c r="H457" s="97"/>
      <c r="I457" s="99"/>
      <c r="J457" s="202">
        <f t="shared" si="99"/>
        <v>0</v>
      </c>
      <c r="K457" s="94">
        <f t="shared" si="83"/>
        <v>0</v>
      </c>
      <c r="L457" s="95" t="s">
        <v>45</v>
      </c>
      <c r="M457" s="27"/>
      <c r="N457" s="27"/>
      <c r="O457" s="18">
        <f t="shared" si="100"/>
        <v>0</v>
      </c>
      <c r="P457" s="18">
        <f t="shared" si="101"/>
        <v>0</v>
      </c>
      <c r="Q457" s="8">
        <f t="shared" si="102"/>
        <v>0</v>
      </c>
    </row>
    <row r="458" spans="1:18" ht="23.25" customHeight="1" x14ac:dyDescent="0.5">
      <c r="A458" s="77">
        <v>417</v>
      </c>
      <c r="B458" s="78" t="s">
        <v>250</v>
      </c>
      <c r="C458" s="100" t="s">
        <v>250</v>
      </c>
      <c r="D458" s="101" t="s">
        <v>273</v>
      </c>
      <c r="E458" s="97" t="s">
        <v>274</v>
      </c>
      <c r="F458" s="97"/>
      <c r="G458" s="97"/>
      <c r="H458" s="97" t="s">
        <v>275</v>
      </c>
      <c r="I458" s="99"/>
      <c r="J458" s="202">
        <f t="shared" si="99"/>
        <v>0</v>
      </c>
      <c r="K458" s="94">
        <f t="shared" si="83"/>
        <v>0</v>
      </c>
      <c r="L458" s="95" t="s">
        <v>45</v>
      </c>
      <c r="M458" s="27"/>
      <c r="N458" s="27"/>
      <c r="O458" s="18">
        <f t="shared" si="100"/>
        <v>0</v>
      </c>
      <c r="P458" s="18">
        <f t="shared" si="101"/>
        <v>0</v>
      </c>
      <c r="Q458" s="8">
        <f t="shared" si="102"/>
        <v>0</v>
      </c>
    </row>
    <row r="459" spans="1:18" ht="23.25" customHeight="1" x14ac:dyDescent="0.5">
      <c r="A459" s="77">
        <v>418</v>
      </c>
      <c r="B459" s="78" t="s">
        <v>250</v>
      </c>
      <c r="C459" s="100" t="s">
        <v>250</v>
      </c>
      <c r="D459" s="101" t="s">
        <v>273</v>
      </c>
      <c r="E459" s="97" t="s">
        <v>274</v>
      </c>
      <c r="F459" s="97"/>
      <c r="G459" s="97"/>
      <c r="H459" s="97" t="s">
        <v>276</v>
      </c>
      <c r="I459" s="99"/>
      <c r="J459" s="202">
        <f t="shared" si="99"/>
        <v>0</v>
      </c>
      <c r="K459" s="94">
        <f t="shared" si="83"/>
        <v>0</v>
      </c>
      <c r="L459" s="95" t="s">
        <v>45</v>
      </c>
      <c r="M459" s="27"/>
      <c r="N459" s="27"/>
      <c r="O459" s="18">
        <f t="shared" si="100"/>
        <v>0</v>
      </c>
      <c r="P459" s="18">
        <f t="shared" si="101"/>
        <v>0</v>
      </c>
      <c r="Q459" s="8">
        <f t="shared" si="102"/>
        <v>0</v>
      </c>
    </row>
    <row r="460" spans="1:18" ht="23.25" customHeight="1" x14ac:dyDescent="0.5">
      <c r="A460" s="77">
        <v>419</v>
      </c>
      <c r="B460" s="78" t="s">
        <v>250</v>
      </c>
      <c r="C460" s="100" t="s">
        <v>250</v>
      </c>
      <c r="D460" s="101" t="s">
        <v>277</v>
      </c>
      <c r="E460" s="97" t="s">
        <v>116</v>
      </c>
      <c r="F460" s="97"/>
      <c r="G460" s="97"/>
      <c r="H460" s="97"/>
      <c r="I460" s="99"/>
      <c r="J460" s="202">
        <f t="shared" si="99"/>
        <v>0</v>
      </c>
      <c r="K460" s="94">
        <f t="shared" si="83"/>
        <v>0</v>
      </c>
      <c r="L460" s="95" t="s">
        <v>45</v>
      </c>
      <c r="M460" s="27"/>
      <c r="N460" s="27"/>
      <c r="O460" s="18">
        <f t="shared" si="100"/>
        <v>0</v>
      </c>
      <c r="P460" s="18">
        <f t="shared" si="101"/>
        <v>0</v>
      </c>
      <c r="Q460" s="8">
        <f t="shared" si="102"/>
        <v>0</v>
      </c>
    </row>
    <row r="461" spans="1:18" ht="23.25" customHeight="1" x14ac:dyDescent="0.5">
      <c r="A461" s="77">
        <v>420</v>
      </c>
      <c r="B461" s="78" t="s">
        <v>250</v>
      </c>
      <c r="C461" s="100" t="s">
        <v>250</v>
      </c>
      <c r="D461" s="101" t="s">
        <v>277</v>
      </c>
      <c r="E461" s="97" t="s">
        <v>35</v>
      </c>
      <c r="F461" s="97"/>
      <c r="G461" s="97"/>
      <c r="H461" s="97"/>
      <c r="I461" s="99"/>
      <c r="J461" s="202">
        <f t="shared" si="99"/>
        <v>0</v>
      </c>
      <c r="K461" s="94">
        <f t="shared" ref="K461:K524" si="103">+J461-I461</f>
        <v>0</v>
      </c>
      <c r="L461" s="95" t="s">
        <v>45</v>
      </c>
      <c r="M461" s="27"/>
      <c r="N461" s="27"/>
      <c r="O461" s="18">
        <f t="shared" si="100"/>
        <v>0</v>
      </c>
      <c r="P461" s="18">
        <f t="shared" si="101"/>
        <v>0</v>
      </c>
      <c r="Q461" s="8">
        <f t="shared" si="102"/>
        <v>0</v>
      </c>
    </row>
    <row r="462" spans="1:18" ht="23.25" customHeight="1" x14ac:dyDescent="0.5">
      <c r="A462" s="77">
        <v>421</v>
      </c>
      <c r="B462" s="78" t="s">
        <v>250</v>
      </c>
      <c r="C462" s="100" t="s">
        <v>250</v>
      </c>
      <c r="D462" s="101" t="s">
        <v>278</v>
      </c>
      <c r="E462" s="97"/>
      <c r="F462" s="97"/>
      <c r="G462" s="97" t="s">
        <v>102</v>
      </c>
      <c r="H462" s="97"/>
      <c r="I462" s="99"/>
      <c r="J462" s="202">
        <f t="shared" si="99"/>
        <v>0</v>
      </c>
      <c r="K462" s="94">
        <f t="shared" si="103"/>
        <v>0</v>
      </c>
      <c r="L462" s="95" t="s">
        <v>15</v>
      </c>
      <c r="M462" s="27"/>
      <c r="N462" s="27"/>
      <c r="O462" s="18">
        <f t="shared" si="100"/>
        <v>0</v>
      </c>
      <c r="P462" s="18">
        <f t="shared" si="101"/>
        <v>0</v>
      </c>
      <c r="Q462" s="8">
        <f t="shared" si="102"/>
        <v>0</v>
      </c>
    </row>
    <row r="463" spans="1:18" ht="23.25" customHeight="1" x14ac:dyDescent="0.5">
      <c r="A463" s="77">
        <v>422</v>
      </c>
      <c r="B463" s="78" t="s">
        <v>250</v>
      </c>
      <c r="C463" s="100" t="s">
        <v>250</v>
      </c>
      <c r="D463" s="101" t="s">
        <v>279</v>
      </c>
      <c r="E463" s="97"/>
      <c r="F463" s="97"/>
      <c r="G463" s="97" t="s">
        <v>280</v>
      </c>
      <c r="H463" s="97"/>
      <c r="I463" s="99">
        <v>32</v>
      </c>
      <c r="J463" s="202">
        <f t="shared" si="99"/>
        <v>32</v>
      </c>
      <c r="K463" s="94">
        <f t="shared" si="103"/>
        <v>0</v>
      </c>
      <c r="L463" s="95" t="s">
        <v>281</v>
      </c>
      <c r="M463" s="27"/>
      <c r="N463" s="27"/>
      <c r="O463" s="18">
        <f t="shared" si="100"/>
        <v>0</v>
      </c>
      <c r="P463" s="18">
        <f t="shared" si="101"/>
        <v>0</v>
      </c>
      <c r="Q463" s="8">
        <f t="shared" si="102"/>
        <v>0</v>
      </c>
    </row>
    <row r="464" spans="1:18" ht="23.25" customHeight="1" x14ac:dyDescent="0.5">
      <c r="A464" s="77">
        <v>423</v>
      </c>
      <c r="B464" s="78" t="s">
        <v>250</v>
      </c>
      <c r="C464" s="100" t="s">
        <v>250</v>
      </c>
      <c r="D464" s="101" t="s">
        <v>282</v>
      </c>
      <c r="E464" s="97" t="s">
        <v>35</v>
      </c>
      <c r="F464" s="97"/>
      <c r="G464" s="97"/>
      <c r="H464" s="97" t="s">
        <v>283</v>
      </c>
      <c r="I464" s="99"/>
      <c r="J464" s="202">
        <f t="shared" si="99"/>
        <v>0</v>
      </c>
      <c r="K464" s="94">
        <f t="shared" si="103"/>
        <v>0</v>
      </c>
      <c r="L464" s="95" t="s">
        <v>45</v>
      </c>
      <c r="M464" s="27"/>
      <c r="N464" s="27"/>
      <c r="O464" s="18">
        <f t="shared" si="100"/>
        <v>0</v>
      </c>
      <c r="P464" s="18">
        <f t="shared" si="101"/>
        <v>0</v>
      </c>
      <c r="Q464" s="8">
        <f t="shared" si="102"/>
        <v>0</v>
      </c>
    </row>
    <row r="465" spans="1:17" ht="23.25" customHeight="1" x14ac:dyDescent="0.5">
      <c r="A465" s="77">
        <v>424</v>
      </c>
      <c r="B465" s="78" t="s">
        <v>250</v>
      </c>
      <c r="C465" s="100" t="s">
        <v>250</v>
      </c>
      <c r="D465" s="103" t="s">
        <v>284</v>
      </c>
      <c r="E465" s="104" t="s">
        <v>285</v>
      </c>
      <c r="F465" s="104"/>
      <c r="G465" s="104"/>
      <c r="H465" s="105"/>
      <c r="I465" s="99"/>
      <c r="J465" s="202">
        <f t="shared" si="99"/>
        <v>0</v>
      </c>
      <c r="K465" s="94">
        <f t="shared" si="103"/>
        <v>0</v>
      </c>
      <c r="L465" s="95" t="s">
        <v>15</v>
      </c>
      <c r="M465" s="27"/>
      <c r="N465" s="27"/>
      <c r="O465" s="18">
        <f t="shared" si="100"/>
        <v>0</v>
      </c>
      <c r="P465" s="18">
        <f t="shared" si="101"/>
        <v>0</v>
      </c>
      <c r="Q465" s="8">
        <f t="shared" si="102"/>
        <v>0</v>
      </c>
    </row>
    <row r="466" spans="1:17" ht="23.25" customHeight="1" x14ac:dyDescent="0.5">
      <c r="A466" s="77">
        <v>425</v>
      </c>
      <c r="B466" s="78" t="s">
        <v>250</v>
      </c>
      <c r="C466" s="100" t="s">
        <v>250</v>
      </c>
      <c r="D466" s="103" t="s">
        <v>286</v>
      </c>
      <c r="E466" s="104"/>
      <c r="F466" s="104"/>
      <c r="G466" s="104"/>
      <c r="H466" s="105"/>
      <c r="I466" s="99"/>
      <c r="J466" s="202">
        <f t="shared" si="99"/>
        <v>0</v>
      </c>
      <c r="K466" s="94">
        <f t="shared" si="103"/>
        <v>0</v>
      </c>
      <c r="L466" s="95" t="s">
        <v>15</v>
      </c>
      <c r="M466" s="27"/>
      <c r="N466" s="27"/>
      <c r="O466" s="18">
        <f t="shared" si="100"/>
        <v>0</v>
      </c>
      <c r="P466" s="18">
        <f t="shared" si="101"/>
        <v>0</v>
      </c>
      <c r="Q466" s="8">
        <f t="shared" si="102"/>
        <v>0</v>
      </c>
    </row>
    <row r="467" spans="1:17" ht="23.25" customHeight="1" x14ac:dyDescent="0.5">
      <c r="A467" s="77">
        <v>426</v>
      </c>
      <c r="B467" s="78" t="s">
        <v>250</v>
      </c>
      <c r="C467" s="100" t="s">
        <v>250</v>
      </c>
      <c r="D467" s="103" t="s">
        <v>287</v>
      </c>
      <c r="E467" s="104" t="s">
        <v>35</v>
      </c>
      <c r="F467" s="104"/>
      <c r="G467" s="104"/>
      <c r="H467" s="105"/>
      <c r="I467" s="99"/>
      <c r="J467" s="202">
        <f t="shared" si="99"/>
        <v>0</v>
      </c>
      <c r="K467" s="94">
        <f t="shared" si="103"/>
        <v>0</v>
      </c>
      <c r="L467" s="95" t="s">
        <v>45</v>
      </c>
      <c r="M467" s="27"/>
      <c r="N467" s="27"/>
      <c r="O467" s="18">
        <f t="shared" si="100"/>
        <v>0</v>
      </c>
      <c r="P467" s="18">
        <f t="shared" si="101"/>
        <v>0</v>
      </c>
      <c r="Q467" s="8">
        <f t="shared" si="102"/>
        <v>0</v>
      </c>
    </row>
    <row r="468" spans="1:17" ht="23.25" customHeight="1" x14ac:dyDescent="0.5">
      <c r="A468" s="77">
        <v>427</v>
      </c>
      <c r="B468" s="78" t="s">
        <v>250</v>
      </c>
      <c r="C468" s="100" t="s">
        <v>250</v>
      </c>
      <c r="D468" s="103" t="s">
        <v>288</v>
      </c>
      <c r="E468" s="104"/>
      <c r="F468" s="104"/>
      <c r="G468" s="104"/>
      <c r="H468" s="105"/>
      <c r="I468" s="99"/>
      <c r="J468" s="202">
        <f t="shared" si="99"/>
        <v>0</v>
      </c>
      <c r="K468" s="94">
        <f t="shared" si="103"/>
        <v>0</v>
      </c>
      <c r="L468" s="95" t="s">
        <v>15</v>
      </c>
      <c r="M468" s="27"/>
      <c r="N468" s="27"/>
      <c r="O468" s="18">
        <f t="shared" si="100"/>
        <v>0</v>
      </c>
      <c r="P468" s="18">
        <f t="shared" si="101"/>
        <v>0</v>
      </c>
      <c r="Q468" s="8">
        <f t="shared" si="102"/>
        <v>0</v>
      </c>
    </row>
    <row r="469" spans="1:17" ht="23.25" customHeight="1" x14ac:dyDescent="0.5">
      <c r="A469" s="77">
        <v>428</v>
      </c>
      <c r="B469" s="78" t="s">
        <v>250</v>
      </c>
      <c r="C469" s="100" t="s">
        <v>250</v>
      </c>
      <c r="D469" s="101" t="s">
        <v>289</v>
      </c>
      <c r="E469" s="97"/>
      <c r="F469" s="97"/>
      <c r="G469" s="97"/>
      <c r="H469" s="97"/>
      <c r="I469" s="99">
        <v>50</v>
      </c>
      <c r="J469" s="202">
        <v>60</v>
      </c>
      <c r="K469" s="94">
        <f t="shared" si="103"/>
        <v>10</v>
      </c>
      <c r="L469" s="95" t="s">
        <v>52</v>
      </c>
      <c r="M469" s="27"/>
      <c r="N469" s="27"/>
      <c r="O469" s="18">
        <f t="shared" si="100"/>
        <v>0</v>
      </c>
      <c r="P469" s="18">
        <f t="shared" si="101"/>
        <v>0</v>
      </c>
      <c r="Q469" s="8">
        <f t="shared" si="102"/>
        <v>0</v>
      </c>
    </row>
    <row r="470" spans="1:17" ht="30" customHeight="1" x14ac:dyDescent="0.5">
      <c r="A470" s="77">
        <v>429</v>
      </c>
      <c r="B470" s="78" t="s">
        <v>250</v>
      </c>
      <c r="C470" s="100" t="s">
        <v>250</v>
      </c>
      <c r="D470" s="101" t="s">
        <v>290</v>
      </c>
      <c r="E470" s="97"/>
      <c r="F470" s="97"/>
      <c r="G470" s="97"/>
      <c r="H470" s="97"/>
      <c r="I470" s="99">
        <v>1</v>
      </c>
      <c r="J470" s="202">
        <f t="shared" si="99"/>
        <v>1</v>
      </c>
      <c r="K470" s="94">
        <f t="shared" si="103"/>
        <v>0</v>
      </c>
      <c r="L470" s="95" t="s">
        <v>15</v>
      </c>
      <c r="M470" s="27"/>
      <c r="N470" s="27"/>
      <c r="O470" s="18">
        <f t="shared" si="100"/>
        <v>0</v>
      </c>
      <c r="P470" s="18">
        <f t="shared" si="101"/>
        <v>0</v>
      </c>
      <c r="Q470" s="8">
        <f t="shared" si="102"/>
        <v>0</v>
      </c>
    </row>
    <row r="471" spans="1:17" ht="28" customHeight="1" x14ac:dyDescent="0.5">
      <c r="A471" s="77">
        <v>430</v>
      </c>
      <c r="B471" s="78" t="s">
        <v>250</v>
      </c>
      <c r="C471" s="100" t="s">
        <v>250</v>
      </c>
      <c r="D471" s="101" t="s">
        <v>291</v>
      </c>
      <c r="E471" s="97"/>
      <c r="F471" s="97"/>
      <c r="G471" s="97"/>
      <c r="H471" s="105"/>
      <c r="I471" s="99">
        <v>1</v>
      </c>
      <c r="J471" s="202">
        <f t="shared" si="99"/>
        <v>1</v>
      </c>
      <c r="K471" s="94">
        <f t="shared" si="103"/>
        <v>0</v>
      </c>
      <c r="L471" s="95" t="s">
        <v>15</v>
      </c>
      <c r="M471" s="27"/>
      <c r="N471" s="27"/>
      <c r="O471" s="18">
        <f t="shared" si="100"/>
        <v>0</v>
      </c>
      <c r="P471" s="18">
        <f t="shared" si="101"/>
        <v>0</v>
      </c>
      <c r="Q471" s="8">
        <f t="shared" si="102"/>
        <v>0</v>
      </c>
    </row>
    <row r="472" spans="1:17" ht="32.15" customHeight="1" thickBot="1" x14ac:dyDescent="0.4">
      <c r="A472" s="125"/>
      <c r="B472" s="126"/>
      <c r="C472" s="127"/>
      <c r="D472" s="177"/>
      <c r="E472" s="178"/>
      <c r="F472" s="178"/>
      <c r="G472" s="178"/>
      <c r="H472" s="179"/>
      <c r="I472" s="180"/>
      <c r="J472" s="179"/>
      <c r="K472" s="180"/>
      <c r="L472" s="181"/>
      <c r="M472" s="182"/>
      <c r="N472" s="182"/>
      <c r="O472" s="183"/>
      <c r="P472" s="183"/>
      <c r="Q472" s="184">
        <f>SUM(Q10:Q471)</f>
        <v>0</v>
      </c>
    </row>
    <row r="473" spans="1:17" ht="28" customHeight="1" thickBot="1" x14ac:dyDescent="0.4">
      <c r="A473" s="128"/>
      <c r="B473" s="129"/>
      <c r="C473" s="130"/>
      <c r="D473" s="131" t="s">
        <v>292</v>
      </c>
      <c r="E473" s="132"/>
      <c r="F473" s="132"/>
      <c r="G473" s="132"/>
      <c r="H473" s="132"/>
      <c r="I473" s="132"/>
      <c r="J473" s="132"/>
      <c r="K473" s="132"/>
      <c r="L473" s="133"/>
      <c r="M473" s="132"/>
      <c r="N473" s="132"/>
      <c r="O473" s="132"/>
      <c r="P473" s="132"/>
      <c r="Q473" s="134"/>
    </row>
    <row r="474" spans="1:17" ht="18" customHeight="1" x14ac:dyDescent="0.35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</row>
    <row r="475" spans="1:17" ht="26.5" customHeight="1" x14ac:dyDescent="0.3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</row>
    <row r="476" spans="1:17" ht="26.5" customHeight="1" x14ac:dyDescent="0.35">
      <c r="A476" s="135"/>
      <c r="B476" s="135"/>
      <c r="C476" s="272" t="s">
        <v>293</v>
      </c>
      <c r="D476" s="275" t="s">
        <v>294</v>
      </c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</row>
    <row r="477" spans="1:17" ht="26.5" customHeight="1" x14ac:dyDescent="0.35">
      <c r="A477" s="135"/>
      <c r="B477" s="135"/>
      <c r="C477" s="273"/>
      <c r="D477" s="276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</row>
    <row r="478" spans="1:17" ht="26.5" customHeight="1" x14ac:dyDescent="0.35">
      <c r="A478" s="135"/>
      <c r="B478" s="135"/>
      <c r="C478" s="274"/>
      <c r="D478" s="277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</row>
    <row r="479" spans="1:17" ht="23.5" customHeight="1" x14ac:dyDescent="0.35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</row>
    <row r="480" spans="1:17" ht="23.5" customHeight="1" thickBot="1" x14ac:dyDescent="0.4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</row>
    <row r="481" spans="1:17" ht="42" x14ac:dyDescent="0.5">
      <c r="A481" s="68" t="s">
        <v>6</v>
      </c>
      <c r="B481" s="69"/>
      <c r="C481" s="190" t="s">
        <v>7</v>
      </c>
      <c r="D481" s="185" t="s">
        <v>8</v>
      </c>
      <c r="E481" s="72" t="s">
        <v>9</v>
      </c>
      <c r="F481" s="72" t="s">
        <v>10</v>
      </c>
      <c r="G481" s="72" t="s">
        <v>11</v>
      </c>
      <c r="H481" s="72" t="s">
        <v>295</v>
      </c>
      <c r="I481" s="73" t="s">
        <v>13</v>
      </c>
      <c r="J481" s="199" t="s">
        <v>565</v>
      </c>
      <c r="K481" s="94" t="s">
        <v>566</v>
      </c>
      <c r="L481" s="73" t="s">
        <v>15</v>
      </c>
      <c r="M481" s="74"/>
      <c r="N481" s="74"/>
      <c r="O481" s="75"/>
      <c r="P481" s="75"/>
      <c r="Q481" s="76" t="s">
        <v>20</v>
      </c>
    </row>
    <row r="482" spans="1:17" ht="23.25" customHeight="1" x14ac:dyDescent="0.55000000000000004">
      <c r="A482" s="125">
        <v>1</v>
      </c>
      <c r="B482" s="126" t="s">
        <v>296</v>
      </c>
      <c r="C482" s="191" t="s">
        <v>297</v>
      </c>
      <c r="D482" s="186" t="s">
        <v>297</v>
      </c>
      <c r="E482" s="81"/>
      <c r="F482" s="81"/>
      <c r="G482" s="81"/>
      <c r="H482" s="82"/>
      <c r="I482" s="83"/>
      <c r="J482" s="200"/>
      <c r="K482" s="94">
        <f t="shared" si="103"/>
        <v>0</v>
      </c>
      <c r="L482" s="84"/>
      <c r="M482" s="6"/>
      <c r="N482" s="6"/>
      <c r="O482" s="12"/>
      <c r="P482" s="12"/>
      <c r="Q482" s="7"/>
    </row>
    <row r="483" spans="1:17" ht="21" x14ac:dyDescent="0.5">
      <c r="A483" s="125">
        <v>2</v>
      </c>
      <c r="B483" s="126" t="s">
        <v>296</v>
      </c>
      <c r="C483" s="191" t="s">
        <v>297</v>
      </c>
      <c r="D483" s="189" t="s">
        <v>298</v>
      </c>
      <c r="E483" s="119" t="s">
        <v>299</v>
      </c>
      <c r="F483" s="119"/>
      <c r="G483" s="119" t="s">
        <v>300</v>
      </c>
      <c r="H483" s="119"/>
      <c r="I483" s="123">
        <v>0</v>
      </c>
      <c r="J483" s="202">
        <v>0</v>
      </c>
      <c r="K483" s="94">
        <f t="shared" si="103"/>
        <v>0</v>
      </c>
      <c r="L483" s="120" t="s">
        <v>45</v>
      </c>
      <c r="M483" s="30"/>
      <c r="N483" s="30"/>
      <c r="O483" s="18">
        <f t="shared" ref="O483:O514" si="104">M483*J483</f>
        <v>0</v>
      </c>
      <c r="P483" s="18">
        <f t="shared" ref="P483:P514" si="105">N483*J483</f>
        <v>0</v>
      </c>
      <c r="Q483" s="8">
        <f t="shared" ref="Q483:Q514" si="106">(M483*J483)+(N483*J483)</f>
        <v>0</v>
      </c>
    </row>
    <row r="484" spans="1:17" ht="21" x14ac:dyDescent="0.5">
      <c r="A484" s="125">
        <v>3</v>
      </c>
      <c r="B484" s="126" t="s">
        <v>296</v>
      </c>
      <c r="C484" s="191" t="s">
        <v>297</v>
      </c>
      <c r="D484" s="189" t="s">
        <v>298</v>
      </c>
      <c r="E484" s="119" t="s">
        <v>299</v>
      </c>
      <c r="F484" s="119"/>
      <c r="G484" s="119" t="s">
        <v>301</v>
      </c>
      <c r="H484" s="119"/>
      <c r="I484" s="123">
        <v>0</v>
      </c>
      <c r="J484" s="202">
        <v>0</v>
      </c>
      <c r="K484" s="94">
        <f t="shared" si="103"/>
        <v>0</v>
      </c>
      <c r="L484" s="120" t="s">
        <v>45</v>
      </c>
      <c r="M484" s="30"/>
      <c r="N484" s="30"/>
      <c r="O484" s="18">
        <f t="shared" si="104"/>
        <v>0</v>
      </c>
      <c r="P484" s="18">
        <f t="shared" si="105"/>
        <v>0</v>
      </c>
      <c r="Q484" s="8">
        <f t="shared" si="106"/>
        <v>0</v>
      </c>
    </row>
    <row r="485" spans="1:17" ht="21" x14ac:dyDescent="0.5">
      <c r="A485" s="125">
        <v>4</v>
      </c>
      <c r="B485" s="126" t="s">
        <v>296</v>
      </c>
      <c r="C485" s="191" t="s">
        <v>297</v>
      </c>
      <c r="D485" s="189" t="s">
        <v>298</v>
      </c>
      <c r="E485" s="119" t="s">
        <v>299</v>
      </c>
      <c r="F485" s="119"/>
      <c r="G485" s="119" t="s">
        <v>302</v>
      </c>
      <c r="H485" s="119"/>
      <c r="I485" s="123">
        <v>0</v>
      </c>
      <c r="J485" s="202">
        <v>0</v>
      </c>
      <c r="K485" s="94">
        <f t="shared" si="103"/>
        <v>0</v>
      </c>
      <c r="L485" s="120" t="s">
        <v>45</v>
      </c>
      <c r="M485" s="30"/>
      <c r="N485" s="30"/>
      <c r="O485" s="18">
        <f t="shared" si="104"/>
        <v>0</v>
      </c>
      <c r="P485" s="18">
        <f t="shared" si="105"/>
        <v>0</v>
      </c>
      <c r="Q485" s="8">
        <f t="shared" si="106"/>
        <v>0</v>
      </c>
    </row>
    <row r="486" spans="1:17" ht="21" x14ac:dyDescent="0.5">
      <c r="A486" s="125">
        <v>5</v>
      </c>
      <c r="B486" s="126" t="s">
        <v>296</v>
      </c>
      <c r="C486" s="191" t="s">
        <v>297</v>
      </c>
      <c r="D486" s="189" t="s">
        <v>298</v>
      </c>
      <c r="E486" s="119" t="s">
        <v>299</v>
      </c>
      <c r="F486" s="119"/>
      <c r="G486" s="119" t="s">
        <v>303</v>
      </c>
      <c r="H486" s="119"/>
      <c r="I486" s="123">
        <v>0</v>
      </c>
      <c r="J486" s="202">
        <v>0</v>
      </c>
      <c r="K486" s="94">
        <f t="shared" si="103"/>
        <v>0</v>
      </c>
      <c r="L486" s="120" t="s">
        <v>45</v>
      </c>
      <c r="M486" s="30"/>
      <c r="N486" s="30"/>
      <c r="O486" s="18">
        <f t="shared" si="104"/>
        <v>0</v>
      </c>
      <c r="P486" s="18">
        <f t="shared" si="105"/>
        <v>0</v>
      </c>
      <c r="Q486" s="8">
        <f t="shared" si="106"/>
        <v>0</v>
      </c>
    </row>
    <row r="487" spans="1:17" ht="21" x14ac:dyDescent="0.5">
      <c r="A487" s="125">
        <v>6</v>
      </c>
      <c r="B487" s="126" t="s">
        <v>296</v>
      </c>
      <c r="C487" s="191" t="s">
        <v>297</v>
      </c>
      <c r="D487" s="189" t="s">
        <v>298</v>
      </c>
      <c r="E487" s="119" t="s">
        <v>299</v>
      </c>
      <c r="F487" s="119"/>
      <c r="G487" s="119" t="s">
        <v>304</v>
      </c>
      <c r="H487" s="119"/>
      <c r="I487" s="123">
        <v>0</v>
      </c>
      <c r="J487" s="202">
        <v>0</v>
      </c>
      <c r="K487" s="94">
        <f t="shared" si="103"/>
        <v>0</v>
      </c>
      <c r="L487" s="120" t="s">
        <v>45</v>
      </c>
      <c r="M487" s="30"/>
      <c r="N487" s="30"/>
      <c r="O487" s="18">
        <f t="shared" si="104"/>
        <v>0</v>
      </c>
      <c r="P487" s="18">
        <f t="shared" si="105"/>
        <v>0</v>
      </c>
      <c r="Q487" s="8">
        <f t="shared" si="106"/>
        <v>0</v>
      </c>
    </row>
    <row r="488" spans="1:17" ht="21" x14ac:dyDescent="0.5">
      <c r="A488" s="125">
        <v>7</v>
      </c>
      <c r="B488" s="126" t="s">
        <v>296</v>
      </c>
      <c r="C488" s="191" t="s">
        <v>297</v>
      </c>
      <c r="D488" s="189" t="s">
        <v>298</v>
      </c>
      <c r="E488" s="119" t="s">
        <v>299</v>
      </c>
      <c r="F488" s="119"/>
      <c r="G488" s="119" t="s">
        <v>305</v>
      </c>
      <c r="H488" s="119"/>
      <c r="I488" s="123">
        <v>156</v>
      </c>
      <c r="J488" s="202">
        <v>0</v>
      </c>
      <c r="K488" s="94">
        <f t="shared" si="103"/>
        <v>-156</v>
      </c>
      <c r="L488" s="120" t="s">
        <v>45</v>
      </c>
      <c r="M488" s="30"/>
      <c r="N488" s="30"/>
      <c r="O488" s="18">
        <f t="shared" si="104"/>
        <v>0</v>
      </c>
      <c r="P488" s="18">
        <f t="shared" si="105"/>
        <v>0</v>
      </c>
      <c r="Q488" s="8">
        <f t="shared" si="106"/>
        <v>0</v>
      </c>
    </row>
    <row r="489" spans="1:17" ht="21" x14ac:dyDescent="0.5">
      <c r="A489" s="125">
        <v>8</v>
      </c>
      <c r="B489" s="126" t="s">
        <v>296</v>
      </c>
      <c r="C489" s="191" t="s">
        <v>297</v>
      </c>
      <c r="D489" s="189" t="s">
        <v>298</v>
      </c>
      <c r="E489" s="119" t="s">
        <v>299</v>
      </c>
      <c r="F489" s="119"/>
      <c r="G489" s="119" t="s">
        <v>306</v>
      </c>
      <c r="H489" s="119"/>
      <c r="I489" s="123">
        <v>112</v>
      </c>
      <c r="J489" s="202">
        <v>144</v>
      </c>
      <c r="K489" s="94">
        <f t="shared" si="103"/>
        <v>32</v>
      </c>
      <c r="L489" s="120" t="s">
        <v>45</v>
      </c>
      <c r="M489" s="30"/>
      <c r="N489" s="30"/>
      <c r="O489" s="18">
        <f t="shared" si="104"/>
        <v>0</v>
      </c>
      <c r="P489" s="18">
        <f t="shared" si="105"/>
        <v>0</v>
      </c>
      <c r="Q489" s="8">
        <f t="shared" si="106"/>
        <v>0</v>
      </c>
    </row>
    <row r="490" spans="1:17" ht="21" x14ac:dyDescent="0.5">
      <c r="A490" s="125">
        <v>9</v>
      </c>
      <c r="B490" s="126" t="s">
        <v>296</v>
      </c>
      <c r="C490" s="191" t="s">
        <v>297</v>
      </c>
      <c r="D490" s="189" t="s">
        <v>298</v>
      </c>
      <c r="E490" s="119" t="s">
        <v>299</v>
      </c>
      <c r="F490" s="119"/>
      <c r="G490" s="119" t="s">
        <v>307</v>
      </c>
      <c r="H490" s="119"/>
      <c r="I490" s="123">
        <v>39</v>
      </c>
      <c r="J490" s="202">
        <v>0</v>
      </c>
      <c r="K490" s="94">
        <f t="shared" si="103"/>
        <v>-39</v>
      </c>
      <c r="L490" s="120" t="s">
        <v>45</v>
      </c>
      <c r="M490" s="30"/>
      <c r="N490" s="30"/>
      <c r="O490" s="18">
        <f t="shared" si="104"/>
        <v>0</v>
      </c>
      <c r="P490" s="18">
        <f t="shared" si="105"/>
        <v>0</v>
      </c>
      <c r="Q490" s="8">
        <f t="shared" si="106"/>
        <v>0</v>
      </c>
    </row>
    <row r="491" spans="1:17" ht="21" x14ac:dyDescent="0.5">
      <c r="A491" s="125">
        <v>10</v>
      </c>
      <c r="B491" s="126" t="s">
        <v>296</v>
      </c>
      <c r="C491" s="191" t="s">
        <v>297</v>
      </c>
      <c r="D491" s="189" t="s">
        <v>298</v>
      </c>
      <c r="E491" s="119" t="s">
        <v>299</v>
      </c>
      <c r="F491" s="119"/>
      <c r="G491" s="119" t="s">
        <v>308</v>
      </c>
      <c r="H491" s="119"/>
      <c r="I491" s="123">
        <v>32</v>
      </c>
      <c r="J491" s="202">
        <v>0</v>
      </c>
      <c r="K491" s="94">
        <f t="shared" si="103"/>
        <v>-32</v>
      </c>
      <c r="L491" s="120" t="s">
        <v>45</v>
      </c>
      <c r="M491" s="30"/>
      <c r="N491" s="30"/>
      <c r="O491" s="18">
        <f t="shared" si="104"/>
        <v>0</v>
      </c>
      <c r="P491" s="18">
        <f t="shared" si="105"/>
        <v>0</v>
      </c>
      <c r="Q491" s="8">
        <f t="shared" si="106"/>
        <v>0</v>
      </c>
    </row>
    <row r="492" spans="1:17" ht="21" x14ac:dyDescent="0.5">
      <c r="A492" s="125">
        <v>11</v>
      </c>
      <c r="B492" s="126" t="s">
        <v>296</v>
      </c>
      <c r="C492" s="191" t="s">
        <v>297</v>
      </c>
      <c r="D492" s="189" t="s">
        <v>298</v>
      </c>
      <c r="E492" s="119" t="s">
        <v>299</v>
      </c>
      <c r="F492" s="119"/>
      <c r="G492" s="119" t="s">
        <v>309</v>
      </c>
      <c r="H492" s="119"/>
      <c r="I492" s="123">
        <v>0</v>
      </c>
      <c r="J492" s="202">
        <v>0</v>
      </c>
      <c r="K492" s="94">
        <f t="shared" si="103"/>
        <v>0</v>
      </c>
      <c r="L492" s="120" t="s">
        <v>45</v>
      </c>
      <c r="M492" s="30"/>
      <c r="N492" s="30"/>
      <c r="O492" s="18">
        <f t="shared" si="104"/>
        <v>0</v>
      </c>
      <c r="P492" s="18">
        <f t="shared" si="105"/>
        <v>0</v>
      </c>
      <c r="Q492" s="8">
        <f t="shared" si="106"/>
        <v>0</v>
      </c>
    </row>
    <row r="493" spans="1:17" ht="21" x14ac:dyDescent="0.5">
      <c r="A493" s="125">
        <v>12</v>
      </c>
      <c r="B493" s="126" t="s">
        <v>296</v>
      </c>
      <c r="C493" s="191" t="s">
        <v>297</v>
      </c>
      <c r="D493" s="189" t="s">
        <v>298</v>
      </c>
      <c r="E493" s="119" t="s">
        <v>299</v>
      </c>
      <c r="F493" s="119"/>
      <c r="G493" s="119" t="s">
        <v>310</v>
      </c>
      <c r="H493" s="119"/>
      <c r="I493" s="123">
        <v>0</v>
      </c>
      <c r="J493" s="202">
        <v>0</v>
      </c>
      <c r="K493" s="94">
        <f t="shared" si="103"/>
        <v>0</v>
      </c>
      <c r="L493" s="120" t="s">
        <v>45</v>
      </c>
      <c r="M493" s="30"/>
      <c r="N493" s="30"/>
      <c r="O493" s="18">
        <f t="shared" si="104"/>
        <v>0</v>
      </c>
      <c r="P493" s="18">
        <f t="shared" si="105"/>
        <v>0</v>
      </c>
      <c r="Q493" s="8">
        <f t="shared" si="106"/>
        <v>0</v>
      </c>
    </row>
    <row r="494" spans="1:17" ht="21" x14ac:dyDescent="0.5">
      <c r="A494" s="125">
        <v>13</v>
      </c>
      <c r="B494" s="126" t="s">
        <v>296</v>
      </c>
      <c r="C494" s="191" t="s">
        <v>297</v>
      </c>
      <c r="D494" s="189" t="s">
        <v>298</v>
      </c>
      <c r="E494" s="119" t="s">
        <v>299</v>
      </c>
      <c r="F494" s="119"/>
      <c r="G494" s="119" t="s">
        <v>311</v>
      </c>
      <c r="H494" s="119"/>
      <c r="I494" s="123">
        <v>0</v>
      </c>
      <c r="J494" s="202">
        <v>0</v>
      </c>
      <c r="K494" s="94">
        <f t="shared" si="103"/>
        <v>0</v>
      </c>
      <c r="L494" s="120" t="s">
        <v>45</v>
      </c>
      <c r="M494" s="30"/>
      <c r="N494" s="30"/>
      <c r="O494" s="18">
        <f t="shared" si="104"/>
        <v>0</v>
      </c>
      <c r="P494" s="18">
        <f t="shared" si="105"/>
        <v>0</v>
      </c>
      <c r="Q494" s="8">
        <f t="shared" si="106"/>
        <v>0</v>
      </c>
    </row>
    <row r="495" spans="1:17" ht="21" x14ac:dyDescent="0.5">
      <c r="A495" s="125">
        <v>14</v>
      </c>
      <c r="B495" s="126" t="s">
        <v>296</v>
      </c>
      <c r="C495" s="191" t="s">
        <v>297</v>
      </c>
      <c r="D495" s="189" t="s">
        <v>298</v>
      </c>
      <c r="E495" s="119" t="s">
        <v>299</v>
      </c>
      <c r="F495" s="119"/>
      <c r="G495" s="119" t="s">
        <v>312</v>
      </c>
      <c r="H495" s="119"/>
      <c r="I495" s="123">
        <v>0</v>
      </c>
      <c r="J495" s="202">
        <v>0</v>
      </c>
      <c r="K495" s="94">
        <f t="shared" si="103"/>
        <v>0</v>
      </c>
      <c r="L495" s="120" t="s">
        <v>45</v>
      </c>
      <c r="M495" s="30"/>
      <c r="N495" s="30"/>
      <c r="O495" s="18">
        <f t="shared" si="104"/>
        <v>0</v>
      </c>
      <c r="P495" s="18">
        <f t="shared" si="105"/>
        <v>0</v>
      </c>
      <c r="Q495" s="8">
        <f t="shared" si="106"/>
        <v>0</v>
      </c>
    </row>
    <row r="496" spans="1:17" ht="21" x14ac:dyDescent="0.5">
      <c r="A496" s="125">
        <v>15</v>
      </c>
      <c r="B496" s="126" t="s">
        <v>296</v>
      </c>
      <c r="C496" s="191" t="s">
        <v>297</v>
      </c>
      <c r="D496" s="189" t="s">
        <v>298</v>
      </c>
      <c r="E496" s="119" t="s">
        <v>299</v>
      </c>
      <c r="F496" s="119"/>
      <c r="G496" s="119" t="s">
        <v>313</v>
      </c>
      <c r="H496" s="119"/>
      <c r="I496" s="123">
        <v>0</v>
      </c>
      <c r="J496" s="202">
        <v>0</v>
      </c>
      <c r="K496" s="94">
        <f t="shared" si="103"/>
        <v>0</v>
      </c>
      <c r="L496" s="120" t="s">
        <v>45</v>
      </c>
      <c r="M496" s="30"/>
      <c r="N496" s="30"/>
      <c r="O496" s="18">
        <f t="shared" si="104"/>
        <v>0</v>
      </c>
      <c r="P496" s="18">
        <f t="shared" si="105"/>
        <v>0</v>
      </c>
      <c r="Q496" s="8">
        <f t="shared" si="106"/>
        <v>0</v>
      </c>
    </row>
    <row r="497" spans="1:17" ht="21" x14ac:dyDescent="0.5">
      <c r="A497" s="125">
        <v>16</v>
      </c>
      <c r="B497" s="126" t="s">
        <v>296</v>
      </c>
      <c r="C497" s="191" t="s">
        <v>297</v>
      </c>
      <c r="D497" s="189" t="s">
        <v>298</v>
      </c>
      <c r="E497" s="119" t="s">
        <v>299</v>
      </c>
      <c r="F497" s="119"/>
      <c r="G497" s="119" t="s">
        <v>314</v>
      </c>
      <c r="H497" s="119"/>
      <c r="I497" s="123">
        <v>0</v>
      </c>
      <c r="J497" s="202">
        <v>0</v>
      </c>
      <c r="K497" s="94">
        <f t="shared" si="103"/>
        <v>0</v>
      </c>
      <c r="L497" s="120" t="s">
        <v>45</v>
      </c>
      <c r="M497" s="30"/>
      <c r="N497" s="30"/>
      <c r="O497" s="18">
        <f t="shared" si="104"/>
        <v>0</v>
      </c>
      <c r="P497" s="18">
        <f t="shared" si="105"/>
        <v>0</v>
      </c>
      <c r="Q497" s="8">
        <f t="shared" si="106"/>
        <v>0</v>
      </c>
    </row>
    <row r="498" spans="1:17" ht="21" x14ac:dyDescent="0.5">
      <c r="A498" s="125">
        <v>17</v>
      </c>
      <c r="B498" s="126" t="s">
        <v>296</v>
      </c>
      <c r="C498" s="191" t="s">
        <v>297</v>
      </c>
      <c r="D498" s="189" t="s">
        <v>298</v>
      </c>
      <c r="E498" s="119" t="s">
        <v>299</v>
      </c>
      <c r="F498" s="119"/>
      <c r="G498" s="119" t="s">
        <v>315</v>
      </c>
      <c r="H498" s="119"/>
      <c r="I498" s="123">
        <v>0</v>
      </c>
      <c r="J498" s="202">
        <v>0</v>
      </c>
      <c r="K498" s="94">
        <f t="shared" si="103"/>
        <v>0</v>
      </c>
      <c r="L498" s="120" t="s">
        <v>45</v>
      </c>
      <c r="M498" s="30"/>
      <c r="N498" s="30"/>
      <c r="O498" s="18">
        <f t="shared" si="104"/>
        <v>0</v>
      </c>
      <c r="P498" s="18">
        <f t="shared" si="105"/>
        <v>0</v>
      </c>
      <c r="Q498" s="8">
        <f t="shared" si="106"/>
        <v>0</v>
      </c>
    </row>
    <row r="499" spans="1:17" ht="21" x14ac:dyDescent="0.5">
      <c r="A499" s="125">
        <v>18</v>
      </c>
      <c r="B499" s="126" t="s">
        <v>296</v>
      </c>
      <c r="C499" s="191" t="s">
        <v>297</v>
      </c>
      <c r="D499" s="189" t="s">
        <v>298</v>
      </c>
      <c r="E499" s="119" t="s">
        <v>299</v>
      </c>
      <c r="F499" s="119"/>
      <c r="G499" s="119" t="s">
        <v>316</v>
      </c>
      <c r="H499" s="119"/>
      <c r="I499" s="123">
        <v>0</v>
      </c>
      <c r="J499" s="202">
        <v>0</v>
      </c>
      <c r="K499" s="94">
        <f t="shared" si="103"/>
        <v>0</v>
      </c>
      <c r="L499" s="120" t="s">
        <v>45</v>
      </c>
      <c r="M499" s="30"/>
      <c r="N499" s="30"/>
      <c r="O499" s="18">
        <f t="shared" si="104"/>
        <v>0</v>
      </c>
      <c r="P499" s="18">
        <f t="shared" si="105"/>
        <v>0</v>
      </c>
      <c r="Q499" s="8">
        <f t="shared" si="106"/>
        <v>0</v>
      </c>
    </row>
    <row r="500" spans="1:17" ht="21" x14ac:dyDescent="0.5">
      <c r="A500" s="125">
        <v>19</v>
      </c>
      <c r="B500" s="126" t="s">
        <v>296</v>
      </c>
      <c r="C500" s="191" t="s">
        <v>297</v>
      </c>
      <c r="D500" s="189" t="s">
        <v>298</v>
      </c>
      <c r="E500" s="119" t="s">
        <v>299</v>
      </c>
      <c r="F500" s="119"/>
      <c r="G500" s="119" t="s">
        <v>317</v>
      </c>
      <c r="H500" s="119"/>
      <c r="I500" s="123">
        <v>0</v>
      </c>
      <c r="J500" s="202">
        <v>5</v>
      </c>
      <c r="K500" s="94">
        <f t="shared" si="103"/>
        <v>5</v>
      </c>
      <c r="L500" s="120" t="s">
        <v>45</v>
      </c>
      <c r="M500" s="30"/>
      <c r="N500" s="30"/>
      <c r="O500" s="18">
        <f t="shared" si="104"/>
        <v>0</v>
      </c>
      <c r="P500" s="18">
        <f t="shared" si="105"/>
        <v>0</v>
      </c>
      <c r="Q500" s="8">
        <f t="shared" si="106"/>
        <v>0</v>
      </c>
    </row>
    <row r="501" spans="1:17" ht="21" x14ac:dyDescent="0.5">
      <c r="A501" s="125">
        <v>20</v>
      </c>
      <c r="B501" s="126" t="s">
        <v>296</v>
      </c>
      <c r="C501" s="191" t="s">
        <v>297</v>
      </c>
      <c r="D501" s="189" t="s">
        <v>298</v>
      </c>
      <c r="E501" s="119" t="s">
        <v>299</v>
      </c>
      <c r="F501" s="119"/>
      <c r="G501" s="119" t="s">
        <v>318</v>
      </c>
      <c r="H501" s="119"/>
      <c r="I501" s="123">
        <v>0</v>
      </c>
      <c r="J501" s="202">
        <v>20</v>
      </c>
      <c r="K501" s="94">
        <f t="shared" si="103"/>
        <v>20</v>
      </c>
      <c r="L501" s="120" t="s">
        <v>45</v>
      </c>
      <c r="M501" s="30"/>
      <c r="N501" s="30"/>
      <c r="O501" s="18">
        <f t="shared" si="104"/>
        <v>0</v>
      </c>
      <c r="P501" s="18">
        <f t="shared" si="105"/>
        <v>0</v>
      </c>
      <c r="Q501" s="8">
        <f t="shared" si="106"/>
        <v>0</v>
      </c>
    </row>
    <row r="502" spans="1:17" ht="21" x14ac:dyDescent="0.5">
      <c r="A502" s="125">
        <v>21</v>
      </c>
      <c r="B502" s="126" t="s">
        <v>296</v>
      </c>
      <c r="C502" s="191" t="s">
        <v>297</v>
      </c>
      <c r="D502" s="189" t="s">
        <v>298</v>
      </c>
      <c r="E502" s="119" t="s">
        <v>299</v>
      </c>
      <c r="F502" s="119"/>
      <c r="G502" s="119" t="s">
        <v>319</v>
      </c>
      <c r="H502" s="119"/>
      <c r="I502" s="123">
        <v>0</v>
      </c>
      <c r="J502" s="202">
        <v>0</v>
      </c>
      <c r="K502" s="94">
        <f t="shared" si="103"/>
        <v>0</v>
      </c>
      <c r="L502" s="120" t="s">
        <v>45</v>
      </c>
      <c r="M502" s="30"/>
      <c r="N502" s="30"/>
      <c r="O502" s="18">
        <f t="shared" si="104"/>
        <v>0</v>
      </c>
      <c r="P502" s="18">
        <f t="shared" si="105"/>
        <v>0</v>
      </c>
      <c r="Q502" s="8">
        <f t="shared" si="106"/>
        <v>0</v>
      </c>
    </row>
    <row r="503" spans="1:17" ht="21" x14ac:dyDescent="0.5">
      <c r="A503" s="125">
        <v>22</v>
      </c>
      <c r="B503" s="126" t="s">
        <v>296</v>
      </c>
      <c r="C503" s="191" t="s">
        <v>297</v>
      </c>
      <c r="D503" s="189" t="s">
        <v>298</v>
      </c>
      <c r="E503" s="119" t="s">
        <v>299</v>
      </c>
      <c r="F503" s="119"/>
      <c r="G503" s="119" t="s">
        <v>320</v>
      </c>
      <c r="H503" s="119"/>
      <c r="I503" s="123">
        <v>0</v>
      </c>
      <c r="J503" s="202">
        <v>0</v>
      </c>
      <c r="K503" s="94">
        <f t="shared" si="103"/>
        <v>0</v>
      </c>
      <c r="L503" s="120" t="s">
        <v>45</v>
      </c>
      <c r="M503" s="30"/>
      <c r="N503" s="30"/>
      <c r="O503" s="18">
        <f t="shared" si="104"/>
        <v>0</v>
      </c>
      <c r="P503" s="18">
        <f t="shared" si="105"/>
        <v>0</v>
      </c>
      <c r="Q503" s="8">
        <f t="shared" si="106"/>
        <v>0</v>
      </c>
    </row>
    <row r="504" spans="1:17" ht="21" x14ac:dyDescent="0.5">
      <c r="A504" s="125">
        <v>23</v>
      </c>
      <c r="B504" s="126" t="s">
        <v>296</v>
      </c>
      <c r="C504" s="191" t="s">
        <v>297</v>
      </c>
      <c r="D504" s="189" t="s">
        <v>298</v>
      </c>
      <c r="E504" s="119" t="s">
        <v>299</v>
      </c>
      <c r="F504" s="119"/>
      <c r="G504" s="119" t="s">
        <v>321</v>
      </c>
      <c r="H504" s="119"/>
      <c r="I504" s="123">
        <v>0</v>
      </c>
      <c r="J504" s="202">
        <v>0</v>
      </c>
      <c r="K504" s="94">
        <f t="shared" si="103"/>
        <v>0</v>
      </c>
      <c r="L504" s="120" t="s">
        <v>45</v>
      </c>
      <c r="M504" s="30"/>
      <c r="N504" s="30"/>
      <c r="O504" s="18">
        <f t="shared" si="104"/>
        <v>0</v>
      </c>
      <c r="P504" s="18">
        <f t="shared" si="105"/>
        <v>0</v>
      </c>
      <c r="Q504" s="8">
        <f t="shared" si="106"/>
        <v>0</v>
      </c>
    </row>
    <row r="505" spans="1:17" ht="21" x14ac:dyDescent="0.5">
      <c r="A505" s="125">
        <v>24</v>
      </c>
      <c r="B505" s="126" t="s">
        <v>296</v>
      </c>
      <c r="C505" s="191" t="s">
        <v>297</v>
      </c>
      <c r="D505" s="189" t="s">
        <v>298</v>
      </c>
      <c r="E505" s="119" t="s">
        <v>299</v>
      </c>
      <c r="F505" s="119"/>
      <c r="G505" s="119" t="s">
        <v>322</v>
      </c>
      <c r="H505" s="119"/>
      <c r="I505" s="123">
        <v>19</v>
      </c>
      <c r="J505" s="202">
        <v>0</v>
      </c>
      <c r="K505" s="94">
        <f t="shared" si="103"/>
        <v>-19</v>
      </c>
      <c r="L505" s="120" t="s">
        <v>45</v>
      </c>
      <c r="M505" s="30"/>
      <c r="N505" s="30"/>
      <c r="O505" s="18">
        <f t="shared" si="104"/>
        <v>0</v>
      </c>
      <c r="P505" s="18">
        <f t="shared" si="105"/>
        <v>0</v>
      </c>
      <c r="Q505" s="8">
        <f t="shared" si="106"/>
        <v>0</v>
      </c>
    </row>
    <row r="506" spans="1:17" ht="21" x14ac:dyDescent="0.5">
      <c r="A506" s="125">
        <v>25</v>
      </c>
      <c r="B506" s="126" t="s">
        <v>296</v>
      </c>
      <c r="C506" s="191" t="s">
        <v>297</v>
      </c>
      <c r="D506" s="189" t="s">
        <v>298</v>
      </c>
      <c r="E506" s="119" t="s">
        <v>299</v>
      </c>
      <c r="F506" s="119"/>
      <c r="G506" s="119" t="s">
        <v>323</v>
      </c>
      <c r="H506" s="119"/>
      <c r="I506" s="123">
        <v>0</v>
      </c>
      <c r="J506" s="202">
        <v>0</v>
      </c>
      <c r="K506" s="94">
        <f t="shared" si="103"/>
        <v>0</v>
      </c>
      <c r="L506" s="120" t="s">
        <v>45</v>
      </c>
      <c r="M506" s="30"/>
      <c r="N506" s="30"/>
      <c r="O506" s="18">
        <f t="shared" si="104"/>
        <v>0</v>
      </c>
      <c r="P506" s="18">
        <f t="shared" si="105"/>
        <v>0</v>
      </c>
      <c r="Q506" s="8">
        <f t="shared" si="106"/>
        <v>0</v>
      </c>
    </row>
    <row r="507" spans="1:17" ht="21" x14ac:dyDescent="0.5">
      <c r="A507" s="125">
        <v>26</v>
      </c>
      <c r="B507" s="126" t="s">
        <v>296</v>
      </c>
      <c r="C507" s="191" t="s">
        <v>297</v>
      </c>
      <c r="D507" s="189" t="s">
        <v>298</v>
      </c>
      <c r="E507" s="119" t="s">
        <v>299</v>
      </c>
      <c r="F507" s="119"/>
      <c r="G507" s="119" t="s">
        <v>324</v>
      </c>
      <c r="H507" s="119"/>
      <c r="I507" s="123">
        <v>0</v>
      </c>
      <c r="J507" s="202">
        <v>0</v>
      </c>
      <c r="K507" s="94">
        <f t="shared" si="103"/>
        <v>0</v>
      </c>
      <c r="L507" s="120" t="s">
        <v>45</v>
      </c>
      <c r="M507" s="30"/>
      <c r="N507" s="30"/>
      <c r="O507" s="18">
        <f t="shared" si="104"/>
        <v>0</v>
      </c>
      <c r="P507" s="18">
        <f t="shared" si="105"/>
        <v>0</v>
      </c>
      <c r="Q507" s="8">
        <f t="shared" si="106"/>
        <v>0</v>
      </c>
    </row>
    <row r="508" spans="1:17" ht="21" x14ac:dyDescent="0.5">
      <c r="A508" s="125">
        <v>27</v>
      </c>
      <c r="B508" s="126" t="s">
        <v>296</v>
      </c>
      <c r="C508" s="191" t="s">
        <v>297</v>
      </c>
      <c r="D508" s="189" t="s">
        <v>298</v>
      </c>
      <c r="E508" s="119" t="s">
        <v>299</v>
      </c>
      <c r="F508" s="119"/>
      <c r="G508" s="119" t="s">
        <v>325</v>
      </c>
      <c r="H508" s="119"/>
      <c r="I508" s="123">
        <v>45</v>
      </c>
      <c r="J508" s="202">
        <v>40</v>
      </c>
      <c r="K508" s="94">
        <f t="shared" si="103"/>
        <v>-5</v>
      </c>
      <c r="L508" s="120" t="s">
        <v>45</v>
      </c>
      <c r="M508" s="30"/>
      <c r="N508" s="30"/>
      <c r="O508" s="18">
        <f t="shared" si="104"/>
        <v>0</v>
      </c>
      <c r="P508" s="18">
        <f t="shared" si="105"/>
        <v>0</v>
      </c>
      <c r="Q508" s="8">
        <f t="shared" si="106"/>
        <v>0</v>
      </c>
    </row>
    <row r="509" spans="1:17" ht="21" x14ac:dyDescent="0.5">
      <c r="A509" s="125">
        <v>28</v>
      </c>
      <c r="B509" s="126" t="s">
        <v>296</v>
      </c>
      <c r="C509" s="191" t="s">
        <v>297</v>
      </c>
      <c r="D509" s="189" t="s">
        <v>298</v>
      </c>
      <c r="E509" s="119" t="s">
        <v>299</v>
      </c>
      <c r="F509" s="119"/>
      <c r="G509" s="119" t="s">
        <v>326</v>
      </c>
      <c r="H509" s="119"/>
      <c r="I509" s="123">
        <v>0</v>
      </c>
      <c r="J509" s="202">
        <v>0</v>
      </c>
      <c r="K509" s="94">
        <f t="shared" si="103"/>
        <v>0</v>
      </c>
      <c r="L509" s="120" t="s">
        <v>45</v>
      </c>
      <c r="M509" s="30"/>
      <c r="N509" s="30"/>
      <c r="O509" s="18">
        <f t="shared" si="104"/>
        <v>0</v>
      </c>
      <c r="P509" s="18">
        <f t="shared" si="105"/>
        <v>0</v>
      </c>
      <c r="Q509" s="8">
        <f t="shared" si="106"/>
        <v>0</v>
      </c>
    </row>
    <row r="510" spans="1:17" ht="21" x14ac:dyDescent="0.5">
      <c r="A510" s="125">
        <v>29</v>
      </c>
      <c r="B510" s="126" t="s">
        <v>296</v>
      </c>
      <c r="C510" s="191" t="s">
        <v>297</v>
      </c>
      <c r="D510" s="189" t="s">
        <v>298</v>
      </c>
      <c r="E510" s="119" t="s">
        <v>299</v>
      </c>
      <c r="F510" s="119"/>
      <c r="G510" s="119" t="s">
        <v>327</v>
      </c>
      <c r="H510" s="119"/>
      <c r="I510" s="123">
        <v>0</v>
      </c>
      <c r="J510" s="202">
        <v>0</v>
      </c>
      <c r="K510" s="94">
        <f t="shared" si="103"/>
        <v>0</v>
      </c>
      <c r="L510" s="120" t="s">
        <v>45</v>
      </c>
      <c r="M510" s="30"/>
      <c r="N510" s="30"/>
      <c r="O510" s="18">
        <f t="shared" si="104"/>
        <v>0</v>
      </c>
      <c r="P510" s="18">
        <f t="shared" si="105"/>
        <v>0</v>
      </c>
      <c r="Q510" s="8">
        <f t="shared" si="106"/>
        <v>0</v>
      </c>
    </row>
    <row r="511" spans="1:17" ht="21" x14ac:dyDescent="0.5">
      <c r="A511" s="125">
        <v>30</v>
      </c>
      <c r="B511" s="126" t="s">
        <v>296</v>
      </c>
      <c r="C511" s="191" t="s">
        <v>297</v>
      </c>
      <c r="D511" s="189" t="s">
        <v>298</v>
      </c>
      <c r="E511" s="119" t="s">
        <v>299</v>
      </c>
      <c r="F511" s="119"/>
      <c r="G511" s="119" t="s">
        <v>328</v>
      </c>
      <c r="H511" s="119"/>
      <c r="I511" s="123">
        <v>0</v>
      </c>
      <c r="J511" s="202">
        <v>5</v>
      </c>
      <c r="K511" s="94">
        <f t="shared" si="103"/>
        <v>5</v>
      </c>
      <c r="L511" s="120" t="s">
        <v>45</v>
      </c>
      <c r="M511" s="30"/>
      <c r="N511" s="30"/>
      <c r="O511" s="18">
        <f t="shared" si="104"/>
        <v>0</v>
      </c>
      <c r="P511" s="18">
        <f t="shared" si="105"/>
        <v>0</v>
      </c>
      <c r="Q511" s="8">
        <f t="shared" si="106"/>
        <v>0</v>
      </c>
    </row>
    <row r="512" spans="1:17" ht="21" x14ac:dyDescent="0.5">
      <c r="A512" s="125">
        <v>31</v>
      </c>
      <c r="B512" s="126" t="s">
        <v>296</v>
      </c>
      <c r="C512" s="191" t="s">
        <v>297</v>
      </c>
      <c r="D512" s="189" t="s">
        <v>298</v>
      </c>
      <c r="E512" s="119" t="s">
        <v>299</v>
      </c>
      <c r="F512" s="119"/>
      <c r="G512" s="119" t="s">
        <v>329</v>
      </c>
      <c r="H512" s="119"/>
      <c r="I512" s="123">
        <v>17</v>
      </c>
      <c r="J512" s="202">
        <v>0</v>
      </c>
      <c r="K512" s="94">
        <f t="shared" si="103"/>
        <v>-17</v>
      </c>
      <c r="L512" s="120" t="s">
        <v>45</v>
      </c>
      <c r="M512" s="30"/>
      <c r="N512" s="30"/>
      <c r="O512" s="18">
        <f t="shared" si="104"/>
        <v>0</v>
      </c>
      <c r="P512" s="18">
        <f t="shared" si="105"/>
        <v>0</v>
      </c>
      <c r="Q512" s="8">
        <f t="shared" si="106"/>
        <v>0</v>
      </c>
    </row>
    <row r="513" spans="1:17" ht="21" x14ac:dyDescent="0.5">
      <c r="A513" s="125">
        <v>32</v>
      </c>
      <c r="B513" s="126" t="s">
        <v>296</v>
      </c>
      <c r="C513" s="191" t="s">
        <v>297</v>
      </c>
      <c r="D513" s="189" t="s">
        <v>298</v>
      </c>
      <c r="E513" s="119" t="s">
        <v>299</v>
      </c>
      <c r="F513" s="119"/>
      <c r="G513" s="119" t="s">
        <v>330</v>
      </c>
      <c r="H513" s="119"/>
      <c r="I513" s="123">
        <v>0</v>
      </c>
      <c r="J513" s="202">
        <v>0</v>
      </c>
      <c r="K513" s="94">
        <f t="shared" si="103"/>
        <v>0</v>
      </c>
      <c r="L513" s="120" t="s">
        <v>45</v>
      </c>
      <c r="M513" s="30"/>
      <c r="N513" s="30"/>
      <c r="O513" s="18">
        <f t="shared" si="104"/>
        <v>0</v>
      </c>
      <c r="P513" s="18">
        <f t="shared" si="105"/>
        <v>0</v>
      </c>
      <c r="Q513" s="8">
        <f t="shared" si="106"/>
        <v>0</v>
      </c>
    </row>
    <row r="514" spans="1:17" ht="21" x14ac:dyDescent="0.5">
      <c r="A514" s="125">
        <v>33</v>
      </c>
      <c r="B514" s="126" t="s">
        <v>296</v>
      </c>
      <c r="C514" s="191" t="s">
        <v>297</v>
      </c>
      <c r="D514" s="189" t="s">
        <v>298</v>
      </c>
      <c r="E514" s="119" t="s">
        <v>299</v>
      </c>
      <c r="F514" s="119"/>
      <c r="G514" s="119" t="s">
        <v>331</v>
      </c>
      <c r="H514" s="119"/>
      <c r="I514" s="123">
        <v>0</v>
      </c>
      <c r="J514" s="202">
        <v>0</v>
      </c>
      <c r="K514" s="94">
        <f t="shared" si="103"/>
        <v>0</v>
      </c>
      <c r="L514" s="120" t="s">
        <v>45</v>
      </c>
      <c r="M514" s="30"/>
      <c r="N514" s="30"/>
      <c r="O514" s="18">
        <f t="shared" si="104"/>
        <v>0</v>
      </c>
      <c r="P514" s="18">
        <f t="shared" si="105"/>
        <v>0</v>
      </c>
      <c r="Q514" s="8">
        <f t="shared" si="106"/>
        <v>0</v>
      </c>
    </row>
    <row r="515" spans="1:17" ht="21" x14ac:dyDescent="0.5">
      <c r="A515" s="125">
        <v>34</v>
      </c>
      <c r="B515" s="126" t="s">
        <v>296</v>
      </c>
      <c r="C515" s="191" t="s">
        <v>297</v>
      </c>
      <c r="D515" s="189" t="s">
        <v>298</v>
      </c>
      <c r="E515" s="119" t="s">
        <v>299</v>
      </c>
      <c r="F515" s="119"/>
      <c r="G515" s="119" t="s">
        <v>332</v>
      </c>
      <c r="H515" s="119"/>
      <c r="I515" s="123">
        <v>0</v>
      </c>
      <c r="J515" s="202">
        <v>25</v>
      </c>
      <c r="K515" s="94">
        <f t="shared" si="103"/>
        <v>25</v>
      </c>
      <c r="L515" s="120" t="s">
        <v>45</v>
      </c>
      <c r="M515" s="30"/>
      <c r="N515" s="30"/>
      <c r="O515" s="18">
        <f t="shared" ref="O515:O537" si="107">M515*J515</f>
        <v>0</v>
      </c>
      <c r="P515" s="18">
        <f t="shared" ref="P515:P537" si="108">N515*J515</f>
        <v>0</v>
      </c>
      <c r="Q515" s="8">
        <f t="shared" ref="Q515:Q537" si="109">(M515*J515)+(N515*J515)</f>
        <v>0</v>
      </c>
    </row>
    <row r="516" spans="1:17" ht="21" x14ac:dyDescent="0.5">
      <c r="A516" s="125">
        <v>35</v>
      </c>
      <c r="B516" s="126" t="s">
        <v>296</v>
      </c>
      <c r="C516" s="191" t="s">
        <v>297</v>
      </c>
      <c r="D516" s="189" t="s">
        <v>298</v>
      </c>
      <c r="E516" s="119" t="s">
        <v>299</v>
      </c>
      <c r="F516" s="119"/>
      <c r="G516" s="119" t="s">
        <v>333</v>
      </c>
      <c r="H516" s="119"/>
      <c r="I516" s="123">
        <v>24</v>
      </c>
      <c r="J516" s="202">
        <v>0</v>
      </c>
      <c r="K516" s="94">
        <f t="shared" si="103"/>
        <v>-24</v>
      </c>
      <c r="L516" s="120" t="s">
        <v>45</v>
      </c>
      <c r="M516" s="30"/>
      <c r="N516" s="30"/>
      <c r="O516" s="18">
        <f t="shared" si="107"/>
        <v>0</v>
      </c>
      <c r="P516" s="18">
        <f t="shared" si="108"/>
        <v>0</v>
      </c>
      <c r="Q516" s="8">
        <f t="shared" si="109"/>
        <v>0</v>
      </c>
    </row>
    <row r="517" spans="1:17" ht="21" x14ac:dyDescent="0.5">
      <c r="A517" s="125">
        <v>36</v>
      </c>
      <c r="B517" s="126" t="s">
        <v>296</v>
      </c>
      <c r="C517" s="191" t="s">
        <v>297</v>
      </c>
      <c r="D517" s="189" t="s">
        <v>298</v>
      </c>
      <c r="E517" s="119" t="s">
        <v>299</v>
      </c>
      <c r="F517" s="119"/>
      <c r="G517" s="119" t="s">
        <v>334</v>
      </c>
      <c r="H517" s="119"/>
      <c r="I517" s="123">
        <v>0</v>
      </c>
      <c r="J517" s="202">
        <v>0</v>
      </c>
      <c r="K517" s="94">
        <f t="shared" si="103"/>
        <v>0</v>
      </c>
      <c r="L517" s="120" t="s">
        <v>45</v>
      </c>
      <c r="M517" s="30"/>
      <c r="N517" s="30"/>
      <c r="O517" s="18">
        <f t="shared" si="107"/>
        <v>0</v>
      </c>
      <c r="P517" s="18">
        <f t="shared" si="108"/>
        <v>0</v>
      </c>
      <c r="Q517" s="8">
        <f t="shared" si="109"/>
        <v>0</v>
      </c>
    </row>
    <row r="518" spans="1:17" ht="21" x14ac:dyDescent="0.5">
      <c r="A518" s="125">
        <v>37</v>
      </c>
      <c r="B518" s="126" t="s">
        <v>296</v>
      </c>
      <c r="C518" s="191" t="s">
        <v>297</v>
      </c>
      <c r="D518" s="189" t="s">
        <v>298</v>
      </c>
      <c r="E518" s="119" t="s">
        <v>299</v>
      </c>
      <c r="F518" s="119"/>
      <c r="G518" s="119" t="s">
        <v>335</v>
      </c>
      <c r="H518" s="119"/>
      <c r="I518" s="123">
        <v>15</v>
      </c>
      <c r="J518" s="202">
        <v>5</v>
      </c>
      <c r="K518" s="94">
        <f t="shared" si="103"/>
        <v>-10</v>
      </c>
      <c r="L518" s="120" t="s">
        <v>45</v>
      </c>
      <c r="M518" s="30"/>
      <c r="N518" s="30"/>
      <c r="O518" s="18">
        <f t="shared" si="107"/>
        <v>0</v>
      </c>
      <c r="P518" s="18">
        <f t="shared" si="108"/>
        <v>0</v>
      </c>
      <c r="Q518" s="8">
        <f t="shared" si="109"/>
        <v>0</v>
      </c>
    </row>
    <row r="519" spans="1:17" ht="21" x14ac:dyDescent="0.5">
      <c r="A519" s="125">
        <v>38</v>
      </c>
      <c r="B519" s="126" t="s">
        <v>296</v>
      </c>
      <c r="C519" s="191" t="s">
        <v>297</v>
      </c>
      <c r="D519" s="189" t="s">
        <v>298</v>
      </c>
      <c r="E519" s="119" t="s">
        <v>299</v>
      </c>
      <c r="F519" s="119"/>
      <c r="G519" s="119" t="s">
        <v>336</v>
      </c>
      <c r="H519" s="119"/>
      <c r="I519" s="123">
        <v>32</v>
      </c>
      <c r="J519" s="202">
        <v>24</v>
      </c>
      <c r="K519" s="94">
        <f t="shared" si="103"/>
        <v>-8</v>
      </c>
      <c r="L519" s="120" t="s">
        <v>45</v>
      </c>
      <c r="M519" s="30"/>
      <c r="N519" s="30"/>
      <c r="O519" s="18">
        <f t="shared" si="107"/>
        <v>0</v>
      </c>
      <c r="P519" s="18">
        <f t="shared" si="108"/>
        <v>0</v>
      </c>
      <c r="Q519" s="8">
        <f t="shared" si="109"/>
        <v>0</v>
      </c>
    </row>
    <row r="520" spans="1:17" ht="21" x14ac:dyDescent="0.5">
      <c r="A520" s="125">
        <v>39</v>
      </c>
      <c r="B520" s="126" t="s">
        <v>296</v>
      </c>
      <c r="C520" s="191" t="s">
        <v>297</v>
      </c>
      <c r="D520" s="189" t="s">
        <v>298</v>
      </c>
      <c r="E520" s="119" t="s">
        <v>299</v>
      </c>
      <c r="F520" s="119"/>
      <c r="G520" s="119" t="s">
        <v>337</v>
      </c>
      <c r="H520" s="119"/>
      <c r="I520" s="123">
        <v>25</v>
      </c>
      <c r="J520" s="202">
        <v>0</v>
      </c>
      <c r="K520" s="94">
        <f t="shared" si="103"/>
        <v>-25</v>
      </c>
      <c r="L520" s="120" t="s">
        <v>45</v>
      </c>
      <c r="M520" s="30"/>
      <c r="N520" s="30"/>
      <c r="O520" s="18">
        <f t="shared" si="107"/>
        <v>0</v>
      </c>
      <c r="P520" s="18">
        <f t="shared" si="108"/>
        <v>0</v>
      </c>
      <c r="Q520" s="8">
        <f t="shared" si="109"/>
        <v>0</v>
      </c>
    </row>
    <row r="521" spans="1:17" ht="21" x14ac:dyDescent="0.5">
      <c r="A521" s="125">
        <v>40</v>
      </c>
      <c r="B521" s="126" t="s">
        <v>296</v>
      </c>
      <c r="C521" s="191" t="s">
        <v>297</v>
      </c>
      <c r="D521" s="189" t="s">
        <v>338</v>
      </c>
      <c r="E521" s="119" t="s">
        <v>339</v>
      </c>
      <c r="F521" s="119"/>
      <c r="G521" s="119" t="s">
        <v>340</v>
      </c>
      <c r="H521" s="119"/>
      <c r="I521" s="123">
        <v>0</v>
      </c>
      <c r="J521" s="202">
        <v>0</v>
      </c>
      <c r="K521" s="94">
        <f t="shared" si="103"/>
        <v>0</v>
      </c>
      <c r="L521" s="120" t="s">
        <v>45</v>
      </c>
      <c r="M521" s="30"/>
      <c r="N521" s="30"/>
      <c r="O521" s="18">
        <f t="shared" si="107"/>
        <v>0</v>
      </c>
      <c r="P521" s="18">
        <f t="shared" si="108"/>
        <v>0</v>
      </c>
      <c r="Q521" s="8">
        <f t="shared" si="109"/>
        <v>0</v>
      </c>
    </row>
    <row r="522" spans="1:17" ht="21" x14ac:dyDescent="0.5">
      <c r="A522" s="125">
        <v>41</v>
      </c>
      <c r="B522" s="126" t="s">
        <v>296</v>
      </c>
      <c r="C522" s="191" t="s">
        <v>297</v>
      </c>
      <c r="D522" s="189" t="s">
        <v>338</v>
      </c>
      <c r="E522" s="119" t="s">
        <v>339</v>
      </c>
      <c r="F522" s="119"/>
      <c r="G522" s="119" t="s">
        <v>341</v>
      </c>
      <c r="H522" s="119"/>
      <c r="I522" s="123">
        <v>0</v>
      </c>
      <c r="J522" s="202">
        <v>0</v>
      </c>
      <c r="K522" s="94">
        <f t="shared" si="103"/>
        <v>0</v>
      </c>
      <c r="L522" s="120" t="s">
        <v>45</v>
      </c>
      <c r="M522" s="30"/>
      <c r="N522" s="30"/>
      <c r="O522" s="18">
        <f t="shared" si="107"/>
        <v>0</v>
      </c>
      <c r="P522" s="18">
        <f t="shared" si="108"/>
        <v>0</v>
      </c>
      <c r="Q522" s="8">
        <f t="shared" si="109"/>
        <v>0</v>
      </c>
    </row>
    <row r="523" spans="1:17" ht="21" x14ac:dyDescent="0.5">
      <c r="A523" s="125">
        <v>42</v>
      </c>
      <c r="B523" s="126" t="s">
        <v>296</v>
      </c>
      <c r="C523" s="191" t="s">
        <v>297</v>
      </c>
      <c r="D523" s="189" t="s">
        <v>338</v>
      </c>
      <c r="E523" s="119" t="s">
        <v>339</v>
      </c>
      <c r="F523" s="119"/>
      <c r="G523" s="119" t="s">
        <v>342</v>
      </c>
      <c r="H523" s="119"/>
      <c r="I523" s="123">
        <v>0</v>
      </c>
      <c r="J523" s="202">
        <v>0</v>
      </c>
      <c r="K523" s="94">
        <f t="shared" si="103"/>
        <v>0</v>
      </c>
      <c r="L523" s="120" t="s">
        <v>45</v>
      </c>
      <c r="M523" s="30"/>
      <c r="N523" s="30"/>
      <c r="O523" s="18">
        <f t="shared" si="107"/>
        <v>0</v>
      </c>
      <c r="P523" s="18">
        <f t="shared" si="108"/>
        <v>0</v>
      </c>
      <c r="Q523" s="8">
        <f t="shared" si="109"/>
        <v>0</v>
      </c>
    </row>
    <row r="524" spans="1:17" ht="21" x14ac:dyDescent="0.5">
      <c r="A524" s="125">
        <v>43</v>
      </c>
      <c r="B524" s="126" t="s">
        <v>296</v>
      </c>
      <c r="C524" s="191" t="s">
        <v>297</v>
      </c>
      <c r="D524" s="189" t="s">
        <v>338</v>
      </c>
      <c r="E524" s="119" t="s">
        <v>339</v>
      </c>
      <c r="F524" s="119"/>
      <c r="G524" s="119" t="s">
        <v>343</v>
      </c>
      <c r="H524" s="119"/>
      <c r="I524" s="123">
        <v>0</v>
      </c>
      <c r="J524" s="202">
        <v>0</v>
      </c>
      <c r="K524" s="94">
        <f t="shared" si="103"/>
        <v>0</v>
      </c>
      <c r="L524" s="120" t="s">
        <v>45</v>
      </c>
      <c r="M524" s="30"/>
      <c r="N524" s="30"/>
      <c r="O524" s="18">
        <f t="shared" si="107"/>
        <v>0</v>
      </c>
      <c r="P524" s="18">
        <f t="shared" si="108"/>
        <v>0</v>
      </c>
      <c r="Q524" s="8">
        <f t="shared" si="109"/>
        <v>0</v>
      </c>
    </row>
    <row r="525" spans="1:17" ht="21" x14ac:dyDescent="0.5">
      <c r="A525" s="125">
        <v>44</v>
      </c>
      <c r="B525" s="126" t="s">
        <v>296</v>
      </c>
      <c r="C525" s="191" t="s">
        <v>297</v>
      </c>
      <c r="D525" s="189" t="s">
        <v>338</v>
      </c>
      <c r="E525" s="119" t="s">
        <v>339</v>
      </c>
      <c r="F525" s="119"/>
      <c r="G525" s="119" t="s">
        <v>344</v>
      </c>
      <c r="H525" s="119"/>
      <c r="I525" s="123">
        <v>0</v>
      </c>
      <c r="J525" s="202">
        <v>0</v>
      </c>
      <c r="K525" s="94">
        <f t="shared" ref="K525:K585" si="110">+J525-I525</f>
        <v>0</v>
      </c>
      <c r="L525" s="120" t="s">
        <v>45</v>
      </c>
      <c r="M525" s="30"/>
      <c r="N525" s="30"/>
      <c r="O525" s="18">
        <f t="shared" si="107"/>
        <v>0</v>
      </c>
      <c r="P525" s="18">
        <f t="shared" si="108"/>
        <v>0</v>
      </c>
      <c r="Q525" s="8">
        <f t="shared" si="109"/>
        <v>0</v>
      </c>
    </row>
    <row r="526" spans="1:17" ht="21" x14ac:dyDescent="0.5">
      <c r="A526" s="125">
        <v>45</v>
      </c>
      <c r="B526" s="126" t="s">
        <v>296</v>
      </c>
      <c r="C526" s="191" t="s">
        <v>297</v>
      </c>
      <c r="D526" s="189" t="s">
        <v>338</v>
      </c>
      <c r="E526" s="119" t="s">
        <v>339</v>
      </c>
      <c r="F526" s="119"/>
      <c r="G526" s="119" t="s">
        <v>345</v>
      </c>
      <c r="H526" s="119"/>
      <c r="I526" s="123">
        <v>0</v>
      </c>
      <c r="J526" s="202">
        <v>0</v>
      </c>
      <c r="K526" s="94">
        <f t="shared" si="110"/>
        <v>0</v>
      </c>
      <c r="L526" s="120" t="s">
        <v>45</v>
      </c>
      <c r="M526" s="30"/>
      <c r="N526" s="30"/>
      <c r="O526" s="18">
        <f t="shared" si="107"/>
        <v>0</v>
      </c>
      <c r="P526" s="18">
        <f t="shared" si="108"/>
        <v>0</v>
      </c>
      <c r="Q526" s="8">
        <f t="shared" si="109"/>
        <v>0</v>
      </c>
    </row>
    <row r="527" spans="1:17" ht="21" x14ac:dyDescent="0.5">
      <c r="A527" s="125">
        <v>46</v>
      </c>
      <c r="B527" s="126" t="s">
        <v>296</v>
      </c>
      <c r="C527" s="191" t="s">
        <v>297</v>
      </c>
      <c r="D527" s="189" t="s">
        <v>338</v>
      </c>
      <c r="E527" s="119" t="s">
        <v>339</v>
      </c>
      <c r="F527" s="119"/>
      <c r="G527" s="119" t="s">
        <v>346</v>
      </c>
      <c r="H527" s="119"/>
      <c r="I527" s="123">
        <v>0</v>
      </c>
      <c r="J527" s="202">
        <v>0</v>
      </c>
      <c r="K527" s="94">
        <f t="shared" si="110"/>
        <v>0</v>
      </c>
      <c r="L527" s="120" t="s">
        <v>45</v>
      </c>
      <c r="M527" s="30"/>
      <c r="N527" s="30"/>
      <c r="O527" s="18">
        <f t="shared" si="107"/>
        <v>0</v>
      </c>
      <c r="P527" s="18">
        <f t="shared" si="108"/>
        <v>0</v>
      </c>
      <c r="Q527" s="8">
        <f t="shared" si="109"/>
        <v>0</v>
      </c>
    </row>
    <row r="528" spans="1:17" ht="21" x14ac:dyDescent="0.5">
      <c r="A528" s="125">
        <v>47</v>
      </c>
      <c r="B528" s="126" t="s">
        <v>296</v>
      </c>
      <c r="C528" s="191" t="s">
        <v>297</v>
      </c>
      <c r="D528" s="189" t="s">
        <v>338</v>
      </c>
      <c r="E528" s="119" t="s">
        <v>339</v>
      </c>
      <c r="F528" s="119"/>
      <c r="G528" s="119" t="s">
        <v>347</v>
      </c>
      <c r="H528" s="119"/>
      <c r="I528" s="123">
        <v>0</v>
      </c>
      <c r="J528" s="202">
        <v>0</v>
      </c>
      <c r="K528" s="94">
        <f t="shared" si="110"/>
        <v>0</v>
      </c>
      <c r="L528" s="120" t="s">
        <v>45</v>
      </c>
      <c r="M528" s="30"/>
      <c r="N528" s="30"/>
      <c r="O528" s="18">
        <f t="shared" si="107"/>
        <v>0</v>
      </c>
      <c r="P528" s="18">
        <f t="shared" si="108"/>
        <v>0</v>
      </c>
      <c r="Q528" s="8">
        <f t="shared" si="109"/>
        <v>0</v>
      </c>
    </row>
    <row r="529" spans="1:17" ht="21" x14ac:dyDescent="0.5">
      <c r="A529" s="125">
        <v>48</v>
      </c>
      <c r="B529" s="126" t="s">
        <v>296</v>
      </c>
      <c r="C529" s="191" t="s">
        <v>297</v>
      </c>
      <c r="D529" s="189" t="s">
        <v>338</v>
      </c>
      <c r="E529" s="119" t="s">
        <v>339</v>
      </c>
      <c r="F529" s="119"/>
      <c r="G529" s="119" t="s">
        <v>348</v>
      </c>
      <c r="H529" s="119"/>
      <c r="I529" s="123">
        <v>0</v>
      </c>
      <c r="J529" s="202">
        <v>35</v>
      </c>
      <c r="K529" s="94">
        <f t="shared" si="110"/>
        <v>35</v>
      </c>
      <c r="L529" s="120" t="s">
        <v>45</v>
      </c>
      <c r="M529" s="30"/>
      <c r="N529" s="30"/>
      <c r="O529" s="18">
        <f t="shared" si="107"/>
        <v>0</v>
      </c>
      <c r="P529" s="18">
        <f t="shared" si="108"/>
        <v>0</v>
      </c>
      <c r="Q529" s="8">
        <f t="shared" si="109"/>
        <v>0</v>
      </c>
    </row>
    <row r="530" spans="1:17" ht="21" x14ac:dyDescent="0.5">
      <c r="A530" s="125">
        <v>49</v>
      </c>
      <c r="B530" s="126" t="s">
        <v>296</v>
      </c>
      <c r="C530" s="191" t="s">
        <v>297</v>
      </c>
      <c r="D530" s="189" t="s">
        <v>349</v>
      </c>
      <c r="E530" s="119" t="s">
        <v>350</v>
      </c>
      <c r="F530" s="119"/>
      <c r="G530" s="119" t="s">
        <v>351</v>
      </c>
      <c r="H530" s="119"/>
      <c r="I530" s="123">
        <v>0</v>
      </c>
      <c r="J530" s="202">
        <v>0</v>
      </c>
      <c r="K530" s="94">
        <f t="shared" si="110"/>
        <v>0</v>
      </c>
      <c r="L530" s="120" t="s">
        <v>45</v>
      </c>
      <c r="M530" s="30"/>
      <c r="N530" s="30"/>
      <c r="O530" s="18">
        <f t="shared" si="107"/>
        <v>0</v>
      </c>
      <c r="P530" s="18">
        <f t="shared" si="108"/>
        <v>0</v>
      </c>
      <c r="Q530" s="8">
        <f t="shared" si="109"/>
        <v>0</v>
      </c>
    </row>
    <row r="531" spans="1:17" ht="21" x14ac:dyDescent="0.5">
      <c r="A531" s="125">
        <v>50</v>
      </c>
      <c r="B531" s="126" t="s">
        <v>296</v>
      </c>
      <c r="C531" s="191" t="s">
        <v>297</v>
      </c>
      <c r="D531" s="189" t="s">
        <v>352</v>
      </c>
      <c r="E531" s="119"/>
      <c r="F531" s="119"/>
      <c r="G531" s="119"/>
      <c r="H531" s="119"/>
      <c r="I531" s="123">
        <v>40</v>
      </c>
      <c r="J531" s="202">
        <v>10</v>
      </c>
      <c r="K531" s="94">
        <f t="shared" si="110"/>
        <v>-30</v>
      </c>
      <c r="L531" s="120" t="s">
        <v>45</v>
      </c>
      <c r="M531" s="30"/>
      <c r="N531" s="30"/>
      <c r="O531" s="18">
        <f t="shared" si="107"/>
        <v>0</v>
      </c>
      <c r="P531" s="18">
        <f t="shared" si="108"/>
        <v>0</v>
      </c>
      <c r="Q531" s="8">
        <f t="shared" si="109"/>
        <v>0</v>
      </c>
    </row>
    <row r="532" spans="1:17" ht="21" x14ac:dyDescent="0.5">
      <c r="A532" s="125">
        <v>51</v>
      </c>
      <c r="B532" s="126" t="s">
        <v>296</v>
      </c>
      <c r="C532" s="191" t="s">
        <v>353</v>
      </c>
      <c r="D532" s="189" t="s">
        <v>354</v>
      </c>
      <c r="E532" s="119"/>
      <c r="F532" s="119"/>
      <c r="G532" s="119" t="s">
        <v>355</v>
      </c>
      <c r="H532" s="119"/>
      <c r="I532" s="123">
        <v>1</v>
      </c>
      <c r="J532" s="202">
        <v>1</v>
      </c>
      <c r="K532" s="94">
        <f t="shared" si="110"/>
        <v>0</v>
      </c>
      <c r="L532" s="120" t="s">
        <v>15</v>
      </c>
      <c r="M532" s="30"/>
      <c r="N532" s="30"/>
      <c r="O532" s="18">
        <f t="shared" si="107"/>
        <v>0</v>
      </c>
      <c r="P532" s="18">
        <f t="shared" si="108"/>
        <v>0</v>
      </c>
      <c r="Q532" s="8">
        <f t="shared" si="109"/>
        <v>0</v>
      </c>
    </row>
    <row r="533" spans="1:17" ht="21" x14ac:dyDescent="0.5">
      <c r="A533" s="125">
        <v>52</v>
      </c>
      <c r="B533" s="126" t="s">
        <v>296</v>
      </c>
      <c r="C533" s="191" t="s">
        <v>353</v>
      </c>
      <c r="D533" s="189" t="s">
        <v>354</v>
      </c>
      <c r="E533" s="119"/>
      <c r="F533" s="119"/>
      <c r="G533" s="119" t="s">
        <v>356</v>
      </c>
      <c r="H533" s="119"/>
      <c r="I533" s="123">
        <v>0</v>
      </c>
      <c r="J533" s="202">
        <v>0</v>
      </c>
      <c r="K533" s="94">
        <f t="shared" si="110"/>
        <v>0</v>
      </c>
      <c r="L533" s="120" t="s">
        <v>15</v>
      </c>
      <c r="M533" s="30"/>
      <c r="N533" s="30"/>
      <c r="O533" s="18">
        <f t="shared" si="107"/>
        <v>0</v>
      </c>
      <c r="P533" s="18">
        <f t="shared" si="108"/>
        <v>0</v>
      </c>
      <c r="Q533" s="8">
        <f t="shared" si="109"/>
        <v>0</v>
      </c>
    </row>
    <row r="534" spans="1:17" ht="21" x14ac:dyDescent="0.5">
      <c r="A534" s="125">
        <v>53</v>
      </c>
      <c r="B534" s="126" t="s">
        <v>296</v>
      </c>
      <c r="C534" s="191" t="s">
        <v>353</v>
      </c>
      <c r="D534" s="189" t="s">
        <v>354</v>
      </c>
      <c r="E534" s="119"/>
      <c r="F534" s="119"/>
      <c r="G534" s="119" t="s">
        <v>357</v>
      </c>
      <c r="H534" s="119"/>
      <c r="I534" s="123">
        <v>0</v>
      </c>
      <c r="J534" s="202">
        <v>0</v>
      </c>
      <c r="K534" s="94">
        <f t="shared" si="110"/>
        <v>0</v>
      </c>
      <c r="L534" s="120" t="s">
        <v>15</v>
      </c>
      <c r="M534" s="30"/>
      <c r="N534" s="30"/>
      <c r="O534" s="18">
        <f t="shared" si="107"/>
        <v>0</v>
      </c>
      <c r="P534" s="18">
        <f t="shared" si="108"/>
        <v>0</v>
      </c>
      <c r="Q534" s="8">
        <f t="shared" si="109"/>
        <v>0</v>
      </c>
    </row>
    <row r="535" spans="1:17" ht="21" x14ac:dyDescent="0.5">
      <c r="A535" s="125">
        <v>54</v>
      </c>
      <c r="B535" s="126" t="s">
        <v>296</v>
      </c>
      <c r="C535" s="191" t="s">
        <v>353</v>
      </c>
      <c r="D535" s="189" t="s">
        <v>354</v>
      </c>
      <c r="E535" s="119"/>
      <c r="F535" s="119"/>
      <c r="G535" s="119" t="s">
        <v>358</v>
      </c>
      <c r="H535" s="119"/>
      <c r="I535" s="123">
        <v>0</v>
      </c>
      <c r="J535" s="202">
        <v>0</v>
      </c>
      <c r="K535" s="94">
        <f t="shared" si="110"/>
        <v>0</v>
      </c>
      <c r="L535" s="120" t="s">
        <v>15</v>
      </c>
      <c r="M535" s="30"/>
      <c r="N535" s="30"/>
      <c r="O535" s="18">
        <f t="shared" si="107"/>
        <v>0</v>
      </c>
      <c r="P535" s="18">
        <f t="shared" si="108"/>
        <v>0</v>
      </c>
      <c r="Q535" s="8">
        <f t="shared" si="109"/>
        <v>0</v>
      </c>
    </row>
    <row r="536" spans="1:17" ht="21" x14ac:dyDescent="0.5">
      <c r="A536" s="125">
        <v>55</v>
      </c>
      <c r="B536" s="126" t="s">
        <v>296</v>
      </c>
      <c r="C536" s="191" t="s">
        <v>353</v>
      </c>
      <c r="D536" s="189" t="s">
        <v>354</v>
      </c>
      <c r="E536" s="119"/>
      <c r="F536" s="119"/>
      <c r="G536" s="119" t="s">
        <v>359</v>
      </c>
      <c r="H536" s="119"/>
      <c r="I536" s="123">
        <v>0</v>
      </c>
      <c r="J536" s="202">
        <v>0</v>
      </c>
      <c r="K536" s="94">
        <f t="shared" si="110"/>
        <v>0</v>
      </c>
      <c r="L536" s="120" t="s">
        <v>15</v>
      </c>
      <c r="M536" s="30"/>
      <c r="N536" s="30"/>
      <c r="O536" s="18">
        <f t="shared" si="107"/>
        <v>0</v>
      </c>
      <c r="P536" s="18">
        <f t="shared" si="108"/>
        <v>0</v>
      </c>
      <c r="Q536" s="8">
        <f t="shared" si="109"/>
        <v>0</v>
      </c>
    </row>
    <row r="537" spans="1:17" ht="21" x14ac:dyDescent="0.5">
      <c r="A537" s="125">
        <v>56</v>
      </c>
      <c r="B537" s="126" t="s">
        <v>296</v>
      </c>
      <c r="C537" s="191" t="s">
        <v>353</v>
      </c>
      <c r="D537" s="189" t="s">
        <v>354</v>
      </c>
      <c r="E537" s="119"/>
      <c r="F537" s="119"/>
      <c r="G537" s="119" t="s">
        <v>360</v>
      </c>
      <c r="H537" s="119"/>
      <c r="I537" s="123">
        <v>0</v>
      </c>
      <c r="J537" s="202">
        <v>0</v>
      </c>
      <c r="K537" s="94">
        <f t="shared" si="110"/>
        <v>0</v>
      </c>
      <c r="L537" s="120" t="s">
        <v>15</v>
      </c>
      <c r="M537" s="30"/>
      <c r="N537" s="30"/>
      <c r="O537" s="18">
        <f t="shared" si="107"/>
        <v>0</v>
      </c>
      <c r="P537" s="18">
        <f t="shared" si="108"/>
        <v>0</v>
      </c>
      <c r="Q537" s="8">
        <f t="shared" si="109"/>
        <v>0</v>
      </c>
    </row>
    <row r="538" spans="1:17" ht="23.25" customHeight="1" x14ac:dyDescent="0.55000000000000004">
      <c r="A538" s="125">
        <v>57</v>
      </c>
      <c r="B538" s="126" t="s">
        <v>296</v>
      </c>
      <c r="C538" s="191" t="s">
        <v>361</v>
      </c>
      <c r="D538" s="186" t="s">
        <v>361</v>
      </c>
      <c r="E538" s="81"/>
      <c r="F538" s="81"/>
      <c r="G538" s="81"/>
      <c r="H538" s="82"/>
      <c r="I538" s="114"/>
      <c r="J538" s="204"/>
      <c r="K538" s="94">
        <f t="shared" si="110"/>
        <v>0</v>
      </c>
      <c r="L538" s="84"/>
      <c r="M538" s="33"/>
      <c r="N538" s="33"/>
      <c r="O538" s="12"/>
      <c r="P538" s="12"/>
      <c r="Q538" s="7"/>
    </row>
    <row r="539" spans="1:17" ht="21" x14ac:dyDescent="0.5">
      <c r="A539" s="125">
        <v>58</v>
      </c>
      <c r="B539" s="126" t="s">
        <v>296</v>
      </c>
      <c r="C539" s="191" t="s">
        <v>361</v>
      </c>
      <c r="D539" s="189" t="s">
        <v>362</v>
      </c>
      <c r="E539" s="119" t="s">
        <v>363</v>
      </c>
      <c r="F539" s="119"/>
      <c r="G539" s="119" t="s">
        <v>364</v>
      </c>
      <c r="H539" s="119"/>
      <c r="I539" s="123">
        <v>1</v>
      </c>
      <c r="J539" s="202">
        <f t="shared" ref="J539:J583" si="111">I539</f>
        <v>1</v>
      </c>
      <c r="K539" s="94">
        <f t="shared" si="110"/>
        <v>0</v>
      </c>
      <c r="L539" s="120" t="s">
        <v>15</v>
      </c>
      <c r="M539" s="30"/>
      <c r="N539" s="30"/>
      <c r="O539" s="18">
        <f t="shared" ref="O539:O552" si="112">M539*J539</f>
        <v>0</v>
      </c>
      <c r="P539" s="18">
        <f t="shared" ref="P539:P552" si="113">N539*J539</f>
        <v>0</v>
      </c>
      <c r="Q539" s="8">
        <f t="shared" ref="Q539:Q552" si="114">(M539*J539)+(N539*J539)</f>
        <v>0</v>
      </c>
    </row>
    <row r="540" spans="1:17" ht="21" x14ac:dyDescent="0.5">
      <c r="A540" s="125">
        <v>59</v>
      </c>
      <c r="B540" s="126" t="s">
        <v>296</v>
      </c>
      <c r="C540" s="191" t="s">
        <v>361</v>
      </c>
      <c r="D540" s="189" t="s">
        <v>362</v>
      </c>
      <c r="E540" s="119" t="s">
        <v>363</v>
      </c>
      <c r="F540" s="119"/>
      <c r="G540" s="119" t="s">
        <v>365</v>
      </c>
      <c r="H540" s="119"/>
      <c r="I540" s="123">
        <v>0</v>
      </c>
      <c r="J540" s="202">
        <f t="shared" si="111"/>
        <v>0</v>
      </c>
      <c r="K540" s="94">
        <f t="shared" si="110"/>
        <v>0</v>
      </c>
      <c r="L540" s="120" t="s">
        <v>15</v>
      </c>
      <c r="M540" s="30"/>
      <c r="N540" s="30"/>
      <c r="O540" s="18">
        <f t="shared" si="112"/>
        <v>0</v>
      </c>
      <c r="P540" s="18">
        <f t="shared" si="113"/>
        <v>0</v>
      </c>
      <c r="Q540" s="8">
        <f t="shared" si="114"/>
        <v>0</v>
      </c>
    </row>
    <row r="541" spans="1:17" ht="21" x14ac:dyDescent="0.5">
      <c r="A541" s="125">
        <v>60</v>
      </c>
      <c r="B541" s="126" t="s">
        <v>296</v>
      </c>
      <c r="C541" s="191" t="s">
        <v>361</v>
      </c>
      <c r="D541" s="189" t="s">
        <v>362</v>
      </c>
      <c r="E541" s="119" t="s">
        <v>363</v>
      </c>
      <c r="F541" s="119"/>
      <c r="G541" s="119" t="s">
        <v>366</v>
      </c>
      <c r="H541" s="119"/>
      <c r="I541" s="123">
        <v>2</v>
      </c>
      <c r="J541" s="202">
        <f t="shared" si="111"/>
        <v>2</v>
      </c>
      <c r="K541" s="94">
        <f t="shared" si="110"/>
        <v>0</v>
      </c>
      <c r="L541" s="120" t="s">
        <v>15</v>
      </c>
      <c r="M541" s="30"/>
      <c r="N541" s="30"/>
      <c r="O541" s="18">
        <f t="shared" si="112"/>
        <v>0</v>
      </c>
      <c r="P541" s="18">
        <f t="shared" si="113"/>
        <v>0</v>
      </c>
      <c r="Q541" s="8">
        <f t="shared" si="114"/>
        <v>0</v>
      </c>
    </row>
    <row r="542" spans="1:17" ht="21" x14ac:dyDescent="0.5">
      <c r="A542" s="125">
        <v>61</v>
      </c>
      <c r="B542" s="126" t="s">
        <v>296</v>
      </c>
      <c r="C542" s="191" t="s">
        <v>361</v>
      </c>
      <c r="D542" s="189" t="s">
        <v>362</v>
      </c>
      <c r="E542" s="119" t="s">
        <v>363</v>
      </c>
      <c r="F542" s="119"/>
      <c r="G542" s="119" t="s">
        <v>367</v>
      </c>
      <c r="H542" s="119"/>
      <c r="I542" s="123"/>
      <c r="J542" s="202">
        <f t="shared" si="111"/>
        <v>0</v>
      </c>
      <c r="K542" s="94">
        <f t="shared" si="110"/>
        <v>0</v>
      </c>
      <c r="L542" s="120" t="s">
        <v>15</v>
      </c>
      <c r="M542" s="30"/>
      <c r="N542" s="30"/>
      <c r="O542" s="18">
        <f t="shared" si="112"/>
        <v>0</v>
      </c>
      <c r="P542" s="18">
        <f t="shared" si="113"/>
        <v>0</v>
      </c>
      <c r="Q542" s="8">
        <f t="shared" si="114"/>
        <v>0</v>
      </c>
    </row>
    <row r="543" spans="1:17" ht="21" x14ac:dyDescent="0.5">
      <c r="A543" s="125">
        <v>62</v>
      </c>
      <c r="B543" s="126" t="s">
        <v>296</v>
      </c>
      <c r="C543" s="191" t="s">
        <v>361</v>
      </c>
      <c r="D543" s="189" t="s">
        <v>362</v>
      </c>
      <c r="E543" s="119" t="s">
        <v>363</v>
      </c>
      <c r="F543" s="119"/>
      <c r="G543" s="119" t="s">
        <v>368</v>
      </c>
      <c r="H543" s="119"/>
      <c r="I543" s="123"/>
      <c r="J543" s="202">
        <f t="shared" si="111"/>
        <v>0</v>
      </c>
      <c r="K543" s="94">
        <f t="shared" si="110"/>
        <v>0</v>
      </c>
      <c r="L543" s="120" t="s">
        <v>15</v>
      </c>
      <c r="M543" s="30"/>
      <c r="N543" s="30"/>
      <c r="O543" s="18">
        <f t="shared" si="112"/>
        <v>0</v>
      </c>
      <c r="P543" s="18">
        <f t="shared" si="113"/>
        <v>0</v>
      </c>
      <c r="Q543" s="8">
        <f t="shared" si="114"/>
        <v>0</v>
      </c>
    </row>
    <row r="544" spans="1:17" ht="21" x14ac:dyDescent="0.5">
      <c r="A544" s="125">
        <v>63</v>
      </c>
      <c r="B544" s="126" t="s">
        <v>296</v>
      </c>
      <c r="C544" s="191" t="s">
        <v>361</v>
      </c>
      <c r="D544" s="189" t="s">
        <v>362</v>
      </c>
      <c r="E544" s="119" t="s">
        <v>363</v>
      </c>
      <c r="F544" s="119"/>
      <c r="G544" s="119" t="s">
        <v>369</v>
      </c>
      <c r="H544" s="119"/>
      <c r="I544" s="123"/>
      <c r="J544" s="202">
        <f t="shared" si="111"/>
        <v>0</v>
      </c>
      <c r="K544" s="94">
        <f t="shared" si="110"/>
        <v>0</v>
      </c>
      <c r="L544" s="120" t="s">
        <v>15</v>
      </c>
      <c r="M544" s="30"/>
      <c r="N544" s="30"/>
      <c r="O544" s="18">
        <f t="shared" si="112"/>
        <v>0</v>
      </c>
      <c r="P544" s="18">
        <f t="shared" si="113"/>
        <v>0</v>
      </c>
      <c r="Q544" s="8">
        <f t="shared" si="114"/>
        <v>0</v>
      </c>
    </row>
    <row r="545" spans="1:17" ht="21" x14ac:dyDescent="0.5">
      <c r="A545" s="125">
        <v>64</v>
      </c>
      <c r="B545" s="126" t="s">
        <v>296</v>
      </c>
      <c r="C545" s="191" t="s">
        <v>361</v>
      </c>
      <c r="D545" s="189" t="s">
        <v>362</v>
      </c>
      <c r="E545" s="119" t="s">
        <v>363</v>
      </c>
      <c r="F545" s="119"/>
      <c r="G545" s="119" t="s">
        <v>370</v>
      </c>
      <c r="H545" s="119"/>
      <c r="I545" s="123"/>
      <c r="J545" s="202">
        <f t="shared" si="111"/>
        <v>0</v>
      </c>
      <c r="K545" s="94">
        <f t="shared" si="110"/>
        <v>0</v>
      </c>
      <c r="L545" s="120" t="s">
        <v>15</v>
      </c>
      <c r="M545" s="30"/>
      <c r="N545" s="30"/>
      <c r="O545" s="18">
        <f t="shared" si="112"/>
        <v>0</v>
      </c>
      <c r="P545" s="18">
        <f t="shared" si="113"/>
        <v>0</v>
      </c>
      <c r="Q545" s="8">
        <f t="shared" si="114"/>
        <v>0</v>
      </c>
    </row>
    <row r="546" spans="1:17" ht="21" x14ac:dyDescent="0.5">
      <c r="A546" s="125">
        <v>65</v>
      </c>
      <c r="B546" s="126" t="s">
        <v>296</v>
      </c>
      <c r="C546" s="191" t="s">
        <v>361</v>
      </c>
      <c r="D546" s="189" t="s">
        <v>371</v>
      </c>
      <c r="E546" s="119" t="s">
        <v>372</v>
      </c>
      <c r="F546" s="119"/>
      <c r="G546" s="119" t="s">
        <v>373</v>
      </c>
      <c r="H546" s="119"/>
      <c r="I546" s="123"/>
      <c r="J546" s="202">
        <f t="shared" si="111"/>
        <v>0</v>
      </c>
      <c r="K546" s="94">
        <f t="shared" si="110"/>
        <v>0</v>
      </c>
      <c r="L546" s="120" t="s">
        <v>15</v>
      </c>
      <c r="M546" s="30"/>
      <c r="N546" s="30"/>
      <c r="O546" s="18">
        <f t="shared" si="112"/>
        <v>0</v>
      </c>
      <c r="P546" s="18">
        <f t="shared" si="113"/>
        <v>0</v>
      </c>
      <c r="Q546" s="8">
        <f t="shared" si="114"/>
        <v>0</v>
      </c>
    </row>
    <row r="547" spans="1:17" ht="21" x14ac:dyDescent="0.5">
      <c r="A547" s="125">
        <v>66</v>
      </c>
      <c r="B547" s="126" t="s">
        <v>296</v>
      </c>
      <c r="C547" s="191" t="s">
        <v>361</v>
      </c>
      <c r="D547" s="189" t="s">
        <v>371</v>
      </c>
      <c r="E547" s="119" t="s">
        <v>372</v>
      </c>
      <c r="F547" s="119"/>
      <c r="G547" s="119" t="s">
        <v>374</v>
      </c>
      <c r="H547" s="119"/>
      <c r="I547" s="123"/>
      <c r="J547" s="202">
        <f t="shared" si="111"/>
        <v>0</v>
      </c>
      <c r="K547" s="94">
        <f t="shared" si="110"/>
        <v>0</v>
      </c>
      <c r="L547" s="120" t="s">
        <v>15</v>
      </c>
      <c r="M547" s="30"/>
      <c r="N547" s="30"/>
      <c r="O547" s="18">
        <f t="shared" si="112"/>
        <v>0</v>
      </c>
      <c r="P547" s="18">
        <f t="shared" si="113"/>
        <v>0</v>
      </c>
      <c r="Q547" s="8">
        <f t="shared" si="114"/>
        <v>0</v>
      </c>
    </row>
    <row r="548" spans="1:17" ht="21" x14ac:dyDescent="0.5">
      <c r="A548" s="125"/>
      <c r="B548" s="126" t="s">
        <v>296</v>
      </c>
      <c r="C548" s="191" t="s">
        <v>361</v>
      </c>
      <c r="D548" s="188" t="s">
        <v>502</v>
      </c>
      <c r="E548" s="116" t="s">
        <v>493</v>
      </c>
      <c r="F548" s="97"/>
      <c r="G548" s="97"/>
      <c r="H548" s="97" t="s">
        <v>494</v>
      </c>
      <c r="I548" s="123"/>
      <c r="J548" s="202">
        <f t="shared" si="111"/>
        <v>0</v>
      </c>
      <c r="K548" s="94">
        <f t="shared" si="110"/>
        <v>0</v>
      </c>
      <c r="L548" s="120" t="s">
        <v>15</v>
      </c>
      <c r="M548" s="30"/>
      <c r="N548" s="30"/>
      <c r="O548" s="18">
        <f t="shared" si="112"/>
        <v>0</v>
      </c>
      <c r="P548" s="18">
        <f t="shared" si="113"/>
        <v>0</v>
      </c>
      <c r="Q548" s="8">
        <f t="shared" si="114"/>
        <v>0</v>
      </c>
    </row>
    <row r="549" spans="1:17" ht="21" x14ac:dyDescent="0.5">
      <c r="A549" s="125"/>
      <c r="B549" s="126" t="s">
        <v>296</v>
      </c>
      <c r="C549" s="191" t="s">
        <v>361</v>
      </c>
      <c r="D549" s="188" t="s">
        <v>503</v>
      </c>
      <c r="E549" s="116" t="s">
        <v>493</v>
      </c>
      <c r="F549" s="97" t="s">
        <v>495</v>
      </c>
      <c r="G549" s="97"/>
      <c r="H549" s="97" t="s">
        <v>496</v>
      </c>
      <c r="I549" s="123"/>
      <c r="J549" s="202">
        <f t="shared" si="111"/>
        <v>0</v>
      </c>
      <c r="K549" s="94">
        <f t="shared" si="110"/>
        <v>0</v>
      </c>
      <c r="L549" s="120" t="s">
        <v>15</v>
      </c>
      <c r="M549" s="30"/>
      <c r="N549" s="30"/>
      <c r="O549" s="18">
        <f t="shared" si="112"/>
        <v>0</v>
      </c>
      <c r="P549" s="18">
        <f t="shared" si="113"/>
        <v>0</v>
      </c>
      <c r="Q549" s="8">
        <f t="shared" si="114"/>
        <v>0</v>
      </c>
    </row>
    <row r="550" spans="1:17" ht="21" x14ac:dyDescent="0.5">
      <c r="A550" s="125"/>
      <c r="B550" s="126" t="s">
        <v>296</v>
      </c>
      <c r="C550" s="191" t="s">
        <v>361</v>
      </c>
      <c r="D550" s="188" t="s">
        <v>504</v>
      </c>
      <c r="E550" s="116" t="s">
        <v>493</v>
      </c>
      <c r="F550" s="97" t="s">
        <v>497</v>
      </c>
      <c r="G550" s="97"/>
      <c r="H550" s="97" t="s">
        <v>498</v>
      </c>
      <c r="I550" s="123"/>
      <c r="J550" s="202">
        <f t="shared" si="111"/>
        <v>0</v>
      </c>
      <c r="K550" s="94">
        <f t="shared" si="110"/>
        <v>0</v>
      </c>
      <c r="L550" s="120" t="s">
        <v>15</v>
      </c>
      <c r="M550" s="30"/>
      <c r="N550" s="30"/>
      <c r="O550" s="18">
        <f t="shared" si="112"/>
        <v>0</v>
      </c>
      <c r="P550" s="18">
        <f t="shared" si="113"/>
        <v>0</v>
      </c>
      <c r="Q550" s="8">
        <f t="shared" si="114"/>
        <v>0</v>
      </c>
    </row>
    <row r="551" spans="1:17" ht="21" x14ac:dyDescent="0.5">
      <c r="A551" s="125"/>
      <c r="B551" s="126" t="s">
        <v>296</v>
      </c>
      <c r="C551" s="191" t="s">
        <v>361</v>
      </c>
      <c r="D551" s="188" t="s">
        <v>505</v>
      </c>
      <c r="E551" s="116" t="s">
        <v>499</v>
      </c>
      <c r="F551" s="97" t="s">
        <v>364</v>
      </c>
      <c r="G551" s="97"/>
      <c r="H551" s="97"/>
      <c r="I551" s="123"/>
      <c r="J551" s="202">
        <f t="shared" si="111"/>
        <v>0</v>
      </c>
      <c r="K551" s="94">
        <f t="shared" si="110"/>
        <v>0</v>
      </c>
      <c r="L551" s="120" t="s">
        <v>15</v>
      </c>
      <c r="M551" s="30"/>
      <c r="N551" s="30"/>
      <c r="O551" s="18">
        <f t="shared" si="112"/>
        <v>0</v>
      </c>
      <c r="P551" s="18">
        <f t="shared" si="113"/>
        <v>0</v>
      </c>
      <c r="Q551" s="8">
        <f t="shared" si="114"/>
        <v>0</v>
      </c>
    </row>
    <row r="552" spans="1:17" ht="21" x14ac:dyDescent="0.5">
      <c r="A552" s="125"/>
      <c r="B552" s="126" t="s">
        <v>296</v>
      </c>
      <c r="C552" s="191" t="s">
        <v>361</v>
      </c>
      <c r="D552" s="187" t="s">
        <v>506</v>
      </c>
      <c r="E552" s="98" t="s">
        <v>500</v>
      </c>
      <c r="F552" s="93" t="s">
        <v>501</v>
      </c>
      <c r="G552" s="97"/>
      <c r="H552" s="97"/>
      <c r="I552" s="123"/>
      <c r="J552" s="202">
        <f t="shared" si="111"/>
        <v>0</v>
      </c>
      <c r="K552" s="94">
        <f t="shared" si="110"/>
        <v>0</v>
      </c>
      <c r="L552" s="120" t="s">
        <v>15</v>
      </c>
      <c r="M552" s="30"/>
      <c r="N552" s="30"/>
      <c r="O552" s="18">
        <f t="shared" si="112"/>
        <v>0</v>
      </c>
      <c r="P552" s="18">
        <f t="shared" si="113"/>
        <v>0</v>
      </c>
      <c r="Q552" s="8">
        <f t="shared" si="114"/>
        <v>0</v>
      </c>
    </row>
    <row r="553" spans="1:17" ht="23.25" customHeight="1" x14ac:dyDescent="0.55000000000000004">
      <c r="A553" s="125">
        <v>67</v>
      </c>
      <c r="B553" s="126" t="s">
        <v>296</v>
      </c>
      <c r="C553" s="191" t="s">
        <v>375</v>
      </c>
      <c r="D553" s="186" t="s">
        <v>376</v>
      </c>
      <c r="E553" s="81"/>
      <c r="F553" s="81"/>
      <c r="G553" s="81"/>
      <c r="H553" s="82"/>
      <c r="I553" s="114"/>
      <c r="J553" s="200"/>
      <c r="K553" s="94">
        <f t="shared" si="110"/>
        <v>0</v>
      </c>
      <c r="L553" s="84"/>
      <c r="M553" s="33"/>
      <c r="N553" s="33"/>
      <c r="O553" s="12"/>
      <c r="P553" s="12"/>
      <c r="Q553" s="7"/>
    </row>
    <row r="554" spans="1:17" ht="21" x14ac:dyDescent="0.5">
      <c r="A554" s="125">
        <v>68</v>
      </c>
      <c r="B554" s="126" t="s">
        <v>296</v>
      </c>
      <c r="C554" s="191" t="s">
        <v>375</v>
      </c>
      <c r="D554" s="189" t="s">
        <v>377</v>
      </c>
      <c r="E554" s="119"/>
      <c r="F554" s="119"/>
      <c r="G554" s="119" t="s">
        <v>378</v>
      </c>
      <c r="H554" s="119"/>
      <c r="I554" s="123"/>
      <c r="J554" s="202">
        <v>0</v>
      </c>
      <c r="K554" s="94">
        <f t="shared" si="110"/>
        <v>0</v>
      </c>
      <c r="L554" s="120" t="s">
        <v>15</v>
      </c>
      <c r="M554" s="30"/>
      <c r="N554" s="30"/>
      <c r="O554" s="18">
        <f t="shared" ref="O554:O578" si="115">M554*J554</f>
        <v>0</v>
      </c>
      <c r="P554" s="18">
        <f t="shared" ref="P554:P578" si="116">N554*J554</f>
        <v>0</v>
      </c>
      <c r="Q554" s="8">
        <f t="shared" ref="Q554:Q578" si="117">(M554*J554)+(N554*J554)</f>
        <v>0</v>
      </c>
    </row>
    <row r="555" spans="1:17" ht="21" x14ac:dyDescent="0.5">
      <c r="A555" s="125">
        <v>69</v>
      </c>
      <c r="B555" s="126" t="s">
        <v>296</v>
      </c>
      <c r="C555" s="191" t="s">
        <v>375</v>
      </c>
      <c r="D555" s="189" t="s">
        <v>379</v>
      </c>
      <c r="E555" s="119" t="s">
        <v>380</v>
      </c>
      <c r="F555" s="119"/>
      <c r="G555" s="119" t="s">
        <v>381</v>
      </c>
      <c r="H555" s="119"/>
      <c r="I555" s="123"/>
      <c r="J555" s="202">
        <v>0</v>
      </c>
      <c r="K555" s="94">
        <f t="shared" si="110"/>
        <v>0</v>
      </c>
      <c r="L555" s="120" t="s">
        <v>15</v>
      </c>
      <c r="M555" s="30"/>
      <c r="N555" s="30"/>
      <c r="O555" s="18">
        <f t="shared" si="115"/>
        <v>0</v>
      </c>
      <c r="P555" s="18">
        <f t="shared" si="116"/>
        <v>0</v>
      </c>
      <c r="Q555" s="8">
        <f t="shared" si="117"/>
        <v>0</v>
      </c>
    </row>
    <row r="556" spans="1:17" ht="21" x14ac:dyDescent="0.5">
      <c r="A556" s="125">
        <v>70</v>
      </c>
      <c r="B556" s="126" t="s">
        <v>296</v>
      </c>
      <c r="C556" s="191" t="s">
        <v>375</v>
      </c>
      <c r="D556" s="189" t="s">
        <v>379</v>
      </c>
      <c r="E556" s="119" t="s">
        <v>380</v>
      </c>
      <c r="F556" s="119"/>
      <c r="G556" s="119" t="s">
        <v>382</v>
      </c>
      <c r="H556" s="119"/>
      <c r="I556" s="123"/>
      <c r="J556" s="202">
        <v>0</v>
      </c>
      <c r="K556" s="94">
        <f t="shared" si="110"/>
        <v>0</v>
      </c>
      <c r="L556" s="120" t="s">
        <v>15</v>
      </c>
      <c r="M556" s="30"/>
      <c r="N556" s="30"/>
      <c r="O556" s="18">
        <f t="shared" si="115"/>
        <v>0</v>
      </c>
      <c r="P556" s="18">
        <f t="shared" si="116"/>
        <v>0</v>
      </c>
      <c r="Q556" s="8">
        <f t="shared" si="117"/>
        <v>0</v>
      </c>
    </row>
    <row r="557" spans="1:17" ht="21" x14ac:dyDescent="0.5">
      <c r="A557" s="125">
        <v>71</v>
      </c>
      <c r="B557" s="126" t="s">
        <v>296</v>
      </c>
      <c r="C557" s="191" t="s">
        <v>375</v>
      </c>
      <c r="D557" s="189" t="s">
        <v>379</v>
      </c>
      <c r="E557" s="119" t="s">
        <v>380</v>
      </c>
      <c r="F557" s="119"/>
      <c r="G557" s="119" t="s">
        <v>383</v>
      </c>
      <c r="H557" s="119"/>
      <c r="I557" s="123"/>
      <c r="J557" s="202">
        <v>0</v>
      </c>
      <c r="K557" s="94">
        <f t="shared" si="110"/>
        <v>0</v>
      </c>
      <c r="L557" s="120" t="s">
        <v>15</v>
      </c>
      <c r="M557" s="30"/>
      <c r="N557" s="30"/>
      <c r="O557" s="18">
        <f t="shared" si="115"/>
        <v>0</v>
      </c>
      <c r="P557" s="18">
        <f t="shared" si="116"/>
        <v>0</v>
      </c>
      <c r="Q557" s="8">
        <f t="shared" si="117"/>
        <v>0</v>
      </c>
    </row>
    <row r="558" spans="1:17" ht="21" x14ac:dyDescent="0.5">
      <c r="A558" s="125">
        <v>72</v>
      </c>
      <c r="B558" s="126" t="s">
        <v>296</v>
      </c>
      <c r="C558" s="191" t="s">
        <v>375</v>
      </c>
      <c r="D558" s="189" t="s">
        <v>379</v>
      </c>
      <c r="E558" s="119" t="s">
        <v>380</v>
      </c>
      <c r="F558" s="119"/>
      <c r="G558" s="119" t="s">
        <v>384</v>
      </c>
      <c r="H558" s="119"/>
      <c r="I558" s="123"/>
      <c r="J558" s="202">
        <v>0</v>
      </c>
      <c r="K558" s="94">
        <f t="shared" si="110"/>
        <v>0</v>
      </c>
      <c r="L558" s="120" t="s">
        <v>15</v>
      </c>
      <c r="M558" s="30"/>
      <c r="N558" s="30"/>
      <c r="O558" s="18">
        <f t="shared" si="115"/>
        <v>0</v>
      </c>
      <c r="P558" s="18">
        <f t="shared" si="116"/>
        <v>0</v>
      </c>
      <c r="Q558" s="8">
        <f t="shared" si="117"/>
        <v>0</v>
      </c>
    </row>
    <row r="559" spans="1:17" ht="21" x14ac:dyDescent="0.5">
      <c r="A559" s="125">
        <v>73</v>
      </c>
      <c r="B559" s="126" t="s">
        <v>296</v>
      </c>
      <c r="C559" s="191" t="s">
        <v>375</v>
      </c>
      <c r="D559" s="189" t="s">
        <v>379</v>
      </c>
      <c r="E559" s="119" t="s">
        <v>380</v>
      </c>
      <c r="F559" s="119"/>
      <c r="G559" s="119" t="s">
        <v>385</v>
      </c>
      <c r="H559" s="119"/>
      <c r="I559" s="123">
        <v>1</v>
      </c>
      <c r="J559" s="202">
        <v>0</v>
      </c>
      <c r="K559" s="94">
        <f t="shared" si="110"/>
        <v>-1</v>
      </c>
      <c r="L559" s="120" t="s">
        <v>15</v>
      </c>
      <c r="M559" s="30"/>
      <c r="N559" s="30"/>
      <c r="O559" s="18">
        <f t="shared" si="115"/>
        <v>0</v>
      </c>
      <c r="P559" s="18">
        <f t="shared" si="116"/>
        <v>0</v>
      </c>
      <c r="Q559" s="8">
        <f t="shared" si="117"/>
        <v>0</v>
      </c>
    </row>
    <row r="560" spans="1:17" ht="21" x14ac:dyDescent="0.5">
      <c r="A560" s="125">
        <v>74</v>
      </c>
      <c r="B560" s="126" t="s">
        <v>296</v>
      </c>
      <c r="C560" s="191" t="s">
        <v>375</v>
      </c>
      <c r="D560" s="189" t="s">
        <v>379</v>
      </c>
      <c r="E560" s="119" t="s">
        <v>380</v>
      </c>
      <c r="F560" s="119"/>
      <c r="G560" s="119" t="s">
        <v>386</v>
      </c>
      <c r="H560" s="119"/>
      <c r="I560" s="123"/>
      <c r="J560" s="202">
        <v>1</v>
      </c>
      <c r="K560" s="94">
        <f t="shared" si="110"/>
        <v>1</v>
      </c>
      <c r="L560" s="120" t="s">
        <v>15</v>
      </c>
      <c r="M560" s="30"/>
      <c r="N560" s="30"/>
      <c r="O560" s="18">
        <f t="shared" si="115"/>
        <v>0</v>
      </c>
      <c r="P560" s="18">
        <f t="shared" si="116"/>
        <v>0</v>
      </c>
      <c r="Q560" s="8">
        <f t="shared" si="117"/>
        <v>0</v>
      </c>
    </row>
    <row r="561" spans="1:17" ht="21" x14ac:dyDescent="0.5">
      <c r="A561" s="125">
        <v>75</v>
      </c>
      <c r="B561" s="126" t="s">
        <v>296</v>
      </c>
      <c r="C561" s="191" t="s">
        <v>375</v>
      </c>
      <c r="D561" s="189" t="s">
        <v>387</v>
      </c>
      <c r="E561" s="119" t="s">
        <v>388</v>
      </c>
      <c r="F561" s="119"/>
      <c r="G561" s="119" t="s">
        <v>389</v>
      </c>
      <c r="H561" s="119"/>
      <c r="I561" s="123"/>
      <c r="J561" s="202">
        <v>0</v>
      </c>
      <c r="K561" s="94">
        <f t="shared" si="110"/>
        <v>0</v>
      </c>
      <c r="L561" s="120" t="s">
        <v>15</v>
      </c>
      <c r="M561" s="30"/>
      <c r="N561" s="30"/>
      <c r="O561" s="18">
        <f t="shared" si="115"/>
        <v>0</v>
      </c>
      <c r="P561" s="18">
        <f t="shared" si="116"/>
        <v>0</v>
      </c>
      <c r="Q561" s="8">
        <f t="shared" si="117"/>
        <v>0</v>
      </c>
    </row>
    <row r="562" spans="1:17" ht="21" x14ac:dyDescent="0.5">
      <c r="A562" s="125">
        <v>76</v>
      </c>
      <c r="B562" s="126" t="s">
        <v>296</v>
      </c>
      <c r="C562" s="191" t="s">
        <v>375</v>
      </c>
      <c r="D562" s="189" t="s">
        <v>387</v>
      </c>
      <c r="E562" s="119" t="s">
        <v>388</v>
      </c>
      <c r="F562" s="119"/>
      <c r="G562" s="119" t="s">
        <v>390</v>
      </c>
      <c r="H562" s="119"/>
      <c r="I562" s="123"/>
      <c r="J562" s="202">
        <v>0</v>
      </c>
      <c r="K562" s="94">
        <f t="shared" si="110"/>
        <v>0</v>
      </c>
      <c r="L562" s="120" t="s">
        <v>15</v>
      </c>
      <c r="M562" s="30"/>
      <c r="N562" s="30"/>
      <c r="O562" s="18">
        <f t="shared" si="115"/>
        <v>0</v>
      </c>
      <c r="P562" s="18">
        <f t="shared" si="116"/>
        <v>0</v>
      </c>
      <c r="Q562" s="8">
        <f t="shared" si="117"/>
        <v>0</v>
      </c>
    </row>
    <row r="563" spans="1:17" ht="21" x14ac:dyDescent="0.5">
      <c r="A563" s="125">
        <v>77</v>
      </c>
      <c r="B563" s="126" t="s">
        <v>296</v>
      </c>
      <c r="C563" s="191" t="s">
        <v>375</v>
      </c>
      <c r="D563" s="189" t="s">
        <v>387</v>
      </c>
      <c r="E563" s="119" t="s">
        <v>388</v>
      </c>
      <c r="F563" s="119"/>
      <c r="G563" s="119" t="s">
        <v>391</v>
      </c>
      <c r="H563" s="119"/>
      <c r="I563" s="123"/>
      <c r="J563" s="202">
        <v>0</v>
      </c>
      <c r="K563" s="94">
        <f t="shared" si="110"/>
        <v>0</v>
      </c>
      <c r="L563" s="120" t="s">
        <v>15</v>
      </c>
      <c r="M563" s="30"/>
      <c r="N563" s="30"/>
      <c r="O563" s="18">
        <f t="shared" si="115"/>
        <v>0</v>
      </c>
      <c r="P563" s="18">
        <f t="shared" si="116"/>
        <v>0</v>
      </c>
      <c r="Q563" s="8">
        <f t="shared" si="117"/>
        <v>0</v>
      </c>
    </row>
    <row r="564" spans="1:17" ht="21" x14ac:dyDescent="0.5">
      <c r="A564" s="125">
        <v>78</v>
      </c>
      <c r="B564" s="126" t="s">
        <v>296</v>
      </c>
      <c r="C564" s="191" t="s">
        <v>375</v>
      </c>
      <c r="D564" s="189" t="s">
        <v>387</v>
      </c>
      <c r="E564" s="119" t="s">
        <v>388</v>
      </c>
      <c r="F564" s="119"/>
      <c r="G564" s="119" t="s">
        <v>392</v>
      </c>
      <c r="H564" s="119"/>
      <c r="I564" s="123"/>
      <c r="J564" s="202">
        <v>0</v>
      </c>
      <c r="K564" s="94">
        <f t="shared" si="110"/>
        <v>0</v>
      </c>
      <c r="L564" s="120" t="s">
        <v>15</v>
      </c>
      <c r="M564" s="30"/>
      <c r="N564" s="30"/>
      <c r="O564" s="18">
        <f t="shared" si="115"/>
        <v>0</v>
      </c>
      <c r="P564" s="18">
        <f t="shared" si="116"/>
        <v>0</v>
      </c>
      <c r="Q564" s="8">
        <f t="shared" si="117"/>
        <v>0</v>
      </c>
    </row>
    <row r="565" spans="1:17" ht="21" x14ac:dyDescent="0.5">
      <c r="A565" s="125">
        <v>79</v>
      </c>
      <c r="B565" s="126" t="s">
        <v>296</v>
      </c>
      <c r="C565" s="191" t="s">
        <v>375</v>
      </c>
      <c r="D565" s="189" t="s">
        <v>387</v>
      </c>
      <c r="E565" s="119" t="s">
        <v>388</v>
      </c>
      <c r="F565" s="119"/>
      <c r="G565" s="119" t="s">
        <v>393</v>
      </c>
      <c r="H565" s="119"/>
      <c r="I565" s="123"/>
      <c r="J565" s="202">
        <v>0</v>
      </c>
      <c r="K565" s="94">
        <f t="shared" si="110"/>
        <v>0</v>
      </c>
      <c r="L565" s="120" t="s">
        <v>15</v>
      </c>
      <c r="M565" s="30"/>
      <c r="N565" s="30"/>
      <c r="O565" s="18">
        <f t="shared" si="115"/>
        <v>0</v>
      </c>
      <c r="P565" s="18">
        <f t="shared" si="116"/>
        <v>0</v>
      </c>
      <c r="Q565" s="8">
        <f t="shared" si="117"/>
        <v>0</v>
      </c>
    </row>
    <row r="566" spans="1:17" ht="21" x14ac:dyDescent="0.5">
      <c r="A566" s="125">
        <v>80</v>
      </c>
      <c r="B566" s="126" t="s">
        <v>296</v>
      </c>
      <c r="C566" s="191" t="s">
        <v>375</v>
      </c>
      <c r="D566" s="189" t="s">
        <v>394</v>
      </c>
      <c r="E566" s="119" t="s">
        <v>395</v>
      </c>
      <c r="F566" s="119"/>
      <c r="G566" s="119" t="s">
        <v>378</v>
      </c>
      <c r="H566" s="119"/>
      <c r="I566" s="123"/>
      <c r="J566" s="202">
        <v>0</v>
      </c>
      <c r="K566" s="94">
        <f t="shared" si="110"/>
        <v>0</v>
      </c>
      <c r="L566" s="120" t="s">
        <v>15</v>
      </c>
      <c r="M566" s="30"/>
      <c r="N566" s="30"/>
      <c r="O566" s="18">
        <f t="shared" si="115"/>
        <v>0</v>
      </c>
      <c r="P566" s="18">
        <f t="shared" si="116"/>
        <v>0</v>
      </c>
      <c r="Q566" s="8">
        <f t="shared" si="117"/>
        <v>0</v>
      </c>
    </row>
    <row r="567" spans="1:17" ht="21" x14ac:dyDescent="0.5">
      <c r="A567" s="125">
        <v>81</v>
      </c>
      <c r="B567" s="126" t="s">
        <v>296</v>
      </c>
      <c r="C567" s="191" t="s">
        <v>375</v>
      </c>
      <c r="D567" s="189" t="s">
        <v>396</v>
      </c>
      <c r="E567" s="119" t="s">
        <v>395</v>
      </c>
      <c r="F567" s="119"/>
      <c r="G567" s="119" t="s">
        <v>397</v>
      </c>
      <c r="H567" s="119"/>
      <c r="I567" s="123"/>
      <c r="J567" s="202">
        <v>1</v>
      </c>
      <c r="K567" s="94">
        <f t="shared" si="110"/>
        <v>1</v>
      </c>
      <c r="L567" s="120" t="s">
        <v>15</v>
      </c>
      <c r="M567" s="30"/>
      <c r="N567" s="30"/>
      <c r="O567" s="18">
        <f t="shared" si="115"/>
        <v>0</v>
      </c>
      <c r="P567" s="18">
        <f t="shared" si="116"/>
        <v>0</v>
      </c>
      <c r="Q567" s="8">
        <f t="shared" si="117"/>
        <v>0</v>
      </c>
    </row>
    <row r="568" spans="1:17" ht="21" x14ac:dyDescent="0.5">
      <c r="A568" s="125">
        <v>82</v>
      </c>
      <c r="B568" s="126" t="s">
        <v>296</v>
      </c>
      <c r="C568" s="191" t="s">
        <v>398</v>
      </c>
      <c r="D568" s="189" t="s">
        <v>399</v>
      </c>
      <c r="E568" s="119"/>
      <c r="F568" s="119"/>
      <c r="G568" s="119" t="s">
        <v>400</v>
      </c>
      <c r="H568" s="119"/>
      <c r="I568" s="123"/>
      <c r="J568" s="202">
        <v>0</v>
      </c>
      <c r="K568" s="94">
        <f t="shared" si="110"/>
        <v>0</v>
      </c>
      <c r="L568" s="120" t="s">
        <v>15</v>
      </c>
      <c r="M568" s="30"/>
      <c r="N568" s="30"/>
      <c r="O568" s="18">
        <f t="shared" si="115"/>
        <v>0</v>
      </c>
      <c r="P568" s="18">
        <f t="shared" si="116"/>
        <v>0</v>
      </c>
      <c r="Q568" s="8">
        <f t="shared" si="117"/>
        <v>0</v>
      </c>
    </row>
    <row r="569" spans="1:17" ht="21" x14ac:dyDescent="0.5">
      <c r="A569" s="125">
        <v>83</v>
      </c>
      <c r="B569" s="126" t="s">
        <v>296</v>
      </c>
      <c r="C569" s="191" t="s">
        <v>398</v>
      </c>
      <c r="D569" s="189" t="s">
        <v>399</v>
      </c>
      <c r="E569" s="119"/>
      <c r="F569" s="119"/>
      <c r="G569" s="119" t="s">
        <v>401</v>
      </c>
      <c r="H569" s="119"/>
      <c r="I569" s="123"/>
      <c r="J569" s="202">
        <v>0</v>
      </c>
      <c r="K569" s="94">
        <f t="shared" si="110"/>
        <v>0</v>
      </c>
      <c r="L569" s="120" t="s">
        <v>15</v>
      </c>
      <c r="M569" s="30"/>
      <c r="N569" s="30"/>
      <c r="O569" s="18">
        <f t="shared" si="115"/>
        <v>0</v>
      </c>
      <c r="P569" s="18">
        <f t="shared" si="116"/>
        <v>0</v>
      </c>
      <c r="Q569" s="8">
        <f t="shared" si="117"/>
        <v>0</v>
      </c>
    </row>
    <row r="570" spans="1:17" ht="21" x14ac:dyDescent="0.5">
      <c r="A570" s="125">
        <v>84</v>
      </c>
      <c r="B570" s="126" t="s">
        <v>296</v>
      </c>
      <c r="C570" s="191" t="s">
        <v>398</v>
      </c>
      <c r="D570" s="189" t="s">
        <v>399</v>
      </c>
      <c r="E570" s="119"/>
      <c r="F570" s="119"/>
      <c r="G570" s="119" t="s">
        <v>402</v>
      </c>
      <c r="H570" s="119"/>
      <c r="I570" s="123"/>
      <c r="J570" s="202">
        <v>0</v>
      </c>
      <c r="K570" s="94">
        <f t="shared" si="110"/>
        <v>0</v>
      </c>
      <c r="L570" s="120" t="s">
        <v>15</v>
      </c>
      <c r="M570" s="30"/>
      <c r="N570" s="30"/>
      <c r="O570" s="18">
        <f t="shared" si="115"/>
        <v>0</v>
      </c>
      <c r="P570" s="18">
        <f t="shared" si="116"/>
        <v>0</v>
      </c>
      <c r="Q570" s="8">
        <f t="shared" si="117"/>
        <v>0</v>
      </c>
    </row>
    <row r="571" spans="1:17" ht="21" x14ac:dyDescent="0.5">
      <c r="A571" s="125">
        <v>85</v>
      </c>
      <c r="B571" s="126" t="s">
        <v>296</v>
      </c>
      <c r="C571" s="191" t="s">
        <v>398</v>
      </c>
      <c r="D571" s="189" t="s">
        <v>399</v>
      </c>
      <c r="E571" s="119"/>
      <c r="F571" s="119"/>
      <c r="G571" s="119" t="s">
        <v>403</v>
      </c>
      <c r="H571" s="119"/>
      <c r="I571" s="123"/>
      <c r="J571" s="202">
        <v>0</v>
      </c>
      <c r="K571" s="94">
        <f t="shared" si="110"/>
        <v>0</v>
      </c>
      <c r="L571" s="120" t="s">
        <v>15</v>
      </c>
      <c r="M571" s="30"/>
      <c r="N571" s="30"/>
      <c r="O571" s="18">
        <f t="shared" si="115"/>
        <v>0</v>
      </c>
      <c r="P571" s="18">
        <f t="shared" si="116"/>
        <v>0</v>
      </c>
      <c r="Q571" s="8">
        <f t="shared" si="117"/>
        <v>0</v>
      </c>
    </row>
    <row r="572" spans="1:17" ht="21" x14ac:dyDescent="0.5">
      <c r="A572" s="125">
        <v>86</v>
      </c>
      <c r="B572" s="126" t="s">
        <v>296</v>
      </c>
      <c r="C572" s="191" t="s">
        <v>398</v>
      </c>
      <c r="D572" s="189" t="s">
        <v>399</v>
      </c>
      <c r="E572" s="119"/>
      <c r="F572" s="119"/>
      <c r="G572" s="119" t="s">
        <v>404</v>
      </c>
      <c r="H572" s="119"/>
      <c r="I572" s="123"/>
      <c r="J572" s="202">
        <v>0</v>
      </c>
      <c r="K572" s="94">
        <f t="shared" si="110"/>
        <v>0</v>
      </c>
      <c r="L572" s="120" t="s">
        <v>15</v>
      </c>
      <c r="M572" s="30"/>
      <c r="N572" s="30"/>
      <c r="O572" s="18">
        <f t="shared" si="115"/>
        <v>0</v>
      </c>
      <c r="P572" s="18">
        <f t="shared" si="116"/>
        <v>0</v>
      </c>
      <c r="Q572" s="8">
        <f t="shared" si="117"/>
        <v>0</v>
      </c>
    </row>
    <row r="573" spans="1:17" ht="21" x14ac:dyDescent="0.5">
      <c r="A573" s="125">
        <v>87</v>
      </c>
      <c r="B573" s="126" t="s">
        <v>296</v>
      </c>
      <c r="C573" s="191" t="s">
        <v>398</v>
      </c>
      <c r="D573" s="189" t="s">
        <v>399</v>
      </c>
      <c r="E573" s="119"/>
      <c r="F573" s="119"/>
      <c r="G573" s="119" t="s">
        <v>405</v>
      </c>
      <c r="H573" s="119"/>
      <c r="I573" s="123"/>
      <c r="J573" s="202">
        <v>0</v>
      </c>
      <c r="K573" s="94">
        <f t="shared" si="110"/>
        <v>0</v>
      </c>
      <c r="L573" s="120" t="s">
        <v>15</v>
      </c>
      <c r="M573" s="30"/>
      <c r="N573" s="30"/>
      <c r="O573" s="18">
        <f t="shared" si="115"/>
        <v>0</v>
      </c>
      <c r="P573" s="18">
        <f t="shared" si="116"/>
        <v>0</v>
      </c>
      <c r="Q573" s="8">
        <f t="shared" si="117"/>
        <v>0</v>
      </c>
    </row>
    <row r="574" spans="1:17" ht="21" x14ac:dyDescent="0.5">
      <c r="A574" s="125">
        <v>88</v>
      </c>
      <c r="B574" s="126" t="s">
        <v>296</v>
      </c>
      <c r="C574" s="191" t="s">
        <v>398</v>
      </c>
      <c r="D574" s="189" t="s">
        <v>399</v>
      </c>
      <c r="E574" s="119"/>
      <c r="F574" s="119"/>
      <c r="G574" s="119" t="s">
        <v>406</v>
      </c>
      <c r="H574" s="119"/>
      <c r="I574" s="123"/>
      <c r="J574" s="202">
        <v>0</v>
      </c>
      <c r="K574" s="94">
        <f t="shared" si="110"/>
        <v>0</v>
      </c>
      <c r="L574" s="120" t="s">
        <v>15</v>
      </c>
      <c r="M574" s="30"/>
      <c r="N574" s="30"/>
      <c r="O574" s="18">
        <f t="shared" si="115"/>
        <v>0</v>
      </c>
      <c r="P574" s="18">
        <f t="shared" si="116"/>
        <v>0</v>
      </c>
      <c r="Q574" s="8">
        <f t="shared" si="117"/>
        <v>0</v>
      </c>
    </row>
    <row r="575" spans="1:17" ht="21" x14ac:dyDescent="0.5">
      <c r="A575" s="125">
        <v>89</v>
      </c>
      <c r="B575" s="126" t="s">
        <v>296</v>
      </c>
      <c r="C575" s="191" t="s">
        <v>398</v>
      </c>
      <c r="D575" s="189" t="s">
        <v>399</v>
      </c>
      <c r="E575" s="119"/>
      <c r="F575" s="119"/>
      <c r="G575" s="119" t="s">
        <v>407</v>
      </c>
      <c r="H575" s="119"/>
      <c r="I575" s="123"/>
      <c r="J575" s="202">
        <v>0</v>
      </c>
      <c r="K575" s="94">
        <f t="shared" si="110"/>
        <v>0</v>
      </c>
      <c r="L575" s="120" t="s">
        <v>15</v>
      </c>
      <c r="M575" s="30"/>
      <c r="N575" s="30"/>
      <c r="O575" s="18">
        <f t="shared" si="115"/>
        <v>0</v>
      </c>
      <c r="P575" s="18">
        <f t="shared" si="116"/>
        <v>0</v>
      </c>
      <c r="Q575" s="8">
        <f t="shared" si="117"/>
        <v>0</v>
      </c>
    </row>
    <row r="576" spans="1:17" ht="21" x14ac:dyDescent="0.5">
      <c r="A576" s="125">
        <v>90</v>
      </c>
      <c r="B576" s="126" t="s">
        <v>296</v>
      </c>
      <c r="C576" s="191" t="s">
        <v>398</v>
      </c>
      <c r="D576" s="189" t="s">
        <v>408</v>
      </c>
      <c r="E576" s="119"/>
      <c r="F576" s="119"/>
      <c r="G576" s="119" t="s">
        <v>409</v>
      </c>
      <c r="H576" s="119"/>
      <c r="I576" s="123"/>
      <c r="J576" s="202">
        <v>0</v>
      </c>
      <c r="K576" s="94">
        <f t="shared" si="110"/>
        <v>0</v>
      </c>
      <c r="L576" s="120" t="s">
        <v>15</v>
      </c>
      <c r="M576" s="30"/>
      <c r="N576" s="30"/>
      <c r="O576" s="18">
        <f t="shared" si="115"/>
        <v>0</v>
      </c>
      <c r="P576" s="18">
        <f t="shared" si="116"/>
        <v>0</v>
      </c>
      <c r="Q576" s="8">
        <f t="shared" si="117"/>
        <v>0</v>
      </c>
    </row>
    <row r="577" spans="1:20" ht="21" x14ac:dyDescent="0.5">
      <c r="A577" s="125">
        <v>91</v>
      </c>
      <c r="B577" s="126" t="s">
        <v>296</v>
      </c>
      <c r="C577" s="191" t="s">
        <v>398</v>
      </c>
      <c r="D577" s="189" t="s">
        <v>410</v>
      </c>
      <c r="E577" s="119" t="s">
        <v>183</v>
      </c>
      <c r="F577" s="119"/>
      <c r="G577" s="119" t="s">
        <v>411</v>
      </c>
      <c r="H577" s="119"/>
      <c r="I577" s="123">
        <v>29</v>
      </c>
      <c r="J577" s="202">
        <v>0</v>
      </c>
      <c r="K577" s="94">
        <f t="shared" si="110"/>
        <v>-29</v>
      </c>
      <c r="L577" s="120" t="s">
        <v>45</v>
      </c>
      <c r="M577" s="30"/>
      <c r="N577" s="30"/>
      <c r="O577" s="18">
        <f t="shared" si="115"/>
        <v>0</v>
      </c>
      <c r="P577" s="18">
        <f t="shared" si="116"/>
        <v>0</v>
      </c>
      <c r="Q577" s="8">
        <f t="shared" si="117"/>
        <v>0</v>
      </c>
    </row>
    <row r="578" spans="1:20" ht="21" x14ac:dyDescent="0.5">
      <c r="A578" s="125">
        <v>92</v>
      </c>
      <c r="B578" s="126" t="s">
        <v>296</v>
      </c>
      <c r="C578" s="191" t="s">
        <v>398</v>
      </c>
      <c r="D578" s="189" t="s">
        <v>412</v>
      </c>
      <c r="E578" s="119" t="s">
        <v>183</v>
      </c>
      <c r="F578" s="119"/>
      <c r="G578" s="119" t="s">
        <v>413</v>
      </c>
      <c r="H578" s="119"/>
      <c r="I578" s="123">
        <v>0</v>
      </c>
      <c r="J578" s="202">
        <v>0</v>
      </c>
      <c r="K578" s="94">
        <f t="shared" si="110"/>
        <v>0</v>
      </c>
      <c r="L578" s="120" t="s">
        <v>45</v>
      </c>
      <c r="M578" s="30"/>
      <c r="N578" s="30"/>
      <c r="O578" s="18">
        <f t="shared" si="115"/>
        <v>0</v>
      </c>
      <c r="P578" s="18">
        <f t="shared" si="116"/>
        <v>0</v>
      </c>
      <c r="Q578" s="8">
        <f t="shared" si="117"/>
        <v>0</v>
      </c>
    </row>
    <row r="579" spans="1:20" ht="23.25" customHeight="1" x14ac:dyDescent="0.55000000000000004">
      <c r="A579" s="125">
        <v>93</v>
      </c>
      <c r="B579" s="126" t="s">
        <v>296</v>
      </c>
      <c r="C579" s="191" t="s">
        <v>250</v>
      </c>
      <c r="D579" s="186" t="s">
        <v>251</v>
      </c>
      <c r="E579" s="81"/>
      <c r="F579" s="81"/>
      <c r="G579" s="81"/>
      <c r="H579" s="82"/>
      <c r="I579" s="114"/>
      <c r="J579" s="200"/>
      <c r="K579" s="94">
        <f t="shared" si="110"/>
        <v>0</v>
      </c>
      <c r="L579" s="84"/>
      <c r="M579" s="33"/>
      <c r="N579" s="33"/>
      <c r="O579" s="12"/>
      <c r="P579" s="12"/>
      <c r="Q579" s="7"/>
    </row>
    <row r="580" spans="1:20" ht="21" x14ac:dyDescent="0.5">
      <c r="A580" s="125">
        <v>94</v>
      </c>
      <c r="B580" s="126" t="s">
        <v>296</v>
      </c>
      <c r="C580" s="191" t="s">
        <v>250</v>
      </c>
      <c r="D580" s="192" t="s">
        <v>414</v>
      </c>
      <c r="E580" s="136"/>
      <c r="F580" s="136"/>
      <c r="G580" s="136"/>
      <c r="H580" s="119"/>
      <c r="I580" s="123">
        <v>48</v>
      </c>
      <c r="J580" s="202">
        <v>55</v>
      </c>
      <c r="K580" s="94">
        <f t="shared" si="110"/>
        <v>7</v>
      </c>
      <c r="L580" s="120" t="s">
        <v>415</v>
      </c>
      <c r="M580" s="27"/>
      <c r="N580" s="27"/>
      <c r="O580" s="18">
        <f t="shared" ref="O580:O585" si="118">M580*J580</f>
        <v>0</v>
      </c>
      <c r="P580" s="18">
        <f t="shared" ref="P580:P585" si="119">N580*J580</f>
        <v>0</v>
      </c>
      <c r="Q580" s="8">
        <f t="shared" ref="Q580:Q585" si="120">(M580*J580)+(N580*J580)</f>
        <v>0</v>
      </c>
    </row>
    <row r="581" spans="1:20" ht="21" x14ac:dyDescent="0.5">
      <c r="A581" s="125">
        <v>95</v>
      </c>
      <c r="B581" s="126" t="s">
        <v>296</v>
      </c>
      <c r="C581" s="191" t="s">
        <v>250</v>
      </c>
      <c r="D581" s="189" t="s">
        <v>416</v>
      </c>
      <c r="E581" s="119"/>
      <c r="F581" s="119"/>
      <c r="G581" s="119"/>
      <c r="H581" s="119"/>
      <c r="I581" s="123">
        <v>1</v>
      </c>
      <c r="J581" s="202">
        <f t="shared" si="111"/>
        <v>1</v>
      </c>
      <c r="K581" s="94">
        <f t="shared" si="110"/>
        <v>0</v>
      </c>
      <c r="L581" s="120" t="s">
        <v>15</v>
      </c>
      <c r="M581" s="27"/>
      <c r="N581" s="27"/>
      <c r="O581" s="18">
        <f t="shared" si="118"/>
        <v>0</v>
      </c>
      <c r="P581" s="18">
        <f t="shared" si="119"/>
        <v>0</v>
      </c>
      <c r="Q581" s="8">
        <f t="shared" si="120"/>
        <v>0</v>
      </c>
    </row>
    <row r="582" spans="1:20" ht="21" x14ac:dyDescent="0.5">
      <c r="A582" s="125">
        <v>96</v>
      </c>
      <c r="B582" s="126" t="s">
        <v>296</v>
      </c>
      <c r="C582" s="191" t="s">
        <v>250</v>
      </c>
      <c r="D582" s="189" t="s">
        <v>417</v>
      </c>
      <c r="E582" s="119"/>
      <c r="F582" s="119"/>
      <c r="G582" s="119"/>
      <c r="H582" s="119"/>
      <c r="I582" s="123">
        <v>0</v>
      </c>
      <c r="J582" s="202">
        <f t="shared" si="111"/>
        <v>0</v>
      </c>
      <c r="K582" s="94">
        <f t="shared" si="110"/>
        <v>0</v>
      </c>
      <c r="L582" s="120" t="s">
        <v>15</v>
      </c>
      <c r="M582" s="27"/>
      <c r="N582" s="27"/>
      <c r="O582" s="18">
        <f t="shared" si="118"/>
        <v>0</v>
      </c>
      <c r="P582" s="18">
        <f t="shared" si="119"/>
        <v>0</v>
      </c>
      <c r="Q582" s="8">
        <f t="shared" si="120"/>
        <v>0</v>
      </c>
    </row>
    <row r="583" spans="1:20" ht="21" x14ac:dyDescent="0.5">
      <c r="A583" s="125">
        <v>97</v>
      </c>
      <c r="B583" s="126" t="s">
        <v>296</v>
      </c>
      <c r="C583" s="191" t="s">
        <v>250</v>
      </c>
      <c r="D583" s="189" t="s">
        <v>418</v>
      </c>
      <c r="E583" s="119"/>
      <c r="F583" s="119"/>
      <c r="G583" s="119"/>
      <c r="H583" s="119"/>
      <c r="I583" s="123">
        <v>1</v>
      </c>
      <c r="J583" s="202">
        <f t="shared" si="111"/>
        <v>1</v>
      </c>
      <c r="K583" s="94">
        <f t="shared" si="110"/>
        <v>0</v>
      </c>
      <c r="L583" s="120" t="s">
        <v>15</v>
      </c>
      <c r="M583" s="27"/>
      <c r="N583" s="27"/>
      <c r="O583" s="18">
        <f t="shared" si="118"/>
        <v>0</v>
      </c>
      <c r="P583" s="18">
        <f t="shared" si="119"/>
        <v>0</v>
      </c>
      <c r="Q583" s="8">
        <f t="shared" si="120"/>
        <v>0</v>
      </c>
    </row>
    <row r="584" spans="1:20" ht="21" x14ac:dyDescent="0.5">
      <c r="A584" s="125">
        <v>98</v>
      </c>
      <c r="B584" s="126" t="s">
        <v>296</v>
      </c>
      <c r="C584" s="193" t="s">
        <v>250</v>
      </c>
      <c r="D584" s="188" t="s">
        <v>254</v>
      </c>
      <c r="E584" s="97" t="s">
        <v>255</v>
      </c>
      <c r="F584" s="97"/>
      <c r="G584" s="97" t="s">
        <v>256</v>
      </c>
      <c r="H584" s="105"/>
      <c r="I584" s="123">
        <v>12</v>
      </c>
      <c r="J584" s="202">
        <v>15</v>
      </c>
      <c r="K584" s="94">
        <f t="shared" si="110"/>
        <v>3</v>
      </c>
      <c r="L584" s="95" t="s">
        <v>45</v>
      </c>
      <c r="M584" s="27"/>
      <c r="N584" s="27"/>
      <c r="O584" s="18">
        <f t="shared" si="118"/>
        <v>0</v>
      </c>
      <c r="P584" s="18">
        <f t="shared" si="119"/>
        <v>0</v>
      </c>
      <c r="Q584" s="8">
        <f t="shared" si="120"/>
        <v>0</v>
      </c>
    </row>
    <row r="585" spans="1:20" ht="21" x14ac:dyDescent="0.5">
      <c r="A585" s="125">
        <v>99</v>
      </c>
      <c r="B585" s="126" t="s">
        <v>296</v>
      </c>
      <c r="C585" s="193" t="s">
        <v>250</v>
      </c>
      <c r="D585" s="188" t="s">
        <v>254</v>
      </c>
      <c r="E585" s="97" t="s">
        <v>255</v>
      </c>
      <c r="F585" s="97"/>
      <c r="G585" s="97" t="s">
        <v>257</v>
      </c>
      <c r="H585" s="105"/>
      <c r="I585" s="123">
        <v>0</v>
      </c>
      <c r="J585" s="202">
        <v>15</v>
      </c>
      <c r="K585" s="94">
        <f t="shared" si="110"/>
        <v>15</v>
      </c>
      <c r="L585" s="95" t="s">
        <v>45</v>
      </c>
      <c r="M585" s="27"/>
      <c r="N585" s="27"/>
      <c r="O585" s="18">
        <f t="shared" si="118"/>
        <v>0</v>
      </c>
      <c r="P585" s="18">
        <f t="shared" si="119"/>
        <v>0</v>
      </c>
      <c r="Q585" s="8">
        <f t="shared" si="120"/>
        <v>0</v>
      </c>
    </row>
    <row r="586" spans="1:20" ht="29" thickBot="1" x14ac:dyDescent="0.4">
      <c r="A586" s="137"/>
      <c r="B586" s="138"/>
      <c r="C586" s="139"/>
      <c r="D586" s="140"/>
      <c r="E586" s="140"/>
      <c r="F586" s="140"/>
      <c r="G586" s="140"/>
      <c r="H586" s="141"/>
      <c r="I586" s="142"/>
      <c r="J586" s="141"/>
      <c r="K586" s="142"/>
      <c r="L586" s="143"/>
      <c r="M586" s="11"/>
      <c r="N586" s="11"/>
      <c r="O586" s="11"/>
      <c r="P586" s="11"/>
      <c r="Q586" s="1">
        <f>SUM(Q483:Q585)</f>
        <v>0</v>
      </c>
    </row>
    <row r="587" spans="1:20" ht="21" customHeight="1" thickBot="1" x14ac:dyDescent="0.55000000000000004">
      <c r="A587" s="144"/>
      <c r="B587" s="129"/>
      <c r="C587" s="145" t="s">
        <v>419</v>
      </c>
      <c r="D587" s="146"/>
      <c r="E587" s="147"/>
      <c r="F587" s="147"/>
      <c r="G587" s="147"/>
      <c r="H587" s="148"/>
      <c r="I587" s="149"/>
      <c r="J587" s="148"/>
      <c r="K587" s="149"/>
      <c r="L587" s="150" t="s">
        <v>420</v>
      </c>
      <c r="M587" s="10"/>
      <c r="N587" s="10"/>
      <c r="O587" s="10"/>
      <c r="P587" s="10"/>
      <c r="Q587" s="45"/>
      <c r="T587" s="36"/>
    </row>
    <row r="588" spans="1:20" ht="15" thickBot="1" x14ac:dyDescent="0.4">
      <c r="A588" s="151"/>
      <c r="B588" s="152"/>
      <c r="C588" s="153"/>
      <c r="D588" s="153"/>
      <c r="E588" s="153"/>
      <c r="F588" s="153"/>
      <c r="G588" s="153"/>
      <c r="H588" s="153"/>
      <c r="I588" s="153"/>
      <c r="J588" s="153"/>
      <c r="K588" s="153"/>
      <c r="L588" s="154"/>
      <c r="M588" s="153"/>
      <c r="N588" s="153"/>
      <c r="O588" s="153"/>
      <c r="P588" s="153"/>
      <c r="Q588" s="145"/>
    </row>
    <row r="589" spans="1:20" ht="15" thickBot="1" x14ac:dyDescent="0.4">
      <c r="A589" s="155"/>
      <c r="J589" s="51"/>
      <c r="Q589" s="156"/>
    </row>
    <row r="590" spans="1:20" ht="29" thickBot="1" x14ac:dyDescent="0.4">
      <c r="A590" s="128"/>
      <c r="B590" s="129"/>
      <c r="C590" s="157"/>
      <c r="D590" s="146"/>
      <c r="E590" s="147"/>
      <c r="F590" s="147"/>
      <c r="G590" s="147"/>
      <c r="H590" s="148"/>
      <c r="I590" s="149"/>
      <c r="J590" s="148"/>
      <c r="K590" s="149"/>
      <c r="L590" s="154"/>
      <c r="M590" s="10"/>
      <c r="N590" s="10"/>
      <c r="O590" s="10"/>
      <c r="P590" s="10"/>
      <c r="Q590" s="2">
        <f>Q587+Q586+Q472</f>
        <v>0</v>
      </c>
    </row>
    <row r="591" spans="1:20" x14ac:dyDescent="0.35">
      <c r="J591" s="51"/>
      <c r="L591" s="51"/>
      <c r="M591" s="51"/>
    </row>
    <row r="592" spans="1:20" x14ac:dyDescent="0.35">
      <c r="J592" s="51"/>
      <c r="L592" s="51"/>
      <c r="M592" s="51"/>
    </row>
    <row r="593" spans="1:17" x14ac:dyDescent="0.35">
      <c r="J593" s="51"/>
      <c r="L593" s="51"/>
      <c r="M593" s="51"/>
    </row>
    <row r="594" spans="1:17" x14ac:dyDescent="0.35">
      <c r="J594" s="51"/>
      <c r="L594" s="51"/>
      <c r="M594" s="51"/>
    </row>
    <row r="595" spans="1:17" x14ac:dyDescent="0.35">
      <c r="J595" s="51"/>
      <c r="L595" s="51"/>
      <c r="M595" s="51"/>
    </row>
    <row r="596" spans="1:17" x14ac:dyDescent="0.35">
      <c r="J596" s="51"/>
      <c r="L596" s="51"/>
      <c r="M596" s="51"/>
    </row>
    <row r="597" spans="1:17" x14ac:dyDescent="0.35">
      <c r="J597" s="51"/>
      <c r="L597" s="51"/>
      <c r="M597" s="51"/>
    </row>
    <row r="598" spans="1:17" x14ac:dyDescent="0.35">
      <c r="J598" s="51"/>
      <c r="L598" s="51"/>
      <c r="M598" s="51"/>
    </row>
    <row r="599" spans="1:17" ht="15" thickBot="1" x14ac:dyDescent="0.4">
      <c r="J599" s="51"/>
      <c r="L599" s="51"/>
      <c r="M599" s="51"/>
    </row>
    <row r="600" spans="1:17" ht="42.5" thickBot="1" x14ac:dyDescent="0.55000000000000004">
      <c r="A600" s="68" t="s">
        <v>6</v>
      </c>
      <c r="B600" s="69"/>
      <c r="C600" s="70" t="s">
        <v>7</v>
      </c>
      <c r="D600" s="71" t="s">
        <v>8</v>
      </c>
      <c r="E600" s="72" t="s">
        <v>9</v>
      </c>
      <c r="F600" s="72" t="s">
        <v>10</v>
      </c>
      <c r="G600" s="72" t="s">
        <v>11</v>
      </c>
      <c r="H600" s="72" t="s">
        <v>12</v>
      </c>
      <c r="I600" s="73" t="s">
        <v>13</v>
      </c>
      <c r="J600" s="199" t="s">
        <v>565</v>
      </c>
      <c r="K600" s="215" t="s">
        <v>566</v>
      </c>
      <c r="L600" s="73" t="s">
        <v>15</v>
      </c>
      <c r="M600" s="74"/>
      <c r="N600" s="74"/>
      <c r="O600" s="75" t="s">
        <v>18</v>
      </c>
      <c r="P600" s="75" t="s">
        <v>19</v>
      </c>
      <c r="Q600" s="76" t="s">
        <v>20</v>
      </c>
    </row>
    <row r="601" spans="1:17" ht="18" customHeight="1" x14ac:dyDescent="0.55000000000000004">
      <c r="A601" s="77">
        <v>1</v>
      </c>
      <c r="B601" s="158" t="s">
        <v>21</v>
      </c>
      <c r="C601" s="159" t="s">
        <v>22</v>
      </c>
      <c r="D601" s="160" t="s">
        <v>23</v>
      </c>
      <c r="E601" s="161"/>
      <c r="F601" s="161"/>
      <c r="G601" s="161"/>
      <c r="H601" s="162"/>
      <c r="I601" s="163"/>
      <c r="J601" s="205"/>
      <c r="K601" s="94">
        <f t="shared" ref="K601:K652" si="121">+J601-I601</f>
        <v>0</v>
      </c>
      <c r="L601" s="164"/>
      <c r="M601" s="164"/>
      <c r="N601" s="164"/>
      <c r="O601" s="31"/>
      <c r="P601" s="31"/>
      <c r="Q601" s="32"/>
    </row>
    <row r="602" spans="1:17" ht="23.25" customHeight="1" x14ac:dyDescent="0.55000000000000004">
      <c r="A602" s="77">
        <v>2</v>
      </c>
      <c r="B602" s="78" t="s">
        <v>21</v>
      </c>
      <c r="C602" s="79" t="s">
        <v>22</v>
      </c>
      <c r="D602" s="85" t="s">
        <v>22</v>
      </c>
      <c r="E602" s="86"/>
      <c r="F602" s="86"/>
      <c r="G602" s="86"/>
      <c r="H602" s="87"/>
      <c r="I602" s="88"/>
      <c r="J602" s="201"/>
      <c r="K602" s="94">
        <f t="shared" si="121"/>
        <v>0</v>
      </c>
      <c r="L602" s="89"/>
      <c r="M602" s="89"/>
      <c r="N602" s="89"/>
      <c r="O602" s="90"/>
      <c r="P602" s="90"/>
      <c r="Q602" s="91"/>
    </row>
    <row r="603" spans="1:17" ht="23.25" customHeight="1" x14ac:dyDescent="0.5">
      <c r="A603" s="77">
        <v>3</v>
      </c>
      <c r="B603" s="78" t="s">
        <v>21</v>
      </c>
      <c r="C603" s="79" t="s">
        <v>22</v>
      </c>
      <c r="D603" s="14" t="s">
        <v>193</v>
      </c>
      <c r="E603" s="15"/>
      <c r="F603" s="15"/>
      <c r="G603" s="15"/>
      <c r="H603" s="15"/>
      <c r="I603" s="172"/>
      <c r="J603" s="202">
        <f>I603</f>
        <v>0</v>
      </c>
      <c r="K603" s="94">
        <f t="shared" si="121"/>
        <v>0</v>
      </c>
      <c r="L603" s="16"/>
      <c r="M603" s="17"/>
      <c r="N603" s="17"/>
      <c r="O603" s="18">
        <f t="shared" ref="O603:O610" si="122">M603*J603</f>
        <v>0</v>
      </c>
      <c r="P603" s="18">
        <f t="shared" ref="P603:P610" si="123">N603*J603</f>
        <v>0</v>
      </c>
      <c r="Q603" s="8">
        <f t="shared" ref="Q603:Q610" si="124">(M603*J603)+(N603*J603)</f>
        <v>0</v>
      </c>
    </row>
    <row r="604" spans="1:17" ht="23.25" customHeight="1" x14ac:dyDescent="0.5">
      <c r="A604" s="77">
        <v>4</v>
      </c>
      <c r="B604" s="78" t="s">
        <v>21</v>
      </c>
      <c r="C604" s="79" t="s">
        <v>22</v>
      </c>
      <c r="D604" s="14" t="s">
        <v>193</v>
      </c>
      <c r="E604" s="15"/>
      <c r="F604" s="15"/>
      <c r="G604" s="15"/>
      <c r="H604" s="15"/>
      <c r="I604" s="172"/>
      <c r="J604" s="202">
        <f t="shared" ref="J604:J607" si="125">I604</f>
        <v>0</v>
      </c>
      <c r="K604" s="94">
        <f t="shared" si="121"/>
        <v>0</v>
      </c>
      <c r="L604" s="16"/>
      <c r="M604" s="17"/>
      <c r="N604" s="17"/>
      <c r="O604" s="18">
        <f t="shared" si="122"/>
        <v>0</v>
      </c>
      <c r="P604" s="18">
        <f t="shared" si="123"/>
        <v>0</v>
      </c>
      <c r="Q604" s="8">
        <f t="shared" si="124"/>
        <v>0</v>
      </c>
    </row>
    <row r="605" spans="1:17" ht="23.25" customHeight="1" x14ac:dyDescent="0.5">
      <c r="A605" s="77">
        <v>5</v>
      </c>
      <c r="B605" s="78" t="s">
        <v>21</v>
      </c>
      <c r="C605" s="79" t="s">
        <v>22</v>
      </c>
      <c r="D605" s="14" t="s">
        <v>193</v>
      </c>
      <c r="E605" s="15"/>
      <c r="F605" s="15"/>
      <c r="G605" s="15"/>
      <c r="H605" s="15"/>
      <c r="I605" s="172"/>
      <c r="J605" s="202">
        <f t="shared" si="125"/>
        <v>0</v>
      </c>
      <c r="K605" s="94">
        <f t="shared" si="121"/>
        <v>0</v>
      </c>
      <c r="L605" s="16"/>
      <c r="M605" s="17"/>
      <c r="N605" s="17"/>
      <c r="O605" s="18">
        <f t="shared" si="122"/>
        <v>0</v>
      </c>
      <c r="P605" s="18">
        <f t="shared" si="123"/>
        <v>0</v>
      </c>
      <c r="Q605" s="8">
        <f t="shared" si="124"/>
        <v>0</v>
      </c>
    </row>
    <row r="606" spans="1:17" ht="23.25" customHeight="1" x14ac:dyDescent="0.5">
      <c r="A606" s="77">
        <v>6</v>
      </c>
      <c r="B606" s="78" t="s">
        <v>21</v>
      </c>
      <c r="C606" s="79" t="s">
        <v>22</v>
      </c>
      <c r="D606" s="14" t="s">
        <v>193</v>
      </c>
      <c r="E606" s="15"/>
      <c r="F606" s="15"/>
      <c r="G606" s="15"/>
      <c r="H606" s="15"/>
      <c r="I606" s="172"/>
      <c r="J606" s="202">
        <f t="shared" si="125"/>
        <v>0</v>
      </c>
      <c r="K606" s="94">
        <f t="shared" si="121"/>
        <v>0</v>
      </c>
      <c r="L606" s="16"/>
      <c r="M606" s="17"/>
      <c r="N606" s="17"/>
      <c r="O606" s="18">
        <f t="shared" si="122"/>
        <v>0</v>
      </c>
      <c r="P606" s="18">
        <f t="shared" si="123"/>
        <v>0</v>
      </c>
      <c r="Q606" s="8">
        <f t="shared" si="124"/>
        <v>0</v>
      </c>
    </row>
    <row r="607" spans="1:17" ht="23.25" customHeight="1" x14ac:dyDescent="0.5">
      <c r="A607" s="77">
        <v>7</v>
      </c>
      <c r="B607" s="78" t="s">
        <v>21</v>
      </c>
      <c r="C607" s="79" t="s">
        <v>22</v>
      </c>
      <c r="D607" s="14" t="s">
        <v>193</v>
      </c>
      <c r="E607" s="15"/>
      <c r="F607" s="15"/>
      <c r="G607" s="15"/>
      <c r="H607" s="15"/>
      <c r="I607" s="172"/>
      <c r="J607" s="202">
        <f t="shared" si="125"/>
        <v>0</v>
      </c>
      <c r="K607" s="94">
        <f t="shared" si="121"/>
        <v>0</v>
      </c>
      <c r="L607" s="16"/>
      <c r="M607" s="17"/>
      <c r="N607" s="17"/>
      <c r="O607" s="18">
        <f t="shared" si="122"/>
        <v>0</v>
      </c>
      <c r="P607" s="18">
        <f t="shared" si="123"/>
        <v>0</v>
      </c>
      <c r="Q607" s="8">
        <f t="shared" si="124"/>
        <v>0</v>
      </c>
    </row>
    <row r="608" spans="1:17" ht="23.25" customHeight="1" x14ac:dyDescent="0.5">
      <c r="A608" s="77">
        <v>8</v>
      </c>
      <c r="B608" s="78" t="s">
        <v>21</v>
      </c>
      <c r="C608" s="79" t="s">
        <v>22</v>
      </c>
      <c r="D608" s="14" t="s">
        <v>193</v>
      </c>
      <c r="E608" s="15"/>
      <c r="F608" s="15"/>
      <c r="G608" s="15"/>
      <c r="H608" s="15"/>
      <c r="I608" s="172"/>
      <c r="J608" s="202">
        <f>I608</f>
        <v>0</v>
      </c>
      <c r="K608" s="94">
        <f t="shared" si="121"/>
        <v>0</v>
      </c>
      <c r="L608" s="16"/>
      <c r="M608" s="17"/>
      <c r="N608" s="17"/>
      <c r="O608" s="18">
        <f t="shared" si="122"/>
        <v>0</v>
      </c>
      <c r="P608" s="18">
        <f t="shared" si="123"/>
        <v>0</v>
      </c>
      <c r="Q608" s="8">
        <f t="shared" si="124"/>
        <v>0</v>
      </c>
    </row>
    <row r="609" spans="1:17" ht="23.25" customHeight="1" x14ac:dyDescent="0.5">
      <c r="A609" s="77">
        <v>9</v>
      </c>
      <c r="B609" s="78" t="s">
        <v>21</v>
      </c>
      <c r="C609" s="79" t="s">
        <v>22</v>
      </c>
      <c r="D609" s="14" t="s">
        <v>193</v>
      </c>
      <c r="E609" s="15"/>
      <c r="F609" s="15"/>
      <c r="G609" s="15"/>
      <c r="H609" s="15"/>
      <c r="I609" s="172"/>
      <c r="J609" s="202">
        <f>I609</f>
        <v>0</v>
      </c>
      <c r="K609" s="94">
        <f t="shared" si="121"/>
        <v>0</v>
      </c>
      <c r="L609" s="16"/>
      <c r="M609" s="17"/>
      <c r="N609" s="17"/>
      <c r="O609" s="18">
        <f t="shared" si="122"/>
        <v>0</v>
      </c>
      <c r="P609" s="18">
        <f t="shared" si="123"/>
        <v>0</v>
      </c>
      <c r="Q609" s="8">
        <f t="shared" si="124"/>
        <v>0</v>
      </c>
    </row>
    <row r="610" spans="1:17" ht="23.25" customHeight="1" x14ac:dyDescent="0.5">
      <c r="A610" s="77">
        <v>10</v>
      </c>
      <c r="B610" s="78" t="s">
        <v>21</v>
      </c>
      <c r="C610" s="79" t="s">
        <v>22</v>
      </c>
      <c r="D610" s="14" t="s">
        <v>193</v>
      </c>
      <c r="E610" s="15"/>
      <c r="F610" s="15"/>
      <c r="G610" s="15"/>
      <c r="H610" s="15"/>
      <c r="I610" s="172"/>
      <c r="J610" s="202">
        <f>I610</f>
        <v>0</v>
      </c>
      <c r="K610" s="94">
        <f t="shared" si="121"/>
        <v>0</v>
      </c>
      <c r="L610" s="16"/>
      <c r="M610" s="17"/>
      <c r="N610" s="17"/>
      <c r="O610" s="18">
        <f t="shared" si="122"/>
        <v>0</v>
      </c>
      <c r="P610" s="18">
        <f t="shared" si="123"/>
        <v>0</v>
      </c>
      <c r="Q610" s="8">
        <f t="shared" si="124"/>
        <v>0</v>
      </c>
    </row>
    <row r="611" spans="1:17" ht="23.25" customHeight="1" x14ac:dyDescent="0.5">
      <c r="A611" s="77">
        <v>11</v>
      </c>
      <c r="B611" s="78" t="s">
        <v>21</v>
      </c>
      <c r="C611" s="79" t="s">
        <v>22</v>
      </c>
      <c r="D611" s="14" t="s">
        <v>193</v>
      </c>
      <c r="E611" s="15"/>
      <c r="F611" s="15"/>
      <c r="G611" s="15"/>
      <c r="H611" s="15"/>
      <c r="I611" s="172"/>
      <c r="J611" s="202">
        <f>I611</f>
        <v>0</v>
      </c>
      <c r="K611" s="94">
        <f t="shared" si="121"/>
        <v>0</v>
      </c>
      <c r="L611" s="16"/>
      <c r="M611" s="17"/>
      <c r="N611" s="17"/>
      <c r="O611" s="18">
        <f t="shared" ref="O611:O626" si="126">M611*J611</f>
        <v>0</v>
      </c>
      <c r="P611" s="18">
        <f t="shared" ref="P611:P626" si="127">N611*J611</f>
        <v>0</v>
      </c>
      <c r="Q611" s="8">
        <f t="shared" ref="Q611:Q626" si="128">(M611*J611)+(N611*J611)</f>
        <v>0</v>
      </c>
    </row>
    <row r="612" spans="1:17" ht="23.25" customHeight="1" x14ac:dyDescent="0.5">
      <c r="A612" s="77">
        <v>12</v>
      </c>
      <c r="B612" s="78" t="s">
        <v>21</v>
      </c>
      <c r="C612" s="79" t="s">
        <v>22</v>
      </c>
      <c r="D612" s="14" t="s">
        <v>193</v>
      </c>
      <c r="E612" s="15"/>
      <c r="F612" s="15"/>
      <c r="G612" s="15"/>
      <c r="H612" s="15"/>
      <c r="I612" s="172"/>
      <c r="J612" s="202">
        <f>I612</f>
        <v>0</v>
      </c>
      <c r="K612" s="94">
        <f t="shared" si="121"/>
        <v>0</v>
      </c>
      <c r="L612" s="16"/>
      <c r="M612" s="17"/>
      <c r="N612" s="17"/>
      <c r="O612" s="18">
        <f t="shared" si="126"/>
        <v>0</v>
      </c>
      <c r="P612" s="18">
        <f t="shared" si="127"/>
        <v>0</v>
      </c>
      <c r="Q612" s="8">
        <f t="shared" si="128"/>
        <v>0</v>
      </c>
    </row>
    <row r="613" spans="1:17" ht="18" customHeight="1" x14ac:dyDescent="0.55000000000000004">
      <c r="A613" s="77">
        <v>13</v>
      </c>
      <c r="B613" s="78" t="s">
        <v>39</v>
      </c>
      <c r="C613" s="79" t="s">
        <v>40</v>
      </c>
      <c r="D613" s="85" t="s">
        <v>41</v>
      </c>
      <c r="E613" s="86"/>
      <c r="F613" s="86"/>
      <c r="G613" s="86"/>
      <c r="H613" s="87"/>
      <c r="I613" s="88"/>
      <c r="J613" s="201"/>
      <c r="K613" s="94">
        <f t="shared" si="121"/>
        <v>0</v>
      </c>
      <c r="L613" s="89"/>
      <c r="M613" s="89"/>
      <c r="N613" s="89"/>
      <c r="O613" s="18">
        <f t="shared" si="126"/>
        <v>0</v>
      </c>
      <c r="P613" s="18">
        <f t="shared" si="127"/>
        <v>0</v>
      </c>
      <c r="Q613" s="8">
        <f t="shared" si="128"/>
        <v>0</v>
      </c>
    </row>
    <row r="614" spans="1:17" ht="23.25" customHeight="1" x14ac:dyDescent="0.5">
      <c r="A614" s="77">
        <v>14</v>
      </c>
      <c r="B614" s="78" t="s">
        <v>39</v>
      </c>
      <c r="C614" s="79" t="s">
        <v>40</v>
      </c>
      <c r="D614" s="14" t="s">
        <v>536</v>
      </c>
      <c r="E614" s="15"/>
      <c r="F614" s="15"/>
      <c r="G614" s="15"/>
      <c r="H614" s="15"/>
      <c r="I614" s="172"/>
      <c r="J614" s="202">
        <v>8</v>
      </c>
      <c r="K614" s="94">
        <v>0</v>
      </c>
      <c r="L614" s="16"/>
      <c r="M614" s="17"/>
      <c r="N614" s="17"/>
      <c r="O614" s="18">
        <f t="shared" si="126"/>
        <v>0</v>
      </c>
      <c r="P614" s="18">
        <f t="shared" si="127"/>
        <v>0</v>
      </c>
      <c r="Q614" s="8">
        <f t="shared" si="128"/>
        <v>0</v>
      </c>
    </row>
    <row r="615" spans="1:17" ht="23.25" customHeight="1" x14ac:dyDescent="0.5">
      <c r="A615" s="77">
        <v>15</v>
      </c>
      <c r="B615" s="78" t="s">
        <v>39</v>
      </c>
      <c r="C615" s="79" t="s">
        <v>40</v>
      </c>
      <c r="D615" s="14" t="s">
        <v>537</v>
      </c>
      <c r="E615" s="15"/>
      <c r="F615" s="15"/>
      <c r="G615" s="15"/>
      <c r="H615" s="15"/>
      <c r="I615" s="172"/>
      <c r="J615" s="202">
        <v>0</v>
      </c>
      <c r="K615" s="94">
        <v>0</v>
      </c>
      <c r="L615" s="16"/>
      <c r="M615" s="17"/>
      <c r="N615" s="17"/>
      <c r="O615" s="18">
        <f t="shared" si="126"/>
        <v>0</v>
      </c>
      <c r="P615" s="18">
        <f t="shared" si="127"/>
        <v>0</v>
      </c>
      <c r="Q615" s="8">
        <f t="shared" si="128"/>
        <v>0</v>
      </c>
    </row>
    <row r="616" spans="1:17" ht="23.25" customHeight="1" x14ac:dyDescent="0.5">
      <c r="A616" s="77">
        <v>16</v>
      </c>
      <c r="B616" s="78" t="s">
        <v>39</v>
      </c>
      <c r="C616" s="79" t="s">
        <v>40</v>
      </c>
      <c r="D616" s="14" t="s">
        <v>538</v>
      </c>
      <c r="E616" s="15"/>
      <c r="F616" s="15"/>
      <c r="G616" s="15"/>
      <c r="H616" s="15"/>
      <c r="I616" s="172"/>
      <c r="J616" s="202">
        <v>0</v>
      </c>
      <c r="K616" s="94">
        <v>0</v>
      </c>
      <c r="L616" s="16"/>
      <c r="M616" s="17"/>
      <c r="N616" s="17"/>
      <c r="O616" s="18">
        <f t="shared" si="126"/>
        <v>0</v>
      </c>
      <c r="P616" s="18">
        <f t="shared" si="127"/>
        <v>0</v>
      </c>
      <c r="Q616" s="8">
        <f t="shared" si="128"/>
        <v>0</v>
      </c>
    </row>
    <row r="617" spans="1:17" ht="23.25" customHeight="1" x14ac:dyDescent="0.5">
      <c r="A617" s="77">
        <v>17</v>
      </c>
      <c r="B617" s="78" t="s">
        <v>39</v>
      </c>
      <c r="C617" s="79" t="s">
        <v>40</v>
      </c>
      <c r="D617" s="14" t="s">
        <v>193</v>
      </c>
      <c r="E617" s="15"/>
      <c r="F617" s="15"/>
      <c r="G617" s="15"/>
      <c r="H617" s="15"/>
      <c r="I617" s="172"/>
      <c r="J617" s="202">
        <v>0</v>
      </c>
      <c r="K617" s="94">
        <v>0</v>
      </c>
      <c r="L617" s="16"/>
      <c r="M617" s="17"/>
      <c r="N617" s="17"/>
      <c r="O617" s="18">
        <f t="shared" si="126"/>
        <v>0</v>
      </c>
      <c r="P617" s="18">
        <f t="shared" si="127"/>
        <v>0</v>
      </c>
      <c r="Q617" s="8">
        <f t="shared" si="128"/>
        <v>0</v>
      </c>
    </row>
    <row r="618" spans="1:17" ht="23.25" customHeight="1" x14ac:dyDescent="0.5">
      <c r="A618" s="77">
        <v>18</v>
      </c>
      <c r="B618" s="78" t="s">
        <v>39</v>
      </c>
      <c r="C618" s="79" t="s">
        <v>40</v>
      </c>
      <c r="D618" s="14" t="s">
        <v>193</v>
      </c>
      <c r="E618" s="15"/>
      <c r="F618" s="15"/>
      <c r="G618" s="15"/>
      <c r="H618" s="15"/>
      <c r="I618" s="172"/>
      <c r="J618" s="202">
        <v>0</v>
      </c>
      <c r="K618" s="94">
        <v>0</v>
      </c>
      <c r="L618" s="16"/>
      <c r="M618" s="17"/>
      <c r="N618" s="17"/>
      <c r="O618" s="18">
        <f t="shared" si="126"/>
        <v>0</v>
      </c>
      <c r="P618" s="18">
        <f t="shared" si="127"/>
        <v>0</v>
      </c>
      <c r="Q618" s="8">
        <f t="shared" si="128"/>
        <v>0</v>
      </c>
    </row>
    <row r="619" spans="1:17" ht="23.25" customHeight="1" x14ac:dyDescent="0.5">
      <c r="A619" s="77">
        <v>19</v>
      </c>
      <c r="B619" s="78" t="s">
        <v>39</v>
      </c>
      <c r="C619" s="79" t="s">
        <v>40</v>
      </c>
      <c r="D619" s="14" t="s">
        <v>193</v>
      </c>
      <c r="E619" s="15"/>
      <c r="F619" s="15"/>
      <c r="G619" s="15"/>
      <c r="H619" s="15"/>
      <c r="I619" s="172"/>
      <c r="J619" s="202">
        <v>0</v>
      </c>
      <c r="K619" s="94">
        <v>0</v>
      </c>
      <c r="L619" s="16"/>
      <c r="M619" s="17"/>
      <c r="N619" s="17"/>
      <c r="O619" s="18">
        <f t="shared" si="126"/>
        <v>0</v>
      </c>
      <c r="P619" s="18">
        <f t="shared" si="127"/>
        <v>0</v>
      </c>
      <c r="Q619" s="8">
        <f t="shared" si="128"/>
        <v>0</v>
      </c>
    </row>
    <row r="620" spans="1:17" ht="23.25" customHeight="1" x14ac:dyDescent="0.5">
      <c r="A620" s="77">
        <v>20</v>
      </c>
      <c r="B620" s="78" t="s">
        <v>39</v>
      </c>
      <c r="C620" s="79" t="s">
        <v>40</v>
      </c>
      <c r="D620" s="14" t="s">
        <v>193</v>
      </c>
      <c r="E620" s="15"/>
      <c r="F620" s="15"/>
      <c r="G620" s="15"/>
      <c r="H620" s="15"/>
      <c r="I620" s="172"/>
      <c r="J620" s="202">
        <v>0</v>
      </c>
      <c r="K620" s="94">
        <v>0</v>
      </c>
      <c r="L620" s="16"/>
      <c r="M620" s="17"/>
      <c r="N620" s="17"/>
      <c r="O620" s="18">
        <f t="shared" si="126"/>
        <v>0</v>
      </c>
      <c r="P620" s="18">
        <f t="shared" si="127"/>
        <v>0</v>
      </c>
      <c r="Q620" s="8">
        <f t="shared" si="128"/>
        <v>0</v>
      </c>
    </row>
    <row r="621" spans="1:17" ht="23.25" customHeight="1" x14ac:dyDescent="0.5">
      <c r="A621" s="77">
        <v>21</v>
      </c>
      <c r="B621" s="78" t="s">
        <v>39</v>
      </c>
      <c r="C621" s="79" t="s">
        <v>40</v>
      </c>
      <c r="D621" s="14" t="s">
        <v>193</v>
      </c>
      <c r="E621" s="15"/>
      <c r="F621" s="15"/>
      <c r="G621" s="15"/>
      <c r="H621" s="15"/>
      <c r="I621" s="172"/>
      <c r="J621" s="202">
        <v>0</v>
      </c>
      <c r="K621" s="94">
        <v>0</v>
      </c>
      <c r="L621" s="16"/>
      <c r="M621" s="17"/>
      <c r="N621" s="17"/>
      <c r="O621" s="18">
        <f t="shared" si="126"/>
        <v>0</v>
      </c>
      <c r="P621" s="18">
        <f t="shared" si="127"/>
        <v>0</v>
      </c>
      <c r="Q621" s="8">
        <f t="shared" si="128"/>
        <v>0</v>
      </c>
    </row>
    <row r="622" spans="1:17" ht="23.25" customHeight="1" x14ac:dyDescent="0.5">
      <c r="A622" s="77">
        <v>22</v>
      </c>
      <c r="B622" s="78" t="s">
        <v>39</v>
      </c>
      <c r="C622" s="79" t="s">
        <v>40</v>
      </c>
      <c r="D622" s="14" t="s">
        <v>193</v>
      </c>
      <c r="E622" s="15"/>
      <c r="F622" s="15"/>
      <c r="G622" s="15"/>
      <c r="H622" s="15"/>
      <c r="I622" s="172"/>
      <c r="J622" s="202">
        <v>0</v>
      </c>
      <c r="K622" s="94">
        <v>0</v>
      </c>
      <c r="L622" s="16"/>
      <c r="M622" s="17"/>
      <c r="N622" s="17"/>
      <c r="O622" s="18">
        <f t="shared" si="126"/>
        <v>0</v>
      </c>
      <c r="P622" s="18">
        <f t="shared" si="127"/>
        <v>0</v>
      </c>
      <c r="Q622" s="8">
        <f t="shared" si="128"/>
        <v>0</v>
      </c>
    </row>
    <row r="623" spans="1:17" ht="23.25" customHeight="1" x14ac:dyDescent="0.5">
      <c r="A623" s="77">
        <v>23</v>
      </c>
      <c r="B623" s="78" t="s">
        <v>39</v>
      </c>
      <c r="C623" s="79" t="s">
        <v>40</v>
      </c>
      <c r="D623" s="14" t="s">
        <v>193</v>
      </c>
      <c r="E623" s="15"/>
      <c r="F623" s="15"/>
      <c r="G623" s="15"/>
      <c r="H623" s="15"/>
      <c r="I623" s="172"/>
      <c r="J623" s="202">
        <v>0</v>
      </c>
      <c r="K623" s="94">
        <v>0</v>
      </c>
      <c r="L623" s="16"/>
      <c r="M623" s="17"/>
      <c r="N623" s="17"/>
      <c r="O623" s="18">
        <f t="shared" si="126"/>
        <v>0</v>
      </c>
      <c r="P623" s="18">
        <f t="shared" si="127"/>
        <v>0</v>
      </c>
      <c r="Q623" s="8">
        <f t="shared" si="128"/>
        <v>0</v>
      </c>
    </row>
    <row r="624" spans="1:17" ht="18" customHeight="1" x14ac:dyDescent="0.55000000000000004">
      <c r="A624" s="77">
        <v>24</v>
      </c>
      <c r="B624" s="78" t="s">
        <v>39</v>
      </c>
      <c r="C624" s="79" t="s">
        <v>53</v>
      </c>
      <c r="D624" s="85" t="s">
        <v>54</v>
      </c>
      <c r="E624" s="86"/>
      <c r="F624" s="86"/>
      <c r="G624" s="86"/>
      <c r="H624" s="87"/>
      <c r="I624" s="88"/>
      <c r="J624" s="202">
        <v>0</v>
      </c>
      <c r="K624" s="94">
        <v>0</v>
      </c>
      <c r="L624" s="89"/>
      <c r="M624" s="89"/>
      <c r="N624" s="89"/>
      <c r="O624" s="18">
        <f t="shared" si="126"/>
        <v>0</v>
      </c>
      <c r="P624" s="18">
        <f t="shared" si="127"/>
        <v>0</v>
      </c>
      <c r="Q624" s="8">
        <f t="shared" si="128"/>
        <v>0</v>
      </c>
    </row>
    <row r="625" spans="1:17" ht="23.25" customHeight="1" x14ac:dyDescent="0.5">
      <c r="A625" s="77">
        <v>25</v>
      </c>
      <c r="B625" s="78" t="s">
        <v>39</v>
      </c>
      <c r="C625" s="79" t="s">
        <v>53</v>
      </c>
      <c r="D625" s="14" t="s">
        <v>539</v>
      </c>
      <c r="E625" s="15"/>
      <c r="F625" s="15"/>
      <c r="G625" s="15"/>
      <c r="H625" s="15"/>
      <c r="I625" s="172"/>
      <c r="J625" s="202">
        <v>0</v>
      </c>
      <c r="K625" s="94">
        <v>0</v>
      </c>
      <c r="L625" s="16"/>
      <c r="M625" s="17"/>
      <c r="N625" s="17"/>
      <c r="O625" s="18">
        <f t="shared" si="126"/>
        <v>0</v>
      </c>
      <c r="P625" s="18">
        <f t="shared" si="127"/>
        <v>0</v>
      </c>
      <c r="Q625" s="8">
        <f t="shared" si="128"/>
        <v>0</v>
      </c>
    </row>
    <row r="626" spans="1:17" ht="23.25" customHeight="1" x14ac:dyDescent="0.5">
      <c r="A626" s="77">
        <v>26</v>
      </c>
      <c r="B626" s="78" t="s">
        <v>39</v>
      </c>
      <c r="C626" s="79" t="s">
        <v>53</v>
      </c>
      <c r="D626" s="14" t="s">
        <v>540</v>
      </c>
      <c r="E626" s="15"/>
      <c r="F626" s="15"/>
      <c r="G626" s="15"/>
      <c r="H626" s="15"/>
      <c r="I626" s="172"/>
      <c r="J626" s="202">
        <v>4</v>
      </c>
      <c r="K626" s="94">
        <v>0</v>
      </c>
      <c r="L626" s="16"/>
      <c r="M626" s="17"/>
      <c r="N626" s="17"/>
      <c r="O626" s="18">
        <f t="shared" si="126"/>
        <v>0</v>
      </c>
      <c r="P626" s="18">
        <f t="shared" si="127"/>
        <v>0</v>
      </c>
      <c r="Q626" s="8">
        <f t="shared" si="128"/>
        <v>0</v>
      </c>
    </row>
    <row r="627" spans="1:17" ht="23.25" customHeight="1" x14ac:dyDescent="0.5">
      <c r="A627" s="77">
        <v>27</v>
      </c>
      <c r="B627" s="78" t="s">
        <v>39</v>
      </c>
      <c r="C627" s="79" t="s">
        <v>53</v>
      </c>
      <c r="D627" s="14" t="s">
        <v>541</v>
      </c>
      <c r="E627" s="15"/>
      <c r="F627" s="15"/>
      <c r="G627" s="15"/>
      <c r="H627" s="15"/>
      <c r="I627" s="172"/>
      <c r="J627" s="202">
        <v>0</v>
      </c>
      <c r="K627" s="94">
        <v>0</v>
      </c>
      <c r="L627" s="16"/>
      <c r="M627" s="17"/>
      <c r="N627" s="17"/>
      <c r="O627" s="18">
        <f t="shared" ref="O627:O643" si="129">M627*J627</f>
        <v>0</v>
      </c>
      <c r="P627" s="18">
        <f t="shared" ref="P627:P643" si="130">N627*J627</f>
        <v>0</v>
      </c>
      <c r="Q627" s="8">
        <f t="shared" ref="Q627:Q643" si="131">(M627*J627)+(N627*J627)</f>
        <v>0</v>
      </c>
    </row>
    <row r="628" spans="1:17" ht="23.25" customHeight="1" x14ac:dyDescent="0.5">
      <c r="A628" s="77">
        <v>28</v>
      </c>
      <c r="B628" s="78" t="s">
        <v>39</v>
      </c>
      <c r="C628" s="79" t="s">
        <v>53</v>
      </c>
      <c r="D628" s="14" t="s">
        <v>193</v>
      </c>
      <c r="E628" s="15"/>
      <c r="F628" s="15"/>
      <c r="G628" s="15"/>
      <c r="H628" s="15"/>
      <c r="I628" s="172"/>
      <c r="J628" s="202">
        <v>0</v>
      </c>
      <c r="K628" s="94">
        <v>0</v>
      </c>
      <c r="L628" s="16"/>
      <c r="M628" s="17"/>
      <c r="N628" s="17"/>
      <c r="O628" s="18">
        <f t="shared" si="129"/>
        <v>0</v>
      </c>
      <c r="P628" s="18">
        <f t="shared" si="130"/>
        <v>0</v>
      </c>
      <c r="Q628" s="8">
        <f t="shared" si="131"/>
        <v>0</v>
      </c>
    </row>
    <row r="629" spans="1:17" ht="23.25" customHeight="1" x14ac:dyDescent="0.5">
      <c r="A629" s="77">
        <v>29</v>
      </c>
      <c r="B629" s="78" t="s">
        <v>39</v>
      </c>
      <c r="C629" s="79" t="s">
        <v>53</v>
      </c>
      <c r="D629" s="14" t="s">
        <v>193</v>
      </c>
      <c r="E629" s="15"/>
      <c r="F629" s="15"/>
      <c r="G629" s="15"/>
      <c r="H629" s="15"/>
      <c r="I629" s="172"/>
      <c r="J629" s="202">
        <v>0</v>
      </c>
      <c r="K629" s="94">
        <v>0</v>
      </c>
      <c r="L629" s="16"/>
      <c r="M629" s="17"/>
      <c r="N629" s="17"/>
      <c r="O629" s="18">
        <f t="shared" si="129"/>
        <v>0</v>
      </c>
      <c r="P629" s="18">
        <f t="shared" si="130"/>
        <v>0</v>
      </c>
      <c r="Q629" s="8">
        <f t="shared" si="131"/>
        <v>0</v>
      </c>
    </row>
    <row r="630" spans="1:17" ht="23.25" customHeight="1" x14ac:dyDescent="0.5">
      <c r="A630" s="77">
        <v>30</v>
      </c>
      <c r="B630" s="78" t="s">
        <v>39</v>
      </c>
      <c r="C630" s="79" t="s">
        <v>53</v>
      </c>
      <c r="D630" s="14" t="s">
        <v>193</v>
      </c>
      <c r="E630" s="15"/>
      <c r="F630" s="15"/>
      <c r="G630" s="15"/>
      <c r="H630" s="15"/>
      <c r="I630" s="172"/>
      <c r="J630" s="202">
        <v>0</v>
      </c>
      <c r="K630" s="94">
        <v>0</v>
      </c>
      <c r="L630" s="16"/>
      <c r="M630" s="17"/>
      <c r="N630" s="17"/>
      <c r="O630" s="18">
        <f t="shared" si="129"/>
        <v>0</v>
      </c>
      <c r="P630" s="18">
        <f t="shared" si="130"/>
        <v>0</v>
      </c>
      <c r="Q630" s="8">
        <f t="shared" si="131"/>
        <v>0</v>
      </c>
    </row>
    <row r="631" spans="1:17" ht="23.25" customHeight="1" x14ac:dyDescent="0.5">
      <c r="A631" s="77">
        <v>31</v>
      </c>
      <c r="B631" s="78" t="s">
        <v>39</v>
      </c>
      <c r="C631" s="79" t="s">
        <v>53</v>
      </c>
      <c r="D631" s="14" t="s">
        <v>193</v>
      </c>
      <c r="E631" s="15"/>
      <c r="F631" s="15"/>
      <c r="G631" s="15"/>
      <c r="H631" s="15"/>
      <c r="I631" s="172"/>
      <c r="J631" s="202">
        <v>0</v>
      </c>
      <c r="K631" s="94">
        <v>0</v>
      </c>
      <c r="L631" s="16"/>
      <c r="M631" s="17"/>
      <c r="N631" s="17"/>
      <c r="O631" s="18">
        <f t="shared" si="129"/>
        <v>0</v>
      </c>
      <c r="P631" s="18">
        <f t="shared" si="130"/>
        <v>0</v>
      </c>
      <c r="Q631" s="8">
        <f t="shared" si="131"/>
        <v>0</v>
      </c>
    </row>
    <row r="632" spans="1:17" ht="23.25" customHeight="1" x14ac:dyDescent="0.5">
      <c r="A632" s="77">
        <v>32</v>
      </c>
      <c r="B632" s="78" t="s">
        <v>39</v>
      </c>
      <c r="C632" s="79" t="s">
        <v>53</v>
      </c>
      <c r="D632" s="14" t="s">
        <v>193</v>
      </c>
      <c r="E632" s="15"/>
      <c r="F632" s="15"/>
      <c r="G632" s="15"/>
      <c r="H632" s="15"/>
      <c r="I632" s="172"/>
      <c r="J632" s="202">
        <v>0</v>
      </c>
      <c r="K632" s="94">
        <v>0</v>
      </c>
      <c r="L632" s="16"/>
      <c r="M632" s="17"/>
      <c r="N632" s="17"/>
      <c r="O632" s="18">
        <f t="shared" si="129"/>
        <v>0</v>
      </c>
      <c r="P632" s="18">
        <f t="shared" si="130"/>
        <v>0</v>
      </c>
      <c r="Q632" s="8">
        <f t="shared" si="131"/>
        <v>0</v>
      </c>
    </row>
    <row r="633" spans="1:17" ht="23.25" customHeight="1" x14ac:dyDescent="0.5">
      <c r="A633" s="77">
        <v>33</v>
      </c>
      <c r="B633" s="78" t="s">
        <v>39</v>
      </c>
      <c r="C633" s="79" t="s">
        <v>53</v>
      </c>
      <c r="D633" s="14" t="s">
        <v>193</v>
      </c>
      <c r="E633" s="15"/>
      <c r="F633" s="15"/>
      <c r="G633" s="15"/>
      <c r="H633" s="15"/>
      <c r="I633" s="172"/>
      <c r="J633" s="202">
        <v>0</v>
      </c>
      <c r="K633" s="94">
        <v>0</v>
      </c>
      <c r="L633" s="16"/>
      <c r="M633" s="17"/>
      <c r="N633" s="17"/>
      <c r="O633" s="18">
        <f t="shared" si="129"/>
        <v>0</v>
      </c>
      <c r="P633" s="18">
        <f t="shared" si="130"/>
        <v>0</v>
      </c>
      <c r="Q633" s="8">
        <f t="shared" si="131"/>
        <v>0</v>
      </c>
    </row>
    <row r="634" spans="1:17" ht="23.25" customHeight="1" x14ac:dyDescent="0.5">
      <c r="A634" s="77">
        <v>34</v>
      </c>
      <c r="B634" s="78" t="s">
        <v>39</v>
      </c>
      <c r="C634" s="79" t="s">
        <v>53</v>
      </c>
      <c r="D634" s="14" t="s">
        <v>193</v>
      </c>
      <c r="E634" s="15"/>
      <c r="F634" s="15"/>
      <c r="G634" s="15"/>
      <c r="H634" s="15"/>
      <c r="I634" s="172"/>
      <c r="J634" s="202">
        <v>0</v>
      </c>
      <c r="K634" s="94">
        <v>0</v>
      </c>
      <c r="L634" s="16"/>
      <c r="M634" s="17"/>
      <c r="N634" s="17"/>
      <c r="O634" s="18">
        <f t="shared" si="129"/>
        <v>0</v>
      </c>
      <c r="P634" s="18">
        <f t="shared" si="130"/>
        <v>0</v>
      </c>
      <c r="Q634" s="8">
        <f t="shared" si="131"/>
        <v>0</v>
      </c>
    </row>
    <row r="635" spans="1:17" ht="18" customHeight="1" x14ac:dyDescent="0.55000000000000004">
      <c r="A635" s="77">
        <v>35</v>
      </c>
      <c r="B635" s="78" t="s">
        <v>39</v>
      </c>
      <c r="C635" s="79" t="s">
        <v>61</v>
      </c>
      <c r="D635" s="85" t="s">
        <v>61</v>
      </c>
      <c r="E635" s="86"/>
      <c r="F635" s="86"/>
      <c r="G635" s="86"/>
      <c r="H635" s="87"/>
      <c r="I635" s="88"/>
      <c r="J635" s="201"/>
      <c r="K635" s="94">
        <v>0</v>
      </c>
      <c r="L635" s="89"/>
      <c r="M635" s="89"/>
      <c r="N635" s="89"/>
      <c r="O635" s="18">
        <f t="shared" si="129"/>
        <v>0</v>
      </c>
      <c r="P635" s="18">
        <f t="shared" si="130"/>
        <v>0</v>
      </c>
      <c r="Q635" s="8">
        <f t="shared" si="131"/>
        <v>0</v>
      </c>
    </row>
    <row r="636" spans="1:17" ht="23.25" customHeight="1" x14ac:dyDescent="0.5">
      <c r="A636" s="77">
        <v>36</v>
      </c>
      <c r="B636" s="78" t="s">
        <v>39</v>
      </c>
      <c r="C636" s="79" t="s">
        <v>61</v>
      </c>
      <c r="D636" s="14" t="s">
        <v>539</v>
      </c>
      <c r="E636" s="15"/>
      <c r="F636" s="15"/>
      <c r="G636" s="15"/>
      <c r="H636" s="15"/>
      <c r="I636" s="172"/>
      <c r="J636" s="202">
        <v>8</v>
      </c>
      <c r="K636" s="94">
        <v>0</v>
      </c>
      <c r="L636" s="16"/>
      <c r="M636" s="17"/>
      <c r="N636" s="17"/>
      <c r="O636" s="18">
        <f t="shared" si="129"/>
        <v>0</v>
      </c>
      <c r="P636" s="18">
        <f t="shared" si="130"/>
        <v>0</v>
      </c>
      <c r="Q636" s="8">
        <f t="shared" si="131"/>
        <v>0</v>
      </c>
    </row>
    <row r="637" spans="1:17" ht="23.25" customHeight="1" x14ac:dyDescent="0.5">
      <c r="A637" s="77">
        <v>37</v>
      </c>
      <c r="B637" s="78" t="s">
        <v>39</v>
      </c>
      <c r="C637" s="79" t="s">
        <v>61</v>
      </c>
      <c r="D637" s="14" t="s">
        <v>540</v>
      </c>
      <c r="E637" s="15"/>
      <c r="F637" s="15"/>
      <c r="G637" s="15"/>
      <c r="H637" s="15"/>
      <c r="I637" s="172"/>
      <c r="J637" s="202">
        <v>0</v>
      </c>
      <c r="K637" s="94">
        <v>0</v>
      </c>
      <c r="L637" s="16"/>
      <c r="M637" s="17"/>
      <c r="N637" s="17"/>
      <c r="O637" s="18">
        <f t="shared" si="129"/>
        <v>0</v>
      </c>
      <c r="P637" s="18">
        <f t="shared" si="130"/>
        <v>0</v>
      </c>
      <c r="Q637" s="8">
        <f t="shared" si="131"/>
        <v>0</v>
      </c>
    </row>
    <row r="638" spans="1:17" ht="23.25" customHeight="1" x14ac:dyDescent="0.5">
      <c r="A638" s="77">
        <v>38</v>
      </c>
      <c r="B638" s="78" t="s">
        <v>39</v>
      </c>
      <c r="C638" s="79" t="s">
        <v>61</v>
      </c>
      <c r="D638" s="14" t="s">
        <v>541</v>
      </c>
      <c r="E638" s="15"/>
      <c r="F638" s="15"/>
      <c r="G638" s="15"/>
      <c r="H638" s="15"/>
      <c r="I638" s="172"/>
      <c r="J638" s="202">
        <v>0</v>
      </c>
      <c r="K638" s="94">
        <v>0</v>
      </c>
      <c r="L638" s="16"/>
      <c r="M638" s="17"/>
      <c r="N638" s="17"/>
      <c r="O638" s="18">
        <f t="shared" si="129"/>
        <v>0</v>
      </c>
      <c r="P638" s="18">
        <f t="shared" si="130"/>
        <v>0</v>
      </c>
      <c r="Q638" s="8">
        <f t="shared" si="131"/>
        <v>0</v>
      </c>
    </row>
    <row r="639" spans="1:17" ht="23.25" customHeight="1" x14ac:dyDescent="0.5">
      <c r="A639" s="77">
        <v>39</v>
      </c>
      <c r="B639" s="78" t="s">
        <v>39</v>
      </c>
      <c r="C639" s="79" t="s">
        <v>61</v>
      </c>
      <c r="D639" s="14" t="s">
        <v>193</v>
      </c>
      <c r="E639" s="15"/>
      <c r="F639" s="15"/>
      <c r="G639" s="15"/>
      <c r="H639" s="15"/>
      <c r="I639" s="172"/>
      <c r="J639" s="202">
        <f t="shared" ref="J639:J642" si="132">I639</f>
        <v>0</v>
      </c>
      <c r="K639" s="94">
        <v>0</v>
      </c>
      <c r="L639" s="16"/>
      <c r="M639" s="17"/>
      <c r="N639" s="17"/>
      <c r="O639" s="18">
        <f t="shared" si="129"/>
        <v>0</v>
      </c>
      <c r="P639" s="18">
        <f t="shared" si="130"/>
        <v>0</v>
      </c>
      <c r="Q639" s="8">
        <f t="shared" si="131"/>
        <v>0</v>
      </c>
    </row>
    <row r="640" spans="1:17" ht="23.25" customHeight="1" x14ac:dyDescent="0.5">
      <c r="A640" s="77">
        <v>40</v>
      </c>
      <c r="B640" s="78" t="s">
        <v>39</v>
      </c>
      <c r="C640" s="79" t="s">
        <v>61</v>
      </c>
      <c r="D640" s="14" t="s">
        <v>193</v>
      </c>
      <c r="E640" s="15"/>
      <c r="F640" s="15"/>
      <c r="G640" s="15"/>
      <c r="H640" s="15"/>
      <c r="I640" s="172"/>
      <c r="J640" s="202">
        <f t="shared" si="132"/>
        <v>0</v>
      </c>
      <c r="K640" s="94">
        <v>0</v>
      </c>
      <c r="L640" s="16"/>
      <c r="M640" s="17"/>
      <c r="N640" s="17"/>
      <c r="O640" s="18">
        <f t="shared" si="129"/>
        <v>0</v>
      </c>
      <c r="P640" s="18">
        <f t="shared" si="130"/>
        <v>0</v>
      </c>
      <c r="Q640" s="8">
        <f t="shared" si="131"/>
        <v>0</v>
      </c>
    </row>
    <row r="641" spans="1:17" ht="23.25" customHeight="1" x14ac:dyDescent="0.5">
      <c r="A641" s="77">
        <v>41</v>
      </c>
      <c r="B641" s="78" t="s">
        <v>39</v>
      </c>
      <c r="C641" s="79" t="s">
        <v>61</v>
      </c>
      <c r="D641" s="14" t="s">
        <v>193</v>
      </c>
      <c r="E641" s="15"/>
      <c r="F641" s="15"/>
      <c r="G641" s="15"/>
      <c r="H641" s="15"/>
      <c r="I641" s="172"/>
      <c r="J641" s="202">
        <f t="shared" si="132"/>
        <v>0</v>
      </c>
      <c r="K641" s="94">
        <f t="shared" si="121"/>
        <v>0</v>
      </c>
      <c r="L641" s="16"/>
      <c r="M641" s="17"/>
      <c r="N641" s="17"/>
      <c r="O641" s="18">
        <f t="shared" si="129"/>
        <v>0</v>
      </c>
      <c r="P641" s="18">
        <f t="shared" si="130"/>
        <v>0</v>
      </c>
      <c r="Q641" s="8">
        <f t="shared" si="131"/>
        <v>0</v>
      </c>
    </row>
    <row r="642" spans="1:17" ht="23.25" customHeight="1" x14ac:dyDescent="0.5">
      <c r="A642" s="77">
        <v>42</v>
      </c>
      <c r="B642" s="78" t="s">
        <v>39</v>
      </c>
      <c r="C642" s="79" t="s">
        <v>61</v>
      </c>
      <c r="D642" s="14" t="s">
        <v>193</v>
      </c>
      <c r="E642" s="15"/>
      <c r="F642" s="15"/>
      <c r="G642" s="15"/>
      <c r="H642" s="15"/>
      <c r="I642" s="172"/>
      <c r="J642" s="202">
        <f t="shared" si="132"/>
        <v>0</v>
      </c>
      <c r="K642" s="94">
        <f t="shared" si="121"/>
        <v>0</v>
      </c>
      <c r="L642" s="16"/>
      <c r="M642" s="17"/>
      <c r="N642" s="17"/>
      <c r="O642" s="18">
        <f t="shared" si="129"/>
        <v>0</v>
      </c>
      <c r="P642" s="18">
        <f t="shared" si="130"/>
        <v>0</v>
      </c>
      <c r="Q642" s="8">
        <f t="shared" si="131"/>
        <v>0</v>
      </c>
    </row>
    <row r="643" spans="1:17" ht="23.25" customHeight="1" x14ac:dyDescent="0.5">
      <c r="A643" s="77">
        <v>43</v>
      </c>
      <c r="B643" s="78" t="s">
        <v>39</v>
      </c>
      <c r="C643" s="79" t="s">
        <v>61</v>
      </c>
      <c r="D643" s="14" t="s">
        <v>193</v>
      </c>
      <c r="E643" s="15"/>
      <c r="F643" s="15"/>
      <c r="G643" s="15"/>
      <c r="H643" s="15"/>
      <c r="I643" s="172"/>
      <c r="J643" s="202">
        <f>I643</f>
        <v>0</v>
      </c>
      <c r="K643" s="94">
        <f t="shared" si="121"/>
        <v>0</v>
      </c>
      <c r="L643" s="16"/>
      <c r="M643" s="17"/>
      <c r="N643" s="17"/>
      <c r="O643" s="18">
        <f t="shared" si="129"/>
        <v>0</v>
      </c>
      <c r="P643" s="18">
        <f t="shared" si="130"/>
        <v>0</v>
      </c>
      <c r="Q643" s="8">
        <f t="shared" si="131"/>
        <v>0</v>
      </c>
    </row>
    <row r="644" spans="1:17" ht="23.25" customHeight="1" x14ac:dyDescent="0.5">
      <c r="A644" s="77">
        <v>44</v>
      </c>
      <c r="B644" s="78" t="s">
        <v>39</v>
      </c>
      <c r="C644" s="79" t="s">
        <v>61</v>
      </c>
      <c r="D644" s="14" t="s">
        <v>193</v>
      </c>
      <c r="E644" s="15"/>
      <c r="F644" s="15"/>
      <c r="G644" s="15"/>
      <c r="H644" s="15"/>
      <c r="I644" s="172"/>
      <c r="J644" s="202">
        <f>I644</f>
        <v>0</v>
      </c>
      <c r="K644" s="94">
        <f t="shared" si="121"/>
        <v>0</v>
      </c>
      <c r="L644" s="16"/>
      <c r="M644" s="17"/>
      <c r="N644" s="17"/>
      <c r="O644" s="18">
        <f>M644*J644</f>
        <v>0</v>
      </c>
      <c r="P644" s="18">
        <f>N644*J644</f>
        <v>0</v>
      </c>
      <c r="Q644" s="8">
        <f>(M644*J644)+(N644*J644)</f>
        <v>0</v>
      </c>
    </row>
    <row r="645" spans="1:17" ht="23.25" customHeight="1" x14ac:dyDescent="0.5">
      <c r="A645" s="77">
        <v>45</v>
      </c>
      <c r="B645" s="78" t="s">
        <v>39</v>
      </c>
      <c r="C645" s="79" t="s">
        <v>61</v>
      </c>
      <c r="D645" s="14" t="s">
        <v>193</v>
      </c>
      <c r="E645" s="15"/>
      <c r="F645" s="15"/>
      <c r="G645" s="15"/>
      <c r="H645" s="15"/>
      <c r="I645" s="172"/>
      <c r="J645" s="202">
        <f>I645</f>
        <v>0</v>
      </c>
      <c r="K645" s="94">
        <f t="shared" si="121"/>
        <v>0</v>
      </c>
      <c r="L645" s="16"/>
      <c r="M645" s="17"/>
      <c r="N645" s="17"/>
      <c r="O645" s="18">
        <f>M645*J645</f>
        <v>0</v>
      </c>
      <c r="P645" s="18">
        <f>N645*J645</f>
        <v>0</v>
      </c>
      <c r="Q645" s="8">
        <f>(M645*J645)+(N645*J645)</f>
        <v>0</v>
      </c>
    </row>
    <row r="646" spans="1:17" ht="18" customHeight="1" x14ac:dyDescent="0.55000000000000004">
      <c r="A646" s="77">
        <v>46</v>
      </c>
      <c r="B646" s="78" t="s">
        <v>39</v>
      </c>
      <c r="C646" s="79" t="s">
        <v>64</v>
      </c>
      <c r="D646" s="85" t="s">
        <v>65</v>
      </c>
      <c r="E646" s="86"/>
      <c r="F646" s="86"/>
      <c r="G646" s="86"/>
      <c r="H646" s="87"/>
      <c r="I646" s="88"/>
      <c r="J646" s="201"/>
      <c r="K646" s="94">
        <f t="shared" si="121"/>
        <v>0</v>
      </c>
      <c r="L646" s="89"/>
      <c r="M646" s="89"/>
      <c r="N646" s="89"/>
      <c r="O646" s="90"/>
      <c r="P646" s="90"/>
      <c r="Q646" s="9"/>
    </row>
    <row r="647" spans="1:17" ht="23.25" customHeight="1" x14ac:dyDescent="0.5">
      <c r="A647" s="77">
        <v>47</v>
      </c>
      <c r="B647" s="78" t="s">
        <v>39</v>
      </c>
      <c r="C647" s="96" t="s">
        <v>64</v>
      </c>
      <c r="D647" s="14" t="s">
        <v>193</v>
      </c>
      <c r="E647" s="15"/>
      <c r="F647" s="15"/>
      <c r="G647" s="15"/>
      <c r="H647" s="15"/>
      <c r="I647" s="172"/>
      <c r="J647" s="202">
        <f>I647</f>
        <v>0</v>
      </c>
      <c r="K647" s="94">
        <f t="shared" si="121"/>
        <v>0</v>
      </c>
      <c r="L647" s="16"/>
      <c r="M647" s="17"/>
      <c r="N647" s="17"/>
      <c r="O647" s="18">
        <f t="shared" ref="O647:O656" si="133">M647*J647</f>
        <v>0</v>
      </c>
      <c r="P647" s="18">
        <f t="shared" ref="P647:P656" si="134">N647*J647</f>
        <v>0</v>
      </c>
      <c r="Q647" s="8">
        <f t="shared" ref="Q647:Q656" si="135">(M647*J647)+(N647*J647)</f>
        <v>0</v>
      </c>
    </row>
    <row r="648" spans="1:17" ht="23.25" customHeight="1" x14ac:dyDescent="0.5">
      <c r="A648" s="77">
        <v>48</v>
      </c>
      <c r="B648" s="78" t="s">
        <v>39</v>
      </c>
      <c r="C648" s="96" t="s">
        <v>64</v>
      </c>
      <c r="D648" s="14" t="s">
        <v>193</v>
      </c>
      <c r="E648" s="15"/>
      <c r="F648" s="15"/>
      <c r="G648" s="15"/>
      <c r="H648" s="15"/>
      <c r="I648" s="172"/>
      <c r="J648" s="202">
        <f>I648</f>
        <v>0</v>
      </c>
      <c r="K648" s="94">
        <f t="shared" si="121"/>
        <v>0</v>
      </c>
      <c r="L648" s="16"/>
      <c r="M648" s="17"/>
      <c r="N648" s="17"/>
      <c r="O648" s="18">
        <f t="shared" si="133"/>
        <v>0</v>
      </c>
      <c r="P648" s="18">
        <f t="shared" si="134"/>
        <v>0</v>
      </c>
      <c r="Q648" s="8">
        <f t="shared" si="135"/>
        <v>0</v>
      </c>
    </row>
    <row r="649" spans="1:17" ht="23.25" customHeight="1" x14ac:dyDescent="0.5">
      <c r="A649" s="77">
        <v>49</v>
      </c>
      <c r="B649" s="78" t="s">
        <v>39</v>
      </c>
      <c r="C649" s="96" t="s">
        <v>64</v>
      </c>
      <c r="D649" s="14" t="s">
        <v>193</v>
      </c>
      <c r="E649" s="15"/>
      <c r="F649" s="15"/>
      <c r="G649" s="15"/>
      <c r="H649" s="15"/>
      <c r="I649" s="172"/>
      <c r="J649" s="202">
        <f t="shared" ref="J649:J653" si="136">I649</f>
        <v>0</v>
      </c>
      <c r="K649" s="94">
        <f t="shared" si="121"/>
        <v>0</v>
      </c>
      <c r="L649" s="16"/>
      <c r="M649" s="17"/>
      <c r="N649" s="17"/>
      <c r="O649" s="18">
        <f t="shared" si="133"/>
        <v>0</v>
      </c>
      <c r="P649" s="18">
        <f t="shared" si="134"/>
        <v>0</v>
      </c>
      <c r="Q649" s="8">
        <f t="shared" si="135"/>
        <v>0</v>
      </c>
    </row>
    <row r="650" spans="1:17" ht="23.25" customHeight="1" x14ac:dyDescent="0.5">
      <c r="A650" s="77">
        <v>50</v>
      </c>
      <c r="B650" s="78" t="s">
        <v>39</v>
      </c>
      <c r="C650" s="96" t="s">
        <v>64</v>
      </c>
      <c r="D650" s="14" t="s">
        <v>193</v>
      </c>
      <c r="E650" s="15"/>
      <c r="F650" s="15"/>
      <c r="G650" s="15"/>
      <c r="H650" s="15"/>
      <c r="I650" s="172"/>
      <c r="J650" s="202">
        <f t="shared" si="136"/>
        <v>0</v>
      </c>
      <c r="K650" s="94">
        <f t="shared" si="121"/>
        <v>0</v>
      </c>
      <c r="L650" s="16"/>
      <c r="M650" s="17"/>
      <c r="N650" s="17"/>
      <c r="O650" s="18">
        <f t="shared" si="133"/>
        <v>0</v>
      </c>
      <c r="P650" s="18">
        <f t="shared" si="134"/>
        <v>0</v>
      </c>
      <c r="Q650" s="8">
        <f t="shared" si="135"/>
        <v>0</v>
      </c>
    </row>
    <row r="651" spans="1:17" ht="23.25" customHeight="1" x14ac:dyDescent="0.5">
      <c r="A651" s="77">
        <v>51</v>
      </c>
      <c r="B651" s="78" t="s">
        <v>39</v>
      </c>
      <c r="C651" s="96" t="s">
        <v>64</v>
      </c>
      <c r="D651" s="14" t="s">
        <v>193</v>
      </c>
      <c r="E651" s="15"/>
      <c r="F651" s="15"/>
      <c r="G651" s="15"/>
      <c r="H651" s="15"/>
      <c r="I651" s="172"/>
      <c r="J651" s="202">
        <f t="shared" si="136"/>
        <v>0</v>
      </c>
      <c r="K651" s="94">
        <f t="shared" si="121"/>
        <v>0</v>
      </c>
      <c r="L651" s="16"/>
      <c r="M651" s="17"/>
      <c r="N651" s="17"/>
      <c r="O651" s="18">
        <f t="shared" si="133"/>
        <v>0</v>
      </c>
      <c r="P651" s="18">
        <f t="shared" si="134"/>
        <v>0</v>
      </c>
      <c r="Q651" s="8">
        <f t="shared" si="135"/>
        <v>0</v>
      </c>
    </row>
    <row r="652" spans="1:17" ht="23.25" customHeight="1" x14ac:dyDescent="0.5">
      <c r="A652" s="77">
        <v>52</v>
      </c>
      <c r="B652" s="78" t="s">
        <v>39</v>
      </c>
      <c r="C652" s="96" t="s">
        <v>64</v>
      </c>
      <c r="D652" s="14" t="s">
        <v>193</v>
      </c>
      <c r="E652" s="15"/>
      <c r="F652" s="15"/>
      <c r="G652" s="15"/>
      <c r="H652" s="15"/>
      <c r="I652" s="172"/>
      <c r="J652" s="202">
        <f t="shared" si="136"/>
        <v>0</v>
      </c>
      <c r="K652" s="94">
        <f t="shared" si="121"/>
        <v>0</v>
      </c>
      <c r="L652" s="16"/>
      <c r="M652" s="17"/>
      <c r="N652" s="17"/>
      <c r="O652" s="18">
        <f t="shared" si="133"/>
        <v>0</v>
      </c>
      <c r="P652" s="18">
        <f t="shared" si="134"/>
        <v>0</v>
      </c>
      <c r="Q652" s="8">
        <f t="shared" si="135"/>
        <v>0</v>
      </c>
    </row>
    <row r="653" spans="1:17" ht="23.25" customHeight="1" x14ac:dyDescent="0.5">
      <c r="A653" s="77">
        <v>53</v>
      </c>
      <c r="B653" s="78" t="s">
        <v>39</v>
      </c>
      <c r="C653" s="96" t="s">
        <v>64</v>
      </c>
      <c r="D653" s="14" t="s">
        <v>193</v>
      </c>
      <c r="E653" s="15"/>
      <c r="F653" s="15"/>
      <c r="G653" s="15"/>
      <c r="H653" s="15"/>
      <c r="I653" s="172"/>
      <c r="J653" s="202">
        <f t="shared" si="136"/>
        <v>0</v>
      </c>
      <c r="K653" s="94">
        <f t="shared" ref="K653:K712" si="137">+J653-I653</f>
        <v>0</v>
      </c>
      <c r="L653" s="16"/>
      <c r="M653" s="17"/>
      <c r="N653" s="17"/>
      <c r="O653" s="18">
        <f t="shared" si="133"/>
        <v>0</v>
      </c>
      <c r="P653" s="18">
        <f t="shared" si="134"/>
        <v>0</v>
      </c>
      <c r="Q653" s="8">
        <f t="shared" si="135"/>
        <v>0</v>
      </c>
    </row>
    <row r="654" spans="1:17" ht="23.25" customHeight="1" x14ac:dyDescent="0.5">
      <c r="A654" s="77">
        <v>54</v>
      </c>
      <c r="B654" s="78" t="s">
        <v>39</v>
      </c>
      <c r="C654" s="96" t="s">
        <v>64</v>
      </c>
      <c r="D654" s="14" t="s">
        <v>193</v>
      </c>
      <c r="E654" s="15"/>
      <c r="F654" s="15"/>
      <c r="G654" s="15"/>
      <c r="H654" s="15"/>
      <c r="I654" s="172"/>
      <c r="J654" s="202">
        <f>I654</f>
        <v>0</v>
      </c>
      <c r="K654" s="94">
        <f t="shared" si="137"/>
        <v>0</v>
      </c>
      <c r="L654" s="16"/>
      <c r="M654" s="17"/>
      <c r="N654" s="17"/>
      <c r="O654" s="18">
        <f t="shared" si="133"/>
        <v>0</v>
      </c>
      <c r="P654" s="18">
        <f t="shared" si="134"/>
        <v>0</v>
      </c>
      <c r="Q654" s="8">
        <f t="shared" si="135"/>
        <v>0</v>
      </c>
    </row>
    <row r="655" spans="1:17" ht="23.25" customHeight="1" x14ac:dyDescent="0.5">
      <c r="A655" s="77">
        <v>55</v>
      </c>
      <c r="B655" s="78" t="s">
        <v>39</v>
      </c>
      <c r="C655" s="96" t="s">
        <v>64</v>
      </c>
      <c r="D655" s="14" t="s">
        <v>193</v>
      </c>
      <c r="E655" s="15"/>
      <c r="F655" s="15"/>
      <c r="G655" s="15"/>
      <c r="H655" s="15"/>
      <c r="I655" s="172"/>
      <c r="J655" s="202">
        <f>I655</f>
        <v>0</v>
      </c>
      <c r="K655" s="94">
        <f t="shared" si="137"/>
        <v>0</v>
      </c>
      <c r="L655" s="16"/>
      <c r="M655" s="17"/>
      <c r="N655" s="17"/>
      <c r="O655" s="18">
        <f t="shared" si="133"/>
        <v>0</v>
      </c>
      <c r="P655" s="18">
        <f t="shared" si="134"/>
        <v>0</v>
      </c>
      <c r="Q655" s="8">
        <f t="shared" si="135"/>
        <v>0</v>
      </c>
    </row>
    <row r="656" spans="1:17" ht="23.25" customHeight="1" x14ac:dyDescent="0.5">
      <c r="A656" s="77">
        <v>56</v>
      </c>
      <c r="B656" s="78" t="s">
        <v>39</v>
      </c>
      <c r="C656" s="96" t="s">
        <v>64</v>
      </c>
      <c r="D656" s="14" t="s">
        <v>193</v>
      </c>
      <c r="E656" s="15"/>
      <c r="F656" s="15"/>
      <c r="G656" s="15"/>
      <c r="H656" s="15"/>
      <c r="I656" s="172"/>
      <c r="J656" s="202">
        <f>I656</f>
        <v>0</v>
      </c>
      <c r="K656" s="94">
        <f t="shared" si="137"/>
        <v>0</v>
      </c>
      <c r="L656" s="16"/>
      <c r="M656" s="17"/>
      <c r="N656" s="17"/>
      <c r="O656" s="18">
        <f t="shared" si="133"/>
        <v>0</v>
      </c>
      <c r="P656" s="18">
        <f t="shared" si="134"/>
        <v>0</v>
      </c>
      <c r="Q656" s="8">
        <f t="shared" si="135"/>
        <v>0</v>
      </c>
    </row>
    <row r="657" spans="1:18" ht="18" customHeight="1" x14ac:dyDescent="0.55000000000000004">
      <c r="A657" s="77">
        <v>57</v>
      </c>
      <c r="B657" s="78" t="s">
        <v>39</v>
      </c>
      <c r="C657" s="79" t="s">
        <v>69</v>
      </c>
      <c r="D657" s="85" t="s">
        <v>70</v>
      </c>
      <c r="E657" s="86"/>
      <c r="F657" s="86"/>
      <c r="G657" s="86"/>
      <c r="H657" s="87"/>
      <c r="I657" s="88"/>
      <c r="J657" s="201"/>
      <c r="K657" s="94">
        <f t="shared" si="137"/>
        <v>0</v>
      </c>
      <c r="L657" s="89"/>
      <c r="M657" s="89"/>
      <c r="N657" s="89"/>
      <c r="O657" s="90"/>
      <c r="P657" s="90"/>
      <c r="Q657" s="9"/>
    </row>
    <row r="658" spans="1:18" ht="23.25" customHeight="1" x14ac:dyDescent="0.5">
      <c r="A658" s="77">
        <v>58</v>
      </c>
      <c r="B658" s="78" t="s">
        <v>39</v>
      </c>
      <c r="C658" s="96" t="s">
        <v>69</v>
      </c>
      <c r="D658" s="14" t="s">
        <v>193</v>
      </c>
      <c r="E658" s="15"/>
      <c r="F658" s="15"/>
      <c r="G658" s="15"/>
      <c r="H658" s="15"/>
      <c r="I658" s="172"/>
      <c r="J658" s="202">
        <f>I658</f>
        <v>0</v>
      </c>
      <c r="K658" s="94">
        <f t="shared" si="137"/>
        <v>0</v>
      </c>
      <c r="L658" s="16"/>
      <c r="M658" s="17"/>
      <c r="N658" s="17"/>
      <c r="O658" s="18">
        <f t="shared" ref="O658:O667" si="138">M658*J658</f>
        <v>0</v>
      </c>
      <c r="P658" s="18">
        <f t="shared" ref="P658:P667" si="139">N658*J658</f>
        <v>0</v>
      </c>
      <c r="Q658" s="8">
        <f t="shared" ref="Q658:Q667" si="140">(M658*J658)+(N658*J658)</f>
        <v>0</v>
      </c>
    </row>
    <row r="659" spans="1:18" ht="23.25" customHeight="1" x14ac:dyDescent="0.5">
      <c r="A659" s="77">
        <v>59</v>
      </c>
      <c r="B659" s="78" t="s">
        <v>39</v>
      </c>
      <c r="C659" s="96" t="s">
        <v>69</v>
      </c>
      <c r="D659" s="14" t="s">
        <v>193</v>
      </c>
      <c r="E659" s="15"/>
      <c r="F659" s="15"/>
      <c r="G659" s="15"/>
      <c r="H659" s="15"/>
      <c r="I659" s="172"/>
      <c r="J659" s="202">
        <f>I659</f>
        <v>0</v>
      </c>
      <c r="K659" s="94">
        <f t="shared" si="137"/>
        <v>0</v>
      </c>
      <c r="L659" s="16"/>
      <c r="M659" s="17"/>
      <c r="N659" s="17"/>
      <c r="O659" s="18">
        <f t="shared" si="138"/>
        <v>0</v>
      </c>
      <c r="P659" s="18">
        <f t="shared" si="139"/>
        <v>0</v>
      </c>
      <c r="Q659" s="8">
        <f t="shared" si="140"/>
        <v>0</v>
      </c>
    </row>
    <row r="660" spans="1:18" ht="23.25" customHeight="1" x14ac:dyDescent="0.5">
      <c r="A660" s="77">
        <v>60</v>
      </c>
      <c r="B660" s="78" t="s">
        <v>39</v>
      </c>
      <c r="C660" s="96" t="s">
        <v>69</v>
      </c>
      <c r="D660" s="14" t="s">
        <v>193</v>
      </c>
      <c r="E660" s="15"/>
      <c r="F660" s="15"/>
      <c r="G660" s="15"/>
      <c r="H660" s="15"/>
      <c r="I660" s="172"/>
      <c r="J660" s="202">
        <f t="shared" ref="J660:J664" si="141">I660</f>
        <v>0</v>
      </c>
      <c r="K660" s="94">
        <f t="shared" si="137"/>
        <v>0</v>
      </c>
      <c r="L660" s="16"/>
      <c r="M660" s="17"/>
      <c r="N660" s="17"/>
      <c r="O660" s="18">
        <f t="shared" si="138"/>
        <v>0</v>
      </c>
      <c r="P660" s="18">
        <f t="shared" si="139"/>
        <v>0</v>
      </c>
      <c r="Q660" s="8">
        <f t="shared" si="140"/>
        <v>0</v>
      </c>
    </row>
    <row r="661" spans="1:18" ht="23.25" customHeight="1" x14ac:dyDescent="0.5">
      <c r="A661" s="77">
        <v>61</v>
      </c>
      <c r="B661" s="78" t="s">
        <v>39</v>
      </c>
      <c r="C661" s="96" t="s">
        <v>69</v>
      </c>
      <c r="D661" s="14" t="s">
        <v>193</v>
      </c>
      <c r="E661" s="15"/>
      <c r="F661" s="15"/>
      <c r="G661" s="15"/>
      <c r="H661" s="15"/>
      <c r="I661" s="172"/>
      <c r="J661" s="202">
        <f t="shared" si="141"/>
        <v>0</v>
      </c>
      <c r="K661" s="94">
        <f t="shared" si="137"/>
        <v>0</v>
      </c>
      <c r="L661" s="16"/>
      <c r="M661" s="17"/>
      <c r="N661" s="17"/>
      <c r="O661" s="18">
        <f t="shared" si="138"/>
        <v>0</v>
      </c>
      <c r="P661" s="18">
        <f t="shared" si="139"/>
        <v>0</v>
      </c>
      <c r="Q661" s="8">
        <f t="shared" si="140"/>
        <v>0</v>
      </c>
    </row>
    <row r="662" spans="1:18" ht="23.25" customHeight="1" x14ac:dyDescent="0.5">
      <c r="A662" s="77">
        <v>62</v>
      </c>
      <c r="B662" s="78" t="s">
        <v>39</v>
      </c>
      <c r="C662" s="96" t="s">
        <v>69</v>
      </c>
      <c r="D662" s="14" t="s">
        <v>193</v>
      </c>
      <c r="E662" s="15"/>
      <c r="F662" s="15"/>
      <c r="G662" s="15"/>
      <c r="H662" s="15"/>
      <c r="I662" s="172"/>
      <c r="J662" s="202">
        <f t="shared" si="141"/>
        <v>0</v>
      </c>
      <c r="K662" s="94">
        <f t="shared" si="137"/>
        <v>0</v>
      </c>
      <c r="L662" s="16"/>
      <c r="M662" s="17"/>
      <c r="N662" s="17"/>
      <c r="O662" s="18">
        <f t="shared" si="138"/>
        <v>0</v>
      </c>
      <c r="P662" s="18">
        <f t="shared" si="139"/>
        <v>0</v>
      </c>
      <c r="Q662" s="8">
        <f t="shared" si="140"/>
        <v>0</v>
      </c>
    </row>
    <row r="663" spans="1:18" ht="23.25" customHeight="1" x14ac:dyDescent="0.5">
      <c r="A663" s="77">
        <v>63</v>
      </c>
      <c r="B663" s="78" t="s">
        <v>39</v>
      </c>
      <c r="C663" s="96" t="s">
        <v>69</v>
      </c>
      <c r="D663" s="14" t="s">
        <v>193</v>
      </c>
      <c r="E663" s="15"/>
      <c r="F663" s="15"/>
      <c r="G663" s="15"/>
      <c r="H663" s="15"/>
      <c r="I663" s="172"/>
      <c r="J663" s="202">
        <f t="shared" si="141"/>
        <v>0</v>
      </c>
      <c r="K663" s="94">
        <f t="shared" si="137"/>
        <v>0</v>
      </c>
      <c r="L663" s="16"/>
      <c r="M663" s="17"/>
      <c r="N663" s="17"/>
      <c r="O663" s="18">
        <f t="shared" si="138"/>
        <v>0</v>
      </c>
      <c r="P663" s="18">
        <f t="shared" si="139"/>
        <v>0</v>
      </c>
      <c r="Q663" s="8">
        <f t="shared" si="140"/>
        <v>0</v>
      </c>
    </row>
    <row r="664" spans="1:18" ht="23.25" customHeight="1" x14ac:dyDescent="0.5">
      <c r="A664" s="77">
        <v>64</v>
      </c>
      <c r="B664" s="78" t="s">
        <v>39</v>
      </c>
      <c r="C664" s="96" t="s">
        <v>69</v>
      </c>
      <c r="D664" s="14" t="s">
        <v>193</v>
      </c>
      <c r="E664" s="15"/>
      <c r="F664" s="15"/>
      <c r="G664" s="15"/>
      <c r="H664" s="15"/>
      <c r="I664" s="172"/>
      <c r="J664" s="202">
        <f t="shared" si="141"/>
        <v>0</v>
      </c>
      <c r="K664" s="94">
        <f t="shared" si="137"/>
        <v>0</v>
      </c>
      <c r="L664" s="16"/>
      <c r="M664" s="17"/>
      <c r="N664" s="17"/>
      <c r="O664" s="18">
        <f t="shared" si="138"/>
        <v>0</v>
      </c>
      <c r="P664" s="18">
        <f t="shared" si="139"/>
        <v>0</v>
      </c>
      <c r="Q664" s="8">
        <f t="shared" si="140"/>
        <v>0</v>
      </c>
    </row>
    <row r="665" spans="1:18" ht="23.25" customHeight="1" x14ac:dyDescent="0.5">
      <c r="A665" s="77">
        <v>65</v>
      </c>
      <c r="B665" s="78" t="s">
        <v>39</v>
      </c>
      <c r="C665" s="96" t="s">
        <v>69</v>
      </c>
      <c r="D665" s="14" t="s">
        <v>193</v>
      </c>
      <c r="E665" s="15"/>
      <c r="F665" s="15"/>
      <c r="G665" s="15"/>
      <c r="H665" s="15"/>
      <c r="I665" s="172"/>
      <c r="J665" s="202">
        <f>I665</f>
        <v>0</v>
      </c>
      <c r="K665" s="94">
        <f t="shared" si="137"/>
        <v>0</v>
      </c>
      <c r="L665" s="16"/>
      <c r="M665" s="17"/>
      <c r="N665" s="17"/>
      <c r="O665" s="18">
        <f t="shared" si="138"/>
        <v>0</v>
      </c>
      <c r="P665" s="18">
        <f t="shared" si="139"/>
        <v>0</v>
      </c>
      <c r="Q665" s="8">
        <f t="shared" si="140"/>
        <v>0</v>
      </c>
    </row>
    <row r="666" spans="1:18" ht="23.25" customHeight="1" x14ac:dyDescent="0.5">
      <c r="A666" s="77">
        <v>66</v>
      </c>
      <c r="B666" s="78" t="s">
        <v>39</v>
      </c>
      <c r="C666" s="96" t="s">
        <v>69</v>
      </c>
      <c r="D666" s="14" t="s">
        <v>193</v>
      </c>
      <c r="E666" s="15"/>
      <c r="F666" s="15"/>
      <c r="G666" s="15"/>
      <c r="H666" s="15"/>
      <c r="I666" s="172"/>
      <c r="J666" s="202">
        <f>I666</f>
        <v>0</v>
      </c>
      <c r="K666" s="94">
        <f t="shared" si="137"/>
        <v>0</v>
      </c>
      <c r="L666" s="16"/>
      <c r="M666" s="17"/>
      <c r="N666" s="17"/>
      <c r="O666" s="18">
        <f t="shared" si="138"/>
        <v>0</v>
      </c>
      <c r="P666" s="18">
        <f t="shared" si="139"/>
        <v>0</v>
      </c>
      <c r="Q666" s="8">
        <f t="shared" si="140"/>
        <v>0</v>
      </c>
    </row>
    <row r="667" spans="1:18" ht="23.25" customHeight="1" x14ac:dyDescent="0.5">
      <c r="A667" s="77">
        <v>67</v>
      </c>
      <c r="B667" s="78" t="s">
        <v>39</v>
      </c>
      <c r="C667" s="96" t="s">
        <v>69</v>
      </c>
      <c r="D667" s="14" t="s">
        <v>193</v>
      </c>
      <c r="E667" s="15"/>
      <c r="F667" s="15"/>
      <c r="G667" s="15"/>
      <c r="H667" s="15"/>
      <c r="I667" s="172"/>
      <c r="J667" s="202">
        <f>I667</f>
        <v>0</v>
      </c>
      <c r="K667" s="94">
        <f t="shared" si="137"/>
        <v>0</v>
      </c>
      <c r="L667" s="16"/>
      <c r="M667" s="17"/>
      <c r="N667" s="17"/>
      <c r="O667" s="18">
        <f t="shared" si="138"/>
        <v>0</v>
      </c>
      <c r="P667" s="18">
        <f t="shared" si="139"/>
        <v>0</v>
      </c>
      <c r="Q667" s="8">
        <f t="shared" si="140"/>
        <v>0</v>
      </c>
    </row>
    <row r="668" spans="1:18" ht="18" customHeight="1" x14ac:dyDescent="0.55000000000000004">
      <c r="A668" s="77">
        <v>68</v>
      </c>
      <c r="B668" s="78" t="s">
        <v>80</v>
      </c>
      <c r="C668" s="100" t="s">
        <v>81</v>
      </c>
      <c r="D668" s="80" t="s">
        <v>82</v>
      </c>
      <c r="E668" s="81"/>
      <c r="F668" s="81"/>
      <c r="G668" s="81"/>
      <c r="H668" s="82"/>
      <c r="I668" s="83"/>
      <c r="J668" s="200"/>
      <c r="K668" s="94">
        <f t="shared" si="137"/>
        <v>0</v>
      </c>
      <c r="L668" s="84"/>
      <c r="M668" s="84"/>
      <c r="N668" s="84"/>
      <c r="O668" s="18">
        <f t="shared" ref="O668:O679" si="142">M668*J668</f>
        <v>0</v>
      </c>
      <c r="P668" s="18">
        <f t="shared" ref="P668:P679" si="143">N668*J668</f>
        <v>0</v>
      </c>
      <c r="Q668" s="8">
        <f t="shared" ref="Q668:Q679" si="144">(M668*J668)+(N668*J668)</f>
        <v>0</v>
      </c>
    </row>
    <row r="669" spans="1:18" ht="18" customHeight="1" x14ac:dyDescent="0.55000000000000004">
      <c r="A669" s="77">
        <v>69</v>
      </c>
      <c r="B669" s="78" t="s">
        <v>80</v>
      </c>
      <c r="C669" s="100" t="s">
        <v>81</v>
      </c>
      <c r="D669" s="85" t="s">
        <v>81</v>
      </c>
      <c r="E669" s="86"/>
      <c r="F669" s="86"/>
      <c r="G669" s="86"/>
      <c r="H669" s="87"/>
      <c r="I669" s="88"/>
      <c r="J669" s="201"/>
      <c r="K669" s="94">
        <f t="shared" si="137"/>
        <v>0</v>
      </c>
      <c r="L669" s="89"/>
      <c r="M669" s="89"/>
      <c r="N669" s="89"/>
      <c r="O669" s="18">
        <f t="shared" si="142"/>
        <v>0</v>
      </c>
      <c r="P669" s="18">
        <f t="shared" si="143"/>
        <v>0</v>
      </c>
      <c r="Q669" s="8">
        <f t="shared" si="144"/>
        <v>0</v>
      </c>
    </row>
    <row r="670" spans="1:18" ht="23.25" customHeight="1" x14ac:dyDescent="0.5">
      <c r="A670" s="77">
        <v>70</v>
      </c>
      <c r="B670" s="78" t="s">
        <v>80</v>
      </c>
      <c r="C670" s="102" t="s">
        <v>81</v>
      </c>
      <c r="D670" s="14" t="s">
        <v>542</v>
      </c>
      <c r="E670" s="15"/>
      <c r="F670" s="15"/>
      <c r="G670" s="15"/>
      <c r="H670" s="15" t="s">
        <v>94</v>
      </c>
      <c r="I670" s="172"/>
      <c r="J670" s="202">
        <v>2</v>
      </c>
      <c r="K670" s="94">
        <v>0</v>
      </c>
      <c r="L670" s="16"/>
      <c r="M670" s="17"/>
      <c r="N670" s="17"/>
      <c r="O670" s="18">
        <f t="shared" si="142"/>
        <v>0</v>
      </c>
      <c r="P670" s="18">
        <f t="shared" si="143"/>
        <v>0</v>
      </c>
      <c r="Q670" s="8">
        <f t="shared" si="144"/>
        <v>0</v>
      </c>
      <c r="R670" s="213" t="s">
        <v>548</v>
      </c>
    </row>
    <row r="671" spans="1:18" ht="23.25" customHeight="1" x14ac:dyDescent="0.5">
      <c r="A671" s="77">
        <v>71</v>
      </c>
      <c r="B671" s="78" t="s">
        <v>80</v>
      </c>
      <c r="C671" s="102" t="s">
        <v>81</v>
      </c>
      <c r="D671" s="14" t="s">
        <v>543</v>
      </c>
      <c r="E671" s="15"/>
      <c r="F671" s="15"/>
      <c r="G671" s="15"/>
      <c r="H671" s="15" t="s">
        <v>95</v>
      </c>
      <c r="I671" s="172"/>
      <c r="J671" s="202">
        <v>0</v>
      </c>
      <c r="K671" s="94">
        <v>0</v>
      </c>
      <c r="L671" s="16"/>
      <c r="M671" s="17"/>
      <c r="N671" s="17"/>
      <c r="O671" s="18">
        <f t="shared" si="142"/>
        <v>0</v>
      </c>
      <c r="P671" s="18">
        <f t="shared" si="143"/>
        <v>0</v>
      </c>
      <c r="Q671" s="8">
        <f t="shared" si="144"/>
        <v>0</v>
      </c>
    </row>
    <row r="672" spans="1:18" ht="23.25" customHeight="1" x14ac:dyDescent="0.5">
      <c r="A672" s="77">
        <v>72</v>
      </c>
      <c r="B672" s="78" t="s">
        <v>80</v>
      </c>
      <c r="C672" s="102" t="s">
        <v>81</v>
      </c>
      <c r="D672" s="14" t="s">
        <v>544</v>
      </c>
      <c r="E672" s="15"/>
      <c r="F672" s="15"/>
      <c r="G672" s="15"/>
      <c r="H672" s="15" t="s">
        <v>96</v>
      </c>
      <c r="I672" s="172"/>
      <c r="J672" s="202">
        <v>0</v>
      </c>
      <c r="K672" s="94">
        <v>0</v>
      </c>
      <c r="L672" s="16"/>
      <c r="M672" s="17"/>
      <c r="N672" s="17"/>
      <c r="O672" s="18">
        <f t="shared" si="142"/>
        <v>0</v>
      </c>
      <c r="P672" s="18">
        <f t="shared" si="143"/>
        <v>0</v>
      </c>
      <c r="Q672" s="8">
        <f t="shared" si="144"/>
        <v>0</v>
      </c>
    </row>
    <row r="673" spans="1:21" ht="23.25" customHeight="1" x14ac:dyDescent="0.5">
      <c r="A673" s="77">
        <v>73</v>
      </c>
      <c r="B673" s="78" t="s">
        <v>80</v>
      </c>
      <c r="C673" s="102" t="s">
        <v>81</v>
      </c>
      <c r="D673" s="14" t="s">
        <v>544</v>
      </c>
      <c r="E673" s="15"/>
      <c r="F673" s="15"/>
      <c r="G673" s="15"/>
      <c r="H673" s="15" t="s">
        <v>97</v>
      </c>
      <c r="I673" s="172"/>
      <c r="J673" s="202">
        <v>0</v>
      </c>
      <c r="K673" s="94">
        <v>0</v>
      </c>
      <c r="L673" s="16"/>
      <c r="M673" s="17"/>
      <c r="N673" s="17"/>
      <c r="O673" s="18">
        <f t="shared" si="142"/>
        <v>0</v>
      </c>
      <c r="P673" s="18">
        <f t="shared" si="143"/>
        <v>0</v>
      </c>
      <c r="Q673" s="8">
        <f t="shared" si="144"/>
        <v>0</v>
      </c>
    </row>
    <row r="674" spans="1:21" ht="23.25" customHeight="1" x14ac:dyDescent="0.5">
      <c r="A674" s="77">
        <v>74</v>
      </c>
      <c r="B674" s="78" t="s">
        <v>80</v>
      </c>
      <c r="C674" s="102" t="s">
        <v>81</v>
      </c>
      <c r="D674" s="14" t="s">
        <v>544</v>
      </c>
      <c r="E674" s="15"/>
      <c r="F674" s="15"/>
      <c r="G674" s="15"/>
      <c r="H674" s="15" t="s">
        <v>98</v>
      </c>
      <c r="I674" s="172"/>
      <c r="J674" s="202">
        <v>0</v>
      </c>
      <c r="K674" s="94">
        <v>0</v>
      </c>
      <c r="L674" s="16"/>
      <c r="M674" s="17"/>
      <c r="N674" s="17"/>
      <c r="O674" s="18">
        <f t="shared" si="142"/>
        <v>0</v>
      </c>
      <c r="P674" s="18">
        <f t="shared" si="143"/>
        <v>0</v>
      </c>
      <c r="Q674" s="8">
        <f t="shared" si="144"/>
        <v>0</v>
      </c>
    </row>
    <row r="675" spans="1:21" ht="23.25" customHeight="1" x14ac:dyDescent="0.5">
      <c r="A675" s="77">
        <v>75</v>
      </c>
      <c r="B675" s="251" t="s">
        <v>80</v>
      </c>
      <c r="C675" s="252" t="s">
        <v>81</v>
      </c>
      <c r="D675" s="253" t="s">
        <v>545</v>
      </c>
      <c r="E675" s="254" t="s">
        <v>55</v>
      </c>
      <c r="F675" s="254"/>
      <c r="G675" s="254"/>
      <c r="H675" s="254" t="s">
        <v>104</v>
      </c>
      <c r="I675" s="255"/>
      <c r="J675" s="256">
        <v>0</v>
      </c>
      <c r="K675" s="257">
        <v>0</v>
      </c>
      <c r="L675" s="258" t="s">
        <v>15</v>
      </c>
      <c r="M675" s="259"/>
      <c r="N675" s="259"/>
      <c r="O675" s="260">
        <f t="shared" si="142"/>
        <v>0</v>
      </c>
      <c r="P675" s="260">
        <f t="shared" si="143"/>
        <v>0</v>
      </c>
      <c r="Q675" s="261">
        <f t="shared" si="144"/>
        <v>0</v>
      </c>
      <c r="R675" s="262" t="s">
        <v>552</v>
      </c>
      <c r="S675" s="262"/>
      <c r="T675" s="263"/>
      <c r="U675" s="263"/>
    </row>
    <row r="676" spans="1:21" ht="23.25" customHeight="1" x14ac:dyDescent="0.5">
      <c r="A676" s="77">
        <v>76</v>
      </c>
      <c r="B676" s="78" t="s">
        <v>80</v>
      </c>
      <c r="C676" s="102" t="s">
        <v>81</v>
      </c>
      <c r="D676" s="14" t="s">
        <v>546</v>
      </c>
      <c r="E676" s="15"/>
      <c r="F676" s="15"/>
      <c r="G676" s="15"/>
      <c r="H676" s="15"/>
      <c r="I676" s="172"/>
      <c r="J676" s="202">
        <v>0</v>
      </c>
      <c r="K676" s="94">
        <v>0</v>
      </c>
      <c r="L676" s="16"/>
      <c r="M676" s="17"/>
      <c r="N676" s="17"/>
      <c r="O676" s="18">
        <f t="shared" si="142"/>
        <v>0</v>
      </c>
      <c r="P676" s="18">
        <f t="shared" si="143"/>
        <v>0</v>
      </c>
      <c r="Q676" s="8">
        <f t="shared" si="144"/>
        <v>0</v>
      </c>
    </row>
    <row r="677" spans="1:21" s="229" customFormat="1" ht="23.25" customHeight="1" x14ac:dyDescent="0.5">
      <c r="A677" s="216">
        <v>77</v>
      </c>
      <c r="B677" s="217" t="s">
        <v>80</v>
      </c>
      <c r="C677" s="231" t="s">
        <v>81</v>
      </c>
      <c r="D677" s="232" t="s">
        <v>549</v>
      </c>
      <c r="E677" s="233"/>
      <c r="F677" s="233"/>
      <c r="G677" s="233"/>
      <c r="H677" s="233"/>
      <c r="I677" s="234"/>
      <c r="J677" s="222">
        <v>2</v>
      </c>
      <c r="K677" s="223">
        <v>0</v>
      </c>
      <c r="L677" s="235"/>
      <c r="M677" s="236"/>
      <c r="N677" s="236"/>
      <c r="O677" s="226">
        <f t="shared" si="142"/>
        <v>0</v>
      </c>
      <c r="P677" s="226">
        <f t="shared" si="143"/>
        <v>0</v>
      </c>
      <c r="Q677" s="227">
        <f t="shared" si="144"/>
        <v>0</v>
      </c>
      <c r="R677" s="228" t="s">
        <v>552</v>
      </c>
      <c r="S677" s="228"/>
    </row>
    <row r="678" spans="1:21" s="229" customFormat="1" ht="23.25" customHeight="1" x14ac:dyDescent="0.5">
      <c r="A678" s="216">
        <v>78</v>
      </c>
      <c r="B678" s="217" t="s">
        <v>80</v>
      </c>
      <c r="C678" s="231" t="s">
        <v>81</v>
      </c>
      <c r="D678" s="232" t="s">
        <v>544</v>
      </c>
      <c r="E678" s="233"/>
      <c r="F678" s="233"/>
      <c r="G678" s="233"/>
      <c r="H678" s="233" t="s">
        <v>103</v>
      </c>
      <c r="I678" s="234"/>
      <c r="J678" s="222">
        <v>16</v>
      </c>
      <c r="K678" s="223">
        <v>16</v>
      </c>
      <c r="L678" s="235"/>
      <c r="M678" s="236"/>
      <c r="N678" s="236"/>
      <c r="O678" s="226">
        <f t="shared" si="142"/>
        <v>0</v>
      </c>
      <c r="P678" s="226">
        <f t="shared" si="143"/>
        <v>0</v>
      </c>
      <c r="Q678" s="227">
        <f t="shared" si="144"/>
        <v>0</v>
      </c>
    </row>
    <row r="679" spans="1:21" s="250" customFormat="1" ht="23" customHeight="1" x14ac:dyDescent="0.5">
      <c r="A679" s="77">
        <v>79</v>
      </c>
      <c r="B679" s="78" t="s">
        <v>80</v>
      </c>
      <c r="C679" s="102" t="s">
        <v>81</v>
      </c>
      <c r="D679" s="241" t="s">
        <v>544</v>
      </c>
      <c r="E679" s="242"/>
      <c r="F679" s="242"/>
      <c r="G679" s="242"/>
      <c r="H679" s="242" t="s">
        <v>547</v>
      </c>
      <c r="I679" s="243"/>
      <c r="J679" s="244">
        <v>90</v>
      </c>
      <c r="K679" s="245">
        <v>0</v>
      </c>
      <c r="L679" s="246"/>
      <c r="M679" s="247"/>
      <c r="N679" s="247"/>
      <c r="O679" s="248">
        <f t="shared" si="142"/>
        <v>0</v>
      </c>
      <c r="P679" s="248">
        <f t="shared" si="143"/>
        <v>0</v>
      </c>
      <c r="Q679" s="249">
        <f t="shared" si="144"/>
        <v>0</v>
      </c>
    </row>
    <row r="680" spans="1:21" ht="23.25" customHeight="1" x14ac:dyDescent="0.55000000000000004">
      <c r="A680" s="77">
        <v>80</v>
      </c>
      <c r="B680" s="78" t="s">
        <v>80</v>
      </c>
      <c r="C680" s="100" t="s">
        <v>110</v>
      </c>
      <c r="D680" s="106" t="s">
        <v>110</v>
      </c>
      <c r="E680" s="87"/>
      <c r="F680" s="87"/>
      <c r="G680" s="87"/>
      <c r="H680" s="107"/>
      <c r="I680" s="165"/>
      <c r="J680" s="203"/>
      <c r="K680" s="94">
        <f t="shared" si="137"/>
        <v>0</v>
      </c>
      <c r="L680" s="109"/>
      <c r="M680" s="109"/>
      <c r="N680" s="109"/>
      <c r="O680" s="19"/>
      <c r="P680" s="19"/>
      <c r="Q680" s="9"/>
    </row>
    <row r="681" spans="1:21" ht="23.25" customHeight="1" x14ac:dyDescent="0.5">
      <c r="A681" s="77">
        <v>81</v>
      </c>
      <c r="B681" s="78" t="s">
        <v>80</v>
      </c>
      <c r="C681" s="100" t="s">
        <v>110</v>
      </c>
      <c r="D681" s="14" t="s">
        <v>193</v>
      </c>
      <c r="E681" s="15"/>
      <c r="F681" s="15"/>
      <c r="G681" s="15"/>
      <c r="H681" s="15"/>
      <c r="I681" s="172"/>
      <c r="J681" s="202">
        <f>I681</f>
        <v>0</v>
      </c>
      <c r="K681" s="94">
        <f t="shared" si="137"/>
        <v>0</v>
      </c>
      <c r="L681" s="16"/>
      <c r="M681" s="17"/>
      <c r="N681" s="17"/>
      <c r="O681" s="18">
        <f t="shared" ref="O681:O690" si="145">M681*J681</f>
        <v>0</v>
      </c>
      <c r="P681" s="18">
        <f t="shared" ref="P681:P690" si="146">N681*J681</f>
        <v>0</v>
      </c>
      <c r="Q681" s="8">
        <f t="shared" ref="Q681:Q690" si="147">(M681*J681)+(N681*J681)</f>
        <v>0</v>
      </c>
    </row>
    <row r="682" spans="1:21" ht="23.25" customHeight="1" x14ac:dyDescent="0.5">
      <c r="A682" s="77">
        <v>82</v>
      </c>
      <c r="B682" s="78" t="s">
        <v>80</v>
      </c>
      <c r="C682" s="100" t="s">
        <v>110</v>
      </c>
      <c r="D682" s="14" t="s">
        <v>193</v>
      </c>
      <c r="E682" s="15"/>
      <c r="F682" s="15"/>
      <c r="G682" s="15"/>
      <c r="H682" s="15"/>
      <c r="I682" s="172"/>
      <c r="J682" s="202">
        <f>I682</f>
        <v>0</v>
      </c>
      <c r="K682" s="94">
        <f t="shared" si="137"/>
        <v>0</v>
      </c>
      <c r="L682" s="16"/>
      <c r="M682" s="17"/>
      <c r="N682" s="17"/>
      <c r="O682" s="18">
        <f t="shared" si="145"/>
        <v>0</v>
      </c>
      <c r="P682" s="18">
        <f t="shared" si="146"/>
        <v>0</v>
      </c>
      <c r="Q682" s="8">
        <f t="shared" si="147"/>
        <v>0</v>
      </c>
    </row>
    <row r="683" spans="1:21" ht="23.25" customHeight="1" x14ac:dyDescent="0.5">
      <c r="A683" s="77">
        <v>83</v>
      </c>
      <c r="B683" s="78" t="s">
        <v>80</v>
      </c>
      <c r="C683" s="100" t="s">
        <v>110</v>
      </c>
      <c r="D683" s="14" t="s">
        <v>193</v>
      </c>
      <c r="E683" s="15"/>
      <c r="F683" s="15"/>
      <c r="G683" s="15"/>
      <c r="H683" s="15"/>
      <c r="I683" s="172"/>
      <c r="J683" s="202">
        <f t="shared" ref="J683:J687" si="148">I683</f>
        <v>0</v>
      </c>
      <c r="K683" s="94">
        <f t="shared" si="137"/>
        <v>0</v>
      </c>
      <c r="L683" s="16"/>
      <c r="M683" s="17"/>
      <c r="N683" s="17"/>
      <c r="O683" s="18">
        <f t="shared" si="145"/>
        <v>0</v>
      </c>
      <c r="P683" s="18">
        <f t="shared" si="146"/>
        <v>0</v>
      </c>
      <c r="Q683" s="8">
        <f t="shared" si="147"/>
        <v>0</v>
      </c>
    </row>
    <row r="684" spans="1:21" ht="23.25" customHeight="1" x14ac:dyDescent="0.5">
      <c r="A684" s="77">
        <v>84</v>
      </c>
      <c r="B684" s="78" t="s">
        <v>80</v>
      </c>
      <c r="C684" s="100" t="s">
        <v>110</v>
      </c>
      <c r="D684" s="14" t="s">
        <v>193</v>
      </c>
      <c r="E684" s="15"/>
      <c r="F684" s="15"/>
      <c r="G684" s="15"/>
      <c r="H684" s="15"/>
      <c r="I684" s="172"/>
      <c r="J684" s="202">
        <f t="shared" si="148"/>
        <v>0</v>
      </c>
      <c r="K684" s="94">
        <f t="shared" si="137"/>
        <v>0</v>
      </c>
      <c r="L684" s="16"/>
      <c r="M684" s="17"/>
      <c r="N684" s="17"/>
      <c r="O684" s="18">
        <f t="shared" si="145"/>
        <v>0</v>
      </c>
      <c r="P684" s="18">
        <f t="shared" si="146"/>
        <v>0</v>
      </c>
      <c r="Q684" s="8">
        <f t="shared" si="147"/>
        <v>0</v>
      </c>
    </row>
    <row r="685" spans="1:21" ht="23.25" customHeight="1" x14ac:dyDescent="0.5">
      <c r="A685" s="77">
        <v>85</v>
      </c>
      <c r="B685" s="78" t="s">
        <v>80</v>
      </c>
      <c r="C685" s="100" t="s">
        <v>110</v>
      </c>
      <c r="D685" s="14" t="s">
        <v>193</v>
      </c>
      <c r="E685" s="15"/>
      <c r="F685" s="15"/>
      <c r="G685" s="15"/>
      <c r="H685" s="15"/>
      <c r="I685" s="172"/>
      <c r="J685" s="202">
        <f t="shared" si="148"/>
        <v>0</v>
      </c>
      <c r="K685" s="94">
        <f t="shared" si="137"/>
        <v>0</v>
      </c>
      <c r="L685" s="16"/>
      <c r="M685" s="17"/>
      <c r="N685" s="17"/>
      <c r="O685" s="18">
        <f t="shared" si="145"/>
        <v>0</v>
      </c>
      <c r="P685" s="18">
        <f t="shared" si="146"/>
        <v>0</v>
      </c>
      <c r="Q685" s="8">
        <f t="shared" si="147"/>
        <v>0</v>
      </c>
    </row>
    <row r="686" spans="1:21" ht="23.25" customHeight="1" x14ac:dyDescent="0.5">
      <c r="A686" s="77">
        <v>86</v>
      </c>
      <c r="B686" s="78" t="s">
        <v>80</v>
      </c>
      <c r="C686" s="100" t="s">
        <v>110</v>
      </c>
      <c r="D686" s="14" t="s">
        <v>193</v>
      </c>
      <c r="E686" s="15"/>
      <c r="F686" s="15"/>
      <c r="G686" s="15"/>
      <c r="H686" s="15"/>
      <c r="I686" s="172"/>
      <c r="J686" s="202">
        <f t="shared" si="148"/>
        <v>0</v>
      </c>
      <c r="K686" s="94">
        <f t="shared" si="137"/>
        <v>0</v>
      </c>
      <c r="L686" s="16"/>
      <c r="M686" s="17"/>
      <c r="N686" s="17"/>
      <c r="O686" s="18">
        <f t="shared" si="145"/>
        <v>0</v>
      </c>
      <c r="P686" s="18">
        <f t="shared" si="146"/>
        <v>0</v>
      </c>
      <c r="Q686" s="8">
        <f t="shared" si="147"/>
        <v>0</v>
      </c>
    </row>
    <row r="687" spans="1:21" ht="23.25" customHeight="1" x14ac:dyDescent="0.5">
      <c r="A687" s="77">
        <v>87</v>
      </c>
      <c r="B687" s="78" t="s">
        <v>80</v>
      </c>
      <c r="C687" s="100" t="s">
        <v>110</v>
      </c>
      <c r="D687" s="14" t="s">
        <v>193</v>
      </c>
      <c r="E687" s="15"/>
      <c r="F687" s="15"/>
      <c r="G687" s="15"/>
      <c r="H687" s="15"/>
      <c r="I687" s="172"/>
      <c r="J687" s="202">
        <f t="shared" si="148"/>
        <v>0</v>
      </c>
      <c r="K687" s="94">
        <f t="shared" si="137"/>
        <v>0</v>
      </c>
      <c r="L687" s="16"/>
      <c r="M687" s="17"/>
      <c r="N687" s="17"/>
      <c r="O687" s="18">
        <f t="shared" si="145"/>
        <v>0</v>
      </c>
      <c r="P687" s="18">
        <f t="shared" si="146"/>
        <v>0</v>
      </c>
      <c r="Q687" s="8">
        <f t="shared" si="147"/>
        <v>0</v>
      </c>
    </row>
    <row r="688" spans="1:21" ht="23.25" customHeight="1" x14ac:dyDescent="0.5">
      <c r="A688" s="77">
        <v>88</v>
      </c>
      <c r="B688" s="78" t="s">
        <v>80</v>
      </c>
      <c r="C688" s="100" t="s">
        <v>110</v>
      </c>
      <c r="D688" s="14" t="s">
        <v>193</v>
      </c>
      <c r="E688" s="15"/>
      <c r="F688" s="15"/>
      <c r="G688" s="15"/>
      <c r="H688" s="15"/>
      <c r="I688" s="172"/>
      <c r="J688" s="202">
        <f>I688</f>
        <v>0</v>
      </c>
      <c r="K688" s="94">
        <f t="shared" si="137"/>
        <v>0</v>
      </c>
      <c r="L688" s="16"/>
      <c r="M688" s="17"/>
      <c r="N688" s="17"/>
      <c r="O688" s="18">
        <f t="shared" si="145"/>
        <v>0</v>
      </c>
      <c r="P688" s="18">
        <f t="shared" si="146"/>
        <v>0</v>
      </c>
      <c r="Q688" s="8">
        <f t="shared" si="147"/>
        <v>0</v>
      </c>
    </row>
    <row r="689" spans="1:17" ht="23.25" customHeight="1" x14ac:dyDescent="0.5">
      <c r="A689" s="77">
        <v>89</v>
      </c>
      <c r="B689" s="78" t="s">
        <v>80</v>
      </c>
      <c r="C689" s="100" t="s">
        <v>110</v>
      </c>
      <c r="D689" s="14" t="s">
        <v>193</v>
      </c>
      <c r="E689" s="15"/>
      <c r="F689" s="15"/>
      <c r="G689" s="15"/>
      <c r="H689" s="15"/>
      <c r="I689" s="172"/>
      <c r="J689" s="202">
        <f>I689</f>
        <v>0</v>
      </c>
      <c r="K689" s="94">
        <f t="shared" si="137"/>
        <v>0</v>
      </c>
      <c r="L689" s="16"/>
      <c r="M689" s="17"/>
      <c r="N689" s="17"/>
      <c r="O689" s="18">
        <f t="shared" si="145"/>
        <v>0</v>
      </c>
      <c r="P689" s="18">
        <f t="shared" si="146"/>
        <v>0</v>
      </c>
      <c r="Q689" s="8">
        <f t="shared" si="147"/>
        <v>0</v>
      </c>
    </row>
    <row r="690" spans="1:17" ht="23.25" customHeight="1" x14ac:dyDescent="0.5">
      <c r="A690" s="77">
        <v>90</v>
      </c>
      <c r="B690" s="78" t="s">
        <v>80</v>
      </c>
      <c r="C690" s="100" t="s">
        <v>110</v>
      </c>
      <c r="D690" s="14" t="s">
        <v>193</v>
      </c>
      <c r="E690" s="15"/>
      <c r="F690" s="15"/>
      <c r="G690" s="15"/>
      <c r="H690" s="15"/>
      <c r="I690" s="172"/>
      <c r="J690" s="202">
        <f>I690</f>
        <v>0</v>
      </c>
      <c r="K690" s="94">
        <f t="shared" si="137"/>
        <v>0</v>
      </c>
      <c r="L690" s="16"/>
      <c r="M690" s="17"/>
      <c r="N690" s="17"/>
      <c r="O690" s="18">
        <f t="shared" si="145"/>
        <v>0</v>
      </c>
      <c r="P690" s="18">
        <f t="shared" si="146"/>
        <v>0</v>
      </c>
      <c r="Q690" s="8">
        <f t="shared" si="147"/>
        <v>0</v>
      </c>
    </row>
    <row r="691" spans="1:17" ht="18" customHeight="1" x14ac:dyDescent="0.55000000000000004">
      <c r="A691" s="77">
        <v>91</v>
      </c>
      <c r="B691" s="78" t="s">
        <v>39</v>
      </c>
      <c r="C691" s="100" t="s">
        <v>117</v>
      </c>
      <c r="D691" s="106" t="s">
        <v>117</v>
      </c>
      <c r="E691" s="87"/>
      <c r="F691" s="87"/>
      <c r="G691" s="87"/>
      <c r="H691" s="87"/>
      <c r="I691" s="88"/>
      <c r="J691" s="201"/>
      <c r="K691" s="94">
        <f t="shared" si="137"/>
        <v>0</v>
      </c>
      <c r="L691" s="89"/>
      <c r="M691" s="89"/>
      <c r="N691" s="89"/>
      <c r="O691" s="90"/>
      <c r="P691" s="90"/>
      <c r="Q691" s="9"/>
    </row>
    <row r="692" spans="1:17" ht="23.25" customHeight="1" x14ac:dyDescent="0.5">
      <c r="A692" s="77">
        <v>92</v>
      </c>
      <c r="B692" s="78" t="s">
        <v>39</v>
      </c>
      <c r="C692" s="102" t="s">
        <v>117</v>
      </c>
      <c r="D692" s="14" t="s">
        <v>193</v>
      </c>
      <c r="E692" s="15"/>
      <c r="F692" s="15"/>
      <c r="G692" s="15"/>
      <c r="H692" s="15"/>
      <c r="I692" s="172"/>
      <c r="J692" s="202">
        <f>I692</f>
        <v>0</v>
      </c>
      <c r="K692" s="94">
        <f t="shared" si="137"/>
        <v>0</v>
      </c>
      <c r="L692" s="16"/>
      <c r="M692" s="17"/>
      <c r="N692" s="17"/>
      <c r="O692" s="18">
        <f t="shared" ref="O692:O701" si="149">M692*J692</f>
        <v>0</v>
      </c>
      <c r="P692" s="18">
        <f t="shared" ref="P692:P701" si="150">N692*J692</f>
        <v>0</v>
      </c>
      <c r="Q692" s="8">
        <f t="shared" ref="Q692:Q701" si="151">(M692*J692)+(N692*J692)</f>
        <v>0</v>
      </c>
    </row>
    <row r="693" spans="1:17" ht="23.25" customHeight="1" x14ac:dyDescent="0.5">
      <c r="A693" s="77">
        <v>93</v>
      </c>
      <c r="B693" s="78" t="s">
        <v>39</v>
      </c>
      <c r="C693" s="102" t="s">
        <v>117</v>
      </c>
      <c r="D693" s="14" t="s">
        <v>193</v>
      </c>
      <c r="E693" s="15"/>
      <c r="F693" s="15"/>
      <c r="G693" s="15"/>
      <c r="H693" s="15"/>
      <c r="I693" s="172"/>
      <c r="J693" s="202">
        <f>I693</f>
        <v>0</v>
      </c>
      <c r="K693" s="94">
        <f t="shared" si="137"/>
        <v>0</v>
      </c>
      <c r="L693" s="16"/>
      <c r="M693" s="17"/>
      <c r="N693" s="17"/>
      <c r="O693" s="18">
        <f t="shared" si="149"/>
        <v>0</v>
      </c>
      <c r="P693" s="18">
        <f t="shared" si="150"/>
        <v>0</v>
      </c>
      <c r="Q693" s="8">
        <f t="shared" si="151"/>
        <v>0</v>
      </c>
    </row>
    <row r="694" spans="1:17" ht="23.25" customHeight="1" x14ac:dyDescent="0.5">
      <c r="A694" s="77">
        <v>94</v>
      </c>
      <c r="B694" s="78" t="s">
        <v>39</v>
      </c>
      <c r="C694" s="102" t="s">
        <v>117</v>
      </c>
      <c r="D694" s="14" t="s">
        <v>193</v>
      </c>
      <c r="E694" s="15"/>
      <c r="F694" s="15"/>
      <c r="G694" s="15"/>
      <c r="H694" s="15"/>
      <c r="I694" s="172"/>
      <c r="J694" s="202">
        <f t="shared" ref="J694:J698" si="152">I694</f>
        <v>0</v>
      </c>
      <c r="K694" s="94">
        <f t="shared" si="137"/>
        <v>0</v>
      </c>
      <c r="L694" s="16"/>
      <c r="M694" s="17"/>
      <c r="N694" s="17"/>
      <c r="O694" s="18">
        <f t="shared" si="149"/>
        <v>0</v>
      </c>
      <c r="P694" s="18">
        <f t="shared" si="150"/>
        <v>0</v>
      </c>
      <c r="Q694" s="8">
        <f t="shared" si="151"/>
        <v>0</v>
      </c>
    </row>
    <row r="695" spans="1:17" ht="23.25" customHeight="1" x14ac:dyDescent="0.5">
      <c r="A695" s="77">
        <v>95</v>
      </c>
      <c r="B695" s="78" t="s">
        <v>39</v>
      </c>
      <c r="C695" s="102" t="s">
        <v>117</v>
      </c>
      <c r="D695" s="14" t="s">
        <v>193</v>
      </c>
      <c r="E695" s="15"/>
      <c r="F695" s="15"/>
      <c r="G695" s="15"/>
      <c r="H695" s="15"/>
      <c r="I695" s="172"/>
      <c r="J695" s="202">
        <f t="shared" si="152"/>
        <v>0</v>
      </c>
      <c r="K695" s="94">
        <f t="shared" si="137"/>
        <v>0</v>
      </c>
      <c r="L695" s="16"/>
      <c r="M695" s="17"/>
      <c r="N695" s="17"/>
      <c r="O695" s="18">
        <f t="shared" si="149"/>
        <v>0</v>
      </c>
      <c r="P695" s="18">
        <f t="shared" si="150"/>
        <v>0</v>
      </c>
      <c r="Q695" s="8">
        <f t="shared" si="151"/>
        <v>0</v>
      </c>
    </row>
    <row r="696" spans="1:17" ht="23.25" customHeight="1" x14ac:dyDescent="0.5">
      <c r="A696" s="77">
        <v>96</v>
      </c>
      <c r="B696" s="78" t="s">
        <v>39</v>
      </c>
      <c r="C696" s="102" t="s">
        <v>117</v>
      </c>
      <c r="D696" s="14" t="s">
        <v>193</v>
      </c>
      <c r="E696" s="15"/>
      <c r="F696" s="15"/>
      <c r="G696" s="15"/>
      <c r="H696" s="15"/>
      <c r="I696" s="172"/>
      <c r="J696" s="202">
        <f t="shared" si="152"/>
        <v>0</v>
      </c>
      <c r="K696" s="94">
        <f t="shared" si="137"/>
        <v>0</v>
      </c>
      <c r="L696" s="16"/>
      <c r="M696" s="17"/>
      <c r="N696" s="17"/>
      <c r="O696" s="18">
        <f t="shared" si="149"/>
        <v>0</v>
      </c>
      <c r="P696" s="18">
        <f t="shared" si="150"/>
        <v>0</v>
      </c>
      <c r="Q696" s="8">
        <f t="shared" si="151"/>
        <v>0</v>
      </c>
    </row>
    <row r="697" spans="1:17" ht="23.25" customHeight="1" x14ac:dyDescent="0.5">
      <c r="A697" s="77">
        <v>97</v>
      </c>
      <c r="B697" s="78" t="s">
        <v>39</v>
      </c>
      <c r="C697" s="102" t="s">
        <v>117</v>
      </c>
      <c r="D697" s="14" t="s">
        <v>193</v>
      </c>
      <c r="E697" s="15"/>
      <c r="F697" s="15"/>
      <c r="G697" s="15"/>
      <c r="H697" s="15"/>
      <c r="I697" s="172"/>
      <c r="J697" s="202">
        <f t="shared" si="152"/>
        <v>0</v>
      </c>
      <c r="K697" s="94">
        <f t="shared" si="137"/>
        <v>0</v>
      </c>
      <c r="L697" s="16"/>
      <c r="M697" s="17"/>
      <c r="N697" s="17"/>
      <c r="O697" s="18">
        <f t="shared" si="149"/>
        <v>0</v>
      </c>
      <c r="P697" s="18">
        <f t="shared" si="150"/>
        <v>0</v>
      </c>
      <c r="Q697" s="8">
        <f t="shared" si="151"/>
        <v>0</v>
      </c>
    </row>
    <row r="698" spans="1:17" ht="23.25" customHeight="1" x14ac:dyDescent="0.5">
      <c r="A698" s="77">
        <v>98</v>
      </c>
      <c r="B698" s="78" t="s">
        <v>39</v>
      </c>
      <c r="C698" s="102" t="s">
        <v>117</v>
      </c>
      <c r="D698" s="14" t="s">
        <v>193</v>
      </c>
      <c r="E698" s="15"/>
      <c r="F698" s="15"/>
      <c r="G698" s="15"/>
      <c r="H698" s="15"/>
      <c r="I698" s="172"/>
      <c r="J698" s="202">
        <f t="shared" si="152"/>
        <v>0</v>
      </c>
      <c r="K698" s="94">
        <f t="shared" si="137"/>
        <v>0</v>
      </c>
      <c r="L698" s="16"/>
      <c r="M698" s="17"/>
      <c r="N698" s="17"/>
      <c r="O698" s="18">
        <f t="shared" si="149"/>
        <v>0</v>
      </c>
      <c r="P698" s="18">
        <f t="shared" si="150"/>
        <v>0</v>
      </c>
      <c r="Q698" s="8">
        <f t="shared" si="151"/>
        <v>0</v>
      </c>
    </row>
    <row r="699" spans="1:17" ht="23.25" customHeight="1" x14ac:dyDescent="0.5">
      <c r="A699" s="77">
        <v>99</v>
      </c>
      <c r="B699" s="78" t="s">
        <v>39</v>
      </c>
      <c r="C699" s="102" t="s">
        <v>117</v>
      </c>
      <c r="D699" s="14" t="s">
        <v>193</v>
      </c>
      <c r="E699" s="15"/>
      <c r="F699" s="15"/>
      <c r="G699" s="15"/>
      <c r="H699" s="15"/>
      <c r="I699" s="172"/>
      <c r="J699" s="202">
        <f>I699</f>
        <v>0</v>
      </c>
      <c r="K699" s="94">
        <f t="shared" si="137"/>
        <v>0</v>
      </c>
      <c r="L699" s="16"/>
      <c r="M699" s="17"/>
      <c r="N699" s="17"/>
      <c r="O699" s="18">
        <f t="shared" si="149"/>
        <v>0</v>
      </c>
      <c r="P699" s="18">
        <f t="shared" si="150"/>
        <v>0</v>
      </c>
      <c r="Q699" s="8">
        <f t="shared" si="151"/>
        <v>0</v>
      </c>
    </row>
    <row r="700" spans="1:17" ht="23.25" customHeight="1" x14ac:dyDescent="0.5">
      <c r="A700" s="77">
        <v>100</v>
      </c>
      <c r="B700" s="78" t="s">
        <v>39</v>
      </c>
      <c r="C700" s="102" t="s">
        <v>117</v>
      </c>
      <c r="D700" s="14" t="s">
        <v>193</v>
      </c>
      <c r="E700" s="15"/>
      <c r="F700" s="15"/>
      <c r="G700" s="15"/>
      <c r="H700" s="15"/>
      <c r="I700" s="172"/>
      <c r="J700" s="202">
        <f>I700</f>
        <v>0</v>
      </c>
      <c r="K700" s="94">
        <f t="shared" si="137"/>
        <v>0</v>
      </c>
      <c r="L700" s="16"/>
      <c r="M700" s="17"/>
      <c r="N700" s="17"/>
      <c r="O700" s="18">
        <f t="shared" si="149"/>
        <v>0</v>
      </c>
      <c r="P700" s="18">
        <f t="shared" si="150"/>
        <v>0</v>
      </c>
      <c r="Q700" s="8">
        <f t="shared" si="151"/>
        <v>0</v>
      </c>
    </row>
    <row r="701" spans="1:17" ht="23.25" customHeight="1" x14ac:dyDescent="0.5">
      <c r="A701" s="77">
        <v>101</v>
      </c>
      <c r="B701" s="78" t="s">
        <v>39</v>
      </c>
      <c r="C701" s="102" t="s">
        <v>117</v>
      </c>
      <c r="D701" s="14" t="s">
        <v>193</v>
      </c>
      <c r="E701" s="15"/>
      <c r="F701" s="15"/>
      <c r="G701" s="15"/>
      <c r="H701" s="15"/>
      <c r="I701" s="172"/>
      <c r="J701" s="202">
        <f>I701</f>
        <v>0</v>
      </c>
      <c r="K701" s="94">
        <f t="shared" si="137"/>
        <v>0</v>
      </c>
      <c r="L701" s="16"/>
      <c r="M701" s="17"/>
      <c r="N701" s="17"/>
      <c r="O701" s="18">
        <f t="shared" si="149"/>
        <v>0</v>
      </c>
      <c r="P701" s="18">
        <f t="shared" si="150"/>
        <v>0</v>
      </c>
      <c r="Q701" s="8">
        <f t="shared" si="151"/>
        <v>0</v>
      </c>
    </row>
    <row r="702" spans="1:17" ht="18" customHeight="1" x14ac:dyDescent="0.55000000000000004">
      <c r="A702" s="77">
        <v>102</v>
      </c>
      <c r="B702" s="78" t="s">
        <v>80</v>
      </c>
      <c r="C702" s="100" t="s">
        <v>122</v>
      </c>
      <c r="D702" s="106" t="s">
        <v>122</v>
      </c>
      <c r="E702" s="87"/>
      <c r="F702" s="87"/>
      <c r="G702" s="87"/>
      <c r="H702" s="107"/>
      <c r="I702" s="165"/>
      <c r="J702" s="203"/>
      <c r="K702" s="94">
        <f t="shared" si="137"/>
        <v>0</v>
      </c>
      <c r="L702" s="109"/>
      <c r="M702" s="109"/>
      <c r="N702" s="109"/>
      <c r="O702" s="19"/>
      <c r="P702" s="19"/>
      <c r="Q702" s="9"/>
    </row>
    <row r="703" spans="1:17" ht="23.25" customHeight="1" x14ac:dyDescent="0.5">
      <c r="A703" s="77">
        <v>103</v>
      </c>
      <c r="B703" s="78" t="s">
        <v>80</v>
      </c>
      <c r="C703" s="111" t="s">
        <v>122</v>
      </c>
      <c r="D703" s="14" t="s">
        <v>193</v>
      </c>
      <c r="E703" s="15"/>
      <c r="F703" s="15"/>
      <c r="G703" s="15"/>
      <c r="H703" s="15"/>
      <c r="I703" s="172"/>
      <c r="J703" s="202">
        <f>I703</f>
        <v>0</v>
      </c>
      <c r="K703" s="94">
        <f t="shared" si="137"/>
        <v>0</v>
      </c>
      <c r="L703" s="16"/>
      <c r="M703" s="17"/>
      <c r="N703" s="17"/>
      <c r="O703" s="18">
        <f t="shared" ref="O703:O712" si="153">M703*J703</f>
        <v>0</v>
      </c>
      <c r="P703" s="18">
        <f t="shared" ref="P703:P712" si="154">N703*J703</f>
        <v>0</v>
      </c>
      <c r="Q703" s="8">
        <f t="shared" ref="Q703:Q712" si="155">(M703*J703)+(N703*J703)</f>
        <v>0</v>
      </c>
    </row>
    <row r="704" spans="1:17" ht="23.25" customHeight="1" x14ac:dyDescent="0.5">
      <c r="A704" s="77">
        <v>104</v>
      </c>
      <c r="B704" s="78" t="s">
        <v>80</v>
      </c>
      <c r="C704" s="111" t="s">
        <v>122</v>
      </c>
      <c r="D704" s="14" t="s">
        <v>193</v>
      </c>
      <c r="E704" s="15"/>
      <c r="F704" s="15"/>
      <c r="G704" s="15"/>
      <c r="H704" s="15"/>
      <c r="I704" s="172"/>
      <c r="J704" s="202">
        <f>I704</f>
        <v>0</v>
      </c>
      <c r="K704" s="94">
        <f t="shared" si="137"/>
        <v>0</v>
      </c>
      <c r="L704" s="16"/>
      <c r="M704" s="17"/>
      <c r="N704" s="17"/>
      <c r="O704" s="18">
        <f t="shared" si="153"/>
        <v>0</v>
      </c>
      <c r="P704" s="18">
        <f t="shared" si="154"/>
        <v>0</v>
      </c>
      <c r="Q704" s="8">
        <f t="shared" si="155"/>
        <v>0</v>
      </c>
    </row>
    <row r="705" spans="1:17" ht="23.25" customHeight="1" x14ac:dyDescent="0.5">
      <c r="A705" s="77">
        <v>105</v>
      </c>
      <c r="B705" s="78" t="s">
        <v>80</v>
      </c>
      <c r="C705" s="111" t="s">
        <v>122</v>
      </c>
      <c r="D705" s="14" t="s">
        <v>193</v>
      </c>
      <c r="E705" s="15"/>
      <c r="F705" s="15"/>
      <c r="G705" s="15"/>
      <c r="H705" s="15"/>
      <c r="I705" s="172"/>
      <c r="J705" s="202">
        <f t="shared" ref="J705:J709" si="156">I705</f>
        <v>0</v>
      </c>
      <c r="K705" s="94">
        <f t="shared" si="137"/>
        <v>0</v>
      </c>
      <c r="L705" s="16"/>
      <c r="M705" s="17"/>
      <c r="N705" s="17"/>
      <c r="O705" s="18">
        <f t="shared" si="153"/>
        <v>0</v>
      </c>
      <c r="P705" s="18">
        <f t="shared" si="154"/>
        <v>0</v>
      </c>
      <c r="Q705" s="8">
        <f t="shared" si="155"/>
        <v>0</v>
      </c>
    </row>
    <row r="706" spans="1:17" ht="23.25" customHeight="1" x14ac:dyDescent="0.5">
      <c r="A706" s="77">
        <v>106</v>
      </c>
      <c r="B706" s="78" t="s">
        <v>80</v>
      </c>
      <c r="C706" s="111" t="s">
        <v>122</v>
      </c>
      <c r="D706" s="14" t="s">
        <v>193</v>
      </c>
      <c r="E706" s="15"/>
      <c r="F706" s="15"/>
      <c r="G706" s="15"/>
      <c r="H706" s="15"/>
      <c r="I706" s="172"/>
      <c r="J706" s="202">
        <f t="shared" si="156"/>
        <v>0</v>
      </c>
      <c r="K706" s="94">
        <f t="shared" si="137"/>
        <v>0</v>
      </c>
      <c r="L706" s="16"/>
      <c r="M706" s="17"/>
      <c r="N706" s="17"/>
      <c r="O706" s="18">
        <f t="shared" si="153"/>
        <v>0</v>
      </c>
      <c r="P706" s="18">
        <f t="shared" si="154"/>
        <v>0</v>
      </c>
      <c r="Q706" s="8">
        <f t="shared" si="155"/>
        <v>0</v>
      </c>
    </row>
    <row r="707" spans="1:17" ht="23.25" customHeight="1" x14ac:dyDescent="0.5">
      <c r="A707" s="77">
        <v>107</v>
      </c>
      <c r="B707" s="78" t="s">
        <v>80</v>
      </c>
      <c r="C707" s="111" t="s">
        <v>122</v>
      </c>
      <c r="D707" s="14" t="s">
        <v>193</v>
      </c>
      <c r="E707" s="15"/>
      <c r="F707" s="15"/>
      <c r="G707" s="15"/>
      <c r="H707" s="15"/>
      <c r="I707" s="172"/>
      <c r="J707" s="202">
        <f t="shared" si="156"/>
        <v>0</v>
      </c>
      <c r="K707" s="94">
        <f t="shared" si="137"/>
        <v>0</v>
      </c>
      <c r="L707" s="16"/>
      <c r="M707" s="17"/>
      <c r="N707" s="17"/>
      <c r="O707" s="18">
        <f t="shared" si="153"/>
        <v>0</v>
      </c>
      <c r="P707" s="18">
        <f t="shared" si="154"/>
        <v>0</v>
      </c>
      <c r="Q707" s="8">
        <f t="shared" si="155"/>
        <v>0</v>
      </c>
    </row>
    <row r="708" spans="1:17" ht="23.25" customHeight="1" x14ac:dyDescent="0.5">
      <c r="A708" s="77">
        <v>108</v>
      </c>
      <c r="B708" s="78" t="s">
        <v>80</v>
      </c>
      <c r="C708" s="111" t="s">
        <v>122</v>
      </c>
      <c r="D708" s="14" t="s">
        <v>193</v>
      </c>
      <c r="E708" s="15"/>
      <c r="F708" s="15"/>
      <c r="G708" s="15"/>
      <c r="H708" s="15"/>
      <c r="I708" s="172"/>
      <c r="J708" s="202">
        <f t="shared" si="156"/>
        <v>0</v>
      </c>
      <c r="K708" s="94">
        <f t="shared" si="137"/>
        <v>0</v>
      </c>
      <c r="L708" s="16"/>
      <c r="M708" s="17"/>
      <c r="N708" s="17"/>
      <c r="O708" s="18">
        <f t="shared" si="153"/>
        <v>0</v>
      </c>
      <c r="P708" s="18">
        <f t="shared" si="154"/>
        <v>0</v>
      </c>
      <c r="Q708" s="8">
        <f t="shared" si="155"/>
        <v>0</v>
      </c>
    </row>
    <row r="709" spans="1:17" ht="23.25" customHeight="1" x14ac:dyDescent="0.5">
      <c r="A709" s="77">
        <v>109</v>
      </c>
      <c r="B709" s="78" t="s">
        <v>80</v>
      </c>
      <c r="C709" s="111" t="s">
        <v>122</v>
      </c>
      <c r="D709" s="14" t="s">
        <v>193</v>
      </c>
      <c r="E709" s="15"/>
      <c r="F709" s="15"/>
      <c r="G709" s="15"/>
      <c r="H709" s="15"/>
      <c r="I709" s="172"/>
      <c r="J709" s="202">
        <f t="shared" si="156"/>
        <v>0</v>
      </c>
      <c r="K709" s="94">
        <f t="shared" si="137"/>
        <v>0</v>
      </c>
      <c r="L709" s="16"/>
      <c r="M709" s="17"/>
      <c r="N709" s="17"/>
      <c r="O709" s="18">
        <f t="shared" si="153"/>
        <v>0</v>
      </c>
      <c r="P709" s="18">
        <f t="shared" si="154"/>
        <v>0</v>
      </c>
      <c r="Q709" s="8">
        <f t="shared" si="155"/>
        <v>0</v>
      </c>
    </row>
    <row r="710" spans="1:17" ht="23.25" customHeight="1" x14ac:dyDescent="0.5">
      <c r="A710" s="77">
        <v>110</v>
      </c>
      <c r="B710" s="78" t="s">
        <v>80</v>
      </c>
      <c r="C710" s="111" t="s">
        <v>122</v>
      </c>
      <c r="D710" s="14" t="s">
        <v>193</v>
      </c>
      <c r="E710" s="15"/>
      <c r="F710" s="15"/>
      <c r="G710" s="15"/>
      <c r="H710" s="15"/>
      <c r="I710" s="172"/>
      <c r="J710" s="202">
        <f>I710</f>
        <v>0</v>
      </c>
      <c r="K710" s="94">
        <f t="shared" si="137"/>
        <v>0</v>
      </c>
      <c r="L710" s="16"/>
      <c r="M710" s="17"/>
      <c r="N710" s="17"/>
      <c r="O710" s="18">
        <f t="shared" si="153"/>
        <v>0</v>
      </c>
      <c r="P710" s="18">
        <f t="shared" si="154"/>
        <v>0</v>
      </c>
      <c r="Q710" s="8">
        <f t="shared" si="155"/>
        <v>0</v>
      </c>
    </row>
    <row r="711" spans="1:17" ht="23.25" customHeight="1" x14ac:dyDescent="0.5">
      <c r="A711" s="77">
        <v>111</v>
      </c>
      <c r="B711" s="78" t="s">
        <v>80</v>
      </c>
      <c r="C711" s="111" t="s">
        <v>122</v>
      </c>
      <c r="D711" s="14" t="s">
        <v>193</v>
      </c>
      <c r="E711" s="15"/>
      <c r="F711" s="15"/>
      <c r="G711" s="15"/>
      <c r="H711" s="15"/>
      <c r="I711" s="172"/>
      <c r="J711" s="202">
        <f>I711</f>
        <v>0</v>
      </c>
      <c r="K711" s="94">
        <f t="shared" si="137"/>
        <v>0</v>
      </c>
      <c r="L711" s="16"/>
      <c r="M711" s="17"/>
      <c r="N711" s="17"/>
      <c r="O711" s="18">
        <f t="shared" si="153"/>
        <v>0</v>
      </c>
      <c r="P711" s="18">
        <f t="shared" si="154"/>
        <v>0</v>
      </c>
      <c r="Q711" s="8">
        <f t="shared" si="155"/>
        <v>0</v>
      </c>
    </row>
    <row r="712" spans="1:17" ht="23.25" customHeight="1" x14ac:dyDescent="0.5">
      <c r="A712" s="77">
        <v>112</v>
      </c>
      <c r="B712" s="78" t="s">
        <v>80</v>
      </c>
      <c r="C712" s="111" t="s">
        <v>122</v>
      </c>
      <c r="D712" s="14" t="s">
        <v>193</v>
      </c>
      <c r="E712" s="15"/>
      <c r="F712" s="15"/>
      <c r="G712" s="15"/>
      <c r="H712" s="15"/>
      <c r="I712" s="172"/>
      <c r="J712" s="202">
        <f>I712</f>
        <v>0</v>
      </c>
      <c r="K712" s="94">
        <f t="shared" si="137"/>
        <v>0</v>
      </c>
      <c r="L712" s="16"/>
      <c r="M712" s="17"/>
      <c r="N712" s="17"/>
      <c r="O712" s="18">
        <f t="shared" si="153"/>
        <v>0</v>
      </c>
      <c r="P712" s="18">
        <f t="shared" si="154"/>
        <v>0</v>
      </c>
      <c r="Q712" s="8">
        <f t="shared" si="155"/>
        <v>0</v>
      </c>
    </row>
    <row r="713" spans="1:17" ht="23.25" customHeight="1" x14ac:dyDescent="0.55000000000000004">
      <c r="A713" s="77">
        <v>113</v>
      </c>
      <c r="B713" s="78" t="s">
        <v>145</v>
      </c>
      <c r="C713" s="100" t="s">
        <v>145</v>
      </c>
      <c r="D713" s="80" t="s">
        <v>21</v>
      </c>
      <c r="E713" s="81"/>
      <c r="F713" s="81"/>
      <c r="G713" s="81"/>
      <c r="H713" s="82"/>
      <c r="I713" s="83"/>
      <c r="J713" s="202">
        <f t="shared" ref="J713:J727" si="157">I713</f>
        <v>0</v>
      </c>
      <c r="K713" s="94">
        <f t="shared" ref="K713:K725" si="158">+J713-I713</f>
        <v>0</v>
      </c>
      <c r="L713" s="84"/>
      <c r="M713" s="84"/>
      <c r="N713" s="84"/>
      <c r="O713" s="18">
        <f t="shared" ref="O713:O725" si="159">M713*J713</f>
        <v>0</v>
      </c>
      <c r="P713" s="18">
        <f t="shared" ref="P713:P725" si="160">N713*J713</f>
        <v>0</v>
      </c>
      <c r="Q713" s="8">
        <f t="shared" ref="Q713:Q725" si="161">(M713*J713)+(N713*J713)</f>
        <v>0</v>
      </c>
    </row>
    <row r="714" spans="1:17" ht="23.25" customHeight="1" x14ac:dyDescent="0.55000000000000004">
      <c r="A714" s="77">
        <v>114</v>
      </c>
      <c r="B714" s="78" t="s">
        <v>145</v>
      </c>
      <c r="C714" s="100" t="s">
        <v>145</v>
      </c>
      <c r="D714" s="106" t="s">
        <v>145</v>
      </c>
      <c r="E714" s="107"/>
      <c r="F714" s="107"/>
      <c r="G714" s="107"/>
      <c r="H714" s="107"/>
      <c r="I714" s="165"/>
      <c r="J714" s="202">
        <f t="shared" si="157"/>
        <v>0</v>
      </c>
      <c r="K714" s="94">
        <f t="shared" si="158"/>
        <v>0</v>
      </c>
      <c r="L714" s="109"/>
      <c r="M714" s="109"/>
      <c r="N714" s="109"/>
      <c r="O714" s="18">
        <f t="shared" si="159"/>
        <v>0</v>
      </c>
      <c r="P714" s="18">
        <f t="shared" si="160"/>
        <v>0</v>
      </c>
      <c r="Q714" s="8">
        <f t="shared" si="161"/>
        <v>0</v>
      </c>
    </row>
    <row r="715" spans="1:17" s="229" customFormat="1" ht="23.25" customHeight="1" x14ac:dyDescent="0.5">
      <c r="A715" s="216">
        <v>115</v>
      </c>
      <c r="B715" s="217" t="s">
        <v>145</v>
      </c>
      <c r="C715" s="237" t="s">
        <v>145</v>
      </c>
      <c r="D715" s="232" t="s">
        <v>553</v>
      </c>
      <c r="E715" s="233" t="s">
        <v>554</v>
      </c>
      <c r="F715" s="233" t="s">
        <v>146</v>
      </c>
      <c r="G715" s="233"/>
      <c r="H715" s="238"/>
      <c r="I715" s="230"/>
      <c r="J715" s="222">
        <v>7</v>
      </c>
      <c r="K715" s="223">
        <f t="shared" si="158"/>
        <v>7</v>
      </c>
      <c r="L715" s="235"/>
      <c r="M715" s="236"/>
      <c r="N715" s="236"/>
      <c r="O715" s="226">
        <f t="shared" si="159"/>
        <v>0</v>
      </c>
      <c r="P715" s="226">
        <f t="shared" si="160"/>
        <v>0</v>
      </c>
      <c r="Q715" s="227">
        <f t="shared" si="161"/>
        <v>0</v>
      </c>
    </row>
    <row r="716" spans="1:17" ht="23.25" customHeight="1" x14ac:dyDescent="0.5">
      <c r="A716" s="77">
        <v>116</v>
      </c>
      <c r="B716" s="78" t="s">
        <v>145</v>
      </c>
      <c r="C716" s="115" t="s">
        <v>145</v>
      </c>
      <c r="D716" s="14" t="s">
        <v>553</v>
      </c>
      <c r="E716" s="15" t="s">
        <v>554</v>
      </c>
      <c r="F716" s="15" t="s">
        <v>148</v>
      </c>
      <c r="G716" s="15"/>
      <c r="H716" s="15"/>
      <c r="I716" s="172"/>
      <c r="J716" s="202">
        <f t="shared" si="157"/>
        <v>0</v>
      </c>
      <c r="K716" s="94">
        <f t="shared" si="158"/>
        <v>0</v>
      </c>
      <c r="L716" s="16"/>
      <c r="M716" s="17"/>
      <c r="N716" s="17"/>
      <c r="O716" s="18">
        <f t="shared" si="159"/>
        <v>0</v>
      </c>
      <c r="P716" s="18">
        <f t="shared" si="160"/>
        <v>0</v>
      </c>
      <c r="Q716" s="8">
        <f t="shared" si="161"/>
        <v>0</v>
      </c>
    </row>
    <row r="717" spans="1:17" ht="23.25" customHeight="1" x14ac:dyDescent="0.5">
      <c r="A717" s="77">
        <v>117</v>
      </c>
      <c r="B717" s="78" t="s">
        <v>145</v>
      </c>
      <c r="C717" s="115" t="s">
        <v>145</v>
      </c>
      <c r="D717" s="14" t="s">
        <v>553</v>
      </c>
      <c r="E717" s="15" t="s">
        <v>554</v>
      </c>
      <c r="F717" s="15" t="s">
        <v>149</v>
      </c>
      <c r="G717" s="15"/>
      <c r="H717" s="15"/>
      <c r="I717" s="172"/>
      <c r="J717" s="202">
        <f t="shared" si="157"/>
        <v>0</v>
      </c>
      <c r="K717" s="94">
        <f t="shared" si="158"/>
        <v>0</v>
      </c>
      <c r="L717" s="16"/>
      <c r="M717" s="17"/>
      <c r="N717" s="17"/>
      <c r="O717" s="18">
        <f t="shared" si="159"/>
        <v>0</v>
      </c>
      <c r="P717" s="18">
        <f t="shared" si="160"/>
        <v>0</v>
      </c>
      <c r="Q717" s="8">
        <f t="shared" si="161"/>
        <v>0</v>
      </c>
    </row>
    <row r="718" spans="1:17" ht="23.25" customHeight="1" x14ac:dyDescent="0.5">
      <c r="A718" s="77">
        <v>118</v>
      </c>
      <c r="B718" s="78" t="s">
        <v>145</v>
      </c>
      <c r="C718" s="115" t="s">
        <v>145</v>
      </c>
      <c r="D718" s="14" t="s">
        <v>553</v>
      </c>
      <c r="E718" s="15" t="s">
        <v>554</v>
      </c>
      <c r="F718" s="15" t="s">
        <v>150</v>
      </c>
      <c r="G718" s="15"/>
      <c r="H718" s="15"/>
      <c r="I718" s="172"/>
      <c r="J718" s="202">
        <f t="shared" si="157"/>
        <v>0</v>
      </c>
      <c r="K718" s="94">
        <f t="shared" si="158"/>
        <v>0</v>
      </c>
      <c r="L718" s="16"/>
      <c r="M718" s="17"/>
      <c r="N718" s="17"/>
      <c r="O718" s="18">
        <f t="shared" si="159"/>
        <v>0</v>
      </c>
      <c r="P718" s="18">
        <f t="shared" si="160"/>
        <v>0</v>
      </c>
      <c r="Q718" s="8">
        <f t="shared" si="161"/>
        <v>0</v>
      </c>
    </row>
    <row r="719" spans="1:17" ht="23.25" customHeight="1" x14ac:dyDescent="0.5">
      <c r="A719" s="77">
        <v>119</v>
      </c>
      <c r="B719" s="78" t="s">
        <v>145</v>
      </c>
      <c r="C719" s="115" t="s">
        <v>145</v>
      </c>
      <c r="D719" s="14" t="s">
        <v>555</v>
      </c>
      <c r="E719" s="15" t="s">
        <v>554</v>
      </c>
      <c r="F719" s="15" t="s">
        <v>156</v>
      </c>
      <c r="G719" s="15"/>
      <c r="H719" s="15" t="s">
        <v>162</v>
      </c>
      <c r="I719" s="172"/>
      <c r="J719" s="202">
        <f t="shared" si="157"/>
        <v>0</v>
      </c>
      <c r="K719" s="94">
        <f t="shared" si="158"/>
        <v>0</v>
      </c>
      <c r="L719" s="16"/>
      <c r="M719" s="17"/>
      <c r="N719" s="17"/>
      <c r="O719" s="18">
        <f t="shared" si="159"/>
        <v>0</v>
      </c>
      <c r="P719" s="18">
        <f t="shared" si="160"/>
        <v>0</v>
      </c>
      <c r="Q719" s="8">
        <f t="shared" si="161"/>
        <v>0</v>
      </c>
    </row>
    <row r="720" spans="1:17" ht="23.25" customHeight="1" x14ac:dyDescent="0.5">
      <c r="A720" s="77">
        <v>120</v>
      </c>
      <c r="B720" s="78" t="s">
        <v>145</v>
      </c>
      <c r="C720" s="115" t="s">
        <v>145</v>
      </c>
      <c r="D720" s="14" t="s">
        <v>555</v>
      </c>
      <c r="E720" s="15" t="s">
        <v>55</v>
      </c>
      <c r="F720" s="15" t="s">
        <v>160</v>
      </c>
      <c r="G720" s="15"/>
      <c r="H720" s="15"/>
      <c r="I720" s="172"/>
      <c r="J720" s="202">
        <f t="shared" si="157"/>
        <v>0</v>
      </c>
      <c r="K720" s="94">
        <f t="shared" si="158"/>
        <v>0</v>
      </c>
      <c r="L720" s="16"/>
      <c r="M720" s="17"/>
      <c r="N720" s="17"/>
      <c r="O720" s="18">
        <f t="shared" si="159"/>
        <v>0</v>
      </c>
      <c r="P720" s="18">
        <f t="shared" si="160"/>
        <v>0</v>
      </c>
      <c r="Q720" s="8">
        <f t="shared" si="161"/>
        <v>0</v>
      </c>
    </row>
    <row r="721" spans="1:17" ht="23.25" customHeight="1" x14ac:dyDescent="0.5">
      <c r="A721" s="77">
        <v>121</v>
      </c>
      <c r="B721" s="78" t="s">
        <v>145</v>
      </c>
      <c r="C721" s="115" t="s">
        <v>145</v>
      </c>
      <c r="D721" s="14" t="s">
        <v>556</v>
      </c>
      <c r="E721" s="15"/>
      <c r="F721" s="15"/>
      <c r="G721" s="15"/>
      <c r="H721" s="15" t="s">
        <v>162</v>
      </c>
      <c r="I721" s="172"/>
      <c r="J721" s="202">
        <f t="shared" si="157"/>
        <v>0</v>
      </c>
      <c r="K721" s="94">
        <f t="shared" si="158"/>
        <v>0</v>
      </c>
      <c r="L721" s="16"/>
      <c r="M721" s="17"/>
      <c r="N721" s="17"/>
      <c r="O721" s="18">
        <f t="shared" si="159"/>
        <v>0</v>
      </c>
      <c r="P721" s="18">
        <f t="shared" si="160"/>
        <v>0</v>
      </c>
      <c r="Q721" s="8">
        <f t="shared" si="161"/>
        <v>0</v>
      </c>
    </row>
    <row r="722" spans="1:17" ht="23.25" customHeight="1" x14ac:dyDescent="0.5">
      <c r="A722" s="77">
        <v>122</v>
      </c>
      <c r="B722" s="78" t="s">
        <v>145</v>
      </c>
      <c r="C722" s="115" t="s">
        <v>145</v>
      </c>
      <c r="D722" s="14" t="s">
        <v>557</v>
      </c>
      <c r="E722" s="15"/>
      <c r="F722" s="15"/>
      <c r="G722" s="15"/>
      <c r="H722" s="15"/>
      <c r="I722" s="172"/>
      <c r="J722" s="202">
        <f t="shared" si="157"/>
        <v>0</v>
      </c>
      <c r="K722" s="94">
        <f t="shared" si="158"/>
        <v>0</v>
      </c>
      <c r="L722" s="16"/>
      <c r="M722" s="17"/>
      <c r="N722" s="17"/>
      <c r="O722" s="18">
        <f t="shared" si="159"/>
        <v>0</v>
      </c>
      <c r="P722" s="18">
        <f t="shared" si="160"/>
        <v>0</v>
      </c>
      <c r="Q722" s="8">
        <f t="shared" si="161"/>
        <v>0</v>
      </c>
    </row>
    <row r="723" spans="1:17" ht="23.25" customHeight="1" x14ac:dyDescent="0.5">
      <c r="A723" s="77">
        <v>123</v>
      </c>
      <c r="B723" s="78" t="s">
        <v>145</v>
      </c>
      <c r="C723" s="115" t="s">
        <v>145</v>
      </c>
      <c r="D723" s="14" t="s">
        <v>193</v>
      </c>
      <c r="E723" s="15"/>
      <c r="F723" s="15"/>
      <c r="G723" s="15"/>
      <c r="H723" s="15"/>
      <c r="I723" s="172"/>
      <c r="J723" s="202">
        <f t="shared" si="157"/>
        <v>0</v>
      </c>
      <c r="K723" s="94">
        <f t="shared" si="158"/>
        <v>0</v>
      </c>
      <c r="L723" s="16"/>
      <c r="M723" s="17"/>
      <c r="N723" s="17"/>
      <c r="O723" s="18">
        <f t="shared" si="159"/>
        <v>0</v>
      </c>
      <c r="P723" s="18">
        <f t="shared" si="160"/>
        <v>0</v>
      </c>
      <c r="Q723" s="8">
        <f t="shared" si="161"/>
        <v>0</v>
      </c>
    </row>
    <row r="724" spans="1:17" ht="23.25" customHeight="1" x14ac:dyDescent="0.5">
      <c r="A724" s="77">
        <v>124</v>
      </c>
      <c r="B724" s="78" t="s">
        <v>145</v>
      </c>
      <c r="C724" s="115" t="s">
        <v>145</v>
      </c>
      <c r="D724" s="14" t="s">
        <v>193</v>
      </c>
      <c r="E724" s="15"/>
      <c r="F724" s="15"/>
      <c r="G724" s="15"/>
      <c r="H724" s="15"/>
      <c r="I724" s="172"/>
      <c r="J724" s="202">
        <f t="shared" si="157"/>
        <v>0</v>
      </c>
      <c r="K724" s="94">
        <f t="shared" si="158"/>
        <v>0</v>
      </c>
      <c r="L724" s="16"/>
      <c r="M724" s="17"/>
      <c r="N724" s="17"/>
      <c r="O724" s="18">
        <f t="shared" si="159"/>
        <v>0</v>
      </c>
      <c r="P724" s="18">
        <f t="shared" si="160"/>
        <v>0</v>
      </c>
      <c r="Q724" s="8">
        <f t="shared" si="161"/>
        <v>0</v>
      </c>
    </row>
    <row r="725" spans="1:17" ht="23.25" customHeight="1" x14ac:dyDescent="0.5">
      <c r="A725" s="77">
        <v>125</v>
      </c>
      <c r="B725" s="78" t="s">
        <v>145</v>
      </c>
      <c r="C725" s="115" t="s">
        <v>145</v>
      </c>
      <c r="D725" s="14" t="s">
        <v>193</v>
      </c>
      <c r="E725" s="15"/>
      <c r="F725" s="15"/>
      <c r="G725" s="15"/>
      <c r="H725" s="15"/>
      <c r="I725" s="172"/>
      <c r="J725" s="202">
        <f t="shared" si="157"/>
        <v>0</v>
      </c>
      <c r="K725" s="94">
        <f t="shared" si="158"/>
        <v>0</v>
      </c>
      <c r="L725" s="16"/>
      <c r="M725" s="17"/>
      <c r="N725" s="17"/>
      <c r="O725" s="18">
        <f t="shared" si="159"/>
        <v>0</v>
      </c>
      <c r="P725" s="18">
        <f t="shared" si="160"/>
        <v>0</v>
      </c>
      <c r="Q725" s="8">
        <f t="shared" si="161"/>
        <v>0</v>
      </c>
    </row>
    <row r="726" spans="1:17" ht="18" customHeight="1" x14ac:dyDescent="0.55000000000000004">
      <c r="A726" s="77">
        <v>126</v>
      </c>
      <c r="B726" s="78" t="s">
        <v>21</v>
      </c>
      <c r="C726" s="100" t="s">
        <v>172</v>
      </c>
      <c r="D726" s="80" t="s">
        <v>172</v>
      </c>
      <c r="E726" s="81"/>
      <c r="F726" s="81"/>
      <c r="G726" s="81"/>
      <c r="H726" s="82"/>
      <c r="I726" s="83"/>
      <c r="J726" s="202">
        <f t="shared" si="157"/>
        <v>0</v>
      </c>
      <c r="K726" s="94">
        <f t="shared" ref="K726:K727" si="162">+J726-I726</f>
        <v>0</v>
      </c>
      <c r="L726" s="84"/>
      <c r="M726" s="84"/>
      <c r="N726" s="84"/>
      <c r="O726" s="26"/>
      <c r="P726" s="26"/>
      <c r="Q726" s="7"/>
    </row>
    <row r="727" spans="1:17" ht="18" customHeight="1" x14ac:dyDescent="0.55000000000000004">
      <c r="A727" s="77">
        <v>127</v>
      </c>
      <c r="B727" s="78" t="s">
        <v>21</v>
      </c>
      <c r="C727" s="100" t="s">
        <v>172</v>
      </c>
      <c r="D727" s="106" t="s">
        <v>173</v>
      </c>
      <c r="E727" s="87"/>
      <c r="F727" s="87"/>
      <c r="G727" s="87"/>
      <c r="H727" s="107"/>
      <c r="I727" s="165"/>
      <c r="J727" s="202">
        <f t="shared" si="157"/>
        <v>0</v>
      </c>
      <c r="K727" s="94">
        <f t="shared" si="162"/>
        <v>0</v>
      </c>
      <c r="L727" s="109"/>
      <c r="M727" s="109"/>
      <c r="N727" s="109"/>
      <c r="O727" s="18">
        <f t="shared" ref="O727:O737" si="163">M727*J727</f>
        <v>0</v>
      </c>
      <c r="P727" s="18">
        <f t="shared" ref="P727:P737" si="164">N727*J727</f>
        <v>0</v>
      </c>
      <c r="Q727" s="9"/>
    </row>
    <row r="728" spans="1:17" ht="23.25" customHeight="1" x14ac:dyDescent="0.5">
      <c r="A728" s="77">
        <v>128</v>
      </c>
      <c r="B728" s="78" t="s">
        <v>21</v>
      </c>
      <c r="C728" s="100" t="s">
        <v>172</v>
      </c>
      <c r="D728" s="14" t="s">
        <v>193</v>
      </c>
      <c r="E728" s="15"/>
      <c r="F728" s="15"/>
      <c r="G728" s="15"/>
      <c r="H728" s="15"/>
      <c r="I728" s="172"/>
      <c r="J728" s="202">
        <f>I728</f>
        <v>0</v>
      </c>
      <c r="K728" s="94">
        <f t="shared" ref="K728:K780" si="165">+J728-I728</f>
        <v>0</v>
      </c>
      <c r="L728" s="16"/>
      <c r="M728" s="17"/>
      <c r="N728" s="17"/>
      <c r="O728" s="18">
        <f t="shared" si="163"/>
        <v>0</v>
      </c>
      <c r="P728" s="18">
        <f t="shared" si="164"/>
        <v>0</v>
      </c>
      <c r="Q728" s="8">
        <f t="shared" ref="Q728:Q737" si="166">(M728*J728)+(N728*J728)</f>
        <v>0</v>
      </c>
    </row>
    <row r="729" spans="1:17" ht="23.25" customHeight="1" x14ac:dyDescent="0.5">
      <c r="A729" s="77">
        <v>129</v>
      </c>
      <c r="B729" s="78" t="s">
        <v>21</v>
      </c>
      <c r="C729" s="100" t="s">
        <v>172</v>
      </c>
      <c r="D729" s="14" t="s">
        <v>193</v>
      </c>
      <c r="E729" s="15"/>
      <c r="F729" s="15"/>
      <c r="G729" s="15"/>
      <c r="H729" s="15"/>
      <c r="I729" s="172"/>
      <c r="J729" s="202">
        <f>I729</f>
        <v>0</v>
      </c>
      <c r="K729" s="94">
        <f t="shared" si="165"/>
        <v>0</v>
      </c>
      <c r="L729" s="16"/>
      <c r="M729" s="17"/>
      <c r="N729" s="17"/>
      <c r="O729" s="18">
        <f t="shared" si="163"/>
        <v>0</v>
      </c>
      <c r="P729" s="18">
        <f t="shared" si="164"/>
        <v>0</v>
      </c>
      <c r="Q729" s="8">
        <f t="shared" si="166"/>
        <v>0</v>
      </c>
    </row>
    <row r="730" spans="1:17" ht="23.25" customHeight="1" x14ac:dyDescent="0.5">
      <c r="A730" s="77">
        <v>130</v>
      </c>
      <c r="B730" s="78" t="s">
        <v>21</v>
      </c>
      <c r="C730" s="100" t="s">
        <v>172</v>
      </c>
      <c r="D730" s="14" t="s">
        <v>193</v>
      </c>
      <c r="E730" s="15"/>
      <c r="F730" s="15"/>
      <c r="G730" s="15"/>
      <c r="H730" s="15"/>
      <c r="I730" s="172"/>
      <c r="J730" s="202">
        <f t="shared" ref="J730:J734" si="167">I730</f>
        <v>0</v>
      </c>
      <c r="K730" s="94">
        <f t="shared" si="165"/>
        <v>0</v>
      </c>
      <c r="L730" s="16"/>
      <c r="M730" s="17"/>
      <c r="N730" s="17"/>
      <c r="O730" s="18">
        <f t="shared" si="163"/>
        <v>0</v>
      </c>
      <c r="P730" s="18">
        <f t="shared" si="164"/>
        <v>0</v>
      </c>
      <c r="Q730" s="8">
        <f t="shared" si="166"/>
        <v>0</v>
      </c>
    </row>
    <row r="731" spans="1:17" ht="23.25" customHeight="1" x14ac:dyDescent="0.5">
      <c r="A731" s="77">
        <v>131</v>
      </c>
      <c r="B731" s="78" t="s">
        <v>21</v>
      </c>
      <c r="C731" s="100" t="s">
        <v>172</v>
      </c>
      <c r="D731" s="14" t="s">
        <v>193</v>
      </c>
      <c r="E731" s="15"/>
      <c r="F731" s="15"/>
      <c r="G731" s="15"/>
      <c r="H731" s="15"/>
      <c r="I731" s="172"/>
      <c r="J731" s="202">
        <f t="shared" si="167"/>
        <v>0</v>
      </c>
      <c r="K731" s="94">
        <f t="shared" si="165"/>
        <v>0</v>
      </c>
      <c r="L731" s="16"/>
      <c r="M731" s="17"/>
      <c r="N731" s="17"/>
      <c r="O731" s="18">
        <f t="shared" si="163"/>
        <v>0</v>
      </c>
      <c r="P731" s="18">
        <f t="shared" si="164"/>
        <v>0</v>
      </c>
      <c r="Q731" s="8">
        <f t="shared" si="166"/>
        <v>0</v>
      </c>
    </row>
    <row r="732" spans="1:17" ht="23.25" customHeight="1" x14ac:dyDescent="0.5">
      <c r="A732" s="77">
        <v>132</v>
      </c>
      <c r="B732" s="78" t="s">
        <v>21</v>
      </c>
      <c r="C732" s="100" t="s">
        <v>172</v>
      </c>
      <c r="D732" s="14" t="s">
        <v>193</v>
      </c>
      <c r="E732" s="15"/>
      <c r="F732" s="15"/>
      <c r="G732" s="15"/>
      <c r="H732" s="15"/>
      <c r="I732" s="172"/>
      <c r="J732" s="202">
        <f t="shared" si="167"/>
        <v>0</v>
      </c>
      <c r="K732" s="94">
        <f t="shared" si="165"/>
        <v>0</v>
      </c>
      <c r="L732" s="16"/>
      <c r="M732" s="17"/>
      <c r="N732" s="17"/>
      <c r="O732" s="18">
        <f t="shared" si="163"/>
        <v>0</v>
      </c>
      <c r="P732" s="18">
        <f t="shared" si="164"/>
        <v>0</v>
      </c>
      <c r="Q732" s="8">
        <f t="shared" si="166"/>
        <v>0</v>
      </c>
    </row>
    <row r="733" spans="1:17" ht="23.25" customHeight="1" x14ac:dyDescent="0.5">
      <c r="A733" s="77">
        <v>133</v>
      </c>
      <c r="B733" s="78" t="s">
        <v>21</v>
      </c>
      <c r="C733" s="100" t="s">
        <v>172</v>
      </c>
      <c r="D733" s="14" t="s">
        <v>193</v>
      </c>
      <c r="E733" s="15"/>
      <c r="F733" s="15"/>
      <c r="G733" s="15"/>
      <c r="H733" s="15"/>
      <c r="I733" s="172"/>
      <c r="J733" s="202">
        <f t="shared" si="167"/>
        <v>0</v>
      </c>
      <c r="K733" s="94">
        <f t="shared" si="165"/>
        <v>0</v>
      </c>
      <c r="L733" s="16"/>
      <c r="M733" s="17"/>
      <c r="N733" s="17"/>
      <c r="O733" s="18">
        <f t="shared" si="163"/>
        <v>0</v>
      </c>
      <c r="P733" s="18">
        <f t="shared" si="164"/>
        <v>0</v>
      </c>
      <c r="Q733" s="8">
        <f t="shared" si="166"/>
        <v>0</v>
      </c>
    </row>
    <row r="734" spans="1:17" ht="23.25" customHeight="1" x14ac:dyDescent="0.5">
      <c r="A734" s="77">
        <v>134</v>
      </c>
      <c r="B734" s="78" t="s">
        <v>21</v>
      </c>
      <c r="C734" s="100" t="s">
        <v>172</v>
      </c>
      <c r="D734" s="14" t="s">
        <v>193</v>
      </c>
      <c r="E734" s="15"/>
      <c r="F734" s="15"/>
      <c r="G734" s="15"/>
      <c r="H734" s="15"/>
      <c r="I734" s="172"/>
      <c r="J734" s="202">
        <f t="shared" si="167"/>
        <v>0</v>
      </c>
      <c r="K734" s="94">
        <f t="shared" si="165"/>
        <v>0</v>
      </c>
      <c r="L734" s="16"/>
      <c r="M734" s="17"/>
      <c r="N734" s="17"/>
      <c r="O734" s="18">
        <f t="shared" si="163"/>
        <v>0</v>
      </c>
      <c r="P734" s="18">
        <f t="shared" si="164"/>
        <v>0</v>
      </c>
      <c r="Q734" s="8">
        <f t="shared" si="166"/>
        <v>0</v>
      </c>
    </row>
    <row r="735" spans="1:17" ht="23.25" customHeight="1" x14ac:dyDescent="0.5">
      <c r="A735" s="77">
        <v>135</v>
      </c>
      <c r="B735" s="78" t="s">
        <v>21</v>
      </c>
      <c r="C735" s="100" t="s">
        <v>172</v>
      </c>
      <c r="D735" s="14" t="s">
        <v>193</v>
      </c>
      <c r="E735" s="15"/>
      <c r="F735" s="15"/>
      <c r="G735" s="15"/>
      <c r="H735" s="15"/>
      <c r="I735" s="172"/>
      <c r="J735" s="202">
        <f>I735</f>
        <v>0</v>
      </c>
      <c r="K735" s="94">
        <f t="shared" si="165"/>
        <v>0</v>
      </c>
      <c r="L735" s="16"/>
      <c r="M735" s="17"/>
      <c r="N735" s="17"/>
      <c r="O735" s="18">
        <f t="shared" si="163"/>
        <v>0</v>
      </c>
      <c r="P735" s="18">
        <f t="shared" si="164"/>
        <v>0</v>
      </c>
      <c r="Q735" s="8">
        <f t="shared" si="166"/>
        <v>0</v>
      </c>
    </row>
    <row r="736" spans="1:17" ht="23.25" customHeight="1" x14ac:dyDescent="0.5">
      <c r="A736" s="77">
        <v>136</v>
      </c>
      <c r="B736" s="78" t="s">
        <v>21</v>
      </c>
      <c r="C736" s="100" t="s">
        <v>172</v>
      </c>
      <c r="D736" s="14" t="s">
        <v>193</v>
      </c>
      <c r="E736" s="15"/>
      <c r="F736" s="15"/>
      <c r="G736" s="15"/>
      <c r="H736" s="15"/>
      <c r="I736" s="172"/>
      <c r="J736" s="202">
        <f>I736</f>
        <v>0</v>
      </c>
      <c r="K736" s="94">
        <f t="shared" si="165"/>
        <v>0</v>
      </c>
      <c r="L736" s="16"/>
      <c r="M736" s="17"/>
      <c r="N736" s="17"/>
      <c r="O736" s="18">
        <f t="shared" si="163"/>
        <v>0</v>
      </c>
      <c r="P736" s="18">
        <f t="shared" si="164"/>
        <v>0</v>
      </c>
      <c r="Q736" s="8">
        <f t="shared" si="166"/>
        <v>0</v>
      </c>
    </row>
    <row r="737" spans="1:17" ht="23.25" customHeight="1" x14ac:dyDescent="0.5">
      <c r="A737" s="77">
        <v>137</v>
      </c>
      <c r="B737" s="78" t="s">
        <v>21</v>
      </c>
      <c r="C737" s="100" t="s">
        <v>172</v>
      </c>
      <c r="D737" s="14" t="s">
        <v>193</v>
      </c>
      <c r="E737" s="15"/>
      <c r="F737" s="15"/>
      <c r="G737" s="15"/>
      <c r="H737" s="15"/>
      <c r="I737" s="172"/>
      <c r="J737" s="202">
        <f>I737</f>
        <v>0</v>
      </c>
      <c r="K737" s="94">
        <f t="shared" si="165"/>
        <v>0</v>
      </c>
      <c r="L737" s="16"/>
      <c r="M737" s="17"/>
      <c r="N737" s="17"/>
      <c r="O737" s="18">
        <f t="shared" si="163"/>
        <v>0</v>
      </c>
      <c r="P737" s="18">
        <f t="shared" si="164"/>
        <v>0</v>
      </c>
      <c r="Q737" s="8">
        <f t="shared" si="166"/>
        <v>0</v>
      </c>
    </row>
    <row r="738" spans="1:17" ht="18" customHeight="1" x14ac:dyDescent="0.55000000000000004">
      <c r="A738" s="77">
        <v>138</v>
      </c>
      <c r="B738" s="78" t="s">
        <v>21</v>
      </c>
      <c r="C738" s="100" t="s">
        <v>172</v>
      </c>
      <c r="D738" s="106" t="s">
        <v>182</v>
      </c>
      <c r="E738" s="87"/>
      <c r="F738" s="87"/>
      <c r="G738" s="87"/>
      <c r="H738" s="107"/>
      <c r="I738" s="165"/>
      <c r="J738" s="203"/>
      <c r="K738" s="94">
        <f t="shared" si="165"/>
        <v>0</v>
      </c>
      <c r="L738" s="109"/>
      <c r="M738" s="109"/>
      <c r="N738" s="109"/>
      <c r="O738" s="19"/>
      <c r="P738" s="19"/>
      <c r="Q738" s="9"/>
    </row>
    <row r="739" spans="1:17" ht="23.25" customHeight="1" x14ac:dyDescent="0.5">
      <c r="A739" s="77">
        <v>139</v>
      </c>
      <c r="B739" s="78" t="s">
        <v>21</v>
      </c>
      <c r="C739" s="100" t="s">
        <v>172</v>
      </c>
      <c r="D739" s="14" t="s">
        <v>193</v>
      </c>
      <c r="E739" s="15"/>
      <c r="F739" s="15"/>
      <c r="G739" s="15"/>
      <c r="H739" s="15"/>
      <c r="I739" s="172"/>
      <c r="J739" s="202">
        <f t="shared" ref="J739:J745" si="168">I739</f>
        <v>0</v>
      </c>
      <c r="K739" s="94">
        <f t="shared" si="165"/>
        <v>0</v>
      </c>
      <c r="L739" s="16"/>
      <c r="M739" s="17"/>
      <c r="N739" s="17"/>
      <c r="O739" s="18">
        <f t="shared" ref="O739:O748" si="169">M739*J739</f>
        <v>0</v>
      </c>
      <c r="P739" s="18">
        <f t="shared" ref="P739:P748" si="170">N739*J739</f>
        <v>0</v>
      </c>
      <c r="Q739" s="8">
        <f t="shared" ref="Q739:Q748" si="171">(M739*J739)+(N739*J739)</f>
        <v>0</v>
      </c>
    </row>
    <row r="740" spans="1:17" ht="23.25" customHeight="1" x14ac:dyDescent="0.5">
      <c r="A740" s="77">
        <v>140</v>
      </c>
      <c r="B740" s="78" t="s">
        <v>21</v>
      </c>
      <c r="C740" s="100" t="s">
        <v>172</v>
      </c>
      <c r="D740" s="14" t="s">
        <v>193</v>
      </c>
      <c r="E740" s="15"/>
      <c r="F740" s="15"/>
      <c r="G740" s="15"/>
      <c r="H740" s="15"/>
      <c r="I740" s="172"/>
      <c r="J740" s="202">
        <f t="shared" si="168"/>
        <v>0</v>
      </c>
      <c r="K740" s="94">
        <f t="shared" si="165"/>
        <v>0</v>
      </c>
      <c r="L740" s="16"/>
      <c r="M740" s="17"/>
      <c r="N740" s="17"/>
      <c r="O740" s="18">
        <f t="shared" si="169"/>
        <v>0</v>
      </c>
      <c r="P740" s="18">
        <f t="shared" si="170"/>
        <v>0</v>
      </c>
      <c r="Q740" s="8">
        <f t="shared" si="171"/>
        <v>0</v>
      </c>
    </row>
    <row r="741" spans="1:17" ht="23.25" customHeight="1" x14ac:dyDescent="0.5">
      <c r="A741" s="77">
        <v>141</v>
      </c>
      <c r="B741" s="78" t="s">
        <v>21</v>
      </c>
      <c r="C741" s="100" t="s">
        <v>172</v>
      </c>
      <c r="D741" s="14" t="s">
        <v>193</v>
      </c>
      <c r="E741" s="15"/>
      <c r="F741" s="15"/>
      <c r="G741" s="15"/>
      <c r="H741" s="15"/>
      <c r="I741" s="172"/>
      <c r="J741" s="202">
        <f t="shared" si="168"/>
        <v>0</v>
      </c>
      <c r="K741" s="94">
        <f t="shared" si="165"/>
        <v>0</v>
      </c>
      <c r="L741" s="16"/>
      <c r="M741" s="17"/>
      <c r="N741" s="17"/>
      <c r="O741" s="18">
        <f t="shared" si="169"/>
        <v>0</v>
      </c>
      <c r="P741" s="18">
        <f t="shared" si="170"/>
        <v>0</v>
      </c>
      <c r="Q741" s="8">
        <f t="shared" si="171"/>
        <v>0</v>
      </c>
    </row>
    <row r="742" spans="1:17" ht="23.25" customHeight="1" x14ac:dyDescent="0.5">
      <c r="A742" s="77">
        <v>142</v>
      </c>
      <c r="B742" s="78" t="s">
        <v>21</v>
      </c>
      <c r="C742" s="100" t="s">
        <v>172</v>
      </c>
      <c r="D742" s="14" t="s">
        <v>193</v>
      </c>
      <c r="E742" s="15"/>
      <c r="F742" s="15"/>
      <c r="G742" s="15"/>
      <c r="H742" s="15"/>
      <c r="I742" s="172"/>
      <c r="J742" s="202">
        <f t="shared" si="168"/>
        <v>0</v>
      </c>
      <c r="K742" s="94">
        <f t="shared" si="165"/>
        <v>0</v>
      </c>
      <c r="L742" s="16"/>
      <c r="M742" s="17"/>
      <c r="N742" s="17"/>
      <c r="O742" s="18">
        <f t="shared" si="169"/>
        <v>0</v>
      </c>
      <c r="P742" s="18">
        <f t="shared" si="170"/>
        <v>0</v>
      </c>
      <c r="Q742" s="8">
        <f t="shared" si="171"/>
        <v>0</v>
      </c>
    </row>
    <row r="743" spans="1:17" ht="23.25" customHeight="1" x14ac:dyDescent="0.5">
      <c r="A743" s="77">
        <v>143</v>
      </c>
      <c r="B743" s="78" t="s">
        <v>21</v>
      </c>
      <c r="C743" s="100" t="s">
        <v>172</v>
      </c>
      <c r="D743" s="14" t="s">
        <v>193</v>
      </c>
      <c r="E743" s="15"/>
      <c r="F743" s="15"/>
      <c r="G743" s="15"/>
      <c r="H743" s="15"/>
      <c r="I743" s="172"/>
      <c r="J743" s="202">
        <f t="shared" si="168"/>
        <v>0</v>
      </c>
      <c r="K743" s="94">
        <f t="shared" si="165"/>
        <v>0</v>
      </c>
      <c r="L743" s="16"/>
      <c r="M743" s="17"/>
      <c r="N743" s="17"/>
      <c r="O743" s="18">
        <f t="shared" si="169"/>
        <v>0</v>
      </c>
      <c r="P743" s="18">
        <f t="shared" si="170"/>
        <v>0</v>
      </c>
      <c r="Q743" s="8">
        <f t="shared" si="171"/>
        <v>0</v>
      </c>
    </row>
    <row r="744" spans="1:17" ht="23.25" customHeight="1" x14ac:dyDescent="0.5">
      <c r="A744" s="77">
        <v>144</v>
      </c>
      <c r="B744" s="78" t="s">
        <v>21</v>
      </c>
      <c r="C744" s="100" t="s">
        <v>172</v>
      </c>
      <c r="D744" s="14" t="s">
        <v>193</v>
      </c>
      <c r="E744" s="15"/>
      <c r="F744" s="15"/>
      <c r="G744" s="15"/>
      <c r="H744" s="15"/>
      <c r="I744" s="172"/>
      <c r="J744" s="202">
        <f t="shared" si="168"/>
        <v>0</v>
      </c>
      <c r="K744" s="94">
        <f t="shared" si="165"/>
        <v>0</v>
      </c>
      <c r="L744" s="16"/>
      <c r="M744" s="17"/>
      <c r="N744" s="17"/>
      <c r="O744" s="18">
        <f t="shared" si="169"/>
        <v>0</v>
      </c>
      <c r="P744" s="18">
        <f t="shared" si="170"/>
        <v>0</v>
      </c>
      <c r="Q744" s="8">
        <f t="shared" si="171"/>
        <v>0</v>
      </c>
    </row>
    <row r="745" spans="1:17" ht="23.25" customHeight="1" x14ac:dyDescent="0.5">
      <c r="A745" s="77">
        <v>145</v>
      </c>
      <c r="B745" s="78" t="s">
        <v>21</v>
      </c>
      <c r="C745" s="100" t="s">
        <v>172</v>
      </c>
      <c r="D745" s="14" t="s">
        <v>193</v>
      </c>
      <c r="E745" s="15"/>
      <c r="F745" s="15"/>
      <c r="G745" s="15"/>
      <c r="H745" s="15"/>
      <c r="I745" s="172"/>
      <c r="J745" s="202">
        <f t="shared" si="168"/>
        <v>0</v>
      </c>
      <c r="K745" s="94">
        <f t="shared" si="165"/>
        <v>0</v>
      </c>
      <c r="L745" s="16"/>
      <c r="M745" s="17"/>
      <c r="N745" s="17"/>
      <c r="O745" s="18">
        <f t="shared" si="169"/>
        <v>0</v>
      </c>
      <c r="P745" s="18">
        <f t="shared" si="170"/>
        <v>0</v>
      </c>
      <c r="Q745" s="8">
        <f t="shared" si="171"/>
        <v>0</v>
      </c>
    </row>
    <row r="746" spans="1:17" ht="23.25" customHeight="1" x14ac:dyDescent="0.5">
      <c r="A746" s="77">
        <v>146</v>
      </c>
      <c r="B746" s="78" t="s">
        <v>21</v>
      </c>
      <c r="C746" s="100" t="s">
        <v>172</v>
      </c>
      <c r="D746" s="14" t="s">
        <v>193</v>
      </c>
      <c r="E746" s="15"/>
      <c r="F746" s="15"/>
      <c r="G746" s="15"/>
      <c r="H746" s="15"/>
      <c r="I746" s="172"/>
      <c r="J746" s="202">
        <f>I746</f>
        <v>0</v>
      </c>
      <c r="K746" s="94">
        <f t="shared" si="165"/>
        <v>0</v>
      </c>
      <c r="L746" s="16"/>
      <c r="M746" s="17"/>
      <c r="N746" s="17"/>
      <c r="O746" s="18">
        <f t="shared" si="169"/>
        <v>0</v>
      </c>
      <c r="P746" s="18">
        <f t="shared" si="170"/>
        <v>0</v>
      </c>
      <c r="Q746" s="8">
        <f t="shared" si="171"/>
        <v>0</v>
      </c>
    </row>
    <row r="747" spans="1:17" ht="23.25" customHeight="1" x14ac:dyDescent="0.5">
      <c r="A747" s="77">
        <v>147</v>
      </c>
      <c r="B747" s="78" t="s">
        <v>21</v>
      </c>
      <c r="C747" s="100" t="s">
        <v>172</v>
      </c>
      <c r="D747" s="14" t="s">
        <v>193</v>
      </c>
      <c r="E747" s="15"/>
      <c r="F747" s="15"/>
      <c r="G747" s="15"/>
      <c r="H747" s="15"/>
      <c r="I747" s="172"/>
      <c r="J747" s="202">
        <f>I747</f>
        <v>0</v>
      </c>
      <c r="K747" s="94">
        <f t="shared" si="165"/>
        <v>0</v>
      </c>
      <c r="L747" s="16"/>
      <c r="M747" s="17"/>
      <c r="N747" s="17"/>
      <c r="O747" s="18">
        <f t="shared" si="169"/>
        <v>0</v>
      </c>
      <c r="P747" s="18">
        <f t="shared" si="170"/>
        <v>0</v>
      </c>
      <c r="Q747" s="8">
        <f t="shared" si="171"/>
        <v>0</v>
      </c>
    </row>
    <row r="748" spans="1:17" ht="23.25" customHeight="1" x14ac:dyDescent="0.5">
      <c r="A748" s="77">
        <v>148</v>
      </c>
      <c r="B748" s="78" t="s">
        <v>21</v>
      </c>
      <c r="C748" s="100" t="s">
        <v>172</v>
      </c>
      <c r="D748" s="14" t="s">
        <v>193</v>
      </c>
      <c r="E748" s="15"/>
      <c r="F748" s="15"/>
      <c r="G748" s="15"/>
      <c r="H748" s="15"/>
      <c r="I748" s="172"/>
      <c r="J748" s="202">
        <f>I748</f>
        <v>0</v>
      </c>
      <c r="K748" s="94">
        <f t="shared" si="165"/>
        <v>0</v>
      </c>
      <c r="L748" s="16"/>
      <c r="M748" s="17"/>
      <c r="N748" s="17"/>
      <c r="O748" s="18">
        <f t="shared" si="169"/>
        <v>0</v>
      </c>
      <c r="P748" s="18">
        <f t="shared" si="170"/>
        <v>0</v>
      </c>
      <c r="Q748" s="8">
        <f t="shared" si="171"/>
        <v>0</v>
      </c>
    </row>
    <row r="749" spans="1:17" ht="18" customHeight="1" x14ac:dyDescent="0.55000000000000004">
      <c r="A749" s="77">
        <v>149</v>
      </c>
      <c r="B749" s="78" t="s">
        <v>21</v>
      </c>
      <c r="C749" s="100" t="s">
        <v>172</v>
      </c>
      <c r="D749" s="106" t="s">
        <v>184</v>
      </c>
      <c r="E749" s="87"/>
      <c r="F749" s="87"/>
      <c r="G749" s="87"/>
      <c r="H749" s="107"/>
      <c r="I749" s="165"/>
      <c r="J749" s="202">
        <f t="shared" ref="J749:J762" si="172">I749</f>
        <v>0</v>
      </c>
      <c r="K749" s="94">
        <f t="shared" ref="K749:K762" si="173">+J749-I749</f>
        <v>0</v>
      </c>
      <c r="L749" s="109"/>
      <c r="M749" s="109"/>
      <c r="N749" s="109"/>
      <c r="O749" s="18">
        <f t="shared" ref="O749:O762" si="174">M749*J749</f>
        <v>0</v>
      </c>
      <c r="P749" s="18">
        <f t="shared" ref="P749:P762" si="175">N749*J749</f>
        <v>0</v>
      </c>
      <c r="Q749" s="8">
        <f t="shared" ref="Q749:Q762" si="176">(M749*J749)+(N749*J749)</f>
        <v>0</v>
      </c>
    </row>
    <row r="750" spans="1:17" ht="23.25" customHeight="1" x14ac:dyDescent="0.5">
      <c r="A750" s="77">
        <v>150</v>
      </c>
      <c r="B750" s="78" t="s">
        <v>21</v>
      </c>
      <c r="C750" s="100" t="s">
        <v>172</v>
      </c>
      <c r="D750" s="14" t="s">
        <v>559</v>
      </c>
      <c r="E750" s="15" t="s">
        <v>55</v>
      </c>
      <c r="F750" s="15" t="s">
        <v>560</v>
      </c>
      <c r="G750" s="15" t="s">
        <v>176</v>
      </c>
      <c r="H750" s="15"/>
      <c r="I750" s="172"/>
      <c r="J750" s="202">
        <f t="shared" si="172"/>
        <v>0</v>
      </c>
      <c r="K750" s="94">
        <f t="shared" si="173"/>
        <v>0</v>
      </c>
      <c r="L750" s="16"/>
      <c r="M750" s="17"/>
      <c r="N750" s="17"/>
      <c r="O750" s="18">
        <f t="shared" si="174"/>
        <v>0</v>
      </c>
      <c r="P750" s="18">
        <f t="shared" si="175"/>
        <v>0</v>
      </c>
      <c r="Q750" s="8">
        <f t="shared" si="176"/>
        <v>0</v>
      </c>
    </row>
    <row r="751" spans="1:17" ht="23.25" customHeight="1" x14ac:dyDescent="0.5">
      <c r="A751" s="77">
        <v>151</v>
      </c>
      <c r="B751" s="78" t="s">
        <v>21</v>
      </c>
      <c r="C751" s="100" t="s">
        <v>172</v>
      </c>
      <c r="D751" s="14" t="s">
        <v>561</v>
      </c>
      <c r="E751" s="15" t="s">
        <v>55</v>
      </c>
      <c r="F751" s="15" t="s">
        <v>562</v>
      </c>
      <c r="G751" s="15" t="s">
        <v>176</v>
      </c>
      <c r="H751" s="15"/>
      <c r="I751" s="172"/>
      <c r="J751" s="202">
        <v>37</v>
      </c>
      <c r="K751" s="94">
        <f t="shared" si="173"/>
        <v>37</v>
      </c>
      <c r="L751" s="16"/>
      <c r="M751" s="17"/>
      <c r="N751" s="17"/>
      <c r="O751" s="18">
        <f t="shared" si="174"/>
        <v>0</v>
      </c>
      <c r="P751" s="18">
        <f t="shared" si="175"/>
        <v>0</v>
      </c>
      <c r="Q751" s="8">
        <f t="shared" si="176"/>
        <v>0</v>
      </c>
    </row>
    <row r="752" spans="1:17" ht="23.25" customHeight="1" x14ac:dyDescent="0.5">
      <c r="A752" s="77">
        <v>152</v>
      </c>
      <c r="B752" s="78" t="s">
        <v>21</v>
      </c>
      <c r="C752" s="100" t="s">
        <v>172</v>
      </c>
      <c r="D752" s="14" t="s">
        <v>559</v>
      </c>
      <c r="E752" s="15" t="s">
        <v>55</v>
      </c>
      <c r="F752" s="15" t="s">
        <v>560</v>
      </c>
      <c r="G752" s="15" t="s">
        <v>178</v>
      </c>
      <c r="H752" s="15"/>
      <c r="I752" s="172"/>
      <c r="J752" s="202">
        <f t="shared" si="172"/>
        <v>0</v>
      </c>
      <c r="K752" s="94">
        <f t="shared" si="173"/>
        <v>0</v>
      </c>
      <c r="L752" s="16"/>
      <c r="M752" s="17"/>
      <c r="N752" s="17"/>
      <c r="O752" s="18">
        <f t="shared" si="174"/>
        <v>0</v>
      </c>
      <c r="P752" s="18">
        <f t="shared" si="175"/>
        <v>0</v>
      </c>
      <c r="Q752" s="8">
        <f t="shared" si="176"/>
        <v>0</v>
      </c>
    </row>
    <row r="753" spans="1:17" ht="23.25" customHeight="1" x14ac:dyDescent="0.5">
      <c r="A753" s="77">
        <v>153</v>
      </c>
      <c r="B753" s="78" t="s">
        <v>21</v>
      </c>
      <c r="C753" s="100" t="s">
        <v>172</v>
      </c>
      <c r="D753" s="14" t="s">
        <v>561</v>
      </c>
      <c r="E753" s="15" t="s">
        <v>55</v>
      </c>
      <c r="F753" s="15" t="s">
        <v>562</v>
      </c>
      <c r="G753" s="15" t="s">
        <v>178</v>
      </c>
      <c r="H753" s="15"/>
      <c r="I753" s="172"/>
      <c r="J753" s="202">
        <f t="shared" si="172"/>
        <v>0</v>
      </c>
      <c r="K753" s="94">
        <f t="shared" si="173"/>
        <v>0</v>
      </c>
      <c r="L753" s="16"/>
      <c r="M753" s="17"/>
      <c r="N753" s="17"/>
      <c r="O753" s="18">
        <f t="shared" si="174"/>
        <v>0</v>
      </c>
      <c r="P753" s="18">
        <f t="shared" si="175"/>
        <v>0</v>
      </c>
      <c r="Q753" s="8">
        <f t="shared" si="176"/>
        <v>0</v>
      </c>
    </row>
    <row r="754" spans="1:17" ht="23.25" customHeight="1" x14ac:dyDescent="0.5">
      <c r="A754" s="77">
        <v>154</v>
      </c>
      <c r="B754" s="78" t="s">
        <v>21</v>
      </c>
      <c r="C754" s="100" t="s">
        <v>172</v>
      </c>
      <c r="D754" s="14" t="s">
        <v>559</v>
      </c>
      <c r="E754" s="15" t="s">
        <v>55</v>
      </c>
      <c r="F754" s="15" t="s">
        <v>560</v>
      </c>
      <c r="G754" s="15" t="s">
        <v>179</v>
      </c>
      <c r="H754" s="15"/>
      <c r="I754" s="172"/>
      <c r="J754" s="202">
        <f t="shared" si="172"/>
        <v>0</v>
      </c>
      <c r="K754" s="94">
        <f t="shared" si="173"/>
        <v>0</v>
      </c>
      <c r="L754" s="16"/>
      <c r="M754" s="17"/>
      <c r="N754" s="17"/>
      <c r="O754" s="18">
        <f t="shared" si="174"/>
        <v>0</v>
      </c>
      <c r="P754" s="18">
        <f t="shared" si="175"/>
        <v>0</v>
      </c>
      <c r="Q754" s="8">
        <f t="shared" si="176"/>
        <v>0</v>
      </c>
    </row>
    <row r="755" spans="1:17" ht="23.25" customHeight="1" x14ac:dyDescent="0.5">
      <c r="A755" s="77">
        <v>155</v>
      </c>
      <c r="B755" s="78" t="s">
        <v>21</v>
      </c>
      <c r="C755" s="100" t="s">
        <v>172</v>
      </c>
      <c r="D755" s="14" t="s">
        <v>561</v>
      </c>
      <c r="E755" s="15" t="s">
        <v>55</v>
      </c>
      <c r="F755" s="15" t="s">
        <v>562</v>
      </c>
      <c r="G755" s="15" t="s">
        <v>179</v>
      </c>
      <c r="H755" s="15"/>
      <c r="I755" s="172"/>
      <c r="J755" s="202">
        <f t="shared" si="172"/>
        <v>0</v>
      </c>
      <c r="K755" s="94">
        <f t="shared" si="173"/>
        <v>0</v>
      </c>
      <c r="L755" s="16"/>
      <c r="M755" s="17"/>
      <c r="N755" s="17"/>
      <c r="O755" s="18">
        <f t="shared" si="174"/>
        <v>0</v>
      </c>
      <c r="P755" s="18">
        <f t="shared" si="175"/>
        <v>0</v>
      </c>
      <c r="Q755" s="8">
        <f t="shared" si="176"/>
        <v>0</v>
      </c>
    </row>
    <row r="756" spans="1:17" ht="23.25" customHeight="1" x14ac:dyDescent="0.5">
      <c r="A756" s="77">
        <v>156</v>
      </c>
      <c r="B756" s="78" t="s">
        <v>21</v>
      </c>
      <c r="C756" s="100" t="s">
        <v>172</v>
      </c>
      <c r="D756" s="14" t="s">
        <v>559</v>
      </c>
      <c r="E756" s="15" t="s">
        <v>55</v>
      </c>
      <c r="F756" s="15" t="s">
        <v>560</v>
      </c>
      <c r="G756" s="15" t="s">
        <v>180</v>
      </c>
      <c r="H756" s="15"/>
      <c r="I756" s="172"/>
      <c r="J756" s="202">
        <f t="shared" si="172"/>
        <v>0</v>
      </c>
      <c r="K756" s="94">
        <f t="shared" si="173"/>
        <v>0</v>
      </c>
      <c r="L756" s="16"/>
      <c r="M756" s="17"/>
      <c r="N756" s="17"/>
      <c r="O756" s="18">
        <f t="shared" si="174"/>
        <v>0</v>
      </c>
      <c r="P756" s="18">
        <f t="shared" si="175"/>
        <v>0</v>
      </c>
      <c r="Q756" s="8">
        <f t="shared" si="176"/>
        <v>0</v>
      </c>
    </row>
    <row r="757" spans="1:17" ht="23.25" customHeight="1" x14ac:dyDescent="0.5">
      <c r="A757" s="77">
        <v>157</v>
      </c>
      <c r="B757" s="78" t="s">
        <v>21</v>
      </c>
      <c r="C757" s="100" t="s">
        <v>172</v>
      </c>
      <c r="D757" s="14" t="s">
        <v>561</v>
      </c>
      <c r="E757" s="15" t="s">
        <v>55</v>
      </c>
      <c r="F757" s="15" t="s">
        <v>562</v>
      </c>
      <c r="G757" s="15" t="s">
        <v>180</v>
      </c>
      <c r="H757" s="15"/>
      <c r="I757" s="172"/>
      <c r="J757" s="202">
        <f t="shared" si="172"/>
        <v>0</v>
      </c>
      <c r="K757" s="94">
        <f t="shared" si="173"/>
        <v>0</v>
      </c>
      <c r="L757" s="16"/>
      <c r="M757" s="17"/>
      <c r="N757" s="17"/>
      <c r="O757" s="18">
        <f t="shared" si="174"/>
        <v>0</v>
      </c>
      <c r="P757" s="18">
        <f t="shared" si="175"/>
        <v>0</v>
      </c>
      <c r="Q757" s="8">
        <f t="shared" si="176"/>
        <v>0</v>
      </c>
    </row>
    <row r="758" spans="1:17" ht="23.25" customHeight="1" x14ac:dyDescent="0.5">
      <c r="A758" s="77">
        <v>158</v>
      </c>
      <c r="B758" s="78" t="s">
        <v>21</v>
      </c>
      <c r="C758" s="100" t="s">
        <v>172</v>
      </c>
      <c r="D758" s="14" t="s">
        <v>553</v>
      </c>
      <c r="E758" s="15" t="s">
        <v>554</v>
      </c>
      <c r="F758" s="15" t="s">
        <v>146</v>
      </c>
      <c r="G758" s="15"/>
      <c r="H758" s="15"/>
      <c r="I758" s="172"/>
      <c r="J758" s="202">
        <f t="shared" si="172"/>
        <v>0</v>
      </c>
      <c r="K758" s="94">
        <f t="shared" si="173"/>
        <v>0</v>
      </c>
      <c r="L758" s="16"/>
      <c r="M758" s="17"/>
      <c r="N758" s="17"/>
      <c r="O758" s="18">
        <f t="shared" si="174"/>
        <v>0</v>
      </c>
      <c r="P758" s="18">
        <f t="shared" si="175"/>
        <v>0</v>
      </c>
      <c r="Q758" s="8">
        <f t="shared" si="176"/>
        <v>0</v>
      </c>
    </row>
    <row r="759" spans="1:17" ht="23.25" customHeight="1" x14ac:dyDescent="0.5">
      <c r="A759" s="77">
        <v>159</v>
      </c>
      <c r="B759" s="78" t="s">
        <v>21</v>
      </c>
      <c r="C759" s="100" t="s">
        <v>172</v>
      </c>
      <c r="D759" s="14" t="s">
        <v>563</v>
      </c>
      <c r="E759" s="15"/>
      <c r="F759" s="15"/>
      <c r="G759" s="15"/>
      <c r="H759" s="15"/>
      <c r="I759" s="172"/>
      <c r="J759" s="202">
        <f t="shared" si="172"/>
        <v>0</v>
      </c>
      <c r="K759" s="94">
        <f t="shared" si="173"/>
        <v>0</v>
      </c>
      <c r="L759" s="16"/>
      <c r="M759" s="17"/>
      <c r="N759" s="17"/>
      <c r="O759" s="18">
        <f t="shared" si="174"/>
        <v>0</v>
      </c>
      <c r="P759" s="18">
        <f t="shared" si="175"/>
        <v>0</v>
      </c>
      <c r="Q759" s="8">
        <f t="shared" si="176"/>
        <v>0</v>
      </c>
    </row>
    <row r="760" spans="1:17" ht="23.25" customHeight="1" x14ac:dyDescent="0.55000000000000004">
      <c r="A760" s="77"/>
      <c r="B760" s="78" t="s">
        <v>21</v>
      </c>
      <c r="C760" s="100" t="s">
        <v>172</v>
      </c>
      <c r="D760" s="106" t="s">
        <v>185</v>
      </c>
      <c r="E760" s="87"/>
      <c r="F760" s="87"/>
      <c r="G760" s="87"/>
      <c r="H760" s="107"/>
      <c r="I760" s="165"/>
      <c r="J760" s="202">
        <f t="shared" si="172"/>
        <v>0</v>
      </c>
      <c r="K760" s="94">
        <f t="shared" si="173"/>
        <v>0</v>
      </c>
      <c r="L760" s="109"/>
      <c r="M760" s="109"/>
      <c r="N760" s="109"/>
      <c r="O760" s="18">
        <f t="shared" si="174"/>
        <v>0</v>
      </c>
      <c r="P760" s="18">
        <f t="shared" si="175"/>
        <v>0</v>
      </c>
      <c r="Q760" s="8">
        <f t="shared" si="176"/>
        <v>0</v>
      </c>
    </row>
    <row r="761" spans="1:17" ht="23.25" customHeight="1" x14ac:dyDescent="0.5">
      <c r="A761" s="77"/>
      <c r="B761" s="78" t="s">
        <v>21</v>
      </c>
      <c r="C761" s="100" t="s">
        <v>172</v>
      </c>
      <c r="D761" s="14" t="s">
        <v>193</v>
      </c>
      <c r="E761" s="15"/>
      <c r="F761" s="15"/>
      <c r="G761" s="15"/>
      <c r="H761" s="15"/>
      <c r="I761" s="172"/>
      <c r="J761" s="202">
        <f t="shared" si="172"/>
        <v>0</v>
      </c>
      <c r="K761" s="94">
        <f t="shared" si="173"/>
        <v>0</v>
      </c>
      <c r="L761" s="16"/>
      <c r="M761" s="17"/>
      <c r="N761" s="17"/>
      <c r="O761" s="18">
        <f t="shared" si="174"/>
        <v>0</v>
      </c>
      <c r="P761" s="18">
        <f t="shared" si="175"/>
        <v>0</v>
      </c>
      <c r="Q761" s="8">
        <f t="shared" si="176"/>
        <v>0</v>
      </c>
    </row>
    <row r="762" spans="1:17" ht="23.25" customHeight="1" x14ac:dyDescent="0.5">
      <c r="A762" s="77"/>
      <c r="B762" s="78" t="s">
        <v>21</v>
      </c>
      <c r="C762" s="100" t="s">
        <v>172</v>
      </c>
      <c r="D762" s="14" t="s">
        <v>193</v>
      </c>
      <c r="E762" s="15"/>
      <c r="F762" s="15"/>
      <c r="G762" s="15"/>
      <c r="H762" s="15"/>
      <c r="I762" s="172"/>
      <c r="J762" s="202">
        <f t="shared" si="172"/>
        <v>0</v>
      </c>
      <c r="K762" s="94">
        <f t="shared" si="173"/>
        <v>0</v>
      </c>
      <c r="L762" s="16"/>
      <c r="M762" s="17"/>
      <c r="N762" s="17"/>
      <c r="O762" s="18">
        <f t="shared" si="174"/>
        <v>0</v>
      </c>
      <c r="P762" s="18">
        <f t="shared" si="175"/>
        <v>0</v>
      </c>
      <c r="Q762" s="8">
        <f t="shared" si="176"/>
        <v>0</v>
      </c>
    </row>
    <row r="763" spans="1:17" ht="23.25" customHeight="1" x14ac:dyDescent="0.5">
      <c r="A763" s="77"/>
      <c r="B763" s="78" t="s">
        <v>21</v>
      </c>
      <c r="C763" s="100" t="s">
        <v>172</v>
      </c>
      <c r="D763" s="14" t="s">
        <v>193</v>
      </c>
      <c r="E763" s="15"/>
      <c r="F763" s="15"/>
      <c r="G763" s="15"/>
      <c r="H763" s="15"/>
      <c r="I763" s="172"/>
      <c r="J763" s="202">
        <f t="shared" ref="J763:J770" si="177">I763</f>
        <v>0</v>
      </c>
      <c r="K763" s="94">
        <f t="shared" si="165"/>
        <v>0</v>
      </c>
      <c r="L763" s="16"/>
      <c r="M763" s="17"/>
      <c r="N763" s="17"/>
      <c r="O763" s="18">
        <f t="shared" ref="O763:O770" si="178">M763*J763</f>
        <v>0</v>
      </c>
      <c r="P763" s="18">
        <f t="shared" ref="P763:P770" si="179">N763*J763</f>
        <v>0</v>
      </c>
      <c r="Q763" s="8">
        <f t="shared" ref="Q763:Q770" si="180">(M763*J763)+(N763*J763)</f>
        <v>0</v>
      </c>
    </row>
    <row r="764" spans="1:17" ht="23.25" customHeight="1" x14ac:dyDescent="0.5">
      <c r="A764" s="77"/>
      <c r="B764" s="78" t="s">
        <v>21</v>
      </c>
      <c r="C764" s="100" t="s">
        <v>172</v>
      </c>
      <c r="D764" s="14" t="s">
        <v>193</v>
      </c>
      <c r="E764" s="15"/>
      <c r="F764" s="15"/>
      <c r="G764" s="15"/>
      <c r="H764" s="15"/>
      <c r="I764" s="172"/>
      <c r="J764" s="202">
        <f t="shared" si="177"/>
        <v>0</v>
      </c>
      <c r="K764" s="94">
        <f t="shared" si="165"/>
        <v>0</v>
      </c>
      <c r="L764" s="16"/>
      <c r="M764" s="17"/>
      <c r="N764" s="17"/>
      <c r="O764" s="18">
        <f t="shared" si="178"/>
        <v>0</v>
      </c>
      <c r="P764" s="18">
        <f t="shared" si="179"/>
        <v>0</v>
      </c>
      <c r="Q764" s="8">
        <f t="shared" si="180"/>
        <v>0</v>
      </c>
    </row>
    <row r="765" spans="1:17" ht="23.25" customHeight="1" x14ac:dyDescent="0.5">
      <c r="A765" s="77"/>
      <c r="B765" s="78" t="s">
        <v>21</v>
      </c>
      <c r="C765" s="100" t="s">
        <v>172</v>
      </c>
      <c r="D765" s="14" t="s">
        <v>193</v>
      </c>
      <c r="E765" s="15"/>
      <c r="F765" s="15"/>
      <c r="G765" s="15"/>
      <c r="H765" s="15"/>
      <c r="I765" s="172"/>
      <c r="J765" s="202">
        <f t="shared" si="177"/>
        <v>0</v>
      </c>
      <c r="K765" s="94">
        <f t="shared" si="165"/>
        <v>0</v>
      </c>
      <c r="L765" s="16"/>
      <c r="M765" s="17"/>
      <c r="N765" s="17"/>
      <c r="O765" s="18">
        <f t="shared" si="178"/>
        <v>0</v>
      </c>
      <c r="P765" s="18">
        <f t="shared" si="179"/>
        <v>0</v>
      </c>
      <c r="Q765" s="8">
        <f t="shared" si="180"/>
        <v>0</v>
      </c>
    </row>
    <row r="766" spans="1:17" ht="23.25" customHeight="1" x14ac:dyDescent="0.5">
      <c r="A766" s="77"/>
      <c r="B766" s="78" t="s">
        <v>21</v>
      </c>
      <c r="C766" s="100" t="s">
        <v>172</v>
      </c>
      <c r="D766" s="14" t="s">
        <v>193</v>
      </c>
      <c r="E766" s="15"/>
      <c r="F766" s="15"/>
      <c r="G766" s="15"/>
      <c r="H766" s="15"/>
      <c r="I766" s="172"/>
      <c r="J766" s="202">
        <f t="shared" si="177"/>
        <v>0</v>
      </c>
      <c r="K766" s="94">
        <f t="shared" si="165"/>
        <v>0</v>
      </c>
      <c r="L766" s="16"/>
      <c r="M766" s="17"/>
      <c r="N766" s="17"/>
      <c r="O766" s="18">
        <f t="shared" si="178"/>
        <v>0</v>
      </c>
      <c r="P766" s="18">
        <f t="shared" si="179"/>
        <v>0</v>
      </c>
      <c r="Q766" s="8">
        <f t="shared" si="180"/>
        <v>0</v>
      </c>
    </row>
    <row r="767" spans="1:17" ht="23.25" customHeight="1" x14ac:dyDescent="0.5">
      <c r="A767" s="77"/>
      <c r="B767" s="78" t="s">
        <v>21</v>
      </c>
      <c r="C767" s="100" t="s">
        <v>172</v>
      </c>
      <c r="D767" s="14" t="s">
        <v>193</v>
      </c>
      <c r="E767" s="15"/>
      <c r="F767" s="15"/>
      <c r="G767" s="15"/>
      <c r="H767" s="15"/>
      <c r="I767" s="172"/>
      <c r="J767" s="202">
        <f t="shared" si="177"/>
        <v>0</v>
      </c>
      <c r="K767" s="94">
        <f t="shared" si="165"/>
        <v>0</v>
      </c>
      <c r="L767" s="16"/>
      <c r="M767" s="17"/>
      <c r="N767" s="17"/>
      <c r="O767" s="18">
        <f t="shared" si="178"/>
        <v>0</v>
      </c>
      <c r="P767" s="18">
        <f t="shared" si="179"/>
        <v>0</v>
      </c>
      <c r="Q767" s="8">
        <f t="shared" si="180"/>
        <v>0</v>
      </c>
    </row>
    <row r="768" spans="1:17" ht="23.25" customHeight="1" x14ac:dyDescent="0.5">
      <c r="A768" s="77"/>
      <c r="B768" s="78" t="s">
        <v>21</v>
      </c>
      <c r="C768" s="100" t="s">
        <v>172</v>
      </c>
      <c r="D768" s="14" t="s">
        <v>193</v>
      </c>
      <c r="E768" s="15"/>
      <c r="F768" s="15"/>
      <c r="G768" s="15"/>
      <c r="H768" s="15"/>
      <c r="I768" s="172"/>
      <c r="J768" s="202">
        <f t="shared" si="177"/>
        <v>0</v>
      </c>
      <c r="K768" s="94">
        <f t="shared" si="165"/>
        <v>0</v>
      </c>
      <c r="L768" s="16"/>
      <c r="M768" s="17"/>
      <c r="N768" s="17"/>
      <c r="O768" s="18">
        <f t="shared" si="178"/>
        <v>0</v>
      </c>
      <c r="P768" s="18">
        <f t="shared" si="179"/>
        <v>0</v>
      </c>
      <c r="Q768" s="8">
        <f t="shared" si="180"/>
        <v>0</v>
      </c>
    </row>
    <row r="769" spans="1:17" ht="23.25" customHeight="1" x14ac:dyDescent="0.5">
      <c r="A769" s="77"/>
      <c r="B769" s="78" t="s">
        <v>21</v>
      </c>
      <c r="C769" s="100" t="s">
        <v>172</v>
      </c>
      <c r="D769" s="14" t="s">
        <v>193</v>
      </c>
      <c r="E769" s="15"/>
      <c r="F769" s="15"/>
      <c r="G769" s="15"/>
      <c r="H769" s="15"/>
      <c r="I769" s="172"/>
      <c r="J769" s="202">
        <f t="shared" si="177"/>
        <v>0</v>
      </c>
      <c r="K769" s="94">
        <f t="shared" si="165"/>
        <v>0</v>
      </c>
      <c r="L769" s="16"/>
      <c r="M769" s="17"/>
      <c r="N769" s="17"/>
      <c r="O769" s="18">
        <f t="shared" si="178"/>
        <v>0</v>
      </c>
      <c r="P769" s="18">
        <f t="shared" si="179"/>
        <v>0</v>
      </c>
      <c r="Q769" s="8">
        <f t="shared" si="180"/>
        <v>0</v>
      </c>
    </row>
    <row r="770" spans="1:17" ht="23.25" customHeight="1" x14ac:dyDescent="0.5">
      <c r="A770" s="77"/>
      <c r="B770" s="78" t="s">
        <v>21</v>
      </c>
      <c r="C770" s="100" t="s">
        <v>172</v>
      </c>
      <c r="D770" s="14" t="s">
        <v>193</v>
      </c>
      <c r="E770" s="15"/>
      <c r="F770" s="15"/>
      <c r="G770" s="15"/>
      <c r="H770" s="15"/>
      <c r="I770" s="172"/>
      <c r="J770" s="202">
        <f t="shared" si="177"/>
        <v>0</v>
      </c>
      <c r="K770" s="94">
        <f t="shared" si="165"/>
        <v>0</v>
      </c>
      <c r="L770" s="16"/>
      <c r="M770" s="17"/>
      <c r="N770" s="17"/>
      <c r="O770" s="18">
        <f t="shared" si="178"/>
        <v>0</v>
      </c>
      <c r="P770" s="18">
        <f t="shared" si="179"/>
        <v>0</v>
      </c>
      <c r="Q770" s="8">
        <f t="shared" si="180"/>
        <v>0</v>
      </c>
    </row>
    <row r="771" spans="1:17" ht="18" customHeight="1" x14ac:dyDescent="0.55000000000000004">
      <c r="A771" s="77">
        <v>160</v>
      </c>
      <c r="B771" s="78" t="s">
        <v>21</v>
      </c>
      <c r="C771" s="100" t="s">
        <v>172</v>
      </c>
      <c r="D771" s="106" t="s">
        <v>194</v>
      </c>
      <c r="E771" s="87"/>
      <c r="F771" s="87"/>
      <c r="G771" s="87"/>
      <c r="H771" s="107"/>
      <c r="I771" s="165"/>
      <c r="J771" s="203"/>
      <c r="K771" s="94">
        <f t="shared" si="165"/>
        <v>0</v>
      </c>
      <c r="L771" s="109"/>
      <c r="M771" s="109"/>
      <c r="N771" s="109"/>
      <c r="O771" s="19"/>
      <c r="P771" s="19"/>
      <c r="Q771" s="9"/>
    </row>
    <row r="772" spans="1:17" ht="23.25" customHeight="1" x14ac:dyDescent="0.5">
      <c r="A772" s="77">
        <v>161</v>
      </c>
      <c r="B772" s="78" t="s">
        <v>21</v>
      </c>
      <c r="C772" s="100" t="s">
        <v>172</v>
      </c>
      <c r="D772" s="14" t="s">
        <v>193</v>
      </c>
      <c r="E772" s="15"/>
      <c r="F772" s="15"/>
      <c r="G772" s="15"/>
      <c r="H772" s="15"/>
      <c r="I772" s="172"/>
      <c r="J772" s="202">
        <f>I772</f>
        <v>0</v>
      </c>
      <c r="K772" s="94">
        <f t="shared" si="165"/>
        <v>0</v>
      </c>
      <c r="L772" s="16"/>
      <c r="M772" s="17"/>
      <c r="N772" s="17"/>
      <c r="O772" s="18">
        <f t="shared" ref="O772:O781" si="181">M772*J772</f>
        <v>0</v>
      </c>
      <c r="P772" s="18">
        <f t="shared" ref="P772:P781" si="182">N772*J772</f>
        <v>0</v>
      </c>
      <c r="Q772" s="8">
        <f t="shared" ref="Q772:Q781" si="183">(M772*J772)+(N772*J772)</f>
        <v>0</v>
      </c>
    </row>
    <row r="773" spans="1:17" ht="23.25" customHeight="1" x14ac:dyDescent="0.5">
      <c r="A773" s="77">
        <v>162</v>
      </c>
      <c r="B773" s="78" t="s">
        <v>21</v>
      </c>
      <c r="C773" s="100" t="s">
        <v>172</v>
      </c>
      <c r="D773" s="14" t="s">
        <v>193</v>
      </c>
      <c r="E773" s="15"/>
      <c r="F773" s="15"/>
      <c r="G773" s="15"/>
      <c r="H773" s="15"/>
      <c r="I773" s="172"/>
      <c r="J773" s="202">
        <f>I773</f>
        <v>0</v>
      </c>
      <c r="K773" s="94">
        <f t="shared" si="165"/>
        <v>0</v>
      </c>
      <c r="L773" s="16"/>
      <c r="M773" s="17"/>
      <c r="N773" s="17"/>
      <c r="O773" s="18">
        <f t="shared" si="181"/>
        <v>0</v>
      </c>
      <c r="P773" s="18">
        <f t="shared" si="182"/>
        <v>0</v>
      </c>
      <c r="Q773" s="8">
        <f t="shared" si="183"/>
        <v>0</v>
      </c>
    </row>
    <row r="774" spans="1:17" ht="23.25" customHeight="1" x14ac:dyDescent="0.5">
      <c r="A774" s="77">
        <v>163</v>
      </c>
      <c r="B774" s="78" t="s">
        <v>21</v>
      </c>
      <c r="C774" s="100" t="s">
        <v>172</v>
      </c>
      <c r="D774" s="14" t="s">
        <v>193</v>
      </c>
      <c r="E774" s="15"/>
      <c r="F774" s="15"/>
      <c r="G774" s="15"/>
      <c r="H774" s="15"/>
      <c r="I774" s="172"/>
      <c r="J774" s="202">
        <f t="shared" ref="J774:J778" si="184">I774</f>
        <v>0</v>
      </c>
      <c r="K774" s="94">
        <f t="shared" si="165"/>
        <v>0</v>
      </c>
      <c r="L774" s="16"/>
      <c r="M774" s="17"/>
      <c r="N774" s="17"/>
      <c r="O774" s="18">
        <f t="shared" si="181"/>
        <v>0</v>
      </c>
      <c r="P774" s="18">
        <f t="shared" si="182"/>
        <v>0</v>
      </c>
      <c r="Q774" s="8">
        <f t="shared" si="183"/>
        <v>0</v>
      </c>
    </row>
    <row r="775" spans="1:17" ht="23.25" customHeight="1" x14ac:dyDescent="0.5">
      <c r="A775" s="77">
        <v>164</v>
      </c>
      <c r="B775" s="78" t="s">
        <v>21</v>
      </c>
      <c r="C775" s="100" t="s">
        <v>172</v>
      </c>
      <c r="D775" s="14" t="s">
        <v>193</v>
      </c>
      <c r="E775" s="15"/>
      <c r="F775" s="15"/>
      <c r="G775" s="15"/>
      <c r="H775" s="15"/>
      <c r="I775" s="172"/>
      <c r="J775" s="202">
        <f t="shared" si="184"/>
        <v>0</v>
      </c>
      <c r="K775" s="94">
        <f t="shared" si="165"/>
        <v>0</v>
      </c>
      <c r="L775" s="16"/>
      <c r="M775" s="17"/>
      <c r="N775" s="17"/>
      <c r="O775" s="18">
        <f t="shared" si="181"/>
        <v>0</v>
      </c>
      <c r="P775" s="18">
        <f t="shared" si="182"/>
        <v>0</v>
      </c>
      <c r="Q775" s="8">
        <f t="shared" si="183"/>
        <v>0</v>
      </c>
    </row>
    <row r="776" spans="1:17" ht="23.25" customHeight="1" x14ac:dyDescent="0.5">
      <c r="A776" s="77">
        <v>165</v>
      </c>
      <c r="B776" s="78" t="s">
        <v>21</v>
      </c>
      <c r="C776" s="100" t="s">
        <v>172</v>
      </c>
      <c r="D776" s="14" t="s">
        <v>193</v>
      </c>
      <c r="E776" s="15"/>
      <c r="F776" s="15"/>
      <c r="G776" s="15"/>
      <c r="H776" s="15"/>
      <c r="I776" s="172"/>
      <c r="J776" s="202">
        <f t="shared" si="184"/>
        <v>0</v>
      </c>
      <c r="K776" s="94">
        <f t="shared" si="165"/>
        <v>0</v>
      </c>
      <c r="L776" s="16"/>
      <c r="M776" s="17"/>
      <c r="N776" s="17"/>
      <c r="O776" s="18">
        <f t="shared" si="181"/>
        <v>0</v>
      </c>
      <c r="P776" s="18">
        <f t="shared" si="182"/>
        <v>0</v>
      </c>
      <c r="Q776" s="8">
        <f t="shared" si="183"/>
        <v>0</v>
      </c>
    </row>
    <row r="777" spans="1:17" ht="23.25" customHeight="1" x14ac:dyDescent="0.5">
      <c r="A777" s="77">
        <v>166</v>
      </c>
      <c r="B777" s="78" t="s">
        <v>21</v>
      </c>
      <c r="C777" s="100" t="s">
        <v>172</v>
      </c>
      <c r="D777" s="14" t="s">
        <v>193</v>
      </c>
      <c r="E777" s="15"/>
      <c r="F777" s="15"/>
      <c r="G777" s="15"/>
      <c r="H777" s="15"/>
      <c r="I777" s="172"/>
      <c r="J777" s="202">
        <f t="shared" si="184"/>
        <v>0</v>
      </c>
      <c r="K777" s="94">
        <f t="shared" si="165"/>
        <v>0</v>
      </c>
      <c r="L777" s="16"/>
      <c r="M777" s="17"/>
      <c r="N777" s="17"/>
      <c r="O777" s="18">
        <f t="shared" si="181"/>
        <v>0</v>
      </c>
      <c r="P777" s="18">
        <f t="shared" si="182"/>
        <v>0</v>
      </c>
      <c r="Q777" s="8">
        <f t="shared" si="183"/>
        <v>0</v>
      </c>
    </row>
    <row r="778" spans="1:17" ht="23.25" customHeight="1" x14ac:dyDescent="0.5">
      <c r="A778" s="77">
        <v>167</v>
      </c>
      <c r="B778" s="78" t="s">
        <v>21</v>
      </c>
      <c r="C778" s="100" t="s">
        <v>172</v>
      </c>
      <c r="D778" s="14" t="s">
        <v>193</v>
      </c>
      <c r="E778" s="15"/>
      <c r="F778" s="15"/>
      <c r="G778" s="15"/>
      <c r="H778" s="15"/>
      <c r="I778" s="172"/>
      <c r="J778" s="202">
        <f t="shared" si="184"/>
        <v>0</v>
      </c>
      <c r="K778" s="94">
        <f t="shared" si="165"/>
        <v>0</v>
      </c>
      <c r="L778" s="16"/>
      <c r="M778" s="17"/>
      <c r="N778" s="17"/>
      <c r="O778" s="18">
        <f t="shared" si="181"/>
        <v>0</v>
      </c>
      <c r="P778" s="18">
        <f t="shared" si="182"/>
        <v>0</v>
      </c>
      <c r="Q778" s="8">
        <f t="shared" si="183"/>
        <v>0</v>
      </c>
    </row>
    <row r="779" spans="1:17" ht="23.25" customHeight="1" x14ac:dyDescent="0.5">
      <c r="A779" s="77">
        <v>168</v>
      </c>
      <c r="B779" s="78" t="s">
        <v>21</v>
      </c>
      <c r="C779" s="100" t="s">
        <v>172</v>
      </c>
      <c r="D779" s="14" t="s">
        <v>193</v>
      </c>
      <c r="E779" s="15"/>
      <c r="F779" s="15"/>
      <c r="G779" s="15"/>
      <c r="H779" s="15"/>
      <c r="I779" s="172"/>
      <c r="J779" s="202">
        <f>I779</f>
        <v>0</v>
      </c>
      <c r="K779" s="94">
        <f t="shared" si="165"/>
        <v>0</v>
      </c>
      <c r="L779" s="16"/>
      <c r="M779" s="17"/>
      <c r="N779" s="17"/>
      <c r="O779" s="18">
        <f t="shared" si="181"/>
        <v>0</v>
      </c>
      <c r="P779" s="18">
        <f t="shared" si="182"/>
        <v>0</v>
      </c>
      <c r="Q779" s="8">
        <f t="shared" si="183"/>
        <v>0</v>
      </c>
    </row>
    <row r="780" spans="1:17" ht="23.25" customHeight="1" x14ac:dyDescent="0.5">
      <c r="A780" s="77">
        <v>169</v>
      </c>
      <c r="B780" s="78" t="s">
        <v>21</v>
      </c>
      <c r="C780" s="100" t="s">
        <v>172</v>
      </c>
      <c r="D780" s="14" t="s">
        <v>193</v>
      </c>
      <c r="E780" s="15"/>
      <c r="F780" s="15"/>
      <c r="G780" s="15"/>
      <c r="H780" s="15"/>
      <c r="I780" s="172"/>
      <c r="J780" s="202">
        <f>I780</f>
        <v>0</v>
      </c>
      <c r="K780" s="94">
        <f t="shared" si="165"/>
        <v>0</v>
      </c>
      <c r="L780" s="16"/>
      <c r="M780" s="17"/>
      <c r="N780" s="17"/>
      <c r="O780" s="18">
        <f t="shared" si="181"/>
        <v>0</v>
      </c>
      <c r="P780" s="18">
        <f t="shared" si="182"/>
        <v>0</v>
      </c>
      <c r="Q780" s="8">
        <f t="shared" si="183"/>
        <v>0</v>
      </c>
    </row>
    <row r="781" spans="1:17" ht="23.25" customHeight="1" x14ac:dyDescent="0.5">
      <c r="A781" s="77">
        <v>170</v>
      </c>
      <c r="B781" s="78" t="s">
        <v>21</v>
      </c>
      <c r="C781" s="100" t="s">
        <v>172</v>
      </c>
      <c r="D781" s="14" t="s">
        <v>193</v>
      </c>
      <c r="E781" s="15"/>
      <c r="F781" s="15"/>
      <c r="G781" s="15"/>
      <c r="H781" s="15"/>
      <c r="I781" s="172"/>
      <c r="J781" s="202">
        <f>I781</f>
        <v>0</v>
      </c>
      <c r="K781" s="94">
        <f t="shared" ref="K781:K844" si="185">+J781-I781</f>
        <v>0</v>
      </c>
      <c r="L781" s="16"/>
      <c r="M781" s="17"/>
      <c r="N781" s="17"/>
      <c r="O781" s="18">
        <f t="shared" si="181"/>
        <v>0</v>
      </c>
      <c r="P781" s="18">
        <f t="shared" si="182"/>
        <v>0</v>
      </c>
      <c r="Q781" s="8">
        <f t="shared" si="183"/>
        <v>0</v>
      </c>
    </row>
    <row r="782" spans="1:17" ht="18" customHeight="1" x14ac:dyDescent="0.55000000000000004">
      <c r="A782" s="77">
        <v>171</v>
      </c>
      <c r="B782" s="78" t="s">
        <v>196</v>
      </c>
      <c r="C782" s="100" t="s">
        <v>196</v>
      </c>
      <c r="D782" s="80" t="s">
        <v>196</v>
      </c>
      <c r="E782" s="81"/>
      <c r="F782" s="81"/>
      <c r="G782" s="81"/>
      <c r="H782" s="82"/>
      <c r="I782" s="83"/>
      <c r="J782" s="200"/>
      <c r="K782" s="94">
        <f t="shared" si="185"/>
        <v>0</v>
      </c>
      <c r="L782" s="84"/>
      <c r="M782" s="84"/>
      <c r="N782" s="84"/>
      <c r="O782" s="26"/>
      <c r="P782" s="26"/>
      <c r="Q782" s="7"/>
    </row>
    <row r="783" spans="1:17" ht="18" customHeight="1" x14ac:dyDescent="0.55000000000000004">
      <c r="A783" s="77">
        <v>172</v>
      </c>
      <c r="B783" s="78" t="s">
        <v>196</v>
      </c>
      <c r="C783" s="100" t="s">
        <v>196</v>
      </c>
      <c r="D783" s="106" t="s">
        <v>197</v>
      </c>
      <c r="E783" s="87"/>
      <c r="F783" s="87"/>
      <c r="G783" s="87"/>
      <c r="H783" s="107"/>
      <c r="I783" s="165"/>
      <c r="J783" s="203"/>
      <c r="K783" s="94">
        <f t="shared" si="185"/>
        <v>0</v>
      </c>
      <c r="L783" s="109"/>
      <c r="M783" s="109"/>
      <c r="N783" s="109"/>
      <c r="O783" s="19"/>
      <c r="P783" s="19"/>
      <c r="Q783" s="9"/>
    </row>
    <row r="784" spans="1:17" ht="23.25" customHeight="1" x14ac:dyDescent="0.5">
      <c r="A784" s="77">
        <v>173</v>
      </c>
      <c r="B784" s="78" t="s">
        <v>196</v>
      </c>
      <c r="C784" s="100" t="s">
        <v>446</v>
      </c>
      <c r="D784" s="14" t="s">
        <v>193</v>
      </c>
      <c r="E784" s="15"/>
      <c r="F784" s="15"/>
      <c r="G784" s="15"/>
      <c r="H784" s="15"/>
      <c r="I784" s="172"/>
      <c r="J784" s="202">
        <f>I784</f>
        <v>0</v>
      </c>
      <c r="K784" s="94">
        <f t="shared" si="185"/>
        <v>0</v>
      </c>
      <c r="L784" s="16"/>
      <c r="M784" s="17"/>
      <c r="N784" s="17"/>
      <c r="O784" s="18">
        <f t="shared" ref="O784:O793" si="186">M784*J784</f>
        <v>0</v>
      </c>
      <c r="P784" s="18">
        <f t="shared" ref="P784:P793" si="187">N784*J784</f>
        <v>0</v>
      </c>
      <c r="Q784" s="8">
        <f t="shared" ref="Q784:Q793" si="188">(M784*J784)+(N784*J784)</f>
        <v>0</v>
      </c>
    </row>
    <row r="785" spans="1:17" ht="23.25" customHeight="1" x14ac:dyDescent="0.5">
      <c r="A785" s="77">
        <v>174</v>
      </c>
      <c r="B785" s="78" t="s">
        <v>196</v>
      </c>
      <c r="C785" s="100" t="s">
        <v>446</v>
      </c>
      <c r="D785" s="14" t="s">
        <v>193</v>
      </c>
      <c r="E785" s="15"/>
      <c r="F785" s="15"/>
      <c r="G785" s="15"/>
      <c r="H785" s="15"/>
      <c r="I785" s="172"/>
      <c r="J785" s="202">
        <f>I785</f>
        <v>0</v>
      </c>
      <c r="K785" s="94">
        <f t="shared" si="185"/>
        <v>0</v>
      </c>
      <c r="L785" s="16"/>
      <c r="M785" s="17"/>
      <c r="N785" s="17"/>
      <c r="O785" s="18">
        <f t="shared" si="186"/>
        <v>0</v>
      </c>
      <c r="P785" s="18">
        <f t="shared" si="187"/>
        <v>0</v>
      </c>
      <c r="Q785" s="8">
        <f t="shared" si="188"/>
        <v>0</v>
      </c>
    </row>
    <row r="786" spans="1:17" ht="23.25" customHeight="1" x14ac:dyDescent="0.5">
      <c r="A786" s="77">
        <v>175</v>
      </c>
      <c r="B786" s="78" t="s">
        <v>196</v>
      </c>
      <c r="C786" s="100" t="s">
        <v>446</v>
      </c>
      <c r="D786" s="14" t="s">
        <v>193</v>
      </c>
      <c r="E786" s="15"/>
      <c r="F786" s="15"/>
      <c r="G786" s="15"/>
      <c r="H786" s="15"/>
      <c r="I786" s="172"/>
      <c r="J786" s="202">
        <f t="shared" ref="J786:J790" si="189">I786</f>
        <v>0</v>
      </c>
      <c r="K786" s="94">
        <f t="shared" si="185"/>
        <v>0</v>
      </c>
      <c r="L786" s="16"/>
      <c r="M786" s="17"/>
      <c r="N786" s="17"/>
      <c r="O786" s="18">
        <f t="shared" si="186"/>
        <v>0</v>
      </c>
      <c r="P786" s="18">
        <f t="shared" si="187"/>
        <v>0</v>
      </c>
      <c r="Q786" s="8">
        <f t="shared" si="188"/>
        <v>0</v>
      </c>
    </row>
    <row r="787" spans="1:17" ht="23.25" customHeight="1" x14ac:dyDescent="0.5">
      <c r="A787" s="77">
        <v>176</v>
      </c>
      <c r="B787" s="78" t="s">
        <v>196</v>
      </c>
      <c r="C787" s="100" t="s">
        <v>446</v>
      </c>
      <c r="D787" s="14" t="s">
        <v>193</v>
      </c>
      <c r="E787" s="15"/>
      <c r="F787" s="15"/>
      <c r="G787" s="15"/>
      <c r="H787" s="15"/>
      <c r="I787" s="172"/>
      <c r="J787" s="202">
        <f t="shared" si="189"/>
        <v>0</v>
      </c>
      <c r="K787" s="94">
        <f t="shared" si="185"/>
        <v>0</v>
      </c>
      <c r="L787" s="16"/>
      <c r="M787" s="17"/>
      <c r="N787" s="17"/>
      <c r="O787" s="18">
        <f t="shared" si="186"/>
        <v>0</v>
      </c>
      <c r="P787" s="18">
        <f t="shared" si="187"/>
        <v>0</v>
      </c>
      <c r="Q787" s="8">
        <f t="shared" si="188"/>
        <v>0</v>
      </c>
    </row>
    <row r="788" spans="1:17" ht="23.25" customHeight="1" x14ac:dyDescent="0.5">
      <c r="A788" s="77">
        <v>177</v>
      </c>
      <c r="B788" s="78" t="s">
        <v>196</v>
      </c>
      <c r="C788" s="100" t="s">
        <v>446</v>
      </c>
      <c r="D788" s="14" t="s">
        <v>193</v>
      </c>
      <c r="E788" s="15"/>
      <c r="F788" s="15"/>
      <c r="G788" s="15"/>
      <c r="H788" s="15"/>
      <c r="I788" s="172"/>
      <c r="J788" s="202">
        <f t="shared" si="189"/>
        <v>0</v>
      </c>
      <c r="K788" s="94">
        <f t="shared" si="185"/>
        <v>0</v>
      </c>
      <c r="L788" s="16"/>
      <c r="M788" s="17"/>
      <c r="N788" s="17"/>
      <c r="O788" s="18">
        <f t="shared" si="186"/>
        <v>0</v>
      </c>
      <c r="P788" s="18">
        <f t="shared" si="187"/>
        <v>0</v>
      </c>
      <c r="Q788" s="8">
        <f t="shared" si="188"/>
        <v>0</v>
      </c>
    </row>
    <row r="789" spans="1:17" ht="23.25" customHeight="1" x14ac:dyDescent="0.5">
      <c r="A789" s="77">
        <v>178</v>
      </c>
      <c r="B789" s="78" t="s">
        <v>196</v>
      </c>
      <c r="C789" s="100" t="s">
        <v>446</v>
      </c>
      <c r="D789" s="14" t="s">
        <v>193</v>
      </c>
      <c r="E789" s="15"/>
      <c r="F789" s="15"/>
      <c r="G789" s="15"/>
      <c r="H789" s="15"/>
      <c r="I789" s="172"/>
      <c r="J789" s="202">
        <f t="shared" si="189"/>
        <v>0</v>
      </c>
      <c r="K789" s="94">
        <f t="shared" si="185"/>
        <v>0</v>
      </c>
      <c r="L789" s="16"/>
      <c r="M789" s="17"/>
      <c r="N789" s="17"/>
      <c r="O789" s="18">
        <f t="shared" si="186"/>
        <v>0</v>
      </c>
      <c r="P789" s="18">
        <f t="shared" si="187"/>
        <v>0</v>
      </c>
      <c r="Q789" s="8">
        <f t="shared" si="188"/>
        <v>0</v>
      </c>
    </row>
    <row r="790" spans="1:17" ht="23.25" customHeight="1" x14ac:dyDescent="0.5">
      <c r="A790" s="77">
        <v>179</v>
      </c>
      <c r="B790" s="78" t="s">
        <v>196</v>
      </c>
      <c r="C790" s="100" t="s">
        <v>446</v>
      </c>
      <c r="D790" s="14" t="s">
        <v>193</v>
      </c>
      <c r="E790" s="15"/>
      <c r="F790" s="15"/>
      <c r="G790" s="15"/>
      <c r="H790" s="15"/>
      <c r="I790" s="172"/>
      <c r="J790" s="202">
        <f t="shared" si="189"/>
        <v>0</v>
      </c>
      <c r="K790" s="94">
        <f t="shared" si="185"/>
        <v>0</v>
      </c>
      <c r="L790" s="16"/>
      <c r="M790" s="17"/>
      <c r="N790" s="17"/>
      <c r="O790" s="18">
        <f t="shared" si="186"/>
        <v>0</v>
      </c>
      <c r="P790" s="18">
        <f t="shared" si="187"/>
        <v>0</v>
      </c>
      <c r="Q790" s="8">
        <f t="shared" si="188"/>
        <v>0</v>
      </c>
    </row>
    <row r="791" spans="1:17" ht="23.25" customHeight="1" x14ac:dyDescent="0.5">
      <c r="A791" s="77">
        <v>180</v>
      </c>
      <c r="B791" s="78" t="s">
        <v>196</v>
      </c>
      <c r="C791" s="100" t="s">
        <v>446</v>
      </c>
      <c r="D791" s="14" t="s">
        <v>193</v>
      </c>
      <c r="E791" s="15"/>
      <c r="F791" s="15"/>
      <c r="G791" s="15"/>
      <c r="H791" s="15"/>
      <c r="I791" s="172"/>
      <c r="J791" s="202">
        <f>I791</f>
        <v>0</v>
      </c>
      <c r="K791" s="94">
        <f t="shared" si="185"/>
        <v>0</v>
      </c>
      <c r="L791" s="16"/>
      <c r="M791" s="17"/>
      <c r="N791" s="17"/>
      <c r="O791" s="18">
        <f t="shared" si="186"/>
        <v>0</v>
      </c>
      <c r="P791" s="18">
        <f t="shared" si="187"/>
        <v>0</v>
      </c>
      <c r="Q791" s="8">
        <f t="shared" si="188"/>
        <v>0</v>
      </c>
    </row>
    <row r="792" spans="1:17" ht="23.25" customHeight="1" x14ac:dyDescent="0.5">
      <c r="A792" s="77">
        <v>181</v>
      </c>
      <c r="B792" s="78" t="s">
        <v>196</v>
      </c>
      <c r="C792" s="100" t="s">
        <v>446</v>
      </c>
      <c r="D792" s="14" t="s">
        <v>193</v>
      </c>
      <c r="E792" s="15"/>
      <c r="F792" s="15"/>
      <c r="G792" s="15"/>
      <c r="H792" s="15"/>
      <c r="I792" s="172"/>
      <c r="J792" s="202">
        <f>I792</f>
        <v>0</v>
      </c>
      <c r="K792" s="94">
        <f t="shared" si="185"/>
        <v>0</v>
      </c>
      <c r="L792" s="16"/>
      <c r="M792" s="17"/>
      <c r="N792" s="17"/>
      <c r="O792" s="18">
        <f t="shared" si="186"/>
        <v>0</v>
      </c>
      <c r="P792" s="18">
        <f t="shared" si="187"/>
        <v>0</v>
      </c>
      <c r="Q792" s="8">
        <f t="shared" si="188"/>
        <v>0</v>
      </c>
    </row>
    <row r="793" spans="1:17" ht="23.25" customHeight="1" x14ac:dyDescent="0.5">
      <c r="A793" s="77">
        <v>182</v>
      </c>
      <c r="B793" s="78" t="s">
        <v>196</v>
      </c>
      <c r="C793" s="100" t="s">
        <v>446</v>
      </c>
      <c r="D793" s="14" t="s">
        <v>193</v>
      </c>
      <c r="E793" s="15"/>
      <c r="F793" s="15"/>
      <c r="G793" s="15"/>
      <c r="H793" s="15"/>
      <c r="I793" s="172"/>
      <c r="J793" s="202">
        <f>I793</f>
        <v>0</v>
      </c>
      <c r="K793" s="94">
        <f t="shared" si="185"/>
        <v>0</v>
      </c>
      <c r="L793" s="16"/>
      <c r="M793" s="17"/>
      <c r="N793" s="17"/>
      <c r="O793" s="18">
        <f t="shared" si="186"/>
        <v>0</v>
      </c>
      <c r="P793" s="18">
        <f t="shared" si="187"/>
        <v>0</v>
      </c>
      <c r="Q793" s="8">
        <f t="shared" si="188"/>
        <v>0</v>
      </c>
    </row>
    <row r="794" spans="1:17" ht="18" customHeight="1" x14ac:dyDescent="0.55000000000000004">
      <c r="A794" s="77">
        <v>183</v>
      </c>
      <c r="B794" s="78" t="s">
        <v>196</v>
      </c>
      <c r="C794" s="100" t="s">
        <v>446</v>
      </c>
      <c r="D794" s="106" t="s">
        <v>208</v>
      </c>
      <c r="E794" s="87"/>
      <c r="F794" s="87"/>
      <c r="G794" s="87"/>
      <c r="H794" s="107"/>
      <c r="I794" s="165"/>
      <c r="J794" s="203"/>
      <c r="K794" s="94">
        <f t="shared" si="185"/>
        <v>0</v>
      </c>
      <c r="L794" s="109"/>
      <c r="M794" s="108"/>
      <c r="N794" s="108"/>
      <c r="O794" s="19"/>
      <c r="P794" s="19"/>
      <c r="Q794" s="9"/>
    </row>
    <row r="795" spans="1:17" ht="23.15" customHeight="1" x14ac:dyDescent="0.5">
      <c r="A795" s="77">
        <v>184</v>
      </c>
      <c r="B795" s="78" t="s">
        <v>196</v>
      </c>
      <c r="C795" s="100" t="s">
        <v>447</v>
      </c>
      <c r="D795" s="14" t="s">
        <v>193</v>
      </c>
      <c r="E795" s="15"/>
      <c r="F795" s="15"/>
      <c r="G795" s="15"/>
      <c r="H795" s="15"/>
      <c r="I795" s="172"/>
      <c r="J795" s="202">
        <f>I795</f>
        <v>0</v>
      </c>
      <c r="K795" s="94">
        <f t="shared" si="185"/>
        <v>0</v>
      </c>
      <c r="L795" s="16"/>
      <c r="M795" s="17"/>
      <c r="N795" s="17"/>
      <c r="O795" s="18">
        <f t="shared" ref="O795:O804" si="190">M795*J795</f>
        <v>0</v>
      </c>
      <c r="P795" s="18">
        <f t="shared" ref="P795:P804" si="191">N795*J795</f>
        <v>0</v>
      </c>
      <c r="Q795" s="8">
        <f t="shared" ref="Q795:Q804" si="192">(M795*J795)+(N795*J795)</f>
        <v>0</v>
      </c>
    </row>
    <row r="796" spans="1:17" ht="23.25" customHeight="1" x14ac:dyDescent="0.5">
      <c r="A796" s="77">
        <v>185</v>
      </c>
      <c r="B796" s="78" t="s">
        <v>196</v>
      </c>
      <c r="C796" s="100" t="s">
        <v>447</v>
      </c>
      <c r="D796" s="14" t="s">
        <v>193</v>
      </c>
      <c r="E796" s="15"/>
      <c r="F796" s="15"/>
      <c r="G796" s="15"/>
      <c r="H796" s="15"/>
      <c r="I796" s="172"/>
      <c r="J796" s="202">
        <f>I796</f>
        <v>0</v>
      </c>
      <c r="K796" s="94">
        <f t="shared" si="185"/>
        <v>0</v>
      </c>
      <c r="L796" s="16"/>
      <c r="M796" s="17"/>
      <c r="N796" s="17"/>
      <c r="O796" s="18">
        <f t="shared" si="190"/>
        <v>0</v>
      </c>
      <c r="P796" s="18">
        <f t="shared" si="191"/>
        <v>0</v>
      </c>
      <c r="Q796" s="8">
        <f t="shared" si="192"/>
        <v>0</v>
      </c>
    </row>
    <row r="797" spans="1:17" ht="23.25" customHeight="1" x14ac:dyDescent="0.5">
      <c r="A797" s="77">
        <v>186</v>
      </c>
      <c r="B797" s="78" t="s">
        <v>196</v>
      </c>
      <c r="C797" s="100" t="s">
        <v>447</v>
      </c>
      <c r="D797" s="14" t="s">
        <v>193</v>
      </c>
      <c r="E797" s="15"/>
      <c r="F797" s="15"/>
      <c r="G797" s="15"/>
      <c r="H797" s="15"/>
      <c r="I797" s="172"/>
      <c r="J797" s="202">
        <f t="shared" ref="J797:J801" si="193">I797</f>
        <v>0</v>
      </c>
      <c r="K797" s="94">
        <f t="shared" si="185"/>
        <v>0</v>
      </c>
      <c r="L797" s="16"/>
      <c r="M797" s="17"/>
      <c r="N797" s="17"/>
      <c r="O797" s="18">
        <f t="shared" si="190"/>
        <v>0</v>
      </c>
      <c r="P797" s="18">
        <f t="shared" si="191"/>
        <v>0</v>
      </c>
      <c r="Q797" s="8">
        <f t="shared" si="192"/>
        <v>0</v>
      </c>
    </row>
    <row r="798" spans="1:17" ht="23.25" customHeight="1" x14ac:dyDescent="0.5">
      <c r="A798" s="77">
        <v>187</v>
      </c>
      <c r="B798" s="78" t="s">
        <v>196</v>
      </c>
      <c r="C798" s="100" t="s">
        <v>447</v>
      </c>
      <c r="D798" s="14" t="s">
        <v>193</v>
      </c>
      <c r="E798" s="15"/>
      <c r="F798" s="15"/>
      <c r="G798" s="15"/>
      <c r="H798" s="15"/>
      <c r="I798" s="172"/>
      <c r="J798" s="202">
        <f t="shared" si="193"/>
        <v>0</v>
      </c>
      <c r="K798" s="94">
        <f t="shared" si="185"/>
        <v>0</v>
      </c>
      <c r="L798" s="16"/>
      <c r="M798" s="17"/>
      <c r="N798" s="17"/>
      <c r="O798" s="18">
        <f t="shared" si="190"/>
        <v>0</v>
      </c>
      <c r="P798" s="18">
        <f t="shared" si="191"/>
        <v>0</v>
      </c>
      <c r="Q798" s="8">
        <f t="shared" si="192"/>
        <v>0</v>
      </c>
    </row>
    <row r="799" spans="1:17" ht="23.25" customHeight="1" x14ac:dyDescent="0.5">
      <c r="A799" s="77">
        <v>188</v>
      </c>
      <c r="B799" s="78" t="s">
        <v>196</v>
      </c>
      <c r="C799" s="100" t="s">
        <v>447</v>
      </c>
      <c r="D799" s="14" t="s">
        <v>193</v>
      </c>
      <c r="E799" s="15"/>
      <c r="F799" s="15"/>
      <c r="G799" s="15"/>
      <c r="H799" s="15"/>
      <c r="I799" s="172"/>
      <c r="J799" s="202">
        <f t="shared" si="193"/>
        <v>0</v>
      </c>
      <c r="K799" s="94">
        <f t="shared" si="185"/>
        <v>0</v>
      </c>
      <c r="L799" s="16"/>
      <c r="M799" s="17"/>
      <c r="N799" s="17"/>
      <c r="O799" s="18">
        <f t="shared" si="190"/>
        <v>0</v>
      </c>
      <c r="P799" s="18">
        <f t="shared" si="191"/>
        <v>0</v>
      </c>
      <c r="Q799" s="8">
        <f t="shared" si="192"/>
        <v>0</v>
      </c>
    </row>
    <row r="800" spans="1:17" ht="23.25" customHeight="1" x14ac:dyDescent="0.5">
      <c r="A800" s="77">
        <v>189</v>
      </c>
      <c r="B800" s="78" t="s">
        <v>196</v>
      </c>
      <c r="C800" s="100" t="s">
        <v>447</v>
      </c>
      <c r="D800" s="14" t="s">
        <v>193</v>
      </c>
      <c r="E800" s="15"/>
      <c r="F800" s="15"/>
      <c r="G800" s="15"/>
      <c r="H800" s="15"/>
      <c r="I800" s="172"/>
      <c r="J800" s="202">
        <f t="shared" si="193"/>
        <v>0</v>
      </c>
      <c r="K800" s="94">
        <f t="shared" si="185"/>
        <v>0</v>
      </c>
      <c r="L800" s="16"/>
      <c r="M800" s="17"/>
      <c r="N800" s="17"/>
      <c r="O800" s="18">
        <f t="shared" si="190"/>
        <v>0</v>
      </c>
      <c r="P800" s="18">
        <f t="shared" si="191"/>
        <v>0</v>
      </c>
      <c r="Q800" s="8">
        <f t="shared" si="192"/>
        <v>0</v>
      </c>
    </row>
    <row r="801" spans="1:17" ht="23.25" customHeight="1" x14ac:dyDescent="0.5">
      <c r="A801" s="77">
        <v>190</v>
      </c>
      <c r="B801" s="78" t="s">
        <v>196</v>
      </c>
      <c r="C801" s="100" t="s">
        <v>447</v>
      </c>
      <c r="D801" s="14" t="s">
        <v>193</v>
      </c>
      <c r="E801" s="15"/>
      <c r="F801" s="15"/>
      <c r="G801" s="15"/>
      <c r="H801" s="15"/>
      <c r="I801" s="172"/>
      <c r="J801" s="202">
        <f t="shared" si="193"/>
        <v>0</v>
      </c>
      <c r="K801" s="94">
        <f t="shared" si="185"/>
        <v>0</v>
      </c>
      <c r="L801" s="16"/>
      <c r="M801" s="17"/>
      <c r="N801" s="17"/>
      <c r="O801" s="18">
        <f t="shared" si="190"/>
        <v>0</v>
      </c>
      <c r="P801" s="18">
        <f t="shared" si="191"/>
        <v>0</v>
      </c>
      <c r="Q801" s="8">
        <f t="shared" si="192"/>
        <v>0</v>
      </c>
    </row>
    <row r="802" spans="1:17" ht="23.25" customHeight="1" x14ac:dyDescent="0.5">
      <c r="A802" s="77">
        <v>191</v>
      </c>
      <c r="B802" s="78" t="s">
        <v>196</v>
      </c>
      <c r="C802" s="100" t="s">
        <v>447</v>
      </c>
      <c r="D802" s="14" t="s">
        <v>193</v>
      </c>
      <c r="E802" s="15"/>
      <c r="F802" s="15"/>
      <c r="G802" s="15"/>
      <c r="H802" s="15"/>
      <c r="I802" s="172"/>
      <c r="J802" s="202">
        <f>I802</f>
        <v>0</v>
      </c>
      <c r="K802" s="94">
        <f t="shared" si="185"/>
        <v>0</v>
      </c>
      <c r="L802" s="16"/>
      <c r="M802" s="17"/>
      <c r="N802" s="17"/>
      <c r="O802" s="18">
        <f t="shared" si="190"/>
        <v>0</v>
      </c>
      <c r="P802" s="18">
        <f t="shared" si="191"/>
        <v>0</v>
      </c>
      <c r="Q802" s="8">
        <f t="shared" si="192"/>
        <v>0</v>
      </c>
    </row>
    <row r="803" spans="1:17" ht="23.25" customHeight="1" x14ac:dyDescent="0.5">
      <c r="A803" s="77">
        <v>192</v>
      </c>
      <c r="B803" s="78" t="s">
        <v>196</v>
      </c>
      <c r="C803" s="100" t="s">
        <v>447</v>
      </c>
      <c r="D803" s="14" t="s">
        <v>193</v>
      </c>
      <c r="E803" s="15"/>
      <c r="F803" s="15"/>
      <c r="G803" s="15"/>
      <c r="H803" s="15"/>
      <c r="I803" s="172"/>
      <c r="J803" s="202">
        <f>I803</f>
        <v>0</v>
      </c>
      <c r="K803" s="94">
        <f t="shared" si="185"/>
        <v>0</v>
      </c>
      <c r="L803" s="16"/>
      <c r="M803" s="17"/>
      <c r="N803" s="17"/>
      <c r="O803" s="18">
        <f t="shared" si="190"/>
        <v>0</v>
      </c>
      <c r="P803" s="18">
        <f t="shared" si="191"/>
        <v>0</v>
      </c>
      <c r="Q803" s="8">
        <f t="shared" si="192"/>
        <v>0</v>
      </c>
    </row>
    <row r="804" spans="1:17" ht="23.25" customHeight="1" x14ac:dyDescent="0.5">
      <c r="A804" s="77">
        <v>193</v>
      </c>
      <c r="B804" s="78" t="s">
        <v>196</v>
      </c>
      <c r="C804" s="100" t="s">
        <v>447</v>
      </c>
      <c r="D804" s="14" t="s">
        <v>193</v>
      </c>
      <c r="E804" s="15"/>
      <c r="F804" s="15"/>
      <c r="G804" s="15"/>
      <c r="H804" s="15"/>
      <c r="I804" s="172"/>
      <c r="J804" s="202">
        <f>I804</f>
        <v>0</v>
      </c>
      <c r="K804" s="94">
        <f t="shared" si="185"/>
        <v>0</v>
      </c>
      <c r="L804" s="16"/>
      <c r="M804" s="17"/>
      <c r="N804" s="17"/>
      <c r="O804" s="18">
        <f t="shared" si="190"/>
        <v>0</v>
      </c>
      <c r="P804" s="18">
        <f t="shared" si="191"/>
        <v>0</v>
      </c>
      <c r="Q804" s="8">
        <f t="shared" si="192"/>
        <v>0</v>
      </c>
    </row>
    <row r="805" spans="1:17" ht="94" x14ac:dyDescent="0.55000000000000004">
      <c r="A805" s="77">
        <v>194</v>
      </c>
      <c r="B805" s="78" t="s">
        <v>196</v>
      </c>
      <c r="C805" s="100" t="s">
        <v>447</v>
      </c>
      <c r="D805" s="85" t="s">
        <v>212</v>
      </c>
      <c r="E805" s="87"/>
      <c r="F805" s="87"/>
      <c r="G805" s="87"/>
      <c r="H805" s="107"/>
      <c r="I805" s="165"/>
      <c r="J805" s="203"/>
      <c r="K805" s="94">
        <f t="shared" si="185"/>
        <v>0</v>
      </c>
      <c r="L805" s="109"/>
      <c r="M805" s="109"/>
      <c r="N805" s="109"/>
      <c r="O805" s="19"/>
      <c r="P805" s="19"/>
      <c r="Q805" s="9"/>
    </row>
    <row r="806" spans="1:17" ht="23.25" customHeight="1" x14ac:dyDescent="0.5">
      <c r="A806" s="77">
        <v>195</v>
      </c>
      <c r="B806" s="78" t="s">
        <v>196</v>
      </c>
      <c r="C806" s="100" t="s">
        <v>448</v>
      </c>
      <c r="D806" s="14" t="s">
        <v>193</v>
      </c>
      <c r="E806" s="15"/>
      <c r="F806" s="15"/>
      <c r="G806" s="15"/>
      <c r="H806" s="15"/>
      <c r="I806" s="172"/>
      <c r="J806" s="202">
        <f>I806</f>
        <v>0</v>
      </c>
      <c r="K806" s="94">
        <f t="shared" si="185"/>
        <v>0</v>
      </c>
      <c r="L806" s="16"/>
      <c r="M806" s="17"/>
      <c r="N806" s="17"/>
      <c r="O806" s="18">
        <f t="shared" ref="O806:O815" si="194">M806*J806</f>
        <v>0</v>
      </c>
      <c r="P806" s="18">
        <f t="shared" ref="P806:P815" si="195">N806*J806</f>
        <v>0</v>
      </c>
      <c r="Q806" s="8">
        <f t="shared" ref="Q806:Q815" si="196">(M806*J806)+(N806*J806)</f>
        <v>0</v>
      </c>
    </row>
    <row r="807" spans="1:17" ht="23.25" customHeight="1" x14ac:dyDescent="0.5">
      <c r="A807" s="77">
        <v>196</v>
      </c>
      <c r="B807" s="78" t="s">
        <v>196</v>
      </c>
      <c r="C807" s="100" t="s">
        <v>448</v>
      </c>
      <c r="D807" s="14" t="s">
        <v>193</v>
      </c>
      <c r="E807" s="15"/>
      <c r="F807" s="15"/>
      <c r="G807" s="15"/>
      <c r="H807" s="15"/>
      <c r="I807" s="172"/>
      <c r="J807" s="202">
        <f t="shared" ref="J807:J811" si="197">I807</f>
        <v>0</v>
      </c>
      <c r="K807" s="94">
        <f t="shared" si="185"/>
        <v>0</v>
      </c>
      <c r="L807" s="16"/>
      <c r="M807" s="17"/>
      <c r="N807" s="17"/>
      <c r="O807" s="18">
        <f t="shared" si="194"/>
        <v>0</v>
      </c>
      <c r="P807" s="18">
        <f t="shared" si="195"/>
        <v>0</v>
      </c>
      <c r="Q807" s="8">
        <f t="shared" si="196"/>
        <v>0</v>
      </c>
    </row>
    <row r="808" spans="1:17" ht="23.25" customHeight="1" x14ac:dyDescent="0.5">
      <c r="A808" s="77">
        <v>197</v>
      </c>
      <c r="B808" s="78" t="s">
        <v>196</v>
      </c>
      <c r="C808" s="100" t="s">
        <v>448</v>
      </c>
      <c r="D808" s="14" t="s">
        <v>193</v>
      </c>
      <c r="E808" s="15"/>
      <c r="F808" s="15"/>
      <c r="G808" s="15"/>
      <c r="H808" s="15"/>
      <c r="I808" s="172"/>
      <c r="J808" s="202">
        <f t="shared" si="197"/>
        <v>0</v>
      </c>
      <c r="K808" s="94">
        <f t="shared" si="185"/>
        <v>0</v>
      </c>
      <c r="L808" s="16"/>
      <c r="M808" s="17"/>
      <c r="N808" s="17"/>
      <c r="O808" s="18">
        <f t="shared" si="194"/>
        <v>0</v>
      </c>
      <c r="P808" s="18">
        <f t="shared" si="195"/>
        <v>0</v>
      </c>
      <c r="Q808" s="8">
        <f t="shared" si="196"/>
        <v>0</v>
      </c>
    </row>
    <row r="809" spans="1:17" ht="23.25" customHeight="1" x14ac:dyDescent="0.5">
      <c r="A809" s="77">
        <v>198</v>
      </c>
      <c r="B809" s="78" t="s">
        <v>196</v>
      </c>
      <c r="C809" s="100" t="s">
        <v>448</v>
      </c>
      <c r="D809" s="14" t="s">
        <v>193</v>
      </c>
      <c r="E809" s="15"/>
      <c r="F809" s="15"/>
      <c r="G809" s="15"/>
      <c r="H809" s="15"/>
      <c r="I809" s="172"/>
      <c r="J809" s="202">
        <f t="shared" si="197"/>
        <v>0</v>
      </c>
      <c r="K809" s="94">
        <f t="shared" si="185"/>
        <v>0</v>
      </c>
      <c r="L809" s="16"/>
      <c r="M809" s="17"/>
      <c r="N809" s="17"/>
      <c r="O809" s="18">
        <f t="shared" si="194"/>
        <v>0</v>
      </c>
      <c r="P809" s="18">
        <f t="shared" si="195"/>
        <v>0</v>
      </c>
      <c r="Q809" s="8">
        <f t="shared" si="196"/>
        <v>0</v>
      </c>
    </row>
    <row r="810" spans="1:17" ht="23.25" customHeight="1" x14ac:dyDescent="0.5">
      <c r="A810" s="77">
        <v>199</v>
      </c>
      <c r="B810" s="78" t="s">
        <v>196</v>
      </c>
      <c r="C810" s="100" t="s">
        <v>448</v>
      </c>
      <c r="D810" s="14" t="s">
        <v>193</v>
      </c>
      <c r="E810" s="15"/>
      <c r="F810" s="15"/>
      <c r="G810" s="15"/>
      <c r="H810" s="15"/>
      <c r="I810" s="172"/>
      <c r="J810" s="202">
        <f t="shared" si="197"/>
        <v>0</v>
      </c>
      <c r="K810" s="94">
        <f t="shared" si="185"/>
        <v>0</v>
      </c>
      <c r="L810" s="16"/>
      <c r="M810" s="17"/>
      <c r="N810" s="17"/>
      <c r="O810" s="18">
        <f t="shared" si="194"/>
        <v>0</v>
      </c>
      <c r="P810" s="18">
        <f t="shared" si="195"/>
        <v>0</v>
      </c>
      <c r="Q810" s="8">
        <f t="shared" si="196"/>
        <v>0</v>
      </c>
    </row>
    <row r="811" spans="1:17" ht="23.25" customHeight="1" x14ac:dyDescent="0.5">
      <c r="A811" s="77">
        <v>200</v>
      </c>
      <c r="B811" s="78" t="s">
        <v>196</v>
      </c>
      <c r="C811" s="100" t="s">
        <v>448</v>
      </c>
      <c r="D811" s="14" t="s">
        <v>193</v>
      </c>
      <c r="E811" s="15"/>
      <c r="F811" s="15"/>
      <c r="G811" s="15"/>
      <c r="H811" s="15"/>
      <c r="I811" s="172"/>
      <c r="J811" s="202">
        <f t="shared" si="197"/>
        <v>0</v>
      </c>
      <c r="K811" s="94">
        <f t="shared" si="185"/>
        <v>0</v>
      </c>
      <c r="L811" s="16"/>
      <c r="M811" s="17"/>
      <c r="N811" s="17"/>
      <c r="O811" s="18">
        <f t="shared" si="194"/>
        <v>0</v>
      </c>
      <c r="P811" s="18">
        <f t="shared" si="195"/>
        <v>0</v>
      </c>
      <c r="Q811" s="8">
        <f t="shared" si="196"/>
        <v>0</v>
      </c>
    </row>
    <row r="812" spans="1:17" ht="23.25" customHeight="1" x14ac:dyDescent="0.5">
      <c r="A812" s="77">
        <v>201</v>
      </c>
      <c r="B812" s="78" t="s">
        <v>196</v>
      </c>
      <c r="C812" s="100" t="s">
        <v>448</v>
      </c>
      <c r="D812" s="14" t="s">
        <v>193</v>
      </c>
      <c r="E812" s="15"/>
      <c r="F812" s="15"/>
      <c r="G812" s="15"/>
      <c r="H812" s="15"/>
      <c r="I812" s="172"/>
      <c r="J812" s="202">
        <f>I812</f>
        <v>0</v>
      </c>
      <c r="K812" s="94">
        <f t="shared" si="185"/>
        <v>0</v>
      </c>
      <c r="L812" s="16"/>
      <c r="M812" s="17"/>
      <c r="N812" s="17"/>
      <c r="O812" s="18">
        <f t="shared" si="194"/>
        <v>0</v>
      </c>
      <c r="P812" s="18">
        <f t="shared" si="195"/>
        <v>0</v>
      </c>
      <c r="Q812" s="8">
        <f t="shared" si="196"/>
        <v>0</v>
      </c>
    </row>
    <row r="813" spans="1:17" ht="23.25" customHeight="1" x14ac:dyDescent="0.5">
      <c r="A813" s="77">
        <v>202</v>
      </c>
      <c r="B813" s="78" t="s">
        <v>196</v>
      </c>
      <c r="C813" s="100" t="s">
        <v>448</v>
      </c>
      <c r="D813" s="14" t="s">
        <v>193</v>
      </c>
      <c r="E813" s="15"/>
      <c r="F813" s="15"/>
      <c r="G813" s="15"/>
      <c r="H813" s="15"/>
      <c r="I813" s="172"/>
      <c r="J813" s="202">
        <f>I813</f>
        <v>0</v>
      </c>
      <c r="K813" s="94">
        <f t="shared" si="185"/>
        <v>0</v>
      </c>
      <c r="L813" s="16"/>
      <c r="M813" s="17"/>
      <c r="N813" s="17"/>
      <c r="O813" s="18">
        <f t="shared" si="194"/>
        <v>0</v>
      </c>
      <c r="P813" s="18">
        <f t="shared" si="195"/>
        <v>0</v>
      </c>
      <c r="Q813" s="8">
        <f t="shared" si="196"/>
        <v>0</v>
      </c>
    </row>
    <row r="814" spans="1:17" ht="23.25" customHeight="1" x14ac:dyDescent="0.5">
      <c r="A814" s="77">
        <v>203</v>
      </c>
      <c r="B814" s="78" t="s">
        <v>196</v>
      </c>
      <c r="C814" s="100" t="s">
        <v>448</v>
      </c>
      <c r="D814" s="14" t="s">
        <v>193</v>
      </c>
      <c r="E814" s="15"/>
      <c r="F814" s="15"/>
      <c r="G814" s="15"/>
      <c r="H814" s="15"/>
      <c r="I814" s="172"/>
      <c r="J814" s="202">
        <f>I814</f>
        <v>0</v>
      </c>
      <c r="K814" s="94">
        <f t="shared" si="185"/>
        <v>0</v>
      </c>
      <c r="L814" s="16"/>
      <c r="M814" s="17"/>
      <c r="N814" s="17"/>
      <c r="O814" s="18">
        <f t="shared" si="194"/>
        <v>0</v>
      </c>
      <c r="P814" s="18">
        <f t="shared" si="195"/>
        <v>0</v>
      </c>
      <c r="Q814" s="8">
        <f t="shared" si="196"/>
        <v>0</v>
      </c>
    </row>
    <row r="815" spans="1:17" ht="23.25" customHeight="1" x14ac:dyDescent="0.5">
      <c r="A815" s="77">
        <v>204</v>
      </c>
      <c r="B815" s="78" t="s">
        <v>196</v>
      </c>
      <c r="C815" s="100" t="s">
        <v>448</v>
      </c>
      <c r="D815" s="14" t="s">
        <v>193</v>
      </c>
      <c r="E815" s="15"/>
      <c r="F815" s="15"/>
      <c r="G815" s="15"/>
      <c r="H815" s="15"/>
      <c r="I815" s="172"/>
      <c r="J815" s="202">
        <f>I815</f>
        <v>0</v>
      </c>
      <c r="K815" s="94">
        <f t="shared" si="185"/>
        <v>0</v>
      </c>
      <c r="L815" s="16"/>
      <c r="M815" s="17"/>
      <c r="N815" s="17"/>
      <c r="O815" s="18">
        <f t="shared" si="194"/>
        <v>0</v>
      </c>
      <c r="P815" s="18">
        <f t="shared" si="195"/>
        <v>0</v>
      </c>
      <c r="Q815" s="8">
        <f t="shared" si="196"/>
        <v>0</v>
      </c>
    </row>
    <row r="816" spans="1:17" ht="18" customHeight="1" x14ac:dyDescent="0.55000000000000004">
      <c r="A816" s="77">
        <v>205</v>
      </c>
      <c r="B816" s="78" t="s">
        <v>196</v>
      </c>
      <c r="C816" s="100" t="s">
        <v>449</v>
      </c>
      <c r="D816" s="106" t="s">
        <v>215</v>
      </c>
      <c r="E816" s="87"/>
      <c r="F816" s="87"/>
      <c r="G816" s="87"/>
      <c r="H816" s="107"/>
      <c r="I816" s="165"/>
      <c r="J816" s="206"/>
      <c r="K816" s="94">
        <f t="shared" si="185"/>
        <v>0</v>
      </c>
      <c r="L816" s="109"/>
      <c r="M816" s="109"/>
      <c r="N816" s="109"/>
      <c r="O816" s="19"/>
      <c r="P816" s="19"/>
      <c r="Q816" s="9"/>
    </row>
    <row r="817" spans="1:17" ht="23.25" customHeight="1" x14ac:dyDescent="0.5">
      <c r="A817" s="77">
        <v>206</v>
      </c>
      <c r="B817" s="78" t="s">
        <v>196</v>
      </c>
      <c r="C817" s="100" t="s">
        <v>449</v>
      </c>
      <c r="D817" s="14" t="s">
        <v>193</v>
      </c>
      <c r="E817" s="15"/>
      <c r="F817" s="15"/>
      <c r="G817" s="15"/>
      <c r="H817" s="15"/>
      <c r="I817" s="172"/>
      <c r="J817" s="202">
        <f>I817</f>
        <v>0</v>
      </c>
      <c r="K817" s="94">
        <f t="shared" si="185"/>
        <v>0</v>
      </c>
      <c r="L817" s="16"/>
      <c r="M817" s="17"/>
      <c r="N817" s="17"/>
      <c r="O817" s="18">
        <f t="shared" ref="O817:O826" si="198">M817*J817</f>
        <v>0</v>
      </c>
      <c r="P817" s="18">
        <f t="shared" ref="P817:P826" si="199">N817*J817</f>
        <v>0</v>
      </c>
      <c r="Q817" s="8">
        <f t="shared" ref="Q817:Q826" si="200">(M817*J817)+(N817*J817)</f>
        <v>0</v>
      </c>
    </row>
    <row r="818" spans="1:17" ht="23.25" customHeight="1" x14ac:dyDescent="0.5">
      <c r="A818" s="77">
        <v>207</v>
      </c>
      <c r="B818" s="78" t="s">
        <v>196</v>
      </c>
      <c r="C818" s="100" t="s">
        <v>449</v>
      </c>
      <c r="D818" s="14" t="s">
        <v>193</v>
      </c>
      <c r="E818" s="15"/>
      <c r="F818" s="15"/>
      <c r="G818" s="15"/>
      <c r="H818" s="15"/>
      <c r="I818" s="172"/>
      <c r="J818" s="202">
        <f>I818</f>
        <v>0</v>
      </c>
      <c r="K818" s="94">
        <f t="shared" si="185"/>
        <v>0</v>
      </c>
      <c r="L818" s="16"/>
      <c r="M818" s="17"/>
      <c r="N818" s="17"/>
      <c r="O818" s="18">
        <f t="shared" si="198"/>
        <v>0</v>
      </c>
      <c r="P818" s="18">
        <f t="shared" si="199"/>
        <v>0</v>
      </c>
      <c r="Q818" s="8">
        <f t="shared" si="200"/>
        <v>0</v>
      </c>
    </row>
    <row r="819" spans="1:17" ht="23.25" customHeight="1" x14ac:dyDescent="0.5">
      <c r="A819" s="77">
        <v>208</v>
      </c>
      <c r="B819" s="78" t="s">
        <v>196</v>
      </c>
      <c r="C819" s="100" t="s">
        <v>449</v>
      </c>
      <c r="D819" s="14" t="s">
        <v>193</v>
      </c>
      <c r="E819" s="15"/>
      <c r="F819" s="15"/>
      <c r="G819" s="15"/>
      <c r="H819" s="15"/>
      <c r="I819" s="172"/>
      <c r="J819" s="202">
        <f t="shared" ref="J819:J823" si="201">I819</f>
        <v>0</v>
      </c>
      <c r="K819" s="94">
        <f t="shared" si="185"/>
        <v>0</v>
      </c>
      <c r="L819" s="16"/>
      <c r="M819" s="17"/>
      <c r="N819" s="17"/>
      <c r="O819" s="18">
        <f t="shared" si="198"/>
        <v>0</v>
      </c>
      <c r="P819" s="18">
        <f t="shared" si="199"/>
        <v>0</v>
      </c>
      <c r="Q819" s="8">
        <f t="shared" si="200"/>
        <v>0</v>
      </c>
    </row>
    <row r="820" spans="1:17" ht="23.25" customHeight="1" x14ac:dyDescent="0.5">
      <c r="A820" s="77">
        <v>209</v>
      </c>
      <c r="B820" s="78" t="s">
        <v>196</v>
      </c>
      <c r="C820" s="100" t="s">
        <v>449</v>
      </c>
      <c r="D820" s="14" t="s">
        <v>193</v>
      </c>
      <c r="E820" s="15"/>
      <c r="F820" s="15"/>
      <c r="G820" s="15"/>
      <c r="H820" s="15"/>
      <c r="I820" s="172"/>
      <c r="J820" s="202">
        <f t="shared" si="201"/>
        <v>0</v>
      </c>
      <c r="K820" s="94">
        <f t="shared" si="185"/>
        <v>0</v>
      </c>
      <c r="L820" s="16"/>
      <c r="M820" s="17"/>
      <c r="N820" s="17"/>
      <c r="O820" s="18">
        <f t="shared" si="198"/>
        <v>0</v>
      </c>
      <c r="P820" s="18">
        <f t="shared" si="199"/>
        <v>0</v>
      </c>
      <c r="Q820" s="8">
        <f t="shared" si="200"/>
        <v>0</v>
      </c>
    </row>
    <row r="821" spans="1:17" ht="23.25" customHeight="1" x14ac:dyDescent="0.5">
      <c r="A821" s="77">
        <v>210</v>
      </c>
      <c r="B821" s="78" t="s">
        <v>196</v>
      </c>
      <c r="C821" s="100" t="s">
        <v>449</v>
      </c>
      <c r="D821" s="14" t="s">
        <v>193</v>
      </c>
      <c r="E821" s="15"/>
      <c r="F821" s="15"/>
      <c r="G821" s="15"/>
      <c r="H821" s="15"/>
      <c r="I821" s="172"/>
      <c r="J821" s="202">
        <f t="shared" si="201"/>
        <v>0</v>
      </c>
      <c r="K821" s="94">
        <f t="shared" si="185"/>
        <v>0</v>
      </c>
      <c r="L821" s="16"/>
      <c r="M821" s="17"/>
      <c r="N821" s="17"/>
      <c r="O821" s="18">
        <f t="shared" si="198"/>
        <v>0</v>
      </c>
      <c r="P821" s="18">
        <f t="shared" si="199"/>
        <v>0</v>
      </c>
      <c r="Q821" s="8">
        <f t="shared" si="200"/>
        <v>0</v>
      </c>
    </row>
    <row r="822" spans="1:17" ht="23.25" customHeight="1" x14ac:dyDescent="0.5">
      <c r="A822" s="77">
        <v>211</v>
      </c>
      <c r="B822" s="78" t="s">
        <v>196</v>
      </c>
      <c r="C822" s="100" t="s">
        <v>449</v>
      </c>
      <c r="D822" s="14" t="s">
        <v>193</v>
      </c>
      <c r="E822" s="15"/>
      <c r="F822" s="15"/>
      <c r="G822" s="15"/>
      <c r="H822" s="15"/>
      <c r="I822" s="172"/>
      <c r="J822" s="202">
        <f t="shared" si="201"/>
        <v>0</v>
      </c>
      <c r="K822" s="94">
        <f t="shared" si="185"/>
        <v>0</v>
      </c>
      <c r="L822" s="16"/>
      <c r="M822" s="17"/>
      <c r="N822" s="17"/>
      <c r="O822" s="18">
        <f t="shared" si="198"/>
        <v>0</v>
      </c>
      <c r="P822" s="18">
        <f t="shared" si="199"/>
        <v>0</v>
      </c>
      <c r="Q822" s="8">
        <f t="shared" si="200"/>
        <v>0</v>
      </c>
    </row>
    <row r="823" spans="1:17" ht="23.25" customHeight="1" x14ac:dyDescent="0.5">
      <c r="A823" s="77">
        <v>212</v>
      </c>
      <c r="B823" s="78" t="s">
        <v>196</v>
      </c>
      <c r="C823" s="100" t="s">
        <v>449</v>
      </c>
      <c r="D823" s="14" t="s">
        <v>193</v>
      </c>
      <c r="E823" s="15"/>
      <c r="F823" s="15"/>
      <c r="G823" s="15"/>
      <c r="H823" s="15"/>
      <c r="I823" s="172"/>
      <c r="J823" s="202">
        <f t="shared" si="201"/>
        <v>0</v>
      </c>
      <c r="K823" s="94">
        <f t="shared" si="185"/>
        <v>0</v>
      </c>
      <c r="L823" s="16"/>
      <c r="M823" s="17"/>
      <c r="N823" s="17"/>
      <c r="O823" s="18">
        <f t="shared" si="198"/>
        <v>0</v>
      </c>
      <c r="P823" s="18">
        <f t="shared" si="199"/>
        <v>0</v>
      </c>
      <c r="Q823" s="8">
        <f t="shared" si="200"/>
        <v>0</v>
      </c>
    </row>
    <row r="824" spans="1:17" ht="23.25" customHeight="1" x14ac:dyDescent="0.5">
      <c r="A824" s="77">
        <v>213</v>
      </c>
      <c r="B824" s="78" t="s">
        <v>196</v>
      </c>
      <c r="C824" s="100" t="s">
        <v>449</v>
      </c>
      <c r="D824" s="14" t="s">
        <v>193</v>
      </c>
      <c r="E824" s="15"/>
      <c r="F824" s="15"/>
      <c r="G824" s="15"/>
      <c r="H824" s="15"/>
      <c r="I824" s="172"/>
      <c r="J824" s="202">
        <f>I824</f>
        <v>0</v>
      </c>
      <c r="K824" s="94">
        <f t="shared" si="185"/>
        <v>0</v>
      </c>
      <c r="L824" s="16"/>
      <c r="M824" s="17"/>
      <c r="N824" s="17"/>
      <c r="O824" s="18">
        <f t="shared" si="198"/>
        <v>0</v>
      </c>
      <c r="P824" s="18">
        <f t="shared" si="199"/>
        <v>0</v>
      </c>
      <c r="Q824" s="8">
        <f t="shared" si="200"/>
        <v>0</v>
      </c>
    </row>
    <row r="825" spans="1:17" ht="23.25" customHeight="1" x14ac:dyDescent="0.5">
      <c r="A825" s="77">
        <v>214</v>
      </c>
      <c r="B825" s="78" t="s">
        <v>196</v>
      </c>
      <c r="C825" s="100" t="s">
        <v>449</v>
      </c>
      <c r="D825" s="14" t="s">
        <v>193</v>
      </c>
      <c r="E825" s="15"/>
      <c r="F825" s="15"/>
      <c r="G825" s="15"/>
      <c r="H825" s="15"/>
      <c r="I825" s="172"/>
      <c r="J825" s="202">
        <f>I825</f>
        <v>0</v>
      </c>
      <c r="K825" s="94">
        <f t="shared" si="185"/>
        <v>0</v>
      </c>
      <c r="L825" s="16"/>
      <c r="M825" s="17"/>
      <c r="N825" s="17"/>
      <c r="O825" s="18">
        <f t="shared" si="198"/>
        <v>0</v>
      </c>
      <c r="P825" s="18">
        <f t="shared" si="199"/>
        <v>0</v>
      </c>
      <c r="Q825" s="8">
        <f t="shared" si="200"/>
        <v>0</v>
      </c>
    </row>
    <row r="826" spans="1:17" ht="23.25" customHeight="1" x14ac:dyDescent="0.5">
      <c r="A826" s="77">
        <v>215</v>
      </c>
      <c r="B826" s="78" t="s">
        <v>196</v>
      </c>
      <c r="C826" s="100" t="s">
        <v>449</v>
      </c>
      <c r="D826" s="14" t="s">
        <v>193</v>
      </c>
      <c r="E826" s="15"/>
      <c r="F826" s="15"/>
      <c r="G826" s="15"/>
      <c r="H826" s="15"/>
      <c r="I826" s="172"/>
      <c r="J826" s="202">
        <f>I826</f>
        <v>0</v>
      </c>
      <c r="K826" s="94">
        <f t="shared" si="185"/>
        <v>0</v>
      </c>
      <c r="L826" s="16"/>
      <c r="M826" s="17"/>
      <c r="N826" s="17"/>
      <c r="O826" s="18">
        <f t="shared" si="198"/>
        <v>0</v>
      </c>
      <c r="P826" s="18">
        <f t="shared" si="199"/>
        <v>0</v>
      </c>
      <c r="Q826" s="8">
        <f t="shared" si="200"/>
        <v>0</v>
      </c>
    </row>
    <row r="827" spans="1:17" ht="18" customHeight="1" x14ac:dyDescent="0.55000000000000004">
      <c r="A827" s="77">
        <v>216</v>
      </c>
      <c r="B827" s="78" t="s">
        <v>196</v>
      </c>
      <c r="C827" s="100" t="s">
        <v>449</v>
      </c>
      <c r="D827" s="106" t="s">
        <v>218</v>
      </c>
      <c r="E827" s="87"/>
      <c r="F827" s="87"/>
      <c r="G827" s="87"/>
      <c r="H827" s="107"/>
      <c r="I827" s="165"/>
      <c r="J827" s="203"/>
      <c r="K827" s="94">
        <f t="shared" si="185"/>
        <v>0</v>
      </c>
      <c r="L827" s="109"/>
      <c r="M827" s="109"/>
      <c r="N827" s="109"/>
      <c r="O827" s="19"/>
      <c r="P827" s="19"/>
      <c r="Q827" s="9"/>
    </row>
    <row r="828" spans="1:17" ht="23.25" customHeight="1" x14ac:dyDescent="0.5">
      <c r="A828" s="77">
        <v>217</v>
      </c>
      <c r="B828" s="78" t="s">
        <v>196</v>
      </c>
      <c r="C828" s="100" t="s">
        <v>450</v>
      </c>
      <c r="D828" s="14" t="s">
        <v>193</v>
      </c>
      <c r="E828" s="15"/>
      <c r="F828" s="15"/>
      <c r="G828" s="15"/>
      <c r="H828" s="15"/>
      <c r="I828" s="172"/>
      <c r="J828" s="202">
        <f>I828</f>
        <v>0</v>
      </c>
      <c r="K828" s="94">
        <f t="shared" si="185"/>
        <v>0</v>
      </c>
      <c r="L828" s="16"/>
      <c r="M828" s="17"/>
      <c r="N828" s="17"/>
      <c r="O828" s="18">
        <f t="shared" ref="O828:O837" si="202">M828*J828</f>
        <v>0</v>
      </c>
      <c r="P828" s="18">
        <f t="shared" ref="P828:P837" si="203">N828*J828</f>
        <v>0</v>
      </c>
      <c r="Q828" s="8">
        <f t="shared" ref="Q828:Q837" si="204">(M828*J828)+(N828*J828)</f>
        <v>0</v>
      </c>
    </row>
    <row r="829" spans="1:17" ht="23.25" customHeight="1" x14ac:dyDescent="0.5">
      <c r="A829" s="77">
        <v>218</v>
      </c>
      <c r="B829" s="78" t="s">
        <v>196</v>
      </c>
      <c r="C829" s="100" t="s">
        <v>450</v>
      </c>
      <c r="D829" s="14" t="s">
        <v>193</v>
      </c>
      <c r="E829" s="15"/>
      <c r="F829" s="15"/>
      <c r="G829" s="15"/>
      <c r="H829" s="15"/>
      <c r="I829" s="172"/>
      <c r="J829" s="202">
        <f>I829</f>
        <v>0</v>
      </c>
      <c r="K829" s="94">
        <f t="shared" si="185"/>
        <v>0</v>
      </c>
      <c r="L829" s="16"/>
      <c r="M829" s="17"/>
      <c r="N829" s="17"/>
      <c r="O829" s="18">
        <f t="shared" si="202"/>
        <v>0</v>
      </c>
      <c r="P829" s="18">
        <f t="shared" si="203"/>
        <v>0</v>
      </c>
      <c r="Q829" s="8">
        <f t="shared" si="204"/>
        <v>0</v>
      </c>
    </row>
    <row r="830" spans="1:17" ht="23.25" customHeight="1" x14ac:dyDescent="0.5">
      <c r="A830" s="77">
        <v>219</v>
      </c>
      <c r="B830" s="78" t="s">
        <v>196</v>
      </c>
      <c r="C830" s="100" t="s">
        <v>450</v>
      </c>
      <c r="D830" s="14" t="s">
        <v>193</v>
      </c>
      <c r="E830" s="15"/>
      <c r="F830" s="15"/>
      <c r="G830" s="15"/>
      <c r="H830" s="15"/>
      <c r="I830" s="172"/>
      <c r="J830" s="202">
        <f t="shared" ref="J830:J834" si="205">I830</f>
        <v>0</v>
      </c>
      <c r="K830" s="94">
        <f t="shared" si="185"/>
        <v>0</v>
      </c>
      <c r="L830" s="16"/>
      <c r="M830" s="17"/>
      <c r="N830" s="17"/>
      <c r="O830" s="18">
        <f t="shared" si="202"/>
        <v>0</v>
      </c>
      <c r="P830" s="18">
        <f t="shared" si="203"/>
        <v>0</v>
      </c>
      <c r="Q830" s="8">
        <f t="shared" si="204"/>
        <v>0</v>
      </c>
    </row>
    <row r="831" spans="1:17" ht="23.25" customHeight="1" x14ac:dyDescent="0.5">
      <c r="A831" s="77">
        <v>220</v>
      </c>
      <c r="B831" s="78" t="s">
        <v>196</v>
      </c>
      <c r="C831" s="100" t="s">
        <v>450</v>
      </c>
      <c r="D831" s="14" t="s">
        <v>193</v>
      </c>
      <c r="E831" s="15"/>
      <c r="F831" s="15"/>
      <c r="G831" s="15"/>
      <c r="H831" s="15"/>
      <c r="I831" s="172"/>
      <c r="J831" s="202">
        <f t="shared" si="205"/>
        <v>0</v>
      </c>
      <c r="K831" s="94">
        <f t="shared" si="185"/>
        <v>0</v>
      </c>
      <c r="L831" s="16"/>
      <c r="M831" s="17"/>
      <c r="N831" s="17"/>
      <c r="O831" s="18">
        <f t="shared" si="202"/>
        <v>0</v>
      </c>
      <c r="P831" s="18">
        <f t="shared" si="203"/>
        <v>0</v>
      </c>
      <c r="Q831" s="8">
        <f t="shared" si="204"/>
        <v>0</v>
      </c>
    </row>
    <row r="832" spans="1:17" ht="23.25" customHeight="1" x14ac:dyDescent="0.5">
      <c r="A832" s="77">
        <v>221</v>
      </c>
      <c r="B832" s="78" t="s">
        <v>196</v>
      </c>
      <c r="C832" s="100" t="s">
        <v>450</v>
      </c>
      <c r="D832" s="14" t="s">
        <v>193</v>
      </c>
      <c r="E832" s="15"/>
      <c r="F832" s="15"/>
      <c r="G832" s="15"/>
      <c r="H832" s="15"/>
      <c r="I832" s="172"/>
      <c r="J832" s="202">
        <f t="shared" si="205"/>
        <v>0</v>
      </c>
      <c r="K832" s="94">
        <f t="shared" si="185"/>
        <v>0</v>
      </c>
      <c r="L832" s="16"/>
      <c r="M832" s="17"/>
      <c r="N832" s="17"/>
      <c r="O832" s="18">
        <f t="shared" si="202"/>
        <v>0</v>
      </c>
      <c r="P832" s="18">
        <f t="shared" si="203"/>
        <v>0</v>
      </c>
      <c r="Q832" s="8">
        <f t="shared" si="204"/>
        <v>0</v>
      </c>
    </row>
    <row r="833" spans="1:17" ht="23.25" customHeight="1" x14ac:dyDescent="0.5">
      <c r="A833" s="77">
        <v>222</v>
      </c>
      <c r="B833" s="78" t="s">
        <v>196</v>
      </c>
      <c r="C833" s="100" t="s">
        <v>450</v>
      </c>
      <c r="D833" s="14" t="s">
        <v>193</v>
      </c>
      <c r="E833" s="15"/>
      <c r="F833" s="15"/>
      <c r="G833" s="15"/>
      <c r="H833" s="15"/>
      <c r="I833" s="172"/>
      <c r="J833" s="202">
        <f t="shared" si="205"/>
        <v>0</v>
      </c>
      <c r="K833" s="94">
        <f t="shared" si="185"/>
        <v>0</v>
      </c>
      <c r="L833" s="16"/>
      <c r="M833" s="17"/>
      <c r="N833" s="17"/>
      <c r="O833" s="18">
        <f t="shared" si="202"/>
        <v>0</v>
      </c>
      <c r="P833" s="18">
        <f t="shared" si="203"/>
        <v>0</v>
      </c>
      <c r="Q833" s="8">
        <f t="shared" si="204"/>
        <v>0</v>
      </c>
    </row>
    <row r="834" spans="1:17" ht="23.25" customHeight="1" x14ac:dyDescent="0.5">
      <c r="A834" s="77">
        <v>223</v>
      </c>
      <c r="B834" s="78" t="s">
        <v>196</v>
      </c>
      <c r="C834" s="100" t="s">
        <v>450</v>
      </c>
      <c r="D834" s="14" t="s">
        <v>193</v>
      </c>
      <c r="E834" s="15"/>
      <c r="F834" s="15"/>
      <c r="G834" s="15"/>
      <c r="H834" s="15"/>
      <c r="I834" s="172"/>
      <c r="J834" s="202">
        <f t="shared" si="205"/>
        <v>0</v>
      </c>
      <c r="K834" s="94">
        <f t="shared" si="185"/>
        <v>0</v>
      </c>
      <c r="L834" s="16"/>
      <c r="M834" s="17"/>
      <c r="N834" s="17"/>
      <c r="O834" s="18">
        <f t="shared" si="202"/>
        <v>0</v>
      </c>
      <c r="P834" s="18">
        <f t="shared" si="203"/>
        <v>0</v>
      </c>
      <c r="Q834" s="8">
        <f t="shared" si="204"/>
        <v>0</v>
      </c>
    </row>
    <row r="835" spans="1:17" ht="23.25" customHeight="1" x14ac:dyDescent="0.5">
      <c r="A835" s="77">
        <v>224</v>
      </c>
      <c r="B835" s="78" t="s">
        <v>196</v>
      </c>
      <c r="C835" s="100" t="s">
        <v>450</v>
      </c>
      <c r="D835" s="14" t="s">
        <v>193</v>
      </c>
      <c r="E835" s="15"/>
      <c r="F835" s="15"/>
      <c r="G835" s="15"/>
      <c r="H835" s="15"/>
      <c r="I835" s="172"/>
      <c r="J835" s="202">
        <f>I835</f>
        <v>0</v>
      </c>
      <c r="K835" s="94">
        <f t="shared" si="185"/>
        <v>0</v>
      </c>
      <c r="L835" s="16"/>
      <c r="M835" s="17"/>
      <c r="N835" s="17"/>
      <c r="O835" s="18">
        <f t="shared" si="202"/>
        <v>0</v>
      </c>
      <c r="P835" s="18">
        <f t="shared" si="203"/>
        <v>0</v>
      </c>
      <c r="Q835" s="8">
        <f t="shared" si="204"/>
        <v>0</v>
      </c>
    </row>
    <row r="836" spans="1:17" ht="23.25" customHeight="1" x14ac:dyDescent="0.5">
      <c r="A836" s="77">
        <v>225</v>
      </c>
      <c r="B836" s="78" t="s">
        <v>196</v>
      </c>
      <c r="C836" s="100" t="s">
        <v>450</v>
      </c>
      <c r="D836" s="14" t="s">
        <v>193</v>
      </c>
      <c r="E836" s="15"/>
      <c r="F836" s="15"/>
      <c r="G836" s="15"/>
      <c r="H836" s="15"/>
      <c r="I836" s="172"/>
      <c r="J836" s="202">
        <f>I836</f>
        <v>0</v>
      </c>
      <c r="K836" s="94">
        <f t="shared" si="185"/>
        <v>0</v>
      </c>
      <c r="L836" s="16"/>
      <c r="M836" s="17"/>
      <c r="N836" s="17"/>
      <c r="O836" s="18">
        <f t="shared" si="202"/>
        <v>0</v>
      </c>
      <c r="P836" s="18">
        <f t="shared" si="203"/>
        <v>0</v>
      </c>
      <c r="Q836" s="8">
        <f t="shared" si="204"/>
        <v>0</v>
      </c>
    </row>
    <row r="837" spans="1:17" ht="23.25" customHeight="1" x14ac:dyDescent="0.5">
      <c r="A837" s="77">
        <v>226</v>
      </c>
      <c r="B837" s="78" t="s">
        <v>196</v>
      </c>
      <c r="C837" s="100" t="s">
        <v>450</v>
      </c>
      <c r="D837" s="14" t="s">
        <v>193</v>
      </c>
      <c r="E837" s="15"/>
      <c r="F837" s="15"/>
      <c r="G837" s="15"/>
      <c r="H837" s="15"/>
      <c r="I837" s="172"/>
      <c r="J837" s="202">
        <f>I837</f>
        <v>0</v>
      </c>
      <c r="K837" s="94">
        <f t="shared" si="185"/>
        <v>0</v>
      </c>
      <c r="L837" s="16"/>
      <c r="M837" s="17"/>
      <c r="N837" s="17"/>
      <c r="O837" s="18">
        <f t="shared" si="202"/>
        <v>0</v>
      </c>
      <c r="P837" s="18">
        <f t="shared" si="203"/>
        <v>0</v>
      </c>
      <c r="Q837" s="8">
        <f t="shared" si="204"/>
        <v>0</v>
      </c>
    </row>
    <row r="838" spans="1:17" ht="18" customHeight="1" x14ac:dyDescent="0.55000000000000004">
      <c r="A838" s="77">
        <v>227</v>
      </c>
      <c r="B838" s="78" t="s">
        <v>221</v>
      </c>
      <c r="C838" s="100" t="s">
        <v>221</v>
      </c>
      <c r="D838" s="80" t="s">
        <v>222</v>
      </c>
      <c r="E838" s="81"/>
      <c r="F838" s="81"/>
      <c r="G838" s="81"/>
      <c r="H838" s="82"/>
      <c r="I838" s="83"/>
      <c r="J838" s="200"/>
      <c r="K838" s="94">
        <f t="shared" si="185"/>
        <v>0</v>
      </c>
      <c r="L838" s="84"/>
      <c r="M838" s="84"/>
      <c r="N838" s="84"/>
      <c r="O838" s="26"/>
      <c r="P838" s="26"/>
      <c r="Q838" s="7"/>
    </row>
    <row r="839" spans="1:17" ht="23.25" customHeight="1" x14ac:dyDescent="0.5">
      <c r="A839" s="77">
        <v>228</v>
      </c>
      <c r="B839" s="78" t="s">
        <v>221</v>
      </c>
      <c r="C839" s="115" t="s">
        <v>221</v>
      </c>
      <c r="D839" s="14" t="s">
        <v>193</v>
      </c>
      <c r="E839" s="15"/>
      <c r="F839" s="15"/>
      <c r="G839" s="15"/>
      <c r="H839" s="21"/>
      <c r="I839" s="30"/>
      <c r="J839" s="202">
        <f t="shared" ref="J839:J849" si="206">I839</f>
        <v>0</v>
      </c>
      <c r="K839" s="94">
        <f t="shared" si="185"/>
        <v>0</v>
      </c>
      <c r="L839" s="16"/>
      <c r="M839" s="17"/>
      <c r="N839" s="17"/>
      <c r="O839" s="18">
        <f t="shared" ref="O839:O849" si="207">M839*J839</f>
        <v>0</v>
      </c>
      <c r="P839" s="18">
        <f t="shared" ref="P839:P849" si="208">N839*J839</f>
        <v>0</v>
      </c>
      <c r="Q839" s="8">
        <f t="shared" ref="Q839:Q849" si="209">(M839*J839)+(N839*J839)</f>
        <v>0</v>
      </c>
    </row>
    <row r="840" spans="1:17" ht="23.25" customHeight="1" x14ac:dyDescent="0.5">
      <c r="A840" s="77">
        <v>229</v>
      </c>
      <c r="B840" s="78" t="s">
        <v>221</v>
      </c>
      <c r="C840" s="115" t="s">
        <v>221</v>
      </c>
      <c r="D840" s="14" t="s">
        <v>193</v>
      </c>
      <c r="E840" s="15"/>
      <c r="F840" s="15"/>
      <c r="G840" s="15"/>
      <c r="H840" s="15"/>
      <c r="I840" s="172"/>
      <c r="J840" s="202">
        <f t="shared" si="206"/>
        <v>0</v>
      </c>
      <c r="K840" s="94">
        <f t="shared" si="185"/>
        <v>0</v>
      </c>
      <c r="L840" s="16"/>
      <c r="M840" s="17"/>
      <c r="N840" s="17"/>
      <c r="O840" s="18">
        <f t="shared" si="207"/>
        <v>0</v>
      </c>
      <c r="P840" s="18">
        <f t="shared" si="208"/>
        <v>0</v>
      </c>
      <c r="Q840" s="8">
        <f t="shared" si="209"/>
        <v>0</v>
      </c>
    </row>
    <row r="841" spans="1:17" ht="23.25" customHeight="1" x14ac:dyDescent="0.5">
      <c r="A841" s="77">
        <v>230</v>
      </c>
      <c r="B841" s="78" t="s">
        <v>221</v>
      </c>
      <c r="C841" s="115" t="s">
        <v>221</v>
      </c>
      <c r="D841" s="14" t="s">
        <v>193</v>
      </c>
      <c r="E841" s="15"/>
      <c r="F841" s="15"/>
      <c r="G841" s="15"/>
      <c r="H841" s="15"/>
      <c r="I841" s="172"/>
      <c r="J841" s="202">
        <f t="shared" si="206"/>
        <v>0</v>
      </c>
      <c r="K841" s="94">
        <f t="shared" si="185"/>
        <v>0</v>
      </c>
      <c r="L841" s="16"/>
      <c r="M841" s="17"/>
      <c r="N841" s="17"/>
      <c r="O841" s="18">
        <f t="shared" si="207"/>
        <v>0</v>
      </c>
      <c r="P841" s="18">
        <f t="shared" si="208"/>
        <v>0</v>
      </c>
      <c r="Q841" s="8">
        <f t="shared" si="209"/>
        <v>0</v>
      </c>
    </row>
    <row r="842" spans="1:17" ht="23.25" customHeight="1" x14ac:dyDescent="0.5">
      <c r="A842" s="77">
        <v>231</v>
      </c>
      <c r="B842" s="78" t="s">
        <v>221</v>
      </c>
      <c r="C842" s="115" t="s">
        <v>221</v>
      </c>
      <c r="D842" s="14" t="s">
        <v>193</v>
      </c>
      <c r="E842" s="15"/>
      <c r="F842" s="15"/>
      <c r="G842" s="15"/>
      <c r="H842" s="15"/>
      <c r="I842" s="172"/>
      <c r="J842" s="202">
        <f t="shared" si="206"/>
        <v>0</v>
      </c>
      <c r="K842" s="94">
        <f t="shared" si="185"/>
        <v>0</v>
      </c>
      <c r="L842" s="16"/>
      <c r="M842" s="17"/>
      <c r="N842" s="17"/>
      <c r="O842" s="18">
        <f t="shared" si="207"/>
        <v>0</v>
      </c>
      <c r="P842" s="18">
        <f t="shared" si="208"/>
        <v>0</v>
      </c>
      <c r="Q842" s="8">
        <f t="shared" si="209"/>
        <v>0</v>
      </c>
    </row>
    <row r="843" spans="1:17" ht="23.25" customHeight="1" x14ac:dyDescent="0.5">
      <c r="A843" s="77">
        <v>232</v>
      </c>
      <c r="B843" s="78" t="s">
        <v>221</v>
      </c>
      <c r="C843" s="115" t="s">
        <v>221</v>
      </c>
      <c r="D843" s="14" t="s">
        <v>193</v>
      </c>
      <c r="E843" s="15"/>
      <c r="F843" s="15"/>
      <c r="G843" s="15"/>
      <c r="H843" s="15"/>
      <c r="I843" s="172"/>
      <c r="J843" s="202">
        <f t="shared" si="206"/>
        <v>0</v>
      </c>
      <c r="K843" s="94">
        <f t="shared" si="185"/>
        <v>0</v>
      </c>
      <c r="L843" s="16"/>
      <c r="M843" s="17"/>
      <c r="N843" s="17"/>
      <c r="O843" s="18">
        <f t="shared" si="207"/>
        <v>0</v>
      </c>
      <c r="P843" s="18">
        <f t="shared" si="208"/>
        <v>0</v>
      </c>
      <c r="Q843" s="8">
        <f t="shared" si="209"/>
        <v>0</v>
      </c>
    </row>
    <row r="844" spans="1:17" ht="23.25" customHeight="1" x14ac:dyDescent="0.5">
      <c r="A844" s="77">
        <v>233</v>
      </c>
      <c r="B844" s="78" t="s">
        <v>221</v>
      </c>
      <c r="C844" s="115" t="s">
        <v>221</v>
      </c>
      <c r="D844" s="14" t="s">
        <v>193</v>
      </c>
      <c r="E844" s="15"/>
      <c r="F844" s="15"/>
      <c r="G844" s="15"/>
      <c r="H844" s="15"/>
      <c r="I844" s="172"/>
      <c r="J844" s="202">
        <f t="shared" si="206"/>
        <v>0</v>
      </c>
      <c r="K844" s="94">
        <f t="shared" si="185"/>
        <v>0</v>
      </c>
      <c r="L844" s="16"/>
      <c r="M844" s="17"/>
      <c r="N844" s="17"/>
      <c r="O844" s="18">
        <f t="shared" si="207"/>
        <v>0</v>
      </c>
      <c r="P844" s="18">
        <f t="shared" si="208"/>
        <v>0</v>
      </c>
      <c r="Q844" s="8">
        <f t="shared" si="209"/>
        <v>0</v>
      </c>
    </row>
    <row r="845" spans="1:17" ht="23.25" customHeight="1" x14ac:dyDescent="0.5">
      <c r="A845" s="77">
        <v>234</v>
      </c>
      <c r="B845" s="78" t="s">
        <v>221</v>
      </c>
      <c r="C845" s="115" t="s">
        <v>221</v>
      </c>
      <c r="D845" s="14" t="s">
        <v>193</v>
      </c>
      <c r="E845" s="15"/>
      <c r="F845" s="15"/>
      <c r="G845" s="15"/>
      <c r="H845" s="15"/>
      <c r="I845" s="172"/>
      <c r="J845" s="202">
        <f t="shared" si="206"/>
        <v>0</v>
      </c>
      <c r="K845" s="94">
        <f t="shared" ref="K845:K908" si="210">+J845-I845</f>
        <v>0</v>
      </c>
      <c r="L845" s="16"/>
      <c r="M845" s="17"/>
      <c r="N845" s="17"/>
      <c r="O845" s="18">
        <f t="shared" si="207"/>
        <v>0</v>
      </c>
      <c r="P845" s="18">
        <f t="shared" si="208"/>
        <v>0</v>
      </c>
      <c r="Q845" s="8">
        <f t="shared" si="209"/>
        <v>0</v>
      </c>
    </row>
    <row r="846" spans="1:17" ht="23.25" customHeight="1" x14ac:dyDescent="0.5">
      <c r="A846" s="77">
        <v>235</v>
      </c>
      <c r="B846" s="78" t="s">
        <v>221</v>
      </c>
      <c r="C846" s="115" t="s">
        <v>221</v>
      </c>
      <c r="D846" s="14" t="s">
        <v>193</v>
      </c>
      <c r="E846" s="15"/>
      <c r="F846" s="15"/>
      <c r="G846" s="15"/>
      <c r="H846" s="15"/>
      <c r="I846" s="172"/>
      <c r="J846" s="202">
        <f t="shared" si="206"/>
        <v>0</v>
      </c>
      <c r="K846" s="94">
        <f t="shared" si="210"/>
        <v>0</v>
      </c>
      <c r="L846" s="16"/>
      <c r="M846" s="17"/>
      <c r="N846" s="17"/>
      <c r="O846" s="18">
        <f t="shared" si="207"/>
        <v>0</v>
      </c>
      <c r="P846" s="18">
        <f t="shared" si="208"/>
        <v>0</v>
      </c>
      <c r="Q846" s="8">
        <f t="shared" si="209"/>
        <v>0</v>
      </c>
    </row>
    <row r="847" spans="1:17" ht="23.25" customHeight="1" x14ac:dyDescent="0.5">
      <c r="A847" s="77">
        <v>236</v>
      </c>
      <c r="B847" s="78" t="s">
        <v>221</v>
      </c>
      <c r="C847" s="115" t="s">
        <v>221</v>
      </c>
      <c r="D847" s="14" t="s">
        <v>193</v>
      </c>
      <c r="E847" s="15"/>
      <c r="F847" s="15"/>
      <c r="G847" s="15"/>
      <c r="H847" s="15"/>
      <c r="I847" s="172"/>
      <c r="J847" s="202">
        <f t="shared" si="206"/>
        <v>0</v>
      </c>
      <c r="K847" s="94">
        <f t="shared" si="210"/>
        <v>0</v>
      </c>
      <c r="L847" s="16"/>
      <c r="M847" s="17"/>
      <c r="N847" s="17"/>
      <c r="O847" s="18">
        <f t="shared" si="207"/>
        <v>0</v>
      </c>
      <c r="P847" s="18">
        <f t="shared" si="208"/>
        <v>0</v>
      </c>
      <c r="Q847" s="8">
        <f t="shared" si="209"/>
        <v>0</v>
      </c>
    </row>
    <row r="848" spans="1:17" ht="23.25" customHeight="1" x14ac:dyDescent="0.5">
      <c r="A848" s="77">
        <v>237</v>
      </c>
      <c r="B848" s="78" t="s">
        <v>221</v>
      </c>
      <c r="C848" s="115" t="s">
        <v>221</v>
      </c>
      <c r="D848" s="14" t="s">
        <v>193</v>
      </c>
      <c r="E848" s="15"/>
      <c r="F848" s="15"/>
      <c r="G848" s="15"/>
      <c r="H848" s="15"/>
      <c r="I848" s="172"/>
      <c r="J848" s="202">
        <f t="shared" si="206"/>
        <v>0</v>
      </c>
      <c r="K848" s="94">
        <f t="shared" si="210"/>
        <v>0</v>
      </c>
      <c r="L848" s="16"/>
      <c r="M848" s="17"/>
      <c r="N848" s="17"/>
      <c r="O848" s="18">
        <f t="shared" si="207"/>
        <v>0</v>
      </c>
      <c r="P848" s="18">
        <f t="shared" si="208"/>
        <v>0</v>
      </c>
      <c r="Q848" s="8">
        <f t="shared" si="209"/>
        <v>0</v>
      </c>
    </row>
    <row r="849" spans="1:20" ht="23.25" customHeight="1" x14ac:dyDescent="0.5">
      <c r="A849" s="77">
        <v>238</v>
      </c>
      <c r="B849" s="78" t="s">
        <v>221</v>
      </c>
      <c r="C849" s="115" t="s">
        <v>221</v>
      </c>
      <c r="D849" s="14" t="s">
        <v>193</v>
      </c>
      <c r="E849" s="15"/>
      <c r="F849" s="15"/>
      <c r="G849" s="15"/>
      <c r="H849" s="15"/>
      <c r="I849" s="172"/>
      <c r="J849" s="202">
        <f t="shared" si="206"/>
        <v>0</v>
      </c>
      <c r="K849" s="94">
        <f t="shared" si="210"/>
        <v>0</v>
      </c>
      <c r="L849" s="16"/>
      <c r="M849" s="17"/>
      <c r="N849" s="17"/>
      <c r="O849" s="18">
        <f t="shared" si="207"/>
        <v>0</v>
      </c>
      <c r="P849" s="18">
        <f t="shared" si="208"/>
        <v>0</v>
      </c>
      <c r="Q849" s="8">
        <f t="shared" si="209"/>
        <v>0</v>
      </c>
    </row>
    <row r="850" spans="1:20" ht="18" customHeight="1" x14ac:dyDescent="0.55000000000000004">
      <c r="A850" s="77">
        <v>239</v>
      </c>
      <c r="B850" s="78" t="s">
        <v>240</v>
      </c>
      <c r="C850" s="100" t="s">
        <v>240</v>
      </c>
      <c r="D850" s="80" t="s">
        <v>241</v>
      </c>
      <c r="E850" s="81"/>
      <c r="F850" s="81"/>
      <c r="G850" s="81"/>
      <c r="H850" s="82"/>
      <c r="I850" s="83"/>
      <c r="J850" s="200"/>
      <c r="K850" s="94">
        <f t="shared" si="210"/>
        <v>0</v>
      </c>
      <c r="L850" s="84"/>
      <c r="M850" s="84"/>
      <c r="N850" s="84"/>
      <c r="O850" s="26"/>
      <c r="P850" s="26"/>
      <c r="Q850" s="7"/>
    </row>
    <row r="851" spans="1:20" ht="23.25" customHeight="1" x14ac:dyDescent="0.5">
      <c r="A851" s="77">
        <v>240</v>
      </c>
      <c r="B851" s="78" t="s">
        <v>240</v>
      </c>
      <c r="C851" s="115" t="s">
        <v>240</v>
      </c>
      <c r="D851" s="14" t="s">
        <v>569</v>
      </c>
      <c r="E851" s="15"/>
      <c r="F851" s="15"/>
      <c r="G851" s="15" t="s">
        <v>518</v>
      </c>
      <c r="H851" s="21"/>
      <c r="I851" s="30">
        <v>1</v>
      </c>
      <c r="J851" s="202">
        <v>12</v>
      </c>
      <c r="K851" s="94">
        <f t="shared" si="210"/>
        <v>11</v>
      </c>
      <c r="L851" s="16" t="s">
        <v>530</v>
      </c>
      <c r="M851" s="17"/>
      <c r="N851" s="17"/>
      <c r="O851" s="18">
        <f t="shared" ref="O851:O861" si="211">M851*J851</f>
        <v>0</v>
      </c>
      <c r="P851" s="18">
        <f t="shared" ref="P851:P861" si="212">N851*J851</f>
        <v>0</v>
      </c>
      <c r="Q851" s="8">
        <f t="shared" ref="Q851:Q861" si="213">(M851*J851)+(N851*J851)</f>
        <v>0</v>
      </c>
    </row>
    <row r="852" spans="1:20" ht="23.25" customHeight="1" x14ac:dyDescent="0.5">
      <c r="A852" s="77">
        <v>241</v>
      </c>
      <c r="B852" s="78" t="s">
        <v>240</v>
      </c>
      <c r="C852" s="115" t="s">
        <v>240</v>
      </c>
      <c r="D852" s="14" t="s">
        <v>519</v>
      </c>
      <c r="E852" s="15"/>
      <c r="F852" s="15"/>
      <c r="G852" s="15" t="s">
        <v>520</v>
      </c>
      <c r="H852" s="15"/>
      <c r="I852" s="172">
        <v>1</v>
      </c>
      <c r="J852" s="202">
        <v>0</v>
      </c>
      <c r="K852" s="94">
        <f t="shared" si="210"/>
        <v>-1</v>
      </c>
      <c r="L852" s="16" t="s">
        <v>530</v>
      </c>
      <c r="M852" s="17"/>
      <c r="N852" s="17"/>
      <c r="O852" s="18">
        <f t="shared" si="211"/>
        <v>0</v>
      </c>
      <c r="P852" s="18">
        <f t="shared" si="212"/>
        <v>0</v>
      </c>
      <c r="Q852" s="8">
        <f t="shared" si="213"/>
        <v>0</v>
      </c>
      <c r="R852" s="211" t="s">
        <v>570</v>
      </c>
      <c r="S852" s="211"/>
      <c r="T852" s="211"/>
    </row>
    <row r="853" spans="1:20" ht="23.25" customHeight="1" x14ac:dyDescent="0.5">
      <c r="A853" s="77">
        <v>242</v>
      </c>
      <c r="B853" s="78" t="s">
        <v>240</v>
      </c>
      <c r="C853" s="115" t="s">
        <v>240</v>
      </c>
      <c r="D853" s="14" t="s">
        <v>252</v>
      </c>
      <c r="E853" s="15"/>
      <c r="F853" s="15"/>
      <c r="G853" s="15" t="s">
        <v>521</v>
      </c>
      <c r="H853" s="15"/>
      <c r="I853" s="172">
        <v>1</v>
      </c>
      <c r="J853" s="202">
        <v>0</v>
      </c>
      <c r="K853" s="94">
        <f t="shared" si="210"/>
        <v>-1</v>
      </c>
      <c r="L853" s="16" t="s">
        <v>530</v>
      </c>
      <c r="M853" s="17"/>
      <c r="N853" s="17"/>
      <c r="O853" s="18">
        <f t="shared" si="211"/>
        <v>0</v>
      </c>
      <c r="P853" s="18">
        <f t="shared" si="212"/>
        <v>0</v>
      </c>
      <c r="Q853" s="8">
        <f t="shared" si="213"/>
        <v>0</v>
      </c>
      <c r="R853" s="213" t="s">
        <v>531</v>
      </c>
      <c r="S853" s="213"/>
      <c r="T853" s="213"/>
    </row>
    <row r="854" spans="1:20" ht="23.25" customHeight="1" x14ac:dyDescent="0.5">
      <c r="A854" s="77">
        <v>243</v>
      </c>
      <c r="B854" s="78" t="s">
        <v>240</v>
      </c>
      <c r="C854" s="115" t="s">
        <v>240</v>
      </c>
      <c r="D854" s="14" t="s">
        <v>522</v>
      </c>
      <c r="E854" s="15"/>
      <c r="F854" s="15"/>
      <c r="G854" s="15" t="s">
        <v>523</v>
      </c>
      <c r="H854" s="15"/>
      <c r="I854" s="172">
        <v>1</v>
      </c>
      <c r="J854" s="202">
        <f t="shared" ref="J854:J861" si="214">I854</f>
        <v>1</v>
      </c>
      <c r="K854" s="94">
        <f t="shared" si="210"/>
        <v>0</v>
      </c>
      <c r="L854" s="16" t="s">
        <v>530</v>
      </c>
      <c r="M854" s="17"/>
      <c r="N854" s="17"/>
      <c r="O854" s="18">
        <f t="shared" si="211"/>
        <v>0</v>
      </c>
      <c r="P854" s="18">
        <f t="shared" si="212"/>
        <v>0</v>
      </c>
      <c r="Q854" s="8">
        <f t="shared" si="213"/>
        <v>0</v>
      </c>
    </row>
    <row r="855" spans="1:20" ht="23.25" customHeight="1" x14ac:dyDescent="0.5">
      <c r="A855" s="77">
        <v>244</v>
      </c>
      <c r="B855" s="78" t="s">
        <v>240</v>
      </c>
      <c r="C855" s="115" t="s">
        <v>240</v>
      </c>
      <c r="D855" s="14" t="s">
        <v>524</v>
      </c>
      <c r="E855" s="15"/>
      <c r="F855" s="15"/>
      <c r="G855" s="15" t="s">
        <v>525</v>
      </c>
      <c r="H855" s="15"/>
      <c r="I855" s="172">
        <v>1</v>
      </c>
      <c r="J855" s="202">
        <v>0</v>
      </c>
      <c r="K855" s="94">
        <f t="shared" si="210"/>
        <v>-1</v>
      </c>
      <c r="L855" s="16" t="s">
        <v>530</v>
      </c>
      <c r="M855" s="17"/>
      <c r="N855" s="17"/>
      <c r="O855" s="18">
        <f t="shared" si="211"/>
        <v>0</v>
      </c>
      <c r="P855" s="18">
        <f t="shared" si="212"/>
        <v>0</v>
      </c>
      <c r="Q855" s="8">
        <f t="shared" si="213"/>
        <v>0</v>
      </c>
      <c r="R855" s="211" t="s">
        <v>572</v>
      </c>
      <c r="S855" s="211"/>
    </row>
    <row r="856" spans="1:20" ht="23.25" customHeight="1" x14ac:dyDescent="0.5">
      <c r="A856" s="77">
        <v>245</v>
      </c>
      <c r="B856" s="78" t="s">
        <v>240</v>
      </c>
      <c r="C856" s="115" t="s">
        <v>240</v>
      </c>
      <c r="D856" s="14" t="s">
        <v>526</v>
      </c>
      <c r="E856" s="15"/>
      <c r="F856" s="15"/>
      <c r="G856" s="15" t="s">
        <v>527</v>
      </c>
      <c r="H856" s="15"/>
      <c r="I856" s="172">
        <v>1</v>
      </c>
      <c r="J856" s="202">
        <f t="shared" si="214"/>
        <v>1</v>
      </c>
      <c r="K856" s="94">
        <f t="shared" si="210"/>
        <v>0</v>
      </c>
      <c r="L856" s="16" t="s">
        <v>530</v>
      </c>
      <c r="M856" s="17"/>
      <c r="N856" s="17"/>
      <c r="O856" s="18">
        <f t="shared" si="211"/>
        <v>0</v>
      </c>
      <c r="P856" s="18">
        <f t="shared" si="212"/>
        <v>0</v>
      </c>
      <c r="Q856" s="8">
        <f t="shared" si="213"/>
        <v>0</v>
      </c>
    </row>
    <row r="857" spans="1:20" ht="23.25" customHeight="1" x14ac:dyDescent="0.5">
      <c r="A857" s="77">
        <v>246</v>
      </c>
      <c r="B857" s="78" t="s">
        <v>240</v>
      </c>
      <c r="C857" s="115" t="s">
        <v>240</v>
      </c>
      <c r="D857" s="14" t="s">
        <v>528</v>
      </c>
      <c r="E857" s="15"/>
      <c r="F857" s="15"/>
      <c r="G857" s="15" t="s">
        <v>529</v>
      </c>
      <c r="H857" s="15"/>
      <c r="I857" s="172">
        <v>1</v>
      </c>
      <c r="J857" s="202">
        <v>0</v>
      </c>
      <c r="K857" s="94">
        <f t="shared" si="210"/>
        <v>-1</v>
      </c>
      <c r="L857" s="16" t="s">
        <v>530</v>
      </c>
      <c r="M857" s="17"/>
      <c r="N857" s="17"/>
      <c r="O857" s="18">
        <f t="shared" si="211"/>
        <v>0</v>
      </c>
      <c r="P857" s="18">
        <f t="shared" si="212"/>
        <v>0</v>
      </c>
      <c r="Q857" s="8">
        <f t="shared" si="213"/>
        <v>0</v>
      </c>
      <c r="R857" s="211" t="s">
        <v>572</v>
      </c>
      <c r="S857" s="213"/>
      <c r="T857" s="213"/>
    </row>
    <row r="858" spans="1:20" s="263" customFormat="1" ht="23.25" customHeight="1" x14ac:dyDescent="0.5">
      <c r="A858" s="264">
        <v>247</v>
      </c>
      <c r="B858" s="251" t="s">
        <v>240</v>
      </c>
      <c r="C858" s="265" t="s">
        <v>240</v>
      </c>
      <c r="D858" s="253" t="s">
        <v>573</v>
      </c>
      <c r="E858" s="254"/>
      <c r="F858" s="254"/>
      <c r="G858" s="254"/>
      <c r="H858" s="254"/>
      <c r="I858" s="255"/>
      <c r="J858" s="256">
        <v>2</v>
      </c>
      <c r="K858" s="257">
        <f t="shared" si="210"/>
        <v>2</v>
      </c>
      <c r="L858" s="258" t="s">
        <v>530</v>
      </c>
      <c r="M858" s="259"/>
      <c r="N858" s="259"/>
      <c r="O858" s="260">
        <f t="shared" si="211"/>
        <v>0</v>
      </c>
      <c r="P858" s="260">
        <f t="shared" si="212"/>
        <v>0</v>
      </c>
      <c r="Q858" s="261">
        <f t="shared" si="213"/>
        <v>0</v>
      </c>
    </row>
    <row r="859" spans="1:20" ht="23.25" customHeight="1" x14ac:dyDescent="0.5">
      <c r="A859" s="77">
        <v>248</v>
      </c>
      <c r="B859" s="78" t="s">
        <v>240</v>
      </c>
      <c r="C859" s="115" t="s">
        <v>240</v>
      </c>
      <c r="D859" s="14" t="s">
        <v>193</v>
      </c>
      <c r="E859" s="15"/>
      <c r="F859" s="15"/>
      <c r="G859" s="15"/>
      <c r="H859" s="15"/>
      <c r="I859" s="172"/>
      <c r="J859" s="202">
        <f t="shared" si="214"/>
        <v>0</v>
      </c>
      <c r="K859" s="94">
        <f t="shared" si="210"/>
        <v>0</v>
      </c>
      <c r="L859" s="16"/>
      <c r="M859" s="17"/>
      <c r="N859" s="17"/>
      <c r="O859" s="18">
        <f t="shared" si="211"/>
        <v>0</v>
      </c>
      <c r="P859" s="18">
        <f t="shared" si="212"/>
        <v>0</v>
      </c>
      <c r="Q859" s="8">
        <f t="shared" si="213"/>
        <v>0</v>
      </c>
    </row>
    <row r="860" spans="1:20" ht="23.25" customHeight="1" x14ac:dyDescent="0.5">
      <c r="A860" s="77">
        <v>249</v>
      </c>
      <c r="B860" s="78" t="s">
        <v>240</v>
      </c>
      <c r="C860" s="115" t="s">
        <v>240</v>
      </c>
      <c r="D860" s="14" t="s">
        <v>193</v>
      </c>
      <c r="E860" s="15"/>
      <c r="F860" s="15"/>
      <c r="G860" s="15"/>
      <c r="H860" s="15"/>
      <c r="I860" s="172"/>
      <c r="J860" s="202">
        <f t="shared" si="214"/>
        <v>0</v>
      </c>
      <c r="K860" s="94">
        <f t="shared" si="210"/>
        <v>0</v>
      </c>
      <c r="L860" s="16"/>
      <c r="M860" s="17"/>
      <c r="N860" s="17"/>
      <c r="O860" s="18">
        <f t="shared" si="211"/>
        <v>0</v>
      </c>
      <c r="P860" s="18">
        <f t="shared" si="212"/>
        <v>0</v>
      </c>
      <c r="Q860" s="8">
        <f t="shared" si="213"/>
        <v>0</v>
      </c>
    </row>
    <row r="861" spans="1:20" ht="23.25" customHeight="1" x14ac:dyDescent="0.5">
      <c r="A861" s="77">
        <v>250</v>
      </c>
      <c r="B861" s="78" t="s">
        <v>240</v>
      </c>
      <c r="C861" s="115" t="s">
        <v>240</v>
      </c>
      <c r="D861" s="14" t="s">
        <v>193</v>
      </c>
      <c r="E861" s="15"/>
      <c r="F861" s="15"/>
      <c r="G861" s="15"/>
      <c r="H861" s="15"/>
      <c r="I861" s="172"/>
      <c r="J861" s="202">
        <f t="shared" si="214"/>
        <v>0</v>
      </c>
      <c r="K861" s="94">
        <f t="shared" si="210"/>
        <v>0</v>
      </c>
      <c r="L861" s="16"/>
      <c r="M861" s="17"/>
      <c r="N861" s="17"/>
      <c r="O861" s="18">
        <f t="shared" si="211"/>
        <v>0</v>
      </c>
      <c r="P861" s="18">
        <f t="shared" si="212"/>
        <v>0</v>
      </c>
      <c r="Q861" s="8">
        <f t="shared" si="213"/>
        <v>0</v>
      </c>
    </row>
    <row r="862" spans="1:20" ht="18" customHeight="1" x14ac:dyDescent="0.55000000000000004">
      <c r="A862" s="77">
        <v>251</v>
      </c>
      <c r="B862" s="78" t="s">
        <v>250</v>
      </c>
      <c r="C862" s="100" t="s">
        <v>250</v>
      </c>
      <c r="D862" s="80" t="s">
        <v>251</v>
      </c>
      <c r="E862" s="81"/>
      <c r="F862" s="81"/>
      <c r="G862" s="81"/>
      <c r="H862" s="82"/>
      <c r="I862" s="83"/>
      <c r="J862" s="200"/>
      <c r="K862" s="94">
        <f t="shared" si="210"/>
        <v>0</v>
      </c>
      <c r="L862" s="84"/>
      <c r="M862" s="84"/>
      <c r="N862" s="84"/>
      <c r="O862" s="26"/>
      <c r="P862" s="26"/>
      <c r="Q862" s="7"/>
    </row>
    <row r="863" spans="1:20" ht="23.25" customHeight="1" x14ac:dyDescent="0.5">
      <c r="A863" s="77">
        <v>252</v>
      </c>
      <c r="B863" s="78" t="s">
        <v>250</v>
      </c>
      <c r="C863" s="100" t="s">
        <v>250</v>
      </c>
      <c r="D863" s="14"/>
      <c r="E863" s="15"/>
      <c r="F863" s="15"/>
      <c r="G863" s="15"/>
      <c r="H863" s="15"/>
      <c r="I863" s="172"/>
      <c r="J863" s="202">
        <f>I863</f>
        <v>0</v>
      </c>
      <c r="K863" s="94">
        <f t="shared" si="210"/>
        <v>0</v>
      </c>
      <c r="L863" s="16"/>
      <c r="M863" s="17"/>
      <c r="N863" s="17"/>
      <c r="O863" s="18">
        <f t="shared" ref="O863:O872" si="215">M863*J863</f>
        <v>0</v>
      </c>
      <c r="P863" s="18">
        <f t="shared" ref="P863:P872" si="216">N863*J863</f>
        <v>0</v>
      </c>
      <c r="Q863" s="8">
        <f t="shared" ref="Q863:Q872" si="217">(M863*J863)+(N863*J863)</f>
        <v>0</v>
      </c>
    </row>
    <row r="864" spans="1:20" ht="23.25" customHeight="1" x14ac:dyDescent="0.5">
      <c r="A864" s="77">
        <v>253</v>
      </c>
      <c r="B864" s="78" t="s">
        <v>250</v>
      </c>
      <c r="C864" s="100" t="s">
        <v>250</v>
      </c>
      <c r="D864" s="14"/>
      <c r="E864" s="15"/>
      <c r="F864" s="15"/>
      <c r="G864" s="15"/>
      <c r="H864" s="15"/>
      <c r="I864" s="172"/>
      <c r="J864" s="202"/>
      <c r="K864" s="94"/>
      <c r="L864" s="16"/>
      <c r="M864" s="17"/>
      <c r="N864" s="17"/>
      <c r="O864" s="18">
        <f t="shared" si="215"/>
        <v>0</v>
      </c>
      <c r="P864" s="18">
        <f t="shared" si="216"/>
        <v>0</v>
      </c>
      <c r="Q864" s="8">
        <f t="shared" si="217"/>
        <v>0</v>
      </c>
    </row>
    <row r="865" spans="1:17" ht="23.25" customHeight="1" x14ac:dyDescent="0.5">
      <c r="A865" s="77">
        <v>254</v>
      </c>
      <c r="B865" s="78" t="s">
        <v>250</v>
      </c>
      <c r="C865" s="100" t="s">
        <v>250</v>
      </c>
      <c r="D865" s="14" t="s">
        <v>193</v>
      </c>
      <c r="E865" s="15"/>
      <c r="F865" s="15"/>
      <c r="G865" s="15"/>
      <c r="H865" s="15"/>
      <c r="I865" s="172"/>
      <c r="J865" s="202">
        <f t="shared" ref="J865:J869" si="218">I865</f>
        <v>0</v>
      </c>
      <c r="K865" s="94">
        <f t="shared" si="210"/>
        <v>0</v>
      </c>
      <c r="L865" s="16"/>
      <c r="M865" s="17"/>
      <c r="N865" s="17"/>
      <c r="O865" s="18">
        <f t="shared" si="215"/>
        <v>0</v>
      </c>
      <c r="P865" s="18">
        <f t="shared" si="216"/>
        <v>0</v>
      </c>
      <c r="Q865" s="8">
        <f t="shared" si="217"/>
        <v>0</v>
      </c>
    </row>
    <row r="866" spans="1:17" ht="23.25" customHeight="1" x14ac:dyDescent="0.5">
      <c r="A866" s="77">
        <v>255</v>
      </c>
      <c r="B866" s="78" t="s">
        <v>250</v>
      </c>
      <c r="C866" s="100" t="s">
        <v>250</v>
      </c>
      <c r="D866" s="14" t="s">
        <v>193</v>
      </c>
      <c r="E866" s="15"/>
      <c r="F866" s="15"/>
      <c r="G866" s="15"/>
      <c r="H866" s="15"/>
      <c r="I866" s="172"/>
      <c r="J866" s="202">
        <f t="shared" si="218"/>
        <v>0</v>
      </c>
      <c r="K866" s="94">
        <f t="shared" si="210"/>
        <v>0</v>
      </c>
      <c r="L866" s="16"/>
      <c r="M866" s="17"/>
      <c r="N866" s="17"/>
      <c r="O866" s="18">
        <f t="shared" si="215"/>
        <v>0</v>
      </c>
      <c r="P866" s="18">
        <f t="shared" si="216"/>
        <v>0</v>
      </c>
      <c r="Q866" s="8">
        <f t="shared" si="217"/>
        <v>0</v>
      </c>
    </row>
    <row r="867" spans="1:17" ht="23.25" customHeight="1" x14ac:dyDescent="0.5">
      <c r="A867" s="77">
        <v>256</v>
      </c>
      <c r="B867" s="78" t="s">
        <v>250</v>
      </c>
      <c r="C867" s="100" t="s">
        <v>250</v>
      </c>
      <c r="D867" s="14" t="s">
        <v>193</v>
      </c>
      <c r="E867" s="15"/>
      <c r="F867" s="15"/>
      <c r="G867" s="15"/>
      <c r="H867" s="15"/>
      <c r="I867" s="172"/>
      <c r="J867" s="202">
        <f t="shared" si="218"/>
        <v>0</v>
      </c>
      <c r="K867" s="94">
        <f t="shared" si="210"/>
        <v>0</v>
      </c>
      <c r="L867" s="16"/>
      <c r="M867" s="17"/>
      <c r="N867" s="17"/>
      <c r="O867" s="18">
        <f t="shared" si="215"/>
        <v>0</v>
      </c>
      <c r="P867" s="18">
        <f t="shared" si="216"/>
        <v>0</v>
      </c>
      <c r="Q867" s="8">
        <f t="shared" si="217"/>
        <v>0</v>
      </c>
    </row>
    <row r="868" spans="1:17" ht="23.25" customHeight="1" x14ac:dyDescent="0.5">
      <c r="A868" s="77">
        <v>257</v>
      </c>
      <c r="B868" s="78" t="s">
        <v>250</v>
      </c>
      <c r="C868" s="100" t="s">
        <v>250</v>
      </c>
      <c r="D868" s="14" t="s">
        <v>193</v>
      </c>
      <c r="E868" s="15"/>
      <c r="F868" s="15"/>
      <c r="G868" s="15"/>
      <c r="H868" s="15"/>
      <c r="I868" s="172"/>
      <c r="J868" s="202">
        <f t="shared" si="218"/>
        <v>0</v>
      </c>
      <c r="K868" s="94">
        <f t="shared" si="210"/>
        <v>0</v>
      </c>
      <c r="L868" s="16"/>
      <c r="M868" s="17"/>
      <c r="N868" s="17"/>
      <c r="O868" s="18">
        <f t="shared" si="215"/>
        <v>0</v>
      </c>
      <c r="P868" s="18">
        <f t="shared" si="216"/>
        <v>0</v>
      </c>
      <c r="Q868" s="8">
        <f t="shared" si="217"/>
        <v>0</v>
      </c>
    </row>
    <row r="869" spans="1:17" ht="23.25" customHeight="1" x14ac:dyDescent="0.5">
      <c r="A869" s="77">
        <v>258</v>
      </c>
      <c r="B869" s="78" t="s">
        <v>250</v>
      </c>
      <c r="C869" s="100" t="s">
        <v>250</v>
      </c>
      <c r="D869" s="14" t="s">
        <v>193</v>
      </c>
      <c r="E869" s="15"/>
      <c r="F869" s="15"/>
      <c r="G869" s="15"/>
      <c r="H869" s="15"/>
      <c r="I869" s="172"/>
      <c r="J869" s="202">
        <f t="shared" si="218"/>
        <v>0</v>
      </c>
      <c r="K869" s="94">
        <f t="shared" si="210"/>
        <v>0</v>
      </c>
      <c r="L869" s="16"/>
      <c r="M869" s="17"/>
      <c r="N869" s="17"/>
      <c r="O869" s="18">
        <f t="shared" si="215"/>
        <v>0</v>
      </c>
      <c r="P869" s="18">
        <f t="shared" si="216"/>
        <v>0</v>
      </c>
      <c r="Q869" s="8">
        <f t="shared" si="217"/>
        <v>0</v>
      </c>
    </row>
    <row r="870" spans="1:17" ht="23.25" customHeight="1" x14ac:dyDescent="0.5">
      <c r="A870" s="77">
        <v>259</v>
      </c>
      <c r="B870" s="78" t="s">
        <v>250</v>
      </c>
      <c r="C870" s="100" t="s">
        <v>250</v>
      </c>
      <c r="D870" s="14" t="s">
        <v>193</v>
      </c>
      <c r="E870" s="15"/>
      <c r="F870" s="15"/>
      <c r="G870" s="15"/>
      <c r="H870" s="15"/>
      <c r="I870" s="172"/>
      <c r="J870" s="202">
        <f>I870</f>
        <v>0</v>
      </c>
      <c r="K870" s="94">
        <f t="shared" si="210"/>
        <v>0</v>
      </c>
      <c r="L870" s="16"/>
      <c r="M870" s="17"/>
      <c r="N870" s="17"/>
      <c r="O870" s="18">
        <f t="shared" si="215"/>
        <v>0</v>
      </c>
      <c r="P870" s="18">
        <f t="shared" si="216"/>
        <v>0</v>
      </c>
      <c r="Q870" s="8">
        <f t="shared" si="217"/>
        <v>0</v>
      </c>
    </row>
    <row r="871" spans="1:17" ht="23.25" customHeight="1" x14ac:dyDescent="0.5">
      <c r="A871" s="77">
        <v>260</v>
      </c>
      <c r="B871" s="78" t="s">
        <v>250</v>
      </c>
      <c r="C871" s="100" t="s">
        <v>250</v>
      </c>
      <c r="D871" s="14" t="s">
        <v>193</v>
      </c>
      <c r="E871" s="15"/>
      <c r="F871" s="15"/>
      <c r="G871" s="15"/>
      <c r="H871" s="15"/>
      <c r="I871" s="172"/>
      <c r="J871" s="202">
        <f>I871</f>
        <v>0</v>
      </c>
      <c r="K871" s="94">
        <f t="shared" si="210"/>
        <v>0</v>
      </c>
      <c r="L871" s="16"/>
      <c r="M871" s="17"/>
      <c r="N871" s="17"/>
      <c r="O871" s="18">
        <f t="shared" si="215"/>
        <v>0</v>
      </c>
      <c r="P871" s="18">
        <f t="shared" si="216"/>
        <v>0</v>
      </c>
      <c r="Q871" s="8">
        <f t="shared" si="217"/>
        <v>0</v>
      </c>
    </row>
    <row r="872" spans="1:17" ht="23.25" customHeight="1" thickBot="1" x14ac:dyDescent="0.55000000000000004">
      <c r="A872" s="77">
        <v>261</v>
      </c>
      <c r="B872" s="166" t="s">
        <v>250</v>
      </c>
      <c r="C872" s="167" t="s">
        <v>250</v>
      </c>
      <c r="D872" s="22" t="s">
        <v>193</v>
      </c>
      <c r="E872" s="23"/>
      <c r="F872" s="23"/>
      <c r="G872" s="23"/>
      <c r="H872" s="23"/>
      <c r="I872" s="173"/>
      <c r="J872" s="207">
        <f>I872</f>
        <v>0</v>
      </c>
      <c r="K872" s="94">
        <f t="shared" si="210"/>
        <v>0</v>
      </c>
      <c r="L872" s="24"/>
      <c r="M872" s="25"/>
      <c r="N872" s="25"/>
      <c r="O872" s="20">
        <f t="shared" si="215"/>
        <v>0</v>
      </c>
      <c r="P872" s="20">
        <f t="shared" si="216"/>
        <v>0</v>
      </c>
      <c r="Q872" s="13">
        <f t="shared" si="217"/>
        <v>0</v>
      </c>
    </row>
    <row r="873" spans="1:17" ht="23.25" customHeight="1" thickBot="1" x14ac:dyDescent="0.55000000000000004">
      <c r="A873" s="63"/>
      <c r="B873" s="63"/>
      <c r="C873" s="168"/>
      <c r="D873" s="63"/>
      <c r="E873" s="63"/>
      <c r="F873" s="168"/>
      <c r="G873" s="34"/>
      <c r="H873" s="34"/>
      <c r="I873" s="34"/>
      <c r="J873" s="208"/>
      <c r="K873" s="94">
        <f t="shared" si="210"/>
        <v>0</v>
      </c>
      <c r="L873" s="34"/>
      <c r="M873" s="34"/>
      <c r="N873" s="34"/>
      <c r="O873" s="34"/>
      <c r="P873" s="34"/>
      <c r="Q873" s="35"/>
    </row>
    <row r="874" spans="1:17" ht="43" customHeight="1" x14ac:dyDescent="0.5">
      <c r="A874" s="68" t="s">
        <v>6</v>
      </c>
      <c r="B874" s="69"/>
      <c r="C874" s="70" t="s">
        <v>7</v>
      </c>
      <c r="D874" s="71" t="s">
        <v>8</v>
      </c>
      <c r="E874" s="72" t="s">
        <v>9</v>
      </c>
      <c r="F874" s="72" t="s">
        <v>10</v>
      </c>
      <c r="G874" s="72" t="s">
        <v>11</v>
      </c>
      <c r="H874" s="72" t="s">
        <v>295</v>
      </c>
      <c r="I874" s="73" t="s">
        <v>13</v>
      </c>
      <c r="J874" s="199" t="s">
        <v>14</v>
      </c>
      <c r="K874" s="94" t="s">
        <v>566</v>
      </c>
      <c r="L874" s="73" t="s">
        <v>15</v>
      </c>
      <c r="M874" s="74"/>
      <c r="N874" s="74"/>
      <c r="O874" s="75"/>
      <c r="P874" s="75"/>
      <c r="Q874" s="76" t="s">
        <v>20</v>
      </c>
    </row>
    <row r="875" spans="1:17" ht="23.5" x14ac:dyDescent="0.55000000000000004">
      <c r="A875" s="125">
        <v>1</v>
      </c>
      <c r="B875" s="126" t="s">
        <v>296</v>
      </c>
      <c r="C875" s="100" t="s">
        <v>297</v>
      </c>
      <c r="D875" s="80" t="s">
        <v>297</v>
      </c>
      <c r="E875" s="81"/>
      <c r="F875" s="81"/>
      <c r="G875" s="81"/>
      <c r="H875" s="81"/>
      <c r="I875" s="169"/>
      <c r="J875" s="209"/>
      <c r="K875" s="94">
        <f t="shared" si="210"/>
        <v>0</v>
      </c>
      <c r="L875" s="81"/>
      <c r="M875" s="81"/>
      <c r="N875" s="81"/>
      <c r="O875" s="81"/>
      <c r="P875" s="12"/>
      <c r="Q875" s="7"/>
    </row>
    <row r="876" spans="1:17" ht="21" x14ac:dyDescent="0.5">
      <c r="A876" s="125">
        <v>2</v>
      </c>
      <c r="B876" s="126" t="s">
        <v>296</v>
      </c>
      <c r="C876" s="100" t="s">
        <v>297</v>
      </c>
      <c r="D876" s="14" t="s">
        <v>193</v>
      </c>
      <c r="E876" s="15"/>
      <c r="F876" s="15"/>
      <c r="G876" s="15"/>
      <c r="H876" s="21"/>
      <c r="I876" s="30"/>
      <c r="J876" s="202">
        <f t="shared" ref="J876:J898" si="219">I876</f>
        <v>0</v>
      </c>
      <c r="K876" s="94">
        <f t="shared" si="210"/>
        <v>0</v>
      </c>
      <c r="L876" s="16" t="s">
        <v>52</v>
      </c>
      <c r="M876" s="17"/>
      <c r="N876" s="17"/>
      <c r="O876" s="18">
        <f t="shared" ref="O876:O886" si="220">M876*J876</f>
        <v>0</v>
      </c>
      <c r="P876" s="18">
        <f t="shared" ref="P876:P886" si="221">N876*J876</f>
        <v>0</v>
      </c>
      <c r="Q876" s="8">
        <f t="shared" ref="Q876:Q886" si="222">(M876*J876)+(N876*J876)</f>
        <v>0</v>
      </c>
    </row>
    <row r="877" spans="1:17" ht="21" x14ac:dyDescent="0.5">
      <c r="A877" s="125">
        <v>3</v>
      </c>
      <c r="B877" s="126" t="s">
        <v>296</v>
      </c>
      <c r="C877" s="100" t="s">
        <v>297</v>
      </c>
      <c r="D877" s="14" t="s">
        <v>193</v>
      </c>
      <c r="E877" s="15"/>
      <c r="F877" s="15"/>
      <c r="G877" s="15"/>
      <c r="H877" s="15"/>
      <c r="I877" s="172"/>
      <c r="J877" s="202">
        <f t="shared" si="219"/>
        <v>0</v>
      </c>
      <c r="K877" s="94">
        <f t="shared" si="210"/>
        <v>0</v>
      </c>
      <c r="L877" s="16" t="s">
        <v>52</v>
      </c>
      <c r="M877" s="17"/>
      <c r="N877" s="17"/>
      <c r="O877" s="18">
        <f t="shared" si="220"/>
        <v>0</v>
      </c>
      <c r="P877" s="18">
        <f t="shared" si="221"/>
        <v>0</v>
      </c>
      <c r="Q877" s="8">
        <f t="shared" si="222"/>
        <v>0</v>
      </c>
    </row>
    <row r="878" spans="1:17" ht="21" x14ac:dyDescent="0.5">
      <c r="A878" s="125">
        <v>4</v>
      </c>
      <c r="B878" s="126" t="s">
        <v>296</v>
      </c>
      <c r="C878" s="100" t="s">
        <v>297</v>
      </c>
      <c r="D878" s="14" t="s">
        <v>193</v>
      </c>
      <c r="E878" s="15"/>
      <c r="F878" s="15"/>
      <c r="G878" s="15"/>
      <c r="H878" s="15"/>
      <c r="I878" s="172"/>
      <c r="J878" s="202">
        <f t="shared" si="219"/>
        <v>0</v>
      </c>
      <c r="K878" s="94">
        <f t="shared" si="210"/>
        <v>0</v>
      </c>
      <c r="L878" s="16" t="s">
        <v>52</v>
      </c>
      <c r="M878" s="17"/>
      <c r="N878" s="17"/>
      <c r="O878" s="18">
        <f t="shared" si="220"/>
        <v>0</v>
      </c>
      <c r="P878" s="18">
        <f t="shared" si="221"/>
        <v>0</v>
      </c>
      <c r="Q878" s="8">
        <f t="shared" si="222"/>
        <v>0</v>
      </c>
    </row>
    <row r="879" spans="1:17" ht="21" x14ac:dyDescent="0.5">
      <c r="A879" s="125">
        <v>5</v>
      </c>
      <c r="B879" s="126" t="s">
        <v>296</v>
      </c>
      <c r="C879" s="100" t="s">
        <v>297</v>
      </c>
      <c r="D879" s="14" t="s">
        <v>193</v>
      </c>
      <c r="E879" s="15"/>
      <c r="F879" s="15"/>
      <c r="G879" s="15"/>
      <c r="H879" s="15"/>
      <c r="I879" s="172"/>
      <c r="J879" s="202">
        <f t="shared" si="219"/>
        <v>0</v>
      </c>
      <c r="K879" s="94">
        <f t="shared" si="210"/>
        <v>0</v>
      </c>
      <c r="L879" s="16" t="s">
        <v>52</v>
      </c>
      <c r="M879" s="17"/>
      <c r="N879" s="17"/>
      <c r="O879" s="18">
        <f t="shared" si="220"/>
        <v>0</v>
      </c>
      <c r="P879" s="18">
        <f t="shared" si="221"/>
        <v>0</v>
      </c>
      <c r="Q879" s="8">
        <f t="shared" si="222"/>
        <v>0</v>
      </c>
    </row>
    <row r="880" spans="1:17" ht="21" x14ac:dyDescent="0.5">
      <c r="A880" s="125">
        <v>6</v>
      </c>
      <c r="B880" s="126" t="s">
        <v>296</v>
      </c>
      <c r="C880" s="100" t="s">
        <v>297</v>
      </c>
      <c r="D880" s="14" t="s">
        <v>193</v>
      </c>
      <c r="E880" s="15"/>
      <c r="F880" s="15"/>
      <c r="G880" s="15"/>
      <c r="H880" s="15"/>
      <c r="I880" s="172"/>
      <c r="J880" s="202">
        <f t="shared" si="219"/>
        <v>0</v>
      </c>
      <c r="K880" s="94">
        <f t="shared" si="210"/>
        <v>0</v>
      </c>
      <c r="L880" s="16" t="s">
        <v>52</v>
      </c>
      <c r="M880" s="17"/>
      <c r="N880" s="17"/>
      <c r="O880" s="18">
        <f t="shared" si="220"/>
        <v>0</v>
      </c>
      <c r="P880" s="18">
        <f t="shared" si="221"/>
        <v>0</v>
      </c>
      <c r="Q880" s="8">
        <f t="shared" si="222"/>
        <v>0</v>
      </c>
    </row>
    <row r="881" spans="1:17" ht="21" x14ac:dyDescent="0.5">
      <c r="A881" s="125">
        <v>7</v>
      </c>
      <c r="B881" s="126" t="s">
        <v>296</v>
      </c>
      <c r="C881" s="100" t="s">
        <v>297</v>
      </c>
      <c r="D881" s="14" t="s">
        <v>193</v>
      </c>
      <c r="E881" s="15"/>
      <c r="F881" s="15"/>
      <c r="G881" s="15"/>
      <c r="H881" s="15"/>
      <c r="I881" s="172"/>
      <c r="J881" s="202">
        <f t="shared" si="219"/>
        <v>0</v>
      </c>
      <c r="K881" s="94">
        <f t="shared" si="210"/>
        <v>0</v>
      </c>
      <c r="L881" s="16" t="s">
        <v>52</v>
      </c>
      <c r="M881" s="17"/>
      <c r="N881" s="17"/>
      <c r="O881" s="18">
        <f t="shared" si="220"/>
        <v>0</v>
      </c>
      <c r="P881" s="18">
        <f t="shared" si="221"/>
        <v>0</v>
      </c>
      <c r="Q881" s="8">
        <f t="shared" si="222"/>
        <v>0</v>
      </c>
    </row>
    <row r="882" spans="1:17" ht="21" x14ac:dyDescent="0.5">
      <c r="A882" s="125">
        <v>8</v>
      </c>
      <c r="B882" s="126" t="s">
        <v>296</v>
      </c>
      <c r="C882" s="100" t="s">
        <v>297</v>
      </c>
      <c r="D882" s="14" t="s">
        <v>193</v>
      </c>
      <c r="E882" s="15"/>
      <c r="F882" s="15"/>
      <c r="G882" s="15"/>
      <c r="H882" s="15"/>
      <c r="I882" s="172"/>
      <c r="J882" s="202">
        <f t="shared" si="219"/>
        <v>0</v>
      </c>
      <c r="K882" s="94">
        <f t="shared" si="210"/>
        <v>0</v>
      </c>
      <c r="L882" s="16" t="s">
        <v>52</v>
      </c>
      <c r="M882" s="17"/>
      <c r="N882" s="17"/>
      <c r="O882" s="18">
        <f t="shared" si="220"/>
        <v>0</v>
      </c>
      <c r="P882" s="18">
        <f t="shared" si="221"/>
        <v>0</v>
      </c>
      <c r="Q882" s="8">
        <f t="shared" si="222"/>
        <v>0</v>
      </c>
    </row>
    <row r="883" spans="1:17" ht="21" x14ac:dyDescent="0.5">
      <c r="A883" s="125">
        <v>9</v>
      </c>
      <c r="B883" s="126" t="s">
        <v>296</v>
      </c>
      <c r="C883" s="100" t="s">
        <v>297</v>
      </c>
      <c r="D883" s="14" t="s">
        <v>193</v>
      </c>
      <c r="E883" s="15"/>
      <c r="F883" s="15"/>
      <c r="G883" s="15"/>
      <c r="H883" s="15"/>
      <c r="I883" s="172"/>
      <c r="J883" s="202">
        <f t="shared" si="219"/>
        <v>0</v>
      </c>
      <c r="K883" s="94">
        <f t="shared" si="210"/>
        <v>0</v>
      </c>
      <c r="L883" s="16" t="s">
        <v>52</v>
      </c>
      <c r="M883" s="17"/>
      <c r="N883" s="17"/>
      <c r="O883" s="18">
        <f t="shared" si="220"/>
        <v>0</v>
      </c>
      <c r="P883" s="18">
        <f t="shared" si="221"/>
        <v>0</v>
      </c>
      <c r="Q883" s="8">
        <f t="shared" si="222"/>
        <v>0</v>
      </c>
    </row>
    <row r="884" spans="1:17" ht="21" x14ac:dyDescent="0.5">
      <c r="A884" s="125">
        <v>10</v>
      </c>
      <c r="B884" s="126" t="s">
        <v>296</v>
      </c>
      <c r="C884" s="100" t="s">
        <v>297</v>
      </c>
      <c r="D884" s="14" t="s">
        <v>193</v>
      </c>
      <c r="E884" s="15"/>
      <c r="F884" s="15"/>
      <c r="G884" s="15"/>
      <c r="H884" s="15"/>
      <c r="I884" s="172"/>
      <c r="J884" s="202">
        <f t="shared" si="219"/>
        <v>0</v>
      </c>
      <c r="K884" s="94">
        <f t="shared" si="210"/>
        <v>0</v>
      </c>
      <c r="L884" s="16" t="s">
        <v>52</v>
      </c>
      <c r="M884" s="17"/>
      <c r="N884" s="17"/>
      <c r="O884" s="18">
        <f t="shared" si="220"/>
        <v>0</v>
      </c>
      <c r="P884" s="18">
        <f t="shared" si="221"/>
        <v>0</v>
      </c>
      <c r="Q884" s="8">
        <f t="shared" si="222"/>
        <v>0</v>
      </c>
    </row>
    <row r="885" spans="1:17" ht="21" x14ac:dyDescent="0.5">
      <c r="A885" s="125">
        <v>11</v>
      </c>
      <c r="B885" s="126" t="s">
        <v>296</v>
      </c>
      <c r="C885" s="100" t="s">
        <v>297</v>
      </c>
      <c r="D885" s="14" t="s">
        <v>193</v>
      </c>
      <c r="E885" s="15"/>
      <c r="F885" s="15"/>
      <c r="G885" s="15"/>
      <c r="H885" s="15"/>
      <c r="I885" s="172"/>
      <c r="J885" s="202">
        <f t="shared" si="219"/>
        <v>0</v>
      </c>
      <c r="K885" s="94">
        <f t="shared" si="210"/>
        <v>0</v>
      </c>
      <c r="L885" s="16" t="s">
        <v>52</v>
      </c>
      <c r="M885" s="17"/>
      <c r="N885" s="17"/>
      <c r="O885" s="18">
        <f t="shared" si="220"/>
        <v>0</v>
      </c>
      <c r="P885" s="18">
        <f t="shared" si="221"/>
        <v>0</v>
      </c>
      <c r="Q885" s="8">
        <f t="shared" si="222"/>
        <v>0</v>
      </c>
    </row>
    <row r="886" spans="1:17" ht="21" x14ac:dyDescent="0.5">
      <c r="A886" s="125">
        <v>12</v>
      </c>
      <c r="B886" s="126" t="s">
        <v>296</v>
      </c>
      <c r="C886" s="100" t="s">
        <v>297</v>
      </c>
      <c r="D886" s="14" t="s">
        <v>193</v>
      </c>
      <c r="E886" s="15"/>
      <c r="F886" s="15"/>
      <c r="G886" s="15"/>
      <c r="H886" s="15"/>
      <c r="I886" s="172"/>
      <c r="J886" s="202">
        <f t="shared" si="219"/>
        <v>0</v>
      </c>
      <c r="K886" s="94">
        <f t="shared" si="210"/>
        <v>0</v>
      </c>
      <c r="L886" s="16" t="s">
        <v>52</v>
      </c>
      <c r="M886" s="17"/>
      <c r="N886" s="17"/>
      <c r="O886" s="18">
        <f t="shared" si="220"/>
        <v>0</v>
      </c>
      <c r="P886" s="18">
        <f t="shared" si="221"/>
        <v>0</v>
      </c>
      <c r="Q886" s="8">
        <f t="shared" si="222"/>
        <v>0</v>
      </c>
    </row>
    <row r="887" spans="1:17" ht="23.5" x14ac:dyDescent="0.55000000000000004">
      <c r="A887" s="125"/>
      <c r="B887" s="126" t="s">
        <v>296</v>
      </c>
      <c r="C887" s="100" t="s">
        <v>297</v>
      </c>
      <c r="D887" s="80" t="s">
        <v>353</v>
      </c>
      <c r="E887" s="81"/>
      <c r="F887" s="81"/>
      <c r="G887" s="81"/>
      <c r="H887" s="81"/>
      <c r="I887" s="169"/>
      <c r="J887" s="209"/>
      <c r="K887" s="94">
        <f t="shared" si="210"/>
        <v>0</v>
      </c>
      <c r="L887" s="81"/>
      <c r="M887" s="81"/>
      <c r="N887" s="81"/>
      <c r="O887" s="81"/>
      <c r="P887" s="12"/>
      <c r="Q887" s="7"/>
    </row>
    <row r="888" spans="1:17" ht="21" x14ac:dyDescent="0.5">
      <c r="A888" s="125"/>
      <c r="B888" s="126" t="s">
        <v>296</v>
      </c>
      <c r="C888" s="100" t="s">
        <v>353</v>
      </c>
      <c r="D888" s="14" t="s">
        <v>193</v>
      </c>
      <c r="E888" s="15"/>
      <c r="F888" s="15"/>
      <c r="G888" s="15"/>
      <c r="H888" s="15"/>
      <c r="I888" s="172"/>
      <c r="J888" s="202">
        <f t="shared" si="219"/>
        <v>0</v>
      </c>
      <c r="K888" s="94">
        <f t="shared" si="210"/>
        <v>0</v>
      </c>
      <c r="L888" s="16"/>
      <c r="M888" s="17"/>
      <c r="N888" s="17"/>
      <c r="O888" s="18">
        <f t="shared" ref="O888:O898" si="223">M888*J888</f>
        <v>0</v>
      </c>
      <c r="P888" s="18">
        <f t="shared" ref="P888:P898" si="224">N888*J888</f>
        <v>0</v>
      </c>
      <c r="Q888" s="8">
        <f t="shared" ref="Q888:Q898" si="225">(M888*J888)+(N888*J888)</f>
        <v>0</v>
      </c>
    </row>
    <row r="889" spans="1:17" ht="21" x14ac:dyDescent="0.5">
      <c r="A889" s="125"/>
      <c r="B889" s="126" t="s">
        <v>296</v>
      </c>
      <c r="C889" s="100" t="s">
        <v>353</v>
      </c>
      <c r="D889" s="14" t="s">
        <v>193</v>
      </c>
      <c r="E889" s="15"/>
      <c r="F889" s="15"/>
      <c r="G889" s="15"/>
      <c r="H889" s="15"/>
      <c r="I889" s="172"/>
      <c r="J889" s="202">
        <f t="shared" si="219"/>
        <v>0</v>
      </c>
      <c r="K889" s="94">
        <f t="shared" si="210"/>
        <v>0</v>
      </c>
      <c r="L889" s="16"/>
      <c r="M889" s="17"/>
      <c r="N889" s="17"/>
      <c r="O889" s="18">
        <f t="shared" si="223"/>
        <v>0</v>
      </c>
      <c r="P889" s="18">
        <f t="shared" si="224"/>
        <v>0</v>
      </c>
      <c r="Q889" s="8">
        <f t="shared" si="225"/>
        <v>0</v>
      </c>
    </row>
    <row r="890" spans="1:17" ht="21" x14ac:dyDescent="0.5">
      <c r="A890" s="125"/>
      <c r="B890" s="126" t="s">
        <v>296</v>
      </c>
      <c r="C890" s="100" t="s">
        <v>353</v>
      </c>
      <c r="D890" s="14" t="s">
        <v>193</v>
      </c>
      <c r="E890" s="15"/>
      <c r="F890" s="15"/>
      <c r="G890" s="15"/>
      <c r="H890" s="15"/>
      <c r="I890" s="172"/>
      <c r="J890" s="202">
        <f t="shared" si="219"/>
        <v>0</v>
      </c>
      <c r="K890" s="94">
        <f t="shared" si="210"/>
        <v>0</v>
      </c>
      <c r="L890" s="16"/>
      <c r="M890" s="17"/>
      <c r="N890" s="17"/>
      <c r="O890" s="18">
        <f t="shared" si="223"/>
        <v>0</v>
      </c>
      <c r="P890" s="18">
        <f t="shared" si="224"/>
        <v>0</v>
      </c>
      <c r="Q890" s="8">
        <f t="shared" si="225"/>
        <v>0</v>
      </c>
    </row>
    <row r="891" spans="1:17" ht="21" x14ac:dyDescent="0.5">
      <c r="A891" s="125"/>
      <c r="B891" s="126" t="s">
        <v>296</v>
      </c>
      <c r="C891" s="100" t="s">
        <v>353</v>
      </c>
      <c r="D891" s="14" t="s">
        <v>193</v>
      </c>
      <c r="E891" s="15"/>
      <c r="F891" s="15"/>
      <c r="G891" s="15"/>
      <c r="H891" s="15"/>
      <c r="I891" s="172"/>
      <c r="J891" s="202">
        <f t="shared" si="219"/>
        <v>0</v>
      </c>
      <c r="K891" s="94">
        <f t="shared" si="210"/>
        <v>0</v>
      </c>
      <c r="L891" s="16"/>
      <c r="M891" s="17"/>
      <c r="N891" s="17"/>
      <c r="O891" s="18">
        <f t="shared" si="223"/>
        <v>0</v>
      </c>
      <c r="P891" s="18">
        <f t="shared" si="224"/>
        <v>0</v>
      </c>
      <c r="Q891" s="8">
        <f t="shared" si="225"/>
        <v>0</v>
      </c>
    </row>
    <row r="892" spans="1:17" ht="21" x14ac:dyDescent="0.5">
      <c r="A892" s="125"/>
      <c r="B892" s="126" t="s">
        <v>296</v>
      </c>
      <c r="C892" s="100" t="s">
        <v>353</v>
      </c>
      <c r="D892" s="14" t="s">
        <v>193</v>
      </c>
      <c r="E892" s="15"/>
      <c r="F892" s="15"/>
      <c r="G892" s="15"/>
      <c r="H892" s="15"/>
      <c r="I892" s="172"/>
      <c r="J892" s="202">
        <f t="shared" si="219"/>
        <v>0</v>
      </c>
      <c r="K892" s="94">
        <f t="shared" si="210"/>
        <v>0</v>
      </c>
      <c r="L892" s="16"/>
      <c r="M892" s="17"/>
      <c r="N892" s="17"/>
      <c r="O892" s="18">
        <f t="shared" si="223"/>
        <v>0</v>
      </c>
      <c r="P892" s="18">
        <f t="shared" si="224"/>
        <v>0</v>
      </c>
      <c r="Q892" s="8">
        <f t="shared" si="225"/>
        <v>0</v>
      </c>
    </row>
    <row r="893" spans="1:17" ht="21" x14ac:dyDescent="0.5">
      <c r="A893" s="125"/>
      <c r="B893" s="126" t="s">
        <v>296</v>
      </c>
      <c r="C893" s="100" t="s">
        <v>353</v>
      </c>
      <c r="D893" s="14" t="s">
        <v>193</v>
      </c>
      <c r="E893" s="15"/>
      <c r="F893" s="15"/>
      <c r="G893" s="15"/>
      <c r="H893" s="15"/>
      <c r="I893" s="172"/>
      <c r="J893" s="202">
        <f t="shared" si="219"/>
        <v>0</v>
      </c>
      <c r="K893" s="94">
        <f t="shared" si="210"/>
        <v>0</v>
      </c>
      <c r="L893" s="16"/>
      <c r="M893" s="17"/>
      <c r="N893" s="17"/>
      <c r="O893" s="18">
        <f t="shared" si="223"/>
        <v>0</v>
      </c>
      <c r="P893" s="18">
        <f t="shared" si="224"/>
        <v>0</v>
      </c>
      <c r="Q893" s="8">
        <f t="shared" si="225"/>
        <v>0</v>
      </c>
    </row>
    <row r="894" spans="1:17" ht="21" x14ac:dyDescent="0.5">
      <c r="A894" s="125"/>
      <c r="B894" s="126" t="s">
        <v>296</v>
      </c>
      <c r="C894" s="100" t="s">
        <v>353</v>
      </c>
      <c r="D894" s="14" t="s">
        <v>193</v>
      </c>
      <c r="E894" s="15"/>
      <c r="F894" s="15"/>
      <c r="G894" s="15"/>
      <c r="H894" s="15"/>
      <c r="I894" s="172"/>
      <c r="J894" s="202">
        <f t="shared" si="219"/>
        <v>0</v>
      </c>
      <c r="K894" s="94">
        <f t="shared" si="210"/>
        <v>0</v>
      </c>
      <c r="L894" s="16"/>
      <c r="M894" s="17"/>
      <c r="N894" s="17"/>
      <c r="O894" s="18">
        <f t="shared" si="223"/>
        <v>0</v>
      </c>
      <c r="P894" s="18">
        <f t="shared" si="224"/>
        <v>0</v>
      </c>
      <c r="Q894" s="8">
        <f t="shared" si="225"/>
        <v>0</v>
      </c>
    </row>
    <row r="895" spans="1:17" ht="21" x14ac:dyDescent="0.5">
      <c r="A895" s="125"/>
      <c r="B895" s="126" t="s">
        <v>296</v>
      </c>
      <c r="C895" s="100" t="s">
        <v>353</v>
      </c>
      <c r="D895" s="14" t="s">
        <v>193</v>
      </c>
      <c r="E895" s="15"/>
      <c r="F895" s="15"/>
      <c r="G895" s="15"/>
      <c r="H895" s="15"/>
      <c r="I895" s="172"/>
      <c r="J895" s="202">
        <f t="shared" si="219"/>
        <v>0</v>
      </c>
      <c r="K895" s="94">
        <f t="shared" si="210"/>
        <v>0</v>
      </c>
      <c r="L895" s="16"/>
      <c r="M895" s="17"/>
      <c r="N895" s="17"/>
      <c r="O895" s="18">
        <f t="shared" si="223"/>
        <v>0</v>
      </c>
      <c r="P895" s="18">
        <f t="shared" si="224"/>
        <v>0</v>
      </c>
      <c r="Q895" s="8">
        <f t="shared" si="225"/>
        <v>0</v>
      </c>
    </row>
    <row r="896" spans="1:17" ht="21" x14ac:dyDescent="0.5">
      <c r="A896" s="125"/>
      <c r="B896" s="126" t="s">
        <v>296</v>
      </c>
      <c r="C896" s="100" t="s">
        <v>353</v>
      </c>
      <c r="D896" s="14" t="s">
        <v>193</v>
      </c>
      <c r="E896" s="15"/>
      <c r="F896" s="15"/>
      <c r="G896" s="15"/>
      <c r="H896" s="15"/>
      <c r="I896" s="172"/>
      <c r="J896" s="202">
        <f t="shared" si="219"/>
        <v>0</v>
      </c>
      <c r="K896" s="94">
        <f t="shared" si="210"/>
        <v>0</v>
      </c>
      <c r="L896" s="16"/>
      <c r="M896" s="17"/>
      <c r="N896" s="17"/>
      <c r="O896" s="18">
        <f t="shared" si="223"/>
        <v>0</v>
      </c>
      <c r="P896" s="18">
        <f t="shared" si="224"/>
        <v>0</v>
      </c>
      <c r="Q896" s="8">
        <f t="shared" si="225"/>
        <v>0</v>
      </c>
    </row>
    <row r="897" spans="1:17" ht="21" x14ac:dyDescent="0.5">
      <c r="A897" s="125"/>
      <c r="B897" s="126" t="s">
        <v>296</v>
      </c>
      <c r="C897" s="100" t="s">
        <v>353</v>
      </c>
      <c r="D897" s="14" t="s">
        <v>193</v>
      </c>
      <c r="E897" s="15"/>
      <c r="F897" s="15"/>
      <c r="G897" s="15"/>
      <c r="H897" s="15"/>
      <c r="I897" s="172"/>
      <c r="J897" s="202">
        <f t="shared" si="219"/>
        <v>0</v>
      </c>
      <c r="K897" s="94">
        <f t="shared" si="210"/>
        <v>0</v>
      </c>
      <c r="L897" s="16"/>
      <c r="M897" s="17"/>
      <c r="N897" s="17"/>
      <c r="O897" s="18">
        <f t="shared" si="223"/>
        <v>0</v>
      </c>
      <c r="P897" s="18">
        <f t="shared" si="224"/>
        <v>0</v>
      </c>
      <c r="Q897" s="8">
        <f t="shared" si="225"/>
        <v>0</v>
      </c>
    </row>
    <row r="898" spans="1:17" ht="21" x14ac:dyDescent="0.5">
      <c r="A898" s="125"/>
      <c r="B898" s="126" t="s">
        <v>296</v>
      </c>
      <c r="C898" s="100" t="s">
        <v>353</v>
      </c>
      <c r="D898" s="14" t="s">
        <v>193</v>
      </c>
      <c r="E898" s="15"/>
      <c r="F898" s="15"/>
      <c r="G898" s="15"/>
      <c r="H898" s="15"/>
      <c r="I898" s="172"/>
      <c r="J898" s="202">
        <f t="shared" si="219"/>
        <v>0</v>
      </c>
      <c r="K898" s="94">
        <f t="shared" si="210"/>
        <v>0</v>
      </c>
      <c r="L898" s="16"/>
      <c r="M898" s="17"/>
      <c r="N898" s="17"/>
      <c r="O898" s="18">
        <f t="shared" si="223"/>
        <v>0</v>
      </c>
      <c r="P898" s="18">
        <f t="shared" si="224"/>
        <v>0</v>
      </c>
      <c r="Q898" s="8">
        <f t="shared" si="225"/>
        <v>0</v>
      </c>
    </row>
    <row r="899" spans="1:17" ht="23.5" x14ac:dyDescent="0.55000000000000004">
      <c r="A899" s="125">
        <v>13</v>
      </c>
      <c r="B899" s="126" t="s">
        <v>296</v>
      </c>
      <c r="C899" s="100" t="s">
        <v>361</v>
      </c>
      <c r="D899" s="80" t="s">
        <v>361</v>
      </c>
      <c r="E899" s="81"/>
      <c r="F899" s="81"/>
      <c r="G899" s="81"/>
      <c r="H899" s="82"/>
      <c r="I899" s="114"/>
      <c r="J899" s="204"/>
      <c r="K899" s="94">
        <f t="shared" si="210"/>
        <v>0</v>
      </c>
      <c r="L899" s="84"/>
      <c r="M899" s="84"/>
      <c r="N899" s="84"/>
      <c r="O899" s="12"/>
      <c r="P899" s="12"/>
      <c r="Q899" s="7"/>
    </row>
    <row r="900" spans="1:17" ht="21" x14ac:dyDescent="0.5">
      <c r="A900" s="125">
        <v>14</v>
      </c>
      <c r="B900" s="126" t="s">
        <v>296</v>
      </c>
      <c r="C900" s="100" t="s">
        <v>361</v>
      </c>
      <c r="D900" s="14" t="s">
        <v>370</v>
      </c>
      <c r="E900" s="15"/>
      <c r="F900" s="15"/>
      <c r="G900" s="15"/>
      <c r="H900" s="21"/>
      <c r="I900" s="30"/>
      <c r="J900" s="202">
        <f t="shared" ref="J900:J933" si="226">I900</f>
        <v>0</v>
      </c>
      <c r="K900" s="94">
        <f t="shared" si="210"/>
        <v>0</v>
      </c>
      <c r="L900" s="16"/>
      <c r="M900" s="17"/>
      <c r="N900" s="17"/>
      <c r="O900" s="18">
        <f t="shared" ref="O900:O910" si="227">M900*J900</f>
        <v>0</v>
      </c>
      <c r="P900" s="18">
        <f t="shared" ref="P900:P910" si="228">N900*J900</f>
        <v>0</v>
      </c>
      <c r="Q900" s="8">
        <f t="shared" ref="Q900:Q910" si="229">(M900*J900)+(N900*J900)</f>
        <v>0</v>
      </c>
    </row>
    <row r="901" spans="1:17" ht="21" x14ac:dyDescent="0.5">
      <c r="A901" s="125">
        <v>15</v>
      </c>
      <c r="B901" s="126" t="s">
        <v>296</v>
      </c>
      <c r="C901" s="100" t="s">
        <v>361</v>
      </c>
      <c r="D901" s="14" t="s">
        <v>193</v>
      </c>
      <c r="E901" s="15"/>
      <c r="F901" s="15"/>
      <c r="G901" s="15"/>
      <c r="H901" s="15"/>
      <c r="I901" s="172"/>
      <c r="J901" s="202">
        <f t="shared" si="226"/>
        <v>0</v>
      </c>
      <c r="K901" s="94">
        <f t="shared" si="210"/>
        <v>0</v>
      </c>
      <c r="L901" s="16"/>
      <c r="M901" s="17"/>
      <c r="N901" s="17"/>
      <c r="O901" s="18">
        <f t="shared" si="227"/>
        <v>0</v>
      </c>
      <c r="P901" s="18">
        <f t="shared" si="228"/>
        <v>0</v>
      </c>
      <c r="Q901" s="8">
        <f t="shared" si="229"/>
        <v>0</v>
      </c>
    </row>
    <row r="902" spans="1:17" ht="21" x14ac:dyDescent="0.5">
      <c r="A902" s="125">
        <v>16</v>
      </c>
      <c r="B902" s="126" t="s">
        <v>296</v>
      </c>
      <c r="C902" s="100" t="s">
        <v>361</v>
      </c>
      <c r="D902" s="14" t="s">
        <v>193</v>
      </c>
      <c r="E902" s="15"/>
      <c r="F902" s="15"/>
      <c r="G902" s="15"/>
      <c r="H902" s="15"/>
      <c r="I902" s="172"/>
      <c r="J902" s="202">
        <f t="shared" si="226"/>
        <v>0</v>
      </c>
      <c r="K902" s="94">
        <f t="shared" si="210"/>
        <v>0</v>
      </c>
      <c r="L902" s="16"/>
      <c r="M902" s="17"/>
      <c r="N902" s="17"/>
      <c r="O902" s="18">
        <f t="shared" si="227"/>
        <v>0</v>
      </c>
      <c r="P902" s="18">
        <f t="shared" si="228"/>
        <v>0</v>
      </c>
      <c r="Q902" s="8">
        <f t="shared" si="229"/>
        <v>0</v>
      </c>
    </row>
    <row r="903" spans="1:17" ht="21" x14ac:dyDescent="0.5">
      <c r="A903" s="125">
        <v>17</v>
      </c>
      <c r="B903" s="126" t="s">
        <v>296</v>
      </c>
      <c r="C903" s="100" t="s">
        <v>361</v>
      </c>
      <c r="D903" s="14" t="s">
        <v>193</v>
      </c>
      <c r="E903" s="15"/>
      <c r="F903" s="15"/>
      <c r="G903" s="15"/>
      <c r="H903" s="15"/>
      <c r="I903" s="172"/>
      <c r="J903" s="202">
        <f t="shared" si="226"/>
        <v>0</v>
      </c>
      <c r="K903" s="94">
        <f t="shared" si="210"/>
        <v>0</v>
      </c>
      <c r="L903" s="16"/>
      <c r="M903" s="17"/>
      <c r="N903" s="17"/>
      <c r="O903" s="18">
        <f t="shared" si="227"/>
        <v>0</v>
      </c>
      <c r="P903" s="18">
        <f t="shared" si="228"/>
        <v>0</v>
      </c>
      <c r="Q903" s="8">
        <f t="shared" si="229"/>
        <v>0</v>
      </c>
    </row>
    <row r="904" spans="1:17" ht="21" x14ac:dyDescent="0.5">
      <c r="A904" s="125">
        <v>18</v>
      </c>
      <c r="B904" s="126" t="s">
        <v>296</v>
      </c>
      <c r="C904" s="100" t="s">
        <v>361</v>
      </c>
      <c r="D904" s="14" t="s">
        <v>193</v>
      </c>
      <c r="E904" s="15"/>
      <c r="F904" s="15"/>
      <c r="G904" s="15"/>
      <c r="H904" s="15"/>
      <c r="I904" s="172"/>
      <c r="J904" s="202">
        <f t="shared" si="226"/>
        <v>0</v>
      </c>
      <c r="K904" s="94">
        <f t="shared" si="210"/>
        <v>0</v>
      </c>
      <c r="L904" s="16"/>
      <c r="M904" s="17"/>
      <c r="N904" s="17"/>
      <c r="O904" s="18">
        <f t="shared" si="227"/>
        <v>0</v>
      </c>
      <c r="P904" s="18">
        <f t="shared" si="228"/>
        <v>0</v>
      </c>
      <c r="Q904" s="8">
        <f t="shared" si="229"/>
        <v>0</v>
      </c>
    </row>
    <row r="905" spans="1:17" ht="21" x14ac:dyDescent="0.5">
      <c r="A905" s="125">
        <v>19</v>
      </c>
      <c r="B905" s="126" t="s">
        <v>296</v>
      </c>
      <c r="C905" s="100" t="s">
        <v>361</v>
      </c>
      <c r="D905" s="14" t="s">
        <v>193</v>
      </c>
      <c r="E905" s="15"/>
      <c r="F905" s="15"/>
      <c r="G905" s="15"/>
      <c r="H905" s="15"/>
      <c r="I905" s="172"/>
      <c r="J905" s="202">
        <f t="shared" si="226"/>
        <v>0</v>
      </c>
      <c r="K905" s="94">
        <f t="shared" si="210"/>
        <v>0</v>
      </c>
      <c r="L905" s="16"/>
      <c r="M905" s="17"/>
      <c r="N905" s="17"/>
      <c r="O905" s="18">
        <f t="shared" si="227"/>
        <v>0</v>
      </c>
      <c r="P905" s="18">
        <f t="shared" si="228"/>
        <v>0</v>
      </c>
      <c r="Q905" s="8">
        <f t="shared" si="229"/>
        <v>0</v>
      </c>
    </row>
    <row r="906" spans="1:17" ht="21" x14ac:dyDescent="0.5">
      <c r="A906" s="125">
        <v>20</v>
      </c>
      <c r="B906" s="126" t="s">
        <v>296</v>
      </c>
      <c r="C906" s="100" t="s">
        <v>361</v>
      </c>
      <c r="D906" s="14" t="s">
        <v>193</v>
      </c>
      <c r="E906" s="15"/>
      <c r="F906" s="15"/>
      <c r="G906" s="15"/>
      <c r="H906" s="15"/>
      <c r="I906" s="172"/>
      <c r="J906" s="202">
        <f t="shared" si="226"/>
        <v>0</v>
      </c>
      <c r="K906" s="94">
        <f t="shared" si="210"/>
        <v>0</v>
      </c>
      <c r="L906" s="16"/>
      <c r="M906" s="17"/>
      <c r="N906" s="17"/>
      <c r="O906" s="18">
        <f t="shared" si="227"/>
        <v>0</v>
      </c>
      <c r="P906" s="18">
        <f t="shared" si="228"/>
        <v>0</v>
      </c>
      <c r="Q906" s="8">
        <f t="shared" si="229"/>
        <v>0</v>
      </c>
    </row>
    <row r="907" spans="1:17" ht="21" x14ac:dyDescent="0.5">
      <c r="A907" s="125">
        <v>21</v>
      </c>
      <c r="B907" s="126" t="s">
        <v>296</v>
      </c>
      <c r="C907" s="100" t="s">
        <v>361</v>
      </c>
      <c r="D907" s="14" t="s">
        <v>193</v>
      </c>
      <c r="E907" s="15"/>
      <c r="F907" s="15"/>
      <c r="G907" s="15"/>
      <c r="H907" s="15"/>
      <c r="I907" s="172"/>
      <c r="J907" s="202">
        <f t="shared" si="226"/>
        <v>0</v>
      </c>
      <c r="K907" s="94">
        <f t="shared" si="210"/>
        <v>0</v>
      </c>
      <c r="L907" s="16"/>
      <c r="M907" s="17"/>
      <c r="N907" s="17"/>
      <c r="O907" s="18">
        <f t="shared" si="227"/>
        <v>0</v>
      </c>
      <c r="P907" s="18">
        <f t="shared" si="228"/>
        <v>0</v>
      </c>
      <c r="Q907" s="8">
        <f t="shared" si="229"/>
        <v>0</v>
      </c>
    </row>
    <row r="908" spans="1:17" ht="21" x14ac:dyDescent="0.5">
      <c r="A908" s="125">
        <v>22</v>
      </c>
      <c r="B908" s="126" t="s">
        <v>296</v>
      </c>
      <c r="C908" s="100" t="s">
        <v>361</v>
      </c>
      <c r="D908" s="14" t="s">
        <v>193</v>
      </c>
      <c r="E908" s="15"/>
      <c r="F908" s="15"/>
      <c r="G908" s="15"/>
      <c r="H908" s="15"/>
      <c r="I908" s="172"/>
      <c r="J908" s="202">
        <f t="shared" si="226"/>
        <v>0</v>
      </c>
      <c r="K908" s="94">
        <f t="shared" si="210"/>
        <v>0</v>
      </c>
      <c r="L908" s="16"/>
      <c r="M908" s="17"/>
      <c r="N908" s="17"/>
      <c r="O908" s="18">
        <f t="shared" si="227"/>
        <v>0</v>
      </c>
      <c r="P908" s="18">
        <f t="shared" si="228"/>
        <v>0</v>
      </c>
      <c r="Q908" s="8">
        <f t="shared" si="229"/>
        <v>0</v>
      </c>
    </row>
    <row r="909" spans="1:17" ht="21" x14ac:dyDescent="0.5">
      <c r="A909" s="125">
        <v>23</v>
      </c>
      <c r="B909" s="126" t="s">
        <v>296</v>
      </c>
      <c r="C909" s="100" t="s">
        <v>361</v>
      </c>
      <c r="D909" s="14" t="s">
        <v>193</v>
      </c>
      <c r="E909" s="15"/>
      <c r="F909" s="15"/>
      <c r="G909" s="15"/>
      <c r="H909" s="15"/>
      <c r="I909" s="172"/>
      <c r="J909" s="202">
        <f t="shared" si="226"/>
        <v>0</v>
      </c>
      <c r="K909" s="94">
        <f t="shared" ref="K909:K944" si="230">+J909-I909</f>
        <v>0</v>
      </c>
      <c r="L909" s="16"/>
      <c r="M909" s="17"/>
      <c r="N909" s="17"/>
      <c r="O909" s="18">
        <f t="shared" si="227"/>
        <v>0</v>
      </c>
      <c r="P909" s="18">
        <f t="shared" si="228"/>
        <v>0</v>
      </c>
      <c r="Q909" s="8">
        <f t="shared" si="229"/>
        <v>0</v>
      </c>
    </row>
    <row r="910" spans="1:17" ht="21" x14ac:dyDescent="0.5">
      <c r="A910" s="125">
        <v>24</v>
      </c>
      <c r="B910" s="126" t="s">
        <v>296</v>
      </c>
      <c r="C910" s="100" t="s">
        <v>361</v>
      </c>
      <c r="D910" s="14" t="s">
        <v>193</v>
      </c>
      <c r="E910" s="15"/>
      <c r="F910" s="15"/>
      <c r="G910" s="15"/>
      <c r="H910" s="15"/>
      <c r="I910" s="172"/>
      <c r="J910" s="202">
        <f t="shared" si="226"/>
        <v>0</v>
      </c>
      <c r="K910" s="94">
        <f t="shared" si="230"/>
        <v>0</v>
      </c>
      <c r="L910" s="16"/>
      <c r="M910" s="17"/>
      <c r="N910" s="17"/>
      <c r="O910" s="18">
        <f t="shared" si="227"/>
        <v>0</v>
      </c>
      <c r="P910" s="18">
        <f t="shared" si="228"/>
        <v>0</v>
      </c>
      <c r="Q910" s="8">
        <f t="shared" si="229"/>
        <v>0</v>
      </c>
    </row>
    <row r="911" spans="1:17" ht="23.5" x14ac:dyDescent="0.55000000000000004">
      <c r="A911" s="125">
        <v>25</v>
      </c>
      <c r="B911" s="126" t="s">
        <v>296</v>
      </c>
      <c r="C911" s="100" t="s">
        <v>375</v>
      </c>
      <c r="D911" s="80" t="s">
        <v>376</v>
      </c>
      <c r="E911" s="81"/>
      <c r="F911" s="81"/>
      <c r="G911" s="81"/>
      <c r="H911" s="82"/>
      <c r="I911" s="83"/>
      <c r="J911" s="200"/>
      <c r="K911" s="94">
        <f t="shared" si="230"/>
        <v>0</v>
      </c>
      <c r="L911" s="84"/>
      <c r="M911" s="84"/>
      <c r="N911" s="84"/>
      <c r="O911" s="12"/>
      <c r="P911" s="12"/>
      <c r="Q911" s="7"/>
    </row>
    <row r="912" spans="1:17" ht="21" x14ac:dyDescent="0.5">
      <c r="A912" s="125">
        <v>26</v>
      </c>
      <c r="B912" s="126" t="s">
        <v>296</v>
      </c>
      <c r="C912" s="100" t="s">
        <v>375</v>
      </c>
      <c r="D912" s="14" t="s">
        <v>193</v>
      </c>
      <c r="E912" s="15"/>
      <c r="F912" s="15"/>
      <c r="G912" s="15"/>
      <c r="H912" s="30"/>
      <c r="I912" s="30"/>
      <c r="J912" s="202">
        <f t="shared" si="226"/>
        <v>0</v>
      </c>
      <c r="K912" s="94">
        <f t="shared" si="230"/>
        <v>0</v>
      </c>
      <c r="L912" s="16"/>
      <c r="M912" s="17"/>
      <c r="N912" s="17"/>
      <c r="O912" s="18">
        <f t="shared" ref="O912:O933" si="231">M912*J912</f>
        <v>0</v>
      </c>
      <c r="P912" s="18">
        <f t="shared" ref="P912:P933" si="232">N912*J912</f>
        <v>0</v>
      </c>
      <c r="Q912" s="8">
        <f t="shared" ref="Q912:Q933" si="233">(M912*J912)+(N912*J912)</f>
        <v>0</v>
      </c>
    </row>
    <row r="913" spans="1:17" ht="21" x14ac:dyDescent="0.5">
      <c r="A913" s="125">
        <v>27</v>
      </c>
      <c r="B913" s="126" t="s">
        <v>296</v>
      </c>
      <c r="C913" s="100" t="s">
        <v>375</v>
      </c>
      <c r="D913" s="14" t="s">
        <v>193</v>
      </c>
      <c r="E913" s="15"/>
      <c r="F913" s="15"/>
      <c r="G913" s="15"/>
      <c r="H913" s="172"/>
      <c r="I913" s="172"/>
      <c r="J913" s="202">
        <f t="shared" si="226"/>
        <v>0</v>
      </c>
      <c r="K913" s="94">
        <f t="shared" si="230"/>
        <v>0</v>
      </c>
      <c r="L913" s="16"/>
      <c r="M913" s="17"/>
      <c r="N913" s="17"/>
      <c r="O913" s="18">
        <f t="shared" si="231"/>
        <v>0</v>
      </c>
      <c r="P913" s="18">
        <f t="shared" si="232"/>
        <v>0</v>
      </c>
      <c r="Q913" s="8">
        <f t="shared" si="233"/>
        <v>0</v>
      </c>
    </row>
    <row r="914" spans="1:17" ht="21" x14ac:dyDescent="0.5">
      <c r="A914" s="125">
        <v>28</v>
      </c>
      <c r="B914" s="126" t="s">
        <v>296</v>
      </c>
      <c r="C914" s="100" t="s">
        <v>375</v>
      </c>
      <c r="D914" s="14" t="s">
        <v>193</v>
      </c>
      <c r="E914" s="15"/>
      <c r="F914" s="15"/>
      <c r="G914" s="15"/>
      <c r="H914" s="172"/>
      <c r="I914" s="172"/>
      <c r="J914" s="202">
        <f t="shared" si="226"/>
        <v>0</v>
      </c>
      <c r="K914" s="94">
        <f t="shared" si="230"/>
        <v>0</v>
      </c>
      <c r="L914" s="16"/>
      <c r="M914" s="17"/>
      <c r="N914" s="17"/>
      <c r="O914" s="18">
        <f t="shared" si="231"/>
        <v>0</v>
      </c>
      <c r="P914" s="18">
        <f t="shared" si="232"/>
        <v>0</v>
      </c>
      <c r="Q914" s="8">
        <f t="shared" si="233"/>
        <v>0</v>
      </c>
    </row>
    <row r="915" spans="1:17" ht="21" x14ac:dyDescent="0.5">
      <c r="A915" s="125">
        <v>29</v>
      </c>
      <c r="B915" s="126" t="s">
        <v>296</v>
      </c>
      <c r="C915" s="100" t="s">
        <v>375</v>
      </c>
      <c r="D915" s="14" t="s">
        <v>193</v>
      </c>
      <c r="E915" s="15"/>
      <c r="F915" s="15"/>
      <c r="G915" s="15"/>
      <c r="H915" s="172"/>
      <c r="I915" s="172"/>
      <c r="J915" s="202">
        <f t="shared" si="226"/>
        <v>0</v>
      </c>
      <c r="K915" s="94">
        <f t="shared" si="230"/>
        <v>0</v>
      </c>
      <c r="L915" s="16"/>
      <c r="M915" s="17"/>
      <c r="N915" s="17"/>
      <c r="O915" s="18">
        <f t="shared" si="231"/>
        <v>0</v>
      </c>
      <c r="P915" s="18">
        <f t="shared" si="232"/>
        <v>0</v>
      </c>
      <c r="Q915" s="8">
        <f t="shared" si="233"/>
        <v>0</v>
      </c>
    </row>
    <row r="916" spans="1:17" ht="21" x14ac:dyDescent="0.5">
      <c r="A916" s="125">
        <v>30</v>
      </c>
      <c r="B916" s="126" t="s">
        <v>296</v>
      </c>
      <c r="C916" s="100" t="s">
        <v>375</v>
      </c>
      <c r="D916" s="14" t="s">
        <v>193</v>
      </c>
      <c r="E916" s="15"/>
      <c r="F916" s="15"/>
      <c r="G916" s="15"/>
      <c r="H916" s="172"/>
      <c r="I916" s="172"/>
      <c r="J916" s="202">
        <f t="shared" si="226"/>
        <v>0</v>
      </c>
      <c r="K916" s="94">
        <f t="shared" si="230"/>
        <v>0</v>
      </c>
      <c r="L916" s="16"/>
      <c r="M916" s="17"/>
      <c r="N916" s="17"/>
      <c r="O916" s="18">
        <f t="shared" si="231"/>
        <v>0</v>
      </c>
      <c r="P916" s="18">
        <f t="shared" si="232"/>
        <v>0</v>
      </c>
      <c r="Q916" s="8">
        <f t="shared" si="233"/>
        <v>0</v>
      </c>
    </row>
    <row r="917" spans="1:17" ht="21" x14ac:dyDescent="0.5">
      <c r="A917" s="125">
        <v>31</v>
      </c>
      <c r="B917" s="126" t="s">
        <v>296</v>
      </c>
      <c r="C917" s="100" t="s">
        <v>375</v>
      </c>
      <c r="D917" s="14" t="s">
        <v>193</v>
      </c>
      <c r="E917" s="15"/>
      <c r="F917" s="15"/>
      <c r="G917" s="15"/>
      <c r="H917" s="172"/>
      <c r="I917" s="172"/>
      <c r="J917" s="202">
        <f t="shared" si="226"/>
        <v>0</v>
      </c>
      <c r="K917" s="94">
        <f t="shared" si="230"/>
        <v>0</v>
      </c>
      <c r="L917" s="16"/>
      <c r="M917" s="17"/>
      <c r="N917" s="17"/>
      <c r="O917" s="18">
        <f t="shared" si="231"/>
        <v>0</v>
      </c>
      <c r="P917" s="18">
        <f t="shared" si="232"/>
        <v>0</v>
      </c>
      <c r="Q917" s="8">
        <f t="shared" si="233"/>
        <v>0</v>
      </c>
    </row>
    <row r="918" spans="1:17" ht="21" x14ac:dyDescent="0.5">
      <c r="A918" s="125">
        <v>32</v>
      </c>
      <c r="B918" s="126" t="s">
        <v>296</v>
      </c>
      <c r="C918" s="100" t="s">
        <v>375</v>
      </c>
      <c r="D918" s="14" t="s">
        <v>193</v>
      </c>
      <c r="E918" s="15"/>
      <c r="F918" s="15"/>
      <c r="G918" s="15"/>
      <c r="H918" s="30"/>
      <c r="I918" s="30"/>
      <c r="J918" s="202">
        <f t="shared" si="226"/>
        <v>0</v>
      </c>
      <c r="K918" s="94">
        <f t="shared" si="230"/>
        <v>0</v>
      </c>
      <c r="L918" s="16"/>
      <c r="M918" s="17"/>
      <c r="N918" s="17"/>
      <c r="O918" s="18">
        <f t="shared" si="231"/>
        <v>0</v>
      </c>
      <c r="P918" s="18">
        <f t="shared" si="232"/>
        <v>0</v>
      </c>
      <c r="Q918" s="8">
        <f t="shared" si="233"/>
        <v>0</v>
      </c>
    </row>
    <row r="919" spans="1:17" ht="21" x14ac:dyDescent="0.5">
      <c r="A919" s="125">
        <v>33</v>
      </c>
      <c r="B919" s="126" t="s">
        <v>296</v>
      </c>
      <c r="C919" s="100" t="s">
        <v>375</v>
      </c>
      <c r="D919" s="14" t="s">
        <v>193</v>
      </c>
      <c r="E919" s="15"/>
      <c r="F919" s="15"/>
      <c r="G919" s="15"/>
      <c r="H919" s="172"/>
      <c r="I919" s="172"/>
      <c r="J919" s="202">
        <f t="shared" si="226"/>
        <v>0</v>
      </c>
      <c r="K919" s="94">
        <f t="shared" si="230"/>
        <v>0</v>
      </c>
      <c r="L919" s="16"/>
      <c r="M919" s="17"/>
      <c r="N919" s="17"/>
      <c r="O919" s="18">
        <f t="shared" si="231"/>
        <v>0</v>
      </c>
      <c r="P919" s="18">
        <f t="shared" si="232"/>
        <v>0</v>
      </c>
      <c r="Q919" s="8">
        <f t="shared" si="233"/>
        <v>0</v>
      </c>
    </row>
    <row r="920" spans="1:17" ht="21" x14ac:dyDescent="0.5">
      <c r="A920" s="125">
        <v>34</v>
      </c>
      <c r="B920" s="126" t="s">
        <v>296</v>
      </c>
      <c r="C920" s="100" t="s">
        <v>375</v>
      </c>
      <c r="D920" s="14" t="s">
        <v>193</v>
      </c>
      <c r="E920" s="15"/>
      <c r="F920" s="15"/>
      <c r="G920" s="15"/>
      <c r="H920" s="172"/>
      <c r="I920" s="172"/>
      <c r="J920" s="202">
        <f t="shared" si="226"/>
        <v>0</v>
      </c>
      <c r="K920" s="94">
        <f t="shared" si="230"/>
        <v>0</v>
      </c>
      <c r="L920" s="16"/>
      <c r="M920" s="17"/>
      <c r="N920" s="17"/>
      <c r="O920" s="18">
        <f t="shared" si="231"/>
        <v>0</v>
      </c>
      <c r="P920" s="18">
        <f t="shared" si="232"/>
        <v>0</v>
      </c>
      <c r="Q920" s="8">
        <f t="shared" si="233"/>
        <v>0</v>
      </c>
    </row>
    <row r="921" spans="1:17" ht="21" x14ac:dyDescent="0.5">
      <c r="A921" s="125">
        <v>35</v>
      </c>
      <c r="B921" s="126" t="s">
        <v>296</v>
      </c>
      <c r="C921" s="100" t="s">
        <v>375</v>
      </c>
      <c r="D921" s="14" t="s">
        <v>193</v>
      </c>
      <c r="E921" s="15"/>
      <c r="F921" s="15"/>
      <c r="G921" s="15"/>
      <c r="H921" s="172"/>
      <c r="I921" s="172"/>
      <c r="J921" s="202">
        <f t="shared" si="226"/>
        <v>0</v>
      </c>
      <c r="K921" s="94">
        <f t="shared" si="230"/>
        <v>0</v>
      </c>
      <c r="L921" s="16"/>
      <c r="M921" s="17"/>
      <c r="N921" s="17"/>
      <c r="O921" s="18">
        <f t="shared" si="231"/>
        <v>0</v>
      </c>
      <c r="P921" s="18">
        <f t="shared" si="232"/>
        <v>0</v>
      </c>
      <c r="Q921" s="8">
        <f t="shared" si="233"/>
        <v>0</v>
      </c>
    </row>
    <row r="922" spans="1:17" ht="23.25" customHeight="1" x14ac:dyDescent="0.5">
      <c r="A922" s="125">
        <v>36</v>
      </c>
      <c r="B922" s="126" t="s">
        <v>296</v>
      </c>
      <c r="C922" s="100" t="s">
        <v>375</v>
      </c>
      <c r="D922" s="14" t="s">
        <v>193</v>
      </c>
      <c r="E922" s="15"/>
      <c r="F922" s="15"/>
      <c r="G922" s="15"/>
      <c r="H922" s="172"/>
      <c r="I922" s="172"/>
      <c r="J922" s="202">
        <f t="shared" si="226"/>
        <v>0</v>
      </c>
      <c r="K922" s="94">
        <f t="shared" si="230"/>
        <v>0</v>
      </c>
      <c r="L922" s="16"/>
      <c r="M922" s="17"/>
      <c r="N922" s="17"/>
      <c r="O922" s="18">
        <f t="shared" si="231"/>
        <v>0</v>
      </c>
      <c r="P922" s="18">
        <f t="shared" si="232"/>
        <v>0</v>
      </c>
      <c r="Q922" s="8">
        <f t="shared" si="233"/>
        <v>0</v>
      </c>
    </row>
    <row r="923" spans="1:17" ht="21" x14ac:dyDescent="0.5">
      <c r="A923" s="125">
        <v>37</v>
      </c>
      <c r="B923" s="126" t="s">
        <v>296</v>
      </c>
      <c r="C923" s="100" t="s">
        <v>398</v>
      </c>
      <c r="D923" s="14" t="s">
        <v>193</v>
      </c>
      <c r="E923" s="15"/>
      <c r="F923" s="15"/>
      <c r="G923" s="15"/>
      <c r="H923" s="30"/>
      <c r="I923" s="30"/>
      <c r="J923" s="202">
        <f t="shared" si="226"/>
        <v>0</v>
      </c>
      <c r="K923" s="94">
        <f t="shared" si="230"/>
        <v>0</v>
      </c>
      <c r="L923" s="16"/>
      <c r="M923" s="17"/>
      <c r="N923" s="17"/>
      <c r="O923" s="18">
        <f t="shared" si="231"/>
        <v>0</v>
      </c>
      <c r="P923" s="18">
        <f t="shared" si="232"/>
        <v>0</v>
      </c>
      <c r="Q923" s="8">
        <f t="shared" si="233"/>
        <v>0</v>
      </c>
    </row>
    <row r="924" spans="1:17" ht="21" x14ac:dyDescent="0.5">
      <c r="A924" s="125">
        <v>38</v>
      </c>
      <c r="B924" s="126" t="s">
        <v>296</v>
      </c>
      <c r="C924" s="100" t="s">
        <v>398</v>
      </c>
      <c r="D924" s="14" t="s">
        <v>193</v>
      </c>
      <c r="E924" s="15"/>
      <c r="F924" s="15"/>
      <c r="G924" s="15"/>
      <c r="H924" s="172"/>
      <c r="I924" s="172"/>
      <c r="J924" s="202">
        <f t="shared" si="226"/>
        <v>0</v>
      </c>
      <c r="K924" s="94">
        <f t="shared" si="230"/>
        <v>0</v>
      </c>
      <c r="L924" s="16"/>
      <c r="M924" s="17"/>
      <c r="N924" s="17"/>
      <c r="O924" s="18">
        <f t="shared" si="231"/>
        <v>0</v>
      </c>
      <c r="P924" s="18">
        <f t="shared" si="232"/>
        <v>0</v>
      </c>
      <c r="Q924" s="8">
        <f t="shared" si="233"/>
        <v>0</v>
      </c>
    </row>
    <row r="925" spans="1:17" ht="21" x14ac:dyDescent="0.5">
      <c r="A925" s="125">
        <v>39</v>
      </c>
      <c r="B925" s="126" t="s">
        <v>296</v>
      </c>
      <c r="C925" s="100" t="s">
        <v>398</v>
      </c>
      <c r="D925" s="14" t="s">
        <v>193</v>
      </c>
      <c r="E925" s="15"/>
      <c r="F925" s="15"/>
      <c r="G925" s="15"/>
      <c r="H925" s="172"/>
      <c r="I925" s="172"/>
      <c r="J925" s="202">
        <f t="shared" si="226"/>
        <v>0</v>
      </c>
      <c r="K925" s="94">
        <f t="shared" si="230"/>
        <v>0</v>
      </c>
      <c r="L925" s="16"/>
      <c r="M925" s="17"/>
      <c r="N925" s="17"/>
      <c r="O925" s="18">
        <f t="shared" si="231"/>
        <v>0</v>
      </c>
      <c r="P925" s="18">
        <f t="shared" si="232"/>
        <v>0</v>
      </c>
      <c r="Q925" s="8">
        <f t="shared" si="233"/>
        <v>0</v>
      </c>
    </row>
    <row r="926" spans="1:17" ht="21" x14ac:dyDescent="0.5">
      <c r="A926" s="125">
        <v>40</v>
      </c>
      <c r="B926" s="126" t="s">
        <v>296</v>
      </c>
      <c r="C926" s="100" t="s">
        <v>398</v>
      </c>
      <c r="D926" s="14" t="s">
        <v>193</v>
      </c>
      <c r="E926" s="15"/>
      <c r="F926" s="15"/>
      <c r="G926" s="15"/>
      <c r="H926" s="172"/>
      <c r="I926" s="172"/>
      <c r="J926" s="202">
        <f t="shared" si="226"/>
        <v>0</v>
      </c>
      <c r="K926" s="94">
        <f t="shared" si="230"/>
        <v>0</v>
      </c>
      <c r="L926" s="16"/>
      <c r="M926" s="17"/>
      <c r="N926" s="17"/>
      <c r="O926" s="18">
        <f t="shared" si="231"/>
        <v>0</v>
      </c>
      <c r="P926" s="18">
        <f t="shared" si="232"/>
        <v>0</v>
      </c>
      <c r="Q926" s="8">
        <f t="shared" si="233"/>
        <v>0</v>
      </c>
    </row>
    <row r="927" spans="1:17" ht="21" x14ac:dyDescent="0.5">
      <c r="A927" s="125">
        <v>41</v>
      </c>
      <c r="B927" s="126" t="s">
        <v>296</v>
      </c>
      <c r="C927" s="100" t="s">
        <v>398</v>
      </c>
      <c r="D927" s="14" t="s">
        <v>193</v>
      </c>
      <c r="E927" s="15"/>
      <c r="F927" s="15"/>
      <c r="G927" s="15"/>
      <c r="H927" s="15"/>
      <c r="I927" s="172"/>
      <c r="J927" s="202">
        <f t="shared" si="226"/>
        <v>0</v>
      </c>
      <c r="K927" s="94">
        <f t="shared" si="230"/>
        <v>0</v>
      </c>
      <c r="L927" s="16"/>
      <c r="M927" s="17"/>
      <c r="N927" s="17"/>
      <c r="O927" s="18">
        <f t="shared" si="231"/>
        <v>0</v>
      </c>
      <c r="P927" s="18">
        <f t="shared" si="232"/>
        <v>0</v>
      </c>
      <c r="Q927" s="8">
        <f t="shared" si="233"/>
        <v>0</v>
      </c>
    </row>
    <row r="928" spans="1:17" ht="21" x14ac:dyDescent="0.5">
      <c r="A928" s="125">
        <v>42</v>
      </c>
      <c r="B928" s="126" t="s">
        <v>296</v>
      </c>
      <c r="C928" s="100" t="s">
        <v>398</v>
      </c>
      <c r="D928" s="14" t="s">
        <v>193</v>
      </c>
      <c r="E928" s="15"/>
      <c r="F928" s="15"/>
      <c r="G928" s="15"/>
      <c r="H928" s="15"/>
      <c r="I928" s="172"/>
      <c r="J928" s="202">
        <f t="shared" si="226"/>
        <v>0</v>
      </c>
      <c r="K928" s="94">
        <f t="shared" si="230"/>
        <v>0</v>
      </c>
      <c r="L928" s="16"/>
      <c r="M928" s="17"/>
      <c r="N928" s="17"/>
      <c r="O928" s="18">
        <f t="shared" si="231"/>
        <v>0</v>
      </c>
      <c r="P928" s="18">
        <f t="shared" si="232"/>
        <v>0</v>
      </c>
      <c r="Q928" s="8">
        <f t="shared" si="233"/>
        <v>0</v>
      </c>
    </row>
    <row r="929" spans="1:17" ht="21" x14ac:dyDescent="0.5">
      <c r="A929" s="125">
        <v>43</v>
      </c>
      <c r="B929" s="126" t="s">
        <v>296</v>
      </c>
      <c r="C929" s="100" t="s">
        <v>398</v>
      </c>
      <c r="D929" s="14" t="s">
        <v>193</v>
      </c>
      <c r="E929" s="15"/>
      <c r="F929" s="15"/>
      <c r="G929" s="15"/>
      <c r="H929" s="15"/>
      <c r="I929" s="172"/>
      <c r="J929" s="202">
        <f t="shared" si="226"/>
        <v>0</v>
      </c>
      <c r="K929" s="94">
        <f t="shared" si="230"/>
        <v>0</v>
      </c>
      <c r="L929" s="16"/>
      <c r="M929" s="17"/>
      <c r="N929" s="17"/>
      <c r="O929" s="18">
        <f t="shared" si="231"/>
        <v>0</v>
      </c>
      <c r="P929" s="18">
        <f t="shared" si="232"/>
        <v>0</v>
      </c>
      <c r="Q929" s="8">
        <f t="shared" si="233"/>
        <v>0</v>
      </c>
    </row>
    <row r="930" spans="1:17" ht="21" x14ac:dyDescent="0.5">
      <c r="A930" s="125">
        <v>44</v>
      </c>
      <c r="B930" s="126" t="s">
        <v>296</v>
      </c>
      <c r="C930" s="100" t="s">
        <v>398</v>
      </c>
      <c r="D930" s="14" t="s">
        <v>193</v>
      </c>
      <c r="E930" s="15"/>
      <c r="F930" s="15"/>
      <c r="G930" s="15"/>
      <c r="H930" s="15"/>
      <c r="I930" s="172"/>
      <c r="J930" s="202">
        <f t="shared" si="226"/>
        <v>0</v>
      </c>
      <c r="K930" s="94">
        <f t="shared" si="230"/>
        <v>0</v>
      </c>
      <c r="L930" s="16"/>
      <c r="M930" s="17"/>
      <c r="N930" s="17"/>
      <c r="O930" s="18">
        <f t="shared" si="231"/>
        <v>0</v>
      </c>
      <c r="P930" s="18">
        <f t="shared" si="232"/>
        <v>0</v>
      </c>
      <c r="Q930" s="8">
        <f t="shared" si="233"/>
        <v>0</v>
      </c>
    </row>
    <row r="931" spans="1:17" ht="21" x14ac:dyDescent="0.5">
      <c r="A931" s="125">
        <v>45</v>
      </c>
      <c r="B931" s="126" t="s">
        <v>296</v>
      </c>
      <c r="C931" s="100" t="s">
        <v>398</v>
      </c>
      <c r="D931" s="14" t="s">
        <v>193</v>
      </c>
      <c r="E931" s="15"/>
      <c r="F931" s="15"/>
      <c r="G931" s="15"/>
      <c r="H931" s="15"/>
      <c r="I931" s="172"/>
      <c r="J931" s="202">
        <f t="shared" si="226"/>
        <v>0</v>
      </c>
      <c r="K931" s="94">
        <f t="shared" si="230"/>
        <v>0</v>
      </c>
      <c r="L931" s="16"/>
      <c r="M931" s="17"/>
      <c r="N931" s="17"/>
      <c r="O931" s="18">
        <f t="shared" si="231"/>
        <v>0</v>
      </c>
      <c r="P931" s="18">
        <f t="shared" si="232"/>
        <v>0</v>
      </c>
      <c r="Q931" s="8">
        <f t="shared" si="233"/>
        <v>0</v>
      </c>
    </row>
    <row r="932" spans="1:17" ht="21" x14ac:dyDescent="0.5">
      <c r="A932" s="125">
        <v>46</v>
      </c>
      <c r="B932" s="126" t="s">
        <v>296</v>
      </c>
      <c r="C932" s="100" t="s">
        <v>398</v>
      </c>
      <c r="D932" s="14" t="s">
        <v>193</v>
      </c>
      <c r="E932" s="15"/>
      <c r="F932" s="15"/>
      <c r="G932" s="15"/>
      <c r="H932" s="15"/>
      <c r="I932" s="172"/>
      <c r="J932" s="202">
        <f t="shared" si="226"/>
        <v>0</v>
      </c>
      <c r="K932" s="94">
        <f t="shared" si="230"/>
        <v>0</v>
      </c>
      <c r="L932" s="16"/>
      <c r="M932" s="17"/>
      <c r="N932" s="17"/>
      <c r="O932" s="18">
        <f t="shared" si="231"/>
        <v>0</v>
      </c>
      <c r="P932" s="18">
        <f t="shared" si="232"/>
        <v>0</v>
      </c>
      <c r="Q932" s="8">
        <f t="shared" si="233"/>
        <v>0</v>
      </c>
    </row>
    <row r="933" spans="1:17" ht="21" x14ac:dyDescent="0.5">
      <c r="A933" s="125">
        <v>47</v>
      </c>
      <c r="B933" s="126" t="s">
        <v>296</v>
      </c>
      <c r="C933" s="100" t="s">
        <v>398</v>
      </c>
      <c r="D933" s="14" t="s">
        <v>193</v>
      </c>
      <c r="E933" s="15"/>
      <c r="F933" s="15"/>
      <c r="G933" s="15"/>
      <c r="H933" s="15"/>
      <c r="I933" s="172"/>
      <c r="J933" s="202">
        <f t="shared" si="226"/>
        <v>0</v>
      </c>
      <c r="K933" s="94">
        <f t="shared" si="230"/>
        <v>0</v>
      </c>
      <c r="L933" s="16"/>
      <c r="M933" s="17"/>
      <c r="N933" s="17"/>
      <c r="O933" s="18">
        <f t="shared" si="231"/>
        <v>0</v>
      </c>
      <c r="P933" s="18">
        <f t="shared" si="232"/>
        <v>0</v>
      </c>
      <c r="Q933" s="8">
        <f t="shared" si="233"/>
        <v>0</v>
      </c>
    </row>
    <row r="934" spans="1:17" ht="23.5" x14ac:dyDescent="0.55000000000000004">
      <c r="A934" s="125">
        <v>48</v>
      </c>
      <c r="B934" s="126" t="s">
        <v>296</v>
      </c>
      <c r="C934" s="100" t="s">
        <v>250</v>
      </c>
      <c r="D934" s="80" t="s">
        <v>251</v>
      </c>
      <c r="E934" s="81"/>
      <c r="F934" s="81"/>
      <c r="G934" s="81"/>
      <c r="H934" s="82"/>
      <c r="I934" s="83"/>
      <c r="J934" s="200"/>
      <c r="K934" s="94">
        <f t="shared" si="230"/>
        <v>0</v>
      </c>
      <c r="L934" s="84"/>
      <c r="M934" s="84"/>
      <c r="N934" s="84"/>
      <c r="O934" s="12"/>
      <c r="P934" s="12"/>
      <c r="Q934" s="7"/>
    </row>
    <row r="935" spans="1:17" ht="21" x14ac:dyDescent="0.5">
      <c r="A935" s="125">
        <v>49</v>
      </c>
      <c r="B935" s="126" t="s">
        <v>296</v>
      </c>
      <c r="C935" s="100" t="s">
        <v>250</v>
      </c>
      <c r="D935" s="14" t="s">
        <v>193</v>
      </c>
      <c r="E935" s="15"/>
      <c r="F935" s="15"/>
      <c r="G935" s="15"/>
      <c r="H935" s="15"/>
      <c r="I935" s="172"/>
      <c r="J935" s="202">
        <f>I935</f>
        <v>0</v>
      </c>
      <c r="K935" s="94">
        <f t="shared" si="230"/>
        <v>0</v>
      </c>
      <c r="L935" s="16"/>
      <c r="M935" s="17"/>
      <c r="N935" s="17"/>
      <c r="O935" s="18">
        <f t="shared" ref="O935:O944" si="234">M935*J935</f>
        <v>0</v>
      </c>
      <c r="P935" s="18">
        <f t="shared" ref="P935:P944" si="235">N935*J935</f>
        <v>0</v>
      </c>
      <c r="Q935" s="8">
        <f t="shared" ref="Q935:Q944" si="236">(M935*J935)+(N935*J935)</f>
        <v>0</v>
      </c>
    </row>
    <row r="936" spans="1:17" ht="21" x14ac:dyDescent="0.5">
      <c r="A936" s="125">
        <v>50</v>
      </c>
      <c r="B936" s="126" t="s">
        <v>296</v>
      </c>
      <c r="C936" s="100" t="s">
        <v>250</v>
      </c>
      <c r="D936" s="14" t="s">
        <v>193</v>
      </c>
      <c r="E936" s="15"/>
      <c r="F936" s="15"/>
      <c r="G936" s="15"/>
      <c r="H936" s="15"/>
      <c r="I936" s="172"/>
      <c r="J936" s="202">
        <f>I936</f>
        <v>0</v>
      </c>
      <c r="K936" s="94">
        <f t="shared" si="230"/>
        <v>0</v>
      </c>
      <c r="L936" s="16"/>
      <c r="M936" s="17"/>
      <c r="N936" s="17"/>
      <c r="O936" s="18">
        <f t="shared" si="234"/>
        <v>0</v>
      </c>
      <c r="P936" s="18">
        <f t="shared" si="235"/>
        <v>0</v>
      </c>
      <c r="Q936" s="8">
        <f t="shared" si="236"/>
        <v>0</v>
      </c>
    </row>
    <row r="937" spans="1:17" ht="21" x14ac:dyDescent="0.5">
      <c r="A937" s="125">
        <v>51</v>
      </c>
      <c r="B937" s="126" t="s">
        <v>296</v>
      </c>
      <c r="C937" s="100" t="s">
        <v>250</v>
      </c>
      <c r="D937" s="14" t="s">
        <v>193</v>
      </c>
      <c r="E937" s="15"/>
      <c r="F937" s="15"/>
      <c r="G937" s="15"/>
      <c r="H937" s="15"/>
      <c r="I937" s="172"/>
      <c r="J937" s="202">
        <f t="shared" ref="J937:J941" si="237">I937</f>
        <v>0</v>
      </c>
      <c r="K937" s="94">
        <f t="shared" si="230"/>
        <v>0</v>
      </c>
      <c r="L937" s="16"/>
      <c r="M937" s="17"/>
      <c r="N937" s="17"/>
      <c r="O937" s="18">
        <f t="shared" si="234"/>
        <v>0</v>
      </c>
      <c r="P937" s="18">
        <f t="shared" si="235"/>
        <v>0</v>
      </c>
      <c r="Q937" s="8">
        <f t="shared" si="236"/>
        <v>0</v>
      </c>
    </row>
    <row r="938" spans="1:17" ht="21" x14ac:dyDescent="0.5">
      <c r="A938" s="125">
        <v>52</v>
      </c>
      <c r="B938" s="126" t="s">
        <v>296</v>
      </c>
      <c r="C938" s="100" t="s">
        <v>250</v>
      </c>
      <c r="D938" s="14" t="s">
        <v>193</v>
      </c>
      <c r="E938" s="15"/>
      <c r="F938" s="15"/>
      <c r="G938" s="15"/>
      <c r="H938" s="15"/>
      <c r="I938" s="172"/>
      <c r="J938" s="202">
        <f t="shared" si="237"/>
        <v>0</v>
      </c>
      <c r="K938" s="94">
        <f t="shared" si="230"/>
        <v>0</v>
      </c>
      <c r="L938" s="16"/>
      <c r="M938" s="17"/>
      <c r="N938" s="17"/>
      <c r="O938" s="18">
        <f t="shared" si="234"/>
        <v>0</v>
      </c>
      <c r="P938" s="18">
        <f t="shared" si="235"/>
        <v>0</v>
      </c>
      <c r="Q938" s="8">
        <f t="shared" si="236"/>
        <v>0</v>
      </c>
    </row>
    <row r="939" spans="1:17" ht="21" x14ac:dyDescent="0.5">
      <c r="A939" s="125">
        <v>53</v>
      </c>
      <c r="B939" s="126" t="s">
        <v>296</v>
      </c>
      <c r="C939" s="100" t="s">
        <v>250</v>
      </c>
      <c r="D939" s="14" t="s">
        <v>193</v>
      </c>
      <c r="E939" s="15"/>
      <c r="F939" s="15"/>
      <c r="G939" s="15"/>
      <c r="H939" s="15"/>
      <c r="I939" s="172"/>
      <c r="J939" s="202">
        <f t="shared" si="237"/>
        <v>0</v>
      </c>
      <c r="K939" s="94">
        <f t="shared" si="230"/>
        <v>0</v>
      </c>
      <c r="L939" s="16"/>
      <c r="M939" s="17"/>
      <c r="N939" s="17"/>
      <c r="O939" s="18">
        <f t="shared" si="234"/>
        <v>0</v>
      </c>
      <c r="P939" s="18">
        <f t="shared" si="235"/>
        <v>0</v>
      </c>
      <c r="Q939" s="8">
        <f t="shared" si="236"/>
        <v>0</v>
      </c>
    </row>
    <row r="940" spans="1:17" ht="21" x14ac:dyDescent="0.5">
      <c r="A940" s="125">
        <v>54</v>
      </c>
      <c r="B940" s="126" t="s">
        <v>296</v>
      </c>
      <c r="C940" s="100" t="s">
        <v>250</v>
      </c>
      <c r="D940" s="14" t="s">
        <v>193</v>
      </c>
      <c r="E940" s="15"/>
      <c r="F940" s="15"/>
      <c r="G940" s="15"/>
      <c r="H940" s="15"/>
      <c r="I940" s="172"/>
      <c r="J940" s="202">
        <f t="shared" si="237"/>
        <v>0</v>
      </c>
      <c r="K940" s="94">
        <f t="shared" si="230"/>
        <v>0</v>
      </c>
      <c r="L940" s="16"/>
      <c r="M940" s="17"/>
      <c r="N940" s="17"/>
      <c r="O940" s="18">
        <f t="shared" si="234"/>
        <v>0</v>
      </c>
      <c r="P940" s="18">
        <f t="shared" si="235"/>
        <v>0</v>
      </c>
      <c r="Q940" s="8">
        <f t="shared" si="236"/>
        <v>0</v>
      </c>
    </row>
    <row r="941" spans="1:17" ht="21" x14ac:dyDescent="0.5">
      <c r="A941" s="125">
        <v>55</v>
      </c>
      <c r="B941" s="126" t="s">
        <v>296</v>
      </c>
      <c r="C941" s="100" t="s">
        <v>250</v>
      </c>
      <c r="D941" s="14" t="s">
        <v>193</v>
      </c>
      <c r="E941" s="15"/>
      <c r="F941" s="15"/>
      <c r="G941" s="15"/>
      <c r="H941" s="15"/>
      <c r="I941" s="172"/>
      <c r="J941" s="202">
        <f t="shared" si="237"/>
        <v>0</v>
      </c>
      <c r="K941" s="94">
        <f t="shared" si="230"/>
        <v>0</v>
      </c>
      <c r="L941" s="16"/>
      <c r="M941" s="17"/>
      <c r="N941" s="17"/>
      <c r="O941" s="18">
        <f t="shared" si="234"/>
        <v>0</v>
      </c>
      <c r="P941" s="18">
        <f t="shared" si="235"/>
        <v>0</v>
      </c>
      <c r="Q941" s="8">
        <f t="shared" si="236"/>
        <v>0</v>
      </c>
    </row>
    <row r="942" spans="1:17" ht="21" x14ac:dyDescent="0.5">
      <c r="A942" s="125">
        <v>56</v>
      </c>
      <c r="B942" s="126" t="s">
        <v>296</v>
      </c>
      <c r="C942" s="100" t="s">
        <v>250</v>
      </c>
      <c r="D942" s="14" t="s">
        <v>193</v>
      </c>
      <c r="E942" s="15"/>
      <c r="F942" s="15"/>
      <c r="G942" s="15"/>
      <c r="H942" s="15"/>
      <c r="I942" s="172"/>
      <c r="J942" s="202">
        <f>I942</f>
        <v>0</v>
      </c>
      <c r="K942" s="94">
        <f t="shared" si="230"/>
        <v>0</v>
      </c>
      <c r="L942" s="16"/>
      <c r="M942" s="17"/>
      <c r="N942" s="17"/>
      <c r="O942" s="18">
        <f t="shared" si="234"/>
        <v>0</v>
      </c>
      <c r="P942" s="18">
        <f t="shared" si="235"/>
        <v>0</v>
      </c>
      <c r="Q942" s="8">
        <f t="shared" si="236"/>
        <v>0</v>
      </c>
    </row>
    <row r="943" spans="1:17" ht="21" x14ac:dyDescent="0.5">
      <c r="A943" s="125">
        <v>57</v>
      </c>
      <c r="B943" s="126" t="s">
        <v>296</v>
      </c>
      <c r="C943" s="100" t="s">
        <v>250</v>
      </c>
      <c r="D943" s="14" t="s">
        <v>193</v>
      </c>
      <c r="E943" s="15"/>
      <c r="F943" s="15"/>
      <c r="G943" s="15"/>
      <c r="H943" s="15"/>
      <c r="I943" s="172"/>
      <c r="J943" s="202">
        <f t="shared" ref="J943:J944" si="238">I943</f>
        <v>0</v>
      </c>
      <c r="K943" s="94">
        <f t="shared" si="230"/>
        <v>0</v>
      </c>
      <c r="L943" s="16"/>
      <c r="M943" s="17"/>
      <c r="N943" s="17"/>
      <c r="O943" s="18">
        <f t="shared" si="234"/>
        <v>0</v>
      </c>
      <c r="P943" s="18">
        <f t="shared" si="235"/>
        <v>0</v>
      </c>
      <c r="Q943" s="8">
        <f t="shared" si="236"/>
        <v>0</v>
      </c>
    </row>
    <row r="944" spans="1:17" ht="21.5" thickBot="1" x14ac:dyDescent="0.55000000000000004">
      <c r="A944" s="125">
        <v>58</v>
      </c>
      <c r="B944" s="170" t="s">
        <v>296</v>
      </c>
      <c r="C944" s="167" t="s">
        <v>250</v>
      </c>
      <c r="D944" s="22" t="s">
        <v>193</v>
      </c>
      <c r="E944" s="23"/>
      <c r="F944" s="23"/>
      <c r="G944" s="23"/>
      <c r="H944" s="23"/>
      <c r="I944" s="173"/>
      <c r="J944" s="207">
        <f t="shared" si="238"/>
        <v>0</v>
      </c>
      <c r="K944" s="94">
        <f t="shared" si="230"/>
        <v>0</v>
      </c>
      <c r="L944" s="24"/>
      <c r="M944" s="25"/>
      <c r="N944" s="25"/>
      <c r="O944" s="20">
        <f t="shared" si="234"/>
        <v>0</v>
      </c>
      <c r="P944" s="20">
        <f t="shared" si="235"/>
        <v>0</v>
      </c>
      <c r="Q944" s="13">
        <f t="shared" si="236"/>
        <v>0</v>
      </c>
    </row>
    <row r="946" spans="14:17" ht="15" thickBot="1" x14ac:dyDescent="0.4"/>
    <row r="947" spans="14:17" ht="19" thickBot="1" x14ac:dyDescent="0.4">
      <c r="N947" s="10" t="s">
        <v>1</v>
      </c>
      <c r="O947" s="10"/>
      <c r="P947" s="10"/>
      <c r="Q947" s="2">
        <f>SUM(Q603:Q944)</f>
        <v>0</v>
      </c>
    </row>
  </sheetData>
  <autoFilter ref="D1:D947" xr:uid="{75C29CA4-81F3-464A-AE53-0C935B3F085A}"/>
  <mergeCells count="2">
    <mergeCell ref="C476:C478"/>
    <mergeCell ref="D476:D478"/>
  </mergeCells>
  <phoneticPr fontId="30" type="noConversion"/>
  <conditionalFormatting sqref="J12:J471 J482:J585 J603:J872 J876:J886 J888:J944">
    <cfRule type="expression" dxfId="1" priority="2">
      <formula>$J12&lt;&gt;$I12</formula>
    </cfRule>
  </conditionalFormatting>
  <conditionalFormatting sqref="M794:N794">
    <cfRule type="expression" dxfId="0" priority="1">
      <formula>$J794&lt;&gt;$I794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5920E-21B6-4F0C-975C-C5C7733C7B01}">
  <dimension ref="A1:AG1000"/>
  <sheetViews>
    <sheetView topLeftCell="G31" zoomScale="70" zoomScaleNormal="70" workbookViewId="0">
      <selection activeCell="AC2" sqref="AC2"/>
    </sheetView>
  </sheetViews>
  <sheetFormatPr defaultRowHeight="14.5" x14ac:dyDescent="0.35"/>
  <cols>
    <col min="5" max="5" width="15.81640625" bestFit="1" customWidth="1"/>
    <col min="6" max="6" width="11.81640625" customWidth="1"/>
    <col min="7" max="7" width="21.1796875" customWidth="1"/>
    <col min="8" max="8" width="11.81640625" customWidth="1"/>
    <col min="9" max="9" width="13.54296875" customWidth="1"/>
    <col min="10" max="10" width="14" bestFit="1" customWidth="1"/>
    <col min="11" max="11" width="13.453125" bestFit="1" customWidth="1"/>
    <col min="12" max="12" width="16.81640625" bestFit="1" customWidth="1"/>
    <col min="13" max="13" width="17.7265625" bestFit="1" customWidth="1"/>
    <col min="15" max="15" width="19.54296875" bestFit="1" customWidth="1"/>
    <col min="16" max="16" width="22.1796875" bestFit="1" customWidth="1"/>
    <col min="17" max="17" width="22" bestFit="1" customWidth="1"/>
    <col min="18" max="18" width="25.7265625" bestFit="1" customWidth="1"/>
    <col min="19" max="19" width="27.81640625" bestFit="1" customWidth="1"/>
    <col min="20" max="20" width="30.1796875" bestFit="1" customWidth="1"/>
    <col min="21" max="21" width="12.81640625" customWidth="1"/>
    <col min="22" max="22" width="17.54296875" bestFit="1" customWidth="1"/>
    <col min="23" max="23" width="12.54296875" customWidth="1"/>
    <col min="24" max="24" width="11.81640625" bestFit="1" customWidth="1"/>
    <col min="25" max="25" width="10.54296875" style="39" bestFit="1" customWidth="1"/>
    <col min="29" max="29" width="13.7265625" bestFit="1" customWidth="1"/>
    <col min="31" max="31" width="27.7265625" bestFit="1" customWidth="1"/>
  </cols>
  <sheetData>
    <row r="1" spans="1:33" x14ac:dyDescent="0.35">
      <c r="A1" t="s">
        <v>508</v>
      </c>
      <c r="B1" t="s">
        <v>480</v>
      </c>
      <c r="C1" t="s">
        <v>479</v>
      </c>
      <c r="D1" t="s">
        <v>481</v>
      </c>
      <c r="E1" t="s">
        <v>451</v>
      </c>
      <c r="F1" t="s">
        <v>452</v>
      </c>
      <c r="G1" t="s">
        <v>453</v>
      </c>
      <c r="H1" t="s">
        <v>454</v>
      </c>
      <c r="I1" t="s">
        <v>455</v>
      </c>
      <c r="J1" t="s">
        <v>456</v>
      </c>
      <c r="K1" t="s">
        <v>457</v>
      </c>
      <c r="L1" t="s">
        <v>507</v>
      </c>
      <c r="M1" t="s">
        <v>458</v>
      </c>
      <c r="N1" t="s">
        <v>15</v>
      </c>
      <c r="O1" t="s">
        <v>459</v>
      </c>
      <c r="P1" t="s">
        <v>460</v>
      </c>
      <c r="Q1" t="s">
        <v>461</v>
      </c>
      <c r="R1" t="s">
        <v>462</v>
      </c>
      <c r="S1" t="s">
        <v>463</v>
      </c>
      <c r="T1" t="s">
        <v>464</v>
      </c>
      <c r="U1" t="s">
        <v>465</v>
      </c>
      <c r="V1" t="s">
        <v>466</v>
      </c>
      <c r="W1" t="s">
        <v>467</v>
      </c>
      <c r="X1" t="s">
        <v>468</v>
      </c>
      <c r="Y1" s="39" t="s">
        <v>469</v>
      </c>
      <c r="Z1" t="s">
        <v>470</v>
      </c>
      <c r="AA1" t="s">
        <v>471</v>
      </c>
      <c r="AB1" t="s">
        <v>472</v>
      </c>
      <c r="AC1" t="s">
        <v>477</v>
      </c>
      <c r="AE1" t="s">
        <v>509</v>
      </c>
      <c r="AF1" t="e" cm="1">
        <f t="array" aca="1" ref="AF1" ca="1">_xlfn.TEXTAFTER(CELL("address",INDEX(#REF!,MATCH("*"&amp;AG1&amp;"*",#REF!,0))),"$",2)+3</f>
        <v>#REF!</v>
      </c>
      <c r="AG1" t="s">
        <v>6</v>
      </c>
    </row>
    <row r="2" spans="1:33" x14ac:dyDescent="0.35">
      <c r="A2" s="194" t="e">
        <f ca="1">AF1</f>
        <v>#REF!</v>
      </c>
      <c r="B2" s="194" t="e">
        <f ca="1">IF(OR(AND(A2&gt;=$AF$1,A2&lt;=$AF$2),AND(A2&gt;=$AF$6,A2&lt;=$AF$7)),"Mechanical",IF(OR(AND(A2&gt;=$AF$3,A2&lt;=$AF$4),AND(A2&gt;=$AF$8,A2&lt;=$AF$9)),"Electric",IF(A2=$AF$5,"Safety","")))</f>
        <v>#REF!</v>
      </c>
      <c r="C2" s="194" t="e" cm="1">
        <f t="array" aca="1" ref="C2" ca="1">INDIRECT("template!"&amp;"B"&amp;A2)</f>
        <v>#REF!</v>
      </c>
      <c r="D2" s="194" t="e" cm="1">
        <f t="array" aca="1" ref="D2" ca="1">INDIRECT("template!"&amp;"C"&amp;A2)</f>
        <v>#REF!</v>
      </c>
      <c r="E2" s="194" t="e">
        <f>#REF!</f>
        <v>#REF!</v>
      </c>
      <c r="F2" s="194" t="e">
        <f>#REF!</f>
        <v>#REF!</v>
      </c>
      <c r="G2" s="194" t="e" cm="1">
        <f t="array" aca="1" ref="G2" ca="1">INDIRECT("template!"&amp;"D"&amp;A2)</f>
        <v>#REF!</v>
      </c>
      <c r="H2" s="194" t="e" cm="1">
        <f t="array" aca="1" ref="H2" ca="1">INDIRECT("template!"&amp;"E"&amp;A2)</f>
        <v>#REF!</v>
      </c>
      <c r="I2" s="194" t="e" cm="1">
        <f t="array" aca="1" ref="I2" ca="1">INDIRECT("template!"&amp;"F"&amp;A2)</f>
        <v>#REF!</v>
      </c>
      <c r="J2" s="194" t="e" cm="1">
        <f t="array" aca="1" ref="J2" ca="1">INDIRECT("template!"&amp;"G"&amp;A2)</f>
        <v>#REF!</v>
      </c>
      <c r="K2" s="194" t="e" cm="1">
        <f t="array" aca="1" ref="K2" ca="1">INDIRECT("template!"&amp;"H"&amp;A2)</f>
        <v>#REF!</v>
      </c>
      <c r="L2" s="194" t="e" cm="1">
        <f t="array" aca="1" ref="L2" ca="1">INDIRECT("template!"&amp;"I"&amp;A2)</f>
        <v>#REF!</v>
      </c>
      <c r="M2" s="194" t="e" cm="1">
        <f t="array" aca="1" ref="M2" ca="1">INDIRECT("template!"&amp;"J"&amp;A2)</f>
        <v>#REF!</v>
      </c>
      <c r="N2" s="194" t="e" cm="1">
        <f t="array" aca="1" ref="N2" ca="1">INDIRECT("template!"&amp;"K"&amp;A2)</f>
        <v>#REF!</v>
      </c>
      <c r="O2" s="194" t="e" cm="1">
        <f t="array" aca="1" ref="O2" ca="1">INDIRECT("template!"&amp;"L"&amp;A2)</f>
        <v>#REF!</v>
      </c>
      <c r="P2" s="194" t="e" cm="1">
        <f t="array" aca="1" ref="P2" ca="1">INDIRECT("template!"&amp;"M"&amp;A2)</f>
        <v>#REF!</v>
      </c>
      <c r="Q2" s="194" t="e">
        <f>IF(E2="","",O2*L2)</f>
        <v>#REF!</v>
      </c>
      <c r="R2" s="194" t="e">
        <f>IF(E2="","",P2*L2)</f>
        <v>#REF!</v>
      </c>
      <c r="S2" s="194" t="e">
        <f>IF(E2="","",O2*M2)</f>
        <v>#REF!</v>
      </c>
      <c r="T2" s="194" t="e">
        <f>IF(E2="","",M2*P2)</f>
        <v>#REF!</v>
      </c>
      <c r="U2" s="194" t="e">
        <f>IF(E2="","",Q2+R2)</f>
        <v>#REF!</v>
      </c>
      <c r="V2" s="194" t="e">
        <f>IF(E2="","",S2+T2)</f>
        <v>#REF!</v>
      </c>
      <c r="W2" s="194" t="e">
        <f>IF(E2="","",#REF!)</f>
        <v>#REF!</v>
      </c>
      <c r="X2" s="194" t="e">
        <f>IF(E2="","",#REF!)</f>
        <v>#REF!</v>
      </c>
      <c r="Y2" s="195" t="e">
        <f>IF(E2="","",#REF!)</f>
        <v>#REF!</v>
      </c>
      <c r="Z2" s="194" t="e">
        <f>IF(E2="","",#REF!)</f>
        <v>#REF!</v>
      </c>
      <c r="AA2" s="194" t="e">
        <f>IF(E2="","",#REF!)</f>
        <v>#REF!</v>
      </c>
      <c r="AB2" s="194" t="e">
        <f>IF(E2="","",#REF!)</f>
        <v>#REF!</v>
      </c>
      <c r="AC2" s="194" t="e">
        <f>IF(E2="","","WEEK "&amp;WEEKNUM(Y2)&amp;"_"&amp;YEAR(Y2))</f>
        <v>#REF!</v>
      </c>
      <c r="AD2" s="40"/>
      <c r="AE2" t="s">
        <v>514</v>
      </c>
      <c r="AF2" t="e" cm="1">
        <f t="array" aca="1" ref="AF2" ca="1">MATCH(TRUE, INDEX(ISBLANK(INDIRECT("Template!D" &amp; AF1+1 &amp; ":D10000")), 0, 0), 0)+AF1-1</f>
        <v>#N/A</v>
      </c>
      <c r="AG2" s="40" t="s">
        <v>419</v>
      </c>
    </row>
    <row r="3" spans="1:33" x14ac:dyDescent="0.35">
      <c r="A3" t="e" cm="1">
        <f t="array" aca="1" ref="A3" ca="1">IF(A2="","",IF(OR(AND(A2+1&gt;=$AF$1,A2+1&lt;=$AF$2),AND(A2+1&gt;=$AF$6,A2+1&lt;=$AF$7),AND(A2+1&gt;=$AF$3,A2+1&lt;=$AF$4),AND(A2+1&gt;=$AF$8,A2+1&lt;=$AF$9),A2+1=$AF$5),IF(NOT(ISBLANK(INDIRECT("template!"&amp;"P"&amp;A2+1))),A2+1,IF(NOT(ISBLANK(INDIRECT("template!"&amp;"P"&amp;A2+2))),A2+2,A2+3)),IF(A2=$AF$2,$AF$3,IF(A2=$AF$4,$AF$5,IF(A2=$AF$5,$AF$6,IF(A2=$AF$7,$AF$8,""))))))</f>
        <v>#REF!</v>
      </c>
      <c r="B3" t="e">
        <f t="shared" ref="B3:B257" ca="1" si="0">IF(A3="","",IF(OR(AND(A3&gt;=$AF$1,A3&lt;=$AF$2),AND(A3&gt;=$AF$6,A3&lt;=$AF$7)),"Mechanical",IF(OR(AND(A3&gt;=$AF$3,A3&lt;=$AF$4),AND(A3&gt;=$AF$8,A3&lt;=$AF$9)),"Electric",IF(A3=$AF$5,"Safety",""))))</f>
        <v>#REF!</v>
      </c>
      <c r="C3" t="e" cm="1">
        <f t="array" aca="1" ref="C3" ca="1">IF(A3="","",IF(B3="safety","safety costs",INDIRECT("template!"&amp;"B"&amp;A3)))</f>
        <v>#REF!</v>
      </c>
      <c r="D3" t="e" cm="1">
        <f t="array" aca="1" ref="D3" ca="1">IF(OR(A3="",B3="safety"),"",INDIRECT("template!"&amp;"C"&amp;A3))</f>
        <v>#REF!</v>
      </c>
      <c r="E3" t="e" cm="1">
        <f t="array" aca="1" ref="E3" ca="1">IF(A3="","",IF(OR(A3=A2+1,A3=A2+2),E2,INDIRECT("template!"&amp;"D"&amp;A3-2)))</f>
        <v>#REF!</v>
      </c>
      <c r="F3" t="e" cm="1">
        <f t="array" aca="1" ref="F3" ca="1">IF(OR(A3="",B3="safety"),"",IF(ISBLANK(IF(A3=A2+1,F2,INDIRECT("template!"&amp;"D"&amp;A3-1))),"",IF(A3=A2+1,F2,INDIRECT("template!"&amp;"D"&amp;A3-1))))</f>
        <v>#REF!</v>
      </c>
      <c r="G3" t="e" cm="1">
        <f t="array" aca="1" ref="G3" ca="1">IF(OR(A3="",B3="safety"),"",IF(ISBLANK(INDIRECT("template!"&amp;"D"&amp;A3)),"",INDIRECT("template!"&amp;"D"&amp;A3)))</f>
        <v>#REF!</v>
      </c>
      <c r="H3" t="e" cm="1">
        <f t="array" aca="1" ref="H3" ca="1">IF(OR(A3="",B3="safety"),"",IF(ISBLANK(INDIRECT("template!"&amp;"E"&amp;A3)),"",INDIRECT("template!"&amp;"E"&amp;A3)))</f>
        <v>#REF!</v>
      </c>
      <c r="I3" t="e" cm="1">
        <f t="array" aca="1" ref="I3" ca="1">IF(OR(A3="",B3="safety"),"",IF(ISBLANK(INDIRECT("template!"&amp;"F"&amp;A3)),"",INDIRECT("template!"&amp;"F"&amp;A3)))</f>
        <v>#REF!</v>
      </c>
      <c r="J3" t="e" cm="1">
        <f t="array" aca="1" ref="J3" ca="1">IF(OR(A3="",B3="safety"),"",IF(ISBLANK(INDIRECT("template!"&amp;"G"&amp;A3)),"",INDIRECT("template!"&amp;"G"&amp;A3)))</f>
        <v>#REF!</v>
      </c>
      <c r="K3" t="e" cm="1">
        <f t="array" aca="1" ref="K3" ca="1">IF(OR(A3="",B3="safety"),"",IF(ISBLANK(INDIRECT("template!"&amp;"H"&amp;A3)),"",INDIRECT("template!"&amp;"H"&amp;A3)))</f>
        <v>#REF!</v>
      </c>
      <c r="L3" t="e" cm="1">
        <f t="array" aca="1" ref="L3" ca="1">IF(OR(A3="",B3="safety"),"",INDIRECT("template!"&amp;"I"&amp;A3))</f>
        <v>#REF!</v>
      </c>
      <c r="M3" t="e" cm="1">
        <f t="array" aca="1" ref="M3" ca="1">IF(OR(A3="",B3="safety"),"",INDIRECT("template!"&amp;"J"&amp;A3))</f>
        <v>#REF!</v>
      </c>
      <c r="N3" t="e" cm="1">
        <f t="array" aca="1" ref="N3" ca="1">IF(OR(A3="",B3="safety"),"",IF(ISBLANK(INDIRECT("template!"&amp;"K"&amp;A3)),"",INDIRECT("template!"&amp;"K"&amp;A3)))</f>
        <v>#REF!</v>
      </c>
      <c r="O3" t="e" cm="1">
        <f t="array" aca="1" ref="O3" ca="1">IF(OR(A3="",B3="safety"),"",INDIRECT("template!"&amp;"L"&amp;A3))</f>
        <v>#REF!</v>
      </c>
      <c r="P3" t="e" cm="1">
        <f t="array" aca="1" ref="P3" ca="1">IF(OR(A3="",B3="safety"),"",INDIRECT("template!"&amp;"M"&amp;A3))</f>
        <v>#REF!</v>
      </c>
      <c r="Q3" t="e">
        <f ca="1">IF(OR(A3="",B3="safety"),"",IF(E3="","",O3*L3))</f>
        <v>#REF!</v>
      </c>
      <c r="R3" t="e">
        <f ca="1">IF(OR(A3="",B3="safety"),"",IF(E3="","",P3*L3))</f>
        <v>#REF!</v>
      </c>
      <c r="S3" t="e">
        <f ca="1">IF(OR(A3="",B3="safety"),"",IF(E3="","",O3*M3))</f>
        <v>#REF!</v>
      </c>
      <c r="T3" t="e">
        <f ca="1">IF(OR(A3="",B3="safety"),"",IF(E3="","",M3*P3))</f>
        <v>#REF!</v>
      </c>
      <c r="U3" t="e" cm="1">
        <f t="array" aca="1" ref="U3" ca="1">IF(A3="","",IF(E3="","",IF(B3="safety",INDIRECT("template!"&amp;"P"&amp;A3),Q3+R3)))</f>
        <v>#REF!</v>
      </c>
      <c r="V3" t="e" cm="1">
        <f t="array" aca="1" ref="V3" ca="1">IF(A3="","",IF(E3="","",IF(B3="safety",INDIRECT("template!"&amp;"P"&amp;A3),S3+T3)))</f>
        <v>#REF!</v>
      </c>
      <c r="W3" t="e">
        <f ca="1">IF(A3="","",IF(E3="","",#REF!))</f>
        <v>#REF!</v>
      </c>
      <c r="X3" t="e">
        <f ca="1">IF(A3="","",IF(E3="","",#REF!))</f>
        <v>#REF!</v>
      </c>
      <c r="Y3" s="39" t="e">
        <f ca="1">IF(A3="","",IF(E3="","",#REF!))</f>
        <v>#REF!</v>
      </c>
      <c r="Z3" t="e">
        <f ca="1">IF(A3="","",IF(E3="","",#REF!))</f>
        <v>#REF!</v>
      </c>
      <c r="AA3" t="e">
        <f ca="1">IF(A3="","",IF(E3="","",#REF!))</f>
        <v>#REF!</v>
      </c>
      <c r="AB3" t="e">
        <f ca="1">IF(A3="","",IF(E3="","",#REF!))</f>
        <v>#REF!</v>
      </c>
      <c r="AC3" t="e">
        <f ca="1">IF(A3="","",IF(E3="","","WEEK "&amp;WEEKNUM(Y3)&amp;"_"&amp;YEAR(Y3)))</f>
        <v>#REF!</v>
      </c>
      <c r="AE3" t="s">
        <v>510</v>
      </c>
      <c r="AF3" t="e" cm="1">
        <f t="array" aca="1" ref="AF3" ca="1">_xlfn.TEXTAFTER(CELL("address", INDEX(INDIRECT("Template!A" &amp; AF1+1 &amp; ":A10000"), MATCH("*" &amp; AG1 &amp; "*", INDIRECT("Template!A" &amp; AF1+1 &amp; ":A10000"), 0))), "$", 2)+2</f>
        <v>#REF!</v>
      </c>
      <c r="AG3" s="40"/>
    </row>
    <row r="4" spans="1:33" x14ac:dyDescent="0.35">
      <c r="A4" t="e" cm="1">
        <f t="array" aca="1" ref="A4" ca="1">IF(A3="","",IF(OR(AND(A3+1&gt;=$AF$1,A3+1&lt;=$AF$2),AND(A3+1&gt;=$AF$6,A3+1&lt;=$AF$7),AND(A3+1&gt;=$AF$3,A3+1&lt;=$AF$4),AND(A3+1&gt;=$AF$8,A3+1&lt;=$AF$9),A3+1=$AF$5),IF(NOT(ISBLANK(INDIRECT("template!"&amp;"P"&amp;A3+1))),A3+1,IF(NOT(ISBLANK(INDIRECT("template!"&amp;"P"&amp;A3+2))),A3+2,A3+3)),IF(A3=$AF$2,$AF$3,IF(A3=$AF$4,$AF$5,IF(A3=$AF$5,$AF$6,IF(A3=$AF$7,$AF$8,""))))))</f>
        <v>#REF!</v>
      </c>
      <c r="B4" t="e">
        <f t="shared" ca="1" si="0"/>
        <v>#REF!</v>
      </c>
      <c r="C4" t="e" cm="1">
        <f t="array" aca="1" ref="C4" ca="1">IF(A4="","",IF(B4="safety","safety costs",INDIRECT("template!"&amp;"B"&amp;A4)))</f>
        <v>#REF!</v>
      </c>
      <c r="D4" t="e" cm="1">
        <f t="array" aca="1" ref="D4" ca="1">IF(OR(A4="",B4="safety"),"",INDIRECT("template!"&amp;"C"&amp;A4))</f>
        <v>#REF!</v>
      </c>
      <c r="E4" t="e" cm="1">
        <f t="array" aca="1" ref="E4" ca="1">IF(A4="","",IF(OR(A4=A3+1,A4=A3+2),E3,INDIRECT("template!"&amp;"D"&amp;A4-2)))</f>
        <v>#REF!</v>
      </c>
      <c r="F4" t="e" cm="1">
        <f t="array" aca="1" ref="F4" ca="1">IF(OR(A4="",B4="safety"),"",IF(ISBLANK(IF(A4=A3+1,F3,INDIRECT("template!"&amp;"D"&amp;A4-1))),"",IF(A4=A3+1,F3,INDIRECT("template!"&amp;"D"&amp;A4-1))))</f>
        <v>#REF!</v>
      </c>
      <c r="G4" t="e" cm="1">
        <f t="array" aca="1" ref="G4" ca="1">IF(OR(A4="",B4="safety"),"",IF(ISBLANK(INDIRECT("template!"&amp;"D"&amp;A4)),"",INDIRECT("template!"&amp;"D"&amp;A4)))</f>
        <v>#REF!</v>
      </c>
      <c r="H4" t="e" cm="1">
        <f t="array" aca="1" ref="H4" ca="1">IF(OR(A4="",B4="safety"),"",IF(ISBLANK(INDIRECT("template!"&amp;"E"&amp;A4)),"",INDIRECT("template!"&amp;"E"&amp;A4)))</f>
        <v>#REF!</v>
      </c>
      <c r="I4" t="e" cm="1">
        <f t="array" aca="1" ref="I4" ca="1">IF(OR(A4="",B4="safety"),"",IF(ISBLANK(INDIRECT("template!"&amp;"F"&amp;A4)),"",INDIRECT("template!"&amp;"F"&amp;A4)))</f>
        <v>#REF!</v>
      </c>
      <c r="J4" t="e" cm="1">
        <f t="array" aca="1" ref="J4" ca="1">IF(OR(A4="",B4="safety"),"",IF(ISBLANK(INDIRECT("template!"&amp;"G"&amp;A4)),"",INDIRECT("template!"&amp;"G"&amp;A4)))</f>
        <v>#REF!</v>
      </c>
      <c r="K4" t="e" cm="1">
        <f t="array" aca="1" ref="K4" ca="1">IF(OR(A4="",B4="safety"),"",IF(ISBLANK(INDIRECT("template!"&amp;"H"&amp;A4)),"",INDIRECT("template!"&amp;"H"&amp;A4)))</f>
        <v>#REF!</v>
      </c>
      <c r="L4" t="e" cm="1">
        <f t="array" aca="1" ref="L4" ca="1">IF(OR(A4="",B4="safety"),"",INDIRECT("template!"&amp;"I"&amp;A4))</f>
        <v>#REF!</v>
      </c>
      <c r="M4" t="e" cm="1">
        <f t="array" aca="1" ref="M4" ca="1">IF(OR(A4="",B4="safety"),"",INDIRECT("template!"&amp;"J"&amp;A4))</f>
        <v>#REF!</v>
      </c>
      <c r="N4" t="e" cm="1">
        <f t="array" aca="1" ref="N4" ca="1">IF(OR(A4="",B4="safety"),"",IF(ISBLANK(INDIRECT("template!"&amp;"K"&amp;A4)),"",INDIRECT("template!"&amp;"K"&amp;A4)))</f>
        <v>#REF!</v>
      </c>
      <c r="O4" t="e" cm="1">
        <f t="array" aca="1" ref="O4" ca="1">IF(OR(A4="",B4="safety"),"",INDIRECT("template!"&amp;"L"&amp;A4))</f>
        <v>#REF!</v>
      </c>
      <c r="P4" t="e" cm="1">
        <f t="array" aca="1" ref="P4" ca="1">IF(OR(A4="",B4="safety"),"",INDIRECT("template!"&amp;"M"&amp;A4))</f>
        <v>#REF!</v>
      </c>
      <c r="Q4" t="e">
        <f t="shared" ref="Q4:Q67" ca="1" si="1">IF(OR(A4="",B4="safety"),"",IF(E4="","",O4*L4))</f>
        <v>#REF!</v>
      </c>
      <c r="R4" t="e">
        <f t="shared" ref="R4:R67" ca="1" si="2">IF(OR(A4="",B4="safety"),"",IF(E4="","",P4*L4))</f>
        <v>#REF!</v>
      </c>
      <c r="S4" t="e">
        <f t="shared" ref="S4:S67" ca="1" si="3">IF(OR(A4="",B4="safety"),"",IF(E4="","",O4*M4))</f>
        <v>#REF!</v>
      </c>
      <c r="T4" t="e">
        <f t="shared" ref="T4:T67" ca="1" si="4">IF(OR(A4="",B4="safety"),"",IF(E4="","",M4*P4))</f>
        <v>#REF!</v>
      </c>
      <c r="U4" t="e" cm="1">
        <f t="array" aca="1" ref="U4" ca="1">IF(A4="","",IF(E4="","",IF(B4="safety",INDIRECT("template!"&amp;"P"&amp;A4),Q4+R4)))</f>
        <v>#REF!</v>
      </c>
      <c r="V4" t="e" cm="1">
        <f t="array" aca="1" ref="V4" ca="1">IF(A4="","",IF(E4="","",IF(B4="safety",INDIRECT("template!"&amp;"P"&amp;A4),S4+T4)))</f>
        <v>#REF!</v>
      </c>
      <c r="W4" t="e">
        <f ca="1">IF(A4="","",IF(E4="","",#REF!))</f>
        <v>#REF!</v>
      </c>
      <c r="X4" t="e">
        <f ca="1">IF(A4="","",IF(E4="","",#REF!))</f>
        <v>#REF!</v>
      </c>
      <c r="Y4" s="39" t="e">
        <f ca="1">IF(A4="","",IF(E4="","",#REF!))</f>
        <v>#REF!</v>
      </c>
      <c r="Z4" t="e">
        <f ca="1">IF(A4="","",IF(E4="","",#REF!))</f>
        <v>#REF!</v>
      </c>
      <c r="AA4" t="e">
        <f ca="1">IF(A4="","",IF(E4="","",#REF!))</f>
        <v>#REF!</v>
      </c>
      <c r="AB4" t="e">
        <f ca="1">IF(A4="","",IF(E4="","",#REF!))</f>
        <v>#REF!</v>
      </c>
      <c r="AC4" t="e">
        <f t="shared" ref="AC4:AC67" ca="1" si="5">IF(A4="","",IF(E4="","","WEEK "&amp;WEEKNUM(Y4)&amp;"_"&amp;YEAR(Y4)))</f>
        <v>#REF!</v>
      </c>
      <c r="AE4" t="s">
        <v>515</v>
      </c>
      <c r="AF4" t="e" cm="1">
        <f t="array" aca="1" ref="AF4" ca="1">MATCH(TRUE, INDEX(ISBLANK(INDIRECT("Template!D" &amp; AF3+1 &amp; ":D10000")), 0, 0), 0)+AF3-1</f>
        <v>#N/A</v>
      </c>
    </row>
    <row r="5" spans="1:33" x14ac:dyDescent="0.35">
      <c r="A5" t="e" cm="1">
        <f t="array" aca="1" ref="A5" ca="1">IF(A4="","",IF(OR(AND(A4+1&gt;=$AF$1,A4+1&lt;=$AF$2),AND(A4+1&gt;=$AF$6,A4+1&lt;=$AF$7),AND(A4+1&gt;=$AF$3,A4+1&lt;=$AF$4),AND(A4+1&gt;=$AF$8,A4+1&lt;=$AF$9),A4+1=$AF$5),IF(NOT(ISBLANK(INDIRECT("template!"&amp;"P"&amp;A4+1))),A4+1,IF(NOT(ISBLANK(INDIRECT("template!"&amp;"P"&amp;A4+2))),A4+2,A4+3)),IF(A4=$AF$2,$AF$3,IF(A4=$AF$4,$AF$5,IF(A4=$AF$5,$AF$6,IF(A4=$AF$7,$AF$8,""))))))</f>
        <v>#REF!</v>
      </c>
      <c r="B5" t="e">
        <f t="shared" ca="1" si="0"/>
        <v>#REF!</v>
      </c>
      <c r="C5" t="e" cm="1">
        <f t="array" aca="1" ref="C5" ca="1">IF(A5="","",IF(B5="safety","safety costs",INDIRECT("template!"&amp;"B"&amp;A5)))</f>
        <v>#REF!</v>
      </c>
      <c r="D5" t="e" cm="1">
        <f t="array" aca="1" ref="D5" ca="1">IF(OR(A5="",B5="safety"),"",INDIRECT("template!"&amp;"C"&amp;A5))</f>
        <v>#REF!</v>
      </c>
      <c r="E5" t="e" cm="1">
        <f t="array" aca="1" ref="E5" ca="1">IF(A5="","",IF(OR(A5=A4+1,A5=A4+2),E4,INDIRECT("template!"&amp;"D"&amp;A5-2)))</f>
        <v>#REF!</v>
      </c>
      <c r="F5" t="e" cm="1">
        <f t="array" aca="1" ref="F5" ca="1">IF(OR(A5="",B5="safety"),"",IF(ISBLANK(IF(A5=A4+1,F4,INDIRECT("template!"&amp;"D"&amp;A5-1))),"",IF(A5=A4+1,F4,INDIRECT("template!"&amp;"D"&amp;A5-1))))</f>
        <v>#REF!</v>
      </c>
      <c r="G5" t="e" cm="1">
        <f t="array" aca="1" ref="G5" ca="1">IF(OR(A5="",B5="safety"),"",IF(ISBLANK(INDIRECT("template!"&amp;"D"&amp;A5)),"",INDIRECT("template!"&amp;"D"&amp;A5)))</f>
        <v>#REF!</v>
      </c>
      <c r="H5" t="e" cm="1">
        <f t="array" aca="1" ref="H5" ca="1">IF(OR(A5="",B5="safety"),"",IF(ISBLANK(INDIRECT("template!"&amp;"E"&amp;A5)),"",INDIRECT("template!"&amp;"E"&amp;A5)))</f>
        <v>#REF!</v>
      </c>
      <c r="I5" t="e" cm="1">
        <f t="array" aca="1" ref="I5" ca="1">IF(OR(A5="",B5="safety"),"",IF(ISBLANK(INDIRECT("template!"&amp;"F"&amp;A5)),"",INDIRECT("template!"&amp;"F"&amp;A5)))</f>
        <v>#REF!</v>
      </c>
      <c r="J5" t="e" cm="1">
        <f t="array" aca="1" ref="J5" ca="1">IF(OR(A5="",B5="safety"),"",IF(ISBLANK(INDIRECT("template!"&amp;"G"&amp;A5)),"",INDIRECT("template!"&amp;"G"&amp;A5)))</f>
        <v>#REF!</v>
      </c>
      <c r="K5" t="e" cm="1">
        <f t="array" aca="1" ref="K5" ca="1">IF(OR(A5="",B5="safety"),"",IF(ISBLANK(INDIRECT("template!"&amp;"H"&amp;A5)),"",INDIRECT("template!"&amp;"H"&amp;A5)))</f>
        <v>#REF!</v>
      </c>
      <c r="L5" t="e" cm="1">
        <f t="array" aca="1" ref="L5" ca="1">IF(OR(A5="",B5="safety"),"",INDIRECT("template!"&amp;"I"&amp;A5))</f>
        <v>#REF!</v>
      </c>
      <c r="M5" t="e" cm="1">
        <f t="array" aca="1" ref="M5" ca="1">IF(OR(A5="",B5="safety"),"",INDIRECT("template!"&amp;"J"&amp;A5))</f>
        <v>#REF!</v>
      </c>
      <c r="N5" t="e" cm="1">
        <f t="array" aca="1" ref="N5" ca="1">IF(OR(A5="",B5="safety"),"",IF(ISBLANK(INDIRECT("template!"&amp;"K"&amp;A5)),"",INDIRECT("template!"&amp;"K"&amp;A5)))</f>
        <v>#REF!</v>
      </c>
      <c r="O5" t="e" cm="1">
        <f t="array" aca="1" ref="O5" ca="1">IF(OR(A5="",B5="safety"),"",INDIRECT("template!"&amp;"L"&amp;A5))</f>
        <v>#REF!</v>
      </c>
      <c r="P5" t="e" cm="1">
        <f t="array" aca="1" ref="P5" ca="1">IF(OR(A5="",B5="safety"),"",INDIRECT("template!"&amp;"M"&amp;A5))</f>
        <v>#REF!</v>
      </c>
      <c r="Q5" t="e">
        <f t="shared" ca="1" si="1"/>
        <v>#REF!</v>
      </c>
      <c r="R5" t="e">
        <f t="shared" ca="1" si="2"/>
        <v>#REF!</v>
      </c>
      <c r="S5" t="e">
        <f t="shared" ca="1" si="3"/>
        <v>#REF!</v>
      </c>
      <c r="T5" t="e">
        <f t="shared" ca="1" si="4"/>
        <v>#REF!</v>
      </c>
      <c r="U5" t="e" cm="1">
        <f t="array" aca="1" ref="U5" ca="1">IF(A5="","",IF(E5="","",IF(B5="safety",INDIRECT("template!"&amp;"P"&amp;A5),Q5+R5)))</f>
        <v>#REF!</v>
      </c>
      <c r="V5" t="e" cm="1">
        <f t="array" aca="1" ref="V5" ca="1">IF(A5="","",IF(E5="","",IF(B5="safety",INDIRECT("template!"&amp;"P"&amp;A5),S5+T5)))</f>
        <v>#REF!</v>
      </c>
      <c r="W5" t="e">
        <f ca="1">IF(A5="","",IF(E5="","",#REF!))</f>
        <v>#REF!</v>
      </c>
      <c r="X5" t="e">
        <f ca="1">IF(A5="","",IF(E5="","",#REF!))</f>
        <v>#REF!</v>
      </c>
      <c r="Y5" s="39" t="e">
        <f ca="1">IF(A5="","",IF(E5="","",#REF!))</f>
        <v>#REF!</v>
      </c>
      <c r="Z5" t="e">
        <f ca="1">IF(A5="","",IF(E5="","",#REF!))</f>
        <v>#REF!</v>
      </c>
      <c r="AA5" t="e">
        <f ca="1">IF(A5="","",IF(E5="","",#REF!))</f>
        <v>#REF!</v>
      </c>
      <c r="AB5" t="e">
        <f ca="1">IF(A5="","",IF(E5="","",#REF!))</f>
        <v>#REF!</v>
      </c>
      <c r="AC5" t="e">
        <f t="shared" ca="1" si="5"/>
        <v>#REF!</v>
      </c>
      <c r="AE5" t="s">
        <v>511</v>
      </c>
      <c r="AF5" t="e" cm="1">
        <f t="array" aca="1" ref="AF5" ca="1">VALUE(_xlfn.TEXTAFTER(CELL("address", INDEX(INDIRECT("Template!C:C"), MATCH(TRUE, ISNUMBER(SEARCH(AG2, INDIRECT("Template!C:C"))), 0))), "$", 2))</f>
        <v>#REF!</v>
      </c>
    </row>
    <row r="6" spans="1:33" x14ac:dyDescent="0.35">
      <c r="A6" t="e" cm="1">
        <f t="array" aca="1" ref="A6" ca="1">IF(A5="","",IF(OR(AND(A5+1&gt;=$AF$1,A5+1&lt;=$AF$2),AND(A5+1&gt;=$AF$6,A5+1&lt;=$AF$7),AND(A5+1&gt;=$AF$3,A5+1&lt;=$AF$4),AND(A5+1&gt;=$AF$8,A5+1&lt;=$AF$9),A5+1=$AF$5),IF(NOT(ISBLANK(INDIRECT("template!"&amp;"P"&amp;A5+1))),A5+1,IF(NOT(ISBLANK(INDIRECT("template!"&amp;"P"&amp;A5+2))),A5+2,A5+3)),IF(A5=$AF$2,$AF$3,IF(A5=$AF$4,$AF$5,IF(A5=$AF$5,$AF$6,IF(A5=$AF$7,$AF$8,""))))))</f>
        <v>#REF!</v>
      </c>
      <c r="B6" t="e">
        <f t="shared" ca="1" si="0"/>
        <v>#REF!</v>
      </c>
      <c r="C6" t="e" cm="1">
        <f t="array" aca="1" ref="C6" ca="1">IF(A6="","",IF(B6="safety","safety costs",INDIRECT("template!"&amp;"B"&amp;A6)))</f>
        <v>#REF!</v>
      </c>
      <c r="D6" t="e" cm="1">
        <f t="array" aca="1" ref="D6" ca="1">IF(OR(A6="",B6="safety"),"",INDIRECT("template!"&amp;"C"&amp;A6))</f>
        <v>#REF!</v>
      </c>
      <c r="E6" t="e" cm="1">
        <f t="array" aca="1" ref="E6" ca="1">IF(A6="","",IF(OR(A6=A5+1,A6=A5+2),E5,INDIRECT("template!"&amp;"D"&amp;A6-2)))</f>
        <v>#REF!</v>
      </c>
      <c r="F6" t="e" cm="1">
        <f t="array" aca="1" ref="F6" ca="1">IF(OR(A6="",B6="safety"),"",IF(ISBLANK(IF(A6=A5+1,F5,INDIRECT("template!"&amp;"D"&amp;A6-1))),"",IF(A6=A5+1,F5,INDIRECT("template!"&amp;"D"&amp;A6-1))))</f>
        <v>#REF!</v>
      </c>
      <c r="G6" t="e" cm="1">
        <f t="array" aca="1" ref="G6" ca="1">IF(OR(A6="",B6="safety"),"",IF(ISBLANK(INDIRECT("template!"&amp;"D"&amp;A6)),"",INDIRECT("template!"&amp;"D"&amp;A6)))</f>
        <v>#REF!</v>
      </c>
      <c r="H6" t="e" cm="1">
        <f t="array" aca="1" ref="H6" ca="1">IF(OR(A6="",B6="safety"),"",IF(ISBLANK(INDIRECT("template!"&amp;"E"&amp;A6)),"",INDIRECT("template!"&amp;"E"&amp;A6)))</f>
        <v>#REF!</v>
      </c>
      <c r="I6" t="e" cm="1">
        <f t="array" aca="1" ref="I6" ca="1">IF(OR(A6="",B6="safety"),"",IF(ISBLANK(INDIRECT("template!"&amp;"F"&amp;A6)),"",INDIRECT("template!"&amp;"F"&amp;A6)))</f>
        <v>#REF!</v>
      </c>
      <c r="J6" t="e" cm="1">
        <f t="array" aca="1" ref="J6" ca="1">IF(OR(A6="",B6="safety"),"",IF(ISBLANK(INDIRECT("template!"&amp;"G"&amp;A6)),"",INDIRECT("template!"&amp;"G"&amp;A6)))</f>
        <v>#REF!</v>
      </c>
      <c r="K6" t="e" cm="1">
        <f t="array" aca="1" ref="K6" ca="1">IF(OR(A6="",B6="safety"),"",IF(ISBLANK(INDIRECT("template!"&amp;"H"&amp;A6)),"",INDIRECT("template!"&amp;"H"&amp;A6)))</f>
        <v>#REF!</v>
      </c>
      <c r="L6" t="e" cm="1">
        <f t="array" aca="1" ref="L6" ca="1">IF(OR(A6="",B6="safety"),"",INDIRECT("template!"&amp;"I"&amp;A6))</f>
        <v>#REF!</v>
      </c>
      <c r="M6" t="e" cm="1">
        <f t="array" aca="1" ref="M6" ca="1">IF(OR(A6="",B6="safety"),"",INDIRECT("template!"&amp;"J"&amp;A6))</f>
        <v>#REF!</v>
      </c>
      <c r="N6" t="e" cm="1">
        <f t="array" aca="1" ref="N6" ca="1">IF(OR(A6="",B6="safety"),"",IF(ISBLANK(INDIRECT("template!"&amp;"K"&amp;A6)),"",INDIRECT("template!"&amp;"K"&amp;A6)))</f>
        <v>#REF!</v>
      </c>
      <c r="O6" t="e" cm="1">
        <f t="array" aca="1" ref="O6" ca="1">IF(OR(A6="",B6="safety"),"",INDIRECT("template!"&amp;"L"&amp;A6))</f>
        <v>#REF!</v>
      </c>
      <c r="P6" t="e" cm="1">
        <f t="array" aca="1" ref="P6" ca="1">IF(OR(A6="",B6="safety"),"",INDIRECT("template!"&amp;"M"&amp;A6))</f>
        <v>#REF!</v>
      </c>
      <c r="Q6" t="e">
        <f t="shared" ca="1" si="1"/>
        <v>#REF!</v>
      </c>
      <c r="R6" t="e">
        <f t="shared" ca="1" si="2"/>
        <v>#REF!</v>
      </c>
      <c r="S6" t="e">
        <f t="shared" ca="1" si="3"/>
        <v>#REF!</v>
      </c>
      <c r="T6" t="e">
        <f t="shared" ca="1" si="4"/>
        <v>#REF!</v>
      </c>
      <c r="U6" t="e" cm="1">
        <f t="array" aca="1" ref="U6" ca="1">IF(A6="","",IF(E6="","",IF(B6="safety",INDIRECT("template!"&amp;"P"&amp;A6),Q6+R6)))</f>
        <v>#REF!</v>
      </c>
      <c r="V6" t="e" cm="1">
        <f t="array" aca="1" ref="V6" ca="1">IF(A6="","",IF(E6="","",IF(B6="safety",INDIRECT("template!"&amp;"P"&amp;A6),S6+T6)))</f>
        <v>#REF!</v>
      </c>
      <c r="W6" t="e">
        <f ca="1">IF(A6="","",IF(E6="","",#REF!))</f>
        <v>#REF!</v>
      </c>
      <c r="X6" t="e">
        <f ca="1">IF(A6="","",IF(E6="","",#REF!))</f>
        <v>#REF!</v>
      </c>
      <c r="Y6" s="39" t="e">
        <f ca="1">IF(A6="","",IF(E6="","",#REF!))</f>
        <v>#REF!</v>
      </c>
      <c r="Z6" t="e">
        <f ca="1">IF(A6="","",IF(E6="","",#REF!))</f>
        <v>#REF!</v>
      </c>
      <c r="AA6" t="e">
        <f ca="1">IF(A6="","",IF(E6="","",#REF!))</f>
        <v>#REF!</v>
      </c>
      <c r="AB6" t="e">
        <f ca="1">IF(A6="","",IF(E6="","",#REF!))</f>
        <v>#REF!</v>
      </c>
      <c r="AC6" t="e">
        <f t="shared" ca="1" si="5"/>
        <v>#REF!</v>
      </c>
      <c r="AE6" t="s">
        <v>512</v>
      </c>
      <c r="AF6" t="e" cm="1">
        <f t="array" aca="1" ref="AF6" ca="1">_xlfn.TEXTAFTER(CELL("address", INDEX(INDIRECT("Template!A" &amp; AF3+1 &amp; ":A10000"), MATCH("*" &amp; AG1 &amp; "*", INDIRECT("Template!A" &amp; AF3+1 &amp; ":A10000"), 0))), "$", 2)+3</f>
        <v>#REF!</v>
      </c>
    </row>
    <row r="7" spans="1:33" x14ac:dyDescent="0.35">
      <c r="A7" t="e" cm="1">
        <f t="array" aca="1" ref="A7" ca="1">IF(A6="","",IF(OR(AND(A6+1&gt;=$AF$1,A6+1&lt;=$AF$2),AND(A6+1&gt;=$AF$6,A6+1&lt;=$AF$7),AND(A6+1&gt;=$AF$3,A6+1&lt;=$AF$4),AND(A6+1&gt;=$AF$8,A6+1&lt;=$AF$9),A6+1=$AF$5),IF(NOT(ISBLANK(INDIRECT("template!"&amp;"P"&amp;A6+1))),A6+1,IF(NOT(ISBLANK(INDIRECT("template!"&amp;"P"&amp;A6+2))),A6+2,A6+3)),IF(A6=$AF$2,$AF$3,IF(A6=$AF$4,$AF$5,IF(A6=$AF$5,$AF$6,IF(A6=$AF$7,$AF$8,""))))))</f>
        <v>#REF!</v>
      </c>
      <c r="B7" t="e">
        <f t="shared" ca="1" si="0"/>
        <v>#REF!</v>
      </c>
      <c r="C7" t="e" cm="1">
        <f t="array" aca="1" ref="C7" ca="1">IF(A7="","",IF(B7="safety","safety costs",INDIRECT("template!"&amp;"B"&amp;A7)))</f>
        <v>#REF!</v>
      </c>
      <c r="D7" t="e" cm="1">
        <f t="array" aca="1" ref="D7" ca="1">IF(OR(A7="",B7="safety"),"",INDIRECT("template!"&amp;"C"&amp;A7))</f>
        <v>#REF!</v>
      </c>
      <c r="E7" t="e" cm="1">
        <f t="array" aca="1" ref="E7" ca="1">IF(A7="","",IF(OR(A7=A6+1,A7=A6+2),E6,INDIRECT("template!"&amp;"D"&amp;A7-2)))</f>
        <v>#REF!</v>
      </c>
      <c r="F7" t="e" cm="1">
        <f t="array" aca="1" ref="F7" ca="1">IF(OR(A7="",B7="safety"),"",IF(ISBLANK(IF(A7=A6+1,F6,INDIRECT("template!"&amp;"D"&amp;A7-1))),"",IF(A7=A6+1,F6,INDIRECT("template!"&amp;"D"&amp;A7-1))))</f>
        <v>#REF!</v>
      </c>
      <c r="G7" t="e" cm="1">
        <f t="array" aca="1" ref="G7" ca="1">IF(OR(A7="",B7="safety"),"",IF(ISBLANK(INDIRECT("template!"&amp;"D"&amp;A7)),"",INDIRECT("template!"&amp;"D"&amp;A7)))</f>
        <v>#REF!</v>
      </c>
      <c r="H7" t="e" cm="1">
        <f t="array" aca="1" ref="H7" ca="1">IF(OR(A7="",B7="safety"),"",IF(ISBLANK(INDIRECT("template!"&amp;"E"&amp;A7)),"",INDIRECT("template!"&amp;"E"&amp;A7)))</f>
        <v>#REF!</v>
      </c>
      <c r="I7" t="e" cm="1">
        <f t="array" aca="1" ref="I7" ca="1">IF(OR(A7="",B7="safety"),"",IF(ISBLANK(INDIRECT("template!"&amp;"F"&amp;A7)),"",INDIRECT("template!"&amp;"F"&amp;A7)))</f>
        <v>#REF!</v>
      </c>
      <c r="J7" t="e" cm="1">
        <f t="array" aca="1" ref="J7" ca="1">IF(OR(A7="",B7="safety"),"",IF(ISBLANK(INDIRECT("template!"&amp;"G"&amp;A7)),"",INDIRECT("template!"&amp;"G"&amp;A7)))</f>
        <v>#REF!</v>
      </c>
      <c r="K7" t="e" cm="1">
        <f t="array" aca="1" ref="K7" ca="1">IF(OR(A7="",B7="safety"),"",IF(ISBLANK(INDIRECT("template!"&amp;"H"&amp;A7)),"",INDIRECT("template!"&amp;"H"&amp;A7)))</f>
        <v>#REF!</v>
      </c>
      <c r="L7" t="e" cm="1">
        <f t="array" aca="1" ref="L7" ca="1">IF(OR(A7="",B7="safety"),"",INDIRECT("template!"&amp;"I"&amp;A7))</f>
        <v>#REF!</v>
      </c>
      <c r="M7" t="e" cm="1">
        <f t="array" aca="1" ref="M7" ca="1">IF(OR(A7="",B7="safety"),"",INDIRECT("template!"&amp;"J"&amp;A7))</f>
        <v>#REF!</v>
      </c>
      <c r="N7" t="e" cm="1">
        <f t="array" aca="1" ref="N7" ca="1">IF(OR(A7="",B7="safety"),"",IF(ISBLANK(INDIRECT("template!"&amp;"K"&amp;A7)),"",INDIRECT("template!"&amp;"K"&amp;A7)))</f>
        <v>#REF!</v>
      </c>
      <c r="O7" t="e" cm="1">
        <f t="array" aca="1" ref="O7" ca="1">IF(OR(A7="",B7="safety"),"",INDIRECT("template!"&amp;"L"&amp;A7))</f>
        <v>#REF!</v>
      </c>
      <c r="P7" t="e" cm="1">
        <f t="array" aca="1" ref="P7" ca="1">IF(OR(A7="",B7="safety"),"",INDIRECT("template!"&amp;"M"&amp;A7))</f>
        <v>#REF!</v>
      </c>
      <c r="Q7" t="e">
        <f t="shared" ca="1" si="1"/>
        <v>#REF!</v>
      </c>
      <c r="R7" t="e">
        <f t="shared" ca="1" si="2"/>
        <v>#REF!</v>
      </c>
      <c r="S7" t="e">
        <f t="shared" ca="1" si="3"/>
        <v>#REF!</v>
      </c>
      <c r="T7" t="e">
        <f t="shared" ca="1" si="4"/>
        <v>#REF!</v>
      </c>
      <c r="U7" t="e" cm="1">
        <f t="array" aca="1" ref="U7" ca="1">IF(A7="","",IF(E7="","",IF(B7="safety",INDIRECT("template!"&amp;"P"&amp;A7),Q7+R7)))</f>
        <v>#REF!</v>
      </c>
      <c r="V7" t="e" cm="1">
        <f t="array" aca="1" ref="V7" ca="1">IF(A7="","",IF(E7="","",IF(B7="safety",INDIRECT("template!"&amp;"P"&amp;A7),S7+T7)))</f>
        <v>#REF!</v>
      </c>
      <c r="W7" t="e">
        <f ca="1">IF(A7="","",IF(E7="","",#REF!))</f>
        <v>#REF!</v>
      </c>
      <c r="X7" t="e">
        <f ca="1">IF(A7="","",IF(E7="","",#REF!))</f>
        <v>#REF!</v>
      </c>
      <c r="Y7" s="39" t="e">
        <f ca="1">IF(A7="","",IF(E7="","",#REF!))</f>
        <v>#REF!</v>
      </c>
      <c r="Z7" t="e">
        <f ca="1">IF(A7="","",IF(E7="","",#REF!))</f>
        <v>#REF!</v>
      </c>
      <c r="AA7" t="e">
        <f ca="1">IF(A7="","",IF(E7="","",#REF!))</f>
        <v>#REF!</v>
      </c>
      <c r="AB7" t="e">
        <f ca="1">IF(A7="","",IF(E7="","",#REF!))</f>
        <v>#REF!</v>
      </c>
      <c r="AC7" t="e">
        <f t="shared" ca="1" si="5"/>
        <v>#REF!</v>
      </c>
      <c r="AE7" t="s">
        <v>516</v>
      </c>
      <c r="AF7" t="e" cm="1">
        <f t="array" aca="1" ref="AF7" ca="1">MATCH(TRUE, INDEX(ISBLANK(INDIRECT("Template!D" &amp; AF6+1 &amp; ":D10000")), 0, 0), 0)+AF6-1</f>
        <v>#N/A</v>
      </c>
    </row>
    <row r="8" spans="1:33" x14ac:dyDescent="0.35">
      <c r="A8" t="e" cm="1">
        <f t="array" aca="1" ref="A8" ca="1">IF(A7="","",IF(OR(AND(A7+1&gt;=$AF$1,A7+1&lt;=$AF$2),AND(A7+1&gt;=$AF$6,A7+1&lt;=$AF$7),AND(A7+1&gt;=$AF$3,A7+1&lt;=$AF$4),AND(A7+1&gt;=$AF$8,A7+1&lt;=$AF$9),A7+1=$AF$5),IF(NOT(ISBLANK(INDIRECT("template!"&amp;"P"&amp;A7+1))),A7+1,IF(NOT(ISBLANK(INDIRECT("template!"&amp;"P"&amp;A7+2))),A7+2,A7+3)),IF(A7=$AF$2,$AF$3,IF(A7=$AF$4,$AF$5,IF(A7=$AF$5,$AF$6,IF(A7=$AF$7,$AF$8,""))))))</f>
        <v>#REF!</v>
      </c>
      <c r="B8" t="e">
        <f t="shared" ca="1" si="0"/>
        <v>#REF!</v>
      </c>
      <c r="C8" t="e" cm="1">
        <f t="array" aca="1" ref="C8" ca="1">IF(A8="","",IF(B8="safety","safety costs",INDIRECT("template!"&amp;"B"&amp;A8)))</f>
        <v>#REF!</v>
      </c>
      <c r="D8" t="e" cm="1">
        <f t="array" aca="1" ref="D8" ca="1">IF(OR(A8="",B8="safety"),"",INDIRECT("template!"&amp;"C"&amp;A8))</f>
        <v>#REF!</v>
      </c>
      <c r="E8" t="e" cm="1">
        <f t="array" aca="1" ref="E8" ca="1">IF(A8="","",IF(OR(A8=A7+1,A8=A7+2),E7,INDIRECT("template!"&amp;"D"&amp;A8-2)))</f>
        <v>#REF!</v>
      </c>
      <c r="F8" t="e" cm="1">
        <f t="array" aca="1" ref="F8" ca="1">IF(OR(A8="",B8="safety"),"",IF(ISBLANK(IF(A8=A7+1,F7,INDIRECT("template!"&amp;"D"&amp;A8-1))),"",IF(A8=A7+1,F7,INDIRECT("template!"&amp;"D"&amp;A8-1))))</f>
        <v>#REF!</v>
      </c>
      <c r="G8" t="e" cm="1">
        <f t="array" aca="1" ref="G8" ca="1">IF(OR(A8="",B8="safety"),"",IF(ISBLANK(INDIRECT("template!"&amp;"D"&amp;A8)),"",INDIRECT("template!"&amp;"D"&amp;A8)))</f>
        <v>#REF!</v>
      </c>
      <c r="H8" t="e" cm="1">
        <f t="array" aca="1" ref="H8" ca="1">IF(OR(A8="",B8="safety"),"",IF(ISBLANK(INDIRECT("template!"&amp;"E"&amp;A8)),"",INDIRECT("template!"&amp;"E"&amp;A8)))</f>
        <v>#REF!</v>
      </c>
      <c r="I8" t="e" cm="1">
        <f t="array" aca="1" ref="I8" ca="1">IF(OR(A8="",B8="safety"),"",IF(ISBLANK(INDIRECT("template!"&amp;"F"&amp;A8)),"",INDIRECT("template!"&amp;"F"&amp;A8)))</f>
        <v>#REF!</v>
      </c>
      <c r="J8" t="e" cm="1">
        <f t="array" aca="1" ref="J8" ca="1">IF(OR(A8="",B8="safety"),"",IF(ISBLANK(INDIRECT("template!"&amp;"G"&amp;A8)),"",INDIRECT("template!"&amp;"G"&amp;A8)))</f>
        <v>#REF!</v>
      </c>
      <c r="K8" t="e" cm="1">
        <f t="array" aca="1" ref="K8" ca="1">IF(OR(A8="",B8="safety"),"",IF(ISBLANK(INDIRECT("template!"&amp;"H"&amp;A8)),"",INDIRECT("template!"&amp;"H"&amp;A8)))</f>
        <v>#REF!</v>
      </c>
      <c r="L8" t="e" cm="1">
        <f t="array" aca="1" ref="L8" ca="1">IF(OR(A8="",B8="safety"),"",INDIRECT("template!"&amp;"I"&amp;A8))</f>
        <v>#REF!</v>
      </c>
      <c r="M8" t="e" cm="1">
        <f t="array" aca="1" ref="M8" ca="1">IF(OR(A8="",B8="safety"),"",INDIRECT("template!"&amp;"J"&amp;A8))</f>
        <v>#REF!</v>
      </c>
      <c r="N8" t="e" cm="1">
        <f t="array" aca="1" ref="N8" ca="1">IF(OR(A8="",B8="safety"),"",IF(ISBLANK(INDIRECT("template!"&amp;"K"&amp;A8)),"",INDIRECT("template!"&amp;"K"&amp;A8)))</f>
        <v>#REF!</v>
      </c>
      <c r="O8" t="e" cm="1">
        <f t="array" aca="1" ref="O8" ca="1">IF(OR(A8="",B8="safety"),"",INDIRECT("template!"&amp;"L"&amp;A8))</f>
        <v>#REF!</v>
      </c>
      <c r="P8" t="e" cm="1">
        <f t="array" aca="1" ref="P8" ca="1">IF(OR(A8="",B8="safety"),"",INDIRECT("template!"&amp;"M"&amp;A8))</f>
        <v>#REF!</v>
      </c>
      <c r="Q8" t="e">
        <f t="shared" ca="1" si="1"/>
        <v>#REF!</v>
      </c>
      <c r="R8" t="e">
        <f t="shared" ca="1" si="2"/>
        <v>#REF!</v>
      </c>
      <c r="S8" t="e">
        <f t="shared" ca="1" si="3"/>
        <v>#REF!</v>
      </c>
      <c r="T8" t="e">
        <f t="shared" ca="1" si="4"/>
        <v>#REF!</v>
      </c>
      <c r="U8" t="e" cm="1">
        <f t="array" aca="1" ref="U8" ca="1">IF(A8="","",IF(E8="","",IF(B8="safety",INDIRECT("template!"&amp;"P"&amp;A8),Q8+R8)))</f>
        <v>#REF!</v>
      </c>
      <c r="V8" t="e" cm="1">
        <f t="array" aca="1" ref="V8" ca="1">IF(A8="","",IF(E8="","",IF(B8="safety",INDIRECT("template!"&amp;"P"&amp;A8),S8+T8)))</f>
        <v>#REF!</v>
      </c>
      <c r="W8" t="e">
        <f ca="1">IF(A8="","",IF(E8="","",#REF!))</f>
        <v>#REF!</v>
      </c>
      <c r="X8" t="e">
        <f ca="1">IF(A8="","",IF(E8="","",#REF!))</f>
        <v>#REF!</v>
      </c>
      <c r="Y8" s="39" t="e">
        <f ca="1">IF(A8="","",IF(E8="","",#REF!))</f>
        <v>#REF!</v>
      </c>
      <c r="Z8" t="e">
        <f ca="1">IF(A8="","",IF(E8="","",#REF!))</f>
        <v>#REF!</v>
      </c>
      <c r="AA8" t="e">
        <f ca="1">IF(A8="","",IF(E8="","",#REF!))</f>
        <v>#REF!</v>
      </c>
      <c r="AB8" t="e">
        <f ca="1">IF(A8="","",IF(E8="","",#REF!))</f>
        <v>#REF!</v>
      </c>
      <c r="AC8" t="e">
        <f t="shared" ca="1" si="5"/>
        <v>#REF!</v>
      </c>
      <c r="AE8" t="s">
        <v>513</v>
      </c>
      <c r="AF8" t="e" cm="1">
        <f t="array" aca="1" ref="AF8" ca="1">_xlfn.TEXTAFTER(CELL("address", INDEX(INDIRECT("Template!A" &amp; AF6+1 &amp; ":A10000"), MATCH("*" &amp; AG1 &amp; "*", INDIRECT("Template!A" &amp; AF6+1 &amp; ":A10000"), 0))), "$", 2)+2</f>
        <v>#REF!</v>
      </c>
    </row>
    <row r="9" spans="1:33" x14ac:dyDescent="0.35">
      <c r="A9" t="e" cm="1">
        <f t="array" aca="1" ref="A9" ca="1">IF(A8="","",IF(OR(AND(A8+1&gt;=$AF$1,A8+1&lt;=$AF$2),AND(A8+1&gt;=$AF$6,A8+1&lt;=$AF$7),AND(A8+1&gt;=$AF$3,A8+1&lt;=$AF$4),AND(A8+1&gt;=$AF$8,A8+1&lt;=$AF$9),A8+1=$AF$5),IF(NOT(ISBLANK(INDIRECT("template!"&amp;"P"&amp;A8+1))),A8+1,IF(NOT(ISBLANK(INDIRECT("template!"&amp;"P"&amp;A8+2))),A8+2,A8+3)),IF(A8=$AF$2,$AF$3,IF(A8=$AF$4,$AF$5,IF(A8=$AF$5,$AF$6,IF(A8=$AF$7,$AF$8,""))))))</f>
        <v>#REF!</v>
      </c>
      <c r="B9" t="e">
        <f t="shared" ca="1" si="0"/>
        <v>#REF!</v>
      </c>
      <c r="C9" t="e" cm="1">
        <f t="array" aca="1" ref="C9" ca="1">IF(A9="","",IF(B9="safety","safety costs",INDIRECT("template!"&amp;"B"&amp;A9)))</f>
        <v>#REF!</v>
      </c>
      <c r="D9" t="e" cm="1">
        <f t="array" aca="1" ref="D9" ca="1">IF(OR(A9="",B9="safety"),"",INDIRECT("template!"&amp;"C"&amp;A9))</f>
        <v>#REF!</v>
      </c>
      <c r="E9" t="e" cm="1">
        <f t="array" aca="1" ref="E9" ca="1">IF(A9="","",IF(OR(A9=A8+1,A9=A8+2),E8,INDIRECT("template!"&amp;"D"&amp;A9-2)))</f>
        <v>#REF!</v>
      </c>
      <c r="F9" t="e" cm="1">
        <f t="array" aca="1" ref="F9" ca="1">IF(OR(A9="",B9="safety"),"",IF(ISBLANK(IF(A9=A8+1,F8,INDIRECT("template!"&amp;"D"&amp;A9-1))),"",IF(A9=A8+1,F8,INDIRECT("template!"&amp;"D"&amp;A9-1))))</f>
        <v>#REF!</v>
      </c>
      <c r="G9" t="e" cm="1">
        <f t="array" aca="1" ref="G9" ca="1">IF(OR(A9="",B9="safety"),"",IF(ISBLANK(INDIRECT("template!"&amp;"D"&amp;A9)),"",INDIRECT("template!"&amp;"D"&amp;A9)))</f>
        <v>#REF!</v>
      </c>
      <c r="H9" t="e" cm="1">
        <f t="array" aca="1" ref="H9" ca="1">IF(OR(A9="",B9="safety"),"",IF(ISBLANK(INDIRECT("template!"&amp;"E"&amp;A9)),"",INDIRECT("template!"&amp;"E"&amp;A9)))</f>
        <v>#REF!</v>
      </c>
      <c r="I9" t="e" cm="1">
        <f t="array" aca="1" ref="I9" ca="1">IF(OR(A9="",B9="safety"),"",IF(ISBLANK(INDIRECT("template!"&amp;"F"&amp;A9)),"",INDIRECT("template!"&amp;"F"&amp;A9)))</f>
        <v>#REF!</v>
      </c>
      <c r="J9" t="e" cm="1">
        <f t="array" aca="1" ref="J9" ca="1">IF(OR(A9="",B9="safety"),"",IF(ISBLANK(INDIRECT("template!"&amp;"G"&amp;A9)),"",INDIRECT("template!"&amp;"G"&amp;A9)))</f>
        <v>#REF!</v>
      </c>
      <c r="K9" t="e" cm="1">
        <f t="array" aca="1" ref="K9" ca="1">IF(OR(A9="",B9="safety"),"",IF(ISBLANK(INDIRECT("template!"&amp;"H"&amp;A9)),"",INDIRECT("template!"&amp;"H"&amp;A9)))</f>
        <v>#REF!</v>
      </c>
      <c r="L9" t="e" cm="1">
        <f t="array" aca="1" ref="L9" ca="1">IF(OR(A9="",B9="safety"),"",INDIRECT("template!"&amp;"I"&amp;A9))</f>
        <v>#REF!</v>
      </c>
      <c r="M9" t="e" cm="1">
        <f t="array" aca="1" ref="M9" ca="1">IF(OR(A9="",B9="safety"),"",INDIRECT("template!"&amp;"J"&amp;A9))</f>
        <v>#REF!</v>
      </c>
      <c r="N9" t="e" cm="1">
        <f t="array" aca="1" ref="N9" ca="1">IF(OR(A9="",B9="safety"),"",IF(ISBLANK(INDIRECT("template!"&amp;"K"&amp;A9)),"",INDIRECT("template!"&amp;"K"&amp;A9)))</f>
        <v>#REF!</v>
      </c>
      <c r="O9" t="e" cm="1">
        <f t="array" aca="1" ref="O9" ca="1">IF(OR(A9="",B9="safety"),"",INDIRECT("template!"&amp;"L"&amp;A9))</f>
        <v>#REF!</v>
      </c>
      <c r="P9" t="e" cm="1">
        <f t="array" aca="1" ref="P9" ca="1">IF(OR(A9="",B9="safety"),"",INDIRECT("template!"&amp;"M"&amp;A9))</f>
        <v>#REF!</v>
      </c>
      <c r="Q9" t="e">
        <f t="shared" ca="1" si="1"/>
        <v>#REF!</v>
      </c>
      <c r="R9" t="e">
        <f t="shared" ca="1" si="2"/>
        <v>#REF!</v>
      </c>
      <c r="S9" t="e">
        <f t="shared" ca="1" si="3"/>
        <v>#REF!</v>
      </c>
      <c r="T9" t="e">
        <f t="shared" ca="1" si="4"/>
        <v>#REF!</v>
      </c>
      <c r="U9" t="e" cm="1">
        <f t="array" aca="1" ref="U9" ca="1">IF(A9="","",IF(E9="","",IF(B9="safety",INDIRECT("template!"&amp;"P"&amp;A9),Q9+R9)))</f>
        <v>#REF!</v>
      </c>
      <c r="V9" t="e" cm="1">
        <f t="array" aca="1" ref="V9" ca="1">IF(A9="","",IF(E9="","",IF(B9="safety",INDIRECT("template!"&amp;"P"&amp;A9),S9+T9)))</f>
        <v>#REF!</v>
      </c>
      <c r="W9" t="e">
        <f ca="1">IF(A9="","",IF(E9="","",#REF!))</f>
        <v>#REF!</v>
      </c>
      <c r="X9" t="e">
        <f ca="1">IF(A9="","",IF(E9="","",#REF!))</f>
        <v>#REF!</v>
      </c>
      <c r="Y9" s="39" t="e">
        <f ca="1">IF(A9="","",IF(E9="","",#REF!))</f>
        <v>#REF!</v>
      </c>
      <c r="Z9" t="e">
        <f ca="1">IF(A9="","",IF(E9="","",#REF!))</f>
        <v>#REF!</v>
      </c>
      <c r="AA9" t="e">
        <f ca="1">IF(A9="","",IF(E9="","",#REF!))</f>
        <v>#REF!</v>
      </c>
      <c r="AB9" t="e">
        <f ca="1">IF(A9="","",IF(E9="","",#REF!))</f>
        <v>#REF!</v>
      </c>
      <c r="AC9" t="e">
        <f t="shared" ca="1" si="5"/>
        <v>#REF!</v>
      </c>
      <c r="AE9" t="s">
        <v>517</v>
      </c>
      <c r="AF9" t="e" cm="1">
        <f t="array" aca="1" ref="AF9" ca="1">MATCH(TRUE, INDEX(ISBLANK(INDIRECT("Template!D" &amp; AF8+1 &amp; ":D10000")), 0, 0), 0)+AF8-1</f>
        <v>#N/A</v>
      </c>
    </row>
    <row r="10" spans="1:33" x14ac:dyDescent="0.35">
      <c r="A10" t="e" cm="1">
        <f t="array" aca="1" ref="A10" ca="1">IF(A9="","",IF(OR(AND(A9+1&gt;=$AF$1,A9+1&lt;=$AF$2),AND(A9+1&gt;=$AF$6,A9+1&lt;=$AF$7),AND(A9+1&gt;=$AF$3,A9+1&lt;=$AF$4),AND(A9+1&gt;=$AF$8,A9+1&lt;=$AF$9),A9+1=$AF$5),IF(NOT(ISBLANK(INDIRECT("template!"&amp;"P"&amp;A9+1))),A9+1,IF(NOT(ISBLANK(INDIRECT("template!"&amp;"P"&amp;A9+2))),A9+2,A9+3)),IF(A9=$AF$2,$AF$3,IF(A9=$AF$4,$AF$5,IF(A9=$AF$5,$AF$6,IF(A9=$AF$7,$AF$8,""))))))</f>
        <v>#REF!</v>
      </c>
      <c r="B10" t="e">
        <f t="shared" ca="1" si="0"/>
        <v>#REF!</v>
      </c>
      <c r="C10" t="e" cm="1">
        <f t="array" aca="1" ref="C10" ca="1">IF(A10="","",IF(B10="safety","safety costs",INDIRECT("template!"&amp;"B"&amp;A10)))</f>
        <v>#REF!</v>
      </c>
      <c r="D10" t="e" cm="1">
        <f t="array" aca="1" ref="D10" ca="1">IF(OR(A10="",B10="safety"),"",INDIRECT("template!"&amp;"C"&amp;A10))</f>
        <v>#REF!</v>
      </c>
      <c r="E10" t="e" cm="1">
        <f t="array" aca="1" ref="E10" ca="1">IF(A10="","",IF(OR(A10=A9+1,A10=A9+2),E9,INDIRECT("template!"&amp;"D"&amp;A10-2)))</f>
        <v>#REF!</v>
      </c>
      <c r="F10" t="e" cm="1">
        <f t="array" aca="1" ref="F10" ca="1">IF(OR(A10="",B10="safety"),"",IF(ISBLANK(IF(A10=A9+1,F9,INDIRECT("template!"&amp;"D"&amp;A10-1))),"",IF(A10=A9+1,F9,INDIRECT("template!"&amp;"D"&amp;A10-1))))</f>
        <v>#REF!</v>
      </c>
      <c r="G10" t="e" cm="1">
        <f t="array" aca="1" ref="G10" ca="1">IF(OR(A10="",B10="safety"),"",IF(ISBLANK(INDIRECT("template!"&amp;"D"&amp;A10)),"",INDIRECT("template!"&amp;"D"&amp;A10)))</f>
        <v>#REF!</v>
      </c>
      <c r="H10" t="e" cm="1">
        <f t="array" aca="1" ref="H10" ca="1">IF(OR(A10="",B10="safety"),"",IF(ISBLANK(INDIRECT("template!"&amp;"E"&amp;A10)),"",INDIRECT("template!"&amp;"E"&amp;A10)))</f>
        <v>#REF!</v>
      </c>
      <c r="I10" t="e" cm="1">
        <f t="array" aca="1" ref="I10" ca="1">IF(OR(A10="",B10="safety"),"",IF(ISBLANK(INDIRECT("template!"&amp;"F"&amp;A10)),"",INDIRECT("template!"&amp;"F"&amp;A10)))</f>
        <v>#REF!</v>
      </c>
      <c r="J10" t="e" cm="1">
        <f t="array" aca="1" ref="J10" ca="1">IF(OR(A10="",B10="safety"),"",IF(ISBLANK(INDIRECT("template!"&amp;"G"&amp;A10)),"",INDIRECT("template!"&amp;"G"&amp;A10)))</f>
        <v>#REF!</v>
      </c>
      <c r="K10" t="e" cm="1">
        <f t="array" aca="1" ref="K10" ca="1">IF(OR(A10="",B10="safety"),"",IF(ISBLANK(INDIRECT("template!"&amp;"H"&amp;A10)),"",INDIRECT("template!"&amp;"H"&amp;A10)))</f>
        <v>#REF!</v>
      </c>
      <c r="L10" t="e" cm="1">
        <f t="array" aca="1" ref="L10" ca="1">IF(OR(A10="",B10="safety"),"",INDIRECT("template!"&amp;"I"&amp;A10))</f>
        <v>#REF!</v>
      </c>
      <c r="M10" t="e" cm="1">
        <f t="array" aca="1" ref="M10" ca="1">IF(OR(A10="",B10="safety"),"",INDIRECT("template!"&amp;"J"&amp;A10))</f>
        <v>#REF!</v>
      </c>
      <c r="N10" t="e" cm="1">
        <f t="array" aca="1" ref="N10" ca="1">IF(OR(A10="",B10="safety"),"",IF(ISBLANK(INDIRECT("template!"&amp;"K"&amp;A10)),"",INDIRECT("template!"&amp;"K"&amp;A10)))</f>
        <v>#REF!</v>
      </c>
      <c r="O10" t="e" cm="1">
        <f t="array" aca="1" ref="O10" ca="1">IF(OR(A10="",B10="safety"),"",INDIRECT("template!"&amp;"L"&amp;A10))</f>
        <v>#REF!</v>
      </c>
      <c r="P10" t="e" cm="1">
        <f t="array" aca="1" ref="P10" ca="1">IF(OR(A10="",B10="safety"),"",INDIRECT("template!"&amp;"M"&amp;A10))</f>
        <v>#REF!</v>
      </c>
      <c r="Q10" t="e">
        <f t="shared" ca="1" si="1"/>
        <v>#REF!</v>
      </c>
      <c r="R10" t="e">
        <f t="shared" ca="1" si="2"/>
        <v>#REF!</v>
      </c>
      <c r="S10" t="e">
        <f t="shared" ca="1" si="3"/>
        <v>#REF!</v>
      </c>
      <c r="T10" t="e">
        <f t="shared" ca="1" si="4"/>
        <v>#REF!</v>
      </c>
      <c r="U10" t="e" cm="1">
        <f t="array" aca="1" ref="U10" ca="1">IF(A10="","",IF(E10="","",IF(B10="safety",INDIRECT("template!"&amp;"P"&amp;A10),Q10+R10)))</f>
        <v>#REF!</v>
      </c>
      <c r="V10" t="e" cm="1">
        <f t="array" aca="1" ref="V10" ca="1">IF(A10="","",IF(E10="","",IF(B10="safety",INDIRECT("template!"&amp;"P"&amp;A10),S10+T10)))</f>
        <v>#REF!</v>
      </c>
      <c r="W10" t="e">
        <f ca="1">IF(A10="","",IF(E10="","",#REF!))</f>
        <v>#REF!</v>
      </c>
      <c r="X10" t="e">
        <f ca="1">IF(A10="","",IF(E10="","",#REF!))</f>
        <v>#REF!</v>
      </c>
      <c r="Y10" s="39" t="e">
        <f ca="1">IF(A10="","",IF(E10="","",#REF!))</f>
        <v>#REF!</v>
      </c>
      <c r="Z10" t="e">
        <f ca="1">IF(A10="","",IF(E10="","",#REF!))</f>
        <v>#REF!</v>
      </c>
      <c r="AA10" t="e">
        <f ca="1">IF(A10="","",IF(E10="","",#REF!))</f>
        <v>#REF!</v>
      </c>
      <c r="AB10" t="e">
        <f ca="1">IF(A10="","",IF(E10="","",#REF!))</f>
        <v>#REF!</v>
      </c>
      <c r="AC10" t="e">
        <f t="shared" ca="1" si="5"/>
        <v>#REF!</v>
      </c>
    </row>
    <row r="11" spans="1:33" x14ac:dyDescent="0.35">
      <c r="A11" t="e" cm="1">
        <f t="array" aca="1" ref="A11" ca="1">IF(A10="","",IF(OR(AND(A10+1&gt;=$AF$1,A10+1&lt;=$AF$2),AND(A10+1&gt;=$AF$6,A10+1&lt;=$AF$7),AND(A10+1&gt;=$AF$3,A10+1&lt;=$AF$4),AND(A10+1&gt;=$AF$8,A10+1&lt;=$AF$9),A10+1=$AF$5),IF(NOT(ISBLANK(INDIRECT("template!"&amp;"P"&amp;A10+1))),A10+1,IF(NOT(ISBLANK(INDIRECT("template!"&amp;"P"&amp;A10+2))),A10+2,A10+3)),IF(A10=$AF$2,$AF$3,IF(A10=$AF$4,$AF$5,IF(A10=$AF$5,$AF$6,IF(A10=$AF$7,$AF$8,""))))))</f>
        <v>#REF!</v>
      </c>
      <c r="B11" t="e">
        <f t="shared" ca="1" si="0"/>
        <v>#REF!</v>
      </c>
      <c r="C11" t="e" cm="1">
        <f t="array" aca="1" ref="C11" ca="1">IF(A11="","",IF(B11="safety","safety costs",INDIRECT("template!"&amp;"B"&amp;A11)))</f>
        <v>#REF!</v>
      </c>
      <c r="D11" t="e" cm="1">
        <f t="array" aca="1" ref="D11" ca="1">IF(OR(A11="",B11="safety"),"",INDIRECT("template!"&amp;"C"&amp;A11))</f>
        <v>#REF!</v>
      </c>
      <c r="E11" t="e" cm="1">
        <f t="array" aca="1" ref="E11" ca="1">IF(A11="","",IF(OR(A11=A10+1,A11=A10+2),E10,INDIRECT("template!"&amp;"D"&amp;A11-2)))</f>
        <v>#REF!</v>
      </c>
      <c r="F11" t="e" cm="1">
        <f t="array" aca="1" ref="F11" ca="1">IF(OR(A11="",B11="safety"),"",IF(ISBLANK(IF(A11=A10+1,F10,INDIRECT("template!"&amp;"D"&amp;A11-1))),"",IF(A11=A10+1,F10,INDIRECT("template!"&amp;"D"&amp;A11-1))))</f>
        <v>#REF!</v>
      </c>
      <c r="G11" t="e" cm="1">
        <f t="array" aca="1" ref="G11" ca="1">IF(OR(A11="",B11="safety"),"",IF(ISBLANK(INDIRECT("template!"&amp;"D"&amp;A11)),"",INDIRECT("template!"&amp;"D"&amp;A11)))</f>
        <v>#REF!</v>
      </c>
      <c r="H11" t="e" cm="1">
        <f t="array" aca="1" ref="H11" ca="1">IF(OR(A11="",B11="safety"),"",IF(ISBLANK(INDIRECT("template!"&amp;"E"&amp;A11)),"",INDIRECT("template!"&amp;"E"&amp;A11)))</f>
        <v>#REF!</v>
      </c>
      <c r="I11" t="e" cm="1">
        <f t="array" aca="1" ref="I11" ca="1">IF(OR(A11="",B11="safety"),"",IF(ISBLANK(INDIRECT("template!"&amp;"F"&amp;A11)),"",INDIRECT("template!"&amp;"F"&amp;A11)))</f>
        <v>#REF!</v>
      </c>
      <c r="J11" t="e" cm="1">
        <f t="array" aca="1" ref="J11" ca="1">IF(OR(A11="",B11="safety"),"",IF(ISBLANK(INDIRECT("template!"&amp;"G"&amp;A11)),"",INDIRECT("template!"&amp;"G"&amp;A11)))</f>
        <v>#REF!</v>
      </c>
      <c r="K11" t="e" cm="1">
        <f t="array" aca="1" ref="K11" ca="1">IF(OR(A11="",B11="safety"),"",IF(ISBLANK(INDIRECT("template!"&amp;"H"&amp;A11)),"",INDIRECT("template!"&amp;"H"&amp;A11)))</f>
        <v>#REF!</v>
      </c>
      <c r="L11" t="e" cm="1">
        <f t="array" aca="1" ref="L11" ca="1">IF(OR(A11="",B11="safety"),"",INDIRECT("template!"&amp;"I"&amp;A11))</f>
        <v>#REF!</v>
      </c>
      <c r="M11" t="e" cm="1">
        <f t="array" aca="1" ref="M11" ca="1">IF(OR(A11="",B11="safety"),"",INDIRECT("template!"&amp;"J"&amp;A11))</f>
        <v>#REF!</v>
      </c>
      <c r="N11" t="e" cm="1">
        <f t="array" aca="1" ref="N11" ca="1">IF(OR(A11="",B11="safety"),"",IF(ISBLANK(INDIRECT("template!"&amp;"K"&amp;A11)),"",INDIRECT("template!"&amp;"K"&amp;A11)))</f>
        <v>#REF!</v>
      </c>
      <c r="O11" t="e" cm="1">
        <f t="array" aca="1" ref="O11" ca="1">IF(OR(A11="",B11="safety"),"",INDIRECT("template!"&amp;"L"&amp;A11))</f>
        <v>#REF!</v>
      </c>
      <c r="P11" t="e" cm="1">
        <f t="array" aca="1" ref="P11" ca="1">IF(OR(A11="",B11="safety"),"",INDIRECT("template!"&amp;"M"&amp;A11))</f>
        <v>#REF!</v>
      </c>
      <c r="Q11" t="e">
        <f t="shared" ca="1" si="1"/>
        <v>#REF!</v>
      </c>
      <c r="R11" t="e">
        <f t="shared" ca="1" si="2"/>
        <v>#REF!</v>
      </c>
      <c r="S11" t="e">
        <f t="shared" ca="1" si="3"/>
        <v>#REF!</v>
      </c>
      <c r="T11" t="e">
        <f t="shared" ca="1" si="4"/>
        <v>#REF!</v>
      </c>
      <c r="U11" t="e" cm="1">
        <f t="array" aca="1" ref="U11" ca="1">IF(A11="","",IF(E11="","",IF(B11="safety",INDIRECT("template!"&amp;"P"&amp;A11),Q11+R11)))</f>
        <v>#REF!</v>
      </c>
      <c r="V11" t="e" cm="1">
        <f t="array" aca="1" ref="V11" ca="1">IF(A11="","",IF(E11="","",IF(B11="safety",INDIRECT("template!"&amp;"P"&amp;A11),S11+T11)))</f>
        <v>#REF!</v>
      </c>
      <c r="W11" t="e">
        <f ca="1">IF(A11="","",IF(E11="","",#REF!))</f>
        <v>#REF!</v>
      </c>
      <c r="X11" t="e">
        <f ca="1">IF(A11="","",IF(E11="","",#REF!))</f>
        <v>#REF!</v>
      </c>
      <c r="Y11" s="39" t="e">
        <f ca="1">IF(A11="","",IF(E11="","",#REF!))</f>
        <v>#REF!</v>
      </c>
      <c r="Z11" t="e">
        <f ca="1">IF(A11="","",IF(E11="","",#REF!))</f>
        <v>#REF!</v>
      </c>
      <c r="AA11" t="e">
        <f ca="1">IF(A11="","",IF(E11="","",#REF!))</f>
        <v>#REF!</v>
      </c>
      <c r="AB11" t="e">
        <f ca="1">IF(A11="","",IF(E11="","",#REF!))</f>
        <v>#REF!</v>
      </c>
      <c r="AC11" t="e">
        <f t="shared" ca="1" si="5"/>
        <v>#REF!</v>
      </c>
    </row>
    <row r="12" spans="1:33" x14ac:dyDescent="0.35">
      <c r="A12" t="e" cm="1">
        <f t="array" aca="1" ref="A12" ca="1">IF(A11="","",IF(OR(AND(A11+1&gt;=$AF$1,A11+1&lt;=$AF$2),AND(A11+1&gt;=$AF$6,A11+1&lt;=$AF$7),AND(A11+1&gt;=$AF$3,A11+1&lt;=$AF$4),AND(A11+1&gt;=$AF$8,A11+1&lt;=$AF$9),A11+1=$AF$5),IF(NOT(ISBLANK(INDIRECT("template!"&amp;"P"&amp;A11+1))),A11+1,IF(NOT(ISBLANK(INDIRECT("template!"&amp;"P"&amp;A11+2))),A11+2,A11+3)),IF(A11=$AF$2,$AF$3,IF(A11=$AF$4,$AF$5,IF(A11=$AF$5,$AF$6,IF(A11=$AF$7,$AF$8,""))))))</f>
        <v>#REF!</v>
      </c>
      <c r="B12" t="e">
        <f t="shared" ca="1" si="0"/>
        <v>#REF!</v>
      </c>
      <c r="C12" t="e" cm="1">
        <f t="array" aca="1" ref="C12" ca="1">IF(A12="","",IF(B12="safety","safety costs",INDIRECT("template!"&amp;"B"&amp;A12)))</f>
        <v>#REF!</v>
      </c>
      <c r="D12" t="e" cm="1">
        <f t="array" aca="1" ref="D12" ca="1">IF(OR(A12="",B12="safety"),"",INDIRECT("template!"&amp;"C"&amp;A12))</f>
        <v>#REF!</v>
      </c>
      <c r="E12" t="e" cm="1">
        <f t="array" aca="1" ref="E12" ca="1">IF(A12="","",IF(OR(A12=A11+1,A12=A11+2),E11,INDIRECT("template!"&amp;"D"&amp;A12-2)))</f>
        <v>#REF!</v>
      </c>
      <c r="F12" t="e" cm="1">
        <f t="array" aca="1" ref="F12" ca="1">IF(OR(A12="",B12="safety"),"",IF(ISBLANK(IF(A12=A11+1,F11,INDIRECT("template!"&amp;"D"&amp;A12-1))),"",IF(A12=A11+1,F11,INDIRECT("template!"&amp;"D"&amp;A12-1))))</f>
        <v>#REF!</v>
      </c>
      <c r="G12" t="e" cm="1">
        <f t="array" aca="1" ref="G12" ca="1">IF(OR(A12="",B12="safety"),"",IF(ISBLANK(INDIRECT("template!"&amp;"D"&amp;A12)),"",INDIRECT("template!"&amp;"D"&amp;A12)))</f>
        <v>#REF!</v>
      </c>
      <c r="H12" t="e" cm="1">
        <f t="array" aca="1" ref="H12" ca="1">IF(OR(A12="",B12="safety"),"",IF(ISBLANK(INDIRECT("template!"&amp;"E"&amp;A12)),"",INDIRECT("template!"&amp;"E"&amp;A12)))</f>
        <v>#REF!</v>
      </c>
      <c r="I12" t="e" cm="1">
        <f t="array" aca="1" ref="I12" ca="1">IF(OR(A12="",B12="safety"),"",IF(ISBLANK(INDIRECT("template!"&amp;"F"&amp;A12)),"",INDIRECT("template!"&amp;"F"&amp;A12)))</f>
        <v>#REF!</v>
      </c>
      <c r="J12" t="e" cm="1">
        <f t="array" aca="1" ref="J12" ca="1">IF(OR(A12="",B12="safety"),"",IF(ISBLANK(INDIRECT("template!"&amp;"G"&amp;A12)),"",INDIRECT("template!"&amp;"G"&amp;A12)))</f>
        <v>#REF!</v>
      </c>
      <c r="K12" t="e" cm="1">
        <f t="array" aca="1" ref="K12" ca="1">IF(OR(A12="",B12="safety"),"",IF(ISBLANK(INDIRECT("template!"&amp;"H"&amp;A12)),"",INDIRECT("template!"&amp;"H"&amp;A12)))</f>
        <v>#REF!</v>
      </c>
      <c r="L12" t="e" cm="1">
        <f t="array" aca="1" ref="L12" ca="1">IF(OR(A12="",B12="safety"),"",INDIRECT("template!"&amp;"I"&amp;A12))</f>
        <v>#REF!</v>
      </c>
      <c r="M12" t="e" cm="1">
        <f t="array" aca="1" ref="M12" ca="1">IF(OR(A12="",B12="safety"),"",INDIRECT("template!"&amp;"J"&amp;A12))</f>
        <v>#REF!</v>
      </c>
      <c r="N12" t="e" cm="1">
        <f t="array" aca="1" ref="N12" ca="1">IF(OR(A12="",B12="safety"),"",IF(ISBLANK(INDIRECT("template!"&amp;"K"&amp;A12)),"",INDIRECT("template!"&amp;"K"&amp;A12)))</f>
        <v>#REF!</v>
      </c>
      <c r="O12" t="e" cm="1">
        <f t="array" aca="1" ref="O12" ca="1">IF(OR(A12="",B12="safety"),"",INDIRECT("template!"&amp;"L"&amp;A12))</f>
        <v>#REF!</v>
      </c>
      <c r="P12" t="e" cm="1">
        <f t="array" aca="1" ref="P12" ca="1">IF(OR(A12="",B12="safety"),"",INDIRECT("template!"&amp;"M"&amp;A12))</f>
        <v>#REF!</v>
      </c>
      <c r="Q12" t="e">
        <f t="shared" ca="1" si="1"/>
        <v>#REF!</v>
      </c>
      <c r="R12" t="e">
        <f t="shared" ca="1" si="2"/>
        <v>#REF!</v>
      </c>
      <c r="S12" t="e">
        <f t="shared" ca="1" si="3"/>
        <v>#REF!</v>
      </c>
      <c r="T12" t="e">
        <f t="shared" ca="1" si="4"/>
        <v>#REF!</v>
      </c>
      <c r="U12" t="e" cm="1">
        <f t="array" aca="1" ref="U12" ca="1">IF(A12="","",IF(E12="","",IF(B12="safety",INDIRECT("template!"&amp;"P"&amp;A12),Q12+R12)))</f>
        <v>#REF!</v>
      </c>
      <c r="V12" t="e" cm="1">
        <f t="array" aca="1" ref="V12" ca="1">IF(A12="","",IF(E12="","",IF(B12="safety",INDIRECT("template!"&amp;"P"&amp;A12),S12+T12)))</f>
        <v>#REF!</v>
      </c>
      <c r="W12" t="e">
        <f ca="1">IF(A12="","",IF(E12="","",#REF!))</f>
        <v>#REF!</v>
      </c>
      <c r="X12" t="e">
        <f ca="1">IF(A12="","",IF(E12="","",#REF!))</f>
        <v>#REF!</v>
      </c>
      <c r="Y12" s="39" t="e">
        <f ca="1">IF(A12="","",IF(E12="","",#REF!))</f>
        <v>#REF!</v>
      </c>
      <c r="Z12" t="e">
        <f ca="1">IF(A12="","",IF(E12="","",#REF!))</f>
        <v>#REF!</v>
      </c>
      <c r="AA12" t="e">
        <f ca="1">IF(A12="","",IF(E12="","",#REF!))</f>
        <v>#REF!</v>
      </c>
      <c r="AB12" t="e">
        <f ca="1">IF(A12="","",IF(E12="","",#REF!))</f>
        <v>#REF!</v>
      </c>
      <c r="AC12" t="e">
        <f t="shared" ca="1" si="5"/>
        <v>#REF!</v>
      </c>
    </row>
    <row r="13" spans="1:33" x14ac:dyDescent="0.35">
      <c r="A13" t="e" cm="1">
        <f t="array" aca="1" ref="A13" ca="1">IF(A12="","",IF(OR(AND(A12+1&gt;=$AF$1,A12+1&lt;=$AF$2),AND(A12+1&gt;=$AF$6,A12+1&lt;=$AF$7),AND(A12+1&gt;=$AF$3,A12+1&lt;=$AF$4),AND(A12+1&gt;=$AF$8,A12+1&lt;=$AF$9),A12+1=$AF$5),IF(NOT(ISBLANK(INDIRECT("template!"&amp;"P"&amp;A12+1))),A12+1,IF(NOT(ISBLANK(INDIRECT("template!"&amp;"P"&amp;A12+2))),A12+2,A12+3)),IF(A12=$AF$2,$AF$3,IF(A12=$AF$4,$AF$5,IF(A12=$AF$5,$AF$6,IF(A12=$AF$7,$AF$8,""))))))</f>
        <v>#REF!</v>
      </c>
      <c r="B13" t="e">
        <f t="shared" ca="1" si="0"/>
        <v>#REF!</v>
      </c>
      <c r="C13" t="e" cm="1">
        <f t="array" aca="1" ref="C13" ca="1">IF(A13="","",IF(B13="safety","safety costs",INDIRECT("template!"&amp;"B"&amp;A13)))</f>
        <v>#REF!</v>
      </c>
      <c r="D13" t="e" cm="1">
        <f t="array" aca="1" ref="D13" ca="1">IF(OR(A13="",B13="safety"),"",INDIRECT("template!"&amp;"C"&amp;A13))</f>
        <v>#REF!</v>
      </c>
      <c r="E13" t="e" cm="1">
        <f t="array" aca="1" ref="E13" ca="1">IF(A13="","",IF(OR(A13=A12+1,A13=A12+2),E12,INDIRECT("template!"&amp;"D"&amp;A13-2)))</f>
        <v>#REF!</v>
      </c>
      <c r="F13" t="e" cm="1">
        <f t="array" aca="1" ref="F13" ca="1">IF(OR(A13="",B13="safety"),"",IF(ISBLANK(IF(A13=A12+1,F12,INDIRECT("template!"&amp;"D"&amp;A13-1))),"",IF(A13=A12+1,F12,INDIRECT("template!"&amp;"D"&amp;A13-1))))</f>
        <v>#REF!</v>
      </c>
      <c r="G13" t="e" cm="1">
        <f t="array" aca="1" ref="G13" ca="1">IF(OR(A13="",B13="safety"),"",IF(ISBLANK(INDIRECT("template!"&amp;"D"&amp;A13)),"",INDIRECT("template!"&amp;"D"&amp;A13)))</f>
        <v>#REF!</v>
      </c>
      <c r="H13" t="e" cm="1">
        <f t="array" aca="1" ref="H13" ca="1">IF(OR(A13="",B13="safety"),"",IF(ISBLANK(INDIRECT("template!"&amp;"E"&amp;A13)),"",INDIRECT("template!"&amp;"E"&amp;A13)))</f>
        <v>#REF!</v>
      </c>
      <c r="I13" t="e" cm="1">
        <f t="array" aca="1" ref="I13" ca="1">IF(OR(A13="",B13="safety"),"",IF(ISBLANK(INDIRECT("template!"&amp;"F"&amp;A13)),"",INDIRECT("template!"&amp;"F"&amp;A13)))</f>
        <v>#REF!</v>
      </c>
      <c r="J13" t="e" cm="1">
        <f t="array" aca="1" ref="J13" ca="1">IF(OR(A13="",B13="safety"),"",IF(ISBLANK(INDIRECT("template!"&amp;"G"&amp;A13)),"",INDIRECT("template!"&amp;"G"&amp;A13)))</f>
        <v>#REF!</v>
      </c>
      <c r="K13" t="e" cm="1">
        <f t="array" aca="1" ref="K13" ca="1">IF(OR(A13="",B13="safety"),"",IF(ISBLANK(INDIRECT("template!"&amp;"H"&amp;A13)),"",INDIRECT("template!"&amp;"H"&amp;A13)))</f>
        <v>#REF!</v>
      </c>
      <c r="L13" t="e" cm="1">
        <f t="array" aca="1" ref="L13" ca="1">IF(OR(A13="",B13="safety"),"",INDIRECT("template!"&amp;"I"&amp;A13))</f>
        <v>#REF!</v>
      </c>
      <c r="M13" t="e" cm="1">
        <f t="array" aca="1" ref="M13" ca="1">IF(OR(A13="",B13="safety"),"",INDIRECT("template!"&amp;"J"&amp;A13))</f>
        <v>#REF!</v>
      </c>
      <c r="N13" t="e" cm="1">
        <f t="array" aca="1" ref="N13" ca="1">IF(OR(A13="",B13="safety"),"",IF(ISBLANK(INDIRECT("template!"&amp;"K"&amp;A13)),"",INDIRECT("template!"&amp;"K"&amp;A13)))</f>
        <v>#REF!</v>
      </c>
      <c r="O13" t="e" cm="1">
        <f t="array" aca="1" ref="O13" ca="1">IF(OR(A13="",B13="safety"),"",INDIRECT("template!"&amp;"L"&amp;A13))</f>
        <v>#REF!</v>
      </c>
      <c r="P13" t="e" cm="1">
        <f t="array" aca="1" ref="P13" ca="1">IF(OR(A13="",B13="safety"),"",INDIRECT("template!"&amp;"M"&amp;A13))</f>
        <v>#REF!</v>
      </c>
      <c r="Q13" t="e">
        <f t="shared" ca="1" si="1"/>
        <v>#REF!</v>
      </c>
      <c r="R13" t="e">
        <f t="shared" ca="1" si="2"/>
        <v>#REF!</v>
      </c>
      <c r="S13" t="e">
        <f t="shared" ca="1" si="3"/>
        <v>#REF!</v>
      </c>
      <c r="T13" t="e">
        <f t="shared" ca="1" si="4"/>
        <v>#REF!</v>
      </c>
      <c r="U13" t="e" cm="1">
        <f t="array" aca="1" ref="U13" ca="1">IF(A13="","",IF(E13="","",IF(B13="safety",INDIRECT("template!"&amp;"P"&amp;A13),Q13+R13)))</f>
        <v>#REF!</v>
      </c>
      <c r="V13" t="e" cm="1">
        <f t="array" aca="1" ref="V13" ca="1">IF(A13="","",IF(E13="","",IF(B13="safety",INDIRECT("template!"&amp;"P"&amp;A13),S13+T13)))</f>
        <v>#REF!</v>
      </c>
      <c r="W13" t="e">
        <f ca="1">IF(A13="","",IF(E13="","",#REF!))</f>
        <v>#REF!</v>
      </c>
      <c r="X13" t="e">
        <f ca="1">IF(A13="","",IF(E13="","",#REF!))</f>
        <v>#REF!</v>
      </c>
      <c r="Y13" s="39" t="e">
        <f ca="1">IF(A13="","",IF(E13="","",#REF!))</f>
        <v>#REF!</v>
      </c>
      <c r="Z13" t="e">
        <f ca="1">IF(A13="","",IF(E13="","",#REF!))</f>
        <v>#REF!</v>
      </c>
      <c r="AA13" t="e">
        <f ca="1">IF(A13="","",IF(E13="","",#REF!))</f>
        <v>#REF!</v>
      </c>
      <c r="AB13" t="e">
        <f ca="1">IF(A13="","",IF(E13="","",#REF!))</f>
        <v>#REF!</v>
      </c>
      <c r="AC13" t="e">
        <f t="shared" ca="1" si="5"/>
        <v>#REF!</v>
      </c>
    </row>
    <row r="14" spans="1:33" x14ac:dyDescent="0.35">
      <c r="A14" t="e" cm="1">
        <f t="array" aca="1" ref="A14" ca="1">IF(A13="","",IF(OR(AND(A13+1&gt;=$AF$1,A13+1&lt;=$AF$2),AND(A13+1&gt;=$AF$6,A13+1&lt;=$AF$7),AND(A13+1&gt;=$AF$3,A13+1&lt;=$AF$4),AND(A13+1&gt;=$AF$8,A13+1&lt;=$AF$9),A13+1=$AF$5),IF(NOT(ISBLANK(INDIRECT("template!"&amp;"P"&amp;A13+1))),A13+1,IF(NOT(ISBLANK(INDIRECT("template!"&amp;"P"&amp;A13+2))),A13+2,A13+3)),IF(A13=$AF$2,$AF$3,IF(A13=$AF$4,$AF$5,IF(A13=$AF$5,$AF$6,IF(A13=$AF$7,$AF$8,""))))))</f>
        <v>#REF!</v>
      </c>
      <c r="B14" t="e">
        <f t="shared" ca="1" si="0"/>
        <v>#REF!</v>
      </c>
      <c r="C14" t="e" cm="1">
        <f t="array" aca="1" ref="C14" ca="1">IF(A14="","",IF(B14="safety","safety costs",INDIRECT("template!"&amp;"B"&amp;A14)))</f>
        <v>#REF!</v>
      </c>
      <c r="D14" t="e" cm="1">
        <f t="array" aca="1" ref="D14" ca="1">IF(OR(A14="",B14="safety"),"",INDIRECT("template!"&amp;"C"&amp;A14))</f>
        <v>#REF!</v>
      </c>
      <c r="E14" t="e" cm="1">
        <f t="array" aca="1" ref="E14" ca="1">IF(A14="","",IF(OR(A14=A13+1,A14=A13+2),E13,INDIRECT("template!"&amp;"D"&amp;A14-2)))</f>
        <v>#REF!</v>
      </c>
      <c r="F14" t="e" cm="1">
        <f t="array" aca="1" ref="F14" ca="1">IF(OR(A14="",B14="safety"),"",IF(ISBLANK(IF(A14=A13+1,F13,INDIRECT("template!"&amp;"D"&amp;A14-1))),"",IF(A14=A13+1,F13,INDIRECT("template!"&amp;"D"&amp;A14-1))))</f>
        <v>#REF!</v>
      </c>
      <c r="G14" t="e" cm="1">
        <f t="array" aca="1" ref="G14" ca="1">IF(OR(A14="",B14="safety"),"",IF(ISBLANK(INDIRECT("template!"&amp;"D"&amp;A14)),"",INDIRECT("template!"&amp;"D"&amp;A14)))</f>
        <v>#REF!</v>
      </c>
      <c r="H14" t="e" cm="1">
        <f t="array" aca="1" ref="H14" ca="1">IF(OR(A14="",B14="safety"),"",IF(ISBLANK(INDIRECT("template!"&amp;"E"&amp;A14)),"",INDIRECT("template!"&amp;"E"&amp;A14)))</f>
        <v>#REF!</v>
      </c>
      <c r="I14" t="e" cm="1">
        <f t="array" aca="1" ref="I14" ca="1">IF(OR(A14="",B14="safety"),"",IF(ISBLANK(INDIRECT("template!"&amp;"F"&amp;A14)),"",INDIRECT("template!"&amp;"F"&amp;A14)))</f>
        <v>#REF!</v>
      </c>
      <c r="J14" t="e" cm="1">
        <f t="array" aca="1" ref="J14" ca="1">IF(OR(A14="",B14="safety"),"",IF(ISBLANK(INDIRECT("template!"&amp;"G"&amp;A14)),"",INDIRECT("template!"&amp;"G"&amp;A14)))</f>
        <v>#REF!</v>
      </c>
      <c r="K14" t="e" cm="1">
        <f t="array" aca="1" ref="K14" ca="1">IF(OR(A14="",B14="safety"),"",IF(ISBLANK(INDIRECT("template!"&amp;"H"&amp;A14)),"",INDIRECT("template!"&amp;"H"&amp;A14)))</f>
        <v>#REF!</v>
      </c>
      <c r="L14" t="e" cm="1">
        <f t="array" aca="1" ref="L14" ca="1">IF(OR(A14="",B14="safety"),"",INDIRECT("template!"&amp;"I"&amp;A14))</f>
        <v>#REF!</v>
      </c>
      <c r="M14" t="e" cm="1">
        <f t="array" aca="1" ref="M14" ca="1">IF(OR(A14="",B14="safety"),"",INDIRECT("template!"&amp;"J"&amp;A14))</f>
        <v>#REF!</v>
      </c>
      <c r="N14" t="e" cm="1">
        <f t="array" aca="1" ref="N14" ca="1">IF(OR(A14="",B14="safety"),"",IF(ISBLANK(INDIRECT("template!"&amp;"K"&amp;A14)),"",INDIRECT("template!"&amp;"K"&amp;A14)))</f>
        <v>#REF!</v>
      </c>
      <c r="O14" t="e" cm="1">
        <f t="array" aca="1" ref="O14" ca="1">IF(OR(A14="",B14="safety"),"",INDIRECT("template!"&amp;"L"&amp;A14))</f>
        <v>#REF!</v>
      </c>
      <c r="P14" t="e" cm="1">
        <f t="array" aca="1" ref="P14" ca="1">IF(OR(A14="",B14="safety"),"",INDIRECT("template!"&amp;"M"&amp;A14))</f>
        <v>#REF!</v>
      </c>
      <c r="Q14" t="e">
        <f t="shared" ca="1" si="1"/>
        <v>#REF!</v>
      </c>
      <c r="R14" t="e">
        <f t="shared" ca="1" si="2"/>
        <v>#REF!</v>
      </c>
      <c r="S14" t="e">
        <f t="shared" ca="1" si="3"/>
        <v>#REF!</v>
      </c>
      <c r="T14" t="e">
        <f t="shared" ca="1" si="4"/>
        <v>#REF!</v>
      </c>
      <c r="U14" t="e" cm="1">
        <f t="array" aca="1" ref="U14" ca="1">IF(A14="","",IF(E14="","",IF(B14="safety",INDIRECT("template!"&amp;"P"&amp;A14),Q14+R14)))</f>
        <v>#REF!</v>
      </c>
      <c r="V14" t="e" cm="1">
        <f t="array" aca="1" ref="V14" ca="1">IF(A14="","",IF(E14="","",IF(B14="safety",INDIRECT("template!"&amp;"P"&amp;A14),S14+T14)))</f>
        <v>#REF!</v>
      </c>
      <c r="W14" t="e">
        <f ca="1">IF(A14="","",IF(E14="","",#REF!))</f>
        <v>#REF!</v>
      </c>
      <c r="X14" t="e">
        <f ca="1">IF(A14="","",IF(E14="","",#REF!))</f>
        <v>#REF!</v>
      </c>
      <c r="Y14" s="39" t="e">
        <f ca="1">IF(A14="","",IF(E14="","",#REF!))</f>
        <v>#REF!</v>
      </c>
      <c r="Z14" t="e">
        <f ca="1">IF(A14="","",IF(E14="","",#REF!))</f>
        <v>#REF!</v>
      </c>
      <c r="AA14" t="e">
        <f ca="1">IF(A14="","",IF(E14="","",#REF!))</f>
        <v>#REF!</v>
      </c>
      <c r="AB14" t="e">
        <f ca="1">IF(A14="","",IF(E14="","",#REF!))</f>
        <v>#REF!</v>
      </c>
      <c r="AC14" t="e">
        <f t="shared" ca="1" si="5"/>
        <v>#REF!</v>
      </c>
    </row>
    <row r="15" spans="1:33" x14ac:dyDescent="0.35">
      <c r="A15" t="e" cm="1">
        <f t="array" aca="1" ref="A15" ca="1">IF(A14="","",IF(OR(AND(A14+1&gt;=$AF$1,A14+1&lt;=$AF$2),AND(A14+1&gt;=$AF$6,A14+1&lt;=$AF$7),AND(A14+1&gt;=$AF$3,A14+1&lt;=$AF$4),AND(A14+1&gt;=$AF$8,A14+1&lt;=$AF$9),A14+1=$AF$5),IF(NOT(ISBLANK(INDIRECT("template!"&amp;"P"&amp;A14+1))),A14+1,IF(NOT(ISBLANK(INDIRECT("template!"&amp;"P"&amp;A14+2))),A14+2,A14+3)),IF(A14=$AF$2,$AF$3,IF(A14=$AF$4,$AF$5,IF(A14=$AF$5,$AF$6,IF(A14=$AF$7,$AF$8,""))))))</f>
        <v>#REF!</v>
      </c>
      <c r="B15" t="e">
        <f t="shared" ca="1" si="0"/>
        <v>#REF!</v>
      </c>
      <c r="C15" t="e" cm="1">
        <f t="array" aca="1" ref="C15" ca="1">IF(A15="","",IF(B15="safety","safety costs",INDIRECT("template!"&amp;"B"&amp;A15)))</f>
        <v>#REF!</v>
      </c>
      <c r="D15" t="e" cm="1">
        <f t="array" aca="1" ref="D15" ca="1">IF(OR(A15="",B15="safety"),"",INDIRECT("template!"&amp;"C"&amp;A15))</f>
        <v>#REF!</v>
      </c>
      <c r="E15" t="e" cm="1">
        <f t="array" aca="1" ref="E15" ca="1">IF(A15="","",IF(OR(A15=A14+1,A15=A14+2),E14,INDIRECT("template!"&amp;"D"&amp;A15-2)))</f>
        <v>#REF!</v>
      </c>
      <c r="F15" t="e" cm="1">
        <f t="array" aca="1" ref="F15" ca="1">IF(OR(A15="",B15="safety"),"",IF(ISBLANK(IF(A15=A14+1,F14,INDIRECT("template!"&amp;"D"&amp;A15-1))),"",IF(A15=A14+1,F14,INDIRECT("template!"&amp;"D"&amp;A15-1))))</f>
        <v>#REF!</v>
      </c>
      <c r="G15" t="e" cm="1">
        <f t="array" aca="1" ref="G15" ca="1">IF(OR(A15="",B15="safety"),"",IF(ISBLANK(INDIRECT("template!"&amp;"D"&amp;A15)),"",INDIRECT("template!"&amp;"D"&amp;A15)))</f>
        <v>#REF!</v>
      </c>
      <c r="H15" t="e" cm="1">
        <f t="array" aca="1" ref="H15" ca="1">IF(OR(A15="",B15="safety"),"",IF(ISBLANK(INDIRECT("template!"&amp;"E"&amp;A15)),"",INDIRECT("template!"&amp;"E"&amp;A15)))</f>
        <v>#REF!</v>
      </c>
      <c r="I15" t="e" cm="1">
        <f t="array" aca="1" ref="I15" ca="1">IF(OR(A15="",B15="safety"),"",IF(ISBLANK(INDIRECT("template!"&amp;"F"&amp;A15)),"",INDIRECT("template!"&amp;"F"&amp;A15)))</f>
        <v>#REF!</v>
      </c>
      <c r="J15" t="e" cm="1">
        <f t="array" aca="1" ref="J15" ca="1">IF(OR(A15="",B15="safety"),"",IF(ISBLANK(INDIRECT("template!"&amp;"G"&amp;A15)),"",INDIRECT("template!"&amp;"G"&amp;A15)))</f>
        <v>#REF!</v>
      </c>
      <c r="K15" t="e" cm="1">
        <f t="array" aca="1" ref="K15" ca="1">IF(OR(A15="",B15="safety"),"",IF(ISBLANK(INDIRECT("template!"&amp;"H"&amp;A15)),"",INDIRECT("template!"&amp;"H"&amp;A15)))</f>
        <v>#REF!</v>
      </c>
      <c r="L15" t="e" cm="1">
        <f t="array" aca="1" ref="L15" ca="1">IF(OR(A15="",B15="safety"),"",INDIRECT("template!"&amp;"I"&amp;A15))</f>
        <v>#REF!</v>
      </c>
      <c r="M15" t="e" cm="1">
        <f t="array" aca="1" ref="M15" ca="1">IF(OR(A15="",B15="safety"),"",INDIRECT("template!"&amp;"J"&amp;A15))</f>
        <v>#REF!</v>
      </c>
      <c r="N15" t="e" cm="1">
        <f t="array" aca="1" ref="N15" ca="1">IF(OR(A15="",B15="safety"),"",IF(ISBLANK(INDIRECT("template!"&amp;"K"&amp;A15)),"",INDIRECT("template!"&amp;"K"&amp;A15)))</f>
        <v>#REF!</v>
      </c>
      <c r="O15" t="e" cm="1">
        <f t="array" aca="1" ref="O15" ca="1">IF(OR(A15="",B15="safety"),"",INDIRECT("template!"&amp;"L"&amp;A15))</f>
        <v>#REF!</v>
      </c>
      <c r="P15" t="e" cm="1">
        <f t="array" aca="1" ref="P15" ca="1">IF(OR(A15="",B15="safety"),"",INDIRECT("template!"&amp;"M"&amp;A15))</f>
        <v>#REF!</v>
      </c>
      <c r="Q15" t="e">
        <f t="shared" ca="1" si="1"/>
        <v>#REF!</v>
      </c>
      <c r="R15" t="e">
        <f t="shared" ca="1" si="2"/>
        <v>#REF!</v>
      </c>
      <c r="S15" t="e">
        <f t="shared" ca="1" si="3"/>
        <v>#REF!</v>
      </c>
      <c r="T15" t="e">
        <f t="shared" ca="1" si="4"/>
        <v>#REF!</v>
      </c>
      <c r="U15" t="e" cm="1">
        <f t="array" aca="1" ref="U15" ca="1">IF(A15="","",IF(E15="","",IF(B15="safety",INDIRECT("template!"&amp;"P"&amp;A15),Q15+R15)))</f>
        <v>#REF!</v>
      </c>
      <c r="V15" t="e" cm="1">
        <f t="array" aca="1" ref="V15" ca="1">IF(A15="","",IF(E15="","",IF(B15="safety",INDIRECT("template!"&amp;"P"&amp;A15),S15+T15)))</f>
        <v>#REF!</v>
      </c>
      <c r="W15" t="e">
        <f ca="1">IF(A15="","",IF(E15="","",#REF!))</f>
        <v>#REF!</v>
      </c>
      <c r="X15" t="e">
        <f ca="1">IF(A15="","",IF(E15="","",#REF!))</f>
        <v>#REF!</v>
      </c>
      <c r="Y15" s="39" t="e">
        <f ca="1">IF(A15="","",IF(E15="","",#REF!))</f>
        <v>#REF!</v>
      </c>
      <c r="Z15" t="e">
        <f ca="1">IF(A15="","",IF(E15="","",#REF!))</f>
        <v>#REF!</v>
      </c>
      <c r="AA15" t="e">
        <f ca="1">IF(A15="","",IF(E15="","",#REF!))</f>
        <v>#REF!</v>
      </c>
      <c r="AB15" t="e">
        <f ca="1">IF(A15="","",IF(E15="","",#REF!))</f>
        <v>#REF!</v>
      </c>
      <c r="AC15" t="e">
        <f t="shared" ca="1" si="5"/>
        <v>#REF!</v>
      </c>
    </row>
    <row r="16" spans="1:33" x14ac:dyDescent="0.35">
      <c r="A16" t="e" cm="1">
        <f t="array" aca="1" ref="A16" ca="1">IF(A15="","",IF(OR(AND(A15+1&gt;=$AF$1,A15+1&lt;=$AF$2),AND(A15+1&gt;=$AF$6,A15+1&lt;=$AF$7),AND(A15+1&gt;=$AF$3,A15+1&lt;=$AF$4),AND(A15+1&gt;=$AF$8,A15+1&lt;=$AF$9),A15+1=$AF$5),IF(NOT(ISBLANK(INDIRECT("template!"&amp;"P"&amp;A15+1))),A15+1,IF(NOT(ISBLANK(INDIRECT("template!"&amp;"P"&amp;A15+2))),A15+2,A15+3)),IF(A15=$AF$2,$AF$3,IF(A15=$AF$4,$AF$5,IF(A15=$AF$5,$AF$6,IF(A15=$AF$7,$AF$8,""))))))</f>
        <v>#REF!</v>
      </c>
      <c r="B16" t="e">
        <f t="shared" ca="1" si="0"/>
        <v>#REF!</v>
      </c>
      <c r="C16" t="e" cm="1">
        <f t="array" aca="1" ref="C16" ca="1">IF(A16="","",IF(B16="safety","safety costs",INDIRECT("template!"&amp;"B"&amp;A16)))</f>
        <v>#REF!</v>
      </c>
      <c r="D16" t="e" cm="1">
        <f t="array" aca="1" ref="D16" ca="1">IF(OR(A16="",B16="safety"),"",INDIRECT("template!"&amp;"C"&amp;A16))</f>
        <v>#REF!</v>
      </c>
      <c r="E16" t="e" cm="1">
        <f t="array" aca="1" ref="E16" ca="1">IF(A16="","",IF(OR(A16=A15+1,A16=A15+2),E15,INDIRECT("template!"&amp;"D"&amp;A16-2)))</f>
        <v>#REF!</v>
      </c>
      <c r="F16" t="e" cm="1">
        <f t="array" aca="1" ref="F16" ca="1">IF(OR(A16="",B16="safety"),"",IF(ISBLANK(IF(A16=A15+1,F15,INDIRECT("template!"&amp;"D"&amp;A16-1))),"",IF(A16=A15+1,F15,INDIRECT("template!"&amp;"D"&amp;A16-1))))</f>
        <v>#REF!</v>
      </c>
      <c r="G16" t="e" cm="1">
        <f t="array" aca="1" ref="G16" ca="1">IF(OR(A16="",B16="safety"),"",IF(ISBLANK(INDIRECT("template!"&amp;"D"&amp;A16)),"",INDIRECT("template!"&amp;"D"&amp;A16)))</f>
        <v>#REF!</v>
      </c>
      <c r="H16" t="e" cm="1">
        <f t="array" aca="1" ref="H16" ca="1">IF(OR(A16="",B16="safety"),"",IF(ISBLANK(INDIRECT("template!"&amp;"E"&amp;A16)),"",INDIRECT("template!"&amp;"E"&amp;A16)))</f>
        <v>#REF!</v>
      </c>
      <c r="I16" t="e" cm="1">
        <f t="array" aca="1" ref="I16" ca="1">IF(OR(A16="",B16="safety"),"",IF(ISBLANK(INDIRECT("template!"&amp;"F"&amp;A16)),"",INDIRECT("template!"&amp;"F"&amp;A16)))</f>
        <v>#REF!</v>
      </c>
      <c r="J16" t="e" cm="1">
        <f t="array" aca="1" ref="J16" ca="1">IF(OR(A16="",B16="safety"),"",IF(ISBLANK(INDIRECT("template!"&amp;"G"&amp;A16)),"",INDIRECT("template!"&amp;"G"&amp;A16)))</f>
        <v>#REF!</v>
      </c>
      <c r="K16" t="e" cm="1">
        <f t="array" aca="1" ref="K16" ca="1">IF(OR(A16="",B16="safety"),"",IF(ISBLANK(INDIRECT("template!"&amp;"H"&amp;A16)),"",INDIRECT("template!"&amp;"H"&amp;A16)))</f>
        <v>#REF!</v>
      </c>
      <c r="L16" t="e" cm="1">
        <f t="array" aca="1" ref="L16" ca="1">IF(OR(A16="",B16="safety"),"",INDIRECT("template!"&amp;"I"&amp;A16))</f>
        <v>#REF!</v>
      </c>
      <c r="M16" t="e" cm="1">
        <f t="array" aca="1" ref="M16" ca="1">IF(OR(A16="",B16="safety"),"",INDIRECT("template!"&amp;"J"&amp;A16))</f>
        <v>#REF!</v>
      </c>
      <c r="N16" t="e" cm="1">
        <f t="array" aca="1" ref="N16" ca="1">IF(OR(A16="",B16="safety"),"",IF(ISBLANK(INDIRECT("template!"&amp;"K"&amp;A16)),"",INDIRECT("template!"&amp;"K"&amp;A16)))</f>
        <v>#REF!</v>
      </c>
      <c r="O16" t="e" cm="1">
        <f t="array" aca="1" ref="O16" ca="1">IF(OR(A16="",B16="safety"),"",INDIRECT("template!"&amp;"L"&amp;A16))</f>
        <v>#REF!</v>
      </c>
      <c r="P16" t="e" cm="1">
        <f t="array" aca="1" ref="P16" ca="1">IF(OR(A16="",B16="safety"),"",INDIRECT("template!"&amp;"M"&amp;A16))</f>
        <v>#REF!</v>
      </c>
      <c r="Q16" t="e">
        <f t="shared" ca="1" si="1"/>
        <v>#REF!</v>
      </c>
      <c r="R16" t="e">
        <f t="shared" ca="1" si="2"/>
        <v>#REF!</v>
      </c>
      <c r="S16" t="e">
        <f t="shared" ca="1" si="3"/>
        <v>#REF!</v>
      </c>
      <c r="T16" t="e">
        <f t="shared" ca="1" si="4"/>
        <v>#REF!</v>
      </c>
      <c r="U16" t="e" cm="1">
        <f t="array" aca="1" ref="U16" ca="1">IF(A16="","",IF(E16="","",IF(B16="safety",INDIRECT("template!"&amp;"P"&amp;A16),Q16+R16)))</f>
        <v>#REF!</v>
      </c>
      <c r="V16" t="e" cm="1">
        <f t="array" aca="1" ref="V16" ca="1">IF(A16="","",IF(E16="","",IF(B16="safety",INDIRECT("template!"&amp;"P"&amp;A16),S16+T16)))</f>
        <v>#REF!</v>
      </c>
      <c r="W16" t="e">
        <f ca="1">IF(A16="","",IF(E16="","",#REF!))</f>
        <v>#REF!</v>
      </c>
      <c r="X16" t="e">
        <f ca="1">IF(A16="","",IF(E16="","",#REF!))</f>
        <v>#REF!</v>
      </c>
      <c r="Y16" s="39" t="e">
        <f ca="1">IF(A16="","",IF(E16="","",#REF!))</f>
        <v>#REF!</v>
      </c>
      <c r="Z16" t="e">
        <f ca="1">IF(A16="","",IF(E16="","",#REF!))</f>
        <v>#REF!</v>
      </c>
      <c r="AA16" t="e">
        <f ca="1">IF(A16="","",IF(E16="","",#REF!))</f>
        <v>#REF!</v>
      </c>
      <c r="AB16" t="e">
        <f ca="1">IF(A16="","",IF(E16="","",#REF!))</f>
        <v>#REF!</v>
      </c>
      <c r="AC16" t="e">
        <f t="shared" ca="1" si="5"/>
        <v>#REF!</v>
      </c>
    </row>
    <row r="17" spans="1:29" x14ac:dyDescent="0.35">
      <c r="A17" t="e" cm="1">
        <f t="array" aca="1" ref="A17" ca="1">IF(A16="","",IF(OR(AND(A16+1&gt;=$AF$1,A16+1&lt;=$AF$2),AND(A16+1&gt;=$AF$6,A16+1&lt;=$AF$7),AND(A16+1&gt;=$AF$3,A16+1&lt;=$AF$4),AND(A16+1&gt;=$AF$8,A16+1&lt;=$AF$9),A16+1=$AF$5),IF(NOT(ISBLANK(INDIRECT("template!"&amp;"P"&amp;A16+1))),A16+1,IF(NOT(ISBLANK(INDIRECT("template!"&amp;"P"&amp;A16+2))),A16+2,A16+3)),IF(A16=$AF$2,$AF$3,IF(A16=$AF$4,$AF$5,IF(A16=$AF$5,$AF$6,IF(A16=$AF$7,$AF$8,""))))))</f>
        <v>#REF!</v>
      </c>
      <c r="B17" t="e">
        <f t="shared" ca="1" si="0"/>
        <v>#REF!</v>
      </c>
      <c r="C17" t="e" cm="1">
        <f t="array" aca="1" ref="C17" ca="1">IF(A17="","",IF(B17="safety","safety costs",INDIRECT("template!"&amp;"B"&amp;A17)))</f>
        <v>#REF!</v>
      </c>
      <c r="D17" t="e" cm="1">
        <f t="array" aca="1" ref="D17" ca="1">IF(OR(A17="",B17="safety"),"",INDIRECT("template!"&amp;"C"&amp;A17))</f>
        <v>#REF!</v>
      </c>
      <c r="E17" t="e" cm="1">
        <f t="array" aca="1" ref="E17" ca="1">IF(A17="","",IF(OR(A17=A16+1,A17=A16+2),E16,INDIRECT("template!"&amp;"D"&amp;A17-2)))</f>
        <v>#REF!</v>
      </c>
      <c r="F17" t="e" cm="1">
        <f t="array" aca="1" ref="F17" ca="1">IF(OR(A17="",B17="safety"),"",IF(ISBLANK(IF(A17=A16+1,F16,INDIRECT("template!"&amp;"D"&amp;A17-1))),"",IF(A17=A16+1,F16,INDIRECT("template!"&amp;"D"&amp;A17-1))))</f>
        <v>#REF!</v>
      </c>
      <c r="G17" t="e" cm="1">
        <f t="array" aca="1" ref="G17" ca="1">IF(OR(A17="",B17="safety"),"",IF(ISBLANK(INDIRECT("template!"&amp;"D"&amp;A17)),"",INDIRECT("template!"&amp;"D"&amp;A17)))</f>
        <v>#REF!</v>
      </c>
      <c r="H17" t="e" cm="1">
        <f t="array" aca="1" ref="H17" ca="1">IF(OR(A17="",B17="safety"),"",IF(ISBLANK(INDIRECT("template!"&amp;"E"&amp;A17)),"",INDIRECT("template!"&amp;"E"&amp;A17)))</f>
        <v>#REF!</v>
      </c>
      <c r="I17" t="e" cm="1">
        <f t="array" aca="1" ref="I17" ca="1">IF(OR(A17="",B17="safety"),"",IF(ISBLANK(INDIRECT("template!"&amp;"F"&amp;A17)),"",INDIRECT("template!"&amp;"F"&amp;A17)))</f>
        <v>#REF!</v>
      </c>
      <c r="J17" t="e" cm="1">
        <f t="array" aca="1" ref="J17" ca="1">IF(OR(A17="",B17="safety"),"",IF(ISBLANK(INDIRECT("template!"&amp;"G"&amp;A17)),"",INDIRECT("template!"&amp;"G"&amp;A17)))</f>
        <v>#REF!</v>
      </c>
      <c r="K17" t="e" cm="1">
        <f t="array" aca="1" ref="K17" ca="1">IF(OR(A17="",B17="safety"),"",IF(ISBLANK(INDIRECT("template!"&amp;"H"&amp;A17)),"",INDIRECT("template!"&amp;"H"&amp;A17)))</f>
        <v>#REF!</v>
      </c>
      <c r="L17" t="e" cm="1">
        <f t="array" aca="1" ref="L17" ca="1">IF(OR(A17="",B17="safety"),"",INDIRECT("template!"&amp;"I"&amp;A17))</f>
        <v>#REF!</v>
      </c>
      <c r="M17" t="e" cm="1">
        <f t="array" aca="1" ref="M17" ca="1">IF(OR(A17="",B17="safety"),"",INDIRECT("template!"&amp;"J"&amp;A17))</f>
        <v>#REF!</v>
      </c>
      <c r="N17" t="e" cm="1">
        <f t="array" aca="1" ref="N17" ca="1">IF(OR(A17="",B17="safety"),"",IF(ISBLANK(INDIRECT("template!"&amp;"K"&amp;A17)),"",INDIRECT("template!"&amp;"K"&amp;A17)))</f>
        <v>#REF!</v>
      </c>
      <c r="O17" t="e" cm="1">
        <f t="array" aca="1" ref="O17" ca="1">IF(OR(A17="",B17="safety"),"",INDIRECT("template!"&amp;"L"&amp;A17))</f>
        <v>#REF!</v>
      </c>
      <c r="P17" t="e" cm="1">
        <f t="array" aca="1" ref="P17" ca="1">IF(OR(A17="",B17="safety"),"",INDIRECT("template!"&amp;"M"&amp;A17))</f>
        <v>#REF!</v>
      </c>
      <c r="Q17" t="e">
        <f t="shared" ca="1" si="1"/>
        <v>#REF!</v>
      </c>
      <c r="R17" t="e">
        <f t="shared" ca="1" si="2"/>
        <v>#REF!</v>
      </c>
      <c r="S17" t="e">
        <f t="shared" ca="1" si="3"/>
        <v>#REF!</v>
      </c>
      <c r="T17" t="e">
        <f t="shared" ca="1" si="4"/>
        <v>#REF!</v>
      </c>
      <c r="U17" t="e" cm="1">
        <f t="array" aca="1" ref="U17" ca="1">IF(A17="","",IF(E17="","",IF(B17="safety",INDIRECT("template!"&amp;"P"&amp;A17),Q17+R17)))</f>
        <v>#REF!</v>
      </c>
      <c r="V17" t="e" cm="1">
        <f t="array" aca="1" ref="V17" ca="1">IF(A17="","",IF(E17="","",IF(B17="safety",INDIRECT("template!"&amp;"P"&amp;A17),S17+T17)))</f>
        <v>#REF!</v>
      </c>
      <c r="W17" t="e">
        <f ca="1">IF(A17="","",IF(E17="","",#REF!))</f>
        <v>#REF!</v>
      </c>
      <c r="X17" t="e">
        <f ca="1">IF(A17="","",IF(E17="","",#REF!))</f>
        <v>#REF!</v>
      </c>
      <c r="Y17" s="39" t="e">
        <f ca="1">IF(A17="","",IF(E17="","",#REF!))</f>
        <v>#REF!</v>
      </c>
      <c r="Z17" t="e">
        <f ca="1">IF(A17="","",IF(E17="","",#REF!))</f>
        <v>#REF!</v>
      </c>
      <c r="AA17" t="e">
        <f ca="1">IF(A17="","",IF(E17="","",#REF!))</f>
        <v>#REF!</v>
      </c>
      <c r="AB17" t="e">
        <f ca="1">IF(A17="","",IF(E17="","",#REF!))</f>
        <v>#REF!</v>
      </c>
      <c r="AC17" t="e">
        <f t="shared" ca="1" si="5"/>
        <v>#REF!</v>
      </c>
    </row>
    <row r="18" spans="1:29" x14ac:dyDescent="0.35">
      <c r="A18" t="e" cm="1">
        <f t="array" aca="1" ref="A18" ca="1">IF(A17="","",IF(OR(AND(A17+1&gt;=$AF$1,A17+1&lt;=$AF$2),AND(A17+1&gt;=$AF$6,A17+1&lt;=$AF$7),AND(A17+1&gt;=$AF$3,A17+1&lt;=$AF$4),AND(A17+1&gt;=$AF$8,A17+1&lt;=$AF$9),A17+1=$AF$5),IF(NOT(ISBLANK(INDIRECT("template!"&amp;"P"&amp;A17+1))),A17+1,IF(NOT(ISBLANK(INDIRECT("template!"&amp;"P"&amp;A17+2))),A17+2,A17+3)),IF(A17=$AF$2,$AF$3,IF(A17=$AF$4,$AF$5,IF(A17=$AF$5,$AF$6,IF(A17=$AF$7,$AF$8,""))))))</f>
        <v>#REF!</v>
      </c>
      <c r="B18" t="e">
        <f t="shared" ca="1" si="0"/>
        <v>#REF!</v>
      </c>
      <c r="C18" t="e" cm="1">
        <f t="array" aca="1" ref="C18" ca="1">IF(A18="","",IF(B18="safety","safety costs",INDIRECT("template!"&amp;"B"&amp;A18)))</f>
        <v>#REF!</v>
      </c>
      <c r="D18" t="e" cm="1">
        <f t="array" aca="1" ref="D18" ca="1">IF(OR(A18="",B18="safety"),"",INDIRECT("template!"&amp;"C"&amp;A18))</f>
        <v>#REF!</v>
      </c>
      <c r="E18" t="e" cm="1">
        <f t="array" aca="1" ref="E18" ca="1">IF(A18="","",IF(OR(A18=A17+1,A18=A17+2),E17,INDIRECT("template!"&amp;"D"&amp;A18-2)))</f>
        <v>#REF!</v>
      </c>
      <c r="F18" t="e" cm="1">
        <f t="array" aca="1" ref="F18" ca="1">IF(OR(A18="",B18="safety"),"",IF(ISBLANK(IF(A18=A17+1,F17,INDIRECT("template!"&amp;"D"&amp;A18-1))),"",IF(A18=A17+1,F17,INDIRECT("template!"&amp;"D"&amp;A18-1))))</f>
        <v>#REF!</v>
      </c>
      <c r="G18" t="e" cm="1">
        <f t="array" aca="1" ref="G18" ca="1">IF(OR(A18="",B18="safety"),"",IF(ISBLANK(INDIRECT("template!"&amp;"D"&amp;A18)),"",INDIRECT("template!"&amp;"D"&amp;A18)))</f>
        <v>#REF!</v>
      </c>
      <c r="H18" t="e" cm="1">
        <f t="array" aca="1" ref="H18" ca="1">IF(OR(A18="",B18="safety"),"",IF(ISBLANK(INDIRECT("template!"&amp;"E"&amp;A18)),"",INDIRECT("template!"&amp;"E"&amp;A18)))</f>
        <v>#REF!</v>
      </c>
      <c r="I18" t="e" cm="1">
        <f t="array" aca="1" ref="I18" ca="1">IF(OR(A18="",B18="safety"),"",IF(ISBLANK(INDIRECT("template!"&amp;"F"&amp;A18)),"",INDIRECT("template!"&amp;"F"&amp;A18)))</f>
        <v>#REF!</v>
      </c>
      <c r="J18" t="e" cm="1">
        <f t="array" aca="1" ref="J18" ca="1">IF(OR(A18="",B18="safety"),"",IF(ISBLANK(INDIRECT("template!"&amp;"G"&amp;A18)),"",INDIRECT("template!"&amp;"G"&amp;A18)))</f>
        <v>#REF!</v>
      </c>
      <c r="K18" t="e" cm="1">
        <f t="array" aca="1" ref="K18" ca="1">IF(OR(A18="",B18="safety"),"",IF(ISBLANK(INDIRECT("template!"&amp;"H"&amp;A18)),"",INDIRECT("template!"&amp;"H"&amp;A18)))</f>
        <v>#REF!</v>
      </c>
      <c r="L18" t="e" cm="1">
        <f t="array" aca="1" ref="L18" ca="1">IF(OR(A18="",B18="safety"),"",INDIRECT("template!"&amp;"I"&amp;A18))</f>
        <v>#REF!</v>
      </c>
      <c r="M18" t="e" cm="1">
        <f t="array" aca="1" ref="M18" ca="1">IF(OR(A18="",B18="safety"),"",INDIRECT("template!"&amp;"J"&amp;A18))</f>
        <v>#REF!</v>
      </c>
      <c r="N18" t="e" cm="1">
        <f t="array" aca="1" ref="N18" ca="1">IF(OR(A18="",B18="safety"),"",IF(ISBLANK(INDIRECT("template!"&amp;"K"&amp;A18)),"",INDIRECT("template!"&amp;"K"&amp;A18)))</f>
        <v>#REF!</v>
      </c>
      <c r="O18" t="e" cm="1">
        <f t="array" aca="1" ref="O18" ca="1">IF(OR(A18="",B18="safety"),"",INDIRECT("template!"&amp;"L"&amp;A18))</f>
        <v>#REF!</v>
      </c>
      <c r="P18" t="e" cm="1">
        <f t="array" aca="1" ref="P18" ca="1">IF(OR(A18="",B18="safety"),"",INDIRECT("template!"&amp;"M"&amp;A18))</f>
        <v>#REF!</v>
      </c>
      <c r="Q18" t="e">
        <f t="shared" ca="1" si="1"/>
        <v>#REF!</v>
      </c>
      <c r="R18" t="e">
        <f t="shared" ca="1" si="2"/>
        <v>#REF!</v>
      </c>
      <c r="S18" t="e">
        <f t="shared" ca="1" si="3"/>
        <v>#REF!</v>
      </c>
      <c r="T18" t="e">
        <f t="shared" ca="1" si="4"/>
        <v>#REF!</v>
      </c>
      <c r="U18" t="e" cm="1">
        <f t="array" aca="1" ref="U18" ca="1">IF(A18="","",IF(E18="","",IF(B18="safety",INDIRECT("template!"&amp;"P"&amp;A18),Q18+R18)))</f>
        <v>#REF!</v>
      </c>
      <c r="V18" t="e" cm="1">
        <f t="array" aca="1" ref="V18" ca="1">IF(A18="","",IF(E18="","",IF(B18="safety",INDIRECT("template!"&amp;"P"&amp;A18),S18+T18)))</f>
        <v>#REF!</v>
      </c>
      <c r="W18" t="e">
        <f ca="1">IF(A18="","",IF(E18="","",#REF!))</f>
        <v>#REF!</v>
      </c>
      <c r="X18" t="e">
        <f ca="1">IF(A18="","",IF(E18="","",#REF!))</f>
        <v>#REF!</v>
      </c>
      <c r="Y18" s="39" t="e">
        <f ca="1">IF(A18="","",IF(E18="","",#REF!))</f>
        <v>#REF!</v>
      </c>
      <c r="Z18" t="e">
        <f ca="1">IF(A18="","",IF(E18="","",#REF!))</f>
        <v>#REF!</v>
      </c>
      <c r="AA18" t="e">
        <f ca="1">IF(A18="","",IF(E18="","",#REF!))</f>
        <v>#REF!</v>
      </c>
      <c r="AB18" t="e">
        <f ca="1">IF(A18="","",IF(E18="","",#REF!))</f>
        <v>#REF!</v>
      </c>
      <c r="AC18" t="e">
        <f t="shared" ca="1" si="5"/>
        <v>#REF!</v>
      </c>
    </row>
    <row r="19" spans="1:29" x14ac:dyDescent="0.35">
      <c r="A19" t="e" cm="1">
        <f t="array" aca="1" ref="A19" ca="1">IF(A18="","",IF(OR(AND(A18+1&gt;=$AF$1,A18+1&lt;=$AF$2),AND(A18+1&gt;=$AF$6,A18+1&lt;=$AF$7),AND(A18+1&gt;=$AF$3,A18+1&lt;=$AF$4),AND(A18+1&gt;=$AF$8,A18+1&lt;=$AF$9),A18+1=$AF$5),IF(NOT(ISBLANK(INDIRECT("template!"&amp;"P"&amp;A18+1))),A18+1,IF(NOT(ISBLANK(INDIRECT("template!"&amp;"P"&amp;A18+2))),A18+2,A18+3)),IF(A18=$AF$2,$AF$3,IF(A18=$AF$4,$AF$5,IF(A18=$AF$5,$AF$6,IF(A18=$AF$7,$AF$8,""))))))</f>
        <v>#REF!</v>
      </c>
      <c r="B19" t="e">
        <f t="shared" ca="1" si="0"/>
        <v>#REF!</v>
      </c>
      <c r="C19" t="e" cm="1">
        <f t="array" aca="1" ref="C19" ca="1">IF(A19="","",IF(B19="safety","safety costs",INDIRECT("template!"&amp;"B"&amp;A19)))</f>
        <v>#REF!</v>
      </c>
      <c r="D19" t="e" cm="1">
        <f t="array" aca="1" ref="D19" ca="1">IF(OR(A19="",B19="safety"),"",INDIRECT("template!"&amp;"C"&amp;A19))</f>
        <v>#REF!</v>
      </c>
      <c r="E19" t="e" cm="1">
        <f t="array" aca="1" ref="E19" ca="1">IF(A19="","",IF(OR(A19=A18+1,A19=A18+2),E18,INDIRECT("template!"&amp;"D"&amp;A19-2)))</f>
        <v>#REF!</v>
      </c>
      <c r="F19" t="e" cm="1">
        <f t="array" aca="1" ref="F19" ca="1">IF(OR(A19="",B19="safety"),"",IF(ISBLANK(IF(A19=A18+1,F18,INDIRECT("template!"&amp;"D"&amp;A19-1))),"",IF(A19=A18+1,F18,INDIRECT("template!"&amp;"D"&amp;A19-1))))</f>
        <v>#REF!</v>
      </c>
      <c r="G19" t="e" cm="1">
        <f t="array" aca="1" ref="G19" ca="1">IF(OR(A19="",B19="safety"),"",IF(ISBLANK(INDIRECT("template!"&amp;"D"&amp;A19)),"",INDIRECT("template!"&amp;"D"&amp;A19)))</f>
        <v>#REF!</v>
      </c>
      <c r="H19" t="e" cm="1">
        <f t="array" aca="1" ref="H19" ca="1">IF(OR(A19="",B19="safety"),"",IF(ISBLANK(INDIRECT("template!"&amp;"E"&amp;A19)),"",INDIRECT("template!"&amp;"E"&amp;A19)))</f>
        <v>#REF!</v>
      </c>
      <c r="I19" t="e" cm="1">
        <f t="array" aca="1" ref="I19" ca="1">IF(OR(A19="",B19="safety"),"",IF(ISBLANK(INDIRECT("template!"&amp;"F"&amp;A19)),"",INDIRECT("template!"&amp;"F"&amp;A19)))</f>
        <v>#REF!</v>
      </c>
      <c r="J19" t="e" cm="1">
        <f t="array" aca="1" ref="J19" ca="1">IF(OR(A19="",B19="safety"),"",IF(ISBLANK(INDIRECT("template!"&amp;"G"&amp;A19)),"",INDIRECT("template!"&amp;"G"&amp;A19)))</f>
        <v>#REF!</v>
      </c>
      <c r="K19" t="e" cm="1">
        <f t="array" aca="1" ref="K19" ca="1">IF(OR(A19="",B19="safety"),"",IF(ISBLANK(INDIRECT("template!"&amp;"H"&amp;A19)),"",INDIRECT("template!"&amp;"H"&amp;A19)))</f>
        <v>#REF!</v>
      </c>
      <c r="L19" t="e" cm="1">
        <f t="array" aca="1" ref="L19" ca="1">IF(OR(A19="",B19="safety"),"",INDIRECT("template!"&amp;"I"&amp;A19))</f>
        <v>#REF!</v>
      </c>
      <c r="M19" t="e" cm="1">
        <f t="array" aca="1" ref="M19" ca="1">IF(OR(A19="",B19="safety"),"",INDIRECT("template!"&amp;"J"&amp;A19))</f>
        <v>#REF!</v>
      </c>
      <c r="N19" t="e" cm="1">
        <f t="array" aca="1" ref="N19" ca="1">IF(OR(A19="",B19="safety"),"",IF(ISBLANK(INDIRECT("template!"&amp;"K"&amp;A19)),"",INDIRECT("template!"&amp;"K"&amp;A19)))</f>
        <v>#REF!</v>
      </c>
      <c r="O19" t="e" cm="1">
        <f t="array" aca="1" ref="O19" ca="1">IF(OR(A19="",B19="safety"),"",INDIRECT("template!"&amp;"L"&amp;A19))</f>
        <v>#REF!</v>
      </c>
      <c r="P19" t="e" cm="1">
        <f t="array" aca="1" ref="P19" ca="1">IF(OR(A19="",B19="safety"),"",INDIRECT("template!"&amp;"M"&amp;A19))</f>
        <v>#REF!</v>
      </c>
      <c r="Q19" t="e">
        <f t="shared" ca="1" si="1"/>
        <v>#REF!</v>
      </c>
      <c r="R19" t="e">
        <f t="shared" ca="1" si="2"/>
        <v>#REF!</v>
      </c>
      <c r="S19" t="e">
        <f t="shared" ca="1" si="3"/>
        <v>#REF!</v>
      </c>
      <c r="T19" t="e">
        <f t="shared" ca="1" si="4"/>
        <v>#REF!</v>
      </c>
      <c r="U19" t="e" cm="1">
        <f t="array" aca="1" ref="U19" ca="1">IF(A19="","",IF(E19="","",IF(B19="safety",INDIRECT("template!"&amp;"P"&amp;A19),Q19+R19)))</f>
        <v>#REF!</v>
      </c>
      <c r="V19" t="e" cm="1">
        <f t="array" aca="1" ref="V19" ca="1">IF(A19="","",IF(E19="","",IF(B19="safety",INDIRECT("template!"&amp;"P"&amp;A19),S19+T19)))</f>
        <v>#REF!</v>
      </c>
      <c r="W19" t="e">
        <f ca="1">IF(A19="","",IF(E19="","",#REF!))</f>
        <v>#REF!</v>
      </c>
      <c r="X19" t="e">
        <f ca="1">IF(A19="","",IF(E19="","",#REF!))</f>
        <v>#REF!</v>
      </c>
      <c r="Y19" s="39" t="e">
        <f ca="1">IF(A19="","",IF(E19="","",#REF!))</f>
        <v>#REF!</v>
      </c>
      <c r="Z19" t="e">
        <f ca="1">IF(A19="","",IF(E19="","",#REF!))</f>
        <v>#REF!</v>
      </c>
      <c r="AA19" t="e">
        <f ca="1">IF(A19="","",IF(E19="","",#REF!))</f>
        <v>#REF!</v>
      </c>
      <c r="AB19" t="e">
        <f ca="1">IF(A19="","",IF(E19="","",#REF!))</f>
        <v>#REF!</v>
      </c>
      <c r="AC19" t="e">
        <f t="shared" ca="1" si="5"/>
        <v>#REF!</v>
      </c>
    </row>
    <row r="20" spans="1:29" x14ac:dyDescent="0.35">
      <c r="A20" t="e" cm="1">
        <f t="array" aca="1" ref="A20" ca="1">IF(A19="","",IF(OR(AND(A19+1&gt;=$AF$1,A19+1&lt;=$AF$2),AND(A19+1&gt;=$AF$6,A19+1&lt;=$AF$7),AND(A19+1&gt;=$AF$3,A19+1&lt;=$AF$4),AND(A19+1&gt;=$AF$8,A19+1&lt;=$AF$9),A19+1=$AF$5),IF(NOT(ISBLANK(INDIRECT("template!"&amp;"P"&amp;A19+1))),A19+1,IF(NOT(ISBLANK(INDIRECT("template!"&amp;"P"&amp;A19+2))),A19+2,A19+3)),IF(A19=$AF$2,$AF$3,IF(A19=$AF$4,$AF$5,IF(A19=$AF$5,$AF$6,IF(A19=$AF$7,$AF$8,""))))))</f>
        <v>#REF!</v>
      </c>
      <c r="B20" t="e">
        <f t="shared" ca="1" si="0"/>
        <v>#REF!</v>
      </c>
      <c r="C20" t="e" cm="1">
        <f t="array" aca="1" ref="C20" ca="1">IF(A20="","",IF(B20="safety","safety costs",INDIRECT("template!"&amp;"B"&amp;A20)))</f>
        <v>#REF!</v>
      </c>
      <c r="D20" t="e" cm="1">
        <f t="array" aca="1" ref="D20" ca="1">IF(OR(A20="",B20="safety"),"",INDIRECT("template!"&amp;"C"&amp;A20))</f>
        <v>#REF!</v>
      </c>
      <c r="E20" t="e" cm="1">
        <f t="array" aca="1" ref="E20" ca="1">IF(A20="","",IF(OR(A20=A19+1,A20=A19+2),E19,INDIRECT("template!"&amp;"D"&amp;A20-2)))</f>
        <v>#REF!</v>
      </c>
      <c r="F20" t="e" cm="1">
        <f t="array" aca="1" ref="F20" ca="1">IF(OR(A20="",B20="safety"),"",IF(ISBLANK(IF(A20=A19+1,F19,INDIRECT("template!"&amp;"D"&amp;A20-1))),"",IF(A20=A19+1,F19,INDIRECT("template!"&amp;"D"&amp;A20-1))))</f>
        <v>#REF!</v>
      </c>
      <c r="G20" t="e" cm="1">
        <f t="array" aca="1" ref="G20" ca="1">IF(OR(A20="",B20="safety"),"",IF(ISBLANK(INDIRECT("template!"&amp;"D"&amp;A20)),"",INDIRECT("template!"&amp;"D"&amp;A20)))</f>
        <v>#REF!</v>
      </c>
      <c r="H20" t="e" cm="1">
        <f t="array" aca="1" ref="H20" ca="1">IF(OR(A20="",B20="safety"),"",IF(ISBLANK(INDIRECT("template!"&amp;"E"&amp;A20)),"",INDIRECT("template!"&amp;"E"&amp;A20)))</f>
        <v>#REF!</v>
      </c>
      <c r="I20" t="e" cm="1">
        <f t="array" aca="1" ref="I20" ca="1">IF(OR(A20="",B20="safety"),"",IF(ISBLANK(INDIRECT("template!"&amp;"F"&amp;A20)),"",INDIRECT("template!"&amp;"F"&amp;A20)))</f>
        <v>#REF!</v>
      </c>
      <c r="J20" t="e" cm="1">
        <f t="array" aca="1" ref="J20" ca="1">IF(OR(A20="",B20="safety"),"",IF(ISBLANK(INDIRECT("template!"&amp;"G"&amp;A20)),"",INDIRECT("template!"&amp;"G"&amp;A20)))</f>
        <v>#REF!</v>
      </c>
      <c r="K20" t="e" cm="1">
        <f t="array" aca="1" ref="K20" ca="1">IF(OR(A20="",B20="safety"),"",IF(ISBLANK(INDIRECT("template!"&amp;"H"&amp;A20)),"",INDIRECT("template!"&amp;"H"&amp;A20)))</f>
        <v>#REF!</v>
      </c>
      <c r="L20" t="e" cm="1">
        <f t="array" aca="1" ref="L20" ca="1">IF(OR(A20="",B20="safety"),"",INDIRECT("template!"&amp;"I"&amp;A20))</f>
        <v>#REF!</v>
      </c>
      <c r="M20" t="e" cm="1">
        <f t="array" aca="1" ref="M20" ca="1">IF(OR(A20="",B20="safety"),"",INDIRECT("template!"&amp;"J"&amp;A20))</f>
        <v>#REF!</v>
      </c>
      <c r="N20" t="e" cm="1">
        <f t="array" aca="1" ref="N20" ca="1">IF(OR(A20="",B20="safety"),"",IF(ISBLANK(INDIRECT("template!"&amp;"K"&amp;A20)),"",INDIRECT("template!"&amp;"K"&amp;A20)))</f>
        <v>#REF!</v>
      </c>
      <c r="O20" t="e" cm="1">
        <f t="array" aca="1" ref="O20" ca="1">IF(OR(A20="",B20="safety"),"",INDIRECT("template!"&amp;"L"&amp;A20))</f>
        <v>#REF!</v>
      </c>
      <c r="P20" t="e" cm="1">
        <f t="array" aca="1" ref="P20" ca="1">IF(OR(A20="",B20="safety"),"",INDIRECT("template!"&amp;"M"&amp;A20))</f>
        <v>#REF!</v>
      </c>
      <c r="Q20" t="e">
        <f t="shared" ca="1" si="1"/>
        <v>#REF!</v>
      </c>
      <c r="R20" t="e">
        <f t="shared" ca="1" si="2"/>
        <v>#REF!</v>
      </c>
      <c r="S20" t="e">
        <f t="shared" ca="1" si="3"/>
        <v>#REF!</v>
      </c>
      <c r="T20" t="e">
        <f t="shared" ca="1" si="4"/>
        <v>#REF!</v>
      </c>
      <c r="U20" t="e" cm="1">
        <f t="array" aca="1" ref="U20" ca="1">IF(A20="","",IF(E20="","",IF(B20="safety",INDIRECT("template!"&amp;"P"&amp;A20),Q20+R20)))</f>
        <v>#REF!</v>
      </c>
      <c r="V20" t="e" cm="1">
        <f t="array" aca="1" ref="V20" ca="1">IF(A20="","",IF(E20="","",IF(B20="safety",INDIRECT("template!"&amp;"P"&amp;A20),S20+T20)))</f>
        <v>#REF!</v>
      </c>
      <c r="W20" t="e">
        <f ca="1">IF(A20="","",IF(E20="","",#REF!))</f>
        <v>#REF!</v>
      </c>
      <c r="X20" t="e">
        <f ca="1">IF(A20="","",IF(E20="","",#REF!))</f>
        <v>#REF!</v>
      </c>
      <c r="Y20" s="39" t="e">
        <f ca="1">IF(A20="","",IF(E20="","",#REF!))</f>
        <v>#REF!</v>
      </c>
      <c r="Z20" t="e">
        <f ca="1">IF(A20="","",IF(E20="","",#REF!))</f>
        <v>#REF!</v>
      </c>
      <c r="AA20" t="e">
        <f ca="1">IF(A20="","",IF(E20="","",#REF!))</f>
        <v>#REF!</v>
      </c>
      <c r="AB20" t="e">
        <f ca="1">IF(A20="","",IF(E20="","",#REF!))</f>
        <v>#REF!</v>
      </c>
      <c r="AC20" t="e">
        <f t="shared" ca="1" si="5"/>
        <v>#REF!</v>
      </c>
    </row>
    <row r="21" spans="1:29" x14ac:dyDescent="0.35">
      <c r="A21" t="e" cm="1">
        <f t="array" aca="1" ref="A21" ca="1">IF(A20="","",IF(OR(AND(A20+1&gt;=$AF$1,A20+1&lt;=$AF$2),AND(A20+1&gt;=$AF$6,A20+1&lt;=$AF$7),AND(A20+1&gt;=$AF$3,A20+1&lt;=$AF$4),AND(A20+1&gt;=$AF$8,A20+1&lt;=$AF$9),A20+1=$AF$5),IF(NOT(ISBLANK(INDIRECT("template!"&amp;"P"&amp;A20+1))),A20+1,IF(NOT(ISBLANK(INDIRECT("template!"&amp;"P"&amp;A20+2))),A20+2,A20+3)),IF(A20=$AF$2,$AF$3,IF(A20=$AF$4,$AF$5,IF(A20=$AF$5,$AF$6,IF(A20=$AF$7,$AF$8,""))))))</f>
        <v>#REF!</v>
      </c>
      <c r="B21" t="e">
        <f t="shared" ca="1" si="0"/>
        <v>#REF!</v>
      </c>
      <c r="C21" t="e" cm="1">
        <f t="array" aca="1" ref="C21" ca="1">IF(A21="","",IF(B21="safety","safety costs",INDIRECT("template!"&amp;"B"&amp;A21)))</f>
        <v>#REF!</v>
      </c>
      <c r="D21" t="e" cm="1">
        <f t="array" aca="1" ref="D21" ca="1">IF(OR(A21="",B21="safety"),"",INDIRECT("template!"&amp;"C"&amp;A21))</f>
        <v>#REF!</v>
      </c>
      <c r="E21" t="e" cm="1">
        <f t="array" aca="1" ref="E21" ca="1">IF(A21="","",IF(OR(A21=A20+1,A21=A20+2),E20,INDIRECT("template!"&amp;"D"&amp;A21-2)))</f>
        <v>#REF!</v>
      </c>
      <c r="F21" t="e" cm="1">
        <f t="array" aca="1" ref="F21" ca="1">IF(OR(A21="",B21="safety"),"",IF(ISBLANK(IF(A21=A20+1,F20,INDIRECT("template!"&amp;"D"&amp;A21-1))),"",IF(A21=A20+1,F20,INDIRECT("template!"&amp;"D"&amp;A21-1))))</f>
        <v>#REF!</v>
      </c>
      <c r="G21" t="e" cm="1">
        <f t="array" aca="1" ref="G21" ca="1">IF(OR(A21="",B21="safety"),"",IF(ISBLANK(INDIRECT("template!"&amp;"D"&amp;A21)),"",INDIRECT("template!"&amp;"D"&amp;A21)))</f>
        <v>#REF!</v>
      </c>
      <c r="H21" t="e" cm="1">
        <f t="array" aca="1" ref="H21" ca="1">IF(OR(A21="",B21="safety"),"",IF(ISBLANK(INDIRECT("template!"&amp;"E"&amp;A21)),"",INDIRECT("template!"&amp;"E"&amp;A21)))</f>
        <v>#REF!</v>
      </c>
      <c r="I21" t="e" cm="1">
        <f t="array" aca="1" ref="I21" ca="1">IF(OR(A21="",B21="safety"),"",IF(ISBLANK(INDIRECT("template!"&amp;"F"&amp;A21)),"",INDIRECT("template!"&amp;"F"&amp;A21)))</f>
        <v>#REF!</v>
      </c>
      <c r="J21" t="e" cm="1">
        <f t="array" aca="1" ref="J21" ca="1">IF(OR(A21="",B21="safety"),"",IF(ISBLANK(INDIRECT("template!"&amp;"G"&amp;A21)),"",INDIRECT("template!"&amp;"G"&amp;A21)))</f>
        <v>#REF!</v>
      </c>
      <c r="K21" t="e" cm="1">
        <f t="array" aca="1" ref="K21" ca="1">IF(OR(A21="",B21="safety"),"",IF(ISBLANK(INDIRECT("template!"&amp;"H"&amp;A21)),"",INDIRECT("template!"&amp;"H"&amp;A21)))</f>
        <v>#REF!</v>
      </c>
      <c r="L21" t="e" cm="1">
        <f t="array" aca="1" ref="L21" ca="1">IF(OR(A21="",B21="safety"),"",INDIRECT("template!"&amp;"I"&amp;A21))</f>
        <v>#REF!</v>
      </c>
      <c r="M21" t="e" cm="1">
        <f t="array" aca="1" ref="M21" ca="1">IF(OR(A21="",B21="safety"),"",INDIRECT("template!"&amp;"J"&amp;A21))</f>
        <v>#REF!</v>
      </c>
      <c r="N21" t="e" cm="1">
        <f t="array" aca="1" ref="N21" ca="1">IF(OR(A21="",B21="safety"),"",IF(ISBLANK(INDIRECT("template!"&amp;"K"&amp;A21)),"",INDIRECT("template!"&amp;"K"&amp;A21)))</f>
        <v>#REF!</v>
      </c>
      <c r="O21" t="e" cm="1">
        <f t="array" aca="1" ref="O21" ca="1">IF(OR(A21="",B21="safety"),"",INDIRECT("template!"&amp;"L"&amp;A21))</f>
        <v>#REF!</v>
      </c>
      <c r="P21" t="e" cm="1">
        <f t="array" aca="1" ref="P21" ca="1">IF(OR(A21="",B21="safety"),"",INDIRECT("template!"&amp;"M"&amp;A21))</f>
        <v>#REF!</v>
      </c>
      <c r="Q21" t="e">
        <f t="shared" ca="1" si="1"/>
        <v>#REF!</v>
      </c>
      <c r="R21" t="e">
        <f t="shared" ca="1" si="2"/>
        <v>#REF!</v>
      </c>
      <c r="S21" t="e">
        <f t="shared" ca="1" si="3"/>
        <v>#REF!</v>
      </c>
      <c r="T21" t="e">
        <f t="shared" ca="1" si="4"/>
        <v>#REF!</v>
      </c>
      <c r="U21" t="e" cm="1">
        <f t="array" aca="1" ref="U21" ca="1">IF(A21="","",IF(E21="","",IF(B21="safety",INDIRECT("template!"&amp;"P"&amp;A21),Q21+R21)))</f>
        <v>#REF!</v>
      </c>
      <c r="V21" t="e" cm="1">
        <f t="array" aca="1" ref="V21" ca="1">IF(A21="","",IF(E21="","",IF(B21="safety",INDIRECT("template!"&amp;"P"&amp;A21),S21+T21)))</f>
        <v>#REF!</v>
      </c>
      <c r="W21" t="e">
        <f ca="1">IF(A21="","",IF(E21="","",#REF!))</f>
        <v>#REF!</v>
      </c>
      <c r="X21" t="e">
        <f ca="1">IF(A21="","",IF(E21="","",#REF!))</f>
        <v>#REF!</v>
      </c>
      <c r="Y21" s="39" t="e">
        <f ca="1">IF(A21="","",IF(E21="","",#REF!))</f>
        <v>#REF!</v>
      </c>
      <c r="Z21" t="e">
        <f ca="1">IF(A21="","",IF(E21="","",#REF!))</f>
        <v>#REF!</v>
      </c>
      <c r="AA21" t="e">
        <f ca="1">IF(A21="","",IF(E21="","",#REF!))</f>
        <v>#REF!</v>
      </c>
      <c r="AB21" t="e">
        <f ca="1">IF(A21="","",IF(E21="","",#REF!))</f>
        <v>#REF!</v>
      </c>
      <c r="AC21" t="e">
        <f t="shared" ca="1" si="5"/>
        <v>#REF!</v>
      </c>
    </row>
    <row r="22" spans="1:29" x14ac:dyDescent="0.35">
      <c r="A22" t="e" cm="1">
        <f t="array" aca="1" ref="A22" ca="1">IF(A21="","",IF(OR(AND(A21+1&gt;=$AF$1,A21+1&lt;=$AF$2),AND(A21+1&gt;=$AF$6,A21+1&lt;=$AF$7),AND(A21+1&gt;=$AF$3,A21+1&lt;=$AF$4),AND(A21+1&gt;=$AF$8,A21+1&lt;=$AF$9),A21+1=$AF$5),IF(NOT(ISBLANK(INDIRECT("template!"&amp;"P"&amp;A21+1))),A21+1,IF(NOT(ISBLANK(INDIRECT("template!"&amp;"P"&amp;A21+2))),A21+2,A21+3)),IF(A21=$AF$2,$AF$3,IF(A21=$AF$4,$AF$5,IF(A21=$AF$5,$AF$6,IF(A21=$AF$7,$AF$8,""))))))</f>
        <v>#REF!</v>
      </c>
      <c r="B22" t="e">
        <f t="shared" ca="1" si="0"/>
        <v>#REF!</v>
      </c>
      <c r="C22" t="e" cm="1">
        <f t="array" aca="1" ref="C22" ca="1">IF(A22="","",IF(B22="safety","safety costs",INDIRECT("template!"&amp;"B"&amp;A22)))</f>
        <v>#REF!</v>
      </c>
      <c r="D22" t="e" cm="1">
        <f t="array" aca="1" ref="D22" ca="1">IF(OR(A22="",B22="safety"),"",INDIRECT("template!"&amp;"C"&amp;A22))</f>
        <v>#REF!</v>
      </c>
      <c r="E22" t="e" cm="1">
        <f t="array" aca="1" ref="E22" ca="1">IF(A22="","",IF(OR(A22=A21+1,A22=A21+2),E21,INDIRECT("template!"&amp;"D"&amp;A22-2)))</f>
        <v>#REF!</v>
      </c>
      <c r="F22" t="e" cm="1">
        <f t="array" aca="1" ref="F22" ca="1">IF(OR(A22="",B22="safety"),"",IF(ISBLANK(IF(A22=A21+1,F21,INDIRECT("template!"&amp;"D"&amp;A22-1))),"",IF(A22=A21+1,F21,INDIRECT("template!"&amp;"D"&amp;A22-1))))</f>
        <v>#REF!</v>
      </c>
      <c r="G22" t="e" cm="1">
        <f t="array" aca="1" ref="G22" ca="1">IF(OR(A22="",B22="safety"),"",IF(ISBLANK(INDIRECT("template!"&amp;"D"&amp;A22)),"",INDIRECT("template!"&amp;"D"&amp;A22)))</f>
        <v>#REF!</v>
      </c>
      <c r="H22" t="e" cm="1">
        <f t="array" aca="1" ref="H22" ca="1">IF(OR(A22="",B22="safety"),"",IF(ISBLANK(INDIRECT("template!"&amp;"E"&amp;A22)),"",INDIRECT("template!"&amp;"E"&amp;A22)))</f>
        <v>#REF!</v>
      </c>
      <c r="I22" t="e" cm="1">
        <f t="array" aca="1" ref="I22" ca="1">IF(OR(A22="",B22="safety"),"",IF(ISBLANK(INDIRECT("template!"&amp;"F"&amp;A22)),"",INDIRECT("template!"&amp;"F"&amp;A22)))</f>
        <v>#REF!</v>
      </c>
      <c r="J22" t="e" cm="1">
        <f t="array" aca="1" ref="J22" ca="1">IF(OR(A22="",B22="safety"),"",IF(ISBLANK(INDIRECT("template!"&amp;"G"&amp;A22)),"",INDIRECT("template!"&amp;"G"&amp;A22)))</f>
        <v>#REF!</v>
      </c>
      <c r="K22" t="e" cm="1">
        <f t="array" aca="1" ref="K22" ca="1">IF(OR(A22="",B22="safety"),"",IF(ISBLANK(INDIRECT("template!"&amp;"H"&amp;A22)),"",INDIRECT("template!"&amp;"H"&amp;A22)))</f>
        <v>#REF!</v>
      </c>
      <c r="L22" t="e" cm="1">
        <f t="array" aca="1" ref="L22" ca="1">IF(OR(A22="",B22="safety"),"",INDIRECT("template!"&amp;"I"&amp;A22))</f>
        <v>#REF!</v>
      </c>
      <c r="M22" t="e" cm="1">
        <f t="array" aca="1" ref="M22" ca="1">IF(OR(A22="",B22="safety"),"",INDIRECT("template!"&amp;"J"&amp;A22))</f>
        <v>#REF!</v>
      </c>
      <c r="N22" t="e" cm="1">
        <f t="array" aca="1" ref="N22" ca="1">IF(OR(A22="",B22="safety"),"",IF(ISBLANK(INDIRECT("template!"&amp;"K"&amp;A22)),"",INDIRECT("template!"&amp;"K"&amp;A22)))</f>
        <v>#REF!</v>
      </c>
      <c r="O22" t="e" cm="1">
        <f t="array" aca="1" ref="O22" ca="1">IF(OR(A22="",B22="safety"),"",INDIRECT("template!"&amp;"L"&amp;A22))</f>
        <v>#REF!</v>
      </c>
      <c r="P22" t="e" cm="1">
        <f t="array" aca="1" ref="P22" ca="1">IF(OR(A22="",B22="safety"),"",INDIRECT("template!"&amp;"M"&amp;A22))</f>
        <v>#REF!</v>
      </c>
      <c r="Q22" t="e">
        <f t="shared" ca="1" si="1"/>
        <v>#REF!</v>
      </c>
      <c r="R22" t="e">
        <f t="shared" ca="1" si="2"/>
        <v>#REF!</v>
      </c>
      <c r="S22" t="e">
        <f t="shared" ca="1" si="3"/>
        <v>#REF!</v>
      </c>
      <c r="T22" t="e">
        <f t="shared" ca="1" si="4"/>
        <v>#REF!</v>
      </c>
      <c r="U22" t="e" cm="1">
        <f t="array" aca="1" ref="U22" ca="1">IF(A22="","",IF(E22="","",IF(B22="safety",INDIRECT("template!"&amp;"P"&amp;A22),Q22+R22)))</f>
        <v>#REF!</v>
      </c>
      <c r="V22" t="e" cm="1">
        <f t="array" aca="1" ref="V22" ca="1">IF(A22="","",IF(E22="","",IF(B22="safety",INDIRECT("template!"&amp;"P"&amp;A22),S22+T22)))</f>
        <v>#REF!</v>
      </c>
      <c r="W22" t="e">
        <f ca="1">IF(A22="","",IF(E22="","",#REF!))</f>
        <v>#REF!</v>
      </c>
      <c r="X22" t="e">
        <f ca="1">IF(A22="","",IF(E22="","",#REF!))</f>
        <v>#REF!</v>
      </c>
      <c r="Y22" s="39" t="e">
        <f ca="1">IF(A22="","",IF(E22="","",#REF!))</f>
        <v>#REF!</v>
      </c>
      <c r="Z22" t="e">
        <f ca="1">IF(A22="","",IF(E22="","",#REF!))</f>
        <v>#REF!</v>
      </c>
      <c r="AA22" t="e">
        <f ca="1">IF(A22="","",IF(E22="","",#REF!))</f>
        <v>#REF!</v>
      </c>
      <c r="AB22" t="e">
        <f ca="1">IF(A22="","",IF(E22="","",#REF!))</f>
        <v>#REF!</v>
      </c>
      <c r="AC22" t="e">
        <f t="shared" ca="1" si="5"/>
        <v>#REF!</v>
      </c>
    </row>
    <row r="23" spans="1:29" x14ac:dyDescent="0.35">
      <c r="A23" t="e" cm="1">
        <f t="array" aca="1" ref="A23" ca="1">IF(A22="","",IF(OR(AND(A22+1&gt;=$AF$1,A22+1&lt;=$AF$2),AND(A22+1&gt;=$AF$6,A22+1&lt;=$AF$7),AND(A22+1&gt;=$AF$3,A22+1&lt;=$AF$4),AND(A22+1&gt;=$AF$8,A22+1&lt;=$AF$9),A22+1=$AF$5),IF(NOT(ISBLANK(INDIRECT("template!"&amp;"P"&amp;A22+1))),A22+1,IF(NOT(ISBLANK(INDIRECT("template!"&amp;"P"&amp;A22+2))),A22+2,A22+3)),IF(A22=$AF$2,$AF$3,IF(A22=$AF$4,$AF$5,IF(A22=$AF$5,$AF$6,IF(A22=$AF$7,$AF$8,""))))))</f>
        <v>#REF!</v>
      </c>
      <c r="B23" t="e">
        <f t="shared" ca="1" si="0"/>
        <v>#REF!</v>
      </c>
      <c r="C23" t="e" cm="1">
        <f t="array" aca="1" ref="C23" ca="1">IF(A23="","",IF(B23="safety","safety costs",INDIRECT("template!"&amp;"B"&amp;A23)))</f>
        <v>#REF!</v>
      </c>
      <c r="D23" t="e" cm="1">
        <f t="array" aca="1" ref="D23" ca="1">IF(OR(A23="",B23="safety"),"",INDIRECT("template!"&amp;"C"&amp;A23))</f>
        <v>#REF!</v>
      </c>
      <c r="E23" t="e" cm="1">
        <f t="array" aca="1" ref="E23" ca="1">IF(A23="","",IF(OR(A23=A22+1,A23=A22+2),E22,INDIRECT("template!"&amp;"D"&amp;A23-2)))</f>
        <v>#REF!</v>
      </c>
      <c r="F23" t="e" cm="1">
        <f t="array" aca="1" ref="F23" ca="1">IF(OR(A23="",B23="safety"),"",IF(ISBLANK(IF(A23=A22+1,F22,INDIRECT("template!"&amp;"D"&amp;A23-1))),"",IF(A23=A22+1,F22,INDIRECT("template!"&amp;"D"&amp;A23-1))))</f>
        <v>#REF!</v>
      </c>
      <c r="G23" t="e" cm="1">
        <f t="array" aca="1" ref="G23" ca="1">IF(OR(A23="",B23="safety"),"",IF(ISBLANK(INDIRECT("template!"&amp;"D"&amp;A23)),"",INDIRECT("template!"&amp;"D"&amp;A23)))</f>
        <v>#REF!</v>
      </c>
      <c r="H23" t="e" cm="1">
        <f t="array" aca="1" ref="H23" ca="1">IF(OR(A23="",B23="safety"),"",IF(ISBLANK(INDIRECT("template!"&amp;"E"&amp;A23)),"",INDIRECT("template!"&amp;"E"&amp;A23)))</f>
        <v>#REF!</v>
      </c>
      <c r="I23" t="e" cm="1">
        <f t="array" aca="1" ref="I23" ca="1">IF(OR(A23="",B23="safety"),"",IF(ISBLANK(INDIRECT("template!"&amp;"F"&amp;A23)),"",INDIRECT("template!"&amp;"F"&amp;A23)))</f>
        <v>#REF!</v>
      </c>
      <c r="J23" t="e" cm="1">
        <f t="array" aca="1" ref="J23" ca="1">IF(OR(A23="",B23="safety"),"",IF(ISBLANK(INDIRECT("template!"&amp;"G"&amp;A23)),"",INDIRECT("template!"&amp;"G"&amp;A23)))</f>
        <v>#REF!</v>
      </c>
      <c r="K23" t="e" cm="1">
        <f t="array" aca="1" ref="K23" ca="1">IF(OR(A23="",B23="safety"),"",IF(ISBLANK(INDIRECT("template!"&amp;"H"&amp;A23)),"",INDIRECT("template!"&amp;"H"&amp;A23)))</f>
        <v>#REF!</v>
      </c>
      <c r="L23" t="e" cm="1">
        <f t="array" aca="1" ref="L23" ca="1">IF(OR(A23="",B23="safety"),"",INDIRECT("template!"&amp;"I"&amp;A23))</f>
        <v>#REF!</v>
      </c>
      <c r="M23" t="e" cm="1">
        <f t="array" aca="1" ref="M23" ca="1">IF(OR(A23="",B23="safety"),"",INDIRECT("template!"&amp;"J"&amp;A23))</f>
        <v>#REF!</v>
      </c>
      <c r="N23" t="e" cm="1">
        <f t="array" aca="1" ref="N23" ca="1">IF(OR(A23="",B23="safety"),"",IF(ISBLANK(INDIRECT("template!"&amp;"K"&amp;A23)),"",INDIRECT("template!"&amp;"K"&amp;A23)))</f>
        <v>#REF!</v>
      </c>
      <c r="O23" t="e" cm="1">
        <f t="array" aca="1" ref="O23" ca="1">IF(OR(A23="",B23="safety"),"",INDIRECT("template!"&amp;"L"&amp;A23))</f>
        <v>#REF!</v>
      </c>
      <c r="P23" t="e" cm="1">
        <f t="array" aca="1" ref="P23" ca="1">IF(OR(A23="",B23="safety"),"",INDIRECT("template!"&amp;"M"&amp;A23))</f>
        <v>#REF!</v>
      </c>
      <c r="Q23" t="e">
        <f t="shared" ca="1" si="1"/>
        <v>#REF!</v>
      </c>
      <c r="R23" t="e">
        <f t="shared" ca="1" si="2"/>
        <v>#REF!</v>
      </c>
      <c r="S23" t="e">
        <f t="shared" ca="1" si="3"/>
        <v>#REF!</v>
      </c>
      <c r="T23" t="e">
        <f t="shared" ca="1" si="4"/>
        <v>#REF!</v>
      </c>
      <c r="U23" t="e" cm="1">
        <f t="array" aca="1" ref="U23" ca="1">IF(A23="","",IF(E23="","",IF(B23="safety",INDIRECT("template!"&amp;"P"&amp;A23),Q23+R23)))</f>
        <v>#REF!</v>
      </c>
      <c r="V23" t="e" cm="1">
        <f t="array" aca="1" ref="V23" ca="1">IF(A23="","",IF(E23="","",IF(B23="safety",INDIRECT("template!"&amp;"P"&amp;A23),S23+T23)))</f>
        <v>#REF!</v>
      </c>
      <c r="W23" t="e">
        <f ca="1">IF(A23="","",IF(E23="","",#REF!))</f>
        <v>#REF!</v>
      </c>
      <c r="X23" t="e">
        <f ca="1">IF(A23="","",IF(E23="","",#REF!))</f>
        <v>#REF!</v>
      </c>
      <c r="Y23" s="39" t="e">
        <f ca="1">IF(A23="","",IF(E23="","",#REF!))</f>
        <v>#REF!</v>
      </c>
      <c r="Z23" t="e">
        <f ca="1">IF(A23="","",IF(E23="","",#REF!))</f>
        <v>#REF!</v>
      </c>
      <c r="AA23" t="e">
        <f ca="1">IF(A23="","",IF(E23="","",#REF!))</f>
        <v>#REF!</v>
      </c>
      <c r="AB23" t="e">
        <f ca="1">IF(A23="","",IF(E23="","",#REF!))</f>
        <v>#REF!</v>
      </c>
      <c r="AC23" t="e">
        <f t="shared" ca="1" si="5"/>
        <v>#REF!</v>
      </c>
    </row>
    <row r="24" spans="1:29" x14ac:dyDescent="0.35">
      <c r="A24" t="e" cm="1">
        <f t="array" aca="1" ref="A24" ca="1">IF(A23="","",IF(OR(AND(A23+1&gt;=$AF$1,A23+1&lt;=$AF$2),AND(A23+1&gt;=$AF$6,A23+1&lt;=$AF$7),AND(A23+1&gt;=$AF$3,A23+1&lt;=$AF$4),AND(A23+1&gt;=$AF$8,A23+1&lt;=$AF$9),A23+1=$AF$5),IF(NOT(ISBLANK(INDIRECT("template!"&amp;"P"&amp;A23+1))),A23+1,IF(NOT(ISBLANK(INDIRECT("template!"&amp;"P"&amp;A23+2))),A23+2,A23+3)),IF(A23=$AF$2,$AF$3,IF(A23=$AF$4,$AF$5,IF(A23=$AF$5,$AF$6,IF(A23=$AF$7,$AF$8,""))))))</f>
        <v>#REF!</v>
      </c>
      <c r="B24" t="e">
        <f t="shared" ca="1" si="0"/>
        <v>#REF!</v>
      </c>
      <c r="C24" t="e" cm="1">
        <f t="array" aca="1" ref="C24" ca="1">IF(A24="","",IF(B24="safety","safety costs",INDIRECT("template!"&amp;"B"&amp;A24)))</f>
        <v>#REF!</v>
      </c>
      <c r="D24" t="e" cm="1">
        <f t="array" aca="1" ref="D24" ca="1">IF(OR(A24="",B24="safety"),"",INDIRECT("template!"&amp;"C"&amp;A24))</f>
        <v>#REF!</v>
      </c>
      <c r="E24" t="e" cm="1">
        <f t="array" aca="1" ref="E24" ca="1">IF(A24="","",IF(OR(A24=A23+1,A24=A23+2),E23,INDIRECT("template!"&amp;"D"&amp;A24-2)))</f>
        <v>#REF!</v>
      </c>
      <c r="F24" t="e" cm="1">
        <f t="array" aca="1" ref="F24" ca="1">IF(OR(A24="",B24="safety"),"",IF(ISBLANK(IF(A24=A23+1,F23,INDIRECT("template!"&amp;"D"&amp;A24-1))),"",IF(A24=A23+1,F23,INDIRECT("template!"&amp;"D"&amp;A24-1))))</f>
        <v>#REF!</v>
      </c>
      <c r="G24" t="e" cm="1">
        <f t="array" aca="1" ref="G24" ca="1">IF(OR(A24="",B24="safety"),"",IF(ISBLANK(INDIRECT("template!"&amp;"D"&amp;A24)),"",INDIRECT("template!"&amp;"D"&amp;A24)))</f>
        <v>#REF!</v>
      </c>
      <c r="H24" t="e" cm="1">
        <f t="array" aca="1" ref="H24" ca="1">IF(OR(A24="",B24="safety"),"",IF(ISBLANK(INDIRECT("template!"&amp;"E"&amp;A24)),"",INDIRECT("template!"&amp;"E"&amp;A24)))</f>
        <v>#REF!</v>
      </c>
      <c r="I24" t="e" cm="1">
        <f t="array" aca="1" ref="I24" ca="1">IF(OR(A24="",B24="safety"),"",IF(ISBLANK(INDIRECT("template!"&amp;"F"&amp;A24)),"",INDIRECT("template!"&amp;"F"&amp;A24)))</f>
        <v>#REF!</v>
      </c>
      <c r="J24" t="e" cm="1">
        <f t="array" aca="1" ref="J24" ca="1">IF(OR(A24="",B24="safety"),"",IF(ISBLANK(INDIRECT("template!"&amp;"G"&amp;A24)),"",INDIRECT("template!"&amp;"G"&amp;A24)))</f>
        <v>#REF!</v>
      </c>
      <c r="K24" t="e" cm="1">
        <f t="array" aca="1" ref="K24" ca="1">IF(OR(A24="",B24="safety"),"",IF(ISBLANK(INDIRECT("template!"&amp;"H"&amp;A24)),"",INDIRECT("template!"&amp;"H"&amp;A24)))</f>
        <v>#REF!</v>
      </c>
      <c r="L24" t="e" cm="1">
        <f t="array" aca="1" ref="L24" ca="1">IF(OR(A24="",B24="safety"),"",INDIRECT("template!"&amp;"I"&amp;A24))</f>
        <v>#REF!</v>
      </c>
      <c r="M24" t="e" cm="1">
        <f t="array" aca="1" ref="M24" ca="1">IF(OR(A24="",B24="safety"),"",INDIRECT("template!"&amp;"J"&amp;A24))</f>
        <v>#REF!</v>
      </c>
      <c r="N24" t="e" cm="1">
        <f t="array" aca="1" ref="N24" ca="1">IF(OR(A24="",B24="safety"),"",IF(ISBLANK(INDIRECT("template!"&amp;"K"&amp;A24)),"",INDIRECT("template!"&amp;"K"&amp;A24)))</f>
        <v>#REF!</v>
      </c>
      <c r="O24" t="e" cm="1">
        <f t="array" aca="1" ref="O24" ca="1">IF(OR(A24="",B24="safety"),"",INDIRECT("template!"&amp;"L"&amp;A24))</f>
        <v>#REF!</v>
      </c>
      <c r="P24" t="e" cm="1">
        <f t="array" aca="1" ref="P24" ca="1">IF(OR(A24="",B24="safety"),"",INDIRECT("template!"&amp;"M"&amp;A24))</f>
        <v>#REF!</v>
      </c>
      <c r="Q24" t="e">
        <f t="shared" ca="1" si="1"/>
        <v>#REF!</v>
      </c>
      <c r="R24" t="e">
        <f t="shared" ca="1" si="2"/>
        <v>#REF!</v>
      </c>
      <c r="S24" t="e">
        <f t="shared" ca="1" si="3"/>
        <v>#REF!</v>
      </c>
      <c r="T24" t="e">
        <f t="shared" ca="1" si="4"/>
        <v>#REF!</v>
      </c>
      <c r="U24" t="e" cm="1">
        <f t="array" aca="1" ref="U24" ca="1">IF(A24="","",IF(E24="","",IF(B24="safety",INDIRECT("template!"&amp;"P"&amp;A24),Q24+R24)))</f>
        <v>#REF!</v>
      </c>
      <c r="V24" t="e" cm="1">
        <f t="array" aca="1" ref="V24" ca="1">IF(A24="","",IF(E24="","",IF(B24="safety",INDIRECT("template!"&amp;"P"&amp;A24),S24+T24)))</f>
        <v>#REF!</v>
      </c>
      <c r="W24" t="e">
        <f ca="1">IF(A24="","",IF(E24="","",#REF!))</f>
        <v>#REF!</v>
      </c>
      <c r="X24" t="e">
        <f ca="1">IF(A24="","",IF(E24="","",#REF!))</f>
        <v>#REF!</v>
      </c>
      <c r="Y24" s="39" t="e">
        <f ca="1">IF(A24="","",IF(E24="","",#REF!))</f>
        <v>#REF!</v>
      </c>
      <c r="Z24" t="e">
        <f ca="1">IF(A24="","",IF(E24="","",#REF!))</f>
        <v>#REF!</v>
      </c>
      <c r="AA24" t="e">
        <f ca="1">IF(A24="","",IF(E24="","",#REF!))</f>
        <v>#REF!</v>
      </c>
      <c r="AB24" t="e">
        <f ca="1">IF(A24="","",IF(E24="","",#REF!))</f>
        <v>#REF!</v>
      </c>
      <c r="AC24" t="e">
        <f t="shared" ca="1" si="5"/>
        <v>#REF!</v>
      </c>
    </row>
    <row r="25" spans="1:29" x14ac:dyDescent="0.35">
      <c r="A25" t="e" cm="1">
        <f t="array" aca="1" ref="A25" ca="1">IF(A24="","",IF(OR(AND(A24+1&gt;=$AF$1,A24+1&lt;=$AF$2),AND(A24+1&gt;=$AF$6,A24+1&lt;=$AF$7),AND(A24+1&gt;=$AF$3,A24+1&lt;=$AF$4),AND(A24+1&gt;=$AF$8,A24+1&lt;=$AF$9),A24+1=$AF$5),IF(NOT(ISBLANK(INDIRECT("template!"&amp;"P"&amp;A24+1))),A24+1,IF(NOT(ISBLANK(INDIRECT("template!"&amp;"P"&amp;A24+2))),A24+2,A24+3)),IF(A24=$AF$2,$AF$3,IF(A24=$AF$4,$AF$5,IF(A24=$AF$5,$AF$6,IF(A24=$AF$7,$AF$8,""))))))</f>
        <v>#REF!</v>
      </c>
      <c r="B25" t="e">
        <f t="shared" ca="1" si="0"/>
        <v>#REF!</v>
      </c>
      <c r="C25" t="e" cm="1">
        <f t="array" aca="1" ref="C25" ca="1">IF(A25="","",IF(B25="safety","safety costs",INDIRECT("template!"&amp;"B"&amp;A25)))</f>
        <v>#REF!</v>
      </c>
      <c r="D25" t="e" cm="1">
        <f t="array" aca="1" ref="D25" ca="1">IF(OR(A25="",B25="safety"),"",INDIRECT("template!"&amp;"C"&amp;A25))</f>
        <v>#REF!</v>
      </c>
      <c r="E25" t="e" cm="1">
        <f t="array" aca="1" ref="E25" ca="1">IF(A25="","",IF(OR(A25=A24+1,A25=A24+2),E24,INDIRECT("template!"&amp;"D"&amp;A25-2)))</f>
        <v>#REF!</v>
      </c>
      <c r="F25" t="e" cm="1">
        <f t="array" aca="1" ref="F25" ca="1">IF(OR(A25="",B25="safety"),"",IF(ISBLANK(IF(A25=A24+1,F24,INDIRECT("template!"&amp;"D"&amp;A25-1))),"",IF(A25=A24+1,F24,INDIRECT("template!"&amp;"D"&amp;A25-1))))</f>
        <v>#REF!</v>
      </c>
      <c r="G25" t="e" cm="1">
        <f t="array" aca="1" ref="G25" ca="1">IF(OR(A25="",B25="safety"),"",IF(ISBLANK(INDIRECT("template!"&amp;"D"&amp;A25)),"",INDIRECT("template!"&amp;"D"&amp;A25)))</f>
        <v>#REF!</v>
      </c>
      <c r="H25" t="e" cm="1">
        <f t="array" aca="1" ref="H25" ca="1">IF(OR(A25="",B25="safety"),"",IF(ISBLANK(INDIRECT("template!"&amp;"E"&amp;A25)),"",INDIRECT("template!"&amp;"E"&amp;A25)))</f>
        <v>#REF!</v>
      </c>
      <c r="I25" t="e" cm="1">
        <f t="array" aca="1" ref="I25" ca="1">IF(OR(A25="",B25="safety"),"",IF(ISBLANK(INDIRECT("template!"&amp;"F"&amp;A25)),"",INDIRECT("template!"&amp;"F"&amp;A25)))</f>
        <v>#REF!</v>
      </c>
      <c r="J25" t="e" cm="1">
        <f t="array" aca="1" ref="J25" ca="1">IF(OR(A25="",B25="safety"),"",IF(ISBLANK(INDIRECT("template!"&amp;"G"&amp;A25)),"",INDIRECT("template!"&amp;"G"&amp;A25)))</f>
        <v>#REF!</v>
      </c>
      <c r="K25" t="e" cm="1">
        <f t="array" aca="1" ref="K25" ca="1">IF(OR(A25="",B25="safety"),"",IF(ISBLANK(INDIRECT("template!"&amp;"H"&amp;A25)),"",INDIRECT("template!"&amp;"H"&amp;A25)))</f>
        <v>#REF!</v>
      </c>
      <c r="L25" t="e" cm="1">
        <f t="array" aca="1" ref="L25" ca="1">IF(OR(A25="",B25="safety"),"",INDIRECT("template!"&amp;"I"&amp;A25))</f>
        <v>#REF!</v>
      </c>
      <c r="M25" t="e" cm="1">
        <f t="array" aca="1" ref="M25" ca="1">IF(OR(A25="",B25="safety"),"",INDIRECT("template!"&amp;"J"&amp;A25))</f>
        <v>#REF!</v>
      </c>
      <c r="N25" t="e" cm="1">
        <f t="array" aca="1" ref="N25" ca="1">IF(OR(A25="",B25="safety"),"",IF(ISBLANK(INDIRECT("template!"&amp;"K"&amp;A25)),"",INDIRECT("template!"&amp;"K"&amp;A25)))</f>
        <v>#REF!</v>
      </c>
      <c r="O25" t="e" cm="1">
        <f t="array" aca="1" ref="O25" ca="1">IF(OR(A25="",B25="safety"),"",INDIRECT("template!"&amp;"L"&amp;A25))</f>
        <v>#REF!</v>
      </c>
      <c r="P25" t="e" cm="1">
        <f t="array" aca="1" ref="P25" ca="1">IF(OR(A25="",B25="safety"),"",INDIRECT("template!"&amp;"M"&amp;A25))</f>
        <v>#REF!</v>
      </c>
      <c r="Q25" t="e">
        <f t="shared" ca="1" si="1"/>
        <v>#REF!</v>
      </c>
      <c r="R25" t="e">
        <f t="shared" ca="1" si="2"/>
        <v>#REF!</v>
      </c>
      <c r="S25" t="e">
        <f t="shared" ca="1" si="3"/>
        <v>#REF!</v>
      </c>
      <c r="T25" t="e">
        <f t="shared" ca="1" si="4"/>
        <v>#REF!</v>
      </c>
      <c r="U25" t="e" cm="1">
        <f t="array" aca="1" ref="U25" ca="1">IF(A25="","",IF(E25="","",IF(B25="safety",INDIRECT("template!"&amp;"P"&amp;A25),Q25+R25)))</f>
        <v>#REF!</v>
      </c>
      <c r="V25" t="e" cm="1">
        <f t="array" aca="1" ref="V25" ca="1">IF(A25="","",IF(E25="","",IF(B25="safety",INDIRECT("template!"&amp;"P"&amp;A25),S25+T25)))</f>
        <v>#REF!</v>
      </c>
      <c r="W25" t="e">
        <f ca="1">IF(A25="","",IF(E25="","",#REF!))</f>
        <v>#REF!</v>
      </c>
      <c r="X25" t="e">
        <f ca="1">IF(A25="","",IF(E25="","",#REF!))</f>
        <v>#REF!</v>
      </c>
      <c r="Y25" s="39" t="e">
        <f ca="1">IF(A25="","",IF(E25="","",#REF!))</f>
        <v>#REF!</v>
      </c>
      <c r="Z25" t="e">
        <f ca="1">IF(A25="","",IF(E25="","",#REF!))</f>
        <v>#REF!</v>
      </c>
      <c r="AA25" t="e">
        <f ca="1">IF(A25="","",IF(E25="","",#REF!))</f>
        <v>#REF!</v>
      </c>
      <c r="AB25" t="e">
        <f ca="1">IF(A25="","",IF(E25="","",#REF!))</f>
        <v>#REF!</v>
      </c>
      <c r="AC25" t="e">
        <f t="shared" ca="1" si="5"/>
        <v>#REF!</v>
      </c>
    </row>
    <row r="26" spans="1:29" x14ac:dyDescent="0.35">
      <c r="A26" t="e" cm="1">
        <f t="array" aca="1" ref="A26" ca="1">IF(A25="","",IF(OR(AND(A25+1&gt;=$AF$1,A25+1&lt;=$AF$2),AND(A25+1&gt;=$AF$6,A25+1&lt;=$AF$7),AND(A25+1&gt;=$AF$3,A25+1&lt;=$AF$4),AND(A25+1&gt;=$AF$8,A25+1&lt;=$AF$9),A25+1=$AF$5),IF(NOT(ISBLANK(INDIRECT("template!"&amp;"P"&amp;A25+1))),A25+1,IF(NOT(ISBLANK(INDIRECT("template!"&amp;"P"&amp;A25+2))),A25+2,A25+3)),IF(A25=$AF$2,$AF$3,IF(A25=$AF$4,$AF$5,IF(A25=$AF$5,$AF$6,IF(A25=$AF$7,$AF$8,""))))))</f>
        <v>#REF!</v>
      </c>
      <c r="B26" t="e">
        <f t="shared" ca="1" si="0"/>
        <v>#REF!</v>
      </c>
      <c r="C26" t="e" cm="1">
        <f t="array" aca="1" ref="C26" ca="1">IF(A26="","",IF(B26="safety","safety costs",INDIRECT("template!"&amp;"B"&amp;A26)))</f>
        <v>#REF!</v>
      </c>
      <c r="D26" t="e" cm="1">
        <f t="array" aca="1" ref="D26" ca="1">IF(OR(A26="",B26="safety"),"",INDIRECT("template!"&amp;"C"&amp;A26))</f>
        <v>#REF!</v>
      </c>
      <c r="E26" t="e" cm="1">
        <f t="array" aca="1" ref="E26" ca="1">IF(A26="","",IF(OR(A26=A25+1,A26=A25+2),E25,INDIRECT("template!"&amp;"D"&amp;A26-2)))</f>
        <v>#REF!</v>
      </c>
      <c r="F26" t="e" cm="1">
        <f t="array" aca="1" ref="F26" ca="1">IF(OR(A26="",B26="safety"),"",IF(ISBLANK(IF(A26=A25+1,F25,INDIRECT("template!"&amp;"D"&amp;A26-1))),"",IF(A26=A25+1,F25,INDIRECT("template!"&amp;"D"&amp;A26-1))))</f>
        <v>#REF!</v>
      </c>
      <c r="G26" t="e" cm="1">
        <f t="array" aca="1" ref="G26" ca="1">IF(OR(A26="",B26="safety"),"",IF(ISBLANK(INDIRECT("template!"&amp;"D"&amp;A26)),"",INDIRECT("template!"&amp;"D"&amp;A26)))</f>
        <v>#REF!</v>
      </c>
      <c r="H26" t="e" cm="1">
        <f t="array" aca="1" ref="H26" ca="1">IF(OR(A26="",B26="safety"),"",IF(ISBLANK(INDIRECT("template!"&amp;"E"&amp;A26)),"",INDIRECT("template!"&amp;"E"&amp;A26)))</f>
        <v>#REF!</v>
      </c>
      <c r="I26" t="e" cm="1">
        <f t="array" aca="1" ref="I26" ca="1">IF(OR(A26="",B26="safety"),"",IF(ISBLANK(INDIRECT("template!"&amp;"F"&amp;A26)),"",INDIRECT("template!"&amp;"F"&amp;A26)))</f>
        <v>#REF!</v>
      </c>
      <c r="J26" t="e" cm="1">
        <f t="array" aca="1" ref="J26" ca="1">IF(OR(A26="",B26="safety"),"",IF(ISBLANK(INDIRECT("template!"&amp;"G"&amp;A26)),"",INDIRECT("template!"&amp;"G"&amp;A26)))</f>
        <v>#REF!</v>
      </c>
      <c r="K26" t="e" cm="1">
        <f t="array" aca="1" ref="K26" ca="1">IF(OR(A26="",B26="safety"),"",IF(ISBLANK(INDIRECT("template!"&amp;"H"&amp;A26)),"",INDIRECT("template!"&amp;"H"&amp;A26)))</f>
        <v>#REF!</v>
      </c>
      <c r="L26" t="e" cm="1">
        <f t="array" aca="1" ref="L26" ca="1">IF(OR(A26="",B26="safety"),"",INDIRECT("template!"&amp;"I"&amp;A26))</f>
        <v>#REF!</v>
      </c>
      <c r="M26" t="e" cm="1">
        <f t="array" aca="1" ref="M26" ca="1">IF(OR(A26="",B26="safety"),"",INDIRECT("template!"&amp;"J"&amp;A26))</f>
        <v>#REF!</v>
      </c>
      <c r="N26" t="e" cm="1">
        <f t="array" aca="1" ref="N26" ca="1">IF(OR(A26="",B26="safety"),"",IF(ISBLANK(INDIRECT("template!"&amp;"K"&amp;A26)),"",INDIRECT("template!"&amp;"K"&amp;A26)))</f>
        <v>#REF!</v>
      </c>
      <c r="O26" t="e" cm="1">
        <f t="array" aca="1" ref="O26" ca="1">IF(OR(A26="",B26="safety"),"",INDIRECT("template!"&amp;"L"&amp;A26))</f>
        <v>#REF!</v>
      </c>
      <c r="P26" t="e" cm="1">
        <f t="array" aca="1" ref="P26" ca="1">IF(OR(A26="",B26="safety"),"",INDIRECT("template!"&amp;"M"&amp;A26))</f>
        <v>#REF!</v>
      </c>
      <c r="Q26" t="e">
        <f t="shared" ca="1" si="1"/>
        <v>#REF!</v>
      </c>
      <c r="R26" t="e">
        <f t="shared" ca="1" si="2"/>
        <v>#REF!</v>
      </c>
      <c r="S26" t="e">
        <f t="shared" ca="1" si="3"/>
        <v>#REF!</v>
      </c>
      <c r="T26" t="e">
        <f t="shared" ca="1" si="4"/>
        <v>#REF!</v>
      </c>
      <c r="U26" t="e" cm="1">
        <f t="array" aca="1" ref="U26" ca="1">IF(A26="","",IF(E26="","",IF(B26="safety",INDIRECT("template!"&amp;"P"&amp;A26),Q26+R26)))</f>
        <v>#REF!</v>
      </c>
      <c r="V26" t="e" cm="1">
        <f t="array" aca="1" ref="V26" ca="1">IF(A26="","",IF(E26="","",IF(B26="safety",INDIRECT("template!"&amp;"P"&amp;A26),S26+T26)))</f>
        <v>#REF!</v>
      </c>
      <c r="W26" t="e">
        <f ca="1">IF(A26="","",IF(E26="","",#REF!))</f>
        <v>#REF!</v>
      </c>
      <c r="X26" t="e">
        <f ca="1">IF(A26="","",IF(E26="","",#REF!))</f>
        <v>#REF!</v>
      </c>
      <c r="Y26" s="39" t="e">
        <f ca="1">IF(A26="","",IF(E26="","",#REF!))</f>
        <v>#REF!</v>
      </c>
      <c r="Z26" t="e">
        <f ca="1">IF(A26="","",IF(E26="","",#REF!))</f>
        <v>#REF!</v>
      </c>
      <c r="AA26" t="e">
        <f ca="1">IF(A26="","",IF(E26="","",#REF!))</f>
        <v>#REF!</v>
      </c>
      <c r="AB26" t="e">
        <f ca="1">IF(A26="","",IF(E26="","",#REF!))</f>
        <v>#REF!</v>
      </c>
      <c r="AC26" t="e">
        <f t="shared" ca="1" si="5"/>
        <v>#REF!</v>
      </c>
    </row>
    <row r="27" spans="1:29" x14ac:dyDescent="0.35">
      <c r="A27" t="e" cm="1">
        <f t="array" aca="1" ref="A27" ca="1">IF(A26="","",IF(OR(AND(A26+1&gt;=$AF$1,A26+1&lt;=$AF$2),AND(A26+1&gt;=$AF$6,A26+1&lt;=$AF$7),AND(A26+1&gt;=$AF$3,A26+1&lt;=$AF$4),AND(A26+1&gt;=$AF$8,A26+1&lt;=$AF$9),A26+1=$AF$5),IF(NOT(ISBLANK(INDIRECT("template!"&amp;"P"&amp;A26+1))),A26+1,IF(NOT(ISBLANK(INDIRECT("template!"&amp;"P"&amp;A26+2))),A26+2,A26+3)),IF(A26=$AF$2,$AF$3,IF(A26=$AF$4,$AF$5,IF(A26=$AF$5,$AF$6,IF(A26=$AF$7,$AF$8,""))))))</f>
        <v>#REF!</v>
      </c>
      <c r="B27" t="e">
        <f t="shared" ca="1" si="0"/>
        <v>#REF!</v>
      </c>
      <c r="C27" t="e" cm="1">
        <f t="array" aca="1" ref="C27" ca="1">IF(A27="","",IF(B27="safety","safety costs",INDIRECT("template!"&amp;"B"&amp;A27)))</f>
        <v>#REF!</v>
      </c>
      <c r="D27" t="e" cm="1">
        <f t="array" aca="1" ref="D27" ca="1">IF(OR(A27="",B27="safety"),"",INDIRECT("template!"&amp;"C"&amp;A27))</f>
        <v>#REF!</v>
      </c>
      <c r="E27" t="e" cm="1">
        <f t="array" aca="1" ref="E27" ca="1">IF(A27="","",IF(OR(A27=A26+1,A27=A26+2),E26,INDIRECT("template!"&amp;"D"&amp;A27-2)))</f>
        <v>#REF!</v>
      </c>
      <c r="F27" t="e" cm="1">
        <f t="array" aca="1" ref="F27" ca="1">IF(OR(A27="",B27="safety"),"",IF(ISBLANK(IF(A27=A26+1,F26,INDIRECT("template!"&amp;"D"&amp;A27-1))),"",IF(A27=A26+1,F26,INDIRECT("template!"&amp;"D"&amp;A27-1))))</f>
        <v>#REF!</v>
      </c>
      <c r="G27" t="e" cm="1">
        <f t="array" aca="1" ref="G27" ca="1">IF(OR(A27="",B27="safety"),"",IF(ISBLANK(INDIRECT("template!"&amp;"D"&amp;A27)),"",INDIRECT("template!"&amp;"D"&amp;A27)))</f>
        <v>#REF!</v>
      </c>
      <c r="H27" t="e" cm="1">
        <f t="array" aca="1" ref="H27" ca="1">IF(OR(A27="",B27="safety"),"",IF(ISBLANK(INDIRECT("template!"&amp;"E"&amp;A27)),"",INDIRECT("template!"&amp;"E"&amp;A27)))</f>
        <v>#REF!</v>
      </c>
      <c r="I27" t="e" cm="1">
        <f t="array" aca="1" ref="I27" ca="1">IF(OR(A27="",B27="safety"),"",IF(ISBLANK(INDIRECT("template!"&amp;"F"&amp;A27)),"",INDIRECT("template!"&amp;"F"&amp;A27)))</f>
        <v>#REF!</v>
      </c>
      <c r="J27" t="e" cm="1">
        <f t="array" aca="1" ref="J27" ca="1">IF(OR(A27="",B27="safety"),"",IF(ISBLANK(INDIRECT("template!"&amp;"G"&amp;A27)),"",INDIRECT("template!"&amp;"G"&amp;A27)))</f>
        <v>#REF!</v>
      </c>
      <c r="K27" t="e" cm="1">
        <f t="array" aca="1" ref="K27" ca="1">IF(OR(A27="",B27="safety"),"",IF(ISBLANK(INDIRECT("template!"&amp;"H"&amp;A27)),"",INDIRECT("template!"&amp;"H"&amp;A27)))</f>
        <v>#REF!</v>
      </c>
      <c r="L27" t="e" cm="1">
        <f t="array" aca="1" ref="L27" ca="1">IF(OR(A27="",B27="safety"),"",INDIRECT("template!"&amp;"I"&amp;A27))</f>
        <v>#REF!</v>
      </c>
      <c r="M27" t="e" cm="1">
        <f t="array" aca="1" ref="M27" ca="1">IF(OR(A27="",B27="safety"),"",INDIRECT("template!"&amp;"J"&amp;A27))</f>
        <v>#REF!</v>
      </c>
      <c r="N27" t="e" cm="1">
        <f t="array" aca="1" ref="N27" ca="1">IF(OR(A27="",B27="safety"),"",IF(ISBLANK(INDIRECT("template!"&amp;"K"&amp;A27)),"",INDIRECT("template!"&amp;"K"&amp;A27)))</f>
        <v>#REF!</v>
      </c>
      <c r="O27" t="e" cm="1">
        <f t="array" aca="1" ref="O27" ca="1">IF(OR(A27="",B27="safety"),"",INDIRECT("template!"&amp;"L"&amp;A27))</f>
        <v>#REF!</v>
      </c>
      <c r="P27" t="e" cm="1">
        <f t="array" aca="1" ref="P27" ca="1">IF(OR(A27="",B27="safety"),"",INDIRECT("template!"&amp;"M"&amp;A27))</f>
        <v>#REF!</v>
      </c>
      <c r="Q27" t="e">
        <f t="shared" ca="1" si="1"/>
        <v>#REF!</v>
      </c>
      <c r="R27" t="e">
        <f t="shared" ca="1" si="2"/>
        <v>#REF!</v>
      </c>
      <c r="S27" t="e">
        <f t="shared" ca="1" si="3"/>
        <v>#REF!</v>
      </c>
      <c r="T27" t="e">
        <f t="shared" ca="1" si="4"/>
        <v>#REF!</v>
      </c>
      <c r="U27" t="e" cm="1">
        <f t="array" aca="1" ref="U27" ca="1">IF(A27="","",IF(E27="","",IF(B27="safety",INDIRECT("template!"&amp;"P"&amp;A27),Q27+R27)))</f>
        <v>#REF!</v>
      </c>
      <c r="V27" t="e" cm="1">
        <f t="array" aca="1" ref="V27" ca="1">IF(A27="","",IF(E27="","",IF(B27="safety",INDIRECT("template!"&amp;"P"&amp;A27),S27+T27)))</f>
        <v>#REF!</v>
      </c>
      <c r="W27" t="e">
        <f ca="1">IF(A27="","",IF(E27="","",#REF!))</f>
        <v>#REF!</v>
      </c>
      <c r="X27" t="e">
        <f ca="1">IF(A27="","",IF(E27="","",#REF!))</f>
        <v>#REF!</v>
      </c>
      <c r="Y27" s="39" t="e">
        <f ca="1">IF(A27="","",IF(E27="","",#REF!))</f>
        <v>#REF!</v>
      </c>
      <c r="Z27" t="e">
        <f ca="1">IF(A27="","",IF(E27="","",#REF!))</f>
        <v>#REF!</v>
      </c>
      <c r="AA27" t="e">
        <f ca="1">IF(A27="","",IF(E27="","",#REF!))</f>
        <v>#REF!</v>
      </c>
      <c r="AB27" t="e">
        <f ca="1">IF(A27="","",IF(E27="","",#REF!))</f>
        <v>#REF!</v>
      </c>
      <c r="AC27" t="e">
        <f t="shared" ca="1" si="5"/>
        <v>#REF!</v>
      </c>
    </row>
    <row r="28" spans="1:29" x14ac:dyDescent="0.35">
      <c r="A28" t="e" cm="1">
        <f t="array" aca="1" ref="A28" ca="1">IF(A27="","",IF(OR(AND(A27+1&gt;=$AF$1,A27+1&lt;=$AF$2),AND(A27+1&gt;=$AF$6,A27+1&lt;=$AF$7),AND(A27+1&gt;=$AF$3,A27+1&lt;=$AF$4),AND(A27+1&gt;=$AF$8,A27+1&lt;=$AF$9),A27+1=$AF$5),IF(NOT(ISBLANK(INDIRECT("template!"&amp;"P"&amp;A27+1))),A27+1,IF(NOT(ISBLANK(INDIRECT("template!"&amp;"P"&amp;A27+2))),A27+2,A27+3)),IF(A27=$AF$2,$AF$3,IF(A27=$AF$4,$AF$5,IF(A27=$AF$5,$AF$6,IF(A27=$AF$7,$AF$8,""))))))</f>
        <v>#REF!</v>
      </c>
      <c r="B28" t="e">
        <f t="shared" ca="1" si="0"/>
        <v>#REF!</v>
      </c>
      <c r="C28" t="e" cm="1">
        <f t="array" aca="1" ref="C28" ca="1">IF(A28="","",IF(B28="safety","safety costs",INDIRECT("template!"&amp;"B"&amp;A28)))</f>
        <v>#REF!</v>
      </c>
      <c r="D28" t="e" cm="1">
        <f t="array" aca="1" ref="D28" ca="1">IF(OR(A28="",B28="safety"),"",INDIRECT("template!"&amp;"C"&amp;A28))</f>
        <v>#REF!</v>
      </c>
      <c r="E28" t="e" cm="1">
        <f t="array" aca="1" ref="E28" ca="1">IF(A28="","",IF(OR(A28=A27+1,A28=A27+2),E27,INDIRECT("template!"&amp;"D"&amp;A28-2)))</f>
        <v>#REF!</v>
      </c>
      <c r="F28" t="e" cm="1">
        <f t="array" aca="1" ref="F28" ca="1">IF(OR(A28="",B28="safety"),"",IF(ISBLANK(IF(A28=A27+1,F27,INDIRECT("template!"&amp;"D"&amp;A28-1))),"",IF(A28=A27+1,F27,INDIRECT("template!"&amp;"D"&amp;A28-1))))</f>
        <v>#REF!</v>
      </c>
      <c r="G28" t="e" cm="1">
        <f t="array" aca="1" ref="G28" ca="1">IF(OR(A28="",B28="safety"),"",IF(ISBLANK(INDIRECT("template!"&amp;"D"&amp;A28)),"",INDIRECT("template!"&amp;"D"&amp;A28)))</f>
        <v>#REF!</v>
      </c>
      <c r="H28" t="e" cm="1">
        <f t="array" aca="1" ref="H28" ca="1">IF(OR(A28="",B28="safety"),"",IF(ISBLANK(INDIRECT("template!"&amp;"E"&amp;A28)),"",INDIRECT("template!"&amp;"E"&amp;A28)))</f>
        <v>#REF!</v>
      </c>
      <c r="I28" t="e" cm="1">
        <f t="array" aca="1" ref="I28" ca="1">IF(OR(A28="",B28="safety"),"",IF(ISBLANK(INDIRECT("template!"&amp;"F"&amp;A28)),"",INDIRECT("template!"&amp;"F"&amp;A28)))</f>
        <v>#REF!</v>
      </c>
      <c r="J28" t="e" cm="1">
        <f t="array" aca="1" ref="J28" ca="1">IF(OR(A28="",B28="safety"),"",IF(ISBLANK(INDIRECT("template!"&amp;"G"&amp;A28)),"",INDIRECT("template!"&amp;"G"&amp;A28)))</f>
        <v>#REF!</v>
      </c>
      <c r="K28" t="e" cm="1">
        <f t="array" aca="1" ref="K28" ca="1">IF(OR(A28="",B28="safety"),"",IF(ISBLANK(INDIRECT("template!"&amp;"H"&amp;A28)),"",INDIRECT("template!"&amp;"H"&amp;A28)))</f>
        <v>#REF!</v>
      </c>
      <c r="L28" t="e" cm="1">
        <f t="array" aca="1" ref="L28" ca="1">IF(OR(A28="",B28="safety"),"",INDIRECT("template!"&amp;"I"&amp;A28))</f>
        <v>#REF!</v>
      </c>
      <c r="M28" t="e" cm="1">
        <f t="array" aca="1" ref="M28" ca="1">IF(OR(A28="",B28="safety"),"",INDIRECT("template!"&amp;"J"&amp;A28))</f>
        <v>#REF!</v>
      </c>
      <c r="N28" t="e" cm="1">
        <f t="array" aca="1" ref="N28" ca="1">IF(OR(A28="",B28="safety"),"",IF(ISBLANK(INDIRECT("template!"&amp;"K"&amp;A28)),"",INDIRECT("template!"&amp;"K"&amp;A28)))</f>
        <v>#REF!</v>
      </c>
      <c r="O28" t="e" cm="1">
        <f t="array" aca="1" ref="O28" ca="1">IF(OR(A28="",B28="safety"),"",INDIRECT("template!"&amp;"L"&amp;A28))</f>
        <v>#REF!</v>
      </c>
      <c r="P28" t="e" cm="1">
        <f t="array" aca="1" ref="P28" ca="1">IF(OR(A28="",B28="safety"),"",INDIRECT("template!"&amp;"M"&amp;A28))</f>
        <v>#REF!</v>
      </c>
      <c r="Q28" t="e">
        <f t="shared" ca="1" si="1"/>
        <v>#REF!</v>
      </c>
      <c r="R28" t="e">
        <f t="shared" ca="1" si="2"/>
        <v>#REF!</v>
      </c>
      <c r="S28" t="e">
        <f t="shared" ca="1" si="3"/>
        <v>#REF!</v>
      </c>
      <c r="T28" t="e">
        <f t="shared" ca="1" si="4"/>
        <v>#REF!</v>
      </c>
      <c r="U28" t="e" cm="1">
        <f t="array" aca="1" ref="U28" ca="1">IF(A28="","",IF(E28="","",IF(B28="safety",INDIRECT("template!"&amp;"P"&amp;A28),Q28+R28)))</f>
        <v>#REF!</v>
      </c>
      <c r="V28" t="e" cm="1">
        <f t="array" aca="1" ref="V28" ca="1">IF(A28="","",IF(E28="","",IF(B28="safety",INDIRECT("template!"&amp;"P"&amp;A28),S28+T28)))</f>
        <v>#REF!</v>
      </c>
      <c r="W28" t="e">
        <f ca="1">IF(A28="","",IF(E28="","",#REF!))</f>
        <v>#REF!</v>
      </c>
      <c r="X28" t="e">
        <f ca="1">IF(A28="","",IF(E28="","",#REF!))</f>
        <v>#REF!</v>
      </c>
      <c r="Y28" s="39" t="e">
        <f ca="1">IF(A28="","",IF(E28="","",#REF!))</f>
        <v>#REF!</v>
      </c>
      <c r="Z28" t="e">
        <f ca="1">IF(A28="","",IF(E28="","",#REF!))</f>
        <v>#REF!</v>
      </c>
      <c r="AA28" t="e">
        <f ca="1">IF(A28="","",IF(E28="","",#REF!))</f>
        <v>#REF!</v>
      </c>
      <c r="AB28" t="e">
        <f ca="1">IF(A28="","",IF(E28="","",#REF!))</f>
        <v>#REF!</v>
      </c>
      <c r="AC28" t="e">
        <f t="shared" ca="1" si="5"/>
        <v>#REF!</v>
      </c>
    </row>
    <row r="29" spans="1:29" x14ac:dyDescent="0.35">
      <c r="A29" t="e" cm="1">
        <f t="array" aca="1" ref="A29" ca="1">IF(A28="","",IF(OR(AND(A28+1&gt;=$AF$1,A28+1&lt;=$AF$2),AND(A28+1&gt;=$AF$6,A28+1&lt;=$AF$7),AND(A28+1&gt;=$AF$3,A28+1&lt;=$AF$4),AND(A28+1&gt;=$AF$8,A28+1&lt;=$AF$9),A28+1=$AF$5),IF(NOT(ISBLANK(INDIRECT("template!"&amp;"P"&amp;A28+1))),A28+1,IF(NOT(ISBLANK(INDIRECT("template!"&amp;"P"&amp;A28+2))),A28+2,A28+3)),IF(A28=$AF$2,$AF$3,IF(A28=$AF$4,$AF$5,IF(A28=$AF$5,$AF$6,IF(A28=$AF$7,$AF$8,""))))))</f>
        <v>#REF!</v>
      </c>
      <c r="B29" t="e">
        <f t="shared" ca="1" si="0"/>
        <v>#REF!</v>
      </c>
      <c r="C29" t="e" cm="1">
        <f t="array" aca="1" ref="C29" ca="1">IF(A29="","",IF(B29="safety","safety costs",INDIRECT("template!"&amp;"B"&amp;A29)))</f>
        <v>#REF!</v>
      </c>
      <c r="D29" t="e" cm="1">
        <f t="array" aca="1" ref="D29" ca="1">IF(OR(A29="",B29="safety"),"",INDIRECT("template!"&amp;"C"&amp;A29))</f>
        <v>#REF!</v>
      </c>
      <c r="E29" t="e" cm="1">
        <f t="array" aca="1" ref="E29" ca="1">IF(A29="","",IF(OR(A29=A28+1,A29=A28+2),E28,INDIRECT("template!"&amp;"D"&amp;A29-2)))</f>
        <v>#REF!</v>
      </c>
      <c r="F29" t="e" cm="1">
        <f t="array" aca="1" ref="F29" ca="1">IF(OR(A29="",B29="safety"),"",IF(ISBLANK(IF(A29=A28+1,F28,INDIRECT("template!"&amp;"D"&amp;A29-1))),"",IF(A29=A28+1,F28,INDIRECT("template!"&amp;"D"&amp;A29-1))))</f>
        <v>#REF!</v>
      </c>
      <c r="G29" t="e" cm="1">
        <f t="array" aca="1" ref="G29" ca="1">IF(OR(A29="",B29="safety"),"",IF(ISBLANK(INDIRECT("template!"&amp;"D"&amp;A29)),"",INDIRECT("template!"&amp;"D"&amp;A29)))</f>
        <v>#REF!</v>
      </c>
      <c r="H29" t="e" cm="1">
        <f t="array" aca="1" ref="H29" ca="1">IF(OR(A29="",B29="safety"),"",IF(ISBLANK(INDIRECT("template!"&amp;"E"&amp;A29)),"",INDIRECT("template!"&amp;"E"&amp;A29)))</f>
        <v>#REF!</v>
      </c>
      <c r="I29" t="e" cm="1">
        <f t="array" aca="1" ref="I29" ca="1">IF(OR(A29="",B29="safety"),"",IF(ISBLANK(INDIRECT("template!"&amp;"F"&amp;A29)),"",INDIRECT("template!"&amp;"F"&amp;A29)))</f>
        <v>#REF!</v>
      </c>
      <c r="J29" t="e" cm="1">
        <f t="array" aca="1" ref="J29" ca="1">IF(OR(A29="",B29="safety"),"",IF(ISBLANK(INDIRECT("template!"&amp;"G"&amp;A29)),"",INDIRECT("template!"&amp;"G"&amp;A29)))</f>
        <v>#REF!</v>
      </c>
      <c r="K29" t="e" cm="1">
        <f t="array" aca="1" ref="K29" ca="1">IF(OR(A29="",B29="safety"),"",IF(ISBLANK(INDIRECT("template!"&amp;"H"&amp;A29)),"",INDIRECT("template!"&amp;"H"&amp;A29)))</f>
        <v>#REF!</v>
      </c>
      <c r="L29" t="e" cm="1">
        <f t="array" aca="1" ref="L29" ca="1">IF(OR(A29="",B29="safety"),"",INDIRECT("template!"&amp;"I"&amp;A29))</f>
        <v>#REF!</v>
      </c>
      <c r="M29" t="e" cm="1">
        <f t="array" aca="1" ref="M29" ca="1">IF(OR(A29="",B29="safety"),"",INDIRECT("template!"&amp;"J"&amp;A29))</f>
        <v>#REF!</v>
      </c>
      <c r="N29" t="e" cm="1">
        <f t="array" aca="1" ref="N29" ca="1">IF(OR(A29="",B29="safety"),"",IF(ISBLANK(INDIRECT("template!"&amp;"K"&amp;A29)),"",INDIRECT("template!"&amp;"K"&amp;A29)))</f>
        <v>#REF!</v>
      </c>
      <c r="O29" t="e" cm="1">
        <f t="array" aca="1" ref="O29" ca="1">IF(OR(A29="",B29="safety"),"",INDIRECT("template!"&amp;"L"&amp;A29))</f>
        <v>#REF!</v>
      </c>
      <c r="P29" t="e" cm="1">
        <f t="array" aca="1" ref="P29" ca="1">IF(OR(A29="",B29="safety"),"",INDIRECT("template!"&amp;"M"&amp;A29))</f>
        <v>#REF!</v>
      </c>
      <c r="Q29" t="e">
        <f t="shared" ca="1" si="1"/>
        <v>#REF!</v>
      </c>
      <c r="R29" t="e">
        <f t="shared" ca="1" si="2"/>
        <v>#REF!</v>
      </c>
      <c r="S29" t="e">
        <f t="shared" ca="1" si="3"/>
        <v>#REF!</v>
      </c>
      <c r="T29" t="e">
        <f t="shared" ca="1" si="4"/>
        <v>#REF!</v>
      </c>
      <c r="U29" t="e" cm="1">
        <f t="array" aca="1" ref="U29" ca="1">IF(A29="","",IF(E29="","",IF(B29="safety",INDIRECT("template!"&amp;"P"&amp;A29),Q29+R29)))</f>
        <v>#REF!</v>
      </c>
      <c r="V29" t="e" cm="1">
        <f t="array" aca="1" ref="V29" ca="1">IF(A29="","",IF(E29="","",IF(B29="safety",INDIRECT("template!"&amp;"P"&amp;A29),S29+T29)))</f>
        <v>#REF!</v>
      </c>
      <c r="W29" t="e">
        <f ca="1">IF(A29="","",IF(E29="","",#REF!))</f>
        <v>#REF!</v>
      </c>
      <c r="X29" t="e">
        <f ca="1">IF(A29="","",IF(E29="","",#REF!))</f>
        <v>#REF!</v>
      </c>
      <c r="Y29" s="39" t="e">
        <f ca="1">IF(A29="","",IF(E29="","",#REF!))</f>
        <v>#REF!</v>
      </c>
      <c r="Z29" t="e">
        <f ca="1">IF(A29="","",IF(E29="","",#REF!))</f>
        <v>#REF!</v>
      </c>
      <c r="AA29" t="e">
        <f ca="1">IF(A29="","",IF(E29="","",#REF!))</f>
        <v>#REF!</v>
      </c>
      <c r="AB29" t="e">
        <f ca="1">IF(A29="","",IF(E29="","",#REF!))</f>
        <v>#REF!</v>
      </c>
      <c r="AC29" t="e">
        <f t="shared" ca="1" si="5"/>
        <v>#REF!</v>
      </c>
    </row>
    <row r="30" spans="1:29" x14ac:dyDescent="0.35">
      <c r="A30" t="e" cm="1">
        <f t="array" aca="1" ref="A30" ca="1">IF(A29="","",IF(OR(AND(A29+1&gt;=$AF$1,A29+1&lt;=$AF$2),AND(A29+1&gt;=$AF$6,A29+1&lt;=$AF$7),AND(A29+1&gt;=$AF$3,A29+1&lt;=$AF$4),AND(A29+1&gt;=$AF$8,A29+1&lt;=$AF$9),A29+1=$AF$5),IF(NOT(ISBLANK(INDIRECT("template!"&amp;"P"&amp;A29+1))),A29+1,IF(NOT(ISBLANK(INDIRECT("template!"&amp;"P"&amp;A29+2))),A29+2,A29+3)),IF(A29=$AF$2,$AF$3,IF(A29=$AF$4,$AF$5,IF(A29=$AF$5,$AF$6,IF(A29=$AF$7,$AF$8,""))))))</f>
        <v>#REF!</v>
      </c>
      <c r="B30" t="e">
        <f t="shared" ca="1" si="0"/>
        <v>#REF!</v>
      </c>
      <c r="C30" t="e" cm="1">
        <f t="array" aca="1" ref="C30" ca="1">IF(A30="","",IF(B30="safety","safety costs",INDIRECT("template!"&amp;"B"&amp;A30)))</f>
        <v>#REF!</v>
      </c>
      <c r="D30" t="e" cm="1">
        <f t="array" aca="1" ref="D30" ca="1">IF(OR(A30="",B30="safety"),"",INDIRECT("template!"&amp;"C"&amp;A30))</f>
        <v>#REF!</v>
      </c>
      <c r="E30" t="e" cm="1">
        <f t="array" aca="1" ref="E30" ca="1">IF(A30="","",IF(OR(A30=A29+1,A30=A29+2),E29,INDIRECT("template!"&amp;"D"&amp;A30-2)))</f>
        <v>#REF!</v>
      </c>
      <c r="F30" t="e" cm="1">
        <f t="array" aca="1" ref="F30" ca="1">IF(OR(A30="",B30="safety"),"",IF(ISBLANK(IF(A30=A29+1,F29,INDIRECT("template!"&amp;"D"&amp;A30-1))),"",IF(A30=A29+1,F29,INDIRECT("template!"&amp;"D"&amp;A30-1))))</f>
        <v>#REF!</v>
      </c>
      <c r="G30" t="e" cm="1">
        <f t="array" aca="1" ref="G30" ca="1">IF(OR(A30="",B30="safety"),"",IF(ISBLANK(INDIRECT("template!"&amp;"D"&amp;A30)),"",INDIRECT("template!"&amp;"D"&amp;A30)))</f>
        <v>#REF!</v>
      </c>
      <c r="H30" t="e" cm="1">
        <f t="array" aca="1" ref="H30" ca="1">IF(OR(A30="",B30="safety"),"",IF(ISBLANK(INDIRECT("template!"&amp;"E"&amp;A30)),"",INDIRECT("template!"&amp;"E"&amp;A30)))</f>
        <v>#REF!</v>
      </c>
      <c r="I30" t="e" cm="1">
        <f t="array" aca="1" ref="I30" ca="1">IF(OR(A30="",B30="safety"),"",IF(ISBLANK(INDIRECT("template!"&amp;"F"&amp;A30)),"",INDIRECT("template!"&amp;"F"&amp;A30)))</f>
        <v>#REF!</v>
      </c>
      <c r="J30" t="e" cm="1">
        <f t="array" aca="1" ref="J30" ca="1">IF(OR(A30="",B30="safety"),"",IF(ISBLANK(INDIRECT("template!"&amp;"G"&amp;A30)),"",INDIRECT("template!"&amp;"G"&amp;A30)))</f>
        <v>#REF!</v>
      </c>
      <c r="K30" t="e" cm="1">
        <f t="array" aca="1" ref="K30" ca="1">IF(OR(A30="",B30="safety"),"",IF(ISBLANK(INDIRECT("template!"&amp;"H"&amp;A30)),"",INDIRECT("template!"&amp;"H"&amp;A30)))</f>
        <v>#REF!</v>
      </c>
      <c r="L30" t="e" cm="1">
        <f t="array" aca="1" ref="L30" ca="1">IF(OR(A30="",B30="safety"),"",INDIRECT("template!"&amp;"I"&amp;A30))</f>
        <v>#REF!</v>
      </c>
      <c r="M30" t="e" cm="1">
        <f t="array" aca="1" ref="M30" ca="1">IF(OR(A30="",B30="safety"),"",INDIRECT("template!"&amp;"J"&amp;A30))</f>
        <v>#REF!</v>
      </c>
      <c r="N30" t="e" cm="1">
        <f t="array" aca="1" ref="N30" ca="1">IF(OR(A30="",B30="safety"),"",IF(ISBLANK(INDIRECT("template!"&amp;"K"&amp;A30)),"",INDIRECT("template!"&amp;"K"&amp;A30)))</f>
        <v>#REF!</v>
      </c>
      <c r="O30" t="e" cm="1">
        <f t="array" aca="1" ref="O30" ca="1">IF(OR(A30="",B30="safety"),"",INDIRECT("template!"&amp;"L"&amp;A30))</f>
        <v>#REF!</v>
      </c>
      <c r="P30" t="e" cm="1">
        <f t="array" aca="1" ref="P30" ca="1">IF(OR(A30="",B30="safety"),"",INDIRECT("template!"&amp;"M"&amp;A30))</f>
        <v>#REF!</v>
      </c>
      <c r="Q30" t="e">
        <f t="shared" ca="1" si="1"/>
        <v>#REF!</v>
      </c>
      <c r="R30" t="e">
        <f t="shared" ca="1" si="2"/>
        <v>#REF!</v>
      </c>
      <c r="S30" t="e">
        <f t="shared" ca="1" si="3"/>
        <v>#REF!</v>
      </c>
      <c r="T30" t="e">
        <f t="shared" ca="1" si="4"/>
        <v>#REF!</v>
      </c>
      <c r="U30" t="e" cm="1">
        <f t="array" aca="1" ref="U30" ca="1">IF(A30="","",IF(E30="","",IF(B30="safety",INDIRECT("template!"&amp;"P"&amp;A30),Q30+R30)))</f>
        <v>#REF!</v>
      </c>
      <c r="V30" t="e" cm="1">
        <f t="array" aca="1" ref="V30" ca="1">IF(A30="","",IF(E30="","",IF(B30="safety",INDIRECT("template!"&amp;"P"&amp;A30),S30+T30)))</f>
        <v>#REF!</v>
      </c>
      <c r="W30" t="e">
        <f ca="1">IF(A30="","",IF(E30="","",#REF!))</f>
        <v>#REF!</v>
      </c>
      <c r="X30" t="e">
        <f ca="1">IF(A30="","",IF(E30="","",#REF!))</f>
        <v>#REF!</v>
      </c>
      <c r="Y30" s="39" t="e">
        <f ca="1">IF(A30="","",IF(E30="","",#REF!))</f>
        <v>#REF!</v>
      </c>
      <c r="Z30" t="e">
        <f ca="1">IF(A30="","",IF(E30="","",#REF!))</f>
        <v>#REF!</v>
      </c>
      <c r="AA30" t="e">
        <f ca="1">IF(A30="","",IF(E30="","",#REF!))</f>
        <v>#REF!</v>
      </c>
      <c r="AB30" t="e">
        <f ca="1">IF(A30="","",IF(E30="","",#REF!))</f>
        <v>#REF!</v>
      </c>
      <c r="AC30" t="e">
        <f t="shared" ca="1" si="5"/>
        <v>#REF!</v>
      </c>
    </row>
    <row r="31" spans="1:29" x14ac:dyDescent="0.35">
      <c r="A31" t="e" cm="1">
        <f t="array" aca="1" ref="A31" ca="1">IF(A30="","",IF(OR(AND(A30+1&gt;=$AF$1,A30+1&lt;=$AF$2),AND(A30+1&gt;=$AF$6,A30+1&lt;=$AF$7),AND(A30+1&gt;=$AF$3,A30+1&lt;=$AF$4),AND(A30+1&gt;=$AF$8,A30+1&lt;=$AF$9),A30+1=$AF$5),IF(NOT(ISBLANK(INDIRECT("template!"&amp;"P"&amp;A30+1))),A30+1,IF(NOT(ISBLANK(INDIRECT("template!"&amp;"P"&amp;A30+2))),A30+2,A30+3)),IF(A30=$AF$2,$AF$3,IF(A30=$AF$4,$AF$5,IF(A30=$AF$5,$AF$6,IF(A30=$AF$7,$AF$8,""))))))</f>
        <v>#REF!</v>
      </c>
      <c r="B31" t="e">
        <f t="shared" ca="1" si="0"/>
        <v>#REF!</v>
      </c>
      <c r="C31" t="e" cm="1">
        <f t="array" aca="1" ref="C31" ca="1">IF(A31="","",IF(B31="safety","safety costs",INDIRECT("template!"&amp;"B"&amp;A31)))</f>
        <v>#REF!</v>
      </c>
      <c r="D31" t="e" cm="1">
        <f t="array" aca="1" ref="D31" ca="1">IF(OR(A31="",B31="safety"),"",INDIRECT("template!"&amp;"C"&amp;A31))</f>
        <v>#REF!</v>
      </c>
      <c r="E31" t="e" cm="1">
        <f t="array" aca="1" ref="E31" ca="1">IF(A31="","",IF(OR(A31=A30+1,A31=A30+2),E30,INDIRECT("template!"&amp;"D"&amp;A31-2)))</f>
        <v>#REF!</v>
      </c>
      <c r="F31" t="e" cm="1">
        <f t="array" aca="1" ref="F31" ca="1">IF(OR(A31="",B31="safety"),"",IF(ISBLANK(IF(A31=A30+1,F30,INDIRECT("template!"&amp;"D"&amp;A31-1))),"",IF(A31=A30+1,F30,INDIRECT("template!"&amp;"D"&amp;A31-1))))</f>
        <v>#REF!</v>
      </c>
      <c r="G31" t="e" cm="1">
        <f t="array" aca="1" ref="G31" ca="1">IF(OR(A31="",B31="safety"),"",IF(ISBLANK(INDIRECT("template!"&amp;"D"&amp;A31)),"",INDIRECT("template!"&amp;"D"&amp;A31)))</f>
        <v>#REF!</v>
      </c>
      <c r="H31" t="e" cm="1">
        <f t="array" aca="1" ref="H31" ca="1">IF(OR(A31="",B31="safety"),"",IF(ISBLANK(INDIRECT("template!"&amp;"E"&amp;A31)),"",INDIRECT("template!"&amp;"E"&amp;A31)))</f>
        <v>#REF!</v>
      </c>
      <c r="I31" t="e" cm="1">
        <f t="array" aca="1" ref="I31" ca="1">IF(OR(A31="",B31="safety"),"",IF(ISBLANK(INDIRECT("template!"&amp;"F"&amp;A31)),"",INDIRECT("template!"&amp;"F"&amp;A31)))</f>
        <v>#REF!</v>
      </c>
      <c r="J31" t="e" cm="1">
        <f t="array" aca="1" ref="J31" ca="1">IF(OR(A31="",B31="safety"),"",IF(ISBLANK(INDIRECT("template!"&amp;"G"&amp;A31)),"",INDIRECT("template!"&amp;"G"&amp;A31)))</f>
        <v>#REF!</v>
      </c>
      <c r="K31" t="e" cm="1">
        <f t="array" aca="1" ref="K31" ca="1">IF(OR(A31="",B31="safety"),"",IF(ISBLANK(INDIRECT("template!"&amp;"H"&amp;A31)),"",INDIRECT("template!"&amp;"H"&amp;A31)))</f>
        <v>#REF!</v>
      </c>
      <c r="L31" t="e" cm="1">
        <f t="array" aca="1" ref="L31" ca="1">IF(OR(A31="",B31="safety"),"",INDIRECT("template!"&amp;"I"&amp;A31))</f>
        <v>#REF!</v>
      </c>
      <c r="M31" t="e" cm="1">
        <f t="array" aca="1" ref="M31" ca="1">IF(OR(A31="",B31="safety"),"",INDIRECT("template!"&amp;"J"&amp;A31))</f>
        <v>#REF!</v>
      </c>
      <c r="N31" t="e" cm="1">
        <f t="array" aca="1" ref="N31" ca="1">IF(OR(A31="",B31="safety"),"",IF(ISBLANK(INDIRECT("template!"&amp;"K"&amp;A31)),"",INDIRECT("template!"&amp;"K"&amp;A31)))</f>
        <v>#REF!</v>
      </c>
      <c r="O31" t="e" cm="1">
        <f t="array" aca="1" ref="O31" ca="1">IF(OR(A31="",B31="safety"),"",INDIRECT("template!"&amp;"L"&amp;A31))</f>
        <v>#REF!</v>
      </c>
      <c r="P31" t="e" cm="1">
        <f t="array" aca="1" ref="P31" ca="1">IF(OR(A31="",B31="safety"),"",INDIRECT("template!"&amp;"M"&amp;A31))</f>
        <v>#REF!</v>
      </c>
      <c r="Q31" t="e">
        <f t="shared" ca="1" si="1"/>
        <v>#REF!</v>
      </c>
      <c r="R31" t="e">
        <f t="shared" ca="1" si="2"/>
        <v>#REF!</v>
      </c>
      <c r="S31" t="e">
        <f t="shared" ca="1" si="3"/>
        <v>#REF!</v>
      </c>
      <c r="T31" t="e">
        <f t="shared" ca="1" si="4"/>
        <v>#REF!</v>
      </c>
      <c r="U31" t="e" cm="1">
        <f t="array" aca="1" ref="U31" ca="1">IF(A31="","",IF(E31="","",IF(B31="safety",INDIRECT("template!"&amp;"P"&amp;A31),Q31+R31)))</f>
        <v>#REF!</v>
      </c>
      <c r="V31" t="e" cm="1">
        <f t="array" aca="1" ref="V31" ca="1">IF(A31="","",IF(E31="","",IF(B31="safety",INDIRECT("template!"&amp;"P"&amp;A31),S31+T31)))</f>
        <v>#REF!</v>
      </c>
      <c r="W31" t="e">
        <f ca="1">IF(A31="","",IF(E31="","",#REF!))</f>
        <v>#REF!</v>
      </c>
      <c r="X31" t="e">
        <f ca="1">IF(A31="","",IF(E31="","",#REF!))</f>
        <v>#REF!</v>
      </c>
      <c r="Y31" s="39" t="e">
        <f ca="1">IF(A31="","",IF(E31="","",#REF!))</f>
        <v>#REF!</v>
      </c>
      <c r="Z31" t="e">
        <f ca="1">IF(A31="","",IF(E31="","",#REF!))</f>
        <v>#REF!</v>
      </c>
      <c r="AA31" t="e">
        <f ca="1">IF(A31="","",IF(E31="","",#REF!))</f>
        <v>#REF!</v>
      </c>
      <c r="AB31" t="e">
        <f ca="1">IF(A31="","",IF(E31="","",#REF!))</f>
        <v>#REF!</v>
      </c>
      <c r="AC31" t="e">
        <f t="shared" ca="1" si="5"/>
        <v>#REF!</v>
      </c>
    </row>
    <row r="32" spans="1:29" x14ac:dyDescent="0.35">
      <c r="A32" t="e" cm="1">
        <f t="array" aca="1" ref="A32" ca="1">IF(A31="","",IF(OR(AND(A31+1&gt;=$AF$1,A31+1&lt;=$AF$2),AND(A31+1&gt;=$AF$6,A31+1&lt;=$AF$7),AND(A31+1&gt;=$AF$3,A31+1&lt;=$AF$4),AND(A31+1&gt;=$AF$8,A31+1&lt;=$AF$9),A31+1=$AF$5),IF(NOT(ISBLANK(INDIRECT("template!"&amp;"P"&amp;A31+1))),A31+1,IF(NOT(ISBLANK(INDIRECT("template!"&amp;"P"&amp;A31+2))),A31+2,A31+3)),IF(A31=$AF$2,$AF$3,IF(A31=$AF$4,$AF$5,IF(A31=$AF$5,$AF$6,IF(A31=$AF$7,$AF$8,""))))))</f>
        <v>#REF!</v>
      </c>
      <c r="B32" t="e">
        <f t="shared" ca="1" si="0"/>
        <v>#REF!</v>
      </c>
      <c r="C32" t="e" cm="1">
        <f t="array" aca="1" ref="C32" ca="1">IF(A32="","",IF(B32="safety","safety costs",INDIRECT("template!"&amp;"B"&amp;A32)))</f>
        <v>#REF!</v>
      </c>
      <c r="D32" t="e" cm="1">
        <f t="array" aca="1" ref="D32" ca="1">IF(OR(A32="",B32="safety"),"",INDIRECT("template!"&amp;"C"&amp;A32))</f>
        <v>#REF!</v>
      </c>
      <c r="E32" t="e" cm="1">
        <f t="array" aca="1" ref="E32" ca="1">IF(A32="","",IF(OR(A32=A31+1,A32=A31+2),E31,INDIRECT("template!"&amp;"D"&amp;A32-2)))</f>
        <v>#REF!</v>
      </c>
      <c r="F32" t="e" cm="1">
        <f t="array" aca="1" ref="F32" ca="1">IF(OR(A32="",B32="safety"),"",IF(ISBLANK(IF(A32=A31+1,F31,INDIRECT("template!"&amp;"D"&amp;A32-1))),"",IF(A32=A31+1,F31,INDIRECT("template!"&amp;"D"&amp;A32-1))))</f>
        <v>#REF!</v>
      </c>
      <c r="G32" t="e" cm="1">
        <f t="array" aca="1" ref="G32" ca="1">IF(OR(A32="",B32="safety"),"",IF(ISBLANK(INDIRECT("template!"&amp;"D"&amp;A32)),"",INDIRECT("template!"&amp;"D"&amp;A32)))</f>
        <v>#REF!</v>
      </c>
      <c r="H32" t="e" cm="1">
        <f t="array" aca="1" ref="H32" ca="1">IF(OR(A32="",B32="safety"),"",IF(ISBLANK(INDIRECT("template!"&amp;"E"&amp;A32)),"",INDIRECT("template!"&amp;"E"&amp;A32)))</f>
        <v>#REF!</v>
      </c>
      <c r="I32" t="e" cm="1">
        <f t="array" aca="1" ref="I32" ca="1">IF(OR(A32="",B32="safety"),"",IF(ISBLANK(INDIRECT("template!"&amp;"F"&amp;A32)),"",INDIRECT("template!"&amp;"F"&amp;A32)))</f>
        <v>#REF!</v>
      </c>
      <c r="J32" t="e" cm="1">
        <f t="array" aca="1" ref="J32" ca="1">IF(OR(A32="",B32="safety"),"",IF(ISBLANK(INDIRECT("template!"&amp;"G"&amp;A32)),"",INDIRECT("template!"&amp;"G"&amp;A32)))</f>
        <v>#REF!</v>
      </c>
      <c r="K32" t="e" cm="1">
        <f t="array" aca="1" ref="K32" ca="1">IF(OR(A32="",B32="safety"),"",IF(ISBLANK(INDIRECT("template!"&amp;"H"&amp;A32)),"",INDIRECT("template!"&amp;"H"&amp;A32)))</f>
        <v>#REF!</v>
      </c>
      <c r="L32" t="e" cm="1">
        <f t="array" aca="1" ref="L32" ca="1">IF(OR(A32="",B32="safety"),"",INDIRECT("template!"&amp;"I"&amp;A32))</f>
        <v>#REF!</v>
      </c>
      <c r="M32" t="e" cm="1">
        <f t="array" aca="1" ref="M32" ca="1">IF(OR(A32="",B32="safety"),"",INDIRECT("template!"&amp;"J"&amp;A32))</f>
        <v>#REF!</v>
      </c>
      <c r="N32" t="e" cm="1">
        <f t="array" aca="1" ref="N32" ca="1">IF(OR(A32="",B32="safety"),"",IF(ISBLANK(INDIRECT("template!"&amp;"K"&amp;A32)),"",INDIRECT("template!"&amp;"K"&amp;A32)))</f>
        <v>#REF!</v>
      </c>
      <c r="O32" t="e" cm="1">
        <f t="array" aca="1" ref="O32" ca="1">IF(OR(A32="",B32="safety"),"",INDIRECT("template!"&amp;"L"&amp;A32))</f>
        <v>#REF!</v>
      </c>
      <c r="P32" t="e" cm="1">
        <f t="array" aca="1" ref="P32" ca="1">IF(OR(A32="",B32="safety"),"",INDIRECT("template!"&amp;"M"&amp;A32))</f>
        <v>#REF!</v>
      </c>
      <c r="Q32" t="e">
        <f t="shared" ca="1" si="1"/>
        <v>#REF!</v>
      </c>
      <c r="R32" t="e">
        <f t="shared" ca="1" si="2"/>
        <v>#REF!</v>
      </c>
      <c r="S32" t="e">
        <f t="shared" ca="1" si="3"/>
        <v>#REF!</v>
      </c>
      <c r="T32" t="e">
        <f t="shared" ca="1" si="4"/>
        <v>#REF!</v>
      </c>
      <c r="U32" t="e" cm="1">
        <f t="array" aca="1" ref="U32" ca="1">IF(A32="","",IF(E32="","",IF(B32="safety",INDIRECT("template!"&amp;"P"&amp;A32),Q32+R32)))</f>
        <v>#REF!</v>
      </c>
      <c r="V32" t="e" cm="1">
        <f t="array" aca="1" ref="V32" ca="1">IF(A32="","",IF(E32="","",IF(B32="safety",INDIRECT("template!"&amp;"P"&amp;A32),S32+T32)))</f>
        <v>#REF!</v>
      </c>
      <c r="W32" t="e">
        <f ca="1">IF(A32="","",IF(E32="","",#REF!))</f>
        <v>#REF!</v>
      </c>
      <c r="X32" t="e">
        <f ca="1">IF(A32="","",IF(E32="","",#REF!))</f>
        <v>#REF!</v>
      </c>
      <c r="Y32" s="39" t="e">
        <f ca="1">IF(A32="","",IF(E32="","",#REF!))</f>
        <v>#REF!</v>
      </c>
      <c r="Z32" t="e">
        <f ca="1">IF(A32="","",IF(E32="","",#REF!))</f>
        <v>#REF!</v>
      </c>
      <c r="AA32" t="e">
        <f ca="1">IF(A32="","",IF(E32="","",#REF!))</f>
        <v>#REF!</v>
      </c>
      <c r="AB32" t="e">
        <f ca="1">IF(A32="","",IF(E32="","",#REF!))</f>
        <v>#REF!</v>
      </c>
      <c r="AC32" t="e">
        <f t="shared" ca="1" si="5"/>
        <v>#REF!</v>
      </c>
    </row>
    <row r="33" spans="1:29" x14ac:dyDescent="0.35">
      <c r="A33" t="e" cm="1">
        <f t="array" aca="1" ref="A33" ca="1">IF(A32="","",IF(OR(AND(A32+1&gt;=$AF$1,A32+1&lt;=$AF$2),AND(A32+1&gt;=$AF$6,A32+1&lt;=$AF$7),AND(A32+1&gt;=$AF$3,A32+1&lt;=$AF$4),AND(A32+1&gt;=$AF$8,A32+1&lt;=$AF$9),A32+1=$AF$5),IF(NOT(ISBLANK(INDIRECT("template!"&amp;"P"&amp;A32+1))),A32+1,IF(NOT(ISBLANK(INDIRECT("template!"&amp;"P"&amp;A32+2))),A32+2,A32+3)),IF(A32=$AF$2,$AF$3,IF(A32=$AF$4,$AF$5,IF(A32=$AF$5,$AF$6,IF(A32=$AF$7,$AF$8,""))))))</f>
        <v>#REF!</v>
      </c>
      <c r="B33" t="e">
        <f t="shared" ca="1" si="0"/>
        <v>#REF!</v>
      </c>
      <c r="C33" t="e" cm="1">
        <f t="array" aca="1" ref="C33" ca="1">IF(A33="","",IF(B33="safety","safety costs",INDIRECT("template!"&amp;"B"&amp;A33)))</f>
        <v>#REF!</v>
      </c>
      <c r="D33" t="e" cm="1">
        <f t="array" aca="1" ref="D33" ca="1">IF(OR(A33="",B33="safety"),"",INDIRECT("template!"&amp;"C"&amp;A33))</f>
        <v>#REF!</v>
      </c>
      <c r="E33" t="e" cm="1">
        <f t="array" aca="1" ref="E33" ca="1">IF(A33="","",IF(OR(A33=A32+1,A33=A32+2),E32,INDIRECT("template!"&amp;"D"&amp;A33-2)))</f>
        <v>#REF!</v>
      </c>
      <c r="F33" t="e" cm="1">
        <f t="array" aca="1" ref="F33" ca="1">IF(OR(A33="",B33="safety"),"",IF(ISBLANK(IF(A33=A32+1,F32,INDIRECT("template!"&amp;"D"&amp;A33-1))),"",IF(A33=A32+1,F32,INDIRECT("template!"&amp;"D"&amp;A33-1))))</f>
        <v>#REF!</v>
      </c>
      <c r="G33" t="e" cm="1">
        <f t="array" aca="1" ref="G33" ca="1">IF(OR(A33="",B33="safety"),"",IF(ISBLANK(INDIRECT("template!"&amp;"D"&amp;A33)),"",INDIRECT("template!"&amp;"D"&amp;A33)))</f>
        <v>#REF!</v>
      </c>
      <c r="H33" t="e" cm="1">
        <f t="array" aca="1" ref="H33" ca="1">IF(OR(A33="",B33="safety"),"",IF(ISBLANK(INDIRECT("template!"&amp;"E"&amp;A33)),"",INDIRECT("template!"&amp;"E"&amp;A33)))</f>
        <v>#REF!</v>
      </c>
      <c r="I33" t="e" cm="1">
        <f t="array" aca="1" ref="I33" ca="1">IF(OR(A33="",B33="safety"),"",IF(ISBLANK(INDIRECT("template!"&amp;"F"&amp;A33)),"",INDIRECT("template!"&amp;"F"&amp;A33)))</f>
        <v>#REF!</v>
      </c>
      <c r="J33" t="e" cm="1">
        <f t="array" aca="1" ref="J33" ca="1">IF(OR(A33="",B33="safety"),"",IF(ISBLANK(INDIRECT("template!"&amp;"G"&amp;A33)),"",INDIRECT("template!"&amp;"G"&amp;A33)))</f>
        <v>#REF!</v>
      </c>
      <c r="K33" t="e" cm="1">
        <f t="array" aca="1" ref="K33" ca="1">IF(OR(A33="",B33="safety"),"",IF(ISBLANK(INDIRECT("template!"&amp;"H"&amp;A33)),"",INDIRECT("template!"&amp;"H"&amp;A33)))</f>
        <v>#REF!</v>
      </c>
      <c r="L33" t="e" cm="1">
        <f t="array" aca="1" ref="L33" ca="1">IF(OR(A33="",B33="safety"),"",INDIRECT("template!"&amp;"I"&amp;A33))</f>
        <v>#REF!</v>
      </c>
      <c r="M33" t="e" cm="1">
        <f t="array" aca="1" ref="M33" ca="1">IF(OR(A33="",B33="safety"),"",INDIRECT("template!"&amp;"J"&amp;A33))</f>
        <v>#REF!</v>
      </c>
      <c r="N33" t="e" cm="1">
        <f t="array" aca="1" ref="N33" ca="1">IF(OR(A33="",B33="safety"),"",IF(ISBLANK(INDIRECT("template!"&amp;"K"&amp;A33)),"",INDIRECT("template!"&amp;"K"&amp;A33)))</f>
        <v>#REF!</v>
      </c>
      <c r="O33" t="e" cm="1">
        <f t="array" aca="1" ref="O33" ca="1">IF(OR(A33="",B33="safety"),"",INDIRECT("template!"&amp;"L"&amp;A33))</f>
        <v>#REF!</v>
      </c>
      <c r="P33" t="e" cm="1">
        <f t="array" aca="1" ref="P33" ca="1">IF(OR(A33="",B33="safety"),"",INDIRECT("template!"&amp;"M"&amp;A33))</f>
        <v>#REF!</v>
      </c>
      <c r="Q33" t="e">
        <f t="shared" ca="1" si="1"/>
        <v>#REF!</v>
      </c>
      <c r="R33" t="e">
        <f t="shared" ca="1" si="2"/>
        <v>#REF!</v>
      </c>
      <c r="S33" t="e">
        <f t="shared" ca="1" si="3"/>
        <v>#REF!</v>
      </c>
      <c r="T33" t="e">
        <f t="shared" ca="1" si="4"/>
        <v>#REF!</v>
      </c>
      <c r="U33" t="e" cm="1">
        <f t="array" aca="1" ref="U33" ca="1">IF(A33="","",IF(E33="","",IF(B33="safety",INDIRECT("template!"&amp;"P"&amp;A33),Q33+R33)))</f>
        <v>#REF!</v>
      </c>
      <c r="V33" t="e" cm="1">
        <f t="array" aca="1" ref="V33" ca="1">IF(A33="","",IF(E33="","",IF(B33="safety",INDIRECT("template!"&amp;"P"&amp;A33),S33+T33)))</f>
        <v>#REF!</v>
      </c>
      <c r="W33" t="e">
        <f ca="1">IF(A33="","",IF(E33="","",#REF!))</f>
        <v>#REF!</v>
      </c>
      <c r="X33" t="e">
        <f ca="1">IF(A33="","",IF(E33="","",#REF!))</f>
        <v>#REF!</v>
      </c>
      <c r="Y33" s="39" t="e">
        <f ca="1">IF(A33="","",IF(E33="","",#REF!))</f>
        <v>#REF!</v>
      </c>
      <c r="Z33" t="e">
        <f ca="1">IF(A33="","",IF(E33="","",#REF!))</f>
        <v>#REF!</v>
      </c>
      <c r="AA33" t="e">
        <f ca="1">IF(A33="","",IF(E33="","",#REF!))</f>
        <v>#REF!</v>
      </c>
      <c r="AB33" t="e">
        <f ca="1">IF(A33="","",IF(E33="","",#REF!))</f>
        <v>#REF!</v>
      </c>
      <c r="AC33" t="e">
        <f t="shared" ca="1" si="5"/>
        <v>#REF!</v>
      </c>
    </row>
    <row r="34" spans="1:29" x14ac:dyDescent="0.35">
      <c r="A34" t="e" cm="1">
        <f t="array" aca="1" ref="A34" ca="1">IF(A33="","",IF(OR(AND(A33+1&gt;=$AF$1,A33+1&lt;=$AF$2),AND(A33+1&gt;=$AF$6,A33+1&lt;=$AF$7),AND(A33+1&gt;=$AF$3,A33+1&lt;=$AF$4),AND(A33+1&gt;=$AF$8,A33+1&lt;=$AF$9),A33+1=$AF$5),IF(NOT(ISBLANK(INDIRECT("template!"&amp;"P"&amp;A33+1))),A33+1,IF(NOT(ISBLANK(INDIRECT("template!"&amp;"P"&amp;A33+2))),A33+2,A33+3)),IF(A33=$AF$2,$AF$3,IF(A33=$AF$4,$AF$5,IF(A33=$AF$5,$AF$6,IF(A33=$AF$7,$AF$8,""))))))</f>
        <v>#REF!</v>
      </c>
      <c r="B34" t="e">
        <f t="shared" ca="1" si="0"/>
        <v>#REF!</v>
      </c>
      <c r="C34" t="e" cm="1">
        <f t="array" aca="1" ref="C34" ca="1">IF(A34="","",IF(B34="safety","safety costs",INDIRECT("template!"&amp;"B"&amp;A34)))</f>
        <v>#REF!</v>
      </c>
      <c r="D34" t="e" cm="1">
        <f t="array" aca="1" ref="D34" ca="1">IF(OR(A34="",B34="safety"),"",INDIRECT("template!"&amp;"C"&amp;A34))</f>
        <v>#REF!</v>
      </c>
      <c r="E34" t="e" cm="1">
        <f t="array" aca="1" ref="E34" ca="1">IF(A34="","",IF(OR(A34=A33+1,A34=A33+2),E33,INDIRECT("template!"&amp;"D"&amp;A34-2)))</f>
        <v>#REF!</v>
      </c>
      <c r="F34" t="e" cm="1">
        <f t="array" aca="1" ref="F34" ca="1">IF(OR(A34="",B34="safety"),"",IF(ISBLANK(IF(A34=A33+1,F33,INDIRECT("template!"&amp;"D"&amp;A34-1))),"",IF(A34=A33+1,F33,INDIRECT("template!"&amp;"D"&amp;A34-1))))</f>
        <v>#REF!</v>
      </c>
      <c r="G34" t="e" cm="1">
        <f t="array" aca="1" ref="G34" ca="1">IF(OR(A34="",B34="safety"),"",IF(ISBLANK(INDIRECT("template!"&amp;"D"&amp;A34)),"",INDIRECT("template!"&amp;"D"&amp;A34)))</f>
        <v>#REF!</v>
      </c>
      <c r="H34" t="e" cm="1">
        <f t="array" aca="1" ref="H34" ca="1">IF(OR(A34="",B34="safety"),"",IF(ISBLANK(INDIRECT("template!"&amp;"E"&amp;A34)),"",INDIRECT("template!"&amp;"E"&amp;A34)))</f>
        <v>#REF!</v>
      </c>
      <c r="I34" t="e" cm="1">
        <f t="array" aca="1" ref="I34" ca="1">IF(OR(A34="",B34="safety"),"",IF(ISBLANK(INDIRECT("template!"&amp;"F"&amp;A34)),"",INDIRECT("template!"&amp;"F"&amp;A34)))</f>
        <v>#REF!</v>
      </c>
      <c r="J34" t="e" cm="1">
        <f t="array" aca="1" ref="J34" ca="1">IF(OR(A34="",B34="safety"),"",IF(ISBLANK(INDIRECT("template!"&amp;"G"&amp;A34)),"",INDIRECT("template!"&amp;"G"&amp;A34)))</f>
        <v>#REF!</v>
      </c>
      <c r="K34" t="e" cm="1">
        <f t="array" aca="1" ref="K34" ca="1">IF(OR(A34="",B34="safety"),"",IF(ISBLANK(INDIRECT("template!"&amp;"H"&amp;A34)),"",INDIRECT("template!"&amp;"H"&amp;A34)))</f>
        <v>#REF!</v>
      </c>
      <c r="L34" t="e" cm="1">
        <f t="array" aca="1" ref="L34" ca="1">IF(OR(A34="",B34="safety"),"",INDIRECT("template!"&amp;"I"&amp;A34))</f>
        <v>#REF!</v>
      </c>
      <c r="M34" t="e" cm="1">
        <f t="array" aca="1" ref="M34" ca="1">IF(OR(A34="",B34="safety"),"",INDIRECT("template!"&amp;"J"&amp;A34))</f>
        <v>#REF!</v>
      </c>
      <c r="N34" t="e" cm="1">
        <f t="array" aca="1" ref="N34" ca="1">IF(OR(A34="",B34="safety"),"",IF(ISBLANK(INDIRECT("template!"&amp;"K"&amp;A34)),"",INDIRECT("template!"&amp;"K"&amp;A34)))</f>
        <v>#REF!</v>
      </c>
      <c r="O34" t="e" cm="1">
        <f t="array" aca="1" ref="O34" ca="1">IF(OR(A34="",B34="safety"),"",INDIRECT("template!"&amp;"L"&amp;A34))</f>
        <v>#REF!</v>
      </c>
      <c r="P34" t="e" cm="1">
        <f t="array" aca="1" ref="P34" ca="1">IF(OR(A34="",B34="safety"),"",INDIRECT("template!"&amp;"M"&amp;A34))</f>
        <v>#REF!</v>
      </c>
      <c r="Q34" t="e">
        <f t="shared" ca="1" si="1"/>
        <v>#REF!</v>
      </c>
      <c r="R34" t="e">
        <f t="shared" ca="1" si="2"/>
        <v>#REF!</v>
      </c>
      <c r="S34" t="e">
        <f t="shared" ca="1" si="3"/>
        <v>#REF!</v>
      </c>
      <c r="T34" t="e">
        <f t="shared" ca="1" si="4"/>
        <v>#REF!</v>
      </c>
      <c r="U34" t="e" cm="1">
        <f t="array" aca="1" ref="U34" ca="1">IF(A34="","",IF(E34="","",IF(B34="safety",INDIRECT("template!"&amp;"P"&amp;A34),Q34+R34)))</f>
        <v>#REF!</v>
      </c>
      <c r="V34" t="e" cm="1">
        <f t="array" aca="1" ref="V34" ca="1">IF(A34="","",IF(E34="","",IF(B34="safety",INDIRECT("template!"&amp;"P"&amp;A34),S34+T34)))</f>
        <v>#REF!</v>
      </c>
      <c r="W34" t="e">
        <f ca="1">IF(A34="","",IF(E34="","",#REF!))</f>
        <v>#REF!</v>
      </c>
      <c r="X34" t="e">
        <f ca="1">IF(A34="","",IF(E34="","",#REF!))</f>
        <v>#REF!</v>
      </c>
      <c r="Y34" s="39" t="e">
        <f ca="1">IF(A34="","",IF(E34="","",#REF!))</f>
        <v>#REF!</v>
      </c>
      <c r="Z34" t="e">
        <f ca="1">IF(A34="","",IF(E34="","",#REF!))</f>
        <v>#REF!</v>
      </c>
      <c r="AA34" t="e">
        <f ca="1">IF(A34="","",IF(E34="","",#REF!))</f>
        <v>#REF!</v>
      </c>
      <c r="AB34" t="e">
        <f ca="1">IF(A34="","",IF(E34="","",#REF!))</f>
        <v>#REF!</v>
      </c>
      <c r="AC34" t="e">
        <f t="shared" ca="1" si="5"/>
        <v>#REF!</v>
      </c>
    </row>
    <row r="35" spans="1:29" x14ac:dyDescent="0.35">
      <c r="A35" t="e" cm="1">
        <f t="array" aca="1" ref="A35" ca="1">IF(A34="","",IF(OR(AND(A34+1&gt;=$AF$1,A34+1&lt;=$AF$2),AND(A34+1&gt;=$AF$6,A34+1&lt;=$AF$7),AND(A34+1&gt;=$AF$3,A34+1&lt;=$AF$4),AND(A34+1&gt;=$AF$8,A34+1&lt;=$AF$9),A34+1=$AF$5),IF(NOT(ISBLANK(INDIRECT("template!"&amp;"P"&amp;A34+1))),A34+1,IF(NOT(ISBLANK(INDIRECT("template!"&amp;"P"&amp;A34+2))),A34+2,A34+3)),IF(A34=$AF$2,$AF$3,IF(A34=$AF$4,$AF$5,IF(A34=$AF$5,$AF$6,IF(A34=$AF$7,$AF$8,""))))))</f>
        <v>#REF!</v>
      </c>
      <c r="B35" t="e">
        <f t="shared" ca="1" si="0"/>
        <v>#REF!</v>
      </c>
      <c r="C35" t="e" cm="1">
        <f t="array" aca="1" ref="C35" ca="1">IF(A35="","",IF(B35="safety","safety costs",INDIRECT("template!"&amp;"B"&amp;A35)))</f>
        <v>#REF!</v>
      </c>
      <c r="D35" t="e" cm="1">
        <f t="array" aca="1" ref="D35" ca="1">IF(OR(A35="",B35="safety"),"",INDIRECT("template!"&amp;"C"&amp;A35))</f>
        <v>#REF!</v>
      </c>
      <c r="E35" t="e" cm="1">
        <f t="array" aca="1" ref="E35" ca="1">IF(A35="","",IF(OR(A35=A34+1,A35=A34+2),E34,INDIRECT("template!"&amp;"D"&amp;A35-2)))</f>
        <v>#REF!</v>
      </c>
      <c r="F35" t="e" cm="1">
        <f t="array" aca="1" ref="F35" ca="1">IF(OR(A35="",B35="safety"),"",IF(ISBLANK(IF(A35=A34+1,F34,INDIRECT("template!"&amp;"D"&amp;A35-1))),"",IF(A35=A34+1,F34,INDIRECT("template!"&amp;"D"&amp;A35-1))))</f>
        <v>#REF!</v>
      </c>
      <c r="G35" t="e" cm="1">
        <f t="array" aca="1" ref="G35" ca="1">IF(OR(A35="",B35="safety"),"",IF(ISBLANK(INDIRECT("template!"&amp;"D"&amp;A35)),"",INDIRECT("template!"&amp;"D"&amp;A35)))</f>
        <v>#REF!</v>
      </c>
      <c r="H35" t="e" cm="1">
        <f t="array" aca="1" ref="H35" ca="1">IF(OR(A35="",B35="safety"),"",IF(ISBLANK(INDIRECT("template!"&amp;"E"&amp;A35)),"",INDIRECT("template!"&amp;"E"&amp;A35)))</f>
        <v>#REF!</v>
      </c>
      <c r="I35" t="e" cm="1">
        <f t="array" aca="1" ref="I35" ca="1">IF(OR(A35="",B35="safety"),"",IF(ISBLANK(INDIRECT("template!"&amp;"F"&amp;A35)),"",INDIRECT("template!"&amp;"F"&amp;A35)))</f>
        <v>#REF!</v>
      </c>
      <c r="J35" t="e" cm="1">
        <f t="array" aca="1" ref="J35" ca="1">IF(OR(A35="",B35="safety"),"",IF(ISBLANK(INDIRECT("template!"&amp;"G"&amp;A35)),"",INDIRECT("template!"&amp;"G"&amp;A35)))</f>
        <v>#REF!</v>
      </c>
      <c r="K35" t="e" cm="1">
        <f t="array" aca="1" ref="K35" ca="1">IF(OR(A35="",B35="safety"),"",IF(ISBLANK(INDIRECT("template!"&amp;"H"&amp;A35)),"",INDIRECT("template!"&amp;"H"&amp;A35)))</f>
        <v>#REF!</v>
      </c>
      <c r="L35" t="e" cm="1">
        <f t="array" aca="1" ref="L35" ca="1">IF(OR(A35="",B35="safety"),"",INDIRECT("template!"&amp;"I"&amp;A35))</f>
        <v>#REF!</v>
      </c>
      <c r="M35" t="e" cm="1">
        <f t="array" aca="1" ref="M35" ca="1">IF(OR(A35="",B35="safety"),"",INDIRECT("template!"&amp;"J"&amp;A35))</f>
        <v>#REF!</v>
      </c>
      <c r="N35" t="e" cm="1">
        <f t="array" aca="1" ref="N35" ca="1">IF(OR(A35="",B35="safety"),"",IF(ISBLANK(INDIRECT("template!"&amp;"K"&amp;A35)),"",INDIRECT("template!"&amp;"K"&amp;A35)))</f>
        <v>#REF!</v>
      </c>
      <c r="O35" t="e" cm="1">
        <f t="array" aca="1" ref="O35" ca="1">IF(OR(A35="",B35="safety"),"",INDIRECT("template!"&amp;"L"&amp;A35))</f>
        <v>#REF!</v>
      </c>
      <c r="P35" t="e" cm="1">
        <f t="array" aca="1" ref="P35" ca="1">IF(OR(A35="",B35="safety"),"",INDIRECT("template!"&amp;"M"&amp;A35))</f>
        <v>#REF!</v>
      </c>
      <c r="Q35" t="e">
        <f t="shared" ca="1" si="1"/>
        <v>#REF!</v>
      </c>
      <c r="R35" t="e">
        <f t="shared" ca="1" si="2"/>
        <v>#REF!</v>
      </c>
      <c r="S35" t="e">
        <f t="shared" ca="1" si="3"/>
        <v>#REF!</v>
      </c>
      <c r="T35" t="e">
        <f t="shared" ca="1" si="4"/>
        <v>#REF!</v>
      </c>
      <c r="U35" t="e" cm="1">
        <f t="array" aca="1" ref="U35" ca="1">IF(A35="","",IF(E35="","",IF(B35="safety",INDIRECT("template!"&amp;"P"&amp;A35),Q35+R35)))</f>
        <v>#REF!</v>
      </c>
      <c r="V35" t="e" cm="1">
        <f t="array" aca="1" ref="V35" ca="1">IF(A35="","",IF(E35="","",IF(B35="safety",INDIRECT("template!"&amp;"P"&amp;A35),S35+T35)))</f>
        <v>#REF!</v>
      </c>
      <c r="W35" t="e">
        <f ca="1">IF(A35="","",IF(E35="","",#REF!))</f>
        <v>#REF!</v>
      </c>
      <c r="X35" t="e">
        <f ca="1">IF(A35="","",IF(E35="","",#REF!))</f>
        <v>#REF!</v>
      </c>
      <c r="Y35" s="39" t="e">
        <f ca="1">IF(A35="","",IF(E35="","",#REF!))</f>
        <v>#REF!</v>
      </c>
      <c r="Z35" t="e">
        <f ca="1">IF(A35="","",IF(E35="","",#REF!))</f>
        <v>#REF!</v>
      </c>
      <c r="AA35" t="e">
        <f ca="1">IF(A35="","",IF(E35="","",#REF!))</f>
        <v>#REF!</v>
      </c>
      <c r="AB35" t="e">
        <f ca="1">IF(A35="","",IF(E35="","",#REF!))</f>
        <v>#REF!</v>
      </c>
      <c r="AC35" t="e">
        <f t="shared" ca="1" si="5"/>
        <v>#REF!</v>
      </c>
    </row>
    <row r="36" spans="1:29" x14ac:dyDescent="0.35">
      <c r="A36" t="e" cm="1">
        <f t="array" aca="1" ref="A36" ca="1">IF(A35="","",IF(OR(AND(A35+1&gt;=$AF$1,A35+1&lt;=$AF$2),AND(A35+1&gt;=$AF$6,A35+1&lt;=$AF$7),AND(A35+1&gt;=$AF$3,A35+1&lt;=$AF$4),AND(A35+1&gt;=$AF$8,A35+1&lt;=$AF$9),A35+1=$AF$5),IF(NOT(ISBLANK(INDIRECT("template!"&amp;"P"&amp;A35+1))),A35+1,IF(NOT(ISBLANK(INDIRECT("template!"&amp;"P"&amp;A35+2))),A35+2,A35+3)),IF(A35=$AF$2,$AF$3,IF(A35=$AF$4,$AF$5,IF(A35=$AF$5,$AF$6,IF(A35=$AF$7,$AF$8,""))))))</f>
        <v>#REF!</v>
      </c>
      <c r="B36" t="e">
        <f t="shared" ca="1" si="0"/>
        <v>#REF!</v>
      </c>
      <c r="C36" t="e" cm="1">
        <f t="array" aca="1" ref="C36" ca="1">IF(A36="","",IF(B36="safety","safety costs",INDIRECT("template!"&amp;"B"&amp;A36)))</f>
        <v>#REF!</v>
      </c>
      <c r="D36" t="e" cm="1">
        <f t="array" aca="1" ref="D36" ca="1">IF(OR(A36="",B36="safety"),"",INDIRECT("template!"&amp;"C"&amp;A36))</f>
        <v>#REF!</v>
      </c>
      <c r="E36" t="e" cm="1">
        <f t="array" aca="1" ref="E36" ca="1">IF(A36="","",IF(OR(A36=A35+1,A36=A35+2),E35,INDIRECT("template!"&amp;"D"&amp;A36-2)))</f>
        <v>#REF!</v>
      </c>
      <c r="F36" t="e" cm="1">
        <f t="array" aca="1" ref="F36" ca="1">IF(OR(A36="",B36="safety"),"",IF(ISBLANK(IF(A36=A35+1,F35,INDIRECT("template!"&amp;"D"&amp;A36-1))),"",IF(A36=A35+1,F35,INDIRECT("template!"&amp;"D"&amp;A36-1))))</f>
        <v>#REF!</v>
      </c>
      <c r="G36" t="e" cm="1">
        <f t="array" aca="1" ref="G36" ca="1">IF(OR(A36="",B36="safety"),"",IF(ISBLANK(INDIRECT("template!"&amp;"D"&amp;A36)),"",INDIRECT("template!"&amp;"D"&amp;A36)))</f>
        <v>#REF!</v>
      </c>
      <c r="H36" t="e" cm="1">
        <f t="array" aca="1" ref="H36" ca="1">IF(OR(A36="",B36="safety"),"",IF(ISBLANK(INDIRECT("template!"&amp;"E"&amp;A36)),"",INDIRECT("template!"&amp;"E"&amp;A36)))</f>
        <v>#REF!</v>
      </c>
      <c r="I36" t="e" cm="1">
        <f t="array" aca="1" ref="I36" ca="1">IF(OR(A36="",B36="safety"),"",IF(ISBLANK(INDIRECT("template!"&amp;"F"&amp;A36)),"",INDIRECT("template!"&amp;"F"&amp;A36)))</f>
        <v>#REF!</v>
      </c>
      <c r="J36" t="e" cm="1">
        <f t="array" aca="1" ref="J36" ca="1">IF(OR(A36="",B36="safety"),"",IF(ISBLANK(INDIRECT("template!"&amp;"G"&amp;A36)),"",INDIRECT("template!"&amp;"G"&amp;A36)))</f>
        <v>#REF!</v>
      </c>
      <c r="K36" t="e" cm="1">
        <f t="array" aca="1" ref="K36" ca="1">IF(OR(A36="",B36="safety"),"",IF(ISBLANK(INDIRECT("template!"&amp;"H"&amp;A36)),"",INDIRECT("template!"&amp;"H"&amp;A36)))</f>
        <v>#REF!</v>
      </c>
      <c r="L36" t="e" cm="1">
        <f t="array" aca="1" ref="L36" ca="1">IF(OR(A36="",B36="safety"),"",INDIRECT("template!"&amp;"I"&amp;A36))</f>
        <v>#REF!</v>
      </c>
      <c r="M36" t="e" cm="1">
        <f t="array" aca="1" ref="M36" ca="1">IF(OR(A36="",B36="safety"),"",INDIRECT("template!"&amp;"J"&amp;A36))</f>
        <v>#REF!</v>
      </c>
      <c r="N36" t="e" cm="1">
        <f t="array" aca="1" ref="N36" ca="1">IF(OR(A36="",B36="safety"),"",IF(ISBLANK(INDIRECT("template!"&amp;"K"&amp;A36)),"",INDIRECT("template!"&amp;"K"&amp;A36)))</f>
        <v>#REF!</v>
      </c>
      <c r="O36" t="e" cm="1">
        <f t="array" aca="1" ref="O36" ca="1">IF(OR(A36="",B36="safety"),"",INDIRECT("template!"&amp;"L"&amp;A36))</f>
        <v>#REF!</v>
      </c>
      <c r="P36" t="e" cm="1">
        <f t="array" aca="1" ref="P36" ca="1">IF(OR(A36="",B36="safety"),"",INDIRECT("template!"&amp;"M"&amp;A36))</f>
        <v>#REF!</v>
      </c>
      <c r="Q36" t="e">
        <f t="shared" ca="1" si="1"/>
        <v>#REF!</v>
      </c>
      <c r="R36" t="e">
        <f t="shared" ca="1" si="2"/>
        <v>#REF!</v>
      </c>
      <c r="S36" t="e">
        <f t="shared" ca="1" si="3"/>
        <v>#REF!</v>
      </c>
      <c r="T36" t="e">
        <f t="shared" ca="1" si="4"/>
        <v>#REF!</v>
      </c>
      <c r="U36" t="e" cm="1">
        <f t="array" aca="1" ref="U36" ca="1">IF(A36="","",IF(E36="","",IF(B36="safety",INDIRECT("template!"&amp;"P"&amp;A36),Q36+R36)))</f>
        <v>#REF!</v>
      </c>
      <c r="V36" t="e" cm="1">
        <f t="array" aca="1" ref="V36" ca="1">IF(A36="","",IF(E36="","",IF(B36="safety",INDIRECT("template!"&amp;"P"&amp;A36),S36+T36)))</f>
        <v>#REF!</v>
      </c>
      <c r="W36" t="e">
        <f ca="1">IF(A36="","",IF(E36="","",#REF!))</f>
        <v>#REF!</v>
      </c>
      <c r="X36" t="e">
        <f ca="1">IF(A36="","",IF(E36="","",#REF!))</f>
        <v>#REF!</v>
      </c>
      <c r="Y36" s="39" t="e">
        <f ca="1">IF(A36="","",IF(E36="","",#REF!))</f>
        <v>#REF!</v>
      </c>
      <c r="Z36" t="e">
        <f ca="1">IF(A36="","",IF(E36="","",#REF!))</f>
        <v>#REF!</v>
      </c>
      <c r="AA36" t="e">
        <f ca="1">IF(A36="","",IF(E36="","",#REF!))</f>
        <v>#REF!</v>
      </c>
      <c r="AB36" t="e">
        <f ca="1">IF(A36="","",IF(E36="","",#REF!))</f>
        <v>#REF!</v>
      </c>
      <c r="AC36" t="e">
        <f t="shared" ca="1" si="5"/>
        <v>#REF!</v>
      </c>
    </row>
    <row r="37" spans="1:29" x14ac:dyDescent="0.35">
      <c r="A37" t="e" cm="1">
        <f t="array" aca="1" ref="A37" ca="1">IF(A36="","",IF(OR(AND(A36+1&gt;=$AF$1,A36+1&lt;=$AF$2),AND(A36+1&gt;=$AF$6,A36+1&lt;=$AF$7),AND(A36+1&gt;=$AF$3,A36+1&lt;=$AF$4),AND(A36+1&gt;=$AF$8,A36+1&lt;=$AF$9),A36+1=$AF$5),IF(NOT(ISBLANK(INDIRECT("template!"&amp;"P"&amp;A36+1))),A36+1,IF(NOT(ISBLANK(INDIRECT("template!"&amp;"P"&amp;A36+2))),A36+2,A36+3)),IF(A36=$AF$2,$AF$3,IF(A36=$AF$4,$AF$5,IF(A36=$AF$5,$AF$6,IF(A36=$AF$7,$AF$8,""))))))</f>
        <v>#REF!</v>
      </c>
      <c r="B37" t="e">
        <f t="shared" ca="1" si="0"/>
        <v>#REF!</v>
      </c>
      <c r="C37" t="e" cm="1">
        <f t="array" aca="1" ref="C37" ca="1">IF(A37="","",IF(B37="safety","safety costs",INDIRECT("template!"&amp;"B"&amp;A37)))</f>
        <v>#REF!</v>
      </c>
      <c r="D37" t="e" cm="1">
        <f t="array" aca="1" ref="D37" ca="1">IF(OR(A37="",B37="safety"),"",INDIRECT("template!"&amp;"C"&amp;A37))</f>
        <v>#REF!</v>
      </c>
      <c r="E37" t="e" cm="1">
        <f t="array" aca="1" ref="E37" ca="1">IF(A37="","",IF(OR(A37=A36+1,A37=A36+2),E36,INDIRECT("template!"&amp;"D"&amp;A37-2)))</f>
        <v>#REF!</v>
      </c>
      <c r="F37" t="e" cm="1">
        <f t="array" aca="1" ref="F37" ca="1">IF(OR(A37="",B37="safety"),"",IF(ISBLANK(IF(A37=A36+1,F36,INDIRECT("template!"&amp;"D"&amp;A37-1))),"",IF(A37=A36+1,F36,INDIRECT("template!"&amp;"D"&amp;A37-1))))</f>
        <v>#REF!</v>
      </c>
      <c r="G37" t="e" cm="1">
        <f t="array" aca="1" ref="G37" ca="1">IF(OR(A37="",B37="safety"),"",IF(ISBLANK(INDIRECT("template!"&amp;"D"&amp;A37)),"",INDIRECT("template!"&amp;"D"&amp;A37)))</f>
        <v>#REF!</v>
      </c>
      <c r="H37" t="e" cm="1">
        <f t="array" aca="1" ref="H37" ca="1">IF(OR(A37="",B37="safety"),"",IF(ISBLANK(INDIRECT("template!"&amp;"E"&amp;A37)),"",INDIRECT("template!"&amp;"E"&amp;A37)))</f>
        <v>#REF!</v>
      </c>
      <c r="I37" t="e" cm="1">
        <f t="array" aca="1" ref="I37" ca="1">IF(OR(A37="",B37="safety"),"",IF(ISBLANK(INDIRECT("template!"&amp;"F"&amp;A37)),"",INDIRECT("template!"&amp;"F"&amp;A37)))</f>
        <v>#REF!</v>
      </c>
      <c r="J37" t="e" cm="1">
        <f t="array" aca="1" ref="J37" ca="1">IF(OR(A37="",B37="safety"),"",IF(ISBLANK(INDIRECT("template!"&amp;"G"&amp;A37)),"",INDIRECT("template!"&amp;"G"&amp;A37)))</f>
        <v>#REF!</v>
      </c>
      <c r="K37" t="e" cm="1">
        <f t="array" aca="1" ref="K37" ca="1">IF(OR(A37="",B37="safety"),"",IF(ISBLANK(INDIRECT("template!"&amp;"H"&amp;A37)),"",INDIRECT("template!"&amp;"H"&amp;A37)))</f>
        <v>#REF!</v>
      </c>
      <c r="L37" t="e" cm="1">
        <f t="array" aca="1" ref="L37" ca="1">IF(OR(A37="",B37="safety"),"",INDIRECT("template!"&amp;"I"&amp;A37))</f>
        <v>#REF!</v>
      </c>
      <c r="M37" t="e" cm="1">
        <f t="array" aca="1" ref="M37" ca="1">IF(OR(A37="",B37="safety"),"",INDIRECT("template!"&amp;"J"&amp;A37))</f>
        <v>#REF!</v>
      </c>
      <c r="N37" t="e" cm="1">
        <f t="array" aca="1" ref="N37" ca="1">IF(OR(A37="",B37="safety"),"",IF(ISBLANK(INDIRECT("template!"&amp;"K"&amp;A37)),"",INDIRECT("template!"&amp;"K"&amp;A37)))</f>
        <v>#REF!</v>
      </c>
      <c r="O37" t="e" cm="1">
        <f t="array" aca="1" ref="O37" ca="1">IF(OR(A37="",B37="safety"),"",INDIRECT("template!"&amp;"L"&amp;A37))</f>
        <v>#REF!</v>
      </c>
      <c r="P37" t="e" cm="1">
        <f t="array" aca="1" ref="P37" ca="1">IF(OR(A37="",B37="safety"),"",INDIRECT("template!"&amp;"M"&amp;A37))</f>
        <v>#REF!</v>
      </c>
      <c r="Q37" t="e">
        <f t="shared" ca="1" si="1"/>
        <v>#REF!</v>
      </c>
      <c r="R37" t="e">
        <f t="shared" ca="1" si="2"/>
        <v>#REF!</v>
      </c>
      <c r="S37" t="e">
        <f t="shared" ca="1" si="3"/>
        <v>#REF!</v>
      </c>
      <c r="T37" t="e">
        <f t="shared" ca="1" si="4"/>
        <v>#REF!</v>
      </c>
      <c r="U37" t="e" cm="1">
        <f t="array" aca="1" ref="U37" ca="1">IF(A37="","",IF(E37="","",IF(B37="safety",INDIRECT("template!"&amp;"P"&amp;A37),Q37+R37)))</f>
        <v>#REF!</v>
      </c>
      <c r="V37" t="e" cm="1">
        <f t="array" aca="1" ref="V37" ca="1">IF(A37="","",IF(E37="","",IF(B37="safety",INDIRECT("template!"&amp;"P"&amp;A37),S37+T37)))</f>
        <v>#REF!</v>
      </c>
      <c r="W37" t="e">
        <f ca="1">IF(A37="","",IF(E37="","",#REF!))</f>
        <v>#REF!</v>
      </c>
      <c r="X37" t="e">
        <f ca="1">IF(A37="","",IF(E37="","",#REF!))</f>
        <v>#REF!</v>
      </c>
      <c r="Y37" s="39" t="e">
        <f ca="1">IF(A37="","",IF(E37="","",#REF!))</f>
        <v>#REF!</v>
      </c>
      <c r="Z37" t="e">
        <f ca="1">IF(A37="","",IF(E37="","",#REF!))</f>
        <v>#REF!</v>
      </c>
      <c r="AA37" t="e">
        <f ca="1">IF(A37="","",IF(E37="","",#REF!))</f>
        <v>#REF!</v>
      </c>
      <c r="AB37" t="e">
        <f ca="1">IF(A37="","",IF(E37="","",#REF!))</f>
        <v>#REF!</v>
      </c>
      <c r="AC37" t="e">
        <f t="shared" ca="1" si="5"/>
        <v>#REF!</v>
      </c>
    </row>
    <row r="38" spans="1:29" x14ac:dyDescent="0.35">
      <c r="A38" t="e" cm="1">
        <f t="array" aca="1" ref="A38" ca="1">IF(A37="","",IF(OR(AND(A37+1&gt;=$AF$1,A37+1&lt;=$AF$2),AND(A37+1&gt;=$AF$6,A37+1&lt;=$AF$7),AND(A37+1&gt;=$AF$3,A37+1&lt;=$AF$4),AND(A37+1&gt;=$AF$8,A37+1&lt;=$AF$9),A37+1=$AF$5),IF(NOT(ISBLANK(INDIRECT("template!"&amp;"P"&amp;A37+1))),A37+1,IF(NOT(ISBLANK(INDIRECT("template!"&amp;"P"&amp;A37+2))),A37+2,A37+3)),IF(A37=$AF$2,$AF$3,IF(A37=$AF$4,$AF$5,IF(A37=$AF$5,$AF$6,IF(A37=$AF$7,$AF$8,""))))))</f>
        <v>#REF!</v>
      </c>
      <c r="B38" t="e">
        <f t="shared" ca="1" si="0"/>
        <v>#REF!</v>
      </c>
      <c r="C38" t="e" cm="1">
        <f t="array" aca="1" ref="C38" ca="1">IF(A38="","",IF(B38="safety","safety costs",INDIRECT("template!"&amp;"B"&amp;A38)))</f>
        <v>#REF!</v>
      </c>
      <c r="D38" t="e" cm="1">
        <f t="array" aca="1" ref="D38" ca="1">IF(OR(A38="",B38="safety"),"",INDIRECT("template!"&amp;"C"&amp;A38))</f>
        <v>#REF!</v>
      </c>
      <c r="E38" t="e" cm="1">
        <f t="array" aca="1" ref="E38" ca="1">IF(A38="","",IF(OR(A38=A37+1,A38=A37+2),E37,INDIRECT("template!"&amp;"D"&amp;A38-2)))</f>
        <v>#REF!</v>
      </c>
      <c r="F38" t="e" cm="1">
        <f t="array" aca="1" ref="F38" ca="1">IF(OR(A38="",B38="safety"),"",IF(ISBLANK(IF(A38=A37+1,F37,INDIRECT("template!"&amp;"D"&amp;A38-1))),"",IF(A38=A37+1,F37,INDIRECT("template!"&amp;"D"&amp;A38-1))))</f>
        <v>#REF!</v>
      </c>
      <c r="G38" t="e" cm="1">
        <f t="array" aca="1" ref="G38" ca="1">IF(OR(A38="",B38="safety"),"",IF(ISBLANK(INDIRECT("template!"&amp;"D"&amp;A38)),"",INDIRECT("template!"&amp;"D"&amp;A38)))</f>
        <v>#REF!</v>
      </c>
      <c r="H38" t="e" cm="1">
        <f t="array" aca="1" ref="H38" ca="1">IF(OR(A38="",B38="safety"),"",IF(ISBLANK(INDIRECT("template!"&amp;"E"&amp;A38)),"",INDIRECT("template!"&amp;"E"&amp;A38)))</f>
        <v>#REF!</v>
      </c>
      <c r="I38" t="e" cm="1">
        <f t="array" aca="1" ref="I38" ca="1">IF(OR(A38="",B38="safety"),"",IF(ISBLANK(INDIRECT("template!"&amp;"F"&amp;A38)),"",INDIRECT("template!"&amp;"F"&amp;A38)))</f>
        <v>#REF!</v>
      </c>
      <c r="J38" t="e" cm="1">
        <f t="array" aca="1" ref="J38" ca="1">IF(OR(A38="",B38="safety"),"",IF(ISBLANK(INDIRECT("template!"&amp;"G"&amp;A38)),"",INDIRECT("template!"&amp;"G"&amp;A38)))</f>
        <v>#REF!</v>
      </c>
      <c r="K38" t="e" cm="1">
        <f t="array" aca="1" ref="K38" ca="1">IF(OR(A38="",B38="safety"),"",IF(ISBLANK(INDIRECT("template!"&amp;"H"&amp;A38)),"",INDIRECT("template!"&amp;"H"&amp;A38)))</f>
        <v>#REF!</v>
      </c>
      <c r="L38" t="e" cm="1">
        <f t="array" aca="1" ref="L38" ca="1">IF(OR(A38="",B38="safety"),"",INDIRECT("template!"&amp;"I"&amp;A38))</f>
        <v>#REF!</v>
      </c>
      <c r="M38" t="e" cm="1">
        <f t="array" aca="1" ref="M38" ca="1">IF(OR(A38="",B38="safety"),"",INDIRECT("template!"&amp;"J"&amp;A38))</f>
        <v>#REF!</v>
      </c>
      <c r="N38" t="e" cm="1">
        <f t="array" aca="1" ref="N38" ca="1">IF(OR(A38="",B38="safety"),"",IF(ISBLANK(INDIRECT("template!"&amp;"K"&amp;A38)),"",INDIRECT("template!"&amp;"K"&amp;A38)))</f>
        <v>#REF!</v>
      </c>
      <c r="O38" t="e" cm="1">
        <f t="array" aca="1" ref="O38" ca="1">IF(OR(A38="",B38="safety"),"",INDIRECT("template!"&amp;"L"&amp;A38))</f>
        <v>#REF!</v>
      </c>
      <c r="P38" t="e" cm="1">
        <f t="array" aca="1" ref="P38" ca="1">IF(OR(A38="",B38="safety"),"",INDIRECT("template!"&amp;"M"&amp;A38))</f>
        <v>#REF!</v>
      </c>
      <c r="Q38" t="e">
        <f t="shared" ca="1" si="1"/>
        <v>#REF!</v>
      </c>
      <c r="R38" t="e">
        <f t="shared" ca="1" si="2"/>
        <v>#REF!</v>
      </c>
      <c r="S38" t="e">
        <f t="shared" ca="1" si="3"/>
        <v>#REF!</v>
      </c>
      <c r="T38" t="e">
        <f t="shared" ca="1" si="4"/>
        <v>#REF!</v>
      </c>
      <c r="U38" t="e" cm="1">
        <f t="array" aca="1" ref="U38" ca="1">IF(A38="","",IF(E38="","",IF(B38="safety",INDIRECT("template!"&amp;"P"&amp;A38),Q38+R38)))</f>
        <v>#REF!</v>
      </c>
      <c r="V38" t="e" cm="1">
        <f t="array" aca="1" ref="V38" ca="1">IF(A38="","",IF(E38="","",IF(B38="safety",INDIRECT("template!"&amp;"P"&amp;A38),S38+T38)))</f>
        <v>#REF!</v>
      </c>
      <c r="W38" t="e">
        <f ca="1">IF(A38="","",IF(E38="","",#REF!))</f>
        <v>#REF!</v>
      </c>
      <c r="X38" t="e">
        <f ca="1">IF(A38="","",IF(E38="","",#REF!))</f>
        <v>#REF!</v>
      </c>
      <c r="Y38" s="39" t="e">
        <f ca="1">IF(A38="","",IF(E38="","",#REF!))</f>
        <v>#REF!</v>
      </c>
      <c r="Z38" t="e">
        <f ca="1">IF(A38="","",IF(E38="","",#REF!))</f>
        <v>#REF!</v>
      </c>
      <c r="AA38" t="e">
        <f ca="1">IF(A38="","",IF(E38="","",#REF!))</f>
        <v>#REF!</v>
      </c>
      <c r="AB38" t="e">
        <f ca="1">IF(A38="","",IF(E38="","",#REF!))</f>
        <v>#REF!</v>
      </c>
      <c r="AC38" t="e">
        <f t="shared" ca="1" si="5"/>
        <v>#REF!</v>
      </c>
    </row>
    <row r="39" spans="1:29" x14ac:dyDescent="0.35">
      <c r="A39" t="e" cm="1">
        <f t="array" aca="1" ref="A39" ca="1">IF(A38="","",IF(OR(AND(A38+1&gt;=$AF$1,A38+1&lt;=$AF$2),AND(A38+1&gt;=$AF$6,A38+1&lt;=$AF$7),AND(A38+1&gt;=$AF$3,A38+1&lt;=$AF$4),AND(A38+1&gt;=$AF$8,A38+1&lt;=$AF$9),A38+1=$AF$5),IF(NOT(ISBLANK(INDIRECT("template!"&amp;"P"&amp;A38+1))),A38+1,IF(NOT(ISBLANK(INDIRECT("template!"&amp;"P"&amp;A38+2))),A38+2,A38+3)),IF(A38=$AF$2,$AF$3,IF(A38=$AF$4,$AF$5,IF(A38=$AF$5,$AF$6,IF(A38=$AF$7,$AF$8,""))))))</f>
        <v>#REF!</v>
      </c>
      <c r="B39" t="e">
        <f t="shared" ca="1" si="0"/>
        <v>#REF!</v>
      </c>
      <c r="C39" t="e" cm="1">
        <f t="array" aca="1" ref="C39" ca="1">IF(A39="","",IF(B39="safety","safety costs",INDIRECT("template!"&amp;"B"&amp;A39)))</f>
        <v>#REF!</v>
      </c>
      <c r="D39" t="e" cm="1">
        <f t="array" aca="1" ref="D39" ca="1">IF(OR(A39="",B39="safety"),"",INDIRECT("template!"&amp;"C"&amp;A39))</f>
        <v>#REF!</v>
      </c>
      <c r="E39" t="e" cm="1">
        <f t="array" aca="1" ref="E39" ca="1">IF(A39="","",IF(OR(A39=A38+1,A39=A38+2),E38,INDIRECT("template!"&amp;"D"&amp;A39-2)))</f>
        <v>#REF!</v>
      </c>
      <c r="F39" t="e" cm="1">
        <f t="array" aca="1" ref="F39" ca="1">IF(OR(A39="",B39="safety"),"",IF(ISBLANK(IF(A39=A38+1,F38,INDIRECT("template!"&amp;"D"&amp;A39-1))),"",IF(A39=A38+1,F38,INDIRECT("template!"&amp;"D"&amp;A39-1))))</f>
        <v>#REF!</v>
      </c>
      <c r="G39" t="e" cm="1">
        <f t="array" aca="1" ref="G39" ca="1">IF(OR(A39="",B39="safety"),"",IF(ISBLANK(INDIRECT("template!"&amp;"D"&amp;A39)),"",INDIRECT("template!"&amp;"D"&amp;A39)))</f>
        <v>#REF!</v>
      </c>
      <c r="H39" t="e" cm="1">
        <f t="array" aca="1" ref="H39" ca="1">IF(OR(A39="",B39="safety"),"",IF(ISBLANK(INDIRECT("template!"&amp;"E"&amp;A39)),"",INDIRECT("template!"&amp;"E"&amp;A39)))</f>
        <v>#REF!</v>
      </c>
      <c r="I39" t="e" cm="1">
        <f t="array" aca="1" ref="I39" ca="1">IF(OR(A39="",B39="safety"),"",IF(ISBLANK(INDIRECT("template!"&amp;"F"&amp;A39)),"",INDIRECT("template!"&amp;"F"&amp;A39)))</f>
        <v>#REF!</v>
      </c>
      <c r="J39" t="e" cm="1">
        <f t="array" aca="1" ref="J39" ca="1">IF(OR(A39="",B39="safety"),"",IF(ISBLANK(INDIRECT("template!"&amp;"G"&amp;A39)),"",INDIRECT("template!"&amp;"G"&amp;A39)))</f>
        <v>#REF!</v>
      </c>
      <c r="K39" t="e" cm="1">
        <f t="array" aca="1" ref="K39" ca="1">IF(OR(A39="",B39="safety"),"",IF(ISBLANK(INDIRECT("template!"&amp;"H"&amp;A39)),"",INDIRECT("template!"&amp;"H"&amp;A39)))</f>
        <v>#REF!</v>
      </c>
      <c r="L39" t="e" cm="1">
        <f t="array" aca="1" ref="L39" ca="1">IF(OR(A39="",B39="safety"),"",INDIRECT("template!"&amp;"I"&amp;A39))</f>
        <v>#REF!</v>
      </c>
      <c r="M39" t="e" cm="1">
        <f t="array" aca="1" ref="M39" ca="1">IF(OR(A39="",B39="safety"),"",INDIRECT("template!"&amp;"J"&amp;A39))</f>
        <v>#REF!</v>
      </c>
      <c r="N39" t="e" cm="1">
        <f t="array" aca="1" ref="N39" ca="1">IF(OR(A39="",B39="safety"),"",IF(ISBLANK(INDIRECT("template!"&amp;"K"&amp;A39)),"",INDIRECT("template!"&amp;"K"&amp;A39)))</f>
        <v>#REF!</v>
      </c>
      <c r="O39" t="e" cm="1">
        <f t="array" aca="1" ref="O39" ca="1">IF(OR(A39="",B39="safety"),"",INDIRECT("template!"&amp;"L"&amp;A39))</f>
        <v>#REF!</v>
      </c>
      <c r="P39" t="e" cm="1">
        <f t="array" aca="1" ref="P39" ca="1">IF(OR(A39="",B39="safety"),"",INDIRECT("template!"&amp;"M"&amp;A39))</f>
        <v>#REF!</v>
      </c>
      <c r="Q39" t="e">
        <f t="shared" ca="1" si="1"/>
        <v>#REF!</v>
      </c>
      <c r="R39" t="e">
        <f t="shared" ca="1" si="2"/>
        <v>#REF!</v>
      </c>
      <c r="S39" t="e">
        <f t="shared" ca="1" si="3"/>
        <v>#REF!</v>
      </c>
      <c r="T39" t="e">
        <f t="shared" ca="1" si="4"/>
        <v>#REF!</v>
      </c>
      <c r="U39" t="e" cm="1">
        <f t="array" aca="1" ref="U39" ca="1">IF(A39="","",IF(E39="","",IF(B39="safety",INDIRECT("template!"&amp;"P"&amp;A39),Q39+R39)))</f>
        <v>#REF!</v>
      </c>
      <c r="V39" t="e" cm="1">
        <f t="array" aca="1" ref="V39" ca="1">IF(A39="","",IF(E39="","",IF(B39="safety",INDIRECT("template!"&amp;"P"&amp;A39),S39+T39)))</f>
        <v>#REF!</v>
      </c>
      <c r="W39" t="e">
        <f ca="1">IF(A39="","",IF(E39="","",#REF!))</f>
        <v>#REF!</v>
      </c>
      <c r="X39" t="e">
        <f ca="1">IF(A39="","",IF(E39="","",#REF!))</f>
        <v>#REF!</v>
      </c>
      <c r="Y39" s="39" t="e">
        <f ca="1">IF(A39="","",IF(E39="","",#REF!))</f>
        <v>#REF!</v>
      </c>
      <c r="Z39" t="e">
        <f ca="1">IF(A39="","",IF(E39="","",#REF!))</f>
        <v>#REF!</v>
      </c>
      <c r="AA39" t="e">
        <f ca="1">IF(A39="","",IF(E39="","",#REF!))</f>
        <v>#REF!</v>
      </c>
      <c r="AB39" t="e">
        <f ca="1">IF(A39="","",IF(E39="","",#REF!))</f>
        <v>#REF!</v>
      </c>
      <c r="AC39" t="e">
        <f t="shared" ca="1" si="5"/>
        <v>#REF!</v>
      </c>
    </row>
    <row r="40" spans="1:29" x14ac:dyDescent="0.35">
      <c r="A40" t="e" cm="1">
        <f t="array" aca="1" ref="A40" ca="1">IF(A39="","",IF(OR(AND(A39+1&gt;=$AF$1,A39+1&lt;=$AF$2),AND(A39+1&gt;=$AF$6,A39+1&lt;=$AF$7),AND(A39+1&gt;=$AF$3,A39+1&lt;=$AF$4),AND(A39+1&gt;=$AF$8,A39+1&lt;=$AF$9),A39+1=$AF$5),IF(NOT(ISBLANK(INDIRECT("template!"&amp;"P"&amp;A39+1))),A39+1,IF(NOT(ISBLANK(INDIRECT("template!"&amp;"P"&amp;A39+2))),A39+2,A39+3)),IF(A39=$AF$2,$AF$3,IF(A39=$AF$4,$AF$5,IF(A39=$AF$5,$AF$6,IF(A39=$AF$7,$AF$8,""))))))</f>
        <v>#REF!</v>
      </c>
      <c r="B40" t="e">
        <f t="shared" ca="1" si="0"/>
        <v>#REF!</v>
      </c>
      <c r="C40" t="e" cm="1">
        <f t="array" aca="1" ref="C40" ca="1">IF(A40="","",IF(B40="safety","safety costs",INDIRECT("template!"&amp;"B"&amp;A40)))</f>
        <v>#REF!</v>
      </c>
      <c r="D40" t="e" cm="1">
        <f t="array" aca="1" ref="D40" ca="1">IF(OR(A40="",B40="safety"),"",INDIRECT("template!"&amp;"C"&amp;A40))</f>
        <v>#REF!</v>
      </c>
      <c r="E40" t="e" cm="1">
        <f t="array" aca="1" ref="E40" ca="1">IF(A40="","",IF(OR(A40=A39+1,A40=A39+2),E39,INDIRECT("template!"&amp;"D"&amp;A40-2)))</f>
        <v>#REF!</v>
      </c>
      <c r="F40" t="e" cm="1">
        <f t="array" aca="1" ref="F40" ca="1">IF(OR(A40="",B40="safety"),"",IF(ISBLANK(IF(A40=A39+1,F39,INDIRECT("template!"&amp;"D"&amp;A40-1))),"",IF(A40=A39+1,F39,INDIRECT("template!"&amp;"D"&amp;A40-1))))</f>
        <v>#REF!</v>
      </c>
      <c r="G40" t="e" cm="1">
        <f t="array" aca="1" ref="G40" ca="1">IF(OR(A40="",B40="safety"),"",IF(ISBLANK(INDIRECT("template!"&amp;"D"&amp;A40)),"",INDIRECT("template!"&amp;"D"&amp;A40)))</f>
        <v>#REF!</v>
      </c>
      <c r="H40" t="e" cm="1">
        <f t="array" aca="1" ref="H40" ca="1">IF(OR(A40="",B40="safety"),"",IF(ISBLANK(INDIRECT("template!"&amp;"E"&amp;A40)),"",INDIRECT("template!"&amp;"E"&amp;A40)))</f>
        <v>#REF!</v>
      </c>
      <c r="I40" t="e" cm="1">
        <f t="array" aca="1" ref="I40" ca="1">IF(OR(A40="",B40="safety"),"",IF(ISBLANK(INDIRECT("template!"&amp;"F"&amp;A40)),"",INDIRECT("template!"&amp;"F"&amp;A40)))</f>
        <v>#REF!</v>
      </c>
      <c r="J40" t="e" cm="1">
        <f t="array" aca="1" ref="J40" ca="1">IF(OR(A40="",B40="safety"),"",IF(ISBLANK(INDIRECT("template!"&amp;"G"&amp;A40)),"",INDIRECT("template!"&amp;"G"&amp;A40)))</f>
        <v>#REF!</v>
      </c>
      <c r="K40" t="e" cm="1">
        <f t="array" aca="1" ref="K40" ca="1">IF(OR(A40="",B40="safety"),"",IF(ISBLANK(INDIRECT("template!"&amp;"H"&amp;A40)),"",INDIRECT("template!"&amp;"H"&amp;A40)))</f>
        <v>#REF!</v>
      </c>
      <c r="L40" t="e" cm="1">
        <f t="array" aca="1" ref="L40" ca="1">IF(OR(A40="",B40="safety"),"",INDIRECT("template!"&amp;"I"&amp;A40))</f>
        <v>#REF!</v>
      </c>
      <c r="M40" t="e" cm="1">
        <f t="array" aca="1" ref="M40" ca="1">IF(OR(A40="",B40="safety"),"",INDIRECT("template!"&amp;"J"&amp;A40))</f>
        <v>#REF!</v>
      </c>
      <c r="N40" t="e" cm="1">
        <f t="array" aca="1" ref="N40" ca="1">IF(OR(A40="",B40="safety"),"",IF(ISBLANK(INDIRECT("template!"&amp;"K"&amp;A40)),"",INDIRECT("template!"&amp;"K"&amp;A40)))</f>
        <v>#REF!</v>
      </c>
      <c r="O40" t="e" cm="1">
        <f t="array" aca="1" ref="O40" ca="1">IF(OR(A40="",B40="safety"),"",INDIRECT("template!"&amp;"L"&amp;A40))</f>
        <v>#REF!</v>
      </c>
      <c r="P40" t="e" cm="1">
        <f t="array" aca="1" ref="P40" ca="1">IF(OR(A40="",B40="safety"),"",INDIRECT("template!"&amp;"M"&amp;A40))</f>
        <v>#REF!</v>
      </c>
      <c r="Q40" t="e">
        <f t="shared" ca="1" si="1"/>
        <v>#REF!</v>
      </c>
      <c r="R40" t="e">
        <f t="shared" ca="1" si="2"/>
        <v>#REF!</v>
      </c>
      <c r="S40" t="e">
        <f t="shared" ca="1" si="3"/>
        <v>#REF!</v>
      </c>
      <c r="T40" t="e">
        <f t="shared" ca="1" si="4"/>
        <v>#REF!</v>
      </c>
      <c r="U40" t="e" cm="1">
        <f t="array" aca="1" ref="U40" ca="1">IF(A40="","",IF(E40="","",IF(B40="safety",INDIRECT("template!"&amp;"P"&amp;A40),Q40+R40)))</f>
        <v>#REF!</v>
      </c>
      <c r="V40" t="e" cm="1">
        <f t="array" aca="1" ref="V40" ca="1">IF(A40="","",IF(E40="","",IF(B40="safety",INDIRECT("template!"&amp;"P"&amp;A40),S40+T40)))</f>
        <v>#REF!</v>
      </c>
      <c r="W40" t="e">
        <f ca="1">IF(A40="","",IF(E40="","",#REF!))</f>
        <v>#REF!</v>
      </c>
      <c r="X40" t="e">
        <f ca="1">IF(A40="","",IF(E40="","",#REF!))</f>
        <v>#REF!</v>
      </c>
      <c r="Y40" s="39" t="e">
        <f ca="1">IF(A40="","",IF(E40="","",#REF!))</f>
        <v>#REF!</v>
      </c>
      <c r="Z40" t="e">
        <f ca="1">IF(A40="","",IF(E40="","",#REF!))</f>
        <v>#REF!</v>
      </c>
      <c r="AA40" t="e">
        <f ca="1">IF(A40="","",IF(E40="","",#REF!))</f>
        <v>#REF!</v>
      </c>
      <c r="AB40" t="e">
        <f ca="1">IF(A40="","",IF(E40="","",#REF!))</f>
        <v>#REF!</v>
      </c>
      <c r="AC40" t="e">
        <f t="shared" ca="1" si="5"/>
        <v>#REF!</v>
      </c>
    </row>
    <row r="41" spans="1:29" x14ac:dyDescent="0.35">
      <c r="A41" t="e" cm="1">
        <f t="array" aca="1" ref="A41" ca="1">IF(A40="","",IF(OR(AND(A40+1&gt;=$AF$1,A40+1&lt;=$AF$2),AND(A40+1&gt;=$AF$6,A40+1&lt;=$AF$7),AND(A40+1&gt;=$AF$3,A40+1&lt;=$AF$4),AND(A40+1&gt;=$AF$8,A40+1&lt;=$AF$9),A40+1=$AF$5),IF(NOT(ISBLANK(INDIRECT("template!"&amp;"P"&amp;A40+1))),A40+1,IF(NOT(ISBLANK(INDIRECT("template!"&amp;"P"&amp;A40+2))),A40+2,A40+3)),IF(A40=$AF$2,$AF$3,IF(A40=$AF$4,$AF$5,IF(A40=$AF$5,$AF$6,IF(A40=$AF$7,$AF$8,""))))))</f>
        <v>#REF!</v>
      </c>
      <c r="B41" t="e">
        <f t="shared" ca="1" si="0"/>
        <v>#REF!</v>
      </c>
      <c r="C41" t="e" cm="1">
        <f t="array" aca="1" ref="C41" ca="1">IF(A41="","",IF(B41="safety","safety costs",INDIRECT("template!"&amp;"B"&amp;A41)))</f>
        <v>#REF!</v>
      </c>
      <c r="D41" t="e" cm="1">
        <f t="array" aca="1" ref="D41" ca="1">IF(OR(A41="",B41="safety"),"",INDIRECT("template!"&amp;"C"&amp;A41))</f>
        <v>#REF!</v>
      </c>
      <c r="E41" t="e" cm="1">
        <f t="array" aca="1" ref="E41" ca="1">IF(A41="","",IF(OR(A41=A40+1,A41=A40+2),E40,INDIRECT("template!"&amp;"D"&amp;A41-2)))</f>
        <v>#REF!</v>
      </c>
      <c r="F41" t="e" cm="1">
        <f t="array" aca="1" ref="F41" ca="1">IF(OR(A41="",B41="safety"),"",IF(ISBLANK(IF(A41=A40+1,F40,INDIRECT("template!"&amp;"D"&amp;A41-1))),"",IF(A41=A40+1,F40,INDIRECT("template!"&amp;"D"&amp;A41-1))))</f>
        <v>#REF!</v>
      </c>
      <c r="G41" t="e" cm="1">
        <f t="array" aca="1" ref="G41" ca="1">IF(OR(A41="",B41="safety"),"",IF(ISBLANK(INDIRECT("template!"&amp;"D"&amp;A41)),"",INDIRECT("template!"&amp;"D"&amp;A41)))</f>
        <v>#REF!</v>
      </c>
      <c r="H41" t="e" cm="1">
        <f t="array" aca="1" ref="H41" ca="1">IF(OR(A41="",B41="safety"),"",IF(ISBLANK(INDIRECT("template!"&amp;"E"&amp;A41)),"",INDIRECT("template!"&amp;"E"&amp;A41)))</f>
        <v>#REF!</v>
      </c>
      <c r="I41" t="e" cm="1">
        <f t="array" aca="1" ref="I41" ca="1">IF(OR(A41="",B41="safety"),"",IF(ISBLANK(INDIRECT("template!"&amp;"F"&amp;A41)),"",INDIRECT("template!"&amp;"F"&amp;A41)))</f>
        <v>#REF!</v>
      </c>
      <c r="J41" t="e" cm="1">
        <f t="array" aca="1" ref="J41" ca="1">IF(OR(A41="",B41="safety"),"",IF(ISBLANK(INDIRECT("template!"&amp;"G"&amp;A41)),"",INDIRECT("template!"&amp;"G"&amp;A41)))</f>
        <v>#REF!</v>
      </c>
      <c r="K41" t="e" cm="1">
        <f t="array" aca="1" ref="K41" ca="1">IF(OR(A41="",B41="safety"),"",IF(ISBLANK(INDIRECT("template!"&amp;"H"&amp;A41)),"",INDIRECT("template!"&amp;"H"&amp;A41)))</f>
        <v>#REF!</v>
      </c>
      <c r="L41" t="e" cm="1">
        <f t="array" aca="1" ref="L41" ca="1">IF(OR(A41="",B41="safety"),"",INDIRECT("template!"&amp;"I"&amp;A41))</f>
        <v>#REF!</v>
      </c>
      <c r="M41" t="e" cm="1">
        <f t="array" aca="1" ref="M41" ca="1">IF(OR(A41="",B41="safety"),"",INDIRECT("template!"&amp;"J"&amp;A41))</f>
        <v>#REF!</v>
      </c>
      <c r="N41" t="e" cm="1">
        <f t="array" aca="1" ref="N41" ca="1">IF(OR(A41="",B41="safety"),"",IF(ISBLANK(INDIRECT("template!"&amp;"K"&amp;A41)),"",INDIRECT("template!"&amp;"K"&amp;A41)))</f>
        <v>#REF!</v>
      </c>
      <c r="O41" t="e" cm="1">
        <f t="array" aca="1" ref="O41" ca="1">IF(OR(A41="",B41="safety"),"",INDIRECT("template!"&amp;"L"&amp;A41))</f>
        <v>#REF!</v>
      </c>
      <c r="P41" t="e" cm="1">
        <f t="array" aca="1" ref="P41" ca="1">IF(OR(A41="",B41="safety"),"",INDIRECT("template!"&amp;"M"&amp;A41))</f>
        <v>#REF!</v>
      </c>
      <c r="Q41" t="e">
        <f t="shared" ca="1" si="1"/>
        <v>#REF!</v>
      </c>
      <c r="R41" t="e">
        <f t="shared" ca="1" si="2"/>
        <v>#REF!</v>
      </c>
      <c r="S41" t="e">
        <f t="shared" ca="1" si="3"/>
        <v>#REF!</v>
      </c>
      <c r="T41" t="e">
        <f t="shared" ca="1" si="4"/>
        <v>#REF!</v>
      </c>
      <c r="U41" t="e" cm="1">
        <f t="array" aca="1" ref="U41" ca="1">IF(A41="","",IF(E41="","",IF(B41="safety",INDIRECT("template!"&amp;"P"&amp;A41),Q41+R41)))</f>
        <v>#REF!</v>
      </c>
      <c r="V41" t="e" cm="1">
        <f t="array" aca="1" ref="V41" ca="1">IF(A41="","",IF(E41="","",IF(B41="safety",INDIRECT("template!"&amp;"P"&amp;A41),S41+T41)))</f>
        <v>#REF!</v>
      </c>
      <c r="W41" t="e">
        <f ca="1">IF(A41="","",IF(E41="","",#REF!))</f>
        <v>#REF!</v>
      </c>
      <c r="X41" t="e">
        <f ca="1">IF(A41="","",IF(E41="","",#REF!))</f>
        <v>#REF!</v>
      </c>
      <c r="Y41" s="39" t="e">
        <f ca="1">IF(A41="","",IF(E41="","",#REF!))</f>
        <v>#REF!</v>
      </c>
      <c r="Z41" t="e">
        <f ca="1">IF(A41="","",IF(E41="","",#REF!))</f>
        <v>#REF!</v>
      </c>
      <c r="AA41" t="e">
        <f ca="1">IF(A41="","",IF(E41="","",#REF!))</f>
        <v>#REF!</v>
      </c>
      <c r="AB41" t="e">
        <f ca="1">IF(A41="","",IF(E41="","",#REF!))</f>
        <v>#REF!</v>
      </c>
      <c r="AC41" t="e">
        <f t="shared" ca="1" si="5"/>
        <v>#REF!</v>
      </c>
    </row>
    <row r="42" spans="1:29" x14ac:dyDescent="0.35">
      <c r="A42" t="e" cm="1">
        <f t="array" aca="1" ref="A42" ca="1">IF(A41="","",IF(OR(AND(A41+1&gt;=$AF$1,A41+1&lt;=$AF$2),AND(A41+1&gt;=$AF$6,A41+1&lt;=$AF$7),AND(A41+1&gt;=$AF$3,A41+1&lt;=$AF$4),AND(A41+1&gt;=$AF$8,A41+1&lt;=$AF$9),A41+1=$AF$5),IF(NOT(ISBLANK(INDIRECT("template!"&amp;"P"&amp;A41+1))),A41+1,IF(NOT(ISBLANK(INDIRECT("template!"&amp;"P"&amp;A41+2))),A41+2,A41+3)),IF(A41=$AF$2,$AF$3,IF(A41=$AF$4,$AF$5,IF(A41=$AF$5,$AF$6,IF(A41=$AF$7,$AF$8,""))))))</f>
        <v>#REF!</v>
      </c>
      <c r="B42" t="e">
        <f t="shared" ca="1" si="0"/>
        <v>#REF!</v>
      </c>
      <c r="C42" t="e" cm="1">
        <f t="array" aca="1" ref="C42" ca="1">IF(A42="","",IF(B42="safety","safety costs",INDIRECT("template!"&amp;"B"&amp;A42)))</f>
        <v>#REF!</v>
      </c>
      <c r="D42" t="e" cm="1">
        <f t="array" aca="1" ref="D42" ca="1">IF(OR(A42="",B42="safety"),"",INDIRECT("template!"&amp;"C"&amp;A42))</f>
        <v>#REF!</v>
      </c>
      <c r="E42" t="e" cm="1">
        <f t="array" aca="1" ref="E42" ca="1">IF(A42="","",IF(OR(A42=A41+1,A42=A41+2),E41,INDIRECT("template!"&amp;"D"&amp;A42-2)))</f>
        <v>#REF!</v>
      </c>
      <c r="F42" t="e" cm="1">
        <f t="array" aca="1" ref="F42" ca="1">IF(OR(A42="",B42="safety"),"",IF(ISBLANK(IF(A42=A41+1,F41,INDIRECT("template!"&amp;"D"&amp;A42-1))),"",IF(A42=A41+1,F41,INDIRECT("template!"&amp;"D"&amp;A42-1))))</f>
        <v>#REF!</v>
      </c>
      <c r="G42" t="e" cm="1">
        <f t="array" aca="1" ref="G42" ca="1">IF(OR(A42="",B42="safety"),"",IF(ISBLANK(INDIRECT("template!"&amp;"D"&amp;A42)),"",INDIRECT("template!"&amp;"D"&amp;A42)))</f>
        <v>#REF!</v>
      </c>
      <c r="H42" t="e" cm="1">
        <f t="array" aca="1" ref="H42" ca="1">IF(OR(A42="",B42="safety"),"",IF(ISBLANK(INDIRECT("template!"&amp;"E"&amp;A42)),"",INDIRECT("template!"&amp;"E"&amp;A42)))</f>
        <v>#REF!</v>
      </c>
      <c r="I42" t="e" cm="1">
        <f t="array" aca="1" ref="I42" ca="1">IF(OR(A42="",B42="safety"),"",IF(ISBLANK(INDIRECT("template!"&amp;"F"&amp;A42)),"",INDIRECT("template!"&amp;"F"&amp;A42)))</f>
        <v>#REF!</v>
      </c>
      <c r="J42" t="e" cm="1">
        <f t="array" aca="1" ref="J42" ca="1">IF(OR(A42="",B42="safety"),"",IF(ISBLANK(INDIRECT("template!"&amp;"G"&amp;A42)),"",INDIRECT("template!"&amp;"G"&amp;A42)))</f>
        <v>#REF!</v>
      </c>
      <c r="K42" t="e" cm="1">
        <f t="array" aca="1" ref="K42" ca="1">IF(OR(A42="",B42="safety"),"",IF(ISBLANK(INDIRECT("template!"&amp;"H"&amp;A42)),"",INDIRECT("template!"&amp;"H"&amp;A42)))</f>
        <v>#REF!</v>
      </c>
      <c r="L42" t="e" cm="1">
        <f t="array" aca="1" ref="L42" ca="1">IF(OR(A42="",B42="safety"),"",INDIRECT("template!"&amp;"I"&amp;A42))</f>
        <v>#REF!</v>
      </c>
      <c r="M42" t="e" cm="1">
        <f t="array" aca="1" ref="M42" ca="1">IF(OR(A42="",B42="safety"),"",INDIRECT("template!"&amp;"J"&amp;A42))</f>
        <v>#REF!</v>
      </c>
      <c r="N42" t="e" cm="1">
        <f t="array" aca="1" ref="N42" ca="1">IF(OR(A42="",B42="safety"),"",IF(ISBLANK(INDIRECT("template!"&amp;"K"&amp;A42)),"",INDIRECT("template!"&amp;"K"&amp;A42)))</f>
        <v>#REF!</v>
      </c>
      <c r="O42" t="e" cm="1">
        <f t="array" aca="1" ref="O42" ca="1">IF(OR(A42="",B42="safety"),"",INDIRECT("template!"&amp;"L"&amp;A42))</f>
        <v>#REF!</v>
      </c>
      <c r="P42" t="e" cm="1">
        <f t="array" aca="1" ref="P42" ca="1">IF(OR(A42="",B42="safety"),"",INDIRECT("template!"&amp;"M"&amp;A42))</f>
        <v>#REF!</v>
      </c>
      <c r="Q42" t="e">
        <f t="shared" ca="1" si="1"/>
        <v>#REF!</v>
      </c>
      <c r="R42" t="e">
        <f t="shared" ca="1" si="2"/>
        <v>#REF!</v>
      </c>
      <c r="S42" t="e">
        <f t="shared" ca="1" si="3"/>
        <v>#REF!</v>
      </c>
      <c r="T42" t="e">
        <f t="shared" ca="1" si="4"/>
        <v>#REF!</v>
      </c>
      <c r="U42" t="e" cm="1">
        <f t="array" aca="1" ref="U42" ca="1">IF(A42="","",IF(E42="","",IF(B42="safety",INDIRECT("template!"&amp;"P"&amp;A42),Q42+R42)))</f>
        <v>#REF!</v>
      </c>
      <c r="V42" t="e" cm="1">
        <f t="array" aca="1" ref="V42" ca="1">IF(A42="","",IF(E42="","",IF(B42="safety",INDIRECT("template!"&amp;"P"&amp;A42),S42+T42)))</f>
        <v>#REF!</v>
      </c>
      <c r="W42" t="e">
        <f ca="1">IF(A42="","",IF(E42="","",#REF!))</f>
        <v>#REF!</v>
      </c>
      <c r="X42" t="e">
        <f ca="1">IF(A42="","",IF(E42="","",#REF!))</f>
        <v>#REF!</v>
      </c>
      <c r="Y42" s="39" t="e">
        <f ca="1">IF(A42="","",IF(E42="","",#REF!))</f>
        <v>#REF!</v>
      </c>
      <c r="Z42" t="e">
        <f ca="1">IF(A42="","",IF(E42="","",#REF!))</f>
        <v>#REF!</v>
      </c>
      <c r="AA42" t="e">
        <f ca="1">IF(A42="","",IF(E42="","",#REF!))</f>
        <v>#REF!</v>
      </c>
      <c r="AB42" t="e">
        <f ca="1">IF(A42="","",IF(E42="","",#REF!))</f>
        <v>#REF!</v>
      </c>
      <c r="AC42" t="e">
        <f t="shared" ca="1" si="5"/>
        <v>#REF!</v>
      </c>
    </row>
    <row r="43" spans="1:29" x14ac:dyDescent="0.35">
      <c r="A43" t="e" cm="1">
        <f t="array" aca="1" ref="A43" ca="1">IF(A42="","",IF(OR(AND(A42+1&gt;=$AF$1,A42+1&lt;=$AF$2),AND(A42+1&gt;=$AF$6,A42+1&lt;=$AF$7),AND(A42+1&gt;=$AF$3,A42+1&lt;=$AF$4),AND(A42+1&gt;=$AF$8,A42+1&lt;=$AF$9),A42+1=$AF$5),IF(NOT(ISBLANK(INDIRECT("template!"&amp;"P"&amp;A42+1))),A42+1,IF(NOT(ISBLANK(INDIRECT("template!"&amp;"P"&amp;A42+2))),A42+2,A42+3)),IF(A42=$AF$2,$AF$3,IF(A42=$AF$4,$AF$5,IF(A42=$AF$5,$AF$6,IF(A42=$AF$7,$AF$8,""))))))</f>
        <v>#REF!</v>
      </c>
      <c r="B43" t="e">
        <f t="shared" ca="1" si="0"/>
        <v>#REF!</v>
      </c>
      <c r="C43" t="e" cm="1">
        <f t="array" aca="1" ref="C43" ca="1">IF(A43="","",IF(B43="safety","safety costs",INDIRECT("template!"&amp;"B"&amp;A43)))</f>
        <v>#REF!</v>
      </c>
      <c r="D43" t="e" cm="1">
        <f t="array" aca="1" ref="D43" ca="1">IF(OR(A43="",B43="safety"),"",INDIRECT("template!"&amp;"C"&amp;A43))</f>
        <v>#REF!</v>
      </c>
      <c r="E43" t="e" cm="1">
        <f t="array" aca="1" ref="E43" ca="1">IF(A43="","",IF(OR(A43=A42+1,A43=A42+2),E42,INDIRECT("template!"&amp;"D"&amp;A43-2)))</f>
        <v>#REF!</v>
      </c>
      <c r="F43" t="e" cm="1">
        <f t="array" aca="1" ref="F43" ca="1">IF(OR(A43="",B43="safety"),"",IF(ISBLANK(IF(A43=A42+1,F42,INDIRECT("template!"&amp;"D"&amp;A43-1))),"",IF(A43=A42+1,F42,INDIRECT("template!"&amp;"D"&amp;A43-1))))</f>
        <v>#REF!</v>
      </c>
      <c r="G43" t="e" cm="1">
        <f t="array" aca="1" ref="G43" ca="1">IF(OR(A43="",B43="safety"),"",IF(ISBLANK(INDIRECT("template!"&amp;"D"&amp;A43)),"",INDIRECT("template!"&amp;"D"&amp;A43)))</f>
        <v>#REF!</v>
      </c>
      <c r="H43" t="e" cm="1">
        <f t="array" aca="1" ref="H43" ca="1">IF(OR(A43="",B43="safety"),"",IF(ISBLANK(INDIRECT("template!"&amp;"E"&amp;A43)),"",INDIRECT("template!"&amp;"E"&amp;A43)))</f>
        <v>#REF!</v>
      </c>
      <c r="I43" t="e" cm="1">
        <f t="array" aca="1" ref="I43" ca="1">IF(OR(A43="",B43="safety"),"",IF(ISBLANK(INDIRECT("template!"&amp;"F"&amp;A43)),"",INDIRECT("template!"&amp;"F"&amp;A43)))</f>
        <v>#REF!</v>
      </c>
      <c r="J43" t="e" cm="1">
        <f t="array" aca="1" ref="J43" ca="1">IF(OR(A43="",B43="safety"),"",IF(ISBLANK(INDIRECT("template!"&amp;"G"&amp;A43)),"",INDIRECT("template!"&amp;"G"&amp;A43)))</f>
        <v>#REF!</v>
      </c>
      <c r="K43" t="e" cm="1">
        <f t="array" aca="1" ref="K43" ca="1">IF(OR(A43="",B43="safety"),"",IF(ISBLANK(INDIRECT("template!"&amp;"H"&amp;A43)),"",INDIRECT("template!"&amp;"H"&amp;A43)))</f>
        <v>#REF!</v>
      </c>
      <c r="L43" t="e" cm="1">
        <f t="array" aca="1" ref="L43" ca="1">IF(OR(A43="",B43="safety"),"",INDIRECT("template!"&amp;"I"&amp;A43))</f>
        <v>#REF!</v>
      </c>
      <c r="M43" t="e" cm="1">
        <f t="array" aca="1" ref="M43" ca="1">IF(OR(A43="",B43="safety"),"",INDIRECT("template!"&amp;"J"&amp;A43))</f>
        <v>#REF!</v>
      </c>
      <c r="N43" t="e" cm="1">
        <f t="array" aca="1" ref="N43" ca="1">IF(OR(A43="",B43="safety"),"",IF(ISBLANK(INDIRECT("template!"&amp;"K"&amp;A43)),"",INDIRECT("template!"&amp;"K"&amp;A43)))</f>
        <v>#REF!</v>
      </c>
      <c r="O43" t="e" cm="1">
        <f t="array" aca="1" ref="O43" ca="1">IF(OR(A43="",B43="safety"),"",INDIRECT("template!"&amp;"L"&amp;A43))</f>
        <v>#REF!</v>
      </c>
      <c r="P43" t="e" cm="1">
        <f t="array" aca="1" ref="P43" ca="1">IF(OR(A43="",B43="safety"),"",INDIRECT("template!"&amp;"M"&amp;A43))</f>
        <v>#REF!</v>
      </c>
      <c r="Q43" t="e">
        <f t="shared" ca="1" si="1"/>
        <v>#REF!</v>
      </c>
      <c r="R43" t="e">
        <f t="shared" ca="1" si="2"/>
        <v>#REF!</v>
      </c>
      <c r="S43" t="e">
        <f t="shared" ca="1" si="3"/>
        <v>#REF!</v>
      </c>
      <c r="T43" t="e">
        <f t="shared" ca="1" si="4"/>
        <v>#REF!</v>
      </c>
      <c r="U43" t="e" cm="1">
        <f t="array" aca="1" ref="U43" ca="1">IF(A43="","",IF(E43="","",IF(B43="safety",INDIRECT("template!"&amp;"P"&amp;A43),Q43+R43)))</f>
        <v>#REF!</v>
      </c>
      <c r="V43" t="e" cm="1">
        <f t="array" aca="1" ref="V43" ca="1">IF(A43="","",IF(E43="","",IF(B43="safety",INDIRECT("template!"&amp;"P"&amp;A43),S43+T43)))</f>
        <v>#REF!</v>
      </c>
      <c r="W43" t="e">
        <f ca="1">IF(A43="","",IF(E43="","",#REF!))</f>
        <v>#REF!</v>
      </c>
      <c r="X43" t="e">
        <f ca="1">IF(A43="","",IF(E43="","",#REF!))</f>
        <v>#REF!</v>
      </c>
      <c r="Y43" s="39" t="e">
        <f ca="1">IF(A43="","",IF(E43="","",#REF!))</f>
        <v>#REF!</v>
      </c>
      <c r="Z43" t="e">
        <f ca="1">IF(A43="","",IF(E43="","",#REF!))</f>
        <v>#REF!</v>
      </c>
      <c r="AA43" t="e">
        <f ca="1">IF(A43="","",IF(E43="","",#REF!))</f>
        <v>#REF!</v>
      </c>
      <c r="AB43" t="e">
        <f ca="1">IF(A43="","",IF(E43="","",#REF!))</f>
        <v>#REF!</v>
      </c>
      <c r="AC43" t="e">
        <f t="shared" ca="1" si="5"/>
        <v>#REF!</v>
      </c>
    </row>
    <row r="44" spans="1:29" x14ac:dyDescent="0.35">
      <c r="A44" t="e" cm="1">
        <f t="array" aca="1" ref="A44" ca="1">IF(A43="","",IF(OR(AND(A43+1&gt;=$AF$1,A43+1&lt;=$AF$2),AND(A43+1&gt;=$AF$6,A43+1&lt;=$AF$7),AND(A43+1&gt;=$AF$3,A43+1&lt;=$AF$4),AND(A43+1&gt;=$AF$8,A43+1&lt;=$AF$9),A43+1=$AF$5),IF(NOT(ISBLANK(INDIRECT("template!"&amp;"P"&amp;A43+1))),A43+1,IF(NOT(ISBLANK(INDIRECT("template!"&amp;"P"&amp;A43+2))),A43+2,A43+3)),IF(A43=$AF$2,$AF$3,IF(A43=$AF$4,$AF$5,IF(A43=$AF$5,$AF$6,IF(A43=$AF$7,$AF$8,""))))))</f>
        <v>#REF!</v>
      </c>
      <c r="B44" t="e">
        <f t="shared" ca="1" si="0"/>
        <v>#REF!</v>
      </c>
      <c r="C44" t="e" cm="1">
        <f t="array" aca="1" ref="C44" ca="1">IF(A44="","",IF(B44="safety","safety costs",INDIRECT("template!"&amp;"B"&amp;A44)))</f>
        <v>#REF!</v>
      </c>
      <c r="D44" t="e" cm="1">
        <f t="array" aca="1" ref="D44" ca="1">IF(OR(A44="",B44="safety"),"",INDIRECT("template!"&amp;"C"&amp;A44))</f>
        <v>#REF!</v>
      </c>
      <c r="E44" t="e" cm="1">
        <f t="array" aca="1" ref="E44" ca="1">IF(A44="","",IF(OR(A44=A43+1,A44=A43+2),E43,INDIRECT("template!"&amp;"D"&amp;A44-2)))</f>
        <v>#REF!</v>
      </c>
      <c r="F44" t="e" cm="1">
        <f t="array" aca="1" ref="F44" ca="1">IF(OR(A44="",B44="safety"),"",IF(ISBLANK(IF(A44=A43+1,F43,INDIRECT("template!"&amp;"D"&amp;A44-1))),"",IF(A44=A43+1,F43,INDIRECT("template!"&amp;"D"&amp;A44-1))))</f>
        <v>#REF!</v>
      </c>
      <c r="G44" t="e" cm="1">
        <f t="array" aca="1" ref="G44" ca="1">IF(OR(A44="",B44="safety"),"",IF(ISBLANK(INDIRECT("template!"&amp;"D"&amp;A44)),"",INDIRECT("template!"&amp;"D"&amp;A44)))</f>
        <v>#REF!</v>
      </c>
      <c r="H44" t="e" cm="1">
        <f t="array" aca="1" ref="H44" ca="1">IF(OR(A44="",B44="safety"),"",IF(ISBLANK(INDIRECT("template!"&amp;"E"&amp;A44)),"",INDIRECT("template!"&amp;"E"&amp;A44)))</f>
        <v>#REF!</v>
      </c>
      <c r="I44" t="e" cm="1">
        <f t="array" aca="1" ref="I44" ca="1">IF(OR(A44="",B44="safety"),"",IF(ISBLANK(INDIRECT("template!"&amp;"F"&amp;A44)),"",INDIRECT("template!"&amp;"F"&amp;A44)))</f>
        <v>#REF!</v>
      </c>
      <c r="J44" t="e" cm="1">
        <f t="array" aca="1" ref="J44" ca="1">IF(OR(A44="",B44="safety"),"",IF(ISBLANK(INDIRECT("template!"&amp;"G"&amp;A44)),"",INDIRECT("template!"&amp;"G"&amp;A44)))</f>
        <v>#REF!</v>
      </c>
      <c r="K44" t="e" cm="1">
        <f t="array" aca="1" ref="K44" ca="1">IF(OR(A44="",B44="safety"),"",IF(ISBLANK(INDIRECT("template!"&amp;"H"&amp;A44)),"",INDIRECT("template!"&amp;"H"&amp;A44)))</f>
        <v>#REF!</v>
      </c>
      <c r="L44" t="e" cm="1">
        <f t="array" aca="1" ref="L44" ca="1">IF(OR(A44="",B44="safety"),"",INDIRECT("template!"&amp;"I"&amp;A44))</f>
        <v>#REF!</v>
      </c>
      <c r="M44" t="e" cm="1">
        <f t="array" aca="1" ref="M44" ca="1">IF(OR(A44="",B44="safety"),"",INDIRECT("template!"&amp;"J"&amp;A44))</f>
        <v>#REF!</v>
      </c>
      <c r="N44" t="e" cm="1">
        <f t="array" aca="1" ref="N44" ca="1">IF(OR(A44="",B44="safety"),"",IF(ISBLANK(INDIRECT("template!"&amp;"K"&amp;A44)),"",INDIRECT("template!"&amp;"K"&amp;A44)))</f>
        <v>#REF!</v>
      </c>
      <c r="O44" t="e" cm="1">
        <f t="array" aca="1" ref="O44" ca="1">IF(OR(A44="",B44="safety"),"",INDIRECT("template!"&amp;"L"&amp;A44))</f>
        <v>#REF!</v>
      </c>
      <c r="P44" t="e" cm="1">
        <f t="array" aca="1" ref="P44" ca="1">IF(OR(A44="",B44="safety"),"",INDIRECT("template!"&amp;"M"&amp;A44))</f>
        <v>#REF!</v>
      </c>
      <c r="Q44" t="e">
        <f t="shared" ca="1" si="1"/>
        <v>#REF!</v>
      </c>
      <c r="R44" t="e">
        <f t="shared" ca="1" si="2"/>
        <v>#REF!</v>
      </c>
      <c r="S44" t="e">
        <f t="shared" ca="1" si="3"/>
        <v>#REF!</v>
      </c>
      <c r="T44" t="e">
        <f t="shared" ca="1" si="4"/>
        <v>#REF!</v>
      </c>
      <c r="U44" t="e" cm="1">
        <f t="array" aca="1" ref="U44" ca="1">IF(A44="","",IF(E44="","",IF(B44="safety",INDIRECT("template!"&amp;"P"&amp;A44),Q44+R44)))</f>
        <v>#REF!</v>
      </c>
      <c r="V44" t="e" cm="1">
        <f t="array" aca="1" ref="V44" ca="1">IF(A44="","",IF(E44="","",IF(B44="safety",INDIRECT("template!"&amp;"P"&amp;A44),S44+T44)))</f>
        <v>#REF!</v>
      </c>
      <c r="W44" t="e">
        <f ca="1">IF(A44="","",IF(E44="","",#REF!))</f>
        <v>#REF!</v>
      </c>
      <c r="X44" t="e">
        <f ca="1">IF(A44="","",IF(E44="","",#REF!))</f>
        <v>#REF!</v>
      </c>
      <c r="Y44" s="39" t="e">
        <f ca="1">IF(A44="","",IF(E44="","",#REF!))</f>
        <v>#REF!</v>
      </c>
      <c r="Z44" t="e">
        <f ca="1">IF(A44="","",IF(E44="","",#REF!))</f>
        <v>#REF!</v>
      </c>
      <c r="AA44" t="e">
        <f ca="1">IF(A44="","",IF(E44="","",#REF!))</f>
        <v>#REF!</v>
      </c>
      <c r="AB44" t="e">
        <f ca="1">IF(A44="","",IF(E44="","",#REF!))</f>
        <v>#REF!</v>
      </c>
      <c r="AC44" t="e">
        <f t="shared" ca="1" si="5"/>
        <v>#REF!</v>
      </c>
    </row>
    <row r="45" spans="1:29" x14ac:dyDescent="0.35">
      <c r="A45" t="e" cm="1">
        <f t="array" aca="1" ref="A45" ca="1">IF(A44="","",IF(OR(AND(A44+1&gt;=$AF$1,A44+1&lt;=$AF$2),AND(A44+1&gt;=$AF$6,A44+1&lt;=$AF$7),AND(A44+1&gt;=$AF$3,A44+1&lt;=$AF$4),AND(A44+1&gt;=$AF$8,A44+1&lt;=$AF$9),A44+1=$AF$5),IF(NOT(ISBLANK(INDIRECT("template!"&amp;"P"&amp;A44+1))),A44+1,IF(NOT(ISBLANK(INDIRECT("template!"&amp;"P"&amp;A44+2))),A44+2,A44+3)),IF(A44=$AF$2,$AF$3,IF(A44=$AF$4,$AF$5,IF(A44=$AF$5,$AF$6,IF(A44=$AF$7,$AF$8,""))))))</f>
        <v>#REF!</v>
      </c>
      <c r="B45" t="e">
        <f t="shared" ca="1" si="0"/>
        <v>#REF!</v>
      </c>
      <c r="C45" t="e" cm="1">
        <f t="array" aca="1" ref="C45" ca="1">IF(A45="","",IF(B45="safety","safety costs",INDIRECT("template!"&amp;"B"&amp;A45)))</f>
        <v>#REF!</v>
      </c>
      <c r="D45" t="e" cm="1">
        <f t="array" aca="1" ref="D45" ca="1">IF(OR(A45="",B45="safety"),"",INDIRECT("template!"&amp;"C"&amp;A45))</f>
        <v>#REF!</v>
      </c>
      <c r="E45" t="e" cm="1">
        <f t="array" aca="1" ref="E45" ca="1">IF(A45="","",IF(OR(A45=A44+1,A45=A44+2),E44,INDIRECT("template!"&amp;"D"&amp;A45-2)))</f>
        <v>#REF!</v>
      </c>
      <c r="F45" t="e" cm="1">
        <f t="array" aca="1" ref="F45" ca="1">IF(OR(A45="",B45="safety"),"",IF(ISBLANK(IF(A45=A44+1,F44,INDIRECT("template!"&amp;"D"&amp;A45-1))),"",IF(A45=A44+1,F44,INDIRECT("template!"&amp;"D"&amp;A45-1))))</f>
        <v>#REF!</v>
      </c>
      <c r="G45" t="e" cm="1">
        <f t="array" aca="1" ref="G45" ca="1">IF(OR(A45="",B45="safety"),"",IF(ISBLANK(INDIRECT("template!"&amp;"D"&amp;A45)),"",INDIRECT("template!"&amp;"D"&amp;A45)))</f>
        <v>#REF!</v>
      </c>
      <c r="H45" t="e" cm="1">
        <f t="array" aca="1" ref="H45" ca="1">IF(OR(A45="",B45="safety"),"",IF(ISBLANK(INDIRECT("template!"&amp;"E"&amp;A45)),"",INDIRECT("template!"&amp;"E"&amp;A45)))</f>
        <v>#REF!</v>
      </c>
      <c r="I45" t="e" cm="1">
        <f t="array" aca="1" ref="I45" ca="1">IF(OR(A45="",B45="safety"),"",IF(ISBLANK(INDIRECT("template!"&amp;"F"&amp;A45)),"",INDIRECT("template!"&amp;"F"&amp;A45)))</f>
        <v>#REF!</v>
      </c>
      <c r="J45" t="e" cm="1">
        <f t="array" aca="1" ref="J45" ca="1">IF(OR(A45="",B45="safety"),"",IF(ISBLANK(INDIRECT("template!"&amp;"G"&amp;A45)),"",INDIRECT("template!"&amp;"G"&amp;A45)))</f>
        <v>#REF!</v>
      </c>
      <c r="K45" t="e" cm="1">
        <f t="array" aca="1" ref="K45" ca="1">IF(OR(A45="",B45="safety"),"",IF(ISBLANK(INDIRECT("template!"&amp;"H"&amp;A45)),"",INDIRECT("template!"&amp;"H"&amp;A45)))</f>
        <v>#REF!</v>
      </c>
      <c r="L45" t="e" cm="1">
        <f t="array" aca="1" ref="L45" ca="1">IF(OR(A45="",B45="safety"),"",INDIRECT("template!"&amp;"I"&amp;A45))</f>
        <v>#REF!</v>
      </c>
      <c r="M45" t="e" cm="1">
        <f t="array" aca="1" ref="M45" ca="1">IF(OR(A45="",B45="safety"),"",INDIRECT("template!"&amp;"J"&amp;A45))</f>
        <v>#REF!</v>
      </c>
      <c r="N45" t="e" cm="1">
        <f t="array" aca="1" ref="N45" ca="1">IF(OR(A45="",B45="safety"),"",IF(ISBLANK(INDIRECT("template!"&amp;"K"&amp;A45)),"",INDIRECT("template!"&amp;"K"&amp;A45)))</f>
        <v>#REF!</v>
      </c>
      <c r="O45" t="e" cm="1">
        <f t="array" aca="1" ref="O45" ca="1">IF(OR(A45="",B45="safety"),"",INDIRECT("template!"&amp;"L"&amp;A45))</f>
        <v>#REF!</v>
      </c>
      <c r="P45" t="e" cm="1">
        <f t="array" aca="1" ref="P45" ca="1">IF(OR(A45="",B45="safety"),"",INDIRECT("template!"&amp;"M"&amp;A45))</f>
        <v>#REF!</v>
      </c>
      <c r="Q45" t="e">
        <f t="shared" ca="1" si="1"/>
        <v>#REF!</v>
      </c>
      <c r="R45" t="e">
        <f t="shared" ca="1" si="2"/>
        <v>#REF!</v>
      </c>
      <c r="S45" t="e">
        <f t="shared" ca="1" si="3"/>
        <v>#REF!</v>
      </c>
      <c r="T45" t="e">
        <f t="shared" ca="1" si="4"/>
        <v>#REF!</v>
      </c>
      <c r="U45" t="e" cm="1">
        <f t="array" aca="1" ref="U45" ca="1">IF(A45="","",IF(E45="","",IF(B45="safety",INDIRECT("template!"&amp;"P"&amp;A45),Q45+R45)))</f>
        <v>#REF!</v>
      </c>
      <c r="V45" t="e" cm="1">
        <f t="array" aca="1" ref="V45" ca="1">IF(A45="","",IF(E45="","",IF(B45="safety",INDIRECT("template!"&amp;"P"&amp;A45),S45+T45)))</f>
        <v>#REF!</v>
      </c>
      <c r="W45" t="e">
        <f ca="1">IF(A45="","",IF(E45="","",#REF!))</f>
        <v>#REF!</v>
      </c>
      <c r="X45" t="e">
        <f ca="1">IF(A45="","",IF(E45="","",#REF!))</f>
        <v>#REF!</v>
      </c>
      <c r="Y45" s="39" t="e">
        <f ca="1">IF(A45="","",IF(E45="","",#REF!))</f>
        <v>#REF!</v>
      </c>
      <c r="Z45" t="e">
        <f ca="1">IF(A45="","",IF(E45="","",#REF!))</f>
        <v>#REF!</v>
      </c>
      <c r="AA45" t="e">
        <f ca="1">IF(A45="","",IF(E45="","",#REF!))</f>
        <v>#REF!</v>
      </c>
      <c r="AB45" t="e">
        <f ca="1">IF(A45="","",IF(E45="","",#REF!))</f>
        <v>#REF!</v>
      </c>
      <c r="AC45" t="e">
        <f t="shared" ca="1" si="5"/>
        <v>#REF!</v>
      </c>
    </row>
    <row r="46" spans="1:29" x14ac:dyDescent="0.35">
      <c r="A46" t="e" cm="1">
        <f t="array" aca="1" ref="A46" ca="1">IF(A45="","",IF(OR(AND(A45+1&gt;=$AF$1,A45+1&lt;=$AF$2),AND(A45+1&gt;=$AF$6,A45+1&lt;=$AF$7),AND(A45+1&gt;=$AF$3,A45+1&lt;=$AF$4),AND(A45+1&gt;=$AF$8,A45+1&lt;=$AF$9),A45+1=$AF$5),IF(NOT(ISBLANK(INDIRECT("template!"&amp;"P"&amp;A45+1))),A45+1,IF(NOT(ISBLANK(INDIRECT("template!"&amp;"P"&amp;A45+2))),A45+2,A45+3)),IF(A45=$AF$2,$AF$3,IF(A45=$AF$4,$AF$5,IF(A45=$AF$5,$AF$6,IF(A45=$AF$7,$AF$8,""))))))</f>
        <v>#REF!</v>
      </c>
      <c r="B46" t="e">
        <f t="shared" ca="1" si="0"/>
        <v>#REF!</v>
      </c>
      <c r="C46" t="e" cm="1">
        <f t="array" aca="1" ref="C46" ca="1">IF(A46="","",IF(B46="safety","safety costs",INDIRECT("template!"&amp;"B"&amp;A46)))</f>
        <v>#REF!</v>
      </c>
      <c r="D46" t="e" cm="1">
        <f t="array" aca="1" ref="D46" ca="1">IF(OR(A46="",B46="safety"),"",INDIRECT("template!"&amp;"C"&amp;A46))</f>
        <v>#REF!</v>
      </c>
      <c r="E46" t="e" cm="1">
        <f t="array" aca="1" ref="E46" ca="1">IF(A46="","",IF(OR(A46=A45+1,A46=A45+2),E45,INDIRECT("template!"&amp;"D"&amp;A46-2)))</f>
        <v>#REF!</v>
      </c>
      <c r="F46" t="e" cm="1">
        <f t="array" aca="1" ref="F46" ca="1">IF(OR(A46="",B46="safety"),"",IF(ISBLANK(IF(A46=A45+1,F45,INDIRECT("template!"&amp;"D"&amp;A46-1))),"",IF(A46=A45+1,F45,INDIRECT("template!"&amp;"D"&amp;A46-1))))</f>
        <v>#REF!</v>
      </c>
      <c r="G46" t="e" cm="1">
        <f t="array" aca="1" ref="G46" ca="1">IF(OR(A46="",B46="safety"),"",IF(ISBLANK(INDIRECT("template!"&amp;"D"&amp;A46)),"",INDIRECT("template!"&amp;"D"&amp;A46)))</f>
        <v>#REF!</v>
      </c>
      <c r="H46" t="e" cm="1">
        <f t="array" aca="1" ref="H46" ca="1">IF(OR(A46="",B46="safety"),"",IF(ISBLANK(INDIRECT("template!"&amp;"E"&amp;A46)),"",INDIRECT("template!"&amp;"E"&amp;A46)))</f>
        <v>#REF!</v>
      </c>
      <c r="I46" t="e" cm="1">
        <f t="array" aca="1" ref="I46" ca="1">IF(OR(A46="",B46="safety"),"",IF(ISBLANK(INDIRECT("template!"&amp;"F"&amp;A46)),"",INDIRECT("template!"&amp;"F"&amp;A46)))</f>
        <v>#REF!</v>
      </c>
      <c r="J46" t="e" cm="1">
        <f t="array" aca="1" ref="J46" ca="1">IF(OR(A46="",B46="safety"),"",IF(ISBLANK(INDIRECT("template!"&amp;"G"&amp;A46)),"",INDIRECT("template!"&amp;"G"&amp;A46)))</f>
        <v>#REF!</v>
      </c>
      <c r="K46" t="e" cm="1">
        <f t="array" aca="1" ref="K46" ca="1">IF(OR(A46="",B46="safety"),"",IF(ISBLANK(INDIRECT("template!"&amp;"H"&amp;A46)),"",INDIRECT("template!"&amp;"H"&amp;A46)))</f>
        <v>#REF!</v>
      </c>
      <c r="L46" t="e" cm="1">
        <f t="array" aca="1" ref="L46" ca="1">IF(OR(A46="",B46="safety"),"",INDIRECT("template!"&amp;"I"&amp;A46))</f>
        <v>#REF!</v>
      </c>
      <c r="M46" t="e" cm="1">
        <f t="array" aca="1" ref="M46" ca="1">IF(OR(A46="",B46="safety"),"",INDIRECT("template!"&amp;"J"&amp;A46))</f>
        <v>#REF!</v>
      </c>
      <c r="N46" t="e" cm="1">
        <f t="array" aca="1" ref="N46" ca="1">IF(OR(A46="",B46="safety"),"",IF(ISBLANK(INDIRECT("template!"&amp;"K"&amp;A46)),"",INDIRECT("template!"&amp;"K"&amp;A46)))</f>
        <v>#REF!</v>
      </c>
      <c r="O46" t="e" cm="1">
        <f t="array" aca="1" ref="O46" ca="1">IF(OR(A46="",B46="safety"),"",INDIRECT("template!"&amp;"L"&amp;A46))</f>
        <v>#REF!</v>
      </c>
      <c r="P46" t="e" cm="1">
        <f t="array" aca="1" ref="P46" ca="1">IF(OR(A46="",B46="safety"),"",INDIRECT("template!"&amp;"M"&amp;A46))</f>
        <v>#REF!</v>
      </c>
      <c r="Q46" t="e">
        <f t="shared" ca="1" si="1"/>
        <v>#REF!</v>
      </c>
      <c r="R46" t="e">
        <f t="shared" ca="1" si="2"/>
        <v>#REF!</v>
      </c>
      <c r="S46" t="e">
        <f t="shared" ca="1" si="3"/>
        <v>#REF!</v>
      </c>
      <c r="T46" t="e">
        <f t="shared" ca="1" si="4"/>
        <v>#REF!</v>
      </c>
      <c r="U46" t="e" cm="1">
        <f t="array" aca="1" ref="U46" ca="1">IF(A46="","",IF(E46="","",IF(B46="safety",INDIRECT("template!"&amp;"P"&amp;A46),Q46+R46)))</f>
        <v>#REF!</v>
      </c>
      <c r="V46" t="e" cm="1">
        <f t="array" aca="1" ref="V46" ca="1">IF(A46="","",IF(E46="","",IF(B46="safety",INDIRECT("template!"&amp;"P"&amp;A46),S46+T46)))</f>
        <v>#REF!</v>
      </c>
      <c r="W46" t="e">
        <f ca="1">IF(A46="","",IF(E46="","",#REF!))</f>
        <v>#REF!</v>
      </c>
      <c r="X46" t="e">
        <f ca="1">IF(A46="","",IF(E46="","",#REF!))</f>
        <v>#REF!</v>
      </c>
      <c r="Y46" s="39" t="e">
        <f ca="1">IF(A46="","",IF(E46="","",#REF!))</f>
        <v>#REF!</v>
      </c>
      <c r="Z46" t="e">
        <f ca="1">IF(A46="","",IF(E46="","",#REF!))</f>
        <v>#REF!</v>
      </c>
      <c r="AA46" t="e">
        <f ca="1">IF(A46="","",IF(E46="","",#REF!))</f>
        <v>#REF!</v>
      </c>
      <c r="AB46" t="e">
        <f ca="1">IF(A46="","",IF(E46="","",#REF!))</f>
        <v>#REF!</v>
      </c>
      <c r="AC46" t="e">
        <f t="shared" ca="1" si="5"/>
        <v>#REF!</v>
      </c>
    </row>
    <row r="47" spans="1:29" x14ac:dyDescent="0.35">
      <c r="A47" t="e" cm="1">
        <f t="array" aca="1" ref="A47" ca="1">IF(A46="","",IF(OR(AND(A46+1&gt;=$AF$1,A46+1&lt;=$AF$2),AND(A46+1&gt;=$AF$6,A46+1&lt;=$AF$7),AND(A46+1&gt;=$AF$3,A46+1&lt;=$AF$4),AND(A46+1&gt;=$AF$8,A46+1&lt;=$AF$9),A46+1=$AF$5),IF(NOT(ISBLANK(INDIRECT("template!"&amp;"P"&amp;A46+1))),A46+1,IF(NOT(ISBLANK(INDIRECT("template!"&amp;"P"&amp;A46+2))),A46+2,A46+3)),IF(A46=$AF$2,$AF$3,IF(A46=$AF$4,$AF$5,IF(A46=$AF$5,$AF$6,IF(A46=$AF$7,$AF$8,""))))))</f>
        <v>#REF!</v>
      </c>
      <c r="B47" t="e">
        <f t="shared" ca="1" si="0"/>
        <v>#REF!</v>
      </c>
      <c r="C47" t="e" cm="1">
        <f t="array" aca="1" ref="C47" ca="1">IF(A47="","",IF(B47="safety","safety costs",INDIRECT("template!"&amp;"B"&amp;A47)))</f>
        <v>#REF!</v>
      </c>
      <c r="D47" t="e" cm="1">
        <f t="array" aca="1" ref="D47" ca="1">IF(OR(A47="",B47="safety"),"",INDIRECT("template!"&amp;"C"&amp;A47))</f>
        <v>#REF!</v>
      </c>
      <c r="E47" t="e" cm="1">
        <f t="array" aca="1" ref="E47" ca="1">IF(A47="","",IF(OR(A47=A46+1,A47=A46+2),E46,INDIRECT("template!"&amp;"D"&amp;A47-2)))</f>
        <v>#REF!</v>
      </c>
      <c r="F47" t="e" cm="1">
        <f t="array" aca="1" ref="F47" ca="1">IF(OR(A47="",B47="safety"),"",IF(ISBLANK(IF(A47=A46+1,F46,INDIRECT("template!"&amp;"D"&amp;A47-1))),"",IF(A47=A46+1,F46,INDIRECT("template!"&amp;"D"&amp;A47-1))))</f>
        <v>#REF!</v>
      </c>
      <c r="G47" t="e" cm="1">
        <f t="array" aca="1" ref="G47" ca="1">IF(OR(A47="",B47="safety"),"",IF(ISBLANK(INDIRECT("template!"&amp;"D"&amp;A47)),"",INDIRECT("template!"&amp;"D"&amp;A47)))</f>
        <v>#REF!</v>
      </c>
      <c r="H47" t="e" cm="1">
        <f t="array" aca="1" ref="H47" ca="1">IF(OR(A47="",B47="safety"),"",IF(ISBLANK(INDIRECT("template!"&amp;"E"&amp;A47)),"",INDIRECT("template!"&amp;"E"&amp;A47)))</f>
        <v>#REF!</v>
      </c>
      <c r="I47" t="e" cm="1">
        <f t="array" aca="1" ref="I47" ca="1">IF(OR(A47="",B47="safety"),"",IF(ISBLANK(INDIRECT("template!"&amp;"F"&amp;A47)),"",INDIRECT("template!"&amp;"F"&amp;A47)))</f>
        <v>#REF!</v>
      </c>
      <c r="J47" t="e" cm="1">
        <f t="array" aca="1" ref="J47" ca="1">IF(OR(A47="",B47="safety"),"",IF(ISBLANK(INDIRECT("template!"&amp;"G"&amp;A47)),"",INDIRECT("template!"&amp;"G"&amp;A47)))</f>
        <v>#REF!</v>
      </c>
      <c r="K47" t="e" cm="1">
        <f t="array" aca="1" ref="K47" ca="1">IF(OR(A47="",B47="safety"),"",IF(ISBLANK(INDIRECT("template!"&amp;"H"&amp;A47)),"",INDIRECT("template!"&amp;"H"&amp;A47)))</f>
        <v>#REF!</v>
      </c>
      <c r="L47" t="e" cm="1">
        <f t="array" aca="1" ref="L47" ca="1">IF(OR(A47="",B47="safety"),"",INDIRECT("template!"&amp;"I"&amp;A47))</f>
        <v>#REF!</v>
      </c>
      <c r="M47" t="e" cm="1">
        <f t="array" aca="1" ref="M47" ca="1">IF(OR(A47="",B47="safety"),"",INDIRECT("template!"&amp;"J"&amp;A47))</f>
        <v>#REF!</v>
      </c>
      <c r="N47" t="e" cm="1">
        <f t="array" aca="1" ref="N47" ca="1">IF(OR(A47="",B47="safety"),"",IF(ISBLANK(INDIRECT("template!"&amp;"K"&amp;A47)),"",INDIRECT("template!"&amp;"K"&amp;A47)))</f>
        <v>#REF!</v>
      </c>
      <c r="O47" t="e" cm="1">
        <f t="array" aca="1" ref="O47" ca="1">IF(OR(A47="",B47="safety"),"",INDIRECT("template!"&amp;"L"&amp;A47))</f>
        <v>#REF!</v>
      </c>
      <c r="P47" t="e" cm="1">
        <f t="array" aca="1" ref="P47" ca="1">IF(OR(A47="",B47="safety"),"",INDIRECT("template!"&amp;"M"&amp;A47))</f>
        <v>#REF!</v>
      </c>
      <c r="Q47" t="e">
        <f t="shared" ca="1" si="1"/>
        <v>#REF!</v>
      </c>
      <c r="R47" t="e">
        <f t="shared" ca="1" si="2"/>
        <v>#REF!</v>
      </c>
      <c r="S47" t="e">
        <f t="shared" ca="1" si="3"/>
        <v>#REF!</v>
      </c>
      <c r="T47" t="e">
        <f t="shared" ca="1" si="4"/>
        <v>#REF!</v>
      </c>
      <c r="U47" t="e" cm="1">
        <f t="array" aca="1" ref="U47" ca="1">IF(A47="","",IF(E47="","",IF(B47="safety",INDIRECT("template!"&amp;"P"&amp;A47),Q47+R47)))</f>
        <v>#REF!</v>
      </c>
      <c r="V47" t="e" cm="1">
        <f t="array" aca="1" ref="V47" ca="1">IF(A47="","",IF(E47="","",IF(B47="safety",INDIRECT("template!"&amp;"P"&amp;A47),S47+T47)))</f>
        <v>#REF!</v>
      </c>
      <c r="W47" t="e">
        <f ca="1">IF(A47="","",IF(E47="","",#REF!))</f>
        <v>#REF!</v>
      </c>
      <c r="X47" t="e">
        <f ca="1">IF(A47="","",IF(E47="","",#REF!))</f>
        <v>#REF!</v>
      </c>
      <c r="Y47" s="39" t="e">
        <f ca="1">IF(A47="","",IF(E47="","",#REF!))</f>
        <v>#REF!</v>
      </c>
      <c r="Z47" t="e">
        <f ca="1">IF(A47="","",IF(E47="","",#REF!))</f>
        <v>#REF!</v>
      </c>
      <c r="AA47" t="e">
        <f ca="1">IF(A47="","",IF(E47="","",#REF!))</f>
        <v>#REF!</v>
      </c>
      <c r="AB47" t="e">
        <f ca="1">IF(A47="","",IF(E47="","",#REF!))</f>
        <v>#REF!</v>
      </c>
      <c r="AC47" t="e">
        <f t="shared" ca="1" si="5"/>
        <v>#REF!</v>
      </c>
    </row>
    <row r="48" spans="1:29" x14ac:dyDescent="0.35">
      <c r="A48" t="e" cm="1">
        <f t="array" aca="1" ref="A48" ca="1">IF(A47="","",IF(OR(AND(A47+1&gt;=$AF$1,A47+1&lt;=$AF$2),AND(A47+1&gt;=$AF$6,A47+1&lt;=$AF$7),AND(A47+1&gt;=$AF$3,A47+1&lt;=$AF$4),AND(A47+1&gt;=$AF$8,A47+1&lt;=$AF$9),A47+1=$AF$5),IF(NOT(ISBLANK(INDIRECT("template!"&amp;"P"&amp;A47+1))),A47+1,IF(NOT(ISBLANK(INDIRECT("template!"&amp;"P"&amp;A47+2))),A47+2,A47+3)),IF(A47=$AF$2,$AF$3,IF(A47=$AF$4,$AF$5,IF(A47=$AF$5,$AF$6,IF(A47=$AF$7,$AF$8,""))))))</f>
        <v>#REF!</v>
      </c>
      <c r="B48" t="e">
        <f t="shared" ca="1" si="0"/>
        <v>#REF!</v>
      </c>
      <c r="C48" t="e" cm="1">
        <f t="array" aca="1" ref="C48" ca="1">IF(A48="","",IF(B48="safety","safety costs",INDIRECT("template!"&amp;"B"&amp;A48)))</f>
        <v>#REF!</v>
      </c>
      <c r="D48" t="e" cm="1">
        <f t="array" aca="1" ref="D48" ca="1">IF(OR(A48="",B48="safety"),"",INDIRECT("template!"&amp;"C"&amp;A48))</f>
        <v>#REF!</v>
      </c>
      <c r="E48" t="e" cm="1">
        <f t="array" aca="1" ref="E48" ca="1">IF(A48="","",IF(OR(A48=A47+1,A48=A47+2),E47,INDIRECT("template!"&amp;"D"&amp;A48-2)))</f>
        <v>#REF!</v>
      </c>
      <c r="F48" t="e" cm="1">
        <f t="array" aca="1" ref="F48" ca="1">IF(OR(A48="",B48="safety"),"",IF(ISBLANK(IF(A48=A47+1,F47,INDIRECT("template!"&amp;"D"&amp;A48-1))),"",IF(A48=A47+1,F47,INDIRECT("template!"&amp;"D"&amp;A48-1))))</f>
        <v>#REF!</v>
      </c>
      <c r="G48" t="e" cm="1">
        <f t="array" aca="1" ref="G48" ca="1">IF(OR(A48="",B48="safety"),"",IF(ISBLANK(INDIRECT("template!"&amp;"D"&amp;A48)),"",INDIRECT("template!"&amp;"D"&amp;A48)))</f>
        <v>#REF!</v>
      </c>
      <c r="H48" t="e" cm="1">
        <f t="array" aca="1" ref="H48" ca="1">IF(OR(A48="",B48="safety"),"",IF(ISBLANK(INDIRECT("template!"&amp;"E"&amp;A48)),"",INDIRECT("template!"&amp;"E"&amp;A48)))</f>
        <v>#REF!</v>
      </c>
      <c r="I48" t="e" cm="1">
        <f t="array" aca="1" ref="I48" ca="1">IF(OR(A48="",B48="safety"),"",IF(ISBLANK(INDIRECT("template!"&amp;"F"&amp;A48)),"",INDIRECT("template!"&amp;"F"&amp;A48)))</f>
        <v>#REF!</v>
      </c>
      <c r="J48" t="e" cm="1">
        <f t="array" aca="1" ref="J48" ca="1">IF(OR(A48="",B48="safety"),"",IF(ISBLANK(INDIRECT("template!"&amp;"G"&amp;A48)),"",INDIRECT("template!"&amp;"G"&amp;A48)))</f>
        <v>#REF!</v>
      </c>
      <c r="K48" t="e" cm="1">
        <f t="array" aca="1" ref="K48" ca="1">IF(OR(A48="",B48="safety"),"",IF(ISBLANK(INDIRECT("template!"&amp;"H"&amp;A48)),"",INDIRECT("template!"&amp;"H"&amp;A48)))</f>
        <v>#REF!</v>
      </c>
      <c r="L48" t="e" cm="1">
        <f t="array" aca="1" ref="L48" ca="1">IF(OR(A48="",B48="safety"),"",INDIRECT("template!"&amp;"I"&amp;A48))</f>
        <v>#REF!</v>
      </c>
      <c r="M48" t="e" cm="1">
        <f t="array" aca="1" ref="M48" ca="1">IF(OR(A48="",B48="safety"),"",INDIRECT("template!"&amp;"J"&amp;A48))</f>
        <v>#REF!</v>
      </c>
      <c r="N48" t="e" cm="1">
        <f t="array" aca="1" ref="N48" ca="1">IF(OR(A48="",B48="safety"),"",IF(ISBLANK(INDIRECT("template!"&amp;"K"&amp;A48)),"",INDIRECT("template!"&amp;"K"&amp;A48)))</f>
        <v>#REF!</v>
      </c>
      <c r="O48" t="e" cm="1">
        <f t="array" aca="1" ref="O48" ca="1">IF(OR(A48="",B48="safety"),"",INDIRECT("template!"&amp;"L"&amp;A48))</f>
        <v>#REF!</v>
      </c>
      <c r="P48" t="e" cm="1">
        <f t="array" aca="1" ref="P48" ca="1">IF(OR(A48="",B48="safety"),"",INDIRECT("template!"&amp;"M"&amp;A48))</f>
        <v>#REF!</v>
      </c>
      <c r="Q48" t="e">
        <f t="shared" ca="1" si="1"/>
        <v>#REF!</v>
      </c>
      <c r="R48" t="e">
        <f t="shared" ca="1" si="2"/>
        <v>#REF!</v>
      </c>
      <c r="S48" t="e">
        <f t="shared" ca="1" si="3"/>
        <v>#REF!</v>
      </c>
      <c r="T48" t="e">
        <f t="shared" ca="1" si="4"/>
        <v>#REF!</v>
      </c>
      <c r="U48" t="e" cm="1">
        <f t="array" aca="1" ref="U48" ca="1">IF(A48="","",IF(E48="","",IF(B48="safety",INDIRECT("template!"&amp;"P"&amp;A48),Q48+R48)))</f>
        <v>#REF!</v>
      </c>
      <c r="V48" t="e" cm="1">
        <f t="array" aca="1" ref="V48" ca="1">IF(A48="","",IF(E48="","",IF(B48="safety",INDIRECT("template!"&amp;"P"&amp;A48),S48+T48)))</f>
        <v>#REF!</v>
      </c>
      <c r="W48" t="e">
        <f ca="1">IF(A48="","",IF(E48="","",#REF!))</f>
        <v>#REF!</v>
      </c>
      <c r="X48" t="e">
        <f ca="1">IF(A48="","",IF(E48="","",#REF!))</f>
        <v>#REF!</v>
      </c>
      <c r="Y48" s="39" t="e">
        <f ca="1">IF(A48="","",IF(E48="","",#REF!))</f>
        <v>#REF!</v>
      </c>
      <c r="Z48" t="e">
        <f ca="1">IF(A48="","",IF(E48="","",#REF!))</f>
        <v>#REF!</v>
      </c>
      <c r="AA48" t="e">
        <f ca="1">IF(A48="","",IF(E48="","",#REF!))</f>
        <v>#REF!</v>
      </c>
      <c r="AB48" t="e">
        <f ca="1">IF(A48="","",IF(E48="","",#REF!))</f>
        <v>#REF!</v>
      </c>
      <c r="AC48" t="e">
        <f t="shared" ca="1" si="5"/>
        <v>#REF!</v>
      </c>
    </row>
    <row r="49" spans="1:29" x14ac:dyDescent="0.35">
      <c r="A49" t="e" cm="1">
        <f t="array" aca="1" ref="A49" ca="1">IF(A48="","",IF(OR(AND(A48+1&gt;=$AF$1,A48+1&lt;=$AF$2),AND(A48+1&gt;=$AF$6,A48+1&lt;=$AF$7),AND(A48+1&gt;=$AF$3,A48+1&lt;=$AF$4),AND(A48+1&gt;=$AF$8,A48+1&lt;=$AF$9),A48+1=$AF$5),IF(NOT(ISBLANK(INDIRECT("template!"&amp;"P"&amp;A48+1))),A48+1,IF(NOT(ISBLANK(INDIRECT("template!"&amp;"P"&amp;A48+2))),A48+2,A48+3)),IF(A48=$AF$2,$AF$3,IF(A48=$AF$4,$AF$5,IF(A48=$AF$5,$AF$6,IF(A48=$AF$7,$AF$8,""))))))</f>
        <v>#REF!</v>
      </c>
      <c r="B49" t="e">
        <f t="shared" ca="1" si="0"/>
        <v>#REF!</v>
      </c>
      <c r="C49" t="e" cm="1">
        <f t="array" aca="1" ref="C49" ca="1">IF(A49="","",IF(B49="safety","safety costs",INDIRECT("template!"&amp;"B"&amp;A49)))</f>
        <v>#REF!</v>
      </c>
      <c r="D49" t="e" cm="1">
        <f t="array" aca="1" ref="D49" ca="1">IF(OR(A49="",B49="safety"),"",INDIRECT("template!"&amp;"C"&amp;A49))</f>
        <v>#REF!</v>
      </c>
      <c r="E49" t="e" cm="1">
        <f t="array" aca="1" ref="E49" ca="1">IF(A49="","",IF(OR(A49=A48+1,A49=A48+2),E48,INDIRECT("template!"&amp;"D"&amp;A49-2)))</f>
        <v>#REF!</v>
      </c>
      <c r="F49" t="e" cm="1">
        <f t="array" aca="1" ref="F49" ca="1">IF(OR(A49="",B49="safety"),"",IF(ISBLANK(IF(A49=A48+1,F48,INDIRECT("template!"&amp;"D"&amp;A49-1))),"",IF(A49=A48+1,F48,INDIRECT("template!"&amp;"D"&amp;A49-1))))</f>
        <v>#REF!</v>
      </c>
      <c r="G49" t="e" cm="1">
        <f t="array" aca="1" ref="G49" ca="1">IF(OR(A49="",B49="safety"),"",IF(ISBLANK(INDIRECT("template!"&amp;"D"&amp;A49)),"",INDIRECT("template!"&amp;"D"&amp;A49)))</f>
        <v>#REF!</v>
      </c>
      <c r="H49" t="e" cm="1">
        <f t="array" aca="1" ref="H49" ca="1">IF(OR(A49="",B49="safety"),"",IF(ISBLANK(INDIRECT("template!"&amp;"E"&amp;A49)),"",INDIRECT("template!"&amp;"E"&amp;A49)))</f>
        <v>#REF!</v>
      </c>
      <c r="I49" t="e" cm="1">
        <f t="array" aca="1" ref="I49" ca="1">IF(OR(A49="",B49="safety"),"",IF(ISBLANK(INDIRECT("template!"&amp;"F"&amp;A49)),"",INDIRECT("template!"&amp;"F"&amp;A49)))</f>
        <v>#REF!</v>
      </c>
      <c r="J49" t="e" cm="1">
        <f t="array" aca="1" ref="J49" ca="1">IF(OR(A49="",B49="safety"),"",IF(ISBLANK(INDIRECT("template!"&amp;"G"&amp;A49)),"",INDIRECT("template!"&amp;"G"&amp;A49)))</f>
        <v>#REF!</v>
      </c>
      <c r="K49" t="e" cm="1">
        <f t="array" aca="1" ref="K49" ca="1">IF(OR(A49="",B49="safety"),"",IF(ISBLANK(INDIRECT("template!"&amp;"H"&amp;A49)),"",INDIRECT("template!"&amp;"H"&amp;A49)))</f>
        <v>#REF!</v>
      </c>
      <c r="L49" t="e" cm="1">
        <f t="array" aca="1" ref="L49" ca="1">IF(OR(A49="",B49="safety"),"",INDIRECT("template!"&amp;"I"&amp;A49))</f>
        <v>#REF!</v>
      </c>
      <c r="M49" t="e" cm="1">
        <f t="array" aca="1" ref="M49" ca="1">IF(OR(A49="",B49="safety"),"",INDIRECT("template!"&amp;"J"&amp;A49))</f>
        <v>#REF!</v>
      </c>
      <c r="N49" t="e" cm="1">
        <f t="array" aca="1" ref="N49" ca="1">IF(OR(A49="",B49="safety"),"",IF(ISBLANK(INDIRECT("template!"&amp;"K"&amp;A49)),"",INDIRECT("template!"&amp;"K"&amp;A49)))</f>
        <v>#REF!</v>
      </c>
      <c r="O49" t="e" cm="1">
        <f t="array" aca="1" ref="O49" ca="1">IF(OR(A49="",B49="safety"),"",INDIRECT("template!"&amp;"L"&amp;A49))</f>
        <v>#REF!</v>
      </c>
      <c r="P49" t="e" cm="1">
        <f t="array" aca="1" ref="P49" ca="1">IF(OR(A49="",B49="safety"),"",INDIRECT("template!"&amp;"M"&amp;A49))</f>
        <v>#REF!</v>
      </c>
      <c r="Q49" t="e">
        <f t="shared" ca="1" si="1"/>
        <v>#REF!</v>
      </c>
      <c r="R49" t="e">
        <f t="shared" ca="1" si="2"/>
        <v>#REF!</v>
      </c>
      <c r="S49" t="e">
        <f t="shared" ca="1" si="3"/>
        <v>#REF!</v>
      </c>
      <c r="T49" t="e">
        <f t="shared" ca="1" si="4"/>
        <v>#REF!</v>
      </c>
      <c r="U49" t="e" cm="1">
        <f t="array" aca="1" ref="U49" ca="1">IF(A49="","",IF(E49="","",IF(B49="safety",INDIRECT("template!"&amp;"P"&amp;A49),Q49+R49)))</f>
        <v>#REF!</v>
      </c>
      <c r="V49" t="e" cm="1">
        <f t="array" aca="1" ref="V49" ca="1">IF(A49="","",IF(E49="","",IF(B49="safety",INDIRECT("template!"&amp;"P"&amp;A49),S49+T49)))</f>
        <v>#REF!</v>
      </c>
      <c r="W49" t="e">
        <f ca="1">IF(A49="","",IF(E49="","",#REF!))</f>
        <v>#REF!</v>
      </c>
      <c r="X49" t="e">
        <f ca="1">IF(A49="","",IF(E49="","",#REF!))</f>
        <v>#REF!</v>
      </c>
      <c r="Y49" s="39" t="e">
        <f ca="1">IF(A49="","",IF(E49="","",#REF!))</f>
        <v>#REF!</v>
      </c>
      <c r="Z49" t="e">
        <f ca="1">IF(A49="","",IF(E49="","",#REF!))</f>
        <v>#REF!</v>
      </c>
      <c r="AA49" t="e">
        <f ca="1">IF(A49="","",IF(E49="","",#REF!))</f>
        <v>#REF!</v>
      </c>
      <c r="AB49" t="e">
        <f ca="1">IF(A49="","",IF(E49="","",#REF!))</f>
        <v>#REF!</v>
      </c>
      <c r="AC49" t="e">
        <f t="shared" ca="1" si="5"/>
        <v>#REF!</v>
      </c>
    </row>
    <row r="50" spans="1:29" x14ac:dyDescent="0.35">
      <c r="A50" t="e" cm="1">
        <f t="array" aca="1" ref="A50" ca="1">IF(A49="","",IF(OR(AND(A49+1&gt;=$AF$1,A49+1&lt;=$AF$2),AND(A49+1&gt;=$AF$6,A49+1&lt;=$AF$7),AND(A49+1&gt;=$AF$3,A49+1&lt;=$AF$4),AND(A49+1&gt;=$AF$8,A49+1&lt;=$AF$9),A49+1=$AF$5),IF(NOT(ISBLANK(INDIRECT("template!"&amp;"P"&amp;A49+1))),A49+1,IF(NOT(ISBLANK(INDIRECT("template!"&amp;"P"&amp;A49+2))),A49+2,A49+3)),IF(A49=$AF$2,$AF$3,IF(A49=$AF$4,$AF$5,IF(A49=$AF$5,$AF$6,IF(A49=$AF$7,$AF$8,""))))))</f>
        <v>#REF!</v>
      </c>
      <c r="B50" t="e">
        <f t="shared" ca="1" si="0"/>
        <v>#REF!</v>
      </c>
      <c r="C50" t="e" cm="1">
        <f t="array" aca="1" ref="C50" ca="1">IF(A50="","",IF(B50="safety","safety costs",INDIRECT("template!"&amp;"B"&amp;A50)))</f>
        <v>#REF!</v>
      </c>
      <c r="D50" t="e" cm="1">
        <f t="array" aca="1" ref="D50" ca="1">IF(OR(A50="",B50="safety"),"",INDIRECT("template!"&amp;"C"&amp;A50))</f>
        <v>#REF!</v>
      </c>
      <c r="E50" t="e" cm="1">
        <f t="array" aca="1" ref="E50" ca="1">IF(A50="","",IF(OR(A50=A49+1,A50=A49+2),E49,INDIRECT("template!"&amp;"D"&amp;A50-2)))</f>
        <v>#REF!</v>
      </c>
      <c r="F50" t="e" cm="1">
        <f t="array" aca="1" ref="F50" ca="1">IF(OR(A50="",B50="safety"),"",IF(ISBLANK(IF(A50=A49+1,F49,INDIRECT("template!"&amp;"D"&amp;A50-1))),"",IF(A50=A49+1,F49,INDIRECT("template!"&amp;"D"&amp;A50-1))))</f>
        <v>#REF!</v>
      </c>
      <c r="G50" t="e" cm="1">
        <f t="array" aca="1" ref="G50" ca="1">IF(OR(A50="",B50="safety"),"",IF(ISBLANK(INDIRECT("template!"&amp;"D"&amp;A50)),"",INDIRECT("template!"&amp;"D"&amp;A50)))</f>
        <v>#REF!</v>
      </c>
      <c r="H50" t="e" cm="1">
        <f t="array" aca="1" ref="H50" ca="1">IF(OR(A50="",B50="safety"),"",IF(ISBLANK(INDIRECT("template!"&amp;"E"&amp;A50)),"",INDIRECT("template!"&amp;"E"&amp;A50)))</f>
        <v>#REF!</v>
      </c>
      <c r="I50" t="e" cm="1">
        <f t="array" aca="1" ref="I50" ca="1">IF(OR(A50="",B50="safety"),"",IF(ISBLANK(INDIRECT("template!"&amp;"F"&amp;A50)),"",INDIRECT("template!"&amp;"F"&amp;A50)))</f>
        <v>#REF!</v>
      </c>
      <c r="J50" t="e" cm="1">
        <f t="array" aca="1" ref="J50" ca="1">IF(OR(A50="",B50="safety"),"",IF(ISBLANK(INDIRECT("template!"&amp;"G"&amp;A50)),"",INDIRECT("template!"&amp;"G"&amp;A50)))</f>
        <v>#REF!</v>
      </c>
      <c r="K50" t="e" cm="1">
        <f t="array" aca="1" ref="K50" ca="1">IF(OR(A50="",B50="safety"),"",IF(ISBLANK(INDIRECT("template!"&amp;"H"&amp;A50)),"",INDIRECT("template!"&amp;"H"&amp;A50)))</f>
        <v>#REF!</v>
      </c>
      <c r="L50" t="e" cm="1">
        <f t="array" aca="1" ref="L50" ca="1">IF(OR(A50="",B50="safety"),"",INDIRECT("template!"&amp;"I"&amp;A50))</f>
        <v>#REF!</v>
      </c>
      <c r="M50" t="e" cm="1">
        <f t="array" aca="1" ref="M50" ca="1">IF(OR(A50="",B50="safety"),"",INDIRECT("template!"&amp;"J"&amp;A50))</f>
        <v>#REF!</v>
      </c>
      <c r="N50" t="e" cm="1">
        <f t="array" aca="1" ref="N50" ca="1">IF(OR(A50="",B50="safety"),"",IF(ISBLANK(INDIRECT("template!"&amp;"K"&amp;A50)),"",INDIRECT("template!"&amp;"K"&amp;A50)))</f>
        <v>#REF!</v>
      </c>
      <c r="O50" t="e" cm="1">
        <f t="array" aca="1" ref="O50" ca="1">IF(OR(A50="",B50="safety"),"",INDIRECT("template!"&amp;"L"&amp;A50))</f>
        <v>#REF!</v>
      </c>
      <c r="P50" t="e" cm="1">
        <f t="array" aca="1" ref="P50" ca="1">IF(OR(A50="",B50="safety"),"",INDIRECT("template!"&amp;"M"&amp;A50))</f>
        <v>#REF!</v>
      </c>
      <c r="Q50" t="e">
        <f t="shared" ca="1" si="1"/>
        <v>#REF!</v>
      </c>
      <c r="R50" t="e">
        <f t="shared" ca="1" si="2"/>
        <v>#REF!</v>
      </c>
      <c r="S50" t="e">
        <f t="shared" ca="1" si="3"/>
        <v>#REF!</v>
      </c>
      <c r="T50" t="e">
        <f t="shared" ca="1" si="4"/>
        <v>#REF!</v>
      </c>
      <c r="U50" t="e" cm="1">
        <f t="array" aca="1" ref="U50" ca="1">IF(A50="","",IF(E50="","",IF(B50="safety",INDIRECT("template!"&amp;"P"&amp;A50),Q50+R50)))</f>
        <v>#REF!</v>
      </c>
      <c r="V50" t="e" cm="1">
        <f t="array" aca="1" ref="V50" ca="1">IF(A50="","",IF(E50="","",IF(B50="safety",INDIRECT("template!"&amp;"P"&amp;A50),S50+T50)))</f>
        <v>#REF!</v>
      </c>
      <c r="W50" t="e">
        <f ca="1">IF(A50="","",IF(E50="","",#REF!))</f>
        <v>#REF!</v>
      </c>
      <c r="X50" t="e">
        <f ca="1">IF(A50="","",IF(E50="","",#REF!))</f>
        <v>#REF!</v>
      </c>
      <c r="Y50" s="39" t="e">
        <f ca="1">IF(A50="","",IF(E50="","",#REF!))</f>
        <v>#REF!</v>
      </c>
      <c r="Z50" t="e">
        <f ca="1">IF(A50="","",IF(E50="","",#REF!))</f>
        <v>#REF!</v>
      </c>
      <c r="AA50" t="e">
        <f ca="1">IF(A50="","",IF(E50="","",#REF!))</f>
        <v>#REF!</v>
      </c>
      <c r="AB50" t="e">
        <f ca="1">IF(A50="","",IF(E50="","",#REF!))</f>
        <v>#REF!</v>
      </c>
      <c r="AC50" t="e">
        <f t="shared" ca="1" si="5"/>
        <v>#REF!</v>
      </c>
    </row>
    <row r="51" spans="1:29" x14ac:dyDescent="0.35">
      <c r="A51" t="e" cm="1">
        <f t="array" aca="1" ref="A51" ca="1">IF(A50="","",IF(OR(AND(A50+1&gt;=$AF$1,A50+1&lt;=$AF$2),AND(A50+1&gt;=$AF$6,A50+1&lt;=$AF$7),AND(A50+1&gt;=$AF$3,A50+1&lt;=$AF$4),AND(A50+1&gt;=$AF$8,A50+1&lt;=$AF$9),A50+1=$AF$5),IF(NOT(ISBLANK(INDIRECT("template!"&amp;"P"&amp;A50+1))),A50+1,IF(NOT(ISBLANK(INDIRECT("template!"&amp;"P"&amp;A50+2))),A50+2,A50+3)),IF(A50=$AF$2,$AF$3,IF(A50=$AF$4,$AF$5,IF(A50=$AF$5,$AF$6,IF(A50=$AF$7,$AF$8,""))))))</f>
        <v>#REF!</v>
      </c>
      <c r="B51" t="e">
        <f t="shared" ca="1" si="0"/>
        <v>#REF!</v>
      </c>
      <c r="C51" t="e" cm="1">
        <f t="array" aca="1" ref="C51" ca="1">IF(A51="","",IF(B51="safety","safety costs",INDIRECT("template!"&amp;"B"&amp;A51)))</f>
        <v>#REF!</v>
      </c>
      <c r="D51" t="e" cm="1">
        <f t="array" aca="1" ref="D51" ca="1">IF(OR(A51="",B51="safety"),"",INDIRECT("template!"&amp;"C"&amp;A51))</f>
        <v>#REF!</v>
      </c>
      <c r="E51" t="e" cm="1">
        <f t="array" aca="1" ref="E51" ca="1">IF(A51="","",IF(OR(A51=A50+1,A51=A50+2),E50,INDIRECT("template!"&amp;"D"&amp;A51-2)))</f>
        <v>#REF!</v>
      </c>
      <c r="F51" t="e" cm="1">
        <f t="array" aca="1" ref="F51" ca="1">IF(OR(A51="",B51="safety"),"",IF(ISBLANK(IF(A51=A50+1,F50,INDIRECT("template!"&amp;"D"&amp;A51-1))),"",IF(A51=A50+1,F50,INDIRECT("template!"&amp;"D"&amp;A51-1))))</f>
        <v>#REF!</v>
      </c>
      <c r="G51" t="e" cm="1">
        <f t="array" aca="1" ref="G51" ca="1">IF(OR(A51="",B51="safety"),"",IF(ISBLANK(INDIRECT("template!"&amp;"D"&amp;A51)),"",INDIRECT("template!"&amp;"D"&amp;A51)))</f>
        <v>#REF!</v>
      </c>
      <c r="H51" t="e" cm="1">
        <f t="array" aca="1" ref="H51" ca="1">IF(OR(A51="",B51="safety"),"",IF(ISBLANK(INDIRECT("template!"&amp;"E"&amp;A51)),"",INDIRECT("template!"&amp;"E"&amp;A51)))</f>
        <v>#REF!</v>
      </c>
      <c r="I51" t="e" cm="1">
        <f t="array" aca="1" ref="I51" ca="1">IF(OR(A51="",B51="safety"),"",IF(ISBLANK(INDIRECT("template!"&amp;"F"&amp;A51)),"",INDIRECT("template!"&amp;"F"&amp;A51)))</f>
        <v>#REF!</v>
      </c>
      <c r="J51" t="e" cm="1">
        <f t="array" aca="1" ref="J51" ca="1">IF(OR(A51="",B51="safety"),"",IF(ISBLANK(INDIRECT("template!"&amp;"G"&amp;A51)),"",INDIRECT("template!"&amp;"G"&amp;A51)))</f>
        <v>#REF!</v>
      </c>
      <c r="K51" t="e" cm="1">
        <f t="array" aca="1" ref="K51" ca="1">IF(OR(A51="",B51="safety"),"",IF(ISBLANK(INDIRECT("template!"&amp;"H"&amp;A51)),"",INDIRECT("template!"&amp;"H"&amp;A51)))</f>
        <v>#REF!</v>
      </c>
      <c r="L51" t="e" cm="1">
        <f t="array" aca="1" ref="L51" ca="1">IF(OR(A51="",B51="safety"),"",INDIRECT("template!"&amp;"I"&amp;A51))</f>
        <v>#REF!</v>
      </c>
      <c r="M51" t="e" cm="1">
        <f t="array" aca="1" ref="M51" ca="1">IF(OR(A51="",B51="safety"),"",INDIRECT("template!"&amp;"J"&amp;A51))</f>
        <v>#REF!</v>
      </c>
      <c r="N51" t="e" cm="1">
        <f t="array" aca="1" ref="N51" ca="1">IF(OR(A51="",B51="safety"),"",IF(ISBLANK(INDIRECT("template!"&amp;"K"&amp;A51)),"",INDIRECT("template!"&amp;"K"&amp;A51)))</f>
        <v>#REF!</v>
      </c>
      <c r="O51" t="e" cm="1">
        <f t="array" aca="1" ref="O51" ca="1">IF(OR(A51="",B51="safety"),"",INDIRECT("template!"&amp;"L"&amp;A51))</f>
        <v>#REF!</v>
      </c>
      <c r="P51" t="e" cm="1">
        <f t="array" aca="1" ref="P51" ca="1">IF(OR(A51="",B51="safety"),"",INDIRECT("template!"&amp;"M"&amp;A51))</f>
        <v>#REF!</v>
      </c>
      <c r="Q51" t="e">
        <f t="shared" ca="1" si="1"/>
        <v>#REF!</v>
      </c>
      <c r="R51" t="e">
        <f t="shared" ca="1" si="2"/>
        <v>#REF!</v>
      </c>
      <c r="S51" t="e">
        <f t="shared" ca="1" si="3"/>
        <v>#REF!</v>
      </c>
      <c r="T51" t="e">
        <f t="shared" ca="1" si="4"/>
        <v>#REF!</v>
      </c>
      <c r="U51" t="e" cm="1">
        <f t="array" aca="1" ref="U51" ca="1">IF(A51="","",IF(E51="","",IF(B51="safety",INDIRECT("template!"&amp;"P"&amp;A51),Q51+R51)))</f>
        <v>#REF!</v>
      </c>
      <c r="V51" t="e" cm="1">
        <f t="array" aca="1" ref="V51" ca="1">IF(A51="","",IF(E51="","",IF(B51="safety",INDIRECT("template!"&amp;"P"&amp;A51),S51+T51)))</f>
        <v>#REF!</v>
      </c>
      <c r="W51" t="e">
        <f ca="1">IF(A51="","",IF(E51="","",#REF!))</f>
        <v>#REF!</v>
      </c>
      <c r="X51" t="e">
        <f ca="1">IF(A51="","",IF(E51="","",#REF!))</f>
        <v>#REF!</v>
      </c>
      <c r="Y51" s="39" t="e">
        <f ca="1">IF(A51="","",IF(E51="","",#REF!))</f>
        <v>#REF!</v>
      </c>
      <c r="Z51" t="e">
        <f ca="1">IF(A51="","",IF(E51="","",#REF!))</f>
        <v>#REF!</v>
      </c>
      <c r="AA51" t="e">
        <f ca="1">IF(A51="","",IF(E51="","",#REF!))</f>
        <v>#REF!</v>
      </c>
      <c r="AB51" t="e">
        <f ca="1">IF(A51="","",IF(E51="","",#REF!))</f>
        <v>#REF!</v>
      </c>
      <c r="AC51" t="e">
        <f t="shared" ca="1" si="5"/>
        <v>#REF!</v>
      </c>
    </row>
    <row r="52" spans="1:29" x14ac:dyDescent="0.35">
      <c r="A52" t="e" cm="1">
        <f t="array" aca="1" ref="A52" ca="1">IF(A51="","",IF(OR(AND(A51+1&gt;=$AF$1,A51+1&lt;=$AF$2),AND(A51+1&gt;=$AF$6,A51+1&lt;=$AF$7),AND(A51+1&gt;=$AF$3,A51+1&lt;=$AF$4),AND(A51+1&gt;=$AF$8,A51+1&lt;=$AF$9),A51+1=$AF$5),IF(NOT(ISBLANK(INDIRECT("template!"&amp;"P"&amp;A51+1))),A51+1,IF(NOT(ISBLANK(INDIRECT("template!"&amp;"P"&amp;A51+2))),A51+2,A51+3)),IF(A51=$AF$2,$AF$3,IF(A51=$AF$4,$AF$5,IF(A51=$AF$5,$AF$6,IF(A51=$AF$7,$AF$8,""))))))</f>
        <v>#REF!</v>
      </c>
      <c r="B52" t="e">
        <f t="shared" ca="1" si="0"/>
        <v>#REF!</v>
      </c>
      <c r="C52" t="e" cm="1">
        <f t="array" aca="1" ref="C52" ca="1">IF(A52="","",IF(B52="safety","safety costs",INDIRECT("template!"&amp;"B"&amp;A52)))</f>
        <v>#REF!</v>
      </c>
      <c r="D52" t="e" cm="1">
        <f t="array" aca="1" ref="D52" ca="1">IF(OR(A52="",B52="safety"),"",INDIRECT("template!"&amp;"C"&amp;A52))</f>
        <v>#REF!</v>
      </c>
      <c r="E52" t="e" cm="1">
        <f t="array" aca="1" ref="E52" ca="1">IF(A52="","",IF(OR(A52=A51+1,A52=A51+2),E51,INDIRECT("template!"&amp;"D"&amp;A52-2)))</f>
        <v>#REF!</v>
      </c>
      <c r="F52" t="e" cm="1">
        <f t="array" aca="1" ref="F52" ca="1">IF(OR(A52="",B52="safety"),"",IF(ISBLANK(IF(A52=A51+1,F51,INDIRECT("template!"&amp;"D"&amp;A52-1))),"",IF(A52=A51+1,F51,INDIRECT("template!"&amp;"D"&amp;A52-1))))</f>
        <v>#REF!</v>
      </c>
      <c r="G52" t="e" cm="1">
        <f t="array" aca="1" ref="G52" ca="1">IF(OR(A52="",B52="safety"),"",IF(ISBLANK(INDIRECT("template!"&amp;"D"&amp;A52)),"",INDIRECT("template!"&amp;"D"&amp;A52)))</f>
        <v>#REF!</v>
      </c>
      <c r="H52" t="e" cm="1">
        <f t="array" aca="1" ref="H52" ca="1">IF(OR(A52="",B52="safety"),"",IF(ISBLANK(INDIRECT("template!"&amp;"E"&amp;A52)),"",INDIRECT("template!"&amp;"E"&amp;A52)))</f>
        <v>#REF!</v>
      </c>
      <c r="I52" t="e" cm="1">
        <f t="array" aca="1" ref="I52" ca="1">IF(OR(A52="",B52="safety"),"",IF(ISBLANK(INDIRECT("template!"&amp;"F"&amp;A52)),"",INDIRECT("template!"&amp;"F"&amp;A52)))</f>
        <v>#REF!</v>
      </c>
      <c r="J52" t="e" cm="1">
        <f t="array" aca="1" ref="J52" ca="1">IF(OR(A52="",B52="safety"),"",IF(ISBLANK(INDIRECT("template!"&amp;"G"&amp;A52)),"",INDIRECT("template!"&amp;"G"&amp;A52)))</f>
        <v>#REF!</v>
      </c>
      <c r="K52" t="e" cm="1">
        <f t="array" aca="1" ref="K52" ca="1">IF(OR(A52="",B52="safety"),"",IF(ISBLANK(INDIRECT("template!"&amp;"H"&amp;A52)),"",INDIRECT("template!"&amp;"H"&amp;A52)))</f>
        <v>#REF!</v>
      </c>
      <c r="L52" t="e" cm="1">
        <f t="array" aca="1" ref="L52" ca="1">IF(OR(A52="",B52="safety"),"",INDIRECT("template!"&amp;"I"&amp;A52))</f>
        <v>#REF!</v>
      </c>
      <c r="M52" t="e" cm="1">
        <f t="array" aca="1" ref="M52" ca="1">IF(OR(A52="",B52="safety"),"",INDIRECT("template!"&amp;"J"&amp;A52))</f>
        <v>#REF!</v>
      </c>
      <c r="N52" t="e" cm="1">
        <f t="array" aca="1" ref="N52" ca="1">IF(OR(A52="",B52="safety"),"",IF(ISBLANK(INDIRECT("template!"&amp;"K"&amp;A52)),"",INDIRECT("template!"&amp;"K"&amp;A52)))</f>
        <v>#REF!</v>
      </c>
      <c r="O52" t="e" cm="1">
        <f t="array" aca="1" ref="O52" ca="1">IF(OR(A52="",B52="safety"),"",INDIRECT("template!"&amp;"L"&amp;A52))</f>
        <v>#REF!</v>
      </c>
      <c r="P52" t="e" cm="1">
        <f t="array" aca="1" ref="P52" ca="1">IF(OR(A52="",B52="safety"),"",INDIRECT("template!"&amp;"M"&amp;A52))</f>
        <v>#REF!</v>
      </c>
      <c r="Q52" t="e">
        <f t="shared" ca="1" si="1"/>
        <v>#REF!</v>
      </c>
      <c r="R52" t="e">
        <f t="shared" ca="1" si="2"/>
        <v>#REF!</v>
      </c>
      <c r="S52" t="e">
        <f t="shared" ca="1" si="3"/>
        <v>#REF!</v>
      </c>
      <c r="T52" t="e">
        <f t="shared" ca="1" si="4"/>
        <v>#REF!</v>
      </c>
      <c r="U52" t="e" cm="1">
        <f t="array" aca="1" ref="U52" ca="1">IF(A52="","",IF(E52="","",IF(B52="safety",INDIRECT("template!"&amp;"P"&amp;A52),Q52+R52)))</f>
        <v>#REF!</v>
      </c>
      <c r="V52" t="e" cm="1">
        <f t="array" aca="1" ref="V52" ca="1">IF(A52="","",IF(E52="","",IF(B52="safety",INDIRECT("template!"&amp;"P"&amp;A52),S52+T52)))</f>
        <v>#REF!</v>
      </c>
      <c r="W52" t="e">
        <f ca="1">IF(A52="","",IF(E52="","",#REF!))</f>
        <v>#REF!</v>
      </c>
      <c r="X52" t="e">
        <f ca="1">IF(A52="","",IF(E52="","",#REF!))</f>
        <v>#REF!</v>
      </c>
      <c r="Y52" s="39" t="e">
        <f ca="1">IF(A52="","",IF(E52="","",#REF!))</f>
        <v>#REF!</v>
      </c>
      <c r="Z52" t="e">
        <f ca="1">IF(A52="","",IF(E52="","",#REF!))</f>
        <v>#REF!</v>
      </c>
      <c r="AA52" t="e">
        <f ca="1">IF(A52="","",IF(E52="","",#REF!))</f>
        <v>#REF!</v>
      </c>
      <c r="AB52" t="e">
        <f ca="1">IF(A52="","",IF(E52="","",#REF!))</f>
        <v>#REF!</v>
      </c>
      <c r="AC52" t="e">
        <f t="shared" ca="1" si="5"/>
        <v>#REF!</v>
      </c>
    </row>
    <row r="53" spans="1:29" x14ac:dyDescent="0.35">
      <c r="A53" t="e" cm="1">
        <f t="array" aca="1" ref="A53" ca="1">IF(A52="","",IF(OR(AND(A52+1&gt;=$AF$1,A52+1&lt;=$AF$2),AND(A52+1&gt;=$AF$6,A52+1&lt;=$AF$7),AND(A52+1&gt;=$AF$3,A52+1&lt;=$AF$4),AND(A52+1&gt;=$AF$8,A52+1&lt;=$AF$9),A52+1=$AF$5),IF(NOT(ISBLANK(INDIRECT("template!"&amp;"P"&amp;A52+1))),A52+1,IF(NOT(ISBLANK(INDIRECT("template!"&amp;"P"&amp;A52+2))),A52+2,A52+3)),IF(A52=$AF$2,$AF$3,IF(A52=$AF$4,$AF$5,IF(A52=$AF$5,$AF$6,IF(A52=$AF$7,$AF$8,""))))))</f>
        <v>#REF!</v>
      </c>
      <c r="B53" t="e">
        <f t="shared" ca="1" si="0"/>
        <v>#REF!</v>
      </c>
      <c r="C53" t="e" cm="1">
        <f t="array" aca="1" ref="C53" ca="1">IF(A53="","",IF(B53="safety","safety costs",INDIRECT("template!"&amp;"B"&amp;A53)))</f>
        <v>#REF!</v>
      </c>
      <c r="D53" t="e" cm="1">
        <f t="array" aca="1" ref="D53" ca="1">IF(OR(A53="",B53="safety"),"",INDIRECT("template!"&amp;"C"&amp;A53))</f>
        <v>#REF!</v>
      </c>
      <c r="E53" t="e" cm="1">
        <f t="array" aca="1" ref="E53" ca="1">IF(A53="","",IF(OR(A53=A52+1,A53=A52+2),E52,INDIRECT("template!"&amp;"D"&amp;A53-2)))</f>
        <v>#REF!</v>
      </c>
      <c r="F53" t="e" cm="1">
        <f t="array" aca="1" ref="F53" ca="1">IF(OR(A53="",B53="safety"),"",IF(ISBLANK(IF(A53=A52+1,F52,INDIRECT("template!"&amp;"D"&amp;A53-1))),"",IF(A53=A52+1,F52,INDIRECT("template!"&amp;"D"&amp;A53-1))))</f>
        <v>#REF!</v>
      </c>
      <c r="G53" t="e" cm="1">
        <f t="array" aca="1" ref="G53" ca="1">IF(OR(A53="",B53="safety"),"",IF(ISBLANK(INDIRECT("template!"&amp;"D"&amp;A53)),"",INDIRECT("template!"&amp;"D"&amp;A53)))</f>
        <v>#REF!</v>
      </c>
      <c r="H53" t="e" cm="1">
        <f t="array" aca="1" ref="H53" ca="1">IF(OR(A53="",B53="safety"),"",IF(ISBLANK(INDIRECT("template!"&amp;"E"&amp;A53)),"",INDIRECT("template!"&amp;"E"&amp;A53)))</f>
        <v>#REF!</v>
      </c>
      <c r="I53" t="e" cm="1">
        <f t="array" aca="1" ref="I53" ca="1">IF(OR(A53="",B53="safety"),"",IF(ISBLANK(INDIRECT("template!"&amp;"F"&amp;A53)),"",INDIRECT("template!"&amp;"F"&amp;A53)))</f>
        <v>#REF!</v>
      </c>
      <c r="J53" t="e" cm="1">
        <f t="array" aca="1" ref="J53" ca="1">IF(OR(A53="",B53="safety"),"",IF(ISBLANK(INDIRECT("template!"&amp;"G"&amp;A53)),"",INDIRECT("template!"&amp;"G"&amp;A53)))</f>
        <v>#REF!</v>
      </c>
      <c r="K53" t="e" cm="1">
        <f t="array" aca="1" ref="K53" ca="1">IF(OR(A53="",B53="safety"),"",IF(ISBLANK(INDIRECT("template!"&amp;"H"&amp;A53)),"",INDIRECT("template!"&amp;"H"&amp;A53)))</f>
        <v>#REF!</v>
      </c>
      <c r="L53" t="e" cm="1">
        <f t="array" aca="1" ref="L53" ca="1">IF(OR(A53="",B53="safety"),"",INDIRECT("template!"&amp;"I"&amp;A53))</f>
        <v>#REF!</v>
      </c>
      <c r="M53" t="e" cm="1">
        <f t="array" aca="1" ref="M53" ca="1">IF(OR(A53="",B53="safety"),"",INDIRECT("template!"&amp;"J"&amp;A53))</f>
        <v>#REF!</v>
      </c>
      <c r="N53" t="e" cm="1">
        <f t="array" aca="1" ref="N53" ca="1">IF(OR(A53="",B53="safety"),"",IF(ISBLANK(INDIRECT("template!"&amp;"K"&amp;A53)),"",INDIRECT("template!"&amp;"K"&amp;A53)))</f>
        <v>#REF!</v>
      </c>
      <c r="O53" t="e" cm="1">
        <f t="array" aca="1" ref="O53" ca="1">IF(OR(A53="",B53="safety"),"",INDIRECT("template!"&amp;"L"&amp;A53))</f>
        <v>#REF!</v>
      </c>
      <c r="P53" t="e" cm="1">
        <f t="array" aca="1" ref="P53" ca="1">IF(OR(A53="",B53="safety"),"",INDIRECT("template!"&amp;"M"&amp;A53))</f>
        <v>#REF!</v>
      </c>
      <c r="Q53" t="e">
        <f t="shared" ca="1" si="1"/>
        <v>#REF!</v>
      </c>
      <c r="R53" t="e">
        <f t="shared" ca="1" si="2"/>
        <v>#REF!</v>
      </c>
      <c r="S53" t="e">
        <f t="shared" ca="1" si="3"/>
        <v>#REF!</v>
      </c>
      <c r="T53" t="e">
        <f t="shared" ca="1" si="4"/>
        <v>#REF!</v>
      </c>
      <c r="U53" t="e" cm="1">
        <f t="array" aca="1" ref="U53" ca="1">IF(A53="","",IF(E53="","",IF(B53="safety",INDIRECT("template!"&amp;"P"&amp;A53),Q53+R53)))</f>
        <v>#REF!</v>
      </c>
      <c r="V53" t="e" cm="1">
        <f t="array" aca="1" ref="V53" ca="1">IF(A53="","",IF(E53="","",IF(B53="safety",INDIRECT("template!"&amp;"P"&amp;A53),S53+T53)))</f>
        <v>#REF!</v>
      </c>
      <c r="W53" t="e">
        <f ca="1">IF(A53="","",IF(E53="","",#REF!))</f>
        <v>#REF!</v>
      </c>
      <c r="X53" t="e">
        <f ca="1">IF(A53="","",IF(E53="","",#REF!))</f>
        <v>#REF!</v>
      </c>
      <c r="Y53" s="39" t="e">
        <f ca="1">IF(A53="","",IF(E53="","",#REF!))</f>
        <v>#REF!</v>
      </c>
      <c r="Z53" t="e">
        <f ca="1">IF(A53="","",IF(E53="","",#REF!))</f>
        <v>#REF!</v>
      </c>
      <c r="AA53" t="e">
        <f ca="1">IF(A53="","",IF(E53="","",#REF!))</f>
        <v>#REF!</v>
      </c>
      <c r="AB53" t="e">
        <f ca="1">IF(A53="","",IF(E53="","",#REF!))</f>
        <v>#REF!</v>
      </c>
      <c r="AC53" t="e">
        <f t="shared" ca="1" si="5"/>
        <v>#REF!</v>
      </c>
    </row>
    <row r="54" spans="1:29" x14ac:dyDescent="0.35">
      <c r="A54" t="e" cm="1">
        <f t="array" aca="1" ref="A54" ca="1">IF(A53="","",IF(OR(AND(A53+1&gt;=$AF$1,A53+1&lt;=$AF$2),AND(A53+1&gt;=$AF$6,A53+1&lt;=$AF$7),AND(A53+1&gt;=$AF$3,A53+1&lt;=$AF$4),AND(A53+1&gt;=$AF$8,A53+1&lt;=$AF$9),A53+1=$AF$5),IF(NOT(ISBLANK(INDIRECT("template!"&amp;"P"&amp;A53+1))),A53+1,IF(NOT(ISBLANK(INDIRECT("template!"&amp;"P"&amp;A53+2))),A53+2,A53+3)),IF(A53=$AF$2,$AF$3,IF(A53=$AF$4,$AF$5,IF(A53=$AF$5,$AF$6,IF(A53=$AF$7,$AF$8,""))))))</f>
        <v>#REF!</v>
      </c>
      <c r="B54" t="e">
        <f t="shared" ca="1" si="0"/>
        <v>#REF!</v>
      </c>
      <c r="C54" t="e" cm="1">
        <f t="array" aca="1" ref="C54" ca="1">IF(A54="","",IF(B54="safety","safety costs",INDIRECT("template!"&amp;"B"&amp;A54)))</f>
        <v>#REF!</v>
      </c>
      <c r="D54" t="e" cm="1">
        <f t="array" aca="1" ref="D54" ca="1">IF(OR(A54="",B54="safety"),"",INDIRECT("template!"&amp;"C"&amp;A54))</f>
        <v>#REF!</v>
      </c>
      <c r="E54" t="e" cm="1">
        <f t="array" aca="1" ref="E54" ca="1">IF(A54="","",IF(OR(A54=A53+1,A54=A53+2),E53,INDIRECT("template!"&amp;"D"&amp;A54-2)))</f>
        <v>#REF!</v>
      </c>
      <c r="F54" t="e" cm="1">
        <f t="array" aca="1" ref="F54" ca="1">IF(OR(A54="",B54="safety"),"",IF(ISBLANK(IF(A54=A53+1,F53,INDIRECT("template!"&amp;"D"&amp;A54-1))),"",IF(A54=A53+1,F53,INDIRECT("template!"&amp;"D"&amp;A54-1))))</f>
        <v>#REF!</v>
      </c>
      <c r="G54" t="e" cm="1">
        <f t="array" aca="1" ref="G54" ca="1">IF(OR(A54="",B54="safety"),"",IF(ISBLANK(INDIRECT("template!"&amp;"D"&amp;A54)),"",INDIRECT("template!"&amp;"D"&amp;A54)))</f>
        <v>#REF!</v>
      </c>
      <c r="H54" t="e" cm="1">
        <f t="array" aca="1" ref="H54" ca="1">IF(OR(A54="",B54="safety"),"",IF(ISBLANK(INDIRECT("template!"&amp;"E"&amp;A54)),"",INDIRECT("template!"&amp;"E"&amp;A54)))</f>
        <v>#REF!</v>
      </c>
      <c r="I54" t="e" cm="1">
        <f t="array" aca="1" ref="I54" ca="1">IF(OR(A54="",B54="safety"),"",IF(ISBLANK(INDIRECT("template!"&amp;"F"&amp;A54)),"",INDIRECT("template!"&amp;"F"&amp;A54)))</f>
        <v>#REF!</v>
      </c>
      <c r="J54" t="e" cm="1">
        <f t="array" aca="1" ref="J54" ca="1">IF(OR(A54="",B54="safety"),"",IF(ISBLANK(INDIRECT("template!"&amp;"G"&amp;A54)),"",INDIRECT("template!"&amp;"G"&amp;A54)))</f>
        <v>#REF!</v>
      </c>
      <c r="K54" t="e" cm="1">
        <f t="array" aca="1" ref="K54" ca="1">IF(OR(A54="",B54="safety"),"",IF(ISBLANK(INDIRECT("template!"&amp;"H"&amp;A54)),"",INDIRECT("template!"&amp;"H"&amp;A54)))</f>
        <v>#REF!</v>
      </c>
      <c r="L54" t="e" cm="1">
        <f t="array" aca="1" ref="L54" ca="1">IF(OR(A54="",B54="safety"),"",INDIRECT("template!"&amp;"I"&amp;A54))</f>
        <v>#REF!</v>
      </c>
      <c r="M54" t="e" cm="1">
        <f t="array" aca="1" ref="M54" ca="1">IF(OR(A54="",B54="safety"),"",INDIRECT("template!"&amp;"J"&amp;A54))</f>
        <v>#REF!</v>
      </c>
      <c r="N54" t="e" cm="1">
        <f t="array" aca="1" ref="N54" ca="1">IF(OR(A54="",B54="safety"),"",IF(ISBLANK(INDIRECT("template!"&amp;"K"&amp;A54)),"",INDIRECT("template!"&amp;"K"&amp;A54)))</f>
        <v>#REF!</v>
      </c>
      <c r="O54" t="e" cm="1">
        <f t="array" aca="1" ref="O54" ca="1">IF(OR(A54="",B54="safety"),"",INDIRECT("template!"&amp;"L"&amp;A54))</f>
        <v>#REF!</v>
      </c>
      <c r="P54" t="e" cm="1">
        <f t="array" aca="1" ref="P54" ca="1">IF(OR(A54="",B54="safety"),"",INDIRECT("template!"&amp;"M"&amp;A54))</f>
        <v>#REF!</v>
      </c>
      <c r="Q54" t="e">
        <f t="shared" ca="1" si="1"/>
        <v>#REF!</v>
      </c>
      <c r="R54" t="e">
        <f t="shared" ca="1" si="2"/>
        <v>#REF!</v>
      </c>
      <c r="S54" t="e">
        <f t="shared" ca="1" si="3"/>
        <v>#REF!</v>
      </c>
      <c r="T54" t="e">
        <f t="shared" ca="1" si="4"/>
        <v>#REF!</v>
      </c>
      <c r="U54" t="e" cm="1">
        <f t="array" aca="1" ref="U54" ca="1">IF(A54="","",IF(E54="","",IF(B54="safety",INDIRECT("template!"&amp;"P"&amp;A54),Q54+R54)))</f>
        <v>#REF!</v>
      </c>
      <c r="V54" t="e" cm="1">
        <f t="array" aca="1" ref="V54" ca="1">IF(A54="","",IF(E54="","",IF(B54="safety",INDIRECT("template!"&amp;"P"&amp;A54),S54+T54)))</f>
        <v>#REF!</v>
      </c>
      <c r="W54" t="e">
        <f ca="1">IF(A54="","",IF(E54="","",#REF!))</f>
        <v>#REF!</v>
      </c>
      <c r="X54" t="e">
        <f ca="1">IF(A54="","",IF(E54="","",#REF!))</f>
        <v>#REF!</v>
      </c>
      <c r="Y54" s="39" t="e">
        <f ca="1">IF(A54="","",IF(E54="","",#REF!))</f>
        <v>#REF!</v>
      </c>
      <c r="Z54" t="e">
        <f ca="1">IF(A54="","",IF(E54="","",#REF!))</f>
        <v>#REF!</v>
      </c>
      <c r="AA54" t="e">
        <f ca="1">IF(A54="","",IF(E54="","",#REF!))</f>
        <v>#REF!</v>
      </c>
      <c r="AB54" t="e">
        <f ca="1">IF(A54="","",IF(E54="","",#REF!))</f>
        <v>#REF!</v>
      </c>
      <c r="AC54" t="e">
        <f t="shared" ca="1" si="5"/>
        <v>#REF!</v>
      </c>
    </row>
    <row r="55" spans="1:29" x14ac:dyDescent="0.35">
      <c r="A55" t="e" cm="1">
        <f t="array" aca="1" ref="A55" ca="1">IF(A54="","",IF(OR(AND(A54+1&gt;=$AF$1,A54+1&lt;=$AF$2),AND(A54+1&gt;=$AF$6,A54+1&lt;=$AF$7),AND(A54+1&gt;=$AF$3,A54+1&lt;=$AF$4),AND(A54+1&gt;=$AF$8,A54+1&lt;=$AF$9),A54+1=$AF$5),IF(NOT(ISBLANK(INDIRECT("template!"&amp;"P"&amp;A54+1))),A54+1,IF(NOT(ISBLANK(INDIRECT("template!"&amp;"P"&amp;A54+2))),A54+2,A54+3)),IF(A54=$AF$2,$AF$3,IF(A54=$AF$4,$AF$5,IF(A54=$AF$5,$AF$6,IF(A54=$AF$7,$AF$8,""))))))</f>
        <v>#REF!</v>
      </c>
      <c r="B55" t="e">
        <f t="shared" ca="1" si="0"/>
        <v>#REF!</v>
      </c>
      <c r="C55" t="e" cm="1">
        <f t="array" aca="1" ref="C55" ca="1">IF(A55="","",IF(B55="safety","safety costs",INDIRECT("template!"&amp;"B"&amp;A55)))</f>
        <v>#REF!</v>
      </c>
      <c r="D55" t="e" cm="1">
        <f t="array" aca="1" ref="D55" ca="1">IF(OR(A55="",B55="safety"),"",INDIRECT("template!"&amp;"C"&amp;A55))</f>
        <v>#REF!</v>
      </c>
      <c r="E55" t="e" cm="1">
        <f t="array" aca="1" ref="E55" ca="1">IF(A55="","",IF(OR(A55=A54+1,A55=A54+2),E54,INDIRECT("template!"&amp;"D"&amp;A55-2)))</f>
        <v>#REF!</v>
      </c>
      <c r="F55" t="e" cm="1">
        <f t="array" aca="1" ref="F55" ca="1">IF(OR(A55="",B55="safety"),"",IF(ISBLANK(IF(A55=A54+1,F54,INDIRECT("template!"&amp;"D"&amp;A55-1))),"",IF(A55=A54+1,F54,INDIRECT("template!"&amp;"D"&amp;A55-1))))</f>
        <v>#REF!</v>
      </c>
      <c r="G55" t="e" cm="1">
        <f t="array" aca="1" ref="G55" ca="1">IF(OR(A55="",B55="safety"),"",IF(ISBLANK(INDIRECT("template!"&amp;"D"&amp;A55)),"",INDIRECT("template!"&amp;"D"&amp;A55)))</f>
        <v>#REF!</v>
      </c>
      <c r="H55" t="e" cm="1">
        <f t="array" aca="1" ref="H55" ca="1">IF(OR(A55="",B55="safety"),"",IF(ISBLANK(INDIRECT("template!"&amp;"E"&amp;A55)),"",INDIRECT("template!"&amp;"E"&amp;A55)))</f>
        <v>#REF!</v>
      </c>
      <c r="I55" t="e" cm="1">
        <f t="array" aca="1" ref="I55" ca="1">IF(OR(A55="",B55="safety"),"",IF(ISBLANK(INDIRECT("template!"&amp;"F"&amp;A55)),"",INDIRECT("template!"&amp;"F"&amp;A55)))</f>
        <v>#REF!</v>
      </c>
      <c r="J55" t="e" cm="1">
        <f t="array" aca="1" ref="J55" ca="1">IF(OR(A55="",B55="safety"),"",IF(ISBLANK(INDIRECT("template!"&amp;"G"&amp;A55)),"",INDIRECT("template!"&amp;"G"&amp;A55)))</f>
        <v>#REF!</v>
      </c>
      <c r="K55" t="e" cm="1">
        <f t="array" aca="1" ref="K55" ca="1">IF(OR(A55="",B55="safety"),"",IF(ISBLANK(INDIRECT("template!"&amp;"H"&amp;A55)),"",INDIRECT("template!"&amp;"H"&amp;A55)))</f>
        <v>#REF!</v>
      </c>
      <c r="L55" t="e" cm="1">
        <f t="array" aca="1" ref="L55" ca="1">IF(OR(A55="",B55="safety"),"",INDIRECT("template!"&amp;"I"&amp;A55))</f>
        <v>#REF!</v>
      </c>
      <c r="M55" t="e" cm="1">
        <f t="array" aca="1" ref="M55" ca="1">IF(OR(A55="",B55="safety"),"",INDIRECT("template!"&amp;"J"&amp;A55))</f>
        <v>#REF!</v>
      </c>
      <c r="N55" t="e" cm="1">
        <f t="array" aca="1" ref="N55" ca="1">IF(OR(A55="",B55="safety"),"",IF(ISBLANK(INDIRECT("template!"&amp;"K"&amp;A55)),"",INDIRECT("template!"&amp;"K"&amp;A55)))</f>
        <v>#REF!</v>
      </c>
      <c r="O55" t="e" cm="1">
        <f t="array" aca="1" ref="O55" ca="1">IF(OR(A55="",B55="safety"),"",INDIRECT("template!"&amp;"L"&amp;A55))</f>
        <v>#REF!</v>
      </c>
      <c r="P55" t="e" cm="1">
        <f t="array" aca="1" ref="P55" ca="1">IF(OR(A55="",B55="safety"),"",INDIRECT("template!"&amp;"M"&amp;A55))</f>
        <v>#REF!</v>
      </c>
      <c r="Q55" t="e">
        <f t="shared" ca="1" si="1"/>
        <v>#REF!</v>
      </c>
      <c r="R55" t="e">
        <f t="shared" ca="1" si="2"/>
        <v>#REF!</v>
      </c>
      <c r="S55" t="e">
        <f t="shared" ca="1" si="3"/>
        <v>#REF!</v>
      </c>
      <c r="T55" t="e">
        <f t="shared" ca="1" si="4"/>
        <v>#REF!</v>
      </c>
      <c r="U55" t="e" cm="1">
        <f t="array" aca="1" ref="U55" ca="1">IF(A55="","",IF(E55="","",IF(B55="safety",INDIRECT("template!"&amp;"P"&amp;A55),Q55+R55)))</f>
        <v>#REF!</v>
      </c>
      <c r="V55" t="e" cm="1">
        <f t="array" aca="1" ref="V55" ca="1">IF(A55="","",IF(E55="","",IF(B55="safety",INDIRECT("template!"&amp;"P"&amp;A55),S55+T55)))</f>
        <v>#REF!</v>
      </c>
      <c r="W55" t="e">
        <f ca="1">IF(A55="","",IF(E55="","",#REF!))</f>
        <v>#REF!</v>
      </c>
      <c r="X55" t="e">
        <f ca="1">IF(A55="","",IF(E55="","",#REF!))</f>
        <v>#REF!</v>
      </c>
      <c r="Y55" s="39" t="e">
        <f ca="1">IF(A55="","",IF(E55="","",#REF!))</f>
        <v>#REF!</v>
      </c>
      <c r="Z55" t="e">
        <f ca="1">IF(A55="","",IF(E55="","",#REF!))</f>
        <v>#REF!</v>
      </c>
      <c r="AA55" t="e">
        <f ca="1">IF(A55="","",IF(E55="","",#REF!))</f>
        <v>#REF!</v>
      </c>
      <c r="AB55" t="e">
        <f ca="1">IF(A55="","",IF(E55="","",#REF!))</f>
        <v>#REF!</v>
      </c>
      <c r="AC55" t="e">
        <f t="shared" ca="1" si="5"/>
        <v>#REF!</v>
      </c>
    </row>
    <row r="56" spans="1:29" x14ac:dyDescent="0.35">
      <c r="A56" t="e" cm="1">
        <f t="array" aca="1" ref="A56" ca="1">IF(A55="","",IF(OR(AND(A55+1&gt;=$AF$1,A55+1&lt;=$AF$2),AND(A55+1&gt;=$AF$6,A55+1&lt;=$AF$7),AND(A55+1&gt;=$AF$3,A55+1&lt;=$AF$4),AND(A55+1&gt;=$AF$8,A55+1&lt;=$AF$9),A55+1=$AF$5),IF(NOT(ISBLANK(INDIRECT("template!"&amp;"P"&amp;A55+1))),A55+1,IF(NOT(ISBLANK(INDIRECT("template!"&amp;"P"&amp;A55+2))),A55+2,A55+3)),IF(A55=$AF$2,$AF$3,IF(A55=$AF$4,$AF$5,IF(A55=$AF$5,$AF$6,IF(A55=$AF$7,$AF$8,""))))))</f>
        <v>#REF!</v>
      </c>
      <c r="B56" t="e">
        <f t="shared" ca="1" si="0"/>
        <v>#REF!</v>
      </c>
      <c r="C56" t="e" cm="1">
        <f t="array" aca="1" ref="C56" ca="1">IF(A56="","",IF(B56="safety","safety costs",INDIRECT("template!"&amp;"B"&amp;A56)))</f>
        <v>#REF!</v>
      </c>
      <c r="D56" t="e" cm="1">
        <f t="array" aca="1" ref="D56" ca="1">IF(OR(A56="",B56="safety"),"",INDIRECT("template!"&amp;"C"&amp;A56))</f>
        <v>#REF!</v>
      </c>
      <c r="E56" t="e" cm="1">
        <f t="array" aca="1" ref="E56" ca="1">IF(A56="","",IF(OR(A56=A55+1,A56=A55+2),E55,INDIRECT("template!"&amp;"D"&amp;A56-2)))</f>
        <v>#REF!</v>
      </c>
      <c r="F56" t="e" cm="1">
        <f t="array" aca="1" ref="F56" ca="1">IF(OR(A56="",B56="safety"),"",IF(ISBLANK(IF(A56=A55+1,F55,INDIRECT("template!"&amp;"D"&amp;A56-1))),"",IF(A56=A55+1,F55,INDIRECT("template!"&amp;"D"&amp;A56-1))))</f>
        <v>#REF!</v>
      </c>
      <c r="G56" t="e" cm="1">
        <f t="array" aca="1" ref="G56" ca="1">IF(OR(A56="",B56="safety"),"",IF(ISBLANK(INDIRECT("template!"&amp;"D"&amp;A56)),"",INDIRECT("template!"&amp;"D"&amp;A56)))</f>
        <v>#REF!</v>
      </c>
      <c r="H56" t="e" cm="1">
        <f t="array" aca="1" ref="H56" ca="1">IF(OR(A56="",B56="safety"),"",IF(ISBLANK(INDIRECT("template!"&amp;"E"&amp;A56)),"",INDIRECT("template!"&amp;"E"&amp;A56)))</f>
        <v>#REF!</v>
      </c>
      <c r="I56" t="e" cm="1">
        <f t="array" aca="1" ref="I56" ca="1">IF(OR(A56="",B56="safety"),"",IF(ISBLANK(INDIRECT("template!"&amp;"F"&amp;A56)),"",INDIRECT("template!"&amp;"F"&amp;A56)))</f>
        <v>#REF!</v>
      </c>
      <c r="J56" t="e" cm="1">
        <f t="array" aca="1" ref="J56" ca="1">IF(OR(A56="",B56="safety"),"",IF(ISBLANK(INDIRECT("template!"&amp;"G"&amp;A56)),"",INDIRECT("template!"&amp;"G"&amp;A56)))</f>
        <v>#REF!</v>
      </c>
      <c r="K56" t="e" cm="1">
        <f t="array" aca="1" ref="K56" ca="1">IF(OR(A56="",B56="safety"),"",IF(ISBLANK(INDIRECT("template!"&amp;"H"&amp;A56)),"",INDIRECT("template!"&amp;"H"&amp;A56)))</f>
        <v>#REF!</v>
      </c>
      <c r="L56" t="e" cm="1">
        <f t="array" aca="1" ref="L56" ca="1">IF(OR(A56="",B56="safety"),"",INDIRECT("template!"&amp;"I"&amp;A56))</f>
        <v>#REF!</v>
      </c>
      <c r="M56" t="e" cm="1">
        <f t="array" aca="1" ref="M56" ca="1">IF(OR(A56="",B56="safety"),"",INDIRECT("template!"&amp;"J"&amp;A56))</f>
        <v>#REF!</v>
      </c>
      <c r="N56" t="e" cm="1">
        <f t="array" aca="1" ref="N56" ca="1">IF(OR(A56="",B56="safety"),"",IF(ISBLANK(INDIRECT("template!"&amp;"K"&amp;A56)),"",INDIRECT("template!"&amp;"K"&amp;A56)))</f>
        <v>#REF!</v>
      </c>
      <c r="O56" t="e" cm="1">
        <f t="array" aca="1" ref="O56" ca="1">IF(OR(A56="",B56="safety"),"",INDIRECT("template!"&amp;"L"&amp;A56))</f>
        <v>#REF!</v>
      </c>
      <c r="P56" t="e" cm="1">
        <f t="array" aca="1" ref="P56" ca="1">IF(OR(A56="",B56="safety"),"",INDIRECT("template!"&amp;"M"&amp;A56))</f>
        <v>#REF!</v>
      </c>
      <c r="Q56" t="e">
        <f t="shared" ca="1" si="1"/>
        <v>#REF!</v>
      </c>
      <c r="R56" t="e">
        <f t="shared" ca="1" si="2"/>
        <v>#REF!</v>
      </c>
      <c r="S56" t="e">
        <f t="shared" ca="1" si="3"/>
        <v>#REF!</v>
      </c>
      <c r="T56" t="e">
        <f t="shared" ca="1" si="4"/>
        <v>#REF!</v>
      </c>
      <c r="U56" t="e" cm="1">
        <f t="array" aca="1" ref="U56" ca="1">IF(A56="","",IF(E56="","",IF(B56="safety",INDIRECT("template!"&amp;"P"&amp;A56),Q56+R56)))</f>
        <v>#REF!</v>
      </c>
      <c r="V56" t="e" cm="1">
        <f t="array" aca="1" ref="V56" ca="1">IF(A56="","",IF(E56="","",IF(B56="safety",INDIRECT("template!"&amp;"P"&amp;A56),S56+T56)))</f>
        <v>#REF!</v>
      </c>
      <c r="W56" t="e">
        <f ca="1">IF(A56="","",IF(E56="","",#REF!))</f>
        <v>#REF!</v>
      </c>
      <c r="X56" t="e">
        <f ca="1">IF(A56="","",IF(E56="","",#REF!))</f>
        <v>#REF!</v>
      </c>
      <c r="Y56" s="39" t="e">
        <f ca="1">IF(A56="","",IF(E56="","",#REF!))</f>
        <v>#REF!</v>
      </c>
      <c r="Z56" t="e">
        <f ca="1">IF(A56="","",IF(E56="","",#REF!))</f>
        <v>#REF!</v>
      </c>
      <c r="AA56" t="e">
        <f ca="1">IF(A56="","",IF(E56="","",#REF!))</f>
        <v>#REF!</v>
      </c>
      <c r="AB56" t="e">
        <f ca="1">IF(A56="","",IF(E56="","",#REF!))</f>
        <v>#REF!</v>
      </c>
      <c r="AC56" t="e">
        <f t="shared" ca="1" si="5"/>
        <v>#REF!</v>
      </c>
    </row>
    <row r="57" spans="1:29" x14ac:dyDescent="0.35">
      <c r="A57" t="e" cm="1">
        <f t="array" aca="1" ref="A57" ca="1">IF(A56="","",IF(OR(AND(A56+1&gt;=$AF$1,A56+1&lt;=$AF$2),AND(A56+1&gt;=$AF$6,A56+1&lt;=$AF$7),AND(A56+1&gt;=$AF$3,A56+1&lt;=$AF$4),AND(A56+1&gt;=$AF$8,A56+1&lt;=$AF$9),A56+1=$AF$5),IF(NOT(ISBLANK(INDIRECT("template!"&amp;"P"&amp;A56+1))),A56+1,IF(NOT(ISBLANK(INDIRECT("template!"&amp;"P"&amp;A56+2))),A56+2,A56+3)),IF(A56=$AF$2,$AF$3,IF(A56=$AF$4,$AF$5,IF(A56=$AF$5,$AF$6,IF(A56=$AF$7,$AF$8,""))))))</f>
        <v>#REF!</v>
      </c>
      <c r="B57" t="e">
        <f t="shared" ca="1" si="0"/>
        <v>#REF!</v>
      </c>
      <c r="C57" t="e" cm="1">
        <f t="array" aca="1" ref="C57" ca="1">IF(A57="","",IF(B57="safety","safety costs",INDIRECT("template!"&amp;"B"&amp;A57)))</f>
        <v>#REF!</v>
      </c>
      <c r="D57" t="e" cm="1">
        <f t="array" aca="1" ref="D57" ca="1">IF(OR(A57="",B57="safety"),"",INDIRECT("template!"&amp;"C"&amp;A57))</f>
        <v>#REF!</v>
      </c>
      <c r="E57" t="e" cm="1">
        <f t="array" aca="1" ref="E57" ca="1">IF(A57="","",IF(OR(A57=A56+1,A57=A56+2),E56,INDIRECT("template!"&amp;"D"&amp;A57-2)))</f>
        <v>#REF!</v>
      </c>
      <c r="F57" t="e" cm="1">
        <f t="array" aca="1" ref="F57" ca="1">IF(OR(A57="",B57="safety"),"",IF(ISBLANK(IF(A57=A56+1,F56,INDIRECT("template!"&amp;"D"&amp;A57-1))),"",IF(A57=A56+1,F56,INDIRECT("template!"&amp;"D"&amp;A57-1))))</f>
        <v>#REF!</v>
      </c>
      <c r="G57" t="e" cm="1">
        <f t="array" aca="1" ref="G57" ca="1">IF(OR(A57="",B57="safety"),"",IF(ISBLANK(INDIRECT("template!"&amp;"D"&amp;A57)),"",INDIRECT("template!"&amp;"D"&amp;A57)))</f>
        <v>#REF!</v>
      </c>
      <c r="H57" t="e" cm="1">
        <f t="array" aca="1" ref="H57" ca="1">IF(OR(A57="",B57="safety"),"",IF(ISBLANK(INDIRECT("template!"&amp;"E"&amp;A57)),"",INDIRECT("template!"&amp;"E"&amp;A57)))</f>
        <v>#REF!</v>
      </c>
      <c r="I57" t="e" cm="1">
        <f t="array" aca="1" ref="I57" ca="1">IF(OR(A57="",B57="safety"),"",IF(ISBLANK(INDIRECT("template!"&amp;"F"&amp;A57)),"",INDIRECT("template!"&amp;"F"&amp;A57)))</f>
        <v>#REF!</v>
      </c>
      <c r="J57" t="e" cm="1">
        <f t="array" aca="1" ref="J57" ca="1">IF(OR(A57="",B57="safety"),"",IF(ISBLANK(INDIRECT("template!"&amp;"G"&amp;A57)),"",INDIRECT("template!"&amp;"G"&amp;A57)))</f>
        <v>#REF!</v>
      </c>
      <c r="K57" t="e" cm="1">
        <f t="array" aca="1" ref="K57" ca="1">IF(OR(A57="",B57="safety"),"",IF(ISBLANK(INDIRECT("template!"&amp;"H"&amp;A57)),"",INDIRECT("template!"&amp;"H"&amp;A57)))</f>
        <v>#REF!</v>
      </c>
      <c r="L57" t="e" cm="1">
        <f t="array" aca="1" ref="L57" ca="1">IF(OR(A57="",B57="safety"),"",INDIRECT("template!"&amp;"I"&amp;A57))</f>
        <v>#REF!</v>
      </c>
      <c r="M57" t="e" cm="1">
        <f t="array" aca="1" ref="M57" ca="1">IF(OR(A57="",B57="safety"),"",INDIRECT("template!"&amp;"J"&amp;A57))</f>
        <v>#REF!</v>
      </c>
      <c r="N57" t="e" cm="1">
        <f t="array" aca="1" ref="N57" ca="1">IF(OR(A57="",B57="safety"),"",IF(ISBLANK(INDIRECT("template!"&amp;"K"&amp;A57)),"",INDIRECT("template!"&amp;"K"&amp;A57)))</f>
        <v>#REF!</v>
      </c>
      <c r="O57" t="e" cm="1">
        <f t="array" aca="1" ref="O57" ca="1">IF(OR(A57="",B57="safety"),"",INDIRECT("template!"&amp;"L"&amp;A57))</f>
        <v>#REF!</v>
      </c>
      <c r="P57" t="e" cm="1">
        <f t="array" aca="1" ref="P57" ca="1">IF(OR(A57="",B57="safety"),"",INDIRECT("template!"&amp;"M"&amp;A57))</f>
        <v>#REF!</v>
      </c>
      <c r="Q57" t="e">
        <f t="shared" ca="1" si="1"/>
        <v>#REF!</v>
      </c>
      <c r="R57" t="e">
        <f t="shared" ca="1" si="2"/>
        <v>#REF!</v>
      </c>
      <c r="S57" t="e">
        <f t="shared" ca="1" si="3"/>
        <v>#REF!</v>
      </c>
      <c r="T57" t="e">
        <f t="shared" ca="1" si="4"/>
        <v>#REF!</v>
      </c>
      <c r="U57" t="e" cm="1">
        <f t="array" aca="1" ref="U57" ca="1">IF(A57="","",IF(E57="","",IF(B57="safety",INDIRECT("template!"&amp;"P"&amp;A57),Q57+R57)))</f>
        <v>#REF!</v>
      </c>
      <c r="V57" t="e" cm="1">
        <f t="array" aca="1" ref="V57" ca="1">IF(A57="","",IF(E57="","",IF(B57="safety",INDIRECT("template!"&amp;"P"&amp;A57),S57+T57)))</f>
        <v>#REF!</v>
      </c>
      <c r="W57" t="e">
        <f ca="1">IF(A57="","",IF(E57="","",#REF!))</f>
        <v>#REF!</v>
      </c>
      <c r="X57" t="e">
        <f ca="1">IF(A57="","",IF(E57="","",#REF!))</f>
        <v>#REF!</v>
      </c>
      <c r="Y57" s="39" t="e">
        <f ca="1">IF(A57="","",IF(E57="","",#REF!))</f>
        <v>#REF!</v>
      </c>
      <c r="Z57" t="e">
        <f ca="1">IF(A57="","",IF(E57="","",#REF!))</f>
        <v>#REF!</v>
      </c>
      <c r="AA57" t="e">
        <f ca="1">IF(A57="","",IF(E57="","",#REF!))</f>
        <v>#REF!</v>
      </c>
      <c r="AB57" t="e">
        <f ca="1">IF(A57="","",IF(E57="","",#REF!))</f>
        <v>#REF!</v>
      </c>
      <c r="AC57" t="e">
        <f t="shared" ca="1" si="5"/>
        <v>#REF!</v>
      </c>
    </row>
    <row r="58" spans="1:29" x14ac:dyDescent="0.35">
      <c r="A58" t="e" cm="1">
        <f t="array" aca="1" ref="A58" ca="1">IF(A57="","",IF(OR(AND(A57+1&gt;=$AF$1,A57+1&lt;=$AF$2),AND(A57+1&gt;=$AF$6,A57+1&lt;=$AF$7),AND(A57+1&gt;=$AF$3,A57+1&lt;=$AF$4),AND(A57+1&gt;=$AF$8,A57+1&lt;=$AF$9),A57+1=$AF$5),IF(NOT(ISBLANK(INDIRECT("template!"&amp;"P"&amp;A57+1))),A57+1,IF(NOT(ISBLANK(INDIRECT("template!"&amp;"P"&amp;A57+2))),A57+2,A57+3)),IF(A57=$AF$2,$AF$3,IF(A57=$AF$4,$AF$5,IF(A57=$AF$5,$AF$6,IF(A57=$AF$7,$AF$8,""))))))</f>
        <v>#REF!</v>
      </c>
      <c r="B58" t="e">
        <f t="shared" ca="1" si="0"/>
        <v>#REF!</v>
      </c>
      <c r="C58" t="e" cm="1">
        <f t="array" aca="1" ref="C58" ca="1">IF(A58="","",IF(B58="safety","safety costs",INDIRECT("template!"&amp;"B"&amp;A58)))</f>
        <v>#REF!</v>
      </c>
      <c r="D58" t="e" cm="1">
        <f t="array" aca="1" ref="D58" ca="1">IF(OR(A58="",B58="safety"),"",INDIRECT("template!"&amp;"C"&amp;A58))</f>
        <v>#REF!</v>
      </c>
      <c r="E58" t="e" cm="1">
        <f t="array" aca="1" ref="E58" ca="1">IF(A58="","",IF(OR(A58=A57+1,A58=A57+2),E57,INDIRECT("template!"&amp;"D"&amp;A58-2)))</f>
        <v>#REF!</v>
      </c>
      <c r="F58" t="e" cm="1">
        <f t="array" aca="1" ref="F58" ca="1">IF(OR(A58="",B58="safety"),"",IF(ISBLANK(IF(A58=A57+1,F57,INDIRECT("template!"&amp;"D"&amp;A58-1))),"",IF(A58=A57+1,F57,INDIRECT("template!"&amp;"D"&amp;A58-1))))</f>
        <v>#REF!</v>
      </c>
      <c r="G58" t="e" cm="1">
        <f t="array" aca="1" ref="G58" ca="1">IF(OR(A58="",B58="safety"),"",IF(ISBLANK(INDIRECT("template!"&amp;"D"&amp;A58)),"",INDIRECT("template!"&amp;"D"&amp;A58)))</f>
        <v>#REF!</v>
      </c>
      <c r="H58" t="e" cm="1">
        <f t="array" aca="1" ref="H58" ca="1">IF(OR(A58="",B58="safety"),"",IF(ISBLANK(INDIRECT("template!"&amp;"E"&amp;A58)),"",INDIRECT("template!"&amp;"E"&amp;A58)))</f>
        <v>#REF!</v>
      </c>
      <c r="I58" t="e" cm="1">
        <f t="array" aca="1" ref="I58" ca="1">IF(OR(A58="",B58="safety"),"",IF(ISBLANK(INDIRECT("template!"&amp;"F"&amp;A58)),"",INDIRECT("template!"&amp;"F"&amp;A58)))</f>
        <v>#REF!</v>
      </c>
      <c r="J58" t="e" cm="1">
        <f t="array" aca="1" ref="J58" ca="1">IF(OR(A58="",B58="safety"),"",IF(ISBLANK(INDIRECT("template!"&amp;"G"&amp;A58)),"",INDIRECT("template!"&amp;"G"&amp;A58)))</f>
        <v>#REF!</v>
      </c>
      <c r="K58" t="e" cm="1">
        <f t="array" aca="1" ref="K58" ca="1">IF(OR(A58="",B58="safety"),"",IF(ISBLANK(INDIRECT("template!"&amp;"H"&amp;A58)),"",INDIRECT("template!"&amp;"H"&amp;A58)))</f>
        <v>#REF!</v>
      </c>
      <c r="L58" t="e" cm="1">
        <f t="array" aca="1" ref="L58" ca="1">IF(OR(A58="",B58="safety"),"",INDIRECT("template!"&amp;"I"&amp;A58))</f>
        <v>#REF!</v>
      </c>
      <c r="M58" t="e" cm="1">
        <f t="array" aca="1" ref="M58" ca="1">IF(OR(A58="",B58="safety"),"",INDIRECT("template!"&amp;"J"&amp;A58))</f>
        <v>#REF!</v>
      </c>
      <c r="N58" t="e" cm="1">
        <f t="array" aca="1" ref="N58" ca="1">IF(OR(A58="",B58="safety"),"",IF(ISBLANK(INDIRECT("template!"&amp;"K"&amp;A58)),"",INDIRECT("template!"&amp;"K"&amp;A58)))</f>
        <v>#REF!</v>
      </c>
      <c r="O58" t="e" cm="1">
        <f t="array" aca="1" ref="O58" ca="1">IF(OR(A58="",B58="safety"),"",INDIRECT("template!"&amp;"L"&amp;A58))</f>
        <v>#REF!</v>
      </c>
      <c r="P58" t="e" cm="1">
        <f t="array" aca="1" ref="P58" ca="1">IF(OR(A58="",B58="safety"),"",INDIRECT("template!"&amp;"M"&amp;A58))</f>
        <v>#REF!</v>
      </c>
      <c r="Q58" t="e">
        <f t="shared" ca="1" si="1"/>
        <v>#REF!</v>
      </c>
      <c r="R58" t="e">
        <f t="shared" ca="1" si="2"/>
        <v>#REF!</v>
      </c>
      <c r="S58" t="e">
        <f t="shared" ca="1" si="3"/>
        <v>#REF!</v>
      </c>
      <c r="T58" t="e">
        <f t="shared" ca="1" si="4"/>
        <v>#REF!</v>
      </c>
      <c r="U58" t="e" cm="1">
        <f t="array" aca="1" ref="U58" ca="1">IF(A58="","",IF(E58="","",IF(B58="safety",INDIRECT("template!"&amp;"P"&amp;A58),Q58+R58)))</f>
        <v>#REF!</v>
      </c>
      <c r="V58" t="e" cm="1">
        <f t="array" aca="1" ref="V58" ca="1">IF(A58="","",IF(E58="","",IF(B58="safety",INDIRECT("template!"&amp;"P"&amp;A58),S58+T58)))</f>
        <v>#REF!</v>
      </c>
      <c r="W58" t="e">
        <f ca="1">IF(A58="","",IF(E58="","",#REF!))</f>
        <v>#REF!</v>
      </c>
      <c r="X58" t="e">
        <f ca="1">IF(A58="","",IF(E58="","",#REF!))</f>
        <v>#REF!</v>
      </c>
      <c r="Y58" s="39" t="e">
        <f ca="1">IF(A58="","",IF(E58="","",#REF!))</f>
        <v>#REF!</v>
      </c>
      <c r="Z58" t="e">
        <f ca="1">IF(A58="","",IF(E58="","",#REF!))</f>
        <v>#REF!</v>
      </c>
      <c r="AA58" t="e">
        <f ca="1">IF(A58="","",IF(E58="","",#REF!))</f>
        <v>#REF!</v>
      </c>
      <c r="AB58" t="e">
        <f ca="1">IF(A58="","",IF(E58="","",#REF!))</f>
        <v>#REF!</v>
      </c>
      <c r="AC58" t="e">
        <f t="shared" ca="1" si="5"/>
        <v>#REF!</v>
      </c>
    </row>
    <row r="59" spans="1:29" x14ac:dyDescent="0.35">
      <c r="A59" t="e" cm="1">
        <f t="array" aca="1" ref="A59" ca="1">IF(A58="","",IF(OR(AND(A58+1&gt;=$AF$1,A58+1&lt;=$AF$2),AND(A58+1&gt;=$AF$6,A58+1&lt;=$AF$7),AND(A58+1&gt;=$AF$3,A58+1&lt;=$AF$4),AND(A58+1&gt;=$AF$8,A58+1&lt;=$AF$9),A58+1=$AF$5),IF(NOT(ISBLANK(INDIRECT("template!"&amp;"P"&amp;A58+1))),A58+1,IF(NOT(ISBLANK(INDIRECT("template!"&amp;"P"&amp;A58+2))),A58+2,A58+3)),IF(A58=$AF$2,$AF$3,IF(A58=$AF$4,$AF$5,IF(A58=$AF$5,$AF$6,IF(A58=$AF$7,$AF$8,""))))))</f>
        <v>#REF!</v>
      </c>
      <c r="B59" t="e">
        <f t="shared" ca="1" si="0"/>
        <v>#REF!</v>
      </c>
      <c r="C59" t="e" cm="1">
        <f t="array" aca="1" ref="C59" ca="1">IF(A59="","",IF(B59="safety","safety costs",INDIRECT("template!"&amp;"B"&amp;A59)))</f>
        <v>#REF!</v>
      </c>
      <c r="D59" t="e" cm="1">
        <f t="array" aca="1" ref="D59" ca="1">IF(OR(A59="",B59="safety"),"",INDIRECT("template!"&amp;"C"&amp;A59))</f>
        <v>#REF!</v>
      </c>
      <c r="E59" t="e" cm="1">
        <f t="array" aca="1" ref="E59" ca="1">IF(A59="","",IF(OR(A59=A58+1,A59=A58+2),E58,INDIRECT("template!"&amp;"D"&amp;A59-2)))</f>
        <v>#REF!</v>
      </c>
      <c r="F59" t="e" cm="1">
        <f t="array" aca="1" ref="F59" ca="1">IF(OR(A59="",B59="safety"),"",IF(ISBLANK(IF(A59=A58+1,F58,INDIRECT("template!"&amp;"D"&amp;A59-1))),"",IF(A59=A58+1,F58,INDIRECT("template!"&amp;"D"&amp;A59-1))))</f>
        <v>#REF!</v>
      </c>
      <c r="G59" t="e" cm="1">
        <f t="array" aca="1" ref="G59" ca="1">IF(OR(A59="",B59="safety"),"",IF(ISBLANK(INDIRECT("template!"&amp;"D"&amp;A59)),"",INDIRECT("template!"&amp;"D"&amp;A59)))</f>
        <v>#REF!</v>
      </c>
      <c r="H59" t="e" cm="1">
        <f t="array" aca="1" ref="H59" ca="1">IF(OR(A59="",B59="safety"),"",IF(ISBLANK(INDIRECT("template!"&amp;"E"&amp;A59)),"",INDIRECT("template!"&amp;"E"&amp;A59)))</f>
        <v>#REF!</v>
      </c>
      <c r="I59" t="e" cm="1">
        <f t="array" aca="1" ref="I59" ca="1">IF(OR(A59="",B59="safety"),"",IF(ISBLANK(INDIRECT("template!"&amp;"F"&amp;A59)),"",INDIRECT("template!"&amp;"F"&amp;A59)))</f>
        <v>#REF!</v>
      </c>
      <c r="J59" t="e" cm="1">
        <f t="array" aca="1" ref="J59" ca="1">IF(OR(A59="",B59="safety"),"",IF(ISBLANK(INDIRECT("template!"&amp;"G"&amp;A59)),"",INDIRECT("template!"&amp;"G"&amp;A59)))</f>
        <v>#REF!</v>
      </c>
      <c r="K59" t="e" cm="1">
        <f t="array" aca="1" ref="K59" ca="1">IF(OR(A59="",B59="safety"),"",IF(ISBLANK(INDIRECT("template!"&amp;"H"&amp;A59)),"",INDIRECT("template!"&amp;"H"&amp;A59)))</f>
        <v>#REF!</v>
      </c>
      <c r="L59" t="e" cm="1">
        <f t="array" aca="1" ref="L59" ca="1">IF(OR(A59="",B59="safety"),"",INDIRECT("template!"&amp;"I"&amp;A59))</f>
        <v>#REF!</v>
      </c>
      <c r="M59" t="e" cm="1">
        <f t="array" aca="1" ref="M59" ca="1">IF(OR(A59="",B59="safety"),"",INDIRECT("template!"&amp;"J"&amp;A59))</f>
        <v>#REF!</v>
      </c>
      <c r="N59" t="e" cm="1">
        <f t="array" aca="1" ref="N59" ca="1">IF(OR(A59="",B59="safety"),"",IF(ISBLANK(INDIRECT("template!"&amp;"K"&amp;A59)),"",INDIRECT("template!"&amp;"K"&amp;A59)))</f>
        <v>#REF!</v>
      </c>
      <c r="O59" t="e" cm="1">
        <f t="array" aca="1" ref="O59" ca="1">IF(OR(A59="",B59="safety"),"",INDIRECT("template!"&amp;"L"&amp;A59))</f>
        <v>#REF!</v>
      </c>
      <c r="P59" t="e" cm="1">
        <f t="array" aca="1" ref="P59" ca="1">IF(OR(A59="",B59="safety"),"",INDIRECT("template!"&amp;"M"&amp;A59))</f>
        <v>#REF!</v>
      </c>
      <c r="Q59" t="e">
        <f t="shared" ca="1" si="1"/>
        <v>#REF!</v>
      </c>
      <c r="R59" t="e">
        <f t="shared" ca="1" si="2"/>
        <v>#REF!</v>
      </c>
      <c r="S59" t="e">
        <f t="shared" ca="1" si="3"/>
        <v>#REF!</v>
      </c>
      <c r="T59" t="e">
        <f t="shared" ca="1" si="4"/>
        <v>#REF!</v>
      </c>
      <c r="U59" t="e" cm="1">
        <f t="array" aca="1" ref="U59" ca="1">IF(A59="","",IF(E59="","",IF(B59="safety",INDIRECT("template!"&amp;"P"&amp;A59),Q59+R59)))</f>
        <v>#REF!</v>
      </c>
      <c r="V59" t="e" cm="1">
        <f t="array" aca="1" ref="V59" ca="1">IF(A59="","",IF(E59="","",IF(B59="safety",INDIRECT("template!"&amp;"P"&amp;A59),S59+T59)))</f>
        <v>#REF!</v>
      </c>
      <c r="W59" t="e">
        <f ca="1">IF(A59="","",IF(E59="","",#REF!))</f>
        <v>#REF!</v>
      </c>
      <c r="X59" t="e">
        <f ca="1">IF(A59="","",IF(E59="","",#REF!))</f>
        <v>#REF!</v>
      </c>
      <c r="Y59" s="39" t="e">
        <f ca="1">IF(A59="","",IF(E59="","",#REF!))</f>
        <v>#REF!</v>
      </c>
      <c r="Z59" t="e">
        <f ca="1">IF(A59="","",IF(E59="","",#REF!))</f>
        <v>#REF!</v>
      </c>
      <c r="AA59" t="e">
        <f ca="1">IF(A59="","",IF(E59="","",#REF!))</f>
        <v>#REF!</v>
      </c>
      <c r="AB59" t="e">
        <f ca="1">IF(A59="","",IF(E59="","",#REF!))</f>
        <v>#REF!</v>
      </c>
      <c r="AC59" t="e">
        <f t="shared" ca="1" si="5"/>
        <v>#REF!</v>
      </c>
    </row>
    <row r="60" spans="1:29" x14ac:dyDescent="0.35">
      <c r="A60" t="e" cm="1">
        <f t="array" aca="1" ref="A60" ca="1">IF(A59="","",IF(OR(AND(A59+1&gt;=$AF$1,A59+1&lt;=$AF$2),AND(A59+1&gt;=$AF$6,A59+1&lt;=$AF$7),AND(A59+1&gt;=$AF$3,A59+1&lt;=$AF$4),AND(A59+1&gt;=$AF$8,A59+1&lt;=$AF$9),A59+1=$AF$5),IF(NOT(ISBLANK(INDIRECT("template!"&amp;"P"&amp;A59+1))),A59+1,IF(NOT(ISBLANK(INDIRECT("template!"&amp;"P"&amp;A59+2))),A59+2,A59+3)),IF(A59=$AF$2,$AF$3,IF(A59=$AF$4,$AF$5,IF(A59=$AF$5,$AF$6,IF(A59=$AF$7,$AF$8,""))))))</f>
        <v>#REF!</v>
      </c>
      <c r="B60" t="e">
        <f t="shared" ca="1" si="0"/>
        <v>#REF!</v>
      </c>
      <c r="C60" t="e" cm="1">
        <f t="array" aca="1" ref="C60" ca="1">IF(A60="","",IF(B60="safety","safety costs",INDIRECT("template!"&amp;"B"&amp;A60)))</f>
        <v>#REF!</v>
      </c>
      <c r="D60" t="e" cm="1">
        <f t="array" aca="1" ref="D60" ca="1">IF(OR(A60="",B60="safety"),"",INDIRECT("template!"&amp;"C"&amp;A60))</f>
        <v>#REF!</v>
      </c>
      <c r="E60" t="e" cm="1">
        <f t="array" aca="1" ref="E60" ca="1">IF(A60="","",IF(OR(A60=A59+1,A60=A59+2),E59,INDIRECT("template!"&amp;"D"&amp;A60-2)))</f>
        <v>#REF!</v>
      </c>
      <c r="F60" t="e" cm="1">
        <f t="array" aca="1" ref="F60" ca="1">IF(OR(A60="",B60="safety"),"",IF(ISBLANK(IF(A60=A59+1,F59,INDIRECT("template!"&amp;"D"&amp;A60-1))),"",IF(A60=A59+1,F59,INDIRECT("template!"&amp;"D"&amp;A60-1))))</f>
        <v>#REF!</v>
      </c>
      <c r="G60" t="e" cm="1">
        <f t="array" aca="1" ref="G60" ca="1">IF(OR(A60="",B60="safety"),"",IF(ISBLANK(INDIRECT("template!"&amp;"D"&amp;A60)),"",INDIRECT("template!"&amp;"D"&amp;A60)))</f>
        <v>#REF!</v>
      </c>
      <c r="H60" t="e" cm="1">
        <f t="array" aca="1" ref="H60" ca="1">IF(OR(A60="",B60="safety"),"",IF(ISBLANK(INDIRECT("template!"&amp;"E"&amp;A60)),"",INDIRECT("template!"&amp;"E"&amp;A60)))</f>
        <v>#REF!</v>
      </c>
      <c r="I60" t="e" cm="1">
        <f t="array" aca="1" ref="I60" ca="1">IF(OR(A60="",B60="safety"),"",IF(ISBLANK(INDIRECT("template!"&amp;"F"&amp;A60)),"",INDIRECT("template!"&amp;"F"&amp;A60)))</f>
        <v>#REF!</v>
      </c>
      <c r="J60" t="e" cm="1">
        <f t="array" aca="1" ref="J60" ca="1">IF(OR(A60="",B60="safety"),"",IF(ISBLANK(INDIRECT("template!"&amp;"G"&amp;A60)),"",INDIRECT("template!"&amp;"G"&amp;A60)))</f>
        <v>#REF!</v>
      </c>
      <c r="K60" t="e" cm="1">
        <f t="array" aca="1" ref="K60" ca="1">IF(OR(A60="",B60="safety"),"",IF(ISBLANK(INDIRECT("template!"&amp;"H"&amp;A60)),"",INDIRECT("template!"&amp;"H"&amp;A60)))</f>
        <v>#REF!</v>
      </c>
      <c r="L60" t="e" cm="1">
        <f t="array" aca="1" ref="L60" ca="1">IF(OR(A60="",B60="safety"),"",INDIRECT("template!"&amp;"I"&amp;A60))</f>
        <v>#REF!</v>
      </c>
      <c r="M60" t="e" cm="1">
        <f t="array" aca="1" ref="M60" ca="1">IF(OR(A60="",B60="safety"),"",INDIRECT("template!"&amp;"J"&amp;A60))</f>
        <v>#REF!</v>
      </c>
      <c r="N60" t="e" cm="1">
        <f t="array" aca="1" ref="N60" ca="1">IF(OR(A60="",B60="safety"),"",IF(ISBLANK(INDIRECT("template!"&amp;"K"&amp;A60)),"",INDIRECT("template!"&amp;"K"&amp;A60)))</f>
        <v>#REF!</v>
      </c>
      <c r="O60" t="e" cm="1">
        <f t="array" aca="1" ref="O60" ca="1">IF(OR(A60="",B60="safety"),"",INDIRECT("template!"&amp;"L"&amp;A60))</f>
        <v>#REF!</v>
      </c>
      <c r="P60" t="e" cm="1">
        <f t="array" aca="1" ref="P60" ca="1">IF(OR(A60="",B60="safety"),"",INDIRECT("template!"&amp;"M"&amp;A60))</f>
        <v>#REF!</v>
      </c>
      <c r="Q60" t="e">
        <f t="shared" ca="1" si="1"/>
        <v>#REF!</v>
      </c>
      <c r="R60" t="e">
        <f t="shared" ca="1" si="2"/>
        <v>#REF!</v>
      </c>
      <c r="S60" t="e">
        <f t="shared" ca="1" si="3"/>
        <v>#REF!</v>
      </c>
      <c r="T60" t="e">
        <f t="shared" ca="1" si="4"/>
        <v>#REF!</v>
      </c>
      <c r="U60" t="e" cm="1">
        <f t="array" aca="1" ref="U60" ca="1">IF(A60="","",IF(E60="","",IF(B60="safety",INDIRECT("template!"&amp;"P"&amp;A60),Q60+R60)))</f>
        <v>#REF!</v>
      </c>
      <c r="V60" t="e" cm="1">
        <f t="array" aca="1" ref="V60" ca="1">IF(A60="","",IF(E60="","",IF(B60="safety",INDIRECT("template!"&amp;"P"&amp;A60),S60+T60)))</f>
        <v>#REF!</v>
      </c>
      <c r="W60" t="e">
        <f ca="1">IF(A60="","",IF(E60="","",#REF!))</f>
        <v>#REF!</v>
      </c>
      <c r="X60" t="e">
        <f ca="1">IF(A60="","",IF(E60="","",#REF!))</f>
        <v>#REF!</v>
      </c>
      <c r="Y60" s="39" t="e">
        <f ca="1">IF(A60="","",IF(E60="","",#REF!))</f>
        <v>#REF!</v>
      </c>
      <c r="Z60" t="e">
        <f ca="1">IF(A60="","",IF(E60="","",#REF!))</f>
        <v>#REF!</v>
      </c>
      <c r="AA60" t="e">
        <f ca="1">IF(A60="","",IF(E60="","",#REF!))</f>
        <v>#REF!</v>
      </c>
      <c r="AB60" t="e">
        <f ca="1">IF(A60="","",IF(E60="","",#REF!))</f>
        <v>#REF!</v>
      </c>
      <c r="AC60" t="e">
        <f t="shared" ca="1" si="5"/>
        <v>#REF!</v>
      </c>
    </row>
    <row r="61" spans="1:29" x14ac:dyDescent="0.35">
      <c r="A61" t="e" cm="1">
        <f t="array" aca="1" ref="A61" ca="1">IF(A60="","",IF(OR(AND(A60+1&gt;=$AF$1,A60+1&lt;=$AF$2),AND(A60+1&gt;=$AF$6,A60+1&lt;=$AF$7),AND(A60+1&gt;=$AF$3,A60+1&lt;=$AF$4),AND(A60+1&gt;=$AF$8,A60+1&lt;=$AF$9),A60+1=$AF$5),IF(NOT(ISBLANK(INDIRECT("template!"&amp;"P"&amp;A60+1))),A60+1,IF(NOT(ISBLANK(INDIRECT("template!"&amp;"P"&amp;A60+2))),A60+2,A60+3)),IF(A60=$AF$2,$AF$3,IF(A60=$AF$4,$AF$5,IF(A60=$AF$5,$AF$6,IF(A60=$AF$7,$AF$8,""))))))</f>
        <v>#REF!</v>
      </c>
      <c r="B61" t="e">
        <f t="shared" ca="1" si="0"/>
        <v>#REF!</v>
      </c>
      <c r="C61" t="e" cm="1">
        <f t="array" aca="1" ref="C61" ca="1">IF(A61="","",IF(B61="safety","safety costs",INDIRECT("template!"&amp;"B"&amp;A61)))</f>
        <v>#REF!</v>
      </c>
      <c r="D61" t="e" cm="1">
        <f t="array" aca="1" ref="D61" ca="1">IF(OR(A61="",B61="safety"),"",INDIRECT("template!"&amp;"C"&amp;A61))</f>
        <v>#REF!</v>
      </c>
      <c r="E61" t="e" cm="1">
        <f t="array" aca="1" ref="E61" ca="1">IF(A61="","",IF(OR(A61=A60+1,A61=A60+2),E60,INDIRECT("template!"&amp;"D"&amp;A61-2)))</f>
        <v>#REF!</v>
      </c>
      <c r="F61" t="e" cm="1">
        <f t="array" aca="1" ref="F61" ca="1">IF(OR(A61="",B61="safety"),"",IF(ISBLANK(IF(A61=A60+1,F60,INDIRECT("template!"&amp;"D"&amp;A61-1))),"",IF(A61=A60+1,F60,INDIRECT("template!"&amp;"D"&amp;A61-1))))</f>
        <v>#REF!</v>
      </c>
      <c r="G61" t="e" cm="1">
        <f t="array" aca="1" ref="G61" ca="1">IF(OR(A61="",B61="safety"),"",IF(ISBLANK(INDIRECT("template!"&amp;"D"&amp;A61)),"",INDIRECT("template!"&amp;"D"&amp;A61)))</f>
        <v>#REF!</v>
      </c>
      <c r="H61" t="e" cm="1">
        <f t="array" aca="1" ref="H61" ca="1">IF(OR(A61="",B61="safety"),"",IF(ISBLANK(INDIRECT("template!"&amp;"E"&amp;A61)),"",INDIRECT("template!"&amp;"E"&amp;A61)))</f>
        <v>#REF!</v>
      </c>
      <c r="I61" t="e" cm="1">
        <f t="array" aca="1" ref="I61" ca="1">IF(OR(A61="",B61="safety"),"",IF(ISBLANK(INDIRECT("template!"&amp;"F"&amp;A61)),"",INDIRECT("template!"&amp;"F"&amp;A61)))</f>
        <v>#REF!</v>
      </c>
      <c r="J61" t="e" cm="1">
        <f t="array" aca="1" ref="J61" ca="1">IF(OR(A61="",B61="safety"),"",IF(ISBLANK(INDIRECT("template!"&amp;"G"&amp;A61)),"",INDIRECT("template!"&amp;"G"&amp;A61)))</f>
        <v>#REF!</v>
      </c>
      <c r="K61" t="e" cm="1">
        <f t="array" aca="1" ref="K61" ca="1">IF(OR(A61="",B61="safety"),"",IF(ISBLANK(INDIRECT("template!"&amp;"H"&amp;A61)),"",INDIRECT("template!"&amp;"H"&amp;A61)))</f>
        <v>#REF!</v>
      </c>
      <c r="L61" t="e" cm="1">
        <f t="array" aca="1" ref="L61" ca="1">IF(OR(A61="",B61="safety"),"",INDIRECT("template!"&amp;"I"&amp;A61))</f>
        <v>#REF!</v>
      </c>
      <c r="M61" t="e" cm="1">
        <f t="array" aca="1" ref="M61" ca="1">IF(OR(A61="",B61="safety"),"",INDIRECT("template!"&amp;"J"&amp;A61))</f>
        <v>#REF!</v>
      </c>
      <c r="N61" t="e" cm="1">
        <f t="array" aca="1" ref="N61" ca="1">IF(OR(A61="",B61="safety"),"",IF(ISBLANK(INDIRECT("template!"&amp;"K"&amp;A61)),"",INDIRECT("template!"&amp;"K"&amp;A61)))</f>
        <v>#REF!</v>
      </c>
      <c r="O61" t="e" cm="1">
        <f t="array" aca="1" ref="O61" ca="1">IF(OR(A61="",B61="safety"),"",INDIRECT("template!"&amp;"L"&amp;A61))</f>
        <v>#REF!</v>
      </c>
      <c r="P61" t="e" cm="1">
        <f t="array" aca="1" ref="P61" ca="1">IF(OR(A61="",B61="safety"),"",INDIRECT("template!"&amp;"M"&amp;A61))</f>
        <v>#REF!</v>
      </c>
      <c r="Q61" t="e">
        <f t="shared" ca="1" si="1"/>
        <v>#REF!</v>
      </c>
      <c r="R61" t="e">
        <f t="shared" ca="1" si="2"/>
        <v>#REF!</v>
      </c>
      <c r="S61" t="e">
        <f t="shared" ca="1" si="3"/>
        <v>#REF!</v>
      </c>
      <c r="T61" t="e">
        <f t="shared" ca="1" si="4"/>
        <v>#REF!</v>
      </c>
      <c r="U61" t="e" cm="1">
        <f t="array" aca="1" ref="U61" ca="1">IF(A61="","",IF(E61="","",IF(B61="safety",INDIRECT("template!"&amp;"P"&amp;A61),Q61+R61)))</f>
        <v>#REF!</v>
      </c>
      <c r="V61" t="e" cm="1">
        <f t="array" aca="1" ref="V61" ca="1">IF(A61="","",IF(E61="","",IF(B61="safety",INDIRECT("template!"&amp;"P"&amp;A61),S61+T61)))</f>
        <v>#REF!</v>
      </c>
      <c r="W61" t="e">
        <f ca="1">IF(A61="","",IF(E61="","",#REF!))</f>
        <v>#REF!</v>
      </c>
      <c r="X61" t="e">
        <f ca="1">IF(A61="","",IF(E61="","",#REF!))</f>
        <v>#REF!</v>
      </c>
      <c r="Y61" s="39" t="e">
        <f ca="1">IF(A61="","",IF(E61="","",#REF!))</f>
        <v>#REF!</v>
      </c>
      <c r="Z61" t="e">
        <f ca="1">IF(A61="","",IF(E61="","",#REF!))</f>
        <v>#REF!</v>
      </c>
      <c r="AA61" t="e">
        <f ca="1">IF(A61="","",IF(E61="","",#REF!))</f>
        <v>#REF!</v>
      </c>
      <c r="AB61" t="e">
        <f ca="1">IF(A61="","",IF(E61="","",#REF!))</f>
        <v>#REF!</v>
      </c>
      <c r="AC61" t="e">
        <f t="shared" ca="1" si="5"/>
        <v>#REF!</v>
      </c>
    </row>
    <row r="62" spans="1:29" x14ac:dyDescent="0.35">
      <c r="A62" t="e" cm="1">
        <f t="array" aca="1" ref="A62" ca="1">IF(A61="","",IF(OR(AND(A61+1&gt;=$AF$1,A61+1&lt;=$AF$2),AND(A61+1&gt;=$AF$6,A61+1&lt;=$AF$7),AND(A61+1&gt;=$AF$3,A61+1&lt;=$AF$4),AND(A61+1&gt;=$AF$8,A61+1&lt;=$AF$9),A61+1=$AF$5),IF(NOT(ISBLANK(INDIRECT("template!"&amp;"P"&amp;A61+1))),A61+1,IF(NOT(ISBLANK(INDIRECT("template!"&amp;"P"&amp;A61+2))),A61+2,A61+3)),IF(A61=$AF$2,$AF$3,IF(A61=$AF$4,$AF$5,IF(A61=$AF$5,$AF$6,IF(A61=$AF$7,$AF$8,""))))))</f>
        <v>#REF!</v>
      </c>
      <c r="B62" t="e">
        <f t="shared" ca="1" si="0"/>
        <v>#REF!</v>
      </c>
      <c r="C62" t="e" cm="1">
        <f t="array" aca="1" ref="C62" ca="1">IF(A62="","",IF(B62="safety","safety costs",INDIRECT("template!"&amp;"B"&amp;A62)))</f>
        <v>#REF!</v>
      </c>
      <c r="D62" t="e" cm="1">
        <f t="array" aca="1" ref="D62" ca="1">IF(OR(A62="",B62="safety"),"",INDIRECT("template!"&amp;"C"&amp;A62))</f>
        <v>#REF!</v>
      </c>
      <c r="E62" t="e" cm="1">
        <f t="array" aca="1" ref="E62" ca="1">IF(A62="","",IF(OR(A62=A61+1,A62=A61+2),E61,INDIRECT("template!"&amp;"D"&amp;A62-2)))</f>
        <v>#REF!</v>
      </c>
      <c r="F62" t="e" cm="1">
        <f t="array" aca="1" ref="F62" ca="1">IF(OR(A62="",B62="safety"),"",IF(ISBLANK(IF(A62=A61+1,F61,INDIRECT("template!"&amp;"D"&amp;A62-1))),"",IF(A62=A61+1,F61,INDIRECT("template!"&amp;"D"&amp;A62-1))))</f>
        <v>#REF!</v>
      </c>
      <c r="G62" t="e" cm="1">
        <f t="array" aca="1" ref="G62" ca="1">IF(OR(A62="",B62="safety"),"",IF(ISBLANK(INDIRECT("template!"&amp;"D"&amp;A62)),"",INDIRECT("template!"&amp;"D"&amp;A62)))</f>
        <v>#REF!</v>
      </c>
      <c r="H62" t="e" cm="1">
        <f t="array" aca="1" ref="H62" ca="1">IF(OR(A62="",B62="safety"),"",IF(ISBLANK(INDIRECT("template!"&amp;"E"&amp;A62)),"",INDIRECT("template!"&amp;"E"&amp;A62)))</f>
        <v>#REF!</v>
      </c>
      <c r="I62" t="e" cm="1">
        <f t="array" aca="1" ref="I62" ca="1">IF(OR(A62="",B62="safety"),"",IF(ISBLANK(INDIRECT("template!"&amp;"F"&amp;A62)),"",INDIRECT("template!"&amp;"F"&amp;A62)))</f>
        <v>#REF!</v>
      </c>
      <c r="J62" t="e" cm="1">
        <f t="array" aca="1" ref="J62" ca="1">IF(OR(A62="",B62="safety"),"",IF(ISBLANK(INDIRECT("template!"&amp;"G"&amp;A62)),"",INDIRECT("template!"&amp;"G"&amp;A62)))</f>
        <v>#REF!</v>
      </c>
      <c r="K62" t="e" cm="1">
        <f t="array" aca="1" ref="K62" ca="1">IF(OR(A62="",B62="safety"),"",IF(ISBLANK(INDIRECT("template!"&amp;"H"&amp;A62)),"",INDIRECT("template!"&amp;"H"&amp;A62)))</f>
        <v>#REF!</v>
      </c>
      <c r="L62" t="e" cm="1">
        <f t="array" aca="1" ref="L62" ca="1">IF(OR(A62="",B62="safety"),"",INDIRECT("template!"&amp;"I"&amp;A62))</f>
        <v>#REF!</v>
      </c>
      <c r="M62" t="e" cm="1">
        <f t="array" aca="1" ref="M62" ca="1">IF(OR(A62="",B62="safety"),"",INDIRECT("template!"&amp;"J"&amp;A62))</f>
        <v>#REF!</v>
      </c>
      <c r="N62" t="e" cm="1">
        <f t="array" aca="1" ref="N62" ca="1">IF(OR(A62="",B62="safety"),"",IF(ISBLANK(INDIRECT("template!"&amp;"K"&amp;A62)),"",INDIRECT("template!"&amp;"K"&amp;A62)))</f>
        <v>#REF!</v>
      </c>
      <c r="O62" t="e" cm="1">
        <f t="array" aca="1" ref="O62" ca="1">IF(OR(A62="",B62="safety"),"",INDIRECT("template!"&amp;"L"&amp;A62))</f>
        <v>#REF!</v>
      </c>
      <c r="P62" t="e" cm="1">
        <f t="array" aca="1" ref="P62" ca="1">IF(OR(A62="",B62="safety"),"",INDIRECT("template!"&amp;"M"&amp;A62))</f>
        <v>#REF!</v>
      </c>
      <c r="Q62" t="e">
        <f t="shared" ca="1" si="1"/>
        <v>#REF!</v>
      </c>
      <c r="R62" t="e">
        <f t="shared" ca="1" si="2"/>
        <v>#REF!</v>
      </c>
      <c r="S62" t="e">
        <f t="shared" ca="1" si="3"/>
        <v>#REF!</v>
      </c>
      <c r="T62" t="e">
        <f t="shared" ca="1" si="4"/>
        <v>#REF!</v>
      </c>
      <c r="U62" t="e" cm="1">
        <f t="array" aca="1" ref="U62" ca="1">IF(A62="","",IF(E62="","",IF(B62="safety",INDIRECT("template!"&amp;"P"&amp;A62),Q62+R62)))</f>
        <v>#REF!</v>
      </c>
      <c r="V62" t="e" cm="1">
        <f t="array" aca="1" ref="V62" ca="1">IF(A62="","",IF(E62="","",IF(B62="safety",INDIRECT("template!"&amp;"P"&amp;A62),S62+T62)))</f>
        <v>#REF!</v>
      </c>
      <c r="W62" t="e">
        <f ca="1">IF(A62="","",IF(E62="","",#REF!))</f>
        <v>#REF!</v>
      </c>
      <c r="X62" t="e">
        <f ca="1">IF(A62="","",IF(E62="","",#REF!))</f>
        <v>#REF!</v>
      </c>
      <c r="Y62" s="39" t="e">
        <f ca="1">IF(A62="","",IF(E62="","",#REF!))</f>
        <v>#REF!</v>
      </c>
      <c r="Z62" t="e">
        <f ca="1">IF(A62="","",IF(E62="","",#REF!))</f>
        <v>#REF!</v>
      </c>
      <c r="AA62" t="e">
        <f ca="1">IF(A62="","",IF(E62="","",#REF!))</f>
        <v>#REF!</v>
      </c>
      <c r="AB62" t="e">
        <f ca="1">IF(A62="","",IF(E62="","",#REF!))</f>
        <v>#REF!</v>
      </c>
      <c r="AC62" t="e">
        <f t="shared" ca="1" si="5"/>
        <v>#REF!</v>
      </c>
    </row>
    <row r="63" spans="1:29" x14ac:dyDescent="0.35">
      <c r="A63" t="e" cm="1">
        <f t="array" aca="1" ref="A63" ca="1">IF(A62="","",IF(OR(AND(A62+1&gt;=$AF$1,A62+1&lt;=$AF$2),AND(A62+1&gt;=$AF$6,A62+1&lt;=$AF$7),AND(A62+1&gt;=$AF$3,A62+1&lt;=$AF$4),AND(A62+1&gt;=$AF$8,A62+1&lt;=$AF$9),A62+1=$AF$5),IF(NOT(ISBLANK(INDIRECT("template!"&amp;"P"&amp;A62+1))),A62+1,IF(NOT(ISBLANK(INDIRECT("template!"&amp;"P"&amp;A62+2))),A62+2,A62+3)),IF(A62=$AF$2,$AF$3,IF(A62=$AF$4,$AF$5,IF(A62=$AF$5,$AF$6,IF(A62=$AF$7,$AF$8,""))))))</f>
        <v>#REF!</v>
      </c>
      <c r="B63" t="e">
        <f t="shared" ca="1" si="0"/>
        <v>#REF!</v>
      </c>
      <c r="C63" t="e" cm="1">
        <f t="array" aca="1" ref="C63" ca="1">IF(A63="","",IF(B63="safety","safety costs",INDIRECT("template!"&amp;"B"&amp;A63)))</f>
        <v>#REF!</v>
      </c>
      <c r="D63" t="e" cm="1">
        <f t="array" aca="1" ref="D63" ca="1">IF(OR(A63="",B63="safety"),"",INDIRECT("template!"&amp;"C"&amp;A63))</f>
        <v>#REF!</v>
      </c>
      <c r="E63" t="e" cm="1">
        <f t="array" aca="1" ref="E63" ca="1">IF(A63="","",IF(OR(A63=A62+1,A63=A62+2),E62,INDIRECT("template!"&amp;"D"&amp;A63-2)))</f>
        <v>#REF!</v>
      </c>
      <c r="F63" t="e" cm="1">
        <f t="array" aca="1" ref="F63" ca="1">IF(OR(A63="",B63="safety"),"",IF(ISBLANK(IF(A63=A62+1,F62,INDIRECT("template!"&amp;"D"&amp;A63-1))),"",IF(A63=A62+1,F62,INDIRECT("template!"&amp;"D"&amp;A63-1))))</f>
        <v>#REF!</v>
      </c>
      <c r="G63" t="e" cm="1">
        <f t="array" aca="1" ref="G63" ca="1">IF(OR(A63="",B63="safety"),"",IF(ISBLANK(INDIRECT("template!"&amp;"D"&amp;A63)),"",INDIRECT("template!"&amp;"D"&amp;A63)))</f>
        <v>#REF!</v>
      </c>
      <c r="H63" t="e" cm="1">
        <f t="array" aca="1" ref="H63" ca="1">IF(OR(A63="",B63="safety"),"",IF(ISBLANK(INDIRECT("template!"&amp;"E"&amp;A63)),"",INDIRECT("template!"&amp;"E"&amp;A63)))</f>
        <v>#REF!</v>
      </c>
      <c r="I63" t="e" cm="1">
        <f t="array" aca="1" ref="I63" ca="1">IF(OR(A63="",B63="safety"),"",IF(ISBLANK(INDIRECT("template!"&amp;"F"&amp;A63)),"",INDIRECT("template!"&amp;"F"&amp;A63)))</f>
        <v>#REF!</v>
      </c>
      <c r="J63" t="e" cm="1">
        <f t="array" aca="1" ref="J63" ca="1">IF(OR(A63="",B63="safety"),"",IF(ISBLANK(INDIRECT("template!"&amp;"G"&amp;A63)),"",INDIRECT("template!"&amp;"G"&amp;A63)))</f>
        <v>#REF!</v>
      </c>
      <c r="K63" t="e" cm="1">
        <f t="array" aca="1" ref="K63" ca="1">IF(OR(A63="",B63="safety"),"",IF(ISBLANK(INDIRECT("template!"&amp;"H"&amp;A63)),"",INDIRECT("template!"&amp;"H"&amp;A63)))</f>
        <v>#REF!</v>
      </c>
      <c r="L63" t="e" cm="1">
        <f t="array" aca="1" ref="L63" ca="1">IF(OR(A63="",B63="safety"),"",INDIRECT("template!"&amp;"I"&amp;A63))</f>
        <v>#REF!</v>
      </c>
      <c r="M63" t="e" cm="1">
        <f t="array" aca="1" ref="M63" ca="1">IF(OR(A63="",B63="safety"),"",INDIRECT("template!"&amp;"J"&amp;A63))</f>
        <v>#REF!</v>
      </c>
      <c r="N63" t="e" cm="1">
        <f t="array" aca="1" ref="N63" ca="1">IF(OR(A63="",B63="safety"),"",IF(ISBLANK(INDIRECT("template!"&amp;"K"&amp;A63)),"",INDIRECT("template!"&amp;"K"&amp;A63)))</f>
        <v>#REF!</v>
      </c>
      <c r="O63" t="e" cm="1">
        <f t="array" aca="1" ref="O63" ca="1">IF(OR(A63="",B63="safety"),"",INDIRECT("template!"&amp;"L"&amp;A63))</f>
        <v>#REF!</v>
      </c>
      <c r="P63" t="e" cm="1">
        <f t="array" aca="1" ref="P63" ca="1">IF(OR(A63="",B63="safety"),"",INDIRECT("template!"&amp;"M"&amp;A63))</f>
        <v>#REF!</v>
      </c>
      <c r="Q63" t="e">
        <f t="shared" ca="1" si="1"/>
        <v>#REF!</v>
      </c>
      <c r="R63" t="e">
        <f t="shared" ca="1" si="2"/>
        <v>#REF!</v>
      </c>
      <c r="S63" t="e">
        <f t="shared" ca="1" si="3"/>
        <v>#REF!</v>
      </c>
      <c r="T63" t="e">
        <f t="shared" ca="1" si="4"/>
        <v>#REF!</v>
      </c>
      <c r="U63" t="e" cm="1">
        <f t="array" aca="1" ref="U63" ca="1">IF(A63="","",IF(E63="","",IF(B63="safety",INDIRECT("template!"&amp;"P"&amp;A63),Q63+R63)))</f>
        <v>#REF!</v>
      </c>
      <c r="V63" t="e" cm="1">
        <f t="array" aca="1" ref="V63" ca="1">IF(A63="","",IF(E63="","",IF(B63="safety",INDIRECT("template!"&amp;"P"&amp;A63),S63+T63)))</f>
        <v>#REF!</v>
      </c>
      <c r="W63" t="e">
        <f ca="1">IF(A63="","",IF(E63="","",#REF!))</f>
        <v>#REF!</v>
      </c>
      <c r="X63" t="e">
        <f ca="1">IF(A63="","",IF(E63="","",#REF!))</f>
        <v>#REF!</v>
      </c>
      <c r="Y63" s="39" t="e">
        <f ca="1">IF(A63="","",IF(E63="","",#REF!))</f>
        <v>#REF!</v>
      </c>
      <c r="Z63" t="e">
        <f ca="1">IF(A63="","",IF(E63="","",#REF!))</f>
        <v>#REF!</v>
      </c>
      <c r="AA63" t="e">
        <f ca="1">IF(A63="","",IF(E63="","",#REF!))</f>
        <v>#REF!</v>
      </c>
      <c r="AB63" t="e">
        <f ca="1">IF(A63="","",IF(E63="","",#REF!))</f>
        <v>#REF!</v>
      </c>
      <c r="AC63" t="e">
        <f t="shared" ca="1" si="5"/>
        <v>#REF!</v>
      </c>
    </row>
    <row r="64" spans="1:29" x14ac:dyDescent="0.35">
      <c r="A64" t="e" cm="1">
        <f t="array" aca="1" ref="A64" ca="1">IF(A63="","",IF(OR(AND(A63+1&gt;=$AF$1,A63+1&lt;=$AF$2),AND(A63+1&gt;=$AF$6,A63+1&lt;=$AF$7),AND(A63+1&gt;=$AF$3,A63+1&lt;=$AF$4),AND(A63+1&gt;=$AF$8,A63+1&lt;=$AF$9),A63+1=$AF$5),IF(NOT(ISBLANK(INDIRECT("template!"&amp;"P"&amp;A63+1))),A63+1,IF(NOT(ISBLANK(INDIRECT("template!"&amp;"P"&amp;A63+2))),A63+2,A63+3)),IF(A63=$AF$2,$AF$3,IF(A63=$AF$4,$AF$5,IF(A63=$AF$5,$AF$6,IF(A63=$AF$7,$AF$8,""))))))</f>
        <v>#REF!</v>
      </c>
      <c r="B64" t="e">
        <f t="shared" ca="1" si="0"/>
        <v>#REF!</v>
      </c>
      <c r="C64" t="e" cm="1">
        <f t="array" aca="1" ref="C64" ca="1">IF(A64="","",IF(B64="safety","safety costs",INDIRECT("template!"&amp;"B"&amp;A64)))</f>
        <v>#REF!</v>
      </c>
      <c r="D64" t="e" cm="1">
        <f t="array" aca="1" ref="D64" ca="1">IF(OR(A64="",B64="safety"),"",INDIRECT("template!"&amp;"C"&amp;A64))</f>
        <v>#REF!</v>
      </c>
      <c r="E64" t="e" cm="1">
        <f t="array" aca="1" ref="E64" ca="1">IF(A64="","",IF(OR(A64=A63+1,A64=A63+2),E63,INDIRECT("template!"&amp;"D"&amp;A64-2)))</f>
        <v>#REF!</v>
      </c>
      <c r="F64" t="e" cm="1">
        <f t="array" aca="1" ref="F64" ca="1">IF(OR(A64="",B64="safety"),"",IF(ISBLANK(IF(A64=A63+1,F63,INDIRECT("template!"&amp;"D"&amp;A64-1))),"",IF(A64=A63+1,F63,INDIRECT("template!"&amp;"D"&amp;A64-1))))</f>
        <v>#REF!</v>
      </c>
      <c r="G64" t="e" cm="1">
        <f t="array" aca="1" ref="G64" ca="1">IF(OR(A64="",B64="safety"),"",IF(ISBLANK(INDIRECT("template!"&amp;"D"&amp;A64)),"",INDIRECT("template!"&amp;"D"&amp;A64)))</f>
        <v>#REF!</v>
      </c>
      <c r="H64" t="e" cm="1">
        <f t="array" aca="1" ref="H64" ca="1">IF(OR(A64="",B64="safety"),"",IF(ISBLANK(INDIRECT("template!"&amp;"E"&amp;A64)),"",INDIRECT("template!"&amp;"E"&amp;A64)))</f>
        <v>#REF!</v>
      </c>
      <c r="I64" t="e" cm="1">
        <f t="array" aca="1" ref="I64" ca="1">IF(OR(A64="",B64="safety"),"",IF(ISBLANK(INDIRECT("template!"&amp;"F"&amp;A64)),"",INDIRECT("template!"&amp;"F"&amp;A64)))</f>
        <v>#REF!</v>
      </c>
      <c r="J64" t="e" cm="1">
        <f t="array" aca="1" ref="J64" ca="1">IF(OR(A64="",B64="safety"),"",IF(ISBLANK(INDIRECT("template!"&amp;"G"&amp;A64)),"",INDIRECT("template!"&amp;"G"&amp;A64)))</f>
        <v>#REF!</v>
      </c>
      <c r="K64" t="e" cm="1">
        <f t="array" aca="1" ref="K64" ca="1">IF(OR(A64="",B64="safety"),"",IF(ISBLANK(INDIRECT("template!"&amp;"H"&amp;A64)),"",INDIRECT("template!"&amp;"H"&amp;A64)))</f>
        <v>#REF!</v>
      </c>
      <c r="L64" t="e" cm="1">
        <f t="array" aca="1" ref="L64" ca="1">IF(OR(A64="",B64="safety"),"",INDIRECT("template!"&amp;"I"&amp;A64))</f>
        <v>#REF!</v>
      </c>
      <c r="M64" t="e" cm="1">
        <f t="array" aca="1" ref="M64" ca="1">IF(OR(A64="",B64="safety"),"",INDIRECT("template!"&amp;"J"&amp;A64))</f>
        <v>#REF!</v>
      </c>
      <c r="N64" t="e" cm="1">
        <f t="array" aca="1" ref="N64" ca="1">IF(OR(A64="",B64="safety"),"",IF(ISBLANK(INDIRECT("template!"&amp;"K"&amp;A64)),"",INDIRECT("template!"&amp;"K"&amp;A64)))</f>
        <v>#REF!</v>
      </c>
      <c r="O64" t="e" cm="1">
        <f t="array" aca="1" ref="O64" ca="1">IF(OR(A64="",B64="safety"),"",INDIRECT("template!"&amp;"L"&amp;A64))</f>
        <v>#REF!</v>
      </c>
      <c r="P64" t="e" cm="1">
        <f t="array" aca="1" ref="P64" ca="1">IF(OR(A64="",B64="safety"),"",INDIRECT("template!"&amp;"M"&amp;A64))</f>
        <v>#REF!</v>
      </c>
      <c r="Q64" t="e">
        <f t="shared" ca="1" si="1"/>
        <v>#REF!</v>
      </c>
      <c r="R64" t="e">
        <f t="shared" ca="1" si="2"/>
        <v>#REF!</v>
      </c>
      <c r="S64" t="e">
        <f t="shared" ca="1" si="3"/>
        <v>#REF!</v>
      </c>
      <c r="T64" t="e">
        <f t="shared" ca="1" si="4"/>
        <v>#REF!</v>
      </c>
      <c r="U64" t="e" cm="1">
        <f t="array" aca="1" ref="U64" ca="1">IF(A64="","",IF(E64="","",IF(B64="safety",INDIRECT("template!"&amp;"P"&amp;A64),Q64+R64)))</f>
        <v>#REF!</v>
      </c>
      <c r="V64" t="e" cm="1">
        <f t="array" aca="1" ref="V64" ca="1">IF(A64="","",IF(E64="","",IF(B64="safety",INDIRECT("template!"&amp;"P"&amp;A64),S64+T64)))</f>
        <v>#REF!</v>
      </c>
      <c r="W64" t="e">
        <f ca="1">IF(A64="","",IF(E64="","",#REF!))</f>
        <v>#REF!</v>
      </c>
      <c r="X64" t="e">
        <f ca="1">IF(A64="","",IF(E64="","",#REF!))</f>
        <v>#REF!</v>
      </c>
      <c r="Y64" s="39" t="e">
        <f ca="1">IF(A64="","",IF(E64="","",#REF!))</f>
        <v>#REF!</v>
      </c>
      <c r="Z64" t="e">
        <f ca="1">IF(A64="","",IF(E64="","",#REF!))</f>
        <v>#REF!</v>
      </c>
      <c r="AA64" t="e">
        <f ca="1">IF(A64="","",IF(E64="","",#REF!))</f>
        <v>#REF!</v>
      </c>
      <c r="AB64" t="e">
        <f ca="1">IF(A64="","",IF(E64="","",#REF!))</f>
        <v>#REF!</v>
      </c>
      <c r="AC64" t="e">
        <f t="shared" ca="1" si="5"/>
        <v>#REF!</v>
      </c>
    </row>
    <row r="65" spans="1:29" x14ac:dyDescent="0.35">
      <c r="A65" t="e" cm="1">
        <f t="array" aca="1" ref="A65" ca="1">IF(A64="","",IF(OR(AND(A64+1&gt;=$AF$1,A64+1&lt;=$AF$2),AND(A64+1&gt;=$AF$6,A64+1&lt;=$AF$7),AND(A64+1&gt;=$AF$3,A64+1&lt;=$AF$4),AND(A64+1&gt;=$AF$8,A64+1&lt;=$AF$9),A64+1=$AF$5),IF(NOT(ISBLANK(INDIRECT("template!"&amp;"P"&amp;A64+1))),A64+1,IF(NOT(ISBLANK(INDIRECT("template!"&amp;"P"&amp;A64+2))),A64+2,A64+3)),IF(A64=$AF$2,$AF$3,IF(A64=$AF$4,$AF$5,IF(A64=$AF$5,$AF$6,IF(A64=$AF$7,$AF$8,""))))))</f>
        <v>#REF!</v>
      </c>
      <c r="B65" t="e">
        <f t="shared" ca="1" si="0"/>
        <v>#REF!</v>
      </c>
      <c r="C65" t="e" cm="1">
        <f t="array" aca="1" ref="C65" ca="1">IF(A65="","",IF(B65="safety","safety costs",INDIRECT("template!"&amp;"B"&amp;A65)))</f>
        <v>#REF!</v>
      </c>
      <c r="D65" t="e" cm="1">
        <f t="array" aca="1" ref="D65" ca="1">IF(OR(A65="",B65="safety"),"",INDIRECT("template!"&amp;"C"&amp;A65))</f>
        <v>#REF!</v>
      </c>
      <c r="E65" t="e" cm="1">
        <f t="array" aca="1" ref="E65" ca="1">IF(A65="","",IF(OR(A65=A64+1,A65=A64+2),E64,INDIRECT("template!"&amp;"D"&amp;A65-2)))</f>
        <v>#REF!</v>
      </c>
      <c r="F65" t="e" cm="1">
        <f t="array" aca="1" ref="F65" ca="1">IF(OR(A65="",B65="safety"),"",IF(ISBLANK(IF(A65=A64+1,F64,INDIRECT("template!"&amp;"D"&amp;A65-1))),"",IF(A65=A64+1,F64,INDIRECT("template!"&amp;"D"&amp;A65-1))))</f>
        <v>#REF!</v>
      </c>
      <c r="G65" t="e" cm="1">
        <f t="array" aca="1" ref="G65" ca="1">IF(OR(A65="",B65="safety"),"",IF(ISBLANK(INDIRECT("template!"&amp;"D"&amp;A65)),"",INDIRECT("template!"&amp;"D"&amp;A65)))</f>
        <v>#REF!</v>
      </c>
      <c r="H65" t="e" cm="1">
        <f t="array" aca="1" ref="H65" ca="1">IF(OR(A65="",B65="safety"),"",IF(ISBLANK(INDIRECT("template!"&amp;"E"&amp;A65)),"",INDIRECT("template!"&amp;"E"&amp;A65)))</f>
        <v>#REF!</v>
      </c>
      <c r="I65" t="e" cm="1">
        <f t="array" aca="1" ref="I65" ca="1">IF(OR(A65="",B65="safety"),"",IF(ISBLANK(INDIRECT("template!"&amp;"F"&amp;A65)),"",INDIRECT("template!"&amp;"F"&amp;A65)))</f>
        <v>#REF!</v>
      </c>
      <c r="J65" t="e" cm="1">
        <f t="array" aca="1" ref="J65" ca="1">IF(OR(A65="",B65="safety"),"",IF(ISBLANK(INDIRECT("template!"&amp;"G"&amp;A65)),"",INDIRECT("template!"&amp;"G"&amp;A65)))</f>
        <v>#REF!</v>
      </c>
      <c r="K65" t="e" cm="1">
        <f t="array" aca="1" ref="K65" ca="1">IF(OR(A65="",B65="safety"),"",IF(ISBLANK(INDIRECT("template!"&amp;"H"&amp;A65)),"",INDIRECT("template!"&amp;"H"&amp;A65)))</f>
        <v>#REF!</v>
      </c>
      <c r="L65" t="e" cm="1">
        <f t="array" aca="1" ref="L65" ca="1">IF(OR(A65="",B65="safety"),"",INDIRECT("template!"&amp;"I"&amp;A65))</f>
        <v>#REF!</v>
      </c>
      <c r="M65" t="e" cm="1">
        <f t="array" aca="1" ref="M65" ca="1">IF(OR(A65="",B65="safety"),"",INDIRECT("template!"&amp;"J"&amp;A65))</f>
        <v>#REF!</v>
      </c>
      <c r="N65" t="e" cm="1">
        <f t="array" aca="1" ref="N65" ca="1">IF(OR(A65="",B65="safety"),"",IF(ISBLANK(INDIRECT("template!"&amp;"K"&amp;A65)),"",INDIRECT("template!"&amp;"K"&amp;A65)))</f>
        <v>#REF!</v>
      </c>
      <c r="O65" t="e" cm="1">
        <f t="array" aca="1" ref="O65" ca="1">IF(OR(A65="",B65="safety"),"",INDIRECT("template!"&amp;"L"&amp;A65))</f>
        <v>#REF!</v>
      </c>
      <c r="P65" t="e" cm="1">
        <f t="array" aca="1" ref="P65" ca="1">IF(OR(A65="",B65="safety"),"",INDIRECT("template!"&amp;"M"&amp;A65))</f>
        <v>#REF!</v>
      </c>
      <c r="Q65" t="e">
        <f t="shared" ca="1" si="1"/>
        <v>#REF!</v>
      </c>
      <c r="R65" t="e">
        <f t="shared" ca="1" si="2"/>
        <v>#REF!</v>
      </c>
      <c r="S65" t="e">
        <f t="shared" ca="1" si="3"/>
        <v>#REF!</v>
      </c>
      <c r="T65" t="e">
        <f t="shared" ca="1" si="4"/>
        <v>#REF!</v>
      </c>
      <c r="U65" t="e" cm="1">
        <f t="array" aca="1" ref="U65" ca="1">IF(A65="","",IF(E65="","",IF(B65="safety",INDIRECT("template!"&amp;"P"&amp;A65),Q65+R65)))</f>
        <v>#REF!</v>
      </c>
      <c r="V65" t="e" cm="1">
        <f t="array" aca="1" ref="V65" ca="1">IF(A65="","",IF(E65="","",IF(B65="safety",INDIRECT("template!"&amp;"P"&amp;A65),S65+T65)))</f>
        <v>#REF!</v>
      </c>
      <c r="W65" t="e">
        <f ca="1">IF(A65="","",IF(E65="","",#REF!))</f>
        <v>#REF!</v>
      </c>
      <c r="X65" t="e">
        <f ca="1">IF(A65="","",IF(E65="","",#REF!))</f>
        <v>#REF!</v>
      </c>
      <c r="Y65" s="39" t="e">
        <f ca="1">IF(A65="","",IF(E65="","",#REF!))</f>
        <v>#REF!</v>
      </c>
      <c r="Z65" t="e">
        <f ca="1">IF(A65="","",IF(E65="","",#REF!))</f>
        <v>#REF!</v>
      </c>
      <c r="AA65" t="e">
        <f ca="1">IF(A65="","",IF(E65="","",#REF!))</f>
        <v>#REF!</v>
      </c>
      <c r="AB65" t="e">
        <f ca="1">IF(A65="","",IF(E65="","",#REF!))</f>
        <v>#REF!</v>
      </c>
      <c r="AC65" t="e">
        <f t="shared" ca="1" si="5"/>
        <v>#REF!</v>
      </c>
    </row>
    <row r="66" spans="1:29" x14ac:dyDescent="0.35">
      <c r="A66" t="e" cm="1">
        <f t="array" aca="1" ref="A66" ca="1">IF(A65="","",IF(OR(AND(A65+1&gt;=$AF$1,A65+1&lt;=$AF$2),AND(A65+1&gt;=$AF$6,A65+1&lt;=$AF$7),AND(A65+1&gt;=$AF$3,A65+1&lt;=$AF$4),AND(A65+1&gt;=$AF$8,A65+1&lt;=$AF$9),A65+1=$AF$5),IF(NOT(ISBLANK(INDIRECT("template!"&amp;"P"&amp;A65+1))),A65+1,IF(NOT(ISBLANK(INDIRECT("template!"&amp;"P"&amp;A65+2))),A65+2,A65+3)),IF(A65=$AF$2,$AF$3,IF(A65=$AF$4,$AF$5,IF(A65=$AF$5,$AF$6,IF(A65=$AF$7,$AF$8,""))))))</f>
        <v>#REF!</v>
      </c>
      <c r="B66" t="e">
        <f t="shared" ca="1" si="0"/>
        <v>#REF!</v>
      </c>
      <c r="C66" t="e" cm="1">
        <f t="array" aca="1" ref="C66" ca="1">IF(A66="","",IF(B66="safety","safety costs",INDIRECT("template!"&amp;"B"&amp;A66)))</f>
        <v>#REF!</v>
      </c>
      <c r="D66" t="e" cm="1">
        <f t="array" aca="1" ref="D66" ca="1">IF(OR(A66="",B66="safety"),"",INDIRECT("template!"&amp;"C"&amp;A66))</f>
        <v>#REF!</v>
      </c>
      <c r="E66" t="e" cm="1">
        <f t="array" aca="1" ref="E66" ca="1">IF(A66="","",IF(OR(A66=A65+1,A66=A65+2),E65,INDIRECT("template!"&amp;"D"&amp;A66-2)))</f>
        <v>#REF!</v>
      </c>
      <c r="F66" t="e" cm="1">
        <f t="array" aca="1" ref="F66" ca="1">IF(OR(A66="",B66="safety"),"",IF(ISBLANK(IF(A66=A65+1,F65,INDIRECT("template!"&amp;"D"&amp;A66-1))),"",IF(A66=A65+1,F65,INDIRECT("template!"&amp;"D"&amp;A66-1))))</f>
        <v>#REF!</v>
      </c>
      <c r="G66" t="e" cm="1">
        <f t="array" aca="1" ref="G66" ca="1">IF(OR(A66="",B66="safety"),"",IF(ISBLANK(INDIRECT("template!"&amp;"D"&amp;A66)),"",INDIRECT("template!"&amp;"D"&amp;A66)))</f>
        <v>#REF!</v>
      </c>
      <c r="H66" t="e" cm="1">
        <f t="array" aca="1" ref="H66" ca="1">IF(OR(A66="",B66="safety"),"",IF(ISBLANK(INDIRECT("template!"&amp;"E"&amp;A66)),"",INDIRECT("template!"&amp;"E"&amp;A66)))</f>
        <v>#REF!</v>
      </c>
      <c r="I66" t="e" cm="1">
        <f t="array" aca="1" ref="I66" ca="1">IF(OR(A66="",B66="safety"),"",IF(ISBLANK(INDIRECT("template!"&amp;"F"&amp;A66)),"",INDIRECT("template!"&amp;"F"&amp;A66)))</f>
        <v>#REF!</v>
      </c>
      <c r="J66" t="e" cm="1">
        <f t="array" aca="1" ref="J66" ca="1">IF(OR(A66="",B66="safety"),"",IF(ISBLANK(INDIRECT("template!"&amp;"G"&amp;A66)),"",INDIRECT("template!"&amp;"G"&amp;A66)))</f>
        <v>#REF!</v>
      </c>
      <c r="K66" t="e" cm="1">
        <f t="array" aca="1" ref="K66" ca="1">IF(OR(A66="",B66="safety"),"",IF(ISBLANK(INDIRECT("template!"&amp;"H"&amp;A66)),"",INDIRECT("template!"&amp;"H"&amp;A66)))</f>
        <v>#REF!</v>
      </c>
      <c r="L66" t="e" cm="1">
        <f t="array" aca="1" ref="L66" ca="1">IF(OR(A66="",B66="safety"),"",INDIRECT("template!"&amp;"I"&amp;A66))</f>
        <v>#REF!</v>
      </c>
      <c r="M66" t="e" cm="1">
        <f t="array" aca="1" ref="M66" ca="1">IF(OR(A66="",B66="safety"),"",INDIRECT("template!"&amp;"J"&amp;A66))</f>
        <v>#REF!</v>
      </c>
      <c r="N66" t="e" cm="1">
        <f t="array" aca="1" ref="N66" ca="1">IF(OR(A66="",B66="safety"),"",IF(ISBLANK(INDIRECT("template!"&amp;"K"&amp;A66)),"",INDIRECT("template!"&amp;"K"&amp;A66)))</f>
        <v>#REF!</v>
      </c>
      <c r="O66" t="e" cm="1">
        <f t="array" aca="1" ref="O66" ca="1">IF(OR(A66="",B66="safety"),"",INDIRECT("template!"&amp;"L"&amp;A66))</f>
        <v>#REF!</v>
      </c>
      <c r="P66" t="e" cm="1">
        <f t="array" aca="1" ref="P66" ca="1">IF(OR(A66="",B66="safety"),"",INDIRECT("template!"&amp;"M"&amp;A66))</f>
        <v>#REF!</v>
      </c>
      <c r="Q66" t="e">
        <f t="shared" ca="1" si="1"/>
        <v>#REF!</v>
      </c>
      <c r="R66" t="e">
        <f t="shared" ca="1" si="2"/>
        <v>#REF!</v>
      </c>
      <c r="S66" t="e">
        <f t="shared" ca="1" si="3"/>
        <v>#REF!</v>
      </c>
      <c r="T66" t="e">
        <f t="shared" ca="1" si="4"/>
        <v>#REF!</v>
      </c>
      <c r="U66" t="e" cm="1">
        <f t="array" aca="1" ref="U66" ca="1">IF(A66="","",IF(E66="","",IF(B66="safety",INDIRECT("template!"&amp;"P"&amp;A66),Q66+R66)))</f>
        <v>#REF!</v>
      </c>
      <c r="V66" t="e" cm="1">
        <f t="array" aca="1" ref="V66" ca="1">IF(A66="","",IF(E66="","",IF(B66="safety",INDIRECT("template!"&amp;"P"&amp;A66),S66+T66)))</f>
        <v>#REF!</v>
      </c>
      <c r="W66" t="e">
        <f ca="1">IF(A66="","",IF(E66="","",#REF!))</f>
        <v>#REF!</v>
      </c>
      <c r="X66" t="e">
        <f ca="1">IF(A66="","",IF(E66="","",#REF!))</f>
        <v>#REF!</v>
      </c>
      <c r="Y66" s="39" t="e">
        <f ca="1">IF(A66="","",IF(E66="","",#REF!))</f>
        <v>#REF!</v>
      </c>
      <c r="Z66" t="e">
        <f ca="1">IF(A66="","",IF(E66="","",#REF!))</f>
        <v>#REF!</v>
      </c>
      <c r="AA66" t="e">
        <f ca="1">IF(A66="","",IF(E66="","",#REF!))</f>
        <v>#REF!</v>
      </c>
      <c r="AB66" t="e">
        <f ca="1">IF(A66="","",IF(E66="","",#REF!))</f>
        <v>#REF!</v>
      </c>
      <c r="AC66" t="e">
        <f t="shared" ca="1" si="5"/>
        <v>#REF!</v>
      </c>
    </row>
    <row r="67" spans="1:29" x14ac:dyDescent="0.35">
      <c r="A67" t="e" cm="1">
        <f t="array" aca="1" ref="A67" ca="1">IF(A66="","",IF(OR(AND(A66+1&gt;=$AF$1,A66+1&lt;=$AF$2),AND(A66+1&gt;=$AF$6,A66+1&lt;=$AF$7),AND(A66+1&gt;=$AF$3,A66+1&lt;=$AF$4),AND(A66+1&gt;=$AF$8,A66+1&lt;=$AF$9),A66+1=$AF$5),IF(NOT(ISBLANK(INDIRECT("template!"&amp;"P"&amp;A66+1))),A66+1,IF(NOT(ISBLANK(INDIRECT("template!"&amp;"P"&amp;A66+2))),A66+2,A66+3)),IF(A66=$AF$2,$AF$3,IF(A66=$AF$4,$AF$5,IF(A66=$AF$5,$AF$6,IF(A66=$AF$7,$AF$8,""))))))</f>
        <v>#REF!</v>
      </c>
      <c r="B67" t="e">
        <f t="shared" ca="1" si="0"/>
        <v>#REF!</v>
      </c>
      <c r="C67" t="e" cm="1">
        <f t="array" aca="1" ref="C67" ca="1">IF(A67="","",IF(B67="safety","safety costs",INDIRECT("template!"&amp;"B"&amp;A67)))</f>
        <v>#REF!</v>
      </c>
      <c r="D67" t="e" cm="1">
        <f t="array" aca="1" ref="D67" ca="1">IF(OR(A67="",B67="safety"),"",INDIRECT("template!"&amp;"C"&amp;A67))</f>
        <v>#REF!</v>
      </c>
      <c r="E67" t="e" cm="1">
        <f t="array" aca="1" ref="E67" ca="1">IF(A67="","",IF(OR(A67=A66+1,A67=A66+2),E66,INDIRECT("template!"&amp;"D"&amp;A67-2)))</f>
        <v>#REF!</v>
      </c>
      <c r="F67" t="e" cm="1">
        <f t="array" aca="1" ref="F67" ca="1">IF(OR(A67="",B67="safety"),"",IF(ISBLANK(IF(A67=A66+1,F66,INDIRECT("template!"&amp;"D"&amp;A67-1))),"",IF(A67=A66+1,F66,INDIRECT("template!"&amp;"D"&amp;A67-1))))</f>
        <v>#REF!</v>
      </c>
      <c r="G67" t="e" cm="1">
        <f t="array" aca="1" ref="G67" ca="1">IF(OR(A67="",B67="safety"),"",IF(ISBLANK(INDIRECT("template!"&amp;"D"&amp;A67)),"",INDIRECT("template!"&amp;"D"&amp;A67)))</f>
        <v>#REF!</v>
      </c>
      <c r="H67" t="e" cm="1">
        <f t="array" aca="1" ref="H67" ca="1">IF(OR(A67="",B67="safety"),"",IF(ISBLANK(INDIRECT("template!"&amp;"E"&amp;A67)),"",INDIRECT("template!"&amp;"E"&amp;A67)))</f>
        <v>#REF!</v>
      </c>
      <c r="I67" t="e" cm="1">
        <f t="array" aca="1" ref="I67" ca="1">IF(OR(A67="",B67="safety"),"",IF(ISBLANK(INDIRECT("template!"&amp;"F"&amp;A67)),"",INDIRECT("template!"&amp;"F"&amp;A67)))</f>
        <v>#REF!</v>
      </c>
      <c r="J67" t="e" cm="1">
        <f t="array" aca="1" ref="J67" ca="1">IF(OR(A67="",B67="safety"),"",IF(ISBLANK(INDIRECT("template!"&amp;"G"&amp;A67)),"",INDIRECT("template!"&amp;"G"&amp;A67)))</f>
        <v>#REF!</v>
      </c>
      <c r="K67" t="e" cm="1">
        <f t="array" aca="1" ref="K67" ca="1">IF(OR(A67="",B67="safety"),"",IF(ISBLANK(INDIRECT("template!"&amp;"H"&amp;A67)),"",INDIRECT("template!"&amp;"H"&amp;A67)))</f>
        <v>#REF!</v>
      </c>
      <c r="L67" t="e" cm="1">
        <f t="array" aca="1" ref="L67" ca="1">IF(OR(A67="",B67="safety"),"",INDIRECT("template!"&amp;"I"&amp;A67))</f>
        <v>#REF!</v>
      </c>
      <c r="M67" t="e" cm="1">
        <f t="array" aca="1" ref="M67" ca="1">IF(OR(A67="",B67="safety"),"",INDIRECT("template!"&amp;"J"&amp;A67))</f>
        <v>#REF!</v>
      </c>
      <c r="N67" t="e" cm="1">
        <f t="array" aca="1" ref="N67" ca="1">IF(OR(A67="",B67="safety"),"",IF(ISBLANK(INDIRECT("template!"&amp;"K"&amp;A67)),"",INDIRECT("template!"&amp;"K"&amp;A67)))</f>
        <v>#REF!</v>
      </c>
      <c r="O67" t="e" cm="1">
        <f t="array" aca="1" ref="O67" ca="1">IF(OR(A67="",B67="safety"),"",INDIRECT("template!"&amp;"L"&amp;A67))</f>
        <v>#REF!</v>
      </c>
      <c r="P67" t="e" cm="1">
        <f t="array" aca="1" ref="P67" ca="1">IF(OR(A67="",B67="safety"),"",INDIRECT("template!"&amp;"M"&amp;A67))</f>
        <v>#REF!</v>
      </c>
      <c r="Q67" t="e">
        <f t="shared" ca="1" si="1"/>
        <v>#REF!</v>
      </c>
      <c r="R67" t="e">
        <f t="shared" ca="1" si="2"/>
        <v>#REF!</v>
      </c>
      <c r="S67" t="e">
        <f t="shared" ca="1" si="3"/>
        <v>#REF!</v>
      </c>
      <c r="T67" t="e">
        <f t="shared" ca="1" si="4"/>
        <v>#REF!</v>
      </c>
      <c r="U67" t="e" cm="1">
        <f t="array" aca="1" ref="U67" ca="1">IF(A67="","",IF(E67="","",IF(B67="safety",INDIRECT("template!"&amp;"P"&amp;A67),Q67+R67)))</f>
        <v>#REF!</v>
      </c>
      <c r="V67" t="e" cm="1">
        <f t="array" aca="1" ref="V67" ca="1">IF(A67="","",IF(E67="","",IF(B67="safety",INDIRECT("template!"&amp;"P"&amp;A67),S67+T67)))</f>
        <v>#REF!</v>
      </c>
      <c r="W67" t="e">
        <f ca="1">IF(A67="","",IF(E67="","",#REF!))</f>
        <v>#REF!</v>
      </c>
      <c r="X67" t="e">
        <f ca="1">IF(A67="","",IF(E67="","",#REF!))</f>
        <v>#REF!</v>
      </c>
      <c r="Y67" s="39" t="e">
        <f ca="1">IF(A67="","",IF(E67="","",#REF!))</f>
        <v>#REF!</v>
      </c>
      <c r="Z67" t="e">
        <f ca="1">IF(A67="","",IF(E67="","",#REF!))</f>
        <v>#REF!</v>
      </c>
      <c r="AA67" t="e">
        <f ca="1">IF(A67="","",IF(E67="","",#REF!))</f>
        <v>#REF!</v>
      </c>
      <c r="AB67" t="e">
        <f ca="1">IF(A67="","",IF(E67="","",#REF!))</f>
        <v>#REF!</v>
      </c>
      <c r="AC67" t="e">
        <f t="shared" ca="1" si="5"/>
        <v>#REF!</v>
      </c>
    </row>
    <row r="68" spans="1:29" x14ac:dyDescent="0.35">
      <c r="A68" t="e" cm="1">
        <f t="array" aca="1" ref="A68" ca="1">IF(A67="","",IF(OR(AND(A67+1&gt;=$AF$1,A67+1&lt;=$AF$2),AND(A67+1&gt;=$AF$6,A67+1&lt;=$AF$7),AND(A67+1&gt;=$AF$3,A67+1&lt;=$AF$4),AND(A67+1&gt;=$AF$8,A67+1&lt;=$AF$9),A67+1=$AF$5),IF(NOT(ISBLANK(INDIRECT("template!"&amp;"P"&amp;A67+1))),A67+1,IF(NOT(ISBLANK(INDIRECT("template!"&amp;"P"&amp;A67+2))),A67+2,A67+3)),IF(A67=$AF$2,$AF$3,IF(A67=$AF$4,$AF$5,IF(A67=$AF$5,$AF$6,IF(A67=$AF$7,$AF$8,""))))))</f>
        <v>#REF!</v>
      </c>
      <c r="B68" t="e">
        <f t="shared" ca="1" si="0"/>
        <v>#REF!</v>
      </c>
      <c r="C68" t="e" cm="1">
        <f t="array" aca="1" ref="C68" ca="1">IF(A68="","",IF(B68="safety","safety costs",INDIRECT("template!"&amp;"B"&amp;A68)))</f>
        <v>#REF!</v>
      </c>
      <c r="D68" t="e" cm="1">
        <f t="array" aca="1" ref="D68" ca="1">IF(OR(A68="",B68="safety"),"",INDIRECT("template!"&amp;"C"&amp;A68))</f>
        <v>#REF!</v>
      </c>
      <c r="E68" t="e" cm="1">
        <f t="array" aca="1" ref="E68" ca="1">IF(A68="","",IF(OR(A68=A67+1,A68=A67+2),E67,INDIRECT("template!"&amp;"D"&amp;A68-2)))</f>
        <v>#REF!</v>
      </c>
      <c r="F68" t="e" cm="1">
        <f t="array" aca="1" ref="F68" ca="1">IF(OR(A68="",B68="safety"),"",IF(ISBLANK(IF(A68=A67+1,F67,INDIRECT("template!"&amp;"D"&amp;A68-1))),"",IF(A68=A67+1,F67,INDIRECT("template!"&amp;"D"&amp;A68-1))))</f>
        <v>#REF!</v>
      </c>
      <c r="G68" t="e" cm="1">
        <f t="array" aca="1" ref="G68" ca="1">IF(OR(A68="",B68="safety"),"",IF(ISBLANK(INDIRECT("template!"&amp;"D"&amp;A68)),"",INDIRECT("template!"&amp;"D"&amp;A68)))</f>
        <v>#REF!</v>
      </c>
      <c r="H68" t="e" cm="1">
        <f t="array" aca="1" ref="H68" ca="1">IF(OR(A68="",B68="safety"),"",IF(ISBLANK(INDIRECT("template!"&amp;"E"&amp;A68)),"",INDIRECT("template!"&amp;"E"&amp;A68)))</f>
        <v>#REF!</v>
      </c>
      <c r="I68" t="e" cm="1">
        <f t="array" aca="1" ref="I68" ca="1">IF(OR(A68="",B68="safety"),"",IF(ISBLANK(INDIRECT("template!"&amp;"F"&amp;A68)),"",INDIRECT("template!"&amp;"F"&amp;A68)))</f>
        <v>#REF!</v>
      </c>
      <c r="J68" t="e" cm="1">
        <f t="array" aca="1" ref="J68" ca="1">IF(OR(A68="",B68="safety"),"",IF(ISBLANK(INDIRECT("template!"&amp;"G"&amp;A68)),"",INDIRECT("template!"&amp;"G"&amp;A68)))</f>
        <v>#REF!</v>
      </c>
      <c r="K68" t="e" cm="1">
        <f t="array" aca="1" ref="K68" ca="1">IF(OR(A68="",B68="safety"),"",IF(ISBLANK(INDIRECT("template!"&amp;"H"&amp;A68)),"",INDIRECT("template!"&amp;"H"&amp;A68)))</f>
        <v>#REF!</v>
      </c>
      <c r="L68" t="e" cm="1">
        <f t="array" aca="1" ref="L68" ca="1">IF(OR(A68="",B68="safety"),"",INDIRECT("template!"&amp;"I"&amp;A68))</f>
        <v>#REF!</v>
      </c>
      <c r="M68" t="e" cm="1">
        <f t="array" aca="1" ref="M68" ca="1">IF(OR(A68="",B68="safety"),"",INDIRECT("template!"&amp;"J"&amp;A68))</f>
        <v>#REF!</v>
      </c>
      <c r="N68" t="e" cm="1">
        <f t="array" aca="1" ref="N68" ca="1">IF(OR(A68="",B68="safety"),"",IF(ISBLANK(INDIRECT("template!"&amp;"K"&amp;A68)),"",INDIRECT("template!"&amp;"K"&amp;A68)))</f>
        <v>#REF!</v>
      </c>
      <c r="O68" t="e" cm="1">
        <f t="array" aca="1" ref="O68" ca="1">IF(OR(A68="",B68="safety"),"",INDIRECT("template!"&amp;"L"&amp;A68))</f>
        <v>#REF!</v>
      </c>
      <c r="P68" t="e" cm="1">
        <f t="array" aca="1" ref="P68" ca="1">IF(OR(A68="",B68="safety"),"",INDIRECT("template!"&amp;"M"&amp;A68))</f>
        <v>#REF!</v>
      </c>
      <c r="Q68" t="e">
        <f t="shared" ref="Q68:Q131" ca="1" si="6">IF(OR(A68="",B68="safety"),"",IF(E68="","",O68*L68))</f>
        <v>#REF!</v>
      </c>
      <c r="R68" t="e">
        <f t="shared" ref="R68:R131" ca="1" si="7">IF(OR(A68="",B68="safety"),"",IF(E68="","",P68*L68))</f>
        <v>#REF!</v>
      </c>
      <c r="S68" t="e">
        <f t="shared" ref="S68:S131" ca="1" si="8">IF(OR(A68="",B68="safety"),"",IF(E68="","",O68*M68))</f>
        <v>#REF!</v>
      </c>
      <c r="T68" t="e">
        <f t="shared" ref="T68:T131" ca="1" si="9">IF(OR(A68="",B68="safety"),"",IF(E68="","",M68*P68))</f>
        <v>#REF!</v>
      </c>
      <c r="U68" t="e" cm="1">
        <f t="array" aca="1" ref="U68" ca="1">IF(A68="","",IF(E68="","",IF(B68="safety",INDIRECT("template!"&amp;"P"&amp;A68),Q68+R68)))</f>
        <v>#REF!</v>
      </c>
      <c r="V68" t="e" cm="1">
        <f t="array" aca="1" ref="V68" ca="1">IF(A68="","",IF(E68="","",IF(B68="safety",INDIRECT("template!"&amp;"P"&amp;A68),S68+T68)))</f>
        <v>#REF!</v>
      </c>
      <c r="W68" t="e">
        <f ca="1">IF(A68="","",IF(E68="","",#REF!))</f>
        <v>#REF!</v>
      </c>
      <c r="X68" t="e">
        <f ca="1">IF(A68="","",IF(E68="","",#REF!))</f>
        <v>#REF!</v>
      </c>
      <c r="Y68" s="39" t="e">
        <f ca="1">IF(A68="","",IF(E68="","",#REF!))</f>
        <v>#REF!</v>
      </c>
      <c r="Z68" t="e">
        <f ca="1">IF(A68="","",IF(E68="","",#REF!))</f>
        <v>#REF!</v>
      </c>
      <c r="AA68" t="e">
        <f ca="1">IF(A68="","",IF(E68="","",#REF!))</f>
        <v>#REF!</v>
      </c>
      <c r="AB68" t="e">
        <f ca="1">IF(A68="","",IF(E68="","",#REF!))</f>
        <v>#REF!</v>
      </c>
      <c r="AC68" t="e">
        <f t="shared" ref="AC68:AC131" ca="1" si="10">IF(A68="","",IF(E68="","","WEEK "&amp;WEEKNUM(Y68)&amp;"_"&amp;YEAR(Y68)))</f>
        <v>#REF!</v>
      </c>
    </row>
    <row r="69" spans="1:29" x14ac:dyDescent="0.35">
      <c r="A69" t="e" cm="1">
        <f t="array" aca="1" ref="A69" ca="1">IF(A68="","",IF(OR(AND(A68+1&gt;=$AF$1,A68+1&lt;=$AF$2),AND(A68+1&gt;=$AF$6,A68+1&lt;=$AF$7),AND(A68+1&gt;=$AF$3,A68+1&lt;=$AF$4),AND(A68+1&gt;=$AF$8,A68+1&lt;=$AF$9),A68+1=$AF$5),IF(NOT(ISBLANK(INDIRECT("template!"&amp;"P"&amp;A68+1))),A68+1,IF(NOT(ISBLANK(INDIRECT("template!"&amp;"P"&amp;A68+2))),A68+2,A68+3)),IF(A68=$AF$2,$AF$3,IF(A68=$AF$4,$AF$5,IF(A68=$AF$5,$AF$6,IF(A68=$AF$7,$AF$8,""))))))</f>
        <v>#REF!</v>
      </c>
      <c r="B69" t="e">
        <f t="shared" ca="1" si="0"/>
        <v>#REF!</v>
      </c>
      <c r="C69" t="e" cm="1">
        <f t="array" aca="1" ref="C69" ca="1">IF(A69="","",IF(B69="safety","safety costs",INDIRECT("template!"&amp;"B"&amp;A69)))</f>
        <v>#REF!</v>
      </c>
      <c r="D69" t="e" cm="1">
        <f t="array" aca="1" ref="D69" ca="1">IF(OR(A69="",B69="safety"),"",INDIRECT("template!"&amp;"C"&amp;A69))</f>
        <v>#REF!</v>
      </c>
      <c r="E69" t="e" cm="1">
        <f t="array" aca="1" ref="E69" ca="1">IF(A69="","",IF(OR(A69=A68+1,A69=A68+2),E68,INDIRECT("template!"&amp;"D"&amp;A69-2)))</f>
        <v>#REF!</v>
      </c>
      <c r="F69" t="e" cm="1">
        <f t="array" aca="1" ref="F69" ca="1">IF(OR(A69="",B69="safety"),"",IF(ISBLANK(IF(A69=A68+1,F68,INDIRECT("template!"&amp;"D"&amp;A69-1))),"",IF(A69=A68+1,F68,INDIRECT("template!"&amp;"D"&amp;A69-1))))</f>
        <v>#REF!</v>
      </c>
      <c r="G69" t="e" cm="1">
        <f t="array" aca="1" ref="G69" ca="1">IF(OR(A69="",B69="safety"),"",IF(ISBLANK(INDIRECT("template!"&amp;"D"&amp;A69)),"",INDIRECT("template!"&amp;"D"&amp;A69)))</f>
        <v>#REF!</v>
      </c>
      <c r="H69" t="e" cm="1">
        <f t="array" aca="1" ref="H69" ca="1">IF(OR(A69="",B69="safety"),"",IF(ISBLANK(INDIRECT("template!"&amp;"E"&amp;A69)),"",INDIRECT("template!"&amp;"E"&amp;A69)))</f>
        <v>#REF!</v>
      </c>
      <c r="I69" t="e" cm="1">
        <f t="array" aca="1" ref="I69" ca="1">IF(OR(A69="",B69="safety"),"",IF(ISBLANK(INDIRECT("template!"&amp;"F"&amp;A69)),"",INDIRECT("template!"&amp;"F"&amp;A69)))</f>
        <v>#REF!</v>
      </c>
      <c r="J69" t="e" cm="1">
        <f t="array" aca="1" ref="J69" ca="1">IF(OR(A69="",B69="safety"),"",IF(ISBLANK(INDIRECT("template!"&amp;"G"&amp;A69)),"",INDIRECT("template!"&amp;"G"&amp;A69)))</f>
        <v>#REF!</v>
      </c>
      <c r="K69" t="e" cm="1">
        <f t="array" aca="1" ref="K69" ca="1">IF(OR(A69="",B69="safety"),"",IF(ISBLANK(INDIRECT("template!"&amp;"H"&amp;A69)),"",INDIRECT("template!"&amp;"H"&amp;A69)))</f>
        <v>#REF!</v>
      </c>
      <c r="L69" t="e" cm="1">
        <f t="array" aca="1" ref="L69" ca="1">IF(OR(A69="",B69="safety"),"",INDIRECT("template!"&amp;"I"&amp;A69))</f>
        <v>#REF!</v>
      </c>
      <c r="M69" t="e" cm="1">
        <f t="array" aca="1" ref="M69" ca="1">IF(OR(A69="",B69="safety"),"",INDIRECT("template!"&amp;"J"&amp;A69))</f>
        <v>#REF!</v>
      </c>
      <c r="N69" t="e" cm="1">
        <f t="array" aca="1" ref="N69" ca="1">IF(OR(A69="",B69="safety"),"",IF(ISBLANK(INDIRECT("template!"&amp;"K"&amp;A69)),"",INDIRECT("template!"&amp;"K"&amp;A69)))</f>
        <v>#REF!</v>
      </c>
      <c r="O69" t="e" cm="1">
        <f t="array" aca="1" ref="O69" ca="1">IF(OR(A69="",B69="safety"),"",INDIRECT("template!"&amp;"L"&amp;A69))</f>
        <v>#REF!</v>
      </c>
      <c r="P69" t="e" cm="1">
        <f t="array" aca="1" ref="P69" ca="1">IF(OR(A69="",B69="safety"),"",INDIRECT("template!"&amp;"M"&amp;A69))</f>
        <v>#REF!</v>
      </c>
      <c r="Q69" t="e">
        <f t="shared" ca="1" si="6"/>
        <v>#REF!</v>
      </c>
      <c r="R69" t="e">
        <f t="shared" ca="1" si="7"/>
        <v>#REF!</v>
      </c>
      <c r="S69" t="e">
        <f t="shared" ca="1" si="8"/>
        <v>#REF!</v>
      </c>
      <c r="T69" t="e">
        <f t="shared" ca="1" si="9"/>
        <v>#REF!</v>
      </c>
      <c r="U69" t="e" cm="1">
        <f t="array" aca="1" ref="U69" ca="1">IF(A69="","",IF(E69="","",IF(B69="safety",INDIRECT("template!"&amp;"P"&amp;A69),Q69+R69)))</f>
        <v>#REF!</v>
      </c>
      <c r="V69" t="e" cm="1">
        <f t="array" aca="1" ref="V69" ca="1">IF(A69="","",IF(E69="","",IF(B69="safety",INDIRECT("template!"&amp;"P"&amp;A69),S69+T69)))</f>
        <v>#REF!</v>
      </c>
      <c r="W69" t="e">
        <f ca="1">IF(A69="","",IF(E69="","",#REF!))</f>
        <v>#REF!</v>
      </c>
      <c r="X69" t="e">
        <f ca="1">IF(A69="","",IF(E69="","",#REF!))</f>
        <v>#REF!</v>
      </c>
      <c r="Y69" s="39" t="e">
        <f ca="1">IF(A69="","",IF(E69="","",#REF!))</f>
        <v>#REF!</v>
      </c>
      <c r="Z69" t="e">
        <f ca="1">IF(A69="","",IF(E69="","",#REF!))</f>
        <v>#REF!</v>
      </c>
      <c r="AA69" t="e">
        <f ca="1">IF(A69="","",IF(E69="","",#REF!))</f>
        <v>#REF!</v>
      </c>
      <c r="AB69" t="e">
        <f ca="1">IF(A69="","",IF(E69="","",#REF!))</f>
        <v>#REF!</v>
      </c>
      <c r="AC69" t="e">
        <f t="shared" ca="1" si="10"/>
        <v>#REF!</v>
      </c>
    </row>
    <row r="70" spans="1:29" x14ac:dyDescent="0.35">
      <c r="A70" t="e" cm="1">
        <f t="array" aca="1" ref="A70" ca="1">IF(A69="","",IF(OR(AND(A69+1&gt;=$AF$1,A69+1&lt;=$AF$2),AND(A69+1&gt;=$AF$6,A69+1&lt;=$AF$7),AND(A69+1&gt;=$AF$3,A69+1&lt;=$AF$4),AND(A69+1&gt;=$AF$8,A69+1&lt;=$AF$9),A69+1=$AF$5),IF(NOT(ISBLANK(INDIRECT("template!"&amp;"P"&amp;A69+1))),A69+1,IF(NOT(ISBLANK(INDIRECT("template!"&amp;"P"&amp;A69+2))),A69+2,A69+3)),IF(A69=$AF$2,$AF$3,IF(A69=$AF$4,$AF$5,IF(A69=$AF$5,$AF$6,IF(A69=$AF$7,$AF$8,""))))))</f>
        <v>#REF!</v>
      </c>
      <c r="B70" t="e">
        <f t="shared" ca="1" si="0"/>
        <v>#REF!</v>
      </c>
      <c r="C70" t="e" cm="1">
        <f t="array" aca="1" ref="C70" ca="1">IF(A70="","",IF(B70="safety","safety costs",INDIRECT("template!"&amp;"B"&amp;A70)))</f>
        <v>#REF!</v>
      </c>
      <c r="D70" t="e" cm="1">
        <f t="array" aca="1" ref="D70" ca="1">IF(OR(A70="",B70="safety"),"",INDIRECT("template!"&amp;"C"&amp;A70))</f>
        <v>#REF!</v>
      </c>
      <c r="E70" t="e" cm="1">
        <f t="array" aca="1" ref="E70" ca="1">IF(A70="","",IF(OR(A70=A69+1,A70=A69+2),E69,INDIRECT("template!"&amp;"D"&amp;A70-2)))</f>
        <v>#REF!</v>
      </c>
      <c r="F70" t="e" cm="1">
        <f t="array" aca="1" ref="F70" ca="1">IF(OR(A70="",B70="safety"),"",IF(ISBLANK(IF(A70=A69+1,F69,INDIRECT("template!"&amp;"D"&amp;A70-1))),"",IF(A70=A69+1,F69,INDIRECT("template!"&amp;"D"&amp;A70-1))))</f>
        <v>#REF!</v>
      </c>
      <c r="G70" t="e" cm="1">
        <f t="array" aca="1" ref="G70" ca="1">IF(OR(A70="",B70="safety"),"",IF(ISBLANK(INDIRECT("template!"&amp;"D"&amp;A70)),"",INDIRECT("template!"&amp;"D"&amp;A70)))</f>
        <v>#REF!</v>
      </c>
      <c r="H70" t="e" cm="1">
        <f t="array" aca="1" ref="H70" ca="1">IF(OR(A70="",B70="safety"),"",IF(ISBLANK(INDIRECT("template!"&amp;"E"&amp;A70)),"",INDIRECT("template!"&amp;"E"&amp;A70)))</f>
        <v>#REF!</v>
      </c>
      <c r="I70" t="e" cm="1">
        <f t="array" aca="1" ref="I70" ca="1">IF(OR(A70="",B70="safety"),"",IF(ISBLANK(INDIRECT("template!"&amp;"F"&amp;A70)),"",INDIRECT("template!"&amp;"F"&amp;A70)))</f>
        <v>#REF!</v>
      </c>
      <c r="J70" t="e" cm="1">
        <f t="array" aca="1" ref="J70" ca="1">IF(OR(A70="",B70="safety"),"",IF(ISBLANK(INDIRECT("template!"&amp;"G"&amp;A70)),"",INDIRECT("template!"&amp;"G"&amp;A70)))</f>
        <v>#REF!</v>
      </c>
      <c r="K70" t="e" cm="1">
        <f t="array" aca="1" ref="K70" ca="1">IF(OR(A70="",B70="safety"),"",IF(ISBLANK(INDIRECT("template!"&amp;"H"&amp;A70)),"",INDIRECT("template!"&amp;"H"&amp;A70)))</f>
        <v>#REF!</v>
      </c>
      <c r="L70" t="e" cm="1">
        <f t="array" aca="1" ref="L70" ca="1">IF(OR(A70="",B70="safety"),"",INDIRECT("template!"&amp;"I"&amp;A70))</f>
        <v>#REF!</v>
      </c>
      <c r="M70" t="e" cm="1">
        <f t="array" aca="1" ref="M70" ca="1">IF(OR(A70="",B70="safety"),"",INDIRECT("template!"&amp;"J"&amp;A70))</f>
        <v>#REF!</v>
      </c>
      <c r="N70" t="e" cm="1">
        <f t="array" aca="1" ref="N70" ca="1">IF(OR(A70="",B70="safety"),"",IF(ISBLANK(INDIRECT("template!"&amp;"K"&amp;A70)),"",INDIRECT("template!"&amp;"K"&amp;A70)))</f>
        <v>#REF!</v>
      </c>
      <c r="O70" t="e" cm="1">
        <f t="array" aca="1" ref="O70" ca="1">IF(OR(A70="",B70="safety"),"",INDIRECT("template!"&amp;"L"&amp;A70))</f>
        <v>#REF!</v>
      </c>
      <c r="P70" t="e" cm="1">
        <f t="array" aca="1" ref="P70" ca="1">IF(OR(A70="",B70="safety"),"",INDIRECT("template!"&amp;"M"&amp;A70))</f>
        <v>#REF!</v>
      </c>
      <c r="Q70" t="e">
        <f t="shared" ca="1" si="6"/>
        <v>#REF!</v>
      </c>
      <c r="R70" t="e">
        <f t="shared" ca="1" si="7"/>
        <v>#REF!</v>
      </c>
      <c r="S70" t="e">
        <f t="shared" ca="1" si="8"/>
        <v>#REF!</v>
      </c>
      <c r="T70" t="e">
        <f t="shared" ca="1" si="9"/>
        <v>#REF!</v>
      </c>
      <c r="U70" t="e" cm="1">
        <f t="array" aca="1" ref="U70" ca="1">IF(A70="","",IF(E70="","",IF(B70="safety",INDIRECT("template!"&amp;"P"&amp;A70),Q70+R70)))</f>
        <v>#REF!</v>
      </c>
      <c r="V70" t="e" cm="1">
        <f t="array" aca="1" ref="V70" ca="1">IF(A70="","",IF(E70="","",IF(B70="safety",INDIRECT("template!"&amp;"P"&amp;A70),S70+T70)))</f>
        <v>#REF!</v>
      </c>
      <c r="W70" t="e">
        <f ca="1">IF(A70="","",IF(E70="","",#REF!))</f>
        <v>#REF!</v>
      </c>
      <c r="X70" t="e">
        <f ca="1">IF(A70="","",IF(E70="","",#REF!))</f>
        <v>#REF!</v>
      </c>
      <c r="Y70" s="39" t="e">
        <f ca="1">IF(A70="","",IF(E70="","",#REF!))</f>
        <v>#REF!</v>
      </c>
      <c r="Z70" t="e">
        <f ca="1">IF(A70="","",IF(E70="","",#REF!))</f>
        <v>#REF!</v>
      </c>
      <c r="AA70" t="e">
        <f ca="1">IF(A70="","",IF(E70="","",#REF!))</f>
        <v>#REF!</v>
      </c>
      <c r="AB70" t="e">
        <f ca="1">IF(A70="","",IF(E70="","",#REF!))</f>
        <v>#REF!</v>
      </c>
      <c r="AC70" t="e">
        <f t="shared" ca="1" si="10"/>
        <v>#REF!</v>
      </c>
    </row>
    <row r="71" spans="1:29" x14ac:dyDescent="0.35">
      <c r="A71" t="e" cm="1">
        <f t="array" aca="1" ref="A71" ca="1">IF(A70="","",IF(OR(AND(A70+1&gt;=$AF$1,A70+1&lt;=$AF$2),AND(A70+1&gt;=$AF$6,A70+1&lt;=$AF$7),AND(A70+1&gt;=$AF$3,A70+1&lt;=$AF$4),AND(A70+1&gt;=$AF$8,A70+1&lt;=$AF$9),A70+1=$AF$5),IF(NOT(ISBLANK(INDIRECT("template!"&amp;"P"&amp;A70+1))),A70+1,IF(NOT(ISBLANK(INDIRECT("template!"&amp;"P"&amp;A70+2))),A70+2,A70+3)),IF(A70=$AF$2,$AF$3,IF(A70=$AF$4,$AF$5,IF(A70=$AF$5,$AF$6,IF(A70=$AF$7,$AF$8,""))))))</f>
        <v>#REF!</v>
      </c>
      <c r="B71" t="e">
        <f t="shared" ca="1" si="0"/>
        <v>#REF!</v>
      </c>
      <c r="C71" t="e" cm="1">
        <f t="array" aca="1" ref="C71" ca="1">IF(A71="","",IF(B71="safety","safety costs",INDIRECT("template!"&amp;"B"&amp;A71)))</f>
        <v>#REF!</v>
      </c>
      <c r="D71" t="e" cm="1">
        <f t="array" aca="1" ref="D71" ca="1">IF(OR(A71="",B71="safety"),"",INDIRECT("template!"&amp;"C"&amp;A71))</f>
        <v>#REF!</v>
      </c>
      <c r="E71" t="e" cm="1">
        <f t="array" aca="1" ref="E71" ca="1">IF(A71="","",IF(OR(A71=A70+1,A71=A70+2),E70,INDIRECT("template!"&amp;"D"&amp;A71-2)))</f>
        <v>#REF!</v>
      </c>
      <c r="F71" t="e" cm="1">
        <f t="array" aca="1" ref="F71" ca="1">IF(OR(A71="",B71="safety"),"",IF(ISBLANK(IF(A71=A70+1,F70,INDIRECT("template!"&amp;"D"&amp;A71-1))),"",IF(A71=A70+1,F70,INDIRECT("template!"&amp;"D"&amp;A71-1))))</f>
        <v>#REF!</v>
      </c>
      <c r="G71" t="e" cm="1">
        <f t="array" aca="1" ref="G71" ca="1">IF(OR(A71="",B71="safety"),"",IF(ISBLANK(INDIRECT("template!"&amp;"D"&amp;A71)),"",INDIRECT("template!"&amp;"D"&amp;A71)))</f>
        <v>#REF!</v>
      </c>
      <c r="H71" t="e" cm="1">
        <f t="array" aca="1" ref="H71" ca="1">IF(OR(A71="",B71="safety"),"",IF(ISBLANK(INDIRECT("template!"&amp;"E"&amp;A71)),"",INDIRECT("template!"&amp;"E"&amp;A71)))</f>
        <v>#REF!</v>
      </c>
      <c r="I71" t="e" cm="1">
        <f t="array" aca="1" ref="I71" ca="1">IF(OR(A71="",B71="safety"),"",IF(ISBLANK(INDIRECT("template!"&amp;"F"&amp;A71)),"",INDIRECT("template!"&amp;"F"&amp;A71)))</f>
        <v>#REF!</v>
      </c>
      <c r="J71" t="e" cm="1">
        <f t="array" aca="1" ref="J71" ca="1">IF(OR(A71="",B71="safety"),"",IF(ISBLANK(INDIRECT("template!"&amp;"G"&amp;A71)),"",INDIRECT("template!"&amp;"G"&amp;A71)))</f>
        <v>#REF!</v>
      </c>
      <c r="K71" t="e" cm="1">
        <f t="array" aca="1" ref="K71" ca="1">IF(OR(A71="",B71="safety"),"",IF(ISBLANK(INDIRECT("template!"&amp;"H"&amp;A71)),"",INDIRECT("template!"&amp;"H"&amp;A71)))</f>
        <v>#REF!</v>
      </c>
      <c r="L71" t="e" cm="1">
        <f t="array" aca="1" ref="L71" ca="1">IF(OR(A71="",B71="safety"),"",INDIRECT("template!"&amp;"I"&amp;A71))</f>
        <v>#REF!</v>
      </c>
      <c r="M71" t="e" cm="1">
        <f t="array" aca="1" ref="M71" ca="1">IF(OR(A71="",B71="safety"),"",INDIRECT("template!"&amp;"J"&amp;A71))</f>
        <v>#REF!</v>
      </c>
      <c r="N71" t="e" cm="1">
        <f t="array" aca="1" ref="N71" ca="1">IF(OR(A71="",B71="safety"),"",IF(ISBLANK(INDIRECT("template!"&amp;"K"&amp;A71)),"",INDIRECT("template!"&amp;"K"&amp;A71)))</f>
        <v>#REF!</v>
      </c>
      <c r="O71" t="e" cm="1">
        <f t="array" aca="1" ref="O71" ca="1">IF(OR(A71="",B71="safety"),"",INDIRECT("template!"&amp;"L"&amp;A71))</f>
        <v>#REF!</v>
      </c>
      <c r="P71" t="e" cm="1">
        <f t="array" aca="1" ref="P71" ca="1">IF(OR(A71="",B71="safety"),"",INDIRECT("template!"&amp;"M"&amp;A71))</f>
        <v>#REF!</v>
      </c>
      <c r="Q71" t="e">
        <f t="shared" ca="1" si="6"/>
        <v>#REF!</v>
      </c>
      <c r="R71" t="e">
        <f t="shared" ca="1" si="7"/>
        <v>#REF!</v>
      </c>
      <c r="S71" t="e">
        <f t="shared" ca="1" si="8"/>
        <v>#REF!</v>
      </c>
      <c r="T71" t="e">
        <f t="shared" ca="1" si="9"/>
        <v>#REF!</v>
      </c>
      <c r="U71" t="e" cm="1">
        <f t="array" aca="1" ref="U71" ca="1">IF(A71="","",IF(E71="","",IF(B71="safety",INDIRECT("template!"&amp;"P"&amp;A71),Q71+R71)))</f>
        <v>#REF!</v>
      </c>
      <c r="V71" t="e" cm="1">
        <f t="array" aca="1" ref="V71" ca="1">IF(A71="","",IF(E71="","",IF(B71="safety",INDIRECT("template!"&amp;"P"&amp;A71),S71+T71)))</f>
        <v>#REF!</v>
      </c>
      <c r="W71" t="e">
        <f ca="1">IF(A71="","",IF(E71="","",#REF!))</f>
        <v>#REF!</v>
      </c>
      <c r="X71" t="e">
        <f ca="1">IF(A71="","",IF(E71="","",#REF!))</f>
        <v>#REF!</v>
      </c>
      <c r="Y71" s="39" t="e">
        <f ca="1">IF(A71="","",IF(E71="","",#REF!))</f>
        <v>#REF!</v>
      </c>
      <c r="Z71" t="e">
        <f ca="1">IF(A71="","",IF(E71="","",#REF!))</f>
        <v>#REF!</v>
      </c>
      <c r="AA71" t="e">
        <f ca="1">IF(A71="","",IF(E71="","",#REF!))</f>
        <v>#REF!</v>
      </c>
      <c r="AB71" t="e">
        <f ca="1">IF(A71="","",IF(E71="","",#REF!))</f>
        <v>#REF!</v>
      </c>
      <c r="AC71" t="e">
        <f t="shared" ca="1" si="10"/>
        <v>#REF!</v>
      </c>
    </row>
    <row r="72" spans="1:29" x14ac:dyDescent="0.35">
      <c r="A72" t="e" cm="1">
        <f t="array" aca="1" ref="A72" ca="1">IF(A71="","",IF(OR(AND(A71+1&gt;=$AF$1,A71+1&lt;=$AF$2),AND(A71+1&gt;=$AF$6,A71+1&lt;=$AF$7),AND(A71+1&gt;=$AF$3,A71+1&lt;=$AF$4),AND(A71+1&gt;=$AF$8,A71+1&lt;=$AF$9),A71+1=$AF$5),IF(NOT(ISBLANK(INDIRECT("template!"&amp;"P"&amp;A71+1))),A71+1,IF(NOT(ISBLANK(INDIRECT("template!"&amp;"P"&amp;A71+2))),A71+2,A71+3)),IF(A71=$AF$2,$AF$3,IF(A71=$AF$4,$AF$5,IF(A71=$AF$5,$AF$6,IF(A71=$AF$7,$AF$8,""))))))</f>
        <v>#REF!</v>
      </c>
      <c r="B72" t="e">
        <f t="shared" ca="1" si="0"/>
        <v>#REF!</v>
      </c>
      <c r="C72" t="e" cm="1">
        <f t="array" aca="1" ref="C72" ca="1">IF(A72="","",IF(B72="safety","safety costs",INDIRECT("template!"&amp;"B"&amp;A72)))</f>
        <v>#REF!</v>
      </c>
      <c r="D72" t="e" cm="1">
        <f t="array" aca="1" ref="D72" ca="1">IF(OR(A72="",B72="safety"),"",INDIRECT("template!"&amp;"C"&amp;A72))</f>
        <v>#REF!</v>
      </c>
      <c r="E72" t="e" cm="1">
        <f t="array" aca="1" ref="E72" ca="1">IF(A72="","",IF(OR(A72=A71+1,A72=A71+2),E71,INDIRECT("template!"&amp;"D"&amp;A72-2)))</f>
        <v>#REF!</v>
      </c>
      <c r="F72" t="e" cm="1">
        <f t="array" aca="1" ref="F72" ca="1">IF(OR(A72="",B72="safety"),"",IF(ISBLANK(IF(A72=A71+1,F71,INDIRECT("template!"&amp;"D"&amp;A72-1))),"",IF(A72=A71+1,F71,INDIRECT("template!"&amp;"D"&amp;A72-1))))</f>
        <v>#REF!</v>
      </c>
      <c r="G72" t="e" cm="1">
        <f t="array" aca="1" ref="G72" ca="1">IF(OR(A72="",B72="safety"),"",IF(ISBLANK(INDIRECT("template!"&amp;"D"&amp;A72)),"",INDIRECT("template!"&amp;"D"&amp;A72)))</f>
        <v>#REF!</v>
      </c>
      <c r="H72" t="e" cm="1">
        <f t="array" aca="1" ref="H72" ca="1">IF(OR(A72="",B72="safety"),"",IF(ISBLANK(INDIRECT("template!"&amp;"E"&amp;A72)),"",INDIRECT("template!"&amp;"E"&amp;A72)))</f>
        <v>#REF!</v>
      </c>
      <c r="I72" t="e" cm="1">
        <f t="array" aca="1" ref="I72" ca="1">IF(OR(A72="",B72="safety"),"",IF(ISBLANK(INDIRECT("template!"&amp;"F"&amp;A72)),"",INDIRECT("template!"&amp;"F"&amp;A72)))</f>
        <v>#REF!</v>
      </c>
      <c r="J72" t="e" cm="1">
        <f t="array" aca="1" ref="J72" ca="1">IF(OR(A72="",B72="safety"),"",IF(ISBLANK(INDIRECT("template!"&amp;"G"&amp;A72)),"",INDIRECT("template!"&amp;"G"&amp;A72)))</f>
        <v>#REF!</v>
      </c>
      <c r="K72" t="e" cm="1">
        <f t="array" aca="1" ref="K72" ca="1">IF(OR(A72="",B72="safety"),"",IF(ISBLANK(INDIRECT("template!"&amp;"H"&amp;A72)),"",INDIRECT("template!"&amp;"H"&amp;A72)))</f>
        <v>#REF!</v>
      </c>
      <c r="L72" t="e" cm="1">
        <f t="array" aca="1" ref="L72" ca="1">IF(OR(A72="",B72="safety"),"",INDIRECT("template!"&amp;"I"&amp;A72))</f>
        <v>#REF!</v>
      </c>
      <c r="M72" t="e" cm="1">
        <f t="array" aca="1" ref="M72" ca="1">IF(OR(A72="",B72="safety"),"",INDIRECT("template!"&amp;"J"&amp;A72))</f>
        <v>#REF!</v>
      </c>
      <c r="N72" t="e" cm="1">
        <f t="array" aca="1" ref="N72" ca="1">IF(OR(A72="",B72="safety"),"",IF(ISBLANK(INDIRECT("template!"&amp;"K"&amp;A72)),"",INDIRECT("template!"&amp;"K"&amp;A72)))</f>
        <v>#REF!</v>
      </c>
      <c r="O72" t="e" cm="1">
        <f t="array" aca="1" ref="O72" ca="1">IF(OR(A72="",B72="safety"),"",INDIRECT("template!"&amp;"L"&amp;A72))</f>
        <v>#REF!</v>
      </c>
      <c r="P72" t="e" cm="1">
        <f t="array" aca="1" ref="P72" ca="1">IF(OR(A72="",B72="safety"),"",INDIRECT("template!"&amp;"M"&amp;A72))</f>
        <v>#REF!</v>
      </c>
      <c r="Q72" t="e">
        <f t="shared" ca="1" si="6"/>
        <v>#REF!</v>
      </c>
      <c r="R72" t="e">
        <f t="shared" ca="1" si="7"/>
        <v>#REF!</v>
      </c>
      <c r="S72" t="e">
        <f t="shared" ca="1" si="8"/>
        <v>#REF!</v>
      </c>
      <c r="T72" t="e">
        <f t="shared" ca="1" si="9"/>
        <v>#REF!</v>
      </c>
      <c r="U72" t="e" cm="1">
        <f t="array" aca="1" ref="U72" ca="1">IF(A72="","",IF(E72="","",IF(B72="safety",INDIRECT("template!"&amp;"P"&amp;A72),Q72+R72)))</f>
        <v>#REF!</v>
      </c>
      <c r="V72" t="e" cm="1">
        <f t="array" aca="1" ref="V72" ca="1">IF(A72="","",IF(E72="","",IF(B72="safety",INDIRECT("template!"&amp;"P"&amp;A72),S72+T72)))</f>
        <v>#REF!</v>
      </c>
      <c r="W72" t="e">
        <f ca="1">IF(A72="","",IF(E72="","",#REF!))</f>
        <v>#REF!</v>
      </c>
      <c r="X72" t="e">
        <f ca="1">IF(A72="","",IF(E72="","",#REF!))</f>
        <v>#REF!</v>
      </c>
      <c r="Y72" s="39" t="e">
        <f ca="1">IF(A72="","",IF(E72="","",#REF!))</f>
        <v>#REF!</v>
      </c>
      <c r="Z72" t="e">
        <f ca="1">IF(A72="","",IF(E72="","",#REF!))</f>
        <v>#REF!</v>
      </c>
      <c r="AA72" t="e">
        <f ca="1">IF(A72="","",IF(E72="","",#REF!))</f>
        <v>#REF!</v>
      </c>
      <c r="AB72" t="e">
        <f ca="1">IF(A72="","",IF(E72="","",#REF!))</f>
        <v>#REF!</v>
      </c>
      <c r="AC72" t="e">
        <f t="shared" ca="1" si="10"/>
        <v>#REF!</v>
      </c>
    </row>
    <row r="73" spans="1:29" x14ac:dyDescent="0.35">
      <c r="A73" t="e" cm="1">
        <f t="array" aca="1" ref="A73" ca="1">IF(A72="","",IF(OR(AND(A72+1&gt;=$AF$1,A72+1&lt;=$AF$2),AND(A72+1&gt;=$AF$6,A72+1&lt;=$AF$7),AND(A72+1&gt;=$AF$3,A72+1&lt;=$AF$4),AND(A72+1&gt;=$AF$8,A72+1&lt;=$AF$9),A72+1=$AF$5),IF(NOT(ISBLANK(INDIRECT("template!"&amp;"P"&amp;A72+1))),A72+1,IF(NOT(ISBLANK(INDIRECT("template!"&amp;"P"&amp;A72+2))),A72+2,A72+3)),IF(A72=$AF$2,$AF$3,IF(A72=$AF$4,$AF$5,IF(A72=$AF$5,$AF$6,IF(A72=$AF$7,$AF$8,""))))))</f>
        <v>#REF!</v>
      </c>
      <c r="B73" t="e">
        <f t="shared" ca="1" si="0"/>
        <v>#REF!</v>
      </c>
      <c r="C73" t="e" cm="1">
        <f t="array" aca="1" ref="C73" ca="1">IF(A73="","",IF(B73="safety","safety costs",INDIRECT("template!"&amp;"B"&amp;A73)))</f>
        <v>#REF!</v>
      </c>
      <c r="D73" t="e" cm="1">
        <f t="array" aca="1" ref="D73" ca="1">IF(OR(A73="",B73="safety"),"",INDIRECT("template!"&amp;"C"&amp;A73))</f>
        <v>#REF!</v>
      </c>
      <c r="E73" t="e" cm="1">
        <f t="array" aca="1" ref="E73" ca="1">IF(A73="","",IF(OR(A73=A72+1,A73=A72+2),E72,INDIRECT("template!"&amp;"D"&amp;A73-2)))</f>
        <v>#REF!</v>
      </c>
      <c r="F73" t="e" cm="1">
        <f t="array" aca="1" ref="F73" ca="1">IF(OR(A73="",B73="safety"),"",IF(ISBLANK(IF(A73=A72+1,F72,INDIRECT("template!"&amp;"D"&amp;A73-1))),"",IF(A73=A72+1,F72,INDIRECT("template!"&amp;"D"&amp;A73-1))))</f>
        <v>#REF!</v>
      </c>
      <c r="G73" t="e" cm="1">
        <f t="array" aca="1" ref="G73" ca="1">IF(OR(A73="",B73="safety"),"",IF(ISBLANK(INDIRECT("template!"&amp;"D"&amp;A73)),"",INDIRECT("template!"&amp;"D"&amp;A73)))</f>
        <v>#REF!</v>
      </c>
      <c r="H73" t="e" cm="1">
        <f t="array" aca="1" ref="H73" ca="1">IF(OR(A73="",B73="safety"),"",IF(ISBLANK(INDIRECT("template!"&amp;"E"&amp;A73)),"",INDIRECT("template!"&amp;"E"&amp;A73)))</f>
        <v>#REF!</v>
      </c>
      <c r="I73" t="e" cm="1">
        <f t="array" aca="1" ref="I73" ca="1">IF(OR(A73="",B73="safety"),"",IF(ISBLANK(INDIRECT("template!"&amp;"F"&amp;A73)),"",INDIRECT("template!"&amp;"F"&amp;A73)))</f>
        <v>#REF!</v>
      </c>
      <c r="J73" t="e" cm="1">
        <f t="array" aca="1" ref="J73" ca="1">IF(OR(A73="",B73="safety"),"",IF(ISBLANK(INDIRECT("template!"&amp;"G"&amp;A73)),"",INDIRECT("template!"&amp;"G"&amp;A73)))</f>
        <v>#REF!</v>
      </c>
      <c r="K73" t="e" cm="1">
        <f t="array" aca="1" ref="K73" ca="1">IF(OR(A73="",B73="safety"),"",IF(ISBLANK(INDIRECT("template!"&amp;"H"&amp;A73)),"",INDIRECT("template!"&amp;"H"&amp;A73)))</f>
        <v>#REF!</v>
      </c>
      <c r="L73" t="e" cm="1">
        <f t="array" aca="1" ref="L73" ca="1">IF(OR(A73="",B73="safety"),"",INDIRECT("template!"&amp;"I"&amp;A73))</f>
        <v>#REF!</v>
      </c>
      <c r="M73" t="e" cm="1">
        <f t="array" aca="1" ref="M73" ca="1">IF(OR(A73="",B73="safety"),"",INDIRECT("template!"&amp;"J"&amp;A73))</f>
        <v>#REF!</v>
      </c>
      <c r="N73" t="e" cm="1">
        <f t="array" aca="1" ref="N73" ca="1">IF(OR(A73="",B73="safety"),"",IF(ISBLANK(INDIRECT("template!"&amp;"K"&amp;A73)),"",INDIRECT("template!"&amp;"K"&amp;A73)))</f>
        <v>#REF!</v>
      </c>
      <c r="O73" t="e" cm="1">
        <f t="array" aca="1" ref="O73" ca="1">IF(OR(A73="",B73="safety"),"",INDIRECT("template!"&amp;"L"&amp;A73))</f>
        <v>#REF!</v>
      </c>
      <c r="P73" t="e" cm="1">
        <f t="array" aca="1" ref="P73" ca="1">IF(OR(A73="",B73="safety"),"",INDIRECT("template!"&amp;"M"&amp;A73))</f>
        <v>#REF!</v>
      </c>
      <c r="Q73" t="e">
        <f t="shared" ca="1" si="6"/>
        <v>#REF!</v>
      </c>
      <c r="R73" t="e">
        <f t="shared" ca="1" si="7"/>
        <v>#REF!</v>
      </c>
      <c r="S73" t="e">
        <f t="shared" ca="1" si="8"/>
        <v>#REF!</v>
      </c>
      <c r="T73" t="e">
        <f t="shared" ca="1" si="9"/>
        <v>#REF!</v>
      </c>
      <c r="U73" t="e" cm="1">
        <f t="array" aca="1" ref="U73" ca="1">IF(A73="","",IF(E73="","",IF(B73="safety",INDIRECT("template!"&amp;"P"&amp;A73),Q73+R73)))</f>
        <v>#REF!</v>
      </c>
      <c r="V73" t="e" cm="1">
        <f t="array" aca="1" ref="V73" ca="1">IF(A73="","",IF(E73="","",IF(B73="safety",INDIRECT("template!"&amp;"P"&amp;A73),S73+T73)))</f>
        <v>#REF!</v>
      </c>
      <c r="W73" t="e">
        <f ca="1">IF(A73="","",IF(E73="","",#REF!))</f>
        <v>#REF!</v>
      </c>
      <c r="X73" t="e">
        <f ca="1">IF(A73="","",IF(E73="","",#REF!))</f>
        <v>#REF!</v>
      </c>
      <c r="Y73" s="39" t="e">
        <f ca="1">IF(A73="","",IF(E73="","",#REF!))</f>
        <v>#REF!</v>
      </c>
      <c r="Z73" t="e">
        <f ca="1">IF(A73="","",IF(E73="","",#REF!))</f>
        <v>#REF!</v>
      </c>
      <c r="AA73" t="e">
        <f ca="1">IF(A73="","",IF(E73="","",#REF!))</f>
        <v>#REF!</v>
      </c>
      <c r="AB73" t="e">
        <f ca="1">IF(A73="","",IF(E73="","",#REF!))</f>
        <v>#REF!</v>
      </c>
      <c r="AC73" t="e">
        <f t="shared" ca="1" si="10"/>
        <v>#REF!</v>
      </c>
    </row>
    <row r="74" spans="1:29" x14ac:dyDescent="0.35">
      <c r="A74" t="e" cm="1">
        <f t="array" aca="1" ref="A74" ca="1">IF(A73="","",IF(OR(AND(A73+1&gt;=$AF$1,A73+1&lt;=$AF$2),AND(A73+1&gt;=$AF$6,A73+1&lt;=$AF$7),AND(A73+1&gt;=$AF$3,A73+1&lt;=$AF$4),AND(A73+1&gt;=$AF$8,A73+1&lt;=$AF$9),A73+1=$AF$5),IF(NOT(ISBLANK(INDIRECT("template!"&amp;"P"&amp;A73+1))),A73+1,IF(NOT(ISBLANK(INDIRECT("template!"&amp;"P"&amp;A73+2))),A73+2,A73+3)),IF(A73=$AF$2,$AF$3,IF(A73=$AF$4,$AF$5,IF(A73=$AF$5,$AF$6,IF(A73=$AF$7,$AF$8,""))))))</f>
        <v>#REF!</v>
      </c>
      <c r="B74" t="e">
        <f t="shared" ca="1" si="0"/>
        <v>#REF!</v>
      </c>
      <c r="C74" t="e" cm="1">
        <f t="array" aca="1" ref="C74" ca="1">IF(A74="","",IF(B74="safety","safety costs",INDIRECT("template!"&amp;"B"&amp;A74)))</f>
        <v>#REF!</v>
      </c>
      <c r="D74" t="e" cm="1">
        <f t="array" aca="1" ref="D74" ca="1">IF(OR(A74="",B74="safety"),"",INDIRECT("template!"&amp;"C"&amp;A74))</f>
        <v>#REF!</v>
      </c>
      <c r="E74" t="e" cm="1">
        <f t="array" aca="1" ref="E74" ca="1">IF(A74="","",IF(OR(A74=A73+1,A74=A73+2),E73,INDIRECT("template!"&amp;"D"&amp;A74-2)))</f>
        <v>#REF!</v>
      </c>
      <c r="F74" t="e" cm="1">
        <f t="array" aca="1" ref="F74" ca="1">IF(OR(A74="",B74="safety"),"",IF(ISBLANK(IF(A74=A73+1,F73,INDIRECT("template!"&amp;"D"&amp;A74-1))),"",IF(A74=A73+1,F73,INDIRECT("template!"&amp;"D"&amp;A74-1))))</f>
        <v>#REF!</v>
      </c>
      <c r="G74" t="e" cm="1">
        <f t="array" aca="1" ref="G74" ca="1">IF(OR(A74="",B74="safety"),"",IF(ISBLANK(INDIRECT("template!"&amp;"D"&amp;A74)),"",INDIRECT("template!"&amp;"D"&amp;A74)))</f>
        <v>#REF!</v>
      </c>
      <c r="H74" t="e" cm="1">
        <f t="array" aca="1" ref="H74" ca="1">IF(OR(A74="",B74="safety"),"",IF(ISBLANK(INDIRECT("template!"&amp;"E"&amp;A74)),"",INDIRECT("template!"&amp;"E"&amp;A74)))</f>
        <v>#REF!</v>
      </c>
      <c r="I74" t="e" cm="1">
        <f t="array" aca="1" ref="I74" ca="1">IF(OR(A74="",B74="safety"),"",IF(ISBLANK(INDIRECT("template!"&amp;"F"&amp;A74)),"",INDIRECT("template!"&amp;"F"&amp;A74)))</f>
        <v>#REF!</v>
      </c>
      <c r="J74" t="e" cm="1">
        <f t="array" aca="1" ref="J74" ca="1">IF(OR(A74="",B74="safety"),"",IF(ISBLANK(INDIRECT("template!"&amp;"G"&amp;A74)),"",INDIRECT("template!"&amp;"G"&amp;A74)))</f>
        <v>#REF!</v>
      </c>
      <c r="K74" t="e" cm="1">
        <f t="array" aca="1" ref="K74" ca="1">IF(OR(A74="",B74="safety"),"",IF(ISBLANK(INDIRECT("template!"&amp;"H"&amp;A74)),"",INDIRECT("template!"&amp;"H"&amp;A74)))</f>
        <v>#REF!</v>
      </c>
      <c r="L74" t="e" cm="1">
        <f t="array" aca="1" ref="L74" ca="1">IF(OR(A74="",B74="safety"),"",INDIRECT("template!"&amp;"I"&amp;A74))</f>
        <v>#REF!</v>
      </c>
      <c r="M74" t="e" cm="1">
        <f t="array" aca="1" ref="M74" ca="1">IF(OR(A74="",B74="safety"),"",INDIRECT("template!"&amp;"J"&amp;A74))</f>
        <v>#REF!</v>
      </c>
      <c r="N74" t="e" cm="1">
        <f t="array" aca="1" ref="N74" ca="1">IF(OR(A74="",B74="safety"),"",IF(ISBLANK(INDIRECT("template!"&amp;"K"&amp;A74)),"",INDIRECT("template!"&amp;"K"&amp;A74)))</f>
        <v>#REF!</v>
      </c>
      <c r="O74" t="e" cm="1">
        <f t="array" aca="1" ref="O74" ca="1">IF(OR(A74="",B74="safety"),"",INDIRECT("template!"&amp;"L"&amp;A74))</f>
        <v>#REF!</v>
      </c>
      <c r="P74" t="e" cm="1">
        <f t="array" aca="1" ref="P74" ca="1">IF(OR(A74="",B74="safety"),"",INDIRECT("template!"&amp;"M"&amp;A74))</f>
        <v>#REF!</v>
      </c>
      <c r="Q74" t="e">
        <f t="shared" ca="1" si="6"/>
        <v>#REF!</v>
      </c>
      <c r="R74" t="e">
        <f t="shared" ca="1" si="7"/>
        <v>#REF!</v>
      </c>
      <c r="S74" t="e">
        <f t="shared" ca="1" si="8"/>
        <v>#REF!</v>
      </c>
      <c r="T74" t="e">
        <f t="shared" ca="1" si="9"/>
        <v>#REF!</v>
      </c>
      <c r="U74" t="e" cm="1">
        <f t="array" aca="1" ref="U74" ca="1">IF(A74="","",IF(E74="","",IF(B74="safety",INDIRECT("template!"&amp;"P"&amp;A74),Q74+R74)))</f>
        <v>#REF!</v>
      </c>
      <c r="V74" t="e" cm="1">
        <f t="array" aca="1" ref="V74" ca="1">IF(A74="","",IF(E74="","",IF(B74="safety",INDIRECT("template!"&amp;"P"&amp;A74),S74+T74)))</f>
        <v>#REF!</v>
      </c>
      <c r="W74" t="e">
        <f ca="1">IF(A74="","",IF(E74="","",#REF!))</f>
        <v>#REF!</v>
      </c>
      <c r="X74" t="e">
        <f ca="1">IF(A74="","",IF(E74="","",#REF!))</f>
        <v>#REF!</v>
      </c>
      <c r="Y74" s="39" t="e">
        <f ca="1">IF(A74="","",IF(E74="","",#REF!))</f>
        <v>#REF!</v>
      </c>
      <c r="Z74" t="e">
        <f ca="1">IF(A74="","",IF(E74="","",#REF!))</f>
        <v>#REF!</v>
      </c>
      <c r="AA74" t="e">
        <f ca="1">IF(A74="","",IF(E74="","",#REF!))</f>
        <v>#REF!</v>
      </c>
      <c r="AB74" t="e">
        <f ca="1">IF(A74="","",IF(E74="","",#REF!))</f>
        <v>#REF!</v>
      </c>
      <c r="AC74" t="e">
        <f t="shared" ca="1" si="10"/>
        <v>#REF!</v>
      </c>
    </row>
    <row r="75" spans="1:29" x14ac:dyDescent="0.35">
      <c r="A75" t="e" cm="1">
        <f t="array" aca="1" ref="A75" ca="1">IF(A74="","",IF(OR(AND(A74+1&gt;=$AF$1,A74+1&lt;=$AF$2),AND(A74+1&gt;=$AF$6,A74+1&lt;=$AF$7),AND(A74+1&gt;=$AF$3,A74+1&lt;=$AF$4),AND(A74+1&gt;=$AF$8,A74+1&lt;=$AF$9),A74+1=$AF$5),IF(NOT(ISBLANK(INDIRECT("template!"&amp;"P"&amp;A74+1))),A74+1,IF(NOT(ISBLANK(INDIRECT("template!"&amp;"P"&amp;A74+2))),A74+2,A74+3)),IF(A74=$AF$2,$AF$3,IF(A74=$AF$4,$AF$5,IF(A74=$AF$5,$AF$6,IF(A74=$AF$7,$AF$8,""))))))</f>
        <v>#REF!</v>
      </c>
      <c r="B75" t="e">
        <f t="shared" ca="1" si="0"/>
        <v>#REF!</v>
      </c>
      <c r="C75" t="e" cm="1">
        <f t="array" aca="1" ref="C75" ca="1">IF(A75="","",IF(B75="safety","safety costs",INDIRECT("template!"&amp;"B"&amp;A75)))</f>
        <v>#REF!</v>
      </c>
      <c r="D75" t="e" cm="1">
        <f t="array" aca="1" ref="D75" ca="1">IF(OR(A75="",B75="safety"),"",INDIRECT("template!"&amp;"C"&amp;A75))</f>
        <v>#REF!</v>
      </c>
      <c r="E75" t="e" cm="1">
        <f t="array" aca="1" ref="E75" ca="1">IF(A75="","",IF(OR(A75=A74+1,A75=A74+2),E74,INDIRECT("template!"&amp;"D"&amp;A75-2)))</f>
        <v>#REF!</v>
      </c>
      <c r="F75" t="e" cm="1">
        <f t="array" aca="1" ref="F75" ca="1">IF(OR(A75="",B75="safety"),"",IF(ISBLANK(IF(A75=A74+1,F74,INDIRECT("template!"&amp;"D"&amp;A75-1))),"",IF(A75=A74+1,F74,INDIRECT("template!"&amp;"D"&amp;A75-1))))</f>
        <v>#REF!</v>
      </c>
      <c r="G75" t="e" cm="1">
        <f t="array" aca="1" ref="G75" ca="1">IF(OR(A75="",B75="safety"),"",IF(ISBLANK(INDIRECT("template!"&amp;"D"&amp;A75)),"",INDIRECT("template!"&amp;"D"&amp;A75)))</f>
        <v>#REF!</v>
      </c>
      <c r="H75" t="e" cm="1">
        <f t="array" aca="1" ref="H75" ca="1">IF(OR(A75="",B75="safety"),"",IF(ISBLANK(INDIRECT("template!"&amp;"E"&amp;A75)),"",INDIRECT("template!"&amp;"E"&amp;A75)))</f>
        <v>#REF!</v>
      </c>
      <c r="I75" t="e" cm="1">
        <f t="array" aca="1" ref="I75" ca="1">IF(OR(A75="",B75="safety"),"",IF(ISBLANK(INDIRECT("template!"&amp;"F"&amp;A75)),"",INDIRECT("template!"&amp;"F"&amp;A75)))</f>
        <v>#REF!</v>
      </c>
      <c r="J75" t="e" cm="1">
        <f t="array" aca="1" ref="J75" ca="1">IF(OR(A75="",B75="safety"),"",IF(ISBLANK(INDIRECT("template!"&amp;"G"&amp;A75)),"",INDIRECT("template!"&amp;"G"&amp;A75)))</f>
        <v>#REF!</v>
      </c>
      <c r="K75" t="e" cm="1">
        <f t="array" aca="1" ref="K75" ca="1">IF(OR(A75="",B75="safety"),"",IF(ISBLANK(INDIRECT("template!"&amp;"H"&amp;A75)),"",INDIRECT("template!"&amp;"H"&amp;A75)))</f>
        <v>#REF!</v>
      </c>
      <c r="L75" t="e" cm="1">
        <f t="array" aca="1" ref="L75" ca="1">IF(OR(A75="",B75="safety"),"",INDIRECT("template!"&amp;"I"&amp;A75))</f>
        <v>#REF!</v>
      </c>
      <c r="M75" t="e" cm="1">
        <f t="array" aca="1" ref="M75" ca="1">IF(OR(A75="",B75="safety"),"",INDIRECT("template!"&amp;"J"&amp;A75))</f>
        <v>#REF!</v>
      </c>
      <c r="N75" t="e" cm="1">
        <f t="array" aca="1" ref="N75" ca="1">IF(OR(A75="",B75="safety"),"",IF(ISBLANK(INDIRECT("template!"&amp;"K"&amp;A75)),"",INDIRECT("template!"&amp;"K"&amp;A75)))</f>
        <v>#REF!</v>
      </c>
      <c r="O75" t="e" cm="1">
        <f t="array" aca="1" ref="O75" ca="1">IF(OR(A75="",B75="safety"),"",INDIRECT("template!"&amp;"L"&amp;A75))</f>
        <v>#REF!</v>
      </c>
      <c r="P75" t="e" cm="1">
        <f t="array" aca="1" ref="P75" ca="1">IF(OR(A75="",B75="safety"),"",INDIRECT("template!"&amp;"M"&amp;A75))</f>
        <v>#REF!</v>
      </c>
      <c r="Q75" t="e">
        <f t="shared" ca="1" si="6"/>
        <v>#REF!</v>
      </c>
      <c r="R75" t="e">
        <f t="shared" ca="1" si="7"/>
        <v>#REF!</v>
      </c>
      <c r="S75" t="e">
        <f t="shared" ca="1" si="8"/>
        <v>#REF!</v>
      </c>
      <c r="T75" t="e">
        <f t="shared" ca="1" si="9"/>
        <v>#REF!</v>
      </c>
      <c r="U75" t="e" cm="1">
        <f t="array" aca="1" ref="U75" ca="1">IF(A75="","",IF(E75="","",IF(B75="safety",INDIRECT("template!"&amp;"P"&amp;A75),Q75+R75)))</f>
        <v>#REF!</v>
      </c>
      <c r="V75" t="e" cm="1">
        <f t="array" aca="1" ref="V75" ca="1">IF(A75="","",IF(E75="","",IF(B75="safety",INDIRECT("template!"&amp;"P"&amp;A75),S75+T75)))</f>
        <v>#REF!</v>
      </c>
      <c r="W75" t="e">
        <f ca="1">IF(A75="","",IF(E75="","",#REF!))</f>
        <v>#REF!</v>
      </c>
      <c r="X75" t="e">
        <f ca="1">IF(A75="","",IF(E75="","",#REF!))</f>
        <v>#REF!</v>
      </c>
      <c r="Y75" s="39" t="e">
        <f ca="1">IF(A75="","",IF(E75="","",#REF!))</f>
        <v>#REF!</v>
      </c>
      <c r="Z75" t="e">
        <f ca="1">IF(A75="","",IF(E75="","",#REF!))</f>
        <v>#REF!</v>
      </c>
      <c r="AA75" t="e">
        <f ca="1">IF(A75="","",IF(E75="","",#REF!))</f>
        <v>#REF!</v>
      </c>
      <c r="AB75" t="e">
        <f ca="1">IF(A75="","",IF(E75="","",#REF!))</f>
        <v>#REF!</v>
      </c>
      <c r="AC75" t="e">
        <f t="shared" ca="1" si="10"/>
        <v>#REF!</v>
      </c>
    </row>
    <row r="76" spans="1:29" x14ac:dyDescent="0.35">
      <c r="A76" t="e" cm="1">
        <f t="array" aca="1" ref="A76" ca="1">IF(A75="","",IF(OR(AND(A75+1&gt;=$AF$1,A75+1&lt;=$AF$2),AND(A75+1&gt;=$AF$6,A75+1&lt;=$AF$7),AND(A75+1&gt;=$AF$3,A75+1&lt;=$AF$4),AND(A75+1&gt;=$AF$8,A75+1&lt;=$AF$9),A75+1=$AF$5),IF(NOT(ISBLANK(INDIRECT("template!"&amp;"P"&amp;A75+1))),A75+1,IF(NOT(ISBLANK(INDIRECT("template!"&amp;"P"&amp;A75+2))),A75+2,A75+3)),IF(A75=$AF$2,$AF$3,IF(A75=$AF$4,$AF$5,IF(A75=$AF$5,$AF$6,IF(A75=$AF$7,$AF$8,""))))))</f>
        <v>#REF!</v>
      </c>
      <c r="B76" t="e">
        <f t="shared" ca="1" si="0"/>
        <v>#REF!</v>
      </c>
      <c r="C76" t="e" cm="1">
        <f t="array" aca="1" ref="C76" ca="1">IF(A76="","",IF(B76="safety","safety costs",INDIRECT("template!"&amp;"B"&amp;A76)))</f>
        <v>#REF!</v>
      </c>
      <c r="D76" t="e" cm="1">
        <f t="array" aca="1" ref="D76" ca="1">IF(OR(A76="",B76="safety"),"",INDIRECT("template!"&amp;"C"&amp;A76))</f>
        <v>#REF!</v>
      </c>
      <c r="E76" t="e" cm="1">
        <f t="array" aca="1" ref="E76" ca="1">IF(A76="","",IF(OR(A76=A75+1,A76=A75+2),E75,INDIRECT("template!"&amp;"D"&amp;A76-2)))</f>
        <v>#REF!</v>
      </c>
      <c r="F76" t="e" cm="1">
        <f t="array" aca="1" ref="F76" ca="1">IF(OR(A76="",B76="safety"),"",IF(ISBLANK(IF(A76=A75+1,F75,INDIRECT("template!"&amp;"D"&amp;A76-1))),"",IF(A76=A75+1,F75,INDIRECT("template!"&amp;"D"&amp;A76-1))))</f>
        <v>#REF!</v>
      </c>
      <c r="G76" t="e" cm="1">
        <f t="array" aca="1" ref="G76" ca="1">IF(OR(A76="",B76="safety"),"",IF(ISBLANK(INDIRECT("template!"&amp;"D"&amp;A76)),"",INDIRECT("template!"&amp;"D"&amp;A76)))</f>
        <v>#REF!</v>
      </c>
      <c r="H76" t="e" cm="1">
        <f t="array" aca="1" ref="H76" ca="1">IF(OR(A76="",B76="safety"),"",IF(ISBLANK(INDIRECT("template!"&amp;"E"&amp;A76)),"",INDIRECT("template!"&amp;"E"&amp;A76)))</f>
        <v>#REF!</v>
      </c>
      <c r="I76" t="e" cm="1">
        <f t="array" aca="1" ref="I76" ca="1">IF(OR(A76="",B76="safety"),"",IF(ISBLANK(INDIRECT("template!"&amp;"F"&amp;A76)),"",INDIRECT("template!"&amp;"F"&amp;A76)))</f>
        <v>#REF!</v>
      </c>
      <c r="J76" t="e" cm="1">
        <f t="array" aca="1" ref="J76" ca="1">IF(OR(A76="",B76="safety"),"",IF(ISBLANK(INDIRECT("template!"&amp;"G"&amp;A76)),"",INDIRECT("template!"&amp;"G"&amp;A76)))</f>
        <v>#REF!</v>
      </c>
      <c r="K76" t="e" cm="1">
        <f t="array" aca="1" ref="K76" ca="1">IF(OR(A76="",B76="safety"),"",IF(ISBLANK(INDIRECT("template!"&amp;"H"&amp;A76)),"",INDIRECT("template!"&amp;"H"&amp;A76)))</f>
        <v>#REF!</v>
      </c>
      <c r="L76" t="e" cm="1">
        <f t="array" aca="1" ref="L76" ca="1">IF(OR(A76="",B76="safety"),"",INDIRECT("template!"&amp;"I"&amp;A76))</f>
        <v>#REF!</v>
      </c>
      <c r="M76" t="e" cm="1">
        <f t="array" aca="1" ref="M76" ca="1">IF(OR(A76="",B76="safety"),"",INDIRECT("template!"&amp;"J"&amp;A76))</f>
        <v>#REF!</v>
      </c>
      <c r="N76" t="e" cm="1">
        <f t="array" aca="1" ref="N76" ca="1">IF(OR(A76="",B76="safety"),"",IF(ISBLANK(INDIRECT("template!"&amp;"K"&amp;A76)),"",INDIRECT("template!"&amp;"K"&amp;A76)))</f>
        <v>#REF!</v>
      </c>
      <c r="O76" t="e" cm="1">
        <f t="array" aca="1" ref="O76" ca="1">IF(OR(A76="",B76="safety"),"",INDIRECT("template!"&amp;"L"&amp;A76))</f>
        <v>#REF!</v>
      </c>
      <c r="P76" t="e" cm="1">
        <f t="array" aca="1" ref="P76" ca="1">IF(OR(A76="",B76="safety"),"",INDIRECT("template!"&amp;"M"&amp;A76))</f>
        <v>#REF!</v>
      </c>
      <c r="Q76" t="e">
        <f t="shared" ca="1" si="6"/>
        <v>#REF!</v>
      </c>
      <c r="R76" t="e">
        <f t="shared" ca="1" si="7"/>
        <v>#REF!</v>
      </c>
      <c r="S76" t="e">
        <f t="shared" ca="1" si="8"/>
        <v>#REF!</v>
      </c>
      <c r="T76" t="e">
        <f t="shared" ca="1" si="9"/>
        <v>#REF!</v>
      </c>
      <c r="U76" t="e" cm="1">
        <f t="array" aca="1" ref="U76" ca="1">IF(A76="","",IF(E76="","",IF(B76="safety",INDIRECT("template!"&amp;"P"&amp;A76),Q76+R76)))</f>
        <v>#REF!</v>
      </c>
      <c r="V76" t="e" cm="1">
        <f t="array" aca="1" ref="V76" ca="1">IF(A76="","",IF(E76="","",IF(B76="safety",INDIRECT("template!"&amp;"P"&amp;A76),S76+T76)))</f>
        <v>#REF!</v>
      </c>
      <c r="W76" t="e">
        <f ca="1">IF(A76="","",IF(E76="","",#REF!))</f>
        <v>#REF!</v>
      </c>
      <c r="X76" t="e">
        <f ca="1">IF(A76="","",IF(E76="","",#REF!))</f>
        <v>#REF!</v>
      </c>
      <c r="Y76" s="39" t="e">
        <f ca="1">IF(A76="","",IF(E76="","",#REF!))</f>
        <v>#REF!</v>
      </c>
      <c r="Z76" t="e">
        <f ca="1">IF(A76="","",IF(E76="","",#REF!))</f>
        <v>#REF!</v>
      </c>
      <c r="AA76" t="e">
        <f ca="1">IF(A76="","",IF(E76="","",#REF!))</f>
        <v>#REF!</v>
      </c>
      <c r="AB76" t="e">
        <f ca="1">IF(A76="","",IF(E76="","",#REF!))</f>
        <v>#REF!</v>
      </c>
      <c r="AC76" t="e">
        <f t="shared" ca="1" si="10"/>
        <v>#REF!</v>
      </c>
    </row>
    <row r="77" spans="1:29" x14ac:dyDescent="0.35">
      <c r="A77" t="e" cm="1">
        <f t="array" aca="1" ref="A77" ca="1">IF(A76="","",IF(OR(AND(A76+1&gt;=$AF$1,A76+1&lt;=$AF$2),AND(A76+1&gt;=$AF$6,A76+1&lt;=$AF$7),AND(A76+1&gt;=$AF$3,A76+1&lt;=$AF$4),AND(A76+1&gt;=$AF$8,A76+1&lt;=$AF$9),A76+1=$AF$5),IF(NOT(ISBLANK(INDIRECT("template!"&amp;"P"&amp;A76+1))),A76+1,IF(NOT(ISBLANK(INDIRECT("template!"&amp;"P"&amp;A76+2))),A76+2,A76+3)),IF(A76=$AF$2,$AF$3,IF(A76=$AF$4,$AF$5,IF(A76=$AF$5,$AF$6,IF(A76=$AF$7,$AF$8,""))))))</f>
        <v>#REF!</v>
      </c>
      <c r="B77" t="e">
        <f t="shared" ca="1" si="0"/>
        <v>#REF!</v>
      </c>
      <c r="C77" t="e" cm="1">
        <f t="array" aca="1" ref="C77" ca="1">IF(A77="","",IF(B77="safety","safety costs",INDIRECT("template!"&amp;"B"&amp;A77)))</f>
        <v>#REF!</v>
      </c>
      <c r="D77" t="e" cm="1">
        <f t="array" aca="1" ref="D77" ca="1">IF(OR(A77="",B77="safety"),"",INDIRECT("template!"&amp;"C"&amp;A77))</f>
        <v>#REF!</v>
      </c>
      <c r="E77" t="e" cm="1">
        <f t="array" aca="1" ref="E77" ca="1">IF(A77="","",IF(OR(A77=A76+1,A77=A76+2),E76,INDIRECT("template!"&amp;"D"&amp;A77-2)))</f>
        <v>#REF!</v>
      </c>
      <c r="F77" t="e" cm="1">
        <f t="array" aca="1" ref="F77" ca="1">IF(OR(A77="",B77="safety"),"",IF(ISBLANK(IF(A77=A76+1,F76,INDIRECT("template!"&amp;"D"&amp;A77-1))),"",IF(A77=A76+1,F76,INDIRECT("template!"&amp;"D"&amp;A77-1))))</f>
        <v>#REF!</v>
      </c>
      <c r="G77" t="e" cm="1">
        <f t="array" aca="1" ref="G77" ca="1">IF(OR(A77="",B77="safety"),"",IF(ISBLANK(INDIRECT("template!"&amp;"D"&amp;A77)),"",INDIRECT("template!"&amp;"D"&amp;A77)))</f>
        <v>#REF!</v>
      </c>
      <c r="H77" t="e" cm="1">
        <f t="array" aca="1" ref="H77" ca="1">IF(OR(A77="",B77="safety"),"",IF(ISBLANK(INDIRECT("template!"&amp;"E"&amp;A77)),"",INDIRECT("template!"&amp;"E"&amp;A77)))</f>
        <v>#REF!</v>
      </c>
      <c r="I77" t="e" cm="1">
        <f t="array" aca="1" ref="I77" ca="1">IF(OR(A77="",B77="safety"),"",IF(ISBLANK(INDIRECT("template!"&amp;"F"&amp;A77)),"",INDIRECT("template!"&amp;"F"&amp;A77)))</f>
        <v>#REF!</v>
      </c>
      <c r="J77" t="e" cm="1">
        <f t="array" aca="1" ref="J77" ca="1">IF(OR(A77="",B77="safety"),"",IF(ISBLANK(INDIRECT("template!"&amp;"G"&amp;A77)),"",INDIRECT("template!"&amp;"G"&amp;A77)))</f>
        <v>#REF!</v>
      </c>
      <c r="K77" t="e" cm="1">
        <f t="array" aca="1" ref="K77" ca="1">IF(OR(A77="",B77="safety"),"",IF(ISBLANK(INDIRECT("template!"&amp;"H"&amp;A77)),"",INDIRECT("template!"&amp;"H"&amp;A77)))</f>
        <v>#REF!</v>
      </c>
      <c r="L77" t="e" cm="1">
        <f t="array" aca="1" ref="L77" ca="1">IF(OR(A77="",B77="safety"),"",INDIRECT("template!"&amp;"I"&amp;A77))</f>
        <v>#REF!</v>
      </c>
      <c r="M77" t="e" cm="1">
        <f t="array" aca="1" ref="M77" ca="1">IF(OR(A77="",B77="safety"),"",INDIRECT("template!"&amp;"J"&amp;A77))</f>
        <v>#REF!</v>
      </c>
      <c r="N77" t="e" cm="1">
        <f t="array" aca="1" ref="N77" ca="1">IF(OR(A77="",B77="safety"),"",IF(ISBLANK(INDIRECT("template!"&amp;"K"&amp;A77)),"",INDIRECT("template!"&amp;"K"&amp;A77)))</f>
        <v>#REF!</v>
      </c>
      <c r="O77" t="e" cm="1">
        <f t="array" aca="1" ref="O77" ca="1">IF(OR(A77="",B77="safety"),"",INDIRECT("template!"&amp;"L"&amp;A77))</f>
        <v>#REF!</v>
      </c>
      <c r="P77" t="e" cm="1">
        <f t="array" aca="1" ref="P77" ca="1">IF(OR(A77="",B77="safety"),"",INDIRECT("template!"&amp;"M"&amp;A77))</f>
        <v>#REF!</v>
      </c>
      <c r="Q77" t="e">
        <f t="shared" ca="1" si="6"/>
        <v>#REF!</v>
      </c>
      <c r="R77" t="e">
        <f t="shared" ca="1" si="7"/>
        <v>#REF!</v>
      </c>
      <c r="S77" t="e">
        <f t="shared" ca="1" si="8"/>
        <v>#REF!</v>
      </c>
      <c r="T77" t="e">
        <f t="shared" ca="1" si="9"/>
        <v>#REF!</v>
      </c>
      <c r="U77" t="e" cm="1">
        <f t="array" aca="1" ref="U77" ca="1">IF(A77="","",IF(E77="","",IF(B77="safety",INDIRECT("template!"&amp;"P"&amp;A77),Q77+R77)))</f>
        <v>#REF!</v>
      </c>
      <c r="V77" t="e" cm="1">
        <f t="array" aca="1" ref="V77" ca="1">IF(A77="","",IF(E77="","",IF(B77="safety",INDIRECT("template!"&amp;"P"&amp;A77),S77+T77)))</f>
        <v>#REF!</v>
      </c>
      <c r="W77" t="e">
        <f ca="1">IF(A77="","",IF(E77="","",#REF!))</f>
        <v>#REF!</v>
      </c>
      <c r="X77" t="e">
        <f ca="1">IF(A77="","",IF(E77="","",#REF!))</f>
        <v>#REF!</v>
      </c>
      <c r="Y77" s="39" t="e">
        <f ca="1">IF(A77="","",IF(E77="","",#REF!))</f>
        <v>#REF!</v>
      </c>
      <c r="Z77" t="e">
        <f ca="1">IF(A77="","",IF(E77="","",#REF!))</f>
        <v>#REF!</v>
      </c>
      <c r="AA77" t="e">
        <f ca="1">IF(A77="","",IF(E77="","",#REF!))</f>
        <v>#REF!</v>
      </c>
      <c r="AB77" t="e">
        <f ca="1">IF(A77="","",IF(E77="","",#REF!))</f>
        <v>#REF!</v>
      </c>
      <c r="AC77" t="e">
        <f t="shared" ca="1" si="10"/>
        <v>#REF!</v>
      </c>
    </row>
    <row r="78" spans="1:29" x14ac:dyDescent="0.35">
      <c r="A78" t="e" cm="1">
        <f t="array" aca="1" ref="A78" ca="1">IF(A77="","",IF(OR(AND(A77+1&gt;=$AF$1,A77+1&lt;=$AF$2),AND(A77+1&gt;=$AF$6,A77+1&lt;=$AF$7),AND(A77+1&gt;=$AF$3,A77+1&lt;=$AF$4),AND(A77+1&gt;=$AF$8,A77+1&lt;=$AF$9),A77+1=$AF$5),IF(NOT(ISBLANK(INDIRECT("template!"&amp;"P"&amp;A77+1))),A77+1,IF(NOT(ISBLANK(INDIRECT("template!"&amp;"P"&amp;A77+2))),A77+2,A77+3)),IF(A77=$AF$2,$AF$3,IF(A77=$AF$4,$AF$5,IF(A77=$AF$5,$AF$6,IF(A77=$AF$7,$AF$8,""))))))</f>
        <v>#REF!</v>
      </c>
      <c r="B78" t="e">
        <f t="shared" ca="1" si="0"/>
        <v>#REF!</v>
      </c>
      <c r="C78" t="e" cm="1">
        <f t="array" aca="1" ref="C78" ca="1">IF(A78="","",IF(B78="safety","safety costs",INDIRECT("template!"&amp;"B"&amp;A78)))</f>
        <v>#REF!</v>
      </c>
      <c r="D78" t="e" cm="1">
        <f t="array" aca="1" ref="D78" ca="1">IF(OR(A78="",B78="safety"),"",INDIRECT("template!"&amp;"C"&amp;A78))</f>
        <v>#REF!</v>
      </c>
      <c r="E78" t="e" cm="1">
        <f t="array" aca="1" ref="E78" ca="1">IF(A78="","",IF(OR(A78=A77+1,A78=A77+2),E77,INDIRECT("template!"&amp;"D"&amp;A78-2)))</f>
        <v>#REF!</v>
      </c>
      <c r="F78" t="e" cm="1">
        <f t="array" aca="1" ref="F78" ca="1">IF(OR(A78="",B78="safety"),"",IF(ISBLANK(IF(A78=A77+1,F77,INDIRECT("template!"&amp;"D"&amp;A78-1))),"",IF(A78=A77+1,F77,INDIRECT("template!"&amp;"D"&amp;A78-1))))</f>
        <v>#REF!</v>
      </c>
      <c r="G78" t="e" cm="1">
        <f t="array" aca="1" ref="G78" ca="1">IF(OR(A78="",B78="safety"),"",IF(ISBLANK(INDIRECT("template!"&amp;"D"&amp;A78)),"",INDIRECT("template!"&amp;"D"&amp;A78)))</f>
        <v>#REF!</v>
      </c>
      <c r="H78" t="e" cm="1">
        <f t="array" aca="1" ref="H78" ca="1">IF(OR(A78="",B78="safety"),"",IF(ISBLANK(INDIRECT("template!"&amp;"E"&amp;A78)),"",INDIRECT("template!"&amp;"E"&amp;A78)))</f>
        <v>#REF!</v>
      </c>
      <c r="I78" t="e" cm="1">
        <f t="array" aca="1" ref="I78" ca="1">IF(OR(A78="",B78="safety"),"",IF(ISBLANK(INDIRECT("template!"&amp;"F"&amp;A78)),"",INDIRECT("template!"&amp;"F"&amp;A78)))</f>
        <v>#REF!</v>
      </c>
      <c r="J78" t="e" cm="1">
        <f t="array" aca="1" ref="J78" ca="1">IF(OR(A78="",B78="safety"),"",IF(ISBLANK(INDIRECT("template!"&amp;"G"&amp;A78)),"",INDIRECT("template!"&amp;"G"&amp;A78)))</f>
        <v>#REF!</v>
      </c>
      <c r="K78" t="e" cm="1">
        <f t="array" aca="1" ref="K78" ca="1">IF(OR(A78="",B78="safety"),"",IF(ISBLANK(INDIRECT("template!"&amp;"H"&amp;A78)),"",INDIRECT("template!"&amp;"H"&amp;A78)))</f>
        <v>#REF!</v>
      </c>
      <c r="L78" t="e" cm="1">
        <f t="array" aca="1" ref="L78" ca="1">IF(OR(A78="",B78="safety"),"",INDIRECT("template!"&amp;"I"&amp;A78))</f>
        <v>#REF!</v>
      </c>
      <c r="M78" t="e" cm="1">
        <f t="array" aca="1" ref="M78" ca="1">IF(OR(A78="",B78="safety"),"",INDIRECT("template!"&amp;"J"&amp;A78))</f>
        <v>#REF!</v>
      </c>
      <c r="N78" t="e" cm="1">
        <f t="array" aca="1" ref="N78" ca="1">IF(OR(A78="",B78="safety"),"",IF(ISBLANK(INDIRECT("template!"&amp;"K"&amp;A78)),"",INDIRECT("template!"&amp;"K"&amp;A78)))</f>
        <v>#REF!</v>
      </c>
      <c r="O78" t="e" cm="1">
        <f t="array" aca="1" ref="O78" ca="1">IF(OR(A78="",B78="safety"),"",INDIRECT("template!"&amp;"L"&amp;A78))</f>
        <v>#REF!</v>
      </c>
      <c r="P78" t="e" cm="1">
        <f t="array" aca="1" ref="P78" ca="1">IF(OR(A78="",B78="safety"),"",INDIRECT("template!"&amp;"M"&amp;A78))</f>
        <v>#REF!</v>
      </c>
      <c r="Q78" t="e">
        <f t="shared" ca="1" si="6"/>
        <v>#REF!</v>
      </c>
      <c r="R78" t="e">
        <f t="shared" ca="1" si="7"/>
        <v>#REF!</v>
      </c>
      <c r="S78" t="e">
        <f t="shared" ca="1" si="8"/>
        <v>#REF!</v>
      </c>
      <c r="T78" t="e">
        <f t="shared" ca="1" si="9"/>
        <v>#REF!</v>
      </c>
      <c r="U78" t="e" cm="1">
        <f t="array" aca="1" ref="U78" ca="1">IF(A78="","",IF(E78="","",IF(B78="safety",INDIRECT("template!"&amp;"P"&amp;A78),Q78+R78)))</f>
        <v>#REF!</v>
      </c>
      <c r="V78" t="e" cm="1">
        <f t="array" aca="1" ref="V78" ca="1">IF(A78="","",IF(E78="","",IF(B78="safety",INDIRECT("template!"&amp;"P"&amp;A78),S78+T78)))</f>
        <v>#REF!</v>
      </c>
      <c r="W78" t="e">
        <f ca="1">IF(A78="","",IF(E78="","",#REF!))</f>
        <v>#REF!</v>
      </c>
      <c r="X78" t="e">
        <f ca="1">IF(A78="","",IF(E78="","",#REF!))</f>
        <v>#REF!</v>
      </c>
      <c r="Y78" s="39" t="e">
        <f ca="1">IF(A78="","",IF(E78="","",#REF!))</f>
        <v>#REF!</v>
      </c>
      <c r="Z78" t="e">
        <f ca="1">IF(A78="","",IF(E78="","",#REF!))</f>
        <v>#REF!</v>
      </c>
      <c r="AA78" t="e">
        <f ca="1">IF(A78="","",IF(E78="","",#REF!))</f>
        <v>#REF!</v>
      </c>
      <c r="AB78" t="e">
        <f ca="1">IF(A78="","",IF(E78="","",#REF!))</f>
        <v>#REF!</v>
      </c>
      <c r="AC78" t="e">
        <f t="shared" ca="1" si="10"/>
        <v>#REF!</v>
      </c>
    </row>
    <row r="79" spans="1:29" x14ac:dyDescent="0.35">
      <c r="A79" t="e" cm="1">
        <f t="array" aca="1" ref="A79" ca="1">IF(A78="","",IF(OR(AND(A78+1&gt;=$AF$1,A78+1&lt;=$AF$2),AND(A78+1&gt;=$AF$6,A78+1&lt;=$AF$7),AND(A78+1&gt;=$AF$3,A78+1&lt;=$AF$4),AND(A78+1&gt;=$AF$8,A78+1&lt;=$AF$9),A78+1=$AF$5),IF(NOT(ISBLANK(INDIRECT("template!"&amp;"P"&amp;A78+1))),A78+1,IF(NOT(ISBLANK(INDIRECT("template!"&amp;"P"&amp;A78+2))),A78+2,A78+3)),IF(A78=$AF$2,$AF$3,IF(A78=$AF$4,$AF$5,IF(A78=$AF$5,$AF$6,IF(A78=$AF$7,$AF$8,""))))))</f>
        <v>#REF!</v>
      </c>
      <c r="B79" t="e">
        <f t="shared" ca="1" si="0"/>
        <v>#REF!</v>
      </c>
      <c r="C79" t="e" cm="1">
        <f t="array" aca="1" ref="C79" ca="1">IF(A79="","",IF(B79="safety","safety costs",INDIRECT("template!"&amp;"B"&amp;A79)))</f>
        <v>#REF!</v>
      </c>
      <c r="D79" t="e" cm="1">
        <f t="array" aca="1" ref="D79" ca="1">IF(OR(A79="",B79="safety"),"",INDIRECT("template!"&amp;"C"&amp;A79))</f>
        <v>#REF!</v>
      </c>
      <c r="E79" t="e" cm="1">
        <f t="array" aca="1" ref="E79" ca="1">IF(A79="","",IF(OR(A79=A78+1,A79=A78+2),E78,INDIRECT("template!"&amp;"D"&amp;A79-2)))</f>
        <v>#REF!</v>
      </c>
      <c r="F79" t="e" cm="1">
        <f t="array" aca="1" ref="F79" ca="1">IF(OR(A79="",B79="safety"),"",IF(ISBLANK(IF(A79=A78+1,F78,INDIRECT("template!"&amp;"D"&amp;A79-1))),"",IF(A79=A78+1,F78,INDIRECT("template!"&amp;"D"&amp;A79-1))))</f>
        <v>#REF!</v>
      </c>
      <c r="G79" t="e" cm="1">
        <f t="array" aca="1" ref="G79" ca="1">IF(OR(A79="",B79="safety"),"",IF(ISBLANK(INDIRECT("template!"&amp;"D"&amp;A79)),"",INDIRECT("template!"&amp;"D"&amp;A79)))</f>
        <v>#REF!</v>
      </c>
      <c r="H79" t="e" cm="1">
        <f t="array" aca="1" ref="H79" ca="1">IF(OR(A79="",B79="safety"),"",IF(ISBLANK(INDIRECT("template!"&amp;"E"&amp;A79)),"",INDIRECT("template!"&amp;"E"&amp;A79)))</f>
        <v>#REF!</v>
      </c>
      <c r="I79" t="e" cm="1">
        <f t="array" aca="1" ref="I79" ca="1">IF(OR(A79="",B79="safety"),"",IF(ISBLANK(INDIRECT("template!"&amp;"F"&amp;A79)),"",INDIRECT("template!"&amp;"F"&amp;A79)))</f>
        <v>#REF!</v>
      </c>
      <c r="J79" t="e" cm="1">
        <f t="array" aca="1" ref="J79" ca="1">IF(OR(A79="",B79="safety"),"",IF(ISBLANK(INDIRECT("template!"&amp;"G"&amp;A79)),"",INDIRECT("template!"&amp;"G"&amp;A79)))</f>
        <v>#REF!</v>
      </c>
      <c r="K79" t="e" cm="1">
        <f t="array" aca="1" ref="K79" ca="1">IF(OR(A79="",B79="safety"),"",IF(ISBLANK(INDIRECT("template!"&amp;"H"&amp;A79)),"",INDIRECT("template!"&amp;"H"&amp;A79)))</f>
        <v>#REF!</v>
      </c>
      <c r="L79" t="e" cm="1">
        <f t="array" aca="1" ref="L79" ca="1">IF(OR(A79="",B79="safety"),"",INDIRECT("template!"&amp;"I"&amp;A79))</f>
        <v>#REF!</v>
      </c>
      <c r="M79" t="e" cm="1">
        <f t="array" aca="1" ref="M79" ca="1">IF(OR(A79="",B79="safety"),"",INDIRECT("template!"&amp;"J"&amp;A79))</f>
        <v>#REF!</v>
      </c>
      <c r="N79" t="e" cm="1">
        <f t="array" aca="1" ref="N79" ca="1">IF(OR(A79="",B79="safety"),"",IF(ISBLANK(INDIRECT("template!"&amp;"K"&amp;A79)),"",INDIRECT("template!"&amp;"K"&amp;A79)))</f>
        <v>#REF!</v>
      </c>
      <c r="O79" t="e" cm="1">
        <f t="array" aca="1" ref="O79" ca="1">IF(OR(A79="",B79="safety"),"",INDIRECT("template!"&amp;"L"&amp;A79))</f>
        <v>#REF!</v>
      </c>
      <c r="P79" t="e" cm="1">
        <f t="array" aca="1" ref="P79" ca="1">IF(OR(A79="",B79="safety"),"",INDIRECT("template!"&amp;"M"&amp;A79))</f>
        <v>#REF!</v>
      </c>
      <c r="Q79" t="e">
        <f t="shared" ca="1" si="6"/>
        <v>#REF!</v>
      </c>
      <c r="R79" t="e">
        <f t="shared" ca="1" si="7"/>
        <v>#REF!</v>
      </c>
      <c r="S79" t="e">
        <f t="shared" ca="1" si="8"/>
        <v>#REF!</v>
      </c>
      <c r="T79" t="e">
        <f t="shared" ca="1" si="9"/>
        <v>#REF!</v>
      </c>
      <c r="U79" t="e" cm="1">
        <f t="array" aca="1" ref="U79" ca="1">IF(A79="","",IF(E79="","",IF(B79="safety",INDIRECT("template!"&amp;"P"&amp;A79),Q79+R79)))</f>
        <v>#REF!</v>
      </c>
      <c r="V79" t="e" cm="1">
        <f t="array" aca="1" ref="V79" ca="1">IF(A79="","",IF(E79="","",IF(B79="safety",INDIRECT("template!"&amp;"P"&amp;A79),S79+T79)))</f>
        <v>#REF!</v>
      </c>
      <c r="W79" t="e">
        <f ca="1">IF(A79="","",IF(E79="","",#REF!))</f>
        <v>#REF!</v>
      </c>
      <c r="X79" t="e">
        <f ca="1">IF(A79="","",IF(E79="","",#REF!))</f>
        <v>#REF!</v>
      </c>
      <c r="Y79" s="39" t="e">
        <f ca="1">IF(A79="","",IF(E79="","",#REF!))</f>
        <v>#REF!</v>
      </c>
      <c r="Z79" t="e">
        <f ca="1">IF(A79="","",IF(E79="","",#REF!))</f>
        <v>#REF!</v>
      </c>
      <c r="AA79" t="e">
        <f ca="1">IF(A79="","",IF(E79="","",#REF!))</f>
        <v>#REF!</v>
      </c>
      <c r="AB79" t="e">
        <f ca="1">IF(A79="","",IF(E79="","",#REF!))</f>
        <v>#REF!</v>
      </c>
      <c r="AC79" t="e">
        <f t="shared" ca="1" si="10"/>
        <v>#REF!</v>
      </c>
    </row>
    <row r="80" spans="1:29" x14ac:dyDescent="0.35">
      <c r="A80" t="e" cm="1">
        <f t="array" aca="1" ref="A80" ca="1">IF(A79="","",IF(OR(AND(A79+1&gt;=$AF$1,A79+1&lt;=$AF$2),AND(A79+1&gt;=$AF$6,A79+1&lt;=$AF$7),AND(A79+1&gt;=$AF$3,A79+1&lt;=$AF$4),AND(A79+1&gt;=$AF$8,A79+1&lt;=$AF$9),A79+1=$AF$5),IF(NOT(ISBLANK(INDIRECT("template!"&amp;"P"&amp;A79+1))),A79+1,IF(NOT(ISBLANK(INDIRECT("template!"&amp;"P"&amp;A79+2))),A79+2,A79+3)),IF(A79=$AF$2,$AF$3,IF(A79=$AF$4,$AF$5,IF(A79=$AF$5,$AF$6,IF(A79=$AF$7,$AF$8,""))))))</f>
        <v>#REF!</v>
      </c>
      <c r="B80" t="e">
        <f t="shared" ca="1" si="0"/>
        <v>#REF!</v>
      </c>
      <c r="C80" t="e" cm="1">
        <f t="array" aca="1" ref="C80" ca="1">IF(A80="","",IF(B80="safety","safety costs",INDIRECT("template!"&amp;"B"&amp;A80)))</f>
        <v>#REF!</v>
      </c>
      <c r="D80" t="e" cm="1">
        <f t="array" aca="1" ref="D80" ca="1">IF(OR(A80="",B80="safety"),"",INDIRECT("template!"&amp;"C"&amp;A80))</f>
        <v>#REF!</v>
      </c>
      <c r="E80" t="e" cm="1">
        <f t="array" aca="1" ref="E80" ca="1">IF(A80="","",IF(OR(A80=A79+1,A80=A79+2),E79,INDIRECT("template!"&amp;"D"&amp;A80-2)))</f>
        <v>#REF!</v>
      </c>
      <c r="F80" t="e" cm="1">
        <f t="array" aca="1" ref="F80" ca="1">IF(OR(A80="",B80="safety"),"",IF(ISBLANK(IF(A80=A79+1,F79,INDIRECT("template!"&amp;"D"&amp;A80-1))),"",IF(A80=A79+1,F79,INDIRECT("template!"&amp;"D"&amp;A80-1))))</f>
        <v>#REF!</v>
      </c>
      <c r="G80" t="e" cm="1">
        <f t="array" aca="1" ref="G80" ca="1">IF(OR(A80="",B80="safety"),"",IF(ISBLANK(INDIRECT("template!"&amp;"D"&amp;A80)),"",INDIRECT("template!"&amp;"D"&amp;A80)))</f>
        <v>#REF!</v>
      </c>
      <c r="H80" t="e" cm="1">
        <f t="array" aca="1" ref="H80" ca="1">IF(OR(A80="",B80="safety"),"",IF(ISBLANK(INDIRECT("template!"&amp;"E"&amp;A80)),"",INDIRECT("template!"&amp;"E"&amp;A80)))</f>
        <v>#REF!</v>
      </c>
      <c r="I80" t="e" cm="1">
        <f t="array" aca="1" ref="I80" ca="1">IF(OR(A80="",B80="safety"),"",IF(ISBLANK(INDIRECT("template!"&amp;"F"&amp;A80)),"",INDIRECT("template!"&amp;"F"&amp;A80)))</f>
        <v>#REF!</v>
      </c>
      <c r="J80" t="e" cm="1">
        <f t="array" aca="1" ref="J80" ca="1">IF(OR(A80="",B80="safety"),"",IF(ISBLANK(INDIRECT("template!"&amp;"G"&amp;A80)),"",INDIRECT("template!"&amp;"G"&amp;A80)))</f>
        <v>#REF!</v>
      </c>
      <c r="K80" t="e" cm="1">
        <f t="array" aca="1" ref="K80" ca="1">IF(OR(A80="",B80="safety"),"",IF(ISBLANK(INDIRECT("template!"&amp;"H"&amp;A80)),"",INDIRECT("template!"&amp;"H"&amp;A80)))</f>
        <v>#REF!</v>
      </c>
      <c r="L80" t="e" cm="1">
        <f t="array" aca="1" ref="L80" ca="1">IF(OR(A80="",B80="safety"),"",INDIRECT("template!"&amp;"I"&amp;A80))</f>
        <v>#REF!</v>
      </c>
      <c r="M80" t="e" cm="1">
        <f t="array" aca="1" ref="M80" ca="1">IF(OR(A80="",B80="safety"),"",INDIRECT("template!"&amp;"J"&amp;A80))</f>
        <v>#REF!</v>
      </c>
      <c r="N80" t="e" cm="1">
        <f t="array" aca="1" ref="N80" ca="1">IF(OR(A80="",B80="safety"),"",IF(ISBLANK(INDIRECT("template!"&amp;"K"&amp;A80)),"",INDIRECT("template!"&amp;"K"&amp;A80)))</f>
        <v>#REF!</v>
      </c>
      <c r="O80" t="e" cm="1">
        <f t="array" aca="1" ref="O80" ca="1">IF(OR(A80="",B80="safety"),"",INDIRECT("template!"&amp;"L"&amp;A80))</f>
        <v>#REF!</v>
      </c>
      <c r="P80" t="e" cm="1">
        <f t="array" aca="1" ref="P80" ca="1">IF(OR(A80="",B80="safety"),"",INDIRECT("template!"&amp;"M"&amp;A80))</f>
        <v>#REF!</v>
      </c>
      <c r="Q80" t="e">
        <f t="shared" ca="1" si="6"/>
        <v>#REF!</v>
      </c>
      <c r="R80" t="e">
        <f t="shared" ca="1" si="7"/>
        <v>#REF!</v>
      </c>
      <c r="S80" t="e">
        <f t="shared" ca="1" si="8"/>
        <v>#REF!</v>
      </c>
      <c r="T80" t="e">
        <f t="shared" ca="1" si="9"/>
        <v>#REF!</v>
      </c>
      <c r="U80" t="e" cm="1">
        <f t="array" aca="1" ref="U80" ca="1">IF(A80="","",IF(E80="","",IF(B80="safety",INDIRECT("template!"&amp;"P"&amp;A80),Q80+R80)))</f>
        <v>#REF!</v>
      </c>
      <c r="V80" t="e" cm="1">
        <f t="array" aca="1" ref="V80" ca="1">IF(A80="","",IF(E80="","",IF(B80="safety",INDIRECT("template!"&amp;"P"&amp;A80),S80+T80)))</f>
        <v>#REF!</v>
      </c>
      <c r="W80" t="e">
        <f ca="1">IF(A80="","",IF(E80="","",#REF!))</f>
        <v>#REF!</v>
      </c>
      <c r="X80" t="e">
        <f ca="1">IF(A80="","",IF(E80="","",#REF!))</f>
        <v>#REF!</v>
      </c>
      <c r="Y80" s="39" t="e">
        <f ca="1">IF(A80="","",IF(E80="","",#REF!))</f>
        <v>#REF!</v>
      </c>
      <c r="Z80" t="e">
        <f ca="1">IF(A80="","",IF(E80="","",#REF!))</f>
        <v>#REF!</v>
      </c>
      <c r="AA80" t="e">
        <f ca="1">IF(A80="","",IF(E80="","",#REF!))</f>
        <v>#REF!</v>
      </c>
      <c r="AB80" t="e">
        <f ca="1">IF(A80="","",IF(E80="","",#REF!))</f>
        <v>#REF!</v>
      </c>
      <c r="AC80" t="e">
        <f t="shared" ca="1" si="10"/>
        <v>#REF!</v>
      </c>
    </row>
    <row r="81" spans="1:29" x14ac:dyDescent="0.35">
      <c r="A81" t="e" cm="1">
        <f t="array" aca="1" ref="A81" ca="1">IF(A80="","",IF(OR(AND(A80+1&gt;=$AF$1,A80+1&lt;=$AF$2),AND(A80+1&gt;=$AF$6,A80+1&lt;=$AF$7),AND(A80+1&gt;=$AF$3,A80+1&lt;=$AF$4),AND(A80+1&gt;=$AF$8,A80+1&lt;=$AF$9),A80+1=$AF$5),IF(NOT(ISBLANK(INDIRECT("template!"&amp;"P"&amp;A80+1))),A80+1,IF(NOT(ISBLANK(INDIRECT("template!"&amp;"P"&amp;A80+2))),A80+2,A80+3)),IF(A80=$AF$2,$AF$3,IF(A80=$AF$4,$AF$5,IF(A80=$AF$5,$AF$6,IF(A80=$AF$7,$AF$8,""))))))</f>
        <v>#REF!</v>
      </c>
      <c r="B81" t="e">
        <f t="shared" ca="1" si="0"/>
        <v>#REF!</v>
      </c>
      <c r="C81" t="e" cm="1">
        <f t="array" aca="1" ref="C81" ca="1">IF(A81="","",IF(B81="safety","safety costs",INDIRECT("template!"&amp;"B"&amp;A81)))</f>
        <v>#REF!</v>
      </c>
      <c r="D81" t="e" cm="1">
        <f t="array" aca="1" ref="D81" ca="1">IF(OR(A81="",B81="safety"),"",INDIRECT("template!"&amp;"C"&amp;A81))</f>
        <v>#REF!</v>
      </c>
      <c r="E81" t="e" cm="1">
        <f t="array" aca="1" ref="E81" ca="1">IF(A81="","",IF(OR(A81=A80+1,A81=A80+2),E80,INDIRECT("template!"&amp;"D"&amp;A81-2)))</f>
        <v>#REF!</v>
      </c>
      <c r="F81" t="e" cm="1">
        <f t="array" aca="1" ref="F81" ca="1">IF(OR(A81="",B81="safety"),"",IF(ISBLANK(IF(A81=A80+1,F80,INDIRECT("template!"&amp;"D"&amp;A81-1))),"",IF(A81=A80+1,F80,INDIRECT("template!"&amp;"D"&amp;A81-1))))</f>
        <v>#REF!</v>
      </c>
      <c r="G81" t="e" cm="1">
        <f t="array" aca="1" ref="G81" ca="1">IF(OR(A81="",B81="safety"),"",IF(ISBLANK(INDIRECT("template!"&amp;"D"&amp;A81)),"",INDIRECT("template!"&amp;"D"&amp;A81)))</f>
        <v>#REF!</v>
      </c>
      <c r="H81" t="e" cm="1">
        <f t="array" aca="1" ref="H81" ca="1">IF(OR(A81="",B81="safety"),"",IF(ISBLANK(INDIRECT("template!"&amp;"E"&amp;A81)),"",INDIRECT("template!"&amp;"E"&amp;A81)))</f>
        <v>#REF!</v>
      </c>
      <c r="I81" t="e" cm="1">
        <f t="array" aca="1" ref="I81" ca="1">IF(OR(A81="",B81="safety"),"",IF(ISBLANK(INDIRECT("template!"&amp;"F"&amp;A81)),"",INDIRECT("template!"&amp;"F"&amp;A81)))</f>
        <v>#REF!</v>
      </c>
      <c r="J81" t="e" cm="1">
        <f t="array" aca="1" ref="J81" ca="1">IF(OR(A81="",B81="safety"),"",IF(ISBLANK(INDIRECT("template!"&amp;"G"&amp;A81)),"",INDIRECT("template!"&amp;"G"&amp;A81)))</f>
        <v>#REF!</v>
      </c>
      <c r="K81" t="e" cm="1">
        <f t="array" aca="1" ref="K81" ca="1">IF(OR(A81="",B81="safety"),"",IF(ISBLANK(INDIRECT("template!"&amp;"H"&amp;A81)),"",INDIRECT("template!"&amp;"H"&amp;A81)))</f>
        <v>#REF!</v>
      </c>
      <c r="L81" t="e" cm="1">
        <f t="array" aca="1" ref="L81" ca="1">IF(OR(A81="",B81="safety"),"",INDIRECT("template!"&amp;"I"&amp;A81))</f>
        <v>#REF!</v>
      </c>
      <c r="M81" t="e" cm="1">
        <f t="array" aca="1" ref="M81" ca="1">IF(OR(A81="",B81="safety"),"",INDIRECT("template!"&amp;"J"&amp;A81))</f>
        <v>#REF!</v>
      </c>
      <c r="N81" t="e" cm="1">
        <f t="array" aca="1" ref="N81" ca="1">IF(OR(A81="",B81="safety"),"",IF(ISBLANK(INDIRECT("template!"&amp;"K"&amp;A81)),"",INDIRECT("template!"&amp;"K"&amp;A81)))</f>
        <v>#REF!</v>
      </c>
      <c r="O81" t="e" cm="1">
        <f t="array" aca="1" ref="O81" ca="1">IF(OR(A81="",B81="safety"),"",INDIRECT("template!"&amp;"L"&amp;A81))</f>
        <v>#REF!</v>
      </c>
      <c r="P81" t="e" cm="1">
        <f t="array" aca="1" ref="P81" ca="1">IF(OR(A81="",B81="safety"),"",INDIRECT("template!"&amp;"M"&amp;A81))</f>
        <v>#REF!</v>
      </c>
      <c r="Q81" t="e">
        <f t="shared" ca="1" si="6"/>
        <v>#REF!</v>
      </c>
      <c r="R81" t="e">
        <f t="shared" ca="1" si="7"/>
        <v>#REF!</v>
      </c>
      <c r="S81" t="e">
        <f t="shared" ca="1" si="8"/>
        <v>#REF!</v>
      </c>
      <c r="T81" t="e">
        <f t="shared" ca="1" si="9"/>
        <v>#REF!</v>
      </c>
      <c r="U81" t="e" cm="1">
        <f t="array" aca="1" ref="U81" ca="1">IF(A81="","",IF(E81="","",IF(B81="safety",INDIRECT("template!"&amp;"P"&amp;A81),Q81+R81)))</f>
        <v>#REF!</v>
      </c>
      <c r="V81" t="e" cm="1">
        <f t="array" aca="1" ref="V81" ca="1">IF(A81="","",IF(E81="","",IF(B81="safety",INDIRECT("template!"&amp;"P"&amp;A81),S81+T81)))</f>
        <v>#REF!</v>
      </c>
      <c r="W81" t="e">
        <f ca="1">IF(A81="","",IF(E81="","",#REF!))</f>
        <v>#REF!</v>
      </c>
      <c r="X81" t="e">
        <f ca="1">IF(A81="","",IF(E81="","",#REF!))</f>
        <v>#REF!</v>
      </c>
      <c r="Y81" s="39" t="e">
        <f ca="1">IF(A81="","",IF(E81="","",#REF!))</f>
        <v>#REF!</v>
      </c>
      <c r="Z81" t="e">
        <f ca="1">IF(A81="","",IF(E81="","",#REF!))</f>
        <v>#REF!</v>
      </c>
      <c r="AA81" t="e">
        <f ca="1">IF(A81="","",IF(E81="","",#REF!))</f>
        <v>#REF!</v>
      </c>
      <c r="AB81" t="e">
        <f ca="1">IF(A81="","",IF(E81="","",#REF!))</f>
        <v>#REF!</v>
      </c>
      <c r="AC81" t="e">
        <f t="shared" ca="1" si="10"/>
        <v>#REF!</v>
      </c>
    </row>
    <row r="82" spans="1:29" x14ac:dyDescent="0.35">
      <c r="A82" t="e" cm="1">
        <f t="array" aca="1" ref="A82" ca="1">IF(A81="","",IF(OR(AND(A81+1&gt;=$AF$1,A81+1&lt;=$AF$2),AND(A81+1&gt;=$AF$6,A81+1&lt;=$AF$7),AND(A81+1&gt;=$AF$3,A81+1&lt;=$AF$4),AND(A81+1&gt;=$AF$8,A81+1&lt;=$AF$9),A81+1=$AF$5),IF(NOT(ISBLANK(INDIRECT("template!"&amp;"P"&amp;A81+1))),A81+1,IF(NOT(ISBLANK(INDIRECT("template!"&amp;"P"&amp;A81+2))),A81+2,A81+3)),IF(A81=$AF$2,$AF$3,IF(A81=$AF$4,$AF$5,IF(A81=$AF$5,$AF$6,IF(A81=$AF$7,$AF$8,""))))))</f>
        <v>#REF!</v>
      </c>
      <c r="B82" t="e">
        <f t="shared" ca="1" si="0"/>
        <v>#REF!</v>
      </c>
      <c r="C82" t="e" cm="1">
        <f t="array" aca="1" ref="C82" ca="1">IF(A82="","",IF(B82="safety","safety costs",INDIRECT("template!"&amp;"B"&amp;A82)))</f>
        <v>#REF!</v>
      </c>
      <c r="D82" t="e" cm="1">
        <f t="array" aca="1" ref="D82" ca="1">IF(OR(A82="",B82="safety"),"",INDIRECT("template!"&amp;"C"&amp;A82))</f>
        <v>#REF!</v>
      </c>
      <c r="E82" t="e" cm="1">
        <f t="array" aca="1" ref="E82" ca="1">IF(A82="","",IF(OR(A82=A81+1,A82=A81+2),E81,INDIRECT("template!"&amp;"D"&amp;A82-2)))</f>
        <v>#REF!</v>
      </c>
      <c r="F82" t="e" cm="1">
        <f t="array" aca="1" ref="F82" ca="1">IF(OR(A82="",B82="safety"),"",IF(ISBLANK(IF(A82=A81+1,F81,INDIRECT("template!"&amp;"D"&amp;A82-1))),"",IF(A82=A81+1,F81,INDIRECT("template!"&amp;"D"&amp;A82-1))))</f>
        <v>#REF!</v>
      </c>
      <c r="G82" t="e" cm="1">
        <f t="array" aca="1" ref="G82" ca="1">IF(OR(A82="",B82="safety"),"",IF(ISBLANK(INDIRECT("template!"&amp;"D"&amp;A82)),"",INDIRECT("template!"&amp;"D"&amp;A82)))</f>
        <v>#REF!</v>
      </c>
      <c r="H82" t="e" cm="1">
        <f t="array" aca="1" ref="H82" ca="1">IF(OR(A82="",B82="safety"),"",IF(ISBLANK(INDIRECT("template!"&amp;"E"&amp;A82)),"",INDIRECT("template!"&amp;"E"&amp;A82)))</f>
        <v>#REF!</v>
      </c>
      <c r="I82" t="e" cm="1">
        <f t="array" aca="1" ref="I82" ca="1">IF(OR(A82="",B82="safety"),"",IF(ISBLANK(INDIRECT("template!"&amp;"F"&amp;A82)),"",INDIRECT("template!"&amp;"F"&amp;A82)))</f>
        <v>#REF!</v>
      </c>
      <c r="J82" t="e" cm="1">
        <f t="array" aca="1" ref="J82" ca="1">IF(OR(A82="",B82="safety"),"",IF(ISBLANK(INDIRECT("template!"&amp;"G"&amp;A82)),"",INDIRECT("template!"&amp;"G"&amp;A82)))</f>
        <v>#REF!</v>
      </c>
      <c r="K82" t="e" cm="1">
        <f t="array" aca="1" ref="K82" ca="1">IF(OR(A82="",B82="safety"),"",IF(ISBLANK(INDIRECT("template!"&amp;"H"&amp;A82)),"",INDIRECT("template!"&amp;"H"&amp;A82)))</f>
        <v>#REF!</v>
      </c>
      <c r="L82" t="e" cm="1">
        <f t="array" aca="1" ref="L82" ca="1">IF(OR(A82="",B82="safety"),"",INDIRECT("template!"&amp;"I"&amp;A82))</f>
        <v>#REF!</v>
      </c>
      <c r="M82" t="e" cm="1">
        <f t="array" aca="1" ref="M82" ca="1">IF(OR(A82="",B82="safety"),"",INDIRECT("template!"&amp;"J"&amp;A82))</f>
        <v>#REF!</v>
      </c>
      <c r="N82" t="e" cm="1">
        <f t="array" aca="1" ref="N82" ca="1">IF(OR(A82="",B82="safety"),"",IF(ISBLANK(INDIRECT("template!"&amp;"K"&amp;A82)),"",INDIRECT("template!"&amp;"K"&amp;A82)))</f>
        <v>#REF!</v>
      </c>
      <c r="O82" t="e" cm="1">
        <f t="array" aca="1" ref="O82" ca="1">IF(OR(A82="",B82="safety"),"",INDIRECT("template!"&amp;"L"&amp;A82))</f>
        <v>#REF!</v>
      </c>
      <c r="P82" t="e" cm="1">
        <f t="array" aca="1" ref="P82" ca="1">IF(OR(A82="",B82="safety"),"",INDIRECT("template!"&amp;"M"&amp;A82))</f>
        <v>#REF!</v>
      </c>
      <c r="Q82" t="e">
        <f t="shared" ca="1" si="6"/>
        <v>#REF!</v>
      </c>
      <c r="R82" t="e">
        <f t="shared" ca="1" si="7"/>
        <v>#REF!</v>
      </c>
      <c r="S82" t="e">
        <f t="shared" ca="1" si="8"/>
        <v>#REF!</v>
      </c>
      <c r="T82" t="e">
        <f t="shared" ca="1" si="9"/>
        <v>#REF!</v>
      </c>
      <c r="U82" t="e" cm="1">
        <f t="array" aca="1" ref="U82" ca="1">IF(A82="","",IF(E82="","",IF(B82="safety",INDIRECT("template!"&amp;"P"&amp;A82),Q82+R82)))</f>
        <v>#REF!</v>
      </c>
      <c r="V82" t="e" cm="1">
        <f t="array" aca="1" ref="V82" ca="1">IF(A82="","",IF(E82="","",IF(B82="safety",INDIRECT("template!"&amp;"P"&amp;A82),S82+T82)))</f>
        <v>#REF!</v>
      </c>
      <c r="W82" t="e">
        <f ca="1">IF(A82="","",IF(E82="","",#REF!))</f>
        <v>#REF!</v>
      </c>
      <c r="X82" t="e">
        <f ca="1">IF(A82="","",IF(E82="","",#REF!))</f>
        <v>#REF!</v>
      </c>
      <c r="Y82" s="39" t="e">
        <f ca="1">IF(A82="","",IF(E82="","",#REF!))</f>
        <v>#REF!</v>
      </c>
      <c r="Z82" t="e">
        <f ca="1">IF(A82="","",IF(E82="","",#REF!))</f>
        <v>#REF!</v>
      </c>
      <c r="AA82" t="e">
        <f ca="1">IF(A82="","",IF(E82="","",#REF!))</f>
        <v>#REF!</v>
      </c>
      <c r="AB82" t="e">
        <f ca="1">IF(A82="","",IF(E82="","",#REF!))</f>
        <v>#REF!</v>
      </c>
      <c r="AC82" t="e">
        <f t="shared" ca="1" si="10"/>
        <v>#REF!</v>
      </c>
    </row>
    <row r="83" spans="1:29" x14ac:dyDescent="0.35">
      <c r="A83" t="e" cm="1">
        <f t="array" aca="1" ref="A83" ca="1">IF(A82="","",IF(OR(AND(A82+1&gt;=$AF$1,A82+1&lt;=$AF$2),AND(A82+1&gt;=$AF$6,A82+1&lt;=$AF$7),AND(A82+1&gt;=$AF$3,A82+1&lt;=$AF$4),AND(A82+1&gt;=$AF$8,A82+1&lt;=$AF$9),A82+1=$AF$5),IF(NOT(ISBLANK(INDIRECT("template!"&amp;"P"&amp;A82+1))),A82+1,IF(NOT(ISBLANK(INDIRECT("template!"&amp;"P"&amp;A82+2))),A82+2,A82+3)),IF(A82=$AF$2,$AF$3,IF(A82=$AF$4,$AF$5,IF(A82=$AF$5,$AF$6,IF(A82=$AF$7,$AF$8,""))))))</f>
        <v>#REF!</v>
      </c>
      <c r="B83" t="e">
        <f t="shared" ca="1" si="0"/>
        <v>#REF!</v>
      </c>
      <c r="C83" t="e" cm="1">
        <f t="array" aca="1" ref="C83" ca="1">IF(A83="","",IF(B83="safety","safety costs",INDIRECT("template!"&amp;"B"&amp;A83)))</f>
        <v>#REF!</v>
      </c>
      <c r="D83" t="e" cm="1">
        <f t="array" aca="1" ref="D83" ca="1">IF(OR(A83="",B83="safety"),"",INDIRECT("template!"&amp;"C"&amp;A83))</f>
        <v>#REF!</v>
      </c>
      <c r="E83" t="e" cm="1">
        <f t="array" aca="1" ref="E83" ca="1">IF(A83="","",IF(OR(A83=A82+1,A83=A82+2),E82,INDIRECT("template!"&amp;"D"&amp;A83-2)))</f>
        <v>#REF!</v>
      </c>
      <c r="F83" t="e" cm="1">
        <f t="array" aca="1" ref="F83" ca="1">IF(OR(A83="",B83="safety"),"",IF(ISBLANK(IF(A83=A82+1,F82,INDIRECT("template!"&amp;"D"&amp;A83-1))),"",IF(A83=A82+1,F82,INDIRECT("template!"&amp;"D"&amp;A83-1))))</f>
        <v>#REF!</v>
      </c>
      <c r="G83" t="e" cm="1">
        <f t="array" aca="1" ref="G83" ca="1">IF(OR(A83="",B83="safety"),"",IF(ISBLANK(INDIRECT("template!"&amp;"D"&amp;A83)),"",INDIRECT("template!"&amp;"D"&amp;A83)))</f>
        <v>#REF!</v>
      </c>
      <c r="H83" t="e" cm="1">
        <f t="array" aca="1" ref="H83" ca="1">IF(OR(A83="",B83="safety"),"",IF(ISBLANK(INDIRECT("template!"&amp;"E"&amp;A83)),"",INDIRECT("template!"&amp;"E"&amp;A83)))</f>
        <v>#REF!</v>
      </c>
      <c r="I83" t="e" cm="1">
        <f t="array" aca="1" ref="I83" ca="1">IF(OR(A83="",B83="safety"),"",IF(ISBLANK(INDIRECT("template!"&amp;"F"&amp;A83)),"",INDIRECT("template!"&amp;"F"&amp;A83)))</f>
        <v>#REF!</v>
      </c>
      <c r="J83" t="e" cm="1">
        <f t="array" aca="1" ref="J83" ca="1">IF(OR(A83="",B83="safety"),"",IF(ISBLANK(INDIRECT("template!"&amp;"G"&amp;A83)),"",INDIRECT("template!"&amp;"G"&amp;A83)))</f>
        <v>#REF!</v>
      </c>
      <c r="K83" t="e" cm="1">
        <f t="array" aca="1" ref="K83" ca="1">IF(OR(A83="",B83="safety"),"",IF(ISBLANK(INDIRECT("template!"&amp;"H"&amp;A83)),"",INDIRECT("template!"&amp;"H"&amp;A83)))</f>
        <v>#REF!</v>
      </c>
      <c r="L83" t="e" cm="1">
        <f t="array" aca="1" ref="L83" ca="1">IF(OR(A83="",B83="safety"),"",INDIRECT("template!"&amp;"I"&amp;A83))</f>
        <v>#REF!</v>
      </c>
      <c r="M83" t="e" cm="1">
        <f t="array" aca="1" ref="M83" ca="1">IF(OR(A83="",B83="safety"),"",INDIRECT("template!"&amp;"J"&amp;A83))</f>
        <v>#REF!</v>
      </c>
      <c r="N83" t="e" cm="1">
        <f t="array" aca="1" ref="N83" ca="1">IF(OR(A83="",B83="safety"),"",IF(ISBLANK(INDIRECT("template!"&amp;"K"&amp;A83)),"",INDIRECT("template!"&amp;"K"&amp;A83)))</f>
        <v>#REF!</v>
      </c>
      <c r="O83" t="e" cm="1">
        <f t="array" aca="1" ref="O83" ca="1">IF(OR(A83="",B83="safety"),"",INDIRECT("template!"&amp;"L"&amp;A83))</f>
        <v>#REF!</v>
      </c>
      <c r="P83" t="e" cm="1">
        <f t="array" aca="1" ref="P83" ca="1">IF(OR(A83="",B83="safety"),"",INDIRECT("template!"&amp;"M"&amp;A83))</f>
        <v>#REF!</v>
      </c>
      <c r="Q83" t="e">
        <f t="shared" ca="1" si="6"/>
        <v>#REF!</v>
      </c>
      <c r="R83" t="e">
        <f t="shared" ca="1" si="7"/>
        <v>#REF!</v>
      </c>
      <c r="S83" t="e">
        <f t="shared" ca="1" si="8"/>
        <v>#REF!</v>
      </c>
      <c r="T83" t="e">
        <f t="shared" ca="1" si="9"/>
        <v>#REF!</v>
      </c>
      <c r="U83" t="e" cm="1">
        <f t="array" aca="1" ref="U83" ca="1">IF(A83="","",IF(E83="","",IF(B83="safety",INDIRECT("template!"&amp;"P"&amp;A83),Q83+R83)))</f>
        <v>#REF!</v>
      </c>
      <c r="V83" t="e" cm="1">
        <f t="array" aca="1" ref="V83" ca="1">IF(A83="","",IF(E83="","",IF(B83="safety",INDIRECT("template!"&amp;"P"&amp;A83),S83+T83)))</f>
        <v>#REF!</v>
      </c>
      <c r="W83" t="e">
        <f ca="1">IF(A83="","",IF(E83="","",#REF!))</f>
        <v>#REF!</v>
      </c>
      <c r="X83" t="e">
        <f ca="1">IF(A83="","",IF(E83="","",#REF!))</f>
        <v>#REF!</v>
      </c>
      <c r="Y83" s="39" t="e">
        <f ca="1">IF(A83="","",IF(E83="","",#REF!))</f>
        <v>#REF!</v>
      </c>
      <c r="Z83" t="e">
        <f ca="1">IF(A83="","",IF(E83="","",#REF!))</f>
        <v>#REF!</v>
      </c>
      <c r="AA83" t="e">
        <f ca="1">IF(A83="","",IF(E83="","",#REF!))</f>
        <v>#REF!</v>
      </c>
      <c r="AB83" t="e">
        <f ca="1">IF(A83="","",IF(E83="","",#REF!))</f>
        <v>#REF!</v>
      </c>
      <c r="AC83" t="e">
        <f t="shared" ca="1" si="10"/>
        <v>#REF!</v>
      </c>
    </row>
    <row r="84" spans="1:29" x14ac:dyDescent="0.35">
      <c r="A84" t="e" cm="1">
        <f t="array" aca="1" ref="A84" ca="1">IF(A83="","",IF(OR(AND(A83+1&gt;=$AF$1,A83+1&lt;=$AF$2),AND(A83+1&gt;=$AF$6,A83+1&lt;=$AF$7),AND(A83+1&gt;=$AF$3,A83+1&lt;=$AF$4),AND(A83+1&gt;=$AF$8,A83+1&lt;=$AF$9),A83+1=$AF$5),IF(NOT(ISBLANK(INDIRECT("template!"&amp;"P"&amp;A83+1))),A83+1,IF(NOT(ISBLANK(INDIRECT("template!"&amp;"P"&amp;A83+2))),A83+2,A83+3)),IF(A83=$AF$2,$AF$3,IF(A83=$AF$4,$AF$5,IF(A83=$AF$5,$AF$6,IF(A83=$AF$7,$AF$8,""))))))</f>
        <v>#REF!</v>
      </c>
      <c r="B84" t="e">
        <f t="shared" ca="1" si="0"/>
        <v>#REF!</v>
      </c>
      <c r="C84" t="e" cm="1">
        <f t="array" aca="1" ref="C84" ca="1">IF(A84="","",IF(B84="safety","safety costs",INDIRECT("template!"&amp;"B"&amp;A84)))</f>
        <v>#REF!</v>
      </c>
      <c r="D84" t="e" cm="1">
        <f t="array" aca="1" ref="D84" ca="1">IF(OR(A84="",B84="safety"),"",INDIRECT("template!"&amp;"C"&amp;A84))</f>
        <v>#REF!</v>
      </c>
      <c r="E84" t="e" cm="1">
        <f t="array" aca="1" ref="E84" ca="1">IF(A84="","",IF(OR(A84=A83+1,A84=A83+2),E83,INDIRECT("template!"&amp;"D"&amp;A84-2)))</f>
        <v>#REF!</v>
      </c>
      <c r="F84" t="e" cm="1">
        <f t="array" aca="1" ref="F84" ca="1">IF(OR(A84="",B84="safety"),"",IF(ISBLANK(IF(A84=A83+1,F83,INDIRECT("template!"&amp;"D"&amp;A84-1))),"",IF(A84=A83+1,F83,INDIRECT("template!"&amp;"D"&amp;A84-1))))</f>
        <v>#REF!</v>
      </c>
      <c r="G84" t="e" cm="1">
        <f t="array" aca="1" ref="G84" ca="1">IF(OR(A84="",B84="safety"),"",IF(ISBLANK(INDIRECT("template!"&amp;"D"&amp;A84)),"",INDIRECT("template!"&amp;"D"&amp;A84)))</f>
        <v>#REF!</v>
      </c>
      <c r="H84" t="e" cm="1">
        <f t="array" aca="1" ref="H84" ca="1">IF(OR(A84="",B84="safety"),"",IF(ISBLANK(INDIRECT("template!"&amp;"E"&amp;A84)),"",INDIRECT("template!"&amp;"E"&amp;A84)))</f>
        <v>#REF!</v>
      </c>
      <c r="I84" t="e" cm="1">
        <f t="array" aca="1" ref="I84" ca="1">IF(OR(A84="",B84="safety"),"",IF(ISBLANK(INDIRECT("template!"&amp;"F"&amp;A84)),"",INDIRECT("template!"&amp;"F"&amp;A84)))</f>
        <v>#REF!</v>
      </c>
      <c r="J84" t="e" cm="1">
        <f t="array" aca="1" ref="J84" ca="1">IF(OR(A84="",B84="safety"),"",IF(ISBLANK(INDIRECT("template!"&amp;"G"&amp;A84)),"",INDIRECT("template!"&amp;"G"&amp;A84)))</f>
        <v>#REF!</v>
      </c>
      <c r="K84" t="e" cm="1">
        <f t="array" aca="1" ref="K84" ca="1">IF(OR(A84="",B84="safety"),"",IF(ISBLANK(INDIRECT("template!"&amp;"H"&amp;A84)),"",INDIRECT("template!"&amp;"H"&amp;A84)))</f>
        <v>#REF!</v>
      </c>
      <c r="L84" t="e" cm="1">
        <f t="array" aca="1" ref="L84" ca="1">IF(OR(A84="",B84="safety"),"",INDIRECT("template!"&amp;"I"&amp;A84))</f>
        <v>#REF!</v>
      </c>
      <c r="M84" t="e" cm="1">
        <f t="array" aca="1" ref="M84" ca="1">IF(OR(A84="",B84="safety"),"",INDIRECT("template!"&amp;"J"&amp;A84))</f>
        <v>#REF!</v>
      </c>
      <c r="N84" t="e" cm="1">
        <f t="array" aca="1" ref="N84" ca="1">IF(OR(A84="",B84="safety"),"",IF(ISBLANK(INDIRECT("template!"&amp;"K"&amp;A84)),"",INDIRECT("template!"&amp;"K"&amp;A84)))</f>
        <v>#REF!</v>
      </c>
      <c r="O84" t="e" cm="1">
        <f t="array" aca="1" ref="O84" ca="1">IF(OR(A84="",B84="safety"),"",INDIRECT("template!"&amp;"L"&amp;A84))</f>
        <v>#REF!</v>
      </c>
      <c r="P84" t="e" cm="1">
        <f t="array" aca="1" ref="P84" ca="1">IF(OR(A84="",B84="safety"),"",INDIRECT("template!"&amp;"M"&amp;A84))</f>
        <v>#REF!</v>
      </c>
      <c r="Q84" t="e">
        <f t="shared" ca="1" si="6"/>
        <v>#REF!</v>
      </c>
      <c r="R84" t="e">
        <f t="shared" ca="1" si="7"/>
        <v>#REF!</v>
      </c>
      <c r="S84" t="e">
        <f t="shared" ca="1" si="8"/>
        <v>#REF!</v>
      </c>
      <c r="T84" t="e">
        <f t="shared" ca="1" si="9"/>
        <v>#REF!</v>
      </c>
      <c r="U84" t="e" cm="1">
        <f t="array" aca="1" ref="U84" ca="1">IF(A84="","",IF(E84="","",IF(B84="safety",INDIRECT("template!"&amp;"P"&amp;A84),Q84+R84)))</f>
        <v>#REF!</v>
      </c>
      <c r="V84" t="e" cm="1">
        <f t="array" aca="1" ref="V84" ca="1">IF(A84="","",IF(E84="","",IF(B84="safety",INDIRECT("template!"&amp;"P"&amp;A84),S84+T84)))</f>
        <v>#REF!</v>
      </c>
      <c r="W84" t="e">
        <f ca="1">IF(A84="","",IF(E84="","",#REF!))</f>
        <v>#REF!</v>
      </c>
      <c r="X84" t="e">
        <f ca="1">IF(A84="","",IF(E84="","",#REF!))</f>
        <v>#REF!</v>
      </c>
      <c r="Y84" s="39" t="e">
        <f ca="1">IF(A84="","",IF(E84="","",#REF!))</f>
        <v>#REF!</v>
      </c>
      <c r="Z84" t="e">
        <f ca="1">IF(A84="","",IF(E84="","",#REF!))</f>
        <v>#REF!</v>
      </c>
      <c r="AA84" t="e">
        <f ca="1">IF(A84="","",IF(E84="","",#REF!))</f>
        <v>#REF!</v>
      </c>
      <c r="AB84" t="e">
        <f ca="1">IF(A84="","",IF(E84="","",#REF!))</f>
        <v>#REF!</v>
      </c>
      <c r="AC84" t="e">
        <f t="shared" ca="1" si="10"/>
        <v>#REF!</v>
      </c>
    </row>
    <row r="85" spans="1:29" x14ac:dyDescent="0.35">
      <c r="A85" t="e" cm="1">
        <f t="array" aca="1" ref="A85" ca="1">IF(A84="","",IF(OR(AND(A84+1&gt;=$AF$1,A84+1&lt;=$AF$2),AND(A84+1&gt;=$AF$6,A84+1&lt;=$AF$7),AND(A84+1&gt;=$AF$3,A84+1&lt;=$AF$4),AND(A84+1&gt;=$AF$8,A84+1&lt;=$AF$9),A84+1=$AF$5),IF(NOT(ISBLANK(INDIRECT("template!"&amp;"P"&amp;A84+1))),A84+1,IF(NOT(ISBLANK(INDIRECT("template!"&amp;"P"&amp;A84+2))),A84+2,A84+3)),IF(A84=$AF$2,$AF$3,IF(A84=$AF$4,$AF$5,IF(A84=$AF$5,$AF$6,IF(A84=$AF$7,$AF$8,""))))))</f>
        <v>#REF!</v>
      </c>
      <c r="B85" t="e">
        <f t="shared" ca="1" si="0"/>
        <v>#REF!</v>
      </c>
      <c r="C85" t="e" cm="1">
        <f t="array" aca="1" ref="C85" ca="1">IF(A85="","",IF(B85="safety","safety costs",INDIRECT("template!"&amp;"B"&amp;A85)))</f>
        <v>#REF!</v>
      </c>
      <c r="D85" t="e" cm="1">
        <f t="array" aca="1" ref="D85" ca="1">IF(OR(A85="",B85="safety"),"",INDIRECT("template!"&amp;"C"&amp;A85))</f>
        <v>#REF!</v>
      </c>
      <c r="E85" t="e" cm="1">
        <f t="array" aca="1" ref="E85" ca="1">IF(A85="","",IF(OR(A85=A84+1,A85=A84+2),E84,INDIRECT("template!"&amp;"D"&amp;A85-2)))</f>
        <v>#REF!</v>
      </c>
      <c r="F85" t="e" cm="1">
        <f t="array" aca="1" ref="F85" ca="1">IF(OR(A85="",B85="safety"),"",IF(ISBLANK(IF(A85=A84+1,F84,INDIRECT("template!"&amp;"D"&amp;A85-1))),"",IF(A85=A84+1,F84,INDIRECT("template!"&amp;"D"&amp;A85-1))))</f>
        <v>#REF!</v>
      </c>
      <c r="G85" t="e" cm="1">
        <f t="array" aca="1" ref="G85" ca="1">IF(OR(A85="",B85="safety"),"",IF(ISBLANK(INDIRECT("template!"&amp;"D"&amp;A85)),"",INDIRECT("template!"&amp;"D"&amp;A85)))</f>
        <v>#REF!</v>
      </c>
      <c r="H85" t="e" cm="1">
        <f t="array" aca="1" ref="H85" ca="1">IF(OR(A85="",B85="safety"),"",IF(ISBLANK(INDIRECT("template!"&amp;"E"&amp;A85)),"",INDIRECT("template!"&amp;"E"&amp;A85)))</f>
        <v>#REF!</v>
      </c>
      <c r="I85" t="e" cm="1">
        <f t="array" aca="1" ref="I85" ca="1">IF(OR(A85="",B85="safety"),"",IF(ISBLANK(INDIRECT("template!"&amp;"F"&amp;A85)),"",INDIRECT("template!"&amp;"F"&amp;A85)))</f>
        <v>#REF!</v>
      </c>
      <c r="J85" t="e" cm="1">
        <f t="array" aca="1" ref="J85" ca="1">IF(OR(A85="",B85="safety"),"",IF(ISBLANK(INDIRECT("template!"&amp;"G"&amp;A85)),"",INDIRECT("template!"&amp;"G"&amp;A85)))</f>
        <v>#REF!</v>
      </c>
      <c r="K85" t="e" cm="1">
        <f t="array" aca="1" ref="K85" ca="1">IF(OR(A85="",B85="safety"),"",IF(ISBLANK(INDIRECT("template!"&amp;"H"&amp;A85)),"",INDIRECT("template!"&amp;"H"&amp;A85)))</f>
        <v>#REF!</v>
      </c>
      <c r="L85" t="e" cm="1">
        <f t="array" aca="1" ref="L85" ca="1">IF(OR(A85="",B85="safety"),"",INDIRECT("template!"&amp;"I"&amp;A85))</f>
        <v>#REF!</v>
      </c>
      <c r="M85" t="e" cm="1">
        <f t="array" aca="1" ref="M85" ca="1">IF(OR(A85="",B85="safety"),"",INDIRECT("template!"&amp;"J"&amp;A85))</f>
        <v>#REF!</v>
      </c>
      <c r="N85" t="e" cm="1">
        <f t="array" aca="1" ref="N85" ca="1">IF(OR(A85="",B85="safety"),"",IF(ISBLANK(INDIRECT("template!"&amp;"K"&amp;A85)),"",INDIRECT("template!"&amp;"K"&amp;A85)))</f>
        <v>#REF!</v>
      </c>
      <c r="O85" t="e" cm="1">
        <f t="array" aca="1" ref="O85" ca="1">IF(OR(A85="",B85="safety"),"",INDIRECT("template!"&amp;"L"&amp;A85))</f>
        <v>#REF!</v>
      </c>
      <c r="P85" t="e" cm="1">
        <f t="array" aca="1" ref="P85" ca="1">IF(OR(A85="",B85="safety"),"",INDIRECT("template!"&amp;"M"&amp;A85))</f>
        <v>#REF!</v>
      </c>
      <c r="Q85" t="e">
        <f t="shared" ca="1" si="6"/>
        <v>#REF!</v>
      </c>
      <c r="R85" t="e">
        <f t="shared" ca="1" si="7"/>
        <v>#REF!</v>
      </c>
      <c r="S85" t="e">
        <f t="shared" ca="1" si="8"/>
        <v>#REF!</v>
      </c>
      <c r="T85" t="e">
        <f t="shared" ca="1" si="9"/>
        <v>#REF!</v>
      </c>
      <c r="U85" t="e" cm="1">
        <f t="array" aca="1" ref="U85" ca="1">IF(A85="","",IF(E85="","",IF(B85="safety",INDIRECT("template!"&amp;"P"&amp;A85),Q85+R85)))</f>
        <v>#REF!</v>
      </c>
      <c r="V85" t="e" cm="1">
        <f t="array" aca="1" ref="V85" ca="1">IF(A85="","",IF(E85="","",IF(B85="safety",INDIRECT("template!"&amp;"P"&amp;A85),S85+T85)))</f>
        <v>#REF!</v>
      </c>
      <c r="W85" t="e">
        <f ca="1">IF(A85="","",IF(E85="","",#REF!))</f>
        <v>#REF!</v>
      </c>
      <c r="X85" t="e">
        <f ca="1">IF(A85="","",IF(E85="","",#REF!))</f>
        <v>#REF!</v>
      </c>
      <c r="Y85" s="39" t="e">
        <f ca="1">IF(A85="","",IF(E85="","",#REF!))</f>
        <v>#REF!</v>
      </c>
      <c r="Z85" t="e">
        <f ca="1">IF(A85="","",IF(E85="","",#REF!))</f>
        <v>#REF!</v>
      </c>
      <c r="AA85" t="e">
        <f ca="1">IF(A85="","",IF(E85="","",#REF!))</f>
        <v>#REF!</v>
      </c>
      <c r="AB85" t="e">
        <f ca="1">IF(A85="","",IF(E85="","",#REF!))</f>
        <v>#REF!</v>
      </c>
      <c r="AC85" t="e">
        <f t="shared" ca="1" si="10"/>
        <v>#REF!</v>
      </c>
    </row>
    <row r="86" spans="1:29" x14ac:dyDescent="0.35">
      <c r="A86" t="e" cm="1">
        <f t="array" aca="1" ref="A86" ca="1">IF(A85="","",IF(OR(AND(A85+1&gt;=$AF$1,A85+1&lt;=$AF$2),AND(A85+1&gt;=$AF$6,A85+1&lt;=$AF$7),AND(A85+1&gt;=$AF$3,A85+1&lt;=$AF$4),AND(A85+1&gt;=$AF$8,A85+1&lt;=$AF$9),A85+1=$AF$5),IF(NOT(ISBLANK(INDIRECT("template!"&amp;"P"&amp;A85+1))),A85+1,IF(NOT(ISBLANK(INDIRECT("template!"&amp;"P"&amp;A85+2))),A85+2,A85+3)),IF(A85=$AF$2,$AF$3,IF(A85=$AF$4,$AF$5,IF(A85=$AF$5,$AF$6,IF(A85=$AF$7,$AF$8,""))))))</f>
        <v>#REF!</v>
      </c>
      <c r="B86" t="e">
        <f t="shared" ca="1" si="0"/>
        <v>#REF!</v>
      </c>
      <c r="C86" t="e" cm="1">
        <f t="array" aca="1" ref="C86" ca="1">IF(A86="","",IF(B86="safety","safety costs",INDIRECT("template!"&amp;"B"&amp;A86)))</f>
        <v>#REF!</v>
      </c>
      <c r="D86" t="e" cm="1">
        <f t="array" aca="1" ref="D86" ca="1">IF(OR(A86="",B86="safety"),"",INDIRECT("template!"&amp;"C"&amp;A86))</f>
        <v>#REF!</v>
      </c>
      <c r="E86" t="e" cm="1">
        <f t="array" aca="1" ref="E86" ca="1">IF(A86="","",IF(OR(A86=A85+1,A86=A85+2),E85,INDIRECT("template!"&amp;"D"&amp;A86-2)))</f>
        <v>#REF!</v>
      </c>
      <c r="F86" t="e" cm="1">
        <f t="array" aca="1" ref="F86" ca="1">IF(OR(A86="",B86="safety"),"",IF(ISBLANK(IF(A86=A85+1,F85,INDIRECT("template!"&amp;"D"&amp;A86-1))),"",IF(A86=A85+1,F85,INDIRECT("template!"&amp;"D"&amp;A86-1))))</f>
        <v>#REF!</v>
      </c>
      <c r="G86" t="e" cm="1">
        <f t="array" aca="1" ref="G86" ca="1">IF(OR(A86="",B86="safety"),"",IF(ISBLANK(INDIRECT("template!"&amp;"D"&amp;A86)),"",INDIRECT("template!"&amp;"D"&amp;A86)))</f>
        <v>#REF!</v>
      </c>
      <c r="H86" t="e" cm="1">
        <f t="array" aca="1" ref="H86" ca="1">IF(OR(A86="",B86="safety"),"",IF(ISBLANK(INDIRECT("template!"&amp;"E"&amp;A86)),"",INDIRECT("template!"&amp;"E"&amp;A86)))</f>
        <v>#REF!</v>
      </c>
      <c r="I86" t="e" cm="1">
        <f t="array" aca="1" ref="I86" ca="1">IF(OR(A86="",B86="safety"),"",IF(ISBLANK(INDIRECT("template!"&amp;"F"&amp;A86)),"",INDIRECT("template!"&amp;"F"&amp;A86)))</f>
        <v>#REF!</v>
      </c>
      <c r="J86" t="e" cm="1">
        <f t="array" aca="1" ref="J86" ca="1">IF(OR(A86="",B86="safety"),"",IF(ISBLANK(INDIRECT("template!"&amp;"G"&amp;A86)),"",INDIRECT("template!"&amp;"G"&amp;A86)))</f>
        <v>#REF!</v>
      </c>
      <c r="K86" t="e" cm="1">
        <f t="array" aca="1" ref="K86" ca="1">IF(OR(A86="",B86="safety"),"",IF(ISBLANK(INDIRECT("template!"&amp;"H"&amp;A86)),"",INDIRECT("template!"&amp;"H"&amp;A86)))</f>
        <v>#REF!</v>
      </c>
      <c r="L86" t="e" cm="1">
        <f t="array" aca="1" ref="L86" ca="1">IF(OR(A86="",B86="safety"),"",INDIRECT("template!"&amp;"I"&amp;A86))</f>
        <v>#REF!</v>
      </c>
      <c r="M86" t="e" cm="1">
        <f t="array" aca="1" ref="M86" ca="1">IF(OR(A86="",B86="safety"),"",INDIRECT("template!"&amp;"J"&amp;A86))</f>
        <v>#REF!</v>
      </c>
      <c r="N86" t="e" cm="1">
        <f t="array" aca="1" ref="N86" ca="1">IF(OR(A86="",B86="safety"),"",IF(ISBLANK(INDIRECT("template!"&amp;"K"&amp;A86)),"",INDIRECT("template!"&amp;"K"&amp;A86)))</f>
        <v>#REF!</v>
      </c>
      <c r="O86" t="e" cm="1">
        <f t="array" aca="1" ref="O86" ca="1">IF(OR(A86="",B86="safety"),"",INDIRECT("template!"&amp;"L"&amp;A86))</f>
        <v>#REF!</v>
      </c>
      <c r="P86" t="e" cm="1">
        <f t="array" aca="1" ref="P86" ca="1">IF(OR(A86="",B86="safety"),"",INDIRECT("template!"&amp;"M"&amp;A86))</f>
        <v>#REF!</v>
      </c>
      <c r="Q86" t="e">
        <f t="shared" ca="1" si="6"/>
        <v>#REF!</v>
      </c>
      <c r="R86" t="e">
        <f t="shared" ca="1" si="7"/>
        <v>#REF!</v>
      </c>
      <c r="S86" t="e">
        <f t="shared" ca="1" si="8"/>
        <v>#REF!</v>
      </c>
      <c r="T86" t="e">
        <f t="shared" ca="1" si="9"/>
        <v>#REF!</v>
      </c>
      <c r="U86" t="e" cm="1">
        <f t="array" aca="1" ref="U86" ca="1">IF(A86="","",IF(E86="","",IF(B86="safety",INDIRECT("template!"&amp;"P"&amp;A86),Q86+R86)))</f>
        <v>#REF!</v>
      </c>
      <c r="V86" t="e" cm="1">
        <f t="array" aca="1" ref="V86" ca="1">IF(A86="","",IF(E86="","",IF(B86="safety",INDIRECT("template!"&amp;"P"&amp;A86),S86+T86)))</f>
        <v>#REF!</v>
      </c>
      <c r="W86" t="e">
        <f ca="1">IF(A86="","",IF(E86="","",#REF!))</f>
        <v>#REF!</v>
      </c>
      <c r="X86" t="e">
        <f ca="1">IF(A86="","",IF(E86="","",#REF!))</f>
        <v>#REF!</v>
      </c>
      <c r="Y86" s="39" t="e">
        <f ca="1">IF(A86="","",IF(E86="","",#REF!))</f>
        <v>#REF!</v>
      </c>
      <c r="Z86" t="e">
        <f ca="1">IF(A86="","",IF(E86="","",#REF!))</f>
        <v>#REF!</v>
      </c>
      <c r="AA86" t="e">
        <f ca="1">IF(A86="","",IF(E86="","",#REF!))</f>
        <v>#REF!</v>
      </c>
      <c r="AB86" t="e">
        <f ca="1">IF(A86="","",IF(E86="","",#REF!))</f>
        <v>#REF!</v>
      </c>
      <c r="AC86" t="e">
        <f t="shared" ca="1" si="10"/>
        <v>#REF!</v>
      </c>
    </row>
    <row r="87" spans="1:29" x14ac:dyDescent="0.35">
      <c r="A87" t="e" cm="1">
        <f t="array" aca="1" ref="A87" ca="1">IF(A86="","",IF(OR(AND(A86+1&gt;=$AF$1,A86+1&lt;=$AF$2),AND(A86+1&gt;=$AF$6,A86+1&lt;=$AF$7),AND(A86+1&gt;=$AF$3,A86+1&lt;=$AF$4),AND(A86+1&gt;=$AF$8,A86+1&lt;=$AF$9),A86+1=$AF$5),IF(NOT(ISBLANK(INDIRECT("template!"&amp;"P"&amp;A86+1))),A86+1,IF(NOT(ISBLANK(INDIRECT("template!"&amp;"P"&amp;A86+2))),A86+2,A86+3)),IF(A86=$AF$2,$AF$3,IF(A86=$AF$4,$AF$5,IF(A86=$AF$5,$AF$6,IF(A86=$AF$7,$AF$8,""))))))</f>
        <v>#REF!</v>
      </c>
      <c r="B87" t="e">
        <f t="shared" ca="1" si="0"/>
        <v>#REF!</v>
      </c>
      <c r="C87" t="e" cm="1">
        <f t="array" aca="1" ref="C87" ca="1">IF(A87="","",IF(B87="safety","safety costs",INDIRECT("template!"&amp;"B"&amp;A87)))</f>
        <v>#REF!</v>
      </c>
      <c r="D87" t="e" cm="1">
        <f t="array" aca="1" ref="D87" ca="1">IF(OR(A87="",B87="safety"),"",INDIRECT("template!"&amp;"C"&amp;A87))</f>
        <v>#REF!</v>
      </c>
      <c r="E87" t="e" cm="1">
        <f t="array" aca="1" ref="E87" ca="1">IF(A87="","",IF(OR(A87=A86+1,A87=A86+2),E86,INDIRECT("template!"&amp;"D"&amp;A87-2)))</f>
        <v>#REF!</v>
      </c>
      <c r="F87" t="e" cm="1">
        <f t="array" aca="1" ref="F87" ca="1">IF(OR(A87="",B87="safety"),"",IF(ISBLANK(IF(A87=A86+1,F86,INDIRECT("template!"&amp;"D"&amp;A87-1))),"",IF(A87=A86+1,F86,INDIRECT("template!"&amp;"D"&amp;A87-1))))</f>
        <v>#REF!</v>
      </c>
      <c r="G87" t="e" cm="1">
        <f t="array" aca="1" ref="G87" ca="1">IF(OR(A87="",B87="safety"),"",IF(ISBLANK(INDIRECT("template!"&amp;"D"&amp;A87)),"",INDIRECT("template!"&amp;"D"&amp;A87)))</f>
        <v>#REF!</v>
      </c>
      <c r="H87" t="e" cm="1">
        <f t="array" aca="1" ref="H87" ca="1">IF(OR(A87="",B87="safety"),"",IF(ISBLANK(INDIRECT("template!"&amp;"E"&amp;A87)),"",INDIRECT("template!"&amp;"E"&amp;A87)))</f>
        <v>#REF!</v>
      </c>
      <c r="I87" t="e" cm="1">
        <f t="array" aca="1" ref="I87" ca="1">IF(OR(A87="",B87="safety"),"",IF(ISBLANK(INDIRECT("template!"&amp;"F"&amp;A87)),"",INDIRECT("template!"&amp;"F"&amp;A87)))</f>
        <v>#REF!</v>
      </c>
      <c r="J87" t="e" cm="1">
        <f t="array" aca="1" ref="J87" ca="1">IF(OR(A87="",B87="safety"),"",IF(ISBLANK(INDIRECT("template!"&amp;"G"&amp;A87)),"",INDIRECT("template!"&amp;"G"&amp;A87)))</f>
        <v>#REF!</v>
      </c>
      <c r="K87" t="e" cm="1">
        <f t="array" aca="1" ref="K87" ca="1">IF(OR(A87="",B87="safety"),"",IF(ISBLANK(INDIRECT("template!"&amp;"H"&amp;A87)),"",INDIRECT("template!"&amp;"H"&amp;A87)))</f>
        <v>#REF!</v>
      </c>
      <c r="L87" t="e" cm="1">
        <f t="array" aca="1" ref="L87" ca="1">IF(OR(A87="",B87="safety"),"",INDIRECT("template!"&amp;"I"&amp;A87))</f>
        <v>#REF!</v>
      </c>
      <c r="M87" t="e" cm="1">
        <f t="array" aca="1" ref="M87" ca="1">IF(OR(A87="",B87="safety"),"",INDIRECT("template!"&amp;"J"&amp;A87))</f>
        <v>#REF!</v>
      </c>
      <c r="N87" t="e" cm="1">
        <f t="array" aca="1" ref="N87" ca="1">IF(OR(A87="",B87="safety"),"",IF(ISBLANK(INDIRECT("template!"&amp;"K"&amp;A87)),"",INDIRECT("template!"&amp;"K"&amp;A87)))</f>
        <v>#REF!</v>
      </c>
      <c r="O87" t="e" cm="1">
        <f t="array" aca="1" ref="O87" ca="1">IF(OR(A87="",B87="safety"),"",INDIRECT("template!"&amp;"L"&amp;A87))</f>
        <v>#REF!</v>
      </c>
      <c r="P87" t="e" cm="1">
        <f t="array" aca="1" ref="P87" ca="1">IF(OR(A87="",B87="safety"),"",INDIRECT("template!"&amp;"M"&amp;A87))</f>
        <v>#REF!</v>
      </c>
      <c r="Q87" t="e">
        <f t="shared" ca="1" si="6"/>
        <v>#REF!</v>
      </c>
      <c r="R87" t="e">
        <f t="shared" ca="1" si="7"/>
        <v>#REF!</v>
      </c>
      <c r="S87" t="e">
        <f t="shared" ca="1" si="8"/>
        <v>#REF!</v>
      </c>
      <c r="T87" t="e">
        <f t="shared" ca="1" si="9"/>
        <v>#REF!</v>
      </c>
      <c r="U87" t="e" cm="1">
        <f t="array" aca="1" ref="U87" ca="1">IF(A87="","",IF(E87="","",IF(B87="safety",INDIRECT("template!"&amp;"P"&amp;A87),Q87+R87)))</f>
        <v>#REF!</v>
      </c>
      <c r="V87" t="e" cm="1">
        <f t="array" aca="1" ref="V87" ca="1">IF(A87="","",IF(E87="","",IF(B87="safety",INDIRECT("template!"&amp;"P"&amp;A87),S87+T87)))</f>
        <v>#REF!</v>
      </c>
      <c r="W87" t="e">
        <f ca="1">IF(A87="","",IF(E87="","",#REF!))</f>
        <v>#REF!</v>
      </c>
      <c r="X87" t="e">
        <f ca="1">IF(A87="","",IF(E87="","",#REF!))</f>
        <v>#REF!</v>
      </c>
      <c r="Y87" s="39" t="e">
        <f ca="1">IF(A87="","",IF(E87="","",#REF!))</f>
        <v>#REF!</v>
      </c>
      <c r="Z87" t="e">
        <f ca="1">IF(A87="","",IF(E87="","",#REF!))</f>
        <v>#REF!</v>
      </c>
      <c r="AA87" t="e">
        <f ca="1">IF(A87="","",IF(E87="","",#REF!))</f>
        <v>#REF!</v>
      </c>
      <c r="AB87" t="e">
        <f ca="1">IF(A87="","",IF(E87="","",#REF!))</f>
        <v>#REF!</v>
      </c>
      <c r="AC87" t="e">
        <f t="shared" ca="1" si="10"/>
        <v>#REF!</v>
      </c>
    </row>
    <row r="88" spans="1:29" x14ac:dyDescent="0.35">
      <c r="A88" t="e" cm="1">
        <f t="array" aca="1" ref="A88" ca="1">IF(A87="","",IF(OR(AND(A87+1&gt;=$AF$1,A87+1&lt;=$AF$2),AND(A87+1&gt;=$AF$6,A87+1&lt;=$AF$7),AND(A87+1&gt;=$AF$3,A87+1&lt;=$AF$4),AND(A87+1&gt;=$AF$8,A87+1&lt;=$AF$9),A87+1=$AF$5),IF(NOT(ISBLANK(INDIRECT("template!"&amp;"P"&amp;A87+1))),A87+1,IF(NOT(ISBLANK(INDIRECT("template!"&amp;"P"&amp;A87+2))),A87+2,A87+3)),IF(A87=$AF$2,$AF$3,IF(A87=$AF$4,$AF$5,IF(A87=$AF$5,$AF$6,IF(A87=$AF$7,$AF$8,""))))))</f>
        <v>#REF!</v>
      </c>
      <c r="B88" t="e">
        <f t="shared" ca="1" si="0"/>
        <v>#REF!</v>
      </c>
      <c r="C88" t="e" cm="1">
        <f t="array" aca="1" ref="C88" ca="1">IF(A88="","",IF(B88="safety","safety costs",INDIRECT("template!"&amp;"B"&amp;A88)))</f>
        <v>#REF!</v>
      </c>
      <c r="D88" t="e" cm="1">
        <f t="array" aca="1" ref="D88" ca="1">IF(OR(A88="",B88="safety"),"",INDIRECT("template!"&amp;"C"&amp;A88))</f>
        <v>#REF!</v>
      </c>
      <c r="E88" t="e" cm="1">
        <f t="array" aca="1" ref="E88" ca="1">IF(A88="","",IF(OR(A88=A87+1,A88=A87+2),E87,INDIRECT("template!"&amp;"D"&amp;A88-2)))</f>
        <v>#REF!</v>
      </c>
      <c r="F88" t="e" cm="1">
        <f t="array" aca="1" ref="F88" ca="1">IF(OR(A88="",B88="safety"),"",IF(ISBLANK(IF(A88=A87+1,F87,INDIRECT("template!"&amp;"D"&amp;A88-1))),"",IF(A88=A87+1,F87,INDIRECT("template!"&amp;"D"&amp;A88-1))))</f>
        <v>#REF!</v>
      </c>
      <c r="G88" t="e" cm="1">
        <f t="array" aca="1" ref="G88" ca="1">IF(OR(A88="",B88="safety"),"",IF(ISBLANK(INDIRECT("template!"&amp;"D"&amp;A88)),"",INDIRECT("template!"&amp;"D"&amp;A88)))</f>
        <v>#REF!</v>
      </c>
      <c r="H88" t="e" cm="1">
        <f t="array" aca="1" ref="H88" ca="1">IF(OR(A88="",B88="safety"),"",IF(ISBLANK(INDIRECT("template!"&amp;"E"&amp;A88)),"",INDIRECT("template!"&amp;"E"&amp;A88)))</f>
        <v>#REF!</v>
      </c>
      <c r="I88" t="e" cm="1">
        <f t="array" aca="1" ref="I88" ca="1">IF(OR(A88="",B88="safety"),"",IF(ISBLANK(INDIRECT("template!"&amp;"F"&amp;A88)),"",INDIRECT("template!"&amp;"F"&amp;A88)))</f>
        <v>#REF!</v>
      </c>
      <c r="J88" t="e" cm="1">
        <f t="array" aca="1" ref="J88" ca="1">IF(OR(A88="",B88="safety"),"",IF(ISBLANK(INDIRECT("template!"&amp;"G"&amp;A88)),"",INDIRECT("template!"&amp;"G"&amp;A88)))</f>
        <v>#REF!</v>
      </c>
      <c r="K88" t="e" cm="1">
        <f t="array" aca="1" ref="K88" ca="1">IF(OR(A88="",B88="safety"),"",IF(ISBLANK(INDIRECT("template!"&amp;"H"&amp;A88)),"",INDIRECT("template!"&amp;"H"&amp;A88)))</f>
        <v>#REF!</v>
      </c>
      <c r="L88" t="e" cm="1">
        <f t="array" aca="1" ref="L88" ca="1">IF(OR(A88="",B88="safety"),"",INDIRECT("template!"&amp;"I"&amp;A88))</f>
        <v>#REF!</v>
      </c>
      <c r="M88" t="e" cm="1">
        <f t="array" aca="1" ref="M88" ca="1">IF(OR(A88="",B88="safety"),"",INDIRECT("template!"&amp;"J"&amp;A88))</f>
        <v>#REF!</v>
      </c>
      <c r="N88" t="e" cm="1">
        <f t="array" aca="1" ref="N88" ca="1">IF(OR(A88="",B88="safety"),"",IF(ISBLANK(INDIRECT("template!"&amp;"K"&amp;A88)),"",INDIRECT("template!"&amp;"K"&amp;A88)))</f>
        <v>#REF!</v>
      </c>
      <c r="O88" t="e" cm="1">
        <f t="array" aca="1" ref="O88" ca="1">IF(OR(A88="",B88="safety"),"",INDIRECT("template!"&amp;"L"&amp;A88))</f>
        <v>#REF!</v>
      </c>
      <c r="P88" t="e" cm="1">
        <f t="array" aca="1" ref="P88" ca="1">IF(OR(A88="",B88="safety"),"",INDIRECT("template!"&amp;"M"&amp;A88))</f>
        <v>#REF!</v>
      </c>
      <c r="Q88" t="e">
        <f t="shared" ca="1" si="6"/>
        <v>#REF!</v>
      </c>
      <c r="R88" t="e">
        <f t="shared" ca="1" si="7"/>
        <v>#REF!</v>
      </c>
      <c r="S88" t="e">
        <f t="shared" ca="1" si="8"/>
        <v>#REF!</v>
      </c>
      <c r="T88" t="e">
        <f t="shared" ca="1" si="9"/>
        <v>#REF!</v>
      </c>
      <c r="U88" t="e" cm="1">
        <f t="array" aca="1" ref="U88" ca="1">IF(A88="","",IF(E88="","",IF(B88="safety",INDIRECT("template!"&amp;"P"&amp;A88),Q88+R88)))</f>
        <v>#REF!</v>
      </c>
      <c r="V88" t="e" cm="1">
        <f t="array" aca="1" ref="V88" ca="1">IF(A88="","",IF(E88="","",IF(B88="safety",INDIRECT("template!"&amp;"P"&amp;A88),S88+T88)))</f>
        <v>#REF!</v>
      </c>
      <c r="W88" t="e">
        <f ca="1">IF(A88="","",IF(E88="","",#REF!))</f>
        <v>#REF!</v>
      </c>
      <c r="X88" t="e">
        <f ca="1">IF(A88="","",IF(E88="","",#REF!))</f>
        <v>#REF!</v>
      </c>
      <c r="Y88" s="39" t="e">
        <f ca="1">IF(A88="","",IF(E88="","",#REF!))</f>
        <v>#REF!</v>
      </c>
      <c r="Z88" t="e">
        <f ca="1">IF(A88="","",IF(E88="","",#REF!))</f>
        <v>#REF!</v>
      </c>
      <c r="AA88" t="e">
        <f ca="1">IF(A88="","",IF(E88="","",#REF!))</f>
        <v>#REF!</v>
      </c>
      <c r="AB88" t="e">
        <f ca="1">IF(A88="","",IF(E88="","",#REF!))</f>
        <v>#REF!</v>
      </c>
      <c r="AC88" t="e">
        <f t="shared" ca="1" si="10"/>
        <v>#REF!</v>
      </c>
    </row>
    <row r="89" spans="1:29" x14ac:dyDescent="0.35">
      <c r="A89" t="e" cm="1">
        <f t="array" aca="1" ref="A89" ca="1">IF(A88="","",IF(OR(AND(A88+1&gt;=$AF$1,A88+1&lt;=$AF$2),AND(A88+1&gt;=$AF$6,A88+1&lt;=$AF$7),AND(A88+1&gt;=$AF$3,A88+1&lt;=$AF$4),AND(A88+1&gt;=$AF$8,A88+1&lt;=$AF$9),A88+1=$AF$5),IF(NOT(ISBLANK(INDIRECT("template!"&amp;"P"&amp;A88+1))),A88+1,IF(NOT(ISBLANK(INDIRECT("template!"&amp;"P"&amp;A88+2))),A88+2,A88+3)),IF(A88=$AF$2,$AF$3,IF(A88=$AF$4,$AF$5,IF(A88=$AF$5,$AF$6,IF(A88=$AF$7,$AF$8,""))))))</f>
        <v>#REF!</v>
      </c>
      <c r="B89" t="e">
        <f t="shared" ca="1" si="0"/>
        <v>#REF!</v>
      </c>
      <c r="C89" t="e" cm="1">
        <f t="array" aca="1" ref="C89" ca="1">IF(A89="","",IF(B89="safety","safety costs",INDIRECT("template!"&amp;"B"&amp;A89)))</f>
        <v>#REF!</v>
      </c>
      <c r="D89" t="e" cm="1">
        <f t="array" aca="1" ref="D89" ca="1">IF(OR(A89="",B89="safety"),"",INDIRECT("template!"&amp;"C"&amp;A89))</f>
        <v>#REF!</v>
      </c>
      <c r="E89" t="e" cm="1">
        <f t="array" aca="1" ref="E89" ca="1">IF(A89="","",IF(OR(A89=A88+1,A89=A88+2),E88,INDIRECT("template!"&amp;"D"&amp;A89-2)))</f>
        <v>#REF!</v>
      </c>
      <c r="F89" t="e" cm="1">
        <f t="array" aca="1" ref="F89" ca="1">IF(OR(A89="",B89="safety"),"",IF(ISBLANK(IF(A89=A88+1,F88,INDIRECT("template!"&amp;"D"&amp;A89-1))),"",IF(A89=A88+1,F88,INDIRECT("template!"&amp;"D"&amp;A89-1))))</f>
        <v>#REF!</v>
      </c>
      <c r="G89" t="e" cm="1">
        <f t="array" aca="1" ref="G89" ca="1">IF(OR(A89="",B89="safety"),"",IF(ISBLANK(INDIRECT("template!"&amp;"D"&amp;A89)),"",INDIRECT("template!"&amp;"D"&amp;A89)))</f>
        <v>#REF!</v>
      </c>
      <c r="H89" t="e" cm="1">
        <f t="array" aca="1" ref="H89" ca="1">IF(OR(A89="",B89="safety"),"",IF(ISBLANK(INDIRECT("template!"&amp;"E"&amp;A89)),"",INDIRECT("template!"&amp;"E"&amp;A89)))</f>
        <v>#REF!</v>
      </c>
      <c r="I89" t="e" cm="1">
        <f t="array" aca="1" ref="I89" ca="1">IF(OR(A89="",B89="safety"),"",IF(ISBLANK(INDIRECT("template!"&amp;"F"&amp;A89)),"",INDIRECT("template!"&amp;"F"&amp;A89)))</f>
        <v>#REF!</v>
      </c>
      <c r="J89" t="e" cm="1">
        <f t="array" aca="1" ref="J89" ca="1">IF(OR(A89="",B89="safety"),"",IF(ISBLANK(INDIRECT("template!"&amp;"G"&amp;A89)),"",INDIRECT("template!"&amp;"G"&amp;A89)))</f>
        <v>#REF!</v>
      </c>
      <c r="K89" t="e" cm="1">
        <f t="array" aca="1" ref="K89" ca="1">IF(OR(A89="",B89="safety"),"",IF(ISBLANK(INDIRECT("template!"&amp;"H"&amp;A89)),"",INDIRECT("template!"&amp;"H"&amp;A89)))</f>
        <v>#REF!</v>
      </c>
      <c r="L89" t="e" cm="1">
        <f t="array" aca="1" ref="L89" ca="1">IF(OR(A89="",B89="safety"),"",INDIRECT("template!"&amp;"I"&amp;A89))</f>
        <v>#REF!</v>
      </c>
      <c r="M89" t="e" cm="1">
        <f t="array" aca="1" ref="M89" ca="1">IF(OR(A89="",B89="safety"),"",INDIRECT("template!"&amp;"J"&amp;A89))</f>
        <v>#REF!</v>
      </c>
      <c r="N89" t="e" cm="1">
        <f t="array" aca="1" ref="N89" ca="1">IF(OR(A89="",B89="safety"),"",IF(ISBLANK(INDIRECT("template!"&amp;"K"&amp;A89)),"",INDIRECT("template!"&amp;"K"&amp;A89)))</f>
        <v>#REF!</v>
      </c>
      <c r="O89" t="e" cm="1">
        <f t="array" aca="1" ref="O89" ca="1">IF(OR(A89="",B89="safety"),"",INDIRECT("template!"&amp;"L"&amp;A89))</f>
        <v>#REF!</v>
      </c>
      <c r="P89" t="e" cm="1">
        <f t="array" aca="1" ref="P89" ca="1">IF(OR(A89="",B89="safety"),"",INDIRECT("template!"&amp;"M"&amp;A89))</f>
        <v>#REF!</v>
      </c>
      <c r="Q89" t="e">
        <f t="shared" ca="1" si="6"/>
        <v>#REF!</v>
      </c>
      <c r="R89" t="e">
        <f t="shared" ca="1" si="7"/>
        <v>#REF!</v>
      </c>
      <c r="S89" t="e">
        <f t="shared" ca="1" si="8"/>
        <v>#REF!</v>
      </c>
      <c r="T89" t="e">
        <f t="shared" ca="1" si="9"/>
        <v>#REF!</v>
      </c>
      <c r="U89" t="e" cm="1">
        <f t="array" aca="1" ref="U89" ca="1">IF(A89="","",IF(E89="","",IF(B89="safety",INDIRECT("template!"&amp;"P"&amp;A89),Q89+R89)))</f>
        <v>#REF!</v>
      </c>
      <c r="V89" t="e" cm="1">
        <f t="array" aca="1" ref="V89" ca="1">IF(A89="","",IF(E89="","",IF(B89="safety",INDIRECT("template!"&amp;"P"&amp;A89),S89+T89)))</f>
        <v>#REF!</v>
      </c>
      <c r="W89" t="e">
        <f ca="1">IF(A89="","",IF(E89="","",#REF!))</f>
        <v>#REF!</v>
      </c>
      <c r="X89" t="e">
        <f ca="1">IF(A89="","",IF(E89="","",#REF!))</f>
        <v>#REF!</v>
      </c>
      <c r="Y89" s="39" t="e">
        <f ca="1">IF(A89="","",IF(E89="","",#REF!))</f>
        <v>#REF!</v>
      </c>
      <c r="Z89" t="e">
        <f ca="1">IF(A89="","",IF(E89="","",#REF!))</f>
        <v>#REF!</v>
      </c>
      <c r="AA89" t="e">
        <f ca="1">IF(A89="","",IF(E89="","",#REF!))</f>
        <v>#REF!</v>
      </c>
      <c r="AB89" t="e">
        <f ca="1">IF(A89="","",IF(E89="","",#REF!))</f>
        <v>#REF!</v>
      </c>
      <c r="AC89" t="e">
        <f t="shared" ca="1" si="10"/>
        <v>#REF!</v>
      </c>
    </row>
    <row r="90" spans="1:29" x14ac:dyDescent="0.35">
      <c r="A90" t="e" cm="1">
        <f t="array" aca="1" ref="A90" ca="1">IF(A89="","",IF(OR(AND(A89+1&gt;=$AF$1,A89+1&lt;=$AF$2),AND(A89+1&gt;=$AF$6,A89+1&lt;=$AF$7),AND(A89+1&gt;=$AF$3,A89+1&lt;=$AF$4),AND(A89+1&gt;=$AF$8,A89+1&lt;=$AF$9),A89+1=$AF$5),IF(NOT(ISBLANK(INDIRECT("template!"&amp;"P"&amp;A89+1))),A89+1,IF(NOT(ISBLANK(INDIRECT("template!"&amp;"P"&amp;A89+2))),A89+2,A89+3)),IF(A89=$AF$2,$AF$3,IF(A89=$AF$4,$AF$5,IF(A89=$AF$5,$AF$6,IF(A89=$AF$7,$AF$8,""))))))</f>
        <v>#REF!</v>
      </c>
      <c r="B90" t="e">
        <f t="shared" ca="1" si="0"/>
        <v>#REF!</v>
      </c>
      <c r="C90" t="e" cm="1">
        <f t="array" aca="1" ref="C90" ca="1">IF(A90="","",IF(B90="safety","safety costs",INDIRECT("template!"&amp;"B"&amp;A90)))</f>
        <v>#REF!</v>
      </c>
      <c r="D90" t="e" cm="1">
        <f t="array" aca="1" ref="D90" ca="1">IF(OR(A90="",B90="safety"),"",INDIRECT("template!"&amp;"C"&amp;A90))</f>
        <v>#REF!</v>
      </c>
      <c r="E90" t="e" cm="1">
        <f t="array" aca="1" ref="E90" ca="1">IF(A90="","",IF(OR(A90=A89+1,A90=A89+2),E89,INDIRECT("template!"&amp;"D"&amp;A90-2)))</f>
        <v>#REF!</v>
      </c>
      <c r="F90" t="e" cm="1">
        <f t="array" aca="1" ref="F90" ca="1">IF(OR(A90="",B90="safety"),"",IF(ISBLANK(IF(A90=A89+1,F89,INDIRECT("template!"&amp;"D"&amp;A90-1))),"",IF(A90=A89+1,F89,INDIRECT("template!"&amp;"D"&amp;A90-1))))</f>
        <v>#REF!</v>
      </c>
      <c r="G90" t="e" cm="1">
        <f t="array" aca="1" ref="G90" ca="1">IF(OR(A90="",B90="safety"),"",IF(ISBLANK(INDIRECT("template!"&amp;"D"&amp;A90)),"",INDIRECT("template!"&amp;"D"&amp;A90)))</f>
        <v>#REF!</v>
      </c>
      <c r="H90" t="e" cm="1">
        <f t="array" aca="1" ref="H90" ca="1">IF(OR(A90="",B90="safety"),"",IF(ISBLANK(INDIRECT("template!"&amp;"E"&amp;A90)),"",INDIRECT("template!"&amp;"E"&amp;A90)))</f>
        <v>#REF!</v>
      </c>
      <c r="I90" t="e" cm="1">
        <f t="array" aca="1" ref="I90" ca="1">IF(OR(A90="",B90="safety"),"",IF(ISBLANK(INDIRECT("template!"&amp;"F"&amp;A90)),"",INDIRECT("template!"&amp;"F"&amp;A90)))</f>
        <v>#REF!</v>
      </c>
      <c r="J90" t="e" cm="1">
        <f t="array" aca="1" ref="J90" ca="1">IF(OR(A90="",B90="safety"),"",IF(ISBLANK(INDIRECT("template!"&amp;"G"&amp;A90)),"",INDIRECT("template!"&amp;"G"&amp;A90)))</f>
        <v>#REF!</v>
      </c>
      <c r="K90" t="e" cm="1">
        <f t="array" aca="1" ref="K90" ca="1">IF(OR(A90="",B90="safety"),"",IF(ISBLANK(INDIRECT("template!"&amp;"H"&amp;A90)),"",INDIRECT("template!"&amp;"H"&amp;A90)))</f>
        <v>#REF!</v>
      </c>
      <c r="L90" t="e" cm="1">
        <f t="array" aca="1" ref="L90" ca="1">IF(OR(A90="",B90="safety"),"",INDIRECT("template!"&amp;"I"&amp;A90))</f>
        <v>#REF!</v>
      </c>
      <c r="M90" t="e" cm="1">
        <f t="array" aca="1" ref="M90" ca="1">IF(OR(A90="",B90="safety"),"",INDIRECT("template!"&amp;"J"&amp;A90))</f>
        <v>#REF!</v>
      </c>
      <c r="N90" t="e" cm="1">
        <f t="array" aca="1" ref="N90" ca="1">IF(OR(A90="",B90="safety"),"",IF(ISBLANK(INDIRECT("template!"&amp;"K"&amp;A90)),"",INDIRECT("template!"&amp;"K"&amp;A90)))</f>
        <v>#REF!</v>
      </c>
      <c r="O90" t="e" cm="1">
        <f t="array" aca="1" ref="O90" ca="1">IF(OR(A90="",B90="safety"),"",INDIRECT("template!"&amp;"L"&amp;A90))</f>
        <v>#REF!</v>
      </c>
      <c r="P90" t="e" cm="1">
        <f t="array" aca="1" ref="P90" ca="1">IF(OR(A90="",B90="safety"),"",INDIRECT("template!"&amp;"M"&amp;A90))</f>
        <v>#REF!</v>
      </c>
      <c r="Q90" t="e">
        <f t="shared" ca="1" si="6"/>
        <v>#REF!</v>
      </c>
      <c r="R90" t="e">
        <f t="shared" ca="1" si="7"/>
        <v>#REF!</v>
      </c>
      <c r="S90" t="e">
        <f t="shared" ca="1" si="8"/>
        <v>#REF!</v>
      </c>
      <c r="T90" t="e">
        <f t="shared" ca="1" si="9"/>
        <v>#REF!</v>
      </c>
      <c r="U90" t="e" cm="1">
        <f t="array" aca="1" ref="U90" ca="1">IF(A90="","",IF(E90="","",IF(B90="safety",INDIRECT("template!"&amp;"P"&amp;A90),Q90+R90)))</f>
        <v>#REF!</v>
      </c>
      <c r="V90" t="e" cm="1">
        <f t="array" aca="1" ref="V90" ca="1">IF(A90="","",IF(E90="","",IF(B90="safety",INDIRECT("template!"&amp;"P"&amp;A90),S90+T90)))</f>
        <v>#REF!</v>
      </c>
      <c r="W90" t="e">
        <f ca="1">IF(A90="","",IF(E90="","",#REF!))</f>
        <v>#REF!</v>
      </c>
      <c r="X90" t="e">
        <f ca="1">IF(A90="","",IF(E90="","",#REF!))</f>
        <v>#REF!</v>
      </c>
      <c r="Y90" s="39" t="e">
        <f ca="1">IF(A90="","",IF(E90="","",#REF!))</f>
        <v>#REF!</v>
      </c>
      <c r="Z90" t="e">
        <f ca="1">IF(A90="","",IF(E90="","",#REF!))</f>
        <v>#REF!</v>
      </c>
      <c r="AA90" t="e">
        <f ca="1">IF(A90="","",IF(E90="","",#REF!))</f>
        <v>#REF!</v>
      </c>
      <c r="AB90" t="e">
        <f ca="1">IF(A90="","",IF(E90="","",#REF!))</f>
        <v>#REF!</v>
      </c>
      <c r="AC90" t="e">
        <f t="shared" ca="1" si="10"/>
        <v>#REF!</v>
      </c>
    </row>
    <row r="91" spans="1:29" x14ac:dyDescent="0.35">
      <c r="A91" t="e" cm="1">
        <f t="array" aca="1" ref="A91" ca="1">IF(A90="","",IF(OR(AND(A90+1&gt;=$AF$1,A90+1&lt;=$AF$2),AND(A90+1&gt;=$AF$6,A90+1&lt;=$AF$7),AND(A90+1&gt;=$AF$3,A90+1&lt;=$AF$4),AND(A90+1&gt;=$AF$8,A90+1&lt;=$AF$9),A90+1=$AF$5),IF(NOT(ISBLANK(INDIRECT("template!"&amp;"P"&amp;A90+1))),A90+1,IF(NOT(ISBLANK(INDIRECT("template!"&amp;"P"&amp;A90+2))),A90+2,A90+3)),IF(A90=$AF$2,$AF$3,IF(A90=$AF$4,$AF$5,IF(A90=$AF$5,$AF$6,IF(A90=$AF$7,$AF$8,""))))))</f>
        <v>#REF!</v>
      </c>
      <c r="B91" t="e">
        <f t="shared" ca="1" si="0"/>
        <v>#REF!</v>
      </c>
      <c r="C91" t="e" cm="1">
        <f t="array" aca="1" ref="C91" ca="1">IF(A91="","",IF(B91="safety","safety costs",INDIRECT("template!"&amp;"B"&amp;A91)))</f>
        <v>#REF!</v>
      </c>
      <c r="D91" t="e" cm="1">
        <f t="array" aca="1" ref="D91" ca="1">IF(OR(A91="",B91="safety"),"",INDIRECT("template!"&amp;"C"&amp;A91))</f>
        <v>#REF!</v>
      </c>
      <c r="E91" t="e" cm="1">
        <f t="array" aca="1" ref="E91" ca="1">IF(A91="","",IF(OR(A91=A90+1,A91=A90+2),E90,INDIRECT("template!"&amp;"D"&amp;A91-2)))</f>
        <v>#REF!</v>
      </c>
      <c r="F91" t="e" cm="1">
        <f t="array" aca="1" ref="F91" ca="1">IF(OR(A91="",B91="safety"),"",IF(ISBLANK(IF(A91=A90+1,F90,INDIRECT("template!"&amp;"D"&amp;A91-1))),"",IF(A91=A90+1,F90,INDIRECT("template!"&amp;"D"&amp;A91-1))))</f>
        <v>#REF!</v>
      </c>
      <c r="G91" t="e" cm="1">
        <f t="array" aca="1" ref="G91" ca="1">IF(OR(A91="",B91="safety"),"",IF(ISBLANK(INDIRECT("template!"&amp;"D"&amp;A91)),"",INDIRECT("template!"&amp;"D"&amp;A91)))</f>
        <v>#REF!</v>
      </c>
      <c r="H91" t="e" cm="1">
        <f t="array" aca="1" ref="H91" ca="1">IF(OR(A91="",B91="safety"),"",IF(ISBLANK(INDIRECT("template!"&amp;"E"&amp;A91)),"",INDIRECT("template!"&amp;"E"&amp;A91)))</f>
        <v>#REF!</v>
      </c>
      <c r="I91" t="e" cm="1">
        <f t="array" aca="1" ref="I91" ca="1">IF(OR(A91="",B91="safety"),"",IF(ISBLANK(INDIRECT("template!"&amp;"F"&amp;A91)),"",INDIRECT("template!"&amp;"F"&amp;A91)))</f>
        <v>#REF!</v>
      </c>
      <c r="J91" t="e" cm="1">
        <f t="array" aca="1" ref="J91" ca="1">IF(OR(A91="",B91="safety"),"",IF(ISBLANK(INDIRECT("template!"&amp;"G"&amp;A91)),"",INDIRECT("template!"&amp;"G"&amp;A91)))</f>
        <v>#REF!</v>
      </c>
      <c r="K91" t="e" cm="1">
        <f t="array" aca="1" ref="K91" ca="1">IF(OR(A91="",B91="safety"),"",IF(ISBLANK(INDIRECT("template!"&amp;"H"&amp;A91)),"",INDIRECT("template!"&amp;"H"&amp;A91)))</f>
        <v>#REF!</v>
      </c>
      <c r="L91" t="e" cm="1">
        <f t="array" aca="1" ref="L91" ca="1">IF(OR(A91="",B91="safety"),"",INDIRECT("template!"&amp;"I"&amp;A91))</f>
        <v>#REF!</v>
      </c>
      <c r="M91" t="e" cm="1">
        <f t="array" aca="1" ref="M91" ca="1">IF(OR(A91="",B91="safety"),"",INDIRECT("template!"&amp;"J"&amp;A91))</f>
        <v>#REF!</v>
      </c>
      <c r="N91" t="e" cm="1">
        <f t="array" aca="1" ref="N91" ca="1">IF(OR(A91="",B91="safety"),"",IF(ISBLANK(INDIRECT("template!"&amp;"K"&amp;A91)),"",INDIRECT("template!"&amp;"K"&amp;A91)))</f>
        <v>#REF!</v>
      </c>
      <c r="O91" t="e" cm="1">
        <f t="array" aca="1" ref="O91" ca="1">IF(OR(A91="",B91="safety"),"",INDIRECT("template!"&amp;"L"&amp;A91))</f>
        <v>#REF!</v>
      </c>
      <c r="P91" t="e" cm="1">
        <f t="array" aca="1" ref="P91" ca="1">IF(OR(A91="",B91="safety"),"",INDIRECT("template!"&amp;"M"&amp;A91))</f>
        <v>#REF!</v>
      </c>
      <c r="Q91" t="e">
        <f t="shared" ca="1" si="6"/>
        <v>#REF!</v>
      </c>
      <c r="R91" t="e">
        <f t="shared" ca="1" si="7"/>
        <v>#REF!</v>
      </c>
      <c r="S91" t="e">
        <f t="shared" ca="1" si="8"/>
        <v>#REF!</v>
      </c>
      <c r="T91" t="e">
        <f t="shared" ca="1" si="9"/>
        <v>#REF!</v>
      </c>
      <c r="U91" t="e" cm="1">
        <f t="array" aca="1" ref="U91" ca="1">IF(A91="","",IF(E91="","",IF(B91="safety",INDIRECT("template!"&amp;"P"&amp;A91),Q91+R91)))</f>
        <v>#REF!</v>
      </c>
      <c r="V91" t="e" cm="1">
        <f t="array" aca="1" ref="V91" ca="1">IF(A91="","",IF(E91="","",IF(B91="safety",INDIRECT("template!"&amp;"P"&amp;A91),S91+T91)))</f>
        <v>#REF!</v>
      </c>
      <c r="W91" t="e">
        <f ca="1">IF(A91="","",IF(E91="","",#REF!))</f>
        <v>#REF!</v>
      </c>
      <c r="X91" t="e">
        <f ca="1">IF(A91="","",IF(E91="","",#REF!))</f>
        <v>#REF!</v>
      </c>
      <c r="Y91" s="39" t="e">
        <f ca="1">IF(A91="","",IF(E91="","",#REF!))</f>
        <v>#REF!</v>
      </c>
      <c r="Z91" t="e">
        <f ca="1">IF(A91="","",IF(E91="","",#REF!))</f>
        <v>#REF!</v>
      </c>
      <c r="AA91" t="e">
        <f ca="1">IF(A91="","",IF(E91="","",#REF!))</f>
        <v>#REF!</v>
      </c>
      <c r="AB91" t="e">
        <f ca="1">IF(A91="","",IF(E91="","",#REF!))</f>
        <v>#REF!</v>
      </c>
      <c r="AC91" t="e">
        <f t="shared" ca="1" si="10"/>
        <v>#REF!</v>
      </c>
    </row>
    <row r="92" spans="1:29" x14ac:dyDescent="0.35">
      <c r="A92" t="e" cm="1">
        <f t="array" aca="1" ref="A92" ca="1">IF(A91="","",IF(OR(AND(A91+1&gt;=$AF$1,A91+1&lt;=$AF$2),AND(A91+1&gt;=$AF$6,A91+1&lt;=$AF$7),AND(A91+1&gt;=$AF$3,A91+1&lt;=$AF$4),AND(A91+1&gt;=$AF$8,A91+1&lt;=$AF$9),A91+1=$AF$5),IF(NOT(ISBLANK(INDIRECT("template!"&amp;"P"&amp;A91+1))),A91+1,IF(NOT(ISBLANK(INDIRECT("template!"&amp;"P"&amp;A91+2))),A91+2,A91+3)),IF(A91=$AF$2,$AF$3,IF(A91=$AF$4,$AF$5,IF(A91=$AF$5,$AF$6,IF(A91=$AF$7,$AF$8,""))))))</f>
        <v>#REF!</v>
      </c>
      <c r="B92" t="e">
        <f t="shared" ca="1" si="0"/>
        <v>#REF!</v>
      </c>
      <c r="C92" t="e" cm="1">
        <f t="array" aca="1" ref="C92" ca="1">IF(A92="","",IF(B92="safety","safety costs",INDIRECT("template!"&amp;"B"&amp;A92)))</f>
        <v>#REF!</v>
      </c>
      <c r="D92" t="e" cm="1">
        <f t="array" aca="1" ref="D92" ca="1">IF(OR(A92="",B92="safety"),"",INDIRECT("template!"&amp;"C"&amp;A92))</f>
        <v>#REF!</v>
      </c>
      <c r="E92" t="e" cm="1">
        <f t="array" aca="1" ref="E92" ca="1">IF(A92="","",IF(OR(A92=A91+1,A92=A91+2),E91,INDIRECT("template!"&amp;"D"&amp;A92-2)))</f>
        <v>#REF!</v>
      </c>
      <c r="F92" t="e" cm="1">
        <f t="array" aca="1" ref="F92" ca="1">IF(OR(A92="",B92="safety"),"",IF(ISBLANK(IF(A92=A91+1,F91,INDIRECT("template!"&amp;"D"&amp;A92-1))),"",IF(A92=A91+1,F91,INDIRECT("template!"&amp;"D"&amp;A92-1))))</f>
        <v>#REF!</v>
      </c>
      <c r="G92" t="e" cm="1">
        <f t="array" aca="1" ref="G92" ca="1">IF(OR(A92="",B92="safety"),"",IF(ISBLANK(INDIRECT("template!"&amp;"D"&amp;A92)),"",INDIRECT("template!"&amp;"D"&amp;A92)))</f>
        <v>#REF!</v>
      </c>
      <c r="H92" t="e" cm="1">
        <f t="array" aca="1" ref="H92" ca="1">IF(OR(A92="",B92="safety"),"",IF(ISBLANK(INDIRECT("template!"&amp;"E"&amp;A92)),"",INDIRECT("template!"&amp;"E"&amp;A92)))</f>
        <v>#REF!</v>
      </c>
      <c r="I92" t="e" cm="1">
        <f t="array" aca="1" ref="I92" ca="1">IF(OR(A92="",B92="safety"),"",IF(ISBLANK(INDIRECT("template!"&amp;"F"&amp;A92)),"",INDIRECT("template!"&amp;"F"&amp;A92)))</f>
        <v>#REF!</v>
      </c>
      <c r="J92" t="e" cm="1">
        <f t="array" aca="1" ref="J92" ca="1">IF(OR(A92="",B92="safety"),"",IF(ISBLANK(INDIRECT("template!"&amp;"G"&amp;A92)),"",INDIRECT("template!"&amp;"G"&amp;A92)))</f>
        <v>#REF!</v>
      </c>
      <c r="K92" t="e" cm="1">
        <f t="array" aca="1" ref="K92" ca="1">IF(OR(A92="",B92="safety"),"",IF(ISBLANK(INDIRECT("template!"&amp;"H"&amp;A92)),"",INDIRECT("template!"&amp;"H"&amp;A92)))</f>
        <v>#REF!</v>
      </c>
      <c r="L92" t="e" cm="1">
        <f t="array" aca="1" ref="L92" ca="1">IF(OR(A92="",B92="safety"),"",INDIRECT("template!"&amp;"I"&amp;A92))</f>
        <v>#REF!</v>
      </c>
      <c r="M92" t="e" cm="1">
        <f t="array" aca="1" ref="M92" ca="1">IF(OR(A92="",B92="safety"),"",INDIRECT("template!"&amp;"J"&amp;A92))</f>
        <v>#REF!</v>
      </c>
      <c r="N92" t="e" cm="1">
        <f t="array" aca="1" ref="N92" ca="1">IF(OR(A92="",B92="safety"),"",IF(ISBLANK(INDIRECT("template!"&amp;"K"&amp;A92)),"",INDIRECT("template!"&amp;"K"&amp;A92)))</f>
        <v>#REF!</v>
      </c>
      <c r="O92" t="e" cm="1">
        <f t="array" aca="1" ref="O92" ca="1">IF(OR(A92="",B92="safety"),"",INDIRECT("template!"&amp;"L"&amp;A92))</f>
        <v>#REF!</v>
      </c>
      <c r="P92" t="e" cm="1">
        <f t="array" aca="1" ref="P92" ca="1">IF(OR(A92="",B92="safety"),"",INDIRECT("template!"&amp;"M"&amp;A92))</f>
        <v>#REF!</v>
      </c>
      <c r="Q92" t="e">
        <f t="shared" ca="1" si="6"/>
        <v>#REF!</v>
      </c>
      <c r="R92" t="e">
        <f t="shared" ca="1" si="7"/>
        <v>#REF!</v>
      </c>
      <c r="S92" t="e">
        <f t="shared" ca="1" si="8"/>
        <v>#REF!</v>
      </c>
      <c r="T92" t="e">
        <f t="shared" ca="1" si="9"/>
        <v>#REF!</v>
      </c>
      <c r="U92" t="e" cm="1">
        <f t="array" aca="1" ref="U92" ca="1">IF(A92="","",IF(E92="","",IF(B92="safety",INDIRECT("template!"&amp;"P"&amp;A92),Q92+R92)))</f>
        <v>#REF!</v>
      </c>
      <c r="V92" t="e" cm="1">
        <f t="array" aca="1" ref="V92" ca="1">IF(A92="","",IF(E92="","",IF(B92="safety",INDIRECT("template!"&amp;"P"&amp;A92),S92+T92)))</f>
        <v>#REF!</v>
      </c>
      <c r="W92" t="e">
        <f ca="1">IF(A92="","",IF(E92="","",#REF!))</f>
        <v>#REF!</v>
      </c>
      <c r="X92" t="e">
        <f ca="1">IF(A92="","",IF(E92="","",#REF!))</f>
        <v>#REF!</v>
      </c>
      <c r="Y92" s="39" t="e">
        <f ca="1">IF(A92="","",IF(E92="","",#REF!))</f>
        <v>#REF!</v>
      </c>
      <c r="Z92" t="e">
        <f ca="1">IF(A92="","",IF(E92="","",#REF!))</f>
        <v>#REF!</v>
      </c>
      <c r="AA92" t="e">
        <f ca="1">IF(A92="","",IF(E92="","",#REF!))</f>
        <v>#REF!</v>
      </c>
      <c r="AB92" t="e">
        <f ca="1">IF(A92="","",IF(E92="","",#REF!))</f>
        <v>#REF!</v>
      </c>
      <c r="AC92" t="e">
        <f t="shared" ca="1" si="10"/>
        <v>#REF!</v>
      </c>
    </row>
    <row r="93" spans="1:29" x14ac:dyDescent="0.35">
      <c r="A93" t="e" cm="1">
        <f t="array" aca="1" ref="A93" ca="1">IF(A92="","",IF(OR(AND(A92+1&gt;=$AF$1,A92+1&lt;=$AF$2),AND(A92+1&gt;=$AF$6,A92+1&lt;=$AF$7),AND(A92+1&gt;=$AF$3,A92+1&lt;=$AF$4),AND(A92+1&gt;=$AF$8,A92+1&lt;=$AF$9),A92+1=$AF$5),IF(NOT(ISBLANK(INDIRECT("template!"&amp;"P"&amp;A92+1))),A92+1,IF(NOT(ISBLANK(INDIRECT("template!"&amp;"P"&amp;A92+2))),A92+2,A92+3)),IF(A92=$AF$2,$AF$3,IF(A92=$AF$4,$AF$5,IF(A92=$AF$5,$AF$6,IF(A92=$AF$7,$AF$8,""))))))</f>
        <v>#REF!</v>
      </c>
      <c r="B93" t="e">
        <f t="shared" ca="1" si="0"/>
        <v>#REF!</v>
      </c>
      <c r="C93" t="e" cm="1">
        <f t="array" aca="1" ref="C93" ca="1">IF(A93="","",IF(B93="safety","safety costs",INDIRECT("template!"&amp;"B"&amp;A93)))</f>
        <v>#REF!</v>
      </c>
      <c r="D93" t="e" cm="1">
        <f t="array" aca="1" ref="D93" ca="1">IF(OR(A93="",B93="safety"),"",INDIRECT("template!"&amp;"C"&amp;A93))</f>
        <v>#REF!</v>
      </c>
      <c r="E93" t="e" cm="1">
        <f t="array" aca="1" ref="E93" ca="1">IF(A93="","",IF(OR(A93=A92+1,A93=A92+2),E92,INDIRECT("template!"&amp;"D"&amp;A93-2)))</f>
        <v>#REF!</v>
      </c>
      <c r="F93" t="e" cm="1">
        <f t="array" aca="1" ref="F93" ca="1">IF(OR(A93="",B93="safety"),"",IF(ISBLANK(IF(A93=A92+1,F92,INDIRECT("template!"&amp;"D"&amp;A93-1))),"",IF(A93=A92+1,F92,INDIRECT("template!"&amp;"D"&amp;A93-1))))</f>
        <v>#REF!</v>
      </c>
      <c r="G93" t="e" cm="1">
        <f t="array" aca="1" ref="G93" ca="1">IF(OR(A93="",B93="safety"),"",IF(ISBLANK(INDIRECT("template!"&amp;"D"&amp;A93)),"",INDIRECT("template!"&amp;"D"&amp;A93)))</f>
        <v>#REF!</v>
      </c>
      <c r="H93" t="e" cm="1">
        <f t="array" aca="1" ref="H93" ca="1">IF(OR(A93="",B93="safety"),"",IF(ISBLANK(INDIRECT("template!"&amp;"E"&amp;A93)),"",INDIRECT("template!"&amp;"E"&amp;A93)))</f>
        <v>#REF!</v>
      </c>
      <c r="I93" t="e" cm="1">
        <f t="array" aca="1" ref="I93" ca="1">IF(OR(A93="",B93="safety"),"",IF(ISBLANK(INDIRECT("template!"&amp;"F"&amp;A93)),"",INDIRECT("template!"&amp;"F"&amp;A93)))</f>
        <v>#REF!</v>
      </c>
      <c r="J93" t="e" cm="1">
        <f t="array" aca="1" ref="J93" ca="1">IF(OR(A93="",B93="safety"),"",IF(ISBLANK(INDIRECT("template!"&amp;"G"&amp;A93)),"",INDIRECT("template!"&amp;"G"&amp;A93)))</f>
        <v>#REF!</v>
      </c>
      <c r="K93" t="e" cm="1">
        <f t="array" aca="1" ref="K93" ca="1">IF(OR(A93="",B93="safety"),"",IF(ISBLANK(INDIRECT("template!"&amp;"H"&amp;A93)),"",INDIRECT("template!"&amp;"H"&amp;A93)))</f>
        <v>#REF!</v>
      </c>
      <c r="L93" t="e" cm="1">
        <f t="array" aca="1" ref="L93" ca="1">IF(OR(A93="",B93="safety"),"",INDIRECT("template!"&amp;"I"&amp;A93))</f>
        <v>#REF!</v>
      </c>
      <c r="M93" t="e" cm="1">
        <f t="array" aca="1" ref="M93" ca="1">IF(OR(A93="",B93="safety"),"",INDIRECT("template!"&amp;"J"&amp;A93))</f>
        <v>#REF!</v>
      </c>
      <c r="N93" t="e" cm="1">
        <f t="array" aca="1" ref="N93" ca="1">IF(OR(A93="",B93="safety"),"",IF(ISBLANK(INDIRECT("template!"&amp;"K"&amp;A93)),"",INDIRECT("template!"&amp;"K"&amp;A93)))</f>
        <v>#REF!</v>
      </c>
      <c r="O93" t="e" cm="1">
        <f t="array" aca="1" ref="O93" ca="1">IF(OR(A93="",B93="safety"),"",INDIRECT("template!"&amp;"L"&amp;A93))</f>
        <v>#REF!</v>
      </c>
      <c r="P93" t="e" cm="1">
        <f t="array" aca="1" ref="P93" ca="1">IF(OR(A93="",B93="safety"),"",INDIRECT("template!"&amp;"M"&amp;A93))</f>
        <v>#REF!</v>
      </c>
      <c r="Q93" t="e">
        <f t="shared" ca="1" si="6"/>
        <v>#REF!</v>
      </c>
      <c r="R93" t="e">
        <f t="shared" ca="1" si="7"/>
        <v>#REF!</v>
      </c>
      <c r="S93" t="e">
        <f t="shared" ca="1" si="8"/>
        <v>#REF!</v>
      </c>
      <c r="T93" t="e">
        <f t="shared" ca="1" si="9"/>
        <v>#REF!</v>
      </c>
      <c r="U93" t="e" cm="1">
        <f t="array" aca="1" ref="U93" ca="1">IF(A93="","",IF(E93="","",IF(B93="safety",INDIRECT("template!"&amp;"P"&amp;A93),Q93+R93)))</f>
        <v>#REF!</v>
      </c>
      <c r="V93" t="e" cm="1">
        <f t="array" aca="1" ref="V93" ca="1">IF(A93="","",IF(E93="","",IF(B93="safety",INDIRECT("template!"&amp;"P"&amp;A93),S93+T93)))</f>
        <v>#REF!</v>
      </c>
      <c r="W93" t="e">
        <f ca="1">IF(A93="","",IF(E93="","",#REF!))</f>
        <v>#REF!</v>
      </c>
      <c r="X93" t="e">
        <f ca="1">IF(A93="","",IF(E93="","",#REF!))</f>
        <v>#REF!</v>
      </c>
      <c r="Y93" s="39" t="e">
        <f ca="1">IF(A93="","",IF(E93="","",#REF!))</f>
        <v>#REF!</v>
      </c>
      <c r="Z93" t="e">
        <f ca="1">IF(A93="","",IF(E93="","",#REF!))</f>
        <v>#REF!</v>
      </c>
      <c r="AA93" t="e">
        <f ca="1">IF(A93="","",IF(E93="","",#REF!))</f>
        <v>#REF!</v>
      </c>
      <c r="AB93" t="e">
        <f ca="1">IF(A93="","",IF(E93="","",#REF!))</f>
        <v>#REF!</v>
      </c>
      <c r="AC93" t="e">
        <f t="shared" ca="1" si="10"/>
        <v>#REF!</v>
      </c>
    </row>
    <row r="94" spans="1:29" x14ac:dyDescent="0.35">
      <c r="A94" t="e" cm="1">
        <f t="array" aca="1" ref="A94" ca="1">IF(A93="","",IF(OR(AND(A93+1&gt;=$AF$1,A93+1&lt;=$AF$2),AND(A93+1&gt;=$AF$6,A93+1&lt;=$AF$7),AND(A93+1&gt;=$AF$3,A93+1&lt;=$AF$4),AND(A93+1&gt;=$AF$8,A93+1&lt;=$AF$9),A93+1=$AF$5),IF(NOT(ISBLANK(INDIRECT("template!"&amp;"P"&amp;A93+1))),A93+1,IF(NOT(ISBLANK(INDIRECT("template!"&amp;"P"&amp;A93+2))),A93+2,A93+3)),IF(A93=$AF$2,$AF$3,IF(A93=$AF$4,$AF$5,IF(A93=$AF$5,$AF$6,IF(A93=$AF$7,$AF$8,""))))))</f>
        <v>#REF!</v>
      </c>
      <c r="B94" t="e">
        <f t="shared" ca="1" si="0"/>
        <v>#REF!</v>
      </c>
      <c r="C94" t="e" cm="1">
        <f t="array" aca="1" ref="C94" ca="1">IF(A94="","",IF(B94="safety","safety costs",INDIRECT("template!"&amp;"B"&amp;A94)))</f>
        <v>#REF!</v>
      </c>
      <c r="D94" t="e" cm="1">
        <f t="array" aca="1" ref="D94" ca="1">IF(OR(A94="",B94="safety"),"",INDIRECT("template!"&amp;"C"&amp;A94))</f>
        <v>#REF!</v>
      </c>
      <c r="E94" t="e" cm="1">
        <f t="array" aca="1" ref="E94" ca="1">IF(A94="","",IF(OR(A94=A93+1,A94=A93+2),E93,INDIRECT("template!"&amp;"D"&amp;A94-2)))</f>
        <v>#REF!</v>
      </c>
      <c r="F94" t="e" cm="1">
        <f t="array" aca="1" ref="F94" ca="1">IF(OR(A94="",B94="safety"),"",IF(ISBLANK(IF(A94=A93+1,F93,INDIRECT("template!"&amp;"D"&amp;A94-1))),"",IF(A94=A93+1,F93,INDIRECT("template!"&amp;"D"&amp;A94-1))))</f>
        <v>#REF!</v>
      </c>
      <c r="G94" t="e" cm="1">
        <f t="array" aca="1" ref="G94" ca="1">IF(OR(A94="",B94="safety"),"",IF(ISBLANK(INDIRECT("template!"&amp;"D"&amp;A94)),"",INDIRECT("template!"&amp;"D"&amp;A94)))</f>
        <v>#REF!</v>
      </c>
      <c r="H94" t="e" cm="1">
        <f t="array" aca="1" ref="H94" ca="1">IF(OR(A94="",B94="safety"),"",IF(ISBLANK(INDIRECT("template!"&amp;"E"&amp;A94)),"",INDIRECT("template!"&amp;"E"&amp;A94)))</f>
        <v>#REF!</v>
      </c>
      <c r="I94" t="e" cm="1">
        <f t="array" aca="1" ref="I94" ca="1">IF(OR(A94="",B94="safety"),"",IF(ISBLANK(INDIRECT("template!"&amp;"F"&amp;A94)),"",INDIRECT("template!"&amp;"F"&amp;A94)))</f>
        <v>#REF!</v>
      </c>
      <c r="J94" t="e" cm="1">
        <f t="array" aca="1" ref="J94" ca="1">IF(OR(A94="",B94="safety"),"",IF(ISBLANK(INDIRECT("template!"&amp;"G"&amp;A94)),"",INDIRECT("template!"&amp;"G"&amp;A94)))</f>
        <v>#REF!</v>
      </c>
      <c r="K94" t="e" cm="1">
        <f t="array" aca="1" ref="K94" ca="1">IF(OR(A94="",B94="safety"),"",IF(ISBLANK(INDIRECT("template!"&amp;"H"&amp;A94)),"",INDIRECT("template!"&amp;"H"&amp;A94)))</f>
        <v>#REF!</v>
      </c>
      <c r="L94" t="e" cm="1">
        <f t="array" aca="1" ref="L94" ca="1">IF(OR(A94="",B94="safety"),"",INDIRECT("template!"&amp;"I"&amp;A94))</f>
        <v>#REF!</v>
      </c>
      <c r="M94" t="e" cm="1">
        <f t="array" aca="1" ref="M94" ca="1">IF(OR(A94="",B94="safety"),"",INDIRECT("template!"&amp;"J"&amp;A94))</f>
        <v>#REF!</v>
      </c>
      <c r="N94" t="e" cm="1">
        <f t="array" aca="1" ref="N94" ca="1">IF(OR(A94="",B94="safety"),"",IF(ISBLANK(INDIRECT("template!"&amp;"K"&amp;A94)),"",INDIRECT("template!"&amp;"K"&amp;A94)))</f>
        <v>#REF!</v>
      </c>
      <c r="O94" t="e" cm="1">
        <f t="array" aca="1" ref="O94" ca="1">IF(OR(A94="",B94="safety"),"",INDIRECT("template!"&amp;"L"&amp;A94))</f>
        <v>#REF!</v>
      </c>
      <c r="P94" t="e" cm="1">
        <f t="array" aca="1" ref="P94" ca="1">IF(OR(A94="",B94="safety"),"",INDIRECT("template!"&amp;"M"&amp;A94))</f>
        <v>#REF!</v>
      </c>
      <c r="Q94" t="e">
        <f t="shared" ca="1" si="6"/>
        <v>#REF!</v>
      </c>
      <c r="R94" t="e">
        <f t="shared" ca="1" si="7"/>
        <v>#REF!</v>
      </c>
      <c r="S94" t="e">
        <f t="shared" ca="1" si="8"/>
        <v>#REF!</v>
      </c>
      <c r="T94" t="e">
        <f t="shared" ca="1" si="9"/>
        <v>#REF!</v>
      </c>
      <c r="U94" t="e" cm="1">
        <f t="array" aca="1" ref="U94" ca="1">IF(A94="","",IF(E94="","",IF(B94="safety",INDIRECT("template!"&amp;"P"&amp;A94),Q94+R94)))</f>
        <v>#REF!</v>
      </c>
      <c r="V94" t="e" cm="1">
        <f t="array" aca="1" ref="V94" ca="1">IF(A94="","",IF(E94="","",IF(B94="safety",INDIRECT("template!"&amp;"P"&amp;A94),S94+T94)))</f>
        <v>#REF!</v>
      </c>
      <c r="W94" t="e">
        <f ca="1">IF(A94="","",IF(E94="","",#REF!))</f>
        <v>#REF!</v>
      </c>
      <c r="X94" t="e">
        <f ca="1">IF(A94="","",IF(E94="","",#REF!))</f>
        <v>#REF!</v>
      </c>
      <c r="Y94" s="39" t="e">
        <f ca="1">IF(A94="","",IF(E94="","",#REF!))</f>
        <v>#REF!</v>
      </c>
      <c r="Z94" t="e">
        <f ca="1">IF(A94="","",IF(E94="","",#REF!))</f>
        <v>#REF!</v>
      </c>
      <c r="AA94" t="e">
        <f ca="1">IF(A94="","",IF(E94="","",#REF!))</f>
        <v>#REF!</v>
      </c>
      <c r="AB94" t="e">
        <f ca="1">IF(A94="","",IF(E94="","",#REF!))</f>
        <v>#REF!</v>
      </c>
      <c r="AC94" t="e">
        <f t="shared" ca="1" si="10"/>
        <v>#REF!</v>
      </c>
    </row>
    <row r="95" spans="1:29" x14ac:dyDescent="0.35">
      <c r="A95" t="e" cm="1">
        <f t="array" aca="1" ref="A95" ca="1">IF(A94="","",IF(OR(AND(A94+1&gt;=$AF$1,A94+1&lt;=$AF$2),AND(A94+1&gt;=$AF$6,A94+1&lt;=$AF$7),AND(A94+1&gt;=$AF$3,A94+1&lt;=$AF$4),AND(A94+1&gt;=$AF$8,A94+1&lt;=$AF$9),A94+1=$AF$5),IF(NOT(ISBLANK(INDIRECT("template!"&amp;"P"&amp;A94+1))),A94+1,IF(NOT(ISBLANK(INDIRECT("template!"&amp;"P"&amp;A94+2))),A94+2,A94+3)),IF(A94=$AF$2,$AF$3,IF(A94=$AF$4,$AF$5,IF(A94=$AF$5,$AF$6,IF(A94=$AF$7,$AF$8,""))))))</f>
        <v>#REF!</v>
      </c>
      <c r="B95" t="e">
        <f t="shared" ca="1" si="0"/>
        <v>#REF!</v>
      </c>
      <c r="C95" t="e" cm="1">
        <f t="array" aca="1" ref="C95" ca="1">IF(A95="","",IF(B95="safety","safety costs",INDIRECT("template!"&amp;"B"&amp;A95)))</f>
        <v>#REF!</v>
      </c>
      <c r="D95" t="e" cm="1">
        <f t="array" aca="1" ref="D95" ca="1">IF(OR(A95="",B95="safety"),"",INDIRECT("template!"&amp;"C"&amp;A95))</f>
        <v>#REF!</v>
      </c>
      <c r="E95" t="e" cm="1">
        <f t="array" aca="1" ref="E95" ca="1">IF(A95="","",IF(OR(A95=A94+1,A95=A94+2),E94,INDIRECT("template!"&amp;"D"&amp;A95-2)))</f>
        <v>#REF!</v>
      </c>
      <c r="F95" t="e" cm="1">
        <f t="array" aca="1" ref="F95" ca="1">IF(OR(A95="",B95="safety"),"",IF(ISBLANK(IF(A95=A94+1,F94,INDIRECT("template!"&amp;"D"&amp;A95-1))),"",IF(A95=A94+1,F94,INDIRECT("template!"&amp;"D"&amp;A95-1))))</f>
        <v>#REF!</v>
      </c>
      <c r="G95" t="e" cm="1">
        <f t="array" aca="1" ref="G95" ca="1">IF(OR(A95="",B95="safety"),"",IF(ISBLANK(INDIRECT("template!"&amp;"D"&amp;A95)),"",INDIRECT("template!"&amp;"D"&amp;A95)))</f>
        <v>#REF!</v>
      </c>
      <c r="H95" t="e" cm="1">
        <f t="array" aca="1" ref="H95" ca="1">IF(OR(A95="",B95="safety"),"",IF(ISBLANK(INDIRECT("template!"&amp;"E"&amp;A95)),"",INDIRECT("template!"&amp;"E"&amp;A95)))</f>
        <v>#REF!</v>
      </c>
      <c r="I95" t="e" cm="1">
        <f t="array" aca="1" ref="I95" ca="1">IF(OR(A95="",B95="safety"),"",IF(ISBLANK(INDIRECT("template!"&amp;"F"&amp;A95)),"",INDIRECT("template!"&amp;"F"&amp;A95)))</f>
        <v>#REF!</v>
      </c>
      <c r="J95" t="e" cm="1">
        <f t="array" aca="1" ref="J95" ca="1">IF(OR(A95="",B95="safety"),"",IF(ISBLANK(INDIRECT("template!"&amp;"G"&amp;A95)),"",INDIRECT("template!"&amp;"G"&amp;A95)))</f>
        <v>#REF!</v>
      </c>
      <c r="K95" t="e" cm="1">
        <f t="array" aca="1" ref="K95" ca="1">IF(OR(A95="",B95="safety"),"",IF(ISBLANK(INDIRECT("template!"&amp;"H"&amp;A95)),"",INDIRECT("template!"&amp;"H"&amp;A95)))</f>
        <v>#REF!</v>
      </c>
      <c r="L95" t="e" cm="1">
        <f t="array" aca="1" ref="L95" ca="1">IF(OR(A95="",B95="safety"),"",INDIRECT("template!"&amp;"I"&amp;A95))</f>
        <v>#REF!</v>
      </c>
      <c r="M95" t="e" cm="1">
        <f t="array" aca="1" ref="M95" ca="1">IF(OR(A95="",B95="safety"),"",INDIRECT("template!"&amp;"J"&amp;A95))</f>
        <v>#REF!</v>
      </c>
      <c r="N95" t="e" cm="1">
        <f t="array" aca="1" ref="N95" ca="1">IF(OR(A95="",B95="safety"),"",IF(ISBLANK(INDIRECT("template!"&amp;"K"&amp;A95)),"",INDIRECT("template!"&amp;"K"&amp;A95)))</f>
        <v>#REF!</v>
      </c>
      <c r="O95" t="e" cm="1">
        <f t="array" aca="1" ref="O95" ca="1">IF(OR(A95="",B95="safety"),"",INDIRECT("template!"&amp;"L"&amp;A95))</f>
        <v>#REF!</v>
      </c>
      <c r="P95" t="e" cm="1">
        <f t="array" aca="1" ref="P95" ca="1">IF(OR(A95="",B95="safety"),"",INDIRECT("template!"&amp;"M"&amp;A95))</f>
        <v>#REF!</v>
      </c>
      <c r="Q95" t="e">
        <f t="shared" ca="1" si="6"/>
        <v>#REF!</v>
      </c>
      <c r="R95" t="e">
        <f t="shared" ca="1" si="7"/>
        <v>#REF!</v>
      </c>
      <c r="S95" t="e">
        <f t="shared" ca="1" si="8"/>
        <v>#REF!</v>
      </c>
      <c r="T95" t="e">
        <f t="shared" ca="1" si="9"/>
        <v>#REF!</v>
      </c>
      <c r="U95" t="e" cm="1">
        <f t="array" aca="1" ref="U95" ca="1">IF(A95="","",IF(E95="","",IF(B95="safety",INDIRECT("template!"&amp;"P"&amp;A95),Q95+R95)))</f>
        <v>#REF!</v>
      </c>
      <c r="V95" t="e" cm="1">
        <f t="array" aca="1" ref="V95" ca="1">IF(A95="","",IF(E95="","",IF(B95="safety",INDIRECT("template!"&amp;"P"&amp;A95),S95+T95)))</f>
        <v>#REF!</v>
      </c>
      <c r="W95" t="e">
        <f ca="1">IF(A95="","",IF(E95="","",#REF!))</f>
        <v>#REF!</v>
      </c>
      <c r="X95" t="e">
        <f ca="1">IF(A95="","",IF(E95="","",#REF!))</f>
        <v>#REF!</v>
      </c>
      <c r="Y95" s="39" t="e">
        <f ca="1">IF(A95="","",IF(E95="","",#REF!))</f>
        <v>#REF!</v>
      </c>
      <c r="Z95" t="e">
        <f ca="1">IF(A95="","",IF(E95="","",#REF!))</f>
        <v>#REF!</v>
      </c>
      <c r="AA95" t="e">
        <f ca="1">IF(A95="","",IF(E95="","",#REF!))</f>
        <v>#REF!</v>
      </c>
      <c r="AB95" t="e">
        <f ca="1">IF(A95="","",IF(E95="","",#REF!))</f>
        <v>#REF!</v>
      </c>
      <c r="AC95" t="e">
        <f t="shared" ca="1" si="10"/>
        <v>#REF!</v>
      </c>
    </row>
    <row r="96" spans="1:29" x14ac:dyDescent="0.35">
      <c r="A96" t="e" cm="1">
        <f t="array" aca="1" ref="A96" ca="1">IF(A95="","",IF(OR(AND(A95+1&gt;=$AF$1,A95+1&lt;=$AF$2),AND(A95+1&gt;=$AF$6,A95+1&lt;=$AF$7),AND(A95+1&gt;=$AF$3,A95+1&lt;=$AF$4),AND(A95+1&gt;=$AF$8,A95+1&lt;=$AF$9),A95+1=$AF$5),IF(NOT(ISBLANK(INDIRECT("template!"&amp;"P"&amp;A95+1))),A95+1,IF(NOT(ISBLANK(INDIRECT("template!"&amp;"P"&amp;A95+2))),A95+2,A95+3)),IF(A95=$AF$2,$AF$3,IF(A95=$AF$4,$AF$5,IF(A95=$AF$5,$AF$6,IF(A95=$AF$7,$AF$8,""))))))</f>
        <v>#REF!</v>
      </c>
      <c r="B96" t="e">
        <f t="shared" ca="1" si="0"/>
        <v>#REF!</v>
      </c>
      <c r="C96" t="e" cm="1">
        <f t="array" aca="1" ref="C96" ca="1">IF(A96="","",IF(B96="safety","safety costs",INDIRECT("template!"&amp;"B"&amp;A96)))</f>
        <v>#REF!</v>
      </c>
      <c r="D96" t="e" cm="1">
        <f t="array" aca="1" ref="D96" ca="1">IF(OR(A96="",B96="safety"),"",INDIRECT("template!"&amp;"C"&amp;A96))</f>
        <v>#REF!</v>
      </c>
      <c r="E96" t="e" cm="1">
        <f t="array" aca="1" ref="E96" ca="1">IF(A96="","",IF(OR(A96=A95+1,A96=A95+2),E95,INDIRECT("template!"&amp;"D"&amp;A96-2)))</f>
        <v>#REF!</v>
      </c>
      <c r="F96" t="e" cm="1">
        <f t="array" aca="1" ref="F96" ca="1">IF(OR(A96="",B96="safety"),"",IF(ISBLANK(IF(A96=A95+1,F95,INDIRECT("template!"&amp;"D"&amp;A96-1))),"",IF(A96=A95+1,F95,INDIRECT("template!"&amp;"D"&amp;A96-1))))</f>
        <v>#REF!</v>
      </c>
      <c r="G96" t="e" cm="1">
        <f t="array" aca="1" ref="G96" ca="1">IF(OR(A96="",B96="safety"),"",IF(ISBLANK(INDIRECT("template!"&amp;"D"&amp;A96)),"",INDIRECT("template!"&amp;"D"&amp;A96)))</f>
        <v>#REF!</v>
      </c>
      <c r="H96" t="e" cm="1">
        <f t="array" aca="1" ref="H96" ca="1">IF(OR(A96="",B96="safety"),"",IF(ISBLANK(INDIRECT("template!"&amp;"E"&amp;A96)),"",INDIRECT("template!"&amp;"E"&amp;A96)))</f>
        <v>#REF!</v>
      </c>
      <c r="I96" t="e" cm="1">
        <f t="array" aca="1" ref="I96" ca="1">IF(OR(A96="",B96="safety"),"",IF(ISBLANK(INDIRECT("template!"&amp;"F"&amp;A96)),"",INDIRECT("template!"&amp;"F"&amp;A96)))</f>
        <v>#REF!</v>
      </c>
      <c r="J96" t="e" cm="1">
        <f t="array" aca="1" ref="J96" ca="1">IF(OR(A96="",B96="safety"),"",IF(ISBLANK(INDIRECT("template!"&amp;"G"&amp;A96)),"",INDIRECT("template!"&amp;"G"&amp;A96)))</f>
        <v>#REF!</v>
      </c>
      <c r="K96" t="e" cm="1">
        <f t="array" aca="1" ref="K96" ca="1">IF(OR(A96="",B96="safety"),"",IF(ISBLANK(INDIRECT("template!"&amp;"H"&amp;A96)),"",INDIRECT("template!"&amp;"H"&amp;A96)))</f>
        <v>#REF!</v>
      </c>
      <c r="L96" t="e" cm="1">
        <f t="array" aca="1" ref="L96" ca="1">IF(OR(A96="",B96="safety"),"",INDIRECT("template!"&amp;"I"&amp;A96))</f>
        <v>#REF!</v>
      </c>
      <c r="M96" t="e" cm="1">
        <f t="array" aca="1" ref="M96" ca="1">IF(OR(A96="",B96="safety"),"",INDIRECT("template!"&amp;"J"&amp;A96))</f>
        <v>#REF!</v>
      </c>
      <c r="N96" t="e" cm="1">
        <f t="array" aca="1" ref="N96" ca="1">IF(OR(A96="",B96="safety"),"",IF(ISBLANK(INDIRECT("template!"&amp;"K"&amp;A96)),"",INDIRECT("template!"&amp;"K"&amp;A96)))</f>
        <v>#REF!</v>
      </c>
      <c r="O96" t="e" cm="1">
        <f t="array" aca="1" ref="O96" ca="1">IF(OR(A96="",B96="safety"),"",INDIRECT("template!"&amp;"L"&amp;A96))</f>
        <v>#REF!</v>
      </c>
      <c r="P96" t="e" cm="1">
        <f t="array" aca="1" ref="P96" ca="1">IF(OR(A96="",B96="safety"),"",INDIRECT("template!"&amp;"M"&amp;A96))</f>
        <v>#REF!</v>
      </c>
      <c r="Q96" t="e">
        <f t="shared" ca="1" si="6"/>
        <v>#REF!</v>
      </c>
      <c r="R96" t="e">
        <f t="shared" ca="1" si="7"/>
        <v>#REF!</v>
      </c>
      <c r="S96" t="e">
        <f t="shared" ca="1" si="8"/>
        <v>#REF!</v>
      </c>
      <c r="T96" t="e">
        <f t="shared" ca="1" si="9"/>
        <v>#REF!</v>
      </c>
      <c r="U96" t="e" cm="1">
        <f t="array" aca="1" ref="U96" ca="1">IF(A96="","",IF(E96="","",IF(B96="safety",INDIRECT("template!"&amp;"P"&amp;A96),Q96+R96)))</f>
        <v>#REF!</v>
      </c>
      <c r="V96" t="e" cm="1">
        <f t="array" aca="1" ref="V96" ca="1">IF(A96="","",IF(E96="","",IF(B96="safety",INDIRECT("template!"&amp;"P"&amp;A96),S96+T96)))</f>
        <v>#REF!</v>
      </c>
      <c r="W96" t="e">
        <f ca="1">IF(A96="","",IF(E96="","",#REF!))</f>
        <v>#REF!</v>
      </c>
      <c r="X96" t="e">
        <f ca="1">IF(A96="","",IF(E96="","",#REF!))</f>
        <v>#REF!</v>
      </c>
      <c r="Y96" s="39" t="e">
        <f ca="1">IF(A96="","",IF(E96="","",#REF!))</f>
        <v>#REF!</v>
      </c>
      <c r="Z96" t="e">
        <f ca="1">IF(A96="","",IF(E96="","",#REF!))</f>
        <v>#REF!</v>
      </c>
      <c r="AA96" t="e">
        <f ca="1">IF(A96="","",IF(E96="","",#REF!))</f>
        <v>#REF!</v>
      </c>
      <c r="AB96" t="e">
        <f ca="1">IF(A96="","",IF(E96="","",#REF!))</f>
        <v>#REF!</v>
      </c>
      <c r="AC96" t="e">
        <f t="shared" ca="1" si="10"/>
        <v>#REF!</v>
      </c>
    </row>
    <row r="97" spans="1:29" x14ac:dyDescent="0.35">
      <c r="A97" t="e" cm="1">
        <f t="array" aca="1" ref="A97" ca="1">IF(A96="","",IF(OR(AND(A96+1&gt;=$AF$1,A96+1&lt;=$AF$2),AND(A96+1&gt;=$AF$6,A96+1&lt;=$AF$7),AND(A96+1&gt;=$AF$3,A96+1&lt;=$AF$4),AND(A96+1&gt;=$AF$8,A96+1&lt;=$AF$9),A96+1=$AF$5),IF(NOT(ISBLANK(INDIRECT("template!"&amp;"P"&amp;A96+1))),A96+1,IF(NOT(ISBLANK(INDIRECT("template!"&amp;"P"&amp;A96+2))),A96+2,A96+3)),IF(A96=$AF$2,$AF$3,IF(A96=$AF$4,$AF$5,IF(A96=$AF$5,$AF$6,IF(A96=$AF$7,$AF$8,""))))))</f>
        <v>#REF!</v>
      </c>
      <c r="B97" t="e">
        <f t="shared" ca="1" si="0"/>
        <v>#REF!</v>
      </c>
      <c r="C97" t="e" cm="1">
        <f t="array" aca="1" ref="C97" ca="1">IF(A97="","",IF(B97="safety","safety costs",INDIRECT("template!"&amp;"B"&amp;A97)))</f>
        <v>#REF!</v>
      </c>
      <c r="D97" t="e" cm="1">
        <f t="array" aca="1" ref="D97" ca="1">IF(OR(A97="",B97="safety"),"",INDIRECT("template!"&amp;"C"&amp;A97))</f>
        <v>#REF!</v>
      </c>
      <c r="E97" t="e" cm="1">
        <f t="array" aca="1" ref="E97" ca="1">IF(A97="","",IF(OR(A97=A96+1,A97=A96+2),E96,INDIRECT("template!"&amp;"D"&amp;A97-2)))</f>
        <v>#REF!</v>
      </c>
      <c r="F97" t="e" cm="1">
        <f t="array" aca="1" ref="F97" ca="1">IF(OR(A97="",B97="safety"),"",IF(ISBLANK(IF(A97=A96+1,F96,INDIRECT("template!"&amp;"D"&amp;A97-1))),"",IF(A97=A96+1,F96,INDIRECT("template!"&amp;"D"&amp;A97-1))))</f>
        <v>#REF!</v>
      </c>
      <c r="G97" t="e" cm="1">
        <f t="array" aca="1" ref="G97" ca="1">IF(OR(A97="",B97="safety"),"",IF(ISBLANK(INDIRECT("template!"&amp;"D"&amp;A97)),"",INDIRECT("template!"&amp;"D"&amp;A97)))</f>
        <v>#REF!</v>
      </c>
      <c r="H97" t="e" cm="1">
        <f t="array" aca="1" ref="H97" ca="1">IF(OR(A97="",B97="safety"),"",IF(ISBLANK(INDIRECT("template!"&amp;"E"&amp;A97)),"",INDIRECT("template!"&amp;"E"&amp;A97)))</f>
        <v>#REF!</v>
      </c>
      <c r="I97" t="e" cm="1">
        <f t="array" aca="1" ref="I97" ca="1">IF(OR(A97="",B97="safety"),"",IF(ISBLANK(INDIRECT("template!"&amp;"F"&amp;A97)),"",INDIRECT("template!"&amp;"F"&amp;A97)))</f>
        <v>#REF!</v>
      </c>
      <c r="J97" t="e" cm="1">
        <f t="array" aca="1" ref="J97" ca="1">IF(OR(A97="",B97="safety"),"",IF(ISBLANK(INDIRECT("template!"&amp;"G"&amp;A97)),"",INDIRECT("template!"&amp;"G"&amp;A97)))</f>
        <v>#REF!</v>
      </c>
      <c r="K97" t="e" cm="1">
        <f t="array" aca="1" ref="K97" ca="1">IF(OR(A97="",B97="safety"),"",IF(ISBLANK(INDIRECT("template!"&amp;"H"&amp;A97)),"",INDIRECT("template!"&amp;"H"&amp;A97)))</f>
        <v>#REF!</v>
      </c>
      <c r="L97" t="e" cm="1">
        <f t="array" aca="1" ref="L97" ca="1">IF(OR(A97="",B97="safety"),"",INDIRECT("template!"&amp;"I"&amp;A97))</f>
        <v>#REF!</v>
      </c>
      <c r="M97" t="e" cm="1">
        <f t="array" aca="1" ref="M97" ca="1">IF(OR(A97="",B97="safety"),"",INDIRECT("template!"&amp;"J"&amp;A97))</f>
        <v>#REF!</v>
      </c>
      <c r="N97" t="e" cm="1">
        <f t="array" aca="1" ref="N97" ca="1">IF(OR(A97="",B97="safety"),"",IF(ISBLANK(INDIRECT("template!"&amp;"K"&amp;A97)),"",INDIRECT("template!"&amp;"K"&amp;A97)))</f>
        <v>#REF!</v>
      </c>
      <c r="O97" t="e" cm="1">
        <f t="array" aca="1" ref="O97" ca="1">IF(OR(A97="",B97="safety"),"",INDIRECT("template!"&amp;"L"&amp;A97))</f>
        <v>#REF!</v>
      </c>
      <c r="P97" t="e" cm="1">
        <f t="array" aca="1" ref="P97" ca="1">IF(OR(A97="",B97="safety"),"",INDIRECT("template!"&amp;"M"&amp;A97))</f>
        <v>#REF!</v>
      </c>
      <c r="Q97" t="e">
        <f t="shared" ca="1" si="6"/>
        <v>#REF!</v>
      </c>
      <c r="R97" t="e">
        <f t="shared" ca="1" si="7"/>
        <v>#REF!</v>
      </c>
      <c r="S97" t="e">
        <f t="shared" ca="1" si="8"/>
        <v>#REF!</v>
      </c>
      <c r="T97" t="e">
        <f t="shared" ca="1" si="9"/>
        <v>#REF!</v>
      </c>
      <c r="U97" t="e" cm="1">
        <f t="array" aca="1" ref="U97" ca="1">IF(A97="","",IF(E97="","",IF(B97="safety",INDIRECT("template!"&amp;"P"&amp;A97),Q97+R97)))</f>
        <v>#REF!</v>
      </c>
      <c r="V97" t="e" cm="1">
        <f t="array" aca="1" ref="V97" ca="1">IF(A97="","",IF(E97="","",IF(B97="safety",INDIRECT("template!"&amp;"P"&amp;A97),S97+T97)))</f>
        <v>#REF!</v>
      </c>
      <c r="W97" t="e">
        <f ca="1">IF(A97="","",IF(E97="","",#REF!))</f>
        <v>#REF!</v>
      </c>
      <c r="X97" t="e">
        <f ca="1">IF(A97="","",IF(E97="","",#REF!))</f>
        <v>#REF!</v>
      </c>
      <c r="Y97" s="39" t="e">
        <f ca="1">IF(A97="","",IF(E97="","",#REF!))</f>
        <v>#REF!</v>
      </c>
      <c r="Z97" t="e">
        <f ca="1">IF(A97="","",IF(E97="","",#REF!))</f>
        <v>#REF!</v>
      </c>
      <c r="AA97" t="e">
        <f ca="1">IF(A97="","",IF(E97="","",#REF!))</f>
        <v>#REF!</v>
      </c>
      <c r="AB97" t="e">
        <f ca="1">IF(A97="","",IF(E97="","",#REF!))</f>
        <v>#REF!</v>
      </c>
      <c r="AC97" t="e">
        <f t="shared" ca="1" si="10"/>
        <v>#REF!</v>
      </c>
    </row>
    <row r="98" spans="1:29" x14ac:dyDescent="0.35">
      <c r="A98" t="e" cm="1">
        <f t="array" aca="1" ref="A98" ca="1">IF(A97="","",IF(OR(AND(A97+1&gt;=$AF$1,A97+1&lt;=$AF$2),AND(A97+1&gt;=$AF$6,A97+1&lt;=$AF$7),AND(A97+1&gt;=$AF$3,A97+1&lt;=$AF$4),AND(A97+1&gt;=$AF$8,A97+1&lt;=$AF$9),A97+1=$AF$5),IF(NOT(ISBLANK(INDIRECT("template!"&amp;"P"&amp;A97+1))),A97+1,IF(NOT(ISBLANK(INDIRECT("template!"&amp;"P"&amp;A97+2))),A97+2,A97+3)),IF(A97=$AF$2,$AF$3,IF(A97=$AF$4,$AF$5,IF(A97=$AF$5,$AF$6,IF(A97=$AF$7,$AF$8,""))))))</f>
        <v>#REF!</v>
      </c>
      <c r="B98" t="e">
        <f t="shared" ca="1" si="0"/>
        <v>#REF!</v>
      </c>
      <c r="C98" t="e" cm="1">
        <f t="array" aca="1" ref="C98" ca="1">IF(A98="","",IF(B98="safety","safety costs",INDIRECT("template!"&amp;"B"&amp;A98)))</f>
        <v>#REF!</v>
      </c>
      <c r="D98" t="e" cm="1">
        <f t="array" aca="1" ref="D98" ca="1">IF(OR(A98="",B98="safety"),"",INDIRECT("template!"&amp;"C"&amp;A98))</f>
        <v>#REF!</v>
      </c>
      <c r="E98" t="e" cm="1">
        <f t="array" aca="1" ref="E98" ca="1">IF(A98="","",IF(OR(A98=A97+1,A98=A97+2),E97,INDIRECT("template!"&amp;"D"&amp;A98-2)))</f>
        <v>#REF!</v>
      </c>
      <c r="F98" t="e" cm="1">
        <f t="array" aca="1" ref="F98" ca="1">IF(OR(A98="",B98="safety"),"",IF(ISBLANK(IF(A98=A97+1,F97,INDIRECT("template!"&amp;"D"&amp;A98-1))),"",IF(A98=A97+1,F97,INDIRECT("template!"&amp;"D"&amp;A98-1))))</f>
        <v>#REF!</v>
      </c>
      <c r="G98" t="e" cm="1">
        <f t="array" aca="1" ref="G98" ca="1">IF(OR(A98="",B98="safety"),"",IF(ISBLANK(INDIRECT("template!"&amp;"D"&amp;A98)),"",INDIRECT("template!"&amp;"D"&amp;A98)))</f>
        <v>#REF!</v>
      </c>
      <c r="H98" t="e" cm="1">
        <f t="array" aca="1" ref="H98" ca="1">IF(OR(A98="",B98="safety"),"",IF(ISBLANK(INDIRECT("template!"&amp;"E"&amp;A98)),"",INDIRECT("template!"&amp;"E"&amp;A98)))</f>
        <v>#REF!</v>
      </c>
      <c r="I98" t="e" cm="1">
        <f t="array" aca="1" ref="I98" ca="1">IF(OR(A98="",B98="safety"),"",IF(ISBLANK(INDIRECT("template!"&amp;"F"&amp;A98)),"",INDIRECT("template!"&amp;"F"&amp;A98)))</f>
        <v>#REF!</v>
      </c>
      <c r="J98" t="e" cm="1">
        <f t="array" aca="1" ref="J98" ca="1">IF(OR(A98="",B98="safety"),"",IF(ISBLANK(INDIRECT("template!"&amp;"G"&amp;A98)),"",INDIRECT("template!"&amp;"G"&amp;A98)))</f>
        <v>#REF!</v>
      </c>
      <c r="K98" t="e" cm="1">
        <f t="array" aca="1" ref="K98" ca="1">IF(OR(A98="",B98="safety"),"",IF(ISBLANK(INDIRECT("template!"&amp;"H"&amp;A98)),"",INDIRECT("template!"&amp;"H"&amp;A98)))</f>
        <v>#REF!</v>
      </c>
      <c r="L98" t="e" cm="1">
        <f t="array" aca="1" ref="L98" ca="1">IF(OR(A98="",B98="safety"),"",INDIRECT("template!"&amp;"I"&amp;A98))</f>
        <v>#REF!</v>
      </c>
      <c r="M98" t="e" cm="1">
        <f t="array" aca="1" ref="M98" ca="1">IF(OR(A98="",B98="safety"),"",INDIRECT("template!"&amp;"J"&amp;A98))</f>
        <v>#REF!</v>
      </c>
      <c r="N98" t="e" cm="1">
        <f t="array" aca="1" ref="N98" ca="1">IF(OR(A98="",B98="safety"),"",IF(ISBLANK(INDIRECT("template!"&amp;"K"&amp;A98)),"",INDIRECT("template!"&amp;"K"&amp;A98)))</f>
        <v>#REF!</v>
      </c>
      <c r="O98" t="e" cm="1">
        <f t="array" aca="1" ref="O98" ca="1">IF(OR(A98="",B98="safety"),"",INDIRECT("template!"&amp;"L"&amp;A98))</f>
        <v>#REF!</v>
      </c>
      <c r="P98" t="e" cm="1">
        <f t="array" aca="1" ref="P98" ca="1">IF(OR(A98="",B98="safety"),"",INDIRECT("template!"&amp;"M"&amp;A98))</f>
        <v>#REF!</v>
      </c>
      <c r="Q98" t="e">
        <f t="shared" ca="1" si="6"/>
        <v>#REF!</v>
      </c>
      <c r="R98" t="e">
        <f t="shared" ca="1" si="7"/>
        <v>#REF!</v>
      </c>
      <c r="S98" t="e">
        <f t="shared" ca="1" si="8"/>
        <v>#REF!</v>
      </c>
      <c r="T98" t="e">
        <f t="shared" ca="1" si="9"/>
        <v>#REF!</v>
      </c>
      <c r="U98" t="e" cm="1">
        <f t="array" aca="1" ref="U98" ca="1">IF(A98="","",IF(E98="","",IF(B98="safety",INDIRECT("template!"&amp;"P"&amp;A98),Q98+R98)))</f>
        <v>#REF!</v>
      </c>
      <c r="V98" t="e" cm="1">
        <f t="array" aca="1" ref="V98" ca="1">IF(A98="","",IF(E98="","",IF(B98="safety",INDIRECT("template!"&amp;"P"&amp;A98),S98+T98)))</f>
        <v>#REF!</v>
      </c>
      <c r="W98" t="e">
        <f ca="1">IF(A98="","",IF(E98="","",#REF!))</f>
        <v>#REF!</v>
      </c>
      <c r="X98" t="e">
        <f ca="1">IF(A98="","",IF(E98="","",#REF!))</f>
        <v>#REF!</v>
      </c>
      <c r="Y98" s="39" t="e">
        <f ca="1">IF(A98="","",IF(E98="","",#REF!))</f>
        <v>#REF!</v>
      </c>
      <c r="Z98" t="e">
        <f ca="1">IF(A98="","",IF(E98="","",#REF!))</f>
        <v>#REF!</v>
      </c>
      <c r="AA98" t="e">
        <f ca="1">IF(A98="","",IF(E98="","",#REF!))</f>
        <v>#REF!</v>
      </c>
      <c r="AB98" t="e">
        <f ca="1">IF(A98="","",IF(E98="","",#REF!))</f>
        <v>#REF!</v>
      </c>
      <c r="AC98" t="e">
        <f t="shared" ca="1" si="10"/>
        <v>#REF!</v>
      </c>
    </row>
    <row r="99" spans="1:29" x14ac:dyDescent="0.35">
      <c r="A99" t="e" cm="1">
        <f t="array" aca="1" ref="A99" ca="1">IF(A98="","",IF(OR(AND(A98+1&gt;=$AF$1,A98+1&lt;=$AF$2),AND(A98+1&gt;=$AF$6,A98+1&lt;=$AF$7),AND(A98+1&gt;=$AF$3,A98+1&lt;=$AF$4),AND(A98+1&gt;=$AF$8,A98+1&lt;=$AF$9),A98+1=$AF$5),IF(NOT(ISBLANK(INDIRECT("template!"&amp;"P"&amp;A98+1))),A98+1,IF(NOT(ISBLANK(INDIRECT("template!"&amp;"P"&amp;A98+2))),A98+2,A98+3)),IF(A98=$AF$2,$AF$3,IF(A98=$AF$4,$AF$5,IF(A98=$AF$5,$AF$6,IF(A98=$AF$7,$AF$8,""))))))</f>
        <v>#REF!</v>
      </c>
      <c r="B99" t="e">
        <f t="shared" ca="1" si="0"/>
        <v>#REF!</v>
      </c>
      <c r="C99" t="e" cm="1">
        <f t="array" aca="1" ref="C99" ca="1">IF(A99="","",IF(B99="safety","safety costs",INDIRECT("template!"&amp;"B"&amp;A99)))</f>
        <v>#REF!</v>
      </c>
      <c r="D99" t="e" cm="1">
        <f t="array" aca="1" ref="D99" ca="1">IF(OR(A99="",B99="safety"),"",INDIRECT("template!"&amp;"C"&amp;A99))</f>
        <v>#REF!</v>
      </c>
      <c r="E99" t="e" cm="1">
        <f t="array" aca="1" ref="E99" ca="1">IF(A99="","",IF(OR(A99=A98+1,A99=A98+2),E98,INDIRECT("template!"&amp;"D"&amp;A99-2)))</f>
        <v>#REF!</v>
      </c>
      <c r="F99" t="e" cm="1">
        <f t="array" aca="1" ref="F99" ca="1">IF(OR(A99="",B99="safety"),"",IF(ISBLANK(IF(A99=A98+1,F98,INDIRECT("template!"&amp;"D"&amp;A99-1))),"",IF(A99=A98+1,F98,INDIRECT("template!"&amp;"D"&amp;A99-1))))</f>
        <v>#REF!</v>
      </c>
      <c r="G99" t="e" cm="1">
        <f t="array" aca="1" ref="G99" ca="1">IF(OR(A99="",B99="safety"),"",IF(ISBLANK(INDIRECT("template!"&amp;"D"&amp;A99)),"",INDIRECT("template!"&amp;"D"&amp;A99)))</f>
        <v>#REF!</v>
      </c>
      <c r="H99" t="e" cm="1">
        <f t="array" aca="1" ref="H99" ca="1">IF(OR(A99="",B99="safety"),"",IF(ISBLANK(INDIRECT("template!"&amp;"E"&amp;A99)),"",INDIRECT("template!"&amp;"E"&amp;A99)))</f>
        <v>#REF!</v>
      </c>
      <c r="I99" t="e" cm="1">
        <f t="array" aca="1" ref="I99" ca="1">IF(OR(A99="",B99="safety"),"",IF(ISBLANK(INDIRECT("template!"&amp;"F"&amp;A99)),"",INDIRECT("template!"&amp;"F"&amp;A99)))</f>
        <v>#REF!</v>
      </c>
      <c r="J99" t="e" cm="1">
        <f t="array" aca="1" ref="J99" ca="1">IF(OR(A99="",B99="safety"),"",IF(ISBLANK(INDIRECT("template!"&amp;"G"&amp;A99)),"",INDIRECT("template!"&amp;"G"&amp;A99)))</f>
        <v>#REF!</v>
      </c>
      <c r="K99" t="e" cm="1">
        <f t="array" aca="1" ref="K99" ca="1">IF(OR(A99="",B99="safety"),"",IF(ISBLANK(INDIRECT("template!"&amp;"H"&amp;A99)),"",INDIRECT("template!"&amp;"H"&amp;A99)))</f>
        <v>#REF!</v>
      </c>
      <c r="L99" t="e" cm="1">
        <f t="array" aca="1" ref="L99" ca="1">IF(OR(A99="",B99="safety"),"",INDIRECT("template!"&amp;"I"&amp;A99))</f>
        <v>#REF!</v>
      </c>
      <c r="M99" t="e" cm="1">
        <f t="array" aca="1" ref="M99" ca="1">IF(OR(A99="",B99="safety"),"",INDIRECT("template!"&amp;"J"&amp;A99))</f>
        <v>#REF!</v>
      </c>
      <c r="N99" t="e" cm="1">
        <f t="array" aca="1" ref="N99" ca="1">IF(OR(A99="",B99="safety"),"",IF(ISBLANK(INDIRECT("template!"&amp;"K"&amp;A99)),"",INDIRECT("template!"&amp;"K"&amp;A99)))</f>
        <v>#REF!</v>
      </c>
      <c r="O99" t="e" cm="1">
        <f t="array" aca="1" ref="O99" ca="1">IF(OR(A99="",B99="safety"),"",INDIRECT("template!"&amp;"L"&amp;A99))</f>
        <v>#REF!</v>
      </c>
      <c r="P99" t="e" cm="1">
        <f t="array" aca="1" ref="P99" ca="1">IF(OR(A99="",B99="safety"),"",INDIRECT("template!"&amp;"M"&amp;A99))</f>
        <v>#REF!</v>
      </c>
      <c r="Q99" t="e">
        <f t="shared" ca="1" si="6"/>
        <v>#REF!</v>
      </c>
      <c r="R99" t="e">
        <f t="shared" ca="1" si="7"/>
        <v>#REF!</v>
      </c>
      <c r="S99" t="e">
        <f t="shared" ca="1" si="8"/>
        <v>#REF!</v>
      </c>
      <c r="T99" t="e">
        <f t="shared" ca="1" si="9"/>
        <v>#REF!</v>
      </c>
      <c r="U99" t="e" cm="1">
        <f t="array" aca="1" ref="U99" ca="1">IF(A99="","",IF(E99="","",IF(B99="safety",INDIRECT("template!"&amp;"P"&amp;A99),Q99+R99)))</f>
        <v>#REF!</v>
      </c>
      <c r="V99" t="e" cm="1">
        <f t="array" aca="1" ref="V99" ca="1">IF(A99="","",IF(E99="","",IF(B99="safety",INDIRECT("template!"&amp;"P"&amp;A99),S99+T99)))</f>
        <v>#REF!</v>
      </c>
      <c r="W99" t="e">
        <f ca="1">IF(A99="","",IF(E99="","",#REF!))</f>
        <v>#REF!</v>
      </c>
      <c r="X99" t="e">
        <f ca="1">IF(A99="","",IF(E99="","",#REF!))</f>
        <v>#REF!</v>
      </c>
      <c r="Y99" s="39" t="e">
        <f ca="1">IF(A99="","",IF(E99="","",#REF!))</f>
        <v>#REF!</v>
      </c>
      <c r="Z99" t="e">
        <f ca="1">IF(A99="","",IF(E99="","",#REF!))</f>
        <v>#REF!</v>
      </c>
      <c r="AA99" t="e">
        <f ca="1">IF(A99="","",IF(E99="","",#REF!))</f>
        <v>#REF!</v>
      </c>
      <c r="AB99" t="e">
        <f ca="1">IF(A99="","",IF(E99="","",#REF!))</f>
        <v>#REF!</v>
      </c>
      <c r="AC99" t="e">
        <f t="shared" ca="1" si="10"/>
        <v>#REF!</v>
      </c>
    </row>
    <row r="100" spans="1:29" x14ac:dyDescent="0.35">
      <c r="A100" t="e" cm="1">
        <f t="array" aca="1" ref="A100" ca="1">IF(A99="","",IF(OR(AND(A99+1&gt;=$AF$1,A99+1&lt;=$AF$2),AND(A99+1&gt;=$AF$6,A99+1&lt;=$AF$7),AND(A99+1&gt;=$AF$3,A99+1&lt;=$AF$4),AND(A99+1&gt;=$AF$8,A99+1&lt;=$AF$9),A99+1=$AF$5),IF(NOT(ISBLANK(INDIRECT("template!"&amp;"P"&amp;A99+1))),A99+1,IF(NOT(ISBLANK(INDIRECT("template!"&amp;"P"&amp;A99+2))),A99+2,A99+3)),IF(A99=$AF$2,$AF$3,IF(A99=$AF$4,$AF$5,IF(A99=$AF$5,$AF$6,IF(A99=$AF$7,$AF$8,""))))))</f>
        <v>#REF!</v>
      </c>
      <c r="B100" t="e">
        <f t="shared" ca="1" si="0"/>
        <v>#REF!</v>
      </c>
      <c r="C100" t="e" cm="1">
        <f t="array" aca="1" ref="C100" ca="1">IF(A100="","",IF(B100="safety","safety costs",INDIRECT("template!"&amp;"B"&amp;A100)))</f>
        <v>#REF!</v>
      </c>
      <c r="D100" t="e" cm="1">
        <f t="array" aca="1" ref="D100" ca="1">IF(OR(A100="",B100="safety"),"",INDIRECT("template!"&amp;"C"&amp;A100))</f>
        <v>#REF!</v>
      </c>
      <c r="E100" t="e" cm="1">
        <f t="array" aca="1" ref="E100" ca="1">IF(A100="","",IF(OR(A100=A99+1,A100=A99+2),E99,INDIRECT("template!"&amp;"D"&amp;A100-2)))</f>
        <v>#REF!</v>
      </c>
      <c r="F100" t="e" cm="1">
        <f t="array" aca="1" ref="F100" ca="1">IF(OR(A100="",B100="safety"),"",IF(ISBLANK(IF(A100=A99+1,F99,INDIRECT("template!"&amp;"D"&amp;A100-1))),"",IF(A100=A99+1,F99,INDIRECT("template!"&amp;"D"&amp;A100-1))))</f>
        <v>#REF!</v>
      </c>
      <c r="G100" t="e" cm="1">
        <f t="array" aca="1" ref="G100" ca="1">IF(OR(A100="",B100="safety"),"",IF(ISBLANK(INDIRECT("template!"&amp;"D"&amp;A100)),"",INDIRECT("template!"&amp;"D"&amp;A100)))</f>
        <v>#REF!</v>
      </c>
      <c r="H100" t="e" cm="1">
        <f t="array" aca="1" ref="H100" ca="1">IF(OR(A100="",B100="safety"),"",IF(ISBLANK(INDIRECT("template!"&amp;"E"&amp;A100)),"",INDIRECT("template!"&amp;"E"&amp;A100)))</f>
        <v>#REF!</v>
      </c>
      <c r="I100" t="e" cm="1">
        <f t="array" aca="1" ref="I100" ca="1">IF(OR(A100="",B100="safety"),"",IF(ISBLANK(INDIRECT("template!"&amp;"F"&amp;A100)),"",INDIRECT("template!"&amp;"F"&amp;A100)))</f>
        <v>#REF!</v>
      </c>
      <c r="J100" t="e" cm="1">
        <f t="array" aca="1" ref="J100" ca="1">IF(OR(A100="",B100="safety"),"",IF(ISBLANK(INDIRECT("template!"&amp;"G"&amp;A100)),"",INDIRECT("template!"&amp;"G"&amp;A100)))</f>
        <v>#REF!</v>
      </c>
      <c r="K100" t="e" cm="1">
        <f t="array" aca="1" ref="K100" ca="1">IF(OR(A100="",B100="safety"),"",IF(ISBLANK(INDIRECT("template!"&amp;"H"&amp;A100)),"",INDIRECT("template!"&amp;"H"&amp;A100)))</f>
        <v>#REF!</v>
      </c>
      <c r="L100" t="e" cm="1">
        <f t="array" aca="1" ref="L100" ca="1">IF(OR(A100="",B100="safety"),"",INDIRECT("template!"&amp;"I"&amp;A100))</f>
        <v>#REF!</v>
      </c>
      <c r="M100" t="e" cm="1">
        <f t="array" aca="1" ref="M100" ca="1">IF(OR(A100="",B100="safety"),"",INDIRECT("template!"&amp;"J"&amp;A100))</f>
        <v>#REF!</v>
      </c>
      <c r="N100" t="e" cm="1">
        <f t="array" aca="1" ref="N100" ca="1">IF(OR(A100="",B100="safety"),"",IF(ISBLANK(INDIRECT("template!"&amp;"K"&amp;A100)),"",INDIRECT("template!"&amp;"K"&amp;A100)))</f>
        <v>#REF!</v>
      </c>
      <c r="O100" t="e" cm="1">
        <f t="array" aca="1" ref="O100" ca="1">IF(OR(A100="",B100="safety"),"",INDIRECT("template!"&amp;"L"&amp;A100))</f>
        <v>#REF!</v>
      </c>
      <c r="P100" t="e" cm="1">
        <f t="array" aca="1" ref="P100" ca="1">IF(OR(A100="",B100="safety"),"",INDIRECT("template!"&amp;"M"&amp;A100))</f>
        <v>#REF!</v>
      </c>
      <c r="Q100" t="e">
        <f t="shared" ca="1" si="6"/>
        <v>#REF!</v>
      </c>
      <c r="R100" t="e">
        <f t="shared" ca="1" si="7"/>
        <v>#REF!</v>
      </c>
      <c r="S100" t="e">
        <f t="shared" ca="1" si="8"/>
        <v>#REF!</v>
      </c>
      <c r="T100" t="e">
        <f t="shared" ca="1" si="9"/>
        <v>#REF!</v>
      </c>
      <c r="U100" t="e" cm="1">
        <f t="array" aca="1" ref="U100" ca="1">IF(A100="","",IF(E100="","",IF(B100="safety",INDIRECT("template!"&amp;"P"&amp;A100),Q100+R100)))</f>
        <v>#REF!</v>
      </c>
      <c r="V100" t="e" cm="1">
        <f t="array" aca="1" ref="V100" ca="1">IF(A100="","",IF(E100="","",IF(B100="safety",INDIRECT("template!"&amp;"P"&amp;A100),S100+T100)))</f>
        <v>#REF!</v>
      </c>
      <c r="W100" t="e">
        <f ca="1">IF(A100="","",IF(E100="","",#REF!))</f>
        <v>#REF!</v>
      </c>
      <c r="X100" t="e">
        <f ca="1">IF(A100="","",IF(E100="","",#REF!))</f>
        <v>#REF!</v>
      </c>
      <c r="Y100" s="39" t="e">
        <f ca="1">IF(A100="","",IF(E100="","",#REF!))</f>
        <v>#REF!</v>
      </c>
      <c r="Z100" t="e">
        <f ca="1">IF(A100="","",IF(E100="","",#REF!))</f>
        <v>#REF!</v>
      </c>
      <c r="AA100" t="e">
        <f ca="1">IF(A100="","",IF(E100="","",#REF!))</f>
        <v>#REF!</v>
      </c>
      <c r="AB100" t="e">
        <f ca="1">IF(A100="","",IF(E100="","",#REF!))</f>
        <v>#REF!</v>
      </c>
      <c r="AC100" t="e">
        <f t="shared" ca="1" si="10"/>
        <v>#REF!</v>
      </c>
    </row>
    <row r="101" spans="1:29" x14ac:dyDescent="0.35">
      <c r="A101" t="e" cm="1">
        <f t="array" aca="1" ref="A101" ca="1">IF(A100="","",IF(OR(AND(A100+1&gt;=$AF$1,A100+1&lt;=$AF$2),AND(A100+1&gt;=$AF$6,A100+1&lt;=$AF$7),AND(A100+1&gt;=$AF$3,A100+1&lt;=$AF$4),AND(A100+1&gt;=$AF$8,A100+1&lt;=$AF$9),A100+1=$AF$5),IF(NOT(ISBLANK(INDIRECT("template!"&amp;"P"&amp;A100+1))),A100+1,IF(NOT(ISBLANK(INDIRECT("template!"&amp;"P"&amp;A100+2))),A100+2,A100+3)),IF(A100=$AF$2,$AF$3,IF(A100=$AF$4,$AF$5,IF(A100=$AF$5,$AF$6,IF(A100=$AF$7,$AF$8,""))))))</f>
        <v>#REF!</v>
      </c>
      <c r="B101" t="e">
        <f t="shared" ca="1" si="0"/>
        <v>#REF!</v>
      </c>
      <c r="C101" t="e" cm="1">
        <f t="array" aca="1" ref="C101" ca="1">IF(A101="","",IF(B101="safety","safety costs",INDIRECT("template!"&amp;"B"&amp;A101)))</f>
        <v>#REF!</v>
      </c>
      <c r="D101" t="e" cm="1">
        <f t="array" aca="1" ref="D101" ca="1">IF(OR(A101="",B101="safety"),"",INDIRECT("template!"&amp;"C"&amp;A101))</f>
        <v>#REF!</v>
      </c>
      <c r="E101" t="e" cm="1">
        <f t="array" aca="1" ref="E101" ca="1">IF(A101="","",IF(OR(A101=A100+1,A101=A100+2),E100,INDIRECT("template!"&amp;"D"&amp;A101-2)))</f>
        <v>#REF!</v>
      </c>
      <c r="F101" t="e" cm="1">
        <f t="array" aca="1" ref="F101" ca="1">IF(OR(A101="",B101="safety"),"",IF(ISBLANK(IF(A101=A100+1,F100,INDIRECT("template!"&amp;"D"&amp;A101-1))),"",IF(A101=A100+1,F100,INDIRECT("template!"&amp;"D"&amp;A101-1))))</f>
        <v>#REF!</v>
      </c>
      <c r="G101" t="e" cm="1">
        <f t="array" aca="1" ref="G101" ca="1">IF(OR(A101="",B101="safety"),"",IF(ISBLANK(INDIRECT("template!"&amp;"D"&amp;A101)),"",INDIRECT("template!"&amp;"D"&amp;A101)))</f>
        <v>#REF!</v>
      </c>
      <c r="H101" t="e" cm="1">
        <f t="array" aca="1" ref="H101" ca="1">IF(OR(A101="",B101="safety"),"",IF(ISBLANK(INDIRECT("template!"&amp;"E"&amp;A101)),"",INDIRECT("template!"&amp;"E"&amp;A101)))</f>
        <v>#REF!</v>
      </c>
      <c r="I101" t="e" cm="1">
        <f t="array" aca="1" ref="I101" ca="1">IF(OR(A101="",B101="safety"),"",IF(ISBLANK(INDIRECT("template!"&amp;"F"&amp;A101)),"",INDIRECT("template!"&amp;"F"&amp;A101)))</f>
        <v>#REF!</v>
      </c>
      <c r="J101" t="e" cm="1">
        <f t="array" aca="1" ref="J101" ca="1">IF(OR(A101="",B101="safety"),"",IF(ISBLANK(INDIRECT("template!"&amp;"G"&amp;A101)),"",INDIRECT("template!"&amp;"G"&amp;A101)))</f>
        <v>#REF!</v>
      </c>
      <c r="K101" t="e" cm="1">
        <f t="array" aca="1" ref="K101" ca="1">IF(OR(A101="",B101="safety"),"",IF(ISBLANK(INDIRECT("template!"&amp;"H"&amp;A101)),"",INDIRECT("template!"&amp;"H"&amp;A101)))</f>
        <v>#REF!</v>
      </c>
      <c r="L101" t="e" cm="1">
        <f t="array" aca="1" ref="L101" ca="1">IF(OR(A101="",B101="safety"),"",INDIRECT("template!"&amp;"I"&amp;A101))</f>
        <v>#REF!</v>
      </c>
      <c r="M101" t="e" cm="1">
        <f t="array" aca="1" ref="M101" ca="1">IF(OR(A101="",B101="safety"),"",INDIRECT("template!"&amp;"J"&amp;A101))</f>
        <v>#REF!</v>
      </c>
      <c r="N101" t="e" cm="1">
        <f t="array" aca="1" ref="N101" ca="1">IF(OR(A101="",B101="safety"),"",IF(ISBLANK(INDIRECT("template!"&amp;"K"&amp;A101)),"",INDIRECT("template!"&amp;"K"&amp;A101)))</f>
        <v>#REF!</v>
      </c>
      <c r="O101" t="e" cm="1">
        <f t="array" aca="1" ref="O101" ca="1">IF(OR(A101="",B101="safety"),"",INDIRECT("template!"&amp;"L"&amp;A101))</f>
        <v>#REF!</v>
      </c>
      <c r="P101" t="e" cm="1">
        <f t="array" aca="1" ref="P101" ca="1">IF(OR(A101="",B101="safety"),"",INDIRECT("template!"&amp;"M"&amp;A101))</f>
        <v>#REF!</v>
      </c>
      <c r="Q101" t="e">
        <f t="shared" ca="1" si="6"/>
        <v>#REF!</v>
      </c>
      <c r="R101" t="e">
        <f t="shared" ca="1" si="7"/>
        <v>#REF!</v>
      </c>
      <c r="S101" t="e">
        <f t="shared" ca="1" si="8"/>
        <v>#REF!</v>
      </c>
      <c r="T101" t="e">
        <f t="shared" ca="1" si="9"/>
        <v>#REF!</v>
      </c>
      <c r="U101" t="e" cm="1">
        <f t="array" aca="1" ref="U101" ca="1">IF(A101="","",IF(E101="","",IF(B101="safety",INDIRECT("template!"&amp;"P"&amp;A101),Q101+R101)))</f>
        <v>#REF!</v>
      </c>
      <c r="V101" t="e" cm="1">
        <f t="array" aca="1" ref="V101" ca="1">IF(A101="","",IF(E101="","",IF(B101="safety",INDIRECT("template!"&amp;"P"&amp;A101),S101+T101)))</f>
        <v>#REF!</v>
      </c>
      <c r="W101" t="e">
        <f ca="1">IF(A101="","",IF(E101="","",#REF!))</f>
        <v>#REF!</v>
      </c>
      <c r="X101" t="e">
        <f ca="1">IF(A101="","",IF(E101="","",#REF!))</f>
        <v>#REF!</v>
      </c>
      <c r="Y101" s="39" t="e">
        <f ca="1">IF(A101="","",IF(E101="","",#REF!))</f>
        <v>#REF!</v>
      </c>
      <c r="Z101" t="e">
        <f ca="1">IF(A101="","",IF(E101="","",#REF!))</f>
        <v>#REF!</v>
      </c>
      <c r="AA101" t="e">
        <f ca="1">IF(A101="","",IF(E101="","",#REF!))</f>
        <v>#REF!</v>
      </c>
      <c r="AB101" t="e">
        <f ca="1">IF(A101="","",IF(E101="","",#REF!))</f>
        <v>#REF!</v>
      </c>
      <c r="AC101" t="e">
        <f t="shared" ca="1" si="10"/>
        <v>#REF!</v>
      </c>
    </row>
    <row r="102" spans="1:29" x14ac:dyDescent="0.35">
      <c r="A102" t="e" cm="1">
        <f t="array" aca="1" ref="A102" ca="1">IF(A101="","",IF(OR(AND(A101+1&gt;=$AF$1,A101+1&lt;=$AF$2),AND(A101+1&gt;=$AF$6,A101+1&lt;=$AF$7),AND(A101+1&gt;=$AF$3,A101+1&lt;=$AF$4),AND(A101+1&gt;=$AF$8,A101+1&lt;=$AF$9),A101+1=$AF$5),IF(NOT(ISBLANK(INDIRECT("template!"&amp;"P"&amp;A101+1))),A101+1,IF(NOT(ISBLANK(INDIRECT("template!"&amp;"P"&amp;A101+2))),A101+2,A101+3)),IF(A101=$AF$2,$AF$3,IF(A101=$AF$4,$AF$5,IF(A101=$AF$5,$AF$6,IF(A101=$AF$7,$AF$8,""))))))</f>
        <v>#REF!</v>
      </c>
      <c r="B102" t="e">
        <f t="shared" ca="1" si="0"/>
        <v>#REF!</v>
      </c>
      <c r="C102" t="e" cm="1">
        <f t="array" aca="1" ref="C102" ca="1">IF(A102="","",IF(B102="safety","safety costs",INDIRECT("template!"&amp;"B"&amp;A102)))</f>
        <v>#REF!</v>
      </c>
      <c r="D102" t="e" cm="1">
        <f t="array" aca="1" ref="D102" ca="1">IF(OR(A102="",B102="safety"),"",INDIRECT("template!"&amp;"C"&amp;A102))</f>
        <v>#REF!</v>
      </c>
      <c r="E102" t="e" cm="1">
        <f t="array" aca="1" ref="E102" ca="1">IF(A102="","",IF(OR(A102=A101+1,A102=A101+2),E101,INDIRECT("template!"&amp;"D"&amp;A102-2)))</f>
        <v>#REF!</v>
      </c>
      <c r="F102" t="e" cm="1">
        <f t="array" aca="1" ref="F102" ca="1">IF(OR(A102="",B102="safety"),"",IF(ISBLANK(IF(A102=A101+1,F101,INDIRECT("template!"&amp;"D"&amp;A102-1))),"",IF(A102=A101+1,F101,INDIRECT("template!"&amp;"D"&amp;A102-1))))</f>
        <v>#REF!</v>
      </c>
      <c r="G102" t="e" cm="1">
        <f t="array" aca="1" ref="G102" ca="1">IF(OR(A102="",B102="safety"),"",IF(ISBLANK(INDIRECT("template!"&amp;"D"&amp;A102)),"",INDIRECT("template!"&amp;"D"&amp;A102)))</f>
        <v>#REF!</v>
      </c>
      <c r="H102" t="e" cm="1">
        <f t="array" aca="1" ref="H102" ca="1">IF(OR(A102="",B102="safety"),"",IF(ISBLANK(INDIRECT("template!"&amp;"E"&amp;A102)),"",INDIRECT("template!"&amp;"E"&amp;A102)))</f>
        <v>#REF!</v>
      </c>
      <c r="I102" t="e" cm="1">
        <f t="array" aca="1" ref="I102" ca="1">IF(OR(A102="",B102="safety"),"",IF(ISBLANK(INDIRECT("template!"&amp;"F"&amp;A102)),"",INDIRECT("template!"&amp;"F"&amp;A102)))</f>
        <v>#REF!</v>
      </c>
      <c r="J102" t="e" cm="1">
        <f t="array" aca="1" ref="J102" ca="1">IF(OR(A102="",B102="safety"),"",IF(ISBLANK(INDIRECT("template!"&amp;"G"&amp;A102)),"",INDIRECT("template!"&amp;"G"&amp;A102)))</f>
        <v>#REF!</v>
      </c>
      <c r="K102" t="e" cm="1">
        <f t="array" aca="1" ref="K102" ca="1">IF(OR(A102="",B102="safety"),"",IF(ISBLANK(INDIRECT("template!"&amp;"H"&amp;A102)),"",INDIRECT("template!"&amp;"H"&amp;A102)))</f>
        <v>#REF!</v>
      </c>
      <c r="L102" t="e" cm="1">
        <f t="array" aca="1" ref="L102" ca="1">IF(OR(A102="",B102="safety"),"",INDIRECT("template!"&amp;"I"&amp;A102))</f>
        <v>#REF!</v>
      </c>
      <c r="M102" t="e" cm="1">
        <f t="array" aca="1" ref="M102" ca="1">IF(OR(A102="",B102="safety"),"",INDIRECT("template!"&amp;"J"&amp;A102))</f>
        <v>#REF!</v>
      </c>
      <c r="N102" t="e" cm="1">
        <f t="array" aca="1" ref="N102" ca="1">IF(OR(A102="",B102="safety"),"",IF(ISBLANK(INDIRECT("template!"&amp;"K"&amp;A102)),"",INDIRECT("template!"&amp;"K"&amp;A102)))</f>
        <v>#REF!</v>
      </c>
      <c r="O102" t="e" cm="1">
        <f t="array" aca="1" ref="O102" ca="1">IF(OR(A102="",B102="safety"),"",INDIRECT("template!"&amp;"L"&amp;A102))</f>
        <v>#REF!</v>
      </c>
      <c r="P102" t="e" cm="1">
        <f t="array" aca="1" ref="P102" ca="1">IF(OR(A102="",B102="safety"),"",INDIRECT("template!"&amp;"M"&amp;A102))</f>
        <v>#REF!</v>
      </c>
      <c r="Q102" t="e">
        <f t="shared" ca="1" si="6"/>
        <v>#REF!</v>
      </c>
      <c r="R102" t="e">
        <f t="shared" ca="1" si="7"/>
        <v>#REF!</v>
      </c>
      <c r="S102" t="e">
        <f t="shared" ca="1" si="8"/>
        <v>#REF!</v>
      </c>
      <c r="T102" t="e">
        <f t="shared" ca="1" si="9"/>
        <v>#REF!</v>
      </c>
      <c r="U102" t="e" cm="1">
        <f t="array" aca="1" ref="U102" ca="1">IF(A102="","",IF(E102="","",IF(B102="safety",INDIRECT("template!"&amp;"P"&amp;A102),Q102+R102)))</f>
        <v>#REF!</v>
      </c>
      <c r="V102" t="e" cm="1">
        <f t="array" aca="1" ref="V102" ca="1">IF(A102="","",IF(E102="","",IF(B102="safety",INDIRECT("template!"&amp;"P"&amp;A102),S102+T102)))</f>
        <v>#REF!</v>
      </c>
      <c r="W102" t="e">
        <f ca="1">IF(A102="","",IF(E102="","",#REF!))</f>
        <v>#REF!</v>
      </c>
      <c r="X102" t="e">
        <f ca="1">IF(A102="","",IF(E102="","",#REF!))</f>
        <v>#REF!</v>
      </c>
      <c r="Y102" s="39" t="e">
        <f ca="1">IF(A102="","",IF(E102="","",#REF!))</f>
        <v>#REF!</v>
      </c>
      <c r="Z102" t="e">
        <f ca="1">IF(A102="","",IF(E102="","",#REF!))</f>
        <v>#REF!</v>
      </c>
      <c r="AA102" t="e">
        <f ca="1">IF(A102="","",IF(E102="","",#REF!))</f>
        <v>#REF!</v>
      </c>
      <c r="AB102" t="e">
        <f ca="1">IF(A102="","",IF(E102="","",#REF!))</f>
        <v>#REF!</v>
      </c>
      <c r="AC102" t="e">
        <f t="shared" ca="1" si="10"/>
        <v>#REF!</v>
      </c>
    </row>
    <row r="103" spans="1:29" x14ac:dyDescent="0.35">
      <c r="A103" t="e" cm="1">
        <f t="array" aca="1" ref="A103" ca="1">IF(A102="","",IF(OR(AND(A102+1&gt;=$AF$1,A102+1&lt;=$AF$2),AND(A102+1&gt;=$AF$6,A102+1&lt;=$AF$7),AND(A102+1&gt;=$AF$3,A102+1&lt;=$AF$4),AND(A102+1&gt;=$AF$8,A102+1&lt;=$AF$9),A102+1=$AF$5),IF(NOT(ISBLANK(INDIRECT("template!"&amp;"P"&amp;A102+1))),A102+1,IF(NOT(ISBLANK(INDIRECT("template!"&amp;"P"&amp;A102+2))),A102+2,A102+3)),IF(A102=$AF$2,$AF$3,IF(A102=$AF$4,$AF$5,IF(A102=$AF$5,$AF$6,IF(A102=$AF$7,$AF$8,""))))))</f>
        <v>#REF!</v>
      </c>
      <c r="B103" t="e">
        <f t="shared" ca="1" si="0"/>
        <v>#REF!</v>
      </c>
      <c r="C103" t="e" cm="1">
        <f t="array" aca="1" ref="C103" ca="1">IF(A103="","",IF(B103="safety","safety costs",INDIRECT("template!"&amp;"B"&amp;A103)))</f>
        <v>#REF!</v>
      </c>
      <c r="D103" t="e" cm="1">
        <f t="array" aca="1" ref="D103" ca="1">IF(OR(A103="",B103="safety"),"",INDIRECT("template!"&amp;"C"&amp;A103))</f>
        <v>#REF!</v>
      </c>
      <c r="E103" t="e" cm="1">
        <f t="array" aca="1" ref="E103" ca="1">IF(A103="","",IF(OR(A103=A102+1,A103=A102+2),E102,INDIRECT("template!"&amp;"D"&amp;A103-2)))</f>
        <v>#REF!</v>
      </c>
      <c r="F103" t="e" cm="1">
        <f t="array" aca="1" ref="F103" ca="1">IF(OR(A103="",B103="safety"),"",IF(ISBLANK(IF(A103=A102+1,F102,INDIRECT("template!"&amp;"D"&amp;A103-1))),"",IF(A103=A102+1,F102,INDIRECT("template!"&amp;"D"&amp;A103-1))))</f>
        <v>#REF!</v>
      </c>
      <c r="G103" t="e" cm="1">
        <f t="array" aca="1" ref="G103" ca="1">IF(OR(A103="",B103="safety"),"",IF(ISBLANK(INDIRECT("template!"&amp;"D"&amp;A103)),"",INDIRECT("template!"&amp;"D"&amp;A103)))</f>
        <v>#REF!</v>
      </c>
      <c r="H103" t="e" cm="1">
        <f t="array" aca="1" ref="H103" ca="1">IF(OR(A103="",B103="safety"),"",IF(ISBLANK(INDIRECT("template!"&amp;"E"&amp;A103)),"",INDIRECT("template!"&amp;"E"&amp;A103)))</f>
        <v>#REF!</v>
      </c>
      <c r="I103" t="e" cm="1">
        <f t="array" aca="1" ref="I103" ca="1">IF(OR(A103="",B103="safety"),"",IF(ISBLANK(INDIRECT("template!"&amp;"F"&amp;A103)),"",INDIRECT("template!"&amp;"F"&amp;A103)))</f>
        <v>#REF!</v>
      </c>
      <c r="J103" t="e" cm="1">
        <f t="array" aca="1" ref="J103" ca="1">IF(OR(A103="",B103="safety"),"",IF(ISBLANK(INDIRECT("template!"&amp;"G"&amp;A103)),"",INDIRECT("template!"&amp;"G"&amp;A103)))</f>
        <v>#REF!</v>
      </c>
      <c r="K103" t="e" cm="1">
        <f t="array" aca="1" ref="K103" ca="1">IF(OR(A103="",B103="safety"),"",IF(ISBLANK(INDIRECT("template!"&amp;"H"&amp;A103)),"",INDIRECT("template!"&amp;"H"&amp;A103)))</f>
        <v>#REF!</v>
      </c>
      <c r="L103" t="e" cm="1">
        <f t="array" aca="1" ref="L103" ca="1">IF(OR(A103="",B103="safety"),"",INDIRECT("template!"&amp;"I"&amp;A103))</f>
        <v>#REF!</v>
      </c>
      <c r="M103" t="e" cm="1">
        <f t="array" aca="1" ref="M103" ca="1">IF(OR(A103="",B103="safety"),"",INDIRECT("template!"&amp;"J"&amp;A103))</f>
        <v>#REF!</v>
      </c>
      <c r="N103" t="e" cm="1">
        <f t="array" aca="1" ref="N103" ca="1">IF(OR(A103="",B103="safety"),"",IF(ISBLANK(INDIRECT("template!"&amp;"K"&amp;A103)),"",INDIRECT("template!"&amp;"K"&amp;A103)))</f>
        <v>#REF!</v>
      </c>
      <c r="O103" t="e" cm="1">
        <f t="array" aca="1" ref="O103" ca="1">IF(OR(A103="",B103="safety"),"",INDIRECT("template!"&amp;"L"&amp;A103))</f>
        <v>#REF!</v>
      </c>
      <c r="P103" t="e" cm="1">
        <f t="array" aca="1" ref="P103" ca="1">IF(OR(A103="",B103="safety"),"",INDIRECT("template!"&amp;"M"&amp;A103))</f>
        <v>#REF!</v>
      </c>
      <c r="Q103" t="e">
        <f t="shared" ca="1" si="6"/>
        <v>#REF!</v>
      </c>
      <c r="R103" t="e">
        <f t="shared" ca="1" si="7"/>
        <v>#REF!</v>
      </c>
      <c r="S103" t="e">
        <f t="shared" ca="1" si="8"/>
        <v>#REF!</v>
      </c>
      <c r="T103" t="e">
        <f t="shared" ca="1" si="9"/>
        <v>#REF!</v>
      </c>
      <c r="U103" t="e" cm="1">
        <f t="array" aca="1" ref="U103" ca="1">IF(A103="","",IF(E103="","",IF(B103="safety",INDIRECT("template!"&amp;"P"&amp;A103),Q103+R103)))</f>
        <v>#REF!</v>
      </c>
      <c r="V103" t="e" cm="1">
        <f t="array" aca="1" ref="V103" ca="1">IF(A103="","",IF(E103="","",IF(B103="safety",INDIRECT("template!"&amp;"P"&amp;A103),S103+T103)))</f>
        <v>#REF!</v>
      </c>
      <c r="W103" t="e">
        <f ca="1">IF(A103="","",IF(E103="","",#REF!))</f>
        <v>#REF!</v>
      </c>
      <c r="X103" t="e">
        <f ca="1">IF(A103="","",IF(E103="","",#REF!))</f>
        <v>#REF!</v>
      </c>
      <c r="Y103" s="39" t="e">
        <f ca="1">IF(A103="","",IF(E103="","",#REF!))</f>
        <v>#REF!</v>
      </c>
      <c r="Z103" t="e">
        <f ca="1">IF(A103="","",IF(E103="","",#REF!))</f>
        <v>#REF!</v>
      </c>
      <c r="AA103" t="e">
        <f ca="1">IF(A103="","",IF(E103="","",#REF!))</f>
        <v>#REF!</v>
      </c>
      <c r="AB103" t="e">
        <f ca="1">IF(A103="","",IF(E103="","",#REF!))</f>
        <v>#REF!</v>
      </c>
      <c r="AC103" t="e">
        <f t="shared" ca="1" si="10"/>
        <v>#REF!</v>
      </c>
    </row>
    <row r="104" spans="1:29" x14ac:dyDescent="0.35">
      <c r="A104" t="e" cm="1">
        <f t="array" aca="1" ref="A104" ca="1">IF(A103="","",IF(OR(AND(A103+1&gt;=$AF$1,A103+1&lt;=$AF$2),AND(A103+1&gt;=$AF$6,A103+1&lt;=$AF$7),AND(A103+1&gt;=$AF$3,A103+1&lt;=$AF$4),AND(A103+1&gt;=$AF$8,A103+1&lt;=$AF$9),A103+1=$AF$5),IF(NOT(ISBLANK(INDIRECT("template!"&amp;"P"&amp;A103+1))),A103+1,IF(NOT(ISBLANK(INDIRECT("template!"&amp;"P"&amp;A103+2))),A103+2,A103+3)),IF(A103=$AF$2,$AF$3,IF(A103=$AF$4,$AF$5,IF(A103=$AF$5,$AF$6,IF(A103=$AF$7,$AF$8,""))))))</f>
        <v>#REF!</v>
      </c>
      <c r="B104" t="e">
        <f t="shared" ca="1" si="0"/>
        <v>#REF!</v>
      </c>
      <c r="C104" t="e" cm="1">
        <f t="array" aca="1" ref="C104" ca="1">IF(A104="","",IF(B104="safety","safety costs",INDIRECT("template!"&amp;"B"&amp;A104)))</f>
        <v>#REF!</v>
      </c>
      <c r="D104" t="e" cm="1">
        <f t="array" aca="1" ref="D104" ca="1">IF(OR(A104="",B104="safety"),"",INDIRECT("template!"&amp;"C"&amp;A104))</f>
        <v>#REF!</v>
      </c>
      <c r="E104" t="e" cm="1">
        <f t="array" aca="1" ref="E104" ca="1">IF(A104="","",IF(OR(A104=A103+1,A104=A103+2),E103,INDIRECT("template!"&amp;"D"&amp;A104-2)))</f>
        <v>#REF!</v>
      </c>
      <c r="F104" t="e" cm="1">
        <f t="array" aca="1" ref="F104" ca="1">IF(OR(A104="",B104="safety"),"",IF(ISBLANK(IF(A104=A103+1,F103,INDIRECT("template!"&amp;"D"&amp;A104-1))),"",IF(A104=A103+1,F103,INDIRECT("template!"&amp;"D"&amp;A104-1))))</f>
        <v>#REF!</v>
      </c>
      <c r="G104" t="e" cm="1">
        <f t="array" aca="1" ref="G104" ca="1">IF(OR(A104="",B104="safety"),"",IF(ISBLANK(INDIRECT("template!"&amp;"D"&amp;A104)),"",INDIRECT("template!"&amp;"D"&amp;A104)))</f>
        <v>#REF!</v>
      </c>
      <c r="H104" t="e" cm="1">
        <f t="array" aca="1" ref="H104" ca="1">IF(OR(A104="",B104="safety"),"",IF(ISBLANK(INDIRECT("template!"&amp;"E"&amp;A104)),"",INDIRECT("template!"&amp;"E"&amp;A104)))</f>
        <v>#REF!</v>
      </c>
      <c r="I104" t="e" cm="1">
        <f t="array" aca="1" ref="I104" ca="1">IF(OR(A104="",B104="safety"),"",IF(ISBLANK(INDIRECT("template!"&amp;"F"&amp;A104)),"",INDIRECT("template!"&amp;"F"&amp;A104)))</f>
        <v>#REF!</v>
      </c>
      <c r="J104" t="e" cm="1">
        <f t="array" aca="1" ref="J104" ca="1">IF(OR(A104="",B104="safety"),"",IF(ISBLANK(INDIRECT("template!"&amp;"G"&amp;A104)),"",INDIRECT("template!"&amp;"G"&amp;A104)))</f>
        <v>#REF!</v>
      </c>
      <c r="K104" t="e" cm="1">
        <f t="array" aca="1" ref="K104" ca="1">IF(OR(A104="",B104="safety"),"",IF(ISBLANK(INDIRECT("template!"&amp;"H"&amp;A104)),"",INDIRECT("template!"&amp;"H"&amp;A104)))</f>
        <v>#REF!</v>
      </c>
      <c r="L104" t="e" cm="1">
        <f t="array" aca="1" ref="L104" ca="1">IF(OR(A104="",B104="safety"),"",INDIRECT("template!"&amp;"I"&amp;A104))</f>
        <v>#REF!</v>
      </c>
      <c r="M104" t="e" cm="1">
        <f t="array" aca="1" ref="M104" ca="1">IF(OR(A104="",B104="safety"),"",INDIRECT("template!"&amp;"J"&amp;A104))</f>
        <v>#REF!</v>
      </c>
      <c r="N104" t="e" cm="1">
        <f t="array" aca="1" ref="N104" ca="1">IF(OR(A104="",B104="safety"),"",IF(ISBLANK(INDIRECT("template!"&amp;"K"&amp;A104)),"",INDIRECT("template!"&amp;"K"&amp;A104)))</f>
        <v>#REF!</v>
      </c>
      <c r="O104" t="e" cm="1">
        <f t="array" aca="1" ref="O104" ca="1">IF(OR(A104="",B104="safety"),"",INDIRECT("template!"&amp;"L"&amp;A104))</f>
        <v>#REF!</v>
      </c>
      <c r="P104" t="e" cm="1">
        <f t="array" aca="1" ref="P104" ca="1">IF(OR(A104="",B104="safety"),"",INDIRECT("template!"&amp;"M"&amp;A104))</f>
        <v>#REF!</v>
      </c>
      <c r="Q104" t="e">
        <f t="shared" ca="1" si="6"/>
        <v>#REF!</v>
      </c>
      <c r="R104" t="e">
        <f t="shared" ca="1" si="7"/>
        <v>#REF!</v>
      </c>
      <c r="S104" t="e">
        <f t="shared" ca="1" si="8"/>
        <v>#REF!</v>
      </c>
      <c r="T104" t="e">
        <f t="shared" ca="1" si="9"/>
        <v>#REF!</v>
      </c>
      <c r="U104" t="e" cm="1">
        <f t="array" aca="1" ref="U104" ca="1">IF(A104="","",IF(E104="","",IF(B104="safety",INDIRECT("template!"&amp;"P"&amp;A104),Q104+R104)))</f>
        <v>#REF!</v>
      </c>
      <c r="V104" t="e" cm="1">
        <f t="array" aca="1" ref="V104" ca="1">IF(A104="","",IF(E104="","",IF(B104="safety",INDIRECT("template!"&amp;"P"&amp;A104),S104+T104)))</f>
        <v>#REF!</v>
      </c>
      <c r="W104" t="e">
        <f ca="1">IF(A104="","",IF(E104="","",#REF!))</f>
        <v>#REF!</v>
      </c>
      <c r="X104" t="e">
        <f ca="1">IF(A104="","",IF(E104="","",#REF!))</f>
        <v>#REF!</v>
      </c>
      <c r="Y104" s="39" t="e">
        <f ca="1">IF(A104="","",IF(E104="","",#REF!))</f>
        <v>#REF!</v>
      </c>
      <c r="Z104" t="e">
        <f ca="1">IF(A104="","",IF(E104="","",#REF!))</f>
        <v>#REF!</v>
      </c>
      <c r="AA104" t="e">
        <f ca="1">IF(A104="","",IF(E104="","",#REF!))</f>
        <v>#REF!</v>
      </c>
      <c r="AB104" t="e">
        <f ca="1">IF(A104="","",IF(E104="","",#REF!))</f>
        <v>#REF!</v>
      </c>
      <c r="AC104" t="e">
        <f t="shared" ca="1" si="10"/>
        <v>#REF!</v>
      </c>
    </row>
    <row r="105" spans="1:29" x14ac:dyDescent="0.35">
      <c r="A105" t="e" cm="1">
        <f t="array" aca="1" ref="A105" ca="1">IF(A104="","",IF(OR(AND(A104+1&gt;=$AF$1,A104+1&lt;=$AF$2),AND(A104+1&gt;=$AF$6,A104+1&lt;=$AF$7),AND(A104+1&gt;=$AF$3,A104+1&lt;=$AF$4),AND(A104+1&gt;=$AF$8,A104+1&lt;=$AF$9),A104+1=$AF$5),IF(NOT(ISBLANK(INDIRECT("template!"&amp;"P"&amp;A104+1))),A104+1,IF(NOT(ISBLANK(INDIRECT("template!"&amp;"P"&amp;A104+2))),A104+2,A104+3)),IF(A104=$AF$2,$AF$3,IF(A104=$AF$4,$AF$5,IF(A104=$AF$5,$AF$6,IF(A104=$AF$7,$AF$8,""))))))</f>
        <v>#REF!</v>
      </c>
      <c r="B105" t="e">
        <f t="shared" ca="1" si="0"/>
        <v>#REF!</v>
      </c>
      <c r="C105" t="e" cm="1">
        <f t="array" aca="1" ref="C105" ca="1">IF(A105="","",IF(B105="safety","safety costs",INDIRECT("template!"&amp;"B"&amp;A105)))</f>
        <v>#REF!</v>
      </c>
      <c r="D105" t="e" cm="1">
        <f t="array" aca="1" ref="D105" ca="1">IF(OR(A105="",B105="safety"),"",INDIRECT("template!"&amp;"C"&amp;A105))</f>
        <v>#REF!</v>
      </c>
      <c r="E105" t="e" cm="1">
        <f t="array" aca="1" ref="E105" ca="1">IF(A105="","",IF(OR(A105=A104+1,A105=A104+2),E104,INDIRECT("template!"&amp;"D"&amp;A105-2)))</f>
        <v>#REF!</v>
      </c>
      <c r="F105" t="e" cm="1">
        <f t="array" aca="1" ref="F105" ca="1">IF(OR(A105="",B105="safety"),"",IF(ISBLANK(IF(A105=A104+1,F104,INDIRECT("template!"&amp;"D"&amp;A105-1))),"",IF(A105=A104+1,F104,INDIRECT("template!"&amp;"D"&amp;A105-1))))</f>
        <v>#REF!</v>
      </c>
      <c r="G105" t="e" cm="1">
        <f t="array" aca="1" ref="G105" ca="1">IF(OR(A105="",B105="safety"),"",IF(ISBLANK(INDIRECT("template!"&amp;"D"&amp;A105)),"",INDIRECT("template!"&amp;"D"&amp;A105)))</f>
        <v>#REF!</v>
      </c>
      <c r="H105" t="e" cm="1">
        <f t="array" aca="1" ref="H105" ca="1">IF(OR(A105="",B105="safety"),"",IF(ISBLANK(INDIRECT("template!"&amp;"E"&amp;A105)),"",INDIRECT("template!"&amp;"E"&amp;A105)))</f>
        <v>#REF!</v>
      </c>
      <c r="I105" t="e" cm="1">
        <f t="array" aca="1" ref="I105" ca="1">IF(OR(A105="",B105="safety"),"",IF(ISBLANK(INDIRECT("template!"&amp;"F"&amp;A105)),"",INDIRECT("template!"&amp;"F"&amp;A105)))</f>
        <v>#REF!</v>
      </c>
      <c r="J105" t="e" cm="1">
        <f t="array" aca="1" ref="J105" ca="1">IF(OR(A105="",B105="safety"),"",IF(ISBLANK(INDIRECT("template!"&amp;"G"&amp;A105)),"",INDIRECT("template!"&amp;"G"&amp;A105)))</f>
        <v>#REF!</v>
      </c>
      <c r="K105" t="e" cm="1">
        <f t="array" aca="1" ref="K105" ca="1">IF(OR(A105="",B105="safety"),"",IF(ISBLANK(INDIRECT("template!"&amp;"H"&amp;A105)),"",INDIRECT("template!"&amp;"H"&amp;A105)))</f>
        <v>#REF!</v>
      </c>
      <c r="L105" t="e" cm="1">
        <f t="array" aca="1" ref="L105" ca="1">IF(OR(A105="",B105="safety"),"",INDIRECT("template!"&amp;"I"&amp;A105))</f>
        <v>#REF!</v>
      </c>
      <c r="M105" t="e" cm="1">
        <f t="array" aca="1" ref="M105" ca="1">IF(OR(A105="",B105="safety"),"",INDIRECT("template!"&amp;"J"&amp;A105))</f>
        <v>#REF!</v>
      </c>
      <c r="N105" t="e" cm="1">
        <f t="array" aca="1" ref="N105" ca="1">IF(OR(A105="",B105="safety"),"",IF(ISBLANK(INDIRECT("template!"&amp;"K"&amp;A105)),"",INDIRECT("template!"&amp;"K"&amp;A105)))</f>
        <v>#REF!</v>
      </c>
      <c r="O105" t="e" cm="1">
        <f t="array" aca="1" ref="O105" ca="1">IF(OR(A105="",B105="safety"),"",INDIRECT("template!"&amp;"L"&amp;A105))</f>
        <v>#REF!</v>
      </c>
      <c r="P105" t="e" cm="1">
        <f t="array" aca="1" ref="P105" ca="1">IF(OR(A105="",B105="safety"),"",INDIRECT("template!"&amp;"M"&amp;A105))</f>
        <v>#REF!</v>
      </c>
      <c r="Q105" t="e">
        <f t="shared" ca="1" si="6"/>
        <v>#REF!</v>
      </c>
      <c r="R105" t="e">
        <f t="shared" ca="1" si="7"/>
        <v>#REF!</v>
      </c>
      <c r="S105" t="e">
        <f t="shared" ca="1" si="8"/>
        <v>#REF!</v>
      </c>
      <c r="T105" t="e">
        <f t="shared" ca="1" si="9"/>
        <v>#REF!</v>
      </c>
      <c r="U105" t="e" cm="1">
        <f t="array" aca="1" ref="U105" ca="1">IF(A105="","",IF(E105="","",IF(B105="safety",INDIRECT("template!"&amp;"P"&amp;A105),Q105+R105)))</f>
        <v>#REF!</v>
      </c>
      <c r="V105" t="e" cm="1">
        <f t="array" aca="1" ref="V105" ca="1">IF(A105="","",IF(E105="","",IF(B105="safety",INDIRECT("template!"&amp;"P"&amp;A105),S105+T105)))</f>
        <v>#REF!</v>
      </c>
      <c r="W105" t="e">
        <f ca="1">IF(A105="","",IF(E105="","",#REF!))</f>
        <v>#REF!</v>
      </c>
      <c r="X105" t="e">
        <f ca="1">IF(A105="","",IF(E105="","",#REF!))</f>
        <v>#REF!</v>
      </c>
      <c r="Y105" s="39" t="e">
        <f ca="1">IF(A105="","",IF(E105="","",#REF!))</f>
        <v>#REF!</v>
      </c>
      <c r="Z105" t="e">
        <f ca="1">IF(A105="","",IF(E105="","",#REF!))</f>
        <v>#REF!</v>
      </c>
      <c r="AA105" t="e">
        <f ca="1">IF(A105="","",IF(E105="","",#REF!))</f>
        <v>#REF!</v>
      </c>
      <c r="AB105" t="e">
        <f ca="1">IF(A105="","",IF(E105="","",#REF!))</f>
        <v>#REF!</v>
      </c>
      <c r="AC105" t="e">
        <f t="shared" ca="1" si="10"/>
        <v>#REF!</v>
      </c>
    </row>
    <row r="106" spans="1:29" x14ac:dyDescent="0.35">
      <c r="A106" t="e" cm="1">
        <f t="array" aca="1" ref="A106" ca="1">IF(A105="","",IF(OR(AND(A105+1&gt;=$AF$1,A105+1&lt;=$AF$2),AND(A105+1&gt;=$AF$6,A105+1&lt;=$AF$7),AND(A105+1&gt;=$AF$3,A105+1&lt;=$AF$4),AND(A105+1&gt;=$AF$8,A105+1&lt;=$AF$9),A105+1=$AF$5),IF(NOT(ISBLANK(INDIRECT("template!"&amp;"P"&amp;A105+1))),A105+1,IF(NOT(ISBLANK(INDIRECT("template!"&amp;"P"&amp;A105+2))),A105+2,A105+3)),IF(A105=$AF$2,$AF$3,IF(A105=$AF$4,$AF$5,IF(A105=$AF$5,$AF$6,IF(A105=$AF$7,$AF$8,""))))))</f>
        <v>#REF!</v>
      </c>
      <c r="B106" t="e">
        <f t="shared" ca="1" si="0"/>
        <v>#REF!</v>
      </c>
      <c r="C106" t="e" cm="1">
        <f t="array" aca="1" ref="C106" ca="1">IF(A106="","",IF(B106="safety","safety costs",INDIRECT("template!"&amp;"B"&amp;A106)))</f>
        <v>#REF!</v>
      </c>
      <c r="D106" t="e" cm="1">
        <f t="array" aca="1" ref="D106" ca="1">IF(OR(A106="",B106="safety"),"",INDIRECT("template!"&amp;"C"&amp;A106))</f>
        <v>#REF!</v>
      </c>
      <c r="E106" t="e" cm="1">
        <f t="array" aca="1" ref="E106" ca="1">IF(A106="","",IF(OR(A106=A105+1,A106=A105+2),E105,INDIRECT("template!"&amp;"D"&amp;A106-2)))</f>
        <v>#REF!</v>
      </c>
      <c r="F106" t="e" cm="1">
        <f t="array" aca="1" ref="F106" ca="1">IF(OR(A106="",B106="safety"),"",IF(ISBLANK(IF(A106=A105+1,F105,INDIRECT("template!"&amp;"D"&amp;A106-1))),"",IF(A106=A105+1,F105,INDIRECT("template!"&amp;"D"&amp;A106-1))))</f>
        <v>#REF!</v>
      </c>
      <c r="G106" t="e" cm="1">
        <f t="array" aca="1" ref="G106" ca="1">IF(OR(A106="",B106="safety"),"",IF(ISBLANK(INDIRECT("template!"&amp;"D"&amp;A106)),"",INDIRECT("template!"&amp;"D"&amp;A106)))</f>
        <v>#REF!</v>
      </c>
      <c r="H106" t="e" cm="1">
        <f t="array" aca="1" ref="H106" ca="1">IF(OR(A106="",B106="safety"),"",IF(ISBLANK(INDIRECT("template!"&amp;"E"&amp;A106)),"",INDIRECT("template!"&amp;"E"&amp;A106)))</f>
        <v>#REF!</v>
      </c>
      <c r="I106" t="e" cm="1">
        <f t="array" aca="1" ref="I106" ca="1">IF(OR(A106="",B106="safety"),"",IF(ISBLANK(INDIRECT("template!"&amp;"F"&amp;A106)),"",INDIRECT("template!"&amp;"F"&amp;A106)))</f>
        <v>#REF!</v>
      </c>
      <c r="J106" t="e" cm="1">
        <f t="array" aca="1" ref="J106" ca="1">IF(OR(A106="",B106="safety"),"",IF(ISBLANK(INDIRECT("template!"&amp;"G"&amp;A106)),"",INDIRECT("template!"&amp;"G"&amp;A106)))</f>
        <v>#REF!</v>
      </c>
      <c r="K106" t="e" cm="1">
        <f t="array" aca="1" ref="K106" ca="1">IF(OR(A106="",B106="safety"),"",IF(ISBLANK(INDIRECT("template!"&amp;"H"&amp;A106)),"",INDIRECT("template!"&amp;"H"&amp;A106)))</f>
        <v>#REF!</v>
      </c>
      <c r="L106" t="e" cm="1">
        <f t="array" aca="1" ref="L106" ca="1">IF(OR(A106="",B106="safety"),"",INDIRECT("template!"&amp;"I"&amp;A106))</f>
        <v>#REF!</v>
      </c>
      <c r="M106" t="e" cm="1">
        <f t="array" aca="1" ref="M106" ca="1">IF(OR(A106="",B106="safety"),"",INDIRECT("template!"&amp;"J"&amp;A106))</f>
        <v>#REF!</v>
      </c>
      <c r="N106" t="e" cm="1">
        <f t="array" aca="1" ref="N106" ca="1">IF(OR(A106="",B106="safety"),"",IF(ISBLANK(INDIRECT("template!"&amp;"K"&amp;A106)),"",INDIRECT("template!"&amp;"K"&amp;A106)))</f>
        <v>#REF!</v>
      </c>
      <c r="O106" t="e" cm="1">
        <f t="array" aca="1" ref="O106" ca="1">IF(OR(A106="",B106="safety"),"",INDIRECT("template!"&amp;"L"&amp;A106))</f>
        <v>#REF!</v>
      </c>
      <c r="P106" t="e" cm="1">
        <f t="array" aca="1" ref="P106" ca="1">IF(OR(A106="",B106="safety"),"",INDIRECT("template!"&amp;"M"&amp;A106))</f>
        <v>#REF!</v>
      </c>
      <c r="Q106" t="e">
        <f t="shared" ca="1" si="6"/>
        <v>#REF!</v>
      </c>
      <c r="R106" t="e">
        <f t="shared" ca="1" si="7"/>
        <v>#REF!</v>
      </c>
      <c r="S106" t="e">
        <f t="shared" ca="1" si="8"/>
        <v>#REF!</v>
      </c>
      <c r="T106" t="e">
        <f t="shared" ca="1" si="9"/>
        <v>#REF!</v>
      </c>
      <c r="U106" t="e" cm="1">
        <f t="array" aca="1" ref="U106" ca="1">IF(A106="","",IF(E106="","",IF(B106="safety",INDIRECT("template!"&amp;"P"&amp;A106),Q106+R106)))</f>
        <v>#REF!</v>
      </c>
      <c r="V106" t="e" cm="1">
        <f t="array" aca="1" ref="V106" ca="1">IF(A106="","",IF(E106="","",IF(B106="safety",INDIRECT("template!"&amp;"P"&amp;A106),S106+T106)))</f>
        <v>#REF!</v>
      </c>
      <c r="W106" t="e">
        <f ca="1">IF(A106="","",IF(E106="","",#REF!))</f>
        <v>#REF!</v>
      </c>
      <c r="X106" t="e">
        <f ca="1">IF(A106="","",IF(E106="","",#REF!))</f>
        <v>#REF!</v>
      </c>
      <c r="Y106" s="39" t="e">
        <f ca="1">IF(A106="","",IF(E106="","",#REF!))</f>
        <v>#REF!</v>
      </c>
      <c r="Z106" t="e">
        <f ca="1">IF(A106="","",IF(E106="","",#REF!))</f>
        <v>#REF!</v>
      </c>
      <c r="AA106" t="e">
        <f ca="1">IF(A106="","",IF(E106="","",#REF!))</f>
        <v>#REF!</v>
      </c>
      <c r="AB106" t="e">
        <f ca="1">IF(A106="","",IF(E106="","",#REF!))</f>
        <v>#REF!</v>
      </c>
      <c r="AC106" t="e">
        <f t="shared" ca="1" si="10"/>
        <v>#REF!</v>
      </c>
    </row>
    <row r="107" spans="1:29" x14ac:dyDescent="0.35">
      <c r="A107" t="e" cm="1">
        <f t="array" aca="1" ref="A107" ca="1">IF(A106="","",IF(OR(AND(A106+1&gt;=$AF$1,A106+1&lt;=$AF$2),AND(A106+1&gt;=$AF$6,A106+1&lt;=$AF$7),AND(A106+1&gt;=$AF$3,A106+1&lt;=$AF$4),AND(A106+1&gt;=$AF$8,A106+1&lt;=$AF$9),A106+1=$AF$5),IF(NOT(ISBLANK(INDIRECT("template!"&amp;"P"&amp;A106+1))),A106+1,IF(NOT(ISBLANK(INDIRECT("template!"&amp;"P"&amp;A106+2))),A106+2,A106+3)),IF(A106=$AF$2,$AF$3,IF(A106=$AF$4,$AF$5,IF(A106=$AF$5,$AF$6,IF(A106=$AF$7,$AF$8,""))))))</f>
        <v>#REF!</v>
      </c>
      <c r="B107" t="e">
        <f t="shared" ca="1" si="0"/>
        <v>#REF!</v>
      </c>
      <c r="C107" t="e" cm="1">
        <f t="array" aca="1" ref="C107" ca="1">IF(A107="","",IF(B107="safety","safety costs",INDIRECT("template!"&amp;"B"&amp;A107)))</f>
        <v>#REF!</v>
      </c>
      <c r="D107" t="e" cm="1">
        <f t="array" aca="1" ref="D107" ca="1">IF(OR(A107="",B107="safety"),"",INDIRECT("template!"&amp;"C"&amp;A107))</f>
        <v>#REF!</v>
      </c>
      <c r="E107" t="e" cm="1">
        <f t="array" aca="1" ref="E107" ca="1">IF(A107="","",IF(OR(A107=A106+1,A107=A106+2),E106,INDIRECT("template!"&amp;"D"&amp;A107-2)))</f>
        <v>#REF!</v>
      </c>
      <c r="F107" t="e" cm="1">
        <f t="array" aca="1" ref="F107" ca="1">IF(OR(A107="",B107="safety"),"",IF(ISBLANK(IF(A107=A106+1,F106,INDIRECT("template!"&amp;"D"&amp;A107-1))),"",IF(A107=A106+1,F106,INDIRECT("template!"&amp;"D"&amp;A107-1))))</f>
        <v>#REF!</v>
      </c>
      <c r="G107" t="e" cm="1">
        <f t="array" aca="1" ref="G107" ca="1">IF(OR(A107="",B107="safety"),"",IF(ISBLANK(INDIRECT("template!"&amp;"D"&amp;A107)),"",INDIRECT("template!"&amp;"D"&amp;A107)))</f>
        <v>#REF!</v>
      </c>
      <c r="H107" t="e" cm="1">
        <f t="array" aca="1" ref="H107" ca="1">IF(OR(A107="",B107="safety"),"",IF(ISBLANK(INDIRECT("template!"&amp;"E"&amp;A107)),"",INDIRECT("template!"&amp;"E"&amp;A107)))</f>
        <v>#REF!</v>
      </c>
      <c r="I107" t="e" cm="1">
        <f t="array" aca="1" ref="I107" ca="1">IF(OR(A107="",B107="safety"),"",IF(ISBLANK(INDIRECT("template!"&amp;"F"&amp;A107)),"",INDIRECT("template!"&amp;"F"&amp;A107)))</f>
        <v>#REF!</v>
      </c>
      <c r="J107" t="e" cm="1">
        <f t="array" aca="1" ref="J107" ca="1">IF(OR(A107="",B107="safety"),"",IF(ISBLANK(INDIRECT("template!"&amp;"G"&amp;A107)),"",INDIRECT("template!"&amp;"G"&amp;A107)))</f>
        <v>#REF!</v>
      </c>
      <c r="K107" t="e" cm="1">
        <f t="array" aca="1" ref="K107" ca="1">IF(OR(A107="",B107="safety"),"",IF(ISBLANK(INDIRECT("template!"&amp;"H"&amp;A107)),"",INDIRECT("template!"&amp;"H"&amp;A107)))</f>
        <v>#REF!</v>
      </c>
      <c r="L107" t="e" cm="1">
        <f t="array" aca="1" ref="L107" ca="1">IF(OR(A107="",B107="safety"),"",INDIRECT("template!"&amp;"I"&amp;A107))</f>
        <v>#REF!</v>
      </c>
      <c r="M107" t="e" cm="1">
        <f t="array" aca="1" ref="M107" ca="1">IF(OR(A107="",B107="safety"),"",INDIRECT("template!"&amp;"J"&amp;A107))</f>
        <v>#REF!</v>
      </c>
      <c r="N107" t="e" cm="1">
        <f t="array" aca="1" ref="N107" ca="1">IF(OR(A107="",B107="safety"),"",IF(ISBLANK(INDIRECT("template!"&amp;"K"&amp;A107)),"",INDIRECT("template!"&amp;"K"&amp;A107)))</f>
        <v>#REF!</v>
      </c>
      <c r="O107" t="e" cm="1">
        <f t="array" aca="1" ref="O107" ca="1">IF(OR(A107="",B107="safety"),"",INDIRECT("template!"&amp;"L"&amp;A107))</f>
        <v>#REF!</v>
      </c>
      <c r="P107" t="e" cm="1">
        <f t="array" aca="1" ref="P107" ca="1">IF(OR(A107="",B107="safety"),"",INDIRECT("template!"&amp;"M"&amp;A107))</f>
        <v>#REF!</v>
      </c>
      <c r="Q107" t="e">
        <f t="shared" ca="1" si="6"/>
        <v>#REF!</v>
      </c>
      <c r="R107" t="e">
        <f t="shared" ca="1" si="7"/>
        <v>#REF!</v>
      </c>
      <c r="S107" t="e">
        <f t="shared" ca="1" si="8"/>
        <v>#REF!</v>
      </c>
      <c r="T107" t="e">
        <f t="shared" ca="1" si="9"/>
        <v>#REF!</v>
      </c>
      <c r="U107" t="e" cm="1">
        <f t="array" aca="1" ref="U107" ca="1">IF(A107="","",IF(E107="","",IF(B107="safety",INDIRECT("template!"&amp;"P"&amp;A107),Q107+R107)))</f>
        <v>#REF!</v>
      </c>
      <c r="V107" t="e" cm="1">
        <f t="array" aca="1" ref="V107" ca="1">IF(A107="","",IF(E107="","",IF(B107="safety",INDIRECT("template!"&amp;"P"&amp;A107),S107+T107)))</f>
        <v>#REF!</v>
      </c>
      <c r="W107" t="e">
        <f ca="1">IF(A107="","",IF(E107="","",#REF!))</f>
        <v>#REF!</v>
      </c>
      <c r="X107" t="e">
        <f ca="1">IF(A107="","",IF(E107="","",#REF!))</f>
        <v>#REF!</v>
      </c>
      <c r="Y107" s="39" t="e">
        <f ca="1">IF(A107="","",IF(E107="","",#REF!))</f>
        <v>#REF!</v>
      </c>
      <c r="Z107" t="e">
        <f ca="1">IF(A107="","",IF(E107="","",#REF!))</f>
        <v>#REF!</v>
      </c>
      <c r="AA107" t="e">
        <f ca="1">IF(A107="","",IF(E107="","",#REF!))</f>
        <v>#REF!</v>
      </c>
      <c r="AB107" t="e">
        <f ca="1">IF(A107="","",IF(E107="","",#REF!))</f>
        <v>#REF!</v>
      </c>
      <c r="AC107" t="e">
        <f t="shared" ca="1" si="10"/>
        <v>#REF!</v>
      </c>
    </row>
    <row r="108" spans="1:29" x14ac:dyDescent="0.35">
      <c r="A108" t="e" cm="1">
        <f t="array" aca="1" ref="A108" ca="1">IF(A107="","",IF(OR(AND(A107+1&gt;=$AF$1,A107+1&lt;=$AF$2),AND(A107+1&gt;=$AF$6,A107+1&lt;=$AF$7),AND(A107+1&gt;=$AF$3,A107+1&lt;=$AF$4),AND(A107+1&gt;=$AF$8,A107+1&lt;=$AF$9),A107+1=$AF$5),IF(NOT(ISBLANK(INDIRECT("template!"&amp;"P"&amp;A107+1))),A107+1,IF(NOT(ISBLANK(INDIRECT("template!"&amp;"P"&amp;A107+2))),A107+2,A107+3)),IF(A107=$AF$2,$AF$3,IF(A107=$AF$4,$AF$5,IF(A107=$AF$5,$AF$6,IF(A107=$AF$7,$AF$8,""))))))</f>
        <v>#REF!</v>
      </c>
      <c r="B108" t="e">
        <f t="shared" ca="1" si="0"/>
        <v>#REF!</v>
      </c>
      <c r="C108" t="e" cm="1">
        <f t="array" aca="1" ref="C108" ca="1">IF(A108="","",IF(B108="safety","safety costs",INDIRECT("template!"&amp;"B"&amp;A108)))</f>
        <v>#REF!</v>
      </c>
      <c r="D108" t="e" cm="1">
        <f t="array" aca="1" ref="D108" ca="1">IF(OR(A108="",B108="safety"),"",INDIRECT("template!"&amp;"C"&amp;A108))</f>
        <v>#REF!</v>
      </c>
      <c r="E108" t="e" cm="1">
        <f t="array" aca="1" ref="E108" ca="1">IF(A108="","",IF(OR(A108=A107+1,A108=A107+2),E107,INDIRECT("template!"&amp;"D"&amp;A108-2)))</f>
        <v>#REF!</v>
      </c>
      <c r="F108" t="e" cm="1">
        <f t="array" aca="1" ref="F108" ca="1">IF(OR(A108="",B108="safety"),"",IF(ISBLANK(IF(A108=A107+1,F107,INDIRECT("template!"&amp;"D"&amp;A108-1))),"",IF(A108=A107+1,F107,INDIRECT("template!"&amp;"D"&amp;A108-1))))</f>
        <v>#REF!</v>
      </c>
      <c r="G108" t="e" cm="1">
        <f t="array" aca="1" ref="G108" ca="1">IF(OR(A108="",B108="safety"),"",IF(ISBLANK(INDIRECT("template!"&amp;"D"&amp;A108)),"",INDIRECT("template!"&amp;"D"&amp;A108)))</f>
        <v>#REF!</v>
      </c>
      <c r="H108" t="e" cm="1">
        <f t="array" aca="1" ref="H108" ca="1">IF(OR(A108="",B108="safety"),"",IF(ISBLANK(INDIRECT("template!"&amp;"E"&amp;A108)),"",INDIRECT("template!"&amp;"E"&amp;A108)))</f>
        <v>#REF!</v>
      </c>
      <c r="I108" t="e" cm="1">
        <f t="array" aca="1" ref="I108" ca="1">IF(OR(A108="",B108="safety"),"",IF(ISBLANK(INDIRECT("template!"&amp;"F"&amp;A108)),"",INDIRECT("template!"&amp;"F"&amp;A108)))</f>
        <v>#REF!</v>
      </c>
      <c r="J108" t="e" cm="1">
        <f t="array" aca="1" ref="J108" ca="1">IF(OR(A108="",B108="safety"),"",IF(ISBLANK(INDIRECT("template!"&amp;"G"&amp;A108)),"",INDIRECT("template!"&amp;"G"&amp;A108)))</f>
        <v>#REF!</v>
      </c>
      <c r="K108" t="e" cm="1">
        <f t="array" aca="1" ref="K108" ca="1">IF(OR(A108="",B108="safety"),"",IF(ISBLANK(INDIRECT("template!"&amp;"H"&amp;A108)),"",INDIRECT("template!"&amp;"H"&amp;A108)))</f>
        <v>#REF!</v>
      </c>
      <c r="L108" t="e" cm="1">
        <f t="array" aca="1" ref="L108" ca="1">IF(OR(A108="",B108="safety"),"",INDIRECT("template!"&amp;"I"&amp;A108))</f>
        <v>#REF!</v>
      </c>
      <c r="M108" t="e" cm="1">
        <f t="array" aca="1" ref="M108" ca="1">IF(OR(A108="",B108="safety"),"",INDIRECT("template!"&amp;"J"&amp;A108))</f>
        <v>#REF!</v>
      </c>
      <c r="N108" t="e" cm="1">
        <f t="array" aca="1" ref="N108" ca="1">IF(OR(A108="",B108="safety"),"",IF(ISBLANK(INDIRECT("template!"&amp;"K"&amp;A108)),"",INDIRECT("template!"&amp;"K"&amp;A108)))</f>
        <v>#REF!</v>
      </c>
      <c r="O108" t="e" cm="1">
        <f t="array" aca="1" ref="O108" ca="1">IF(OR(A108="",B108="safety"),"",INDIRECT("template!"&amp;"L"&amp;A108))</f>
        <v>#REF!</v>
      </c>
      <c r="P108" t="e" cm="1">
        <f t="array" aca="1" ref="P108" ca="1">IF(OR(A108="",B108="safety"),"",INDIRECT("template!"&amp;"M"&amp;A108))</f>
        <v>#REF!</v>
      </c>
      <c r="Q108" t="e">
        <f t="shared" ca="1" si="6"/>
        <v>#REF!</v>
      </c>
      <c r="R108" t="e">
        <f t="shared" ca="1" si="7"/>
        <v>#REF!</v>
      </c>
      <c r="S108" t="e">
        <f t="shared" ca="1" si="8"/>
        <v>#REF!</v>
      </c>
      <c r="T108" t="e">
        <f t="shared" ca="1" si="9"/>
        <v>#REF!</v>
      </c>
      <c r="U108" t="e" cm="1">
        <f t="array" aca="1" ref="U108" ca="1">IF(A108="","",IF(E108="","",IF(B108="safety",INDIRECT("template!"&amp;"P"&amp;A108),Q108+R108)))</f>
        <v>#REF!</v>
      </c>
      <c r="V108" t="e" cm="1">
        <f t="array" aca="1" ref="V108" ca="1">IF(A108="","",IF(E108="","",IF(B108="safety",INDIRECT("template!"&amp;"P"&amp;A108),S108+T108)))</f>
        <v>#REF!</v>
      </c>
      <c r="W108" t="e">
        <f ca="1">IF(A108="","",IF(E108="","",#REF!))</f>
        <v>#REF!</v>
      </c>
      <c r="X108" t="e">
        <f ca="1">IF(A108="","",IF(E108="","",#REF!))</f>
        <v>#REF!</v>
      </c>
      <c r="Y108" s="39" t="e">
        <f ca="1">IF(A108="","",IF(E108="","",#REF!))</f>
        <v>#REF!</v>
      </c>
      <c r="Z108" t="e">
        <f ca="1">IF(A108="","",IF(E108="","",#REF!))</f>
        <v>#REF!</v>
      </c>
      <c r="AA108" t="e">
        <f ca="1">IF(A108="","",IF(E108="","",#REF!))</f>
        <v>#REF!</v>
      </c>
      <c r="AB108" t="e">
        <f ca="1">IF(A108="","",IF(E108="","",#REF!))</f>
        <v>#REF!</v>
      </c>
      <c r="AC108" t="e">
        <f t="shared" ca="1" si="10"/>
        <v>#REF!</v>
      </c>
    </row>
    <row r="109" spans="1:29" x14ac:dyDescent="0.35">
      <c r="A109" t="e" cm="1">
        <f t="array" aca="1" ref="A109" ca="1">IF(A108="","",IF(OR(AND(A108+1&gt;=$AF$1,A108+1&lt;=$AF$2),AND(A108+1&gt;=$AF$6,A108+1&lt;=$AF$7),AND(A108+1&gt;=$AF$3,A108+1&lt;=$AF$4),AND(A108+1&gt;=$AF$8,A108+1&lt;=$AF$9),A108+1=$AF$5),IF(NOT(ISBLANK(INDIRECT("template!"&amp;"P"&amp;A108+1))),A108+1,IF(NOT(ISBLANK(INDIRECT("template!"&amp;"P"&amp;A108+2))),A108+2,A108+3)),IF(A108=$AF$2,$AF$3,IF(A108=$AF$4,$AF$5,IF(A108=$AF$5,$AF$6,IF(A108=$AF$7,$AF$8,""))))))</f>
        <v>#REF!</v>
      </c>
      <c r="B109" t="e">
        <f t="shared" ca="1" si="0"/>
        <v>#REF!</v>
      </c>
      <c r="C109" t="e" cm="1">
        <f t="array" aca="1" ref="C109" ca="1">IF(A109="","",IF(B109="safety","safety costs",INDIRECT("template!"&amp;"B"&amp;A109)))</f>
        <v>#REF!</v>
      </c>
      <c r="D109" t="e" cm="1">
        <f t="array" aca="1" ref="D109" ca="1">IF(OR(A109="",B109="safety"),"",INDIRECT("template!"&amp;"C"&amp;A109))</f>
        <v>#REF!</v>
      </c>
      <c r="E109" t="e" cm="1">
        <f t="array" aca="1" ref="E109" ca="1">IF(A109="","",IF(OR(A109=A108+1,A109=A108+2),E108,INDIRECT("template!"&amp;"D"&amp;A109-2)))</f>
        <v>#REF!</v>
      </c>
      <c r="F109" t="e" cm="1">
        <f t="array" aca="1" ref="F109" ca="1">IF(OR(A109="",B109="safety"),"",IF(ISBLANK(IF(A109=A108+1,F108,INDIRECT("template!"&amp;"D"&amp;A109-1))),"",IF(A109=A108+1,F108,INDIRECT("template!"&amp;"D"&amp;A109-1))))</f>
        <v>#REF!</v>
      </c>
      <c r="G109" t="e" cm="1">
        <f t="array" aca="1" ref="G109" ca="1">IF(OR(A109="",B109="safety"),"",IF(ISBLANK(INDIRECT("template!"&amp;"D"&amp;A109)),"",INDIRECT("template!"&amp;"D"&amp;A109)))</f>
        <v>#REF!</v>
      </c>
      <c r="H109" t="e" cm="1">
        <f t="array" aca="1" ref="H109" ca="1">IF(OR(A109="",B109="safety"),"",IF(ISBLANK(INDIRECT("template!"&amp;"E"&amp;A109)),"",INDIRECT("template!"&amp;"E"&amp;A109)))</f>
        <v>#REF!</v>
      </c>
      <c r="I109" t="e" cm="1">
        <f t="array" aca="1" ref="I109" ca="1">IF(OR(A109="",B109="safety"),"",IF(ISBLANK(INDIRECT("template!"&amp;"F"&amp;A109)),"",INDIRECT("template!"&amp;"F"&amp;A109)))</f>
        <v>#REF!</v>
      </c>
      <c r="J109" t="e" cm="1">
        <f t="array" aca="1" ref="J109" ca="1">IF(OR(A109="",B109="safety"),"",IF(ISBLANK(INDIRECT("template!"&amp;"G"&amp;A109)),"",INDIRECT("template!"&amp;"G"&amp;A109)))</f>
        <v>#REF!</v>
      </c>
      <c r="K109" t="e" cm="1">
        <f t="array" aca="1" ref="K109" ca="1">IF(OR(A109="",B109="safety"),"",IF(ISBLANK(INDIRECT("template!"&amp;"H"&amp;A109)),"",INDIRECT("template!"&amp;"H"&amp;A109)))</f>
        <v>#REF!</v>
      </c>
      <c r="L109" t="e" cm="1">
        <f t="array" aca="1" ref="L109" ca="1">IF(OR(A109="",B109="safety"),"",INDIRECT("template!"&amp;"I"&amp;A109))</f>
        <v>#REF!</v>
      </c>
      <c r="M109" t="e" cm="1">
        <f t="array" aca="1" ref="M109" ca="1">IF(OR(A109="",B109="safety"),"",INDIRECT("template!"&amp;"J"&amp;A109))</f>
        <v>#REF!</v>
      </c>
      <c r="N109" t="e" cm="1">
        <f t="array" aca="1" ref="N109" ca="1">IF(OR(A109="",B109="safety"),"",IF(ISBLANK(INDIRECT("template!"&amp;"K"&amp;A109)),"",INDIRECT("template!"&amp;"K"&amp;A109)))</f>
        <v>#REF!</v>
      </c>
      <c r="O109" t="e" cm="1">
        <f t="array" aca="1" ref="O109" ca="1">IF(OR(A109="",B109="safety"),"",INDIRECT("template!"&amp;"L"&amp;A109))</f>
        <v>#REF!</v>
      </c>
      <c r="P109" t="e" cm="1">
        <f t="array" aca="1" ref="P109" ca="1">IF(OR(A109="",B109="safety"),"",INDIRECT("template!"&amp;"M"&amp;A109))</f>
        <v>#REF!</v>
      </c>
      <c r="Q109" t="e">
        <f t="shared" ca="1" si="6"/>
        <v>#REF!</v>
      </c>
      <c r="R109" t="e">
        <f t="shared" ca="1" si="7"/>
        <v>#REF!</v>
      </c>
      <c r="S109" t="e">
        <f t="shared" ca="1" si="8"/>
        <v>#REF!</v>
      </c>
      <c r="T109" t="e">
        <f t="shared" ca="1" si="9"/>
        <v>#REF!</v>
      </c>
      <c r="U109" t="e" cm="1">
        <f t="array" aca="1" ref="U109" ca="1">IF(A109="","",IF(E109="","",IF(B109="safety",INDIRECT("template!"&amp;"P"&amp;A109),Q109+R109)))</f>
        <v>#REF!</v>
      </c>
      <c r="V109" t="e" cm="1">
        <f t="array" aca="1" ref="V109" ca="1">IF(A109="","",IF(E109="","",IF(B109="safety",INDIRECT("template!"&amp;"P"&amp;A109),S109+T109)))</f>
        <v>#REF!</v>
      </c>
      <c r="W109" t="e">
        <f ca="1">IF(A109="","",IF(E109="","",#REF!))</f>
        <v>#REF!</v>
      </c>
      <c r="X109" t="e">
        <f ca="1">IF(A109="","",IF(E109="","",#REF!))</f>
        <v>#REF!</v>
      </c>
      <c r="Y109" s="39" t="e">
        <f ca="1">IF(A109="","",IF(E109="","",#REF!))</f>
        <v>#REF!</v>
      </c>
      <c r="Z109" t="e">
        <f ca="1">IF(A109="","",IF(E109="","",#REF!))</f>
        <v>#REF!</v>
      </c>
      <c r="AA109" t="e">
        <f ca="1">IF(A109="","",IF(E109="","",#REF!))</f>
        <v>#REF!</v>
      </c>
      <c r="AB109" t="e">
        <f ca="1">IF(A109="","",IF(E109="","",#REF!))</f>
        <v>#REF!</v>
      </c>
      <c r="AC109" t="e">
        <f t="shared" ca="1" si="10"/>
        <v>#REF!</v>
      </c>
    </row>
    <row r="110" spans="1:29" x14ac:dyDescent="0.35">
      <c r="A110" t="e" cm="1">
        <f t="array" aca="1" ref="A110" ca="1">IF(A109="","",IF(OR(AND(A109+1&gt;=$AF$1,A109+1&lt;=$AF$2),AND(A109+1&gt;=$AF$6,A109+1&lt;=$AF$7),AND(A109+1&gt;=$AF$3,A109+1&lt;=$AF$4),AND(A109+1&gt;=$AF$8,A109+1&lt;=$AF$9),A109+1=$AF$5),IF(NOT(ISBLANK(INDIRECT("template!"&amp;"P"&amp;A109+1))),A109+1,IF(NOT(ISBLANK(INDIRECT("template!"&amp;"P"&amp;A109+2))),A109+2,A109+3)),IF(A109=$AF$2,$AF$3,IF(A109=$AF$4,$AF$5,IF(A109=$AF$5,$AF$6,IF(A109=$AF$7,$AF$8,""))))))</f>
        <v>#REF!</v>
      </c>
      <c r="B110" t="e">
        <f t="shared" ca="1" si="0"/>
        <v>#REF!</v>
      </c>
      <c r="C110" t="e" cm="1">
        <f t="array" aca="1" ref="C110" ca="1">IF(A110="","",IF(B110="safety","safety costs",INDIRECT("template!"&amp;"B"&amp;A110)))</f>
        <v>#REF!</v>
      </c>
      <c r="D110" t="e" cm="1">
        <f t="array" aca="1" ref="D110" ca="1">IF(OR(A110="",B110="safety"),"",INDIRECT("template!"&amp;"C"&amp;A110))</f>
        <v>#REF!</v>
      </c>
      <c r="E110" t="e" cm="1">
        <f t="array" aca="1" ref="E110" ca="1">IF(A110="","",IF(OR(A110=A109+1,A110=A109+2),E109,INDIRECT("template!"&amp;"D"&amp;A110-2)))</f>
        <v>#REF!</v>
      </c>
      <c r="F110" t="e" cm="1">
        <f t="array" aca="1" ref="F110" ca="1">IF(OR(A110="",B110="safety"),"",IF(ISBLANK(IF(A110=A109+1,F109,INDIRECT("template!"&amp;"D"&amp;A110-1))),"",IF(A110=A109+1,F109,INDIRECT("template!"&amp;"D"&amp;A110-1))))</f>
        <v>#REF!</v>
      </c>
      <c r="G110" t="e" cm="1">
        <f t="array" aca="1" ref="G110" ca="1">IF(OR(A110="",B110="safety"),"",IF(ISBLANK(INDIRECT("template!"&amp;"D"&amp;A110)),"",INDIRECT("template!"&amp;"D"&amp;A110)))</f>
        <v>#REF!</v>
      </c>
      <c r="H110" t="e" cm="1">
        <f t="array" aca="1" ref="H110" ca="1">IF(OR(A110="",B110="safety"),"",IF(ISBLANK(INDIRECT("template!"&amp;"E"&amp;A110)),"",INDIRECT("template!"&amp;"E"&amp;A110)))</f>
        <v>#REF!</v>
      </c>
      <c r="I110" t="e" cm="1">
        <f t="array" aca="1" ref="I110" ca="1">IF(OR(A110="",B110="safety"),"",IF(ISBLANK(INDIRECT("template!"&amp;"F"&amp;A110)),"",INDIRECT("template!"&amp;"F"&amp;A110)))</f>
        <v>#REF!</v>
      </c>
      <c r="J110" t="e" cm="1">
        <f t="array" aca="1" ref="J110" ca="1">IF(OR(A110="",B110="safety"),"",IF(ISBLANK(INDIRECT("template!"&amp;"G"&amp;A110)),"",INDIRECT("template!"&amp;"G"&amp;A110)))</f>
        <v>#REF!</v>
      </c>
      <c r="K110" t="e" cm="1">
        <f t="array" aca="1" ref="K110" ca="1">IF(OR(A110="",B110="safety"),"",IF(ISBLANK(INDIRECT("template!"&amp;"H"&amp;A110)),"",INDIRECT("template!"&amp;"H"&amp;A110)))</f>
        <v>#REF!</v>
      </c>
      <c r="L110" t="e" cm="1">
        <f t="array" aca="1" ref="L110" ca="1">IF(OR(A110="",B110="safety"),"",INDIRECT("template!"&amp;"I"&amp;A110))</f>
        <v>#REF!</v>
      </c>
      <c r="M110" t="e" cm="1">
        <f t="array" aca="1" ref="M110" ca="1">IF(OR(A110="",B110="safety"),"",INDIRECT("template!"&amp;"J"&amp;A110))</f>
        <v>#REF!</v>
      </c>
      <c r="N110" t="e" cm="1">
        <f t="array" aca="1" ref="N110" ca="1">IF(OR(A110="",B110="safety"),"",IF(ISBLANK(INDIRECT("template!"&amp;"K"&amp;A110)),"",INDIRECT("template!"&amp;"K"&amp;A110)))</f>
        <v>#REF!</v>
      </c>
      <c r="O110" t="e" cm="1">
        <f t="array" aca="1" ref="O110" ca="1">IF(OR(A110="",B110="safety"),"",INDIRECT("template!"&amp;"L"&amp;A110))</f>
        <v>#REF!</v>
      </c>
      <c r="P110" t="e" cm="1">
        <f t="array" aca="1" ref="P110" ca="1">IF(OR(A110="",B110="safety"),"",INDIRECT("template!"&amp;"M"&amp;A110))</f>
        <v>#REF!</v>
      </c>
      <c r="Q110" t="e">
        <f t="shared" ca="1" si="6"/>
        <v>#REF!</v>
      </c>
      <c r="R110" t="e">
        <f t="shared" ca="1" si="7"/>
        <v>#REF!</v>
      </c>
      <c r="S110" t="e">
        <f t="shared" ca="1" si="8"/>
        <v>#REF!</v>
      </c>
      <c r="T110" t="e">
        <f t="shared" ca="1" si="9"/>
        <v>#REF!</v>
      </c>
      <c r="U110" t="e" cm="1">
        <f t="array" aca="1" ref="U110" ca="1">IF(A110="","",IF(E110="","",IF(B110="safety",INDIRECT("template!"&amp;"P"&amp;A110),Q110+R110)))</f>
        <v>#REF!</v>
      </c>
      <c r="V110" t="e" cm="1">
        <f t="array" aca="1" ref="V110" ca="1">IF(A110="","",IF(E110="","",IF(B110="safety",INDIRECT("template!"&amp;"P"&amp;A110),S110+T110)))</f>
        <v>#REF!</v>
      </c>
      <c r="W110" t="e">
        <f ca="1">IF(A110="","",IF(E110="","",#REF!))</f>
        <v>#REF!</v>
      </c>
      <c r="X110" t="e">
        <f ca="1">IF(A110="","",IF(E110="","",#REF!))</f>
        <v>#REF!</v>
      </c>
      <c r="Y110" s="39" t="e">
        <f ca="1">IF(A110="","",IF(E110="","",#REF!))</f>
        <v>#REF!</v>
      </c>
      <c r="Z110" t="e">
        <f ca="1">IF(A110="","",IF(E110="","",#REF!))</f>
        <v>#REF!</v>
      </c>
      <c r="AA110" t="e">
        <f ca="1">IF(A110="","",IF(E110="","",#REF!))</f>
        <v>#REF!</v>
      </c>
      <c r="AB110" t="e">
        <f ca="1">IF(A110="","",IF(E110="","",#REF!))</f>
        <v>#REF!</v>
      </c>
      <c r="AC110" t="e">
        <f t="shared" ca="1" si="10"/>
        <v>#REF!</v>
      </c>
    </row>
    <row r="111" spans="1:29" x14ac:dyDescent="0.35">
      <c r="A111" t="e" cm="1">
        <f t="array" aca="1" ref="A111" ca="1">IF(A110="","",IF(OR(AND(A110+1&gt;=$AF$1,A110+1&lt;=$AF$2),AND(A110+1&gt;=$AF$6,A110+1&lt;=$AF$7),AND(A110+1&gt;=$AF$3,A110+1&lt;=$AF$4),AND(A110+1&gt;=$AF$8,A110+1&lt;=$AF$9),A110+1=$AF$5),IF(NOT(ISBLANK(INDIRECT("template!"&amp;"P"&amp;A110+1))),A110+1,IF(NOT(ISBLANK(INDIRECT("template!"&amp;"P"&amp;A110+2))),A110+2,A110+3)),IF(A110=$AF$2,$AF$3,IF(A110=$AF$4,$AF$5,IF(A110=$AF$5,$AF$6,IF(A110=$AF$7,$AF$8,""))))))</f>
        <v>#REF!</v>
      </c>
      <c r="B111" t="e">
        <f t="shared" ca="1" si="0"/>
        <v>#REF!</v>
      </c>
      <c r="C111" t="e" cm="1">
        <f t="array" aca="1" ref="C111" ca="1">IF(A111="","",IF(B111="safety","safety costs",INDIRECT("template!"&amp;"B"&amp;A111)))</f>
        <v>#REF!</v>
      </c>
      <c r="D111" t="e" cm="1">
        <f t="array" aca="1" ref="D111" ca="1">IF(OR(A111="",B111="safety"),"",INDIRECT("template!"&amp;"C"&amp;A111))</f>
        <v>#REF!</v>
      </c>
      <c r="E111" t="e" cm="1">
        <f t="array" aca="1" ref="E111" ca="1">IF(A111="","",IF(OR(A111=A110+1,A111=A110+2),E110,INDIRECT("template!"&amp;"D"&amp;A111-2)))</f>
        <v>#REF!</v>
      </c>
      <c r="F111" t="e" cm="1">
        <f t="array" aca="1" ref="F111" ca="1">IF(OR(A111="",B111="safety"),"",IF(ISBLANK(IF(A111=A110+1,F110,INDIRECT("template!"&amp;"D"&amp;A111-1))),"",IF(A111=A110+1,F110,INDIRECT("template!"&amp;"D"&amp;A111-1))))</f>
        <v>#REF!</v>
      </c>
      <c r="G111" t="e" cm="1">
        <f t="array" aca="1" ref="G111" ca="1">IF(OR(A111="",B111="safety"),"",IF(ISBLANK(INDIRECT("template!"&amp;"D"&amp;A111)),"",INDIRECT("template!"&amp;"D"&amp;A111)))</f>
        <v>#REF!</v>
      </c>
      <c r="H111" t="e" cm="1">
        <f t="array" aca="1" ref="H111" ca="1">IF(OR(A111="",B111="safety"),"",IF(ISBLANK(INDIRECT("template!"&amp;"E"&amp;A111)),"",INDIRECT("template!"&amp;"E"&amp;A111)))</f>
        <v>#REF!</v>
      </c>
      <c r="I111" t="e" cm="1">
        <f t="array" aca="1" ref="I111" ca="1">IF(OR(A111="",B111="safety"),"",IF(ISBLANK(INDIRECT("template!"&amp;"F"&amp;A111)),"",INDIRECT("template!"&amp;"F"&amp;A111)))</f>
        <v>#REF!</v>
      </c>
      <c r="J111" t="e" cm="1">
        <f t="array" aca="1" ref="J111" ca="1">IF(OR(A111="",B111="safety"),"",IF(ISBLANK(INDIRECT("template!"&amp;"G"&amp;A111)),"",INDIRECT("template!"&amp;"G"&amp;A111)))</f>
        <v>#REF!</v>
      </c>
      <c r="K111" t="e" cm="1">
        <f t="array" aca="1" ref="K111" ca="1">IF(OR(A111="",B111="safety"),"",IF(ISBLANK(INDIRECT("template!"&amp;"H"&amp;A111)),"",INDIRECT("template!"&amp;"H"&amp;A111)))</f>
        <v>#REF!</v>
      </c>
      <c r="L111" t="e" cm="1">
        <f t="array" aca="1" ref="L111" ca="1">IF(OR(A111="",B111="safety"),"",INDIRECT("template!"&amp;"I"&amp;A111))</f>
        <v>#REF!</v>
      </c>
      <c r="M111" t="e" cm="1">
        <f t="array" aca="1" ref="M111" ca="1">IF(OR(A111="",B111="safety"),"",INDIRECT("template!"&amp;"J"&amp;A111))</f>
        <v>#REF!</v>
      </c>
      <c r="N111" t="e" cm="1">
        <f t="array" aca="1" ref="N111" ca="1">IF(OR(A111="",B111="safety"),"",IF(ISBLANK(INDIRECT("template!"&amp;"K"&amp;A111)),"",INDIRECT("template!"&amp;"K"&amp;A111)))</f>
        <v>#REF!</v>
      </c>
      <c r="O111" t="e" cm="1">
        <f t="array" aca="1" ref="O111" ca="1">IF(OR(A111="",B111="safety"),"",INDIRECT("template!"&amp;"L"&amp;A111))</f>
        <v>#REF!</v>
      </c>
      <c r="P111" t="e" cm="1">
        <f t="array" aca="1" ref="P111" ca="1">IF(OR(A111="",B111="safety"),"",INDIRECT("template!"&amp;"M"&amp;A111))</f>
        <v>#REF!</v>
      </c>
      <c r="Q111" t="e">
        <f t="shared" ca="1" si="6"/>
        <v>#REF!</v>
      </c>
      <c r="R111" t="e">
        <f t="shared" ca="1" si="7"/>
        <v>#REF!</v>
      </c>
      <c r="S111" t="e">
        <f t="shared" ca="1" si="8"/>
        <v>#REF!</v>
      </c>
      <c r="T111" t="e">
        <f t="shared" ca="1" si="9"/>
        <v>#REF!</v>
      </c>
      <c r="U111" t="e" cm="1">
        <f t="array" aca="1" ref="U111" ca="1">IF(A111="","",IF(E111="","",IF(B111="safety",INDIRECT("template!"&amp;"P"&amp;A111),Q111+R111)))</f>
        <v>#REF!</v>
      </c>
      <c r="V111" t="e" cm="1">
        <f t="array" aca="1" ref="V111" ca="1">IF(A111="","",IF(E111="","",IF(B111="safety",INDIRECT("template!"&amp;"P"&amp;A111),S111+T111)))</f>
        <v>#REF!</v>
      </c>
      <c r="W111" t="e">
        <f ca="1">IF(A111="","",IF(E111="","",#REF!))</f>
        <v>#REF!</v>
      </c>
      <c r="X111" t="e">
        <f ca="1">IF(A111="","",IF(E111="","",#REF!))</f>
        <v>#REF!</v>
      </c>
      <c r="Y111" s="39" t="e">
        <f ca="1">IF(A111="","",IF(E111="","",#REF!))</f>
        <v>#REF!</v>
      </c>
      <c r="Z111" t="e">
        <f ca="1">IF(A111="","",IF(E111="","",#REF!))</f>
        <v>#REF!</v>
      </c>
      <c r="AA111" t="e">
        <f ca="1">IF(A111="","",IF(E111="","",#REF!))</f>
        <v>#REF!</v>
      </c>
      <c r="AB111" t="e">
        <f ca="1">IF(A111="","",IF(E111="","",#REF!))</f>
        <v>#REF!</v>
      </c>
      <c r="AC111" t="e">
        <f t="shared" ca="1" si="10"/>
        <v>#REF!</v>
      </c>
    </row>
    <row r="112" spans="1:29" x14ac:dyDescent="0.35">
      <c r="A112" t="e" cm="1">
        <f t="array" aca="1" ref="A112" ca="1">IF(A111="","",IF(OR(AND(A111+1&gt;=$AF$1,A111+1&lt;=$AF$2),AND(A111+1&gt;=$AF$6,A111+1&lt;=$AF$7),AND(A111+1&gt;=$AF$3,A111+1&lt;=$AF$4),AND(A111+1&gt;=$AF$8,A111+1&lt;=$AF$9),A111+1=$AF$5),IF(NOT(ISBLANK(INDIRECT("template!"&amp;"P"&amp;A111+1))),A111+1,IF(NOT(ISBLANK(INDIRECT("template!"&amp;"P"&amp;A111+2))),A111+2,A111+3)),IF(A111=$AF$2,$AF$3,IF(A111=$AF$4,$AF$5,IF(A111=$AF$5,$AF$6,IF(A111=$AF$7,$AF$8,""))))))</f>
        <v>#REF!</v>
      </c>
      <c r="B112" t="e">
        <f t="shared" ca="1" si="0"/>
        <v>#REF!</v>
      </c>
      <c r="C112" t="e" cm="1">
        <f t="array" aca="1" ref="C112" ca="1">IF(A112="","",IF(B112="safety","safety costs",INDIRECT("template!"&amp;"B"&amp;A112)))</f>
        <v>#REF!</v>
      </c>
      <c r="D112" t="e" cm="1">
        <f t="array" aca="1" ref="D112" ca="1">IF(OR(A112="",B112="safety"),"",INDIRECT("template!"&amp;"C"&amp;A112))</f>
        <v>#REF!</v>
      </c>
      <c r="E112" t="e" cm="1">
        <f t="array" aca="1" ref="E112" ca="1">IF(A112="","",IF(OR(A112=A111+1,A112=A111+2),E111,INDIRECT("template!"&amp;"D"&amp;A112-2)))</f>
        <v>#REF!</v>
      </c>
      <c r="F112" t="e" cm="1">
        <f t="array" aca="1" ref="F112" ca="1">IF(OR(A112="",B112="safety"),"",IF(ISBLANK(IF(A112=A111+1,F111,INDIRECT("template!"&amp;"D"&amp;A112-1))),"",IF(A112=A111+1,F111,INDIRECT("template!"&amp;"D"&amp;A112-1))))</f>
        <v>#REF!</v>
      </c>
      <c r="G112" t="e" cm="1">
        <f t="array" aca="1" ref="G112" ca="1">IF(OR(A112="",B112="safety"),"",IF(ISBLANK(INDIRECT("template!"&amp;"D"&amp;A112)),"",INDIRECT("template!"&amp;"D"&amp;A112)))</f>
        <v>#REF!</v>
      </c>
      <c r="H112" t="e" cm="1">
        <f t="array" aca="1" ref="H112" ca="1">IF(OR(A112="",B112="safety"),"",IF(ISBLANK(INDIRECT("template!"&amp;"E"&amp;A112)),"",INDIRECT("template!"&amp;"E"&amp;A112)))</f>
        <v>#REF!</v>
      </c>
      <c r="I112" t="e" cm="1">
        <f t="array" aca="1" ref="I112" ca="1">IF(OR(A112="",B112="safety"),"",IF(ISBLANK(INDIRECT("template!"&amp;"F"&amp;A112)),"",INDIRECT("template!"&amp;"F"&amp;A112)))</f>
        <v>#REF!</v>
      </c>
      <c r="J112" t="e" cm="1">
        <f t="array" aca="1" ref="J112" ca="1">IF(OR(A112="",B112="safety"),"",IF(ISBLANK(INDIRECT("template!"&amp;"G"&amp;A112)),"",INDIRECT("template!"&amp;"G"&amp;A112)))</f>
        <v>#REF!</v>
      </c>
      <c r="K112" t="e" cm="1">
        <f t="array" aca="1" ref="K112" ca="1">IF(OR(A112="",B112="safety"),"",IF(ISBLANK(INDIRECT("template!"&amp;"H"&amp;A112)),"",INDIRECT("template!"&amp;"H"&amp;A112)))</f>
        <v>#REF!</v>
      </c>
      <c r="L112" t="e" cm="1">
        <f t="array" aca="1" ref="L112" ca="1">IF(OR(A112="",B112="safety"),"",INDIRECT("template!"&amp;"I"&amp;A112))</f>
        <v>#REF!</v>
      </c>
      <c r="M112" t="e" cm="1">
        <f t="array" aca="1" ref="M112" ca="1">IF(OR(A112="",B112="safety"),"",INDIRECT("template!"&amp;"J"&amp;A112))</f>
        <v>#REF!</v>
      </c>
      <c r="N112" t="e" cm="1">
        <f t="array" aca="1" ref="N112" ca="1">IF(OR(A112="",B112="safety"),"",IF(ISBLANK(INDIRECT("template!"&amp;"K"&amp;A112)),"",INDIRECT("template!"&amp;"K"&amp;A112)))</f>
        <v>#REF!</v>
      </c>
      <c r="O112" t="e" cm="1">
        <f t="array" aca="1" ref="O112" ca="1">IF(OR(A112="",B112="safety"),"",INDIRECT("template!"&amp;"L"&amp;A112))</f>
        <v>#REF!</v>
      </c>
      <c r="P112" t="e" cm="1">
        <f t="array" aca="1" ref="P112" ca="1">IF(OR(A112="",B112="safety"),"",INDIRECT("template!"&amp;"M"&amp;A112))</f>
        <v>#REF!</v>
      </c>
      <c r="Q112" t="e">
        <f t="shared" ca="1" si="6"/>
        <v>#REF!</v>
      </c>
      <c r="R112" t="e">
        <f t="shared" ca="1" si="7"/>
        <v>#REF!</v>
      </c>
      <c r="S112" t="e">
        <f t="shared" ca="1" si="8"/>
        <v>#REF!</v>
      </c>
      <c r="T112" t="e">
        <f t="shared" ca="1" si="9"/>
        <v>#REF!</v>
      </c>
      <c r="U112" t="e" cm="1">
        <f t="array" aca="1" ref="U112" ca="1">IF(A112="","",IF(E112="","",IF(B112="safety",INDIRECT("template!"&amp;"P"&amp;A112),Q112+R112)))</f>
        <v>#REF!</v>
      </c>
      <c r="V112" t="e" cm="1">
        <f t="array" aca="1" ref="V112" ca="1">IF(A112="","",IF(E112="","",IF(B112="safety",INDIRECT("template!"&amp;"P"&amp;A112),S112+T112)))</f>
        <v>#REF!</v>
      </c>
      <c r="W112" t="e">
        <f ca="1">IF(A112="","",IF(E112="","",#REF!))</f>
        <v>#REF!</v>
      </c>
      <c r="X112" t="e">
        <f ca="1">IF(A112="","",IF(E112="","",#REF!))</f>
        <v>#REF!</v>
      </c>
      <c r="Y112" s="39" t="e">
        <f ca="1">IF(A112="","",IF(E112="","",#REF!))</f>
        <v>#REF!</v>
      </c>
      <c r="Z112" t="e">
        <f ca="1">IF(A112="","",IF(E112="","",#REF!))</f>
        <v>#REF!</v>
      </c>
      <c r="AA112" t="e">
        <f ca="1">IF(A112="","",IF(E112="","",#REF!))</f>
        <v>#REF!</v>
      </c>
      <c r="AB112" t="e">
        <f ca="1">IF(A112="","",IF(E112="","",#REF!))</f>
        <v>#REF!</v>
      </c>
      <c r="AC112" t="e">
        <f t="shared" ca="1" si="10"/>
        <v>#REF!</v>
      </c>
    </row>
    <row r="113" spans="1:29" x14ac:dyDescent="0.35">
      <c r="A113" t="e" cm="1">
        <f t="array" aca="1" ref="A113" ca="1">IF(A112="","",IF(OR(AND(A112+1&gt;=$AF$1,A112+1&lt;=$AF$2),AND(A112+1&gt;=$AF$6,A112+1&lt;=$AF$7),AND(A112+1&gt;=$AF$3,A112+1&lt;=$AF$4),AND(A112+1&gt;=$AF$8,A112+1&lt;=$AF$9),A112+1=$AF$5),IF(NOT(ISBLANK(INDIRECT("template!"&amp;"P"&amp;A112+1))),A112+1,IF(NOT(ISBLANK(INDIRECT("template!"&amp;"P"&amp;A112+2))),A112+2,A112+3)),IF(A112=$AF$2,$AF$3,IF(A112=$AF$4,$AF$5,IF(A112=$AF$5,$AF$6,IF(A112=$AF$7,$AF$8,""))))))</f>
        <v>#REF!</v>
      </c>
      <c r="B113" t="e">
        <f t="shared" ca="1" si="0"/>
        <v>#REF!</v>
      </c>
      <c r="C113" t="e" cm="1">
        <f t="array" aca="1" ref="C113" ca="1">IF(A113="","",IF(B113="safety","safety costs",INDIRECT("template!"&amp;"B"&amp;A113)))</f>
        <v>#REF!</v>
      </c>
      <c r="D113" t="e" cm="1">
        <f t="array" aca="1" ref="D113" ca="1">IF(OR(A113="",B113="safety"),"",INDIRECT("template!"&amp;"C"&amp;A113))</f>
        <v>#REF!</v>
      </c>
      <c r="E113" t="e" cm="1">
        <f t="array" aca="1" ref="E113" ca="1">IF(A113="","",IF(OR(A113=A112+1,A113=A112+2),E112,INDIRECT("template!"&amp;"D"&amp;A113-2)))</f>
        <v>#REF!</v>
      </c>
      <c r="F113" t="e" cm="1">
        <f t="array" aca="1" ref="F113" ca="1">IF(OR(A113="",B113="safety"),"",IF(ISBLANK(IF(A113=A112+1,F112,INDIRECT("template!"&amp;"D"&amp;A113-1))),"",IF(A113=A112+1,F112,INDIRECT("template!"&amp;"D"&amp;A113-1))))</f>
        <v>#REF!</v>
      </c>
      <c r="G113" t="e" cm="1">
        <f t="array" aca="1" ref="G113" ca="1">IF(OR(A113="",B113="safety"),"",IF(ISBLANK(INDIRECT("template!"&amp;"D"&amp;A113)),"",INDIRECT("template!"&amp;"D"&amp;A113)))</f>
        <v>#REF!</v>
      </c>
      <c r="H113" t="e" cm="1">
        <f t="array" aca="1" ref="H113" ca="1">IF(OR(A113="",B113="safety"),"",IF(ISBLANK(INDIRECT("template!"&amp;"E"&amp;A113)),"",INDIRECT("template!"&amp;"E"&amp;A113)))</f>
        <v>#REF!</v>
      </c>
      <c r="I113" t="e" cm="1">
        <f t="array" aca="1" ref="I113" ca="1">IF(OR(A113="",B113="safety"),"",IF(ISBLANK(INDIRECT("template!"&amp;"F"&amp;A113)),"",INDIRECT("template!"&amp;"F"&amp;A113)))</f>
        <v>#REF!</v>
      </c>
      <c r="J113" t="e" cm="1">
        <f t="array" aca="1" ref="J113" ca="1">IF(OR(A113="",B113="safety"),"",IF(ISBLANK(INDIRECT("template!"&amp;"G"&amp;A113)),"",INDIRECT("template!"&amp;"G"&amp;A113)))</f>
        <v>#REF!</v>
      </c>
      <c r="K113" t="e" cm="1">
        <f t="array" aca="1" ref="K113" ca="1">IF(OR(A113="",B113="safety"),"",IF(ISBLANK(INDIRECT("template!"&amp;"H"&amp;A113)),"",INDIRECT("template!"&amp;"H"&amp;A113)))</f>
        <v>#REF!</v>
      </c>
      <c r="L113" t="e" cm="1">
        <f t="array" aca="1" ref="L113" ca="1">IF(OR(A113="",B113="safety"),"",INDIRECT("template!"&amp;"I"&amp;A113))</f>
        <v>#REF!</v>
      </c>
      <c r="M113" t="e" cm="1">
        <f t="array" aca="1" ref="M113" ca="1">IF(OR(A113="",B113="safety"),"",INDIRECT("template!"&amp;"J"&amp;A113))</f>
        <v>#REF!</v>
      </c>
      <c r="N113" t="e" cm="1">
        <f t="array" aca="1" ref="N113" ca="1">IF(OR(A113="",B113="safety"),"",IF(ISBLANK(INDIRECT("template!"&amp;"K"&amp;A113)),"",INDIRECT("template!"&amp;"K"&amp;A113)))</f>
        <v>#REF!</v>
      </c>
      <c r="O113" t="e" cm="1">
        <f t="array" aca="1" ref="O113" ca="1">IF(OR(A113="",B113="safety"),"",INDIRECT("template!"&amp;"L"&amp;A113))</f>
        <v>#REF!</v>
      </c>
      <c r="P113" t="e" cm="1">
        <f t="array" aca="1" ref="P113" ca="1">IF(OR(A113="",B113="safety"),"",INDIRECT("template!"&amp;"M"&amp;A113))</f>
        <v>#REF!</v>
      </c>
      <c r="Q113" t="e">
        <f t="shared" ca="1" si="6"/>
        <v>#REF!</v>
      </c>
      <c r="R113" t="e">
        <f t="shared" ca="1" si="7"/>
        <v>#REF!</v>
      </c>
      <c r="S113" t="e">
        <f t="shared" ca="1" si="8"/>
        <v>#REF!</v>
      </c>
      <c r="T113" t="e">
        <f t="shared" ca="1" si="9"/>
        <v>#REF!</v>
      </c>
      <c r="U113" t="e" cm="1">
        <f t="array" aca="1" ref="U113" ca="1">IF(A113="","",IF(E113="","",IF(B113="safety",INDIRECT("template!"&amp;"P"&amp;A113),Q113+R113)))</f>
        <v>#REF!</v>
      </c>
      <c r="V113" t="e" cm="1">
        <f t="array" aca="1" ref="V113" ca="1">IF(A113="","",IF(E113="","",IF(B113="safety",INDIRECT("template!"&amp;"P"&amp;A113),S113+T113)))</f>
        <v>#REF!</v>
      </c>
      <c r="W113" t="e">
        <f ca="1">IF(A113="","",IF(E113="","",#REF!))</f>
        <v>#REF!</v>
      </c>
      <c r="X113" t="e">
        <f ca="1">IF(A113="","",IF(E113="","",#REF!))</f>
        <v>#REF!</v>
      </c>
      <c r="Y113" s="39" t="e">
        <f ca="1">IF(A113="","",IF(E113="","",#REF!))</f>
        <v>#REF!</v>
      </c>
      <c r="Z113" t="e">
        <f ca="1">IF(A113="","",IF(E113="","",#REF!))</f>
        <v>#REF!</v>
      </c>
      <c r="AA113" t="e">
        <f ca="1">IF(A113="","",IF(E113="","",#REF!))</f>
        <v>#REF!</v>
      </c>
      <c r="AB113" t="e">
        <f ca="1">IF(A113="","",IF(E113="","",#REF!))</f>
        <v>#REF!</v>
      </c>
      <c r="AC113" t="e">
        <f t="shared" ca="1" si="10"/>
        <v>#REF!</v>
      </c>
    </row>
    <row r="114" spans="1:29" x14ac:dyDescent="0.35">
      <c r="A114" t="e" cm="1">
        <f t="array" aca="1" ref="A114" ca="1">IF(A113="","",IF(OR(AND(A113+1&gt;=$AF$1,A113+1&lt;=$AF$2),AND(A113+1&gt;=$AF$6,A113+1&lt;=$AF$7),AND(A113+1&gt;=$AF$3,A113+1&lt;=$AF$4),AND(A113+1&gt;=$AF$8,A113+1&lt;=$AF$9),A113+1=$AF$5),IF(NOT(ISBLANK(INDIRECT("template!"&amp;"P"&amp;A113+1))),A113+1,IF(NOT(ISBLANK(INDIRECT("template!"&amp;"P"&amp;A113+2))),A113+2,A113+3)),IF(A113=$AF$2,$AF$3,IF(A113=$AF$4,$AF$5,IF(A113=$AF$5,$AF$6,IF(A113=$AF$7,$AF$8,""))))))</f>
        <v>#REF!</v>
      </c>
      <c r="B114" t="e">
        <f t="shared" ca="1" si="0"/>
        <v>#REF!</v>
      </c>
      <c r="C114" t="e" cm="1">
        <f t="array" aca="1" ref="C114" ca="1">IF(A114="","",IF(B114="safety","safety costs",INDIRECT("template!"&amp;"B"&amp;A114)))</f>
        <v>#REF!</v>
      </c>
      <c r="D114" t="e" cm="1">
        <f t="array" aca="1" ref="D114" ca="1">IF(OR(A114="",B114="safety"),"",INDIRECT("template!"&amp;"C"&amp;A114))</f>
        <v>#REF!</v>
      </c>
      <c r="E114" t="e" cm="1">
        <f t="array" aca="1" ref="E114" ca="1">IF(A114="","",IF(OR(A114=A113+1,A114=A113+2),E113,INDIRECT("template!"&amp;"D"&amp;A114-2)))</f>
        <v>#REF!</v>
      </c>
      <c r="F114" t="e" cm="1">
        <f t="array" aca="1" ref="F114" ca="1">IF(OR(A114="",B114="safety"),"",IF(ISBLANK(IF(A114=A113+1,F113,INDIRECT("template!"&amp;"D"&amp;A114-1))),"",IF(A114=A113+1,F113,INDIRECT("template!"&amp;"D"&amp;A114-1))))</f>
        <v>#REF!</v>
      </c>
      <c r="G114" t="e" cm="1">
        <f t="array" aca="1" ref="G114" ca="1">IF(OR(A114="",B114="safety"),"",IF(ISBLANK(INDIRECT("template!"&amp;"D"&amp;A114)),"",INDIRECT("template!"&amp;"D"&amp;A114)))</f>
        <v>#REF!</v>
      </c>
      <c r="H114" t="e" cm="1">
        <f t="array" aca="1" ref="H114" ca="1">IF(OR(A114="",B114="safety"),"",IF(ISBLANK(INDIRECT("template!"&amp;"E"&amp;A114)),"",INDIRECT("template!"&amp;"E"&amp;A114)))</f>
        <v>#REF!</v>
      </c>
      <c r="I114" t="e" cm="1">
        <f t="array" aca="1" ref="I114" ca="1">IF(OR(A114="",B114="safety"),"",IF(ISBLANK(INDIRECT("template!"&amp;"F"&amp;A114)),"",INDIRECT("template!"&amp;"F"&amp;A114)))</f>
        <v>#REF!</v>
      </c>
      <c r="J114" t="e" cm="1">
        <f t="array" aca="1" ref="J114" ca="1">IF(OR(A114="",B114="safety"),"",IF(ISBLANK(INDIRECT("template!"&amp;"G"&amp;A114)),"",INDIRECT("template!"&amp;"G"&amp;A114)))</f>
        <v>#REF!</v>
      </c>
      <c r="K114" t="e" cm="1">
        <f t="array" aca="1" ref="K114" ca="1">IF(OR(A114="",B114="safety"),"",IF(ISBLANK(INDIRECT("template!"&amp;"H"&amp;A114)),"",INDIRECT("template!"&amp;"H"&amp;A114)))</f>
        <v>#REF!</v>
      </c>
      <c r="L114" t="e" cm="1">
        <f t="array" aca="1" ref="L114" ca="1">IF(OR(A114="",B114="safety"),"",INDIRECT("template!"&amp;"I"&amp;A114))</f>
        <v>#REF!</v>
      </c>
      <c r="M114" t="e" cm="1">
        <f t="array" aca="1" ref="M114" ca="1">IF(OR(A114="",B114="safety"),"",INDIRECT("template!"&amp;"J"&amp;A114))</f>
        <v>#REF!</v>
      </c>
      <c r="N114" t="e" cm="1">
        <f t="array" aca="1" ref="N114" ca="1">IF(OR(A114="",B114="safety"),"",IF(ISBLANK(INDIRECT("template!"&amp;"K"&amp;A114)),"",INDIRECT("template!"&amp;"K"&amp;A114)))</f>
        <v>#REF!</v>
      </c>
      <c r="O114" t="e" cm="1">
        <f t="array" aca="1" ref="O114" ca="1">IF(OR(A114="",B114="safety"),"",INDIRECT("template!"&amp;"L"&amp;A114))</f>
        <v>#REF!</v>
      </c>
      <c r="P114" t="e" cm="1">
        <f t="array" aca="1" ref="P114" ca="1">IF(OR(A114="",B114="safety"),"",INDIRECT("template!"&amp;"M"&amp;A114))</f>
        <v>#REF!</v>
      </c>
      <c r="Q114" t="e">
        <f t="shared" ca="1" si="6"/>
        <v>#REF!</v>
      </c>
      <c r="R114" t="e">
        <f t="shared" ca="1" si="7"/>
        <v>#REF!</v>
      </c>
      <c r="S114" t="e">
        <f t="shared" ca="1" si="8"/>
        <v>#REF!</v>
      </c>
      <c r="T114" t="e">
        <f t="shared" ca="1" si="9"/>
        <v>#REF!</v>
      </c>
      <c r="U114" t="e" cm="1">
        <f t="array" aca="1" ref="U114" ca="1">IF(A114="","",IF(E114="","",IF(B114="safety",INDIRECT("template!"&amp;"P"&amp;A114),Q114+R114)))</f>
        <v>#REF!</v>
      </c>
      <c r="V114" t="e" cm="1">
        <f t="array" aca="1" ref="V114" ca="1">IF(A114="","",IF(E114="","",IF(B114="safety",INDIRECT("template!"&amp;"P"&amp;A114),S114+T114)))</f>
        <v>#REF!</v>
      </c>
      <c r="W114" t="e">
        <f ca="1">IF(A114="","",IF(E114="","",#REF!))</f>
        <v>#REF!</v>
      </c>
      <c r="X114" t="e">
        <f ca="1">IF(A114="","",IF(E114="","",#REF!))</f>
        <v>#REF!</v>
      </c>
      <c r="Y114" s="39" t="e">
        <f ca="1">IF(A114="","",IF(E114="","",#REF!))</f>
        <v>#REF!</v>
      </c>
      <c r="Z114" t="e">
        <f ca="1">IF(A114="","",IF(E114="","",#REF!))</f>
        <v>#REF!</v>
      </c>
      <c r="AA114" t="e">
        <f ca="1">IF(A114="","",IF(E114="","",#REF!))</f>
        <v>#REF!</v>
      </c>
      <c r="AB114" t="e">
        <f ca="1">IF(A114="","",IF(E114="","",#REF!))</f>
        <v>#REF!</v>
      </c>
      <c r="AC114" t="e">
        <f t="shared" ca="1" si="10"/>
        <v>#REF!</v>
      </c>
    </row>
    <row r="115" spans="1:29" x14ac:dyDescent="0.35">
      <c r="A115" t="e" cm="1">
        <f t="array" aca="1" ref="A115" ca="1">IF(A114="","",IF(OR(AND(A114+1&gt;=$AF$1,A114+1&lt;=$AF$2),AND(A114+1&gt;=$AF$6,A114+1&lt;=$AF$7),AND(A114+1&gt;=$AF$3,A114+1&lt;=$AF$4),AND(A114+1&gt;=$AF$8,A114+1&lt;=$AF$9),A114+1=$AF$5),IF(NOT(ISBLANK(INDIRECT("template!"&amp;"P"&amp;A114+1))),A114+1,IF(NOT(ISBLANK(INDIRECT("template!"&amp;"P"&amp;A114+2))),A114+2,A114+3)),IF(A114=$AF$2,$AF$3,IF(A114=$AF$4,$AF$5,IF(A114=$AF$5,$AF$6,IF(A114=$AF$7,$AF$8,""))))))</f>
        <v>#REF!</v>
      </c>
      <c r="B115" t="e">
        <f t="shared" ca="1" si="0"/>
        <v>#REF!</v>
      </c>
      <c r="C115" t="e" cm="1">
        <f t="array" aca="1" ref="C115" ca="1">IF(A115="","",IF(B115="safety","safety costs",INDIRECT("template!"&amp;"B"&amp;A115)))</f>
        <v>#REF!</v>
      </c>
      <c r="D115" t="e" cm="1">
        <f t="array" aca="1" ref="D115" ca="1">IF(OR(A115="",B115="safety"),"",INDIRECT("template!"&amp;"C"&amp;A115))</f>
        <v>#REF!</v>
      </c>
      <c r="E115" t="e" cm="1">
        <f t="array" aca="1" ref="E115" ca="1">IF(A115="","",IF(OR(A115=A114+1,A115=A114+2),E114,INDIRECT("template!"&amp;"D"&amp;A115-2)))</f>
        <v>#REF!</v>
      </c>
      <c r="F115" t="e" cm="1">
        <f t="array" aca="1" ref="F115" ca="1">IF(OR(A115="",B115="safety"),"",IF(ISBLANK(IF(A115=A114+1,F114,INDIRECT("template!"&amp;"D"&amp;A115-1))),"",IF(A115=A114+1,F114,INDIRECT("template!"&amp;"D"&amp;A115-1))))</f>
        <v>#REF!</v>
      </c>
      <c r="G115" t="e" cm="1">
        <f t="array" aca="1" ref="G115" ca="1">IF(OR(A115="",B115="safety"),"",IF(ISBLANK(INDIRECT("template!"&amp;"D"&amp;A115)),"",INDIRECT("template!"&amp;"D"&amp;A115)))</f>
        <v>#REF!</v>
      </c>
      <c r="H115" t="e" cm="1">
        <f t="array" aca="1" ref="H115" ca="1">IF(OR(A115="",B115="safety"),"",IF(ISBLANK(INDIRECT("template!"&amp;"E"&amp;A115)),"",INDIRECT("template!"&amp;"E"&amp;A115)))</f>
        <v>#REF!</v>
      </c>
      <c r="I115" t="e" cm="1">
        <f t="array" aca="1" ref="I115" ca="1">IF(OR(A115="",B115="safety"),"",IF(ISBLANK(INDIRECT("template!"&amp;"F"&amp;A115)),"",INDIRECT("template!"&amp;"F"&amp;A115)))</f>
        <v>#REF!</v>
      </c>
      <c r="J115" t="e" cm="1">
        <f t="array" aca="1" ref="J115" ca="1">IF(OR(A115="",B115="safety"),"",IF(ISBLANK(INDIRECT("template!"&amp;"G"&amp;A115)),"",INDIRECT("template!"&amp;"G"&amp;A115)))</f>
        <v>#REF!</v>
      </c>
      <c r="K115" t="e" cm="1">
        <f t="array" aca="1" ref="K115" ca="1">IF(OR(A115="",B115="safety"),"",IF(ISBLANK(INDIRECT("template!"&amp;"H"&amp;A115)),"",INDIRECT("template!"&amp;"H"&amp;A115)))</f>
        <v>#REF!</v>
      </c>
      <c r="L115" t="e" cm="1">
        <f t="array" aca="1" ref="L115" ca="1">IF(OR(A115="",B115="safety"),"",INDIRECT("template!"&amp;"I"&amp;A115))</f>
        <v>#REF!</v>
      </c>
      <c r="M115" t="e" cm="1">
        <f t="array" aca="1" ref="M115" ca="1">IF(OR(A115="",B115="safety"),"",INDIRECT("template!"&amp;"J"&amp;A115))</f>
        <v>#REF!</v>
      </c>
      <c r="N115" t="e" cm="1">
        <f t="array" aca="1" ref="N115" ca="1">IF(OR(A115="",B115="safety"),"",IF(ISBLANK(INDIRECT("template!"&amp;"K"&amp;A115)),"",INDIRECT("template!"&amp;"K"&amp;A115)))</f>
        <v>#REF!</v>
      </c>
      <c r="O115" t="e" cm="1">
        <f t="array" aca="1" ref="O115" ca="1">IF(OR(A115="",B115="safety"),"",INDIRECT("template!"&amp;"L"&amp;A115))</f>
        <v>#REF!</v>
      </c>
      <c r="P115" t="e" cm="1">
        <f t="array" aca="1" ref="P115" ca="1">IF(OR(A115="",B115="safety"),"",INDIRECT("template!"&amp;"M"&amp;A115))</f>
        <v>#REF!</v>
      </c>
      <c r="Q115" t="e">
        <f t="shared" ca="1" si="6"/>
        <v>#REF!</v>
      </c>
      <c r="R115" t="e">
        <f t="shared" ca="1" si="7"/>
        <v>#REF!</v>
      </c>
      <c r="S115" t="e">
        <f t="shared" ca="1" si="8"/>
        <v>#REF!</v>
      </c>
      <c r="T115" t="e">
        <f t="shared" ca="1" si="9"/>
        <v>#REF!</v>
      </c>
      <c r="U115" t="e" cm="1">
        <f t="array" aca="1" ref="U115" ca="1">IF(A115="","",IF(E115="","",IF(B115="safety",INDIRECT("template!"&amp;"P"&amp;A115),Q115+R115)))</f>
        <v>#REF!</v>
      </c>
      <c r="V115" t="e" cm="1">
        <f t="array" aca="1" ref="V115" ca="1">IF(A115="","",IF(E115="","",IF(B115="safety",INDIRECT("template!"&amp;"P"&amp;A115),S115+T115)))</f>
        <v>#REF!</v>
      </c>
      <c r="W115" t="e">
        <f ca="1">IF(A115="","",IF(E115="","",#REF!))</f>
        <v>#REF!</v>
      </c>
      <c r="X115" t="e">
        <f ca="1">IF(A115="","",IF(E115="","",#REF!))</f>
        <v>#REF!</v>
      </c>
      <c r="Y115" s="39" t="e">
        <f ca="1">IF(A115="","",IF(E115="","",#REF!))</f>
        <v>#REF!</v>
      </c>
      <c r="Z115" t="e">
        <f ca="1">IF(A115="","",IF(E115="","",#REF!))</f>
        <v>#REF!</v>
      </c>
      <c r="AA115" t="e">
        <f ca="1">IF(A115="","",IF(E115="","",#REF!))</f>
        <v>#REF!</v>
      </c>
      <c r="AB115" t="e">
        <f ca="1">IF(A115="","",IF(E115="","",#REF!))</f>
        <v>#REF!</v>
      </c>
      <c r="AC115" t="e">
        <f t="shared" ca="1" si="10"/>
        <v>#REF!</v>
      </c>
    </row>
    <row r="116" spans="1:29" x14ac:dyDescent="0.35">
      <c r="A116" t="e" cm="1">
        <f t="array" aca="1" ref="A116" ca="1">IF(A115="","",IF(OR(AND(A115+1&gt;=$AF$1,A115+1&lt;=$AF$2),AND(A115+1&gt;=$AF$6,A115+1&lt;=$AF$7),AND(A115+1&gt;=$AF$3,A115+1&lt;=$AF$4),AND(A115+1&gt;=$AF$8,A115+1&lt;=$AF$9),A115+1=$AF$5),IF(NOT(ISBLANK(INDIRECT("template!"&amp;"P"&amp;A115+1))),A115+1,IF(NOT(ISBLANK(INDIRECT("template!"&amp;"P"&amp;A115+2))),A115+2,A115+3)),IF(A115=$AF$2,$AF$3,IF(A115=$AF$4,$AF$5,IF(A115=$AF$5,$AF$6,IF(A115=$AF$7,$AF$8,""))))))</f>
        <v>#REF!</v>
      </c>
      <c r="B116" t="e">
        <f t="shared" ca="1" si="0"/>
        <v>#REF!</v>
      </c>
      <c r="C116" t="e" cm="1">
        <f t="array" aca="1" ref="C116" ca="1">IF(A116="","",IF(B116="safety","safety costs",INDIRECT("template!"&amp;"B"&amp;A116)))</f>
        <v>#REF!</v>
      </c>
      <c r="D116" t="e" cm="1">
        <f t="array" aca="1" ref="D116" ca="1">IF(OR(A116="",B116="safety"),"",INDIRECT("template!"&amp;"C"&amp;A116))</f>
        <v>#REF!</v>
      </c>
      <c r="E116" t="e" cm="1">
        <f t="array" aca="1" ref="E116" ca="1">IF(A116="","",IF(OR(A116=A115+1,A116=A115+2),E115,INDIRECT("template!"&amp;"D"&amp;A116-2)))</f>
        <v>#REF!</v>
      </c>
      <c r="F116" t="e" cm="1">
        <f t="array" aca="1" ref="F116" ca="1">IF(OR(A116="",B116="safety"),"",IF(ISBLANK(IF(A116=A115+1,F115,INDIRECT("template!"&amp;"D"&amp;A116-1))),"",IF(A116=A115+1,F115,INDIRECT("template!"&amp;"D"&amp;A116-1))))</f>
        <v>#REF!</v>
      </c>
      <c r="G116" t="e" cm="1">
        <f t="array" aca="1" ref="G116" ca="1">IF(OR(A116="",B116="safety"),"",IF(ISBLANK(INDIRECT("template!"&amp;"D"&amp;A116)),"",INDIRECT("template!"&amp;"D"&amp;A116)))</f>
        <v>#REF!</v>
      </c>
      <c r="H116" t="e" cm="1">
        <f t="array" aca="1" ref="H116" ca="1">IF(OR(A116="",B116="safety"),"",IF(ISBLANK(INDIRECT("template!"&amp;"E"&amp;A116)),"",INDIRECT("template!"&amp;"E"&amp;A116)))</f>
        <v>#REF!</v>
      </c>
      <c r="I116" t="e" cm="1">
        <f t="array" aca="1" ref="I116" ca="1">IF(OR(A116="",B116="safety"),"",IF(ISBLANK(INDIRECT("template!"&amp;"F"&amp;A116)),"",INDIRECT("template!"&amp;"F"&amp;A116)))</f>
        <v>#REF!</v>
      </c>
      <c r="J116" t="e" cm="1">
        <f t="array" aca="1" ref="J116" ca="1">IF(OR(A116="",B116="safety"),"",IF(ISBLANK(INDIRECT("template!"&amp;"G"&amp;A116)),"",INDIRECT("template!"&amp;"G"&amp;A116)))</f>
        <v>#REF!</v>
      </c>
      <c r="K116" t="e" cm="1">
        <f t="array" aca="1" ref="K116" ca="1">IF(OR(A116="",B116="safety"),"",IF(ISBLANK(INDIRECT("template!"&amp;"H"&amp;A116)),"",INDIRECT("template!"&amp;"H"&amp;A116)))</f>
        <v>#REF!</v>
      </c>
      <c r="L116" t="e" cm="1">
        <f t="array" aca="1" ref="L116" ca="1">IF(OR(A116="",B116="safety"),"",INDIRECT("template!"&amp;"I"&amp;A116))</f>
        <v>#REF!</v>
      </c>
      <c r="M116" t="e" cm="1">
        <f t="array" aca="1" ref="M116" ca="1">IF(OR(A116="",B116="safety"),"",INDIRECT("template!"&amp;"J"&amp;A116))</f>
        <v>#REF!</v>
      </c>
      <c r="N116" t="e" cm="1">
        <f t="array" aca="1" ref="N116" ca="1">IF(OR(A116="",B116="safety"),"",IF(ISBLANK(INDIRECT("template!"&amp;"K"&amp;A116)),"",INDIRECT("template!"&amp;"K"&amp;A116)))</f>
        <v>#REF!</v>
      </c>
      <c r="O116" t="e" cm="1">
        <f t="array" aca="1" ref="O116" ca="1">IF(OR(A116="",B116="safety"),"",INDIRECT("template!"&amp;"L"&amp;A116))</f>
        <v>#REF!</v>
      </c>
      <c r="P116" t="e" cm="1">
        <f t="array" aca="1" ref="P116" ca="1">IF(OR(A116="",B116="safety"),"",INDIRECT("template!"&amp;"M"&amp;A116))</f>
        <v>#REF!</v>
      </c>
      <c r="Q116" t="e">
        <f t="shared" ca="1" si="6"/>
        <v>#REF!</v>
      </c>
      <c r="R116" t="e">
        <f t="shared" ca="1" si="7"/>
        <v>#REF!</v>
      </c>
      <c r="S116" t="e">
        <f t="shared" ca="1" si="8"/>
        <v>#REF!</v>
      </c>
      <c r="T116" t="e">
        <f t="shared" ca="1" si="9"/>
        <v>#REF!</v>
      </c>
      <c r="U116" t="e" cm="1">
        <f t="array" aca="1" ref="U116" ca="1">IF(A116="","",IF(E116="","",IF(B116="safety",INDIRECT("template!"&amp;"P"&amp;A116),Q116+R116)))</f>
        <v>#REF!</v>
      </c>
      <c r="V116" t="e" cm="1">
        <f t="array" aca="1" ref="V116" ca="1">IF(A116="","",IF(E116="","",IF(B116="safety",INDIRECT("template!"&amp;"P"&amp;A116),S116+T116)))</f>
        <v>#REF!</v>
      </c>
      <c r="W116" t="e">
        <f ca="1">IF(A116="","",IF(E116="","",#REF!))</f>
        <v>#REF!</v>
      </c>
      <c r="X116" t="e">
        <f ca="1">IF(A116="","",IF(E116="","",#REF!))</f>
        <v>#REF!</v>
      </c>
      <c r="Y116" s="39" t="e">
        <f ca="1">IF(A116="","",IF(E116="","",#REF!))</f>
        <v>#REF!</v>
      </c>
      <c r="Z116" t="e">
        <f ca="1">IF(A116="","",IF(E116="","",#REF!))</f>
        <v>#REF!</v>
      </c>
      <c r="AA116" t="e">
        <f ca="1">IF(A116="","",IF(E116="","",#REF!))</f>
        <v>#REF!</v>
      </c>
      <c r="AB116" t="e">
        <f ca="1">IF(A116="","",IF(E116="","",#REF!))</f>
        <v>#REF!</v>
      </c>
      <c r="AC116" t="e">
        <f t="shared" ca="1" si="10"/>
        <v>#REF!</v>
      </c>
    </row>
    <row r="117" spans="1:29" x14ac:dyDescent="0.35">
      <c r="A117" t="e" cm="1">
        <f t="array" aca="1" ref="A117" ca="1">IF(A116="","",IF(OR(AND(A116+1&gt;=$AF$1,A116+1&lt;=$AF$2),AND(A116+1&gt;=$AF$6,A116+1&lt;=$AF$7),AND(A116+1&gt;=$AF$3,A116+1&lt;=$AF$4),AND(A116+1&gt;=$AF$8,A116+1&lt;=$AF$9),A116+1=$AF$5),IF(NOT(ISBLANK(INDIRECT("template!"&amp;"P"&amp;A116+1))),A116+1,IF(NOT(ISBLANK(INDIRECT("template!"&amp;"P"&amp;A116+2))),A116+2,A116+3)),IF(A116=$AF$2,$AF$3,IF(A116=$AF$4,$AF$5,IF(A116=$AF$5,$AF$6,IF(A116=$AF$7,$AF$8,""))))))</f>
        <v>#REF!</v>
      </c>
      <c r="B117" t="e">
        <f t="shared" ca="1" si="0"/>
        <v>#REF!</v>
      </c>
      <c r="C117" t="e" cm="1">
        <f t="array" aca="1" ref="C117" ca="1">IF(A117="","",IF(B117="safety","safety costs",INDIRECT("template!"&amp;"B"&amp;A117)))</f>
        <v>#REF!</v>
      </c>
      <c r="D117" t="e" cm="1">
        <f t="array" aca="1" ref="D117" ca="1">IF(OR(A117="",B117="safety"),"",INDIRECT("template!"&amp;"C"&amp;A117))</f>
        <v>#REF!</v>
      </c>
      <c r="E117" t="e" cm="1">
        <f t="array" aca="1" ref="E117" ca="1">IF(A117="","",IF(OR(A117=A116+1,A117=A116+2),E116,INDIRECT("template!"&amp;"D"&amp;A117-2)))</f>
        <v>#REF!</v>
      </c>
      <c r="F117" t="e" cm="1">
        <f t="array" aca="1" ref="F117" ca="1">IF(OR(A117="",B117="safety"),"",IF(ISBLANK(IF(A117=A116+1,F116,INDIRECT("template!"&amp;"D"&amp;A117-1))),"",IF(A117=A116+1,F116,INDIRECT("template!"&amp;"D"&amp;A117-1))))</f>
        <v>#REF!</v>
      </c>
      <c r="G117" t="e" cm="1">
        <f t="array" aca="1" ref="G117" ca="1">IF(OR(A117="",B117="safety"),"",IF(ISBLANK(INDIRECT("template!"&amp;"D"&amp;A117)),"",INDIRECT("template!"&amp;"D"&amp;A117)))</f>
        <v>#REF!</v>
      </c>
      <c r="H117" t="e" cm="1">
        <f t="array" aca="1" ref="H117" ca="1">IF(OR(A117="",B117="safety"),"",IF(ISBLANK(INDIRECT("template!"&amp;"E"&amp;A117)),"",INDIRECT("template!"&amp;"E"&amp;A117)))</f>
        <v>#REF!</v>
      </c>
      <c r="I117" t="e" cm="1">
        <f t="array" aca="1" ref="I117" ca="1">IF(OR(A117="",B117="safety"),"",IF(ISBLANK(INDIRECT("template!"&amp;"F"&amp;A117)),"",INDIRECT("template!"&amp;"F"&amp;A117)))</f>
        <v>#REF!</v>
      </c>
      <c r="J117" t="e" cm="1">
        <f t="array" aca="1" ref="J117" ca="1">IF(OR(A117="",B117="safety"),"",IF(ISBLANK(INDIRECT("template!"&amp;"G"&amp;A117)),"",INDIRECT("template!"&amp;"G"&amp;A117)))</f>
        <v>#REF!</v>
      </c>
      <c r="K117" t="e" cm="1">
        <f t="array" aca="1" ref="K117" ca="1">IF(OR(A117="",B117="safety"),"",IF(ISBLANK(INDIRECT("template!"&amp;"H"&amp;A117)),"",INDIRECT("template!"&amp;"H"&amp;A117)))</f>
        <v>#REF!</v>
      </c>
      <c r="L117" t="e" cm="1">
        <f t="array" aca="1" ref="L117" ca="1">IF(OR(A117="",B117="safety"),"",INDIRECT("template!"&amp;"I"&amp;A117))</f>
        <v>#REF!</v>
      </c>
      <c r="M117" t="e" cm="1">
        <f t="array" aca="1" ref="M117" ca="1">IF(OR(A117="",B117="safety"),"",INDIRECT("template!"&amp;"J"&amp;A117))</f>
        <v>#REF!</v>
      </c>
      <c r="N117" t="e" cm="1">
        <f t="array" aca="1" ref="N117" ca="1">IF(OR(A117="",B117="safety"),"",IF(ISBLANK(INDIRECT("template!"&amp;"K"&amp;A117)),"",INDIRECT("template!"&amp;"K"&amp;A117)))</f>
        <v>#REF!</v>
      </c>
      <c r="O117" t="e" cm="1">
        <f t="array" aca="1" ref="O117" ca="1">IF(OR(A117="",B117="safety"),"",INDIRECT("template!"&amp;"L"&amp;A117))</f>
        <v>#REF!</v>
      </c>
      <c r="P117" t="e" cm="1">
        <f t="array" aca="1" ref="P117" ca="1">IF(OR(A117="",B117="safety"),"",INDIRECT("template!"&amp;"M"&amp;A117))</f>
        <v>#REF!</v>
      </c>
      <c r="Q117" t="e">
        <f t="shared" ca="1" si="6"/>
        <v>#REF!</v>
      </c>
      <c r="R117" t="e">
        <f t="shared" ca="1" si="7"/>
        <v>#REF!</v>
      </c>
      <c r="S117" t="e">
        <f t="shared" ca="1" si="8"/>
        <v>#REF!</v>
      </c>
      <c r="T117" t="e">
        <f t="shared" ca="1" si="9"/>
        <v>#REF!</v>
      </c>
      <c r="U117" t="e" cm="1">
        <f t="array" aca="1" ref="U117" ca="1">IF(A117="","",IF(E117="","",IF(B117="safety",INDIRECT("template!"&amp;"P"&amp;A117),Q117+R117)))</f>
        <v>#REF!</v>
      </c>
      <c r="V117" t="e" cm="1">
        <f t="array" aca="1" ref="V117" ca="1">IF(A117="","",IF(E117="","",IF(B117="safety",INDIRECT("template!"&amp;"P"&amp;A117),S117+T117)))</f>
        <v>#REF!</v>
      </c>
      <c r="W117" t="e">
        <f ca="1">IF(A117="","",IF(E117="","",#REF!))</f>
        <v>#REF!</v>
      </c>
      <c r="X117" t="e">
        <f ca="1">IF(A117="","",IF(E117="","",#REF!))</f>
        <v>#REF!</v>
      </c>
      <c r="Y117" s="39" t="e">
        <f ca="1">IF(A117="","",IF(E117="","",#REF!))</f>
        <v>#REF!</v>
      </c>
      <c r="Z117" t="e">
        <f ca="1">IF(A117="","",IF(E117="","",#REF!))</f>
        <v>#REF!</v>
      </c>
      <c r="AA117" t="e">
        <f ca="1">IF(A117="","",IF(E117="","",#REF!))</f>
        <v>#REF!</v>
      </c>
      <c r="AB117" t="e">
        <f ca="1">IF(A117="","",IF(E117="","",#REF!))</f>
        <v>#REF!</v>
      </c>
      <c r="AC117" t="e">
        <f t="shared" ca="1" si="10"/>
        <v>#REF!</v>
      </c>
    </row>
    <row r="118" spans="1:29" x14ac:dyDescent="0.35">
      <c r="A118" t="e" cm="1">
        <f t="array" aca="1" ref="A118" ca="1">IF(A117="","",IF(OR(AND(A117+1&gt;=$AF$1,A117+1&lt;=$AF$2),AND(A117+1&gt;=$AF$6,A117+1&lt;=$AF$7),AND(A117+1&gt;=$AF$3,A117+1&lt;=$AF$4),AND(A117+1&gt;=$AF$8,A117+1&lt;=$AF$9),A117+1=$AF$5),IF(NOT(ISBLANK(INDIRECT("template!"&amp;"P"&amp;A117+1))),A117+1,IF(NOT(ISBLANK(INDIRECT("template!"&amp;"P"&amp;A117+2))),A117+2,A117+3)),IF(A117=$AF$2,$AF$3,IF(A117=$AF$4,$AF$5,IF(A117=$AF$5,$AF$6,IF(A117=$AF$7,$AF$8,""))))))</f>
        <v>#REF!</v>
      </c>
      <c r="B118" t="e">
        <f t="shared" ca="1" si="0"/>
        <v>#REF!</v>
      </c>
      <c r="C118" t="e" cm="1">
        <f t="array" aca="1" ref="C118" ca="1">IF(A118="","",IF(B118="safety","safety costs",INDIRECT("template!"&amp;"B"&amp;A118)))</f>
        <v>#REF!</v>
      </c>
      <c r="D118" t="e" cm="1">
        <f t="array" aca="1" ref="D118" ca="1">IF(OR(A118="",B118="safety"),"",INDIRECT("template!"&amp;"C"&amp;A118))</f>
        <v>#REF!</v>
      </c>
      <c r="E118" t="e" cm="1">
        <f t="array" aca="1" ref="E118" ca="1">IF(A118="","",IF(OR(A118=A117+1,A118=A117+2),E117,INDIRECT("template!"&amp;"D"&amp;A118-2)))</f>
        <v>#REF!</v>
      </c>
      <c r="F118" t="e" cm="1">
        <f t="array" aca="1" ref="F118" ca="1">IF(OR(A118="",B118="safety"),"",IF(ISBLANK(IF(A118=A117+1,F117,INDIRECT("template!"&amp;"D"&amp;A118-1))),"",IF(A118=A117+1,F117,INDIRECT("template!"&amp;"D"&amp;A118-1))))</f>
        <v>#REF!</v>
      </c>
      <c r="G118" t="e" cm="1">
        <f t="array" aca="1" ref="G118" ca="1">IF(OR(A118="",B118="safety"),"",IF(ISBLANK(INDIRECT("template!"&amp;"D"&amp;A118)),"",INDIRECT("template!"&amp;"D"&amp;A118)))</f>
        <v>#REF!</v>
      </c>
      <c r="H118" t="e" cm="1">
        <f t="array" aca="1" ref="H118" ca="1">IF(OR(A118="",B118="safety"),"",IF(ISBLANK(INDIRECT("template!"&amp;"E"&amp;A118)),"",INDIRECT("template!"&amp;"E"&amp;A118)))</f>
        <v>#REF!</v>
      </c>
      <c r="I118" t="e" cm="1">
        <f t="array" aca="1" ref="I118" ca="1">IF(OR(A118="",B118="safety"),"",IF(ISBLANK(INDIRECT("template!"&amp;"F"&amp;A118)),"",INDIRECT("template!"&amp;"F"&amp;A118)))</f>
        <v>#REF!</v>
      </c>
      <c r="J118" t="e" cm="1">
        <f t="array" aca="1" ref="J118" ca="1">IF(OR(A118="",B118="safety"),"",IF(ISBLANK(INDIRECT("template!"&amp;"G"&amp;A118)),"",INDIRECT("template!"&amp;"G"&amp;A118)))</f>
        <v>#REF!</v>
      </c>
      <c r="K118" t="e" cm="1">
        <f t="array" aca="1" ref="K118" ca="1">IF(OR(A118="",B118="safety"),"",IF(ISBLANK(INDIRECT("template!"&amp;"H"&amp;A118)),"",INDIRECT("template!"&amp;"H"&amp;A118)))</f>
        <v>#REF!</v>
      </c>
      <c r="L118" t="e" cm="1">
        <f t="array" aca="1" ref="L118" ca="1">IF(OR(A118="",B118="safety"),"",INDIRECT("template!"&amp;"I"&amp;A118))</f>
        <v>#REF!</v>
      </c>
      <c r="M118" t="e" cm="1">
        <f t="array" aca="1" ref="M118" ca="1">IF(OR(A118="",B118="safety"),"",INDIRECT("template!"&amp;"J"&amp;A118))</f>
        <v>#REF!</v>
      </c>
      <c r="N118" t="e" cm="1">
        <f t="array" aca="1" ref="N118" ca="1">IF(OR(A118="",B118="safety"),"",IF(ISBLANK(INDIRECT("template!"&amp;"K"&amp;A118)),"",INDIRECT("template!"&amp;"K"&amp;A118)))</f>
        <v>#REF!</v>
      </c>
      <c r="O118" t="e" cm="1">
        <f t="array" aca="1" ref="O118" ca="1">IF(OR(A118="",B118="safety"),"",INDIRECT("template!"&amp;"L"&amp;A118))</f>
        <v>#REF!</v>
      </c>
      <c r="P118" t="e" cm="1">
        <f t="array" aca="1" ref="P118" ca="1">IF(OR(A118="",B118="safety"),"",INDIRECT("template!"&amp;"M"&amp;A118))</f>
        <v>#REF!</v>
      </c>
      <c r="Q118" t="e">
        <f t="shared" ca="1" si="6"/>
        <v>#REF!</v>
      </c>
      <c r="R118" t="e">
        <f t="shared" ca="1" si="7"/>
        <v>#REF!</v>
      </c>
      <c r="S118" t="e">
        <f t="shared" ca="1" si="8"/>
        <v>#REF!</v>
      </c>
      <c r="T118" t="e">
        <f t="shared" ca="1" si="9"/>
        <v>#REF!</v>
      </c>
      <c r="U118" t="e" cm="1">
        <f t="array" aca="1" ref="U118" ca="1">IF(A118="","",IF(E118="","",IF(B118="safety",INDIRECT("template!"&amp;"P"&amp;A118),Q118+R118)))</f>
        <v>#REF!</v>
      </c>
      <c r="V118" t="e" cm="1">
        <f t="array" aca="1" ref="V118" ca="1">IF(A118="","",IF(E118="","",IF(B118="safety",INDIRECT("template!"&amp;"P"&amp;A118),S118+T118)))</f>
        <v>#REF!</v>
      </c>
      <c r="W118" t="e">
        <f ca="1">IF(A118="","",IF(E118="","",#REF!))</f>
        <v>#REF!</v>
      </c>
      <c r="X118" t="e">
        <f ca="1">IF(A118="","",IF(E118="","",#REF!))</f>
        <v>#REF!</v>
      </c>
      <c r="Y118" s="39" t="e">
        <f ca="1">IF(A118="","",IF(E118="","",#REF!))</f>
        <v>#REF!</v>
      </c>
      <c r="Z118" t="e">
        <f ca="1">IF(A118="","",IF(E118="","",#REF!))</f>
        <v>#REF!</v>
      </c>
      <c r="AA118" t="e">
        <f ca="1">IF(A118="","",IF(E118="","",#REF!))</f>
        <v>#REF!</v>
      </c>
      <c r="AB118" t="e">
        <f ca="1">IF(A118="","",IF(E118="","",#REF!))</f>
        <v>#REF!</v>
      </c>
      <c r="AC118" t="e">
        <f t="shared" ca="1" si="10"/>
        <v>#REF!</v>
      </c>
    </row>
    <row r="119" spans="1:29" x14ac:dyDescent="0.35">
      <c r="A119" t="e" cm="1">
        <f t="array" aca="1" ref="A119" ca="1">IF(A118="","",IF(OR(AND(A118+1&gt;=$AF$1,A118+1&lt;=$AF$2),AND(A118+1&gt;=$AF$6,A118+1&lt;=$AF$7),AND(A118+1&gt;=$AF$3,A118+1&lt;=$AF$4),AND(A118+1&gt;=$AF$8,A118+1&lt;=$AF$9),A118+1=$AF$5),IF(NOT(ISBLANK(INDIRECT("template!"&amp;"P"&amp;A118+1))),A118+1,IF(NOT(ISBLANK(INDIRECT("template!"&amp;"P"&amp;A118+2))),A118+2,A118+3)),IF(A118=$AF$2,$AF$3,IF(A118=$AF$4,$AF$5,IF(A118=$AF$5,$AF$6,IF(A118=$AF$7,$AF$8,""))))))</f>
        <v>#REF!</v>
      </c>
      <c r="B119" t="e">
        <f t="shared" ca="1" si="0"/>
        <v>#REF!</v>
      </c>
      <c r="C119" t="e" cm="1">
        <f t="array" aca="1" ref="C119" ca="1">IF(A119="","",IF(B119="safety","safety costs",INDIRECT("template!"&amp;"B"&amp;A119)))</f>
        <v>#REF!</v>
      </c>
      <c r="D119" t="e" cm="1">
        <f t="array" aca="1" ref="D119" ca="1">IF(OR(A119="",B119="safety"),"",INDIRECT("template!"&amp;"C"&amp;A119))</f>
        <v>#REF!</v>
      </c>
      <c r="E119" t="e" cm="1">
        <f t="array" aca="1" ref="E119" ca="1">IF(A119="","",IF(OR(A119=A118+1,A119=A118+2),E118,INDIRECT("template!"&amp;"D"&amp;A119-2)))</f>
        <v>#REF!</v>
      </c>
      <c r="F119" t="e" cm="1">
        <f t="array" aca="1" ref="F119" ca="1">IF(OR(A119="",B119="safety"),"",IF(ISBLANK(IF(A119=A118+1,F118,INDIRECT("template!"&amp;"D"&amp;A119-1))),"",IF(A119=A118+1,F118,INDIRECT("template!"&amp;"D"&amp;A119-1))))</f>
        <v>#REF!</v>
      </c>
      <c r="G119" t="e" cm="1">
        <f t="array" aca="1" ref="G119" ca="1">IF(OR(A119="",B119="safety"),"",IF(ISBLANK(INDIRECT("template!"&amp;"D"&amp;A119)),"",INDIRECT("template!"&amp;"D"&amp;A119)))</f>
        <v>#REF!</v>
      </c>
      <c r="H119" t="e" cm="1">
        <f t="array" aca="1" ref="H119" ca="1">IF(OR(A119="",B119="safety"),"",IF(ISBLANK(INDIRECT("template!"&amp;"E"&amp;A119)),"",INDIRECT("template!"&amp;"E"&amp;A119)))</f>
        <v>#REF!</v>
      </c>
      <c r="I119" t="e" cm="1">
        <f t="array" aca="1" ref="I119" ca="1">IF(OR(A119="",B119="safety"),"",IF(ISBLANK(INDIRECT("template!"&amp;"F"&amp;A119)),"",INDIRECT("template!"&amp;"F"&amp;A119)))</f>
        <v>#REF!</v>
      </c>
      <c r="J119" t="e" cm="1">
        <f t="array" aca="1" ref="J119" ca="1">IF(OR(A119="",B119="safety"),"",IF(ISBLANK(INDIRECT("template!"&amp;"G"&amp;A119)),"",INDIRECT("template!"&amp;"G"&amp;A119)))</f>
        <v>#REF!</v>
      </c>
      <c r="K119" t="e" cm="1">
        <f t="array" aca="1" ref="K119" ca="1">IF(OR(A119="",B119="safety"),"",IF(ISBLANK(INDIRECT("template!"&amp;"H"&amp;A119)),"",INDIRECT("template!"&amp;"H"&amp;A119)))</f>
        <v>#REF!</v>
      </c>
      <c r="L119" t="e" cm="1">
        <f t="array" aca="1" ref="L119" ca="1">IF(OR(A119="",B119="safety"),"",INDIRECT("template!"&amp;"I"&amp;A119))</f>
        <v>#REF!</v>
      </c>
      <c r="M119" t="e" cm="1">
        <f t="array" aca="1" ref="M119" ca="1">IF(OR(A119="",B119="safety"),"",INDIRECT("template!"&amp;"J"&amp;A119))</f>
        <v>#REF!</v>
      </c>
      <c r="N119" t="e" cm="1">
        <f t="array" aca="1" ref="N119" ca="1">IF(OR(A119="",B119="safety"),"",IF(ISBLANK(INDIRECT("template!"&amp;"K"&amp;A119)),"",INDIRECT("template!"&amp;"K"&amp;A119)))</f>
        <v>#REF!</v>
      </c>
      <c r="O119" t="e" cm="1">
        <f t="array" aca="1" ref="O119" ca="1">IF(OR(A119="",B119="safety"),"",INDIRECT("template!"&amp;"L"&amp;A119))</f>
        <v>#REF!</v>
      </c>
      <c r="P119" t="e" cm="1">
        <f t="array" aca="1" ref="P119" ca="1">IF(OR(A119="",B119="safety"),"",INDIRECT("template!"&amp;"M"&amp;A119))</f>
        <v>#REF!</v>
      </c>
      <c r="Q119" t="e">
        <f t="shared" ca="1" si="6"/>
        <v>#REF!</v>
      </c>
      <c r="R119" t="e">
        <f t="shared" ca="1" si="7"/>
        <v>#REF!</v>
      </c>
      <c r="S119" t="e">
        <f t="shared" ca="1" si="8"/>
        <v>#REF!</v>
      </c>
      <c r="T119" t="e">
        <f t="shared" ca="1" si="9"/>
        <v>#REF!</v>
      </c>
      <c r="U119" t="e" cm="1">
        <f t="array" aca="1" ref="U119" ca="1">IF(A119="","",IF(E119="","",IF(B119="safety",INDIRECT("template!"&amp;"P"&amp;A119),Q119+R119)))</f>
        <v>#REF!</v>
      </c>
      <c r="V119" t="e" cm="1">
        <f t="array" aca="1" ref="V119" ca="1">IF(A119="","",IF(E119="","",IF(B119="safety",INDIRECT("template!"&amp;"P"&amp;A119),S119+T119)))</f>
        <v>#REF!</v>
      </c>
      <c r="W119" t="e">
        <f ca="1">IF(A119="","",IF(E119="","",#REF!))</f>
        <v>#REF!</v>
      </c>
      <c r="X119" t="e">
        <f ca="1">IF(A119="","",IF(E119="","",#REF!))</f>
        <v>#REF!</v>
      </c>
      <c r="Y119" s="39" t="e">
        <f ca="1">IF(A119="","",IF(E119="","",#REF!))</f>
        <v>#REF!</v>
      </c>
      <c r="Z119" t="e">
        <f ca="1">IF(A119="","",IF(E119="","",#REF!))</f>
        <v>#REF!</v>
      </c>
      <c r="AA119" t="e">
        <f ca="1">IF(A119="","",IF(E119="","",#REF!))</f>
        <v>#REF!</v>
      </c>
      <c r="AB119" t="e">
        <f ca="1">IF(A119="","",IF(E119="","",#REF!))</f>
        <v>#REF!</v>
      </c>
      <c r="AC119" t="e">
        <f t="shared" ca="1" si="10"/>
        <v>#REF!</v>
      </c>
    </row>
    <row r="120" spans="1:29" x14ac:dyDescent="0.35">
      <c r="A120" t="e" cm="1">
        <f t="array" aca="1" ref="A120" ca="1">IF(A119="","",IF(OR(AND(A119+1&gt;=$AF$1,A119+1&lt;=$AF$2),AND(A119+1&gt;=$AF$6,A119+1&lt;=$AF$7),AND(A119+1&gt;=$AF$3,A119+1&lt;=$AF$4),AND(A119+1&gt;=$AF$8,A119+1&lt;=$AF$9),A119+1=$AF$5),IF(NOT(ISBLANK(INDIRECT("template!"&amp;"P"&amp;A119+1))),A119+1,IF(NOT(ISBLANK(INDIRECT("template!"&amp;"P"&amp;A119+2))),A119+2,A119+3)),IF(A119=$AF$2,$AF$3,IF(A119=$AF$4,$AF$5,IF(A119=$AF$5,$AF$6,IF(A119=$AF$7,$AF$8,""))))))</f>
        <v>#REF!</v>
      </c>
      <c r="B120" t="e">
        <f t="shared" ca="1" si="0"/>
        <v>#REF!</v>
      </c>
      <c r="C120" t="e" cm="1">
        <f t="array" aca="1" ref="C120" ca="1">IF(A120="","",IF(B120="safety","safety costs",INDIRECT("template!"&amp;"B"&amp;A120)))</f>
        <v>#REF!</v>
      </c>
      <c r="D120" t="e" cm="1">
        <f t="array" aca="1" ref="D120" ca="1">IF(OR(A120="",B120="safety"),"",INDIRECT("template!"&amp;"C"&amp;A120))</f>
        <v>#REF!</v>
      </c>
      <c r="E120" t="e" cm="1">
        <f t="array" aca="1" ref="E120" ca="1">IF(A120="","",IF(OR(A120=A119+1,A120=A119+2),E119,INDIRECT("template!"&amp;"D"&amp;A120-2)))</f>
        <v>#REF!</v>
      </c>
      <c r="F120" t="e" cm="1">
        <f t="array" aca="1" ref="F120" ca="1">IF(OR(A120="",B120="safety"),"",IF(ISBLANK(IF(A120=A119+1,F119,INDIRECT("template!"&amp;"D"&amp;A120-1))),"",IF(A120=A119+1,F119,INDIRECT("template!"&amp;"D"&amp;A120-1))))</f>
        <v>#REF!</v>
      </c>
      <c r="G120" t="e" cm="1">
        <f t="array" aca="1" ref="G120" ca="1">IF(OR(A120="",B120="safety"),"",IF(ISBLANK(INDIRECT("template!"&amp;"D"&amp;A120)),"",INDIRECT("template!"&amp;"D"&amp;A120)))</f>
        <v>#REF!</v>
      </c>
      <c r="H120" t="e" cm="1">
        <f t="array" aca="1" ref="H120" ca="1">IF(OR(A120="",B120="safety"),"",IF(ISBLANK(INDIRECT("template!"&amp;"E"&amp;A120)),"",INDIRECT("template!"&amp;"E"&amp;A120)))</f>
        <v>#REF!</v>
      </c>
      <c r="I120" t="e" cm="1">
        <f t="array" aca="1" ref="I120" ca="1">IF(OR(A120="",B120="safety"),"",IF(ISBLANK(INDIRECT("template!"&amp;"F"&amp;A120)),"",INDIRECT("template!"&amp;"F"&amp;A120)))</f>
        <v>#REF!</v>
      </c>
      <c r="J120" t="e" cm="1">
        <f t="array" aca="1" ref="J120" ca="1">IF(OR(A120="",B120="safety"),"",IF(ISBLANK(INDIRECT("template!"&amp;"G"&amp;A120)),"",INDIRECT("template!"&amp;"G"&amp;A120)))</f>
        <v>#REF!</v>
      </c>
      <c r="K120" t="e" cm="1">
        <f t="array" aca="1" ref="K120" ca="1">IF(OR(A120="",B120="safety"),"",IF(ISBLANK(INDIRECT("template!"&amp;"H"&amp;A120)),"",INDIRECT("template!"&amp;"H"&amp;A120)))</f>
        <v>#REF!</v>
      </c>
      <c r="L120" t="e" cm="1">
        <f t="array" aca="1" ref="L120" ca="1">IF(OR(A120="",B120="safety"),"",INDIRECT("template!"&amp;"I"&amp;A120))</f>
        <v>#REF!</v>
      </c>
      <c r="M120" t="e" cm="1">
        <f t="array" aca="1" ref="M120" ca="1">IF(OR(A120="",B120="safety"),"",INDIRECT("template!"&amp;"J"&amp;A120))</f>
        <v>#REF!</v>
      </c>
      <c r="N120" t="e" cm="1">
        <f t="array" aca="1" ref="N120" ca="1">IF(OR(A120="",B120="safety"),"",IF(ISBLANK(INDIRECT("template!"&amp;"K"&amp;A120)),"",INDIRECT("template!"&amp;"K"&amp;A120)))</f>
        <v>#REF!</v>
      </c>
      <c r="O120" t="e" cm="1">
        <f t="array" aca="1" ref="O120" ca="1">IF(OR(A120="",B120="safety"),"",INDIRECT("template!"&amp;"L"&amp;A120))</f>
        <v>#REF!</v>
      </c>
      <c r="P120" t="e" cm="1">
        <f t="array" aca="1" ref="P120" ca="1">IF(OR(A120="",B120="safety"),"",INDIRECT("template!"&amp;"M"&amp;A120))</f>
        <v>#REF!</v>
      </c>
      <c r="Q120" t="e">
        <f t="shared" ca="1" si="6"/>
        <v>#REF!</v>
      </c>
      <c r="R120" t="e">
        <f t="shared" ca="1" si="7"/>
        <v>#REF!</v>
      </c>
      <c r="S120" t="e">
        <f t="shared" ca="1" si="8"/>
        <v>#REF!</v>
      </c>
      <c r="T120" t="e">
        <f t="shared" ca="1" si="9"/>
        <v>#REF!</v>
      </c>
      <c r="U120" t="e" cm="1">
        <f t="array" aca="1" ref="U120" ca="1">IF(A120="","",IF(E120="","",IF(B120="safety",INDIRECT("template!"&amp;"P"&amp;A120),Q120+R120)))</f>
        <v>#REF!</v>
      </c>
      <c r="V120" t="e" cm="1">
        <f t="array" aca="1" ref="V120" ca="1">IF(A120="","",IF(E120="","",IF(B120="safety",INDIRECT("template!"&amp;"P"&amp;A120),S120+T120)))</f>
        <v>#REF!</v>
      </c>
      <c r="W120" t="e">
        <f ca="1">IF(A120="","",IF(E120="","",#REF!))</f>
        <v>#REF!</v>
      </c>
      <c r="X120" t="e">
        <f ca="1">IF(A120="","",IF(E120="","",#REF!))</f>
        <v>#REF!</v>
      </c>
      <c r="Y120" s="39" t="e">
        <f ca="1">IF(A120="","",IF(E120="","",#REF!))</f>
        <v>#REF!</v>
      </c>
      <c r="Z120" t="e">
        <f ca="1">IF(A120="","",IF(E120="","",#REF!))</f>
        <v>#REF!</v>
      </c>
      <c r="AA120" t="e">
        <f ca="1">IF(A120="","",IF(E120="","",#REF!))</f>
        <v>#REF!</v>
      </c>
      <c r="AB120" t="e">
        <f ca="1">IF(A120="","",IF(E120="","",#REF!))</f>
        <v>#REF!</v>
      </c>
      <c r="AC120" t="e">
        <f t="shared" ca="1" si="10"/>
        <v>#REF!</v>
      </c>
    </row>
    <row r="121" spans="1:29" x14ac:dyDescent="0.35">
      <c r="A121" t="e" cm="1">
        <f t="array" aca="1" ref="A121" ca="1">IF(A120="","",IF(OR(AND(A120+1&gt;=$AF$1,A120+1&lt;=$AF$2),AND(A120+1&gt;=$AF$6,A120+1&lt;=$AF$7),AND(A120+1&gt;=$AF$3,A120+1&lt;=$AF$4),AND(A120+1&gt;=$AF$8,A120+1&lt;=$AF$9),A120+1=$AF$5),IF(NOT(ISBLANK(INDIRECT("template!"&amp;"P"&amp;A120+1))),A120+1,IF(NOT(ISBLANK(INDIRECT("template!"&amp;"P"&amp;A120+2))),A120+2,A120+3)),IF(A120=$AF$2,$AF$3,IF(A120=$AF$4,$AF$5,IF(A120=$AF$5,$AF$6,IF(A120=$AF$7,$AF$8,""))))))</f>
        <v>#REF!</v>
      </c>
      <c r="B121" t="e">
        <f t="shared" ca="1" si="0"/>
        <v>#REF!</v>
      </c>
      <c r="C121" t="e" cm="1">
        <f t="array" aca="1" ref="C121" ca="1">IF(A121="","",IF(B121="safety","safety costs",INDIRECT("template!"&amp;"B"&amp;A121)))</f>
        <v>#REF!</v>
      </c>
      <c r="D121" t="e" cm="1">
        <f t="array" aca="1" ref="D121" ca="1">IF(OR(A121="",B121="safety"),"",INDIRECT("template!"&amp;"C"&amp;A121))</f>
        <v>#REF!</v>
      </c>
      <c r="E121" t="e" cm="1">
        <f t="array" aca="1" ref="E121" ca="1">IF(A121="","",IF(OR(A121=A120+1,A121=A120+2),E120,INDIRECT("template!"&amp;"D"&amp;A121-2)))</f>
        <v>#REF!</v>
      </c>
      <c r="F121" t="e" cm="1">
        <f t="array" aca="1" ref="F121" ca="1">IF(OR(A121="",B121="safety"),"",IF(ISBLANK(IF(A121=A120+1,F120,INDIRECT("template!"&amp;"D"&amp;A121-1))),"",IF(A121=A120+1,F120,INDIRECT("template!"&amp;"D"&amp;A121-1))))</f>
        <v>#REF!</v>
      </c>
      <c r="G121" t="e" cm="1">
        <f t="array" aca="1" ref="G121" ca="1">IF(OR(A121="",B121="safety"),"",IF(ISBLANK(INDIRECT("template!"&amp;"D"&amp;A121)),"",INDIRECT("template!"&amp;"D"&amp;A121)))</f>
        <v>#REF!</v>
      </c>
      <c r="H121" t="e" cm="1">
        <f t="array" aca="1" ref="H121" ca="1">IF(OR(A121="",B121="safety"),"",IF(ISBLANK(INDIRECT("template!"&amp;"E"&amp;A121)),"",INDIRECT("template!"&amp;"E"&amp;A121)))</f>
        <v>#REF!</v>
      </c>
      <c r="I121" t="e" cm="1">
        <f t="array" aca="1" ref="I121" ca="1">IF(OR(A121="",B121="safety"),"",IF(ISBLANK(INDIRECT("template!"&amp;"F"&amp;A121)),"",INDIRECT("template!"&amp;"F"&amp;A121)))</f>
        <v>#REF!</v>
      </c>
      <c r="J121" t="e" cm="1">
        <f t="array" aca="1" ref="J121" ca="1">IF(OR(A121="",B121="safety"),"",IF(ISBLANK(INDIRECT("template!"&amp;"G"&amp;A121)),"",INDIRECT("template!"&amp;"G"&amp;A121)))</f>
        <v>#REF!</v>
      </c>
      <c r="K121" t="e" cm="1">
        <f t="array" aca="1" ref="K121" ca="1">IF(OR(A121="",B121="safety"),"",IF(ISBLANK(INDIRECT("template!"&amp;"H"&amp;A121)),"",INDIRECT("template!"&amp;"H"&amp;A121)))</f>
        <v>#REF!</v>
      </c>
      <c r="L121" t="e" cm="1">
        <f t="array" aca="1" ref="L121" ca="1">IF(OR(A121="",B121="safety"),"",INDIRECT("template!"&amp;"I"&amp;A121))</f>
        <v>#REF!</v>
      </c>
      <c r="M121" t="e" cm="1">
        <f t="array" aca="1" ref="M121" ca="1">IF(OR(A121="",B121="safety"),"",INDIRECT("template!"&amp;"J"&amp;A121))</f>
        <v>#REF!</v>
      </c>
      <c r="N121" t="e" cm="1">
        <f t="array" aca="1" ref="N121" ca="1">IF(OR(A121="",B121="safety"),"",IF(ISBLANK(INDIRECT("template!"&amp;"K"&amp;A121)),"",INDIRECT("template!"&amp;"K"&amp;A121)))</f>
        <v>#REF!</v>
      </c>
      <c r="O121" t="e" cm="1">
        <f t="array" aca="1" ref="O121" ca="1">IF(OR(A121="",B121="safety"),"",INDIRECT("template!"&amp;"L"&amp;A121))</f>
        <v>#REF!</v>
      </c>
      <c r="P121" t="e" cm="1">
        <f t="array" aca="1" ref="P121" ca="1">IF(OR(A121="",B121="safety"),"",INDIRECT("template!"&amp;"M"&amp;A121))</f>
        <v>#REF!</v>
      </c>
      <c r="Q121" t="e">
        <f t="shared" ca="1" si="6"/>
        <v>#REF!</v>
      </c>
      <c r="R121" t="e">
        <f t="shared" ca="1" si="7"/>
        <v>#REF!</v>
      </c>
      <c r="S121" t="e">
        <f t="shared" ca="1" si="8"/>
        <v>#REF!</v>
      </c>
      <c r="T121" t="e">
        <f t="shared" ca="1" si="9"/>
        <v>#REF!</v>
      </c>
      <c r="U121" t="e" cm="1">
        <f t="array" aca="1" ref="U121" ca="1">IF(A121="","",IF(E121="","",IF(B121="safety",INDIRECT("template!"&amp;"P"&amp;A121),Q121+R121)))</f>
        <v>#REF!</v>
      </c>
      <c r="V121" t="e" cm="1">
        <f t="array" aca="1" ref="V121" ca="1">IF(A121="","",IF(E121="","",IF(B121="safety",INDIRECT("template!"&amp;"P"&amp;A121),S121+T121)))</f>
        <v>#REF!</v>
      </c>
      <c r="W121" t="e">
        <f ca="1">IF(A121="","",IF(E121="","",#REF!))</f>
        <v>#REF!</v>
      </c>
      <c r="X121" t="e">
        <f ca="1">IF(A121="","",IF(E121="","",#REF!))</f>
        <v>#REF!</v>
      </c>
      <c r="Y121" s="39" t="e">
        <f ca="1">IF(A121="","",IF(E121="","",#REF!))</f>
        <v>#REF!</v>
      </c>
      <c r="Z121" t="e">
        <f ca="1">IF(A121="","",IF(E121="","",#REF!))</f>
        <v>#REF!</v>
      </c>
      <c r="AA121" t="e">
        <f ca="1">IF(A121="","",IF(E121="","",#REF!))</f>
        <v>#REF!</v>
      </c>
      <c r="AB121" t="e">
        <f ca="1">IF(A121="","",IF(E121="","",#REF!))</f>
        <v>#REF!</v>
      </c>
      <c r="AC121" t="e">
        <f t="shared" ca="1" si="10"/>
        <v>#REF!</v>
      </c>
    </row>
    <row r="122" spans="1:29" x14ac:dyDescent="0.35">
      <c r="A122" t="e" cm="1">
        <f t="array" aca="1" ref="A122" ca="1">IF(A121="","",IF(OR(AND(A121+1&gt;=$AF$1,A121+1&lt;=$AF$2),AND(A121+1&gt;=$AF$6,A121+1&lt;=$AF$7),AND(A121+1&gt;=$AF$3,A121+1&lt;=$AF$4),AND(A121+1&gt;=$AF$8,A121+1&lt;=$AF$9),A121+1=$AF$5),IF(NOT(ISBLANK(INDIRECT("template!"&amp;"P"&amp;A121+1))),A121+1,IF(NOT(ISBLANK(INDIRECT("template!"&amp;"P"&amp;A121+2))),A121+2,A121+3)),IF(A121=$AF$2,$AF$3,IF(A121=$AF$4,$AF$5,IF(A121=$AF$5,$AF$6,IF(A121=$AF$7,$AF$8,""))))))</f>
        <v>#REF!</v>
      </c>
      <c r="B122" t="e">
        <f t="shared" ca="1" si="0"/>
        <v>#REF!</v>
      </c>
      <c r="C122" t="e" cm="1">
        <f t="array" aca="1" ref="C122" ca="1">IF(A122="","",IF(B122="safety","safety costs",INDIRECT("template!"&amp;"B"&amp;A122)))</f>
        <v>#REF!</v>
      </c>
      <c r="D122" t="e" cm="1">
        <f t="array" aca="1" ref="D122" ca="1">IF(OR(A122="",B122="safety"),"",INDIRECT("template!"&amp;"C"&amp;A122))</f>
        <v>#REF!</v>
      </c>
      <c r="E122" t="e" cm="1">
        <f t="array" aca="1" ref="E122" ca="1">IF(A122="","",IF(OR(A122=A121+1,A122=A121+2),E121,INDIRECT("template!"&amp;"D"&amp;A122-2)))</f>
        <v>#REF!</v>
      </c>
      <c r="F122" t="e" cm="1">
        <f t="array" aca="1" ref="F122" ca="1">IF(OR(A122="",B122="safety"),"",IF(ISBLANK(IF(A122=A121+1,F121,INDIRECT("template!"&amp;"D"&amp;A122-1))),"",IF(A122=A121+1,F121,INDIRECT("template!"&amp;"D"&amp;A122-1))))</f>
        <v>#REF!</v>
      </c>
      <c r="G122" t="e" cm="1">
        <f t="array" aca="1" ref="G122" ca="1">IF(OR(A122="",B122="safety"),"",IF(ISBLANK(INDIRECT("template!"&amp;"D"&amp;A122)),"",INDIRECT("template!"&amp;"D"&amp;A122)))</f>
        <v>#REF!</v>
      </c>
      <c r="H122" t="e" cm="1">
        <f t="array" aca="1" ref="H122" ca="1">IF(OR(A122="",B122="safety"),"",IF(ISBLANK(INDIRECT("template!"&amp;"E"&amp;A122)),"",INDIRECT("template!"&amp;"E"&amp;A122)))</f>
        <v>#REF!</v>
      </c>
      <c r="I122" t="e" cm="1">
        <f t="array" aca="1" ref="I122" ca="1">IF(OR(A122="",B122="safety"),"",IF(ISBLANK(INDIRECT("template!"&amp;"F"&amp;A122)),"",INDIRECT("template!"&amp;"F"&amp;A122)))</f>
        <v>#REF!</v>
      </c>
      <c r="J122" t="e" cm="1">
        <f t="array" aca="1" ref="J122" ca="1">IF(OR(A122="",B122="safety"),"",IF(ISBLANK(INDIRECT("template!"&amp;"G"&amp;A122)),"",INDIRECT("template!"&amp;"G"&amp;A122)))</f>
        <v>#REF!</v>
      </c>
      <c r="K122" t="e" cm="1">
        <f t="array" aca="1" ref="K122" ca="1">IF(OR(A122="",B122="safety"),"",IF(ISBLANK(INDIRECT("template!"&amp;"H"&amp;A122)),"",INDIRECT("template!"&amp;"H"&amp;A122)))</f>
        <v>#REF!</v>
      </c>
      <c r="L122" t="e" cm="1">
        <f t="array" aca="1" ref="L122" ca="1">IF(OR(A122="",B122="safety"),"",INDIRECT("template!"&amp;"I"&amp;A122))</f>
        <v>#REF!</v>
      </c>
      <c r="M122" t="e" cm="1">
        <f t="array" aca="1" ref="M122" ca="1">IF(OR(A122="",B122="safety"),"",INDIRECT("template!"&amp;"J"&amp;A122))</f>
        <v>#REF!</v>
      </c>
      <c r="N122" t="e" cm="1">
        <f t="array" aca="1" ref="N122" ca="1">IF(OR(A122="",B122="safety"),"",IF(ISBLANK(INDIRECT("template!"&amp;"K"&amp;A122)),"",INDIRECT("template!"&amp;"K"&amp;A122)))</f>
        <v>#REF!</v>
      </c>
      <c r="O122" t="e" cm="1">
        <f t="array" aca="1" ref="O122" ca="1">IF(OR(A122="",B122="safety"),"",INDIRECT("template!"&amp;"L"&amp;A122))</f>
        <v>#REF!</v>
      </c>
      <c r="P122" t="e" cm="1">
        <f t="array" aca="1" ref="P122" ca="1">IF(OR(A122="",B122="safety"),"",INDIRECT("template!"&amp;"M"&amp;A122))</f>
        <v>#REF!</v>
      </c>
      <c r="Q122" t="e">
        <f t="shared" ca="1" si="6"/>
        <v>#REF!</v>
      </c>
      <c r="R122" t="e">
        <f t="shared" ca="1" si="7"/>
        <v>#REF!</v>
      </c>
      <c r="S122" t="e">
        <f t="shared" ca="1" si="8"/>
        <v>#REF!</v>
      </c>
      <c r="T122" t="e">
        <f t="shared" ca="1" si="9"/>
        <v>#REF!</v>
      </c>
      <c r="U122" t="e" cm="1">
        <f t="array" aca="1" ref="U122" ca="1">IF(A122="","",IF(E122="","",IF(B122="safety",INDIRECT("template!"&amp;"P"&amp;A122),Q122+R122)))</f>
        <v>#REF!</v>
      </c>
      <c r="V122" t="e" cm="1">
        <f t="array" aca="1" ref="V122" ca="1">IF(A122="","",IF(E122="","",IF(B122="safety",INDIRECT("template!"&amp;"P"&amp;A122),S122+T122)))</f>
        <v>#REF!</v>
      </c>
      <c r="W122" t="e">
        <f ca="1">IF(A122="","",IF(E122="","",#REF!))</f>
        <v>#REF!</v>
      </c>
      <c r="X122" t="e">
        <f ca="1">IF(A122="","",IF(E122="","",#REF!))</f>
        <v>#REF!</v>
      </c>
      <c r="Y122" s="39" t="e">
        <f ca="1">IF(A122="","",IF(E122="","",#REF!))</f>
        <v>#REF!</v>
      </c>
      <c r="Z122" t="e">
        <f ca="1">IF(A122="","",IF(E122="","",#REF!))</f>
        <v>#REF!</v>
      </c>
      <c r="AA122" t="e">
        <f ca="1">IF(A122="","",IF(E122="","",#REF!))</f>
        <v>#REF!</v>
      </c>
      <c r="AB122" t="e">
        <f ca="1">IF(A122="","",IF(E122="","",#REF!))</f>
        <v>#REF!</v>
      </c>
      <c r="AC122" t="e">
        <f t="shared" ca="1" si="10"/>
        <v>#REF!</v>
      </c>
    </row>
    <row r="123" spans="1:29" x14ac:dyDescent="0.35">
      <c r="A123" t="e" cm="1">
        <f t="array" aca="1" ref="A123" ca="1">IF(A122="","",IF(OR(AND(A122+1&gt;=$AF$1,A122+1&lt;=$AF$2),AND(A122+1&gt;=$AF$6,A122+1&lt;=$AF$7),AND(A122+1&gt;=$AF$3,A122+1&lt;=$AF$4),AND(A122+1&gt;=$AF$8,A122+1&lt;=$AF$9),A122+1=$AF$5),IF(NOT(ISBLANK(INDIRECT("template!"&amp;"P"&amp;A122+1))),A122+1,IF(NOT(ISBLANK(INDIRECT("template!"&amp;"P"&amp;A122+2))),A122+2,A122+3)),IF(A122=$AF$2,$AF$3,IF(A122=$AF$4,$AF$5,IF(A122=$AF$5,$AF$6,IF(A122=$AF$7,$AF$8,""))))))</f>
        <v>#REF!</v>
      </c>
      <c r="B123" t="e">
        <f t="shared" ca="1" si="0"/>
        <v>#REF!</v>
      </c>
      <c r="C123" t="e" cm="1">
        <f t="array" aca="1" ref="C123" ca="1">IF(A123="","",IF(B123="safety","safety costs",INDIRECT("template!"&amp;"B"&amp;A123)))</f>
        <v>#REF!</v>
      </c>
      <c r="D123" t="e" cm="1">
        <f t="array" aca="1" ref="D123" ca="1">IF(OR(A123="",B123="safety"),"",INDIRECT("template!"&amp;"C"&amp;A123))</f>
        <v>#REF!</v>
      </c>
      <c r="E123" t="e" cm="1">
        <f t="array" aca="1" ref="E123" ca="1">IF(A123="","",IF(OR(A123=A122+1,A123=A122+2),E122,INDIRECT("template!"&amp;"D"&amp;A123-2)))</f>
        <v>#REF!</v>
      </c>
      <c r="F123" t="e" cm="1">
        <f t="array" aca="1" ref="F123" ca="1">IF(OR(A123="",B123="safety"),"",IF(ISBLANK(IF(A123=A122+1,F122,INDIRECT("template!"&amp;"D"&amp;A123-1))),"",IF(A123=A122+1,F122,INDIRECT("template!"&amp;"D"&amp;A123-1))))</f>
        <v>#REF!</v>
      </c>
      <c r="G123" t="e" cm="1">
        <f t="array" aca="1" ref="G123" ca="1">IF(OR(A123="",B123="safety"),"",IF(ISBLANK(INDIRECT("template!"&amp;"D"&amp;A123)),"",INDIRECT("template!"&amp;"D"&amp;A123)))</f>
        <v>#REF!</v>
      </c>
      <c r="H123" t="e" cm="1">
        <f t="array" aca="1" ref="H123" ca="1">IF(OR(A123="",B123="safety"),"",IF(ISBLANK(INDIRECT("template!"&amp;"E"&amp;A123)),"",INDIRECT("template!"&amp;"E"&amp;A123)))</f>
        <v>#REF!</v>
      </c>
      <c r="I123" t="e" cm="1">
        <f t="array" aca="1" ref="I123" ca="1">IF(OR(A123="",B123="safety"),"",IF(ISBLANK(INDIRECT("template!"&amp;"F"&amp;A123)),"",INDIRECT("template!"&amp;"F"&amp;A123)))</f>
        <v>#REF!</v>
      </c>
      <c r="J123" t="e" cm="1">
        <f t="array" aca="1" ref="J123" ca="1">IF(OR(A123="",B123="safety"),"",IF(ISBLANK(INDIRECT("template!"&amp;"G"&amp;A123)),"",INDIRECT("template!"&amp;"G"&amp;A123)))</f>
        <v>#REF!</v>
      </c>
      <c r="K123" t="e" cm="1">
        <f t="array" aca="1" ref="K123" ca="1">IF(OR(A123="",B123="safety"),"",IF(ISBLANK(INDIRECT("template!"&amp;"H"&amp;A123)),"",INDIRECT("template!"&amp;"H"&amp;A123)))</f>
        <v>#REF!</v>
      </c>
      <c r="L123" t="e" cm="1">
        <f t="array" aca="1" ref="L123" ca="1">IF(OR(A123="",B123="safety"),"",INDIRECT("template!"&amp;"I"&amp;A123))</f>
        <v>#REF!</v>
      </c>
      <c r="M123" t="e" cm="1">
        <f t="array" aca="1" ref="M123" ca="1">IF(OR(A123="",B123="safety"),"",INDIRECT("template!"&amp;"J"&amp;A123))</f>
        <v>#REF!</v>
      </c>
      <c r="N123" t="e" cm="1">
        <f t="array" aca="1" ref="N123" ca="1">IF(OR(A123="",B123="safety"),"",IF(ISBLANK(INDIRECT("template!"&amp;"K"&amp;A123)),"",INDIRECT("template!"&amp;"K"&amp;A123)))</f>
        <v>#REF!</v>
      </c>
      <c r="O123" t="e" cm="1">
        <f t="array" aca="1" ref="O123" ca="1">IF(OR(A123="",B123="safety"),"",INDIRECT("template!"&amp;"L"&amp;A123))</f>
        <v>#REF!</v>
      </c>
      <c r="P123" t="e" cm="1">
        <f t="array" aca="1" ref="P123" ca="1">IF(OR(A123="",B123="safety"),"",INDIRECT("template!"&amp;"M"&amp;A123))</f>
        <v>#REF!</v>
      </c>
      <c r="Q123" t="e">
        <f t="shared" ca="1" si="6"/>
        <v>#REF!</v>
      </c>
      <c r="R123" t="e">
        <f t="shared" ca="1" si="7"/>
        <v>#REF!</v>
      </c>
      <c r="S123" t="e">
        <f t="shared" ca="1" si="8"/>
        <v>#REF!</v>
      </c>
      <c r="T123" t="e">
        <f t="shared" ca="1" si="9"/>
        <v>#REF!</v>
      </c>
      <c r="U123" t="e" cm="1">
        <f t="array" aca="1" ref="U123" ca="1">IF(A123="","",IF(E123="","",IF(B123="safety",INDIRECT("template!"&amp;"P"&amp;A123),Q123+R123)))</f>
        <v>#REF!</v>
      </c>
      <c r="V123" t="e" cm="1">
        <f t="array" aca="1" ref="V123" ca="1">IF(A123="","",IF(E123="","",IF(B123="safety",INDIRECT("template!"&amp;"P"&amp;A123),S123+T123)))</f>
        <v>#REF!</v>
      </c>
      <c r="W123" t="e">
        <f ca="1">IF(A123="","",IF(E123="","",#REF!))</f>
        <v>#REF!</v>
      </c>
      <c r="X123" t="e">
        <f ca="1">IF(A123="","",IF(E123="","",#REF!))</f>
        <v>#REF!</v>
      </c>
      <c r="Y123" s="39" t="e">
        <f ca="1">IF(A123="","",IF(E123="","",#REF!))</f>
        <v>#REF!</v>
      </c>
      <c r="Z123" t="e">
        <f ca="1">IF(A123="","",IF(E123="","",#REF!))</f>
        <v>#REF!</v>
      </c>
      <c r="AA123" t="e">
        <f ca="1">IF(A123="","",IF(E123="","",#REF!))</f>
        <v>#REF!</v>
      </c>
      <c r="AB123" t="e">
        <f ca="1">IF(A123="","",IF(E123="","",#REF!))</f>
        <v>#REF!</v>
      </c>
      <c r="AC123" t="e">
        <f t="shared" ca="1" si="10"/>
        <v>#REF!</v>
      </c>
    </row>
    <row r="124" spans="1:29" x14ac:dyDescent="0.35">
      <c r="A124" t="e" cm="1">
        <f t="array" aca="1" ref="A124" ca="1">IF(A123="","",IF(OR(AND(A123+1&gt;=$AF$1,A123+1&lt;=$AF$2),AND(A123+1&gt;=$AF$6,A123+1&lt;=$AF$7),AND(A123+1&gt;=$AF$3,A123+1&lt;=$AF$4),AND(A123+1&gt;=$AF$8,A123+1&lt;=$AF$9),A123+1=$AF$5),IF(NOT(ISBLANK(INDIRECT("template!"&amp;"P"&amp;A123+1))),A123+1,IF(NOT(ISBLANK(INDIRECT("template!"&amp;"P"&amp;A123+2))),A123+2,A123+3)),IF(A123=$AF$2,$AF$3,IF(A123=$AF$4,$AF$5,IF(A123=$AF$5,$AF$6,IF(A123=$AF$7,$AF$8,""))))))</f>
        <v>#REF!</v>
      </c>
      <c r="B124" t="e">
        <f t="shared" ca="1" si="0"/>
        <v>#REF!</v>
      </c>
      <c r="C124" t="e" cm="1">
        <f t="array" aca="1" ref="C124" ca="1">IF(A124="","",IF(B124="safety","safety costs",INDIRECT("template!"&amp;"B"&amp;A124)))</f>
        <v>#REF!</v>
      </c>
      <c r="D124" t="e" cm="1">
        <f t="array" aca="1" ref="D124" ca="1">IF(OR(A124="",B124="safety"),"",INDIRECT("template!"&amp;"C"&amp;A124))</f>
        <v>#REF!</v>
      </c>
      <c r="E124" t="e" cm="1">
        <f t="array" aca="1" ref="E124" ca="1">IF(A124="","",IF(OR(A124=A123+1,A124=A123+2),E123,INDIRECT("template!"&amp;"D"&amp;A124-2)))</f>
        <v>#REF!</v>
      </c>
      <c r="F124" t="e" cm="1">
        <f t="array" aca="1" ref="F124" ca="1">IF(OR(A124="",B124="safety"),"",IF(ISBLANK(IF(A124=A123+1,F123,INDIRECT("template!"&amp;"D"&amp;A124-1))),"",IF(A124=A123+1,F123,INDIRECT("template!"&amp;"D"&amp;A124-1))))</f>
        <v>#REF!</v>
      </c>
      <c r="G124" t="e" cm="1">
        <f t="array" aca="1" ref="G124" ca="1">IF(OR(A124="",B124="safety"),"",IF(ISBLANK(INDIRECT("template!"&amp;"D"&amp;A124)),"",INDIRECT("template!"&amp;"D"&amp;A124)))</f>
        <v>#REF!</v>
      </c>
      <c r="H124" t="e" cm="1">
        <f t="array" aca="1" ref="H124" ca="1">IF(OR(A124="",B124="safety"),"",IF(ISBLANK(INDIRECT("template!"&amp;"E"&amp;A124)),"",INDIRECT("template!"&amp;"E"&amp;A124)))</f>
        <v>#REF!</v>
      </c>
      <c r="I124" t="e" cm="1">
        <f t="array" aca="1" ref="I124" ca="1">IF(OR(A124="",B124="safety"),"",IF(ISBLANK(INDIRECT("template!"&amp;"F"&amp;A124)),"",INDIRECT("template!"&amp;"F"&amp;A124)))</f>
        <v>#REF!</v>
      </c>
      <c r="J124" t="e" cm="1">
        <f t="array" aca="1" ref="J124" ca="1">IF(OR(A124="",B124="safety"),"",IF(ISBLANK(INDIRECT("template!"&amp;"G"&amp;A124)),"",INDIRECT("template!"&amp;"G"&amp;A124)))</f>
        <v>#REF!</v>
      </c>
      <c r="K124" t="e" cm="1">
        <f t="array" aca="1" ref="K124" ca="1">IF(OR(A124="",B124="safety"),"",IF(ISBLANK(INDIRECT("template!"&amp;"H"&amp;A124)),"",INDIRECT("template!"&amp;"H"&amp;A124)))</f>
        <v>#REF!</v>
      </c>
      <c r="L124" t="e" cm="1">
        <f t="array" aca="1" ref="L124" ca="1">IF(OR(A124="",B124="safety"),"",INDIRECT("template!"&amp;"I"&amp;A124))</f>
        <v>#REF!</v>
      </c>
      <c r="M124" t="e" cm="1">
        <f t="array" aca="1" ref="M124" ca="1">IF(OR(A124="",B124="safety"),"",INDIRECT("template!"&amp;"J"&amp;A124))</f>
        <v>#REF!</v>
      </c>
      <c r="N124" t="e" cm="1">
        <f t="array" aca="1" ref="N124" ca="1">IF(OR(A124="",B124="safety"),"",IF(ISBLANK(INDIRECT("template!"&amp;"K"&amp;A124)),"",INDIRECT("template!"&amp;"K"&amp;A124)))</f>
        <v>#REF!</v>
      </c>
      <c r="O124" t="e" cm="1">
        <f t="array" aca="1" ref="O124" ca="1">IF(OR(A124="",B124="safety"),"",INDIRECT("template!"&amp;"L"&amp;A124))</f>
        <v>#REF!</v>
      </c>
      <c r="P124" t="e" cm="1">
        <f t="array" aca="1" ref="P124" ca="1">IF(OR(A124="",B124="safety"),"",INDIRECT("template!"&amp;"M"&amp;A124))</f>
        <v>#REF!</v>
      </c>
      <c r="Q124" t="e">
        <f t="shared" ca="1" si="6"/>
        <v>#REF!</v>
      </c>
      <c r="R124" t="e">
        <f t="shared" ca="1" si="7"/>
        <v>#REF!</v>
      </c>
      <c r="S124" t="e">
        <f t="shared" ca="1" si="8"/>
        <v>#REF!</v>
      </c>
      <c r="T124" t="e">
        <f t="shared" ca="1" si="9"/>
        <v>#REF!</v>
      </c>
      <c r="U124" t="e" cm="1">
        <f t="array" aca="1" ref="U124" ca="1">IF(A124="","",IF(E124="","",IF(B124="safety",INDIRECT("template!"&amp;"P"&amp;A124),Q124+R124)))</f>
        <v>#REF!</v>
      </c>
      <c r="V124" t="e" cm="1">
        <f t="array" aca="1" ref="V124" ca="1">IF(A124="","",IF(E124="","",IF(B124="safety",INDIRECT("template!"&amp;"P"&amp;A124),S124+T124)))</f>
        <v>#REF!</v>
      </c>
      <c r="W124" t="e">
        <f ca="1">IF(A124="","",IF(E124="","",#REF!))</f>
        <v>#REF!</v>
      </c>
      <c r="X124" t="e">
        <f ca="1">IF(A124="","",IF(E124="","",#REF!))</f>
        <v>#REF!</v>
      </c>
      <c r="Y124" s="39" t="e">
        <f ca="1">IF(A124="","",IF(E124="","",#REF!))</f>
        <v>#REF!</v>
      </c>
      <c r="Z124" t="e">
        <f ca="1">IF(A124="","",IF(E124="","",#REF!))</f>
        <v>#REF!</v>
      </c>
      <c r="AA124" t="e">
        <f ca="1">IF(A124="","",IF(E124="","",#REF!))</f>
        <v>#REF!</v>
      </c>
      <c r="AB124" t="e">
        <f ca="1">IF(A124="","",IF(E124="","",#REF!))</f>
        <v>#REF!</v>
      </c>
      <c r="AC124" t="e">
        <f t="shared" ca="1" si="10"/>
        <v>#REF!</v>
      </c>
    </row>
    <row r="125" spans="1:29" x14ac:dyDescent="0.35">
      <c r="A125" t="e" cm="1">
        <f t="array" aca="1" ref="A125" ca="1">IF(A124="","",IF(OR(AND(A124+1&gt;=$AF$1,A124+1&lt;=$AF$2),AND(A124+1&gt;=$AF$6,A124+1&lt;=$AF$7),AND(A124+1&gt;=$AF$3,A124+1&lt;=$AF$4),AND(A124+1&gt;=$AF$8,A124+1&lt;=$AF$9),A124+1=$AF$5),IF(NOT(ISBLANK(INDIRECT("template!"&amp;"P"&amp;A124+1))),A124+1,IF(NOT(ISBLANK(INDIRECT("template!"&amp;"P"&amp;A124+2))),A124+2,A124+3)),IF(A124=$AF$2,$AF$3,IF(A124=$AF$4,$AF$5,IF(A124=$AF$5,$AF$6,IF(A124=$AF$7,$AF$8,""))))))</f>
        <v>#REF!</v>
      </c>
      <c r="B125" t="e">
        <f t="shared" ca="1" si="0"/>
        <v>#REF!</v>
      </c>
      <c r="C125" t="e" cm="1">
        <f t="array" aca="1" ref="C125" ca="1">IF(A125="","",IF(B125="safety","safety costs",INDIRECT("template!"&amp;"B"&amp;A125)))</f>
        <v>#REF!</v>
      </c>
      <c r="D125" t="e" cm="1">
        <f t="array" aca="1" ref="D125" ca="1">IF(OR(A125="",B125="safety"),"",INDIRECT("template!"&amp;"C"&amp;A125))</f>
        <v>#REF!</v>
      </c>
      <c r="E125" t="e" cm="1">
        <f t="array" aca="1" ref="E125" ca="1">IF(A125="","",IF(OR(A125=A124+1,A125=A124+2),E124,INDIRECT("template!"&amp;"D"&amp;A125-2)))</f>
        <v>#REF!</v>
      </c>
      <c r="F125" t="e" cm="1">
        <f t="array" aca="1" ref="F125" ca="1">IF(OR(A125="",B125="safety"),"",IF(ISBLANK(IF(A125=A124+1,F124,INDIRECT("template!"&amp;"D"&amp;A125-1))),"",IF(A125=A124+1,F124,INDIRECT("template!"&amp;"D"&amp;A125-1))))</f>
        <v>#REF!</v>
      </c>
      <c r="G125" t="e" cm="1">
        <f t="array" aca="1" ref="G125" ca="1">IF(OR(A125="",B125="safety"),"",IF(ISBLANK(INDIRECT("template!"&amp;"D"&amp;A125)),"",INDIRECT("template!"&amp;"D"&amp;A125)))</f>
        <v>#REF!</v>
      </c>
      <c r="H125" t="e" cm="1">
        <f t="array" aca="1" ref="H125" ca="1">IF(OR(A125="",B125="safety"),"",IF(ISBLANK(INDIRECT("template!"&amp;"E"&amp;A125)),"",INDIRECT("template!"&amp;"E"&amp;A125)))</f>
        <v>#REF!</v>
      </c>
      <c r="I125" t="e" cm="1">
        <f t="array" aca="1" ref="I125" ca="1">IF(OR(A125="",B125="safety"),"",IF(ISBLANK(INDIRECT("template!"&amp;"F"&amp;A125)),"",INDIRECT("template!"&amp;"F"&amp;A125)))</f>
        <v>#REF!</v>
      </c>
      <c r="J125" t="e" cm="1">
        <f t="array" aca="1" ref="J125" ca="1">IF(OR(A125="",B125="safety"),"",IF(ISBLANK(INDIRECT("template!"&amp;"G"&amp;A125)),"",INDIRECT("template!"&amp;"G"&amp;A125)))</f>
        <v>#REF!</v>
      </c>
      <c r="K125" t="e" cm="1">
        <f t="array" aca="1" ref="K125" ca="1">IF(OR(A125="",B125="safety"),"",IF(ISBLANK(INDIRECT("template!"&amp;"H"&amp;A125)),"",INDIRECT("template!"&amp;"H"&amp;A125)))</f>
        <v>#REF!</v>
      </c>
      <c r="L125" t="e" cm="1">
        <f t="array" aca="1" ref="L125" ca="1">IF(OR(A125="",B125="safety"),"",INDIRECT("template!"&amp;"I"&amp;A125))</f>
        <v>#REF!</v>
      </c>
      <c r="M125" t="e" cm="1">
        <f t="array" aca="1" ref="M125" ca="1">IF(OR(A125="",B125="safety"),"",INDIRECT("template!"&amp;"J"&amp;A125))</f>
        <v>#REF!</v>
      </c>
      <c r="N125" t="e" cm="1">
        <f t="array" aca="1" ref="N125" ca="1">IF(OR(A125="",B125="safety"),"",IF(ISBLANK(INDIRECT("template!"&amp;"K"&amp;A125)),"",INDIRECT("template!"&amp;"K"&amp;A125)))</f>
        <v>#REF!</v>
      </c>
      <c r="O125" t="e" cm="1">
        <f t="array" aca="1" ref="O125" ca="1">IF(OR(A125="",B125="safety"),"",INDIRECT("template!"&amp;"L"&amp;A125))</f>
        <v>#REF!</v>
      </c>
      <c r="P125" t="e" cm="1">
        <f t="array" aca="1" ref="P125" ca="1">IF(OR(A125="",B125="safety"),"",INDIRECT("template!"&amp;"M"&amp;A125))</f>
        <v>#REF!</v>
      </c>
      <c r="Q125" t="e">
        <f t="shared" ca="1" si="6"/>
        <v>#REF!</v>
      </c>
      <c r="R125" t="e">
        <f t="shared" ca="1" si="7"/>
        <v>#REF!</v>
      </c>
      <c r="S125" t="e">
        <f t="shared" ca="1" si="8"/>
        <v>#REF!</v>
      </c>
      <c r="T125" t="e">
        <f t="shared" ca="1" si="9"/>
        <v>#REF!</v>
      </c>
      <c r="U125" t="e" cm="1">
        <f t="array" aca="1" ref="U125" ca="1">IF(A125="","",IF(E125="","",IF(B125="safety",INDIRECT("template!"&amp;"P"&amp;A125),Q125+R125)))</f>
        <v>#REF!</v>
      </c>
      <c r="V125" t="e" cm="1">
        <f t="array" aca="1" ref="V125" ca="1">IF(A125="","",IF(E125="","",IF(B125="safety",INDIRECT("template!"&amp;"P"&amp;A125),S125+T125)))</f>
        <v>#REF!</v>
      </c>
      <c r="W125" t="e">
        <f ca="1">IF(A125="","",IF(E125="","",#REF!))</f>
        <v>#REF!</v>
      </c>
      <c r="X125" t="e">
        <f ca="1">IF(A125="","",IF(E125="","",#REF!))</f>
        <v>#REF!</v>
      </c>
      <c r="Y125" s="39" t="e">
        <f ca="1">IF(A125="","",IF(E125="","",#REF!))</f>
        <v>#REF!</v>
      </c>
      <c r="Z125" t="e">
        <f ca="1">IF(A125="","",IF(E125="","",#REF!))</f>
        <v>#REF!</v>
      </c>
      <c r="AA125" t="e">
        <f ca="1">IF(A125="","",IF(E125="","",#REF!))</f>
        <v>#REF!</v>
      </c>
      <c r="AB125" t="e">
        <f ca="1">IF(A125="","",IF(E125="","",#REF!))</f>
        <v>#REF!</v>
      </c>
      <c r="AC125" t="e">
        <f t="shared" ca="1" si="10"/>
        <v>#REF!</v>
      </c>
    </row>
    <row r="126" spans="1:29" x14ac:dyDescent="0.35">
      <c r="A126" t="e" cm="1">
        <f t="array" aca="1" ref="A126" ca="1">IF(A125="","",IF(OR(AND(A125+1&gt;=$AF$1,A125+1&lt;=$AF$2),AND(A125+1&gt;=$AF$6,A125+1&lt;=$AF$7),AND(A125+1&gt;=$AF$3,A125+1&lt;=$AF$4),AND(A125+1&gt;=$AF$8,A125+1&lt;=$AF$9),A125+1=$AF$5),IF(NOT(ISBLANK(INDIRECT("template!"&amp;"P"&amp;A125+1))),A125+1,IF(NOT(ISBLANK(INDIRECT("template!"&amp;"P"&amp;A125+2))),A125+2,A125+3)),IF(A125=$AF$2,$AF$3,IF(A125=$AF$4,$AF$5,IF(A125=$AF$5,$AF$6,IF(A125=$AF$7,$AF$8,""))))))</f>
        <v>#REF!</v>
      </c>
      <c r="B126" t="e">
        <f t="shared" ca="1" si="0"/>
        <v>#REF!</v>
      </c>
      <c r="C126" t="e" cm="1">
        <f t="array" aca="1" ref="C126" ca="1">IF(A126="","",IF(B126="safety","safety costs",INDIRECT("template!"&amp;"B"&amp;A126)))</f>
        <v>#REF!</v>
      </c>
      <c r="D126" t="e" cm="1">
        <f t="array" aca="1" ref="D126" ca="1">IF(OR(A126="",B126="safety"),"",INDIRECT("template!"&amp;"C"&amp;A126))</f>
        <v>#REF!</v>
      </c>
      <c r="E126" t="e" cm="1">
        <f t="array" aca="1" ref="E126" ca="1">IF(A126="","",IF(OR(A126=A125+1,A126=A125+2),E125,INDIRECT("template!"&amp;"D"&amp;A126-2)))</f>
        <v>#REF!</v>
      </c>
      <c r="F126" t="e" cm="1">
        <f t="array" aca="1" ref="F126" ca="1">IF(OR(A126="",B126="safety"),"",IF(ISBLANK(IF(A126=A125+1,F125,INDIRECT("template!"&amp;"D"&amp;A126-1))),"",IF(A126=A125+1,F125,INDIRECT("template!"&amp;"D"&amp;A126-1))))</f>
        <v>#REF!</v>
      </c>
      <c r="G126" t="e" cm="1">
        <f t="array" aca="1" ref="G126" ca="1">IF(OR(A126="",B126="safety"),"",IF(ISBLANK(INDIRECT("template!"&amp;"D"&amp;A126)),"",INDIRECT("template!"&amp;"D"&amp;A126)))</f>
        <v>#REF!</v>
      </c>
      <c r="H126" t="e" cm="1">
        <f t="array" aca="1" ref="H126" ca="1">IF(OR(A126="",B126="safety"),"",IF(ISBLANK(INDIRECT("template!"&amp;"E"&amp;A126)),"",INDIRECT("template!"&amp;"E"&amp;A126)))</f>
        <v>#REF!</v>
      </c>
      <c r="I126" t="e" cm="1">
        <f t="array" aca="1" ref="I126" ca="1">IF(OR(A126="",B126="safety"),"",IF(ISBLANK(INDIRECT("template!"&amp;"F"&amp;A126)),"",INDIRECT("template!"&amp;"F"&amp;A126)))</f>
        <v>#REF!</v>
      </c>
      <c r="J126" t="e" cm="1">
        <f t="array" aca="1" ref="J126" ca="1">IF(OR(A126="",B126="safety"),"",IF(ISBLANK(INDIRECT("template!"&amp;"G"&amp;A126)),"",INDIRECT("template!"&amp;"G"&amp;A126)))</f>
        <v>#REF!</v>
      </c>
      <c r="K126" t="e" cm="1">
        <f t="array" aca="1" ref="K126" ca="1">IF(OR(A126="",B126="safety"),"",IF(ISBLANK(INDIRECT("template!"&amp;"H"&amp;A126)),"",INDIRECT("template!"&amp;"H"&amp;A126)))</f>
        <v>#REF!</v>
      </c>
      <c r="L126" t="e" cm="1">
        <f t="array" aca="1" ref="L126" ca="1">IF(OR(A126="",B126="safety"),"",INDIRECT("template!"&amp;"I"&amp;A126))</f>
        <v>#REF!</v>
      </c>
      <c r="M126" t="e" cm="1">
        <f t="array" aca="1" ref="M126" ca="1">IF(OR(A126="",B126="safety"),"",INDIRECT("template!"&amp;"J"&amp;A126))</f>
        <v>#REF!</v>
      </c>
      <c r="N126" t="e" cm="1">
        <f t="array" aca="1" ref="N126" ca="1">IF(OR(A126="",B126="safety"),"",IF(ISBLANK(INDIRECT("template!"&amp;"K"&amp;A126)),"",INDIRECT("template!"&amp;"K"&amp;A126)))</f>
        <v>#REF!</v>
      </c>
      <c r="O126" t="e" cm="1">
        <f t="array" aca="1" ref="O126" ca="1">IF(OR(A126="",B126="safety"),"",INDIRECT("template!"&amp;"L"&amp;A126))</f>
        <v>#REF!</v>
      </c>
      <c r="P126" t="e" cm="1">
        <f t="array" aca="1" ref="P126" ca="1">IF(OR(A126="",B126="safety"),"",INDIRECT("template!"&amp;"M"&amp;A126))</f>
        <v>#REF!</v>
      </c>
      <c r="Q126" t="e">
        <f t="shared" ca="1" si="6"/>
        <v>#REF!</v>
      </c>
      <c r="R126" t="e">
        <f t="shared" ca="1" si="7"/>
        <v>#REF!</v>
      </c>
      <c r="S126" t="e">
        <f t="shared" ca="1" si="8"/>
        <v>#REF!</v>
      </c>
      <c r="T126" t="e">
        <f t="shared" ca="1" si="9"/>
        <v>#REF!</v>
      </c>
      <c r="U126" t="e" cm="1">
        <f t="array" aca="1" ref="U126" ca="1">IF(A126="","",IF(E126="","",IF(B126="safety",INDIRECT("template!"&amp;"P"&amp;A126),Q126+R126)))</f>
        <v>#REF!</v>
      </c>
      <c r="V126" t="e" cm="1">
        <f t="array" aca="1" ref="V126" ca="1">IF(A126="","",IF(E126="","",IF(B126="safety",INDIRECT("template!"&amp;"P"&amp;A126),S126+T126)))</f>
        <v>#REF!</v>
      </c>
      <c r="W126" t="e">
        <f ca="1">IF(A126="","",IF(E126="","",#REF!))</f>
        <v>#REF!</v>
      </c>
      <c r="X126" t="e">
        <f ca="1">IF(A126="","",IF(E126="","",#REF!))</f>
        <v>#REF!</v>
      </c>
      <c r="Y126" s="39" t="e">
        <f ca="1">IF(A126="","",IF(E126="","",#REF!))</f>
        <v>#REF!</v>
      </c>
      <c r="Z126" t="e">
        <f ca="1">IF(A126="","",IF(E126="","",#REF!))</f>
        <v>#REF!</v>
      </c>
      <c r="AA126" t="e">
        <f ca="1">IF(A126="","",IF(E126="","",#REF!))</f>
        <v>#REF!</v>
      </c>
      <c r="AB126" t="e">
        <f ca="1">IF(A126="","",IF(E126="","",#REF!))</f>
        <v>#REF!</v>
      </c>
      <c r="AC126" t="e">
        <f t="shared" ca="1" si="10"/>
        <v>#REF!</v>
      </c>
    </row>
    <row r="127" spans="1:29" x14ac:dyDescent="0.35">
      <c r="A127" t="e" cm="1">
        <f t="array" aca="1" ref="A127" ca="1">IF(A126="","",IF(OR(AND(A126+1&gt;=$AF$1,A126+1&lt;=$AF$2),AND(A126+1&gt;=$AF$6,A126+1&lt;=$AF$7),AND(A126+1&gt;=$AF$3,A126+1&lt;=$AF$4),AND(A126+1&gt;=$AF$8,A126+1&lt;=$AF$9),A126+1=$AF$5),IF(NOT(ISBLANK(INDIRECT("template!"&amp;"P"&amp;A126+1))),A126+1,IF(NOT(ISBLANK(INDIRECT("template!"&amp;"P"&amp;A126+2))),A126+2,A126+3)),IF(A126=$AF$2,$AF$3,IF(A126=$AF$4,$AF$5,IF(A126=$AF$5,$AF$6,IF(A126=$AF$7,$AF$8,""))))))</f>
        <v>#REF!</v>
      </c>
      <c r="B127" t="e">
        <f t="shared" ca="1" si="0"/>
        <v>#REF!</v>
      </c>
      <c r="C127" t="e" cm="1">
        <f t="array" aca="1" ref="C127" ca="1">IF(A127="","",IF(B127="safety","safety costs",INDIRECT("template!"&amp;"B"&amp;A127)))</f>
        <v>#REF!</v>
      </c>
      <c r="D127" t="e" cm="1">
        <f t="array" aca="1" ref="D127" ca="1">IF(OR(A127="",B127="safety"),"",INDIRECT("template!"&amp;"C"&amp;A127))</f>
        <v>#REF!</v>
      </c>
      <c r="E127" t="e" cm="1">
        <f t="array" aca="1" ref="E127" ca="1">IF(A127="","",IF(OR(A127=A126+1,A127=A126+2),E126,INDIRECT("template!"&amp;"D"&amp;A127-2)))</f>
        <v>#REF!</v>
      </c>
      <c r="F127" t="e" cm="1">
        <f t="array" aca="1" ref="F127" ca="1">IF(OR(A127="",B127="safety"),"",IF(ISBLANK(IF(A127=A126+1,F126,INDIRECT("template!"&amp;"D"&amp;A127-1))),"",IF(A127=A126+1,F126,INDIRECT("template!"&amp;"D"&amp;A127-1))))</f>
        <v>#REF!</v>
      </c>
      <c r="G127" t="e" cm="1">
        <f t="array" aca="1" ref="G127" ca="1">IF(OR(A127="",B127="safety"),"",IF(ISBLANK(INDIRECT("template!"&amp;"D"&amp;A127)),"",INDIRECT("template!"&amp;"D"&amp;A127)))</f>
        <v>#REF!</v>
      </c>
      <c r="H127" t="e" cm="1">
        <f t="array" aca="1" ref="H127" ca="1">IF(OR(A127="",B127="safety"),"",IF(ISBLANK(INDIRECT("template!"&amp;"E"&amp;A127)),"",INDIRECT("template!"&amp;"E"&amp;A127)))</f>
        <v>#REF!</v>
      </c>
      <c r="I127" t="e" cm="1">
        <f t="array" aca="1" ref="I127" ca="1">IF(OR(A127="",B127="safety"),"",IF(ISBLANK(INDIRECT("template!"&amp;"F"&amp;A127)),"",INDIRECT("template!"&amp;"F"&amp;A127)))</f>
        <v>#REF!</v>
      </c>
      <c r="J127" t="e" cm="1">
        <f t="array" aca="1" ref="J127" ca="1">IF(OR(A127="",B127="safety"),"",IF(ISBLANK(INDIRECT("template!"&amp;"G"&amp;A127)),"",INDIRECT("template!"&amp;"G"&amp;A127)))</f>
        <v>#REF!</v>
      </c>
      <c r="K127" t="e" cm="1">
        <f t="array" aca="1" ref="K127" ca="1">IF(OR(A127="",B127="safety"),"",IF(ISBLANK(INDIRECT("template!"&amp;"H"&amp;A127)),"",INDIRECT("template!"&amp;"H"&amp;A127)))</f>
        <v>#REF!</v>
      </c>
      <c r="L127" t="e" cm="1">
        <f t="array" aca="1" ref="L127" ca="1">IF(OR(A127="",B127="safety"),"",INDIRECT("template!"&amp;"I"&amp;A127))</f>
        <v>#REF!</v>
      </c>
      <c r="M127" t="e" cm="1">
        <f t="array" aca="1" ref="M127" ca="1">IF(OR(A127="",B127="safety"),"",INDIRECT("template!"&amp;"J"&amp;A127))</f>
        <v>#REF!</v>
      </c>
      <c r="N127" t="e" cm="1">
        <f t="array" aca="1" ref="N127" ca="1">IF(OR(A127="",B127="safety"),"",IF(ISBLANK(INDIRECT("template!"&amp;"K"&amp;A127)),"",INDIRECT("template!"&amp;"K"&amp;A127)))</f>
        <v>#REF!</v>
      </c>
      <c r="O127" t="e" cm="1">
        <f t="array" aca="1" ref="O127" ca="1">IF(OR(A127="",B127="safety"),"",INDIRECT("template!"&amp;"L"&amp;A127))</f>
        <v>#REF!</v>
      </c>
      <c r="P127" t="e" cm="1">
        <f t="array" aca="1" ref="P127" ca="1">IF(OR(A127="",B127="safety"),"",INDIRECT("template!"&amp;"M"&amp;A127))</f>
        <v>#REF!</v>
      </c>
      <c r="Q127" t="e">
        <f t="shared" ca="1" si="6"/>
        <v>#REF!</v>
      </c>
      <c r="R127" t="e">
        <f t="shared" ca="1" si="7"/>
        <v>#REF!</v>
      </c>
      <c r="S127" t="e">
        <f t="shared" ca="1" si="8"/>
        <v>#REF!</v>
      </c>
      <c r="T127" t="e">
        <f t="shared" ca="1" si="9"/>
        <v>#REF!</v>
      </c>
      <c r="U127" t="e" cm="1">
        <f t="array" aca="1" ref="U127" ca="1">IF(A127="","",IF(E127="","",IF(B127="safety",INDIRECT("template!"&amp;"P"&amp;A127),Q127+R127)))</f>
        <v>#REF!</v>
      </c>
      <c r="V127" t="e" cm="1">
        <f t="array" aca="1" ref="V127" ca="1">IF(A127="","",IF(E127="","",IF(B127="safety",INDIRECT("template!"&amp;"P"&amp;A127),S127+T127)))</f>
        <v>#REF!</v>
      </c>
      <c r="W127" t="e">
        <f ca="1">IF(A127="","",IF(E127="","",#REF!))</f>
        <v>#REF!</v>
      </c>
      <c r="X127" t="e">
        <f ca="1">IF(A127="","",IF(E127="","",#REF!))</f>
        <v>#REF!</v>
      </c>
      <c r="Y127" s="39" t="e">
        <f ca="1">IF(A127="","",IF(E127="","",#REF!))</f>
        <v>#REF!</v>
      </c>
      <c r="Z127" t="e">
        <f ca="1">IF(A127="","",IF(E127="","",#REF!))</f>
        <v>#REF!</v>
      </c>
      <c r="AA127" t="e">
        <f ca="1">IF(A127="","",IF(E127="","",#REF!))</f>
        <v>#REF!</v>
      </c>
      <c r="AB127" t="e">
        <f ca="1">IF(A127="","",IF(E127="","",#REF!))</f>
        <v>#REF!</v>
      </c>
      <c r="AC127" t="e">
        <f t="shared" ca="1" si="10"/>
        <v>#REF!</v>
      </c>
    </row>
    <row r="128" spans="1:29" x14ac:dyDescent="0.35">
      <c r="A128" t="e" cm="1">
        <f t="array" aca="1" ref="A128" ca="1">IF(A127="","",IF(OR(AND(A127+1&gt;=$AF$1,A127+1&lt;=$AF$2),AND(A127+1&gt;=$AF$6,A127+1&lt;=$AF$7),AND(A127+1&gt;=$AF$3,A127+1&lt;=$AF$4),AND(A127+1&gt;=$AF$8,A127+1&lt;=$AF$9),A127+1=$AF$5),IF(NOT(ISBLANK(INDIRECT("template!"&amp;"P"&amp;A127+1))),A127+1,IF(NOT(ISBLANK(INDIRECT("template!"&amp;"P"&amp;A127+2))),A127+2,A127+3)),IF(A127=$AF$2,$AF$3,IF(A127=$AF$4,$AF$5,IF(A127=$AF$5,$AF$6,IF(A127=$AF$7,$AF$8,""))))))</f>
        <v>#REF!</v>
      </c>
      <c r="B128" t="e">
        <f t="shared" ca="1" si="0"/>
        <v>#REF!</v>
      </c>
      <c r="C128" t="e" cm="1">
        <f t="array" aca="1" ref="C128" ca="1">IF(A128="","",IF(B128="safety","safety costs",INDIRECT("template!"&amp;"B"&amp;A128)))</f>
        <v>#REF!</v>
      </c>
      <c r="D128" t="e" cm="1">
        <f t="array" aca="1" ref="D128" ca="1">IF(OR(A128="",B128="safety"),"",INDIRECT("template!"&amp;"C"&amp;A128))</f>
        <v>#REF!</v>
      </c>
      <c r="E128" t="e" cm="1">
        <f t="array" aca="1" ref="E128" ca="1">IF(A128="","",IF(OR(A128=A127+1,A128=A127+2),E127,INDIRECT("template!"&amp;"D"&amp;A128-2)))</f>
        <v>#REF!</v>
      </c>
      <c r="F128" t="e" cm="1">
        <f t="array" aca="1" ref="F128" ca="1">IF(OR(A128="",B128="safety"),"",IF(ISBLANK(IF(A128=A127+1,F127,INDIRECT("template!"&amp;"D"&amp;A128-1))),"",IF(A128=A127+1,F127,INDIRECT("template!"&amp;"D"&amp;A128-1))))</f>
        <v>#REF!</v>
      </c>
      <c r="G128" t="e" cm="1">
        <f t="array" aca="1" ref="G128" ca="1">IF(OR(A128="",B128="safety"),"",IF(ISBLANK(INDIRECT("template!"&amp;"D"&amp;A128)),"",INDIRECT("template!"&amp;"D"&amp;A128)))</f>
        <v>#REF!</v>
      </c>
      <c r="H128" t="e" cm="1">
        <f t="array" aca="1" ref="H128" ca="1">IF(OR(A128="",B128="safety"),"",IF(ISBLANK(INDIRECT("template!"&amp;"E"&amp;A128)),"",INDIRECT("template!"&amp;"E"&amp;A128)))</f>
        <v>#REF!</v>
      </c>
      <c r="I128" t="e" cm="1">
        <f t="array" aca="1" ref="I128" ca="1">IF(OR(A128="",B128="safety"),"",IF(ISBLANK(INDIRECT("template!"&amp;"F"&amp;A128)),"",INDIRECT("template!"&amp;"F"&amp;A128)))</f>
        <v>#REF!</v>
      </c>
      <c r="J128" t="e" cm="1">
        <f t="array" aca="1" ref="J128" ca="1">IF(OR(A128="",B128="safety"),"",IF(ISBLANK(INDIRECT("template!"&amp;"G"&amp;A128)),"",INDIRECT("template!"&amp;"G"&amp;A128)))</f>
        <v>#REF!</v>
      </c>
      <c r="K128" t="e" cm="1">
        <f t="array" aca="1" ref="K128" ca="1">IF(OR(A128="",B128="safety"),"",IF(ISBLANK(INDIRECT("template!"&amp;"H"&amp;A128)),"",INDIRECT("template!"&amp;"H"&amp;A128)))</f>
        <v>#REF!</v>
      </c>
      <c r="L128" t="e" cm="1">
        <f t="array" aca="1" ref="L128" ca="1">IF(OR(A128="",B128="safety"),"",INDIRECT("template!"&amp;"I"&amp;A128))</f>
        <v>#REF!</v>
      </c>
      <c r="M128" t="e" cm="1">
        <f t="array" aca="1" ref="M128" ca="1">IF(OR(A128="",B128="safety"),"",INDIRECT("template!"&amp;"J"&amp;A128))</f>
        <v>#REF!</v>
      </c>
      <c r="N128" t="e" cm="1">
        <f t="array" aca="1" ref="N128" ca="1">IF(OR(A128="",B128="safety"),"",IF(ISBLANK(INDIRECT("template!"&amp;"K"&amp;A128)),"",INDIRECT("template!"&amp;"K"&amp;A128)))</f>
        <v>#REF!</v>
      </c>
      <c r="O128" t="e" cm="1">
        <f t="array" aca="1" ref="O128" ca="1">IF(OR(A128="",B128="safety"),"",INDIRECT("template!"&amp;"L"&amp;A128))</f>
        <v>#REF!</v>
      </c>
      <c r="P128" t="e" cm="1">
        <f t="array" aca="1" ref="P128" ca="1">IF(OR(A128="",B128="safety"),"",INDIRECT("template!"&amp;"M"&amp;A128))</f>
        <v>#REF!</v>
      </c>
      <c r="Q128" t="e">
        <f t="shared" ca="1" si="6"/>
        <v>#REF!</v>
      </c>
      <c r="R128" t="e">
        <f t="shared" ca="1" si="7"/>
        <v>#REF!</v>
      </c>
      <c r="S128" t="e">
        <f t="shared" ca="1" si="8"/>
        <v>#REF!</v>
      </c>
      <c r="T128" t="e">
        <f t="shared" ca="1" si="9"/>
        <v>#REF!</v>
      </c>
      <c r="U128" t="e" cm="1">
        <f t="array" aca="1" ref="U128" ca="1">IF(A128="","",IF(E128="","",IF(B128="safety",INDIRECT("template!"&amp;"P"&amp;A128),Q128+R128)))</f>
        <v>#REF!</v>
      </c>
      <c r="V128" t="e" cm="1">
        <f t="array" aca="1" ref="V128" ca="1">IF(A128="","",IF(E128="","",IF(B128="safety",INDIRECT("template!"&amp;"P"&amp;A128),S128+T128)))</f>
        <v>#REF!</v>
      </c>
      <c r="W128" t="e">
        <f ca="1">IF(A128="","",IF(E128="","",#REF!))</f>
        <v>#REF!</v>
      </c>
      <c r="X128" t="e">
        <f ca="1">IF(A128="","",IF(E128="","",#REF!))</f>
        <v>#REF!</v>
      </c>
      <c r="Y128" s="39" t="e">
        <f ca="1">IF(A128="","",IF(E128="","",#REF!))</f>
        <v>#REF!</v>
      </c>
      <c r="Z128" t="e">
        <f ca="1">IF(A128="","",IF(E128="","",#REF!))</f>
        <v>#REF!</v>
      </c>
      <c r="AA128" t="e">
        <f ca="1">IF(A128="","",IF(E128="","",#REF!))</f>
        <v>#REF!</v>
      </c>
      <c r="AB128" t="e">
        <f ca="1">IF(A128="","",IF(E128="","",#REF!))</f>
        <v>#REF!</v>
      </c>
      <c r="AC128" t="e">
        <f t="shared" ca="1" si="10"/>
        <v>#REF!</v>
      </c>
    </row>
    <row r="129" spans="1:29" x14ac:dyDescent="0.35">
      <c r="A129" t="e" cm="1">
        <f t="array" aca="1" ref="A129" ca="1">IF(A128="","",IF(OR(AND(A128+1&gt;=$AF$1,A128+1&lt;=$AF$2),AND(A128+1&gt;=$AF$6,A128+1&lt;=$AF$7),AND(A128+1&gt;=$AF$3,A128+1&lt;=$AF$4),AND(A128+1&gt;=$AF$8,A128+1&lt;=$AF$9),A128+1=$AF$5),IF(NOT(ISBLANK(INDIRECT("template!"&amp;"P"&amp;A128+1))),A128+1,IF(NOT(ISBLANK(INDIRECT("template!"&amp;"P"&amp;A128+2))),A128+2,A128+3)),IF(A128=$AF$2,$AF$3,IF(A128=$AF$4,$AF$5,IF(A128=$AF$5,$AF$6,IF(A128=$AF$7,$AF$8,""))))))</f>
        <v>#REF!</v>
      </c>
      <c r="B129" t="e">
        <f t="shared" ca="1" si="0"/>
        <v>#REF!</v>
      </c>
      <c r="C129" t="e" cm="1">
        <f t="array" aca="1" ref="C129" ca="1">IF(A129="","",IF(B129="safety","safety costs",INDIRECT("template!"&amp;"B"&amp;A129)))</f>
        <v>#REF!</v>
      </c>
      <c r="D129" t="e" cm="1">
        <f t="array" aca="1" ref="D129" ca="1">IF(OR(A129="",B129="safety"),"",INDIRECT("template!"&amp;"C"&amp;A129))</f>
        <v>#REF!</v>
      </c>
      <c r="E129" t="e" cm="1">
        <f t="array" aca="1" ref="E129" ca="1">IF(A129="","",IF(OR(A129=A128+1,A129=A128+2),E128,INDIRECT("template!"&amp;"D"&amp;A129-2)))</f>
        <v>#REF!</v>
      </c>
      <c r="F129" t="e" cm="1">
        <f t="array" aca="1" ref="F129" ca="1">IF(OR(A129="",B129="safety"),"",IF(ISBLANK(IF(A129=A128+1,F128,INDIRECT("template!"&amp;"D"&amp;A129-1))),"",IF(A129=A128+1,F128,INDIRECT("template!"&amp;"D"&amp;A129-1))))</f>
        <v>#REF!</v>
      </c>
      <c r="G129" t="e" cm="1">
        <f t="array" aca="1" ref="G129" ca="1">IF(OR(A129="",B129="safety"),"",IF(ISBLANK(INDIRECT("template!"&amp;"D"&amp;A129)),"",INDIRECT("template!"&amp;"D"&amp;A129)))</f>
        <v>#REF!</v>
      </c>
      <c r="H129" t="e" cm="1">
        <f t="array" aca="1" ref="H129" ca="1">IF(OR(A129="",B129="safety"),"",IF(ISBLANK(INDIRECT("template!"&amp;"E"&amp;A129)),"",INDIRECT("template!"&amp;"E"&amp;A129)))</f>
        <v>#REF!</v>
      </c>
      <c r="I129" t="e" cm="1">
        <f t="array" aca="1" ref="I129" ca="1">IF(OR(A129="",B129="safety"),"",IF(ISBLANK(INDIRECT("template!"&amp;"F"&amp;A129)),"",INDIRECT("template!"&amp;"F"&amp;A129)))</f>
        <v>#REF!</v>
      </c>
      <c r="J129" t="e" cm="1">
        <f t="array" aca="1" ref="J129" ca="1">IF(OR(A129="",B129="safety"),"",IF(ISBLANK(INDIRECT("template!"&amp;"G"&amp;A129)),"",INDIRECT("template!"&amp;"G"&amp;A129)))</f>
        <v>#REF!</v>
      </c>
      <c r="K129" t="e" cm="1">
        <f t="array" aca="1" ref="K129" ca="1">IF(OR(A129="",B129="safety"),"",IF(ISBLANK(INDIRECT("template!"&amp;"H"&amp;A129)),"",INDIRECT("template!"&amp;"H"&amp;A129)))</f>
        <v>#REF!</v>
      </c>
      <c r="L129" t="e" cm="1">
        <f t="array" aca="1" ref="L129" ca="1">IF(OR(A129="",B129="safety"),"",INDIRECT("template!"&amp;"I"&amp;A129))</f>
        <v>#REF!</v>
      </c>
      <c r="M129" t="e" cm="1">
        <f t="array" aca="1" ref="M129" ca="1">IF(OR(A129="",B129="safety"),"",INDIRECT("template!"&amp;"J"&amp;A129))</f>
        <v>#REF!</v>
      </c>
      <c r="N129" t="e" cm="1">
        <f t="array" aca="1" ref="N129" ca="1">IF(OR(A129="",B129="safety"),"",IF(ISBLANK(INDIRECT("template!"&amp;"K"&amp;A129)),"",INDIRECT("template!"&amp;"K"&amp;A129)))</f>
        <v>#REF!</v>
      </c>
      <c r="O129" t="e" cm="1">
        <f t="array" aca="1" ref="O129" ca="1">IF(OR(A129="",B129="safety"),"",INDIRECT("template!"&amp;"L"&amp;A129))</f>
        <v>#REF!</v>
      </c>
      <c r="P129" t="e" cm="1">
        <f t="array" aca="1" ref="P129" ca="1">IF(OR(A129="",B129="safety"),"",INDIRECT("template!"&amp;"M"&amp;A129))</f>
        <v>#REF!</v>
      </c>
      <c r="Q129" t="e">
        <f t="shared" ca="1" si="6"/>
        <v>#REF!</v>
      </c>
      <c r="R129" t="e">
        <f t="shared" ca="1" si="7"/>
        <v>#REF!</v>
      </c>
      <c r="S129" t="e">
        <f t="shared" ca="1" si="8"/>
        <v>#REF!</v>
      </c>
      <c r="T129" t="e">
        <f t="shared" ca="1" si="9"/>
        <v>#REF!</v>
      </c>
      <c r="U129" t="e" cm="1">
        <f t="array" aca="1" ref="U129" ca="1">IF(A129="","",IF(E129="","",IF(B129="safety",INDIRECT("template!"&amp;"P"&amp;A129),Q129+R129)))</f>
        <v>#REF!</v>
      </c>
      <c r="V129" t="e" cm="1">
        <f t="array" aca="1" ref="V129" ca="1">IF(A129="","",IF(E129="","",IF(B129="safety",INDIRECT("template!"&amp;"P"&amp;A129),S129+T129)))</f>
        <v>#REF!</v>
      </c>
      <c r="W129" t="e">
        <f ca="1">IF(A129="","",IF(E129="","",#REF!))</f>
        <v>#REF!</v>
      </c>
      <c r="X129" t="e">
        <f ca="1">IF(A129="","",IF(E129="","",#REF!))</f>
        <v>#REF!</v>
      </c>
      <c r="Y129" s="39" t="e">
        <f ca="1">IF(A129="","",IF(E129="","",#REF!))</f>
        <v>#REF!</v>
      </c>
      <c r="Z129" t="e">
        <f ca="1">IF(A129="","",IF(E129="","",#REF!))</f>
        <v>#REF!</v>
      </c>
      <c r="AA129" t="e">
        <f ca="1">IF(A129="","",IF(E129="","",#REF!))</f>
        <v>#REF!</v>
      </c>
      <c r="AB129" t="e">
        <f ca="1">IF(A129="","",IF(E129="","",#REF!))</f>
        <v>#REF!</v>
      </c>
      <c r="AC129" t="e">
        <f t="shared" ca="1" si="10"/>
        <v>#REF!</v>
      </c>
    </row>
    <row r="130" spans="1:29" x14ac:dyDescent="0.35">
      <c r="A130" t="e" cm="1">
        <f t="array" aca="1" ref="A130" ca="1">IF(A129="","",IF(OR(AND(A129+1&gt;=$AF$1,A129+1&lt;=$AF$2),AND(A129+1&gt;=$AF$6,A129+1&lt;=$AF$7),AND(A129+1&gt;=$AF$3,A129+1&lt;=$AF$4),AND(A129+1&gt;=$AF$8,A129+1&lt;=$AF$9),A129+1=$AF$5),IF(NOT(ISBLANK(INDIRECT("template!"&amp;"P"&amp;A129+1))),A129+1,IF(NOT(ISBLANK(INDIRECT("template!"&amp;"P"&amp;A129+2))),A129+2,A129+3)),IF(A129=$AF$2,$AF$3,IF(A129=$AF$4,$AF$5,IF(A129=$AF$5,$AF$6,IF(A129=$AF$7,$AF$8,""))))))</f>
        <v>#REF!</v>
      </c>
      <c r="B130" t="e">
        <f t="shared" ca="1" si="0"/>
        <v>#REF!</v>
      </c>
      <c r="C130" t="e" cm="1">
        <f t="array" aca="1" ref="C130" ca="1">IF(A130="","",IF(B130="safety","safety costs",INDIRECT("template!"&amp;"B"&amp;A130)))</f>
        <v>#REF!</v>
      </c>
      <c r="D130" t="e" cm="1">
        <f t="array" aca="1" ref="D130" ca="1">IF(OR(A130="",B130="safety"),"",INDIRECT("template!"&amp;"C"&amp;A130))</f>
        <v>#REF!</v>
      </c>
      <c r="E130" t="e" cm="1">
        <f t="array" aca="1" ref="E130" ca="1">IF(A130="","",IF(OR(A130=A129+1,A130=A129+2),E129,INDIRECT("template!"&amp;"D"&amp;A130-2)))</f>
        <v>#REF!</v>
      </c>
      <c r="F130" t="e" cm="1">
        <f t="array" aca="1" ref="F130" ca="1">IF(OR(A130="",B130="safety"),"",IF(ISBLANK(IF(A130=A129+1,F129,INDIRECT("template!"&amp;"D"&amp;A130-1))),"",IF(A130=A129+1,F129,INDIRECT("template!"&amp;"D"&amp;A130-1))))</f>
        <v>#REF!</v>
      </c>
      <c r="G130" t="e" cm="1">
        <f t="array" aca="1" ref="G130" ca="1">IF(OR(A130="",B130="safety"),"",IF(ISBLANK(INDIRECT("template!"&amp;"D"&amp;A130)),"",INDIRECT("template!"&amp;"D"&amp;A130)))</f>
        <v>#REF!</v>
      </c>
      <c r="H130" t="e" cm="1">
        <f t="array" aca="1" ref="H130" ca="1">IF(OR(A130="",B130="safety"),"",IF(ISBLANK(INDIRECT("template!"&amp;"E"&amp;A130)),"",INDIRECT("template!"&amp;"E"&amp;A130)))</f>
        <v>#REF!</v>
      </c>
      <c r="I130" t="e" cm="1">
        <f t="array" aca="1" ref="I130" ca="1">IF(OR(A130="",B130="safety"),"",IF(ISBLANK(INDIRECT("template!"&amp;"F"&amp;A130)),"",INDIRECT("template!"&amp;"F"&amp;A130)))</f>
        <v>#REF!</v>
      </c>
      <c r="J130" t="e" cm="1">
        <f t="array" aca="1" ref="J130" ca="1">IF(OR(A130="",B130="safety"),"",IF(ISBLANK(INDIRECT("template!"&amp;"G"&amp;A130)),"",INDIRECT("template!"&amp;"G"&amp;A130)))</f>
        <v>#REF!</v>
      </c>
      <c r="K130" t="e" cm="1">
        <f t="array" aca="1" ref="K130" ca="1">IF(OR(A130="",B130="safety"),"",IF(ISBLANK(INDIRECT("template!"&amp;"H"&amp;A130)),"",INDIRECT("template!"&amp;"H"&amp;A130)))</f>
        <v>#REF!</v>
      </c>
      <c r="L130" t="e" cm="1">
        <f t="array" aca="1" ref="L130" ca="1">IF(OR(A130="",B130="safety"),"",INDIRECT("template!"&amp;"I"&amp;A130))</f>
        <v>#REF!</v>
      </c>
      <c r="M130" t="e" cm="1">
        <f t="array" aca="1" ref="M130" ca="1">IF(OR(A130="",B130="safety"),"",INDIRECT("template!"&amp;"J"&amp;A130))</f>
        <v>#REF!</v>
      </c>
      <c r="N130" t="e" cm="1">
        <f t="array" aca="1" ref="N130" ca="1">IF(OR(A130="",B130="safety"),"",IF(ISBLANK(INDIRECT("template!"&amp;"K"&amp;A130)),"",INDIRECT("template!"&amp;"K"&amp;A130)))</f>
        <v>#REF!</v>
      </c>
      <c r="O130" t="e" cm="1">
        <f t="array" aca="1" ref="O130" ca="1">IF(OR(A130="",B130="safety"),"",INDIRECT("template!"&amp;"L"&amp;A130))</f>
        <v>#REF!</v>
      </c>
      <c r="P130" t="e" cm="1">
        <f t="array" aca="1" ref="P130" ca="1">IF(OR(A130="",B130="safety"),"",INDIRECT("template!"&amp;"M"&amp;A130))</f>
        <v>#REF!</v>
      </c>
      <c r="Q130" t="e">
        <f t="shared" ca="1" si="6"/>
        <v>#REF!</v>
      </c>
      <c r="R130" t="e">
        <f t="shared" ca="1" si="7"/>
        <v>#REF!</v>
      </c>
      <c r="S130" t="e">
        <f t="shared" ca="1" si="8"/>
        <v>#REF!</v>
      </c>
      <c r="T130" t="e">
        <f t="shared" ca="1" si="9"/>
        <v>#REF!</v>
      </c>
      <c r="U130" t="e" cm="1">
        <f t="array" aca="1" ref="U130" ca="1">IF(A130="","",IF(E130="","",IF(B130="safety",INDIRECT("template!"&amp;"P"&amp;A130),Q130+R130)))</f>
        <v>#REF!</v>
      </c>
      <c r="V130" t="e" cm="1">
        <f t="array" aca="1" ref="V130" ca="1">IF(A130="","",IF(E130="","",IF(B130="safety",INDIRECT("template!"&amp;"P"&amp;A130),S130+T130)))</f>
        <v>#REF!</v>
      </c>
      <c r="W130" t="e">
        <f ca="1">IF(A130="","",IF(E130="","",#REF!))</f>
        <v>#REF!</v>
      </c>
      <c r="X130" t="e">
        <f ca="1">IF(A130="","",IF(E130="","",#REF!))</f>
        <v>#REF!</v>
      </c>
      <c r="Y130" s="39" t="e">
        <f ca="1">IF(A130="","",IF(E130="","",#REF!))</f>
        <v>#REF!</v>
      </c>
      <c r="Z130" t="e">
        <f ca="1">IF(A130="","",IF(E130="","",#REF!))</f>
        <v>#REF!</v>
      </c>
      <c r="AA130" t="e">
        <f ca="1">IF(A130="","",IF(E130="","",#REF!))</f>
        <v>#REF!</v>
      </c>
      <c r="AB130" t="e">
        <f ca="1">IF(A130="","",IF(E130="","",#REF!))</f>
        <v>#REF!</v>
      </c>
      <c r="AC130" t="e">
        <f t="shared" ca="1" si="10"/>
        <v>#REF!</v>
      </c>
    </row>
    <row r="131" spans="1:29" x14ac:dyDescent="0.35">
      <c r="A131" t="e" cm="1">
        <f t="array" aca="1" ref="A131" ca="1">IF(A130="","",IF(OR(AND(A130+1&gt;=$AF$1,A130+1&lt;=$AF$2),AND(A130+1&gt;=$AF$6,A130+1&lt;=$AF$7),AND(A130+1&gt;=$AF$3,A130+1&lt;=$AF$4),AND(A130+1&gt;=$AF$8,A130+1&lt;=$AF$9),A130+1=$AF$5),IF(NOT(ISBLANK(INDIRECT("template!"&amp;"P"&amp;A130+1))),A130+1,IF(NOT(ISBLANK(INDIRECT("template!"&amp;"P"&amp;A130+2))),A130+2,A130+3)),IF(A130=$AF$2,$AF$3,IF(A130=$AF$4,$AF$5,IF(A130=$AF$5,$AF$6,IF(A130=$AF$7,$AF$8,""))))))</f>
        <v>#REF!</v>
      </c>
      <c r="B131" t="e">
        <f t="shared" ca="1" si="0"/>
        <v>#REF!</v>
      </c>
      <c r="C131" t="e" cm="1">
        <f t="array" aca="1" ref="C131" ca="1">IF(A131="","",IF(B131="safety","safety costs",INDIRECT("template!"&amp;"B"&amp;A131)))</f>
        <v>#REF!</v>
      </c>
      <c r="D131" t="e" cm="1">
        <f t="array" aca="1" ref="D131" ca="1">IF(OR(A131="",B131="safety"),"",INDIRECT("template!"&amp;"C"&amp;A131))</f>
        <v>#REF!</v>
      </c>
      <c r="E131" t="e" cm="1">
        <f t="array" aca="1" ref="E131" ca="1">IF(A131="","",IF(OR(A131=A130+1,A131=A130+2),E130,INDIRECT("template!"&amp;"D"&amp;A131-2)))</f>
        <v>#REF!</v>
      </c>
      <c r="F131" t="e" cm="1">
        <f t="array" aca="1" ref="F131" ca="1">IF(OR(A131="",B131="safety"),"",IF(ISBLANK(IF(A131=A130+1,F130,INDIRECT("template!"&amp;"D"&amp;A131-1))),"",IF(A131=A130+1,F130,INDIRECT("template!"&amp;"D"&amp;A131-1))))</f>
        <v>#REF!</v>
      </c>
      <c r="G131" t="e" cm="1">
        <f t="array" aca="1" ref="G131" ca="1">IF(OR(A131="",B131="safety"),"",IF(ISBLANK(INDIRECT("template!"&amp;"D"&amp;A131)),"",INDIRECT("template!"&amp;"D"&amp;A131)))</f>
        <v>#REF!</v>
      </c>
      <c r="H131" t="e" cm="1">
        <f t="array" aca="1" ref="H131" ca="1">IF(OR(A131="",B131="safety"),"",IF(ISBLANK(INDIRECT("template!"&amp;"E"&amp;A131)),"",INDIRECT("template!"&amp;"E"&amp;A131)))</f>
        <v>#REF!</v>
      </c>
      <c r="I131" t="e" cm="1">
        <f t="array" aca="1" ref="I131" ca="1">IF(OR(A131="",B131="safety"),"",IF(ISBLANK(INDIRECT("template!"&amp;"F"&amp;A131)),"",INDIRECT("template!"&amp;"F"&amp;A131)))</f>
        <v>#REF!</v>
      </c>
      <c r="J131" t="e" cm="1">
        <f t="array" aca="1" ref="J131" ca="1">IF(OR(A131="",B131="safety"),"",IF(ISBLANK(INDIRECT("template!"&amp;"G"&amp;A131)),"",INDIRECT("template!"&amp;"G"&amp;A131)))</f>
        <v>#REF!</v>
      </c>
      <c r="K131" t="e" cm="1">
        <f t="array" aca="1" ref="K131" ca="1">IF(OR(A131="",B131="safety"),"",IF(ISBLANK(INDIRECT("template!"&amp;"H"&amp;A131)),"",INDIRECT("template!"&amp;"H"&amp;A131)))</f>
        <v>#REF!</v>
      </c>
      <c r="L131" t="e" cm="1">
        <f t="array" aca="1" ref="L131" ca="1">IF(OR(A131="",B131="safety"),"",INDIRECT("template!"&amp;"I"&amp;A131))</f>
        <v>#REF!</v>
      </c>
      <c r="M131" t="e" cm="1">
        <f t="array" aca="1" ref="M131" ca="1">IF(OR(A131="",B131="safety"),"",INDIRECT("template!"&amp;"J"&amp;A131))</f>
        <v>#REF!</v>
      </c>
      <c r="N131" t="e" cm="1">
        <f t="array" aca="1" ref="N131" ca="1">IF(OR(A131="",B131="safety"),"",IF(ISBLANK(INDIRECT("template!"&amp;"K"&amp;A131)),"",INDIRECT("template!"&amp;"K"&amp;A131)))</f>
        <v>#REF!</v>
      </c>
      <c r="O131" t="e" cm="1">
        <f t="array" aca="1" ref="O131" ca="1">IF(OR(A131="",B131="safety"),"",INDIRECT("template!"&amp;"L"&amp;A131))</f>
        <v>#REF!</v>
      </c>
      <c r="P131" t="e" cm="1">
        <f t="array" aca="1" ref="P131" ca="1">IF(OR(A131="",B131="safety"),"",INDIRECT("template!"&amp;"M"&amp;A131))</f>
        <v>#REF!</v>
      </c>
      <c r="Q131" t="e">
        <f t="shared" ca="1" si="6"/>
        <v>#REF!</v>
      </c>
      <c r="R131" t="e">
        <f t="shared" ca="1" si="7"/>
        <v>#REF!</v>
      </c>
      <c r="S131" t="e">
        <f t="shared" ca="1" si="8"/>
        <v>#REF!</v>
      </c>
      <c r="T131" t="e">
        <f t="shared" ca="1" si="9"/>
        <v>#REF!</v>
      </c>
      <c r="U131" t="e" cm="1">
        <f t="array" aca="1" ref="U131" ca="1">IF(A131="","",IF(E131="","",IF(B131="safety",INDIRECT("template!"&amp;"P"&amp;A131),Q131+R131)))</f>
        <v>#REF!</v>
      </c>
      <c r="V131" t="e" cm="1">
        <f t="array" aca="1" ref="V131" ca="1">IF(A131="","",IF(E131="","",IF(B131="safety",INDIRECT("template!"&amp;"P"&amp;A131),S131+T131)))</f>
        <v>#REF!</v>
      </c>
      <c r="W131" t="e">
        <f ca="1">IF(A131="","",IF(E131="","",#REF!))</f>
        <v>#REF!</v>
      </c>
      <c r="X131" t="e">
        <f ca="1">IF(A131="","",IF(E131="","",#REF!))</f>
        <v>#REF!</v>
      </c>
      <c r="Y131" s="39" t="e">
        <f ca="1">IF(A131="","",IF(E131="","",#REF!))</f>
        <v>#REF!</v>
      </c>
      <c r="Z131" t="e">
        <f ca="1">IF(A131="","",IF(E131="","",#REF!))</f>
        <v>#REF!</v>
      </c>
      <c r="AA131" t="e">
        <f ca="1">IF(A131="","",IF(E131="","",#REF!))</f>
        <v>#REF!</v>
      </c>
      <c r="AB131" t="e">
        <f ca="1">IF(A131="","",IF(E131="","",#REF!))</f>
        <v>#REF!</v>
      </c>
      <c r="AC131" t="e">
        <f t="shared" ca="1" si="10"/>
        <v>#REF!</v>
      </c>
    </row>
    <row r="132" spans="1:29" x14ac:dyDescent="0.35">
      <c r="A132" t="e" cm="1">
        <f t="array" aca="1" ref="A132" ca="1">IF(A131="","",IF(OR(AND(A131+1&gt;=$AF$1,A131+1&lt;=$AF$2),AND(A131+1&gt;=$AF$6,A131+1&lt;=$AF$7),AND(A131+1&gt;=$AF$3,A131+1&lt;=$AF$4),AND(A131+1&gt;=$AF$8,A131+1&lt;=$AF$9),A131+1=$AF$5),IF(NOT(ISBLANK(INDIRECT("template!"&amp;"P"&amp;A131+1))),A131+1,IF(NOT(ISBLANK(INDIRECT("template!"&amp;"P"&amp;A131+2))),A131+2,A131+3)),IF(A131=$AF$2,$AF$3,IF(A131=$AF$4,$AF$5,IF(A131=$AF$5,$AF$6,IF(A131=$AF$7,$AF$8,""))))))</f>
        <v>#REF!</v>
      </c>
      <c r="B132" t="e">
        <f t="shared" ca="1" si="0"/>
        <v>#REF!</v>
      </c>
      <c r="C132" t="e" cm="1">
        <f t="array" aca="1" ref="C132" ca="1">IF(A132="","",IF(B132="safety","safety costs",INDIRECT("template!"&amp;"B"&amp;A132)))</f>
        <v>#REF!</v>
      </c>
      <c r="D132" t="e" cm="1">
        <f t="array" aca="1" ref="D132" ca="1">IF(OR(A132="",B132="safety"),"",INDIRECT("template!"&amp;"C"&amp;A132))</f>
        <v>#REF!</v>
      </c>
      <c r="E132" t="e" cm="1">
        <f t="array" aca="1" ref="E132" ca="1">IF(A132="","",IF(OR(A132=A131+1,A132=A131+2),E131,INDIRECT("template!"&amp;"D"&amp;A132-2)))</f>
        <v>#REF!</v>
      </c>
      <c r="F132" t="e" cm="1">
        <f t="array" aca="1" ref="F132" ca="1">IF(OR(A132="",B132="safety"),"",IF(ISBLANK(IF(A132=A131+1,F131,INDIRECT("template!"&amp;"D"&amp;A132-1))),"",IF(A132=A131+1,F131,INDIRECT("template!"&amp;"D"&amp;A132-1))))</f>
        <v>#REF!</v>
      </c>
      <c r="G132" t="e" cm="1">
        <f t="array" aca="1" ref="G132" ca="1">IF(OR(A132="",B132="safety"),"",IF(ISBLANK(INDIRECT("template!"&amp;"D"&amp;A132)),"",INDIRECT("template!"&amp;"D"&amp;A132)))</f>
        <v>#REF!</v>
      </c>
      <c r="H132" t="e" cm="1">
        <f t="array" aca="1" ref="H132" ca="1">IF(OR(A132="",B132="safety"),"",IF(ISBLANK(INDIRECT("template!"&amp;"E"&amp;A132)),"",INDIRECT("template!"&amp;"E"&amp;A132)))</f>
        <v>#REF!</v>
      </c>
      <c r="I132" t="e" cm="1">
        <f t="array" aca="1" ref="I132" ca="1">IF(OR(A132="",B132="safety"),"",IF(ISBLANK(INDIRECT("template!"&amp;"F"&amp;A132)),"",INDIRECT("template!"&amp;"F"&amp;A132)))</f>
        <v>#REF!</v>
      </c>
      <c r="J132" t="e" cm="1">
        <f t="array" aca="1" ref="J132" ca="1">IF(OR(A132="",B132="safety"),"",IF(ISBLANK(INDIRECT("template!"&amp;"G"&amp;A132)),"",INDIRECT("template!"&amp;"G"&amp;A132)))</f>
        <v>#REF!</v>
      </c>
      <c r="K132" t="e" cm="1">
        <f t="array" aca="1" ref="K132" ca="1">IF(OR(A132="",B132="safety"),"",IF(ISBLANK(INDIRECT("template!"&amp;"H"&amp;A132)),"",INDIRECT("template!"&amp;"H"&amp;A132)))</f>
        <v>#REF!</v>
      </c>
      <c r="L132" t="e" cm="1">
        <f t="array" aca="1" ref="L132" ca="1">IF(OR(A132="",B132="safety"),"",INDIRECT("template!"&amp;"I"&amp;A132))</f>
        <v>#REF!</v>
      </c>
      <c r="M132" t="e" cm="1">
        <f t="array" aca="1" ref="M132" ca="1">IF(OR(A132="",B132="safety"),"",INDIRECT("template!"&amp;"J"&amp;A132))</f>
        <v>#REF!</v>
      </c>
      <c r="N132" t="e" cm="1">
        <f t="array" aca="1" ref="N132" ca="1">IF(OR(A132="",B132="safety"),"",IF(ISBLANK(INDIRECT("template!"&amp;"K"&amp;A132)),"",INDIRECT("template!"&amp;"K"&amp;A132)))</f>
        <v>#REF!</v>
      </c>
      <c r="O132" t="e" cm="1">
        <f t="array" aca="1" ref="O132" ca="1">IF(OR(A132="",B132="safety"),"",INDIRECT("template!"&amp;"L"&amp;A132))</f>
        <v>#REF!</v>
      </c>
      <c r="P132" t="e" cm="1">
        <f t="array" aca="1" ref="P132" ca="1">IF(OR(A132="",B132="safety"),"",INDIRECT("template!"&amp;"M"&amp;A132))</f>
        <v>#REF!</v>
      </c>
      <c r="Q132" t="e">
        <f t="shared" ref="Q132:Q195" ca="1" si="11">IF(OR(A132="",B132="safety"),"",IF(E132="","",O132*L132))</f>
        <v>#REF!</v>
      </c>
      <c r="R132" t="e">
        <f t="shared" ref="R132:R195" ca="1" si="12">IF(OR(A132="",B132="safety"),"",IF(E132="","",P132*L132))</f>
        <v>#REF!</v>
      </c>
      <c r="S132" t="e">
        <f t="shared" ref="S132:S195" ca="1" si="13">IF(OR(A132="",B132="safety"),"",IF(E132="","",O132*M132))</f>
        <v>#REF!</v>
      </c>
      <c r="T132" t="e">
        <f t="shared" ref="T132:T195" ca="1" si="14">IF(OR(A132="",B132="safety"),"",IF(E132="","",M132*P132))</f>
        <v>#REF!</v>
      </c>
      <c r="U132" t="e" cm="1">
        <f t="array" aca="1" ref="U132" ca="1">IF(A132="","",IF(E132="","",IF(B132="safety",INDIRECT("template!"&amp;"P"&amp;A132),Q132+R132)))</f>
        <v>#REF!</v>
      </c>
      <c r="V132" t="e" cm="1">
        <f t="array" aca="1" ref="V132" ca="1">IF(A132="","",IF(E132="","",IF(B132="safety",INDIRECT("template!"&amp;"P"&amp;A132),S132+T132)))</f>
        <v>#REF!</v>
      </c>
      <c r="W132" t="e">
        <f ca="1">IF(A132="","",IF(E132="","",#REF!))</f>
        <v>#REF!</v>
      </c>
      <c r="X132" t="e">
        <f ca="1">IF(A132="","",IF(E132="","",#REF!))</f>
        <v>#REF!</v>
      </c>
      <c r="Y132" s="39" t="e">
        <f ca="1">IF(A132="","",IF(E132="","",#REF!))</f>
        <v>#REF!</v>
      </c>
      <c r="Z132" t="e">
        <f ca="1">IF(A132="","",IF(E132="","",#REF!))</f>
        <v>#REF!</v>
      </c>
      <c r="AA132" t="e">
        <f ca="1">IF(A132="","",IF(E132="","",#REF!))</f>
        <v>#REF!</v>
      </c>
      <c r="AB132" t="e">
        <f ca="1">IF(A132="","",IF(E132="","",#REF!))</f>
        <v>#REF!</v>
      </c>
      <c r="AC132" t="e">
        <f t="shared" ref="AC132:AC195" ca="1" si="15">IF(A132="","",IF(E132="","","WEEK "&amp;WEEKNUM(Y132)&amp;"_"&amp;YEAR(Y132)))</f>
        <v>#REF!</v>
      </c>
    </row>
    <row r="133" spans="1:29" x14ac:dyDescent="0.35">
      <c r="A133" t="e" cm="1">
        <f t="array" aca="1" ref="A133" ca="1">IF(A132="","",IF(OR(AND(A132+1&gt;=$AF$1,A132+1&lt;=$AF$2),AND(A132+1&gt;=$AF$6,A132+1&lt;=$AF$7),AND(A132+1&gt;=$AF$3,A132+1&lt;=$AF$4),AND(A132+1&gt;=$AF$8,A132+1&lt;=$AF$9),A132+1=$AF$5),IF(NOT(ISBLANK(INDIRECT("template!"&amp;"P"&amp;A132+1))),A132+1,IF(NOT(ISBLANK(INDIRECT("template!"&amp;"P"&amp;A132+2))),A132+2,A132+3)),IF(A132=$AF$2,$AF$3,IF(A132=$AF$4,$AF$5,IF(A132=$AF$5,$AF$6,IF(A132=$AF$7,$AF$8,""))))))</f>
        <v>#REF!</v>
      </c>
      <c r="B133" t="e">
        <f t="shared" ca="1" si="0"/>
        <v>#REF!</v>
      </c>
      <c r="C133" t="e" cm="1">
        <f t="array" aca="1" ref="C133" ca="1">IF(A133="","",IF(B133="safety","safety costs",INDIRECT("template!"&amp;"B"&amp;A133)))</f>
        <v>#REF!</v>
      </c>
      <c r="D133" t="e" cm="1">
        <f t="array" aca="1" ref="D133" ca="1">IF(OR(A133="",B133="safety"),"",INDIRECT("template!"&amp;"C"&amp;A133))</f>
        <v>#REF!</v>
      </c>
      <c r="E133" t="e" cm="1">
        <f t="array" aca="1" ref="E133" ca="1">IF(A133="","",IF(OR(A133=A132+1,A133=A132+2),E132,INDIRECT("template!"&amp;"D"&amp;A133-2)))</f>
        <v>#REF!</v>
      </c>
      <c r="F133" t="e" cm="1">
        <f t="array" aca="1" ref="F133" ca="1">IF(OR(A133="",B133="safety"),"",IF(ISBLANK(IF(A133=A132+1,F132,INDIRECT("template!"&amp;"D"&amp;A133-1))),"",IF(A133=A132+1,F132,INDIRECT("template!"&amp;"D"&amp;A133-1))))</f>
        <v>#REF!</v>
      </c>
      <c r="G133" t="e" cm="1">
        <f t="array" aca="1" ref="G133" ca="1">IF(OR(A133="",B133="safety"),"",IF(ISBLANK(INDIRECT("template!"&amp;"D"&amp;A133)),"",INDIRECT("template!"&amp;"D"&amp;A133)))</f>
        <v>#REF!</v>
      </c>
      <c r="H133" t="e" cm="1">
        <f t="array" aca="1" ref="H133" ca="1">IF(OR(A133="",B133="safety"),"",IF(ISBLANK(INDIRECT("template!"&amp;"E"&amp;A133)),"",INDIRECT("template!"&amp;"E"&amp;A133)))</f>
        <v>#REF!</v>
      </c>
      <c r="I133" t="e" cm="1">
        <f t="array" aca="1" ref="I133" ca="1">IF(OR(A133="",B133="safety"),"",IF(ISBLANK(INDIRECT("template!"&amp;"F"&amp;A133)),"",INDIRECT("template!"&amp;"F"&amp;A133)))</f>
        <v>#REF!</v>
      </c>
      <c r="J133" t="e" cm="1">
        <f t="array" aca="1" ref="J133" ca="1">IF(OR(A133="",B133="safety"),"",IF(ISBLANK(INDIRECT("template!"&amp;"G"&amp;A133)),"",INDIRECT("template!"&amp;"G"&amp;A133)))</f>
        <v>#REF!</v>
      </c>
      <c r="K133" t="e" cm="1">
        <f t="array" aca="1" ref="K133" ca="1">IF(OR(A133="",B133="safety"),"",IF(ISBLANK(INDIRECT("template!"&amp;"H"&amp;A133)),"",INDIRECT("template!"&amp;"H"&amp;A133)))</f>
        <v>#REF!</v>
      </c>
      <c r="L133" t="e" cm="1">
        <f t="array" aca="1" ref="L133" ca="1">IF(OR(A133="",B133="safety"),"",INDIRECT("template!"&amp;"I"&amp;A133))</f>
        <v>#REF!</v>
      </c>
      <c r="M133" t="e" cm="1">
        <f t="array" aca="1" ref="M133" ca="1">IF(OR(A133="",B133="safety"),"",INDIRECT("template!"&amp;"J"&amp;A133))</f>
        <v>#REF!</v>
      </c>
      <c r="N133" t="e" cm="1">
        <f t="array" aca="1" ref="N133" ca="1">IF(OR(A133="",B133="safety"),"",IF(ISBLANK(INDIRECT("template!"&amp;"K"&amp;A133)),"",INDIRECT("template!"&amp;"K"&amp;A133)))</f>
        <v>#REF!</v>
      </c>
      <c r="O133" t="e" cm="1">
        <f t="array" aca="1" ref="O133" ca="1">IF(OR(A133="",B133="safety"),"",INDIRECT("template!"&amp;"L"&amp;A133))</f>
        <v>#REF!</v>
      </c>
      <c r="P133" t="e" cm="1">
        <f t="array" aca="1" ref="P133" ca="1">IF(OR(A133="",B133="safety"),"",INDIRECT("template!"&amp;"M"&amp;A133))</f>
        <v>#REF!</v>
      </c>
      <c r="Q133" t="e">
        <f t="shared" ca="1" si="11"/>
        <v>#REF!</v>
      </c>
      <c r="R133" t="e">
        <f t="shared" ca="1" si="12"/>
        <v>#REF!</v>
      </c>
      <c r="S133" t="e">
        <f t="shared" ca="1" si="13"/>
        <v>#REF!</v>
      </c>
      <c r="T133" t="e">
        <f t="shared" ca="1" si="14"/>
        <v>#REF!</v>
      </c>
      <c r="U133" t="e" cm="1">
        <f t="array" aca="1" ref="U133" ca="1">IF(A133="","",IF(E133="","",IF(B133="safety",INDIRECT("template!"&amp;"P"&amp;A133),Q133+R133)))</f>
        <v>#REF!</v>
      </c>
      <c r="V133" t="e" cm="1">
        <f t="array" aca="1" ref="V133" ca="1">IF(A133="","",IF(E133="","",IF(B133="safety",INDIRECT("template!"&amp;"P"&amp;A133),S133+T133)))</f>
        <v>#REF!</v>
      </c>
      <c r="W133" t="e">
        <f ca="1">IF(A133="","",IF(E133="","",#REF!))</f>
        <v>#REF!</v>
      </c>
      <c r="X133" t="e">
        <f ca="1">IF(A133="","",IF(E133="","",#REF!))</f>
        <v>#REF!</v>
      </c>
      <c r="Y133" s="39" t="e">
        <f ca="1">IF(A133="","",IF(E133="","",#REF!))</f>
        <v>#REF!</v>
      </c>
      <c r="Z133" t="e">
        <f ca="1">IF(A133="","",IF(E133="","",#REF!))</f>
        <v>#REF!</v>
      </c>
      <c r="AA133" t="e">
        <f ca="1">IF(A133="","",IF(E133="","",#REF!))</f>
        <v>#REF!</v>
      </c>
      <c r="AB133" t="e">
        <f ca="1">IF(A133="","",IF(E133="","",#REF!))</f>
        <v>#REF!</v>
      </c>
      <c r="AC133" t="e">
        <f t="shared" ca="1" si="15"/>
        <v>#REF!</v>
      </c>
    </row>
    <row r="134" spans="1:29" x14ac:dyDescent="0.35">
      <c r="A134" t="e" cm="1">
        <f t="array" aca="1" ref="A134" ca="1">IF(A133="","",IF(OR(AND(A133+1&gt;=$AF$1,A133+1&lt;=$AF$2),AND(A133+1&gt;=$AF$6,A133+1&lt;=$AF$7),AND(A133+1&gt;=$AF$3,A133+1&lt;=$AF$4),AND(A133+1&gt;=$AF$8,A133+1&lt;=$AF$9),A133+1=$AF$5),IF(NOT(ISBLANK(INDIRECT("template!"&amp;"P"&amp;A133+1))),A133+1,IF(NOT(ISBLANK(INDIRECT("template!"&amp;"P"&amp;A133+2))),A133+2,A133+3)),IF(A133=$AF$2,$AF$3,IF(A133=$AF$4,$AF$5,IF(A133=$AF$5,$AF$6,IF(A133=$AF$7,$AF$8,""))))))</f>
        <v>#REF!</v>
      </c>
      <c r="B134" t="e">
        <f t="shared" ca="1" si="0"/>
        <v>#REF!</v>
      </c>
      <c r="C134" t="e" cm="1">
        <f t="array" aca="1" ref="C134" ca="1">IF(A134="","",IF(B134="safety","safety costs",INDIRECT("template!"&amp;"B"&amp;A134)))</f>
        <v>#REF!</v>
      </c>
      <c r="D134" t="e" cm="1">
        <f t="array" aca="1" ref="D134" ca="1">IF(OR(A134="",B134="safety"),"",INDIRECT("template!"&amp;"C"&amp;A134))</f>
        <v>#REF!</v>
      </c>
      <c r="E134" t="e" cm="1">
        <f t="array" aca="1" ref="E134" ca="1">IF(A134="","",IF(OR(A134=A133+1,A134=A133+2),E133,INDIRECT("template!"&amp;"D"&amp;A134-2)))</f>
        <v>#REF!</v>
      </c>
      <c r="F134" t="e" cm="1">
        <f t="array" aca="1" ref="F134" ca="1">IF(OR(A134="",B134="safety"),"",IF(ISBLANK(IF(A134=A133+1,F133,INDIRECT("template!"&amp;"D"&amp;A134-1))),"",IF(A134=A133+1,F133,INDIRECT("template!"&amp;"D"&amp;A134-1))))</f>
        <v>#REF!</v>
      </c>
      <c r="G134" t="e" cm="1">
        <f t="array" aca="1" ref="G134" ca="1">IF(OR(A134="",B134="safety"),"",IF(ISBLANK(INDIRECT("template!"&amp;"D"&amp;A134)),"",INDIRECT("template!"&amp;"D"&amp;A134)))</f>
        <v>#REF!</v>
      </c>
      <c r="H134" t="e" cm="1">
        <f t="array" aca="1" ref="H134" ca="1">IF(OR(A134="",B134="safety"),"",IF(ISBLANK(INDIRECT("template!"&amp;"E"&amp;A134)),"",INDIRECT("template!"&amp;"E"&amp;A134)))</f>
        <v>#REF!</v>
      </c>
      <c r="I134" t="e" cm="1">
        <f t="array" aca="1" ref="I134" ca="1">IF(OR(A134="",B134="safety"),"",IF(ISBLANK(INDIRECT("template!"&amp;"F"&amp;A134)),"",INDIRECT("template!"&amp;"F"&amp;A134)))</f>
        <v>#REF!</v>
      </c>
      <c r="J134" t="e" cm="1">
        <f t="array" aca="1" ref="J134" ca="1">IF(OR(A134="",B134="safety"),"",IF(ISBLANK(INDIRECT("template!"&amp;"G"&amp;A134)),"",INDIRECT("template!"&amp;"G"&amp;A134)))</f>
        <v>#REF!</v>
      </c>
      <c r="K134" t="e" cm="1">
        <f t="array" aca="1" ref="K134" ca="1">IF(OR(A134="",B134="safety"),"",IF(ISBLANK(INDIRECT("template!"&amp;"H"&amp;A134)),"",INDIRECT("template!"&amp;"H"&amp;A134)))</f>
        <v>#REF!</v>
      </c>
      <c r="L134" t="e" cm="1">
        <f t="array" aca="1" ref="L134" ca="1">IF(OR(A134="",B134="safety"),"",INDIRECT("template!"&amp;"I"&amp;A134))</f>
        <v>#REF!</v>
      </c>
      <c r="M134" t="e" cm="1">
        <f t="array" aca="1" ref="M134" ca="1">IF(OR(A134="",B134="safety"),"",INDIRECT("template!"&amp;"J"&amp;A134))</f>
        <v>#REF!</v>
      </c>
      <c r="N134" t="e" cm="1">
        <f t="array" aca="1" ref="N134" ca="1">IF(OR(A134="",B134="safety"),"",IF(ISBLANK(INDIRECT("template!"&amp;"K"&amp;A134)),"",INDIRECT("template!"&amp;"K"&amp;A134)))</f>
        <v>#REF!</v>
      </c>
      <c r="O134" t="e" cm="1">
        <f t="array" aca="1" ref="O134" ca="1">IF(OR(A134="",B134="safety"),"",INDIRECT("template!"&amp;"L"&amp;A134))</f>
        <v>#REF!</v>
      </c>
      <c r="P134" t="e" cm="1">
        <f t="array" aca="1" ref="P134" ca="1">IF(OR(A134="",B134="safety"),"",INDIRECT("template!"&amp;"M"&amp;A134))</f>
        <v>#REF!</v>
      </c>
      <c r="Q134" t="e">
        <f t="shared" ca="1" si="11"/>
        <v>#REF!</v>
      </c>
      <c r="R134" t="e">
        <f t="shared" ca="1" si="12"/>
        <v>#REF!</v>
      </c>
      <c r="S134" t="e">
        <f t="shared" ca="1" si="13"/>
        <v>#REF!</v>
      </c>
      <c r="T134" t="e">
        <f t="shared" ca="1" si="14"/>
        <v>#REF!</v>
      </c>
      <c r="U134" t="e" cm="1">
        <f t="array" aca="1" ref="U134" ca="1">IF(A134="","",IF(E134="","",IF(B134="safety",INDIRECT("template!"&amp;"P"&amp;A134),Q134+R134)))</f>
        <v>#REF!</v>
      </c>
      <c r="V134" t="e" cm="1">
        <f t="array" aca="1" ref="V134" ca="1">IF(A134="","",IF(E134="","",IF(B134="safety",INDIRECT("template!"&amp;"P"&amp;A134),S134+T134)))</f>
        <v>#REF!</v>
      </c>
      <c r="W134" t="e">
        <f ca="1">IF(A134="","",IF(E134="","",#REF!))</f>
        <v>#REF!</v>
      </c>
      <c r="X134" t="e">
        <f ca="1">IF(A134="","",IF(E134="","",#REF!))</f>
        <v>#REF!</v>
      </c>
      <c r="Y134" s="39" t="e">
        <f ca="1">IF(A134="","",IF(E134="","",#REF!))</f>
        <v>#REF!</v>
      </c>
      <c r="Z134" t="e">
        <f ca="1">IF(A134="","",IF(E134="","",#REF!))</f>
        <v>#REF!</v>
      </c>
      <c r="AA134" t="e">
        <f ca="1">IF(A134="","",IF(E134="","",#REF!))</f>
        <v>#REF!</v>
      </c>
      <c r="AB134" t="e">
        <f ca="1">IF(A134="","",IF(E134="","",#REF!))</f>
        <v>#REF!</v>
      </c>
      <c r="AC134" t="e">
        <f t="shared" ca="1" si="15"/>
        <v>#REF!</v>
      </c>
    </row>
    <row r="135" spans="1:29" x14ac:dyDescent="0.35">
      <c r="A135" t="e" cm="1">
        <f t="array" aca="1" ref="A135" ca="1">IF(A134="","",IF(OR(AND(A134+1&gt;=$AF$1,A134+1&lt;=$AF$2),AND(A134+1&gt;=$AF$6,A134+1&lt;=$AF$7),AND(A134+1&gt;=$AF$3,A134+1&lt;=$AF$4),AND(A134+1&gt;=$AF$8,A134+1&lt;=$AF$9),A134+1=$AF$5),IF(NOT(ISBLANK(INDIRECT("template!"&amp;"P"&amp;A134+1))),A134+1,IF(NOT(ISBLANK(INDIRECT("template!"&amp;"P"&amp;A134+2))),A134+2,A134+3)),IF(A134=$AF$2,$AF$3,IF(A134=$AF$4,$AF$5,IF(A134=$AF$5,$AF$6,IF(A134=$AF$7,$AF$8,""))))))</f>
        <v>#REF!</v>
      </c>
      <c r="B135" t="e">
        <f t="shared" ca="1" si="0"/>
        <v>#REF!</v>
      </c>
      <c r="C135" t="e" cm="1">
        <f t="array" aca="1" ref="C135" ca="1">IF(A135="","",IF(B135="safety","safety costs",INDIRECT("template!"&amp;"B"&amp;A135)))</f>
        <v>#REF!</v>
      </c>
      <c r="D135" t="e" cm="1">
        <f t="array" aca="1" ref="D135" ca="1">IF(OR(A135="",B135="safety"),"",INDIRECT("template!"&amp;"C"&amp;A135))</f>
        <v>#REF!</v>
      </c>
      <c r="E135" t="e" cm="1">
        <f t="array" aca="1" ref="E135" ca="1">IF(A135="","",IF(OR(A135=A134+1,A135=A134+2),E134,INDIRECT("template!"&amp;"D"&amp;A135-2)))</f>
        <v>#REF!</v>
      </c>
      <c r="F135" t="e" cm="1">
        <f t="array" aca="1" ref="F135" ca="1">IF(OR(A135="",B135="safety"),"",IF(ISBLANK(IF(A135=A134+1,F134,INDIRECT("template!"&amp;"D"&amp;A135-1))),"",IF(A135=A134+1,F134,INDIRECT("template!"&amp;"D"&amp;A135-1))))</f>
        <v>#REF!</v>
      </c>
      <c r="G135" t="e" cm="1">
        <f t="array" aca="1" ref="G135" ca="1">IF(OR(A135="",B135="safety"),"",IF(ISBLANK(INDIRECT("template!"&amp;"D"&amp;A135)),"",INDIRECT("template!"&amp;"D"&amp;A135)))</f>
        <v>#REF!</v>
      </c>
      <c r="H135" t="e" cm="1">
        <f t="array" aca="1" ref="H135" ca="1">IF(OR(A135="",B135="safety"),"",IF(ISBLANK(INDIRECT("template!"&amp;"E"&amp;A135)),"",INDIRECT("template!"&amp;"E"&amp;A135)))</f>
        <v>#REF!</v>
      </c>
      <c r="I135" t="e" cm="1">
        <f t="array" aca="1" ref="I135" ca="1">IF(OR(A135="",B135="safety"),"",IF(ISBLANK(INDIRECT("template!"&amp;"F"&amp;A135)),"",INDIRECT("template!"&amp;"F"&amp;A135)))</f>
        <v>#REF!</v>
      </c>
      <c r="J135" t="e" cm="1">
        <f t="array" aca="1" ref="J135" ca="1">IF(OR(A135="",B135="safety"),"",IF(ISBLANK(INDIRECT("template!"&amp;"G"&amp;A135)),"",INDIRECT("template!"&amp;"G"&amp;A135)))</f>
        <v>#REF!</v>
      </c>
      <c r="K135" t="e" cm="1">
        <f t="array" aca="1" ref="K135" ca="1">IF(OR(A135="",B135="safety"),"",IF(ISBLANK(INDIRECT("template!"&amp;"H"&amp;A135)),"",INDIRECT("template!"&amp;"H"&amp;A135)))</f>
        <v>#REF!</v>
      </c>
      <c r="L135" t="e" cm="1">
        <f t="array" aca="1" ref="L135" ca="1">IF(OR(A135="",B135="safety"),"",INDIRECT("template!"&amp;"I"&amp;A135))</f>
        <v>#REF!</v>
      </c>
      <c r="M135" t="e" cm="1">
        <f t="array" aca="1" ref="M135" ca="1">IF(OR(A135="",B135="safety"),"",INDIRECT("template!"&amp;"J"&amp;A135))</f>
        <v>#REF!</v>
      </c>
      <c r="N135" t="e" cm="1">
        <f t="array" aca="1" ref="N135" ca="1">IF(OR(A135="",B135="safety"),"",IF(ISBLANK(INDIRECT("template!"&amp;"K"&amp;A135)),"",INDIRECT("template!"&amp;"K"&amp;A135)))</f>
        <v>#REF!</v>
      </c>
      <c r="O135" t="e" cm="1">
        <f t="array" aca="1" ref="O135" ca="1">IF(OR(A135="",B135="safety"),"",INDIRECT("template!"&amp;"L"&amp;A135))</f>
        <v>#REF!</v>
      </c>
      <c r="P135" t="e" cm="1">
        <f t="array" aca="1" ref="P135" ca="1">IF(OR(A135="",B135="safety"),"",INDIRECT("template!"&amp;"M"&amp;A135))</f>
        <v>#REF!</v>
      </c>
      <c r="Q135" t="e">
        <f t="shared" ca="1" si="11"/>
        <v>#REF!</v>
      </c>
      <c r="R135" t="e">
        <f t="shared" ca="1" si="12"/>
        <v>#REF!</v>
      </c>
      <c r="S135" t="e">
        <f t="shared" ca="1" si="13"/>
        <v>#REF!</v>
      </c>
      <c r="T135" t="e">
        <f t="shared" ca="1" si="14"/>
        <v>#REF!</v>
      </c>
      <c r="U135" t="e" cm="1">
        <f t="array" aca="1" ref="U135" ca="1">IF(A135="","",IF(E135="","",IF(B135="safety",INDIRECT("template!"&amp;"P"&amp;A135),Q135+R135)))</f>
        <v>#REF!</v>
      </c>
      <c r="V135" t="e" cm="1">
        <f t="array" aca="1" ref="V135" ca="1">IF(A135="","",IF(E135="","",IF(B135="safety",INDIRECT("template!"&amp;"P"&amp;A135),S135+T135)))</f>
        <v>#REF!</v>
      </c>
      <c r="W135" t="e">
        <f ca="1">IF(A135="","",IF(E135="","",#REF!))</f>
        <v>#REF!</v>
      </c>
      <c r="X135" t="e">
        <f ca="1">IF(A135="","",IF(E135="","",#REF!))</f>
        <v>#REF!</v>
      </c>
      <c r="Y135" s="39" t="e">
        <f ca="1">IF(A135="","",IF(E135="","",#REF!))</f>
        <v>#REF!</v>
      </c>
      <c r="Z135" t="e">
        <f ca="1">IF(A135="","",IF(E135="","",#REF!))</f>
        <v>#REF!</v>
      </c>
      <c r="AA135" t="e">
        <f ca="1">IF(A135="","",IF(E135="","",#REF!))</f>
        <v>#REF!</v>
      </c>
      <c r="AB135" t="e">
        <f ca="1">IF(A135="","",IF(E135="","",#REF!))</f>
        <v>#REF!</v>
      </c>
      <c r="AC135" t="e">
        <f t="shared" ca="1" si="15"/>
        <v>#REF!</v>
      </c>
    </row>
    <row r="136" spans="1:29" x14ac:dyDescent="0.35">
      <c r="A136" t="e" cm="1">
        <f t="array" aca="1" ref="A136" ca="1">IF(A135="","",IF(OR(AND(A135+1&gt;=$AF$1,A135+1&lt;=$AF$2),AND(A135+1&gt;=$AF$6,A135+1&lt;=$AF$7),AND(A135+1&gt;=$AF$3,A135+1&lt;=$AF$4),AND(A135+1&gt;=$AF$8,A135+1&lt;=$AF$9),A135+1=$AF$5),IF(NOT(ISBLANK(INDIRECT("template!"&amp;"P"&amp;A135+1))),A135+1,IF(NOT(ISBLANK(INDIRECT("template!"&amp;"P"&amp;A135+2))),A135+2,A135+3)),IF(A135=$AF$2,$AF$3,IF(A135=$AF$4,$AF$5,IF(A135=$AF$5,$AF$6,IF(A135=$AF$7,$AF$8,""))))))</f>
        <v>#REF!</v>
      </c>
      <c r="B136" t="e">
        <f t="shared" ca="1" si="0"/>
        <v>#REF!</v>
      </c>
      <c r="C136" t="e" cm="1">
        <f t="array" aca="1" ref="C136" ca="1">IF(A136="","",IF(B136="safety","safety costs",INDIRECT("template!"&amp;"B"&amp;A136)))</f>
        <v>#REF!</v>
      </c>
      <c r="D136" t="e" cm="1">
        <f t="array" aca="1" ref="D136" ca="1">IF(OR(A136="",B136="safety"),"",INDIRECT("template!"&amp;"C"&amp;A136))</f>
        <v>#REF!</v>
      </c>
      <c r="E136" t="e" cm="1">
        <f t="array" aca="1" ref="E136" ca="1">IF(A136="","",IF(OR(A136=A135+1,A136=A135+2),E135,INDIRECT("template!"&amp;"D"&amp;A136-2)))</f>
        <v>#REF!</v>
      </c>
      <c r="F136" t="e" cm="1">
        <f t="array" aca="1" ref="F136" ca="1">IF(OR(A136="",B136="safety"),"",IF(ISBLANK(IF(A136=A135+1,F135,INDIRECT("template!"&amp;"D"&amp;A136-1))),"",IF(A136=A135+1,F135,INDIRECT("template!"&amp;"D"&amp;A136-1))))</f>
        <v>#REF!</v>
      </c>
      <c r="G136" t="e" cm="1">
        <f t="array" aca="1" ref="G136" ca="1">IF(OR(A136="",B136="safety"),"",IF(ISBLANK(INDIRECT("template!"&amp;"D"&amp;A136)),"",INDIRECT("template!"&amp;"D"&amp;A136)))</f>
        <v>#REF!</v>
      </c>
      <c r="H136" t="e" cm="1">
        <f t="array" aca="1" ref="H136" ca="1">IF(OR(A136="",B136="safety"),"",IF(ISBLANK(INDIRECT("template!"&amp;"E"&amp;A136)),"",INDIRECT("template!"&amp;"E"&amp;A136)))</f>
        <v>#REF!</v>
      </c>
      <c r="I136" t="e" cm="1">
        <f t="array" aca="1" ref="I136" ca="1">IF(OR(A136="",B136="safety"),"",IF(ISBLANK(INDIRECT("template!"&amp;"F"&amp;A136)),"",INDIRECT("template!"&amp;"F"&amp;A136)))</f>
        <v>#REF!</v>
      </c>
      <c r="J136" t="e" cm="1">
        <f t="array" aca="1" ref="J136" ca="1">IF(OR(A136="",B136="safety"),"",IF(ISBLANK(INDIRECT("template!"&amp;"G"&amp;A136)),"",INDIRECT("template!"&amp;"G"&amp;A136)))</f>
        <v>#REF!</v>
      </c>
      <c r="K136" t="e" cm="1">
        <f t="array" aca="1" ref="K136" ca="1">IF(OR(A136="",B136="safety"),"",IF(ISBLANK(INDIRECT("template!"&amp;"H"&amp;A136)),"",INDIRECT("template!"&amp;"H"&amp;A136)))</f>
        <v>#REF!</v>
      </c>
      <c r="L136" t="e" cm="1">
        <f t="array" aca="1" ref="L136" ca="1">IF(OR(A136="",B136="safety"),"",INDIRECT("template!"&amp;"I"&amp;A136))</f>
        <v>#REF!</v>
      </c>
      <c r="M136" t="e" cm="1">
        <f t="array" aca="1" ref="M136" ca="1">IF(OR(A136="",B136="safety"),"",INDIRECT("template!"&amp;"J"&amp;A136))</f>
        <v>#REF!</v>
      </c>
      <c r="N136" t="e" cm="1">
        <f t="array" aca="1" ref="N136" ca="1">IF(OR(A136="",B136="safety"),"",IF(ISBLANK(INDIRECT("template!"&amp;"K"&amp;A136)),"",INDIRECT("template!"&amp;"K"&amp;A136)))</f>
        <v>#REF!</v>
      </c>
      <c r="O136" t="e" cm="1">
        <f t="array" aca="1" ref="O136" ca="1">IF(OR(A136="",B136="safety"),"",INDIRECT("template!"&amp;"L"&amp;A136))</f>
        <v>#REF!</v>
      </c>
      <c r="P136" t="e" cm="1">
        <f t="array" aca="1" ref="P136" ca="1">IF(OR(A136="",B136="safety"),"",INDIRECT("template!"&amp;"M"&amp;A136))</f>
        <v>#REF!</v>
      </c>
      <c r="Q136" t="e">
        <f t="shared" ca="1" si="11"/>
        <v>#REF!</v>
      </c>
      <c r="R136" t="e">
        <f t="shared" ca="1" si="12"/>
        <v>#REF!</v>
      </c>
      <c r="S136" t="e">
        <f t="shared" ca="1" si="13"/>
        <v>#REF!</v>
      </c>
      <c r="T136" t="e">
        <f t="shared" ca="1" si="14"/>
        <v>#REF!</v>
      </c>
      <c r="U136" t="e" cm="1">
        <f t="array" aca="1" ref="U136" ca="1">IF(A136="","",IF(E136="","",IF(B136="safety",INDIRECT("template!"&amp;"P"&amp;A136),Q136+R136)))</f>
        <v>#REF!</v>
      </c>
      <c r="V136" t="e" cm="1">
        <f t="array" aca="1" ref="V136" ca="1">IF(A136="","",IF(E136="","",IF(B136="safety",INDIRECT("template!"&amp;"P"&amp;A136),S136+T136)))</f>
        <v>#REF!</v>
      </c>
      <c r="W136" t="e">
        <f ca="1">IF(A136="","",IF(E136="","",#REF!))</f>
        <v>#REF!</v>
      </c>
      <c r="X136" t="e">
        <f ca="1">IF(A136="","",IF(E136="","",#REF!))</f>
        <v>#REF!</v>
      </c>
      <c r="Y136" s="39" t="e">
        <f ca="1">IF(A136="","",IF(E136="","",#REF!))</f>
        <v>#REF!</v>
      </c>
      <c r="Z136" t="e">
        <f ca="1">IF(A136="","",IF(E136="","",#REF!))</f>
        <v>#REF!</v>
      </c>
      <c r="AA136" t="e">
        <f ca="1">IF(A136="","",IF(E136="","",#REF!))</f>
        <v>#REF!</v>
      </c>
      <c r="AB136" t="e">
        <f ca="1">IF(A136="","",IF(E136="","",#REF!))</f>
        <v>#REF!</v>
      </c>
      <c r="AC136" t="e">
        <f t="shared" ca="1" si="15"/>
        <v>#REF!</v>
      </c>
    </row>
    <row r="137" spans="1:29" x14ac:dyDescent="0.35">
      <c r="A137" t="e" cm="1">
        <f t="array" aca="1" ref="A137" ca="1">IF(A136="","",IF(OR(AND(A136+1&gt;=$AF$1,A136+1&lt;=$AF$2),AND(A136+1&gt;=$AF$6,A136+1&lt;=$AF$7),AND(A136+1&gt;=$AF$3,A136+1&lt;=$AF$4),AND(A136+1&gt;=$AF$8,A136+1&lt;=$AF$9),A136+1=$AF$5),IF(NOT(ISBLANK(INDIRECT("template!"&amp;"P"&amp;A136+1))),A136+1,IF(NOT(ISBLANK(INDIRECT("template!"&amp;"P"&amp;A136+2))),A136+2,A136+3)),IF(A136=$AF$2,$AF$3,IF(A136=$AF$4,$AF$5,IF(A136=$AF$5,$AF$6,IF(A136=$AF$7,$AF$8,""))))))</f>
        <v>#REF!</v>
      </c>
      <c r="B137" t="e">
        <f t="shared" ca="1" si="0"/>
        <v>#REF!</v>
      </c>
      <c r="C137" t="e" cm="1">
        <f t="array" aca="1" ref="C137" ca="1">IF(A137="","",IF(B137="safety","safety costs",INDIRECT("template!"&amp;"B"&amp;A137)))</f>
        <v>#REF!</v>
      </c>
      <c r="D137" t="e" cm="1">
        <f t="array" aca="1" ref="D137" ca="1">IF(OR(A137="",B137="safety"),"",INDIRECT("template!"&amp;"C"&amp;A137))</f>
        <v>#REF!</v>
      </c>
      <c r="E137" t="e" cm="1">
        <f t="array" aca="1" ref="E137" ca="1">IF(A137="","",IF(OR(A137=A136+1,A137=A136+2),E136,INDIRECT("template!"&amp;"D"&amp;A137-2)))</f>
        <v>#REF!</v>
      </c>
      <c r="F137" t="e" cm="1">
        <f t="array" aca="1" ref="F137" ca="1">IF(OR(A137="",B137="safety"),"",IF(ISBLANK(IF(A137=A136+1,F136,INDIRECT("template!"&amp;"D"&amp;A137-1))),"",IF(A137=A136+1,F136,INDIRECT("template!"&amp;"D"&amp;A137-1))))</f>
        <v>#REF!</v>
      </c>
      <c r="G137" t="e" cm="1">
        <f t="array" aca="1" ref="G137" ca="1">IF(OR(A137="",B137="safety"),"",IF(ISBLANK(INDIRECT("template!"&amp;"D"&amp;A137)),"",INDIRECT("template!"&amp;"D"&amp;A137)))</f>
        <v>#REF!</v>
      </c>
      <c r="H137" t="e" cm="1">
        <f t="array" aca="1" ref="H137" ca="1">IF(OR(A137="",B137="safety"),"",IF(ISBLANK(INDIRECT("template!"&amp;"E"&amp;A137)),"",INDIRECT("template!"&amp;"E"&amp;A137)))</f>
        <v>#REF!</v>
      </c>
      <c r="I137" t="e" cm="1">
        <f t="array" aca="1" ref="I137" ca="1">IF(OR(A137="",B137="safety"),"",IF(ISBLANK(INDIRECT("template!"&amp;"F"&amp;A137)),"",INDIRECT("template!"&amp;"F"&amp;A137)))</f>
        <v>#REF!</v>
      </c>
      <c r="J137" t="e" cm="1">
        <f t="array" aca="1" ref="J137" ca="1">IF(OR(A137="",B137="safety"),"",IF(ISBLANK(INDIRECT("template!"&amp;"G"&amp;A137)),"",INDIRECT("template!"&amp;"G"&amp;A137)))</f>
        <v>#REF!</v>
      </c>
      <c r="K137" t="e" cm="1">
        <f t="array" aca="1" ref="K137" ca="1">IF(OR(A137="",B137="safety"),"",IF(ISBLANK(INDIRECT("template!"&amp;"H"&amp;A137)),"",INDIRECT("template!"&amp;"H"&amp;A137)))</f>
        <v>#REF!</v>
      </c>
      <c r="L137" t="e" cm="1">
        <f t="array" aca="1" ref="L137" ca="1">IF(OR(A137="",B137="safety"),"",INDIRECT("template!"&amp;"I"&amp;A137))</f>
        <v>#REF!</v>
      </c>
      <c r="M137" t="e" cm="1">
        <f t="array" aca="1" ref="M137" ca="1">IF(OR(A137="",B137="safety"),"",INDIRECT("template!"&amp;"J"&amp;A137))</f>
        <v>#REF!</v>
      </c>
      <c r="N137" t="e" cm="1">
        <f t="array" aca="1" ref="N137" ca="1">IF(OR(A137="",B137="safety"),"",IF(ISBLANK(INDIRECT("template!"&amp;"K"&amp;A137)),"",INDIRECT("template!"&amp;"K"&amp;A137)))</f>
        <v>#REF!</v>
      </c>
      <c r="O137" t="e" cm="1">
        <f t="array" aca="1" ref="O137" ca="1">IF(OR(A137="",B137="safety"),"",INDIRECT("template!"&amp;"L"&amp;A137))</f>
        <v>#REF!</v>
      </c>
      <c r="P137" t="e" cm="1">
        <f t="array" aca="1" ref="P137" ca="1">IF(OR(A137="",B137="safety"),"",INDIRECT("template!"&amp;"M"&amp;A137))</f>
        <v>#REF!</v>
      </c>
      <c r="Q137" t="e">
        <f t="shared" ca="1" si="11"/>
        <v>#REF!</v>
      </c>
      <c r="R137" t="e">
        <f t="shared" ca="1" si="12"/>
        <v>#REF!</v>
      </c>
      <c r="S137" t="e">
        <f t="shared" ca="1" si="13"/>
        <v>#REF!</v>
      </c>
      <c r="T137" t="e">
        <f t="shared" ca="1" si="14"/>
        <v>#REF!</v>
      </c>
      <c r="U137" t="e" cm="1">
        <f t="array" aca="1" ref="U137" ca="1">IF(A137="","",IF(E137="","",IF(B137="safety",INDIRECT("template!"&amp;"P"&amp;A137),Q137+R137)))</f>
        <v>#REF!</v>
      </c>
      <c r="V137" t="e" cm="1">
        <f t="array" aca="1" ref="V137" ca="1">IF(A137="","",IF(E137="","",IF(B137="safety",INDIRECT("template!"&amp;"P"&amp;A137),S137+T137)))</f>
        <v>#REF!</v>
      </c>
      <c r="W137" t="e">
        <f ca="1">IF(A137="","",IF(E137="","",#REF!))</f>
        <v>#REF!</v>
      </c>
      <c r="X137" t="e">
        <f ca="1">IF(A137="","",IF(E137="","",#REF!))</f>
        <v>#REF!</v>
      </c>
      <c r="Y137" s="39" t="e">
        <f ca="1">IF(A137="","",IF(E137="","",#REF!))</f>
        <v>#REF!</v>
      </c>
      <c r="Z137" t="e">
        <f ca="1">IF(A137="","",IF(E137="","",#REF!))</f>
        <v>#REF!</v>
      </c>
      <c r="AA137" t="e">
        <f ca="1">IF(A137="","",IF(E137="","",#REF!))</f>
        <v>#REF!</v>
      </c>
      <c r="AB137" t="e">
        <f ca="1">IF(A137="","",IF(E137="","",#REF!))</f>
        <v>#REF!</v>
      </c>
      <c r="AC137" t="e">
        <f t="shared" ca="1" si="15"/>
        <v>#REF!</v>
      </c>
    </row>
    <row r="138" spans="1:29" x14ac:dyDescent="0.35">
      <c r="A138" t="e" cm="1">
        <f t="array" aca="1" ref="A138" ca="1">IF(A137="","",IF(OR(AND(A137+1&gt;=$AF$1,A137+1&lt;=$AF$2),AND(A137+1&gt;=$AF$6,A137+1&lt;=$AF$7),AND(A137+1&gt;=$AF$3,A137+1&lt;=$AF$4),AND(A137+1&gt;=$AF$8,A137+1&lt;=$AF$9),A137+1=$AF$5),IF(NOT(ISBLANK(INDIRECT("template!"&amp;"P"&amp;A137+1))),A137+1,IF(NOT(ISBLANK(INDIRECT("template!"&amp;"P"&amp;A137+2))),A137+2,A137+3)),IF(A137=$AF$2,$AF$3,IF(A137=$AF$4,$AF$5,IF(A137=$AF$5,$AF$6,IF(A137=$AF$7,$AF$8,""))))))</f>
        <v>#REF!</v>
      </c>
      <c r="B138" t="e">
        <f t="shared" ca="1" si="0"/>
        <v>#REF!</v>
      </c>
      <c r="C138" t="e" cm="1">
        <f t="array" aca="1" ref="C138" ca="1">IF(A138="","",IF(B138="safety","safety costs",INDIRECT("template!"&amp;"B"&amp;A138)))</f>
        <v>#REF!</v>
      </c>
      <c r="D138" t="e" cm="1">
        <f t="array" aca="1" ref="D138" ca="1">IF(OR(A138="",B138="safety"),"",INDIRECT("template!"&amp;"C"&amp;A138))</f>
        <v>#REF!</v>
      </c>
      <c r="E138" t="e" cm="1">
        <f t="array" aca="1" ref="E138" ca="1">IF(A138="","",IF(OR(A138=A137+1,A138=A137+2),E137,INDIRECT("template!"&amp;"D"&amp;A138-2)))</f>
        <v>#REF!</v>
      </c>
      <c r="F138" t="e" cm="1">
        <f t="array" aca="1" ref="F138" ca="1">IF(OR(A138="",B138="safety"),"",IF(ISBLANK(IF(A138=A137+1,F137,INDIRECT("template!"&amp;"D"&amp;A138-1))),"",IF(A138=A137+1,F137,INDIRECT("template!"&amp;"D"&amp;A138-1))))</f>
        <v>#REF!</v>
      </c>
      <c r="G138" t="e" cm="1">
        <f t="array" aca="1" ref="G138" ca="1">IF(OR(A138="",B138="safety"),"",IF(ISBLANK(INDIRECT("template!"&amp;"D"&amp;A138)),"",INDIRECT("template!"&amp;"D"&amp;A138)))</f>
        <v>#REF!</v>
      </c>
      <c r="H138" t="e" cm="1">
        <f t="array" aca="1" ref="H138" ca="1">IF(OR(A138="",B138="safety"),"",IF(ISBLANK(INDIRECT("template!"&amp;"E"&amp;A138)),"",INDIRECT("template!"&amp;"E"&amp;A138)))</f>
        <v>#REF!</v>
      </c>
      <c r="I138" t="e" cm="1">
        <f t="array" aca="1" ref="I138" ca="1">IF(OR(A138="",B138="safety"),"",IF(ISBLANK(INDIRECT("template!"&amp;"F"&amp;A138)),"",INDIRECT("template!"&amp;"F"&amp;A138)))</f>
        <v>#REF!</v>
      </c>
      <c r="J138" t="e" cm="1">
        <f t="array" aca="1" ref="J138" ca="1">IF(OR(A138="",B138="safety"),"",IF(ISBLANK(INDIRECT("template!"&amp;"G"&amp;A138)),"",INDIRECT("template!"&amp;"G"&amp;A138)))</f>
        <v>#REF!</v>
      </c>
      <c r="K138" t="e" cm="1">
        <f t="array" aca="1" ref="K138" ca="1">IF(OR(A138="",B138="safety"),"",IF(ISBLANK(INDIRECT("template!"&amp;"H"&amp;A138)),"",INDIRECT("template!"&amp;"H"&amp;A138)))</f>
        <v>#REF!</v>
      </c>
      <c r="L138" t="e" cm="1">
        <f t="array" aca="1" ref="L138" ca="1">IF(OR(A138="",B138="safety"),"",INDIRECT("template!"&amp;"I"&amp;A138))</f>
        <v>#REF!</v>
      </c>
      <c r="M138" t="e" cm="1">
        <f t="array" aca="1" ref="M138" ca="1">IF(OR(A138="",B138="safety"),"",INDIRECT("template!"&amp;"J"&amp;A138))</f>
        <v>#REF!</v>
      </c>
      <c r="N138" t="e" cm="1">
        <f t="array" aca="1" ref="N138" ca="1">IF(OR(A138="",B138="safety"),"",IF(ISBLANK(INDIRECT("template!"&amp;"K"&amp;A138)),"",INDIRECT("template!"&amp;"K"&amp;A138)))</f>
        <v>#REF!</v>
      </c>
      <c r="O138" t="e" cm="1">
        <f t="array" aca="1" ref="O138" ca="1">IF(OR(A138="",B138="safety"),"",INDIRECT("template!"&amp;"L"&amp;A138))</f>
        <v>#REF!</v>
      </c>
      <c r="P138" t="e" cm="1">
        <f t="array" aca="1" ref="P138" ca="1">IF(OR(A138="",B138="safety"),"",INDIRECT("template!"&amp;"M"&amp;A138))</f>
        <v>#REF!</v>
      </c>
      <c r="Q138" t="e">
        <f t="shared" ca="1" si="11"/>
        <v>#REF!</v>
      </c>
      <c r="R138" t="e">
        <f t="shared" ca="1" si="12"/>
        <v>#REF!</v>
      </c>
      <c r="S138" t="e">
        <f t="shared" ca="1" si="13"/>
        <v>#REF!</v>
      </c>
      <c r="T138" t="e">
        <f t="shared" ca="1" si="14"/>
        <v>#REF!</v>
      </c>
      <c r="U138" t="e" cm="1">
        <f t="array" aca="1" ref="U138" ca="1">IF(A138="","",IF(E138="","",IF(B138="safety",INDIRECT("template!"&amp;"P"&amp;A138),Q138+R138)))</f>
        <v>#REF!</v>
      </c>
      <c r="V138" t="e" cm="1">
        <f t="array" aca="1" ref="V138" ca="1">IF(A138="","",IF(E138="","",IF(B138="safety",INDIRECT("template!"&amp;"P"&amp;A138),S138+T138)))</f>
        <v>#REF!</v>
      </c>
      <c r="W138" t="e">
        <f ca="1">IF(A138="","",IF(E138="","",#REF!))</f>
        <v>#REF!</v>
      </c>
      <c r="X138" t="e">
        <f ca="1">IF(A138="","",IF(E138="","",#REF!))</f>
        <v>#REF!</v>
      </c>
      <c r="Y138" s="39" t="e">
        <f ca="1">IF(A138="","",IF(E138="","",#REF!))</f>
        <v>#REF!</v>
      </c>
      <c r="Z138" t="e">
        <f ca="1">IF(A138="","",IF(E138="","",#REF!))</f>
        <v>#REF!</v>
      </c>
      <c r="AA138" t="e">
        <f ca="1">IF(A138="","",IF(E138="","",#REF!))</f>
        <v>#REF!</v>
      </c>
      <c r="AB138" t="e">
        <f ca="1">IF(A138="","",IF(E138="","",#REF!))</f>
        <v>#REF!</v>
      </c>
      <c r="AC138" t="e">
        <f t="shared" ca="1" si="15"/>
        <v>#REF!</v>
      </c>
    </row>
    <row r="139" spans="1:29" x14ac:dyDescent="0.35">
      <c r="A139" t="e" cm="1">
        <f t="array" aca="1" ref="A139" ca="1">IF(A138="","",IF(OR(AND(A138+1&gt;=$AF$1,A138+1&lt;=$AF$2),AND(A138+1&gt;=$AF$6,A138+1&lt;=$AF$7),AND(A138+1&gt;=$AF$3,A138+1&lt;=$AF$4),AND(A138+1&gt;=$AF$8,A138+1&lt;=$AF$9),A138+1=$AF$5),IF(NOT(ISBLANK(INDIRECT("template!"&amp;"P"&amp;A138+1))),A138+1,IF(NOT(ISBLANK(INDIRECT("template!"&amp;"P"&amp;A138+2))),A138+2,A138+3)),IF(A138=$AF$2,$AF$3,IF(A138=$AF$4,$AF$5,IF(A138=$AF$5,$AF$6,IF(A138=$AF$7,$AF$8,""))))))</f>
        <v>#REF!</v>
      </c>
      <c r="B139" t="e">
        <f t="shared" ca="1" si="0"/>
        <v>#REF!</v>
      </c>
      <c r="C139" t="e" cm="1">
        <f t="array" aca="1" ref="C139" ca="1">IF(A139="","",IF(B139="safety","safety costs",INDIRECT("template!"&amp;"B"&amp;A139)))</f>
        <v>#REF!</v>
      </c>
      <c r="D139" t="e" cm="1">
        <f t="array" aca="1" ref="D139" ca="1">IF(OR(A139="",B139="safety"),"",INDIRECT("template!"&amp;"C"&amp;A139))</f>
        <v>#REF!</v>
      </c>
      <c r="E139" t="e" cm="1">
        <f t="array" aca="1" ref="E139" ca="1">IF(A139="","",IF(OR(A139=A138+1,A139=A138+2),E138,INDIRECT("template!"&amp;"D"&amp;A139-2)))</f>
        <v>#REF!</v>
      </c>
      <c r="F139" t="e" cm="1">
        <f t="array" aca="1" ref="F139" ca="1">IF(OR(A139="",B139="safety"),"",IF(ISBLANK(IF(A139=A138+1,F138,INDIRECT("template!"&amp;"D"&amp;A139-1))),"",IF(A139=A138+1,F138,INDIRECT("template!"&amp;"D"&amp;A139-1))))</f>
        <v>#REF!</v>
      </c>
      <c r="G139" t="e" cm="1">
        <f t="array" aca="1" ref="G139" ca="1">IF(OR(A139="",B139="safety"),"",IF(ISBLANK(INDIRECT("template!"&amp;"D"&amp;A139)),"",INDIRECT("template!"&amp;"D"&amp;A139)))</f>
        <v>#REF!</v>
      </c>
      <c r="H139" t="e" cm="1">
        <f t="array" aca="1" ref="H139" ca="1">IF(OR(A139="",B139="safety"),"",IF(ISBLANK(INDIRECT("template!"&amp;"E"&amp;A139)),"",INDIRECT("template!"&amp;"E"&amp;A139)))</f>
        <v>#REF!</v>
      </c>
      <c r="I139" t="e" cm="1">
        <f t="array" aca="1" ref="I139" ca="1">IF(OR(A139="",B139="safety"),"",IF(ISBLANK(INDIRECT("template!"&amp;"F"&amp;A139)),"",INDIRECT("template!"&amp;"F"&amp;A139)))</f>
        <v>#REF!</v>
      </c>
      <c r="J139" t="e" cm="1">
        <f t="array" aca="1" ref="J139" ca="1">IF(OR(A139="",B139="safety"),"",IF(ISBLANK(INDIRECT("template!"&amp;"G"&amp;A139)),"",INDIRECT("template!"&amp;"G"&amp;A139)))</f>
        <v>#REF!</v>
      </c>
      <c r="K139" t="e" cm="1">
        <f t="array" aca="1" ref="K139" ca="1">IF(OR(A139="",B139="safety"),"",IF(ISBLANK(INDIRECT("template!"&amp;"H"&amp;A139)),"",INDIRECT("template!"&amp;"H"&amp;A139)))</f>
        <v>#REF!</v>
      </c>
      <c r="L139" t="e" cm="1">
        <f t="array" aca="1" ref="L139" ca="1">IF(OR(A139="",B139="safety"),"",INDIRECT("template!"&amp;"I"&amp;A139))</f>
        <v>#REF!</v>
      </c>
      <c r="M139" t="e" cm="1">
        <f t="array" aca="1" ref="M139" ca="1">IF(OR(A139="",B139="safety"),"",INDIRECT("template!"&amp;"J"&amp;A139))</f>
        <v>#REF!</v>
      </c>
      <c r="N139" t="e" cm="1">
        <f t="array" aca="1" ref="N139" ca="1">IF(OR(A139="",B139="safety"),"",IF(ISBLANK(INDIRECT("template!"&amp;"K"&amp;A139)),"",INDIRECT("template!"&amp;"K"&amp;A139)))</f>
        <v>#REF!</v>
      </c>
      <c r="O139" t="e" cm="1">
        <f t="array" aca="1" ref="O139" ca="1">IF(OR(A139="",B139="safety"),"",INDIRECT("template!"&amp;"L"&amp;A139))</f>
        <v>#REF!</v>
      </c>
      <c r="P139" t="e" cm="1">
        <f t="array" aca="1" ref="P139" ca="1">IF(OR(A139="",B139="safety"),"",INDIRECT("template!"&amp;"M"&amp;A139))</f>
        <v>#REF!</v>
      </c>
      <c r="Q139" t="e">
        <f t="shared" ca="1" si="11"/>
        <v>#REF!</v>
      </c>
      <c r="R139" t="e">
        <f t="shared" ca="1" si="12"/>
        <v>#REF!</v>
      </c>
      <c r="S139" t="e">
        <f t="shared" ca="1" si="13"/>
        <v>#REF!</v>
      </c>
      <c r="T139" t="e">
        <f t="shared" ca="1" si="14"/>
        <v>#REF!</v>
      </c>
      <c r="U139" t="e" cm="1">
        <f t="array" aca="1" ref="U139" ca="1">IF(A139="","",IF(E139="","",IF(B139="safety",INDIRECT("template!"&amp;"P"&amp;A139),Q139+R139)))</f>
        <v>#REF!</v>
      </c>
      <c r="V139" t="e" cm="1">
        <f t="array" aca="1" ref="V139" ca="1">IF(A139="","",IF(E139="","",IF(B139="safety",INDIRECT("template!"&amp;"P"&amp;A139),S139+T139)))</f>
        <v>#REF!</v>
      </c>
      <c r="W139" t="e">
        <f ca="1">IF(A139="","",IF(E139="","",#REF!))</f>
        <v>#REF!</v>
      </c>
      <c r="X139" t="e">
        <f ca="1">IF(A139="","",IF(E139="","",#REF!))</f>
        <v>#REF!</v>
      </c>
      <c r="Y139" s="39" t="e">
        <f ca="1">IF(A139="","",IF(E139="","",#REF!))</f>
        <v>#REF!</v>
      </c>
      <c r="Z139" t="e">
        <f ca="1">IF(A139="","",IF(E139="","",#REF!))</f>
        <v>#REF!</v>
      </c>
      <c r="AA139" t="e">
        <f ca="1">IF(A139="","",IF(E139="","",#REF!))</f>
        <v>#REF!</v>
      </c>
      <c r="AB139" t="e">
        <f ca="1">IF(A139="","",IF(E139="","",#REF!))</f>
        <v>#REF!</v>
      </c>
      <c r="AC139" t="e">
        <f t="shared" ca="1" si="15"/>
        <v>#REF!</v>
      </c>
    </row>
    <row r="140" spans="1:29" x14ac:dyDescent="0.35">
      <c r="A140" t="e" cm="1">
        <f t="array" aca="1" ref="A140" ca="1">IF(A139="","",IF(OR(AND(A139+1&gt;=$AF$1,A139+1&lt;=$AF$2),AND(A139+1&gt;=$AF$6,A139+1&lt;=$AF$7),AND(A139+1&gt;=$AF$3,A139+1&lt;=$AF$4),AND(A139+1&gt;=$AF$8,A139+1&lt;=$AF$9),A139+1=$AF$5),IF(NOT(ISBLANK(INDIRECT("template!"&amp;"P"&amp;A139+1))),A139+1,IF(NOT(ISBLANK(INDIRECT("template!"&amp;"P"&amp;A139+2))),A139+2,A139+3)),IF(A139=$AF$2,$AF$3,IF(A139=$AF$4,$AF$5,IF(A139=$AF$5,$AF$6,IF(A139=$AF$7,$AF$8,""))))))</f>
        <v>#REF!</v>
      </c>
      <c r="B140" t="e">
        <f t="shared" ca="1" si="0"/>
        <v>#REF!</v>
      </c>
      <c r="C140" t="e" cm="1">
        <f t="array" aca="1" ref="C140" ca="1">IF(A140="","",IF(B140="safety","safety costs",INDIRECT("template!"&amp;"B"&amp;A140)))</f>
        <v>#REF!</v>
      </c>
      <c r="D140" t="e" cm="1">
        <f t="array" aca="1" ref="D140" ca="1">IF(OR(A140="",B140="safety"),"",INDIRECT("template!"&amp;"C"&amp;A140))</f>
        <v>#REF!</v>
      </c>
      <c r="E140" t="e" cm="1">
        <f t="array" aca="1" ref="E140" ca="1">IF(A140="","",IF(OR(A140=A139+1,A140=A139+2),E139,INDIRECT("template!"&amp;"D"&amp;A140-2)))</f>
        <v>#REF!</v>
      </c>
      <c r="F140" t="e" cm="1">
        <f t="array" aca="1" ref="F140" ca="1">IF(OR(A140="",B140="safety"),"",IF(ISBLANK(IF(A140=A139+1,F139,INDIRECT("template!"&amp;"D"&amp;A140-1))),"",IF(A140=A139+1,F139,INDIRECT("template!"&amp;"D"&amp;A140-1))))</f>
        <v>#REF!</v>
      </c>
      <c r="G140" t="e" cm="1">
        <f t="array" aca="1" ref="G140" ca="1">IF(OR(A140="",B140="safety"),"",IF(ISBLANK(INDIRECT("template!"&amp;"D"&amp;A140)),"",INDIRECT("template!"&amp;"D"&amp;A140)))</f>
        <v>#REF!</v>
      </c>
      <c r="H140" t="e" cm="1">
        <f t="array" aca="1" ref="H140" ca="1">IF(OR(A140="",B140="safety"),"",IF(ISBLANK(INDIRECT("template!"&amp;"E"&amp;A140)),"",INDIRECT("template!"&amp;"E"&amp;A140)))</f>
        <v>#REF!</v>
      </c>
      <c r="I140" t="e" cm="1">
        <f t="array" aca="1" ref="I140" ca="1">IF(OR(A140="",B140="safety"),"",IF(ISBLANK(INDIRECT("template!"&amp;"F"&amp;A140)),"",INDIRECT("template!"&amp;"F"&amp;A140)))</f>
        <v>#REF!</v>
      </c>
      <c r="J140" t="e" cm="1">
        <f t="array" aca="1" ref="J140" ca="1">IF(OR(A140="",B140="safety"),"",IF(ISBLANK(INDIRECT("template!"&amp;"G"&amp;A140)),"",INDIRECT("template!"&amp;"G"&amp;A140)))</f>
        <v>#REF!</v>
      </c>
      <c r="K140" t="e" cm="1">
        <f t="array" aca="1" ref="K140" ca="1">IF(OR(A140="",B140="safety"),"",IF(ISBLANK(INDIRECT("template!"&amp;"H"&amp;A140)),"",INDIRECT("template!"&amp;"H"&amp;A140)))</f>
        <v>#REF!</v>
      </c>
      <c r="L140" t="e" cm="1">
        <f t="array" aca="1" ref="L140" ca="1">IF(OR(A140="",B140="safety"),"",INDIRECT("template!"&amp;"I"&amp;A140))</f>
        <v>#REF!</v>
      </c>
      <c r="M140" t="e" cm="1">
        <f t="array" aca="1" ref="M140" ca="1">IF(OR(A140="",B140="safety"),"",INDIRECT("template!"&amp;"J"&amp;A140))</f>
        <v>#REF!</v>
      </c>
      <c r="N140" t="e" cm="1">
        <f t="array" aca="1" ref="N140" ca="1">IF(OR(A140="",B140="safety"),"",IF(ISBLANK(INDIRECT("template!"&amp;"K"&amp;A140)),"",INDIRECT("template!"&amp;"K"&amp;A140)))</f>
        <v>#REF!</v>
      </c>
      <c r="O140" t="e" cm="1">
        <f t="array" aca="1" ref="O140" ca="1">IF(OR(A140="",B140="safety"),"",INDIRECT("template!"&amp;"L"&amp;A140))</f>
        <v>#REF!</v>
      </c>
      <c r="P140" t="e" cm="1">
        <f t="array" aca="1" ref="P140" ca="1">IF(OR(A140="",B140="safety"),"",INDIRECT("template!"&amp;"M"&amp;A140))</f>
        <v>#REF!</v>
      </c>
      <c r="Q140" t="e">
        <f t="shared" ca="1" si="11"/>
        <v>#REF!</v>
      </c>
      <c r="R140" t="e">
        <f t="shared" ca="1" si="12"/>
        <v>#REF!</v>
      </c>
      <c r="S140" t="e">
        <f t="shared" ca="1" si="13"/>
        <v>#REF!</v>
      </c>
      <c r="T140" t="e">
        <f t="shared" ca="1" si="14"/>
        <v>#REF!</v>
      </c>
      <c r="U140" t="e" cm="1">
        <f t="array" aca="1" ref="U140" ca="1">IF(A140="","",IF(E140="","",IF(B140="safety",INDIRECT("template!"&amp;"P"&amp;A140),Q140+R140)))</f>
        <v>#REF!</v>
      </c>
      <c r="V140" t="e" cm="1">
        <f t="array" aca="1" ref="V140" ca="1">IF(A140="","",IF(E140="","",IF(B140="safety",INDIRECT("template!"&amp;"P"&amp;A140),S140+T140)))</f>
        <v>#REF!</v>
      </c>
      <c r="W140" t="e">
        <f ca="1">IF(A140="","",IF(E140="","",#REF!))</f>
        <v>#REF!</v>
      </c>
      <c r="X140" t="e">
        <f ca="1">IF(A140="","",IF(E140="","",#REF!))</f>
        <v>#REF!</v>
      </c>
      <c r="Y140" s="39" t="e">
        <f ca="1">IF(A140="","",IF(E140="","",#REF!))</f>
        <v>#REF!</v>
      </c>
      <c r="Z140" t="e">
        <f ca="1">IF(A140="","",IF(E140="","",#REF!))</f>
        <v>#REF!</v>
      </c>
      <c r="AA140" t="e">
        <f ca="1">IF(A140="","",IF(E140="","",#REF!))</f>
        <v>#REF!</v>
      </c>
      <c r="AB140" t="e">
        <f ca="1">IF(A140="","",IF(E140="","",#REF!))</f>
        <v>#REF!</v>
      </c>
      <c r="AC140" t="e">
        <f t="shared" ca="1" si="15"/>
        <v>#REF!</v>
      </c>
    </row>
    <row r="141" spans="1:29" x14ac:dyDescent="0.35">
      <c r="A141" t="e" cm="1">
        <f t="array" aca="1" ref="A141" ca="1">IF(A140="","",IF(OR(AND(A140+1&gt;=$AF$1,A140+1&lt;=$AF$2),AND(A140+1&gt;=$AF$6,A140+1&lt;=$AF$7),AND(A140+1&gt;=$AF$3,A140+1&lt;=$AF$4),AND(A140+1&gt;=$AF$8,A140+1&lt;=$AF$9),A140+1=$AF$5),IF(NOT(ISBLANK(INDIRECT("template!"&amp;"P"&amp;A140+1))),A140+1,IF(NOT(ISBLANK(INDIRECT("template!"&amp;"P"&amp;A140+2))),A140+2,A140+3)),IF(A140=$AF$2,$AF$3,IF(A140=$AF$4,$AF$5,IF(A140=$AF$5,$AF$6,IF(A140=$AF$7,$AF$8,""))))))</f>
        <v>#REF!</v>
      </c>
      <c r="B141" t="e">
        <f t="shared" ca="1" si="0"/>
        <v>#REF!</v>
      </c>
      <c r="C141" t="e" cm="1">
        <f t="array" aca="1" ref="C141" ca="1">IF(A141="","",IF(B141="safety","safety costs",INDIRECT("template!"&amp;"B"&amp;A141)))</f>
        <v>#REF!</v>
      </c>
      <c r="D141" t="e" cm="1">
        <f t="array" aca="1" ref="D141" ca="1">IF(OR(A141="",B141="safety"),"",INDIRECT("template!"&amp;"C"&amp;A141))</f>
        <v>#REF!</v>
      </c>
      <c r="E141" t="e" cm="1">
        <f t="array" aca="1" ref="E141" ca="1">IF(A141="","",IF(OR(A141=A140+1,A141=A140+2),E140,INDIRECT("template!"&amp;"D"&amp;A141-2)))</f>
        <v>#REF!</v>
      </c>
      <c r="F141" t="e" cm="1">
        <f t="array" aca="1" ref="F141" ca="1">IF(OR(A141="",B141="safety"),"",IF(ISBLANK(IF(A141=A140+1,F140,INDIRECT("template!"&amp;"D"&amp;A141-1))),"",IF(A141=A140+1,F140,INDIRECT("template!"&amp;"D"&amp;A141-1))))</f>
        <v>#REF!</v>
      </c>
      <c r="G141" t="e" cm="1">
        <f t="array" aca="1" ref="G141" ca="1">IF(OR(A141="",B141="safety"),"",IF(ISBLANK(INDIRECT("template!"&amp;"D"&amp;A141)),"",INDIRECT("template!"&amp;"D"&amp;A141)))</f>
        <v>#REF!</v>
      </c>
      <c r="H141" t="e" cm="1">
        <f t="array" aca="1" ref="H141" ca="1">IF(OR(A141="",B141="safety"),"",IF(ISBLANK(INDIRECT("template!"&amp;"E"&amp;A141)),"",INDIRECT("template!"&amp;"E"&amp;A141)))</f>
        <v>#REF!</v>
      </c>
      <c r="I141" t="e" cm="1">
        <f t="array" aca="1" ref="I141" ca="1">IF(OR(A141="",B141="safety"),"",IF(ISBLANK(INDIRECT("template!"&amp;"F"&amp;A141)),"",INDIRECT("template!"&amp;"F"&amp;A141)))</f>
        <v>#REF!</v>
      </c>
      <c r="J141" t="e" cm="1">
        <f t="array" aca="1" ref="J141" ca="1">IF(OR(A141="",B141="safety"),"",IF(ISBLANK(INDIRECT("template!"&amp;"G"&amp;A141)),"",INDIRECT("template!"&amp;"G"&amp;A141)))</f>
        <v>#REF!</v>
      </c>
      <c r="K141" t="e" cm="1">
        <f t="array" aca="1" ref="K141" ca="1">IF(OR(A141="",B141="safety"),"",IF(ISBLANK(INDIRECT("template!"&amp;"H"&amp;A141)),"",INDIRECT("template!"&amp;"H"&amp;A141)))</f>
        <v>#REF!</v>
      </c>
      <c r="L141" t="e" cm="1">
        <f t="array" aca="1" ref="L141" ca="1">IF(OR(A141="",B141="safety"),"",INDIRECT("template!"&amp;"I"&amp;A141))</f>
        <v>#REF!</v>
      </c>
      <c r="M141" t="e" cm="1">
        <f t="array" aca="1" ref="M141" ca="1">IF(OR(A141="",B141="safety"),"",INDIRECT("template!"&amp;"J"&amp;A141))</f>
        <v>#REF!</v>
      </c>
      <c r="N141" t="e" cm="1">
        <f t="array" aca="1" ref="N141" ca="1">IF(OR(A141="",B141="safety"),"",IF(ISBLANK(INDIRECT("template!"&amp;"K"&amp;A141)),"",INDIRECT("template!"&amp;"K"&amp;A141)))</f>
        <v>#REF!</v>
      </c>
      <c r="O141" t="e" cm="1">
        <f t="array" aca="1" ref="O141" ca="1">IF(OR(A141="",B141="safety"),"",INDIRECT("template!"&amp;"L"&amp;A141))</f>
        <v>#REF!</v>
      </c>
      <c r="P141" t="e" cm="1">
        <f t="array" aca="1" ref="P141" ca="1">IF(OR(A141="",B141="safety"),"",INDIRECT("template!"&amp;"M"&amp;A141))</f>
        <v>#REF!</v>
      </c>
      <c r="Q141" t="e">
        <f t="shared" ca="1" si="11"/>
        <v>#REF!</v>
      </c>
      <c r="R141" t="e">
        <f t="shared" ca="1" si="12"/>
        <v>#REF!</v>
      </c>
      <c r="S141" t="e">
        <f t="shared" ca="1" si="13"/>
        <v>#REF!</v>
      </c>
      <c r="T141" t="e">
        <f t="shared" ca="1" si="14"/>
        <v>#REF!</v>
      </c>
      <c r="U141" t="e" cm="1">
        <f t="array" aca="1" ref="U141" ca="1">IF(A141="","",IF(E141="","",IF(B141="safety",INDIRECT("template!"&amp;"P"&amp;A141),Q141+R141)))</f>
        <v>#REF!</v>
      </c>
      <c r="V141" t="e" cm="1">
        <f t="array" aca="1" ref="V141" ca="1">IF(A141="","",IF(E141="","",IF(B141="safety",INDIRECT("template!"&amp;"P"&amp;A141),S141+T141)))</f>
        <v>#REF!</v>
      </c>
      <c r="W141" t="e">
        <f ca="1">IF(A141="","",IF(E141="","",#REF!))</f>
        <v>#REF!</v>
      </c>
      <c r="X141" t="e">
        <f ca="1">IF(A141="","",IF(E141="","",#REF!))</f>
        <v>#REF!</v>
      </c>
      <c r="Y141" s="39" t="e">
        <f ca="1">IF(A141="","",IF(E141="","",#REF!))</f>
        <v>#REF!</v>
      </c>
      <c r="Z141" t="e">
        <f ca="1">IF(A141="","",IF(E141="","",#REF!))</f>
        <v>#REF!</v>
      </c>
      <c r="AA141" t="e">
        <f ca="1">IF(A141="","",IF(E141="","",#REF!))</f>
        <v>#REF!</v>
      </c>
      <c r="AB141" t="e">
        <f ca="1">IF(A141="","",IF(E141="","",#REF!))</f>
        <v>#REF!</v>
      </c>
      <c r="AC141" t="e">
        <f t="shared" ca="1" si="15"/>
        <v>#REF!</v>
      </c>
    </row>
    <row r="142" spans="1:29" x14ac:dyDescent="0.35">
      <c r="A142" t="e" cm="1">
        <f t="array" aca="1" ref="A142" ca="1">IF(A141="","",IF(OR(AND(A141+1&gt;=$AF$1,A141+1&lt;=$AF$2),AND(A141+1&gt;=$AF$6,A141+1&lt;=$AF$7),AND(A141+1&gt;=$AF$3,A141+1&lt;=$AF$4),AND(A141+1&gt;=$AF$8,A141+1&lt;=$AF$9),A141+1=$AF$5),IF(NOT(ISBLANK(INDIRECT("template!"&amp;"P"&amp;A141+1))),A141+1,IF(NOT(ISBLANK(INDIRECT("template!"&amp;"P"&amp;A141+2))),A141+2,A141+3)),IF(A141=$AF$2,$AF$3,IF(A141=$AF$4,$AF$5,IF(A141=$AF$5,$AF$6,IF(A141=$AF$7,$AF$8,""))))))</f>
        <v>#REF!</v>
      </c>
      <c r="B142" t="e">
        <f t="shared" ca="1" si="0"/>
        <v>#REF!</v>
      </c>
      <c r="C142" t="e" cm="1">
        <f t="array" aca="1" ref="C142" ca="1">IF(A142="","",IF(B142="safety","safety costs",INDIRECT("template!"&amp;"B"&amp;A142)))</f>
        <v>#REF!</v>
      </c>
      <c r="D142" t="e" cm="1">
        <f t="array" aca="1" ref="D142" ca="1">IF(OR(A142="",B142="safety"),"",INDIRECT("template!"&amp;"C"&amp;A142))</f>
        <v>#REF!</v>
      </c>
      <c r="E142" t="e" cm="1">
        <f t="array" aca="1" ref="E142" ca="1">IF(A142="","",IF(OR(A142=A141+1,A142=A141+2),E141,INDIRECT("template!"&amp;"D"&amp;A142-2)))</f>
        <v>#REF!</v>
      </c>
      <c r="F142" t="e" cm="1">
        <f t="array" aca="1" ref="F142" ca="1">IF(OR(A142="",B142="safety"),"",IF(ISBLANK(IF(A142=A141+1,F141,INDIRECT("template!"&amp;"D"&amp;A142-1))),"",IF(A142=A141+1,F141,INDIRECT("template!"&amp;"D"&amp;A142-1))))</f>
        <v>#REF!</v>
      </c>
      <c r="G142" t="e" cm="1">
        <f t="array" aca="1" ref="G142" ca="1">IF(OR(A142="",B142="safety"),"",IF(ISBLANK(INDIRECT("template!"&amp;"D"&amp;A142)),"",INDIRECT("template!"&amp;"D"&amp;A142)))</f>
        <v>#REF!</v>
      </c>
      <c r="H142" t="e" cm="1">
        <f t="array" aca="1" ref="H142" ca="1">IF(OR(A142="",B142="safety"),"",IF(ISBLANK(INDIRECT("template!"&amp;"E"&amp;A142)),"",INDIRECT("template!"&amp;"E"&amp;A142)))</f>
        <v>#REF!</v>
      </c>
      <c r="I142" t="e" cm="1">
        <f t="array" aca="1" ref="I142" ca="1">IF(OR(A142="",B142="safety"),"",IF(ISBLANK(INDIRECT("template!"&amp;"F"&amp;A142)),"",INDIRECT("template!"&amp;"F"&amp;A142)))</f>
        <v>#REF!</v>
      </c>
      <c r="J142" t="e" cm="1">
        <f t="array" aca="1" ref="J142" ca="1">IF(OR(A142="",B142="safety"),"",IF(ISBLANK(INDIRECT("template!"&amp;"G"&amp;A142)),"",INDIRECT("template!"&amp;"G"&amp;A142)))</f>
        <v>#REF!</v>
      </c>
      <c r="K142" t="e" cm="1">
        <f t="array" aca="1" ref="K142" ca="1">IF(OR(A142="",B142="safety"),"",IF(ISBLANK(INDIRECT("template!"&amp;"H"&amp;A142)),"",INDIRECT("template!"&amp;"H"&amp;A142)))</f>
        <v>#REF!</v>
      </c>
      <c r="L142" t="e" cm="1">
        <f t="array" aca="1" ref="L142" ca="1">IF(OR(A142="",B142="safety"),"",INDIRECT("template!"&amp;"I"&amp;A142))</f>
        <v>#REF!</v>
      </c>
      <c r="M142" t="e" cm="1">
        <f t="array" aca="1" ref="M142" ca="1">IF(OR(A142="",B142="safety"),"",INDIRECT("template!"&amp;"J"&amp;A142))</f>
        <v>#REF!</v>
      </c>
      <c r="N142" t="e" cm="1">
        <f t="array" aca="1" ref="N142" ca="1">IF(OR(A142="",B142="safety"),"",IF(ISBLANK(INDIRECT("template!"&amp;"K"&amp;A142)),"",INDIRECT("template!"&amp;"K"&amp;A142)))</f>
        <v>#REF!</v>
      </c>
      <c r="O142" t="e" cm="1">
        <f t="array" aca="1" ref="O142" ca="1">IF(OR(A142="",B142="safety"),"",INDIRECT("template!"&amp;"L"&amp;A142))</f>
        <v>#REF!</v>
      </c>
      <c r="P142" t="e" cm="1">
        <f t="array" aca="1" ref="P142" ca="1">IF(OR(A142="",B142="safety"),"",INDIRECT("template!"&amp;"M"&amp;A142))</f>
        <v>#REF!</v>
      </c>
      <c r="Q142" t="e">
        <f t="shared" ca="1" si="11"/>
        <v>#REF!</v>
      </c>
      <c r="R142" t="e">
        <f t="shared" ca="1" si="12"/>
        <v>#REF!</v>
      </c>
      <c r="S142" t="e">
        <f t="shared" ca="1" si="13"/>
        <v>#REF!</v>
      </c>
      <c r="T142" t="e">
        <f t="shared" ca="1" si="14"/>
        <v>#REF!</v>
      </c>
      <c r="U142" t="e" cm="1">
        <f t="array" aca="1" ref="U142" ca="1">IF(A142="","",IF(E142="","",IF(B142="safety",INDIRECT("template!"&amp;"P"&amp;A142),Q142+R142)))</f>
        <v>#REF!</v>
      </c>
      <c r="V142" t="e" cm="1">
        <f t="array" aca="1" ref="V142" ca="1">IF(A142="","",IF(E142="","",IF(B142="safety",INDIRECT("template!"&amp;"P"&amp;A142),S142+T142)))</f>
        <v>#REF!</v>
      </c>
      <c r="W142" t="e">
        <f ca="1">IF(A142="","",IF(E142="","",#REF!))</f>
        <v>#REF!</v>
      </c>
      <c r="X142" t="e">
        <f ca="1">IF(A142="","",IF(E142="","",#REF!))</f>
        <v>#REF!</v>
      </c>
      <c r="Y142" s="39" t="e">
        <f ca="1">IF(A142="","",IF(E142="","",#REF!))</f>
        <v>#REF!</v>
      </c>
      <c r="Z142" t="e">
        <f ca="1">IF(A142="","",IF(E142="","",#REF!))</f>
        <v>#REF!</v>
      </c>
      <c r="AA142" t="e">
        <f ca="1">IF(A142="","",IF(E142="","",#REF!))</f>
        <v>#REF!</v>
      </c>
      <c r="AB142" t="e">
        <f ca="1">IF(A142="","",IF(E142="","",#REF!))</f>
        <v>#REF!</v>
      </c>
      <c r="AC142" t="e">
        <f t="shared" ca="1" si="15"/>
        <v>#REF!</v>
      </c>
    </row>
    <row r="143" spans="1:29" x14ac:dyDescent="0.35">
      <c r="A143" t="e" cm="1">
        <f t="array" aca="1" ref="A143" ca="1">IF(A142="","",IF(OR(AND(A142+1&gt;=$AF$1,A142+1&lt;=$AF$2),AND(A142+1&gt;=$AF$6,A142+1&lt;=$AF$7),AND(A142+1&gt;=$AF$3,A142+1&lt;=$AF$4),AND(A142+1&gt;=$AF$8,A142+1&lt;=$AF$9),A142+1=$AF$5),IF(NOT(ISBLANK(INDIRECT("template!"&amp;"P"&amp;A142+1))),A142+1,IF(NOT(ISBLANK(INDIRECT("template!"&amp;"P"&amp;A142+2))),A142+2,A142+3)),IF(A142=$AF$2,$AF$3,IF(A142=$AF$4,$AF$5,IF(A142=$AF$5,$AF$6,IF(A142=$AF$7,$AF$8,""))))))</f>
        <v>#REF!</v>
      </c>
      <c r="B143" t="e">
        <f t="shared" ca="1" si="0"/>
        <v>#REF!</v>
      </c>
      <c r="C143" t="e" cm="1">
        <f t="array" aca="1" ref="C143" ca="1">IF(A143="","",IF(B143="safety","safety costs",INDIRECT("template!"&amp;"B"&amp;A143)))</f>
        <v>#REF!</v>
      </c>
      <c r="D143" t="e" cm="1">
        <f t="array" aca="1" ref="D143" ca="1">IF(OR(A143="",B143="safety"),"",INDIRECT("template!"&amp;"C"&amp;A143))</f>
        <v>#REF!</v>
      </c>
      <c r="E143" t="e" cm="1">
        <f t="array" aca="1" ref="E143" ca="1">IF(A143="","",IF(OR(A143=A142+1,A143=A142+2),E142,INDIRECT("template!"&amp;"D"&amp;A143-2)))</f>
        <v>#REF!</v>
      </c>
      <c r="F143" t="e" cm="1">
        <f t="array" aca="1" ref="F143" ca="1">IF(OR(A143="",B143="safety"),"",IF(ISBLANK(IF(A143=A142+1,F142,INDIRECT("template!"&amp;"D"&amp;A143-1))),"",IF(A143=A142+1,F142,INDIRECT("template!"&amp;"D"&amp;A143-1))))</f>
        <v>#REF!</v>
      </c>
      <c r="G143" t="e" cm="1">
        <f t="array" aca="1" ref="G143" ca="1">IF(OR(A143="",B143="safety"),"",IF(ISBLANK(INDIRECT("template!"&amp;"D"&amp;A143)),"",INDIRECT("template!"&amp;"D"&amp;A143)))</f>
        <v>#REF!</v>
      </c>
      <c r="H143" t="e" cm="1">
        <f t="array" aca="1" ref="H143" ca="1">IF(OR(A143="",B143="safety"),"",IF(ISBLANK(INDIRECT("template!"&amp;"E"&amp;A143)),"",INDIRECT("template!"&amp;"E"&amp;A143)))</f>
        <v>#REF!</v>
      </c>
      <c r="I143" t="e" cm="1">
        <f t="array" aca="1" ref="I143" ca="1">IF(OR(A143="",B143="safety"),"",IF(ISBLANK(INDIRECT("template!"&amp;"F"&amp;A143)),"",INDIRECT("template!"&amp;"F"&amp;A143)))</f>
        <v>#REF!</v>
      </c>
      <c r="J143" t="e" cm="1">
        <f t="array" aca="1" ref="J143" ca="1">IF(OR(A143="",B143="safety"),"",IF(ISBLANK(INDIRECT("template!"&amp;"G"&amp;A143)),"",INDIRECT("template!"&amp;"G"&amp;A143)))</f>
        <v>#REF!</v>
      </c>
      <c r="K143" t="e" cm="1">
        <f t="array" aca="1" ref="K143" ca="1">IF(OR(A143="",B143="safety"),"",IF(ISBLANK(INDIRECT("template!"&amp;"H"&amp;A143)),"",INDIRECT("template!"&amp;"H"&amp;A143)))</f>
        <v>#REF!</v>
      </c>
      <c r="L143" t="e" cm="1">
        <f t="array" aca="1" ref="L143" ca="1">IF(OR(A143="",B143="safety"),"",INDIRECT("template!"&amp;"I"&amp;A143))</f>
        <v>#REF!</v>
      </c>
      <c r="M143" t="e" cm="1">
        <f t="array" aca="1" ref="M143" ca="1">IF(OR(A143="",B143="safety"),"",INDIRECT("template!"&amp;"J"&amp;A143))</f>
        <v>#REF!</v>
      </c>
      <c r="N143" t="e" cm="1">
        <f t="array" aca="1" ref="N143" ca="1">IF(OR(A143="",B143="safety"),"",IF(ISBLANK(INDIRECT("template!"&amp;"K"&amp;A143)),"",INDIRECT("template!"&amp;"K"&amp;A143)))</f>
        <v>#REF!</v>
      </c>
      <c r="O143" t="e" cm="1">
        <f t="array" aca="1" ref="O143" ca="1">IF(OR(A143="",B143="safety"),"",INDIRECT("template!"&amp;"L"&amp;A143))</f>
        <v>#REF!</v>
      </c>
      <c r="P143" t="e" cm="1">
        <f t="array" aca="1" ref="P143" ca="1">IF(OR(A143="",B143="safety"),"",INDIRECT("template!"&amp;"M"&amp;A143))</f>
        <v>#REF!</v>
      </c>
      <c r="Q143" t="e">
        <f t="shared" ca="1" si="11"/>
        <v>#REF!</v>
      </c>
      <c r="R143" t="e">
        <f t="shared" ca="1" si="12"/>
        <v>#REF!</v>
      </c>
      <c r="S143" t="e">
        <f t="shared" ca="1" si="13"/>
        <v>#REF!</v>
      </c>
      <c r="T143" t="e">
        <f t="shared" ca="1" si="14"/>
        <v>#REF!</v>
      </c>
      <c r="U143" t="e" cm="1">
        <f t="array" aca="1" ref="U143" ca="1">IF(A143="","",IF(E143="","",IF(B143="safety",INDIRECT("template!"&amp;"P"&amp;A143),Q143+R143)))</f>
        <v>#REF!</v>
      </c>
      <c r="V143" t="e" cm="1">
        <f t="array" aca="1" ref="V143" ca="1">IF(A143="","",IF(E143="","",IF(B143="safety",INDIRECT("template!"&amp;"P"&amp;A143),S143+T143)))</f>
        <v>#REF!</v>
      </c>
      <c r="W143" t="e">
        <f ca="1">IF(A143="","",IF(E143="","",#REF!))</f>
        <v>#REF!</v>
      </c>
      <c r="X143" t="e">
        <f ca="1">IF(A143="","",IF(E143="","",#REF!))</f>
        <v>#REF!</v>
      </c>
      <c r="Y143" s="39" t="e">
        <f ca="1">IF(A143="","",IF(E143="","",#REF!))</f>
        <v>#REF!</v>
      </c>
      <c r="Z143" t="e">
        <f ca="1">IF(A143="","",IF(E143="","",#REF!))</f>
        <v>#REF!</v>
      </c>
      <c r="AA143" t="e">
        <f ca="1">IF(A143="","",IF(E143="","",#REF!))</f>
        <v>#REF!</v>
      </c>
      <c r="AB143" t="e">
        <f ca="1">IF(A143="","",IF(E143="","",#REF!))</f>
        <v>#REF!</v>
      </c>
      <c r="AC143" t="e">
        <f t="shared" ca="1" si="15"/>
        <v>#REF!</v>
      </c>
    </row>
    <row r="144" spans="1:29" x14ac:dyDescent="0.35">
      <c r="A144" t="e" cm="1">
        <f t="array" aca="1" ref="A144" ca="1">IF(A143="","",IF(OR(AND(A143+1&gt;=$AF$1,A143+1&lt;=$AF$2),AND(A143+1&gt;=$AF$6,A143+1&lt;=$AF$7),AND(A143+1&gt;=$AF$3,A143+1&lt;=$AF$4),AND(A143+1&gt;=$AF$8,A143+1&lt;=$AF$9),A143+1=$AF$5),IF(NOT(ISBLANK(INDIRECT("template!"&amp;"P"&amp;A143+1))),A143+1,IF(NOT(ISBLANK(INDIRECT("template!"&amp;"P"&amp;A143+2))),A143+2,A143+3)),IF(A143=$AF$2,$AF$3,IF(A143=$AF$4,$AF$5,IF(A143=$AF$5,$AF$6,IF(A143=$AF$7,$AF$8,""))))))</f>
        <v>#REF!</v>
      </c>
      <c r="B144" t="e">
        <f t="shared" ca="1" si="0"/>
        <v>#REF!</v>
      </c>
      <c r="C144" t="e" cm="1">
        <f t="array" aca="1" ref="C144" ca="1">IF(A144="","",IF(B144="safety","safety costs",INDIRECT("template!"&amp;"B"&amp;A144)))</f>
        <v>#REF!</v>
      </c>
      <c r="D144" t="e" cm="1">
        <f t="array" aca="1" ref="D144" ca="1">IF(OR(A144="",B144="safety"),"",INDIRECT("template!"&amp;"C"&amp;A144))</f>
        <v>#REF!</v>
      </c>
      <c r="E144" t="e" cm="1">
        <f t="array" aca="1" ref="E144" ca="1">IF(A144="","",IF(OR(A144=A143+1,A144=A143+2),E143,INDIRECT("template!"&amp;"D"&amp;A144-2)))</f>
        <v>#REF!</v>
      </c>
      <c r="F144" t="e" cm="1">
        <f t="array" aca="1" ref="F144" ca="1">IF(OR(A144="",B144="safety"),"",IF(ISBLANK(IF(A144=A143+1,F143,INDIRECT("template!"&amp;"D"&amp;A144-1))),"",IF(A144=A143+1,F143,INDIRECT("template!"&amp;"D"&amp;A144-1))))</f>
        <v>#REF!</v>
      </c>
      <c r="G144" t="e" cm="1">
        <f t="array" aca="1" ref="G144" ca="1">IF(OR(A144="",B144="safety"),"",IF(ISBLANK(INDIRECT("template!"&amp;"D"&amp;A144)),"",INDIRECT("template!"&amp;"D"&amp;A144)))</f>
        <v>#REF!</v>
      </c>
      <c r="H144" t="e" cm="1">
        <f t="array" aca="1" ref="H144" ca="1">IF(OR(A144="",B144="safety"),"",IF(ISBLANK(INDIRECT("template!"&amp;"E"&amp;A144)),"",INDIRECT("template!"&amp;"E"&amp;A144)))</f>
        <v>#REF!</v>
      </c>
      <c r="I144" t="e" cm="1">
        <f t="array" aca="1" ref="I144" ca="1">IF(OR(A144="",B144="safety"),"",IF(ISBLANK(INDIRECT("template!"&amp;"F"&amp;A144)),"",INDIRECT("template!"&amp;"F"&amp;A144)))</f>
        <v>#REF!</v>
      </c>
      <c r="J144" t="e" cm="1">
        <f t="array" aca="1" ref="J144" ca="1">IF(OR(A144="",B144="safety"),"",IF(ISBLANK(INDIRECT("template!"&amp;"G"&amp;A144)),"",INDIRECT("template!"&amp;"G"&amp;A144)))</f>
        <v>#REF!</v>
      </c>
      <c r="K144" t="e" cm="1">
        <f t="array" aca="1" ref="K144" ca="1">IF(OR(A144="",B144="safety"),"",IF(ISBLANK(INDIRECT("template!"&amp;"H"&amp;A144)),"",INDIRECT("template!"&amp;"H"&amp;A144)))</f>
        <v>#REF!</v>
      </c>
      <c r="L144" t="e" cm="1">
        <f t="array" aca="1" ref="L144" ca="1">IF(OR(A144="",B144="safety"),"",INDIRECT("template!"&amp;"I"&amp;A144))</f>
        <v>#REF!</v>
      </c>
      <c r="M144" t="e" cm="1">
        <f t="array" aca="1" ref="M144" ca="1">IF(OR(A144="",B144="safety"),"",INDIRECT("template!"&amp;"J"&amp;A144))</f>
        <v>#REF!</v>
      </c>
      <c r="N144" t="e" cm="1">
        <f t="array" aca="1" ref="N144" ca="1">IF(OR(A144="",B144="safety"),"",IF(ISBLANK(INDIRECT("template!"&amp;"K"&amp;A144)),"",INDIRECT("template!"&amp;"K"&amp;A144)))</f>
        <v>#REF!</v>
      </c>
      <c r="O144" t="e" cm="1">
        <f t="array" aca="1" ref="O144" ca="1">IF(OR(A144="",B144="safety"),"",INDIRECT("template!"&amp;"L"&amp;A144))</f>
        <v>#REF!</v>
      </c>
      <c r="P144" t="e" cm="1">
        <f t="array" aca="1" ref="P144" ca="1">IF(OR(A144="",B144="safety"),"",INDIRECT("template!"&amp;"M"&amp;A144))</f>
        <v>#REF!</v>
      </c>
      <c r="Q144" t="e">
        <f t="shared" ca="1" si="11"/>
        <v>#REF!</v>
      </c>
      <c r="R144" t="e">
        <f t="shared" ca="1" si="12"/>
        <v>#REF!</v>
      </c>
      <c r="S144" t="e">
        <f t="shared" ca="1" si="13"/>
        <v>#REF!</v>
      </c>
      <c r="T144" t="e">
        <f t="shared" ca="1" si="14"/>
        <v>#REF!</v>
      </c>
      <c r="U144" t="e" cm="1">
        <f t="array" aca="1" ref="U144" ca="1">IF(A144="","",IF(E144="","",IF(B144="safety",INDIRECT("template!"&amp;"P"&amp;A144),Q144+R144)))</f>
        <v>#REF!</v>
      </c>
      <c r="V144" t="e" cm="1">
        <f t="array" aca="1" ref="V144" ca="1">IF(A144="","",IF(E144="","",IF(B144="safety",INDIRECT("template!"&amp;"P"&amp;A144),S144+T144)))</f>
        <v>#REF!</v>
      </c>
      <c r="W144" t="e">
        <f ca="1">IF(A144="","",IF(E144="","",#REF!))</f>
        <v>#REF!</v>
      </c>
      <c r="X144" t="e">
        <f ca="1">IF(A144="","",IF(E144="","",#REF!))</f>
        <v>#REF!</v>
      </c>
      <c r="Y144" s="39" t="e">
        <f ca="1">IF(A144="","",IF(E144="","",#REF!))</f>
        <v>#REF!</v>
      </c>
      <c r="Z144" t="e">
        <f ca="1">IF(A144="","",IF(E144="","",#REF!))</f>
        <v>#REF!</v>
      </c>
      <c r="AA144" t="e">
        <f ca="1">IF(A144="","",IF(E144="","",#REF!))</f>
        <v>#REF!</v>
      </c>
      <c r="AB144" t="e">
        <f ca="1">IF(A144="","",IF(E144="","",#REF!))</f>
        <v>#REF!</v>
      </c>
      <c r="AC144" t="e">
        <f t="shared" ca="1" si="15"/>
        <v>#REF!</v>
      </c>
    </row>
    <row r="145" spans="1:29" x14ac:dyDescent="0.35">
      <c r="A145" t="e" cm="1">
        <f t="array" aca="1" ref="A145" ca="1">IF(A144="","",IF(OR(AND(A144+1&gt;=$AF$1,A144+1&lt;=$AF$2),AND(A144+1&gt;=$AF$6,A144+1&lt;=$AF$7),AND(A144+1&gt;=$AF$3,A144+1&lt;=$AF$4),AND(A144+1&gt;=$AF$8,A144+1&lt;=$AF$9),A144+1=$AF$5),IF(NOT(ISBLANK(INDIRECT("template!"&amp;"P"&amp;A144+1))),A144+1,IF(NOT(ISBLANK(INDIRECT("template!"&amp;"P"&amp;A144+2))),A144+2,A144+3)),IF(A144=$AF$2,$AF$3,IF(A144=$AF$4,$AF$5,IF(A144=$AF$5,$AF$6,IF(A144=$AF$7,$AF$8,""))))))</f>
        <v>#REF!</v>
      </c>
      <c r="B145" t="e">
        <f t="shared" ca="1" si="0"/>
        <v>#REF!</v>
      </c>
      <c r="C145" t="e" cm="1">
        <f t="array" aca="1" ref="C145" ca="1">IF(A145="","",IF(B145="safety","safety costs",INDIRECT("template!"&amp;"B"&amp;A145)))</f>
        <v>#REF!</v>
      </c>
      <c r="D145" t="e" cm="1">
        <f t="array" aca="1" ref="D145" ca="1">IF(OR(A145="",B145="safety"),"",INDIRECT("template!"&amp;"C"&amp;A145))</f>
        <v>#REF!</v>
      </c>
      <c r="E145" t="e" cm="1">
        <f t="array" aca="1" ref="E145" ca="1">IF(A145="","",IF(OR(A145=A144+1,A145=A144+2),E144,INDIRECT("template!"&amp;"D"&amp;A145-2)))</f>
        <v>#REF!</v>
      </c>
      <c r="F145" t="e" cm="1">
        <f t="array" aca="1" ref="F145" ca="1">IF(OR(A145="",B145="safety"),"",IF(ISBLANK(IF(A145=A144+1,F144,INDIRECT("template!"&amp;"D"&amp;A145-1))),"",IF(A145=A144+1,F144,INDIRECT("template!"&amp;"D"&amp;A145-1))))</f>
        <v>#REF!</v>
      </c>
      <c r="G145" t="e" cm="1">
        <f t="array" aca="1" ref="G145" ca="1">IF(OR(A145="",B145="safety"),"",IF(ISBLANK(INDIRECT("template!"&amp;"D"&amp;A145)),"",INDIRECT("template!"&amp;"D"&amp;A145)))</f>
        <v>#REF!</v>
      </c>
      <c r="H145" t="e" cm="1">
        <f t="array" aca="1" ref="H145" ca="1">IF(OR(A145="",B145="safety"),"",IF(ISBLANK(INDIRECT("template!"&amp;"E"&amp;A145)),"",INDIRECT("template!"&amp;"E"&amp;A145)))</f>
        <v>#REF!</v>
      </c>
      <c r="I145" t="e" cm="1">
        <f t="array" aca="1" ref="I145" ca="1">IF(OR(A145="",B145="safety"),"",IF(ISBLANK(INDIRECT("template!"&amp;"F"&amp;A145)),"",INDIRECT("template!"&amp;"F"&amp;A145)))</f>
        <v>#REF!</v>
      </c>
      <c r="J145" t="e" cm="1">
        <f t="array" aca="1" ref="J145" ca="1">IF(OR(A145="",B145="safety"),"",IF(ISBLANK(INDIRECT("template!"&amp;"G"&amp;A145)),"",INDIRECT("template!"&amp;"G"&amp;A145)))</f>
        <v>#REF!</v>
      </c>
      <c r="K145" t="e" cm="1">
        <f t="array" aca="1" ref="K145" ca="1">IF(OR(A145="",B145="safety"),"",IF(ISBLANK(INDIRECT("template!"&amp;"H"&amp;A145)),"",INDIRECT("template!"&amp;"H"&amp;A145)))</f>
        <v>#REF!</v>
      </c>
      <c r="L145" t="e" cm="1">
        <f t="array" aca="1" ref="L145" ca="1">IF(OR(A145="",B145="safety"),"",INDIRECT("template!"&amp;"I"&amp;A145))</f>
        <v>#REF!</v>
      </c>
      <c r="M145" t="e" cm="1">
        <f t="array" aca="1" ref="M145" ca="1">IF(OR(A145="",B145="safety"),"",INDIRECT("template!"&amp;"J"&amp;A145))</f>
        <v>#REF!</v>
      </c>
      <c r="N145" t="e" cm="1">
        <f t="array" aca="1" ref="N145" ca="1">IF(OR(A145="",B145="safety"),"",IF(ISBLANK(INDIRECT("template!"&amp;"K"&amp;A145)),"",INDIRECT("template!"&amp;"K"&amp;A145)))</f>
        <v>#REF!</v>
      </c>
      <c r="O145" t="e" cm="1">
        <f t="array" aca="1" ref="O145" ca="1">IF(OR(A145="",B145="safety"),"",INDIRECT("template!"&amp;"L"&amp;A145))</f>
        <v>#REF!</v>
      </c>
      <c r="P145" t="e" cm="1">
        <f t="array" aca="1" ref="P145" ca="1">IF(OR(A145="",B145="safety"),"",INDIRECT("template!"&amp;"M"&amp;A145))</f>
        <v>#REF!</v>
      </c>
      <c r="Q145" t="e">
        <f t="shared" ca="1" si="11"/>
        <v>#REF!</v>
      </c>
      <c r="R145" t="e">
        <f t="shared" ca="1" si="12"/>
        <v>#REF!</v>
      </c>
      <c r="S145" t="e">
        <f t="shared" ca="1" si="13"/>
        <v>#REF!</v>
      </c>
      <c r="T145" t="e">
        <f t="shared" ca="1" si="14"/>
        <v>#REF!</v>
      </c>
      <c r="U145" t="e" cm="1">
        <f t="array" aca="1" ref="U145" ca="1">IF(A145="","",IF(E145="","",IF(B145="safety",INDIRECT("template!"&amp;"P"&amp;A145),Q145+R145)))</f>
        <v>#REF!</v>
      </c>
      <c r="V145" t="e" cm="1">
        <f t="array" aca="1" ref="V145" ca="1">IF(A145="","",IF(E145="","",IF(B145="safety",INDIRECT("template!"&amp;"P"&amp;A145),S145+T145)))</f>
        <v>#REF!</v>
      </c>
      <c r="W145" t="e">
        <f ca="1">IF(A145="","",IF(E145="","",#REF!))</f>
        <v>#REF!</v>
      </c>
      <c r="X145" t="e">
        <f ca="1">IF(A145="","",IF(E145="","",#REF!))</f>
        <v>#REF!</v>
      </c>
      <c r="Y145" s="39" t="e">
        <f ca="1">IF(A145="","",IF(E145="","",#REF!))</f>
        <v>#REF!</v>
      </c>
      <c r="Z145" t="e">
        <f ca="1">IF(A145="","",IF(E145="","",#REF!))</f>
        <v>#REF!</v>
      </c>
      <c r="AA145" t="e">
        <f ca="1">IF(A145="","",IF(E145="","",#REF!))</f>
        <v>#REF!</v>
      </c>
      <c r="AB145" t="e">
        <f ca="1">IF(A145="","",IF(E145="","",#REF!))</f>
        <v>#REF!</v>
      </c>
      <c r="AC145" t="e">
        <f t="shared" ca="1" si="15"/>
        <v>#REF!</v>
      </c>
    </row>
    <row r="146" spans="1:29" x14ac:dyDescent="0.35">
      <c r="A146" t="e" cm="1">
        <f t="array" aca="1" ref="A146" ca="1">IF(A145="","",IF(OR(AND(A145+1&gt;=$AF$1,A145+1&lt;=$AF$2),AND(A145+1&gt;=$AF$6,A145+1&lt;=$AF$7),AND(A145+1&gt;=$AF$3,A145+1&lt;=$AF$4),AND(A145+1&gt;=$AF$8,A145+1&lt;=$AF$9),A145+1=$AF$5),IF(NOT(ISBLANK(INDIRECT("template!"&amp;"P"&amp;A145+1))),A145+1,IF(NOT(ISBLANK(INDIRECT("template!"&amp;"P"&amp;A145+2))),A145+2,A145+3)),IF(A145=$AF$2,$AF$3,IF(A145=$AF$4,$AF$5,IF(A145=$AF$5,$AF$6,IF(A145=$AF$7,$AF$8,""))))))</f>
        <v>#REF!</v>
      </c>
      <c r="B146" t="e">
        <f t="shared" ca="1" si="0"/>
        <v>#REF!</v>
      </c>
      <c r="C146" t="e" cm="1">
        <f t="array" aca="1" ref="C146" ca="1">IF(A146="","",IF(B146="safety","safety costs",INDIRECT("template!"&amp;"B"&amp;A146)))</f>
        <v>#REF!</v>
      </c>
      <c r="D146" t="e" cm="1">
        <f t="array" aca="1" ref="D146" ca="1">IF(OR(A146="",B146="safety"),"",INDIRECT("template!"&amp;"C"&amp;A146))</f>
        <v>#REF!</v>
      </c>
      <c r="E146" t="e" cm="1">
        <f t="array" aca="1" ref="E146" ca="1">IF(A146="","",IF(OR(A146=A145+1,A146=A145+2),E145,INDIRECT("template!"&amp;"D"&amp;A146-2)))</f>
        <v>#REF!</v>
      </c>
      <c r="F146" t="e" cm="1">
        <f t="array" aca="1" ref="F146" ca="1">IF(OR(A146="",B146="safety"),"",IF(ISBLANK(IF(A146=A145+1,F145,INDIRECT("template!"&amp;"D"&amp;A146-1))),"",IF(A146=A145+1,F145,INDIRECT("template!"&amp;"D"&amp;A146-1))))</f>
        <v>#REF!</v>
      </c>
      <c r="G146" t="e" cm="1">
        <f t="array" aca="1" ref="G146" ca="1">IF(OR(A146="",B146="safety"),"",IF(ISBLANK(INDIRECT("template!"&amp;"D"&amp;A146)),"",INDIRECT("template!"&amp;"D"&amp;A146)))</f>
        <v>#REF!</v>
      </c>
      <c r="H146" t="e" cm="1">
        <f t="array" aca="1" ref="H146" ca="1">IF(OR(A146="",B146="safety"),"",IF(ISBLANK(INDIRECT("template!"&amp;"E"&amp;A146)),"",INDIRECT("template!"&amp;"E"&amp;A146)))</f>
        <v>#REF!</v>
      </c>
      <c r="I146" t="e" cm="1">
        <f t="array" aca="1" ref="I146" ca="1">IF(OR(A146="",B146="safety"),"",IF(ISBLANK(INDIRECT("template!"&amp;"F"&amp;A146)),"",INDIRECT("template!"&amp;"F"&amp;A146)))</f>
        <v>#REF!</v>
      </c>
      <c r="J146" t="e" cm="1">
        <f t="array" aca="1" ref="J146" ca="1">IF(OR(A146="",B146="safety"),"",IF(ISBLANK(INDIRECT("template!"&amp;"G"&amp;A146)),"",INDIRECT("template!"&amp;"G"&amp;A146)))</f>
        <v>#REF!</v>
      </c>
      <c r="K146" t="e" cm="1">
        <f t="array" aca="1" ref="K146" ca="1">IF(OR(A146="",B146="safety"),"",IF(ISBLANK(INDIRECT("template!"&amp;"H"&amp;A146)),"",INDIRECT("template!"&amp;"H"&amp;A146)))</f>
        <v>#REF!</v>
      </c>
      <c r="L146" t="e" cm="1">
        <f t="array" aca="1" ref="L146" ca="1">IF(OR(A146="",B146="safety"),"",INDIRECT("template!"&amp;"I"&amp;A146))</f>
        <v>#REF!</v>
      </c>
      <c r="M146" t="e" cm="1">
        <f t="array" aca="1" ref="M146" ca="1">IF(OR(A146="",B146="safety"),"",INDIRECT("template!"&amp;"J"&amp;A146))</f>
        <v>#REF!</v>
      </c>
      <c r="N146" t="e" cm="1">
        <f t="array" aca="1" ref="N146" ca="1">IF(OR(A146="",B146="safety"),"",IF(ISBLANK(INDIRECT("template!"&amp;"K"&amp;A146)),"",INDIRECT("template!"&amp;"K"&amp;A146)))</f>
        <v>#REF!</v>
      </c>
      <c r="O146" t="e" cm="1">
        <f t="array" aca="1" ref="O146" ca="1">IF(OR(A146="",B146="safety"),"",INDIRECT("template!"&amp;"L"&amp;A146))</f>
        <v>#REF!</v>
      </c>
      <c r="P146" t="e" cm="1">
        <f t="array" aca="1" ref="P146" ca="1">IF(OR(A146="",B146="safety"),"",INDIRECT("template!"&amp;"M"&amp;A146))</f>
        <v>#REF!</v>
      </c>
      <c r="Q146" t="e">
        <f t="shared" ca="1" si="11"/>
        <v>#REF!</v>
      </c>
      <c r="R146" t="e">
        <f t="shared" ca="1" si="12"/>
        <v>#REF!</v>
      </c>
      <c r="S146" t="e">
        <f t="shared" ca="1" si="13"/>
        <v>#REF!</v>
      </c>
      <c r="T146" t="e">
        <f t="shared" ca="1" si="14"/>
        <v>#REF!</v>
      </c>
      <c r="U146" t="e" cm="1">
        <f t="array" aca="1" ref="U146" ca="1">IF(A146="","",IF(E146="","",IF(B146="safety",INDIRECT("template!"&amp;"P"&amp;A146),Q146+R146)))</f>
        <v>#REF!</v>
      </c>
      <c r="V146" t="e" cm="1">
        <f t="array" aca="1" ref="V146" ca="1">IF(A146="","",IF(E146="","",IF(B146="safety",INDIRECT("template!"&amp;"P"&amp;A146),S146+T146)))</f>
        <v>#REF!</v>
      </c>
      <c r="W146" t="e">
        <f ca="1">IF(A146="","",IF(E146="","",#REF!))</f>
        <v>#REF!</v>
      </c>
      <c r="X146" t="e">
        <f ca="1">IF(A146="","",IF(E146="","",#REF!))</f>
        <v>#REF!</v>
      </c>
      <c r="Y146" s="39" t="e">
        <f ca="1">IF(A146="","",IF(E146="","",#REF!))</f>
        <v>#REF!</v>
      </c>
      <c r="Z146" t="e">
        <f ca="1">IF(A146="","",IF(E146="","",#REF!))</f>
        <v>#REF!</v>
      </c>
      <c r="AA146" t="e">
        <f ca="1">IF(A146="","",IF(E146="","",#REF!))</f>
        <v>#REF!</v>
      </c>
      <c r="AB146" t="e">
        <f ca="1">IF(A146="","",IF(E146="","",#REF!))</f>
        <v>#REF!</v>
      </c>
      <c r="AC146" t="e">
        <f t="shared" ca="1" si="15"/>
        <v>#REF!</v>
      </c>
    </row>
    <row r="147" spans="1:29" x14ac:dyDescent="0.35">
      <c r="A147" t="e" cm="1">
        <f t="array" aca="1" ref="A147" ca="1">IF(A146="","",IF(OR(AND(A146+1&gt;=$AF$1,A146+1&lt;=$AF$2),AND(A146+1&gt;=$AF$6,A146+1&lt;=$AF$7),AND(A146+1&gt;=$AF$3,A146+1&lt;=$AF$4),AND(A146+1&gt;=$AF$8,A146+1&lt;=$AF$9),A146+1=$AF$5),IF(NOT(ISBLANK(INDIRECT("template!"&amp;"P"&amp;A146+1))),A146+1,IF(NOT(ISBLANK(INDIRECT("template!"&amp;"P"&amp;A146+2))),A146+2,A146+3)),IF(A146=$AF$2,$AF$3,IF(A146=$AF$4,$AF$5,IF(A146=$AF$5,$AF$6,IF(A146=$AF$7,$AF$8,""))))))</f>
        <v>#REF!</v>
      </c>
      <c r="B147" t="e">
        <f t="shared" ca="1" si="0"/>
        <v>#REF!</v>
      </c>
      <c r="C147" t="e" cm="1">
        <f t="array" aca="1" ref="C147" ca="1">IF(A147="","",IF(B147="safety","safety costs",INDIRECT("template!"&amp;"B"&amp;A147)))</f>
        <v>#REF!</v>
      </c>
      <c r="D147" t="e" cm="1">
        <f t="array" aca="1" ref="D147" ca="1">IF(OR(A147="",B147="safety"),"",INDIRECT("template!"&amp;"C"&amp;A147))</f>
        <v>#REF!</v>
      </c>
      <c r="E147" t="e" cm="1">
        <f t="array" aca="1" ref="E147" ca="1">IF(A147="","",IF(OR(A147=A146+1,A147=A146+2),E146,INDIRECT("template!"&amp;"D"&amp;A147-2)))</f>
        <v>#REF!</v>
      </c>
      <c r="F147" t="e" cm="1">
        <f t="array" aca="1" ref="F147" ca="1">IF(OR(A147="",B147="safety"),"",IF(ISBLANK(IF(A147=A146+1,F146,INDIRECT("template!"&amp;"D"&amp;A147-1))),"",IF(A147=A146+1,F146,INDIRECT("template!"&amp;"D"&amp;A147-1))))</f>
        <v>#REF!</v>
      </c>
      <c r="G147" t="e" cm="1">
        <f t="array" aca="1" ref="G147" ca="1">IF(OR(A147="",B147="safety"),"",IF(ISBLANK(INDIRECT("template!"&amp;"D"&amp;A147)),"",INDIRECT("template!"&amp;"D"&amp;A147)))</f>
        <v>#REF!</v>
      </c>
      <c r="H147" t="e" cm="1">
        <f t="array" aca="1" ref="H147" ca="1">IF(OR(A147="",B147="safety"),"",IF(ISBLANK(INDIRECT("template!"&amp;"E"&amp;A147)),"",INDIRECT("template!"&amp;"E"&amp;A147)))</f>
        <v>#REF!</v>
      </c>
      <c r="I147" t="e" cm="1">
        <f t="array" aca="1" ref="I147" ca="1">IF(OR(A147="",B147="safety"),"",IF(ISBLANK(INDIRECT("template!"&amp;"F"&amp;A147)),"",INDIRECT("template!"&amp;"F"&amp;A147)))</f>
        <v>#REF!</v>
      </c>
      <c r="J147" t="e" cm="1">
        <f t="array" aca="1" ref="J147" ca="1">IF(OR(A147="",B147="safety"),"",IF(ISBLANK(INDIRECT("template!"&amp;"G"&amp;A147)),"",INDIRECT("template!"&amp;"G"&amp;A147)))</f>
        <v>#REF!</v>
      </c>
      <c r="K147" t="e" cm="1">
        <f t="array" aca="1" ref="K147" ca="1">IF(OR(A147="",B147="safety"),"",IF(ISBLANK(INDIRECT("template!"&amp;"H"&amp;A147)),"",INDIRECT("template!"&amp;"H"&amp;A147)))</f>
        <v>#REF!</v>
      </c>
      <c r="L147" t="e" cm="1">
        <f t="array" aca="1" ref="L147" ca="1">IF(OR(A147="",B147="safety"),"",INDIRECT("template!"&amp;"I"&amp;A147))</f>
        <v>#REF!</v>
      </c>
      <c r="M147" t="e" cm="1">
        <f t="array" aca="1" ref="M147" ca="1">IF(OR(A147="",B147="safety"),"",INDIRECT("template!"&amp;"J"&amp;A147))</f>
        <v>#REF!</v>
      </c>
      <c r="N147" t="e" cm="1">
        <f t="array" aca="1" ref="N147" ca="1">IF(OR(A147="",B147="safety"),"",IF(ISBLANK(INDIRECT("template!"&amp;"K"&amp;A147)),"",INDIRECT("template!"&amp;"K"&amp;A147)))</f>
        <v>#REF!</v>
      </c>
      <c r="O147" t="e" cm="1">
        <f t="array" aca="1" ref="O147" ca="1">IF(OR(A147="",B147="safety"),"",INDIRECT("template!"&amp;"L"&amp;A147))</f>
        <v>#REF!</v>
      </c>
      <c r="P147" t="e" cm="1">
        <f t="array" aca="1" ref="P147" ca="1">IF(OR(A147="",B147="safety"),"",INDIRECT("template!"&amp;"M"&amp;A147))</f>
        <v>#REF!</v>
      </c>
      <c r="Q147" t="e">
        <f t="shared" ca="1" si="11"/>
        <v>#REF!</v>
      </c>
      <c r="R147" t="e">
        <f t="shared" ca="1" si="12"/>
        <v>#REF!</v>
      </c>
      <c r="S147" t="e">
        <f t="shared" ca="1" si="13"/>
        <v>#REF!</v>
      </c>
      <c r="T147" t="e">
        <f t="shared" ca="1" si="14"/>
        <v>#REF!</v>
      </c>
      <c r="U147" t="e" cm="1">
        <f t="array" aca="1" ref="U147" ca="1">IF(A147="","",IF(E147="","",IF(B147="safety",INDIRECT("template!"&amp;"P"&amp;A147),Q147+R147)))</f>
        <v>#REF!</v>
      </c>
      <c r="V147" t="e" cm="1">
        <f t="array" aca="1" ref="V147" ca="1">IF(A147="","",IF(E147="","",IF(B147="safety",INDIRECT("template!"&amp;"P"&amp;A147),S147+T147)))</f>
        <v>#REF!</v>
      </c>
      <c r="W147" t="e">
        <f ca="1">IF(A147="","",IF(E147="","",#REF!))</f>
        <v>#REF!</v>
      </c>
      <c r="X147" t="e">
        <f ca="1">IF(A147="","",IF(E147="","",#REF!))</f>
        <v>#REF!</v>
      </c>
      <c r="Y147" s="39" t="e">
        <f ca="1">IF(A147="","",IF(E147="","",#REF!))</f>
        <v>#REF!</v>
      </c>
      <c r="Z147" t="e">
        <f ca="1">IF(A147="","",IF(E147="","",#REF!))</f>
        <v>#REF!</v>
      </c>
      <c r="AA147" t="e">
        <f ca="1">IF(A147="","",IF(E147="","",#REF!))</f>
        <v>#REF!</v>
      </c>
      <c r="AB147" t="e">
        <f ca="1">IF(A147="","",IF(E147="","",#REF!))</f>
        <v>#REF!</v>
      </c>
      <c r="AC147" t="e">
        <f t="shared" ca="1" si="15"/>
        <v>#REF!</v>
      </c>
    </row>
    <row r="148" spans="1:29" x14ac:dyDescent="0.35">
      <c r="A148" t="e" cm="1">
        <f t="array" aca="1" ref="A148" ca="1">IF(A147="","",IF(OR(AND(A147+1&gt;=$AF$1,A147+1&lt;=$AF$2),AND(A147+1&gt;=$AF$6,A147+1&lt;=$AF$7),AND(A147+1&gt;=$AF$3,A147+1&lt;=$AF$4),AND(A147+1&gt;=$AF$8,A147+1&lt;=$AF$9),A147+1=$AF$5),IF(NOT(ISBLANK(INDIRECT("template!"&amp;"P"&amp;A147+1))),A147+1,IF(NOT(ISBLANK(INDIRECT("template!"&amp;"P"&amp;A147+2))),A147+2,A147+3)),IF(A147=$AF$2,$AF$3,IF(A147=$AF$4,$AF$5,IF(A147=$AF$5,$AF$6,IF(A147=$AF$7,$AF$8,""))))))</f>
        <v>#REF!</v>
      </c>
      <c r="B148" t="e">
        <f t="shared" ca="1" si="0"/>
        <v>#REF!</v>
      </c>
      <c r="C148" t="e" cm="1">
        <f t="array" aca="1" ref="C148" ca="1">IF(A148="","",IF(B148="safety","safety costs",INDIRECT("template!"&amp;"B"&amp;A148)))</f>
        <v>#REF!</v>
      </c>
      <c r="D148" t="e" cm="1">
        <f t="array" aca="1" ref="D148" ca="1">IF(OR(A148="",B148="safety"),"",INDIRECT("template!"&amp;"C"&amp;A148))</f>
        <v>#REF!</v>
      </c>
      <c r="E148" t="e" cm="1">
        <f t="array" aca="1" ref="E148" ca="1">IF(A148="","",IF(OR(A148=A147+1,A148=A147+2),E147,INDIRECT("template!"&amp;"D"&amp;A148-2)))</f>
        <v>#REF!</v>
      </c>
      <c r="F148" t="e" cm="1">
        <f t="array" aca="1" ref="F148" ca="1">IF(OR(A148="",B148="safety"),"",IF(ISBLANK(IF(A148=A147+1,F147,INDIRECT("template!"&amp;"D"&amp;A148-1))),"",IF(A148=A147+1,F147,INDIRECT("template!"&amp;"D"&amp;A148-1))))</f>
        <v>#REF!</v>
      </c>
      <c r="G148" t="e" cm="1">
        <f t="array" aca="1" ref="G148" ca="1">IF(OR(A148="",B148="safety"),"",IF(ISBLANK(INDIRECT("template!"&amp;"D"&amp;A148)),"",INDIRECT("template!"&amp;"D"&amp;A148)))</f>
        <v>#REF!</v>
      </c>
      <c r="H148" t="e" cm="1">
        <f t="array" aca="1" ref="H148" ca="1">IF(OR(A148="",B148="safety"),"",IF(ISBLANK(INDIRECT("template!"&amp;"E"&amp;A148)),"",INDIRECT("template!"&amp;"E"&amp;A148)))</f>
        <v>#REF!</v>
      </c>
      <c r="I148" t="e" cm="1">
        <f t="array" aca="1" ref="I148" ca="1">IF(OR(A148="",B148="safety"),"",IF(ISBLANK(INDIRECT("template!"&amp;"F"&amp;A148)),"",INDIRECT("template!"&amp;"F"&amp;A148)))</f>
        <v>#REF!</v>
      </c>
      <c r="J148" t="e" cm="1">
        <f t="array" aca="1" ref="J148" ca="1">IF(OR(A148="",B148="safety"),"",IF(ISBLANK(INDIRECT("template!"&amp;"G"&amp;A148)),"",INDIRECT("template!"&amp;"G"&amp;A148)))</f>
        <v>#REF!</v>
      </c>
      <c r="K148" t="e" cm="1">
        <f t="array" aca="1" ref="K148" ca="1">IF(OR(A148="",B148="safety"),"",IF(ISBLANK(INDIRECT("template!"&amp;"H"&amp;A148)),"",INDIRECT("template!"&amp;"H"&amp;A148)))</f>
        <v>#REF!</v>
      </c>
      <c r="L148" t="e" cm="1">
        <f t="array" aca="1" ref="L148" ca="1">IF(OR(A148="",B148="safety"),"",INDIRECT("template!"&amp;"I"&amp;A148))</f>
        <v>#REF!</v>
      </c>
      <c r="M148" t="e" cm="1">
        <f t="array" aca="1" ref="M148" ca="1">IF(OR(A148="",B148="safety"),"",INDIRECT("template!"&amp;"J"&amp;A148))</f>
        <v>#REF!</v>
      </c>
      <c r="N148" t="e" cm="1">
        <f t="array" aca="1" ref="N148" ca="1">IF(OR(A148="",B148="safety"),"",IF(ISBLANK(INDIRECT("template!"&amp;"K"&amp;A148)),"",INDIRECT("template!"&amp;"K"&amp;A148)))</f>
        <v>#REF!</v>
      </c>
      <c r="O148" t="e" cm="1">
        <f t="array" aca="1" ref="O148" ca="1">IF(OR(A148="",B148="safety"),"",INDIRECT("template!"&amp;"L"&amp;A148))</f>
        <v>#REF!</v>
      </c>
      <c r="P148" t="e" cm="1">
        <f t="array" aca="1" ref="P148" ca="1">IF(OR(A148="",B148="safety"),"",INDIRECT("template!"&amp;"M"&amp;A148))</f>
        <v>#REF!</v>
      </c>
      <c r="Q148" t="e">
        <f t="shared" ca="1" si="11"/>
        <v>#REF!</v>
      </c>
      <c r="R148" t="e">
        <f t="shared" ca="1" si="12"/>
        <v>#REF!</v>
      </c>
      <c r="S148" t="e">
        <f t="shared" ca="1" si="13"/>
        <v>#REF!</v>
      </c>
      <c r="T148" t="e">
        <f t="shared" ca="1" si="14"/>
        <v>#REF!</v>
      </c>
      <c r="U148" t="e" cm="1">
        <f t="array" aca="1" ref="U148" ca="1">IF(A148="","",IF(E148="","",IF(B148="safety",INDIRECT("template!"&amp;"P"&amp;A148),Q148+R148)))</f>
        <v>#REF!</v>
      </c>
      <c r="V148" t="e" cm="1">
        <f t="array" aca="1" ref="V148" ca="1">IF(A148="","",IF(E148="","",IF(B148="safety",INDIRECT("template!"&amp;"P"&amp;A148),S148+T148)))</f>
        <v>#REF!</v>
      </c>
      <c r="W148" t="e">
        <f ca="1">IF(A148="","",IF(E148="","",#REF!))</f>
        <v>#REF!</v>
      </c>
      <c r="X148" t="e">
        <f ca="1">IF(A148="","",IF(E148="","",#REF!))</f>
        <v>#REF!</v>
      </c>
      <c r="Y148" s="39" t="e">
        <f ca="1">IF(A148="","",IF(E148="","",#REF!))</f>
        <v>#REF!</v>
      </c>
      <c r="Z148" t="e">
        <f ca="1">IF(A148="","",IF(E148="","",#REF!))</f>
        <v>#REF!</v>
      </c>
      <c r="AA148" t="e">
        <f ca="1">IF(A148="","",IF(E148="","",#REF!))</f>
        <v>#REF!</v>
      </c>
      <c r="AB148" t="e">
        <f ca="1">IF(A148="","",IF(E148="","",#REF!))</f>
        <v>#REF!</v>
      </c>
      <c r="AC148" t="e">
        <f t="shared" ca="1" si="15"/>
        <v>#REF!</v>
      </c>
    </row>
    <row r="149" spans="1:29" x14ac:dyDescent="0.35">
      <c r="A149" t="e" cm="1">
        <f t="array" aca="1" ref="A149" ca="1">IF(A148="","",IF(OR(AND(A148+1&gt;=$AF$1,A148+1&lt;=$AF$2),AND(A148+1&gt;=$AF$6,A148+1&lt;=$AF$7),AND(A148+1&gt;=$AF$3,A148+1&lt;=$AF$4),AND(A148+1&gt;=$AF$8,A148+1&lt;=$AF$9),A148+1=$AF$5),IF(NOT(ISBLANK(INDIRECT("template!"&amp;"P"&amp;A148+1))),A148+1,IF(NOT(ISBLANK(INDIRECT("template!"&amp;"P"&amp;A148+2))),A148+2,A148+3)),IF(A148=$AF$2,$AF$3,IF(A148=$AF$4,$AF$5,IF(A148=$AF$5,$AF$6,IF(A148=$AF$7,$AF$8,""))))))</f>
        <v>#REF!</v>
      </c>
      <c r="B149" t="e">
        <f t="shared" ca="1" si="0"/>
        <v>#REF!</v>
      </c>
      <c r="C149" t="e" cm="1">
        <f t="array" aca="1" ref="C149" ca="1">IF(A149="","",IF(B149="safety","safety costs",INDIRECT("template!"&amp;"B"&amp;A149)))</f>
        <v>#REF!</v>
      </c>
      <c r="D149" t="e" cm="1">
        <f t="array" aca="1" ref="D149" ca="1">IF(OR(A149="",B149="safety"),"",INDIRECT("template!"&amp;"C"&amp;A149))</f>
        <v>#REF!</v>
      </c>
      <c r="E149" t="e" cm="1">
        <f t="array" aca="1" ref="E149" ca="1">IF(A149="","",IF(OR(A149=A148+1,A149=A148+2),E148,INDIRECT("template!"&amp;"D"&amp;A149-2)))</f>
        <v>#REF!</v>
      </c>
      <c r="F149" t="e" cm="1">
        <f t="array" aca="1" ref="F149" ca="1">IF(OR(A149="",B149="safety"),"",IF(ISBLANK(IF(A149=A148+1,F148,INDIRECT("template!"&amp;"D"&amp;A149-1))),"",IF(A149=A148+1,F148,INDIRECT("template!"&amp;"D"&amp;A149-1))))</f>
        <v>#REF!</v>
      </c>
      <c r="G149" t="e" cm="1">
        <f t="array" aca="1" ref="G149" ca="1">IF(OR(A149="",B149="safety"),"",IF(ISBLANK(INDIRECT("template!"&amp;"D"&amp;A149)),"",INDIRECT("template!"&amp;"D"&amp;A149)))</f>
        <v>#REF!</v>
      </c>
      <c r="H149" t="e" cm="1">
        <f t="array" aca="1" ref="H149" ca="1">IF(OR(A149="",B149="safety"),"",IF(ISBLANK(INDIRECT("template!"&amp;"E"&amp;A149)),"",INDIRECT("template!"&amp;"E"&amp;A149)))</f>
        <v>#REF!</v>
      </c>
      <c r="I149" t="e" cm="1">
        <f t="array" aca="1" ref="I149" ca="1">IF(OR(A149="",B149="safety"),"",IF(ISBLANK(INDIRECT("template!"&amp;"F"&amp;A149)),"",INDIRECT("template!"&amp;"F"&amp;A149)))</f>
        <v>#REF!</v>
      </c>
      <c r="J149" t="e" cm="1">
        <f t="array" aca="1" ref="J149" ca="1">IF(OR(A149="",B149="safety"),"",IF(ISBLANK(INDIRECT("template!"&amp;"G"&amp;A149)),"",INDIRECT("template!"&amp;"G"&amp;A149)))</f>
        <v>#REF!</v>
      </c>
      <c r="K149" t="e" cm="1">
        <f t="array" aca="1" ref="K149" ca="1">IF(OR(A149="",B149="safety"),"",IF(ISBLANK(INDIRECT("template!"&amp;"H"&amp;A149)),"",INDIRECT("template!"&amp;"H"&amp;A149)))</f>
        <v>#REF!</v>
      </c>
      <c r="L149" t="e" cm="1">
        <f t="array" aca="1" ref="L149" ca="1">IF(OR(A149="",B149="safety"),"",INDIRECT("template!"&amp;"I"&amp;A149))</f>
        <v>#REF!</v>
      </c>
      <c r="M149" t="e" cm="1">
        <f t="array" aca="1" ref="M149" ca="1">IF(OR(A149="",B149="safety"),"",INDIRECT("template!"&amp;"J"&amp;A149))</f>
        <v>#REF!</v>
      </c>
      <c r="N149" t="e" cm="1">
        <f t="array" aca="1" ref="N149" ca="1">IF(OR(A149="",B149="safety"),"",IF(ISBLANK(INDIRECT("template!"&amp;"K"&amp;A149)),"",INDIRECT("template!"&amp;"K"&amp;A149)))</f>
        <v>#REF!</v>
      </c>
      <c r="O149" t="e" cm="1">
        <f t="array" aca="1" ref="O149" ca="1">IF(OR(A149="",B149="safety"),"",INDIRECT("template!"&amp;"L"&amp;A149))</f>
        <v>#REF!</v>
      </c>
      <c r="P149" t="e" cm="1">
        <f t="array" aca="1" ref="P149" ca="1">IF(OR(A149="",B149="safety"),"",INDIRECT("template!"&amp;"M"&amp;A149))</f>
        <v>#REF!</v>
      </c>
      <c r="Q149" t="e">
        <f t="shared" ca="1" si="11"/>
        <v>#REF!</v>
      </c>
      <c r="R149" t="e">
        <f t="shared" ca="1" si="12"/>
        <v>#REF!</v>
      </c>
      <c r="S149" t="e">
        <f t="shared" ca="1" si="13"/>
        <v>#REF!</v>
      </c>
      <c r="T149" t="e">
        <f t="shared" ca="1" si="14"/>
        <v>#REF!</v>
      </c>
      <c r="U149" t="e" cm="1">
        <f t="array" aca="1" ref="U149" ca="1">IF(A149="","",IF(E149="","",IF(B149="safety",INDIRECT("template!"&amp;"P"&amp;A149),Q149+R149)))</f>
        <v>#REF!</v>
      </c>
      <c r="V149" t="e" cm="1">
        <f t="array" aca="1" ref="V149" ca="1">IF(A149="","",IF(E149="","",IF(B149="safety",INDIRECT("template!"&amp;"P"&amp;A149),S149+T149)))</f>
        <v>#REF!</v>
      </c>
      <c r="W149" t="e">
        <f ca="1">IF(A149="","",IF(E149="","",#REF!))</f>
        <v>#REF!</v>
      </c>
      <c r="X149" t="e">
        <f ca="1">IF(A149="","",IF(E149="","",#REF!))</f>
        <v>#REF!</v>
      </c>
      <c r="Y149" s="39" t="e">
        <f ca="1">IF(A149="","",IF(E149="","",#REF!))</f>
        <v>#REF!</v>
      </c>
      <c r="Z149" t="e">
        <f ca="1">IF(A149="","",IF(E149="","",#REF!))</f>
        <v>#REF!</v>
      </c>
      <c r="AA149" t="e">
        <f ca="1">IF(A149="","",IF(E149="","",#REF!))</f>
        <v>#REF!</v>
      </c>
      <c r="AB149" t="e">
        <f ca="1">IF(A149="","",IF(E149="","",#REF!))</f>
        <v>#REF!</v>
      </c>
      <c r="AC149" t="e">
        <f t="shared" ca="1" si="15"/>
        <v>#REF!</v>
      </c>
    </row>
    <row r="150" spans="1:29" x14ac:dyDescent="0.35">
      <c r="A150" t="e" cm="1">
        <f t="array" aca="1" ref="A150" ca="1">IF(A149="","",IF(OR(AND(A149+1&gt;=$AF$1,A149+1&lt;=$AF$2),AND(A149+1&gt;=$AF$6,A149+1&lt;=$AF$7),AND(A149+1&gt;=$AF$3,A149+1&lt;=$AF$4),AND(A149+1&gt;=$AF$8,A149+1&lt;=$AF$9),A149+1=$AF$5),IF(NOT(ISBLANK(INDIRECT("template!"&amp;"P"&amp;A149+1))),A149+1,IF(NOT(ISBLANK(INDIRECT("template!"&amp;"P"&amp;A149+2))),A149+2,A149+3)),IF(A149=$AF$2,$AF$3,IF(A149=$AF$4,$AF$5,IF(A149=$AF$5,$AF$6,IF(A149=$AF$7,$AF$8,""))))))</f>
        <v>#REF!</v>
      </c>
      <c r="B150" t="e">
        <f t="shared" ca="1" si="0"/>
        <v>#REF!</v>
      </c>
      <c r="C150" t="e" cm="1">
        <f t="array" aca="1" ref="C150" ca="1">IF(A150="","",IF(B150="safety","safety costs",INDIRECT("template!"&amp;"B"&amp;A150)))</f>
        <v>#REF!</v>
      </c>
      <c r="D150" t="e" cm="1">
        <f t="array" aca="1" ref="D150" ca="1">IF(OR(A150="",B150="safety"),"",INDIRECT("template!"&amp;"C"&amp;A150))</f>
        <v>#REF!</v>
      </c>
      <c r="E150" t="e" cm="1">
        <f t="array" aca="1" ref="E150" ca="1">IF(A150="","",IF(OR(A150=A149+1,A150=A149+2),E149,INDIRECT("template!"&amp;"D"&amp;A150-2)))</f>
        <v>#REF!</v>
      </c>
      <c r="F150" t="e" cm="1">
        <f t="array" aca="1" ref="F150" ca="1">IF(OR(A150="",B150="safety"),"",IF(ISBLANK(IF(A150=A149+1,F149,INDIRECT("template!"&amp;"D"&amp;A150-1))),"",IF(A150=A149+1,F149,INDIRECT("template!"&amp;"D"&amp;A150-1))))</f>
        <v>#REF!</v>
      </c>
      <c r="G150" t="e" cm="1">
        <f t="array" aca="1" ref="G150" ca="1">IF(OR(A150="",B150="safety"),"",IF(ISBLANK(INDIRECT("template!"&amp;"D"&amp;A150)),"",INDIRECT("template!"&amp;"D"&amp;A150)))</f>
        <v>#REF!</v>
      </c>
      <c r="H150" t="e" cm="1">
        <f t="array" aca="1" ref="H150" ca="1">IF(OR(A150="",B150="safety"),"",IF(ISBLANK(INDIRECT("template!"&amp;"E"&amp;A150)),"",INDIRECT("template!"&amp;"E"&amp;A150)))</f>
        <v>#REF!</v>
      </c>
      <c r="I150" t="e" cm="1">
        <f t="array" aca="1" ref="I150" ca="1">IF(OR(A150="",B150="safety"),"",IF(ISBLANK(INDIRECT("template!"&amp;"F"&amp;A150)),"",INDIRECT("template!"&amp;"F"&amp;A150)))</f>
        <v>#REF!</v>
      </c>
      <c r="J150" t="e" cm="1">
        <f t="array" aca="1" ref="J150" ca="1">IF(OR(A150="",B150="safety"),"",IF(ISBLANK(INDIRECT("template!"&amp;"G"&amp;A150)),"",INDIRECT("template!"&amp;"G"&amp;A150)))</f>
        <v>#REF!</v>
      </c>
      <c r="K150" t="e" cm="1">
        <f t="array" aca="1" ref="K150" ca="1">IF(OR(A150="",B150="safety"),"",IF(ISBLANK(INDIRECT("template!"&amp;"H"&amp;A150)),"",INDIRECT("template!"&amp;"H"&amp;A150)))</f>
        <v>#REF!</v>
      </c>
      <c r="L150" t="e" cm="1">
        <f t="array" aca="1" ref="L150" ca="1">IF(OR(A150="",B150="safety"),"",INDIRECT("template!"&amp;"I"&amp;A150))</f>
        <v>#REF!</v>
      </c>
      <c r="M150" t="e" cm="1">
        <f t="array" aca="1" ref="M150" ca="1">IF(OR(A150="",B150="safety"),"",INDIRECT("template!"&amp;"J"&amp;A150))</f>
        <v>#REF!</v>
      </c>
      <c r="N150" t="e" cm="1">
        <f t="array" aca="1" ref="N150" ca="1">IF(OR(A150="",B150="safety"),"",IF(ISBLANK(INDIRECT("template!"&amp;"K"&amp;A150)),"",INDIRECT("template!"&amp;"K"&amp;A150)))</f>
        <v>#REF!</v>
      </c>
      <c r="O150" t="e" cm="1">
        <f t="array" aca="1" ref="O150" ca="1">IF(OR(A150="",B150="safety"),"",INDIRECT("template!"&amp;"L"&amp;A150))</f>
        <v>#REF!</v>
      </c>
      <c r="P150" t="e" cm="1">
        <f t="array" aca="1" ref="P150" ca="1">IF(OR(A150="",B150="safety"),"",INDIRECT("template!"&amp;"M"&amp;A150))</f>
        <v>#REF!</v>
      </c>
      <c r="Q150" t="e">
        <f t="shared" ca="1" si="11"/>
        <v>#REF!</v>
      </c>
      <c r="R150" t="e">
        <f t="shared" ca="1" si="12"/>
        <v>#REF!</v>
      </c>
      <c r="S150" t="e">
        <f t="shared" ca="1" si="13"/>
        <v>#REF!</v>
      </c>
      <c r="T150" t="e">
        <f t="shared" ca="1" si="14"/>
        <v>#REF!</v>
      </c>
      <c r="U150" t="e" cm="1">
        <f t="array" aca="1" ref="U150" ca="1">IF(A150="","",IF(E150="","",IF(B150="safety",INDIRECT("template!"&amp;"P"&amp;A150),Q150+R150)))</f>
        <v>#REF!</v>
      </c>
      <c r="V150" t="e" cm="1">
        <f t="array" aca="1" ref="V150" ca="1">IF(A150="","",IF(E150="","",IF(B150="safety",INDIRECT("template!"&amp;"P"&amp;A150),S150+T150)))</f>
        <v>#REF!</v>
      </c>
      <c r="W150" t="e">
        <f ca="1">IF(A150="","",IF(E150="","",#REF!))</f>
        <v>#REF!</v>
      </c>
      <c r="X150" t="e">
        <f ca="1">IF(A150="","",IF(E150="","",#REF!))</f>
        <v>#REF!</v>
      </c>
      <c r="Y150" s="39" t="e">
        <f ca="1">IF(A150="","",IF(E150="","",#REF!))</f>
        <v>#REF!</v>
      </c>
      <c r="Z150" t="e">
        <f ca="1">IF(A150="","",IF(E150="","",#REF!))</f>
        <v>#REF!</v>
      </c>
      <c r="AA150" t="e">
        <f ca="1">IF(A150="","",IF(E150="","",#REF!))</f>
        <v>#REF!</v>
      </c>
      <c r="AB150" t="e">
        <f ca="1">IF(A150="","",IF(E150="","",#REF!))</f>
        <v>#REF!</v>
      </c>
      <c r="AC150" t="e">
        <f t="shared" ca="1" si="15"/>
        <v>#REF!</v>
      </c>
    </row>
    <row r="151" spans="1:29" x14ac:dyDescent="0.35">
      <c r="A151" t="e" cm="1">
        <f t="array" aca="1" ref="A151" ca="1">IF(A150="","",IF(OR(AND(A150+1&gt;=$AF$1,A150+1&lt;=$AF$2),AND(A150+1&gt;=$AF$6,A150+1&lt;=$AF$7),AND(A150+1&gt;=$AF$3,A150+1&lt;=$AF$4),AND(A150+1&gt;=$AF$8,A150+1&lt;=$AF$9),A150+1=$AF$5),IF(NOT(ISBLANK(INDIRECT("template!"&amp;"P"&amp;A150+1))),A150+1,IF(NOT(ISBLANK(INDIRECT("template!"&amp;"P"&amp;A150+2))),A150+2,A150+3)),IF(A150=$AF$2,$AF$3,IF(A150=$AF$4,$AF$5,IF(A150=$AF$5,$AF$6,IF(A150=$AF$7,$AF$8,""))))))</f>
        <v>#REF!</v>
      </c>
      <c r="B151" t="e">
        <f t="shared" ca="1" si="0"/>
        <v>#REF!</v>
      </c>
      <c r="C151" t="e" cm="1">
        <f t="array" aca="1" ref="C151" ca="1">IF(A151="","",IF(B151="safety","safety costs",INDIRECT("template!"&amp;"B"&amp;A151)))</f>
        <v>#REF!</v>
      </c>
      <c r="D151" t="e" cm="1">
        <f t="array" aca="1" ref="D151" ca="1">IF(OR(A151="",B151="safety"),"",INDIRECT("template!"&amp;"C"&amp;A151))</f>
        <v>#REF!</v>
      </c>
      <c r="E151" t="e" cm="1">
        <f t="array" aca="1" ref="E151" ca="1">IF(A151="","",IF(OR(A151=A150+1,A151=A150+2),E150,INDIRECT("template!"&amp;"D"&amp;A151-2)))</f>
        <v>#REF!</v>
      </c>
      <c r="F151" t="e" cm="1">
        <f t="array" aca="1" ref="F151" ca="1">IF(OR(A151="",B151="safety"),"",IF(ISBLANK(IF(A151=A150+1,F150,INDIRECT("template!"&amp;"D"&amp;A151-1))),"",IF(A151=A150+1,F150,INDIRECT("template!"&amp;"D"&amp;A151-1))))</f>
        <v>#REF!</v>
      </c>
      <c r="G151" t="e" cm="1">
        <f t="array" aca="1" ref="G151" ca="1">IF(OR(A151="",B151="safety"),"",IF(ISBLANK(INDIRECT("template!"&amp;"D"&amp;A151)),"",INDIRECT("template!"&amp;"D"&amp;A151)))</f>
        <v>#REF!</v>
      </c>
      <c r="H151" t="e" cm="1">
        <f t="array" aca="1" ref="H151" ca="1">IF(OR(A151="",B151="safety"),"",IF(ISBLANK(INDIRECT("template!"&amp;"E"&amp;A151)),"",INDIRECT("template!"&amp;"E"&amp;A151)))</f>
        <v>#REF!</v>
      </c>
      <c r="I151" t="e" cm="1">
        <f t="array" aca="1" ref="I151" ca="1">IF(OR(A151="",B151="safety"),"",IF(ISBLANK(INDIRECT("template!"&amp;"F"&amp;A151)),"",INDIRECT("template!"&amp;"F"&amp;A151)))</f>
        <v>#REF!</v>
      </c>
      <c r="J151" t="e" cm="1">
        <f t="array" aca="1" ref="J151" ca="1">IF(OR(A151="",B151="safety"),"",IF(ISBLANK(INDIRECT("template!"&amp;"G"&amp;A151)),"",INDIRECT("template!"&amp;"G"&amp;A151)))</f>
        <v>#REF!</v>
      </c>
      <c r="K151" t="e" cm="1">
        <f t="array" aca="1" ref="K151" ca="1">IF(OR(A151="",B151="safety"),"",IF(ISBLANK(INDIRECT("template!"&amp;"H"&amp;A151)),"",INDIRECT("template!"&amp;"H"&amp;A151)))</f>
        <v>#REF!</v>
      </c>
      <c r="L151" t="e" cm="1">
        <f t="array" aca="1" ref="L151" ca="1">IF(OR(A151="",B151="safety"),"",INDIRECT("template!"&amp;"I"&amp;A151))</f>
        <v>#REF!</v>
      </c>
      <c r="M151" t="e" cm="1">
        <f t="array" aca="1" ref="M151" ca="1">IF(OR(A151="",B151="safety"),"",INDIRECT("template!"&amp;"J"&amp;A151))</f>
        <v>#REF!</v>
      </c>
      <c r="N151" t="e" cm="1">
        <f t="array" aca="1" ref="N151" ca="1">IF(OR(A151="",B151="safety"),"",IF(ISBLANK(INDIRECT("template!"&amp;"K"&amp;A151)),"",INDIRECT("template!"&amp;"K"&amp;A151)))</f>
        <v>#REF!</v>
      </c>
      <c r="O151" t="e" cm="1">
        <f t="array" aca="1" ref="O151" ca="1">IF(OR(A151="",B151="safety"),"",INDIRECT("template!"&amp;"L"&amp;A151))</f>
        <v>#REF!</v>
      </c>
      <c r="P151" t="e" cm="1">
        <f t="array" aca="1" ref="P151" ca="1">IF(OR(A151="",B151="safety"),"",INDIRECT("template!"&amp;"M"&amp;A151))</f>
        <v>#REF!</v>
      </c>
      <c r="Q151" t="e">
        <f t="shared" ca="1" si="11"/>
        <v>#REF!</v>
      </c>
      <c r="R151" t="e">
        <f t="shared" ca="1" si="12"/>
        <v>#REF!</v>
      </c>
      <c r="S151" t="e">
        <f t="shared" ca="1" si="13"/>
        <v>#REF!</v>
      </c>
      <c r="T151" t="e">
        <f t="shared" ca="1" si="14"/>
        <v>#REF!</v>
      </c>
      <c r="U151" t="e" cm="1">
        <f t="array" aca="1" ref="U151" ca="1">IF(A151="","",IF(E151="","",IF(B151="safety",INDIRECT("template!"&amp;"P"&amp;A151),Q151+R151)))</f>
        <v>#REF!</v>
      </c>
      <c r="V151" t="e" cm="1">
        <f t="array" aca="1" ref="V151" ca="1">IF(A151="","",IF(E151="","",IF(B151="safety",INDIRECT("template!"&amp;"P"&amp;A151),S151+T151)))</f>
        <v>#REF!</v>
      </c>
      <c r="W151" t="e">
        <f ca="1">IF(A151="","",IF(E151="","",#REF!))</f>
        <v>#REF!</v>
      </c>
      <c r="X151" t="e">
        <f ca="1">IF(A151="","",IF(E151="","",#REF!))</f>
        <v>#REF!</v>
      </c>
      <c r="Y151" s="39" t="e">
        <f ca="1">IF(A151="","",IF(E151="","",#REF!))</f>
        <v>#REF!</v>
      </c>
      <c r="Z151" t="e">
        <f ca="1">IF(A151="","",IF(E151="","",#REF!))</f>
        <v>#REF!</v>
      </c>
      <c r="AA151" t="e">
        <f ca="1">IF(A151="","",IF(E151="","",#REF!))</f>
        <v>#REF!</v>
      </c>
      <c r="AB151" t="e">
        <f ca="1">IF(A151="","",IF(E151="","",#REF!))</f>
        <v>#REF!</v>
      </c>
      <c r="AC151" t="e">
        <f t="shared" ca="1" si="15"/>
        <v>#REF!</v>
      </c>
    </row>
    <row r="152" spans="1:29" x14ac:dyDescent="0.35">
      <c r="A152" t="e" cm="1">
        <f t="array" aca="1" ref="A152" ca="1">IF(A151="","",IF(OR(AND(A151+1&gt;=$AF$1,A151+1&lt;=$AF$2),AND(A151+1&gt;=$AF$6,A151+1&lt;=$AF$7),AND(A151+1&gt;=$AF$3,A151+1&lt;=$AF$4),AND(A151+1&gt;=$AF$8,A151+1&lt;=$AF$9),A151+1=$AF$5),IF(NOT(ISBLANK(INDIRECT("template!"&amp;"P"&amp;A151+1))),A151+1,IF(NOT(ISBLANK(INDIRECT("template!"&amp;"P"&amp;A151+2))),A151+2,A151+3)),IF(A151=$AF$2,$AF$3,IF(A151=$AF$4,$AF$5,IF(A151=$AF$5,$AF$6,IF(A151=$AF$7,$AF$8,""))))))</f>
        <v>#REF!</v>
      </c>
      <c r="B152" t="e">
        <f t="shared" ca="1" si="0"/>
        <v>#REF!</v>
      </c>
      <c r="C152" t="e" cm="1">
        <f t="array" aca="1" ref="C152" ca="1">IF(A152="","",IF(B152="safety","safety costs",INDIRECT("template!"&amp;"B"&amp;A152)))</f>
        <v>#REF!</v>
      </c>
      <c r="D152" t="e" cm="1">
        <f t="array" aca="1" ref="D152" ca="1">IF(OR(A152="",B152="safety"),"",INDIRECT("template!"&amp;"C"&amp;A152))</f>
        <v>#REF!</v>
      </c>
      <c r="E152" t="e" cm="1">
        <f t="array" aca="1" ref="E152" ca="1">IF(A152="","",IF(OR(A152=A151+1,A152=A151+2),E151,INDIRECT("template!"&amp;"D"&amp;A152-2)))</f>
        <v>#REF!</v>
      </c>
      <c r="F152" t="e" cm="1">
        <f t="array" aca="1" ref="F152" ca="1">IF(OR(A152="",B152="safety"),"",IF(ISBLANK(IF(A152=A151+1,F151,INDIRECT("template!"&amp;"D"&amp;A152-1))),"",IF(A152=A151+1,F151,INDIRECT("template!"&amp;"D"&amp;A152-1))))</f>
        <v>#REF!</v>
      </c>
      <c r="G152" t="e" cm="1">
        <f t="array" aca="1" ref="G152" ca="1">IF(OR(A152="",B152="safety"),"",IF(ISBLANK(INDIRECT("template!"&amp;"D"&amp;A152)),"",INDIRECT("template!"&amp;"D"&amp;A152)))</f>
        <v>#REF!</v>
      </c>
      <c r="H152" t="e" cm="1">
        <f t="array" aca="1" ref="H152" ca="1">IF(OR(A152="",B152="safety"),"",IF(ISBLANK(INDIRECT("template!"&amp;"E"&amp;A152)),"",INDIRECT("template!"&amp;"E"&amp;A152)))</f>
        <v>#REF!</v>
      </c>
      <c r="I152" t="e" cm="1">
        <f t="array" aca="1" ref="I152" ca="1">IF(OR(A152="",B152="safety"),"",IF(ISBLANK(INDIRECT("template!"&amp;"F"&amp;A152)),"",INDIRECT("template!"&amp;"F"&amp;A152)))</f>
        <v>#REF!</v>
      </c>
      <c r="J152" t="e" cm="1">
        <f t="array" aca="1" ref="J152" ca="1">IF(OR(A152="",B152="safety"),"",IF(ISBLANK(INDIRECT("template!"&amp;"G"&amp;A152)),"",INDIRECT("template!"&amp;"G"&amp;A152)))</f>
        <v>#REF!</v>
      </c>
      <c r="K152" t="e" cm="1">
        <f t="array" aca="1" ref="K152" ca="1">IF(OR(A152="",B152="safety"),"",IF(ISBLANK(INDIRECT("template!"&amp;"H"&amp;A152)),"",INDIRECT("template!"&amp;"H"&amp;A152)))</f>
        <v>#REF!</v>
      </c>
      <c r="L152" t="e" cm="1">
        <f t="array" aca="1" ref="L152" ca="1">IF(OR(A152="",B152="safety"),"",INDIRECT("template!"&amp;"I"&amp;A152))</f>
        <v>#REF!</v>
      </c>
      <c r="M152" t="e" cm="1">
        <f t="array" aca="1" ref="M152" ca="1">IF(OR(A152="",B152="safety"),"",INDIRECT("template!"&amp;"J"&amp;A152))</f>
        <v>#REF!</v>
      </c>
      <c r="N152" t="e" cm="1">
        <f t="array" aca="1" ref="N152" ca="1">IF(OR(A152="",B152="safety"),"",IF(ISBLANK(INDIRECT("template!"&amp;"K"&amp;A152)),"",INDIRECT("template!"&amp;"K"&amp;A152)))</f>
        <v>#REF!</v>
      </c>
      <c r="O152" t="e" cm="1">
        <f t="array" aca="1" ref="O152" ca="1">IF(OR(A152="",B152="safety"),"",INDIRECT("template!"&amp;"L"&amp;A152))</f>
        <v>#REF!</v>
      </c>
      <c r="P152" t="e" cm="1">
        <f t="array" aca="1" ref="P152" ca="1">IF(OR(A152="",B152="safety"),"",INDIRECT("template!"&amp;"M"&amp;A152))</f>
        <v>#REF!</v>
      </c>
      <c r="Q152" t="e">
        <f t="shared" ca="1" si="11"/>
        <v>#REF!</v>
      </c>
      <c r="R152" t="e">
        <f t="shared" ca="1" si="12"/>
        <v>#REF!</v>
      </c>
      <c r="S152" t="e">
        <f t="shared" ca="1" si="13"/>
        <v>#REF!</v>
      </c>
      <c r="T152" t="e">
        <f t="shared" ca="1" si="14"/>
        <v>#REF!</v>
      </c>
      <c r="U152" t="e" cm="1">
        <f t="array" aca="1" ref="U152" ca="1">IF(A152="","",IF(E152="","",IF(B152="safety",INDIRECT("template!"&amp;"P"&amp;A152),Q152+R152)))</f>
        <v>#REF!</v>
      </c>
      <c r="V152" t="e" cm="1">
        <f t="array" aca="1" ref="V152" ca="1">IF(A152="","",IF(E152="","",IF(B152="safety",INDIRECT("template!"&amp;"P"&amp;A152),S152+T152)))</f>
        <v>#REF!</v>
      </c>
      <c r="W152" t="e">
        <f ca="1">IF(A152="","",IF(E152="","",#REF!))</f>
        <v>#REF!</v>
      </c>
      <c r="X152" t="e">
        <f ca="1">IF(A152="","",IF(E152="","",#REF!))</f>
        <v>#REF!</v>
      </c>
      <c r="Y152" s="39" t="e">
        <f ca="1">IF(A152="","",IF(E152="","",#REF!))</f>
        <v>#REF!</v>
      </c>
      <c r="Z152" t="e">
        <f ca="1">IF(A152="","",IF(E152="","",#REF!))</f>
        <v>#REF!</v>
      </c>
      <c r="AA152" t="e">
        <f ca="1">IF(A152="","",IF(E152="","",#REF!))</f>
        <v>#REF!</v>
      </c>
      <c r="AB152" t="e">
        <f ca="1">IF(A152="","",IF(E152="","",#REF!))</f>
        <v>#REF!</v>
      </c>
      <c r="AC152" t="e">
        <f t="shared" ca="1" si="15"/>
        <v>#REF!</v>
      </c>
    </row>
    <row r="153" spans="1:29" x14ac:dyDescent="0.35">
      <c r="A153" t="e" cm="1">
        <f t="array" aca="1" ref="A153" ca="1">IF(A152="","",IF(OR(AND(A152+1&gt;=$AF$1,A152+1&lt;=$AF$2),AND(A152+1&gt;=$AF$6,A152+1&lt;=$AF$7),AND(A152+1&gt;=$AF$3,A152+1&lt;=$AF$4),AND(A152+1&gt;=$AF$8,A152+1&lt;=$AF$9),A152+1=$AF$5),IF(NOT(ISBLANK(INDIRECT("template!"&amp;"P"&amp;A152+1))),A152+1,IF(NOT(ISBLANK(INDIRECT("template!"&amp;"P"&amp;A152+2))),A152+2,A152+3)),IF(A152=$AF$2,$AF$3,IF(A152=$AF$4,$AF$5,IF(A152=$AF$5,$AF$6,IF(A152=$AF$7,$AF$8,""))))))</f>
        <v>#REF!</v>
      </c>
      <c r="B153" t="e">
        <f t="shared" ca="1" si="0"/>
        <v>#REF!</v>
      </c>
      <c r="C153" t="e" cm="1">
        <f t="array" aca="1" ref="C153" ca="1">IF(A153="","",IF(B153="safety","safety costs",INDIRECT("template!"&amp;"B"&amp;A153)))</f>
        <v>#REF!</v>
      </c>
      <c r="D153" t="e" cm="1">
        <f t="array" aca="1" ref="D153" ca="1">IF(OR(A153="",B153="safety"),"",INDIRECT("template!"&amp;"C"&amp;A153))</f>
        <v>#REF!</v>
      </c>
      <c r="E153" t="e" cm="1">
        <f t="array" aca="1" ref="E153" ca="1">IF(A153="","",IF(OR(A153=A152+1,A153=A152+2),E152,INDIRECT("template!"&amp;"D"&amp;A153-2)))</f>
        <v>#REF!</v>
      </c>
      <c r="F153" t="e" cm="1">
        <f t="array" aca="1" ref="F153" ca="1">IF(OR(A153="",B153="safety"),"",IF(ISBLANK(IF(A153=A152+1,F152,INDIRECT("template!"&amp;"D"&amp;A153-1))),"",IF(A153=A152+1,F152,INDIRECT("template!"&amp;"D"&amp;A153-1))))</f>
        <v>#REF!</v>
      </c>
      <c r="G153" t="e" cm="1">
        <f t="array" aca="1" ref="G153" ca="1">IF(OR(A153="",B153="safety"),"",IF(ISBLANK(INDIRECT("template!"&amp;"D"&amp;A153)),"",INDIRECT("template!"&amp;"D"&amp;A153)))</f>
        <v>#REF!</v>
      </c>
      <c r="H153" t="e" cm="1">
        <f t="array" aca="1" ref="H153" ca="1">IF(OR(A153="",B153="safety"),"",IF(ISBLANK(INDIRECT("template!"&amp;"E"&amp;A153)),"",INDIRECT("template!"&amp;"E"&amp;A153)))</f>
        <v>#REF!</v>
      </c>
      <c r="I153" t="e" cm="1">
        <f t="array" aca="1" ref="I153" ca="1">IF(OR(A153="",B153="safety"),"",IF(ISBLANK(INDIRECT("template!"&amp;"F"&amp;A153)),"",INDIRECT("template!"&amp;"F"&amp;A153)))</f>
        <v>#REF!</v>
      </c>
      <c r="J153" t="e" cm="1">
        <f t="array" aca="1" ref="J153" ca="1">IF(OR(A153="",B153="safety"),"",IF(ISBLANK(INDIRECT("template!"&amp;"G"&amp;A153)),"",INDIRECT("template!"&amp;"G"&amp;A153)))</f>
        <v>#REF!</v>
      </c>
      <c r="K153" t="e" cm="1">
        <f t="array" aca="1" ref="K153" ca="1">IF(OR(A153="",B153="safety"),"",IF(ISBLANK(INDIRECT("template!"&amp;"H"&amp;A153)),"",INDIRECT("template!"&amp;"H"&amp;A153)))</f>
        <v>#REF!</v>
      </c>
      <c r="L153" t="e" cm="1">
        <f t="array" aca="1" ref="L153" ca="1">IF(OR(A153="",B153="safety"),"",INDIRECT("template!"&amp;"I"&amp;A153))</f>
        <v>#REF!</v>
      </c>
      <c r="M153" t="e" cm="1">
        <f t="array" aca="1" ref="M153" ca="1">IF(OR(A153="",B153="safety"),"",INDIRECT("template!"&amp;"J"&amp;A153))</f>
        <v>#REF!</v>
      </c>
      <c r="N153" t="e" cm="1">
        <f t="array" aca="1" ref="N153" ca="1">IF(OR(A153="",B153="safety"),"",IF(ISBLANK(INDIRECT("template!"&amp;"K"&amp;A153)),"",INDIRECT("template!"&amp;"K"&amp;A153)))</f>
        <v>#REF!</v>
      </c>
      <c r="O153" t="e" cm="1">
        <f t="array" aca="1" ref="O153" ca="1">IF(OR(A153="",B153="safety"),"",INDIRECT("template!"&amp;"L"&amp;A153))</f>
        <v>#REF!</v>
      </c>
      <c r="P153" t="e" cm="1">
        <f t="array" aca="1" ref="P153" ca="1">IF(OR(A153="",B153="safety"),"",INDIRECT("template!"&amp;"M"&amp;A153))</f>
        <v>#REF!</v>
      </c>
      <c r="Q153" t="e">
        <f t="shared" ca="1" si="11"/>
        <v>#REF!</v>
      </c>
      <c r="R153" t="e">
        <f t="shared" ca="1" si="12"/>
        <v>#REF!</v>
      </c>
      <c r="S153" t="e">
        <f t="shared" ca="1" si="13"/>
        <v>#REF!</v>
      </c>
      <c r="T153" t="e">
        <f t="shared" ca="1" si="14"/>
        <v>#REF!</v>
      </c>
      <c r="U153" t="e" cm="1">
        <f t="array" aca="1" ref="U153" ca="1">IF(A153="","",IF(E153="","",IF(B153="safety",INDIRECT("template!"&amp;"P"&amp;A153),Q153+R153)))</f>
        <v>#REF!</v>
      </c>
      <c r="V153" t="e" cm="1">
        <f t="array" aca="1" ref="V153" ca="1">IF(A153="","",IF(E153="","",IF(B153="safety",INDIRECT("template!"&amp;"P"&amp;A153),S153+T153)))</f>
        <v>#REF!</v>
      </c>
      <c r="W153" t="e">
        <f ca="1">IF(A153="","",IF(E153="","",#REF!))</f>
        <v>#REF!</v>
      </c>
      <c r="X153" t="e">
        <f ca="1">IF(A153="","",IF(E153="","",#REF!))</f>
        <v>#REF!</v>
      </c>
      <c r="Y153" s="39" t="e">
        <f ca="1">IF(A153="","",IF(E153="","",#REF!))</f>
        <v>#REF!</v>
      </c>
      <c r="Z153" t="e">
        <f ca="1">IF(A153="","",IF(E153="","",#REF!))</f>
        <v>#REF!</v>
      </c>
      <c r="AA153" t="e">
        <f ca="1">IF(A153="","",IF(E153="","",#REF!))</f>
        <v>#REF!</v>
      </c>
      <c r="AB153" t="e">
        <f ca="1">IF(A153="","",IF(E153="","",#REF!))</f>
        <v>#REF!</v>
      </c>
      <c r="AC153" t="e">
        <f t="shared" ca="1" si="15"/>
        <v>#REF!</v>
      </c>
    </row>
    <row r="154" spans="1:29" x14ac:dyDescent="0.35">
      <c r="A154" t="e" cm="1">
        <f t="array" aca="1" ref="A154" ca="1">IF(A153="","",IF(OR(AND(A153+1&gt;=$AF$1,A153+1&lt;=$AF$2),AND(A153+1&gt;=$AF$6,A153+1&lt;=$AF$7),AND(A153+1&gt;=$AF$3,A153+1&lt;=$AF$4),AND(A153+1&gt;=$AF$8,A153+1&lt;=$AF$9),A153+1=$AF$5),IF(NOT(ISBLANK(INDIRECT("template!"&amp;"P"&amp;A153+1))),A153+1,IF(NOT(ISBLANK(INDIRECT("template!"&amp;"P"&amp;A153+2))),A153+2,A153+3)),IF(A153=$AF$2,$AF$3,IF(A153=$AF$4,$AF$5,IF(A153=$AF$5,$AF$6,IF(A153=$AF$7,$AF$8,""))))))</f>
        <v>#REF!</v>
      </c>
      <c r="B154" t="e">
        <f t="shared" ca="1" si="0"/>
        <v>#REF!</v>
      </c>
      <c r="C154" t="e" cm="1">
        <f t="array" aca="1" ref="C154" ca="1">IF(A154="","",IF(B154="safety","safety costs",INDIRECT("template!"&amp;"B"&amp;A154)))</f>
        <v>#REF!</v>
      </c>
      <c r="D154" t="e" cm="1">
        <f t="array" aca="1" ref="D154" ca="1">IF(OR(A154="",B154="safety"),"",INDIRECT("template!"&amp;"C"&amp;A154))</f>
        <v>#REF!</v>
      </c>
      <c r="E154" t="e" cm="1">
        <f t="array" aca="1" ref="E154" ca="1">IF(A154="","",IF(OR(A154=A153+1,A154=A153+2),E153,INDIRECT("template!"&amp;"D"&amp;A154-2)))</f>
        <v>#REF!</v>
      </c>
      <c r="F154" t="e" cm="1">
        <f t="array" aca="1" ref="F154" ca="1">IF(OR(A154="",B154="safety"),"",IF(ISBLANK(IF(A154=A153+1,F153,INDIRECT("template!"&amp;"D"&amp;A154-1))),"",IF(A154=A153+1,F153,INDIRECT("template!"&amp;"D"&amp;A154-1))))</f>
        <v>#REF!</v>
      </c>
      <c r="G154" t="e" cm="1">
        <f t="array" aca="1" ref="G154" ca="1">IF(OR(A154="",B154="safety"),"",IF(ISBLANK(INDIRECT("template!"&amp;"D"&amp;A154)),"",INDIRECT("template!"&amp;"D"&amp;A154)))</f>
        <v>#REF!</v>
      </c>
      <c r="H154" t="e" cm="1">
        <f t="array" aca="1" ref="H154" ca="1">IF(OR(A154="",B154="safety"),"",IF(ISBLANK(INDIRECT("template!"&amp;"E"&amp;A154)),"",INDIRECT("template!"&amp;"E"&amp;A154)))</f>
        <v>#REF!</v>
      </c>
      <c r="I154" t="e" cm="1">
        <f t="array" aca="1" ref="I154" ca="1">IF(OR(A154="",B154="safety"),"",IF(ISBLANK(INDIRECT("template!"&amp;"F"&amp;A154)),"",INDIRECT("template!"&amp;"F"&amp;A154)))</f>
        <v>#REF!</v>
      </c>
      <c r="J154" t="e" cm="1">
        <f t="array" aca="1" ref="J154" ca="1">IF(OR(A154="",B154="safety"),"",IF(ISBLANK(INDIRECT("template!"&amp;"G"&amp;A154)),"",INDIRECT("template!"&amp;"G"&amp;A154)))</f>
        <v>#REF!</v>
      </c>
      <c r="K154" t="e" cm="1">
        <f t="array" aca="1" ref="K154" ca="1">IF(OR(A154="",B154="safety"),"",IF(ISBLANK(INDIRECT("template!"&amp;"H"&amp;A154)),"",INDIRECT("template!"&amp;"H"&amp;A154)))</f>
        <v>#REF!</v>
      </c>
      <c r="L154" t="e" cm="1">
        <f t="array" aca="1" ref="L154" ca="1">IF(OR(A154="",B154="safety"),"",INDIRECT("template!"&amp;"I"&amp;A154))</f>
        <v>#REF!</v>
      </c>
      <c r="M154" t="e" cm="1">
        <f t="array" aca="1" ref="M154" ca="1">IF(OR(A154="",B154="safety"),"",INDIRECT("template!"&amp;"J"&amp;A154))</f>
        <v>#REF!</v>
      </c>
      <c r="N154" t="e" cm="1">
        <f t="array" aca="1" ref="N154" ca="1">IF(OR(A154="",B154="safety"),"",IF(ISBLANK(INDIRECT("template!"&amp;"K"&amp;A154)),"",INDIRECT("template!"&amp;"K"&amp;A154)))</f>
        <v>#REF!</v>
      </c>
      <c r="O154" t="e" cm="1">
        <f t="array" aca="1" ref="O154" ca="1">IF(OR(A154="",B154="safety"),"",INDIRECT("template!"&amp;"L"&amp;A154))</f>
        <v>#REF!</v>
      </c>
      <c r="P154" t="e" cm="1">
        <f t="array" aca="1" ref="P154" ca="1">IF(OR(A154="",B154="safety"),"",INDIRECT("template!"&amp;"M"&amp;A154))</f>
        <v>#REF!</v>
      </c>
      <c r="Q154" t="e">
        <f t="shared" ca="1" si="11"/>
        <v>#REF!</v>
      </c>
      <c r="R154" t="e">
        <f t="shared" ca="1" si="12"/>
        <v>#REF!</v>
      </c>
      <c r="S154" t="e">
        <f t="shared" ca="1" si="13"/>
        <v>#REF!</v>
      </c>
      <c r="T154" t="e">
        <f t="shared" ca="1" si="14"/>
        <v>#REF!</v>
      </c>
      <c r="U154" t="e" cm="1">
        <f t="array" aca="1" ref="U154" ca="1">IF(A154="","",IF(E154="","",IF(B154="safety",INDIRECT("template!"&amp;"P"&amp;A154),Q154+R154)))</f>
        <v>#REF!</v>
      </c>
      <c r="V154" t="e" cm="1">
        <f t="array" aca="1" ref="V154" ca="1">IF(A154="","",IF(E154="","",IF(B154="safety",INDIRECT("template!"&amp;"P"&amp;A154),S154+T154)))</f>
        <v>#REF!</v>
      </c>
      <c r="W154" t="e">
        <f ca="1">IF(A154="","",IF(E154="","",#REF!))</f>
        <v>#REF!</v>
      </c>
      <c r="X154" t="e">
        <f ca="1">IF(A154="","",IF(E154="","",#REF!))</f>
        <v>#REF!</v>
      </c>
      <c r="Y154" s="39" t="e">
        <f ca="1">IF(A154="","",IF(E154="","",#REF!))</f>
        <v>#REF!</v>
      </c>
      <c r="Z154" t="e">
        <f ca="1">IF(A154="","",IF(E154="","",#REF!))</f>
        <v>#REF!</v>
      </c>
      <c r="AA154" t="e">
        <f ca="1">IF(A154="","",IF(E154="","",#REF!))</f>
        <v>#REF!</v>
      </c>
      <c r="AB154" t="e">
        <f ca="1">IF(A154="","",IF(E154="","",#REF!))</f>
        <v>#REF!</v>
      </c>
      <c r="AC154" t="e">
        <f t="shared" ca="1" si="15"/>
        <v>#REF!</v>
      </c>
    </row>
    <row r="155" spans="1:29" x14ac:dyDescent="0.35">
      <c r="A155" t="e" cm="1">
        <f t="array" aca="1" ref="A155" ca="1">IF(A154="","",IF(OR(AND(A154+1&gt;=$AF$1,A154+1&lt;=$AF$2),AND(A154+1&gt;=$AF$6,A154+1&lt;=$AF$7),AND(A154+1&gt;=$AF$3,A154+1&lt;=$AF$4),AND(A154+1&gt;=$AF$8,A154+1&lt;=$AF$9),A154+1=$AF$5),IF(NOT(ISBLANK(INDIRECT("template!"&amp;"P"&amp;A154+1))),A154+1,IF(NOT(ISBLANK(INDIRECT("template!"&amp;"P"&amp;A154+2))),A154+2,A154+3)),IF(A154=$AF$2,$AF$3,IF(A154=$AF$4,$AF$5,IF(A154=$AF$5,$AF$6,IF(A154=$AF$7,$AF$8,""))))))</f>
        <v>#REF!</v>
      </c>
      <c r="B155" t="e">
        <f t="shared" ca="1" si="0"/>
        <v>#REF!</v>
      </c>
      <c r="C155" t="e" cm="1">
        <f t="array" aca="1" ref="C155" ca="1">IF(A155="","",IF(B155="safety","safety costs",INDIRECT("template!"&amp;"B"&amp;A155)))</f>
        <v>#REF!</v>
      </c>
      <c r="D155" t="e" cm="1">
        <f t="array" aca="1" ref="D155" ca="1">IF(OR(A155="",B155="safety"),"",INDIRECT("template!"&amp;"C"&amp;A155))</f>
        <v>#REF!</v>
      </c>
      <c r="E155" t="e" cm="1">
        <f t="array" aca="1" ref="E155" ca="1">IF(A155="","",IF(OR(A155=A154+1,A155=A154+2),E154,INDIRECT("template!"&amp;"D"&amp;A155-2)))</f>
        <v>#REF!</v>
      </c>
      <c r="F155" t="e" cm="1">
        <f t="array" aca="1" ref="F155" ca="1">IF(OR(A155="",B155="safety"),"",IF(ISBLANK(IF(A155=A154+1,F154,INDIRECT("template!"&amp;"D"&amp;A155-1))),"",IF(A155=A154+1,F154,INDIRECT("template!"&amp;"D"&amp;A155-1))))</f>
        <v>#REF!</v>
      </c>
      <c r="G155" t="e" cm="1">
        <f t="array" aca="1" ref="G155" ca="1">IF(OR(A155="",B155="safety"),"",IF(ISBLANK(INDIRECT("template!"&amp;"D"&amp;A155)),"",INDIRECT("template!"&amp;"D"&amp;A155)))</f>
        <v>#REF!</v>
      </c>
      <c r="H155" t="e" cm="1">
        <f t="array" aca="1" ref="H155" ca="1">IF(OR(A155="",B155="safety"),"",IF(ISBLANK(INDIRECT("template!"&amp;"E"&amp;A155)),"",INDIRECT("template!"&amp;"E"&amp;A155)))</f>
        <v>#REF!</v>
      </c>
      <c r="I155" t="e" cm="1">
        <f t="array" aca="1" ref="I155" ca="1">IF(OR(A155="",B155="safety"),"",IF(ISBLANK(INDIRECT("template!"&amp;"F"&amp;A155)),"",INDIRECT("template!"&amp;"F"&amp;A155)))</f>
        <v>#REF!</v>
      </c>
      <c r="J155" t="e" cm="1">
        <f t="array" aca="1" ref="J155" ca="1">IF(OR(A155="",B155="safety"),"",IF(ISBLANK(INDIRECT("template!"&amp;"G"&amp;A155)),"",INDIRECT("template!"&amp;"G"&amp;A155)))</f>
        <v>#REF!</v>
      </c>
      <c r="K155" t="e" cm="1">
        <f t="array" aca="1" ref="K155" ca="1">IF(OR(A155="",B155="safety"),"",IF(ISBLANK(INDIRECT("template!"&amp;"H"&amp;A155)),"",INDIRECT("template!"&amp;"H"&amp;A155)))</f>
        <v>#REF!</v>
      </c>
      <c r="L155" t="e" cm="1">
        <f t="array" aca="1" ref="L155" ca="1">IF(OR(A155="",B155="safety"),"",INDIRECT("template!"&amp;"I"&amp;A155))</f>
        <v>#REF!</v>
      </c>
      <c r="M155" t="e" cm="1">
        <f t="array" aca="1" ref="M155" ca="1">IF(OR(A155="",B155="safety"),"",INDIRECT("template!"&amp;"J"&amp;A155))</f>
        <v>#REF!</v>
      </c>
      <c r="N155" t="e" cm="1">
        <f t="array" aca="1" ref="N155" ca="1">IF(OR(A155="",B155="safety"),"",IF(ISBLANK(INDIRECT("template!"&amp;"K"&amp;A155)),"",INDIRECT("template!"&amp;"K"&amp;A155)))</f>
        <v>#REF!</v>
      </c>
      <c r="O155" t="e" cm="1">
        <f t="array" aca="1" ref="O155" ca="1">IF(OR(A155="",B155="safety"),"",INDIRECT("template!"&amp;"L"&amp;A155))</f>
        <v>#REF!</v>
      </c>
      <c r="P155" t="e" cm="1">
        <f t="array" aca="1" ref="P155" ca="1">IF(OR(A155="",B155="safety"),"",INDIRECT("template!"&amp;"M"&amp;A155))</f>
        <v>#REF!</v>
      </c>
      <c r="Q155" t="e">
        <f t="shared" ca="1" si="11"/>
        <v>#REF!</v>
      </c>
      <c r="R155" t="e">
        <f t="shared" ca="1" si="12"/>
        <v>#REF!</v>
      </c>
      <c r="S155" t="e">
        <f t="shared" ca="1" si="13"/>
        <v>#REF!</v>
      </c>
      <c r="T155" t="e">
        <f t="shared" ca="1" si="14"/>
        <v>#REF!</v>
      </c>
      <c r="U155" t="e" cm="1">
        <f t="array" aca="1" ref="U155" ca="1">IF(A155="","",IF(E155="","",IF(B155="safety",INDIRECT("template!"&amp;"P"&amp;A155),Q155+R155)))</f>
        <v>#REF!</v>
      </c>
      <c r="V155" t="e" cm="1">
        <f t="array" aca="1" ref="V155" ca="1">IF(A155="","",IF(E155="","",IF(B155="safety",INDIRECT("template!"&amp;"P"&amp;A155),S155+T155)))</f>
        <v>#REF!</v>
      </c>
      <c r="W155" t="e">
        <f ca="1">IF(A155="","",IF(E155="","",#REF!))</f>
        <v>#REF!</v>
      </c>
      <c r="X155" t="e">
        <f ca="1">IF(A155="","",IF(E155="","",#REF!))</f>
        <v>#REF!</v>
      </c>
      <c r="Y155" s="39" t="e">
        <f ca="1">IF(A155="","",IF(E155="","",#REF!))</f>
        <v>#REF!</v>
      </c>
      <c r="Z155" t="e">
        <f ca="1">IF(A155="","",IF(E155="","",#REF!))</f>
        <v>#REF!</v>
      </c>
      <c r="AA155" t="e">
        <f ca="1">IF(A155="","",IF(E155="","",#REF!))</f>
        <v>#REF!</v>
      </c>
      <c r="AB155" t="e">
        <f ca="1">IF(A155="","",IF(E155="","",#REF!))</f>
        <v>#REF!</v>
      </c>
      <c r="AC155" t="e">
        <f t="shared" ca="1" si="15"/>
        <v>#REF!</v>
      </c>
    </row>
    <row r="156" spans="1:29" x14ac:dyDescent="0.35">
      <c r="A156" t="e" cm="1">
        <f t="array" aca="1" ref="A156" ca="1">IF(A155="","",IF(OR(AND(A155+1&gt;=$AF$1,A155+1&lt;=$AF$2),AND(A155+1&gt;=$AF$6,A155+1&lt;=$AF$7),AND(A155+1&gt;=$AF$3,A155+1&lt;=$AF$4),AND(A155+1&gt;=$AF$8,A155+1&lt;=$AF$9),A155+1=$AF$5),IF(NOT(ISBLANK(INDIRECT("template!"&amp;"P"&amp;A155+1))),A155+1,IF(NOT(ISBLANK(INDIRECT("template!"&amp;"P"&amp;A155+2))),A155+2,A155+3)),IF(A155=$AF$2,$AF$3,IF(A155=$AF$4,$AF$5,IF(A155=$AF$5,$AF$6,IF(A155=$AF$7,$AF$8,""))))))</f>
        <v>#REF!</v>
      </c>
      <c r="B156" t="e">
        <f t="shared" ca="1" si="0"/>
        <v>#REF!</v>
      </c>
      <c r="C156" t="e" cm="1">
        <f t="array" aca="1" ref="C156" ca="1">IF(A156="","",IF(B156="safety","safety costs",INDIRECT("template!"&amp;"B"&amp;A156)))</f>
        <v>#REF!</v>
      </c>
      <c r="D156" t="e" cm="1">
        <f t="array" aca="1" ref="D156" ca="1">IF(OR(A156="",B156="safety"),"",INDIRECT("template!"&amp;"C"&amp;A156))</f>
        <v>#REF!</v>
      </c>
      <c r="E156" t="e" cm="1">
        <f t="array" aca="1" ref="E156" ca="1">IF(A156="","",IF(OR(A156=A155+1,A156=A155+2),E155,INDIRECT("template!"&amp;"D"&amp;A156-2)))</f>
        <v>#REF!</v>
      </c>
      <c r="F156" t="e" cm="1">
        <f t="array" aca="1" ref="F156" ca="1">IF(OR(A156="",B156="safety"),"",IF(ISBLANK(IF(A156=A155+1,F155,INDIRECT("template!"&amp;"D"&amp;A156-1))),"",IF(A156=A155+1,F155,INDIRECT("template!"&amp;"D"&amp;A156-1))))</f>
        <v>#REF!</v>
      </c>
      <c r="G156" t="e" cm="1">
        <f t="array" aca="1" ref="G156" ca="1">IF(OR(A156="",B156="safety"),"",IF(ISBLANK(INDIRECT("template!"&amp;"D"&amp;A156)),"",INDIRECT("template!"&amp;"D"&amp;A156)))</f>
        <v>#REF!</v>
      </c>
      <c r="H156" t="e" cm="1">
        <f t="array" aca="1" ref="H156" ca="1">IF(OR(A156="",B156="safety"),"",IF(ISBLANK(INDIRECT("template!"&amp;"E"&amp;A156)),"",INDIRECT("template!"&amp;"E"&amp;A156)))</f>
        <v>#REF!</v>
      </c>
      <c r="I156" t="e" cm="1">
        <f t="array" aca="1" ref="I156" ca="1">IF(OR(A156="",B156="safety"),"",IF(ISBLANK(INDIRECT("template!"&amp;"F"&amp;A156)),"",INDIRECT("template!"&amp;"F"&amp;A156)))</f>
        <v>#REF!</v>
      </c>
      <c r="J156" t="e" cm="1">
        <f t="array" aca="1" ref="J156" ca="1">IF(OR(A156="",B156="safety"),"",IF(ISBLANK(INDIRECT("template!"&amp;"G"&amp;A156)),"",INDIRECT("template!"&amp;"G"&amp;A156)))</f>
        <v>#REF!</v>
      </c>
      <c r="K156" t="e" cm="1">
        <f t="array" aca="1" ref="K156" ca="1">IF(OR(A156="",B156="safety"),"",IF(ISBLANK(INDIRECT("template!"&amp;"H"&amp;A156)),"",INDIRECT("template!"&amp;"H"&amp;A156)))</f>
        <v>#REF!</v>
      </c>
      <c r="L156" t="e" cm="1">
        <f t="array" aca="1" ref="L156" ca="1">IF(OR(A156="",B156="safety"),"",INDIRECT("template!"&amp;"I"&amp;A156))</f>
        <v>#REF!</v>
      </c>
      <c r="M156" t="e" cm="1">
        <f t="array" aca="1" ref="M156" ca="1">IF(OR(A156="",B156="safety"),"",INDIRECT("template!"&amp;"J"&amp;A156))</f>
        <v>#REF!</v>
      </c>
      <c r="N156" t="e" cm="1">
        <f t="array" aca="1" ref="N156" ca="1">IF(OR(A156="",B156="safety"),"",IF(ISBLANK(INDIRECT("template!"&amp;"K"&amp;A156)),"",INDIRECT("template!"&amp;"K"&amp;A156)))</f>
        <v>#REF!</v>
      </c>
      <c r="O156" t="e" cm="1">
        <f t="array" aca="1" ref="O156" ca="1">IF(OR(A156="",B156="safety"),"",INDIRECT("template!"&amp;"L"&amp;A156))</f>
        <v>#REF!</v>
      </c>
      <c r="P156" t="e" cm="1">
        <f t="array" aca="1" ref="P156" ca="1">IF(OR(A156="",B156="safety"),"",INDIRECT("template!"&amp;"M"&amp;A156))</f>
        <v>#REF!</v>
      </c>
      <c r="Q156" t="e">
        <f t="shared" ca="1" si="11"/>
        <v>#REF!</v>
      </c>
      <c r="R156" t="e">
        <f t="shared" ca="1" si="12"/>
        <v>#REF!</v>
      </c>
      <c r="S156" t="e">
        <f t="shared" ca="1" si="13"/>
        <v>#REF!</v>
      </c>
      <c r="T156" t="e">
        <f t="shared" ca="1" si="14"/>
        <v>#REF!</v>
      </c>
      <c r="U156" t="e" cm="1">
        <f t="array" aca="1" ref="U156" ca="1">IF(A156="","",IF(E156="","",IF(B156="safety",INDIRECT("template!"&amp;"P"&amp;A156),Q156+R156)))</f>
        <v>#REF!</v>
      </c>
      <c r="V156" t="e" cm="1">
        <f t="array" aca="1" ref="V156" ca="1">IF(A156="","",IF(E156="","",IF(B156="safety",INDIRECT("template!"&amp;"P"&amp;A156),S156+T156)))</f>
        <v>#REF!</v>
      </c>
      <c r="W156" t="e">
        <f ca="1">IF(A156="","",IF(E156="","",#REF!))</f>
        <v>#REF!</v>
      </c>
      <c r="X156" t="e">
        <f ca="1">IF(A156="","",IF(E156="","",#REF!))</f>
        <v>#REF!</v>
      </c>
      <c r="Y156" s="39" t="e">
        <f ca="1">IF(A156="","",IF(E156="","",#REF!))</f>
        <v>#REF!</v>
      </c>
      <c r="Z156" t="e">
        <f ca="1">IF(A156="","",IF(E156="","",#REF!))</f>
        <v>#REF!</v>
      </c>
      <c r="AA156" t="e">
        <f ca="1">IF(A156="","",IF(E156="","",#REF!))</f>
        <v>#REF!</v>
      </c>
      <c r="AB156" t="e">
        <f ca="1">IF(A156="","",IF(E156="","",#REF!))</f>
        <v>#REF!</v>
      </c>
      <c r="AC156" t="e">
        <f t="shared" ca="1" si="15"/>
        <v>#REF!</v>
      </c>
    </row>
    <row r="157" spans="1:29" x14ac:dyDescent="0.35">
      <c r="A157" t="e" cm="1">
        <f t="array" aca="1" ref="A157" ca="1">IF(A156="","",IF(OR(AND(A156+1&gt;=$AF$1,A156+1&lt;=$AF$2),AND(A156+1&gt;=$AF$6,A156+1&lt;=$AF$7),AND(A156+1&gt;=$AF$3,A156+1&lt;=$AF$4),AND(A156+1&gt;=$AF$8,A156+1&lt;=$AF$9),A156+1=$AF$5),IF(NOT(ISBLANK(INDIRECT("template!"&amp;"P"&amp;A156+1))),A156+1,IF(NOT(ISBLANK(INDIRECT("template!"&amp;"P"&amp;A156+2))),A156+2,A156+3)),IF(A156=$AF$2,$AF$3,IF(A156=$AF$4,$AF$5,IF(A156=$AF$5,$AF$6,IF(A156=$AF$7,$AF$8,""))))))</f>
        <v>#REF!</v>
      </c>
      <c r="B157" t="e">
        <f t="shared" ca="1" si="0"/>
        <v>#REF!</v>
      </c>
      <c r="C157" t="e" cm="1">
        <f t="array" aca="1" ref="C157" ca="1">IF(A157="","",IF(B157="safety","safety costs",INDIRECT("template!"&amp;"B"&amp;A157)))</f>
        <v>#REF!</v>
      </c>
      <c r="D157" t="e" cm="1">
        <f t="array" aca="1" ref="D157" ca="1">IF(OR(A157="",B157="safety"),"",INDIRECT("template!"&amp;"C"&amp;A157))</f>
        <v>#REF!</v>
      </c>
      <c r="E157" t="e" cm="1">
        <f t="array" aca="1" ref="E157" ca="1">IF(A157="","",IF(OR(A157=A156+1,A157=A156+2),E156,INDIRECT("template!"&amp;"D"&amp;A157-2)))</f>
        <v>#REF!</v>
      </c>
      <c r="F157" t="e" cm="1">
        <f t="array" aca="1" ref="F157" ca="1">IF(OR(A157="",B157="safety"),"",IF(ISBLANK(IF(A157=A156+1,F156,INDIRECT("template!"&amp;"D"&amp;A157-1))),"",IF(A157=A156+1,F156,INDIRECT("template!"&amp;"D"&amp;A157-1))))</f>
        <v>#REF!</v>
      </c>
      <c r="G157" t="e" cm="1">
        <f t="array" aca="1" ref="G157" ca="1">IF(OR(A157="",B157="safety"),"",IF(ISBLANK(INDIRECT("template!"&amp;"D"&amp;A157)),"",INDIRECT("template!"&amp;"D"&amp;A157)))</f>
        <v>#REF!</v>
      </c>
      <c r="H157" t="e" cm="1">
        <f t="array" aca="1" ref="H157" ca="1">IF(OR(A157="",B157="safety"),"",IF(ISBLANK(INDIRECT("template!"&amp;"E"&amp;A157)),"",INDIRECT("template!"&amp;"E"&amp;A157)))</f>
        <v>#REF!</v>
      </c>
      <c r="I157" t="e" cm="1">
        <f t="array" aca="1" ref="I157" ca="1">IF(OR(A157="",B157="safety"),"",IF(ISBLANK(INDIRECT("template!"&amp;"F"&amp;A157)),"",INDIRECT("template!"&amp;"F"&amp;A157)))</f>
        <v>#REF!</v>
      </c>
      <c r="J157" t="e" cm="1">
        <f t="array" aca="1" ref="J157" ca="1">IF(OR(A157="",B157="safety"),"",IF(ISBLANK(INDIRECT("template!"&amp;"G"&amp;A157)),"",INDIRECT("template!"&amp;"G"&amp;A157)))</f>
        <v>#REF!</v>
      </c>
      <c r="K157" t="e" cm="1">
        <f t="array" aca="1" ref="K157" ca="1">IF(OR(A157="",B157="safety"),"",IF(ISBLANK(INDIRECT("template!"&amp;"H"&amp;A157)),"",INDIRECT("template!"&amp;"H"&amp;A157)))</f>
        <v>#REF!</v>
      </c>
      <c r="L157" t="e" cm="1">
        <f t="array" aca="1" ref="L157" ca="1">IF(OR(A157="",B157="safety"),"",INDIRECT("template!"&amp;"I"&amp;A157))</f>
        <v>#REF!</v>
      </c>
      <c r="M157" t="e" cm="1">
        <f t="array" aca="1" ref="M157" ca="1">IF(OR(A157="",B157="safety"),"",INDIRECT("template!"&amp;"J"&amp;A157))</f>
        <v>#REF!</v>
      </c>
      <c r="N157" t="e" cm="1">
        <f t="array" aca="1" ref="N157" ca="1">IF(OR(A157="",B157="safety"),"",IF(ISBLANK(INDIRECT("template!"&amp;"K"&amp;A157)),"",INDIRECT("template!"&amp;"K"&amp;A157)))</f>
        <v>#REF!</v>
      </c>
      <c r="O157" t="e" cm="1">
        <f t="array" aca="1" ref="O157" ca="1">IF(OR(A157="",B157="safety"),"",INDIRECT("template!"&amp;"L"&amp;A157))</f>
        <v>#REF!</v>
      </c>
      <c r="P157" t="e" cm="1">
        <f t="array" aca="1" ref="P157" ca="1">IF(OR(A157="",B157="safety"),"",INDIRECT("template!"&amp;"M"&amp;A157))</f>
        <v>#REF!</v>
      </c>
      <c r="Q157" t="e">
        <f t="shared" ca="1" si="11"/>
        <v>#REF!</v>
      </c>
      <c r="R157" t="e">
        <f t="shared" ca="1" si="12"/>
        <v>#REF!</v>
      </c>
      <c r="S157" t="e">
        <f t="shared" ca="1" si="13"/>
        <v>#REF!</v>
      </c>
      <c r="T157" t="e">
        <f t="shared" ca="1" si="14"/>
        <v>#REF!</v>
      </c>
      <c r="U157" t="e" cm="1">
        <f t="array" aca="1" ref="U157" ca="1">IF(A157="","",IF(E157="","",IF(B157="safety",INDIRECT("template!"&amp;"P"&amp;A157),Q157+R157)))</f>
        <v>#REF!</v>
      </c>
      <c r="V157" t="e" cm="1">
        <f t="array" aca="1" ref="V157" ca="1">IF(A157="","",IF(E157="","",IF(B157="safety",INDIRECT("template!"&amp;"P"&amp;A157),S157+T157)))</f>
        <v>#REF!</v>
      </c>
      <c r="W157" t="e">
        <f ca="1">IF(A157="","",IF(E157="","",#REF!))</f>
        <v>#REF!</v>
      </c>
      <c r="X157" t="e">
        <f ca="1">IF(A157="","",IF(E157="","",#REF!))</f>
        <v>#REF!</v>
      </c>
      <c r="Y157" s="39" t="e">
        <f ca="1">IF(A157="","",IF(E157="","",#REF!))</f>
        <v>#REF!</v>
      </c>
      <c r="Z157" t="e">
        <f ca="1">IF(A157="","",IF(E157="","",#REF!))</f>
        <v>#REF!</v>
      </c>
      <c r="AA157" t="e">
        <f ca="1">IF(A157="","",IF(E157="","",#REF!))</f>
        <v>#REF!</v>
      </c>
      <c r="AB157" t="e">
        <f ca="1">IF(A157="","",IF(E157="","",#REF!))</f>
        <v>#REF!</v>
      </c>
      <c r="AC157" t="e">
        <f t="shared" ca="1" si="15"/>
        <v>#REF!</v>
      </c>
    </row>
    <row r="158" spans="1:29" x14ac:dyDescent="0.35">
      <c r="A158" t="e" cm="1">
        <f t="array" aca="1" ref="A158" ca="1">IF(A157="","",IF(OR(AND(A157+1&gt;=$AF$1,A157+1&lt;=$AF$2),AND(A157+1&gt;=$AF$6,A157+1&lt;=$AF$7),AND(A157+1&gt;=$AF$3,A157+1&lt;=$AF$4),AND(A157+1&gt;=$AF$8,A157+1&lt;=$AF$9),A157+1=$AF$5),IF(NOT(ISBLANK(INDIRECT("template!"&amp;"P"&amp;A157+1))),A157+1,IF(NOT(ISBLANK(INDIRECT("template!"&amp;"P"&amp;A157+2))),A157+2,A157+3)),IF(A157=$AF$2,$AF$3,IF(A157=$AF$4,$AF$5,IF(A157=$AF$5,$AF$6,IF(A157=$AF$7,$AF$8,""))))))</f>
        <v>#REF!</v>
      </c>
      <c r="B158" t="e">
        <f t="shared" ca="1" si="0"/>
        <v>#REF!</v>
      </c>
      <c r="C158" t="e" cm="1">
        <f t="array" aca="1" ref="C158" ca="1">IF(A158="","",IF(B158="safety","safety costs",INDIRECT("template!"&amp;"B"&amp;A158)))</f>
        <v>#REF!</v>
      </c>
      <c r="D158" t="e" cm="1">
        <f t="array" aca="1" ref="D158" ca="1">IF(OR(A158="",B158="safety"),"",INDIRECT("template!"&amp;"C"&amp;A158))</f>
        <v>#REF!</v>
      </c>
      <c r="E158" t="e" cm="1">
        <f t="array" aca="1" ref="E158" ca="1">IF(A158="","",IF(OR(A158=A157+1,A158=A157+2),E157,INDIRECT("template!"&amp;"D"&amp;A158-2)))</f>
        <v>#REF!</v>
      </c>
      <c r="F158" t="e" cm="1">
        <f t="array" aca="1" ref="F158" ca="1">IF(OR(A158="",B158="safety"),"",IF(ISBLANK(IF(A158=A157+1,F157,INDIRECT("template!"&amp;"D"&amp;A158-1))),"",IF(A158=A157+1,F157,INDIRECT("template!"&amp;"D"&amp;A158-1))))</f>
        <v>#REF!</v>
      </c>
      <c r="G158" t="e" cm="1">
        <f t="array" aca="1" ref="G158" ca="1">IF(OR(A158="",B158="safety"),"",IF(ISBLANK(INDIRECT("template!"&amp;"D"&amp;A158)),"",INDIRECT("template!"&amp;"D"&amp;A158)))</f>
        <v>#REF!</v>
      </c>
      <c r="H158" t="e" cm="1">
        <f t="array" aca="1" ref="H158" ca="1">IF(OR(A158="",B158="safety"),"",IF(ISBLANK(INDIRECT("template!"&amp;"E"&amp;A158)),"",INDIRECT("template!"&amp;"E"&amp;A158)))</f>
        <v>#REF!</v>
      </c>
      <c r="I158" t="e" cm="1">
        <f t="array" aca="1" ref="I158" ca="1">IF(OR(A158="",B158="safety"),"",IF(ISBLANK(INDIRECT("template!"&amp;"F"&amp;A158)),"",INDIRECT("template!"&amp;"F"&amp;A158)))</f>
        <v>#REF!</v>
      </c>
      <c r="J158" t="e" cm="1">
        <f t="array" aca="1" ref="J158" ca="1">IF(OR(A158="",B158="safety"),"",IF(ISBLANK(INDIRECT("template!"&amp;"G"&amp;A158)),"",INDIRECT("template!"&amp;"G"&amp;A158)))</f>
        <v>#REF!</v>
      </c>
      <c r="K158" t="e" cm="1">
        <f t="array" aca="1" ref="K158" ca="1">IF(OR(A158="",B158="safety"),"",IF(ISBLANK(INDIRECT("template!"&amp;"H"&amp;A158)),"",INDIRECT("template!"&amp;"H"&amp;A158)))</f>
        <v>#REF!</v>
      </c>
      <c r="L158" t="e" cm="1">
        <f t="array" aca="1" ref="L158" ca="1">IF(OR(A158="",B158="safety"),"",INDIRECT("template!"&amp;"I"&amp;A158))</f>
        <v>#REF!</v>
      </c>
      <c r="M158" t="e" cm="1">
        <f t="array" aca="1" ref="M158" ca="1">IF(OR(A158="",B158="safety"),"",INDIRECT("template!"&amp;"J"&amp;A158))</f>
        <v>#REF!</v>
      </c>
      <c r="N158" t="e" cm="1">
        <f t="array" aca="1" ref="N158" ca="1">IF(OR(A158="",B158="safety"),"",IF(ISBLANK(INDIRECT("template!"&amp;"K"&amp;A158)),"",INDIRECT("template!"&amp;"K"&amp;A158)))</f>
        <v>#REF!</v>
      </c>
      <c r="O158" t="e" cm="1">
        <f t="array" aca="1" ref="O158" ca="1">IF(OR(A158="",B158="safety"),"",INDIRECT("template!"&amp;"L"&amp;A158))</f>
        <v>#REF!</v>
      </c>
      <c r="P158" t="e" cm="1">
        <f t="array" aca="1" ref="P158" ca="1">IF(OR(A158="",B158="safety"),"",INDIRECT("template!"&amp;"M"&amp;A158))</f>
        <v>#REF!</v>
      </c>
      <c r="Q158" t="e">
        <f t="shared" ca="1" si="11"/>
        <v>#REF!</v>
      </c>
      <c r="R158" t="e">
        <f t="shared" ca="1" si="12"/>
        <v>#REF!</v>
      </c>
      <c r="S158" t="e">
        <f t="shared" ca="1" si="13"/>
        <v>#REF!</v>
      </c>
      <c r="T158" t="e">
        <f t="shared" ca="1" si="14"/>
        <v>#REF!</v>
      </c>
      <c r="U158" t="e" cm="1">
        <f t="array" aca="1" ref="U158" ca="1">IF(A158="","",IF(E158="","",IF(B158="safety",INDIRECT("template!"&amp;"P"&amp;A158),Q158+R158)))</f>
        <v>#REF!</v>
      </c>
      <c r="V158" t="e" cm="1">
        <f t="array" aca="1" ref="V158" ca="1">IF(A158="","",IF(E158="","",IF(B158="safety",INDIRECT("template!"&amp;"P"&amp;A158),S158+T158)))</f>
        <v>#REF!</v>
      </c>
      <c r="W158" t="e">
        <f ca="1">IF(A158="","",IF(E158="","",#REF!))</f>
        <v>#REF!</v>
      </c>
      <c r="X158" t="e">
        <f ca="1">IF(A158="","",IF(E158="","",#REF!))</f>
        <v>#REF!</v>
      </c>
      <c r="Y158" s="39" t="e">
        <f ca="1">IF(A158="","",IF(E158="","",#REF!))</f>
        <v>#REF!</v>
      </c>
      <c r="Z158" t="e">
        <f ca="1">IF(A158="","",IF(E158="","",#REF!))</f>
        <v>#REF!</v>
      </c>
      <c r="AA158" t="e">
        <f ca="1">IF(A158="","",IF(E158="","",#REF!))</f>
        <v>#REF!</v>
      </c>
      <c r="AB158" t="e">
        <f ca="1">IF(A158="","",IF(E158="","",#REF!))</f>
        <v>#REF!</v>
      </c>
      <c r="AC158" t="e">
        <f t="shared" ca="1" si="15"/>
        <v>#REF!</v>
      </c>
    </row>
    <row r="159" spans="1:29" x14ac:dyDescent="0.35">
      <c r="A159" t="e" cm="1">
        <f t="array" aca="1" ref="A159" ca="1">IF(A158="","",IF(OR(AND(A158+1&gt;=$AF$1,A158+1&lt;=$AF$2),AND(A158+1&gt;=$AF$6,A158+1&lt;=$AF$7),AND(A158+1&gt;=$AF$3,A158+1&lt;=$AF$4),AND(A158+1&gt;=$AF$8,A158+1&lt;=$AF$9),A158+1=$AF$5),IF(NOT(ISBLANK(INDIRECT("template!"&amp;"P"&amp;A158+1))),A158+1,IF(NOT(ISBLANK(INDIRECT("template!"&amp;"P"&amp;A158+2))),A158+2,A158+3)),IF(A158=$AF$2,$AF$3,IF(A158=$AF$4,$AF$5,IF(A158=$AF$5,$AF$6,IF(A158=$AF$7,$AF$8,""))))))</f>
        <v>#REF!</v>
      </c>
      <c r="B159" t="e">
        <f t="shared" ca="1" si="0"/>
        <v>#REF!</v>
      </c>
      <c r="C159" t="e" cm="1">
        <f t="array" aca="1" ref="C159" ca="1">IF(A159="","",IF(B159="safety","safety costs",INDIRECT("template!"&amp;"B"&amp;A159)))</f>
        <v>#REF!</v>
      </c>
      <c r="D159" t="e" cm="1">
        <f t="array" aca="1" ref="D159" ca="1">IF(OR(A159="",B159="safety"),"",INDIRECT("template!"&amp;"C"&amp;A159))</f>
        <v>#REF!</v>
      </c>
      <c r="E159" t="e" cm="1">
        <f t="array" aca="1" ref="E159" ca="1">IF(A159="","",IF(OR(A159=A158+1,A159=A158+2),E158,INDIRECT("template!"&amp;"D"&amp;A159-2)))</f>
        <v>#REF!</v>
      </c>
      <c r="F159" t="e" cm="1">
        <f t="array" aca="1" ref="F159" ca="1">IF(OR(A159="",B159="safety"),"",IF(ISBLANK(IF(A159=A158+1,F158,INDIRECT("template!"&amp;"D"&amp;A159-1))),"",IF(A159=A158+1,F158,INDIRECT("template!"&amp;"D"&amp;A159-1))))</f>
        <v>#REF!</v>
      </c>
      <c r="G159" t="e" cm="1">
        <f t="array" aca="1" ref="G159" ca="1">IF(OR(A159="",B159="safety"),"",IF(ISBLANK(INDIRECT("template!"&amp;"D"&amp;A159)),"",INDIRECT("template!"&amp;"D"&amp;A159)))</f>
        <v>#REF!</v>
      </c>
      <c r="H159" t="e" cm="1">
        <f t="array" aca="1" ref="H159" ca="1">IF(OR(A159="",B159="safety"),"",IF(ISBLANK(INDIRECT("template!"&amp;"E"&amp;A159)),"",INDIRECT("template!"&amp;"E"&amp;A159)))</f>
        <v>#REF!</v>
      </c>
      <c r="I159" t="e" cm="1">
        <f t="array" aca="1" ref="I159" ca="1">IF(OR(A159="",B159="safety"),"",IF(ISBLANK(INDIRECT("template!"&amp;"F"&amp;A159)),"",INDIRECT("template!"&amp;"F"&amp;A159)))</f>
        <v>#REF!</v>
      </c>
      <c r="J159" t="e" cm="1">
        <f t="array" aca="1" ref="J159" ca="1">IF(OR(A159="",B159="safety"),"",IF(ISBLANK(INDIRECT("template!"&amp;"G"&amp;A159)),"",INDIRECT("template!"&amp;"G"&amp;A159)))</f>
        <v>#REF!</v>
      </c>
      <c r="K159" t="e" cm="1">
        <f t="array" aca="1" ref="K159" ca="1">IF(OR(A159="",B159="safety"),"",IF(ISBLANK(INDIRECT("template!"&amp;"H"&amp;A159)),"",INDIRECT("template!"&amp;"H"&amp;A159)))</f>
        <v>#REF!</v>
      </c>
      <c r="L159" t="e" cm="1">
        <f t="array" aca="1" ref="L159" ca="1">IF(OR(A159="",B159="safety"),"",INDIRECT("template!"&amp;"I"&amp;A159))</f>
        <v>#REF!</v>
      </c>
      <c r="M159" t="e" cm="1">
        <f t="array" aca="1" ref="M159" ca="1">IF(OR(A159="",B159="safety"),"",INDIRECT("template!"&amp;"J"&amp;A159))</f>
        <v>#REF!</v>
      </c>
      <c r="N159" t="e" cm="1">
        <f t="array" aca="1" ref="N159" ca="1">IF(OR(A159="",B159="safety"),"",IF(ISBLANK(INDIRECT("template!"&amp;"K"&amp;A159)),"",INDIRECT("template!"&amp;"K"&amp;A159)))</f>
        <v>#REF!</v>
      </c>
      <c r="O159" t="e" cm="1">
        <f t="array" aca="1" ref="O159" ca="1">IF(OR(A159="",B159="safety"),"",INDIRECT("template!"&amp;"L"&amp;A159))</f>
        <v>#REF!</v>
      </c>
      <c r="P159" t="e" cm="1">
        <f t="array" aca="1" ref="P159" ca="1">IF(OR(A159="",B159="safety"),"",INDIRECT("template!"&amp;"M"&amp;A159))</f>
        <v>#REF!</v>
      </c>
      <c r="Q159" t="e">
        <f t="shared" ca="1" si="11"/>
        <v>#REF!</v>
      </c>
      <c r="R159" t="e">
        <f t="shared" ca="1" si="12"/>
        <v>#REF!</v>
      </c>
      <c r="S159" t="e">
        <f t="shared" ca="1" si="13"/>
        <v>#REF!</v>
      </c>
      <c r="T159" t="e">
        <f t="shared" ca="1" si="14"/>
        <v>#REF!</v>
      </c>
      <c r="U159" t="e" cm="1">
        <f t="array" aca="1" ref="U159" ca="1">IF(A159="","",IF(E159="","",IF(B159="safety",INDIRECT("template!"&amp;"P"&amp;A159),Q159+R159)))</f>
        <v>#REF!</v>
      </c>
      <c r="V159" t="e" cm="1">
        <f t="array" aca="1" ref="V159" ca="1">IF(A159="","",IF(E159="","",IF(B159="safety",INDIRECT("template!"&amp;"P"&amp;A159),S159+T159)))</f>
        <v>#REF!</v>
      </c>
      <c r="W159" t="e">
        <f ca="1">IF(A159="","",IF(E159="","",#REF!))</f>
        <v>#REF!</v>
      </c>
      <c r="X159" t="e">
        <f ca="1">IF(A159="","",IF(E159="","",#REF!))</f>
        <v>#REF!</v>
      </c>
      <c r="Y159" s="39" t="e">
        <f ca="1">IF(A159="","",IF(E159="","",#REF!))</f>
        <v>#REF!</v>
      </c>
      <c r="Z159" t="e">
        <f ca="1">IF(A159="","",IF(E159="","",#REF!))</f>
        <v>#REF!</v>
      </c>
      <c r="AA159" t="e">
        <f ca="1">IF(A159="","",IF(E159="","",#REF!))</f>
        <v>#REF!</v>
      </c>
      <c r="AB159" t="e">
        <f ca="1">IF(A159="","",IF(E159="","",#REF!))</f>
        <v>#REF!</v>
      </c>
      <c r="AC159" t="e">
        <f t="shared" ca="1" si="15"/>
        <v>#REF!</v>
      </c>
    </row>
    <row r="160" spans="1:29" x14ac:dyDescent="0.35">
      <c r="A160" t="e" cm="1">
        <f t="array" aca="1" ref="A160" ca="1">IF(A159="","",IF(OR(AND(A159+1&gt;=$AF$1,A159+1&lt;=$AF$2),AND(A159+1&gt;=$AF$6,A159+1&lt;=$AF$7),AND(A159+1&gt;=$AF$3,A159+1&lt;=$AF$4),AND(A159+1&gt;=$AF$8,A159+1&lt;=$AF$9),A159+1=$AF$5),IF(NOT(ISBLANK(INDIRECT("template!"&amp;"P"&amp;A159+1))),A159+1,IF(NOT(ISBLANK(INDIRECT("template!"&amp;"P"&amp;A159+2))),A159+2,A159+3)),IF(A159=$AF$2,$AF$3,IF(A159=$AF$4,$AF$5,IF(A159=$AF$5,$AF$6,IF(A159=$AF$7,$AF$8,""))))))</f>
        <v>#REF!</v>
      </c>
      <c r="B160" t="e">
        <f t="shared" ca="1" si="0"/>
        <v>#REF!</v>
      </c>
      <c r="C160" t="e" cm="1">
        <f t="array" aca="1" ref="C160" ca="1">IF(A160="","",IF(B160="safety","safety costs",INDIRECT("template!"&amp;"B"&amp;A160)))</f>
        <v>#REF!</v>
      </c>
      <c r="D160" t="e" cm="1">
        <f t="array" aca="1" ref="D160" ca="1">IF(OR(A160="",B160="safety"),"",INDIRECT("template!"&amp;"C"&amp;A160))</f>
        <v>#REF!</v>
      </c>
      <c r="E160" t="e" cm="1">
        <f t="array" aca="1" ref="E160" ca="1">IF(A160="","",IF(OR(A160=A159+1,A160=A159+2),E159,INDIRECT("template!"&amp;"D"&amp;A160-2)))</f>
        <v>#REF!</v>
      </c>
      <c r="F160" t="e" cm="1">
        <f t="array" aca="1" ref="F160" ca="1">IF(OR(A160="",B160="safety"),"",IF(ISBLANK(IF(A160=A159+1,F159,INDIRECT("template!"&amp;"D"&amp;A160-1))),"",IF(A160=A159+1,F159,INDIRECT("template!"&amp;"D"&amp;A160-1))))</f>
        <v>#REF!</v>
      </c>
      <c r="G160" t="e" cm="1">
        <f t="array" aca="1" ref="G160" ca="1">IF(OR(A160="",B160="safety"),"",IF(ISBLANK(INDIRECT("template!"&amp;"D"&amp;A160)),"",INDIRECT("template!"&amp;"D"&amp;A160)))</f>
        <v>#REF!</v>
      </c>
      <c r="H160" t="e" cm="1">
        <f t="array" aca="1" ref="H160" ca="1">IF(OR(A160="",B160="safety"),"",IF(ISBLANK(INDIRECT("template!"&amp;"E"&amp;A160)),"",INDIRECT("template!"&amp;"E"&amp;A160)))</f>
        <v>#REF!</v>
      </c>
      <c r="I160" t="e" cm="1">
        <f t="array" aca="1" ref="I160" ca="1">IF(OR(A160="",B160="safety"),"",IF(ISBLANK(INDIRECT("template!"&amp;"F"&amp;A160)),"",INDIRECT("template!"&amp;"F"&amp;A160)))</f>
        <v>#REF!</v>
      </c>
      <c r="J160" t="e" cm="1">
        <f t="array" aca="1" ref="J160" ca="1">IF(OR(A160="",B160="safety"),"",IF(ISBLANK(INDIRECT("template!"&amp;"G"&amp;A160)),"",INDIRECT("template!"&amp;"G"&amp;A160)))</f>
        <v>#REF!</v>
      </c>
      <c r="K160" t="e" cm="1">
        <f t="array" aca="1" ref="K160" ca="1">IF(OR(A160="",B160="safety"),"",IF(ISBLANK(INDIRECT("template!"&amp;"H"&amp;A160)),"",INDIRECT("template!"&amp;"H"&amp;A160)))</f>
        <v>#REF!</v>
      </c>
      <c r="L160" t="e" cm="1">
        <f t="array" aca="1" ref="L160" ca="1">IF(OR(A160="",B160="safety"),"",INDIRECT("template!"&amp;"I"&amp;A160))</f>
        <v>#REF!</v>
      </c>
      <c r="M160" t="e" cm="1">
        <f t="array" aca="1" ref="M160" ca="1">IF(OR(A160="",B160="safety"),"",INDIRECT("template!"&amp;"J"&amp;A160))</f>
        <v>#REF!</v>
      </c>
      <c r="N160" t="e" cm="1">
        <f t="array" aca="1" ref="N160" ca="1">IF(OR(A160="",B160="safety"),"",IF(ISBLANK(INDIRECT("template!"&amp;"K"&amp;A160)),"",INDIRECT("template!"&amp;"K"&amp;A160)))</f>
        <v>#REF!</v>
      </c>
      <c r="O160" t="e" cm="1">
        <f t="array" aca="1" ref="O160" ca="1">IF(OR(A160="",B160="safety"),"",INDIRECT("template!"&amp;"L"&amp;A160))</f>
        <v>#REF!</v>
      </c>
      <c r="P160" t="e" cm="1">
        <f t="array" aca="1" ref="P160" ca="1">IF(OR(A160="",B160="safety"),"",INDIRECT("template!"&amp;"M"&amp;A160))</f>
        <v>#REF!</v>
      </c>
      <c r="Q160" t="e">
        <f t="shared" ca="1" si="11"/>
        <v>#REF!</v>
      </c>
      <c r="R160" t="e">
        <f t="shared" ca="1" si="12"/>
        <v>#REF!</v>
      </c>
      <c r="S160" t="e">
        <f t="shared" ca="1" si="13"/>
        <v>#REF!</v>
      </c>
      <c r="T160" t="e">
        <f t="shared" ca="1" si="14"/>
        <v>#REF!</v>
      </c>
      <c r="U160" t="e" cm="1">
        <f t="array" aca="1" ref="U160" ca="1">IF(A160="","",IF(E160="","",IF(B160="safety",INDIRECT("template!"&amp;"P"&amp;A160),Q160+R160)))</f>
        <v>#REF!</v>
      </c>
      <c r="V160" t="e" cm="1">
        <f t="array" aca="1" ref="V160" ca="1">IF(A160="","",IF(E160="","",IF(B160="safety",INDIRECT("template!"&amp;"P"&amp;A160),S160+T160)))</f>
        <v>#REF!</v>
      </c>
      <c r="W160" t="e">
        <f ca="1">IF(A160="","",IF(E160="","",#REF!))</f>
        <v>#REF!</v>
      </c>
      <c r="X160" t="e">
        <f ca="1">IF(A160="","",IF(E160="","",#REF!))</f>
        <v>#REF!</v>
      </c>
      <c r="Y160" s="39" t="e">
        <f ca="1">IF(A160="","",IF(E160="","",#REF!))</f>
        <v>#REF!</v>
      </c>
      <c r="Z160" t="e">
        <f ca="1">IF(A160="","",IF(E160="","",#REF!))</f>
        <v>#REF!</v>
      </c>
      <c r="AA160" t="e">
        <f ca="1">IF(A160="","",IF(E160="","",#REF!))</f>
        <v>#REF!</v>
      </c>
      <c r="AB160" t="e">
        <f ca="1">IF(A160="","",IF(E160="","",#REF!))</f>
        <v>#REF!</v>
      </c>
      <c r="AC160" t="e">
        <f t="shared" ca="1" si="15"/>
        <v>#REF!</v>
      </c>
    </row>
    <row r="161" spans="1:29" x14ac:dyDescent="0.35">
      <c r="A161" t="e" cm="1">
        <f t="array" aca="1" ref="A161" ca="1">IF(A160="","",IF(OR(AND(A160+1&gt;=$AF$1,A160+1&lt;=$AF$2),AND(A160+1&gt;=$AF$6,A160+1&lt;=$AF$7),AND(A160+1&gt;=$AF$3,A160+1&lt;=$AF$4),AND(A160+1&gt;=$AF$8,A160+1&lt;=$AF$9),A160+1=$AF$5),IF(NOT(ISBLANK(INDIRECT("template!"&amp;"P"&amp;A160+1))),A160+1,IF(NOT(ISBLANK(INDIRECT("template!"&amp;"P"&amp;A160+2))),A160+2,A160+3)),IF(A160=$AF$2,$AF$3,IF(A160=$AF$4,$AF$5,IF(A160=$AF$5,$AF$6,IF(A160=$AF$7,$AF$8,""))))))</f>
        <v>#REF!</v>
      </c>
      <c r="B161" t="e">
        <f t="shared" ca="1" si="0"/>
        <v>#REF!</v>
      </c>
      <c r="C161" t="e" cm="1">
        <f t="array" aca="1" ref="C161" ca="1">IF(A161="","",IF(B161="safety","safety costs",INDIRECT("template!"&amp;"B"&amp;A161)))</f>
        <v>#REF!</v>
      </c>
      <c r="D161" t="e" cm="1">
        <f t="array" aca="1" ref="D161" ca="1">IF(OR(A161="",B161="safety"),"",INDIRECT("template!"&amp;"C"&amp;A161))</f>
        <v>#REF!</v>
      </c>
      <c r="E161" t="e" cm="1">
        <f t="array" aca="1" ref="E161" ca="1">IF(A161="","",IF(OR(A161=A160+1,A161=A160+2),E160,INDIRECT("template!"&amp;"D"&amp;A161-2)))</f>
        <v>#REF!</v>
      </c>
      <c r="F161" t="e" cm="1">
        <f t="array" aca="1" ref="F161" ca="1">IF(OR(A161="",B161="safety"),"",IF(ISBLANK(IF(A161=A160+1,F160,INDIRECT("template!"&amp;"D"&amp;A161-1))),"",IF(A161=A160+1,F160,INDIRECT("template!"&amp;"D"&amp;A161-1))))</f>
        <v>#REF!</v>
      </c>
      <c r="G161" t="e" cm="1">
        <f t="array" aca="1" ref="G161" ca="1">IF(OR(A161="",B161="safety"),"",IF(ISBLANK(INDIRECT("template!"&amp;"D"&amp;A161)),"",INDIRECT("template!"&amp;"D"&amp;A161)))</f>
        <v>#REF!</v>
      </c>
      <c r="H161" t="e" cm="1">
        <f t="array" aca="1" ref="H161" ca="1">IF(OR(A161="",B161="safety"),"",IF(ISBLANK(INDIRECT("template!"&amp;"E"&amp;A161)),"",INDIRECT("template!"&amp;"E"&amp;A161)))</f>
        <v>#REF!</v>
      </c>
      <c r="I161" t="e" cm="1">
        <f t="array" aca="1" ref="I161" ca="1">IF(OR(A161="",B161="safety"),"",IF(ISBLANK(INDIRECT("template!"&amp;"F"&amp;A161)),"",INDIRECT("template!"&amp;"F"&amp;A161)))</f>
        <v>#REF!</v>
      </c>
      <c r="J161" t="e" cm="1">
        <f t="array" aca="1" ref="J161" ca="1">IF(OR(A161="",B161="safety"),"",IF(ISBLANK(INDIRECT("template!"&amp;"G"&amp;A161)),"",INDIRECT("template!"&amp;"G"&amp;A161)))</f>
        <v>#REF!</v>
      </c>
      <c r="K161" t="e" cm="1">
        <f t="array" aca="1" ref="K161" ca="1">IF(OR(A161="",B161="safety"),"",IF(ISBLANK(INDIRECT("template!"&amp;"H"&amp;A161)),"",INDIRECT("template!"&amp;"H"&amp;A161)))</f>
        <v>#REF!</v>
      </c>
      <c r="L161" t="e" cm="1">
        <f t="array" aca="1" ref="L161" ca="1">IF(OR(A161="",B161="safety"),"",INDIRECT("template!"&amp;"I"&amp;A161))</f>
        <v>#REF!</v>
      </c>
      <c r="M161" t="e" cm="1">
        <f t="array" aca="1" ref="M161" ca="1">IF(OR(A161="",B161="safety"),"",INDIRECT("template!"&amp;"J"&amp;A161))</f>
        <v>#REF!</v>
      </c>
      <c r="N161" t="e" cm="1">
        <f t="array" aca="1" ref="N161" ca="1">IF(OR(A161="",B161="safety"),"",IF(ISBLANK(INDIRECT("template!"&amp;"K"&amp;A161)),"",INDIRECT("template!"&amp;"K"&amp;A161)))</f>
        <v>#REF!</v>
      </c>
      <c r="O161" t="e" cm="1">
        <f t="array" aca="1" ref="O161" ca="1">IF(OR(A161="",B161="safety"),"",INDIRECT("template!"&amp;"L"&amp;A161))</f>
        <v>#REF!</v>
      </c>
      <c r="P161" t="e" cm="1">
        <f t="array" aca="1" ref="P161" ca="1">IF(OR(A161="",B161="safety"),"",INDIRECT("template!"&amp;"M"&amp;A161))</f>
        <v>#REF!</v>
      </c>
      <c r="Q161" t="e">
        <f t="shared" ca="1" si="11"/>
        <v>#REF!</v>
      </c>
      <c r="R161" t="e">
        <f t="shared" ca="1" si="12"/>
        <v>#REF!</v>
      </c>
      <c r="S161" t="e">
        <f t="shared" ca="1" si="13"/>
        <v>#REF!</v>
      </c>
      <c r="T161" t="e">
        <f t="shared" ca="1" si="14"/>
        <v>#REF!</v>
      </c>
      <c r="U161" t="e" cm="1">
        <f t="array" aca="1" ref="U161" ca="1">IF(A161="","",IF(E161="","",IF(B161="safety",INDIRECT("template!"&amp;"P"&amp;A161),Q161+R161)))</f>
        <v>#REF!</v>
      </c>
      <c r="V161" t="e" cm="1">
        <f t="array" aca="1" ref="V161" ca="1">IF(A161="","",IF(E161="","",IF(B161="safety",INDIRECT("template!"&amp;"P"&amp;A161),S161+T161)))</f>
        <v>#REF!</v>
      </c>
      <c r="W161" t="e">
        <f ca="1">IF(A161="","",IF(E161="","",#REF!))</f>
        <v>#REF!</v>
      </c>
      <c r="X161" t="e">
        <f ca="1">IF(A161="","",IF(E161="","",#REF!))</f>
        <v>#REF!</v>
      </c>
      <c r="Y161" s="39" t="e">
        <f ca="1">IF(A161="","",IF(E161="","",#REF!))</f>
        <v>#REF!</v>
      </c>
      <c r="Z161" t="e">
        <f ca="1">IF(A161="","",IF(E161="","",#REF!))</f>
        <v>#REF!</v>
      </c>
      <c r="AA161" t="e">
        <f ca="1">IF(A161="","",IF(E161="","",#REF!))</f>
        <v>#REF!</v>
      </c>
      <c r="AB161" t="e">
        <f ca="1">IF(A161="","",IF(E161="","",#REF!))</f>
        <v>#REF!</v>
      </c>
      <c r="AC161" t="e">
        <f t="shared" ca="1" si="15"/>
        <v>#REF!</v>
      </c>
    </row>
    <row r="162" spans="1:29" x14ac:dyDescent="0.35">
      <c r="A162" t="e" cm="1">
        <f t="array" aca="1" ref="A162" ca="1">IF(A161="","",IF(OR(AND(A161+1&gt;=$AF$1,A161+1&lt;=$AF$2),AND(A161+1&gt;=$AF$6,A161+1&lt;=$AF$7),AND(A161+1&gt;=$AF$3,A161+1&lt;=$AF$4),AND(A161+1&gt;=$AF$8,A161+1&lt;=$AF$9),A161+1=$AF$5),IF(NOT(ISBLANK(INDIRECT("template!"&amp;"P"&amp;A161+1))),A161+1,IF(NOT(ISBLANK(INDIRECT("template!"&amp;"P"&amp;A161+2))),A161+2,A161+3)),IF(A161=$AF$2,$AF$3,IF(A161=$AF$4,$AF$5,IF(A161=$AF$5,$AF$6,IF(A161=$AF$7,$AF$8,""))))))</f>
        <v>#REF!</v>
      </c>
      <c r="B162" t="e">
        <f t="shared" ca="1" si="0"/>
        <v>#REF!</v>
      </c>
      <c r="C162" t="e" cm="1">
        <f t="array" aca="1" ref="C162" ca="1">IF(A162="","",IF(B162="safety","safety costs",INDIRECT("template!"&amp;"B"&amp;A162)))</f>
        <v>#REF!</v>
      </c>
      <c r="D162" t="e" cm="1">
        <f t="array" aca="1" ref="D162" ca="1">IF(OR(A162="",B162="safety"),"",INDIRECT("template!"&amp;"C"&amp;A162))</f>
        <v>#REF!</v>
      </c>
      <c r="E162" t="e" cm="1">
        <f t="array" aca="1" ref="E162" ca="1">IF(A162="","",IF(OR(A162=A161+1,A162=A161+2),E161,INDIRECT("template!"&amp;"D"&amp;A162-2)))</f>
        <v>#REF!</v>
      </c>
      <c r="F162" t="e" cm="1">
        <f t="array" aca="1" ref="F162" ca="1">IF(OR(A162="",B162="safety"),"",IF(ISBLANK(IF(A162=A161+1,F161,INDIRECT("template!"&amp;"D"&amp;A162-1))),"",IF(A162=A161+1,F161,INDIRECT("template!"&amp;"D"&amp;A162-1))))</f>
        <v>#REF!</v>
      </c>
      <c r="G162" t="e" cm="1">
        <f t="array" aca="1" ref="G162" ca="1">IF(OR(A162="",B162="safety"),"",IF(ISBLANK(INDIRECT("template!"&amp;"D"&amp;A162)),"",INDIRECT("template!"&amp;"D"&amp;A162)))</f>
        <v>#REF!</v>
      </c>
      <c r="H162" t="e" cm="1">
        <f t="array" aca="1" ref="H162" ca="1">IF(OR(A162="",B162="safety"),"",IF(ISBLANK(INDIRECT("template!"&amp;"E"&amp;A162)),"",INDIRECT("template!"&amp;"E"&amp;A162)))</f>
        <v>#REF!</v>
      </c>
      <c r="I162" t="e" cm="1">
        <f t="array" aca="1" ref="I162" ca="1">IF(OR(A162="",B162="safety"),"",IF(ISBLANK(INDIRECT("template!"&amp;"F"&amp;A162)),"",INDIRECT("template!"&amp;"F"&amp;A162)))</f>
        <v>#REF!</v>
      </c>
      <c r="J162" t="e" cm="1">
        <f t="array" aca="1" ref="J162" ca="1">IF(OR(A162="",B162="safety"),"",IF(ISBLANK(INDIRECT("template!"&amp;"G"&amp;A162)),"",INDIRECT("template!"&amp;"G"&amp;A162)))</f>
        <v>#REF!</v>
      </c>
      <c r="K162" t="e" cm="1">
        <f t="array" aca="1" ref="K162" ca="1">IF(OR(A162="",B162="safety"),"",IF(ISBLANK(INDIRECT("template!"&amp;"H"&amp;A162)),"",INDIRECT("template!"&amp;"H"&amp;A162)))</f>
        <v>#REF!</v>
      </c>
      <c r="L162" t="e" cm="1">
        <f t="array" aca="1" ref="L162" ca="1">IF(OR(A162="",B162="safety"),"",INDIRECT("template!"&amp;"I"&amp;A162))</f>
        <v>#REF!</v>
      </c>
      <c r="M162" t="e" cm="1">
        <f t="array" aca="1" ref="M162" ca="1">IF(OR(A162="",B162="safety"),"",INDIRECT("template!"&amp;"J"&amp;A162))</f>
        <v>#REF!</v>
      </c>
      <c r="N162" t="e" cm="1">
        <f t="array" aca="1" ref="N162" ca="1">IF(OR(A162="",B162="safety"),"",IF(ISBLANK(INDIRECT("template!"&amp;"K"&amp;A162)),"",INDIRECT("template!"&amp;"K"&amp;A162)))</f>
        <v>#REF!</v>
      </c>
      <c r="O162" t="e" cm="1">
        <f t="array" aca="1" ref="O162" ca="1">IF(OR(A162="",B162="safety"),"",INDIRECT("template!"&amp;"L"&amp;A162))</f>
        <v>#REF!</v>
      </c>
      <c r="P162" t="e" cm="1">
        <f t="array" aca="1" ref="P162" ca="1">IF(OR(A162="",B162="safety"),"",INDIRECT("template!"&amp;"M"&amp;A162))</f>
        <v>#REF!</v>
      </c>
      <c r="Q162" t="e">
        <f t="shared" ca="1" si="11"/>
        <v>#REF!</v>
      </c>
      <c r="R162" t="e">
        <f t="shared" ca="1" si="12"/>
        <v>#REF!</v>
      </c>
      <c r="S162" t="e">
        <f t="shared" ca="1" si="13"/>
        <v>#REF!</v>
      </c>
      <c r="T162" t="e">
        <f t="shared" ca="1" si="14"/>
        <v>#REF!</v>
      </c>
      <c r="U162" t="e" cm="1">
        <f t="array" aca="1" ref="U162" ca="1">IF(A162="","",IF(E162="","",IF(B162="safety",INDIRECT("template!"&amp;"P"&amp;A162),Q162+R162)))</f>
        <v>#REF!</v>
      </c>
      <c r="V162" t="e" cm="1">
        <f t="array" aca="1" ref="V162" ca="1">IF(A162="","",IF(E162="","",IF(B162="safety",INDIRECT("template!"&amp;"P"&amp;A162),S162+T162)))</f>
        <v>#REF!</v>
      </c>
      <c r="W162" t="e">
        <f ca="1">IF(A162="","",IF(E162="","",#REF!))</f>
        <v>#REF!</v>
      </c>
      <c r="X162" t="e">
        <f ca="1">IF(A162="","",IF(E162="","",#REF!))</f>
        <v>#REF!</v>
      </c>
      <c r="Y162" s="39" t="e">
        <f ca="1">IF(A162="","",IF(E162="","",#REF!))</f>
        <v>#REF!</v>
      </c>
      <c r="Z162" t="e">
        <f ca="1">IF(A162="","",IF(E162="","",#REF!))</f>
        <v>#REF!</v>
      </c>
      <c r="AA162" t="e">
        <f ca="1">IF(A162="","",IF(E162="","",#REF!))</f>
        <v>#REF!</v>
      </c>
      <c r="AB162" t="e">
        <f ca="1">IF(A162="","",IF(E162="","",#REF!))</f>
        <v>#REF!</v>
      </c>
      <c r="AC162" t="e">
        <f t="shared" ca="1" si="15"/>
        <v>#REF!</v>
      </c>
    </row>
    <row r="163" spans="1:29" x14ac:dyDescent="0.35">
      <c r="A163" t="e" cm="1">
        <f t="array" aca="1" ref="A163" ca="1">IF(A162="","",IF(OR(AND(A162+1&gt;=$AF$1,A162+1&lt;=$AF$2),AND(A162+1&gt;=$AF$6,A162+1&lt;=$AF$7),AND(A162+1&gt;=$AF$3,A162+1&lt;=$AF$4),AND(A162+1&gt;=$AF$8,A162+1&lt;=$AF$9),A162+1=$AF$5),IF(NOT(ISBLANK(INDIRECT("template!"&amp;"P"&amp;A162+1))),A162+1,IF(NOT(ISBLANK(INDIRECT("template!"&amp;"P"&amp;A162+2))),A162+2,A162+3)),IF(A162=$AF$2,$AF$3,IF(A162=$AF$4,$AF$5,IF(A162=$AF$5,$AF$6,IF(A162=$AF$7,$AF$8,""))))))</f>
        <v>#REF!</v>
      </c>
      <c r="B163" t="e">
        <f t="shared" ca="1" si="0"/>
        <v>#REF!</v>
      </c>
      <c r="C163" t="e" cm="1">
        <f t="array" aca="1" ref="C163" ca="1">IF(A163="","",IF(B163="safety","safety costs",INDIRECT("template!"&amp;"B"&amp;A163)))</f>
        <v>#REF!</v>
      </c>
      <c r="D163" t="e" cm="1">
        <f t="array" aca="1" ref="D163" ca="1">IF(OR(A163="",B163="safety"),"",INDIRECT("template!"&amp;"C"&amp;A163))</f>
        <v>#REF!</v>
      </c>
      <c r="E163" t="e" cm="1">
        <f t="array" aca="1" ref="E163" ca="1">IF(A163="","",IF(OR(A163=A162+1,A163=A162+2),E162,INDIRECT("template!"&amp;"D"&amp;A163-2)))</f>
        <v>#REF!</v>
      </c>
      <c r="F163" t="e" cm="1">
        <f t="array" aca="1" ref="F163" ca="1">IF(OR(A163="",B163="safety"),"",IF(ISBLANK(IF(A163=A162+1,F162,INDIRECT("template!"&amp;"D"&amp;A163-1))),"",IF(A163=A162+1,F162,INDIRECT("template!"&amp;"D"&amp;A163-1))))</f>
        <v>#REF!</v>
      </c>
      <c r="G163" t="e" cm="1">
        <f t="array" aca="1" ref="G163" ca="1">IF(OR(A163="",B163="safety"),"",IF(ISBLANK(INDIRECT("template!"&amp;"D"&amp;A163)),"",INDIRECT("template!"&amp;"D"&amp;A163)))</f>
        <v>#REF!</v>
      </c>
      <c r="H163" t="e" cm="1">
        <f t="array" aca="1" ref="H163" ca="1">IF(OR(A163="",B163="safety"),"",IF(ISBLANK(INDIRECT("template!"&amp;"E"&amp;A163)),"",INDIRECT("template!"&amp;"E"&amp;A163)))</f>
        <v>#REF!</v>
      </c>
      <c r="I163" t="e" cm="1">
        <f t="array" aca="1" ref="I163" ca="1">IF(OR(A163="",B163="safety"),"",IF(ISBLANK(INDIRECT("template!"&amp;"F"&amp;A163)),"",INDIRECT("template!"&amp;"F"&amp;A163)))</f>
        <v>#REF!</v>
      </c>
      <c r="J163" t="e" cm="1">
        <f t="array" aca="1" ref="J163" ca="1">IF(OR(A163="",B163="safety"),"",IF(ISBLANK(INDIRECT("template!"&amp;"G"&amp;A163)),"",INDIRECT("template!"&amp;"G"&amp;A163)))</f>
        <v>#REF!</v>
      </c>
      <c r="K163" t="e" cm="1">
        <f t="array" aca="1" ref="K163" ca="1">IF(OR(A163="",B163="safety"),"",IF(ISBLANK(INDIRECT("template!"&amp;"H"&amp;A163)),"",INDIRECT("template!"&amp;"H"&amp;A163)))</f>
        <v>#REF!</v>
      </c>
      <c r="L163" t="e" cm="1">
        <f t="array" aca="1" ref="L163" ca="1">IF(OR(A163="",B163="safety"),"",INDIRECT("template!"&amp;"I"&amp;A163))</f>
        <v>#REF!</v>
      </c>
      <c r="M163" t="e" cm="1">
        <f t="array" aca="1" ref="M163" ca="1">IF(OR(A163="",B163="safety"),"",INDIRECT("template!"&amp;"J"&amp;A163))</f>
        <v>#REF!</v>
      </c>
      <c r="N163" t="e" cm="1">
        <f t="array" aca="1" ref="N163" ca="1">IF(OR(A163="",B163="safety"),"",IF(ISBLANK(INDIRECT("template!"&amp;"K"&amp;A163)),"",INDIRECT("template!"&amp;"K"&amp;A163)))</f>
        <v>#REF!</v>
      </c>
      <c r="O163" t="e" cm="1">
        <f t="array" aca="1" ref="O163" ca="1">IF(OR(A163="",B163="safety"),"",INDIRECT("template!"&amp;"L"&amp;A163))</f>
        <v>#REF!</v>
      </c>
      <c r="P163" t="e" cm="1">
        <f t="array" aca="1" ref="P163" ca="1">IF(OR(A163="",B163="safety"),"",INDIRECT("template!"&amp;"M"&amp;A163))</f>
        <v>#REF!</v>
      </c>
      <c r="Q163" t="e">
        <f t="shared" ca="1" si="11"/>
        <v>#REF!</v>
      </c>
      <c r="R163" t="e">
        <f t="shared" ca="1" si="12"/>
        <v>#REF!</v>
      </c>
      <c r="S163" t="e">
        <f t="shared" ca="1" si="13"/>
        <v>#REF!</v>
      </c>
      <c r="T163" t="e">
        <f t="shared" ca="1" si="14"/>
        <v>#REF!</v>
      </c>
      <c r="U163" t="e" cm="1">
        <f t="array" aca="1" ref="U163" ca="1">IF(A163="","",IF(E163="","",IF(B163="safety",INDIRECT("template!"&amp;"P"&amp;A163),Q163+R163)))</f>
        <v>#REF!</v>
      </c>
      <c r="V163" t="e" cm="1">
        <f t="array" aca="1" ref="V163" ca="1">IF(A163="","",IF(E163="","",IF(B163="safety",INDIRECT("template!"&amp;"P"&amp;A163),S163+T163)))</f>
        <v>#REF!</v>
      </c>
      <c r="W163" t="e">
        <f ca="1">IF(A163="","",IF(E163="","",#REF!))</f>
        <v>#REF!</v>
      </c>
      <c r="X163" t="e">
        <f ca="1">IF(A163="","",IF(E163="","",#REF!))</f>
        <v>#REF!</v>
      </c>
      <c r="Y163" s="39" t="e">
        <f ca="1">IF(A163="","",IF(E163="","",#REF!))</f>
        <v>#REF!</v>
      </c>
      <c r="Z163" t="e">
        <f ca="1">IF(A163="","",IF(E163="","",#REF!))</f>
        <v>#REF!</v>
      </c>
      <c r="AA163" t="e">
        <f ca="1">IF(A163="","",IF(E163="","",#REF!))</f>
        <v>#REF!</v>
      </c>
      <c r="AB163" t="e">
        <f ca="1">IF(A163="","",IF(E163="","",#REF!))</f>
        <v>#REF!</v>
      </c>
      <c r="AC163" t="e">
        <f t="shared" ca="1" si="15"/>
        <v>#REF!</v>
      </c>
    </row>
    <row r="164" spans="1:29" x14ac:dyDescent="0.35">
      <c r="A164" t="e" cm="1">
        <f t="array" aca="1" ref="A164" ca="1">IF(A163="","",IF(OR(AND(A163+1&gt;=$AF$1,A163+1&lt;=$AF$2),AND(A163+1&gt;=$AF$6,A163+1&lt;=$AF$7),AND(A163+1&gt;=$AF$3,A163+1&lt;=$AF$4),AND(A163+1&gt;=$AF$8,A163+1&lt;=$AF$9),A163+1=$AF$5),IF(NOT(ISBLANK(INDIRECT("template!"&amp;"P"&amp;A163+1))),A163+1,IF(NOT(ISBLANK(INDIRECT("template!"&amp;"P"&amp;A163+2))),A163+2,A163+3)),IF(A163=$AF$2,$AF$3,IF(A163=$AF$4,$AF$5,IF(A163=$AF$5,$AF$6,IF(A163=$AF$7,$AF$8,""))))))</f>
        <v>#REF!</v>
      </c>
      <c r="B164" t="e">
        <f t="shared" ca="1" si="0"/>
        <v>#REF!</v>
      </c>
      <c r="C164" t="e" cm="1">
        <f t="array" aca="1" ref="C164" ca="1">IF(A164="","",IF(B164="safety","safety costs",INDIRECT("template!"&amp;"B"&amp;A164)))</f>
        <v>#REF!</v>
      </c>
      <c r="D164" t="e" cm="1">
        <f t="array" aca="1" ref="D164" ca="1">IF(OR(A164="",B164="safety"),"",INDIRECT("template!"&amp;"C"&amp;A164))</f>
        <v>#REF!</v>
      </c>
      <c r="E164" t="e" cm="1">
        <f t="array" aca="1" ref="E164" ca="1">IF(A164="","",IF(OR(A164=A163+1,A164=A163+2),E163,INDIRECT("template!"&amp;"D"&amp;A164-2)))</f>
        <v>#REF!</v>
      </c>
      <c r="F164" t="e" cm="1">
        <f t="array" aca="1" ref="F164" ca="1">IF(OR(A164="",B164="safety"),"",IF(ISBLANK(IF(A164=A163+1,F163,INDIRECT("template!"&amp;"D"&amp;A164-1))),"",IF(A164=A163+1,F163,INDIRECT("template!"&amp;"D"&amp;A164-1))))</f>
        <v>#REF!</v>
      </c>
      <c r="G164" t="e" cm="1">
        <f t="array" aca="1" ref="G164" ca="1">IF(OR(A164="",B164="safety"),"",IF(ISBLANK(INDIRECT("template!"&amp;"D"&amp;A164)),"",INDIRECT("template!"&amp;"D"&amp;A164)))</f>
        <v>#REF!</v>
      </c>
      <c r="H164" t="e" cm="1">
        <f t="array" aca="1" ref="H164" ca="1">IF(OR(A164="",B164="safety"),"",IF(ISBLANK(INDIRECT("template!"&amp;"E"&amp;A164)),"",INDIRECT("template!"&amp;"E"&amp;A164)))</f>
        <v>#REF!</v>
      </c>
      <c r="I164" t="e" cm="1">
        <f t="array" aca="1" ref="I164" ca="1">IF(OR(A164="",B164="safety"),"",IF(ISBLANK(INDIRECT("template!"&amp;"F"&amp;A164)),"",INDIRECT("template!"&amp;"F"&amp;A164)))</f>
        <v>#REF!</v>
      </c>
      <c r="J164" t="e" cm="1">
        <f t="array" aca="1" ref="J164" ca="1">IF(OR(A164="",B164="safety"),"",IF(ISBLANK(INDIRECT("template!"&amp;"G"&amp;A164)),"",INDIRECT("template!"&amp;"G"&amp;A164)))</f>
        <v>#REF!</v>
      </c>
      <c r="K164" t="e" cm="1">
        <f t="array" aca="1" ref="K164" ca="1">IF(OR(A164="",B164="safety"),"",IF(ISBLANK(INDIRECT("template!"&amp;"H"&amp;A164)),"",INDIRECT("template!"&amp;"H"&amp;A164)))</f>
        <v>#REF!</v>
      </c>
      <c r="L164" t="e" cm="1">
        <f t="array" aca="1" ref="L164" ca="1">IF(OR(A164="",B164="safety"),"",INDIRECT("template!"&amp;"I"&amp;A164))</f>
        <v>#REF!</v>
      </c>
      <c r="M164" t="e" cm="1">
        <f t="array" aca="1" ref="M164" ca="1">IF(OR(A164="",B164="safety"),"",INDIRECT("template!"&amp;"J"&amp;A164))</f>
        <v>#REF!</v>
      </c>
      <c r="N164" t="e" cm="1">
        <f t="array" aca="1" ref="N164" ca="1">IF(OR(A164="",B164="safety"),"",IF(ISBLANK(INDIRECT("template!"&amp;"K"&amp;A164)),"",INDIRECT("template!"&amp;"K"&amp;A164)))</f>
        <v>#REF!</v>
      </c>
      <c r="O164" t="e" cm="1">
        <f t="array" aca="1" ref="O164" ca="1">IF(OR(A164="",B164="safety"),"",INDIRECT("template!"&amp;"L"&amp;A164))</f>
        <v>#REF!</v>
      </c>
      <c r="P164" t="e" cm="1">
        <f t="array" aca="1" ref="P164" ca="1">IF(OR(A164="",B164="safety"),"",INDIRECT("template!"&amp;"M"&amp;A164))</f>
        <v>#REF!</v>
      </c>
      <c r="Q164" t="e">
        <f t="shared" ca="1" si="11"/>
        <v>#REF!</v>
      </c>
      <c r="R164" t="e">
        <f t="shared" ca="1" si="12"/>
        <v>#REF!</v>
      </c>
      <c r="S164" t="e">
        <f t="shared" ca="1" si="13"/>
        <v>#REF!</v>
      </c>
      <c r="T164" t="e">
        <f t="shared" ca="1" si="14"/>
        <v>#REF!</v>
      </c>
      <c r="U164" t="e" cm="1">
        <f t="array" aca="1" ref="U164" ca="1">IF(A164="","",IF(E164="","",IF(B164="safety",INDIRECT("template!"&amp;"P"&amp;A164),Q164+R164)))</f>
        <v>#REF!</v>
      </c>
      <c r="V164" t="e" cm="1">
        <f t="array" aca="1" ref="V164" ca="1">IF(A164="","",IF(E164="","",IF(B164="safety",INDIRECT("template!"&amp;"P"&amp;A164),S164+T164)))</f>
        <v>#REF!</v>
      </c>
      <c r="W164" t="e">
        <f ca="1">IF(A164="","",IF(E164="","",#REF!))</f>
        <v>#REF!</v>
      </c>
      <c r="X164" t="e">
        <f ca="1">IF(A164="","",IF(E164="","",#REF!))</f>
        <v>#REF!</v>
      </c>
      <c r="Y164" s="39" t="e">
        <f ca="1">IF(A164="","",IF(E164="","",#REF!))</f>
        <v>#REF!</v>
      </c>
      <c r="Z164" t="e">
        <f ca="1">IF(A164="","",IF(E164="","",#REF!))</f>
        <v>#REF!</v>
      </c>
      <c r="AA164" t="e">
        <f ca="1">IF(A164="","",IF(E164="","",#REF!))</f>
        <v>#REF!</v>
      </c>
      <c r="AB164" t="e">
        <f ca="1">IF(A164="","",IF(E164="","",#REF!))</f>
        <v>#REF!</v>
      </c>
      <c r="AC164" t="e">
        <f t="shared" ca="1" si="15"/>
        <v>#REF!</v>
      </c>
    </row>
    <row r="165" spans="1:29" x14ac:dyDescent="0.35">
      <c r="A165" t="e" cm="1">
        <f t="array" aca="1" ref="A165" ca="1">IF(A164="","",IF(OR(AND(A164+1&gt;=$AF$1,A164+1&lt;=$AF$2),AND(A164+1&gt;=$AF$6,A164+1&lt;=$AF$7),AND(A164+1&gt;=$AF$3,A164+1&lt;=$AF$4),AND(A164+1&gt;=$AF$8,A164+1&lt;=$AF$9),A164+1=$AF$5),IF(NOT(ISBLANK(INDIRECT("template!"&amp;"P"&amp;A164+1))),A164+1,IF(NOT(ISBLANK(INDIRECT("template!"&amp;"P"&amp;A164+2))),A164+2,A164+3)),IF(A164=$AF$2,$AF$3,IF(A164=$AF$4,$AF$5,IF(A164=$AF$5,$AF$6,IF(A164=$AF$7,$AF$8,""))))))</f>
        <v>#REF!</v>
      </c>
      <c r="B165" t="e">
        <f t="shared" ca="1" si="0"/>
        <v>#REF!</v>
      </c>
      <c r="C165" t="e" cm="1">
        <f t="array" aca="1" ref="C165" ca="1">IF(A165="","",IF(B165="safety","safety costs",INDIRECT("template!"&amp;"B"&amp;A165)))</f>
        <v>#REF!</v>
      </c>
      <c r="D165" t="e" cm="1">
        <f t="array" aca="1" ref="D165" ca="1">IF(OR(A165="",B165="safety"),"",INDIRECT("template!"&amp;"C"&amp;A165))</f>
        <v>#REF!</v>
      </c>
      <c r="E165" t="e" cm="1">
        <f t="array" aca="1" ref="E165" ca="1">IF(A165="","",IF(OR(A165=A164+1,A165=A164+2),E164,INDIRECT("template!"&amp;"D"&amp;A165-2)))</f>
        <v>#REF!</v>
      </c>
      <c r="F165" t="e" cm="1">
        <f t="array" aca="1" ref="F165" ca="1">IF(OR(A165="",B165="safety"),"",IF(ISBLANK(IF(A165=A164+1,F164,INDIRECT("template!"&amp;"D"&amp;A165-1))),"",IF(A165=A164+1,F164,INDIRECT("template!"&amp;"D"&amp;A165-1))))</f>
        <v>#REF!</v>
      </c>
      <c r="G165" t="e" cm="1">
        <f t="array" aca="1" ref="G165" ca="1">IF(OR(A165="",B165="safety"),"",IF(ISBLANK(INDIRECT("template!"&amp;"D"&amp;A165)),"",INDIRECT("template!"&amp;"D"&amp;A165)))</f>
        <v>#REF!</v>
      </c>
      <c r="H165" t="e" cm="1">
        <f t="array" aca="1" ref="H165" ca="1">IF(OR(A165="",B165="safety"),"",IF(ISBLANK(INDIRECT("template!"&amp;"E"&amp;A165)),"",INDIRECT("template!"&amp;"E"&amp;A165)))</f>
        <v>#REF!</v>
      </c>
      <c r="I165" t="e" cm="1">
        <f t="array" aca="1" ref="I165" ca="1">IF(OR(A165="",B165="safety"),"",IF(ISBLANK(INDIRECT("template!"&amp;"F"&amp;A165)),"",INDIRECT("template!"&amp;"F"&amp;A165)))</f>
        <v>#REF!</v>
      </c>
      <c r="J165" t="e" cm="1">
        <f t="array" aca="1" ref="J165" ca="1">IF(OR(A165="",B165="safety"),"",IF(ISBLANK(INDIRECT("template!"&amp;"G"&amp;A165)),"",INDIRECT("template!"&amp;"G"&amp;A165)))</f>
        <v>#REF!</v>
      </c>
      <c r="K165" t="e" cm="1">
        <f t="array" aca="1" ref="K165" ca="1">IF(OR(A165="",B165="safety"),"",IF(ISBLANK(INDIRECT("template!"&amp;"H"&amp;A165)),"",INDIRECT("template!"&amp;"H"&amp;A165)))</f>
        <v>#REF!</v>
      </c>
      <c r="L165" t="e" cm="1">
        <f t="array" aca="1" ref="L165" ca="1">IF(OR(A165="",B165="safety"),"",INDIRECT("template!"&amp;"I"&amp;A165))</f>
        <v>#REF!</v>
      </c>
      <c r="M165" t="e" cm="1">
        <f t="array" aca="1" ref="M165" ca="1">IF(OR(A165="",B165="safety"),"",INDIRECT("template!"&amp;"J"&amp;A165))</f>
        <v>#REF!</v>
      </c>
      <c r="N165" t="e" cm="1">
        <f t="array" aca="1" ref="N165" ca="1">IF(OR(A165="",B165="safety"),"",IF(ISBLANK(INDIRECT("template!"&amp;"K"&amp;A165)),"",INDIRECT("template!"&amp;"K"&amp;A165)))</f>
        <v>#REF!</v>
      </c>
      <c r="O165" t="e" cm="1">
        <f t="array" aca="1" ref="O165" ca="1">IF(OR(A165="",B165="safety"),"",INDIRECT("template!"&amp;"L"&amp;A165))</f>
        <v>#REF!</v>
      </c>
      <c r="P165" t="e" cm="1">
        <f t="array" aca="1" ref="P165" ca="1">IF(OR(A165="",B165="safety"),"",INDIRECT("template!"&amp;"M"&amp;A165))</f>
        <v>#REF!</v>
      </c>
      <c r="Q165" t="e">
        <f t="shared" ca="1" si="11"/>
        <v>#REF!</v>
      </c>
      <c r="R165" t="e">
        <f t="shared" ca="1" si="12"/>
        <v>#REF!</v>
      </c>
      <c r="S165" t="e">
        <f t="shared" ca="1" si="13"/>
        <v>#REF!</v>
      </c>
      <c r="T165" t="e">
        <f t="shared" ca="1" si="14"/>
        <v>#REF!</v>
      </c>
      <c r="U165" t="e" cm="1">
        <f t="array" aca="1" ref="U165" ca="1">IF(A165="","",IF(E165="","",IF(B165="safety",INDIRECT("template!"&amp;"P"&amp;A165),Q165+R165)))</f>
        <v>#REF!</v>
      </c>
      <c r="V165" t="e" cm="1">
        <f t="array" aca="1" ref="V165" ca="1">IF(A165="","",IF(E165="","",IF(B165="safety",INDIRECT("template!"&amp;"P"&amp;A165),S165+T165)))</f>
        <v>#REF!</v>
      </c>
      <c r="W165" t="e">
        <f ca="1">IF(A165="","",IF(E165="","",#REF!))</f>
        <v>#REF!</v>
      </c>
      <c r="X165" t="e">
        <f ca="1">IF(A165="","",IF(E165="","",#REF!))</f>
        <v>#REF!</v>
      </c>
      <c r="Y165" s="39" t="e">
        <f ca="1">IF(A165="","",IF(E165="","",#REF!))</f>
        <v>#REF!</v>
      </c>
      <c r="Z165" t="e">
        <f ca="1">IF(A165="","",IF(E165="","",#REF!))</f>
        <v>#REF!</v>
      </c>
      <c r="AA165" t="e">
        <f ca="1">IF(A165="","",IF(E165="","",#REF!))</f>
        <v>#REF!</v>
      </c>
      <c r="AB165" t="e">
        <f ca="1">IF(A165="","",IF(E165="","",#REF!))</f>
        <v>#REF!</v>
      </c>
      <c r="AC165" t="e">
        <f t="shared" ca="1" si="15"/>
        <v>#REF!</v>
      </c>
    </row>
    <row r="166" spans="1:29" x14ac:dyDescent="0.35">
      <c r="A166" t="e" cm="1">
        <f t="array" aca="1" ref="A166" ca="1">IF(A165="","",IF(OR(AND(A165+1&gt;=$AF$1,A165+1&lt;=$AF$2),AND(A165+1&gt;=$AF$6,A165+1&lt;=$AF$7),AND(A165+1&gt;=$AF$3,A165+1&lt;=$AF$4),AND(A165+1&gt;=$AF$8,A165+1&lt;=$AF$9),A165+1=$AF$5),IF(NOT(ISBLANK(INDIRECT("template!"&amp;"P"&amp;A165+1))),A165+1,IF(NOT(ISBLANK(INDIRECT("template!"&amp;"P"&amp;A165+2))),A165+2,A165+3)),IF(A165=$AF$2,$AF$3,IF(A165=$AF$4,$AF$5,IF(A165=$AF$5,$AF$6,IF(A165=$AF$7,$AF$8,""))))))</f>
        <v>#REF!</v>
      </c>
      <c r="B166" t="e">
        <f t="shared" ca="1" si="0"/>
        <v>#REF!</v>
      </c>
      <c r="C166" t="e" cm="1">
        <f t="array" aca="1" ref="C166" ca="1">IF(A166="","",IF(B166="safety","safety costs",INDIRECT("template!"&amp;"B"&amp;A166)))</f>
        <v>#REF!</v>
      </c>
      <c r="D166" t="e" cm="1">
        <f t="array" aca="1" ref="D166" ca="1">IF(OR(A166="",B166="safety"),"",INDIRECT("template!"&amp;"C"&amp;A166))</f>
        <v>#REF!</v>
      </c>
      <c r="E166" t="e" cm="1">
        <f t="array" aca="1" ref="E166" ca="1">IF(A166="","",IF(OR(A166=A165+1,A166=A165+2),E165,INDIRECT("template!"&amp;"D"&amp;A166-2)))</f>
        <v>#REF!</v>
      </c>
      <c r="F166" t="e" cm="1">
        <f t="array" aca="1" ref="F166" ca="1">IF(OR(A166="",B166="safety"),"",IF(ISBLANK(IF(A166=A165+1,F165,INDIRECT("template!"&amp;"D"&amp;A166-1))),"",IF(A166=A165+1,F165,INDIRECT("template!"&amp;"D"&amp;A166-1))))</f>
        <v>#REF!</v>
      </c>
      <c r="G166" t="e" cm="1">
        <f t="array" aca="1" ref="G166" ca="1">IF(OR(A166="",B166="safety"),"",IF(ISBLANK(INDIRECT("template!"&amp;"D"&amp;A166)),"",INDIRECT("template!"&amp;"D"&amp;A166)))</f>
        <v>#REF!</v>
      </c>
      <c r="H166" t="e" cm="1">
        <f t="array" aca="1" ref="H166" ca="1">IF(OR(A166="",B166="safety"),"",IF(ISBLANK(INDIRECT("template!"&amp;"E"&amp;A166)),"",INDIRECT("template!"&amp;"E"&amp;A166)))</f>
        <v>#REF!</v>
      </c>
      <c r="I166" t="e" cm="1">
        <f t="array" aca="1" ref="I166" ca="1">IF(OR(A166="",B166="safety"),"",IF(ISBLANK(INDIRECT("template!"&amp;"F"&amp;A166)),"",INDIRECT("template!"&amp;"F"&amp;A166)))</f>
        <v>#REF!</v>
      </c>
      <c r="J166" t="e" cm="1">
        <f t="array" aca="1" ref="J166" ca="1">IF(OR(A166="",B166="safety"),"",IF(ISBLANK(INDIRECT("template!"&amp;"G"&amp;A166)),"",INDIRECT("template!"&amp;"G"&amp;A166)))</f>
        <v>#REF!</v>
      </c>
      <c r="K166" t="e" cm="1">
        <f t="array" aca="1" ref="K166" ca="1">IF(OR(A166="",B166="safety"),"",IF(ISBLANK(INDIRECT("template!"&amp;"H"&amp;A166)),"",INDIRECT("template!"&amp;"H"&amp;A166)))</f>
        <v>#REF!</v>
      </c>
      <c r="L166" t="e" cm="1">
        <f t="array" aca="1" ref="L166" ca="1">IF(OR(A166="",B166="safety"),"",INDIRECT("template!"&amp;"I"&amp;A166))</f>
        <v>#REF!</v>
      </c>
      <c r="M166" t="e" cm="1">
        <f t="array" aca="1" ref="M166" ca="1">IF(OR(A166="",B166="safety"),"",INDIRECT("template!"&amp;"J"&amp;A166))</f>
        <v>#REF!</v>
      </c>
      <c r="N166" t="e" cm="1">
        <f t="array" aca="1" ref="N166" ca="1">IF(OR(A166="",B166="safety"),"",IF(ISBLANK(INDIRECT("template!"&amp;"K"&amp;A166)),"",INDIRECT("template!"&amp;"K"&amp;A166)))</f>
        <v>#REF!</v>
      </c>
      <c r="O166" t="e" cm="1">
        <f t="array" aca="1" ref="O166" ca="1">IF(OR(A166="",B166="safety"),"",INDIRECT("template!"&amp;"L"&amp;A166))</f>
        <v>#REF!</v>
      </c>
      <c r="P166" t="e" cm="1">
        <f t="array" aca="1" ref="P166" ca="1">IF(OR(A166="",B166="safety"),"",INDIRECT("template!"&amp;"M"&amp;A166))</f>
        <v>#REF!</v>
      </c>
      <c r="Q166" t="e">
        <f t="shared" ca="1" si="11"/>
        <v>#REF!</v>
      </c>
      <c r="R166" t="e">
        <f t="shared" ca="1" si="12"/>
        <v>#REF!</v>
      </c>
      <c r="S166" t="e">
        <f t="shared" ca="1" si="13"/>
        <v>#REF!</v>
      </c>
      <c r="T166" t="e">
        <f t="shared" ca="1" si="14"/>
        <v>#REF!</v>
      </c>
      <c r="U166" t="e" cm="1">
        <f t="array" aca="1" ref="U166" ca="1">IF(A166="","",IF(E166="","",IF(B166="safety",INDIRECT("template!"&amp;"P"&amp;A166),Q166+R166)))</f>
        <v>#REF!</v>
      </c>
      <c r="V166" t="e" cm="1">
        <f t="array" aca="1" ref="V166" ca="1">IF(A166="","",IF(E166="","",IF(B166="safety",INDIRECT("template!"&amp;"P"&amp;A166),S166+T166)))</f>
        <v>#REF!</v>
      </c>
      <c r="W166" t="e">
        <f ca="1">IF(A166="","",IF(E166="","",#REF!))</f>
        <v>#REF!</v>
      </c>
      <c r="X166" t="e">
        <f ca="1">IF(A166="","",IF(E166="","",#REF!))</f>
        <v>#REF!</v>
      </c>
      <c r="Y166" s="39" t="e">
        <f ca="1">IF(A166="","",IF(E166="","",#REF!))</f>
        <v>#REF!</v>
      </c>
      <c r="Z166" t="e">
        <f ca="1">IF(A166="","",IF(E166="","",#REF!))</f>
        <v>#REF!</v>
      </c>
      <c r="AA166" t="e">
        <f ca="1">IF(A166="","",IF(E166="","",#REF!))</f>
        <v>#REF!</v>
      </c>
      <c r="AB166" t="e">
        <f ca="1">IF(A166="","",IF(E166="","",#REF!))</f>
        <v>#REF!</v>
      </c>
      <c r="AC166" t="e">
        <f t="shared" ca="1" si="15"/>
        <v>#REF!</v>
      </c>
    </row>
    <row r="167" spans="1:29" x14ac:dyDescent="0.35">
      <c r="A167" t="e" cm="1">
        <f t="array" aca="1" ref="A167" ca="1">IF(A166="","",IF(OR(AND(A166+1&gt;=$AF$1,A166+1&lt;=$AF$2),AND(A166+1&gt;=$AF$6,A166+1&lt;=$AF$7),AND(A166+1&gt;=$AF$3,A166+1&lt;=$AF$4),AND(A166+1&gt;=$AF$8,A166+1&lt;=$AF$9),A166+1=$AF$5),IF(NOT(ISBLANK(INDIRECT("template!"&amp;"P"&amp;A166+1))),A166+1,IF(NOT(ISBLANK(INDIRECT("template!"&amp;"P"&amp;A166+2))),A166+2,A166+3)),IF(A166=$AF$2,$AF$3,IF(A166=$AF$4,$AF$5,IF(A166=$AF$5,$AF$6,IF(A166=$AF$7,$AF$8,""))))))</f>
        <v>#REF!</v>
      </c>
      <c r="B167" t="e">
        <f t="shared" ca="1" si="0"/>
        <v>#REF!</v>
      </c>
      <c r="C167" t="e" cm="1">
        <f t="array" aca="1" ref="C167" ca="1">IF(A167="","",IF(B167="safety","safety costs",INDIRECT("template!"&amp;"B"&amp;A167)))</f>
        <v>#REF!</v>
      </c>
      <c r="D167" t="e" cm="1">
        <f t="array" aca="1" ref="D167" ca="1">IF(OR(A167="",B167="safety"),"",INDIRECT("template!"&amp;"C"&amp;A167))</f>
        <v>#REF!</v>
      </c>
      <c r="E167" t="e" cm="1">
        <f t="array" aca="1" ref="E167" ca="1">IF(A167="","",IF(OR(A167=A166+1,A167=A166+2),E166,INDIRECT("template!"&amp;"D"&amp;A167-2)))</f>
        <v>#REF!</v>
      </c>
      <c r="F167" t="e" cm="1">
        <f t="array" aca="1" ref="F167" ca="1">IF(OR(A167="",B167="safety"),"",IF(ISBLANK(IF(A167=A166+1,F166,INDIRECT("template!"&amp;"D"&amp;A167-1))),"",IF(A167=A166+1,F166,INDIRECT("template!"&amp;"D"&amp;A167-1))))</f>
        <v>#REF!</v>
      </c>
      <c r="G167" t="e" cm="1">
        <f t="array" aca="1" ref="G167" ca="1">IF(OR(A167="",B167="safety"),"",IF(ISBLANK(INDIRECT("template!"&amp;"D"&amp;A167)),"",INDIRECT("template!"&amp;"D"&amp;A167)))</f>
        <v>#REF!</v>
      </c>
      <c r="H167" t="e" cm="1">
        <f t="array" aca="1" ref="H167" ca="1">IF(OR(A167="",B167="safety"),"",IF(ISBLANK(INDIRECT("template!"&amp;"E"&amp;A167)),"",INDIRECT("template!"&amp;"E"&amp;A167)))</f>
        <v>#REF!</v>
      </c>
      <c r="I167" t="e" cm="1">
        <f t="array" aca="1" ref="I167" ca="1">IF(OR(A167="",B167="safety"),"",IF(ISBLANK(INDIRECT("template!"&amp;"F"&amp;A167)),"",INDIRECT("template!"&amp;"F"&amp;A167)))</f>
        <v>#REF!</v>
      </c>
      <c r="J167" t="e" cm="1">
        <f t="array" aca="1" ref="J167" ca="1">IF(OR(A167="",B167="safety"),"",IF(ISBLANK(INDIRECT("template!"&amp;"G"&amp;A167)),"",INDIRECT("template!"&amp;"G"&amp;A167)))</f>
        <v>#REF!</v>
      </c>
      <c r="K167" t="e" cm="1">
        <f t="array" aca="1" ref="K167" ca="1">IF(OR(A167="",B167="safety"),"",IF(ISBLANK(INDIRECT("template!"&amp;"H"&amp;A167)),"",INDIRECT("template!"&amp;"H"&amp;A167)))</f>
        <v>#REF!</v>
      </c>
      <c r="L167" t="e" cm="1">
        <f t="array" aca="1" ref="L167" ca="1">IF(OR(A167="",B167="safety"),"",INDIRECT("template!"&amp;"I"&amp;A167))</f>
        <v>#REF!</v>
      </c>
      <c r="M167" t="e" cm="1">
        <f t="array" aca="1" ref="M167" ca="1">IF(OR(A167="",B167="safety"),"",INDIRECT("template!"&amp;"J"&amp;A167))</f>
        <v>#REF!</v>
      </c>
      <c r="N167" t="e" cm="1">
        <f t="array" aca="1" ref="N167" ca="1">IF(OR(A167="",B167="safety"),"",IF(ISBLANK(INDIRECT("template!"&amp;"K"&amp;A167)),"",INDIRECT("template!"&amp;"K"&amp;A167)))</f>
        <v>#REF!</v>
      </c>
      <c r="O167" t="e" cm="1">
        <f t="array" aca="1" ref="O167" ca="1">IF(OR(A167="",B167="safety"),"",INDIRECT("template!"&amp;"L"&amp;A167))</f>
        <v>#REF!</v>
      </c>
      <c r="P167" t="e" cm="1">
        <f t="array" aca="1" ref="P167" ca="1">IF(OR(A167="",B167="safety"),"",INDIRECT("template!"&amp;"M"&amp;A167))</f>
        <v>#REF!</v>
      </c>
      <c r="Q167" t="e">
        <f t="shared" ca="1" si="11"/>
        <v>#REF!</v>
      </c>
      <c r="R167" t="e">
        <f t="shared" ca="1" si="12"/>
        <v>#REF!</v>
      </c>
      <c r="S167" t="e">
        <f t="shared" ca="1" si="13"/>
        <v>#REF!</v>
      </c>
      <c r="T167" t="e">
        <f t="shared" ca="1" si="14"/>
        <v>#REF!</v>
      </c>
      <c r="U167" t="e" cm="1">
        <f t="array" aca="1" ref="U167" ca="1">IF(A167="","",IF(E167="","",IF(B167="safety",INDIRECT("template!"&amp;"P"&amp;A167),Q167+R167)))</f>
        <v>#REF!</v>
      </c>
      <c r="V167" t="e" cm="1">
        <f t="array" aca="1" ref="V167" ca="1">IF(A167="","",IF(E167="","",IF(B167="safety",INDIRECT("template!"&amp;"P"&amp;A167),S167+T167)))</f>
        <v>#REF!</v>
      </c>
      <c r="W167" t="e">
        <f ca="1">IF(A167="","",IF(E167="","",#REF!))</f>
        <v>#REF!</v>
      </c>
      <c r="X167" t="e">
        <f ca="1">IF(A167="","",IF(E167="","",#REF!))</f>
        <v>#REF!</v>
      </c>
      <c r="Y167" s="39" t="e">
        <f ca="1">IF(A167="","",IF(E167="","",#REF!))</f>
        <v>#REF!</v>
      </c>
      <c r="Z167" t="e">
        <f ca="1">IF(A167="","",IF(E167="","",#REF!))</f>
        <v>#REF!</v>
      </c>
      <c r="AA167" t="e">
        <f ca="1">IF(A167="","",IF(E167="","",#REF!))</f>
        <v>#REF!</v>
      </c>
      <c r="AB167" t="e">
        <f ca="1">IF(A167="","",IF(E167="","",#REF!))</f>
        <v>#REF!</v>
      </c>
      <c r="AC167" t="e">
        <f t="shared" ca="1" si="15"/>
        <v>#REF!</v>
      </c>
    </row>
    <row r="168" spans="1:29" x14ac:dyDescent="0.35">
      <c r="A168" t="e" cm="1">
        <f t="array" aca="1" ref="A168" ca="1">IF(A167="","",IF(OR(AND(A167+1&gt;=$AF$1,A167+1&lt;=$AF$2),AND(A167+1&gt;=$AF$6,A167+1&lt;=$AF$7),AND(A167+1&gt;=$AF$3,A167+1&lt;=$AF$4),AND(A167+1&gt;=$AF$8,A167+1&lt;=$AF$9),A167+1=$AF$5),IF(NOT(ISBLANK(INDIRECT("template!"&amp;"P"&amp;A167+1))),A167+1,IF(NOT(ISBLANK(INDIRECT("template!"&amp;"P"&amp;A167+2))),A167+2,A167+3)),IF(A167=$AF$2,$AF$3,IF(A167=$AF$4,$AF$5,IF(A167=$AF$5,$AF$6,IF(A167=$AF$7,$AF$8,""))))))</f>
        <v>#REF!</v>
      </c>
      <c r="B168" t="e">
        <f t="shared" ca="1" si="0"/>
        <v>#REF!</v>
      </c>
      <c r="C168" t="e" cm="1">
        <f t="array" aca="1" ref="C168" ca="1">IF(A168="","",IF(B168="safety","safety costs",INDIRECT("template!"&amp;"B"&amp;A168)))</f>
        <v>#REF!</v>
      </c>
      <c r="D168" t="e" cm="1">
        <f t="array" aca="1" ref="D168" ca="1">IF(OR(A168="",B168="safety"),"",INDIRECT("template!"&amp;"C"&amp;A168))</f>
        <v>#REF!</v>
      </c>
      <c r="E168" t="e" cm="1">
        <f t="array" aca="1" ref="E168" ca="1">IF(A168="","",IF(OR(A168=A167+1,A168=A167+2),E167,INDIRECT("template!"&amp;"D"&amp;A168-2)))</f>
        <v>#REF!</v>
      </c>
      <c r="F168" t="e" cm="1">
        <f t="array" aca="1" ref="F168" ca="1">IF(OR(A168="",B168="safety"),"",IF(ISBLANK(IF(A168=A167+1,F167,INDIRECT("template!"&amp;"D"&amp;A168-1))),"",IF(A168=A167+1,F167,INDIRECT("template!"&amp;"D"&amp;A168-1))))</f>
        <v>#REF!</v>
      </c>
      <c r="G168" t="e" cm="1">
        <f t="array" aca="1" ref="G168" ca="1">IF(OR(A168="",B168="safety"),"",IF(ISBLANK(INDIRECT("template!"&amp;"D"&amp;A168)),"",INDIRECT("template!"&amp;"D"&amp;A168)))</f>
        <v>#REF!</v>
      </c>
      <c r="H168" t="e" cm="1">
        <f t="array" aca="1" ref="H168" ca="1">IF(OR(A168="",B168="safety"),"",IF(ISBLANK(INDIRECT("template!"&amp;"E"&amp;A168)),"",INDIRECT("template!"&amp;"E"&amp;A168)))</f>
        <v>#REF!</v>
      </c>
      <c r="I168" t="e" cm="1">
        <f t="array" aca="1" ref="I168" ca="1">IF(OR(A168="",B168="safety"),"",IF(ISBLANK(INDIRECT("template!"&amp;"F"&amp;A168)),"",INDIRECT("template!"&amp;"F"&amp;A168)))</f>
        <v>#REF!</v>
      </c>
      <c r="J168" t="e" cm="1">
        <f t="array" aca="1" ref="J168" ca="1">IF(OR(A168="",B168="safety"),"",IF(ISBLANK(INDIRECT("template!"&amp;"G"&amp;A168)),"",INDIRECT("template!"&amp;"G"&amp;A168)))</f>
        <v>#REF!</v>
      </c>
      <c r="K168" t="e" cm="1">
        <f t="array" aca="1" ref="K168" ca="1">IF(OR(A168="",B168="safety"),"",IF(ISBLANK(INDIRECT("template!"&amp;"H"&amp;A168)),"",INDIRECT("template!"&amp;"H"&amp;A168)))</f>
        <v>#REF!</v>
      </c>
      <c r="L168" t="e" cm="1">
        <f t="array" aca="1" ref="L168" ca="1">IF(OR(A168="",B168="safety"),"",INDIRECT("template!"&amp;"I"&amp;A168))</f>
        <v>#REF!</v>
      </c>
      <c r="M168" t="e" cm="1">
        <f t="array" aca="1" ref="M168" ca="1">IF(OR(A168="",B168="safety"),"",INDIRECT("template!"&amp;"J"&amp;A168))</f>
        <v>#REF!</v>
      </c>
      <c r="N168" t="e" cm="1">
        <f t="array" aca="1" ref="N168" ca="1">IF(OR(A168="",B168="safety"),"",IF(ISBLANK(INDIRECT("template!"&amp;"K"&amp;A168)),"",INDIRECT("template!"&amp;"K"&amp;A168)))</f>
        <v>#REF!</v>
      </c>
      <c r="O168" t="e" cm="1">
        <f t="array" aca="1" ref="O168" ca="1">IF(OR(A168="",B168="safety"),"",INDIRECT("template!"&amp;"L"&amp;A168))</f>
        <v>#REF!</v>
      </c>
      <c r="P168" t="e" cm="1">
        <f t="array" aca="1" ref="P168" ca="1">IF(OR(A168="",B168="safety"),"",INDIRECT("template!"&amp;"M"&amp;A168))</f>
        <v>#REF!</v>
      </c>
      <c r="Q168" t="e">
        <f t="shared" ca="1" si="11"/>
        <v>#REF!</v>
      </c>
      <c r="R168" t="e">
        <f t="shared" ca="1" si="12"/>
        <v>#REF!</v>
      </c>
      <c r="S168" t="e">
        <f t="shared" ca="1" si="13"/>
        <v>#REF!</v>
      </c>
      <c r="T168" t="e">
        <f t="shared" ca="1" si="14"/>
        <v>#REF!</v>
      </c>
      <c r="U168" t="e" cm="1">
        <f t="array" aca="1" ref="U168" ca="1">IF(A168="","",IF(E168="","",IF(B168="safety",INDIRECT("template!"&amp;"P"&amp;A168),Q168+R168)))</f>
        <v>#REF!</v>
      </c>
      <c r="V168" t="e" cm="1">
        <f t="array" aca="1" ref="V168" ca="1">IF(A168="","",IF(E168="","",IF(B168="safety",INDIRECT("template!"&amp;"P"&amp;A168),S168+T168)))</f>
        <v>#REF!</v>
      </c>
      <c r="W168" t="e">
        <f ca="1">IF(A168="","",IF(E168="","",#REF!))</f>
        <v>#REF!</v>
      </c>
      <c r="X168" t="e">
        <f ca="1">IF(A168="","",IF(E168="","",#REF!))</f>
        <v>#REF!</v>
      </c>
      <c r="Y168" s="39" t="e">
        <f ca="1">IF(A168="","",IF(E168="","",#REF!))</f>
        <v>#REF!</v>
      </c>
      <c r="Z168" t="e">
        <f ca="1">IF(A168="","",IF(E168="","",#REF!))</f>
        <v>#REF!</v>
      </c>
      <c r="AA168" t="e">
        <f ca="1">IF(A168="","",IF(E168="","",#REF!))</f>
        <v>#REF!</v>
      </c>
      <c r="AB168" t="e">
        <f ca="1">IF(A168="","",IF(E168="","",#REF!))</f>
        <v>#REF!</v>
      </c>
      <c r="AC168" t="e">
        <f t="shared" ca="1" si="15"/>
        <v>#REF!</v>
      </c>
    </row>
    <row r="169" spans="1:29" x14ac:dyDescent="0.35">
      <c r="A169" t="e" cm="1">
        <f t="array" aca="1" ref="A169" ca="1">IF(A168="","",IF(OR(AND(A168+1&gt;=$AF$1,A168+1&lt;=$AF$2),AND(A168+1&gt;=$AF$6,A168+1&lt;=$AF$7),AND(A168+1&gt;=$AF$3,A168+1&lt;=$AF$4),AND(A168+1&gt;=$AF$8,A168+1&lt;=$AF$9),A168+1=$AF$5),IF(NOT(ISBLANK(INDIRECT("template!"&amp;"P"&amp;A168+1))),A168+1,IF(NOT(ISBLANK(INDIRECT("template!"&amp;"P"&amp;A168+2))),A168+2,A168+3)),IF(A168=$AF$2,$AF$3,IF(A168=$AF$4,$AF$5,IF(A168=$AF$5,$AF$6,IF(A168=$AF$7,$AF$8,""))))))</f>
        <v>#REF!</v>
      </c>
      <c r="B169" t="e">
        <f t="shared" ca="1" si="0"/>
        <v>#REF!</v>
      </c>
      <c r="C169" t="e" cm="1">
        <f t="array" aca="1" ref="C169" ca="1">IF(A169="","",IF(B169="safety","safety costs",INDIRECT("template!"&amp;"B"&amp;A169)))</f>
        <v>#REF!</v>
      </c>
      <c r="D169" t="e" cm="1">
        <f t="array" aca="1" ref="D169" ca="1">IF(OR(A169="",B169="safety"),"",INDIRECT("template!"&amp;"C"&amp;A169))</f>
        <v>#REF!</v>
      </c>
      <c r="E169" t="e" cm="1">
        <f t="array" aca="1" ref="E169" ca="1">IF(A169="","",IF(OR(A169=A168+1,A169=A168+2),E168,INDIRECT("template!"&amp;"D"&amp;A169-2)))</f>
        <v>#REF!</v>
      </c>
      <c r="F169" t="e" cm="1">
        <f t="array" aca="1" ref="F169" ca="1">IF(OR(A169="",B169="safety"),"",IF(ISBLANK(IF(A169=A168+1,F168,INDIRECT("template!"&amp;"D"&amp;A169-1))),"",IF(A169=A168+1,F168,INDIRECT("template!"&amp;"D"&amp;A169-1))))</f>
        <v>#REF!</v>
      </c>
      <c r="G169" t="e" cm="1">
        <f t="array" aca="1" ref="G169" ca="1">IF(OR(A169="",B169="safety"),"",IF(ISBLANK(INDIRECT("template!"&amp;"D"&amp;A169)),"",INDIRECT("template!"&amp;"D"&amp;A169)))</f>
        <v>#REF!</v>
      </c>
      <c r="H169" t="e" cm="1">
        <f t="array" aca="1" ref="H169" ca="1">IF(OR(A169="",B169="safety"),"",IF(ISBLANK(INDIRECT("template!"&amp;"E"&amp;A169)),"",INDIRECT("template!"&amp;"E"&amp;A169)))</f>
        <v>#REF!</v>
      </c>
      <c r="I169" t="e" cm="1">
        <f t="array" aca="1" ref="I169" ca="1">IF(OR(A169="",B169="safety"),"",IF(ISBLANK(INDIRECT("template!"&amp;"F"&amp;A169)),"",INDIRECT("template!"&amp;"F"&amp;A169)))</f>
        <v>#REF!</v>
      </c>
      <c r="J169" t="e" cm="1">
        <f t="array" aca="1" ref="J169" ca="1">IF(OR(A169="",B169="safety"),"",IF(ISBLANK(INDIRECT("template!"&amp;"G"&amp;A169)),"",INDIRECT("template!"&amp;"G"&amp;A169)))</f>
        <v>#REF!</v>
      </c>
      <c r="K169" t="e" cm="1">
        <f t="array" aca="1" ref="K169" ca="1">IF(OR(A169="",B169="safety"),"",IF(ISBLANK(INDIRECT("template!"&amp;"H"&amp;A169)),"",INDIRECT("template!"&amp;"H"&amp;A169)))</f>
        <v>#REF!</v>
      </c>
      <c r="L169" t="e" cm="1">
        <f t="array" aca="1" ref="L169" ca="1">IF(OR(A169="",B169="safety"),"",INDIRECT("template!"&amp;"I"&amp;A169))</f>
        <v>#REF!</v>
      </c>
      <c r="M169" t="e" cm="1">
        <f t="array" aca="1" ref="M169" ca="1">IF(OR(A169="",B169="safety"),"",INDIRECT("template!"&amp;"J"&amp;A169))</f>
        <v>#REF!</v>
      </c>
      <c r="N169" t="e" cm="1">
        <f t="array" aca="1" ref="N169" ca="1">IF(OR(A169="",B169="safety"),"",IF(ISBLANK(INDIRECT("template!"&amp;"K"&amp;A169)),"",INDIRECT("template!"&amp;"K"&amp;A169)))</f>
        <v>#REF!</v>
      </c>
      <c r="O169" t="e" cm="1">
        <f t="array" aca="1" ref="O169" ca="1">IF(OR(A169="",B169="safety"),"",INDIRECT("template!"&amp;"L"&amp;A169))</f>
        <v>#REF!</v>
      </c>
      <c r="P169" t="e" cm="1">
        <f t="array" aca="1" ref="P169" ca="1">IF(OR(A169="",B169="safety"),"",INDIRECT("template!"&amp;"M"&amp;A169))</f>
        <v>#REF!</v>
      </c>
      <c r="Q169" t="e">
        <f t="shared" ca="1" si="11"/>
        <v>#REF!</v>
      </c>
      <c r="R169" t="e">
        <f t="shared" ca="1" si="12"/>
        <v>#REF!</v>
      </c>
      <c r="S169" t="e">
        <f t="shared" ca="1" si="13"/>
        <v>#REF!</v>
      </c>
      <c r="T169" t="e">
        <f t="shared" ca="1" si="14"/>
        <v>#REF!</v>
      </c>
      <c r="U169" t="e" cm="1">
        <f t="array" aca="1" ref="U169" ca="1">IF(A169="","",IF(E169="","",IF(B169="safety",INDIRECT("template!"&amp;"P"&amp;A169),Q169+R169)))</f>
        <v>#REF!</v>
      </c>
      <c r="V169" t="e" cm="1">
        <f t="array" aca="1" ref="V169" ca="1">IF(A169="","",IF(E169="","",IF(B169="safety",INDIRECT("template!"&amp;"P"&amp;A169),S169+T169)))</f>
        <v>#REF!</v>
      </c>
      <c r="W169" t="e">
        <f ca="1">IF(A169="","",IF(E169="","",#REF!))</f>
        <v>#REF!</v>
      </c>
      <c r="X169" t="e">
        <f ca="1">IF(A169="","",IF(E169="","",#REF!))</f>
        <v>#REF!</v>
      </c>
      <c r="Y169" s="39" t="e">
        <f ca="1">IF(A169="","",IF(E169="","",#REF!))</f>
        <v>#REF!</v>
      </c>
      <c r="Z169" t="e">
        <f ca="1">IF(A169="","",IF(E169="","",#REF!))</f>
        <v>#REF!</v>
      </c>
      <c r="AA169" t="e">
        <f ca="1">IF(A169="","",IF(E169="","",#REF!))</f>
        <v>#REF!</v>
      </c>
      <c r="AB169" t="e">
        <f ca="1">IF(A169="","",IF(E169="","",#REF!))</f>
        <v>#REF!</v>
      </c>
      <c r="AC169" t="e">
        <f t="shared" ca="1" si="15"/>
        <v>#REF!</v>
      </c>
    </row>
    <row r="170" spans="1:29" x14ac:dyDescent="0.35">
      <c r="A170" t="e" cm="1">
        <f t="array" aca="1" ref="A170" ca="1">IF(A169="","",IF(OR(AND(A169+1&gt;=$AF$1,A169+1&lt;=$AF$2),AND(A169+1&gt;=$AF$6,A169+1&lt;=$AF$7),AND(A169+1&gt;=$AF$3,A169+1&lt;=$AF$4),AND(A169+1&gt;=$AF$8,A169+1&lt;=$AF$9),A169+1=$AF$5),IF(NOT(ISBLANK(INDIRECT("template!"&amp;"P"&amp;A169+1))),A169+1,IF(NOT(ISBLANK(INDIRECT("template!"&amp;"P"&amp;A169+2))),A169+2,A169+3)),IF(A169=$AF$2,$AF$3,IF(A169=$AF$4,$AF$5,IF(A169=$AF$5,$AF$6,IF(A169=$AF$7,$AF$8,""))))))</f>
        <v>#REF!</v>
      </c>
      <c r="B170" t="e">
        <f t="shared" ca="1" si="0"/>
        <v>#REF!</v>
      </c>
      <c r="C170" t="e" cm="1">
        <f t="array" aca="1" ref="C170" ca="1">IF(A170="","",IF(B170="safety","safety costs",INDIRECT("template!"&amp;"B"&amp;A170)))</f>
        <v>#REF!</v>
      </c>
      <c r="D170" t="e" cm="1">
        <f t="array" aca="1" ref="D170" ca="1">IF(OR(A170="",B170="safety"),"",INDIRECT("template!"&amp;"C"&amp;A170))</f>
        <v>#REF!</v>
      </c>
      <c r="E170" t="e" cm="1">
        <f t="array" aca="1" ref="E170" ca="1">IF(A170="","",IF(OR(A170=A169+1,A170=A169+2),E169,INDIRECT("template!"&amp;"D"&amp;A170-2)))</f>
        <v>#REF!</v>
      </c>
      <c r="F170" t="e" cm="1">
        <f t="array" aca="1" ref="F170" ca="1">IF(OR(A170="",B170="safety"),"",IF(ISBLANK(IF(A170=A169+1,F169,INDIRECT("template!"&amp;"D"&amp;A170-1))),"",IF(A170=A169+1,F169,INDIRECT("template!"&amp;"D"&amp;A170-1))))</f>
        <v>#REF!</v>
      </c>
      <c r="G170" t="e" cm="1">
        <f t="array" aca="1" ref="G170" ca="1">IF(OR(A170="",B170="safety"),"",IF(ISBLANK(INDIRECT("template!"&amp;"D"&amp;A170)),"",INDIRECT("template!"&amp;"D"&amp;A170)))</f>
        <v>#REF!</v>
      </c>
      <c r="H170" t="e" cm="1">
        <f t="array" aca="1" ref="H170" ca="1">IF(OR(A170="",B170="safety"),"",IF(ISBLANK(INDIRECT("template!"&amp;"E"&amp;A170)),"",INDIRECT("template!"&amp;"E"&amp;A170)))</f>
        <v>#REF!</v>
      </c>
      <c r="I170" t="e" cm="1">
        <f t="array" aca="1" ref="I170" ca="1">IF(OR(A170="",B170="safety"),"",IF(ISBLANK(INDIRECT("template!"&amp;"F"&amp;A170)),"",INDIRECT("template!"&amp;"F"&amp;A170)))</f>
        <v>#REF!</v>
      </c>
      <c r="J170" t="e" cm="1">
        <f t="array" aca="1" ref="J170" ca="1">IF(OR(A170="",B170="safety"),"",IF(ISBLANK(INDIRECT("template!"&amp;"G"&amp;A170)),"",INDIRECT("template!"&amp;"G"&amp;A170)))</f>
        <v>#REF!</v>
      </c>
      <c r="K170" t="e" cm="1">
        <f t="array" aca="1" ref="K170" ca="1">IF(OR(A170="",B170="safety"),"",IF(ISBLANK(INDIRECT("template!"&amp;"H"&amp;A170)),"",INDIRECT("template!"&amp;"H"&amp;A170)))</f>
        <v>#REF!</v>
      </c>
      <c r="L170" t="e" cm="1">
        <f t="array" aca="1" ref="L170" ca="1">IF(OR(A170="",B170="safety"),"",INDIRECT("template!"&amp;"I"&amp;A170))</f>
        <v>#REF!</v>
      </c>
      <c r="M170" t="e" cm="1">
        <f t="array" aca="1" ref="M170" ca="1">IF(OR(A170="",B170="safety"),"",INDIRECT("template!"&amp;"J"&amp;A170))</f>
        <v>#REF!</v>
      </c>
      <c r="N170" t="e" cm="1">
        <f t="array" aca="1" ref="N170" ca="1">IF(OR(A170="",B170="safety"),"",IF(ISBLANK(INDIRECT("template!"&amp;"K"&amp;A170)),"",INDIRECT("template!"&amp;"K"&amp;A170)))</f>
        <v>#REF!</v>
      </c>
      <c r="O170" t="e" cm="1">
        <f t="array" aca="1" ref="O170" ca="1">IF(OR(A170="",B170="safety"),"",INDIRECT("template!"&amp;"L"&amp;A170))</f>
        <v>#REF!</v>
      </c>
      <c r="P170" t="e" cm="1">
        <f t="array" aca="1" ref="P170" ca="1">IF(OR(A170="",B170="safety"),"",INDIRECT("template!"&amp;"M"&amp;A170))</f>
        <v>#REF!</v>
      </c>
      <c r="Q170" t="e">
        <f t="shared" ca="1" si="11"/>
        <v>#REF!</v>
      </c>
      <c r="R170" t="e">
        <f t="shared" ca="1" si="12"/>
        <v>#REF!</v>
      </c>
      <c r="S170" t="e">
        <f t="shared" ca="1" si="13"/>
        <v>#REF!</v>
      </c>
      <c r="T170" t="e">
        <f t="shared" ca="1" si="14"/>
        <v>#REF!</v>
      </c>
      <c r="U170" t="e" cm="1">
        <f t="array" aca="1" ref="U170" ca="1">IF(A170="","",IF(E170="","",IF(B170="safety",INDIRECT("template!"&amp;"P"&amp;A170),Q170+R170)))</f>
        <v>#REF!</v>
      </c>
      <c r="V170" t="e" cm="1">
        <f t="array" aca="1" ref="V170" ca="1">IF(A170="","",IF(E170="","",IF(B170="safety",INDIRECT("template!"&amp;"P"&amp;A170),S170+T170)))</f>
        <v>#REF!</v>
      </c>
      <c r="W170" t="e">
        <f ca="1">IF(A170="","",IF(E170="","",#REF!))</f>
        <v>#REF!</v>
      </c>
      <c r="X170" t="e">
        <f ca="1">IF(A170="","",IF(E170="","",#REF!))</f>
        <v>#REF!</v>
      </c>
      <c r="Y170" s="39" t="e">
        <f ca="1">IF(A170="","",IF(E170="","",#REF!))</f>
        <v>#REF!</v>
      </c>
      <c r="Z170" t="e">
        <f ca="1">IF(A170="","",IF(E170="","",#REF!))</f>
        <v>#REF!</v>
      </c>
      <c r="AA170" t="e">
        <f ca="1">IF(A170="","",IF(E170="","",#REF!))</f>
        <v>#REF!</v>
      </c>
      <c r="AB170" t="e">
        <f ca="1">IF(A170="","",IF(E170="","",#REF!))</f>
        <v>#REF!</v>
      </c>
      <c r="AC170" t="e">
        <f t="shared" ca="1" si="15"/>
        <v>#REF!</v>
      </c>
    </row>
    <row r="171" spans="1:29" x14ac:dyDescent="0.35">
      <c r="A171" t="e" cm="1">
        <f t="array" aca="1" ref="A171" ca="1">IF(A170="","",IF(OR(AND(A170+1&gt;=$AF$1,A170+1&lt;=$AF$2),AND(A170+1&gt;=$AF$6,A170+1&lt;=$AF$7),AND(A170+1&gt;=$AF$3,A170+1&lt;=$AF$4),AND(A170+1&gt;=$AF$8,A170+1&lt;=$AF$9),A170+1=$AF$5),IF(NOT(ISBLANK(INDIRECT("template!"&amp;"P"&amp;A170+1))),A170+1,IF(NOT(ISBLANK(INDIRECT("template!"&amp;"P"&amp;A170+2))),A170+2,A170+3)),IF(A170=$AF$2,$AF$3,IF(A170=$AF$4,$AF$5,IF(A170=$AF$5,$AF$6,IF(A170=$AF$7,$AF$8,""))))))</f>
        <v>#REF!</v>
      </c>
      <c r="B171" t="e">
        <f t="shared" ca="1" si="0"/>
        <v>#REF!</v>
      </c>
      <c r="C171" t="e" cm="1">
        <f t="array" aca="1" ref="C171" ca="1">IF(A171="","",IF(B171="safety","safety costs",INDIRECT("template!"&amp;"B"&amp;A171)))</f>
        <v>#REF!</v>
      </c>
      <c r="D171" t="e" cm="1">
        <f t="array" aca="1" ref="D171" ca="1">IF(OR(A171="",B171="safety"),"",INDIRECT("template!"&amp;"C"&amp;A171))</f>
        <v>#REF!</v>
      </c>
      <c r="E171" t="e" cm="1">
        <f t="array" aca="1" ref="E171" ca="1">IF(A171="","",IF(OR(A171=A170+1,A171=A170+2),E170,INDIRECT("template!"&amp;"D"&amp;A171-2)))</f>
        <v>#REF!</v>
      </c>
      <c r="F171" t="e" cm="1">
        <f t="array" aca="1" ref="F171" ca="1">IF(OR(A171="",B171="safety"),"",IF(ISBLANK(IF(A171=A170+1,F170,INDIRECT("template!"&amp;"D"&amp;A171-1))),"",IF(A171=A170+1,F170,INDIRECT("template!"&amp;"D"&amp;A171-1))))</f>
        <v>#REF!</v>
      </c>
      <c r="G171" t="e" cm="1">
        <f t="array" aca="1" ref="G171" ca="1">IF(OR(A171="",B171="safety"),"",IF(ISBLANK(INDIRECT("template!"&amp;"D"&amp;A171)),"",INDIRECT("template!"&amp;"D"&amp;A171)))</f>
        <v>#REF!</v>
      </c>
      <c r="H171" t="e" cm="1">
        <f t="array" aca="1" ref="H171" ca="1">IF(OR(A171="",B171="safety"),"",IF(ISBLANK(INDIRECT("template!"&amp;"E"&amp;A171)),"",INDIRECT("template!"&amp;"E"&amp;A171)))</f>
        <v>#REF!</v>
      </c>
      <c r="I171" t="e" cm="1">
        <f t="array" aca="1" ref="I171" ca="1">IF(OR(A171="",B171="safety"),"",IF(ISBLANK(INDIRECT("template!"&amp;"F"&amp;A171)),"",INDIRECT("template!"&amp;"F"&amp;A171)))</f>
        <v>#REF!</v>
      </c>
      <c r="J171" t="e" cm="1">
        <f t="array" aca="1" ref="J171" ca="1">IF(OR(A171="",B171="safety"),"",IF(ISBLANK(INDIRECT("template!"&amp;"G"&amp;A171)),"",INDIRECT("template!"&amp;"G"&amp;A171)))</f>
        <v>#REF!</v>
      </c>
      <c r="K171" t="e" cm="1">
        <f t="array" aca="1" ref="K171" ca="1">IF(OR(A171="",B171="safety"),"",IF(ISBLANK(INDIRECT("template!"&amp;"H"&amp;A171)),"",INDIRECT("template!"&amp;"H"&amp;A171)))</f>
        <v>#REF!</v>
      </c>
      <c r="L171" t="e" cm="1">
        <f t="array" aca="1" ref="L171" ca="1">IF(OR(A171="",B171="safety"),"",INDIRECT("template!"&amp;"I"&amp;A171))</f>
        <v>#REF!</v>
      </c>
      <c r="M171" t="e" cm="1">
        <f t="array" aca="1" ref="M171" ca="1">IF(OR(A171="",B171="safety"),"",INDIRECT("template!"&amp;"J"&amp;A171))</f>
        <v>#REF!</v>
      </c>
      <c r="N171" t="e" cm="1">
        <f t="array" aca="1" ref="N171" ca="1">IF(OR(A171="",B171="safety"),"",IF(ISBLANK(INDIRECT("template!"&amp;"K"&amp;A171)),"",INDIRECT("template!"&amp;"K"&amp;A171)))</f>
        <v>#REF!</v>
      </c>
      <c r="O171" t="e" cm="1">
        <f t="array" aca="1" ref="O171" ca="1">IF(OR(A171="",B171="safety"),"",INDIRECT("template!"&amp;"L"&amp;A171))</f>
        <v>#REF!</v>
      </c>
      <c r="P171" t="e" cm="1">
        <f t="array" aca="1" ref="P171" ca="1">IF(OR(A171="",B171="safety"),"",INDIRECT("template!"&amp;"M"&amp;A171))</f>
        <v>#REF!</v>
      </c>
      <c r="Q171" t="e">
        <f t="shared" ca="1" si="11"/>
        <v>#REF!</v>
      </c>
      <c r="R171" t="e">
        <f t="shared" ca="1" si="12"/>
        <v>#REF!</v>
      </c>
      <c r="S171" t="e">
        <f t="shared" ca="1" si="13"/>
        <v>#REF!</v>
      </c>
      <c r="T171" t="e">
        <f t="shared" ca="1" si="14"/>
        <v>#REF!</v>
      </c>
      <c r="U171" t="e" cm="1">
        <f t="array" aca="1" ref="U171" ca="1">IF(A171="","",IF(E171="","",IF(B171="safety",INDIRECT("template!"&amp;"P"&amp;A171),Q171+R171)))</f>
        <v>#REF!</v>
      </c>
      <c r="V171" t="e" cm="1">
        <f t="array" aca="1" ref="V171" ca="1">IF(A171="","",IF(E171="","",IF(B171="safety",INDIRECT("template!"&amp;"P"&amp;A171),S171+T171)))</f>
        <v>#REF!</v>
      </c>
      <c r="W171" t="e">
        <f ca="1">IF(A171="","",IF(E171="","",#REF!))</f>
        <v>#REF!</v>
      </c>
      <c r="X171" t="e">
        <f ca="1">IF(A171="","",IF(E171="","",#REF!))</f>
        <v>#REF!</v>
      </c>
      <c r="Y171" s="39" t="e">
        <f ca="1">IF(A171="","",IF(E171="","",#REF!))</f>
        <v>#REF!</v>
      </c>
      <c r="Z171" t="e">
        <f ca="1">IF(A171="","",IF(E171="","",#REF!))</f>
        <v>#REF!</v>
      </c>
      <c r="AA171" t="e">
        <f ca="1">IF(A171="","",IF(E171="","",#REF!))</f>
        <v>#REF!</v>
      </c>
      <c r="AB171" t="e">
        <f ca="1">IF(A171="","",IF(E171="","",#REF!))</f>
        <v>#REF!</v>
      </c>
      <c r="AC171" t="e">
        <f t="shared" ca="1" si="15"/>
        <v>#REF!</v>
      </c>
    </row>
    <row r="172" spans="1:29" x14ac:dyDescent="0.35">
      <c r="A172" t="e" cm="1">
        <f t="array" aca="1" ref="A172" ca="1">IF(A171="","",IF(OR(AND(A171+1&gt;=$AF$1,A171+1&lt;=$AF$2),AND(A171+1&gt;=$AF$6,A171+1&lt;=$AF$7),AND(A171+1&gt;=$AF$3,A171+1&lt;=$AF$4),AND(A171+1&gt;=$AF$8,A171+1&lt;=$AF$9),A171+1=$AF$5),IF(NOT(ISBLANK(INDIRECT("template!"&amp;"P"&amp;A171+1))),A171+1,IF(NOT(ISBLANK(INDIRECT("template!"&amp;"P"&amp;A171+2))),A171+2,A171+3)),IF(A171=$AF$2,$AF$3,IF(A171=$AF$4,$AF$5,IF(A171=$AF$5,$AF$6,IF(A171=$AF$7,$AF$8,""))))))</f>
        <v>#REF!</v>
      </c>
      <c r="B172" t="e">
        <f t="shared" ca="1" si="0"/>
        <v>#REF!</v>
      </c>
      <c r="C172" t="e" cm="1">
        <f t="array" aca="1" ref="C172" ca="1">IF(A172="","",IF(B172="safety","safety costs",INDIRECT("template!"&amp;"B"&amp;A172)))</f>
        <v>#REF!</v>
      </c>
      <c r="D172" t="e" cm="1">
        <f t="array" aca="1" ref="D172" ca="1">IF(OR(A172="",B172="safety"),"",INDIRECT("template!"&amp;"C"&amp;A172))</f>
        <v>#REF!</v>
      </c>
      <c r="E172" t="e" cm="1">
        <f t="array" aca="1" ref="E172" ca="1">IF(A172="","",IF(OR(A172=A171+1,A172=A171+2),E171,INDIRECT("template!"&amp;"D"&amp;A172-2)))</f>
        <v>#REF!</v>
      </c>
      <c r="F172" t="e" cm="1">
        <f t="array" aca="1" ref="F172" ca="1">IF(OR(A172="",B172="safety"),"",IF(ISBLANK(IF(A172=A171+1,F171,INDIRECT("template!"&amp;"D"&amp;A172-1))),"",IF(A172=A171+1,F171,INDIRECT("template!"&amp;"D"&amp;A172-1))))</f>
        <v>#REF!</v>
      </c>
      <c r="G172" t="e" cm="1">
        <f t="array" aca="1" ref="G172" ca="1">IF(OR(A172="",B172="safety"),"",IF(ISBLANK(INDIRECT("template!"&amp;"D"&amp;A172)),"",INDIRECT("template!"&amp;"D"&amp;A172)))</f>
        <v>#REF!</v>
      </c>
      <c r="H172" t="e" cm="1">
        <f t="array" aca="1" ref="H172" ca="1">IF(OR(A172="",B172="safety"),"",IF(ISBLANK(INDIRECT("template!"&amp;"E"&amp;A172)),"",INDIRECT("template!"&amp;"E"&amp;A172)))</f>
        <v>#REF!</v>
      </c>
      <c r="I172" t="e" cm="1">
        <f t="array" aca="1" ref="I172" ca="1">IF(OR(A172="",B172="safety"),"",IF(ISBLANK(INDIRECT("template!"&amp;"F"&amp;A172)),"",INDIRECT("template!"&amp;"F"&amp;A172)))</f>
        <v>#REF!</v>
      </c>
      <c r="J172" t="e" cm="1">
        <f t="array" aca="1" ref="J172" ca="1">IF(OR(A172="",B172="safety"),"",IF(ISBLANK(INDIRECT("template!"&amp;"G"&amp;A172)),"",INDIRECT("template!"&amp;"G"&amp;A172)))</f>
        <v>#REF!</v>
      </c>
      <c r="K172" t="e" cm="1">
        <f t="array" aca="1" ref="K172" ca="1">IF(OR(A172="",B172="safety"),"",IF(ISBLANK(INDIRECT("template!"&amp;"H"&amp;A172)),"",INDIRECT("template!"&amp;"H"&amp;A172)))</f>
        <v>#REF!</v>
      </c>
      <c r="L172" t="e" cm="1">
        <f t="array" aca="1" ref="L172" ca="1">IF(OR(A172="",B172="safety"),"",INDIRECT("template!"&amp;"I"&amp;A172))</f>
        <v>#REF!</v>
      </c>
      <c r="M172" t="e" cm="1">
        <f t="array" aca="1" ref="M172" ca="1">IF(OR(A172="",B172="safety"),"",INDIRECT("template!"&amp;"J"&amp;A172))</f>
        <v>#REF!</v>
      </c>
      <c r="N172" t="e" cm="1">
        <f t="array" aca="1" ref="N172" ca="1">IF(OR(A172="",B172="safety"),"",IF(ISBLANK(INDIRECT("template!"&amp;"K"&amp;A172)),"",INDIRECT("template!"&amp;"K"&amp;A172)))</f>
        <v>#REF!</v>
      </c>
      <c r="O172" t="e" cm="1">
        <f t="array" aca="1" ref="O172" ca="1">IF(OR(A172="",B172="safety"),"",INDIRECT("template!"&amp;"L"&amp;A172))</f>
        <v>#REF!</v>
      </c>
      <c r="P172" t="e" cm="1">
        <f t="array" aca="1" ref="P172" ca="1">IF(OR(A172="",B172="safety"),"",INDIRECT("template!"&amp;"M"&amp;A172))</f>
        <v>#REF!</v>
      </c>
      <c r="Q172" t="e">
        <f t="shared" ca="1" si="11"/>
        <v>#REF!</v>
      </c>
      <c r="R172" t="e">
        <f t="shared" ca="1" si="12"/>
        <v>#REF!</v>
      </c>
      <c r="S172" t="e">
        <f t="shared" ca="1" si="13"/>
        <v>#REF!</v>
      </c>
      <c r="T172" t="e">
        <f t="shared" ca="1" si="14"/>
        <v>#REF!</v>
      </c>
      <c r="U172" t="e" cm="1">
        <f t="array" aca="1" ref="U172" ca="1">IF(A172="","",IF(E172="","",IF(B172="safety",INDIRECT("template!"&amp;"P"&amp;A172),Q172+R172)))</f>
        <v>#REF!</v>
      </c>
      <c r="V172" t="e" cm="1">
        <f t="array" aca="1" ref="V172" ca="1">IF(A172="","",IF(E172="","",IF(B172="safety",INDIRECT("template!"&amp;"P"&amp;A172),S172+T172)))</f>
        <v>#REF!</v>
      </c>
      <c r="W172" t="e">
        <f ca="1">IF(A172="","",IF(E172="","",#REF!))</f>
        <v>#REF!</v>
      </c>
      <c r="X172" t="e">
        <f ca="1">IF(A172="","",IF(E172="","",#REF!))</f>
        <v>#REF!</v>
      </c>
      <c r="Y172" s="39" t="e">
        <f ca="1">IF(A172="","",IF(E172="","",#REF!))</f>
        <v>#REF!</v>
      </c>
      <c r="Z172" t="e">
        <f ca="1">IF(A172="","",IF(E172="","",#REF!))</f>
        <v>#REF!</v>
      </c>
      <c r="AA172" t="e">
        <f ca="1">IF(A172="","",IF(E172="","",#REF!))</f>
        <v>#REF!</v>
      </c>
      <c r="AB172" t="e">
        <f ca="1">IF(A172="","",IF(E172="","",#REF!))</f>
        <v>#REF!</v>
      </c>
      <c r="AC172" t="e">
        <f t="shared" ca="1" si="15"/>
        <v>#REF!</v>
      </c>
    </row>
    <row r="173" spans="1:29" x14ac:dyDescent="0.35">
      <c r="A173" t="e" cm="1">
        <f t="array" aca="1" ref="A173" ca="1">IF(A172="","",IF(OR(AND(A172+1&gt;=$AF$1,A172+1&lt;=$AF$2),AND(A172+1&gt;=$AF$6,A172+1&lt;=$AF$7),AND(A172+1&gt;=$AF$3,A172+1&lt;=$AF$4),AND(A172+1&gt;=$AF$8,A172+1&lt;=$AF$9),A172+1=$AF$5),IF(NOT(ISBLANK(INDIRECT("template!"&amp;"P"&amp;A172+1))),A172+1,IF(NOT(ISBLANK(INDIRECT("template!"&amp;"P"&amp;A172+2))),A172+2,A172+3)),IF(A172=$AF$2,$AF$3,IF(A172=$AF$4,$AF$5,IF(A172=$AF$5,$AF$6,IF(A172=$AF$7,$AF$8,""))))))</f>
        <v>#REF!</v>
      </c>
      <c r="B173" t="e">
        <f t="shared" ca="1" si="0"/>
        <v>#REF!</v>
      </c>
      <c r="C173" t="e" cm="1">
        <f t="array" aca="1" ref="C173" ca="1">IF(A173="","",IF(B173="safety","safety costs",INDIRECT("template!"&amp;"B"&amp;A173)))</f>
        <v>#REF!</v>
      </c>
      <c r="D173" t="e" cm="1">
        <f t="array" aca="1" ref="D173" ca="1">IF(OR(A173="",B173="safety"),"",INDIRECT("template!"&amp;"C"&amp;A173))</f>
        <v>#REF!</v>
      </c>
      <c r="E173" t="e" cm="1">
        <f t="array" aca="1" ref="E173" ca="1">IF(A173="","",IF(OR(A173=A172+1,A173=A172+2),E172,INDIRECT("template!"&amp;"D"&amp;A173-2)))</f>
        <v>#REF!</v>
      </c>
      <c r="F173" t="e" cm="1">
        <f t="array" aca="1" ref="F173" ca="1">IF(OR(A173="",B173="safety"),"",IF(ISBLANK(IF(A173=A172+1,F172,INDIRECT("template!"&amp;"D"&amp;A173-1))),"",IF(A173=A172+1,F172,INDIRECT("template!"&amp;"D"&amp;A173-1))))</f>
        <v>#REF!</v>
      </c>
      <c r="G173" t="e" cm="1">
        <f t="array" aca="1" ref="G173" ca="1">IF(OR(A173="",B173="safety"),"",IF(ISBLANK(INDIRECT("template!"&amp;"D"&amp;A173)),"",INDIRECT("template!"&amp;"D"&amp;A173)))</f>
        <v>#REF!</v>
      </c>
      <c r="H173" t="e" cm="1">
        <f t="array" aca="1" ref="H173" ca="1">IF(OR(A173="",B173="safety"),"",IF(ISBLANK(INDIRECT("template!"&amp;"E"&amp;A173)),"",INDIRECT("template!"&amp;"E"&amp;A173)))</f>
        <v>#REF!</v>
      </c>
      <c r="I173" t="e" cm="1">
        <f t="array" aca="1" ref="I173" ca="1">IF(OR(A173="",B173="safety"),"",IF(ISBLANK(INDIRECT("template!"&amp;"F"&amp;A173)),"",INDIRECT("template!"&amp;"F"&amp;A173)))</f>
        <v>#REF!</v>
      </c>
      <c r="J173" t="e" cm="1">
        <f t="array" aca="1" ref="J173" ca="1">IF(OR(A173="",B173="safety"),"",IF(ISBLANK(INDIRECT("template!"&amp;"G"&amp;A173)),"",INDIRECT("template!"&amp;"G"&amp;A173)))</f>
        <v>#REF!</v>
      </c>
      <c r="K173" t="e" cm="1">
        <f t="array" aca="1" ref="K173" ca="1">IF(OR(A173="",B173="safety"),"",IF(ISBLANK(INDIRECT("template!"&amp;"H"&amp;A173)),"",INDIRECT("template!"&amp;"H"&amp;A173)))</f>
        <v>#REF!</v>
      </c>
      <c r="L173" t="e" cm="1">
        <f t="array" aca="1" ref="L173" ca="1">IF(OR(A173="",B173="safety"),"",INDIRECT("template!"&amp;"I"&amp;A173))</f>
        <v>#REF!</v>
      </c>
      <c r="M173" t="e" cm="1">
        <f t="array" aca="1" ref="M173" ca="1">IF(OR(A173="",B173="safety"),"",INDIRECT("template!"&amp;"J"&amp;A173))</f>
        <v>#REF!</v>
      </c>
      <c r="N173" t="e" cm="1">
        <f t="array" aca="1" ref="N173" ca="1">IF(OR(A173="",B173="safety"),"",IF(ISBLANK(INDIRECT("template!"&amp;"K"&amp;A173)),"",INDIRECT("template!"&amp;"K"&amp;A173)))</f>
        <v>#REF!</v>
      </c>
      <c r="O173" t="e" cm="1">
        <f t="array" aca="1" ref="O173" ca="1">IF(OR(A173="",B173="safety"),"",INDIRECT("template!"&amp;"L"&amp;A173))</f>
        <v>#REF!</v>
      </c>
      <c r="P173" t="e" cm="1">
        <f t="array" aca="1" ref="P173" ca="1">IF(OR(A173="",B173="safety"),"",INDIRECT("template!"&amp;"M"&amp;A173))</f>
        <v>#REF!</v>
      </c>
      <c r="Q173" t="e">
        <f t="shared" ca="1" si="11"/>
        <v>#REF!</v>
      </c>
      <c r="R173" t="e">
        <f t="shared" ca="1" si="12"/>
        <v>#REF!</v>
      </c>
      <c r="S173" t="e">
        <f t="shared" ca="1" si="13"/>
        <v>#REF!</v>
      </c>
      <c r="T173" t="e">
        <f t="shared" ca="1" si="14"/>
        <v>#REF!</v>
      </c>
      <c r="U173" t="e" cm="1">
        <f t="array" aca="1" ref="U173" ca="1">IF(A173="","",IF(E173="","",IF(B173="safety",INDIRECT("template!"&amp;"P"&amp;A173),Q173+R173)))</f>
        <v>#REF!</v>
      </c>
      <c r="V173" t="e" cm="1">
        <f t="array" aca="1" ref="V173" ca="1">IF(A173="","",IF(E173="","",IF(B173="safety",INDIRECT("template!"&amp;"P"&amp;A173),S173+T173)))</f>
        <v>#REF!</v>
      </c>
      <c r="W173" t="e">
        <f ca="1">IF(A173="","",IF(E173="","",#REF!))</f>
        <v>#REF!</v>
      </c>
      <c r="X173" t="e">
        <f ca="1">IF(A173="","",IF(E173="","",#REF!))</f>
        <v>#REF!</v>
      </c>
      <c r="Y173" s="39" t="e">
        <f ca="1">IF(A173="","",IF(E173="","",#REF!))</f>
        <v>#REF!</v>
      </c>
      <c r="Z173" t="e">
        <f ca="1">IF(A173="","",IF(E173="","",#REF!))</f>
        <v>#REF!</v>
      </c>
      <c r="AA173" t="e">
        <f ca="1">IF(A173="","",IF(E173="","",#REF!))</f>
        <v>#REF!</v>
      </c>
      <c r="AB173" t="e">
        <f ca="1">IF(A173="","",IF(E173="","",#REF!))</f>
        <v>#REF!</v>
      </c>
      <c r="AC173" t="e">
        <f t="shared" ca="1" si="15"/>
        <v>#REF!</v>
      </c>
    </row>
    <row r="174" spans="1:29" x14ac:dyDescent="0.35">
      <c r="A174" t="e" cm="1">
        <f t="array" aca="1" ref="A174" ca="1">IF(A173="","",IF(OR(AND(A173+1&gt;=$AF$1,A173+1&lt;=$AF$2),AND(A173+1&gt;=$AF$6,A173+1&lt;=$AF$7),AND(A173+1&gt;=$AF$3,A173+1&lt;=$AF$4),AND(A173+1&gt;=$AF$8,A173+1&lt;=$AF$9),A173+1=$AF$5),IF(NOT(ISBLANK(INDIRECT("template!"&amp;"P"&amp;A173+1))),A173+1,IF(NOT(ISBLANK(INDIRECT("template!"&amp;"P"&amp;A173+2))),A173+2,A173+3)),IF(A173=$AF$2,$AF$3,IF(A173=$AF$4,$AF$5,IF(A173=$AF$5,$AF$6,IF(A173=$AF$7,$AF$8,""))))))</f>
        <v>#REF!</v>
      </c>
      <c r="B174" t="e">
        <f t="shared" ca="1" si="0"/>
        <v>#REF!</v>
      </c>
      <c r="C174" t="e" cm="1">
        <f t="array" aca="1" ref="C174" ca="1">IF(A174="","",IF(B174="safety","safety costs",INDIRECT("template!"&amp;"B"&amp;A174)))</f>
        <v>#REF!</v>
      </c>
      <c r="D174" t="e" cm="1">
        <f t="array" aca="1" ref="D174" ca="1">IF(OR(A174="",B174="safety"),"",INDIRECT("template!"&amp;"C"&amp;A174))</f>
        <v>#REF!</v>
      </c>
      <c r="E174" t="e" cm="1">
        <f t="array" aca="1" ref="E174" ca="1">IF(A174="","",IF(OR(A174=A173+1,A174=A173+2),E173,INDIRECT("template!"&amp;"D"&amp;A174-2)))</f>
        <v>#REF!</v>
      </c>
      <c r="F174" t="e" cm="1">
        <f t="array" aca="1" ref="F174" ca="1">IF(OR(A174="",B174="safety"),"",IF(ISBLANK(IF(A174=A173+1,F173,INDIRECT("template!"&amp;"D"&amp;A174-1))),"",IF(A174=A173+1,F173,INDIRECT("template!"&amp;"D"&amp;A174-1))))</f>
        <v>#REF!</v>
      </c>
      <c r="G174" t="e" cm="1">
        <f t="array" aca="1" ref="G174" ca="1">IF(OR(A174="",B174="safety"),"",IF(ISBLANK(INDIRECT("template!"&amp;"D"&amp;A174)),"",INDIRECT("template!"&amp;"D"&amp;A174)))</f>
        <v>#REF!</v>
      </c>
      <c r="H174" t="e" cm="1">
        <f t="array" aca="1" ref="H174" ca="1">IF(OR(A174="",B174="safety"),"",IF(ISBLANK(INDIRECT("template!"&amp;"E"&amp;A174)),"",INDIRECT("template!"&amp;"E"&amp;A174)))</f>
        <v>#REF!</v>
      </c>
      <c r="I174" t="e" cm="1">
        <f t="array" aca="1" ref="I174" ca="1">IF(OR(A174="",B174="safety"),"",IF(ISBLANK(INDIRECT("template!"&amp;"F"&amp;A174)),"",INDIRECT("template!"&amp;"F"&amp;A174)))</f>
        <v>#REF!</v>
      </c>
      <c r="J174" t="e" cm="1">
        <f t="array" aca="1" ref="J174" ca="1">IF(OR(A174="",B174="safety"),"",IF(ISBLANK(INDIRECT("template!"&amp;"G"&amp;A174)),"",INDIRECT("template!"&amp;"G"&amp;A174)))</f>
        <v>#REF!</v>
      </c>
      <c r="K174" t="e" cm="1">
        <f t="array" aca="1" ref="K174" ca="1">IF(OR(A174="",B174="safety"),"",IF(ISBLANK(INDIRECT("template!"&amp;"H"&amp;A174)),"",INDIRECT("template!"&amp;"H"&amp;A174)))</f>
        <v>#REF!</v>
      </c>
      <c r="L174" t="e" cm="1">
        <f t="array" aca="1" ref="L174" ca="1">IF(OR(A174="",B174="safety"),"",INDIRECT("template!"&amp;"I"&amp;A174))</f>
        <v>#REF!</v>
      </c>
      <c r="M174" t="e" cm="1">
        <f t="array" aca="1" ref="M174" ca="1">IF(OR(A174="",B174="safety"),"",INDIRECT("template!"&amp;"J"&amp;A174))</f>
        <v>#REF!</v>
      </c>
      <c r="N174" t="e" cm="1">
        <f t="array" aca="1" ref="N174" ca="1">IF(OR(A174="",B174="safety"),"",IF(ISBLANK(INDIRECT("template!"&amp;"K"&amp;A174)),"",INDIRECT("template!"&amp;"K"&amp;A174)))</f>
        <v>#REF!</v>
      </c>
      <c r="O174" t="e" cm="1">
        <f t="array" aca="1" ref="O174" ca="1">IF(OR(A174="",B174="safety"),"",INDIRECT("template!"&amp;"L"&amp;A174))</f>
        <v>#REF!</v>
      </c>
      <c r="P174" t="e" cm="1">
        <f t="array" aca="1" ref="P174" ca="1">IF(OR(A174="",B174="safety"),"",INDIRECT("template!"&amp;"M"&amp;A174))</f>
        <v>#REF!</v>
      </c>
      <c r="Q174" t="e">
        <f t="shared" ca="1" si="11"/>
        <v>#REF!</v>
      </c>
      <c r="R174" t="e">
        <f t="shared" ca="1" si="12"/>
        <v>#REF!</v>
      </c>
      <c r="S174" t="e">
        <f t="shared" ca="1" si="13"/>
        <v>#REF!</v>
      </c>
      <c r="T174" t="e">
        <f t="shared" ca="1" si="14"/>
        <v>#REF!</v>
      </c>
      <c r="U174" t="e" cm="1">
        <f t="array" aca="1" ref="U174" ca="1">IF(A174="","",IF(E174="","",IF(B174="safety",INDIRECT("template!"&amp;"P"&amp;A174),Q174+R174)))</f>
        <v>#REF!</v>
      </c>
      <c r="V174" t="e" cm="1">
        <f t="array" aca="1" ref="V174" ca="1">IF(A174="","",IF(E174="","",IF(B174="safety",INDIRECT("template!"&amp;"P"&amp;A174),S174+T174)))</f>
        <v>#REF!</v>
      </c>
      <c r="W174" t="e">
        <f ca="1">IF(A174="","",IF(E174="","",#REF!))</f>
        <v>#REF!</v>
      </c>
      <c r="X174" t="e">
        <f ca="1">IF(A174="","",IF(E174="","",#REF!))</f>
        <v>#REF!</v>
      </c>
      <c r="Y174" s="39" t="e">
        <f ca="1">IF(A174="","",IF(E174="","",#REF!))</f>
        <v>#REF!</v>
      </c>
      <c r="Z174" t="e">
        <f ca="1">IF(A174="","",IF(E174="","",#REF!))</f>
        <v>#REF!</v>
      </c>
      <c r="AA174" t="e">
        <f ca="1">IF(A174="","",IF(E174="","",#REF!))</f>
        <v>#REF!</v>
      </c>
      <c r="AB174" t="e">
        <f ca="1">IF(A174="","",IF(E174="","",#REF!))</f>
        <v>#REF!</v>
      </c>
      <c r="AC174" t="e">
        <f t="shared" ca="1" si="15"/>
        <v>#REF!</v>
      </c>
    </row>
    <row r="175" spans="1:29" x14ac:dyDescent="0.35">
      <c r="A175" t="e" cm="1">
        <f t="array" aca="1" ref="A175" ca="1">IF(A174="","",IF(OR(AND(A174+1&gt;=$AF$1,A174+1&lt;=$AF$2),AND(A174+1&gt;=$AF$6,A174+1&lt;=$AF$7),AND(A174+1&gt;=$AF$3,A174+1&lt;=$AF$4),AND(A174+1&gt;=$AF$8,A174+1&lt;=$AF$9),A174+1=$AF$5),IF(NOT(ISBLANK(INDIRECT("template!"&amp;"P"&amp;A174+1))),A174+1,IF(NOT(ISBLANK(INDIRECT("template!"&amp;"P"&amp;A174+2))),A174+2,A174+3)),IF(A174=$AF$2,$AF$3,IF(A174=$AF$4,$AF$5,IF(A174=$AF$5,$AF$6,IF(A174=$AF$7,$AF$8,""))))))</f>
        <v>#REF!</v>
      </c>
      <c r="B175" t="e">
        <f t="shared" ca="1" si="0"/>
        <v>#REF!</v>
      </c>
      <c r="C175" t="e" cm="1">
        <f t="array" aca="1" ref="C175" ca="1">IF(A175="","",IF(B175="safety","safety costs",INDIRECT("template!"&amp;"B"&amp;A175)))</f>
        <v>#REF!</v>
      </c>
      <c r="D175" t="e" cm="1">
        <f t="array" aca="1" ref="D175" ca="1">IF(OR(A175="",B175="safety"),"",INDIRECT("template!"&amp;"C"&amp;A175))</f>
        <v>#REF!</v>
      </c>
      <c r="E175" t="e" cm="1">
        <f t="array" aca="1" ref="E175" ca="1">IF(A175="","",IF(OR(A175=A174+1,A175=A174+2),E174,INDIRECT("template!"&amp;"D"&amp;A175-2)))</f>
        <v>#REF!</v>
      </c>
      <c r="F175" t="e" cm="1">
        <f t="array" aca="1" ref="F175" ca="1">IF(OR(A175="",B175="safety"),"",IF(ISBLANK(IF(A175=A174+1,F174,INDIRECT("template!"&amp;"D"&amp;A175-1))),"",IF(A175=A174+1,F174,INDIRECT("template!"&amp;"D"&amp;A175-1))))</f>
        <v>#REF!</v>
      </c>
      <c r="G175" t="e" cm="1">
        <f t="array" aca="1" ref="G175" ca="1">IF(OR(A175="",B175="safety"),"",IF(ISBLANK(INDIRECT("template!"&amp;"D"&amp;A175)),"",INDIRECT("template!"&amp;"D"&amp;A175)))</f>
        <v>#REF!</v>
      </c>
      <c r="H175" t="e" cm="1">
        <f t="array" aca="1" ref="H175" ca="1">IF(OR(A175="",B175="safety"),"",IF(ISBLANK(INDIRECT("template!"&amp;"E"&amp;A175)),"",INDIRECT("template!"&amp;"E"&amp;A175)))</f>
        <v>#REF!</v>
      </c>
      <c r="I175" t="e" cm="1">
        <f t="array" aca="1" ref="I175" ca="1">IF(OR(A175="",B175="safety"),"",IF(ISBLANK(INDIRECT("template!"&amp;"F"&amp;A175)),"",INDIRECT("template!"&amp;"F"&amp;A175)))</f>
        <v>#REF!</v>
      </c>
      <c r="J175" t="e" cm="1">
        <f t="array" aca="1" ref="J175" ca="1">IF(OR(A175="",B175="safety"),"",IF(ISBLANK(INDIRECT("template!"&amp;"G"&amp;A175)),"",INDIRECT("template!"&amp;"G"&amp;A175)))</f>
        <v>#REF!</v>
      </c>
      <c r="K175" t="e" cm="1">
        <f t="array" aca="1" ref="K175" ca="1">IF(OR(A175="",B175="safety"),"",IF(ISBLANK(INDIRECT("template!"&amp;"H"&amp;A175)),"",INDIRECT("template!"&amp;"H"&amp;A175)))</f>
        <v>#REF!</v>
      </c>
      <c r="L175" t="e" cm="1">
        <f t="array" aca="1" ref="L175" ca="1">IF(OR(A175="",B175="safety"),"",INDIRECT("template!"&amp;"I"&amp;A175))</f>
        <v>#REF!</v>
      </c>
      <c r="M175" t="e" cm="1">
        <f t="array" aca="1" ref="M175" ca="1">IF(OR(A175="",B175="safety"),"",INDIRECT("template!"&amp;"J"&amp;A175))</f>
        <v>#REF!</v>
      </c>
      <c r="N175" t="e" cm="1">
        <f t="array" aca="1" ref="N175" ca="1">IF(OR(A175="",B175="safety"),"",IF(ISBLANK(INDIRECT("template!"&amp;"K"&amp;A175)),"",INDIRECT("template!"&amp;"K"&amp;A175)))</f>
        <v>#REF!</v>
      </c>
      <c r="O175" t="e" cm="1">
        <f t="array" aca="1" ref="O175" ca="1">IF(OR(A175="",B175="safety"),"",INDIRECT("template!"&amp;"L"&amp;A175))</f>
        <v>#REF!</v>
      </c>
      <c r="P175" t="e" cm="1">
        <f t="array" aca="1" ref="P175" ca="1">IF(OR(A175="",B175="safety"),"",INDIRECT("template!"&amp;"M"&amp;A175))</f>
        <v>#REF!</v>
      </c>
      <c r="Q175" t="e">
        <f t="shared" ca="1" si="11"/>
        <v>#REF!</v>
      </c>
      <c r="R175" t="e">
        <f t="shared" ca="1" si="12"/>
        <v>#REF!</v>
      </c>
      <c r="S175" t="e">
        <f t="shared" ca="1" si="13"/>
        <v>#REF!</v>
      </c>
      <c r="T175" t="e">
        <f t="shared" ca="1" si="14"/>
        <v>#REF!</v>
      </c>
      <c r="U175" t="e" cm="1">
        <f t="array" aca="1" ref="U175" ca="1">IF(A175="","",IF(E175="","",IF(B175="safety",INDIRECT("template!"&amp;"P"&amp;A175),Q175+R175)))</f>
        <v>#REF!</v>
      </c>
      <c r="V175" t="e" cm="1">
        <f t="array" aca="1" ref="V175" ca="1">IF(A175="","",IF(E175="","",IF(B175="safety",INDIRECT("template!"&amp;"P"&amp;A175),S175+T175)))</f>
        <v>#REF!</v>
      </c>
      <c r="W175" t="e">
        <f ca="1">IF(A175="","",IF(E175="","",#REF!))</f>
        <v>#REF!</v>
      </c>
      <c r="X175" t="e">
        <f ca="1">IF(A175="","",IF(E175="","",#REF!))</f>
        <v>#REF!</v>
      </c>
      <c r="Y175" s="39" t="e">
        <f ca="1">IF(A175="","",IF(E175="","",#REF!))</f>
        <v>#REF!</v>
      </c>
      <c r="Z175" t="e">
        <f ca="1">IF(A175="","",IF(E175="","",#REF!))</f>
        <v>#REF!</v>
      </c>
      <c r="AA175" t="e">
        <f ca="1">IF(A175="","",IF(E175="","",#REF!))</f>
        <v>#REF!</v>
      </c>
      <c r="AB175" t="e">
        <f ca="1">IF(A175="","",IF(E175="","",#REF!))</f>
        <v>#REF!</v>
      </c>
      <c r="AC175" t="e">
        <f t="shared" ca="1" si="15"/>
        <v>#REF!</v>
      </c>
    </row>
    <row r="176" spans="1:29" x14ac:dyDescent="0.35">
      <c r="A176" t="e" cm="1">
        <f t="array" aca="1" ref="A176" ca="1">IF(A175="","",IF(OR(AND(A175+1&gt;=$AF$1,A175+1&lt;=$AF$2),AND(A175+1&gt;=$AF$6,A175+1&lt;=$AF$7),AND(A175+1&gt;=$AF$3,A175+1&lt;=$AF$4),AND(A175+1&gt;=$AF$8,A175+1&lt;=$AF$9),A175+1=$AF$5),IF(NOT(ISBLANK(INDIRECT("template!"&amp;"P"&amp;A175+1))),A175+1,IF(NOT(ISBLANK(INDIRECT("template!"&amp;"P"&amp;A175+2))),A175+2,A175+3)),IF(A175=$AF$2,$AF$3,IF(A175=$AF$4,$AF$5,IF(A175=$AF$5,$AF$6,IF(A175=$AF$7,$AF$8,""))))))</f>
        <v>#REF!</v>
      </c>
      <c r="B176" t="e">
        <f t="shared" ca="1" si="0"/>
        <v>#REF!</v>
      </c>
      <c r="C176" t="e" cm="1">
        <f t="array" aca="1" ref="C176" ca="1">IF(A176="","",IF(B176="safety","safety costs",INDIRECT("template!"&amp;"B"&amp;A176)))</f>
        <v>#REF!</v>
      </c>
      <c r="D176" t="e" cm="1">
        <f t="array" aca="1" ref="D176" ca="1">IF(OR(A176="",B176="safety"),"",INDIRECT("template!"&amp;"C"&amp;A176))</f>
        <v>#REF!</v>
      </c>
      <c r="E176" t="e" cm="1">
        <f t="array" aca="1" ref="E176" ca="1">IF(A176="","",IF(OR(A176=A175+1,A176=A175+2),E175,INDIRECT("template!"&amp;"D"&amp;A176-2)))</f>
        <v>#REF!</v>
      </c>
      <c r="F176" t="e" cm="1">
        <f t="array" aca="1" ref="F176" ca="1">IF(OR(A176="",B176="safety"),"",IF(ISBLANK(IF(A176=A175+1,F175,INDIRECT("template!"&amp;"D"&amp;A176-1))),"",IF(A176=A175+1,F175,INDIRECT("template!"&amp;"D"&amp;A176-1))))</f>
        <v>#REF!</v>
      </c>
      <c r="G176" t="e" cm="1">
        <f t="array" aca="1" ref="G176" ca="1">IF(OR(A176="",B176="safety"),"",IF(ISBLANK(INDIRECT("template!"&amp;"D"&amp;A176)),"",INDIRECT("template!"&amp;"D"&amp;A176)))</f>
        <v>#REF!</v>
      </c>
      <c r="H176" t="e" cm="1">
        <f t="array" aca="1" ref="H176" ca="1">IF(OR(A176="",B176="safety"),"",IF(ISBLANK(INDIRECT("template!"&amp;"E"&amp;A176)),"",INDIRECT("template!"&amp;"E"&amp;A176)))</f>
        <v>#REF!</v>
      </c>
      <c r="I176" t="e" cm="1">
        <f t="array" aca="1" ref="I176" ca="1">IF(OR(A176="",B176="safety"),"",IF(ISBLANK(INDIRECT("template!"&amp;"F"&amp;A176)),"",INDIRECT("template!"&amp;"F"&amp;A176)))</f>
        <v>#REF!</v>
      </c>
      <c r="J176" t="e" cm="1">
        <f t="array" aca="1" ref="J176" ca="1">IF(OR(A176="",B176="safety"),"",IF(ISBLANK(INDIRECT("template!"&amp;"G"&amp;A176)),"",INDIRECT("template!"&amp;"G"&amp;A176)))</f>
        <v>#REF!</v>
      </c>
      <c r="K176" t="e" cm="1">
        <f t="array" aca="1" ref="K176" ca="1">IF(OR(A176="",B176="safety"),"",IF(ISBLANK(INDIRECT("template!"&amp;"H"&amp;A176)),"",INDIRECT("template!"&amp;"H"&amp;A176)))</f>
        <v>#REF!</v>
      </c>
      <c r="L176" t="e" cm="1">
        <f t="array" aca="1" ref="L176" ca="1">IF(OR(A176="",B176="safety"),"",INDIRECT("template!"&amp;"I"&amp;A176))</f>
        <v>#REF!</v>
      </c>
      <c r="M176" t="e" cm="1">
        <f t="array" aca="1" ref="M176" ca="1">IF(OR(A176="",B176="safety"),"",INDIRECT("template!"&amp;"J"&amp;A176))</f>
        <v>#REF!</v>
      </c>
      <c r="N176" t="e" cm="1">
        <f t="array" aca="1" ref="N176" ca="1">IF(OR(A176="",B176="safety"),"",IF(ISBLANK(INDIRECT("template!"&amp;"K"&amp;A176)),"",INDIRECT("template!"&amp;"K"&amp;A176)))</f>
        <v>#REF!</v>
      </c>
      <c r="O176" t="e" cm="1">
        <f t="array" aca="1" ref="O176" ca="1">IF(OR(A176="",B176="safety"),"",INDIRECT("template!"&amp;"L"&amp;A176))</f>
        <v>#REF!</v>
      </c>
      <c r="P176" t="e" cm="1">
        <f t="array" aca="1" ref="P176" ca="1">IF(OR(A176="",B176="safety"),"",INDIRECT("template!"&amp;"M"&amp;A176))</f>
        <v>#REF!</v>
      </c>
      <c r="Q176" t="e">
        <f t="shared" ca="1" si="11"/>
        <v>#REF!</v>
      </c>
      <c r="R176" t="e">
        <f t="shared" ca="1" si="12"/>
        <v>#REF!</v>
      </c>
      <c r="S176" t="e">
        <f t="shared" ca="1" si="13"/>
        <v>#REF!</v>
      </c>
      <c r="T176" t="e">
        <f t="shared" ca="1" si="14"/>
        <v>#REF!</v>
      </c>
      <c r="U176" t="e" cm="1">
        <f t="array" aca="1" ref="U176" ca="1">IF(A176="","",IF(E176="","",IF(B176="safety",INDIRECT("template!"&amp;"P"&amp;A176),Q176+R176)))</f>
        <v>#REF!</v>
      </c>
      <c r="V176" t="e" cm="1">
        <f t="array" aca="1" ref="V176" ca="1">IF(A176="","",IF(E176="","",IF(B176="safety",INDIRECT("template!"&amp;"P"&amp;A176),S176+T176)))</f>
        <v>#REF!</v>
      </c>
      <c r="W176" t="e">
        <f ca="1">IF(A176="","",IF(E176="","",#REF!))</f>
        <v>#REF!</v>
      </c>
      <c r="X176" t="e">
        <f ca="1">IF(A176="","",IF(E176="","",#REF!))</f>
        <v>#REF!</v>
      </c>
      <c r="Y176" s="39" t="e">
        <f ca="1">IF(A176="","",IF(E176="","",#REF!))</f>
        <v>#REF!</v>
      </c>
      <c r="Z176" t="e">
        <f ca="1">IF(A176="","",IF(E176="","",#REF!))</f>
        <v>#REF!</v>
      </c>
      <c r="AA176" t="e">
        <f ca="1">IF(A176="","",IF(E176="","",#REF!))</f>
        <v>#REF!</v>
      </c>
      <c r="AB176" t="e">
        <f ca="1">IF(A176="","",IF(E176="","",#REF!))</f>
        <v>#REF!</v>
      </c>
      <c r="AC176" t="e">
        <f t="shared" ca="1" si="15"/>
        <v>#REF!</v>
      </c>
    </row>
    <row r="177" spans="1:29" x14ac:dyDescent="0.35">
      <c r="A177" t="e" cm="1">
        <f t="array" aca="1" ref="A177" ca="1">IF(A176="","",IF(OR(AND(A176+1&gt;=$AF$1,A176+1&lt;=$AF$2),AND(A176+1&gt;=$AF$6,A176+1&lt;=$AF$7),AND(A176+1&gt;=$AF$3,A176+1&lt;=$AF$4),AND(A176+1&gt;=$AF$8,A176+1&lt;=$AF$9),A176+1=$AF$5),IF(NOT(ISBLANK(INDIRECT("template!"&amp;"P"&amp;A176+1))),A176+1,IF(NOT(ISBLANK(INDIRECT("template!"&amp;"P"&amp;A176+2))),A176+2,A176+3)),IF(A176=$AF$2,$AF$3,IF(A176=$AF$4,$AF$5,IF(A176=$AF$5,$AF$6,IF(A176=$AF$7,$AF$8,""))))))</f>
        <v>#REF!</v>
      </c>
      <c r="B177" t="e">
        <f t="shared" ca="1" si="0"/>
        <v>#REF!</v>
      </c>
      <c r="C177" t="e" cm="1">
        <f t="array" aca="1" ref="C177" ca="1">IF(A177="","",IF(B177="safety","safety costs",INDIRECT("template!"&amp;"B"&amp;A177)))</f>
        <v>#REF!</v>
      </c>
      <c r="D177" t="e" cm="1">
        <f t="array" aca="1" ref="D177" ca="1">IF(OR(A177="",B177="safety"),"",INDIRECT("template!"&amp;"C"&amp;A177))</f>
        <v>#REF!</v>
      </c>
      <c r="E177" t="e" cm="1">
        <f t="array" aca="1" ref="E177" ca="1">IF(A177="","",IF(OR(A177=A176+1,A177=A176+2),E176,INDIRECT("template!"&amp;"D"&amp;A177-2)))</f>
        <v>#REF!</v>
      </c>
      <c r="F177" t="e" cm="1">
        <f t="array" aca="1" ref="F177" ca="1">IF(OR(A177="",B177="safety"),"",IF(ISBLANK(IF(A177=A176+1,F176,INDIRECT("template!"&amp;"D"&amp;A177-1))),"",IF(A177=A176+1,F176,INDIRECT("template!"&amp;"D"&amp;A177-1))))</f>
        <v>#REF!</v>
      </c>
      <c r="G177" t="e" cm="1">
        <f t="array" aca="1" ref="G177" ca="1">IF(OR(A177="",B177="safety"),"",IF(ISBLANK(INDIRECT("template!"&amp;"D"&amp;A177)),"",INDIRECT("template!"&amp;"D"&amp;A177)))</f>
        <v>#REF!</v>
      </c>
      <c r="H177" t="e" cm="1">
        <f t="array" aca="1" ref="H177" ca="1">IF(OR(A177="",B177="safety"),"",IF(ISBLANK(INDIRECT("template!"&amp;"E"&amp;A177)),"",INDIRECT("template!"&amp;"E"&amp;A177)))</f>
        <v>#REF!</v>
      </c>
      <c r="I177" t="e" cm="1">
        <f t="array" aca="1" ref="I177" ca="1">IF(OR(A177="",B177="safety"),"",IF(ISBLANK(INDIRECT("template!"&amp;"F"&amp;A177)),"",INDIRECT("template!"&amp;"F"&amp;A177)))</f>
        <v>#REF!</v>
      </c>
      <c r="J177" t="e" cm="1">
        <f t="array" aca="1" ref="J177" ca="1">IF(OR(A177="",B177="safety"),"",IF(ISBLANK(INDIRECT("template!"&amp;"G"&amp;A177)),"",INDIRECT("template!"&amp;"G"&amp;A177)))</f>
        <v>#REF!</v>
      </c>
      <c r="K177" t="e" cm="1">
        <f t="array" aca="1" ref="K177" ca="1">IF(OR(A177="",B177="safety"),"",IF(ISBLANK(INDIRECT("template!"&amp;"H"&amp;A177)),"",INDIRECT("template!"&amp;"H"&amp;A177)))</f>
        <v>#REF!</v>
      </c>
      <c r="L177" t="e" cm="1">
        <f t="array" aca="1" ref="L177" ca="1">IF(OR(A177="",B177="safety"),"",INDIRECT("template!"&amp;"I"&amp;A177))</f>
        <v>#REF!</v>
      </c>
      <c r="M177" t="e" cm="1">
        <f t="array" aca="1" ref="M177" ca="1">IF(OR(A177="",B177="safety"),"",INDIRECT("template!"&amp;"J"&amp;A177))</f>
        <v>#REF!</v>
      </c>
      <c r="N177" t="e" cm="1">
        <f t="array" aca="1" ref="N177" ca="1">IF(OR(A177="",B177="safety"),"",IF(ISBLANK(INDIRECT("template!"&amp;"K"&amp;A177)),"",INDIRECT("template!"&amp;"K"&amp;A177)))</f>
        <v>#REF!</v>
      </c>
      <c r="O177" t="e" cm="1">
        <f t="array" aca="1" ref="O177" ca="1">IF(OR(A177="",B177="safety"),"",INDIRECT("template!"&amp;"L"&amp;A177))</f>
        <v>#REF!</v>
      </c>
      <c r="P177" t="e" cm="1">
        <f t="array" aca="1" ref="P177" ca="1">IF(OR(A177="",B177="safety"),"",INDIRECT("template!"&amp;"M"&amp;A177))</f>
        <v>#REF!</v>
      </c>
      <c r="Q177" t="e">
        <f t="shared" ca="1" si="11"/>
        <v>#REF!</v>
      </c>
      <c r="R177" t="e">
        <f t="shared" ca="1" si="12"/>
        <v>#REF!</v>
      </c>
      <c r="S177" t="e">
        <f t="shared" ca="1" si="13"/>
        <v>#REF!</v>
      </c>
      <c r="T177" t="e">
        <f t="shared" ca="1" si="14"/>
        <v>#REF!</v>
      </c>
      <c r="U177" t="e" cm="1">
        <f t="array" aca="1" ref="U177" ca="1">IF(A177="","",IF(E177="","",IF(B177="safety",INDIRECT("template!"&amp;"P"&amp;A177),Q177+R177)))</f>
        <v>#REF!</v>
      </c>
      <c r="V177" t="e" cm="1">
        <f t="array" aca="1" ref="V177" ca="1">IF(A177="","",IF(E177="","",IF(B177="safety",INDIRECT("template!"&amp;"P"&amp;A177),S177+T177)))</f>
        <v>#REF!</v>
      </c>
      <c r="W177" t="e">
        <f ca="1">IF(A177="","",IF(E177="","",#REF!))</f>
        <v>#REF!</v>
      </c>
      <c r="X177" t="e">
        <f ca="1">IF(A177="","",IF(E177="","",#REF!))</f>
        <v>#REF!</v>
      </c>
      <c r="Y177" s="39" t="e">
        <f ca="1">IF(A177="","",IF(E177="","",#REF!))</f>
        <v>#REF!</v>
      </c>
      <c r="Z177" t="e">
        <f ca="1">IF(A177="","",IF(E177="","",#REF!))</f>
        <v>#REF!</v>
      </c>
      <c r="AA177" t="e">
        <f ca="1">IF(A177="","",IF(E177="","",#REF!))</f>
        <v>#REF!</v>
      </c>
      <c r="AB177" t="e">
        <f ca="1">IF(A177="","",IF(E177="","",#REF!))</f>
        <v>#REF!</v>
      </c>
      <c r="AC177" t="e">
        <f t="shared" ca="1" si="15"/>
        <v>#REF!</v>
      </c>
    </row>
    <row r="178" spans="1:29" x14ac:dyDescent="0.35">
      <c r="A178" t="e" cm="1">
        <f t="array" aca="1" ref="A178" ca="1">IF(A177="","",IF(OR(AND(A177+1&gt;=$AF$1,A177+1&lt;=$AF$2),AND(A177+1&gt;=$AF$6,A177+1&lt;=$AF$7),AND(A177+1&gt;=$AF$3,A177+1&lt;=$AF$4),AND(A177+1&gt;=$AF$8,A177+1&lt;=$AF$9),A177+1=$AF$5),IF(NOT(ISBLANK(INDIRECT("template!"&amp;"P"&amp;A177+1))),A177+1,IF(NOT(ISBLANK(INDIRECT("template!"&amp;"P"&amp;A177+2))),A177+2,A177+3)),IF(A177=$AF$2,$AF$3,IF(A177=$AF$4,$AF$5,IF(A177=$AF$5,$AF$6,IF(A177=$AF$7,$AF$8,""))))))</f>
        <v>#REF!</v>
      </c>
      <c r="B178" t="e">
        <f t="shared" ca="1" si="0"/>
        <v>#REF!</v>
      </c>
      <c r="C178" t="e" cm="1">
        <f t="array" aca="1" ref="C178" ca="1">IF(A178="","",IF(B178="safety","safety costs",INDIRECT("template!"&amp;"B"&amp;A178)))</f>
        <v>#REF!</v>
      </c>
      <c r="D178" t="e" cm="1">
        <f t="array" aca="1" ref="D178" ca="1">IF(OR(A178="",B178="safety"),"",INDIRECT("template!"&amp;"C"&amp;A178))</f>
        <v>#REF!</v>
      </c>
      <c r="E178" t="e" cm="1">
        <f t="array" aca="1" ref="E178" ca="1">IF(A178="","",IF(OR(A178=A177+1,A178=A177+2),E177,INDIRECT("template!"&amp;"D"&amp;A178-2)))</f>
        <v>#REF!</v>
      </c>
      <c r="F178" t="e" cm="1">
        <f t="array" aca="1" ref="F178" ca="1">IF(OR(A178="",B178="safety"),"",IF(ISBLANK(IF(A178=A177+1,F177,INDIRECT("template!"&amp;"D"&amp;A178-1))),"",IF(A178=A177+1,F177,INDIRECT("template!"&amp;"D"&amp;A178-1))))</f>
        <v>#REF!</v>
      </c>
      <c r="G178" t="e" cm="1">
        <f t="array" aca="1" ref="G178" ca="1">IF(OR(A178="",B178="safety"),"",IF(ISBLANK(INDIRECT("template!"&amp;"D"&amp;A178)),"",INDIRECT("template!"&amp;"D"&amp;A178)))</f>
        <v>#REF!</v>
      </c>
      <c r="H178" t="e" cm="1">
        <f t="array" aca="1" ref="H178" ca="1">IF(OR(A178="",B178="safety"),"",IF(ISBLANK(INDIRECT("template!"&amp;"E"&amp;A178)),"",INDIRECT("template!"&amp;"E"&amp;A178)))</f>
        <v>#REF!</v>
      </c>
      <c r="I178" t="e" cm="1">
        <f t="array" aca="1" ref="I178" ca="1">IF(OR(A178="",B178="safety"),"",IF(ISBLANK(INDIRECT("template!"&amp;"F"&amp;A178)),"",INDIRECT("template!"&amp;"F"&amp;A178)))</f>
        <v>#REF!</v>
      </c>
      <c r="J178" t="e" cm="1">
        <f t="array" aca="1" ref="J178" ca="1">IF(OR(A178="",B178="safety"),"",IF(ISBLANK(INDIRECT("template!"&amp;"G"&amp;A178)),"",INDIRECT("template!"&amp;"G"&amp;A178)))</f>
        <v>#REF!</v>
      </c>
      <c r="K178" t="e" cm="1">
        <f t="array" aca="1" ref="K178" ca="1">IF(OR(A178="",B178="safety"),"",IF(ISBLANK(INDIRECT("template!"&amp;"H"&amp;A178)),"",INDIRECT("template!"&amp;"H"&amp;A178)))</f>
        <v>#REF!</v>
      </c>
      <c r="L178" t="e" cm="1">
        <f t="array" aca="1" ref="L178" ca="1">IF(OR(A178="",B178="safety"),"",INDIRECT("template!"&amp;"I"&amp;A178))</f>
        <v>#REF!</v>
      </c>
      <c r="M178" t="e" cm="1">
        <f t="array" aca="1" ref="M178" ca="1">IF(OR(A178="",B178="safety"),"",INDIRECT("template!"&amp;"J"&amp;A178))</f>
        <v>#REF!</v>
      </c>
      <c r="N178" t="e" cm="1">
        <f t="array" aca="1" ref="N178" ca="1">IF(OR(A178="",B178="safety"),"",IF(ISBLANK(INDIRECT("template!"&amp;"K"&amp;A178)),"",INDIRECT("template!"&amp;"K"&amp;A178)))</f>
        <v>#REF!</v>
      </c>
      <c r="O178" t="e" cm="1">
        <f t="array" aca="1" ref="O178" ca="1">IF(OR(A178="",B178="safety"),"",INDIRECT("template!"&amp;"L"&amp;A178))</f>
        <v>#REF!</v>
      </c>
      <c r="P178" t="e" cm="1">
        <f t="array" aca="1" ref="P178" ca="1">IF(OR(A178="",B178="safety"),"",INDIRECT("template!"&amp;"M"&amp;A178))</f>
        <v>#REF!</v>
      </c>
      <c r="Q178" t="e">
        <f t="shared" ca="1" si="11"/>
        <v>#REF!</v>
      </c>
      <c r="R178" t="e">
        <f t="shared" ca="1" si="12"/>
        <v>#REF!</v>
      </c>
      <c r="S178" t="e">
        <f t="shared" ca="1" si="13"/>
        <v>#REF!</v>
      </c>
      <c r="T178" t="e">
        <f t="shared" ca="1" si="14"/>
        <v>#REF!</v>
      </c>
      <c r="U178" t="e" cm="1">
        <f t="array" aca="1" ref="U178" ca="1">IF(A178="","",IF(E178="","",IF(B178="safety",INDIRECT("template!"&amp;"P"&amp;A178),Q178+R178)))</f>
        <v>#REF!</v>
      </c>
      <c r="V178" t="e" cm="1">
        <f t="array" aca="1" ref="V178" ca="1">IF(A178="","",IF(E178="","",IF(B178="safety",INDIRECT("template!"&amp;"P"&amp;A178),S178+T178)))</f>
        <v>#REF!</v>
      </c>
      <c r="W178" t="e">
        <f ca="1">IF(A178="","",IF(E178="","",#REF!))</f>
        <v>#REF!</v>
      </c>
      <c r="X178" t="e">
        <f ca="1">IF(A178="","",IF(E178="","",#REF!))</f>
        <v>#REF!</v>
      </c>
      <c r="Y178" s="39" t="e">
        <f ca="1">IF(A178="","",IF(E178="","",#REF!))</f>
        <v>#REF!</v>
      </c>
      <c r="Z178" t="e">
        <f ca="1">IF(A178="","",IF(E178="","",#REF!))</f>
        <v>#REF!</v>
      </c>
      <c r="AA178" t="e">
        <f ca="1">IF(A178="","",IF(E178="","",#REF!))</f>
        <v>#REF!</v>
      </c>
      <c r="AB178" t="e">
        <f ca="1">IF(A178="","",IF(E178="","",#REF!))</f>
        <v>#REF!</v>
      </c>
      <c r="AC178" t="e">
        <f t="shared" ca="1" si="15"/>
        <v>#REF!</v>
      </c>
    </row>
    <row r="179" spans="1:29" x14ac:dyDescent="0.35">
      <c r="A179" t="e" cm="1">
        <f t="array" aca="1" ref="A179" ca="1">IF(A178="","",IF(OR(AND(A178+1&gt;=$AF$1,A178+1&lt;=$AF$2),AND(A178+1&gt;=$AF$6,A178+1&lt;=$AF$7),AND(A178+1&gt;=$AF$3,A178+1&lt;=$AF$4),AND(A178+1&gt;=$AF$8,A178+1&lt;=$AF$9),A178+1=$AF$5),IF(NOT(ISBLANK(INDIRECT("template!"&amp;"P"&amp;A178+1))),A178+1,IF(NOT(ISBLANK(INDIRECT("template!"&amp;"P"&amp;A178+2))),A178+2,A178+3)),IF(A178=$AF$2,$AF$3,IF(A178=$AF$4,$AF$5,IF(A178=$AF$5,$AF$6,IF(A178=$AF$7,$AF$8,""))))))</f>
        <v>#REF!</v>
      </c>
      <c r="B179" t="e">
        <f t="shared" ca="1" si="0"/>
        <v>#REF!</v>
      </c>
      <c r="C179" t="e" cm="1">
        <f t="array" aca="1" ref="C179" ca="1">IF(A179="","",IF(B179="safety","safety costs",INDIRECT("template!"&amp;"B"&amp;A179)))</f>
        <v>#REF!</v>
      </c>
      <c r="D179" t="e" cm="1">
        <f t="array" aca="1" ref="D179" ca="1">IF(OR(A179="",B179="safety"),"",INDIRECT("template!"&amp;"C"&amp;A179))</f>
        <v>#REF!</v>
      </c>
      <c r="E179" t="e" cm="1">
        <f t="array" aca="1" ref="E179" ca="1">IF(A179="","",IF(OR(A179=A178+1,A179=A178+2),E178,INDIRECT("template!"&amp;"D"&amp;A179-2)))</f>
        <v>#REF!</v>
      </c>
      <c r="F179" t="e" cm="1">
        <f t="array" aca="1" ref="F179" ca="1">IF(OR(A179="",B179="safety"),"",IF(ISBLANK(IF(A179=A178+1,F178,INDIRECT("template!"&amp;"D"&amp;A179-1))),"",IF(A179=A178+1,F178,INDIRECT("template!"&amp;"D"&amp;A179-1))))</f>
        <v>#REF!</v>
      </c>
      <c r="G179" t="e" cm="1">
        <f t="array" aca="1" ref="G179" ca="1">IF(OR(A179="",B179="safety"),"",IF(ISBLANK(INDIRECT("template!"&amp;"D"&amp;A179)),"",INDIRECT("template!"&amp;"D"&amp;A179)))</f>
        <v>#REF!</v>
      </c>
      <c r="H179" t="e" cm="1">
        <f t="array" aca="1" ref="H179" ca="1">IF(OR(A179="",B179="safety"),"",IF(ISBLANK(INDIRECT("template!"&amp;"E"&amp;A179)),"",INDIRECT("template!"&amp;"E"&amp;A179)))</f>
        <v>#REF!</v>
      </c>
      <c r="I179" t="e" cm="1">
        <f t="array" aca="1" ref="I179" ca="1">IF(OR(A179="",B179="safety"),"",IF(ISBLANK(INDIRECT("template!"&amp;"F"&amp;A179)),"",INDIRECT("template!"&amp;"F"&amp;A179)))</f>
        <v>#REF!</v>
      </c>
      <c r="J179" t="e" cm="1">
        <f t="array" aca="1" ref="J179" ca="1">IF(OR(A179="",B179="safety"),"",IF(ISBLANK(INDIRECT("template!"&amp;"G"&amp;A179)),"",INDIRECT("template!"&amp;"G"&amp;A179)))</f>
        <v>#REF!</v>
      </c>
      <c r="K179" t="e" cm="1">
        <f t="array" aca="1" ref="K179" ca="1">IF(OR(A179="",B179="safety"),"",IF(ISBLANK(INDIRECT("template!"&amp;"H"&amp;A179)),"",INDIRECT("template!"&amp;"H"&amp;A179)))</f>
        <v>#REF!</v>
      </c>
      <c r="L179" t="e" cm="1">
        <f t="array" aca="1" ref="L179" ca="1">IF(OR(A179="",B179="safety"),"",INDIRECT("template!"&amp;"I"&amp;A179))</f>
        <v>#REF!</v>
      </c>
      <c r="M179" t="e" cm="1">
        <f t="array" aca="1" ref="M179" ca="1">IF(OR(A179="",B179="safety"),"",INDIRECT("template!"&amp;"J"&amp;A179))</f>
        <v>#REF!</v>
      </c>
      <c r="N179" t="e" cm="1">
        <f t="array" aca="1" ref="N179" ca="1">IF(OR(A179="",B179="safety"),"",IF(ISBLANK(INDIRECT("template!"&amp;"K"&amp;A179)),"",INDIRECT("template!"&amp;"K"&amp;A179)))</f>
        <v>#REF!</v>
      </c>
      <c r="O179" t="e" cm="1">
        <f t="array" aca="1" ref="O179" ca="1">IF(OR(A179="",B179="safety"),"",INDIRECT("template!"&amp;"L"&amp;A179))</f>
        <v>#REF!</v>
      </c>
      <c r="P179" t="e" cm="1">
        <f t="array" aca="1" ref="P179" ca="1">IF(OR(A179="",B179="safety"),"",INDIRECT("template!"&amp;"M"&amp;A179))</f>
        <v>#REF!</v>
      </c>
      <c r="Q179" t="e">
        <f t="shared" ca="1" si="11"/>
        <v>#REF!</v>
      </c>
      <c r="R179" t="e">
        <f t="shared" ca="1" si="12"/>
        <v>#REF!</v>
      </c>
      <c r="S179" t="e">
        <f t="shared" ca="1" si="13"/>
        <v>#REF!</v>
      </c>
      <c r="T179" t="e">
        <f t="shared" ca="1" si="14"/>
        <v>#REF!</v>
      </c>
      <c r="U179" t="e" cm="1">
        <f t="array" aca="1" ref="U179" ca="1">IF(A179="","",IF(E179="","",IF(B179="safety",INDIRECT("template!"&amp;"P"&amp;A179),Q179+R179)))</f>
        <v>#REF!</v>
      </c>
      <c r="V179" t="e" cm="1">
        <f t="array" aca="1" ref="V179" ca="1">IF(A179="","",IF(E179="","",IF(B179="safety",INDIRECT("template!"&amp;"P"&amp;A179),S179+T179)))</f>
        <v>#REF!</v>
      </c>
      <c r="W179" t="e">
        <f ca="1">IF(A179="","",IF(E179="","",#REF!))</f>
        <v>#REF!</v>
      </c>
      <c r="X179" t="e">
        <f ca="1">IF(A179="","",IF(E179="","",#REF!))</f>
        <v>#REF!</v>
      </c>
      <c r="Y179" s="39" t="e">
        <f ca="1">IF(A179="","",IF(E179="","",#REF!))</f>
        <v>#REF!</v>
      </c>
      <c r="Z179" t="e">
        <f ca="1">IF(A179="","",IF(E179="","",#REF!))</f>
        <v>#REF!</v>
      </c>
      <c r="AA179" t="e">
        <f ca="1">IF(A179="","",IF(E179="","",#REF!))</f>
        <v>#REF!</v>
      </c>
      <c r="AB179" t="e">
        <f ca="1">IF(A179="","",IF(E179="","",#REF!))</f>
        <v>#REF!</v>
      </c>
      <c r="AC179" t="e">
        <f t="shared" ca="1" si="15"/>
        <v>#REF!</v>
      </c>
    </row>
    <row r="180" spans="1:29" x14ac:dyDescent="0.35">
      <c r="A180" t="e" cm="1">
        <f t="array" aca="1" ref="A180" ca="1">IF(A179="","",IF(OR(AND(A179+1&gt;=$AF$1,A179+1&lt;=$AF$2),AND(A179+1&gt;=$AF$6,A179+1&lt;=$AF$7),AND(A179+1&gt;=$AF$3,A179+1&lt;=$AF$4),AND(A179+1&gt;=$AF$8,A179+1&lt;=$AF$9),A179+1=$AF$5),IF(NOT(ISBLANK(INDIRECT("template!"&amp;"P"&amp;A179+1))),A179+1,IF(NOT(ISBLANK(INDIRECT("template!"&amp;"P"&amp;A179+2))),A179+2,A179+3)),IF(A179=$AF$2,$AF$3,IF(A179=$AF$4,$AF$5,IF(A179=$AF$5,$AF$6,IF(A179=$AF$7,$AF$8,""))))))</f>
        <v>#REF!</v>
      </c>
      <c r="B180" t="e">
        <f t="shared" ca="1" si="0"/>
        <v>#REF!</v>
      </c>
      <c r="C180" t="e" cm="1">
        <f t="array" aca="1" ref="C180" ca="1">IF(A180="","",IF(B180="safety","safety costs",INDIRECT("template!"&amp;"B"&amp;A180)))</f>
        <v>#REF!</v>
      </c>
      <c r="D180" t="e" cm="1">
        <f t="array" aca="1" ref="D180" ca="1">IF(OR(A180="",B180="safety"),"",INDIRECT("template!"&amp;"C"&amp;A180))</f>
        <v>#REF!</v>
      </c>
      <c r="E180" t="e" cm="1">
        <f t="array" aca="1" ref="E180" ca="1">IF(A180="","",IF(OR(A180=A179+1,A180=A179+2),E179,INDIRECT("template!"&amp;"D"&amp;A180-2)))</f>
        <v>#REF!</v>
      </c>
      <c r="F180" t="e" cm="1">
        <f t="array" aca="1" ref="F180" ca="1">IF(OR(A180="",B180="safety"),"",IF(ISBLANK(IF(A180=A179+1,F179,INDIRECT("template!"&amp;"D"&amp;A180-1))),"",IF(A180=A179+1,F179,INDIRECT("template!"&amp;"D"&amp;A180-1))))</f>
        <v>#REF!</v>
      </c>
      <c r="G180" t="e" cm="1">
        <f t="array" aca="1" ref="G180" ca="1">IF(OR(A180="",B180="safety"),"",IF(ISBLANK(INDIRECT("template!"&amp;"D"&amp;A180)),"",INDIRECT("template!"&amp;"D"&amp;A180)))</f>
        <v>#REF!</v>
      </c>
      <c r="H180" t="e" cm="1">
        <f t="array" aca="1" ref="H180" ca="1">IF(OR(A180="",B180="safety"),"",IF(ISBLANK(INDIRECT("template!"&amp;"E"&amp;A180)),"",INDIRECT("template!"&amp;"E"&amp;A180)))</f>
        <v>#REF!</v>
      </c>
      <c r="I180" t="e" cm="1">
        <f t="array" aca="1" ref="I180" ca="1">IF(OR(A180="",B180="safety"),"",IF(ISBLANK(INDIRECT("template!"&amp;"F"&amp;A180)),"",INDIRECT("template!"&amp;"F"&amp;A180)))</f>
        <v>#REF!</v>
      </c>
      <c r="J180" t="e" cm="1">
        <f t="array" aca="1" ref="J180" ca="1">IF(OR(A180="",B180="safety"),"",IF(ISBLANK(INDIRECT("template!"&amp;"G"&amp;A180)),"",INDIRECT("template!"&amp;"G"&amp;A180)))</f>
        <v>#REF!</v>
      </c>
      <c r="K180" t="e" cm="1">
        <f t="array" aca="1" ref="K180" ca="1">IF(OR(A180="",B180="safety"),"",IF(ISBLANK(INDIRECT("template!"&amp;"H"&amp;A180)),"",INDIRECT("template!"&amp;"H"&amp;A180)))</f>
        <v>#REF!</v>
      </c>
      <c r="L180" t="e" cm="1">
        <f t="array" aca="1" ref="L180" ca="1">IF(OR(A180="",B180="safety"),"",INDIRECT("template!"&amp;"I"&amp;A180))</f>
        <v>#REF!</v>
      </c>
      <c r="M180" t="e" cm="1">
        <f t="array" aca="1" ref="M180" ca="1">IF(OR(A180="",B180="safety"),"",INDIRECT("template!"&amp;"J"&amp;A180))</f>
        <v>#REF!</v>
      </c>
      <c r="N180" t="e" cm="1">
        <f t="array" aca="1" ref="N180" ca="1">IF(OR(A180="",B180="safety"),"",IF(ISBLANK(INDIRECT("template!"&amp;"K"&amp;A180)),"",INDIRECT("template!"&amp;"K"&amp;A180)))</f>
        <v>#REF!</v>
      </c>
      <c r="O180" t="e" cm="1">
        <f t="array" aca="1" ref="O180" ca="1">IF(OR(A180="",B180="safety"),"",INDIRECT("template!"&amp;"L"&amp;A180))</f>
        <v>#REF!</v>
      </c>
      <c r="P180" t="e" cm="1">
        <f t="array" aca="1" ref="P180" ca="1">IF(OR(A180="",B180="safety"),"",INDIRECT("template!"&amp;"M"&amp;A180))</f>
        <v>#REF!</v>
      </c>
      <c r="Q180" t="e">
        <f t="shared" ca="1" si="11"/>
        <v>#REF!</v>
      </c>
      <c r="R180" t="e">
        <f t="shared" ca="1" si="12"/>
        <v>#REF!</v>
      </c>
      <c r="S180" t="e">
        <f t="shared" ca="1" si="13"/>
        <v>#REF!</v>
      </c>
      <c r="T180" t="e">
        <f t="shared" ca="1" si="14"/>
        <v>#REF!</v>
      </c>
      <c r="U180" t="e" cm="1">
        <f t="array" aca="1" ref="U180" ca="1">IF(A180="","",IF(E180="","",IF(B180="safety",INDIRECT("template!"&amp;"P"&amp;A180),Q180+R180)))</f>
        <v>#REF!</v>
      </c>
      <c r="V180" t="e" cm="1">
        <f t="array" aca="1" ref="V180" ca="1">IF(A180="","",IF(E180="","",IF(B180="safety",INDIRECT("template!"&amp;"P"&amp;A180),S180+T180)))</f>
        <v>#REF!</v>
      </c>
      <c r="W180" t="e">
        <f ca="1">IF(A180="","",IF(E180="","",#REF!))</f>
        <v>#REF!</v>
      </c>
      <c r="X180" t="e">
        <f ca="1">IF(A180="","",IF(E180="","",#REF!))</f>
        <v>#REF!</v>
      </c>
      <c r="Y180" s="39" t="e">
        <f ca="1">IF(A180="","",IF(E180="","",#REF!))</f>
        <v>#REF!</v>
      </c>
      <c r="Z180" t="e">
        <f ca="1">IF(A180="","",IF(E180="","",#REF!))</f>
        <v>#REF!</v>
      </c>
      <c r="AA180" t="e">
        <f ca="1">IF(A180="","",IF(E180="","",#REF!))</f>
        <v>#REF!</v>
      </c>
      <c r="AB180" t="e">
        <f ca="1">IF(A180="","",IF(E180="","",#REF!))</f>
        <v>#REF!</v>
      </c>
      <c r="AC180" t="e">
        <f t="shared" ca="1" si="15"/>
        <v>#REF!</v>
      </c>
    </row>
    <row r="181" spans="1:29" x14ac:dyDescent="0.35">
      <c r="A181" t="e" cm="1">
        <f t="array" aca="1" ref="A181" ca="1">IF(A180="","",IF(OR(AND(A180+1&gt;=$AF$1,A180+1&lt;=$AF$2),AND(A180+1&gt;=$AF$6,A180+1&lt;=$AF$7),AND(A180+1&gt;=$AF$3,A180+1&lt;=$AF$4),AND(A180+1&gt;=$AF$8,A180+1&lt;=$AF$9),A180+1=$AF$5),IF(NOT(ISBLANK(INDIRECT("template!"&amp;"P"&amp;A180+1))),A180+1,IF(NOT(ISBLANK(INDIRECT("template!"&amp;"P"&amp;A180+2))),A180+2,A180+3)),IF(A180=$AF$2,$AF$3,IF(A180=$AF$4,$AF$5,IF(A180=$AF$5,$AF$6,IF(A180=$AF$7,$AF$8,""))))))</f>
        <v>#REF!</v>
      </c>
      <c r="B181" t="e">
        <f t="shared" ca="1" si="0"/>
        <v>#REF!</v>
      </c>
      <c r="C181" t="e" cm="1">
        <f t="array" aca="1" ref="C181" ca="1">IF(A181="","",IF(B181="safety","safety costs",INDIRECT("template!"&amp;"B"&amp;A181)))</f>
        <v>#REF!</v>
      </c>
      <c r="D181" t="e" cm="1">
        <f t="array" aca="1" ref="D181" ca="1">IF(OR(A181="",B181="safety"),"",INDIRECT("template!"&amp;"C"&amp;A181))</f>
        <v>#REF!</v>
      </c>
      <c r="E181" t="e" cm="1">
        <f t="array" aca="1" ref="E181" ca="1">IF(A181="","",IF(OR(A181=A180+1,A181=A180+2),E180,INDIRECT("template!"&amp;"D"&amp;A181-2)))</f>
        <v>#REF!</v>
      </c>
      <c r="F181" t="e" cm="1">
        <f t="array" aca="1" ref="F181" ca="1">IF(OR(A181="",B181="safety"),"",IF(ISBLANK(IF(A181=A180+1,F180,INDIRECT("template!"&amp;"D"&amp;A181-1))),"",IF(A181=A180+1,F180,INDIRECT("template!"&amp;"D"&amp;A181-1))))</f>
        <v>#REF!</v>
      </c>
      <c r="G181" t="e" cm="1">
        <f t="array" aca="1" ref="G181" ca="1">IF(OR(A181="",B181="safety"),"",IF(ISBLANK(INDIRECT("template!"&amp;"D"&amp;A181)),"",INDIRECT("template!"&amp;"D"&amp;A181)))</f>
        <v>#REF!</v>
      </c>
      <c r="H181" t="e" cm="1">
        <f t="array" aca="1" ref="H181" ca="1">IF(OR(A181="",B181="safety"),"",IF(ISBLANK(INDIRECT("template!"&amp;"E"&amp;A181)),"",INDIRECT("template!"&amp;"E"&amp;A181)))</f>
        <v>#REF!</v>
      </c>
      <c r="I181" t="e" cm="1">
        <f t="array" aca="1" ref="I181" ca="1">IF(OR(A181="",B181="safety"),"",IF(ISBLANK(INDIRECT("template!"&amp;"F"&amp;A181)),"",INDIRECT("template!"&amp;"F"&amp;A181)))</f>
        <v>#REF!</v>
      </c>
      <c r="J181" t="e" cm="1">
        <f t="array" aca="1" ref="J181" ca="1">IF(OR(A181="",B181="safety"),"",IF(ISBLANK(INDIRECT("template!"&amp;"G"&amp;A181)),"",INDIRECT("template!"&amp;"G"&amp;A181)))</f>
        <v>#REF!</v>
      </c>
      <c r="K181" t="e" cm="1">
        <f t="array" aca="1" ref="K181" ca="1">IF(OR(A181="",B181="safety"),"",IF(ISBLANK(INDIRECT("template!"&amp;"H"&amp;A181)),"",INDIRECT("template!"&amp;"H"&amp;A181)))</f>
        <v>#REF!</v>
      </c>
      <c r="L181" t="e" cm="1">
        <f t="array" aca="1" ref="L181" ca="1">IF(OR(A181="",B181="safety"),"",INDIRECT("template!"&amp;"I"&amp;A181))</f>
        <v>#REF!</v>
      </c>
      <c r="M181" t="e" cm="1">
        <f t="array" aca="1" ref="M181" ca="1">IF(OR(A181="",B181="safety"),"",INDIRECT("template!"&amp;"J"&amp;A181))</f>
        <v>#REF!</v>
      </c>
      <c r="N181" t="e" cm="1">
        <f t="array" aca="1" ref="N181" ca="1">IF(OR(A181="",B181="safety"),"",IF(ISBLANK(INDIRECT("template!"&amp;"K"&amp;A181)),"",INDIRECT("template!"&amp;"K"&amp;A181)))</f>
        <v>#REF!</v>
      </c>
      <c r="O181" t="e" cm="1">
        <f t="array" aca="1" ref="O181" ca="1">IF(OR(A181="",B181="safety"),"",INDIRECT("template!"&amp;"L"&amp;A181))</f>
        <v>#REF!</v>
      </c>
      <c r="P181" t="e" cm="1">
        <f t="array" aca="1" ref="P181" ca="1">IF(OR(A181="",B181="safety"),"",INDIRECT("template!"&amp;"M"&amp;A181))</f>
        <v>#REF!</v>
      </c>
      <c r="Q181" t="e">
        <f t="shared" ca="1" si="11"/>
        <v>#REF!</v>
      </c>
      <c r="R181" t="e">
        <f t="shared" ca="1" si="12"/>
        <v>#REF!</v>
      </c>
      <c r="S181" t="e">
        <f t="shared" ca="1" si="13"/>
        <v>#REF!</v>
      </c>
      <c r="T181" t="e">
        <f t="shared" ca="1" si="14"/>
        <v>#REF!</v>
      </c>
      <c r="U181" t="e" cm="1">
        <f t="array" aca="1" ref="U181" ca="1">IF(A181="","",IF(E181="","",IF(B181="safety",INDIRECT("template!"&amp;"P"&amp;A181),Q181+R181)))</f>
        <v>#REF!</v>
      </c>
      <c r="V181" t="e" cm="1">
        <f t="array" aca="1" ref="V181" ca="1">IF(A181="","",IF(E181="","",IF(B181="safety",INDIRECT("template!"&amp;"P"&amp;A181),S181+T181)))</f>
        <v>#REF!</v>
      </c>
      <c r="W181" t="e">
        <f ca="1">IF(A181="","",IF(E181="","",#REF!))</f>
        <v>#REF!</v>
      </c>
      <c r="X181" t="e">
        <f ca="1">IF(A181="","",IF(E181="","",#REF!))</f>
        <v>#REF!</v>
      </c>
      <c r="Y181" s="39" t="e">
        <f ca="1">IF(A181="","",IF(E181="","",#REF!))</f>
        <v>#REF!</v>
      </c>
      <c r="Z181" t="e">
        <f ca="1">IF(A181="","",IF(E181="","",#REF!))</f>
        <v>#REF!</v>
      </c>
      <c r="AA181" t="e">
        <f ca="1">IF(A181="","",IF(E181="","",#REF!))</f>
        <v>#REF!</v>
      </c>
      <c r="AB181" t="e">
        <f ca="1">IF(A181="","",IF(E181="","",#REF!))</f>
        <v>#REF!</v>
      </c>
      <c r="AC181" t="e">
        <f t="shared" ca="1" si="15"/>
        <v>#REF!</v>
      </c>
    </row>
    <row r="182" spans="1:29" x14ac:dyDescent="0.35">
      <c r="A182" t="e" cm="1">
        <f t="array" aca="1" ref="A182" ca="1">IF(A181="","",IF(OR(AND(A181+1&gt;=$AF$1,A181+1&lt;=$AF$2),AND(A181+1&gt;=$AF$6,A181+1&lt;=$AF$7),AND(A181+1&gt;=$AF$3,A181+1&lt;=$AF$4),AND(A181+1&gt;=$AF$8,A181+1&lt;=$AF$9),A181+1=$AF$5),IF(NOT(ISBLANK(INDIRECT("template!"&amp;"P"&amp;A181+1))),A181+1,IF(NOT(ISBLANK(INDIRECT("template!"&amp;"P"&amp;A181+2))),A181+2,A181+3)),IF(A181=$AF$2,$AF$3,IF(A181=$AF$4,$AF$5,IF(A181=$AF$5,$AF$6,IF(A181=$AF$7,$AF$8,""))))))</f>
        <v>#REF!</v>
      </c>
      <c r="B182" t="e">
        <f t="shared" ca="1" si="0"/>
        <v>#REF!</v>
      </c>
      <c r="C182" t="e" cm="1">
        <f t="array" aca="1" ref="C182" ca="1">IF(A182="","",IF(B182="safety","safety costs",INDIRECT("template!"&amp;"B"&amp;A182)))</f>
        <v>#REF!</v>
      </c>
      <c r="D182" t="e" cm="1">
        <f t="array" aca="1" ref="D182" ca="1">IF(OR(A182="",B182="safety"),"",INDIRECT("template!"&amp;"C"&amp;A182))</f>
        <v>#REF!</v>
      </c>
      <c r="E182" t="e" cm="1">
        <f t="array" aca="1" ref="E182" ca="1">IF(A182="","",IF(OR(A182=A181+1,A182=A181+2),E181,INDIRECT("template!"&amp;"D"&amp;A182-2)))</f>
        <v>#REF!</v>
      </c>
      <c r="F182" t="e" cm="1">
        <f t="array" aca="1" ref="F182" ca="1">IF(OR(A182="",B182="safety"),"",IF(ISBLANK(IF(A182=A181+1,F181,INDIRECT("template!"&amp;"D"&amp;A182-1))),"",IF(A182=A181+1,F181,INDIRECT("template!"&amp;"D"&amp;A182-1))))</f>
        <v>#REF!</v>
      </c>
      <c r="G182" t="e" cm="1">
        <f t="array" aca="1" ref="G182" ca="1">IF(OR(A182="",B182="safety"),"",IF(ISBLANK(INDIRECT("template!"&amp;"D"&amp;A182)),"",INDIRECT("template!"&amp;"D"&amp;A182)))</f>
        <v>#REF!</v>
      </c>
      <c r="H182" t="e" cm="1">
        <f t="array" aca="1" ref="H182" ca="1">IF(OR(A182="",B182="safety"),"",IF(ISBLANK(INDIRECT("template!"&amp;"E"&amp;A182)),"",INDIRECT("template!"&amp;"E"&amp;A182)))</f>
        <v>#REF!</v>
      </c>
      <c r="I182" t="e" cm="1">
        <f t="array" aca="1" ref="I182" ca="1">IF(OR(A182="",B182="safety"),"",IF(ISBLANK(INDIRECT("template!"&amp;"F"&amp;A182)),"",INDIRECT("template!"&amp;"F"&amp;A182)))</f>
        <v>#REF!</v>
      </c>
      <c r="J182" t="e" cm="1">
        <f t="array" aca="1" ref="J182" ca="1">IF(OR(A182="",B182="safety"),"",IF(ISBLANK(INDIRECT("template!"&amp;"G"&amp;A182)),"",INDIRECT("template!"&amp;"G"&amp;A182)))</f>
        <v>#REF!</v>
      </c>
      <c r="K182" t="e" cm="1">
        <f t="array" aca="1" ref="K182" ca="1">IF(OR(A182="",B182="safety"),"",IF(ISBLANK(INDIRECT("template!"&amp;"H"&amp;A182)),"",INDIRECT("template!"&amp;"H"&amp;A182)))</f>
        <v>#REF!</v>
      </c>
      <c r="L182" t="e" cm="1">
        <f t="array" aca="1" ref="L182" ca="1">IF(OR(A182="",B182="safety"),"",INDIRECT("template!"&amp;"I"&amp;A182))</f>
        <v>#REF!</v>
      </c>
      <c r="M182" t="e" cm="1">
        <f t="array" aca="1" ref="M182" ca="1">IF(OR(A182="",B182="safety"),"",INDIRECT("template!"&amp;"J"&amp;A182))</f>
        <v>#REF!</v>
      </c>
      <c r="N182" t="e" cm="1">
        <f t="array" aca="1" ref="N182" ca="1">IF(OR(A182="",B182="safety"),"",IF(ISBLANK(INDIRECT("template!"&amp;"K"&amp;A182)),"",INDIRECT("template!"&amp;"K"&amp;A182)))</f>
        <v>#REF!</v>
      </c>
      <c r="O182" t="e" cm="1">
        <f t="array" aca="1" ref="O182" ca="1">IF(OR(A182="",B182="safety"),"",INDIRECT("template!"&amp;"L"&amp;A182))</f>
        <v>#REF!</v>
      </c>
      <c r="P182" t="e" cm="1">
        <f t="array" aca="1" ref="P182" ca="1">IF(OR(A182="",B182="safety"),"",INDIRECT("template!"&amp;"M"&amp;A182))</f>
        <v>#REF!</v>
      </c>
      <c r="Q182" t="e">
        <f t="shared" ca="1" si="11"/>
        <v>#REF!</v>
      </c>
      <c r="R182" t="e">
        <f t="shared" ca="1" si="12"/>
        <v>#REF!</v>
      </c>
      <c r="S182" t="e">
        <f t="shared" ca="1" si="13"/>
        <v>#REF!</v>
      </c>
      <c r="T182" t="e">
        <f t="shared" ca="1" si="14"/>
        <v>#REF!</v>
      </c>
      <c r="U182" t="e" cm="1">
        <f t="array" aca="1" ref="U182" ca="1">IF(A182="","",IF(E182="","",IF(B182="safety",INDIRECT("template!"&amp;"P"&amp;A182),Q182+R182)))</f>
        <v>#REF!</v>
      </c>
      <c r="V182" t="e" cm="1">
        <f t="array" aca="1" ref="V182" ca="1">IF(A182="","",IF(E182="","",IF(B182="safety",INDIRECT("template!"&amp;"P"&amp;A182),S182+T182)))</f>
        <v>#REF!</v>
      </c>
      <c r="W182" t="e">
        <f ca="1">IF(A182="","",IF(E182="","",#REF!))</f>
        <v>#REF!</v>
      </c>
      <c r="X182" t="e">
        <f ca="1">IF(A182="","",IF(E182="","",#REF!))</f>
        <v>#REF!</v>
      </c>
      <c r="Y182" s="39" t="e">
        <f ca="1">IF(A182="","",IF(E182="","",#REF!))</f>
        <v>#REF!</v>
      </c>
      <c r="Z182" t="e">
        <f ca="1">IF(A182="","",IF(E182="","",#REF!))</f>
        <v>#REF!</v>
      </c>
      <c r="AA182" t="e">
        <f ca="1">IF(A182="","",IF(E182="","",#REF!))</f>
        <v>#REF!</v>
      </c>
      <c r="AB182" t="e">
        <f ca="1">IF(A182="","",IF(E182="","",#REF!))</f>
        <v>#REF!</v>
      </c>
      <c r="AC182" t="e">
        <f t="shared" ca="1" si="15"/>
        <v>#REF!</v>
      </c>
    </row>
    <row r="183" spans="1:29" x14ac:dyDescent="0.35">
      <c r="A183" t="e" cm="1">
        <f t="array" aca="1" ref="A183" ca="1">IF(A182="","",IF(OR(AND(A182+1&gt;=$AF$1,A182+1&lt;=$AF$2),AND(A182+1&gt;=$AF$6,A182+1&lt;=$AF$7),AND(A182+1&gt;=$AF$3,A182+1&lt;=$AF$4),AND(A182+1&gt;=$AF$8,A182+1&lt;=$AF$9),A182+1=$AF$5),IF(NOT(ISBLANK(INDIRECT("template!"&amp;"P"&amp;A182+1))),A182+1,IF(NOT(ISBLANK(INDIRECT("template!"&amp;"P"&amp;A182+2))),A182+2,A182+3)),IF(A182=$AF$2,$AF$3,IF(A182=$AF$4,$AF$5,IF(A182=$AF$5,$AF$6,IF(A182=$AF$7,$AF$8,""))))))</f>
        <v>#REF!</v>
      </c>
      <c r="B183" t="e">
        <f t="shared" ca="1" si="0"/>
        <v>#REF!</v>
      </c>
      <c r="C183" t="e" cm="1">
        <f t="array" aca="1" ref="C183" ca="1">IF(A183="","",IF(B183="safety","safety costs",INDIRECT("template!"&amp;"B"&amp;A183)))</f>
        <v>#REF!</v>
      </c>
      <c r="D183" t="e" cm="1">
        <f t="array" aca="1" ref="D183" ca="1">IF(OR(A183="",B183="safety"),"",INDIRECT("template!"&amp;"C"&amp;A183))</f>
        <v>#REF!</v>
      </c>
      <c r="E183" t="e" cm="1">
        <f t="array" aca="1" ref="E183" ca="1">IF(A183="","",IF(OR(A183=A182+1,A183=A182+2),E182,INDIRECT("template!"&amp;"D"&amp;A183-2)))</f>
        <v>#REF!</v>
      </c>
      <c r="F183" t="e" cm="1">
        <f t="array" aca="1" ref="F183" ca="1">IF(OR(A183="",B183="safety"),"",IF(ISBLANK(IF(A183=A182+1,F182,INDIRECT("template!"&amp;"D"&amp;A183-1))),"",IF(A183=A182+1,F182,INDIRECT("template!"&amp;"D"&amp;A183-1))))</f>
        <v>#REF!</v>
      </c>
      <c r="G183" t="e" cm="1">
        <f t="array" aca="1" ref="G183" ca="1">IF(OR(A183="",B183="safety"),"",IF(ISBLANK(INDIRECT("template!"&amp;"D"&amp;A183)),"",INDIRECT("template!"&amp;"D"&amp;A183)))</f>
        <v>#REF!</v>
      </c>
      <c r="H183" t="e" cm="1">
        <f t="array" aca="1" ref="H183" ca="1">IF(OR(A183="",B183="safety"),"",IF(ISBLANK(INDIRECT("template!"&amp;"E"&amp;A183)),"",INDIRECT("template!"&amp;"E"&amp;A183)))</f>
        <v>#REF!</v>
      </c>
      <c r="I183" t="e" cm="1">
        <f t="array" aca="1" ref="I183" ca="1">IF(OR(A183="",B183="safety"),"",IF(ISBLANK(INDIRECT("template!"&amp;"F"&amp;A183)),"",INDIRECT("template!"&amp;"F"&amp;A183)))</f>
        <v>#REF!</v>
      </c>
      <c r="J183" t="e" cm="1">
        <f t="array" aca="1" ref="J183" ca="1">IF(OR(A183="",B183="safety"),"",IF(ISBLANK(INDIRECT("template!"&amp;"G"&amp;A183)),"",INDIRECT("template!"&amp;"G"&amp;A183)))</f>
        <v>#REF!</v>
      </c>
      <c r="K183" t="e" cm="1">
        <f t="array" aca="1" ref="K183" ca="1">IF(OR(A183="",B183="safety"),"",IF(ISBLANK(INDIRECT("template!"&amp;"H"&amp;A183)),"",INDIRECT("template!"&amp;"H"&amp;A183)))</f>
        <v>#REF!</v>
      </c>
      <c r="L183" t="e" cm="1">
        <f t="array" aca="1" ref="L183" ca="1">IF(OR(A183="",B183="safety"),"",INDIRECT("template!"&amp;"I"&amp;A183))</f>
        <v>#REF!</v>
      </c>
      <c r="M183" t="e" cm="1">
        <f t="array" aca="1" ref="M183" ca="1">IF(OR(A183="",B183="safety"),"",INDIRECT("template!"&amp;"J"&amp;A183))</f>
        <v>#REF!</v>
      </c>
      <c r="N183" t="e" cm="1">
        <f t="array" aca="1" ref="N183" ca="1">IF(OR(A183="",B183="safety"),"",IF(ISBLANK(INDIRECT("template!"&amp;"K"&amp;A183)),"",INDIRECT("template!"&amp;"K"&amp;A183)))</f>
        <v>#REF!</v>
      </c>
      <c r="O183" t="e" cm="1">
        <f t="array" aca="1" ref="O183" ca="1">IF(OR(A183="",B183="safety"),"",INDIRECT("template!"&amp;"L"&amp;A183))</f>
        <v>#REF!</v>
      </c>
      <c r="P183" t="e" cm="1">
        <f t="array" aca="1" ref="P183" ca="1">IF(OR(A183="",B183="safety"),"",INDIRECT("template!"&amp;"M"&amp;A183))</f>
        <v>#REF!</v>
      </c>
      <c r="Q183" t="e">
        <f t="shared" ca="1" si="11"/>
        <v>#REF!</v>
      </c>
      <c r="R183" t="e">
        <f t="shared" ca="1" si="12"/>
        <v>#REF!</v>
      </c>
      <c r="S183" t="e">
        <f t="shared" ca="1" si="13"/>
        <v>#REF!</v>
      </c>
      <c r="T183" t="e">
        <f t="shared" ca="1" si="14"/>
        <v>#REF!</v>
      </c>
      <c r="U183" t="e" cm="1">
        <f t="array" aca="1" ref="U183" ca="1">IF(A183="","",IF(E183="","",IF(B183="safety",INDIRECT("template!"&amp;"P"&amp;A183),Q183+R183)))</f>
        <v>#REF!</v>
      </c>
      <c r="V183" t="e" cm="1">
        <f t="array" aca="1" ref="V183" ca="1">IF(A183="","",IF(E183="","",IF(B183="safety",INDIRECT("template!"&amp;"P"&amp;A183),S183+T183)))</f>
        <v>#REF!</v>
      </c>
      <c r="W183" t="e">
        <f ca="1">IF(A183="","",IF(E183="","",#REF!))</f>
        <v>#REF!</v>
      </c>
      <c r="X183" t="e">
        <f ca="1">IF(A183="","",IF(E183="","",#REF!))</f>
        <v>#REF!</v>
      </c>
      <c r="Y183" s="39" t="e">
        <f ca="1">IF(A183="","",IF(E183="","",#REF!))</f>
        <v>#REF!</v>
      </c>
      <c r="Z183" t="e">
        <f ca="1">IF(A183="","",IF(E183="","",#REF!))</f>
        <v>#REF!</v>
      </c>
      <c r="AA183" t="e">
        <f ca="1">IF(A183="","",IF(E183="","",#REF!))</f>
        <v>#REF!</v>
      </c>
      <c r="AB183" t="e">
        <f ca="1">IF(A183="","",IF(E183="","",#REF!))</f>
        <v>#REF!</v>
      </c>
      <c r="AC183" t="e">
        <f t="shared" ca="1" si="15"/>
        <v>#REF!</v>
      </c>
    </row>
    <row r="184" spans="1:29" x14ac:dyDescent="0.35">
      <c r="A184" t="e" cm="1">
        <f t="array" aca="1" ref="A184" ca="1">IF(A183="","",IF(OR(AND(A183+1&gt;=$AF$1,A183+1&lt;=$AF$2),AND(A183+1&gt;=$AF$6,A183+1&lt;=$AF$7),AND(A183+1&gt;=$AF$3,A183+1&lt;=$AF$4),AND(A183+1&gt;=$AF$8,A183+1&lt;=$AF$9),A183+1=$AF$5),IF(NOT(ISBLANK(INDIRECT("template!"&amp;"P"&amp;A183+1))),A183+1,IF(NOT(ISBLANK(INDIRECT("template!"&amp;"P"&amp;A183+2))),A183+2,A183+3)),IF(A183=$AF$2,$AF$3,IF(A183=$AF$4,$AF$5,IF(A183=$AF$5,$AF$6,IF(A183=$AF$7,$AF$8,""))))))</f>
        <v>#REF!</v>
      </c>
      <c r="B184" t="e">
        <f t="shared" ca="1" si="0"/>
        <v>#REF!</v>
      </c>
      <c r="C184" t="e" cm="1">
        <f t="array" aca="1" ref="C184" ca="1">IF(A184="","",IF(B184="safety","safety costs",INDIRECT("template!"&amp;"B"&amp;A184)))</f>
        <v>#REF!</v>
      </c>
      <c r="D184" t="e" cm="1">
        <f t="array" aca="1" ref="D184" ca="1">IF(OR(A184="",B184="safety"),"",INDIRECT("template!"&amp;"C"&amp;A184))</f>
        <v>#REF!</v>
      </c>
      <c r="E184" t="e" cm="1">
        <f t="array" aca="1" ref="E184" ca="1">IF(A184="","",IF(OR(A184=A183+1,A184=A183+2),E183,INDIRECT("template!"&amp;"D"&amp;A184-2)))</f>
        <v>#REF!</v>
      </c>
      <c r="F184" t="e" cm="1">
        <f t="array" aca="1" ref="F184" ca="1">IF(OR(A184="",B184="safety"),"",IF(ISBLANK(IF(A184=A183+1,F183,INDIRECT("template!"&amp;"D"&amp;A184-1))),"",IF(A184=A183+1,F183,INDIRECT("template!"&amp;"D"&amp;A184-1))))</f>
        <v>#REF!</v>
      </c>
      <c r="G184" t="e" cm="1">
        <f t="array" aca="1" ref="G184" ca="1">IF(OR(A184="",B184="safety"),"",IF(ISBLANK(INDIRECT("template!"&amp;"D"&amp;A184)),"",INDIRECT("template!"&amp;"D"&amp;A184)))</f>
        <v>#REF!</v>
      </c>
      <c r="H184" t="e" cm="1">
        <f t="array" aca="1" ref="H184" ca="1">IF(OR(A184="",B184="safety"),"",IF(ISBLANK(INDIRECT("template!"&amp;"E"&amp;A184)),"",INDIRECT("template!"&amp;"E"&amp;A184)))</f>
        <v>#REF!</v>
      </c>
      <c r="I184" t="e" cm="1">
        <f t="array" aca="1" ref="I184" ca="1">IF(OR(A184="",B184="safety"),"",IF(ISBLANK(INDIRECT("template!"&amp;"F"&amp;A184)),"",INDIRECT("template!"&amp;"F"&amp;A184)))</f>
        <v>#REF!</v>
      </c>
      <c r="J184" t="e" cm="1">
        <f t="array" aca="1" ref="J184" ca="1">IF(OR(A184="",B184="safety"),"",IF(ISBLANK(INDIRECT("template!"&amp;"G"&amp;A184)),"",INDIRECT("template!"&amp;"G"&amp;A184)))</f>
        <v>#REF!</v>
      </c>
      <c r="K184" t="e" cm="1">
        <f t="array" aca="1" ref="K184" ca="1">IF(OR(A184="",B184="safety"),"",IF(ISBLANK(INDIRECT("template!"&amp;"H"&amp;A184)),"",INDIRECT("template!"&amp;"H"&amp;A184)))</f>
        <v>#REF!</v>
      </c>
      <c r="L184" t="e" cm="1">
        <f t="array" aca="1" ref="L184" ca="1">IF(OR(A184="",B184="safety"),"",INDIRECT("template!"&amp;"I"&amp;A184))</f>
        <v>#REF!</v>
      </c>
      <c r="M184" t="e" cm="1">
        <f t="array" aca="1" ref="M184" ca="1">IF(OR(A184="",B184="safety"),"",INDIRECT("template!"&amp;"J"&amp;A184))</f>
        <v>#REF!</v>
      </c>
      <c r="N184" t="e" cm="1">
        <f t="array" aca="1" ref="N184" ca="1">IF(OR(A184="",B184="safety"),"",IF(ISBLANK(INDIRECT("template!"&amp;"K"&amp;A184)),"",INDIRECT("template!"&amp;"K"&amp;A184)))</f>
        <v>#REF!</v>
      </c>
      <c r="O184" t="e" cm="1">
        <f t="array" aca="1" ref="O184" ca="1">IF(OR(A184="",B184="safety"),"",INDIRECT("template!"&amp;"L"&amp;A184))</f>
        <v>#REF!</v>
      </c>
      <c r="P184" t="e" cm="1">
        <f t="array" aca="1" ref="P184" ca="1">IF(OR(A184="",B184="safety"),"",INDIRECT("template!"&amp;"M"&amp;A184))</f>
        <v>#REF!</v>
      </c>
      <c r="Q184" t="e">
        <f t="shared" ca="1" si="11"/>
        <v>#REF!</v>
      </c>
      <c r="R184" t="e">
        <f t="shared" ca="1" si="12"/>
        <v>#REF!</v>
      </c>
      <c r="S184" t="e">
        <f t="shared" ca="1" si="13"/>
        <v>#REF!</v>
      </c>
      <c r="T184" t="e">
        <f t="shared" ca="1" si="14"/>
        <v>#REF!</v>
      </c>
      <c r="U184" t="e" cm="1">
        <f t="array" aca="1" ref="U184" ca="1">IF(A184="","",IF(E184="","",IF(B184="safety",INDIRECT("template!"&amp;"P"&amp;A184),Q184+R184)))</f>
        <v>#REF!</v>
      </c>
      <c r="V184" t="e" cm="1">
        <f t="array" aca="1" ref="V184" ca="1">IF(A184="","",IF(E184="","",IF(B184="safety",INDIRECT("template!"&amp;"P"&amp;A184),S184+T184)))</f>
        <v>#REF!</v>
      </c>
      <c r="W184" t="e">
        <f ca="1">IF(A184="","",IF(E184="","",#REF!))</f>
        <v>#REF!</v>
      </c>
      <c r="X184" t="e">
        <f ca="1">IF(A184="","",IF(E184="","",#REF!))</f>
        <v>#REF!</v>
      </c>
      <c r="Y184" s="39" t="e">
        <f ca="1">IF(A184="","",IF(E184="","",#REF!))</f>
        <v>#REF!</v>
      </c>
      <c r="Z184" t="e">
        <f ca="1">IF(A184="","",IF(E184="","",#REF!))</f>
        <v>#REF!</v>
      </c>
      <c r="AA184" t="e">
        <f ca="1">IF(A184="","",IF(E184="","",#REF!))</f>
        <v>#REF!</v>
      </c>
      <c r="AB184" t="e">
        <f ca="1">IF(A184="","",IF(E184="","",#REF!))</f>
        <v>#REF!</v>
      </c>
      <c r="AC184" t="e">
        <f t="shared" ca="1" si="15"/>
        <v>#REF!</v>
      </c>
    </row>
    <row r="185" spans="1:29" x14ac:dyDescent="0.35">
      <c r="A185" t="e" cm="1">
        <f t="array" aca="1" ref="A185" ca="1">IF(A184="","",IF(OR(AND(A184+1&gt;=$AF$1,A184+1&lt;=$AF$2),AND(A184+1&gt;=$AF$6,A184+1&lt;=$AF$7),AND(A184+1&gt;=$AF$3,A184+1&lt;=$AF$4),AND(A184+1&gt;=$AF$8,A184+1&lt;=$AF$9),A184+1=$AF$5),IF(NOT(ISBLANK(INDIRECT("template!"&amp;"P"&amp;A184+1))),A184+1,IF(NOT(ISBLANK(INDIRECT("template!"&amp;"P"&amp;A184+2))),A184+2,A184+3)),IF(A184=$AF$2,$AF$3,IF(A184=$AF$4,$AF$5,IF(A184=$AF$5,$AF$6,IF(A184=$AF$7,$AF$8,""))))))</f>
        <v>#REF!</v>
      </c>
      <c r="B185" t="e">
        <f t="shared" ca="1" si="0"/>
        <v>#REF!</v>
      </c>
      <c r="C185" t="e" cm="1">
        <f t="array" aca="1" ref="C185" ca="1">IF(A185="","",IF(B185="safety","safety costs",INDIRECT("template!"&amp;"B"&amp;A185)))</f>
        <v>#REF!</v>
      </c>
      <c r="D185" t="e" cm="1">
        <f t="array" aca="1" ref="D185" ca="1">IF(OR(A185="",B185="safety"),"",INDIRECT("template!"&amp;"C"&amp;A185))</f>
        <v>#REF!</v>
      </c>
      <c r="E185" t="e" cm="1">
        <f t="array" aca="1" ref="E185" ca="1">IF(A185="","",IF(OR(A185=A184+1,A185=A184+2),E184,INDIRECT("template!"&amp;"D"&amp;A185-2)))</f>
        <v>#REF!</v>
      </c>
      <c r="F185" t="e" cm="1">
        <f t="array" aca="1" ref="F185" ca="1">IF(OR(A185="",B185="safety"),"",IF(ISBLANK(IF(A185=A184+1,F184,INDIRECT("template!"&amp;"D"&amp;A185-1))),"",IF(A185=A184+1,F184,INDIRECT("template!"&amp;"D"&amp;A185-1))))</f>
        <v>#REF!</v>
      </c>
      <c r="G185" t="e" cm="1">
        <f t="array" aca="1" ref="G185" ca="1">IF(OR(A185="",B185="safety"),"",IF(ISBLANK(INDIRECT("template!"&amp;"D"&amp;A185)),"",INDIRECT("template!"&amp;"D"&amp;A185)))</f>
        <v>#REF!</v>
      </c>
      <c r="H185" t="e" cm="1">
        <f t="array" aca="1" ref="H185" ca="1">IF(OR(A185="",B185="safety"),"",IF(ISBLANK(INDIRECT("template!"&amp;"E"&amp;A185)),"",INDIRECT("template!"&amp;"E"&amp;A185)))</f>
        <v>#REF!</v>
      </c>
      <c r="I185" t="e" cm="1">
        <f t="array" aca="1" ref="I185" ca="1">IF(OR(A185="",B185="safety"),"",IF(ISBLANK(INDIRECT("template!"&amp;"F"&amp;A185)),"",INDIRECT("template!"&amp;"F"&amp;A185)))</f>
        <v>#REF!</v>
      </c>
      <c r="J185" t="e" cm="1">
        <f t="array" aca="1" ref="J185" ca="1">IF(OR(A185="",B185="safety"),"",IF(ISBLANK(INDIRECT("template!"&amp;"G"&amp;A185)),"",INDIRECT("template!"&amp;"G"&amp;A185)))</f>
        <v>#REF!</v>
      </c>
      <c r="K185" t="e" cm="1">
        <f t="array" aca="1" ref="K185" ca="1">IF(OR(A185="",B185="safety"),"",IF(ISBLANK(INDIRECT("template!"&amp;"H"&amp;A185)),"",INDIRECT("template!"&amp;"H"&amp;A185)))</f>
        <v>#REF!</v>
      </c>
      <c r="L185" t="e" cm="1">
        <f t="array" aca="1" ref="L185" ca="1">IF(OR(A185="",B185="safety"),"",INDIRECT("template!"&amp;"I"&amp;A185))</f>
        <v>#REF!</v>
      </c>
      <c r="M185" t="e" cm="1">
        <f t="array" aca="1" ref="M185" ca="1">IF(OR(A185="",B185="safety"),"",INDIRECT("template!"&amp;"J"&amp;A185))</f>
        <v>#REF!</v>
      </c>
      <c r="N185" t="e" cm="1">
        <f t="array" aca="1" ref="N185" ca="1">IF(OR(A185="",B185="safety"),"",IF(ISBLANK(INDIRECT("template!"&amp;"K"&amp;A185)),"",INDIRECT("template!"&amp;"K"&amp;A185)))</f>
        <v>#REF!</v>
      </c>
      <c r="O185" t="e" cm="1">
        <f t="array" aca="1" ref="O185" ca="1">IF(OR(A185="",B185="safety"),"",INDIRECT("template!"&amp;"L"&amp;A185))</f>
        <v>#REF!</v>
      </c>
      <c r="P185" t="e" cm="1">
        <f t="array" aca="1" ref="P185" ca="1">IF(OR(A185="",B185="safety"),"",INDIRECT("template!"&amp;"M"&amp;A185))</f>
        <v>#REF!</v>
      </c>
      <c r="Q185" t="e">
        <f t="shared" ca="1" si="11"/>
        <v>#REF!</v>
      </c>
      <c r="R185" t="e">
        <f t="shared" ca="1" si="12"/>
        <v>#REF!</v>
      </c>
      <c r="S185" t="e">
        <f t="shared" ca="1" si="13"/>
        <v>#REF!</v>
      </c>
      <c r="T185" t="e">
        <f t="shared" ca="1" si="14"/>
        <v>#REF!</v>
      </c>
      <c r="U185" t="e" cm="1">
        <f t="array" aca="1" ref="U185" ca="1">IF(A185="","",IF(E185="","",IF(B185="safety",INDIRECT("template!"&amp;"P"&amp;A185),Q185+R185)))</f>
        <v>#REF!</v>
      </c>
      <c r="V185" t="e" cm="1">
        <f t="array" aca="1" ref="V185" ca="1">IF(A185="","",IF(E185="","",IF(B185="safety",INDIRECT("template!"&amp;"P"&amp;A185),S185+T185)))</f>
        <v>#REF!</v>
      </c>
      <c r="W185" t="e">
        <f ca="1">IF(A185="","",IF(E185="","",#REF!))</f>
        <v>#REF!</v>
      </c>
      <c r="X185" t="e">
        <f ca="1">IF(A185="","",IF(E185="","",#REF!))</f>
        <v>#REF!</v>
      </c>
      <c r="Y185" s="39" t="e">
        <f ca="1">IF(A185="","",IF(E185="","",#REF!))</f>
        <v>#REF!</v>
      </c>
      <c r="Z185" t="e">
        <f ca="1">IF(A185="","",IF(E185="","",#REF!))</f>
        <v>#REF!</v>
      </c>
      <c r="AA185" t="e">
        <f ca="1">IF(A185="","",IF(E185="","",#REF!))</f>
        <v>#REF!</v>
      </c>
      <c r="AB185" t="e">
        <f ca="1">IF(A185="","",IF(E185="","",#REF!))</f>
        <v>#REF!</v>
      </c>
      <c r="AC185" t="e">
        <f t="shared" ca="1" si="15"/>
        <v>#REF!</v>
      </c>
    </row>
    <row r="186" spans="1:29" x14ac:dyDescent="0.35">
      <c r="A186" t="e" cm="1">
        <f t="array" aca="1" ref="A186" ca="1">IF(A185="","",IF(OR(AND(A185+1&gt;=$AF$1,A185+1&lt;=$AF$2),AND(A185+1&gt;=$AF$6,A185+1&lt;=$AF$7),AND(A185+1&gt;=$AF$3,A185+1&lt;=$AF$4),AND(A185+1&gt;=$AF$8,A185+1&lt;=$AF$9),A185+1=$AF$5),IF(NOT(ISBLANK(INDIRECT("template!"&amp;"P"&amp;A185+1))),A185+1,IF(NOT(ISBLANK(INDIRECT("template!"&amp;"P"&amp;A185+2))),A185+2,A185+3)),IF(A185=$AF$2,$AF$3,IF(A185=$AF$4,$AF$5,IF(A185=$AF$5,$AF$6,IF(A185=$AF$7,$AF$8,""))))))</f>
        <v>#REF!</v>
      </c>
      <c r="B186" t="e">
        <f t="shared" ca="1" si="0"/>
        <v>#REF!</v>
      </c>
      <c r="C186" t="e" cm="1">
        <f t="array" aca="1" ref="C186" ca="1">IF(A186="","",IF(B186="safety","safety costs",INDIRECT("template!"&amp;"B"&amp;A186)))</f>
        <v>#REF!</v>
      </c>
      <c r="D186" t="e" cm="1">
        <f t="array" aca="1" ref="D186" ca="1">IF(OR(A186="",B186="safety"),"",INDIRECT("template!"&amp;"C"&amp;A186))</f>
        <v>#REF!</v>
      </c>
      <c r="E186" t="e" cm="1">
        <f t="array" aca="1" ref="E186" ca="1">IF(A186="","",IF(OR(A186=A185+1,A186=A185+2),E185,INDIRECT("template!"&amp;"D"&amp;A186-2)))</f>
        <v>#REF!</v>
      </c>
      <c r="F186" t="e" cm="1">
        <f t="array" aca="1" ref="F186" ca="1">IF(OR(A186="",B186="safety"),"",IF(ISBLANK(IF(A186=A185+1,F185,INDIRECT("template!"&amp;"D"&amp;A186-1))),"",IF(A186=A185+1,F185,INDIRECT("template!"&amp;"D"&amp;A186-1))))</f>
        <v>#REF!</v>
      </c>
      <c r="G186" t="e" cm="1">
        <f t="array" aca="1" ref="G186" ca="1">IF(OR(A186="",B186="safety"),"",IF(ISBLANK(INDIRECT("template!"&amp;"D"&amp;A186)),"",INDIRECT("template!"&amp;"D"&amp;A186)))</f>
        <v>#REF!</v>
      </c>
      <c r="H186" t="e" cm="1">
        <f t="array" aca="1" ref="H186" ca="1">IF(OR(A186="",B186="safety"),"",IF(ISBLANK(INDIRECT("template!"&amp;"E"&amp;A186)),"",INDIRECT("template!"&amp;"E"&amp;A186)))</f>
        <v>#REF!</v>
      </c>
      <c r="I186" t="e" cm="1">
        <f t="array" aca="1" ref="I186" ca="1">IF(OR(A186="",B186="safety"),"",IF(ISBLANK(INDIRECT("template!"&amp;"F"&amp;A186)),"",INDIRECT("template!"&amp;"F"&amp;A186)))</f>
        <v>#REF!</v>
      </c>
      <c r="J186" t="e" cm="1">
        <f t="array" aca="1" ref="J186" ca="1">IF(OR(A186="",B186="safety"),"",IF(ISBLANK(INDIRECT("template!"&amp;"G"&amp;A186)),"",INDIRECT("template!"&amp;"G"&amp;A186)))</f>
        <v>#REF!</v>
      </c>
      <c r="K186" t="e" cm="1">
        <f t="array" aca="1" ref="K186" ca="1">IF(OR(A186="",B186="safety"),"",IF(ISBLANK(INDIRECT("template!"&amp;"H"&amp;A186)),"",INDIRECT("template!"&amp;"H"&amp;A186)))</f>
        <v>#REF!</v>
      </c>
      <c r="L186" t="e" cm="1">
        <f t="array" aca="1" ref="L186" ca="1">IF(OR(A186="",B186="safety"),"",INDIRECT("template!"&amp;"I"&amp;A186))</f>
        <v>#REF!</v>
      </c>
      <c r="M186" t="e" cm="1">
        <f t="array" aca="1" ref="M186" ca="1">IF(OR(A186="",B186="safety"),"",INDIRECT("template!"&amp;"J"&amp;A186))</f>
        <v>#REF!</v>
      </c>
      <c r="N186" t="e" cm="1">
        <f t="array" aca="1" ref="N186" ca="1">IF(OR(A186="",B186="safety"),"",IF(ISBLANK(INDIRECT("template!"&amp;"K"&amp;A186)),"",INDIRECT("template!"&amp;"K"&amp;A186)))</f>
        <v>#REF!</v>
      </c>
      <c r="O186" t="e" cm="1">
        <f t="array" aca="1" ref="O186" ca="1">IF(OR(A186="",B186="safety"),"",INDIRECT("template!"&amp;"L"&amp;A186))</f>
        <v>#REF!</v>
      </c>
      <c r="P186" t="e" cm="1">
        <f t="array" aca="1" ref="P186" ca="1">IF(OR(A186="",B186="safety"),"",INDIRECT("template!"&amp;"M"&amp;A186))</f>
        <v>#REF!</v>
      </c>
      <c r="Q186" t="e">
        <f t="shared" ca="1" si="11"/>
        <v>#REF!</v>
      </c>
      <c r="R186" t="e">
        <f t="shared" ca="1" si="12"/>
        <v>#REF!</v>
      </c>
      <c r="S186" t="e">
        <f t="shared" ca="1" si="13"/>
        <v>#REF!</v>
      </c>
      <c r="T186" t="e">
        <f t="shared" ca="1" si="14"/>
        <v>#REF!</v>
      </c>
      <c r="U186" t="e" cm="1">
        <f t="array" aca="1" ref="U186" ca="1">IF(A186="","",IF(E186="","",IF(B186="safety",INDIRECT("template!"&amp;"P"&amp;A186),Q186+R186)))</f>
        <v>#REF!</v>
      </c>
      <c r="V186" t="e" cm="1">
        <f t="array" aca="1" ref="V186" ca="1">IF(A186="","",IF(E186="","",IF(B186="safety",INDIRECT("template!"&amp;"P"&amp;A186),S186+T186)))</f>
        <v>#REF!</v>
      </c>
      <c r="W186" t="e">
        <f ca="1">IF(A186="","",IF(E186="","",#REF!))</f>
        <v>#REF!</v>
      </c>
      <c r="X186" t="e">
        <f ca="1">IF(A186="","",IF(E186="","",#REF!))</f>
        <v>#REF!</v>
      </c>
      <c r="Y186" s="39" t="e">
        <f ca="1">IF(A186="","",IF(E186="","",#REF!))</f>
        <v>#REF!</v>
      </c>
      <c r="Z186" t="e">
        <f ca="1">IF(A186="","",IF(E186="","",#REF!))</f>
        <v>#REF!</v>
      </c>
      <c r="AA186" t="e">
        <f ca="1">IF(A186="","",IF(E186="","",#REF!))</f>
        <v>#REF!</v>
      </c>
      <c r="AB186" t="e">
        <f ca="1">IF(A186="","",IF(E186="","",#REF!))</f>
        <v>#REF!</v>
      </c>
      <c r="AC186" t="e">
        <f t="shared" ca="1" si="15"/>
        <v>#REF!</v>
      </c>
    </row>
    <row r="187" spans="1:29" x14ac:dyDescent="0.35">
      <c r="A187" t="e" cm="1">
        <f t="array" aca="1" ref="A187" ca="1">IF(A186="","",IF(OR(AND(A186+1&gt;=$AF$1,A186+1&lt;=$AF$2),AND(A186+1&gt;=$AF$6,A186+1&lt;=$AF$7),AND(A186+1&gt;=$AF$3,A186+1&lt;=$AF$4),AND(A186+1&gt;=$AF$8,A186+1&lt;=$AF$9),A186+1=$AF$5),IF(NOT(ISBLANK(INDIRECT("template!"&amp;"P"&amp;A186+1))),A186+1,IF(NOT(ISBLANK(INDIRECT("template!"&amp;"P"&amp;A186+2))),A186+2,A186+3)),IF(A186=$AF$2,$AF$3,IF(A186=$AF$4,$AF$5,IF(A186=$AF$5,$AF$6,IF(A186=$AF$7,$AF$8,""))))))</f>
        <v>#REF!</v>
      </c>
      <c r="B187" t="e">
        <f t="shared" ca="1" si="0"/>
        <v>#REF!</v>
      </c>
      <c r="C187" t="e" cm="1">
        <f t="array" aca="1" ref="C187" ca="1">IF(A187="","",IF(B187="safety","safety costs",INDIRECT("template!"&amp;"B"&amp;A187)))</f>
        <v>#REF!</v>
      </c>
      <c r="D187" t="e" cm="1">
        <f t="array" aca="1" ref="D187" ca="1">IF(OR(A187="",B187="safety"),"",INDIRECT("template!"&amp;"C"&amp;A187))</f>
        <v>#REF!</v>
      </c>
      <c r="E187" t="e" cm="1">
        <f t="array" aca="1" ref="E187" ca="1">IF(A187="","",IF(OR(A187=A186+1,A187=A186+2),E186,INDIRECT("template!"&amp;"D"&amp;A187-2)))</f>
        <v>#REF!</v>
      </c>
      <c r="F187" t="e" cm="1">
        <f t="array" aca="1" ref="F187" ca="1">IF(OR(A187="",B187="safety"),"",IF(ISBLANK(IF(A187=A186+1,F186,INDIRECT("template!"&amp;"D"&amp;A187-1))),"",IF(A187=A186+1,F186,INDIRECT("template!"&amp;"D"&amp;A187-1))))</f>
        <v>#REF!</v>
      </c>
      <c r="G187" t="e" cm="1">
        <f t="array" aca="1" ref="G187" ca="1">IF(OR(A187="",B187="safety"),"",IF(ISBLANK(INDIRECT("template!"&amp;"D"&amp;A187)),"",INDIRECT("template!"&amp;"D"&amp;A187)))</f>
        <v>#REF!</v>
      </c>
      <c r="H187" t="e" cm="1">
        <f t="array" aca="1" ref="H187" ca="1">IF(OR(A187="",B187="safety"),"",IF(ISBLANK(INDIRECT("template!"&amp;"E"&amp;A187)),"",INDIRECT("template!"&amp;"E"&amp;A187)))</f>
        <v>#REF!</v>
      </c>
      <c r="I187" t="e" cm="1">
        <f t="array" aca="1" ref="I187" ca="1">IF(OR(A187="",B187="safety"),"",IF(ISBLANK(INDIRECT("template!"&amp;"F"&amp;A187)),"",INDIRECT("template!"&amp;"F"&amp;A187)))</f>
        <v>#REF!</v>
      </c>
      <c r="J187" t="e" cm="1">
        <f t="array" aca="1" ref="J187" ca="1">IF(OR(A187="",B187="safety"),"",IF(ISBLANK(INDIRECT("template!"&amp;"G"&amp;A187)),"",INDIRECT("template!"&amp;"G"&amp;A187)))</f>
        <v>#REF!</v>
      </c>
      <c r="K187" t="e" cm="1">
        <f t="array" aca="1" ref="K187" ca="1">IF(OR(A187="",B187="safety"),"",IF(ISBLANK(INDIRECT("template!"&amp;"H"&amp;A187)),"",INDIRECT("template!"&amp;"H"&amp;A187)))</f>
        <v>#REF!</v>
      </c>
      <c r="L187" t="e" cm="1">
        <f t="array" aca="1" ref="L187" ca="1">IF(OR(A187="",B187="safety"),"",INDIRECT("template!"&amp;"I"&amp;A187))</f>
        <v>#REF!</v>
      </c>
      <c r="M187" t="e" cm="1">
        <f t="array" aca="1" ref="M187" ca="1">IF(OR(A187="",B187="safety"),"",INDIRECT("template!"&amp;"J"&amp;A187))</f>
        <v>#REF!</v>
      </c>
      <c r="N187" t="e" cm="1">
        <f t="array" aca="1" ref="N187" ca="1">IF(OR(A187="",B187="safety"),"",IF(ISBLANK(INDIRECT("template!"&amp;"K"&amp;A187)),"",INDIRECT("template!"&amp;"K"&amp;A187)))</f>
        <v>#REF!</v>
      </c>
      <c r="O187" t="e" cm="1">
        <f t="array" aca="1" ref="O187" ca="1">IF(OR(A187="",B187="safety"),"",INDIRECT("template!"&amp;"L"&amp;A187))</f>
        <v>#REF!</v>
      </c>
      <c r="P187" t="e" cm="1">
        <f t="array" aca="1" ref="P187" ca="1">IF(OR(A187="",B187="safety"),"",INDIRECT("template!"&amp;"M"&amp;A187))</f>
        <v>#REF!</v>
      </c>
      <c r="Q187" t="e">
        <f t="shared" ca="1" si="11"/>
        <v>#REF!</v>
      </c>
      <c r="R187" t="e">
        <f t="shared" ca="1" si="12"/>
        <v>#REF!</v>
      </c>
      <c r="S187" t="e">
        <f t="shared" ca="1" si="13"/>
        <v>#REF!</v>
      </c>
      <c r="T187" t="e">
        <f t="shared" ca="1" si="14"/>
        <v>#REF!</v>
      </c>
      <c r="U187" t="e" cm="1">
        <f t="array" aca="1" ref="U187" ca="1">IF(A187="","",IF(E187="","",IF(B187="safety",INDIRECT("template!"&amp;"P"&amp;A187),Q187+R187)))</f>
        <v>#REF!</v>
      </c>
      <c r="V187" t="e" cm="1">
        <f t="array" aca="1" ref="V187" ca="1">IF(A187="","",IF(E187="","",IF(B187="safety",INDIRECT("template!"&amp;"P"&amp;A187),S187+T187)))</f>
        <v>#REF!</v>
      </c>
      <c r="W187" t="e">
        <f ca="1">IF(A187="","",IF(E187="","",#REF!))</f>
        <v>#REF!</v>
      </c>
      <c r="X187" t="e">
        <f ca="1">IF(A187="","",IF(E187="","",#REF!))</f>
        <v>#REF!</v>
      </c>
      <c r="Y187" s="39" t="e">
        <f ca="1">IF(A187="","",IF(E187="","",#REF!))</f>
        <v>#REF!</v>
      </c>
      <c r="Z187" t="e">
        <f ca="1">IF(A187="","",IF(E187="","",#REF!))</f>
        <v>#REF!</v>
      </c>
      <c r="AA187" t="e">
        <f ca="1">IF(A187="","",IF(E187="","",#REF!))</f>
        <v>#REF!</v>
      </c>
      <c r="AB187" t="e">
        <f ca="1">IF(A187="","",IF(E187="","",#REF!))</f>
        <v>#REF!</v>
      </c>
      <c r="AC187" t="e">
        <f t="shared" ca="1" si="15"/>
        <v>#REF!</v>
      </c>
    </row>
    <row r="188" spans="1:29" x14ac:dyDescent="0.35">
      <c r="A188" t="e" cm="1">
        <f t="array" aca="1" ref="A188" ca="1">IF(A187="","",IF(OR(AND(A187+1&gt;=$AF$1,A187+1&lt;=$AF$2),AND(A187+1&gt;=$AF$6,A187+1&lt;=$AF$7),AND(A187+1&gt;=$AF$3,A187+1&lt;=$AF$4),AND(A187+1&gt;=$AF$8,A187+1&lt;=$AF$9),A187+1=$AF$5),IF(NOT(ISBLANK(INDIRECT("template!"&amp;"P"&amp;A187+1))),A187+1,IF(NOT(ISBLANK(INDIRECT("template!"&amp;"P"&amp;A187+2))),A187+2,A187+3)),IF(A187=$AF$2,$AF$3,IF(A187=$AF$4,$AF$5,IF(A187=$AF$5,$AF$6,IF(A187=$AF$7,$AF$8,""))))))</f>
        <v>#REF!</v>
      </c>
      <c r="B188" t="e">
        <f t="shared" ca="1" si="0"/>
        <v>#REF!</v>
      </c>
      <c r="C188" t="e" cm="1">
        <f t="array" aca="1" ref="C188" ca="1">IF(A188="","",IF(B188="safety","safety costs",INDIRECT("template!"&amp;"B"&amp;A188)))</f>
        <v>#REF!</v>
      </c>
      <c r="D188" t="e" cm="1">
        <f t="array" aca="1" ref="D188" ca="1">IF(OR(A188="",B188="safety"),"",INDIRECT("template!"&amp;"C"&amp;A188))</f>
        <v>#REF!</v>
      </c>
      <c r="E188" t="e" cm="1">
        <f t="array" aca="1" ref="E188" ca="1">IF(A188="","",IF(OR(A188=A187+1,A188=A187+2),E187,INDIRECT("template!"&amp;"D"&amp;A188-2)))</f>
        <v>#REF!</v>
      </c>
      <c r="F188" t="e" cm="1">
        <f t="array" aca="1" ref="F188" ca="1">IF(OR(A188="",B188="safety"),"",IF(ISBLANK(IF(A188=A187+1,F187,INDIRECT("template!"&amp;"D"&amp;A188-1))),"",IF(A188=A187+1,F187,INDIRECT("template!"&amp;"D"&amp;A188-1))))</f>
        <v>#REF!</v>
      </c>
      <c r="G188" t="e" cm="1">
        <f t="array" aca="1" ref="G188" ca="1">IF(OR(A188="",B188="safety"),"",IF(ISBLANK(INDIRECT("template!"&amp;"D"&amp;A188)),"",INDIRECT("template!"&amp;"D"&amp;A188)))</f>
        <v>#REF!</v>
      </c>
      <c r="H188" t="e" cm="1">
        <f t="array" aca="1" ref="H188" ca="1">IF(OR(A188="",B188="safety"),"",IF(ISBLANK(INDIRECT("template!"&amp;"E"&amp;A188)),"",INDIRECT("template!"&amp;"E"&amp;A188)))</f>
        <v>#REF!</v>
      </c>
      <c r="I188" t="e" cm="1">
        <f t="array" aca="1" ref="I188" ca="1">IF(OR(A188="",B188="safety"),"",IF(ISBLANK(INDIRECT("template!"&amp;"F"&amp;A188)),"",INDIRECT("template!"&amp;"F"&amp;A188)))</f>
        <v>#REF!</v>
      </c>
      <c r="J188" t="e" cm="1">
        <f t="array" aca="1" ref="J188" ca="1">IF(OR(A188="",B188="safety"),"",IF(ISBLANK(INDIRECT("template!"&amp;"G"&amp;A188)),"",INDIRECT("template!"&amp;"G"&amp;A188)))</f>
        <v>#REF!</v>
      </c>
      <c r="K188" t="e" cm="1">
        <f t="array" aca="1" ref="K188" ca="1">IF(OR(A188="",B188="safety"),"",IF(ISBLANK(INDIRECT("template!"&amp;"H"&amp;A188)),"",INDIRECT("template!"&amp;"H"&amp;A188)))</f>
        <v>#REF!</v>
      </c>
      <c r="L188" t="e" cm="1">
        <f t="array" aca="1" ref="L188" ca="1">IF(OR(A188="",B188="safety"),"",INDIRECT("template!"&amp;"I"&amp;A188))</f>
        <v>#REF!</v>
      </c>
      <c r="M188" t="e" cm="1">
        <f t="array" aca="1" ref="M188" ca="1">IF(OR(A188="",B188="safety"),"",INDIRECT("template!"&amp;"J"&amp;A188))</f>
        <v>#REF!</v>
      </c>
      <c r="N188" t="e" cm="1">
        <f t="array" aca="1" ref="N188" ca="1">IF(OR(A188="",B188="safety"),"",IF(ISBLANK(INDIRECT("template!"&amp;"K"&amp;A188)),"",INDIRECT("template!"&amp;"K"&amp;A188)))</f>
        <v>#REF!</v>
      </c>
      <c r="O188" t="e" cm="1">
        <f t="array" aca="1" ref="O188" ca="1">IF(OR(A188="",B188="safety"),"",INDIRECT("template!"&amp;"L"&amp;A188))</f>
        <v>#REF!</v>
      </c>
      <c r="P188" t="e" cm="1">
        <f t="array" aca="1" ref="P188" ca="1">IF(OR(A188="",B188="safety"),"",INDIRECT("template!"&amp;"M"&amp;A188))</f>
        <v>#REF!</v>
      </c>
      <c r="Q188" t="e">
        <f t="shared" ca="1" si="11"/>
        <v>#REF!</v>
      </c>
      <c r="R188" t="e">
        <f t="shared" ca="1" si="12"/>
        <v>#REF!</v>
      </c>
      <c r="S188" t="e">
        <f t="shared" ca="1" si="13"/>
        <v>#REF!</v>
      </c>
      <c r="T188" t="e">
        <f t="shared" ca="1" si="14"/>
        <v>#REF!</v>
      </c>
      <c r="U188" t="e" cm="1">
        <f t="array" aca="1" ref="U188" ca="1">IF(A188="","",IF(E188="","",IF(B188="safety",INDIRECT("template!"&amp;"P"&amp;A188),Q188+R188)))</f>
        <v>#REF!</v>
      </c>
      <c r="V188" t="e" cm="1">
        <f t="array" aca="1" ref="V188" ca="1">IF(A188="","",IF(E188="","",IF(B188="safety",INDIRECT("template!"&amp;"P"&amp;A188),S188+T188)))</f>
        <v>#REF!</v>
      </c>
      <c r="W188" t="e">
        <f ca="1">IF(A188="","",IF(E188="","",#REF!))</f>
        <v>#REF!</v>
      </c>
      <c r="X188" t="e">
        <f ca="1">IF(A188="","",IF(E188="","",#REF!))</f>
        <v>#REF!</v>
      </c>
      <c r="Y188" s="39" t="e">
        <f ca="1">IF(A188="","",IF(E188="","",#REF!))</f>
        <v>#REF!</v>
      </c>
      <c r="Z188" t="e">
        <f ca="1">IF(A188="","",IF(E188="","",#REF!))</f>
        <v>#REF!</v>
      </c>
      <c r="AA188" t="e">
        <f ca="1">IF(A188="","",IF(E188="","",#REF!))</f>
        <v>#REF!</v>
      </c>
      <c r="AB188" t="e">
        <f ca="1">IF(A188="","",IF(E188="","",#REF!))</f>
        <v>#REF!</v>
      </c>
      <c r="AC188" t="e">
        <f t="shared" ca="1" si="15"/>
        <v>#REF!</v>
      </c>
    </row>
    <row r="189" spans="1:29" x14ac:dyDescent="0.35">
      <c r="A189" t="e" cm="1">
        <f t="array" aca="1" ref="A189" ca="1">IF(A188="","",IF(OR(AND(A188+1&gt;=$AF$1,A188+1&lt;=$AF$2),AND(A188+1&gt;=$AF$6,A188+1&lt;=$AF$7),AND(A188+1&gt;=$AF$3,A188+1&lt;=$AF$4),AND(A188+1&gt;=$AF$8,A188+1&lt;=$AF$9),A188+1=$AF$5),IF(NOT(ISBLANK(INDIRECT("template!"&amp;"P"&amp;A188+1))),A188+1,IF(NOT(ISBLANK(INDIRECT("template!"&amp;"P"&amp;A188+2))),A188+2,A188+3)),IF(A188=$AF$2,$AF$3,IF(A188=$AF$4,$AF$5,IF(A188=$AF$5,$AF$6,IF(A188=$AF$7,$AF$8,""))))))</f>
        <v>#REF!</v>
      </c>
      <c r="B189" t="e">
        <f t="shared" ca="1" si="0"/>
        <v>#REF!</v>
      </c>
      <c r="C189" t="e" cm="1">
        <f t="array" aca="1" ref="C189" ca="1">IF(A189="","",IF(B189="safety","safety costs",INDIRECT("template!"&amp;"B"&amp;A189)))</f>
        <v>#REF!</v>
      </c>
      <c r="D189" t="e" cm="1">
        <f t="array" aca="1" ref="D189" ca="1">IF(OR(A189="",B189="safety"),"",INDIRECT("template!"&amp;"C"&amp;A189))</f>
        <v>#REF!</v>
      </c>
      <c r="E189" t="e" cm="1">
        <f t="array" aca="1" ref="E189" ca="1">IF(A189="","",IF(OR(A189=A188+1,A189=A188+2),E188,INDIRECT("template!"&amp;"D"&amp;A189-2)))</f>
        <v>#REF!</v>
      </c>
      <c r="F189" t="e" cm="1">
        <f t="array" aca="1" ref="F189" ca="1">IF(OR(A189="",B189="safety"),"",IF(ISBLANK(IF(A189=A188+1,F188,INDIRECT("template!"&amp;"D"&amp;A189-1))),"",IF(A189=A188+1,F188,INDIRECT("template!"&amp;"D"&amp;A189-1))))</f>
        <v>#REF!</v>
      </c>
      <c r="G189" t="e" cm="1">
        <f t="array" aca="1" ref="G189" ca="1">IF(OR(A189="",B189="safety"),"",IF(ISBLANK(INDIRECT("template!"&amp;"D"&amp;A189)),"",INDIRECT("template!"&amp;"D"&amp;A189)))</f>
        <v>#REF!</v>
      </c>
      <c r="H189" t="e" cm="1">
        <f t="array" aca="1" ref="H189" ca="1">IF(OR(A189="",B189="safety"),"",IF(ISBLANK(INDIRECT("template!"&amp;"E"&amp;A189)),"",INDIRECT("template!"&amp;"E"&amp;A189)))</f>
        <v>#REF!</v>
      </c>
      <c r="I189" t="e" cm="1">
        <f t="array" aca="1" ref="I189" ca="1">IF(OR(A189="",B189="safety"),"",IF(ISBLANK(INDIRECT("template!"&amp;"F"&amp;A189)),"",INDIRECT("template!"&amp;"F"&amp;A189)))</f>
        <v>#REF!</v>
      </c>
      <c r="J189" t="e" cm="1">
        <f t="array" aca="1" ref="J189" ca="1">IF(OR(A189="",B189="safety"),"",IF(ISBLANK(INDIRECT("template!"&amp;"G"&amp;A189)),"",INDIRECT("template!"&amp;"G"&amp;A189)))</f>
        <v>#REF!</v>
      </c>
      <c r="K189" t="e" cm="1">
        <f t="array" aca="1" ref="K189" ca="1">IF(OR(A189="",B189="safety"),"",IF(ISBLANK(INDIRECT("template!"&amp;"H"&amp;A189)),"",INDIRECT("template!"&amp;"H"&amp;A189)))</f>
        <v>#REF!</v>
      </c>
      <c r="L189" t="e" cm="1">
        <f t="array" aca="1" ref="L189" ca="1">IF(OR(A189="",B189="safety"),"",INDIRECT("template!"&amp;"I"&amp;A189))</f>
        <v>#REF!</v>
      </c>
      <c r="M189" t="e" cm="1">
        <f t="array" aca="1" ref="M189" ca="1">IF(OR(A189="",B189="safety"),"",INDIRECT("template!"&amp;"J"&amp;A189))</f>
        <v>#REF!</v>
      </c>
      <c r="N189" t="e" cm="1">
        <f t="array" aca="1" ref="N189" ca="1">IF(OR(A189="",B189="safety"),"",IF(ISBLANK(INDIRECT("template!"&amp;"K"&amp;A189)),"",INDIRECT("template!"&amp;"K"&amp;A189)))</f>
        <v>#REF!</v>
      </c>
      <c r="O189" t="e" cm="1">
        <f t="array" aca="1" ref="O189" ca="1">IF(OR(A189="",B189="safety"),"",INDIRECT("template!"&amp;"L"&amp;A189))</f>
        <v>#REF!</v>
      </c>
      <c r="P189" t="e" cm="1">
        <f t="array" aca="1" ref="P189" ca="1">IF(OR(A189="",B189="safety"),"",INDIRECT("template!"&amp;"M"&amp;A189))</f>
        <v>#REF!</v>
      </c>
      <c r="Q189" t="e">
        <f t="shared" ca="1" si="11"/>
        <v>#REF!</v>
      </c>
      <c r="R189" t="e">
        <f t="shared" ca="1" si="12"/>
        <v>#REF!</v>
      </c>
      <c r="S189" t="e">
        <f t="shared" ca="1" si="13"/>
        <v>#REF!</v>
      </c>
      <c r="T189" t="e">
        <f t="shared" ca="1" si="14"/>
        <v>#REF!</v>
      </c>
      <c r="U189" t="e" cm="1">
        <f t="array" aca="1" ref="U189" ca="1">IF(A189="","",IF(E189="","",IF(B189="safety",INDIRECT("template!"&amp;"P"&amp;A189),Q189+R189)))</f>
        <v>#REF!</v>
      </c>
      <c r="V189" t="e" cm="1">
        <f t="array" aca="1" ref="V189" ca="1">IF(A189="","",IF(E189="","",IF(B189="safety",INDIRECT("template!"&amp;"P"&amp;A189),S189+T189)))</f>
        <v>#REF!</v>
      </c>
      <c r="W189" t="e">
        <f ca="1">IF(A189="","",IF(E189="","",#REF!))</f>
        <v>#REF!</v>
      </c>
      <c r="X189" t="e">
        <f ca="1">IF(A189="","",IF(E189="","",#REF!))</f>
        <v>#REF!</v>
      </c>
      <c r="Y189" s="39" t="e">
        <f ca="1">IF(A189="","",IF(E189="","",#REF!))</f>
        <v>#REF!</v>
      </c>
      <c r="Z189" t="e">
        <f ca="1">IF(A189="","",IF(E189="","",#REF!))</f>
        <v>#REF!</v>
      </c>
      <c r="AA189" t="e">
        <f ca="1">IF(A189="","",IF(E189="","",#REF!))</f>
        <v>#REF!</v>
      </c>
      <c r="AB189" t="e">
        <f ca="1">IF(A189="","",IF(E189="","",#REF!))</f>
        <v>#REF!</v>
      </c>
      <c r="AC189" t="e">
        <f t="shared" ca="1" si="15"/>
        <v>#REF!</v>
      </c>
    </row>
    <row r="190" spans="1:29" x14ac:dyDescent="0.35">
      <c r="A190" t="e" cm="1">
        <f t="array" aca="1" ref="A190" ca="1">IF(A189="","",IF(OR(AND(A189+1&gt;=$AF$1,A189+1&lt;=$AF$2),AND(A189+1&gt;=$AF$6,A189+1&lt;=$AF$7),AND(A189+1&gt;=$AF$3,A189+1&lt;=$AF$4),AND(A189+1&gt;=$AF$8,A189+1&lt;=$AF$9),A189+1=$AF$5),IF(NOT(ISBLANK(INDIRECT("template!"&amp;"P"&amp;A189+1))),A189+1,IF(NOT(ISBLANK(INDIRECT("template!"&amp;"P"&amp;A189+2))),A189+2,A189+3)),IF(A189=$AF$2,$AF$3,IF(A189=$AF$4,$AF$5,IF(A189=$AF$5,$AF$6,IF(A189=$AF$7,$AF$8,""))))))</f>
        <v>#REF!</v>
      </c>
      <c r="B190" t="e">
        <f t="shared" ca="1" si="0"/>
        <v>#REF!</v>
      </c>
      <c r="C190" t="e" cm="1">
        <f t="array" aca="1" ref="C190" ca="1">IF(A190="","",IF(B190="safety","safety costs",INDIRECT("template!"&amp;"B"&amp;A190)))</f>
        <v>#REF!</v>
      </c>
      <c r="D190" t="e" cm="1">
        <f t="array" aca="1" ref="D190" ca="1">IF(OR(A190="",B190="safety"),"",INDIRECT("template!"&amp;"C"&amp;A190))</f>
        <v>#REF!</v>
      </c>
      <c r="E190" t="e" cm="1">
        <f t="array" aca="1" ref="E190" ca="1">IF(A190="","",IF(OR(A190=A189+1,A190=A189+2),E189,INDIRECT("template!"&amp;"D"&amp;A190-2)))</f>
        <v>#REF!</v>
      </c>
      <c r="F190" t="e" cm="1">
        <f t="array" aca="1" ref="F190" ca="1">IF(OR(A190="",B190="safety"),"",IF(ISBLANK(IF(A190=A189+1,F189,INDIRECT("template!"&amp;"D"&amp;A190-1))),"",IF(A190=A189+1,F189,INDIRECT("template!"&amp;"D"&amp;A190-1))))</f>
        <v>#REF!</v>
      </c>
      <c r="G190" t="e" cm="1">
        <f t="array" aca="1" ref="G190" ca="1">IF(OR(A190="",B190="safety"),"",IF(ISBLANK(INDIRECT("template!"&amp;"D"&amp;A190)),"",INDIRECT("template!"&amp;"D"&amp;A190)))</f>
        <v>#REF!</v>
      </c>
      <c r="H190" t="e" cm="1">
        <f t="array" aca="1" ref="H190" ca="1">IF(OR(A190="",B190="safety"),"",IF(ISBLANK(INDIRECT("template!"&amp;"E"&amp;A190)),"",INDIRECT("template!"&amp;"E"&amp;A190)))</f>
        <v>#REF!</v>
      </c>
      <c r="I190" t="e" cm="1">
        <f t="array" aca="1" ref="I190" ca="1">IF(OR(A190="",B190="safety"),"",IF(ISBLANK(INDIRECT("template!"&amp;"F"&amp;A190)),"",INDIRECT("template!"&amp;"F"&amp;A190)))</f>
        <v>#REF!</v>
      </c>
      <c r="J190" t="e" cm="1">
        <f t="array" aca="1" ref="J190" ca="1">IF(OR(A190="",B190="safety"),"",IF(ISBLANK(INDIRECT("template!"&amp;"G"&amp;A190)),"",INDIRECT("template!"&amp;"G"&amp;A190)))</f>
        <v>#REF!</v>
      </c>
      <c r="K190" t="e" cm="1">
        <f t="array" aca="1" ref="K190" ca="1">IF(OR(A190="",B190="safety"),"",IF(ISBLANK(INDIRECT("template!"&amp;"H"&amp;A190)),"",INDIRECT("template!"&amp;"H"&amp;A190)))</f>
        <v>#REF!</v>
      </c>
      <c r="L190" t="e" cm="1">
        <f t="array" aca="1" ref="L190" ca="1">IF(OR(A190="",B190="safety"),"",INDIRECT("template!"&amp;"I"&amp;A190))</f>
        <v>#REF!</v>
      </c>
      <c r="M190" t="e" cm="1">
        <f t="array" aca="1" ref="M190" ca="1">IF(OR(A190="",B190="safety"),"",INDIRECT("template!"&amp;"J"&amp;A190))</f>
        <v>#REF!</v>
      </c>
      <c r="N190" t="e" cm="1">
        <f t="array" aca="1" ref="N190" ca="1">IF(OR(A190="",B190="safety"),"",IF(ISBLANK(INDIRECT("template!"&amp;"K"&amp;A190)),"",INDIRECT("template!"&amp;"K"&amp;A190)))</f>
        <v>#REF!</v>
      </c>
      <c r="O190" t="e" cm="1">
        <f t="array" aca="1" ref="O190" ca="1">IF(OR(A190="",B190="safety"),"",INDIRECT("template!"&amp;"L"&amp;A190))</f>
        <v>#REF!</v>
      </c>
      <c r="P190" t="e" cm="1">
        <f t="array" aca="1" ref="P190" ca="1">IF(OR(A190="",B190="safety"),"",INDIRECT("template!"&amp;"M"&amp;A190))</f>
        <v>#REF!</v>
      </c>
      <c r="Q190" t="e">
        <f t="shared" ca="1" si="11"/>
        <v>#REF!</v>
      </c>
      <c r="R190" t="e">
        <f t="shared" ca="1" si="12"/>
        <v>#REF!</v>
      </c>
      <c r="S190" t="e">
        <f t="shared" ca="1" si="13"/>
        <v>#REF!</v>
      </c>
      <c r="T190" t="e">
        <f t="shared" ca="1" si="14"/>
        <v>#REF!</v>
      </c>
      <c r="U190" t="e" cm="1">
        <f t="array" aca="1" ref="U190" ca="1">IF(A190="","",IF(E190="","",IF(B190="safety",INDIRECT("template!"&amp;"P"&amp;A190),Q190+R190)))</f>
        <v>#REF!</v>
      </c>
      <c r="V190" t="e" cm="1">
        <f t="array" aca="1" ref="V190" ca="1">IF(A190="","",IF(E190="","",IF(B190="safety",INDIRECT("template!"&amp;"P"&amp;A190),S190+T190)))</f>
        <v>#REF!</v>
      </c>
      <c r="W190" t="e">
        <f ca="1">IF(A190="","",IF(E190="","",#REF!))</f>
        <v>#REF!</v>
      </c>
      <c r="X190" t="e">
        <f ca="1">IF(A190="","",IF(E190="","",#REF!))</f>
        <v>#REF!</v>
      </c>
      <c r="Y190" s="39" t="e">
        <f ca="1">IF(A190="","",IF(E190="","",#REF!))</f>
        <v>#REF!</v>
      </c>
      <c r="Z190" t="e">
        <f ca="1">IF(A190="","",IF(E190="","",#REF!))</f>
        <v>#REF!</v>
      </c>
      <c r="AA190" t="e">
        <f ca="1">IF(A190="","",IF(E190="","",#REF!))</f>
        <v>#REF!</v>
      </c>
      <c r="AB190" t="e">
        <f ca="1">IF(A190="","",IF(E190="","",#REF!))</f>
        <v>#REF!</v>
      </c>
      <c r="AC190" t="e">
        <f t="shared" ca="1" si="15"/>
        <v>#REF!</v>
      </c>
    </row>
    <row r="191" spans="1:29" x14ac:dyDescent="0.35">
      <c r="A191" t="e" cm="1">
        <f t="array" aca="1" ref="A191" ca="1">IF(A190="","",IF(OR(AND(A190+1&gt;=$AF$1,A190+1&lt;=$AF$2),AND(A190+1&gt;=$AF$6,A190+1&lt;=$AF$7),AND(A190+1&gt;=$AF$3,A190+1&lt;=$AF$4),AND(A190+1&gt;=$AF$8,A190+1&lt;=$AF$9),A190+1=$AF$5),IF(NOT(ISBLANK(INDIRECT("template!"&amp;"P"&amp;A190+1))),A190+1,IF(NOT(ISBLANK(INDIRECT("template!"&amp;"P"&amp;A190+2))),A190+2,A190+3)),IF(A190=$AF$2,$AF$3,IF(A190=$AF$4,$AF$5,IF(A190=$AF$5,$AF$6,IF(A190=$AF$7,$AF$8,""))))))</f>
        <v>#REF!</v>
      </c>
      <c r="B191" t="e">
        <f t="shared" ca="1" si="0"/>
        <v>#REF!</v>
      </c>
      <c r="C191" t="e" cm="1">
        <f t="array" aca="1" ref="C191" ca="1">IF(A191="","",IF(B191="safety","safety costs",INDIRECT("template!"&amp;"B"&amp;A191)))</f>
        <v>#REF!</v>
      </c>
      <c r="D191" t="e" cm="1">
        <f t="array" aca="1" ref="D191" ca="1">IF(OR(A191="",B191="safety"),"",INDIRECT("template!"&amp;"C"&amp;A191))</f>
        <v>#REF!</v>
      </c>
      <c r="E191" t="e" cm="1">
        <f t="array" aca="1" ref="E191" ca="1">IF(A191="","",IF(OR(A191=A190+1,A191=A190+2),E190,INDIRECT("template!"&amp;"D"&amp;A191-2)))</f>
        <v>#REF!</v>
      </c>
      <c r="F191" t="e" cm="1">
        <f t="array" aca="1" ref="F191" ca="1">IF(OR(A191="",B191="safety"),"",IF(ISBLANK(IF(A191=A190+1,F190,INDIRECT("template!"&amp;"D"&amp;A191-1))),"",IF(A191=A190+1,F190,INDIRECT("template!"&amp;"D"&amp;A191-1))))</f>
        <v>#REF!</v>
      </c>
      <c r="G191" t="e" cm="1">
        <f t="array" aca="1" ref="G191" ca="1">IF(OR(A191="",B191="safety"),"",IF(ISBLANK(INDIRECT("template!"&amp;"D"&amp;A191)),"",INDIRECT("template!"&amp;"D"&amp;A191)))</f>
        <v>#REF!</v>
      </c>
      <c r="H191" t="e" cm="1">
        <f t="array" aca="1" ref="H191" ca="1">IF(OR(A191="",B191="safety"),"",IF(ISBLANK(INDIRECT("template!"&amp;"E"&amp;A191)),"",INDIRECT("template!"&amp;"E"&amp;A191)))</f>
        <v>#REF!</v>
      </c>
      <c r="I191" t="e" cm="1">
        <f t="array" aca="1" ref="I191" ca="1">IF(OR(A191="",B191="safety"),"",IF(ISBLANK(INDIRECT("template!"&amp;"F"&amp;A191)),"",INDIRECT("template!"&amp;"F"&amp;A191)))</f>
        <v>#REF!</v>
      </c>
      <c r="J191" t="e" cm="1">
        <f t="array" aca="1" ref="J191" ca="1">IF(OR(A191="",B191="safety"),"",IF(ISBLANK(INDIRECT("template!"&amp;"G"&amp;A191)),"",INDIRECT("template!"&amp;"G"&amp;A191)))</f>
        <v>#REF!</v>
      </c>
      <c r="K191" t="e" cm="1">
        <f t="array" aca="1" ref="K191" ca="1">IF(OR(A191="",B191="safety"),"",IF(ISBLANK(INDIRECT("template!"&amp;"H"&amp;A191)),"",INDIRECT("template!"&amp;"H"&amp;A191)))</f>
        <v>#REF!</v>
      </c>
      <c r="L191" t="e" cm="1">
        <f t="array" aca="1" ref="L191" ca="1">IF(OR(A191="",B191="safety"),"",INDIRECT("template!"&amp;"I"&amp;A191))</f>
        <v>#REF!</v>
      </c>
      <c r="M191" t="e" cm="1">
        <f t="array" aca="1" ref="M191" ca="1">IF(OR(A191="",B191="safety"),"",INDIRECT("template!"&amp;"J"&amp;A191))</f>
        <v>#REF!</v>
      </c>
      <c r="N191" t="e" cm="1">
        <f t="array" aca="1" ref="N191" ca="1">IF(OR(A191="",B191="safety"),"",IF(ISBLANK(INDIRECT("template!"&amp;"K"&amp;A191)),"",INDIRECT("template!"&amp;"K"&amp;A191)))</f>
        <v>#REF!</v>
      </c>
      <c r="O191" t="e" cm="1">
        <f t="array" aca="1" ref="O191" ca="1">IF(OR(A191="",B191="safety"),"",INDIRECT("template!"&amp;"L"&amp;A191))</f>
        <v>#REF!</v>
      </c>
      <c r="P191" t="e" cm="1">
        <f t="array" aca="1" ref="P191" ca="1">IF(OR(A191="",B191="safety"),"",INDIRECT("template!"&amp;"M"&amp;A191))</f>
        <v>#REF!</v>
      </c>
      <c r="Q191" t="e">
        <f t="shared" ca="1" si="11"/>
        <v>#REF!</v>
      </c>
      <c r="R191" t="e">
        <f t="shared" ca="1" si="12"/>
        <v>#REF!</v>
      </c>
      <c r="S191" t="e">
        <f t="shared" ca="1" si="13"/>
        <v>#REF!</v>
      </c>
      <c r="T191" t="e">
        <f t="shared" ca="1" si="14"/>
        <v>#REF!</v>
      </c>
      <c r="U191" t="e" cm="1">
        <f t="array" aca="1" ref="U191" ca="1">IF(A191="","",IF(E191="","",IF(B191="safety",INDIRECT("template!"&amp;"P"&amp;A191),Q191+R191)))</f>
        <v>#REF!</v>
      </c>
      <c r="V191" t="e" cm="1">
        <f t="array" aca="1" ref="V191" ca="1">IF(A191="","",IF(E191="","",IF(B191="safety",INDIRECT("template!"&amp;"P"&amp;A191),S191+T191)))</f>
        <v>#REF!</v>
      </c>
      <c r="W191" t="e">
        <f ca="1">IF(A191="","",IF(E191="","",#REF!))</f>
        <v>#REF!</v>
      </c>
      <c r="X191" t="e">
        <f ca="1">IF(A191="","",IF(E191="","",#REF!))</f>
        <v>#REF!</v>
      </c>
      <c r="Y191" s="39" t="e">
        <f ca="1">IF(A191="","",IF(E191="","",#REF!))</f>
        <v>#REF!</v>
      </c>
      <c r="Z191" t="e">
        <f ca="1">IF(A191="","",IF(E191="","",#REF!))</f>
        <v>#REF!</v>
      </c>
      <c r="AA191" t="e">
        <f ca="1">IF(A191="","",IF(E191="","",#REF!))</f>
        <v>#REF!</v>
      </c>
      <c r="AB191" t="e">
        <f ca="1">IF(A191="","",IF(E191="","",#REF!))</f>
        <v>#REF!</v>
      </c>
      <c r="AC191" t="e">
        <f t="shared" ca="1" si="15"/>
        <v>#REF!</v>
      </c>
    </row>
    <row r="192" spans="1:29" x14ac:dyDescent="0.35">
      <c r="A192" t="e" cm="1">
        <f t="array" aca="1" ref="A192" ca="1">IF(A191="","",IF(OR(AND(A191+1&gt;=$AF$1,A191+1&lt;=$AF$2),AND(A191+1&gt;=$AF$6,A191+1&lt;=$AF$7),AND(A191+1&gt;=$AF$3,A191+1&lt;=$AF$4),AND(A191+1&gt;=$AF$8,A191+1&lt;=$AF$9),A191+1=$AF$5),IF(NOT(ISBLANK(INDIRECT("template!"&amp;"P"&amp;A191+1))),A191+1,IF(NOT(ISBLANK(INDIRECT("template!"&amp;"P"&amp;A191+2))),A191+2,A191+3)),IF(A191=$AF$2,$AF$3,IF(A191=$AF$4,$AF$5,IF(A191=$AF$5,$AF$6,IF(A191=$AF$7,$AF$8,""))))))</f>
        <v>#REF!</v>
      </c>
      <c r="B192" t="e">
        <f t="shared" ca="1" si="0"/>
        <v>#REF!</v>
      </c>
      <c r="C192" t="e" cm="1">
        <f t="array" aca="1" ref="C192" ca="1">IF(A192="","",IF(B192="safety","safety costs",INDIRECT("template!"&amp;"B"&amp;A192)))</f>
        <v>#REF!</v>
      </c>
      <c r="D192" t="e" cm="1">
        <f t="array" aca="1" ref="D192" ca="1">IF(OR(A192="",B192="safety"),"",INDIRECT("template!"&amp;"C"&amp;A192))</f>
        <v>#REF!</v>
      </c>
      <c r="E192" t="e" cm="1">
        <f t="array" aca="1" ref="E192" ca="1">IF(A192="","",IF(OR(A192=A191+1,A192=A191+2),E191,INDIRECT("template!"&amp;"D"&amp;A192-2)))</f>
        <v>#REF!</v>
      </c>
      <c r="F192" t="e" cm="1">
        <f t="array" aca="1" ref="F192" ca="1">IF(OR(A192="",B192="safety"),"",IF(ISBLANK(IF(A192=A191+1,F191,INDIRECT("template!"&amp;"D"&amp;A192-1))),"",IF(A192=A191+1,F191,INDIRECT("template!"&amp;"D"&amp;A192-1))))</f>
        <v>#REF!</v>
      </c>
      <c r="G192" t="e" cm="1">
        <f t="array" aca="1" ref="G192" ca="1">IF(OR(A192="",B192="safety"),"",IF(ISBLANK(INDIRECT("template!"&amp;"D"&amp;A192)),"",INDIRECT("template!"&amp;"D"&amp;A192)))</f>
        <v>#REF!</v>
      </c>
      <c r="H192" t="e" cm="1">
        <f t="array" aca="1" ref="H192" ca="1">IF(OR(A192="",B192="safety"),"",IF(ISBLANK(INDIRECT("template!"&amp;"E"&amp;A192)),"",INDIRECT("template!"&amp;"E"&amp;A192)))</f>
        <v>#REF!</v>
      </c>
      <c r="I192" t="e" cm="1">
        <f t="array" aca="1" ref="I192" ca="1">IF(OR(A192="",B192="safety"),"",IF(ISBLANK(INDIRECT("template!"&amp;"F"&amp;A192)),"",INDIRECT("template!"&amp;"F"&amp;A192)))</f>
        <v>#REF!</v>
      </c>
      <c r="J192" t="e" cm="1">
        <f t="array" aca="1" ref="J192" ca="1">IF(OR(A192="",B192="safety"),"",IF(ISBLANK(INDIRECT("template!"&amp;"G"&amp;A192)),"",INDIRECT("template!"&amp;"G"&amp;A192)))</f>
        <v>#REF!</v>
      </c>
      <c r="K192" t="e" cm="1">
        <f t="array" aca="1" ref="K192" ca="1">IF(OR(A192="",B192="safety"),"",IF(ISBLANK(INDIRECT("template!"&amp;"H"&amp;A192)),"",INDIRECT("template!"&amp;"H"&amp;A192)))</f>
        <v>#REF!</v>
      </c>
      <c r="L192" t="e" cm="1">
        <f t="array" aca="1" ref="L192" ca="1">IF(OR(A192="",B192="safety"),"",INDIRECT("template!"&amp;"I"&amp;A192))</f>
        <v>#REF!</v>
      </c>
      <c r="M192" t="e" cm="1">
        <f t="array" aca="1" ref="M192" ca="1">IF(OR(A192="",B192="safety"),"",INDIRECT("template!"&amp;"J"&amp;A192))</f>
        <v>#REF!</v>
      </c>
      <c r="N192" t="e" cm="1">
        <f t="array" aca="1" ref="N192" ca="1">IF(OR(A192="",B192="safety"),"",IF(ISBLANK(INDIRECT("template!"&amp;"K"&amp;A192)),"",INDIRECT("template!"&amp;"K"&amp;A192)))</f>
        <v>#REF!</v>
      </c>
      <c r="O192" t="e" cm="1">
        <f t="array" aca="1" ref="O192" ca="1">IF(OR(A192="",B192="safety"),"",INDIRECT("template!"&amp;"L"&amp;A192))</f>
        <v>#REF!</v>
      </c>
      <c r="P192" t="e" cm="1">
        <f t="array" aca="1" ref="P192" ca="1">IF(OR(A192="",B192="safety"),"",INDIRECT("template!"&amp;"M"&amp;A192))</f>
        <v>#REF!</v>
      </c>
      <c r="Q192" t="e">
        <f t="shared" ca="1" si="11"/>
        <v>#REF!</v>
      </c>
      <c r="R192" t="e">
        <f t="shared" ca="1" si="12"/>
        <v>#REF!</v>
      </c>
      <c r="S192" t="e">
        <f t="shared" ca="1" si="13"/>
        <v>#REF!</v>
      </c>
      <c r="T192" t="e">
        <f t="shared" ca="1" si="14"/>
        <v>#REF!</v>
      </c>
      <c r="U192" t="e" cm="1">
        <f t="array" aca="1" ref="U192" ca="1">IF(A192="","",IF(E192="","",IF(B192="safety",INDIRECT("template!"&amp;"P"&amp;A192),Q192+R192)))</f>
        <v>#REF!</v>
      </c>
      <c r="V192" t="e" cm="1">
        <f t="array" aca="1" ref="V192" ca="1">IF(A192="","",IF(E192="","",IF(B192="safety",INDIRECT("template!"&amp;"P"&amp;A192),S192+T192)))</f>
        <v>#REF!</v>
      </c>
      <c r="W192" t="e">
        <f ca="1">IF(A192="","",IF(E192="","",#REF!))</f>
        <v>#REF!</v>
      </c>
      <c r="X192" t="e">
        <f ca="1">IF(A192="","",IF(E192="","",#REF!))</f>
        <v>#REF!</v>
      </c>
      <c r="Y192" s="39" t="e">
        <f ca="1">IF(A192="","",IF(E192="","",#REF!))</f>
        <v>#REF!</v>
      </c>
      <c r="Z192" t="e">
        <f ca="1">IF(A192="","",IF(E192="","",#REF!))</f>
        <v>#REF!</v>
      </c>
      <c r="AA192" t="e">
        <f ca="1">IF(A192="","",IF(E192="","",#REF!))</f>
        <v>#REF!</v>
      </c>
      <c r="AB192" t="e">
        <f ca="1">IF(A192="","",IF(E192="","",#REF!))</f>
        <v>#REF!</v>
      </c>
      <c r="AC192" t="e">
        <f t="shared" ca="1" si="15"/>
        <v>#REF!</v>
      </c>
    </row>
    <row r="193" spans="1:29" x14ac:dyDescent="0.35">
      <c r="A193" t="e" cm="1">
        <f t="array" aca="1" ref="A193" ca="1">IF(A192="","",IF(OR(AND(A192+1&gt;=$AF$1,A192+1&lt;=$AF$2),AND(A192+1&gt;=$AF$6,A192+1&lt;=$AF$7),AND(A192+1&gt;=$AF$3,A192+1&lt;=$AF$4),AND(A192+1&gt;=$AF$8,A192+1&lt;=$AF$9),A192+1=$AF$5),IF(NOT(ISBLANK(INDIRECT("template!"&amp;"P"&amp;A192+1))),A192+1,IF(NOT(ISBLANK(INDIRECT("template!"&amp;"P"&amp;A192+2))),A192+2,A192+3)),IF(A192=$AF$2,$AF$3,IF(A192=$AF$4,$AF$5,IF(A192=$AF$5,$AF$6,IF(A192=$AF$7,$AF$8,""))))))</f>
        <v>#REF!</v>
      </c>
      <c r="B193" t="e">
        <f t="shared" ca="1" si="0"/>
        <v>#REF!</v>
      </c>
      <c r="C193" t="e" cm="1">
        <f t="array" aca="1" ref="C193" ca="1">IF(A193="","",IF(B193="safety","safety costs",INDIRECT("template!"&amp;"B"&amp;A193)))</f>
        <v>#REF!</v>
      </c>
      <c r="D193" t="e" cm="1">
        <f t="array" aca="1" ref="D193" ca="1">IF(OR(A193="",B193="safety"),"",INDIRECT("template!"&amp;"C"&amp;A193))</f>
        <v>#REF!</v>
      </c>
      <c r="E193" t="e" cm="1">
        <f t="array" aca="1" ref="E193" ca="1">IF(A193="","",IF(OR(A193=A192+1,A193=A192+2),E192,INDIRECT("template!"&amp;"D"&amp;A193-2)))</f>
        <v>#REF!</v>
      </c>
      <c r="F193" t="e" cm="1">
        <f t="array" aca="1" ref="F193" ca="1">IF(OR(A193="",B193="safety"),"",IF(ISBLANK(IF(A193=A192+1,F192,INDIRECT("template!"&amp;"D"&amp;A193-1))),"",IF(A193=A192+1,F192,INDIRECT("template!"&amp;"D"&amp;A193-1))))</f>
        <v>#REF!</v>
      </c>
      <c r="G193" t="e" cm="1">
        <f t="array" aca="1" ref="G193" ca="1">IF(OR(A193="",B193="safety"),"",IF(ISBLANK(INDIRECT("template!"&amp;"D"&amp;A193)),"",INDIRECT("template!"&amp;"D"&amp;A193)))</f>
        <v>#REF!</v>
      </c>
      <c r="H193" t="e" cm="1">
        <f t="array" aca="1" ref="H193" ca="1">IF(OR(A193="",B193="safety"),"",IF(ISBLANK(INDIRECT("template!"&amp;"E"&amp;A193)),"",INDIRECT("template!"&amp;"E"&amp;A193)))</f>
        <v>#REF!</v>
      </c>
      <c r="I193" t="e" cm="1">
        <f t="array" aca="1" ref="I193" ca="1">IF(OR(A193="",B193="safety"),"",IF(ISBLANK(INDIRECT("template!"&amp;"F"&amp;A193)),"",INDIRECT("template!"&amp;"F"&amp;A193)))</f>
        <v>#REF!</v>
      </c>
      <c r="J193" t="e" cm="1">
        <f t="array" aca="1" ref="J193" ca="1">IF(OR(A193="",B193="safety"),"",IF(ISBLANK(INDIRECT("template!"&amp;"G"&amp;A193)),"",INDIRECT("template!"&amp;"G"&amp;A193)))</f>
        <v>#REF!</v>
      </c>
      <c r="K193" t="e" cm="1">
        <f t="array" aca="1" ref="K193" ca="1">IF(OR(A193="",B193="safety"),"",IF(ISBLANK(INDIRECT("template!"&amp;"H"&amp;A193)),"",INDIRECT("template!"&amp;"H"&amp;A193)))</f>
        <v>#REF!</v>
      </c>
      <c r="L193" t="e" cm="1">
        <f t="array" aca="1" ref="L193" ca="1">IF(OR(A193="",B193="safety"),"",INDIRECT("template!"&amp;"I"&amp;A193))</f>
        <v>#REF!</v>
      </c>
      <c r="M193" t="e" cm="1">
        <f t="array" aca="1" ref="M193" ca="1">IF(OR(A193="",B193="safety"),"",INDIRECT("template!"&amp;"J"&amp;A193))</f>
        <v>#REF!</v>
      </c>
      <c r="N193" t="e" cm="1">
        <f t="array" aca="1" ref="N193" ca="1">IF(OR(A193="",B193="safety"),"",IF(ISBLANK(INDIRECT("template!"&amp;"K"&amp;A193)),"",INDIRECT("template!"&amp;"K"&amp;A193)))</f>
        <v>#REF!</v>
      </c>
      <c r="O193" t="e" cm="1">
        <f t="array" aca="1" ref="O193" ca="1">IF(OR(A193="",B193="safety"),"",INDIRECT("template!"&amp;"L"&amp;A193))</f>
        <v>#REF!</v>
      </c>
      <c r="P193" t="e" cm="1">
        <f t="array" aca="1" ref="P193" ca="1">IF(OR(A193="",B193="safety"),"",INDIRECT("template!"&amp;"M"&amp;A193))</f>
        <v>#REF!</v>
      </c>
      <c r="Q193" t="e">
        <f t="shared" ca="1" si="11"/>
        <v>#REF!</v>
      </c>
      <c r="R193" t="e">
        <f t="shared" ca="1" si="12"/>
        <v>#REF!</v>
      </c>
      <c r="S193" t="e">
        <f t="shared" ca="1" si="13"/>
        <v>#REF!</v>
      </c>
      <c r="T193" t="e">
        <f t="shared" ca="1" si="14"/>
        <v>#REF!</v>
      </c>
      <c r="U193" t="e" cm="1">
        <f t="array" aca="1" ref="U193" ca="1">IF(A193="","",IF(E193="","",IF(B193="safety",INDIRECT("template!"&amp;"P"&amp;A193),Q193+R193)))</f>
        <v>#REF!</v>
      </c>
      <c r="V193" t="e" cm="1">
        <f t="array" aca="1" ref="V193" ca="1">IF(A193="","",IF(E193="","",IF(B193="safety",INDIRECT("template!"&amp;"P"&amp;A193),S193+T193)))</f>
        <v>#REF!</v>
      </c>
      <c r="W193" t="e">
        <f ca="1">IF(A193="","",IF(E193="","",#REF!))</f>
        <v>#REF!</v>
      </c>
      <c r="X193" t="e">
        <f ca="1">IF(A193="","",IF(E193="","",#REF!))</f>
        <v>#REF!</v>
      </c>
      <c r="Y193" s="39" t="e">
        <f ca="1">IF(A193="","",IF(E193="","",#REF!))</f>
        <v>#REF!</v>
      </c>
      <c r="Z193" t="e">
        <f ca="1">IF(A193="","",IF(E193="","",#REF!))</f>
        <v>#REF!</v>
      </c>
      <c r="AA193" t="e">
        <f ca="1">IF(A193="","",IF(E193="","",#REF!))</f>
        <v>#REF!</v>
      </c>
      <c r="AB193" t="e">
        <f ca="1">IF(A193="","",IF(E193="","",#REF!))</f>
        <v>#REF!</v>
      </c>
      <c r="AC193" t="e">
        <f t="shared" ca="1" si="15"/>
        <v>#REF!</v>
      </c>
    </row>
    <row r="194" spans="1:29" x14ac:dyDescent="0.35">
      <c r="A194" t="e" cm="1">
        <f t="array" aca="1" ref="A194" ca="1">IF(A193="","",IF(OR(AND(A193+1&gt;=$AF$1,A193+1&lt;=$AF$2),AND(A193+1&gt;=$AF$6,A193+1&lt;=$AF$7),AND(A193+1&gt;=$AF$3,A193+1&lt;=$AF$4),AND(A193+1&gt;=$AF$8,A193+1&lt;=$AF$9),A193+1=$AF$5),IF(NOT(ISBLANK(INDIRECT("template!"&amp;"P"&amp;A193+1))),A193+1,IF(NOT(ISBLANK(INDIRECT("template!"&amp;"P"&amp;A193+2))),A193+2,A193+3)),IF(A193=$AF$2,$AF$3,IF(A193=$AF$4,$AF$5,IF(A193=$AF$5,$AF$6,IF(A193=$AF$7,$AF$8,""))))))</f>
        <v>#REF!</v>
      </c>
      <c r="B194" t="e">
        <f t="shared" ca="1" si="0"/>
        <v>#REF!</v>
      </c>
      <c r="C194" t="e" cm="1">
        <f t="array" aca="1" ref="C194" ca="1">IF(A194="","",IF(B194="safety","safety costs",INDIRECT("template!"&amp;"B"&amp;A194)))</f>
        <v>#REF!</v>
      </c>
      <c r="D194" t="e" cm="1">
        <f t="array" aca="1" ref="D194" ca="1">IF(OR(A194="",B194="safety"),"",INDIRECT("template!"&amp;"C"&amp;A194))</f>
        <v>#REF!</v>
      </c>
      <c r="E194" t="e" cm="1">
        <f t="array" aca="1" ref="E194" ca="1">IF(A194="","",IF(OR(A194=A193+1,A194=A193+2),E193,INDIRECT("template!"&amp;"D"&amp;A194-2)))</f>
        <v>#REF!</v>
      </c>
      <c r="F194" t="e" cm="1">
        <f t="array" aca="1" ref="F194" ca="1">IF(OR(A194="",B194="safety"),"",IF(ISBLANK(IF(A194=A193+1,F193,INDIRECT("template!"&amp;"D"&amp;A194-1))),"",IF(A194=A193+1,F193,INDIRECT("template!"&amp;"D"&amp;A194-1))))</f>
        <v>#REF!</v>
      </c>
      <c r="G194" t="e" cm="1">
        <f t="array" aca="1" ref="G194" ca="1">IF(OR(A194="",B194="safety"),"",IF(ISBLANK(INDIRECT("template!"&amp;"D"&amp;A194)),"",INDIRECT("template!"&amp;"D"&amp;A194)))</f>
        <v>#REF!</v>
      </c>
      <c r="H194" t="e" cm="1">
        <f t="array" aca="1" ref="H194" ca="1">IF(OR(A194="",B194="safety"),"",IF(ISBLANK(INDIRECT("template!"&amp;"E"&amp;A194)),"",INDIRECT("template!"&amp;"E"&amp;A194)))</f>
        <v>#REF!</v>
      </c>
      <c r="I194" t="e" cm="1">
        <f t="array" aca="1" ref="I194" ca="1">IF(OR(A194="",B194="safety"),"",IF(ISBLANK(INDIRECT("template!"&amp;"F"&amp;A194)),"",INDIRECT("template!"&amp;"F"&amp;A194)))</f>
        <v>#REF!</v>
      </c>
      <c r="J194" t="e" cm="1">
        <f t="array" aca="1" ref="J194" ca="1">IF(OR(A194="",B194="safety"),"",IF(ISBLANK(INDIRECT("template!"&amp;"G"&amp;A194)),"",INDIRECT("template!"&amp;"G"&amp;A194)))</f>
        <v>#REF!</v>
      </c>
      <c r="K194" t="e" cm="1">
        <f t="array" aca="1" ref="K194" ca="1">IF(OR(A194="",B194="safety"),"",IF(ISBLANK(INDIRECT("template!"&amp;"H"&amp;A194)),"",INDIRECT("template!"&amp;"H"&amp;A194)))</f>
        <v>#REF!</v>
      </c>
      <c r="L194" t="e" cm="1">
        <f t="array" aca="1" ref="L194" ca="1">IF(OR(A194="",B194="safety"),"",INDIRECT("template!"&amp;"I"&amp;A194))</f>
        <v>#REF!</v>
      </c>
      <c r="M194" t="e" cm="1">
        <f t="array" aca="1" ref="M194" ca="1">IF(OR(A194="",B194="safety"),"",INDIRECT("template!"&amp;"J"&amp;A194))</f>
        <v>#REF!</v>
      </c>
      <c r="N194" t="e" cm="1">
        <f t="array" aca="1" ref="N194" ca="1">IF(OR(A194="",B194="safety"),"",IF(ISBLANK(INDIRECT("template!"&amp;"K"&amp;A194)),"",INDIRECT("template!"&amp;"K"&amp;A194)))</f>
        <v>#REF!</v>
      </c>
      <c r="O194" t="e" cm="1">
        <f t="array" aca="1" ref="O194" ca="1">IF(OR(A194="",B194="safety"),"",INDIRECT("template!"&amp;"L"&amp;A194))</f>
        <v>#REF!</v>
      </c>
      <c r="P194" t="e" cm="1">
        <f t="array" aca="1" ref="P194" ca="1">IF(OR(A194="",B194="safety"),"",INDIRECT("template!"&amp;"M"&amp;A194))</f>
        <v>#REF!</v>
      </c>
      <c r="Q194" t="e">
        <f t="shared" ca="1" si="11"/>
        <v>#REF!</v>
      </c>
      <c r="R194" t="e">
        <f t="shared" ca="1" si="12"/>
        <v>#REF!</v>
      </c>
      <c r="S194" t="e">
        <f t="shared" ca="1" si="13"/>
        <v>#REF!</v>
      </c>
      <c r="T194" t="e">
        <f t="shared" ca="1" si="14"/>
        <v>#REF!</v>
      </c>
      <c r="U194" t="e" cm="1">
        <f t="array" aca="1" ref="U194" ca="1">IF(A194="","",IF(E194="","",IF(B194="safety",INDIRECT("template!"&amp;"P"&amp;A194),Q194+R194)))</f>
        <v>#REF!</v>
      </c>
      <c r="V194" t="e" cm="1">
        <f t="array" aca="1" ref="V194" ca="1">IF(A194="","",IF(E194="","",IF(B194="safety",INDIRECT("template!"&amp;"P"&amp;A194),S194+T194)))</f>
        <v>#REF!</v>
      </c>
      <c r="W194" t="e">
        <f ca="1">IF(A194="","",IF(E194="","",#REF!))</f>
        <v>#REF!</v>
      </c>
      <c r="X194" t="e">
        <f ca="1">IF(A194="","",IF(E194="","",#REF!))</f>
        <v>#REF!</v>
      </c>
      <c r="Y194" s="39" t="e">
        <f ca="1">IF(A194="","",IF(E194="","",#REF!))</f>
        <v>#REF!</v>
      </c>
      <c r="Z194" t="e">
        <f ca="1">IF(A194="","",IF(E194="","",#REF!))</f>
        <v>#REF!</v>
      </c>
      <c r="AA194" t="e">
        <f ca="1">IF(A194="","",IF(E194="","",#REF!))</f>
        <v>#REF!</v>
      </c>
      <c r="AB194" t="e">
        <f ca="1">IF(A194="","",IF(E194="","",#REF!))</f>
        <v>#REF!</v>
      </c>
      <c r="AC194" t="e">
        <f t="shared" ca="1" si="15"/>
        <v>#REF!</v>
      </c>
    </row>
    <row r="195" spans="1:29" x14ac:dyDescent="0.35">
      <c r="A195" t="e" cm="1">
        <f t="array" aca="1" ref="A195" ca="1">IF(A194="","",IF(OR(AND(A194+1&gt;=$AF$1,A194+1&lt;=$AF$2),AND(A194+1&gt;=$AF$6,A194+1&lt;=$AF$7),AND(A194+1&gt;=$AF$3,A194+1&lt;=$AF$4),AND(A194+1&gt;=$AF$8,A194+1&lt;=$AF$9),A194+1=$AF$5),IF(NOT(ISBLANK(INDIRECT("template!"&amp;"P"&amp;A194+1))),A194+1,IF(NOT(ISBLANK(INDIRECT("template!"&amp;"P"&amp;A194+2))),A194+2,A194+3)),IF(A194=$AF$2,$AF$3,IF(A194=$AF$4,$AF$5,IF(A194=$AF$5,$AF$6,IF(A194=$AF$7,$AF$8,""))))))</f>
        <v>#REF!</v>
      </c>
      <c r="B195" t="e">
        <f t="shared" ca="1" si="0"/>
        <v>#REF!</v>
      </c>
      <c r="C195" t="e" cm="1">
        <f t="array" aca="1" ref="C195" ca="1">IF(A195="","",IF(B195="safety","safety costs",INDIRECT("template!"&amp;"B"&amp;A195)))</f>
        <v>#REF!</v>
      </c>
      <c r="D195" t="e" cm="1">
        <f t="array" aca="1" ref="D195" ca="1">IF(OR(A195="",B195="safety"),"",INDIRECT("template!"&amp;"C"&amp;A195))</f>
        <v>#REF!</v>
      </c>
      <c r="E195" t="e" cm="1">
        <f t="array" aca="1" ref="E195" ca="1">IF(A195="","",IF(OR(A195=A194+1,A195=A194+2),E194,INDIRECT("template!"&amp;"D"&amp;A195-2)))</f>
        <v>#REF!</v>
      </c>
      <c r="F195" t="e" cm="1">
        <f t="array" aca="1" ref="F195" ca="1">IF(OR(A195="",B195="safety"),"",IF(ISBLANK(IF(A195=A194+1,F194,INDIRECT("template!"&amp;"D"&amp;A195-1))),"",IF(A195=A194+1,F194,INDIRECT("template!"&amp;"D"&amp;A195-1))))</f>
        <v>#REF!</v>
      </c>
      <c r="G195" t="e" cm="1">
        <f t="array" aca="1" ref="G195" ca="1">IF(OR(A195="",B195="safety"),"",IF(ISBLANK(INDIRECT("template!"&amp;"D"&amp;A195)),"",INDIRECT("template!"&amp;"D"&amp;A195)))</f>
        <v>#REF!</v>
      </c>
      <c r="H195" t="e" cm="1">
        <f t="array" aca="1" ref="H195" ca="1">IF(OR(A195="",B195="safety"),"",IF(ISBLANK(INDIRECT("template!"&amp;"E"&amp;A195)),"",INDIRECT("template!"&amp;"E"&amp;A195)))</f>
        <v>#REF!</v>
      </c>
      <c r="I195" t="e" cm="1">
        <f t="array" aca="1" ref="I195" ca="1">IF(OR(A195="",B195="safety"),"",IF(ISBLANK(INDIRECT("template!"&amp;"F"&amp;A195)),"",INDIRECT("template!"&amp;"F"&amp;A195)))</f>
        <v>#REF!</v>
      </c>
      <c r="J195" t="e" cm="1">
        <f t="array" aca="1" ref="J195" ca="1">IF(OR(A195="",B195="safety"),"",IF(ISBLANK(INDIRECT("template!"&amp;"G"&amp;A195)),"",INDIRECT("template!"&amp;"G"&amp;A195)))</f>
        <v>#REF!</v>
      </c>
      <c r="K195" t="e" cm="1">
        <f t="array" aca="1" ref="K195" ca="1">IF(OR(A195="",B195="safety"),"",IF(ISBLANK(INDIRECT("template!"&amp;"H"&amp;A195)),"",INDIRECT("template!"&amp;"H"&amp;A195)))</f>
        <v>#REF!</v>
      </c>
      <c r="L195" t="e" cm="1">
        <f t="array" aca="1" ref="L195" ca="1">IF(OR(A195="",B195="safety"),"",INDIRECT("template!"&amp;"I"&amp;A195))</f>
        <v>#REF!</v>
      </c>
      <c r="M195" t="e" cm="1">
        <f t="array" aca="1" ref="M195" ca="1">IF(OR(A195="",B195="safety"),"",INDIRECT("template!"&amp;"J"&amp;A195))</f>
        <v>#REF!</v>
      </c>
      <c r="N195" t="e" cm="1">
        <f t="array" aca="1" ref="N195" ca="1">IF(OR(A195="",B195="safety"),"",IF(ISBLANK(INDIRECT("template!"&amp;"K"&amp;A195)),"",INDIRECT("template!"&amp;"K"&amp;A195)))</f>
        <v>#REF!</v>
      </c>
      <c r="O195" t="e" cm="1">
        <f t="array" aca="1" ref="O195" ca="1">IF(OR(A195="",B195="safety"),"",INDIRECT("template!"&amp;"L"&amp;A195))</f>
        <v>#REF!</v>
      </c>
      <c r="P195" t="e" cm="1">
        <f t="array" aca="1" ref="P195" ca="1">IF(OR(A195="",B195="safety"),"",INDIRECT("template!"&amp;"M"&amp;A195))</f>
        <v>#REF!</v>
      </c>
      <c r="Q195" t="e">
        <f t="shared" ca="1" si="11"/>
        <v>#REF!</v>
      </c>
      <c r="R195" t="e">
        <f t="shared" ca="1" si="12"/>
        <v>#REF!</v>
      </c>
      <c r="S195" t="e">
        <f t="shared" ca="1" si="13"/>
        <v>#REF!</v>
      </c>
      <c r="T195" t="e">
        <f t="shared" ca="1" si="14"/>
        <v>#REF!</v>
      </c>
      <c r="U195" t="e" cm="1">
        <f t="array" aca="1" ref="U195" ca="1">IF(A195="","",IF(E195="","",IF(B195="safety",INDIRECT("template!"&amp;"P"&amp;A195),Q195+R195)))</f>
        <v>#REF!</v>
      </c>
      <c r="V195" t="e" cm="1">
        <f t="array" aca="1" ref="V195" ca="1">IF(A195="","",IF(E195="","",IF(B195="safety",INDIRECT("template!"&amp;"P"&amp;A195),S195+T195)))</f>
        <v>#REF!</v>
      </c>
      <c r="W195" t="e">
        <f ca="1">IF(A195="","",IF(E195="","",#REF!))</f>
        <v>#REF!</v>
      </c>
      <c r="X195" t="e">
        <f ca="1">IF(A195="","",IF(E195="","",#REF!))</f>
        <v>#REF!</v>
      </c>
      <c r="Y195" s="39" t="e">
        <f ca="1">IF(A195="","",IF(E195="","",#REF!))</f>
        <v>#REF!</v>
      </c>
      <c r="Z195" t="e">
        <f ca="1">IF(A195="","",IF(E195="","",#REF!))</f>
        <v>#REF!</v>
      </c>
      <c r="AA195" t="e">
        <f ca="1">IF(A195="","",IF(E195="","",#REF!))</f>
        <v>#REF!</v>
      </c>
      <c r="AB195" t="e">
        <f ca="1">IF(A195="","",IF(E195="","",#REF!))</f>
        <v>#REF!</v>
      </c>
      <c r="AC195" t="e">
        <f t="shared" ca="1" si="15"/>
        <v>#REF!</v>
      </c>
    </row>
    <row r="196" spans="1:29" x14ac:dyDescent="0.35">
      <c r="A196" t="e" cm="1">
        <f t="array" aca="1" ref="A196" ca="1">IF(A195="","",IF(OR(AND(A195+1&gt;=$AF$1,A195+1&lt;=$AF$2),AND(A195+1&gt;=$AF$6,A195+1&lt;=$AF$7),AND(A195+1&gt;=$AF$3,A195+1&lt;=$AF$4),AND(A195+1&gt;=$AF$8,A195+1&lt;=$AF$9),A195+1=$AF$5),IF(NOT(ISBLANK(INDIRECT("template!"&amp;"P"&amp;A195+1))),A195+1,IF(NOT(ISBLANK(INDIRECT("template!"&amp;"P"&amp;A195+2))),A195+2,A195+3)),IF(A195=$AF$2,$AF$3,IF(A195=$AF$4,$AF$5,IF(A195=$AF$5,$AF$6,IF(A195=$AF$7,$AF$8,""))))))</f>
        <v>#REF!</v>
      </c>
      <c r="B196" t="e">
        <f t="shared" ca="1" si="0"/>
        <v>#REF!</v>
      </c>
      <c r="C196" t="e" cm="1">
        <f t="array" aca="1" ref="C196" ca="1">IF(A196="","",IF(B196="safety","safety costs",INDIRECT("template!"&amp;"B"&amp;A196)))</f>
        <v>#REF!</v>
      </c>
      <c r="D196" t="e" cm="1">
        <f t="array" aca="1" ref="D196" ca="1">IF(OR(A196="",B196="safety"),"",INDIRECT("template!"&amp;"C"&amp;A196))</f>
        <v>#REF!</v>
      </c>
      <c r="E196" t="e" cm="1">
        <f t="array" aca="1" ref="E196" ca="1">IF(A196="","",IF(OR(A196=A195+1,A196=A195+2),E195,INDIRECT("template!"&amp;"D"&amp;A196-2)))</f>
        <v>#REF!</v>
      </c>
      <c r="F196" t="e" cm="1">
        <f t="array" aca="1" ref="F196" ca="1">IF(OR(A196="",B196="safety"),"",IF(ISBLANK(IF(A196=A195+1,F195,INDIRECT("template!"&amp;"D"&amp;A196-1))),"",IF(A196=A195+1,F195,INDIRECT("template!"&amp;"D"&amp;A196-1))))</f>
        <v>#REF!</v>
      </c>
      <c r="G196" t="e" cm="1">
        <f t="array" aca="1" ref="G196" ca="1">IF(OR(A196="",B196="safety"),"",IF(ISBLANK(INDIRECT("template!"&amp;"D"&amp;A196)),"",INDIRECT("template!"&amp;"D"&amp;A196)))</f>
        <v>#REF!</v>
      </c>
      <c r="H196" t="e" cm="1">
        <f t="array" aca="1" ref="H196" ca="1">IF(OR(A196="",B196="safety"),"",IF(ISBLANK(INDIRECT("template!"&amp;"E"&amp;A196)),"",INDIRECT("template!"&amp;"E"&amp;A196)))</f>
        <v>#REF!</v>
      </c>
      <c r="I196" t="e" cm="1">
        <f t="array" aca="1" ref="I196" ca="1">IF(OR(A196="",B196="safety"),"",IF(ISBLANK(INDIRECT("template!"&amp;"F"&amp;A196)),"",INDIRECT("template!"&amp;"F"&amp;A196)))</f>
        <v>#REF!</v>
      </c>
      <c r="J196" t="e" cm="1">
        <f t="array" aca="1" ref="J196" ca="1">IF(OR(A196="",B196="safety"),"",IF(ISBLANK(INDIRECT("template!"&amp;"G"&amp;A196)),"",INDIRECT("template!"&amp;"G"&amp;A196)))</f>
        <v>#REF!</v>
      </c>
      <c r="K196" t="e" cm="1">
        <f t="array" aca="1" ref="K196" ca="1">IF(OR(A196="",B196="safety"),"",IF(ISBLANK(INDIRECT("template!"&amp;"H"&amp;A196)),"",INDIRECT("template!"&amp;"H"&amp;A196)))</f>
        <v>#REF!</v>
      </c>
      <c r="L196" t="e" cm="1">
        <f t="array" aca="1" ref="L196" ca="1">IF(OR(A196="",B196="safety"),"",INDIRECT("template!"&amp;"I"&amp;A196))</f>
        <v>#REF!</v>
      </c>
      <c r="M196" t="e" cm="1">
        <f t="array" aca="1" ref="M196" ca="1">IF(OR(A196="",B196="safety"),"",INDIRECT("template!"&amp;"J"&amp;A196))</f>
        <v>#REF!</v>
      </c>
      <c r="N196" t="e" cm="1">
        <f t="array" aca="1" ref="N196" ca="1">IF(OR(A196="",B196="safety"),"",IF(ISBLANK(INDIRECT("template!"&amp;"K"&amp;A196)),"",INDIRECT("template!"&amp;"K"&amp;A196)))</f>
        <v>#REF!</v>
      </c>
      <c r="O196" t="e" cm="1">
        <f t="array" aca="1" ref="O196" ca="1">IF(OR(A196="",B196="safety"),"",INDIRECT("template!"&amp;"L"&amp;A196))</f>
        <v>#REF!</v>
      </c>
      <c r="P196" t="e" cm="1">
        <f t="array" aca="1" ref="P196" ca="1">IF(OR(A196="",B196="safety"),"",INDIRECT("template!"&amp;"M"&amp;A196))</f>
        <v>#REF!</v>
      </c>
      <c r="Q196" t="e">
        <f t="shared" ref="Q196:Q259" ca="1" si="16">IF(OR(A196="",B196="safety"),"",IF(E196="","",O196*L196))</f>
        <v>#REF!</v>
      </c>
      <c r="R196" t="e">
        <f t="shared" ref="R196:R259" ca="1" si="17">IF(OR(A196="",B196="safety"),"",IF(E196="","",P196*L196))</f>
        <v>#REF!</v>
      </c>
      <c r="S196" t="e">
        <f t="shared" ref="S196:S259" ca="1" si="18">IF(OR(A196="",B196="safety"),"",IF(E196="","",O196*M196))</f>
        <v>#REF!</v>
      </c>
      <c r="T196" t="e">
        <f t="shared" ref="T196:T259" ca="1" si="19">IF(OR(A196="",B196="safety"),"",IF(E196="","",M196*P196))</f>
        <v>#REF!</v>
      </c>
      <c r="U196" t="e" cm="1">
        <f t="array" aca="1" ref="U196" ca="1">IF(A196="","",IF(E196="","",IF(B196="safety",INDIRECT("template!"&amp;"P"&amp;A196),Q196+R196)))</f>
        <v>#REF!</v>
      </c>
      <c r="V196" t="e" cm="1">
        <f t="array" aca="1" ref="V196" ca="1">IF(A196="","",IF(E196="","",IF(B196="safety",INDIRECT("template!"&amp;"P"&amp;A196),S196+T196)))</f>
        <v>#REF!</v>
      </c>
      <c r="W196" t="e">
        <f ca="1">IF(A196="","",IF(E196="","",#REF!))</f>
        <v>#REF!</v>
      </c>
      <c r="X196" t="e">
        <f ca="1">IF(A196="","",IF(E196="","",#REF!))</f>
        <v>#REF!</v>
      </c>
      <c r="Y196" s="39" t="e">
        <f ca="1">IF(A196="","",IF(E196="","",#REF!))</f>
        <v>#REF!</v>
      </c>
      <c r="Z196" t="e">
        <f ca="1">IF(A196="","",IF(E196="","",#REF!))</f>
        <v>#REF!</v>
      </c>
      <c r="AA196" t="e">
        <f ca="1">IF(A196="","",IF(E196="","",#REF!))</f>
        <v>#REF!</v>
      </c>
      <c r="AB196" t="e">
        <f ca="1">IF(A196="","",IF(E196="","",#REF!))</f>
        <v>#REF!</v>
      </c>
      <c r="AC196" t="e">
        <f t="shared" ref="AC196:AC259" ca="1" si="20">IF(A196="","",IF(E196="","","WEEK "&amp;WEEKNUM(Y196)&amp;"_"&amp;YEAR(Y196)))</f>
        <v>#REF!</v>
      </c>
    </row>
    <row r="197" spans="1:29" x14ac:dyDescent="0.35">
      <c r="A197" t="e" cm="1">
        <f t="array" aca="1" ref="A197" ca="1">IF(A196="","",IF(OR(AND(A196+1&gt;=$AF$1,A196+1&lt;=$AF$2),AND(A196+1&gt;=$AF$6,A196+1&lt;=$AF$7),AND(A196+1&gt;=$AF$3,A196+1&lt;=$AF$4),AND(A196+1&gt;=$AF$8,A196+1&lt;=$AF$9),A196+1=$AF$5),IF(NOT(ISBLANK(INDIRECT("template!"&amp;"P"&amp;A196+1))),A196+1,IF(NOT(ISBLANK(INDIRECT("template!"&amp;"P"&amp;A196+2))),A196+2,A196+3)),IF(A196=$AF$2,$AF$3,IF(A196=$AF$4,$AF$5,IF(A196=$AF$5,$AF$6,IF(A196=$AF$7,$AF$8,""))))))</f>
        <v>#REF!</v>
      </c>
      <c r="B197" t="e">
        <f t="shared" ca="1" si="0"/>
        <v>#REF!</v>
      </c>
      <c r="C197" t="e" cm="1">
        <f t="array" aca="1" ref="C197" ca="1">IF(A197="","",IF(B197="safety","safety costs",INDIRECT("template!"&amp;"B"&amp;A197)))</f>
        <v>#REF!</v>
      </c>
      <c r="D197" t="e" cm="1">
        <f t="array" aca="1" ref="D197" ca="1">IF(OR(A197="",B197="safety"),"",INDIRECT("template!"&amp;"C"&amp;A197))</f>
        <v>#REF!</v>
      </c>
      <c r="E197" t="e" cm="1">
        <f t="array" aca="1" ref="E197" ca="1">IF(A197="","",IF(OR(A197=A196+1,A197=A196+2),E196,INDIRECT("template!"&amp;"D"&amp;A197-2)))</f>
        <v>#REF!</v>
      </c>
      <c r="F197" t="e" cm="1">
        <f t="array" aca="1" ref="F197" ca="1">IF(OR(A197="",B197="safety"),"",IF(ISBLANK(IF(A197=A196+1,F196,INDIRECT("template!"&amp;"D"&amp;A197-1))),"",IF(A197=A196+1,F196,INDIRECT("template!"&amp;"D"&amp;A197-1))))</f>
        <v>#REF!</v>
      </c>
      <c r="G197" t="e" cm="1">
        <f t="array" aca="1" ref="G197" ca="1">IF(OR(A197="",B197="safety"),"",IF(ISBLANK(INDIRECT("template!"&amp;"D"&amp;A197)),"",INDIRECT("template!"&amp;"D"&amp;A197)))</f>
        <v>#REF!</v>
      </c>
      <c r="H197" t="e" cm="1">
        <f t="array" aca="1" ref="H197" ca="1">IF(OR(A197="",B197="safety"),"",IF(ISBLANK(INDIRECT("template!"&amp;"E"&amp;A197)),"",INDIRECT("template!"&amp;"E"&amp;A197)))</f>
        <v>#REF!</v>
      </c>
      <c r="I197" t="e" cm="1">
        <f t="array" aca="1" ref="I197" ca="1">IF(OR(A197="",B197="safety"),"",IF(ISBLANK(INDIRECT("template!"&amp;"F"&amp;A197)),"",INDIRECT("template!"&amp;"F"&amp;A197)))</f>
        <v>#REF!</v>
      </c>
      <c r="J197" t="e" cm="1">
        <f t="array" aca="1" ref="J197" ca="1">IF(OR(A197="",B197="safety"),"",IF(ISBLANK(INDIRECT("template!"&amp;"G"&amp;A197)),"",INDIRECT("template!"&amp;"G"&amp;A197)))</f>
        <v>#REF!</v>
      </c>
      <c r="K197" t="e" cm="1">
        <f t="array" aca="1" ref="K197" ca="1">IF(OR(A197="",B197="safety"),"",IF(ISBLANK(INDIRECT("template!"&amp;"H"&amp;A197)),"",INDIRECT("template!"&amp;"H"&amp;A197)))</f>
        <v>#REF!</v>
      </c>
      <c r="L197" t="e" cm="1">
        <f t="array" aca="1" ref="L197" ca="1">IF(OR(A197="",B197="safety"),"",INDIRECT("template!"&amp;"I"&amp;A197))</f>
        <v>#REF!</v>
      </c>
      <c r="M197" t="e" cm="1">
        <f t="array" aca="1" ref="M197" ca="1">IF(OR(A197="",B197="safety"),"",INDIRECT("template!"&amp;"J"&amp;A197))</f>
        <v>#REF!</v>
      </c>
      <c r="N197" t="e" cm="1">
        <f t="array" aca="1" ref="N197" ca="1">IF(OR(A197="",B197="safety"),"",IF(ISBLANK(INDIRECT("template!"&amp;"K"&amp;A197)),"",INDIRECT("template!"&amp;"K"&amp;A197)))</f>
        <v>#REF!</v>
      </c>
      <c r="O197" t="e" cm="1">
        <f t="array" aca="1" ref="O197" ca="1">IF(OR(A197="",B197="safety"),"",INDIRECT("template!"&amp;"L"&amp;A197))</f>
        <v>#REF!</v>
      </c>
      <c r="P197" t="e" cm="1">
        <f t="array" aca="1" ref="P197" ca="1">IF(OR(A197="",B197="safety"),"",INDIRECT("template!"&amp;"M"&amp;A197))</f>
        <v>#REF!</v>
      </c>
      <c r="Q197" t="e">
        <f t="shared" ca="1" si="16"/>
        <v>#REF!</v>
      </c>
      <c r="R197" t="e">
        <f t="shared" ca="1" si="17"/>
        <v>#REF!</v>
      </c>
      <c r="S197" t="e">
        <f t="shared" ca="1" si="18"/>
        <v>#REF!</v>
      </c>
      <c r="T197" t="e">
        <f t="shared" ca="1" si="19"/>
        <v>#REF!</v>
      </c>
      <c r="U197" t="e" cm="1">
        <f t="array" aca="1" ref="U197" ca="1">IF(A197="","",IF(E197="","",IF(B197="safety",INDIRECT("template!"&amp;"P"&amp;A197),Q197+R197)))</f>
        <v>#REF!</v>
      </c>
      <c r="V197" t="e" cm="1">
        <f t="array" aca="1" ref="V197" ca="1">IF(A197="","",IF(E197="","",IF(B197="safety",INDIRECT("template!"&amp;"P"&amp;A197),S197+T197)))</f>
        <v>#REF!</v>
      </c>
      <c r="W197" t="e">
        <f ca="1">IF(A197="","",IF(E197="","",#REF!))</f>
        <v>#REF!</v>
      </c>
      <c r="X197" t="e">
        <f ca="1">IF(A197="","",IF(E197="","",#REF!))</f>
        <v>#REF!</v>
      </c>
      <c r="Y197" s="39" t="e">
        <f ca="1">IF(A197="","",IF(E197="","",#REF!))</f>
        <v>#REF!</v>
      </c>
      <c r="Z197" t="e">
        <f ca="1">IF(A197="","",IF(E197="","",#REF!))</f>
        <v>#REF!</v>
      </c>
      <c r="AA197" t="e">
        <f ca="1">IF(A197="","",IF(E197="","",#REF!))</f>
        <v>#REF!</v>
      </c>
      <c r="AB197" t="e">
        <f ca="1">IF(A197="","",IF(E197="","",#REF!))</f>
        <v>#REF!</v>
      </c>
      <c r="AC197" t="e">
        <f t="shared" ca="1" si="20"/>
        <v>#REF!</v>
      </c>
    </row>
    <row r="198" spans="1:29" x14ac:dyDescent="0.35">
      <c r="A198" t="e" cm="1">
        <f t="array" aca="1" ref="A198" ca="1">IF(A197="","",IF(OR(AND(A197+1&gt;=$AF$1,A197+1&lt;=$AF$2),AND(A197+1&gt;=$AF$6,A197+1&lt;=$AF$7),AND(A197+1&gt;=$AF$3,A197+1&lt;=$AF$4),AND(A197+1&gt;=$AF$8,A197+1&lt;=$AF$9),A197+1=$AF$5),IF(NOT(ISBLANK(INDIRECT("template!"&amp;"P"&amp;A197+1))),A197+1,IF(NOT(ISBLANK(INDIRECT("template!"&amp;"P"&amp;A197+2))),A197+2,A197+3)),IF(A197=$AF$2,$AF$3,IF(A197=$AF$4,$AF$5,IF(A197=$AF$5,$AF$6,IF(A197=$AF$7,$AF$8,""))))))</f>
        <v>#REF!</v>
      </c>
      <c r="B198" t="e">
        <f t="shared" ca="1" si="0"/>
        <v>#REF!</v>
      </c>
      <c r="C198" t="e" cm="1">
        <f t="array" aca="1" ref="C198" ca="1">IF(A198="","",IF(B198="safety","safety costs",INDIRECT("template!"&amp;"B"&amp;A198)))</f>
        <v>#REF!</v>
      </c>
      <c r="D198" t="e" cm="1">
        <f t="array" aca="1" ref="D198" ca="1">IF(OR(A198="",B198="safety"),"",INDIRECT("template!"&amp;"C"&amp;A198))</f>
        <v>#REF!</v>
      </c>
      <c r="E198" t="e" cm="1">
        <f t="array" aca="1" ref="E198" ca="1">IF(A198="","",IF(OR(A198=A197+1,A198=A197+2),E197,INDIRECT("template!"&amp;"D"&amp;A198-2)))</f>
        <v>#REF!</v>
      </c>
      <c r="F198" t="e" cm="1">
        <f t="array" aca="1" ref="F198" ca="1">IF(OR(A198="",B198="safety"),"",IF(ISBLANK(IF(A198=A197+1,F197,INDIRECT("template!"&amp;"D"&amp;A198-1))),"",IF(A198=A197+1,F197,INDIRECT("template!"&amp;"D"&amp;A198-1))))</f>
        <v>#REF!</v>
      </c>
      <c r="G198" t="e" cm="1">
        <f t="array" aca="1" ref="G198" ca="1">IF(OR(A198="",B198="safety"),"",IF(ISBLANK(INDIRECT("template!"&amp;"D"&amp;A198)),"",INDIRECT("template!"&amp;"D"&amp;A198)))</f>
        <v>#REF!</v>
      </c>
      <c r="H198" t="e" cm="1">
        <f t="array" aca="1" ref="H198" ca="1">IF(OR(A198="",B198="safety"),"",IF(ISBLANK(INDIRECT("template!"&amp;"E"&amp;A198)),"",INDIRECT("template!"&amp;"E"&amp;A198)))</f>
        <v>#REF!</v>
      </c>
      <c r="I198" t="e" cm="1">
        <f t="array" aca="1" ref="I198" ca="1">IF(OR(A198="",B198="safety"),"",IF(ISBLANK(INDIRECT("template!"&amp;"F"&amp;A198)),"",INDIRECT("template!"&amp;"F"&amp;A198)))</f>
        <v>#REF!</v>
      </c>
      <c r="J198" t="e" cm="1">
        <f t="array" aca="1" ref="J198" ca="1">IF(OR(A198="",B198="safety"),"",IF(ISBLANK(INDIRECT("template!"&amp;"G"&amp;A198)),"",INDIRECT("template!"&amp;"G"&amp;A198)))</f>
        <v>#REF!</v>
      </c>
      <c r="K198" t="e" cm="1">
        <f t="array" aca="1" ref="K198" ca="1">IF(OR(A198="",B198="safety"),"",IF(ISBLANK(INDIRECT("template!"&amp;"H"&amp;A198)),"",INDIRECT("template!"&amp;"H"&amp;A198)))</f>
        <v>#REF!</v>
      </c>
      <c r="L198" t="e" cm="1">
        <f t="array" aca="1" ref="L198" ca="1">IF(OR(A198="",B198="safety"),"",INDIRECT("template!"&amp;"I"&amp;A198))</f>
        <v>#REF!</v>
      </c>
      <c r="M198" t="e" cm="1">
        <f t="array" aca="1" ref="M198" ca="1">IF(OR(A198="",B198="safety"),"",INDIRECT("template!"&amp;"J"&amp;A198))</f>
        <v>#REF!</v>
      </c>
      <c r="N198" t="e" cm="1">
        <f t="array" aca="1" ref="N198" ca="1">IF(OR(A198="",B198="safety"),"",IF(ISBLANK(INDIRECT("template!"&amp;"K"&amp;A198)),"",INDIRECT("template!"&amp;"K"&amp;A198)))</f>
        <v>#REF!</v>
      </c>
      <c r="O198" t="e" cm="1">
        <f t="array" aca="1" ref="O198" ca="1">IF(OR(A198="",B198="safety"),"",INDIRECT("template!"&amp;"L"&amp;A198))</f>
        <v>#REF!</v>
      </c>
      <c r="P198" t="e" cm="1">
        <f t="array" aca="1" ref="P198" ca="1">IF(OR(A198="",B198="safety"),"",INDIRECT("template!"&amp;"M"&amp;A198))</f>
        <v>#REF!</v>
      </c>
      <c r="Q198" t="e">
        <f t="shared" ca="1" si="16"/>
        <v>#REF!</v>
      </c>
      <c r="R198" t="e">
        <f t="shared" ca="1" si="17"/>
        <v>#REF!</v>
      </c>
      <c r="S198" t="e">
        <f t="shared" ca="1" si="18"/>
        <v>#REF!</v>
      </c>
      <c r="T198" t="e">
        <f t="shared" ca="1" si="19"/>
        <v>#REF!</v>
      </c>
      <c r="U198" t="e" cm="1">
        <f t="array" aca="1" ref="U198" ca="1">IF(A198="","",IF(E198="","",IF(B198="safety",INDIRECT("template!"&amp;"P"&amp;A198),Q198+R198)))</f>
        <v>#REF!</v>
      </c>
      <c r="V198" t="e" cm="1">
        <f t="array" aca="1" ref="V198" ca="1">IF(A198="","",IF(E198="","",IF(B198="safety",INDIRECT("template!"&amp;"P"&amp;A198),S198+T198)))</f>
        <v>#REF!</v>
      </c>
      <c r="W198" t="e">
        <f ca="1">IF(A198="","",IF(E198="","",#REF!))</f>
        <v>#REF!</v>
      </c>
      <c r="X198" t="e">
        <f ca="1">IF(A198="","",IF(E198="","",#REF!))</f>
        <v>#REF!</v>
      </c>
      <c r="Y198" s="39" t="e">
        <f ca="1">IF(A198="","",IF(E198="","",#REF!))</f>
        <v>#REF!</v>
      </c>
      <c r="Z198" t="e">
        <f ca="1">IF(A198="","",IF(E198="","",#REF!))</f>
        <v>#REF!</v>
      </c>
      <c r="AA198" t="e">
        <f ca="1">IF(A198="","",IF(E198="","",#REF!))</f>
        <v>#REF!</v>
      </c>
      <c r="AB198" t="e">
        <f ca="1">IF(A198="","",IF(E198="","",#REF!))</f>
        <v>#REF!</v>
      </c>
      <c r="AC198" t="e">
        <f t="shared" ca="1" si="20"/>
        <v>#REF!</v>
      </c>
    </row>
    <row r="199" spans="1:29" x14ac:dyDescent="0.35">
      <c r="A199" t="e" cm="1">
        <f t="array" aca="1" ref="A199" ca="1">IF(A198="","",IF(OR(AND(A198+1&gt;=$AF$1,A198+1&lt;=$AF$2),AND(A198+1&gt;=$AF$6,A198+1&lt;=$AF$7),AND(A198+1&gt;=$AF$3,A198+1&lt;=$AF$4),AND(A198+1&gt;=$AF$8,A198+1&lt;=$AF$9),A198+1=$AF$5),IF(NOT(ISBLANK(INDIRECT("template!"&amp;"P"&amp;A198+1))),A198+1,IF(NOT(ISBLANK(INDIRECT("template!"&amp;"P"&amp;A198+2))),A198+2,A198+3)),IF(A198=$AF$2,$AF$3,IF(A198=$AF$4,$AF$5,IF(A198=$AF$5,$AF$6,IF(A198=$AF$7,$AF$8,""))))))</f>
        <v>#REF!</v>
      </c>
      <c r="B199" t="e">
        <f t="shared" ca="1" si="0"/>
        <v>#REF!</v>
      </c>
      <c r="C199" t="e" cm="1">
        <f t="array" aca="1" ref="C199" ca="1">IF(A199="","",IF(B199="safety","safety costs",INDIRECT("template!"&amp;"B"&amp;A199)))</f>
        <v>#REF!</v>
      </c>
      <c r="D199" t="e" cm="1">
        <f t="array" aca="1" ref="D199" ca="1">IF(OR(A199="",B199="safety"),"",INDIRECT("template!"&amp;"C"&amp;A199))</f>
        <v>#REF!</v>
      </c>
      <c r="E199" t="e" cm="1">
        <f t="array" aca="1" ref="E199" ca="1">IF(A199="","",IF(OR(A199=A198+1,A199=A198+2),E198,INDIRECT("template!"&amp;"D"&amp;A199-2)))</f>
        <v>#REF!</v>
      </c>
      <c r="F199" t="e" cm="1">
        <f t="array" aca="1" ref="F199" ca="1">IF(OR(A199="",B199="safety"),"",IF(ISBLANK(IF(A199=A198+1,F198,INDIRECT("template!"&amp;"D"&amp;A199-1))),"",IF(A199=A198+1,F198,INDIRECT("template!"&amp;"D"&amp;A199-1))))</f>
        <v>#REF!</v>
      </c>
      <c r="G199" t="e" cm="1">
        <f t="array" aca="1" ref="G199" ca="1">IF(OR(A199="",B199="safety"),"",IF(ISBLANK(INDIRECT("template!"&amp;"D"&amp;A199)),"",INDIRECT("template!"&amp;"D"&amp;A199)))</f>
        <v>#REF!</v>
      </c>
      <c r="H199" t="e" cm="1">
        <f t="array" aca="1" ref="H199" ca="1">IF(OR(A199="",B199="safety"),"",IF(ISBLANK(INDIRECT("template!"&amp;"E"&amp;A199)),"",INDIRECT("template!"&amp;"E"&amp;A199)))</f>
        <v>#REF!</v>
      </c>
      <c r="I199" t="e" cm="1">
        <f t="array" aca="1" ref="I199" ca="1">IF(OR(A199="",B199="safety"),"",IF(ISBLANK(INDIRECT("template!"&amp;"F"&amp;A199)),"",INDIRECT("template!"&amp;"F"&amp;A199)))</f>
        <v>#REF!</v>
      </c>
      <c r="J199" t="e" cm="1">
        <f t="array" aca="1" ref="J199" ca="1">IF(OR(A199="",B199="safety"),"",IF(ISBLANK(INDIRECT("template!"&amp;"G"&amp;A199)),"",INDIRECT("template!"&amp;"G"&amp;A199)))</f>
        <v>#REF!</v>
      </c>
      <c r="K199" t="e" cm="1">
        <f t="array" aca="1" ref="K199" ca="1">IF(OR(A199="",B199="safety"),"",IF(ISBLANK(INDIRECT("template!"&amp;"H"&amp;A199)),"",INDIRECT("template!"&amp;"H"&amp;A199)))</f>
        <v>#REF!</v>
      </c>
      <c r="L199" t="e" cm="1">
        <f t="array" aca="1" ref="L199" ca="1">IF(OR(A199="",B199="safety"),"",INDIRECT("template!"&amp;"I"&amp;A199))</f>
        <v>#REF!</v>
      </c>
      <c r="M199" t="e" cm="1">
        <f t="array" aca="1" ref="M199" ca="1">IF(OR(A199="",B199="safety"),"",INDIRECT("template!"&amp;"J"&amp;A199))</f>
        <v>#REF!</v>
      </c>
      <c r="N199" t="e" cm="1">
        <f t="array" aca="1" ref="N199" ca="1">IF(OR(A199="",B199="safety"),"",IF(ISBLANK(INDIRECT("template!"&amp;"K"&amp;A199)),"",INDIRECT("template!"&amp;"K"&amp;A199)))</f>
        <v>#REF!</v>
      </c>
      <c r="O199" t="e" cm="1">
        <f t="array" aca="1" ref="O199" ca="1">IF(OR(A199="",B199="safety"),"",INDIRECT("template!"&amp;"L"&amp;A199))</f>
        <v>#REF!</v>
      </c>
      <c r="P199" t="e" cm="1">
        <f t="array" aca="1" ref="P199" ca="1">IF(OR(A199="",B199="safety"),"",INDIRECT("template!"&amp;"M"&amp;A199))</f>
        <v>#REF!</v>
      </c>
      <c r="Q199" t="e">
        <f t="shared" ca="1" si="16"/>
        <v>#REF!</v>
      </c>
      <c r="R199" t="e">
        <f t="shared" ca="1" si="17"/>
        <v>#REF!</v>
      </c>
      <c r="S199" t="e">
        <f t="shared" ca="1" si="18"/>
        <v>#REF!</v>
      </c>
      <c r="T199" t="e">
        <f t="shared" ca="1" si="19"/>
        <v>#REF!</v>
      </c>
      <c r="U199" t="e" cm="1">
        <f t="array" aca="1" ref="U199" ca="1">IF(A199="","",IF(E199="","",IF(B199="safety",INDIRECT("template!"&amp;"P"&amp;A199),Q199+R199)))</f>
        <v>#REF!</v>
      </c>
      <c r="V199" t="e" cm="1">
        <f t="array" aca="1" ref="V199" ca="1">IF(A199="","",IF(E199="","",IF(B199="safety",INDIRECT("template!"&amp;"P"&amp;A199),S199+T199)))</f>
        <v>#REF!</v>
      </c>
      <c r="W199" t="e">
        <f ca="1">IF(A199="","",IF(E199="","",#REF!))</f>
        <v>#REF!</v>
      </c>
      <c r="X199" t="e">
        <f ca="1">IF(A199="","",IF(E199="","",#REF!))</f>
        <v>#REF!</v>
      </c>
      <c r="Y199" s="39" t="e">
        <f ca="1">IF(A199="","",IF(E199="","",#REF!))</f>
        <v>#REF!</v>
      </c>
      <c r="Z199" t="e">
        <f ca="1">IF(A199="","",IF(E199="","",#REF!))</f>
        <v>#REF!</v>
      </c>
      <c r="AA199" t="e">
        <f ca="1">IF(A199="","",IF(E199="","",#REF!))</f>
        <v>#REF!</v>
      </c>
      <c r="AB199" t="e">
        <f ca="1">IF(A199="","",IF(E199="","",#REF!))</f>
        <v>#REF!</v>
      </c>
      <c r="AC199" t="e">
        <f t="shared" ca="1" si="20"/>
        <v>#REF!</v>
      </c>
    </row>
    <row r="200" spans="1:29" x14ac:dyDescent="0.35">
      <c r="A200" t="e" cm="1">
        <f t="array" aca="1" ref="A200" ca="1">IF(A199="","",IF(OR(AND(A199+1&gt;=$AF$1,A199+1&lt;=$AF$2),AND(A199+1&gt;=$AF$6,A199+1&lt;=$AF$7),AND(A199+1&gt;=$AF$3,A199+1&lt;=$AF$4),AND(A199+1&gt;=$AF$8,A199+1&lt;=$AF$9),A199+1=$AF$5),IF(NOT(ISBLANK(INDIRECT("template!"&amp;"P"&amp;A199+1))),A199+1,IF(NOT(ISBLANK(INDIRECT("template!"&amp;"P"&amp;A199+2))),A199+2,A199+3)),IF(A199=$AF$2,$AF$3,IF(A199=$AF$4,$AF$5,IF(A199=$AF$5,$AF$6,IF(A199=$AF$7,$AF$8,""))))))</f>
        <v>#REF!</v>
      </c>
      <c r="B200" t="e">
        <f t="shared" ca="1" si="0"/>
        <v>#REF!</v>
      </c>
      <c r="C200" t="e" cm="1">
        <f t="array" aca="1" ref="C200" ca="1">IF(A200="","",IF(B200="safety","safety costs",INDIRECT("template!"&amp;"B"&amp;A200)))</f>
        <v>#REF!</v>
      </c>
      <c r="D200" t="e" cm="1">
        <f t="array" aca="1" ref="D200" ca="1">IF(OR(A200="",B200="safety"),"",INDIRECT("template!"&amp;"C"&amp;A200))</f>
        <v>#REF!</v>
      </c>
      <c r="E200" t="e" cm="1">
        <f t="array" aca="1" ref="E200" ca="1">IF(A200="","",IF(OR(A200=A199+1,A200=A199+2),E199,INDIRECT("template!"&amp;"D"&amp;A200-2)))</f>
        <v>#REF!</v>
      </c>
      <c r="F200" t="e" cm="1">
        <f t="array" aca="1" ref="F200" ca="1">IF(OR(A200="",B200="safety"),"",IF(ISBLANK(IF(A200=A199+1,F199,INDIRECT("template!"&amp;"D"&amp;A200-1))),"",IF(A200=A199+1,F199,INDIRECT("template!"&amp;"D"&amp;A200-1))))</f>
        <v>#REF!</v>
      </c>
      <c r="G200" t="e" cm="1">
        <f t="array" aca="1" ref="G200" ca="1">IF(OR(A200="",B200="safety"),"",IF(ISBLANK(INDIRECT("template!"&amp;"D"&amp;A200)),"",INDIRECT("template!"&amp;"D"&amp;A200)))</f>
        <v>#REF!</v>
      </c>
      <c r="H200" t="e" cm="1">
        <f t="array" aca="1" ref="H200" ca="1">IF(OR(A200="",B200="safety"),"",IF(ISBLANK(INDIRECT("template!"&amp;"E"&amp;A200)),"",INDIRECT("template!"&amp;"E"&amp;A200)))</f>
        <v>#REF!</v>
      </c>
      <c r="I200" t="e" cm="1">
        <f t="array" aca="1" ref="I200" ca="1">IF(OR(A200="",B200="safety"),"",IF(ISBLANK(INDIRECT("template!"&amp;"F"&amp;A200)),"",INDIRECT("template!"&amp;"F"&amp;A200)))</f>
        <v>#REF!</v>
      </c>
      <c r="J200" t="e" cm="1">
        <f t="array" aca="1" ref="J200" ca="1">IF(OR(A200="",B200="safety"),"",IF(ISBLANK(INDIRECT("template!"&amp;"G"&amp;A200)),"",INDIRECT("template!"&amp;"G"&amp;A200)))</f>
        <v>#REF!</v>
      </c>
      <c r="K200" t="e" cm="1">
        <f t="array" aca="1" ref="K200" ca="1">IF(OR(A200="",B200="safety"),"",IF(ISBLANK(INDIRECT("template!"&amp;"H"&amp;A200)),"",INDIRECT("template!"&amp;"H"&amp;A200)))</f>
        <v>#REF!</v>
      </c>
      <c r="L200" t="e" cm="1">
        <f t="array" aca="1" ref="L200" ca="1">IF(OR(A200="",B200="safety"),"",INDIRECT("template!"&amp;"I"&amp;A200))</f>
        <v>#REF!</v>
      </c>
      <c r="M200" t="e" cm="1">
        <f t="array" aca="1" ref="M200" ca="1">IF(OR(A200="",B200="safety"),"",INDIRECT("template!"&amp;"J"&amp;A200))</f>
        <v>#REF!</v>
      </c>
      <c r="N200" t="e" cm="1">
        <f t="array" aca="1" ref="N200" ca="1">IF(OR(A200="",B200="safety"),"",IF(ISBLANK(INDIRECT("template!"&amp;"K"&amp;A200)),"",INDIRECT("template!"&amp;"K"&amp;A200)))</f>
        <v>#REF!</v>
      </c>
      <c r="O200" t="e" cm="1">
        <f t="array" aca="1" ref="O200" ca="1">IF(OR(A200="",B200="safety"),"",INDIRECT("template!"&amp;"L"&amp;A200))</f>
        <v>#REF!</v>
      </c>
      <c r="P200" t="e" cm="1">
        <f t="array" aca="1" ref="P200" ca="1">IF(OR(A200="",B200="safety"),"",INDIRECT("template!"&amp;"M"&amp;A200))</f>
        <v>#REF!</v>
      </c>
      <c r="Q200" t="e">
        <f t="shared" ca="1" si="16"/>
        <v>#REF!</v>
      </c>
      <c r="R200" t="e">
        <f t="shared" ca="1" si="17"/>
        <v>#REF!</v>
      </c>
      <c r="S200" t="e">
        <f t="shared" ca="1" si="18"/>
        <v>#REF!</v>
      </c>
      <c r="T200" t="e">
        <f t="shared" ca="1" si="19"/>
        <v>#REF!</v>
      </c>
      <c r="U200" t="e" cm="1">
        <f t="array" aca="1" ref="U200" ca="1">IF(A200="","",IF(E200="","",IF(B200="safety",INDIRECT("template!"&amp;"P"&amp;A200),Q200+R200)))</f>
        <v>#REF!</v>
      </c>
      <c r="V200" t="e" cm="1">
        <f t="array" aca="1" ref="V200" ca="1">IF(A200="","",IF(E200="","",IF(B200="safety",INDIRECT("template!"&amp;"P"&amp;A200),S200+T200)))</f>
        <v>#REF!</v>
      </c>
      <c r="W200" t="e">
        <f ca="1">IF(A200="","",IF(E200="","",#REF!))</f>
        <v>#REF!</v>
      </c>
      <c r="X200" t="e">
        <f ca="1">IF(A200="","",IF(E200="","",#REF!))</f>
        <v>#REF!</v>
      </c>
      <c r="Y200" s="39" t="e">
        <f ca="1">IF(A200="","",IF(E200="","",#REF!))</f>
        <v>#REF!</v>
      </c>
      <c r="Z200" t="e">
        <f ca="1">IF(A200="","",IF(E200="","",#REF!))</f>
        <v>#REF!</v>
      </c>
      <c r="AA200" t="e">
        <f ca="1">IF(A200="","",IF(E200="","",#REF!))</f>
        <v>#REF!</v>
      </c>
      <c r="AB200" t="e">
        <f ca="1">IF(A200="","",IF(E200="","",#REF!))</f>
        <v>#REF!</v>
      </c>
      <c r="AC200" t="e">
        <f t="shared" ca="1" si="20"/>
        <v>#REF!</v>
      </c>
    </row>
    <row r="201" spans="1:29" x14ac:dyDescent="0.35">
      <c r="A201" t="e" cm="1">
        <f t="array" aca="1" ref="A201" ca="1">IF(A200="","",IF(OR(AND(A200+1&gt;=$AF$1,A200+1&lt;=$AF$2),AND(A200+1&gt;=$AF$6,A200+1&lt;=$AF$7),AND(A200+1&gt;=$AF$3,A200+1&lt;=$AF$4),AND(A200+1&gt;=$AF$8,A200+1&lt;=$AF$9),A200+1=$AF$5),IF(NOT(ISBLANK(INDIRECT("template!"&amp;"P"&amp;A200+1))),A200+1,IF(NOT(ISBLANK(INDIRECT("template!"&amp;"P"&amp;A200+2))),A200+2,A200+3)),IF(A200=$AF$2,$AF$3,IF(A200=$AF$4,$AF$5,IF(A200=$AF$5,$AF$6,IF(A200=$AF$7,$AF$8,""))))))</f>
        <v>#REF!</v>
      </c>
      <c r="B201" t="e">
        <f t="shared" ca="1" si="0"/>
        <v>#REF!</v>
      </c>
      <c r="C201" t="e" cm="1">
        <f t="array" aca="1" ref="C201" ca="1">IF(A201="","",IF(B201="safety","safety costs",INDIRECT("template!"&amp;"B"&amp;A201)))</f>
        <v>#REF!</v>
      </c>
      <c r="D201" t="e" cm="1">
        <f t="array" aca="1" ref="D201" ca="1">IF(OR(A201="",B201="safety"),"",INDIRECT("template!"&amp;"C"&amp;A201))</f>
        <v>#REF!</v>
      </c>
      <c r="E201" t="e" cm="1">
        <f t="array" aca="1" ref="E201" ca="1">IF(A201="","",IF(OR(A201=A200+1,A201=A200+2),E200,INDIRECT("template!"&amp;"D"&amp;A201-2)))</f>
        <v>#REF!</v>
      </c>
      <c r="F201" t="e" cm="1">
        <f t="array" aca="1" ref="F201" ca="1">IF(OR(A201="",B201="safety"),"",IF(ISBLANK(IF(A201=A200+1,F200,INDIRECT("template!"&amp;"D"&amp;A201-1))),"",IF(A201=A200+1,F200,INDIRECT("template!"&amp;"D"&amp;A201-1))))</f>
        <v>#REF!</v>
      </c>
      <c r="G201" t="e" cm="1">
        <f t="array" aca="1" ref="G201" ca="1">IF(OR(A201="",B201="safety"),"",IF(ISBLANK(INDIRECT("template!"&amp;"D"&amp;A201)),"",INDIRECT("template!"&amp;"D"&amp;A201)))</f>
        <v>#REF!</v>
      </c>
      <c r="H201" t="e" cm="1">
        <f t="array" aca="1" ref="H201" ca="1">IF(OR(A201="",B201="safety"),"",IF(ISBLANK(INDIRECT("template!"&amp;"E"&amp;A201)),"",INDIRECT("template!"&amp;"E"&amp;A201)))</f>
        <v>#REF!</v>
      </c>
      <c r="I201" t="e" cm="1">
        <f t="array" aca="1" ref="I201" ca="1">IF(OR(A201="",B201="safety"),"",IF(ISBLANK(INDIRECT("template!"&amp;"F"&amp;A201)),"",INDIRECT("template!"&amp;"F"&amp;A201)))</f>
        <v>#REF!</v>
      </c>
      <c r="J201" t="e" cm="1">
        <f t="array" aca="1" ref="J201" ca="1">IF(OR(A201="",B201="safety"),"",IF(ISBLANK(INDIRECT("template!"&amp;"G"&amp;A201)),"",INDIRECT("template!"&amp;"G"&amp;A201)))</f>
        <v>#REF!</v>
      </c>
      <c r="K201" t="e" cm="1">
        <f t="array" aca="1" ref="K201" ca="1">IF(OR(A201="",B201="safety"),"",IF(ISBLANK(INDIRECT("template!"&amp;"H"&amp;A201)),"",INDIRECT("template!"&amp;"H"&amp;A201)))</f>
        <v>#REF!</v>
      </c>
      <c r="L201" t="e" cm="1">
        <f t="array" aca="1" ref="L201" ca="1">IF(OR(A201="",B201="safety"),"",INDIRECT("template!"&amp;"I"&amp;A201))</f>
        <v>#REF!</v>
      </c>
      <c r="M201" t="e" cm="1">
        <f t="array" aca="1" ref="M201" ca="1">IF(OR(A201="",B201="safety"),"",INDIRECT("template!"&amp;"J"&amp;A201))</f>
        <v>#REF!</v>
      </c>
      <c r="N201" t="e" cm="1">
        <f t="array" aca="1" ref="N201" ca="1">IF(OR(A201="",B201="safety"),"",IF(ISBLANK(INDIRECT("template!"&amp;"K"&amp;A201)),"",INDIRECT("template!"&amp;"K"&amp;A201)))</f>
        <v>#REF!</v>
      </c>
      <c r="O201" t="e" cm="1">
        <f t="array" aca="1" ref="O201" ca="1">IF(OR(A201="",B201="safety"),"",INDIRECT("template!"&amp;"L"&amp;A201))</f>
        <v>#REF!</v>
      </c>
      <c r="P201" t="e" cm="1">
        <f t="array" aca="1" ref="P201" ca="1">IF(OR(A201="",B201="safety"),"",INDIRECT("template!"&amp;"M"&amp;A201))</f>
        <v>#REF!</v>
      </c>
      <c r="Q201" t="e">
        <f t="shared" ca="1" si="16"/>
        <v>#REF!</v>
      </c>
      <c r="R201" t="e">
        <f t="shared" ca="1" si="17"/>
        <v>#REF!</v>
      </c>
      <c r="S201" t="e">
        <f t="shared" ca="1" si="18"/>
        <v>#REF!</v>
      </c>
      <c r="T201" t="e">
        <f t="shared" ca="1" si="19"/>
        <v>#REF!</v>
      </c>
      <c r="U201" t="e" cm="1">
        <f t="array" aca="1" ref="U201" ca="1">IF(A201="","",IF(E201="","",IF(B201="safety",INDIRECT("template!"&amp;"P"&amp;A201),Q201+R201)))</f>
        <v>#REF!</v>
      </c>
      <c r="V201" t="e" cm="1">
        <f t="array" aca="1" ref="V201" ca="1">IF(A201="","",IF(E201="","",IF(B201="safety",INDIRECT("template!"&amp;"P"&amp;A201),S201+T201)))</f>
        <v>#REF!</v>
      </c>
      <c r="W201" t="e">
        <f ca="1">IF(A201="","",IF(E201="","",#REF!))</f>
        <v>#REF!</v>
      </c>
      <c r="X201" t="e">
        <f ca="1">IF(A201="","",IF(E201="","",#REF!))</f>
        <v>#REF!</v>
      </c>
      <c r="Y201" s="39" t="e">
        <f ca="1">IF(A201="","",IF(E201="","",#REF!))</f>
        <v>#REF!</v>
      </c>
      <c r="Z201" t="e">
        <f ca="1">IF(A201="","",IF(E201="","",#REF!))</f>
        <v>#REF!</v>
      </c>
      <c r="AA201" t="e">
        <f ca="1">IF(A201="","",IF(E201="","",#REF!))</f>
        <v>#REF!</v>
      </c>
      <c r="AB201" t="e">
        <f ca="1">IF(A201="","",IF(E201="","",#REF!))</f>
        <v>#REF!</v>
      </c>
      <c r="AC201" t="e">
        <f t="shared" ca="1" si="20"/>
        <v>#REF!</v>
      </c>
    </row>
    <row r="202" spans="1:29" x14ac:dyDescent="0.35">
      <c r="A202" t="e" cm="1">
        <f t="array" aca="1" ref="A202" ca="1">IF(A201="","",IF(OR(AND(A201+1&gt;=$AF$1,A201+1&lt;=$AF$2),AND(A201+1&gt;=$AF$6,A201+1&lt;=$AF$7),AND(A201+1&gt;=$AF$3,A201+1&lt;=$AF$4),AND(A201+1&gt;=$AF$8,A201+1&lt;=$AF$9),A201+1=$AF$5),IF(NOT(ISBLANK(INDIRECT("template!"&amp;"P"&amp;A201+1))),A201+1,IF(NOT(ISBLANK(INDIRECT("template!"&amp;"P"&amp;A201+2))),A201+2,A201+3)),IF(A201=$AF$2,$AF$3,IF(A201=$AF$4,$AF$5,IF(A201=$AF$5,$AF$6,IF(A201=$AF$7,$AF$8,""))))))</f>
        <v>#REF!</v>
      </c>
      <c r="B202" t="e">
        <f t="shared" ca="1" si="0"/>
        <v>#REF!</v>
      </c>
      <c r="C202" t="e" cm="1">
        <f t="array" aca="1" ref="C202" ca="1">IF(A202="","",IF(B202="safety","safety costs",INDIRECT("template!"&amp;"B"&amp;A202)))</f>
        <v>#REF!</v>
      </c>
      <c r="D202" t="e" cm="1">
        <f t="array" aca="1" ref="D202" ca="1">IF(OR(A202="",B202="safety"),"",INDIRECT("template!"&amp;"C"&amp;A202))</f>
        <v>#REF!</v>
      </c>
      <c r="E202" t="e" cm="1">
        <f t="array" aca="1" ref="E202" ca="1">IF(A202="","",IF(OR(A202=A201+1,A202=A201+2),E201,INDIRECT("template!"&amp;"D"&amp;A202-2)))</f>
        <v>#REF!</v>
      </c>
      <c r="F202" t="e" cm="1">
        <f t="array" aca="1" ref="F202" ca="1">IF(OR(A202="",B202="safety"),"",IF(ISBLANK(IF(A202=A201+1,F201,INDIRECT("template!"&amp;"D"&amp;A202-1))),"",IF(A202=A201+1,F201,INDIRECT("template!"&amp;"D"&amp;A202-1))))</f>
        <v>#REF!</v>
      </c>
      <c r="G202" t="e" cm="1">
        <f t="array" aca="1" ref="G202" ca="1">IF(OR(A202="",B202="safety"),"",IF(ISBLANK(INDIRECT("template!"&amp;"D"&amp;A202)),"",INDIRECT("template!"&amp;"D"&amp;A202)))</f>
        <v>#REF!</v>
      </c>
      <c r="H202" t="e" cm="1">
        <f t="array" aca="1" ref="H202" ca="1">IF(OR(A202="",B202="safety"),"",IF(ISBLANK(INDIRECT("template!"&amp;"E"&amp;A202)),"",INDIRECT("template!"&amp;"E"&amp;A202)))</f>
        <v>#REF!</v>
      </c>
      <c r="I202" t="e" cm="1">
        <f t="array" aca="1" ref="I202" ca="1">IF(OR(A202="",B202="safety"),"",IF(ISBLANK(INDIRECT("template!"&amp;"F"&amp;A202)),"",INDIRECT("template!"&amp;"F"&amp;A202)))</f>
        <v>#REF!</v>
      </c>
      <c r="J202" t="e" cm="1">
        <f t="array" aca="1" ref="J202" ca="1">IF(OR(A202="",B202="safety"),"",IF(ISBLANK(INDIRECT("template!"&amp;"G"&amp;A202)),"",INDIRECT("template!"&amp;"G"&amp;A202)))</f>
        <v>#REF!</v>
      </c>
      <c r="K202" t="e" cm="1">
        <f t="array" aca="1" ref="K202" ca="1">IF(OR(A202="",B202="safety"),"",IF(ISBLANK(INDIRECT("template!"&amp;"H"&amp;A202)),"",INDIRECT("template!"&amp;"H"&amp;A202)))</f>
        <v>#REF!</v>
      </c>
      <c r="L202" t="e" cm="1">
        <f t="array" aca="1" ref="L202" ca="1">IF(OR(A202="",B202="safety"),"",INDIRECT("template!"&amp;"I"&amp;A202))</f>
        <v>#REF!</v>
      </c>
      <c r="M202" t="e" cm="1">
        <f t="array" aca="1" ref="M202" ca="1">IF(OR(A202="",B202="safety"),"",INDIRECT("template!"&amp;"J"&amp;A202))</f>
        <v>#REF!</v>
      </c>
      <c r="N202" t="e" cm="1">
        <f t="array" aca="1" ref="N202" ca="1">IF(OR(A202="",B202="safety"),"",IF(ISBLANK(INDIRECT("template!"&amp;"K"&amp;A202)),"",INDIRECT("template!"&amp;"K"&amp;A202)))</f>
        <v>#REF!</v>
      </c>
      <c r="O202" t="e" cm="1">
        <f t="array" aca="1" ref="O202" ca="1">IF(OR(A202="",B202="safety"),"",INDIRECT("template!"&amp;"L"&amp;A202))</f>
        <v>#REF!</v>
      </c>
      <c r="P202" t="e" cm="1">
        <f t="array" aca="1" ref="P202" ca="1">IF(OR(A202="",B202="safety"),"",INDIRECT("template!"&amp;"M"&amp;A202))</f>
        <v>#REF!</v>
      </c>
      <c r="Q202" t="e">
        <f t="shared" ca="1" si="16"/>
        <v>#REF!</v>
      </c>
      <c r="R202" t="e">
        <f t="shared" ca="1" si="17"/>
        <v>#REF!</v>
      </c>
      <c r="S202" t="e">
        <f t="shared" ca="1" si="18"/>
        <v>#REF!</v>
      </c>
      <c r="T202" t="e">
        <f t="shared" ca="1" si="19"/>
        <v>#REF!</v>
      </c>
      <c r="U202" t="e" cm="1">
        <f t="array" aca="1" ref="U202" ca="1">IF(A202="","",IF(E202="","",IF(B202="safety",INDIRECT("template!"&amp;"P"&amp;A202),Q202+R202)))</f>
        <v>#REF!</v>
      </c>
      <c r="V202" t="e" cm="1">
        <f t="array" aca="1" ref="V202" ca="1">IF(A202="","",IF(E202="","",IF(B202="safety",INDIRECT("template!"&amp;"P"&amp;A202),S202+T202)))</f>
        <v>#REF!</v>
      </c>
      <c r="W202" t="e">
        <f ca="1">IF(A202="","",IF(E202="","",#REF!))</f>
        <v>#REF!</v>
      </c>
      <c r="X202" t="e">
        <f ca="1">IF(A202="","",IF(E202="","",#REF!))</f>
        <v>#REF!</v>
      </c>
      <c r="Y202" s="39" t="e">
        <f ca="1">IF(A202="","",IF(E202="","",#REF!))</f>
        <v>#REF!</v>
      </c>
      <c r="Z202" t="e">
        <f ca="1">IF(A202="","",IF(E202="","",#REF!))</f>
        <v>#REF!</v>
      </c>
      <c r="AA202" t="e">
        <f ca="1">IF(A202="","",IF(E202="","",#REF!))</f>
        <v>#REF!</v>
      </c>
      <c r="AB202" t="e">
        <f ca="1">IF(A202="","",IF(E202="","",#REF!))</f>
        <v>#REF!</v>
      </c>
      <c r="AC202" t="e">
        <f t="shared" ca="1" si="20"/>
        <v>#REF!</v>
      </c>
    </row>
    <row r="203" spans="1:29" x14ac:dyDescent="0.35">
      <c r="A203" t="e" cm="1">
        <f t="array" aca="1" ref="A203" ca="1">IF(A202="","",IF(OR(AND(A202+1&gt;=$AF$1,A202+1&lt;=$AF$2),AND(A202+1&gt;=$AF$6,A202+1&lt;=$AF$7),AND(A202+1&gt;=$AF$3,A202+1&lt;=$AF$4),AND(A202+1&gt;=$AF$8,A202+1&lt;=$AF$9),A202+1=$AF$5),IF(NOT(ISBLANK(INDIRECT("template!"&amp;"P"&amp;A202+1))),A202+1,IF(NOT(ISBLANK(INDIRECT("template!"&amp;"P"&amp;A202+2))),A202+2,A202+3)),IF(A202=$AF$2,$AF$3,IF(A202=$AF$4,$AF$5,IF(A202=$AF$5,$AF$6,IF(A202=$AF$7,$AF$8,""))))))</f>
        <v>#REF!</v>
      </c>
      <c r="B203" t="e">
        <f t="shared" ca="1" si="0"/>
        <v>#REF!</v>
      </c>
      <c r="C203" t="e" cm="1">
        <f t="array" aca="1" ref="C203" ca="1">IF(A203="","",IF(B203="safety","safety costs",INDIRECT("template!"&amp;"B"&amp;A203)))</f>
        <v>#REF!</v>
      </c>
      <c r="D203" t="e" cm="1">
        <f t="array" aca="1" ref="D203" ca="1">IF(OR(A203="",B203="safety"),"",INDIRECT("template!"&amp;"C"&amp;A203))</f>
        <v>#REF!</v>
      </c>
      <c r="E203" t="e" cm="1">
        <f t="array" aca="1" ref="E203" ca="1">IF(A203="","",IF(OR(A203=A202+1,A203=A202+2),E202,INDIRECT("template!"&amp;"D"&amp;A203-2)))</f>
        <v>#REF!</v>
      </c>
      <c r="F203" t="e" cm="1">
        <f t="array" aca="1" ref="F203" ca="1">IF(OR(A203="",B203="safety"),"",IF(ISBLANK(IF(A203=A202+1,F202,INDIRECT("template!"&amp;"D"&amp;A203-1))),"",IF(A203=A202+1,F202,INDIRECT("template!"&amp;"D"&amp;A203-1))))</f>
        <v>#REF!</v>
      </c>
      <c r="G203" t="e" cm="1">
        <f t="array" aca="1" ref="G203" ca="1">IF(OR(A203="",B203="safety"),"",IF(ISBLANK(INDIRECT("template!"&amp;"D"&amp;A203)),"",INDIRECT("template!"&amp;"D"&amp;A203)))</f>
        <v>#REF!</v>
      </c>
      <c r="H203" t="e" cm="1">
        <f t="array" aca="1" ref="H203" ca="1">IF(OR(A203="",B203="safety"),"",IF(ISBLANK(INDIRECT("template!"&amp;"E"&amp;A203)),"",INDIRECT("template!"&amp;"E"&amp;A203)))</f>
        <v>#REF!</v>
      </c>
      <c r="I203" t="e" cm="1">
        <f t="array" aca="1" ref="I203" ca="1">IF(OR(A203="",B203="safety"),"",IF(ISBLANK(INDIRECT("template!"&amp;"F"&amp;A203)),"",INDIRECT("template!"&amp;"F"&amp;A203)))</f>
        <v>#REF!</v>
      </c>
      <c r="J203" t="e" cm="1">
        <f t="array" aca="1" ref="J203" ca="1">IF(OR(A203="",B203="safety"),"",IF(ISBLANK(INDIRECT("template!"&amp;"G"&amp;A203)),"",INDIRECT("template!"&amp;"G"&amp;A203)))</f>
        <v>#REF!</v>
      </c>
      <c r="K203" t="e" cm="1">
        <f t="array" aca="1" ref="K203" ca="1">IF(OR(A203="",B203="safety"),"",IF(ISBLANK(INDIRECT("template!"&amp;"H"&amp;A203)),"",INDIRECT("template!"&amp;"H"&amp;A203)))</f>
        <v>#REF!</v>
      </c>
      <c r="L203" t="e" cm="1">
        <f t="array" aca="1" ref="L203" ca="1">IF(OR(A203="",B203="safety"),"",INDIRECT("template!"&amp;"I"&amp;A203))</f>
        <v>#REF!</v>
      </c>
      <c r="M203" t="e" cm="1">
        <f t="array" aca="1" ref="M203" ca="1">IF(OR(A203="",B203="safety"),"",INDIRECT("template!"&amp;"J"&amp;A203))</f>
        <v>#REF!</v>
      </c>
      <c r="N203" t="e" cm="1">
        <f t="array" aca="1" ref="N203" ca="1">IF(OR(A203="",B203="safety"),"",IF(ISBLANK(INDIRECT("template!"&amp;"K"&amp;A203)),"",INDIRECT("template!"&amp;"K"&amp;A203)))</f>
        <v>#REF!</v>
      </c>
      <c r="O203" t="e" cm="1">
        <f t="array" aca="1" ref="O203" ca="1">IF(OR(A203="",B203="safety"),"",INDIRECT("template!"&amp;"L"&amp;A203))</f>
        <v>#REF!</v>
      </c>
      <c r="P203" t="e" cm="1">
        <f t="array" aca="1" ref="P203" ca="1">IF(OR(A203="",B203="safety"),"",INDIRECT("template!"&amp;"M"&amp;A203))</f>
        <v>#REF!</v>
      </c>
      <c r="Q203" t="e">
        <f t="shared" ca="1" si="16"/>
        <v>#REF!</v>
      </c>
      <c r="R203" t="e">
        <f t="shared" ca="1" si="17"/>
        <v>#REF!</v>
      </c>
      <c r="S203" t="e">
        <f t="shared" ca="1" si="18"/>
        <v>#REF!</v>
      </c>
      <c r="T203" t="e">
        <f t="shared" ca="1" si="19"/>
        <v>#REF!</v>
      </c>
      <c r="U203" t="e" cm="1">
        <f t="array" aca="1" ref="U203" ca="1">IF(A203="","",IF(E203="","",IF(B203="safety",INDIRECT("template!"&amp;"P"&amp;A203),Q203+R203)))</f>
        <v>#REF!</v>
      </c>
      <c r="V203" t="e" cm="1">
        <f t="array" aca="1" ref="V203" ca="1">IF(A203="","",IF(E203="","",IF(B203="safety",INDIRECT("template!"&amp;"P"&amp;A203),S203+T203)))</f>
        <v>#REF!</v>
      </c>
      <c r="W203" t="e">
        <f ca="1">IF(A203="","",IF(E203="","",#REF!))</f>
        <v>#REF!</v>
      </c>
      <c r="X203" t="e">
        <f ca="1">IF(A203="","",IF(E203="","",#REF!))</f>
        <v>#REF!</v>
      </c>
      <c r="Y203" s="39" t="e">
        <f ca="1">IF(A203="","",IF(E203="","",#REF!))</f>
        <v>#REF!</v>
      </c>
      <c r="Z203" t="e">
        <f ca="1">IF(A203="","",IF(E203="","",#REF!))</f>
        <v>#REF!</v>
      </c>
      <c r="AA203" t="e">
        <f ca="1">IF(A203="","",IF(E203="","",#REF!))</f>
        <v>#REF!</v>
      </c>
      <c r="AB203" t="e">
        <f ca="1">IF(A203="","",IF(E203="","",#REF!))</f>
        <v>#REF!</v>
      </c>
      <c r="AC203" t="e">
        <f t="shared" ca="1" si="20"/>
        <v>#REF!</v>
      </c>
    </row>
    <row r="204" spans="1:29" x14ac:dyDescent="0.35">
      <c r="A204" t="e" cm="1">
        <f t="array" aca="1" ref="A204" ca="1">IF(A203="","",IF(OR(AND(A203+1&gt;=$AF$1,A203+1&lt;=$AF$2),AND(A203+1&gt;=$AF$6,A203+1&lt;=$AF$7),AND(A203+1&gt;=$AF$3,A203+1&lt;=$AF$4),AND(A203+1&gt;=$AF$8,A203+1&lt;=$AF$9),A203+1=$AF$5),IF(NOT(ISBLANK(INDIRECT("template!"&amp;"P"&amp;A203+1))),A203+1,IF(NOT(ISBLANK(INDIRECT("template!"&amp;"P"&amp;A203+2))),A203+2,A203+3)),IF(A203=$AF$2,$AF$3,IF(A203=$AF$4,$AF$5,IF(A203=$AF$5,$AF$6,IF(A203=$AF$7,$AF$8,""))))))</f>
        <v>#REF!</v>
      </c>
      <c r="B204" t="e">
        <f t="shared" ca="1" si="0"/>
        <v>#REF!</v>
      </c>
      <c r="C204" t="e" cm="1">
        <f t="array" aca="1" ref="C204" ca="1">IF(A204="","",IF(B204="safety","safety costs",INDIRECT("template!"&amp;"B"&amp;A204)))</f>
        <v>#REF!</v>
      </c>
      <c r="D204" t="e" cm="1">
        <f t="array" aca="1" ref="D204" ca="1">IF(OR(A204="",B204="safety"),"",INDIRECT("template!"&amp;"C"&amp;A204))</f>
        <v>#REF!</v>
      </c>
      <c r="E204" t="e" cm="1">
        <f t="array" aca="1" ref="E204" ca="1">IF(A204="","",IF(OR(A204=A203+1,A204=A203+2),E203,INDIRECT("template!"&amp;"D"&amp;A204-2)))</f>
        <v>#REF!</v>
      </c>
      <c r="F204" t="e" cm="1">
        <f t="array" aca="1" ref="F204" ca="1">IF(OR(A204="",B204="safety"),"",IF(ISBLANK(IF(A204=A203+1,F203,INDIRECT("template!"&amp;"D"&amp;A204-1))),"",IF(A204=A203+1,F203,INDIRECT("template!"&amp;"D"&amp;A204-1))))</f>
        <v>#REF!</v>
      </c>
      <c r="G204" t="e" cm="1">
        <f t="array" aca="1" ref="G204" ca="1">IF(OR(A204="",B204="safety"),"",IF(ISBLANK(INDIRECT("template!"&amp;"D"&amp;A204)),"",INDIRECT("template!"&amp;"D"&amp;A204)))</f>
        <v>#REF!</v>
      </c>
      <c r="H204" t="e" cm="1">
        <f t="array" aca="1" ref="H204" ca="1">IF(OR(A204="",B204="safety"),"",IF(ISBLANK(INDIRECT("template!"&amp;"E"&amp;A204)),"",INDIRECT("template!"&amp;"E"&amp;A204)))</f>
        <v>#REF!</v>
      </c>
      <c r="I204" t="e" cm="1">
        <f t="array" aca="1" ref="I204" ca="1">IF(OR(A204="",B204="safety"),"",IF(ISBLANK(INDIRECT("template!"&amp;"F"&amp;A204)),"",INDIRECT("template!"&amp;"F"&amp;A204)))</f>
        <v>#REF!</v>
      </c>
      <c r="J204" t="e" cm="1">
        <f t="array" aca="1" ref="J204" ca="1">IF(OR(A204="",B204="safety"),"",IF(ISBLANK(INDIRECT("template!"&amp;"G"&amp;A204)),"",INDIRECT("template!"&amp;"G"&amp;A204)))</f>
        <v>#REF!</v>
      </c>
      <c r="K204" t="e" cm="1">
        <f t="array" aca="1" ref="K204" ca="1">IF(OR(A204="",B204="safety"),"",IF(ISBLANK(INDIRECT("template!"&amp;"H"&amp;A204)),"",INDIRECT("template!"&amp;"H"&amp;A204)))</f>
        <v>#REF!</v>
      </c>
      <c r="L204" t="e" cm="1">
        <f t="array" aca="1" ref="L204" ca="1">IF(OR(A204="",B204="safety"),"",INDIRECT("template!"&amp;"I"&amp;A204))</f>
        <v>#REF!</v>
      </c>
      <c r="M204" t="e" cm="1">
        <f t="array" aca="1" ref="M204" ca="1">IF(OR(A204="",B204="safety"),"",INDIRECT("template!"&amp;"J"&amp;A204))</f>
        <v>#REF!</v>
      </c>
      <c r="N204" t="e" cm="1">
        <f t="array" aca="1" ref="N204" ca="1">IF(OR(A204="",B204="safety"),"",IF(ISBLANK(INDIRECT("template!"&amp;"K"&amp;A204)),"",INDIRECT("template!"&amp;"K"&amp;A204)))</f>
        <v>#REF!</v>
      </c>
      <c r="O204" t="e" cm="1">
        <f t="array" aca="1" ref="O204" ca="1">IF(OR(A204="",B204="safety"),"",INDIRECT("template!"&amp;"L"&amp;A204))</f>
        <v>#REF!</v>
      </c>
      <c r="P204" t="e" cm="1">
        <f t="array" aca="1" ref="P204" ca="1">IF(OR(A204="",B204="safety"),"",INDIRECT("template!"&amp;"M"&amp;A204))</f>
        <v>#REF!</v>
      </c>
      <c r="Q204" t="e">
        <f t="shared" ca="1" si="16"/>
        <v>#REF!</v>
      </c>
      <c r="R204" t="e">
        <f t="shared" ca="1" si="17"/>
        <v>#REF!</v>
      </c>
      <c r="S204" t="e">
        <f t="shared" ca="1" si="18"/>
        <v>#REF!</v>
      </c>
      <c r="T204" t="e">
        <f t="shared" ca="1" si="19"/>
        <v>#REF!</v>
      </c>
      <c r="U204" t="e" cm="1">
        <f t="array" aca="1" ref="U204" ca="1">IF(A204="","",IF(E204="","",IF(B204="safety",INDIRECT("template!"&amp;"P"&amp;A204),Q204+R204)))</f>
        <v>#REF!</v>
      </c>
      <c r="V204" t="e" cm="1">
        <f t="array" aca="1" ref="V204" ca="1">IF(A204="","",IF(E204="","",IF(B204="safety",INDIRECT("template!"&amp;"P"&amp;A204),S204+T204)))</f>
        <v>#REF!</v>
      </c>
      <c r="W204" t="e">
        <f ca="1">IF(A204="","",IF(E204="","",#REF!))</f>
        <v>#REF!</v>
      </c>
      <c r="X204" t="e">
        <f ca="1">IF(A204="","",IF(E204="","",#REF!))</f>
        <v>#REF!</v>
      </c>
      <c r="Y204" s="39" t="e">
        <f ca="1">IF(A204="","",IF(E204="","",#REF!))</f>
        <v>#REF!</v>
      </c>
      <c r="Z204" t="e">
        <f ca="1">IF(A204="","",IF(E204="","",#REF!))</f>
        <v>#REF!</v>
      </c>
      <c r="AA204" t="e">
        <f ca="1">IF(A204="","",IF(E204="","",#REF!))</f>
        <v>#REF!</v>
      </c>
      <c r="AB204" t="e">
        <f ca="1">IF(A204="","",IF(E204="","",#REF!))</f>
        <v>#REF!</v>
      </c>
      <c r="AC204" t="e">
        <f t="shared" ca="1" si="20"/>
        <v>#REF!</v>
      </c>
    </row>
    <row r="205" spans="1:29" x14ac:dyDescent="0.35">
      <c r="A205" t="e" cm="1">
        <f t="array" aca="1" ref="A205" ca="1">IF(A204="","",IF(OR(AND(A204+1&gt;=$AF$1,A204+1&lt;=$AF$2),AND(A204+1&gt;=$AF$6,A204+1&lt;=$AF$7),AND(A204+1&gt;=$AF$3,A204+1&lt;=$AF$4),AND(A204+1&gt;=$AF$8,A204+1&lt;=$AF$9),A204+1=$AF$5),IF(NOT(ISBLANK(INDIRECT("template!"&amp;"P"&amp;A204+1))),A204+1,IF(NOT(ISBLANK(INDIRECT("template!"&amp;"P"&amp;A204+2))),A204+2,A204+3)),IF(A204=$AF$2,$AF$3,IF(A204=$AF$4,$AF$5,IF(A204=$AF$5,$AF$6,IF(A204=$AF$7,$AF$8,""))))))</f>
        <v>#REF!</v>
      </c>
      <c r="B205" t="e">
        <f t="shared" ca="1" si="0"/>
        <v>#REF!</v>
      </c>
      <c r="C205" t="e" cm="1">
        <f t="array" aca="1" ref="C205" ca="1">IF(A205="","",IF(B205="safety","safety costs",INDIRECT("template!"&amp;"B"&amp;A205)))</f>
        <v>#REF!</v>
      </c>
      <c r="D205" t="e" cm="1">
        <f t="array" aca="1" ref="D205" ca="1">IF(OR(A205="",B205="safety"),"",INDIRECT("template!"&amp;"C"&amp;A205))</f>
        <v>#REF!</v>
      </c>
      <c r="E205" t="e" cm="1">
        <f t="array" aca="1" ref="E205" ca="1">IF(A205="","",IF(OR(A205=A204+1,A205=A204+2),E204,INDIRECT("template!"&amp;"D"&amp;A205-2)))</f>
        <v>#REF!</v>
      </c>
      <c r="F205" t="e" cm="1">
        <f t="array" aca="1" ref="F205" ca="1">IF(OR(A205="",B205="safety"),"",IF(ISBLANK(IF(A205=A204+1,F204,INDIRECT("template!"&amp;"D"&amp;A205-1))),"",IF(A205=A204+1,F204,INDIRECT("template!"&amp;"D"&amp;A205-1))))</f>
        <v>#REF!</v>
      </c>
      <c r="G205" t="e" cm="1">
        <f t="array" aca="1" ref="G205" ca="1">IF(OR(A205="",B205="safety"),"",IF(ISBLANK(INDIRECT("template!"&amp;"D"&amp;A205)),"",INDIRECT("template!"&amp;"D"&amp;A205)))</f>
        <v>#REF!</v>
      </c>
      <c r="H205" t="e" cm="1">
        <f t="array" aca="1" ref="H205" ca="1">IF(OR(A205="",B205="safety"),"",IF(ISBLANK(INDIRECT("template!"&amp;"E"&amp;A205)),"",INDIRECT("template!"&amp;"E"&amp;A205)))</f>
        <v>#REF!</v>
      </c>
      <c r="I205" t="e" cm="1">
        <f t="array" aca="1" ref="I205" ca="1">IF(OR(A205="",B205="safety"),"",IF(ISBLANK(INDIRECT("template!"&amp;"F"&amp;A205)),"",INDIRECT("template!"&amp;"F"&amp;A205)))</f>
        <v>#REF!</v>
      </c>
      <c r="J205" t="e" cm="1">
        <f t="array" aca="1" ref="J205" ca="1">IF(OR(A205="",B205="safety"),"",IF(ISBLANK(INDIRECT("template!"&amp;"G"&amp;A205)),"",INDIRECT("template!"&amp;"G"&amp;A205)))</f>
        <v>#REF!</v>
      </c>
      <c r="K205" t="e" cm="1">
        <f t="array" aca="1" ref="K205" ca="1">IF(OR(A205="",B205="safety"),"",IF(ISBLANK(INDIRECT("template!"&amp;"H"&amp;A205)),"",INDIRECT("template!"&amp;"H"&amp;A205)))</f>
        <v>#REF!</v>
      </c>
      <c r="L205" t="e" cm="1">
        <f t="array" aca="1" ref="L205" ca="1">IF(OR(A205="",B205="safety"),"",INDIRECT("template!"&amp;"I"&amp;A205))</f>
        <v>#REF!</v>
      </c>
      <c r="M205" t="e" cm="1">
        <f t="array" aca="1" ref="M205" ca="1">IF(OR(A205="",B205="safety"),"",INDIRECT("template!"&amp;"J"&amp;A205))</f>
        <v>#REF!</v>
      </c>
      <c r="N205" t="e" cm="1">
        <f t="array" aca="1" ref="N205" ca="1">IF(OR(A205="",B205="safety"),"",IF(ISBLANK(INDIRECT("template!"&amp;"K"&amp;A205)),"",INDIRECT("template!"&amp;"K"&amp;A205)))</f>
        <v>#REF!</v>
      </c>
      <c r="O205" t="e" cm="1">
        <f t="array" aca="1" ref="O205" ca="1">IF(OR(A205="",B205="safety"),"",INDIRECT("template!"&amp;"L"&amp;A205))</f>
        <v>#REF!</v>
      </c>
      <c r="P205" t="e" cm="1">
        <f t="array" aca="1" ref="P205" ca="1">IF(OR(A205="",B205="safety"),"",INDIRECT("template!"&amp;"M"&amp;A205))</f>
        <v>#REF!</v>
      </c>
      <c r="Q205" t="e">
        <f t="shared" ca="1" si="16"/>
        <v>#REF!</v>
      </c>
      <c r="R205" t="e">
        <f t="shared" ca="1" si="17"/>
        <v>#REF!</v>
      </c>
      <c r="S205" t="e">
        <f t="shared" ca="1" si="18"/>
        <v>#REF!</v>
      </c>
      <c r="T205" t="e">
        <f t="shared" ca="1" si="19"/>
        <v>#REF!</v>
      </c>
      <c r="U205" t="e" cm="1">
        <f t="array" aca="1" ref="U205" ca="1">IF(A205="","",IF(E205="","",IF(B205="safety",INDIRECT("template!"&amp;"P"&amp;A205),Q205+R205)))</f>
        <v>#REF!</v>
      </c>
      <c r="V205" t="e" cm="1">
        <f t="array" aca="1" ref="V205" ca="1">IF(A205="","",IF(E205="","",IF(B205="safety",INDIRECT("template!"&amp;"P"&amp;A205),S205+T205)))</f>
        <v>#REF!</v>
      </c>
      <c r="W205" t="e">
        <f ca="1">IF(A205="","",IF(E205="","",#REF!))</f>
        <v>#REF!</v>
      </c>
      <c r="X205" t="e">
        <f ca="1">IF(A205="","",IF(E205="","",#REF!))</f>
        <v>#REF!</v>
      </c>
      <c r="Y205" s="39" t="e">
        <f ca="1">IF(A205="","",IF(E205="","",#REF!))</f>
        <v>#REF!</v>
      </c>
      <c r="Z205" t="e">
        <f ca="1">IF(A205="","",IF(E205="","",#REF!))</f>
        <v>#REF!</v>
      </c>
      <c r="AA205" t="e">
        <f ca="1">IF(A205="","",IF(E205="","",#REF!))</f>
        <v>#REF!</v>
      </c>
      <c r="AB205" t="e">
        <f ca="1">IF(A205="","",IF(E205="","",#REF!))</f>
        <v>#REF!</v>
      </c>
      <c r="AC205" t="e">
        <f t="shared" ca="1" si="20"/>
        <v>#REF!</v>
      </c>
    </row>
    <row r="206" spans="1:29" x14ac:dyDescent="0.35">
      <c r="A206" t="e" cm="1">
        <f t="array" aca="1" ref="A206" ca="1">IF(A205="","",IF(OR(AND(A205+1&gt;=$AF$1,A205+1&lt;=$AF$2),AND(A205+1&gt;=$AF$6,A205+1&lt;=$AF$7),AND(A205+1&gt;=$AF$3,A205+1&lt;=$AF$4),AND(A205+1&gt;=$AF$8,A205+1&lt;=$AF$9),A205+1=$AF$5),IF(NOT(ISBLANK(INDIRECT("template!"&amp;"P"&amp;A205+1))),A205+1,IF(NOT(ISBLANK(INDIRECT("template!"&amp;"P"&amp;A205+2))),A205+2,A205+3)),IF(A205=$AF$2,$AF$3,IF(A205=$AF$4,$AF$5,IF(A205=$AF$5,$AF$6,IF(A205=$AF$7,$AF$8,""))))))</f>
        <v>#REF!</v>
      </c>
      <c r="B206" t="e">
        <f t="shared" ca="1" si="0"/>
        <v>#REF!</v>
      </c>
      <c r="C206" t="e" cm="1">
        <f t="array" aca="1" ref="C206" ca="1">IF(A206="","",IF(B206="safety","safety costs",INDIRECT("template!"&amp;"B"&amp;A206)))</f>
        <v>#REF!</v>
      </c>
      <c r="D206" t="e" cm="1">
        <f t="array" aca="1" ref="D206" ca="1">IF(OR(A206="",B206="safety"),"",INDIRECT("template!"&amp;"C"&amp;A206))</f>
        <v>#REF!</v>
      </c>
      <c r="E206" t="e" cm="1">
        <f t="array" aca="1" ref="E206" ca="1">IF(A206="","",IF(OR(A206=A205+1,A206=A205+2),E205,INDIRECT("template!"&amp;"D"&amp;A206-2)))</f>
        <v>#REF!</v>
      </c>
      <c r="F206" t="e" cm="1">
        <f t="array" aca="1" ref="F206" ca="1">IF(OR(A206="",B206="safety"),"",IF(ISBLANK(IF(A206=A205+1,F205,INDIRECT("template!"&amp;"D"&amp;A206-1))),"",IF(A206=A205+1,F205,INDIRECT("template!"&amp;"D"&amp;A206-1))))</f>
        <v>#REF!</v>
      </c>
      <c r="G206" t="e" cm="1">
        <f t="array" aca="1" ref="G206" ca="1">IF(OR(A206="",B206="safety"),"",IF(ISBLANK(INDIRECT("template!"&amp;"D"&amp;A206)),"",INDIRECT("template!"&amp;"D"&amp;A206)))</f>
        <v>#REF!</v>
      </c>
      <c r="H206" t="e" cm="1">
        <f t="array" aca="1" ref="H206" ca="1">IF(OR(A206="",B206="safety"),"",IF(ISBLANK(INDIRECT("template!"&amp;"E"&amp;A206)),"",INDIRECT("template!"&amp;"E"&amp;A206)))</f>
        <v>#REF!</v>
      </c>
      <c r="I206" t="e" cm="1">
        <f t="array" aca="1" ref="I206" ca="1">IF(OR(A206="",B206="safety"),"",IF(ISBLANK(INDIRECT("template!"&amp;"F"&amp;A206)),"",INDIRECT("template!"&amp;"F"&amp;A206)))</f>
        <v>#REF!</v>
      </c>
      <c r="J206" t="e" cm="1">
        <f t="array" aca="1" ref="J206" ca="1">IF(OR(A206="",B206="safety"),"",IF(ISBLANK(INDIRECT("template!"&amp;"G"&amp;A206)),"",INDIRECT("template!"&amp;"G"&amp;A206)))</f>
        <v>#REF!</v>
      </c>
      <c r="K206" t="e" cm="1">
        <f t="array" aca="1" ref="K206" ca="1">IF(OR(A206="",B206="safety"),"",IF(ISBLANK(INDIRECT("template!"&amp;"H"&amp;A206)),"",INDIRECT("template!"&amp;"H"&amp;A206)))</f>
        <v>#REF!</v>
      </c>
      <c r="L206" t="e" cm="1">
        <f t="array" aca="1" ref="L206" ca="1">IF(OR(A206="",B206="safety"),"",INDIRECT("template!"&amp;"I"&amp;A206))</f>
        <v>#REF!</v>
      </c>
      <c r="M206" t="e" cm="1">
        <f t="array" aca="1" ref="M206" ca="1">IF(OR(A206="",B206="safety"),"",INDIRECT("template!"&amp;"J"&amp;A206))</f>
        <v>#REF!</v>
      </c>
      <c r="N206" t="e" cm="1">
        <f t="array" aca="1" ref="N206" ca="1">IF(OR(A206="",B206="safety"),"",IF(ISBLANK(INDIRECT("template!"&amp;"K"&amp;A206)),"",INDIRECT("template!"&amp;"K"&amp;A206)))</f>
        <v>#REF!</v>
      </c>
      <c r="O206" t="e" cm="1">
        <f t="array" aca="1" ref="O206" ca="1">IF(OR(A206="",B206="safety"),"",INDIRECT("template!"&amp;"L"&amp;A206))</f>
        <v>#REF!</v>
      </c>
      <c r="P206" t="e" cm="1">
        <f t="array" aca="1" ref="P206" ca="1">IF(OR(A206="",B206="safety"),"",INDIRECT("template!"&amp;"M"&amp;A206))</f>
        <v>#REF!</v>
      </c>
      <c r="Q206" t="e">
        <f t="shared" ca="1" si="16"/>
        <v>#REF!</v>
      </c>
      <c r="R206" t="e">
        <f t="shared" ca="1" si="17"/>
        <v>#REF!</v>
      </c>
      <c r="S206" t="e">
        <f t="shared" ca="1" si="18"/>
        <v>#REF!</v>
      </c>
      <c r="T206" t="e">
        <f t="shared" ca="1" si="19"/>
        <v>#REF!</v>
      </c>
      <c r="U206" t="e" cm="1">
        <f t="array" aca="1" ref="U206" ca="1">IF(A206="","",IF(E206="","",IF(B206="safety",INDIRECT("template!"&amp;"P"&amp;A206),Q206+R206)))</f>
        <v>#REF!</v>
      </c>
      <c r="V206" t="e" cm="1">
        <f t="array" aca="1" ref="V206" ca="1">IF(A206="","",IF(E206="","",IF(B206="safety",INDIRECT("template!"&amp;"P"&amp;A206),S206+T206)))</f>
        <v>#REF!</v>
      </c>
      <c r="W206" t="e">
        <f ca="1">IF(A206="","",IF(E206="","",#REF!))</f>
        <v>#REF!</v>
      </c>
      <c r="X206" t="e">
        <f ca="1">IF(A206="","",IF(E206="","",#REF!))</f>
        <v>#REF!</v>
      </c>
      <c r="Y206" s="39" t="e">
        <f ca="1">IF(A206="","",IF(E206="","",#REF!))</f>
        <v>#REF!</v>
      </c>
      <c r="Z206" t="e">
        <f ca="1">IF(A206="","",IF(E206="","",#REF!))</f>
        <v>#REF!</v>
      </c>
      <c r="AA206" t="e">
        <f ca="1">IF(A206="","",IF(E206="","",#REF!))</f>
        <v>#REF!</v>
      </c>
      <c r="AB206" t="e">
        <f ca="1">IF(A206="","",IF(E206="","",#REF!))</f>
        <v>#REF!</v>
      </c>
      <c r="AC206" t="e">
        <f t="shared" ca="1" si="20"/>
        <v>#REF!</v>
      </c>
    </row>
    <row r="207" spans="1:29" x14ac:dyDescent="0.35">
      <c r="A207" t="e" cm="1">
        <f t="array" aca="1" ref="A207" ca="1">IF(A206="","",IF(OR(AND(A206+1&gt;=$AF$1,A206+1&lt;=$AF$2),AND(A206+1&gt;=$AF$6,A206+1&lt;=$AF$7),AND(A206+1&gt;=$AF$3,A206+1&lt;=$AF$4),AND(A206+1&gt;=$AF$8,A206+1&lt;=$AF$9),A206+1=$AF$5),IF(NOT(ISBLANK(INDIRECT("template!"&amp;"P"&amp;A206+1))),A206+1,IF(NOT(ISBLANK(INDIRECT("template!"&amp;"P"&amp;A206+2))),A206+2,A206+3)),IF(A206=$AF$2,$AF$3,IF(A206=$AF$4,$AF$5,IF(A206=$AF$5,$AF$6,IF(A206=$AF$7,$AF$8,""))))))</f>
        <v>#REF!</v>
      </c>
      <c r="B207" t="e">
        <f t="shared" ca="1" si="0"/>
        <v>#REF!</v>
      </c>
      <c r="C207" t="e" cm="1">
        <f t="array" aca="1" ref="C207" ca="1">IF(A207="","",IF(B207="safety","safety costs",INDIRECT("template!"&amp;"B"&amp;A207)))</f>
        <v>#REF!</v>
      </c>
      <c r="D207" t="e" cm="1">
        <f t="array" aca="1" ref="D207" ca="1">IF(OR(A207="",B207="safety"),"",INDIRECT("template!"&amp;"C"&amp;A207))</f>
        <v>#REF!</v>
      </c>
      <c r="E207" t="e" cm="1">
        <f t="array" aca="1" ref="E207" ca="1">IF(A207="","",IF(OR(A207=A206+1,A207=A206+2),E206,INDIRECT("template!"&amp;"D"&amp;A207-2)))</f>
        <v>#REF!</v>
      </c>
      <c r="F207" t="e" cm="1">
        <f t="array" aca="1" ref="F207" ca="1">IF(OR(A207="",B207="safety"),"",IF(ISBLANK(IF(A207=A206+1,F206,INDIRECT("template!"&amp;"D"&amp;A207-1))),"",IF(A207=A206+1,F206,INDIRECT("template!"&amp;"D"&amp;A207-1))))</f>
        <v>#REF!</v>
      </c>
      <c r="G207" t="e" cm="1">
        <f t="array" aca="1" ref="G207" ca="1">IF(OR(A207="",B207="safety"),"",IF(ISBLANK(INDIRECT("template!"&amp;"D"&amp;A207)),"",INDIRECT("template!"&amp;"D"&amp;A207)))</f>
        <v>#REF!</v>
      </c>
      <c r="H207" t="e" cm="1">
        <f t="array" aca="1" ref="H207" ca="1">IF(OR(A207="",B207="safety"),"",IF(ISBLANK(INDIRECT("template!"&amp;"E"&amp;A207)),"",INDIRECT("template!"&amp;"E"&amp;A207)))</f>
        <v>#REF!</v>
      </c>
      <c r="I207" t="e" cm="1">
        <f t="array" aca="1" ref="I207" ca="1">IF(OR(A207="",B207="safety"),"",IF(ISBLANK(INDIRECT("template!"&amp;"F"&amp;A207)),"",INDIRECT("template!"&amp;"F"&amp;A207)))</f>
        <v>#REF!</v>
      </c>
      <c r="J207" t="e" cm="1">
        <f t="array" aca="1" ref="J207" ca="1">IF(OR(A207="",B207="safety"),"",IF(ISBLANK(INDIRECT("template!"&amp;"G"&amp;A207)),"",INDIRECT("template!"&amp;"G"&amp;A207)))</f>
        <v>#REF!</v>
      </c>
      <c r="K207" t="e" cm="1">
        <f t="array" aca="1" ref="K207" ca="1">IF(OR(A207="",B207="safety"),"",IF(ISBLANK(INDIRECT("template!"&amp;"H"&amp;A207)),"",INDIRECT("template!"&amp;"H"&amp;A207)))</f>
        <v>#REF!</v>
      </c>
      <c r="L207" t="e" cm="1">
        <f t="array" aca="1" ref="L207" ca="1">IF(OR(A207="",B207="safety"),"",INDIRECT("template!"&amp;"I"&amp;A207))</f>
        <v>#REF!</v>
      </c>
      <c r="M207" t="e" cm="1">
        <f t="array" aca="1" ref="M207" ca="1">IF(OR(A207="",B207="safety"),"",INDIRECT("template!"&amp;"J"&amp;A207))</f>
        <v>#REF!</v>
      </c>
      <c r="N207" t="e" cm="1">
        <f t="array" aca="1" ref="N207" ca="1">IF(OR(A207="",B207="safety"),"",IF(ISBLANK(INDIRECT("template!"&amp;"K"&amp;A207)),"",INDIRECT("template!"&amp;"K"&amp;A207)))</f>
        <v>#REF!</v>
      </c>
      <c r="O207" t="e" cm="1">
        <f t="array" aca="1" ref="O207" ca="1">IF(OR(A207="",B207="safety"),"",INDIRECT("template!"&amp;"L"&amp;A207))</f>
        <v>#REF!</v>
      </c>
      <c r="P207" t="e" cm="1">
        <f t="array" aca="1" ref="P207" ca="1">IF(OR(A207="",B207="safety"),"",INDIRECT("template!"&amp;"M"&amp;A207))</f>
        <v>#REF!</v>
      </c>
      <c r="Q207" t="e">
        <f t="shared" ca="1" si="16"/>
        <v>#REF!</v>
      </c>
      <c r="R207" t="e">
        <f t="shared" ca="1" si="17"/>
        <v>#REF!</v>
      </c>
      <c r="S207" t="e">
        <f t="shared" ca="1" si="18"/>
        <v>#REF!</v>
      </c>
      <c r="T207" t="e">
        <f t="shared" ca="1" si="19"/>
        <v>#REF!</v>
      </c>
      <c r="U207" t="e" cm="1">
        <f t="array" aca="1" ref="U207" ca="1">IF(A207="","",IF(E207="","",IF(B207="safety",INDIRECT("template!"&amp;"P"&amp;A207),Q207+R207)))</f>
        <v>#REF!</v>
      </c>
      <c r="V207" t="e" cm="1">
        <f t="array" aca="1" ref="V207" ca="1">IF(A207="","",IF(E207="","",IF(B207="safety",INDIRECT("template!"&amp;"P"&amp;A207),S207+T207)))</f>
        <v>#REF!</v>
      </c>
      <c r="W207" t="e">
        <f ca="1">IF(A207="","",IF(E207="","",#REF!))</f>
        <v>#REF!</v>
      </c>
      <c r="X207" t="e">
        <f ca="1">IF(A207="","",IF(E207="","",#REF!))</f>
        <v>#REF!</v>
      </c>
      <c r="Y207" s="39" t="e">
        <f ca="1">IF(A207="","",IF(E207="","",#REF!))</f>
        <v>#REF!</v>
      </c>
      <c r="Z207" t="e">
        <f ca="1">IF(A207="","",IF(E207="","",#REF!))</f>
        <v>#REF!</v>
      </c>
      <c r="AA207" t="e">
        <f ca="1">IF(A207="","",IF(E207="","",#REF!))</f>
        <v>#REF!</v>
      </c>
      <c r="AB207" t="e">
        <f ca="1">IF(A207="","",IF(E207="","",#REF!))</f>
        <v>#REF!</v>
      </c>
      <c r="AC207" t="e">
        <f t="shared" ca="1" si="20"/>
        <v>#REF!</v>
      </c>
    </row>
    <row r="208" spans="1:29" x14ac:dyDescent="0.35">
      <c r="A208" t="e" cm="1">
        <f t="array" aca="1" ref="A208" ca="1">IF(A207="","",IF(OR(AND(A207+1&gt;=$AF$1,A207+1&lt;=$AF$2),AND(A207+1&gt;=$AF$6,A207+1&lt;=$AF$7),AND(A207+1&gt;=$AF$3,A207+1&lt;=$AF$4),AND(A207+1&gt;=$AF$8,A207+1&lt;=$AF$9),A207+1=$AF$5),IF(NOT(ISBLANK(INDIRECT("template!"&amp;"P"&amp;A207+1))),A207+1,IF(NOT(ISBLANK(INDIRECT("template!"&amp;"P"&amp;A207+2))),A207+2,A207+3)),IF(A207=$AF$2,$AF$3,IF(A207=$AF$4,$AF$5,IF(A207=$AF$5,$AF$6,IF(A207=$AF$7,$AF$8,""))))))</f>
        <v>#REF!</v>
      </c>
      <c r="B208" t="e">
        <f t="shared" ca="1" si="0"/>
        <v>#REF!</v>
      </c>
      <c r="C208" t="e" cm="1">
        <f t="array" aca="1" ref="C208" ca="1">IF(A208="","",IF(B208="safety","safety costs",INDIRECT("template!"&amp;"B"&amp;A208)))</f>
        <v>#REF!</v>
      </c>
      <c r="D208" t="e" cm="1">
        <f t="array" aca="1" ref="D208" ca="1">IF(OR(A208="",B208="safety"),"",INDIRECT("template!"&amp;"C"&amp;A208))</f>
        <v>#REF!</v>
      </c>
      <c r="E208" t="e" cm="1">
        <f t="array" aca="1" ref="E208" ca="1">IF(A208="","",IF(OR(A208=A207+1,A208=A207+2),E207,INDIRECT("template!"&amp;"D"&amp;A208-2)))</f>
        <v>#REF!</v>
      </c>
      <c r="F208" t="e" cm="1">
        <f t="array" aca="1" ref="F208" ca="1">IF(OR(A208="",B208="safety"),"",IF(ISBLANK(IF(A208=A207+1,F207,INDIRECT("template!"&amp;"D"&amp;A208-1))),"",IF(A208=A207+1,F207,INDIRECT("template!"&amp;"D"&amp;A208-1))))</f>
        <v>#REF!</v>
      </c>
      <c r="G208" t="e" cm="1">
        <f t="array" aca="1" ref="G208" ca="1">IF(OR(A208="",B208="safety"),"",IF(ISBLANK(INDIRECT("template!"&amp;"D"&amp;A208)),"",INDIRECT("template!"&amp;"D"&amp;A208)))</f>
        <v>#REF!</v>
      </c>
      <c r="H208" t="e" cm="1">
        <f t="array" aca="1" ref="H208" ca="1">IF(OR(A208="",B208="safety"),"",IF(ISBLANK(INDIRECT("template!"&amp;"E"&amp;A208)),"",INDIRECT("template!"&amp;"E"&amp;A208)))</f>
        <v>#REF!</v>
      </c>
      <c r="I208" t="e" cm="1">
        <f t="array" aca="1" ref="I208" ca="1">IF(OR(A208="",B208="safety"),"",IF(ISBLANK(INDIRECT("template!"&amp;"F"&amp;A208)),"",INDIRECT("template!"&amp;"F"&amp;A208)))</f>
        <v>#REF!</v>
      </c>
      <c r="J208" t="e" cm="1">
        <f t="array" aca="1" ref="J208" ca="1">IF(OR(A208="",B208="safety"),"",IF(ISBLANK(INDIRECT("template!"&amp;"G"&amp;A208)),"",INDIRECT("template!"&amp;"G"&amp;A208)))</f>
        <v>#REF!</v>
      </c>
      <c r="K208" t="e" cm="1">
        <f t="array" aca="1" ref="K208" ca="1">IF(OR(A208="",B208="safety"),"",IF(ISBLANK(INDIRECT("template!"&amp;"H"&amp;A208)),"",INDIRECT("template!"&amp;"H"&amp;A208)))</f>
        <v>#REF!</v>
      </c>
      <c r="L208" t="e" cm="1">
        <f t="array" aca="1" ref="L208" ca="1">IF(OR(A208="",B208="safety"),"",INDIRECT("template!"&amp;"I"&amp;A208))</f>
        <v>#REF!</v>
      </c>
      <c r="M208" t="e" cm="1">
        <f t="array" aca="1" ref="M208" ca="1">IF(OR(A208="",B208="safety"),"",INDIRECT("template!"&amp;"J"&amp;A208))</f>
        <v>#REF!</v>
      </c>
      <c r="N208" t="e" cm="1">
        <f t="array" aca="1" ref="N208" ca="1">IF(OR(A208="",B208="safety"),"",IF(ISBLANK(INDIRECT("template!"&amp;"K"&amp;A208)),"",INDIRECT("template!"&amp;"K"&amp;A208)))</f>
        <v>#REF!</v>
      </c>
      <c r="O208" t="e" cm="1">
        <f t="array" aca="1" ref="O208" ca="1">IF(OR(A208="",B208="safety"),"",INDIRECT("template!"&amp;"L"&amp;A208))</f>
        <v>#REF!</v>
      </c>
      <c r="P208" t="e" cm="1">
        <f t="array" aca="1" ref="P208" ca="1">IF(OR(A208="",B208="safety"),"",INDIRECT("template!"&amp;"M"&amp;A208))</f>
        <v>#REF!</v>
      </c>
      <c r="Q208" t="e">
        <f t="shared" ca="1" si="16"/>
        <v>#REF!</v>
      </c>
      <c r="R208" t="e">
        <f t="shared" ca="1" si="17"/>
        <v>#REF!</v>
      </c>
      <c r="S208" t="e">
        <f t="shared" ca="1" si="18"/>
        <v>#REF!</v>
      </c>
      <c r="T208" t="e">
        <f t="shared" ca="1" si="19"/>
        <v>#REF!</v>
      </c>
      <c r="U208" t="e" cm="1">
        <f t="array" aca="1" ref="U208" ca="1">IF(A208="","",IF(E208="","",IF(B208="safety",INDIRECT("template!"&amp;"P"&amp;A208),Q208+R208)))</f>
        <v>#REF!</v>
      </c>
      <c r="V208" t="e" cm="1">
        <f t="array" aca="1" ref="V208" ca="1">IF(A208="","",IF(E208="","",IF(B208="safety",INDIRECT("template!"&amp;"P"&amp;A208),S208+T208)))</f>
        <v>#REF!</v>
      </c>
      <c r="W208" t="e">
        <f ca="1">IF(A208="","",IF(E208="","",#REF!))</f>
        <v>#REF!</v>
      </c>
      <c r="X208" t="e">
        <f ca="1">IF(A208="","",IF(E208="","",#REF!))</f>
        <v>#REF!</v>
      </c>
      <c r="Y208" s="39" t="e">
        <f ca="1">IF(A208="","",IF(E208="","",#REF!))</f>
        <v>#REF!</v>
      </c>
      <c r="Z208" t="e">
        <f ca="1">IF(A208="","",IF(E208="","",#REF!))</f>
        <v>#REF!</v>
      </c>
      <c r="AA208" t="e">
        <f ca="1">IF(A208="","",IF(E208="","",#REF!))</f>
        <v>#REF!</v>
      </c>
      <c r="AB208" t="e">
        <f ca="1">IF(A208="","",IF(E208="","",#REF!))</f>
        <v>#REF!</v>
      </c>
      <c r="AC208" t="e">
        <f t="shared" ca="1" si="20"/>
        <v>#REF!</v>
      </c>
    </row>
    <row r="209" spans="1:29" x14ac:dyDescent="0.35">
      <c r="A209" t="e" cm="1">
        <f t="array" aca="1" ref="A209" ca="1">IF(A208="","",IF(OR(AND(A208+1&gt;=$AF$1,A208+1&lt;=$AF$2),AND(A208+1&gt;=$AF$6,A208+1&lt;=$AF$7),AND(A208+1&gt;=$AF$3,A208+1&lt;=$AF$4),AND(A208+1&gt;=$AF$8,A208+1&lt;=$AF$9),A208+1=$AF$5),IF(NOT(ISBLANK(INDIRECT("template!"&amp;"P"&amp;A208+1))),A208+1,IF(NOT(ISBLANK(INDIRECT("template!"&amp;"P"&amp;A208+2))),A208+2,A208+3)),IF(A208=$AF$2,$AF$3,IF(A208=$AF$4,$AF$5,IF(A208=$AF$5,$AF$6,IF(A208=$AF$7,$AF$8,""))))))</f>
        <v>#REF!</v>
      </c>
      <c r="B209" t="e">
        <f t="shared" ca="1" si="0"/>
        <v>#REF!</v>
      </c>
      <c r="C209" t="e" cm="1">
        <f t="array" aca="1" ref="C209" ca="1">IF(A209="","",IF(B209="safety","safety costs",INDIRECT("template!"&amp;"B"&amp;A209)))</f>
        <v>#REF!</v>
      </c>
      <c r="D209" t="e" cm="1">
        <f t="array" aca="1" ref="D209" ca="1">IF(OR(A209="",B209="safety"),"",INDIRECT("template!"&amp;"C"&amp;A209))</f>
        <v>#REF!</v>
      </c>
      <c r="E209" t="e" cm="1">
        <f t="array" aca="1" ref="E209" ca="1">IF(A209="","",IF(OR(A209=A208+1,A209=A208+2),E208,INDIRECT("template!"&amp;"D"&amp;A209-2)))</f>
        <v>#REF!</v>
      </c>
      <c r="F209" t="e" cm="1">
        <f t="array" aca="1" ref="F209" ca="1">IF(OR(A209="",B209="safety"),"",IF(ISBLANK(IF(A209=A208+1,F208,INDIRECT("template!"&amp;"D"&amp;A209-1))),"",IF(A209=A208+1,F208,INDIRECT("template!"&amp;"D"&amp;A209-1))))</f>
        <v>#REF!</v>
      </c>
      <c r="G209" t="e" cm="1">
        <f t="array" aca="1" ref="G209" ca="1">IF(OR(A209="",B209="safety"),"",IF(ISBLANK(INDIRECT("template!"&amp;"D"&amp;A209)),"",INDIRECT("template!"&amp;"D"&amp;A209)))</f>
        <v>#REF!</v>
      </c>
      <c r="H209" t="e" cm="1">
        <f t="array" aca="1" ref="H209" ca="1">IF(OR(A209="",B209="safety"),"",IF(ISBLANK(INDIRECT("template!"&amp;"E"&amp;A209)),"",INDIRECT("template!"&amp;"E"&amp;A209)))</f>
        <v>#REF!</v>
      </c>
      <c r="I209" t="e" cm="1">
        <f t="array" aca="1" ref="I209" ca="1">IF(OR(A209="",B209="safety"),"",IF(ISBLANK(INDIRECT("template!"&amp;"F"&amp;A209)),"",INDIRECT("template!"&amp;"F"&amp;A209)))</f>
        <v>#REF!</v>
      </c>
      <c r="J209" t="e" cm="1">
        <f t="array" aca="1" ref="J209" ca="1">IF(OR(A209="",B209="safety"),"",IF(ISBLANK(INDIRECT("template!"&amp;"G"&amp;A209)),"",INDIRECT("template!"&amp;"G"&amp;A209)))</f>
        <v>#REF!</v>
      </c>
      <c r="K209" t="e" cm="1">
        <f t="array" aca="1" ref="K209" ca="1">IF(OR(A209="",B209="safety"),"",IF(ISBLANK(INDIRECT("template!"&amp;"H"&amp;A209)),"",INDIRECT("template!"&amp;"H"&amp;A209)))</f>
        <v>#REF!</v>
      </c>
      <c r="L209" t="e" cm="1">
        <f t="array" aca="1" ref="L209" ca="1">IF(OR(A209="",B209="safety"),"",INDIRECT("template!"&amp;"I"&amp;A209))</f>
        <v>#REF!</v>
      </c>
      <c r="M209" t="e" cm="1">
        <f t="array" aca="1" ref="M209" ca="1">IF(OR(A209="",B209="safety"),"",INDIRECT("template!"&amp;"J"&amp;A209))</f>
        <v>#REF!</v>
      </c>
      <c r="N209" t="e" cm="1">
        <f t="array" aca="1" ref="N209" ca="1">IF(OR(A209="",B209="safety"),"",IF(ISBLANK(INDIRECT("template!"&amp;"K"&amp;A209)),"",INDIRECT("template!"&amp;"K"&amp;A209)))</f>
        <v>#REF!</v>
      </c>
      <c r="O209" t="e" cm="1">
        <f t="array" aca="1" ref="O209" ca="1">IF(OR(A209="",B209="safety"),"",INDIRECT("template!"&amp;"L"&amp;A209))</f>
        <v>#REF!</v>
      </c>
      <c r="P209" t="e" cm="1">
        <f t="array" aca="1" ref="P209" ca="1">IF(OR(A209="",B209="safety"),"",INDIRECT("template!"&amp;"M"&amp;A209))</f>
        <v>#REF!</v>
      </c>
      <c r="Q209" t="e">
        <f t="shared" ca="1" si="16"/>
        <v>#REF!</v>
      </c>
      <c r="R209" t="e">
        <f t="shared" ca="1" si="17"/>
        <v>#REF!</v>
      </c>
      <c r="S209" t="e">
        <f t="shared" ca="1" si="18"/>
        <v>#REF!</v>
      </c>
      <c r="T209" t="e">
        <f t="shared" ca="1" si="19"/>
        <v>#REF!</v>
      </c>
      <c r="U209" t="e" cm="1">
        <f t="array" aca="1" ref="U209" ca="1">IF(A209="","",IF(E209="","",IF(B209="safety",INDIRECT("template!"&amp;"P"&amp;A209),Q209+R209)))</f>
        <v>#REF!</v>
      </c>
      <c r="V209" t="e" cm="1">
        <f t="array" aca="1" ref="V209" ca="1">IF(A209="","",IF(E209="","",IF(B209="safety",INDIRECT("template!"&amp;"P"&amp;A209),S209+T209)))</f>
        <v>#REF!</v>
      </c>
      <c r="W209" t="e">
        <f ca="1">IF(A209="","",IF(E209="","",#REF!))</f>
        <v>#REF!</v>
      </c>
      <c r="X209" t="e">
        <f ca="1">IF(A209="","",IF(E209="","",#REF!))</f>
        <v>#REF!</v>
      </c>
      <c r="Y209" s="39" t="e">
        <f ca="1">IF(A209="","",IF(E209="","",#REF!))</f>
        <v>#REF!</v>
      </c>
      <c r="Z209" t="e">
        <f ca="1">IF(A209="","",IF(E209="","",#REF!))</f>
        <v>#REF!</v>
      </c>
      <c r="AA209" t="e">
        <f ca="1">IF(A209="","",IF(E209="","",#REF!))</f>
        <v>#REF!</v>
      </c>
      <c r="AB209" t="e">
        <f ca="1">IF(A209="","",IF(E209="","",#REF!))</f>
        <v>#REF!</v>
      </c>
      <c r="AC209" t="e">
        <f t="shared" ca="1" si="20"/>
        <v>#REF!</v>
      </c>
    </row>
    <row r="210" spans="1:29" x14ac:dyDescent="0.35">
      <c r="A210" t="e" cm="1">
        <f t="array" aca="1" ref="A210" ca="1">IF(A209="","",IF(OR(AND(A209+1&gt;=$AF$1,A209+1&lt;=$AF$2),AND(A209+1&gt;=$AF$6,A209+1&lt;=$AF$7),AND(A209+1&gt;=$AF$3,A209+1&lt;=$AF$4),AND(A209+1&gt;=$AF$8,A209+1&lt;=$AF$9),A209+1=$AF$5),IF(NOT(ISBLANK(INDIRECT("template!"&amp;"P"&amp;A209+1))),A209+1,IF(NOT(ISBLANK(INDIRECT("template!"&amp;"P"&amp;A209+2))),A209+2,A209+3)),IF(A209=$AF$2,$AF$3,IF(A209=$AF$4,$AF$5,IF(A209=$AF$5,$AF$6,IF(A209=$AF$7,$AF$8,""))))))</f>
        <v>#REF!</v>
      </c>
      <c r="B210" t="e">
        <f t="shared" ca="1" si="0"/>
        <v>#REF!</v>
      </c>
      <c r="C210" t="e" cm="1">
        <f t="array" aca="1" ref="C210" ca="1">IF(A210="","",IF(B210="safety","safety costs",INDIRECT("template!"&amp;"B"&amp;A210)))</f>
        <v>#REF!</v>
      </c>
      <c r="D210" t="e" cm="1">
        <f t="array" aca="1" ref="D210" ca="1">IF(OR(A210="",B210="safety"),"",INDIRECT("template!"&amp;"C"&amp;A210))</f>
        <v>#REF!</v>
      </c>
      <c r="E210" t="e" cm="1">
        <f t="array" aca="1" ref="E210" ca="1">IF(A210="","",IF(OR(A210=A209+1,A210=A209+2),E209,INDIRECT("template!"&amp;"D"&amp;A210-2)))</f>
        <v>#REF!</v>
      </c>
      <c r="F210" t="e" cm="1">
        <f t="array" aca="1" ref="F210" ca="1">IF(OR(A210="",B210="safety"),"",IF(ISBLANK(IF(A210=A209+1,F209,INDIRECT("template!"&amp;"D"&amp;A210-1))),"",IF(A210=A209+1,F209,INDIRECT("template!"&amp;"D"&amp;A210-1))))</f>
        <v>#REF!</v>
      </c>
      <c r="G210" t="e" cm="1">
        <f t="array" aca="1" ref="G210" ca="1">IF(OR(A210="",B210="safety"),"",IF(ISBLANK(INDIRECT("template!"&amp;"D"&amp;A210)),"",INDIRECT("template!"&amp;"D"&amp;A210)))</f>
        <v>#REF!</v>
      </c>
      <c r="H210" t="e" cm="1">
        <f t="array" aca="1" ref="H210" ca="1">IF(OR(A210="",B210="safety"),"",IF(ISBLANK(INDIRECT("template!"&amp;"E"&amp;A210)),"",INDIRECT("template!"&amp;"E"&amp;A210)))</f>
        <v>#REF!</v>
      </c>
      <c r="I210" t="e" cm="1">
        <f t="array" aca="1" ref="I210" ca="1">IF(OR(A210="",B210="safety"),"",IF(ISBLANK(INDIRECT("template!"&amp;"F"&amp;A210)),"",INDIRECT("template!"&amp;"F"&amp;A210)))</f>
        <v>#REF!</v>
      </c>
      <c r="J210" t="e" cm="1">
        <f t="array" aca="1" ref="J210" ca="1">IF(OR(A210="",B210="safety"),"",IF(ISBLANK(INDIRECT("template!"&amp;"G"&amp;A210)),"",INDIRECT("template!"&amp;"G"&amp;A210)))</f>
        <v>#REF!</v>
      </c>
      <c r="K210" t="e" cm="1">
        <f t="array" aca="1" ref="K210" ca="1">IF(OR(A210="",B210="safety"),"",IF(ISBLANK(INDIRECT("template!"&amp;"H"&amp;A210)),"",INDIRECT("template!"&amp;"H"&amp;A210)))</f>
        <v>#REF!</v>
      </c>
      <c r="L210" t="e" cm="1">
        <f t="array" aca="1" ref="L210" ca="1">IF(OR(A210="",B210="safety"),"",INDIRECT("template!"&amp;"I"&amp;A210))</f>
        <v>#REF!</v>
      </c>
      <c r="M210" t="e" cm="1">
        <f t="array" aca="1" ref="M210" ca="1">IF(OR(A210="",B210="safety"),"",INDIRECT("template!"&amp;"J"&amp;A210))</f>
        <v>#REF!</v>
      </c>
      <c r="N210" t="e" cm="1">
        <f t="array" aca="1" ref="N210" ca="1">IF(OR(A210="",B210="safety"),"",IF(ISBLANK(INDIRECT("template!"&amp;"K"&amp;A210)),"",INDIRECT("template!"&amp;"K"&amp;A210)))</f>
        <v>#REF!</v>
      </c>
      <c r="O210" t="e" cm="1">
        <f t="array" aca="1" ref="O210" ca="1">IF(OR(A210="",B210="safety"),"",INDIRECT("template!"&amp;"L"&amp;A210))</f>
        <v>#REF!</v>
      </c>
      <c r="P210" t="e" cm="1">
        <f t="array" aca="1" ref="P210" ca="1">IF(OR(A210="",B210="safety"),"",INDIRECT("template!"&amp;"M"&amp;A210))</f>
        <v>#REF!</v>
      </c>
      <c r="Q210" t="e">
        <f t="shared" ca="1" si="16"/>
        <v>#REF!</v>
      </c>
      <c r="R210" t="e">
        <f t="shared" ca="1" si="17"/>
        <v>#REF!</v>
      </c>
      <c r="S210" t="e">
        <f t="shared" ca="1" si="18"/>
        <v>#REF!</v>
      </c>
      <c r="T210" t="e">
        <f t="shared" ca="1" si="19"/>
        <v>#REF!</v>
      </c>
      <c r="U210" t="e" cm="1">
        <f t="array" aca="1" ref="U210" ca="1">IF(A210="","",IF(E210="","",IF(B210="safety",INDIRECT("template!"&amp;"P"&amp;A210),Q210+R210)))</f>
        <v>#REF!</v>
      </c>
      <c r="V210" t="e" cm="1">
        <f t="array" aca="1" ref="V210" ca="1">IF(A210="","",IF(E210="","",IF(B210="safety",INDIRECT("template!"&amp;"P"&amp;A210),S210+T210)))</f>
        <v>#REF!</v>
      </c>
      <c r="W210" t="e">
        <f ca="1">IF(A210="","",IF(E210="","",#REF!))</f>
        <v>#REF!</v>
      </c>
      <c r="X210" t="e">
        <f ca="1">IF(A210="","",IF(E210="","",#REF!))</f>
        <v>#REF!</v>
      </c>
      <c r="Y210" s="39" t="e">
        <f ca="1">IF(A210="","",IF(E210="","",#REF!))</f>
        <v>#REF!</v>
      </c>
      <c r="Z210" t="e">
        <f ca="1">IF(A210="","",IF(E210="","",#REF!))</f>
        <v>#REF!</v>
      </c>
      <c r="AA210" t="e">
        <f ca="1">IF(A210="","",IF(E210="","",#REF!))</f>
        <v>#REF!</v>
      </c>
      <c r="AB210" t="e">
        <f ca="1">IF(A210="","",IF(E210="","",#REF!))</f>
        <v>#REF!</v>
      </c>
      <c r="AC210" t="e">
        <f t="shared" ca="1" si="20"/>
        <v>#REF!</v>
      </c>
    </row>
    <row r="211" spans="1:29" x14ac:dyDescent="0.35">
      <c r="A211" t="e" cm="1">
        <f t="array" aca="1" ref="A211" ca="1">IF(A210="","",IF(OR(AND(A210+1&gt;=$AF$1,A210+1&lt;=$AF$2),AND(A210+1&gt;=$AF$6,A210+1&lt;=$AF$7),AND(A210+1&gt;=$AF$3,A210+1&lt;=$AF$4),AND(A210+1&gt;=$AF$8,A210+1&lt;=$AF$9),A210+1=$AF$5),IF(NOT(ISBLANK(INDIRECT("template!"&amp;"P"&amp;A210+1))),A210+1,IF(NOT(ISBLANK(INDIRECT("template!"&amp;"P"&amp;A210+2))),A210+2,A210+3)),IF(A210=$AF$2,$AF$3,IF(A210=$AF$4,$AF$5,IF(A210=$AF$5,$AF$6,IF(A210=$AF$7,$AF$8,""))))))</f>
        <v>#REF!</v>
      </c>
      <c r="B211" t="e">
        <f t="shared" ca="1" si="0"/>
        <v>#REF!</v>
      </c>
      <c r="C211" t="e" cm="1">
        <f t="array" aca="1" ref="C211" ca="1">IF(A211="","",IF(B211="safety","safety costs",INDIRECT("template!"&amp;"B"&amp;A211)))</f>
        <v>#REF!</v>
      </c>
      <c r="D211" t="e" cm="1">
        <f t="array" aca="1" ref="D211" ca="1">IF(OR(A211="",B211="safety"),"",INDIRECT("template!"&amp;"C"&amp;A211))</f>
        <v>#REF!</v>
      </c>
      <c r="E211" t="e" cm="1">
        <f t="array" aca="1" ref="E211" ca="1">IF(A211="","",IF(OR(A211=A210+1,A211=A210+2),E210,INDIRECT("template!"&amp;"D"&amp;A211-2)))</f>
        <v>#REF!</v>
      </c>
      <c r="F211" t="e" cm="1">
        <f t="array" aca="1" ref="F211" ca="1">IF(OR(A211="",B211="safety"),"",IF(ISBLANK(IF(A211=A210+1,F210,INDIRECT("template!"&amp;"D"&amp;A211-1))),"",IF(A211=A210+1,F210,INDIRECT("template!"&amp;"D"&amp;A211-1))))</f>
        <v>#REF!</v>
      </c>
      <c r="G211" t="e" cm="1">
        <f t="array" aca="1" ref="G211" ca="1">IF(OR(A211="",B211="safety"),"",IF(ISBLANK(INDIRECT("template!"&amp;"D"&amp;A211)),"",INDIRECT("template!"&amp;"D"&amp;A211)))</f>
        <v>#REF!</v>
      </c>
      <c r="H211" t="e" cm="1">
        <f t="array" aca="1" ref="H211" ca="1">IF(OR(A211="",B211="safety"),"",IF(ISBLANK(INDIRECT("template!"&amp;"E"&amp;A211)),"",INDIRECT("template!"&amp;"E"&amp;A211)))</f>
        <v>#REF!</v>
      </c>
      <c r="I211" t="e" cm="1">
        <f t="array" aca="1" ref="I211" ca="1">IF(OR(A211="",B211="safety"),"",IF(ISBLANK(INDIRECT("template!"&amp;"F"&amp;A211)),"",INDIRECT("template!"&amp;"F"&amp;A211)))</f>
        <v>#REF!</v>
      </c>
      <c r="J211" t="e" cm="1">
        <f t="array" aca="1" ref="J211" ca="1">IF(OR(A211="",B211="safety"),"",IF(ISBLANK(INDIRECT("template!"&amp;"G"&amp;A211)),"",INDIRECT("template!"&amp;"G"&amp;A211)))</f>
        <v>#REF!</v>
      </c>
      <c r="K211" t="e" cm="1">
        <f t="array" aca="1" ref="K211" ca="1">IF(OR(A211="",B211="safety"),"",IF(ISBLANK(INDIRECT("template!"&amp;"H"&amp;A211)),"",INDIRECT("template!"&amp;"H"&amp;A211)))</f>
        <v>#REF!</v>
      </c>
      <c r="L211" t="e" cm="1">
        <f t="array" aca="1" ref="L211" ca="1">IF(OR(A211="",B211="safety"),"",INDIRECT("template!"&amp;"I"&amp;A211))</f>
        <v>#REF!</v>
      </c>
      <c r="M211" t="e" cm="1">
        <f t="array" aca="1" ref="M211" ca="1">IF(OR(A211="",B211="safety"),"",INDIRECT("template!"&amp;"J"&amp;A211))</f>
        <v>#REF!</v>
      </c>
      <c r="N211" t="e" cm="1">
        <f t="array" aca="1" ref="N211" ca="1">IF(OR(A211="",B211="safety"),"",IF(ISBLANK(INDIRECT("template!"&amp;"K"&amp;A211)),"",INDIRECT("template!"&amp;"K"&amp;A211)))</f>
        <v>#REF!</v>
      </c>
      <c r="O211" t="e" cm="1">
        <f t="array" aca="1" ref="O211" ca="1">IF(OR(A211="",B211="safety"),"",INDIRECT("template!"&amp;"L"&amp;A211))</f>
        <v>#REF!</v>
      </c>
      <c r="P211" t="e" cm="1">
        <f t="array" aca="1" ref="P211" ca="1">IF(OR(A211="",B211="safety"),"",INDIRECT("template!"&amp;"M"&amp;A211))</f>
        <v>#REF!</v>
      </c>
      <c r="Q211" t="e">
        <f t="shared" ca="1" si="16"/>
        <v>#REF!</v>
      </c>
      <c r="R211" t="e">
        <f t="shared" ca="1" si="17"/>
        <v>#REF!</v>
      </c>
      <c r="S211" t="e">
        <f t="shared" ca="1" si="18"/>
        <v>#REF!</v>
      </c>
      <c r="T211" t="e">
        <f t="shared" ca="1" si="19"/>
        <v>#REF!</v>
      </c>
      <c r="U211" t="e" cm="1">
        <f t="array" aca="1" ref="U211" ca="1">IF(A211="","",IF(E211="","",IF(B211="safety",INDIRECT("template!"&amp;"P"&amp;A211),Q211+R211)))</f>
        <v>#REF!</v>
      </c>
      <c r="V211" t="e" cm="1">
        <f t="array" aca="1" ref="V211" ca="1">IF(A211="","",IF(E211="","",IF(B211="safety",INDIRECT("template!"&amp;"P"&amp;A211),S211+T211)))</f>
        <v>#REF!</v>
      </c>
      <c r="W211" t="e">
        <f ca="1">IF(A211="","",IF(E211="","",#REF!))</f>
        <v>#REF!</v>
      </c>
      <c r="X211" t="e">
        <f ca="1">IF(A211="","",IF(E211="","",#REF!))</f>
        <v>#REF!</v>
      </c>
      <c r="Y211" s="39" t="e">
        <f ca="1">IF(A211="","",IF(E211="","",#REF!))</f>
        <v>#REF!</v>
      </c>
      <c r="Z211" t="e">
        <f ca="1">IF(A211="","",IF(E211="","",#REF!))</f>
        <v>#REF!</v>
      </c>
      <c r="AA211" t="e">
        <f ca="1">IF(A211="","",IF(E211="","",#REF!))</f>
        <v>#REF!</v>
      </c>
      <c r="AB211" t="e">
        <f ca="1">IF(A211="","",IF(E211="","",#REF!))</f>
        <v>#REF!</v>
      </c>
      <c r="AC211" t="e">
        <f t="shared" ca="1" si="20"/>
        <v>#REF!</v>
      </c>
    </row>
    <row r="212" spans="1:29" x14ac:dyDescent="0.35">
      <c r="A212" t="e" cm="1">
        <f t="array" aca="1" ref="A212" ca="1">IF(A211="","",IF(OR(AND(A211+1&gt;=$AF$1,A211+1&lt;=$AF$2),AND(A211+1&gt;=$AF$6,A211+1&lt;=$AF$7),AND(A211+1&gt;=$AF$3,A211+1&lt;=$AF$4),AND(A211+1&gt;=$AF$8,A211+1&lt;=$AF$9),A211+1=$AF$5),IF(NOT(ISBLANK(INDIRECT("template!"&amp;"P"&amp;A211+1))),A211+1,IF(NOT(ISBLANK(INDIRECT("template!"&amp;"P"&amp;A211+2))),A211+2,A211+3)),IF(A211=$AF$2,$AF$3,IF(A211=$AF$4,$AF$5,IF(A211=$AF$5,$AF$6,IF(A211=$AF$7,$AF$8,""))))))</f>
        <v>#REF!</v>
      </c>
      <c r="B212" t="e">
        <f t="shared" ca="1" si="0"/>
        <v>#REF!</v>
      </c>
      <c r="C212" t="e" cm="1">
        <f t="array" aca="1" ref="C212" ca="1">IF(A212="","",IF(B212="safety","safety costs",INDIRECT("template!"&amp;"B"&amp;A212)))</f>
        <v>#REF!</v>
      </c>
      <c r="D212" t="e" cm="1">
        <f t="array" aca="1" ref="D212" ca="1">IF(OR(A212="",B212="safety"),"",INDIRECT("template!"&amp;"C"&amp;A212))</f>
        <v>#REF!</v>
      </c>
      <c r="E212" t="e" cm="1">
        <f t="array" aca="1" ref="E212" ca="1">IF(A212="","",IF(OR(A212=A211+1,A212=A211+2),E211,INDIRECT("template!"&amp;"D"&amp;A212-2)))</f>
        <v>#REF!</v>
      </c>
      <c r="F212" t="e" cm="1">
        <f t="array" aca="1" ref="F212" ca="1">IF(OR(A212="",B212="safety"),"",IF(ISBLANK(IF(A212=A211+1,F211,INDIRECT("template!"&amp;"D"&amp;A212-1))),"",IF(A212=A211+1,F211,INDIRECT("template!"&amp;"D"&amp;A212-1))))</f>
        <v>#REF!</v>
      </c>
      <c r="G212" t="e" cm="1">
        <f t="array" aca="1" ref="G212" ca="1">IF(OR(A212="",B212="safety"),"",IF(ISBLANK(INDIRECT("template!"&amp;"D"&amp;A212)),"",INDIRECT("template!"&amp;"D"&amp;A212)))</f>
        <v>#REF!</v>
      </c>
      <c r="H212" t="e" cm="1">
        <f t="array" aca="1" ref="H212" ca="1">IF(OR(A212="",B212="safety"),"",IF(ISBLANK(INDIRECT("template!"&amp;"E"&amp;A212)),"",INDIRECT("template!"&amp;"E"&amp;A212)))</f>
        <v>#REF!</v>
      </c>
      <c r="I212" t="e" cm="1">
        <f t="array" aca="1" ref="I212" ca="1">IF(OR(A212="",B212="safety"),"",IF(ISBLANK(INDIRECT("template!"&amp;"F"&amp;A212)),"",INDIRECT("template!"&amp;"F"&amp;A212)))</f>
        <v>#REF!</v>
      </c>
      <c r="J212" t="e" cm="1">
        <f t="array" aca="1" ref="J212" ca="1">IF(OR(A212="",B212="safety"),"",IF(ISBLANK(INDIRECT("template!"&amp;"G"&amp;A212)),"",INDIRECT("template!"&amp;"G"&amp;A212)))</f>
        <v>#REF!</v>
      </c>
      <c r="K212" t="e" cm="1">
        <f t="array" aca="1" ref="K212" ca="1">IF(OR(A212="",B212="safety"),"",IF(ISBLANK(INDIRECT("template!"&amp;"H"&amp;A212)),"",INDIRECT("template!"&amp;"H"&amp;A212)))</f>
        <v>#REF!</v>
      </c>
      <c r="L212" t="e" cm="1">
        <f t="array" aca="1" ref="L212" ca="1">IF(OR(A212="",B212="safety"),"",INDIRECT("template!"&amp;"I"&amp;A212))</f>
        <v>#REF!</v>
      </c>
      <c r="M212" t="e" cm="1">
        <f t="array" aca="1" ref="M212" ca="1">IF(OR(A212="",B212="safety"),"",INDIRECT("template!"&amp;"J"&amp;A212))</f>
        <v>#REF!</v>
      </c>
      <c r="N212" t="e" cm="1">
        <f t="array" aca="1" ref="N212" ca="1">IF(OR(A212="",B212="safety"),"",IF(ISBLANK(INDIRECT("template!"&amp;"K"&amp;A212)),"",INDIRECT("template!"&amp;"K"&amp;A212)))</f>
        <v>#REF!</v>
      </c>
      <c r="O212" t="e" cm="1">
        <f t="array" aca="1" ref="O212" ca="1">IF(OR(A212="",B212="safety"),"",INDIRECT("template!"&amp;"L"&amp;A212))</f>
        <v>#REF!</v>
      </c>
      <c r="P212" t="e" cm="1">
        <f t="array" aca="1" ref="P212" ca="1">IF(OR(A212="",B212="safety"),"",INDIRECT("template!"&amp;"M"&amp;A212))</f>
        <v>#REF!</v>
      </c>
      <c r="Q212" t="e">
        <f t="shared" ca="1" si="16"/>
        <v>#REF!</v>
      </c>
      <c r="R212" t="e">
        <f t="shared" ca="1" si="17"/>
        <v>#REF!</v>
      </c>
      <c r="S212" t="e">
        <f t="shared" ca="1" si="18"/>
        <v>#REF!</v>
      </c>
      <c r="T212" t="e">
        <f t="shared" ca="1" si="19"/>
        <v>#REF!</v>
      </c>
      <c r="U212" t="e" cm="1">
        <f t="array" aca="1" ref="U212" ca="1">IF(A212="","",IF(E212="","",IF(B212="safety",INDIRECT("template!"&amp;"P"&amp;A212),Q212+R212)))</f>
        <v>#REF!</v>
      </c>
      <c r="V212" t="e" cm="1">
        <f t="array" aca="1" ref="V212" ca="1">IF(A212="","",IF(E212="","",IF(B212="safety",INDIRECT("template!"&amp;"P"&amp;A212),S212+T212)))</f>
        <v>#REF!</v>
      </c>
      <c r="W212" t="e">
        <f ca="1">IF(A212="","",IF(E212="","",#REF!))</f>
        <v>#REF!</v>
      </c>
      <c r="X212" t="e">
        <f ca="1">IF(A212="","",IF(E212="","",#REF!))</f>
        <v>#REF!</v>
      </c>
      <c r="Y212" s="39" t="e">
        <f ca="1">IF(A212="","",IF(E212="","",#REF!))</f>
        <v>#REF!</v>
      </c>
      <c r="Z212" t="e">
        <f ca="1">IF(A212="","",IF(E212="","",#REF!))</f>
        <v>#REF!</v>
      </c>
      <c r="AA212" t="e">
        <f ca="1">IF(A212="","",IF(E212="","",#REF!))</f>
        <v>#REF!</v>
      </c>
      <c r="AB212" t="e">
        <f ca="1">IF(A212="","",IF(E212="","",#REF!))</f>
        <v>#REF!</v>
      </c>
      <c r="AC212" t="e">
        <f t="shared" ca="1" si="20"/>
        <v>#REF!</v>
      </c>
    </row>
    <row r="213" spans="1:29" x14ac:dyDescent="0.35">
      <c r="A213" t="e" cm="1">
        <f t="array" aca="1" ref="A213" ca="1">IF(A212="","",IF(OR(AND(A212+1&gt;=$AF$1,A212+1&lt;=$AF$2),AND(A212+1&gt;=$AF$6,A212+1&lt;=$AF$7),AND(A212+1&gt;=$AF$3,A212+1&lt;=$AF$4),AND(A212+1&gt;=$AF$8,A212+1&lt;=$AF$9),A212+1=$AF$5),IF(NOT(ISBLANK(INDIRECT("template!"&amp;"P"&amp;A212+1))),A212+1,IF(NOT(ISBLANK(INDIRECT("template!"&amp;"P"&amp;A212+2))),A212+2,A212+3)),IF(A212=$AF$2,$AF$3,IF(A212=$AF$4,$AF$5,IF(A212=$AF$5,$AF$6,IF(A212=$AF$7,$AF$8,""))))))</f>
        <v>#REF!</v>
      </c>
      <c r="B213" t="e">
        <f t="shared" ca="1" si="0"/>
        <v>#REF!</v>
      </c>
      <c r="C213" t="e" cm="1">
        <f t="array" aca="1" ref="C213" ca="1">IF(A213="","",IF(B213="safety","safety costs",INDIRECT("template!"&amp;"B"&amp;A213)))</f>
        <v>#REF!</v>
      </c>
      <c r="D213" t="e" cm="1">
        <f t="array" aca="1" ref="D213" ca="1">IF(OR(A213="",B213="safety"),"",INDIRECT("template!"&amp;"C"&amp;A213))</f>
        <v>#REF!</v>
      </c>
      <c r="E213" t="e" cm="1">
        <f t="array" aca="1" ref="E213" ca="1">IF(A213="","",IF(OR(A213=A212+1,A213=A212+2),E212,INDIRECT("template!"&amp;"D"&amp;A213-2)))</f>
        <v>#REF!</v>
      </c>
      <c r="F213" t="e" cm="1">
        <f t="array" aca="1" ref="F213" ca="1">IF(OR(A213="",B213="safety"),"",IF(ISBLANK(IF(A213=A212+1,F212,INDIRECT("template!"&amp;"D"&amp;A213-1))),"",IF(A213=A212+1,F212,INDIRECT("template!"&amp;"D"&amp;A213-1))))</f>
        <v>#REF!</v>
      </c>
      <c r="G213" t="e" cm="1">
        <f t="array" aca="1" ref="G213" ca="1">IF(OR(A213="",B213="safety"),"",IF(ISBLANK(INDIRECT("template!"&amp;"D"&amp;A213)),"",INDIRECT("template!"&amp;"D"&amp;A213)))</f>
        <v>#REF!</v>
      </c>
      <c r="H213" t="e" cm="1">
        <f t="array" aca="1" ref="H213" ca="1">IF(OR(A213="",B213="safety"),"",IF(ISBLANK(INDIRECT("template!"&amp;"E"&amp;A213)),"",INDIRECT("template!"&amp;"E"&amp;A213)))</f>
        <v>#REF!</v>
      </c>
      <c r="I213" t="e" cm="1">
        <f t="array" aca="1" ref="I213" ca="1">IF(OR(A213="",B213="safety"),"",IF(ISBLANK(INDIRECT("template!"&amp;"F"&amp;A213)),"",INDIRECT("template!"&amp;"F"&amp;A213)))</f>
        <v>#REF!</v>
      </c>
      <c r="J213" t="e" cm="1">
        <f t="array" aca="1" ref="J213" ca="1">IF(OR(A213="",B213="safety"),"",IF(ISBLANK(INDIRECT("template!"&amp;"G"&amp;A213)),"",INDIRECT("template!"&amp;"G"&amp;A213)))</f>
        <v>#REF!</v>
      </c>
      <c r="K213" t="e" cm="1">
        <f t="array" aca="1" ref="K213" ca="1">IF(OR(A213="",B213="safety"),"",IF(ISBLANK(INDIRECT("template!"&amp;"H"&amp;A213)),"",INDIRECT("template!"&amp;"H"&amp;A213)))</f>
        <v>#REF!</v>
      </c>
      <c r="L213" t="e" cm="1">
        <f t="array" aca="1" ref="L213" ca="1">IF(OR(A213="",B213="safety"),"",INDIRECT("template!"&amp;"I"&amp;A213))</f>
        <v>#REF!</v>
      </c>
      <c r="M213" t="e" cm="1">
        <f t="array" aca="1" ref="M213" ca="1">IF(OR(A213="",B213="safety"),"",INDIRECT("template!"&amp;"J"&amp;A213))</f>
        <v>#REF!</v>
      </c>
      <c r="N213" t="e" cm="1">
        <f t="array" aca="1" ref="N213" ca="1">IF(OR(A213="",B213="safety"),"",IF(ISBLANK(INDIRECT("template!"&amp;"K"&amp;A213)),"",INDIRECT("template!"&amp;"K"&amp;A213)))</f>
        <v>#REF!</v>
      </c>
      <c r="O213" t="e" cm="1">
        <f t="array" aca="1" ref="O213" ca="1">IF(OR(A213="",B213="safety"),"",INDIRECT("template!"&amp;"L"&amp;A213))</f>
        <v>#REF!</v>
      </c>
      <c r="P213" t="e" cm="1">
        <f t="array" aca="1" ref="P213" ca="1">IF(OR(A213="",B213="safety"),"",INDIRECT("template!"&amp;"M"&amp;A213))</f>
        <v>#REF!</v>
      </c>
      <c r="Q213" t="e">
        <f t="shared" ca="1" si="16"/>
        <v>#REF!</v>
      </c>
      <c r="R213" t="e">
        <f t="shared" ca="1" si="17"/>
        <v>#REF!</v>
      </c>
      <c r="S213" t="e">
        <f t="shared" ca="1" si="18"/>
        <v>#REF!</v>
      </c>
      <c r="T213" t="e">
        <f t="shared" ca="1" si="19"/>
        <v>#REF!</v>
      </c>
      <c r="U213" t="e" cm="1">
        <f t="array" aca="1" ref="U213" ca="1">IF(A213="","",IF(E213="","",IF(B213="safety",INDIRECT("template!"&amp;"P"&amp;A213),Q213+R213)))</f>
        <v>#REF!</v>
      </c>
      <c r="V213" t="e" cm="1">
        <f t="array" aca="1" ref="V213" ca="1">IF(A213="","",IF(E213="","",IF(B213="safety",INDIRECT("template!"&amp;"P"&amp;A213),S213+T213)))</f>
        <v>#REF!</v>
      </c>
      <c r="W213" t="e">
        <f ca="1">IF(A213="","",IF(E213="","",#REF!))</f>
        <v>#REF!</v>
      </c>
      <c r="X213" t="e">
        <f ca="1">IF(A213="","",IF(E213="","",#REF!))</f>
        <v>#REF!</v>
      </c>
      <c r="Y213" s="39" t="e">
        <f ca="1">IF(A213="","",IF(E213="","",#REF!))</f>
        <v>#REF!</v>
      </c>
      <c r="Z213" t="e">
        <f ca="1">IF(A213="","",IF(E213="","",#REF!))</f>
        <v>#REF!</v>
      </c>
      <c r="AA213" t="e">
        <f ca="1">IF(A213="","",IF(E213="","",#REF!))</f>
        <v>#REF!</v>
      </c>
      <c r="AB213" t="e">
        <f ca="1">IF(A213="","",IF(E213="","",#REF!))</f>
        <v>#REF!</v>
      </c>
      <c r="AC213" t="e">
        <f t="shared" ca="1" si="20"/>
        <v>#REF!</v>
      </c>
    </row>
    <row r="214" spans="1:29" x14ac:dyDescent="0.35">
      <c r="A214" t="e" cm="1">
        <f t="array" aca="1" ref="A214" ca="1">IF(A213="","",IF(OR(AND(A213+1&gt;=$AF$1,A213+1&lt;=$AF$2),AND(A213+1&gt;=$AF$6,A213+1&lt;=$AF$7),AND(A213+1&gt;=$AF$3,A213+1&lt;=$AF$4),AND(A213+1&gt;=$AF$8,A213+1&lt;=$AF$9),A213+1=$AF$5),IF(NOT(ISBLANK(INDIRECT("template!"&amp;"P"&amp;A213+1))),A213+1,IF(NOT(ISBLANK(INDIRECT("template!"&amp;"P"&amp;A213+2))),A213+2,A213+3)),IF(A213=$AF$2,$AF$3,IF(A213=$AF$4,$AF$5,IF(A213=$AF$5,$AF$6,IF(A213=$AF$7,$AF$8,""))))))</f>
        <v>#REF!</v>
      </c>
      <c r="B214" t="e">
        <f t="shared" ca="1" si="0"/>
        <v>#REF!</v>
      </c>
      <c r="C214" t="e" cm="1">
        <f t="array" aca="1" ref="C214" ca="1">IF(A214="","",IF(B214="safety","safety costs",INDIRECT("template!"&amp;"B"&amp;A214)))</f>
        <v>#REF!</v>
      </c>
      <c r="D214" t="e" cm="1">
        <f t="array" aca="1" ref="D214" ca="1">IF(OR(A214="",B214="safety"),"",INDIRECT("template!"&amp;"C"&amp;A214))</f>
        <v>#REF!</v>
      </c>
      <c r="E214" t="e" cm="1">
        <f t="array" aca="1" ref="E214" ca="1">IF(A214="","",IF(OR(A214=A213+1,A214=A213+2),E213,INDIRECT("template!"&amp;"D"&amp;A214-2)))</f>
        <v>#REF!</v>
      </c>
      <c r="F214" t="e" cm="1">
        <f t="array" aca="1" ref="F214" ca="1">IF(OR(A214="",B214="safety"),"",IF(ISBLANK(IF(A214=A213+1,F213,INDIRECT("template!"&amp;"D"&amp;A214-1))),"",IF(A214=A213+1,F213,INDIRECT("template!"&amp;"D"&amp;A214-1))))</f>
        <v>#REF!</v>
      </c>
      <c r="G214" t="e" cm="1">
        <f t="array" aca="1" ref="G214" ca="1">IF(OR(A214="",B214="safety"),"",IF(ISBLANK(INDIRECT("template!"&amp;"D"&amp;A214)),"",INDIRECT("template!"&amp;"D"&amp;A214)))</f>
        <v>#REF!</v>
      </c>
      <c r="H214" t="e" cm="1">
        <f t="array" aca="1" ref="H214" ca="1">IF(OR(A214="",B214="safety"),"",IF(ISBLANK(INDIRECT("template!"&amp;"E"&amp;A214)),"",INDIRECT("template!"&amp;"E"&amp;A214)))</f>
        <v>#REF!</v>
      </c>
      <c r="I214" t="e" cm="1">
        <f t="array" aca="1" ref="I214" ca="1">IF(OR(A214="",B214="safety"),"",IF(ISBLANK(INDIRECT("template!"&amp;"F"&amp;A214)),"",INDIRECT("template!"&amp;"F"&amp;A214)))</f>
        <v>#REF!</v>
      </c>
      <c r="J214" t="e" cm="1">
        <f t="array" aca="1" ref="J214" ca="1">IF(OR(A214="",B214="safety"),"",IF(ISBLANK(INDIRECT("template!"&amp;"G"&amp;A214)),"",INDIRECT("template!"&amp;"G"&amp;A214)))</f>
        <v>#REF!</v>
      </c>
      <c r="K214" t="e" cm="1">
        <f t="array" aca="1" ref="K214" ca="1">IF(OR(A214="",B214="safety"),"",IF(ISBLANK(INDIRECT("template!"&amp;"H"&amp;A214)),"",INDIRECT("template!"&amp;"H"&amp;A214)))</f>
        <v>#REF!</v>
      </c>
      <c r="L214" t="e" cm="1">
        <f t="array" aca="1" ref="L214" ca="1">IF(OR(A214="",B214="safety"),"",INDIRECT("template!"&amp;"I"&amp;A214))</f>
        <v>#REF!</v>
      </c>
      <c r="M214" t="e" cm="1">
        <f t="array" aca="1" ref="M214" ca="1">IF(OR(A214="",B214="safety"),"",INDIRECT("template!"&amp;"J"&amp;A214))</f>
        <v>#REF!</v>
      </c>
      <c r="N214" t="e" cm="1">
        <f t="array" aca="1" ref="N214" ca="1">IF(OR(A214="",B214="safety"),"",IF(ISBLANK(INDIRECT("template!"&amp;"K"&amp;A214)),"",INDIRECT("template!"&amp;"K"&amp;A214)))</f>
        <v>#REF!</v>
      </c>
      <c r="O214" t="e" cm="1">
        <f t="array" aca="1" ref="O214" ca="1">IF(OR(A214="",B214="safety"),"",INDIRECT("template!"&amp;"L"&amp;A214))</f>
        <v>#REF!</v>
      </c>
      <c r="P214" t="e" cm="1">
        <f t="array" aca="1" ref="P214" ca="1">IF(OR(A214="",B214="safety"),"",INDIRECT("template!"&amp;"M"&amp;A214))</f>
        <v>#REF!</v>
      </c>
      <c r="Q214" t="e">
        <f t="shared" ca="1" si="16"/>
        <v>#REF!</v>
      </c>
      <c r="R214" t="e">
        <f t="shared" ca="1" si="17"/>
        <v>#REF!</v>
      </c>
      <c r="S214" t="e">
        <f t="shared" ca="1" si="18"/>
        <v>#REF!</v>
      </c>
      <c r="T214" t="e">
        <f t="shared" ca="1" si="19"/>
        <v>#REF!</v>
      </c>
      <c r="U214" t="e" cm="1">
        <f t="array" aca="1" ref="U214" ca="1">IF(A214="","",IF(E214="","",IF(B214="safety",INDIRECT("template!"&amp;"P"&amp;A214),Q214+R214)))</f>
        <v>#REF!</v>
      </c>
      <c r="V214" t="e" cm="1">
        <f t="array" aca="1" ref="V214" ca="1">IF(A214="","",IF(E214="","",IF(B214="safety",INDIRECT("template!"&amp;"P"&amp;A214),S214+T214)))</f>
        <v>#REF!</v>
      </c>
      <c r="W214" t="e">
        <f ca="1">IF(A214="","",IF(E214="","",#REF!))</f>
        <v>#REF!</v>
      </c>
      <c r="X214" t="e">
        <f ca="1">IF(A214="","",IF(E214="","",#REF!))</f>
        <v>#REF!</v>
      </c>
      <c r="Y214" s="39" t="e">
        <f ca="1">IF(A214="","",IF(E214="","",#REF!))</f>
        <v>#REF!</v>
      </c>
      <c r="Z214" t="e">
        <f ca="1">IF(A214="","",IF(E214="","",#REF!))</f>
        <v>#REF!</v>
      </c>
      <c r="AA214" t="e">
        <f ca="1">IF(A214="","",IF(E214="","",#REF!))</f>
        <v>#REF!</v>
      </c>
      <c r="AB214" t="e">
        <f ca="1">IF(A214="","",IF(E214="","",#REF!))</f>
        <v>#REF!</v>
      </c>
      <c r="AC214" t="e">
        <f t="shared" ca="1" si="20"/>
        <v>#REF!</v>
      </c>
    </row>
    <row r="215" spans="1:29" x14ac:dyDescent="0.35">
      <c r="A215" t="e" cm="1">
        <f t="array" aca="1" ref="A215" ca="1">IF(A214="","",IF(OR(AND(A214+1&gt;=$AF$1,A214+1&lt;=$AF$2),AND(A214+1&gt;=$AF$6,A214+1&lt;=$AF$7),AND(A214+1&gt;=$AF$3,A214+1&lt;=$AF$4),AND(A214+1&gt;=$AF$8,A214+1&lt;=$AF$9),A214+1=$AF$5),IF(NOT(ISBLANK(INDIRECT("template!"&amp;"P"&amp;A214+1))),A214+1,IF(NOT(ISBLANK(INDIRECT("template!"&amp;"P"&amp;A214+2))),A214+2,A214+3)),IF(A214=$AF$2,$AF$3,IF(A214=$AF$4,$AF$5,IF(A214=$AF$5,$AF$6,IF(A214=$AF$7,$AF$8,""))))))</f>
        <v>#REF!</v>
      </c>
      <c r="B215" t="e">
        <f t="shared" ca="1" si="0"/>
        <v>#REF!</v>
      </c>
      <c r="C215" t="e" cm="1">
        <f t="array" aca="1" ref="C215" ca="1">IF(A215="","",IF(B215="safety","safety costs",INDIRECT("template!"&amp;"B"&amp;A215)))</f>
        <v>#REF!</v>
      </c>
      <c r="D215" t="e" cm="1">
        <f t="array" aca="1" ref="D215" ca="1">IF(OR(A215="",B215="safety"),"",INDIRECT("template!"&amp;"C"&amp;A215))</f>
        <v>#REF!</v>
      </c>
      <c r="E215" t="e" cm="1">
        <f t="array" aca="1" ref="E215" ca="1">IF(A215="","",IF(OR(A215=A214+1,A215=A214+2),E214,INDIRECT("template!"&amp;"D"&amp;A215-2)))</f>
        <v>#REF!</v>
      </c>
      <c r="F215" t="e" cm="1">
        <f t="array" aca="1" ref="F215" ca="1">IF(OR(A215="",B215="safety"),"",IF(ISBLANK(IF(A215=A214+1,F214,INDIRECT("template!"&amp;"D"&amp;A215-1))),"",IF(A215=A214+1,F214,INDIRECT("template!"&amp;"D"&amp;A215-1))))</f>
        <v>#REF!</v>
      </c>
      <c r="G215" t="e" cm="1">
        <f t="array" aca="1" ref="G215" ca="1">IF(OR(A215="",B215="safety"),"",IF(ISBLANK(INDIRECT("template!"&amp;"D"&amp;A215)),"",INDIRECT("template!"&amp;"D"&amp;A215)))</f>
        <v>#REF!</v>
      </c>
      <c r="H215" t="e" cm="1">
        <f t="array" aca="1" ref="H215" ca="1">IF(OR(A215="",B215="safety"),"",IF(ISBLANK(INDIRECT("template!"&amp;"E"&amp;A215)),"",INDIRECT("template!"&amp;"E"&amp;A215)))</f>
        <v>#REF!</v>
      </c>
      <c r="I215" t="e" cm="1">
        <f t="array" aca="1" ref="I215" ca="1">IF(OR(A215="",B215="safety"),"",IF(ISBLANK(INDIRECT("template!"&amp;"F"&amp;A215)),"",INDIRECT("template!"&amp;"F"&amp;A215)))</f>
        <v>#REF!</v>
      </c>
      <c r="J215" t="e" cm="1">
        <f t="array" aca="1" ref="J215" ca="1">IF(OR(A215="",B215="safety"),"",IF(ISBLANK(INDIRECT("template!"&amp;"G"&amp;A215)),"",INDIRECT("template!"&amp;"G"&amp;A215)))</f>
        <v>#REF!</v>
      </c>
      <c r="K215" t="e" cm="1">
        <f t="array" aca="1" ref="K215" ca="1">IF(OR(A215="",B215="safety"),"",IF(ISBLANK(INDIRECT("template!"&amp;"H"&amp;A215)),"",INDIRECT("template!"&amp;"H"&amp;A215)))</f>
        <v>#REF!</v>
      </c>
      <c r="L215" t="e" cm="1">
        <f t="array" aca="1" ref="L215" ca="1">IF(OR(A215="",B215="safety"),"",INDIRECT("template!"&amp;"I"&amp;A215))</f>
        <v>#REF!</v>
      </c>
      <c r="M215" t="e" cm="1">
        <f t="array" aca="1" ref="M215" ca="1">IF(OR(A215="",B215="safety"),"",INDIRECT("template!"&amp;"J"&amp;A215))</f>
        <v>#REF!</v>
      </c>
      <c r="N215" t="e" cm="1">
        <f t="array" aca="1" ref="N215" ca="1">IF(OR(A215="",B215="safety"),"",IF(ISBLANK(INDIRECT("template!"&amp;"K"&amp;A215)),"",INDIRECT("template!"&amp;"K"&amp;A215)))</f>
        <v>#REF!</v>
      </c>
      <c r="O215" t="e" cm="1">
        <f t="array" aca="1" ref="O215" ca="1">IF(OR(A215="",B215="safety"),"",INDIRECT("template!"&amp;"L"&amp;A215))</f>
        <v>#REF!</v>
      </c>
      <c r="P215" t="e" cm="1">
        <f t="array" aca="1" ref="P215" ca="1">IF(OR(A215="",B215="safety"),"",INDIRECT("template!"&amp;"M"&amp;A215))</f>
        <v>#REF!</v>
      </c>
      <c r="Q215" t="e">
        <f t="shared" ca="1" si="16"/>
        <v>#REF!</v>
      </c>
      <c r="R215" t="e">
        <f t="shared" ca="1" si="17"/>
        <v>#REF!</v>
      </c>
      <c r="S215" t="e">
        <f t="shared" ca="1" si="18"/>
        <v>#REF!</v>
      </c>
      <c r="T215" t="e">
        <f t="shared" ca="1" si="19"/>
        <v>#REF!</v>
      </c>
      <c r="U215" t="e" cm="1">
        <f t="array" aca="1" ref="U215" ca="1">IF(A215="","",IF(E215="","",IF(B215="safety",INDIRECT("template!"&amp;"P"&amp;A215),Q215+R215)))</f>
        <v>#REF!</v>
      </c>
      <c r="V215" t="e" cm="1">
        <f t="array" aca="1" ref="V215" ca="1">IF(A215="","",IF(E215="","",IF(B215="safety",INDIRECT("template!"&amp;"P"&amp;A215),S215+T215)))</f>
        <v>#REF!</v>
      </c>
      <c r="W215" t="e">
        <f ca="1">IF(A215="","",IF(E215="","",#REF!))</f>
        <v>#REF!</v>
      </c>
      <c r="X215" t="e">
        <f ca="1">IF(A215="","",IF(E215="","",#REF!))</f>
        <v>#REF!</v>
      </c>
      <c r="Y215" s="39" t="e">
        <f ca="1">IF(A215="","",IF(E215="","",#REF!))</f>
        <v>#REF!</v>
      </c>
      <c r="Z215" t="e">
        <f ca="1">IF(A215="","",IF(E215="","",#REF!))</f>
        <v>#REF!</v>
      </c>
      <c r="AA215" t="e">
        <f ca="1">IF(A215="","",IF(E215="","",#REF!))</f>
        <v>#REF!</v>
      </c>
      <c r="AB215" t="e">
        <f ca="1">IF(A215="","",IF(E215="","",#REF!))</f>
        <v>#REF!</v>
      </c>
      <c r="AC215" t="e">
        <f t="shared" ca="1" si="20"/>
        <v>#REF!</v>
      </c>
    </row>
    <row r="216" spans="1:29" x14ac:dyDescent="0.35">
      <c r="A216" t="e" cm="1">
        <f t="array" aca="1" ref="A216" ca="1">IF(A215="","",IF(OR(AND(A215+1&gt;=$AF$1,A215+1&lt;=$AF$2),AND(A215+1&gt;=$AF$6,A215+1&lt;=$AF$7),AND(A215+1&gt;=$AF$3,A215+1&lt;=$AF$4),AND(A215+1&gt;=$AF$8,A215+1&lt;=$AF$9),A215+1=$AF$5),IF(NOT(ISBLANK(INDIRECT("template!"&amp;"P"&amp;A215+1))),A215+1,IF(NOT(ISBLANK(INDIRECT("template!"&amp;"P"&amp;A215+2))),A215+2,A215+3)),IF(A215=$AF$2,$AF$3,IF(A215=$AF$4,$AF$5,IF(A215=$AF$5,$AF$6,IF(A215=$AF$7,$AF$8,""))))))</f>
        <v>#REF!</v>
      </c>
      <c r="B216" t="e">
        <f t="shared" ca="1" si="0"/>
        <v>#REF!</v>
      </c>
      <c r="C216" t="e" cm="1">
        <f t="array" aca="1" ref="C216" ca="1">IF(A216="","",IF(B216="safety","safety costs",INDIRECT("template!"&amp;"B"&amp;A216)))</f>
        <v>#REF!</v>
      </c>
      <c r="D216" t="e" cm="1">
        <f t="array" aca="1" ref="D216" ca="1">IF(OR(A216="",B216="safety"),"",INDIRECT("template!"&amp;"C"&amp;A216))</f>
        <v>#REF!</v>
      </c>
      <c r="E216" t="e" cm="1">
        <f t="array" aca="1" ref="E216" ca="1">IF(A216="","",IF(OR(A216=A215+1,A216=A215+2),E215,INDIRECT("template!"&amp;"D"&amp;A216-2)))</f>
        <v>#REF!</v>
      </c>
      <c r="F216" t="e" cm="1">
        <f t="array" aca="1" ref="F216" ca="1">IF(OR(A216="",B216="safety"),"",IF(ISBLANK(IF(A216=A215+1,F215,INDIRECT("template!"&amp;"D"&amp;A216-1))),"",IF(A216=A215+1,F215,INDIRECT("template!"&amp;"D"&amp;A216-1))))</f>
        <v>#REF!</v>
      </c>
      <c r="G216" t="e" cm="1">
        <f t="array" aca="1" ref="G216" ca="1">IF(OR(A216="",B216="safety"),"",IF(ISBLANK(INDIRECT("template!"&amp;"D"&amp;A216)),"",INDIRECT("template!"&amp;"D"&amp;A216)))</f>
        <v>#REF!</v>
      </c>
      <c r="H216" t="e" cm="1">
        <f t="array" aca="1" ref="H216" ca="1">IF(OR(A216="",B216="safety"),"",IF(ISBLANK(INDIRECT("template!"&amp;"E"&amp;A216)),"",INDIRECT("template!"&amp;"E"&amp;A216)))</f>
        <v>#REF!</v>
      </c>
      <c r="I216" t="e" cm="1">
        <f t="array" aca="1" ref="I216" ca="1">IF(OR(A216="",B216="safety"),"",IF(ISBLANK(INDIRECT("template!"&amp;"F"&amp;A216)),"",INDIRECT("template!"&amp;"F"&amp;A216)))</f>
        <v>#REF!</v>
      </c>
      <c r="J216" t="e" cm="1">
        <f t="array" aca="1" ref="J216" ca="1">IF(OR(A216="",B216="safety"),"",IF(ISBLANK(INDIRECT("template!"&amp;"G"&amp;A216)),"",INDIRECT("template!"&amp;"G"&amp;A216)))</f>
        <v>#REF!</v>
      </c>
      <c r="K216" t="e" cm="1">
        <f t="array" aca="1" ref="K216" ca="1">IF(OR(A216="",B216="safety"),"",IF(ISBLANK(INDIRECT("template!"&amp;"H"&amp;A216)),"",INDIRECT("template!"&amp;"H"&amp;A216)))</f>
        <v>#REF!</v>
      </c>
      <c r="L216" t="e" cm="1">
        <f t="array" aca="1" ref="L216" ca="1">IF(OR(A216="",B216="safety"),"",INDIRECT("template!"&amp;"I"&amp;A216))</f>
        <v>#REF!</v>
      </c>
      <c r="M216" t="e" cm="1">
        <f t="array" aca="1" ref="M216" ca="1">IF(OR(A216="",B216="safety"),"",INDIRECT("template!"&amp;"J"&amp;A216))</f>
        <v>#REF!</v>
      </c>
      <c r="N216" t="e" cm="1">
        <f t="array" aca="1" ref="N216" ca="1">IF(OR(A216="",B216="safety"),"",IF(ISBLANK(INDIRECT("template!"&amp;"K"&amp;A216)),"",INDIRECT("template!"&amp;"K"&amp;A216)))</f>
        <v>#REF!</v>
      </c>
      <c r="O216" t="e" cm="1">
        <f t="array" aca="1" ref="O216" ca="1">IF(OR(A216="",B216="safety"),"",INDIRECT("template!"&amp;"L"&amp;A216))</f>
        <v>#REF!</v>
      </c>
      <c r="P216" t="e" cm="1">
        <f t="array" aca="1" ref="P216" ca="1">IF(OR(A216="",B216="safety"),"",INDIRECT("template!"&amp;"M"&amp;A216))</f>
        <v>#REF!</v>
      </c>
      <c r="Q216" t="e">
        <f t="shared" ca="1" si="16"/>
        <v>#REF!</v>
      </c>
      <c r="R216" t="e">
        <f t="shared" ca="1" si="17"/>
        <v>#REF!</v>
      </c>
      <c r="S216" t="e">
        <f t="shared" ca="1" si="18"/>
        <v>#REF!</v>
      </c>
      <c r="T216" t="e">
        <f t="shared" ca="1" si="19"/>
        <v>#REF!</v>
      </c>
      <c r="U216" t="e" cm="1">
        <f t="array" aca="1" ref="U216" ca="1">IF(A216="","",IF(E216="","",IF(B216="safety",INDIRECT("template!"&amp;"P"&amp;A216),Q216+R216)))</f>
        <v>#REF!</v>
      </c>
      <c r="V216" t="e" cm="1">
        <f t="array" aca="1" ref="V216" ca="1">IF(A216="","",IF(E216="","",IF(B216="safety",INDIRECT("template!"&amp;"P"&amp;A216),S216+T216)))</f>
        <v>#REF!</v>
      </c>
      <c r="W216" t="e">
        <f ca="1">IF(A216="","",IF(E216="","",#REF!))</f>
        <v>#REF!</v>
      </c>
      <c r="X216" t="e">
        <f ca="1">IF(A216="","",IF(E216="","",#REF!))</f>
        <v>#REF!</v>
      </c>
      <c r="Y216" s="39" t="e">
        <f ca="1">IF(A216="","",IF(E216="","",#REF!))</f>
        <v>#REF!</v>
      </c>
      <c r="Z216" t="e">
        <f ca="1">IF(A216="","",IF(E216="","",#REF!))</f>
        <v>#REF!</v>
      </c>
      <c r="AA216" t="e">
        <f ca="1">IF(A216="","",IF(E216="","",#REF!))</f>
        <v>#REF!</v>
      </c>
      <c r="AB216" t="e">
        <f ca="1">IF(A216="","",IF(E216="","",#REF!))</f>
        <v>#REF!</v>
      </c>
      <c r="AC216" t="e">
        <f t="shared" ca="1" si="20"/>
        <v>#REF!</v>
      </c>
    </row>
    <row r="217" spans="1:29" x14ac:dyDescent="0.35">
      <c r="A217" t="e" cm="1">
        <f t="array" aca="1" ref="A217" ca="1">IF(A216="","",IF(OR(AND(A216+1&gt;=$AF$1,A216+1&lt;=$AF$2),AND(A216+1&gt;=$AF$6,A216+1&lt;=$AF$7),AND(A216+1&gt;=$AF$3,A216+1&lt;=$AF$4),AND(A216+1&gt;=$AF$8,A216+1&lt;=$AF$9),A216+1=$AF$5),IF(NOT(ISBLANK(INDIRECT("template!"&amp;"P"&amp;A216+1))),A216+1,IF(NOT(ISBLANK(INDIRECT("template!"&amp;"P"&amp;A216+2))),A216+2,A216+3)),IF(A216=$AF$2,$AF$3,IF(A216=$AF$4,$AF$5,IF(A216=$AF$5,$AF$6,IF(A216=$AF$7,$AF$8,""))))))</f>
        <v>#REF!</v>
      </c>
      <c r="B217" t="e">
        <f t="shared" ca="1" si="0"/>
        <v>#REF!</v>
      </c>
      <c r="C217" t="e" cm="1">
        <f t="array" aca="1" ref="C217" ca="1">IF(A217="","",IF(B217="safety","safety costs",INDIRECT("template!"&amp;"B"&amp;A217)))</f>
        <v>#REF!</v>
      </c>
      <c r="D217" t="e" cm="1">
        <f t="array" aca="1" ref="D217" ca="1">IF(OR(A217="",B217="safety"),"",INDIRECT("template!"&amp;"C"&amp;A217))</f>
        <v>#REF!</v>
      </c>
      <c r="E217" t="e" cm="1">
        <f t="array" aca="1" ref="E217" ca="1">IF(A217="","",IF(OR(A217=A216+1,A217=A216+2),E216,INDIRECT("template!"&amp;"D"&amp;A217-2)))</f>
        <v>#REF!</v>
      </c>
      <c r="F217" t="e" cm="1">
        <f t="array" aca="1" ref="F217" ca="1">IF(OR(A217="",B217="safety"),"",IF(ISBLANK(IF(A217=A216+1,F216,INDIRECT("template!"&amp;"D"&amp;A217-1))),"",IF(A217=A216+1,F216,INDIRECT("template!"&amp;"D"&amp;A217-1))))</f>
        <v>#REF!</v>
      </c>
      <c r="G217" t="e" cm="1">
        <f t="array" aca="1" ref="G217" ca="1">IF(OR(A217="",B217="safety"),"",IF(ISBLANK(INDIRECT("template!"&amp;"D"&amp;A217)),"",INDIRECT("template!"&amp;"D"&amp;A217)))</f>
        <v>#REF!</v>
      </c>
      <c r="H217" t="e" cm="1">
        <f t="array" aca="1" ref="H217" ca="1">IF(OR(A217="",B217="safety"),"",IF(ISBLANK(INDIRECT("template!"&amp;"E"&amp;A217)),"",INDIRECT("template!"&amp;"E"&amp;A217)))</f>
        <v>#REF!</v>
      </c>
      <c r="I217" t="e" cm="1">
        <f t="array" aca="1" ref="I217" ca="1">IF(OR(A217="",B217="safety"),"",IF(ISBLANK(INDIRECT("template!"&amp;"F"&amp;A217)),"",INDIRECT("template!"&amp;"F"&amp;A217)))</f>
        <v>#REF!</v>
      </c>
      <c r="J217" t="e" cm="1">
        <f t="array" aca="1" ref="J217" ca="1">IF(OR(A217="",B217="safety"),"",IF(ISBLANK(INDIRECT("template!"&amp;"G"&amp;A217)),"",INDIRECT("template!"&amp;"G"&amp;A217)))</f>
        <v>#REF!</v>
      </c>
      <c r="K217" t="e" cm="1">
        <f t="array" aca="1" ref="K217" ca="1">IF(OR(A217="",B217="safety"),"",IF(ISBLANK(INDIRECT("template!"&amp;"H"&amp;A217)),"",INDIRECT("template!"&amp;"H"&amp;A217)))</f>
        <v>#REF!</v>
      </c>
      <c r="L217" t="e" cm="1">
        <f t="array" aca="1" ref="L217" ca="1">IF(OR(A217="",B217="safety"),"",INDIRECT("template!"&amp;"I"&amp;A217))</f>
        <v>#REF!</v>
      </c>
      <c r="M217" t="e" cm="1">
        <f t="array" aca="1" ref="M217" ca="1">IF(OR(A217="",B217="safety"),"",INDIRECT("template!"&amp;"J"&amp;A217))</f>
        <v>#REF!</v>
      </c>
      <c r="N217" t="e" cm="1">
        <f t="array" aca="1" ref="N217" ca="1">IF(OR(A217="",B217="safety"),"",IF(ISBLANK(INDIRECT("template!"&amp;"K"&amp;A217)),"",INDIRECT("template!"&amp;"K"&amp;A217)))</f>
        <v>#REF!</v>
      </c>
      <c r="O217" t="e" cm="1">
        <f t="array" aca="1" ref="O217" ca="1">IF(OR(A217="",B217="safety"),"",INDIRECT("template!"&amp;"L"&amp;A217))</f>
        <v>#REF!</v>
      </c>
      <c r="P217" t="e" cm="1">
        <f t="array" aca="1" ref="P217" ca="1">IF(OR(A217="",B217="safety"),"",INDIRECT("template!"&amp;"M"&amp;A217))</f>
        <v>#REF!</v>
      </c>
      <c r="Q217" t="e">
        <f t="shared" ca="1" si="16"/>
        <v>#REF!</v>
      </c>
      <c r="R217" t="e">
        <f t="shared" ca="1" si="17"/>
        <v>#REF!</v>
      </c>
      <c r="S217" t="e">
        <f t="shared" ca="1" si="18"/>
        <v>#REF!</v>
      </c>
      <c r="T217" t="e">
        <f t="shared" ca="1" si="19"/>
        <v>#REF!</v>
      </c>
      <c r="U217" t="e" cm="1">
        <f t="array" aca="1" ref="U217" ca="1">IF(A217="","",IF(E217="","",IF(B217="safety",INDIRECT("template!"&amp;"P"&amp;A217),Q217+R217)))</f>
        <v>#REF!</v>
      </c>
      <c r="V217" t="e" cm="1">
        <f t="array" aca="1" ref="V217" ca="1">IF(A217="","",IF(E217="","",IF(B217="safety",INDIRECT("template!"&amp;"P"&amp;A217),S217+T217)))</f>
        <v>#REF!</v>
      </c>
      <c r="W217" t="e">
        <f ca="1">IF(A217="","",IF(E217="","",#REF!))</f>
        <v>#REF!</v>
      </c>
      <c r="X217" t="e">
        <f ca="1">IF(A217="","",IF(E217="","",#REF!))</f>
        <v>#REF!</v>
      </c>
      <c r="Y217" s="39" t="e">
        <f ca="1">IF(A217="","",IF(E217="","",#REF!))</f>
        <v>#REF!</v>
      </c>
      <c r="Z217" t="e">
        <f ca="1">IF(A217="","",IF(E217="","",#REF!))</f>
        <v>#REF!</v>
      </c>
      <c r="AA217" t="e">
        <f ca="1">IF(A217="","",IF(E217="","",#REF!))</f>
        <v>#REF!</v>
      </c>
      <c r="AB217" t="e">
        <f ca="1">IF(A217="","",IF(E217="","",#REF!))</f>
        <v>#REF!</v>
      </c>
      <c r="AC217" t="e">
        <f t="shared" ca="1" si="20"/>
        <v>#REF!</v>
      </c>
    </row>
    <row r="218" spans="1:29" x14ac:dyDescent="0.35">
      <c r="A218" t="e" cm="1">
        <f t="array" aca="1" ref="A218" ca="1">IF(A217="","",IF(OR(AND(A217+1&gt;=$AF$1,A217+1&lt;=$AF$2),AND(A217+1&gt;=$AF$6,A217+1&lt;=$AF$7),AND(A217+1&gt;=$AF$3,A217+1&lt;=$AF$4),AND(A217+1&gt;=$AF$8,A217+1&lt;=$AF$9),A217+1=$AF$5),IF(NOT(ISBLANK(INDIRECT("template!"&amp;"P"&amp;A217+1))),A217+1,IF(NOT(ISBLANK(INDIRECT("template!"&amp;"P"&amp;A217+2))),A217+2,A217+3)),IF(A217=$AF$2,$AF$3,IF(A217=$AF$4,$AF$5,IF(A217=$AF$5,$AF$6,IF(A217=$AF$7,$AF$8,""))))))</f>
        <v>#REF!</v>
      </c>
      <c r="B218" t="e">
        <f t="shared" ca="1" si="0"/>
        <v>#REF!</v>
      </c>
      <c r="C218" t="e" cm="1">
        <f t="array" aca="1" ref="C218" ca="1">IF(A218="","",IF(B218="safety","safety costs",INDIRECT("template!"&amp;"B"&amp;A218)))</f>
        <v>#REF!</v>
      </c>
      <c r="D218" t="e" cm="1">
        <f t="array" aca="1" ref="D218" ca="1">IF(OR(A218="",B218="safety"),"",INDIRECT("template!"&amp;"C"&amp;A218))</f>
        <v>#REF!</v>
      </c>
      <c r="E218" t="e" cm="1">
        <f t="array" aca="1" ref="E218" ca="1">IF(A218="","",IF(OR(A218=A217+1,A218=A217+2),E217,INDIRECT("template!"&amp;"D"&amp;A218-2)))</f>
        <v>#REF!</v>
      </c>
      <c r="F218" t="e" cm="1">
        <f t="array" aca="1" ref="F218" ca="1">IF(OR(A218="",B218="safety"),"",IF(ISBLANK(IF(A218=A217+1,F217,INDIRECT("template!"&amp;"D"&amp;A218-1))),"",IF(A218=A217+1,F217,INDIRECT("template!"&amp;"D"&amp;A218-1))))</f>
        <v>#REF!</v>
      </c>
      <c r="G218" t="e" cm="1">
        <f t="array" aca="1" ref="G218" ca="1">IF(OR(A218="",B218="safety"),"",IF(ISBLANK(INDIRECT("template!"&amp;"D"&amp;A218)),"",INDIRECT("template!"&amp;"D"&amp;A218)))</f>
        <v>#REF!</v>
      </c>
      <c r="H218" t="e" cm="1">
        <f t="array" aca="1" ref="H218" ca="1">IF(OR(A218="",B218="safety"),"",IF(ISBLANK(INDIRECT("template!"&amp;"E"&amp;A218)),"",INDIRECT("template!"&amp;"E"&amp;A218)))</f>
        <v>#REF!</v>
      </c>
      <c r="I218" t="e" cm="1">
        <f t="array" aca="1" ref="I218" ca="1">IF(OR(A218="",B218="safety"),"",IF(ISBLANK(INDIRECT("template!"&amp;"F"&amp;A218)),"",INDIRECT("template!"&amp;"F"&amp;A218)))</f>
        <v>#REF!</v>
      </c>
      <c r="J218" t="e" cm="1">
        <f t="array" aca="1" ref="J218" ca="1">IF(OR(A218="",B218="safety"),"",IF(ISBLANK(INDIRECT("template!"&amp;"G"&amp;A218)),"",INDIRECT("template!"&amp;"G"&amp;A218)))</f>
        <v>#REF!</v>
      </c>
      <c r="K218" t="e" cm="1">
        <f t="array" aca="1" ref="K218" ca="1">IF(OR(A218="",B218="safety"),"",IF(ISBLANK(INDIRECT("template!"&amp;"H"&amp;A218)),"",INDIRECT("template!"&amp;"H"&amp;A218)))</f>
        <v>#REF!</v>
      </c>
      <c r="L218" t="e" cm="1">
        <f t="array" aca="1" ref="L218" ca="1">IF(OR(A218="",B218="safety"),"",INDIRECT("template!"&amp;"I"&amp;A218))</f>
        <v>#REF!</v>
      </c>
      <c r="M218" t="e" cm="1">
        <f t="array" aca="1" ref="M218" ca="1">IF(OR(A218="",B218="safety"),"",INDIRECT("template!"&amp;"J"&amp;A218))</f>
        <v>#REF!</v>
      </c>
      <c r="N218" t="e" cm="1">
        <f t="array" aca="1" ref="N218" ca="1">IF(OR(A218="",B218="safety"),"",IF(ISBLANK(INDIRECT("template!"&amp;"K"&amp;A218)),"",INDIRECT("template!"&amp;"K"&amp;A218)))</f>
        <v>#REF!</v>
      </c>
      <c r="O218" t="e" cm="1">
        <f t="array" aca="1" ref="O218" ca="1">IF(OR(A218="",B218="safety"),"",INDIRECT("template!"&amp;"L"&amp;A218))</f>
        <v>#REF!</v>
      </c>
      <c r="P218" t="e" cm="1">
        <f t="array" aca="1" ref="P218" ca="1">IF(OR(A218="",B218="safety"),"",INDIRECT("template!"&amp;"M"&amp;A218))</f>
        <v>#REF!</v>
      </c>
      <c r="Q218" t="e">
        <f t="shared" ca="1" si="16"/>
        <v>#REF!</v>
      </c>
      <c r="R218" t="e">
        <f t="shared" ca="1" si="17"/>
        <v>#REF!</v>
      </c>
      <c r="S218" t="e">
        <f t="shared" ca="1" si="18"/>
        <v>#REF!</v>
      </c>
      <c r="T218" t="e">
        <f t="shared" ca="1" si="19"/>
        <v>#REF!</v>
      </c>
      <c r="U218" t="e" cm="1">
        <f t="array" aca="1" ref="U218" ca="1">IF(A218="","",IF(E218="","",IF(B218="safety",INDIRECT("template!"&amp;"P"&amp;A218),Q218+R218)))</f>
        <v>#REF!</v>
      </c>
      <c r="V218" t="e" cm="1">
        <f t="array" aca="1" ref="V218" ca="1">IF(A218="","",IF(E218="","",IF(B218="safety",INDIRECT("template!"&amp;"P"&amp;A218),S218+T218)))</f>
        <v>#REF!</v>
      </c>
      <c r="W218" t="e">
        <f ca="1">IF(A218="","",IF(E218="","",#REF!))</f>
        <v>#REF!</v>
      </c>
      <c r="X218" t="e">
        <f ca="1">IF(A218="","",IF(E218="","",#REF!))</f>
        <v>#REF!</v>
      </c>
      <c r="Y218" s="39" t="e">
        <f ca="1">IF(A218="","",IF(E218="","",#REF!))</f>
        <v>#REF!</v>
      </c>
      <c r="Z218" t="e">
        <f ca="1">IF(A218="","",IF(E218="","",#REF!))</f>
        <v>#REF!</v>
      </c>
      <c r="AA218" t="e">
        <f ca="1">IF(A218="","",IF(E218="","",#REF!))</f>
        <v>#REF!</v>
      </c>
      <c r="AB218" t="e">
        <f ca="1">IF(A218="","",IF(E218="","",#REF!))</f>
        <v>#REF!</v>
      </c>
      <c r="AC218" t="e">
        <f t="shared" ca="1" si="20"/>
        <v>#REF!</v>
      </c>
    </row>
    <row r="219" spans="1:29" x14ac:dyDescent="0.35">
      <c r="A219" t="e" cm="1">
        <f t="array" aca="1" ref="A219" ca="1">IF(A218="","",IF(OR(AND(A218+1&gt;=$AF$1,A218+1&lt;=$AF$2),AND(A218+1&gt;=$AF$6,A218+1&lt;=$AF$7),AND(A218+1&gt;=$AF$3,A218+1&lt;=$AF$4),AND(A218+1&gt;=$AF$8,A218+1&lt;=$AF$9),A218+1=$AF$5),IF(NOT(ISBLANK(INDIRECT("template!"&amp;"P"&amp;A218+1))),A218+1,IF(NOT(ISBLANK(INDIRECT("template!"&amp;"P"&amp;A218+2))),A218+2,A218+3)),IF(A218=$AF$2,$AF$3,IF(A218=$AF$4,$AF$5,IF(A218=$AF$5,$AF$6,IF(A218=$AF$7,$AF$8,""))))))</f>
        <v>#REF!</v>
      </c>
      <c r="B219" t="e">
        <f t="shared" ca="1" si="0"/>
        <v>#REF!</v>
      </c>
      <c r="C219" t="e" cm="1">
        <f t="array" aca="1" ref="C219" ca="1">IF(A219="","",IF(B219="safety","safety costs",INDIRECT("template!"&amp;"B"&amp;A219)))</f>
        <v>#REF!</v>
      </c>
      <c r="D219" t="e" cm="1">
        <f t="array" aca="1" ref="D219" ca="1">IF(OR(A219="",B219="safety"),"",INDIRECT("template!"&amp;"C"&amp;A219))</f>
        <v>#REF!</v>
      </c>
      <c r="E219" t="e" cm="1">
        <f t="array" aca="1" ref="E219" ca="1">IF(A219="","",IF(OR(A219=A218+1,A219=A218+2),E218,INDIRECT("template!"&amp;"D"&amp;A219-2)))</f>
        <v>#REF!</v>
      </c>
      <c r="F219" t="e" cm="1">
        <f t="array" aca="1" ref="F219" ca="1">IF(OR(A219="",B219="safety"),"",IF(ISBLANK(IF(A219=A218+1,F218,INDIRECT("template!"&amp;"D"&amp;A219-1))),"",IF(A219=A218+1,F218,INDIRECT("template!"&amp;"D"&amp;A219-1))))</f>
        <v>#REF!</v>
      </c>
      <c r="G219" t="e" cm="1">
        <f t="array" aca="1" ref="G219" ca="1">IF(OR(A219="",B219="safety"),"",IF(ISBLANK(INDIRECT("template!"&amp;"D"&amp;A219)),"",INDIRECT("template!"&amp;"D"&amp;A219)))</f>
        <v>#REF!</v>
      </c>
      <c r="H219" t="e" cm="1">
        <f t="array" aca="1" ref="H219" ca="1">IF(OR(A219="",B219="safety"),"",IF(ISBLANK(INDIRECT("template!"&amp;"E"&amp;A219)),"",INDIRECT("template!"&amp;"E"&amp;A219)))</f>
        <v>#REF!</v>
      </c>
      <c r="I219" t="e" cm="1">
        <f t="array" aca="1" ref="I219" ca="1">IF(OR(A219="",B219="safety"),"",IF(ISBLANK(INDIRECT("template!"&amp;"F"&amp;A219)),"",INDIRECT("template!"&amp;"F"&amp;A219)))</f>
        <v>#REF!</v>
      </c>
      <c r="J219" t="e" cm="1">
        <f t="array" aca="1" ref="J219" ca="1">IF(OR(A219="",B219="safety"),"",IF(ISBLANK(INDIRECT("template!"&amp;"G"&amp;A219)),"",INDIRECT("template!"&amp;"G"&amp;A219)))</f>
        <v>#REF!</v>
      </c>
      <c r="K219" t="e" cm="1">
        <f t="array" aca="1" ref="K219" ca="1">IF(OR(A219="",B219="safety"),"",IF(ISBLANK(INDIRECT("template!"&amp;"H"&amp;A219)),"",INDIRECT("template!"&amp;"H"&amp;A219)))</f>
        <v>#REF!</v>
      </c>
      <c r="L219" t="e" cm="1">
        <f t="array" aca="1" ref="L219" ca="1">IF(OR(A219="",B219="safety"),"",INDIRECT("template!"&amp;"I"&amp;A219))</f>
        <v>#REF!</v>
      </c>
      <c r="M219" t="e" cm="1">
        <f t="array" aca="1" ref="M219" ca="1">IF(OR(A219="",B219="safety"),"",INDIRECT("template!"&amp;"J"&amp;A219))</f>
        <v>#REF!</v>
      </c>
      <c r="N219" t="e" cm="1">
        <f t="array" aca="1" ref="N219" ca="1">IF(OR(A219="",B219="safety"),"",IF(ISBLANK(INDIRECT("template!"&amp;"K"&amp;A219)),"",INDIRECT("template!"&amp;"K"&amp;A219)))</f>
        <v>#REF!</v>
      </c>
      <c r="O219" t="e" cm="1">
        <f t="array" aca="1" ref="O219" ca="1">IF(OR(A219="",B219="safety"),"",INDIRECT("template!"&amp;"L"&amp;A219))</f>
        <v>#REF!</v>
      </c>
      <c r="P219" t="e" cm="1">
        <f t="array" aca="1" ref="P219" ca="1">IF(OR(A219="",B219="safety"),"",INDIRECT("template!"&amp;"M"&amp;A219))</f>
        <v>#REF!</v>
      </c>
      <c r="Q219" t="e">
        <f t="shared" ca="1" si="16"/>
        <v>#REF!</v>
      </c>
      <c r="R219" t="e">
        <f t="shared" ca="1" si="17"/>
        <v>#REF!</v>
      </c>
      <c r="S219" t="e">
        <f t="shared" ca="1" si="18"/>
        <v>#REF!</v>
      </c>
      <c r="T219" t="e">
        <f t="shared" ca="1" si="19"/>
        <v>#REF!</v>
      </c>
      <c r="U219" t="e" cm="1">
        <f t="array" aca="1" ref="U219" ca="1">IF(A219="","",IF(E219="","",IF(B219="safety",INDIRECT("template!"&amp;"P"&amp;A219),Q219+R219)))</f>
        <v>#REF!</v>
      </c>
      <c r="V219" t="e" cm="1">
        <f t="array" aca="1" ref="V219" ca="1">IF(A219="","",IF(E219="","",IF(B219="safety",INDIRECT("template!"&amp;"P"&amp;A219),S219+T219)))</f>
        <v>#REF!</v>
      </c>
      <c r="W219" t="e">
        <f ca="1">IF(A219="","",IF(E219="","",#REF!))</f>
        <v>#REF!</v>
      </c>
      <c r="X219" t="e">
        <f ca="1">IF(A219="","",IF(E219="","",#REF!))</f>
        <v>#REF!</v>
      </c>
      <c r="Y219" s="39" t="e">
        <f ca="1">IF(A219="","",IF(E219="","",#REF!))</f>
        <v>#REF!</v>
      </c>
      <c r="Z219" t="e">
        <f ca="1">IF(A219="","",IF(E219="","",#REF!))</f>
        <v>#REF!</v>
      </c>
      <c r="AA219" t="e">
        <f ca="1">IF(A219="","",IF(E219="","",#REF!))</f>
        <v>#REF!</v>
      </c>
      <c r="AB219" t="e">
        <f ca="1">IF(A219="","",IF(E219="","",#REF!))</f>
        <v>#REF!</v>
      </c>
      <c r="AC219" t="e">
        <f t="shared" ca="1" si="20"/>
        <v>#REF!</v>
      </c>
    </row>
    <row r="220" spans="1:29" x14ac:dyDescent="0.35">
      <c r="A220" t="e" cm="1">
        <f t="array" aca="1" ref="A220" ca="1">IF(A219="","",IF(OR(AND(A219+1&gt;=$AF$1,A219+1&lt;=$AF$2),AND(A219+1&gt;=$AF$6,A219+1&lt;=$AF$7),AND(A219+1&gt;=$AF$3,A219+1&lt;=$AF$4),AND(A219+1&gt;=$AF$8,A219+1&lt;=$AF$9),A219+1=$AF$5),IF(NOT(ISBLANK(INDIRECT("template!"&amp;"P"&amp;A219+1))),A219+1,IF(NOT(ISBLANK(INDIRECT("template!"&amp;"P"&amp;A219+2))),A219+2,A219+3)),IF(A219=$AF$2,$AF$3,IF(A219=$AF$4,$AF$5,IF(A219=$AF$5,$AF$6,IF(A219=$AF$7,$AF$8,""))))))</f>
        <v>#REF!</v>
      </c>
      <c r="B220" t="e">
        <f t="shared" ca="1" si="0"/>
        <v>#REF!</v>
      </c>
      <c r="C220" t="e" cm="1">
        <f t="array" aca="1" ref="C220" ca="1">IF(A220="","",IF(B220="safety","safety costs",INDIRECT("template!"&amp;"B"&amp;A220)))</f>
        <v>#REF!</v>
      </c>
      <c r="D220" t="e" cm="1">
        <f t="array" aca="1" ref="D220" ca="1">IF(OR(A220="",B220="safety"),"",INDIRECT("template!"&amp;"C"&amp;A220))</f>
        <v>#REF!</v>
      </c>
      <c r="E220" t="e" cm="1">
        <f t="array" aca="1" ref="E220" ca="1">IF(A220="","",IF(OR(A220=A219+1,A220=A219+2),E219,INDIRECT("template!"&amp;"D"&amp;A220-2)))</f>
        <v>#REF!</v>
      </c>
      <c r="F220" t="e" cm="1">
        <f t="array" aca="1" ref="F220" ca="1">IF(OR(A220="",B220="safety"),"",IF(ISBLANK(IF(A220=A219+1,F219,INDIRECT("template!"&amp;"D"&amp;A220-1))),"",IF(A220=A219+1,F219,INDIRECT("template!"&amp;"D"&amp;A220-1))))</f>
        <v>#REF!</v>
      </c>
      <c r="G220" t="e" cm="1">
        <f t="array" aca="1" ref="G220" ca="1">IF(OR(A220="",B220="safety"),"",IF(ISBLANK(INDIRECT("template!"&amp;"D"&amp;A220)),"",INDIRECT("template!"&amp;"D"&amp;A220)))</f>
        <v>#REF!</v>
      </c>
      <c r="H220" t="e" cm="1">
        <f t="array" aca="1" ref="H220" ca="1">IF(OR(A220="",B220="safety"),"",IF(ISBLANK(INDIRECT("template!"&amp;"E"&amp;A220)),"",INDIRECT("template!"&amp;"E"&amp;A220)))</f>
        <v>#REF!</v>
      </c>
      <c r="I220" t="e" cm="1">
        <f t="array" aca="1" ref="I220" ca="1">IF(OR(A220="",B220="safety"),"",IF(ISBLANK(INDIRECT("template!"&amp;"F"&amp;A220)),"",INDIRECT("template!"&amp;"F"&amp;A220)))</f>
        <v>#REF!</v>
      </c>
      <c r="J220" t="e" cm="1">
        <f t="array" aca="1" ref="J220" ca="1">IF(OR(A220="",B220="safety"),"",IF(ISBLANK(INDIRECT("template!"&amp;"G"&amp;A220)),"",INDIRECT("template!"&amp;"G"&amp;A220)))</f>
        <v>#REF!</v>
      </c>
      <c r="K220" t="e" cm="1">
        <f t="array" aca="1" ref="K220" ca="1">IF(OR(A220="",B220="safety"),"",IF(ISBLANK(INDIRECT("template!"&amp;"H"&amp;A220)),"",INDIRECT("template!"&amp;"H"&amp;A220)))</f>
        <v>#REF!</v>
      </c>
      <c r="L220" t="e" cm="1">
        <f t="array" aca="1" ref="L220" ca="1">IF(OR(A220="",B220="safety"),"",INDIRECT("template!"&amp;"I"&amp;A220))</f>
        <v>#REF!</v>
      </c>
      <c r="M220" t="e" cm="1">
        <f t="array" aca="1" ref="M220" ca="1">IF(OR(A220="",B220="safety"),"",INDIRECT("template!"&amp;"J"&amp;A220))</f>
        <v>#REF!</v>
      </c>
      <c r="N220" t="e" cm="1">
        <f t="array" aca="1" ref="N220" ca="1">IF(OR(A220="",B220="safety"),"",IF(ISBLANK(INDIRECT("template!"&amp;"K"&amp;A220)),"",INDIRECT("template!"&amp;"K"&amp;A220)))</f>
        <v>#REF!</v>
      </c>
      <c r="O220" t="e" cm="1">
        <f t="array" aca="1" ref="O220" ca="1">IF(OR(A220="",B220="safety"),"",INDIRECT("template!"&amp;"L"&amp;A220))</f>
        <v>#REF!</v>
      </c>
      <c r="P220" t="e" cm="1">
        <f t="array" aca="1" ref="P220" ca="1">IF(OR(A220="",B220="safety"),"",INDIRECT("template!"&amp;"M"&amp;A220))</f>
        <v>#REF!</v>
      </c>
      <c r="Q220" t="e">
        <f t="shared" ca="1" si="16"/>
        <v>#REF!</v>
      </c>
      <c r="R220" t="e">
        <f t="shared" ca="1" si="17"/>
        <v>#REF!</v>
      </c>
      <c r="S220" t="e">
        <f t="shared" ca="1" si="18"/>
        <v>#REF!</v>
      </c>
      <c r="T220" t="e">
        <f t="shared" ca="1" si="19"/>
        <v>#REF!</v>
      </c>
      <c r="U220" t="e" cm="1">
        <f t="array" aca="1" ref="U220" ca="1">IF(A220="","",IF(E220="","",IF(B220="safety",INDIRECT("template!"&amp;"P"&amp;A220),Q220+R220)))</f>
        <v>#REF!</v>
      </c>
      <c r="V220" t="e" cm="1">
        <f t="array" aca="1" ref="V220" ca="1">IF(A220="","",IF(E220="","",IF(B220="safety",INDIRECT("template!"&amp;"P"&amp;A220),S220+T220)))</f>
        <v>#REF!</v>
      </c>
      <c r="W220" t="e">
        <f ca="1">IF(A220="","",IF(E220="","",#REF!))</f>
        <v>#REF!</v>
      </c>
      <c r="X220" t="e">
        <f ca="1">IF(A220="","",IF(E220="","",#REF!))</f>
        <v>#REF!</v>
      </c>
      <c r="Y220" s="39" t="e">
        <f ca="1">IF(A220="","",IF(E220="","",#REF!))</f>
        <v>#REF!</v>
      </c>
      <c r="Z220" t="e">
        <f ca="1">IF(A220="","",IF(E220="","",#REF!))</f>
        <v>#REF!</v>
      </c>
      <c r="AA220" t="e">
        <f ca="1">IF(A220="","",IF(E220="","",#REF!))</f>
        <v>#REF!</v>
      </c>
      <c r="AB220" t="e">
        <f ca="1">IF(A220="","",IF(E220="","",#REF!))</f>
        <v>#REF!</v>
      </c>
      <c r="AC220" t="e">
        <f t="shared" ca="1" si="20"/>
        <v>#REF!</v>
      </c>
    </row>
    <row r="221" spans="1:29" x14ac:dyDescent="0.35">
      <c r="A221" t="e" cm="1">
        <f t="array" aca="1" ref="A221" ca="1">IF(A220="","",IF(OR(AND(A220+1&gt;=$AF$1,A220+1&lt;=$AF$2),AND(A220+1&gt;=$AF$6,A220+1&lt;=$AF$7),AND(A220+1&gt;=$AF$3,A220+1&lt;=$AF$4),AND(A220+1&gt;=$AF$8,A220+1&lt;=$AF$9),A220+1=$AF$5),IF(NOT(ISBLANK(INDIRECT("template!"&amp;"P"&amp;A220+1))),A220+1,IF(NOT(ISBLANK(INDIRECT("template!"&amp;"P"&amp;A220+2))),A220+2,A220+3)),IF(A220=$AF$2,$AF$3,IF(A220=$AF$4,$AF$5,IF(A220=$AF$5,$AF$6,IF(A220=$AF$7,$AF$8,""))))))</f>
        <v>#REF!</v>
      </c>
      <c r="B221" t="e">
        <f t="shared" ca="1" si="0"/>
        <v>#REF!</v>
      </c>
      <c r="C221" t="e" cm="1">
        <f t="array" aca="1" ref="C221" ca="1">IF(A221="","",IF(B221="safety","safety costs",INDIRECT("template!"&amp;"B"&amp;A221)))</f>
        <v>#REF!</v>
      </c>
      <c r="D221" t="e" cm="1">
        <f t="array" aca="1" ref="D221" ca="1">IF(OR(A221="",B221="safety"),"",INDIRECT("template!"&amp;"C"&amp;A221))</f>
        <v>#REF!</v>
      </c>
      <c r="E221" t="e" cm="1">
        <f t="array" aca="1" ref="E221" ca="1">IF(A221="","",IF(OR(A221=A220+1,A221=A220+2),E220,INDIRECT("template!"&amp;"D"&amp;A221-2)))</f>
        <v>#REF!</v>
      </c>
      <c r="F221" t="e" cm="1">
        <f t="array" aca="1" ref="F221" ca="1">IF(OR(A221="",B221="safety"),"",IF(ISBLANK(IF(A221=A220+1,F220,INDIRECT("template!"&amp;"D"&amp;A221-1))),"",IF(A221=A220+1,F220,INDIRECT("template!"&amp;"D"&amp;A221-1))))</f>
        <v>#REF!</v>
      </c>
      <c r="G221" t="e" cm="1">
        <f t="array" aca="1" ref="G221" ca="1">IF(OR(A221="",B221="safety"),"",IF(ISBLANK(INDIRECT("template!"&amp;"D"&amp;A221)),"",INDIRECT("template!"&amp;"D"&amp;A221)))</f>
        <v>#REF!</v>
      </c>
      <c r="H221" t="e" cm="1">
        <f t="array" aca="1" ref="H221" ca="1">IF(OR(A221="",B221="safety"),"",IF(ISBLANK(INDIRECT("template!"&amp;"E"&amp;A221)),"",INDIRECT("template!"&amp;"E"&amp;A221)))</f>
        <v>#REF!</v>
      </c>
      <c r="I221" t="e" cm="1">
        <f t="array" aca="1" ref="I221" ca="1">IF(OR(A221="",B221="safety"),"",IF(ISBLANK(INDIRECT("template!"&amp;"F"&amp;A221)),"",INDIRECT("template!"&amp;"F"&amp;A221)))</f>
        <v>#REF!</v>
      </c>
      <c r="J221" t="e" cm="1">
        <f t="array" aca="1" ref="J221" ca="1">IF(OR(A221="",B221="safety"),"",IF(ISBLANK(INDIRECT("template!"&amp;"G"&amp;A221)),"",INDIRECT("template!"&amp;"G"&amp;A221)))</f>
        <v>#REF!</v>
      </c>
      <c r="K221" t="e" cm="1">
        <f t="array" aca="1" ref="K221" ca="1">IF(OR(A221="",B221="safety"),"",IF(ISBLANK(INDIRECT("template!"&amp;"H"&amp;A221)),"",INDIRECT("template!"&amp;"H"&amp;A221)))</f>
        <v>#REF!</v>
      </c>
      <c r="L221" t="e" cm="1">
        <f t="array" aca="1" ref="L221" ca="1">IF(OR(A221="",B221="safety"),"",INDIRECT("template!"&amp;"I"&amp;A221))</f>
        <v>#REF!</v>
      </c>
      <c r="M221" t="e" cm="1">
        <f t="array" aca="1" ref="M221" ca="1">IF(OR(A221="",B221="safety"),"",INDIRECT("template!"&amp;"J"&amp;A221))</f>
        <v>#REF!</v>
      </c>
      <c r="N221" t="e" cm="1">
        <f t="array" aca="1" ref="N221" ca="1">IF(OR(A221="",B221="safety"),"",IF(ISBLANK(INDIRECT("template!"&amp;"K"&amp;A221)),"",INDIRECT("template!"&amp;"K"&amp;A221)))</f>
        <v>#REF!</v>
      </c>
      <c r="O221" t="e" cm="1">
        <f t="array" aca="1" ref="O221" ca="1">IF(OR(A221="",B221="safety"),"",INDIRECT("template!"&amp;"L"&amp;A221))</f>
        <v>#REF!</v>
      </c>
      <c r="P221" t="e" cm="1">
        <f t="array" aca="1" ref="P221" ca="1">IF(OR(A221="",B221="safety"),"",INDIRECT("template!"&amp;"M"&amp;A221))</f>
        <v>#REF!</v>
      </c>
      <c r="Q221" t="e">
        <f t="shared" ca="1" si="16"/>
        <v>#REF!</v>
      </c>
      <c r="R221" t="e">
        <f t="shared" ca="1" si="17"/>
        <v>#REF!</v>
      </c>
      <c r="S221" t="e">
        <f t="shared" ca="1" si="18"/>
        <v>#REF!</v>
      </c>
      <c r="T221" t="e">
        <f t="shared" ca="1" si="19"/>
        <v>#REF!</v>
      </c>
      <c r="U221" t="e" cm="1">
        <f t="array" aca="1" ref="U221" ca="1">IF(A221="","",IF(E221="","",IF(B221="safety",INDIRECT("template!"&amp;"P"&amp;A221),Q221+R221)))</f>
        <v>#REF!</v>
      </c>
      <c r="V221" t="e" cm="1">
        <f t="array" aca="1" ref="V221" ca="1">IF(A221="","",IF(E221="","",IF(B221="safety",INDIRECT("template!"&amp;"P"&amp;A221),S221+T221)))</f>
        <v>#REF!</v>
      </c>
      <c r="W221" t="e">
        <f ca="1">IF(A221="","",IF(E221="","",#REF!))</f>
        <v>#REF!</v>
      </c>
      <c r="X221" t="e">
        <f ca="1">IF(A221="","",IF(E221="","",#REF!))</f>
        <v>#REF!</v>
      </c>
      <c r="Y221" s="39" t="e">
        <f ca="1">IF(A221="","",IF(E221="","",#REF!))</f>
        <v>#REF!</v>
      </c>
      <c r="Z221" t="e">
        <f ca="1">IF(A221="","",IF(E221="","",#REF!))</f>
        <v>#REF!</v>
      </c>
      <c r="AA221" t="e">
        <f ca="1">IF(A221="","",IF(E221="","",#REF!))</f>
        <v>#REF!</v>
      </c>
      <c r="AB221" t="e">
        <f ca="1">IF(A221="","",IF(E221="","",#REF!))</f>
        <v>#REF!</v>
      </c>
      <c r="AC221" t="e">
        <f t="shared" ca="1" si="20"/>
        <v>#REF!</v>
      </c>
    </row>
    <row r="222" spans="1:29" x14ac:dyDescent="0.35">
      <c r="A222" t="e" cm="1">
        <f t="array" aca="1" ref="A222" ca="1">IF(A221="","",IF(OR(AND(A221+1&gt;=$AF$1,A221+1&lt;=$AF$2),AND(A221+1&gt;=$AF$6,A221+1&lt;=$AF$7),AND(A221+1&gt;=$AF$3,A221+1&lt;=$AF$4),AND(A221+1&gt;=$AF$8,A221+1&lt;=$AF$9),A221+1=$AF$5),IF(NOT(ISBLANK(INDIRECT("template!"&amp;"P"&amp;A221+1))),A221+1,IF(NOT(ISBLANK(INDIRECT("template!"&amp;"P"&amp;A221+2))),A221+2,A221+3)),IF(A221=$AF$2,$AF$3,IF(A221=$AF$4,$AF$5,IF(A221=$AF$5,$AF$6,IF(A221=$AF$7,$AF$8,""))))))</f>
        <v>#REF!</v>
      </c>
      <c r="B222" t="e">
        <f t="shared" ca="1" si="0"/>
        <v>#REF!</v>
      </c>
      <c r="C222" t="e" cm="1">
        <f t="array" aca="1" ref="C222" ca="1">IF(A222="","",IF(B222="safety","safety costs",INDIRECT("template!"&amp;"B"&amp;A222)))</f>
        <v>#REF!</v>
      </c>
      <c r="D222" t="e" cm="1">
        <f t="array" aca="1" ref="D222" ca="1">IF(OR(A222="",B222="safety"),"",INDIRECT("template!"&amp;"C"&amp;A222))</f>
        <v>#REF!</v>
      </c>
      <c r="E222" t="e" cm="1">
        <f t="array" aca="1" ref="E222" ca="1">IF(A222="","",IF(OR(A222=A221+1,A222=A221+2),E221,INDIRECT("template!"&amp;"D"&amp;A222-2)))</f>
        <v>#REF!</v>
      </c>
      <c r="F222" t="e" cm="1">
        <f t="array" aca="1" ref="F222" ca="1">IF(OR(A222="",B222="safety"),"",IF(ISBLANK(IF(A222=A221+1,F221,INDIRECT("template!"&amp;"D"&amp;A222-1))),"",IF(A222=A221+1,F221,INDIRECT("template!"&amp;"D"&amp;A222-1))))</f>
        <v>#REF!</v>
      </c>
      <c r="G222" t="e" cm="1">
        <f t="array" aca="1" ref="G222" ca="1">IF(OR(A222="",B222="safety"),"",IF(ISBLANK(INDIRECT("template!"&amp;"D"&amp;A222)),"",INDIRECT("template!"&amp;"D"&amp;A222)))</f>
        <v>#REF!</v>
      </c>
      <c r="H222" t="e" cm="1">
        <f t="array" aca="1" ref="H222" ca="1">IF(OR(A222="",B222="safety"),"",IF(ISBLANK(INDIRECT("template!"&amp;"E"&amp;A222)),"",INDIRECT("template!"&amp;"E"&amp;A222)))</f>
        <v>#REF!</v>
      </c>
      <c r="I222" t="e" cm="1">
        <f t="array" aca="1" ref="I222" ca="1">IF(OR(A222="",B222="safety"),"",IF(ISBLANK(INDIRECT("template!"&amp;"F"&amp;A222)),"",INDIRECT("template!"&amp;"F"&amp;A222)))</f>
        <v>#REF!</v>
      </c>
      <c r="J222" t="e" cm="1">
        <f t="array" aca="1" ref="J222" ca="1">IF(OR(A222="",B222="safety"),"",IF(ISBLANK(INDIRECT("template!"&amp;"G"&amp;A222)),"",INDIRECT("template!"&amp;"G"&amp;A222)))</f>
        <v>#REF!</v>
      </c>
      <c r="K222" t="e" cm="1">
        <f t="array" aca="1" ref="K222" ca="1">IF(OR(A222="",B222="safety"),"",IF(ISBLANK(INDIRECT("template!"&amp;"H"&amp;A222)),"",INDIRECT("template!"&amp;"H"&amp;A222)))</f>
        <v>#REF!</v>
      </c>
      <c r="L222" t="e" cm="1">
        <f t="array" aca="1" ref="L222" ca="1">IF(OR(A222="",B222="safety"),"",INDIRECT("template!"&amp;"I"&amp;A222))</f>
        <v>#REF!</v>
      </c>
      <c r="M222" t="e" cm="1">
        <f t="array" aca="1" ref="M222" ca="1">IF(OR(A222="",B222="safety"),"",INDIRECT("template!"&amp;"J"&amp;A222))</f>
        <v>#REF!</v>
      </c>
      <c r="N222" t="e" cm="1">
        <f t="array" aca="1" ref="N222" ca="1">IF(OR(A222="",B222="safety"),"",IF(ISBLANK(INDIRECT("template!"&amp;"K"&amp;A222)),"",INDIRECT("template!"&amp;"K"&amp;A222)))</f>
        <v>#REF!</v>
      </c>
      <c r="O222" t="e" cm="1">
        <f t="array" aca="1" ref="O222" ca="1">IF(OR(A222="",B222="safety"),"",INDIRECT("template!"&amp;"L"&amp;A222))</f>
        <v>#REF!</v>
      </c>
      <c r="P222" t="e" cm="1">
        <f t="array" aca="1" ref="P222" ca="1">IF(OR(A222="",B222="safety"),"",INDIRECT("template!"&amp;"M"&amp;A222))</f>
        <v>#REF!</v>
      </c>
      <c r="Q222" t="e">
        <f t="shared" ca="1" si="16"/>
        <v>#REF!</v>
      </c>
      <c r="R222" t="e">
        <f t="shared" ca="1" si="17"/>
        <v>#REF!</v>
      </c>
      <c r="S222" t="e">
        <f t="shared" ca="1" si="18"/>
        <v>#REF!</v>
      </c>
      <c r="T222" t="e">
        <f t="shared" ca="1" si="19"/>
        <v>#REF!</v>
      </c>
      <c r="U222" t="e" cm="1">
        <f t="array" aca="1" ref="U222" ca="1">IF(A222="","",IF(E222="","",IF(B222="safety",INDIRECT("template!"&amp;"P"&amp;A222),Q222+R222)))</f>
        <v>#REF!</v>
      </c>
      <c r="V222" t="e" cm="1">
        <f t="array" aca="1" ref="V222" ca="1">IF(A222="","",IF(E222="","",IF(B222="safety",INDIRECT("template!"&amp;"P"&amp;A222),S222+T222)))</f>
        <v>#REF!</v>
      </c>
      <c r="W222" t="e">
        <f ca="1">IF(A222="","",IF(E222="","",#REF!))</f>
        <v>#REF!</v>
      </c>
      <c r="X222" t="e">
        <f ca="1">IF(A222="","",IF(E222="","",#REF!))</f>
        <v>#REF!</v>
      </c>
      <c r="Y222" s="39" t="e">
        <f ca="1">IF(A222="","",IF(E222="","",#REF!))</f>
        <v>#REF!</v>
      </c>
      <c r="Z222" t="e">
        <f ca="1">IF(A222="","",IF(E222="","",#REF!))</f>
        <v>#REF!</v>
      </c>
      <c r="AA222" t="e">
        <f ca="1">IF(A222="","",IF(E222="","",#REF!))</f>
        <v>#REF!</v>
      </c>
      <c r="AB222" t="e">
        <f ca="1">IF(A222="","",IF(E222="","",#REF!))</f>
        <v>#REF!</v>
      </c>
      <c r="AC222" t="e">
        <f t="shared" ca="1" si="20"/>
        <v>#REF!</v>
      </c>
    </row>
    <row r="223" spans="1:29" x14ac:dyDescent="0.35">
      <c r="A223" t="e" cm="1">
        <f t="array" aca="1" ref="A223" ca="1">IF(A222="","",IF(OR(AND(A222+1&gt;=$AF$1,A222+1&lt;=$AF$2),AND(A222+1&gt;=$AF$6,A222+1&lt;=$AF$7),AND(A222+1&gt;=$AF$3,A222+1&lt;=$AF$4),AND(A222+1&gt;=$AF$8,A222+1&lt;=$AF$9),A222+1=$AF$5),IF(NOT(ISBLANK(INDIRECT("template!"&amp;"P"&amp;A222+1))),A222+1,IF(NOT(ISBLANK(INDIRECT("template!"&amp;"P"&amp;A222+2))),A222+2,A222+3)),IF(A222=$AF$2,$AF$3,IF(A222=$AF$4,$AF$5,IF(A222=$AF$5,$AF$6,IF(A222=$AF$7,$AF$8,""))))))</f>
        <v>#REF!</v>
      </c>
      <c r="B223" t="e">
        <f t="shared" ca="1" si="0"/>
        <v>#REF!</v>
      </c>
      <c r="C223" t="e" cm="1">
        <f t="array" aca="1" ref="C223" ca="1">IF(A223="","",IF(B223="safety","safety costs",INDIRECT("template!"&amp;"B"&amp;A223)))</f>
        <v>#REF!</v>
      </c>
      <c r="D223" t="e" cm="1">
        <f t="array" aca="1" ref="D223" ca="1">IF(OR(A223="",B223="safety"),"",INDIRECT("template!"&amp;"C"&amp;A223))</f>
        <v>#REF!</v>
      </c>
      <c r="E223" t="e" cm="1">
        <f t="array" aca="1" ref="E223" ca="1">IF(A223="","",IF(OR(A223=A222+1,A223=A222+2),E222,INDIRECT("template!"&amp;"D"&amp;A223-2)))</f>
        <v>#REF!</v>
      </c>
      <c r="F223" t="e" cm="1">
        <f t="array" aca="1" ref="F223" ca="1">IF(OR(A223="",B223="safety"),"",IF(ISBLANK(IF(A223=A222+1,F222,INDIRECT("template!"&amp;"D"&amp;A223-1))),"",IF(A223=A222+1,F222,INDIRECT("template!"&amp;"D"&amp;A223-1))))</f>
        <v>#REF!</v>
      </c>
      <c r="G223" t="e" cm="1">
        <f t="array" aca="1" ref="G223" ca="1">IF(OR(A223="",B223="safety"),"",IF(ISBLANK(INDIRECT("template!"&amp;"D"&amp;A223)),"",INDIRECT("template!"&amp;"D"&amp;A223)))</f>
        <v>#REF!</v>
      </c>
      <c r="H223" t="e" cm="1">
        <f t="array" aca="1" ref="H223" ca="1">IF(OR(A223="",B223="safety"),"",IF(ISBLANK(INDIRECT("template!"&amp;"E"&amp;A223)),"",INDIRECT("template!"&amp;"E"&amp;A223)))</f>
        <v>#REF!</v>
      </c>
      <c r="I223" t="e" cm="1">
        <f t="array" aca="1" ref="I223" ca="1">IF(OR(A223="",B223="safety"),"",IF(ISBLANK(INDIRECT("template!"&amp;"F"&amp;A223)),"",INDIRECT("template!"&amp;"F"&amp;A223)))</f>
        <v>#REF!</v>
      </c>
      <c r="J223" t="e" cm="1">
        <f t="array" aca="1" ref="J223" ca="1">IF(OR(A223="",B223="safety"),"",IF(ISBLANK(INDIRECT("template!"&amp;"G"&amp;A223)),"",INDIRECT("template!"&amp;"G"&amp;A223)))</f>
        <v>#REF!</v>
      </c>
      <c r="K223" t="e" cm="1">
        <f t="array" aca="1" ref="K223" ca="1">IF(OR(A223="",B223="safety"),"",IF(ISBLANK(INDIRECT("template!"&amp;"H"&amp;A223)),"",INDIRECT("template!"&amp;"H"&amp;A223)))</f>
        <v>#REF!</v>
      </c>
      <c r="L223" t="e" cm="1">
        <f t="array" aca="1" ref="L223" ca="1">IF(OR(A223="",B223="safety"),"",INDIRECT("template!"&amp;"I"&amp;A223))</f>
        <v>#REF!</v>
      </c>
      <c r="M223" t="e" cm="1">
        <f t="array" aca="1" ref="M223" ca="1">IF(OR(A223="",B223="safety"),"",INDIRECT("template!"&amp;"J"&amp;A223))</f>
        <v>#REF!</v>
      </c>
      <c r="N223" t="e" cm="1">
        <f t="array" aca="1" ref="N223" ca="1">IF(OR(A223="",B223="safety"),"",IF(ISBLANK(INDIRECT("template!"&amp;"K"&amp;A223)),"",INDIRECT("template!"&amp;"K"&amp;A223)))</f>
        <v>#REF!</v>
      </c>
      <c r="O223" t="e" cm="1">
        <f t="array" aca="1" ref="O223" ca="1">IF(OR(A223="",B223="safety"),"",INDIRECT("template!"&amp;"L"&amp;A223))</f>
        <v>#REF!</v>
      </c>
      <c r="P223" t="e" cm="1">
        <f t="array" aca="1" ref="P223" ca="1">IF(OR(A223="",B223="safety"),"",INDIRECT("template!"&amp;"M"&amp;A223))</f>
        <v>#REF!</v>
      </c>
      <c r="Q223" t="e">
        <f t="shared" ca="1" si="16"/>
        <v>#REF!</v>
      </c>
      <c r="R223" t="e">
        <f t="shared" ca="1" si="17"/>
        <v>#REF!</v>
      </c>
      <c r="S223" t="e">
        <f t="shared" ca="1" si="18"/>
        <v>#REF!</v>
      </c>
      <c r="T223" t="e">
        <f t="shared" ca="1" si="19"/>
        <v>#REF!</v>
      </c>
      <c r="U223" t="e" cm="1">
        <f t="array" aca="1" ref="U223" ca="1">IF(A223="","",IF(E223="","",IF(B223="safety",INDIRECT("template!"&amp;"P"&amp;A223),Q223+R223)))</f>
        <v>#REF!</v>
      </c>
      <c r="V223" t="e" cm="1">
        <f t="array" aca="1" ref="V223" ca="1">IF(A223="","",IF(E223="","",IF(B223="safety",INDIRECT("template!"&amp;"P"&amp;A223),S223+T223)))</f>
        <v>#REF!</v>
      </c>
      <c r="W223" t="e">
        <f ca="1">IF(A223="","",IF(E223="","",#REF!))</f>
        <v>#REF!</v>
      </c>
      <c r="X223" t="e">
        <f ca="1">IF(A223="","",IF(E223="","",#REF!))</f>
        <v>#REF!</v>
      </c>
      <c r="Y223" s="39" t="e">
        <f ca="1">IF(A223="","",IF(E223="","",#REF!))</f>
        <v>#REF!</v>
      </c>
      <c r="Z223" t="e">
        <f ca="1">IF(A223="","",IF(E223="","",#REF!))</f>
        <v>#REF!</v>
      </c>
      <c r="AA223" t="e">
        <f ca="1">IF(A223="","",IF(E223="","",#REF!))</f>
        <v>#REF!</v>
      </c>
      <c r="AB223" t="e">
        <f ca="1">IF(A223="","",IF(E223="","",#REF!))</f>
        <v>#REF!</v>
      </c>
      <c r="AC223" t="e">
        <f t="shared" ca="1" si="20"/>
        <v>#REF!</v>
      </c>
    </row>
    <row r="224" spans="1:29" x14ac:dyDescent="0.35">
      <c r="A224" t="e" cm="1">
        <f t="array" aca="1" ref="A224" ca="1">IF(A223="","",IF(OR(AND(A223+1&gt;=$AF$1,A223+1&lt;=$AF$2),AND(A223+1&gt;=$AF$6,A223+1&lt;=$AF$7),AND(A223+1&gt;=$AF$3,A223+1&lt;=$AF$4),AND(A223+1&gt;=$AF$8,A223+1&lt;=$AF$9),A223+1=$AF$5),IF(NOT(ISBLANK(INDIRECT("template!"&amp;"P"&amp;A223+1))),A223+1,IF(NOT(ISBLANK(INDIRECT("template!"&amp;"P"&amp;A223+2))),A223+2,A223+3)),IF(A223=$AF$2,$AF$3,IF(A223=$AF$4,$AF$5,IF(A223=$AF$5,$AF$6,IF(A223=$AF$7,$AF$8,""))))))</f>
        <v>#REF!</v>
      </c>
      <c r="B224" t="e">
        <f t="shared" ca="1" si="0"/>
        <v>#REF!</v>
      </c>
      <c r="C224" t="e" cm="1">
        <f t="array" aca="1" ref="C224" ca="1">IF(A224="","",IF(B224="safety","safety costs",INDIRECT("template!"&amp;"B"&amp;A224)))</f>
        <v>#REF!</v>
      </c>
      <c r="D224" t="e" cm="1">
        <f t="array" aca="1" ref="D224" ca="1">IF(OR(A224="",B224="safety"),"",INDIRECT("template!"&amp;"C"&amp;A224))</f>
        <v>#REF!</v>
      </c>
      <c r="E224" t="e" cm="1">
        <f t="array" aca="1" ref="E224" ca="1">IF(A224="","",IF(OR(A224=A223+1,A224=A223+2),E223,INDIRECT("template!"&amp;"D"&amp;A224-2)))</f>
        <v>#REF!</v>
      </c>
      <c r="F224" t="e" cm="1">
        <f t="array" aca="1" ref="F224" ca="1">IF(OR(A224="",B224="safety"),"",IF(ISBLANK(IF(A224=A223+1,F223,INDIRECT("template!"&amp;"D"&amp;A224-1))),"",IF(A224=A223+1,F223,INDIRECT("template!"&amp;"D"&amp;A224-1))))</f>
        <v>#REF!</v>
      </c>
      <c r="G224" t="e" cm="1">
        <f t="array" aca="1" ref="G224" ca="1">IF(OR(A224="",B224="safety"),"",IF(ISBLANK(INDIRECT("template!"&amp;"D"&amp;A224)),"",INDIRECT("template!"&amp;"D"&amp;A224)))</f>
        <v>#REF!</v>
      </c>
      <c r="H224" t="e" cm="1">
        <f t="array" aca="1" ref="H224" ca="1">IF(OR(A224="",B224="safety"),"",IF(ISBLANK(INDIRECT("template!"&amp;"E"&amp;A224)),"",INDIRECT("template!"&amp;"E"&amp;A224)))</f>
        <v>#REF!</v>
      </c>
      <c r="I224" t="e" cm="1">
        <f t="array" aca="1" ref="I224" ca="1">IF(OR(A224="",B224="safety"),"",IF(ISBLANK(INDIRECT("template!"&amp;"F"&amp;A224)),"",INDIRECT("template!"&amp;"F"&amp;A224)))</f>
        <v>#REF!</v>
      </c>
      <c r="J224" t="e" cm="1">
        <f t="array" aca="1" ref="J224" ca="1">IF(OR(A224="",B224="safety"),"",IF(ISBLANK(INDIRECT("template!"&amp;"G"&amp;A224)),"",INDIRECT("template!"&amp;"G"&amp;A224)))</f>
        <v>#REF!</v>
      </c>
      <c r="K224" t="e" cm="1">
        <f t="array" aca="1" ref="K224" ca="1">IF(OR(A224="",B224="safety"),"",IF(ISBLANK(INDIRECT("template!"&amp;"H"&amp;A224)),"",INDIRECT("template!"&amp;"H"&amp;A224)))</f>
        <v>#REF!</v>
      </c>
      <c r="L224" t="e" cm="1">
        <f t="array" aca="1" ref="L224" ca="1">IF(OR(A224="",B224="safety"),"",INDIRECT("template!"&amp;"I"&amp;A224))</f>
        <v>#REF!</v>
      </c>
      <c r="M224" t="e" cm="1">
        <f t="array" aca="1" ref="M224" ca="1">IF(OR(A224="",B224="safety"),"",INDIRECT("template!"&amp;"J"&amp;A224))</f>
        <v>#REF!</v>
      </c>
      <c r="N224" t="e" cm="1">
        <f t="array" aca="1" ref="N224" ca="1">IF(OR(A224="",B224="safety"),"",IF(ISBLANK(INDIRECT("template!"&amp;"K"&amp;A224)),"",INDIRECT("template!"&amp;"K"&amp;A224)))</f>
        <v>#REF!</v>
      </c>
      <c r="O224" t="e" cm="1">
        <f t="array" aca="1" ref="O224" ca="1">IF(OR(A224="",B224="safety"),"",INDIRECT("template!"&amp;"L"&amp;A224))</f>
        <v>#REF!</v>
      </c>
      <c r="P224" t="e" cm="1">
        <f t="array" aca="1" ref="P224" ca="1">IF(OR(A224="",B224="safety"),"",INDIRECT("template!"&amp;"M"&amp;A224))</f>
        <v>#REF!</v>
      </c>
      <c r="Q224" t="e">
        <f t="shared" ca="1" si="16"/>
        <v>#REF!</v>
      </c>
      <c r="R224" t="e">
        <f t="shared" ca="1" si="17"/>
        <v>#REF!</v>
      </c>
      <c r="S224" t="e">
        <f t="shared" ca="1" si="18"/>
        <v>#REF!</v>
      </c>
      <c r="T224" t="e">
        <f t="shared" ca="1" si="19"/>
        <v>#REF!</v>
      </c>
      <c r="U224" t="e" cm="1">
        <f t="array" aca="1" ref="U224" ca="1">IF(A224="","",IF(E224="","",IF(B224="safety",INDIRECT("template!"&amp;"P"&amp;A224),Q224+R224)))</f>
        <v>#REF!</v>
      </c>
      <c r="V224" t="e" cm="1">
        <f t="array" aca="1" ref="V224" ca="1">IF(A224="","",IF(E224="","",IF(B224="safety",INDIRECT("template!"&amp;"P"&amp;A224),S224+T224)))</f>
        <v>#REF!</v>
      </c>
      <c r="W224" t="e">
        <f ca="1">IF(A224="","",IF(E224="","",#REF!))</f>
        <v>#REF!</v>
      </c>
      <c r="X224" t="e">
        <f ca="1">IF(A224="","",IF(E224="","",#REF!))</f>
        <v>#REF!</v>
      </c>
      <c r="Y224" s="39" t="e">
        <f ca="1">IF(A224="","",IF(E224="","",#REF!))</f>
        <v>#REF!</v>
      </c>
      <c r="Z224" t="e">
        <f ca="1">IF(A224="","",IF(E224="","",#REF!))</f>
        <v>#REF!</v>
      </c>
      <c r="AA224" t="e">
        <f ca="1">IF(A224="","",IF(E224="","",#REF!))</f>
        <v>#REF!</v>
      </c>
      <c r="AB224" t="e">
        <f ca="1">IF(A224="","",IF(E224="","",#REF!))</f>
        <v>#REF!</v>
      </c>
      <c r="AC224" t="e">
        <f t="shared" ca="1" si="20"/>
        <v>#REF!</v>
      </c>
    </row>
    <row r="225" spans="1:29" x14ac:dyDescent="0.35">
      <c r="A225" t="e" cm="1">
        <f t="array" aca="1" ref="A225" ca="1">IF(A224="","",IF(OR(AND(A224+1&gt;=$AF$1,A224+1&lt;=$AF$2),AND(A224+1&gt;=$AF$6,A224+1&lt;=$AF$7),AND(A224+1&gt;=$AF$3,A224+1&lt;=$AF$4),AND(A224+1&gt;=$AF$8,A224+1&lt;=$AF$9),A224+1=$AF$5),IF(NOT(ISBLANK(INDIRECT("template!"&amp;"P"&amp;A224+1))),A224+1,IF(NOT(ISBLANK(INDIRECT("template!"&amp;"P"&amp;A224+2))),A224+2,A224+3)),IF(A224=$AF$2,$AF$3,IF(A224=$AF$4,$AF$5,IF(A224=$AF$5,$AF$6,IF(A224=$AF$7,$AF$8,""))))))</f>
        <v>#REF!</v>
      </c>
      <c r="B225" t="e">
        <f t="shared" ca="1" si="0"/>
        <v>#REF!</v>
      </c>
      <c r="C225" t="e" cm="1">
        <f t="array" aca="1" ref="C225" ca="1">IF(A225="","",IF(B225="safety","safety costs",INDIRECT("template!"&amp;"B"&amp;A225)))</f>
        <v>#REF!</v>
      </c>
      <c r="D225" t="e" cm="1">
        <f t="array" aca="1" ref="D225" ca="1">IF(OR(A225="",B225="safety"),"",INDIRECT("template!"&amp;"C"&amp;A225))</f>
        <v>#REF!</v>
      </c>
      <c r="E225" t="e" cm="1">
        <f t="array" aca="1" ref="E225" ca="1">IF(A225="","",IF(OR(A225=A224+1,A225=A224+2),E224,INDIRECT("template!"&amp;"D"&amp;A225-2)))</f>
        <v>#REF!</v>
      </c>
      <c r="F225" t="e" cm="1">
        <f t="array" aca="1" ref="F225" ca="1">IF(OR(A225="",B225="safety"),"",IF(ISBLANK(IF(A225=A224+1,F224,INDIRECT("template!"&amp;"D"&amp;A225-1))),"",IF(A225=A224+1,F224,INDIRECT("template!"&amp;"D"&amp;A225-1))))</f>
        <v>#REF!</v>
      </c>
      <c r="G225" t="e" cm="1">
        <f t="array" aca="1" ref="G225" ca="1">IF(OR(A225="",B225="safety"),"",IF(ISBLANK(INDIRECT("template!"&amp;"D"&amp;A225)),"",INDIRECT("template!"&amp;"D"&amp;A225)))</f>
        <v>#REF!</v>
      </c>
      <c r="H225" t="e" cm="1">
        <f t="array" aca="1" ref="H225" ca="1">IF(OR(A225="",B225="safety"),"",IF(ISBLANK(INDIRECT("template!"&amp;"E"&amp;A225)),"",INDIRECT("template!"&amp;"E"&amp;A225)))</f>
        <v>#REF!</v>
      </c>
      <c r="I225" t="e" cm="1">
        <f t="array" aca="1" ref="I225" ca="1">IF(OR(A225="",B225="safety"),"",IF(ISBLANK(INDIRECT("template!"&amp;"F"&amp;A225)),"",INDIRECT("template!"&amp;"F"&amp;A225)))</f>
        <v>#REF!</v>
      </c>
      <c r="J225" t="e" cm="1">
        <f t="array" aca="1" ref="J225" ca="1">IF(OR(A225="",B225="safety"),"",IF(ISBLANK(INDIRECT("template!"&amp;"G"&amp;A225)),"",INDIRECT("template!"&amp;"G"&amp;A225)))</f>
        <v>#REF!</v>
      </c>
      <c r="K225" t="e" cm="1">
        <f t="array" aca="1" ref="K225" ca="1">IF(OR(A225="",B225="safety"),"",IF(ISBLANK(INDIRECT("template!"&amp;"H"&amp;A225)),"",INDIRECT("template!"&amp;"H"&amp;A225)))</f>
        <v>#REF!</v>
      </c>
      <c r="L225" t="e" cm="1">
        <f t="array" aca="1" ref="L225" ca="1">IF(OR(A225="",B225="safety"),"",INDIRECT("template!"&amp;"I"&amp;A225))</f>
        <v>#REF!</v>
      </c>
      <c r="M225" t="e" cm="1">
        <f t="array" aca="1" ref="M225" ca="1">IF(OR(A225="",B225="safety"),"",INDIRECT("template!"&amp;"J"&amp;A225))</f>
        <v>#REF!</v>
      </c>
      <c r="N225" t="e" cm="1">
        <f t="array" aca="1" ref="N225" ca="1">IF(OR(A225="",B225="safety"),"",IF(ISBLANK(INDIRECT("template!"&amp;"K"&amp;A225)),"",INDIRECT("template!"&amp;"K"&amp;A225)))</f>
        <v>#REF!</v>
      </c>
      <c r="O225" t="e" cm="1">
        <f t="array" aca="1" ref="O225" ca="1">IF(OR(A225="",B225="safety"),"",INDIRECT("template!"&amp;"L"&amp;A225))</f>
        <v>#REF!</v>
      </c>
      <c r="P225" t="e" cm="1">
        <f t="array" aca="1" ref="P225" ca="1">IF(OR(A225="",B225="safety"),"",INDIRECT("template!"&amp;"M"&amp;A225))</f>
        <v>#REF!</v>
      </c>
      <c r="Q225" t="e">
        <f t="shared" ca="1" si="16"/>
        <v>#REF!</v>
      </c>
      <c r="R225" t="e">
        <f t="shared" ca="1" si="17"/>
        <v>#REF!</v>
      </c>
      <c r="S225" t="e">
        <f t="shared" ca="1" si="18"/>
        <v>#REF!</v>
      </c>
      <c r="T225" t="e">
        <f t="shared" ca="1" si="19"/>
        <v>#REF!</v>
      </c>
      <c r="U225" t="e" cm="1">
        <f t="array" aca="1" ref="U225" ca="1">IF(A225="","",IF(E225="","",IF(B225="safety",INDIRECT("template!"&amp;"P"&amp;A225),Q225+R225)))</f>
        <v>#REF!</v>
      </c>
      <c r="V225" t="e" cm="1">
        <f t="array" aca="1" ref="V225" ca="1">IF(A225="","",IF(E225="","",IF(B225="safety",INDIRECT("template!"&amp;"P"&amp;A225),S225+T225)))</f>
        <v>#REF!</v>
      </c>
      <c r="W225" t="e">
        <f ca="1">IF(A225="","",IF(E225="","",#REF!))</f>
        <v>#REF!</v>
      </c>
      <c r="X225" t="e">
        <f ca="1">IF(A225="","",IF(E225="","",#REF!))</f>
        <v>#REF!</v>
      </c>
      <c r="Y225" s="39" t="e">
        <f ca="1">IF(A225="","",IF(E225="","",#REF!))</f>
        <v>#REF!</v>
      </c>
      <c r="Z225" t="e">
        <f ca="1">IF(A225="","",IF(E225="","",#REF!))</f>
        <v>#REF!</v>
      </c>
      <c r="AA225" t="e">
        <f ca="1">IF(A225="","",IF(E225="","",#REF!))</f>
        <v>#REF!</v>
      </c>
      <c r="AB225" t="e">
        <f ca="1">IF(A225="","",IF(E225="","",#REF!))</f>
        <v>#REF!</v>
      </c>
      <c r="AC225" t="e">
        <f t="shared" ca="1" si="20"/>
        <v>#REF!</v>
      </c>
    </row>
    <row r="226" spans="1:29" x14ac:dyDescent="0.35">
      <c r="A226" t="e" cm="1">
        <f t="array" aca="1" ref="A226" ca="1">IF(A225="","",IF(OR(AND(A225+1&gt;=$AF$1,A225+1&lt;=$AF$2),AND(A225+1&gt;=$AF$6,A225+1&lt;=$AF$7),AND(A225+1&gt;=$AF$3,A225+1&lt;=$AF$4),AND(A225+1&gt;=$AF$8,A225+1&lt;=$AF$9),A225+1=$AF$5),IF(NOT(ISBLANK(INDIRECT("template!"&amp;"P"&amp;A225+1))),A225+1,IF(NOT(ISBLANK(INDIRECT("template!"&amp;"P"&amp;A225+2))),A225+2,A225+3)),IF(A225=$AF$2,$AF$3,IF(A225=$AF$4,$AF$5,IF(A225=$AF$5,$AF$6,IF(A225=$AF$7,$AF$8,""))))))</f>
        <v>#REF!</v>
      </c>
      <c r="B226" t="e">
        <f t="shared" ca="1" si="0"/>
        <v>#REF!</v>
      </c>
      <c r="C226" t="e" cm="1">
        <f t="array" aca="1" ref="C226" ca="1">IF(A226="","",IF(B226="safety","safety costs",INDIRECT("template!"&amp;"B"&amp;A226)))</f>
        <v>#REF!</v>
      </c>
      <c r="D226" t="e" cm="1">
        <f t="array" aca="1" ref="D226" ca="1">IF(OR(A226="",B226="safety"),"",INDIRECT("template!"&amp;"C"&amp;A226))</f>
        <v>#REF!</v>
      </c>
      <c r="E226" t="e" cm="1">
        <f t="array" aca="1" ref="E226" ca="1">IF(A226="","",IF(OR(A226=A225+1,A226=A225+2),E225,INDIRECT("template!"&amp;"D"&amp;A226-2)))</f>
        <v>#REF!</v>
      </c>
      <c r="F226" t="e" cm="1">
        <f t="array" aca="1" ref="F226" ca="1">IF(OR(A226="",B226="safety"),"",IF(ISBLANK(IF(A226=A225+1,F225,INDIRECT("template!"&amp;"D"&amp;A226-1))),"",IF(A226=A225+1,F225,INDIRECT("template!"&amp;"D"&amp;A226-1))))</f>
        <v>#REF!</v>
      </c>
      <c r="G226" t="e" cm="1">
        <f t="array" aca="1" ref="G226" ca="1">IF(OR(A226="",B226="safety"),"",IF(ISBLANK(INDIRECT("template!"&amp;"D"&amp;A226)),"",INDIRECT("template!"&amp;"D"&amp;A226)))</f>
        <v>#REF!</v>
      </c>
      <c r="H226" t="e" cm="1">
        <f t="array" aca="1" ref="H226" ca="1">IF(OR(A226="",B226="safety"),"",IF(ISBLANK(INDIRECT("template!"&amp;"E"&amp;A226)),"",INDIRECT("template!"&amp;"E"&amp;A226)))</f>
        <v>#REF!</v>
      </c>
      <c r="I226" t="e" cm="1">
        <f t="array" aca="1" ref="I226" ca="1">IF(OR(A226="",B226="safety"),"",IF(ISBLANK(INDIRECT("template!"&amp;"F"&amp;A226)),"",INDIRECT("template!"&amp;"F"&amp;A226)))</f>
        <v>#REF!</v>
      </c>
      <c r="J226" t="e" cm="1">
        <f t="array" aca="1" ref="J226" ca="1">IF(OR(A226="",B226="safety"),"",IF(ISBLANK(INDIRECT("template!"&amp;"G"&amp;A226)),"",INDIRECT("template!"&amp;"G"&amp;A226)))</f>
        <v>#REF!</v>
      </c>
      <c r="K226" t="e" cm="1">
        <f t="array" aca="1" ref="K226" ca="1">IF(OR(A226="",B226="safety"),"",IF(ISBLANK(INDIRECT("template!"&amp;"H"&amp;A226)),"",INDIRECT("template!"&amp;"H"&amp;A226)))</f>
        <v>#REF!</v>
      </c>
      <c r="L226" t="e" cm="1">
        <f t="array" aca="1" ref="L226" ca="1">IF(OR(A226="",B226="safety"),"",INDIRECT("template!"&amp;"I"&amp;A226))</f>
        <v>#REF!</v>
      </c>
      <c r="M226" t="e" cm="1">
        <f t="array" aca="1" ref="M226" ca="1">IF(OR(A226="",B226="safety"),"",INDIRECT("template!"&amp;"J"&amp;A226))</f>
        <v>#REF!</v>
      </c>
      <c r="N226" t="e" cm="1">
        <f t="array" aca="1" ref="N226" ca="1">IF(OR(A226="",B226="safety"),"",IF(ISBLANK(INDIRECT("template!"&amp;"K"&amp;A226)),"",INDIRECT("template!"&amp;"K"&amp;A226)))</f>
        <v>#REF!</v>
      </c>
      <c r="O226" t="e" cm="1">
        <f t="array" aca="1" ref="O226" ca="1">IF(OR(A226="",B226="safety"),"",INDIRECT("template!"&amp;"L"&amp;A226))</f>
        <v>#REF!</v>
      </c>
      <c r="P226" t="e" cm="1">
        <f t="array" aca="1" ref="P226" ca="1">IF(OR(A226="",B226="safety"),"",INDIRECT("template!"&amp;"M"&amp;A226))</f>
        <v>#REF!</v>
      </c>
      <c r="Q226" t="e">
        <f t="shared" ca="1" si="16"/>
        <v>#REF!</v>
      </c>
      <c r="R226" t="e">
        <f t="shared" ca="1" si="17"/>
        <v>#REF!</v>
      </c>
      <c r="S226" t="e">
        <f t="shared" ca="1" si="18"/>
        <v>#REF!</v>
      </c>
      <c r="T226" t="e">
        <f t="shared" ca="1" si="19"/>
        <v>#REF!</v>
      </c>
      <c r="U226" t="e" cm="1">
        <f t="array" aca="1" ref="U226" ca="1">IF(A226="","",IF(E226="","",IF(B226="safety",INDIRECT("template!"&amp;"P"&amp;A226),Q226+R226)))</f>
        <v>#REF!</v>
      </c>
      <c r="V226" t="e" cm="1">
        <f t="array" aca="1" ref="V226" ca="1">IF(A226="","",IF(E226="","",IF(B226="safety",INDIRECT("template!"&amp;"P"&amp;A226),S226+T226)))</f>
        <v>#REF!</v>
      </c>
      <c r="W226" t="e">
        <f ca="1">IF(A226="","",IF(E226="","",#REF!))</f>
        <v>#REF!</v>
      </c>
      <c r="X226" t="e">
        <f ca="1">IF(A226="","",IF(E226="","",#REF!))</f>
        <v>#REF!</v>
      </c>
      <c r="Y226" s="39" t="e">
        <f ca="1">IF(A226="","",IF(E226="","",#REF!))</f>
        <v>#REF!</v>
      </c>
      <c r="Z226" t="e">
        <f ca="1">IF(A226="","",IF(E226="","",#REF!))</f>
        <v>#REF!</v>
      </c>
      <c r="AA226" t="e">
        <f ca="1">IF(A226="","",IF(E226="","",#REF!))</f>
        <v>#REF!</v>
      </c>
      <c r="AB226" t="e">
        <f ca="1">IF(A226="","",IF(E226="","",#REF!))</f>
        <v>#REF!</v>
      </c>
      <c r="AC226" t="e">
        <f t="shared" ca="1" si="20"/>
        <v>#REF!</v>
      </c>
    </row>
    <row r="227" spans="1:29" x14ac:dyDescent="0.35">
      <c r="A227" t="e" cm="1">
        <f t="array" aca="1" ref="A227" ca="1">IF(A226="","",IF(OR(AND(A226+1&gt;=$AF$1,A226+1&lt;=$AF$2),AND(A226+1&gt;=$AF$6,A226+1&lt;=$AF$7),AND(A226+1&gt;=$AF$3,A226+1&lt;=$AF$4),AND(A226+1&gt;=$AF$8,A226+1&lt;=$AF$9),A226+1=$AF$5),IF(NOT(ISBLANK(INDIRECT("template!"&amp;"P"&amp;A226+1))),A226+1,IF(NOT(ISBLANK(INDIRECT("template!"&amp;"P"&amp;A226+2))),A226+2,A226+3)),IF(A226=$AF$2,$AF$3,IF(A226=$AF$4,$AF$5,IF(A226=$AF$5,$AF$6,IF(A226=$AF$7,$AF$8,""))))))</f>
        <v>#REF!</v>
      </c>
      <c r="B227" t="e">
        <f t="shared" ca="1" si="0"/>
        <v>#REF!</v>
      </c>
      <c r="C227" t="e" cm="1">
        <f t="array" aca="1" ref="C227" ca="1">IF(A227="","",IF(B227="safety","safety costs",INDIRECT("template!"&amp;"B"&amp;A227)))</f>
        <v>#REF!</v>
      </c>
      <c r="D227" t="e" cm="1">
        <f t="array" aca="1" ref="D227" ca="1">IF(OR(A227="",B227="safety"),"",INDIRECT("template!"&amp;"C"&amp;A227))</f>
        <v>#REF!</v>
      </c>
      <c r="E227" t="e" cm="1">
        <f t="array" aca="1" ref="E227" ca="1">IF(A227="","",IF(OR(A227=A226+1,A227=A226+2),E226,INDIRECT("template!"&amp;"D"&amp;A227-2)))</f>
        <v>#REF!</v>
      </c>
      <c r="F227" t="e" cm="1">
        <f t="array" aca="1" ref="F227" ca="1">IF(OR(A227="",B227="safety"),"",IF(ISBLANK(IF(A227=A226+1,F226,INDIRECT("template!"&amp;"D"&amp;A227-1))),"",IF(A227=A226+1,F226,INDIRECT("template!"&amp;"D"&amp;A227-1))))</f>
        <v>#REF!</v>
      </c>
      <c r="G227" t="e" cm="1">
        <f t="array" aca="1" ref="G227" ca="1">IF(OR(A227="",B227="safety"),"",IF(ISBLANK(INDIRECT("template!"&amp;"D"&amp;A227)),"",INDIRECT("template!"&amp;"D"&amp;A227)))</f>
        <v>#REF!</v>
      </c>
      <c r="H227" t="e" cm="1">
        <f t="array" aca="1" ref="H227" ca="1">IF(OR(A227="",B227="safety"),"",IF(ISBLANK(INDIRECT("template!"&amp;"E"&amp;A227)),"",INDIRECT("template!"&amp;"E"&amp;A227)))</f>
        <v>#REF!</v>
      </c>
      <c r="I227" t="e" cm="1">
        <f t="array" aca="1" ref="I227" ca="1">IF(OR(A227="",B227="safety"),"",IF(ISBLANK(INDIRECT("template!"&amp;"F"&amp;A227)),"",INDIRECT("template!"&amp;"F"&amp;A227)))</f>
        <v>#REF!</v>
      </c>
      <c r="J227" t="e" cm="1">
        <f t="array" aca="1" ref="J227" ca="1">IF(OR(A227="",B227="safety"),"",IF(ISBLANK(INDIRECT("template!"&amp;"G"&amp;A227)),"",INDIRECT("template!"&amp;"G"&amp;A227)))</f>
        <v>#REF!</v>
      </c>
      <c r="K227" t="e" cm="1">
        <f t="array" aca="1" ref="K227" ca="1">IF(OR(A227="",B227="safety"),"",IF(ISBLANK(INDIRECT("template!"&amp;"H"&amp;A227)),"",INDIRECT("template!"&amp;"H"&amp;A227)))</f>
        <v>#REF!</v>
      </c>
      <c r="L227" t="e" cm="1">
        <f t="array" aca="1" ref="L227" ca="1">IF(OR(A227="",B227="safety"),"",INDIRECT("template!"&amp;"I"&amp;A227))</f>
        <v>#REF!</v>
      </c>
      <c r="M227" t="e" cm="1">
        <f t="array" aca="1" ref="M227" ca="1">IF(OR(A227="",B227="safety"),"",INDIRECT("template!"&amp;"J"&amp;A227))</f>
        <v>#REF!</v>
      </c>
      <c r="N227" t="e" cm="1">
        <f t="array" aca="1" ref="N227" ca="1">IF(OR(A227="",B227="safety"),"",IF(ISBLANK(INDIRECT("template!"&amp;"K"&amp;A227)),"",INDIRECT("template!"&amp;"K"&amp;A227)))</f>
        <v>#REF!</v>
      </c>
      <c r="O227" t="e" cm="1">
        <f t="array" aca="1" ref="O227" ca="1">IF(OR(A227="",B227="safety"),"",INDIRECT("template!"&amp;"L"&amp;A227))</f>
        <v>#REF!</v>
      </c>
      <c r="P227" t="e" cm="1">
        <f t="array" aca="1" ref="P227" ca="1">IF(OR(A227="",B227="safety"),"",INDIRECT("template!"&amp;"M"&amp;A227))</f>
        <v>#REF!</v>
      </c>
      <c r="Q227" t="e">
        <f t="shared" ca="1" si="16"/>
        <v>#REF!</v>
      </c>
      <c r="R227" t="e">
        <f t="shared" ca="1" si="17"/>
        <v>#REF!</v>
      </c>
      <c r="S227" t="e">
        <f t="shared" ca="1" si="18"/>
        <v>#REF!</v>
      </c>
      <c r="T227" t="e">
        <f t="shared" ca="1" si="19"/>
        <v>#REF!</v>
      </c>
      <c r="U227" t="e" cm="1">
        <f t="array" aca="1" ref="U227" ca="1">IF(A227="","",IF(E227="","",IF(B227="safety",INDIRECT("template!"&amp;"P"&amp;A227),Q227+R227)))</f>
        <v>#REF!</v>
      </c>
      <c r="V227" t="e" cm="1">
        <f t="array" aca="1" ref="V227" ca="1">IF(A227="","",IF(E227="","",IF(B227="safety",INDIRECT("template!"&amp;"P"&amp;A227),S227+T227)))</f>
        <v>#REF!</v>
      </c>
      <c r="W227" t="e">
        <f ca="1">IF(A227="","",IF(E227="","",#REF!))</f>
        <v>#REF!</v>
      </c>
      <c r="X227" t="e">
        <f ca="1">IF(A227="","",IF(E227="","",#REF!))</f>
        <v>#REF!</v>
      </c>
      <c r="Y227" s="39" t="e">
        <f ca="1">IF(A227="","",IF(E227="","",#REF!))</f>
        <v>#REF!</v>
      </c>
      <c r="Z227" t="e">
        <f ca="1">IF(A227="","",IF(E227="","",#REF!))</f>
        <v>#REF!</v>
      </c>
      <c r="AA227" t="e">
        <f ca="1">IF(A227="","",IF(E227="","",#REF!))</f>
        <v>#REF!</v>
      </c>
      <c r="AB227" t="e">
        <f ca="1">IF(A227="","",IF(E227="","",#REF!))</f>
        <v>#REF!</v>
      </c>
      <c r="AC227" t="e">
        <f t="shared" ca="1" si="20"/>
        <v>#REF!</v>
      </c>
    </row>
    <row r="228" spans="1:29" x14ac:dyDescent="0.35">
      <c r="A228" t="e" cm="1">
        <f t="array" aca="1" ref="A228" ca="1">IF(A227="","",IF(OR(AND(A227+1&gt;=$AF$1,A227+1&lt;=$AF$2),AND(A227+1&gt;=$AF$6,A227+1&lt;=$AF$7),AND(A227+1&gt;=$AF$3,A227+1&lt;=$AF$4),AND(A227+1&gt;=$AF$8,A227+1&lt;=$AF$9),A227+1=$AF$5),IF(NOT(ISBLANK(INDIRECT("template!"&amp;"P"&amp;A227+1))),A227+1,IF(NOT(ISBLANK(INDIRECT("template!"&amp;"P"&amp;A227+2))),A227+2,A227+3)),IF(A227=$AF$2,$AF$3,IF(A227=$AF$4,$AF$5,IF(A227=$AF$5,$AF$6,IF(A227=$AF$7,$AF$8,""))))))</f>
        <v>#REF!</v>
      </c>
      <c r="B228" t="e">
        <f t="shared" ca="1" si="0"/>
        <v>#REF!</v>
      </c>
      <c r="C228" t="e" cm="1">
        <f t="array" aca="1" ref="C228" ca="1">IF(A228="","",IF(B228="safety","safety costs",INDIRECT("template!"&amp;"B"&amp;A228)))</f>
        <v>#REF!</v>
      </c>
      <c r="D228" t="e" cm="1">
        <f t="array" aca="1" ref="D228" ca="1">IF(OR(A228="",B228="safety"),"",INDIRECT("template!"&amp;"C"&amp;A228))</f>
        <v>#REF!</v>
      </c>
      <c r="E228" t="e" cm="1">
        <f t="array" aca="1" ref="E228" ca="1">IF(A228="","",IF(OR(A228=A227+1,A228=A227+2),E227,INDIRECT("template!"&amp;"D"&amp;A228-2)))</f>
        <v>#REF!</v>
      </c>
      <c r="F228" t="e" cm="1">
        <f t="array" aca="1" ref="F228" ca="1">IF(OR(A228="",B228="safety"),"",IF(ISBLANK(IF(A228=A227+1,F227,INDIRECT("template!"&amp;"D"&amp;A228-1))),"",IF(A228=A227+1,F227,INDIRECT("template!"&amp;"D"&amp;A228-1))))</f>
        <v>#REF!</v>
      </c>
      <c r="G228" t="e" cm="1">
        <f t="array" aca="1" ref="G228" ca="1">IF(OR(A228="",B228="safety"),"",IF(ISBLANK(INDIRECT("template!"&amp;"D"&amp;A228)),"",INDIRECT("template!"&amp;"D"&amp;A228)))</f>
        <v>#REF!</v>
      </c>
      <c r="H228" t="e" cm="1">
        <f t="array" aca="1" ref="H228" ca="1">IF(OR(A228="",B228="safety"),"",IF(ISBLANK(INDIRECT("template!"&amp;"E"&amp;A228)),"",INDIRECT("template!"&amp;"E"&amp;A228)))</f>
        <v>#REF!</v>
      </c>
      <c r="I228" t="e" cm="1">
        <f t="array" aca="1" ref="I228" ca="1">IF(OR(A228="",B228="safety"),"",IF(ISBLANK(INDIRECT("template!"&amp;"F"&amp;A228)),"",INDIRECT("template!"&amp;"F"&amp;A228)))</f>
        <v>#REF!</v>
      </c>
      <c r="J228" t="e" cm="1">
        <f t="array" aca="1" ref="J228" ca="1">IF(OR(A228="",B228="safety"),"",IF(ISBLANK(INDIRECT("template!"&amp;"G"&amp;A228)),"",INDIRECT("template!"&amp;"G"&amp;A228)))</f>
        <v>#REF!</v>
      </c>
      <c r="K228" t="e" cm="1">
        <f t="array" aca="1" ref="K228" ca="1">IF(OR(A228="",B228="safety"),"",IF(ISBLANK(INDIRECT("template!"&amp;"H"&amp;A228)),"",INDIRECT("template!"&amp;"H"&amp;A228)))</f>
        <v>#REF!</v>
      </c>
      <c r="L228" t="e" cm="1">
        <f t="array" aca="1" ref="L228" ca="1">IF(OR(A228="",B228="safety"),"",INDIRECT("template!"&amp;"I"&amp;A228))</f>
        <v>#REF!</v>
      </c>
      <c r="M228" t="e" cm="1">
        <f t="array" aca="1" ref="M228" ca="1">IF(OR(A228="",B228="safety"),"",INDIRECT("template!"&amp;"J"&amp;A228))</f>
        <v>#REF!</v>
      </c>
      <c r="N228" t="e" cm="1">
        <f t="array" aca="1" ref="N228" ca="1">IF(OR(A228="",B228="safety"),"",IF(ISBLANK(INDIRECT("template!"&amp;"K"&amp;A228)),"",INDIRECT("template!"&amp;"K"&amp;A228)))</f>
        <v>#REF!</v>
      </c>
      <c r="O228" t="e" cm="1">
        <f t="array" aca="1" ref="O228" ca="1">IF(OR(A228="",B228="safety"),"",INDIRECT("template!"&amp;"L"&amp;A228))</f>
        <v>#REF!</v>
      </c>
      <c r="P228" t="e" cm="1">
        <f t="array" aca="1" ref="P228" ca="1">IF(OR(A228="",B228="safety"),"",INDIRECT("template!"&amp;"M"&amp;A228))</f>
        <v>#REF!</v>
      </c>
      <c r="Q228" t="e">
        <f t="shared" ca="1" si="16"/>
        <v>#REF!</v>
      </c>
      <c r="R228" t="e">
        <f t="shared" ca="1" si="17"/>
        <v>#REF!</v>
      </c>
      <c r="S228" t="e">
        <f t="shared" ca="1" si="18"/>
        <v>#REF!</v>
      </c>
      <c r="T228" t="e">
        <f t="shared" ca="1" si="19"/>
        <v>#REF!</v>
      </c>
      <c r="U228" t="e" cm="1">
        <f t="array" aca="1" ref="U228" ca="1">IF(A228="","",IF(E228="","",IF(B228="safety",INDIRECT("template!"&amp;"P"&amp;A228),Q228+R228)))</f>
        <v>#REF!</v>
      </c>
      <c r="V228" t="e" cm="1">
        <f t="array" aca="1" ref="V228" ca="1">IF(A228="","",IF(E228="","",IF(B228="safety",INDIRECT("template!"&amp;"P"&amp;A228),S228+T228)))</f>
        <v>#REF!</v>
      </c>
      <c r="W228" t="e">
        <f ca="1">IF(A228="","",IF(E228="","",#REF!))</f>
        <v>#REF!</v>
      </c>
      <c r="X228" t="e">
        <f ca="1">IF(A228="","",IF(E228="","",#REF!))</f>
        <v>#REF!</v>
      </c>
      <c r="Y228" s="39" t="e">
        <f ca="1">IF(A228="","",IF(E228="","",#REF!))</f>
        <v>#REF!</v>
      </c>
      <c r="Z228" t="e">
        <f ca="1">IF(A228="","",IF(E228="","",#REF!))</f>
        <v>#REF!</v>
      </c>
      <c r="AA228" t="e">
        <f ca="1">IF(A228="","",IF(E228="","",#REF!))</f>
        <v>#REF!</v>
      </c>
      <c r="AB228" t="e">
        <f ca="1">IF(A228="","",IF(E228="","",#REF!))</f>
        <v>#REF!</v>
      </c>
      <c r="AC228" t="e">
        <f t="shared" ca="1" si="20"/>
        <v>#REF!</v>
      </c>
    </row>
    <row r="229" spans="1:29" x14ac:dyDescent="0.35">
      <c r="A229" t="e" cm="1">
        <f t="array" aca="1" ref="A229" ca="1">IF(A228="","",IF(OR(AND(A228+1&gt;=$AF$1,A228+1&lt;=$AF$2),AND(A228+1&gt;=$AF$6,A228+1&lt;=$AF$7),AND(A228+1&gt;=$AF$3,A228+1&lt;=$AF$4),AND(A228+1&gt;=$AF$8,A228+1&lt;=$AF$9),A228+1=$AF$5),IF(NOT(ISBLANK(INDIRECT("template!"&amp;"P"&amp;A228+1))),A228+1,IF(NOT(ISBLANK(INDIRECT("template!"&amp;"P"&amp;A228+2))),A228+2,A228+3)),IF(A228=$AF$2,$AF$3,IF(A228=$AF$4,$AF$5,IF(A228=$AF$5,$AF$6,IF(A228=$AF$7,$AF$8,""))))))</f>
        <v>#REF!</v>
      </c>
      <c r="B229" t="e">
        <f t="shared" ca="1" si="0"/>
        <v>#REF!</v>
      </c>
      <c r="C229" t="e" cm="1">
        <f t="array" aca="1" ref="C229" ca="1">IF(A229="","",IF(B229="safety","safety costs",INDIRECT("template!"&amp;"B"&amp;A229)))</f>
        <v>#REF!</v>
      </c>
      <c r="D229" t="e" cm="1">
        <f t="array" aca="1" ref="D229" ca="1">IF(OR(A229="",B229="safety"),"",INDIRECT("template!"&amp;"C"&amp;A229))</f>
        <v>#REF!</v>
      </c>
      <c r="E229" t="e" cm="1">
        <f t="array" aca="1" ref="E229" ca="1">IF(A229="","",IF(OR(A229=A228+1,A229=A228+2),E228,INDIRECT("template!"&amp;"D"&amp;A229-2)))</f>
        <v>#REF!</v>
      </c>
      <c r="F229" t="e" cm="1">
        <f t="array" aca="1" ref="F229" ca="1">IF(OR(A229="",B229="safety"),"",IF(ISBLANK(IF(A229=A228+1,F228,INDIRECT("template!"&amp;"D"&amp;A229-1))),"",IF(A229=A228+1,F228,INDIRECT("template!"&amp;"D"&amp;A229-1))))</f>
        <v>#REF!</v>
      </c>
      <c r="G229" t="e" cm="1">
        <f t="array" aca="1" ref="G229" ca="1">IF(OR(A229="",B229="safety"),"",IF(ISBLANK(INDIRECT("template!"&amp;"D"&amp;A229)),"",INDIRECT("template!"&amp;"D"&amp;A229)))</f>
        <v>#REF!</v>
      </c>
      <c r="H229" t="e" cm="1">
        <f t="array" aca="1" ref="H229" ca="1">IF(OR(A229="",B229="safety"),"",IF(ISBLANK(INDIRECT("template!"&amp;"E"&amp;A229)),"",INDIRECT("template!"&amp;"E"&amp;A229)))</f>
        <v>#REF!</v>
      </c>
      <c r="I229" t="e" cm="1">
        <f t="array" aca="1" ref="I229" ca="1">IF(OR(A229="",B229="safety"),"",IF(ISBLANK(INDIRECT("template!"&amp;"F"&amp;A229)),"",INDIRECT("template!"&amp;"F"&amp;A229)))</f>
        <v>#REF!</v>
      </c>
      <c r="J229" t="e" cm="1">
        <f t="array" aca="1" ref="J229" ca="1">IF(OR(A229="",B229="safety"),"",IF(ISBLANK(INDIRECT("template!"&amp;"G"&amp;A229)),"",INDIRECT("template!"&amp;"G"&amp;A229)))</f>
        <v>#REF!</v>
      </c>
      <c r="K229" t="e" cm="1">
        <f t="array" aca="1" ref="K229" ca="1">IF(OR(A229="",B229="safety"),"",IF(ISBLANK(INDIRECT("template!"&amp;"H"&amp;A229)),"",INDIRECT("template!"&amp;"H"&amp;A229)))</f>
        <v>#REF!</v>
      </c>
      <c r="L229" t="e" cm="1">
        <f t="array" aca="1" ref="L229" ca="1">IF(OR(A229="",B229="safety"),"",INDIRECT("template!"&amp;"I"&amp;A229))</f>
        <v>#REF!</v>
      </c>
      <c r="M229" t="e" cm="1">
        <f t="array" aca="1" ref="M229" ca="1">IF(OR(A229="",B229="safety"),"",INDIRECT("template!"&amp;"J"&amp;A229))</f>
        <v>#REF!</v>
      </c>
      <c r="N229" t="e" cm="1">
        <f t="array" aca="1" ref="N229" ca="1">IF(OR(A229="",B229="safety"),"",IF(ISBLANK(INDIRECT("template!"&amp;"K"&amp;A229)),"",INDIRECT("template!"&amp;"K"&amp;A229)))</f>
        <v>#REF!</v>
      </c>
      <c r="O229" t="e" cm="1">
        <f t="array" aca="1" ref="O229" ca="1">IF(OR(A229="",B229="safety"),"",INDIRECT("template!"&amp;"L"&amp;A229))</f>
        <v>#REF!</v>
      </c>
      <c r="P229" t="e" cm="1">
        <f t="array" aca="1" ref="P229" ca="1">IF(OR(A229="",B229="safety"),"",INDIRECT("template!"&amp;"M"&amp;A229))</f>
        <v>#REF!</v>
      </c>
      <c r="Q229" t="e">
        <f t="shared" ca="1" si="16"/>
        <v>#REF!</v>
      </c>
      <c r="R229" t="e">
        <f t="shared" ca="1" si="17"/>
        <v>#REF!</v>
      </c>
      <c r="S229" t="e">
        <f t="shared" ca="1" si="18"/>
        <v>#REF!</v>
      </c>
      <c r="T229" t="e">
        <f t="shared" ca="1" si="19"/>
        <v>#REF!</v>
      </c>
      <c r="U229" t="e" cm="1">
        <f t="array" aca="1" ref="U229" ca="1">IF(A229="","",IF(E229="","",IF(B229="safety",INDIRECT("template!"&amp;"P"&amp;A229),Q229+R229)))</f>
        <v>#REF!</v>
      </c>
      <c r="V229" t="e" cm="1">
        <f t="array" aca="1" ref="V229" ca="1">IF(A229="","",IF(E229="","",IF(B229="safety",INDIRECT("template!"&amp;"P"&amp;A229),S229+T229)))</f>
        <v>#REF!</v>
      </c>
      <c r="W229" t="e">
        <f ca="1">IF(A229="","",IF(E229="","",#REF!))</f>
        <v>#REF!</v>
      </c>
      <c r="X229" t="e">
        <f ca="1">IF(A229="","",IF(E229="","",#REF!))</f>
        <v>#REF!</v>
      </c>
      <c r="Y229" s="39" t="e">
        <f ca="1">IF(A229="","",IF(E229="","",#REF!))</f>
        <v>#REF!</v>
      </c>
      <c r="Z229" t="e">
        <f ca="1">IF(A229="","",IF(E229="","",#REF!))</f>
        <v>#REF!</v>
      </c>
      <c r="AA229" t="e">
        <f ca="1">IF(A229="","",IF(E229="","",#REF!))</f>
        <v>#REF!</v>
      </c>
      <c r="AB229" t="e">
        <f ca="1">IF(A229="","",IF(E229="","",#REF!))</f>
        <v>#REF!</v>
      </c>
      <c r="AC229" t="e">
        <f t="shared" ca="1" si="20"/>
        <v>#REF!</v>
      </c>
    </row>
    <row r="230" spans="1:29" x14ac:dyDescent="0.35">
      <c r="A230" t="e" cm="1">
        <f t="array" aca="1" ref="A230" ca="1">IF(A229="","",IF(OR(AND(A229+1&gt;=$AF$1,A229+1&lt;=$AF$2),AND(A229+1&gt;=$AF$6,A229+1&lt;=$AF$7),AND(A229+1&gt;=$AF$3,A229+1&lt;=$AF$4),AND(A229+1&gt;=$AF$8,A229+1&lt;=$AF$9),A229+1=$AF$5),IF(NOT(ISBLANK(INDIRECT("template!"&amp;"P"&amp;A229+1))),A229+1,IF(NOT(ISBLANK(INDIRECT("template!"&amp;"P"&amp;A229+2))),A229+2,A229+3)),IF(A229=$AF$2,$AF$3,IF(A229=$AF$4,$AF$5,IF(A229=$AF$5,$AF$6,IF(A229=$AF$7,$AF$8,""))))))</f>
        <v>#REF!</v>
      </c>
      <c r="B230" t="e">
        <f t="shared" ca="1" si="0"/>
        <v>#REF!</v>
      </c>
      <c r="C230" t="e" cm="1">
        <f t="array" aca="1" ref="C230" ca="1">IF(A230="","",IF(B230="safety","safety costs",INDIRECT("template!"&amp;"B"&amp;A230)))</f>
        <v>#REF!</v>
      </c>
      <c r="D230" t="e" cm="1">
        <f t="array" aca="1" ref="D230" ca="1">IF(OR(A230="",B230="safety"),"",INDIRECT("template!"&amp;"C"&amp;A230))</f>
        <v>#REF!</v>
      </c>
      <c r="E230" t="e" cm="1">
        <f t="array" aca="1" ref="E230" ca="1">IF(A230="","",IF(OR(A230=A229+1,A230=A229+2),E229,INDIRECT("template!"&amp;"D"&amp;A230-2)))</f>
        <v>#REF!</v>
      </c>
      <c r="F230" t="e" cm="1">
        <f t="array" aca="1" ref="F230" ca="1">IF(OR(A230="",B230="safety"),"",IF(ISBLANK(IF(A230=A229+1,F229,INDIRECT("template!"&amp;"D"&amp;A230-1))),"",IF(A230=A229+1,F229,INDIRECT("template!"&amp;"D"&amp;A230-1))))</f>
        <v>#REF!</v>
      </c>
      <c r="G230" t="e" cm="1">
        <f t="array" aca="1" ref="G230" ca="1">IF(OR(A230="",B230="safety"),"",IF(ISBLANK(INDIRECT("template!"&amp;"D"&amp;A230)),"",INDIRECT("template!"&amp;"D"&amp;A230)))</f>
        <v>#REF!</v>
      </c>
      <c r="H230" t="e" cm="1">
        <f t="array" aca="1" ref="H230" ca="1">IF(OR(A230="",B230="safety"),"",IF(ISBLANK(INDIRECT("template!"&amp;"E"&amp;A230)),"",INDIRECT("template!"&amp;"E"&amp;A230)))</f>
        <v>#REF!</v>
      </c>
      <c r="I230" t="e" cm="1">
        <f t="array" aca="1" ref="I230" ca="1">IF(OR(A230="",B230="safety"),"",IF(ISBLANK(INDIRECT("template!"&amp;"F"&amp;A230)),"",INDIRECT("template!"&amp;"F"&amp;A230)))</f>
        <v>#REF!</v>
      </c>
      <c r="J230" t="e" cm="1">
        <f t="array" aca="1" ref="J230" ca="1">IF(OR(A230="",B230="safety"),"",IF(ISBLANK(INDIRECT("template!"&amp;"G"&amp;A230)),"",INDIRECT("template!"&amp;"G"&amp;A230)))</f>
        <v>#REF!</v>
      </c>
      <c r="K230" t="e" cm="1">
        <f t="array" aca="1" ref="K230" ca="1">IF(OR(A230="",B230="safety"),"",IF(ISBLANK(INDIRECT("template!"&amp;"H"&amp;A230)),"",INDIRECT("template!"&amp;"H"&amp;A230)))</f>
        <v>#REF!</v>
      </c>
      <c r="L230" t="e" cm="1">
        <f t="array" aca="1" ref="L230" ca="1">IF(OR(A230="",B230="safety"),"",INDIRECT("template!"&amp;"I"&amp;A230))</f>
        <v>#REF!</v>
      </c>
      <c r="M230" t="e" cm="1">
        <f t="array" aca="1" ref="M230" ca="1">IF(OR(A230="",B230="safety"),"",INDIRECT("template!"&amp;"J"&amp;A230))</f>
        <v>#REF!</v>
      </c>
      <c r="N230" t="e" cm="1">
        <f t="array" aca="1" ref="N230" ca="1">IF(OR(A230="",B230="safety"),"",IF(ISBLANK(INDIRECT("template!"&amp;"K"&amp;A230)),"",INDIRECT("template!"&amp;"K"&amp;A230)))</f>
        <v>#REF!</v>
      </c>
      <c r="O230" t="e" cm="1">
        <f t="array" aca="1" ref="O230" ca="1">IF(OR(A230="",B230="safety"),"",INDIRECT("template!"&amp;"L"&amp;A230))</f>
        <v>#REF!</v>
      </c>
      <c r="P230" t="e" cm="1">
        <f t="array" aca="1" ref="P230" ca="1">IF(OR(A230="",B230="safety"),"",INDIRECT("template!"&amp;"M"&amp;A230))</f>
        <v>#REF!</v>
      </c>
      <c r="Q230" t="e">
        <f t="shared" ca="1" si="16"/>
        <v>#REF!</v>
      </c>
      <c r="R230" t="e">
        <f t="shared" ca="1" si="17"/>
        <v>#REF!</v>
      </c>
      <c r="S230" t="e">
        <f t="shared" ca="1" si="18"/>
        <v>#REF!</v>
      </c>
      <c r="T230" t="e">
        <f t="shared" ca="1" si="19"/>
        <v>#REF!</v>
      </c>
      <c r="U230" t="e" cm="1">
        <f t="array" aca="1" ref="U230" ca="1">IF(A230="","",IF(E230="","",IF(B230="safety",INDIRECT("template!"&amp;"P"&amp;A230),Q230+R230)))</f>
        <v>#REF!</v>
      </c>
      <c r="V230" t="e" cm="1">
        <f t="array" aca="1" ref="V230" ca="1">IF(A230="","",IF(E230="","",IF(B230="safety",INDIRECT("template!"&amp;"P"&amp;A230),S230+T230)))</f>
        <v>#REF!</v>
      </c>
      <c r="W230" t="e">
        <f ca="1">IF(A230="","",IF(E230="","",#REF!))</f>
        <v>#REF!</v>
      </c>
      <c r="X230" t="e">
        <f ca="1">IF(A230="","",IF(E230="","",#REF!))</f>
        <v>#REF!</v>
      </c>
      <c r="Y230" s="39" t="e">
        <f ca="1">IF(A230="","",IF(E230="","",#REF!))</f>
        <v>#REF!</v>
      </c>
      <c r="Z230" t="e">
        <f ca="1">IF(A230="","",IF(E230="","",#REF!))</f>
        <v>#REF!</v>
      </c>
      <c r="AA230" t="e">
        <f ca="1">IF(A230="","",IF(E230="","",#REF!))</f>
        <v>#REF!</v>
      </c>
      <c r="AB230" t="e">
        <f ca="1">IF(A230="","",IF(E230="","",#REF!))</f>
        <v>#REF!</v>
      </c>
      <c r="AC230" t="e">
        <f t="shared" ca="1" si="20"/>
        <v>#REF!</v>
      </c>
    </row>
    <row r="231" spans="1:29" x14ac:dyDescent="0.35">
      <c r="A231" t="e" cm="1">
        <f t="array" aca="1" ref="A231" ca="1">IF(A230="","",IF(OR(AND(A230+1&gt;=$AF$1,A230+1&lt;=$AF$2),AND(A230+1&gt;=$AF$6,A230+1&lt;=$AF$7),AND(A230+1&gt;=$AF$3,A230+1&lt;=$AF$4),AND(A230+1&gt;=$AF$8,A230+1&lt;=$AF$9),A230+1=$AF$5),IF(NOT(ISBLANK(INDIRECT("template!"&amp;"P"&amp;A230+1))),A230+1,IF(NOT(ISBLANK(INDIRECT("template!"&amp;"P"&amp;A230+2))),A230+2,A230+3)),IF(A230=$AF$2,$AF$3,IF(A230=$AF$4,$AF$5,IF(A230=$AF$5,$AF$6,IF(A230=$AF$7,$AF$8,""))))))</f>
        <v>#REF!</v>
      </c>
      <c r="B231" t="e">
        <f t="shared" ca="1" si="0"/>
        <v>#REF!</v>
      </c>
      <c r="C231" t="e" cm="1">
        <f t="array" aca="1" ref="C231" ca="1">IF(A231="","",IF(B231="safety","safety costs",INDIRECT("template!"&amp;"B"&amp;A231)))</f>
        <v>#REF!</v>
      </c>
      <c r="D231" t="e" cm="1">
        <f t="array" aca="1" ref="D231" ca="1">IF(OR(A231="",B231="safety"),"",INDIRECT("template!"&amp;"C"&amp;A231))</f>
        <v>#REF!</v>
      </c>
      <c r="E231" t="e" cm="1">
        <f t="array" aca="1" ref="E231" ca="1">IF(A231="","",IF(OR(A231=A230+1,A231=A230+2),E230,INDIRECT("template!"&amp;"D"&amp;A231-2)))</f>
        <v>#REF!</v>
      </c>
      <c r="F231" t="e" cm="1">
        <f t="array" aca="1" ref="F231" ca="1">IF(OR(A231="",B231="safety"),"",IF(ISBLANK(IF(A231=A230+1,F230,INDIRECT("template!"&amp;"D"&amp;A231-1))),"",IF(A231=A230+1,F230,INDIRECT("template!"&amp;"D"&amp;A231-1))))</f>
        <v>#REF!</v>
      </c>
      <c r="G231" t="e" cm="1">
        <f t="array" aca="1" ref="G231" ca="1">IF(OR(A231="",B231="safety"),"",IF(ISBLANK(INDIRECT("template!"&amp;"D"&amp;A231)),"",INDIRECT("template!"&amp;"D"&amp;A231)))</f>
        <v>#REF!</v>
      </c>
      <c r="H231" t="e" cm="1">
        <f t="array" aca="1" ref="H231" ca="1">IF(OR(A231="",B231="safety"),"",IF(ISBLANK(INDIRECT("template!"&amp;"E"&amp;A231)),"",INDIRECT("template!"&amp;"E"&amp;A231)))</f>
        <v>#REF!</v>
      </c>
      <c r="I231" t="e" cm="1">
        <f t="array" aca="1" ref="I231" ca="1">IF(OR(A231="",B231="safety"),"",IF(ISBLANK(INDIRECT("template!"&amp;"F"&amp;A231)),"",INDIRECT("template!"&amp;"F"&amp;A231)))</f>
        <v>#REF!</v>
      </c>
      <c r="J231" t="e" cm="1">
        <f t="array" aca="1" ref="J231" ca="1">IF(OR(A231="",B231="safety"),"",IF(ISBLANK(INDIRECT("template!"&amp;"G"&amp;A231)),"",INDIRECT("template!"&amp;"G"&amp;A231)))</f>
        <v>#REF!</v>
      </c>
      <c r="K231" t="e" cm="1">
        <f t="array" aca="1" ref="K231" ca="1">IF(OR(A231="",B231="safety"),"",IF(ISBLANK(INDIRECT("template!"&amp;"H"&amp;A231)),"",INDIRECT("template!"&amp;"H"&amp;A231)))</f>
        <v>#REF!</v>
      </c>
      <c r="L231" t="e" cm="1">
        <f t="array" aca="1" ref="L231" ca="1">IF(OR(A231="",B231="safety"),"",INDIRECT("template!"&amp;"I"&amp;A231))</f>
        <v>#REF!</v>
      </c>
      <c r="M231" t="e" cm="1">
        <f t="array" aca="1" ref="M231" ca="1">IF(OR(A231="",B231="safety"),"",INDIRECT("template!"&amp;"J"&amp;A231))</f>
        <v>#REF!</v>
      </c>
      <c r="N231" t="e" cm="1">
        <f t="array" aca="1" ref="N231" ca="1">IF(OR(A231="",B231="safety"),"",IF(ISBLANK(INDIRECT("template!"&amp;"K"&amp;A231)),"",INDIRECT("template!"&amp;"K"&amp;A231)))</f>
        <v>#REF!</v>
      </c>
      <c r="O231" t="e" cm="1">
        <f t="array" aca="1" ref="O231" ca="1">IF(OR(A231="",B231="safety"),"",INDIRECT("template!"&amp;"L"&amp;A231))</f>
        <v>#REF!</v>
      </c>
      <c r="P231" t="e" cm="1">
        <f t="array" aca="1" ref="P231" ca="1">IF(OR(A231="",B231="safety"),"",INDIRECT("template!"&amp;"M"&amp;A231))</f>
        <v>#REF!</v>
      </c>
      <c r="Q231" t="e">
        <f t="shared" ca="1" si="16"/>
        <v>#REF!</v>
      </c>
      <c r="R231" t="e">
        <f t="shared" ca="1" si="17"/>
        <v>#REF!</v>
      </c>
      <c r="S231" t="e">
        <f t="shared" ca="1" si="18"/>
        <v>#REF!</v>
      </c>
      <c r="T231" t="e">
        <f t="shared" ca="1" si="19"/>
        <v>#REF!</v>
      </c>
      <c r="U231" t="e" cm="1">
        <f t="array" aca="1" ref="U231" ca="1">IF(A231="","",IF(E231="","",IF(B231="safety",INDIRECT("template!"&amp;"P"&amp;A231),Q231+R231)))</f>
        <v>#REF!</v>
      </c>
      <c r="V231" t="e" cm="1">
        <f t="array" aca="1" ref="V231" ca="1">IF(A231="","",IF(E231="","",IF(B231="safety",INDIRECT("template!"&amp;"P"&amp;A231),S231+T231)))</f>
        <v>#REF!</v>
      </c>
      <c r="W231" t="e">
        <f ca="1">IF(A231="","",IF(E231="","",#REF!))</f>
        <v>#REF!</v>
      </c>
      <c r="X231" t="e">
        <f ca="1">IF(A231="","",IF(E231="","",#REF!))</f>
        <v>#REF!</v>
      </c>
      <c r="Y231" s="39" t="e">
        <f ca="1">IF(A231="","",IF(E231="","",#REF!))</f>
        <v>#REF!</v>
      </c>
      <c r="Z231" t="e">
        <f ca="1">IF(A231="","",IF(E231="","",#REF!))</f>
        <v>#REF!</v>
      </c>
      <c r="AA231" t="e">
        <f ca="1">IF(A231="","",IF(E231="","",#REF!))</f>
        <v>#REF!</v>
      </c>
      <c r="AB231" t="e">
        <f ca="1">IF(A231="","",IF(E231="","",#REF!))</f>
        <v>#REF!</v>
      </c>
      <c r="AC231" t="e">
        <f t="shared" ca="1" si="20"/>
        <v>#REF!</v>
      </c>
    </row>
    <row r="232" spans="1:29" x14ac:dyDescent="0.35">
      <c r="A232" t="e" cm="1">
        <f t="array" aca="1" ref="A232" ca="1">IF(A231="","",IF(OR(AND(A231+1&gt;=$AF$1,A231+1&lt;=$AF$2),AND(A231+1&gt;=$AF$6,A231+1&lt;=$AF$7),AND(A231+1&gt;=$AF$3,A231+1&lt;=$AF$4),AND(A231+1&gt;=$AF$8,A231+1&lt;=$AF$9),A231+1=$AF$5),IF(NOT(ISBLANK(INDIRECT("template!"&amp;"P"&amp;A231+1))),A231+1,IF(NOT(ISBLANK(INDIRECT("template!"&amp;"P"&amp;A231+2))),A231+2,A231+3)),IF(A231=$AF$2,$AF$3,IF(A231=$AF$4,$AF$5,IF(A231=$AF$5,$AF$6,IF(A231=$AF$7,$AF$8,""))))))</f>
        <v>#REF!</v>
      </c>
      <c r="B232" t="e">
        <f t="shared" ca="1" si="0"/>
        <v>#REF!</v>
      </c>
      <c r="C232" t="e" cm="1">
        <f t="array" aca="1" ref="C232" ca="1">IF(A232="","",IF(B232="safety","safety costs",INDIRECT("template!"&amp;"B"&amp;A232)))</f>
        <v>#REF!</v>
      </c>
      <c r="D232" t="e" cm="1">
        <f t="array" aca="1" ref="D232" ca="1">IF(OR(A232="",B232="safety"),"",INDIRECT("template!"&amp;"C"&amp;A232))</f>
        <v>#REF!</v>
      </c>
      <c r="E232" t="e" cm="1">
        <f t="array" aca="1" ref="E232" ca="1">IF(A232="","",IF(OR(A232=A231+1,A232=A231+2),E231,INDIRECT("template!"&amp;"D"&amp;A232-2)))</f>
        <v>#REF!</v>
      </c>
      <c r="F232" t="e" cm="1">
        <f t="array" aca="1" ref="F232" ca="1">IF(OR(A232="",B232="safety"),"",IF(ISBLANK(IF(A232=A231+1,F231,INDIRECT("template!"&amp;"D"&amp;A232-1))),"",IF(A232=A231+1,F231,INDIRECT("template!"&amp;"D"&amp;A232-1))))</f>
        <v>#REF!</v>
      </c>
      <c r="G232" t="e" cm="1">
        <f t="array" aca="1" ref="G232" ca="1">IF(OR(A232="",B232="safety"),"",IF(ISBLANK(INDIRECT("template!"&amp;"D"&amp;A232)),"",INDIRECT("template!"&amp;"D"&amp;A232)))</f>
        <v>#REF!</v>
      </c>
      <c r="H232" t="e" cm="1">
        <f t="array" aca="1" ref="H232" ca="1">IF(OR(A232="",B232="safety"),"",IF(ISBLANK(INDIRECT("template!"&amp;"E"&amp;A232)),"",INDIRECT("template!"&amp;"E"&amp;A232)))</f>
        <v>#REF!</v>
      </c>
      <c r="I232" t="e" cm="1">
        <f t="array" aca="1" ref="I232" ca="1">IF(OR(A232="",B232="safety"),"",IF(ISBLANK(INDIRECT("template!"&amp;"F"&amp;A232)),"",INDIRECT("template!"&amp;"F"&amp;A232)))</f>
        <v>#REF!</v>
      </c>
      <c r="J232" t="e" cm="1">
        <f t="array" aca="1" ref="J232" ca="1">IF(OR(A232="",B232="safety"),"",IF(ISBLANK(INDIRECT("template!"&amp;"G"&amp;A232)),"",INDIRECT("template!"&amp;"G"&amp;A232)))</f>
        <v>#REF!</v>
      </c>
      <c r="K232" t="e" cm="1">
        <f t="array" aca="1" ref="K232" ca="1">IF(OR(A232="",B232="safety"),"",IF(ISBLANK(INDIRECT("template!"&amp;"H"&amp;A232)),"",INDIRECT("template!"&amp;"H"&amp;A232)))</f>
        <v>#REF!</v>
      </c>
      <c r="L232" t="e" cm="1">
        <f t="array" aca="1" ref="L232" ca="1">IF(OR(A232="",B232="safety"),"",INDIRECT("template!"&amp;"I"&amp;A232))</f>
        <v>#REF!</v>
      </c>
      <c r="M232" t="e" cm="1">
        <f t="array" aca="1" ref="M232" ca="1">IF(OR(A232="",B232="safety"),"",INDIRECT("template!"&amp;"J"&amp;A232))</f>
        <v>#REF!</v>
      </c>
      <c r="N232" t="e" cm="1">
        <f t="array" aca="1" ref="N232" ca="1">IF(OR(A232="",B232="safety"),"",IF(ISBLANK(INDIRECT("template!"&amp;"K"&amp;A232)),"",INDIRECT("template!"&amp;"K"&amp;A232)))</f>
        <v>#REF!</v>
      </c>
      <c r="O232" t="e" cm="1">
        <f t="array" aca="1" ref="O232" ca="1">IF(OR(A232="",B232="safety"),"",INDIRECT("template!"&amp;"L"&amp;A232))</f>
        <v>#REF!</v>
      </c>
      <c r="P232" t="e" cm="1">
        <f t="array" aca="1" ref="P232" ca="1">IF(OR(A232="",B232="safety"),"",INDIRECT("template!"&amp;"M"&amp;A232))</f>
        <v>#REF!</v>
      </c>
      <c r="Q232" t="e">
        <f t="shared" ca="1" si="16"/>
        <v>#REF!</v>
      </c>
      <c r="R232" t="e">
        <f t="shared" ca="1" si="17"/>
        <v>#REF!</v>
      </c>
      <c r="S232" t="e">
        <f t="shared" ca="1" si="18"/>
        <v>#REF!</v>
      </c>
      <c r="T232" t="e">
        <f t="shared" ca="1" si="19"/>
        <v>#REF!</v>
      </c>
      <c r="U232" t="e" cm="1">
        <f t="array" aca="1" ref="U232" ca="1">IF(A232="","",IF(E232="","",IF(B232="safety",INDIRECT("template!"&amp;"P"&amp;A232),Q232+R232)))</f>
        <v>#REF!</v>
      </c>
      <c r="V232" t="e" cm="1">
        <f t="array" aca="1" ref="V232" ca="1">IF(A232="","",IF(E232="","",IF(B232="safety",INDIRECT("template!"&amp;"P"&amp;A232),S232+T232)))</f>
        <v>#REF!</v>
      </c>
      <c r="W232" t="e">
        <f ca="1">IF(A232="","",IF(E232="","",#REF!))</f>
        <v>#REF!</v>
      </c>
      <c r="X232" t="e">
        <f ca="1">IF(A232="","",IF(E232="","",#REF!))</f>
        <v>#REF!</v>
      </c>
      <c r="Y232" s="39" t="e">
        <f ca="1">IF(A232="","",IF(E232="","",#REF!))</f>
        <v>#REF!</v>
      </c>
      <c r="Z232" t="e">
        <f ca="1">IF(A232="","",IF(E232="","",#REF!))</f>
        <v>#REF!</v>
      </c>
      <c r="AA232" t="e">
        <f ca="1">IF(A232="","",IF(E232="","",#REF!))</f>
        <v>#REF!</v>
      </c>
      <c r="AB232" t="e">
        <f ca="1">IF(A232="","",IF(E232="","",#REF!))</f>
        <v>#REF!</v>
      </c>
      <c r="AC232" t="e">
        <f t="shared" ca="1" si="20"/>
        <v>#REF!</v>
      </c>
    </row>
    <row r="233" spans="1:29" x14ac:dyDescent="0.35">
      <c r="A233" t="e" cm="1">
        <f t="array" aca="1" ref="A233" ca="1">IF(A232="","",IF(OR(AND(A232+1&gt;=$AF$1,A232+1&lt;=$AF$2),AND(A232+1&gt;=$AF$6,A232+1&lt;=$AF$7),AND(A232+1&gt;=$AF$3,A232+1&lt;=$AF$4),AND(A232+1&gt;=$AF$8,A232+1&lt;=$AF$9),A232+1=$AF$5),IF(NOT(ISBLANK(INDIRECT("template!"&amp;"P"&amp;A232+1))),A232+1,IF(NOT(ISBLANK(INDIRECT("template!"&amp;"P"&amp;A232+2))),A232+2,A232+3)),IF(A232=$AF$2,$AF$3,IF(A232=$AF$4,$AF$5,IF(A232=$AF$5,$AF$6,IF(A232=$AF$7,$AF$8,""))))))</f>
        <v>#REF!</v>
      </c>
      <c r="B233" t="e">
        <f t="shared" ca="1" si="0"/>
        <v>#REF!</v>
      </c>
      <c r="C233" t="e" cm="1">
        <f t="array" aca="1" ref="C233" ca="1">IF(A233="","",IF(B233="safety","safety costs",INDIRECT("template!"&amp;"B"&amp;A233)))</f>
        <v>#REF!</v>
      </c>
      <c r="D233" t="e" cm="1">
        <f t="array" aca="1" ref="D233" ca="1">IF(OR(A233="",B233="safety"),"",INDIRECT("template!"&amp;"C"&amp;A233))</f>
        <v>#REF!</v>
      </c>
      <c r="E233" t="e" cm="1">
        <f t="array" aca="1" ref="E233" ca="1">IF(A233="","",IF(OR(A233=A232+1,A233=A232+2),E232,INDIRECT("template!"&amp;"D"&amp;A233-2)))</f>
        <v>#REF!</v>
      </c>
      <c r="F233" t="e" cm="1">
        <f t="array" aca="1" ref="F233" ca="1">IF(OR(A233="",B233="safety"),"",IF(ISBLANK(IF(A233=A232+1,F232,INDIRECT("template!"&amp;"D"&amp;A233-1))),"",IF(A233=A232+1,F232,INDIRECT("template!"&amp;"D"&amp;A233-1))))</f>
        <v>#REF!</v>
      </c>
      <c r="G233" t="e" cm="1">
        <f t="array" aca="1" ref="G233" ca="1">IF(OR(A233="",B233="safety"),"",IF(ISBLANK(INDIRECT("template!"&amp;"D"&amp;A233)),"",INDIRECT("template!"&amp;"D"&amp;A233)))</f>
        <v>#REF!</v>
      </c>
      <c r="H233" t="e" cm="1">
        <f t="array" aca="1" ref="H233" ca="1">IF(OR(A233="",B233="safety"),"",IF(ISBLANK(INDIRECT("template!"&amp;"E"&amp;A233)),"",INDIRECT("template!"&amp;"E"&amp;A233)))</f>
        <v>#REF!</v>
      </c>
      <c r="I233" t="e" cm="1">
        <f t="array" aca="1" ref="I233" ca="1">IF(OR(A233="",B233="safety"),"",IF(ISBLANK(INDIRECT("template!"&amp;"F"&amp;A233)),"",INDIRECT("template!"&amp;"F"&amp;A233)))</f>
        <v>#REF!</v>
      </c>
      <c r="J233" t="e" cm="1">
        <f t="array" aca="1" ref="J233" ca="1">IF(OR(A233="",B233="safety"),"",IF(ISBLANK(INDIRECT("template!"&amp;"G"&amp;A233)),"",INDIRECT("template!"&amp;"G"&amp;A233)))</f>
        <v>#REF!</v>
      </c>
      <c r="K233" t="e" cm="1">
        <f t="array" aca="1" ref="K233" ca="1">IF(OR(A233="",B233="safety"),"",IF(ISBLANK(INDIRECT("template!"&amp;"H"&amp;A233)),"",INDIRECT("template!"&amp;"H"&amp;A233)))</f>
        <v>#REF!</v>
      </c>
      <c r="L233" t="e" cm="1">
        <f t="array" aca="1" ref="L233" ca="1">IF(OR(A233="",B233="safety"),"",INDIRECT("template!"&amp;"I"&amp;A233))</f>
        <v>#REF!</v>
      </c>
      <c r="M233" t="e" cm="1">
        <f t="array" aca="1" ref="M233" ca="1">IF(OR(A233="",B233="safety"),"",INDIRECT("template!"&amp;"J"&amp;A233))</f>
        <v>#REF!</v>
      </c>
      <c r="N233" t="e" cm="1">
        <f t="array" aca="1" ref="N233" ca="1">IF(OR(A233="",B233="safety"),"",IF(ISBLANK(INDIRECT("template!"&amp;"K"&amp;A233)),"",INDIRECT("template!"&amp;"K"&amp;A233)))</f>
        <v>#REF!</v>
      </c>
      <c r="O233" t="e" cm="1">
        <f t="array" aca="1" ref="O233" ca="1">IF(OR(A233="",B233="safety"),"",INDIRECT("template!"&amp;"L"&amp;A233))</f>
        <v>#REF!</v>
      </c>
      <c r="P233" t="e" cm="1">
        <f t="array" aca="1" ref="P233" ca="1">IF(OR(A233="",B233="safety"),"",INDIRECT("template!"&amp;"M"&amp;A233))</f>
        <v>#REF!</v>
      </c>
      <c r="Q233" t="e">
        <f t="shared" ca="1" si="16"/>
        <v>#REF!</v>
      </c>
      <c r="R233" t="e">
        <f t="shared" ca="1" si="17"/>
        <v>#REF!</v>
      </c>
      <c r="S233" t="e">
        <f t="shared" ca="1" si="18"/>
        <v>#REF!</v>
      </c>
      <c r="T233" t="e">
        <f t="shared" ca="1" si="19"/>
        <v>#REF!</v>
      </c>
      <c r="U233" t="e" cm="1">
        <f t="array" aca="1" ref="U233" ca="1">IF(A233="","",IF(E233="","",IF(B233="safety",INDIRECT("template!"&amp;"P"&amp;A233),Q233+R233)))</f>
        <v>#REF!</v>
      </c>
      <c r="V233" t="e" cm="1">
        <f t="array" aca="1" ref="V233" ca="1">IF(A233="","",IF(E233="","",IF(B233="safety",INDIRECT("template!"&amp;"P"&amp;A233),S233+T233)))</f>
        <v>#REF!</v>
      </c>
      <c r="W233" t="e">
        <f ca="1">IF(A233="","",IF(E233="","",#REF!))</f>
        <v>#REF!</v>
      </c>
      <c r="X233" t="e">
        <f ca="1">IF(A233="","",IF(E233="","",#REF!))</f>
        <v>#REF!</v>
      </c>
      <c r="Y233" s="39" t="e">
        <f ca="1">IF(A233="","",IF(E233="","",#REF!))</f>
        <v>#REF!</v>
      </c>
      <c r="Z233" t="e">
        <f ca="1">IF(A233="","",IF(E233="","",#REF!))</f>
        <v>#REF!</v>
      </c>
      <c r="AA233" t="e">
        <f ca="1">IF(A233="","",IF(E233="","",#REF!))</f>
        <v>#REF!</v>
      </c>
      <c r="AB233" t="e">
        <f ca="1">IF(A233="","",IF(E233="","",#REF!))</f>
        <v>#REF!</v>
      </c>
      <c r="AC233" t="e">
        <f t="shared" ca="1" si="20"/>
        <v>#REF!</v>
      </c>
    </row>
    <row r="234" spans="1:29" x14ac:dyDescent="0.35">
      <c r="A234" t="e" cm="1">
        <f t="array" aca="1" ref="A234" ca="1">IF(A233="","",IF(OR(AND(A233+1&gt;=$AF$1,A233+1&lt;=$AF$2),AND(A233+1&gt;=$AF$6,A233+1&lt;=$AF$7),AND(A233+1&gt;=$AF$3,A233+1&lt;=$AF$4),AND(A233+1&gt;=$AF$8,A233+1&lt;=$AF$9),A233+1=$AF$5),IF(NOT(ISBLANK(INDIRECT("template!"&amp;"P"&amp;A233+1))),A233+1,IF(NOT(ISBLANK(INDIRECT("template!"&amp;"P"&amp;A233+2))),A233+2,A233+3)),IF(A233=$AF$2,$AF$3,IF(A233=$AF$4,$AF$5,IF(A233=$AF$5,$AF$6,IF(A233=$AF$7,$AF$8,""))))))</f>
        <v>#REF!</v>
      </c>
      <c r="B234" t="e">
        <f t="shared" ca="1" si="0"/>
        <v>#REF!</v>
      </c>
      <c r="C234" t="e" cm="1">
        <f t="array" aca="1" ref="C234" ca="1">IF(A234="","",IF(B234="safety","safety costs",INDIRECT("template!"&amp;"B"&amp;A234)))</f>
        <v>#REF!</v>
      </c>
      <c r="D234" t="e" cm="1">
        <f t="array" aca="1" ref="D234" ca="1">IF(OR(A234="",B234="safety"),"",INDIRECT("template!"&amp;"C"&amp;A234))</f>
        <v>#REF!</v>
      </c>
      <c r="E234" t="e" cm="1">
        <f t="array" aca="1" ref="E234" ca="1">IF(A234="","",IF(OR(A234=A233+1,A234=A233+2),E233,INDIRECT("template!"&amp;"D"&amp;A234-2)))</f>
        <v>#REF!</v>
      </c>
      <c r="F234" t="e" cm="1">
        <f t="array" aca="1" ref="F234" ca="1">IF(OR(A234="",B234="safety"),"",IF(ISBLANK(IF(A234=A233+1,F233,INDIRECT("template!"&amp;"D"&amp;A234-1))),"",IF(A234=A233+1,F233,INDIRECT("template!"&amp;"D"&amp;A234-1))))</f>
        <v>#REF!</v>
      </c>
      <c r="G234" t="e" cm="1">
        <f t="array" aca="1" ref="G234" ca="1">IF(OR(A234="",B234="safety"),"",IF(ISBLANK(INDIRECT("template!"&amp;"D"&amp;A234)),"",INDIRECT("template!"&amp;"D"&amp;A234)))</f>
        <v>#REF!</v>
      </c>
      <c r="H234" t="e" cm="1">
        <f t="array" aca="1" ref="H234" ca="1">IF(OR(A234="",B234="safety"),"",IF(ISBLANK(INDIRECT("template!"&amp;"E"&amp;A234)),"",INDIRECT("template!"&amp;"E"&amp;A234)))</f>
        <v>#REF!</v>
      </c>
      <c r="I234" t="e" cm="1">
        <f t="array" aca="1" ref="I234" ca="1">IF(OR(A234="",B234="safety"),"",IF(ISBLANK(INDIRECT("template!"&amp;"F"&amp;A234)),"",INDIRECT("template!"&amp;"F"&amp;A234)))</f>
        <v>#REF!</v>
      </c>
      <c r="J234" t="e" cm="1">
        <f t="array" aca="1" ref="J234" ca="1">IF(OR(A234="",B234="safety"),"",IF(ISBLANK(INDIRECT("template!"&amp;"G"&amp;A234)),"",INDIRECT("template!"&amp;"G"&amp;A234)))</f>
        <v>#REF!</v>
      </c>
      <c r="K234" t="e" cm="1">
        <f t="array" aca="1" ref="K234" ca="1">IF(OR(A234="",B234="safety"),"",IF(ISBLANK(INDIRECT("template!"&amp;"H"&amp;A234)),"",INDIRECT("template!"&amp;"H"&amp;A234)))</f>
        <v>#REF!</v>
      </c>
      <c r="L234" t="e" cm="1">
        <f t="array" aca="1" ref="L234" ca="1">IF(OR(A234="",B234="safety"),"",INDIRECT("template!"&amp;"I"&amp;A234))</f>
        <v>#REF!</v>
      </c>
      <c r="M234" t="e" cm="1">
        <f t="array" aca="1" ref="M234" ca="1">IF(OR(A234="",B234="safety"),"",INDIRECT("template!"&amp;"J"&amp;A234))</f>
        <v>#REF!</v>
      </c>
      <c r="N234" t="e" cm="1">
        <f t="array" aca="1" ref="N234" ca="1">IF(OR(A234="",B234="safety"),"",IF(ISBLANK(INDIRECT("template!"&amp;"K"&amp;A234)),"",INDIRECT("template!"&amp;"K"&amp;A234)))</f>
        <v>#REF!</v>
      </c>
      <c r="O234" t="e" cm="1">
        <f t="array" aca="1" ref="O234" ca="1">IF(OR(A234="",B234="safety"),"",INDIRECT("template!"&amp;"L"&amp;A234))</f>
        <v>#REF!</v>
      </c>
      <c r="P234" t="e" cm="1">
        <f t="array" aca="1" ref="P234" ca="1">IF(OR(A234="",B234="safety"),"",INDIRECT("template!"&amp;"M"&amp;A234))</f>
        <v>#REF!</v>
      </c>
      <c r="Q234" t="e">
        <f t="shared" ca="1" si="16"/>
        <v>#REF!</v>
      </c>
      <c r="R234" t="e">
        <f t="shared" ca="1" si="17"/>
        <v>#REF!</v>
      </c>
      <c r="S234" t="e">
        <f t="shared" ca="1" si="18"/>
        <v>#REF!</v>
      </c>
      <c r="T234" t="e">
        <f t="shared" ca="1" si="19"/>
        <v>#REF!</v>
      </c>
      <c r="U234" t="e" cm="1">
        <f t="array" aca="1" ref="U234" ca="1">IF(A234="","",IF(E234="","",IF(B234="safety",INDIRECT("template!"&amp;"P"&amp;A234),Q234+R234)))</f>
        <v>#REF!</v>
      </c>
      <c r="V234" t="e" cm="1">
        <f t="array" aca="1" ref="V234" ca="1">IF(A234="","",IF(E234="","",IF(B234="safety",INDIRECT("template!"&amp;"P"&amp;A234),S234+T234)))</f>
        <v>#REF!</v>
      </c>
      <c r="W234" t="e">
        <f ca="1">IF(A234="","",IF(E234="","",#REF!))</f>
        <v>#REF!</v>
      </c>
      <c r="X234" t="e">
        <f ca="1">IF(A234="","",IF(E234="","",#REF!))</f>
        <v>#REF!</v>
      </c>
      <c r="Y234" s="39" t="e">
        <f ca="1">IF(A234="","",IF(E234="","",#REF!))</f>
        <v>#REF!</v>
      </c>
      <c r="Z234" t="e">
        <f ca="1">IF(A234="","",IF(E234="","",#REF!))</f>
        <v>#REF!</v>
      </c>
      <c r="AA234" t="e">
        <f ca="1">IF(A234="","",IF(E234="","",#REF!))</f>
        <v>#REF!</v>
      </c>
      <c r="AB234" t="e">
        <f ca="1">IF(A234="","",IF(E234="","",#REF!))</f>
        <v>#REF!</v>
      </c>
      <c r="AC234" t="e">
        <f t="shared" ca="1" si="20"/>
        <v>#REF!</v>
      </c>
    </row>
    <row r="235" spans="1:29" x14ac:dyDescent="0.35">
      <c r="A235" t="e" cm="1">
        <f t="array" aca="1" ref="A235" ca="1">IF(A234="","",IF(OR(AND(A234+1&gt;=$AF$1,A234+1&lt;=$AF$2),AND(A234+1&gt;=$AF$6,A234+1&lt;=$AF$7),AND(A234+1&gt;=$AF$3,A234+1&lt;=$AF$4),AND(A234+1&gt;=$AF$8,A234+1&lt;=$AF$9),A234+1=$AF$5),IF(NOT(ISBLANK(INDIRECT("template!"&amp;"P"&amp;A234+1))),A234+1,IF(NOT(ISBLANK(INDIRECT("template!"&amp;"P"&amp;A234+2))),A234+2,A234+3)),IF(A234=$AF$2,$AF$3,IF(A234=$AF$4,$AF$5,IF(A234=$AF$5,$AF$6,IF(A234=$AF$7,$AF$8,""))))))</f>
        <v>#REF!</v>
      </c>
      <c r="B235" t="e">
        <f t="shared" ca="1" si="0"/>
        <v>#REF!</v>
      </c>
      <c r="C235" t="e" cm="1">
        <f t="array" aca="1" ref="C235" ca="1">IF(A235="","",IF(B235="safety","safety costs",INDIRECT("template!"&amp;"B"&amp;A235)))</f>
        <v>#REF!</v>
      </c>
      <c r="D235" t="e" cm="1">
        <f t="array" aca="1" ref="D235" ca="1">IF(OR(A235="",B235="safety"),"",INDIRECT("template!"&amp;"C"&amp;A235))</f>
        <v>#REF!</v>
      </c>
      <c r="E235" t="e" cm="1">
        <f t="array" aca="1" ref="E235" ca="1">IF(A235="","",IF(OR(A235=A234+1,A235=A234+2),E234,INDIRECT("template!"&amp;"D"&amp;A235-2)))</f>
        <v>#REF!</v>
      </c>
      <c r="F235" t="e" cm="1">
        <f t="array" aca="1" ref="F235" ca="1">IF(OR(A235="",B235="safety"),"",IF(ISBLANK(IF(A235=A234+1,F234,INDIRECT("template!"&amp;"D"&amp;A235-1))),"",IF(A235=A234+1,F234,INDIRECT("template!"&amp;"D"&amp;A235-1))))</f>
        <v>#REF!</v>
      </c>
      <c r="G235" t="e" cm="1">
        <f t="array" aca="1" ref="G235" ca="1">IF(OR(A235="",B235="safety"),"",IF(ISBLANK(INDIRECT("template!"&amp;"D"&amp;A235)),"",INDIRECT("template!"&amp;"D"&amp;A235)))</f>
        <v>#REF!</v>
      </c>
      <c r="H235" t="e" cm="1">
        <f t="array" aca="1" ref="H235" ca="1">IF(OR(A235="",B235="safety"),"",IF(ISBLANK(INDIRECT("template!"&amp;"E"&amp;A235)),"",INDIRECT("template!"&amp;"E"&amp;A235)))</f>
        <v>#REF!</v>
      </c>
      <c r="I235" t="e" cm="1">
        <f t="array" aca="1" ref="I235" ca="1">IF(OR(A235="",B235="safety"),"",IF(ISBLANK(INDIRECT("template!"&amp;"F"&amp;A235)),"",INDIRECT("template!"&amp;"F"&amp;A235)))</f>
        <v>#REF!</v>
      </c>
      <c r="J235" t="e" cm="1">
        <f t="array" aca="1" ref="J235" ca="1">IF(OR(A235="",B235="safety"),"",IF(ISBLANK(INDIRECT("template!"&amp;"G"&amp;A235)),"",INDIRECT("template!"&amp;"G"&amp;A235)))</f>
        <v>#REF!</v>
      </c>
      <c r="K235" t="e" cm="1">
        <f t="array" aca="1" ref="K235" ca="1">IF(OR(A235="",B235="safety"),"",IF(ISBLANK(INDIRECT("template!"&amp;"H"&amp;A235)),"",INDIRECT("template!"&amp;"H"&amp;A235)))</f>
        <v>#REF!</v>
      </c>
      <c r="L235" t="e" cm="1">
        <f t="array" aca="1" ref="L235" ca="1">IF(OR(A235="",B235="safety"),"",INDIRECT("template!"&amp;"I"&amp;A235))</f>
        <v>#REF!</v>
      </c>
      <c r="M235" t="e" cm="1">
        <f t="array" aca="1" ref="M235" ca="1">IF(OR(A235="",B235="safety"),"",INDIRECT("template!"&amp;"J"&amp;A235))</f>
        <v>#REF!</v>
      </c>
      <c r="N235" t="e" cm="1">
        <f t="array" aca="1" ref="N235" ca="1">IF(OR(A235="",B235="safety"),"",IF(ISBLANK(INDIRECT("template!"&amp;"K"&amp;A235)),"",INDIRECT("template!"&amp;"K"&amp;A235)))</f>
        <v>#REF!</v>
      </c>
      <c r="O235" t="e" cm="1">
        <f t="array" aca="1" ref="O235" ca="1">IF(OR(A235="",B235="safety"),"",INDIRECT("template!"&amp;"L"&amp;A235))</f>
        <v>#REF!</v>
      </c>
      <c r="P235" t="e" cm="1">
        <f t="array" aca="1" ref="P235" ca="1">IF(OR(A235="",B235="safety"),"",INDIRECT("template!"&amp;"M"&amp;A235))</f>
        <v>#REF!</v>
      </c>
      <c r="Q235" t="e">
        <f t="shared" ca="1" si="16"/>
        <v>#REF!</v>
      </c>
      <c r="R235" t="e">
        <f t="shared" ca="1" si="17"/>
        <v>#REF!</v>
      </c>
      <c r="S235" t="e">
        <f t="shared" ca="1" si="18"/>
        <v>#REF!</v>
      </c>
      <c r="T235" t="e">
        <f t="shared" ca="1" si="19"/>
        <v>#REF!</v>
      </c>
      <c r="U235" t="e" cm="1">
        <f t="array" aca="1" ref="U235" ca="1">IF(A235="","",IF(E235="","",IF(B235="safety",INDIRECT("template!"&amp;"P"&amp;A235),Q235+R235)))</f>
        <v>#REF!</v>
      </c>
      <c r="V235" t="e" cm="1">
        <f t="array" aca="1" ref="V235" ca="1">IF(A235="","",IF(E235="","",IF(B235="safety",INDIRECT("template!"&amp;"P"&amp;A235),S235+T235)))</f>
        <v>#REF!</v>
      </c>
      <c r="W235" t="e">
        <f ca="1">IF(A235="","",IF(E235="","",#REF!))</f>
        <v>#REF!</v>
      </c>
      <c r="X235" t="e">
        <f ca="1">IF(A235="","",IF(E235="","",#REF!))</f>
        <v>#REF!</v>
      </c>
      <c r="Y235" s="39" t="e">
        <f ca="1">IF(A235="","",IF(E235="","",#REF!))</f>
        <v>#REF!</v>
      </c>
      <c r="Z235" t="e">
        <f ca="1">IF(A235="","",IF(E235="","",#REF!))</f>
        <v>#REF!</v>
      </c>
      <c r="AA235" t="e">
        <f ca="1">IF(A235="","",IF(E235="","",#REF!))</f>
        <v>#REF!</v>
      </c>
      <c r="AB235" t="e">
        <f ca="1">IF(A235="","",IF(E235="","",#REF!))</f>
        <v>#REF!</v>
      </c>
      <c r="AC235" t="e">
        <f t="shared" ca="1" si="20"/>
        <v>#REF!</v>
      </c>
    </row>
    <row r="236" spans="1:29" x14ac:dyDescent="0.35">
      <c r="A236" t="e" cm="1">
        <f t="array" aca="1" ref="A236" ca="1">IF(A235="","",IF(OR(AND(A235+1&gt;=$AF$1,A235+1&lt;=$AF$2),AND(A235+1&gt;=$AF$6,A235+1&lt;=$AF$7),AND(A235+1&gt;=$AF$3,A235+1&lt;=$AF$4),AND(A235+1&gt;=$AF$8,A235+1&lt;=$AF$9),A235+1=$AF$5),IF(NOT(ISBLANK(INDIRECT("template!"&amp;"P"&amp;A235+1))),A235+1,IF(NOT(ISBLANK(INDIRECT("template!"&amp;"P"&amp;A235+2))),A235+2,A235+3)),IF(A235=$AF$2,$AF$3,IF(A235=$AF$4,$AF$5,IF(A235=$AF$5,$AF$6,IF(A235=$AF$7,$AF$8,""))))))</f>
        <v>#REF!</v>
      </c>
      <c r="B236" t="e">
        <f t="shared" ca="1" si="0"/>
        <v>#REF!</v>
      </c>
      <c r="C236" t="e" cm="1">
        <f t="array" aca="1" ref="C236" ca="1">IF(A236="","",IF(B236="safety","safety costs",INDIRECT("template!"&amp;"B"&amp;A236)))</f>
        <v>#REF!</v>
      </c>
      <c r="D236" t="e" cm="1">
        <f t="array" aca="1" ref="D236" ca="1">IF(OR(A236="",B236="safety"),"",INDIRECT("template!"&amp;"C"&amp;A236))</f>
        <v>#REF!</v>
      </c>
      <c r="E236" t="e" cm="1">
        <f t="array" aca="1" ref="E236" ca="1">IF(A236="","",IF(OR(A236=A235+1,A236=A235+2),E235,INDIRECT("template!"&amp;"D"&amp;A236-2)))</f>
        <v>#REF!</v>
      </c>
      <c r="F236" t="e" cm="1">
        <f t="array" aca="1" ref="F236" ca="1">IF(OR(A236="",B236="safety"),"",IF(ISBLANK(IF(A236=A235+1,F235,INDIRECT("template!"&amp;"D"&amp;A236-1))),"",IF(A236=A235+1,F235,INDIRECT("template!"&amp;"D"&amp;A236-1))))</f>
        <v>#REF!</v>
      </c>
      <c r="G236" t="e" cm="1">
        <f t="array" aca="1" ref="G236" ca="1">IF(OR(A236="",B236="safety"),"",IF(ISBLANK(INDIRECT("template!"&amp;"D"&amp;A236)),"",INDIRECT("template!"&amp;"D"&amp;A236)))</f>
        <v>#REF!</v>
      </c>
      <c r="H236" t="e" cm="1">
        <f t="array" aca="1" ref="H236" ca="1">IF(OR(A236="",B236="safety"),"",IF(ISBLANK(INDIRECT("template!"&amp;"E"&amp;A236)),"",INDIRECT("template!"&amp;"E"&amp;A236)))</f>
        <v>#REF!</v>
      </c>
      <c r="I236" t="e" cm="1">
        <f t="array" aca="1" ref="I236" ca="1">IF(OR(A236="",B236="safety"),"",IF(ISBLANK(INDIRECT("template!"&amp;"F"&amp;A236)),"",INDIRECT("template!"&amp;"F"&amp;A236)))</f>
        <v>#REF!</v>
      </c>
      <c r="J236" t="e" cm="1">
        <f t="array" aca="1" ref="J236" ca="1">IF(OR(A236="",B236="safety"),"",IF(ISBLANK(INDIRECT("template!"&amp;"G"&amp;A236)),"",INDIRECT("template!"&amp;"G"&amp;A236)))</f>
        <v>#REF!</v>
      </c>
      <c r="K236" t="e" cm="1">
        <f t="array" aca="1" ref="K236" ca="1">IF(OR(A236="",B236="safety"),"",IF(ISBLANK(INDIRECT("template!"&amp;"H"&amp;A236)),"",INDIRECT("template!"&amp;"H"&amp;A236)))</f>
        <v>#REF!</v>
      </c>
      <c r="L236" t="e" cm="1">
        <f t="array" aca="1" ref="L236" ca="1">IF(OR(A236="",B236="safety"),"",INDIRECT("template!"&amp;"I"&amp;A236))</f>
        <v>#REF!</v>
      </c>
      <c r="M236" t="e" cm="1">
        <f t="array" aca="1" ref="M236" ca="1">IF(OR(A236="",B236="safety"),"",INDIRECT("template!"&amp;"J"&amp;A236))</f>
        <v>#REF!</v>
      </c>
      <c r="N236" t="e" cm="1">
        <f t="array" aca="1" ref="N236" ca="1">IF(OR(A236="",B236="safety"),"",IF(ISBLANK(INDIRECT("template!"&amp;"K"&amp;A236)),"",INDIRECT("template!"&amp;"K"&amp;A236)))</f>
        <v>#REF!</v>
      </c>
      <c r="O236" t="e" cm="1">
        <f t="array" aca="1" ref="O236" ca="1">IF(OR(A236="",B236="safety"),"",INDIRECT("template!"&amp;"L"&amp;A236))</f>
        <v>#REF!</v>
      </c>
      <c r="P236" t="e" cm="1">
        <f t="array" aca="1" ref="P236" ca="1">IF(OR(A236="",B236="safety"),"",INDIRECT("template!"&amp;"M"&amp;A236))</f>
        <v>#REF!</v>
      </c>
      <c r="Q236" t="e">
        <f t="shared" ca="1" si="16"/>
        <v>#REF!</v>
      </c>
      <c r="R236" t="e">
        <f t="shared" ca="1" si="17"/>
        <v>#REF!</v>
      </c>
      <c r="S236" t="e">
        <f t="shared" ca="1" si="18"/>
        <v>#REF!</v>
      </c>
      <c r="T236" t="e">
        <f t="shared" ca="1" si="19"/>
        <v>#REF!</v>
      </c>
      <c r="U236" t="e" cm="1">
        <f t="array" aca="1" ref="U236" ca="1">IF(A236="","",IF(E236="","",IF(B236="safety",INDIRECT("template!"&amp;"P"&amp;A236),Q236+R236)))</f>
        <v>#REF!</v>
      </c>
      <c r="V236" t="e" cm="1">
        <f t="array" aca="1" ref="V236" ca="1">IF(A236="","",IF(E236="","",IF(B236="safety",INDIRECT("template!"&amp;"P"&amp;A236),S236+T236)))</f>
        <v>#REF!</v>
      </c>
      <c r="W236" t="e">
        <f ca="1">IF(A236="","",IF(E236="","",#REF!))</f>
        <v>#REF!</v>
      </c>
      <c r="X236" t="e">
        <f ca="1">IF(A236="","",IF(E236="","",#REF!))</f>
        <v>#REF!</v>
      </c>
      <c r="Y236" s="39" t="e">
        <f ca="1">IF(A236="","",IF(E236="","",#REF!))</f>
        <v>#REF!</v>
      </c>
      <c r="Z236" t="e">
        <f ca="1">IF(A236="","",IF(E236="","",#REF!))</f>
        <v>#REF!</v>
      </c>
      <c r="AA236" t="e">
        <f ca="1">IF(A236="","",IF(E236="","",#REF!))</f>
        <v>#REF!</v>
      </c>
      <c r="AB236" t="e">
        <f ca="1">IF(A236="","",IF(E236="","",#REF!))</f>
        <v>#REF!</v>
      </c>
      <c r="AC236" t="e">
        <f t="shared" ca="1" si="20"/>
        <v>#REF!</v>
      </c>
    </row>
    <row r="237" spans="1:29" x14ac:dyDescent="0.35">
      <c r="A237" t="e" cm="1">
        <f t="array" aca="1" ref="A237" ca="1">IF(A236="","",IF(OR(AND(A236+1&gt;=$AF$1,A236+1&lt;=$AF$2),AND(A236+1&gt;=$AF$6,A236+1&lt;=$AF$7),AND(A236+1&gt;=$AF$3,A236+1&lt;=$AF$4),AND(A236+1&gt;=$AF$8,A236+1&lt;=$AF$9),A236+1=$AF$5),IF(NOT(ISBLANK(INDIRECT("template!"&amp;"P"&amp;A236+1))),A236+1,IF(NOT(ISBLANK(INDIRECT("template!"&amp;"P"&amp;A236+2))),A236+2,A236+3)),IF(A236=$AF$2,$AF$3,IF(A236=$AF$4,$AF$5,IF(A236=$AF$5,$AF$6,IF(A236=$AF$7,$AF$8,""))))))</f>
        <v>#REF!</v>
      </c>
      <c r="B237" t="e">
        <f t="shared" ca="1" si="0"/>
        <v>#REF!</v>
      </c>
      <c r="C237" t="e" cm="1">
        <f t="array" aca="1" ref="C237" ca="1">IF(A237="","",IF(B237="safety","safety costs",INDIRECT("template!"&amp;"B"&amp;A237)))</f>
        <v>#REF!</v>
      </c>
      <c r="D237" t="e" cm="1">
        <f t="array" aca="1" ref="D237" ca="1">IF(OR(A237="",B237="safety"),"",INDIRECT("template!"&amp;"C"&amp;A237))</f>
        <v>#REF!</v>
      </c>
      <c r="E237" t="e" cm="1">
        <f t="array" aca="1" ref="E237" ca="1">IF(A237="","",IF(OR(A237=A236+1,A237=A236+2),E236,INDIRECT("template!"&amp;"D"&amp;A237-2)))</f>
        <v>#REF!</v>
      </c>
      <c r="F237" t="e" cm="1">
        <f t="array" aca="1" ref="F237" ca="1">IF(OR(A237="",B237="safety"),"",IF(ISBLANK(IF(A237=A236+1,F236,INDIRECT("template!"&amp;"D"&amp;A237-1))),"",IF(A237=A236+1,F236,INDIRECT("template!"&amp;"D"&amp;A237-1))))</f>
        <v>#REF!</v>
      </c>
      <c r="G237" t="e" cm="1">
        <f t="array" aca="1" ref="G237" ca="1">IF(OR(A237="",B237="safety"),"",IF(ISBLANK(INDIRECT("template!"&amp;"D"&amp;A237)),"",INDIRECT("template!"&amp;"D"&amp;A237)))</f>
        <v>#REF!</v>
      </c>
      <c r="H237" t="e" cm="1">
        <f t="array" aca="1" ref="H237" ca="1">IF(OR(A237="",B237="safety"),"",IF(ISBLANK(INDIRECT("template!"&amp;"E"&amp;A237)),"",INDIRECT("template!"&amp;"E"&amp;A237)))</f>
        <v>#REF!</v>
      </c>
      <c r="I237" t="e" cm="1">
        <f t="array" aca="1" ref="I237" ca="1">IF(OR(A237="",B237="safety"),"",IF(ISBLANK(INDIRECT("template!"&amp;"F"&amp;A237)),"",INDIRECT("template!"&amp;"F"&amp;A237)))</f>
        <v>#REF!</v>
      </c>
      <c r="J237" t="e" cm="1">
        <f t="array" aca="1" ref="J237" ca="1">IF(OR(A237="",B237="safety"),"",IF(ISBLANK(INDIRECT("template!"&amp;"G"&amp;A237)),"",INDIRECT("template!"&amp;"G"&amp;A237)))</f>
        <v>#REF!</v>
      </c>
      <c r="K237" t="e" cm="1">
        <f t="array" aca="1" ref="K237" ca="1">IF(OR(A237="",B237="safety"),"",IF(ISBLANK(INDIRECT("template!"&amp;"H"&amp;A237)),"",INDIRECT("template!"&amp;"H"&amp;A237)))</f>
        <v>#REF!</v>
      </c>
      <c r="L237" t="e" cm="1">
        <f t="array" aca="1" ref="L237" ca="1">IF(OR(A237="",B237="safety"),"",INDIRECT("template!"&amp;"I"&amp;A237))</f>
        <v>#REF!</v>
      </c>
      <c r="M237" t="e" cm="1">
        <f t="array" aca="1" ref="M237" ca="1">IF(OR(A237="",B237="safety"),"",INDIRECT("template!"&amp;"J"&amp;A237))</f>
        <v>#REF!</v>
      </c>
      <c r="N237" t="e" cm="1">
        <f t="array" aca="1" ref="N237" ca="1">IF(OR(A237="",B237="safety"),"",IF(ISBLANK(INDIRECT("template!"&amp;"K"&amp;A237)),"",INDIRECT("template!"&amp;"K"&amp;A237)))</f>
        <v>#REF!</v>
      </c>
      <c r="O237" t="e" cm="1">
        <f t="array" aca="1" ref="O237" ca="1">IF(OR(A237="",B237="safety"),"",INDIRECT("template!"&amp;"L"&amp;A237))</f>
        <v>#REF!</v>
      </c>
      <c r="P237" t="e" cm="1">
        <f t="array" aca="1" ref="P237" ca="1">IF(OR(A237="",B237="safety"),"",INDIRECT("template!"&amp;"M"&amp;A237))</f>
        <v>#REF!</v>
      </c>
      <c r="Q237" t="e">
        <f t="shared" ca="1" si="16"/>
        <v>#REF!</v>
      </c>
      <c r="R237" t="e">
        <f t="shared" ca="1" si="17"/>
        <v>#REF!</v>
      </c>
      <c r="S237" t="e">
        <f t="shared" ca="1" si="18"/>
        <v>#REF!</v>
      </c>
      <c r="T237" t="e">
        <f t="shared" ca="1" si="19"/>
        <v>#REF!</v>
      </c>
      <c r="U237" t="e" cm="1">
        <f t="array" aca="1" ref="U237" ca="1">IF(A237="","",IF(E237="","",IF(B237="safety",INDIRECT("template!"&amp;"P"&amp;A237),Q237+R237)))</f>
        <v>#REF!</v>
      </c>
      <c r="V237" t="e" cm="1">
        <f t="array" aca="1" ref="V237" ca="1">IF(A237="","",IF(E237="","",IF(B237="safety",INDIRECT("template!"&amp;"P"&amp;A237),S237+T237)))</f>
        <v>#REF!</v>
      </c>
      <c r="W237" t="e">
        <f ca="1">IF(A237="","",IF(E237="","",#REF!))</f>
        <v>#REF!</v>
      </c>
      <c r="X237" t="e">
        <f ca="1">IF(A237="","",IF(E237="","",#REF!))</f>
        <v>#REF!</v>
      </c>
      <c r="Y237" s="39" t="e">
        <f ca="1">IF(A237="","",IF(E237="","",#REF!))</f>
        <v>#REF!</v>
      </c>
      <c r="Z237" t="e">
        <f ca="1">IF(A237="","",IF(E237="","",#REF!))</f>
        <v>#REF!</v>
      </c>
      <c r="AA237" t="e">
        <f ca="1">IF(A237="","",IF(E237="","",#REF!))</f>
        <v>#REF!</v>
      </c>
      <c r="AB237" t="e">
        <f ca="1">IF(A237="","",IF(E237="","",#REF!))</f>
        <v>#REF!</v>
      </c>
      <c r="AC237" t="e">
        <f t="shared" ca="1" si="20"/>
        <v>#REF!</v>
      </c>
    </row>
    <row r="238" spans="1:29" x14ac:dyDescent="0.35">
      <c r="A238" t="e" cm="1">
        <f t="array" aca="1" ref="A238" ca="1">IF(A237="","",IF(OR(AND(A237+1&gt;=$AF$1,A237+1&lt;=$AF$2),AND(A237+1&gt;=$AF$6,A237+1&lt;=$AF$7),AND(A237+1&gt;=$AF$3,A237+1&lt;=$AF$4),AND(A237+1&gt;=$AF$8,A237+1&lt;=$AF$9),A237+1=$AF$5),IF(NOT(ISBLANK(INDIRECT("template!"&amp;"P"&amp;A237+1))),A237+1,IF(NOT(ISBLANK(INDIRECT("template!"&amp;"P"&amp;A237+2))),A237+2,A237+3)),IF(A237=$AF$2,$AF$3,IF(A237=$AF$4,$AF$5,IF(A237=$AF$5,$AF$6,IF(A237=$AF$7,$AF$8,""))))))</f>
        <v>#REF!</v>
      </c>
      <c r="B238" t="e">
        <f t="shared" ca="1" si="0"/>
        <v>#REF!</v>
      </c>
      <c r="C238" t="e" cm="1">
        <f t="array" aca="1" ref="C238" ca="1">IF(A238="","",IF(B238="safety","safety costs",INDIRECT("template!"&amp;"B"&amp;A238)))</f>
        <v>#REF!</v>
      </c>
      <c r="D238" t="e" cm="1">
        <f t="array" aca="1" ref="D238" ca="1">IF(OR(A238="",B238="safety"),"",INDIRECT("template!"&amp;"C"&amp;A238))</f>
        <v>#REF!</v>
      </c>
      <c r="E238" t="e" cm="1">
        <f t="array" aca="1" ref="E238" ca="1">IF(A238="","",IF(OR(A238=A237+1,A238=A237+2),E237,INDIRECT("template!"&amp;"D"&amp;A238-2)))</f>
        <v>#REF!</v>
      </c>
      <c r="F238" t="e" cm="1">
        <f t="array" aca="1" ref="F238" ca="1">IF(OR(A238="",B238="safety"),"",IF(ISBLANK(IF(A238=A237+1,F237,INDIRECT("template!"&amp;"D"&amp;A238-1))),"",IF(A238=A237+1,F237,INDIRECT("template!"&amp;"D"&amp;A238-1))))</f>
        <v>#REF!</v>
      </c>
      <c r="G238" t="e" cm="1">
        <f t="array" aca="1" ref="G238" ca="1">IF(OR(A238="",B238="safety"),"",IF(ISBLANK(INDIRECT("template!"&amp;"D"&amp;A238)),"",INDIRECT("template!"&amp;"D"&amp;A238)))</f>
        <v>#REF!</v>
      </c>
      <c r="H238" t="e" cm="1">
        <f t="array" aca="1" ref="H238" ca="1">IF(OR(A238="",B238="safety"),"",IF(ISBLANK(INDIRECT("template!"&amp;"E"&amp;A238)),"",INDIRECT("template!"&amp;"E"&amp;A238)))</f>
        <v>#REF!</v>
      </c>
      <c r="I238" t="e" cm="1">
        <f t="array" aca="1" ref="I238" ca="1">IF(OR(A238="",B238="safety"),"",IF(ISBLANK(INDIRECT("template!"&amp;"F"&amp;A238)),"",INDIRECT("template!"&amp;"F"&amp;A238)))</f>
        <v>#REF!</v>
      </c>
      <c r="J238" t="e" cm="1">
        <f t="array" aca="1" ref="J238" ca="1">IF(OR(A238="",B238="safety"),"",IF(ISBLANK(INDIRECT("template!"&amp;"G"&amp;A238)),"",INDIRECT("template!"&amp;"G"&amp;A238)))</f>
        <v>#REF!</v>
      </c>
      <c r="K238" t="e" cm="1">
        <f t="array" aca="1" ref="K238" ca="1">IF(OR(A238="",B238="safety"),"",IF(ISBLANK(INDIRECT("template!"&amp;"H"&amp;A238)),"",INDIRECT("template!"&amp;"H"&amp;A238)))</f>
        <v>#REF!</v>
      </c>
      <c r="L238" t="e" cm="1">
        <f t="array" aca="1" ref="L238" ca="1">IF(OR(A238="",B238="safety"),"",INDIRECT("template!"&amp;"I"&amp;A238))</f>
        <v>#REF!</v>
      </c>
      <c r="M238" t="e" cm="1">
        <f t="array" aca="1" ref="M238" ca="1">IF(OR(A238="",B238="safety"),"",INDIRECT("template!"&amp;"J"&amp;A238))</f>
        <v>#REF!</v>
      </c>
      <c r="N238" t="e" cm="1">
        <f t="array" aca="1" ref="N238" ca="1">IF(OR(A238="",B238="safety"),"",IF(ISBLANK(INDIRECT("template!"&amp;"K"&amp;A238)),"",INDIRECT("template!"&amp;"K"&amp;A238)))</f>
        <v>#REF!</v>
      </c>
      <c r="O238" t="e" cm="1">
        <f t="array" aca="1" ref="O238" ca="1">IF(OR(A238="",B238="safety"),"",INDIRECT("template!"&amp;"L"&amp;A238))</f>
        <v>#REF!</v>
      </c>
      <c r="P238" t="e" cm="1">
        <f t="array" aca="1" ref="P238" ca="1">IF(OR(A238="",B238="safety"),"",INDIRECT("template!"&amp;"M"&amp;A238))</f>
        <v>#REF!</v>
      </c>
      <c r="Q238" t="e">
        <f t="shared" ca="1" si="16"/>
        <v>#REF!</v>
      </c>
      <c r="R238" t="e">
        <f t="shared" ca="1" si="17"/>
        <v>#REF!</v>
      </c>
      <c r="S238" t="e">
        <f t="shared" ca="1" si="18"/>
        <v>#REF!</v>
      </c>
      <c r="T238" t="e">
        <f t="shared" ca="1" si="19"/>
        <v>#REF!</v>
      </c>
      <c r="U238" t="e" cm="1">
        <f t="array" aca="1" ref="U238" ca="1">IF(A238="","",IF(E238="","",IF(B238="safety",INDIRECT("template!"&amp;"P"&amp;A238),Q238+R238)))</f>
        <v>#REF!</v>
      </c>
      <c r="V238" t="e" cm="1">
        <f t="array" aca="1" ref="V238" ca="1">IF(A238="","",IF(E238="","",IF(B238="safety",INDIRECT("template!"&amp;"P"&amp;A238),S238+T238)))</f>
        <v>#REF!</v>
      </c>
      <c r="W238" t="e">
        <f ca="1">IF(A238="","",IF(E238="","",#REF!))</f>
        <v>#REF!</v>
      </c>
      <c r="X238" t="e">
        <f ca="1">IF(A238="","",IF(E238="","",#REF!))</f>
        <v>#REF!</v>
      </c>
      <c r="Y238" s="39" t="e">
        <f ca="1">IF(A238="","",IF(E238="","",#REF!))</f>
        <v>#REF!</v>
      </c>
      <c r="Z238" t="e">
        <f ca="1">IF(A238="","",IF(E238="","",#REF!))</f>
        <v>#REF!</v>
      </c>
      <c r="AA238" t="e">
        <f ca="1">IF(A238="","",IF(E238="","",#REF!))</f>
        <v>#REF!</v>
      </c>
      <c r="AB238" t="e">
        <f ca="1">IF(A238="","",IF(E238="","",#REF!))</f>
        <v>#REF!</v>
      </c>
      <c r="AC238" t="e">
        <f t="shared" ca="1" si="20"/>
        <v>#REF!</v>
      </c>
    </row>
    <row r="239" spans="1:29" x14ac:dyDescent="0.35">
      <c r="A239" t="e" cm="1">
        <f t="array" aca="1" ref="A239" ca="1">IF(A238="","",IF(OR(AND(A238+1&gt;=$AF$1,A238+1&lt;=$AF$2),AND(A238+1&gt;=$AF$6,A238+1&lt;=$AF$7),AND(A238+1&gt;=$AF$3,A238+1&lt;=$AF$4),AND(A238+1&gt;=$AF$8,A238+1&lt;=$AF$9),A238+1=$AF$5),IF(NOT(ISBLANK(INDIRECT("template!"&amp;"P"&amp;A238+1))),A238+1,IF(NOT(ISBLANK(INDIRECT("template!"&amp;"P"&amp;A238+2))),A238+2,A238+3)),IF(A238=$AF$2,$AF$3,IF(A238=$AF$4,$AF$5,IF(A238=$AF$5,$AF$6,IF(A238=$AF$7,$AF$8,""))))))</f>
        <v>#REF!</v>
      </c>
      <c r="B239" t="e">
        <f t="shared" ca="1" si="0"/>
        <v>#REF!</v>
      </c>
      <c r="C239" t="e" cm="1">
        <f t="array" aca="1" ref="C239" ca="1">IF(A239="","",IF(B239="safety","safety costs",INDIRECT("template!"&amp;"B"&amp;A239)))</f>
        <v>#REF!</v>
      </c>
      <c r="D239" t="e" cm="1">
        <f t="array" aca="1" ref="D239" ca="1">IF(OR(A239="",B239="safety"),"",INDIRECT("template!"&amp;"C"&amp;A239))</f>
        <v>#REF!</v>
      </c>
      <c r="E239" t="e" cm="1">
        <f t="array" aca="1" ref="E239" ca="1">IF(A239="","",IF(OR(A239=A238+1,A239=A238+2),E238,INDIRECT("template!"&amp;"D"&amp;A239-2)))</f>
        <v>#REF!</v>
      </c>
      <c r="F239" t="e" cm="1">
        <f t="array" aca="1" ref="F239" ca="1">IF(OR(A239="",B239="safety"),"",IF(ISBLANK(IF(A239=A238+1,F238,INDIRECT("template!"&amp;"D"&amp;A239-1))),"",IF(A239=A238+1,F238,INDIRECT("template!"&amp;"D"&amp;A239-1))))</f>
        <v>#REF!</v>
      </c>
      <c r="G239" t="e" cm="1">
        <f t="array" aca="1" ref="G239" ca="1">IF(OR(A239="",B239="safety"),"",IF(ISBLANK(INDIRECT("template!"&amp;"D"&amp;A239)),"",INDIRECT("template!"&amp;"D"&amp;A239)))</f>
        <v>#REF!</v>
      </c>
      <c r="H239" t="e" cm="1">
        <f t="array" aca="1" ref="H239" ca="1">IF(OR(A239="",B239="safety"),"",IF(ISBLANK(INDIRECT("template!"&amp;"E"&amp;A239)),"",INDIRECT("template!"&amp;"E"&amp;A239)))</f>
        <v>#REF!</v>
      </c>
      <c r="I239" t="e" cm="1">
        <f t="array" aca="1" ref="I239" ca="1">IF(OR(A239="",B239="safety"),"",IF(ISBLANK(INDIRECT("template!"&amp;"F"&amp;A239)),"",INDIRECT("template!"&amp;"F"&amp;A239)))</f>
        <v>#REF!</v>
      </c>
      <c r="J239" t="e" cm="1">
        <f t="array" aca="1" ref="J239" ca="1">IF(OR(A239="",B239="safety"),"",IF(ISBLANK(INDIRECT("template!"&amp;"G"&amp;A239)),"",INDIRECT("template!"&amp;"G"&amp;A239)))</f>
        <v>#REF!</v>
      </c>
      <c r="K239" t="e" cm="1">
        <f t="array" aca="1" ref="K239" ca="1">IF(OR(A239="",B239="safety"),"",IF(ISBLANK(INDIRECT("template!"&amp;"H"&amp;A239)),"",INDIRECT("template!"&amp;"H"&amp;A239)))</f>
        <v>#REF!</v>
      </c>
      <c r="L239" t="e" cm="1">
        <f t="array" aca="1" ref="L239" ca="1">IF(OR(A239="",B239="safety"),"",INDIRECT("template!"&amp;"I"&amp;A239))</f>
        <v>#REF!</v>
      </c>
      <c r="M239" t="e" cm="1">
        <f t="array" aca="1" ref="M239" ca="1">IF(OR(A239="",B239="safety"),"",INDIRECT("template!"&amp;"J"&amp;A239))</f>
        <v>#REF!</v>
      </c>
      <c r="N239" t="e" cm="1">
        <f t="array" aca="1" ref="N239" ca="1">IF(OR(A239="",B239="safety"),"",IF(ISBLANK(INDIRECT("template!"&amp;"K"&amp;A239)),"",INDIRECT("template!"&amp;"K"&amp;A239)))</f>
        <v>#REF!</v>
      </c>
      <c r="O239" t="e" cm="1">
        <f t="array" aca="1" ref="O239" ca="1">IF(OR(A239="",B239="safety"),"",INDIRECT("template!"&amp;"L"&amp;A239))</f>
        <v>#REF!</v>
      </c>
      <c r="P239" t="e" cm="1">
        <f t="array" aca="1" ref="P239" ca="1">IF(OR(A239="",B239="safety"),"",INDIRECT("template!"&amp;"M"&amp;A239))</f>
        <v>#REF!</v>
      </c>
      <c r="Q239" t="e">
        <f t="shared" ca="1" si="16"/>
        <v>#REF!</v>
      </c>
      <c r="R239" t="e">
        <f t="shared" ca="1" si="17"/>
        <v>#REF!</v>
      </c>
      <c r="S239" t="e">
        <f t="shared" ca="1" si="18"/>
        <v>#REF!</v>
      </c>
      <c r="T239" t="e">
        <f t="shared" ca="1" si="19"/>
        <v>#REF!</v>
      </c>
      <c r="U239" t="e" cm="1">
        <f t="array" aca="1" ref="U239" ca="1">IF(A239="","",IF(E239="","",IF(B239="safety",INDIRECT("template!"&amp;"P"&amp;A239),Q239+R239)))</f>
        <v>#REF!</v>
      </c>
      <c r="V239" t="e" cm="1">
        <f t="array" aca="1" ref="V239" ca="1">IF(A239="","",IF(E239="","",IF(B239="safety",INDIRECT("template!"&amp;"P"&amp;A239),S239+T239)))</f>
        <v>#REF!</v>
      </c>
      <c r="W239" t="e">
        <f ca="1">IF(A239="","",IF(E239="","",#REF!))</f>
        <v>#REF!</v>
      </c>
      <c r="X239" t="e">
        <f ca="1">IF(A239="","",IF(E239="","",#REF!))</f>
        <v>#REF!</v>
      </c>
      <c r="Y239" s="39" t="e">
        <f ca="1">IF(A239="","",IF(E239="","",#REF!))</f>
        <v>#REF!</v>
      </c>
      <c r="Z239" t="e">
        <f ca="1">IF(A239="","",IF(E239="","",#REF!))</f>
        <v>#REF!</v>
      </c>
      <c r="AA239" t="e">
        <f ca="1">IF(A239="","",IF(E239="","",#REF!))</f>
        <v>#REF!</v>
      </c>
      <c r="AB239" t="e">
        <f ca="1">IF(A239="","",IF(E239="","",#REF!))</f>
        <v>#REF!</v>
      </c>
      <c r="AC239" t="e">
        <f t="shared" ca="1" si="20"/>
        <v>#REF!</v>
      </c>
    </row>
    <row r="240" spans="1:29" x14ac:dyDescent="0.35">
      <c r="A240" t="e" cm="1">
        <f t="array" aca="1" ref="A240" ca="1">IF(A239="","",IF(OR(AND(A239+1&gt;=$AF$1,A239+1&lt;=$AF$2),AND(A239+1&gt;=$AF$6,A239+1&lt;=$AF$7),AND(A239+1&gt;=$AF$3,A239+1&lt;=$AF$4),AND(A239+1&gt;=$AF$8,A239+1&lt;=$AF$9),A239+1=$AF$5),IF(NOT(ISBLANK(INDIRECT("template!"&amp;"P"&amp;A239+1))),A239+1,IF(NOT(ISBLANK(INDIRECT("template!"&amp;"P"&amp;A239+2))),A239+2,A239+3)),IF(A239=$AF$2,$AF$3,IF(A239=$AF$4,$AF$5,IF(A239=$AF$5,$AF$6,IF(A239=$AF$7,$AF$8,""))))))</f>
        <v>#REF!</v>
      </c>
      <c r="B240" t="e">
        <f t="shared" ca="1" si="0"/>
        <v>#REF!</v>
      </c>
      <c r="C240" t="e" cm="1">
        <f t="array" aca="1" ref="C240" ca="1">IF(A240="","",IF(B240="safety","safety costs",INDIRECT("template!"&amp;"B"&amp;A240)))</f>
        <v>#REF!</v>
      </c>
      <c r="D240" t="e" cm="1">
        <f t="array" aca="1" ref="D240" ca="1">IF(OR(A240="",B240="safety"),"",INDIRECT("template!"&amp;"C"&amp;A240))</f>
        <v>#REF!</v>
      </c>
      <c r="E240" t="e" cm="1">
        <f t="array" aca="1" ref="E240" ca="1">IF(A240="","",IF(OR(A240=A239+1,A240=A239+2),E239,INDIRECT("template!"&amp;"D"&amp;A240-2)))</f>
        <v>#REF!</v>
      </c>
      <c r="F240" t="e" cm="1">
        <f t="array" aca="1" ref="F240" ca="1">IF(OR(A240="",B240="safety"),"",IF(ISBLANK(IF(A240=A239+1,F239,INDIRECT("template!"&amp;"D"&amp;A240-1))),"",IF(A240=A239+1,F239,INDIRECT("template!"&amp;"D"&amp;A240-1))))</f>
        <v>#REF!</v>
      </c>
      <c r="G240" t="e" cm="1">
        <f t="array" aca="1" ref="G240" ca="1">IF(OR(A240="",B240="safety"),"",IF(ISBLANK(INDIRECT("template!"&amp;"D"&amp;A240)),"",INDIRECT("template!"&amp;"D"&amp;A240)))</f>
        <v>#REF!</v>
      </c>
      <c r="H240" t="e" cm="1">
        <f t="array" aca="1" ref="H240" ca="1">IF(OR(A240="",B240="safety"),"",IF(ISBLANK(INDIRECT("template!"&amp;"E"&amp;A240)),"",INDIRECT("template!"&amp;"E"&amp;A240)))</f>
        <v>#REF!</v>
      </c>
      <c r="I240" t="e" cm="1">
        <f t="array" aca="1" ref="I240" ca="1">IF(OR(A240="",B240="safety"),"",IF(ISBLANK(INDIRECT("template!"&amp;"F"&amp;A240)),"",INDIRECT("template!"&amp;"F"&amp;A240)))</f>
        <v>#REF!</v>
      </c>
      <c r="J240" t="e" cm="1">
        <f t="array" aca="1" ref="J240" ca="1">IF(OR(A240="",B240="safety"),"",IF(ISBLANK(INDIRECT("template!"&amp;"G"&amp;A240)),"",INDIRECT("template!"&amp;"G"&amp;A240)))</f>
        <v>#REF!</v>
      </c>
      <c r="K240" t="e" cm="1">
        <f t="array" aca="1" ref="K240" ca="1">IF(OR(A240="",B240="safety"),"",IF(ISBLANK(INDIRECT("template!"&amp;"H"&amp;A240)),"",INDIRECT("template!"&amp;"H"&amp;A240)))</f>
        <v>#REF!</v>
      </c>
      <c r="L240" t="e" cm="1">
        <f t="array" aca="1" ref="L240" ca="1">IF(OR(A240="",B240="safety"),"",INDIRECT("template!"&amp;"I"&amp;A240))</f>
        <v>#REF!</v>
      </c>
      <c r="M240" t="e" cm="1">
        <f t="array" aca="1" ref="M240" ca="1">IF(OR(A240="",B240="safety"),"",INDIRECT("template!"&amp;"J"&amp;A240))</f>
        <v>#REF!</v>
      </c>
      <c r="N240" t="e" cm="1">
        <f t="array" aca="1" ref="N240" ca="1">IF(OR(A240="",B240="safety"),"",IF(ISBLANK(INDIRECT("template!"&amp;"K"&amp;A240)),"",INDIRECT("template!"&amp;"K"&amp;A240)))</f>
        <v>#REF!</v>
      </c>
      <c r="O240" t="e" cm="1">
        <f t="array" aca="1" ref="O240" ca="1">IF(OR(A240="",B240="safety"),"",INDIRECT("template!"&amp;"L"&amp;A240))</f>
        <v>#REF!</v>
      </c>
      <c r="P240" t="e" cm="1">
        <f t="array" aca="1" ref="P240" ca="1">IF(OR(A240="",B240="safety"),"",INDIRECT("template!"&amp;"M"&amp;A240))</f>
        <v>#REF!</v>
      </c>
      <c r="Q240" t="e">
        <f t="shared" ca="1" si="16"/>
        <v>#REF!</v>
      </c>
      <c r="R240" t="e">
        <f t="shared" ca="1" si="17"/>
        <v>#REF!</v>
      </c>
      <c r="S240" t="e">
        <f t="shared" ca="1" si="18"/>
        <v>#REF!</v>
      </c>
      <c r="T240" t="e">
        <f t="shared" ca="1" si="19"/>
        <v>#REF!</v>
      </c>
      <c r="U240" t="e" cm="1">
        <f t="array" aca="1" ref="U240" ca="1">IF(A240="","",IF(E240="","",IF(B240="safety",INDIRECT("template!"&amp;"P"&amp;A240),Q240+R240)))</f>
        <v>#REF!</v>
      </c>
      <c r="V240" t="e" cm="1">
        <f t="array" aca="1" ref="V240" ca="1">IF(A240="","",IF(E240="","",IF(B240="safety",INDIRECT("template!"&amp;"P"&amp;A240),S240+T240)))</f>
        <v>#REF!</v>
      </c>
      <c r="W240" t="e">
        <f ca="1">IF(A240="","",IF(E240="","",#REF!))</f>
        <v>#REF!</v>
      </c>
      <c r="X240" t="e">
        <f ca="1">IF(A240="","",IF(E240="","",#REF!))</f>
        <v>#REF!</v>
      </c>
      <c r="Y240" s="39" t="e">
        <f ca="1">IF(A240="","",IF(E240="","",#REF!))</f>
        <v>#REF!</v>
      </c>
      <c r="Z240" t="e">
        <f ca="1">IF(A240="","",IF(E240="","",#REF!))</f>
        <v>#REF!</v>
      </c>
      <c r="AA240" t="e">
        <f ca="1">IF(A240="","",IF(E240="","",#REF!))</f>
        <v>#REF!</v>
      </c>
      <c r="AB240" t="e">
        <f ca="1">IF(A240="","",IF(E240="","",#REF!))</f>
        <v>#REF!</v>
      </c>
      <c r="AC240" t="e">
        <f t="shared" ca="1" si="20"/>
        <v>#REF!</v>
      </c>
    </row>
    <row r="241" spans="1:29" x14ac:dyDescent="0.35">
      <c r="A241" t="e" cm="1">
        <f t="array" aca="1" ref="A241" ca="1">IF(A240="","",IF(OR(AND(A240+1&gt;=$AF$1,A240+1&lt;=$AF$2),AND(A240+1&gt;=$AF$6,A240+1&lt;=$AF$7),AND(A240+1&gt;=$AF$3,A240+1&lt;=$AF$4),AND(A240+1&gt;=$AF$8,A240+1&lt;=$AF$9),A240+1=$AF$5),IF(NOT(ISBLANK(INDIRECT("template!"&amp;"P"&amp;A240+1))),A240+1,IF(NOT(ISBLANK(INDIRECT("template!"&amp;"P"&amp;A240+2))),A240+2,A240+3)),IF(A240=$AF$2,$AF$3,IF(A240=$AF$4,$AF$5,IF(A240=$AF$5,$AF$6,IF(A240=$AF$7,$AF$8,""))))))</f>
        <v>#REF!</v>
      </c>
      <c r="B241" t="e">
        <f t="shared" ca="1" si="0"/>
        <v>#REF!</v>
      </c>
      <c r="C241" t="e" cm="1">
        <f t="array" aca="1" ref="C241" ca="1">IF(A241="","",IF(B241="safety","safety costs",INDIRECT("template!"&amp;"B"&amp;A241)))</f>
        <v>#REF!</v>
      </c>
      <c r="D241" t="e" cm="1">
        <f t="array" aca="1" ref="D241" ca="1">IF(OR(A241="",B241="safety"),"",INDIRECT("template!"&amp;"C"&amp;A241))</f>
        <v>#REF!</v>
      </c>
      <c r="E241" t="e" cm="1">
        <f t="array" aca="1" ref="E241" ca="1">IF(A241="","",IF(OR(A241=A240+1,A241=A240+2),E240,INDIRECT("template!"&amp;"D"&amp;A241-2)))</f>
        <v>#REF!</v>
      </c>
      <c r="F241" t="e" cm="1">
        <f t="array" aca="1" ref="F241" ca="1">IF(OR(A241="",B241="safety"),"",IF(ISBLANK(IF(A241=A240+1,F240,INDIRECT("template!"&amp;"D"&amp;A241-1))),"",IF(A241=A240+1,F240,INDIRECT("template!"&amp;"D"&amp;A241-1))))</f>
        <v>#REF!</v>
      </c>
      <c r="G241" t="e" cm="1">
        <f t="array" aca="1" ref="G241" ca="1">IF(OR(A241="",B241="safety"),"",IF(ISBLANK(INDIRECT("template!"&amp;"D"&amp;A241)),"",INDIRECT("template!"&amp;"D"&amp;A241)))</f>
        <v>#REF!</v>
      </c>
      <c r="H241" t="e" cm="1">
        <f t="array" aca="1" ref="H241" ca="1">IF(OR(A241="",B241="safety"),"",IF(ISBLANK(INDIRECT("template!"&amp;"E"&amp;A241)),"",INDIRECT("template!"&amp;"E"&amp;A241)))</f>
        <v>#REF!</v>
      </c>
      <c r="I241" t="e" cm="1">
        <f t="array" aca="1" ref="I241" ca="1">IF(OR(A241="",B241="safety"),"",IF(ISBLANK(INDIRECT("template!"&amp;"F"&amp;A241)),"",INDIRECT("template!"&amp;"F"&amp;A241)))</f>
        <v>#REF!</v>
      </c>
      <c r="J241" t="e" cm="1">
        <f t="array" aca="1" ref="J241" ca="1">IF(OR(A241="",B241="safety"),"",IF(ISBLANK(INDIRECT("template!"&amp;"G"&amp;A241)),"",INDIRECT("template!"&amp;"G"&amp;A241)))</f>
        <v>#REF!</v>
      </c>
      <c r="K241" t="e" cm="1">
        <f t="array" aca="1" ref="K241" ca="1">IF(OR(A241="",B241="safety"),"",IF(ISBLANK(INDIRECT("template!"&amp;"H"&amp;A241)),"",INDIRECT("template!"&amp;"H"&amp;A241)))</f>
        <v>#REF!</v>
      </c>
      <c r="L241" t="e" cm="1">
        <f t="array" aca="1" ref="L241" ca="1">IF(OR(A241="",B241="safety"),"",INDIRECT("template!"&amp;"I"&amp;A241))</f>
        <v>#REF!</v>
      </c>
      <c r="M241" t="e" cm="1">
        <f t="array" aca="1" ref="M241" ca="1">IF(OR(A241="",B241="safety"),"",INDIRECT("template!"&amp;"J"&amp;A241))</f>
        <v>#REF!</v>
      </c>
      <c r="N241" t="e" cm="1">
        <f t="array" aca="1" ref="N241" ca="1">IF(OR(A241="",B241="safety"),"",IF(ISBLANK(INDIRECT("template!"&amp;"K"&amp;A241)),"",INDIRECT("template!"&amp;"K"&amp;A241)))</f>
        <v>#REF!</v>
      </c>
      <c r="O241" t="e" cm="1">
        <f t="array" aca="1" ref="O241" ca="1">IF(OR(A241="",B241="safety"),"",INDIRECT("template!"&amp;"L"&amp;A241))</f>
        <v>#REF!</v>
      </c>
      <c r="P241" t="e" cm="1">
        <f t="array" aca="1" ref="P241" ca="1">IF(OR(A241="",B241="safety"),"",INDIRECT("template!"&amp;"M"&amp;A241))</f>
        <v>#REF!</v>
      </c>
      <c r="Q241" t="e">
        <f t="shared" ca="1" si="16"/>
        <v>#REF!</v>
      </c>
      <c r="R241" t="e">
        <f t="shared" ca="1" si="17"/>
        <v>#REF!</v>
      </c>
      <c r="S241" t="e">
        <f t="shared" ca="1" si="18"/>
        <v>#REF!</v>
      </c>
      <c r="T241" t="e">
        <f t="shared" ca="1" si="19"/>
        <v>#REF!</v>
      </c>
      <c r="U241" t="e" cm="1">
        <f t="array" aca="1" ref="U241" ca="1">IF(A241="","",IF(E241="","",IF(B241="safety",INDIRECT("template!"&amp;"P"&amp;A241),Q241+R241)))</f>
        <v>#REF!</v>
      </c>
      <c r="V241" t="e" cm="1">
        <f t="array" aca="1" ref="V241" ca="1">IF(A241="","",IF(E241="","",IF(B241="safety",INDIRECT("template!"&amp;"P"&amp;A241),S241+T241)))</f>
        <v>#REF!</v>
      </c>
      <c r="W241" t="e">
        <f ca="1">IF(A241="","",IF(E241="","",#REF!))</f>
        <v>#REF!</v>
      </c>
      <c r="X241" t="e">
        <f ca="1">IF(A241="","",IF(E241="","",#REF!))</f>
        <v>#REF!</v>
      </c>
      <c r="Y241" s="39" t="e">
        <f ca="1">IF(A241="","",IF(E241="","",#REF!))</f>
        <v>#REF!</v>
      </c>
      <c r="Z241" t="e">
        <f ca="1">IF(A241="","",IF(E241="","",#REF!))</f>
        <v>#REF!</v>
      </c>
      <c r="AA241" t="e">
        <f ca="1">IF(A241="","",IF(E241="","",#REF!))</f>
        <v>#REF!</v>
      </c>
      <c r="AB241" t="e">
        <f ca="1">IF(A241="","",IF(E241="","",#REF!))</f>
        <v>#REF!</v>
      </c>
      <c r="AC241" t="e">
        <f t="shared" ca="1" si="20"/>
        <v>#REF!</v>
      </c>
    </row>
    <row r="242" spans="1:29" x14ac:dyDescent="0.35">
      <c r="A242" t="e" cm="1">
        <f t="array" aca="1" ref="A242" ca="1">IF(A241="","",IF(OR(AND(A241+1&gt;=$AF$1,A241+1&lt;=$AF$2),AND(A241+1&gt;=$AF$6,A241+1&lt;=$AF$7),AND(A241+1&gt;=$AF$3,A241+1&lt;=$AF$4),AND(A241+1&gt;=$AF$8,A241+1&lt;=$AF$9),A241+1=$AF$5),IF(NOT(ISBLANK(INDIRECT("template!"&amp;"P"&amp;A241+1))),A241+1,IF(NOT(ISBLANK(INDIRECT("template!"&amp;"P"&amp;A241+2))),A241+2,A241+3)),IF(A241=$AF$2,$AF$3,IF(A241=$AF$4,$AF$5,IF(A241=$AF$5,$AF$6,IF(A241=$AF$7,$AF$8,""))))))</f>
        <v>#REF!</v>
      </c>
      <c r="B242" t="e">
        <f t="shared" ca="1" si="0"/>
        <v>#REF!</v>
      </c>
      <c r="C242" t="e" cm="1">
        <f t="array" aca="1" ref="C242" ca="1">IF(A242="","",IF(B242="safety","safety costs",INDIRECT("template!"&amp;"B"&amp;A242)))</f>
        <v>#REF!</v>
      </c>
      <c r="D242" t="e" cm="1">
        <f t="array" aca="1" ref="D242" ca="1">IF(OR(A242="",B242="safety"),"",INDIRECT("template!"&amp;"C"&amp;A242))</f>
        <v>#REF!</v>
      </c>
      <c r="E242" t="e" cm="1">
        <f t="array" aca="1" ref="E242" ca="1">IF(A242="","",IF(OR(A242=A241+1,A242=A241+2),E241,INDIRECT("template!"&amp;"D"&amp;A242-2)))</f>
        <v>#REF!</v>
      </c>
      <c r="F242" t="e" cm="1">
        <f t="array" aca="1" ref="F242" ca="1">IF(OR(A242="",B242="safety"),"",IF(ISBLANK(IF(A242=A241+1,F241,INDIRECT("template!"&amp;"D"&amp;A242-1))),"",IF(A242=A241+1,F241,INDIRECT("template!"&amp;"D"&amp;A242-1))))</f>
        <v>#REF!</v>
      </c>
      <c r="G242" t="e" cm="1">
        <f t="array" aca="1" ref="G242" ca="1">IF(OR(A242="",B242="safety"),"",IF(ISBLANK(INDIRECT("template!"&amp;"D"&amp;A242)),"",INDIRECT("template!"&amp;"D"&amp;A242)))</f>
        <v>#REF!</v>
      </c>
      <c r="H242" t="e" cm="1">
        <f t="array" aca="1" ref="H242" ca="1">IF(OR(A242="",B242="safety"),"",IF(ISBLANK(INDIRECT("template!"&amp;"E"&amp;A242)),"",INDIRECT("template!"&amp;"E"&amp;A242)))</f>
        <v>#REF!</v>
      </c>
      <c r="I242" t="e" cm="1">
        <f t="array" aca="1" ref="I242" ca="1">IF(OR(A242="",B242="safety"),"",IF(ISBLANK(INDIRECT("template!"&amp;"F"&amp;A242)),"",INDIRECT("template!"&amp;"F"&amp;A242)))</f>
        <v>#REF!</v>
      </c>
      <c r="J242" t="e" cm="1">
        <f t="array" aca="1" ref="J242" ca="1">IF(OR(A242="",B242="safety"),"",IF(ISBLANK(INDIRECT("template!"&amp;"G"&amp;A242)),"",INDIRECT("template!"&amp;"G"&amp;A242)))</f>
        <v>#REF!</v>
      </c>
      <c r="K242" t="e" cm="1">
        <f t="array" aca="1" ref="K242" ca="1">IF(OR(A242="",B242="safety"),"",IF(ISBLANK(INDIRECT("template!"&amp;"H"&amp;A242)),"",INDIRECT("template!"&amp;"H"&amp;A242)))</f>
        <v>#REF!</v>
      </c>
      <c r="L242" t="e" cm="1">
        <f t="array" aca="1" ref="L242" ca="1">IF(OR(A242="",B242="safety"),"",INDIRECT("template!"&amp;"I"&amp;A242))</f>
        <v>#REF!</v>
      </c>
      <c r="M242" t="e" cm="1">
        <f t="array" aca="1" ref="M242" ca="1">IF(OR(A242="",B242="safety"),"",INDIRECT("template!"&amp;"J"&amp;A242))</f>
        <v>#REF!</v>
      </c>
      <c r="N242" t="e" cm="1">
        <f t="array" aca="1" ref="N242" ca="1">IF(OR(A242="",B242="safety"),"",IF(ISBLANK(INDIRECT("template!"&amp;"K"&amp;A242)),"",INDIRECT("template!"&amp;"K"&amp;A242)))</f>
        <v>#REF!</v>
      </c>
      <c r="O242" t="e" cm="1">
        <f t="array" aca="1" ref="O242" ca="1">IF(OR(A242="",B242="safety"),"",INDIRECT("template!"&amp;"L"&amp;A242))</f>
        <v>#REF!</v>
      </c>
      <c r="P242" t="e" cm="1">
        <f t="array" aca="1" ref="P242" ca="1">IF(OR(A242="",B242="safety"),"",INDIRECT("template!"&amp;"M"&amp;A242))</f>
        <v>#REF!</v>
      </c>
      <c r="Q242" t="e">
        <f t="shared" ca="1" si="16"/>
        <v>#REF!</v>
      </c>
      <c r="R242" t="e">
        <f t="shared" ca="1" si="17"/>
        <v>#REF!</v>
      </c>
      <c r="S242" t="e">
        <f t="shared" ca="1" si="18"/>
        <v>#REF!</v>
      </c>
      <c r="T242" t="e">
        <f t="shared" ca="1" si="19"/>
        <v>#REF!</v>
      </c>
      <c r="U242" t="e" cm="1">
        <f t="array" aca="1" ref="U242" ca="1">IF(A242="","",IF(E242="","",IF(B242="safety",INDIRECT("template!"&amp;"P"&amp;A242),Q242+R242)))</f>
        <v>#REF!</v>
      </c>
      <c r="V242" t="e" cm="1">
        <f t="array" aca="1" ref="V242" ca="1">IF(A242="","",IF(E242="","",IF(B242="safety",INDIRECT("template!"&amp;"P"&amp;A242),S242+T242)))</f>
        <v>#REF!</v>
      </c>
      <c r="W242" t="e">
        <f ca="1">IF(A242="","",IF(E242="","",#REF!))</f>
        <v>#REF!</v>
      </c>
      <c r="X242" t="e">
        <f ca="1">IF(A242="","",IF(E242="","",#REF!))</f>
        <v>#REF!</v>
      </c>
      <c r="Y242" s="39" t="e">
        <f ca="1">IF(A242="","",IF(E242="","",#REF!))</f>
        <v>#REF!</v>
      </c>
      <c r="Z242" t="e">
        <f ca="1">IF(A242="","",IF(E242="","",#REF!))</f>
        <v>#REF!</v>
      </c>
      <c r="AA242" t="e">
        <f ca="1">IF(A242="","",IF(E242="","",#REF!))</f>
        <v>#REF!</v>
      </c>
      <c r="AB242" t="e">
        <f ca="1">IF(A242="","",IF(E242="","",#REF!))</f>
        <v>#REF!</v>
      </c>
      <c r="AC242" t="e">
        <f t="shared" ca="1" si="20"/>
        <v>#REF!</v>
      </c>
    </row>
    <row r="243" spans="1:29" x14ac:dyDescent="0.35">
      <c r="A243" t="e" cm="1">
        <f t="array" aca="1" ref="A243" ca="1">IF(A242="","",IF(OR(AND(A242+1&gt;=$AF$1,A242+1&lt;=$AF$2),AND(A242+1&gt;=$AF$6,A242+1&lt;=$AF$7),AND(A242+1&gt;=$AF$3,A242+1&lt;=$AF$4),AND(A242+1&gt;=$AF$8,A242+1&lt;=$AF$9),A242+1=$AF$5),IF(NOT(ISBLANK(INDIRECT("template!"&amp;"P"&amp;A242+1))),A242+1,IF(NOT(ISBLANK(INDIRECT("template!"&amp;"P"&amp;A242+2))),A242+2,A242+3)),IF(A242=$AF$2,$AF$3,IF(A242=$AF$4,$AF$5,IF(A242=$AF$5,$AF$6,IF(A242=$AF$7,$AF$8,""))))))</f>
        <v>#REF!</v>
      </c>
      <c r="B243" t="e">
        <f t="shared" ca="1" si="0"/>
        <v>#REF!</v>
      </c>
      <c r="C243" t="e" cm="1">
        <f t="array" aca="1" ref="C243" ca="1">IF(A243="","",IF(B243="safety","safety costs",INDIRECT("template!"&amp;"B"&amp;A243)))</f>
        <v>#REF!</v>
      </c>
      <c r="D243" t="e" cm="1">
        <f t="array" aca="1" ref="D243" ca="1">IF(OR(A243="",B243="safety"),"",INDIRECT("template!"&amp;"C"&amp;A243))</f>
        <v>#REF!</v>
      </c>
      <c r="E243" t="e" cm="1">
        <f t="array" aca="1" ref="E243" ca="1">IF(A243="","",IF(OR(A243=A242+1,A243=A242+2),E242,INDIRECT("template!"&amp;"D"&amp;A243-2)))</f>
        <v>#REF!</v>
      </c>
      <c r="F243" t="e" cm="1">
        <f t="array" aca="1" ref="F243" ca="1">IF(OR(A243="",B243="safety"),"",IF(ISBLANK(IF(A243=A242+1,F242,INDIRECT("template!"&amp;"D"&amp;A243-1))),"",IF(A243=A242+1,F242,INDIRECT("template!"&amp;"D"&amp;A243-1))))</f>
        <v>#REF!</v>
      </c>
      <c r="G243" t="e" cm="1">
        <f t="array" aca="1" ref="G243" ca="1">IF(OR(A243="",B243="safety"),"",IF(ISBLANK(INDIRECT("template!"&amp;"D"&amp;A243)),"",INDIRECT("template!"&amp;"D"&amp;A243)))</f>
        <v>#REF!</v>
      </c>
      <c r="H243" t="e" cm="1">
        <f t="array" aca="1" ref="H243" ca="1">IF(OR(A243="",B243="safety"),"",IF(ISBLANK(INDIRECT("template!"&amp;"E"&amp;A243)),"",INDIRECT("template!"&amp;"E"&amp;A243)))</f>
        <v>#REF!</v>
      </c>
      <c r="I243" t="e" cm="1">
        <f t="array" aca="1" ref="I243" ca="1">IF(OR(A243="",B243="safety"),"",IF(ISBLANK(INDIRECT("template!"&amp;"F"&amp;A243)),"",INDIRECT("template!"&amp;"F"&amp;A243)))</f>
        <v>#REF!</v>
      </c>
      <c r="J243" t="e" cm="1">
        <f t="array" aca="1" ref="J243" ca="1">IF(OR(A243="",B243="safety"),"",IF(ISBLANK(INDIRECT("template!"&amp;"G"&amp;A243)),"",INDIRECT("template!"&amp;"G"&amp;A243)))</f>
        <v>#REF!</v>
      </c>
      <c r="K243" t="e" cm="1">
        <f t="array" aca="1" ref="K243" ca="1">IF(OR(A243="",B243="safety"),"",IF(ISBLANK(INDIRECT("template!"&amp;"H"&amp;A243)),"",INDIRECT("template!"&amp;"H"&amp;A243)))</f>
        <v>#REF!</v>
      </c>
      <c r="L243" t="e" cm="1">
        <f t="array" aca="1" ref="L243" ca="1">IF(OR(A243="",B243="safety"),"",INDIRECT("template!"&amp;"I"&amp;A243))</f>
        <v>#REF!</v>
      </c>
      <c r="M243" t="e" cm="1">
        <f t="array" aca="1" ref="M243" ca="1">IF(OR(A243="",B243="safety"),"",INDIRECT("template!"&amp;"J"&amp;A243))</f>
        <v>#REF!</v>
      </c>
      <c r="N243" t="e" cm="1">
        <f t="array" aca="1" ref="N243" ca="1">IF(OR(A243="",B243="safety"),"",IF(ISBLANK(INDIRECT("template!"&amp;"K"&amp;A243)),"",INDIRECT("template!"&amp;"K"&amp;A243)))</f>
        <v>#REF!</v>
      </c>
      <c r="O243" t="e" cm="1">
        <f t="array" aca="1" ref="O243" ca="1">IF(OR(A243="",B243="safety"),"",INDIRECT("template!"&amp;"L"&amp;A243))</f>
        <v>#REF!</v>
      </c>
      <c r="P243" t="e" cm="1">
        <f t="array" aca="1" ref="P243" ca="1">IF(OR(A243="",B243="safety"),"",INDIRECT("template!"&amp;"M"&amp;A243))</f>
        <v>#REF!</v>
      </c>
      <c r="Q243" t="e">
        <f t="shared" ca="1" si="16"/>
        <v>#REF!</v>
      </c>
      <c r="R243" t="e">
        <f t="shared" ca="1" si="17"/>
        <v>#REF!</v>
      </c>
      <c r="S243" t="e">
        <f t="shared" ca="1" si="18"/>
        <v>#REF!</v>
      </c>
      <c r="T243" t="e">
        <f t="shared" ca="1" si="19"/>
        <v>#REF!</v>
      </c>
      <c r="U243" t="e" cm="1">
        <f t="array" aca="1" ref="U243" ca="1">IF(A243="","",IF(E243="","",IF(B243="safety",INDIRECT("template!"&amp;"P"&amp;A243),Q243+R243)))</f>
        <v>#REF!</v>
      </c>
      <c r="V243" t="e" cm="1">
        <f t="array" aca="1" ref="V243" ca="1">IF(A243="","",IF(E243="","",IF(B243="safety",INDIRECT("template!"&amp;"P"&amp;A243),S243+T243)))</f>
        <v>#REF!</v>
      </c>
      <c r="W243" t="e">
        <f ca="1">IF(A243="","",IF(E243="","",#REF!))</f>
        <v>#REF!</v>
      </c>
      <c r="X243" t="e">
        <f ca="1">IF(A243="","",IF(E243="","",#REF!))</f>
        <v>#REF!</v>
      </c>
      <c r="Y243" s="39" t="e">
        <f ca="1">IF(A243="","",IF(E243="","",#REF!))</f>
        <v>#REF!</v>
      </c>
      <c r="Z243" t="e">
        <f ca="1">IF(A243="","",IF(E243="","",#REF!))</f>
        <v>#REF!</v>
      </c>
      <c r="AA243" t="e">
        <f ca="1">IF(A243="","",IF(E243="","",#REF!))</f>
        <v>#REF!</v>
      </c>
      <c r="AB243" t="e">
        <f ca="1">IF(A243="","",IF(E243="","",#REF!))</f>
        <v>#REF!</v>
      </c>
      <c r="AC243" t="e">
        <f t="shared" ca="1" si="20"/>
        <v>#REF!</v>
      </c>
    </row>
    <row r="244" spans="1:29" x14ac:dyDescent="0.35">
      <c r="A244" t="e" cm="1">
        <f t="array" aca="1" ref="A244" ca="1">IF(A243="","",IF(OR(AND(A243+1&gt;=$AF$1,A243+1&lt;=$AF$2),AND(A243+1&gt;=$AF$6,A243+1&lt;=$AF$7),AND(A243+1&gt;=$AF$3,A243+1&lt;=$AF$4),AND(A243+1&gt;=$AF$8,A243+1&lt;=$AF$9),A243+1=$AF$5),IF(NOT(ISBLANK(INDIRECT("template!"&amp;"P"&amp;A243+1))),A243+1,IF(NOT(ISBLANK(INDIRECT("template!"&amp;"P"&amp;A243+2))),A243+2,A243+3)),IF(A243=$AF$2,$AF$3,IF(A243=$AF$4,$AF$5,IF(A243=$AF$5,$AF$6,IF(A243=$AF$7,$AF$8,""))))))</f>
        <v>#REF!</v>
      </c>
      <c r="B244" t="e">
        <f t="shared" ca="1" si="0"/>
        <v>#REF!</v>
      </c>
      <c r="C244" t="e" cm="1">
        <f t="array" aca="1" ref="C244" ca="1">IF(A244="","",IF(B244="safety","safety costs",INDIRECT("template!"&amp;"B"&amp;A244)))</f>
        <v>#REF!</v>
      </c>
      <c r="D244" t="e" cm="1">
        <f t="array" aca="1" ref="D244" ca="1">IF(OR(A244="",B244="safety"),"",INDIRECT("template!"&amp;"C"&amp;A244))</f>
        <v>#REF!</v>
      </c>
      <c r="E244" t="e" cm="1">
        <f t="array" aca="1" ref="E244" ca="1">IF(A244="","",IF(OR(A244=A243+1,A244=A243+2),E243,INDIRECT("template!"&amp;"D"&amp;A244-2)))</f>
        <v>#REF!</v>
      </c>
      <c r="F244" t="e" cm="1">
        <f t="array" aca="1" ref="F244" ca="1">IF(OR(A244="",B244="safety"),"",IF(ISBLANK(IF(A244=A243+1,F243,INDIRECT("template!"&amp;"D"&amp;A244-1))),"",IF(A244=A243+1,F243,INDIRECT("template!"&amp;"D"&amp;A244-1))))</f>
        <v>#REF!</v>
      </c>
      <c r="G244" t="e" cm="1">
        <f t="array" aca="1" ref="G244" ca="1">IF(OR(A244="",B244="safety"),"",IF(ISBLANK(INDIRECT("template!"&amp;"D"&amp;A244)),"",INDIRECT("template!"&amp;"D"&amp;A244)))</f>
        <v>#REF!</v>
      </c>
      <c r="H244" t="e" cm="1">
        <f t="array" aca="1" ref="H244" ca="1">IF(OR(A244="",B244="safety"),"",IF(ISBLANK(INDIRECT("template!"&amp;"E"&amp;A244)),"",INDIRECT("template!"&amp;"E"&amp;A244)))</f>
        <v>#REF!</v>
      </c>
      <c r="I244" t="e" cm="1">
        <f t="array" aca="1" ref="I244" ca="1">IF(OR(A244="",B244="safety"),"",IF(ISBLANK(INDIRECT("template!"&amp;"F"&amp;A244)),"",INDIRECT("template!"&amp;"F"&amp;A244)))</f>
        <v>#REF!</v>
      </c>
      <c r="J244" t="e" cm="1">
        <f t="array" aca="1" ref="J244" ca="1">IF(OR(A244="",B244="safety"),"",IF(ISBLANK(INDIRECT("template!"&amp;"G"&amp;A244)),"",INDIRECT("template!"&amp;"G"&amp;A244)))</f>
        <v>#REF!</v>
      </c>
      <c r="K244" t="e" cm="1">
        <f t="array" aca="1" ref="K244" ca="1">IF(OR(A244="",B244="safety"),"",IF(ISBLANK(INDIRECT("template!"&amp;"H"&amp;A244)),"",INDIRECT("template!"&amp;"H"&amp;A244)))</f>
        <v>#REF!</v>
      </c>
      <c r="L244" t="e" cm="1">
        <f t="array" aca="1" ref="L244" ca="1">IF(OR(A244="",B244="safety"),"",INDIRECT("template!"&amp;"I"&amp;A244))</f>
        <v>#REF!</v>
      </c>
      <c r="M244" t="e" cm="1">
        <f t="array" aca="1" ref="M244" ca="1">IF(OR(A244="",B244="safety"),"",INDIRECT("template!"&amp;"J"&amp;A244))</f>
        <v>#REF!</v>
      </c>
      <c r="N244" t="e" cm="1">
        <f t="array" aca="1" ref="N244" ca="1">IF(OR(A244="",B244="safety"),"",IF(ISBLANK(INDIRECT("template!"&amp;"K"&amp;A244)),"",INDIRECT("template!"&amp;"K"&amp;A244)))</f>
        <v>#REF!</v>
      </c>
      <c r="O244" t="e" cm="1">
        <f t="array" aca="1" ref="O244" ca="1">IF(OR(A244="",B244="safety"),"",INDIRECT("template!"&amp;"L"&amp;A244))</f>
        <v>#REF!</v>
      </c>
      <c r="P244" t="e" cm="1">
        <f t="array" aca="1" ref="P244" ca="1">IF(OR(A244="",B244="safety"),"",INDIRECT("template!"&amp;"M"&amp;A244))</f>
        <v>#REF!</v>
      </c>
      <c r="Q244" t="e">
        <f t="shared" ca="1" si="16"/>
        <v>#REF!</v>
      </c>
      <c r="R244" t="e">
        <f t="shared" ca="1" si="17"/>
        <v>#REF!</v>
      </c>
      <c r="S244" t="e">
        <f t="shared" ca="1" si="18"/>
        <v>#REF!</v>
      </c>
      <c r="T244" t="e">
        <f t="shared" ca="1" si="19"/>
        <v>#REF!</v>
      </c>
      <c r="U244" t="e" cm="1">
        <f t="array" aca="1" ref="U244" ca="1">IF(A244="","",IF(E244="","",IF(B244="safety",INDIRECT("template!"&amp;"P"&amp;A244),Q244+R244)))</f>
        <v>#REF!</v>
      </c>
      <c r="V244" t="e" cm="1">
        <f t="array" aca="1" ref="V244" ca="1">IF(A244="","",IF(E244="","",IF(B244="safety",INDIRECT("template!"&amp;"P"&amp;A244),S244+T244)))</f>
        <v>#REF!</v>
      </c>
      <c r="W244" t="e">
        <f ca="1">IF(A244="","",IF(E244="","",#REF!))</f>
        <v>#REF!</v>
      </c>
      <c r="X244" t="e">
        <f ca="1">IF(A244="","",IF(E244="","",#REF!))</f>
        <v>#REF!</v>
      </c>
      <c r="Y244" s="39" t="e">
        <f ca="1">IF(A244="","",IF(E244="","",#REF!))</f>
        <v>#REF!</v>
      </c>
      <c r="Z244" t="e">
        <f ca="1">IF(A244="","",IF(E244="","",#REF!))</f>
        <v>#REF!</v>
      </c>
      <c r="AA244" t="e">
        <f ca="1">IF(A244="","",IF(E244="","",#REF!))</f>
        <v>#REF!</v>
      </c>
      <c r="AB244" t="e">
        <f ca="1">IF(A244="","",IF(E244="","",#REF!))</f>
        <v>#REF!</v>
      </c>
      <c r="AC244" t="e">
        <f t="shared" ca="1" si="20"/>
        <v>#REF!</v>
      </c>
    </row>
    <row r="245" spans="1:29" x14ac:dyDescent="0.35">
      <c r="A245" t="e" cm="1">
        <f t="array" aca="1" ref="A245" ca="1">IF(A244="","",IF(OR(AND(A244+1&gt;=$AF$1,A244+1&lt;=$AF$2),AND(A244+1&gt;=$AF$6,A244+1&lt;=$AF$7),AND(A244+1&gt;=$AF$3,A244+1&lt;=$AF$4),AND(A244+1&gt;=$AF$8,A244+1&lt;=$AF$9),A244+1=$AF$5),IF(NOT(ISBLANK(INDIRECT("template!"&amp;"P"&amp;A244+1))),A244+1,IF(NOT(ISBLANK(INDIRECT("template!"&amp;"P"&amp;A244+2))),A244+2,A244+3)),IF(A244=$AF$2,$AF$3,IF(A244=$AF$4,$AF$5,IF(A244=$AF$5,$AF$6,IF(A244=$AF$7,$AF$8,""))))))</f>
        <v>#REF!</v>
      </c>
      <c r="B245" t="e">
        <f t="shared" ca="1" si="0"/>
        <v>#REF!</v>
      </c>
      <c r="C245" t="e" cm="1">
        <f t="array" aca="1" ref="C245" ca="1">IF(A245="","",IF(B245="safety","safety costs",INDIRECT("template!"&amp;"B"&amp;A245)))</f>
        <v>#REF!</v>
      </c>
      <c r="D245" t="e" cm="1">
        <f t="array" aca="1" ref="D245" ca="1">IF(OR(A245="",B245="safety"),"",INDIRECT("template!"&amp;"C"&amp;A245))</f>
        <v>#REF!</v>
      </c>
      <c r="E245" t="e" cm="1">
        <f t="array" aca="1" ref="E245" ca="1">IF(A245="","",IF(OR(A245=A244+1,A245=A244+2),E244,INDIRECT("template!"&amp;"D"&amp;A245-2)))</f>
        <v>#REF!</v>
      </c>
      <c r="F245" t="e" cm="1">
        <f t="array" aca="1" ref="F245" ca="1">IF(OR(A245="",B245="safety"),"",IF(ISBLANK(IF(A245=A244+1,F244,INDIRECT("template!"&amp;"D"&amp;A245-1))),"",IF(A245=A244+1,F244,INDIRECT("template!"&amp;"D"&amp;A245-1))))</f>
        <v>#REF!</v>
      </c>
      <c r="G245" t="e" cm="1">
        <f t="array" aca="1" ref="G245" ca="1">IF(OR(A245="",B245="safety"),"",IF(ISBLANK(INDIRECT("template!"&amp;"D"&amp;A245)),"",INDIRECT("template!"&amp;"D"&amp;A245)))</f>
        <v>#REF!</v>
      </c>
      <c r="H245" t="e" cm="1">
        <f t="array" aca="1" ref="H245" ca="1">IF(OR(A245="",B245="safety"),"",IF(ISBLANK(INDIRECT("template!"&amp;"E"&amp;A245)),"",INDIRECT("template!"&amp;"E"&amp;A245)))</f>
        <v>#REF!</v>
      </c>
      <c r="I245" t="e" cm="1">
        <f t="array" aca="1" ref="I245" ca="1">IF(OR(A245="",B245="safety"),"",IF(ISBLANK(INDIRECT("template!"&amp;"F"&amp;A245)),"",INDIRECT("template!"&amp;"F"&amp;A245)))</f>
        <v>#REF!</v>
      </c>
      <c r="J245" t="e" cm="1">
        <f t="array" aca="1" ref="J245" ca="1">IF(OR(A245="",B245="safety"),"",IF(ISBLANK(INDIRECT("template!"&amp;"G"&amp;A245)),"",INDIRECT("template!"&amp;"G"&amp;A245)))</f>
        <v>#REF!</v>
      </c>
      <c r="K245" t="e" cm="1">
        <f t="array" aca="1" ref="K245" ca="1">IF(OR(A245="",B245="safety"),"",IF(ISBLANK(INDIRECT("template!"&amp;"H"&amp;A245)),"",INDIRECT("template!"&amp;"H"&amp;A245)))</f>
        <v>#REF!</v>
      </c>
      <c r="L245" t="e" cm="1">
        <f t="array" aca="1" ref="L245" ca="1">IF(OR(A245="",B245="safety"),"",INDIRECT("template!"&amp;"I"&amp;A245))</f>
        <v>#REF!</v>
      </c>
      <c r="M245" t="e" cm="1">
        <f t="array" aca="1" ref="M245" ca="1">IF(OR(A245="",B245="safety"),"",INDIRECT("template!"&amp;"J"&amp;A245))</f>
        <v>#REF!</v>
      </c>
      <c r="N245" t="e" cm="1">
        <f t="array" aca="1" ref="N245" ca="1">IF(OR(A245="",B245="safety"),"",IF(ISBLANK(INDIRECT("template!"&amp;"K"&amp;A245)),"",INDIRECT("template!"&amp;"K"&amp;A245)))</f>
        <v>#REF!</v>
      </c>
      <c r="O245" t="e" cm="1">
        <f t="array" aca="1" ref="O245" ca="1">IF(OR(A245="",B245="safety"),"",INDIRECT("template!"&amp;"L"&amp;A245))</f>
        <v>#REF!</v>
      </c>
      <c r="P245" t="e" cm="1">
        <f t="array" aca="1" ref="P245" ca="1">IF(OR(A245="",B245="safety"),"",INDIRECT("template!"&amp;"M"&amp;A245))</f>
        <v>#REF!</v>
      </c>
      <c r="Q245" t="e">
        <f t="shared" ca="1" si="16"/>
        <v>#REF!</v>
      </c>
      <c r="R245" t="e">
        <f t="shared" ca="1" si="17"/>
        <v>#REF!</v>
      </c>
      <c r="S245" t="e">
        <f t="shared" ca="1" si="18"/>
        <v>#REF!</v>
      </c>
      <c r="T245" t="e">
        <f t="shared" ca="1" si="19"/>
        <v>#REF!</v>
      </c>
      <c r="U245" t="e" cm="1">
        <f t="array" aca="1" ref="U245" ca="1">IF(A245="","",IF(E245="","",IF(B245="safety",INDIRECT("template!"&amp;"P"&amp;A245),Q245+R245)))</f>
        <v>#REF!</v>
      </c>
      <c r="V245" t="e" cm="1">
        <f t="array" aca="1" ref="V245" ca="1">IF(A245="","",IF(E245="","",IF(B245="safety",INDIRECT("template!"&amp;"P"&amp;A245),S245+T245)))</f>
        <v>#REF!</v>
      </c>
      <c r="W245" t="e">
        <f ca="1">IF(A245="","",IF(E245="","",#REF!))</f>
        <v>#REF!</v>
      </c>
      <c r="X245" t="e">
        <f ca="1">IF(A245="","",IF(E245="","",#REF!))</f>
        <v>#REF!</v>
      </c>
      <c r="Y245" s="39" t="e">
        <f ca="1">IF(A245="","",IF(E245="","",#REF!))</f>
        <v>#REF!</v>
      </c>
      <c r="Z245" t="e">
        <f ca="1">IF(A245="","",IF(E245="","",#REF!))</f>
        <v>#REF!</v>
      </c>
      <c r="AA245" t="e">
        <f ca="1">IF(A245="","",IF(E245="","",#REF!))</f>
        <v>#REF!</v>
      </c>
      <c r="AB245" t="e">
        <f ca="1">IF(A245="","",IF(E245="","",#REF!))</f>
        <v>#REF!</v>
      </c>
      <c r="AC245" t="e">
        <f t="shared" ca="1" si="20"/>
        <v>#REF!</v>
      </c>
    </row>
    <row r="246" spans="1:29" x14ac:dyDescent="0.35">
      <c r="A246" t="e" cm="1">
        <f t="array" aca="1" ref="A246" ca="1">IF(A245="","",IF(OR(AND(A245+1&gt;=$AF$1,A245+1&lt;=$AF$2),AND(A245+1&gt;=$AF$6,A245+1&lt;=$AF$7),AND(A245+1&gt;=$AF$3,A245+1&lt;=$AF$4),AND(A245+1&gt;=$AF$8,A245+1&lt;=$AF$9),A245+1=$AF$5),IF(NOT(ISBLANK(INDIRECT("template!"&amp;"P"&amp;A245+1))),A245+1,IF(NOT(ISBLANK(INDIRECT("template!"&amp;"P"&amp;A245+2))),A245+2,A245+3)),IF(A245=$AF$2,$AF$3,IF(A245=$AF$4,$AF$5,IF(A245=$AF$5,$AF$6,IF(A245=$AF$7,$AF$8,""))))))</f>
        <v>#REF!</v>
      </c>
      <c r="B246" t="e">
        <f t="shared" ca="1" si="0"/>
        <v>#REF!</v>
      </c>
      <c r="C246" t="e" cm="1">
        <f t="array" aca="1" ref="C246" ca="1">IF(A246="","",IF(B246="safety","safety costs",INDIRECT("template!"&amp;"B"&amp;A246)))</f>
        <v>#REF!</v>
      </c>
      <c r="D246" t="e" cm="1">
        <f t="array" aca="1" ref="D246" ca="1">IF(OR(A246="",B246="safety"),"",INDIRECT("template!"&amp;"C"&amp;A246))</f>
        <v>#REF!</v>
      </c>
      <c r="E246" t="e" cm="1">
        <f t="array" aca="1" ref="E246" ca="1">IF(A246="","",IF(OR(A246=A245+1,A246=A245+2),E245,INDIRECT("template!"&amp;"D"&amp;A246-2)))</f>
        <v>#REF!</v>
      </c>
      <c r="F246" t="e" cm="1">
        <f t="array" aca="1" ref="F246" ca="1">IF(OR(A246="",B246="safety"),"",IF(ISBLANK(IF(A246=A245+1,F245,INDIRECT("template!"&amp;"D"&amp;A246-1))),"",IF(A246=A245+1,F245,INDIRECT("template!"&amp;"D"&amp;A246-1))))</f>
        <v>#REF!</v>
      </c>
      <c r="G246" t="e" cm="1">
        <f t="array" aca="1" ref="G246" ca="1">IF(OR(A246="",B246="safety"),"",IF(ISBLANK(INDIRECT("template!"&amp;"D"&amp;A246)),"",INDIRECT("template!"&amp;"D"&amp;A246)))</f>
        <v>#REF!</v>
      </c>
      <c r="H246" t="e" cm="1">
        <f t="array" aca="1" ref="H246" ca="1">IF(OR(A246="",B246="safety"),"",IF(ISBLANK(INDIRECT("template!"&amp;"E"&amp;A246)),"",INDIRECT("template!"&amp;"E"&amp;A246)))</f>
        <v>#REF!</v>
      </c>
      <c r="I246" t="e" cm="1">
        <f t="array" aca="1" ref="I246" ca="1">IF(OR(A246="",B246="safety"),"",IF(ISBLANK(INDIRECT("template!"&amp;"F"&amp;A246)),"",INDIRECT("template!"&amp;"F"&amp;A246)))</f>
        <v>#REF!</v>
      </c>
      <c r="J246" t="e" cm="1">
        <f t="array" aca="1" ref="J246" ca="1">IF(OR(A246="",B246="safety"),"",IF(ISBLANK(INDIRECT("template!"&amp;"G"&amp;A246)),"",INDIRECT("template!"&amp;"G"&amp;A246)))</f>
        <v>#REF!</v>
      </c>
      <c r="K246" t="e" cm="1">
        <f t="array" aca="1" ref="K246" ca="1">IF(OR(A246="",B246="safety"),"",IF(ISBLANK(INDIRECT("template!"&amp;"H"&amp;A246)),"",INDIRECT("template!"&amp;"H"&amp;A246)))</f>
        <v>#REF!</v>
      </c>
      <c r="L246" t="e" cm="1">
        <f t="array" aca="1" ref="L246" ca="1">IF(OR(A246="",B246="safety"),"",INDIRECT("template!"&amp;"I"&amp;A246))</f>
        <v>#REF!</v>
      </c>
      <c r="M246" t="e" cm="1">
        <f t="array" aca="1" ref="M246" ca="1">IF(OR(A246="",B246="safety"),"",INDIRECT("template!"&amp;"J"&amp;A246))</f>
        <v>#REF!</v>
      </c>
      <c r="N246" t="e" cm="1">
        <f t="array" aca="1" ref="N246" ca="1">IF(OR(A246="",B246="safety"),"",IF(ISBLANK(INDIRECT("template!"&amp;"K"&amp;A246)),"",INDIRECT("template!"&amp;"K"&amp;A246)))</f>
        <v>#REF!</v>
      </c>
      <c r="O246" t="e" cm="1">
        <f t="array" aca="1" ref="O246" ca="1">IF(OR(A246="",B246="safety"),"",INDIRECT("template!"&amp;"L"&amp;A246))</f>
        <v>#REF!</v>
      </c>
      <c r="P246" t="e" cm="1">
        <f t="array" aca="1" ref="P246" ca="1">IF(OR(A246="",B246="safety"),"",INDIRECT("template!"&amp;"M"&amp;A246))</f>
        <v>#REF!</v>
      </c>
      <c r="Q246" t="e">
        <f t="shared" ca="1" si="16"/>
        <v>#REF!</v>
      </c>
      <c r="R246" t="e">
        <f t="shared" ca="1" si="17"/>
        <v>#REF!</v>
      </c>
      <c r="S246" t="e">
        <f t="shared" ca="1" si="18"/>
        <v>#REF!</v>
      </c>
      <c r="T246" t="e">
        <f t="shared" ca="1" si="19"/>
        <v>#REF!</v>
      </c>
      <c r="U246" t="e" cm="1">
        <f t="array" aca="1" ref="U246" ca="1">IF(A246="","",IF(E246="","",IF(B246="safety",INDIRECT("template!"&amp;"P"&amp;A246),Q246+R246)))</f>
        <v>#REF!</v>
      </c>
      <c r="V246" t="e" cm="1">
        <f t="array" aca="1" ref="V246" ca="1">IF(A246="","",IF(E246="","",IF(B246="safety",INDIRECT("template!"&amp;"P"&amp;A246),S246+T246)))</f>
        <v>#REF!</v>
      </c>
      <c r="W246" t="e">
        <f ca="1">IF(A246="","",IF(E246="","",#REF!))</f>
        <v>#REF!</v>
      </c>
      <c r="X246" t="e">
        <f ca="1">IF(A246="","",IF(E246="","",#REF!))</f>
        <v>#REF!</v>
      </c>
      <c r="Y246" s="39" t="e">
        <f ca="1">IF(A246="","",IF(E246="","",#REF!))</f>
        <v>#REF!</v>
      </c>
      <c r="Z246" t="e">
        <f ca="1">IF(A246="","",IF(E246="","",#REF!))</f>
        <v>#REF!</v>
      </c>
      <c r="AA246" t="e">
        <f ca="1">IF(A246="","",IF(E246="","",#REF!))</f>
        <v>#REF!</v>
      </c>
      <c r="AB246" t="e">
        <f ca="1">IF(A246="","",IF(E246="","",#REF!))</f>
        <v>#REF!</v>
      </c>
      <c r="AC246" t="e">
        <f t="shared" ca="1" si="20"/>
        <v>#REF!</v>
      </c>
    </row>
    <row r="247" spans="1:29" x14ac:dyDescent="0.35">
      <c r="A247" t="e" cm="1">
        <f t="array" aca="1" ref="A247" ca="1">IF(A246="","",IF(OR(AND(A246+1&gt;=$AF$1,A246+1&lt;=$AF$2),AND(A246+1&gt;=$AF$6,A246+1&lt;=$AF$7),AND(A246+1&gt;=$AF$3,A246+1&lt;=$AF$4),AND(A246+1&gt;=$AF$8,A246+1&lt;=$AF$9),A246+1=$AF$5),IF(NOT(ISBLANK(INDIRECT("template!"&amp;"P"&amp;A246+1))),A246+1,IF(NOT(ISBLANK(INDIRECT("template!"&amp;"P"&amp;A246+2))),A246+2,A246+3)),IF(A246=$AF$2,$AF$3,IF(A246=$AF$4,$AF$5,IF(A246=$AF$5,$AF$6,IF(A246=$AF$7,$AF$8,""))))))</f>
        <v>#REF!</v>
      </c>
      <c r="B247" t="e">
        <f t="shared" ca="1" si="0"/>
        <v>#REF!</v>
      </c>
      <c r="C247" t="e" cm="1">
        <f t="array" aca="1" ref="C247" ca="1">IF(A247="","",IF(B247="safety","safety costs",INDIRECT("template!"&amp;"B"&amp;A247)))</f>
        <v>#REF!</v>
      </c>
      <c r="D247" t="e" cm="1">
        <f t="array" aca="1" ref="D247" ca="1">IF(OR(A247="",B247="safety"),"",INDIRECT("template!"&amp;"C"&amp;A247))</f>
        <v>#REF!</v>
      </c>
      <c r="E247" t="e" cm="1">
        <f t="array" aca="1" ref="E247" ca="1">IF(A247="","",IF(OR(A247=A246+1,A247=A246+2),E246,INDIRECT("template!"&amp;"D"&amp;A247-2)))</f>
        <v>#REF!</v>
      </c>
      <c r="F247" t="e" cm="1">
        <f t="array" aca="1" ref="F247" ca="1">IF(OR(A247="",B247="safety"),"",IF(ISBLANK(IF(A247=A246+1,F246,INDIRECT("template!"&amp;"D"&amp;A247-1))),"",IF(A247=A246+1,F246,INDIRECT("template!"&amp;"D"&amp;A247-1))))</f>
        <v>#REF!</v>
      </c>
      <c r="G247" t="e" cm="1">
        <f t="array" aca="1" ref="G247" ca="1">IF(OR(A247="",B247="safety"),"",IF(ISBLANK(INDIRECT("template!"&amp;"D"&amp;A247)),"",INDIRECT("template!"&amp;"D"&amp;A247)))</f>
        <v>#REF!</v>
      </c>
      <c r="H247" t="e" cm="1">
        <f t="array" aca="1" ref="H247" ca="1">IF(OR(A247="",B247="safety"),"",IF(ISBLANK(INDIRECT("template!"&amp;"E"&amp;A247)),"",INDIRECT("template!"&amp;"E"&amp;A247)))</f>
        <v>#REF!</v>
      </c>
      <c r="I247" t="e" cm="1">
        <f t="array" aca="1" ref="I247" ca="1">IF(OR(A247="",B247="safety"),"",IF(ISBLANK(INDIRECT("template!"&amp;"F"&amp;A247)),"",INDIRECT("template!"&amp;"F"&amp;A247)))</f>
        <v>#REF!</v>
      </c>
      <c r="J247" t="e" cm="1">
        <f t="array" aca="1" ref="J247" ca="1">IF(OR(A247="",B247="safety"),"",IF(ISBLANK(INDIRECT("template!"&amp;"G"&amp;A247)),"",INDIRECT("template!"&amp;"G"&amp;A247)))</f>
        <v>#REF!</v>
      </c>
      <c r="K247" t="e" cm="1">
        <f t="array" aca="1" ref="K247" ca="1">IF(OR(A247="",B247="safety"),"",IF(ISBLANK(INDIRECT("template!"&amp;"H"&amp;A247)),"",INDIRECT("template!"&amp;"H"&amp;A247)))</f>
        <v>#REF!</v>
      </c>
      <c r="L247" t="e" cm="1">
        <f t="array" aca="1" ref="L247" ca="1">IF(OR(A247="",B247="safety"),"",INDIRECT("template!"&amp;"I"&amp;A247))</f>
        <v>#REF!</v>
      </c>
      <c r="M247" t="e" cm="1">
        <f t="array" aca="1" ref="M247" ca="1">IF(OR(A247="",B247="safety"),"",INDIRECT("template!"&amp;"J"&amp;A247))</f>
        <v>#REF!</v>
      </c>
      <c r="N247" t="e" cm="1">
        <f t="array" aca="1" ref="N247" ca="1">IF(OR(A247="",B247="safety"),"",IF(ISBLANK(INDIRECT("template!"&amp;"K"&amp;A247)),"",INDIRECT("template!"&amp;"K"&amp;A247)))</f>
        <v>#REF!</v>
      </c>
      <c r="O247" t="e" cm="1">
        <f t="array" aca="1" ref="O247" ca="1">IF(OR(A247="",B247="safety"),"",INDIRECT("template!"&amp;"L"&amp;A247))</f>
        <v>#REF!</v>
      </c>
      <c r="P247" t="e" cm="1">
        <f t="array" aca="1" ref="P247" ca="1">IF(OR(A247="",B247="safety"),"",INDIRECT("template!"&amp;"M"&amp;A247))</f>
        <v>#REF!</v>
      </c>
      <c r="Q247" t="e">
        <f t="shared" ca="1" si="16"/>
        <v>#REF!</v>
      </c>
      <c r="R247" t="e">
        <f t="shared" ca="1" si="17"/>
        <v>#REF!</v>
      </c>
      <c r="S247" t="e">
        <f t="shared" ca="1" si="18"/>
        <v>#REF!</v>
      </c>
      <c r="T247" t="e">
        <f t="shared" ca="1" si="19"/>
        <v>#REF!</v>
      </c>
      <c r="U247" t="e" cm="1">
        <f t="array" aca="1" ref="U247" ca="1">IF(A247="","",IF(E247="","",IF(B247="safety",INDIRECT("template!"&amp;"P"&amp;A247),Q247+R247)))</f>
        <v>#REF!</v>
      </c>
      <c r="V247" t="e" cm="1">
        <f t="array" aca="1" ref="V247" ca="1">IF(A247="","",IF(E247="","",IF(B247="safety",INDIRECT("template!"&amp;"P"&amp;A247),S247+T247)))</f>
        <v>#REF!</v>
      </c>
      <c r="W247" t="e">
        <f ca="1">IF(A247="","",IF(E247="","",#REF!))</f>
        <v>#REF!</v>
      </c>
      <c r="X247" t="e">
        <f ca="1">IF(A247="","",IF(E247="","",#REF!))</f>
        <v>#REF!</v>
      </c>
      <c r="Y247" s="39" t="e">
        <f ca="1">IF(A247="","",IF(E247="","",#REF!))</f>
        <v>#REF!</v>
      </c>
      <c r="Z247" t="e">
        <f ca="1">IF(A247="","",IF(E247="","",#REF!))</f>
        <v>#REF!</v>
      </c>
      <c r="AA247" t="e">
        <f ca="1">IF(A247="","",IF(E247="","",#REF!))</f>
        <v>#REF!</v>
      </c>
      <c r="AB247" t="e">
        <f ca="1">IF(A247="","",IF(E247="","",#REF!))</f>
        <v>#REF!</v>
      </c>
      <c r="AC247" t="e">
        <f t="shared" ca="1" si="20"/>
        <v>#REF!</v>
      </c>
    </row>
    <row r="248" spans="1:29" x14ac:dyDescent="0.35">
      <c r="A248" t="e" cm="1">
        <f t="array" aca="1" ref="A248" ca="1">IF(A247="","",IF(OR(AND(A247+1&gt;=$AF$1,A247+1&lt;=$AF$2),AND(A247+1&gt;=$AF$6,A247+1&lt;=$AF$7),AND(A247+1&gt;=$AF$3,A247+1&lt;=$AF$4),AND(A247+1&gt;=$AF$8,A247+1&lt;=$AF$9),A247+1=$AF$5),IF(NOT(ISBLANK(INDIRECT("template!"&amp;"P"&amp;A247+1))),A247+1,IF(NOT(ISBLANK(INDIRECT("template!"&amp;"P"&amp;A247+2))),A247+2,A247+3)),IF(A247=$AF$2,$AF$3,IF(A247=$AF$4,$AF$5,IF(A247=$AF$5,$AF$6,IF(A247=$AF$7,$AF$8,""))))))</f>
        <v>#REF!</v>
      </c>
      <c r="B248" t="e">
        <f t="shared" ca="1" si="0"/>
        <v>#REF!</v>
      </c>
      <c r="C248" t="e" cm="1">
        <f t="array" aca="1" ref="C248" ca="1">IF(A248="","",IF(B248="safety","safety costs",INDIRECT("template!"&amp;"B"&amp;A248)))</f>
        <v>#REF!</v>
      </c>
      <c r="D248" t="e" cm="1">
        <f t="array" aca="1" ref="D248" ca="1">IF(OR(A248="",B248="safety"),"",INDIRECT("template!"&amp;"C"&amp;A248))</f>
        <v>#REF!</v>
      </c>
      <c r="E248" t="e" cm="1">
        <f t="array" aca="1" ref="E248" ca="1">IF(A248="","",IF(OR(A248=A247+1,A248=A247+2),E247,INDIRECT("template!"&amp;"D"&amp;A248-2)))</f>
        <v>#REF!</v>
      </c>
      <c r="F248" t="e" cm="1">
        <f t="array" aca="1" ref="F248" ca="1">IF(OR(A248="",B248="safety"),"",IF(ISBLANK(IF(A248=A247+1,F247,INDIRECT("template!"&amp;"D"&amp;A248-1))),"",IF(A248=A247+1,F247,INDIRECT("template!"&amp;"D"&amp;A248-1))))</f>
        <v>#REF!</v>
      </c>
      <c r="G248" t="e" cm="1">
        <f t="array" aca="1" ref="G248" ca="1">IF(OR(A248="",B248="safety"),"",IF(ISBLANK(INDIRECT("template!"&amp;"D"&amp;A248)),"",INDIRECT("template!"&amp;"D"&amp;A248)))</f>
        <v>#REF!</v>
      </c>
      <c r="H248" t="e" cm="1">
        <f t="array" aca="1" ref="H248" ca="1">IF(OR(A248="",B248="safety"),"",IF(ISBLANK(INDIRECT("template!"&amp;"E"&amp;A248)),"",INDIRECT("template!"&amp;"E"&amp;A248)))</f>
        <v>#REF!</v>
      </c>
      <c r="I248" t="e" cm="1">
        <f t="array" aca="1" ref="I248" ca="1">IF(OR(A248="",B248="safety"),"",IF(ISBLANK(INDIRECT("template!"&amp;"F"&amp;A248)),"",INDIRECT("template!"&amp;"F"&amp;A248)))</f>
        <v>#REF!</v>
      </c>
      <c r="J248" t="e" cm="1">
        <f t="array" aca="1" ref="J248" ca="1">IF(OR(A248="",B248="safety"),"",IF(ISBLANK(INDIRECT("template!"&amp;"G"&amp;A248)),"",INDIRECT("template!"&amp;"G"&amp;A248)))</f>
        <v>#REF!</v>
      </c>
      <c r="K248" t="e" cm="1">
        <f t="array" aca="1" ref="K248" ca="1">IF(OR(A248="",B248="safety"),"",IF(ISBLANK(INDIRECT("template!"&amp;"H"&amp;A248)),"",INDIRECT("template!"&amp;"H"&amp;A248)))</f>
        <v>#REF!</v>
      </c>
      <c r="L248" t="e" cm="1">
        <f t="array" aca="1" ref="L248" ca="1">IF(OR(A248="",B248="safety"),"",INDIRECT("template!"&amp;"I"&amp;A248))</f>
        <v>#REF!</v>
      </c>
      <c r="M248" t="e" cm="1">
        <f t="array" aca="1" ref="M248" ca="1">IF(OR(A248="",B248="safety"),"",INDIRECT("template!"&amp;"J"&amp;A248))</f>
        <v>#REF!</v>
      </c>
      <c r="N248" t="e" cm="1">
        <f t="array" aca="1" ref="N248" ca="1">IF(OR(A248="",B248="safety"),"",IF(ISBLANK(INDIRECT("template!"&amp;"K"&amp;A248)),"",INDIRECT("template!"&amp;"K"&amp;A248)))</f>
        <v>#REF!</v>
      </c>
      <c r="O248" t="e" cm="1">
        <f t="array" aca="1" ref="O248" ca="1">IF(OR(A248="",B248="safety"),"",INDIRECT("template!"&amp;"L"&amp;A248))</f>
        <v>#REF!</v>
      </c>
      <c r="P248" t="e" cm="1">
        <f t="array" aca="1" ref="P248" ca="1">IF(OR(A248="",B248="safety"),"",INDIRECT("template!"&amp;"M"&amp;A248))</f>
        <v>#REF!</v>
      </c>
      <c r="Q248" t="e">
        <f t="shared" ca="1" si="16"/>
        <v>#REF!</v>
      </c>
      <c r="R248" t="e">
        <f t="shared" ca="1" si="17"/>
        <v>#REF!</v>
      </c>
      <c r="S248" t="e">
        <f t="shared" ca="1" si="18"/>
        <v>#REF!</v>
      </c>
      <c r="T248" t="e">
        <f t="shared" ca="1" si="19"/>
        <v>#REF!</v>
      </c>
      <c r="U248" t="e" cm="1">
        <f t="array" aca="1" ref="U248" ca="1">IF(A248="","",IF(E248="","",IF(B248="safety",INDIRECT("template!"&amp;"P"&amp;A248),Q248+R248)))</f>
        <v>#REF!</v>
      </c>
      <c r="V248" t="e" cm="1">
        <f t="array" aca="1" ref="V248" ca="1">IF(A248="","",IF(E248="","",IF(B248="safety",INDIRECT("template!"&amp;"P"&amp;A248),S248+T248)))</f>
        <v>#REF!</v>
      </c>
      <c r="W248" t="e">
        <f ca="1">IF(A248="","",IF(E248="","",#REF!))</f>
        <v>#REF!</v>
      </c>
      <c r="X248" t="e">
        <f ca="1">IF(A248="","",IF(E248="","",#REF!))</f>
        <v>#REF!</v>
      </c>
      <c r="Y248" s="39" t="e">
        <f ca="1">IF(A248="","",IF(E248="","",#REF!))</f>
        <v>#REF!</v>
      </c>
      <c r="Z248" t="e">
        <f ca="1">IF(A248="","",IF(E248="","",#REF!))</f>
        <v>#REF!</v>
      </c>
      <c r="AA248" t="e">
        <f ca="1">IF(A248="","",IF(E248="","",#REF!))</f>
        <v>#REF!</v>
      </c>
      <c r="AB248" t="e">
        <f ca="1">IF(A248="","",IF(E248="","",#REF!))</f>
        <v>#REF!</v>
      </c>
      <c r="AC248" t="e">
        <f t="shared" ca="1" si="20"/>
        <v>#REF!</v>
      </c>
    </row>
    <row r="249" spans="1:29" x14ac:dyDescent="0.35">
      <c r="A249" t="e" cm="1">
        <f t="array" aca="1" ref="A249" ca="1">IF(A248="","",IF(OR(AND(A248+1&gt;=$AF$1,A248+1&lt;=$AF$2),AND(A248+1&gt;=$AF$6,A248+1&lt;=$AF$7),AND(A248+1&gt;=$AF$3,A248+1&lt;=$AF$4),AND(A248+1&gt;=$AF$8,A248+1&lt;=$AF$9),A248+1=$AF$5),IF(NOT(ISBLANK(INDIRECT("template!"&amp;"P"&amp;A248+1))),A248+1,IF(NOT(ISBLANK(INDIRECT("template!"&amp;"P"&amp;A248+2))),A248+2,A248+3)),IF(A248=$AF$2,$AF$3,IF(A248=$AF$4,$AF$5,IF(A248=$AF$5,$AF$6,IF(A248=$AF$7,$AF$8,""))))))</f>
        <v>#REF!</v>
      </c>
      <c r="B249" t="e">
        <f t="shared" ca="1" si="0"/>
        <v>#REF!</v>
      </c>
      <c r="C249" t="e" cm="1">
        <f t="array" aca="1" ref="C249" ca="1">IF(A249="","",IF(B249="safety","safety costs",INDIRECT("template!"&amp;"B"&amp;A249)))</f>
        <v>#REF!</v>
      </c>
      <c r="D249" t="e" cm="1">
        <f t="array" aca="1" ref="D249" ca="1">IF(OR(A249="",B249="safety"),"",INDIRECT("template!"&amp;"C"&amp;A249))</f>
        <v>#REF!</v>
      </c>
      <c r="E249" t="e" cm="1">
        <f t="array" aca="1" ref="E249" ca="1">IF(A249="","",IF(OR(A249=A248+1,A249=A248+2),E248,INDIRECT("template!"&amp;"D"&amp;A249-2)))</f>
        <v>#REF!</v>
      </c>
      <c r="F249" t="e" cm="1">
        <f t="array" aca="1" ref="F249" ca="1">IF(OR(A249="",B249="safety"),"",IF(ISBLANK(IF(A249=A248+1,F248,INDIRECT("template!"&amp;"D"&amp;A249-1))),"",IF(A249=A248+1,F248,INDIRECT("template!"&amp;"D"&amp;A249-1))))</f>
        <v>#REF!</v>
      </c>
      <c r="G249" t="e" cm="1">
        <f t="array" aca="1" ref="G249" ca="1">IF(OR(A249="",B249="safety"),"",IF(ISBLANK(INDIRECT("template!"&amp;"D"&amp;A249)),"",INDIRECT("template!"&amp;"D"&amp;A249)))</f>
        <v>#REF!</v>
      </c>
      <c r="H249" t="e" cm="1">
        <f t="array" aca="1" ref="H249" ca="1">IF(OR(A249="",B249="safety"),"",IF(ISBLANK(INDIRECT("template!"&amp;"E"&amp;A249)),"",INDIRECT("template!"&amp;"E"&amp;A249)))</f>
        <v>#REF!</v>
      </c>
      <c r="I249" t="e" cm="1">
        <f t="array" aca="1" ref="I249" ca="1">IF(OR(A249="",B249="safety"),"",IF(ISBLANK(INDIRECT("template!"&amp;"F"&amp;A249)),"",INDIRECT("template!"&amp;"F"&amp;A249)))</f>
        <v>#REF!</v>
      </c>
      <c r="J249" t="e" cm="1">
        <f t="array" aca="1" ref="J249" ca="1">IF(OR(A249="",B249="safety"),"",IF(ISBLANK(INDIRECT("template!"&amp;"G"&amp;A249)),"",INDIRECT("template!"&amp;"G"&amp;A249)))</f>
        <v>#REF!</v>
      </c>
      <c r="K249" t="e" cm="1">
        <f t="array" aca="1" ref="K249" ca="1">IF(OR(A249="",B249="safety"),"",IF(ISBLANK(INDIRECT("template!"&amp;"H"&amp;A249)),"",INDIRECT("template!"&amp;"H"&amp;A249)))</f>
        <v>#REF!</v>
      </c>
      <c r="L249" t="e" cm="1">
        <f t="array" aca="1" ref="L249" ca="1">IF(OR(A249="",B249="safety"),"",INDIRECT("template!"&amp;"I"&amp;A249))</f>
        <v>#REF!</v>
      </c>
      <c r="M249" t="e" cm="1">
        <f t="array" aca="1" ref="M249" ca="1">IF(OR(A249="",B249="safety"),"",INDIRECT("template!"&amp;"J"&amp;A249))</f>
        <v>#REF!</v>
      </c>
      <c r="N249" t="e" cm="1">
        <f t="array" aca="1" ref="N249" ca="1">IF(OR(A249="",B249="safety"),"",IF(ISBLANK(INDIRECT("template!"&amp;"K"&amp;A249)),"",INDIRECT("template!"&amp;"K"&amp;A249)))</f>
        <v>#REF!</v>
      </c>
      <c r="O249" t="e" cm="1">
        <f t="array" aca="1" ref="O249" ca="1">IF(OR(A249="",B249="safety"),"",INDIRECT("template!"&amp;"L"&amp;A249))</f>
        <v>#REF!</v>
      </c>
      <c r="P249" t="e" cm="1">
        <f t="array" aca="1" ref="P249" ca="1">IF(OR(A249="",B249="safety"),"",INDIRECT("template!"&amp;"M"&amp;A249))</f>
        <v>#REF!</v>
      </c>
      <c r="Q249" t="e">
        <f t="shared" ca="1" si="16"/>
        <v>#REF!</v>
      </c>
      <c r="R249" t="e">
        <f t="shared" ca="1" si="17"/>
        <v>#REF!</v>
      </c>
      <c r="S249" t="e">
        <f t="shared" ca="1" si="18"/>
        <v>#REF!</v>
      </c>
      <c r="T249" t="e">
        <f t="shared" ca="1" si="19"/>
        <v>#REF!</v>
      </c>
      <c r="U249" t="e" cm="1">
        <f t="array" aca="1" ref="U249" ca="1">IF(A249="","",IF(E249="","",IF(B249="safety",INDIRECT("template!"&amp;"P"&amp;A249),Q249+R249)))</f>
        <v>#REF!</v>
      </c>
      <c r="V249" t="e" cm="1">
        <f t="array" aca="1" ref="V249" ca="1">IF(A249="","",IF(E249="","",IF(B249="safety",INDIRECT("template!"&amp;"P"&amp;A249),S249+T249)))</f>
        <v>#REF!</v>
      </c>
      <c r="W249" t="e">
        <f ca="1">IF(A249="","",IF(E249="","",#REF!))</f>
        <v>#REF!</v>
      </c>
      <c r="X249" t="e">
        <f ca="1">IF(A249="","",IF(E249="","",#REF!))</f>
        <v>#REF!</v>
      </c>
      <c r="Y249" s="39" t="e">
        <f ca="1">IF(A249="","",IF(E249="","",#REF!))</f>
        <v>#REF!</v>
      </c>
      <c r="Z249" t="e">
        <f ca="1">IF(A249="","",IF(E249="","",#REF!))</f>
        <v>#REF!</v>
      </c>
      <c r="AA249" t="e">
        <f ca="1">IF(A249="","",IF(E249="","",#REF!))</f>
        <v>#REF!</v>
      </c>
      <c r="AB249" t="e">
        <f ca="1">IF(A249="","",IF(E249="","",#REF!))</f>
        <v>#REF!</v>
      </c>
      <c r="AC249" t="e">
        <f t="shared" ca="1" si="20"/>
        <v>#REF!</v>
      </c>
    </row>
    <row r="250" spans="1:29" x14ac:dyDescent="0.35">
      <c r="A250" t="e" cm="1">
        <f t="array" aca="1" ref="A250" ca="1">IF(A249="","",IF(OR(AND(A249+1&gt;=$AF$1,A249+1&lt;=$AF$2),AND(A249+1&gt;=$AF$6,A249+1&lt;=$AF$7),AND(A249+1&gt;=$AF$3,A249+1&lt;=$AF$4),AND(A249+1&gt;=$AF$8,A249+1&lt;=$AF$9),A249+1=$AF$5),IF(NOT(ISBLANK(INDIRECT("template!"&amp;"P"&amp;A249+1))),A249+1,IF(NOT(ISBLANK(INDIRECT("template!"&amp;"P"&amp;A249+2))),A249+2,A249+3)),IF(A249=$AF$2,$AF$3,IF(A249=$AF$4,$AF$5,IF(A249=$AF$5,$AF$6,IF(A249=$AF$7,$AF$8,""))))))</f>
        <v>#REF!</v>
      </c>
      <c r="B250" t="e">
        <f t="shared" ca="1" si="0"/>
        <v>#REF!</v>
      </c>
      <c r="C250" t="e" cm="1">
        <f t="array" aca="1" ref="C250" ca="1">IF(A250="","",IF(B250="safety","safety costs",INDIRECT("template!"&amp;"B"&amp;A250)))</f>
        <v>#REF!</v>
      </c>
      <c r="D250" t="e" cm="1">
        <f t="array" aca="1" ref="D250" ca="1">IF(OR(A250="",B250="safety"),"",INDIRECT("template!"&amp;"C"&amp;A250))</f>
        <v>#REF!</v>
      </c>
      <c r="E250" t="e" cm="1">
        <f t="array" aca="1" ref="E250" ca="1">IF(A250="","",IF(OR(A250=A249+1,A250=A249+2),E249,INDIRECT("template!"&amp;"D"&amp;A250-2)))</f>
        <v>#REF!</v>
      </c>
      <c r="F250" t="e" cm="1">
        <f t="array" aca="1" ref="F250" ca="1">IF(OR(A250="",B250="safety"),"",IF(ISBLANK(IF(A250=A249+1,F249,INDIRECT("template!"&amp;"D"&amp;A250-1))),"",IF(A250=A249+1,F249,INDIRECT("template!"&amp;"D"&amp;A250-1))))</f>
        <v>#REF!</v>
      </c>
      <c r="G250" t="e" cm="1">
        <f t="array" aca="1" ref="G250" ca="1">IF(OR(A250="",B250="safety"),"",IF(ISBLANK(INDIRECT("template!"&amp;"D"&amp;A250)),"",INDIRECT("template!"&amp;"D"&amp;A250)))</f>
        <v>#REF!</v>
      </c>
      <c r="H250" t="e" cm="1">
        <f t="array" aca="1" ref="H250" ca="1">IF(OR(A250="",B250="safety"),"",IF(ISBLANK(INDIRECT("template!"&amp;"E"&amp;A250)),"",INDIRECT("template!"&amp;"E"&amp;A250)))</f>
        <v>#REF!</v>
      </c>
      <c r="I250" t="e" cm="1">
        <f t="array" aca="1" ref="I250" ca="1">IF(OR(A250="",B250="safety"),"",IF(ISBLANK(INDIRECT("template!"&amp;"F"&amp;A250)),"",INDIRECT("template!"&amp;"F"&amp;A250)))</f>
        <v>#REF!</v>
      </c>
      <c r="J250" t="e" cm="1">
        <f t="array" aca="1" ref="J250" ca="1">IF(OR(A250="",B250="safety"),"",IF(ISBLANK(INDIRECT("template!"&amp;"G"&amp;A250)),"",INDIRECT("template!"&amp;"G"&amp;A250)))</f>
        <v>#REF!</v>
      </c>
      <c r="K250" t="e" cm="1">
        <f t="array" aca="1" ref="K250" ca="1">IF(OR(A250="",B250="safety"),"",IF(ISBLANK(INDIRECT("template!"&amp;"H"&amp;A250)),"",INDIRECT("template!"&amp;"H"&amp;A250)))</f>
        <v>#REF!</v>
      </c>
      <c r="L250" t="e" cm="1">
        <f t="array" aca="1" ref="L250" ca="1">IF(OR(A250="",B250="safety"),"",INDIRECT("template!"&amp;"I"&amp;A250))</f>
        <v>#REF!</v>
      </c>
      <c r="M250" t="e" cm="1">
        <f t="array" aca="1" ref="M250" ca="1">IF(OR(A250="",B250="safety"),"",INDIRECT("template!"&amp;"J"&amp;A250))</f>
        <v>#REF!</v>
      </c>
      <c r="N250" t="e" cm="1">
        <f t="array" aca="1" ref="N250" ca="1">IF(OR(A250="",B250="safety"),"",IF(ISBLANK(INDIRECT("template!"&amp;"K"&amp;A250)),"",INDIRECT("template!"&amp;"K"&amp;A250)))</f>
        <v>#REF!</v>
      </c>
      <c r="O250" t="e" cm="1">
        <f t="array" aca="1" ref="O250" ca="1">IF(OR(A250="",B250="safety"),"",INDIRECT("template!"&amp;"L"&amp;A250))</f>
        <v>#REF!</v>
      </c>
      <c r="P250" t="e" cm="1">
        <f t="array" aca="1" ref="P250" ca="1">IF(OR(A250="",B250="safety"),"",INDIRECT("template!"&amp;"M"&amp;A250))</f>
        <v>#REF!</v>
      </c>
      <c r="Q250" t="e">
        <f t="shared" ca="1" si="16"/>
        <v>#REF!</v>
      </c>
      <c r="R250" t="e">
        <f t="shared" ca="1" si="17"/>
        <v>#REF!</v>
      </c>
      <c r="S250" t="e">
        <f t="shared" ca="1" si="18"/>
        <v>#REF!</v>
      </c>
      <c r="T250" t="e">
        <f t="shared" ca="1" si="19"/>
        <v>#REF!</v>
      </c>
      <c r="U250" t="e" cm="1">
        <f t="array" aca="1" ref="U250" ca="1">IF(A250="","",IF(E250="","",IF(B250="safety",INDIRECT("template!"&amp;"P"&amp;A250),Q250+R250)))</f>
        <v>#REF!</v>
      </c>
      <c r="V250" t="e" cm="1">
        <f t="array" aca="1" ref="V250" ca="1">IF(A250="","",IF(E250="","",IF(B250="safety",INDIRECT("template!"&amp;"P"&amp;A250),S250+T250)))</f>
        <v>#REF!</v>
      </c>
      <c r="W250" t="e">
        <f ca="1">IF(A250="","",IF(E250="","",#REF!))</f>
        <v>#REF!</v>
      </c>
      <c r="X250" t="e">
        <f ca="1">IF(A250="","",IF(E250="","",#REF!))</f>
        <v>#REF!</v>
      </c>
      <c r="Y250" s="39" t="e">
        <f ca="1">IF(A250="","",IF(E250="","",#REF!))</f>
        <v>#REF!</v>
      </c>
      <c r="Z250" t="e">
        <f ca="1">IF(A250="","",IF(E250="","",#REF!))</f>
        <v>#REF!</v>
      </c>
      <c r="AA250" t="e">
        <f ca="1">IF(A250="","",IF(E250="","",#REF!))</f>
        <v>#REF!</v>
      </c>
      <c r="AB250" t="e">
        <f ca="1">IF(A250="","",IF(E250="","",#REF!))</f>
        <v>#REF!</v>
      </c>
      <c r="AC250" t="e">
        <f t="shared" ca="1" si="20"/>
        <v>#REF!</v>
      </c>
    </row>
    <row r="251" spans="1:29" x14ac:dyDescent="0.35">
      <c r="A251" t="e" cm="1">
        <f t="array" aca="1" ref="A251" ca="1">IF(A250="","",IF(OR(AND(A250+1&gt;=$AF$1,A250+1&lt;=$AF$2),AND(A250+1&gt;=$AF$6,A250+1&lt;=$AF$7),AND(A250+1&gt;=$AF$3,A250+1&lt;=$AF$4),AND(A250+1&gt;=$AF$8,A250+1&lt;=$AF$9),A250+1=$AF$5),IF(NOT(ISBLANK(INDIRECT("template!"&amp;"P"&amp;A250+1))),A250+1,IF(NOT(ISBLANK(INDIRECT("template!"&amp;"P"&amp;A250+2))),A250+2,A250+3)),IF(A250=$AF$2,$AF$3,IF(A250=$AF$4,$AF$5,IF(A250=$AF$5,$AF$6,IF(A250=$AF$7,$AF$8,""))))))</f>
        <v>#REF!</v>
      </c>
      <c r="B251" t="e">
        <f t="shared" ca="1" si="0"/>
        <v>#REF!</v>
      </c>
      <c r="C251" t="e" cm="1">
        <f t="array" aca="1" ref="C251" ca="1">IF(A251="","",IF(B251="safety","safety costs",INDIRECT("template!"&amp;"B"&amp;A251)))</f>
        <v>#REF!</v>
      </c>
      <c r="D251" t="e" cm="1">
        <f t="array" aca="1" ref="D251" ca="1">IF(OR(A251="",B251="safety"),"",INDIRECT("template!"&amp;"C"&amp;A251))</f>
        <v>#REF!</v>
      </c>
      <c r="E251" t="e" cm="1">
        <f t="array" aca="1" ref="E251" ca="1">IF(A251="","",IF(OR(A251=A250+1,A251=A250+2),E250,INDIRECT("template!"&amp;"D"&amp;A251-2)))</f>
        <v>#REF!</v>
      </c>
      <c r="F251" t="e" cm="1">
        <f t="array" aca="1" ref="F251" ca="1">IF(OR(A251="",B251="safety"),"",IF(ISBLANK(IF(A251=A250+1,F250,INDIRECT("template!"&amp;"D"&amp;A251-1))),"",IF(A251=A250+1,F250,INDIRECT("template!"&amp;"D"&amp;A251-1))))</f>
        <v>#REF!</v>
      </c>
      <c r="G251" t="e" cm="1">
        <f t="array" aca="1" ref="G251" ca="1">IF(OR(A251="",B251="safety"),"",IF(ISBLANK(INDIRECT("template!"&amp;"D"&amp;A251)),"",INDIRECT("template!"&amp;"D"&amp;A251)))</f>
        <v>#REF!</v>
      </c>
      <c r="H251" t="e" cm="1">
        <f t="array" aca="1" ref="H251" ca="1">IF(OR(A251="",B251="safety"),"",IF(ISBLANK(INDIRECT("template!"&amp;"E"&amp;A251)),"",INDIRECT("template!"&amp;"E"&amp;A251)))</f>
        <v>#REF!</v>
      </c>
      <c r="I251" t="e" cm="1">
        <f t="array" aca="1" ref="I251" ca="1">IF(OR(A251="",B251="safety"),"",IF(ISBLANK(INDIRECT("template!"&amp;"F"&amp;A251)),"",INDIRECT("template!"&amp;"F"&amp;A251)))</f>
        <v>#REF!</v>
      </c>
      <c r="J251" t="e" cm="1">
        <f t="array" aca="1" ref="J251" ca="1">IF(OR(A251="",B251="safety"),"",IF(ISBLANK(INDIRECT("template!"&amp;"G"&amp;A251)),"",INDIRECT("template!"&amp;"G"&amp;A251)))</f>
        <v>#REF!</v>
      </c>
      <c r="K251" t="e" cm="1">
        <f t="array" aca="1" ref="K251" ca="1">IF(OR(A251="",B251="safety"),"",IF(ISBLANK(INDIRECT("template!"&amp;"H"&amp;A251)),"",INDIRECT("template!"&amp;"H"&amp;A251)))</f>
        <v>#REF!</v>
      </c>
      <c r="L251" t="e" cm="1">
        <f t="array" aca="1" ref="L251" ca="1">IF(OR(A251="",B251="safety"),"",INDIRECT("template!"&amp;"I"&amp;A251))</f>
        <v>#REF!</v>
      </c>
      <c r="M251" t="e" cm="1">
        <f t="array" aca="1" ref="M251" ca="1">IF(OR(A251="",B251="safety"),"",INDIRECT("template!"&amp;"J"&amp;A251))</f>
        <v>#REF!</v>
      </c>
      <c r="N251" t="e" cm="1">
        <f t="array" aca="1" ref="N251" ca="1">IF(OR(A251="",B251="safety"),"",IF(ISBLANK(INDIRECT("template!"&amp;"K"&amp;A251)),"",INDIRECT("template!"&amp;"K"&amp;A251)))</f>
        <v>#REF!</v>
      </c>
      <c r="O251" t="e" cm="1">
        <f t="array" aca="1" ref="O251" ca="1">IF(OR(A251="",B251="safety"),"",INDIRECT("template!"&amp;"L"&amp;A251))</f>
        <v>#REF!</v>
      </c>
      <c r="P251" t="e" cm="1">
        <f t="array" aca="1" ref="P251" ca="1">IF(OR(A251="",B251="safety"),"",INDIRECT("template!"&amp;"M"&amp;A251))</f>
        <v>#REF!</v>
      </c>
      <c r="Q251" t="e">
        <f t="shared" ca="1" si="16"/>
        <v>#REF!</v>
      </c>
      <c r="R251" t="e">
        <f t="shared" ca="1" si="17"/>
        <v>#REF!</v>
      </c>
      <c r="S251" t="e">
        <f t="shared" ca="1" si="18"/>
        <v>#REF!</v>
      </c>
      <c r="T251" t="e">
        <f t="shared" ca="1" si="19"/>
        <v>#REF!</v>
      </c>
      <c r="U251" t="e" cm="1">
        <f t="array" aca="1" ref="U251" ca="1">IF(A251="","",IF(E251="","",IF(B251="safety",INDIRECT("template!"&amp;"P"&amp;A251),Q251+R251)))</f>
        <v>#REF!</v>
      </c>
      <c r="V251" t="e" cm="1">
        <f t="array" aca="1" ref="V251" ca="1">IF(A251="","",IF(E251="","",IF(B251="safety",INDIRECT("template!"&amp;"P"&amp;A251),S251+T251)))</f>
        <v>#REF!</v>
      </c>
      <c r="W251" t="e">
        <f ca="1">IF(A251="","",IF(E251="","",#REF!))</f>
        <v>#REF!</v>
      </c>
      <c r="X251" t="e">
        <f ca="1">IF(A251="","",IF(E251="","",#REF!))</f>
        <v>#REF!</v>
      </c>
      <c r="Y251" s="39" t="e">
        <f ca="1">IF(A251="","",IF(E251="","",#REF!))</f>
        <v>#REF!</v>
      </c>
      <c r="Z251" t="e">
        <f ca="1">IF(A251="","",IF(E251="","",#REF!))</f>
        <v>#REF!</v>
      </c>
      <c r="AA251" t="e">
        <f ca="1">IF(A251="","",IF(E251="","",#REF!))</f>
        <v>#REF!</v>
      </c>
      <c r="AB251" t="e">
        <f ca="1">IF(A251="","",IF(E251="","",#REF!))</f>
        <v>#REF!</v>
      </c>
      <c r="AC251" t="e">
        <f t="shared" ca="1" si="20"/>
        <v>#REF!</v>
      </c>
    </row>
    <row r="252" spans="1:29" x14ac:dyDescent="0.35">
      <c r="A252" t="e" cm="1">
        <f t="array" aca="1" ref="A252" ca="1">IF(A251="","",IF(OR(AND(A251+1&gt;=$AF$1,A251+1&lt;=$AF$2),AND(A251+1&gt;=$AF$6,A251+1&lt;=$AF$7),AND(A251+1&gt;=$AF$3,A251+1&lt;=$AF$4),AND(A251+1&gt;=$AF$8,A251+1&lt;=$AF$9),A251+1=$AF$5),IF(NOT(ISBLANK(INDIRECT("template!"&amp;"P"&amp;A251+1))),A251+1,IF(NOT(ISBLANK(INDIRECT("template!"&amp;"P"&amp;A251+2))),A251+2,A251+3)),IF(A251=$AF$2,$AF$3,IF(A251=$AF$4,$AF$5,IF(A251=$AF$5,$AF$6,IF(A251=$AF$7,$AF$8,""))))))</f>
        <v>#REF!</v>
      </c>
      <c r="B252" t="e">
        <f t="shared" ca="1" si="0"/>
        <v>#REF!</v>
      </c>
      <c r="C252" t="e" cm="1">
        <f t="array" aca="1" ref="C252" ca="1">IF(A252="","",IF(B252="safety","safety costs",INDIRECT("template!"&amp;"B"&amp;A252)))</f>
        <v>#REF!</v>
      </c>
      <c r="D252" t="e" cm="1">
        <f t="array" aca="1" ref="D252" ca="1">IF(OR(A252="",B252="safety"),"",INDIRECT("template!"&amp;"C"&amp;A252))</f>
        <v>#REF!</v>
      </c>
      <c r="E252" t="e" cm="1">
        <f t="array" aca="1" ref="E252" ca="1">IF(A252="","",IF(OR(A252=A251+1,A252=A251+2),E251,INDIRECT("template!"&amp;"D"&amp;A252-2)))</f>
        <v>#REF!</v>
      </c>
      <c r="F252" t="e" cm="1">
        <f t="array" aca="1" ref="F252" ca="1">IF(OR(A252="",B252="safety"),"",IF(ISBLANK(IF(A252=A251+1,F251,INDIRECT("template!"&amp;"D"&amp;A252-1))),"",IF(A252=A251+1,F251,INDIRECT("template!"&amp;"D"&amp;A252-1))))</f>
        <v>#REF!</v>
      </c>
      <c r="G252" t="e" cm="1">
        <f t="array" aca="1" ref="G252" ca="1">IF(OR(A252="",B252="safety"),"",IF(ISBLANK(INDIRECT("template!"&amp;"D"&amp;A252)),"",INDIRECT("template!"&amp;"D"&amp;A252)))</f>
        <v>#REF!</v>
      </c>
      <c r="H252" t="e" cm="1">
        <f t="array" aca="1" ref="H252" ca="1">IF(OR(A252="",B252="safety"),"",IF(ISBLANK(INDIRECT("template!"&amp;"E"&amp;A252)),"",INDIRECT("template!"&amp;"E"&amp;A252)))</f>
        <v>#REF!</v>
      </c>
      <c r="I252" t="e" cm="1">
        <f t="array" aca="1" ref="I252" ca="1">IF(OR(A252="",B252="safety"),"",IF(ISBLANK(INDIRECT("template!"&amp;"F"&amp;A252)),"",INDIRECT("template!"&amp;"F"&amp;A252)))</f>
        <v>#REF!</v>
      </c>
      <c r="J252" t="e" cm="1">
        <f t="array" aca="1" ref="J252" ca="1">IF(OR(A252="",B252="safety"),"",IF(ISBLANK(INDIRECT("template!"&amp;"G"&amp;A252)),"",INDIRECT("template!"&amp;"G"&amp;A252)))</f>
        <v>#REF!</v>
      </c>
      <c r="K252" t="e" cm="1">
        <f t="array" aca="1" ref="K252" ca="1">IF(OR(A252="",B252="safety"),"",IF(ISBLANK(INDIRECT("template!"&amp;"H"&amp;A252)),"",INDIRECT("template!"&amp;"H"&amp;A252)))</f>
        <v>#REF!</v>
      </c>
      <c r="L252" t="e" cm="1">
        <f t="array" aca="1" ref="L252" ca="1">IF(OR(A252="",B252="safety"),"",INDIRECT("template!"&amp;"I"&amp;A252))</f>
        <v>#REF!</v>
      </c>
      <c r="M252" t="e" cm="1">
        <f t="array" aca="1" ref="M252" ca="1">IF(OR(A252="",B252="safety"),"",INDIRECT("template!"&amp;"J"&amp;A252))</f>
        <v>#REF!</v>
      </c>
      <c r="N252" t="e" cm="1">
        <f t="array" aca="1" ref="N252" ca="1">IF(OR(A252="",B252="safety"),"",IF(ISBLANK(INDIRECT("template!"&amp;"K"&amp;A252)),"",INDIRECT("template!"&amp;"K"&amp;A252)))</f>
        <v>#REF!</v>
      </c>
      <c r="O252" t="e" cm="1">
        <f t="array" aca="1" ref="O252" ca="1">IF(OR(A252="",B252="safety"),"",INDIRECT("template!"&amp;"L"&amp;A252))</f>
        <v>#REF!</v>
      </c>
      <c r="P252" t="e" cm="1">
        <f t="array" aca="1" ref="P252" ca="1">IF(OR(A252="",B252="safety"),"",INDIRECT("template!"&amp;"M"&amp;A252))</f>
        <v>#REF!</v>
      </c>
      <c r="Q252" t="e">
        <f t="shared" ca="1" si="16"/>
        <v>#REF!</v>
      </c>
      <c r="R252" t="e">
        <f t="shared" ca="1" si="17"/>
        <v>#REF!</v>
      </c>
      <c r="S252" t="e">
        <f t="shared" ca="1" si="18"/>
        <v>#REF!</v>
      </c>
      <c r="T252" t="e">
        <f t="shared" ca="1" si="19"/>
        <v>#REF!</v>
      </c>
      <c r="U252" t="e" cm="1">
        <f t="array" aca="1" ref="U252" ca="1">IF(A252="","",IF(E252="","",IF(B252="safety",INDIRECT("template!"&amp;"P"&amp;A252),Q252+R252)))</f>
        <v>#REF!</v>
      </c>
      <c r="V252" t="e" cm="1">
        <f t="array" aca="1" ref="V252" ca="1">IF(A252="","",IF(E252="","",IF(B252="safety",INDIRECT("template!"&amp;"P"&amp;A252),S252+T252)))</f>
        <v>#REF!</v>
      </c>
      <c r="W252" t="e">
        <f ca="1">IF(A252="","",IF(E252="","",#REF!))</f>
        <v>#REF!</v>
      </c>
      <c r="X252" t="e">
        <f ca="1">IF(A252="","",IF(E252="","",#REF!))</f>
        <v>#REF!</v>
      </c>
      <c r="Y252" s="39" t="e">
        <f ca="1">IF(A252="","",IF(E252="","",#REF!))</f>
        <v>#REF!</v>
      </c>
      <c r="Z252" t="e">
        <f ca="1">IF(A252="","",IF(E252="","",#REF!))</f>
        <v>#REF!</v>
      </c>
      <c r="AA252" t="e">
        <f ca="1">IF(A252="","",IF(E252="","",#REF!))</f>
        <v>#REF!</v>
      </c>
      <c r="AB252" t="e">
        <f ca="1">IF(A252="","",IF(E252="","",#REF!))</f>
        <v>#REF!</v>
      </c>
      <c r="AC252" t="e">
        <f t="shared" ca="1" si="20"/>
        <v>#REF!</v>
      </c>
    </row>
    <row r="253" spans="1:29" x14ac:dyDescent="0.35">
      <c r="A253" t="e" cm="1">
        <f t="array" aca="1" ref="A253" ca="1">IF(A252="","",IF(OR(AND(A252+1&gt;=$AF$1,A252+1&lt;=$AF$2),AND(A252+1&gt;=$AF$6,A252+1&lt;=$AF$7),AND(A252+1&gt;=$AF$3,A252+1&lt;=$AF$4),AND(A252+1&gt;=$AF$8,A252+1&lt;=$AF$9),A252+1=$AF$5),IF(NOT(ISBLANK(INDIRECT("template!"&amp;"P"&amp;A252+1))),A252+1,IF(NOT(ISBLANK(INDIRECT("template!"&amp;"P"&amp;A252+2))),A252+2,A252+3)),IF(A252=$AF$2,$AF$3,IF(A252=$AF$4,$AF$5,IF(A252=$AF$5,$AF$6,IF(A252=$AF$7,$AF$8,""))))))</f>
        <v>#REF!</v>
      </c>
      <c r="B253" t="e">
        <f t="shared" ca="1" si="0"/>
        <v>#REF!</v>
      </c>
      <c r="C253" t="e" cm="1">
        <f t="array" aca="1" ref="C253" ca="1">IF(A253="","",IF(B253="safety","safety costs",INDIRECT("template!"&amp;"B"&amp;A253)))</f>
        <v>#REF!</v>
      </c>
      <c r="D253" t="e" cm="1">
        <f t="array" aca="1" ref="D253" ca="1">IF(OR(A253="",B253="safety"),"",INDIRECT("template!"&amp;"C"&amp;A253))</f>
        <v>#REF!</v>
      </c>
      <c r="E253" t="e" cm="1">
        <f t="array" aca="1" ref="E253" ca="1">IF(A253="","",IF(OR(A253=A252+1,A253=A252+2),E252,INDIRECT("template!"&amp;"D"&amp;A253-2)))</f>
        <v>#REF!</v>
      </c>
      <c r="F253" t="e" cm="1">
        <f t="array" aca="1" ref="F253" ca="1">IF(OR(A253="",B253="safety"),"",IF(ISBLANK(IF(A253=A252+1,F252,INDIRECT("template!"&amp;"D"&amp;A253-1))),"",IF(A253=A252+1,F252,INDIRECT("template!"&amp;"D"&amp;A253-1))))</f>
        <v>#REF!</v>
      </c>
      <c r="G253" t="e" cm="1">
        <f t="array" aca="1" ref="G253" ca="1">IF(OR(A253="",B253="safety"),"",IF(ISBLANK(INDIRECT("template!"&amp;"D"&amp;A253)),"",INDIRECT("template!"&amp;"D"&amp;A253)))</f>
        <v>#REF!</v>
      </c>
      <c r="H253" t="e" cm="1">
        <f t="array" aca="1" ref="H253" ca="1">IF(OR(A253="",B253="safety"),"",IF(ISBLANK(INDIRECT("template!"&amp;"E"&amp;A253)),"",INDIRECT("template!"&amp;"E"&amp;A253)))</f>
        <v>#REF!</v>
      </c>
      <c r="I253" t="e" cm="1">
        <f t="array" aca="1" ref="I253" ca="1">IF(OR(A253="",B253="safety"),"",IF(ISBLANK(INDIRECT("template!"&amp;"F"&amp;A253)),"",INDIRECT("template!"&amp;"F"&amp;A253)))</f>
        <v>#REF!</v>
      </c>
      <c r="J253" t="e" cm="1">
        <f t="array" aca="1" ref="J253" ca="1">IF(OR(A253="",B253="safety"),"",IF(ISBLANK(INDIRECT("template!"&amp;"G"&amp;A253)),"",INDIRECT("template!"&amp;"G"&amp;A253)))</f>
        <v>#REF!</v>
      </c>
      <c r="K253" t="e" cm="1">
        <f t="array" aca="1" ref="K253" ca="1">IF(OR(A253="",B253="safety"),"",IF(ISBLANK(INDIRECT("template!"&amp;"H"&amp;A253)),"",INDIRECT("template!"&amp;"H"&amp;A253)))</f>
        <v>#REF!</v>
      </c>
      <c r="L253" t="e" cm="1">
        <f t="array" aca="1" ref="L253" ca="1">IF(OR(A253="",B253="safety"),"",INDIRECT("template!"&amp;"I"&amp;A253))</f>
        <v>#REF!</v>
      </c>
      <c r="M253" t="e" cm="1">
        <f t="array" aca="1" ref="M253" ca="1">IF(OR(A253="",B253="safety"),"",INDIRECT("template!"&amp;"J"&amp;A253))</f>
        <v>#REF!</v>
      </c>
      <c r="N253" t="e" cm="1">
        <f t="array" aca="1" ref="N253" ca="1">IF(OR(A253="",B253="safety"),"",IF(ISBLANK(INDIRECT("template!"&amp;"K"&amp;A253)),"",INDIRECT("template!"&amp;"K"&amp;A253)))</f>
        <v>#REF!</v>
      </c>
      <c r="O253" t="e" cm="1">
        <f t="array" aca="1" ref="O253" ca="1">IF(OR(A253="",B253="safety"),"",INDIRECT("template!"&amp;"L"&amp;A253))</f>
        <v>#REF!</v>
      </c>
      <c r="P253" t="e" cm="1">
        <f t="array" aca="1" ref="P253" ca="1">IF(OR(A253="",B253="safety"),"",INDIRECT("template!"&amp;"M"&amp;A253))</f>
        <v>#REF!</v>
      </c>
      <c r="Q253" t="e">
        <f t="shared" ca="1" si="16"/>
        <v>#REF!</v>
      </c>
      <c r="R253" t="e">
        <f t="shared" ca="1" si="17"/>
        <v>#REF!</v>
      </c>
      <c r="S253" t="e">
        <f t="shared" ca="1" si="18"/>
        <v>#REF!</v>
      </c>
      <c r="T253" t="e">
        <f t="shared" ca="1" si="19"/>
        <v>#REF!</v>
      </c>
      <c r="U253" t="e" cm="1">
        <f t="array" aca="1" ref="U253" ca="1">IF(A253="","",IF(E253="","",IF(B253="safety",INDIRECT("template!"&amp;"P"&amp;A253),Q253+R253)))</f>
        <v>#REF!</v>
      </c>
      <c r="V253" t="e" cm="1">
        <f t="array" aca="1" ref="V253" ca="1">IF(A253="","",IF(E253="","",IF(B253="safety",INDIRECT("template!"&amp;"P"&amp;A253),S253+T253)))</f>
        <v>#REF!</v>
      </c>
      <c r="W253" t="e">
        <f ca="1">IF(A253="","",IF(E253="","",#REF!))</f>
        <v>#REF!</v>
      </c>
      <c r="X253" t="e">
        <f ca="1">IF(A253="","",IF(E253="","",#REF!))</f>
        <v>#REF!</v>
      </c>
      <c r="Y253" s="39" t="e">
        <f ca="1">IF(A253="","",IF(E253="","",#REF!))</f>
        <v>#REF!</v>
      </c>
      <c r="Z253" t="e">
        <f ca="1">IF(A253="","",IF(E253="","",#REF!))</f>
        <v>#REF!</v>
      </c>
      <c r="AA253" t="e">
        <f ca="1">IF(A253="","",IF(E253="","",#REF!))</f>
        <v>#REF!</v>
      </c>
      <c r="AB253" t="e">
        <f ca="1">IF(A253="","",IF(E253="","",#REF!))</f>
        <v>#REF!</v>
      </c>
      <c r="AC253" t="e">
        <f t="shared" ca="1" si="20"/>
        <v>#REF!</v>
      </c>
    </row>
    <row r="254" spans="1:29" x14ac:dyDescent="0.35">
      <c r="A254" t="e" cm="1">
        <f t="array" aca="1" ref="A254" ca="1">IF(A253="","",IF(OR(AND(A253+1&gt;=$AF$1,A253+1&lt;=$AF$2),AND(A253+1&gt;=$AF$6,A253+1&lt;=$AF$7),AND(A253+1&gt;=$AF$3,A253+1&lt;=$AF$4),AND(A253+1&gt;=$AF$8,A253+1&lt;=$AF$9),A253+1=$AF$5),IF(NOT(ISBLANK(INDIRECT("template!"&amp;"P"&amp;A253+1))),A253+1,IF(NOT(ISBLANK(INDIRECT("template!"&amp;"P"&amp;A253+2))),A253+2,A253+3)),IF(A253=$AF$2,$AF$3,IF(A253=$AF$4,$AF$5,IF(A253=$AF$5,$AF$6,IF(A253=$AF$7,$AF$8,""))))))</f>
        <v>#REF!</v>
      </c>
      <c r="B254" t="e">
        <f t="shared" ca="1" si="0"/>
        <v>#REF!</v>
      </c>
      <c r="C254" t="e" cm="1">
        <f t="array" aca="1" ref="C254" ca="1">IF(A254="","",IF(B254="safety","safety costs",INDIRECT("template!"&amp;"B"&amp;A254)))</f>
        <v>#REF!</v>
      </c>
      <c r="D254" t="e" cm="1">
        <f t="array" aca="1" ref="D254" ca="1">IF(OR(A254="",B254="safety"),"",INDIRECT("template!"&amp;"C"&amp;A254))</f>
        <v>#REF!</v>
      </c>
      <c r="E254" t="e" cm="1">
        <f t="array" aca="1" ref="E254" ca="1">IF(A254="","",IF(OR(A254=A253+1,A254=A253+2),E253,INDIRECT("template!"&amp;"D"&amp;A254-2)))</f>
        <v>#REF!</v>
      </c>
      <c r="F254" t="e" cm="1">
        <f t="array" aca="1" ref="F254" ca="1">IF(OR(A254="",B254="safety"),"",IF(ISBLANK(IF(A254=A253+1,F253,INDIRECT("template!"&amp;"D"&amp;A254-1))),"",IF(A254=A253+1,F253,INDIRECT("template!"&amp;"D"&amp;A254-1))))</f>
        <v>#REF!</v>
      </c>
      <c r="G254" t="e" cm="1">
        <f t="array" aca="1" ref="G254" ca="1">IF(OR(A254="",B254="safety"),"",IF(ISBLANK(INDIRECT("template!"&amp;"D"&amp;A254)),"",INDIRECT("template!"&amp;"D"&amp;A254)))</f>
        <v>#REF!</v>
      </c>
      <c r="H254" t="e" cm="1">
        <f t="array" aca="1" ref="H254" ca="1">IF(OR(A254="",B254="safety"),"",IF(ISBLANK(INDIRECT("template!"&amp;"E"&amp;A254)),"",INDIRECT("template!"&amp;"E"&amp;A254)))</f>
        <v>#REF!</v>
      </c>
      <c r="I254" t="e" cm="1">
        <f t="array" aca="1" ref="I254" ca="1">IF(OR(A254="",B254="safety"),"",IF(ISBLANK(INDIRECT("template!"&amp;"F"&amp;A254)),"",INDIRECT("template!"&amp;"F"&amp;A254)))</f>
        <v>#REF!</v>
      </c>
      <c r="J254" t="e" cm="1">
        <f t="array" aca="1" ref="J254" ca="1">IF(OR(A254="",B254="safety"),"",IF(ISBLANK(INDIRECT("template!"&amp;"G"&amp;A254)),"",INDIRECT("template!"&amp;"G"&amp;A254)))</f>
        <v>#REF!</v>
      </c>
      <c r="K254" t="e" cm="1">
        <f t="array" aca="1" ref="K254" ca="1">IF(OR(A254="",B254="safety"),"",IF(ISBLANK(INDIRECT("template!"&amp;"H"&amp;A254)),"",INDIRECT("template!"&amp;"H"&amp;A254)))</f>
        <v>#REF!</v>
      </c>
      <c r="L254" t="e" cm="1">
        <f t="array" aca="1" ref="L254" ca="1">IF(OR(A254="",B254="safety"),"",INDIRECT("template!"&amp;"I"&amp;A254))</f>
        <v>#REF!</v>
      </c>
      <c r="M254" t="e" cm="1">
        <f t="array" aca="1" ref="M254" ca="1">IF(OR(A254="",B254="safety"),"",INDIRECT("template!"&amp;"J"&amp;A254))</f>
        <v>#REF!</v>
      </c>
      <c r="N254" t="e" cm="1">
        <f t="array" aca="1" ref="N254" ca="1">IF(OR(A254="",B254="safety"),"",IF(ISBLANK(INDIRECT("template!"&amp;"K"&amp;A254)),"",INDIRECT("template!"&amp;"K"&amp;A254)))</f>
        <v>#REF!</v>
      </c>
      <c r="O254" t="e" cm="1">
        <f t="array" aca="1" ref="O254" ca="1">IF(OR(A254="",B254="safety"),"",INDIRECT("template!"&amp;"L"&amp;A254))</f>
        <v>#REF!</v>
      </c>
      <c r="P254" t="e" cm="1">
        <f t="array" aca="1" ref="P254" ca="1">IF(OR(A254="",B254="safety"),"",INDIRECT("template!"&amp;"M"&amp;A254))</f>
        <v>#REF!</v>
      </c>
      <c r="Q254" t="e">
        <f t="shared" ca="1" si="16"/>
        <v>#REF!</v>
      </c>
      <c r="R254" t="e">
        <f t="shared" ca="1" si="17"/>
        <v>#REF!</v>
      </c>
      <c r="S254" t="e">
        <f t="shared" ca="1" si="18"/>
        <v>#REF!</v>
      </c>
      <c r="T254" t="e">
        <f t="shared" ca="1" si="19"/>
        <v>#REF!</v>
      </c>
      <c r="U254" t="e" cm="1">
        <f t="array" aca="1" ref="U254" ca="1">IF(A254="","",IF(E254="","",IF(B254="safety",INDIRECT("template!"&amp;"P"&amp;A254),Q254+R254)))</f>
        <v>#REF!</v>
      </c>
      <c r="V254" t="e" cm="1">
        <f t="array" aca="1" ref="V254" ca="1">IF(A254="","",IF(E254="","",IF(B254="safety",INDIRECT("template!"&amp;"P"&amp;A254),S254+T254)))</f>
        <v>#REF!</v>
      </c>
      <c r="W254" t="e">
        <f ca="1">IF(A254="","",IF(E254="","",#REF!))</f>
        <v>#REF!</v>
      </c>
      <c r="X254" t="e">
        <f ca="1">IF(A254="","",IF(E254="","",#REF!))</f>
        <v>#REF!</v>
      </c>
      <c r="Y254" s="39" t="e">
        <f ca="1">IF(A254="","",IF(E254="","",#REF!))</f>
        <v>#REF!</v>
      </c>
      <c r="Z254" t="e">
        <f ca="1">IF(A254="","",IF(E254="","",#REF!))</f>
        <v>#REF!</v>
      </c>
      <c r="AA254" t="e">
        <f ca="1">IF(A254="","",IF(E254="","",#REF!))</f>
        <v>#REF!</v>
      </c>
      <c r="AB254" t="e">
        <f ca="1">IF(A254="","",IF(E254="","",#REF!))</f>
        <v>#REF!</v>
      </c>
      <c r="AC254" t="e">
        <f t="shared" ca="1" si="20"/>
        <v>#REF!</v>
      </c>
    </row>
    <row r="255" spans="1:29" x14ac:dyDescent="0.35">
      <c r="A255" t="e" cm="1">
        <f t="array" aca="1" ref="A255" ca="1">IF(A254="","",IF(OR(AND(A254+1&gt;=$AF$1,A254+1&lt;=$AF$2),AND(A254+1&gt;=$AF$6,A254+1&lt;=$AF$7),AND(A254+1&gt;=$AF$3,A254+1&lt;=$AF$4),AND(A254+1&gt;=$AF$8,A254+1&lt;=$AF$9),A254+1=$AF$5),IF(NOT(ISBLANK(INDIRECT("template!"&amp;"P"&amp;A254+1))),A254+1,IF(NOT(ISBLANK(INDIRECT("template!"&amp;"P"&amp;A254+2))),A254+2,A254+3)),IF(A254=$AF$2,$AF$3,IF(A254=$AF$4,$AF$5,IF(A254=$AF$5,$AF$6,IF(A254=$AF$7,$AF$8,""))))))</f>
        <v>#REF!</v>
      </c>
      <c r="B255" t="e">
        <f t="shared" ca="1" si="0"/>
        <v>#REF!</v>
      </c>
      <c r="C255" t="e" cm="1">
        <f t="array" aca="1" ref="C255" ca="1">IF(A255="","",IF(B255="safety","safety costs",INDIRECT("template!"&amp;"B"&amp;A255)))</f>
        <v>#REF!</v>
      </c>
      <c r="D255" t="e" cm="1">
        <f t="array" aca="1" ref="D255" ca="1">IF(OR(A255="",B255="safety"),"",INDIRECT("template!"&amp;"C"&amp;A255))</f>
        <v>#REF!</v>
      </c>
      <c r="E255" t="e" cm="1">
        <f t="array" aca="1" ref="E255" ca="1">IF(A255="","",IF(OR(A255=A254+1,A255=A254+2),E254,INDIRECT("template!"&amp;"D"&amp;A255-2)))</f>
        <v>#REF!</v>
      </c>
      <c r="F255" t="e" cm="1">
        <f t="array" aca="1" ref="F255" ca="1">IF(OR(A255="",B255="safety"),"",IF(ISBLANK(IF(A255=A254+1,F254,INDIRECT("template!"&amp;"D"&amp;A255-1))),"",IF(A255=A254+1,F254,INDIRECT("template!"&amp;"D"&amp;A255-1))))</f>
        <v>#REF!</v>
      </c>
      <c r="G255" t="e" cm="1">
        <f t="array" aca="1" ref="G255" ca="1">IF(OR(A255="",B255="safety"),"",IF(ISBLANK(INDIRECT("template!"&amp;"D"&amp;A255)),"",INDIRECT("template!"&amp;"D"&amp;A255)))</f>
        <v>#REF!</v>
      </c>
      <c r="H255" t="e" cm="1">
        <f t="array" aca="1" ref="H255" ca="1">IF(OR(A255="",B255="safety"),"",IF(ISBLANK(INDIRECT("template!"&amp;"E"&amp;A255)),"",INDIRECT("template!"&amp;"E"&amp;A255)))</f>
        <v>#REF!</v>
      </c>
      <c r="I255" t="e" cm="1">
        <f t="array" aca="1" ref="I255" ca="1">IF(OR(A255="",B255="safety"),"",IF(ISBLANK(INDIRECT("template!"&amp;"F"&amp;A255)),"",INDIRECT("template!"&amp;"F"&amp;A255)))</f>
        <v>#REF!</v>
      </c>
      <c r="J255" t="e" cm="1">
        <f t="array" aca="1" ref="J255" ca="1">IF(OR(A255="",B255="safety"),"",IF(ISBLANK(INDIRECT("template!"&amp;"G"&amp;A255)),"",INDIRECT("template!"&amp;"G"&amp;A255)))</f>
        <v>#REF!</v>
      </c>
      <c r="K255" t="e" cm="1">
        <f t="array" aca="1" ref="K255" ca="1">IF(OR(A255="",B255="safety"),"",IF(ISBLANK(INDIRECT("template!"&amp;"H"&amp;A255)),"",INDIRECT("template!"&amp;"H"&amp;A255)))</f>
        <v>#REF!</v>
      </c>
      <c r="L255" t="e" cm="1">
        <f t="array" aca="1" ref="L255" ca="1">IF(OR(A255="",B255="safety"),"",INDIRECT("template!"&amp;"I"&amp;A255))</f>
        <v>#REF!</v>
      </c>
      <c r="M255" t="e" cm="1">
        <f t="array" aca="1" ref="M255" ca="1">IF(OR(A255="",B255="safety"),"",INDIRECT("template!"&amp;"J"&amp;A255))</f>
        <v>#REF!</v>
      </c>
      <c r="N255" t="e" cm="1">
        <f t="array" aca="1" ref="N255" ca="1">IF(OR(A255="",B255="safety"),"",IF(ISBLANK(INDIRECT("template!"&amp;"K"&amp;A255)),"",INDIRECT("template!"&amp;"K"&amp;A255)))</f>
        <v>#REF!</v>
      </c>
      <c r="O255" t="e" cm="1">
        <f t="array" aca="1" ref="O255" ca="1">IF(OR(A255="",B255="safety"),"",INDIRECT("template!"&amp;"L"&amp;A255))</f>
        <v>#REF!</v>
      </c>
      <c r="P255" t="e" cm="1">
        <f t="array" aca="1" ref="P255" ca="1">IF(OR(A255="",B255="safety"),"",INDIRECT("template!"&amp;"M"&amp;A255))</f>
        <v>#REF!</v>
      </c>
      <c r="Q255" t="e">
        <f t="shared" ca="1" si="16"/>
        <v>#REF!</v>
      </c>
      <c r="R255" t="e">
        <f t="shared" ca="1" si="17"/>
        <v>#REF!</v>
      </c>
      <c r="S255" t="e">
        <f t="shared" ca="1" si="18"/>
        <v>#REF!</v>
      </c>
      <c r="T255" t="e">
        <f t="shared" ca="1" si="19"/>
        <v>#REF!</v>
      </c>
      <c r="U255" t="e" cm="1">
        <f t="array" aca="1" ref="U255" ca="1">IF(A255="","",IF(E255="","",IF(B255="safety",INDIRECT("template!"&amp;"P"&amp;A255),Q255+R255)))</f>
        <v>#REF!</v>
      </c>
      <c r="V255" t="e" cm="1">
        <f t="array" aca="1" ref="V255" ca="1">IF(A255="","",IF(E255="","",IF(B255="safety",INDIRECT("template!"&amp;"P"&amp;A255),S255+T255)))</f>
        <v>#REF!</v>
      </c>
      <c r="W255" t="e">
        <f ca="1">IF(A255="","",IF(E255="","",#REF!))</f>
        <v>#REF!</v>
      </c>
      <c r="X255" t="e">
        <f ca="1">IF(A255="","",IF(E255="","",#REF!))</f>
        <v>#REF!</v>
      </c>
      <c r="Y255" s="39" t="e">
        <f ca="1">IF(A255="","",IF(E255="","",#REF!))</f>
        <v>#REF!</v>
      </c>
      <c r="Z255" t="e">
        <f ca="1">IF(A255="","",IF(E255="","",#REF!))</f>
        <v>#REF!</v>
      </c>
      <c r="AA255" t="e">
        <f ca="1">IF(A255="","",IF(E255="","",#REF!))</f>
        <v>#REF!</v>
      </c>
      <c r="AB255" t="e">
        <f ca="1">IF(A255="","",IF(E255="","",#REF!))</f>
        <v>#REF!</v>
      </c>
      <c r="AC255" t="e">
        <f t="shared" ca="1" si="20"/>
        <v>#REF!</v>
      </c>
    </row>
    <row r="256" spans="1:29" x14ac:dyDescent="0.35">
      <c r="A256" t="e" cm="1">
        <f t="array" aca="1" ref="A256" ca="1">IF(A255="","",IF(OR(AND(A255+1&gt;=$AF$1,A255+1&lt;=$AF$2),AND(A255+1&gt;=$AF$6,A255+1&lt;=$AF$7),AND(A255+1&gt;=$AF$3,A255+1&lt;=$AF$4),AND(A255+1&gt;=$AF$8,A255+1&lt;=$AF$9),A255+1=$AF$5),IF(NOT(ISBLANK(INDIRECT("template!"&amp;"P"&amp;A255+1))),A255+1,IF(NOT(ISBLANK(INDIRECT("template!"&amp;"P"&amp;A255+2))),A255+2,A255+3)),IF(A255=$AF$2,$AF$3,IF(A255=$AF$4,$AF$5,IF(A255=$AF$5,$AF$6,IF(A255=$AF$7,$AF$8,""))))))</f>
        <v>#REF!</v>
      </c>
      <c r="B256" t="e">
        <f t="shared" ca="1" si="0"/>
        <v>#REF!</v>
      </c>
      <c r="C256" t="e" cm="1">
        <f t="array" aca="1" ref="C256" ca="1">IF(A256="","",IF(B256="safety","safety costs",INDIRECT("template!"&amp;"B"&amp;A256)))</f>
        <v>#REF!</v>
      </c>
      <c r="D256" t="e" cm="1">
        <f t="array" aca="1" ref="D256" ca="1">IF(OR(A256="",B256="safety"),"",INDIRECT("template!"&amp;"C"&amp;A256))</f>
        <v>#REF!</v>
      </c>
      <c r="E256" t="e" cm="1">
        <f t="array" aca="1" ref="E256" ca="1">IF(A256="","",IF(OR(A256=A255+1,A256=A255+2),E255,INDIRECT("template!"&amp;"D"&amp;A256-2)))</f>
        <v>#REF!</v>
      </c>
      <c r="F256" t="e" cm="1">
        <f t="array" aca="1" ref="F256" ca="1">IF(OR(A256="",B256="safety"),"",IF(ISBLANK(IF(A256=A255+1,F255,INDIRECT("template!"&amp;"D"&amp;A256-1))),"",IF(A256=A255+1,F255,INDIRECT("template!"&amp;"D"&amp;A256-1))))</f>
        <v>#REF!</v>
      </c>
      <c r="G256" t="e" cm="1">
        <f t="array" aca="1" ref="G256" ca="1">IF(OR(A256="",B256="safety"),"",IF(ISBLANK(INDIRECT("template!"&amp;"D"&amp;A256)),"",INDIRECT("template!"&amp;"D"&amp;A256)))</f>
        <v>#REF!</v>
      </c>
      <c r="H256" t="e" cm="1">
        <f t="array" aca="1" ref="H256" ca="1">IF(OR(A256="",B256="safety"),"",IF(ISBLANK(INDIRECT("template!"&amp;"E"&amp;A256)),"",INDIRECT("template!"&amp;"E"&amp;A256)))</f>
        <v>#REF!</v>
      </c>
      <c r="I256" t="e" cm="1">
        <f t="array" aca="1" ref="I256" ca="1">IF(OR(A256="",B256="safety"),"",IF(ISBLANK(INDIRECT("template!"&amp;"F"&amp;A256)),"",INDIRECT("template!"&amp;"F"&amp;A256)))</f>
        <v>#REF!</v>
      </c>
      <c r="J256" t="e" cm="1">
        <f t="array" aca="1" ref="J256" ca="1">IF(OR(A256="",B256="safety"),"",IF(ISBLANK(INDIRECT("template!"&amp;"G"&amp;A256)),"",INDIRECT("template!"&amp;"G"&amp;A256)))</f>
        <v>#REF!</v>
      </c>
      <c r="K256" t="e" cm="1">
        <f t="array" aca="1" ref="K256" ca="1">IF(OR(A256="",B256="safety"),"",IF(ISBLANK(INDIRECT("template!"&amp;"H"&amp;A256)),"",INDIRECT("template!"&amp;"H"&amp;A256)))</f>
        <v>#REF!</v>
      </c>
      <c r="L256" t="e" cm="1">
        <f t="array" aca="1" ref="L256" ca="1">IF(OR(A256="",B256="safety"),"",INDIRECT("template!"&amp;"I"&amp;A256))</f>
        <v>#REF!</v>
      </c>
      <c r="M256" t="e" cm="1">
        <f t="array" aca="1" ref="M256" ca="1">IF(OR(A256="",B256="safety"),"",INDIRECT("template!"&amp;"J"&amp;A256))</f>
        <v>#REF!</v>
      </c>
      <c r="N256" t="e" cm="1">
        <f t="array" aca="1" ref="N256" ca="1">IF(OR(A256="",B256="safety"),"",IF(ISBLANK(INDIRECT("template!"&amp;"K"&amp;A256)),"",INDIRECT("template!"&amp;"K"&amp;A256)))</f>
        <v>#REF!</v>
      </c>
      <c r="O256" t="e" cm="1">
        <f t="array" aca="1" ref="O256" ca="1">IF(OR(A256="",B256="safety"),"",INDIRECT("template!"&amp;"L"&amp;A256))</f>
        <v>#REF!</v>
      </c>
      <c r="P256" t="e" cm="1">
        <f t="array" aca="1" ref="P256" ca="1">IF(OR(A256="",B256="safety"),"",INDIRECT("template!"&amp;"M"&amp;A256))</f>
        <v>#REF!</v>
      </c>
      <c r="Q256" t="e">
        <f t="shared" ca="1" si="16"/>
        <v>#REF!</v>
      </c>
      <c r="R256" t="e">
        <f t="shared" ca="1" si="17"/>
        <v>#REF!</v>
      </c>
      <c r="S256" t="e">
        <f t="shared" ca="1" si="18"/>
        <v>#REF!</v>
      </c>
      <c r="T256" t="e">
        <f t="shared" ca="1" si="19"/>
        <v>#REF!</v>
      </c>
      <c r="U256" t="e" cm="1">
        <f t="array" aca="1" ref="U256" ca="1">IF(A256="","",IF(E256="","",IF(B256="safety",INDIRECT("template!"&amp;"P"&amp;A256),Q256+R256)))</f>
        <v>#REF!</v>
      </c>
      <c r="V256" t="e" cm="1">
        <f t="array" aca="1" ref="V256" ca="1">IF(A256="","",IF(E256="","",IF(B256="safety",INDIRECT("template!"&amp;"P"&amp;A256),S256+T256)))</f>
        <v>#REF!</v>
      </c>
      <c r="W256" t="e">
        <f ca="1">IF(A256="","",IF(E256="","",#REF!))</f>
        <v>#REF!</v>
      </c>
      <c r="X256" t="e">
        <f ca="1">IF(A256="","",IF(E256="","",#REF!))</f>
        <v>#REF!</v>
      </c>
      <c r="Y256" s="39" t="e">
        <f ca="1">IF(A256="","",IF(E256="","",#REF!))</f>
        <v>#REF!</v>
      </c>
      <c r="Z256" t="e">
        <f ca="1">IF(A256="","",IF(E256="","",#REF!))</f>
        <v>#REF!</v>
      </c>
      <c r="AA256" t="e">
        <f ca="1">IF(A256="","",IF(E256="","",#REF!))</f>
        <v>#REF!</v>
      </c>
      <c r="AB256" t="e">
        <f ca="1">IF(A256="","",IF(E256="","",#REF!))</f>
        <v>#REF!</v>
      </c>
      <c r="AC256" t="e">
        <f t="shared" ca="1" si="20"/>
        <v>#REF!</v>
      </c>
    </row>
    <row r="257" spans="1:29" x14ac:dyDescent="0.35">
      <c r="A257" t="e" cm="1">
        <f t="array" aca="1" ref="A257" ca="1">IF(A256="","",IF(OR(AND(A256+1&gt;=$AF$1,A256+1&lt;=$AF$2),AND(A256+1&gt;=$AF$6,A256+1&lt;=$AF$7),AND(A256+1&gt;=$AF$3,A256+1&lt;=$AF$4),AND(A256+1&gt;=$AF$8,A256+1&lt;=$AF$9),A256+1=$AF$5),IF(NOT(ISBLANK(INDIRECT("template!"&amp;"P"&amp;A256+1))),A256+1,IF(NOT(ISBLANK(INDIRECT("template!"&amp;"P"&amp;A256+2))),A256+2,A256+3)),IF(A256=$AF$2,$AF$3,IF(A256=$AF$4,$AF$5,IF(A256=$AF$5,$AF$6,IF(A256=$AF$7,$AF$8,""))))))</f>
        <v>#REF!</v>
      </c>
      <c r="B257" t="e">
        <f t="shared" ca="1" si="0"/>
        <v>#REF!</v>
      </c>
      <c r="C257" t="e" cm="1">
        <f t="array" aca="1" ref="C257" ca="1">IF(A257="","",IF(B257="safety","safety costs",INDIRECT("template!"&amp;"B"&amp;A257)))</f>
        <v>#REF!</v>
      </c>
      <c r="D257" t="e" cm="1">
        <f t="array" aca="1" ref="D257" ca="1">IF(OR(A257="",B257="safety"),"",INDIRECT("template!"&amp;"C"&amp;A257))</f>
        <v>#REF!</v>
      </c>
      <c r="E257" t="e" cm="1">
        <f t="array" aca="1" ref="E257" ca="1">IF(A257="","",IF(OR(A257=A256+1,A257=A256+2),E256,INDIRECT("template!"&amp;"D"&amp;A257-2)))</f>
        <v>#REF!</v>
      </c>
      <c r="F257" t="e" cm="1">
        <f t="array" aca="1" ref="F257" ca="1">IF(OR(A257="",B257="safety"),"",IF(ISBLANK(IF(A257=A256+1,F256,INDIRECT("template!"&amp;"D"&amp;A257-1))),"",IF(A257=A256+1,F256,INDIRECT("template!"&amp;"D"&amp;A257-1))))</f>
        <v>#REF!</v>
      </c>
      <c r="G257" t="e" cm="1">
        <f t="array" aca="1" ref="G257" ca="1">IF(OR(A257="",B257="safety"),"",IF(ISBLANK(INDIRECT("template!"&amp;"D"&amp;A257)),"",INDIRECT("template!"&amp;"D"&amp;A257)))</f>
        <v>#REF!</v>
      </c>
      <c r="H257" t="e" cm="1">
        <f t="array" aca="1" ref="H257" ca="1">IF(OR(A257="",B257="safety"),"",IF(ISBLANK(INDIRECT("template!"&amp;"E"&amp;A257)),"",INDIRECT("template!"&amp;"E"&amp;A257)))</f>
        <v>#REF!</v>
      </c>
      <c r="I257" t="e" cm="1">
        <f t="array" aca="1" ref="I257" ca="1">IF(OR(A257="",B257="safety"),"",IF(ISBLANK(INDIRECT("template!"&amp;"F"&amp;A257)),"",INDIRECT("template!"&amp;"F"&amp;A257)))</f>
        <v>#REF!</v>
      </c>
      <c r="J257" t="e" cm="1">
        <f t="array" aca="1" ref="J257" ca="1">IF(OR(A257="",B257="safety"),"",IF(ISBLANK(INDIRECT("template!"&amp;"G"&amp;A257)),"",INDIRECT("template!"&amp;"G"&amp;A257)))</f>
        <v>#REF!</v>
      </c>
      <c r="K257" t="e" cm="1">
        <f t="array" aca="1" ref="K257" ca="1">IF(OR(A257="",B257="safety"),"",IF(ISBLANK(INDIRECT("template!"&amp;"H"&amp;A257)),"",INDIRECT("template!"&amp;"H"&amp;A257)))</f>
        <v>#REF!</v>
      </c>
      <c r="L257" t="e" cm="1">
        <f t="array" aca="1" ref="L257" ca="1">IF(OR(A257="",B257="safety"),"",INDIRECT("template!"&amp;"I"&amp;A257))</f>
        <v>#REF!</v>
      </c>
      <c r="M257" t="e" cm="1">
        <f t="array" aca="1" ref="M257" ca="1">IF(OR(A257="",B257="safety"),"",INDIRECT("template!"&amp;"J"&amp;A257))</f>
        <v>#REF!</v>
      </c>
      <c r="N257" t="e" cm="1">
        <f t="array" aca="1" ref="N257" ca="1">IF(OR(A257="",B257="safety"),"",IF(ISBLANK(INDIRECT("template!"&amp;"K"&amp;A257)),"",INDIRECT("template!"&amp;"K"&amp;A257)))</f>
        <v>#REF!</v>
      </c>
      <c r="O257" t="e" cm="1">
        <f t="array" aca="1" ref="O257" ca="1">IF(OR(A257="",B257="safety"),"",INDIRECT("template!"&amp;"L"&amp;A257))</f>
        <v>#REF!</v>
      </c>
      <c r="P257" t="e" cm="1">
        <f t="array" aca="1" ref="P257" ca="1">IF(OR(A257="",B257="safety"),"",INDIRECT("template!"&amp;"M"&amp;A257))</f>
        <v>#REF!</v>
      </c>
      <c r="Q257" t="e">
        <f t="shared" ca="1" si="16"/>
        <v>#REF!</v>
      </c>
      <c r="R257" t="e">
        <f t="shared" ca="1" si="17"/>
        <v>#REF!</v>
      </c>
      <c r="S257" t="e">
        <f t="shared" ca="1" si="18"/>
        <v>#REF!</v>
      </c>
      <c r="T257" t="e">
        <f t="shared" ca="1" si="19"/>
        <v>#REF!</v>
      </c>
      <c r="U257" t="e" cm="1">
        <f t="array" aca="1" ref="U257" ca="1">IF(A257="","",IF(E257="","",IF(B257="safety",INDIRECT("template!"&amp;"P"&amp;A257),Q257+R257)))</f>
        <v>#REF!</v>
      </c>
      <c r="V257" t="e" cm="1">
        <f t="array" aca="1" ref="V257" ca="1">IF(A257="","",IF(E257="","",IF(B257="safety",INDIRECT("template!"&amp;"P"&amp;A257),S257+T257)))</f>
        <v>#REF!</v>
      </c>
      <c r="W257" t="e">
        <f ca="1">IF(A257="","",IF(E257="","",#REF!))</f>
        <v>#REF!</v>
      </c>
      <c r="X257" t="e">
        <f ca="1">IF(A257="","",IF(E257="","",#REF!))</f>
        <v>#REF!</v>
      </c>
      <c r="Y257" s="39" t="e">
        <f ca="1">IF(A257="","",IF(E257="","",#REF!))</f>
        <v>#REF!</v>
      </c>
      <c r="Z257" t="e">
        <f ca="1">IF(A257="","",IF(E257="","",#REF!))</f>
        <v>#REF!</v>
      </c>
      <c r="AA257" t="e">
        <f ca="1">IF(A257="","",IF(E257="","",#REF!))</f>
        <v>#REF!</v>
      </c>
      <c r="AB257" t="e">
        <f ca="1">IF(A257="","",IF(E257="","",#REF!))</f>
        <v>#REF!</v>
      </c>
      <c r="AC257" t="e">
        <f t="shared" ca="1" si="20"/>
        <v>#REF!</v>
      </c>
    </row>
    <row r="258" spans="1:29" x14ac:dyDescent="0.35">
      <c r="A258" t="e" cm="1">
        <f t="array" aca="1" ref="A258" ca="1">IF(A257="","",IF(OR(AND(A257+1&gt;=$AF$1,A257+1&lt;=$AF$2),AND(A257+1&gt;=$AF$6,A257+1&lt;=$AF$7),AND(A257+1&gt;=$AF$3,A257+1&lt;=$AF$4),AND(A257+1&gt;=$AF$8,A257+1&lt;=$AF$9),A257+1=$AF$5),IF(NOT(ISBLANK(INDIRECT("template!"&amp;"P"&amp;A257+1))),A257+1,IF(NOT(ISBLANK(INDIRECT("template!"&amp;"P"&amp;A257+2))),A257+2,A257+3)),IF(A257=$AF$2,$AF$3,IF(A257=$AF$4,$AF$5,IF(A257=$AF$5,$AF$6,IF(A257=$AF$7,$AF$8,""))))))</f>
        <v>#REF!</v>
      </c>
      <c r="B258" t="e">
        <f t="shared" ref="B258:B321" ca="1" si="21">IF(A258="","",IF(OR(AND(A258&gt;=$AF$1,A258&lt;=$AF$2),AND(A258&gt;=$AF$6,A258&lt;=$AF$7)),"Mechanical",IF(OR(AND(A258&gt;=$AF$3,A258&lt;=$AF$4),AND(A258&gt;=$AF$8,A258&lt;=$AF$9)),"Electric",IF(A258=$AF$5,"Safety",""))))</f>
        <v>#REF!</v>
      </c>
      <c r="C258" t="e" cm="1">
        <f t="array" aca="1" ref="C258" ca="1">IF(A258="","",IF(B258="safety","safety costs",INDIRECT("template!"&amp;"B"&amp;A258)))</f>
        <v>#REF!</v>
      </c>
      <c r="D258" t="e" cm="1">
        <f t="array" aca="1" ref="D258" ca="1">IF(OR(A258="",B258="safety"),"",INDIRECT("template!"&amp;"C"&amp;A258))</f>
        <v>#REF!</v>
      </c>
      <c r="E258" t="e" cm="1">
        <f t="array" aca="1" ref="E258" ca="1">IF(A258="","",IF(OR(A258=A257+1,A258=A257+2),E257,INDIRECT("template!"&amp;"D"&amp;A258-2)))</f>
        <v>#REF!</v>
      </c>
      <c r="F258" t="e" cm="1">
        <f t="array" aca="1" ref="F258" ca="1">IF(OR(A258="",B258="safety"),"",IF(ISBLANK(IF(A258=A257+1,F257,INDIRECT("template!"&amp;"D"&amp;A258-1))),"",IF(A258=A257+1,F257,INDIRECT("template!"&amp;"D"&amp;A258-1))))</f>
        <v>#REF!</v>
      </c>
      <c r="G258" t="e" cm="1">
        <f t="array" aca="1" ref="G258" ca="1">IF(OR(A258="",B258="safety"),"",IF(ISBLANK(INDIRECT("template!"&amp;"D"&amp;A258)),"",INDIRECT("template!"&amp;"D"&amp;A258)))</f>
        <v>#REF!</v>
      </c>
      <c r="H258" t="e" cm="1">
        <f t="array" aca="1" ref="H258" ca="1">IF(OR(A258="",B258="safety"),"",IF(ISBLANK(INDIRECT("template!"&amp;"E"&amp;A258)),"",INDIRECT("template!"&amp;"E"&amp;A258)))</f>
        <v>#REF!</v>
      </c>
      <c r="I258" t="e" cm="1">
        <f t="array" aca="1" ref="I258" ca="1">IF(OR(A258="",B258="safety"),"",IF(ISBLANK(INDIRECT("template!"&amp;"F"&amp;A258)),"",INDIRECT("template!"&amp;"F"&amp;A258)))</f>
        <v>#REF!</v>
      </c>
      <c r="J258" t="e" cm="1">
        <f t="array" aca="1" ref="J258" ca="1">IF(OR(A258="",B258="safety"),"",IF(ISBLANK(INDIRECT("template!"&amp;"G"&amp;A258)),"",INDIRECT("template!"&amp;"G"&amp;A258)))</f>
        <v>#REF!</v>
      </c>
      <c r="K258" t="e" cm="1">
        <f t="array" aca="1" ref="K258" ca="1">IF(OR(A258="",B258="safety"),"",IF(ISBLANK(INDIRECT("template!"&amp;"H"&amp;A258)),"",INDIRECT("template!"&amp;"H"&amp;A258)))</f>
        <v>#REF!</v>
      </c>
      <c r="L258" t="e" cm="1">
        <f t="array" aca="1" ref="L258" ca="1">IF(OR(A258="",B258="safety"),"",INDIRECT("template!"&amp;"I"&amp;A258))</f>
        <v>#REF!</v>
      </c>
      <c r="M258" t="e" cm="1">
        <f t="array" aca="1" ref="M258" ca="1">IF(OR(A258="",B258="safety"),"",INDIRECT("template!"&amp;"J"&amp;A258))</f>
        <v>#REF!</v>
      </c>
      <c r="N258" t="e" cm="1">
        <f t="array" aca="1" ref="N258" ca="1">IF(OR(A258="",B258="safety"),"",IF(ISBLANK(INDIRECT("template!"&amp;"K"&amp;A258)),"",INDIRECT("template!"&amp;"K"&amp;A258)))</f>
        <v>#REF!</v>
      </c>
      <c r="O258" t="e" cm="1">
        <f t="array" aca="1" ref="O258" ca="1">IF(OR(A258="",B258="safety"),"",INDIRECT("template!"&amp;"L"&amp;A258))</f>
        <v>#REF!</v>
      </c>
      <c r="P258" t="e" cm="1">
        <f t="array" aca="1" ref="P258" ca="1">IF(OR(A258="",B258="safety"),"",INDIRECT("template!"&amp;"M"&amp;A258))</f>
        <v>#REF!</v>
      </c>
      <c r="Q258" t="e">
        <f t="shared" ca="1" si="16"/>
        <v>#REF!</v>
      </c>
      <c r="R258" t="e">
        <f t="shared" ca="1" si="17"/>
        <v>#REF!</v>
      </c>
      <c r="S258" t="e">
        <f t="shared" ca="1" si="18"/>
        <v>#REF!</v>
      </c>
      <c r="T258" t="e">
        <f t="shared" ca="1" si="19"/>
        <v>#REF!</v>
      </c>
      <c r="U258" t="e" cm="1">
        <f t="array" aca="1" ref="U258" ca="1">IF(A258="","",IF(E258="","",IF(B258="safety",INDIRECT("template!"&amp;"P"&amp;A258),Q258+R258)))</f>
        <v>#REF!</v>
      </c>
      <c r="V258" t="e" cm="1">
        <f t="array" aca="1" ref="V258" ca="1">IF(A258="","",IF(E258="","",IF(B258="safety",INDIRECT("template!"&amp;"P"&amp;A258),S258+T258)))</f>
        <v>#REF!</v>
      </c>
      <c r="W258" t="e">
        <f ca="1">IF(A258="","",IF(E258="","",#REF!))</f>
        <v>#REF!</v>
      </c>
      <c r="X258" t="e">
        <f ca="1">IF(A258="","",IF(E258="","",#REF!))</f>
        <v>#REF!</v>
      </c>
      <c r="Y258" s="39" t="e">
        <f ca="1">IF(A258="","",IF(E258="","",#REF!))</f>
        <v>#REF!</v>
      </c>
      <c r="Z258" t="e">
        <f ca="1">IF(A258="","",IF(E258="","",#REF!))</f>
        <v>#REF!</v>
      </c>
      <c r="AA258" t="e">
        <f ca="1">IF(A258="","",IF(E258="","",#REF!))</f>
        <v>#REF!</v>
      </c>
      <c r="AB258" t="e">
        <f ca="1">IF(A258="","",IF(E258="","",#REF!))</f>
        <v>#REF!</v>
      </c>
      <c r="AC258" t="e">
        <f t="shared" ca="1" si="20"/>
        <v>#REF!</v>
      </c>
    </row>
    <row r="259" spans="1:29" x14ac:dyDescent="0.35">
      <c r="A259" t="e" cm="1">
        <f t="array" aca="1" ref="A259" ca="1">IF(A258="","",IF(OR(AND(A258+1&gt;=$AF$1,A258+1&lt;=$AF$2),AND(A258+1&gt;=$AF$6,A258+1&lt;=$AF$7),AND(A258+1&gt;=$AF$3,A258+1&lt;=$AF$4),AND(A258+1&gt;=$AF$8,A258+1&lt;=$AF$9),A258+1=$AF$5),IF(NOT(ISBLANK(INDIRECT("template!"&amp;"P"&amp;A258+1))),A258+1,IF(NOT(ISBLANK(INDIRECT("template!"&amp;"P"&amp;A258+2))),A258+2,A258+3)),IF(A258=$AF$2,$AF$3,IF(A258=$AF$4,$AF$5,IF(A258=$AF$5,$AF$6,IF(A258=$AF$7,$AF$8,""))))))</f>
        <v>#REF!</v>
      </c>
      <c r="B259" t="e">
        <f t="shared" ca="1" si="21"/>
        <v>#REF!</v>
      </c>
      <c r="C259" t="e" cm="1">
        <f t="array" aca="1" ref="C259" ca="1">IF(A259="","",IF(B259="safety","safety costs",INDIRECT("template!"&amp;"B"&amp;A259)))</f>
        <v>#REF!</v>
      </c>
      <c r="D259" t="e" cm="1">
        <f t="array" aca="1" ref="D259" ca="1">IF(OR(A259="",B259="safety"),"",INDIRECT("template!"&amp;"C"&amp;A259))</f>
        <v>#REF!</v>
      </c>
      <c r="E259" t="e" cm="1">
        <f t="array" aca="1" ref="E259" ca="1">IF(A259="","",IF(OR(A259=A258+1,A259=A258+2),E258,INDIRECT("template!"&amp;"D"&amp;A259-2)))</f>
        <v>#REF!</v>
      </c>
      <c r="F259" t="e" cm="1">
        <f t="array" aca="1" ref="F259" ca="1">IF(OR(A259="",B259="safety"),"",IF(ISBLANK(IF(A259=A258+1,F258,INDIRECT("template!"&amp;"D"&amp;A259-1))),"",IF(A259=A258+1,F258,INDIRECT("template!"&amp;"D"&amp;A259-1))))</f>
        <v>#REF!</v>
      </c>
      <c r="G259" t="e" cm="1">
        <f t="array" aca="1" ref="G259" ca="1">IF(OR(A259="",B259="safety"),"",IF(ISBLANK(INDIRECT("template!"&amp;"D"&amp;A259)),"",INDIRECT("template!"&amp;"D"&amp;A259)))</f>
        <v>#REF!</v>
      </c>
      <c r="H259" t="e" cm="1">
        <f t="array" aca="1" ref="H259" ca="1">IF(OR(A259="",B259="safety"),"",IF(ISBLANK(INDIRECT("template!"&amp;"E"&amp;A259)),"",INDIRECT("template!"&amp;"E"&amp;A259)))</f>
        <v>#REF!</v>
      </c>
      <c r="I259" t="e" cm="1">
        <f t="array" aca="1" ref="I259" ca="1">IF(OR(A259="",B259="safety"),"",IF(ISBLANK(INDIRECT("template!"&amp;"F"&amp;A259)),"",INDIRECT("template!"&amp;"F"&amp;A259)))</f>
        <v>#REF!</v>
      </c>
      <c r="J259" t="e" cm="1">
        <f t="array" aca="1" ref="J259" ca="1">IF(OR(A259="",B259="safety"),"",IF(ISBLANK(INDIRECT("template!"&amp;"G"&amp;A259)),"",INDIRECT("template!"&amp;"G"&amp;A259)))</f>
        <v>#REF!</v>
      </c>
      <c r="K259" t="e" cm="1">
        <f t="array" aca="1" ref="K259" ca="1">IF(OR(A259="",B259="safety"),"",IF(ISBLANK(INDIRECT("template!"&amp;"H"&amp;A259)),"",INDIRECT("template!"&amp;"H"&amp;A259)))</f>
        <v>#REF!</v>
      </c>
      <c r="L259" t="e" cm="1">
        <f t="array" aca="1" ref="L259" ca="1">IF(OR(A259="",B259="safety"),"",INDIRECT("template!"&amp;"I"&amp;A259))</f>
        <v>#REF!</v>
      </c>
      <c r="M259" t="e" cm="1">
        <f t="array" aca="1" ref="M259" ca="1">IF(OR(A259="",B259="safety"),"",INDIRECT("template!"&amp;"J"&amp;A259))</f>
        <v>#REF!</v>
      </c>
      <c r="N259" t="e" cm="1">
        <f t="array" aca="1" ref="N259" ca="1">IF(OR(A259="",B259="safety"),"",IF(ISBLANK(INDIRECT("template!"&amp;"K"&amp;A259)),"",INDIRECT("template!"&amp;"K"&amp;A259)))</f>
        <v>#REF!</v>
      </c>
      <c r="O259" t="e" cm="1">
        <f t="array" aca="1" ref="O259" ca="1">IF(OR(A259="",B259="safety"),"",INDIRECT("template!"&amp;"L"&amp;A259))</f>
        <v>#REF!</v>
      </c>
      <c r="P259" t="e" cm="1">
        <f t="array" aca="1" ref="P259" ca="1">IF(OR(A259="",B259="safety"),"",INDIRECT("template!"&amp;"M"&amp;A259))</f>
        <v>#REF!</v>
      </c>
      <c r="Q259" t="e">
        <f t="shared" ca="1" si="16"/>
        <v>#REF!</v>
      </c>
      <c r="R259" t="e">
        <f t="shared" ca="1" si="17"/>
        <v>#REF!</v>
      </c>
      <c r="S259" t="e">
        <f t="shared" ca="1" si="18"/>
        <v>#REF!</v>
      </c>
      <c r="T259" t="e">
        <f t="shared" ca="1" si="19"/>
        <v>#REF!</v>
      </c>
      <c r="U259" t="e" cm="1">
        <f t="array" aca="1" ref="U259" ca="1">IF(A259="","",IF(E259="","",IF(B259="safety",INDIRECT("template!"&amp;"P"&amp;A259),Q259+R259)))</f>
        <v>#REF!</v>
      </c>
      <c r="V259" t="e" cm="1">
        <f t="array" aca="1" ref="V259" ca="1">IF(A259="","",IF(E259="","",IF(B259="safety",INDIRECT("template!"&amp;"P"&amp;A259),S259+T259)))</f>
        <v>#REF!</v>
      </c>
      <c r="W259" t="e">
        <f ca="1">IF(A259="","",IF(E259="","",#REF!))</f>
        <v>#REF!</v>
      </c>
      <c r="X259" t="e">
        <f ca="1">IF(A259="","",IF(E259="","",#REF!))</f>
        <v>#REF!</v>
      </c>
      <c r="Y259" s="39" t="e">
        <f ca="1">IF(A259="","",IF(E259="","",#REF!))</f>
        <v>#REF!</v>
      </c>
      <c r="Z259" t="e">
        <f ca="1">IF(A259="","",IF(E259="","",#REF!))</f>
        <v>#REF!</v>
      </c>
      <c r="AA259" t="e">
        <f ca="1">IF(A259="","",IF(E259="","",#REF!))</f>
        <v>#REF!</v>
      </c>
      <c r="AB259" t="e">
        <f ca="1">IF(A259="","",IF(E259="","",#REF!))</f>
        <v>#REF!</v>
      </c>
      <c r="AC259" t="e">
        <f t="shared" ca="1" si="20"/>
        <v>#REF!</v>
      </c>
    </row>
    <row r="260" spans="1:29" x14ac:dyDescent="0.35">
      <c r="A260" t="e" cm="1">
        <f t="array" aca="1" ref="A260" ca="1">IF(A259="","",IF(OR(AND(A259+1&gt;=$AF$1,A259+1&lt;=$AF$2),AND(A259+1&gt;=$AF$6,A259+1&lt;=$AF$7),AND(A259+1&gt;=$AF$3,A259+1&lt;=$AF$4),AND(A259+1&gt;=$AF$8,A259+1&lt;=$AF$9),A259+1=$AF$5),IF(NOT(ISBLANK(INDIRECT("template!"&amp;"P"&amp;A259+1))),A259+1,IF(NOT(ISBLANK(INDIRECT("template!"&amp;"P"&amp;A259+2))),A259+2,A259+3)),IF(A259=$AF$2,$AF$3,IF(A259=$AF$4,$AF$5,IF(A259=$AF$5,$AF$6,IF(A259=$AF$7,$AF$8,""))))))</f>
        <v>#REF!</v>
      </c>
      <c r="B260" t="e">
        <f t="shared" ca="1" si="21"/>
        <v>#REF!</v>
      </c>
      <c r="C260" t="e" cm="1">
        <f t="array" aca="1" ref="C260" ca="1">IF(A260="","",IF(B260="safety","safety costs",INDIRECT("template!"&amp;"B"&amp;A260)))</f>
        <v>#REF!</v>
      </c>
      <c r="D260" t="e" cm="1">
        <f t="array" aca="1" ref="D260" ca="1">IF(OR(A260="",B260="safety"),"",INDIRECT("template!"&amp;"C"&amp;A260))</f>
        <v>#REF!</v>
      </c>
      <c r="E260" t="e" cm="1">
        <f t="array" aca="1" ref="E260" ca="1">IF(A260="","",IF(OR(A260=A259+1,A260=A259+2),E259,INDIRECT("template!"&amp;"D"&amp;A260-2)))</f>
        <v>#REF!</v>
      </c>
      <c r="F260" t="e" cm="1">
        <f t="array" aca="1" ref="F260" ca="1">IF(OR(A260="",B260="safety"),"",IF(ISBLANK(IF(A260=A259+1,F259,INDIRECT("template!"&amp;"D"&amp;A260-1))),"",IF(A260=A259+1,F259,INDIRECT("template!"&amp;"D"&amp;A260-1))))</f>
        <v>#REF!</v>
      </c>
      <c r="G260" t="e" cm="1">
        <f t="array" aca="1" ref="G260" ca="1">IF(OR(A260="",B260="safety"),"",IF(ISBLANK(INDIRECT("template!"&amp;"D"&amp;A260)),"",INDIRECT("template!"&amp;"D"&amp;A260)))</f>
        <v>#REF!</v>
      </c>
      <c r="H260" t="e" cm="1">
        <f t="array" aca="1" ref="H260" ca="1">IF(OR(A260="",B260="safety"),"",IF(ISBLANK(INDIRECT("template!"&amp;"E"&amp;A260)),"",INDIRECT("template!"&amp;"E"&amp;A260)))</f>
        <v>#REF!</v>
      </c>
      <c r="I260" t="e" cm="1">
        <f t="array" aca="1" ref="I260" ca="1">IF(OR(A260="",B260="safety"),"",IF(ISBLANK(INDIRECT("template!"&amp;"F"&amp;A260)),"",INDIRECT("template!"&amp;"F"&amp;A260)))</f>
        <v>#REF!</v>
      </c>
      <c r="J260" t="e" cm="1">
        <f t="array" aca="1" ref="J260" ca="1">IF(OR(A260="",B260="safety"),"",IF(ISBLANK(INDIRECT("template!"&amp;"G"&amp;A260)),"",INDIRECT("template!"&amp;"G"&amp;A260)))</f>
        <v>#REF!</v>
      </c>
      <c r="K260" t="e" cm="1">
        <f t="array" aca="1" ref="K260" ca="1">IF(OR(A260="",B260="safety"),"",IF(ISBLANK(INDIRECT("template!"&amp;"H"&amp;A260)),"",INDIRECT("template!"&amp;"H"&amp;A260)))</f>
        <v>#REF!</v>
      </c>
      <c r="L260" t="e" cm="1">
        <f t="array" aca="1" ref="L260" ca="1">IF(OR(A260="",B260="safety"),"",INDIRECT("template!"&amp;"I"&amp;A260))</f>
        <v>#REF!</v>
      </c>
      <c r="M260" t="e" cm="1">
        <f t="array" aca="1" ref="M260" ca="1">IF(OR(A260="",B260="safety"),"",INDIRECT("template!"&amp;"J"&amp;A260))</f>
        <v>#REF!</v>
      </c>
      <c r="N260" t="e" cm="1">
        <f t="array" aca="1" ref="N260" ca="1">IF(OR(A260="",B260="safety"),"",IF(ISBLANK(INDIRECT("template!"&amp;"K"&amp;A260)),"",INDIRECT("template!"&amp;"K"&amp;A260)))</f>
        <v>#REF!</v>
      </c>
      <c r="O260" t="e" cm="1">
        <f t="array" aca="1" ref="O260" ca="1">IF(OR(A260="",B260="safety"),"",INDIRECT("template!"&amp;"L"&amp;A260))</f>
        <v>#REF!</v>
      </c>
      <c r="P260" t="e" cm="1">
        <f t="array" aca="1" ref="P260" ca="1">IF(OR(A260="",B260="safety"),"",INDIRECT("template!"&amp;"M"&amp;A260))</f>
        <v>#REF!</v>
      </c>
      <c r="Q260" t="e">
        <f t="shared" ref="Q260:Q323" ca="1" si="22">IF(OR(A260="",B260="safety"),"",IF(E260="","",O260*L260))</f>
        <v>#REF!</v>
      </c>
      <c r="R260" t="e">
        <f t="shared" ref="R260:R323" ca="1" si="23">IF(OR(A260="",B260="safety"),"",IF(E260="","",P260*L260))</f>
        <v>#REF!</v>
      </c>
      <c r="S260" t="e">
        <f t="shared" ref="S260:S323" ca="1" si="24">IF(OR(A260="",B260="safety"),"",IF(E260="","",O260*M260))</f>
        <v>#REF!</v>
      </c>
      <c r="T260" t="e">
        <f t="shared" ref="T260:T323" ca="1" si="25">IF(OR(A260="",B260="safety"),"",IF(E260="","",M260*P260))</f>
        <v>#REF!</v>
      </c>
      <c r="U260" t="e" cm="1">
        <f t="array" aca="1" ref="U260" ca="1">IF(A260="","",IF(E260="","",IF(B260="safety",INDIRECT("template!"&amp;"P"&amp;A260),Q260+R260)))</f>
        <v>#REF!</v>
      </c>
      <c r="V260" t="e" cm="1">
        <f t="array" aca="1" ref="V260" ca="1">IF(A260="","",IF(E260="","",IF(B260="safety",INDIRECT("template!"&amp;"P"&amp;A260),S260+T260)))</f>
        <v>#REF!</v>
      </c>
      <c r="W260" t="e">
        <f ca="1">IF(A260="","",IF(E260="","",#REF!))</f>
        <v>#REF!</v>
      </c>
      <c r="X260" t="e">
        <f ca="1">IF(A260="","",IF(E260="","",#REF!))</f>
        <v>#REF!</v>
      </c>
      <c r="Y260" s="39" t="e">
        <f ca="1">IF(A260="","",IF(E260="","",#REF!))</f>
        <v>#REF!</v>
      </c>
      <c r="Z260" t="e">
        <f ca="1">IF(A260="","",IF(E260="","",#REF!))</f>
        <v>#REF!</v>
      </c>
      <c r="AA260" t="e">
        <f ca="1">IF(A260="","",IF(E260="","",#REF!))</f>
        <v>#REF!</v>
      </c>
      <c r="AB260" t="e">
        <f ca="1">IF(A260="","",IF(E260="","",#REF!))</f>
        <v>#REF!</v>
      </c>
      <c r="AC260" t="e">
        <f t="shared" ref="AC260:AC323" ca="1" si="26">IF(A260="","",IF(E260="","","WEEK "&amp;WEEKNUM(Y260)&amp;"_"&amp;YEAR(Y260)))</f>
        <v>#REF!</v>
      </c>
    </row>
    <row r="261" spans="1:29" x14ac:dyDescent="0.35">
      <c r="A261" t="e" cm="1">
        <f t="array" aca="1" ref="A261" ca="1">IF(A260="","",IF(OR(AND(A260+1&gt;=$AF$1,A260+1&lt;=$AF$2),AND(A260+1&gt;=$AF$6,A260+1&lt;=$AF$7),AND(A260+1&gt;=$AF$3,A260+1&lt;=$AF$4),AND(A260+1&gt;=$AF$8,A260+1&lt;=$AF$9),A260+1=$AF$5),IF(NOT(ISBLANK(INDIRECT("template!"&amp;"P"&amp;A260+1))),A260+1,IF(NOT(ISBLANK(INDIRECT("template!"&amp;"P"&amp;A260+2))),A260+2,A260+3)),IF(A260=$AF$2,$AF$3,IF(A260=$AF$4,$AF$5,IF(A260=$AF$5,$AF$6,IF(A260=$AF$7,$AF$8,""))))))</f>
        <v>#REF!</v>
      </c>
      <c r="B261" t="e">
        <f t="shared" ca="1" si="21"/>
        <v>#REF!</v>
      </c>
      <c r="C261" t="e" cm="1">
        <f t="array" aca="1" ref="C261" ca="1">IF(A261="","",IF(B261="safety","safety costs",INDIRECT("template!"&amp;"B"&amp;A261)))</f>
        <v>#REF!</v>
      </c>
      <c r="D261" t="e" cm="1">
        <f t="array" aca="1" ref="D261" ca="1">IF(OR(A261="",B261="safety"),"",INDIRECT("template!"&amp;"C"&amp;A261))</f>
        <v>#REF!</v>
      </c>
      <c r="E261" t="e" cm="1">
        <f t="array" aca="1" ref="E261" ca="1">IF(A261="","",IF(OR(A261=A260+1,A261=A260+2),E260,INDIRECT("template!"&amp;"D"&amp;A261-2)))</f>
        <v>#REF!</v>
      </c>
      <c r="F261" t="e" cm="1">
        <f t="array" aca="1" ref="F261" ca="1">IF(OR(A261="",B261="safety"),"",IF(ISBLANK(IF(A261=A260+1,F260,INDIRECT("template!"&amp;"D"&amp;A261-1))),"",IF(A261=A260+1,F260,INDIRECT("template!"&amp;"D"&amp;A261-1))))</f>
        <v>#REF!</v>
      </c>
      <c r="G261" t="e" cm="1">
        <f t="array" aca="1" ref="G261" ca="1">IF(OR(A261="",B261="safety"),"",IF(ISBLANK(INDIRECT("template!"&amp;"D"&amp;A261)),"",INDIRECT("template!"&amp;"D"&amp;A261)))</f>
        <v>#REF!</v>
      </c>
      <c r="H261" t="e" cm="1">
        <f t="array" aca="1" ref="H261" ca="1">IF(OR(A261="",B261="safety"),"",IF(ISBLANK(INDIRECT("template!"&amp;"E"&amp;A261)),"",INDIRECT("template!"&amp;"E"&amp;A261)))</f>
        <v>#REF!</v>
      </c>
      <c r="I261" t="e" cm="1">
        <f t="array" aca="1" ref="I261" ca="1">IF(OR(A261="",B261="safety"),"",IF(ISBLANK(INDIRECT("template!"&amp;"F"&amp;A261)),"",INDIRECT("template!"&amp;"F"&amp;A261)))</f>
        <v>#REF!</v>
      </c>
      <c r="J261" t="e" cm="1">
        <f t="array" aca="1" ref="J261" ca="1">IF(OR(A261="",B261="safety"),"",IF(ISBLANK(INDIRECT("template!"&amp;"G"&amp;A261)),"",INDIRECT("template!"&amp;"G"&amp;A261)))</f>
        <v>#REF!</v>
      </c>
      <c r="K261" t="e" cm="1">
        <f t="array" aca="1" ref="K261" ca="1">IF(OR(A261="",B261="safety"),"",IF(ISBLANK(INDIRECT("template!"&amp;"H"&amp;A261)),"",INDIRECT("template!"&amp;"H"&amp;A261)))</f>
        <v>#REF!</v>
      </c>
      <c r="L261" t="e" cm="1">
        <f t="array" aca="1" ref="L261" ca="1">IF(OR(A261="",B261="safety"),"",INDIRECT("template!"&amp;"I"&amp;A261))</f>
        <v>#REF!</v>
      </c>
      <c r="M261" t="e" cm="1">
        <f t="array" aca="1" ref="M261" ca="1">IF(OR(A261="",B261="safety"),"",INDIRECT("template!"&amp;"J"&amp;A261))</f>
        <v>#REF!</v>
      </c>
      <c r="N261" t="e" cm="1">
        <f t="array" aca="1" ref="N261" ca="1">IF(OR(A261="",B261="safety"),"",IF(ISBLANK(INDIRECT("template!"&amp;"K"&amp;A261)),"",INDIRECT("template!"&amp;"K"&amp;A261)))</f>
        <v>#REF!</v>
      </c>
      <c r="O261" t="e" cm="1">
        <f t="array" aca="1" ref="O261" ca="1">IF(OR(A261="",B261="safety"),"",INDIRECT("template!"&amp;"L"&amp;A261))</f>
        <v>#REF!</v>
      </c>
      <c r="P261" t="e" cm="1">
        <f t="array" aca="1" ref="P261" ca="1">IF(OR(A261="",B261="safety"),"",INDIRECT("template!"&amp;"M"&amp;A261))</f>
        <v>#REF!</v>
      </c>
      <c r="Q261" t="e">
        <f t="shared" ca="1" si="22"/>
        <v>#REF!</v>
      </c>
      <c r="R261" t="e">
        <f t="shared" ca="1" si="23"/>
        <v>#REF!</v>
      </c>
      <c r="S261" t="e">
        <f t="shared" ca="1" si="24"/>
        <v>#REF!</v>
      </c>
      <c r="T261" t="e">
        <f t="shared" ca="1" si="25"/>
        <v>#REF!</v>
      </c>
      <c r="U261" t="e" cm="1">
        <f t="array" aca="1" ref="U261" ca="1">IF(A261="","",IF(E261="","",IF(B261="safety",INDIRECT("template!"&amp;"P"&amp;A261),Q261+R261)))</f>
        <v>#REF!</v>
      </c>
      <c r="V261" t="e" cm="1">
        <f t="array" aca="1" ref="V261" ca="1">IF(A261="","",IF(E261="","",IF(B261="safety",INDIRECT("template!"&amp;"P"&amp;A261),S261+T261)))</f>
        <v>#REF!</v>
      </c>
      <c r="W261" t="e">
        <f ca="1">IF(A261="","",IF(E261="","",#REF!))</f>
        <v>#REF!</v>
      </c>
      <c r="X261" t="e">
        <f ca="1">IF(A261="","",IF(E261="","",#REF!))</f>
        <v>#REF!</v>
      </c>
      <c r="Y261" s="39" t="e">
        <f ca="1">IF(A261="","",IF(E261="","",#REF!))</f>
        <v>#REF!</v>
      </c>
      <c r="Z261" t="e">
        <f ca="1">IF(A261="","",IF(E261="","",#REF!))</f>
        <v>#REF!</v>
      </c>
      <c r="AA261" t="e">
        <f ca="1">IF(A261="","",IF(E261="","",#REF!))</f>
        <v>#REF!</v>
      </c>
      <c r="AB261" t="e">
        <f ca="1">IF(A261="","",IF(E261="","",#REF!))</f>
        <v>#REF!</v>
      </c>
      <c r="AC261" t="e">
        <f t="shared" ca="1" si="26"/>
        <v>#REF!</v>
      </c>
    </row>
    <row r="262" spans="1:29" x14ac:dyDescent="0.35">
      <c r="A262" t="e" cm="1">
        <f t="array" aca="1" ref="A262" ca="1">IF(A261="","",IF(OR(AND(A261+1&gt;=$AF$1,A261+1&lt;=$AF$2),AND(A261+1&gt;=$AF$6,A261+1&lt;=$AF$7),AND(A261+1&gt;=$AF$3,A261+1&lt;=$AF$4),AND(A261+1&gt;=$AF$8,A261+1&lt;=$AF$9),A261+1=$AF$5),IF(NOT(ISBLANK(INDIRECT("template!"&amp;"P"&amp;A261+1))),A261+1,IF(NOT(ISBLANK(INDIRECT("template!"&amp;"P"&amp;A261+2))),A261+2,A261+3)),IF(A261=$AF$2,$AF$3,IF(A261=$AF$4,$AF$5,IF(A261=$AF$5,$AF$6,IF(A261=$AF$7,$AF$8,""))))))</f>
        <v>#REF!</v>
      </c>
      <c r="B262" t="e">
        <f t="shared" ca="1" si="21"/>
        <v>#REF!</v>
      </c>
      <c r="C262" t="e" cm="1">
        <f t="array" aca="1" ref="C262" ca="1">IF(A262="","",IF(B262="safety","safety costs",INDIRECT("template!"&amp;"B"&amp;A262)))</f>
        <v>#REF!</v>
      </c>
      <c r="D262" t="e" cm="1">
        <f t="array" aca="1" ref="D262" ca="1">IF(OR(A262="",B262="safety"),"",INDIRECT("template!"&amp;"C"&amp;A262))</f>
        <v>#REF!</v>
      </c>
      <c r="E262" t="e" cm="1">
        <f t="array" aca="1" ref="E262" ca="1">IF(A262="","",IF(OR(A262=A261+1,A262=A261+2),E261,INDIRECT("template!"&amp;"D"&amp;A262-2)))</f>
        <v>#REF!</v>
      </c>
      <c r="F262" t="e" cm="1">
        <f t="array" aca="1" ref="F262" ca="1">IF(OR(A262="",B262="safety"),"",IF(ISBLANK(IF(A262=A261+1,F261,INDIRECT("template!"&amp;"D"&amp;A262-1))),"",IF(A262=A261+1,F261,INDIRECT("template!"&amp;"D"&amp;A262-1))))</f>
        <v>#REF!</v>
      </c>
      <c r="G262" t="e" cm="1">
        <f t="array" aca="1" ref="G262" ca="1">IF(OR(A262="",B262="safety"),"",IF(ISBLANK(INDIRECT("template!"&amp;"D"&amp;A262)),"",INDIRECT("template!"&amp;"D"&amp;A262)))</f>
        <v>#REF!</v>
      </c>
      <c r="H262" t="e" cm="1">
        <f t="array" aca="1" ref="H262" ca="1">IF(OR(A262="",B262="safety"),"",IF(ISBLANK(INDIRECT("template!"&amp;"E"&amp;A262)),"",INDIRECT("template!"&amp;"E"&amp;A262)))</f>
        <v>#REF!</v>
      </c>
      <c r="I262" t="e" cm="1">
        <f t="array" aca="1" ref="I262" ca="1">IF(OR(A262="",B262="safety"),"",IF(ISBLANK(INDIRECT("template!"&amp;"F"&amp;A262)),"",INDIRECT("template!"&amp;"F"&amp;A262)))</f>
        <v>#REF!</v>
      </c>
      <c r="J262" t="e" cm="1">
        <f t="array" aca="1" ref="J262" ca="1">IF(OR(A262="",B262="safety"),"",IF(ISBLANK(INDIRECT("template!"&amp;"G"&amp;A262)),"",INDIRECT("template!"&amp;"G"&amp;A262)))</f>
        <v>#REF!</v>
      </c>
      <c r="K262" t="e" cm="1">
        <f t="array" aca="1" ref="K262" ca="1">IF(OR(A262="",B262="safety"),"",IF(ISBLANK(INDIRECT("template!"&amp;"H"&amp;A262)),"",INDIRECT("template!"&amp;"H"&amp;A262)))</f>
        <v>#REF!</v>
      </c>
      <c r="L262" t="e" cm="1">
        <f t="array" aca="1" ref="L262" ca="1">IF(OR(A262="",B262="safety"),"",INDIRECT("template!"&amp;"I"&amp;A262))</f>
        <v>#REF!</v>
      </c>
      <c r="M262" t="e" cm="1">
        <f t="array" aca="1" ref="M262" ca="1">IF(OR(A262="",B262="safety"),"",INDIRECT("template!"&amp;"J"&amp;A262))</f>
        <v>#REF!</v>
      </c>
      <c r="N262" t="e" cm="1">
        <f t="array" aca="1" ref="N262" ca="1">IF(OR(A262="",B262="safety"),"",IF(ISBLANK(INDIRECT("template!"&amp;"K"&amp;A262)),"",INDIRECT("template!"&amp;"K"&amp;A262)))</f>
        <v>#REF!</v>
      </c>
      <c r="O262" t="e" cm="1">
        <f t="array" aca="1" ref="O262" ca="1">IF(OR(A262="",B262="safety"),"",INDIRECT("template!"&amp;"L"&amp;A262))</f>
        <v>#REF!</v>
      </c>
      <c r="P262" t="e" cm="1">
        <f t="array" aca="1" ref="P262" ca="1">IF(OR(A262="",B262="safety"),"",INDIRECT("template!"&amp;"M"&amp;A262))</f>
        <v>#REF!</v>
      </c>
      <c r="Q262" t="e">
        <f t="shared" ca="1" si="22"/>
        <v>#REF!</v>
      </c>
      <c r="R262" t="e">
        <f t="shared" ca="1" si="23"/>
        <v>#REF!</v>
      </c>
      <c r="S262" t="e">
        <f t="shared" ca="1" si="24"/>
        <v>#REF!</v>
      </c>
      <c r="T262" t="e">
        <f t="shared" ca="1" si="25"/>
        <v>#REF!</v>
      </c>
      <c r="U262" t="e" cm="1">
        <f t="array" aca="1" ref="U262" ca="1">IF(A262="","",IF(E262="","",IF(B262="safety",INDIRECT("template!"&amp;"P"&amp;A262),Q262+R262)))</f>
        <v>#REF!</v>
      </c>
      <c r="V262" t="e" cm="1">
        <f t="array" aca="1" ref="V262" ca="1">IF(A262="","",IF(E262="","",IF(B262="safety",INDIRECT("template!"&amp;"P"&amp;A262),S262+T262)))</f>
        <v>#REF!</v>
      </c>
      <c r="W262" t="e">
        <f ca="1">IF(A262="","",IF(E262="","",#REF!))</f>
        <v>#REF!</v>
      </c>
      <c r="X262" t="e">
        <f ca="1">IF(A262="","",IF(E262="","",#REF!))</f>
        <v>#REF!</v>
      </c>
      <c r="Y262" s="39" t="e">
        <f ca="1">IF(A262="","",IF(E262="","",#REF!))</f>
        <v>#REF!</v>
      </c>
      <c r="Z262" t="e">
        <f ca="1">IF(A262="","",IF(E262="","",#REF!))</f>
        <v>#REF!</v>
      </c>
      <c r="AA262" t="e">
        <f ca="1">IF(A262="","",IF(E262="","",#REF!))</f>
        <v>#REF!</v>
      </c>
      <c r="AB262" t="e">
        <f ca="1">IF(A262="","",IF(E262="","",#REF!))</f>
        <v>#REF!</v>
      </c>
      <c r="AC262" t="e">
        <f t="shared" ca="1" si="26"/>
        <v>#REF!</v>
      </c>
    </row>
    <row r="263" spans="1:29" x14ac:dyDescent="0.35">
      <c r="A263" t="e" cm="1">
        <f t="array" aca="1" ref="A263" ca="1">IF(A262="","",IF(OR(AND(A262+1&gt;=$AF$1,A262+1&lt;=$AF$2),AND(A262+1&gt;=$AF$6,A262+1&lt;=$AF$7),AND(A262+1&gt;=$AF$3,A262+1&lt;=$AF$4),AND(A262+1&gt;=$AF$8,A262+1&lt;=$AF$9),A262+1=$AF$5),IF(NOT(ISBLANK(INDIRECT("template!"&amp;"P"&amp;A262+1))),A262+1,IF(NOT(ISBLANK(INDIRECT("template!"&amp;"P"&amp;A262+2))),A262+2,A262+3)),IF(A262=$AF$2,$AF$3,IF(A262=$AF$4,$AF$5,IF(A262=$AF$5,$AF$6,IF(A262=$AF$7,$AF$8,""))))))</f>
        <v>#REF!</v>
      </c>
      <c r="B263" t="e">
        <f t="shared" ca="1" si="21"/>
        <v>#REF!</v>
      </c>
      <c r="C263" t="e" cm="1">
        <f t="array" aca="1" ref="C263" ca="1">IF(A263="","",IF(B263="safety","safety costs",INDIRECT("template!"&amp;"B"&amp;A263)))</f>
        <v>#REF!</v>
      </c>
      <c r="D263" t="e" cm="1">
        <f t="array" aca="1" ref="D263" ca="1">IF(OR(A263="",B263="safety"),"",INDIRECT("template!"&amp;"C"&amp;A263))</f>
        <v>#REF!</v>
      </c>
      <c r="E263" t="e" cm="1">
        <f t="array" aca="1" ref="E263" ca="1">IF(A263="","",IF(OR(A263=A262+1,A263=A262+2),E262,INDIRECT("template!"&amp;"D"&amp;A263-2)))</f>
        <v>#REF!</v>
      </c>
      <c r="F263" t="e" cm="1">
        <f t="array" aca="1" ref="F263" ca="1">IF(OR(A263="",B263="safety"),"",IF(ISBLANK(IF(A263=A262+1,F262,INDIRECT("template!"&amp;"D"&amp;A263-1))),"",IF(A263=A262+1,F262,INDIRECT("template!"&amp;"D"&amp;A263-1))))</f>
        <v>#REF!</v>
      </c>
      <c r="G263" t="e" cm="1">
        <f t="array" aca="1" ref="G263" ca="1">IF(OR(A263="",B263="safety"),"",IF(ISBLANK(INDIRECT("template!"&amp;"D"&amp;A263)),"",INDIRECT("template!"&amp;"D"&amp;A263)))</f>
        <v>#REF!</v>
      </c>
      <c r="H263" t="e" cm="1">
        <f t="array" aca="1" ref="H263" ca="1">IF(OR(A263="",B263="safety"),"",IF(ISBLANK(INDIRECT("template!"&amp;"E"&amp;A263)),"",INDIRECT("template!"&amp;"E"&amp;A263)))</f>
        <v>#REF!</v>
      </c>
      <c r="I263" t="e" cm="1">
        <f t="array" aca="1" ref="I263" ca="1">IF(OR(A263="",B263="safety"),"",IF(ISBLANK(INDIRECT("template!"&amp;"F"&amp;A263)),"",INDIRECT("template!"&amp;"F"&amp;A263)))</f>
        <v>#REF!</v>
      </c>
      <c r="J263" t="e" cm="1">
        <f t="array" aca="1" ref="J263" ca="1">IF(OR(A263="",B263="safety"),"",IF(ISBLANK(INDIRECT("template!"&amp;"G"&amp;A263)),"",INDIRECT("template!"&amp;"G"&amp;A263)))</f>
        <v>#REF!</v>
      </c>
      <c r="K263" t="e" cm="1">
        <f t="array" aca="1" ref="K263" ca="1">IF(OR(A263="",B263="safety"),"",IF(ISBLANK(INDIRECT("template!"&amp;"H"&amp;A263)),"",INDIRECT("template!"&amp;"H"&amp;A263)))</f>
        <v>#REF!</v>
      </c>
      <c r="L263" t="e" cm="1">
        <f t="array" aca="1" ref="L263" ca="1">IF(OR(A263="",B263="safety"),"",INDIRECT("template!"&amp;"I"&amp;A263))</f>
        <v>#REF!</v>
      </c>
      <c r="M263" t="e" cm="1">
        <f t="array" aca="1" ref="M263" ca="1">IF(OR(A263="",B263="safety"),"",INDIRECT("template!"&amp;"J"&amp;A263))</f>
        <v>#REF!</v>
      </c>
      <c r="N263" t="e" cm="1">
        <f t="array" aca="1" ref="N263" ca="1">IF(OR(A263="",B263="safety"),"",IF(ISBLANK(INDIRECT("template!"&amp;"K"&amp;A263)),"",INDIRECT("template!"&amp;"K"&amp;A263)))</f>
        <v>#REF!</v>
      </c>
      <c r="O263" t="e" cm="1">
        <f t="array" aca="1" ref="O263" ca="1">IF(OR(A263="",B263="safety"),"",INDIRECT("template!"&amp;"L"&amp;A263))</f>
        <v>#REF!</v>
      </c>
      <c r="P263" t="e" cm="1">
        <f t="array" aca="1" ref="P263" ca="1">IF(OR(A263="",B263="safety"),"",INDIRECT("template!"&amp;"M"&amp;A263))</f>
        <v>#REF!</v>
      </c>
      <c r="Q263" t="e">
        <f t="shared" ca="1" si="22"/>
        <v>#REF!</v>
      </c>
      <c r="R263" t="e">
        <f t="shared" ca="1" si="23"/>
        <v>#REF!</v>
      </c>
      <c r="S263" t="e">
        <f t="shared" ca="1" si="24"/>
        <v>#REF!</v>
      </c>
      <c r="T263" t="e">
        <f t="shared" ca="1" si="25"/>
        <v>#REF!</v>
      </c>
      <c r="U263" t="e" cm="1">
        <f t="array" aca="1" ref="U263" ca="1">IF(A263="","",IF(E263="","",IF(B263="safety",INDIRECT("template!"&amp;"P"&amp;A263),Q263+R263)))</f>
        <v>#REF!</v>
      </c>
      <c r="V263" t="e" cm="1">
        <f t="array" aca="1" ref="V263" ca="1">IF(A263="","",IF(E263="","",IF(B263="safety",INDIRECT("template!"&amp;"P"&amp;A263),S263+T263)))</f>
        <v>#REF!</v>
      </c>
      <c r="W263" t="e">
        <f ca="1">IF(A263="","",IF(E263="","",#REF!))</f>
        <v>#REF!</v>
      </c>
      <c r="X263" t="e">
        <f ca="1">IF(A263="","",IF(E263="","",#REF!))</f>
        <v>#REF!</v>
      </c>
      <c r="Y263" s="39" t="e">
        <f ca="1">IF(A263="","",IF(E263="","",#REF!))</f>
        <v>#REF!</v>
      </c>
      <c r="Z263" t="e">
        <f ca="1">IF(A263="","",IF(E263="","",#REF!))</f>
        <v>#REF!</v>
      </c>
      <c r="AA263" t="e">
        <f ca="1">IF(A263="","",IF(E263="","",#REF!))</f>
        <v>#REF!</v>
      </c>
      <c r="AB263" t="e">
        <f ca="1">IF(A263="","",IF(E263="","",#REF!))</f>
        <v>#REF!</v>
      </c>
      <c r="AC263" t="e">
        <f t="shared" ca="1" si="26"/>
        <v>#REF!</v>
      </c>
    </row>
    <row r="264" spans="1:29" x14ac:dyDescent="0.35">
      <c r="A264" t="e" cm="1">
        <f t="array" aca="1" ref="A264" ca="1">IF(A263="","",IF(OR(AND(A263+1&gt;=$AF$1,A263+1&lt;=$AF$2),AND(A263+1&gt;=$AF$6,A263+1&lt;=$AF$7),AND(A263+1&gt;=$AF$3,A263+1&lt;=$AF$4),AND(A263+1&gt;=$AF$8,A263+1&lt;=$AF$9),A263+1=$AF$5),IF(NOT(ISBLANK(INDIRECT("template!"&amp;"P"&amp;A263+1))),A263+1,IF(NOT(ISBLANK(INDIRECT("template!"&amp;"P"&amp;A263+2))),A263+2,A263+3)),IF(A263=$AF$2,$AF$3,IF(A263=$AF$4,$AF$5,IF(A263=$AF$5,$AF$6,IF(A263=$AF$7,$AF$8,""))))))</f>
        <v>#REF!</v>
      </c>
      <c r="B264" t="e">
        <f t="shared" ca="1" si="21"/>
        <v>#REF!</v>
      </c>
      <c r="C264" t="e" cm="1">
        <f t="array" aca="1" ref="C264" ca="1">IF(A264="","",IF(B264="safety","safety costs",INDIRECT("template!"&amp;"B"&amp;A264)))</f>
        <v>#REF!</v>
      </c>
      <c r="D264" t="e" cm="1">
        <f t="array" aca="1" ref="D264" ca="1">IF(OR(A264="",B264="safety"),"",INDIRECT("template!"&amp;"C"&amp;A264))</f>
        <v>#REF!</v>
      </c>
      <c r="E264" t="e" cm="1">
        <f t="array" aca="1" ref="E264" ca="1">IF(A264="","",IF(OR(A264=A263+1,A264=A263+2),E263,INDIRECT("template!"&amp;"D"&amp;A264-2)))</f>
        <v>#REF!</v>
      </c>
      <c r="F264" t="e" cm="1">
        <f t="array" aca="1" ref="F264" ca="1">IF(OR(A264="",B264="safety"),"",IF(ISBLANK(IF(A264=A263+1,F263,INDIRECT("template!"&amp;"D"&amp;A264-1))),"",IF(A264=A263+1,F263,INDIRECT("template!"&amp;"D"&amp;A264-1))))</f>
        <v>#REF!</v>
      </c>
      <c r="G264" t="e" cm="1">
        <f t="array" aca="1" ref="G264" ca="1">IF(OR(A264="",B264="safety"),"",IF(ISBLANK(INDIRECT("template!"&amp;"D"&amp;A264)),"",INDIRECT("template!"&amp;"D"&amp;A264)))</f>
        <v>#REF!</v>
      </c>
      <c r="H264" t="e" cm="1">
        <f t="array" aca="1" ref="H264" ca="1">IF(OR(A264="",B264="safety"),"",IF(ISBLANK(INDIRECT("template!"&amp;"E"&amp;A264)),"",INDIRECT("template!"&amp;"E"&amp;A264)))</f>
        <v>#REF!</v>
      </c>
      <c r="I264" t="e" cm="1">
        <f t="array" aca="1" ref="I264" ca="1">IF(OR(A264="",B264="safety"),"",IF(ISBLANK(INDIRECT("template!"&amp;"F"&amp;A264)),"",INDIRECT("template!"&amp;"F"&amp;A264)))</f>
        <v>#REF!</v>
      </c>
      <c r="J264" t="e" cm="1">
        <f t="array" aca="1" ref="J264" ca="1">IF(OR(A264="",B264="safety"),"",IF(ISBLANK(INDIRECT("template!"&amp;"G"&amp;A264)),"",INDIRECT("template!"&amp;"G"&amp;A264)))</f>
        <v>#REF!</v>
      </c>
      <c r="K264" t="e" cm="1">
        <f t="array" aca="1" ref="K264" ca="1">IF(OR(A264="",B264="safety"),"",IF(ISBLANK(INDIRECT("template!"&amp;"H"&amp;A264)),"",INDIRECT("template!"&amp;"H"&amp;A264)))</f>
        <v>#REF!</v>
      </c>
      <c r="L264" t="e" cm="1">
        <f t="array" aca="1" ref="L264" ca="1">IF(OR(A264="",B264="safety"),"",INDIRECT("template!"&amp;"I"&amp;A264))</f>
        <v>#REF!</v>
      </c>
      <c r="M264" t="e" cm="1">
        <f t="array" aca="1" ref="M264" ca="1">IF(OR(A264="",B264="safety"),"",INDIRECT("template!"&amp;"J"&amp;A264))</f>
        <v>#REF!</v>
      </c>
      <c r="N264" t="e" cm="1">
        <f t="array" aca="1" ref="N264" ca="1">IF(OR(A264="",B264="safety"),"",IF(ISBLANK(INDIRECT("template!"&amp;"K"&amp;A264)),"",INDIRECT("template!"&amp;"K"&amp;A264)))</f>
        <v>#REF!</v>
      </c>
      <c r="O264" t="e" cm="1">
        <f t="array" aca="1" ref="O264" ca="1">IF(OR(A264="",B264="safety"),"",INDIRECT("template!"&amp;"L"&amp;A264))</f>
        <v>#REF!</v>
      </c>
      <c r="P264" t="e" cm="1">
        <f t="array" aca="1" ref="P264" ca="1">IF(OR(A264="",B264="safety"),"",INDIRECT("template!"&amp;"M"&amp;A264))</f>
        <v>#REF!</v>
      </c>
      <c r="Q264" t="e">
        <f t="shared" ca="1" si="22"/>
        <v>#REF!</v>
      </c>
      <c r="R264" t="e">
        <f t="shared" ca="1" si="23"/>
        <v>#REF!</v>
      </c>
      <c r="S264" t="e">
        <f t="shared" ca="1" si="24"/>
        <v>#REF!</v>
      </c>
      <c r="T264" t="e">
        <f t="shared" ca="1" si="25"/>
        <v>#REF!</v>
      </c>
      <c r="U264" t="e" cm="1">
        <f t="array" aca="1" ref="U264" ca="1">IF(A264="","",IF(E264="","",IF(B264="safety",INDIRECT("template!"&amp;"P"&amp;A264),Q264+R264)))</f>
        <v>#REF!</v>
      </c>
      <c r="V264" t="e" cm="1">
        <f t="array" aca="1" ref="V264" ca="1">IF(A264="","",IF(E264="","",IF(B264="safety",INDIRECT("template!"&amp;"P"&amp;A264),S264+T264)))</f>
        <v>#REF!</v>
      </c>
      <c r="W264" t="e">
        <f ca="1">IF(A264="","",IF(E264="","",#REF!))</f>
        <v>#REF!</v>
      </c>
      <c r="X264" t="e">
        <f ca="1">IF(A264="","",IF(E264="","",#REF!))</f>
        <v>#REF!</v>
      </c>
      <c r="Y264" s="39" t="e">
        <f ca="1">IF(A264="","",IF(E264="","",#REF!))</f>
        <v>#REF!</v>
      </c>
      <c r="Z264" t="e">
        <f ca="1">IF(A264="","",IF(E264="","",#REF!))</f>
        <v>#REF!</v>
      </c>
      <c r="AA264" t="e">
        <f ca="1">IF(A264="","",IF(E264="","",#REF!))</f>
        <v>#REF!</v>
      </c>
      <c r="AB264" t="e">
        <f ca="1">IF(A264="","",IF(E264="","",#REF!))</f>
        <v>#REF!</v>
      </c>
      <c r="AC264" t="e">
        <f t="shared" ca="1" si="26"/>
        <v>#REF!</v>
      </c>
    </row>
    <row r="265" spans="1:29" x14ac:dyDescent="0.35">
      <c r="A265" t="e" cm="1">
        <f t="array" aca="1" ref="A265" ca="1">IF(A264="","",IF(OR(AND(A264+1&gt;=$AF$1,A264+1&lt;=$AF$2),AND(A264+1&gt;=$AF$6,A264+1&lt;=$AF$7),AND(A264+1&gt;=$AF$3,A264+1&lt;=$AF$4),AND(A264+1&gt;=$AF$8,A264+1&lt;=$AF$9),A264+1=$AF$5),IF(NOT(ISBLANK(INDIRECT("template!"&amp;"P"&amp;A264+1))),A264+1,IF(NOT(ISBLANK(INDIRECT("template!"&amp;"P"&amp;A264+2))),A264+2,A264+3)),IF(A264=$AF$2,$AF$3,IF(A264=$AF$4,$AF$5,IF(A264=$AF$5,$AF$6,IF(A264=$AF$7,$AF$8,""))))))</f>
        <v>#REF!</v>
      </c>
      <c r="B265" t="e">
        <f t="shared" ca="1" si="21"/>
        <v>#REF!</v>
      </c>
      <c r="C265" t="e" cm="1">
        <f t="array" aca="1" ref="C265" ca="1">IF(A265="","",IF(B265="safety","safety costs",INDIRECT("template!"&amp;"B"&amp;A265)))</f>
        <v>#REF!</v>
      </c>
      <c r="D265" t="e" cm="1">
        <f t="array" aca="1" ref="D265" ca="1">IF(OR(A265="",B265="safety"),"",INDIRECT("template!"&amp;"C"&amp;A265))</f>
        <v>#REF!</v>
      </c>
      <c r="E265" t="e" cm="1">
        <f t="array" aca="1" ref="E265" ca="1">IF(A265="","",IF(OR(A265=A264+1,A265=A264+2),E264,INDIRECT("template!"&amp;"D"&amp;A265-2)))</f>
        <v>#REF!</v>
      </c>
      <c r="F265" t="e" cm="1">
        <f t="array" aca="1" ref="F265" ca="1">IF(OR(A265="",B265="safety"),"",IF(ISBLANK(IF(A265=A264+1,F264,INDIRECT("template!"&amp;"D"&amp;A265-1))),"",IF(A265=A264+1,F264,INDIRECT("template!"&amp;"D"&amp;A265-1))))</f>
        <v>#REF!</v>
      </c>
      <c r="G265" t="e" cm="1">
        <f t="array" aca="1" ref="G265" ca="1">IF(OR(A265="",B265="safety"),"",IF(ISBLANK(INDIRECT("template!"&amp;"D"&amp;A265)),"",INDIRECT("template!"&amp;"D"&amp;A265)))</f>
        <v>#REF!</v>
      </c>
      <c r="H265" t="e" cm="1">
        <f t="array" aca="1" ref="H265" ca="1">IF(OR(A265="",B265="safety"),"",IF(ISBLANK(INDIRECT("template!"&amp;"E"&amp;A265)),"",INDIRECT("template!"&amp;"E"&amp;A265)))</f>
        <v>#REF!</v>
      </c>
      <c r="I265" t="e" cm="1">
        <f t="array" aca="1" ref="I265" ca="1">IF(OR(A265="",B265="safety"),"",IF(ISBLANK(INDIRECT("template!"&amp;"F"&amp;A265)),"",INDIRECT("template!"&amp;"F"&amp;A265)))</f>
        <v>#REF!</v>
      </c>
      <c r="J265" t="e" cm="1">
        <f t="array" aca="1" ref="J265" ca="1">IF(OR(A265="",B265="safety"),"",IF(ISBLANK(INDIRECT("template!"&amp;"G"&amp;A265)),"",INDIRECT("template!"&amp;"G"&amp;A265)))</f>
        <v>#REF!</v>
      </c>
      <c r="K265" t="e" cm="1">
        <f t="array" aca="1" ref="K265" ca="1">IF(OR(A265="",B265="safety"),"",IF(ISBLANK(INDIRECT("template!"&amp;"H"&amp;A265)),"",INDIRECT("template!"&amp;"H"&amp;A265)))</f>
        <v>#REF!</v>
      </c>
      <c r="L265" t="e" cm="1">
        <f t="array" aca="1" ref="L265" ca="1">IF(OR(A265="",B265="safety"),"",INDIRECT("template!"&amp;"I"&amp;A265))</f>
        <v>#REF!</v>
      </c>
      <c r="M265" t="e" cm="1">
        <f t="array" aca="1" ref="M265" ca="1">IF(OR(A265="",B265="safety"),"",INDIRECT("template!"&amp;"J"&amp;A265))</f>
        <v>#REF!</v>
      </c>
      <c r="N265" t="e" cm="1">
        <f t="array" aca="1" ref="N265" ca="1">IF(OR(A265="",B265="safety"),"",IF(ISBLANK(INDIRECT("template!"&amp;"K"&amp;A265)),"",INDIRECT("template!"&amp;"K"&amp;A265)))</f>
        <v>#REF!</v>
      </c>
      <c r="O265" t="e" cm="1">
        <f t="array" aca="1" ref="O265" ca="1">IF(OR(A265="",B265="safety"),"",INDIRECT("template!"&amp;"L"&amp;A265))</f>
        <v>#REF!</v>
      </c>
      <c r="P265" t="e" cm="1">
        <f t="array" aca="1" ref="P265" ca="1">IF(OR(A265="",B265="safety"),"",INDIRECT("template!"&amp;"M"&amp;A265))</f>
        <v>#REF!</v>
      </c>
      <c r="Q265" t="e">
        <f t="shared" ca="1" si="22"/>
        <v>#REF!</v>
      </c>
      <c r="R265" t="e">
        <f t="shared" ca="1" si="23"/>
        <v>#REF!</v>
      </c>
      <c r="S265" t="e">
        <f t="shared" ca="1" si="24"/>
        <v>#REF!</v>
      </c>
      <c r="T265" t="e">
        <f t="shared" ca="1" si="25"/>
        <v>#REF!</v>
      </c>
      <c r="U265" t="e" cm="1">
        <f t="array" aca="1" ref="U265" ca="1">IF(A265="","",IF(E265="","",IF(B265="safety",INDIRECT("template!"&amp;"P"&amp;A265),Q265+R265)))</f>
        <v>#REF!</v>
      </c>
      <c r="V265" t="e" cm="1">
        <f t="array" aca="1" ref="V265" ca="1">IF(A265="","",IF(E265="","",IF(B265="safety",INDIRECT("template!"&amp;"P"&amp;A265),S265+T265)))</f>
        <v>#REF!</v>
      </c>
      <c r="W265" t="e">
        <f ca="1">IF(A265="","",IF(E265="","",#REF!))</f>
        <v>#REF!</v>
      </c>
      <c r="X265" t="e">
        <f ca="1">IF(A265="","",IF(E265="","",#REF!))</f>
        <v>#REF!</v>
      </c>
      <c r="Y265" s="39" t="e">
        <f ca="1">IF(A265="","",IF(E265="","",#REF!))</f>
        <v>#REF!</v>
      </c>
      <c r="Z265" t="e">
        <f ca="1">IF(A265="","",IF(E265="","",#REF!))</f>
        <v>#REF!</v>
      </c>
      <c r="AA265" t="e">
        <f ca="1">IF(A265="","",IF(E265="","",#REF!))</f>
        <v>#REF!</v>
      </c>
      <c r="AB265" t="e">
        <f ca="1">IF(A265="","",IF(E265="","",#REF!))</f>
        <v>#REF!</v>
      </c>
      <c r="AC265" t="e">
        <f t="shared" ca="1" si="26"/>
        <v>#REF!</v>
      </c>
    </row>
    <row r="266" spans="1:29" x14ac:dyDescent="0.35">
      <c r="A266" t="e" cm="1">
        <f t="array" aca="1" ref="A266" ca="1">IF(A265="","",IF(OR(AND(A265+1&gt;=$AF$1,A265+1&lt;=$AF$2),AND(A265+1&gt;=$AF$6,A265+1&lt;=$AF$7),AND(A265+1&gt;=$AF$3,A265+1&lt;=$AF$4),AND(A265+1&gt;=$AF$8,A265+1&lt;=$AF$9),A265+1=$AF$5),IF(NOT(ISBLANK(INDIRECT("template!"&amp;"P"&amp;A265+1))),A265+1,IF(NOT(ISBLANK(INDIRECT("template!"&amp;"P"&amp;A265+2))),A265+2,A265+3)),IF(A265=$AF$2,$AF$3,IF(A265=$AF$4,$AF$5,IF(A265=$AF$5,$AF$6,IF(A265=$AF$7,$AF$8,""))))))</f>
        <v>#REF!</v>
      </c>
      <c r="B266" t="e">
        <f t="shared" ca="1" si="21"/>
        <v>#REF!</v>
      </c>
      <c r="C266" t="e" cm="1">
        <f t="array" aca="1" ref="C266" ca="1">IF(A266="","",IF(B266="safety","safety costs",INDIRECT("template!"&amp;"B"&amp;A266)))</f>
        <v>#REF!</v>
      </c>
      <c r="D266" t="e" cm="1">
        <f t="array" aca="1" ref="D266" ca="1">IF(OR(A266="",B266="safety"),"",INDIRECT("template!"&amp;"C"&amp;A266))</f>
        <v>#REF!</v>
      </c>
      <c r="E266" t="e" cm="1">
        <f t="array" aca="1" ref="E266" ca="1">IF(A266="","",IF(OR(A266=A265+1,A266=A265+2),E265,INDIRECT("template!"&amp;"D"&amp;A266-2)))</f>
        <v>#REF!</v>
      </c>
      <c r="F266" t="e" cm="1">
        <f t="array" aca="1" ref="F266" ca="1">IF(OR(A266="",B266="safety"),"",IF(ISBLANK(IF(A266=A265+1,F265,INDIRECT("template!"&amp;"D"&amp;A266-1))),"",IF(A266=A265+1,F265,INDIRECT("template!"&amp;"D"&amp;A266-1))))</f>
        <v>#REF!</v>
      </c>
      <c r="G266" t="e" cm="1">
        <f t="array" aca="1" ref="G266" ca="1">IF(OR(A266="",B266="safety"),"",IF(ISBLANK(INDIRECT("template!"&amp;"D"&amp;A266)),"",INDIRECT("template!"&amp;"D"&amp;A266)))</f>
        <v>#REF!</v>
      </c>
      <c r="H266" t="e" cm="1">
        <f t="array" aca="1" ref="H266" ca="1">IF(OR(A266="",B266="safety"),"",IF(ISBLANK(INDIRECT("template!"&amp;"E"&amp;A266)),"",INDIRECT("template!"&amp;"E"&amp;A266)))</f>
        <v>#REF!</v>
      </c>
      <c r="I266" t="e" cm="1">
        <f t="array" aca="1" ref="I266" ca="1">IF(OR(A266="",B266="safety"),"",IF(ISBLANK(INDIRECT("template!"&amp;"F"&amp;A266)),"",INDIRECT("template!"&amp;"F"&amp;A266)))</f>
        <v>#REF!</v>
      </c>
      <c r="J266" t="e" cm="1">
        <f t="array" aca="1" ref="J266" ca="1">IF(OR(A266="",B266="safety"),"",IF(ISBLANK(INDIRECT("template!"&amp;"G"&amp;A266)),"",INDIRECT("template!"&amp;"G"&amp;A266)))</f>
        <v>#REF!</v>
      </c>
      <c r="K266" t="e" cm="1">
        <f t="array" aca="1" ref="K266" ca="1">IF(OR(A266="",B266="safety"),"",IF(ISBLANK(INDIRECT("template!"&amp;"H"&amp;A266)),"",INDIRECT("template!"&amp;"H"&amp;A266)))</f>
        <v>#REF!</v>
      </c>
      <c r="L266" t="e" cm="1">
        <f t="array" aca="1" ref="L266" ca="1">IF(OR(A266="",B266="safety"),"",INDIRECT("template!"&amp;"I"&amp;A266))</f>
        <v>#REF!</v>
      </c>
      <c r="M266" t="e" cm="1">
        <f t="array" aca="1" ref="M266" ca="1">IF(OR(A266="",B266="safety"),"",INDIRECT("template!"&amp;"J"&amp;A266))</f>
        <v>#REF!</v>
      </c>
      <c r="N266" t="e" cm="1">
        <f t="array" aca="1" ref="N266" ca="1">IF(OR(A266="",B266="safety"),"",IF(ISBLANK(INDIRECT("template!"&amp;"K"&amp;A266)),"",INDIRECT("template!"&amp;"K"&amp;A266)))</f>
        <v>#REF!</v>
      </c>
      <c r="O266" t="e" cm="1">
        <f t="array" aca="1" ref="O266" ca="1">IF(OR(A266="",B266="safety"),"",INDIRECT("template!"&amp;"L"&amp;A266))</f>
        <v>#REF!</v>
      </c>
      <c r="P266" t="e" cm="1">
        <f t="array" aca="1" ref="P266" ca="1">IF(OR(A266="",B266="safety"),"",INDIRECT("template!"&amp;"M"&amp;A266))</f>
        <v>#REF!</v>
      </c>
      <c r="Q266" t="e">
        <f t="shared" ca="1" si="22"/>
        <v>#REF!</v>
      </c>
      <c r="R266" t="e">
        <f t="shared" ca="1" si="23"/>
        <v>#REF!</v>
      </c>
      <c r="S266" t="e">
        <f t="shared" ca="1" si="24"/>
        <v>#REF!</v>
      </c>
      <c r="T266" t="e">
        <f t="shared" ca="1" si="25"/>
        <v>#REF!</v>
      </c>
      <c r="U266" t="e" cm="1">
        <f t="array" aca="1" ref="U266" ca="1">IF(A266="","",IF(E266="","",IF(B266="safety",INDIRECT("template!"&amp;"P"&amp;A266),Q266+R266)))</f>
        <v>#REF!</v>
      </c>
      <c r="V266" t="e" cm="1">
        <f t="array" aca="1" ref="V266" ca="1">IF(A266="","",IF(E266="","",IF(B266="safety",INDIRECT("template!"&amp;"P"&amp;A266),S266+T266)))</f>
        <v>#REF!</v>
      </c>
      <c r="W266" t="e">
        <f ca="1">IF(A266="","",IF(E266="","",#REF!))</f>
        <v>#REF!</v>
      </c>
      <c r="X266" t="e">
        <f ca="1">IF(A266="","",IF(E266="","",#REF!))</f>
        <v>#REF!</v>
      </c>
      <c r="Y266" s="39" t="e">
        <f ca="1">IF(A266="","",IF(E266="","",#REF!))</f>
        <v>#REF!</v>
      </c>
      <c r="Z266" t="e">
        <f ca="1">IF(A266="","",IF(E266="","",#REF!))</f>
        <v>#REF!</v>
      </c>
      <c r="AA266" t="e">
        <f ca="1">IF(A266="","",IF(E266="","",#REF!))</f>
        <v>#REF!</v>
      </c>
      <c r="AB266" t="e">
        <f ca="1">IF(A266="","",IF(E266="","",#REF!))</f>
        <v>#REF!</v>
      </c>
      <c r="AC266" t="e">
        <f t="shared" ca="1" si="26"/>
        <v>#REF!</v>
      </c>
    </row>
    <row r="267" spans="1:29" x14ac:dyDescent="0.35">
      <c r="A267" t="e" cm="1">
        <f t="array" aca="1" ref="A267" ca="1">IF(A266="","",IF(OR(AND(A266+1&gt;=$AF$1,A266+1&lt;=$AF$2),AND(A266+1&gt;=$AF$6,A266+1&lt;=$AF$7),AND(A266+1&gt;=$AF$3,A266+1&lt;=$AF$4),AND(A266+1&gt;=$AF$8,A266+1&lt;=$AF$9),A266+1=$AF$5),IF(NOT(ISBLANK(INDIRECT("template!"&amp;"P"&amp;A266+1))),A266+1,IF(NOT(ISBLANK(INDIRECT("template!"&amp;"P"&amp;A266+2))),A266+2,A266+3)),IF(A266=$AF$2,$AF$3,IF(A266=$AF$4,$AF$5,IF(A266=$AF$5,$AF$6,IF(A266=$AF$7,$AF$8,""))))))</f>
        <v>#REF!</v>
      </c>
      <c r="B267" t="e">
        <f t="shared" ca="1" si="21"/>
        <v>#REF!</v>
      </c>
      <c r="C267" t="e" cm="1">
        <f t="array" aca="1" ref="C267" ca="1">IF(A267="","",IF(B267="safety","safety costs",INDIRECT("template!"&amp;"B"&amp;A267)))</f>
        <v>#REF!</v>
      </c>
      <c r="D267" t="e" cm="1">
        <f t="array" aca="1" ref="D267" ca="1">IF(OR(A267="",B267="safety"),"",INDIRECT("template!"&amp;"C"&amp;A267))</f>
        <v>#REF!</v>
      </c>
      <c r="E267" t="e" cm="1">
        <f t="array" aca="1" ref="E267" ca="1">IF(A267="","",IF(OR(A267=A266+1,A267=A266+2),E266,INDIRECT("template!"&amp;"D"&amp;A267-2)))</f>
        <v>#REF!</v>
      </c>
      <c r="F267" t="e" cm="1">
        <f t="array" aca="1" ref="F267" ca="1">IF(OR(A267="",B267="safety"),"",IF(ISBLANK(IF(A267=A266+1,F266,INDIRECT("template!"&amp;"D"&amp;A267-1))),"",IF(A267=A266+1,F266,INDIRECT("template!"&amp;"D"&amp;A267-1))))</f>
        <v>#REF!</v>
      </c>
      <c r="G267" t="e" cm="1">
        <f t="array" aca="1" ref="G267" ca="1">IF(OR(A267="",B267="safety"),"",IF(ISBLANK(INDIRECT("template!"&amp;"D"&amp;A267)),"",INDIRECT("template!"&amp;"D"&amp;A267)))</f>
        <v>#REF!</v>
      </c>
      <c r="H267" t="e" cm="1">
        <f t="array" aca="1" ref="H267" ca="1">IF(OR(A267="",B267="safety"),"",IF(ISBLANK(INDIRECT("template!"&amp;"E"&amp;A267)),"",INDIRECT("template!"&amp;"E"&amp;A267)))</f>
        <v>#REF!</v>
      </c>
      <c r="I267" t="e" cm="1">
        <f t="array" aca="1" ref="I267" ca="1">IF(OR(A267="",B267="safety"),"",IF(ISBLANK(INDIRECT("template!"&amp;"F"&amp;A267)),"",INDIRECT("template!"&amp;"F"&amp;A267)))</f>
        <v>#REF!</v>
      </c>
      <c r="J267" t="e" cm="1">
        <f t="array" aca="1" ref="J267" ca="1">IF(OR(A267="",B267="safety"),"",IF(ISBLANK(INDIRECT("template!"&amp;"G"&amp;A267)),"",INDIRECT("template!"&amp;"G"&amp;A267)))</f>
        <v>#REF!</v>
      </c>
      <c r="K267" t="e" cm="1">
        <f t="array" aca="1" ref="K267" ca="1">IF(OR(A267="",B267="safety"),"",IF(ISBLANK(INDIRECT("template!"&amp;"H"&amp;A267)),"",INDIRECT("template!"&amp;"H"&amp;A267)))</f>
        <v>#REF!</v>
      </c>
      <c r="L267" t="e" cm="1">
        <f t="array" aca="1" ref="L267" ca="1">IF(OR(A267="",B267="safety"),"",INDIRECT("template!"&amp;"I"&amp;A267))</f>
        <v>#REF!</v>
      </c>
      <c r="M267" t="e" cm="1">
        <f t="array" aca="1" ref="M267" ca="1">IF(OR(A267="",B267="safety"),"",INDIRECT("template!"&amp;"J"&amp;A267))</f>
        <v>#REF!</v>
      </c>
      <c r="N267" t="e" cm="1">
        <f t="array" aca="1" ref="N267" ca="1">IF(OR(A267="",B267="safety"),"",IF(ISBLANK(INDIRECT("template!"&amp;"K"&amp;A267)),"",INDIRECT("template!"&amp;"K"&amp;A267)))</f>
        <v>#REF!</v>
      </c>
      <c r="O267" t="e" cm="1">
        <f t="array" aca="1" ref="O267" ca="1">IF(OR(A267="",B267="safety"),"",INDIRECT("template!"&amp;"L"&amp;A267))</f>
        <v>#REF!</v>
      </c>
      <c r="P267" t="e" cm="1">
        <f t="array" aca="1" ref="P267" ca="1">IF(OR(A267="",B267="safety"),"",INDIRECT("template!"&amp;"M"&amp;A267))</f>
        <v>#REF!</v>
      </c>
      <c r="Q267" t="e">
        <f t="shared" ca="1" si="22"/>
        <v>#REF!</v>
      </c>
      <c r="R267" t="e">
        <f t="shared" ca="1" si="23"/>
        <v>#REF!</v>
      </c>
      <c r="S267" t="e">
        <f t="shared" ca="1" si="24"/>
        <v>#REF!</v>
      </c>
      <c r="T267" t="e">
        <f t="shared" ca="1" si="25"/>
        <v>#REF!</v>
      </c>
      <c r="U267" t="e" cm="1">
        <f t="array" aca="1" ref="U267" ca="1">IF(A267="","",IF(E267="","",IF(B267="safety",INDIRECT("template!"&amp;"P"&amp;A267),Q267+R267)))</f>
        <v>#REF!</v>
      </c>
      <c r="V267" t="e" cm="1">
        <f t="array" aca="1" ref="V267" ca="1">IF(A267="","",IF(E267="","",IF(B267="safety",INDIRECT("template!"&amp;"P"&amp;A267),S267+T267)))</f>
        <v>#REF!</v>
      </c>
      <c r="W267" t="e">
        <f ca="1">IF(A267="","",IF(E267="","",#REF!))</f>
        <v>#REF!</v>
      </c>
      <c r="X267" t="e">
        <f ca="1">IF(A267="","",IF(E267="","",#REF!))</f>
        <v>#REF!</v>
      </c>
      <c r="Y267" s="39" t="e">
        <f ca="1">IF(A267="","",IF(E267="","",#REF!))</f>
        <v>#REF!</v>
      </c>
      <c r="Z267" t="e">
        <f ca="1">IF(A267="","",IF(E267="","",#REF!))</f>
        <v>#REF!</v>
      </c>
      <c r="AA267" t="e">
        <f ca="1">IF(A267="","",IF(E267="","",#REF!))</f>
        <v>#REF!</v>
      </c>
      <c r="AB267" t="e">
        <f ca="1">IF(A267="","",IF(E267="","",#REF!))</f>
        <v>#REF!</v>
      </c>
      <c r="AC267" t="e">
        <f t="shared" ca="1" si="26"/>
        <v>#REF!</v>
      </c>
    </row>
    <row r="268" spans="1:29" x14ac:dyDescent="0.35">
      <c r="A268" t="e" cm="1">
        <f t="array" aca="1" ref="A268" ca="1">IF(A267="","",IF(OR(AND(A267+1&gt;=$AF$1,A267+1&lt;=$AF$2),AND(A267+1&gt;=$AF$6,A267+1&lt;=$AF$7),AND(A267+1&gt;=$AF$3,A267+1&lt;=$AF$4),AND(A267+1&gt;=$AF$8,A267+1&lt;=$AF$9),A267+1=$AF$5),IF(NOT(ISBLANK(INDIRECT("template!"&amp;"P"&amp;A267+1))),A267+1,IF(NOT(ISBLANK(INDIRECT("template!"&amp;"P"&amp;A267+2))),A267+2,A267+3)),IF(A267=$AF$2,$AF$3,IF(A267=$AF$4,$AF$5,IF(A267=$AF$5,$AF$6,IF(A267=$AF$7,$AF$8,""))))))</f>
        <v>#REF!</v>
      </c>
      <c r="B268" t="e">
        <f t="shared" ca="1" si="21"/>
        <v>#REF!</v>
      </c>
      <c r="C268" t="e" cm="1">
        <f t="array" aca="1" ref="C268" ca="1">IF(A268="","",IF(B268="safety","safety costs",INDIRECT("template!"&amp;"B"&amp;A268)))</f>
        <v>#REF!</v>
      </c>
      <c r="D268" t="e" cm="1">
        <f t="array" aca="1" ref="D268" ca="1">IF(OR(A268="",B268="safety"),"",INDIRECT("template!"&amp;"C"&amp;A268))</f>
        <v>#REF!</v>
      </c>
      <c r="E268" t="e" cm="1">
        <f t="array" aca="1" ref="E268" ca="1">IF(A268="","",IF(OR(A268=A267+1,A268=A267+2),E267,INDIRECT("template!"&amp;"D"&amp;A268-2)))</f>
        <v>#REF!</v>
      </c>
      <c r="F268" t="e" cm="1">
        <f t="array" aca="1" ref="F268" ca="1">IF(OR(A268="",B268="safety"),"",IF(ISBLANK(IF(A268=A267+1,F267,INDIRECT("template!"&amp;"D"&amp;A268-1))),"",IF(A268=A267+1,F267,INDIRECT("template!"&amp;"D"&amp;A268-1))))</f>
        <v>#REF!</v>
      </c>
      <c r="G268" t="e" cm="1">
        <f t="array" aca="1" ref="G268" ca="1">IF(OR(A268="",B268="safety"),"",IF(ISBLANK(INDIRECT("template!"&amp;"D"&amp;A268)),"",INDIRECT("template!"&amp;"D"&amp;A268)))</f>
        <v>#REF!</v>
      </c>
      <c r="H268" t="e" cm="1">
        <f t="array" aca="1" ref="H268" ca="1">IF(OR(A268="",B268="safety"),"",IF(ISBLANK(INDIRECT("template!"&amp;"E"&amp;A268)),"",INDIRECT("template!"&amp;"E"&amp;A268)))</f>
        <v>#REF!</v>
      </c>
      <c r="I268" t="e" cm="1">
        <f t="array" aca="1" ref="I268" ca="1">IF(OR(A268="",B268="safety"),"",IF(ISBLANK(INDIRECT("template!"&amp;"F"&amp;A268)),"",INDIRECT("template!"&amp;"F"&amp;A268)))</f>
        <v>#REF!</v>
      </c>
      <c r="J268" t="e" cm="1">
        <f t="array" aca="1" ref="J268" ca="1">IF(OR(A268="",B268="safety"),"",IF(ISBLANK(INDIRECT("template!"&amp;"G"&amp;A268)),"",INDIRECT("template!"&amp;"G"&amp;A268)))</f>
        <v>#REF!</v>
      </c>
      <c r="K268" t="e" cm="1">
        <f t="array" aca="1" ref="K268" ca="1">IF(OR(A268="",B268="safety"),"",IF(ISBLANK(INDIRECT("template!"&amp;"H"&amp;A268)),"",INDIRECT("template!"&amp;"H"&amp;A268)))</f>
        <v>#REF!</v>
      </c>
      <c r="L268" t="e" cm="1">
        <f t="array" aca="1" ref="L268" ca="1">IF(OR(A268="",B268="safety"),"",INDIRECT("template!"&amp;"I"&amp;A268))</f>
        <v>#REF!</v>
      </c>
      <c r="M268" t="e" cm="1">
        <f t="array" aca="1" ref="M268" ca="1">IF(OR(A268="",B268="safety"),"",INDIRECT("template!"&amp;"J"&amp;A268))</f>
        <v>#REF!</v>
      </c>
      <c r="N268" t="e" cm="1">
        <f t="array" aca="1" ref="N268" ca="1">IF(OR(A268="",B268="safety"),"",IF(ISBLANK(INDIRECT("template!"&amp;"K"&amp;A268)),"",INDIRECT("template!"&amp;"K"&amp;A268)))</f>
        <v>#REF!</v>
      </c>
      <c r="O268" t="e" cm="1">
        <f t="array" aca="1" ref="O268" ca="1">IF(OR(A268="",B268="safety"),"",INDIRECT("template!"&amp;"L"&amp;A268))</f>
        <v>#REF!</v>
      </c>
      <c r="P268" t="e" cm="1">
        <f t="array" aca="1" ref="P268" ca="1">IF(OR(A268="",B268="safety"),"",INDIRECT("template!"&amp;"M"&amp;A268))</f>
        <v>#REF!</v>
      </c>
      <c r="Q268" t="e">
        <f t="shared" ca="1" si="22"/>
        <v>#REF!</v>
      </c>
      <c r="R268" t="e">
        <f t="shared" ca="1" si="23"/>
        <v>#REF!</v>
      </c>
      <c r="S268" t="e">
        <f t="shared" ca="1" si="24"/>
        <v>#REF!</v>
      </c>
      <c r="T268" t="e">
        <f t="shared" ca="1" si="25"/>
        <v>#REF!</v>
      </c>
      <c r="U268" t="e" cm="1">
        <f t="array" aca="1" ref="U268" ca="1">IF(A268="","",IF(E268="","",IF(B268="safety",INDIRECT("template!"&amp;"P"&amp;A268),Q268+R268)))</f>
        <v>#REF!</v>
      </c>
      <c r="V268" t="e" cm="1">
        <f t="array" aca="1" ref="V268" ca="1">IF(A268="","",IF(E268="","",IF(B268="safety",INDIRECT("template!"&amp;"P"&amp;A268),S268+T268)))</f>
        <v>#REF!</v>
      </c>
      <c r="W268" t="e">
        <f ca="1">IF(A268="","",IF(E268="","",#REF!))</f>
        <v>#REF!</v>
      </c>
      <c r="X268" t="e">
        <f ca="1">IF(A268="","",IF(E268="","",#REF!))</f>
        <v>#REF!</v>
      </c>
      <c r="Y268" s="39" t="e">
        <f ca="1">IF(A268="","",IF(E268="","",#REF!))</f>
        <v>#REF!</v>
      </c>
      <c r="Z268" t="e">
        <f ca="1">IF(A268="","",IF(E268="","",#REF!))</f>
        <v>#REF!</v>
      </c>
      <c r="AA268" t="e">
        <f ca="1">IF(A268="","",IF(E268="","",#REF!))</f>
        <v>#REF!</v>
      </c>
      <c r="AB268" t="e">
        <f ca="1">IF(A268="","",IF(E268="","",#REF!))</f>
        <v>#REF!</v>
      </c>
      <c r="AC268" t="e">
        <f t="shared" ca="1" si="26"/>
        <v>#REF!</v>
      </c>
    </row>
    <row r="269" spans="1:29" x14ac:dyDescent="0.35">
      <c r="A269" t="e" cm="1">
        <f t="array" aca="1" ref="A269" ca="1">IF(A268="","",IF(OR(AND(A268+1&gt;=$AF$1,A268+1&lt;=$AF$2),AND(A268+1&gt;=$AF$6,A268+1&lt;=$AF$7),AND(A268+1&gt;=$AF$3,A268+1&lt;=$AF$4),AND(A268+1&gt;=$AF$8,A268+1&lt;=$AF$9),A268+1=$AF$5),IF(NOT(ISBLANK(INDIRECT("template!"&amp;"P"&amp;A268+1))),A268+1,IF(NOT(ISBLANK(INDIRECT("template!"&amp;"P"&amp;A268+2))),A268+2,A268+3)),IF(A268=$AF$2,$AF$3,IF(A268=$AF$4,$AF$5,IF(A268=$AF$5,$AF$6,IF(A268=$AF$7,$AF$8,""))))))</f>
        <v>#REF!</v>
      </c>
      <c r="B269" t="e">
        <f t="shared" ca="1" si="21"/>
        <v>#REF!</v>
      </c>
      <c r="C269" t="e" cm="1">
        <f t="array" aca="1" ref="C269" ca="1">IF(A269="","",IF(B269="safety","safety costs",INDIRECT("template!"&amp;"B"&amp;A269)))</f>
        <v>#REF!</v>
      </c>
      <c r="D269" t="e" cm="1">
        <f t="array" aca="1" ref="D269" ca="1">IF(OR(A269="",B269="safety"),"",INDIRECT("template!"&amp;"C"&amp;A269))</f>
        <v>#REF!</v>
      </c>
      <c r="E269" t="e" cm="1">
        <f t="array" aca="1" ref="E269" ca="1">IF(A269="","",IF(OR(A269=A268+1,A269=A268+2),E268,INDIRECT("template!"&amp;"D"&amp;A269-2)))</f>
        <v>#REF!</v>
      </c>
      <c r="F269" t="e" cm="1">
        <f t="array" aca="1" ref="F269" ca="1">IF(OR(A269="",B269="safety"),"",IF(ISBLANK(IF(A269=A268+1,F268,INDIRECT("template!"&amp;"D"&amp;A269-1))),"",IF(A269=A268+1,F268,INDIRECT("template!"&amp;"D"&amp;A269-1))))</f>
        <v>#REF!</v>
      </c>
      <c r="G269" t="e" cm="1">
        <f t="array" aca="1" ref="G269" ca="1">IF(OR(A269="",B269="safety"),"",IF(ISBLANK(INDIRECT("template!"&amp;"D"&amp;A269)),"",INDIRECT("template!"&amp;"D"&amp;A269)))</f>
        <v>#REF!</v>
      </c>
      <c r="H269" t="e" cm="1">
        <f t="array" aca="1" ref="H269" ca="1">IF(OR(A269="",B269="safety"),"",IF(ISBLANK(INDIRECT("template!"&amp;"E"&amp;A269)),"",INDIRECT("template!"&amp;"E"&amp;A269)))</f>
        <v>#REF!</v>
      </c>
      <c r="I269" t="e" cm="1">
        <f t="array" aca="1" ref="I269" ca="1">IF(OR(A269="",B269="safety"),"",IF(ISBLANK(INDIRECT("template!"&amp;"F"&amp;A269)),"",INDIRECT("template!"&amp;"F"&amp;A269)))</f>
        <v>#REF!</v>
      </c>
      <c r="J269" t="e" cm="1">
        <f t="array" aca="1" ref="J269" ca="1">IF(OR(A269="",B269="safety"),"",IF(ISBLANK(INDIRECT("template!"&amp;"G"&amp;A269)),"",INDIRECT("template!"&amp;"G"&amp;A269)))</f>
        <v>#REF!</v>
      </c>
      <c r="K269" t="e" cm="1">
        <f t="array" aca="1" ref="K269" ca="1">IF(OR(A269="",B269="safety"),"",IF(ISBLANK(INDIRECT("template!"&amp;"H"&amp;A269)),"",INDIRECT("template!"&amp;"H"&amp;A269)))</f>
        <v>#REF!</v>
      </c>
      <c r="L269" t="e" cm="1">
        <f t="array" aca="1" ref="L269" ca="1">IF(OR(A269="",B269="safety"),"",INDIRECT("template!"&amp;"I"&amp;A269))</f>
        <v>#REF!</v>
      </c>
      <c r="M269" t="e" cm="1">
        <f t="array" aca="1" ref="M269" ca="1">IF(OR(A269="",B269="safety"),"",INDIRECT("template!"&amp;"J"&amp;A269))</f>
        <v>#REF!</v>
      </c>
      <c r="N269" t="e" cm="1">
        <f t="array" aca="1" ref="N269" ca="1">IF(OR(A269="",B269="safety"),"",IF(ISBLANK(INDIRECT("template!"&amp;"K"&amp;A269)),"",INDIRECT("template!"&amp;"K"&amp;A269)))</f>
        <v>#REF!</v>
      </c>
      <c r="O269" t="e" cm="1">
        <f t="array" aca="1" ref="O269" ca="1">IF(OR(A269="",B269="safety"),"",INDIRECT("template!"&amp;"L"&amp;A269))</f>
        <v>#REF!</v>
      </c>
      <c r="P269" t="e" cm="1">
        <f t="array" aca="1" ref="P269" ca="1">IF(OR(A269="",B269="safety"),"",INDIRECT("template!"&amp;"M"&amp;A269))</f>
        <v>#REF!</v>
      </c>
      <c r="Q269" t="e">
        <f t="shared" ca="1" si="22"/>
        <v>#REF!</v>
      </c>
      <c r="R269" t="e">
        <f t="shared" ca="1" si="23"/>
        <v>#REF!</v>
      </c>
      <c r="S269" t="e">
        <f t="shared" ca="1" si="24"/>
        <v>#REF!</v>
      </c>
      <c r="T269" t="e">
        <f t="shared" ca="1" si="25"/>
        <v>#REF!</v>
      </c>
      <c r="U269" t="e" cm="1">
        <f t="array" aca="1" ref="U269" ca="1">IF(A269="","",IF(E269="","",IF(B269="safety",INDIRECT("template!"&amp;"P"&amp;A269),Q269+R269)))</f>
        <v>#REF!</v>
      </c>
      <c r="V269" t="e" cm="1">
        <f t="array" aca="1" ref="V269" ca="1">IF(A269="","",IF(E269="","",IF(B269="safety",INDIRECT("template!"&amp;"P"&amp;A269),S269+T269)))</f>
        <v>#REF!</v>
      </c>
      <c r="W269" t="e">
        <f ca="1">IF(A269="","",IF(E269="","",#REF!))</f>
        <v>#REF!</v>
      </c>
      <c r="X269" t="e">
        <f ca="1">IF(A269="","",IF(E269="","",#REF!))</f>
        <v>#REF!</v>
      </c>
      <c r="Y269" s="39" t="e">
        <f ca="1">IF(A269="","",IF(E269="","",#REF!))</f>
        <v>#REF!</v>
      </c>
      <c r="Z269" t="e">
        <f ca="1">IF(A269="","",IF(E269="","",#REF!))</f>
        <v>#REF!</v>
      </c>
      <c r="AA269" t="e">
        <f ca="1">IF(A269="","",IF(E269="","",#REF!))</f>
        <v>#REF!</v>
      </c>
      <c r="AB269" t="e">
        <f ca="1">IF(A269="","",IF(E269="","",#REF!))</f>
        <v>#REF!</v>
      </c>
      <c r="AC269" t="e">
        <f t="shared" ca="1" si="26"/>
        <v>#REF!</v>
      </c>
    </row>
    <row r="270" spans="1:29" x14ac:dyDescent="0.35">
      <c r="A270" t="e" cm="1">
        <f t="array" aca="1" ref="A270" ca="1">IF(A269="","",IF(OR(AND(A269+1&gt;=$AF$1,A269+1&lt;=$AF$2),AND(A269+1&gt;=$AF$6,A269+1&lt;=$AF$7),AND(A269+1&gt;=$AF$3,A269+1&lt;=$AF$4),AND(A269+1&gt;=$AF$8,A269+1&lt;=$AF$9),A269+1=$AF$5),IF(NOT(ISBLANK(INDIRECT("template!"&amp;"P"&amp;A269+1))),A269+1,IF(NOT(ISBLANK(INDIRECT("template!"&amp;"P"&amp;A269+2))),A269+2,A269+3)),IF(A269=$AF$2,$AF$3,IF(A269=$AF$4,$AF$5,IF(A269=$AF$5,$AF$6,IF(A269=$AF$7,$AF$8,""))))))</f>
        <v>#REF!</v>
      </c>
      <c r="B270" t="e">
        <f t="shared" ca="1" si="21"/>
        <v>#REF!</v>
      </c>
      <c r="C270" t="e" cm="1">
        <f t="array" aca="1" ref="C270" ca="1">IF(A270="","",IF(B270="safety","safety costs",INDIRECT("template!"&amp;"B"&amp;A270)))</f>
        <v>#REF!</v>
      </c>
      <c r="D270" t="e" cm="1">
        <f t="array" aca="1" ref="D270" ca="1">IF(OR(A270="",B270="safety"),"",INDIRECT("template!"&amp;"C"&amp;A270))</f>
        <v>#REF!</v>
      </c>
      <c r="E270" t="e" cm="1">
        <f t="array" aca="1" ref="E270" ca="1">IF(A270="","",IF(OR(A270=A269+1,A270=A269+2),E269,INDIRECT("template!"&amp;"D"&amp;A270-2)))</f>
        <v>#REF!</v>
      </c>
      <c r="F270" t="e" cm="1">
        <f t="array" aca="1" ref="F270" ca="1">IF(OR(A270="",B270="safety"),"",IF(ISBLANK(IF(A270=A269+1,F269,INDIRECT("template!"&amp;"D"&amp;A270-1))),"",IF(A270=A269+1,F269,INDIRECT("template!"&amp;"D"&amp;A270-1))))</f>
        <v>#REF!</v>
      </c>
      <c r="G270" t="e" cm="1">
        <f t="array" aca="1" ref="G270" ca="1">IF(OR(A270="",B270="safety"),"",IF(ISBLANK(INDIRECT("template!"&amp;"D"&amp;A270)),"",INDIRECT("template!"&amp;"D"&amp;A270)))</f>
        <v>#REF!</v>
      </c>
      <c r="H270" t="e" cm="1">
        <f t="array" aca="1" ref="H270" ca="1">IF(OR(A270="",B270="safety"),"",IF(ISBLANK(INDIRECT("template!"&amp;"E"&amp;A270)),"",INDIRECT("template!"&amp;"E"&amp;A270)))</f>
        <v>#REF!</v>
      </c>
      <c r="I270" t="e" cm="1">
        <f t="array" aca="1" ref="I270" ca="1">IF(OR(A270="",B270="safety"),"",IF(ISBLANK(INDIRECT("template!"&amp;"F"&amp;A270)),"",INDIRECT("template!"&amp;"F"&amp;A270)))</f>
        <v>#REF!</v>
      </c>
      <c r="J270" t="e" cm="1">
        <f t="array" aca="1" ref="J270" ca="1">IF(OR(A270="",B270="safety"),"",IF(ISBLANK(INDIRECT("template!"&amp;"G"&amp;A270)),"",INDIRECT("template!"&amp;"G"&amp;A270)))</f>
        <v>#REF!</v>
      </c>
      <c r="K270" t="e" cm="1">
        <f t="array" aca="1" ref="K270" ca="1">IF(OR(A270="",B270="safety"),"",IF(ISBLANK(INDIRECT("template!"&amp;"H"&amp;A270)),"",INDIRECT("template!"&amp;"H"&amp;A270)))</f>
        <v>#REF!</v>
      </c>
      <c r="L270" t="e" cm="1">
        <f t="array" aca="1" ref="L270" ca="1">IF(OR(A270="",B270="safety"),"",INDIRECT("template!"&amp;"I"&amp;A270))</f>
        <v>#REF!</v>
      </c>
      <c r="M270" t="e" cm="1">
        <f t="array" aca="1" ref="M270" ca="1">IF(OR(A270="",B270="safety"),"",INDIRECT("template!"&amp;"J"&amp;A270))</f>
        <v>#REF!</v>
      </c>
      <c r="N270" t="e" cm="1">
        <f t="array" aca="1" ref="N270" ca="1">IF(OR(A270="",B270="safety"),"",IF(ISBLANK(INDIRECT("template!"&amp;"K"&amp;A270)),"",INDIRECT("template!"&amp;"K"&amp;A270)))</f>
        <v>#REF!</v>
      </c>
      <c r="O270" t="e" cm="1">
        <f t="array" aca="1" ref="O270" ca="1">IF(OR(A270="",B270="safety"),"",INDIRECT("template!"&amp;"L"&amp;A270))</f>
        <v>#REF!</v>
      </c>
      <c r="P270" t="e" cm="1">
        <f t="array" aca="1" ref="P270" ca="1">IF(OR(A270="",B270="safety"),"",INDIRECT("template!"&amp;"M"&amp;A270))</f>
        <v>#REF!</v>
      </c>
      <c r="Q270" t="e">
        <f t="shared" ca="1" si="22"/>
        <v>#REF!</v>
      </c>
      <c r="R270" t="e">
        <f t="shared" ca="1" si="23"/>
        <v>#REF!</v>
      </c>
      <c r="S270" t="e">
        <f t="shared" ca="1" si="24"/>
        <v>#REF!</v>
      </c>
      <c r="T270" t="e">
        <f t="shared" ca="1" si="25"/>
        <v>#REF!</v>
      </c>
      <c r="U270" t="e" cm="1">
        <f t="array" aca="1" ref="U270" ca="1">IF(A270="","",IF(E270="","",IF(B270="safety",INDIRECT("template!"&amp;"P"&amp;A270),Q270+R270)))</f>
        <v>#REF!</v>
      </c>
      <c r="V270" t="e" cm="1">
        <f t="array" aca="1" ref="V270" ca="1">IF(A270="","",IF(E270="","",IF(B270="safety",INDIRECT("template!"&amp;"P"&amp;A270),S270+T270)))</f>
        <v>#REF!</v>
      </c>
      <c r="W270" t="e">
        <f ca="1">IF(A270="","",IF(E270="","",#REF!))</f>
        <v>#REF!</v>
      </c>
      <c r="X270" t="e">
        <f ca="1">IF(A270="","",IF(E270="","",#REF!))</f>
        <v>#REF!</v>
      </c>
      <c r="Y270" s="39" t="e">
        <f ca="1">IF(A270="","",IF(E270="","",#REF!))</f>
        <v>#REF!</v>
      </c>
      <c r="Z270" t="e">
        <f ca="1">IF(A270="","",IF(E270="","",#REF!))</f>
        <v>#REF!</v>
      </c>
      <c r="AA270" t="e">
        <f ca="1">IF(A270="","",IF(E270="","",#REF!))</f>
        <v>#REF!</v>
      </c>
      <c r="AB270" t="e">
        <f ca="1">IF(A270="","",IF(E270="","",#REF!))</f>
        <v>#REF!</v>
      </c>
      <c r="AC270" t="e">
        <f t="shared" ca="1" si="26"/>
        <v>#REF!</v>
      </c>
    </row>
    <row r="271" spans="1:29" x14ac:dyDescent="0.35">
      <c r="A271" t="e" cm="1">
        <f t="array" aca="1" ref="A271" ca="1">IF(A270="","",IF(OR(AND(A270+1&gt;=$AF$1,A270+1&lt;=$AF$2),AND(A270+1&gt;=$AF$6,A270+1&lt;=$AF$7),AND(A270+1&gt;=$AF$3,A270+1&lt;=$AF$4),AND(A270+1&gt;=$AF$8,A270+1&lt;=$AF$9),A270+1=$AF$5),IF(NOT(ISBLANK(INDIRECT("template!"&amp;"P"&amp;A270+1))),A270+1,IF(NOT(ISBLANK(INDIRECT("template!"&amp;"P"&amp;A270+2))),A270+2,A270+3)),IF(A270=$AF$2,$AF$3,IF(A270=$AF$4,$AF$5,IF(A270=$AF$5,$AF$6,IF(A270=$AF$7,$AF$8,""))))))</f>
        <v>#REF!</v>
      </c>
      <c r="B271" t="e">
        <f t="shared" ca="1" si="21"/>
        <v>#REF!</v>
      </c>
      <c r="C271" t="e" cm="1">
        <f t="array" aca="1" ref="C271" ca="1">IF(A271="","",IF(B271="safety","safety costs",INDIRECT("template!"&amp;"B"&amp;A271)))</f>
        <v>#REF!</v>
      </c>
      <c r="D271" t="e" cm="1">
        <f t="array" aca="1" ref="D271" ca="1">IF(OR(A271="",B271="safety"),"",INDIRECT("template!"&amp;"C"&amp;A271))</f>
        <v>#REF!</v>
      </c>
      <c r="E271" t="e" cm="1">
        <f t="array" aca="1" ref="E271" ca="1">IF(A271="","",IF(OR(A271=A270+1,A271=A270+2),E270,INDIRECT("template!"&amp;"D"&amp;A271-2)))</f>
        <v>#REF!</v>
      </c>
      <c r="F271" t="e" cm="1">
        <f t="array" aca="1" ref="F271" ca="1">IF(OR(A271="",B271="safety"),"",IF(ISBLANK(IF(A271=A270+1,F270,INDIRECT("template!"&amp;"D"&amp;A271-1))),"",IF(A271=A270+1,F270,INDIRECT("template!"&amp;"D"&amp;A271-1))))</f>
        <v>#REF!</v>
      </c>
      <c r="G271" t="e" cm="1">
        <f t="array" aca="1" ref="G271" ca="1">IF(OR(A271="",B271="safety"),"",IF(ISBLANK(INDIRECT("template!"&amp;"D"&amp;A271)),"",INDIRECT("template!"&amp;"D"&amp;A271)))</f>
        <v>#REF!</v>
      </c>
      <c r="H271" t="e" cm="1">
        <f t="array" aca="1" ref="H271" ca="1">IF(OR(A271="",B271="safety"),"",IF(ISBLANK(INDIRECT("template!"&amp;"E"&amp;A271)),"",INDIRECT("template!"&amp;"E"&amp;A271)))</f>
        <v>#REF!</v>
      </c>
      <c r="I271" t="e" cm="1">
        <f t="array" aca="1" ref="I271" ca="1">IF(OR(A271="",B271="safety"),"",IF(ISBLANK(INDIRECT("template!"&amp;"F"&amp;A271)),"",INDIRECT("template!"&amp;"F"&amp;A271)))</f>
        <v>#REF!</v>
      </c>
      <c r="J271" t="e" cm="1">
        <f t="array" aca="1" ref="J271" ca="1">IF(OR(A271="",B271="safety"),"",IF(ISBLANK(INDIRECT("template!"&amp;"G"&amp;A271)),"",INDIRECT("template!"&amp;"G"&amp;A271)))</f>
        <v>#REF!</v>
      </c>
      <c r="K271" t="e" cm="1">
        <f t="array" aca="1" ref="K271" ca="1">IF(OR(A271="",B271="safety"),"",IF(ISBLANK(INDIRECT("template!"&amp;"H"&amp;A271)),"",INDIRECT("template!"&amp;"H"&amp;A271)))</f>
        <v>#REF!</v>
      </c>
      <c r="L271" t="e" cm="1">
        <f t="array" aca="1" ref="L271" ca="1">IF(OR(A271="",B271="safety"),"",INDIRECT("template!"&amp;"I"&amp;A271))</f>
        <v>#REF!</v>
      </c>
      <c r="M271" t="e" cm="1">
        <f t="array" aca="1" ref="M271" ca="1">IF(OR(A271="",B271="safety"),"",INDIRECT("template!"&amp;"J"&amp;A271))</f>
        <v>#REF!</v>
      </c>
      <c r="N271" t="e" cm="1">
        <f t="array" aca="1" ref="N271" ca="1">IF(OR(A271="",B271="safety"),"",IF(ISBLANK(INDIRECT("template!"&amp;"K"&amp;A271)),"",INDIRECT("template!"&amp;"K"&amp;A271)))</f>
        <v>#REF!</v>
      </c>
      <c r="O271" t="e" cm="1">
        <f t="array" aca="1" ref="O271" ca="1">IF(OR(A271="",B271="safety"),"",INDIRECT("template!"&amp;"L"&amp;A271))</f>
        <v>#REF!</v>
      </c>
      <c r="P271" t="e" cm="1">
        <f t="array" aca="1" ref="P271" ca="1">IF(OR(A271="",B271="safety"),"",INDIRECT("template!"&amp;"M"&amp;A271))</f>
        <v>#REF!</v>
      </c>
      <c r="Q271" t="e">
        <f t="shared" ca="1" si="22"/>
        <v>#REF!</v>
      </c>
      <c r="R271" t="e">
        <f t="shared" ca="1" si="23"/>
        <v>#REF!</v>
      </c>
      <c r="S271" t="e">
        <f t="shared" ca="1" si="24"/>
        <v>#REF!</v>
      </c>
      <c r="T271" t="e">
        <f t="shared" ca="1" si="25"/>
        <v>#REF!</v>
      </c>
      <c r="U271" t="e" cm="1">
        <f t="array" aca="1" ref="U271" ca="1">IF(A271="","",IF(E271="","",IF(B271="safety",INDIRECT("template!"&amp;"P"&amp;A271),Q271+R271)))</f>
        <v>#REF!</v>
      </c>
      <c r="V271" t="e" cm="1">
        <f t="array" aca="1" ref="V271" ca="1">IF(A271="","",IF(E271="","",IF(B271="safety",INDIRECT("template!"&amp;"P"&amp;A271),S271+T271)))</f>
        <v>#REF!</v>
      </c>
      <c r="W271" t="e">
        <f ca="1">IF(A271="","",IF(E271="","",#REF!))</f>
        <v>#REF!</v>
      </c>
      <c r="X271" t="e">
        <f ca="1">IF(A271="","",IF(E271="","",#REF!))</f>
        <v>#REF!</v>
      </c>
      <c r="Y271" s="39" t="e">
        <f ca="1">IF(A271="","",IF(E271="","",#REF!))</f>
        <v>#REF!</v>
      </c>
      <c r="Z271" t="e">
        <f ca="1">IF(A271="","",IF(E271="","",#REF!))</f>
        <v>#REF!</v>
      </c>
      <c r="AA271" t="e">
        <f ca="1">IF(A271="","",IF(E271="","",#REF!))</f>
        <v>#REF!</v>
      </c>
      <c r="AB271" t="e">
        <f ca="1">IF(A271="","",IF(E271="","",#REF!))</f>
        <v>#REF!</v>
      </c>
      <c r="AC271" t="e">
        <f t="shared" ca="1" si="26"/>
        <v>#REF!</v>
      </c>
    </row>
    <row r="272" spans="1:29" x14ac:dyDescent="0.35">
      <c r="A272" t="e" cm="1">
        <f t="array" aca="1" ref="A272" ca="1">IF(A271="","",IF(OR(AND(A271+1&gt;=$AF$1,A271+1&lt;=$AF$2),AND(A271+1&gt;=$AF$6,A271+1&lt;=$AF$7),AND(A271+1&gt;=$AF$3,A271+1&lt;=$AF$4),AND(A271+1&gt;=$AF$8,A271+1&lt;=$AF$9),A271+1=$AF$5),IF(NOT(ISBLANK(INDIRECT("template!"&amp;"P"&amp;A271+1))),A271+1,IF(NOT(ISBLANK(INDIRECT("template!"&amp;"P"&amp;A271+2))),A271+2,A271+3)),IF(A271=$AF$2,$AF$3,IF(A271=$AF$4,$AF$5,IF(A271=$AF$5,$AF$6,IF(A271=$AF$7,$AF$8,""))))))</f>
        <v>#REF!</v>
      </c>
      <c r="B272" t="e">
        <f t="shared" ca="1" si="21"/>
        <v>#REF!</v>
      </c>
      <c r="C272" t="e" cm="1">
        <f t="array" aca="1" ref="C272" ca="1">IF(A272="","",IF(B272="safety","safety costs",INDIRECT("template!"&amp;"B"&amp;A272)))</f>
        <v>#REF!</v>
      </c>
      <c r="D272" t="e" cm="1">
        <f t="array" aca="1" ref="D272" ca="1">IF(OR(A272="",B272="safety"),"",INDIRECT("template!"&amp;"C"&amp;A272))</f>
        <v>#REF!</v>
      </c>
      <c r="E272" t="e" cm="1">
        <f t="array" aca="1" ref="E272" ca="1">IF(A272="","",IF(OR(A272=A271+1,A272=A271+2),E271,INDIRECT("template!"&amp;"D"&amp;A272-2)))</f>
        <v>#REF!</v>
      </c>
      <c r="F272" t="e" cm="1">
        <f t="array" aca="1" ref="F272" ca="1">IF(OR(A272="",B272="safety"),"",IF(ISBLANK(IF(A272=A271+1,F271,INDIRECT("template!"&amp;"D"&amp;A272-1))),"",IF(A272=A271+1,F271,INDIRECT("template!"&amp;"D"&amp;A272-1))))</f>
        <v>#REF!</v>
      </c>
      <c r="G272" t="e" cm="1">
        <f t="array" aca="1" ref="G272" ca="1">IF(OR(A272="",B272="safety"),"",IF(ISBLANK(INDIRECT("template!"&amp;"D"&amp;A272)),"",INDIRECT("template!"&amp;"D"&amp;A272)))</f>
        <v>#REF!</v>
      </c>
      <c r="H272" t="e" cm="1">
        <f t="array" aca="1" ref="H272" ca="1">IF(OR(A272="",B272="safety"),"",IF(ISBLANK(INDIRECT("template!"&amp;"E"&amp;A272)),"",INDIRECT("template!"&amp;"E"&amp;A272)))</f>
        <v>#REF!</v>
      </c>
      <c r="I272" t="e" cm="1">
        <f t="array" aca="1" ref="I272" ca="1">IF(OR(A272="",B272="safety"),"",IF(ISBLANK(INDIRECT("template!"&amp;"F"&amp;A272)),"",INDIRECT("template!"&amp;"F"&amp;A272)))</f>
        <v>#REF!</v>
      </c>
      <c r="J272" t="e" cm="1">
        <f t="array" aca="1" ref="J272" ca="1">IF(OR(A272="",B272="safety"),"",IF(ISBLANK(INDIRECT("template!"&amp;"G"&amp;A272)),"",INDIRECT("template!"&amp;"G"&amp;A272)))</f>
        <v>#REF!</v>
      </c>
      <c r="K272" t="e" cm="1">
        <f t="array" aca="1" ref="K272" ca="1">IF(OR(A272="",B272="safety"),"",IF(ISBLANK(INDIRECT("template!"&amp;"H"&amp;A272)),"",INDIRECT("template!"&amp;"H"&amp;A272)))</f>
        <v>#REF!</v>
      </c>
      <c r="L272" t="e" cm="1">
        <f t="array" aca="1" ref="L272" ca="1">IF(OR(A272="",B272="safety"),"",INDIRECT("template!"&amp;"I"&amp;A272))</f>
        <v>#REF!</v>
      </c>
      <c r="M272" t="e" cm="1">
        <f t="array" aca="1" ref="M272" ca="1">IF(OR(A272="",B272="safety"),"",INDIRECT("template!"&amp;"J"&amp;A272))</f>
        <v>#REF!</v>
      </c>
      <c r="N272" t="e" cm="1">
        <f t="array" aca="1" ref="N272" ca="1">IF(OR(A272="",B272="safety"),"",IF(ISBLANK(INDIRECT("template!"&amp;"K"&amp;A272)),"",INDIRECT("template!"&amp;"K"&amp;A272)))</f>
        <v>#REF!</v>
      </c>
      <c r="O272" t="e" cm="1">
        <f t="array" aca="1" ref="O272" ca="1">IF(OR(A272="",B272="safety"),"",INDIRECT("template!"&amp;"L"&amp;A272))</f>
        <v>#REF!</v>
      </c>
      <c r="P272" t="e" cm="1">
        <f t="array" aca="1" ref="P272" ca="1">IF(OR(A272="",B272="safety"),"",INDIRECT("template!"&amp;"M"&amp;A272))</f>
        <v>#REF!</v>
      </c>
      <c r="Q272" t="e">
        <f t="shared" ca="1" si="22"/>
        <v>#REF!</v>
      </c>
      <c r="R272" t="e">
        <f t="shared" ca="1" si="23"/>
        <v>#REF!</v>
      </c>
      <c r="S272" t="e">
        <f t="shared" ca="1" si="24"/>
        <v>#REF!</v>
      </c>
      <c r="T272" t="e">
        <f t="shared" ca="1" si="25"/>
        <v>#REF!</v>
      </c>
      <c r="U272" t="e" cm="1">
        <f t="array" aca="1" ref="U272" ca="1">IF(A272="","",IF(E272="","",IF(B272="safety",INDIRECT("template!"&amp;"P"&amp;A272),Q272+R272)))</f>
        <v>#REF!</v>
      </c>
      <c r="V272" t="e" cm="1">
        <f t="array" aca="1" ref="V272" ca="1">IF(A272="","",IF(E272="","",IF(B272="safety",INDIRECT("template!"&amp;"P"&amp;A272),S272+T272)))</f>
        <v>#REF!</v>
      </c>
      <c r="W272" t="e">
        <f ca="1">IF(A272="","",IF(E272="","",#REF!))</f>
        <v>#REF!</v>
      </c>
      <c r="X272" t="e">
        <f ca="1">IF(A272="","",IF(E272="","",#REF!))</f>
        <v>#REF!</v>
      </c>
      <c r="Y272" s="39" t="e">
        <f ca="1">IF(A272="","",IF(E272="","",#REF!))</f>
        <v>#REF!</v>
      </c>
      <c r="Z272" t="e">
        <f ca="1">IF(A272="","",IF(E272="","",#REF!))</f>
        <v>#REF!</v>
      </c>
      <c r="AA272" t="e">
        <f ca="1">IF(A272="","",IF(E272="","",#REF!))</f>
        <v>#REF!</v>
      </c>
      <c r="AB272" t="e">
        <f ca="1">IF(A272="","",IF(E272="","",#REF!))</f>
        <v>#REF!</v>
      </c>
      <c r="AC272" t="e">
        <f t="shared" ca="1" si="26"/>
        <v>#REF!</v>
      </c>
    </row>
    <row r="273" spans="1:29" x14ac:dyDescent="0.35">
      <c r="A273" t="e" cm="1">
        <f t="array" aca="1" ref="A273" ca="1">IF(A272="","",IF(OR(AND(A272+1&gt;=$AF$1,A272+1&lt;=$AF$2),AND(A272+1&gt;=$AF$6,A272+1&lt;=$AF$7),AND(A272+1&gt;=$AF$3,A272+1&lt;=$AF$4),AND(A272+1&gt;=$AF$8,A272+1&lt;=$AF$9),A272+1=$AF$5),IF(NOT(ISBLANK(INDIRECT("template!"&amp;"P"&amp;A272+1))),A272+1,IF(NOT(ISBLANK(INDIRECT("template!"&amp;"P"&amp;A272+2))),A272+2,A272+3)),IF(A272=$AF$2,$AF$3,IF(A272=$AF$4,$AF$5,IF(A272=$AF$5,$AF$6,IF(A272=$AF$7,$AF$8,""))))))</f>
        <v>#REF!</v>
      </c>
      <c r="B273" t="e">
        <f t="shared" ca="1" si="21"/>
        <v>#REF!</v>
      </c>
      <c r="C273" t="e" cm="1">
        <f t="array" aca="1" ref="C273" ca="1">IF(A273="","",IF(B273="safety","safety costs",INDIRECT("template!"&amp;"B"&amp;A273)))</f>
        <v>#REF!</v>
      </c>
      <c r="D273" t="e" cm="1">
        <f t="array" aca="1" ref="D273" ca="1">IF(OR(A273="",B273="safety"),"",INDIRECT("template!"&amp;"C"&amp;A273))</f>
        <v>#REF!</v>
      </c>
      <c r="E273" t="e" cm="1">
        <f t="array" aca="1" ref="E273" ca="1">IF(A273="","",IF(OR(A273=A272+1,A273=A272+2),E272,INDIRECT("template!"&amp;"D"&amp;A273-2)))</f>
        <v>#REF!</v>
      </c>
      <c r="F273" t="e" cm="1">
        <f t="array" aca="1" ref="F273" ca="1">IF(OR(A273="",B273="safety"),"",IF(ISBLANK(IF(A273=A272+1,F272,INDIRECT("template!"&amp;"D"&amp;A273-1))),"",IF(A273=A272+1,F272,INDIRECT("template!"&amp;"D"&amp;A273-1))))</f>
        <v>#REF!</v>
      </c>
      <c r="G273" t="e" cm="1">
        <f t="array" aca="1" ref="G273" ca="1">IF(OR(A273="",B273="safety"),"",IF(ISBLANK(INDIRECT("template!"&amp;"D"&amp;A273)),"",INDIRECT("template!"&amp;"D"&amp;A273)))</f>
        <v>#REF!</v>
      </c>
      <c r="H273" t="e" cm="1">
        <f t="array" aca="1" ref="H273" ca="1">IF(OR(A273="",B273="safety"),"",IF(ISBLANK(INDIRECT("template!"&amp;"E"&amp;A273)),"",INDIRECT("template!"&amp;"E"&amp;A273)))</f>
        <v>#REF!</v>
      </c>
      <c r="I273" t="e" cm="1">
        <f t="array" aca="1" ref="I273" ca="1">IF(OR(A273="",B273="safety"),"",IF(ISBLANK(INDIRECT("template!"&amp;"F"&amp;A273)),"",INDIRECT("template!"&amp;"F"&amp;A273)))</f>
        <v>#REF!</v>
      </c>
      <c r="J273" t="e" cm="1">
        <f t="array" aca="1" ref="J273" ca="1">IF(OR(A273="",B273="safety"),"",IF(ISBLANK(INDIRECT("template!"&amp;"G"&amp;A273)),"",INDIRECT("template!"&amp;"G"&amp;A273)))</f>
        <v>#REF!</v>
      </c>
      <c r="K273" t="e" cm="1">
        <f t="array" aca="1" ref="K273" ca="1">IF(OR(A273="",B273="safety"),"",IF(ISBLANK(INDIRECT("template!"&amp;"H"&amp;A273)),"",INDIRECT("template!"&amp;"H"&amp;A273)))</f>
        <v>#REF!</v>
      </c>
      <c r="L273" t="e" cm="1">
        <f t="array" aca="1" ref="L273" ca="1">IF(OR(A273="",B273="safety"),"",INDIRECT("template!"&amp;"I"&amp;A273))</f>
        <v>#REF!</v>
      </c>
      <c r="M273" t="e" cm="1">
        <f t="array" aca="1" ref="M273" ca="1">IF(OR(A273="",B273="safety"),"",INDIRECT("template!"&amp;"J"&amp;A273))</f>
        <v>#REF!</v>
      </c>
      <c r="N273" t="e" cm="1">
        <f t="array" aca="1" ref="N273" ca="1">IF(OR(A273="",B273="safety"),"",IF(ISBLANK(INDIRECT("template!"&amp;"K"&amp;A273)),"",INDIRECT("template!"&amp;"K"&amp;A273)))</f>
        <v>#REF!</v>
      </c>
      <c r="O273" t="e" cm="1">
        <f t="array" aca="1" ref="O273" ca="1">IF(OR(A273="",B273="safety"),"",INDIRECT("template!"&amp;"L"&amp;A273))</f>
        <v>#REF!</v>
      </c>
      <c r="P273" t="e" cm="1">
        <f t="array" aca="1" ref="P273" ca="1">IF(OR(A273="",B273="safety"),"",INDIRECT("template!"&amp;"M"&amp;A273))</f>
        <v>#REF!</v>
      </c>
      <c r="Q273" t="e">
        <f t="shared" ca="1" si="22"/>
        <v>#REF!</v>
      </c>
      <c r="R273" t="e">
        <f t="shared" ca="1" si="23"/>
        <v>#REF!</v>
      </c>
      <c r="S273" t="e">
        <f t="shared" ca="1" si="24"/>
        <v>#REF!</v>
      </c>
      <c r="T273" t="e">
        <f t="shared" ca="1" si="25"/>
        <v>#REF!</v>
      </c>
      <c r="U273" t="e" cm="1">
        <f t="array" aca="1" ref="U273" ca="1">IF(A273="","",IF(E273="","",IF(B273="safety",INDIRECT("template!"&amp;"P"&amp;A273),Q273+R273)))</f>
        <v>#REF!</v>
      </c>
      <c r="V273" t="e" cm="1">
        <f t="array" aca="1" ref="V273" ca="1">IF(A273="","",IF(E273="","",IF(B273="safety",INDIRECT("template!"&amp;"P"&amp;A273),S273+T273)))</f>
        <v>#REF!</v>
      </c>
      <c r="W273" t="e">
        <f ca="1">IF(A273="","",IF(E273="","",#REF!))</f>
        <v>#REF!</v>
      </c>
      <c r="X273" t="e">
        <f ca="1">IF(A273="","",IF(E273="","",#REF!))</f>
        <v>#REF!</v>
      </c>
      <c r="Y273" s="39" t="e">
        <f ca="1">IF(A273="","",IF(E273="","",#REF!))</f>
        <v>#REF!</v>
      </c>
      <c r="Z273" t="e">
        <f ca="1">IF(A273="","",IF(E273="","",#REF!))</f>
        <v>#REF!</v>
      </c>
      <c r="AA273" t="e">
        <f ca="1">IF(A273="","",IF(E273="","",#REF!))</f>
        <v>#REF!</v>
      </c>
      <c r="AB273" t="e">
        <f ca="1">IF(A273="","",IF(E273="","",#REF!))</f>
        <v>#REF!</v>
      </c>
      <c r="AC273" t="e">
        <f t="shared" ca="1" si="26"/>
        <v>#REF!</v>
      </c>
    </row>
    <row r="274" spans="1:29" x14ac:dyDescent="0.35">
      <c r="A274" t="e" cm="1">
        <f t="array" aca="1" ref="A274" ca="1">IF(A273="","",IF(OR(AND(A273+1&gt;=$AF$1,A273+1&lt;=$AF$2),AND(A273+1&gt;=$AF$6,A273+1&lt;=$AF$7),AND(A273+1&gt;=$AF$3,A273+1&lt;=$AF$4),AND(A273+1&gt;=$AF$8,A273+1&lt;=$AF$9),A273+1=$AF$5),IF(NOT(ISBLANK(INDIRECT("template!"&amp;"P"&amp;A273+1))),A273+1,IF(NOT(ISBLANK(INDIRECT("template!"&amp;"P"&amp;A273+2))),A273+2,A273+3)),IF(A273=$AF$2,$AF$3,IF(A273=$AF$4,$AF$5,IF(A273=$AF$5,$AF$6,IF(A273=$AF$7,$AF$8,""))))))</f>
        <v>#REF!</v>
      </c>
      <c r="B274" t="e">
        <f t="shared" ca="1" si="21"/>
        <v>#REF!</v>
      </c>
      <c r="C274" t="e" cm="1">
        <f t="array" aca="1" ref="C274" ca="1">IF(A274="","",IF(B274="safety","safety costs",INDIRECT("template!"&amp;"B"&amp;A274)))</f>
        <v>#REF!</v>
      </c>
      <c r="D274" t="e" cm="1">
        <f t="array" aca="1" ref="D274" ca="1">IF(OR(A274="",B274="safety"),"",INDIRECT("template!"&amp;"C"&amp;A274))</f>
        <v>#REF!</v>
      </c>
      <c r="E274" t="e" cm="1">
        <f t="array" aca="1" ref="E274" ca="1">IF(A274="","",IF(OR(A274=A273+1,A274=A273+2),E273,INDIRECT("template!"&amp;"D"&amp;A274-2)))</f>
        <v>#REF!</v>
      </c>
      <c r="F274" t="e" cm="1">
        <f t="array" aca="1" ref="F274" ca="1">IF(OR(A274="",B274="safety"),"",IF(ISBLANK(IF(A274=A273+1,F273,INDIRECT("template!"&amp;"D"&amp;A274-1))),"",IF(A274=A273+1,F273,INDIRECT("template!"&amp;"D"&amp;A274-1))))</f>
        <v>#REF!</v>
      </c>
      <c r="G274" t="e" cm="1">
        <f t="array" aca="1" ref="G274" ca="1">IF(OR(A274="",B274="safety"),"",IF(ISBLANK(INDIRECT("template!"&amp;"D"&amp;A274)),"",INDIRECT("template!"&amp;"D"&amp;A274)))</f>
        <v>#REF!</v>
      </c>
      <c r="H274" t="e" cm="1">
        <f t="array" aca="1" ref="H274" ca="1">IF(OR(A274="",B274="safety"),"",IF(ISBLANK(INDIRECT("template!"&amp;"E"&amp;A274)),"",INDIRECT("template!"&amp;"E"&amp;A274)))</f>
        <v>#REF!</v>
      </c>
      <c r="I274" t="e" cm="1">
        <f t="array" aca="1" ref="I274" ca="1">IF(OR(A274="",B274="safety"),"",IF(ISBLANK(INDIRECT("template!"&amp;"F"&amp;A274)),"",INDIRECT("template!"&amp;"F"&amp;A274)))</f>
        <v>#REF!</v>
      </c>
      <c r="J274" t="e" cm="1">
        <f t="array" aca="1" ref="J274" ca="1">IF(OR(A274="",B274="safety"),"",IF(ISBLANK(INDIRECT("template!"&amp;"G"&amp;A274)),"",INDIRECT("template!"&amp;"G"&amp;A274)))</f>
        <v>#REF!</v>
      </c>
      <c r="K274" t="e" cm="1">
        <f t="array" aca="1" ref="K274" ca="1">IF(OR(A274="",B274="safety"),"",IF(ISBLANK(INDIRECT("template!"&amp;"H"&amp;A274)),"",INDIRECT("template!"&amp;"H"&amp;A274)))</f>
        <v>#REF!</v>
      </c>
      <c r="L274" t="e" cm="1">
        <f t="array" aca="1" ref="L274" ca="1">IF(OR(A274="",B274="safety"),"",INDIRECT("template!"&amp;"I"&amp;A274))</f>
        <v>#REF!</v>
      </c>
      <c r="M274" t="e" cm="1">
        <f t="array" aca="1" ref="M274" ca="1">IF(OR(A274="",B274="safety"),"",INDIRECT("template!"&amp;"J"&amp;A274))</f>
        <v>#REF!</v>
      </c>
      <c r="N274" t="e" cm="1">
        <f t="array" aca="1" ref="N274" ca="1">IF(OR(A274="",B274="safety"),"",IF(ISBLANK(INDIRECT("template!"&amp;"K"&amp;A274)),"",INDIRECT("template!"&amp;"K"&amp;A274)))</f>
        <v>#REF!</v>
      </c>
      <c r="O274" t="e" cm="1">
        <f t="array" aca="1" ref="O274" ca="1">IF(OR(A274="",B274="safety"),"",INDIRECT("template!"&amp;"L"&amp;A274))</f>
        <v>#REF!</v>
      </c>
      <c r="P274" t="e" cm="1">
        <f t="array" aca="1" ref="P274" ca="1">IF(OR(A274="",B274="safety"),"",INDIRECT("template!"&amp;"M"&amp;A274))</f>
        <v>#REF!</v>
      </c>
      <c r="Q274" t="e">
        <f t="shared" ca="1" si="22"/>
        <v>#REF!</v>
      </c>
      <c r="R274" t="e">
        <f t="shared" ca="1" si="23"/>
        <v>#REF!</v>
      </c>
      <c r="S274" t="e">
        <f t="shared" ca="1" si="24"/>
        <v>#REF!</v>
      </c>
      <c r="T274" t="e">
        <f t="shared" ca="1" si="25"/>
        <v>#REF!</v>
      </c>
      <c r="U274" t="e" cm="1">
        <f t="array" aca="1" ref="U274" ca="1">IF(A274="","",IF(E274="","",IF(B274="safety",INDIRECT("template!"&amp;"P"&amp;A274),Q274+R274)))</f>
        <v>#REF!</v>
      </c>
      <c r="V274" t="e" cm="1">
        <f t="array" aca="1" ref="V274" ca="1">IF(A274="","",IF(E274="","",IF(B274="safety",INDIRECT("template!"&amp;"P"&amp;A274),S274+T274)))</f>
        <v>#REF!</v>
      </c>
      <c r="W274" t="e">
        <f ca="1">IF(A274="","",IF(E274="","",#REF!))</f>
        <v>#REF!</v>
      </c>
      <c r="X274" t="e">
        <f ca="1">IF(A274="","",IF(E274="","",#REF!))</f>
        <v>#REF!</v>
      </c>
      <c r="Y274" s="39" t="e">
        <f ca="1">IF(A274="","",IF(E274="","",#REF!))</f>
        <v>#REF!</v>
      </c>
      <c r="Z274" t="e">
        <f ca="1">IF(A274="","",IF(E274="","",#REF!))</f>
        <v>#REF!</v>
      </c>
      <c r="AA274" t="e">
        <f ca="1">IF(A274="","",IF(E274="","",#REF!))</f>
        <v>#REF!</v>
      </c>
      <c r="AB274" t="e">
        <f ca="1">IF(A274="","",IF(E274="","",#REF!))</f>
        <v>#REF!</v>
      </c>
      <c r="AC274" t="e">
        <f t="shared" ca="1" si="26"/>
        <v>#REF!</v>
      </c>
    </row>
    <row r="275" spans="1:29" x14ac:dyDescent="0.35">
      <c r="A275" t="e" cm="1">
        <f t="array" aca="1" ref="A275" ca="1">IF(A274="","",IF(OR(AND(A274+1&gt;=$AF$1,A274+1&lt;=$AF$2),AND(A274+1&gt;=$AF$6,A274+1&lt;=$AF$7),AND(A274+1&gt;=$AF$3,A274+1&lt;=$AF$4),AND(A274+1&gt;=$AF$8,A274+1&lt;=$AF$9),A274+1=$AF$5),IF(NOT(ISBLANK(INDIRECT("template!"&amp;"P"&amp;A274+1))),A274+1,IF(NOT(ISBLANK(INDIRECT("template!"&amp;"P"&amp;A274+2))),A274+2,A274+3)),IF(A274=$AF$2,$AF$3,IF(A274=$AF$4,$AF$5,IF(A274=$AF$5,$AF$6,IF(A274=$AF$7,$AF$8,""))))))</f>
        <v>#REF!</v>
      </c>
      <c r="B275" t="e">
        <f t="shared" ca="1" si="21"/>
        <v>#REF!</v>
      </c>
      <c r="C275" t="e" cm="1">
        <f t="array" aca="1" ref="C275" ca="1">IF(A275="","",IF(B275="safety","safety costs",INDIRECT("template!"&amp;"B"&amp;A275)))</f>
        <v>#REF!</v>
      </c>
      <c r="D275" t="e" cm="1">
        <f t="array" aca="1" ref="D275" ca="1">IF(OR(A275="",B275="safety"),"",INDIRECT("template!"&amp;"C"&amp;A275))</f>
        <v>#REF!</v>
      </c>
      <c r="E275" t="e" cm="1">
        <f t="array" aca="1" ref="E275" ca="1">IF(A275="","",IF(OR(A275=A274+1,A275=A274+2),E274,INDIRECT("template!"&amp;"D"&amp;A275-2)))</f>
        <v>#REF!</v>
      </c>
      <c r="F275" t="e" cm="1">
        <f t="array" aca="1" ref="F275" ca="1">IF(OR(A275="",B275="safety"),"",IF(ISBLANK(IF(A275=A274+1,F274,INDIRECT("template!"&amp;"D"&amp;A275-1))),"",IF(A275=A274+1,F274,INDIRECT("template!"&amp;"D"&amp;A275-1))))</f>
        <v>#REF!</v>
      </c>
      <c r="G275" t="e" cm="1">
        <f t="array" aca="1" ref="G275" ca="1">IF(OR(A275="",B275="safety"),"",IF(ISBLANK(INDIRECT("template!"&amp;"D"&amp;A275)),"",INDIRECT("template!"&amp;"D"&amp;A275)))</f>
        <v>#REF!</v>
      </c>
      <c r="H275" t="e" cm="1">
        <f t="array" aca="1" ref="H275" ca="1">IF(OR(A275="",B275="safety"),"",IF(ISBLANK(INDIRECT("template!"&amp;"E"&amp;A275)),"",INDIRECT("template!"&amp;"E"&amp;A275)))</f>
        <v>#REF!</v>
      </c>
      <c r="I275" t="e" cm="1">
        <f t="array" aca="1" ref="I275" ca="1">IF(OR(A275="",B275="safety"),"",IF(ISBLANK(INDIRECT("template!"&amp;"F"&amp;A275)),"",INDIRECT("template!"&amp;"F"&amp;A275)))</f>
        <v>#REF!</v>
      </c>
      <c r="J275" t="e" cm="1">
        <f t="array" aca="1" ref="J275" ca="1">IF(OR(A275="",B275="safety"),"",IF(ISBLANK(INDIRECT("template!"&amp;"G"&amp;A275)),"",INDIRECT("template!"&amp;"G"&amp;A275)))</f>
        <v>#REF!</v>
      </c>
      <c r="K275" t="e" cm="1">
        <f t="array" aca="1" ref="K275" ca="1">IF(OR(A275="",B275="safety"),"",IF(ISBLANK(INDIRECT("template!"&amp;"H"&amp;A275)),"",INDIRECT("template!"&amp;"H"&amp;A275)))</f>
        <v>#REF!</v>
      </c>
      <c r="L275" t="e" cm="1">
        <f t="array" aca="1" ref="L275" ca="1">IF(OR(A275="",B275="safety"),"",INDIRECT("template!"&amp;"I"&amp;A275))</f>
        <v>#REF!</v>
      </c>
      <c r="M275" t="e" cm="1">
        <f t="array" aca="1" ref="M275" ca="1">IF(OR(A275="",B275="safety"),"",INDIRECT("template!"&amp;"J"&amp;A275))</f>
        <v>#REF!</v>
      </c>
      <c r="N275" t="e" cm="1">
        <f t="array" aca="1" ref="N275" ca="1">IF(OR(A275="",B275="safety"),"",IF(ISBLANK(INDIRECT("template!"&amp;"K"&amp;A275)),"",INDIRECT("template!"&amp;"K"&amp;A275)))</f>
        <v>#REF!</v>
      </c>
      <c r="O275" t="e" cm="1">
        <f t="array" aca="1" ref="O275" ca="1">IF(OR(A275="",B275="safety"),"",INDIRECT("template!"&amp;"L"&amp;A275))</f>
        <v>#REF!</v>
      </c>
      <c r="P275" t="e" cm="1">
        <f t="array" aca="1" ref="P275" ca="1">IF(OR(A275="",B275="safety"),"",INDIRECT("template!"&amp;"M"&amp;A275))</f>
        <v>#REF!</v>
      </c>
      <c r="Q275" t="e">
        <f t="shared" ca="1" si="22"/>
        <v>#REF!</v>
      </c>
      <c r="R275" t="e">
        <f t="shared" ca="1" si="23"/>
        <v>#REF!</v>
      </c>
      <c r="S275" t="e">
        <f t="shared" ca="1" si="24"/>
        <v>#REF!</v>
      </c>
      <c r="T275" t="e">
        <f t="shared" ca="1" si="25"/>
        <v>#REF!</v>
      </c>
      <c r="U275" t="e" cm="1">
        <f t="array" aca="1" ref="U275" ca="1">IF(A275="","",IF(E275="","",IF(B275="safety",INDIRECT("template!"&amp;"P"&amp;A275),Q275+R275)))</f>
        <v>#REF!</v>
      </c>
      <c r="V275" t="e" cm="1">
        <f t="array" aca="1" ref="V275" ca="1">IF(A275="","",IF(E275="","",IF(B275="safety",INDIRECT("template!"&amp;"P"&amp;A275),S275+T275)))</f>
        <v>#REF!</v>
      </c>
      <c r="W275" t="e">
        <f ca="1">IF(A275="","",IF(E275="","",#REF!))</f>
        <v>#REF!</v>
      </c>
      <c r="X275" t="e">
        <f ca="1">IF(A275="","",IF(E275="","",#REF!))</f>
        <v>#REF!</v>
      </c>
      <c r="Y275" s="39" t="e">
        <f ca="1">IF(A275="","",IF(E275="","",#REF!))</f>
        <v>#REF!</v>
      </c>
      <c r="Z275" t="e">
        <f ca="1">IF(A275="","",IF(E275="","",#REF!))</f>
        <v>#REF!</v>
      </c>
      <c r="AA275" t="e">
        <f ca="1">IF(A275="","",IF(E275="","",#REF!))</f>
        <v>#REF!</v>
      </c>
      <c r="AB275" t="e">
        <f ca="1">IF(A275="","",IF(E275="","",#REF!))</f>
        <v>#REF!</v>
      </c>
      <c r="AC275" t="e">
        <f t="shared" ca="1" si="26"/>
        <v>#REF!</v>
      </c>
    </row>
    <row r="276" spans="1:29" x14ac:dyDescent="0.35">
      <c r="A276" t="e" cm="1">
        <f t="array" aca="1" ref="A276" ca="1">IF(A275="","",IF(OR(AND(A275+1&gt;=$AF$1,A275+1&lt;=$AF$2),AND(A275+1&gt;=$AF$6,A275+1&lt;=$AF$7),AND(A275+1&gt;=$AF$3,A275+1&lt;=$AF$4),AND(A275+1&gt;=$AF$8,A275+1&lt;=$AF$9),A275+1=$AF$5),IF(NOT(ISBLANK(INDIRECT("template!"&amp;"P"&amp;A275+1))),A275+1,IF(NOT(ISBLANK(INDIRECT("template!"&amp;"P"&amp;A275+2))),A275+2,A275+3)),IF(A275=$AF$2,$AF$3,IF(A275=$AF$4,$AF$5,IF(A275=$AF$5,$AF$6,IF(A275=$AF$7,$AF$8,""))))))</f>
        <v>#REF!</v>
      </c>
      <c r="B276" t="e">
        <f t="shared" ca="1" si="21"/>
        <v>#REF!</v>
      </c>
      <c r="C276" t="e" cm="1">
        <f t="array" aca="1" ref="C276" ca="1">IF(A276="","",IF(B276="safety","safety costs",INDIRECT("template!"&amp;"B"&amp;A276)))</f>
        <v>#REF!</v>
      </c>
      <c r="D276" t="e" cm="1">
        <f t="array" aca="1" ref="D276" ca="1">IF(OR(A276="",B276="safety"),"",INDIRECT("template!"&amp;"C"&amp;A276))</f>
        <v>#REF!</v>
      </c>
      <c r="E276" t="e" cm="1">
        <f t="array" aca="1" ref="E276" ca="1">IF(A276="","",IF(OR(A276=A275+1,A276=A275+2),E275,INDIRECT("template!"&amp;"D"&amp;A276-2)))</f>
        <v>#REF!</v>
      </c>
      <c r="F276" t="e" cm="1">
        <f t="array" aca="1" ref="F276" ca="1">IF(OR(A276="",B276="safety"),"",IF(ISBLANK(IF(A276=A275+1,F275,INDIRECT("template!"&amp;"D"&amp;A276-1))),"",IF(A276=A275+1,F275,INDIRECT("template!"&amp;"D"&amp;A276-1))))</f>
        <v>#REF!</v>
      </c>
      <c r="G276" t="e" cm="1">
        <f t="array" aca="1" ref="G276" ca="1">IF(OR(A276="",B276="safety"),"",IF(ISBLANK(INDIRECT("template!"&amp;"D"&amp;A276)),"",INDIRECT("template!"&amp;"D"&amp;A276)))</f>
        <v>#REF!</v>
      </c>
      <c r="H276" t="e" cm="1">
        <f t="array" aca="1" ref="H276" ca="1">IF(OR(A276="",B276="safety"),"",IF(ISBLANK(INDIRECT("template!"&amp;"E"&amp;A276)),"",INDIRECT("template!"&amp;"E"&amp;A276)))</f>
        <v>#REF!</v>
      </c>
      <c r="I276" t="e" cm="1">
        <f t="array" aca="1" ref="I276" ca="1">IF(OR(A276="",B276="safety"),"",IF(ISBLANK(INDIRECT("template!"&amp;"F"&amp;A276)),"",INDIRECT("template!"&amp;"F"&amp;A276)))</f>
        <v>#REF!</v>
      </c>
      <c r="J276" t="e" cm="1">
        <f t="array" aca="1" ref="J276" ca="1">IF(OR(A276="",B276="safety"),"",IF(ISBLANK(INDIRECT("template!"&amp;"G"&amp;A276)),"",INDIRECT("template!"&amp;"G"&amp;A276)))</f>
        <v>#REF!</v>
      </c>
      <c r="K276" t="e" cm="1">
        <f t="array" aca="1" ref="K276" ca="1">IF(OR(A276="",B276="safety"),"",IF(ISBLANK(INDIRECT("template!"&amp;"H"&amp;A276)),"",INDIRECT("template!"&amp;"H"&amp;A276)))</f>
        <v>#REF!</v>
      </c>
      <c r="L276" t="e" cm="1">
        <f t="array" aca="1" ref="L276" ca="1">IF(OR(A276="",B276="safety"),"",INDIRECT("template!"&amp;"I"&amp;A276))</f>
        <v>#REF!</v>
      </c>
      <c r="M276" t="e" cm="1">
        <f t="array" aca="1" ref="M276" ca="1">IF(OR(A276="",B276="safety"),"",INDIRECT("template!"&amp;"J"&amp;A276))</f>
        <v>#REF!</v>
      </c>
      <c r="N276" t="e" cm="1">
        <f t="array" aca="1" ref="N276" ca="1">IF(OR(A276="",B276="safety"),"",IF(ISBLANK(INDIRECT("template!"&amp;"K"&amp;A276)),"",INDIRECT("template!"&amp;"K"&amp;A276)))</f>
        <v>#REF!</v>
      </c>
      <c r="O276" t="e" cm="1">
        <f t="array" aca="1" ref="O276" ca="1">IF(OR(A276="",B276="safety"),"",INDIRECT("template!"&amp;"L"&amp;A276))</f>
        <v>#REF!</v>
      </c>
      <c r="P276" t="e" cm="1">
        <f t="array" aca="1" ref="P276" ca="1">IF(OR(A276="",B276="safety"),"",INDIRECT("template!"&amp;"M"&amp;A276))</f>
        <v>#REF!</v>
      </c>
      <c r="Q276" t="e">
        <f t="shared" ca="1" si="22"/>
        <v>#REF!</v>
      </c>
      <c r="R276" t="e">
        <f t="shared" ca="1" si="23"/>
        <v>#REF!</v>
      </c>
      <c r="S276" t="e">
        <f t="shared" ca="1" si="24"/>
        <v>#REF!</v>
      </c>
      <c r="T276" t="e">
        <f t="shared" ca="1" si="25"/>
        <v>#REF!</v>
      </c>
      <c r="U276" t="e" cm="1">
        <f t="array" aca="1" ref="U276" ca="1">IF(A276="","",IF(E276="","",IF(B276="safety",INDIRECT("template!"&amp;"P"&amp;A276),Q276+R276)))</f>
        <v>#REF!</v>
      </c>
      <c r="V276" t="e" cm="1">
        <f t="array" aca="1" ref="V276" ca="1">IF(A276="","",IF(E276="","",IF(B276="safety",INDIRECT("template!"&amp;"P"&amp;A276),S276+T276)))</f>
        <v>#REF!</v>
      </c>
      <c r="W276" t="e">
        <f ca="1">IF(A276="","",IF(E276="","",#REF!))</f>
        <v>#REF!</v>
      </c>
      <c r="X276" t="e">
        <f ca="1">IF(A276="","",IF(E276="","",#REF!))</f>
        <v>#REF!</v>
      </c>
      <c r="Y276" s="39" t="e">
        <f ca="1">IF(A276="","",IF(E276="","",#REF!))</f>
        <v>#REF!</v>
      </c>
      <c r="Z276" t="e">
        <f ca="1">IF(A276="","",IF(E276="","",#REF!))</f>
        <v>#REF!</v>
      </c>
      <c r="AA276" t="e">
        <f ca="1">IF(A276="","",IF(E276="","",#REF!))</f>
        <v>#REF!</v>
      </c>
      <c r="AB276" t="e">
        <f ca="1">IF(A276="","",IF(E276="","",#REF!))</f>
        <v>#REF!</v>
      </c>
      <c r="AC276" t="e">
        <f t="shared" ca="1" si="26"/>
        <v>#REF!</v>
      </c>
    </row>
    <row r="277" spans="1:29" x14ac:dyDescent="0.35">
      <c r="A277" t="e" cm="1">
        <f t="array" aca="1" ref="A277" ca="1">IF(A276="","",IF(OR(AND(A276+1&gt;=$AF$1,A276+1&lt;=$AF$2),AND(A276+1&gt;=$AF$6,A276+1&lt;=$AF$7),AND(A276+1&gt;=$AF$3,A276+1&lt;=$AF$4),AND(A276+1&gt;=$AF$8,A276+1&lt;=$AF$9),A276+1=$AF$5),IF(NOT(ISBLANK(INDIRECT("template!"&amp;"P"&amp;A276+1))),A276+1,IF(NOT(ISBLANK(INDIRECT("template!"&amp;"P"&amp;A276+2))),A276+2,A276+3)),IF(A276=$AF$2,$AF$3,IF(A276=$AF$4,$AF$5,IF(A276=$AF$5,$AF$6,IF(A276=$AF$7,$AF$8,""))))))</f>
        <v>#REF!</v>
      </c>
      <c r="B277" t="e">
        <f t="shared" ca="1" si="21"/>
        <v>#REF!</v>
      </c>
      <c r="C277" t="e" cm="1">
        <f t="array" aca="1" ref="C277" ca="1">IF(A277="","",IF(B277="safety","safety costs",INDIRECT("template!"&amp;"B"&amp;A277)))</f>
        <v>#REF!</v>
      </c>
      <c r="D277" t="e" cm="1">
        <f t="array" aca="1" ref="D277" ca="1">IF(OR(A277="",B277="safety"),"",INDIRECT("template!"&amp;"C"&amp;A277))</f>
        <v>#REF!</v>
      </c>
      <c r="E277" t="e" cm="1">
        <f t="array" aca="1" ref="E277" ca="1">IF(A277="","",IF(OR(A277=A276+1,A277=A276+2),E276,INDIRECT("template!"&amp;"D"&amp;A277-2)))</f>
        <v>#REF!</v>
      </c>
      <c r="F277" t="e" cm="1">
        <f t="array" aca="1" ref="F277" ca="1">IF(OR(A277="",B277="safety"),"",IF(ISBLANK(IF(A277=A276+1,F276,INDIRECT("template!"&amp;"D"&amp;A277-1))),"",IF(A277=A276+1,F276,INDIRECT("template!"&amp;"D"&amp;A277-1))))</f>
        <v>#REF!</v>
      </c>
      <c r="G277" t="e" cm="1">
        <f t="array" aca="1" ref="G277" ca="1">IF(OR(A277="",B277="safety"),"",IF(ISBLANK(INDIRECT("template!"&amp;"D"&amp;A277)),"",INDIRECT("template!"&amp;"D"&amp;A277)))</f>
        <v>#REF!</v>
      </c>
      <c r="H277" t="e" cm="1">
        <f t="array" aca="1" ref="H277" ca="1">IF(OR(A277="",B277="safety"),"",IF(ISBLANK(INDIRECT("template!"&amp;"E"&amp;A277)),"",INDIRECT("template!"&amp;"E"&amp;A277)))</f>
        <v>#REF!</v>
      </c>
      <c r="I277" t="e" cm="1">
        <f t="array" aca="1" ref="I277" ca="1">IF(OR(A277="",B277="safety"),"",IF(ISBLANK(INDIRECT("template!"&amp;"F"&amp;A277)),"",INDIRECT("template!"&amp;"F"&amp;A277)))</f>
        <v>#REF!</v>
      </c>
      <c r="J277" t="e" cm="1">
        <f t="array" aca="1" ref="J277" ca="1">IF(OR(A277="",B277="safety"),"",IF(ISBLANK(INDIRECT("template!"&amp;"G"&amp;A277)),"",INDIRECT("template!"&amp;"G"&amp;A277)))</f>
        <v>#REF!</v>
      </c>
      <c r="K277" t="e" cm="1">
        <f t="array" aca="1" ref="K277" ca="1">IF(OR(A277="",B277="safety"),"",IF(ISBLANK(INDIRECT("template!"&amp;"H"&amp;A277)),"",INDIRECT("template!"&amp;"H"&amp;A277)))</f>
        <v>#REF!</v>
      </c>
      <c r="L277" t="e" cm="1">
        <f t="array" aca="1" ref="L277" ca="1">IF(OR(A277="",B277="safety"),"",INDIRECT("template!"&amp;"I"&amp;A277))</f>
        <v>#REF!</v>
      </c>
      <c r="M277" t="e" cm="1">
        <f t="array" aca="1" ref="M277" ca="1">IF(OR(A277="",B277="safety"),"",INDIRECT("template!"&amp;"J"&amp;A277))</f>
        <v>#REF!</v>
      </c>
      <c r="N277" t="e" cm="1">
        <f t="array" aca="1" ref="N277" ca="1">IF(OR(A277="",B277="safety"),"",IF(ISBLANK(INDIRECT("template!"&amp;"K"&amp;A277)),"",INDIRECT("template!"&amp;"K"&amp;A277)))</f>
        <v>#REF!</v>
      </c>
      <c r="O277" t="e" cm="1">
        <f t="array" aca="1" ref="O277" ca="1">IF(OR(A277="",B277="safety"),"",INDIRECT("template!"&amp;"L"&amp;A277))</f>
        <v>#REF!</v>
      </c>
      <c r="P277" t="e" cm="1">
        <f t="array" aca="1" ref="P277" ca="1">IF(OR(A277="",B277="safety"),"",INDIRECT("template!"&amp;"M"&amp;A277))</f>
        <v>#REF!</v>
      </c>
      <c r="Q277" t="e">
        <f t="shared" ca="1" si="22"/>
        <v>#REF!</v>
      </c>
      <c r="R277" t="e">
        <f t="shared" ca="1" si="23"/>
        <v>#REF!</v>
      </c>
      <c r="S277" t="e">
        <f t="shared" ca="1" si="24"/>
        <v>#REF!</v>
      </c>
      <c r="T277" t="e">
        <f t="shared" ca="1" si="25"/>
        <v>#REF!</v>
      </c>
      <c r="U277" t="e" cm="1">
        <f t="array" aca="1" ref="U277" ca="1">IF(A277="","",IF(E277="","",IF(B277="safety",INDIRECT("template!"&amp;"P"&amp;A277),Q277+R277)))</f>
        <v>#REF!</v>
      </c>
      <c r="V277" t="e" cm="1">
        <f t="array" aca="1" ref="V277" ca="1">IF(A277="","",IF(E277="","",IF(B277="safety",INDIRECT("template!"&amp;"P"&amp;A277),S277+T277)))</f>
        <v>#REF!</v>
      </c>
      <c r="W277" t="e">
        <f ca="1">IF(A277="","",IF(E277="","",#REF!))</f>
        <v>#REF!</v>
      </c>
      <c r="X277" t="e">
        <f ca="1">IF(A277="","",IF(E277="","",#REF!))</f>
        <v>#REF!</v>
      </c>
      <c r="Y277" s="39" t="e">
        <f ca="1">IF(A277="","",IF(E277="","",#REF!))</f>
        <v>#REF!</v>
      </c>
      <c r="Z277" t="e">
        <f ca="1">IF(A277="","",IF(E277="","",#REF!))</f>
        <v>#REF!</v>
      </c>
      <c r="AA277" t="e">
        <f ca="1">IF(A277="","",IF(E277="","",#REF!))</f>
        <v>#REF!</v>
      </c>
      <c r="AB277" t="e">
        <f ca="1">IF(A277="","",IF(E277="","",#REF!))</f>
        <v>#REF!</v>
      </c>
      <c r="AC277" t="e">
        <f t="shared" ca="1" si="26"/>
        <v>#REF!</v>
      </c>
    </row>
    <row r="278" spans="1:29" x14ac:dyDescent="0.35">
      <c r="A278" t="e" cm="1">
        <f t="array" aca="1" ref="A278" ca="1">IF(A277="","",IF(OR(AND(A277+1&gt;=$AF$1,A277+1&lt;=$AF$2),AND(A277+1&gt;=$AF$6,A277+1&lt;=$AF$7),AND(A277+1&gt;=$AF$3,A277+1&lt;=$AF$4),AND(A277+1&gt;=$AF$8,A277+1&lt;=$AF$9),A277+1=$AF$5),IF(NOT(ISBLANK(INDIRECT("template!"&amp;"P"&amp;A277+1))),A277+1,IF(NOT(ISBLANK(INDIRECT("template!"&amp;"P"&amp;A277+2))),A277+2,A277+3)),IF(A277=$AF$2,$AF$3,IF(A277=$AF$4,$AF$5,IF(A277=$AF$5,$AF$6,IF(A277=$AF$7,$AF$8,""))))))</f>
        <v>#REF!</v>
      </c>
      <c r="B278" t="e">
        <f t="shared" ca="1" si="21"/>
        <v>#REF!</v>
      </c>
      <c r="C278" t="e" cm="1">
        <f t="array" aca="1" ref="C278" ca="1">IF(A278="","",IF(B278="safety","safety costs",INDIRECT("template!"&amp;"B"&amp;A278)))</f>
        <v>#REF!</v>
      </c>
      <c r="D278" t="e" cm="1">
        <f t="array" aca="1" ref="D278" ca="1">IF(OR(A278="",B278="safety"),"",INDIRECT("template!"&amp;"C"&amp;A278))</f>
        <v>#REF!</v>
      </c>
      <c r="E278" t="e" cm="1">
        <f t="array" aca="1" ref="E278" ca="1">IF(A278="","",IF(OR(A278=A277+1,A278=A277+2),E277,INDIRECT("template!"&amp;"D"&amp;A278-2)))</f>
        <v>#REF!</v>
      </c>
      <c r="F278" t="e" cm="1">
        <f t="array" aca="1" ref="F278" ca="1">IF(OR(A278="",B278="safety"),"",IF(ISBLANK(IF(A278=A277+1,F277,INDIRECT("template!"&amp;"D"&amp;A278-1))),"",IF(A278=A277+1,F277,INDIRECT("template!"&amp;"D"&amp;A278-1))))</f>
        <v>#REF!</v>
      </c>
      <c r="G278" t="e" cm="1">
        <f t="array" aca="1" ref="G278" ca="1">IF(OR(A278="",B278="safety"),"",IF(ISBLANK(INDIRECT("template!"&amp;"D"&amp;A278)),"",INDIRECT("template!"&amp;"D"&amp;A278)))</f>
        <v>#REF!</v>
      </c>
      <c r="H278" t="e" cm="1">
        <f t="array" aca="1" ref="H278" ca="1">IF(OR(A278="",B278="safety"),"",IF(ISBLANK(INDIRECT("template!"&amp;"E"&amp;A278)),"",INDIRECT("template!"&amp;"E"&amp;A278)))</f>
        <v>#REF!</v>
      </c>
      <c r="I278" t="e" cm="1">
        <f t="array" aca="1" ref="I278" ca="1">IF(OR(A278="",B278="safety"),"",IF(ISBLANK(INDIRECT("template!"&amp;"F"&amp;A278)),"",INDIRECT("template!"&amp;"F"&amp;A278)))</f>
        <v>#REF!</v>
      </c>
      <c r="J278" t="e" cm="1">
        <f t="array" aca="1" ref="J278" ca="1">IF(OR(A278="",B278="safety"),"",IF(ISBLANK(INDIRECT("template!"&amp;"G"&amp;A278)),"",INDIRECT("template!"&amp;"G"&amp;A278)))</f>
        <v>#REF!</v>
      </c>
      <c r="K278" t="e" cm="1">
        <f t="array" aca="1" ref="K278" ca="1">IF(OR(A278="",B278="safety"),"",IF(ISBLANK(INDIRECT("template!"&amp;"H"&amp;A278)),"",INDIRECT("template!"&amp;"H"&amp;A278)))</f>
        <v>#REF!</v>
      </c>
      <c r="L278" t="e" cm="1">
        <f t="array" aca="1" ref="L278" ca="1">IF(OR(A278="",B278="safety"),"",INDIRECT("template!"&amp;"I"&amp;A278))</f>
        <v>#REF!</v>
      </c>
      <c r="M278" t="e" cm="1">
        <f t="array" aca="1" ref="M278" ca="1">IF(OR(A278="",B278="safety"),"",INDIRECT("template!"&amp;"J"&amp;A278))</f>
        <v>#REF!</v>
      </c>
      <c r="N278" t="e" cm="1">
        <f t="array" aca="1" ref="N278" ca="1">IF(OR(A278="",B278="safety"),"",IF(ISBLANK(INDIRECT("template!"&amp;"K"&amp;A278)),"",INDIRECT("template!"&amp;"K"&amp;A278)))</f>
        <v>#REF!</v>
      </c>
      <c r="O278" t="e" cm="1">
        <f t="array" aca="1" ref="O278" ca="1">IF(OR(A278="",B278="safety"),"",INDIRECT("template!"&amp;"L"&amp;A278))</f>
        <v>#REF!</v>
      </c>
      <c r="P278" t="e" cm="1">
        <f t="array" aca="1" ref="P278" ca="1">IF(OR(A278="",B278="safety"),"",INDIRECT("template!"&amp;"M"&amp;A278))</f>
        <v>#REF!</v>
      </c>
      <c r="Q278" t="e">
        <f t="shared" ca="1" si="22"/>
        <v>#REF!</v>
      </c>
      <c r="R278" t="e">
        <f t="shared" ca="1" si="23"/>
        <v>#REF!</v>
      </c>
      <c r="S278" t="e">
        <f t="shared" ca="1" si="24"/>
        <v>#REF!</v>
      </c>
      <c r="T278" t="e">
        <f t="shared" ca="1" si="25"/>
        <v>#REF!</v>
      </c>
      <c r="U278" t="e" cm="1">
        <f t="array" aca="1" ref="U278" ca="1">IF(A278="","",IF(E278="","",IF(B278="safety",INDIRECT("template!"&amp;"P"&amp;A278),Q278+R278)))</f>
        <v>#REF!</v>
      </c>
      <c r="V278" t="e" cm="1">
        <f t="array" aca="1" ref="V278" ca="1">IF(A278="","",IF(E278="","",IF(B278="safety",INDIRECT("template!"&amp;"P"&amp;A278),S278+T278)))</f>
        <v>#REF!</v>
      </c>
      <c r="W278" t="e">
        <f ca="1">IF(A278="","",IF(E278="","",#REF!))</f>
        <v>#REF!</v>
      </c>
      <c r="X278" t="e">
        <f ca="1">IF(A278="","",IF(E278="","",#REF!))</f>
        <v>#REF!</v>
      </c>
      <c r="Y278" s="39" t="e">
        <f ca="1">IF(A278="","",IF(E278="","",#REF!))</f>
        <v>#REF!</v>
      </c>
      <c r="Z278" t="e">
        <f ca="1">IF(A278="","",IF(E278="","",#REF!))</f>
        <v>#REF!</v>
      </c>
      <c r="AA278" t="e">
        <f ca="1">IF(A278="","",IF(E278="","",#REF!))</f>
        <v>#REF!</v>
      </c>
      <c r="AB278" t="e">
        <f ca="1">IF(A278="","",IF(E278="","",#REF!))</f>
        <v>#REF!</v>
      </c>
      <c r="AC278" t="e">
        <f t="shared" ca="1" si="26"/>
        <v>#REF!</v>
      </c>
    </row>
    <row r="279" spans="1:29" x14ac:dyDescent="0.35">
      <c r="A279" t="e" cm="1">
        <f t="array" aca="1" ref="A279" ca="1">IF(A278="","",IF(OR(AND(A278+1&gt;=$AF$1,A278+1&lt;=$AF$2),AND(A278+1&gt;=$AF$6,A278+1&lt;=$AF$7),AND(A278+1&gt;=$AF$3,A278+1&lt;=$AF$4),AND(A278+1&gt;=$AF$8,A278+1&lt;=$AF$9),A278+1=$AF$5),IF(NOT(ISBLANK(INDIRECT("template!"&amp;"P"&amp;A278+1))),A278+1,IF(NOT(ISBLANK(INDIRECT("template!"&amp;"P"&amp;A278+2))),A278+2,A278+3)),IF(A278=$AF$2,$AF$3,IF(A278=$AF$4,$AF$5,IF(A278=$AF$5,$AF$6,IF(A278=$AF$7,$AF$8,""))))))</f>
        <v>#REF!</v>
      </c>
      <c r="B279" t="e">
        <f t="shared" ca="1" si="21"/>
        <v>#REF!</v>
      </c>
      <c r="C279" t="e" cm="1">
        <f t="array" aca="1" ref="C279" ca="1">IF(A279="","",IF(B279="safety","safety costs",INDIRECT("template!"&amp;"B"&amp;A279)))</f>
        <v>#REF!</v>
      </c>
      <c r="D279" t="e" cm="1">
        <f t="array" aca="1" ref="D279" ca="1">IF(OR(A279="",B279="safety"),"",INDIRECT("template!"&amp;"C"&amp;A279))</f>
        <v>#REF!</v>
      </c>
      <c r="E279" t="e" cm="1">
        <f t="array" aca="1" ref="E279" ca="1">IF(A279="","",IF(OR(A279=A278+1,A279=A278+2),E278,INDIRECT("template!"&amp;"D"&amp;A279-2)))</f>
        <v>#REF!</v>
      </c>
      <c r="F279" t="e" cm="1">
        <f t="array" aca="1" ref="F279" ca="1">IF(OR(A279="",B279="safety"),"",IF(ISBLANK(IF(A279=A278+1,F278,INDIRECT("template!"&amp;"D"&amp;A279-1))),"",IF(A279=A278+1,F278,INDIRECT("template!"&amp;"D"&amp;A279-1))))</f>
        <v>#REF!</v>
      </c>
      <c r="G279" t="e" cm="1">
        <f t="array" aca="1" ref="G279" ca="1">IF(OR(A279="",B279="safety"),"",IF(ISBLANK(INDIRECT("template!"&amp;"D"&amp;A279)),"",INDIRECT("template!"&amp;"D"&amp;A279)))</f>
        <v>#REF!</v>
      </c>
      <c r="H279" t="e" cm="1">
        <f t="array" aca="1" ref="H279" ca="1">IF(OR(A279="",B279="safety"),"",IF(ISBLANK(INDIRECT("template!"&amp;"E"&amp;A279)),"",INDIRECT("template!"&amp;"E"&amp;A279)))</f>
        <v>#REF!</v>
      </c>
      <c r="I279" t="e" cm="1">
        <f t="array" aca="1" ref="I279" ca="1">IF(OR(A279="",B279="safety"),"",IF(ISBLANK(INDIRECT("template!"&amp;"F"&amp;A279)),"",INDIRECT("template!"&amp;"F"&amp;A279)))</f>
        <v>#REF!</v>
      </c>
      <c r="J279" t="e" cm="1">
        <f t="array" aca="1" ref="J279" ca="1">IF(OR(A279="",B279="safety"),"",IF(ISBLANK(INDIRECT("template!"&amp;"G"&amp;A279)),"",INDIRECT("template!"&amp;"G"&amp;A279)))</f>
        <v>#REF!</v>
      </c>
      <c r="K279" t="e" cm="1">
        <f t="array" aca="1" ref="K279" ca="1">IF(OR(A279="",B279="safety"),"",IF(ISBLANK(INDIRECT("template!"&amp;"H"&amp;A279)),"",INDIRECT("template!"&amp;"H"&amp;A279)))</f>
        <v>#REF!</v>
      </c>
      <c r="L279" t="e" cm="1">
        <f t="array" aca="1" ref="L279" ca="1">IF(OR(A279="",B279="safety"),"",INDIRECT("template!"&amp;"I"&amp;A279))</f>
        <v>#REF!</v>
      </c>
      <c r="M279" t="e" cm="1">
        <f t="array" aca="1" ref="M279" ca="1">IF(OR(A279="",B279="safety"),"",INDIRECT("template!"&amp;"J"&amp;A279))</f>
        <v>#REF!</v>
      </c>
      <c r="N279" t="e" cm="1">
        <f t="array" aca="1" ref="N279" ca="1">IF(OR(A279="",B279="safety"),"",IF(ISBLANK(INDIRECT("template!"&amp;"K"&amp;A279)),"",INDIRECT("template!"&amp;"K"&amp;A279)))</f>
        <v>#REF!</v>
      </c>
      <c r="O279" t="e" cm="1">
        <f t="array" aca="1" ref="O279" ca="1">IF(OR(A279="",B279="safety"),"",INDIRECT("template!"&amp;"L"&amp;A279))</f>
        <v>#REF!</v>
      </c>
      <c r="P279" t="e" cm="1">
        <f t="array" aca="1" ref="P279" ca="1">IF(OR(A279="",B279="safety"),"",INDIRECT("template!"&amp;"M"&amp;A279))</f>
        <v>#REF!</v>
      </c>
      <c r="Q279" t="e">
        <f t="shared" ca="1" si="22"/>
        <v>#REF!</v>
      </c>
      <c r="R279" t="e">
        <f t="shared" ca="1" si="23"/>
        <v>#REF!</v>
      </c>
      <c r="S279" t="e">
        <f t="shared" ca="1" si="24"/>
        <v>#REF!</v>
      </c>
      <c r="T279" t="e">
        <f t="shared" ca="1" si="25"/>
        <v>#REF!</v>
      </c>
      <c r="U279" t="e" cm="1">
        <f t="array" aca="1" ref="U279" ca="1">IF(A279="","",IF(E279="","",IF(B279="safety",INDIRECT("template!"&amp;"P"&amp;A279),Q279+R279)))</f>
        <v>#REF!</v>
      </c>
      <c r="V279" t="e" cm="1">
        <f t="array" aca="1" ref="V279" ca="1">IF(A279="","",IF(E279="","",IF(B279="safety",INDIRECT("template!"&amp;"P"&amp;A279),S279+T279)))</f>
        <v>#REF!</v>
      </c>
      <c r="W279" t="e">
        <f ca="1">IF(A279="","",IF(E279="","",#REF!))</f>
        <v>#REF!</v>
      </c>
      <c r="X279" t="e">
        <f ca="1">IF(A279="","",IF(E279="","",#REF!))</f>
        <v>#REF!</v>
      </c>
      <c r="Y279" s="39" t="e">
        <f ca="1">IF(A279="","",IF(E279="","",#REF!))</f>
        <v>#REF!</v>
      </c>
      <c r="Z279" t="e">
        <f ca="1">IF(A279="","",IF(E279="","",#REF!))</f>
        <v>#REF!</v>
      </c>
      <c r="AA279" t="e">
        <f ca="1">IF(A279="","",IF(E279="","",#REF!))</f>
        <v>#REF!</v>
      </c>
      <c r="AB279" t="e">
        <f ca="1">IF(A279="","",IF(E279="","",#REF!))</f>
        <v>#REF!</v>
      </c>
      <c r="AC279" t="e">
        <f t="shared" ca="1" si="26"/>
        <v>#REF!</v>
      </c>
    </row>
    <row r="280" spans="1:29" x14ac:dyDescent="0.35">
      <c r="A280" t="e" cm="1">
        <f t="array" aca="1" ref="A280" ca="1">IF(A279="","",IF(OR(AND(A279+1&gt;=$AF$1,A279+1&lt;=$AF$2),AND(A279+1&gt;=$AF$6,A279+1&lt;=$AF$7),AND(A279+1&gt;=$AF$3,A279+1&lt;=$AF$4),AND(A279+1&gt;=$AF$8,A279+1&lt;=$AF$9),A279+1=$AF$5),IF(NOT(ISBLANK(INDIRECT("template!"&amp;"P"&amp;A279+1))),A279+1,IF(NOT(ISBLANK(INDIRECT("template!"&amp;"P"&amp;A279+2))),A279+2,A279+3)),IF(A279=$AF$2,$AF$3,IF(A279=$AF$4,$AF$5,IF(A279=$AF$5,$AF$6,IF(A279=$AF$7,$AF$8,""))))))</f>
        <v>#REF!</v>
      </c>
      <c r="B280" t="e">
        <f t="shared" ca="1" si="21"/>
        <v>#REF!</v>
      </c>
      <c r="C280" t="e" cm="1">
        <f t="array" aca="1" ref="C280" ca="1">IF(A280="","",IF(B280="safety","safety costs",INDIRECT("template!"&amp;"B"&amp;A280)))</f>
        <v>#REF!</v>
      </c>
      <c r="D280" t="e" cm="1">
        <f t="array" aca="1" ref="D280" ca="1">IF(OR(A280="",B280="safety"),"",INDIRECT("template!"&amp;"C"&amp;A280))</f>
        <v>#REF!</v>
      </c>
      <c r="E280" t="e" cm="1">
        <f t="array" aca="1" ref="E280" ca="1">IF(A280="","",IF(OR(A280=A279+1,A280=A279+2),E279,INDIRECT("template!"&amp;"D"&amp;A280-2)))</f>
        <v>#REF!</v>
      </c>
      <c r="F280" t="e" cm="1">
        <f t="array" aca="1" ref="F280" ca="1">IF(OR(A280="",B280="safety"),"",IF(ISBLANK(IF(A280=A279+1,F279,INDIRECT("template!"&amp;"D"&amp;A280-1))),"",IF(A280=A279+1,F279,INDIRECT("template!"&amp;"D"&amp;A280-1))))</f>
        <v>#REF!</v>
      </c>
      <c r="G280" t="e" cm="1">
        <f t="array" aca="1" ref="G280" ca="1">IF(OR(A280="",B280="safety"),"",IF(ISBLANK(INDIRECT("template!"&amp;"D"&amp;A280)),"",INDIRECT("template!"&amp;"D"&amp;A280)))</f>
        <v>#REF!</v>
      </c>
      <c r="H280" t="e" cm="1">
        <f t="array" aca="1" ref="H280" ca="1">IF(OR(A280="",B280="safety"),"",IF(ISBLANK(INDIRECT("template!"&amp;"E"&amp;A280)),"",INDIRECT("template!"&amp;"E"&amp;A280)))</f>
        <v>#REF!</v>
      </c>
      <c r="I280" t="e" cm="1">
        <f t="array" aca="1" ref="I280" ca="1">IF(OR(A280="",B280="safety"),"",IF(ISBLANK(INDIRECT("template!"&amp;"F"&amp;A280)),"",INDIRECT("template!"&amp;"F"&amp;A280)))</f>
        <v>#REF!</v>
      </c>
      <c r="J280" t="e" cm="1">
        <f t="array" aca="1" ref="J280" ca="1">IF(OR(A280="",B280="safety"),"",IF(ISBLANK(INDIRECT("template!"&amp;"G"&amp;A280)),"",INDIRECT("template!"&amp;"G"&amp;A280)))</f>
        <v>#REF!</v>
      </c>
      <c r="K280" t="e" cm="1">
        <f t="array" aca="1" ref="K280" ca="1">IF(OR(A280="",B280="safety"),"",IF(ISBLANK(INDIRECT("template!"&amp;"H"&amp;A280)),"",INDIRECT("template!"&amp;"H"&amp;A280)))</f>
        <v>#REF!</v>
      </c>
      <c r="L280" t="e" cm="1">
        <f t="array" aca="1" ref="L280" ca="1">IF(OR(A280="",B280="safety"),"",INDIRECT("template!"&amp;"I"&amp;A280))</f>
        <v>#REF!</v>
      </c>
      <c r="M280" t="e" cm="1">
        <f t="array" aca="1" ref="M280" ca="1">IF(OR(A280="",B280="safety"),"",INDIRECT("template!"&amp;"J"&amp;A280))</f>
        <v>#REF!</v>
      </c>
      <c r="N280" t="e" cm="1">
        <f t="array" aca="1" ref="N280" ca="1">IF(OR(A280="",B280="safety"),"",IF(ISBLANK(INDIRECT("template!"&amp;"K"&amp;A280)),"",INDIRECT("template!"&amp;"K"&amp;A280)))</f>
        <v>#REF!</v>
      </c>
      <c r="O280" t="e" cm="1">
        <f t="array" aca="1" ref="O280" ca="1">IF(OR(A280="",B280="safety"),"",INDIRECT("template!"&amp;"L"&amp;A280))</f>
        <v>#REF!</v>
      </c>
      <c r="P280" t="e" cm="1">
        <f t="array" aca="1" ref="P280" ca="1">IF(OR(A280="",B280="safety"),"",INDIRECT("template!"&amp;"M"&amp;A280))</f>
        <v>#REF!</v>
      </c>
      <c r="Q280" t="e">
        <f t="shared" ca="1" si="22"/>
        <v>#REF!</v>
      </c>
      <c r="R280" t="e">
        <f t="shared" ca="1" si="23"/>
        <v>#REF!</v>
      </c>
      <c r="S280" t="e">
        <f t="shared" ca="1" si="24"/>
        <v>#REF!</v>
      </c>
      <c r="T280" t="e">
        <f t="shared" ca="1" si="25"/>
        <v>#REF!</v>
      </c>
      <c r="U280" t="e" cm="1">
        <f t="array" aca="1" ref="U280" ca="1">IF(A280="","",IF(E280="","",IF(B280="safety",INDIRECT("template!"&amp;"P"&amp;A280),Q280+R280)))</f>
        <v>#REF!</v>
      </c>
      <c r="V280" t="e" cm="1">
        <f t="array" aca="1" ref="V280" ca="1">IF(A280="","",IF(E280="","",IF(B280="safety",INDIRECT("template!"&amp;"P"&amp;A280),S280+T280)))</f>
        <v>#REF!</v>
      </c>
      <c r="W280" t="e">
        <f ca="1">IF(A280="","",IF(E280="","",#REF!))</f>
        <v>#REF!</v>
      </c>
      <c r="X280" t="e">
        <f ca="1">IF(A280="","",IF(E280="","",#REF!))</f>
        <v>#REF!</v>
      </c>
      <c r="Y280" s="39" t="e">
        <f ca="1">IF(A280="","",IF(E280="","",#REF!))</f>
        <v>#REF!</v>
      </c>
      <c r="Z280" t="e">
        <f ca="1">IF(A280="","",IF(E280="","",#REF!))</f>
        <v>#REF!</v>
      </c>
      <c r="AA280" t="e">
        <f ca="1">IF(A280="","",IF(E280="","",#REF!))</f>
        <v>#REF!</v>
      </c>
      <c r="AB280" t="e">
        <f ca="1">IF(A280="","",IF(E280="","",#REF!))</f>
        <v>#REF!</v>
      </c>
      <c r="AC280" t="e">
        <f t="shared" ca="1" si="26"/>
        <v>#REF!</v>
      </c>
    </row>
    <row r="281" spans="1:29" x14ac:dyDescent="0.35">
      <c r="A281" t="e" cm="1">
        <f t="array" aca="1" ref="A281" ca="1">IF(A280="","",IF(OR(AND(A280+1&gt;=$AF$1,A280+1&lt;=$AF$2),AND(A280+1&gt;=$AF$6,A280+1&lt;=$AF$7),AND(A280+1&gt;=$AF$3,A280+1&lt;=$AF$4),AND(A280+1&gt;=$AF$8,A280+1&lt;=$AF$9),A280+1=$AF$5),IF(NOT(ISBLANK(INDIRECT("template!"&amp;"P"&amp;A280+1))),A280+1,IF(NOT(ISBLANK(INDIRECT("template!"&amp;"P"&amp;A280+2))),A280+2,A280+3)),IF(A280=$AF$2,$AF$3,IF(A280=$AF$4,$AF$5,IF(A280=$AF$5,$AF$6,IF(A280=$AF$7,$AF$8,""))))))</f>
        <v>#REF!</v>
      </c>
      <c r="B281" t="e">
        <f t="shared" ca="1" si="21"/>
        <v>#REF!</v>
      </c>
      <c r="C281" t="e" cm="1">
        <f t="array" aca="1" ref="C281" ca="1">IF(A281="","",IF(B281="safety","safety costs",INDIRECT("template!"&amp;"B"&amp;A281)))</f>
        <v>#REF!</v>
      </c>
      <c r="D281" t="e" cm="1">
        <f t="array" aca="1" ref="D281" ca="1">IF(OR(A281="",B281="safety"),"",INDIRECT("template!"&amp;"C"&amp;A281))</f>
        <v>#REF!</v>
      </c>
      <c r="E281" t="e" cm="1">
        <f t="array" aca="1" ref="E281" ca="1">IF(A281="","",IF(OR(A281=A280+1,A281=A280+2),E280,INDIRECT("template!"&amp;"D"&amp;A281-2)))</f>
        <v>#REF!</v>
      </c>
      <c r="F281" t="e" cm="1">
        <f t="array" aca="1" ref="F281" ca="1">IF(OR(A281="",B281="safety"),"",IF(ISBLANK(IF(A281=A280+1,F280,INDIRECT("template!"&amp;"D"&amp;A281-1))),"",IF(A281=A280+1,F280,INDIRECT("template!"&amp;"D"&amp;A281-1))))</f>
        <v>#REF!</v>
      </c>
      <c r="G281" t="e" cm="1">
        <f t="array" aca="1" ref="G281" ca="1">IF(OR(A281="",B281="safety"),"",IF(ISBLANK(INDIRECT("template!"&amp;"D"&amp;A281)),"",INDIRECT("template!"&amp;"D"&amp;A281)))</f>
        <v>#REF!</v>
      </c>
      <c r="H281" t="e" cm="1">
        <f t="array" aca="1" ref="H281" ca="1">IF(OR(A281="",B281="safety"),"",IF(ISBLANK(INDIRECT("template!"&amp;"E"&amp;A281)),"",INDIRECT("template!"&amp;"E"&amp;A281)))</f>
        <v>#REF!</v>
      </c>
      <c r="I281" t="e" cm="1">
        <f t="array" aca="1" ref="I281" ca="1">IF(OR(A281="",B281="safety"),"",IF(ISBLANK(INDIRECT("template!"&amp;"F"&amp;A281)),"",INDIRECT("template!"&amp;"F"&amp;A281)))</f>
        <v>#REF!</v>
      </c>
      <c r="J281" t="e" cm="1">
        <f t="array" aca="1" ref="J281" ca="1">IF(OR(A281="",B281="safety"),"",IF(ISBLANK(INDIRECT("template!"&amp;"G"&amp;A281)),"",INDIRECT("template!"&amp;"G"&amp;A281)))</f>
        <v>#REF!</v>
      </c>
      <c r="K281" t="e" cm="1">
        <f t="array" aca="1" ref="K281" ca="1">IF(OR(A281="",B281="safety"),"",IF(ISBLANK(INDIRECT("template!"&amp;"H"&amp;A281)),"",INDIRECT("template!"&amp;"H"&amp;A281)))</f>
        <v>#REF!</v>
      </c>
      <c r="L281" t="e" cm="1">
        <f t="array" aca="1" ref="L281" ca="1">IF(OR(A281="",B281="safety"),"",INDIRECT("template!"&amp;"I"&amp;A281))</f>
        <v>#REF!</v>
      </c>
      <c r="M281" t="e" cm="1">
        <f t="array" aca="1" ref="M281" ca="1">IF(OR(A281="",B281="safety"),"",INDIRECT("template!"&amp;"J"&amp;A281))</f>
        <v>#REF!</v>
      </c>
      <c r="N281" t="e" cm="1">
        <f t="array" aca="1" ref="N281" ca="1">IF(OR(A281="",B281="safety"),"",IF(ISBLANK(INDIRECT("template!"&amp;"K"&amp;A281)),"",INDIRECT("template!"&amp;"K"&amp;A281)))</f>
        <v>#REF!</v>
      </c>
      <c r="O281" t="e" cm="1">
        <f t="array" aca="1" ref="O281" ca="1">IF(OR(A281="",B281="safety"),"",INDIRECT("template!"&amp;"L"&amp;A281))</f>
        <v>#REF!</v>
      </c>
      <c r="P281" t="e" cm="1">
        <f t="array" aca="1" ref="P281" ca="1">IF(OR(A281="",B281="safety"),"",INDIRECT("template!"&amp;"M"&amp;A281))</f>
        <v>#REF!</v>
      </c>
      <c r="Q281" t="e">
        <f t="shared" ca="1" si="22"/>
        <v>#REF!</v>
      </c>
      <c r="R281" t="e">
        <f t="shared" ca="1" si="23"/>
        <v>#REF!</v>
      </c>
      <c r="S281" t="e">
        <f t="shared" ca="1" si="24"/>
        <v>#REF!</v>
      </c>
      <c r="T281" t="e">
        <f t="shared" ca="1" si="25"/>
        <v>#REF!</v>
      </c>
      <c r="U281" t="e" cm="1">
        <f t="array" aca="1" ref="U281" ca="1">IF(A281="","",IF(E281="","",IF(B281="safety",INDIRECT("template!"&amp;"P"&amp;A281),Q281+R281)))</f>
        <v>#REF!</v>
      </c>
      <c r="V281" t="e" cm="1">
        <f t="array" aca="1" ref="V281" ca="1">IF(A281="","",IF(E281="","",IF(B281="safety",INDIRECT("template!"&amp;"P"&amp;A281),S281+T281)))</f>
        <v>#REF!</v>
      </c>
      <c r="W281" t="e">
        <f ca="1">IF(A281="","",IF(E281="","",#REF!))</f>
        <v>#REF!</v>
      </c>
      <c r="X281" t="e">
        <f ca="1">IF(A281="","",IF(E281="","",#REF!))</f>
        <v>#REF!</v>
      </c>
      <c r="Y281" s="39" t="e">
        <f ca="1">IF(A281="","",IF(E281="","",#REF!))</f>
        <v>#REF!</v>
      </c>
      <c r="Z281" t="e">
        <f ca="1">IF(A281="","",IF(E281="","",#REF!))</f>
        <v>#REF!</v>
      </c>
      <c r="AA281" t="e">
        <f ca="1">IF(A281="","",IF(E281="","",#REF!))</f>
        <v>#REF!</v>
      </c>
      <c r="AB281" t="e">
        <f ca="1">IF(A281="","",IF(E281="","",#REF!))</f>
        <v>#REF!</v>
      </c>
      <c r="AC281" t="e">
        <f t="shared" ca="1" si="26"/>
        <v>#REF!</v>
      </c>
    </row>
    <row r="282" spans="1:29" x14ac:dyDescent="0.35">
      <c r="A282" t="e" cm="1">
        <f t="array" aca="1" ref="A282" ca="1">IF(A281="","",IF(OR(AND(A281+1&gt;=$AF$1,A281+1&lt;=$AF$2),AND(A281+1&gt;=$AF$6,A281+1&lt;=$AF$7),AND(A281+1&gt;=$AF$3,A281+1&lt;=$AF$4),AND(A281+1&gt;=$AF$8,A281+1&lt;=$AF$9),A281+1=$AF$5),IF(NOT(ISBLANK(INDIRECT("template!"&amp;"P"&amp;A281+1))),A281+1,IF(NOT(ISBLANK(INDIRECT("template!"&amp;"P"&amp;A281+2))),A281+2,A281+3)),IF(A281=$AF$2,$AF$3,IF(A281=$AF$4,$AF$5,IF(A281=$AF$5,$AF$6,IF(A281=$AF$7,$AF$8,""))))))</f>
        <v>#REF!</v>
      </c>
      <c r="B282" t="e">
        <f t="shared" ca="1" si="21"/>
        <v>#REF!</v>
      </c>
      <c r="C282" t="e" cm="1">
        <f t="array" aca="1" ref="C282" ca="1">IF(A282="","",IF(B282="safety","safety costs",INDIRECT("template!"&amp;"B"&amp;A282)))</f>
        <v>#REF!</v>
      </c>
      <c r="D282" t="e" cm="1">
        <f t="array" aca="1" ref="D282" ca="1">IF(OR(A282="",B282="safety"),"",INDIRECT("template!"&amp;"C"&amp;A282))</f>
        <v>#REF!</v>
      </c>
      <c r="E282" t="e" cm="1">
        <f t="array" aca="1" ref="E282" ca="1">IF(A282="","",IF(OR(A282=A281+1,A282=A281+2),E281,INDIRECT("template!"&amp;"D"&amp;A282-2)))</f>
        <v>#REF!</v>
      </c>
      <c r="F282" t="e" cm="1">
        <f t="array" aca="1" ref="F282" ca="1">IF(OR(A282="",B282="safety"),"",IF(ISBLANK(IF(A282=A281+1,F281,INDIRECT("template!"&amp;"D"&amp;A282-1))),"",IF(A282=A281+1,F281,INDIRECT("template!"&amp;"D"&amp;A282-1))))</f>
        <v>#REF!</v>
      </c>
      <c r="G282" t="e" cm="1">
        <f t="array" aca="1" ref="G282" ca="1">IF(OR(A282="",B282="safety"),"",IF(ISBLANK(INDIRECT("template!"&amp;"D"&amp;A282)),"",INDIRECT("template!"&amp;"D"&amp;A282)))</f>
        <v>#REF!</v>
      </c>
      <c r="H282" t="e" cm="1">
        <f t="array" aca="1" ref="H282" ca="1">IF(OR(A282="",B282="safety"),"",IF(ISBLANK(INDIRECT("template!"&amp;"E"&amp;A282)),"",INDIRECT("template!"&amp;"E"&amp;A282)))</f>
        <v>#REF!</v>
      </c>
      <c r="I282" t="e" cm="1">
        <f t="array" aca="1" ref="I282" ca="1">IF(OR(A282="",B282="safety"),"",IF(ISBLANK(INDIRECT("template!"&amp;"F"&amp;A282)),"",INDIRECT("template!"&amp;"F"&amp;A282)))</f>
        <v>#REF!</v>
      </c>
      <c r="J282" t="e" cm="1">
        <f t="array" aca="1" ref="J282" ca="1">IF(OR(A282="",B282="safety"),"",IF(ISBLANK(INDIRECT("template!"&amp;"G"&amp;A282)),"",INDIRECT("template!"&amp;"G"&amp;A282)))</f>
        <v>#REF!</v>
      </c>
      <c r="K282" t="e" cm="1">
        <f t="array" aca="1" ref="K282" ca="1">IF(OR(A282="",B282="safety"),"",IF(ISBLANK(INDIRECT("template!"&amp;"H"&amp;A282)),"",INDIRECT("template!"&amp;"H"&amp;A282)))</f>
        <v>#REF!</v>
      </c>
      <c r="L282" t="e" cm="1">
        <f t="array" aca="1" ref="L282" ca="1">IF(OR(A282="",B282="safety"),"",INDIRECT("template!"&amp;"I"&amp;A282))</f>
        <v>#REF!</v>
      </c>
      <c r="M282" t="e" cm="1">
        <f t="array" aca="1" ref="M282" ca="1">IF(OR(A282="",B282="safety"),"",INDIRECT("template!"&amp;"J"&amp;A282))</f>
        <v>#REF!</v>
      </c>
      <c r="N282" t="e" cm="1">
        <f t="array" aca="1" ref="N282" ca="1">IF(OR(A282="",B282="safety"),"",IF(ISBLANK(INDIRECT("template!"&amp;"K"&amp;A282)),"",INDIRECT("template!"&amp;"K"&amp;A282)))</f>
        <v>#REF!</v>
      </c>
      <c r="O282" t="e" cm="1">
        <f t="array" aca="1" ref="O282" ca="1">IF(OR(A282="",B282="safety"),"",INDIRECT("template!"&amp;"L"&amp;A282))</f>
        <v>#REF!</v>
      </c>
      <c r="P282" t="e" cm="1">
        <f t="array" aca="1" ref="P282" ca="1">IF(OR(A282="",B282="safety"),"",INDIRECT("template!"&amp;"M"&amp;A282))</f>
        <v>#REF!</v>
      </c>
      <c r="Q282" t="e">
        <f t="shared" ca="1" si="22"/>
        <v>#REF!</v>
      </c>
      <c r="R282" t="e">
        <f t="shared" ca="1" si="23"/>
        <v>#REF!</v>
      </c>
      <c r="S282" t="e">
        <f t="shared" ca="1" si="24"/>
        <v>#REF!</v>
      </c>
      <c r="T282" t="e">
        <f t="shared" ca="1" si="25"/>
        <v>#REF!</v>
      </c>
      <c r="U282" t="e" cm="1">
        <f t="array" aca="1" ref="U282" ca="1">IF(A282="","",IF(E282="","",IF(B282="safety",INDIRECT("template!"&amp;"P"&amp;A282),Q282+R282)))</f>
        <v>#REF!</v>
      </c>
      <c r="V282" t="e" cm="1">
        <f t="array" aca="1" ref="V282" ca="1">IF(A282="","",IF(E282="","",IF(B282="safety",INDIRECT("template!"&amp;"P"&amp;A282),S282+T282)))</f>
        <v>#REF!</v>
      </c>
      <c r="W282" t="e">
        <f ca="1">IF(A282="","",IF(E282="","",#REF!))</f>
        <v>#REF!</v>
      </c>
      <c r="X282" t="e">
        <f ca="1">IF(A282="","",IF(E282="","",#REF!))</f>
        <v>#REF!</v>
      </c>
      <c r="Y282" s="39" t="e">
        <f ca="1">IF(A282="","",IF(E282="","",#REF!))</f>
        <v>#REF!</v>
      </c>
      <c r="Z282" t="e">
        <f ca="1">IF(A282="","",IF(E282="","",#REF!))</f>
        <v>#REF!</v>
      </c>
      <c r="AA282" t="e">
        <f ca="1">IF(A282="","",IF(E282="","",#REF!))</f>
        <v>#REF!</v>
      </c>
      <c r="AB282" t="e">
        <f ca="1">IF(A282="","",IF(E282="","",#REF!))</f>
        <v>#REF!</v>
      </c>
      <c r="AC282" t="e">
        <f t="shared" ca="1" si="26"/>
        <v>#REF!</v>
      </c>
    </row>
    <row r="283" spans="1:29" x14ac:dyDescent="0.35">
      <c r="A283" t="e" cm="1">
        <f t="array" aca="1" ref="A283" ca="1">IF(A282="","",IF(OR(AND(A282+1&gt;=$AF$1,A282+1&lt;=$AF$2),AND(A282+1&gt;=$AF$6,A282+1&lt;=$AF$7),AND(A282+1&gt;=$AF$3,A282+1&lt;=$AF$4),AND(A282+1&gt;=$AF$8,A282+1&lt;=$AF$9),A282+1=$AF$5),IF(NOT(ISBLANK(INDIRECT("template!"&amp;"P"&amp;A282+1))),A282+1,IF(NOT(ISBLANK(INDIRECT("template!"&amp;"P"&amp;A282+2))),A282+2,A282+3)),IF(A282=$AF$2,$AF$3,IF(A282=$AF$4,$AF$5,IF(A282=$AF$5,$AF$6,IF(A282=$AF$7,$AF$8,""))))))</f>
        <v>#REF!</v>
      </c>
      <c r="B283" t="e">
        <f t="shared" ca="1" si="21"/>
        <v>#REF!</v>
      </c>
      <c r="C283" t="e" cm="1">
        <f t="array" aca="1" ref="C283" ca="1">IF(A283="","",IF(B283="safety","safety costs",INDIRECT("template!"&amp;"B"&amp;A283)))</f>
        <v>#REF!</v>
      </c>
      <c r="D283" t="e" cm="1">
        <f t="array" aca="1" ref="D283" ca="1">IF(OR(A283="",B283="safety"),"",INDIRECT("template!"&amp;"C"&amp;A283))</f>
        <v>#REF!</v>
      </c>
      <c r="E283" t="e" cm="1">
        <f t="array" aca="1" ref="E283" ca="1">IF(A283="","",IF(OR(A283=A282+1,A283=A282+2),E282,INDIRECT("template!"&amp;"D"&amp;A283-2)))</f>
        <v>#REF!</v>
      </c>
      <c r="F283" t="e" cm="1">
        <f t="array" aca="1" ref="F283" ca="1">IF(OR(A283="",B283="safety"),"",IF(ISBLANK(IF(A283=A282+1,F282,INDIRECT("template!"&amp;"D"&amp;A283-1))),"",IF(A283=A282+1,F282,INDIRECT("template!"&amp;"D"&amp;A283-1))))</f>
        <v>#REF!</v>
      </c>
      <c r="G283" t="e" cm="1">
        <f t="array" aca="1" ref="G283" ca="1">IF(OR(A283="",B283="safety"),"",IF(ISBLANK(INDIRECT("template!"&amp;"D"&amp;A283)),"",INDIRECT("template!"&amp;"D"&amp;A283)))</f>
        <v>#REF!</v>
      </c>
      <c r="H283" t="e" cm="1">
        <f t="array" aca="1" ref="H283" ca="1">IF(OR(A283="",B283="safety"),"",IF(ISBLANK(INDIRECT("template!"&amp;"E"&amp;A283)),"",INDIRECT("template!"&amp;"E"&amp;A283)))</f>
        <v>#REF!</v>
      </c>
      <c r="I283" t="e" cm="1">
        <f t="array" aca="1" ref="I283" ca="1">IF(OR(A283="",B283="safety"),"",IF(ISBLANK(INDIRECT("template!"&amp;"F"&amp;A283)),"",INDIRECT("template!"&amp;"F"&amp;A283)))</f>
        <v>#REF!</v>
      </c>
      <c r="J283" t="e" cm="1">
        <f t="array" aca="1" ref="J283" ca="1">IF(OR(A283="",B283="safety"),"",IF(ISBLANK(INDIRECT("template!"&amp;"G"&amp;A283)),"",INDIRECT("template!"&amp;"G"&amp;A283)))</f>
        <v>#REF!</v>
      </c>
      <c r="K283" t="e" cm="1">
        <f t="array" aca="1" ref="K283" ca="1">IF(OR(A283="",B283="safety"),"",IF(ISBLANK(INDIRECT("template!"&amp;"H"&amp;A283)),"",INDIRECT("template!"&amp;"H"&amp;A283)))</f>
        <v>#REF!</v>
      </c>
      <c r="L283" t="e" cm="1">
        <f t="array" aca="1" ref="L283" ca="1">IF(OR(A283="",B283="safety"),"",INDIRECT("template!"&amp;"I"&amp;A283))</f>
        <v>#REF!</v>
      </c>
      <c r="M283" t="e" cm="1">
        <f t="array" aca="1" ref="M283" ca="1">IF(OR(A283="",B283="safety"),"",INDIRECT("template!"&amp;"J"&amp;A283))</f>
        <v>#REF!</v>
      </c>
      <c r="N283" t="e" cm="1">
        <f t="array" aca="1" ref="N283" ca="1">IF(OR(A283="",B283="safety"),"",IF(ISBLANK(INDIRECT("template!"&amp;"K"&amp;A283)),"",INDIRECT("template!"&amp;"K"&amp;A283)))</f>
        <v>#REF!</v>
      </c>
      <c r="O283" t="e" cm="1">
        <f t="array" aca="1" ref="O283" ca="1">IF(OR(A283="",B283="safety"),"",INDIRECT("template!"&amp;"L"&amp;A283))</f>
        <v>#REF!</v>
      </c>
      <c r="P283" t="e" cm="1">
        <f t="array" aca="1" ref="P283" ca="1">IF(OR(A283="",B283="safety"),"",INDIRECT("template!"&amp;"M"&amp;A283))</f>
        <v>#REF!</v>
      </c>
      <c r="Q283" t="e">
        <f t="shared" ca="1" si="22"/>
        <v>#REF!</v>
      </c>
      <c r="R283" t="e">
        <f t="shared" ca="1" si="23"/>
        <v>#REF!</v>
      </c>
      <c r="S283" t="e">
        <f t="shared" ca="1" si="24"/>
        <v>#REF!</v>
      </c>
      <c r="T283" t="e">
        <f t="shared" ca="1" si="25"/>
        <v>#REF!</v>
      </c>
      <c r="U283" t="e" cm="1">
        <f t="array" aca="1" ref="U283" ca="1">IF(A283="","",IF(E283="","",IF(B283="safety",INDIRECT("template!"&amp;"P"&amp;A283),Q283+R283)))</f>
        <v>#REF!</v>
      </c>
      <c r="V283" t="e" cm="1">
        <f t="array" aca="1" ref="V283" ca="1">IF(A283="","",IF(E283="","",IF(B283="safety",INDIRECT("template!"&amp;"P"&amp;A283),S283+T283)))</f>
        <v>#REF!</v>
      </c>
      <c r="W283" t="e">
        <f ca="1">IF(A283="","",IF(E283="","",#REF!))</f>
        <v>#REF!</v>
      </c>
      <c r="X283" t="e">
        <f ca="1">IF(A283="","",IF(E283="","",#REF!))</f>
        <v>#REF!</v>
      </c>
      <c r="Y283" s="39" t="e">
        <f ca="1">IF(A283="","",IF(E283="","",#REF!))</f>
        <v>#REF!</v>
      </c>
      <c r="Z283" t="e">
        <f ca="1">IF(A283="","",IF(E283="","",#REF!))</f>
        <v>#REF!</v>
      </c>
      <c r="AA283" t="e">
        <f ca="1">IF(A283="","",IF(E283="","",#REF!))</f>
        <v>#REF!</v>
      </c>
      <c r="AB283" t="e">
        <f ca="1">IF(A283="","",IF(E283="","",#REF!))</f>
        <v>#REF!</v>
      </c>
      <c r="AC283" t="e">
        <f t="shared" ca="1" si="26"/>
        <v>#REF!</v>
      </c>
    </row>
    <row r="284" spans="1:29" x14ac:dyDescent="0.35">
      <c r="A284" t="e" cm="1">
        <f t="array" aca="1" ref="A284" ca="1">IF(A283="","",IF(OR(AND(A283+1&gt;=$AF$1,A283+1&lt;=$AF$2),AND(A283+1&gt;=$AF$6,A283+1&lt;=$AF$7),AND(A283+1&gt;=$AF$3,A283+1&lt;=$AF$4),AND(A283+1&gt;=$AF$8,A283+1&lt;=$AF$9),A283+1=$AF$5),IF(NOT(ISBLANK(INDIRECT("template!"&amp;"P"&amp;A283+1))),A283+1,IF(NOT(ISBLANK(INDIRECT("template!"&amp;"P"&amp;A283+2))),A283+2,A283+3)),IF(A283=$AF$2,$AF$3,IF(A283=$AF$4,$AF$5,IF(A283=$AF$5,$AF$6,IF(A283=$AF$7,$AF$8,""))))))</f>
        <v>#REF!</v>
      </c>
      <c r="B284" t="e">
        <f t="shared" ca="1" si="21"/>
        <v>#REF!</v>
      </c>
      <c r="C284" t="e" cm="1">
        <f t="array" aca="1" ref="C284" ca="1">IF(A284="","",IF(B284="safety","safety costs",INDIRECT("template!"&amp;"B"&amp;A284)))</f>
        <v>#REF!</v>
      </c>
      <c r="D284" t="e" cm="1">
        <f t="array" aca="1" ref="D284" ca="1">IF(OR(A284="",B284="safety"),"",INDIRECT("template!"&amp;"C"&amp;A284))</f>
        <v>#REF!</v>
      </c>
      <c r="E284" t="e" cm="1">
        <f t="array" aca="1" ref="E284" ca="1">IF(A284="","",IF(OR(A284=A283+1,A284=A283+2),E283,INDIRECT("template!"&amp;"D"&amp;A284-2)))</f>
        <v>#REF!</v>
      </c>
      <c r="F284" t="e" cm="1">
        <f t="array" aca="1" ref="F284" ca="1">IF(OR(A284="",B284="safety"),"",IF(ISBLANK(IF(A284=A283+1,F283,INDIRECT("template!"&amp;"D"&amp;A284-1))),"",IF(A284=A283+1,F283,INDIRECT("template!"&amp;"D"&amp;A284-1))))</f>
        <v>#REF!</v>
      </c>
      <c r="G284" t="e" cm="1">
        <f t="array" aca="1" ref="G284" ca="1">IF(OR(A284="",B284="safety"),"",IF(ISBLANK(INDIRECT("template!"&amp;"D"&amp;A284)),"",INDIRECT("template!"&amp;"D"&amp;A284)))</f>
        <v>#REF!</v>
      </c>
      <c r="H284" t="e" cm="1">
        <f t="array" aca="1" ref="H284" ca="1">IF(OR(A284="",B284="safety"),"",IF(ISBLANK(INDIRECT("template!"&amp;"E"&amp;A284)),"",INDIRECT("template!"&amp;"E"&amp;A284)))</f>
        <v>#REF!</v>
      </c>
      <c r="I284" t="e" cm="1">
        <f t="array" aca="1" ref="I284" ca="1">IF(OR(A284="",B284="safety"),"",IF(ISBLANK(INDIRECT("template!"&amp;"F"&amp;A284)),"",INDIRECT("template!"&amp;"F"&amp;A284)))</f>
        <v>#REF!</v>
      </c>
      <c r="J284" t="e" cm="1">
        <f t="array" aca="1" ref="J284" ca="1">IF(OR(A284="",B284="safety"),"",IF(ISBLANK(INDIRECT("template!"&amp;"G"&amp;A284)),"",INDIRECT("template!"&amp;"G"&amp;A284)))</f>
        <v>#REF!</v>
      </c>
      <c r="K284" t="e" cm="1">
        <f t="array" aca="1" ref="K284" ca="1">IF(OR(A284="",B284="safety"),"",IF(ISBLANK(INDIRECT("template!"&amp;"H"&amp;A284)),"",INDIRECT("template!"&amp;"H"&amp;A284)))</f>
        <v>#REF!</v>
      </c>
      <c r="L284" t="e" cm="1">
        <f t="array" aca="1" ref="L284" ca="1">IF(OR(A284="",B284="safety"),"",INDIRECT("template!"&amp;"I"&amp;A284))</f>
        <v>#REF!</v>
      </c>
      <c r="M284" t="e" cm="1">
        <f t="array" aca="1" ref="M284" ca="1">IF(OR(A284="",B284="safety"),"",INDIRECT("template!"&amp;"J"&amp;A284))</f>
        <v>#REF!</v>
      </c>
      <c r="N284" t="e" cm="1">
        <f t="array" aca="1" ref="N284" ca="1">IF(OR(A284="",B284="safety"),"",IF(ISBLANK(INDIRECT("template!"&amp;"K"&amp;A284)),"",INDIRECT("template!"&amp;"K"&amp;A284)))</f>
        <v>#REF!</v>
      </c>
      <c r="O284" t="e" cm="1">
        <f t="array" aca="1" ref="O284" ca="1">IF(OR(A284="",B284="safety"),"",INDIRECT("template!"&amp;"L"&amp;A284))</f>
        <v>#REF!</v>
      </c>
      <c r="P284" t="e" cm="1">
        <f t="array" aca="1" ref="P284" ca="1">IF(OR(A284="",B284="safety"),"",INDIRECT("template!"&amp;"M"&amp;A284))</f>
        <v>#REF!</v>
      </c>
      <c r="Q284" t="e">
        <f t="shared" ca="1" si="22"/>
        <v>#REF!</v>
      </c>
      <c r="R284" t="e">
        <f t="shared" ca="1" si="23"/>
        <v>#REF!</v>
      </c>
      <c r="S284" t="e">
        <f t="shared" ca="1" si="24"/>
        <v>#REF!</v>
      </c>
      <c r="T284" t="e">
        <f t="shared" ca="1" si="25"/>
        <v>#REF!</v>
      </c>
      <c r="U284" t="e" cm="1">
        <f t="array" aca="1" ref="U284" ca="1">IF(A284="","",IF(E284="","",IF(B284="safety",INDIRECT("template!"&amp;"P"&amp;A284),Q284+R284)))</f>
        <v>#REF!</v>
      </c>
      <c r="V284" t="e" cm="1">
        <f t="array" aca="1" ref="V284" ca="1">IF(A284="","",IF(E284="","",IF(B284="safety",INDIRECT("template!"&amp;"P"&amp;A284),S284+T284)))</f>
        <v>#REF!</v>
      </c>
      <c r="W284" t="e">
        <f ca="1">IF(A284="","",IF(E284="","",#REF!))</f>
        <v>#REF!</v>
      </c>
      <c r="X284" t="e">
        <f ca="1">IF(A284="","",IF(E284="","",#REF!))</f>
        <v>#REF!</v>
      </c>
      <c r="Y284" s="39" t="e">
        <f ca="1">IF(A284="","",IF(E284="","",#REF!))</f>
        <v>#REF!</v>
      </c>
      <c r="Z284" t="e">
        <f ca="1">IF(A284="","",IF(E284="","",#REF!))</f>
        <v>#REF!</v>
      </c>
      <c r="AA284" t="e">
        <f ca="1">IF(A284="","",IF(E284="","",#REF!))</f>
        <v>#REF!</v>
      </c>
      <c r="AB284" t="e">
        <f ca="1">IF(A284="","",IF(E284="","",#REF!))</f>
        <v>#REF!</v>
      </c>
      <c r="AC284" t="e">
        <f t="shared" ca="1" si="26"/>
        <v>#REF!</v>
      </c>
    </row>
    <row r="285" spans="1:29" x14ac:dyDescent="0.35">
      <c r="A285" t="e" cm="1">
        <f t="array" aca="1" ref="A285" ca="1">IF(A284="","",IF(OR(AND(A284+1&gt;=$AF$1,A284+1&lt;=$AF$2),AND(A284+1&gt;=$AF$6,A284+1&lt;=$AF$7),AND(A284+1&gt;=$AF$3,A284+1&lt;=$AF$4),AND(A284+1&gt;=$AF$8,A284+1&lt;=$AF$9),A284+1=$AF$5),IF(NOT(ISBLANK(INDIRECT("template!"&amp;"P"&amp;A284+1))),A284+1,IF(NOT(ISBLANK(INDIRECT("template!"&amp;"P"&amp;A284+2))),A284+2,A284+3)),IF(A284=$AF$2,$AF$3,IF(A284=$AF$4,$AF$5,IF(A284=$AF$5,$AF$6,IF(A284=$AF$7,$AF$8,""))))))</f>
        <v>#REF!</v>
      </c>
      <c r="B285" t="e">
        <f t="shared" ca="1" si="21"/>
        <v>#REF!</v>
      </c>
      <c r="C285" t="e" cm="1">
        <f t="array" aca="1" ref="C285" ca="1">IF(A285="","",IF(B285="safety","safety costs",INDIRECT("template!"&amp;"B"&amp;A285)))</f>
        <v>#REF!</v>
      </c>
      <c r="D285" t="e" cm="1">
        <f t="array" aca="1" ref="D285" ca="1">IF(OR(A285="",B285="safety"),"",INDIRECT("template!"&amp;"C"&amp;A285))</f>
        <v>#REF!</v>
      </c>
      <c r="E285" t="e" cm="1">
        <f t="array" aca="1" ref="E285" ca="1">IF(A285="","",IF(OR(A285=A284+1,A285=A284+2),E284,INDIRECT("template!"&amp;"D"&amp;A285-2)))</f>
        <v>#REF!</v>
      </c>
      <c r="F285" t="e" cm="1">
        <f t="array" aca="1" ref="F285" ca="1">IF(OR(A285="",B285="safety"),"",IF(ISBLANK(IF(A285=A284+1,F284,INDIRECT("template!"&amp;"D"&amp;A285-1))),"",IF(A285=A284+1,F284,INDIRECT("template!"&amp;"D"&amp;A285-1))))</f>
        <v>#REF!</v>
      </c>
      <c r="G285" t="e" cm="1">
        <f t="array" aca="1" ref="G285" ca="1">IF(OR(A285="",B285="safety"),"",IF(ISBLANK(INDIRECT("template!"&amp;"D"&amp;A285)),"",INDIRECT("template!"&amp;"D"&amp;A285)))</f>
        <v>#REF!</v>
      </c>
      <c r="H285" t="e" cm="1">
        <f t="array" aca="1" ref="H285" ca="1">IF(OR(A285="",B285="safety"),"",IF(ISBLANK(INDIRECT("template!"&amp;"E"&amp;A285)),"",INDIRECT("template!"&amp;"E"&amp;A285)))</f>
        <v>#REF!</v>
      </c>
      <c r="I285" t="e" cm="1">
        <f t="array" aca="1" ref="I285" ca="1">IF(OR(A285="",B285="safety"),"",IF(ISBLANK(INDIRECT("template!"&amp;"F"&amp;A285)),"",INDIRECT("template!"&amp;"F"&amp;A285)))</f>
        <v>#REF!</v>
      </c>
      <c r="J285" t="e" cm="1">
        <f t="array" aca="1" ref="J285" ca="1">IF(OR(A285="",B285="safety"),"",IF(ISBLANK(INDIRECT("template!"&amp;"G"&amp;A285)),"",INDIRECT("template!"&amp;"G"&amp;A285)))</f>
        <v>#REF!</v>
      </c>
      <c r="K285" t="e" cm="1">
        <f t="array" aca="1" ref="K285" ca="1">IF(OR(A285="",B285="safety"),"",IF(ISBLANK(INDIRECT("template!"&amp;"H"&amp;A285)),"",INDIRECT("template!"&amp;"H"&amp;A285)))</f>
        <v>#REF!</v>
      </c>
      <c r="L285" t="e" cm="1">
        <f t="array" aca="1" ref="L285" ca="1">IF(OR(A285="",B285="safety"),"",INDIRECT("template!"&amp;"I"&amp;A285))</f>
        <v>#REF!</v>
      </c>
      <c r="M285" t="e" cm="1">
        <f t="array" aca="1" ref="M285" ca="1">IF(OR(A285="",B285="safety"),"",INDIRECT("template!"&amp;"J"&amp;A285))</f>
        <v>#REF!</v>
      </c>
      <c r="N285" t="e" cm="1">
        <f t="array" aca="1" ref="N285" ca="1">IF(OR(A285="",B285="safety"),"",IF(ISBLANK(INDIRECT("template!"&amp;"K"&amp;A285)),"",INDIRECT("template!"&amp;"K"&amp;A285)))</f>
        <v>#REF!</v>
      </c>
      <c r="O285" t="e" cm="1">
        <f t="array" aca="1" ref="O285" ca="1">IF(OR(A285="",B285="safety"),"",INDIRECT("template!"&amp;"L"&amp;A285))</f>
        <v>#REF!</v>
      </c>
      <c r="P285" t="e" cm="1">
        <f t="array" aca="1" ref="P285" ca="1">IF(OR(A285="",B285="safety"),"",INDIRECT("template!"&amp;"M"&amp;A285))</f>
        <v>#REF!</v>
      </c>
      <c r="Q285" t="e">
        <f t="shared" ca="1" si="22"/>
        <v>#REF!</v>
      </c>
      <c r="R285" t="e">
        <f t="shared" ca="1" si="23"/>
        <v>#REF!</v>
      </c>
      <c r="S285" t="e">
        <f t="shared" ca="1" si="24"/>
        <v>#REF!</v>
      </c>
      <c r="T285" t="e">
        <f t="shared" ca="1" si="25"/>
        <v>#REF!</v>
      </c>
      <c r="U285" t="e" cm="1">
        <f t="array" aca="1" ref="U285" ca="1">IF(A285="","",IF(E285="","",IF(B285="safety",INDIRECT("template!"&amp;"P"&amp;A285),Q285+R285)))</f>
        <v>#REF!</v>
      </c>
      <c r="V285" t="e" cm="1">
        <f t="array" aca="1" ref="V285" ca="1">IF(A285="","",IF(E285="","",IF(B285="safety",INDIRECT("template!"&amp;"P"&amp;A285),S285+T285)))</f>
        <v>#REF!</v>
      </c>
      <c r="W285" t="e">
        <f ca="1">IF(A285="","",IF(E285="","",#REF!))</f>
        <v>#REF!</v>
      </c>
      <c r="X285" t="e">
        <f ca="1">IF(A285="","",IF(E285="","",#REF!))</f>
        <v>#REF!</v>
      </c>
      <c r="Y285" s="39" t="e">
        <f ca="1">IF(A285="","",IF(E285="","",#REF!))</f>
        <v>#REF!</v>
      </c>
      <c r="Z285" t="e">
        <f ca="1">IF(A285="","",IF(E285="","",#REF!))</f>
        <v>#REF!</v>
      </c>
      <c r="AA285" t="e">
        <f ca="1">IF(A285="","",IF(E285="","",#REF!))</f>
        <v>#REF!</v>
      </c>
      <c r="AB285" t="e">
        <f ca="1">IF(A285="","",IF(E285="","",#REF!))</f>
        <v>#REF!</v>
      </c>
      <c r="AC285" t="e">
        <f t="shared" ca="1" si="26"/>
        <v>#REF!</v>
      </c>
    </row>
    <row r="286" spans="1:29" x14ac:dyDescent="0.35">
      <c r="A286" t="e" cm="1">
        <f t="array" aca="1" ref="A286" ca="1">IF(A285="","",IF(OR(AND(A285+1&gt;=$AF$1,A285+1&lt;=$AF$2),AND(A285+1&gt;=$AF$6,A285+1&lt;=$AF$7),AND(A285+1&gt;=$AF$3,A285+1&lt;=$AF$4),AND(A285+1&gt;=$AF$8,A285+1&lt;=$AF$9),A285+1=$AF$5),IF(NOT(ISBLANK(INDIRECT("template!"&amp;"P"&amp;A285+1))),A285+1,IF(NOT(ISBLANK(INDIRECT("template!"&amp;"P"&amp;A285+2))),A285+2,A285+3)),IF(A285=$AF$2,$AF$3,IF(A285=$AF$4,$AF$5,IF(A285=$AF$5,$AF$6,IF(A285=$AF$7,$AF$8,""))))))</f>
        <v>#REF!</v>
      </c>
      <c r="B286" t="e">
        <f t="shared" ca="1" si="21"/>
        <v>#REF!</v>
      </c>
      <c r="C286" t="e" cm="1">
        <f t="array" aca="1" ref="C286" ca="1">IF(A286="","",IF(B286="safety","safety costs",INDIRECT("template!"&amp;"B"&amp;A286)))</f>
        <v>#REF!</v>
      </c>
      <c r="D286" t="e" cm="1">
        <f t="array" aca="1" ref="D286" ca="1">IF(OR(A286="",B286="safety"),"",INDIRECT("template!"&amp;"C"&amp;A286))</f>
        <v>#REF!</v>
      </c>
      <c r="E286" t="e" cm="1">
        <f t="array" aca="1" ref="E286" ca="1">IF(A286="","",IF(OR(A286=A285+1,A286=A285+2),E285,INDIRECT("template!"&amp;"D"&amp;A286-2)))</f>
        <v>#REF!</v>
      </c>
      <c r="F286" t="e" cm="1">
        <f t="array" aca="1" ref="F286" ca="1">IF(OR(A286="",B286="safety"),"",IF(ISBLANK(IF(A286=A285+1,F285,INDIRECT("template!"&amp;"D"&amp;A286-1))),"",IF(A286=A285+1,F285,INDIRECT("template!"&amp;"D"&amp;A286-1))))</f>
        <v>#REF!</v>
      </c>
      <c r="G286" t="e" cm="1">
        <f t="array" aca="1" ref="G286" ca="1">IF(OR(A286="",B286="safety"),"",IF(ISBLANK(INDIRECT("template!"&amp;"D"&amp;A286)),"",INDIRECT("template!"&amp;"D"&amp;A286)))</f>
        <v>#REF!</v>
      </c>
      <c r="H286" t="e" cm="1">
        <f t="array" aca="1" ref="H286" ca="1">IF(OR(A286="",B286="safety"),"",IF(ISBLANK(INDIRECT("template!"&amp;"E"&amp;A286)),"",INDIRECT("template!"&amp;"E"&amp;A286)))</f>
        <v>#REF!</v>
      </c>
      <c r="I286" t="e" cm="1">
        <f t="array" aca="1" ref="I286" ca="1">IF(OR(A286="",B286="safety"),"",IF(ISBLANK(INDIRECT("template!"&amp;"F"&amp;A286)),"",INDIRECT("template!"&amp;"F"&amp;A286)))</f>
        <v>#REF!</v>
      </c>
      <c r="J286" t="e" cm="1">
        <f t="array" aca="1" ref="J286" ca="1">IF(OR(A286="",B286="safety"),"",IF(ISBLANK(INDIRECT("template!"&amp;"G"&amp;A286)),"",INDIRECT("template!"&amp;"G"&amp;A286)))</f>
        <v>#REF!</v>
      </c>
      <c r="K286" t="e" cm="1">
        <f t="array" aca="1" ref="K286" ca="1">IF(OR(A286="",B286="safety"),"",IF(ISBLANK(INDIRECT("template!"&amp;"H"&amp;A286)),"",INDIRECT("template!"&amp;"H"&amp;A286)))</f>
        <v>#REF!</v>
      </c>
      <c r="L286" t="e" cm="1">
        <f t="array" aca="1" ref="L286" ca="1">IF(OR(A286="",B286="safety"),"",INDIRECT("template!"&amp;"I"&amp;A286))</f>
        <v>#REF!</v>
      </c>
      <c r="M286" t="e" cm="1">
        <f t="array" aca="1" ref="M286" ca="1">IF(OR(A286="",B286="safety"),"",INDIRECT("template!"&amp;"J"&amp;A286))</f>
        <v>#REF!</v>
      </c>
      <c r="N286" t="e" cm="1">
        <f t="array" aca="1" ref="N286" ca="1">IF(OR(A286="",B286="safety"),"",IF(ISBLANK(INDIRECT("template!"&amp;"K"&amp;A286)),"",INDIRECT("template!"&amp;"K"&amp;A286)))</f>
        <v>#REF!</v>
      </c>
      <c r="O286" t="e" cm="1">
        <f t="array" aca="1" ref="O286" ca="1">IF(OR(A286="",B286="safety"),"",INDIRECT("template!"&amp;"L"&amp;A286))</f>
        <v>#REF!</v>
      </c>
      <c r="P286" t="e" cm="1">
        <f t="array" aca="1" ref="P286" ca="1">IF(OR(A286="",B286="safety"),"",INDIRECT("template!"&amp;"M"&amp;A286))</f>
        <v>#REF!</v>
      </c>
      <c r="Q286" t="e">
        <f t="shared" ca="1" si="22"/>
        <v>#REF!</v>
      </c>
      <c r="R286" t="e">
        <f t="shared" ca="1" si="23"/>
        <v>#REF!</v>
      </c>
      <c r="S286" t="e">
        <f t="shared" ca="1" si="24"/>
        <v>#REF!</v>
      </c>
      <c r="T286" t="e">
        <f t="shared" ca="1" si="25"/>
        <v>#REF!</v>
      </c>
      <c r="U286" t="e" cm="1">
        <f t="array" aca="1" ref="U286" ca="1">IF(A286="","",IF(E286="","",IF(B286="safety",INDIRECT("template!"&amp;"P"&amp;A286),Q286+R286)))</f>
        <v>#REF!</v>
      </c>
      <c r="V286" t="e" cm="1">
        <f t="array" aca="1" ref="V286" ca="1">IF(A286="","",IF(E286="","",IF(B286="safety",INDIRECT("template!"&amp;"P"&amp;A286),S286+T286)))</f>
        <v>#REF!</v>
      </c>
      <c r="W286" t="e">
        <f ca="1">IF(A286="","",IF(E286="","",#REF!))</f>
        <v>#REF!</v>
      </c>
      <c r="X286" t="e">
        <f ca="1">IF(A286="","",IF(E286="","",#REF!))</f>
        <v>#REF!</v>
      </c>
      <c r="Y286" s="39" t="e">
        <f ca="1">IF(A286="","",IF(E286="","",#REF!))</f>
        <v>#REF!</v>
      </c>
      <c r="Z286" t="e">
        <f ca="1">IF(A286="","",IF(E286="","",#REF!))</f>
        <v>#REF!</v>
      </c>
      <c r="AA286" t="e">
        <f ca="1">IF(A286="","",IF(E286="","",#REF!))</f>
        <v>#REF!</v>
      </c>
      <c r="AB286" t="e">
        <f ca="1">IF(A286="","",IF(E286="","",#REF!))</f>
        <v>#REF!</v>
      </c>
      <c r="AC286" t="e">
        <f t="shared" ca="1" si="26"/>
        <v>#REF!</v>
      </c>
    </row>
    <row r="287" spans="1:29" x14ac:dyDescent="0.35">
      <c r="A287" t="e" cm="1">
        <f t="array" aca="1" ref="A287" ca="1">IF(A286="","",IF(OR(AND(A286+1&gt;=$AF$1,A286+1&lt;=$AF$2),AND(A286+1&gt;=$AF$6,A286+1&lt;=$AF$7),AND(A286+1&gt;=$AF$3,A286+1&lt;=$AF$4),AND(A286+1&gt;=$AF$8,A286+1&lt;=$AF$9),A286+1=$AF$5),IF(NOT(ISBLANK(INDIRECT("template!"&amp;"P"&amp;A286+1))),A286+1,IF(NOT(ISBLANK(INDIRECT("template!"&amp;"P"&amp;A286+2))),A286+2,A286+3)),IF(A286=$AF$2,$AF$3,IF(A286=$AF$4,$AF$5,IF(A286=$AF$5,$AF$6,IF(A286=$AF$7,$AF$8,""))))))</f>
        <v>#REF!</v>
      </c>
      <c r="B287" t="e">
        <f t="shared" ca="1" si="21"/>
        <v>#REF!</v>
      </c>
      <c r="C287" t="e" cm="1">
        <f t="array" aca="1" ref="C287" ca="1">IF(A287="","",IF(B287="safety","safety costs",INDIRECT("template!"&amp;"B"&amp;A287)))</f>
        <v>#REF!</v>
      </c>
      <c r="D287" t="e" cm="1">
        <f t="array" aca="1" ref="D287" ca="1">IF(OR(A287="",B287="safety"),"",INDIRECT("template!"&amp;"C"&amp;A287))</f>
        <v>#REF!</v>
      </c>
      <c r="E287" t="e" cm="1">
        <f t="array" aca="1" ref="E287" ca="1">IF(A287="","",IF(OR(A287=A286+1,A287=A286+2),E286,INDIRECT("template!"&amp;"D"&amp;A287-2)))</f>
        <v>#REF!</v>
      </c>
      <c r="F287" t="e" cm="1">
        <f t="array" aca="1" ref="F287" ca="1">IF(OR(A287="",B287="safety"),"",IF(ISBLANK(IF(A287=A286+1,F286,INDIRECT("template!"&amp;"D"&amp;A287-1))),"",IF(A287=A286+1,F286,INDIRECT("template!"&amp;"D"&amp;A287-1))))</f>
        <v>#REF!</v>
      </c>
      <c r="G287" t="e" cm="1">
        <f t="array" aca="1" ref="G287" ca="1">IF(OR(A287="",B287="safety"),"",IF(ISBLANK(INDIRECT("template!"&amp;"D"&amp;A287)),"",INDIRECT("template!"&amp;"D"&amp;A287)))</f>
        <v>#REF!</v>
      </c>
      <c r="H287" t="e" cm="1">
        <f t="array" aca="1" ref="H287" ca="1">IF(OR(A287="",B287="safety"),"",IF(ISBLANK(INDIRECT("template!"&amp;"E"&amp;A287)),"",INDIRECT("template!"&amp;"E"&amp;A287)))</f>
        <v>#REF!</v>
      </c>
      <c r="I287" t="e" cm="1">
        <f t="array" aca="1" ref="I287" ca="1">IF(OR(A287="",B287="safety"),"",IF(ISBLANK(INDIRECT("template!"&amp;"F"&amp;A287)),"",INDIRECT("template!"&amp;"F"&amp;A287)))</f>
        <v>#REF!</v>
      </c>
      <c r="J287" t="e" cm="1">
        <f t="array" aca="1" ref="J287" ca="1">IF(OR(A287="",B287="safety"),"",IF(ISBLANK(INDIRECT("template!"&amp;"G"&amp;A287)),"",INDIRECT("template!"&amp;"G"&amp;A287)))</f>
        <v>#REF!</v>
      </c>
      <c r="K287" t="e" cm="1">
        <f t="array" aca="1" ref="K287" ca="1">IF(OR(A287="",B287="safety"),"",IF(ISBLANK(INDIRECT("template!"&amp;"H"&amp;A287)),"",INDIRECT("template!"&amp;"H"&amp;A287)))</f>
        <v>#REF!</v>
      </c>
      <c r="L287" t="e" cm="1">
        <f t="array" aca="1" ref="L287" ca="1">IF(OR(A287="",B287="safety"),"",INDIRECT("template!"&amp;"I"&amp;A287))</f>
        <v>#REF!</v>
      </c>
      <c r="M287" t="e" cm="1">
        <f t="array" aca="1" ref="M287" ca="1">IF(OR(A287="",B287="safety"),"",INDIRECT("template!"&amp;"J"&amp;A287))</f>
        <v>#REF!</v>
      </c>
      <c r="N287" t="e" cm="1">
        <f t="array" aca="1" ref="N287" ca="1">IF(OR(A287="",B287="safety"),"",IF(ISBLANK(INDIRECT("template!"&amp;"K"&amp;A287)),"",INDIRECT("template!"&amp;"K"&amp;A287)))</f>
        <v>#REF!</v>
      </c>
      <c r="O287" t="e" cm="1">
        <f t="array" aca="1" ref="O287" ca="1">IF(OR(A287="",B287="safety"),"",INDIRECT("template!"&amp;"L"&amp;A287))</f>
        <v>#REF!</v>
      </c>
      <c r="P287" t="e" cm="1">
        <f t="array" aca="1" ref="P287" ca="1">IF(OR(A287="",B287="safety"),"",INDIRECT("template!"&amp;"M"&amp;A287))</f>
        <v>#REF!</v>
      </c>
      <c r="Q287" t="e">
        <f t="shared" ca="1" si="22"/>
        <v>#REF!</v>
      </c>
      <c r="R287" t="e">
        <f t="shared" ca="1" si="23"/>
        <v>#REF!</v>
      </c>
      <c r="S287" t="e">
        <f t="shared" ca="1" si="24"/>
        <v>#REF!</v>
      </c>
      <c r="T287" t="e">
        <f t="shared" ca="1" si="25"/>
        <v>#REF!</v>
      </c>
      <c r="U287" t="e" cm="1">
        <f t="array" aca="1" ref="U287" ca="1">IF(A287="","",IF(E287="","",IF(B287="safety",INDIRECT("template!"&amp;"P"&amp;A287),Q287+R287)))</f>
        <v>#REF!</v>
      </c>
      <c r="V287" t="e" cm="1">
        <f t="array" aca="1" ref="V287" ca="1">IF(A287="","",IF(E287="","",IF(B287="safety",INDIRECT("template!"&amp;"P"&amp;A287),S287+T287)))</f>
        <v>#REF!</v>
      </c>
      <c r="W287" t="e">
        <f ca="1">IF(A287="","",IF(E287="","",#REF!))</f>
        <v>#REF!</v>
      </c>
      <c r="X287" t="e">
        <f ca="1">IF(A287="","",IF(E287="","",#REF!))</f>
        <v>#REF!</v>
      </c>
      <c r="Y287" s="39" t="e">
        <f ca="1">IF(A287="","",IF(E287="","",#REF!))</f>
        <v>#REF!</v>
      </c>
      <c r="Z287" t="e">
        <f ca="1">IF(A287="","",IF(E287="","",#REF!))</f>
        <v>#REF!</v>
      </c>
      <c r="AA287" t="e">
        <f ca="1">IF(A287="","",IF(E287="","",#REF!))</f>
        <v>#REF!</v>
      </c>
      <c r="AB287" t="e">
        <f ca="1">IF(A287="","",IF(E287="","",#REF!))</f>
        <v>#REF!</v>
      </c>
      <c r="AC287" t="e">
        <f t="shared" ca="1" si="26"/>
        <v>#REF!</v>
      </c>
    </row>
    <row r="288" spans="1:29" x14ac:dyDescent="0.35">
      <c r="A288" t="e" cm="1">
        <f t="array" aca="1" ref="A288" ca="1">IF(A287="","",IF(OR(AND(A287+1&gt;=$AF$1,A287+1&lt;=$AF$2),AND(A287+1&gt;=$AF$6,A287+1&lt;=$AF$7),AND(A287+1&gt;=$AF$3,A287+1&lt;=$AF$4),AND(A287+1&gt;=$AF$8,A287+1&lt;=$AF$9),A287+1=$AF$5),IF(NOT(ISBLANK(INDIRECT("template!"&amp;"P"&amp;A287+1))),A287+1,IF(NOT(ISBLANK(INDIRECT("template!"&amp;"P"&amp;A287+2))),A287+2,A287+3)),IF(A287=$AF$2,$AF$3,IF(A287=$AF$4,$AF$5,IF(A287=$AF$5,$AF$6,IF(A287=$AF$7,$AF$8,""))))))</f>
        <v>#REF!</v>
      </c>
      <c r="B288" t="e">
        <f t="shared" ca="1" si="21"/>
        <v>#REF!</v>
      </c>
      <c r="C288" t="e" cm="1">
        <f t="array" aca="1" ref="C288" ca="1">IF(A288="","",IF(B288="safety","safety costs",INDIRECT("template!"&amp;"B"&amp;A288)))</f>
        <v>#REF!</v>
      </c>
      <c r="D288" t="e" cm="1">
        <f t="array" aca="1" ref="D288" ca="1">IF(OR(A288="",B288="safety"),"",INDIRECT("template!"&amp;"C"&amp;A288))</f>
        <v>#REF!</v>
      </c>
      <c r="E288" t="e" cm="1">
        <f t="array" aca="1" ref="E288" ca="1">IF(A288="","",IF(OR(A288=A287+1,A288=A287+2),E287,INDIRECT("template!"&amp;"D"&amp;A288-2)))</f>
        <v>#REF!</v>
      </c>
      <c r="F288" t="e" cm="1">
        <f t="array" aca="1" ref="F288" ca="1">IF(OR(A288="",B288="safety"),"",IF(ISBLANK(IF(A288=A287+1,F287,INDIRECT("template!"&amp;"D"&amp;A288-1))),"",IF(A288=A287+1,F287,INDIRECT("template!"&amp;"D"&amp;A288-1))))</f>
        <v>#REF!</v>
      </c>
      <c r="G288" t="e" cm="1">
        <f t="array" aca="1" ref="G288" ca="1">IF(OR(A288="",B288="safety"),"",IF(ISBLANK(INDIRECT("template!"&amp;"D"&amp;A288)),"",INDIRECT("template!"&amp;"D"&amp;A288)))</f>
        <v>#REF!</v>
      </c>
      <c r="H288" t="e" cm="1">
        <f t="array" aca="1" ref="H288" ca="1">IF(OR(A288="",B288="safety"),"",IF(ISBLANK(INDIRECT("template!"&amp;"E"&amp;A288)),"",INDIRECT("template!"&amp;"E"&amp;A288)))</f>
        <v>#REF!</v>
      </c>
      <c r="I288" t="e" cm="1">
        <f t="array" aca="1" ref="I288" ca="1">IF(OR(A288="",B288="safety"),"",IF(ISBLANK(INDIRECT("template!"&amp;"F"&amp;A288)),"",INDIRECT("template!"&amp;"F"&amp;A288)))</f>
        <v>#REF!</v>
      </c>
      <c r="J288" t="e" cm="1">
        <f t="array" aca="1" ref="J288" ca="1">IF(OR(A288="",B288="safety"),"",IF(ISBLANK(INDIRECT("template!"&amp;"G"&amp;A288)),"",INDIRECT("template!"&amp;"G"&amp;A288)))</f>
        <v>#REF!</v>
      </c>
      <c r="K288" t="e" cm="1">
        <f t="array" aca="1" ref="K288" ca="1">IF(OR(A288="",B288="safety"),"",IF(ISBLANK(INDIRECT("template!"&amp;"H"&amp;A288)),"",INDIRECT("template!"&amp;"H"&amp;A288)))</f>
        <v>#REF!</v>
      </c>
      <c r="L288" t="e" cm="1">
        <f t="array" aca="1" ref="L288" ca="1">IF(OR(A288="",B288="safety"),"",INDIRECT("template!"&amp;"I"&amp;A288))</f>
        <v>#REF!</v>
      </c>
      <c r="M288" t="e" cm="1">
        <f t="array" aca="1" ref="M288" ca="1">IF(OR(A288="",B288="safety"),"",INDIRECT("template!"&amp;"J"&amp;A288))</f>
        <v>#REF!</v>
      </c>
      <c r="N288" t="e" cm="1">
        <f t="array" aca="1" ref="N288" ca="1">IF(OR(A288="",B288="safety"),"",IF(ISBLANK(INDIRECT("template!"&amp;"K"&amp;A288)),"",INDIRECT("template!"&amp;"K"&amp;A288)))</f>
        <v>#REF!</v>
      </c>
      <c r="O288" t="e" cm="1">
        <f t="array" aca="1" ref="O288" ca="1">IF(OR(A288="",B288="safety"),"",INDIRECT("template!"&amp;"L"&amp;A288))</f>
        <v>#REF!</v>
      </c>
      <c r="P288" t="e" cm="1">
        <f t="array" aca="1" ref="P288" ca="1">IF(OR(A288="",B288="safety"),"",INDIRECT("template!"&amp;"M"&amp;A288))</f>
        <v>#REF!</v>
      </c>
      <c r="Q288" t="e">
        <f t="shared" ca="1" si="22"/>
        <v>#REF!</v>
      </c>
      <c r="R288" t="e">
        <f t="shared" ca="1" si="23"/>
        <v>#REF!</v>
      </c>
      <c r="S288" t="e">
        <f t="shared" ca="1" si="24"/>
        <v>#REF!</v>
      </c>
      <c r="T288" t="e">
        <f t="shared" ca="1" si="25"/>
        <v>#REF!</v>
      </c>
      <c r="U288" t="e" cm="1">
        <f t="array" aca="1" ref="U288" ca="1">IF(A288="","",IF(E288="","",IF(B288="safety",INDIRECT("template!"&amp;"P"&amp;A288),Q288+R288)))</f>
        <v>#REF!</v>
      </c>
      <c r="V288" t="e" cm="1">
        <f t="array" aca="1" ref="V288" ca="1">IF(A288="","",IF(E288="","",IF(B288="safety",INDIRECT("template!"&amp;"P"&amp;A288),S288+T288)))</f>
        <v>#REF!</v>
      </c>
      <c r="W288" t="e">
        <f ca="1">IF(A288="","",IF(E288="","",#REF!))</f>
        <v>#REF!</v>
      </c>
      <c r="X288" t="e">
        <f ca="1">IF(A288="","",IF(E288="","",#REF!))</f>
        <v>#REF!</v>
      </c>
      <c r="Y288" s="39" t="e">
        <f ca="1">IF(A288="","",IF(E288="","",#REF!))</f>
        <v>#REF!</v>
      </c>
      <c r="Z288" t="e">
        <f ca="1">IF(A288="","",IF(E288="","",#REF!))</f>
        <v>#REF!</v>
      </c>
      <c r="AA288" t="e">
        <f ca="1">IF(A288="","",IF(E288="","",#REF!))</f>
        <v>#REF!</v>
      </c>
      <c r="AB288" t="e">
        <f ca="1">IF(A288="","",IF(E288="","",#REF!))</f>
        <v>#REF!</v>
      </c>
      <c r="AC288" t="e">
        <f t="shared" ca="1" si="26"/>
        <v>#REF!</v>
      </c>
    </row>
    <row r="289" spans="1:29" x14ac:dyDescent="0.35">
      <c r="A289" t="e" cm="1">
        <f t="array" aca="1" ref="A289" ca="1">IF(A288="","",IF(OR(AND(A288+1&gt;=$AF$1,A288+1&lt;=$AF$2),AND(A288+1&gt;=$AF$6,A288+1&lt;=$AF$7),AND(A288+1&gt;=$AF$3,A288+1&lt;=$AF$4),AND(A288+1&gt;=$AF$8,A288+1&lt;=$AF$9),A288+1=$AF$5),IF(NOT(ISBLANK(INDIRECT("template!"&amp;"P"&amp;A288+1))),A288+1,IF(NOT(ISBLANK(INDIRECT("template!"&amp;"P"&amp;A288+2))),A288+2,A288+3)),IF(A288=$AF$2,$AF$3,IF(A288=$AF$4,$AF$5,IF(A288=$AF$5,$AF$6,IF(A288=$AF$7,$AF$8,""))))))</f>
        <v>#REF!</v>
      </c>
      <c r="B289" t="e">
        <f t="shared" ca="1" si="21"/>
        <v>#REF!</v>
      </c>
      <c r="C289" t="e" cm="1">
        <f t="array" aca="1" ref="C289" ca="1">IF(A289="","",IF(B289="safety","safety costs",INDIRECT("template!"&amp;"B"&amp;A289)))</f>
        <v>#REF!</v>
      </c>
      <c r="D289" t="e" cm="1">
        <f t="array" aca="1" ref="D289" ca="1">IF(OR(A289="",B289="safety"),"",INDIRECT("template!"&amp;"C"&amp;A289))</f>
        <v>#REF!</v>
      </c>
      <c r="E289" t="e" cm="1">
        <f t="array" aca="1" ref="E289" ca="1">IF(A289="","",IF(OR(A289=A288+1,A289=A288+2),E288,INDIRECT("template!"&amp;"D"&amp;A289-2)))</f>
        <v>#REF!</v>
      </c>
      <c r="F289" t="e" cm="1">
        <f t="array" aca="1" ref="F289" ca="1">IF(OR(A289="",B289="safety"),"",IF(ISBLANK(IF(A289=A288+1,F288,INDIRECT("template!"&amp;"D"&amp;A289-1))),"",IF(A289=A288+1,F288,INDIRECT("template!"&amp;"D"&amp;A289-1))))</f>
        <v>#REF!</v>
      </c>
      <c r="G289" t="e" cm="1">
        <f t="array" aca="1" ref="G289" ca="1">IF(OR(A289="",B289="safety"),"",IF(ISBLANK(INDIRECT("template!"&amp;"D"&amp;A289)),"",INDIRECT("template!"&amp;"D"&amp;A289)))</f>
        <v>#REF!</v>
      </c>
      <c r="H289" t="e" cm="1">
        <f t="array" aca="1" ref="H289" ca="1">IF(OR(A289="",B289="safety"),"",IF(ISBLANK(INDIRECT("template!"&amp;"E"&amp;A289)),"",INDIRECT("template!"&amp;"E"&amp;A289)))</f>
        <v>#REF!</v>
      </c>
      <c r="I289" t="e" cm="1">
        <f t="array" aca="1" ref="I289" ca="1">IF(OR(A289="",B289="safety"),"",IF(ISBLANK(INDIRECT("template!"&amp;"F"&amp;A289)),"",INDIRECT("template!"&amp;"F"&amp;A289)))</f>
        <v>#REF!</v>
      </c>
      <c r="J289" t="e" cm="1">
        <f t="array" aca="1" ref="J289" ca="1">IF(OR(A289="",B289="safety"),"",IF(ISBLANK(INDIRECT("template!"&amp;"G"&amp;A289)),"",INDIRECT("template!"&amp;"G"&amp;A289)))</f>
        <v>#REF!</v>
      </c>
      <c r="K289" t="e" cm="1">
        <f t="array" aca="1" ref="K289" ca="1">IF(OR(A289="",B289="safety"),"",IF(ISBLANK(INDIRECT("template!"&amp;"H"&amp;A289)),"",INDIRECT("template!"&amp;"H"&amp;A289)))</f>
        <v>#REF!</v>
      </c>
      <c r="L289" t="e" cm="1">
        <f t="array" aca="1" ref="L289" ca="1">IF(OR(A289="",B289="safety"),"",INDIRECT("template!"&amp;"I"&amp;A289))</f>
        <v>#REF!</v>
      </c>
      <c r="M289" t="e" cm="1">
        <f t="array" aca="1" ref="M289" ca="1">IF(OR(A289="",B289="safety"),"",INDIRECT("template!"&amp;"J"&amp;A289))</f>
        <v>#REF!</v>
      </c>
      <c r="N289" t="e" cm="1">
        <f t="array" aca="1" ref="N289" ca="1">IF(OR(A289="",B289="safety"),"",IF(ISBLANK(INDIRECT("template!"&amp;"K"&amp;A289)),"",INDIRECT("template!"&amp;"K"&amp;A289)))</f>
        <v>#REF!</v>
      </c>
      <c r="O289" t="e" cm="1">
        <f t="array" aca="1" ref="O289" ca="1">IF(OR(A289="",B289="safety"),"",INDIRECT("template!"&amp;"L"&amp;A289))</f>
        <v>#REF!</v>
      </c>
      <c r="P289" t="e" cm="1">
        <f t="array" aca="1" ref="P289" ca="1">IF(OR(A289="",B289="safety"),"",INDIRECT("template!"&amp;"M"&amp;A289))</f>
        <v>#REF!</v>
      </c>
      <c r="Q289" t="e">
        <f t="shared" ca="1" si="22"/>
        <v>#REF!</v>
      </c>
      <c r="R289" t="e">
        <f t="shared" ca="1" si="23"/>
        <v>#REF!</v>
      </c>
      <c r="S289" t="e">
        <f t="shared" ca="1" si="24"/>
        <v>#REF!</v>
      </c>
      <c r="T289" t="e">
        <f t="shared" ca="1" si="25"/>
        <v>#REF!</v>
      </c>
      <c r="U289" t="e" cm="1">
        <f t="array" aca="1" ref="U289" ca="1">IF(A289="","",IF(E289="","",IF(B289="safety",INDIRECT("template!"&amp;"P"&amp;A289),Q289+R289)))</f>
        <v>#REF!</v>
      </c>
      <c r="V289" t="e" cm="1">
        <f t="array" aca="1" ref="V289" ca="1">IF(A289="","",IF(E289="","",IF(B289="safety",INDIRECT("template!"&amp;"P"&amp;A289),S289+T289)))</f>
        <v>#REF!</v>
      </c>
      <c r="W289" t="e">
        <f ca="1">IF(A289="","",IF(E289="","",#REF!))</f>
        <v>#REF!</v>
      </c>
      <c r="X289" t="e">
        <f ca="1">IF(A289="","",IF(E289="","",#REF!))</f>
        <v>#REF!</v>
      </c>
      <c r="Y289" s="39" t="e">
        <f ca="1">IF(A289="","",IF(E289="","",#REF!))</f>
        <v>#REF!</v>
      </c>
      <c r="Z289" t="e">
        <f ca="1">IF(A289="","",IF(E289="","",#REF!))</f>
        <v>#REF!</v>
      </c>
      <c r="AA289" t="e">
        <f ca="1">IF(A289="","",IF(E289="","",#REF!))</f>
        <v>#REF!</v>
      </c>
      <c r="AB289" t="e">
        <f ca="1">IF(A289="","",IF(E289="","",#REF!))</f>
        <v>#REF!</v>
      </c>
      <c r="AC289" t="e">
        <f t="shared" ca="1" si="26"/>
        <v>#REF!</v>
      </c>
    </row>
    <row r="290" spans="1:29" x14ac:dyDescent="0.35">
      <c r="A290" t="e" cm="1">
        <f t="array" aca="1" ref="A290" ca="1">IF(A289="","",IF(OR(AND(A289+1&gt;=$AF$1,A289+1&lt;=$AF$2),AND(A289+1&gt;=$AF$6,A289+1&lt;=$AF$7),AND(A289+1&gt;=$AF$3,A289+1&lt;=$AF$4),AND(A289+1&gt;=$AF$8,A289+1&lt;=$AF$9),A289+1=$AF$5),IF(NOT(ISBLANK(INDIRECT("template!"&amp;"P"&amp;A289+1))),A289+1,IF(NOT(ISBLANK(INDIRECT("template!"&amp;"P"&amp;A289+2))),A289+2,A289+3)),IF(A289=$AF$2,$AF$3,IF(A289=$AF$4,$AF$5,IF(A289=$AF$5,$AF$6,IF(A289=$AF$7,$AF$8,""))))))</f>
        <v>#REF!</v>
      </c>
      <c r="B290" t="e">
        <f t="shared" ca="1" si="21"/>
        <v>#REF!</v>
      </c>
      <c r="C290" t="e" cm="1">
        <f t="array" aca="1" ref="C290" ca="1">IF(A290="","",IF(B290="safety","safety costs",INDIRECT("template!"&amp;"B"&amp;A290)))</f>
        <v>#REF!</v>
      </c>
      <c r="D290" t="e" cm="1">
        <f t="array" aca="1" ref="D290" ca="1">IF(OR(A290="",B290="safety"),"",INDIRECT("template!"&amp;"C"&amp;A290))</f>
        <v>#REF!</v>
      </c>
      <c r="E290" t="e" cm="1">
        <f t="array" aca="1" ref="E290" ca="1">IF(A290="","",IF(OR(A290=A289+1,A290=A289+2),E289,INDIRECT("template!"&amp;"D"&amp;A290-2)))</f>
        <v>#REF!</v>
      </c>
      <c r="F290" t="e" cm="1">
        <f t="array" aca="1" ref="F290" ca="1">IF(OR(A290="",B290="safety"),"",IF(ISBLANK(IF(A290=A289+1,F289,INDIRECT("template!"&amp;"D"&amp;A290-1))),"",IF(A290=A289+1,F289,INDIRECT("template!"&amp;"D"&amp;A290-1))))</f>
        <v>#REF!</v>
      </c>
      <c r="G290" t="e" cm="1">
        <f t="array" aca="1" ref="G290" ca="1">IF(OR(A290="",B290="safety"),"",IF(ISBLANK(INDIRECT("template!"&amp;"D"&amp;A290)),"",INDIRECT("template!"&amp;"D"&amp;A290)))</f>
        <v>#REF!</v>
      </c>
      <c r="H290" t="e" cm="1">
        <f t="array" aca="1" ref="H290" ca="1">IF(OR(A290="",B290="safety"),"",IF(ISBLANK(INDIRECT("template!"&amp;"E"&amp;A290)),"",INDIRECT("template!"&amp;"E"&amp;A290)))</f>
        <v>#REF!</v>
      </c>
      <c r="I290" t="e" cm="1">
        <f t="array" aca="1" ref="I290" ca="1">IF(OR(A290="",B290="safety"),"",IF(ISBLANK(INDIRECT("template!"&amp;"F"&amp;A290)),"",INDIRECT("template!"&amp;"F"&amp;A290)))</f>
        <v>#REF!</v>
      </c>
      <c r="J290" t="e" cm="1">
        <f t="array" aca="1" ref="J290" ca="1">IF(OR(A290="",B290="safety"),"",IF(ISBLANK(INDIRECT("template!"&amp;"G"&amp;A290)),"",INDIRECT("template!"&amp;"G"&amp;A290)))</f>
        <v>#REF!</v>
      </c>
      <c r="K290" t="e" cm="1">
        <f t="array" aca="1" ref="K290" ca="1">IF(OR(A290="",B290="safety"),"",IF(ISBLANK(INDIRECT("template!"&amp;"H"&amp;A290)),"",INDIRECT("template!"&amp;"H"&amp;A290)))</f>
        <v>#REF!</v>
      </c>
      <c r="L290" t="e" cm="1">
        <f t="array" aca="1" ref="L290" ca="1">IF(OR(A290="",B290="safety"),"",INDIRECT("template!"&amp;"I"&amp;A290))</f>
        <v>#REF!</v>
      </c>
      <c r="M290" t="e" cm="1">
        <f t="array" aca="1" ref="M290" ca="1">IF(OR(A290="",B290="safety"),"",INDIRECT("template!"&amp;"J"&amp;A290))</f>
        <v>#REF!</v>
      </c>
      <c r="N290" t="e" cm="1">
        <f t="array" aca="1" ref="N290" ca="1">IF(OR(A290="",B290="safety"),"",IF(ISBLANK(INDIRECT("template!"&amp;"K"&amp;A290)),"",INDIRECT("template!"&amp;"K"&amp;A290)))</f>
        <v>#REF!</v>
      </c>
      <c r="O290" t="e" cm="1">
        <f t="array" aca="1" ref="O290" ca="1">IF(OR(A290="",B290="safety"),"",INDIRECT("template!"&amp;"L"&amp;A290))</f>
        <v>#REF!</v>
      </c>
      <c r="P290" t="e" cm="1">
        <f t="array" aca="1" ref="P290" ca="1">IF(OR(A290="",B290="safety"),"",INDIRECT("template!"&amp;"M"&amp;A290))</f>
        <v>#REF!</v>
      </c>
      <c r="Q290" t="e">
        <f t="shared" ca="1" si="22"/>
        <v>#REF!</v>
      </c>
      <c r="R290" t="e">
        <f t="shared" ca="1" si="23"/>
        <v>#REF!</v>
      </c>
      <c r="S290" t="e">
        <f t="shared" ca="1" si="24"/>
        <v>#REF!</v>
      </c>
      <c r="T290" t="e">
        <f t="shared" ca="1" si="25"/>
        <v>#REF!</v>
      </c>
      <c r="U290" t="e" cm="1">
        <f t="array" aca="1" ref="U290" ca="1">IF(A290="","",IF(E290="","",IF(B290="safety",INDIRECT("template!"&amp;"P"&amp;A290),Q290+R290)))</f>
        <v>#REF!</v>
      </c>
      <c r="V290" t="e" cm="1">
        <f t="array" aca="1" ref="V290" ca="1">IF(A290="","",IF(E290="","",IF(B290="safety",INDIRECT("template!"&amp;"P"&amp;A290),S290+T290)))</f>
        <v>#REF!</v>
      </c>
      <c r="W290" t="e">
        <f ca="1">IF(A290="","",IF(E290="","",#REF!))</f>
        <v>#REF!</v>
      </c>
      <c r="X290" t="e">
        <f ca="1">IF(A290="","",IF(E290="","",#REF!))</f>
        <v>#REF!</v>
      </c>
      <c r="Y290" s="39" t="e">
        <f ca="1">IF(A290="","",IF(E290="","",#REF!))</f>
        <v>#REF!</v>
      </c>
      <c r="Z290" t="e">
        <f ca="1">IF(A290="","",IF(E290="","",#REF!))</f>
        <v>#REF!</v>
      </c>
      <c r="AA290" t="e">
        <f ca="1">IF(A290="","",IF(E290="","",#REF!))</f>
        <v>#REF!</v>
      </c>
      <c r="AB290" t="e">
        <f ca="1">IF(A290="","",IF(E290="","",#REF!))</f>
        <v>#REF!</v>
      </c>
      <c r="AC290" t="e">
        <f t="shared" ca="1" si="26"/>
        <v>#REF!</v>
      </c>
    </row>
    <row r="291" spans="1:29" x14ac:dyDescent="0.35">
      <c r="A291" t="e" cm="1">
        <f t="array" aca="1" ref="A291" ca="1">IF(A290="","",IF(OR(AND(A290+1&gt;=$AF$1,A290+1&lt;=$AF$2),AND(A290+1&gt;=$AF$6,A290+1&lt;=$AF$7),AND(A290+1&gt;=$AF$3,A290+1&lt;=$AF$4),AND(A290+1&gt;=$AF$8,A290+1&lt;=$AF$9),A290+1=$AF$5),IF(NOT(ISBLANK(INDIRECT("template!"&amp;"P"&amp;A290+1))),A290+1,IF(NOT(ISBLANK(INDIRECT("template!"&amp;"P"&amp;A290+2))),A290+2,A290+3)),IF(A290=$AF$2,$AF$3,IF(A290=$AF$4,$AF$5,IF(A290=$AF$5,$AF$6,IF(A290=$AF$7,$AF$8,""))))))</f>
        <v>#REF!</v>
      </c>
      <c r="B291" t="e">
        <f t="shared" ca="1" si="21"/>
        <v>#REF!</v>
      </c>
      <c r="C291" t="e" cm="1">
        <f t="array" aca="1" ref="C291" ca="1">IF(A291="","",IF(B291="safety","safety costs",INDIRECT("template!"&amp;"B"&amp;A291)))</f>
        <v>#REF!</v>
      </c>
      <c r="D291" t="e" cm="1">
        <f t="array" aca="1" ref="D291" ca="1">IF(OR(A291="",B291="safety"),"",INDIRECT("template!"&amp;"C"&amp;A291))</f>
        <v>#REF!</v>
      </c>
      <c r="E291" t="e" cm="1">
        <f t="array" aca="1" ref="E291" ca="1">IF(A291="","",IF(OR(A291=A290+1,A291=A290+2),E290,INDIRECT("template!"&amp;"D"&amp;A291-2)))</f>
        <v>#REF!</v>
      </c>
      <c r="F291" t="e" cm="1">
        <f t="array" aca="1" ref="F291" ca="1">IF(OR(A291="",B291="safety"),"",IF(ISBLANK(IF(A291=A290+1,F290,INDIRECT("template!"&amp;"D"&amp;A291-1))),"",IF(A291=A290+1,F290,INDIRECT("template!"&amp;"D"&amp;A291-1))))</f>
        <v>#REF!</v>
      </c>
      <c r="G291" t="e" cm="1">
        <f t="array" aca="1" ref="G291" ca="1">IF(OR(A291="",B291="safety"),"",IF(ISBLANK(INDIRECT("template!"&amp;"D"&amp;A291)),"",INDIRECT("template!"&amp;"D"&amp;A291)))</f>
        <v>#REF!</v>
      </c>
      <c r="H291" t="e" cm="1">
        <f t="array" aca="1" ref="H291" ca="1">IF(OR(A291="",B291="safety"),"",IF(ISBLANK(INDIRECT("template!"&amp;"E"&amp;A291)),"",INDIRECT("template!"&amp;"E"&amp;A291)))</f>
        <v>#REF!</v>
      </c>
      <c r="I291" t="e" cm="1">
        <f t="array" aca="1" ref="I291" ca="1">IF(OR(A291="",B291="safety"),"",IF(ISBLANK(INDIRECT("template!"&amp;"F"&amp;A291)),"",INDIRECT("template!"&amp;"F"&amp;A291)))</f>
        <v>#REF!</v>
      </c>
      <c r="J291" t="e" cm="1">
        <f t="array" aca="1" ref="J291" ca="1">IF(OR(A291="",B291="safety"),"",IF(ISBLANK(INDIRECT("template!"&amp;"G"&amp;A291)),"",INDIRECT("template!"&amp;"G"&amp;A291)))</f>
        <v>#REF!</v>
      </c>
      <c r="K291" t="e" cm="1">
        <f t="array" aca="1" ref="K291" ca="1">IF(OR(A291="",B291="safety"),"",IF(ISBLANK(INDIRECT("template!"&amp;"H"&amp;A291)),"",INDIRECT("template!"&amp;"H"&amp;A291)))</f>
        <v>#REF!</v>
      </c>
      <c r="L291" t="e" cm="1">
        <f t="array" aca="1" ref="L291" ca="1">IF(OR(A291="",B291="safety"),"",INDIRECT("template!"&amp;"I"&amp;A291))</f>
        <v>#REF!</v>
      </c>
      <c r="M291" t="e" cm="1">
        <f t="array" aca="1" ref="M291" ca="1">IF(OR(A291="",B291="safety"),"",INDIRECT("template!"&amp;"J"&amp;A291))</f>
        <v>#REF!</v>
      </c>
      <c r="N291" t="e" cm="1">
        <f t="array" aca="1" ref="N291" ca="1">IF(OR(A291="",B291="safety"),"",IF(ISBLANK(INDIRECT("template!"&amp;"K"&amp;A291)),"",INDIRECT("template!"&amp;"K"&amp;A291)))</f>
        <v>#REF!</v>
      </c>
      <c r="O291" t="e" cm="1">
        <f t="array" aca="1" ref="O291" ca="1">IF(OR(A291="",B291="safety"),"",INDIRECT("template!"&amp;"L"&amp;A291))</f>
        <v>#REF!</v>
      </c>
      <c r="P291" t="e" cm="1">
        <f t="array" aca="1" ref="P291" ca="1">IF(OR(A291="",B291="safety"),"",INDIRECT("template!"&amp;"M"&amp;A291))</f>
        <v>#REF!</v>
      </c>
      <c r="Q291" t="e">
        <f t="shared" ca="1" si="22"/>
        <v>#REF!</v>
      </c>
      <c r="R291" t="e">
        <f t="shared" ca="1" si="23"/>
        <v>#REF!</v>
      </c>
      <c r="S291" t="e">
        <f t="shared" ca="1" si="24"/>
        <v>#REF!</v>
      </c>
      <c r="T291" t="e">
        <f t="shared" ca="1" si="25"/>
        <v>#REF!</v>
      </c>
      <c r="U291" t="e" cm="1">
        <f t="array" aca="1" ref="U291" ca="1">IF(A291="","",IF(E291="","",IF(B291="safety",INDIRECT("template!"&amp;"P"&amp;A291),Q291+R291)))</f>
        <v>#REF!</v>
      </c>
      <c r="V291" t="e" cm="1">
        <f t="array" aca="1" ref="V291" ca="1">IF(A291="","",IF(E291="","",IF(B291="safety",INDIRECT("template!"&amp;"P"&amp;A291),S291+T291)))</f>
        <v>#REF!</v>
      </c>
      <c r="W291" t="e">
        <f ca="1">IF(A291="","",IF(E291="","",#REF!))</f>
        <v>#REF!</v>
      </c>
      <c r="X291" t="e">
        <f ca="1">IF(A291="","",IF(E291="","",#REF!))</f>
        <v>#REF!</v>
      </c>
      <c r="Y291" s="39" t="e">
        <f ca="1">IF(A291="","",IF(E291="","",#REF!))</f>
        <v>#REF!</v>
      </c>
      <c r="Z291" t="e">
        <f ca="1">IF(A291="","",IF(E291="","",#REF!))</f>
        <v>#REF!</v>
      </c>
      <c r="AA291" t="e">
        <f ca="1">IF(A291="","",IF(E291="","",#REF!))</f>
        <v>#REF!</v>
      </c>
      <c r="AB291" t="e">
        <f ca="1">IF(A291="","",IF(E291="","",#REF!))</f>
        <v>#REF!</v>
      </c>
      <c r="AC291" t="e">
        <f t="shared" ca="1" si="26"/>
        <v>#REF!</v>
      </c>
    </row>
    <row r="292" spans="1:29" x14ac:dyDescent="0.35">
      <c r="A292" t="e" cm="1">
        <f t="array" aca="1" ref="A292" ca="1">IF(A291="","",IF(OR(AND(A291+1&gt;=$AF$1,A291+1&lt;=$AF$2),AND(A291+1&gt;=$AF$6,A291+1&lt;=$AF$7),AND(A291+1&gt;=$AF$3,A291+1&lt;=$AF$4),AND(A291+1&gt;=$AF$8,A291+1&lt;=$AF$9),A291+1=$AF$5),IF(NOT(ISBLANK(INDIRECT("template!"&amp;"P"&amp;A291+1))),A291+1,IF(NOT(ISBLANK(INDIRECT("template!"&amp;"P"&amp;A291+2))),A291+2,A291+3)),IF(A291=$AF$2,$AF$3,IF(A291=$AF$4,$AF$5,IF(A291=$AF$5,$AF$6,IF(A291=$AF$7,$AF$8,""))))))</f>
        <v>#REF!</v>
      </c>
      <c r="B292" t="e">
        <f t="shared" ca="1" si="21"/>
        <v>#REF!</v>
      </c>
      <c r="C292" t="e" cm="1">
        <f t="array" aca="1" ref="C292" ca="1">IF(A292="","",IF(B292="safety","safety costs",INDIRECT("template!"&amp;"B"&amp;A292)))</f>
        <v>#REF!</v>
      </c>
      <c r="D292" t="e" cm="1">
        <f t="array" aca="1" ref="D292" ca="1">IF(OR(A292="",B292="safety"),"",INDIRECT("template!"&amp;"C"&amp;A292))</f>
        <v>#REF!</v>
      </c>
      <c r="E292" t="e" cm="1">
        <f t="array" aca="1" ref="E292" ca="1">IF(A292="","",IF(OR(A292=A291+1,A292=A291+2),E291,INDIRECT("template!"&amp;"D"&amp;A292-2)))</f>
        <v>#REF!</v>
      </c>
      <c r="F292" t="e" cm="1">
        <f t="array" aca="1" ref="F292" ca="1">IF(OR(A292="",B292="safety"),"",IF(ISBLANK(IF(A292=A291+1,F291,INDIRECT("template!"&amp;"D"&amp;A292-1))),"",IF(A292=A291+1,F291,INDIRECT("template!"&amp;"D"&amp;A292-1))))</f>
        <v>#REF!</v>
      </c>
      <c r="G292" t="e" cm="1">
        <f t="array" aca="1" ref="G292" ca="1">IF(OR(A292="",B292="safety"),"",IF(ISBLANK(INDIRECT("template!"&amp;"D"&amp;A292)),"",INDIRECT("template!"&amp;"D"&amp;A292)))</f>
        <v>#REF!</v>
      </c>
      <c r="H292" t="e" cm="1">
        <f t="array" aca="1" ref="H292" ca="1">IF(OR(A292="",B292="safety"),"",IF(ISBLANK(INDIRECT("template!"&amp;"E"&amp;A292)),"",INDIRECT("template!"&amp;"E"&amp;A292)))</f>
        <v>#REF!</v>
      </c>
      <c r="I292" t="e" cm="1">
        <f t="array" aca="1" ref="I292" ca="1">IF(OR(A292="",B292="safety"),"",IF(ISBLANK(INDIRECT("template!"&amp;"F"&amp;A292)),"",INDIRECT("template!"&amp;"F"&amp;A292)))</f>
        <v>#REF!</v>
      </c>
      <c r="J292" t="e" cm="1">
        <f t="array" aca="1" ref="J292" ca="1">IF(OR(A292="",B292="safety"),"",IF(ISBLANK(INDIRECT("template!"&amp;"G"&amp;A292)),"",INDIRECT("template!"&amp;"G"&amp;A292)))</f>
        <v>#REF!</v>
      </c>
      <c r="K292" t="e" cm="1">
        <f t="array" aca="1" ref="K292" ca="1">IF(OR(A292="",B292="safety"),"",IF(ISBLANK(INDIRECT("template!"&amp;"H"&amp;A292)),"",INDIRECT("template!"&amp;"H"&amp;A292)))</f>
        <v>#REF!</v>
      </c>
      <c r="L292" t="e" cm="1">
        <f t="array" aca="1" ref="L292" ca="1">IF(OR(A292="",B292="safety"),"",INDIRECT("template!"&amp;"I"&amp;A292))</f>
        <v>#REF!</v>
      </c>
      <c r="M292" t="e" cm="1">
        <f t="array" aca="1" ref="M292" ca="1">IF(OR(A292="",B292="safety"),"",INDIRECT("template!"&amp;"J"&amp;A292))</f>
        <v>#REF!</v>
      </c>
      <c r="N292" t="e" cm="1">
        <f t="array" aca="1" ref="N292" ca="1">IF(OR(A292="",B292="safety"),"",IF(ISBLANK(INDIRECT("template!"&amp;"K"&amp;A292)),"",INDIRECT("template!"&amp;"K"&amp;A292)))</f>
        <v>#REF!</v>
      </c>
      <c r="O292" t="e" cm="1">
        <f t="array" aca="1" ref="O292" ca="1">IF(OR(A292="",B292="safety"),"",INDIRECT("template!"&amp;"L"&amp;A292))</f>
        <v>#REF!</v>
      </c>
      <c r="P292" t="e" cm="1">
        <f t="array" aca="1" ref="P292" ca="1">IF(OR(A292="",B292="safety"),"",INDIRECT("template!"&amp;"M"&amp;A292))</f>
        <v>#REF!</v>
      </c>
      <c r="Q292" t="e">
        <f t="shared" ca="1" si="22"/>
        <v>#REF!</v>
      </c>
      <c r="R292" t="e">
        <f t="shared" ca="1" si="23"/>
        <v>#REF!</v>
      </c>
      <c r="S292" t="e">
        <f t="shared" ca="1" si="24"/>
        <v>#REF!</v>
      </c>
      <c r="T292" t="e">
        <f t="shared" ca="1" si="25"/>
        <v>#REF!</v>
      </c>
      <c r="U292" t="e" cm="1">
        <f t="array" aca="1" ref="U292" ca="1">IF(A292="","",IF(E292="","",IF(B292="safety",INDIRECT("template!"&amp;"P"&amp;A292),Q292+R292)))</f>
        <v>#REF!</v>
      </c>
      <c r="V292" t="e" cm="1">
        <f t="array" aca="1" ref="V292" ca="1">IF(A292="","",IF(E292="","",IF(B292="safety",INDIRECT("template!"&amp;"P"&amp;A292),S292+T292)))</f>
        <v>#REF!</v>
      </c>
      <c r="W292" t="e">
        <f ca="1">IF(A292="","",IF(E292="","",#REF!))</f>
        <v>#REF!</v>
      </c>
      <c r="X292" t="e">
        <f ca="1">IF(A292="","",IF(E292="","",#REF!))</f>
        <v>#REF!</v>
      </c>
      <c r="Y292" s="39" t="e">
        <f ca="1">IF(A292="","",IF(E292="","",#REF!))</f>
        <v>#REF!</v>
      </c>
      <c r="Z292" t="e">
        <f ca="1">IF(A292="","",IF(E292="","",#REF!))</f>
        <v>#REF!</v>
      </c>
      <c r="AA292" t="e">
        <f ca="1">IF(A292="","",IF(E292="","",#REF!))</f>
        <v>#REF!</v>
      </c>
      <c r="AB292" t="e">
        <f ca="1">IF(A292="","",IF(E292="","",#REF!))</f>
        <v>#REF!</v>
      </c>
      <c r="AC292" t="e">
        <f t="shared" ca="1" si="26"/>
        <v>#REF!</v>
      </c>
    </row>
    <row r="293" spans="1:29" x14ac:dyDescent="0.35">
      <c r="A293" t="e" cm="1">
        <f t="array" aca="1" ref="A293" ca="1">IF(A292="","",IF(OR(AND(A292+1&gt;=$AF$1,A292+1&lt;=$AF$2),AND(A292+1&gt;=$AF$6,A292+1&lt;=$AF$7),AND(A292+1&gt;=$AF$3,A292+1&lt;=$AF$4),AND(A292+1&gt;=$AF$8,A292+1&lt;=$AF$9),A292+1=$AF$5),IF(NOT(ISBLANK(INDIRECT("template!"&amp;"P"&amp;A292+1))),A292+1,IF(NOT(ISBLANK(INDIRECT("template!"&amp;"P"&amp;A292+2))),A292+2,A292+3)),IF(A292=$AF$2,$AF$3,IF(A292=$AF$4,$AF$5,IF(A292=$AF$5,$AF$6,IF(A292=$AF$7,$AF$8,""))))))</f>
        <v>#REF!</v>
      </c>
      <c r="B293" t="e">
        <f t="shared" ca="1" si="21"/>
        <v>#REF!</v>
      </c>
      <c r="C293" t="e" cm="1">
        <f t="array" aca="1" ref="C293" ca="1">IF(A293="","",IF(B293="safety","safety costs",INDIRECT("template!"&amp;"B"&amp;A293)))</f>
        <v>#REF!</v>
      </c>
      <c r="D293" t="e" cm="1">
        <f t="array" aca="1" ref="D293" ca="1">IF(OR(A293="",B293="safety"),"",INDIRECT("template!"&amp;"C"&amp;A293))</f>
        <v>#REF!</v>
      </c>
      <c r="E293" t="e" cm="1">
        <f t="array" aca="1" ref="E293" ca="1">IF(A293="","",IF(OR(A293=A292+1,A293=A292+2),E292,INDIRECT("template!"&amp;"D"&amp;A293-2)))</f>
        <v>#REF!</v>
      </c>
      <c r="F293" t="e" cm="1">
        <f t="array" aca="1" ref="F293" ca="1">IF(OR(A293="",B293="safety"),"",IF(ISBLANK(IF(A293=A292+1,F292,INDIRECT("template!"&amp;"D"&amp;A293-1))),"",IF(A293=A292+1,F292,INDIRECT("template!"&amp;"D"&amp;A293-1))))</f>
        <v>#REF!</v>
      </c>
      <c r="G293" t="e" cm="1">
        <f t="array" aca="1" ref="G293" ca="1">IF(OR(A293="",B293="safety"),"",IF(ISBLANK(INDIRECT("template!"&amp;"D"&amp;A293)),"",INDIRECT("template!"&amp;"D"&amp;A293)))</f>
        <v>#REF!</v>
      </c>
      <c r="H293" t="e" cm="1">
        <f t="array" aca="1" ref="H293" ca="1">IF(OR(A293="",B293="safety"),"",IF(ISBLANK(INDIRECT("template!"&amp;"E"&amp;A293)),"",INDIRECT("template!"&amp;"E"&amp;A293)))</f>
        <v>#REF!</v>
      </c>
      <c r="I293" t="e" cm="1">
        <f t="array" aca="1" ref="I293" ca="1">IF(OR(A293="",B293="safety"),"",IF(ISBLANK(INDIRECT("template!"&amp;"F"&amp;A293)),"",INDIRECT("template!"&amp;"F"&amp;A293)))</f>
        <v>#REF!</v>
      </c>
      <c r="J293" t="e" cm="1">
        <f t="array" aca="1" ref="J293" ca="1">IF(OR(A293="",B293="safety"),"",IF(ISBLANK(INDIRECT("template!"&amp;"G"&amp;A293)),"",INDIRECT("template!"&amp;"G"&amp;A293)))</f>
        <v>#REF!</v>
      </c>
      <c r="K293" t="e" cm="1">
        <f t="array" aca="1" ref="K293" ca="1">IF(OR(A293="",B293="safety"),"",IF(ISBLANK(INDIRECT("template!"&amp;"H"&amp;A293)),"",INDIRECT("template!"&amp;"H"&amp;A293)))</f>
        <v>#REF!</v>
      </c>
      <c r="L293" t="e" cm="1">
        <f t="array" aca="1" ref="L293" ca="1">IF(OR(A293="",B293="safety"),"",INDIRECT("template!"&amp;"I"&amp;A293))</f>
        <v>#REF!</v>
      </c>
      <c r="M293" t="e" cm="1">
        <f t="array" aca="1" ref="M293" ca="1">IF(OR(A293="",B293="safety"),"",INDIRECT("template!"&amp;"J"&amp;A293))</f>
        <v>#REF!</v>
      </c>
      <c r="N293" t="e" cm="1">
        <f t="array" aca="1" ref="N293" ca="1">IF(OR(A293="",B293="safety"),"",IF(ISBLANK(INDIRECT("template!"&amp;"K"&amp;A293)),"",INDIRECT("template!"&amp;"K"&amp;A293)))</f>
        <v>#REF!</v>
      </c>
      <c r="O293" t="e" cm="1">
        <f t="array" aca="1" ref="O293" ca="1">IF(OR(A293="",B293="safety"),"",INDIRECT("template!"&amp;"L"&amp;A293))</f>
        <v>#REF!</v>
      </c>
      <c r="P293" t="e" cm="1">
        <f t="array" aca="1" ref="P293" ca="1">IF(OR(A293="",B293="safety"),"",INDIRECT("template!"&amp;"M"&amp;A293))</f>
        <v>#REF!</v>
      </c>
      <c r="Q293" t="e">
        <f t="shared" ca="1" si="22"/>
        <v>#REF!</v>
      </c>
      <c r="R293" t="e">
        <f t="shared" ca="1" si="23"/>
        <v>#REF!</v>
      </c>
      <c r="S293" t="e">
        <f t="shared" ca="1" si="24"/>
        <v>#REF!</v>
      </c>
      <c r="T293" t="e">
        <f t="shared" ca="1" si="25"/>
        <v>#REF!</v>
      </c>
      <c r="U293" t="e" cm="1">
        <f t="array" aca="1" ref="U293" ca="1">IF(A293="","",IF(E293="","",IF(B293="safety",INDIRECT("template!"&amp;"P"&amp;A293),Q293+R293)))</f>
        <v>#REF!</v>
      </c>
      <c r="V293" t="e" cm="1">
        <f t="array" aca="1" ref="V293" ca="1">IF(A293="","",IF(E293="","",IF(B293="safety",INDIRECT("template!"&amp;"P"&amp;A293),S293+T293)))</f>
        <v>#REF!</v>
      </c>
      <c r="W293" t="e">
        <f ca="1">IF(A293="","",IF(E293="","",#REF!))</f>
        <v>#REF!</v>
      </c>
      <c r="X293" t="e">
        <f ca="1">IF(A293="","",IF(E293="","",#REF!))</f>
        <v>#REF!</v>
      </c>
      <c r="Y293" s="39" t="e">
        <f ca="1">IF(A293="","",IF(E293="","",#REF!))</f>
        <v>#REF!</v>
      </c>
      <c r="Z293" t="e">
        <f ca="1">IF(A293="","",IF(E293="","",#REF!))</f>
        <v>#REF!</v>
      </c>
      <c r="AA293" t="e">
        <f ca="1">IF(A293="","",IF(E293="","",#REF!))</f>
        <v>#REF!</v>
      </c>
      <c r="AB293" t="e">
        <f ca="1">IF(A293="","",IF(E293="","",#REF!))</f>
        <v>#REF!</v>
      </c>
      <c r="AC293" t="e">
        <f t="shared" ca="1" si="26"/>
        <v>#REF!</v>
      </c>
    </row>
    <row r="294" spans="1:29" x14ac:dyDescent="0.35">
      <c r="A294" t="e" cm="1">
        <f t="array" aca="1" ref="A294" ca="1">IF(A293="","",IF(OR(AND(A293+1&gt;=$AF$1,A293+1&lt;=$AF$2),AND(A293+1&gt;=$AF$6,A293+1&lt;=$AF$7),AND(A293+1&gt;=$AF$3,A293+1&lt;=$AF$4),AND(A293+1&gt;=$AF$8,A293+1&lt;=$AF$9),A293+1=$AF$5),IF(NOT(ISBLANK(INDIRECT("template!"&amp;"P"&amp;A293+1))),A293+1,IF(NOT(ISBLANK(INDIRECT("template!"&amp;"P"&amp;A293+2))),A293+2,A293+3)),IF(A293=$AF$2,$AF$3,IF(A293=$AF$4,$AF$5,IF(A293=$AF$5,$AF$6,IF(A293=$AF$7,$AF$8,""))))))</f>
        <v>#REF!</v>
      </c>
      <c r="B294" t="e">
        <f t="shared" ca="1" si="21"/>
        <v>#REF!</v>
      </c>
      <c r="C294" t="e" cm="1">
        <f t="array" aca="1" ref="C294" ca="1">IF(A294="","",IF(B294="safety","safety costs",INDIRECT("template!"&amp;"B"&amp;A294)))</f>
        <v>#REF!</v>
      </c>
      <c r="D294" t="e" cm="1">
        <f t="array" aca="1" ref="D294" ca="1">IF(OR(A294="",B294="safety"),"",INDIRECT("template!"&amp;"C"&amp;A294))</f>
        <v>#REF!</v>
      </c>
      <c r="E294" t="e" cm="1">
        <f t="array" aca="1" ref="E294" ca="1">IF(A294="","",IF(OR(A294=A293+1,A294=A293+2),E293,INDIRECT("template!"&amp;"D"&amp;A294-2)))</f>
        <v>#REF!</v>
      </c>
      <c r="F294" t="e" cm="1">
        <f t="array" aca="1" ref="F294" ca="1">IF(OR(A294="",B294="safety"),"",IF(ISBLANK(IF(A294=A293+1,F293,INDIRECT("template!"&amp;"D"&amp;A294-1))),"",IF(A294=A293+1,F293,INDIRECT("template!"&amp;"D"&amp;A294-1))))</f>
        <v>#REF!</v>
      </c>
      <c r="G294" t="e" cm="1">
        <f t="array" aca="1" ref="G294" ca="1">IF(OR(A294="",B294="safety"),"",IF(ISBLANK(INDIRECT("template!"&amp;"D"&amp;A294)),"",INDIRECT("template!"&amp;"D"&amp;A294)))</f>
        <v>#REF!</v>
      </c>
      <c r="H294" t="e" cm="1">
        <f t="array" aca="1" ref="H294" ca="1">IF(OR(A294="",B294="safety"),"",IF(ISBLANK(INDIRECT("template!"&amp;"E"&amp;A294)),"",INDIRECT("template!"&amp;"E"&amp;A294)))</f>
        <v>#REF!</v>
      </c>
      <c r="I294" t="e" cm="1">
        <f t="array" aca="1" ref="I294" ca="1">IF(OR(A294="",B294="safety"),"",IF(ISBLANK(INDIRECT("template!"&amp;"F"&amp;A294)),"",INDIRECT("template!"&amp;"F"&amp;A294)))</f>
        <v>#REF!</v>
      </c>
      <c r="J294" t="e" cm="1">
        <f t="array" aca="1" ref="J294" ca="1">IF(OR(A294="",B294="safety"),"",IF(ISBLANK(INDIRECT("template!"&amp;"G"&amp;A294)),"",INDIRECT("template!"&amp;"G"&amp;A294)))</f>
        <v>#REF!</v>
      </c>
      <c r="K294" t="e" cm="1">
        <f t="array" aca="1" ref="K294" ca="1">IF(OR(A294="",B294="safety"),"",IF(ISBLANK(INDIRECT("template!"&amp;"H"&amp;A294)),"",INDIRECT("template!"&amp;"H"&amp;A294)))</f>
        <v>#REF!</v>
      </c>
      <c r="L294" t="e" cm="1">
        <f t="array" aca="1" ref="L294" ca="1">IF(OR(A294="",B294="safety"),"",INDIRECT("template!"&amp;"I"&amp;A294))</f>
        <v>#REF!</v>
      </c>
      <c r="M294" t="e" cm="1">
        <f t="array" aca="1" ref="M294" ca="1">IF(OR(A294="",B294="safety"),"",INDIRECT("template!"&amp;"J"&amp;A294))</f>
        <v>#REF!</v>
      </c>
      <c r="N294" t="e" cm="1">
        <f t="array" aca="1" ref="N294" ca="1">IF(OR(A294="",B294="safety"),"",IF(ISBLANK(INDIRECT("template!"&amp;"K"&amp;A294)),"",INDIRECT("template!"&amp;"K"&amp;A294)))</f>
        <v>#REF!</v>
      </c>
      <c r="O294" t="e" cm="1">
        <f t="array" aca="1" ref="O294" ca="1">IF(OR(A294="",B294="safety"),"",INDIRECT("template!"&amp;"L"&amp;A294))</f>
        <v>#REF!</v>
      </c>
      <c r="P294" t="e" cm="1">
        <f t="array" aca="1" ref="P294" ca="1">IF(OR(A294="",B294="safety"),"",INDIRECT("template!"&amp;"M"&amp;A294))</f>
        <v>#REF!</v>
      </c>
      <c r="Q294" t="e">
        <f t="shared" ca="1" si="22"/>
        <v>#REF!</v>
      </c>
      <c r="R294" t="e">
        <f t="shared" ca="1" si="23"/>
        <v>#REF!</v>
      </c>
      <c r="S294" t="e">
        <f t="shared" ca="1" si="24"/>
        <v>#REF!</v>
      </c>
      <c r="T294" t="e">
        <f t="shared" ca="1" si="25"/>
        <v>#REF!</v>
      </c>
      <c r="U294" t="e" cm="1">
        <f t="array" aca="1" ref="U294" ca="1">IF(A294="","",IF(E294="","",IF(B294="safety",INDIRECT("template!"&amp;"P"&amp;A294),Q294+R294)))</f>
        <v>#REF!</v>
      </c>
      <c r="V294" t="e" cm="1">
        <f t="array" aca="1" ref="V294" ca="1">IF(A294="","",IF(E294="","",IF(B294="safety",INDIRECT("template!"&amp;"P"&amp;A294),S294+T294)))</f>
        <v>#REF!</v>
      </c>
      <c r="W294" t="e">
        <f ca="1">IF(A294="","",IF(E294="","",#REF!))</f>
        <v>#REF!</v>
      </c>
      <c r="X294" t="e">
        <f ca="1">IF(A294="","",IF(E294="","",#REF!))</f>
        <v>#REF!</v>
      </c>
      <c r="Y294" s="39" t="e">
        <f ca="1">IF(A294="","",IF(E294="","",#REF!))</f>
        <v>#REF!</v>
      </c>
      <c r="Z294" t="e">
        <f ca="1">IF(A294="","",IF(E294="","",#REF!))</f>
        <v>#REF!</v>
      </c>
      <c r="AA294" t="e">
        <f ca="1">IF(A294="","",IF(E294="","",#REF!))</f>
        <v>#REF!</v>
      </c>
      <c r="AB294" t="e">
        <f ca="1">IF(A294="","",IF(E294="","",#REF!))</f>
        <v>#REF!</v>
      </c>
      <c r="AC294" t="e">
        <f t="shared" ca="1" si="26"/>
        <v>#REF!</v>
      </c>
    </row>
    <row r="295" spans="1:29" x14ac:dyDescent="0.35">
      <c r="A295" t="e" cm="1">
        <f t="array" aca="1" ref="A295" ca="1">IF(A294="","",IF(OR(AND(A294+1&gt;=$AF$1,A294+1&lt;=$AF$2),AND(A294+1&gt;=$AF$6,A294+1&lt;=$AF$7),AND(A294+1&gt;=$AF$3,A294+1&lt;=$AF$4),AND(A294+1&gt;=$AF$8,A294+1&lt;=$AF$9),A294+1=$AF$5),IF(NOT(ISBLANK(INDIRECT("template!"&amp;"P"&amp;A294+1))),A294+1,IF(NOT(ISBLANK(INDIRECT("template!"&amp;"P"&amp;A294+2))),A294+2,A294+3)),IF(A294=$AF$2,$AF$3,IF(A294=$AF$4,$AF$5,IF(A294=$AF$5,$AF$6,IF(A294=$AF$7,$AF$8,""))))))</f>
        <v>#REF!</v>
      </c>
      <c r="B295" t="e">
        <f t="shared" ca="1" si="21"/>
        <v>#REF!</v>
      </c>
      <c r="C295" t="e" cm="1">
        <f t="array" aca="1" ref="C295" ca="1">IF(A295="","",IF(B295="safety","safety costs",INDIRECT("template!"&amp;"B"&amp;A295)))</f>
        <v>#REF!</v>
      </c>
      <c r="D295" t="e" cm="1">
        <f t="array" aca="1" ref="D295" ca="1">IF(OR(A295="",B295="safety"),"",INDIRECT("template!"&amp;"C"&amp;A295))</f>
        <v>#REF!</v>
      </c>
      <c r="E295" t="e" cm="1">
        <f t="array" aca="1" ref="E295" ca="1">IF(A295="","",IF(OR(A295=A294+1,A295=A294+2),E294,INDIRECT("template!"&amp;"D"&amp;A295-2)))</f>
        <v>#REF!</v>
      </c>
      <c r="F295" t="e" cm="1">
        <f t="array" aca="1" ref="F295" ca="1">IF(OR(A295="",B295="safety"),"",IF(ISBLANK(IF(A295=A294+1,F294,INDIRECT("template!"&amp;"D"&amp;A295-1))),"",IF(A295=A294+1,F294,INDIRECT("template!"&amp;"D"&amp;A295-1))))</f>
        <v>#REF!</v>
      </c>
      <c r="G295" t="e" cm="1">
        <f t="array" aca="1" ref="G295" ca="1">IF(OR(A295="",B295="safety"),"",IF(ISBLANK(INDIRECT("template!"&amp;"D"&amp;A295)),"",INDIRECT("template!"&amp;"D"&amp;A295)))</f>
        <v>#REF!</v>
      </c>
      <c r="H295" t="e" cm="1">
        <f t="array" aca="1" ref="H295" ca="1">IF(OR(A295="",B295="safety"),"",IF(ISBLANK(INDIRECT("template!"&amp;"E"&amp;A295)),"",INDIRECT("template!"&amp;"E"&amp;A295)))</f>
        <v>#REF!</v>
      </c>
      <c r="I295" t="e" cm="1">
        <f t="array" aca="1" ref="I295" ca="1">IF(OR(A295="",B295="safety"),"",IF(ISBLANK(INDIRECT("template!"&amp;"F"&amp;A295)),"",INDIRECT("template!"&amp;"F"&amp;A295)))</f>
        <v>#REF!</v>
      </c>
      <c r="J295" t="e" cm="1">
        <f t="array" aca="1" ref="J295" ca="1">IF(OR(A295="",B295="safety"),"",IF(ISBLANK(INDIRECT("template!"&amp;"G"&amp;A295)),"",INDIRECT("template!"&amp;"G"&amp;A295)))</f>
        <v>#REF!</v>
      </c>
      <c r="K295" t="e" cm="1">
        <f t="array" aca="1" ref="K295" ca="1">IF(OR(A295="",B295="safety"),"",IF(ISBLANK(INDIRECT("template!"&amp;"H"&amp;A295)),"",INDIRECT("template!"&amp;"H"&amp;A295)))</f>
        <v>#REF!</v>
      </c>
      <c r="L295" t="e" cm="1">
        <f t="array" aca="1" ref="L295" ca="1">IF(OR(A295="",B295="safety"),"",INDIRECT("template!"&amp;"I"&amp;A295))</f>
        <v>#REF!</v>
      </c>
      <c r="M295" t="e" cm="1">
        <f t="array" aca="1" ref="M295" ca="1">IF(OR(A295="",B295="safety"),"",INDIRECT("template!"&amp;"J"&amp;A295))</f>
        <v>#REF!</v>
      </c>
      <c r="N295" t="e" cm="1">
        <f t="array" aca="1" ref="N295" ca="1">IF(OR(A295="",B295="safety"),"",IF(ISBLANK(INDIRECT("template!"&amp;"K"&amp;A295)),"",INDIRECT("template!"&amp;"K"&amp;A295)))</f>
        <v>#REF!</v>
      </c>
      <c r="O295" t="e" cm="1">
        <f t="array" aca="1" ref="O295" ca="1">IF(OR(A295="",B295="safety"),"",INDIRECT("template!"&amp;"L"&amp;A295))</f>
        <v>#REF!</v>
      </c>
      <c r="P295" t="e" cm="1">
        <f t="array" aca="1" ref="P295" ca="1">IF(OR(A295="",B295="safety"),"",INDIRECT("template!"&amp;"M"&amp;A295))</f>
        <v>#REF!</v>
      </c>
      <c r="Q295" t="e">
        <f t="shared" ca="1" si="22"/>
        <v>#REF!</v>
      </c>
      <c r="R295" t="e">
        <f t="shared" ca="1" si="23"/>
        <v>#REF!</v>
      </c>
      <c r="S295" t="e">
        <f t="shared" ca="1" si="24"/>
        <v>#REF!</v>
      </c>
      <c r="T295" t="e">
        <f t="shared" ca="1" si="25"/>
        <v>#REF!</v>
      </c>
      <c r="U295" t="e" cm="1">
        <f t="array" aca="1" ref="U295" ca="1">IF(A295="","",IF(E295="","",IF(B295="safety",INDIRECT("template!"&amp;"P"&amp;A295),Q295+R295)))</f>
        <v>#REF!</v>
      </c>
      <c r="V295" t="e" cm="1">
        <f t="array" aca="1" ref="V295" ca="1">IF(A295="","",IF(E295="","",IF(B295="safety",INDIRECT("template!"&amp;"P"&amp;A295),S295+T295)))</f>
        <v>#REF!</v>
      </c>
      <c r="W295" t="e">
        <f ca="1">IF(A295="","",IF(E295="","",#REF!))</f>
        <v>#REF!</v>
      </c>
      <c r="X295" t="e">
        <f ca="1">IF(A295="","",IF(E295="","",#REF!))</f>
        <v>#REF!</v>
      </c>
      <c r="Y295" s="39" t="e">
        <f ca="1">IF(A295="","",IF(E295="","",#REF!))</f>
        <v>#REF!</v>
      </c>
      <c r="Z295" t="e">
        <f ca="1">IF(A295="","",IF(E295="","",#REF!))</f>
        <v>#REF!</v>
      </c>
      <c r="AA295" t="e">
        <f ca="1">IF(A295="","",IF(E295="","",#REF!))</f>
        <v>#REF!</v>
      </c>
      <c r="AB295" t="e">
        <f ca="1">IF(A295="","",IF(E295="","",#REF!))</f>
        <v>#REF!</v>
      </c>
      <c r="AC295" t="e">
        <f t="shared" ca="1" si="26"/>
        <v>#REF!</v>
      </c>
    </row>
    <row r="296" spans="1:29" x14ac:dyDescent="0.35">
      <c r="A296" t="e" cm="1">
        <f t="array" aca="1" ref="A296" ca="1">IF(A295="","",IF(OR(AND(A295+1&gt;=$AF$1,A295+1&lt;=$AF$2),AND(A295+1&gt;=$AF$6,A295+1&lt;=$AF$7),AND(A295+1&gt;=$AF$3,A295+1&lt;=$AF$4),AND(A295+1&gt;=$AF$8,A295+1&lt;=$AF$9),A295+1=$AF$5),IF(NOT(ISBLANK(INDIRECT("template!"&amp;"P"&amp;A295+1))),A295+1,IF(NOT(ISBLANK(INDIRECT("template!"&amp;"P"&amp;A295+2))),A295+2,A295+3)),IF(A295=$AF$2,$AF$3,IF(A295=$AF$4,$AF$5,IF(A295=$AF$5,$AF$6,IF(A295=$AF$7,$AF$8,""))))))</f>
        <v>#REF!</v>
      </c>
      <c r="B296" t="e">
        <f t="shared" ca="1" si="21"/>
        <v>#REF!</v>
      </c>
      <c r="C296" t="e" cm="1">
        <f t="array" aca="1" ref="C296" ca="1">IF(A296="","",IF(B296="safety","safety costs",INDIRECT("template!"&amp;"B"&amp;A296)))</f>
        <v>#REF!</v>
      </c>
      <c r="D296" t="e" cm="1">
        <f t="array" aca="1" ref="D296" ca="1">IF(OR(A296="",B296="safety"),"",INDIRECT("template!"&amp;"C"&amp;A296))</f>
        <v>#REF!</v>
      </c>
      <c r="E296" t="e" cm="1">
        <f t="array" aca="1" ref="E296" ca="1">IF(A296="","",IF(OR(A296=A295+1,A296=A295+2),E295,INDIRECT("template!"&amp;"D"&amp;A296-2)))</f>
        <v>#REF!</v>
      </c>
      <c r="F296" t="e" cm="1">
        <f t="array" aca="1" ref="F296" ca="1">IF(OR(A296="",B296="safety"),"",IF(ISBLANK(IF(A296=A295+1,F295,INDIRECT("template!"&amp;"D"&amp;A296-1))),"",IF(A296=A295+1,F295,INDIRECT("template!"&amp;"D"&amp;A296-1))))</f>
        <v>#REF!</v>
      </c>
      <c r="G296" t="e" cm="1">
        <f t="array" aca="1" ref="G296" ca="1">IF(OR(A296="",B296="safety"),"",IF(ISBLANK(INDIRECT("template!"&amp;"D"&amp;A296)),"",INDIRECT("template!"&amp;"D"&amp;A296)))</f>
        <v>#REF!</v>
      </c>
      <c r="H296" t="e" cm="1">
        <f t="array" aca="1" ref="H296" ca="1">IF(OR(A296="",B296="safety"),"",IF(ISBLANK(INDIRECT("template!"&amp;"E"&amp;A296)),"",INDIRECT("template!"&amp;"E"&amp;A296)))</f>
        <v>#REF!</v>
      </c>
      <c r="I296" t="e" cm="1">
        <f t="array" aca="1" ref="I296" ca="1">IF(OR(A296="",B296="safety"),"",IF(ISBLANK(INDIRECT("template!"&amp;"F"&amp;A296)),"",INDIRECT("template!"&amp;"F"&amp;A296)))</f>
        <v>#REF!</v>
      </c>
      <c r="J296" t="e" cm="1">
        <f t="array" aca="1" ref="J296" ca="1">IF(OR(A296="",B296="safety"),"",IF(ISBLANK(INDIRECT("template!"&amp;"G"&amp;A296)),"",INDIRECT("template!"&amp;"G"&amp;A296)))</f>
        <v>#REF!</v>
      </c>
      <c r="K296" t="e" cm="1">
        <f t="array" aca="1" ref="K296" ca="1">IF(OR(A296="",B296="safety"),"",IF(ISBLANK(INDIRECT("template!"&amp;"H"&amp;A296)),"",INDIRECT("template!"&amp;"H"&amp;A296)))</f>
        <v>#REF!</v>
      </c>
      <c r="L296" t="e" cm="1">
        <f t="array" aca="1" ref="L296" ca="1">IF(OR(A296="",B296="safety"),"",INDIRECT("template!"&amp;"I"&amp;A296))</f>
        <v>#REF!</v>
      </c>
      <c r="M296" t="e" cm="1">
        <f t="array" aca="1" ref="M296" ca="1">IF(OR(A296="",B296="safety"),"",INDIRECT("template!"&amp;"J"&amp;A296))</f>
        <v>#REF!</v>
      </c>
      <c r="N296" t="e" cm="1">
        <f t="array" aca="1" ref="N296" ca="1">IF(OR(A296="",B296="safety"),"",IF(ISBLANK(INDIRECT("template!"&amp;"K"&amp;A296)),"",INDIRECT("template!"&amp;"K"&amp;A296)))</f>
        <v>#REF!</v>
      </c>
      <c r="O296" t="e" cm="1">
        <f t="array" aca="1" ref="O296" ca="1">IF(OR(A296="",B296="safety"),"",INDIRECT("template!"&amp;"L"&amp;A296))</f>
        <v>#REF!</v>
      </c>
      <c r="P296" t="e" cm="1">
        <f t="array" aca="1" ref="P296" ca="1">IF(OR(A296="",B296="safety"),"",INDIRECT("template!"&amp;"M"&amp;A296))</f>
        <v>#REF!</v>
      </c>
      <c r="Q296" t="e">
        <f t="shared" ca="1" si="22"/>
        <v>#REF!</v>
      </c>
      <c r="R296" t="e">
        <f t="shared" ca="1" si="23"/>
        <v>#REF!</v>
      </c>
      <c r="S296" t="e">
        <f t="shared" ca="1" si="24"/>
        <v>#REF!</v>
      </c>
      <c r="T296" t="e">
        <f t="shared" ca="1" si="25"/>
        <v>#REF!</v>
      </c>
      <c r="U296" t="e" cm="1">
        <f t="array" aca="1" ref="U296" ca="1">IF(A296="","",IF(E296="","",IF(B296="safety",INDIRECT("template!"&amp;"P"&amp;A296),Q296+R296)))</f>
        <v>#REF!</v>
      </c>
      <c r="V296" t="e" cm="1">
        <f t="array" aca="1" ref="V296" ca="1">IF(A296="","",IF(E296="","",IF(B296="safety",INDIRECT("template!"&amp;"P"&amp;A296),S296+T296)))</f>
        <v>#REF!</v>
      </c>
      <c r="W296" t="e">
        <f ca="1">IF(A296="","",IF(E296="","",#REF!))</f>
        <v>#REF!</v>
      </c>
      <c r="X296" t="e">
        <f ca="1">IF(A296="","",IF(E296="","",#REF!))</f>
        <v>#REF!</v>
      </c>
      <c r="Y296" s="39" t="e">
        <f ca="1">IF(A296="","",IF(E296="","",#REF!))</f>
        <v>#REF!</v>
      </c>
      <c r="Z296" t="e">
        <f ca="1">IF(A296="","",IF(E296="","",#REF!))</f>
        <v>#REF!</v>
      </c>
      <c r="AA296" t="e">
        <f ca="1">IF(A296="","",IF(E296="","",#REF!))</f>
        <v>#REF!</v>
      </c>
      <c r="AB296" t="e">
        <f ca="1">IF(A296="","",IF(E296="","",#REF!))</f>
        <v>#REF!</v>
      </c>
      <c r="AC296" t="e">
        <f t="shared" ca="1" si="26"/>
        <v>#REF!</v>
      </c>
    </row>
    <row r="297" spans="1:29" x14ac:dyDescent="0.35">
      <c r="A297" t="e" cm="1">
        <f t="array" aca="1" ref="A297" ca="1">IF(A296="","",IF(OR(AND(A296+1&gt;=$AF$1,A296+1&lt;=$AF$2),AND(A296+1&gt;=$AF$6,A296+1&lt;=$AF$7),AND(A296+1&gt;=$AF$3,A296+1&lt;=$AF$4),AND(A296+1&gt;=$AF$8,A296+1&lt;=$AF$9),A296+1=$AF$5),IF(NOT(ISBLANK(INDIRECT("template!"&amp;"P"&amp;A296+1))),A296+1,IF(NOT(ISBLANK(INDIRECT("template!"&amp;"P"&amp;A296+2))),A296+2,A296+3)),IF(A296=$AF$2,$AF$3,IF(A296=$AF$4,$AF$5,IF(A296=$AF$5,$AF$6,IF(A296=$AF$7,$AF$8,""))))))</f>
        <v>#REF!</v>
      </c>
      <c r="B297" t="e">
        <f t="shared" ca="1" si="21"/>
        <v>#REF!</v>
      </c>
      <c r="C297" t="e" cm="1">
        <f t="array" aca="1" ref="C297" ca="1">IF(A297="","",IF(B297="safety","safety costs",INDIRECT("template!"&amp;"B"&amp;A297)))</f>
        <v>#REF!</v>
      </c>
      <c r="D297" t="e" cm="1">
        <f t="array" aca="1" ref="D297" ca="1">IF(OR(A297="",B297="safety"),"",INDIRECT("template!"&amp;"C"&amp;A297))</f>
        <v>#REF!</v>
      </c>
      <c r="E297" t="e" cm="1">
        <f t="array" aca="1" ref="E297" ca="1">IF(A297="","",IF(OR(A297=A296+1,A297=A296+2),E296,INDIRECT("template!"&amp;"D"&amp;A297-2)))</f>
        <v>#REF!</v>
      </c>
      <c r="F297" t="e" cm="1">
        <f t="array" aca="1" ref="F297" ca="1">IF(OR(A297="",B297="safety"),"",IF(ISBLANK(IF(A297=A296+1,F296,INDIRECT("template!"&amp;"D"&amp;A297-1))),"",IF(A297=A296+1,F296,INDIRECT("template!"&amp;"D"&amp;A297-1))))</f>
        <v>#REF!</v>
      </c>
      <c r="G297" t="e" cm="1">
        <f t="array" aca="1" ref="G297" ca="1">IF(OR(A297="",B297="safety"),"",IF(ISBLANK(INDIRECT("template!"&amp;"D"&amp;A297)),"",INDIRECT("template!"&amp;"D"&amp;A297)))</f>
        <v>#REF!</v>
      </c>
      <c r="H297" t="e" cm="1">
        <f t="array" aca="1" ref="H297" ca="1">IF(OR(A297="",B297="safety"),"",IF(ISBLANK(INDIRECT("template!"&amp;"E"&amp;A297)),"",INDIRECT("template!"&amp;"E"&amp;A297)))</f>
        <v>#REF!</v>
      </c>
      <c r="I297" t="e" cm="1">
        <f t="array" aca="1" ref="I297" ca="1">IF(OR(A297="",B297="safety"),"",IF(ISBLANK(INDIRECT("template!"&amp;"F"&amp;A297)),"",INDIRECT("template!"&amp;"F"&amp;A297)))</f>
        <v>#REF!</v>
      </c>
      <c r="J297" t="e" cm="1">
        <f t="array" aca="1" ref="J297" ca="1">IF(OR(A297="",B297="safety"),"",IF(ISBLANK(INDIRECT("template!"&amp;"G"&amp;A297)),"",INDIRECT("template!"&amp;"G"&amp;A297)))</f>
        <v>#REF!</v>
      </c>
      <c r="K297" t="e" cm="1">
        <f t="array" aca="1" ref="K297" ca="1">IF(OR(A297="",B297="safety"),"",IF(ISBLANK(INDIRECT("template!"&amp;"H"&amp;A297)),"",INDIRECT("template!"&amp;"H"&amp;A297)))</f>
        <v>#REF!</v>
      </c>
      <c r="L297" t="e" cm="1">
        <f t="array" aca="1" ref="L297" ca="1">IF(OR(A297="",B297="safety"),"",INDIRECT("template!"&amp;"I"&amp;A297))</f>
        <v>#REF!</v>
      </c>
      <c r="M297" t="e" cm="1">
        <f t="array" aca="1" ref="M297" ca="1">IF(OR(A297="",B297="safety"),"",INDIRECT("template!"&amp;"J"&amp;A297))</f>
        <v>#REF!</v>
      </c>
      <c r="N297" t="e" cm="1">
        <f t="array" aca="1" ref="N297" ca="1">IF(OR(A297="",B297="safety"),"",IF(ISBLANK(INDIRECT("template!"&amp;"K"&amp;A297)),"",INDIRECT("template!"&amp;"K"&amp;A297)))</f>
        <v>#REF!</v>
      </c>
      <c r="O297" t="e" cm="1">
        <f t="array" aca="1" ref="O297" ca="1">IF(OR(A297="",B297="safety"),"",INDIRECT("template!"&amp;"L"&amp;A297))</f>
        <v>#REF!</v>
      </c>
      <c r="P297" t="e" cm="1">
        <f t="array" aca="1" ref="P297" ca="1">IF(OR(A297="",B297="safety"),"",INDIRECT("template!"&amp;"M"&amp;A297))</f>
        <v>#REF!</v>
      </c>
      <c r="Q297" t="e">
        <f t="shared" ca="1" si="22"/>
        <v>#REF!</v>
      </c>
      <c r="R297" t="e">
        <f t="shared" ca="1" si="23"/>
        <v>#REF!</v>
      </c>
      <c r="S297" t="e">
        <f t="shared" ca="1" si="24"/>
        <v>#REF!</v>
      </c>
      <c r="T297" t="e">
        <f t="shared" ca="1" si="25"/>
        <v>#REF!</v>
      </c>
      <c r="U297" t="e" cm="1">
        <f t="array" aca="1" ref="U297" ca="1">IF(A297="","",IF(E297="","",IF(B297="safety",INDIRECT("template!"&amp;"P"&amp;A297),Q297+R297)))</f>
        <v>#REF!</v>
      </c>
      <c r="V297" t="e" cm="1">
        <f t="array" aca="1" ref="V297" ca="1">IF(A297="","",IF(E297="","",IF(B297="safety",INDIRECT("template!"&amp;"P"&amp;A297),S297+T297)))</f>
        <v>#REF!</v>
      </c>
      <c r="W297" t="e">
        <f ca="1">IF(A297="","",IF(E297="","",#REF!))</f>
        <v>#REF!</v>
      </c>
      <c r="X297" t="e">
        <f ca="1">IF(A297="","",IF(E297="","",#REF!))</f>
        <v>#REF!</v>
      </c>
      <c r="Y297" s="39" t="e">
        <f ca="1">IF(A297="","",IF(E297="","",#REF!))</f>
        <v>#REF!</v>
      </c>
      <c r="Z297" t="e">
        <f ca="1">IF(A297="","",IF(E297="","",#REF!))</f>
        <v>#REF!</v>
      </c>
      <c r="AA297" t="e">
        <f ca="1">IF(A297="","",IF(E297="","",#REF!))</f>
        <v>#REF!</v>
      </c>
      <c r="AB297" t="e">
        <f ca="1">IF(A297="","",IF(E297="","",#REF!))</f>
        <v>#REF!</v>
      </c>
      <c r="AC297" t="e">
        <f t="shared" ca="1" si="26"/>
        <v>#REF!</v>
      </c>
    </row>
    <row r="298" spans="1:29" x14ac:dyDescent="0.35">
      <c r="A298" t="e" cm="1">
        <f t="array" aca="1" ref="A298" ca="1">IF(A297="","",IF(OR(AND(A297+1&gt;=$AF$1,A297+1&lt;=$AF$2),AND(A297+1&gt;=$AF$6,A297+1&lt;=$AF$7),AND(A297+1&gt;=$AF$3,A297+1&lt;=$AF$4),AND(A297+1&gt;=$AF$8,A297+1&lt;=$AF$9),A297+1=$AF$5),IF(NOT(ISBLANK(INDIRECT("template!"&amp;"P"&amp;A297+1))),A297+1,IF(NOT(ISBLANK(INDIRECT("template!"&amp;"P"&amp;A297+2))),A297+2,A297+3)),IF(A297=$AF$2,$AF$3,IF(A297=$AF$4,$AF$5,IF(A297=$AF$5,$AF$6,IF(A297=$AF$7,$AF$8,""))))))</f>
        <v>#REF!</v>
      </c>
      <c r="B298" t="e">
        <f t="shared" ca="1" si="21"/>
        <v>#REF!</v>
      </c>
      <c r="C298" t="e" cm="1">
        <f t="array" aca="1" ref="C298" ca="1">IF(A298="","",IF(B298="safety","safety costs",INDIRECT("template!"&amp;"B"&amp;A298)))</f>
        <v>#REF!</v>
      </c>
      <c r="D298" t="e" cm="1">
        <f t="array" aca="1" ref="D298" ca="1">IF(OR(A298="",B298="safety"),"",INDIRECT("template!"&amp;"C"&amp;A298))</f>
        <v>#REF!</v>
      </c>
      <c r="E298" t="e" cm="1">
        <f t="array" aca="1" ref="E298" ca="1">IF(A298="","",IF(OR(A298=A297+1,A298=A297+2),E297,INDIRECT("template!"&amp;"D"&amp;A298-2)))</f>
        <v>#REF!</v>
      </c>
      <c r="F298" t="e" cm="1">
        <f t="array" aca="1" ref="F298" ca="1">IF(OR(A298="",B298="safety"),"",IF(ISBLANK(IF(A298=A297+1,F297,INDIRECT("template!"&amp;"D"&amp;A298-1))),"",IF(A298=A297+1,F297,INDIRECT("template!"&amp;"D"&amp;A298-1))))</f>
        <v>#REF!</v>
      </c>
      <c r="G298" t="e" cm="1">
        <f t="array" aca="1" ref="G298" ca="1">IF(OR(A298="",B298="safety"),"",IF(ISBLANK(INDIRECT("template!"&amp;"D"&amp;A298)),"",INDIRECT("template!"&amp;"D"&amp;A298)))</f>
        <v>#REF!</v>
      </c>
      <c r="H298" t="e" cm="1">
        <f t="array" aca="1" ref="H298" ca="1">IF(OR(A298="",B298="safety"),"",IF(ISBLANK(INDIRECT("template!"&amp;"E"&amp;A298)),"",INDIRECT("template!"&amp;"E"&amp;A298)))</f>
        <v>#REF!</v>
      </c>
      <c r="I298" t="e" cm="1">
        <f t="array" aca="1" ref="I298" ca="1">IF(OR(A298="",B298="safety"),"",IF(ISBLANK(INDIRECT("template!"&amp;"F"&amp;A298)),"",INDIRECT("template!"&amp;"F"&amp;A298)))</f>
        <v>#REF!</v>
      </c>
      <c r="J298" t="e" cm="1">
        <f t="array" aca="1" ref="J298" ca="1">IF(OR(A298="",B298="safety"),"",IF(ISBLANK(INDIRECT("template!"&amp;"G"&amp;A298)),"",INDIRECT("template!"&amp;"G"&amp;A298)))</f>
        <v>#REF!</v>
      </c>
      <c r="K298" t="e" cm="1">
        <f t="array" aca="1" ref="K298" ca="1">IF(OR(A298="",B298="safety"),"",IF(ISBLANK(INDIRECT("template!"&amp;"H"&amp;A298)),"",INDIRECT("template!"&amp;"H"&amp;A298)))</f>
        <v>#REF!</v>
      </c>
      <c r="L298" t="e" cm="1">
        <f t="array" aca="1" ref="L298" ca="1">IF(OR(A298="",B298="safety"),"",INDIRECT("template!"&amp;"I"&amp;A298))</f>
        <v>#REF!</v>
      </c>
      <c r="M298" t="e" cm="1">
        <f t="array" aca="1" ref="M298" ca="1">IF(OR(A298="",B298="safety"),"",INDIRECT("template!"&amp;"J"&amp;A298))</f>
        <v>#REF!</v>
      </c>
      <c r="N298" t="e" cm="1">
        <f t="array" aca="1" ref="N298" ca="1">IF(OR(A298="",B298="safety"),"",IF(ISBLANK(INDIRECT("template!"&amp;"K"&amp;A298)),"",INDIRECT("template!"&amp;"K"&amp;A298)))</f>
        <v>#REF!</v>
      </c>
      <c r="O298" t="e" cm="1">
        <f t="array" aca="1" ref="O298" ca="1">IF(OR(A298="",B298="safety"),"",INDIRECT("template!"&amp;"L"&amp;A298))</f>
        <v>#REF!</v>
      </c>
      <c r="P298" t="e" cm="1">
        <f t="array" aca="1" ref="P298" ca="1">IF(OR(A298="",B298="safety"),"",INDIRECT("template!"&amp;"M"&amp;A298))</f>
        <v>#REF!</v>
      </c>
      <c r="Q298" t="e">
        <f t="shared" ca="1" si="22"/>
        <v>#REF!</v>
      </c>
      <c r="R298" t="e">
        <f t="shared" ca="1" si="23"/>
        <v>#REF!</v>
      </c>
      <c r="S298" t="e">
        <f t="shared" ca="1" si="24"/>
        <v>#REF!</v>
      </c>
      <c r="T298" t="e">
        <f t="shared" ca="1" si="25"/>
        <v>#REF!</v>
      </c>
      <c r="U298" t="e" cm="1">
        <f t="array" aca="1" ref="U298" ca="1">IF(A298="","",IF(E298="","",IF(B298="safety",INDIRECT("template!"&amp;"P"&amp;A298),Q298+R298)))</f>
        <v>#REF!</v>
      </c>
      <c r="V298" t="e" cm="1">
        <f t="array" aca="1" ref="V298" ca="1">IF(A298="","",IF(E298="","",IF(B298="safety",INDIRECT("template!"&amp;"P"&amp;A298),S298+T298)))</f>
        <v>#REF!</v>
      </c>
      <c r="W298" t="e">
        <f ca="1">IF(A298="","",IF(E298="","",#REF!))</f>
        <v>#REF!</v>
      </c>
      <c r="X298" t="e">
        <f ca="1">IF(A298="","",IF(E298="","",#REF!))</f>
        <v>#REF!</v>
      </c>
      <c r="Y298" s="39" t="e">
        <f ca="1">IF(A298="","",IF(E298="","",#REF!))</f>
        <v>#REF!</v>
      </c>
      <c r="Z298" t="e">
        <f ca="1">IF(A298="","",IF(E298="","",#REF!))</f>
        <v>#REF!</v>
      </c>
      <c r="AA298" t="e">
        <f ca="1">IF(A298="","",IF(E298="","",#REF!))</f>
        <v>#REF!</v>
      </c>
      <c r="AB298" t="e">
        <f ca="1">IF(A298="","",IF(E298="","",#REF!))</f>
        <v>#REF!</v>
      </c>
      <c r="AC298" t="e">
        <f t="shared" ca="1" si="26"/>
        <v>#REF!</v>
      </c>
    </row>
    <row r="299" spans="1:29" x14ac:dyDescent="0.35">
      <c r="A299" t="e" cm="1">
        <f t="array" aca="1" ref="A299" ca="1">IF(A298="","",IF(OR(AND(A298+1&gt;=$AF$1,A298+1&lt;=$AF$2),AND(A298+1&gt;=$AF$6,A298+1&lt;=$AF$7),AND(A298+1&gt;=$AF$3,A298+1&lt;=$AF$4),AND(A298+1&gt;=$AF$8,A298+1&lt;=$AF$9),A298+1=$AF$5),IF(NOT(ISBLANK(INDIRECT("template!"&amp;"P"&amp;A298+1))),A298+1,IF(NOT(ISBLANK(INDIRECT("template!"&amp;"P"&amp;A298+2))),A298+2,A298+3)),IF(A298=$AF$2,$AF$3,IF(A298=$AF$4,$AF$5,IF(A298=$AF$5,$AF$6,IF(A298=$AF$7,$AF$8,""))))))</f>
        <v>#REF!</v>
      </c>
      <c r="B299" t="e">
        <f t="shared" ca="1" si="21"/>
        <v>#REF!</v>
      </c>
      <c r="C299" t="e" cm="1">
        <f t="array" aca="1" ref="C299" ca="1">IF(A299="","",IF(B299="safety","safety costs",INDIRECT("template!"&amp;"B"&amp;A299)))</f>
        <v>#REF!</v>
      </c>
      <c r="D299" t="e" cm="1">
        <f t="array" aca="1" ref="D299" ca="1">IF(OR(A299="",B299="safety"),"",INDIRECT("template!"&amp;"C"&amp;A299))</f>
        <v>#REF!</v>
      </c>
      <c r="E299" t="e" cm="1">
        <f t="array" aca="1" ref="E299" ca="1">IF(A299="","",IF(OR(A299=A298+1,A299=A298+2),E298,INDIRECT("template!"&amp;"D"&amp;A299-2)))</f>
        <v>#REF!</v>
      </c>
      <c r="F299" t="e" cm="1">
        <f t="array" aca="1" ref="F299" ca="1">IF(OR(A299="",B299="safety"),"",IF(ISBLANK(IF(A299=A298+1,F298,INDIRECT("template!"&amp;"D"&amp;A299-1))),"",IF(A299=A298+1,F298,INDIRECT("template!"&amp;"D"&amp;A299-1))))</f>
        <v>#REF!</v>
      </c>
      <c r="G299" t="e" cm="1">
        <f t="array" aca="1" ref="G299" ca="1">IF(OR(A299="",B299="safety"),"",IF(ISBLANK(INDIRECT("template!"&amp;"D"&amp;A299)),"",INDIRECT("template!"&amp;"D"&amp;A299)))</f>
        <v>#REF!</v>
      </c>
      <c r="H299" t="e" cm="1">
        <f t="array" aca="1" ref="H299" ca="1">IF(OR(A299="",B299="safety"),"",IF(ISBLANK(INDIRECT("template!"&amp;"E"&amp;A299)),"",INDIRECT("template!"&amp;"E"&amp;A299)))</f>
        <v>#REF!</v>
      </c>
      <c r="I299" t="e" cm="1">
        <f t="array" aca="1" ref="I299" ca="1">IF(OR(A299="",B299="safety"),"",IF(ISBLANK(INDIRECT("template!"&amp;"F"&amp;A299)),"",INDIRECT("template!"&amp;"F"&amp;A299)))</f>
        <v>#REF!</v>
      </c>
      <c r="J299" t="e" cm="1">
        <f t="array" aca="1" ref="J299" ca="1">IF(OR(A299="",B299="safety"),"",IF(ISBLANK(INDIRECT("template!"&amp;"G"&amp;A299)),"",INDIRECT("template!"&amp;"G"&amp;A299)))</f>
        <v>#REF!</v>
      </c>
      <c r="K299" t="e" cm="1">
        <f t="array" aca="1" ref="K299" ca="1">IF(OR(A299="",B299="safety"),"",IF(ISBLANK(INDIRECT("template!"&amp;"H"&amp;A299)),"",INDIRECT("template!"&amp;"H"&amp;A299)))</f>
        <v>#REF!</v>
      </c>
      <c r="L299" t="e" cm="1">
        <f t="array" aca="1" ref="L299" ca="1">IF(OR(A299="",B299="safety"),"",INDIRECT("template!"&amp;"I"&amp;A299))</f>
        <v>#REF!</v>
      </c>
      <c r="M299" t="e" cm="1">
        <f t="array" aca="1" ref="M299" ca="1">IF(OR(A299="",B299="safety"),"",INDIRECT("template!"&amp;"J"&amp;A299))</f>
        <v>#REF!</v>
      </c>
      <c r="N299" t="e" cm="1">
        <f t="array" aca="1" ref="N299" ca="1">IF(OR(A299="",B299="safety"),"",IF(ISBLANK(INDIRECT("template!"&amp;"K"&amp;A299)),"",INDIRECT("template!"&amp;"K"&amp;A299)))</f>
        <v>#REF!</v>
      </c>
      <c r="O299" t="e" cm="1">
        <f t="array" aca="1" ref="O299" ca="1">IF(OR(A299="",B299="safety"),"",INDIRECT("template!"&amp;"L"&amp;A299))</f>
        <v>#REF!</v>
      </c>
      <c r="P299" t="e" cm="1">
        <f t="array" aca="1" ref="P299" ca="1">IF(OR(A299="",B299="safety"),"",INDIRECT("template!"&amp;"M"&amp;A299))</f>
        <v>#REF!</v>
      </c>
      <c r="Q299" t="e">
        <f t="shared" ca="1" si="22"/>
        <v>#REF!</v>
      </c>
      <c r="R299" t="e">
        <f t="shared" ca="1" si="23"/>
        <v>#REF!</v>
      </c>
      <c r="S299" t="e">
        <f t="shared" ca="1" si="24"/>
        <v>#REF!</v>
      </c>
      <c r="T299" t="e">
        <f t="shared" ca="1" si="25"/>
        <v>#REF!</v>
      </c>
      <c r="U299" t="e" cm="1">
        <f t="array" aca="1" ref="U299" ca="1">IF(A299="","",IF(E299="","",IF(B299="safety",INDIRECT("template!"&amp;"P"&amp;A299),Q299+R299)))</f>
        <v>#REF!</v>
      </c>
      <c r="V299" t="e" cm="1">
        <f t="array" aca="1" ref="V299" ca="1">IF(A299="","",IF(E299="","",IF(B299="safety",INDIRECT("template!"&amp;"P"&amp;A299),S299+T299)))</f>
        <v>#REF!</v>
      </c>
      <c r="W299" t="e">
        <f ca="1">IF(A299="","",IF(E299="","",#REF!))</f>
        <v>#REF!</v>
      </c>
      <c r="X299" t="e">
        <f ca="1">IF(A299="","",IF(E299="","",#REF!))</f>
        <v>#REF!</v>
      </c>
      <c r="Y299" s="39" t="e">
        <f ca="1">IF(A299="","",IF(E299="","",#REF!))</f>
        <v>#REF!</v>
      </c>
      <c r="Z299" t="e">
        <f ca="1">IF(A299="","",IF(E299="","",#REF!))</f>
        <v>#REF!</v>
      </c>
      <c r="AA299" t="e">
        <f ca="1">IF(A299="","",IF(E299="","",#REF!))</f>
        <v>#REF!</v>
      </c>
      <c r="AB299" t="e">
        <f ca="1">IF(A299="","",IF(E299="","",#REF!))</f>
        <v>#REF!</v>
      </c>
      <c r="AC299" t="e">
        <f t="shared" ca="1" si="26"/>
        <v>#REF!</v>
      </c>
    </row>
    <row r="300" spans="1:29" x14ac:dyDescent="0.35">
      <c r="A300" t="e" cm="1">
        <f t="array" aca="1" ref="A300" ca="1">IF(A299="","",IF(OR(AND(A299+1&gt;=$AF$1,A299+1&lt;=$AF$2),AND(A299+1&gt;=$AF$6,A299+1&lt;=$AF$7),AND(A299+1&gt;=$AF$3,A299+1&lt;=$AF$4),AND(A299+1&gt;=$AF$8,A299+1&lt;=$AF$9),A299+1=$AF$5),IF(NOT(ISBLANK(INDIRECT("template!"&amp;"P"&amp;A299+1))),A299+1,IF(NOT(ISBLANK(INDIRECT("template!"&amp;"P"&amp;A299+2))),A299+2,A299+3)),IF(A299=$AF$2,$AF$3,IF(A299=$AF$4,$AF$5,IF(A299=$AF$5,$AF$6,IF(A299=$AF$7,$AF$8,""))))))</f>
        <v>#REF!</v>
      </c>
      <c r="B300" t="e">
        <f t="shared" ca="1" si="21"/>
        <v>#REF!</v>
      </c>
      <c r="C300" t="e" cm="1">
        <f t="array" aca="1" ref="C300" ca="1">IF(A300="","",IF(B300="safety","safety costs",INDIRECT("template!"&amp;"B"&amp;A300)))</f>
        <v>#REF!</v>
      </c>
      <c r="D300" t="e" cm="1">
        <f t="array" aca="1" ref="D300" ca="1">IF(OR(A300="",B300="safety"),"",INDIRECT("template!"&amp;"C"&amp;A300))</f>
        <v>#REF!</v>
      </c>
      <c r="E300" t="e" cm="1">
        <f t="array" aca="1" ref="E300" ca="1">IF(A300="","",IF(OR(A300=A299+1,A300=A299+2),E299,INDIRECT("template!"&amp;"D"&amp;A300-2)))</f>
        <v>#REF!</v>
      </c>
      <c r="F300" t="e" cm="1">
        <f t="array" aca="1" ref="F300" ca="1">IF(OR(A300="",B300="safety"),"",IF(ISBLANK(IF(A300=A299+1,F299,INDIRECT("template!"&amp;"D"&amp;A300-1))),"",IF(A300=A299+1,F299,INDIRECT("template!"&amp;"D"&amp;A300-1))))</f>
        <v>#REF!</v>
      </c>
      <c r="G300" t="e" cm="1">
        <f t="array" aca="1" ref="G300" ca="1">IF(OR(A300="",B300="safety"),"",IF(ISBLANK(INDIRECT("template!"&amp;"D"&amp;A300)),"",INDIRECT("template!"&amp;"D"&amp;A300)))</f>
        <v>#REF!</v>
      </c>
      <c r="H300" t="e" cm="1">
        <f t="array" aca="1" ref="H300" ca="1">IF(OR(A300="",B300="safety"),"",IF(ISBLANK(INDIRECT("template!"&amp;"E"&amp;A300)),"",INDIRECT("template!"&amp;"E"&amp;A300)))</f>
        <v>#REF!</v>
      </c>
      <c r="I300" t="e" cm="1">
        <f t="array" aca="1" ref="I300" ca="1">IF(OR(A300="",B300="safety"),"",IF(ISBLANK(INDIRECT("template!"&amp;"F"&amp;A300)),"",INDIRECT("template!"&amp;"F"&amp;A300)))</f>
        <v>#REF!</v>
      </c>
      <c r="J300" t="e" cm="1">
        <f t="array" aca="1" ref="J300" ca="1">IF(OR(A300="",B300="safety"),"",IF(ISBLANK(INDIRECT("template!"&amp;"G"&amp;A300)),"",INDIRECT("template!"&amp;"G"&amp;A300)))</f>
        <v>#REF!</v>
      </c>
      <c r="K300" t="e" cm="1">
        <f t="array" aca="1" ref="K300" ca="1">IF(OR(A300="",B300="safety"),"",IF(ISBLANK(INDIRECT("template!"&amp;"H"&amp;A300)),"",INDIRECT("template!"&amp;"H"&amp;A300)))</f>
        <v>#REF!</v>
      </c>
      <c r="L300" t="e" cm="1">
        <f t="array" aca="1" ref="L300" ca="1">IF(OR(A300="",B300="safety"),"",INDIRECT("template!"&amp;"I"&amp;A300))</f>
        <v>#REF!</v>
      </c>
      <c r="M300" t="e" cm="1">
        <f t="array" aca="1" ref="M300" ca="1">IF(OR(A300="",B300="safety"),"",INDIRECT("template!"&amp;"J"&amp;A300))</f>
        <v>#REF!</v>
      </c>
      <c r="N300" t="e" cm="1">
        <f t="array" aca="1" ref="N300" ca="1">IF(OR(A300="",B300="safety"),"",IF(ISBLANK(INDIRECT("template!"&amp;"K"&amp;A300)),"",INDIRECT("template!"&amp;"K"&amp;A300)))</f>
        <v>#REF!</v>
      </c>
      <c r="O300" t="e" cm="1">
        <f t="array" aca="1" ref="O300" ca="1">IF(OR(A300="",B300="safety"),"",INDIRECT("template!"&amp;"L"&amp;A300))</f>
        <v>#REF!</v>
      </c>
      <c r="P300" t="e" cm="1">
        <f t="array" aca="1" ref="P300" ca="1">IF(OR(A300="",B300="safety"),"",INDIRECT("template!"&amp;"M"&amp;A300))</f>
        <v>#REF!</v>
      </c>
      <c r="Q300" t="e">
        <f t="shared" ca="1" si="22"/>
        <v>#REF!</v>
      </c>
      <c r="R300" t="e">
        <f t="shared" ca="1" si="23"/>
        <v>#REF!</v>
      </c>
      <c r="S300" t="e">
        <f t="shared" ca="1" si="24"/>
        <v>#REF!</v>
      </c>
      <c r="T300" t="e">
        <f t="shared" ca="1" si="25"/>
        <v>#REF!</v>
      </c>
      <c r="U300" t="e" cm="1">
        <f t="array" aca="1" ref="U300" ca="1">IF(A300="","",IF(E300="","",IF(B300="safety",INDIRECT("template!"&amp;"P"&amp;A300),Q300+R300)))</f>
        <v>#REF!</v>
      </c>
      <c r="V300" t="e" cm="1">
        <f t="array" aca="1" ref="V300" ca="1">IF(A300="","",IF(E300="","",IF(B300="safety",INDIRECT("template!"&amp;"P"&amp;A300),S300+T300)))</f>
        <v>#REF!</v>
      </c>
      <c r="W300" t="e">
        <f ca="1">IF(A300="","",IF(E300="","",#REF!))</f>
        <v>#REF!</v>
      </c>
      <c r="X300" t="e">
        <f ca="1">IF(A300="","",IF(E300="","",#REF!))</f>
        <v>#REF!</v>
      </c>
      <c r="Y300" s="39" t="e">
        <f ca="1">IF(A300="","",IF(E300="","",#REF!))</f>
        <v>#REF!</v>
      </c>
      <c r="Z300" t="e">
        <f ca="1">IF(A300="","",IF(E300="","",#REF!))</f>
        <v>#REF!</v>
      </c>
      <c r="AA300" t="e">
        <f ca="1">IF(A300="","",IF(E300="","",#REF!))</f>
        <v>#REF!</v>
      </c>
      <c r="AB300" t="e">
        <f ca="1">IF(A300="","",IF(E300="","",#REF!))</f>
        <v>#REF!</v>
      </c>
      <c r="AC300" t="e">
        <f t="shared" ca="1" si="26"/>
        <v>#REF!</v>
      </c>
    </row>
    <row r="301" spans="1:29" x14ac:dyDescent="0.35">
      <c r="A301" t="e" cm="1">
        <f t="array" aca="1" ref="A301" ca="1">IF(A300="","",IF(OR(AND(A300+1&gt;=$AF$1,A300+1&lt;=$AF$2),AND(A300+1&gt;=$AF$6,A300+1&lt;=$AF$7),AND(A300+1&gt;=$AF$3,A300+1&lt;=$AF$4),AND(A300+1&gt;=$AF$8,A300+1&lt;=$AF$9),A300+1=$AF$5),IF(NOT(ISBLANK(INDIRECT("template!"&amp;"P"&amp;A300+1))),A300+1,IF(NOT(ISBLANK(INDIRECT("template!"&amp;"P"&amp;A300+2))),A300+2,A300+3)),IF(A300=$AF$2,$AF$3,IF(A300=$AF$4,$AF$5,IF(A300=$AF$5,$AF$6,IF(A300=$AF$7,$AF$8,""))))))</f>
        <v>#REF!</v>
      </c>
      <c r="B301" t="e">
        <f t="shared" ca="1" si="21"/>
        <v>#REF!</v>
      </c>
      <c r="C301" t="e" cm="1">
        <f t="array" aca="1" ref="C301" ca="1">IF(A301="","",IF(B301="safety","safety costs",INDIRECT("template!"&amp;"B"&amp;A301)))</f>
        <v>#REF!</v>
      </c>
      <c r="D301" t="e" cm="1">
        <f t="array" aca="1" ref="D301" ca="1">IF(OR(A301="",B301="safety"),"",INDIRECT("template!"&amp;"C"&amp;A301))</f>
        <v>#REF!</v>
      </c>
      <c r="E301" t="e" cm="1">
        <f t="array" aca="1" ref="E301" ca="1">IF(A301="","",IF(OR(A301=A300+1,A301=A300+2),E300,INDIRECT("template!"&amp;"D"&amp;A301-2)))</f>
        <v>#REF!</v>
      </c>
      <c r="F301" t="e" cm="1">
        <f t="array" aca="1" ref="F301" ca="1">IF(OR(A301="",B301="safety"),"",IF(ISBLANK(IF(A301=A300+1,F300,INDIRECT("template!"&amp;"D"&amp;A301-1))),"",IF(A301=A300+1,F300,INDIRECT("template!"&amp;"D"&amp;A301-1))))</f>
        <v>#REF!</v>
      </c>
      <c r="G301" t="e" cm="1">
        <f t="array" aca="1" ref="G301" ca="1">IF(OR(A301="",B301="safety"),"",IF(ISBLANK(INDIRECT("template!"&amp;"D"&amp;A301)),"",INDIRECT("template!"&amp;"D"&amp;A301)))</f>
        <v>#REF!</v>
      </c>
      <c r="H301" t="e" cm="1">
        <f t="array" aca="1" ref="H301" ca="1">IF(OR(A301="",B301="safety"),"",IF(ISBLANK(INDIRECT("template!"&amp;"E"&amp;A301)),"",INDIRECT("template!"&amp;"E"&amp;A301)))</f>
        <v>#REF!</v>
      </c>
      <c r="I301" t="e" cm="1">
        <f t="array" aca="1" ref="I301" ca="1">IF(OR(A301="",B301="safety"),"",IF(ISBLANK(INDIRECT("template!"&amp;"F"&amp;A301)),"",INDIRECT("template!"&amp;"F"&amp;A301)))</f>
        <v>#REF!</v>
      </c>
      <c r="J301" t="e" cm="1">
        <f t="array" aca="1" ref="J301" ca="1">IF(OR(A301="",B301="safety"),"",IF(ISBLANK(INDIRECT("template!"&amp;"G"&amp;A301)),"",INDIRECT("template!"&amp;"G"&amp;A301)))</f>
        <v>#REF!</v>
      </c>
      <c r="K301" t="e" cm="1">
        <f t="array" aca="1" ref="K301" ca="1">IF(OR(A301="",B301="safety"),"",IF(ISBLANK(INDIRECT("template!"&amp;"H"&amp;A301)),"",INDIRECT("template!"&amp;"H"&amp;A301)))</f>
        <v>#REF!</v>
      </c>
      <c r="L301" t="e" cm="1">
        <f t="array" aca="1" ref="L301" ca="1">IF(OR(A301="",B301="safety"),"",INDIRECT("template!"&amp;"I"&amp;A301))</f>
        <v>#REF!</v>
      </c>
      <c r="M301" t="e" cm="1">
        <f t="array" aca="1" ref="M301" ca="1">IF(OR(A301="",B301="safety"),"",INDIRECT("template!"&amp;"J"&amp;A301))</f>
        <v>#REF!</v>
      </c>
      <c r="N301" t="e" cm="1">
        <f t="array" aca="1" ref="N301" ca="1">IF(OR(A301="",B301="safety"),"",IF(ISBLANK(INDIRECT("template!"&amp;"K"&amp;A301)),"",INDIRECT("template!"&amp;"K"&amp;A301)))</f>
        <v>#REF!</v>
      </c>
      <c r="O301" t="e" cm="1">
        <f t="array" aca="1" ref="O301" ca="1">IF(OR(A301="",B301="safety"),"",INDIRECT("template!"&amp;"L"&amp;A301))</f>
        <v>#REF!</v>
      </c>
      <c r="P301" t="e" cm="1">
        <f t="array" aca="1" ref="P301" ca="1">IF(OR(A301="",B301="safety"),"",INDIRECT("template!"&amp;"M"&amp;A301))</f>
        <v>#REF!</v>
      </c>
      <c r="Q301" t="e">
        <f t="shared" ca="1" si="22"/>
        <v>#REF!</v>
      </c>
      <c r="R301" t="e">
        <f t="shared" ca="1" si="23"/>
        <v>#REF!</v>
      </c>
      <c r="S301" t="e">
        <f t="shared" ca="1" si="24"/>
        <v>#REF!</v>
      </c>
      <c r="T301" t="e">
        <f t="shared" ca="1" si="25"/>
        <v>#REF!</v>
      </c>
      <c r="U301" t="e" cm="1">
        <f t="array" aca="1" ref="U301" ca="1">IF(A301="","",IF(E301="","",IF(B301="safety",INDIRECT("template!"&amp;"P"&amp;A301),Q301+R301)))</f>
        <v>#REF!</v>
      </c>
      <c r="V301" t="e" cm="1">
        <f t="array" aca="1" ref="V301" ca="1">IF(A301="","",IF(E301="","",IF(B301="safety",INDIRECT("template!"&amp;"P"&amp;A301),S301+T301)))</f>
        <v>#REF!</v>
      </c>
      <c r="W301" t="e">
        <f ca="1">IF(A301="","",IF(E301="","",#REF!))</f>
        <v>#REF!</v>
      </c>
      <c r="X301" t="e">
        <f ca="1">IF(A301="","",IF(E301="","",#REF!))</f>
        <v>#REF!</v>
      </c>
      <c r="Y301" s="39" t="e">
        <f ca="1">IF(A301="","",IF(E301="","",#REF!))</f>
        <v>#REF!</v>
      </c>
      <c r="Z301" t="e">
        <f ca="1">IF(A301="","",IF(E301="","",#REF!))</f>
        <v>#REF!</v>
      </c>
      <c r="AA301" t="e">
        <f ca="1">IF(A301="","",IF(E301="","",#REF!))</f>
        <v>#REF!</v>
      </c>
      <c r="AB301" t="e">
        <f ca="1">IF(A301="","",IF(E301="","",#REF!))</f>
        <v>#REF!</v>
      </c>
      <c r="AC301" t="e">
        <f t="shared" ca="1" si="26"/>
        <v>#REF!</v>
      </c>
    </row>
    <row r="302" spans="1:29" x14ac:dyDescent="0.35">
      <c r="A302" t="e" cm="1">
        <f t="array" aca="1" ref="A302" ca="1">IF(A301="","",IF(OR(AND(A301+1&gt;=$AF$1,A301+1&lt;=$AF$2),AND(A301+1&gt;=$AF$6,A301+1&lt;=$AF$7),AND(A301+1&gt;=$AF$3,A301+1&lt;=$AF$4),AND(A301+1&gt;=$AF$8,A301+1&lt;=$AF$9),A301+1=$AF$5),IF(NOT(ISBLANK(INDIRECT("template!"&amp;"P"&amp;A301+1))),A301+1,IF(NOT(ISBLANK(INDIRECT("template!"&amp;"P"&amp;A301+2))),A301+2,A301+3)),IF(A301=$AF$2,$AF$3,IF(A301=$AF$4,$AF$5,IF(A301=$AF$5,$AF$6,IF(A301=$AF$7,$AF$8,""))))))</f>
        <v>#REF!</v>
      </c>
      <c r="B302" t="e">
        <f t="shared" ca="1" si="21"/>
        <v>#REF!</v>
      </c>
      <c r="C302" t="e" cm="1">
        <f t="array" aca="1" ref="C302" ca="1">IF(A302="","",IF(B302="safety","safety costs",INDIRECT("template!"&amp;"B"&amp;A302)))</f>
        <v>#REF!</v>
      </c>
      <c r="D302" t="e" cm="1">
        <f t="array" aca="1" ref="D302" ca="1">IF(OR(A302="",B302="safety"),"",INDIRECT("template!"&amp;"C"&amp;A302))</f>
        <v>#REF!</v>
      </c>
      <c r="E302" t="e" cm="1">
        <f t="array" aca="1" ref="E302" ca="1">IF(A302="","",IF(OR(A302=A301+1,A302=A301+2),E301,INDIRECT("template!"&amp;"D"&amp;A302-2)))</f>
        <v>#REF!</v>
      </c>
      <c r="F302" t="e" cm="1">
        <f t="array" aca="1" ref="F302" ca="1">IF(OR(A302="",B302="safety"),"",IF(ISBLANK(IF(A302=A301+1,F301,INDIRECT("template!"&amp;"D"&amp;A302-1))),"",IF(A302=A301+1,F301,INDIRECT("template!"&amp;"D"&amp;A302-1))))</f>
        <v>#REF!</v>
      </c>
      <c r="G302" t="e" cm="1">
        <f t="array" aca="1" ref="G302" ca="1">IF(OR(A302="",B302="safety"),"",IF(ISBLANK(INDIRECT("template!"&amp;"D"&amp;A302)),"",INDIRECT("template!"&amp;"D"&amp;A302)))</f>
        <v>#REF!</v>
      </c>
      <c r="H302" t="e" cm="1">
        <f t="array" aca="1" ref="H302" ca="1">IF(OR(A302="",B302="safety"),"",IF(ISBLANK(INDIRECT("template!"&amp;"E"&amp;A302)),"",INDIRECT("template!"&amp;"E"&amp;A302)))</f>
        <v>#REF!</v>
      </c>
      <c r="I302" t="e" cm="1">
        <f t="array" aca="1" ref="I302" ca="1">IF(OR(A302="",B302="safety"),"",IF(ISBLANK(INDIRECT("template!"&amp;"F"&amp;A302)),"",INDIRECT("template!"&amp;"F"&amp;A302)))</f>
        <v>#REF!</v>
      </c>
      <c r="J302" t="e" cm="1">
        <f t="array" aca="1" ref="J302" ca="1">IF(OR(A302="",B302="safety"),"",IF(ISBLANK(INDIRECT("template!"&amp;"G"&amp;A302)),"",INDIRECT("template!"&amp;"G"&amp;A302)))</f>
        <v>#REF!</v>
      </c>
      <c r="K302" t="e" cm="1">
        <f t="array" aca="1" ref="K302" ca="1">IF(OR(A302="",B302="safety"),"",IF(ISBLANK(INDIRECT("template!"&amp;"H"&amp;A302)),"",INDIRECT("template!"&amp;"H"&amp;A302)))</f>
        <v>#REF!</v>
      </c>
      <c r="L302" t="e" cm="1">
        <f t="array" aca="1" ref="L302" ca="1">IF(OR(A302="",B302="safety"),"",INDIRECT("template!"&amp;"I"&amp;A302))</f>
        <v>#REF!</v>
      </c>
      <c r="M302" t="e" cm="1">
        <f t="array" aca="1" ref="M302" ca="1">IF(OR(A302="",B302="safety"),"",INDIRECT("template!"&amp;"J"&amp;A302))</f>
        <v>#REF!</v>
      </c>
      <c r="N302" t="e" cm="1">
        <f t="array" aca="1" ref="N302" ca="1">IF(OR(A302="",B302="safety"),"",IF(ISBLANK(INDIRECT("template!"&amp;"K"&amp;A302)),"",INDIRECT("template!"&amp;"K"&amp;A302)))</f>
        <v>#REF!</v>
      </c>
      <c r="O302" t="e" cm="1">
        <f t="array" aca="1" ref="O302" ca="1">IF(OR(A302="",B302="safety"),"",INDIRECT("template!"&amp;"L"&amp;A302))</f>
        <v>#REF!</v>
      </c>
      <c r="P302" t="e" cm="1">
        <f t="array" aca="1" ref="P302" ca="1">IF(OR(A302="",B302="safety"),"",INDIRECT("template!"&amp;"M"&amp;A302))</f>
        <v>#REF!</v>
      </c>
      <c r="Q302" t="e">
        <f t="shared" ca="1" si="22"/>
        <v>#REF!</v>
      </c>
      <c r="R302" t="e">
        <f t="shared" ca="1" si="23"/>
        <v>#REF!</v>
      </c>
      <c r="S302" t="e">
        <f t="shared" ca="1" si="24"/>
        <v>#REF!</v>
      </c>
      <c r="T302" t="e">
        <f t="shared" ca="1" si="25"/>
        <v>#REF!</v>
      </c>
      <c r="U302" t="e" cm="1">
        <f t="array" aca="1" ref="U302" ca="1">IF(A302="","",IF(E302="","",IF(B302="safety",INDIRECT("template!"&amp;"P"&amp;A302),Q302+R302)))</f>
        <v>#REF!</v>
      </c>
      <c r="V302" t="e" cm="1">
        <f t="array" aca="1" ref="V302" ca="1">IF(A302="","",IF(E302="","",IF(B302="safety",INDIRECT("template!"&amp;"P"&amp;A302),S302+T302)))</f>
        <v>#REF!</v>
      </c>
      <c r="W302" t="e">
        <f ca="1">IF(A302="","",IF(E302="","",#REF!))</f>
        <v>#REF!</v>
      </c>
      <c r="X302" t="e">
        <f ca="1">IF(A302="","",IF(E302="","",#REF!))</f>
        <v>#REF!</v>
      </c>
      <c r="Y302" s="39" t="e">
        <f ca="1">IF(A302="","",IF(E302="","",#REF!))</f>
        <v>#REF!</v>
      </c>
      <c r="Z302" t="e">
        <f ca="1">IF(A302="","",IF(E302="","",#REF!))</f>
        <v>#REF!</v>
      </c>
      <c r="AA302" t="e">
        <f ca="1">IF(A302="","",IF(E302="","",#REF!))</f>
        <v>#REF!</v>
      </c>
      <c r="AB302" t="e">
        <f ca="1">IF(A302="","",IF(E302="","",#REF!))</f>
        <v>#REF!</v>
      </c>
      <c r="AC302" t="e">
        <f t="shared" ca="1" si="26"/>
        <v>#REF!</v>
      </c>
    </row>
    <row r="303" spans="1:29" x14ac:dyDescent="0.35">
      <c r="A303" t="e" cm="1">
        <f t="array" aca="1" ref="A303" ca="1">IF(A302="","",IF(OR(AND(A302+1&gt;=$AF$1,A302+1&lt;=$AF$2),AND(A302+1&gt;=$AF$6,A302+1&lt;=$AF$7),AND(A302+1&gt;=$AF$3,A302+1&lt;=$AF$4),AND(A302+1&gt;=$AF$8,A302+1&lt;=$AF$9),A302+1=$AF$5),IF(NOT(ISBLANK(INDIRECT("template!"&amp;"P"&amp;A302+1))),A302+1,IF(NOT(ISBLANK(INDIRECT("template!"&amp;"P"&amp;A302+2))),A302+2,A302+3)),IF(A302=$AF$2,$AF$3,IF(A302=$AF$4,$AF$5,IF(A302=$AF$5,$AF$6,IF(A302=$AF$7,$AF$8,""))))))</f>
        <v>#REF!</v>
      </c>
      <c r="B303" t="e">
        <f t="shared" ca="1" si="21"/>
        <v>#REF!</v>
      </c>
      <c r="C303" t="e" cm="1">
        <f t="array" aca="1" ref="C303" ca="1">IF(A303="","",IF(B303="safety","safety costs",INDIRECT("template!"&amp;"B"&amp;A303)))</f>
        <v>#REF!</v>
      </c>
      <c r="D303" t="e" cm="1">
        <f t="array" aca="1" ref="D303" ca="1">IF(OR(A303="",B303="safety"),"",INDIRECT("template!"&amp;"C"&amp;A303))</f>
        <v>#REF!</v>
      </c>
      <c r="E303" t="e" cm="1">
        <f t="array" aca="1" ref="E303" ca="1">IF(A303="","",IF(OR(A303=A302+1,A303=A302+2),E302,INDIRECT("template!"&amp;"D"&amp;A303-2)))</f>
        <v>#REF!</v>
      </c>
      <c r="F303" t="e" cm="1">
        <f t="array" aca="1" ref="F303" ca="1">IF(OR(A303="",B303="safety"),"",IF(ISBLANK(IF(A303=A302+1,F302,INDIRECT("template!"&amp;"D"&amp;A303-1))),"",IF(A303=A302+1,F302,INDIRECT("template!"&amp;"D"&amp;A303-1))))</f>
        <v>#REF!</v>
      </c>
      <c r="G303" t="e" cm="1">
        <f t="array" aca="1" ref="G303" ca="1">IF(OR(A303="",B303="safety"),"",IF(ISBLANK(INDIRECT("template!"&amp;"D"&amp;A303)),"",INDIRECT("template!"&amp;"D"&amp;A303)))</f>
        <v>#REF!</v>
      </c>
      <c r="H303" t="e" cm="1">
        <f t="array" aca="1" ref="H303" ca="1">IF(OR(A303="",B303="safety"),"",IF(ISBLANK(INDIRECT("template!"&amp;"E"&amp;A303)),"",INDIRECT("template!"&amp;"E"&amp;A303)))</f>
        <v>#REF!</v>
      </c>
      <c r="I303" t="e" cm="1">
        <f t="array" aca="1" ref="I303" ca="1">IF(OR(A303="",B303="safety"),"",IF(ISBLANK(INDIRECT("template!"&amp;"F"&amp;A303)),"",INDIRECT("template!"&amp;"F"&amp;A303)))</f>
        <v>#REF!</v>
      </c>
      <c r="J303" t="e" cm="1">
        <f t="array" aca="1" ref="J303" ca="1">IF(OR(A303="",B303="safety"),"",IF(ISBLANK(INDIRECT("template!"&amp;"G"&amp;A303)),"",INDIRECT("template!"&amp;"G"&amp;A303)))</f>
        <v>#REF!</v>
      </c>
      <c r="K303" t="e" cm="1">
        <f t="array" aca="1" ref="K303" ca="1">IF(OR(A303="",B303="safety"),"",IF(ISBLANK(INDIRECT("template!"&amp;"H"&amp;A303)),"",INDIRECT("template!"&amp;"H"&amp;A303)))</f>
        <v>#REF!</v>
      </c>
      <c r="L303" t="e" cm="1">
        <f t="array" aca="1" ref="L303" ca="1">IF(OR(A303="",B303="safety"),"",INDIRECT("template!"&amp;"I"&amp;A303))</f>
        <v>#REF!</v>
      </c>
      <c r="M303" t="e" cm="1">
        <f t="array" aca="1" ref="M303" ca="1">IF(OR(A303="",B303="safety"),"",INDIRECT("template!"&amp;"J"&amp;A303))</f>
        <v>#REF!</v>
      </c>
      <c r="N303" t="e" cm="1">
        <f t="array" aca="1" ref="N303" ca="1">IF(OR(A303="",B303="safety"),"",IF(ISBLANK(INDIRECT("template!"&amp;"K"&amp;A303)),"",INDIRECT("template!"&amp;"K"&amp;A303)))</f>
        <v>#REF!</v>
      </c>
      <c r="O303" t="e" cm="1">
        <f t="array" aca="1" ref="O303" ca="1">IF(OR(A303="",B303="safety"),"",INDIRECT("template!"&amp;"L"&amp;A303))</f>
        <v>#REF!</v>
      </c>
      <c r="P303" t="e" cm="1">
        <f t="array" aca="1" ref="P303" ca="1">IF(OR(A303="",B303="safety"),"",INDIRECT("template!"&amp;"M"&amp;A303))</f>
        <v>#REF!</v>
      </c>
      <c r="Q303" t="e">
        <f t="shared" ca="1" si="22"/>
        <v>#REF!</v>
      </c>
      <c r="R303" t="e">
        <f t="shared" ca="1" si="23"/>
        <v>#REF!</v>
      </c>
      <c r="S303" t="e">
        <f t="shared" ca="1" si="24"/>
        <v>#REF!</v>
      </c>
      <c r="T303" t="e">
        <f t="shared" ca="1" si="25"/>
        <v>#REF!</v>
      </c>
      <c r="U303" t="e" cm="1">
        <f t="array" aca="1" ref="U303" ca="1">IF(A303="","",IF(E303="","",IF(B303="safety",INDIRECT("template!"&amp;"P"&amp;A303),Q303+R303)))</f>
        <v>#REF!</v>
      </c>
      <c r="V303" t="e" cm="1">
        <f t="array" aca="1" ref="V303" ca="1">IF(A303="","",IF(E303="","",IF(B303="safety",INDIRECT("template!"&amp;"P"&amp;A303),S303+T303)))</f>
        <v>#REF!</v>
      </c>
      <c r="W303" t="e">
        <f ca="1">IF(A303="","",IF(E303="","",#REF!))</f>
        <v>#REF!</v>
      </c>
      <c r="X303" t="e">
        <f ca="1">IF(A303="","",IF(E303="","",#REF!))</f>
        <v>#REF!</v>
      </c>
      <c r="Y303" s="39" t="e">
        <f ca="1">IF(A303="","",IF(E303="","",#REF!))</f>
        <v>#REF!</v>
      </c>
      <c r="Z303" t="e">
        <f ca="1">IF(A303="","",IF(E303="","",#REF!))</f>
        <v>#REF!</v>
      </c>
      <c r="AA303" t="e">
        <f ca="1">IF(A303="","",IF(E303="","",#REF!))</f>
        <v>#REF!</v>
      </c>
      <c r="AB303" t="e">
        <f ca="1">IF(A303="","",IF(E303="","",#REF!))</f>
        <v>#REF!</v>
      </c>
      <c r="AC303" t="e">
        <f t="shared" ca="1" si="26"/>
        <v>#REF!</v>
      </c>
    </row>
    <row r="304" spans="1:29" x14ac:dyDescent="0.35">
      <c r="A304" t="e" cm="1">
        <f t="array" aca="1" ref="A304" ca="1">IF(A303="","",IF(OR(AND(A303+1&gt;=$AF$1,A303+1&lt;=$AF$2),AND(A303+1&gt;=$AF$6,A303+1&lt;=$AF$7),AND(A303+1&gt;=$AF$3,A303+1&lt;=$AF$4),AND(A303+1&gt;=$AF$8,A303+1&lt;=$AF$9),A303+1=$AF$5),IF(NOT(ISBLANK(INDIRECT("template!"&amp;"P"&amp;A303+1))),A303+1,IF(NOT(ISBLANK(INDIRECT("template!"&amp;"P"&amp;A303+2))),A303+2,A303+3)),IF(A303=$AF$2,$AF$3,IF(A303=$AF$4,$AF$5,IF(A303=$AF$5,$AF$6,IF(A303=$AF$7,$AF$8,""))))))</f>
        <v>#REF!</v>
      </c>
      <c r="B304" t="e">
        <f t="shared" ca="1" si="21"/>
        <v>#REF!</v>
      </c>
      <c r="C304" t="e" cm="1">
        <f t="array" aca="1" ref="C304" ca="1">IF(A304="","",IF(B304="safety","safety costs",INDIRECT("template!"&amp;"B"&amp;A304)))</f>
        <v>#REF!</v>
      </c>
      <c r="D304" t="e" cm="1">
        <f t="array" aca="1" ref="D304" ca="1">IF(OR(A304="",B304="safety"),"",INDIRECT("template!"&amp;"C"&amp;A304))</f>
        <v>#REF!</v>
      </c>
      <c r="E304" t="e" cm="1">
        <f t="array" aca="1" ref="E304" ca="1">IF(A304="","",IF(OR(A304=A303+1,A304=A303+2),E303,INDIRECT("template!"&amp;"D"&amp;A304-2)))</f>
        <v>#REF!</v>
      </c>
      <c r="F304" t="e" cm="1">
        <f t="array" aca="1" ref="F304" ca="1">IF(OR(A304="",B304="safety"),"",IF(ISBLANK(IF(A304=A303+1,F303,INDIRECT("template!"&amp;"D"&amp;A304-1))),"",IF(A304=A303+1,F303,INDIRECT("template!"&amp;"D"&amp;A304-1))))</f>
        <v>#REF!</v>
      </c>
      <c r="G304" t="e" cm="1">
        <f t="array" aca="1" ref="G304" ca="1">IF(OR(A304="",B304="safety"),"",IF(ISBLANK(INDIRECT("template!"&amp;"D"&amp;A304)),"",INDIRECT("template!"&amp;"D"&amp;A304)))</f>
        <v>#REF!</v>
      </c>
      <c r="H304" t="e" cm="1">
        <f t="array" aca="1" ref="H304" ca="1">IF(OR(A304="",B304="safety"),"",IF(ISBLANK(INDIRECT("template!"&amp;"E"&amp;A304)),"",INDIRECT("template!"&amp;"E"&amp;A304)))</f>
        <v>#REF!</v>
      </c>
      <c r="I304" t="e" cm="1">
        <f t="array" aca="1" ref="I304" ca="1">IF(OR(A304="",B304="safety"),"",IF(ISBLANK(INDIRECT("template!"&amp;"F"&amp;A304)),"",INDIRECT("template!"&amp;"F"&amp;A304)))</f>
        <v>#REF!</v>
      </c>
      <c r="J304" t="e" cm="1">
        <f t="array" aca="1" ref="J304" ca="1">IF(OR(A304="",B304="safety"),"",IF(ISBLANK(INDIRECT("template!"&amp;"G"&amp;A304)),"",INDIRECT("template!"&amp;"G"&amp;A304)))</f>
        <v>#REF!</v>
      </c>
      <c r="K304" t="e" cm="1">
        <f t="array" aca="1" ref="K304" ca="1">IF(OR(A304="",B304="safety"),"",IF(ISBLANK(INDIRECT("template!"&amp;"H"&amp;A304)),"",INDIRECT("template!"&amp;"H"&amp;A304)))</f>
        <v>#REF!</v>
      </c>
      <c r="L304" t="e" cm="1">
        <f t="array" aca="1" ref="L304" ca="1">IF(OR(A304="",B304="safety"),"",INDIRECT("template!"&amp;"I"&amp;A304))</f>
        <v>#REF!</v>
      </c>
      <c r="M304" t="e" cm="1">
        <f t="array" aca="1" ref="M304" ca="1">IF(OR(A304="",B304="safety"),"",INDIRECT("template!"&amp;"J"&amp;A304))</f>
        <v>#REF!</v>
      </c>
      <c r="N304" t="e" cm="1">
        <f t="array" aca="1" ref="N304" ca="1">IF(OR(A304="",B304="safety"),"",IF(ISBLANK(INDIRECT("template!"&amp;"K"&amp;A304)),"",INDIRECT("template!"&amp;"K"&amp;A304)))</f>
        <v>#REF!</v>
      </c>
      <c r="O304" t="e" cm="1">
        <f t="array" aca="1" ref="O304" ca="1">IF(OR(A304="",B304="safety"),"",INDIRECT("template!"&amp;"L"&amp;A304))</f>
        <v>#REF!</v>
      </c>
      <c r="P304" t="e" cm="1">
        <f t="array" aca="1" ref="P304" ca="1">IF(OR(A304="",B304="safety"),"",INDIRECT("template!"&amp;"M"&amp;A304))</f>
        <v>#REF!</v>
      </c>
      <c r="Q304" t="e">
        <f t="shared" ca="1" si="22"/>
        <v>#REF!</v>
      </c>
      <c r="R304" t="e">
        <f t="shared" ca="1" si="23"/>
        <v>#REF!</v>
      </c>
      <c r="S304" t="e">
        <f t="shared" ca="1" si="24"/>
        <v>#REF!</v>
      </c>
      <c r="T304" t="e">
        <f t="shared" ca="1" si="25"/>
        <v>#REF!</v>
      </c>
      <c r="U304" t="e" cm="1">
        <f t="array" aca="1" ref="U304" ca="1">IF(A304="","",IF(E304="","",IF(B304="safety",INDIRECT("template!"&amp;"P"&amp;A304),Q304+R304)))</f>
        <v>#REF!</v>
      </c>
      <c r="V304" t="e" cm="1">
        <f t="array" aca="1" ref="V304" ca="1">IF(A304="","",IF(E304="","",IF(B304="safety",INDIRECT("template!"&amp;"P"&amp;A304),S304+T304)))</f>
        <v>#REF!</v>
      </c>
      <c r="W304" t="e">
        <f ca="1">IF(A304="","",IF(E304="","",#REF!))</f>
        <v>#REF!</v>
      </c>
      <c r="X304" t="e">
        <f ca="1">IF(A304="","",IF(E304="","",#REF!))</f>
        <v>#REF!</v>
      </c>
      <c r="Y304" s="39" t="e">
        <f ca="1">IF(A304="","",IF(E304="","",#REF!))</f>
        <v>#REF!</v>
      </c>
      <c r="Z304" t="e">
        <f ca="1">IF(A304="","",IF(E304="","",#REF!))</f>
        <v>#REF!</v>
      </c>
      <c r="AA304" t="e">
        <f ca="1">IF(A304="","",IF(E304="","",#REF!))</f>
        <v>#REF!</v>
      </c>
      <c r="AB304" t="e">
        <f ca="1">IF(A304="","",IF(E304="","",#REF!))</f>
        <v>#REF!</v>
      </c>
      <c r="AC304" t="e">
        <f t="shared" ca="1" si="26"/>
        <v>#REF!</v>
      </c>
    </row>
    <row r="305" spans="1:29" x14ac:dyDescent="0.35">
      <c r="A305" t="e" cm="1">
        <f t="array" aca="1" ref="A305" ca="1">IF(A304="","",IF(OR(AND(A304+1&gt;=$AF$1,A304+1&lt;=$AF$2),AND(A304+1&gt;=$AF$6,A304+1&lt;=$AF$7),AND(A304+1&gt;=$AF$3,A304+1&lt;=$AF$4),AND(A304+1&gt;=$AF$8,A304+1&lt;=$AF$9),A304+1=$AF$5),IF(NOT(ISBLANK(INDIRECT("template!"&amp;"P"&amp;A304+1))),A304+1,IF(NOT(ISBLANK(INDIRECT("template!"&amp;"P"&amp;A304+2))),A304+2,A304+3)),IF(A304=$AF$2,$AF$3,IF(A304=$AF$4,$AF$5,IF(A304=$AF$5,$AF$6,IF(A304=$AF$7,$AF$8,""))))))</f>
        <v>#REF!</v>
      </c>
      <c r="B305" t="e">
        <f t="shared" ca="1" si="21"/>
        <v>#REF!</v>
      </c>
      <c r="C305" t="e" cm="1">
        <f t="array" aca="1" ref="C305" ca="1">IF(A305="","",IF(B305="safety","safety costs",INDIRECT("template!"&amp;"B"&amp;A305)))</f>
        <v>#REF!</v>
      </c>
      <c r="D305" t="e" cm="1">
        <f t="array" aca="1" ref="D305" ca="1">IF(OR(A305="",B305="safety"),"",INDIRECT("template!"&amp;"C"&amp;A305))</f>
        <v>#REF!</v>
      </c>
      <c r="E305" t="e" cm="1">
        <f t="array" aca="1" ref="E305" ca="1">IF(A305="","",IF(OR(A305=A304+1,A305=A304+2),E304,INDIRECT("template!"&amp;"D"&amp;A305-2)))</f>
        <v>#REF!</v>
      </c>
      <c r="F305" t="e" cm="1">
        <f t="array" aca="1" ref="F305" ca="1">IF(OR(A305="",B305="safety"),"",IF(ISBLANK(IF(A305=A304+1,F304,INDIRECT("template!"&amp;"D"&amp;A305-1))),"",IF(A305=A304+1,F304,INDIRECT("template!"&amp;"D"&amp;A305-1))))</f>
        <v>#REF!</v>
      </c>
      <c r="G305" t="e" cm="1">
        <f t="array" aca="1" ref="G305" ca="1">IF(OR(A305="",B305="safety"),"",IF(ISBLANK(INDIRECT("template!"&amp;"D"&amp;A305)),"",INDIRECT("template!"&amp;"D"&amp;A305)))</f>
        <v>#REF!</v>
      </c>
      <c r="H305" t="e" cm="1">
        <f t="array" aca="1" ref="H305" ca="1">IF(OR(A305="",B305="safety"),"",IF(ISBLANK(INDIRECT("template!"&amp;"E"&amp;A305)),"",INDIRECT("template!"&amp;"E"&amp;A305)))</f>
        <v>#REF!</v>
      </c>
      <c r="I305" t="e" cm="1">
        <f t="array" aca="1" ref="I305" ca="1">IF(OR(A305="",B305="safety"),"",IF(ISBLANK(INDIRECT("template!"&amp;"F"&amp;A305)),"",INDIRECT("template!"&amp;"F"&amp;A305)))</f>
        <v>#REF!</v>
      </c>
      <c r="J305" t="e" cm="1">
        <f t="array" aca="1" ref="J305" ca="1">IF(OR(A305="",B305="safety"),"",IF(ISBLANK(INDIRECT("template!"&amp;"G"&amp;A305)),"",INDIRECT("template!"&amp;"G"&amp;A305)))</f>
        <v>#REF!</v>
      </c>
      <c r="K305" t="e" cm="1">
        <f t="array" aca="1" ref="K305" ca="1">IF(OR(A305="",B305="safety"),"",IF(ISBLANK(INDIRECT("template!"&amp;"H"&amp;A305)),"",INDIRECT("template!"&amp;"H"&amp;A305)))</f>
        <v>#REF!</v>
      </c>
      <c r="L305" t="e" cm="1">
        <f t="array" aca="1" ref="L305" ca="1">IF(OR(A305="",B305="safety"),"",INDIRECT("template!"&amp;"I"&amp;A305))</f>
        <v>#REF!</v>
      </c>
      <c r="M305" t="e" cm="1">
        <f t="array" aca="1" ref="M305" ca="1">IF(OR(A305="",B305="safety"),"",INDIRECT("template!"&amp;"J"&amp;A305))</f>
        <v>#REF!</v>
      </c>
      <c r="N305" t="e" cm="1">
        <f t="array" aca="1" ref="N305" ca="1">IF(OR(A305="",B305="safety"),"",IF(ISBLANK(INDIRECT("template!"&amp;"K"&amp;A305)),"",INDIRECT("template!"&amp;"K"&amp;A305)))</f>
        <v>#REF!</v>
      </c>
      <c r="O305" t="e" cm="1">
        <f t="array" aca="1" ref="O305" ca="1">IF(OR(A305="",B305="safety"),"",INDIRECT("template!"&amp;"L"&amp;A305))</f>
        <v>#REF!</v>
      </c>
      <c r="P305" t="e" cm="1">
        <f t="array" aca="1" ref="P305" ca="1">IF(OR(A305="",B305="safety"),"",INDIRECT("template!"&amp;"M"&amp;A305))</f>
        <v>#REF!</v>
      </c>
      <c r="Q305" t="e">
        <f t="shared" ca="1" si="22"/>
        <v>#REF!</v>
      </c>
      <c r="R305" t="e">
        <f t="shared" ca="1" si="23"/>
        <v>#REF!</v>
      </c>
      <c r="S305" t="e">
        <f t="shared" ca="1" si="24"/>
        <v>#REF!</v>
      </c>
      <c r="T305" t="e">
        <f t="shared" ca="1" si="25"/>
        <v>#REF!</v>
      </c>
      <c r="U305" t="e" cm="1">
        <f t="array" aca="1" ref="U305" ca="1">IF(A305="","",IF(E305="","",IF(B305="safety",INDIRECT("template!"&amp;"P"&amp;A305),Q305+R305)))</f>
        <v>#REF!</v>
      </c>
      <c r="V305" t="e" cm="1">
        <f t="array" aca="1" ref="V305" ca="1">IF(A305="","",IF(E305="","",IF(B305="safety",INDIRECT("template!"&amp;"P"&amp;A305),S305+T305)))</f>
        <v>#REF!</v>
      </c>
      <c r="W305" t="e">
        <f ca="1">IF(A305="","",IF(E305="","",#REF!))</f>
        <v>#REF!</v>
      </c>
      <c r="X305" t="e">
        <f ca="1">IF(A305="","",IF(E305="","",#REF!))</f>
        <v>#REF!</v>
      </c>
      <c r="Y305" s="39" t="e">
        <f ca="1">IF(A305="","",IF(E305="","",#REF!))</f>
        <v>#REF!</v>
      </c>
      <c r="Z305" t="e">
        <f ca="1">IF(A305="","",IF(E305="","",#REF!))</f>
        <v>#REF!</v>
      </c>
      <c r="AA305" t="e">
        <f ca="1">IF(A305="","",IF(E305="","",#REF!))</f>
        <v>#REF!</v>
      </c>
      <c r="AB305" t="e">
        <f ca="1">IF(A305="","",IF(E305="","",#REF!))</f>
        <v>#REF!</v>
      </c>
      <c r="AC305" t="e">
        <f t="shared" ca="1" si="26"/>
        <v>#REF!</v>
      </c>
    </row>
    <row r="306" spans="1:29" x14ac:dyDescent="0.35">
      <c r="A306" t="e" cm="1">
        <f t="array" aca="1" ref="A306" ca="1">IF(A305="","",IF(OR(AND(A305+1&gt;=$AF$1,A305+1&lt;=$AF$2),AND(A305+1&gt;=$AF$6,A305+1&lt;=$AF$7),AND(A305+1&gt;=$AF$3,A305+1&lt;=$AF$4),AND(A305+1&gt;=$AF$8,A305+1&lt;=$AF$9),A305+1=$AF$5),IF(NOT(ISBLANK(INDIRECT("template!"&amp;"P"&amp;A305+1))),A305+1,IF(NOT(ISBLANK(INDIRECT("template!"&amp;"P"&amp;A305+2))),A305+2,A305+3)),IF(A305=$AF$2,$AF$3,IF(A305=$AF$4,$AF$5,IF(A305=$AF$5,$AF$6,IF(A305=$AF$7,$AF$8,""))))))</f>
        <v>#REF!</v>
      </c>
      <c r="B306" t="e">
        <f t="shared" ca="1" si="21"/>
        <v>#REF!</v>
      </c>
      <c r="C306" t="e" cm="1">
        <f t="array" aca="1" ref="C306" ca="1">IF(A306="","",IF(B306="safety","safety costs",INDIRECT("template!"&amp;"B"&amp;A306)))</f>
        <v>#REF!</v>
      </c>
      <c r="D306" t="e" cm="1">
        <f t="array" aca="1" ref="D306" ca="1">IF(OR(A306="",B306="safety"),"",INDIRECT("template!"&amp;"C"&amp;A306))</f>
        <v>#REF!</v>
      </c>
      <c r="E306" t="e" cm="1">
        <f t="array" aca="1" ref="E306" ca="1">IF(A306="","",IF(OR(A306=A305+1,A306=A305+2),E305,INDIRECT("template!"&amp;"D"&amp;A306-2)))</f>
        <v>#REF!</v>
      </c>
      <c r="F306" t="e" cm="1">
        <f t="array" aca="1" ref="F306" ca="1">IF(OR(A306="",B306="safety"),"",IF(ISBLANK(IF(A306=A305+1,F305,INDIRECT("template!"&amp;"D"&amp;A306-1))),"",IF(A306=A305+1,F305,INDIRECT("template!"&amp;"D"&amp;A306-1))))</f>
        <v>#REF!</v>
      </c>
      <c r="G306" t="e" cm="1">
        <f t="array" aca="1" ref="G306" ca="1">IF(OR(A306="",B306="safety"),"",IF(ISBLANK(INDIRECT("template!"&amp;"D"&amp;A306)),"",INDIRECT("template!"&amp;"D"&amp;A306)))</f>
        <v>#REF!</v>
      </c>
      <c r="H306" t="e" cm="1">
        <f t="array" aca="1" ref="H306" ca="1">IF(OR(A306="",B306="safety"),"",IF(ISBLANK(INDIRECT("template!"&amp;"E"&amp;A306)),"",INDIRECT("template!"&amp;"E"&amp;A306)))</f>
        <v>#REF!</v>
      </c>
      <c r="I306" t="e" cm="1">
        <f t="array" aca="1" ref="I306" ca="1">IF(OR(A306="",B306="safety"),"",IF(ISBLANK(INDIRECT("template!"&amp;"F"&amp;A306)),"",INDIRECT("template!"&amp;"F"&amp;A306)))</f>
        <v>#REF!</v>
      </c>
      <c r="J306" t="e" cm="1">
        <f t="array" aca="1" ref="J306" ca="1">IF(OR(A306="",B306="safety"),"",IF(ISBLANK(INDIRECT("template!"&amp;"G"&amp;A306)),"",INDIRECT("template!"&amp;"G"&amp;A306)))</f>
        <v>#REF!</v>
      </c>
      <c r="K306" t="e" cm="1">
        <f t="array" aca="1" ref="K306" ca="1">IF(OR(A306="",B306="safety"),"",IF(ISBLANK(INDIRECT("template!"&amp;"H"&amp;A306)),"",INDIRECT("template!"&amp;"H"&amp;A306)))</f>
        <v>#REF!</v>
      </c>
      <c r="L306" t="e" cm="1">
        <f t="array" aca="1" ref="L306" ca="1">IF(OR(A306="",B306="safety"),"",INDIRECT("template!"&amp;"I"&amp;A306))</f>
        <v>#REF!</v>
      </c>
      <c r="M306" t="e" cm="1">
        <f t="array" aca="1" ref="M306" ca="1">IF(OR(A306="",B306="safety"),"",INDIRECT("template!"&amp;"J"&amp;A306))</f>
        <v>#REF!</v>
      </c>
      <c r="N306" t="e" cm="1">
        <f t="array" aca="1" ref="N306" ca="1">IF(OR(A306="",B306="safety"),"",IF(ISBLANK(INDIRECT("template!"&amp;"K"&amp;A306)),"",INDIRECT("template!"&amp;"K"&amp;A306)))</f>
        <v>#REF!</v>
      </c>
      <c r="O306" t="e" cm="1">
        <f t="array" aca="1" ref="O306" ca="1">IF(OR(A306="",B306="safety"),"",INDIRECT("template!"&amp;"L"&amp;A306))</f>
        <v>#REF!</v>
      </c>
      <c r="P306" t="e" cm="1">
        <f t="array" aca="1" ref="P306" ca="1">IF(OR(A306="",B306="safety"),"",INDIRECT("template!"&amp;"M"&amp;A306))</f>
        <v>#REF!</v>
      </c>
      <c r="Q306" t="e">
        <f t="shared" ca="1" si="22"/>
        <v>#REF!</v>
      </c>
      <c r="R306" t="e">
        <f t="shared" ca="1" si="23"/>
        <v>#REF!</v>
      </c>
      <c r="S306" t="e">
        <f t="shared" ca="1" si="24"/>
        <v>#REF!</v>
      </c>
      <c r="T306" t="e">
        <f t="shared" ca="1" si="25"/>
        <v>#REF!</v>
      </c>
      <c r="U306" t="e" cm="1">
        <f t="array" aca="1" ref="U306" ca="1">IF(A306="","",IF(E306="","",IF(B306="safety",INDIRECT("template!"&amp;"P"&amp;A306),Q306+R306)))</f>
        <v>#REF!</v>
      </c>
      <c r="V306" t="e" cm="1">
        <f t="array" aca="1" ref="V306" ca="1">IF(A306="","",IF(E306="","",IF(B306="safety",INDIRECT("template!"&amp;"P"&amp;A306),S306+T306)))</f>
        <v>#REF!</v>
      </c>
      <c r="W306" t="e">
        <f ca="1">IF(A306="","",IF(E306="","",#REF!))</f>
        <v>#REF!</v>
      </c>
      <c r="X306" t="e">
        <f ca="1">IF(A306="","",IF(E306="","",#REF!))</f>
        <v>#REF!</v>
      </c>
      <c r="Y306" s="39" t="e">
        <f ca="1">IF(A306="","",IF(E306="","",#REF!))</f>
        <v>#REF!</v>
      </c>
      <c r="Z306" t="e">
        <f ca="1">IF(A306="","",IF(E306="","",#REF!))</f>
        <v>#REF!</v>
      </c>
      <c r="AA306" t="e">
        <f ca="1">IF(A306="","",IF(E306="","",#REF!))</f>
        <v>#REF!</v>
      </c>
      <c r="AB306" t="e">
        <f ca="1">IF(A306="","",IF(E306="","",#REF!))</f>
        <v>#REF!</v>
      </c>
      <c r="AC306" t="e">
        <f t="shared" ca="1" si="26"/>
        <v>#REF!</v>
      </c>
    </row>
    <row r="307" spans="1:29" x14ac:dyDescent="0.35">
      <c r="A307" t="e" cm="1">
        <f t="array" aca="1" ref="A307" ca="1">IF(A306="","",IF(OR(AND(A306+1&gt;=$AF$1,A306+1&lt;=$AF$2),AND(A306+1&gt;=$AF$6,A306+1&lt;=$AF$7),AND(A306+1&gt;=$AF$3,A306+1&lt;=$AF$4),AND(A306+1&gt;=$AF$8,A306+1&lt;=$AF$9),A306+1=$AF$5),IF(NOT(ISBLANK(INDIRECT("template!"&amp;"P"&amp;A306+1))),A306+1,IF(NOT(ISBLANK(INDIRECT("template!"&amp;"P"&amp;A306+2))),A306+2,A306+3)),IF(A306=$AF$2,$AF$3,IF(A306=$AF$4,$AF$5,IF(A306=$AF$5,$AF$6,IF(A306=$AF$7,$AF$8,""))))))</f>
        <v>#REF!</v>
      </c>
      <c r="B307" t="e">
        <f t="shared" ca="1" si="21"/>
        <v>#REF!</v>
      </c>
      <c r="C307" t="e" cm="1">
        <f t="array" aca="1" ref="C307" ca="1">IF(A307="","",IF(B307="safety","safety costs",INDIRECT("template!"&amp;"B"&amp;A307)))</f>
        <v>#REF!</v>
      </c>
      <c r="D307" t="e" cm="1">
        <f t="array" aca="1" ref="D307" ca="1">IF(OR(A307="",B307="safety"),"",INDIRECT("template!"&amp;"C"&amp;A307))</f>
        <v>#REF!</v>
      </c>
      <c r="E307" t="e" cm="1">
        <f t="array" aca="1" ref="E307" ca="1">IF(A307="","",IF(OR(A307=A306+1,A307=A306+2),E306,INDIRECT("template!"&amp;"D"&amp;A307-2)))</f>
        <v>#REF!</v>
      </c>
      <c r="F307" t="e" cm="1">
        <f t="array" aca="1" ref="F307" ca="1">IF(OR(A307="",B307="safety"),"",IF(ISBLANK(IF(A307=A306+1,F306,INDIRECT("template!"&amp;"D"&amp;A307-1))),"",IF(A307=A306+1,F306,INDIRECT("template!"&amp;"D"&amp;A307-1))))</f>
        <v>#REF!</v>
      </c>
      <c r="G307" t="e" cm="1">
        <f t="array" aca="1" ref="G307" ca="1">IF(OR(A307="",B307="safety"),"",IF(ISBLANK(INDIRECT("template!"&amp;"D"&amp;A307)),"",INDIRECT("template!"&amp;"D"&amp;A307)))</f>
        <v>#REF!</v>
      </c>
      <c r="H307" t="e" cm="1">
        <f t="array" aca="1" ref="H307" ca="1">IF(OR(A307="",B307="safety"),"",IF(ISBLANK(INDIRECT("template!"&amp;"E"&amp;A307)),"",INDIRECT("template!"&amp;"E"&amp;A307)))</f>
        <v>#REF!</v>
      </c>
      <c r="I307" t="e" cm="1">
        <f t="array" aca="1" ref="I307" ca="1">IF(OR(A307="",B307="safety"),"",IF(ISBLANK(INDIRECT("template!"&amp;"F"&amp;A307)),"",INDIRECT("template!"&amp;"F"&amp;A307)))</f>
        <v>#REF!</v>
      </c>
      <c r="J307" t="e" cm="1">
        <f t="array" aca="1" ref="J307" ca="1">IF(OR(A307="",B307="safety"),"",IF(ISBLANK(INDIRECT("template!"&amp;"G"&amp;A307)),"",INDIRECT("template!"&amp;"G"&amp;A307)))</f>
        <v>#REF!</v>
      </c>
      <c r="K307" t="e" cm="1">
        <f t="array" aca="1" ref="K307" ca="1">IF(OR(A307="",B307="safety"),"",IF(ISBLANK(INDIRECT("template!"&amp;"H"&amp;A307)),"",INDIRECT("template!"&amp;"H"&amp;A307)))</f>
        <v>#REF!</v>
      </c>
      <c r="L307" t="e" cm="1">
        <f t="array" aca="1" ref="L307" ca="1">IF(OR(A307="",B307="safety"),"",INDIRECT("template!"&amp;"I"&amp;A307))</f>
        <v>#REF!</v>
      </c>
      <c r="M307" t="e" cm="1">
        <f t="array" aca="1" ref="M307" ca="1">IF(OR(A307="",B307="safety"),"",INDIRECT("template!"&amp;"J"&amp;A307))</f>
        <v>#REF!</v>
      </c>
      <c r="N307" t="e" cm="1">
        <f t="array" aca="1" ref="N307" ca="1">IF(OR(A307="",B307="safety"),"",IF(ISBLANK(INDIRECT("template!"&amp;"K"&amp;A307)),"",INDIRECT("template!"&amp;"K"&amp;A307)))</f>
        <v>#REF!</v>
      </c>
      <c r="O307" t="e" cm="1">
        <f t="array" aca="1" ref="O307" ca="1">IF(OR(A307="",B307="safety"),"",INDIRECT("template!"&amp;"L"&amp;A307))</f>
        <v>#REF!</v>
      </c>
      <c r="P307" t="e" cm="1">
        <f t="array" aca="1" ref="P307" ca="1">IF(OR(A307="",B307="safety"),"",INDIRECT("template!"&amp;"M"&amp;A307))</f>
        <v>#REF!</v>
      </c>
      <c r="Q307" t="e">
        <f t="shared" ca="1" si="22"/>
        <v>#REF!</v>
      </c>
      <c r="R307" t="e">
        <f t="shared" ca="1" si="23"/>
        <v>#REF!</v>
      </c>
      <c r="S307" t="e">
        <f t="shared" ca="1" si="24"/>
        <v>#REF!</v>
      </c>
      <c r="T307" t="e">
        <f t="shared" ca="1" si="25"/>
        <v>#REF!</v>
      </c>
      <c r="U307" t="e" cm="1">
        <f t="array" aca="1" ref="U307" ca="1">IF(A307="","",IF(E307="","",IF(B307="safety",INDIRECT("template!"&amp;"P"&amp;A307),Q307+R307)))</f>
        <v>#REF!</v>
      </c>
      <c r="V307" t="e" cm="1">
        <f t="array" aca="1" ref="V307" ca="1">IF(A307="","",IF(E307="","",IF(B307="safety",INDIRECT("template!"&amp;"P"&amp;A307),S307+T307)))</f>
        <v>#REF!</v>
      </c>
      <c r="W307" t="e">
        <f ca="1">IF(A307="","",IF(E307="","",#REF!))</f>
        <v>#REF!</v>
      </c>
      <c r="X307" t="e">
        <f ca="1">IF(A307="","",IF(E307="","",#REF!))</f>
        <v>#REF!</v>
      </c>
      <c r="Y307" s="39" t="e">
        <f ca="1">IF(A307="","",IF(E307="","",#REF!))</f>
        <v>#REF!</v>
      </c>
      <c r="Z307" t="e">
        <f ca="1">IF(A307="","",IF(E307="","",#REF!))</f>
        <v>#REF!</v>
      </c>
      <c r="AA307" t="e">
        <f ca="1">IF(A307="","",IF(E307="","",#REF!))</f>
        <v>#REF!</v>
      </c>
      <c r="AB307" t="e">
        <f ca="1">IF(A307="","",IF(E307="","",#REF!))</f>
        <v>#REF!</v>
      </c>
      <c r="AC307" t="e">
        <f t="shared" ca="1" si="26"/>
        <v>#REF!</v>
      </c>
    </row>
    <row r="308" spans="1:29" x14ac:dyDescent="0.35">
      <c r="A308" t="e" cm="1">
        <f t="array" aca="1" ref="A308" ca="1">IF(A307="","",IF(OR(AND(A307+1&gt;=$AF$1,A307+1&lt;=$AF$2),AND(A307+1&gt;=$AF$6,A307+1&lt;=$AF$7),AND(A307+1&gt;=$AF$3,A307+1&lt;=$AF$4),AND(A307+1&gt;=$AF$8,A307+1&lt;=$AF$9),A307+1=$AF$5),IF(NOT(ISBLANK(INDIRECT("template!"&amp;"P"&amp;A307+1))),A307+1,IF(NOT(ISBLANK(INDIRECT("template!"&amp;"P"&amp;A307+2))),A307+2,A307+3)),IF(A307=$AF$2,$AF$3,IF(A307=$AF$4,$AF$5,IF(A307=$AF$5,$AF$6,IF(A307=$AF$7,$AF$8,""))))))</f>
        <v>#REF!</v>
      </c>
      <c r="B308" t="e">
        <f t="shared" ca="1" si="21"/>
        <v>#REF!</v>
      </c>
      <c r="C308" t="e" cm="1">
        <f t="array" aca="1" ref="C308" ca="1">IF(A308="","",IF(B308="safety","safety costs",INDIRECT("template!"&amp;"B"&amp;A308)))</f>
        <v>#REF!</v>
      </c>
      <c r="D308" t="e" cm="1">
        <f t="array" aca="1" ref="D308" ca="1">IF(OR(A308="",B308="safety"),"",INDIRECT("template!"&amp;"C"&amp;A308))</f>
        <v>#REF!</v>
      </c>
      <c r="E308" t="e" cm="1">
        <f t="array" aca="1" ref="E308" ca="1">IF(A308="","",IF(OR(A308=A307+1,A308=A307+2),E307,INDIRECT("template!"&amp;"D"&amp;A308-2)))</f>
        <v>#REF!</v>
      </c>
      <c r="F308" t="e" cm="1">
        <f t="array" aca="1" ref="F308" ca="1">IF(OR(A308="",B308="safety"),"",IF(ISBLANK(IF(A308=A307+1,F307,INDIRECT("template!"&amp;"D"&amp;A308-1))),"",IF(A308=A307+1,F307,INDIRECT("template!"&amp;"D"&amp;A308-1))))</f>
        <v>#REF!</v>
      </c>
      <c r="G308" t="e" cm="1">
        <f t="array" aca="1" ref="G308" ca="1">IF(OR(A308="",B308="safety"),"",IF(ISBLANK(INDIRECT("template!"&amp;"D"&amp;A308)),"",INDIRECT("template!"&amp;"D"&amp;A308)))</f>
        <v>#REF!</v>
      </c>
      <c r="H308" t="e" cm="1">
        <f t="array" aca="1" ref="H308" ca="1">IF(OR(A308="",B308="safety"),"",IF(ISBLANK(INDIRECT("template!"&amp;"E"&amp;A308)),"",INDIRECT("template!"&amp;"E"&amp;A308)))</f>
        <v>#REF!</v>
      </c>
      <c r="I308" t="e" cm="1">
        <f t="array" aca="1" ref="I308" ca="1">IF(OR(A308="",B308="safety"),"",IF(ISBLANK(INDIRECT("template!"&amp;"F"&amp;A308)),"",INDIRECT("template!"&amp;"F"&amp;A308)))</f>
        <v>#REF!</v>
      </c>
      <c r="J308" t="e" cm="1">
        <f t="array" aca="1" ref="J308" ca="1">IF(OR(A308="",B308="safety"),"",IF(ISBLANK(INDIRECT("template!"&amp;"G"&amp;A308)),"",INDIRECT("template!"&amp;"G"&amp;A308)))</f>
        <v>#REF!</v>
      </c>
      <c r="K308" t="e" cm="1">
        <f t="array" aca="1" ref="K308" ca="1">IF(OR(A308="",B308="safety"),"",IF(ISBLANK(INDIRECT("template!"&amp;"H"&amp;A308)),"",INDIRECT("template!"&amp;"H"&amp;A308)))</f>
        <v>#REF!</v>
      </c>
      <c r="L308" t="e" cm="1">
        <f t="array" aca="1" ref="L308" ca="1">IF(OR(A308="",B308="safety"),"",INDIRECT("template!"&amp;"I"&amp;A308))</f>
        <v>#REF!</v>
      </c>
      <c r="M308" t="e" cm="1">
        <f t="array" aca="1" ref="M308" ca="1">IF(OR(A308="",B308="safety"),"",INDIRECT("template!"&amp;"J"&amp;A308))</f>
        <v>#REF!</v>
      </c>
      <c r="N308" t="e" cm="1">
        <f t="array" aca="1" ref="N308" ca="1">IF(OR(A308="",B308="safety"),"",IF(ISBLANK(INDIRECT("template!"&amp;"K"&amp;A308)),"",INDIRECT("template!"&amp;"K"&amp;A308)))</f>
        <v>#REF!</v>
      </c>
      <c r="O308" t="e" cm="1">
        <f t="array" aca="1" ref="O308" ca="1">IF(OR(A308="",B308="safety"),"",INDIRECT("template!"&amp;"L"&amp;A308))</f>
        <v>#REF!</v>
      </c>
      <c r="P308" t="e" cm="1">
        <f t="array" aca="1" ref="P308" ca="1">IF(OR(A308="",B308="safety"),"",INDIRECT("template!"&amp;"M"&amp;A308))</f>
        <v>#REF!</v>
      </c>
      <c r="Q308" t="e">
        <f t="shared" ca="1" si="22"/>
        <v>#REF!</v>
      </c>
      <c r="R308" t="e">
        <f t="shared" ca="1" si="23"/>
        <v>#REF!</v>
      </c>
      <c r="S308" t="e">
        <f t="shared" ca="1" si="24"/>
        <v>#REF!</v>
      </c>
      <c r="T308" t="e">
        <f t="shared" ca="1" si="25"/>
        <v>#REF!</v>
      </c>
      <c r="U308" t="e" cm="1">
        <f t="array" aca="1" ref="U308" ca="1">IF(A308="","",IF(E308="","",IF(B308="safety",INDIRECT("template!"&amp;"P"&amp;A308),Q308+R308)))</f>
        <v>#REF!</v>
      </c>
      <c r="V308" t="e" cm="1">
        <f t="array" aca="1" ref="V308" ca="1">IF(A308="","",IF(E308="","",IF(B308="safety",INDIRECT("template!"&amp;"P"&amp;A308),S308+T308)))</f>
        <v>#REF!</v>
      </c>
      <c r="W308" t="e">
        <f ca="1">IF(A308="","",IF(E308="","",#REF!))</f>
        <v>#REF!</v>
      </c>
      <c r="X308" t="e">
        <f ca="1">IF(A308="","",IF(E308="","",#REF!))</f>
        <v>#REF!</v>
      </c>
      <c r="Y308" s="39" t="e">
        <f ca="1">IF(A308="","",IF(E308="","",#REF!))</f>
        <v>#REF!</v>
      </c>
      <c r="Z308" t="e">
        <f ca="1">IF(A308="","",IF(E308="","",#REF!))</f>
        <v>#REF!</v>
      </c>
      <c r="AA308" t="e">
        <f ca="1">IF(A308="","",IF(E308="","",#REF!))</f>
        <v>#REF!</v>
      </c>
      <c r="AB308" t="e">
        <f ca="1">IF(A308="","",IF(E308="","",#REF!))</f>
        <v>#REF!</v>
      </c>
      <c r="AC308" t="e">
        <f t="shared" ca="1" si="26"/>
        <v>#REF!</v>
      </c>
    </row>
    <row r="309" spans="1:29" x14ac:dyDescent="0.35">
      <c r="A309" t="e" cm="1">
        <f t="array" aca="1" ref="A309" ca="1">IF(A308="","",IF(OR(AND(A308+1&gt;=$AF$1,A308+1&lt;=$AF$2),AND(A308+1&gt;=$AF$6,A308+1&lt;=$AF$7),AND(A308+1&gt;=$AF$3,A308+1&lt;=$AF$4),AND(A308+1&gt;=$AF$8,A308+1&lt;=$AF$9),A308+1=$AF$5),IF(NOT(ISBLANK(INDIRECT("template!"&amp;"P"&amp;A308+1))),A308+1,IF(NOT(ISBLANK(INDIRECT("template!"&amp;"P"&amp;A308+2))),A308+2,A308+3)),IF(A308=$AF$2,$AF$3,IF(A308=$AF$4,$AF$5,IF(A308=$AF$5,$AF$6,IF(A308=$AF$7,$AF$8,""))))))</f>
        <v>#REF!</v>
      </c>
      <c r="B309" t="e">
        <f t="shared" ca="1" si="21"/>
        <v>#REF!</v>
      </c>
      <c r="C309" t="e" cm="1">
        <f t="array" aca="1" ref="C309" ca="1">IF(A309="","",IF(B309="safety","safety costs",INDIRECT("template!"&amp;"B"&amp;A309)))</f>
        <v>#REF!</v>
      </c>
      <c r="D309" t="e" cm="1">
        <f t="array" aca="1" ref="D309" ca="1">IF(OR(A309="",B309="safety"),"",INDIRECT("template!"&amp;"C"&amp;A309))</f>
        <v>#REF!</v>
      </c>
      <c r="E309" t="e" cm="1">
        <f t="array" aca="1" ref="E309" ca="1">IF(A309="","",IF(OR(A309=A308+1,A309=A308+2),E308,INDIRECT("template!"&amp;"D"&amp;A309-2)))</f>
        <v>#REF!</v>
      </c>
      <c r="F309" t="e" cm="1">
        <f t="array" aca="1" ref="F309" ca="1">IF(OR(A309="",B309="safety"),"",IF(ISBLANK(IF(A309=A308+1,F308,INDIRECT("template!"&amp;"D"&amp;A309-1))),"",IF(A309=A308+1,F308,INDIRECT("template!"&amp;"D"&amp;A309-1))))</f>
        <v>#REF!</v>
      </c>
      <c r="G309" t="e" cm="1">
        <f t="array" aca="1" ref="G309" ca="1">IF(OR(A309="",B309="safety"),"",IF(ISBLANK(INDIRECT("template!"&amp;"D"&amp;A309)),"",INDIRECT("template!"&amp;"D"&amp;A309)))</f>
        <v>#REF!</v>
      </c>
      <c r="H309" t="e" cm="1">
        <f t="array" aca="1" ref="H309" ca="1">IF(OR(A309="",B309="safety"),"",IF(ISBLANK(INDIRECT("template!"&amp;"E"&amp;A309)),"",INDIRECT("template!"&amp;"E"&amp;A309)))</f>
        <v>#REF!</v>
      </c>
      <c r="I309" t="e" cm="1">
        <f t="array" aca="1" ref="I309" ca="1">IF(OR(A309="",B309="safety"),"",IF(ISBLANK(INDIRECT("template!"&amp;"F"&amp;A309)),"",INDIRECT("template!"&amp;"F"&amp;A309)))</f>
        <v>#REF!</v>
      </c>
      <c r="J309" t="e" cm="1">
        <f t="array" aca="1" ref="J309" ca="1">IF(OR(A309="",B309="safety"),"",IF(ISBLANK(INDIRECT("template!"&amp;"G"&amp;A309)),"",INDIRECT("template!"&amp;"G"&amp;A309)))</f>
        <v>#REF!</v>
      </c>
      <c r="K309" t="e" cm="1">
        <f t="array" aca="1" ref="K309" ca="1">IF(OR(A309="",B309="safety"),"",IF(ISBLANK(INDIRECT("template!"&amp;"H"&amp;A309)),"",INDIRECT("template!"&amp;"H"&amp;A309)))</f>
        <v>#REF!</v>
      </c>
      <c r="L309" t="e" cm="1">
        <f t="array" aca="1" ref="L309" ca="1">IF(OR(A309="",B309="safety"),"",INDIRECT("template!"&amp;"I"&amp;A309))</f>
        <v>#REF!</v>
      </c>
      <c r="M309" t="e" cm="1">
        <f t="array" aca="1" ref="M309" ca="1">IF(OR(A309="",B309="safety"),"",INDIRECT("template!"&amp;"J"&amp;A309))</f>
        <v>#REF!</v>
      </c>
      <c r="N309" t="e" cm="1">
        <f t="array" aca="1" ref="N309" ca="1">IF(OR(A309="",B309="safety"),"",IF(ISBLANK(INDIRECT("template!"&amp;"K"&amp;A309)),"",INDIRECT("template!"&amp;"K"&amp;A309)))</f>
        <v>#REF!</v>
      </c>
      <c r="O309" t="e" cm="1">
        <f t="array" aca="1" ref="O309" ca="1">IF(OR(A309="",B309="safety"),"",INDIRECT("template!"&amp;"L"&amp;A309))</f>
        <v>#REF!</v>
      </c>
      <c r="P309" t="e" cm="1">
        <f t="array" aca="1" ref="P309" ca="1">IF(OR(A309="",B309="safety"),"",INDIRECT("template!"&amp;"M"&amp;A309))</f>
        <v>#REF!</v>
      </c>
      <c r="Q309" t="e">
        <f t="shared" ca="1" si="22"/>
        <v>#REF!</v>
      </c>
      <c r="R309" t="e">
        <f t="shared" ca="1" si="23"/>
        <v>#REF!</v>
      </c>
      <c r="S309" t="e">
        <f t="shared" ca="1" si="24"/>
        <v>#REF!</v>
      </c>
      <c r="T309" t="e">
        <f t="shared" ca="1" si="25"/>
        <v>#REF!</v>
      </c>
      <c r="U309" t="e" cm="1">
        <f t="array" aca="1" ref="U309" ca="1">IF(A309="","",IF(E309="","",IF(B309="safety",INDIRECT("template!"&amp;"P"&amp;A309),Q309+R309)))</f>
        <v>#REF!</v>
      </c>
      <c r="V309" t="e" cm="1">
        <f t="array" aca="1" ref="V309" ca="1">IF(A309="","",IF(E309="","",IF(B309="safety",INDIRECT("template!"&amp;"P"&amp;A309),S309+T309)))</f>
        <v>#REF!</v>
      </c>
      <c r="W309" t="e">
        <f ca="1">IF(A309="","",IF(E309="","",#REF!))</f>
        <v>#REF!</v>
      </c>
      <c r="X309" t="e">
        <f ca="1">IF(A309="","",IF(E309="","",#REF!))</f>
        <v>#REF!</v>
      </c>
      <c r="Y309" s="39" t="e">
        <f ca="1">IF(A309="","",IF(E309="","",#REF!))</f>
        <v>#REF!</v>
      </c>
      <c r="Z309" t="e">
        <f ca="1">IF(A309="","",IF(E309="","",#REF!))</f>
        <v>#REF!</v>
      </c>
      <c r="AA309" t="e">
        <f ca="1">IF(A309="","",IF(E309="","",#REF!))</f>
        <v>#REF!</v>
      </c>
      <c r="AB309" t="e">
        <f ca="1">IF(A309="","",IF(E309="","",#REF!))</f>
        <v>#REF!</v>
      </c>
      <c r="AC309" t="e">
        <f t="shared" ca="1" si="26"/>
        <v>#REF!</v>
      </c>
    </row>
    <row r="310" spans="1:29" x14ac:dyDescent="0.35">
      <c r="A310" t="e" cm="1">
        <f t="array" aca="1" ref="A310" ca="1">IF(A309="","",IF(OR(AND(A309+1&gt;=$AF$1,A309+1&lt;=$AF$2),AND(A309+1&gt;=$AF$6,A309+1&lt;=$AF$7),AND(A309+1&gt;=$AF$3,A309+1&lt;=$AF$4),AND(A309+1&gt;=$AF$8,A309+1&lt;=$AF$9),A309+1=$AF$5),IF(NOT(ISBLANK(INDIRECT("template!"&amp;"P"&amp;A309+1))),A309+1,IF(NOT(ISBLANK(INDIRECT("template!"&amp;"P"&amp;A309+2))),A309+2,A309+3)),IF(A309=$AF$2,$AF$3,IF(A309=$AF$4,$AF$5,IF(A309=$AF$5,$AF$6,IF(A309=$AF$7,$AF$8,""))))))</f>
        <v>#REF!</v>
      </c>
      <c r="B310" t="e">
        <f t="shared" ca="1" si="21"/>
        <v>#REF!</v>
      </c>
      <c r="C310" t="e" cm="1">
        <f t="array" aca="1" ref="C310" ca="1">IF(A310="","",IF(B310="safety","safety costs",INDIRECT("template!"&amp;"B"&amp;A310)))</f>
        <v>#REF!</v>
      </c>
      <c r="D310" t="e" cm="1">
        <f t="array" aca="1" ref="D310" ca="1">IF(OR(A310="",B310="safety"),"",INDIRECT("template!"&amp;"C"&amp;A310))</f>
        <v>#REF!</v>
      </c>
      <c r="E310" t="e" cm="1">
        <f t="array" aca="1" ref="E310" ca="1">IF(A310="","",IF(OR(A310=A309+1,A310=A309+2),E309,INDIRECT("template!"&amp;"D"&amp;A310-2)))</f>
        <v>#REF!</v>
      </c>
      <c r="F310" t="e" cm="1">
        <f t="array" aca="1" ref="F310" ca="1">IF(OR(A310="",B310="safety"),"",IF(ISBLANK(IF(A310=A309+1,F309,INDIRECT("template!"&amp;"D"&amp;A310-1))),"",IF(A310=A309+1,F309,INDIRECT("template!"&amp;"D"&amp;A310-1))))</f>
        <v>#REF!</v>
      </c>
      <c r="G310" t="e" cm="1">
        <f t="array" aca="1" ref="G310" ca="1">IF(OR(A310="",B310="safety"),"",IF(ISBLANK(INDIRECT("template!"&amp;"D"&amp;A310)),"",INDIRECT("template!"&amp;"D"&amp;A310)))</f>
        <v>#REF!</v>
      </c>
      <c r="H310" t="e" cm="1">
        <f t="array" aca="1" ref="H310" ca="1">IF(OR(A310="",B310="safety"),"",IF(ISBLANK(INDIRECT("template!"&amp;"E"&amp;A310)),"",INDIRECT("template!"&amp;"E"&amp;A310)))</f>
        <v>#REF!</v>
      </c>
      <c r="I310" t="e" cm="1">
        <f t="array" aca="1" ref="I310" ca="1">IF(OR(A310="",B310="safety"),"",IF(ISBLANK(INDIRECT("template!"&amp;"F"&amp;A310)),"",INDIRECT("template!"&amp;"F"&amp;A310)))</f>
        <v>#REF!</v>
      </c>
      <c r="J310" t="e" cm="1">
        <f t="array" aca="1" ref="J310" ca="1">IF(OR(A310="",B310="safety"),"",IF(ISBLANK(INDIRECT("template!"&amp;"G"&amp;A310)),"",INDIRECT("template!"&amp;"G"&amp;A310)))</f>
        <v>#REF!</v>
      </c>
      <c r="K310" t="e" cm="1">
        <f t="array" aca="1" ref="K310" ca="1">IF(OR(A310="",B310="safety"),"",IF(ISBLANK(INDIRECT("template!"&amp;"H"&amp;A310)),"",INDIRECT("template!"&amp;"H"&amp;A310)))</f>
        <v>#REF!</v>
      </c>
      <c r="L310" t="e" cm="1">
        <f t="array" aca="1" ref="L310" ca="1">IF(OR(A310="",B310="safety"),"",INDIRECT("template!"&amp;"I"&amp;A310))</f>
        <v>#REF!</v>
      </c>
      <c r="M310" t="e" cm="1">
        <f t="array" aca="1" ref="M310" ca="1">IF(OR(A310="",B310="safety"),"",INDIRECT("template!"&amp;"J"&amp;A310))</f>
        <v>#REF!</v>
      </c>
      <c r="N310" t="e" cm="1">
        <f t="array" aca="1" ref="N310" ca="1">IF(OR(A310="",B310="safety"),"",IF(ISBLANK(INDIRECT("template!"&amp;"K"&amp;A310)),"",INDIRECT("template!"&amp;"K"&amp;A310)))</f>
        <v>#REF!</v>
      </c>
      <c r="O310" t="e" cm="1">
        <f t="array" aca="1" ref="O310" ca="1">IF(OR(A310="",B310="safety"),"",INDIRECT("template!"&amp;"L"&amp;A310))</f>
        <v>#REF!</v>
      </c>
      <c r="P310" t="e" cm="1">
        <f t="array" aca="1" ref="P310" ca="1">IF(OR(A310="",B310="safety"),"",INDIRECT("template!"&amp;"M"&amp;A310))</f>
        <v>#REF!</v>
      </c>
      <c r="Q310" t="e">
        <f t="shared" ca="1" si="22"/>
        <v>#REF!</v>
      </c>
      <c r="R310" t="e">
        <f t="shared" ca="1" si="23"/>
        <v>#REF!</v>
      </c>
      <c r="S310" t="e">
        <f t="shared" ca="1" si="24"/>
        <v>#REF!</v>
      </c>
      <c r="T310" t="e">
        <f t="shared" ca="1" si="25"/>
        <v>#REF!</v>
      </c>
      <c r="U310" t="e" cm="1">
        <f t="array" aca="1" ref="U310" ca="1">IF(A310="","",IF(E310="","",IF(B310="safety",INDIRECT("template!"&amp;"P"&amp;A310),Q310+R310)))</f>
        <v>#REF!</v>
      </c>
      <c r="V310" t="e" cm="1">
        <f t="array" aca="1" ref="V310" ca="1">IF(A310="","",IF(E310="","",IF(B310="safety",INDIRECT("template!"&amp;"P"&amp;A310),S310+T310)))</f>
        <v>#REF!</v>
      </c>
      <c r="W310" t="e">
        <f ca="1">IF(A310="","",IF(E310="","",#REF!))</f>
        <v>#REF!</v>
      </c>
      <c r="X310" t="e">
        <f ca="1">IF(A310="","",IF(E310="","",#REF!))</f>
        <v>#REF!</v>
      </c>
      <c r="Y310" s="39" t="e">
        <f ca="1">IF(A310="","",IF(E310="","",#REF!))</f>
        <v>#REF!</v>
      </c>
      <c r="Z310" t="e">
        <f ca="1">IF(A310="","",IF(E310="","",#REF!))</f>
        <v>#REF!</v>
      </c>
      <c r="AA310" t="e">
        <f ca="1">IF(A310="","",IF(E310="","",#REF!))</f>
        <v>#REF!</v>
      </c>
      <c r="AB310" t="e">
        <f ca="1">IF(A310="","",IF(E310="","",#REF!))</f>
        <v>#REF!</v>
      </c>
      <c r="AC310" t="e">
        <f t="shared" ca="1" si="26"/>
        <v>#REF!</v>
      </c>
    </row>
    <row r="311" spans="1:29" x14ac:dyDescent="0.35">
      <c r="A311" t="e" cm="1">
        <f t="array" aca="1" ref="A311" ca="1">IF(A310="","",IF(OR(AND(A310+1&gt;=$AF$1,A310+1&lt;=$AF$2),AND(A310+1&gt;=$AF$6,A310+1&lt;=$AF$7),AND(A310+1&gt;=$AF$3,A310+1&lt;=$AF$4),AND(A310+1&gt;=$AF$8,A310+1&lt;=$AF$9),A310+1=$AF$5),IF(NOT(ISBLANK(INDIRECT("template!"&amp;"P"&amp;A310+1))),A310+1,IF(NOT(ISBLANK(INDIRECT("template!"&amp;"P"&amp;A310+2))),A310+2,A310+3)),IF(A310=$AF$2,$AF$3,IF(A310=$AF$4,$AF$5,IF(A310=$AF$5,$AF$6,IF(A310=$AF$7,$AF$8,""))))))</f>
        <v>#REF!</v>
      </c>
      <c r="B311" t="e">
        <f t="shared" ca="1" si="21"/>
        <v>#REF!</v>
      </c>
      <c r="C311" t="e" cm="1">
        <f t="array" aca="1" ref="C311" ca="1">IF(A311="","",IF(B311="safety","safety costs",INDIRECT("template!"&amp;"B"&amp;A311)))</f>
        <v>#REF!</v>
      </c>
      <c r="D311" t="e" cm="1">
        <f t="array" aca="1" ref="D311" ca="1">IF(OR(A311="",B311="safety"),"",INDIRECT("template!"&amp;"C"&amp;A311))</f>
        <v>#REF!</v>
      </c>
      <c r="E311" t="e" cm="1">
        <f t="array" aca="1" ref="E311" ca="1">IF(A311="","",IF(OR(A311=A310+1,A311=A310+2),E310,INDIRECT("template!"&amp;"D"&amp;A311-2)))</f>
        <v>#REF!</v>
      </c>
      <c r="F311" t="e" cm="1">
        <f t="array" aca="1" ref="F311" ca="1">IF(OR(A311="",B311="safety"),"",IF(ISBLANK(IF(A311=A310+1,F310,INDIRECT("template!"&amp;"D"&amp;A311-1))),"",IF(A311=A310+1,F310,INDIRECT("template!"&amp;"D"&amp;A311-1))))</f>
        <v>#REF!</v>
      </c>
      <c r="G311" t="e" cm="1">
        <f t="array" aca="1" ref="G311" ca="1">IF(OR(A311="",B311="safety"),"",IF(ISBLANK(INDIRECT("template!"&amp;"D"&amp;A311)),"",INDIRECT("template!"&amp;"D"&amp;A311)))</f>
        <v>#REF!</v>
      </c>
      <c r="H311" t="e" cm="1">
        <f t="array" aca="1" ref="H311" ca="1">IF(OR(A311="",B311="safety"),"",IF(ISBLANK(INDIRECT("template!"&amp;"E"&amp;A311)),"",INDIRECT("template!"&amp;"E"&amp;A311)))</f>
        <v>#REF!</v>
      </c>
      <c r="I311" t="e" cm="1">
        <f t="array" aca="1" ref="I311" ca="1">IF(OR(A311="",B311="safety"),"",IF(ISBLANK(INDIRECT("template!"&amp;"F"&amp;A311)),"",INDIRECT("template!"&amp;"F"&amp;A311)))</f>
        <v>#REF!</v>
      </c>
      <c r="J311" t="e" cm="1">
        <f t="array" aca="1" ref="J311" ca="1">IF(OR(A311="",B311="safety"),"",IF(ISBLANK(INDIRECT("template!"&amp;"G"&amp;A311)),"",INDIRECT("template!"&amp;"G"&amp;A311)))</f>
        <v>#REF!</v>
      </c>
      <c r="K311" t="e" cm="1">
        <f t="array" aca="1" ref="K311" ca="1">IF(OR(A311="",B311="safety"),"",IF(ISBLANK(INDIRECT("template!"&amp;"H"&amp;A311)),"",INDIRECT("template!"&amp;"H"&amp;A311)))</f>
        <v>#REF!</v>
      </c>
      <c r="L311" t="e" cm="1">
        <f t="array" aca="1" ref="L311" ca="1">IF(OR(A311="",B311="safety"),"",INDIRECT("template!"&amp;"I"&amp;A311))</f>
        <v>#REF!</v>
      </c>
      <c r="M311" t="e" cm="1">
        <f t="array" aca="1" ref="M311" ca="1">IF(OR(A311="",B311="safety"),"",INDIRECT("template!"&amp;"J"&amp;A311))</f>
        <v>#REF!</v>
      </c>
      <c r="N311" t="e" cm="1">
        <f t="array" aca="1" ref="N311" ca="1">IF(OR(A311="",B311="safety"),"",IF(ISBLANK(INDIRECT("template!"&amp;"K"&amp;A311)),"",INDIRECT("template!"&amp;"K"&amp;A311)))</f>
        <v>#REF!</v>
      </c>
      <c r="O311" t="e" cm="1">
        <f t="array" aca="1" ref="O311" ca="1">IF(OR(A311="",B311="safety"),"",INDIRECT("template!"&amp;"L"&amp;A311))</f>
        <v>#REF!</v>
      </c>
      <c r="P311" t="e" cm="1">
        <f t="array" aca="1" ref="P311" ca="1">IF(OR(A311="",B311="safety"),"",INDIRECT("template!"&amp;"M"&amp;A311))</f>
        <v>#REF!</v>
      </c>
      <c r="Q311" t="e">
        <f t="shared" ca="1" si="22"/>
        <v>#REF!</v>
      </c>
      <c r="R311" t="e">
        <f t="shared" ca="1" si="23"/>
        <v>#REF!</v>
      </c>
      <c r="S311" t="e">
        <f t="shared" ca="1" si="24"/>
        <v>#REF!</v>
      </c>
      <c r="T311" t="e">
        <f t="shared" ca="1" si="25"/>
        <v>#REF!</v>
      </c>
      <c r="U311" t="e" cm="1">
        <f t="array" aca="1" ref="U311" ca="1">IF(A311="","",IF(E311="","",IF(B311="safety",INDIRECT("template!"&amp;"P"&amp;A311),Q311+R311)))</f>
        <v>#REF!</v>
      </c>
      <c r="V311" t="e" cm="1">
        <f t="array" aca="1" ref="V311" ca="1">IF(A311="","",IF(E311="","",IF(B311="safety",INDIRECT("template!"&amp;"P"&amp;A311),S311+T311)))</f>
        <v>#REF!</v>
      </c>
      <c r="W311" t="e">
        <f ca="1">IF(A311="","",IF(E311="","",#REF!))</f>
        <v>#REF!</v>
      </c>
      <c r="X311" t="e">
        <f ca="1">IF(A311="","",IF(E311="","",#REF!))</f>
        <v>#REF!</v>
      </c>
      <c r="Y311" s="39" t="e">
        <f ca="1">IF(A311="","",IF(E311="","",#REF!))</f>
        <v>#REF!</v>
      </c>
      <c r="Z311" t="e">
        <f ca="1">IF(A311="","",IF(E311="","",#REF!))</f>
        <v>#REF!</v>
      </c>
      <c r="AA311" t="e">
        <f ca="1">IF(A311="","",IF(E311="","",#REF!))</f>
        <v>#REF!</v>
      </c>
      <c r="AB311" t="e">
        <f ca="1">IF(A311="","",IF(E311="","",#REF!))</f>
        <v>#REF!</v>
      </c>
      <c r="AC311" t="e">
        <f t="shared" ca="1" si="26"/>
        <v>#REF!</v>
      </c>
    </row>
    <row r="312" spans="1:29" x14ac:dyDescent="0.35">
      <c r="A312" t="e" cm="1">
        <f t="array" aca="1" ref="A312" ca="1">IF(A311="","",IF(OR(AND(A311+1&gt;=$AF$1,A311+1&lt;=$AF$2),AND(A311+1&gt;=$AF$6,A311+1&lt;=$AF$7),AND(A311+1&gt;=$AF$3,A311+1&lt;=$AF$4),AND(A311+1&gt;=$AF$8,A311+1&lt;=$AF$9),A311+1=$AF$5),IF(NOT(ISBLANK(INDIRECT("template!"&amp;"P"&amp;A311+1))),A311+1,IF(NOT(ISBLANK(INDIRECT("template!"&amp;"P"&amp;A311+2))),A311+2,A311+3)),IF(A311=$AF$2,$AF$3,IF(A311=$AF$4,$AF$5,IF(A311=$AF$5,$AF$6,IF(A311=$AF$7,$AF$8,""))))))</f>
        <v>#REF!</v>
      </c>
      <c r="B312" t="e">
        <f t="shared" ca="1" si="21"/>
        <v>#REF!</v>
      </c>
      <c r="C312" t="e" cm="1">
        <f t="array" aca="1" ref="C312" ca="1">IF(A312="","",IF(B312="safety","safety costs",INDIRECT("template!"&amp;"B"&amp;A312)))</f>
        <v>#REF!</v>
      </c>
      <c r="D312" t="e" cm="1">
        <f t="array" aca="1" ref="D312" ca="1">IF(OR(A312="",B312="safety"),"",INDIRECT("template!"&amp;"C"&amp;A312))</f>
        <v>#REF!</v>
      </c>
      <c r="E312" t="e" cm="1">
        <f t="array" aca="1" ref="E312" ca="1">IF(A312="","",IF(OR(A312=A311+1,A312=A311+2),E311,INDIRECT("template!"&amp;"D"&amp;A312-2)))</f>
        <v>#REF!</v>
      </c>
      <c r="F312" t="e" cm="1">
        <f t="array" aca="1" ref="F312" ca="1">IF(OR(A312="",B312="safety"),"",IF(ISBLANK(IF(A312=A311+1,F311,INDIRECT("template!"&amp;"D"&amp;A312-1))),"",IF(A312=A311+1,F311,INDIRECT("template!"&amp;"D"&amp;A312-1))))</f>
        <v>#REF!</v>
      </c>
      <c r="G312" t="e" cm="1">
        <f t="array" aca="1" ref="G312" ca="1">IF(OR(A312="",B312="safety"),"",IF(ISBLANK(INDIRECT("template!"&amp;"D"&amp;A312)),"",INDIRECT("template!"&amp;"D"&amp;A312)))</f>
        <v>#REF!</v>
      </c>
      <c r="H312" t="e" cm="1">
        <f t="array" aca="1" ref="H312" ca="1">IF(OR(A312="",B312="safety"),"",IF(ISBLANK(INDIRECT("template!"&amp;"E"&amp;A312)),"",INDIRECT("template!"&amp;"E"&amp;A312)))</f>
        <v>#REF!</v>
      </c>
      <c r="I312" t="e" cm="1">
        <f t="array" aca="1" ref="I312" ca="1">IF(OR(A312="",B312="safety"),"",IF(ISBLANK(INDIRECT("template!"&amp;"F"&amp;A312)),"",INDIRECT("template!"&amp;"F"&amp;A312)))</f>
        <v>#REF!</v>
      </c>
      <c r="J312" t="e" cm="1">
        <f t="array" aca="1" ref="J312" ca="1">IF(OR(A312="",B312="safety"),"",IF(ISBLANK(INDIRECT("template!"&amp;"G"&amp;A312)),"",INDIRECT("template!"&amp;"G"&amp;A312)))</f>
        <v>#REF!</v>
      </c>
      <c r="K312" t="e" cm="1">
        <f t="array" aca="1" ref="K312" ca="1">IF(OR(A312="",B312="safety"),"",IF(ISBLANK(INDIRECT("template!"&amp;"H"&amp;A312)),"",INDIRECT("template!"&amp;"H"&amp;A312)))</f>
        <v>#REF!</v>
      </c>
      <c r="L312" t="e" cm="1">
        <f t="array" aca="1" ref="L312" ca="1">IF(OR(A312="",B312="safety"),"",INDIRECT("template!"&amp;"I"&amp;A312))</f>
        <v>#REF!</v>
      </c>
      <c r="M312" t="e" cm="1">
        <f t="array" aca="1" ref="M312" ca="1">IF(OR(A312="",B312="safety"),"",INDIRECT("template!"&amp;"J"&amp;A312))</f>
        <v>#REF!</v>
      </c>
      <c r="N312" t="e" cm="1">
        <f t="array" aca="1" ref="N312" ca="1">IF(OR(A312="",B312="safety"),"",IF(ISBLANK(INDIRECT("template!"&amp;"K"&amp;A312)),"",INDIRECT("template!"&amp;"K"&amp;A312)))</f>
        <v>#REF!</v>
      </c>
      <c r="O312" t="e" cm="1">
        <f t="array" aca="1" ref="O312" ca="1">IF(OR(A312="",B312="safety"),"",INDIRECT("template!"&amp;"L"&amp;A312))</f>
        <v>#REF!</v>
      </c>
      <c r="P312" t="e" cm="1">
        <f t="array" aca="1" ref="P312" ca="1">IF(OR(A312="",B312="safety"),"",INDIRECT("template!"&amp;"M"&amp;A312))</f>
        <v>#REF!</v>
      </c>
      <c r="Q312" t="e">
        <f t="shared" ca="1" si="22"/>
        <v>#REF!</v>
      </c>
      <c r="R312" t="e">
        <f t="shared" ca="1" si="23"/>
        <v>#REF!</v>
      </c>
      <c r="S312" t="e">
        <f t="shared" ca="1" si="24"/>
        <v>#REF!</v>
      </c>
      <c r="T312" t="e">
        <f t="shared" ca="1" si="25"/>
        <v>#REF!</v>
      </c>
      <c r="U312" t="e" cm="1">
        <f t="array" aca="1" ref="U312" ca="1">IF(A312="","",IF(E312="","",IF(B312="safety",INDIRECT("template!"&amp;"P"&amp;A312),Q312+R312)))</f>
        <v>#REF!</v>
      </c>
      <c r="V312" t="e" cm="1">
        <f t="array" aca="1" ref="V312" ca="1">IF(A312="","",IF(E312="","",IF(B312="safety",INDIRECT("template!"&amp;"P"&amp;A312),S312+T312)))</f>
        <v>#REF!</v>
      </c>
      <c r="W312" t="e">
        <f ca="1">IF(A312="","",IF(E312="","",#REF!))</f>
        <v>#REF!</v>
      </c>
      <c r="X312" t="e">
        <f ca="1">IF(A312="","",IF(E312="","",#REF!))</f>
        <v>#REF!</v>
      </c>
      <c r="Y312" s="39" t="e">
        <f ca="1">IF(A312="","",IF(E312="","",#REF!))</f>
        <v>#REF!</v>
      </c>
      <c r="Z312" t="e">
        <f ca="1">IF(A312="","",IF(E312="","",#REF!))</f>
        <v>#REF!</v>
      </c>
      <c r="AA312" t="e">
        <f ca="1">IF(A312="","",IF(E312="","",#REF!))</f>
        <v>#REF!</v>
      </c>
      <c r="AB312" t="e">
        <f ca="1">IF(A312="","",IF(E312="","",#REF!))</f>
        <v>#REF!</v>
      </c>
      <c r="AC312" t="e">
        <f t="shared" ca="1" si="26"/>
        <v>#REF!</v>
      </c>
    </row>
    <row r="313" spans="1:29" x14ac:dyDescent="0.35">
      <c r="A313" t="e" cm="1">
        <f t="array" aca="1" ref="A313" ca="1">IF(A312="","",IF(OR(AND(A312+1&gt;=$AF$1,A312+1&lt;=$AF$2),AND(A312+1&gt;=$AF$6,A312+1&lt;=$AF$7),AND(A312+1&gt;=$AF$3,A312+1&lt;=$AF$4),AND(A312+1&gt;=$AF$8,A312+1&lt;=$AF$9),A312+1=$AF$5),IF(NOT(ISBLANK(INDIRECT("template!"&amp;"P"&amp;A312+1))),A312+1,IF(NOT(ISBLANK(INDIRECT("template!"&amp;"P"&amp;A312+2))),A312+2,A312+3)),IF(A312=$AF$2,$AF$3,IF(A312=$AF$4,$AF$5,IF(A312=$AF$5,$AF$6,IF(A312=$AF$7,$AF$8,""))))))</f>
        <v>#REF!</v>
      </c>
      <c r="B313" t="e">
        <f t="shared" ca="1" si="21"/>
        <v>#REF!</v>
      </c>
      <c r="C313" t="e" cm="1">
        <f t="array" aca="1" ref="C313" ca="1">IF(A313="","",IF(B313="safety","safety costs",INDIRECT("template!"&amp;"B"&amp;A313)))</f>
        <v>#REF!</v>
      </c>
      <c r="D313" t="e" cm="1">
        <f t="array" aca="1" ref="D313" ca="1">IF(OR(A313="",B313="safety"),"",INDIRECT("template!"&amp;"C"&amp;A313))</f>
        <v>#REF!</v>
      </c>
      <c r="E313" t="e" cm="1">
        <f t="array" aca="1" ref="E313" ca="1">IF(A313="","",IF(OR(A313=A312+1,A313=A312+2),E312,INDIRECT("template!"&amp;"D"&amp;A313-2)))</f>
        <v>#REF!</v>
      </c>
      <c r="F313" t="e" cm="1">
        <f t="array" aca="1" ref="F313" ca="1">IF(OR(A313="",B313="safety"),"",IF(ISBLANK(IF(A313=A312+1,F312,INDIRECT("template!"&amp;"D"&amp;A313-1))),"",IF(A313=A312+1,F312,INDIRECT("template!"&amp;"D"&amp;A313-1))))</f>
        <v>#REF!</v>
      </c>
      <c r="G313" t="e" cm="1">
        <f t="array" aca="1" ref="G313" ca="1">IF(OR(A313="",B313="safety"),"",IF(ISBLANK(INDIRECT("template!"&amp;"D"&amp;A313)),"",INDIRECT("template!"&amp;"D"&amp;A313)))</f>
        <v>#REF!</v>
      </c>
      <c r="H313" t="e" cm="1">
        <f t="array" aca="1" ref="H313" ca="1">IF(OR(A313="",B313="safety"),"",IF(ISBLANK(INDIRECT("template!"&amp;"E"&amp;A313)),"",INDIRECT("template!"&amp;"E"&amp;A313)))</f>
        <v>#REF!</v>
      </c>
      <c r="I313" t="e" cm="1">
        <f t="array" aca="1" ref="I313" ca="1">IF(OR(A313="",B313="safety"),"",IF(ISBLANK(INDIRECT("template!"&amp;"F"&amp;A313)),"",INDIRECT("template!"&amp;"F"&amp;A313)))</f>
        <v>#REF!</v>
      </c>
      <c r="J313" t="e" cm="1">
        <f t="array" aca="1" ref="J313" ca="1">IF(OR(A313="",B313="safety"),"",IF(ISBLANK(INDIRECT("template!"&amp;"G"&amp;A313)),"",INDIRECT("template!"&amp;"G"&amp;A313)))</f>
        <v>#REF!</v>
      </c>
      <c r="K313" t="e" cm="1">
        <f t="array" aca="1" ref="K313" ca="1">IF(OR(A313="",B313="safety"),"",IF(ISBLANK(INDIRECT("template!"&amp;"H"&amp;A313)),"",INDIRECT("template!"&amp;"H"&amp;A313)))</f>
        <v>#REF!</v>
      </c>
      <c r="L313" t="e" cm="1">
        <f t="array" aca="1" ref="L313" ca="1">IF(OR(A313="",B313="safety"),"",INDIRECT("template!"&amp;"I"&amp;A313))</f>
        <v>#REF!</v>
      </c>
      <c r="M313" t="e" cm="1">
        <f t="array" aca="1" ref="M313" ca="1">IF(OR(A313="",B313="safety"),"",INDIRECT("template!"&amp;"J"&amp;A313))</f>
        <v>#REF!</v>
      </c>
      <c r="N313" t="e" cm="1">
        <f t="array" aca="1" ref="N313" ca="1">IF(OR(A313="",B313="safety"),"",IF(ISBLANK(INDIRECT("template!"&amp;"K"&amp;A313)),"",INDIRECT("template!"&amp;"K"&amp;A313)))</f>
        <v>#REF!</v>
      </c>
      <c r="O313" t="e" cm="1">
        <f t="array" aca="1" ref="O313" ca="1">IF(OR(A313="",B313="safety"),"",INDIRECT("template!"&amp;"L"&amp;A313))</f>
        <v>#REF!</v>
      </c>
      <c r="P313" t="e" cm="1">
        <f t="array" aca="1" ref="P313" ca="1">IF(OR(A313="",B313="safety"),"",INDIRECT("template!"&amp;"M"&amp;A313))</f>
        <v>#REF!</v>
      </c>
      <c r="Q313" t="e">
        <f t="shared" ca="1" si="22"/>
        <v>#REF!</v>
      </c>
      <c r="R313" t="e">
        <f t="shared" ca="1" si="23"/>
        <v>#REF!</v>
      </c>
      <c r="S313" t="e">
        <f t="shared" ca="1" si="24"/>
        <v>#REF!</v>
      </c>
      <c r="T313" t="e">
        <f t="shared" ca="1" si="25"/>
        <v>#REF!</v>
      </c>
      <c r="U313" t="e" cm="1">
        <f t="array" aca="1" ref="U313" ca="1">IF(A313="","",IF(E313="","",IF(B313="safety",INDIRECT("template!"&amp;"P"&amp;A313),Q313+R313)))</f>
        <v>#REF!</v>
      </c>
      <c r="V313" t="e" cm="1">
        <f t="array" aca="1" ref="V313" ca="1">IF(A313="","",IF(E313="","",IF(B313="safety",INDIRECT("template!"&amp;"P"&amp;A313),S313+T313)))</f>
        <v>#REF!</v>
      </c>
      <c r="W313" t="e">
        <f ca="1">IF(A313="","",IF(E313="","",#REF!))</f>
        <v>#REF!</v>
      </c>
      <c r="X313" t="e">
        <f ca="1">IF(A313="","",IF(E313="","",#REF!))</f>
        <v>#REF!</v>
      </c>
      <c r="Y313" s="39" t="e">
        <f ca="1">IF(A313="","",IF(E313="","",#REF!))</f>
        <v>#REF!</v>
      </c>
      <c r="Z313" t="e">
        <f ca="1">IF(A313="","",IF(E313="","",#REF!))</f>
        <v>#REF!</v>
      </c>
      <c r="AA313" t="e">
        <f ca="1">IF(A313="","",IF(E313="","",#REF!))</f>
        <v>#REF!</v>
      </c>
      <c r="AB313" t="e">
        <f ca="1">IF(A313="","",IF(E313="","",#REF!))</f>
        <v>#REF!</v>
      </c>
      <c r="AC313" t="e">
        <f t="shared" ca="1" si="26"/>
        <v>#REF!</v>
      </c>
    </row>
    <row r="314" spans="1:29" x14ac:dyDescent="0.35">
      <c r="A314" t="e" cm="1">
        <f t="array" aca="1" ref="A314" ca="1">IF(A313="","",IF(OR(AND(A313+1&gt;=$AF$1,A313+1&lt;=$AF$2),AND(A313+1&gt;=$AF$6,A313+1&lt;=$AF$7),AND(A313+1&gt;=$AF$3,A313+1&lt;=$AF$4),AND(A313+1&gt;=$AF$8,A313+1&lt;=$AF$9),A313+1=$AF$5),IF(NOT(ISBLANK(INDIRECT("template!"&amp;"P"&amp;A313+1))),A313+1,IF(NOT(ISBLANK(INDIRECT("template!"&amp;"P"&amp;A313+2))),A313+2,A313+3)),IF(A313=$AF$2,$AF$3,IF(A313=$AF$4,$AF$5,IF(A313=$AF$5,$AF$6,IF(A313=$AF$7,$AF$8,""))))))</f>
        <v>#REF!</v>
      </c>
      <c r="B314" t="e">
        <f t="shared" ca="1" si="21"/>
        <v>#REF!</v>
      </c>
      <c r="C314" t="e" cm="1">
        <f t="array" aca="1" ref="C314" ca="1">IF(A314="","",IF(B314="safety","safety costs",INDIRECT("template!"&amp;"B"&amp;A314)))</f>
        <v>#REF!</v>
      </c>
      <c r="D314" t="e" cm="1">
        <f t="array" aca="1" ref="D314" ca="1">IF(OR(A314="",B314="safety"),"",INDIRECT("template!"&amp;"C"&amp;A314))</f>
        <v>#REF!</v>
      </c>
      <c r="E314" t="e" cm="1">
        <f t="array" aca="1" ref="E314" ca="1">IF(A314="","",IF(OR(A314=A313+1,A314=A313+2),E313,INDIRECT("template!"&amp;"D"&amp;A314-2)))</f>
        <v>#REF!</v>
      </c>
      <c r="F314" t="e" cm="1">
        <f t="array" aca="1" ref="F314" ca="1">IF(OR(A314="",B314="safety"),"",IF(ISBLANK(IF(A314=A313+1,F313,INDIRECT("template!"&amp;"D"&amp;A314-1))),"",IF(A314=A313+1,F313,INDIRECT("template!"&amp;"D"&amp;A314-1))))</f>
        <v>#REF!</v>
      </c>
      <c r="G314" t="e" cm="1">
        <f t="array" aca="1" ref="G314" ca="1">IF(OR(A314="",B314="safety"),"",IF(ISBLANK(INDIRECT("template!"&amp;"D"&amp;A314)),"",INDIRECT("template!"&amp;"D"&amp;A314)))</f>
        <v>#REF!</v>
      </c>
      <c r="H314" t="e" cm="1">
        <f t="array" aca="1" ref="H314" ca="1">IF(OR(A314="",B314="safety"),"",IF(ISBLANK(INDIRECT("template!"&amp;"E"&amp;A314)),"",INDIRECT("template!"&amp;"E"&amp;A314)))</f>
        <v>#REF!</v>
      </c>
      <c r="I314" t="e" cm="1">
        <f t="array" aca="1" ref="I314" ca="1">IF(OR(A314="",B314="safety"),"",IF(ISBLANK(INDIRECT("template!"&amp;"F"&amp;A314)),"",INDIRECT("template!"&amp;"F"&amp;A314)))</f>
        <v>#REF!</v>
      </c>
      <c r="J314" t="e" cm="1">
        <f t="array" aca="1" ref="J314" ca="1">IF(OR(A314="",B314="safety"),"",IF(ISBLANK(INDIRECT("template!"&amp;"G"&amp;A314)),"",INDIRECT("template!"&amp;"G"&amp;A314)))</f>
        <v>#REF!</v>
      </c>
      <c r="K314" t="e" cm="1">
        <f t="array" aca="1" ref="K314" ca="1">IF(OR(A314="",B314="safety"),"",IF(ISBLANK(INDIRECT("template!"&amp;"H"&amp;A314)),"",INDIRECT("template!"&amp;"H"&amp;A314)))</f>
        <v>#REF!</v>
      </c>
      <c r="L314" t="e" cm="1">
        <f t="array" aca="1" ref="L314" ca="1">IF(OR(A314="",B314="safety"),"",INDIRECT("template!"&amp;"I"&amp;A314))</f>
        <v>#REF!</v>
      </c>
      <c r="M314" t="e" cm="1">
        <f t="array" aca="1" ref="M314" ca="1">IF(OR(A314="",B314="safety"),"",INDIRECT("template!"&amp;"J"&amp;A314))</f>
        <v>#REF!</v>
      </c>
      <c r="N314" t="e" cm="1">
        <f t="array" aca="1" ref="N314" ca="1">IF(OR(A314="",B314="safety"),"",IF(ISBLANK(INDIRECT("template!"&amp;"K"&amp;A314)),"",INDIRECT("template!"&amp;"K"&amp;A314)))</f>
        <v>#REF!</v>
      </c>
      <c r="O314" t="e" cm="1">
        <f t="array" aca="1" ref="O314" ca="1">IF(OR(A314="",B314="safety"),"",INDIRECT("template!"&amp;"L"&amp;A314))</f>
        <v>#REF!</v>
      </c>
      <c r="P314" t="e" cm="1">
        <f t="array" aca="1" ref="P314" ca="1">IF(OR(A314="",B314="safety"),"",INDIRECT("template!"&amp;"M"&amp;A314))</f>
        <v>#REF!</v>
      </c>
      <c r="Q314" t="e">
        <f t="shared" ca="1" si="22"/>
        <v>#REF!</v>
      </c>
      <c r="R314" t="e">
        <f t="shared" ca="1" si="23"/>
        <v>#REF!</v>
      </c>
      <c r="S314" t="e">
        <f t="shared" ca="1" si="24"/>
        <v>#REF!</v>
      </c>
      <c r="T314" t="e">
        <f t="shared" ca="1" si="25"/>
        <v>#REF!</v>
      </c>
      <c r="U314" t="e" cm="1">
        <f t="array" aca="1" ref="U314" ca="1">IF(A314="","",IF(E314="","",IF(B314="safety",INDIRECT("template!"&amp;"P"&amp;A314),Q314+R314)))</f>
        <v>#REF!</v>
      </c>
      <c r="V314" t="e" cm="1">
        <f t="array" aca="1" ref="V314" ca="1">IF(A314="","",IF(E314="","",IF(B314="safety",INDIRECT("template!"&amp;"P"&amp;A314),S314+T314)))</f>
        <v>#REF!</v>
      </c>
      <c r="W314" t="e">
        <f ca="1">IF(A314="","",IF(E314="","",#REF!))</f>
        <v>#REF!</v>
      </c>
      <c r="X314" t="e">
        <f ca="1">IF(A314="","",IF(E314="","",#REF!))</f>
        <v>#REF!</v>
      </c>
      <c r="Y314" s="39" t="e">
        <f ca="1">IF(A314="","",IF(E314="","",#REF!))</f>
        <v>#REF!</v>
      </c>
      <c r="Z314" t="e">
        <f ca="1">IF(A314="","",IF(E314="","",#REF!))</f>
        <v>#REF!</v>
      </c>
      <c r="AA314" t="e">
        <f ca="1">IF(A314="","",IF(E314="","",#REF!))</f>
        <v>#REF!</v>
      </c>
      <c r="AB314" t="e">
        <f ca="1">IF(A314="","",IF(E314="","",#REF!))</f>
        <v>#REF!</v>
      </c>
      <c r="AC314" t="e">
        <f t="shared" ca="1" si="26"/>
        <v>#REF!</v>
      </c>
    </row>
    <row r="315" spans="1:29" x14ac:dyDescent="0.35">
      <c r="A315" t="e" cm="1">
        <f t="array" aca="1" ref="A315" ca="1">IF(A314="","",IF(OR(AND(A314+1&gt;=$AF$1,A314+1&lt;=$AF$2),AND(A314+1&gt;=$AF$6,A314+1&lt;=$AF$7),AND(A314+1&gt;=$AF$3,A314+1&lt;=$AF$4),AND(A314+1&gt;=$AF$8,A314+1&lt;=$AF$9),A314+1=$AF$5),IF(NOT(ISBLANK(INDIRECT("template!"&amp;"P"&amp;A314+1))),A314+1,IF(NOT(ISBLANK(INDIRECT("template!"&amp;"P"&amp;A314+2))),A314+2,A314+3)),IF(A314=$AF$2,$AF$3,IF(A314=$AF$4,$AF$5,IF(A314=$AF$5,$AF$6,IF(A314=$AF$7,$AF$8,""))))))</f>
        <v>#REF!</v>
      </c>
      <c r="B315" t="e">
        <f t="shared" ca="1" si="21"/>
        <v>#REF!</v>
      </c>
      <c r="C315" t="e" cm="1">
        <f t="array" aca="1" ref="C315" ca="1">IF(A315="","",IF(B315="safety","safety costs",INDIRECT("template!"&amp;"B"&amp;A315)))</f>
        <v>#REF!</v>
      </c>
      <c r="D315" t="e" cm="1">
        <f t="array" aca="1" ref="D315" ca="1">IF(OR(A315="",B315="safety"),"",INDIRECT("template!"&amp;"C"&amp;A315))</f>
        <v>#REF!</v>
      </c>
      <c r="E315" t="e" cm="1">
        <f t="array" aca="1" ref="E315" ca="1">IF(A315="","",IF(OR(A315=A314+1,A315=A314+2),E314,INDIRECT("template!"&amp;"D"&amp;A315-2)))</f>
        <v>#REF!</v>
      </c>
      <c r="F315" t="e" cm="1">
        <f t="array" aca="1" ref="F315" ca="1">IF(OR(A315="",B315="safety"),"",IF(ISBLANK(IF(A315=A314+1,F314,INDIRECT("template!"&amp;"D"&amp;A315-1))),"",IF(A315=A314+1,F314,INDIRECT("template!"&amp;"D"&amp;A315-1))))</f>
        <v>#REF!</v>
      </c>
      <c r="G315" t="e" cm="1">
        <f t="array" aca="1" ref="G315" ca="1">IF(OR(A315="",B315="safety"),"",IF(ISBLANK(INDIRECT("template!"&amp;"D"&amp;A315)),"",INDIRECT("template!"&amp;"D"&amp;A315)))</f>
        <v>#REF!</v>
      </c>
      <c r="H315" t="e" cm="1">
        <f t="array" aca="1" ref="H315" ca="1">IF(OR(A315="",B315="safety"),"",IF(ISBLANK(INDIRECT("template!"&amp;"E"&amp;A315)),"",INDIRECT("template!"&amp;"E"&amp;A315)))</f>
        <v>#REF!</v>
      </c>
      <c r="I315" t="e" cm="1">
        <f t="array" aca="1" ref="I315" ca="1">IF(OR(A315="",B315="safety"),"",IF(ISBLANK(INDIRECT("template!"&amp;"F"&amp;A315)),"",INDIRECT("template!"&amp;"F"&amp;A315)))</f>
        <v>#REF!</v>
      </c>
      <c r="J315" t="e" cm="1">
        <f t="array" aca="1" ref="J315" ca="1">IF(OR(A315="",B315="safety"),"",IF(ISBLANK(INDIRECT("template!"&amp;"G"&amp;A315)),"",INDIRECT("template!"&amp;"G"&amp;A315)))</f>
        <v>#REF!</v>
      </c>
      <c r="K315" t="e" cm="1">
        <f t="array" aca="1" ref="K315" ca="1">IF(OR(A315="",B315="safety"),"",IF(ISBLANK(INDIRECT("template!"&amp;"H"&amp;A315)),"",INDIRECT("template!"&amp;"H"&amp;A315)))</f>
        <v>#REF!</v>
      </c>
      <c r="L315" t="e" cm="1">
        <f t="array" aca="1" ref="L315" ca="1">IF(OR(A315="",B315="safety"),"",INDIRECT("template!"&amp;"I"&amp;A315))</f>
        <v>#REF!</v>
      </c>
      <c r="M315" t="e" cm="1">
        <f t="array" aca="1" ref="M315" ca="1">IF(OR(A315="",B315="safety"),"",INDIRECT("template!"&amp;"J"&amp;A315))</f>
        <v>#REF!</v>
      </c>
      <c r="N315" t="e" cm="1">
        <f t="array" aca="1" ref="N315" ca="1">IF(OR(A315="",B315="safety"),"",IF(ISBLANK(INDIRECT("template!"&amp;"K"&amp;A315)),"",INDIRECT("template!"&amp;"K"&amp;A315)))</f>
        <v>#REF!</v>
      </c>
      <c r="O315" t="e" cm="1">
        <f t="array" aca="1" ref="O315" ca="1">IF(OR(A315="",B315="safety"),"",INDIRECT("template!"&amp;"L"&amp;A315))</f>
        <v>#REF!</v>
      </c>
      <c r="P315" t="e" cm="1">
        <f t="array" aca="1" ref="P315" ca="1">IF(OR(A315="",B315="safety"),"",INDIRECT("template!"&amp;"M"&amp;A315))</f>
        <v>#REF!</v>
      </c>
      <c r="Q315" t="e">
        <f t="shared" ca="1" si="22"/>
        <v>#REF!</v>
      </c>
      <c r="R315" t="e">
        <f t="shared" ca="1" si="23"/>
        <v>#REF!</v>
      </c>
      <c r="S315" t="e">
        <f t="shared" ca="1" si="24"/>
        <v>#REF!</v>
      </c>
      <c r="T315" t="e">
        <f t="shared" ca="1" si="25"/>
        <v>#REF!</v>
      </c>
      <c r="U315" t="e" cm="1">
        <f t="array" aca="1" ref="U315" ca="1">IF(A315="","",IF(E315="","",IF(B315="safety",INDIRECT("template!"&amp;"P"&amp;A315),Q315+R315)))</f>
        <v>#REF!</v>
      </c>
      <c r="V315" t="e" cm="1">
        <f t="array" aca="1" ref="V315" ca="1">IF(A315="","",IF(E315="","",IF(B315="safety",INDIRECT("template!"&amp;"P"&amp;A315),S315+T315)))</f>
        <v>#REF!</v>
      </c>
      <c r="W315" t="e">
        <f ca="1">IF(A315="","",IF(E315="","",#REF!))</f>
        <v>#REF!</v>
      </c>
      <c r="X315" t="e">
        <f ca="1">IF(A315="","",IF(E315="","",#REF!))</f>
        <v>#REF!</v>
      </c>
      <c r="Y315" s="39" t="e">
        <f ca="1">IF(A315="","",IF(E315="","",#REF!))</f>
        <v>#REF!</v>
      </c>
      <c r="Z315" t="e">
        <f ca="1">IF(A315="","",IF(E315="","",#REF!))</f>
        <v>#REF!</v>
      </c>
      <c r="AA315" t="e">
        <f ca="1">IF(A315="","",IF(E315="","",#REF!))</f>
        <v>#REF!</v>
      </c>
      <c r="AB315" t="e">
        <f ca="1">IF(A315="","",IF(E315="","",#REF!))</f>
        <v>#REF!</v>
      </c>
      <c r="AC315" t="e">
        <f t="shared" ca="1" si="26"/>
        <v>#REF!</v>
      </c>
    </row>
    <row r="316" spans="1:29" x14ac:dyDescent="0.35">
      <c r="A316" t="e" cm="1">
        <f t="array" aca="1" ref="A316" ca="1">IF(A315="","",IF(OR(AND(A315+1&gt;=$AF$1,A315+1&lt;=$AF$2),AND(A315+1&gt;=$AF$6,A315+1&lt;=$AF$7),AND(A315+1&gt;=$AF$3,A315+1&lt;=$AF$4),AND(A315+1&gt;=$AF$8,A315+1&lt;=$AF$9),A315+1=$AF$5),IF(NOT(ISBLANK(INDIRECT("template!"&amp;"P"&amp;A315+1))),A315+1,IF(NOT(ISBLANK(INDIRECT("template!"&amp;"P"&amp;A315+2))),A315+2,A315+3)),IF(A315=$AF$2,$AF$3,IF(A315=$AF$4,$AF$5,IF(A315=$AF$5,$AF$6,IF(A315=$AF$7,$AF$8,""))))))</f>
        <v>#REF!</v>
      </c>
      <c r="B316" t="e">
        <f t="shared" ca="1" si="21"/>
        <v>#REF!</v>
      </c>
      <c r="C316" t="e" cm="1">
        <f t="array" aca="1" ref="C316" ca="1">IF(A316="","",IF(B316="safety","safety costs",INDIRECT("template!"&amp;"B"&amp;A316)))</f>
        <v>#REF!</v>
      </c>
      <c r="D316" t="e" cm="1">
        <f t="array" aca="1" ref="D316" ca="1">IF(OR(A316="",B316="safety"),"",INDIRECT("template!"&amp;"C"&amp;A316))</f>
        <v>#REF!</v>
      </c>
      <c r="E316" t="e" cm="1">
        <f t="array" aca="1" ref="E316" ca="1">IF(A316="","",IF(OR(A316=A315+1,A316=A315+2),E315,INDIRECT("template!"&amp;"D"&amp;A316-2)))</f>
        <v>#REF!</v>
      </c>
      <c r="F316" t="e" cm="1">
        <f t="array" aca="1" ref="F316" ca="1">IF(OR(A316="",B316="safety"),"",IF(ISBLANK(IF(A316=A315+1,F315,INDIRECT("template!"&amp;"D"&amp;A316-1))),"",IF(A316=A315+1,F315,INDIRECT("template!"&amp;"D"&amp;A316-1))))</f>
        <v>#REF!</v>
      </c>
      <c r="G316" t="e" cm="1">
        <f t="array" aca="1" ref="G316" ca="1">IF(OR(A316="",B316="safety"),"",IF(ISBLANK(INDIRECT("template!"&amp;"D"&amp;A316)),"",INDIRECT("template!"&amp;"D"&amp;A316)))</f>
        <v>#REF!</v>
      </c>
      <c r="H316" t="e" cm="1">
        <f t="array" aca="1" ref="H316" ca="1">IF(OR(A316="",B316="safety"),"",IF(ISBLANK(INDIRECT("template!"&amp;"E"&amp;A316)),"",INDIRECT("template!"&amp;"E"&amp;A316)))</f>
        <v>#REF!</v>
      </c>
      <c r="I316" t="e" cm="1">
        <f t="array" aca="1" ref="I316" ca="1">IF(OR(A316="",B316="safety"),"",IF(ISBLANK(INDIRECT("template!"&amp;"F"&amp;A316)),"",INDIRECT("template!"&amp;"F"&amp;A316)))</f>
        <v>#REF!</v>
      </c>
      <c r="J316" t="e" cm="1">
        <f t="array" aca="1" ref="J316" ca="1">IF(OR(A316="",B316="safety"),"",IF(ISBLANK(INDIRECT("template!"&amp;"G"&amp;A316)),"",INDIRECT("template!"&amp;"G"&amp;A316)))</f>
        <v>#REF!</v>
      </c>
      <c r="K316" t="e" cm="1">
        <f t="array" aca="1" ref="K316" ca="1">IF(OR(A316="",B316="safety"),"",IF(ISBLANK(INDIRECT("template!"&amp;"H"&amp;A316)),"",INDIRECT("template!"&amp;"H"&amp;A316)))</f>
        <v>#REF!</v>
      </c>
      <c r="L316" t="e" cm="1">
        <f t="array" aca="1" ref="L316" ca="1">IF(OR(A316="",B316="safety"),"",INDIRECT("template!"&amp;"I"&amp;A316))</f>
        <v>#REF!</v>
      </c>
      <c r="M316" t="e" cm="1">
        <f t="array" aca="1" ref="M316" ca="1">IF(OR(A316="",B316="safety"),"",INDIRECT("template!"&amp;"J"&amp;A316))</f>
        <v>#REF!</v>
      </c>
      <c r="N316" t="e" cm="1">
        <f t="array" aca="1" ref="N316" ca="1">IF(OR(A316="",B316="safety"),"",IF(ISBLANK(INDIRECT("template!"&amp;"K"&amp;A316)),"",INDIRECT("template!"&amp;"K"&amp;A316)))</f>
        <v>#REF!</v>
      </c>
      <c r="O316" t="e" cm="1">
        <f t="array" aca="1" ref="O316" ca="1">IF(OR(A316="",B316="safety"),"",INDIRECT("template!"&amp;"L"&amp;A316))</f>
        <v>#REF!</v>
      </c>
      <c r="P316" t="e" cm="1">
        <f t="array" aca="1" ref="P316" ca="1">IF(OR(A316="",B316="safety"),"",INDIRECT("template!"&amp;"M"&amp;A316))</f>
        <v>#REF!</v>
      </c>
      <c r="Q316" t="e">
        <f t="shared" ca="1" si="22"/>
        <v>#REF!</v>
      </c>
      <c r="R316" t="e">
        <f t="shared" ca="1" si="23"/>
        <v>#REF!</v>
      </c>
      <c r="S316" t="e">
        <f t="shared" ca="1" si="24"/>
        <v>#REF!</v>
      </c>
      <c r="T316" t="e">
        <f t="shared" ca="1" si="25"/>
        <v>#REF!</v>
      </c>
      <c r="U316" t="e" cm="1">
        <f t="array" aca="1" ref="U316" ca="1">IF(A316="","",IF(E316="","",IF(B316="safety",INDIRECT("template!"&amp;"P"&amp;A316),Q316+R316)))</f>
        <v>#REF!</v>
      </c>
      <c r="V316" t="e" cm="1">
        <f t="array" aca="1" ref="V316" ca="1">IF(A316="","",IF(E316="","",IF(B316="safety",INDIRECT("template!"&amp;"P"&amp;A316),S316+T316)))</f>
        <v>#REF!</v>
      </c>
      <c r="W316" t="e">
        <f ca="1">IF(A316="","",IF(E316="","",#REF!))</f>
        <v>#REF!</v>
      </c>
      <c r="X316" t="e">
        <f ca="1">IF(A316="","",IF(E316="","",#REF!))</f>
        <v>#REF!</v>
      </c>
      <c r="Y316" s="39" t="e">
        <f ca="1">IF(A316="","",IF(E316="","",#REF!))</f>
        <v>#REF!</v>
      </c>
      <c r="Z316" t="e">
        <f ca="1">IF(A316="","",IF(E316="","",#REF!))</f>
        <v>#REF!</v>
      </c>
      <c r="AA316" t="e">
        <f ca="1">IF(A316="","",IF(E316="","",#REF!))</f>
        <v>#REF!</v>
      </c>
      <c r="AB316" t="e">
        <f ca="1">IF(A316="","",IF(E316="","",#REF!))</f>
        <v>#REF!</v>
      </c>
      <c r="AC316" t="e">
        <f t="shared" ca="1" si="26"/>
        <v>#REF!</v>
      </c>
    </row>
    <row r="317" spans="1:29" x14ac:dyDescent="0.35">
      <c r="A317" t="e" cm="1">
        <f t="array" aca="1" ref="A317" ca="1">IF(A316="","",IF(OR(AND(A316+1&gt;=$AF$1,A316+1&lt;=$AF$2),AND(A316+1&gt;=$AF$6,A316+1&lt;=$AF$7),AND(A316+1&gt;=$AF$3,A316+1&lt;=$AF$4),AND(A316+1&gt;=$AF$8,A316+1&lt;=$AF$9),A316+1=$AF$5),IF(NOT(ISBLANK(INDIRECT("template!"&amp;"P"&amp;A316+1))),A316+1,IF(NOT(ISBLANK(INDIRECT("template!"&amp;"P"&amp;A316+2))),A316+2,A316+3)),IF(A316=$AF$2,$AF$3,IF(A316=$AF$4,$AF$5,IF(A316=$AF$5,$AF$6,IF(A316=$AF$7,$AF$8,""))))))</f>
        <v>#REF!</v>
      </c>
      <c r="B317" t="e">
        <f t="shared" ca="1" si="21"/>
        <v>#REF!</v>
      </c>
      <c r="C317" t="e" cm="1">
        <f t="array" aca="1" ref="C317" ca="1">IF(A317="","",IF(B317="safety","safety costs",INDIRECT("template!"&amp;"B"&amp;A317)))</f>
        <v>#REF!</v>
      </c>
      <c r="D317" t="e" cm="1">
        <f t="array" aca="1" ref="D317" ca="1">IF(OR(A317="",B317="safety"),"",INDIRECT("template!"&amp;"C"&amp;A317))</f>
        <v>#REF!</v>
      </c>
      <c r="E317" t="e" cm="1">
        <f t="array" aca="1" ref="E317" ca="1">IF(A317="","",IF(OR(A317=A316+1,A317=A316+2),E316,INDIRECT("template!"&amp;"D"&amp;A317-2)))</f>
        <v>#REF!</v>
      </c>
      <c r="F317" t="e" cm="1">
        <f t="array" aca="1" ref="F317" ca="1">IF(OR(A317="",B317="safety"),"",IF(ISBLANK(IF(A317=A316+1,F316,INDIRECT("template!"&amp;"D"&amp;A317-1))),"",IF(A317=A316+1,F316,INDIRECT("template!"&amp;"D"&amp;A317-1))))</f>
        <v>#REF!</v>
      </c>
      <c r="G317" t="e" cm="1">
        <f t="array" aca="1" ref="G317" ca="1">IF(OR(A317="",B317="safety"),"",IF(ISBLANK(INDIRECT("template!"&amp;"D"&amp;A317)),"",INDIRECT("template!"&amp;"D"&amp;A317)))</f>
        <v>#REF!</v>
      </c>
      <c r="H317" t="e" cm="1">
        <f t="array" aca="1" ref="H317" ca="1">IF(OR(A317="",B317="safety"),"",IF(ISBLANK(INDIRECT("template!"&amp;"E"&amp;A317)),"",INDIRECT("template!"&amp;"E"&amp;A317)))</f>
        <v>#REF!</v>
      </c>
      <c r="I317" t="e" cm="1">
        <f t="array" aca="1" ref="I317" ca="1">IF(OR(A317="",B317="safety"),"",IF(ISBLANK(INDIRECT("template!"&amp;"F"&amp;A317)),"",INDIRECT("template!"&amp;"F"&amp;A317)))</f>
        <v>#REF!</v>
      </c>
      <c r="J317" t="e" cm="1">
        <f t="array" aca="1" ref="J317" ca="1">IF(OR(A317="",B317="safety"),"",IF(ISBLANK(INDIRECT("template!"&amp;"G"&amp;A317)),"",INDIRECT("template!"&amp;"G"&amp;A317)))</f>
        <v>#REF!</v>
      </c>
      <c r="K317" t="e" cm="1">
        <f t="array" aca="1" ref="K317" ca="1">IF(OR(A317="",B317="safety"),"",IF(ISBLANK(INDIRECT("template!"&amp;"H"&amp;A317)),"",INDIRECT("template!"&amp;"H"&amp;A317)))</f>
        <v>#REF!</v>
      </c>
      <c r="L317" t="e" cm="1">
        <f t="array" aca="1" ref="L317" ca="1">IF(OR(A317="",B317="safety"),"",INDIRECT("template!"&amp;"I"&amp;A317))</f>
        <v>#REF!</v>
      </c>
      <c r="M317" t="e" cm="1">
        <f t="array" aca="1" ref="M317" ca="1">IF(OR(A317="",B317="safety"),"",INDIRECT("template!"&amp;"J"&amp;A317))</f>
        <v>#REF!</v>
      </c>
      <c r="N317" t="e" cm="1">
        <f t="array" aca="1" ref="N317" ca="1">IF(OR(A317="",B317="safety"),"",IF(ISBLANK(INDIRECT("template!"&amp;"K"&amp;A317)),"",INDIRECT("template!"&amp;"K"&amp;A317)))</f>
        <v>#REF!</v>
      </c>
      <c r="O317" t="e" cm="1">
        <f t="array" aca="1" ref="O317" ca="1">IF(OR(A317="",B317="safety"),"",INDIRECT("template!"&amp;"L"&amp;A317))</f>
        <v>#REF!</v>
      </c>
      <c r="P317" t="e" cm="1">
        <f t="array" aca="1" ref="P317" ca="1">IF(OR(A317="",B317="safety"),"",INDIRECT("template!"&amp;"M"&amp;A317))</f>
        <v>#REF!</v>
      </c>
      <c r="Q317" t="e">
        <f t="shared" ca="1" si="22"/>
        <v>#REF!</v>
      </c>
      <c r="R317" t="e">
        <f t="shared" ca="1" si="23"/>
        <v>#REF!</v>
      </c>
      <c r="S317" t="e">
        <f t="shared" ca="1" si="24"/>
        <v>#REF!</v>
      </c>
      <c r="T317" t="e">
        <f t="shared" ca="1" si="25"/>
        <v>#REF!</v>
      </c>
      <c r="U317" t="e" cm="1">
        <f t="array" aca="1" ref="U317" ca="1">IF(A317="","",IF(E317="","",IF(B317="safety",INDIRECT("template!"&amp;"P"&amp;A317),Q317+R317)))</f>
        <v>#REF!</v>
      </c>
      <c r="V317" t="e" cm="1">
        <f t="array" aca="1" ref="V317" ca="1">IF(A317="","",IF(E317="","",IF(B317="safety",INDIRECT("template!"&amp;"P"&amp;A317),S317+T317)))</f>
        <v>#REF!</v>
      </c>
      <c r="W317" t="e">
        <f ca="1">IF(A317="","",IF(E317="","",#REF!))</f>
        <v>#REF!</v>
      </c>
      <c r="X317" t="e">
        <f ca="1">IF(A317="","",IF(E317="","",#REF!))</f>
        <v>#REF!</v>
      </c>
      <c r="Y317" s="39" t="e">
        <f ca="1">IF(A317="","",IF(E317="","",#REF!))</f>
        <v>#REF!</v>
      </c>
      <c r="Z317" t="e">
        <f ca="1">IF(A317="","",IF(E317="","",#REF!))</f>
        <v>#REF!</v>
      </c>
      <c r="AA317" t="e">
        <f ca="1">IF(A317="","",IF(E317="","",#REF!))</f>
        <v>#REF!</v>
      </c>
      <c r="AB317" t="e">
        <f ca="1">IF(A317="","",IF(E317="","",#REF!))</f>
        <v>#REF!</v>
      </c>
      <c r="AC317" t="e">
        <f t="shared" ca="1" si="26"/>
        <v>#REF!</v>
      </c>
    </row>
    <row r="318" spans="1:29" x14ac:dyDescent="0.35">
      <c r="A318" t="e" cm="1">
        <f t="array" aca="1" ref="A318" ca="1">IF(A317="","",IF(OR(AND(A317+1&gt;=$AF$1,A317+1&lt;=$AF$2),AND(A317+1&gt;=$AF$6,A317+1&lt;=$AF$7),AND(A317+1&gt;=$AF$3,A317+1&lt;=$AF$4),AND(A317+1&gt;=$AF$8,A317+1&lt;=$AF$9),A317+1=$AF$5),IF(NOT(ISBLANK(INDIRECT("template!"&amp;"P"&amp;A317+1))),A317+1,IF(NOT(ISBLANK(INDIRECT("template!"&amp;"P"&amp;A317+2))),A317+2,A317+3)),IF(A317=$AF$2,$AF$3,IF(A317=$AF$4,$AF$5,IF(A317=$AF$5,$AF$6,IF(A317=$AF$7,$AF$8,""))))))</f>
        <v>#REF!</v>
      </c>
      <c r="B318" t="e">
        <f t="shared" ca="1" si="21"/>
        <v>#REF!</v>
      </c>
      <c r="C318" t="e" cm="1">
        <f t="array" aca="1" ref="C318" ca="1">IF(A318="","",IF(B318="safety","safety costs",INDIRECT("template!"&amp;"B"&amp;A318)))</f>
        <v>#REF!</v>
      </c>
      <c r="D318" t="e" cm="1">
        <f t="array" aca="1" ref="D318" ca="1">IF(OR(A318="",B318="safety"),"",INDIRECT("template!"&amp;"C"&amp;A318))</f>
        <v>#REF!</v>
      </c>
      <c r="E318" t="e" cm="1">
        <f t="array" aca="1" ref="E318" ca="1">IF(A318="","",IF(OR(A318=A317+1,A318=A317+2),E317,INDIRECT("template!"&amp;"D"&amp;A318-2)))</f>
        <v>#REF!</v>
      </c>
      <c r="F318" t="e" cm="1">
        <f t="array" aca="1" ref="F318" ca="1">IF(OR(A318="",B318="safety"),"",IF(ISBLANK(IF(A318=A317+1,F317,INDIRECT("template!"&amp;"D"&amp;A318-1))),"",IF(A318=A317+1,F317,INDIRECT("template!"&amp;"D"&amp;A318-1))))</f>
        <v>#REF!</v>
      </c>
      <c r="G318" t="e" cm="1">
        <f t="array" aca="1" ref="G318" ca="1">IF(OR(A318="",B318="safety"),"",IF(ISBLANK(INDIRECT("template!"&amp;"D"&amp;A318)),"",INDIRECT("template!"&amp;"D"&amp;A318)))</f>
        <v>#REF!</v>
      </c>
      <c r="H318" t="e" cm="1">
        <f t="array" aca="1" ref="H318" ca="1">IF(OR(A318="",B318="safety"),"",IF(ISBLANK(INDIRECT("template!"&amp;"E"&amp;A318)),"",INDIRECT("template!"&amp;"E"&amp;A318)))</f>
        <v>#REF!</v>
      </c>
      <c r="I318" t="e" cm="1">
        <f t="array" aca="1" ref="I318" ca="1">IF(OR(A318="",B318="safety"),"",IF(ISBLANK(INDIRECT("template!"&amp;"F"&amp;A318)),"",INDIRECT("template!"&amp;"F"&amp;A318)))</f>
        <v>#REF!</v>
      </c>
      <c r="J318" t="e" cm="1">
        <f t="array" aca="1" ref="J318" ca="1">IF(OR(A318="",B318="safety"),"",IF(ISBLANK(INDIRECT("template!"&amp;"G"&amp;A318)),"",INDIRECT("template!"&amp;"G"&amp;A318)))</f>
        <v>#REF!</v>
      </c>
      <c r="K318" t="e" cm="1">
        <f t="array" aca="1" ref="K318" ca="1">IF(OR(A318="",B318="safety"),"",IF(ISBLANK(INDIRECT("template!"&amp;"H"&amp;A318)),"",INDIRECT("template!"&amp;"H"&amp;A318)))</f>
        <v>#REF!</v>
      </c>
      <c r="L318" t="e" cm="1">
        <f t="array" aca="1" ref="L318" ca="1">IF(OR(A318="",B318="safety"),"",INDIRECT("template!"&amp;"I"&amp;A318))</f>
        <v>#REF!</v>
      </c>
      <c r="M318" t="e" cm="1">
        <f t="array" aca="1" ref="M318" ca="1">IF(OR(A318="",B318="safety"),"",INDIRECT("template!"&amp;"J"&amp;A318))</f>
        <v>#REF!</v>
      </c>
      <c r="N318" t="e" cm="1">
        <f t="array" aca="1" ref="N318" ca="1">IF(OR(A318="",B318="safety"),"",IF(ISBLANK(INDIRECT("template!"&amp;"K"&amp;A318)),"",INDIRECT("template!"&amp;"K"&amp;A318)))</f>
        <v>#REF!</v>
      </c>
      <c r="O318" t="e" cm="1">
        <f t="array" aca="1" ref="O318" ca="1">IF(OR(A318="",B318="safety"),"",INDIRECT("template!"&amp;"L"&amp;A318))</f>
        <v>#REF!</v>
      </c>
      <c r="P318" t="e" cm="1">
        <f t="array" aca="1" ref="P318" ca="1">IF(OR(A318="",B318="safety"),"",INDIRECT("template!"&amp;"M"&amp;A318))</f>
        <v>#REF!</v>
      </c>
      <c r="Q318" t="e">
        <f t="shared" ca="1" si="22"/>
        <v>#REF!</v>
      </c>
      <c r="R318" t="e">
        <f t="shared" ca="1" si="23"/>
        <v>#REF!</v>
      </c>
      <c r="S318" t="e">
        <f t="shared" ca="1" si="24"/>
        <v>#REF!</v>
      </c>
      <c r="T318" t="e">
        <f t="shared" ca="1" si="25"/>
        <v>#REF!</v>
      </c>
      <c r="U318" t="e" cm="1">
        <f t="array" aca="1" ref="U318" ca="1">IF(A318="","",IF(E318="","",IF(B318="safety",INDIRECT("template!"&amp;"P"&amp;A318),Q318+R318)))</f>
        <v>#REF!</v>
      </c>
      <c r="V318" t="e" cm="1">
        <f t="array" aca="1" ref="V318" ca="1">IF(A318="","",IF(E318="","",IF(B318="safety",INDIRECT("template!"&amp;"P"&amp;A318),S318+T318)))</f>
        <v>#REF!</v>
      </c>
      <c r="W318" t="e">
        <f ca="1">IF(A318="","",IF(E318="","",#REF!))</f>
        <v>#REF!</v>
      </c>
      <c r="X318" t="e">
        <f ca="1">IF(A318="","",IF(E318="","",#REF!))</f>
        <v>#REF!</v>
      </c>
      <c r="Y318" s="39" t="e">
        <f ca="1">IF(A318="","",IF(E318="","",#REF!))</f>
        <v>#REF!</v>
      </c>
      <c r="Z318" t="e">
        <f ca="1">IF(A318="","",IF(E318="","",#REF!))</f>
        <v>#REF!</v>
      </c>
      <c r="AA318" t="e">
        <f ca="1">IF(A318="","",IF(E318="","",#REF!))</f>
        <v>#REF!</v>
      </c>
      <c r="AB318" t="e">
        <f ca="1">IF(A318="","",IF(E318="","",#REF!))</f>
        <v>#REF!</v>
      </c>
      <c r="AC318" t="e">
        <f t="shared" ca="1" si="26"/>
        <v>#REF!</v>
      </c>
    </row>
    <row r="319" spans="1:29" x14ac:dyDescent="0.35">
      <c r="A319" t="e" cm="1">
        <f t="array" aca="1" ref="A319" ca="1">IF(A318="","",IF(OR(AND(A318+1&gt;=$AF$1,A318+1&lt;=$AF$2),AND(A318+1&gt;=$AF$6,A318+1&lt;=$AF$7),AND(A318+1&gt;=$AF$3,A318+1&lt;=$AF$4),AND(A318+1&gt;=$AF$8,A318+1&lt;=$AF$9),A318+1=$AF$5),IF(NOT(ISBLANK(INDIRECT("template!"&amp;"P"&amp;A318+1))),A318+1,IF(NOT(ISBLANK(INDIRECT("template!"&amp;"P"&amp;A318+2))),A318+2,A318+3)),IF(A318=$AF$2,$AF$3,IF(A318=$AF$4,$AF$5,IF(A318=$AF$5,$AF$6,IF(A318=$AF$7,$AF$8,""))))))</f>
        <v>#REF!</v>
      </c>
      <c r="B319" t="e">
        <f t="shared" ca="1" si="21"/>
        <v>#REF!</v>
      </c>
      <c r="C319" t="e" cm="1">
        <f t="array" aca="1" ref="C319" ca="1">IF(A319="","",IF(B319="safety","safety costs",INDIRECT("template!"&amp;"B"&amp;A319)))</f>
        <v>#REF!</v>
      </c>
      <c r="D319" t="e" cm="1">
        <f t="array" aca="1" ref="D319" ca="1">IF(OR(A319="",B319="safety"),"",INDIRECT("template!"&amp;"C"&amp;A319))</f>
        <v>#REF!</v>
      </c>
      <c r="E319" t="e" cm="1">
        <f t="array" aca="1" ref="E319" ca="1">IF(A319="","",IF(OR(A319=A318+1,A319=A318+2),E318,INDIRECT("template!"&amp;"D"&amp;A319-2)))</f>
        <v>#REF!</v>
      </c>
      <c r="F319" t="e" cm="1">
        <f t="array" aca="1" ref="F319" ca="1">IF(OR(A319="",B319="safety"),"",IF(ISBLANK(IF(A319=A318+1,F318,INDIRECT("template!"&amp;"D"&amp;A319-1))),"",IF(A319=A318+1,F318,INDIRECT("template!"&amp;"D"&amp;A319-1))))</f>
        <v>#REF!</v>
      </c>
      <c r="G319" t="e" cm="1">
        <f t="array" aca="1" ref="G319" ca="1">IF(OR(A319="",B319="safety"),"",IF(ISBLANK(INDIRECT("template!"&amp;"D"&amp;A319)),"",INDIRECT("template!"&amp;"D"&amp;A319)))</f>
        <v>#REF!</v>
      </c>
      <c r="H319" t="e" cm="1">
        <f t="array" aca="1" ref="H319" ca="1">IF(OR(A319="",B319="safety"),"",IF(ISBLANK(INDIRECT("template!"&amp;"E"&amp;A319)),"",INDIRECT("template!"&amp;"E"&amp;A319)))</f>
        <v>#REF!</v>
      </c>
      <c r="I319" t="e" cm="1">
        <f t="array" aca="1" ref="I319" ca="1">IF(OR(A319="",B319="safety"),"",IF(ISBLANK(INDIRECT("template!"&amp;"F"&amp;A319)),"",INDIRECT("template!"&amp;"F"&amp;A319)))</f>
        <v>#REF!</v>
      </c>
      <c r="J319" t="e" cm="1">
        <f t="array" aca="1" ref="J319" ca="1">IF(OR(A319="",B319="safety"),"",IF(ISBLANK(INDIRECT("template!"&amp;"G"&amp;A319)),"",INDIRECT("template!"&amp;"G"&amp;A319)))</f>
        <v>#REF!</v>
      </c>
      <c r="K319" t="e" cm="1">
        <f t="array" aca="1" ref="K319" ca="1">IF(OR(A319="",B319="safety"),"",IF(ISBLANK(INDIRECT("template!"&amp;"H"&amp;A319)),"",INDIRECT("template!"&amp;"H"&amp;A319)))</f>
        <v>#REF!</v>
      </c>
      <c r="L319" t="e" cm="1">
        <f t="array" aca="1" ref="L319" ca="1">IF(OR(A319="",B319="safety"),"",INDIRECT("template!"&amp;"I"&amp;A319))</f>
        <v>#REF!</v>
      </c>
      <c r="M319" t="e" cm="1">
        <f t="array" aca="1" ref="M319" ca="1">IF(OR(A319="",B319="safety"),"",INDIRECT("template!"&amp;"J"&amp;A319))</f>
        <v>#REF!</v>
      </c>
      <c r="N319" t="e" cm="1">
        <f t="array" aca="1" ref="N319" ca="1">IF(OR(A319="",B319="safety"),"",IF(ISBLANK(INDIRECT("template!"&amp;"K"&amp;A319)),"",INDIRECT("template!"&amp;"K"&amp;A319)))</f>
        <v>#REF!</v>
      </c>
      <c r="O319" t="e" cm="1">
        <f t="array" aca="1" ref="O319" ca="1">IF(OR(A319="",B319="safety"),"",INDIRECT("template!"&amp;"L"&amp;A319))</f>
        <v>#REF!</v>
      </c>
      <c r="P319" t="e" cm="1">
        <f t="array" aca="1" ref="P319" ca="1">IF(OR(A319="",B319="safety"),"",INDIRECT("template!"&amp;"M"&amp;A319))</f>
        <v>#REF!</v>
      </c>
      <c r="Q319" t="e">
        <f t="shared" ca="1" si="22"/>
        <v>#REF!</v>
      </c>
      <c r="R319" t="e">
        <f t="shared" ca="1" si="23"/>
        <v>#REF!</v>
      </c>
      <c r="S319" t="e">
        <f t="shared" ca="1" si="24"/>
        <v>#REF!</v>
      </c>
      <c r="T319" t="e">
        <f t="shared" ca="1" si="25"/>
        <v>#REF!</v>
      </c>
      <c r="U319" t="e" cm="1">
        <f t="array" aca="1" ref="U319" ca="1">IF(A319="","",IF(E319="","",IF(B319="safety",INDIRECT("template!"&amp;"P"&amp;A319),Q319+R319)))</f>
        <v>#REF!</v>
      </c>
      <c r="V319" t="e" cm="1">
        <f t="array" aca="1" ref="V319" ca="1">IF(A319="","",IF(E319="","",IF(B319="safety",INDIRECT("template!"&amp;"P"&amp;A319),S319+T319)))</f>
        <v>#REF!</v>
      </c>
      <c r="W319" t="e">
        <f ca="1">IF(A319="","",IF(E319="","",#REF!))</f>
        <v>#REF!</v>
      </c>
      <c r="X319" t="e">
        <f ca="1">IF(A319="","",IF(E319="","",#REF!))</f>
        <v>#REF!</v>
      </c>
      <c r="Y319" s="39" t="e">
        <f ca="1">IF(A319="","",IF(E319="","",#REF!))</f>
        <v>#REF!</v>
      </c>
      <c r="Z319" t="e">
        <f ca="1">IF(A319="","",IF(E319="","",#REF!))</f>
        <v>#REF!</v>
      </c>
      <c r="AA319" t="e">
        <f ca="1">IF(A319="","",IF(E319="","",#REF!))</f>
        <v>#REF!</v>
      </c>
      <c r="AB319" t="e">
        <f ca="1">IF(A319="","",IF(E319="","",#REF!))</f>
        <v>#REF!</v>
      </c>
      <c r="AC319" t="e">
        <f t="shared" ca="1" si="26"/>
        <v>#REF!</v>
      </c>
    </row>
    <row r="320" spans="1:29" x14ac:dyDescent="0.35">
      <c r="A320" t="e" cm="1">
        <f t="array" aca="1" ref="A320" ca="1">IF(A319="","",IF(OR(AND(A319+1&gt;=$AF$1,A319+1&lt;=$AF$2),AND(A319+1&gt;=$AF$6,A319+1&lt;=$AF$7),AND(A319+1&gt;=$AF$3,A319+1&lt;=$AF$4),AND(A319+1&gt;=$AF$8,A319+1&lt;=$AF$9),A319+1=$AF$5),IF(NOT(ISBLANK(INDIRECT("template!"&amp;"P"&amp;A319+1))),A319+1,IF(NOT(ISBLANK(INDIRECT("template!"&amp;"P"&amp;A319+2))),A319+2,A319+3)),IF(A319=$AF$2,$AF$3,IF(A319=$AF$4,$AF$5,IF(A319=$AF$5,$AF$6,IF(A319=$AF$7,$AF$8,""))))))</f>
        <v>#REF!</v>
      </c>
      <c r="B320" t="e">
        <f t="shared" ca="1" si="21"/>
        <v>#REF!</v>
      </c>
      <c r="C320" t="e" cm="1">
        <f t="array" aca="1" ref="C320" ca="1">IF(A320="","",IF(B320="safety","safety costs",INDIRECT("template!"&amp;"B"&amp;A320)))</f>
        <v>#REF!</v>
      </c>
      <c r="D320" t="e" cm="1">
        <f t="array" aca="1" ref="D320" ca="1">IF(OR(A320="",B320="safety"),"",INDIRECT("template!"&amp;"C"&amp;A320))</f>
        <v>#REF!</v>
      </c>
      <c r="E320" t="e" cm="1">
        <f t="array" aca="1" ref="E320" ca="1">IF(A320="","",IF(OR(A320=A319+1,A320=A319+2),E319,INDIRECT("template!"&amp;"D"&amp;A320-2)))</f>
        <v>#REF!</v>
      </c>
      <c r="F320" t="e" cm="1">
        <f t="array" aca="1" ref="F320" ca="1">IF(OR(A320="",B320="safety"),"",IF(ISBLANK(IF(A320=A319+1,F319,INDIRECT("template!"&amp;"D"&amp;A320-1))),"",IF(A320=A319+1,F319,INDIRECT("template!"&amp;"D"&amp;A320-1))))</f>
        <v>#REF!</v>
      </c>
      <c r="G320" t="e" cm="1">
        <f t="array" aca="1" ref="G320" ca="1">IF(OR(A320="",B320="safety"),"",IF(ISBLANK(INDIRECT("template!"&amp;"D"&amp;A320)),"",INDIRECT("template!"&amp;"D"&amp;A320)))</f>
        <v>#REF!</v>
      </c>
      <c r="H320" t="e" cm="1">
        <f t="array" aca="1" ref="H320" ca="1">IF(OR(A320="",B320="safety"),"",IF(ISBLANK(INDIRECT("template!"&amp;"E"&amp;A320)),"",INDIRECT("template!"&amp;"E"&amp;A320)))</f>
        <v>#REF!</v>
      </c>
      <c r="I320" t="e" cm="1">
        <f t="array" aca="1" ref="I320" ca="1">IF(OR(A320="",B320="safety"),"",IF(ISBLANK(INDIRECT("template!"&amp;"F"&amp;A320)),"",INDIRECT("template!"&amp;"F"&amp;A320)))</f>
        <v>#REF!</v>
      </c>
      <c r="J320" t="e" cm="1">
        <f t="array" aca="1" ref="J320" ca="1">IF(OR(A320="",B320="safety"),"",IF(ISBLANK(INDIRECT("template!"&amp;"G"&amp;A320)),"",INDIRECT("template!"&amp;"G"&amp;A320)))</f>
        <v>#REF!</v>
      </c>
      <c r="K320" t="e" cm="1">
        <f t="array" aca="1" ref="K320" ca="1">IF(OR(A320="",B320="safety"),"",IF(ISBLANK(INDIRECT("template!"&amp;"H"&amp;A320)),"",INDIRECT("template!"&amp;"H"&amp;A320)))</f>
        <v>#REF!</v>
      </c>
      <c r="L320" t="e" cm="1">
        <f t="array" aca="1" ref="L320" ca="1">IF(OR(A320="",B320="safety"),"",INDIRECT("template!"&amp;"I"&amp;A320))</f>
        <v>#REF!</v>
      </c>
      <c r="M320" t="e" cm="1">
        <f t="array" aca="1" ref="M320" ca="1">IF(OR(A320="",B320="safety"),"",INDIRECT("template!"&amp;"J"&amp;A320))</f>
        <v>#REF!</v>
      </c>
      <c r="N320" t="e" cm="1">
        <f t="array" aca="1" ref="N320" ca="1">IF(OR(A320="",B320="safety"),"",IF(ISBLANK(INDIRECT("template!"&amp;"K"&amp;A320)),"",INDIRECT("template!"&amp;"K"&amp;A320)))</f>
        <v>#REF!</v>
      </c>
      <c r="O320" t="e" cm="1">
        <f t="array" aca="1" ref="O320" ca="1">IF(OR(A320="",B320="safety"),"",INDIRECT("template!"&amp;"L"&amp;A320))</f>
        <v>#REF!</v>
      </c>
      <c r="P320" t="e" cm="1">
        <f t="array" aca="1" ref="P320" ca="1">IF(OR(A320="",B320="safety"),"",INDIRECT("template!"&amp;"M"&amp;A320))</f>
        <v>#REF!</v>
      </c>
      <c r="Q320" t="e">
        <f t="shared" ca="1" si="22"/>
        <v>#REF!</v>
      </c>
      <c r="R320" t="e">
        <f t="shared" ca="1" si="23"/>
        <v>#REF!</v>
      </c>
      <c r="S320" t="e">
        <f t="shared" ca="1" si="24"/>
        <v>#REF!</v>
      </c>
      <c r="T320" t="e">
        <f t="shared" ca="1" si="25"/>
        <v>#REF!</v>
      </c>
      <c r="U320" t="e" cm="1">
        <f t="array" aca="1" ref="U320" ca="1">IF(A320="","",IF(E320="","",IF(B320="safety",INDIRECT("template!"&amp;"P"&amp;A320),Q320+R320)))</f>
        <v>#REF!</v>
      </c>
      <c r="V320" t="e" cm="1">
        <f t="array" aca="1" ref="V320" ca="1">IF(A320="","",IF(E320="","",IF(B320="safety",INDIRECT("template!"&amp;"P"&amp;A320),S320+T320)))</f>
        <v>#REF!</v>
      </c>
      <c r="W320" t="e">
        <f ca="1">IF(A320="","",IF(E320="","",#REF!))</f>
        <v>#REF!</v>
      </c>
      <c r="X320" t="e">
        <f ca="1">IF(A320="","",IF(E320="","",#REF!))</f>
        <v>#REF!</v>
      </c>
      <c r="Y320" s="39" t="e">
        <f ca="1">IF(A320="","",IF(E320="","",#REF!))</f>
        <v>#REF!</v>
      </c>
      <c r="Z320" t="e">
        <f ca="1">IF(A320="","",IF(E320="","",#REF!))</f>
        <v>#REF!</v>
      </c>
      <c r="AA320" t="e">
        <f ca="1">IF(A320="","",IF(E320="","",#REF!))</f>
        <v>#REF!</v>
      </c>
      <c r="AB320" t="e">
        <f ca="1">IF(A320="","",IF(E320="","",#REF!))</f>
        <v>#REF!</v>
      </c>
      <c r="AC320" t="e">
        <f t="shared" ca="1" si="26"/>
        <v>#REF!</v>
      </c>
    </row>
    <row r="321" spans="1:29" x14ac:dyDescent="0.35">
      <c r="A321" t="e" cm="1">
        <f t="array" aca="1" ref="A321" ca="1">IF(A320="","",IF(OR(AND(A320+1&gt;=$AF$1,A320+1&lt;=$AF$2),AND(A320+1&gt;=$AF$6,A320+1&lt;=$AF$7),AND(A320+1&gt;=$AF$3,A320+1&lt;=$AF$4),AND(A320+1&gt;=$AF$8,A320+1&lt;=$AF$9),A320+1=$AF$5),IF(NOT(ISBLANK(INDIRECT("template!"&amp;"P"&amp;A320+1))),A320+1,IF(NOT(ISBLANK(INDIRECT("template!"&amp;"P"&amp;A320+2))),A320+2,A320+3)),IF(A320=$AF$2,$AF$3,IF(A320=$AF$4,$AF$5,IF(A320=$AF$5,$AF$6,IF(A320=$AF$7,$AF$8,""))))))</f>
        <v>#REF!</v>
      </c>
      <c r="B321" t="e">
        <f t="shared" ca="1" si="21"/>
        <v>#REF!</v>
      </c>
      <c r="C321" t="e" cm="1">
        <f t="array" aca="1" ref="C321" ca="1">IF(A321="","",IF(B321="safety","safety costs",INDIRECT("template!"&amp;"B"&amp;A321)))</f>
        <v>#REF!</v>
      </c>
      <c r="D321" t="e" cm="1">
        <f t="array" aca="1" ref="D321" ca="1">IF(OR(A321="",B321="safety"),"",INDIRECT("template!"&amp;"C"&amp;A321))</f>
        <v>#REF!</v>
      </c>
      <c r="E321" t="e" cm="1">
        <f t="array" aca="1" ref="E321" ca="1">IF(A321="","",IF(OR(A321=A320+1,A321=A320+2),E320,INDIRECT("template!"&amp;"D"&amp;A321-2)))</f>
        <v>#REF!</v>
      </c>
      <c r="F321" t="e" cm="1">
        <f t="array" aca="1" ref="F321" ca="1">IF(OR(A321="",B321="safety"),"",IF(ISBLANK(IF(A321=A320+1,F320,INDIRECT("template!"&amp;"D"&amp;A321-1))),"",IF(A321=A320+1,F320,INDIRECT("template!"&amp;"D"&amp;A321-1))))</f>
        <v>#REF!</v>
      </c>
      <c r="G321" t="e" cm="1">
        <f t="array" aca="1" ref="G321" ca="1">IF(OR(A321="",B321="safety"),"",IF(ISBLANK(INDIRECT("template!"&amp;"D"&amp;A321)),"",INDIRECT("template!"&amp;"D"&amp;A321)))</f>
        <v>#REF!</v>
      </c>
      <c r="H321" t="e" cm="1">
        <f t="array" aca="1" ref="H321" ca="1">IF(OR(A321="",B321="safety"),"",IF(ISBLANK(INDIRECT("template!"&amp;"E"&amp;A321)),"",INDIRECT("template!"&amp;"E"&amp;A321)))</f>
        <v>#REF!</v>
      </c>
      <c r="I321" t="e" cm="1">
        <f t="array" aca="1" ref="I321" ca="1">IF(OR(A321="",B321="safety"),"",IF(ISBLANK(INDIRECT("template!"&amp;"F"&amp;A321)),"",INDIRECT("template!"&amp;"F"&amp;A321)))</f>
        <v>#REF!</v>
      </c>
      <c r="J321" t="e" cm="1">
        <f t="array" aca="1" ref="J321" ca="1">IF(OR(A321="",B321="safety"),"",IF(ISBLANK(INDIRECT("template!"&amp;"G"&amp;A321)),"",INDIRECT("template!"&amp;"G"&amp;A321)))</f>
        <v>#REF!</v>
      </c>
      <c r="K321" t="e" cm="1">
        <f t="array" aca="1" ref="K321" ca="1">IF(OR(A321="",B321="safety"),"",IF(ISBLANK(INDIRECT("template!"&amp;"H"&amp;A321)),"",INDIRECT("template!"&amp;"H"&amp;A321)))</f>
        <v>#REF!</v>
      </c>
      <c r="L321" t="e" cm="1">
        <f t="array" aca="1" ref="L321" ca="1">IF(OR(A321="",B321="safety"),"",INDIRECT("template!"&amp;"I"&amp;A321))</f>
        <v>#REF!</v>
      </c>
      <c r="M321" t="e" cm="1">
        <f t="array" aca="1" ref="M321" ca="1">IF(OR(A321="",B321="safety"),"",INDIRECT("template!"&amp;"J"&amp;A321))</f>
        <v>#REF!</v>
      </c>
      <c r="N321" t="e" cm="1">
        <f t="array" aca="1" ref="N321" ca="1">IF(OR(A321="",B321="safety"),"",IF(ISBLANK(INDIRECT("template!"&amp;"K"&amp;A321)),"",INDIRECT("template!"&amp;"K"&amp;A321)))</f>
        <v>#REF!</v>
      </c>
      <c r="O321" t="e" cm="1">
        <f t="array" aca="1" ref="O321" ca="1">IF(OR(A321="",B321="safety"),"",INDIRECT("template!"&amp;"L"&amp;A321))</f>
        <v>#REF!</v>
      </c>
      <c r="P321" t="e" cm="1">
        <f t="array" aca="1" ref="P321" ca="1">IF(OR(A321="",B321="safety"),"",INDIRECT("template!"&amp;"M"&amp;A321))</f>
        <v>#REF!</v>
      </c>
      <c r="Q321" t="e">
        <f t="shared" ca="1" si="22"/>
        <v>#REF!</v>
      </c>
      <c r="R321" t="e">
        <f t="shared" ca="1" si="23"/>
        <v>#REF!</v>
      </c>
      <c r="S321" t="e">
        <f t="shared" ca="1" si="24"/>
        <v>#REF!</v>
      </c>
      <c r="T321" t="e">
        <f t="shared" ca="1" si="25"/>
        <v>#REF!</v>
      </c>
      <c r="U321" t="e" cm="1">
        <f t="array" aca="1" ref="U321" ca="1">IF(A321="","",IF(E321="","",IF(B321="safety",INDIRECT("template!"&amp;"P"&amp;A321),Q321+R321)))</f>
        <v>#REF!</v>
      </c>
      <c r="V321" t="e" cm="1">
        <f t="array" aca="1" ref="V321" ca="1">IF(A321="","",IF(E321="","",IF(B321="safety",INDIRECT("template!"&amp;"P"&amp;A321),S321+T321)))</f>
        <v>#REF!</v>
      </c>
      <c r="W321" t="e">
        <f ca="1">IF(A321="","",IF(E321="","",#REF!))</f>
        <v>#REF!</v>
      </c>
      <c r="X321" t="e">
        <f ca="1">IF(A321="","",IF(E321="","",#REF!))</f>
        <v>#REF!</v>
      </c>
      <c r="Y321" s="39" t="e">
        <f ca="1">IF(A321="","",IF(E321="","",#REF!))</f>
        <v>#REF!</v>
      </c>
      <c r="Z321" t="e">
        <f ca="1">IF(A321="","",IF(E321="","",#REF!))</f>
        <v>#REF!</v>
      </c>
      <c r="AA321" t="e">
        <f ca="1">IF(A321="","",IF(E321="","",#REF!))</f>
        <v>#REF!</v>
      </c>
      <c r="AB321" t="e">
        <f ca="1">IF(A321="","",IF(E321="","",#REF!))</f>
        <v>#REF!</v>
      </c>
      <c r="AC321" t="e">
        <f t="shared" ca="1" si="26"/>
        <v>#REF!</v>
      </c>
    </row>
    <row r="322" spans="1:29" x14ac:dyDescent="0.35">
      <c r="A322" t="e" cm="1">
        <f t="array" aca="1" ref="A322" ca="1">IF(A321="","",IF(OR(AND(A321+1&gt;=$AF$1,A321+1&lt;=$AF$2),AND(A321+1&gt;=$AF$6,A321+1&lt;=$AF$7),AND(A321+1&gt;=$AF$3,A321+1&lt;=$AF$4),AND(A321+1&gt;=$AF$8,A321+1&lt;=$AF$9),A321+1=$AF$5),IF(NOT(ISBLANK(INDIRECT("template!"&amp;"P"&amp;A321+1))),A321+1,IF(NOT(ISBLANK(INDIRECT("template!"&amp;"P"&amp;A321+2))),A321+2,A321+3)),IF(A321=$AF$2,$AF$3,IF(A321=$AF$4,$AF$5,IF(A321=$AF$5,$AF$6,IF(A321=$AF$7,$AF$8,""))))))</f>
        <v>#REF!</v>
      </c>
      <c r="B322" t="e">
        <f t="shared" ref="B322:B385" ca="1" si="27">IF(A322="","",IF(OR(AND(A322&gt;=$AF$1,A322&lt;=$AF$2),AND(A322&gt;=$AF$6,A322&lt;=$AF$7)),"Mechanical",IF(OR(AND(A322&gt;=$AF$3,A322&lt;=$AF$4),AND(A322&gt;=$AF$8,A322&lt;=$AF$9)),"Electric",IF(A322=$AF$5,"Safety",""))))</f>
        <v>#REF!</v>
      </c>
      <c r="C322" t="e" cm="1">
        <f t="array" aca="1" ref="C322" ca="1">IF(A322="","",IF(B322="safety","safety costs",INDIRECT("template!"&amp;"B"&amp;A322)))</f>
        <v>#REF!</v>
      </c>
      <c r="D322" t="e" cm="1">
        <f t="array" aca="1" ref="D322" ca="1">IF(OR(A322="",B322="safety"),"",INDIRECT("template!"&amp;"C"&amp;A322))</f>
        <v>#REF!</v>
      </c>
      <c r="E322" t="e" cm="1">
        <f t="array" aca="1" ref="E322" ca="1">IF(A322="","",IF(OR(A322=A321+1,A322=A321+2),E321,INDIRECT("template!"&amp;"D"&amp;A322-2)))</f>
        <v>#REF!</v>
      </c>
      <c r="F322" t="e" cm="1">
        <f t="array" aca="1" ref="F322" ca="1">IF(OR(A322="",B322="safety"),"",IF(ISBLANK(IF(A322=A321+1,F321,INDIRECT("template!"&amp;"D"&amp;A322-1))),"",IF(A322=A321+1,F321,INDIRECT("template!"&amp;"D"&amp;A322-1))))</f>
        <v>#REF!</v>
      </c>
      <c r="G322" t="e" cm="1">
        <f t="array" aca="1" ref="G322" ca="1">IF(OR(A322="",B322="safety"),"",IF(ISBLANK(INDIRECT("template!"&amp;"D"&amp;A322)),"",INDIRECT("template!"&amp;"D"&amp;A322)))</f>
        <v>#REF!</v>
      </c>
      <c r="H322" t="e" cm="1">
        <f t="array" aca="1" ref="H322" ca="1">IF(OR(A322="",B322="safety"),"",IF(ISBLANK(INDIRECT("template!"&amp;"E"&amp;A322)),"",INDIRECT("template!"&amp;"E"&amp;A322)))</f>
        <v>#REF!</v>
      </c>
      <c r="I322" t="e" cm="1">
        <f t="array" aca="1" ref="I322" ca="1">IF(OR(A322="",B322="safety"),"",IF(ISBLANK(INDIRECT("template!"&amp;"F"&amp;A322)),"",INDIRECT("template!"&amp;"F"&amp;A322)))</f>
        <v>#REF!</v>
      </c>
      <c r="J322" t="e" cm="1">
        <f t="array" aca="1" ref="J322" ca="1">IF(OR(A322="",B322="safety"),"",IF(ISBLANK(INDIRECT("template!"&amp;"G"&amp;A322)),"",INDIRECT("template!"&amp;"G"&amp;A322)))</f>
        <v>#REF!</v>
      </c>
      <c r="K322" t="e" cm="1">
        <f t="array" aca="1" ref="K322" ca="1">IF(OR(A322="",B322="safety"),"",IF(ISBLANK(INDIRECT("template!"&amp;"H"&amp;A322)),"",INDIRECT("template!"&amp;"H"&amp;A322)))</f>
        <v>#REF!</v>
      </c>
      <c r="L322" t="e" cm="1">
        <f t="array" aca="1" ref="L322" ca="1">IF(OR(A322="",B322="safety"),"",INDIRECT("template!"&amp;"I"&amp;A322))</f>
        <v>#REF!</v>
      </c>
      <c r="M322" t="e" cm="1">
        <f t="array" aca="1" ref="M322" ca="1">IF(OR(A322="",B322="safety"),"",INDIRECT("template!"&amp;"J"&amp;A322))</f>
        <v>#REF!</v>
      </c>
      <c r="N322" t="e" cm="1">
        <f t="array" aca="1" ref="N322" ca="1">IF(OR(A322="",B322="safety"),"",IF(ISBLANK(INDIRECT("template!"&amp;"K"&amp;A322)),"",INDIRECT("template!"&amp;"K"&amp;A322)))</f>
        <v>#REF!</v>
      </c>
      <c r="O322" t="e" cm="1">
        <f t="array" aca="1" ref="O322" ca="1">IF(OR(A322="",B322="safety"),"",INDIRECT("template!"&amp;"L"&amp;A322))</f>
        <v>#REF!</v>
      </c>
      <c r="P322" t="e" cm="1">
        <f t="array" aca="1" ref="P322" ca="1">IF(OR(A322="",B322="safety"),"",INDIRECT("template!"&amp;"M"&amp;A322))</f>
        <v>#REF!</v>
      </c>
      <c r="Q322" t="e">
        <f t="shared" ca="1" si="22"/>
        <v>#REF!</v>
      </c>
      <c r="R322" t="e">
        <f t="shared" ca="1" si="23"/>
        <v>#REF!</v>
      </c>
      <c r="S322" t="e">
        <f t="shared" ca="1" si="24"/>
        <v>#REF!</v>
      </c>
      <c r="T322" t="e">
        <f t="shared" ca="1" si="25"/>
        <v>#REF!</v>
      </c>
      <c r="U322" t="e" cm="1">
        <f t="array" aca="1" ref="U322" ca="1">IF(A322="","",IF(E322="","",IF(B322="safety",INDIRECT("template!"&amp;"P"&amp;A322),Q322+R322)))</f>
        <v>#REF!</v>
      </c>
      <c r="V322" t="e" cm="1">
        <f t="array" aca="1" ref="V322" ca="1">IF(A322="","",IF(E322="","",IF(B322="safety",INDIRECT("template!"&amp;"P"&amp;A322),S322+T322)))</f>
        <v>#REF!</v>
      </c>
      <c r="W322" t="e">
        <f ca="1">IF(A322="","",IF(E322="","",#REF!))</f>
        <v>#REF!</v>
      </c>
      <c r="X322" t="e">
        <f ca="1">IF(A322="","",IF(E322="","",#REF!))</f>
        <v>#REF!</v>
      </c>
      <c r="Y322" s="39" t="e">
        <f ca="1">IF(A322="","",IF(E322="","",#REF!))</f>
        <v>#REF!</v>
      </c>
      <c r="Z322" t="e">
        <f ca="1">IF(A322="","",IF(E322="","",#REF!))</f>
        <v>#REF!</v>
      </c>
      <c r="AA322" t="e">
        <f ca="1">IF(A322="","",IF(E322="","",#REF!))</f>
        <v>#REF!</v>
      </c>
      <c r="AB322" t="e">
        <f ca="1">IF(A322="","",IF(E322="","",#REF!))</f>
        <v>#REF!</v>
      </c>
      <c r="AC322" t="e">
        <f t="shared" ca="1" si="26"/>
        <v>#REF!</v>
      </c>
    </row>
    <row r="323" spans="1:29" x14ac:dyDescent="0.35">
      <c r="A323" t="e" cm="1">
        <f t="array" aca="1" ref="A323" ca="1">IF(A322="","",IF(OR(AND(A322+1&gt;=$AF$1,A322+1&lt;=$AF$2),AND(A322+1&gt;=$AF$6,A322+1&lt;=$AF$7),AND(A322+1&gt;=$AF$3,A322+1&lt;=$AF$4),AND(A322+1&gt;=$AF$8,A322+1&lt;=$AF$9),A322+1=$AF$5),IF(NOT(ISBLANK(INDIRECT("template!"&amp;"P"&amp;A322+1))),A322+1,IF(NOT(ISBLANK(INDIRECT("template!"&amp;"P"&amp;A322+2))),A322+2,A322+3)),IF(A322=$AF$2,$AF$3,IF(A322=$AF$4,$AF$5,IF(A322=$AF$5,$AF$6,IF(A322=$AF$7,$AF$8,""))))))</f>
        <v>#REF!</v>
      </c>
      <c r="B323" t="e">
        <f t="shared" ca="1" si="27"/>
        <v>#REF!</v>
      </c>
      <c r="C323" t="e" cm="1">
        <f t="array" aca="1" ref="C323" ca="1">IF(A323="","",IF(B323="safety","safety costs",INDIRECT("template!"&amp;"B"&amp;A323)))</f>
        <v>#REF!</v>
      </c>
      <c r="D323" t="e" cm="1">
        <f t="array" aca="1" ref="D323" ca="1">IF(OR(A323="",B323="safety"),"",INDIRECT("template!"&amp;"C"&amp;A323))</f>
        <v>#REF!</v>
      </c>
      <c r="E323" t="e" cm="1">
        <f t="array" aca="1" ref="E323" ca="1">IF(A323="","",IF(OR(A323=A322+1,A323=A322+2),E322,INDIRECT("template!"&amp;"D"&amp;A323-2)))</f>
        <v>#REF!</v>
      </c>
      <c r="F323" t="e" cm="1">
        <f t="array" aca="1" ref="F323" ca="1">IF(OR(A323="",B323="safety"),"",IF(ISBLANK(IF(A323=A322+1,F322,INDIRECT("template!"&amp;"D"&amp;A323-1))),"",IF(A323=A322+1,F322,INDIRECT("template!"&amp;"D"&amp;A323-1))))</f>
        <v>#REF!</v>
      </c>
      <c r="G323" t="e" cm="1">
        <f t="array" aca="1" ref="G323" ca="1">IF(OR(A323="",B323="safety"),"",IF(ISBLANK(INDIRECT("template!"&amp;"D"&amp;A323)),"",INDIRECT("template!"&amp;"D"&amp;A323)))</f>
        <v>#REF!</v>
      </c>
      <c r="H323" t="e" cm="1">
        <f t="array" aca="1" ref="H323" ca="1">IF(OR(A323="",B323="safety"),"",IF(ISBLANK(INDIRECT("template!"&amp;"E"&amp;A323)),"",INDIRECT("template!"&amp;"E"&amp;A323)))</f>
        <v>#REF!</v>
      </c>
      <c r="I323" t="e" cm="1">
        <f t="array" aca="1" ref="I323" ca="1">IF(OR(A323="",B323="safety"),"",IF(ISBLANK(INDIRECT("template!"&amp;"F"&amp;A323)),"",INDIRECT("template!"&amp;"F"&amp;A323)))</f>
        <v>#REF!</v>
      </c>
      <c r="J323" t="e" cm="1">
        <f t="array" aca="1" ref="J323" ca="1">IF(OR(A323="",B323="safety"),"",IF(ISBLANK(INDIRECT("template!"&amp;"G"&amp;A323)),"",INDIRECT("template!"&amp;"G"&amp;A323)))</f>
        <v>#REF!</v>
      </c>
      <c r="K323" t="e" cm="1">
        <f t="array" aca="1" ref="K323" ca="1">IF(OR(A323="",B323="safety"),"",IF(ISBLANK(INDIRECT("template!"&amp;"H"&amp;A323)),"",INDIRECT("template!"&amp;"H"&amp;A323)))</f>
        <v>#REF!</v>
      </c>
      <c r="L323" t="e" cm="1">
        <f t="array" aca="1" ref="L323" ca="1">IF(OR(A323="",B323="safety"),"",INDIRECT("template!"&amp;"I"&amp;A323))</f>
        <v>#REF!</v>
      </c>
      <c r="M323" t="e" cm="1">
        <f t="array" aca="1" ref="M323" ca="1">IF(OR(A323="",B323="safety"),"",INDIRECT("template!"&amp;"J"&amp;A323))</f>
        <v>#REF!</v>
      </c>
      <c r="N323" t="e" cm="1">
        <f t="array" aca="1" ref="N323" ca="1">IF(OR(A323="",B323="safety"),"",IF(ISBLANK(INDIRECT("template!"&amp;"K"&amp;A323)),"",INDIRECT("template!"&amp;"K"&amp;A323)))</f>
        <v>#REF!</v>
      </c>
      <c r="O323" t="e" cm="1">
        <f t="array" aca="1" ref="O323" ca="1">IF(OR(A323="",B323="safety"),"",INDIRECT("template!"&amp;"L"&amp;A323))</f>
        <v>#REF!</v>
      </c>
      <c r="P323" t="e" cm="1">
        <f t="array" aca="1" ref="P323" ca="1">IF(OR(A323="",B323="safety"),"",INDIRECT("template!"&amp;"M"&amp;A323))</f>
        <v>#REF!</v>
      </c>
      <c r="Q323" t="e">
        <f t="shared" ca="1" si="22"/>
        <v>#REF!</v>
      </c>
      <c r="R323" t="e">
        <f t="shared" ca="1" si="23"/>
        <v>#REF!</v>
      </c>
      <c r="S323" t="e">
        <f t="shared" ca="1" si="24"/>
        <v>#REF!</v>
      </c>
      <c r="T323" t="e">
        <f t="shared" ca="1" si="25"/>
        <v>#REF!</v>
      </c>
      <c r="U323" t="e" cm="1">
        <f t="array" aca="1" ref="U323" ca="1">IF(A323="","",IF(E323="","",IF(B323="safety",INDIRECT("template!"&amp;"P"&amp;A323),Q323+R323)))</f>
        <v>#REF!</v>
      </c>
      <c r="V323" t="e" cm="1">
        <f t="array" aca="1" ref="V323" ca="1">IF(A323="","",IF(E323="","",IF(B323="safety",INDIRECT("template!"&amp;"P"&amp;A323),S323+T323)))</f>
        <v>#REF!</v>
      </c>
      <c r="W323" t="e">
        <f ca="1">IF(A323="","",IF(E323="","",#REF!))</f>
        <v>#REF!</v>
      </c>
      <c r="X323" t="e">
        <f ca="1">IF(A323="","",IF(E323="","",#REF!))</f>
        <v>#REF!</v>
      </c>
      <c r="Y323" s="39" t="e">
        <f ca="1">IF(A323="","",IF(E323="","",#REF!))</f>
        <v>#REF!</v>
      </c>
      <c r="Z323" t="e">
        <f ca="1">IF(A323="","",IF(E323="","",#REF!))</f>
        <v>#REF!</v>
      </c>
      <c r="AA323" t="e">
        <f ca="1">IF(A323="","",IF(E323="","",#REF!))</f>
        <v>#REF!</v>
      </c>
      <c r="AB323" t="e">
        <f ca="1">IF(A323="","",IF(E323="","",#REF!))</f>
        <v>#REF!</v>
      </c>
      <c r="AC323" t="e">
        <f t="shared" ca="1" si="26"/>
        <v>#REF!</v>
      </c>
    </row>
    <row r="324" spans="1:29" x14ac:dyDescent="0.35">
      <c r="A324" t="e" cm="1">
        <f t="array" aca="1" ref="A324" ca="1">IF(A323="","",IF(OR(AND(A323+1&gt;=$AF$1,A323+1&lt;=$AF$2),AND(A323+1&gt;=$AF$6,A323+1&lt;=$AF$7),AND(A323+1&gt;=$AF$3,A323+1&lt;=$AF$4),AND(A323+1&gt;=$AF$8,A323+1&lt;=$AF$9),A323+1=$AF$5),IF(NOT(ISBLANK(INDIRECT("template!"&amp;"P"&amp;A323+1))),A323+1,IF(NOT(ISBLANK(INDIRECT("template!"&amp;"P"&amp;A323+2))),A323+2,A323+3)),IF(A323=$AF$2,$AF$3,IF(A323=$AF$4,$AF$5,IF(A323=$AF$5,$AF$6,IF(A323=$AF$7,$AF$8,""))))))</f>
        <v>#REF!</v>
      </c>
      <c r="B324" t="e">
        <f t="shared" ca="1" si="27"/>
        <v>#REF!</v>
      </c>
      <c r="C324" t="e" cm="1">
        <f t="array" aca="1" ref="C324" ca="1">IF(A324="","",IF(B324="safety","safety costs",INDIRECT("template!"&amp;"B"&amp;A324)))</f>
        <v>#REF!</v>
      </c>
      <c r="D324" t="e" cm="1">
        <f t="array" aca="1" ref="D324" ca="1">IF(OR(A324="",B324="safety"),"",INDIRECT("template!"&amp;"C"&amp;A324))</f>
        <v>#REF!</v>
      </c>
      <c r="E324" t="e" cm="1">
        <f t="array" aca="1" ref="E324" ca="1">IF(A324="","",IF(OR(A324=A323+1,A324=A323+2),E323,INDIRECT("template!"&amp;"D"&amp;A324-2)))</f>
        <v>#REF!</v>
      </c>
      <c r="F324" t="e" cm="1">
        <f t="array" aca="1" ref="F324" ca="1">IF(OR(A324="",B324="safety"),"",IF(ISBLANK(IF(A324=A323+1,F323,INDIRECT("template!"&amp;"D"&amp;A324-1))),"",IF(A324=A323+1,F323,INDIRECT("template!"&amp;"D"&amp;A324-1))))</f>
        <v>#REF!</v>
      </c>
      <c r="G324" t="e" cm="1">
        <f t="array" aca="1" ref="G324" ca="1">IF(OR(A324="",B324="safety"),"",IF(ISBLANK(INDIRECT("template!"&amp;"D"&amp;A324)),"",INDIRECT("template!"&amp;"D"&amp;A324)))</f>
        <v>#REF!</v>
      </c>
      <c r="H324" t="e" cm="1">
        <f t="array" aca="1" ref="H324" ca="1">IF(OR(A324="",B324="safety"),"",IF(ISBLANK(INDIRECT("template!"&amp;"E"&amp;A324)),"",INDIRECT("template!"&amp;"E"&amp;A324)))</f>
        <v>#REF!</v>
      </c>
      <c r="I324" t="e" cm="1">
        <f t="array" aca="1" ref="I324" ca="1">IF(OR(A324="",B324="safety"),"",IF(ISBLANK(INDIRECT("template!"&amp;"F"&amp;A324)),"",INDIRECT("template!"&amp;"F"&amp;A324)))</f>
        <v>#REF!</v>
      </c>
      <c r="J324" t="e" cm="1">
        <f t="array" aca="1" ref="J324" ca="1">IF(OR(A324="",B324="safety"),"",IF(ISBLANK(INDIRECT("template!"&amp;"G"&amp;A324)),"",INDIRECT("template!"&amp;"G"&amp;A324)))</f>
        <v>#REF!</v>
      </c>
      <c r="K324" t="e" cm="1">
        <f t="array" aca="1" ref="K324" ca="1">IF(OR(A324="",B324="safety"),"",IF(ISBLANK(INDIRECT("template!"&amp;"H"&amp;A324)),"",INDIRECT("template!"&amp;"H"&amp;A324)))</f>
        <v>#REF!</v>
      </c>
      <c r="L324" t="e" cm="1">
        <f t="array" aca="1" ref="L324" ca="1">IF(OR(A324="",B324="safety"),"",INDIRECT("template!"&amp;"I"&amp;A324))</f>
        <v>#REF!</v>
      </c>
      <c r="M324" t="e" cm="1">
        <f t="array" aca="1" ref="M324" ca="1">IF(OR(A324="",B324="safety"),"",INDIRECT("template!"&amp;"J"&amp;A324))</f>
        <v>#REF!</v>
      </c>
      <c r="N324" t="e" cm="1">
        <f t="array" aca="1" ref="N324" ca="1">IF(OR(A324="",B324="safety"),"",IF(ISBLANK(INDIRECT("template!"&amp;"K"&amp;A324)),"",INDIRECT("template!"&amp;"K"&amp;A324)))</f>
        <v>#REF!</v>
      </c>
      <c r="O324" t="e" cm="1">
        <f t="array" aca="1" ref="O324" ca="1">IF(OR(A324="",B324="safety"),"",INDIRECT("template!"&amp;"L"&amp;A324))</f>
        <v>#REF!</v>
      </c>
      <c r="P324" t="e" cm="1">
        <f t="array" aca="1" ref="P324" ca="1">IF(OR(A324="",B324="safety"),"",INDIRECT("template!"&amp;"M"&amp;A324))</f>
        <v>#REF!</v>
      </c>
      <c r="Q324" t="e">
        <f t="shared" ref="Q324:Q387" ca="1" si="28">IF(OR(A324="",B324="safety"),"",IF(E324="","",O324*L324))</f>
        <v>#REF!</v>
      </c>
      <c r="R324" t="e">
        <f t="shared" ref="R324:R387" ca="1" si="29">IF(OR(A324="",B324="safety"),"",IF(E324="","",P324*L324))</f>
        <v>#REF!</v>
      </c>
      <c r="S324" t="e">
        <f t="shared" ref="S324:S387" ca="1" si="30">IF(OR(A324="",B324="safety"),"",IF(E324="","",O324*M324))</f>
        <v>#REF!</v>
      </c>
      <c r="T324" t="e">
        <f t="shared" ref="T324:T387" ca="1" si="31">IF(OR(A324="",B324="safety"),"",IF(E324="","",M324*P324))</f>
        <v>#REF!</v>
      </c>
      <c r="U324" t="e" cm="1">
        <f t="array" aca="1" ref="U324" ca="1">IF(A324="","",IF(E324="","",IF(B324="safety",INDIRECT("template!"&amp;"P"&amp;A324),Q324+R324)))</f>
        <v>#REF!</v>
      </c>
      <c r="V324" t="e" cm="1">
        <f t="array" aca="1" ref="V324" ca="1">IF(A324="","",IF(E324="","",IF(B324="safety",INDIRECT("template!"&amp;"P"&amp;A324),S324+T324)))</f>
        <v>#REF!</v>
      </c>
      <c r="W324" t="e">
        <f ca="1">IF(A324="","",IF(E324="","",#REF!))</f>
        <v>#REF!</v>
      </c>
      <c r="X324" t="e">
        <f ca="1">IF(A324="","",IF(E324="","",#REF!))</f>
        <v>#REF!</v>
      </c>
      <c r="Y324" s="39" t="e">
        <f ca="1">IF(A324="","",IF(E324="","",#REF!))</f>
        <v>#REF!</v>
      </c>
      <c r="Z324" t="e">
        <f ca="1">IF(A324="","",IF(E324="","",#REF!))</f>
        <v>#REF!</v>
      </c>
      <c r="AA324" t="e">
        <f ca="1">IF(A324="","",IF(E324="","",#REF!))</f>
        <v>#REF!</v>
      </c>
      <c r="AB324" t="e">
        <f ca="1">IF(A324="","",IF(E324="","",#REF!))</f>
        <v>#REF!</v>
      </c>
      <c r="AC324" t="e">
        <f t="shared" ref="AC324:AC387" ca="1" si="32">IF(A324="","",IF(E324="","","WEEK "&amp;WEEKNUM(Y324)&amp;"_"&amp;YEAR(Y324)))</f>
        <v>#REF!</v>
      </c>
    </row>
    <row r="325" spans="1:29" x14ac:dyDescent="0.35">
      <c r="A325" t="e" cm="1">
        <f t="array" aca="1" ref="A325" ca="1">IF(A324="","",IF(OR(AND(A324+1&gt;=$AF$1,A324+1&lt;=$AF$2),AND(A324+1&gt;=$AF$6,A324+1&lt;=$AF$7),AND(A324+1&gt;=$AF$3,A324+1&lt;=$AF$4),AND(A324+1&gt;=$AF$8,A324+1&lt;=$AF$9),A324+1=$AF$5),IF(NOT(ISBLANK(INDIRECT("template!"&amp;"P"&amp;A324+1))),A324+1,IF(NOT(ISBLANK(INDIRECT("template!"&amp;"P"&amp;A324+2))),A324+2,A324+3)),IF(A324=$AF$2,$AF$3,IF(A324=$AF$4,$AF$5,IF(A324=$AF$5,$AF$6,IF(A324=$AF$7,$AF$8,""))))))</f>
        <v>#REF!</v>
      </c>
      <c r="B325" t="e">
        <f t="shared" ca="1" si="27"/>
        <v>#REF!</v>
      </c>
      <c r="C325" t="e" cm="1">
        <f t="array" aca="1" ref="C325" ca="1">IF(A325="","",IF(B325="safety","safety costs",INDIRECT("template!"&amp;"B"&amp;A325)))</f>
        <v>#REF!</v>
      </c>
      <c r="D325" t="e" cm="1">
        <f t="array" aca="1" ref="D325" ca="1">IF(OR(A325="",B325="safety"),"",INDIRECT("template!"&amp;"C"&amp;A325))</f>
        <v>#REF!</v>
      </c>
      <c r="E325" t="e" cm="1">
        <f t="array" aca="1" ref="E325" ca="1">IF(A325="","",IF(OR(A325=A324+1,A325=A324+2),E324,INDIRECT("template!"&amp;"D"&amp;A325-2)))</f>
        <v>#REF!</v>
      </c>
      <c r="F325" t="e" cm="1">
        <f t="array" aca="1" ref="F325" ca="1">IF(OR(A325="",B325="safety"),"",IF(ISBLANK(IF(A325=A324+1,F324,INDIRECT("template!"&amp;"D"&amp;A325-1))),"",IF(A325=A324+1,F324,INDIRECT("template!"&amp;"D"&amp;A325-1))))</f>
        <v>#REF!</v>
      </c>
      <c r="G325" t="e" cm="1">
        <f t="array" aca="1" ref="G325" ca="1">IF(OR(A325="",B325="safety"),"",IF(ISBLANK(INDIRECT("template!"&amp;"D"&amp;A325)),"",INDIRECT("template!"&amp;"D"&amp;A325)))</f>
        <v>#REF!</v>
      </c>
      <c r="H325" t="e" cm="1">
        <f t="array" aca="1" ref="H325" ca="1">IF(OR(A325="",B325="safety"),"",IF(ISBLANK(INDIRECT("template!"&amp;"E"&amp;A325)),"",INDIRECT("template!"&amp;"E"&amp;A325)))</f>
        <v>#REF!</v>
      </c>
      <c r="I325" t="e" cm="1">
        <f t="array" aca="1" ref="I325" ca="1">IF(OR(A325="",B325="safety"),"",IF(ISBLANK(INDIRECT("template!"&amp;"F"&amp;A325)),"",INDIRECT("template!"&amp;"F"&amp;A325)))</f>
        <v>#REF!</v>
      </c>
      <c r="J325" t="e" cm="1">
        <f t="array" aca="1" ref="J325" ca="1">IF(OR(A325="",B325="safety"),"",IF(ISBLANK(INDIRECT("template!"&amp;"G"&amp;A325)),"",INDIRECT("template!"&amp;"G"&amp;A325)))</f>
        <v>#REF!</v>
      </c>
      <c r="K325" t="e" cm="1">
        <f t="array" aca="1" ref="K325" ca="1">IF(OR(A325="",B325="safety"),"",IF(ISBLANK(INDIRECT("template!"&amp;"H"&amp;A325)),"",INDIRECT("template!"&amp;"H"&amp;A325)))</f>
        <v>#REF!</v>
      </c>
      <c r="L325" t="e" cm="1">
        <f t="array" aca="1" ref="L325" ca="1">IF(OR(A325="",B325="safety"),"",INDIRECT("template!"&amp;"I"&amp;A325))</f>
        <v>#REF!</v>
      </c>
      <c r="M325" t="e" cm="1">
        <f t="array" aca="1" ref="M325" ca="1">IF(OR(A325="",B325="safety"),"",INDIRECT("template!"&amp;"J"&amp;A325))</f>
        <v>#REF!</v>
      </c>
      <c r="N325" t="e" cm="1">
        <f t="array" aca="1" ref="N325" ca="1">IF(OR(A325="",B325="safety"),"",IF(ISBLANK(INDIRECT("template!"&amp;"K"&amp;A325)),"",INDIRECT("template!"&amp;"K"&amp;A325)))</f>
        <v>#REF!</v>
      </c>
      <c r="O325" t="e" cm="1">
        <f t="array" aca="1" ref="O325" ca="1">IF(OR(A325="",B325="safety"),"",INDIRECT("template!"&amp;"L"&amp;A325))</f>
        <v>#REF!</v>
      </c>
      <c r="P325" t="e" cm="1">
        <f t="array" aca="1" ref="P325" ca="1">IF(OR(A325="",B325="safety"),"",INDIRECT("template!"&amp;"M"&amp;A325))</f>
        <v>#REF!</v>
      </c>
      <c r="Q325" t="e">
        <f t="shared" ca="1" si="28"/>
        <v>#REF!</v>
      </c>
      <c r="R325" t="e">
        <f t="shared" ca="1" si="29"/>
        <v>#REF!</v>
      </c>
      <c r="S325" t="e">
        <f t="shared" ca="1" si="30"/>
        <v>#REF!</v>
      </c>
      <c r="T325" t="e">
        <f t="shared" ca="1" si="31"/>
        <v>#REF!</v>
      </c>
      <c r="U325" t="e" cm="1">
        <f t="array" aca="1" ref="U325" ca="1">IF(A325="","",IF(E325="","",IF(B325="safety",INDIRECT("template!"&amp;"P"&amp;A325),Q325+R325)))</f>
        <v>#REF!</v>
      </c>
      <c r="V325" t="e" cm="1">
        <f t="array" aca="1" ref="V325" ca="1">IF(A325="","",IF(E325="","",IF(B325="safety",INDIRECT("template!"&amp;"P"&amp;A325),S325+T325)))</f>
        <v>#REF!</v>
      </c>
      <c r="W325" t="e">
        <f ca="1">IF(A325="","",IF(E325="","",#REF!))</f>
        <v>#REF!</v>
      </c>
      <c r="X325" t="e">
        <f ca="1">IF(A325="","",IF(E325="","",#REF!))</f>
        <v>#REF!</v>
      </c>
      <c r="Y325" s="39" t="e">
        <f ca="1">IF(A325="","",IF(E325="","",#REF!))</f>
        <v>#REF!</v>
      </c>
      <c r="Z325" t="e">
        <f ca="1">IF(A325="","",IF(E325="","",#REF!))</f>
        <v>#REF!</v>
      </c>
      <c r="AA325" t="e">
        <f ca="1">IF(A325="","",IF(E325="","",#REF!))</f>
        <v>#REF!</v>
      </c>
      <c r="AB325" t="e">
        <f ca="1">IF(A325="","",IF(E325="","",#REF!))</f>
        <v>#REF!</v>
      </c>
      <c r="AC325" t="e">
        <f t="shared" ca="1" si="32"/>
        <v>#REF!</v>
      </c>
    </row>
    <row r="326" spans="1:29" x14ac:dyDescent="0.35">
      <c r="A326" t="e" cm="1">
        <f t="array" aca="1" ref="A326" ca="1">IF(A325="","",IF(OR(AND(A325+1&gt;=$AF$1,A325+1&lt;=$AF$2),AND(A325+1&gt;=$AF$6,A325+1&lt;=$AF$7),AND(A325+1&gt;=$AF$3,A325+1&lt;=$AF$4),AND(A325+1&gt;=$AF$8,A325+1&lt;=$AF$9),A325+1=$AF$5),IF(NOT(ISBLANK(INDIRECT("template!"&amp;"P"&amp;A325+1))),A325+1,IF(NOT(ISBLANK(INDIRECT("template!"&amp;"P"&amp;A325+2))),A325+2,A325+3)),IF(A325=$AF$2,$AF$3,IF(A325=$AF$4,$AF$5,IF(A325=$AF$5,$AF$6,IF(A325=$AF$7,$AF$8,""))))))</f>
        <v>#REF!</v>
      </c>
      <c r="B326" t="e">
        <f t="shared" ca="1" si="27"/>
        <v>#REF!</v>
      </c>
      <c r="C326" t="e" cm="1">
        <f t="array" aca="1" ref="C326" ca="1">IF(A326="","",IF(B326="safety","safety costs",INDIRECT("template!"&amp;"B"&amp;A326)))</f>
        <v>#REF!</v>
      </c>
      <c r="D326" t="e" cm="1">
        <f t="array" aca="1" ref="D326" ca="1">IF(OR(A326="",B326="safety"),"",INDIRECT("template!"&amp;"C"&amp;A326))</f>
        <v>#REF!</v>
      </c>
      <c r="E326" t="e" cm="1">
        <f t="array" aca="1" ref="E326" ca="1">IF(A326="","",IF(OR(A326=A325+1,A326=A325+2),E325,INDIRECT("template!"&amp;"D"&amp;A326-2)))</f>
        <v>#REF!</v>
      </c>
      <c r="F326" t="e" cm="1">
        <f t="array" aca="1" ref="F326" ca="1">IF(OR(A326="",B326="safety"),"",IF(ISBLANK(IF(A326=A325+1,F325,INDIRECT("template!"&amp;"D"&amp;A326-1))),"",IF(A326=A325+1,F325,INDIRECT("template!"&amp;"D"&amp;A326-1))))</f>
        <v>#REF!</v>
      </c>
      <c r="G326" t="e" cm="1">
        <f t="array" aca="1" ref="G326" ca="1">IF(OR(A326="",B326="safety"),"",IF(ISBLANK(INDIRECT("template!"&amp;"D"&amp;A326)),"",INDIRECT("template!"&amp;"D"&amp;A326)))</f>
        <v>#REF!</v>
      </c>
      <c r="H326" t="e" cm="1">
        <f t="array" aca="1" ref="H326" ca="1">IF(OR(A326="",B326="safety"),"",IF(ISBLANK(INDIRECT("template!"&amp;"E"&amp;A326)),"",INDIRECT("template!"&amp;"E"&amp;A326)))</f>
        <v>#REF!</v>
      </c>
      <c r="I326" t="e" cm="1">
        <f t="array" aca="1" ref="I326" ca="1">IF(OR(A326="",B326="safety"),"",IF(ISBLANK(INDIRECT("template!"&amp;"F"&amp;A326)),"",INDIRECT("template!"&amp;"F"&amp;A326)))</f>
        <v>#REF!</v>
      </c>
      <c r="J326" t="e" cm="1">
        <f t="array" aca="1" ref="J326" ca="1">IF(OR(A326="",B326="safety"),"",IF(ISBLANK(INDIRECT("template!"&amp;"G"&amp;A326)),"",INDIRECT("template!"&amp;"G"&amp;A326)))</f>
        <v>#REF!</v>
      </c>
      <c r="K326" t="e" cm="1">
        <f t="array" aca="1" ref="K326" ca="1">IF(OR(A326="",B326="safety"),"",IF(ISBLANK(INDIRECT("template!"&amp;"H"&amp;A326)),"",INDIRECT("template!"&amp;"H"&amp;A326)))</f>
        <v>#REF!</v>
      </c>
      <c r="L326" t="e" cm="1">
        <f t="array" aca="1" ref="L326" ca="1">IF(OR(A326="",B326="safety"),"",INDIRECT("template!"&amp;"I"&amp;A326))</f>
        <v>#REF!</v>
      </c>
      <c r="M326" t="e" cm="1">
        <f t="array" aca="1" ref="M326" ca="1">IF(OR(A326="",B326="safety"),"",INDIRECT("template!"&amp;"J"&amp;A326))</f>
        <v>#REF!</v>
      </c>
      <c r="N326" t="e" cm="1">
        <f t="array" aca="1" ref="N326" ca="1">IF(OR(A326="",B326="safety"),"",IF(ISBLANK(INDIRECT("template!"&amp;"K"&amp;A326)),"",INDIRECT("template!"&amp;"K"&amp;A326)))</f>
        <v>#REF!</v>
      </c>
      <c r="O326" t="e" cm="1">
        <f t="array" aca="1" ref="O326" ca="1">IF(OR(A326="",B326="safety"),"",INDIRECT("template!"&amp;"L"&amp;A326))</f>
        <v>#REF!</v>
      </c>
      <c r="P326" t="e" cm="1">
        <f t="array" aca="1" ref="P326" ca="1">IF(OR(A326="",B326="safety"),"",INDIRECT("template!"&amp;"M"&amp;A326))</f>
        <v>#REF!</v>
      </c>
      <c r="Q326" t="e">
        <f t="shared" ca="1" si="28"/>
        <v>#REF!</v>
      </c>
      <c r="R326" t="e">
        <f t="shared" ca="1" si="29"/>
        <v>#REF!</v>
      </c>
      <c r="S326" t="e">
        <f t="shared" ca="1" si="30"/>
        <v>#REF!</v>
      </c>
      <c r="T326" t="e">
        <f t="shared" ca="1" si="31"/>
        <v>#REF!</v>
      </c>
      <c r="U326" t="e" cm="1">
        <f t="array" aca="1" ref="U326" ca="1">IF(A326="","",IF(E326="","",IF(B326="safety",INDIRECT("template!"&amp;"P"&amp;A326),Q326+R326)))</f>
        <v>#REF!</v>
      </c>
      <c r="V326" t="e" cm="1">
        <f t="array" aca="1" ref="V326" ca="1">IF(A326="","",IF(E326="","",IF(B326="safety",INDIRECT("template!"&amp;"P"&amp;A326),S326+T326)))</f>
        <v>#REF!</v>
      </c>
      <c r="W326" t="e">
        <f ca="1">IF(A326="","",IF(E326="","",#REF!))</f>
        <v>#REF!</v>
      </c>
      <c r="X326" t="e">
        <f ca="1">IF(A326="","",IF(E326="","",#REF!))</f>
        <v>#REF!</v>
      </c>
      <c r="Y326" s="39" t="e">
        <f ca="1">IF(A326="","",IF(E326="","",#REF!))</f>
        <v>#REF!</v>
      </c>
      <c r="Z326" t="e">
        <f ca="1">IF(A326="","",IF(E326="","",#REF!))</f>
        <v>#REF!</v>
      </c>
      <c r="AA326" t="e">
        <f ca="1">IF(A326="","",IF(E326="","",#REF!))</f>
        <v>#REF!</v>
      </c>
      <c r="AB326" t="e">
        <f ca="1">IF(A326="","",IF(E326="","",#REF!))</f>
        <v>#REF!</v>
      </c>
      <c r="AC326" t="e">
        <f t="shared" ca="1" si="32"/>
        <v>#REF!</v>
      </c>
    </row>
    <row r="327" spans="1:29" x14ac:dyDescent="0.35">
      <c r="A327" t="e" cm="1">
        <f t="array" aca="1" ref="A327" ca="1">IF(A326="","",IF(OR(AND(A326+1&gt;=$AF$1,A326+1&lt;=$AF$2),AND(A326+1&gt;=$AF$6,A326+1&lt;=$AF$7),AND(A326+1&gt;=$AF$3,A326+1&lt;=$AF$4),AND(A326+1&gt;=$AF$8,A326+1&lt;=$AF$9),A326+1=$AF$5),IF(NOT(ISBLANK(INDIRECT("template!"&amp;"P"&amp;A326+1))),A326+1,IF(NOT(ISBLANK(INDIRECT("template!"&amp;"P"&amp;A326+2))),A326+2,A326+3)),IF(A326=$AF$2,$AF$3,IF(A326=$AF$4,$AF$5,IF(A326=$AF$5,$AF$6,IF(A326=$AF$7,$AF$8,""))))))</f>
        <v>#REF!</v>
      </c>
      <c r="B327" t="e">
        <f t="shared" ca="1" si="27"/>
        <v>#REF!</v>
      </c>
      <c r="C327" t="e" cm="1">
        <f t="array" aca="1" ref="C327" ca="1">IF(A327="","",IF(B327="safety","safety costs",INDIRECT("template!"&amp;"B"&amp;A327)))</f>
        <v>#REF!</v>
      </c>
      <c r="D327" t="e" cm="1">
        <f t="array" aca="1" ref="D327" ca="1">IF(OR(A327="",B327="safety"),"",INDIRECT("template!"&amp;"C"&amp;A327))</f>
        <v>#REF!</v>
      </c>
      <c r="E327" t="e" cm="1">
        <f t="array" aca="1" ref="E327" ca="1">IF(A327="","",IF(OR(A327=A326+1,A327=A326+2),E326,INDIRECT("template!"&amp;"D"&amp;A327-2)))</f>
        <v>#REF!</v>
      </c>
      <c r="F327" t="e" cm="1">
        <f t="array" aca="1" ref="F327" ca="1">IF(OR(A327="",B327="safety"),"",IF(ISBLANK(IF(A327=A326+1,F326,INDIRECT("template!"&amp;"D"&amp;A327-1))),"",IF(A327=A326+1,F326,INDIRECT("template!"&amp;"D"&amp;A327-1))))</f>
        <v>#REF!</v>
      </c>
      <c r="G327" t="e" cm="1">
        <f t="array" aca="1" ref="G327" ca="1">IF(OR(A327="",B327="safety"),"",IF(ISBLANK(INDIRECT("template!"&amp;"D"&amp;A327)),"",INDIRECT("template!"&amp;"D"&amp;A327)))</f>
        <v>#REF!</v>
      </c>
      <c r="H327" t="e" cm="1">
        <f t="array" aca="1" ref="H327" ca="1">IF(OR(A327="",B327="safety"),"",IF(ISBLANK(INDIRECT("template!"&amp;"E"&amp;A327)),"",INDIRECT("template!"&amp;"E"&amp;A327)))</f>
        <v>#REF!</v>
      </c>
      <c r="I327" t="e" cm="1">
        <f t="array" aca="1" ref="I327" ca="1">IF(OR(A327="",B327="safety"),"",IF(ISBLANK(INDIRECT("template!"&amp;"F"&amp;A327)),"",INDIRECT("template!"&amp;"F"&amp;A327)))</f>
        <v>#REF!</v>
      </c>
      <c r="J327" t="e" cm="1">
        <f t="array" aca="1" ref="J327" ca="1">IF(OR(A327="",B327="safety"),"",IF(ISBLANK(INDIRECT("template!"&amp;"G"&amp;A327)),"",INDIRECT("template!"&amp;"G"&amp;A327)))</f>
        <v>#REF!</v>
      </c>
      <c r="K327" t="e" cm="1">
        <f t="array" aca="1" ref="K327" ca="1">IF(OR(A327="",B327="safety"),"",IF(ISBLANK(INDIRECT("template!"&amp;"H"&amp;A327)),"",INDIRECT("template!"&amp;"H"&amp;A327)))</f>
        <v>#REF!</v>
      </c>
      <c r="L327" t="e" cm="1">
        <f t="array" aca="1" ref="L327" ca="1">IF(OR(A327="",B327="safety"),"",INDIRECT("template!"&amp;"I"&amp;A327))</f>
        <v>#REF!</v>
      </c>
      <c r="M327" t="e" cm="1">
        <f t="array" aca="1" ref="M327" ca="1">IF(OR(A327="",B327="safety"),"",INDIRECT("template!"&amp;"J"&amp;A327))</f>
        <v>#REF!</v>
      </c>
      <c r="N327" t="e" cm="1">
        <f t="array" aca="1" ref="N327" ca="1">IF(OR(A327="",B327="safety"),"",IF(ISBLANK(INDIRECT("template!"&amp;"K"&amp;A327)),"",INDIRECT("template!"&amp;"K"&amp;A327)))</f>
        <v>#REF!</v>
      </c>
      <c r="O327" t="e" cm="1">
        <f t="array" aca="1" ref="O327" ca="1">IF(OR(A327="",B327="safety"),"",INDIRECT("template!"&amp;"L"&amp;A327))</f>
        <v>#REF!</v>
      </c>
      <c r="P327" t="e" cm="1">
        <f t="array" aca="1" ref="P327" ca="1">IF(OR(A327="",B327="safety"),"",INDIRECT("template!"&amp;"M"&amp;A327))</f>
        <v>#REF!</v>
      </c>
      <c r="Q327" t="e">
        <f t="shared" ca="1" si="28"/>
        <v>#REF!</v>
      </c>
      <c r="R327" t="e">
        <f t="shared" ca="1" si="29"/>
        <v>#REF!</v>
      </c>
      <c r="S327" t="e">
        <f t="shared" ca="1" si="30"/>
        <v>#REF!</v>
      </c>
      <c r="T327" t="e">
        <f t="shared" ca="1" si="31"/>
        <v>#REF!</v>
      </c>
      <c r="U327" t="e" cm="1">
        <f t="array" aca="1" ref="U327" ca="1">IF(A327="","",IF(E327="","",IF(B327="safety",INDIRECT("template!"&amp;"P"&amp;A327),Q327+R327)))</f>
        <v>#REF!</v>
      </c>
      <c r="V327" t="e" cm="1">
        <f t="array" aca="1" ref="V327" ca="1">IF(A327="","",IF(E327="","",IF(B327="safety",INDIRECT("template!"&amp;"P"&amp;A327),S327+T327)))</f>
        <v>#REF!</v>
      </c>
      <c r="W327" t="e">
        <f ca="1">IF(A327="","",IF(E327="","",#REF!))</f>
        <v>#REF!</v>
      </c>
      <c r="X327" t="e">
        <f ca="1">IF(A327="","",IF(E327="","",#REF!))</f>
        <v>#REF!</v>
      </c>
      <c r="Y327" s="39" t="e">
        <f ca="1">IF(A327="","",IF(E327="","",#REF!))</f>
        <v>#REF!</v>
      </c>
      <c r="Z327" t="e">
        <f ca="1">IF(A327="","",IF(E327="","",#REF!))</f>
        <v>#REF!</v>
      </c>
      <c r="AA327" t="e">
        <f ca="1">IF(A327="","",IF(E327="","",#REF!))</f>
        <v>#REF!</v>
      </c>
      <c r="AB327" t="e">
        <f ca="1">IF(A327="","",IF(E327="","",#REF!))</f>
        <v>#REF!</v>
      </c>
      <c r="AC327" t="e">
        <f t="shared" ca="1" si="32"/>
        <v>#REF!</v>
      </c>
    </row>
    <row r="328" spans="1:29" x14ac:dyDescent="0.35">
      <c r="A328" t="e" cm="1">
        <f t="array" aca="1" ref="A328" ca="1">IF(A327="","",IF(OR(AND(A327+1&gt;=$AF$1,A327+1&lt;=$AF$2),AND(A327+1&gt;=$AF$6,A327+1&lt;=$AF$7),AND(A327+1&gt;=$AF$3,A327+1&lt;=$AF$4),AND(A327+1&gt;=$AF$8,A327+1&lt;=$AF$9),A327+1=$AF$5),IF(NOT(ISBLANK(INDIRECT("template!"&amp;"P"&amp;A327+1))),A327+1,IF(NOT(ISBLANK(INDIRECT("template!"&amp;"P"&amp;A327+2))),A327+2,A327+3)),IF(A327=$AF$2,$AF$3,IF(A327=$AF$4,$AF$5,IF(A327=$AF$5,$AF$6,IF(A327=$AF$7,$AF$8,""))))))</f>
        <v>#REF!</v>
      </c>
      <c r="B328" t="e">
        <f t="shared" ca="1" si="27"/>
        <v>#REF!</v>
      </c>
      <c r="C328" t="e" cm="1">
        <f t="array" aca="1" ref="C328" ca="1">IF(A328="","",IF(B328="safety","safety costs",INDIRECT("template!"&amp;"B"&amp;A328)))</f>
        <v>#REF!</v>
      </c>
      <c r="D328" t="e" cm="1">
        <f t="array" aca="1" ref="D328" ca="1">IF(OR(A328="",B328="safety"),"",INDIRECT("template!"&amp;"C"&amp;A328))</f>
        <v>#REF!</v>
      </c>
      <c r="E328" t="e" cm="1">
        <f t="array" aca="1" ref="E328" ca="1">IF(A328="","",IF(OR(A328=A327+1,A328=A327+2),E327,INDIRECT("template!"&amp;"D"&amp;A328-2)))</f>
        <v>#REF!</v>
      </c>
      <c r="F328" t="e" cm="1">
        <f t="array" aca="1" ref="F328" ca="1">IF(OR(A328="",B328="safety"),"",IF(ISBLANK(IF(A328=A327+1,F327,INDIRECT("template!"&amp;"D"&amp;A328-1))),"",IF(A328=A327+1,F327,INDIRECT("template!"&amp;"D"&amp;A328-1))))</f>
        <v>#REF!</v>
      </c>
      <c r="G328" t="e" cm="1">
        <f t="array" aca="1" ref="G328" ca="1">IF(OR(A328="",B328="safety"),"",IF(ISBLANK(INDIRECT("template!"&amp;"D"&amp;A328)),"",INDIRECT("template!"&amp;"D"&amp;A328)))</f>
        <v>#REF!</v>
      </c>
      <c r="H328" t="e" cm="1">
        <f t="array" aca="1" ref="H328" ca="1">IF(OR(A328="",B328="safety"),"",IF(ISBLANK(INDIRECT("template!"&amp;"E"&amp;A328)),"",INDIRECT("template!"&amp;"E"&amp;A328)))</f>
        <v>#REF!</v>
      </c>
      <c r="I328" t="e" cm="1">
        <f t="array" aca="1" ref="I328" ca="1">IF(OR(A328="",B328="safety"),"",IF(ISBLANK(INDIRECT("template!"&amp;"F"&amp;A328)),"",INDIRECT("template!"&amp;"F"&amp;A328)))</f>
        <v>#REF!</v>
      </c>
      <c r="J328" t="e" cm="1">
        <f t="array" aca="1" ref="J328" ca="1">IF(OR(A328="",B328="safety"),"",IF(ISBLANK(INDIRECT("template!"&amp;"G"&amp;A328)),"",INDIRECT("template!"&amp;"G"&amp;A328)))</f>
        <v>#REF!</v>
      </c>
      <c r="K328" t="e" cm="1">
        <f t="array" aca="1" ref="K328" ca="1">IF(OR(A328="",B328="safety"),"",IF(ISBLANK(INDIRECT("template!"&amp;"H"&amp;A328)),"",INDIRECT("template!"&amp;"H"&amp;A328)))</f>
        <v>#REF!</v>
      </c>
      <c r="L328" t="e" cm="1">
        <f t="array" aca="1" ref="L328" ca="1">IF(OR(A328="",B328="safety"),"",INDIRECT("template!"&amp;"I"&amp;A328))</f>
        <v>#REF!</v>
      </c>
      <c r="M328" t="e" cm="1">
        <f t="array" aca="1" ref="M328" ca="1">IF(OR(A328="",B328="safety"),"",INDIRECT("template!"&amp;"J"&amp;A328))</f>
        <v>#REF!</v>
      </c>
      <c r="N328" t="e" cm="1">
        <f t="array" aca="1" ref="N328" ca="1">IF(OR(A328="",B328="safety"),"",IF(ISBLANK(INDIRECT("template!"&amp;"K"&amp;A328)),"",INDIRECT("template!"&amp;"K"&amp;A328)))</f>
        <v>#REF!</v>
      </c>
      <c r="O328" t="e" cm="1">
        <f t="array" aca="1" ref="O328" ca="1">IF(OR(A328="",B328="safety"),"",INDIRECT("template!"&amp;"L"&amp;A328))</f>
        <v>#REF!</v>
      </c>
      <c r="P328" t="e" cm="1">
        <f t="array" aca="1" ref="P328" ca="1">IF(OR(A328="",B328="safety"),"",INDIRECT("template!"&amp;"M"&amp;A328))</f>
        <v>#REF!</v>
      </c>
      <c r="Q328" t="e">
        <f t="shared" ca="1" si="28"/>
        <v>#REF!</v>
      </c>
      <c r="R328" t="e">
        <f t="shared" ca="1" si="29"/>
        <v>#REF!</v>
      </c>
      <c r="S328" t="e">
        <f t="shared" ca="1" si="30"/>
        <v>#REF!</v>
      </c>
      <c r="T328" t="e">
        <f t="shared" ca="1" si="31"/>
        <v>#REF!</v>
      </c>
      <c r="U328" t="e" cm="1">
        <f t="array" aca="1" ref="U328" ca="1">IF(A328="","",IF(E328="","",IF(B328="safety",INDIRECT("template!"&amp;"P"&amp;A328),Q328+R328)))</f>
        <v>#REF!</v>
      </c>
      <c r="V328" t="e" cm="1">
        <f t="array" aca="1" ref="V328" ca="1">IF(A328="","",IF(E328="","",IF(B328="safety",INDIRECT("template!"&amp;"P"&amp;A328),S328+T328)))</f>
        <v>#REF!</v>
      </c>
      <c r="W328" t="e">
        <f ca="1">IF(A328="","",IF(E328="","",#REF!))</f>
        <v>#REF!</v>
      </c>
      <c r="X328" t="e">
        <f ca="1">IF(A328="","",IF(E328="","",#REF!))</f>
        <v>#REF!</v>
      </c>
      <c r="Y328" s="39" t="e">
        <f ca="1">IF(A328="","",IF(E328="","",#REF!))</f>
        <v>#REF!</v>
      </c>
      <c r="Z328" t="e">
        <f ca="1">IF(A328="","",IF(E328="","",#REF!))</f>
        <v>#REF!</v>
      </c>
      <c r="AA328" t="e">
        <f ca="1">IF(A328="","",IF(E328="","",#REF!))</f>
        <v>#REF!</v>
      </c>
      <c r="AB328" t="e">
        <f ca="1">IF(A328="","",IF(E328="","",#REF!))</f>
        <v>#REF!</v>
      </c>
      <c r="AC328" t="e">
        <f t="shared" ca="1" si="32"/>
        <v>#REF!</v>
      </c>
    </row>
    <row r="329" spans="1:29" x14ac:dyDescent="0.35">
      <c r="A329" t="e" cm="1">
        <f t="array" aca="1" ref="A329" ca="1">IF(A328="","",IF(OR(AND(A328+1&gt;=$AF$1,A328+1&lt;=$AF$2),AND(A328+1&gt;=$AF$6,A328+1&lt;=$AF$7),AND(A328+1&gt;=$AF$3,A328+1&lt;=$AF$4),AND(A328+1&gt;=$AF$8,A328+1&lt;=$AF$9),A328+1=$AF$5),IF(NOT(ISBLANK(INDIRECT("template!"&amp;"P"&amp;A328+1))),A328+1,IF(NOT(ISBLANK(INDIRECT("template!"&amp;"P"&amp;A328+2))),A328+2,A328+3)),IF(A328=$AF$2,$AF$3,IF(A328=$AF$4,$AF$5,IF(A328=$AF$5,$AF$6,IF(A328=$AF$7,$AF$8,""))))))</f>
        <v>#REF!</v>
      </c>
      <c r="B329" t="e">
        <f t="shared" ca="1" si="27"/>
        <v>#REF!</v>
      </c>
      <c r="C329" t="e" cm="1">
        <f t="array" aca="1" ref="C329" ca="1">IF(A329="","",IF(B329="safety","safety costs",INDIRECT("template!"&amp;"B"&amp;A329)))</f>
        <v>#REF!</v>
      </c>
      <c r="D329" t="e" cm="1">
        <f t="array" aca="1" ref="D329" ca="1">IF(OR(A329="",B329="safety"),"",INDIRECT("template!"&amp;"C"&amp;A329))</f>
        <v>#REF!</v>
      </c>
      <c r="E329" t="e" cm="1">
        <f t="array" aca="1" ref="E329" ca="1">IF(A329="","",IF(OR(A329=A328+1,A329=A328+2),E328,INDIRECT("template!"&amp;"D"&amp;A329-2)))</f>
        <v>#REF!</v>
      </c>
      <c r="F329" t="e" cm="1">
        <f t="array" aca="1" ref="F329" ca="1">IF(OR(A329="",B329="safety"),"",IF(ISBLANK(IF(A329=A328+1,F328,INDIRECT("template!"&amp;"D"&amp;A329-1))),"",IF(A329=A328+1,F328,INDIRECT("template!"&amp;"D"&amp;A329-1))))</f>
        <v>#REF!</v>
      </c>
      <c r="G329" t="e" cm="1">
        <f t="array" aca="1" ref="G329" ca="1">IF(OR(A329="",B329="safety"),"",IF(ISBLANK(INDIRECT("template!"&amp;"D"&amp;A329)),"",INDIRECT("template!"&amp;"D"&amp;A329)))</f>
        <v>#REF!</v>
      </c>
      <c r="H329" t="e" cm="1">
        <f t="array" aca="1" ref="H329" ca="1">IF(OR(A329="",B329="safety"),"",IF(ISBLANK(INDIRECT("template!"&amp;"E"&amp;A329)),"",INDIRECT("template!"&amp;"E"&amp;A329)))</f>
        <v>#REF!</v>
      </c>
      <c r="I329" t="e" cm="1">
        <f t="array" aca="1" ref="I329" ca="1">IF(OR(A329="",B329="safety"),"",IF(ISBLANK(INDIRECT("template!"&amp;"F"&amp;A329)),"",INDIRECT("template!"&amp;"F"&amp;A329)))</f>
        <v>#REF!</v>
      </c>
      <c r="J329" t="e" cm="1">
        <f t="array" aca="1" ref="J329" ca="1">IF(OR(A329="",B329="safety"),"",IF(ISBLANK(INDIRECT("template!"&amp;"G"&amp;A329)),"",INDIRECT("template!"&amp;"G"&amp;A329)))</f>
        <v>#REF!</v>
      </c>
      <c r="K329" t="e" cm="1">
        <f t="array" aca="1" ref="K329" ca="1">IF(OR(A329="",B329="safety"),"",IF(ISBLANK(INDIRECT("template!"&amp;"H"&amp;A329)),"",INDIRECT("template!"&amp;"H"&amp;A329)))</f>
        <v>#REF!</v>
      </c>
      <c r="L329" t="e" cm="1">
        <f t="array" aca="1" ref="L329" ca="1">IF(OR(A329="",B329="safety"),"",INDIRECT("template!"&amp;"I"&amp;A329))</f>
        <v>#REF!</v>
      </c>
      <c r="M329" t="e" cm="1">
        <f t="array" aca="1" ref="M329" ca="1">IF(OR(A329="",B329="safety"),"",INDIRECT("template!"&amp;"J"&amp;A329))</f>
        <v>#REF!</v>
      </c>
      <c r="N329" t="e" cm="1">
        <f t="array" aca="1" ref="N329" ca="1">IF(OR(A329="",B329="safety"),"",IF(ISBLANK(INDIRECT("template!"&amp;"K"&amp;A329)),"",INDIRECT("template!"&amp;"K"&amp;A329)))</f>
        <v>#REF!</v>
      </c>
      <c r="O329" t="e" cm="1">
        <f t="array" aca="1" ref="O329" ca="1">IF(OR(A329="",B329="safety"),"",INDIRECT("template!"&amp;"L"&amp;A329))</f>
        <v>#REF!</v>
      </c>
      <c r="P329" t="e" cm="1">
        <f t="array" aca="1" ref="P329" ca="1">IF(OR(A329="",B329="safety"),"",INDIRECT("template!"&amp;"M"&amp;A329))</f>
        <v>#REF!</v>
      </c>
      <c r="Q329" t="e">
        <f t="shared" ca="1" si="28"/>
        <v>#REF!</v>
      </c>
      <c r="R329" t="e">
        <f t="shared" ca="1" si="29"/>
        <v>#REF!</v>
      </c>
      <c r="S329" t="e">
        <f t="shared" ca="1" si="30"/>
        <v>#REF!</v>
      </c>
      <c r="T329" t="e">
        <f t="shared" ca="1" si="31"/>
        <v>#REF!</v>
      </c>
      <c r="U329" t="e" cm="1">
        <f t="array" aca="1" ref="U329" ca="1">IF(A329="","",IF(E329="","",IF(B329="safety",INDIRECT("template!"&amp;"P"&amp;A329),Q329+R329)))</f>
        <v>#REF!</v>
      </c>
      <c r="V329" t="e" cm="1">
        <f t="array" aca="1" ref="V329" ca="1">IF(A329="","",IF(E329="","",IF(B329="safety",INDIRECT("template!"&amp;"P"&amp;A329),S329+T329)))</f>
        <v>#REF!</v>
      </c>
      <c r="W329" t="e">
        <f ca="1">IF(A329="","",IF(E329="","",#REF!))</f>
        <v>#REF!</v>
      </c>
      <c r="X329" t="e">
        <f ca="1">IF(A329="","",IF(E329="","",#REF!))</f>
        <v>#REF!</v>
      </c>
      <c r="Y329" s="39" t="e">
        <f ca="1">IF(A329="","",IF(E329="","",#REF!))</f>
        <v>#REF!</v>
      </c>
      <c r="Z329" t="e">
        <f ca="1">IF(A329="","",IF(E329="","",#REF!))</f>
        <v>#REF!</v>
      </c>
      <c r="AA329" t="e">
        <f ca="1">IF(A329="","",IF(E329="","",#REF!))</f>
        <v>#REF!</v>
      </c>
      <c r="AB329" t="e">
        <f ca="1">IF(A329="","",IF(E329="","",#REF!))</f>
        <v>#REF!</v>
      </c>
      <c r="AC329" t="e">
        <f t="shared" ca="1" si="32"/>
        <v>#REF!</v>
      </c>
    </row>
    <row r="330" spans="1:29" x14ac:dyDescent="0.35">
      <c r="A330" t="e" cm="1">
        <f t="array" aca="1" ref="A330" ca="1">IF(A329="","",IF(OR(AND(A329+1&gt;=$AF$1,A329+1&lt;=$AF$2),AND(A329+1&gt;=$AF$6,A329+1&lt;=$AF$7),AND(A329+1&gt;=$AF$3,A329+1&lt;=$AF$4),AND(A329+1&gt;=$AF$8,A329+1&lt;=$AF$9),A329+1=$AF$5),IF(NOT(ISBLANK(INDIRECT("template!"&amp;"P"&amp;A329+1))),A329+1,IF(NOT(ISBLANK(INDIRECT("template!"&amp;"P"&amp;A329+2))),A329+2,A329+3)),IF(A329=$AF$2,$AF$3,IF(A329=$AF$4,$AF$5,IF(A329=$AF$5,$AF$6,IF(A329=$AF$7,$AF$8,""))))))</f>
        <v>#REF!</v>
      </c>
      <c r="B330" t="e">
        <f t="shared" ca="1" si="27"/>
        <v>#REF!</v>
      </c>
      <c r="C330" t="e" cm="1">
        <f t="array" aca="1" ref="C330" ca="1">IF(A330="","",IF(B330="safety","safety costs",INDIRECT("template!"&amp;"B"&amp;A330)))</f>
        <v>#REF!</v>
      </c>
      <c r="D330" t="e" cm="1">
        <f t="array" aca="1" ref="D330" ca="1">IF(OR(A330="",B330="safety"),"",INDIRECT("template!"&amp;"C"&amp;A330))</f>
        <v>#REF!</v>
      </c>
      <c r="E330" t="e" cm="1">
        <f t="array" aca="1" ref="E330" ca="1">IF(A330="","",IF(OR(A330=A329+1,A330=A329+2),E329,INDIRECT("template!"&amp;"D"&amp;A330-2)))</f>
        <v>#REF!</v>
      </c>
      <c r="F330" t="e" cm="1">
        <f t="array" aca="1" ref="F330" ca="1">IF(OR(A330="",B330="safety"),"",IF(ISBLANK(IF(A330=A329+1,F329,INDIRECT("template!"&amp;"D"&amp;A330-1))),"",IF(A330=A329+1,F329,INDIRECT("template!"&amp;"D"&amp;A330-1))))</f>
        <v>#REF!</v>
      </c>
      <c r="G330" t="e" cm="1">
        <f t="array" aca="1" ref="G330" ca="1">IF(OR(A330="",B330="safety"),"",IF(ISBLANK(INDIRECT("template!"&amp;"D"&amp;A330)),"",INDIRECT("template!"&amp;"D"&amp;A330)))</f>
        <v>#REF!</v>
      </c>
      <c r="H330" t="e" cm="1">
        <f t="array" aca="1" ref="H330" ca="1">IF(OR(A330="",B330="safety"),"",IF(ISBLANK(INDIRECT("template!"&amp;"E"&amp;A330)),"",INDIRECT("template!"&amp;"E"&amp;A330)))</f>
        <v>#REF!</v>
      </c>
      <c r="I330" t="e" cm="1">
        <f t="array" aca="1" ref="I330" ca="1">IF(OR(A330="",B330="safety"),"",IF(ISBLANK(INDIRECT("template!"&amp;"F"&amp;A330)),"",INDIRECT("template!"&amp;"F"&amp;A330)))</f>
        <v>#REF!</v>
      </c>
      <c r="J330" t="e" cm="1">
        <f t="array" aca="1" ref="J330" ca="1">IF(OR(A330="",B330="safety"),"",IF(ISBLANK(INDIRECT("template!"&amp;"G"&amp;A330)),"",INDIRECT("template!"&amp;"G"&amp;A330)))</f>
        <v>#REF!</v>
      </c>
      <c r="K330" t="e" cm="1">
        <f t="array" aca="1" ref="K330" ca="1">IF(OR(A330="",B330="safety"),"",IF(ISBLANK(INDIRECT("template!"&amp;"H"&amp;A330)),"",INDIRECT("template!"&amp;"H"&amp;A330)))</f>
        <v>#REF!</v>
      </c>
      <c r="L330" t="e" cm="1">
        <f t="array" aca="1" ref="L330" ca="1">IF(OR(A330="",B330="safety"),"",INDIRECT("template!"&amp;"I"&amp;A330))</f>
        <v>#REF!</v>
      </c>
      <c r="M330" t="e" cm="1">
        <f t="array" aca="1" ref="M330" ca="1">IF(OR(A330="",B330="safety"),"",INDIRECT("template!"&amp;"J"&amp;A330))</f>
        <v>#REF!</v>
      </c>
      <c r="N330" t="e" cm="1">
        <f t="array" aca="1" ref="N330" ca="1">IF(OR(A330="",B330="safety"),"",IF(ISBLANK(INDIRECT("template!"&amp;"K"&amp;A330)),"",INDIRECT("template!"&amp;"K"&amp;A330)))</f>
        <v>#REF!</v>
      </c>
      <c r="O330" t="e" cm="1">
        <f t="array" aca="1" ref="O330" ca="1">IF(OR(A330="",B330="safety"),"",INDIRECT("template!"&amp;"L"&amp;A330))</f>
        <v>#REF!</v>
      </c>
      <c r="P330" t="e" cm="1">
        <f t="array" aca="1" ref="P330" ca="1">IF(OR(A330="",B330="safety"),"",INDIRECT("template!"&amp;"M"&amp;A330))</f>
        <v>#REF!</v>
      </c>
      <c r="Q330" t="e">
        <f t="shared" ca="1" si="28"/>
        <v>#REF!</v>
      </c>
      <c r="R330" t="e">
        <f t="shared" ca="1" si="29"/>
        <v>#REF!</v>
      </c>
      <c r="S330" t="e">
        <f t="shared" ca="1" si="30"/>
        <v>#REF!</v>
      </c>
      <c r="T330" t="e">
        <f t="shared" ca="1" si="31"/>
        <v>#REF!</v>
      </c>
      <c r="U330" t="e" cm="1">
        <f t="array" aca="1" ref="U330" ca="1">IF(A330="","",IF(E330="","",IF(B330="safety",INDIRECT("template!"&amp;"P"&amp;A330),Q330+R330)))</f>
        <v>#REF!</v>
      </c>
      <c r="V330" t="e" cm="1">
        <f t="array" aca="1" ref="V330" ca="1">IF(A330="","",IF(E330="","",IF(B330="safety",INDIRECT("template!"&amp;"P"&amp;A330),S330+T330)))</f>
        <v>#REF!</v>
      </c>
      <c r="W330" t="e">
        <f ca="1">IF(A330="","",IF(E330="","",#REF!))</f>
        <v>#REF!</v>
      </c>
      <c r="X330" t="e">
        <f ca="1">IF(A330="","",IF(E330="","",#REF!))</f>
        <v>#REF!</v>
      </c>
      <c r="Y330" s="39" t="e">
        <f ca="1">IF(A330="","",IF(E330="","",#REF!))</f>
        <v>#REF!</v>
      </c>
      <c r="Z330" t="e">
        <f ca="1">IF(A330="","",IF(E330="","",#REF!))</f>
        <v>#REF!</v>
      </c>
      <c r="AA330" t="e">
        <f ca="1">IF(A330="","",IF(E330="","",#REF!))</f>
        <v>#REF!</v>
      </c>
      <c r="AB330" t="e">
        <f ca="1">IF(A330="","",IF(E330="","",#REF!))</f>
        <v>#REF!</v>
      </c>
      <c r="AC330" t="e">
        <f t="shared" ca="1" si="32"/>
        <v>#REF!</v>
      </c>
    </row>
    <row r="331" spans="1:29" x14ac:dyDescent="0.35">
      <c r="A331" t="e" cm="1">
        <f t="array" aca="1" ref="A331" ca="1">IF(A330="","",IF(OR(AND(A330+1&gt;=$AF$1,A330+1&lt;=$AF$2),AND(A330+1&gt;=$AF$6,A330+1&lt;=$AF$7),AND(A330+1&gt;=$AF$3,A330+1&lt;=$AF$4),AND(A330+1&gt;=$AF$8,A330+1&lt;=$AF$9),A330+1=$AF$5),IF(NOT(ISBLANK(INDIRECT("template!"&amp;"P"&amp;A330+1))),A330+1,IF(NOT(ISBLANK(INDIRECT("template!"&amp;"P"&amp;A330+2))),A330+2,A330+3)),IF(A330=$AF$2,$AF$3,IF(A330=$AF$4,$AF$5,IF(A330=$AF$5,$AF$6,IF(A330=$AF$7,$AF$8,""))))))</f>
        <v>#REF!</v>
      </c>
      <c r="B331" t="e">
        <f t="shared" ca="1" si="27"/>
        <v>#REF!</v>
      </c>
      <c r="C331" t="e" cm="1">
        <f t="array" aca="1" ref="C331" ca="1">IF(A331="","",IF(B331="safety","safety costs",INDIRECT("template!"&amp;"B"&amp;A331)))</f>
        <v>#REF!</v>
      </c>
      <c r="D331" t="e" cm="1">
        <f t="array" aca="1" ref="D331" ca="1">IF(OR(A331="",B331="safety"),"",INDIRECT("template!"&amp;"C"&amp;A331))</f>
        <v>#REF!</v>
      </c>
      <c r="E331" t="e" cm="1">
        <f t="array" aca="1" ref="E331" ca="1">IF(A331="","",IF(OR(A331=A330+1,A331=A330+2),E330,INDIRECT("template!"&amp;"D"&amp;A331-2)))</f>
        <v>#REF!</v>
      </c>
      <c r="F331" t="e" cm="1">
        <f t="array" aca="1" ref="F331" ca="1">IF(OR(A331="",B331="safety"),"",IF(ISBLANK(IF(A331=A330+1,F330,INDIRECT("template!"&amp;"D"&amp;A331-1))),"",IF(A331=A330+1,F330,INDIRECT("template!"&amp;"D"&amp;A331-1))))</f>
        <v>#REF!</v>
      </c>
      <c r="G331" t="e" cm="1">
        <f t="array" aca="1" ref="G331" ca="1">IF(OR(A331="",B331="safety"),"",IF(ISBLANK(INDIRECT("template!"&amp;"D"&amp;A331)),"",INDIRECT("template!"&amp;"D"&amp;A331)))</f>
        <v>#REF!</v>
      </c>
      <c r="H331" t="e" cm="1">
        <f t="array" aca="1" ref="H331" ca="1">IF(OR(A331="",B331="safety"),"",IF(ISBLANK(INDIRECT("template!"&amp;"E"&amp;A331)),"",INDIRECT("template!"&amp;"E"&amp;A331)))</f>
        <v>#REF!</v>
      </c>
      <c r="I331" t="e" cm="1">
        <f t="array" aca="1" ref="I331" ca="1">IF(OR(A331="",B331="safety"),"",IF(ISBLANK(INDIRECT("template!"&amp;"F"&amp;A331)),"",INDIRECT("template!"&amp;"F"&amp;A331)))</f>
        <v>#REF!</v>
      </c>
      <c r="J331" t="e" cm="1">
        <f t="array" aca="1" ref="J331" ca="1">IF(OR(A331="",B331="safety"),"",IF(ISBLANK(INDIRECT("template!"&amp;"G"&amp;A331)),"",INDIRECT("template!"&amp;"G"&amp;A331)))</f>
        <v>#REF!</v>
      </c>
      <c r="K331" t="e" cm="1">
        <f t="array" aca="1" ref="K331" ca="1">IF(OR(A331="",B331="safety"),"",IF(ISBLANK(INDIRECT("template!"&amp;"H"&amp;A331)),"",INDIRECT("template!"&amp;"H"&amp;A331)))</f>
        <v>#REF!</v>
      </c>
      <c r="L331" t="e" cm="1">
        <f t="array" aca="1" ref="L331" ca="1">IF(OR(A331="",B331="safety"),"",INDIRECT("template!"&amp;"I"&amp;A331))</f>
        <v>#REF!</v>
      </c>
      <c r="M331" t="e" cm="1">
        <f t="array" aca="1" ref="M331" ca="1">IF(OR(A331="",B331="safety"),"",INDIRECT("template!"&amp;"J"&amp;A331))</f>
        <v>#REF!</v>
      </c>
      <c r="N331" t="e" cm="1">
        <f t="array" aca="1" ref="N331" ca="1">IF(OR(A331="",B331="safety"),"",IF(ISBLANK(INDIRECT("template!"&amp;"K"&amp;A331)),"",INDIRECT("template!"&amp;"K"&amp;A331)))</f>
        <v>#REF!</v>
      </c>
      <c r="O331" t="e" cm="1">
        <f t="array" aca="1" ref="O331" ca="1">IF(OR(A331="",B331="safety"),"",INDIRECT("template!"&amp;"L"&amp;A331))</f>
        <v>#REF!</v>
      </c>
      <c r="P331" t="e" cm="1">
        <f t="array" aca="1" ref="P331" ca="1">IF(OR(A331="",B331="safety"),"",INDIRECT("template!"&amp;"M"&amp;A331))</f>
        <v>#REF!</v>
      </c>
      <c r="Q331" t="e">
        <f t="shared" ca="1" si="28"/>
        <v>#REF!</v>
      </c>
      <c r="R331" t="e">
        <f t="shared" ca="1" si="29"/>
        <v>#REF!</v>
      </c>
      <c r="S331" t="e">
        <f t="shared" ca="1" si="30"/>
        <v>#REF!</v>
      </c>
      <c r="T331" t="e">
        <f t="shared" ca="1" si="31"/>
        <v>#REF!</v>
      </c>
      <c r="U331" t="e" cm="1">
        <f t="array" aca="1" ref="U331" ca="1">IF(A331="","",IF(E331="","",IF(B331="safety",INDIRECT("template!"&amp;"P"&amp;A331),Q331+R331)))</f>
        <v>#REF!</v>
      </c>
      <c r="V331" t="e" cm="1">
        <f t="array" aca="1" ref="V331" ca="1">IF(A331="","",IF(E331="","",IF(B331="safety",INDIRECT("template!"&amp;"P"&amp;A331),S331+T331)))</f>
        <v>#REF!</v>
      </c>
      <c r="W331" t="e">
        <f ca="1">IF(A331="","",IF(E331="","",#REF!))</f>
        <v>#REF!</v>
      </c>
      <c r="X331" t="e">
        <f ca="1">IF(A331="","",IF(E331="","",#REF!))</f>
        <v>#REF!</v>
      </c>
      <c r="Y331" s="39" t="e">
        <f ca="1">IF(A331="","",IF(E331="","",#REF!))</f>
        <v>#REF!</v>
      </c>
      <c r="Z331" t="e">
        <f ca="1">IF(A331="","",IF(E331="","",#REF!))</f>
        <v>#REF!</v>
      </c>
      <c r="AA331" t="e">
        <f ca="1">IF(A331="","",IF(E331="","",#REF!))</f>
        <v>#REF!</v>
      </c>
      <c r="AB331" t="e">
        <f ca="1">IF(A331="","",IF(E331="","",#REF!))</f>
        <v>#REF!</v>
      </c>
      <c r="AC331" t="e">
        <f t="shared" ca="1" si="32"/>
        <v>#REF!</v>
      </c>
    </row>
    <row r="332" spans="1:29" x14ac:dyDescent="0.35">
      <c r="A332" t="e" cm="1">
        <f t="array" aca="1" ref="A332" ca="1">IF(A331="","",IF(OR(AND(A331+1&gt;=$AF$1,A331+1&lt;=$AF$2),AND(A331+1&gt;=$AF$6,A331+1&lt;=$AF$7),AND(A331+1&gt;=$AF$3,A331+1&lt;=$AF$4),AND(A331+1&gt;=$AF$8,A331+1&lt;=$AF$9),A331+1=$AF$5),IF(NOT(ISBLANK(INDIRECT("template!"&amp;"P"&amp;A331+1))),A331+1,IF(NOT(ISBLANK(INDIRECT("template!"&amp;"P"&amp;A331+2))),A331+2,A331+3)),IF(A331=$AF$2,$AF$3,IF(A331=$AF$4,$AF$5,IF(A331=$AF$5,$AF$6,IF(A331=$AF$7,$AF$8,""))))))</f>
        <v>#REF!</v>
      </c>
      <c r="B332" t="e">
        <f t="shared" ca="1" si="27"/>
        <v>#REF!</v>
      </c>
      <c r="C332" t="e" cm="1">
        <f t="array" aca="1" ref="C332" ca="1">IF(A332="","",IF(B332="safety","safety costs",INDIRECT("template!"&amp;"B"&amp;A332)))</f>
        <v>#REF!</v>
      </c>
      <c r="D332" t="e" cm="1">
        <f t="array" aca="1" ref="D332" ca="1">IF(OR(A332="",B332="safety"),"",INDIRECT("template!"&amp;"C"&amp;A332))</f>
        <v>#REF!</v>
      </c>
      <c r="E332" t="e" cm="1">
        <f t="array" aca="1" ref="E332" ca="1">IF(A332="","",IF(OR(A332=A331+1,A332=A331+2),E331,INDIRECT("template!"&amp;"D"&amp;A332-2)))</f>
        <v>#REF!</v>
      </c>
      <c r="F332" t="e" cm="1">
        <f t="array" aca="1" ref="F332" ca="1">IF(OR(A332="",B332="safety"),"",IF(ISBLANK(IF(A332=A331+1,F331,INDIRECT("template!"&amp;"D"&amp;A332-1))),"",IF(A332=A331+1,F331,INDIRECT("template!"&amp;"D"&amp;A332-1))))</f>
        <v>#REF!</v>
      </c>
      <c r="G332" t="e" cm="1">
        <f t="array" aca="1" ref="G332" ca="1">IF(OR(A332="",B332="safety"),"",IF(ISBLANK(INDIRECT("template!"&amp;"D"&amp;A332)),"",INDIRECT("template!"&amp;"D"&amp;A332)))</f>
        <v>#REF!</v>
      </c>
      <c r="H332" t="e" cm="1">
        <f t="array" aca="1" ref="H332" ca="1">IF(OR(A332="",B332="safety"),"",IF(ISBLANK(INDIRECT("template!"&amp;"E"&amp;A332)),"",INDIRECT("template!"&amp;"E"&amp;A332)))</f>
        <v>#REF!</v>
      </c>
      <c r="I332" t="e" cm="1">
        <f t="array" aca="1" ref="I332" ca="1">IF(OR(A332="",B332="safety"),"",IF(ISBLANK(INDIRECT("template!"&amp;"F"&amp;A332)),"",INDIRECT("template!"&amp;"F"&amp;A332)))</f>
        <v>#REF!</v>
      </c>
      <c r="J332" t="e" cm="1">
        <f t="array" aca="1" ref="J332" ca="1">IF(OR(A332="",B332="safety"),"",IF(ISBLANK(INDIRECT("template!"&amp;"G"&amp;A332)),"",INDIRECT("template!"&amp;"G"&amp;A332)))</f>
        <v>#REF!</v>
      </c>
      <c r="K332" t="e" cm="1">
        <f t="array" aca="1" ref="K332" ca="1">IF(OR(A332="",B332="safety"),"",IF(ISBLANK(INDIRECT("template!"&amp;"H"&amp;A332)),"",INDIRECT("template!"&amp;"H"&amp;A332)))</f>
        <v>#REF!</v>
      </c>
      <c r="L332" t="e" cm="1">
        <f t="array" aca="1" ref="L332" ca="1">IF(OR(A332="",B332="safety"),"",INDIRECT("template!"&amp;"I"&amp;A332))</f>
        <v>#REF!</v>
      </c>
      <c r="M332" t="e" cm="1">
        <f t="array" aca="1" ref="M332" ca="1">IF(OR(A332="",B332="safety"),"",INDIRECT("template!"&amp;"J"&amp;A332))</f>
        <v>#REF!</v>
      </c>
      <c r="N332" t="e" cm="1">
        <f t="array" aca="1" ref="N332" ca="1">IF(OR(A332="",B332="safety"),"",IF(ISBLANK(INDIRECT("template!"&amp;"K"&amp;A332)),"",INDIRECT("template!"&amp;"K"&amp;A332)))</f>
        <v>#REF!</v>
      </c>
      <c r="O332" t="e" cm="1">
        <f t="array" aca="1" ref="O332" ca="1">IF(OR(A332="",B332="safety"),"",INDIRECT("template!"&amp;"L"&amp;A332))</f>
        <v>#REF!</v>
      </c>
      <c r="P332" t="e" cm="1">
        <f t="array" aca="1" ref="P332" ca="1">IF(OR(A332="",B332="safety"),"",INDIRECT("template!"&amp;"M"&amp;A332))</f>
        <v>#REF!</v>
      </c>
      <c r="Q332" t="e">
        <f t="shared" ca="1" si="28"/>
        <v>#REF!</v>
      </c>
      <c r="R332" t="e">
        <f t="shared" ca="1" si="29"/>
        <v>#REF!</v>
      </c>
      <c r="S332" t="e">
        <f t="shared" ca="1" si="30"/>
        <v>#REF!</v>
      </c>
      <c r="T332" t="e">
        <f t="shared" ca="1" si="31"/>
        <v>#REF!</v>
      </c>
      <c r="U332" t="e" cm="1">
        <f t="array" aca="1" ref="U332" ca="1">IF(A332="","",IF(E332="","",IF(B332="safety",INDIRECT("template!"&amp;"P"&amp;A332),Q332+R332)))</f>
        <v>#REF!</v>
      </c>
      <c r="V332" t="e" cm="1">
        <f t="array" aca="1" ref="V332" ca="1">IF(A332="","",IF(E332="","",IF(B332="safety",INDIRECT("template!"&amp;"P"&amp;A332),S332+T332)))</f>
        <v>#REF!</v>
      </c>
      <c r="W332" t="e">
        <f ca="1">IF(A332="","",IF(E332="","",#REF!))</f>
        <v>#REF!</v>
      </c>
      <c r="X332" t="e">
        <f ca="1">IF(A332="","",IF(E332="","",#REF!))</f>
        <v>#REF!</v>
      </c>
      <c r="Y332" s="39" t="e">
        <f ca="1">IF(A332="","",IF(E332="","",#REF!))</f>
        <v>#REF!</v>
      </c>
      <c r="Z332" t="e">
        <f ca="1">IF(A332="","",IF(E332="","",#REF!))</f>
        <v>#REF!</v>
      </c>
      <c r="AA332" t="e">
        <f ca="1">IF(A332="","",IF(E332="","",#REF!))</f>
        <v>#REF!</v>
      </c>
      <c r="AB332" t="e">
        <f ca="1">IF(A332="","",IF(E332="","",#REF!))</f>
        <v>#REF!</v>
      </c>
      <c r="AC332" t="e">
        <f t="shared" ca="1" si="32"/>
        <v>#REF!</v>
      </c>
    </row>
    <row r="333" spans="1:29" x14ac:dyDescent="0.35">
      <c r="A333" t="e" cm="1">
        <f t="array" aca="1" ref="A333" ca="1">IF(A332="","",IF(OR(AND(A332+1&gt;=$AF$1,A332+1&lt;=$AF$2),AND(A332+1&gt;=$AF$6,A332+1&lt;=$AF$7),AND(A332+1&gt;=$AF$3,A332+1&lt;=$AF$4),AND(A332+1&gt;=$AF$8,A332+1&lt;=$AF$9),A332+1=$AF$5),IF(NOT(ISBLANK(INDIRECT("template!"&amp;"P"&amp;A332+1))),A332+1,IF(NOT(ISBLANK(INDIRECT("template!"&amp;"P"&amp;A332+2))),A332+2,A332+3)),IF(A332=$AF$2,$AF$3,IF(A332=$AF$4,$AF$5,IF(A332=$AF$5,$AF$6,IF(A332=$AF$7,$AF$8,""))))))</f>
        <v>#REF!</v>
      </c>
      <c r="B333" t="e">
        <f t="shared" ca="1" si="27"/>
        <v>#REF!</v>
      </c>
      <c r="C333" t="e" cm="1">
        <f t="array" aca="1" ref="C333" ca="1">IF(A333="","",IF(B333="safety","safety costs",INDIRECT("template!"&amp;"B"&amp;A333)))</f>
        <v>#REF!</v>
      </c>
      <c r="D333" t="e" cm="1">
        <f t="array" aca="1" ref="D333" ca="1">IF(OR(A333="",B333="safety"),"",INDIRECT("template!"&amp;"C"&amp;A333))</f>
        <v>#REF!</v>
      </c>
      <c r="E333" t="e" cm="1">
        <f t="array" aca="1" ref="E333" ca="1">IF(A333="","",IF(OR(A333=A332+1,A333=A332+2),E332,INDIRECT("template!"&amp;"D"&amp;A333-2)))</f>
        <v>#REF!</v>
      </c>
      <c r="F333" t="e" cm="1">
        <f t="array" aca="1" ref="F333" ca="1">IF(OR(A333="",B333="safety"),"",IF(ISBLANK(IF(A333=A332+1,F332,INDIRECT("template!"&amp;"D"&amp;A333-1))),"",IF(A333=A332+1,F332,INDIRECT("template!"&amp;"D"&amp;A333-1))))</f>
        <v>#REF!</v>
      </c>
      <c r="G333" t="e" cm="1">
        <f t="array" aca="1" ref="G333" ca="1">IF(OR(A333="",B333="safety"),"",IF(ISBLANK(INDIRECT("template!"&amp;"D"&amp;A333)),"",INDIRECT("template!"&amp;"D"&amp;A333)))</f>
        <v>#REF!</v>
      </c>
      <c r="H333" t="e" cm="1">
        <f t="array" aca="1" ref="H333" ca="1">IF(OR(A333="",B333="safety"),"",IF(ISBLANK(INDIRECT("template!"&amp;"E"&amp;A333)),"",INDIRECT("template!"&amp;"E"&amp;A333)))</f>
        <v>#REF!</v>
      </c>
      <c r="I333" t="e" cm="1">
        <f t="array" aca="1" ref="I333" ca="1">IF(OR(A333="",B333="safety"),"",IF(ISBLANK(INDIRECT("template!"&amp;"F"&amp;A333)),"",INDIRECT("template!"&amp;"F"&amp;A333)))</f>
        <v>#REF!</v>
      </c>
      <c r="J333" t="e" cm="1">
        <f t="array" aca="1" ref="J333" ca="1">IF(OR(A333="",B333="safety"),"",IF(ISBLANK(INDIRECT("template!"&amp;"G"&amp;A333)),"",INDIRECT("template!"&amp;"G"&amp;A333)))</f>
        <v>#REF!</v>
      </c>
      <c r="K333" t="e" cm="1">
        <f t="array" aca="1" ref="K333" ca="1">IF(OR(A333="",B333="safety"),"",IF(ISBLANK(INDIRECT("template!"&amp;"H"&amp;A333)),"",INDIRECT("template!"&amp;"H"&amp;A333)))</f>
        <v>#REF!</v>
      </c>
      <c r="L333" t="e" cm="1">
        <f t="array" aca="1" ref="L333" ca="1">IF(OR(A333="",B333="safety"),"",INDIRECT("template!"&amp;"I"&amp;A333))</f>
        <v>#REF!</v>
      </c>
      <c r="M333" t="e" cm="1">
        <f t="array" aca="1" ref="M333" ca="1">IF(OR(A333="",B333="safety"),"",INDIRECT("template!"&amp;"J"&amp;A333))</f>
        <v>#REF!</v>
      </c>
      <c r="N333" t="e" cm="1">
        <f t="array" aca="1" ref="N333" ca="1">IF(OR(A333="",B333="safety"),"",IF(ISBLANK(INDIRECT("template!"&amp;"K"&amp;A333)),"",INDIRECT("template!"&amp;"K"&amp;A333)))</f>
        <v>#REF!</v>
      </c>
      <c r="O333" t="e" cm="1">
        <f t="array" aca="1" ref="O333" ca="1">IF(OR(A333="",B333="safety"),"",INDIRECT("template!"&amp;"L"&amp;A333))</f>
        <v>#REF!</v>
      </c>
      <c r="P333" t="e" cm="1">
        <f t="array" aca="1" ref="P333" ca="1">IF(OR(A333="",B333="safety"),"",INDIRECT("template!"&amp;"M"&amp;A333))</f>
        <v>#REF!</v>
      </c>
      <c r="Q333" t="e">
        <f t="shared" ca="1" si="28"/>
        <v>#REF!</v>
      </c>
      <c r="R333" t="e">
        <f t="shared" ca="1" si="29"/>
        <v>#REF!</v>
      </c>
      <c r="S333" t="e">
        <f t="shared" ca="1" si="30"/>
        <v>#REF!</v>
      </c>
      <c r="T333" t="e">
        <f t="shared" ca="1" si="31"/>
        <v>#REF!</v>
      </c>
      <c r="U333" t="e" cm="1">
        <f t="array" aca="1" ref="U333" ca="1">IF(A333="","",IF(E333="","",IF(B333="safety",INDIRECT("template!"&amp;"P"&amp;A333),Q333+R333)))</f>
        <v>#REF!</v>
      </c>
      <c r="V333" t="e" cm="1">
        <f t="array" aca="1" ref="V333" ca="1">IF(A333="","",IF(E333="","",IF(B333="safety",INDIRECT("template!"&amp;"P"&amp;A333),S333+T333)))</f>
        <v>#REF!</v>
      </c>
      <c r="W333" t="e">
        <f ca="1">IF(A333="","",IF(E333="","",#REF!))</f>
        <v>#REF!</v>
      </c>
      <c r="X333" t="e">
        <f ca="1">IF(A333="","",IF(E333="","",#REF!))</f>
        <v>#REF!</v>
      </c>
      <c r="Y333" s="39" t="e">
        <f ca="1">IF(A333="","",IF(E333="","",#REF!))</f>
        <v>#REF!</v>
      </c>
      <c r="Z333" t="e">
        <f ca="1">IF(A333="","",IF(E333="","",#REF!))</f>
        <v>#REF!</v>
      </c>
      <c r="AA333" t="e">
        <f ca="1">IF(A333="","",IF(E333="","",#REF!))</f>
        <v>#REF!</v>
      </c>
      <c r="AB333" t="e">
        <f ca="1">IF(A333="","",IF(E333="","",#REF!))</f>
        <v>#REF!</v>
      </c>
      <c r="AC333" t="e">
        <f t="shared" ca="1" si="32"/>
        <v>#REF!</v>
      </c>
    </row>
    <row r="334" spans="1:29" x14ac:dyDescent="0.35">
      <c r="A334" t="e" cm="1">
        <f t="array" aca="1" ref="A334" ca="1">IF(A333="","",IF(OR(AND(A333+1&gt;=$AF$1,A333+1&lt;=$AF$2),AND(A333+1&gt;=$AF$6,A333+1&lt;=$AF$7),AND(A333+1&gt;=$AF$3,A333+1&lt;=$AF$4),AND(A333+1&gt;=$AF$8,A333+1&lt;=$AF$9),A333+1=$AF$5),IF(NOT(ISBLANK(INDIRECT("template!"&amp;"P"&amp;A333+1))),A333+1,IF(NOT(ISBLANK(INDIRECT("template!"&amp;"P"&amp;A333+2))),A333+2,A333+3)),IF(A333=$AF$2,$AF$3,IF(A333=$AF$4,$AF$5,IF(A333=$AF$5,$AF$6,IF(A333=$AF$7,$AF$8,""))))))</f>
        <v>#REF!</v>
      </c>
      <c r="B334" t="e">
        <f t="shared" ca="1" si="27"/>
        <v>#REF!</v>
      </c>
      <c r="C334" t="e" cm="1">
        <f t="array" aca="1" ref="C334" ca="1">IF(A334="","",IF(B334="safety","safety costs",INDIRECT("template!"&amp;"B"&amp;A334)))</f>
        <v>#REF!</v>
      </c>
      <c r="D334" t="e" cm="1">
        <f t="array" aca="1" ref="D334" ca="1">IF(OR(A334="",B334="safety"),"",INDIRECT("template!"&amp;"C"&amp;A334))</f>
        <v>#REF!</v>
      </c>
      <c r="E334" t="e" cm="1">
        <f t="array" aca="1" ref="E334" ca="1">IF(A334="","",IF(OR(A334=A333+1,A334=A333+2),E333,INDIRECT("template!"&amp;"D"&amp;A334-2)))</f>
        <v>#REF!</v>
      </c>
      <c r="F334" t="e" cm="1">
        <f t="array" aca="1" ref="F334" ca="1">IF(OR(A334="",B334="safety"),"",IF(ISBLANK(IF(A334=A333+1,F333,INDIRECT("template!"&amp;"D"&amp;A334-1))),"",IF(A334=A333+1,F333,INDIRECT("template!"&amp;"D"&amp;A334-1))))</f>
        <v>#REF!</v>
      </c>
      <c r="G334" t="e" cm="1">
        <f t="array" aca="1" ref="G334" ca="1">IF(OR(A334="",B334="safety"),"",IF(ISBLANK(INDIRECT("template!"&amp;"D"&amp;A334)),"",INDIRECT("template!"&amp;"D"&amp;A334)))</f>
        <v>#REF!</v>
      </c>
      <c r="H334" t="e" cm="1">
        <f t="array" aca="1" ref="H334" ca="1">IF(OR(A334="",B334="safety"),"",IF(ISBLANK(INDIRECT("template!"&amp;"E"&amp;A334)),"",INDIRECT("template!"&amp;"E"&amp;A334)))</f>
        <v>#REF!</v>
      </c>
      <c r="I334" t="e" cm="1">
        <f t="array" aca="1" ref="I334" ca="1">IF(OR(A334="",B334="safety"),"",IF(ISBLANK(INDIRECT("template!"&amp;"F"&amp;A334)),"",INDIRECT("template!"&amp;"F"&amp;A334)))</f>
        <v>#REF!</v>
      </c>
      <c r="J334" t="e" cm="1">
        <f t="array" aca="1" ref="J334" ca="1">IF(OR(A334="",B334="safety"),"",IF(ISBLANK(INDIRECT("template!"&amp;"G"&amp;A334)),"",INDIRECT("template!"&amp;"G"&amp;A334)))</f>
        <v>#REF!</v>
      </c>
      <c r="K334" t="e" cm="1">
        <f t="array" aca="1" ref="K334" ca="1">IF(OR(A334="",B334="safety"),"",IF(ISBLANK(INDIRECT("template!"&amp;"H"&amp;A334)),"",INDIRECT("template!"&amp;"H"&amp;A334)))</f>
        <v>#REF!</v>
      </c>
      <c r="L334" t="e" cm="1">
        <f t="array" aca="1" ref="L334" ca="1">IF(OR(A334="",B334="safety"),"",INDIRECT("template!"&amp;"I"&amp;A334))</f>
        <v>#REF!</v>
      </c>
      <c r="M334" t="e" cm="1">
        <f t="array" aca="1" ref="M334" ca="1">IF(OR(A334="",B334="safety"),"",INDIRECT("template!"&amp;"J"&amp;A334))</f>
        <v>#REF!</v>
      </c>
      <c r="N334" t="e" cm="1">
        <f t="array" aca="1" ref="N334" ca="1">IF(OR(A334="",B334="safety"),"",IF(ISBLANK(INDIRECT("template!"&amp;"K"&amp;A334)),"",INDIRECT("template!"&amp;"K"&amp;A334)))</f>
        <v>#REF!</v>
      </c>
      <c r="O334" t="e" cm="1">
        <f t="array" aca="1" ref="O334" ca="1">IF(OR(A334="",B334="safety"),"",INDIRECT("template!"&amp;"L"&amp;A334))</f>
        <v>#REF!</v>
      </c>
      <c r="P334" t="e" cm="1">
        <f t="array" aca="1" ref="P334" ca="1">IF(OR(A334="",B334="safety"),"",INDIRECT("template!"&amp;"M"&amp;A334))</f>
        <v>#REF!</v>
      </c>
      <c r="Q334" t="e">
        <f t="shared" ca="1" si="28"/>
        <v>#REF!</v>
      </c>
      <c r="R334" t="e">
        <f t="shared" ca="1" si="29"/>
        <v>#REF!</v>
      </c>
      <c r="S334" t="e">
        <f t="shared" ca="1" si="30"/>
        <v>#REF!</v>
      </c>
      <c r="T334" t="e">
        <f t="shared" ca="1" si="31"/>
        <v>#REF!</v>
      </c>
      <c r="U334" t="e" cm="1">
        <f t="array" aca="1" ref="U334" ca="1">IF(A334="","",IF(E334="","",IF(B334="safety",INDIRECT("template!"&amp;"P"&amp;A334),Q334+R334)))</f>
        <v>#REF!</v>
      </c>
      <c r="V334" t="e" cm="1">
        <f t="array" aca="1" ref="V334" ca="1">IF(A334="","",IF(E334="","",IF(B334="safety",INDIRECT("template!"&amp;"P"&amp;A334),S334+T334)))</f>
        <v>#REF!</v>
      </c>
      <c r="W334" t="e">
        <f ca="1">IF(A334="","",IF(E334="","",#REF!))</f>
        <v>#REF!</v>
      </c>
      <c r="X334" t="e">
        <f ca="1">IF(A334="","",IF(E334="","",#REF!))</f>
        <v>#REF!</v>
      </c>
      <c r="Y334" s="39" t="e">
        <f ca="1">IF(A334="","",IF(E334="","",#REF!))</f>
        <v>#REF!</v>
      </c>
      <c r="Z334" t="e">
        <f ca="1">IF(A334="","",IF(E334="","",#REF!))</f>
        <v>#REF!</v>
      </c>
      <c r="AA334" t="e">
        <f ca="1">IF(A334="","",IF(E334="","",#REF!))</f>
        <v>#REF!</v>
      </c>
      <c r="AB334" t="e">
        <f ca="1">IF(A334="","",IF(E334="","",#REF!))</f>
        <v>#REF!</v>
      </c>
      <c r="AC334" t="e">
        <f t="shared" ca="1" si="32"/>
        <v>#REF!</v>
      </c>
    </row>
    <row r="335" spans="1:29" x14ac:dyDescent="0.35">
      <c r="A335" t="e" cm="1">
        <f t="array" aca="1" ref="A335" ca="1">IF(A334="","",IF(OR(AND(A334+1&gt;=$AF$1,A334+1&lt;=$AF$2),AND(A334+1&gt;=$AF$6,A334+1&lt;=$AF$7),AND(A334+1&gt;=$AF$3,A334+1&lt;=$AF$4),AND(A334+1&gt;=$AF$8,A334+1&lt;=$AF$9),A334+1=$AF$5),IF(NOT(ISBLANK(INDIRECT("template!"&amp;"P"&amp;A334+1))),A334+1,IF(NOT(ISBLANK(INDIRECT("template!"&amp;"P"&amp;A334+2))),A334+2,A334+3)),IF(A334=$AF$2,$AF$3,IF(A334=$AF$4,$AF$5,IF(A334=$AF$5,$AF$6,IF(A334=$AF$7,$AF$8,""))))))</f>
        <v>#REF!</v>
      </c>
      <c r="B335" t="e">
        <f t="shared" ca="1" si="27"/>
        <v>#REF!</v>
      </c>
      <c r="C335" t="e" cm="1">
        <f t="array" aca="1" ref="C335" ca="1">IF(A335="","",IF(B335="safety","safety costs",INDIRECT("template!"&amp;"B"&amp;A335)))</f>
        <v>#REF!</v>
      </c>
      <c r="D335" t="e" cm="1">
        <f t="array" aca="1" ref="D335" ca="1">IF(OR(A335="",B335="safety"),"",INDIRECT("template!"&amp;"C"&amp;A335))</f>
        <v>#REF!</v>
      </c>
      <c r="E335" t="e" cm="1">
        <f t="array" aca="1" ref="E335" ca="1">IF(A335="","",IF(OR(A335=A334+1,A335=A334+2),E334,INDIRECT("template!"&amp;"D"&amp;A335-2)))</f>
        <v>#REF!</v>
      </c>
      <c r="F335" t="e" cm="1">
        <f t="array" aca="1" ref="F335" ca="1">IF(OR(A335="",B335="safety"),"",IF(ISBLANK(IF(A335=A334+1,F334,INDIRECT("template!"&amp;"D"&amp;A335-1))),"",IF(A335=A334+1,F334,INDIRECT("template!"&amp;"D"&amp;A335-1))))</f>
        <v>#REF!</v>
      </c>
      <c r="G335" t="e" cm="1">
        <f t="array" aca="1" ref="G335" ca="1">IF(OR(A335="",B335="safety"),"",IF(ISBLANK(INDIRECT("template!"&amp;"D"&amp;A335)),"",INDIRECT("template!"&amp;"D"&amp;A335)))</f>
        <v>#REF!</v>
      </c>
      <c r="H335" t="e" cm="1">
        <f t="array" aca="1" ref="H335" ca="1">IF(OR(A335="",B335="safety"),"",IF(ISBLANK(INDIRECT("template!"&amp;"E"&amp;A335)),"",INDIRECT("template!"&amp;"E"&amp;A335)))</f>
        <v>#REF!</v>
      </c>
      <c r="I335" t="e" cm="1">
        <f t="array" aca="1" ref="I335" ca="1">IF(OR(A335="",B335="safety"),"",IF(ISBLANK(INDIRECT("template!"&amp;"F"&amp;A335)),"",INDIRECT("template!"&amp;"F"&amp;A335)))</f>
        <v>#REF!</v>
      </c>
      <c r="J335" t="e" cm="1">
        <f t="array" aca="1" ref="J335" ca="1">IF(OR(A335="",B335="safety"),"",IF(ISBLANK(INDIRECT("template!"&amp;"G"&amp;A335)),"",INDIRECT("template!"&amp;"G"&amp;A335)))</f>
        <v>#REF!</v>
      </c>
      <c r="K335" t="e" cm="1">
        <f t="array" aca="1" ref="K335" ca="1">IF(OR(A335="",B335="safety"),"",IF(ISBLANK(INDIRECT("template!"&amp;"H"&amp;A335)),"",INDIRECT("template!"&amp;"H"&amp;A335)))</f>
        <v>#REF!</v>
      </c>
      <c r="L335" t="e" cm="1">
        <f t="array" aca="1" ref="L335" ca="1">IF(OR(A335="",B335="safety"),"",INDIRECT("template!"&amp;"I"&amp;A335))</f>
        <v>#REF!</v>
      </c>
      <c r="M335" t="e" cm="1">
        <f t="array" aca="1" ref="M335" ca="1">IF(OR(A335="",B335="safety"),"",INDIRECT("template!"&amp;"J"&amp;A335))</f>
        <v>#REF!</v>
      </c>
      <c r="N335" t="e" cm="1">
        <f t="array" aca="1" ref="N335" ca="1">IF(OR(A335="",B335="safety"),"",IF(ISBLANK(INDIRECT("template!"&amp;"K"&amp;A335)),"",INDIRECT("template!"&amp;"K"&amp;A335)))</f>
        <v>#REF!</v>
      </c>
      <c r="O335" t="e" cm="1">
        <f t="array" aca="1" ref="O335" ca="1">IF(OR(A335="",B335="safety"),"",INDIRECT("template!"&amp;"L"&amp;A335))</f>
        <v>#REF!</v>
      </c>
      <c r="P335" t="e" cm="1">
        <f t="array" aca="1" ref="P335" ca="1">IF(OR(A335="",B335="safety"),"",INDIRECT("template!"&amp;"M"&amp;A335))</f>
        <v>#REF!</v>
      </c>
      <c r="Q335" t="e">
        <f t="shared" ca="1" si="28"/>
        <v>#REF!</v>
      </c>
      <c r="R335" t="e">
        <f t="shared" ca="1" si="29"/>
        <v>#REF!</v>
      </c>
      <c r="S335" t="e">
        <f t="shared" ca="1" si="30"/>
        <v>#REF!</v>
      </c>
      <c r="T335" t="e">
        <f t="shared" ca="1" si="31"/>
        <v>#REF!</v>
      </c>
      <c r="U335" t="e" cm="1">
        <f t="array" aca="1" ref="U335" ca="1">IF(A335="","",IF(E335="","",IF(B335="safety",INDIRECT("template!"&amp;"P"&amp;A335),Q335+R335)))</f>
        <v>#REF!</v>
      </c>
      <c r="V335" t="e" cm="1">
        <f t="array" aca="1" ref="V335" ca="1">IF(A335="","",IF(E335="","",IF(B335="safety",INDIRECT("template!"&amp;"P"&amp;A335),S335+T335)))</f>
        <v>#REF!</v>
      </c>
      <c r="W335" t="e">
        <f ca="1">IF(A335="","",IF(E335="","",#REF!))</f>
        <v>#REF!</v>
      </c>
      <c r="X335" t="e">
        <f ca="1">IF(A335="","",IF(E335="","",#REF!))</f>
        <v>#REF!</v>
      </c>
      <c r="Y335" s="39" t="e">
        <f ca="1">IF(A335="","",IF(E335="","",#REF!))</f>
        <v>#REF!</v>
      </c>
      <c r="Z335" t="e">
        <f ca="1">IF(A335="","",IF(E335="","",#REF!))</f>
        <v>#REF!</v>
      </c>
      <c r="AA335" t="e">
        <f ca="1">IF(A335="","",IF(E335="","",#REF!))</f>
        <v>#REF!</v>
      </c>
      <c r="AB335" t="e">
        <f ca="1">IF(A335="","",IF(E335="","",#REF!))</f>
        <v>#REF!</v>
      </c>
      <c r="AC335" t="e">
        <f t="shared" ca="1" si="32"/>
        <v>#REF!</v>
      </c>
    </row>
    <row r="336" spans="1:29" x14ac:dyDescent="0.35">
      <c r="A336" t="e" cm="1">
        <f t="array" aca="1" ref="A336" ca="1">IF(A335="","",IF(OR(AND(A335+1&gt;=$AF$1,A335+1&lt;=$AF$2),AND(A335+1&gt;=$AF$6,A335+1&lt;=$AF$7),AND(A335+1&gt;=$AF$3,A335+1&lt;=$AF$4),AND(A335+1&gt;=$AF$8,A335+1&lt;=$AF$9),A335+1=$AF$5),IF(NOT(ISBLANK(INDIRECT("template!"&amp;"P"&amp;A335+1))),A335+1,IF(NOT(ISBLANK(INDIRECT("template!"&amp;"P"&amp;A335+2))),A335+2,A335+3)),IF(A335=$AF$2,$AF$3,IF(A335=$AF$4,$AF$5,IF(A335=$AF$5,$AF$6,IF(A335=$AF$7,$AF$8,""))))))</f>
        <v>#REF!</v>
      </c>
      <c r="B336" t="e">
        <f t="shared" ca="1" si="27"/>
        <v>#REF!</v>
      </c>
      <c r="C336" t="e" cm="1">
        <f t="array" aca="1" ref="C336" ca="1">IF(A336="","",IF(B336="safety","safety costs",INDIRECT("template!"&amp;"B"&amp;A336)))</f>
        <v>#REF!</v>
      </c>
      <c r="D336" t="e" cm="1">
        <f t="array" aca="1" ref="D336" ca="1">IF(OR(A336="",B336="safety"),"",INDIRECT("template!"&amp;"C"&amp;A336))</f>
        <v>#REF!</v>
      </c>
      <c r="E336" t="e" cm="1">
        <f t="array" aca="1" ref="E336" ca="1">IF(A336="","",IF(OR(A336=A335+1,A336=A335+2),E335,INDIRECT("template!"&amp;"D"&amp;A336-2)))</f>
        <v>#REF!</v>
      </c>
      <c r="F336" t="e" cm="1">
        <f t="array" aca="1" ref="F336" ca="1">IF(OR(A336="",B336="safety"),"",IF(ISBLANK(IF(A336=A335+1,F335,INDIRECT("template!"&amp;"D"&amp;A336-1))),"",IF(A336=A335+1,F335,INDIRECT("template!"&amp;"D"&amp;A336-1))))</f>
        <v>#REF!</v>
      </c>
      <c r="G336" t="e" cm="1">
        <f t="array" aca="1" ref="G336" ca="1">IF(OR(A336="",B336="safety"),"",IF(ISBLANK(INDIRECT("template!"&amp;"D"&amp;A336)),"",INDIRECT("template!"&amp;"D"&amp;A336)))</f>
        <v>#REF!</v>
      </c>
      <c r="H336" t="e" cm="1">
        <f t="array" aca="1" ref="H336" ca="1">IF(OR(A336="",B336="safety"),"",IF(ISBLANK(INDIRECT("template!"&amp;"E"&amp;A336)),"",INDIRECT("template!"&amp;"E"&amp;A336)))</f>
        <v>#REF!</v>
      </c>
      <c r="I336" t="e" cm="1">
        <f t="array" aca="1" ref="I336" ca="1">IF(OR(A336="",B336="safety"),"",IF(ISBLANK(INDIRECT("template!"&amp;"F"&amp;A336)),"",INDIRECT("template!"&amp;"F"&amp;A336)))</f>
        <v>#REF!</v>
      </c>
      <c r="J336" t="e" cm="1">
        <f t="array" aca="1" ref="J336" ca="1">IF(OR(A336="",B336="safety"),"",IF(ISBLANK(INDIRECT("template!"&amp;"G"&amp;A336)),"",INDIRECT("template!"&amp;"G"&amp;A336)))</f>
        <v>#REF!</v>
      </c>
      <c r="K336" t="e" cm="1">
        <f t="array" aca="1" ref="K336" ca="1">IF(OR(A336="",B336="safety"),"",IF(ISBLANK(INDIRECT("template!"&amp;"H"&amp;A336)),"",INDIRECT("template!"&amp;"H"&amp;A336)))</f>
        <v>#REF!</v>
      </c>
      <c r="L336" t="e" cm="1">
        <f t="array" aca="1" ref="L336" ca="1">IF(OR(A336="",B336="safety"),"",INDIRECT("template!"&amp;"I"&amp;A336))</f>
        <v>#REF!</v>
      </c>
      <c r="M336" t="e" cm="1">
        <f t="array" aca="1" ref="M336" ca="1">IF(OR(A336="",B336="safety"),"",INDIRECT("template!"&amp;"J"&amp;A336))</f>
        <v>#REF!</v>
      </c>
      <c r="N336" t="e" cm="1">
        <f t="array" aca="1" ref="N336" ca="1">IF(OR(A336="",B336="safety"),"",IF(ISBLANK(INDIRECT("template!"&amp;"K"&amp;A336)),"",INDIRECT("template!"&amp;"K"&amp;A336)))</f>
        <v>#REF!</v>
      </c>
      <c r="O336" t="e" cm="1">
        <f t="array" aca="1" ref="O336" ca="1">IF(OR(A336="",B336="safety"),"",INDIRECT("template!"&amp;"L"&amp;A336))</f>
        <v>#REF!</v>
      </c>
      <c r="P336" t="e" cm="1">
        <f t="array" aca="1" ref="P336" ca="1">IF(OR(A336="",B336="safety"),"",INDIRECT("template!"&amp;"M"&amp;A336))</f>
        <v>#REF!</v>
      </c>
      <c r="Q336" t="e">
        <f t="shared" ca="1" si="28"/>
        <v>#REF!</v>
      </c>
      <c r="R336" t="e">
        <f t="shared" ca="1" si="29"/>
        <v>#REF!</v>
      </c>
      <c r="S336" t="e">
        <f t="shared" ca="1" si="30"/>
        <v>#REF!</v>
      </c>
      <c r="T336" t="e">
        <f t="shared" ca="1" si="31"/>
        <v>#REF!</v>
      </c>
      <c r="U336" t="e" cm="1">
        <f t="array" aca="1" ref="U336" ca="1">IF(A336="","",IF(E336="","",IF(B336="safety",INDIRECT("template!"&amp;"P"&amp;A336),Q336+R336)))</f>
        <v>#REF!</v>
      </c>
      <c r="V336" t="e" cm="1">
        <f t="array" aca="1" ref="V336" ca="1">IF(A336="","",IF(E336="","",IF(B336="safety",INDIRECT("template!"&amp;"P"&amp;A336),S336+T336)))</f>
        <v>#REF!</v>
      </c>
      <c r="W336" t="e">
        <f ca="1">IF(A336="","",IF(E336="","",#REF!))</f>
        <v>#REF!</v>
      </c>
      <c r="X336" t="e">
        <f ca="1">IF(A336="","",IF(E336="","",#REF!))</f>
        <v>#REF!</v>
      </c>
      <c r="Y336" s="39" t="e">
        <f ca="1">IF(A336="","",IF(E336="","",#REF!))</f>
        <v>#REF!</v>
      </c>
      <c r="Z336" t="e">
        <f ca="1">IF(A336="","",IF(E336="","",#REF!))</f>
        <v>#REF!</v>
      </c>
      <c r="AA336" t="e">
        <f ca="1">IF(A336="","",IF(E336="","",#REF!))</f>
        <v>#REF!</v>
      </c>
      <c r="AB336" t="e">
        <f ca="1">IF(A336="","",IF(E336="","",#REF!))</f>
        <v>#REF!</v>
      </c>
      <c r="AC336" t="e">
        <f t="shared" ca="1" si="32"/>
        <v>#REF!</v>
      </c>
    </row>
    <row r="337" spans="1:29" x14ac:dyDescent="0.35">
      <c r="A337" t="e" cm="1">
        <f t="array" aca="1" ref="A337" ca="1">IF(A336="","",IF(OR(AND(A336+1&gt;=$AF$1,A336+1&lt;=$AF$2),AND(A336+1&gt;=$AF$6,A336+1&lt;=$AF$7),AND(A336+1&gt;=$AF$3,A336+1&lt;=$AF$4),AND(A336+1&gt;=$AF$8,A336+1&lt;=$AF$9),A336+1=$AF$5),IF(NOT(ISBLANK(INDIRECT("template!"&amp;"P"&amp;A336+1))),A336+1,IF(NOT(ISBLANK(INDIRECT("template!"&amp;"P"&amp;A336+2))),A336+2,A336+3)),IF(A336=$AF$2,$AF$3,IF(A336=$AF$4,$AF$5,IF(A336=$AF$5,$AF$6,IF(A336=$AF$7,$AF$8,""))))))</f>
        <v>#REF!</v>
      </c>
      <c r="B337" t="e">
        <f t="shared" ca="1" si="27"/>
        <v>#REF!</v>
      </c>
      <c r="C337" t="e" cm="1">
        <f t="array" aca="1" ref="C337" ca="1">IF(A337="","",IF(B337="safety","safety costs",INDIRECT("template!"&amp;"B"&amp;A337)))</f>
        <v>#REF!</v>
      </c>
      <c r="D337" t="e" cm="1">
        <f t="array" aca="1" ref="D337" ca="1">IF(OR(A337="",B337="safety"),"",INDIRECT("template!"&amp;"C"&amp;A337))</f>
        <v>#REF!</v>
      </c>
      <c r="E337" t="e" cm="1">
        <f t="array" aca="1" ref="E337" ca="1">IF(A337="","",IF(OR(A337=A336+1,A337=A336+2),E336,INDIRECT("template!"&amp;"D"&amp;A337-2)))</f>
        <v>#REF!</v>
      </c>
      <c r="F337" t="e" cm="1">
        <f t="array" aca="1" ref="F337" ca="1">IF(OR(A337="",B337="safety"),"",IF(ISBLANK(IF(A337=A336+1,F336,INDIRECT("template!"&amp;"D"&amp;A337-1))),"",IF(A337=A336+1,F336,INDIRECT("template!"&amp;"D"&amp;A337-1))))</f>
        <v>#REF!</v>
      </c>
      <c r="G337" t="e" cm="1">
        <f t="array" aca="1" ref="G337" ca="1">IF(OR(A337="",B337="safety"),"",IF(ISBLANK(INDIRECT("template!"&amp;"D"&amp;A337)),"",INDIRECT("template!"&amp;"D"&amp;A337)))</f>
        <v>#REF!</v>
      </c>
      <c r="H337" t="e" cm="1">
        <f t="array" aca="1" ref="H337" ca="1">IF(OR(A337="",B337="safety"),"",IF(ISBLANK(INDIRECT("template!"&amp;"E"&amp;A337)),"",INDIRECT("template!"&amp;"E"&amp;A337)))</f>
        <v>#REF!</v>
      </c>
      <c r="I337" t="e" cm="1">
        <f t="array" aca="1" ref="I337" ca="1">IF(OR(A337="",B337="safety"),"",IF(ISBLANK(INDIRECT("template!"&amp;"F"&amp;A337)),"",INDIRECT("template!"&amp;"F"&amp;A337)))</f>
        <v>#REF!</v>
      </c>
      <c r="J337" t="e" cm="1">
        <f t="array" aca="1" ref="J337" ca="1">IF(OR(A337="",B337="safety"),"",IF(ISBLANK(INDIRECT("template!"&amp;"G"&amp;A337)),"",INDIRECT("template!"&amp;"G"&amp;A337)))</f>
        <v>#REF!</v>
      </c>
      <c r="K337" t="e" cm="1">
        <f t="array" aca="1" ref="K337" ca="1">IF(OR(A337="",B337="safety"),"",IF(ISBLANK(INDIRECT("template!"&amp;"H"&amp;A337)),"",INDIRECT("template!"&amp;"H"&amp;A337)))</f>
        <v>#REF!</v>
      </c>
      <c r="L337" t="e" cm="1">
        <f t="array" aca="1" ref="L337" ca="1">IF(OR(A337="",B337="safety"),"",INDIRECT("template!"&amp;"I"&amp;A337))</f>
        <v>#REF!</v>
      </c>
      <c r="M337" t="e" cm="1">
        <f t="array" aca="1" ref="M337" ca="1">IF(OR(A337="",B337="safety"),"",INDIRECT("template!"&amp;"J"&amp;A337))</f>
        <v>#REF!</v>
      </c>
      <c r="N337" t="e" cm="1">
        <f t="array" aca="1" ref="N337" ca="1">IF(OR(A337="",B337="safety"),"",IF(ISBLANK(INDIRECT("template!"&amp;"K"&amp;A337)),"",INDIRECT("template!"&amp;"K"&amp;A337)))</f>
        <v>#REF!</v>
      </c>
      <c r="O337" t="e" cm="1">
        <f t="array" aca="1" ref="O337" ca="1">IF(OR(A337="",B337="safety"),"",INDIRECT("template!"&amp;"L"&amp;A337))</f>
        <v>#REF!</v>
      </c>
      <c r="P337" t="e" cm="1">
        <f t="array" aca="1" ref="P337" ca="1">IF(OR(A337="",B337="safety"),"",INDIRECT("template!"&amp;"M"&amp;A337))</f>
        <v>#REF!</v>
      </c>
      <c r="Q337" t="e">
        <f t="shared" ca="1" si="28"/>
        <v>#REF!</v>
      </c>
      <c r="R337" t="e">
        <f t="shared" ca="1" si="29"/>
        <v>#REF!</v>
      </c>
      <c r="S337" t="e">
        <f t="shared" ca="1" si="30"/>
        <v>#REF!</v>
      </c>
      <c r="T337" t="e">
        <f t="shared" ca="1" si="31"/>
        <v>#REF!</v>
      </c>
      <c r="U337" t="e" cm="1">
        <f t="array" aca="1" ref="U337" ca="1">IF(A337="","",IF(E337="","",IF(B337="safety",INDIRECT("template!"&amp;"P"&amp;A337),Q337+R337)))</f>
        <v>#REF!</v>
      </c>
      <c r="V337" t="e" cm="1">
        <f t="array" aca="1" ref="V337" ca="1">IF(A337="","",IF(E337="","",IF(B337="safety",INDIRECT("template!"&amp;"P"&amp;A337),S337+T337)))</f>
        <v>#REF!</v>
      </c>
      <c r="W337" t="e">
        <f ca="1">IF(A337="","",IF(E337="","",#REF!))</f>
        <v>#REF!</v>
      </c>
      <c r="X337" t="e">
        <f ca="1">IF(A337="","",IF(E337="","",#REF!))</f>
        <v>#REF!</v>
      </c>
      <c r="Y337" s="39" t="e">
        <f ca="1">IF(A337="","",IF(E337="","",#REF!))</f>
        <v>#REF!</v>
      </c>
      <c r="Z337" t="e">
        <f ca="1">IF(A337="","",IF(E337="","",#REF!))</f>
        <v>#REF!</v>
      </c>
      <c r="AA337" t="e">
        <f ca="1">IF(A337="","",IF(E337="","",#REF!))</f>
        <v>#REF!</v>
      </c>
      <c r="AB337" t="e">
        <f ca="1">IF(A337="","",IF(E337="","",#REF!))</f>
        <v>#REF!</v>
      </c>
      <c r="AC337" t="e">
        <f t="shared" ca="1" si="32"/>
        <v>#REF!</v>
      </c>
    </row>
    <row r="338" spans="1:29" x14ac:dyDescent="0.35">
      <c r="A338" t="e" cm="1">
        <f t="array" aca="1" ref="A338" ca="1">IF(A337="","",IF(OR(AND(A337+1&gt;=$AF$1,A337+1&lt;=$AF$2),AND(A337+1&gt;=$AF$6,A337+1&lt;=$AF$7),AND(A337+1&gt;=$AF$3,A337+1&lt;=$AF$4),AND(A337+1&gt;=$AF$8,A337+1&lt;=$AF$9),A337+1=$AF$5),IF(NOT(ISBLANK(INDIRECT("template!"&amp;"P"&amp;A337+1))),A337+1,IF(NOT(ISBLANK(INDIRECT("template!"&amp;"P"&amp;A337+2))),A337+2,A337+3)),IF(A337=$AF$2,$AF$3,IF(A337=$AF$4,$AF$5,IF(A337=$AF$5,$AF$6,IF(A337=$AF$7,$AF$8,""))))))</f>
        <v>#REF!</v>
      </c>
      <c r="B338" t="e">
        <f t="shared" ca="1" si="27"/>
        <v>#REF!</v>
      </c>
      <c r="C338" t="e" cm="1">
        <f t="array" aca="1" ref="C338" ca="1">IF(A338="","",IF(B338="safety","safety costs",INDIRECT("template!"&amp;"B"&amp;A338)))</f>
        <v>#REF!</v>
      </c>
      <c r="D338" t="e" cm="1">
        <f t="array" aca="1" ref="D338" ca="1">IF(OR(A338="",B338="safety"),"",INDIRECT("template!"&amp;"C"&amp;A338))</f>
        <v>#REF!</v>
      </c>
      <c r="E338" t="e" cm="1">
        <f t="array" aca="1" ref="E338" ca="1">IF(A338="","",IF(OR(A338=A337+1,A338=A337+2),E337,INDIRECT("template!"&amp;"D"&amp;A338-2)))</f>
        <v>#REF!</v>
      </c>
      <c r="F338" t="e" cm="1">
        <f t="array" aca="1" ref="F338" ca="1">IF(OR(A338="",B338="safety"),"",IF(ISBLANK(IF(A338=A337+1,F337,INDIRECT("template!"&amp;"D"&amp;A338-1))),"",IF(A338=A337+1,F337,INDIRECT("template!"&amp;"D"&amp;A338-1))))</f>
        <v>#REF!</v>
      </c>
      <c r="G338" t="e" cm="1">
        <f t="array" aca="1" ref="G338" ca="1">IF(OR(A338="",B338="safety"),"",IF(ISBLANK(INDIRECT("template!"&amp;"D"&amp;A338)),"",INDIRECT("template!"&amp;"D"&amp;A338)))</f>
        <v>#REF!</v>
      </c>
      <c r="H338" t="e" cm="1">
        <f t="array" aca="1" ref="H338" ca="1">IF(OR(A338="",B338="safety"),"",IF(ISBLANK(INDIRECT("template!"&amp;"E"&amp;A338)),"",INDIRECT("template!"&amp;"E"&amp;A338)))</f>
        <v>#REF!</v>
      </c>
      <c r="I338" t="e" cm="1">
        <f t="array" aca="1" ref="I338" ca="1">IF(OR(A338="",B338="safety"),"",IF(ISBLANK(INDIRECT("template!"&amp;"F"&amp;A338)),"",INDIRECT("template!"&amp;"F"&amp;A338)))</f>
        <v>#REF!</v>
      </c>
      <c r="J338" t="e" cm="1">
        <f t="array" aca="1" ref="J338" ca="1">IF(OR(A338="",B338="safety"),"",IF(ISBLANK(INDIRECT("template!"&amp;"G"&amp;A338)),"",INDIRECT("template!"&amp;"G"&amp;A338)))</f>
        <v>#REF!</v>
      </c>
      <c r="K338" t="e" cm="1">
        <f t="array" aca="1" ref="K338" ca="1">IF(OR(A338="",B338="safety"),"",IF(ISBLANK(INDIRECT("template!"&amp;"H"&amp;A338)),"",INDIRECT("template!"&amp;"H"&amp;A338)))</f>
        <v>#REF!</v>
      </c>
      <c r="L338" t="e" cm="1">
        <f t="array" aca="1" ref="L338" ca="1">IF(OR(A338="",B338="safety"),"",INDIRECT("template!"&amp;"I"&amp;A338))</f>
        <v>#REF!</v>
      </c>
      <c r="M338" t="e" cm="1">
        <f t="array" aca="1" ref="M338" ca="1">IF(OR(A338="",B338="safety"),"",INDIRECT("template!"&amp;"J"&amp;A338))</f>
        <v>#REF!</v>
      </c>
      <c r="N338" t="e" cm="1">
        <f t="array" aca="1" ref="N338" ca="1">IF(OR(A338="",B338="safety"),"",IF(ISBLANK(INDIRECT("template!"&amp;"K"&amp;A338)),"",INDIRECT("template!"&amp;"K"&amp;A338)))</f>
        <v>#REF!</v>
      </c>
      <c r="O338" t="e" cm="1">
        <f t="array" aca="1" ref="O338" ca="1">IF(OR(A338="",B338="safety"),"",INDIRECT("template!"&amp;"L"&amp;A338))</f>
        <v>#REF!</v>
      </c>
      <c r="P338" t="e" cm="1">
        <f t="array" aca="1" ref="P338" ca="1">IF(OR(A338="",B338="safety"),"",INDIRECT("template!"&amp;"M"&amp;A338))</f>
        <v>#REF!</v>
      </c>
      <c r="Q338" t="e">
        <f t="shared" ca="1" si="28"/>
        <v>#REF!</v>
      </c>
      <c r="R338" t="e">
        <f t="shared" ca="1" si="29"/>
        <v>#REF!</v>
      </c>
      <c r="S338" t="e">
        <f t="shared" ca="1" si="30"/>
        <v>#REF!</v>
      </c>
      <c r="T338" t="e">
        <f t="shared" ca="1" si="31"/>
        <v>#REF!</v>
      </c>
      <c r="U338" t="e" cm="1">
        <f t="array" aca="1" ref="U338" ca="1">IF(A338="","",IF(E338="","",IF(B338="safety",INDIRECT("template!"&amp;"P"&amp;A338),Q338+R338)))</f>
        <v>#REF!</v>
      </c>
      <c r="V338" t="e" cm="1">
        <f t="array" aca="1" ref="V338" ca="1">IF(A338="","",IF(E338="","",IF(B338="safety",INDIRECT("template!"&amp;"P"&amp;A338),S338+T338)))</f>
        <v>#REF!</v>
      </c>
      <c r="W338" t="e">
        <f ca="1">IF(A338="","",IF(E338="","",#REF!))</f>
        <v>#REF!</v>
      </c>
      <c r="X338" t="e">
        <f ca="1">IF(A338="","",IF(E338="","",#REF!))</f>
        <v>#REF!</v>
      </c>
      <c r="Y338" s="39" t="e">
        <f ca="1">IF(A338="","",IF(E338="","",#REF!))</f>
        <v>#REF!</v>
      </c>
      <c r="Z338" t="e">
        <f ca="1">IF(A338="","",IF(E338="","",#REF!))</f>
        <v>#REF!</v>
      </c>
      <c r="AA338" t="e">
        <f ca="1">IF(A338="","",IF(E338="","",#REF!))</f>
        <v>#REF!</v>
      </c>
      <c r="AB338" t="e">
        <f ca="1">IF(A338="","",IF(E338="","",#REF!))</f>
        <v>#REF!</v>
      </c>
      <c r="AC338" t="e">
        <f t="shared" ca="1" si="32"/>
        <v>#REF!</v>
      </c>
    </row>
    <row r="339" spans="1:29" x14ac:dyDescent="0.35">
      <c r="A339" t="e" cm="1">
        <f t="array" aca="1" ref="A339" ca="1">IF(A338="","",IF(OR(AND(A338+1&gt;=$AF$1,A338+1&lt;=$AF$2),AND(A338+1&gt;=$AF$6,A338+1&lt;=$AF$7),AND(A338+1&gt;=$AF$3,A338+1&lt;=$AF$4),AND(A338+1&gt;=$AF$8,A338+1&lt;=$AF$9),A338+1=$AF$5),IF(NOT(ISBLANK(INDIRECT("template!"&amp;"P"&amp;A338+1))),A338+1,IF(NOT(ISBLANK(INDIRECT("template!"&amp;"P"&amp;A338+2))),A338+2,A338+3)),IF(A338=$AF$2,$AF$3,IF(A338=$AF$4,$AF$5,IF(A338=$AF$5,$AF$6,IF(A338=$AF$7,$AF$8,""))))))</f>
        <v>#REF!</v>
      </c>
      <c r="B339" t="e">
        <f t="shared" ca="1" si="27"/>
        <v>#REF!</v>
      </c>
      <c r="C339" t="e" cm="1">
        <f t="array" aca="1" ref="C339" ca="1">IF(A339="","",IF(B339="safety","safety costs",INDIRECT("template!"&amp;"B"&amp;A339)))</f>
        <v>#REF!</v>
      </c>
      <c r="D339" t="e" cm="1">
        <f t="array" aca="1" ref="D339" ca="1">IF(OR(A339="",B339="safety"),"",INDIRECT("template!"&amp;"C"&amp;A339))</f>
        <v>#REF!</v>
      </c>
      <c r="E339" t="e" cm="1">
        <f t="array" aca="1" ref="E339" ca="1">IF(A339="","",IF(OR(A339=A338+1,A339=A338+2),E338,INDIRECT("template!"&amp;"D"&amp;A339-2)))</f>
        <v>#REF!</v>
      </c>
      <c r="F339" t="e" cm="1">
        <f t="array" aca="1" ref="F339" ca="1">IF(OR(A339="",B339="safety"),"",IF(ISBLANK(IF(A339=A338+1,F338,INDIRECT("template!"&amp;"D"&amp;A339-1))),"",IF(A339=A338+1,F338,INDIRECT("template!"&amp;"D"&amp;A339-1))))</f>
        <v>#REF!</v>
      </c>
      <c r="G339" t="e" cm="1">
        <f t="array" aca="1" ref="G339" ca="1">IF(OR(A339="",B339="safety"),"",IF(ISBLANK(INDIRECT("template!"&amp;"D"&amp;A339)),"",INDIRECT("template!"&amp;"D"&amp;A339)))</f>
        <v>#REF!</v>
      </c>
      <c r="H339" t="e" cm="1">
        <f t="array" aca="1" ref="H339" ca="1">IF(OR(A339="",B339="safety"),"",IF(ISBLANK(INDIRECT("template!"&amp;"E"&amp;A339)),"",INDIRECT("template!"&amp;"E"&amp;A339)))</f>
        <v>#REF!</v>
      </c>
      <c r="I339" t="e" cm="1">
        <f t="array" aca="1" ref="I339" ca="1">IF(OR(A339="",B339="safety"),"",IF(ISBLANK(INDIRECT("template!"&amp;"F"&amp;A339)),"",INDIRECT("template!"&amp;"F"&amp;A339)))</f>
        <v>#REF!</v>
      </c>
      <c r="J339" t="e" cm="1">
        <f t="array" aca="1" ref="J339" ca="1">IF(OR(A339="",B339="safety"),"",IF(ISBLANK(INDIRECT("template!"&amp;"G"&amp;A339)),"",INDIRECT("template!"&amp;"G"&amp;A339)))</f>
        <v>#REF!</v>
      </c>
      <c r="K339" t="e" cm="1">
        <f t="array" aca="1" ref="K339" ca="1">IF(OR(A339="",B339="safety"),"",IF(ISBLANK(INDIRECT("template!"&amp;"H"&amp;A339)),"",INDIRECT("template!"&amp;"H"&amp;A339)))</f>
        <v>#REF!</v>
      </c>
      <c r="L339" t="e" cm="1">
        <f t="array" aca="1" ref="L339" ca="1">IF(OR(A339="",B339="safety"),"",INDIRECT("template!"&amp;"I"&amp;A339))</f>
        <v>#REF!</v>
      </c>
      <c r="M339" t="e" cm="1">
        <f t="array" aca="1" ref="M339" ca="1">IF(OR(A339="",B339="safety"),"",INDIRECT("template!"&amp;"J"&amp;A339))</f>
        <v>#REF!</v>
      </c>
      <c r="N339" t="e" cm="1">
        <f t="array" aca="1" ref="N339" ca="1">IF(OR(A339="",B339="safety"),"",IF(ISBLANK(INDIRECT("template!"&amp;"K"&amp;A339)),"",INDIRECT("template!"&amp;"K"&amp;A339)))</f>
        <v>#REF!</v>
      </c>
      <c r="O339" t="e" cm="1">
        <f t="array" aca="1" ref="O339" ca="1">IF(OR(A339="",B339="safety"),"",INDIRECT("template!"&amp;"L"&amp;A339))</f>
        <v>#REF!</v>
      </c>
      <c r="P339" t="e" cm="1">
        <f t="array" aca="1" ref="P339" ca="1">IF(OR(A339="",B339="safety"),"",INDIRECT("template!"&amp;"M"&amp;A339))</f>
        <v>#REF!</v>
      </c>
      <c r="Q339" t="e">
        <f t="shared" ca="1" si="28"/>
        <v>#REF!</v>
      </c>
      <c r="R339" t="e">
        <f t="shared" ca="1" si="29"/>
        <v>#REF!</v>
      </c>
      <c r="S339" t="e">
        <f t="shared" ca="1" si="30"/>
        <v>#REF!</v>
      </c>
      <c r="T339" t="e">
        <f t="shared" ca="1" si="31"/>
        <v>#REF!</v>
      </c>
      <c r="U339" t="e" cm="1">
        <f t="array" aca="1" ref="U339" ca="1">IF(A339="","",IF(E339="","",IF(B339="safety",INDIRECT("template!"&amp;"P"&amp;A339),Q339+R339)))</f>
        <v>#REF!</v>
      </c>
      <c r="V339" t="e" cm="1">
        <f t="array" aca="1" ref="V339" ca="1">IF(A339="","",IF(E339="","",IF(B339="safety",INDIRECT("template!"&amp;"P"&amp;A339),S339+T339)))</f>
        <v>#REF!</v>
      </c>
      <c r="W339" t="e">
        <f ca="1">IF(A339="","",IF(E339="","",#REF!))</f>
        <v>#REF!</v>
      </c>
      <c r="X339" t="e">
        <f ca="1">IF(A339="","",IF(E339="","",#REF!))</f>
        <v>#REF!</v>
      </c>
      <c r="Y339" s="39" t="e">
        <f ca="1">IF(A339="","",IF(E339="","",#REF!))</f>
        <v>#REF!</v>
      </c>
      <c r="Z339" t="e">
        <f ca="1">IF(A339="","",IF(E339="","",#REF!))</f>
        <v>#REF!</v>
      </c>
      <c r="AA339" t="e">
        <f ca="1">IF(A339="","",IF(E339="","",#REF!))</f>
        <v>#REF!</v>
      </c>
      <c r="AB339" t="e">
        <f ca="1">IF(A339="","",IF(E339="","",#REF!))</f>
        <v>#REF!</v>
      </c>
      <c r="AC339" t="e">
        <f t="shared" ca="1" si="32"/>
        <v>#REF!</v>
      </c>
    </row>
    <row r="340" spans="1:29" x14ac:dyDescent="0.35">
      <c r="A340" t="e" cm="1">
        <f t="array" aca="1" ref="A340" ca="1">IF(A339="","",IF(OR(AND(A339+1&gt;=$AF$1,A339+1&lt;=$AF$2),AND(A339+1&gt;=$AF$6,A339+1&lt;=$AF$7),AND(A339+1&gt;=$AF$3,A339+1&lt;=$AF$4),AND(A339+1&gt;=$AF$8,A339+1&lt;=$AF$9),A339+1=$AF$5),IF(NOT(ISBLANK(INDIRECT("template!"&amp;"P"&amp;A339+1))),A339+1,IF(NOT(ISBLANK(INDIRECT("template!"&amp;"P"&amp;A339+2))),A339+2,A339+3)),IF(A339=$AF$2,$AF$3,IF(A339=$AF$4,$AF$5,IF(A339=$AF$5,$AF$6,IF(A339=$AF$7,$AF$8,""))))))</f>
        <v>#REF!</v>
      </c>
      <c r="B340" t="e">
        <f t="shared" ca="1" si="27"/>
        <v>#REF!</v>
      </c>
      <c r="C340" t="e" cm="1">
        <f t="array" aca="1" ref="C340" ca="1">IF(A340="","",IF(B340="safety","safety costs",INDIRECT("template!"&amp;"B"&amp;A340)))</f>
        <v>#REF!</v>
      </c>
      <c r="D340" t="e" cm="1">
        <f t="array" aca="1" ref="D340" ca="1">IF(OR(A340="",B340="safety"),"",INDIRECT("template!"&amp;"C"&amp;A340))</f>
        <v>#REF!</v>
      </c>
      <c r="E340" t="e" cm="1">
        <f t="array" aca="1" ref="E340" ca="1">IF(A340="","",IF(OR(A340=A339+1,A340=A339+2),E339,INDIRECT("template!"&amp;"D"&amp;A340-2)))</f>
        <v>#REF!</v>
      </c>
      <c r="F340" t="e" cm="1">
        <f t="array" aca="1" ref="F340" ca="1">IF(OR(A340="",B340="safety"),"",IF(ISBLANK(IF(A340=A339+1,F339,INDIRECT("template!"&amp;"D"&amp;A340-1))),"",IF(A340=A339+1,F339,INDIRECT("template!"&amp;"D"&amp;A340-1))))</f>
        <v>#REF!</v>
      </c>
      <c r="G340" t="e" cm="1">
        <f t="array" aca="1" ref="G340" ca="1">IF(OR(A340="",B340="safety"),"",IF(ISBLANK(INDIRECT("template!"&amp;"D"&amp;A340)),"",INDIRECT("template!"&amp;"D"&amp;A340)))</f>
        <v>#REF!</v>
      </c>
      <c r="H340" t="e" cm="1">
        <f t="array" aca="1" ref="H340" ca="1">IF(OR(A340="",B340="safety"),"",IF(ISBLANK(INDIRECT("template!"&amp;"E"&amp;A340)),"",INDIRECT("template!"&amp;"E"&amp;A340)))</f>
        <v>#REF!</v>
      </c>
      <c r="I340" t="e" cm="1">
        <f t="array" aca="1" ref="I340" ca="1">IF(OR(A340="",B340="safety"),"",IF(ISBLANK(INDIRECT("template!"&amp;"F"&amp;A340)),"",INDIRECT("template!"&amp;"F"&amp;A340)))</f>
        <v>#REF!</v>
      </c>
      <c r="J340" t="e" cm="1">
        <f t="array" aca="1" ref="J340" ca="1">IF(OR(A340="",B340="safety"),"",IF(ISBLANK(INDIRECT("template!"&amp;"G"&amp;A340)),"",INDIRECT("template!"&amp;"G"&amp;A340)))</f>
        <v>#REF!</v>
      </c>
      <c r="K340" t="e" cm="1">
        <f t="array" aca="1" ref="K340" ca="1">IF(OR(A340="",B340="safety"),"",IF(ISBLANK(INDIRECT("template!"&amp;"H"&amp;A340)),"",INDIRECT("template!"&amp;"H"&amp;A340)))</f>
        <v>#REF!</v>
      </c>
      <c r="L340" t="e" cm="1">
        <f t="array" aca="1" ref="L340" ca="1">IF(OR(A340="",B340="safety"),"",INDIRECT("template!"&amp;"I"&amp;A340))</f>
        <v>#REF!</v>
      </c>
      <c r="M340" t="e" cm="1">
        <f t="array" aca="1" ref="M340" ca="1">IF(OR(A340="",B340="safety"),"",INDIRECT("template!"&amp;"J"&amp;A340))</f>
        <v>#REF!</v>
      </c>
      <c r="N340" t="e" cm="1">
        <f t="array" aca="1" ref="N340" ca="1">IF(OR(A340="",B340="safety"),"",IF(ISBLANK(INDIRECT("template!"&amp;"K"&amp;A340)),"",INDIRECT("template!"&amp;"K"&amp;A340)))</f>
        <v>#REF!</v>
      </c>
      <c r="O340" t="e" cm="1">
        <f t="array" aca="1" ref="O340" ca="1">IF(OR(A340="",B340="safety"),"",INDIRECT("template!"&amp;"L"&amp;A340))</f>
        <v>#REF!</v>
      </c>
      <c r="P340" t="e" cm="1">
        <f t="array" aca="1" ref="P340" ca="1">IF(OR(A340="",B340="safety"),"",INDIRECT("template!"&amp;"M"&amp;A340))</f>
        <v>#REF!</v>
      </c>
      <c r="Q340" t="e">
        <f t="shared" ca="1" si="28"/>
        <v>#REF!</v>
      </c>
      <c r="R340" t="e">
        <f t="shared" ca="1" si="29"/>
        <v>#REF!</v>
      </c>
      <c r="S340" t="e">
        <f t="shared" ca="1" si="30"/>
        <v>#REF!</v>
      </c>
      <c r="T340" t="e">
        <f t="shared" ca="1" si="31"/>
        <v>#REF!</v>
      </c>
      <c r="U340" t="e" cm="1">
        <f t="array" aca="1" ref="U340" ca="1">IF(A340="","",IF(E340="","",IF(B340="safety",INDIRECT("template!"&amp;"P"&amp;A340),Q340+R340)))</f>
        <v>#REF!</v>
      </c>
      <c r="V340" t="e" cm="1">
        <f t="array" aca="1" ref="V340" ca="1">IF(A340="","",IF(E340="","",IF(B340="safety",INDIRECT("template!"&amp;"P"&amp;A340),S340+T340)))</f>
        <v>#REF!</v>
      </c>
      <c r="W340" t="e">
        <f ca="1">IF(A340="","",IF(E340="","",#REF!))</f>
        <v>#REF!</v>
      </c>
      <c r="X340" t="e">
        <f ca="1">IF(A340="","",IF(E340="","",#REF!))</f>
        <v>#REF!</v>
      </c>
      <c r="Y340" s="39" t="e">
        <f ca="1">IF(A340="","",IF(E340="","",#REF!))</f>
        <v>#REF!</v>
      </c>
      <c r="Z340" t="e">
        <f ca="1">IF(A340="","",IF(E340="","",#REF!))</f>
        <v>#REF!</v>
      </c>
      <c r="AA340" t="e">
        <f ca="1">IF(A340="","",IF(E340="","",#REF!))</f>
        <v>#REF!</v>
      </c>
      <c r="AB340" t="e">
        <f ca="1">IF(A340="","",IF(E340="","",#REF!))</f>
        <v>#REF!</v>
      </c>
      <c r="AC340" t="e">
        <f t="shared" ca="1" si="32"/>
        <v>#REF!</v>
      </c>
    </row>
    <row r="341" spans="1:29" x14ac:dyDescent="0.35">
      <c r="A341" t="e" cm="1">
        <f t="array" aca="1" ref="A341" ca="1">IF(A340="","",IF(OR(AND(A340+1&gt;=$AF$1,A340+1&lt;=$AF$2),AND(A340+1&gt;=$AF$6,A340+1&lt;=$AF$7),AND(A340+1&gt;=$AF$3,A340+1&lt;=$AF$4),AND(A340+1&gt;=$AF$8,A340+1&lt;=$AF$9),A340+1=$AF$5),IF(NOT(ISBLANK(INDIRECT("template!"&amp;"P"&amp;A340+1))),A340+1,IF(NOT(ISBLANK(INDIRECT("template!"&amp;"P"&amp;A340+2))),A340+2,A340+3)),IF(A340=$AF$2,$AF$3,IF(A340=$AF$4,$AF$5,IF(A340=$AF$5,$AF$6,IF(A340=$AF$7,$AF$8,""))))))</f>
        <v>#REF!</v>
      </c>
      <c r="B341" t="e">
        <f t="shared" ca="1" si="27"/>
        <v>#REF!</v>
      </c>
      <c r="C341" t="e" cm="1">
        <f t="array" aca="1" ref="C341" ca="1">IF(A341="","",IF(B341="safety","safety costs",INDIRECT("template!"&amp;"B"&amp;A341)))</f>
        <v>#REF!</v>
      </c>
      <c r="D341" t="e" cm="1">
        <f t="array" aca="1" ref="D341" ca="1">IF(OR(A341="",B341="safety"),"",INDIRECT("template!"&amp;"C"&amp;A341))</f>
        <v>#REF!</v>
      </c>
      <c r="E341" t="e" cm="1">
        <f t="array" aca="1" ref="E341" ca="1">IF(A341="","",IF(OR(A341=A340+1,A341=A340+2),E340,INDIRECT("template!"&amp;"D"&amp;A341-2)))</f>
        <v>#REF!</v>
      </c>
      <c r="F341" t="e" cm="1">
        <f t="array" aca="1" ref="F341" ca="1">IF(OR(A341="",B341="safety"),"",IF(ISBLANK(IF(A341=A340+1,F340,INDIRECT("template!"&amp;"D"&amp;A341-1))),"",IF(A341=A340+1,F340,INDIRECT("template!"&amp;"D"&amp;A341-1))))</f>
        <v>#REF!</v>
      </c>
      <c r="G341" t="e" cm="1">
        <f t="array" aca="1" ref="G341" ca="1">IF(OR(A341="",B341="safety"),"",IF(ISBLANK(INDIRECT("template!"&amp;"D"&amp;A341)),"",INDIRECT("template!"&amp;"D"&amp;A341)))</f>
        <v>#REF!</v>
      </c>
      <c r="H341" t="e" cm="1">
        <f t="array" aca="1" ref="H341" ca="1">IF(OR(A341="",B341="safety"),"",IF(ISBLANK(INDIRECT("template!"&amp;"E"&amp;A341)),"",INDIRECT("template!"&amp;"E"&amp;A341)))</f>
        <v>#REF!</v>
      </c>
      <c r="I341" t="e" cm="1">
        <f t="array" aca="1" ref="I341" ca="1">IF(OR(A341="",B341="safety"),"",IF(ISBLANK(INDIRECT("template!"&amp;"F"&amp;A341)),"",INDIRECT("template!"&amp;"F"&amp;A341)))</f>
        <v>#REF!</v>
      </c>
      <c r="J341" t="e" cm="1">
        <f t="array" aca="1" ref="J341" ca="1">IF(OR(A341="",B341="safety"),"",IF(ISBLANK(INDIRECT("template!"&amp;"G"&amp;A341)),"",INDIRECT("template!"&amp;"G"&amp;A341)))</f>
        <v>#REF!</v>
      </c>
      <c r="K341" t="e" cm="1">
        <f t="array" aca="1" ref="K341" ca="1">IF(OR(A341="",B341="safety"),"",IF(ISBLANK(INDIRECT("template!"&amp;"H"&amp;A341)),"",INDIRECT("template!"&amp;"H"&amp;A341)))</f>
        <v>#REF!</v>
      </c>
      <c r="L341" t="e" cm="1">
        <f t="array" aca="1" ref="L341" ca="1">IF(OR(A341="",B341="safety"),"",INDIRECT("template!"&amp;"I"&amp;A341))</f>
        <v>#REF!</v>
      </c>
      <c r="M341" t="e" cm="1">
        <f t="array" aca="1" ref="M341" ca="1">IF(OR(A341="",B341="safety"),"",INDIRECT("template!"&amp;"J"&amp;A341))</f>
        <v>#REF!</v>
      </c>
      <c r="N341" t="e" cm="1">
        <f t="array" aca="1" ref="N341" ca="1">IF(OR(A341="",B341="safety"),"",IF(ISBLANK(INDIRECT("template!"&amp;"K"&amp;A341)),"",INDIRECT("template!"&amp;"K"&amp;A341)))</f>
        <v>#REF!</v>
      </c>
      <c r="O341" t="e" cm="1">
        <f t="array" aca="1" ref="O341" ca="1">IF(OR(A341="",B341="safety"),"",INDIRECT("template!"&amp;"L"&amp;A341))</f>
        <v>#REF!</v>
      </c>
      <c r="P341" t="e" cm="1">
        <f t="array" aca="1" ref="P341" ca="1">IF(OR(A341="",B341="safety"),"",INDIRECT("template!"&amp;"M"&amp;A341))</f>
        <v>#REF!</v>
      </c>
      <c r="Q341" t="e">
        <f t="shared" ca="1" si="28"/>
        <v>#REF!</v>
      </c>
      <c r="R341" t="e">
        <f t="shared" ca="1" si="29"/>
        <v>#REF!</v>
      </c>
      <c r="S341" t="e">
        <f t="shared" ca="1" si="30"/>
        <v>#REF!</v>
      </c>
      <c r="T341" t="e">
        <f t="shared" ca="1" si="31"/>
        <v>#REF!</v>
      </c>
      <c r="U341" t="e" cm="1">
        <f t="array" aca="1" ref="U341" ca="1">IF(A341="","",IF(E341="","",IF(B341="safety",INDIRECT("template!"&amp;"P"&amp;A341),Q341+R341)))</f>
        <v>#REF!</v>
      </c>
      <c r="V341" t="e" cm="1">
        <f t="array" aca="1" ref="V341" ca="1">IF(A341="","",IF(E341="","",IF(B341="safety",INDIRECT("template!"&amp;"P"&amp;A341),S341+T341)))</f>
        <v>#REF!</v>
      </c>
      <c r="W341" t="e">
        <f ca="1">IF(A341="","",IF(E341="","",#REF!))</f>
        <v>#REF!</v>
      </c>
      <c r="X341" t="e">
        <f ca="1">IF(A341="","",IF(E341="","",#REF!))</f>
        <v>#REF!</v>
      </c>
      <c r="Y341" s="39" t="e">
        <f ca="1">IF(A341="","",IF(E341="","",#REF!))</f>
        <v>#REF!</v>
      </c>
      <c r="Z341" t="e">
        <f ca="1">IF(A341="","",IF(E341="","",#REF!))</f>
        <v>#REF!</v>
      </c>
      <c r="AA341" t="e">
        <f ca="1">IF(A341="","",IF(E341="","",#REF!))</f>
        <v>#REF!</v>
      </c>
      <c r="AB341" t="e">
        <f ca="1">IF(A341="","",IF(E341="","",#REF!))</f>
        <v>#REF!</v>
      </c>
      <c r="AC341" t="e">
        <f t="shared" ca="1" si="32"/>
        <v>#REF!</v>
      </c>
    </row>
    <row r="342" spans="1:29" x14ac:dyDescent="0.35">
      <c r="A342" t="e" cm="1">
        <f t="array" aca="1" ref="A342" ca="1">IF(A341="","",IF(OR(AND(A341+1&gt;=$AF$1,A341+1&lt;=$AF$2),AND(A341+1&gt;=$AF$6,A341+1&lt;=$AF$7),AND(A341+1&gt;=$AF$3,A341+1&lt;=$AF$4),AND(A341+1&gt;=$AF$8,A341+1&lt;=$AF$9),A341+1=$AF$5),IF(NOT(ISBLANK(INDIRECT("template!"&amp;"P"&amp;A341+1))),A341+1,IF(NOT(ISBLANK(INDIRECT("template!"&amp;"P"&amp;A341+2))),A341+2,A341+3)),IF(A341=$AF$2,$AF$3,IF(A341=$AF$4,$AF$5,IF(A341=$AF$5,$AF$6,IF(A341=$AF$7,$AF$8,""))))))</f>
        <v>#REF!</v>
      </c>
      <c r="B342" t="e">
        <f t="shared" ca="1" si="27"/>
        <v>#REF!</v>
      </c>
      <c r="C342" t="e" cm="1">
        <f t="array" aca="1" ref="C342" ca="1">IF(A342="","",IF(B342="safety","safety costs",INDIRECT("template!"&amp;"B"&amp;A342)))</f>
        <v>#REF!</v>
      </c>
      <c r="D342" t="e" cm="1">
        <f t="array" aca="1" ref="D342" ca="1">IF(OR(A342="",B342="safety"),"",INDIRECT("template!"&amp;"C"&amp;A342))</f>
        <v>#REF!</v>
      </c>
      <c r="E342" t="e" cm="1">
        <f t="array" aca="1" ref="E342" ca="1">IF(A342="","",IF(OR(A342=A341+1,A342=A341+2),E341,INDIRECT("template!"&amp;"D"&amp;A342-2)))</f>
        <v>#REF!</v>
      </c>
      <c r="F342" t="e" cm="1">
        <f t="array" aca="1" ref="F342" ca="1">IF(OR(A342="",B342="safety"),"",IF(ISBLANK(IF(A342=A341+1,F341,INDIRECT("template!"&amp;"D"&amp;A342-1))),"",IF(A342=A341+1,F341,INDIRECT("template!"&amp;"D"&amp;A342-1))))</f>
        <v>#REF!</v>
      </c>
      <c r="G342" t="e" cm="1">
        <f t="array" aca="1" ref="G342" ca="1">IF(OR(A342="",B342="safety"),"",IF(ISBLANK(INDIRECT("template!"&amp;"D"&amp;A342)),"",INDIRECT("template!"&amp;"D"&amp;A342)))</f>
        <v>#REF!</v>
      </c>
      <c r="H342" t="e" cm="1">
        <f t="array" aca="1" ref="H342" ca="1">IF(OR(A342="",B342="safety"),"",IF(ISBLANK(INDIRECT("template!"&amp;"E"&amp;A342)),"",INDIRECT("template!"&amp;"E"&amp;A342)))</f>
        <v>#REF!</v>
      </c>
      <c r="I342" t="e" cm="1">
        <f t="array" aca="1" ref="I342" ca="1">IF(OR(A342="",B342="safety"),"",IF(ISBLANK(INDIRECT("template!"&amp;"F"&amp;A342)),"",INDIRECT("template!"&amp;"F"&amp;A342)))</f>
        <v>#REF!</v>
      </c>
      <c r="J342" t="e" cm="1">
        <f t="array" aca="1" ref="J342" ca="1">IF(OR(A342="",B342="safety"),"",IF(ISBLANK(INDIRECT("template!"&amp;"G"&amp;A342)),"",INDIRECT("template!"&amp;"G"&amp;A342)))</f>
        <v>#REF!</v>
      </c>
      <c r="K342" t="e" cm="1">
        <f t="array" aca="1" ref="K342" ca="1">IF(OR(A342="",B342="safety"),"",IF(ISBLANK(INDIRECT("template!"&amp;"H"&amp;A342)),"",INDIRECT("template!"&amp;"H"&amp;A342)))</f>
        <v>#REF!</v>
      </c>
      <c r="L342" t="e" cm="1">
        <f t="array" aca="1" ref="L342" ca="1">IF(OR(A342="",B342="safety"),"",INDIRECT("template!"&amp;"I"&amp;A342))</f>
        <v>#REF!</v>
      </c>
      <c r="M342" t="e" cm="1">
        <f t="array" aca="1" ref="M342" ca="1">IF(OR(A342="",B342="safety"),"",INDIRECT("template!"&amp;"J"&amp;A342))</f>
        <v>#REF!</v>
      </c>
      <c r="N342" t="e" cm="1">
        <f t="array" aca="1" ref="N342" ca="1">IF(OR(A342="",B342="safety"),"",IF(ISBLANK(INDIRECT("template!"&amp;"K"&amp;A342)),"",INDIRECT("template!"&amp;"K"&amp;A342)))</f>
        <v>#REF!</v>
      </c>
      <c r="O342" t="e" cm="1">
        <f t="array" aca="1" ref="O342" ca="1">IF(OR(A342="",B342="safety"),"",INDIRECT("template!"&amp;"L"&amp;A342))</f>
        <v>#REF!</v>
      </c>
      <c r="P342" t="e" cm="1">
        <f t="array" aca="1" ref="P342" ca="1">IF(OR(A342="",B342="safety"),"",INDIRECT("template!"&amp;"M"&amp;A342))</f>
        <v>#REF!</v>
      </c>
      <c r="Q342" t="e">
        <f t="shared" ca="1" si="28"/>
        <v>#REF!</v>
      </c>
      <c r="R342" t="e">
        <f t="shared" ca="1" si="29"/>
        <v>#REF!</v>
      </c>
      <c r="S342" t="e">
        <f t="shared" ca="1" si="30"/>
        <v>#REF!</v>
      </c>
      <c r="T342" t="e">
        <f t="shared" ca="1" si="31"/>
        <v>#REF!</v>
      </c>
      <c r="U342" t="e" cm="1">
        <f t="array" aca="1" ref="U342" ca="1">IF(A342="","",IF(E342="","",IF(B342="safety",INDIRECT("template!"&amp;"P"&amp;A342),Q342+R342)))</f>
        <v>#REF!</v>
      </c>
      <c r="V342" t="e" cm="1">
        <f t="array" aca="1" ref="V342" ca="1">IF(A342="","",IF(E342="","",IF(B342="safety",INDIRECT("template!"&amp;"P"&amp;A342),S342+T342)))</f>
        <v>#REF!</v>
      </c>
      <c r="W342" t="e">
        <f ca="1">IF(A342="","",IF(E342="","",#REF!))</f>
        <v>#REF!</v>
      </c>
      <c r="X342" t="e">
        <f ca="1">IF(A342="","",IF(E342="","",#REF!))</f>
        <v>#REF!</v>
      </c>
      <c r="Y342" s="39" t="e">
        <f ca="1">IF(A342="","",IF(E342="","",#REF!))</f>
        <v>#REF!</v>
      </c>
      <c r="Z342" t="e">
        <f ca="1">IF(A342="","",IF(E342="","",#REF!))</f>
        <v>#REF!</v>
      </c>
      <c r="AA342" t="e">
        <f ca="1">IF(A342="","",IF(E342="","",#REF!))</f>
        <v>#REF!</v>
      </c>
      <c r="AB342" t="e">
        <f ca="1">IF(A342="","",IF(E342="","",#REF!))</f>
        <v>#REF!</v>
      </c>
      <c r="AC342" t="e">
        <f t="shared" ca="1" si="32"/>
        <v>#REF!</v>
      </c>
    </row>
    <row r="343" spans="1:29" x14ac:dyDescent="0.35">
      <c r="A343" t="e" cm="1">
        <f t="array" aca="1" ref="A343" ca="1">IF(A342="","",IF(OR(AND(A342+1&gt;=$AF$1,A342+1&lt;=$AF$2),AND(A342+1&gt;=$AF$6,A342+1&lt;=$AF$7),AND(A342+1&gt;=$AF$3,A342+1&lt;=$AF$4),AND(A342+1&gt;=$AF$8,A342+1&lt;=$AF$9),A342+1=$AF$5),IF(NOT(ISBLANK(INDIRECT("template!"&amp;"P"&amp;A342+1))),A342+1,IF(NOT(ISBLANK(INDIRECT("template!"&amp;"P"&amp;A342+2))),A342+2,A342+3)),IF(A342=$AF$2,$AF$3,IF(A342=$AF$4,$AF$5,IF(A342=$AF$5,$AF$6,IF(A342=$AF$7,$AF$8,""))))))</f>
        <v>#REF!</v>
      </c>
      <c r="B343" t="e">
        <f t="shared" ca="1" si="27"/>
        <v>#REF!</v>
      </c>
      <c r="C343" t="e" cm="1">
        <f t="array" aca="1" ref="C343" ca="1">IF(A343="","",IF(B343="safety","safety costs",INDIRECT("template!"&amp;"B"&amp;A343)))</f>
        <v>#REF!</v>
      </c>
      <c r="D343" t="e" cm="1">
        <f t="array" aca="1" ref="D343" ca="1">IF(OR(A343="",B343="safety"),"",INDIRECT("template!"&amp;"C"&amp;A343))</f>
        <v>#REF!</v>
      </c>
      <c r="E343" t="e" cm="1">
        <f t="array" aca="1" ref="E343" ca="1">IF(A343="","",IF(OR(A343=A342+1,A343=A342+2),E342,INDIRECT("template!"&amp;"D"&amp;A343-2)))</f>
        <v>#REF!</v>
      </c>
      <c r="F343" t="e" cm="1">
        <f t="array" aca="1" ref="F343" ca="1">IF(OR(A343="",B343="safety"),"",IF(ISBLANK(IF(A343=A342+1,F342,INDIRECT("template!"&amp;"D"&amp;A343-1))),"",IF(A343=A342+1,F342,INDIRECT("template!"&amp;"D"&amp;A343-1))))</f>
        <v>#REF!</v>
      </c>
      <c r="G343" t="e" cm="1">
        <f t="array" aca="1" ref="G343" ca="1">IF(OR(A343="",B343="safety"),"",IF(ISBLANK(INDIRECT("template!"&amp;"D"&amp;A343)),"",INDIRECT("template!"&amp;"D"&amp;A343)))</f>
        <v>#REF!</v>
      </c>
      <c r="H343" t="e" cm="1">
        <f t="array" aca="1" ref="H343" ca="1">IF(OR(A343="",B343="safety"),"",IF(ISBLANK(INDIRECT("template!"&amp;"E"&amp;A343)),"",INDIRECT("template!"&amp;"E"&amp;A343)))</f>
        <v>#REF!</v>
      </c>
      <c r="I343" t="e" cm="1">
        <f t="array" aca="1" ref="I343" ca="1">IF(OR(A343="",B343="safety"),"",IF(ISBLANK(INDIRECT("template!"&amp;"F"&amp;A343)),"",INDIRECT("template!"&amp;"F"&amp;A343)))</f>
        <v>#REF!</v>
      </c>
      <c r="J343" t="e" cm="1">
        <f t="array" aca="1" ref="J343" ca="1">IF(OR(A343="",B343="safety"),"",IF(ISBLANK(INDIRECT("template!"&amp;"G"&amp;A343)),"",INDIRECT("template!"&amp;"G"&amp;A343)))</f>
        <v>#REF!</v>
      </c>
      <c r="K343" t="e" cm="1">
        <f t="array" aca="1" ref="K343" ca="1">IF(OR(A343="",B343="safety"),"",IF(ISBLANK(INDIRECT("template!"&amp;"H"&amp;A343)),"",INDIRECT("template!"&amp;"H"&amp;A343)))</f>
        <v>#REF!</v>
      </c>
      <c r="L343" t="e" cm="1">
        <f t="array" aca="1" ref="L343" ca="1">IF(OR(A343="",B343="safety"),"",INDIRECT("template!"&amp;"I"&amp;A343))</f>
        <v>#REF!</v>
      </c>
      <c r="M343" t="e" cm="1">
        <f t="array" aca="1" ref="M343" ca="1">IF(OR(A343="",B343="safety"),"",INDIRECT("template!"&amp;"J"&amp;A343))</f>
        <v>#REF!</v>
      </c>
      <c r="N343" t="e" cm="1">
        <f t="array" aca="1" ref="N343" ca="1">IF(OR(A343="",B343="safety"),"",IF(ISBLANK(INDIRECT("template!"&amp;"K"&amp;A343)),"",INDIRECT("template!"&amp;"K"&amp;A343)))</f>
        <v>#REF!</v>
      </c>
      <c r="O343" t="e" cm="1">
        <f t="array" aca="1" ref="O343" ca="1">IF(OR(A343="",B343="safety"),"",INDIRECT("template!"&amp;"L"&amp;A343))</f>
        <v>#REF!</v>
      </c>
      <c r="P343" t="e" cm="1">
        <f t="array" aca="1" ref="P343" ca="1">IF(OR(A343="",B343="safety"),"",INDIRECT("template!"&amp;"M"&amp;A343))</f>
        <v>#REF!</v>
      </c>
      <c r="Q343" t="e">
        <f t="shared" ca="1" si="28"/>
        <v>#REF!</v>
      </c>
      <c r="R343" t="e">
        <f t="shared" ca="1" si="29"/>
        <v>#REF!</v>
      </c>
      <c r="S343" t="e">
        <f t="shared" ca="1" si="30"/>
        <v>#REF!</v>
      </c>
      <c r="T343" t="e">
        <f t="shared" ca="1" si="31"/>
        <v>#REF!</v>
      </c>
      <c r="U343" t="e" cm="1">
        <f t="array" aca="1" ref="U343" ca="1">IF(A343="","",IF(E343="","",IF(B343="safety",INDIRECT("template!"&amp;"P"&amp;A343),Q343+R343)))</f>
        <v>#REF!</v>
      </c>
      <c r="V343" t="e" cm="1">
        <f t="array" aca="1" ref="V343" ca="1">IF(A343="","",IF(E343="","",IF(B343="safety",INDIRECT("template!"&amp;"P"&amp;A343),S343+T343)))</f>
        <v>#REF!</v>
      </c>
      <c r="W343" t="e">
        <f ca="1">IF(A343="","",IF(E343="","",#REF!))</f>
        <v>#REF!</v>
      </c>
      <c r="X343" t="e">
        <f ca="1">IF(A343="","",IF(E343="","",#REF!))</f>
        <v>#REF!</v>
      </c>
      <c r="Y343" s="39" t="e">
        <f ca="1">IF(A343="","",IF(E343="","",#REF!))</f>
        <v>#REF!</v>
      </c>
      <c r="Z343" t="e">
        <f ca="1">IF(A343="","",IF(E343="","",#REF!))</f>
        <v>#REF!</v>
      </c>
      <c r="AA343" t="e">
        <f ca="1">IF(A343="","",IF(E343="","",#REF!))</f>
        <v>#REF!</v>
      </c>
      <c r="AB343" t="e">
        <f ca="1">IF(A343="","",IF(E343="","",#REF!))</f>
        <v>#REF!</v>
      </c>
      <c r="AC343" t="e">
        <f t="shared" ca="1" si="32"/>
        <v>#REF!</v>
      </c>
    </row>
    <row r="344" spans="1:29" x14ac:dyDescent="0.35">
      <c r="A344" t="e" cm="1">
        <f t="array" aca="1" ref="A344" ca="1">IF(A343="","",IF(OR(AND(A343+1&gt;=$AF$1,A343+1&lt;=$AF$2),AND(A343+1&gt;=$AF$6,A343+1&lt;=$AF$7),AND(A343+1&gt;=$AF$3,A343+1&lt;=$AF$4),AND(A343+1&gt;=$AF$8,A343+1&lt;=$AF$9),A343+1=$AF$5),IF(NOT(ISBLANK(INDIRECT("template!"&amp;"P"&amp;A343+1))),A343+1,IF(NOT(ISBLANK(INDIRECT("template!"&amp;"P"&amp;A343+2))),A343+2,A343+3)),IF(A343=$AF$2,$AF$3,IF(A343=$AF$4,$AF$5,IF(A343=$AF$5,$AF$6,IF(A343=$AF$7,$AF$8,""))))))</f>
        <v>#REF!</v>
      </c>
      <c r="B344" t="e">
        <f t="shared" ca="1" si="27"/>
        <v>#REF!</v>
      </c>
      <c r="C344" t="e" cm="1">
        <f t="array" aca="1" ref="C344" ca="1">IF(A344="","",IF(B344="safety","safety costs",INDIRECT("template!"&amp;"B"&amp;A344)))</f>
        <v>#REF!</v>
      </c>
      <c r="D344" t="e" cm="1">
        <f t="array" aca="1" ref="D344" ca="1">IF(OR(A344="",B344="safety"),"",INDIRECT("template!"&amp;"C"&amp;A344))</f>
        <v>#REF!</v>
      </c>
      <c r="E344" t="e" cm="1">
        <f t="array" aca="1" ref="E344" ca="1">IF(A344="","",IF(OR(A344=A343+1,A344=A343+2),E343,INDIRECT("template!"&amp;"D"&amp;A344-2)))</f>
        <v>#REF!</v>
      </c>
      <c r="F344" t="e" cm="1">
        <f t="array" aca="1" ref="F344" ca="1">IF(OR(A344="",B344="safety"),"",IF(ISBLANK(IF(A344=A343+1,F343,INDIRECT("template!"&amp;"D"&amp;A344-1))),"",IF(A344=A343+1,F343,INDIRECT("template!"&amp;"D"&amp;A344-1))))</f>
        <v>#REF!</v>
      </c>
      <c r="G344" t="e" cm="1">
        <f t="array" aca="1" ref="G344" ca="1">IF(OR(A344="",B344="safety"),"",IF(ISBLANK(INDIRECT("template!"&amp;"D"&amp;A344)),"",INDIRECT("template!"&amp;"D"&amp;A344)))</f>
        <v>#REF!</v>
      </c>
      <c r="H344" t="e" cm="1">
        <f t="array" aca="1" ref="H344" ca="1">IF(OR(A344="",B344="safety"),"",IF(ISBLANK(INDIRECT("template!"&amp;"E"&amp;A344)),"",INDIRECT("template!"&amp;"E"&amp;A344)))</f>
        <v>#REF!</v>
      </c>
      <c r="I344" t="e" cm="1">
        <f t="array" aca="1" ref="I344" ca="1">IF(OR(A344="",B344="safety"),"",IF(ISBLANK(INDIRECT("template!"&amp;"F"&amp;A344)),"",INDIRECT("template!"&amp;"F"&amp;A344)))</f>
        <v>#REF!</v>
      </c>
      <c r="J344" t="e" cm="1">
        <f t="array" aca="1" ref="J344" ca="1">IF(OR(A344="",B344="safety"),"",IF(ISBLANK(INDIRECT("template!"&amp;"G"&amp;A344)),"",INDIRECT("template!"&amp;"G"&amp;A344)))</f>
        <v>#REF!</v>
      </c>
      <c r="K344" t="e" cm="1">
        <f t="array" aca="1" ref="K344" ca="1">IF(OR(A344="",B344="safety"),"",IF(ISBLANK(INDIRECT("template!"&amp;"H"&amp;A344)),"",INDIRECT("template!"&amp;"H"&amp;A344)))</f>
        <v>#REF!</v>
      </c>
      <c r="L344" t="e" cm="1">
        <f t="array" aca="1" ref="L344" ca="1">IF(OR(A344="",B344="safety"),"",INDIRECT("template!"&amp;"I"&amp;A344))</f>
        <v>#REF!</v>
      </c>
      <c r="M344" t="e" cm="1">
        <f t="array" aca="1" ref="M344" ca="1">IF(OR(A344="",B344="safety"),"",INDIRECT("template!"&amp;"J"&amp;A344))</f>
        <v>#REF!</v>
      </c>
      <c r="N344" t="e" cm="1">
        <f t="array" aca="1" ref="N344" ca="1">IF(OR(A344="",B344="safety"),"",IF(ISBLANK(INDIRECT("template!"&amp;"K"&amp;A344)),"",INDIRECT("template!"&amp;"K"&amp;A344)))</f>
        <v>#REF!</v>
      </c>
      <c r="O344" t="e" cm="1">
        <f t="array" aca="1" ref="O344" ca="1">IF(OR(A344="",B344="safety"),"",INDIRECT("template!"&amp;"L"&amp;A344))</f>
        <v>#REF!</v>
      </c>
      <c r="P344" t="e" cm="1">
        <f t="array" aca="1" ref="P344" ca="1">IF(OR(A344="",B344="safety"),"",INDIRECT("template!"&amp;"M"&amp;A344))</f>
        <v>#REF!</v>
      </c>
      <c r="Q344" t="e">
        <f t="shared" ca="1" si="28"/>
        <v>#REF!</v>
      </c>
      <c r="R344" t="e">
        <f t="shared" ca="1" si="29"/>
        <v>#REF!</v>
      </c>
      <c r="S344" t="e">
        <f t="shared" ca="1" si="30"/>
        <v>#REF!</v>
      </c>
      <c r="T344" t="e">
        <f t="shared" ca="1" si="31"/>
        <v>#REF!</v>
      </c>
      <c r="U344" t="e" cm="1">
        <f t="array" aca="1" ref="U344" ca="1">IF(A344="","",IF(E344="","",IF(B344="safety",INDIRECT("template!"&amp;"P"&amp;A344),Q344+R344)))</f>
        <v>#REF!</v>
      </c>
      <c r="V344" t="e" cm="1">
        <f t="array" aca="1" ref="V344" ca="1">IF(A344="","",IF(E344="","",IF(B344="safety",INDIRECT("template!"&amp;"P"&amp;A344),S344+T344)))</f>
        <v>#REF!</v>
      </c>
      <c r="W344" t="e">
        <f ca="1">IF(A344="","",IF(E344="","",#REF!))</f>
        <v>#REF!</v>
      </c>
      <c r="X344" t="e">
        <f ca="1">IF(A344="","",IF(E344="","",#REF!))</f>
        <v>#REF!</v>
      </c>
      <c r="Y344" s="39" t="e">
        <f ca="1">IF(A344="","",IF(E344="","",#REF!))</f>
        <v>#REF!</v>
      </c>
      <c r="Z344" t="e">
        <f ca="1">IF(A344="","",IF(E344="","",#REF!))</f>
        <v>#REF!</v>
      </c>
      <c r="AA344" t="e">
        <f ca="1">IF(A344="","",IF(E344="","",#REF!))</f>
        <v>#REF!</v>
      </c>
      <c r="AB344" t="e">
        <f ca="1">IF(A344="","",IF(E344="","",#REF!))</f>
        <v>#REF!</v>
      </c>
      <c r="AC344" t="e">
        <f t="shared" ca="1" si="32"/>
        <v>#REF!</v>
      </c>
    </row>
    <row r="345" spans="1:29" x14ac:dyDescent="0.35">
      <c r="A345" t="e" cm="1">
        <f t="array" aca="1" ref="A345" ca="1">IF(A344="","",IF(OR(AND(A344+1&gt;=$AF$1,A344+1&lt;=$AF$2),AND(A344+1&gt;=$AF$6,A344+1&lt;=$AF$7),AND(A344+1&gt;=$AF$3,A344+1&lt;=$AF$4),AND(A344+1&gt;=$AF$8,A344+1&lt;=$AF$9),A344+1=$AF$5),IF(NOT(ISBLANK(INDIRECT("template!"&amp;"P"&amp;A344+1))),A344+1,IF(NOT(ISBLANK(INDIRECT("template!"&amp;"P"&amp;A344+2))),A344+2,A344+3)),IF(A344=$AF$2,$AF$3,IF(A344=$AF$4,$AF$5,IF(A344=$AF$5,$AF$6,IF(A344=$AF$7,$AF$8,""))))))</f>
        <v>#REF!</v>
      </c>
      <c r="B345" t="e">
        <f t="shared" ca="1" si="27"/>
        <v>#REF!</v>
      </c>
      <c r="C345" t="e" cm="1">
        <f t="array" aca="1" ref="C345" ca="1">IF(A345="","",IF(B345="safety","safety costs",INDIRECT("template!"&amp;"B"&amp;A345)))</f>
        <v>#REF!</v>
      </c>
      <c r="D345" t="e" cm="1">
        <f t="array" aca="1" ref="D345" ca="1">IF(OR(A345="",B345="safety"),"",INDIRECT("template!"&amp;"C"&amp;A345))</f>
        <v>#REF!</v>
      </c>
      <c r="E345" t="e" cm="1">
        <f t="array" aca="1" ref="E345" ca="1">IF(A345="","",IF(OR(A345=A344+1,A345=A344+2),E344,INDIRECT("template!"&amp;"D"&amp;A345-2)))</f>
        <v>#REF!</v>
      </c>
      <c r="F345" t="e" cm="1">
        <f t="array" aca="1" ref="F345" ca="1">IF(OR(A345="",B345="safety"),"",IF(ISBLANK(IF(A345=A344+1,F344,INDIRECT("template!"&amp;"D"&amp;A345-1))),"",IF(A345=A344+1,F344,INDIRECT("template!"&amp;"D"&amp;A345-1))))</f>
        <v>#REF!</v>
      </c>
      <c r="G345" t="e" cm="1">
        <f t="array" aca="1" ref="G345" ca="1">IF(OR(A345="",B345="safety"),"",IF(ISBLANK(INDIRECT("template!"&amp;"D"&amp;A345)),"",INDIRECT("template!"&amp;"D"&amp;A345)))</f>
        <v>#REF!</v>
      </c>
      <c r="H345" t="e" cm="1">
        <f t="array" aca="1" ref="H345" ca="1">IF(OR(A345="",B345="safety"),"",IF(ISBLANK(INDIRECT("template!"&amp;"E"&amp;A345)),"",INDIRECT("template!"&amp;"E"&amp;A345)))</f>
        <v>#REF!</v>
      </c>
      <c r="I345" t="e" cm="1">
        <f t="array" aca="1" ref="I345" ca="1">IF(OR(A345="",B345="safety"),"",IF(ISBLANK(INDIRECT("template!"&amp;"F"&amp;A345)),"",INDIRECT("template!"&amp;"F"&amp;A345)))</f>
        <v>#REF!</v>
      </c>
      <c r="J345" t="e" cm="1">
        <f t="array" aca="1" ref="J345" ca="1">IF(OR(A345="",B345="safety"),"",IF(ISBLANK(INDIRECT("template!"&amp;"G"&amp;A345)),"",INDIRECT("template!"&amp;"G"&amp;A345)))</f>
        <v>#REF!</v>
      </c>
      <c r="K345" t="e" cm="1">
        <f t="array" aca="1" ref="K345" ca="1">IF(OR(A345="",B345="safety"),"",IF(ISBLANK(INDIRECT("template!"&amp;"H"&amp;A345)),"",INDIRECT("template!"&amp;"H"&amp;A345)))</f>
        <v>#REF!</v>
      </c>
      <c r="L345" t="e" cm="1">
        <f t="array" aca="1" ref="L345" ca="1">IF(OR(A345="",B345="safety"),"",INDIRECT("template!"&amp;"I"&amp;A345))</f>
        <v>#REF!</v>
      </c>
      <c r="M345" t="e" cm="1">
        <f t="array" aca="1" ref="M345" ca="1">IF(OR(A345="",B345="safety"),"",INDIRECT("template!"&amp;"J"&amp;A345))</f>
        <v>#REF!</v>
      </c>
      <c r="N345" t="e" cm="1">
        <f t="array" aca="1" ref="N345" ca="1">IF(OR(A345="",B345="safety"),"",IF(ISBLANK(INDIRECT("template!"&amp;"K"&amp;A345)),"",INDIRECT("template!"&amp;"K"&amp;A345)))</f>
        <v>#REF!</v>
      </c>
      <c r="O345" t="e" cm="1">
        <f t="array" aca="1" ref="O345" ca="1">IF(OR(A345="",B345="safety"),"",INDIRECT("template!"&amp;"L"&amp;A345))</f>
        <v>#REF!</v>
      </c>
      <c r="P345" t="e" cm="1">
        <f t="array" aca="1" ref="P345" ca="1">IF(OR(A345="",B345="safety"),"",INDIRECT("template!"&amp;"M"&amp;A345))</f>
        <v>#REF!</v>
      </c>
      <c r="Q345" t="e">
        <f t="shared" ca="1" si="28"/>
        <v>#REF!</v>
      </c>
      <c r="R345" t="e">
        <f t="shared" ca="1" si="29"/>
        <v>#REF!</v>
      </c>
      <c r="S345" t="e">
        <f t="shared" ca="1" si="30"/>
        <v>#REF!</v>
      </c>
      <c r="T345" t="e">
        <f t="shared" ca="1" si="31"/>
        <v>#REF!</v>
      </c>
      <c r="U345" t="e" cm="1">
        <f t="array" aca="1" ref="U345" ca="1">IF(A345="","",IF(E345="","",IF(B345="safety",INDIRECT("template!"&amp;"P"&amp;A345),Q345+R345)))</f>
        <v>#REF!</v>
      </c>
      <c r="V345" t="e" cm="1">
        <f t="array" aca="1" ref="V345" ca="1">IF(A345="","",IF(E345="","",IF(B345="safety",INDIRECT("template!"&amp;"P"&amp;A345),S345+T345)))</f>
        <v>#REF!</v>
      </c>
      <c r="W345" t="e">
        <f ca="1">IF(A345="","",IF(E345="","",#REF!))</f>
        <v>#REF!</v>
      </c>
      <c r="X345" t="e">
        <f ca="1">IF(A345="","",IF(E345="","",#REF!))</f>
        <v>#REF!</v>
      </c>
      <c r="Y345" s="39" t="e">
        <f ca="1">IF(A345="","",IF(E345="","",#REF!))</f>
        <v>#REF!</v>
      </c>
      <c r="Z345" t="e">
        <f ca="1">IF(A345="","",IF(E345="","",#REF!))</f>
        <v>#REF!</v>
      </c>
      <c r="AA345" t="e">
        <f ca="1">IF(A345="","",IF(E345="","",#REF!))</f>
        <v>#REF!</v>
      </c>
      <c r="AB345" t="e">
        <f ca="1">IF(A345="","",IF(E345="","",#REF!))</f>
        <v>#REF!</v>
      </c>
      <c r="AC345" t="e">
        <f t="shared" ca="1" si="32"/>
        <v>#REF!</v>
      </c>
    </row>
    <row r="346" spans="1:29" x14ac:dyDescent="0.35">
      <c r="A346" t="e" cm="1">
        <f t="array" aca="1" ref="A346" ca="1">IF(A345="","",IF(OR(AND(A345+1&gt;=$AF$1,A345+1&lt;=$AF$2),AND(A345+1&gt;=$AF$6,A345+1&lt;=$AF$7),AND(A345+1&gt;=$AF$3,A345+1&lt;=$AF$4),AND(A345+1&gt;=$AF$8,A345+1&lt;=$AF$9),A345+1=$AF$5),IF(NOT(ISBLANK(INDIRECT("template!"&amp;"P"&amp;A345+1))),A345+1,IF(NOT(ISBLANK(INDIRECT("template!"&amp;"P"&amp;A345+2))),A345+2,A345+3)),IF(A345=$AF$2,$AF$3,IF(A345=$AF$4,$AF$5,IF(A345=$AF$5,$AF$6,IF(A345=$AF$7,$AF$8,""))))))</f>
        <v>#REF!</v>
      </c>
      <c r="B346" t="e">
        <f t="shared" ca="1" si="27"/>
        <v>#REF!</v>
      </c>
      <c r="C346" t="e" cm="1">
        <f t="array" aca="1" ref="C346" ca="1">IF(A346="","",IF(B346="safety","safety costs",INDIRECT("template!"&amp;"B"&amp;A346)))</f>
        <v>#REF!</v>
      </c>
      <c r="D346" t="e" cm="1">
        <f t="array" aca="1" ref="D346" ca="1">IF(OR(A346="",B346="safety"),"",INDIRECT("template!"&amp;"C"&amp;A346))</f>
        <v>#REF!</v>
      </c>
      <c r="E346" t="e" cm="1">
        <f t="array" aca="1" ref="E346" ca="1">IF(A346="","",IF(OR(A346=A345+1,A346=A345+2),E345,INDIRECT("template!"&amp;"D"&amp;A346-2)))</f>
        <v>#REF!</v>
      </c>
      <c r="F346" t="e" cm="1">
        <f t="array" aca="1" ref="F346" ca="1">IF(OR(A346="",B346="safety"),"",IF(ISBLANK(IF(A346=A345+1,F345,INDIRECT("template!"&amp;"D"&amp;A346-1))),"",IF(A346=A345+1,F345,INDIRECT("template!"&amp;"D"&amp;A346-1))))</f>
        <v>#REF!</v>
      </c>
      <c r="G346" t="e" cm="1">
        <f t="array" aca="1" ref="G346" ca="1">IF(OR(A346="",B346="safety"),"",IF(ISBLANK(INDIRECT("template!"&amp;"D"&amp;A346)),"",INDIRECT("template!"&amp;"D"&amp;A346)))</f>
        <v>#REF!</v>
      </c>
      <c r="H346" t="e" cm="1">
        <f t="array" aca="1" ref="H346" ca="1">IF(OR(A346="",B346="safety"),"",IF(ISBLANK(INDIRECT("template!"&amp;"E"&amp;A346)),"",INDIRECT("template!"&amp;"E"&amp;A346)))</f>
        <v>#REF!</v>
      </c>
      <c r="I346" t="e" cm="1">
        <f t="array" aca="1" ref="I346" ca="1">IF(OR(A346="",B346="safety"),"",IF(ISBLANK(INDIRECT("template!"&amp;"F"&amp;A346)),"",INDIRECT("template!"&amp;"F"&amp;A346)))</f>
        <v>#REF!</v>
      </c>
      <c r="J346" t="e" cm="1">
        <f t="array" aca="1" ref="J346" ca="1">IF(OR(A346="",B346="safety"),"",IF(ISBLANK(INDIRECT("template!"&amp;"G"&amp;A346)),"",INDIRECT("template!"&amp;"G"&amp;A346)))</f>
        <v>#REF!</v>
      </c>
      <c r="K346" t="e" cm="1">
        <f t="array" aca="1" ref="K346" ca="1">IF(OR(A346="",B346="safety"),"",IF(ISBLANK(INDIRECT("template!"&amp;"H"&amp;A346)),"",INDIRECT("template!"&amp;"H"&amp;A346)))</f>
        <v>#REF!</v>
      </c>
      <c r="L346" t="e" cm="1">
        <f t="array" aca="1" ref="L346" ca="1">IF(OR(A346="",B346="safety"),"",INDIRECT("template!"&amp;"I"&amp;A346))</f>
        <v>#REF!</v>
      </c>
      <c r="M346" t="e" cm="1">
        <f t="array" aca="1" ref="M346" ca="1">IF(OR(A346="",B346="safety"),"",INDIRECT("template!"&amp;"J"&amp;A346))</f>
        <v>#REF!</v>
      </c>
      <c r="N346" t="e" cm="1">
        <f t="array" aca="1" ref="N346" ca="1">IF(OR(A346="",B346="safety"),"",IF(ISBLANK(INDIRECT("template!"&amp;"K"&amp;A346)),"",INDIRECT("template!"&amp;"K"&amp;A346)))</f>
        <v>#REF!</v>
      </c>
      <c r="O346" t="e" cm="1">
        <f t="array" aca="1" ref="O346" ca="1">IF(OR(A346="",B346="safety"),"",INDIRECT("template!"&amp;"L"&amp;A346))</f>
        <v>#REF!</v>
      </c>
      <c r="P346" t="e" cm="1">
        <f t="array" aca="1" ref="P346" ca="1">IF(OR(A346="",B346="safety"),"",INDIRECT("template!"&amp;"M"&amp;A346))</f>
        <v>#REF!</v>
      </c>
      <c r="Q346" t="e">
        <f t="shared" ca="1" si="28"/>
        <v>#REF!</v>
      </c>
      <c r="R346" t="e">
        <f t="shared" ca="1" si="29"/>
        <v>#REF!</v>
      </c>
      <c r="S346" t="e">
        <f t="shared" ca="1" si="30"/>
        <v>#REF!</v>
      </c>
      <c r="T346" t="e">
        <f t="shared" ca="1" si="31"/>
        <v>#REF!</v>
      </c>
      <c r="U346" t="e" cm="1">
        <f t="array" aca="1" ref="U346" ca="1">IF(A346="","",IF(E346="","",IF(B346="safety",INDIRECT("template!"&amp;"P"&amp;A346),Q346+R346)))</f>
        <v>#REF!</v>
      </c>
      <c r="V346" t="e" cm="1">
        <f t="array" aca="1" ref="V346" ca="1">IF(A346="","",IF(E346="","",IF(B346="safety",INDIRECT("template!"&amp;"P"&amp;A346),S346+T346)))</f>
        <v>#REF!</v>
      </c>
      <c r="W346" t="e">
        <f ca="1">IF(A346="","",IF(E346="","",#REF!))</f>
        <v>#REF!</v>
      </c>
      <c r="X346" t="e">
        <f ca="1">IF(A346="","",IF(E346="","",#REF!))</f>
        <v>#REF!</v>
      </c>
      <c r="Y346" s="39" t="e">
        <f ca="1">IF(A346="","",IF(E346="","",#REF!))</f>
        <v>#REF!</v>
      </c>
      <c r="Z346" t="e">
        <f ca="1">IF(A346="","",IF(E346="","",#REF!))</f>
        <v>#REF!</v>
      </c>
      <c r="AA346" t="e">
        <f ca="1">IF(A346="","",IF(E346="","",#REF!))</f>
        <v>#REF!</v>
      </c>
      <c r="AB346" t="e">
        <f ca="1">IF(A346="","",IF(E346="","",#REF!))</f>
        <v>#REF!</v>
      </c>
      <c r="AC346" t="e">
        <f t="shared" ca="1" si="32"/>
        <v>#REF!</v>
      </c>
    </row>
    <row r="347" spans="1:29" x14ac:dyDescent="0.35">
      <c r="A347" t="e" cm="1">
        <f t="array" aca="1" ref="A347" ca="1">IF(A346="","",IF(OR(AND(A346+1&gt;=$AF$1,A346+1&lt;=$AF$2),AND(A346+1&gt;=$AF$6,A346+1&lt;=$AF$7),AND(A346+1&gt;=$AF$3,A346+1&lt;=$AF$4),AND(A346+1&gt;=$AF$8,A346+1&lt;=$AF$9),A346+1=$AF$5),IF(NOT(ISBLANK(INDIRECT("template!"&amp;"P"&amp;A346+1))),A346+1,IF(NOT(ISBLANK(INDIRECT("template!"&amp;"P"&amp;A346+2))),A346+2,A346+3)),IF(A346=$AF$2,$AF$3,IF(A346=$AF$4,$AF$5,IF(A346=$AF$5,$AF$6,IF(A346=$AF$7,$AF$8,""))))))</f>
        <v>#REF!</v>
      </c>
      <c r="B347" t="e">
        <f t="shared" ca="1" si="27"/>
        <v>#REF!</v>
      </c>
      <c r="C347" t="e" cm="1">
        <f t="array" aca="1" ref="C347" ca="1">IF(A347="","",IF(B347="safety","safety costs",INDIRECT("template!"&amp;"B"&amp;A347)))</f>
        <v>#REF!</v>
      </c>
      <c r="D347" t="e" cm="1">
        <f t="array" aca="1" ref="D347" ca="1">IF(OR(A347="",B347="safety"),"",INDIRECT("template!"&amp;"C"&amp;A347))</f>
        <v>#REF!</v>
      </c>
      <c r="E347" t="e" cm="1">
        <f t="array" aca="1" ref="E347" ca="1">IF(A347="","",IF(OR(A347=A346+1,A347=A346+2),E346,INDIRECT("template!"&amp;"D"&amp;A347-2)))</f>
        <v>#REF!</v>
      </c>
      <c r="F347" t="e" cm="1">
        <f t="array" aca="1" ref="F347" ca="1">IF(OR(A347="",B347="safety"),"",IF(ISBLANK(IF(A347=A346+1,F346,INDIRECT("template!"&amp;"D"&amp;A347-1))),"",IF(A347=A346+1,F346,INDIRECT("template!"&amp;"D"&amp;A347-1))))</f>
        <v>#REF!</v>
      </c>
      <c r="G347" t="e" cm="1">
        <f t="array" aca="1" ref="G347" ca="1">IF(OR(A347="",B347="safety"),"",IF(ISBLANK(INDIRECT("template!"&amp;"D"&amp;A347)),"",INDIRECT("template!"&amp;"D"&amp;A347)))</f>
        <v>#REF!</v>
      </c>
      <c r="H347" t="e" cm="1">
        <f t="array" aca="1" ref="H347" ca="1">IF(OR(A347="",B347="safety"),"",IF(ISBLANK(INDIRECT("template!"&amp;"E"&amp;A347)),"",INDIRECT("template!"&amp;"E"&amp;A347)))</f>
        <v>#REF!</v>
      </c>
      <c r="I347" t="e" cm="1">
        <f t="array" aca="1" ref="I347" ca="1">IF(OR(A347="",B347="safety"),"",IF(ISBLANK(INDIRECT("template!"&amp;"F"&amp;A347)),"",INDIRECT("template!"&amp;"F"&amp;A347)))</f>
        <v>#REF!</v>
      </c>
      <c r="J347" t="e" cm="1">
        <f t="array" aca="1" ref="J347" ca="1">IF(OR(A347="",B347="safety"),"",IF(ISBLANK(INDIRECT("template!"&amp;"G"&amp;A347)),"",INDIRECT("template!"&amp;"G"&amp;A347)))</f>
        <v>#REF!</v>
      </c>
      <c r="K347" t="e" cm="1">
        <f t="array" aca="1" ref="K347" ca="1">IF(OR(A347="",B347="safety"),"",IF(ISBLANK(INDIRECT("template!"&amp;"H"&amp;A347)),"",INDIRECT("template!"&amp;"H"&amp;A347)))</f>
        <v>#REF!</v>
      </c>
      <c r="L347" t="e" cm="1">
        <f t="array" aca="1" ref="L347" ca="1">IF(OR(A347="",B347="safety"),"",INDIRECT("template!"&amp;"I"&amp;A347))</f>
        <v>#REF!</v>
      </c>
      <c r="M347" t="e" cm="1">
        <f t="array" aca="1" ref="M347" ca="1">IF(OR(A347="",B347="safety"),"",INDIRECT("template!"&amp;"J"&amp;A347))</f>
        <v>#REF!</v>
      </c>
      <c r="N347" t="e" cm="1">
        <f t="array" aca="1" ref="N347" ca="1">IF(OR(A347="",B347="safety"),"",IF(ISBLANK(INDIRECT("template!"&amp;"K"&amp;A347)),"",INDIRECT("template!"&amp;"K"&amp;A347)))</f>
        <v>#REF!</v>
      </c>
      <c r="O347" t="e" cm="1">
        <f t="array" aca="1" ref="O347" ca="1">IF(OR(A347="",B347="safety"),"",INDIRECT("template!"&amp;"L"&amp;A347))</f>
        <v>#REF!</v>
      </c>
      <c r="P347" t="e" cm="1">
        <f t="array" aca="1" ref="P347" ca="1">IF(OR(A347="",B347="safety"),"",INDIRECT("template!"&amp;"M"&amp;A347))</f>
        <v>#REF!</v>
      </c>
      <c r="Q347" t="e">
        <f t="shared" ca="1" si="28"/>
        <v>#REF!</v>
      </c>
      <c r="R347" t="e">
        <f t="shared" ca="1" si="29"/>
        <v>#REF!</v>
      </c>
      <c r="S347" t="e">
        <f t="shared" ca="1" si="30"/>
        <v>#REF!</v>
      </c>
      <c r="T347" t="e">
        <f t="shared" ca="1" si="31"/>
        <v>#REF!</v>
      </c>
      <c r="U347" t="e" cm="1">
        <f t="array" aca="1" ref="U347" ca="1">IF(A347="","",IF(E347="","",IF(B347="safety",INDIRECT("template!"&amp;"P"&amp;A347),Q347+R347)))</f>
        <v>#REF!</v>
      </c>
      <c r="V347" t="e" cm="1">
        <f t="array" aca="1" ref="V347" ca="1">IF(A347="","",IF(E347="","",IF(B347="safety",INDIRECT("template!"&amp;"P"&amp;A347),S347+T347)))</f>
        <v>#REF!</v>
      </c>
      <c r="W347" t="e">
        <f ca="1">IF(A347="","",IF(E347="","",#REF!))</f>
        <v>#REF!</v>
      </c>
      <c r="X347" t="e">
        <f ca="1">IF(A347="","",IF(E347="","",#REF!))</f>
        <v>#REF!</v>
      </c>
      <c r="Y347" s="39" t="e">
        <f ca="1">IF(A347="","",IF(E347="","",#REF!))</f>
        <v>#REF!</v>
      </c>
      <c r="Z347" t="e">
        <f ca="1">IF(A347="","",IF(E347="","",#REF!))</f>
        <v>#REF!</v>
      </c>
      <c r="AA347" t="e">
        <f ca="1">IF(A347="","",IF(E347="","",#REF!))</f>
        <v>#REF!</v>
      </c>
      <c r="AB347" t="e">
        <f ca="1">IF(A347="","",IF(E347="","",#REF!))</f>
        <v>#REF!</v>
      </c>
      <c r="AC347" t="e">
        <f t="shared" ca="1" si="32"/>
        <v>#REF!</v>
      </c>
    </row>
    <row r="348" spans="1:29" x14ac:dyDescent="0.35">
      <c r="A348" t="e" cm="1">
        <f t="array" aca="1" ref="A348" ca="1">IF(A347="","",IF(OR(AND(A347+1&gt;=$AF$1,A347+1&lt;=$AF$2),AND(A347+1&gt;=$AF$6,A347+1&lt;=$AF$7),AND(A347+1&gt;=$AF$3,A347+1&lt;=$AF$4),AND(A347+1&gt;=$AF$8,A347+1&lt;=$AF$9),A347+1=$AF$5),IF(NOT(ISBLANK(INDIRECT("template!"&amp;"P"&amp;A347+1))),A347+1,IF(NOT(ISBLANK(INDIRECT("template!"&amp;"P"&amp;A347+2))),A347+2,A347+3)),IF(A347=$AF$2,$AF$3,IF(A347=$AF$4,$AF$5,IF(A347=$AF$5,$AF$6,IF(A347=$AF$7,$AF$8,""))))))</f>
        <v>#REF!</v>
      </c>
      <c r="B348" t="e">
        <f t="shared" ca="1" si="27"/>
        <v>#REF!</v>
      </c>
      <c r="C348" t="e" cm="1">
        <f t="array" aca="1" ref="C348" ca="1">IF(A348="","",IF(B348="safety","safety costs",INDIRECT("template!"&amp;"B"&amp;A348)))</f>
        <v>#REF!</v>
      </c>
      <c r="D348" t="e" cm="1">
        <f t="array" aca="1" ref="D348" ca="1">IF(OR(A348="",B348="safety"),"",INDIRECT("template!"&amp;"C"&amp;A348))</f>
        <v>#REF!</v>
      </c>
      <c r="E348" t="e" cm="1">
        <f t="array" aca="1" ref="E348" ca="1">IF(A348="","",IF(OR(A348=A347+1,A348=A347+2),E347,INDIRECT("template!"&amp;"D"&amp;A348-2)))</f>
        <v>#REF!</v>
      </c>
      <c r="F348" t="e" cm="1">
        <f t="array" aca="1" ref="F348" ca="1">IF(OR(A348="",B348="safety"),"",IF(ISBLANK(IF(A348=A347+1,F347,INDIRECT("template!"&amp;"D"&amp;A348-1))),"",IF(A348=A347+1,F347,INDIRECT("template!"&amp;"D"&amp;A348-1))))</f>
        <v>#REF!</v>
      </c>
      <c r="G348" t="e" cm="1">
        <f t="array" aca="1" ref="G348" ca="1">IF(OR(A348="",B348="safety"),"",IF(ISBLANK(INDIRECT("template!"&amp;"D"&amp;A348)),"",INDIRECT("template!"&amp;"D"&amp;A348)))</f>
        <v>#REF!</v>
      </c>
      <c r="H348" t="e" cm="1">
        <f t="array" aca="1" ref="H348" ca="1">IF(OR(A348="",B348="safety"),"",IF(ISBLANK(INDIRECT("template!"&amp;"E"&amp;A348)),"",INDIRECT("template!"&amp;"E"&amp;A348)))</f>
        <v>#REF!</v>
      </c>
      <c r="I348" t="e" cm="1">
        <f t="array" aca="1" ref="I348" ca="1">IF(OR(A348="",B348="safety"),"",IF(ISBLANK(INDIRECT("template!"&amp;"F"&amp;A348)),"",INDIRECT("template!"&amp;"F"&amp;A348)))</f>
        <v>#REF!</v>
      </c>
      <c r="J348" t="e" cm="1">
        <f t="array" aca="1" ref="J348" ca="1">IF(OR(A348="",B348="safety"),"",IF(ISBLANK(INDIRECT("template!"&amp;"G"&amp;A348)),"",INDIRECT("template!"&amp;"G"&amp;A348)))</f>
        <v>#REF!</v>
      </c>
      <c r="K348" t="e" cm="1">
        <f t="array" aca="1" ref="K348" ca="1">IF(OR(A348="",B348="safety"),"",IF(ISBLANK(INDIRECT("template!"&amp;"H"&amp;A348)),"",INDIRECT("template!"&amp;"H"&amp;A348)))</f>
        <v>#REF!</v>
      </c>
      <c r="L348" t="e" cm="1">
        <f t="array" aca="1" ref="L348" ca="1">IF(OR(A348="",B348="safety"),"",INDIRECT("template!"&amp;"I"&amp;A348))</f>
        <v>#REF!</v>
      </c>
      <c r="M348" t="e" cm="1">
        <f t="array" aca="1" ref="M348" ca="1">IF(OR(A348="",B348="safety"),"",INDIRECT("template!"&amp;"J"&amp;A348))</f>
        <v>#REF!</v>
      </c>
      <c r="N348" t="e" cm="1">
        <f t="array" aca="1" ref="N348" ca="1">IF(OR(A348="",B348="safety"),"",IF(ISBLANK(INDIRECT("template!"&amp;"K"&amp;A348)),"",INDIRECT("template!"&amp;"K"&amp;A348)))</f>
        <v>#REF!</v>
      </c>
      <c r="O348" t="e" cm="1">
        <f t="array" aca="1" ref="O348" ca="1">IF(OR(A348="",B348="safety"),"",INDIRECT("template!"&amp;"L"&amp;A348))</f>
        <v>#REF!</v>
      </c>
      <c r="P348" t="e" cm="1">
        <f t="array" aca="1" ref="P348" ca="1">IF(OR(A348="",B348="safety"),"",INDIRECT("template!"&amp;"M"&amp;A348))</f>
        <v>#REF!</v>
      </c>
      <c r="Q348" t="e">
        <f t="shared" ca="1" si="28"/>
        <v>#REF!</v>
      </c>
      <c r="R348" t="e">
        <f t="shared" ca="1" si="29"/>
        <v>#REF!</v>
      </c>
      <c r="S348" t="e">
        <f t="shared" ca="1" si="30"/>
        <v>#REF!</v>
      </c>
      <c r="T348" t="e">
        <f t="shared" ca="1" si="31"/>
        <v>#REF!</v>
      </c>
      <c r="U348" t="e" cm="1">
        <f t="array" aca="1" ref="U348" ca="1">IF(A348="","",IF(E348="","",IF(B348="safety",INDIRECT("template!"&amp;"P"&amp;A348),Q348+R348)))</f>
        <v>#REF!</v>
      </c>
      <c r="V348" t="e" cm="1">
        <f t="array" aca="1" ref="V348" ca="1">IF(A348="","",IF(E348="","",IF(B348="safety",INDIRECT("template!"&amp;"P"&amp;A348),S348+T348)))</f>
        <v>#REF!</v>
      </c>
      <c r="W348" t="e">
        <f ca="1">IF(A348="","",IF(E348="","",#REF!))</f>
        <v>#REF!</v>
      </c>
      <c r="X348" t="e">
        <f ca="1">IF(A348="","",IF(E348="","",#REF!))</f>
        <v>#REF!</v>
      </c>
      <c r="Y348" s="39" t="e">
        <f ca="1">IF(A348="","",IF(E348="","",#REF!))</f>
        <v>#REF!</v>
      </c>
      <c r="Z348" t="e">
        <f ca="1">IF(A348="","",IF(E348="","",#REF!))</f>
        <v>#REF!</v>
      </c>
      <c r="AA348" t="e">
        <f ca="1">IF(A348="","",IF(E348="","",#REF!))</f>
        <v>#REF!</v>
      </c>
      <c r="AB348" t="e">
        <f ca="1">IF(A348="","",IF(E348="","",#REF!))</f>
        <v>#REF!</v>
      </c>
      <c r="AC348" t="e">
        <f t="shared" ca="1" si="32"/>
        <v>#REF!</v>
      </c>
    </row>
    <row r="349" spans="1:29" x14ac:dyDescent="0.35">
      <c r="A349" t="e" cm="1">
        <f t="array" aca="1" ref="A349" ca="1">IF(A348="","",IF(OR(AND(A348+1&gt;=$AF$1,A348+1&lt;=$AF$2),AND(A348+1&gt;=$AF$6,A348+1&lt;=$AF$7),AND(A348+1&gt;=$AF$3,A348+1&lt;=$AF$4),AND(A348+1&gt;=$AF$8,A348+1&lt;=$AF$9),A348+1=$AF$5),IF(NOT(ISBLANK(INDIRECT("template!"&amp;"P"&amp;A348+1))),A348+1,IF(NOT(ISBLANK(INDIRECT("template!"&amp;"P"&amp;A348+2))),A348+2,A348+3)),IF(A348=$AF$2,$AF$3,IF(A348=$AF$4,$AF$5,IF(A348=$AF$5,$AF$6,IF(A348=$AF$7,$AF$8,""))))))</f>
        <v>#REF!</v>
      </c>
      <c r="B349" t="e">
        <f t="shared" ca="1" si="27"/>
        <v>#REF!</v>
      </c>
      <c r="C349" t="e" cm="1">
        <f t="array" aca="1" ref="C349" ca="1">IF(A349="","",IF(B349="safety","safety costs",INDIRECT("template!"&amp;"B"&amp;A349)))</f>
        <v>#REF!</v>
      </c>
      <c r="D349" t="e" cm="1">
        <f t="array" aca="1" ref="D349" ca="1">IF(OR(A349="",B349="safety"),"",INDIRECT("template!"&amp;"C"&amp;A349))</f>
        <v>#REF!</v>
      </c>
      <c r="E349" t="e" cm="1">
        <f t="array" aca="1" ref="E349" ca="1">IF(A349="","",IF(OR(A349=A348+1,A349=A348+2),E348,INDIRECT("template!"&amp;"D"&amp;A349-2)))</f>
        <v>#REF!</v>
      </c>
      <c r="F349" t="e" cm="1">
        <f t="array" aca="1" ref="F349" ca="1">IF(OR(A349="",B349="safety"),"",IF(ISBLANK(IF(A349=A348+1,F348,INDIRECT("template!"&amp;"D"&amp;A349-1))),"",IF(A349=A348+1,F348,INDIRECT("template!"&amp;"D"&amp;A349-1))))</f>
        <v>#REF!</v>
      </c>
      <c r="G349" t="e" cm="1">
        <f t="array" aca="1" ref="G349" ca="1">IF(OR(A349="",B349="safety"),"",IF(ISBLANK(INDIRECT("template!"&amp;"D"&amp;A349)),"",INDIRECT("template!"&amp;"D"&amp;A349)))</f>
        <v>#REF!</v>
      </c>
      <c r="H349" t="e" cm="1">
        <f t="array" aca="1" ref="H349" ca="1">IF(OR(A349="",B349="safety"),"",IF(ISBLANK(INDIRECT("template!"&amp;"E"&amp;A349)),"",INDIRECT("template!"&amp;"E"&amp;A349)))</f>
        <v>#REF!</v>
      </c>
      <c r="I349" t="e" cm="1">
        <f t="array" aca="1" ref="I349" ca="1">IF(OR(A349="",B349="safety"),"",IF(ISBLANK(INDIRECT("template!"&amp;"F"&amp;A349)),"",INDIRECT("template!"&amp;"F"&amp;A349)))</f>
        <v>#REF!</v>
      </c>
      <c r="J349" t="e" cm="1">
        <f t="array" aca="1" ref="J349" ca="1">IF(OR(A349="",B349="safety"),"",IF(ISBLANK(INDIRECT("template!"&amp;"G"&amp;A349)),"",INDIRECT("template!"&amp;"G"&amp;A349)))</f>
        <v>#REF!</v>
      </c>
      <c r="K349" t="e" cm="1">
        <f t="array" aca="1" ref="K349" ca="1">IF(OR(A349="",B349="safety"),"",IF(ISBLANK(INDIRECT("template!"&amp;"H"&amp;A349)),"",INDIRECT("template!"&amp;"H"&amp;A349)))</f>
        <v>#REF!</v>
      </c>
      <c r="L349" t="e" cm="1">
        <f t="array" aca="1" ref="L349" ca="1">IF(OR(A349="",B349="safety"),"",INDIRECT("template!"&amp;"I"&amp;A349))</f>
        <v>#REF!</v>
      </c>
      <c r="M349" t="e" cm="1">
        <f t="array" aca="1" ref="M349" ca="1">IF(OR(A349="",B349="safety"),"",INDIRECT("template!"&amp;"J"&amp;A349))</f>
        <v>#REF!</v>
      </c>
      <c r="N349" t="e" cm="1">
        <f t="array" aca="1" ref="N349" ca="1">IF(OR(A349="",B349="safety"),"",IF(ISBLANK(INDIRECT("template!"&amp;"K"&amp;A349)),"",INDIRECT("template!"&amp;"K"&amp;A349)))</f>
        <v>#REF!</v>
      </c>
      <c r="O349" t="e" cm="1">
        <f t="array" aca="1" ref="O349" ca="1">IF(OR(A349="",B349="safety"),"",INDIRECT("template!"&amp;"L"&amp;A349))</f>
        <v>#REF!</v>
      </c>
      <c r="P349" t="e" cm="1">
        <f t="array" aca="1" ref="P349" ca="1">IF(OR(A349="",B349="safety"),"",INDIRECT("template!"&amp;"M"&amp;A349))</f>
        <v>#REF!</v>
      </c>
      <c r="Q349" t="e">
        <f t="shared" ca="1" si="28"/>
        <v>#REF!</v>
      </c>
      <c r="R349" t="e">
        <f t="shared" ca="1" si="29"/>
        <v>#REF!</v>
      </c>
      <c r="S349" t="e">
        <f t="shared" ca="1" si="30"/>
        <v>#REF!</v>
      </c>
      <c r="T349" t="e">
        <f t="shared" ca="1" si="31"/>
        <v>#REF!</v>
      </c>
      <c r="U349" t="e" cm="1">
        <f t="array" aca="1" ref="U349" ca="1">IF(A349="","",IF(E349="","",IF(B349="safety",INDIRECT("template!"&amp;"P"&amp;A349),Q349+R349)))</f>
        <v>#REF!</v>
      </c>
      <c r="V349" t="e" cm="1">
        <f t="array" aca="1" ref="V349" ca="1">IF(A349="","",IF(E349="","",IF(B349="safety",INDIRECT("template!"&amp;"P"&amp;A349),S349+T349)))</f>
        <v>#REF!</v>
      </c>
      <c r="W349" t="e">
        <f ca="1">IF(A349="","",IF(E349="","",#REF!))</f>
        <v>#REF!</v>
      </c>
      <c r="X349" t="e">
        <f ca="1">IF(A349="","",IF(E349="","",#REF!))</f>
        <v>#REF!</v>
      </c>
      <c r="Y349" s="39" t="e">
        <f ca="1">IF(A349="","",IF(E349="","",#REF!))</f>
        <v>#REF!</v>
      </c>
      <c r="Z349" t="e">
        <f ca="1">IF(A349="","",IF(E349="","",#REF!))</f>
        <v>#REF!</v>
      </c>
      <c r="AA349" t="e">
        <f ca="1">IF(A349="","",IF(E349="","",#REF!))</f>
        <v>#REF!</v>
      </c>
      <c r="AB349" t="e">
        <f ca="1">IF(A349="","",IF(E349="","",#REF!))</f>
        <v>#REF!</v>
      </c>
      <c r="AC349" t="e">
        <f t="shared" ca="1" si="32"/>
        <v>#REF!</v>
      </c>
    </row>
    <row r="350" spans="1:29" x14ac:dyDescent="0.35">
      <c r="A350" t="e" cm="1">
        <f t="array" aca="1" ref="A350" ca="1">IF(A349="","",IF(OR(AND(A349+1&gt;=$AF$1,A349+1&lt;=$AF$2),AND(A349+1&gt;=$AF$6,A349+1&lt;=$AF$7),AND(A349+1&gt;=$AF$3,A349+1&lt;=$AF$4),AND(A349+1&gt;=$AF$8,A349+1&lt;=$AF$9),A349+1=$AF$5),IF(NOT(ISBLANK(INDIRECT("template!"&amp;"P"&amp;A349+1))),A349+1,IF(NOT(ISBLANK(INDIRECT("template!"&amp;"P"&amp;A349+2))),A349+2,A349+3)),IF(A349=$AF$2,$AF$3,IF(A349=$AF$4,$AF$5,IF(A349=$AF$5,$AF$6,IF(A349=$AF$7,$AF$8,""))))))</f>
        <v>#REF!</v>
      </c>
      <c r="B350" t="e">
        <f t="shared" ca="1" si="27"/>
        <v>#REF!</v>
      </c>
      <c r="C350" t="e" cm="1">
        <f t="array" aca="1" ref="C350" ca="1">IF(A350="","",IF(B350="safety","safety costs",INDIRECT("template!"&amp;"B"&amp;A350)))</f>
        <v>#REF!</v>
      </c>
      <c r="D350" t="e" cm="1">
        <f t="array" aca="1" ref="D350" ca="1">IF(OR(A350="",B350="safety"),"",INDIRECT("template!"&amp;"C"&amp;A350))</f>
        <v>#REF!</v>
      </c>
      <c r="E350" t="e" cm="1">
        <f t="array" aca="1" ref="E350" ca="1">IF(A350="","",IF(OR(A350=A349+1,A350=A349+2),E349,INDIRECT("template!"&amp;"D"&amp;A350-2)))</f>
        <v>#REF!</v>
      </c>
      <c r="F350" t="e" cm="1">
        <f t="array" aca="1" ref="F350" ca="1">IF(OR(A350="",B350="safety"),"",IF(ISBLANK(IF(A350=A349+1,F349,INDIRECT("template!"&amp;"D"&amp;A350-1))),"",IF(A350=A349+1,F349,INDIRECT("template!"&amp;"D"&amp;A350-1))))</f>
        <v>#REF!</v>
      </c>
      <c r="G350" t="e" cm="1">
        <f t="array" aca="1" ref="G350" ca="1">IF(OR(A350="",B350="safety"),"",IF(ISBLANK(INDIRECT("template!"&amp;"D"&amp;A350)),"",INDIRECT("template!"&amp;"D"&amp;A350)))</f>
        <v>#REF!</v>
      </c>
      <c r="H350" t="e" cm="1">
        <f t="array" aca="1" ref="H350" ca="1">IF(OR(A350="",B350="safety"),"",IF(ISBLANK(INDIRECT("template!"&amp;"E"&amp;A350)),"",INDIRECT("template!"&amp;"E"&amp;A350)))</f>
        <v>#REF!</v>
      </c>
      <c r="I350" t="e" cm="1">
        <f t="array" aca="1" ref="I350" ca="1">IF(OR(A350="",B350="safety"),"",IF(ISBLANK(INDIRECT("template!"&amp;"F"&amp;A350)),"",INDIRECT("template!"&amp;"F"&amp;A350)))</f>
        <v>#REF!</v>
      </c>
      <c r="J350" t="e" cm="1">
        <f t="array" aca="1" ref="J350" ca="1">IF(OR(A350="",B350="safety"),"",IF(ISBLANK(INDIRECT("template!"&amp;"G"&amp;A350)),"",INDIRECT("template!"&amp;"G"&amp;A350)))</f>
        <v>#REF!</v>
      </c>
      <c r="K350" t="e" cm="1">
        <f t="array" aca="1" ref="K350" ca="1">IF(OR(A350="",B350="safety"),"",IF(ISBLANK(INDIRECT("template!"&amp;"H"&amp;A350)),"",INDIRECT("template!"&amp;"H"&amp;A350)))</f>
        <v>#REF!</v>
      </c>
      <c r="L350" t="e" cm="1">
        <f t="array" aca="1" ref="L350" ca="1">IF(OR(A350="",B350="safety"),"",INDIRECT("template!"&amp;"I"&amp;A350))</f>
        <v>#REF!</v>
      </c>
      <c r="M350" t="e" cm="1">
        <f t="array" aca="1" ref="M350" ca="1">IF(OR(A350="",B350="safety"),"",INDIRECT("template!"&amp;"J"&amp;A350))</f>
        <v>#REF!</v>
      </c>
      <c r="N350" t="e" cm="1">
        <f t="array" aca="1" ref="N350" ca="1">IF(OR(A350="",B350="safety"),"",IF(ISBLANK(INDIRECT("template!"&amp;"K"&amp;A350)),"",INDIRECT("template!"&amp;"K"&amp;A350)))</f>
        <v>#REF!</v>
      </c>
      <c r="O350" t="e" cm="1">
        <f t="array" aca="1" ref="O350" ca="1">IF(OR(A350="",B350="safety"),"",INDIRECT("template!"&amp;"L"&amp;A350))</f>
        <v>#REF!</v>
      </c>
      <c r="P350" t="e" cm="1">
        <f t="array" aca="1" ref="P350" ca="1">IF(OR(A350="",B350="safety"),"",INDIRECT("template!"&amp;"M"&amp;A350))</f>
        <v>#REF!</v>
      </c>
      <c r="Q350" t="e">
        <f t="shared" ca="1" si="28"/>
        <v>#REF!</v>
      </c>
      <c r="R350" t="e">
        <f t="shared" ca="1" si="29"/>
        <v>#REF!</v>
      </c>
      <c r="S350" t="e">
        <f t="shared" ca="1" si="30"/>
        <v>#REF!</v>
      </c>
      <c r="T350" t="e">
        <f t="shared" ca="1" si="31"/>
        <v>#REF!</v>
      </c>
      <c r="U350" t="e" cm="1">
        <f t="array" aca="1" ref="U350" ca="1">IF(A350="","",IF(E350="","",IF(B350="safety",INDIRECT("template!"&amp;"P"&amp;A350),Q350+R350)))</f>
        <v>#REF!</v>
      </c>
      <c r="V350" t="e" cm="1">
        <f t="array" aca="1" ref="V350" ca="1">IF(A350="","",IF(E350="","",IF(B350="safety",INDIRECT("template!"&amp;"P"&amp;A350),S350+T350)))</f>
        <v>#REF!</v>
      </c>
      <c r="W350" t="e">
        <f ca="1">IF(A350="","",IF(E350="","",#REF!))</f>
        <v>#REF!</v>
      </c>
      <c r="X350" t="e">
        <f ca="1">IF(A350="","",IF(E350="","",#REF!))</f>
        <v>#REF!</v>
      </c>
      <c r="Y350" s="39" t="e">
        <f ca="1">IF(A350="","",IF(E350="","",#REF!))</f>
        <v>#REF!</v>
      </c>
      <c r="Z350" t="e">
        <f ca="1">IF(A350="","",IF(E350="","",#REF!))</f>
        <v>#REF!</v>
      </c>
      <c r="AA350" t="e">
        <f ca="1">IF(A350="","",IF(E350="","",#REF!))</f>
        <v>#REF!</v>
      </c>
      <c r="AB350" t="e">
        <f ca="1">IF(A350="","",IF(E350="","",#REF!))</f>
        <v>#REF!</v>
      </c>
      <c r="AC350" t="e">
        <f t="shared" ca="1" si="32"/>
        <v>#REF!</v>
      </c>
    </row>
    <row r="351" spans="1:29" x14ac:dyDescent="0.35">
      <c r="A351" t="e" cm="1">
        <f t="array" aca="1" ref="A351" ca="1">IF(A350="","",IF(OR(AND(A350+1&gt;=$AF$1,A350+1&lt;=$AF$2),AND(A350+1&gt;=$AF$6,A350+1&lt;=$AF$7),AND(A350+1&gt;=$AF$3,A350+1&lt;=$AF$4),AND(A350+1&gt;=$AF$8,A350+1&lt;=$AF$9),A350+1=$AF$5),IF(NOT(ISBLANK(INDIRECT("template!"&amp;"P"&amp;A350+1))),A350+1,IF(NOT(ISBLANK(INDIRECT("template!"&amp;"P"&amp;A350+2))),A350+2,A350+3)),IF(A350=$AF$2,$AF$3,IF(A350=$AF$4,$AF$5,IF(A350=$AF$5,$AF$6,IF(A350=$AF$7,$AF$8,""))))))</f>
        <v>#REF!</v>
      </c>
      <c r="B351" t="e">
        <f t="shared" ca="1" si="27"/>
        <v>#REF!</v>
      </c>
      <c r="C351" t="e" cm="1">
        <f t="array" aca="1" ref="C351" ca="1">IF(A351="","",IF(B351="safety","safety costs",INDIRECT("template!"&amp;"B"&amp;A351)))</f>
        <v>#REF!</v>
      </c>
      <c r="D351" t="e" cm="1">
        <f t="array" aca="1" ref="D351" ca="1">IF(OR(A351="",B351="safety"),"",INDIRECT("template!"&amp;"C"&amp;A351))</f>
        <v>#REF!</v>
      </c>
      <c r="E351" t="e" cm="1">
        <f t="array" aca="1" ref="E351" ca="1">IF(A351="","",IF(OR(A351=A350+1,A351=A350+2),E350,INDIRECT("template!"&amp;"D"&amp;A351-2)))</f>
        <v>#REF!</v>
      </c>
      <c r="F351" t="e" cm="1">
        <f t="array" aca="1" ref="F351" ca="1">IF(OR(A351="",B351="safety"),"",IF(ISBLANK(IF(A351=A350+1,F350,INDIRECT("template!"&amp;"D"&amp;A351-1))),"",IF(A351=A350+1,F350,INDIRECT("template!"&amp;"D"&amp;A351-1))))</f>
        <v>#REF!</v>
      </c>
      <c r="G351" t="e" cm="1">
        <f t="array" aca="1" ref="G351" ca="1">IF(OR(A351="",B351="safety"),"",IF(ISBLANK(INDIRECT("template!"&amp;"D"&amp;A351)),"",INDIRECT("template!"&amp;"D"&amp;A351)))</f>
        <v>#REF!</v>
      </c>
      <c r="H351" t="e" cm="1">
        <f t="array" aca="1" ref="H351" ca="1">IF(OR(A351="",B351="safety"),"",IF(ISBLANK(INDIRECT("template!"&amp;"E"&amp;A351)),"",INDIRECT("template!"&amp;"E"&amp;A351)))</f>
        <v>#REF!</v>
      </c>
      <c r="I351" t="e" cm="1">
        <f t="array" aca="1" ref="I351" ca="1">IF(OR(A351="",B351="safety"),"",IF(ISBLANK(INDIRECT("template!"&amp;"F"&amp;A351)),"",INDIRECT("template!"&amp;"F"&amp;A351)))</f>
        <v>#REF!</v>
      </c>
      <c r="J351" t="e" cm="1">
        <f t="array" aca="1" ref="J351" ca="1">IF(OR(A351="",B351="safety"),"",IF(ISBLANK(INDIRECT("template!"&amp;"G"&amp;A351)),"",INDIRECT("template!"&amp;"G"&amp;A351)))</f>
        <v>#REF!</v>
      </c>
      <c r="K351" t="e" cm="1">
        <f t="array" aca="1" ref="K351" ca="1">IF(OR(A351="",B351="safety"),"",IF(ISBLANK(INDIRECT("template!"&amp;"H"&amp;A351)),"",INDIRECT("template!"&amp;"H"&amp;A351)))</f>
        <v>#REF!</v>
      </c>
      <c r="L351" t="e" cm="1">
        <f t="array" aca="1" ref="L351" ca="1">IF(OR(A351="",B351="safety"),"",INDIRECT("template!"&amp;"I"&amp;A351))</f>
        <v>#REF!</v>
      </c>
      <c r="M351" t="e" cm="1">
        <f t="array" aca="1" ref="M351" ca="1">IF(OR(A351="",B351="safety"),"",INDIRECT("template!"&amp;"J"&amp;A351))</f>
        <v>#REF!</v>
      </c>
      <c r="N351" t="e" cm="1">
        <f t="array" aca="1" ref="N351" ca="1">IF(OR(A351="",B351="safety"),"",IF(ISBLANK(INDIRECT("template!"&amp;"K"&amp;A351)),"",INDIRECT("template!"&amp;"K"&amp;A351)))</f>
        <v>#REF!</v>
      </c>
      <c r="O351" t="e" cm="1">
        <f t="array" aca="1" ref="O351" ca="1">IF(OR(A351="",B351="safety"),"",INDIRECT("template!"&amp;"L"&amp;A351))</f>
        <v>#REF!</v>
      </c>
      <c r="P351" t="e" cm="1">
        <f t="array" aca="1" ref="P351" ca="1">IF(OR(A351="",B351="safety"),"",INDIRECT("template!"&amp;"M"&amp;A351))</f>
        <v>#REF!</v>
      </c>
      <c r="Q351" t="e">
        <f t="shared" ca="1" si="28"/>
        <v>#REF!</v>
      </c>
      <c r="R351" t="e">
        <f t="shared" ca="1" si="29"/>
        <v>#REF!</v>
      </c>
      <c r="S351" t="e">
        <f t="shared" ca="1" si="30"/>
        <v>#REF!</v>
      </c>
      <c r="T351" t="e">
        <f t="shared" ca="1" si="31"/>
        <v>#REF!</v>
      </c>
      <c r="U351" t="e" cm="1">
        <f t="array" aca="1" ref="U351" ca="1">IF(A351="","",IF(E351="","",IF(B351="safety",INDIRECT("template!"&amp;"P"&amp;A351),Q351+R351)))</f>
        <v>#REF!</v>
      </c>
      <c r="V351" t="e" cm="1">
        <f t="array" aca="1" ref="V351" ca="1">IF(A351="","",IF(E351="","",IF(B351="safety",INDIRECT("template!"&amp;"P"&amp;A351),S351+T351)))</f>
        <v>#REF!</v>
      </c>
      <c r="W351" t="e">
        <f ca="1">IF(A351="","",IF(E351="","",#REF!))</f>
        <v>#REF!</v>
      </c>
      <c r="X351" t="e">
        <f ca="1">IF(A351="","",IF(E351="","",#REF!))</f>
        <v>#REF!</v>
      </c>
      <c r="Y351" s="39" t="e">
        <f ca="1">IF(A351="","",IF(E351="","",#REF!))</f>
        <v>#REF!</v>
      </c>
      <c r="Z351" t="e">
        <f ca="1">IF(A351="","",IF(E351="","",#REF!))</f>
        <v>#REF!</v>
      </c>
      <c r="AA351" t="e">
        <f ca="1">IF(A351="","",IF(E351="","",#REF!))</f>
        <v>#REF!</v>
      </c>
      <c r="AB351" t="e">
        <f ca="1">IF(A351="","",IF(E351="","",#REF!))</f>
        <v>#REF!</v>
      </c>
      <c r="AC351" t="e">
        <f t="shared" ca="1" si="32"/>
        <v>#REF!</v>
      </c>
    </row>
    <row r="352" spans="1:29" x14ac:dyDescent="0.35">
      <c r="A352" t="e" cm="1">
        <f t="array" aca="1" ref="A352" ca="1">IF(A351="","",IF(OR(AND(A351+1&gt;=$AF$1,A351+1&lt;=$AF$2),AND(A351+1&gt;=$AF$6,A351+1&lt;=$AF$7),AND(A351+1&gt;=$AF$3,A351+1&lt;=$AF$4),AND(A351+1&gt;=$AF$8,A351+1&lt;=$AF$9),A351+1=$AF$5),IF(NOT(ISBLANK(INDIRECT("template!"&amp;"P"&amp;A351+1))),A351+1,IF(NOT(ISBLANK(INDIRECT("template!"&amp;"P"&amp;A351+2))),A351+2,A351+3)),IF(A351=$AF$2,$AF$3,IF(A351=$AF$4,$AF$5,IF(A351=$AF$5,$AF$6,IF(A351=$AF$7,$AF$8,""))))))</f>
        <v>#REF!</v>
      </c>
      <c r="B352" t="e">
        <f t="shared" ca="1" si="27"/>
        <v>#REF!</v>
      </c>
      <c r="C352" t="e" cm="1">
        <f t="array" aca="1" ref="C352" ca="1">IF(A352="","",IF(B352="safety","safety costs",INDIRECT("template!"&amp;"B"&amp;A352)))</f>
        <v>#REF!</v>
      </c>
      <c r="D352" t="e" cm="1">
        <f t="array" aca="1" ref="D352" ca="1">IF(OR(A352="",B352="safety"),"",INDIRECT("template!"&amp;"C"&amp;A352))</f>
        <v>#REF!</v>
      </c>
      <c r="E352" t="e" cm="1">
        <f t="array" aca="1" ref="E352" ca="1">IF(A352="","",IF(OR(A352=A351+1,A352=A351+2),E351,INDIRECT("template!"&amp;"D"&amp;A352-2)))</f>
        <v>#REF!</v>
      </c>
      <c r="F352" t="e" cm="1">
        <f t="array" aca="1" ref="F352" ca="1">IF(OR(A352="",B352="safety"),"",IF(ISBLANK(IF(A352=A351+1,F351,INDIRECT("template!"&amp;"D"&amp;A352-1))),"",IF(A352=A351+1,F351,INDIRECT("template!"&amp;"D"&amp;A352-1))))</f>
        <v>#REF!</v>
      </c>
      <c r="G352" t="e" cm="1">
        <f t="array" aca="1" ref="G352" ca="1">IF(OR(A352="",B352="safety"),"",IF(ISBLANK(INDIRECT("template!"&amp;"D"&amp;A352)),"",INDIRECT("template!"&amp;"D"&amp;A352)))</f>
        <v>#REF!</v>
      </c>
      <c r="H352" t="e" cm="1">
        <f t="array" aca="1" ref="H352" ca="1">IF(OR(A352="",B352="safety"),"",IF(ISBLANK(INDIRECT("template!"&amp;"E"&amp;A352)),"",INDIRECT("template!"&amp;"E"&amp;A352)))</f>
        <v>#REF!</v>
      </c>
      <c r="I352" t="e" cm="1">
        <f t="array" aca="1" ref="I352" ca="1">IF(OR(A352="",B352="safety"),"",IF(ISBLANK(INDIRECT("template!"&amp;"F"&amp;A352)),"",INDIRECT("template!"&amp;"F"&amp;A352)))</f>
        <v>#REF!</v>
      </c>
      <c r="J352" t="e" cm="1">
        <f t="array" aca="1" ref="J352" ca="1">IF(OR(A352="",B352="safety"),"",IF(ISBLANK(INDIRECT("template!"&amp;"G"&amp;A352)),"",INDIRECT("template!"&amp;"G"&amp;A352)))</f>
        <v>#REF!</v>
      </c>
      <c r="K352" t="e" cm="1">
        <f t="array" aca="1" ref="K352" ca="1">IF(OR(A352="",B352="safety"),"",IF(ISBLANK(INDIRECT("template!"&amp;"H"&amp;A352)),"",INDIRECT("template!"&amp;"H"&amp;A352)))</f>
        <v>#REF!</v>
      </c>
      <c r="L352" t="e" cm="1">
        <f t="array" aca="1" ref="L352" ca="1">IF(OR(A352="",B352="safety"),"",INDIRECT("template!"&amp;"I"&amp;A352))</f>
        <v>#REF!</v>
      </c>
      <c r="M352" t="e" cm="1">
        <f t="array" aca="1" ref="M352" ca="1">IF(OR(A352="",B352="safety"),"",INDIRECT("template!"&amp;"J"&amp;A352))</f>
        <v>#REF!</v>
      </c>
      <c r="N352" t="e" cm="1">
        <f t="array" aca="1" ref="N352" ca="1">IF(OR(A352="",B352="safety"),"",IF(ISBLANK(INDIRECT("template!"&amp;"K"&amp;A352)),"",INDIRECT("template!"&amp;"K"&amp;A352)))</f>
        <v>#REF!</v>
      </c>
      <c r="O352" t="e" cm="1">
        <f t="array" aca="1" ref="O352" ca="1">IF(OR(A352="",B352="safety"),"",INDIRECT("template!"&amp;"L"&amp;A352))</f>
        <v>#REF!</v>
      </c>
      <c r="P352" t="e" cm="1">
        <f t="array" aca="1" ref="P352" ca="1">IF(OR(A352="",B352="safety"),"",INDIRECT("template!"&amp;"M"&amp;A352))</f>
        <v>#REF!</v>
      </c>
      <c r="Q352" t="e">
        <f t="shared" ca="1" si="28"/>
        <v>#REF!</v>
      </c>
      <c r="R352" t="e">
        <f t="shared" ca="1" si="29"/>
        <v>#REF!</v>
      </c>
      <c r="S352" t="e">
        <f t="shared" ca="1" si="30"/>
        <v>#REF!</v>
      </c>
      <c r="T352" t="e">
        <f t="shared" ca="1" si="31"/>
        <v>#REF!</v>
      </c>
      <c r="U352" t="e" cm="1">
        <f t="array" aca="1" ref="U352" ca="1">IF(A352="","",IF(E352="","",IF(B352="safety",INDIRECT("template!"&amp;"P"&amp;A352),Q352+R352)))</f>
        <v>#REF!</v>
      </c>
      <c r="V352" t="e" cm="1">
        <f t="array" aca="1" ref="V352" ca="1">IF(A352="","",IF(E352="","",IF(B352="safety",INDIRECT("template!"&amp;"P"&amp;A352),S352+T352)))</f>
        <v>#REF!</v>
      </c>
      <c r="W352" t="e">
        <f ca="1">IF(A352="","",IF(E352="","",#REF!))</f>
        <v>#REF!</v>
      </c>
      <c r="X352" t="e">
        <f ca="1">IF(A352="","",IF(E352="","",#REF!))</f>
        <v>#REF!</v>
      </c>
      <c r="Y352" s="39" t="e">
        <f ca="1">IF(A352="","",IF(E352="","",#REF!))</f>
        <v>#REF!</v>
      </c>
      <c r="Z352" t="e">
        <f ca="1">IF(A352="","",IF(E352="","",#REF!))</f>
        <v>#REF!</v>
      </c>
      <c r="AA352" t="e">
        <f ca="1">IF(A352="","",IF(E352="","",#REF!))</f>
        <v>#REF!</v>
      </c>
      <c r="AB352" t="e">
        <f ca="1">IF(A352="","",IF(E352="","",#REF!))</f>
        <v>#REF!</v>
      </c>
      <c r="AC352" t="e">
        <f t="shared" ca="1" si="32"/>
        <v>#REF!</v>
      </c>
    </row>
    <row r="353" spans="1:29" x14ac:dyDescent="0.35">
      <c r="A353" t="e" cm="1">
        <f t="array" aca="1" ref="A353" ca="1">IF(A352="","",IF(OR(AND(A352+1&gt;=$AF$1,A352+1&lt;=$AF$2),AND(A352+1&gt;=$AF$6,A352+1&lt;=$AF$7),AND(A352+1&gt;=$AF$3,A352+1&lt;=$AF$4),AND(A352+1&gt;=$AF$8,A352+1&lt;=$AF$9),A352+1=$AF$5),IF(NOT(ISBLANK(INDIRECT("template!"&amp;"P"&amp;A352+1))),A352+1,IF(NOT(ISBLANK(INDIRECT("template!"&amp;"P"&amp;A352+2))),A352+2,A352+3)),IF(A352=$AF$2,$AF$3,IF(A352=$AF$4,$AF$5,IF(A352=$AF$5,$AF$6,IF(A352=$AF$7,$AF$8,""))))))</f>
        <v>#REF!</v>
      </c>
      <c r="B353" t="e">
        <f t="shared" ca="1" si="27"/>
        <v>#REF!</v>
      </c>
      <c r="C353" t="e" cm="1">
        <f t="array" aca="1" ref="C353" ca="1">IF(A353="","",IF(B353="safety","safety costs",INDIRECT("template!"&amp;"B"&amp;A353)))</f>
        <v>#REF!</v>
      </c>
      <c r="D353" t="e" cm="1">
        <f t="array" aca="1" ref="D353" ca="1">IF(OR(A353="",B353="safety"),"",INDIRECT("template!"&amp;"C"&amp;A353))</f>
        <v>#REF!</v>
      </c>
      <c r="E353" t="e" cm="1">
        <f t="array" aca="1" ref="E353" ca="1">IF(A353="","",IF(OR(A353=A352+1,A353=A352+2),E352,INDIRECT("template!"&amp;"D"&amp;A353-2)))</f>
        <v>#REF!</v>
      </c>
      <c r="F353" t="e" cm="1">
        <f t="array" aca="1" ref="F353" ca="1">IF(OR(A353="",B353="safety"),"",IF(ISBLANK(IF(A353=A352+1,F352,INDIRECT("template!"&amp;"D"&amp;A353-1))),"",IF(A353=A352+1,F352,INDIRECT("template!"&amp;"D"&amp;A353-1))))</f>
        <v>#REF!</v>
      </c>
      <c r="G353" t="e" cm="1">
        <f t="array" aca="1" ref="G353" ca="1">IF(OR(A353="",B353="safety"),"",IF(ISBLANK(INDIRECT("template!"&amp;"D"&amp;A353)),"",INDIRECT("template!"&amp;"D"&amp;A353)))</f>
        <v>#REF!</v>
      </c>
      <c r="H353" t="e" cm="1">
        <f t="array" aca="1" ref="H353" ca="1">IF(OR(A353="",B353="safety"),"",IF(ISBLANK(INDIRECT("template!"&amp;"E"&amp;A353)),"",INDIRECT("template!"&amp;"E"&amp;A353)))</f>
        <v>#REF!</v>
      </c>
      <c r="I353" t="e" cm="1">
        <f t="array" aca="1" ref="I353" ca="1">IF(OR(A353="",B353="safety"),"",IF(ISBLANK(INDIRECT("template!"&amp;"F"&amp;A353)),"",INDIRECT("template!"&amp;"F"&amp;A353)))</f>
        <v>#REF!</v>
      </c>
      <c r="J353" t="e" cm="1">
        <f t="array" aca="1" ref="J353" ca="1">IF(OR(A353="",B353="safety"),"",IF(ISBLANK(INDIRECT("template!"&amp;"G"&amp;A353)),"",INDIRECT("template!"&amp;"G"&amp;A353)))</f>
        <v>#REF!</v>
      </c>
      <c r="K353" t="e" cm="1">
        <f t="array" aca="1" ref="K353" ca="1">IF(OR(A353="",B353="safety"),"",IF(ISBLANK(INDIRECT("template!"&amp;"H"&amp;A353)),"",INDIRECT("template!"&amp;"H"&amp;A353)))</f>
        <v>#REF!</v>
      </c>
      <c r="L353" t="e" cm="1">
        <f t="array" aca="1" ref="L353" ca="1">IF(OR(A353="",B353="safety"),"",INDIRECT("template!"&amp;"I"&amp;A353))</f>
        <v>#REF!</v>
      </c>
      <c r="M353" t="e" cm="1">
        <f t="array" aca="1" ref="M353" ca="1">IF(OR(A353="",B353="safety"),"",INDIRECT("template!"&amp;"J"&amp;A353))</f>
        <v>#REF!</v>
      </c>
      <c r="N353" t="e" cm="1">
        <f t="array" aca="1" ref="N353" ca="1">IF(OR(A353="",B353="safety"),"",IF(ISBLANK(INDIRECT("template!"&amp;"K"&amp;A353)),"",INDIRECT("template!"&amp;"K"&amp;A353)))</f>
        <v>#REF!</v>
      </c>
      <c r="O353" t="e" cm="1">
        <f t="array" aca="1" ref="O353" ca="1">IF(OR(A353="",B353="safety"),"",INDIRECT("template!"&amp;"L"&amp;A353))</f>
        <v>#REF!</v>
      </c>
      <c r="P353" t="e" cm="1">
        <f t="array" aca="1" ref="P353" ca="1">IF(OR(A353="",B353="safety"),"",INDIRECT("template!"&amp;"M"&amp;A353))</f>
        <v>#REF!</v>
      </c>
      <c r="Q353" t="e">
        <f t="shared" ca="1" si="28"/>
        <v>#REF!</v>
      </c>
      <c r="R353" t="e">
        <f t="shared" ca="1" si="29"/>
        <v>#REF!</v>
      </c>
      <c r="S353" t="e">
        <f t="shared" ca="1" si="30"/>
        <v>#REF!</v>
      </c>
      <c r="T353" t="e">
        <f t="shared" ca="1" si="31"/>
        <v>#REF!</v>
      </c>
      <c r="U353" t="e" cm="1">
        <f t="array" aca="1" ref="U353" ca="1">IF(A353="","",IF(E353="","",IF(B353="safety",INDIRECT("template!"&amp;"P"&amp;A353),Q353+R353)))</f>
        <v>#REF!</v>
      </c>
      <c r="V353" t="e" cm="1">
        <f t="array" aca="1" ref="V353" ca="1">IF(A353="","",IF(E353="","",IF(B353="safety",INDIRECT("template!"&amp;"P"&amp;A353),S353+T353)))</f>
        <v>#REF!</v>
      </c>
      <c r="W353" t="e">
        <f ca="1">IF(A353="","",IF(E353="","",#REF!))</f>
        <v>#REF!</v>
      </c>
      <c r="X353" t="e">
        <f ca="1">IF(A353="","",IF(E353="","",#REF!))</f>
        <v>#REF!</v>
      </c>
      <c r="Y353" s="39" t="e">
        <f ca="1">IF(A353="","",IF(E353="","",#REF!))</f>
        <v>#REF!</v>
      </c>
      <c r="Z353" t="e">
        <f ca="1">IF(A353="","",IF(E353="","",#REF!))</f>
        <v>#REF!</v>
      </c>
      <c r="AA353" t="e">
        <f ca="1">IF(A353="","",IF(E353="","",#REF!))</f>
        <v>#REF!</v>
      </c>
      <c r="AB353" t="e">
        <f ca="1">IF(A353="","",IF(E353="","",#REF!))</f>
        <v>#REF!</v>
      </c>
      <c r="AC353" t="e">
        <f t="shared" ca="1" si="32"/>
        <v>#REF!</v>
      </c>
    </row>
    <row r="354" spans="1:29" x14ac:dyDescent="0.35">
      <c r="A354" t="e" cm="1">
        <f t="array" aca="1" ref="A354" ca="1">IF(A353="","",IF(OR(AND(A353+1&gt;=$AF$1,A353+1&lt;=$AF$2),AND(A353+1&gt;=$AF$6,A353+1&lt;=$AF$7),AND(A353+1&gt;=$AF$3,A353+1&lt;=$AF$4),AND(A353+1&gt;=$AF$8,A353+1&lt;=$AF$9),A353+1=$AF$5),IF(NOT(ISBLANK(INDIRECT("template!"&amp;"P"&amp;A353+1))),A353+1,IF(NOT(ISBLANK(INDIRECT("template!"&amp;"P"&amp;A353+2))),A353+2,A353+3)),IF(A353=$AF$2,$AF$3,IF(A353=$AF$4,$AF$5,IF(A353=$AF$5,$AF$6,IF(A353=$AF$7,$AF$8,""))))))</f>
        <v>#REF!</v>
      </c>
      <c r="B354" t="e">
        <f t="shared" ca="1" si="27"/>
        <v>#REF!</v>
      </c>
      <c r="C354" t="e" cm="1">
        <f t="array" aca="1" ref="C354" ca="1">IF(A354="","",IF(B354="safety","safety costs",INDIRECT("template!"&amp;"B"&amp;A354)))</f>
        <v>#REF!</v>
      </c>
      <c r="D354" t="e" cm="1">
        <f t="array" aca="1" ref="D354" ca="1">IF(OR(A354="",B354="safety"),"",INDIRECT("template!"&amp;"C"&amp;A354))</f>
        <v>#REF!</v>
      </c>
      <c r="E354" t="e" cm="1">
        <f t="array" aca="1" ref="E354" ca="1">IF(A354="","",IF(OR(A354=A353+1,A354=A353+2),E353,INDIRECT("template!"&amp;"D"&amp;A354-2)))</f>
        <v>#REF!</v>
      </c>
      <c r="F354" t="e" cm="1">
        <f t="array" aca="1" ref="F354" ca="1">IF(OR(A354="",B354="safety"),"",IF(ISBLANK(IF(A354=A353+1,F353,INDIRECT("template!"&amp;"D"&amp;A354-1))),"",IF(A354=A353+1,F353,INDIRECT("template!"&amp;"D"&amp;A354-1))))</f>
        <v>#REF!</v>
      </c>
      <c r="G354" t="e" cm="1">
        <f t="array" aca="1" ref="G354" ca="1">IF(OR(A354="",B354="safety"),"",IF(ISBLANK(INDIRECT("template!"&amp;"D"&amp;A354)),"",INDIRECT("template!"&amp;"D"&amp;A354)))</f>
        <v>#REF!</v>
      </c>
      <c r="H354" t="e" cm="1">
        <f t="array" aca="1" ref="H354" ca="1">IF(OR(A354="",B354="safety"),"",IF(ISBLANK(INDIRECT("template!"&amp;"E"&amp;A354)),"",INDIRECT("template!"&amp;"E"&amp;A354)))</f>
        <v>#REF!</v>
      </c>
      <c r="I354" t="e" cm="1">
        <f t="array" aca="1" ref="I354" ca="1">IF(OR(A354="",B354="safety"),"",IF(ISBLANK(INDIRECT("template!"&amp;"F"&amp;A354)),"",INDIRECT("template!"&amp;"F"&amp;A354)))</f>
        <v>#REF!</v>
      </c>
      <c r="J354" t="e" cm="1">
        <f t="array" aca="1" ref="J354" ca="1">IF(OR(A354="",B354="safety"),"",IF(ISBLANK(INDIRECT("template!"&amp;"G"&amp;A354)),"",INDIRECT("template!"&amp;"G"&amp;A354)))</f>
        <v>#REF!</v>
      </c>
      <c r="K354" t="e" cm="1">
        <f t="array" aca="1" ref="K354" ca="1">IF(OR(A354="",B354="safety"),"",IF(ISBLANK(INDIRECT("template!"&amp;"H"&amp;A354)),"",INDIRECT("template!"&amp;"H"&amp;A354)))</f>
        <v>#REF!</v>
      </c>
      <c r="L354" t="e" cm="1">
        <f t="array" aca="1" ref="L354" ca="1">IF(OR(A354="",B354="safety"),"",INDIRECT("template!"&amp;"I"&amp;A354))</f>
        <v>#REF!</v>
      </c>
      <c r="M354" t="e" cm="1">
        <f t="array" aca="1" ref="M354" ca="1">IF(OR(A354="",B354="safety"),"",INDIRECT("template!"&amp;"J"&amp;A354))</f>
        <v>#REF!</v>
      </c>
      <c r="N354" t="e" cm="1">
        <f t="array" aca="1" ref="N354" ca="1">IF(OR(A354="",B354="safety"),"",IF(ISBLANK(INDIRECT("template!"&amp;"K"&amp;A354)),"",INDIRECT("template!"&amp;"K"&amp;A354)))</f>
        <v>#REF!</v>
      </c>
      <c r="O354" t="e" cm="1">
        <f t="array" aca="1" ref="O354" ca="1">IF(OR(A354="",B354="safety"),"",INDIRECT("template!"&amp;"L"&amp;A354))</f>
        <v>#REF!</v>
      </c>
      <c r="P354" t="e" cm="1">
        <f t="array" aca="1" ref="P354" ca="1">IF(OR(A354="",B354="safety"),"",INDIRECT("template!"&amp;"M"&amp;A354))</f>
        <v>#REF!</v>
      </c>
      <c r="Q354" t="e">
        <f t="shared" ca="1" si="28"/>
        <v>#REF!</v>
      </c>
      <c r="R354" t="e">
        <f t="shared" ca="1" si="29"/>
        <v>#REF!</v>
      </c>
      <c r="S354" t="e">
        <f t="shared" ca="1" si="30"/>
        <v>#REF!</v>
      </c>
      <c r="T354" t="e">
        <f t="shared" ca="1" si="31"/>
        <v>#REF!</v>
      </c>
      <c r="U354" t="e" cm="1">
        <f t="array" aca="1" ref="U354" ca="1">IF(A354="","",IF(E354="","",IF(B354="safety",INDIRECT("template!"&amp;"P"&amp;A354),Q354+R354)))</f>
        <v>#REF!</v>
      </c>
      <c r="V354" t="e" cm="1">
        <f t="array" aca="1" ref="V354" ca="1">IF(A354="","",IF(E354="","",IF(B354="safety",INDIRECT("template!"&amp;"P"&amp;A354),S354+T354)))</f>
        <v>#REF!</v>
      </c>
      <c r="W354" t="e">
        <f ca="1">IF(A354="","",IF(E354="","",#REF!))</f>
        <v>#REF!</v>
      </c>
      <c r="X354" t="e">
        <f ca="1">IF(A354="","",IF(E354="","",#REF!))</f>
        <v>#REF!</v>
      </c>
      <c r="Y354" s="39" t="e">
        <f ca="1">IF(A354="","",IF(E354="","",#REF!))</f>
        <v>#REF!</v>
      </c>
      <c r="Z354" t="e">
        <f ca="1">IF(A354="","",IF(E354="","",#REF!))</f>
        <v>#REF!</v>
      </c>
      <c r="AA354" t="e">
        <f ca="1">IF(A354="","",IF(E354="","",#REF!))</f>
        <v>#REF!</v>
      </c>
      <c r="AB354" t="e">
        <f ca="1">IF(A354="","",IF(E354="","",#REF!))</f>
        <v>#REF!</v>
      </c>
      <c r="AC354" t="e">
        <f t="shared" ca="1" si="32"/>
        <v>#REF!</v>
      </c>
    </row>
    <row r="355" spans="1:29" x14ac:dyDescent="0.35">
      <c r="A355" t="e" cm="1">
        <f t="array" aca="1" ref="A355" ca="1">IF(A354="","",IF(OR(AND(A354+1&gt;=$AF$1,A354+1&lt;=$AF$2),AND(A354+1&gt;=$AF$6,A354+1&lt;=$AF$7),AND(A354+1&gt;=$AF$3,A354+1&lt;=$AF$4),AND(A354+1&gt;=$AF$8,A354+1&lt;=$AF$9),A354+1=$AF$5),IF(NOT(ISBLANK(INDIRECT("template!"&amp;"P"&amp;A354+1))),A354+1,IF(NOT(ISBLANK(INDIRECT("template!"&amp;"P"&amp;A354+2))),A354+2,A354+3)),IF(A354=$AF$2,$AF$3,IF(A354=$AF$4,$AF$5,IF(A354=$AF$5,$AF$6,IF(A354=$AF$7,$AF$8,""))))))</f>
        <v>#REF!</v>
      </c>
      <c r="B355" t="e">
        <f t="shared" ca="1" si="27"/>
        <v>#REF!</v>
      </c>
      <c r="C355" t="e" cm="1">
        <f t="array" aca="1" ref="C355" ca="1">IF(A355="","",IF(B355="safety","safety costs",INDIRECT("template!"&amp;"B"&amp;A355)))</f>
        <v>#REF!</v>
      </c>
      <c r="D355" t="e" cm="1">
        <f t="array" aca="1" ref="D355" ca="1">IF(OR(A355="",B355="safety"),"",INDIRECT("template!"&amp;"C"&amp;A355))</f>
        <v>#REF!</v>
      </c>
      <c r="E355" t="e" cm="1">
        <f t="array" aca="1" ref="E355" ca="1">IF(A355="","",IF(OR(A355=A354+1,A355=A354+2),E354,INDIRECT("template!"&amp;"D"&amp;A355-2)))</f>
        <v>#REF!</v>
      </c>
      <c r="F355" t="e" cm="1">
        <f t="array" aca="1" ref="F355" ca="1">IF(OR(A355="",B355="safety"),"",IF(ISBLANK(IF(A355=A354+1,F354,INDIRECT("template!"&amp;"D"&amp;A355-1))),"",IF(A355=A354+1,F354,INDIRECT("template!"&amp;"D"&amp;A355-1))))</f>
        <v>#REF!</v>
      </c>
      <c r="G355" t="e" cm="1">
        <f t="array" aca="1" ref="G355" ca="1">IF(OR(A355="",B355="safety"),"",IF(ISBLANK(INDIRECT("template!"&amp;"D"&amp;A355)),"",INDIRECT("template!"&amp;"D"&amp;A355)))</f>
        <v>#REF!</v>
      </c>
      <c r="H355" t="e" cm="1">
        <f t="array" aca="1" ref="H355" ca="1">IF(OR(A355="",B355="safety"),"",IF(ISBLANK(INDIRECT("template!"&amp;"E"&amp;A355)),"",INDIRECT("template!"&amp;"E"&amp;A355)))</f>
        <v>#REF!</v>
      </c>
      <c r="I355" t="e" cm="1">
        <f t="array" aca="1" ref="I355" ca="1">IF(OR(A355="",B355="safety"),"",IF(ISBLANK(INDIRECT("template!"&amp;"F"&amp;A355)),"",INDIRECT("template!"&amp;"F"&amp;A355)))</f>
        <v>#REF!</v>
      </c>
      <c r="J355" t="e" cm="1">
        <f t="array" aca="1" ref="J355" ca="1">IF(OR(A355="",B355="safety"),"",IF(ISBLANK(INDIRECT("template!"&amp;"G"&amp;A355)),"",INDIRECT("template!"&amp;"G"&amp;A355)))</f>
        <v>#REF!</v>
      </c>
      <c r="K355" t="e" cm="1">
        <f t="array" aca="1" ref="K355" ca="1">IF(OR(A355="",B355="safety"),"",IF(ISBLANK(INDIRECT("template!"&amp;"H"&amp;A355)),"",INDIRECT("template!"&amp;"H"&amp;A355)))</f>
        <v>#REF!</v>
      </c>
      <c r="L355" t="e" cm="1">
        <f t="array" aca="1" ref="L355" ca="1">IF(OR(A355="",B355="safety"),"",INDIRECT("template!"&amp;"I"&amp;A355))</f>
        <v>#REF!</v>
      </c>
      <c r="M355" t="e" cm="1">
        <f t="array" aca="1" ref="M355" ca="1">IF(OR(A355="",B355="safety"),"",INDIRECT("template!"&amp;"J"&amp;A355))</f>
        <v>#REF!</v>
      </c>
      <c r="N355" t="e" cm="1">
        <f t="array" aca="1" ref="N355" ca="1">IF(OR(A355="",B355="safety"),"",IF(ISBLANK(INDIRECT("template!"&amp;"K"&amp;A355)),"",INDIRECT("template!"&amp;"K"&amp;A355)))</f>
        <v>#REF!</v>
      </c>
      <c r="O355" t="e" cm="1">
        <f t="array" aca="1" ref="O355" ca="1">IF(OR(A355="",B355="safety"),"",INDIRECT("template!"&amp;"L"&amp;A355))</f>
        <v>#REF!</v>
      </c>
      <c r="P355" t="e" cm="1">
        <f t="array" aca="1" ref="P355" ca="1">IF(OR(A355="",B355="safety"),"",INDIRECT("template!"&amp;"M"&amp;A355))</f>
        <v>#REF!</v>
      </c>
      <c r="Q355" t="e">
        <f t="shared" ca="1" si="28"/>
        <v>#REF!</v>
      </c>
      <c r="R355" t="e">
        <f t="shared" ca="1" si="29"/>
        <v>#REF!</v>
      </c>
      <c r="S355" t="e">
        <f t="shared" ca="1" si="30"/>
        <v>#REF!</v>
      </c>
      <c r="T355" t="e">
        <f t="shared" ca="1" si="31"/>
        <v>#REF!</v>
      </c>
      <c r="U355" t="e" cm="1">
        <f t="array" aca="1" ref="U355" ca="1">IF(A355="","",IF(E355="","",IF(B355="safety",INDIRECT("template!"&amp;"P"&amp;A355),Q355+R355)))</f>
        <v>#REF!</v>
      </c>
      <c r="V355" t="e" cm="1">
        <f t="array" aca="1" ref="V355" ca="1">IF(A355="","",IF(E355="","",IF(B355="safety",INDIRECT("template!"&amp;"P"&amp;A355),S355+T355)))</f>
        <v>#REF!</v>
      </c>
      <c r="W355" t="e">
        <f ca="1">IF(A355="","",IF(E355="","",#REF!))</f>
        <v>#REF!</v>
      </c>
      <c r="X355" t="e">
        <f ca="1">IF(A355="","",IF(E355="","",#REF!))</f>
        <v>#REF!</v>
      </c>
      <c r="Y355" s="39" t="e">
        <f ca="1">IF(A355="","",IF(E355="","",#REF!))</f>
        <v>#REF!</v>
      </c>
      <c r="Z355" t="e">
        <f ca="1">IF(A355="","",IF(E355="","",#REF!))</f>
        <v>#REF!</v>
      </c>
      <c r="AA355" t="e">
        <f ca="1">IF(A355="","",IF(E355="","",#REF!))</f>
        <v>#REF!</v>
      </c>
      <c r="AB355" t="e">
        <f ca="1">IF(A355="","",IF(E355="","",#REF!))</f>
        <v>#REF!</v>
      </c>
      <c r="AC355" t="e">
        <f t="shared" ca="1" si="32"/>
        <v>#REF!</v>
      </c>
    </row>
    <row r="356" spans="1:29" x14ac:dyDescent="0.35">
      <c r="A356" t="e" cm="1">
        <f t="array" aca="1" ref="A356" ca="1">IF(A355="","",IF(OR(AND(A355+1&gt;=$AF$1,A355+1&lt;=$AF$2),AND(A355+1&gt;=$AF$6,A355+1&lt;=$AF$7),AND(A355+1&gt;=$AF$3,A355+1&lt;=$AF$4),AND(A355+1&gt;=$AF$8,A355+1&lt;=$AF$9),A355+1=$AF$5),IF(NOT(ISBLANK(INDIRECT("template!"&amp;"P"&amp;A355+1))),A355+1,IF(NOT(ISBLANK(INDIRECT("template!"&amp;"P"&amp;A355+2))),A355+2,A355+3)),IF(A355=$AF$2,$AF$3,IF(A355=$AF$4,$AF$5,IF(A355=$AF$5,$AF$6,IF(A355=$AF$7,$AF$8,""))))))</f>
        <v>#REF!</v>
      </c>
      <c r="B356" t="e">
        <f t="shared" ca="1" si="27"/>
        <v>#REF!</v>
      </c>
      <c r="C356" t="e" cm="1">
        <f t="array" aca="1" ref="C356" ca="1">IF(A356="","",IF(B356="safety","safety costs",INDIRECT("template!"&amp;"B"&amp;A356)))</f>
        <v>#REF!</v>
      </c>
      <c r="D356" t="e" cm="1">
        <f t="array" aca="1" ref="D356" ca="1">IF(OR(A356="",B356="safety"),"",INDIRECT("template!"&amp;"C"&amp;A356))</f>
        <v>#REF!</v>
      </c>
      <c r="E356" t="e" cm="1">
        <f t="array" aca="1" ref="E356" ca="1">IF(A356="","",IF(OR(A356=A355+1,A356=A355+2),E355,INDIRECT("template!"&amp;"D"&amp;A356-2)))</f>
        <v>#REF!</v>
      </c>
      <c r="F356" t="e" cm="1">
        <f t="array" aca="1" ref="F356" ca="1">IF(OR(A356="",B356="safety"),"",IF(ISBLANK(IF(A356=A355+1,F355,INDIRECT("template!"&amp;"D"&amp;A356-1))),"",IF(A356=A355+1,F355,INDIRECT("template!"&amp;"D"&amp;A356-1))))</f>
        <v>#REF!</v>
      </c>
      <c r="G356" t="e" cm="1">
        <f t="array" aca="1" ref="G356" ca="1">IF(OR(A356="",B356="safety"),"",IF(ISBLANK(INDIRECT("template!"&amp;"D"&amp;A356)),"",INDIRECT("template!"&amp;"D"&amp;A356)))</f>
        <v>#REF!</v>
      </c>
      <c r="H356" t="e" cm="1">
        <f t="array" aca="1" ref="H356" ca="1">IF(OR(A356="",B356="safety"),"",IF(ISBLANK(INDIRECT("template!"&amp;"E"&amp;A356)),"",INDIRECT("template!"&amp;"E"&amp;A356)))</f>
        <v>#REF!</v>
      </c>
      <c r="I356" t="e" cm="1">
        <f t="array" aca="1" ref="I356" ca="1">IF(OR(A356="",B356="safety"),"",IF(ISBLANK(INDIRECT("template!"&amp;"F"&amp;A356)),"",INDIRECT("template!"&amp;"F"&amp;A356)))</f>
        <v>#REF!</v>
      </c>
      <c r="J356" t="e" cm="1">
        <f t="array" aca="1" ref="J356" ca="1">IF(OR(A356="",B356="safety"),"",IF(ISBLANK(INDIRECT("template!"&amp;"G"&amp;A356)),"",INDIRECT("template!"&amp;"G"&amp;A356)))</f>
        <v>#REF!</v>
      </c>
      <c r="K356" t="e" cm="1">
        <f t="array" aca="1" ref="K356" ca="1">IF(OR(A356="",B356="safety"),"",IF(ISBLANK(INDIRECT("template!"&amp;"H"&amp;A356)),"",INDIRECT("template!"&amp;"H"&amp;A356)))</f>
        <v>#REF!</v>
      </c>
      <c r="L356" t="e" cm="1">
        <f t="array" aca="1" ref="L356" ca="1">IF(OR(A356="",B356="safety"),"",INDIRECT("template!"&amp;"I"&amp;A356))</f>
        <v>#REF!</v>
      </c>
      <c r="M356" t="e" cm="1">
        <f t="array" aca="1" ref="M356" ca="1">IF(OR(A356="",B356="safety"),"",INDIRECT("template!"&amp;"J"&amp;A356))</f>
        <v>#REF!</v>
      </c>
      <c r="N356" t="e" cm="1">
        <f t="array" aca="1" ref="N356" ca="1">IF(OR(A356="",B356="safety"),"",IF(ISBLANK(INDIRECT("template!"&amp;"K"&amp;A356)),"",INDIRECT("template!"&amp;"K"&amp;A356)))</f>
        <v>#REF!</v>
      </c>
      <c r="O356" t="e" cm="1">
        <f t="array" aca="1" ref="O356" ca="1">IF(OR(A356="",B356="safety"),"",INDIRECT("template!"&amp;"L"&amp;A356))</f>
        <v>#REF!</v>
      </c>
      <c r="P356" t="e" cm="1">
        <f t="array" aca="1" ref="P356" ca="1">IF(OR(A356="",B356="safety"),"",INDIRECT("template!"&amp;"M"&amp;A356))</f>
        <v>#REF!</v>
      </c>
      <c r="Q356" t="e">
        <f t="shared" ca="1" si="28"/>
        <v>#REF!</v>
      </c>
      <c r="R356" t="e">
        <f t="shared" ca="1" si="29"/>
        <v>#REF!</v>
      </c>
      <c r="S356" t="e">
        <f t="shared" ca="1" si="30"/>
        <v>#REF!</v>
      </c>
      <c r="T356" t="e">
        <f t="shared" ca="1" si="31"/>
        <v>#REF!</v>
      </c>
      <c r="U356" t="e" cm="1">
        <f t="array" aca="1" ref="U356" ca="1">IF(A356="","",IF(E356="","",IF(B356="safety",INDIRECT("template!"&amp;"P"&amp;A356),Q356+R356)))</f>
        <v>#REF!</v>
      </c>
      <c r="V356" t="e" cm="1">
        <f t="array" aca="1" ref="V356" ca="1">IF(A356="","",IF(E356="","",IF(B356="safety",INDIRECT("template!"&amp;"P"&amp;A356),S356+T356)))</f>
        <v>#REF!</v>
      </c>
      <c r="W356" t="e">
        <f ca="1">IF(A356="","",IF(E356="","",#REF!))</f>
        <v>#REF!</v>
      </c>
      <c r="X356" t="e">
        <f ca="1">IF(A356="","",IF(E356="","",#REF!))</f>
        <v>#REF!</v>
      </c>
      <c r="Y356" s="39" t="e">
        <f ca="1">IF(A356="","",IF(E356="","",#REF!))</f>
        <v>#REF!</v>
      </c>
      <c r="Z356" t="e">
        <f ca="1">IF(A356="","",IF(E356="","",#REF!))</f>
        <v>#REF!</v>
      </c>
      <c r="AA356" t="e">
        <f ca="1">IF(A356="","",IF(E356="","",#REF!))</f>
        <v>#REF!</v>
      </c>
      <c r="AB356" t="e">
        <f ca="1">IF(A356="","",IF(E356="","",#REF!))</f>
        <v>#REF!</v>
      </c>
      <c r="AC356" t="e">
        <f t="shared" ca="1" si="32"/>
        <v>#REF!</v>
      </c>
    </row>
    <row r="357" spans="1:29" x14ac:dyDescent="0.35">
      <c r="A357" t="e" cm="1">
        <f t="array" aca="1" ref="A357" ca="1">IF(A356="","",IF(OR(AND(A356+1&gt;=$AF$1,A356+1&lt;=$AF$2),AND(A356+1&gt;=$AF$6,A356+1&lt;=$AF$7),AND(A356+1&gt;=$AF$3,A356+1&lt;=$AF$4),AND(A356+1&gt;=$AF$8,A356+1&lt;=$AF$9),A356+1=$AF$5),IF(NOT(ISBLANK(INDIRECT("template!"&amp;"P"&amp;A356+1))),A356+1,IF(NOT(ISBLANK(INDIRECT("template!"&amp;"P"&amp;A356+2))),A356+2,A356+3)),IF(A356=$AF$2,$AF$3,IF(A356=$AF$4,$AF$5,IF(A356=$AF$5,$AF$6,IF(A356=$AF$7,$AF$8,""))))))</f>
        <v>#REF!</v>
      </c>
      <c r="B357" t="e">
        <f t="shared" ca="1" si="27"/>
        <v>#REF!</v>
      </c>
      <c r="C357" t="e" cm="1">
        <f t="array" aca="1" ref="C357" ca="1">IF(A357="","",IF(B357="safety","safety costs",INDIRECT("template!"&amp;"B"&amp;A357)))</f>
        <v>#REF!</v>
      </c>
      <c r="D357" t="e" cm="1">
        <f t="array" aca="1" ref="D357" ca="1">IF(OR(A357="",B357="safety"),"",INDIRECT("template!"&amp;"C"&amp;A357))</f>
        <v>#REF!</v>
      </c>
      <c r="E357" t="e" cm="1">
        <f t="array" aca="1" ref="E357" ca="1">IF(A357="","",IF(OR(A357=A356+1,A357=A356+2),E356,INDIRECT("template!"&amp;"D"&amp;A357-2)))</f>
        <v>#REF!</v>
      </c>
      <c r="F357" t="e" cm="1">
        <f t="array" aca="1" ref="F357" ca="1">IF(OR(A357="",B357="safety"),"",IF(ISBLANK(IF(A357=A356+1,F356,INDIRECT("template!"&amp;"D"&amp;A357-1))),"",IF(A357=A356+1,F356,INDIRECT("template!"&amp;"D"&amp;A357-1))))</f>
        <v>#REF!</v>
      </c>
      <c r="G357" t="e" cm="1">
        <f t="array" aca="1" ref="G357" ca="1">IF(OR(A357="",B357="safety"),"",IF(ISBLANK(INDIRECT("template!"&amp;"D"&amp;A357)),"",INDIRECT("template!"&amp;"D"&amp;A357)))</f>
        <v>#REF!</v>
      </c>
      <c r="H357" t="e" cm="1">
        <f t="array" aca="1" ref="H357" ca="1">IF(OR(A357="",B357="safety"),"",IF(ISBLANK(INDIRECT("template!"&amp;"E"&amp;A357)),"",INDIRECT("template!"&amp;"E"&amp;A357)))</f>
        <v>#REF!</v>
      </c>
      <c r="I357" t="e" cm="1">
        <f t="array" aca="1" ref="I357" ca="1">IF(OR(A357="",B357="safety"),"",IF(ISBLANK(INDIRECT("template!"&amp;"F"&amp;A357)),"",INDIRECT("template!"&amp;"F"&amp;A357)))</f>
        <v>#REF!</v>
      </c>
      <c r="J357" t="e" cm="1">
        <f t="array" aca="1" ref="J357" ca="1">IF(OR(A357="",B357="safety"),"",IF(ISBLANK(INDIRECT("template!"&amp;"G"&amp;A357)),"",INDIRECT("template!"&amp;"G"&amp;A357)))</f>
        <v>#REF!</v>
      </c>
      <c r="K357" t="e" cm="1">
        <f t="array" aca="1" ref="K357" ca="1">IF(OR(A357="",B357="safety"),"",IF(ISBLANK(INDIRECT("template!"&amp;"H"&amp;A357)),"",INDIRECT("template!"&amp;"H"&amp;A357)))</f>
        <v>#REF!</v>
      </c>
      <c r="L357" t="e" cm="1">
        <f t="array" aca="1" ref="L357" ca="1">IF(OR(A357="",B357="safety"),"",INDIRECT("template!"&amp;"I"&amp;A357))</f>
        <v>#REF!</v>
      </c>
      <c r="M357" t="e" cm="1">
        <f t="array" aca="1" ref="M357" ca="1">IF(OR(A357="",B357="safety"),"",INDIRECT("template!"&amp;"J"&amp;A357))</f>
        <v>#REF!</v>
      </c>
      <c r="N357" t="e" cm="1">
        <f t="array" aca="1" ref="N357" ca="1">IF(OR(A357="",B357="safety"),"",IF(ISBLANK(INDIRECT("template!"&amp;"K"&amp;A357)),"",INDIRECT("template!"&amp;"K"&amp;A357)))</f>
        <v>#REF!</v>
      </c>
      <c r="O357" t="e" cm="1">
        <f t="array" aca="1" ref="O357" ca="1">IF(OR(A357="",B357="safety"),"",INDIRECT("template!"&amp;"L"&amp;A357))</f>
        <v>#REF!</v>
      </c>
      <c r="P357" t="e" cm="1">
        <f t="array" aca="1" ref="P357" ca="1">IF(OR(A357="",B357="safety"),"",INDIRECT("template!"&amp;"M"&amp;A357))</f>
        <v>#REF!</v>
      </c>
      <c r="Q357" t="e">
        <f t="shared" ca="1" si="28"/>
        <v>#REF!</v>
      </c>
      <c r="R357" t="e">
        <f t="shared" ca="1" si="29"/>
        <v>#REF!</v>
      </c>
      <c r="S357" t="e">
        <f t="shared" ca="1" si="30"/>
        <v>#REF!</v>
      </c>
      <c r="T357" t="e">
        <f t="shared" ca="1" si="31"/>
        <v>#REF!</v>
      </c>
      <c r="U357" t="e" cm="1">
        <f t="array" aca="1" ref="U357" ca="1">IF(A357="","",IF(E357="","",IF(B357="safety",INDIRECT("template!"&amp;"P"&amp;A357),Q357+R357)))</f>
        <v>#REF!</v>
      </c>
      <c r="V357" t="e" cm="1">
        <f t="array" aca="1" ref="V357" ca="1">IF(A357="","",IF(E357="","",IF(B357="safety",INDIRECT("template!"&amp;"P"&amp;A357),S357+T357)))</f>
        <v>#REF!</v>
      </c>
      <c r="W357" t="e">
        <f ca="1">IF(A357="","",IF(E357="","",#REF!))</f>
        <v>#REF!</v>
      </c>
      <c r="X357" t="e">
        <f ca="1">IF(A357="","",IF(E357="","",#REF!))</f>
        <v>#REF!</v>
      </c>
      <c r="Y357" s="39" t="e">
        <f ca="1">IF(A357="","",IF(E357="","",#REF!))</f>
        <v>#REF!</v>
      </c>
      <c r="Z357" t="e">
        <f ca="1">IF(A357="","",IF(E357="","",#REF!))</f>
        <v>#REF!</v>
      </c>
      <c r="AA357" t="e">
        <f ca="1">IF(A357="","",IF(E357="","",#REF!))</f>
        <v>#REF!</v>
      </c>
      <c r="AB357" t="e">
        <f ca="1">IF(A357="","",IF(E357="","",#REF!))</f>
        <v>#REF!</v>
      </c>
      <c r="AC357" t="e">
        <f t="shared" ca="1" si="32"/>
        <v>#REF!</v>
      </c>
    </row>
    <row r="358" spans="1:29" x14ac:dyDescent="0.35">
      <c r="A358" t="e" cm="1">
        <f t="array" aca="1" ref="A358" ca="1">IF(A357="","",IF(OR(AND(A357+1&gt;=$AF$1,A357+1&lt;=$AF$2),AND(A357+1&gt;=$AF$6,A357+1&lt;=$AF$7),AND(A357+1&gt;=$AF$3,A357+1&lt;=$AF$4),AND(A357+1&gt;=$AF$8,A357+1&lt;=$AF$9),A357+1=$AF$5),IF(NOT(ISBLANK(INDIRECT("template!"&amp;"P"&amp;A357+1))),A357+1,IF(NOT(ISBLANK(INDIRECT("template!"&amp;"P"&amp;A357+2))),A357+2,A357+3)),IF(A357=$AF$2,$AF$3,IF(A357=$AF$4,$AF$5,IF(A357=$AF$5,$AF$6,IF(A357=$AF$7,$AF$8,""))))))</f>
        <v>#REF!</v>
      </c>
      <c r="B358" t="e">
        <f t="shared" ca="1" si="27"/>
        <v>#REF!</v>
      </c>
      <c r="C358" t="e" cm="1">
        <f t="array" aca="1" ref="C358" ca="1">IF(A358="","",IF(B358="safety","safety costs",INDIRECT("template!"&amp;"B"&amp;A358)))</f>
        <v>#REF!</v>
      </c>
      <c r="D358" t="e" cm="1">
        <f t="array" aca="1" ref="D358" ca="1">IF(OR(A358="",B358="safety"),"",INDIRECT("template!"&amp;"C"&amp;A358))</f>
        <v>#REF!</v>
      </c>
      <c r="E358" t="e" cm="1">
        <f t="array" aca="1" ref="E358" ca="1">IF(A358="","",IF(OR(A358=A357+1,A358=A357+2),E357,INDIRECT("template!"&amp;"D"&amp;A358-2)))</f>
        <v>#REF!</v>
      </c>
      <c r="F358" t="e" cm="1">
        <f t="array" aca="1" ref="F358" ca="1">IF(OR(A358="",B358="safety"),"",IF(ISBLANK(IF(A358=A357+1,F357,INDIRECT("template!"&amp;"D"&amp;A358-1))),"",IF(A358=A357+1,F357,INDIRECT("template!"&amp;"D"&amp;A358-1))))</f>
        <v>#REF!</v>
      </c>
      <c r="G358" t="e" cm="1">
        <f t="array" aca="1" ref="G358" ca="1">IF(OR(A358="",B358="safety"),"",IF(ISBLANK(INDIRECT("template!"&amp;"D"&amp;A358)),"",INDIRECT("template!"&amp;"D"&amp;A358)))</f>
        <v>#REF!</v>
      </c>
      <c r="H358" t="e" cm="1">
        <f t="array" aca="1" ref="H358" ca="1">IF(OR(A358="",B358="safety"),"",IF(ISBLANK(INDIRECT("template!"&amp;"E"&amp;A358)),"",INDIRECT("template!"&amp;"E"&amp;A358)))</f>
        <v>#REF!</v>
      </c>
      <c r="I358" t="e" cm="1">
        <f t="array" aca="1" ref="I358" ca="1">IF(OR(A358="",B358="safety"),"",IF(ISBLANK(INDIRECT("template!"&amp;"F"&amp;A358)),"",INDIRECT("template!"&amp;"F"&amp;A358)))</f>
        <v>#REF!</v>
      </c>
      <c r="J358" t="e" cm="1">
        <f t="array" aca="1" ref="J358" ca="1">IF(OR(A358="",B358="safety"),"",IF(ISBLANK(INDIRECT("template!"&amp;"G"&amp;A358)),"",INDIRECT("template!"&amp;"G"&amp;A358)))</f>
        <v>#REF!</v>
      </c>
      <c r="K358" t="e" cm="1">
        <f t="array" aca="1" ref="K358" ca="1">IF(OR(A358="",B358="safety"),"",IF(ISBLANK(INDIRECT("template!"&amp;"H"&amp;A358)),"",INDIRECT("template!"&amp;"H"&amp;A358)))</f>
        <v>#REF!</v>
      </c>
      <c r="L358" t="e" cm="1">
        <f t="array" aca="1" ref="L358" ca="1">IF(OR(A358="",B358="safety"),"",INDIRECT("template!"&amp;"I"&amp;A358))</f>
        <v>#REF!</v>
      </c>
      <c r="M358" t="e" cm="1">
        <f t="array" aca="1" ref="M358" ca="1">IF(OR(A358="",B358="safety"),"",INDIRECT("template!"&amp;"J"&amp;A358))</f>
        <v>#REF!</v>
      </c>
      <c r="N358" t="e" cm="1">
        <f t="array" aca="1" ref="N358" ca="1">IF(OR(A358="",B358="safety"),"",IF(ISBLANK(INDIRECT("template!"&amp;"K"&amp;A358)),"",INDIRECT("template!"&amp;"K"&amp;A358)))</f>
        <v>#REF!</v>
      </c>
      <c r="O358" t="e" cm="1">
        <f t="array" aca="1" ref="O358" ca="1">IF(OR(A358="",B358="safety"),"",INDIRECT("template!"&amp;"L"&amp;A358))</f>
        <v>#REF!</v>
      </c>
      <c r="P358" t="e" cm="1">
        <f t="array" aca="1" ref="P358" ca="1">IF(OR(A358="",B358="safety"),"",INDIRECT("template!"&amp;"M"&amp;A358))</f>
        <v>#REF!</v>
      </c>
      <c r="Q358" t="e">
        <f t="shared" ca="1" si="28"/>
        <v>#REF!</v>
      </c>
      <c r="R358" t="e">
        <f t="shared" ca="1" si="29"/>
        <v>#REF!</v>
      </c>
      <c r="S358" t="e">
        <f t="shared" ca="1" si="30"/>
        <v>#REF!</v>
      </c>
      <c r="T358" t="e">
        <f t="shared" ca="1" si="31"/>
        <v>#REF!</v>
      </c>
      <c r="U358" t="e" cm="1">
        <f t="array" aca="1" ref="U358" ca="1">IF(A358="","",IF(E358="","",IF(B358="safety",INDIRECT("template!"&amp;"P"&amp;A358),Q358+R358)))</f>
        <v>#REF!</v>
      </c>
      <c r="V358" t="e" cm="1">
        <f t="array" aca="1" ref="V358" ca="1">IF(A358="","",IF(E358="","",IF(B358="safety",INDIRECT("template!"&amp;"P"&amp;A358),S358+T358)))</f>
        <v>#REF!</v>
      </c>
      <c r="W358" t="e">
        <f ca="1">IF(A358="","",IF(E358="","",#REF!))</f>
        <v>#REF!</v>
      </c>
      <c r="X358" t="e">
        <f ca="1">IF(A358="","",IF(E358="","",#REF!))</f>
        <v>#REF!</v>
      </c>
      <c r="Y358" s="39" t="e">
        <f ca="1">IF(A358="","",IF(E358="","",#REF!))</f>
        <v>#REF!</v>
      </c>
      <c r="Z358" t="e">
        <f ca="1">IF(A358="","",IF(E358="","",#REF!))</f>
        <v>#REF!</v>
      </c>
      <c r="AA358" t="e">
        <f ca="1">IF(A358="","",IF(E358="","",#REF!))</f>
        <v>#REF!</v>
      </c>
      <c r="AB358" t="e">
        <f ca="1">IF(A358="","",IF(E358="","",#REF!))</f>
        <v>#REF!</v>
      </c>
      <c r="AC358" t="e">
        <f t="shared" ca="1" si="32"/>
        <v>#REF!</v>
      </c>
    </row>
    <row r="359" spans="1:29" x14ac:dyDescent="0.35">
      <c r="A359" t="e" cm="1">
        <f t="array" aca="1" ref="A359" ca="1">IF(A358="","",IF(OR(AND(A358+1&gt;=$AF$1,A358+1&lt;=$AF$2),AND(A358+1&gt;=$AF$6,A358+1&lt;=$AF$7),AND(A358+1&gt;=$AF$3,A358+1&lt;=$AF$4),AND(A358+1&gt;=$AF$8,A358+1&lt;=$AF$9),A358+1=$AF$5),IF(NOT(ISBLANK(INDIRECT("template!"&amp;"P"&amp;A358+1))),A358+1,IF(NOT(ISBLANK(INDIRECT("template!"&amp;"P"&amp;A358+2))),A358+2,A358+3)),IF(A358=$AF$2,$AF$3,IF(A358=$AF$4,$AF$5,IF(A358=$AF$5,$AF$6,IF(A358=$AF$7,$AF$8,""))))))</f>
        <v>#REF!</v>
      </c>
      <c r="B359" t="e">
        <f t="shared" ca="1" si="27"/>
        <v>#REF!</v>
      </c>
      <c r="C359" t="e" cm="1">
        <f t="array" aca="1" ref="C359" ca="1">IF(A359="","",IF(B359="safety","safety costs",INDIRECT("template!"&amp;"B"&amp;A359)))</f>
        <v>#REF!</v>
      </c>
      <c r="D359" t="e" cm="1">
        <f t="array" aca="1" ref="D359" ca="1">IF(OR(A359="",B359="safety"),"",INDIRECT("template!"&amp;"C"&amp;A359))</f>
        <v>#REF!</v>
      </c>
      <c r="E359" t="e" cm="1">
        <f t="array" aca="1" ref="E359" ca="1">IF(A359="","",IF(OR(A359=A358+1,A359=A358+2),E358,INDIRECT("template!"&amp;"D"&amp;A359-2)))</f>
        <v>#REF!</v>
      </c>
      <c r="F359" t="e" cm="1">
        <f t="array" aca="1" ref="F359" ca="1">IF(OR(A359="",B359="safety"),"",IF(ISBLANK(IF(A359=A358+1,F358,INDIRECT("template!"&amp;"D"&amp;A359-1))),"",IF(A359=A358+1,F358,INDIRECT("template!"&amp;"D"&amp;A359-1))))</f>
        <v>#REF!</v>
      </c>
      <c r="G359" t="e" cm="1">
        <f t="array" aca="1" ref="G359" ca="1">IF(OR(A359="",B359="safety"),"",IF(ISBLANK(INDIRECT("template!"&amp;"D"&amp;A359)),"",INDIRECT("template!"&amp;"D"&amp;A359)))</f>
        <v>#REF!</v>
      </c>
      <c r="H359" t="e" cm="1">
        <f t="array" aca="1" ref="H359" ca="1">IF(OR(A359="",B359="safety"),"",IF(ISBLANK(INDIRECT("template!"&amp;"E"&amp;A359)),"",INDIRECT("template!"&amp;"E"&amp;A359)))</f>
        <v>#REF!</v>
      </c>
      <c r="I359" t="e" cm="1">
        <f t="array" aca="1" ref="I359" ca="1">IF(OR(A359="",B359="safety"),"",IF(ISBLANK(INDIRECT("template!"&amp;"F"&amp;A359)),"",INDIRECT("template!"&amp;"F"&amp;A359)))</f>
        <v>#REF!</v>
      </c>
      <c r="J359" t="e" cm="1">
        <f t="array" aca="1" ref="J359" ca="1">IF(OR(A359="",B359="safety"),"",IF(ISBLANK(INDIRECT("template!"&amp;"G"&amp;A359)),"",INDIRECT("template!"&amp;"G"&amp;A359)))</f>
        <v>#REF!</v>
      </c>
      <c r="K359" t="e" cm="1">
        <f t="array" aca="1" ref="K359" ca="1">IF(OR(A359="",B359="safety"),"",IF(ISBLANK(INDIRECT("template!"&amp;"H"&amp;A359)),"",INDIRECT("template!"&amp;"H"&amp;A359)))</f>
        <v>#REF!</v>
      </c>
      <c r="L359" t="e" cm="1">
        <f t="array" aca="1" ref="L359" ca="1">IF(OR(A359="",B359="safety"),"",INDIRECT("template!"&amp;"I"&amp;A359))</f>
        <v>#REF!</v>
      </c>
      <c r="M359" t="e" cm="1">
        <f t="array" aca="1" ref="M359" ca="1">IF(OR(A359="",B359="safety"),"",INDIRECT("template!"&amp;"J"&amp;A359))</f>
        <v>#REF!</v>
      </c>
      <c r="N359" t="e" cm="1">
        <f t="array" aca="1" ref="N359" ca="1">IF(OR(A359="",B359="safety"),"",IF(ISBLANK(INDIRECT("template!"&amp;"K"&amp;A359)),"",INDIRECT("template!"&amp;"K"&amp;A359)))</f>
        <v>#REF!</v>
      </c>
      <c r="O359" t="e" cm="1">
        <f t="array" aca="1" ref="O359" ca="1">IF(OR(A359="",B359="safety"),"",INDIRECT("template!"&amp;"L"&amp;A359))</f>
        <v>#REF!</v>
      </c>
      <c r="P359" t="e" cm="1">
        <f t="array" aca="1" ref="P359" ca="1">IF(OR(A359="",B359="safety"),"",INDIRECT("template!"&amp;"M"&amp;A359))</f>
        <v>#REF!</v>
      </c>
      <c r="Q359" t="e">
        <f t="shared" ca="1" si="28"/>
        <v>#REF!</v>
      </c>
      <c r="R359" t="e">
        <f t="shared" ca="1" si="29"/>
        <v>#REF!</v>
      </c>
      <c r="S359" t="e">
        <f t="shared" ca="1" si="30"/>
        <v>#REF!</v>
      </c>
      <c r="T359" t="e">
        <f t="shared" ca="1" si="31"/>
        <v>#REF!</v>
      </c>
      <c r="U359" t="e" cm="1">
        <f t="array" aca="1" ref="U359" ca="1">IF(A359="","",IF(E359="","",IF(B359="safety",INDIRECT("template!"&amp;"P"&amp;A359),Q359+R359)))</f>
        <v>#REF!</v>
      </c>
      <c r="V359" t="e" cm="1">
        <f t="array" aca="1" ref="V359" ca="1">IF(A359="","",IF(E359="","",IF(B359="safety",INDIRECT("template!"&amp;"P"&amp;A359),S359+T359)))</f>
        <v>#REF!</v>
      </c>
      <c r="W359" t="e">
        <f ca="1">IF(A359="","",IF(E359="","",#REF!))</f>
        <v>#REF!</v>
      </c>
      <c r="X359" t="e">
        <f ca="1">IF(A359="","",IF(E359="","",#REF!))</f>
        <v>#REF!</v>
      </c>
      <c r="Y359" s="39" t="e">
        <f ca="1">IF(A359="","",IF(E359="","",#REF!))</f>
        <v>#REF!</v>
      </c>
      <c r="Z359" t="e">
        <f ca="1">IF(A359="","",IF(E359="","",#REF!))</f>
        <v>#REF!</v>
      </c>
      <c r="AA359" t="e">
        <f ca="1">IF(A359="","",IF(E359="","",#REF!))</f>
        <v>#REF!</v>
      </c>
      <c r="AB359" t="e">
        <f ca="1">IF(A359="","",IF(E359="","",#REF!))</f>
        <v>#REF!</v>
      </c>
      <c r="AC359" t="e">
        <f t="shared" ca="1" si="32"/>
        <v>#REF!</v>
      </c>
    </row>
    <row r="360" spans="1:29" x14ac:dyDescent="0.35">
      <c r="A360" t="e" cm="1">
        <f t="array" aca="1" ref="A360" ca="1">IF(A359="","",IF(OR(AND(A359+1&gt;=$AF$1,A359+1&lt;=$AF$2),AND(A359+1&gt;=$AF$6,A359+1&lt;=$AF$7),AND(A359+1&gt;=$AF$3,A359+1&lt;=$AF$4),AND(A359+1&gt;=$AF$8,A359+1&lt;=$AF$9),A359+1=$AF$5),IF(NOT(ISBLANK(INDIRECT("template!"&amp;"P"&amp;A359+1))),A359+1,IF(NOT(ISBLANK(INDIRECT("template!"&amp;"P"&amp;A359+2))),A359+2,A359+3)),IF(A359=$AF$2,$AF$3,IF(A359=$AF$4,$AF$5,IF(A359=$AF$5,$AF$6,IF(A359=$AF$7,$AF$8,""))))))</f>
        <v>#REF!</v>
      </c>
      <c r="B360" t="e">
        <f t="shared" ca="1" si="27"/>
        <v>#REF!</v>
      </c>
      <c r="C360" t="e" cm="1">
        <f t="array" aca="1" ref="C360" ca="1">IF(A360="","",IF(B360="safety","safety costs",INDIRECT("template!"&amp;"B"&amp;A360)))</f>
        <v>#REF!</v>
      </c>
      <c r="D360" t="e" cm="1">
        <f t="array" aca="1" ref="D360" ca="1">IF(OR(A360="",B360="safety"),"",INDIRECT("template!"&amp;"C"&amp;A360))</f>
        <v>#REF!</v>
      </c>
      <c r="E360" t="e" cm="1">
        <f t="array" aca="1" ref="E360" ca="1">IF(A360="","",IF(OR(A360=A359+1,A360=A359+2),E359,INDIRECT("template!"&amp;"D"&amp;A360-2)))</f>
        <v>#REF!</v>
      </c>
      <c r="F360" t="e" cm="1">
        <f t="array" aca="1" ref="F360" ca="1">IF(OR(A360="",B360="safety"),"",IF(ISBLANK(IF(A360=A359+1,F359,INDIRECT("template!"&amp;"D"&amp;A360-1))),"",IF(A360=A359+1,F359,INDIRECT("template!"&amp;"D"&amp;A360-1))))</f>
        <v>#REF!</v>
      </c>
      <c r="G360" t="e" cm="1">
        <f t="array" aca="1" ref="G360" ca="1">IF(OR(A360="",B360="safety"),"",IF(ISBLANK(INDIRECT("template!"&amp;"D"&amp;A360)),"",INDIRECT("template!"&amp;"D"&amp;A360)))</f>
        <v>#REF!</v>
      </c>
      <c r="H360" t="e" cm="1">
        <f t="array" aca="1" ref="H360" ca="1">IF(OR(A360="",B360="safety"),"",IF(ISBLANK(INDIRECT("template!"&amp;"E"&amp;A360)),"",INDIRECT("template!"&amp;"E"&amp;A360)))</f>
        <v>#REF!</v>
      </c>
      <c r="I360" t="e" cm="1">
        <f t="array" aca="1" ref="I360" ca="1">IF(OR(A360="",B360="safety"),"",IF(ISBLANK(INDIRECT("template!"&amp;"F"&amp;A360)),"",INDIRECT("template!"&amp;"F"&amp;A360)))</f>
        <v>#REF!</v>
      </c>
      <c r="J360" t="e" cm="1">
        <f t="array" aca="1" ref="J360" ca="1">IF(OR(A360="",B360="safety"),"",IF(ISBLANK(INDIRECT("template!"&amp;"G"&amp;A360)),"",INDIRECT("template!"&amp;"G"&amp;A360)))</f>
        <v>#REF!</v>
      </c>
      <c r="K360" t="e" cm="1">
        <f t="array" aca="1" ref="K360" ca="1">IF(OR(A360="",B360="safety"),"",IF(ISBLANK(INDIRECT("template!"&amp;"H"&amp;A360)),"",INDIRECT("template!"&amp;"H"&amp;A360)))</f>
        <v>#REF!</v>
      </c>
      <c r="L360" t="e" cm="1">
        <f t="array" aca="1" ref="L360" ca="1">IF(OR(A360="",B360="safety"),"",INDIRECT("template!"&amp;"I"&amp;A360))</f>
        <v>#REF!</v>
      </c>
      <c r="M360" t="e" cm="1">
        <f t="array" aca="1" ref="M360" ca="1">IF(OR(A360="",B360="safety"),"",INDIRECT("template!"&amp;"J"&amp;A360))</f>
        <v>#REF!</v>
      </c>
      <c r="N360" t="e" cm="1">
        <f t="array" aca="1" ref="N360" ca="1">IF(OR(A360="",B360="safety"),"",IF(ISBLANK(INDIRECT("template!"&amp;"K"&amp;A360)),"",INDIRECT("template!"&amp;"K"&amp;A360)))</f>
        <v>#REF!</v>
      </c>
      <c r="O360" t="e" cm="1">
        <f t="array" aca="1" ref="O360" ca="1">IF(OR(A360="",B360="safety"),"",INDIRECT("template!"&amp;"L"&amp;A360))</f>
        <v>#REF!</v>
      </c>
      <c r="P360" t="e" cm="1">
        <f t="array" aca="1" ref="P360" ca="1">IF(OR(A360="",B360="safety"),"",INDIRECT("template!"&amp;"M"&amp;A360))</f>
        <v>#REF!</v>
      </c>
      <c r="Q360" t="e">
        <f t="shared" ca="1" si="28"/>
        <v>#REF!</v>
      </c>
      <c r="R360" t="e">
        <f t="shared" ca="1" si="29"/>
        <v>#REF!</v>
      </c>
      <c r="S360" t="e">
        <f t="shared" ca="1" si="30"/>
        <v>#REF!</v>
      </c>
      <c r="T360" t="e">
        <f t="shared" ca="1" si="31"/>
        <v>#REF!</v>
      </c>
      <c r="U360" t="e" cm="1">
        <f t="array" aca="1" ref="U360" ca="1">IF(A360="","",IF(E360="","",IF(B360="safety",INDIRECT("template!"&amp;"P"&amp;A360),Q360+R360)))</f>
        <v>#REF!</v>
      </c>
      <c r="V360" t="e" cm="1">
        <f t="array" aca="1" ref="V360" ca="1">IF(A360="","",IF(E360="","",IF(B360="safety",INDIRECT("template!"&amp;"P"&amp;A360),S360+T360)))</f>
        <v>#REF!</v>
      </c>
      <c r="W360" t="e">
        <f ca="1">IF(A360="","",IF(E360="","",#REF!))</f>
        <v>#REF!</v>
      </c>
      <c r="X360" t="e">
        <f ca="1">IF(A360="","",IF(E360="","",#REF!))</f>
        <v>#REF!</v>
      </c>
      <c r="Y360" s="39" t="e">
        <f ca="1">IF(A360="","",IF(E360="","",#REF!))</f>
        <v>#REF!</v>
      </c>
      <c r="Z360" t="e">
        <f ca="1">IF(A360="","",IF(E360="","",#REF!))</f>
        <v>#REF!</v>
      </c>
      <c r="AA360" t="e">
        <f ca="1">IF(A360="","",IF(E360="","",#REF!))</f>
        <v>#REF!</v>
      </c>
      <c r="AB360" t="e">
        <f ca="1">IF(A360="","",IF(E360="","",#REF!))</f>
        <v>#REF!</v>
      </c>
      <c r="AC360" t="e">
        <f t="shared" ca="1" si="32"/>
        <v>#REF!</v>
      </c>
    </row>
    <row r="361" spans="1:29" x14ac:dyDescent="0.35">
      <c r="A361" t="e" cm="1">
        <f t="array" aca="1" ref="A361" ca="1">IF(A360="","",IF(OR(AND(A360+1&gt;=$AF$1,A360+1&lt;=$AF$2),AND(A360+1&gt;=$AF$6,A360+1&lt;=$AF$7),AND(A360+1&gt;=$AF$3,A360+1&lt;=$AF$4),AND(A360+1&gt;=$AF$8,A360+1&lt;=$AF$9),A360+1=$AF$5),IF(NOT(ISBLANK(INDIRECT("template!"&amp;"P"&amp;A360+1))),A360+1,IF(NOT(ISBLANK(INDIRECT("template!"&amp;"P"&amp;A360+2))),A360+2,A360+3)),IF(A360=$AF$2,$AF$3,IF(A360=$AF$4,$AF$5,IF(A360=$AF$5,$AF$6,IF(A360=$AF$7,$AF$8,""))))))</f>
        <v>#REF!</v>
      </c>
      <c r="B361" t="e">
        <f t="shared" ca="1" si="27"/>
        <v>#REF!</v>
      </c>
      <c r="C361" t="e" cm="1">
        <f t="array" aca="1" ref="C361" ca="1">IF(A361="","",IF(B361="safety","safety costs",INDIRECT("template!"&amp;"B"&amp;A361)))</f>
        <v>#REF!</v>
      </c>
      <c r="D361" t="e" cm="1">
        <f t="array" aca="1" ref="D361" ca="1">IF(OR(A361="",B361="safety"),"",INDIRECT("template!"&amp;"C"&amp;A361))</f>
        <v>#REF!</v>
      </c>
      <c r="E361" t="e" cm="1">
        <f t="array" aca="1" ref="E361" ca="1">IF(A361="","",IF(OR(A361=A360+1,A361=A360+2),E360,INDIRECT("template!"&amp;"D"&amp;A361-2)))</f>
        <v>#REF!</v>
      </c>
      <c r="F361" t="e" cm="1">
        <f t="array" aca="1" ref="F361" ca="1">IF(OR(A361="",B361="safety"),"",IF(ISBLANK(IF(A361=A360+1,F360,INDIRECT("template!"&amp;"D"&amp;A361-1))),"",IF(A361=A360+1,F360,INDIRECT("template!"&amp;"D"&amp;A361-1))))</f>
        <v>#REF!</v>
      </c>
      <c r="G361" t="e" cm="1">
        <f t="array" aca="1" ref="G361" ca="1">IF(OR(A361="",B361="safety"),"",IF(ISBLANK(INDIRECT("template!"&amp;"D"&amp;A361)),"",INDIRECT("template!"&amp;"D"&amp;A361)))</f>
        <v>#REF!</v>
      </c>
      <c r="H361" t="e" cm="1">
        <f t="array" aca="1" ref="H361" ca="1">IF(OR(A361="",B361="safety"),"",IF(ISBLANK(INDIRECT("template!"&amp;"E"&amp;A361)),"",INDIRECT("template!"&amp;"E"&amp;A361)))</f>
        <v>#REF!</v>
      </c>
      <c r="I361" t="e" cm="1">
        <f t="array" aca="1" ref="I361" ca="1">IF(OR(A361="",B361="safety"),"",IF(ISBLANK(INDIRECT("template!"&amp;"F"&amp;A361)),"",INDIRECT("template!"&amp;"F"&amp;A361)))</f>
        <v>#REF!</v>
      </c>
      <c r="J361" t="e" cm="1">
        <f t="array" aca="1" ref="J361" ca="1">IF(OR(A361="",B361="safety"),"",IF(ISBLANK(INDIRECT("template!"&amp;"G"&amp;A361)),"",INDIRECT("template!"&amp;"G"&amp;A361)))</f>
        <v>#REF!</v>
      </c>
      <c r="K361" t="e" cm="1">
        <f t="array" aca="1" ref="K361" ca="1">IF(OR(A361="",B361="safety"),"",IF(ISBLANK(INDIRECT("template!"&amp;"H"&amp;A361)),"",INDIRECT("template!"&amp;"H"&amp;A361)))</f>
        <v>#REF!</v>
      </c>
      <c r="L361" t="e" cm="1">
        <f t="array" aca="1" ref="L361" ca="1">IF(OR(A361="",B361="safety"),"",INDIRECT("template!"&amp;"I"&amp;A361))</f>
        <v>#REF!</v>
      </c>
      <c r="M361" t="e" cm="1">
        <f t="array" aca="1" ref="M361" ca="1">IF(OR(A361="",B361="safety"),"",INDIRECT("template!"&amp;"J"&amp;A361))</f>
        <v>#REF!</v>
      </c>
      <c r="N361" t="e" cm="1">
        <f t="array" aca="1" ref="N361" ca="1">IF(OR(A361="",B361="safety"),"",IF(ISBLANK(INDIRECT("template!"&amp;"K"&amp;A361)),"",INDIRECT("template!"&amp;"K"&amp;A361)))</f>
        <v>#REF!</v>
      </c>
      <c r="O361" t="e" cm="1">
        <f t="array" aca="1" ref="O361" ca="1">IF(OR(A361="",B361="safety"),"",INDIRECT("template!"&amp;"L"&amp;A361))</f>
        <v>#REF!</v>
      </c>
      <c r="P361" t="e" cm="1">
        <f t="array" aca="1" ref="P361" ca="1">IF(OR(A361="",B361="safety"),"",INDIRECT("template!"&amp;"M"&amp;A361))</f>
        <v>#REF!</v>
      </c>
      <c r="Q361" t="e">
        <f t="shared" ca="1" si="28"/>
        <v>#REF!</v>
      </c>
      <c r="R361" t="e">
        <f t="shared" ca="1" si="29"/>
        <v>#REF!</v>
      </c>
      <c r="S361" t="e">
        <f t="shared" ca="1" si="30"/>
        <v>#REF!</v>
      </c>
      <c r="T361" t="e">
        <f t="shared" ca="1" si="31"/>
        <v>#REF!</v>
      </c>
      <c r="U361" t="e" cm="1">
        <f t="array" aca="1" ref="U361" ca="1">IF(A361="","",IF(E361="","",IF(B361="safety",INDIRECT("template!"&amp;"P"&amp;A361),Q361+R361)))</f>
        <v>#REF!</v>
      </c>
      <c r="V361" t="e" cm="1">
        <f t="array" aca="1" ref="V361" ca="1">IF(A361="","",IF(E361="","",IF(B361="safety",INDIRECT("template!"&amp;"P"&amp;A361),S361+T361)))</f>
        <v>#REF!</v>
      </c>
      <c r="W361" t="e">
        <f ca="1">IF(A361="","",IF(E361="","",#REF!))</f>
        <v>#REF!</v>
      </c>
      <c r="X361" t="e">
        <f ca="1">IF(A361="","",IF(E361="","",#REF!))</f>
        <v>#REF!</v>
      </c>
      <c r="Y361" s="39" t="e">
        <f ca="1">IF(A361="","",IF(E361="","",#REF!))</f>
        <v>#REF!</v>
      </c>
      <c r="Z361" t="e">
        <f ca="1">IF(A361="","",IF(E361="","",#REF!))</f>
        <v>#REF!</v>
      </c>
      <c r="AA361" t="e">
        <f ca="1">IF(A361="","",IF(E361="","",#REF!))</f>
        <v>#REF!</v>
      </c>
      <c r="AB361" t="e">
        <f ca="1">IF(A361="","",IF(E361="","",#REF!))</f>
        <v>#REF!</v>
      </c>
      <c r="AC361" t="e">
        <f t="shared" ca="1" si="32"/>
        <v>#REF!</v>
      </c>
    </row>
    <row r="362" spans="1:29" x14ac:dyDescent="0.35">
      <c r="A362" t="e" cm="1">
        <f t="array" aca="1" ref="A362" ca="1">IF(A361="","",IF(OR(AND(A361+1&gt;=$AF$1,A361+1&lt;=$AF$2),AND(A361+1&gt;=$AF$6,A361+1&lt;=$AF$7),AND(A361+1&gt;=$AF$3,A361+1&lt;=$AF$4),AND(A361+1&gt;=$AF$8,A361+1&lt;=$AF$9),A361+1=$AF$5),IF(NOT(ISBLANK(INDIRECT("template!"&amp;"P"&amp;A361+1))),A361+1,IF(NOT(ISBLANK(INDIRECT("template!"&amp;"P"&amp;A361+2))),A361+2,A361+3)),IF(A361=$AF$2,$AF$3,IF(A361=$AF$4,$AF$5,IF(A361=$AF$5,$AF$6,IF(A361=$AF$7,$AF$8,""))))))</f>
        <v>#REF!</v>
      </c>
      <c r="B362" t="e">
        <f t="shared" ca="1" si="27"/>
        <v>#REF!</v>
      </c>
      <c r="C362" t="e" cm="1">
        <f t="array" aca="1" ref="C362" ca="1">IF(A362="","",IF(B362="safety","safety costs",INDIRECT("template!"&amp;"B"&amp;A362)))</f>
        <v>#REF!</v>
      </c>
      <c r="D362" t="e" cm="1">
        <f t="array" aca="1" ref="D362" ca="1">IF(OR(A362="",B362="safety"),"",INDIRECT("template!"&amp;"C"&amp;A362))</f>
        <v>#REF!</v>
      </c>
      <c r="E362" t="e" cm="1">
        <f t="array" aca="1" ref="E362" ca="1">IF(A362="","",IF(OR(A362=A361+1,A362=A361+2),E361,INDIRECT("template!"&amp;"D"&amp;A362-2)))</f>
        <v>#REF!</v>
      </c>
      <c r="F362" t="e" cm="1">
        <f t="array" aca="1" ref="F362" ca="1">IF(OR(A362="",B362="safety"),"",IF(ISBLANK(IF(A362=A361+1,F361,INDIRECT("template!"&amp;"D"&amp;A362-1))),"",IF(A362=A361+1,F361,INDIRECT("template!"&amp;"D"&amp;A362-1))))</f>
        <v>#REF!</v>
      </c>
      <c r="G362" t="e" cm="1">
        <f t="array" aca="1" ref="G362" ca="1">IF(OR(A362="",B362="safety"),"",IF(ISBLANK(INDIRECT("template!"&amp;"D"&amp;A362)),"",INDIRECT("template!"&amp;"D"&amp;A362)))</f>
        <v>#REF!</v>
      </c>
      <c r="H362" t="e" cm="1">
        <f t="array" aca="1" ref="H362" ca="1">IF(OR(A362="",B362="safety"),"",IF(ISBLANK(INDIRECT("template!"&amp;"E"&amp;A362)),"",INDIRECT("template!"&amp;"E"&amp;A362)))</f>
        <v>#REF!</v>
      </c>
      <c r="I362" t="e" cm="1">
        <f t="array" aca="1" ref="I362" ca="1">IF(OR(A362="",B362="safety"),"",IF(ISBLANK(INDIRECT("template!"&amp;"F"&amp;A362)),"",INDIRECT("template!"&amp;"F"&amp;A362)))</f>
        <v>#REF!</v>
      </c>
      <c r="J362" t="e" cm="1">
        <f t="array" aca="1" ref="J362" ca="1">IF(OR(A362="",B362="safety"),"",IF(ISBLANK(INDIRECT("template!"&amp;"G"&amp;A362)),"",INDIRECT("template!"&amp;"G"&amp;A362)))</f>
        <v>#REF!</v>
      </c>
      <c r="K362" t="e" cm="1">
        <f t="array" aca="1" ref="K362" ca="1">IF(OR(A362="",B362="safety"),"",IF(ISBLANK(INDIRECT("template!"&amp;"H"&amp;A362)),"",INDIRECT("template!"&amp;"H"&amp;A362)))</f>
        <v>#REF!</v>
      </c>
      <c r="L362" t="e" cm="1">
        <f t="array" aca="1" ref="L362" ca="1">IF(OR(A362="",B362="safety"),"",INDIRECT("template!"&amp;"I"&amp;A362))</f>
        <v>#REF!</v>
      </c>
      <c r="M362" t="e" cm="1">
        <f t="array" aca="1" ref="M362" ca="1">IF(OR(A362="",B362="safety"),"",INDIRECT("template!"&amp;"J"&amp;A362))</f>
        <v>#REF!</v>
      </c>
      <c r="N362" t="e" cm="1">
        <f t="array" aca="1" ref="N362" ca="1">IF(OR(A362="",B362="safety"),"",IF(ISBLANK(INDIRECT("template!"&amp;"K"&amp;A362)),"",INDIRECT("template!"&amp;"K"&amp;A362)))</f>
        <v>#REF!</v>
      </c>
      <c r="O362" t="e" cm="1">
        <f t="array" aca="1" ref="O362" ca="1">IF(OR(A362="",B362="safety"),"",INDIRECT("template!"&amp;"L"&amp;A362))</f>
        <v>#REF!</v>
      </c>
      <c r="P362" t="e" cm="1">
        <f t="array" aca="1" ref="P362" ca="1">IF(OR(A362="",B362="safety"),"",INDIRECT("template!"&amp;"M"&amp;A362))</f>
        <v>#REF!</v>
      </c>
      <c r="Q362" t="e">
        <f t="shared" ca="1" si="28"/>
        <v>#REF!</v>
      </c>
      <c r="R362" t="e">
        <f t="shared" ca="1" si="29"/>
        <v>#REF!</v>
      </c>
      <c r="S362" t="e">
        <f t="shared" ca="1" si="30"/>
        <v>#REF!</v>
      </c>
      <c r="T362" t="e">
        <f t="shared" ca="1" si="31"/>
        <v>#REF!</v>
      </c>
      <c r="U362" t="e" cm="1">
        <f t="array" aca="1" ref="U362" ca="1">IF(A362="","",IF(E362="","",IF(B362="safety",INDIRECT("template!"&amp;"P"&amp;A362),Q362+R362)))</f>
        <v>#REF!</v>
      </c>
      <c r="V362" t="e" cm="1">
        <f t="array" aca="1" ref="V362" ca="1">IF(A362="","",IF(E362="","",IF(B362="safety",INDIRECT("template!"&amp;"P"&amp;A362),S362+T362)))</f>
        <v>#REF!</v>
      </c>
      <c r="W362" t="e">
        <f ca="1">IF(A362="","",IF(E362="","",#REF!))</f>
        <v>#REF!</v>
      </c>
      <c r="X362" t="e">
        <f ca="1">IF(A362="","",IF(E362="","",#REF!))</f>
        <v>#REF!</v>
      </c>
      <c r="Y362" s="39" t="e">
        <f ca="1">IF(A362="","",IF(E362="","",#REF!))</f>
        <v>#REF!</v>
      </c>
      <c r="Z362" t="e">
        <f ca="1">IF(A362="","",IF(E362="","",#REF!))</f>
        <v>#REF!</v>
      </c>
      <c r="AA362" t="e">
        <f ca="1">IF(A362="","",IF(E362="","",#REF!))</f>
        <v>#REF!</v>
      </c>
      <c r="AB362" t="e">
        <f ca="1">IF(A362="","",IF(E362="","",#REF!))</f>
        <v>#REF!</v>
      </c>
      <c r="AC362" t="e">
        <f t="shared" ca="1" si="32"/>
        <v>#REF!</v>
      </c>
    </row>
    <row r="363" spans="1:29" x14ac:dyDescent="0.35">
      <c r="A363" t="e" cm="1">
        <f t="array" aca="1" ref="A363" ca="1">IF(A362="","",IF(OR(AND(A362+1&gt;=$AF$1,A362+1&lt;=$AF$2),AND(A362+1&gt;=$AF$6,A362+1&lt;=$AF$7),AND(A362+1&gt;=$AF$3,A362+1&lt;=$AF$4),AND(A362+1&gt;=$AF$8,A362+1&lt;=$AF$9),A362+1=$AF$5),IF(NOT(ISBLANK(INDIRECT("template!"&amp;"P"&amp;A362+1))),A362+1,IF(NOT(ISBLANK(INDIRECT("template!"&amp;"P"&amp;A362+2))),A362+2,A362+3)),IF(A362=$AF$2,$AF$3,IF(A362=$AF$4,$AF$5,IF(A362=$AF$5,$AF$6,IF(A362=$AF$7,$AF$8,""))))))</f>
        <v>#REF!</v>
      </c>
      <c r="B363" t="e">
        <f t="shared" ca="1" si="27"/>
        <v>#REF!</v>
      </c>
      <c r="C363" t="e" cm="1">
        <f t="array" aca="1" ref="C363" ca="1">IF(A363="","",IF(B363="safety","safety costs",INDIRECT("template!"&amp;"B"&amp;A363)))</f>
        <v>#REF!</v>
      </c>
      <c r="D363" t="e" cm="1">
        <f t="array" aca="1" ref="D363" ca="1">IF(OR(A363="",B363="safety"),"",INDIRECT("template!"&amp;"C"&amp;A363))</f>
        <v>#REF!</v>
      </c>
      <c r="E363" t="e" cm="1">
        <f t="array" aca="1" ref="E363" ca="1">IF(A363="","",IF(OR(A363=A362+1,A363=A362+2),E362,INDIRECT("template!"&amp;"D"&amp;A363-2)))</f>
        <v>#REF!</v>
      </c>
      <c r="F363" t="e" cm="1">
        <f t="array" aca="1" ref="F363" ca="1">IF(OR(A363="",B363="safety"),"",IF(ISBLANK(IF(A363=A362+1,F362,INDIRECT("template!"&amp;"D"&amp;A363-1))),"",IF(A363=A362+1,F362,INDIRECT("template!"&amp;"D"&amp;A363-1))))</f>
        <v>#REF!</v>
      </c>
      <c r="G363" t="e" cm="1">
        <f t="array" aca="1" ref="G363" ca="1">IF(OR(A363="",B363="safety"),"",IF(ISBLANK(INDIRECT("template!"&amp;"D"&amp;A363)),"",INDIRECT("template!"&amp;"D"&amp;A363)))</f>
        <v>#REF!</v>
      </c>
      <c r="H363" t="e" cm="1">
        <f t="array" aca="1" ref="H363" ca="1">IF(OR(A363="",B363="safety"),"",IF(ISBLANK(INDIRECT("template!"&amp;"E"&amp;A363)),"",INDIRECT("template!"&amp;"E"&amp;A363)))</f>
        <v>#REF!</v>
      </c>
      <c r="I363" t="e" cm="1">
        <f t="array" aca="1" ref="I363" ca="1">IF(OR(A363="",B363="safety"),"",IF(ISBLANK(INDIRECT("template!"&amp;"F"&amp;A363)),"",INDIRECT("template!"&amp;"F"&amp;A363)))</f>
        <v>#REF!</v>
      </c>
      <c r="J363" t="e" cm="1">
        <f t="array" aca="1" ref="J363" ca="1">IF(OR(A363="",B363="safety"),"",IF(ISBLANK(INDIRECT("template!"&amp;"G"&amp;A363)),"",INDIRECT("template!"&amp;"G"&amp;A363)))</f>
        <v>#REF!</v>
      </c>
      <c r="K363" t="e" cm="1">
        <f t="array" aca="1" ref="K363" ca="1">IF(OR(A363="",B363="safety"),"",IF(ISBLANK(INDIRECT("template!"&amp;"H"&amp;A363)),"",INDIRECT("template!"&amp;"H"&amp;A363)))</f>
        <v>#REF!</v>
      </c>
      <c r="L363" t="e" cm="1">
        <f t="array" aca="1" ref="L363" ca="1">IF(OR(A363="",B363="safety"),"",INDIRECT("template!"&amp;"I"&amp;A363))</f>
        <v>#REF!</v>
      </c>
      <c r="M363" t="e" cm="1">
        <f t="array" aca="1" ref="M363" ca="1">IF(OR(A363="",B363="safety"),"",INDIRECT("template!"&amp;"J"&amp;A363))</f>
        <v>#REF!</v>
      </c>
      <c r="N363" t="e" cm="1">
        <f t="array" aca="1" ref="N363" ca="1">IF(OR(A363="",B363="safety"),"",IF(ISBLANK(INDIRECT("template!"&amp;"K"&amp;A363)),"",INDIRECT("template!"&amp;"K"&amp;A363)))</f>
        <v>#REF!</v>
      </c>
      <c r="O363" t="e" cm="1">
        <f t="array" aca="1" ref="O363" ca="1">IF(OR(A363="",B363="safety"),"",INDIRECT("template!"&amp;"L"&amp;A363))</f>
        <v>#REF!</v>
      </c>
      <c r="P363" t="e" cm="1">
        <f t="array" aca="1" ref="P363" ca="1">IF(OR(A363="",B363="safety"),"",INDIRECT("template!"&amp;"M"&amp;A363))</f>
        <v>#REF!</v>
      </c>
      <c r="Q363" t="e">
        <f t="shared" ca="1" si="28"/>
        <v>#REF!</v>
      </c>
      <c r="R363" t="e">
        <f t="shared" ca="1" si="29"/>
        <v>#REF!</v>
      </c>
      <c r="S363" t="e">
        <f t="shared" ca="1" si="30"/>
        <v>#REF!</v>
      </c>
      <c r="T363" t="e">
        <f t="shared" ca="1" si="31"/>
        <v>#REF!</v>
      </c>
      <c r="U363" t="e" cm="1">
        <f t="array" aca="1" ref="U363" ca="1">IF(A363="","",IF(E363="","",IF(B363="safety",INDIRECT("template!"&amp;"P"&amp;A363),Q363+R363)))</f>
        <v>#REF!</v>
      </c>
      <c r="V363" t="e" cm="1">
        <f t="array" aca="1" ref="V363" ca="1">IF(A363="","",IF(E363="","",IF(B363="safety",INDIRECT("template!"&amp;"P"&amp;A363),S363+T363)))</f>
        <v>#REF!</v>
      </c>
      <c r="W363" t="e">
        <f ca="1">IF(A363="","",IF(E363="","",#REF!))</f>
        <v>#REF!</v>
      </c>
      <c r="X363" t="e">
        <f ca="1">IF(A363="","",IF(E363="","",#REF!))</f>
        <v>#REF!</v>
      </c>
      <c r="Y363" s="39" t="e">
        <f ca="1">IF(A363="","",IF(E363="","",#REF!))</f>
        <v>#REF!</v>
      </c>
      <c r="Z363" t="e">
        <f ca="1">IF(A363="","",IF(E363="","",#REF!))</f>
        <v>#REF!</v>
      </c>
      <c r="AA363" t="e">
        <f ca="1">IF(A363="","",IF(E363="","",#REF!))</f>
        <v>#REF!</v>
      </c>
      <c r="AB363" t="e">
        <f ca="1">IF(A363="","",IF(E363="","",#REF!))</f>
        <v>#REF!</v>
      </c>
      <c r="AC363" t="e">
        <f t="shared" ca="1" si="32"/>
        <v>#REF!</v>
      </c>
    </row>
    <row r="364" spans="1:29" x14ac:dyDescent="0.35">
      <c r="A364" t="e" cm="1">
        <f t="array" aca="1" ref="A364" ca="1">IF(A363="","",IF(OR(AND(A363+1&gt;=$AF$1,A363+1&lt;=$AF$2),AND(A363+1&gt;=$AF$6,A363+1&lt;=$AF$7),AND(A363+1&gt;=$AF$3,A363+1&lt;=$AF$4),AND(A363+1&gt;=$AF$8,A363+1&lt;=$AF$9),A363+1=$AF$5),IF(NOT(ISBLANK(INDIRECT("template!"&amp;"P"&amp;A363+1))),A363+1,IF(NOT(ISBLANK(INDIRECT("template!"&amp;"P"&amp;A363+2))),A363+2,A363+3)),IF(A363=$AF$2,$AF$3,IF(A363=$AF$4,$AF$5,IF(A363=$AF$5,$AF$6,IF(A363=$AF$7,$AF$8,""))))))</f>
        <v>#REF!</v>
      </c>
      <c r="B364" t="e">
        <f t="shared" ca="1" si="27"/>
        <v>#REF!</v>
      </c>
      <c r="C364" t="e" cm="1">
        <f t="array" aca="1" ref="C364" ca="1">IF(A364="","",IF(B364="safety","safety costs",INDIRECT("template!"&amp;"B"&amp;A364)))</f>
        <v>#REF!</v>
      </c>
      <c r="D364" t="e" cm="1">
        <f t="array" aca="1" ref="D364" ca="1">IF(OR(A364="",B364="safety"),"",INDIRECT("template!"&amp;"C"&amp;A364))</f>
        <v>#REF!</v>
      </c>
      <c r="E364" t="e" cm="1">
        <f t="array" aca="1" ref="E364" ca="1">IF(A364="","",IF(OR(A364=A363+1,A364=A363+2),E363,INDIRECT("template!"&amp;"D"&amp;A364-2)))</f>
        <v>#REF!</v>
      </c>
      <c r="F364" t="e" cm="1">
        <f t="array" aca="1" ref="F364" ca="1">IF(OR(A364="",B364="safety"),"",IF(ISBLANK(IF(A364=A363+1,F363,INDIRECT("template!"&amp;"D"&amp;A364-1))),"",IF(A364=A363+1,F363,INDIRECT("template!"&amp;"D"&amp;A364-1))))</f>
        <v>#REF!</v>
      </c>
      <c r="G364" t="e" cm="1">
        <f t="array" aca="1" ref="G364" ca="1">IF(OR(A364="",B364="safety"),"",IF(ISBLANK(INDIRECT("template!"&amp;"D"&amp;A364)),"",INDIRECT("template!"&amp;"D"&amp;A364)))</f>
        <v>#REF!</v>
      </c>
      <c r="H364" t="e" cm="1">
        <f t="array" aca="1" ref="H364" ca="1">IF(OR(A364="",B364="safety"),"",IF(ISBLANK(INDIRECT("template!"&amp;"E"&amp;A364)),"",INDIRECT("template!"&amp;"E"&amp;A364)))</f>
        <v>#REF!</v>
      </c>
      <c r="I364" t="e" cm="1">
        <f t="array" aca="1" ref="I364" ca="1">IF(OR(A364="",B364="safety"),"",IF(ISBLANK(INDIRECT("template!"&amp;"F"&amp;A364)),"",INDIRECT("template!"&amp;"F"&amp;A364)))</f>
        <v>#REF!</v>
      </c>
      <c r="J364" t="e" cm="1">
        <f t="array" aca="1" ref="J364" ca="1">IF(OR(A364="",B364="safety"),"",IF(ISBLANK(INDIRECT("template!"&amp;"G"&amp;A364)),"",INDIRECT("template!"&amp;"G"&amp;A364)))</f>
        <v>#REF!</v>
      </c>
      <c r="K364" t="e" cm="1">
        <f t="array" aca="1" ref="K364" ca="1">IF(OR(A364="",B364="safety"),"",IF(ISBLANK(INDIRECT("template!"&amp;"H"&amp;A364)),"",INDIRECT("template!"&amp;"H"&amp;A364)))</f>
        <v>#REF!</v>
      </c>
      <c r="L364" t="e" cm="1">
        <f t="array" aca="1" ref="L364" ca="1">IF(OR(A364="",B364="safety"),"",INDIRECT("template!"&amp;"I"&amp;A364))</f>
        <v>#REF!</v>
      </c>
      <c r="M364" t="e" cm="1">
        <f t="array" aca="1" ref="M364" ca="1">IF(OR(A364="",B364="safety"),"",INDIRECT("template!"&amp;"J"&amp;A364))</f>
        <v>#REF!</v>
      </c>
      <c r="N364" t="e" cm="1">
        <f t="array" aca="1" ref="N364" ca="1">IF(OR(A364="",B364="safety"),"",IF(ISBLANK(INDIRECT("template!"&amp;"K"&amp;A364)),"",INDIRECT("template!"&amp;"K"&amp;A364)))</f>
        <v>#REF!</v>
      </c>
      <c r="O364" t="e" cm="1">
        <f t="array" aca="1" ref="O364" ca="1">IF(OR(A364="",B364="safety"),"",INDIRECT("template!"&amp;"L"&amp;A364))</f>
        <v>#REF!</v>
      </c>
      <c r="P364" t="e" cm="1">
        <f t="array" aca="1" ref="P364" ca="1">IF(OR(A364="",B364="safety"),"",INDIRECT("template!"&amp;"M"&amp;A364))</f>
        <v>#REF!</v>
      </c>
      <c r="Q364" t="e">
        <f t="shared" ca="1" si="28"/>
        <v>#REF!</v>
      </c>
      <c r="R364" t="e">
        <f t="shared" ca="1" si="29"/>
        <v>#REF!</v>
      </c>
      <c r="S364" t="e">
        <f t="shared" ca="1" si="30"/>
        <v>#REF!</v>
      </c>
      <c r="T364" t="e">
        <f t="shared" ca="1" si="31"/>
        <v>#REF!</v>
      </c>
      <c r="U364" t="e" cm="1">
        <f t="array" aca="1" ref="U364" ca="1">IF(A364="","",IF(E364="","",IF(B364="safety",INDIRECT("template!"&amp;"P"&amp;A364),Q364+R364)))</f>
        <v>#REF!</v>
      </c>
      <c r="V364" t="e" cm="1">
        <f t="array" aca="1" ref="V364" ca="1">IF(A364="","",IF(E364="","",IF(B364="safety",INDIRECT("template!"&amp;"P"&amp;A364),S364+T364)))</f>
        <v>#REF!</v>
      </c>
      <c r="W364" t="e">
        <f ca="1">IF(A364="","",IF(E364="","",#REF!))</f>
        <v>#REF!</v>
      </c>
      <c r="X364" t="e">
        <f ca="1">IF(A364="","",IF(E364="","",#REF!))</f>
        <v>#REF!</v>
      </c>
      <c r="Y364" s="39" t="e">
        <f ca="1">IF(A364="","",IF(E364="","",#REF!))</f>
        <v>#REF!</v>
      </c>
      <c r="Z364" t="e">
        <f ca="1">IF(A364="","",IF(E364="","",#REF!))</f>
        <v>#REF!</v>
      </c>
      <c r="AA364" t="e">
        <f ca="1">IF(A364="","",IF(E364="","",#REF!))</f>
        <v>#REF!</v>
      </c>
      <c r="AB364" t="e">
        <f ca="1">IF(A364="","",IF(E364="","",#REF!))</f>
        <v>#REF!</v>
      </c>
      <c r="AC364" t="e">
        <f t="shared" ca="1" si="32"/>
        <v>#REF!</v>
      </c>
    </row>
    <row r="365" spans="1:29" x14ac:dyDescent="0.35">
      <c r="A365" t="e" cm="1">
        <f t="array" aca="1" ref="A365" ca="1">IF(A364="","",IF(OR(AND(A364+1&gt;=$AF$1,A364+1&lt;=$AF$2),AND(A364+1&gt;=$AF$6,A364+1&lt;=$AF$7),AND(A364+1&gt;=$AF$3,A364+1&lt;=$AF$4),AND(A364+1&gt;=$AF$8,A364+1&lt;=$AF$9),A364+1=$AF$5),IF(NOT(ISBLANK(INDIRECT("template!"&amp;"P"&amp;A364+1))),A364+1,IF(NOT(ISBLANK(INDIRECT("template!"&amp;"P"&amp;A364+2))),A364+2,A364+3)),IF(A364=$AF$2,$AF$3,IF(A364=$AF$4,$AF$5,IF(A364=$AF$5,$AF$6,IF(A364=$AF$7,$AF$8,""))))))</f>
        <v>#REF!</v>
      </c>
      <c r="B365" t="e">
        <f t="shared" ca="1" si="27"/>
        <v>#REF!</v>
      </c>
      <c r="C365" t="e" cm="1">
        <f t="array" aca="1" ref="C365" ca="1">IF(A365="","",IF(B365="safety","safety costs",INDIRECT("template!"&amp;"B"&amp;A365)))</f>
        <v>#REF!</v>
      </c>
      <c r="D365" t="e" cm="1">
        <f t="array" aca="1" ref="D365" ca="1">IF(OR(A365="",B365="safety"),"",INDIRECT("template!"&amp;"C"&amp;A365))</f>
        <v>#REF!</v>
      </c>
      <c r="E365" t="e" cm="1">
        <f t="array" aca="1" ref="E365" ca="1">IF(A365="","",IF(OR(A365=A364+1,A365=A364+2),E364,INDIRECT("template!"&amp;"D"&amp;A365-2)))</f>
        <v>#REF!</v>
      </c>
      <c r="F365" t="e" cm="1">
        <f t="array" aca="1" ref="F365" ca="1">IF(OR(A365="",B365="safety"),"",IF(ISBLANK(IF(A365=A364+1,F364,INDIRECT("template!"&amp;"D"&amp;A365-1))),"",IF(A365=A364+1,F364,INDIRECT("template!"&amp;"D"&amp;A365-1))))</f>
        <v>#REF!</v>
      </c>
      <c r="G365" t="e" cm="1">
        <f t="array" aca="1" ref="G365" ca="1">IF(OR(A365="",B365="safety"),"",IF(ISBLANK(INDIRECT("template!"&amp;"D"&amp;A365)),"",INDIRECT("template!"&amp;"D"&amp;A365)))</f>
        <v>#REF!</v>
      </c>
      <c r="H365" t="e" cm="1">
        <f t="array" aca="1" ref="H365" ca="1">IF(OR(A365="",B365="safety"),"",IF(ISBLANK(INDIRECT("template!"&amp;"E"&amp;A365)),"",INDIRECT("template!"&amp;"E"&amp;A365)))</f>
        <v>#REF!</v>
      </c>
      <c r="I365" t="e" cm="1">
        <f t="array" aca="1" ref="I365" ca="1">IF(OR(A365="",B365="safety"),"",IF(ISBLANK(INDIRECT("template!"&amp;"F"&amp;A365)),"",INDIRECT("template!"&amp;"F"&amp;A365)))</f>
        <v>#REF!</v>
      </c>
      <c r="J365" t="e" cm="1">
        <f t="array" aca="1" ref="J365" ca="1">IF(OR(A365="",B365="safety"),"",IF(ISBLANK(INDIRECT("template!"&amp;"G"&amp;A365)),"",INDIRECT("template!"&amp;"G"&amp;A365)))</f>
        <v>#REF!</v>
      </c>
      <c r="K365" t="e" cm="1">
        <f t="array" aca="1" ref="K365" ca="1">IF(OR(A365="",B365="safety"),"",IF(ISBLANK(INDIRECT("template!"&amp;"H"&amp;A365)),"",INDIRECT("template!"&amp;"H"&amp;A365)))</f>
        <v>#REF!</v>
      </c>
      <c r="L365" t="e" cm="1">
        <f t="array" aca="1" ref="L365" ca="1">IF(OR(A365="",B365="safety"),"",INDIRECT("template!"&amp;"I"&amp;A365))</f>
        <v>#REF!</v>
      </c>
      <c r="M365" t="e" cm="1">
        <f t="array" aca="1" ref="M365" ca="1">IF(OR(A365="",B365="safety"),"",INDIRECT("template!"&amp;"J"&amp;A365))</f>
        <v>#REF!</v>
      </c>
      <c r="N365" t="e" cm="1">
        <f t="array" aca="1" ref="N365" ca="1">IF(OR(A365="",B365="safety"),"",IF(ISBLANK(INDIRECT("template!"&amp;"K"&amp;A365)),"",INDIRECT("template!"&amp;"K"&amp;A365)))</f>
        <v>#REF!</v>
      </c>
      <c r="O365" t="e" cm="1">
        <f t="array" aca="1" ref="O365" ca="1">IF(OR(A365="",B365="safety"),"",INDIRECT("template!"&amp;"L"&amp;A365))</f>
        <v>#REF!</v>
      </c>
      <c r="P365" t="e" cm="1">
        <f t="array" aca="1" ref="P365" ca="1">IF(OR(A365="",B365="safety"),"",INDIRECT("template!"&amp;"M"&amp;A365))</f>
        <v>#REF!</v>
      </c>
      <c r="Q365" t="e">
        <f t="shared" ca="1" si="28"/>
        <v>#REF!</v>
      </c>
      <c r="R365" t="e">
        <f t="shared" ca="1" si="29"/>
        <v>#REF!</v>
      </c>
      <c r="S365" t="e">
        <f t="shared" ca="1" si="30"/>
        <v>#REF!</v>
      </c>
      <c r="T365" t="e">
        <f t="shared" ca="1" si="31"/>
        <v>#REF!</v>
      </c>
      <c r="U365" t="e" cm="1">
        <f t="array" aca="1" ref="U365" ca="1">IF(A365="","",IF(E365="","",IF(B365="safety",INDIRECT("template!"&amp;"P"&amp;A365),Q365+R365)))</f>
        <v>#REF!</v>
      </c>
      <c r="V365" t="e" cm="1">
        <f t="array" aca="1" ref="V365" ca="1">IF(A365="","",IF(E365="","",IF(B365="safety",INDIRECT("template!"&amp;"P"&amp;A365),S365+T365)))</f>
        <v>#REF!</v>
      </c>
      <c r="W365" t="e">
        <f ca="1">IF(A365="","",IF(E365="","",#REF!))</f>
        <v>#REF!</v>
      </c>
      <c r="X365" t="e">
        <f ca="1">IF(A365="","",IF(E365="","",#REF!))</f>
        <v>#REF!</v>
      </c>
      <c r="Y365" s="39" t="e">
        <f ca="1">IF(A365="","",IF(E365="","",#REF!))</f>
        <v>#REF!</v>
      </c>
      <c r="Z365" t="e">
        <f ca="1">IF(A365="","",IF(E365="","",#REF!))</f>
        <v>#REF!</v>
      </c>
      <c r="AA365" t="e">
        <f ca="1">IF(A365="","",IF(E365="","",#REF!))</f>
        <v>#REF!</v>
      </c>
      <c r="AB365" t="e">
        <f ca="1">IF(A365="","",IF(E365="","",#REF!))</f>
        <v>#REF!</v>
      </c>
      <c r="AC365" t="e">
        <f t="shared" ca="1" si="32"/>
        <v>#REF!</v>
      </c>
    </row>
    <row r="366" spans="1:29" x14ac:dyDescent="0.35">
      <c r="A366" t="e" cm="1">
        <f t="array" aca="1" ref="A366" ca="1">IF(A365="","",IF(OR(AND(A365+1&gt;=$AF$1,A365+1&lt;=$AF$2),AND(A365+1&gt;=$AF$6,A365+1&lt;=$AF$7),AND(A365+1&gt;=$AF$3,A365+1&lt;=$AF$4),AND(A365+1&gt;=$AF$8,A365+1&lt;=$AF$9),A365+1=$AF$5),IF(NOT(ISBLANK(INDIRECT("template!"&amp;"P"&amp;A365+1))),A365+1,IF(NOT(ISBLANK(INDIRECT("template!"&amp;"P"&amp;A365+2))),A365+2,A365+3)),IF(A365=$AF$2,$AF$3,IF(A365=$AF$4,$AF$5,IF(A365=$AF$5,$AF$6,IF(A365=$AF$7,$AF$8,""))))))</f>
        <v>#REF!</v>
      </c>
      <c r="B366" t="e">
        <f t="shared" ca="1" si="27"/>
        <v>#REF!</v>
      </c>
      <c r="C366" t="e" cm="1">
        <f t="array" aca="1" ref="C366" ca="1">IF(A366="","",IF(B366="safety","safety costs",INDIRECT("template!"&amp;"B"&amp;A366)))</f>
        <v>#REF!</v>
      </c>
      <c r="D366" t="e" cm="1">
        <f t="array" aca="1" ref="D366" ca="1">IF(OR(A366="",B366="safety"),"",INDIRECT("template!"&amp;"C"&amp;A366))</f>
        <v>#REF!</v>
      </c>
      <c r="E366" t="e" cm="1">
        <f t="array" aca="1" ref="E366" ca="1">IF(A366="","",IF(OR(A366=A365+1,A366=A365+2),E365,INDIRECT("template!"&amp;"D"&amp;A366-2)))</f>
        <v>#REF!</v>
      </c>
      <c r="F366" t="e" cm="1">
        <f t="array" aca="1" ref="F366" ca="1">IF(OR(A366="",B366="safety"),"",IF(ISBLANK(IF(A366=A365+1,F365,INDIRECT("template!"&amp;"D"&amp;A366-1))),"",IF(A366=A365+1,F365,INDIRECT("template!"&amp;"D"&amp;A366-1))))</f>
        <v>#REF!</v>
      </c>
      <c r="G366" t="e" cm="1">
        <f t="array" aca="1" ref="G366" ca="1">IF(OR(A366="",B366="safety"),"",IF(ISBLANK(INDIRECT("template!"&amp;"D"&amp;A366)),"",INDIRECT("template!"&amp;"D"&amp;A366)))</f>
        <v>#REF!</v>
      </c>
      <c r="H366" t="e" cm="1">
        <f t="array" aca="1" ref="H366" ca="1">IF(OR(A366="",B366="safety"),"",IF(ISBLANK(INDIRECT("template!"&amp;"E"&amp;A366)),"",INDIRECT("template!"&amp;"E"&amp;A366)))</f>
        <v>#REF!</v>
      </c>
      <c r="I366" t="e" cm="1">
        <f t="array" aca="1" ref="I366" ca="1">IF(OR(A366="",B366="safety"),"",IF(ISBLANK(INDIRECT("template!"&amp;"F"&amp;A366)),"",INDIRECT("template!"&amp;"F"&amp;A366)))</f>
        <v>#REF!</v>
      </c>
      <c r="J366" t="e" cm="1">
        <f t="array" aca="1" ref="J366" ca="1">IF(OR(A366="",B366="safety"),"",IF(ISBLANK(INDIRECT("template!"&amp;"G"&amp;A366)),"",INDIRECT("template!"&amp;"G"&amp;A366)))</f>
        <v>#REF!</v>
      </c>
      <c r="K366" t="e" cm="1">
        <f t="array" aca="1" ref="K366" ca="1">IF(OR(A366="",B366="safety"),"",IF(ISBLANK(INDIRECT("template!"&amp;"H"&amp;A366)),"",INDIRECT("template!"&amp;"H"&amp;A366)))</f>
        <v>#REF!</v>
      </c>
      <c r="L366" t="e" cm="1">
        <f t="array" aca="1" ref="L366" ca="1">IF(OR(A366="",B366="safety"),"",INDIRECT("template!"&amp;"I"&amp;A366))</f>
        <v>#REF!</v>
      </c>
      <c r="M366" t="e" cm="1">
        <f t="array" aca="1" ref="M366" ca="1">IF(OR(A366="",B366="safety"),"",INDIRECT("template!"&amp;"J"&amp;A366))</f>
        <v>#REF!</v>
      </c>
      <c r="N366" t="e" cm="1">
        <f t="array" aca="1" ref="N366" ca="1">IF(OR(A366="",B366="safety"),"",IF(ISBLANK(INDIRECT("template!"&amp;"K"&amp;A366)),"",INDIRECT("template!"&amp;"K"&amp;A366)))</f>
        <v>#REF!</v>
      </c>
      <c r="O366" t="e" cm="1">
        <f t="array" aca="1" ref="O366" ca="1">IF(OR(A366="",B366="safety"),"",INDIRECT("template!"&amp;"L"&amp;A366))</f>
        <v>#REF!</v>
      </c>
      <c r="P366" t="e" cm="1">
        <f t="array" aca="1" ref="P366" ca="1">IF(OR(A366="",B366="safety"),"",INDIRECT("template!"&amp;"M"&amp;A366))</f>
        <v>#REF!</v>
      </c>
      <c r="Q366" t="e">
        <f t="shared" ca="1" si="28"/>
        <v>#REF!</v>
      </c>
      <c r="R366" t="e">
        <f t="shared" ca="1" si="29"/>
        <v>#REF!</v>
      </c>
      <c r="S366" t="e">
        <f t="shared" ca="1" si="30"/>
        <v>#REF!</v>
      </c>
      <c r="T366" t="e">
        <f t="shared" ca="1" si="31"/>
        <v>#REF!</v>
      </c>
      <c r="U366" t="e" cm="1">
        <f t="array" aca="1" ref="U366" ca="1">IF(A366="","",IF(E366="","",IF(B366="safety",INDIRECT("template!"&amp;"P"&amp;A366),Q366+R366)))</f>
        <v>#REF!</v>
      </c>
      <c r="V366" t="e" cm="1">
        <f t="array" aca="1" ref="V366" ca="1">IF(A366="","",IF(E366="","",IF(B366="safety",INDIRECT("template!"&amp;"P"&amp;A366),S366+T366)))</f>
        <v>#REF!</v>
      </c>
      <c r="W366" t="e">
        <f ca="1">IF(A366="","",IF(E366="","",#REF!))</f>
        <v>#REF!</v>
      </c>
      <c r="X366" t="e">
        <f ca="1">IF(A366="","",IF(E366="","",#REF!))</f>
        <v>#REF!</v>
      </c>
      <c r="Y366" s="39" t="e">
        <f ca="1">IF(A366="","",IF(E366="","",#REF!))</f>
        <v>#REF!</v>
      </c>
      <c r="Z366" t="e">
        <f ca="1">IF(A366="","",IF(E366="","",#REF!))</f>
        <v>#REF!</v>
      </c>
      <c r="AA366" t="e">
        <f ca="1">IF(A366="","",IF(E366="","",#REF!))</f>
        <v>#REF!</v>
      </c>
      <c r="AB366" t="e">
        <f ca="1">IF(A366="","",IF(E366="","",#REF!))</f>
        <v>#REF!</v>
      </c>
      <c r="AC366" t="e">
        <f t="shared" ca="1" si="32"/>
        <v>#REF!</v>
      </c>
    </row>
    <row r="367" spans="1:29" x14ac:dyDescent="0.35">
      <c r="A367" t="e" cm="1">
        <f t="array" aca="1" ref="A367" ca="1">IF(A366="","",IF(OR(AND(A366+1&gt;=$AF$1,A366+1&lt;=$AF$2),AND(A366+1&gt;=$AF$6,A366+1&lt;=$AF$7),AND(A366+1&gt;=$AF$3,A366+1&lt;=$AF$4),AND(A366+1&gt;=$AF$8,A366+1&lt;=$AF$9),A366+1=$AF$5),IF(NOT(ISBLANK(INDIRECT("template!"&amp;"P"&amp;A366+1))),A366+1,IF(NOT(ISBLANK(INDIRECT("template!"&amp;"P"&amp;A366+2))),A366+2,A366+3)),IF(A366=$AF$2,$AF$3,IF(A366=$AF$4,$AF$5,IF(A366=$AF$5,$AF$6,IF(A366=$AF$7,$AF$8,""))))))</f>
        <v>#REF!</v>
      </c>
      <c r="B367" t="e">
        <f t="shared" ca="1" si="27"/>
        <v>#REF!</v>
      </c>
      <c r="C367" t="e" cm="1">
        <f t="array" aca="1" ref="C367" ca="1">IF(A367="","",IF(B367="safety","safety costs",INDIRECT("template!"&amp;"B"&amp;A367)))</f>
        <v>#REF!</v>
      </c>
      <c r="D367" t="e" cm="1">
        <f t="array" aca="1" ref="D367" ca="1">IF(OR(A367="",B367="safety"),"",INDIRECT("template!"&amp;"C"&amp;A367))</f>
        <v>#REF!</v>
      </c>
      <c r="E367" t="e" cm="1">
        <f t="array" aca="1" ref="E367" ca="1">IF(A367="","",IF(OR(A367=A366+1,A367=A366+2),E366,INDIRECT("template!"&amp;"D"&amp;A367-2)))</f>
        <v>#REF!</v>
      </c>
      <c r="F367" t="e" cm="1">
        <f t="array" aca="1" ref="F367" ca="1">IF(OR(A367="",B367="safety"),"",IF(ISBLANK(IF(A367=A366+1,F366,INDIRECT("template!"&amp;"D"&amp;A367-1))),"",IF(A367=A366+1,F366,INDIRECT("template!"&amp;"D"&amp;A367-1))))</f>
        <v>#REF!</v>
      </c>
      <c r="G367" t="e" cm="1">
        <f t="array" aca="1" ref="G367" ca="1">IF(OR(A367="",B367="safety"),"",IF(ISBLANK(INDIRECT("template!"&amp;"D"&amp;A367)),"",INDIRECT("template!"&amp;"D"&amp;A367)))</f>
        <v>#REF!</v>
      </c>
      <c r="H367" t="e" cm="1">
        <f t="array" aca="1" ref="H367" ca="1">IF(OR(A367="",B367="safety"),"",IF(ISBLANK(INDIRECT("template!"&amp;"E"&amp;A367)),"",INDIRECT("template!"&amp;"E"&amp;A367)))</f>
        <v>#REF!</v>
      </c>
      <c r="I367" t="e" cm="1">
        <f t="array" aca="1" ref="I367" ca="1">IF(OR(A367="",B367="safety"),"",IF(ISBLANK(INDIRECT("template!"&amp;"F"&amp;A367)),"",INDIRECT("template!"&amp;"F"&amp;A367)))</f>
        <v>#REF!</v>
      </c>
      <c r="J367" t="e" cm="1">
        <f t="array" aca="1" ref="J367" ca="1">IF(OR(A367="",B367="safety"),"",IF(ISBLANK(INDIRECT("template!"&amp;"G"&amp;A367)),"",INDIRECT("template!"&amp;"G"&amp;A367)))</f>
        <v>#REF!</v>
      </c>
      <c r="K367" t="e" cm="1">
        <f t="array" aca="1" ref="K367" ca="1">IF(OR(A367="",B367="safety"),"",IF(ISBLANK(INDIRECT("template!"&amp;"H"&amp;A367)),"",INDIRECT("template!"&amp;"H"&amp;A367)))</f>
        <v>#REF!</v>
      </c>
      <c r="L367" t="e" cm="1">
        <f t="array" aca="1" ref="L367" ca="1">IF(OR(A367="",B367="safety"),"",INDIRECT("template!"&amp;"I"&amp;A367))</f>
        <v>#REF!</v>
      </c>
      <c r="M367" t="e" cm="1">
        <f t="array" aca="1" ref="M367" ca="1">IF(OR(A367="",B367="safety"),"",INDIRECT("template!"&amp;"J"&amp;A367))</f>
        <v>#REF!</v>
      </c>
      <c r="N367" t="e" cm="1">
        <f t="array" aca="1" ref="N367" ca="1">IF(OR(A367="",B367="safety"),"",IF(ISBLANK(INDIRECT("template!"&amp;"K"&amp;A367)),"",INDIRECT("template!"&amp;"K"&amp;A367)))</f>
        <v>#REF!</v>
      </c>
      <c r="O367" t="e" cm="1">
        <f t="array" aca="1" ref="O367" ca="1">IF(OR(A367="",B367="safety"),"",INDIRECT("template!"&amp;"L"&amp;A367))</f>
        <v>#REF!</v>
      </c>
      <c r="P367" t="e" cm="1">
        <f t="array" aca="1" ref="P367" ca="1">IF(OR(A367="",B367="safety"),"",INDIRECT("template!"&amp;"M"&amp;A367))</f>
        <v>#REF!</v>
      </c>
      <c r="Q367" t="e">
        <f t="shared" ca="1" si="28"/>
        <v>#REF!</v>
      </c>
      <c r="R367" t="e">
        <f t="shared" ca="1" si="29"/>
        <v>#REF!</v>
      </c>
      <c r="S367" t="e">
        <f t="shared" ca="1" si="30"/>
        <v>#REF!</v>
      </c>
      <c r="T367" t="e">
        <f t="shared" ca="1" si="31"/>
        <v>#REF!</v>
      </c>
      <c r="U367" t="e" cm="1">
        <f t="array" aca="1" ref="U367" ca="1">IF(A367="","",IF(E367="","",IF(B367="safety",INDIRECT("template!"&amp;"P"&amp;A367),Q367+R367)))</f>
        <v>#REF!</v>
      </c>
      <c r="V367" t="e" cm="1">
        <f t="array" aca="1" ref="V367" ca="1">IF(A367="","",IF(E367="","",IF(B367="safety",INDIRECT("template!"&amp;"P"&amp;A367),S367+T367)))</f>
        <v>#REF!</v>
      </c>
      <c r="W367" t="e">
        <f ca="1">IF(A367="","",IF(E367="","",#REF!))</f>
        <v>#REF!</v>
      </c>
      <c r="X367" t="e">
        <f ca="1">IF(A367="","",IF(E367="","",#REF!))</f>
        <v>#REF!</v>
      </c>
      <c r="Y367" s="39" t="e">
        <f ca="1">IF(A367="","",IF(E367="","",#REF!))</f>
        <v>#REF!</v>
      </c>
      <c r="Z367" t="e">
        <f ca="1">IF(A367="","",IF(E367="","",#REF!))</f>
        <v>#REF!</v>
      </c>
      <c r="AA367" t="e">
        <f ca="1">IF(A367="","",IF(E367="","",#REF!))</f>
        <v>#REF!</v>
      </c>
      <c r="AB367" t="e">
        <f ca="1">IF(A367="","",IF(E367="","",#REF!))</f>
        <v>#REF!</v>
      </c>
      <c r="AC367" t="e">
        <f t="shared" ca="1" si="32"/>
        <v>#REF!</v>
      </c>
    </row>
    <row r="368" spans="1:29" x14ac:dyDescent="0.35">
      <c r="A368" t="e" cm="1">
        <f t="array" aca="1" ref="A368" ca="1">IF(A367="","",IF(OR(AND(A367+1&gt;=$AF$1,A367+1&lt;=$AF$2),AND(A367+1&gt;=$AF$6,A367+1&lt;=$AF$7),AND(A367+1&gt;=$AF$3,A367+1&lt;=$AF$4),AND(A367+1&gt;=$AF$8,A367+1&lt;=$AF$9),A367+1=$AF$5),IF(NOT(ISBLANK(INDIRECT("template!"&amp;"P"&amp;A367+1))),A367+1,IF(NOT(ISBLANK(INDIRECT("template!"&amp;"P"&amp;A367+2))),A367+2,A367+3)),IF(A367=$AF$2,$AF$3,IF(A367=$AF$4,$AF$5,IF(A367=$AF$5,$AF$6,IF(A367=$AF$7,$AF$8,""))))))</f>
        <v>#REF!</v>
      </c>
      <c r="B368" t="e">
        <f t="shared" ca="1" si="27"/>
        <v>#REF!</v>
      </c>
      <c r="C368" t="e" cm="1">
        <f t="array" aca="1" ref="C368" ca="1">IF(A368="","",IF(B368="safety","safety costs",INDIRECT("template!"&amp;"B"&amp;A368)))</f>
        <v>#REF!</v>
      </c>
      <c r="D368" t="e" cm="1">
        <f t="array" aca="1" ref="D368" ca="1">IF(OR(A368="",B368="safety"),"",INDIRECT("template!"&amp;"C"&amp;A368))</f>
        <v>#REF!</v>
      </c>
      <c r="E368" t="e" cm="1">
        <f t="array" aca="1" ref="E368" ca="1">IF(A368="","",IF(OR(A368=A367+1,A368=A367+2),E367,INDIRECT("template!"&amp;"D"&amp;A368-2)))</f>
        <v>#REF!</v>
      </c>
      <c r="F368" t="e" cm="1">
        <f t="array" aca="1" ref="F368" ca="1">IF(OR(A368="",B368="safety"),"",IF(ISBLANK(IF(A368=A367+1,F367,INDIRECT("template!"&amp;"D"&amp;A368-1))),"",IF(A368=A367+1,F367,INDIRECT("template!"&amp;"D"&amp;A368-1))))</f>
        <v>#REF!</v>
      </c>
      <c r="G368" t="e" cm="1">
        <f t="array" aca="1" ref="G368" ca="1">IF(OR(A368="",B368="safety"),"",IF(ISBLANK(INDIRECT("template!"&amp;"D"&amp;A368)),"",INDIRECT("template!"&amp;"D"&amp;A368)))</f>
        <v>#REF!</v>
      </c>
      <c r="H368" t="e" cm="1">
        <f t="array" aca="1" ref="H368" ca="1">IF(OR(A368="",B368="safety"),"",IF(ISBLANK(INDIRECT("template!"&amp;"E"&amp;A368)),"",INDIRECT("template!"&amp;"E"&amp;A368)))</f>
        <v>#REF!</v>
      </c>
      <c r="I368" t="e" cm="1">
        <f t="array" aca="1" ref="I368" ca="1">IF(OR(A368="",B368="safety"),"",IF(ISBLANK(INDIRECT("template!"&amp;"F"&amp;A368)),"",INDIRECT("template!"&amp;"F"&amp;A368)))</f>
        <v>#REF!</v>
      </c>
      <c r="J368" t="e" cm="1">
        <f t="array" aca="1" ref="J368" ca="1">IF(OR(A368="",B368="safety"),"",IF(ISBLANK(INDIRECT("template!"&amp;"G"&amp;A368)),"",INDIRECT("template!"&amp;"G"&amp;A368)))</f>
        <v>#REF!</v>
      </c>
      <c r="K368" t="e" cm="1">
        <f t="array" aca="1" ref="K368" ca="1">IF(OR(A368="",B368="safety"),"",IF(ISBLANK(INDIRECT("template!"&amp;"H"&amp;A368)),"",INDIRECT("template!"&amp;"H"&amp;A368)))</f>
        <v>#REF!</v>
      </c>
      <c r="L368" t="e" cm="1">
        <f t="array" aca="1" ref="L368" ca="1">IF(OR(A368="",B368="safety"),"",INDIRECT("template!"&amp;"I"&amp;A368))</f>
        <v>#REF!</v>
      </c>
      <c r="M368" t="e" cm="1">
        <f t="array" aca="1" ref="M368" ca="1">IF(OR(A368="",B368="safety"),"",INDIRECT("template!"&amp;"J"&amp;A368))</f>
        <v>#REF!</v>
      </c>
      <c r="N368" t="e" cm="1">
        <f t="array" aca="1" ref="N368" ca="1">IF(OR(A368="",B368="safety"),"",IF(ISBLANK(INDIRECT("template!"&amp;"K"&amp;A368)),"",INDIRECT("template!"&amp;"K"&amp;A368)))</f>
        <v>#REF!</v>
      </c>
      <c r="O368" t="e" cm="1">
        <f t="array" aca="1" ref="O368" ca="1">IF(OR(A368="",B368="safety"),"",INDIRECT("template!"&amp;"L"&amp;A368))</f>
        <v>#REF!</v>
      </c>
      <c r="P368" t="e" cm="1">
        <f t="array" aca="1" ref="P368" ca="1">IF(OR(A368="",B368="safety"),"",INDIRECT("template!"&amp;"M"&amp;A368))</f>
        <v>#REF!</v>
      </c>
      <c r="Q368" t="e">
        <f t="shared" ca="1" si="28"/>
        <v>#REF!</v>
      </c>
      <c r="R368" t="e">
        <f t="shared" ca="1" si="29"/>
        <v>#REF!</v>
      </c>
      <c r="S368" t="e">
        <f t="shared" ca="1" si="30"/>
        <v>#REF!</v>
      </c>
      <c r="T368" t="e">
        <f t="shared" ca="1" si="31"/>
        <v>#REF!</v>
      </c>
      <c r="U368" t="e" cm="1">
        <f t="array" aca="1" ref="U368" ca="1">IF(A368="","",IF(E368="","",IF(B368="safety",INDIRECT("template!"&amp;"P"&amp;A368),Q368+R368)))</f>
        <v>#REF!</v>
      </c>
      <c r="V368" t="e" cm="1">
        <f t="array" aca="1" ref="V368" ca="1">IF(A368="","",IF(E368="","",IF(B368="safety",INDIRECT("template!"&amp;"P"&amp;A368),S368+T368)))</f>
        <v>#REF!</v>
      </c>
      <c r="W368" t="e">
        <f ca="1">IF(A368="","",IF(E368="","",#REF!))</f>
        <v>#REF!</v>
      </c>
      <c r="X368" t="e">
        <f ca="1">IF(A368="","",IF(E368="","",#REF!))</f>
        <v>#REF!</v>
      </c>
      <c r="Y368" s="39" t="e">
        <f ca="1">IF(A368="","",IF(E368="","",#REF!))</f>
        <v>#REF!</v>
      </c>
      <c r="Z368" t="e">
        <f ca="1">IF(A368="","",IF(E368="","",#REF!))</f>
        <v>#REF!</v>
      </c>
      <c r="AA368" t="e">
        <f ca="1">IF(A368="","",IF(E368="","",#REF!))</f>
        <v>#REF!</v>
      </c>
      <c r="AB368" t="e">
        <f ca="1">IF(A368="","",IF(E368="","",#REF!))</f>
        <v>#REF!</v>
      </c>
      <c r="AC368" t="e">
        <f t="shared" ca="1" si="32"/>
        <v>#REF!</v>
      </c>
    </row>
    <row r="369" spans="1:29" x14ac:dyDescent="0.35">
      <c r="A369" t="e" cm="1">
        <f t="array" aca="1" ref="A369" ca="1">IF(A368="","",IF(OR(AND(A368+1&gt;=$AF$1,A368+1&lt;=$AF$2),AND(A368+1&gt;=$AF$6,A368+1&lt;=$AF$7),AND(A368+1&gt;=$AF$3,A368+1&lt;=$AF$4),AND(A368+1&gt;=$AF$8,A368+1&lt;=$AF$9),A368+1=$AF$5),IF(NOT(ISBLANK(INDIRECT("template!"&amp;"P"&amp;A368+1))),A368+1,IF(NOT(ISBLANK(INDIRECT("template!"&amp;"P"&amp;A368+2))),A368+2,A368+3)),IF(A368=$AF$2,$AF$3,IF(A368=$AF$4,$AF$5,IF(A368=$AF$5,$AF$6,IF(A368=$AF$7,$AF$8,""))))))</f>
        <v>#REF!</v>
      </c>
      <c r="B369" t="e">
        <f t="shared" ca="1" si="27"/>
        <v>#REF!</v>
      </c>
      <c r="C369" t="e" cm="1">
        <f t="array" aca="1" ref="C369" ca="1">IF(A369="","",IF(B369="safety","safety costs",INDIRECT("template!"&amp;"B"&amp;A369)))</f>
        <v>#REF!</v>
      </c>
      <c r="D369" t="e" cm="1">
        <f t="array" aca="1" ref="D369" ca="1">IF(OR(A369="",B369="safety"),"",INDIRECT("template!"&amp;"C"&amp;A369))</f>
        <v>#REF!</v>
      </c>
      <c r="E369" t="e" cm="1">
        <f t="array" aca="1" ref="E369" ca="1">IF(A369="","",IF(OR(A369=A368+1,A369=A368+2),E368,INDIRECT("template!"&amp;"D"&amp;A369-2)))</f>
        <v>#REF!</v>
      </c>
      <c r="F369" t="e" cm="1">
        <f t="array" aca="1" ref="F369" ca="1">IF(OR(A369="",B369="safety"),"",IF(ISBLANK(IF(A369=A368+1,F368,INDIRECT("template!"&amp;"D"&amp;A369-1))),"",IF(A369=A368+1,F368,INDIRECT("template!"&amp;"D"&amp;A369-1))))</f>
        <v>#REF!</v>
      </c>
      <c r="G369" t="e" cm="1">
        <f t="array" aca="1" ref="G369" ca="1">IF(OR(A369="",B369="safety"),"",IF(ISBLANK(INDIRECT("template!"&amp;"D"&amp;A369)),"",INDIRECT("template!"&amp;"D"&amp;A369)))</f>
        <v>#REF!</v>
      </c>
      <c r="H369" t="e" cm="1">
        <f t="array" aca="1" ref="H369" ca="1">IF(OR(A369="",B369="safety"),"",IF(ISBLANK(INDIRECT("template!"&amp;"E"&amp;A369)),"",INDIRECT("template!"&amp;"E"&amp;A369)))</f>
        <v>#REF!</v>
      </c>
      <c r="I369" t="e" cm="1">
        <f t="array" aca="1" ref="I369" ca="1">IF(OR(A369="",B369="safety"),"",IF(ISBLANK(INDIRECT("template!"&amp;"F"&amp;A369)),"",INDIRECT("template!"&amp;"F"&amp;A369)))</f>
        <v>#REF!</v>
      </c>
      <c r="J369" t="e" cm="1">
        <f t="array" aca="1" ref="J369" ca="1">IF(OR(A369="",B369="safety"),"",IF(ISBLANK(INDIRECT("template!"&amp;"G"&amp;A369)),"",INDIRECT("template!"&amp;"G"&amp;A369)))</f>
        <v>#REF!</v>
      </c>
      <c r="K369" t="e" cm="1">
        <f t="array" aca="1" ref="K369" ca="1">IF(OR(A369="",B369="safety"),"",IF(ISBLANK(INDIRECT("template!"&amp;"H"&amp;A369)),"",INDIRECT("template!"&amp;"H"&amp;A369)))</f>
        <v>#REF!</v>
      </c>
      <c r="L369" t="e" cm="1">
        <f t="array" aca="1" ref="L369" ca="1">IF(OR(A369="",B369="safety"),"",INDIRECT("template!"&amp;"I"&amp;A369))</f>
        <v>#REF!</v>
      </c>
      <c r="M369" t="e" cm="1">
        <f t="array" aca="1" ref="M369" ca="1">IF(OR(A369="",B369="safety"),"",INDIRECT("template!"&amp;"J"&amp;A369))</f>
        <v>#REF!</v>
      </c>
      <c r="N369" t="e" cm="1">
        <f t="array" aca="1" ref="N369" ca="1">IF(OR(A369="",B369="safety"),"",IF(ISBLANK(INDIRECT("template!"&amp;"K"&amp;A369)),"",INDIRECT("template!"&amp;"K"&amp;A369)))</f>
        <v>#REF!</v>
      </c>
      <c r="O369" t="e" cm="1">
        <f t="array" aca="1" ref="O369" ca="1">IF(OR(A369="",B369="safety"),"",INDIRECT("template!"&amp;"L"&amp;A369))</f>
        <v>#REF!</v>
      </c>
      <c r="P369" t="e" cm="1">
        <f t="array" aca="1" ref="P369" ca="1">IF(OR(A369="",B369="safety"),"",INDIRECT("template!"&amp;"M"&amp;A369))</f>
        <v>#REF!</v>
      </c>
      <c r="Q369" t="e">
        <f t="shared" ca="1" si="28"/>
        <v>#REF!</v>
      </c>
      <c r="R369" t="e">
        <f t="shared" ca="1" si="29"/>
        <v>#REF!</v>
      </c>
      <c r="S369" t="e">
        <f t="shared" ca="1" si="30"/>
        <v>#REF!</v>
      </c>
      <c r="T369" t="e">
        <f t="shared" ca="1" si="31"/>
        <v>#REF!</v>
      </c>
      <c r="U369" t="e" cm="1">
        <f t="array" aca="1" ref="U369" ca="1">IF(A369="","",IF(E369="","",IF(B369="safety",INDIRECT("template!"&amp;"P"&amp;A369),Q369+R369)))</f>
        <v>#REF!</v>
      </c>
      <c r="V369" t="e" cm="1">
        <f t="array" aca="1" ref="V369" ca="1">IF(A369="","",IF(E369="","",IF(B369="safety",INDIRECT("template!"&amp;"P"&amp;A369),S369+T369)))</f>
        <v>#REF!</v>
      </c>
      <c r="W369" t="e">
        <f ca="1">IF(A369="","",IF(E369="","",#REF!))</f>
        <v>#REF!</v>
      </c>
      <c r="X369" t="e">
        <f ca="1">IF(A369="","",IF(E369="","",#REF!))</f>
        <v>#REF!</v>
      </c>
      <c r="Y369" s="39" t="e">
        <f ca="1">IF(A369="","",IF(E369="","",#REF!))</f>
        <v>#REF!</v>
      </c>
      <c r="Z369" t="e">
        <f ca="1">IF(A369="","",IF(E369="","",#REF!))</f>
        <v>#REF!</v>
      </c>
      <c r="AA369" t="e">
        <f ca="1">IF(A369="","",IF(E369="","",#REF!))</f>
        <v>#REF!</v>
      </c>
      <c r="AB369" t="e">
        <f ca="1">IF(A369="","",IF(E369="","",#REF!))</f>
        <v>#REF!</v>
      </c>
      <c r="AC369" t="e">
        <f t="shared" ca="1" si="32"/>
        <v>#REF!</v>
      </c>
    </row>
    <row r="370" spans="1:29" x14ac:dyDescent="0.35">
      <c r="A370" t="e" cm="1">
        <f t="array" aca="1" ref="A370" ca="1">IF(A369="","",IF(OR(AND(A369+1&gt;=$AF$1,A369+1&lt;=$AF$2),AND(A369+1&gt;=$AF$6,A369+1&lt;=$AF$7),AND(A369+1&gt;=$AF$3,A369+1&lt;=$AF$4),AND(A369+1&gt;=$AF$8,A369+1&lt;=$AF$9),A369+1=$AF$5),IF(NOT(ISBLANK(INDIRECT("template!"&amp;"P"&amp;A369+1))),A369+1,IF(NOT(ISBLANK(INDIRECT("template!"&amp;"P"&amp;A369+2))),A369+2,A369+3)),IF(A369=$AF$2,$AF$3,IF(A369=$AF$4,$AF$5,IF(A369=$AF$5,$AF$6,IF(A369=$AF$7,$AF$8,""))))))</f>
        <v>#REF!</v>
      </c>
      <c r="B370" t="e">
        <f t="shared" ca="1" si="27"/>
        <v>#REF!</v>
      </c>
      <c r="C370" t="e" cm="1">
        <f t="array" aca="1" ref="C370" ca="1">IF(A370="","",IF(B370="safety","safety costs",INDIRECT("template!"&amp;"B"&amp;A370)))</f>
        <v>#REF!</v>
      </c>
      <c r="D370" t="e" cm="1">
        <f t="array" aca="1" ref="D370" ca="1">IF(OR(A370="",B370="safety"),"",INDIRECT("template!"&amp;"C"&amp;A370))</f>
        <v>#REF!</v>
      </c>
      <c r="E370" t="e" cm="1">
        <f t="array" aca="1" ref="E370" ca="1">IF(A370="","",IF(OR(A370=A369+1,A370=A369+2),E369,INDIRECT("template!"&amp;"D"&amp;A370-2)))</f>
        <v>#REF!</v>
      </c>
      <c r="F370" t="e" cm="1">
        <f t="array" aca="1" ref="F370" ca="1">IF(OR(A370="",B370="safety"),"",IF(ISBLANK(IF(A370=A369+1,F369,INDIRECT("template!"&amp;"D"&amp;A370-1))),"",IF(A370=A369+1,F369,INDIRECT("template!"&amp;"D"&amp;A370-1))))</f>
        <v>#REF!</v>
      </c>
      <c r="G370" t="e" cm="1">
        <f t="array" aca="1" ref="G370" ca="1">IF(OR(A370="",B370="safety"),"",IF(ISBLANK(INDIRECT("template!"&amp;"D"&amp;A370)),"",INDIRECT("template!"&amp;"D"&amp;A370)))</f>
        <v>#REF!</v>
      </c>
      <c r="H370" t="e" cm="1">
        <f t="array" aca="1" ref="H370" ca="1">IF(OR(A370="",B370="safety"),"",IF(ISBLANK(INDIRECT("template!"&amp;"E"&amp;A370)),"",INDIRECT("template!"&amp;"E"&amp;A370)))</f>
        <v>#REF!</v>
      </c>
      <c r="I370" t="e" cm="1">
        <f t="array" aca="1" ref="I370" ca="1">IF(OR(A370="",B370="safety"),"",IF(ISBLANK(INDIRECT("template!"&amp;"F"&amp;A370)),"",INDIRECT("template!"&amp;"F"&amp;A370)))</f>
        <v>#REF!</v>
      </c>
      <c r="J370" t="e" cm="1">
        <f t="array" aca="1" ref="J370" ca="1">IF(OR(A370="",B370="safety"),"",IF(ISBLANK(INDIRECT("template!"&amp;"G"&amp;A370)),"",INDIRECT("template!"&amp;"G"&amp;A370)))</f>
        <v>#REF!</v>
      </c>
      <c r="K370" t="e" cm="1">
        <f t="array" aca="1" ref="K370" ca="1">IF(OR(A370="",B370="safety"),"",IF(ISBLANK(INDIRECT("template!"&amp;"H"&amp;A370)),"",INDIRECT("template!"&amp;"H"&amp;A370)))</f>
        <v>#REF!</v>
      </c>
      <c r="L370" t="e" cm="1">
        <f t="array" aca="1" ref="L370" ca="1">IF(OR(A370="",B370="safety"),"",INDIRECT("template!"&amp;"I"&amp;A370))</f>
        <v>#REF!</v>
      </c>
      <c r="M370" t="e" cm="1">
        <f t="array" aca="1" ref="M370" ca="1">IF(OR(A370="",B370="safety"),"",INDIRECT("template!"&amp;"J"&amp;A370))</f>
        <v>#REF!</v>
      </c>
      <c r="N370" t="e" cm="1">
        <f t="array" aca="1" ref="N370" ca="1">IF(OR(A370="",B370="safety"),"",IF(ISBLANK(INDIRECT("template!"&amp;"K"&amp;A370)),"",INDIRECT("template!"&amp;"K"&amp;A370)))</f>
        <v>#REF!</v>
      </c>
      <c r="O370" t="e" cm="1">
        <f t="array" aca="1" ref="O370" ca="1">IF(OR(A370="",B370="safety"),"",INDIRECT("template!"&amp;"L"&amp;A370))</f>
        <v>#REF!</v>
      </c>
      <c r="P370" t="e" cm="1">
        <f t="array" aca="1" ref="P370" ca="1">IF(OR(A370="",B370="safety"),"",INDIRECT("template!"&amp;"M"&amp;A370))</f>
        <v>#REF!</v>
      </c>
      <c r="Q370" t="e">
        <f t="shared" ca="1" si="28"/>
        <v>#REF!</v>
      </c>
      <c r="R370" t="e">
        <f t="shared" ca="1" si="29"/>
        <v>#REF!</v>
      </c>
      <c r="S370" t="e">
        <f t="shared" ca="1" si="30"/>
        <v>#REF!</v>
      </c>
      <c r="T370" t="e">
        <f t="shared" ca="1" si="31"/>
        <v>#REF!</v>
      </c>
      <c r="U370" t="e" cm="1">
        <f t="array" aca="1" ref="U370" ca="1">IF(A370="","",IF(E370="","",IF(B370="safety",INDIRECT("template!"&amp;"P"&amp;A370),Q370+R370)))</f>
        <v>#REF!</v>
      </c>
      <c r="V370" t="e" cm="1">
        <f t="array" aca="1" ref="V370" ca="1">IF(A370="","",IF(E370="","",IF(B370="safety",INDIRECT("template!"&amp;"P"&amp;A370),S370+T370)))</f>
        <v>#REF!</v>
      </c>
      <c r="W370" t="e">
        <f ca="1">IF(A370="","",IF(E370="","",#REF!))</f>
        <v>#REF!</v>
      </c>
      <c r="X370" t="e">
        <f ca="1">IF(A370="","",IF(E370="","",#REF!))</f>
        <v>#REF!</v>
      </c>
      <c r="Y370" s="39" t="e">
        <f ca="1">IF(A370="","",IF(E370="","",#REF!))</f>
        <v>#REF!</v>
      </c>
      <c r="Z370" t="e">
        <f ca="1">IF(A370="","",IF(E370="","",#REF!))</f>
        <v>#REF!</v>
      </c>
      <c r="AA370" t="e">
        <f ca="1">IF(A370="","",IF(E370="","",#REF!))</f>
        <v>#REF!</v>
      </c>
      <c r="AB370" t="e">
        <f ca="1">IF(A370="","",IF(E370="","",#REF!))</f>
        <v>#REF!</v>
      </c>
      <c r="AC370" t="e">
        <f t="shared" ca="1" si="32"/>
        <v>#REF!</v>
      </c>
    </row>
    <row r="371" spans="1:29" x14ac:dyDescent="0.35">
      <c r="A371" t="e" cm="1">
        <f t="array" aca="1" ref="A371" ca="1">IF(A370="","",IF(OR(AND(A370+1&gt;=$AF$1,A370+1&lt;=$AF$2),AND(A370+1&gt;=$AF$6,A370+1&lt;=$AF$7),AND(A370+1&gt;=$AF$3,A370+1&lt;=$AF$4),AND(A370+1&gt;=$AF$8,A370+1&lt;=$AF$9),A370+1=$AF$5),IF(NOT(ISBLANK(INDIRECT("template!"&amp;"P"&amp;A370+1))),A370+1,IF(NOT(ISBLANK(INDIRECT("template!"&amp;"P"&amp;A370+2))),A370+2,A370+3)),IF(A370=$AF$2,$AF$3,IF(A370=$AF$4,$AF$5,IF(A370=$AF$5,$AF$6,IF(A370=$AF$7,$AF$8,""))))))</f>
        <v>#REF!</v>
      </c>
      <c r="B371" t="e">
        <f t="shared" ca="1" si="27"/>
        <v>#REF!</v>
      </c>
      <c r="C371" t="e" cm="1">
        <f t="array" aca="1" ref="C371" ca="1">IF(A371="","",IF(B371="safety","safety costs",INDIRECT("template!"&amp;"B"&amp;A371)))</f>
        <v>#REF!</v>
      </c>
      <c r="D371" t="e" cm="1">
        <f t="array" aca="1" ref="D371" ca="1">IF(OR(A371="",B371="safety"),"",INDIRECT("template!"&amp;"C"&amp;A371))</f>
        <v>#REF!</v>
      </c>
      <c r="E371" t="e" cm="1">
        <f t="array" aca="1" ref="E371" ca="1">IF(A371="","",IF(OR(A371=A370+1,A371=A370+2),E370,INDIRECT("template!"&amp;"D"&amp;A371-2)))</f>
        <v>#REF!</v>
      </c>
      <c r="F371" t="e" cm="1">
        <f t="array" aca="1" ref="F371" ca="1">IF(OR(A371="",B371="safety"),"",IF(ISBLANK(IF(A371=A370+1,F370,INDIRECT("template!"&amp;"D"&amp;A371-1))),"",IF(A371=A370+1,F370,INDIRECT("template!"&amp;"D"&amp;A371-1))))</f>
        <v>#REF!</v>
      </c>
      <c r="G371" t="e" cm="1">
        <f t="array" aca="1" ref="G371" ca="1">IF(OR(A371="",B371="safety"),"",IF(ISBLANK(INDIRECT("template!"&amp;"D"&amp;A371)),"",INDIRECT("template!"&amp;"D"&amp;A371)))</f>
        <v>#REF!</v>
      </c>
      <c r="H371" t="e" cm="1">
        <f t="array" aca="1" ref="H371" ca="1">IF(OR(A371="",B371="safety"),"",IF(ISBLANK(INDIRECT("template!"&amp;"E"&amp;A371)),"",INDIRECT("template!"&amp;"E"&amp;A371)))</f>
        <v>#REF!</v>
      </c>
      <c r="I371" t="e" cm="1">
        <f t="array" aca="1" ref="I371" ca="1">IF(OR(A371="",B371="safety"),"",IF(ISBLANK(INDIRECT("template!"&amp;"F"&amp;A371)),"",INDIRECT("template!"&amp;"F"&amp;A371)))</f>
        <v>#REF!</v>
      </c>
      <c r="J371" t="e" cm="1">
        <f t="array" aca="1" ref="J371" ca="1">IF(OR(A371="",B371="safety"),"",IF(ISBLANK(INDIRECT("template!"&amp;"G"&amp;A371)),"",INDIRECT("template!"&amp;"G"&amp;A371)))</f>
        <v>#REF!</v>
      </c>
      <c r="K371" t="e" cm="1">
        <f t="array" aca="1" ref="K371" ca="1">IF(OR(A371="",B371="safety"),"",IF(ISBLANK(INDIRECT("template!"&amp;"H"&amp;A371)),"",INDIRECT("template!"&amp;"H"&amp;A371)))</f>
        <v>#REF!</v>
      </c>
      <c r="L371" t="e" cm="1">
        <f t="array" aca="1" ref="L371" ca="1">IF(OR(A371="",B371="safety"),"",INDIRECT("template!"&amp;"I"&amp;A371))</f>
        <v>#REF!</v>
      </c>
      <c r="M371" t="e" cm="1">
        <f t="array" aca="1" ref="M371" ca="1">IF(OR(A371="",B371="safety"),"",INDIRECT("template!"&amp;"J"&amp;A371))</f>
        <v>#REF!</v>
      </c>
      <c r="N371" t="e" cm="1">
        <f t="array" aca="1" ref="N371" ca="1">IF(OR(A371="",B371="safety"),"",IF(ISBLANK(INDIRECT("template!"&amp;"K"&amp;A371)),"",INDIRECT("template!"&amp;"K"&amp;A371)))</f>
        <v>#REF!</v>
      </c>
      <c r="O371" t="e" cm="1">
        <f t="array" aca="1" ref="O371" ca="1">IF(OR(A371="",B371="safety"),"",INDIRECT("template!"&amp;"L"&amp;A371))</f>
        <v>#REF!</v>
      </c>
      <c r="P371" t="e" cm="1">
        <f t="array" aca="1" ref="P371" ca="1">IF(OR(A371="",B371="safety"),"",INDIRECT("template!"&amp;"M"&amp;A371))</f>
        <v>#REF!</v>
      </c>
      <c r="Q371" t="e">
        <f t="shared" ca="1" si="28"/>
        <v>#REF!</v>
      </c>
      <c r="R371" t="e">
        <f t="shared" ca="1" si="29"/>
        <v>#REF!</v>
      </c>
      <c r="S371" t="e">
        <f t="shared" ca="1" si="30"/>
        <v>#REF!</v>
      </c>
      <c r="T371" t="e">
        <f t="shared" ca="1" si="31"/>
        <v>#REF!</v>
      </c>
      <c r="U371" t="e" cm="1">
        <f t="array" aca="1" ref="U371" ca="1">IF(A371="","",IF(E371="","",IF(B371="safety",INDIRECT("template!"&amp;"P"&amp;A371),Q371+R371)))</f>
        <v>#REF!</v>
      </c>
      <c r="V371" t="e" cm="1">
        <f t="array" aca="1" ref="V371" ca="1">IF(A371="","",IF(E371="","",IF(B371="safety",INDIRECT("template!"&amp;"P"&amp;A371),S371+T371)))</f>
        <v>#REF!</v>
      </c>
      <c r="W371" t="e">
        <f ca="1">IF(A371="","",IF(E371="","",#REF!))</f>
        <v>#REF!</v>
      </c>
      <c r="X371" t="e">
        <f ca="1">IF(A371="","",IF(E371="","",#REF!))</f>
        <v>#REF!</v>
      </c>
      <c r="Y371" s="39" t="e">
        <f ca="1">IF(A371="","",IF(E371="","",#REF!))</f>
        <v>#REF!</v>
      </c>
      <c r="Z371" t="e">
        <f ca="1">IF(A371="","",IF(E371="","",#REF!))</f>
        <v>#REF!</v>
      </c>
      <c r="AA371" t="e">
        <f ca="1">IF(A371="","",IF(E371="","",#REF!))</f>
        <v>#REF!</v>
      </c>
      <c r="AB371" t="e">
        <f ca="1">IF(A371="","",IF(E371="","",#REF!))</f>
        <v>#REF!</v>
      </c>
      <c r="AC371" t="e">
        <f t="shared" ca="1" si="32"/>
        <v>#REF!</v>
      </c>
    </row>
    <row r="372" spans="1:29" x14ac:dyDescent="0.35">
      <c r="A372" t="e" cm="1">
        <f t="array" aca="1" ref="A372" ca="1">IF(A371="","",IF(OR(AND(A371+1&gt;=$AF$1,A371+1&lt;=$AF$2),AND(A371+1&gt;=$AF$6,A371+1&lt;=$AF$7),AND(A371+1&gt;=$AF$3,A371+1&lt;=$AF$4),AND(A371+1&gt;=$AF$8,A371+1&lt;=$AF$9),A371+1=$AF$5),IF(NOT(ISBLANK(INDIRECT("template!"&amp;"P"&amp;A371+1))),A371+1,IF(NOT(ISBLANK(INDIRECT("template!"&amp;"P"&amp;A371+2))),A371+2,A371+3)),IF(A371=$AF$2,$AF$3,IF(A371=$AF$4,$AF$5,IF(A371=$AF$5,$AF$6,IF(A371=$AF$7,$AF$8,""))))))</f>
        <v>#REF!</v>
      </c>
      <c r="B372" t="e">
        <f t="shared" ca="1" si="27"/>
        <v>#REF!</v>
      </c>
      <c r="C372" t="e" cm="1">
        <f t="array" aca="1" ref="C372" ca="1">IF(A372="","",IF(B372="safety","safety costs",INDIRECT("template!"&amp;"B"&amp;A372)))</f>
        <v>#REF!</v>
      </c>
      <c r="D372" t="e" cm="1">
        <f t="array" aca="1" ref="D372" ca="1">IF(OR(A372="",B372="safety"),"",INDIRECT("template!"&amp;"C"&amp;A372))</f>
        <v>#REF!</v>
      </c>
      <c r="E372" t="e" cm="1">
        <f t="array" aca="1" ref="E372" ca="1">IF(A372="","",IF(OR(A372=A371+1,A372=A371+2),E371,INDIRECT("template!"&amp;"D"&amp;A372-2)))</f>
        <v>#REF!</v>
      </c>
      <c r="F372" t="e" cm="1">
        <f t="array" aca="1" ref="F372" ca="1">IF(OR(A372="",B372="safety"),"",IF(ISBLANK(IF(A372=A371+1,F371,INDIRECT("template!"&amp;"D"&amp;A372-1))),"",IF(A372=A371+1,F371,INDIRECT("template!"&amp;"D"&amp;A372-1))))</f>
        <v>#REF!</v>
      </c>
      <c r="G372" t="e" cm="1">
        <f t="array" aca="1" ref="G372" ca="1">IF(OR(A372="",B372="safety"),"",IF(ISBLANK(INDIRECT("template!"&amp;"D"&amp;A372)),"",INDIRECT("template!"&amp;"D"&amp;A372)))</f>
        <v>#REF!</v>
      </c>
      <c r="H372" t="e" cm="1">
        <f t="array" aca="1" ref="H372" ca="1">IF(OR(A372="",B372="safety"),"",IF(ISBLANK(INDIRECT("template!"&amp;"E"&amp;A372)),"",INDIRECT("template!"&amp;"E"&amp;A372)))</f>
        <v>#REF!</v>
      </c>
      <c r="I372" t="e" cm="1">
        <f t="array" aca="1" ref="I372" ca="1">IF(OR(A372="",B372="safety"),"",IF(ISBLANK(INDIRECT("template!"&amp;"F"&amp;A372)),"",INDIRECT("template!"&amp;"F"&amp;A372)))</f>
        <v>#REF!</v>
      </c>
      <c r="J372" t="e" cm="1">
        <f t="array" aca="1" ref="J372" ca="1">IF(OR(A372="",B372="safety"),"",IF(ISBLANK(INDIRECT("template!"&amp;"G"&amp;A372)),"",INDIRECT("template!"&amp;"G"&amp;A372)))</f>
        <v>#REF!</v>
      </c>
      <c r="K372" t="e" cm="1">
        <f t="array" aca="1" ref="K372" ca="1">IF(OR(A372="",B372="safety"),"",IF(ISBLANK(INDIRECT("template!"&amp;"H"&amp;A372)),"",INDIRECT("template!"&amp;"H"&amp;A372)))</f>
        <v>#REF!</v>
      </c>
      <c r="L372" t="e" cm="1">
        <f t="array" aca="1" ref="L372" ca="1">IF(OR(A372="",B372="safety"),"",INDIRECT("template!"&amp;"I"&amp;A372))</f>
        <v>#REF!</v>
      </c>
      <c r="M372" t="e" cm="1">
        <f t="array" aca="1" ref="M372" ca="1">IF(OR(A372="",B372="safety"),"",INDIRECT("template!"&amp;"J"&amp;A372))</f>
        <v>#REF!</v>
      </c>
      <c r="N372" t="e" cm="1">
        <f t="array" aca="1" ref="N372" ca="1">IF(OR(A372="",B372="safety"),"",IF(ISBLANK(INDIRECT("template!"&amp;"K"&amp;A372)),"",INDIRECT("template!"&amp;"K"&amp;A372)))</f>
        <v>#REF!</v>
      </c>
      <c r="O372" t="e" cm="1">
        <f t="array" aca="1" ref="O372" ca="1">IF(OR(A372="",B372="safety"),"",INDIRECT("template!"&amp;"L"&amp;A372))</f>
        <v>#REF!</v>
      </c>
      <c r="P372" t="e" cm="1">
        <f t="array" aca="1" ref="P372" ca="1">IF(OR(A372="",B372="safety"),"",INDIRECT("template!"&amp;"M"&amp;A372))</f>
        <v>#REF!</v>
      </c>
      <c r="Q372" t="e">
        <f t="shared" ca="1" si="28"/>
        <v>#REF!</v>
      </c>
      <c r="R372" t="e">
        <f t="shared" ca="1" si="29"/>
        <v>#REF!</v>
      </c>
      <c r="S372" t="e">
        <f t="shared" ca="1" si="30"/>
        <v>#REF!</v>
      </c>
      <c r="T372" t="e">
        <f t="shared" ca="1" si="31"/>
        <v>#REF!</v>
      </c>
      <c r="U372" t="e" cm="1">
        <f t="array" aca="1" ref="U372" ca="1">IF(A372="","",IF(E372="","",IF(B372="safety",INDIRECT("template!"&amp;"P"&amp;A372),Q372+R372)))</f>
        <v>#REF!</v>
      </c>
      <c r="V372" t="e" cm="1">
        <f t="array" aca="1" ref="V372" ca="1">IF(A372="","",IF(E372="","",IF(B372="safety",INDIRECT("template!"&amp;"P"&amp;A372),S372+T372)))</f>
        <v>#REF!</v>
      </c>
      <c r="W372" t="e">
        <f ca="1">IF(A372="","",IF(E372="","",#REF!))</f>
        <v>#REF!</v>
      </c>
      <c r="X372" t="e">
        <f ca="1">IF(A372="","",IF(E372="","",#REF!))</f>
        <v>#REF!</v>
      </c>
      <c r="Y372" s="39" t="e">
        <f ca="1">IF(A372="","",IF(E372="","",#REF!))</f>
        <v>#REF!</v>
      </c>
      <c r="Z372" t="e">
        <f ca="1">IF(A372="","",IF(E372="","",#REF!))</f>
        <v>#REF!</v>
      </c>
      <c r="AA372" t="e">
        <f ca="1">IF(A372="","",IF(E372="","",#REF!))</f>
        <v>#REF!</v>
      </c>
      <c r="AB372" t="e">
        <f ca="1">IF(A372="","",IF(E372="","",#REF!))</f>
        <v>#REF!</v>
      </c>
      <c r="AC372" t="e">
        <f t="shared" ca="1" si="32"/>
        <v>#REF!</v>
      </c>
    </row>
    <row r="373" spans="1:29" x14ac:dyDescent="0.35">
      <c r="A373" t="e" cm="1">
        <f t="array" aca="1" ref="A373" ca="1">IF(A372="","",IF(OR(AND(A372+1&gt;=$AF$1,A372+1&lt;=$AF$2),AND(A372+1&gt;=$AF$6,A372+1&lt;=$AF$7),AND(A372+1&gt;=$AF$3,A372+1&lt;=$AF$4),AND(A372+1&gt;=$AF$8,A372+1&lt;=$AF$9),A372+1=$AF$5),IF(NOT(ISBLANK(INDIRECT("template!"&amp;"P"&amp;A372+1))),A372+1,IF(NOT(ISBLANK(INDIRECT("template!"&amp;"P"&amp;A372+2))),A372+2,A372+3)),IF(A372=$AF$2,$AF$3,IF(A372=$AF$4,$AF$5,IF(A372=$AF$5,$AF$6,IF(A372=$AF$7,$AF$8,""))))))</f>
        <v>#REF!</v>
      </c>
      <c r="B373" t="e">
        <f t="shared" ca="1" si="27"/>
        <v>#REF!</v>
      </c>
      <c r="C373" t="e" cm="1">
        <f t="array" aca="1" ref="C373" ca="1">IF(A373="","",IF(B373="safety","safety costs",INDIRECT("template!"&amp;"B"&amp;A373)))</f>
        <v>#REF!</v>
      </c>
      <c r="D373" t="e" cm="1">
        <f t="array" aca="1" ref="D373" ca="1">IF(OR(A373="",B373="safety"),"",INDIRECT("template!"&amp;"C"&amp;A373))</f>
        <v>#REF!</v>
      </c>
      <c r="E373" t="e" cm="1">
        <f t="array" aca="1" ref="E373" ca="1">IF(A373="","",IF(OR(A373=A372+1,A373=A372+2),E372,INDIRECT("template!"&amp;"D"&amp;A373-2)))</f>
        <v>#REF!</v>
      </c>
      <c r="F373" t="e" cm="1">
        <f t="array" aca="1" ref="F373" ca="1">IF(OR(A373="",B373="safety"),"",IF(ISBLANK(IF(A373=A372+1,F372,INDIRECT("template!"&amp;"D"&amp;A373-1))),"",IF(A373=A372+1,F372,INDIRECT("template!"&amp;"D"&amp;A373-1))))</f>
        <v>#REF!</v>
      </c>
      <c r="G373" t="e" cm="1">
        <f t="array" aca="1" ref="G373" ca="1">IF(OR(A373="",B373="safety"),"",IF(ISBLANK(INDIRECT("template!"&amp;"D"&amp;A373)),"",INDIRECT("template!"&amp;"D"&amp;A373)))</f>
        <v>#REF!</v>
      </c>
      <c r="H373" t="e" cm="1">
        <f t="array" aca="1" ref="H373" ca="1">IF(OR(A373="",B373="safety"),"",IF(ISBLANK(INDIRECT("template!"&amp;"E"&amp;A373)),"",INDIRECT("template!"&amp;"E"&amp;A373)))</f>
        <v>#REF!</v>
      </c>
      <c r="I373" t="e" cm="1">
        <f t="array" aca="1" ref="I373" ca="1">IF(OR(A373="",B373="safety"),"",IF(ISBLANK(INDIRECT("template!"&amp;"F"&amp;A373)),"",INDIRECT("template!"&amp;"F"&amp;A373)))</f>
        <v>#REF!</v>
      </c>
      <c r="J373" t="e" cm="1">
        <f t="array" aca="1" ref="J373" ca="1">IF(OR(A373="",B373="safety"),"",IF(ISBLANK(INDIRECT("template!"&amp;"G"&amp;A373)),"",INDIRECT("template!"&amp;"G"&amp;A373)))</f>
        <v>#REF!</v>
      </c>
      <c r="K373" t="e" cm="1">
        <f t="array" aca="1" ref="K373" ca="1">IF(OR(A373="",B373="safety"),"",IF(ISBLANK(INDIRECT("template!"&amp;"H"&amp;A373)),"",INDIRECT("template!"&amp;"H"&amp;A373)))</f>
        <v>#REF!</v>
      </c>
      <c r="L373" t="e" cm="1">
        <f t="array" aca="1" ref="L373" ca="1">IF(OR(A373="",B373="safety"),"",INDIRECT("template!"&amp;"I"&amp;A373))</f>
        <v>#REF!</v>
      </c>
      <c r="M373" t="e" cm="1">
        <f t="array" aca="1" ref="M373" ca="1">IF(OR(A373="",B373="safety"),"",INDIRECT("template!"&amp;"J"&amp;A373))</f>
        <v>#REF!</v>
      </c>
      <c r="N373" t="e" cm="1">
        <f t="array" aca="1" ref="N373" ca="1">IF(OR(A373="",B373="safety"),"",IF(ISBLANK(INDIRECT("template!"&amp;"K"&amp;A373)),"",INDIRECT("template!"&amp;"K"&amp;A373)))</f>
        <v>#REF!</v>
      </c>
      <c r="O373" t="e" cm="1">
        <f t="array" aca="1" ref="O373" ca="1">IF(OR(A373="",B373="safety"),"",INDIRECT("template!"&amp;"L"&amp;A373))</f>
        <v>#REF!</v>
      </c>
      <c r="P373" t="e" cm="1">
        <f t="array" aca="1" ref="P373" ca="1">IF(OR(A373="",B373="safety"),"",INDIRECT("template!"&amp;"M"&amp;A373))</f>
        <v>#REF!</v>
      </c>
      <c r="Q373" t="e">
        <f t="shared" ca="1" si="28"/>
        <v>#REF!</v>
      </c>
      <c r="R373" t="e">
        <f t="shared" ca="1" si="29"/>
        <v>#REF!</v>
      </c>
      <c r="S373" t="e">
        <f t="shared" ca="1" si="30"/>
        <v>#REF!</v>
      </c>
      <c r="T373" t="e">
        <f t="shared" ca="1" si="31"/>
        <v>#REF!</v>
      </c>
      <c r="U373" t="e" cm="1">
        <f t="array" aca="1" ref="U373" ca="1">IF(A373="","",IF(E373="","",IF(B373="safety",INDIRECT("template!"&amp;"P"&amp;A373),Q373+R373)))</f>
        <v>#REF!</v>
      </c>
      <c r="V373" t="e" cm="1">
        <f t="array" aca="1" ref="V373" ca="1">IF(A373="","",IF(E373="","",IF(B373="safety",INDIRECT("template!"&amp;"P"&amp;A373),S373+T373)))</f>
        <v>#REF!</v>
      </c>
      <c r="W373" t="e">
        <f ca="1">IF(A373="","",IF(E373="","",#REF!))</f>
        <v>#REF!</v>
      </c>
      <c r="X373" t="e">
        <f ca="1">IF(A373="","",IF(E373="","",#REF!))</f>
        <v>#REF!</v>
      </c>
      <c r="Y373" s="39" t="e">
        <f ca="1">IF(A373="","",IF(E373="","",#REF!))</f>
        <v>#REF!</v>
      </c>
      <c r="Z373" t="e">
        <f ca="1">IF(A373="","",IF(E373="","",#REF!))</f>
        <v>#REF!</v>
      </c>
      <c r="AA373" t="e">
        <f ca="1">IF(A373="","",IF(E373="","",#REF!))</f>
        <v>#REF!</v>
      </c>
      <c r="AB373" t="e">
        <f ca="1">IF(A373="","",IF(E373="","",#REF!))</f>
        <v>#REF!</v>
      </c>
      <c r="AC373" t="e">
        <f t="shared" ca="1" si="32"/>
        <v>#REF!</v>
      </c>
    </row>
    <row r="374" spans="1:29" x14ac:dyDescent="0.35">
      <c r="A374" t="e" cm="1">
        <f t="array" aca="1" ref="A374" ca="1">IF(A373="","",IF(OR(AND(A373+1&gt;=$AF$1,A373+1&lt;=$AF$2),AND(A373+1&gt;=$AF$6,A373+1&lt;=$AF$7),AND(A373+1&gt;=$AF$3,A373+1&lt;=$AF$4),AND(A373+1&gt;=$AF$8,A373+1&lt;=$AF$9),A373+1=$AF$5),IF(NOT(ISBLANK(INDIRECT("template!"&amp;"P"&amp;A373+1))),A373+1,IF(NOT(ISBLANK(INDIRECT("template!"&amp;"P"&amp;A373+2))),A373+2,A373+3)),IF(A373=$AF$2,$AF$3,IF(A373=$AF$4,$AF$5,IF(A373=$AF$5,$AF$6,IF(A373=$AF$7,$AF$8,""))))))</f>
        <v>#REF!</v>
      </c>
      <c r="B374" t="e">
        <f t="shared" ca="1" si="27"/>
        <v>#REF!</v>
      </c>
      <c r="C374" t="e" cm="1">
        <f t="array" aca="1" ref="C374" ca="1">IF(A374="","",IF(B374="safety","safety costs",INDIRECT("template!"&amp;"B"&amp;A374)))</f>
        <v>#REF!</v>
      </c>
      <c r="D374" t="e" cm="1">
        <f t="array" aca="1" ref="D374" ca="1">IF(OR(A374="",B374="safety"),"",INDIRECT("template!"&amp;"C"&amp;A374))</f>
        <v>#REF!</v>
      </c>
      <c r="E374" t="e" cm="1">
        <f t="array" aca="1" ref="E374" ca="1">IF(A374="","",IF(OR(A374=A373+1,A374=A373+2),E373,INDIRECT("template!"&amp;"D"&amp;A374-2)))</f>
        <v>#REF!</v>
      </c>
      <c r="F374" t="e" cm="1">
        <f t="array" aca="1" ref="F374" ca="1">IF(OR(A374="",B374="safety"),"",IF(ISBLANK(IF(A374=A373+1,F373,INDIRECT("template!"&amp;"D"&amp;A374-1))),"",IF(A374=A373+1,F373,INDIRECT("template!"&amp;"D"&amp;A374-1))))</f>
        <v>#REF!</v>
      </c>
      <c r="G374" t="e" cm="1">
        <f t="array" aca="1" ref="G374" ca="1">IF(OR(A374="",B374="safety"),"",IF(ISBLANK(INDIRECT("template!"&amp;"D"&amp;A374)),"",INDIRECT("template!"&amp;"D"&amp;A374)))</f>
        <v>#REF!</v>
      </c>
      <c r="H374" t="e" cm="1">
        <f t="array" aca="1" ref="H374" ca="1">IF(OR(A374="",B374="safety"),"",IF(ISBLANK(INDIRECT("template!"&amp;"E"&amp;A374)),"",INDIRECT("template!"&amp;"E"&amp;A374)))</f>
        <v>#REF!</v>
      </c>
      <c r="I374" t="e" cm="1">
        <f t="array" aca="1" ref="I374" ca="1">IF(OR(A374="",B374="safety"),"",IF(ISBLANK(INDIRECT("template!"&amp;"F"&amp;A374)),"",INDIRECT("template!"&amp;"F"&amp;A374)))</f>
        <v>#REF!</v>
      </c>
      <c r="J374" t="e" cm="1">
        <f t="array" aca="1" ref="J374" ca="1">IF(OR(A374="",B374="safety"),"",IF(ISBLANK(INDIRECT("template!"&amp;"G"&amp;A374)),"",INDIRECT("template!"&amp;"G"&amp;A374)))</f>
        <v>#REF!</v>
      </c>
      <c r="K374" t="e" cm="1">
        <f t="array" aca="1" ref="K374" ca="1">IF(OR(A374="",B374="safety"),"",IF(ISBLANK(INDIRECT("template!"&amp;"H"&amp;A374)),"",INDIRECT("template!"&amp;"H"&amp;A374)))</f>
        <v>#REF!</v>
      </c>
      <c r="L374" t="e" cm="1">
        <f t="array" aca="1" ref="L374" ca="1">IF(OR(A374="",B374="safety"),"",INDIRECT("template!"&amp;"I"&amp;A374))</f>
        <v>#REF!</v>
      </c>
      <c r="M374" t="e" cm="1">
        <f t="array" aca="1" ref="M374" ca="1">IF(OR(A374="",B374="safety"),"",INDIRECT("template!"&amp;"J"&amp;A374))</f>
        <v>#REF!</v>
      </c>
      <c r="N374" t="e" cm="1">
        <f t="array" aca="1" ref="N374" ca="1">IF(OR(A374="",B374="safety"),"",IF(ISBLANK(INDIRECT("template!"&amp;"K"&amp;A374)),"",INDIRECT("template!"&amp;"K"&amp;A374)))</f>
        <v>#REF!</v>
      </c>
      <c r="O374" t="e" cm="1">
        <f t="array" aca="1" ref="O374" ca="1">IF(OR(A374="",B374="safety"),"",INDIRECT("template!"&amp;"L"&amp;A374))</f>
        <v>#REF!</v>
      </c>
      <c r="P374" t="e" cm="1">
        <f t="array" aca="1" ref="P374" ca="1">IF(OR(A374="",B374="safety"),"",INDIRECT("template!"&amp;"M"&amp;A374))</f>
        <v>#REF!</v>
      </c>
      <c r="Q374" t="e">
        <f t="shared" ca="1" si="28"/>
        <v>#REF!</v>
      </c>
      <c r="R374" t="e">
        <f t="shared" ca="1" si="29"/>
        <v>#REF!</v>
      </c>
      <c r="S374" t="e">
        <f t="shared" ca="1" si="30"/>
        <v>#REF!</v>
      </c>
      <c r="T374" t="e">
        <f t="shared" ca="1" si="31"/>
        <v>#REF!</v>
      </c>
      <c r="U374" t="e" cm="1">
        <f t="array" aca="1" ref="U374" ca="1">IF(A374="","",IF(E374="","",IF(B374="safety",INDIRECT("template!"&amp;"P"&amp;A374),Q374+R374)))</f>
        <v>#REF!</v>
      </c>
      <c r="V374" t="e" cm="1">
        <f t="array" aca="1" ref="V374" ca="1">IF(A374="","",IF(E374="","",IF(B374="safety",INDIRECT("template!"&amp;"P"&amp;A374),S374+T374)))</f>
        <v>#REF!</v>
      </c>
      <c r="W374" t="e">
        <f ca="1">IF(A374="","",IF(E374="","",#REF!))</f>
        <v>#REF!</v>
      </c>
      <c r="X374" t="e">
        <f ca="1">IF(A374="","",IF(E374="","",#REF!))</f>
        <v>#REF!</v>
      </c>
      <c r="Y374" s="39" t="e">
        <f ca="1">IF(A374="","",IF(E374="","",#REF!))</f>
        <v>#REF!</v>
      </c>
      <c r="Z374" t="e">
        <f ca="1">IF(A374="","",IF(E374="","",#REF!))</f>
        <v>#REF!</v>
      </c>
      <c r="AA374" t="e">
        <f ca="1">IF(A374="","",IF(E374="","",#REF!))</f>
        <v>#REF!</v>
      </c>
      <c r="AB374" t="e">
        <f ca="1">IF(A374="","",IF(E374="","",#REF!))</f>
        <v>#REF!</v>
      </c>
      <c r="AC374" t="e">
        <f t="shared" ca="1" si="32"/>
        <v>#REF!</v>
      </c>
    </row>
    <row r="375" spans="1:29" x14ac:dyDescent="0.35">
      <c r="A375" t="e" cm="1">
        <f t="array" aca="1" ref="A375" ca="1">IF(A374="","",IF(OR(AND(A374+1&gt;=$AF$1,A374+1&lt;=$AF$2),AND(A374+1&gt;=$AF$6,A374+1&lt;=$AF$7),AND(A374+1&gt;=$AF$3,A374+1&lt;=$AF$4),AND(A374+1&gt;=$AF$8,A374+1&lt;=$AF$9),A374+1=$AF$5),IF(NOT(ISBLANK(INDIRECT("template!"&amp;"P"&amp;A374+1))),A374+1,IF(NOT(ISBLANK(INDIRECT("template!"&amp;"P"&amp;A374+2))),A374+2,A374+3)),IF(A374=$AF$2,$AF$3,IF(A374=$AF$4,$AF$5,IF(A374=$AF$5,$AF$6,IF(A374=$AF$7,$AF$8,""))))))</f>
        <v>#REF!</v>
      </c>
      <c r="B375" t="e">
        <f t="shared" ca="1" si="27"/>
        <v>#REF!</v>
      </c>
      <c r="C375" t="e" cm="1">
        <f t="array" aca="1" ref="C375" ca="1">IF(A375="","",IF(B375="safety","safety costs",INDIRECT("template!"&amp;"B"&amp;A375)))</f>
        <v>#REF!</v>
      </c>
      <c r="D375" t="e" cm="1">
        <f t="array" aca="1" ref="D375" ca="1">IF(OR(A375="",B375="safety"),"",INDIRECT("template!"&amp;"C"&amp;A375))</f>
        <v>#REF!</v>
      </c>
      <c r="E375" t="e" cm="1">
        <f t="array" aca="1" ref="E375" ca="1">IF(A375="","",IF(OR(A375=A374+1,A375=A374+2),E374,INDIRECT("template!"&amp;"D"&amp;A375-2)))</f>
        <v>#REF!</v>
      </c>
      <c r="F375" t="e" cm="1">
        <f t="array" aca="1" ref="F375" ca="1">IF(OR(A375="",B375="safety"),"",IF(ISBLANK(IF(A375=A374+1,F374,INDIRECT("template!"&amp;"D"&amp;A375-1))),"",IF(A375=A374+1,F374,INDIRECT("template!"&amp;"D"&amp;A375-1))))</f>
        <v>#REF!</v>
      </c>
      <c r="G375" t="e" cm="1">
        <f t="array" aca="1" ref="G375" ca="1">IF(OR(A375="",B375="safety"),"",IF(ISBLANK(INDIRECT("template!"&amp;"D"&amp;A375)),"",INDIRECT("template!"&amp;"D"&amp;A375)))</f>
        <v>#REF!</v>
      </c>
      <c r="H375" t="e" cm="1">
        <f t="array" aca="1" ref="H375" ca="1">IF(OR(A375="",B375="safety"),"",IF(ISBLANK(INDIRECT("template!"&amp;"E"&amp;A375)),"",INDIRECT("template!"&amp;"E"&amp;A375)))</f>
        <v>#REF!</v>
      </c>
      <c r="I375" t="e" cm="1">
        <f t="array" aca="1" ref="I375" ca="1">IF(OR(A375="",B375="safety"),"",IF(ISBLANK(INDIRECT("template!"&amp;"F"&amp;A375)),"",INDIRECT("template!"&amp;"F"&amp;A375)))</f>
        <v>#REF!</v>
      </c>
      <c r="J375" t="e" cm="1">
        <f t="array" aca="1" ref="J375" ca="1">IF(OR(A375="",B375="safety"),"",IF(ISBLANK(INDIRECT("template!"&amp;"G"&amp;A375)),"",INDIRECT("template!"&amp;"G"&amp;A375)))</f>
        <v>#REF!</v>
      </c>
      <c r="K375" t="e" cm="1">
        <f t="array" aca="1" ref="K375" ca="1">IF(OR(A375="",B375="safety"),"",IF(ISBLANK(INDIRECT("template!"&amp;"H"&amp;A375)),"",INDIRECT("template!"&amp;"H"&amp;A375)))</f>
        <v>#REF!</v>
      </c>
      <c r="L375" t="e" cm="1">
        <f t="array" aca="1" ref="L375" ca="1">IF(OR(A375="",B375="safety"),"",INDIRECT("template!"&amp;"I"&amp;A375))</f>
        <v>#REF!</v>
      </c>
      <c r="M375" t="e" cm="1">
        <f t="array" aca="1" ref="M375" ca="1">IF(OR(A375="",B375="safety"),"",INDIRECT("template!"&amp;"J"&amp;A375))</f>
        <v>#REF!</v>
      </c>
      <c r="N375" t="e" cm="1">
        <f t="array" aca="1" ref="N375" ca="1">IF(OR(A375="",B375="safety"),"",IF(ISBLANK(INDIRECT("template!"&amp;"K"&amp;A375)),"",INDIRECT("template!"&amp;"K"&amp;A375)))</f>
        <v>#REF!</v>
      </c>
      <c r="O375" t="e" cm="1">
        <f t="array" aca="1" ref="O375" ca="1">IF(OR(A375="",B375="safety"),"",INDIRECT("template!"&amp;"L"&amp;A375))</f>
        <v>#REF!</v>
      </c>
      <c r="P375" t="e" cm="1">
        <f t="array" aca="1" ref="P375" ca="1">IF(OR(A375="",B375="safety"),"",INDIRECT("template!"&amp;"M"&amp;A375))</f>
        <v>#REF!</v>
      </c>
      <c r="Q375" t="e">
        <f t="shared" ca="1" si="28"/>
        <v>#REF!</v>
      </c>
      <c r="R375" t="e">
        <f t="shared" ca="1" si="29"/>
        <v>#REF!</v>
      </c>
      <c r="S375" t="e">
        <f t="shared" ca="1" si="30"/>
        <v>#REF!</v>
      </c>
      <c r="T375" t="e">
        <f t="shared" ca="1" si="31"/>
        <v>#REF!</v>
      </c>
      <c r="U375" t="e" cm="1">
        <f t="array" aca="1" ref="U375" ca="1">IF(A375="","",IF(E375="","",IF(B375="safety",INDIRECT("template!"&amp;"P"&amp;A375),Q375+R375)))</f>
        <v>#REF!</v>
      </c>
      <c r="V375" t="e" cm="1">
        <f t="array" aca="1" ref="V375" ca="1">IF(A375="","",IF(E375="","",IF(B375="safety",INDIRECT("template!"&amp;"P"&amp;A375),S375+T375)))</f>
        <v>#REF!</v>
      </c>
      <c r="W375" t="e">
        <f ca="1">IF(A375="","",IF(E375="","",#REF!))</f>
        <v>#REF!</v>
      </c>
      <c r="X375" t="e">
        <f ca="1">IF(A375="","",IF(E375="","",#REF!))</f>
        <v>#REF!</v>
      </c>
      <c r="Y375" s="39" t="e">
        <f ca="1">IF(A375="","",IF(E375="","",#REF!))</f>
        <v>#REF!</v>
      </c>
      <c r="Z375" t="e">
        <f ca="1">IF(A375="","",IF(E375="","",#REF!))</f>
        <v>#REF!</v>
      </c>
      <c r="AA375" t="e">
        <f ca="1">IF(A375="","",IF(E375="","",#REF!))</f>
        <v>#REF!</v>
      </c>
      <c r="AB375" t="e">
        <f ca="1">IF(A375="","",IF(E375="","",#REF!))</f>
        <v>#REF!</v>
      </c>
      <c r="AC375" t="e">
        <f t="shared" ca="1" si="32"/>
        <v>#REF!</v>
      </c>
    </row>
    <row r="376" spans="1:29" x14ac:dyDescent="0.35">
      <c r="A376" t="e" cm="1">
        <f t="array" aca="1" ref="A376" ca="1">IF(A375="","",IF(OR(AND(A375+1&gt;=$AF$1,A375+1&lt;=$AF$2),AND(A375+1&gt;=$AF$6,A375+1&lt;=$AF$7),AND(A375+1&gt;=$AF$3,A375+1&lt;=$AF$4),AND(A375+1&gt;=$AF$8,A375+1&lt;=$AF$9),A375+1=$AF$5),IF(NOT(ISBLANK(INDIRECT("template!"&amp;"P"&amp;A375+1))),A375+1,IF(NOT(ISBLANK(INDIRECT("template!"&amp;"P"&amp;A375+2))),A375+2,A375+3)),IF(A375=$AF$2,$AF$3,IF(A375=$AF$4,$AF$5,IF(A375=$AF$5,$AF$6,IF(A375=$AF$7,$AF$8,""))))))</f>
        <v>#REF!</v>
      </c>
      <c r="B376" t="e">
        <f t="shared" ca="1" si="27"/>
        <v>#REF!</v>
      </c>
      <c r="C376" t="e" cm="1">
        <f t="array" aca="1" ref="C376" ca="1">IF(A376="","",IF(B376="safety","safety costs",INDIRECT("template!"&amp;"B"&amp;A376)))</f>
        <v>#REF!</v>
      </c>
      <c r="D376" t="e" cm="1">
        <f t="array" aca="1" ref="D376" ca="1">IF(OR(A376="",B376="safety"),"",INDIRECT("template!"&amp;"C"&amp;A376))</f>
        <v>#REF!</v>
      </c>
      <c r="E376" t="e" cm="1">
        <f t="array" aca="1" ref="E376" ca="1">IF(A376="","",IF(OR(A376=A375+1,A376=A375+2),E375,INDIRECT("template!"&amp;"D"&amp;A376-2)))</f>
        <v>#REF!</v>
      </c>
      <c r="F376" t="e" cm="1">
        <f t="array" aca="1" ref="F376" ca="1">IF(OR(A376="",B376="safety"),"",IF(ISBLANK(IF(A376=A375+1,F375,INDIRECT("template!"&amp;"D"&amp;A376-1))),"",IF(A376=A375+1,F375,INDIRECT("template!"&amp;"D"&amp;A376-1))))</f>
        <v>#REF!</v>
      </c>
      <c r="G376" t="e" cm="1">
        <f t="array" aca="1" ref="G376" ca="1">IF(OR(A376="",B376="safety"),"",IF(ISBLANK(INDIRECT("template!"&amp;"D"&amp;A376)),"",INDIRECT("template!"&amp;"D"&amp;A376)))</f>
        <v>#REF!</v>
      </c>
      <c r="H376" t="e" cm="1">
        <f t="array" aca="1" ref="H376" ca="1">IF(OR(A376="",B376="safety"),"",IF(ISBLANK(INDIRECT("template!"&amp;"E"&amp;A376)),"",INDIRECT("template!"&amp;"E"&amp;A376)))</f>
        <v>#REF!</v>
      </c>
      <c r="I376" t="e" cm="1">
        <f t="array" aca="1" ref="I376" ca="1">IF(OR(A376="",B376="safety"),"",IF(ISBLANK(INDIRECT("template!"&amp;"F"&amp;A376)),"",INDIRECT("template!"&amp;"F"&amp;A376)))</f>
        <v>#REF!</v>
      </c>
      <c r="J376" t="e" cm="1">
        <f t="array" aca="1" ref="J376" ca="1">IF(OR(A376="",B376="safety"),"",IF(ISBLANK(INDIRECT("template!"&amp;"G"&amp;A376)),"",INDIRECT("template!"&amp;"G"&amp;A376)))</f>
        <v>#REF!</v>
      </c>
      <c r="K376" t="e" cm="1">
        <f t="array" aca="1" ref="K376" ca="1">IF(OR(A376="",B376="safety"),"",IF(ISBLANK(INDIRECT("template!"&amp;"H"&amp;A376)),"",INDIRECT("template!"&amp;"H"&amp;A376)))</f>
        <v>#REF!</v>
      </c>
      <c r="L376" t="e" cm="1">
        <f t="array" aca="1" ref="L376" ca="1">IF(OR(A376="",B376="safety"),"",INDIRECT("template!"&amp;"I"&amp;A376))</f>
        <v>#REF!</v>
      </c>
      <c r="M376" t="e" cm="1">
        <f t="array" aca="1" ref="M376" ca="1">IF(OR(A376="",B376="safety"),"",INDIRECT("template!"&amp;"J"&amp;A376))</f>
        <v>#REF!</v>
      </c>
      <c r="N376" t="e" cm="1">
        <f t="array" aca="1" ref="N376" ca="1">IF(OR(A376="",B376="safety"),"",IF(ISBLANK(INDIRECT("template!"&amp;"K"&amp;A376)),"",INDIRECT("template!"&amp;"K"&amp;A376)))</f>
        <v>#REF!</v>
      </c>
      <c r="O376" t="e" cm="1">
        <f t="array" aca="1" ref="O376" ca="1">IF(OR(A376="",B376="safety"),"",INDIRECT("template!"&amp;"L"&amp;A376))</f>
        <v>#REF!</v>
      </c>
      <c r="P376" t="e" cm="1">
        <f t="array" aca="1" ref="P376" ca="1">IF(OR(A376="",B376="safety"),"",INDIRECT("template!"&amp;"M"&amp;A376))</f>
        <v>#REF!</v>
      </c>
      <c r="Q376" t="e">
        <f t="shared" ca="1" si="28"/>
        <v>#REF!</v>
      </c>
      <c r="R376" t="e">
        <f t="shared" ca="1" si="29"/>
        <v>#REF!</v>
      </c>
      <c r="S376" t="e">
        <f t="shared" ca="1" si="30"/>
        <v>#REF!</v>
      </c>
      <c r="T376" t="e">
        <f t="shared" ca="1" si="31"/>
        <v>#REF!</v>
      </c>
      <c r="U376" t="e" cm="1">
        <f t="array" aca="1" ref="U376" ca="1">IF(A376="","",IF(E376="","",IF(B376="safety",INDIRECT("template!"&amp;"P"&amp;A376),Q376+R376)))</f>
        <v>#REF!</v>
      </c>
      <c r="V376" t="e" cm="1">
        <f t="array" aca="1" ref="V376" ca="1">IF(A376="","",IF(E376="","",IF(B376="safety",INDIRECT("template!"&amp;"P"&amp;A376),S376+T376)))</f>
        <v>#REF!</v>
      </c>
      <c r="W376" t="e">
        <f ca="1">IF(A376="","",IF(E376="","",#REF!))</f>
        <v>#REF!</v>
      </c>
      <c r="X376" t="e">
        <f ca="1">IF(A376="","",IF(E376="","",#REF!))</f>
        <v>#REF!</v>
      </c>
      <c r="Y376" s="39" t="e">
        <f ca="1">IF(A376="","",IF(E376="","",#REF!))</f>
        <v>#REF!</v>
      </c>
      <c r="Z376" t="e">
        <f ca="1">IF(A376="","",IF(E376="","",#REF!))</f>
        <v>#REF!</v>
      </c>
      <c r="AA376" t="e">
        <f ca="1">IF(A376="","",IF(E376="","",#REF!))</f>
        <v>#REF!</v>
      </c>
      <c r="AB376" t="e">
        <f ca="1">IF(A376="","",IF(E376="","",#REF!))</f>
        <v>#REF!</v>
      </c>
      <c r="AC376" t="e">
        <f t="shared" ca="1" si="32"/>
        <v>#REF!</v>
      </c>
    </row>
    <row r="377" spans="1:29" x14ac:dyDescent="0.35">
      <c r="A377" t="e" cm="1">
        <f t="array" aca="1" ref="A377" ca="1">IF(A376="","",IF(OR(AND(A376+1&gt;=$AF$1,A376+1&lt;=$AF$2),AND(A376+1&gt;=$AF$6,A376+1&lt;=$AF$7),AND(A376+1&gt;=$AF$3,A376+1&lt;=$AF$4),AND(A376+1&gt;=$AF$8,A376+1&lt;=$AF$9),A376+1=$AF$5),IF(NOT(ISBLANK(INDIRECT("template!"&amp;"P"&amp;A376+1))),A376+1,IF(NOT(ISBLANK(INDIRECT("template!"&amp;"P"&amp;A376+2))),A376+2,A376+3)),IF(A376=$AF$2,$AF$3,IF(A376=$AF$4,$AF$5,IF(A376=$AF$5,$AF$6,IF(A376=$AF$7,$AF$8,""))))))</f>
        <v>#REF!</v>
      </c>
      <c r="B377" t="e">
        <f t="shared" ca="1" si="27"/>
        <v>#REF!</v>
      </c>
      <c r="C377" t="e" cm="1">
        <f t="array" aca="1" ref="C377" ca="1">IF(A377="","",IF(B377="safety","safety costs",INDIRECT("template!"&amp;"B"&amp;A377)))</f>
        <v>#REF!</v>
      </c>
      <c r="D377" t="e" cm="1">
        <f t="array" aca="1" ref="D377" ca="1">IF(OR(A377="",B377="safety"),"",INDIRECT("template!"&amp;"C"&amp;A377))</f>
        <v>#REF!</v>
      </c>
      <c r="E377" t="e" cm="1">
        <f t="array" aca="1" ref="E377" ca="1">IF(A377="","",IF(OR(A377=A376+1,A377=A376+2),E376,INDIRECT("template!"&amp;"D"&amp;A377-2)))</f>
        <v>#REF!</v>
      </c>
      <c r="F377" t="e" cm="1">
        <f t="array" aca="1" ref="F377" ca="1">IF(OR(A377="",B377="safety"),"",IF(ISBLANK(IF(A377=A376+1,F376,INDIRECT("template!"&amp;"D"&amp;A377-1))),"",IF(A377=A376+1,F376,INDIRECT("template!"&amp;"D"&amp;A377-1))))</f>
        <v>#REF!</v>
      </c>
      <c r="G377" t="e" cm="1">
        <f t="array" aca="1" ref="G377" ca="1">IF(OR(A377="",B377="safety"),"",IF(ISBLANK(INDIRECT("template!"&amp;"D"&amp;A377)),"",INDIRECT("template!"&amp;"D"&amp;A377)))</f>
        <v>#REF!</v>
      </c>
      <c r="H377" t="e" cm="1">
        <f t="array" aca="1" ref="H377" ca="1">IF(OR(A377="",B377="safety"),"",IF(ISBLANK(INDIRECT("template!"&amp;"E"&amp;A377)),"",INDIRECT("template!"&amp;"E"&amp;A377)))</f>
        <v>#REF!</v>
      </c>
      <c r="I377" t="e" cm="1">
        <f t="array" aca="1" ref="I377" ca="1">IF(OR(A377="",B377="safety"),"",IF(ISBLANK(INDIRECT("template!"&amp;"F"&amp;A377)),"",INDIRECT("template!"&amp;"F"&amp;A377)))</f>
        <v>#REF!</v>
      </c>
      <c r="J377" t="e" cm="1">
        <f t="array" aca="1" ref="J377" ca="1">IF(OR(A377="",B377="safety"),"",IF(ISBLANK(INDIRECT("template!"&amp;"G"&amp;A377)),"",INDIRECT("template!"&amp;"G"&amp;A377)))</f>
        <v>#REF!</v>
      </c>
      <c r="K377" t="e" cm="1">
        <f t="array" aca="1" ref="K377" ca="1">IF(OR(A377="",B377="safety"),"",IF(ISBLANK(INDIRECT("template!"&amp;"H"&amp;A377)),"",INDIRECT("template!"&amp;"H"&amp;A377)))</f>
        <v>#REF!</v>
      </c>
      <c r="L377" t="e" cm="1">
        <f t="array" aca="1" ref="L377" ca="1">IF(OR(A377="",B377="safety"),"",INDIRECT("template!"&amp;"I"&amp;A377))</f>
        <v>#REF!</v>
      </c>
      <c r="M377" t="e" cm="1">
        <f t="array" aca="1" ref="M377" ca="1">IF(OR(A377="",B377="safety"),"",INDIRECT("template!"&amp;"J"&amp;A377))</f>
        <v>#REF!</v>
      </c>
      <c r="N377" t="e" cm="1">
        <f t="array" aca="1" ref="N377" ca="1">IF(OR(A377="",B377="safety"),"",IF(ISBLANK(INDIRECT("template!"&amp;"K"&amp;A377)),"",INDIRECT("template!"&amp;"K"&amp;A377)))</f>
        <v>#REF!</v>
      </c>
      <c r="O377" t="e" cm="1">
        <f t="array" aca="1" ref="O377" ca="1">IF(OR(A377="",B377="safety"),"",INDIRECT("template!"&amp;"L"&amp;A377))</f>
        <v>#REF!</v>
      </c>
      <c r="P377" t="e" cm="1">
        <f t="array" aca="1" ref="P377" ca="1">IF(OR(A377="",B377="safety"),"",INDIRECT("template!"&amp;"M"&amp;A377))</f>
        <v>#REF!</v>
      </c>
      <c r="Q377" t="e">
        <f t="shared" ca="1" si="28"/>
        <v>#REF!</v>
      </c>
      <c r="R377" t="e">
        <f t="shared" ca="1" si="29"/>
        <v>#REF!</v>
      </c>
      <c r="S377" t="e">
        <f t="shared" ca="1" si="30"/>
        <v>#REF!</v>
      </c>
      <c r="T377" t="e">
        <f t="shared" ca="1" si="31"/>
        <v>#REF!</v>
      </c>
      <c r="U377" t="e" cm="1">
        <f t="array" aca="1" ref="U377" ca="1">IF(A377="","",IF(E377="","",IF(B377="safety",INDIRECT("template!"&amp;"P"&amp;A377),Q377+R377)))</f>
        <v>#REF!</v>
      </c>
      <c r="V377" t="e" cm="1">
        <f t="array" aca="1" ref="V377" ca="1">IF(A377="","",IF(E377="","",IF(B377="safety",INDIRECT("template!"&amp;"P"&amp;A377),S377+T377)))</f>
        <v>#REF!</v>
      </c>
      <c r="W377" t="e">
        <f ca="1">IF(A377="","",IF(E377="","",#REF!))</f>
        <v>#REF!</v>
      </c>
      <c r="X377" t="e">
        <f ca="1">IF(A377="","",IF(E377="","",#REF!))</f>
        <v>#REF!</v>
      </c>
      <c r="Y377" s="39" t="e">
        <f ca="1">IF(A377="","",IF(E377="","",#REF!))</f>
        <v>#REF!</v>
      </c>
      <c r="Z377" t="e">
        <f ca="1">IF(A377="","",IF(E377="","",#REF!))</f>
        <v>#REF!</v>
      </c>
      <c r="AA377" t="e">
        <f ca="1">IF(A377="","",IF(E377="","",#REF!))</f>
        <v>#REF!</v>
      </c>
      <c r="AB377" t="e">
        <f ca="1">IF(A377="","",IF(E377="","",#REF!))</f>
        <v>#REF!</v>
      </c>
      <c r="AC377" t="e">
        <f t="shared" ca="1" si="32"/>
        <v>#REF!</v>
      </c>
    </row>
    <row r="378" spans="1:29" x14ac:dyDescent="0.35">
      <c r="A378" t="e" cm="1">
        <f t="array" aca="1" ref="A378" ca="1">IF(A377="","",IF(OR(AND(A377+1&gt;=$AF$1,A377+1&lt;=$AF$2),AND(A377+1&gt;=$AF$6,A377+1&lt;=$AF$7),AND(A377+1&gt;=$AF$3,A377+1&lt;=$AF$4),AND(A377+1&gt;=$AF$8,A377+1&lt;=$AF$9),A377+1=$AF$5),IF(NOT(ISBLANK(INDIRECT("template!"&amp;"P"&amp;A377+1))),A377+1,IF(NOT(ISBLANK(INDIRECT("template!"&amp;"P"&amp;A377+2))),A377+2,A377+3)),IF(A377=$AF$2,$AF$3,IF(A377=$AF$4,$AF$5,IF(A377=$AF$5,$AF$6,IF(A377=$AF$7,$AF$8,""))))))</f>
        <v>#REF!</v>
      </c>
      <c r="B378" t="e">
        <f t="shared" ca="1" si="27"/>
        <v>#REF!</v>
      </c>
      <c r="C378" t="e" cm="1">
        <f t="array" aca="1" ref="C378" ca="1">IF(A378="","",IF(B378="safety","safety costs",INDIRECT("template!"&amp;"B"&amp;A378)))</f>
        <v>#REF!</v>
      </c>
      <c r="D378" t="e" cm="1">
        <f t="array" aca="1" ref="D378" ca="1">IF(OR(A378="",B378="safety"),"",INDIRECT("template!"&amp;"C"&amp;A378))</f>
        <v>#REF!</v>
      </c>
      <c r="E378" t="e" cm="1">
        <f t="array" aca="1" ref="E378" ca="1">IF(A378="","",IF(OR(A378=A377+1,A378=A377+2),E377,INDIRECT("template!"&amp;"D"&amp;A378-2)))</f>
        <v>#REF!</v>
      </c>
      <c r="F378" t="e" cm="1">
        <f t="array" aca="1" ref="F378" ca="1">IF(OR(A378="",B378="safety"),"",IF(ISBLANK(IF(A378=A377+1,F377,INDIRECT("template!"&amp;"D"&amp;A378-1))),"",IF(A378=A377+1,F377,INDIRECT("template!"&amp;"D"&amp;A378-1))))</f>
        <v>#REF!</v>
      </c>
      <c r="G378" t="e" cm="1">
        <f t="array" aca="1" ref="G378" ca="1">IF(OR(A378="",B378="safety"),"",IF(ISBLANK(INDIRECT("template!"&amp;"D"&amp;A378)),"",INDIRECT("template!"&amp;"D"&amp;A378)))</f>
        <v>#REF!</v>
      </c>
      <c r="H378" t="e" cm="1">
        <f t="array" aca="1" ref="H378" ca="1">IF(OR(A378="",B378="safety"),"",IF(ISBLANK(INDIRECT("template!"&amp;"E"&amp;A378)),"",INDIRECT("template!"&amp;"E"&amp;A378)))</f>
        <v>#REF!</v>
      </c>
      <c r="I378" t="e" cm="1">
        <f t="array" aca="1" ref="I378" ca="1">IF(OR(A378="",B378="safety"),"",IF(ISBLANK(INDIRECT("template!"&amp;"F"&amp;A378)),"",INDIRECT("template!"&amp;"F"&amp;A378)))</f>
        <v>#REF!</v>
      </c>
      <c r="J378" t="e" cm="1">
        <f t="array" aca="1" ref="J378" ca="1">IF(OR(A378="",B378="safety"),"",IF(ISBLANK(INDIRECT("template!"&amp;"G"&amp;A378)),"",INDIRECT("template!"&amp;"G"&amp;A378)))</f>
        <v>#REF!</v>
      </c>
      <c r="K378" t="e" cm="1">
        <f t="array" aca="1" ref="K378" ca="1">IF(OR(A378="",B378="safety"),"",IF(ISBLANK(INDIRECT("template!"&amp;"H"&amp;A378)),"",INDIRECT("template!"&amp;"H"&amp;A378)))</f>
        <v>#REF!</v>
      </c>
      <c r="L378" t="e" cm="1">
        <f t="array" aca="1" ref="L378" ca="1">IF(OR(A378="",B378="safety"),"",INDIRECT("template!"&amp;"I"&amp;A378))</f>
        <v>#REF!</v>
      </c>
      <c r="M378" t="e" cm="1">
        <f t="array" aca="1" ref="M378" ca="1">IF(OR(A378="",B378="safety"),"",INDIRECT("template!"&amp;"J"&amp;A378))</f>
        <v>#REF!</v>
      </c>
      <c r="N378" t="e" cm="1">
        <f t="array" aca="1" ref="N378" ca="1">IF(OR(A378="",B378="safety"),"",IF(ISBLANK(INDIRECT("template!"&amp;"K"&amp;A378)),"",INDIRECT("template!"&amp;"K"&amp;A378)))</f>
        <v>#REF!</v>
      </c>
      <c r="O378" t="e" cm="1">
        <f t="array" aca="1" ref="O378" ca="1">IF(OR(A378="",B378="safety"),"",INDIRECT("template!"&amp;"L"&amp;A378))</f>
        <v>#REF!</v>
      </c>
      <c r="P378" t="e" cm="1">
        <f t="array" aca="1" ref="P378" ca="1">IF(OR(A378="",B378="safety"),"",INDIRECT("template!"&amp;"M"&amp;A378))</f>
        <v>#REF!</v>
      </c>
      <c r="Q378" t="e">
        <f t="shared" ca="1" si="28"/>
        <v>#REF!</v>
      </c>
      <c r="R378" t="e">
        <f t="shared" ca="1" si="29"/>
        <v>#REF!</v>
      </c>
      <c r="S378" t="e">
        <f t="shared" ca="1" si="30"/>
        <v>#REF!</v>
      </c>
      <c r="T378" t="e">
        <f t="shared" ca="1" si="31"/>
        <v>#REF!</v>
      </c>
      <c r="U378" t="e" cm="1">
        <f t="array" aca="1" ref="U378" ca="1">IF(A378="","",IF(E378="","",IF(B378="safety",INDIRECT("template!"&amp;"P"&amp;A378),Q378+R378)))</f>
        <v>#REF!</v>
      </c>
      <c r="V378" t="e" cm="1">
        <f t="array" aca="1" ref="V378" ca="1">IF(A378="","",IF(E378="","",IF(B378="safety",INDIRECT("template!"&amp;"P"&amp;A378),S378+T378)))</f>
        <v>#REF!</v>
      </c>
      <c r="W378" t="e">
        <f ca="1">IF(A378="","",IF(E378="","",#REF!))</f>
        <v>#REF!</v>
      </c>
      <c r="X378" t="e">
        <f ca="1">IF(A378="","",IF(E378="","",#REF!))</f>
        <v>#REF!</v>
      </c>
      <c r="Y378" s="39" t="e">
        <f ca="1">IF(A378="","",IF(E378="","",#REF!))</f>
        <v>#REF!</v>
      </c>
      <c r="Z378" t="e">
        <f ca="1">IF(A378="","",IF(E378="","",#REF!))</f>
        <v>#REF!</v>
      </c>
      <c r="AA378" t="e">
        <f ca="1">IF(A378="","",IF(E378="","",#REF!))</f>
        <v>#REF!</v>
      </c>
      <c r="AB378" t="e">
        <f ca="1">IF(A378="","",IF(E378="","",#REF!))</f>
        <v>#REF!</v>
      </c>
      <c r="AC378" t="e">
        <f t="shared" ca="1" si="32"/>
        <v>#REF!</v>
      </c>
    </row>
    <row r="379" spans="1:29" x14ac:dyDescent="0.35">
      <c r="A379" t="e" cm="1">
        <f t="array" aca="1" ref="A379" ca="1">IF(A378="","",IF(OR(AND(A378+1&gt;=$AF$1,A378+1&lt;=$AF$2),AND(A378+1&gt;=$AF$6,A378+1&lt;=$AF$7),AND(A378+1&gt;=$AF$3,A378+1&lt;=$AF$4),AND(A378+1&gt;=$AF$8,A378+1&lt;=$AF$9),A378+1=$AF$5),IF(NOT(ISBLANK(INDIRECT("template!"&amp;"P"&amp;A378+1))),A378+1,IF(NOT(ISBLANK(INDIRECT("template!"&amp;"P"&amp;A378+2))),A378+2,A378+3)),IF(A378=$AF$2,$AF$3,IF(A378=$AF$4,$AF$5,IF(A378=$AF$5,$AF$6,IF(A378=$AF$7,$AF$8,""))))))</f>
        <v>#REF!</v>
      </c>
      <c r="B379" t="e">
        <f t="shared" ca="1" si="27"/>
        <v>#REF!</v>
      </c>
      <c r="C379" t="e" cm="1">
        <f t="array" aca="1" ref="C379" ca="1">IF(A379="","",IF(B379="safety","safety costs",INDIRECT("template!"&amp;"B"&amp;A379)))</f>
        <v>#REF!</v>
      </c>
      <c r="D379" t="e" cm="1">
        <f t="array" aca="1" ref="D379" ca="1">IF(OR(A379="",B379="safety"),"",INDIRECT("template!"&amp;"C"&amp;A379))</f>
        <v>#REF!</v>
      </c>
      <c r="E379" t="e" cm="1">
        <f t="array" aca="1" ref="E379" ca="1">IF(A379="","",IF(OR(A379=A378+1,A379=A378+2),E378,INDIRECT("template!"&amp;"D"&amp;A379-2)))</f>
        <v>#REF!</v>
      </c>
      <c r="F379" t="e" cm="1">
        <f t="array" aca="1" ref="F379" ca="1">IF(OR(A379="",B379="safety"),"",IF(ISBLANK(IF(A379=A378+1,F378,INDIRECT("template!"&amp;"D"&amp;A379-1))),"",IF(A379=A378+1,F378,INDIRECT("template!"&amp;"D"&amp;A379-1))))</f>
        <v>#REF!</v>
      </c>
      <c r="G379" t="e" cm="1">
        <f t="array" aca="1" ref="G379" ca="1">IF(OR(A379="",B379="safety"),"",IF(ISBLANK(INDIRECT("template!"&amp;"D"&amp;A379)),"",INDIRECT("template!"&amp;"D"&amp;A379)))</f>
        <v>#REF!</v>
      </c>
      <c r="H379" t="e" cm="1">
        <f t="array" aca="1" ref="H379" ca="1">IF(OR(A379="",B379="safety"),"",IF(ISBLANK(INDIRECT("template!"&amp;"E"&amp;A379)),"",INDIRECT("template!"&amp;"E"&amp;A379)))</f>
        <v>#REF!</v>
      </c>
      <c r="I379" t="e" cm="1">
        <f t="array" aca="1" ref="I379" ca="1">IF(OR(A379="",B379="safety"),"",IF(ISBLANK(INDIRECT("template!"&amp;"F"&amp;A379)),"",INDIRECT("template!"&amp;"F"&amp;A379)))</f>
        <v>#REF!</v>
      </c>
      <c r="J379" t="e" cm="1">
        <f t="array" aca="1" ref="J379" ca="1">IF(OR(A379="",B379="safety"),"",IF(ISBLANK(INDIRECT("template!"&amp;"G"&amp;A379)),"",INDIRECT("template!"&amp;"G"&amp;A379)))</f>
        <v>#REF!</v>
      </c>
      <c r="K379" t="e" cm="1">
        <f t="array" aca="1" ref="K379" ca="1">IF(OR(A379="",B379="safety"),"",IF(ISBLANK(INDIRECT("template!"&amp;"H"&amp;A379)),"",INDIRECT("template!"&amp;"H"&amp;A379)))</f>
        <v>#REF!</v>
      </c>
      <c r="L379" t="e" cm="1">
        <f t="array" aca="1" ref="L379" ca="1">IF(OR(A379="",B379="safety"),"",INDIRECT("template!"&amp;"I"&amp;A379))</f>
        <v>#REF!</v>
      </c>
      <c r="M379" t="e" cm="1">
        <f t="array" aca="1" ref="M379" ca="1">IF(OR(A379="",B379="safety"),"",INDIRECT("template!"&amp;"J"&amp;A379))</f>
        <v>#REF!</v>
      </c>
      <c r="N379" t="e" cm="1">
        <f t="array" aca="1" ref="N379" ca="1">IF(OR(A379="",B379="safety"),"",IF(ISBLANK(INDIRECT("template!"&amp;"K"&amp;A379)),"",INDIRECT("template!"&amp;"K"&amp;A379)))</f>
        <v>#REF!</v>
      </c>
      <c r="O379" t="e" cm="1">
        <f t="array" aca="1" ref="O379" ca="1">IF(OR(A379="",B379="safety"),"",INDIRECT("template!"&amp;"L"&amp;A379))</f>
        <v>#REF!</v>
      </c>
      <c r="P379" t="e" cm="1">
        <f t="array" aca="1" ref="P379" ca="1">IF(OR(A379="",B379="safety"),"",INDIRECT("template!"&amp;"M"&amp;A379))</f>
        <v>#REF!</v>
      </c>
      <c r="Q379" t="e">
        <f t="shared" ca="1" si="28"/>
        <v>#REF!</v>
      </c>
      <c r="R379" t="e">
        <f t="shared" ca="1" si="29"/>
        <v>#REF!</v>
      </c>
      <c r="S379" t="e">
        <f t="shared" ca="1" si="30"/>
        <v>#REF!</v>
      </c>
      <c r="T379" t="e">
        <f t="shared" ca="1" si="31"/>
        <v>#REF!</v>
      </c>
      <c r="U379" t="e" cm="1">
        <f t="array" aca="1" ref="U379" ca="1">IF(A379="","",IF(E379="","",IF(B379="safety",INDIRECT("template!"&amp;"P"&amp;A379),Q379+R379)))</f>
        <v>#REF!</v>
      </c>
      <c r="V379" t="e" cm="1">
        <f t="array" aca="1" ref="V379" ca="1">IF(A379="","",IF(E379="","",IF(B379="safety",INDIRECT("template!"&amp;"P"&amp;A379),S379+T379)))</f>
        <v>#REF!</v>
      </c>
      <c r="W379" t="e">
        <f ca="1">IF(A379="","",IF(E379="","",#REF!))</f>
        <v>#REF!</v>
      </c>
      <c r="X379" t="e">
        <f ca="1">IF(A379="","",IF(E379="","",#REF!))</f>
        <v>#REF!</v>
      </c>
      <c r="Y379" s="39" t="e">
        <f ca="1">IF(A379="","",IF(E379="","",#REF!))</f>
        <v>#REF!</v>
      </c>
      <c r="Z379" t="e">
        <f ca="1">IF(A379="","",IF(E379="","",#REF!))</f>
        <v>#REF!</v>
      </c>
      <c r="AA379" t="e">
        <f ca="1">IF(A379="","",IF(E379="","",#REF!))</f>
        <v>#REF!</v>
      </c>
      <c r="AB379" t="e">
        <f ca="1">IF(A379="","",IF(E379="","",#REF!))</f>
        <v>#REF!</v>
      </c>
      <c r="AC379" t="e">
        <f t="shared" ca="1" si="32"/>
        <v>#REF!</v>
      </c>
    </row>
    <row r="380" spans="1:29" x14ac:dyDescent="0.35">
      <c r="A380" t="e" cm="1">
        <f t="array" aca="1" ref="A380" ca="1">IF(A379="","",IF(OR(AND(A379+1&gt;=$AF$1,A379+1&lt;=$AF$2),AND(A379+1&gt;=$AF$6,A379+1&lt;=$AF$7),AND(A379+1&gt;=$AF$3,A379+1&lt;=$AF$4),AND(A379+1&gt;=$AF$8,A379+1&lt;=$AF$9),A379+1=$AF$5),IF(NOT(ISBLANK(INDIRECT("template!"&amp;"P"&amp;A379+1))),A379+1,IF(NOT(ISBLANK(INDIRECT("template!"&amp;"P"&amp;A379+2))),A379+2,A379+3)),IF(A379=$AF$2,$AF$3,IF(A379=$AF$4,$AF$5,IF(A379=$AF$5,$AF$6,IF(A379=$AF$7,$AF$8,""))))))</f>
        <v>#REF!</v>
      </c>
      <c r="B380" t="e">
        <f t="shared" ca="1" si="27"/>
        <v>#REF!</v>
      </c>
      <c r="C380" t="e" cm="1">
        <f t="array" aca="1" ref="C380" ca="1">IF(A380="","",IF(B380="safety","safety costs",INDIRECT("template!"&amp;"B"&amp;A380)))</f>
        <v>#REF!</v>
      </c>
      <c r="D380" t="e" cm="1">
        <f t="array" aca="1" ref="D380" ca="1">IF(OR(A380="",B380="safety"),"",INDIRECT("template!"&amp;"C"&amp;A380))</f>
        <v>#REF!</v>
      </c>
      <c r="E380" t="e" cm="1">
        <f t="array" aca="1" ref="E380" ca="1">IF(A380="","",IF(OR(A380=A379+1,A380=A379+2),E379,INDIRECT("template!"&amp;"D"&amp;A380-2)))</f>
        <v>#REF!</v>
      </c>
      <c r="F380" t="e" cm="1">
        <f t="array" aca="1" ref="F380" ca="1">IF(OR(A380="",B380="safety"),"",IF(ISBLANK(IF(A380=A379+1,F379,INDIRECT("template!"&amp;"D"&amp;A380-1))),"",IF(A380=A379+1,F379,INDIRECT("template!"&amp;"D"&amp;A380-1))))</f>
        <v>#REF!</v>
      </c>
      <c r="G380" t="e" cm="1">
        <f t="array" aca="1" ref="G380" ca="1">IF(OR(A380="",B380="safety"),"",IF(ISBLANK(INDIRECT("template!"&amp;"D"&amp;A380)),"",INDIRECT("template!"&amp;"D"&amp;A380)))</f>
        <v>#REF!</v>
      </c>
      <c r="H380" t="e" cm="1">
        <f t="array" aca="1" ref="H380" ca="1">IF(OR(A380="",B380="safety"),"",IF(ISBLANK(INDIRECT("template!"&amp;"E"&amp;A380)),"",INDIRECT("template!"&amp;"E"&amp;A380)))</f>
        <v>#REF!</v>
      </c>
      <c r="I380" t="e" cm="1">
        <f t="array" aca="1" ref="I380" ca="1">IF(OR(A380="",B380="safety"),"",IF(ISBLANK(INDIRECT("template!"&amp;"F"&amp;A380)),"",INDIRECT("template!"&amp;"F"&amp;A380)))</f>
        <v>#REF!</v>
      </c>
      <c r="J380" t="e" cm="1">
        <f t="array" aca="1" ref="J380" ca="1">IF(OR(A380="",B380="safety"),"",IF(ISBLANK(INDIRECT("template!"&amp;"G"&amp;A380)),"",INDIRECT("template!"&amp;"G"&amp;A380)))</f>
        <v>#REF!</v>
      </c>
      <c r="K380" t="e" cm="1">
        <f t="array" aca="1" ref="K380" ca="1">IF(OR(A380="",B380="safety"),"",IF(ISBLANK(INDIRECT("template!"&amp;"H"&amp;A380)),"",INDIRECT("template!"&amp;"H"&amp;A380)))</f>
        <v>#REF!</v>
      </c>
      <c r="L380" t="e" cm="1">
        <f t="array" aca="1" ref="L380" ca="1">IF(OR(A380="",B380="safety"),"",INDIRECT("template!"&amp;"I"&amp;A380))</f>
        <v>#REF!</v>
      </c>
      <c r="M380" t="e" cm="1">
        <f t="array" aca="1" ref="M380" ca="1">IF(OR(A380="",B380="safety"),"",INDIRECT("template!"&amp;"J"&amp;A380))</f>
        <v>#REF!</v>
      </c>
      <c r="N380" t="e" cm="1">
        <f t="array" aca="1" ref="N380" ca="1">IF(OR(A380="",B380="safety"),"",IF(ISBLANK(INDIRECT("template!"&amp;"K"&amp;A380)),"",INDIRECT("template!"&amp;"K"&amp;A380)))</f>
        <v>#REF!</v>
      </c>
      <c r="O380" t="e" cm="1">
        <f t="array" aca="1" ref="O380" ca="1">IF(OR(A380="",B380="safety"),"",INDIRECT("template!"&amp;"L"&amp;A380))</f>
        <v>#REF!</v>
      </c>
      <c r="P380" t="e" cm="1">
        <f t="array" aca="1" ref="P380" ca="1">IF(OR(A380="",B380="safety"),"",INDIRECT("template!"&amp;"M"&amp;A380))</f>
        <v>#REF!</v>
      </c>
      <c r="Q380" t="e">
        <f t="shared" ca="1" si="28"/>
        <v>#REF!</v>
      </c>
      <c r="R380" t="e">
        <f t="shared" ca="1" si="29"/>
        <v>#REF!</v>
      </c>
      <c r="S380" t="e">
        <f t="shared" ca="1" si="30"/>
        <v>#REF!</v>
      </c>
      <c r="T380" t="e">
        <f t="shared" ca="1" si="31"/>
        <v>#REF!</v>
      </c>
      <c r="U380" t="e" cm="1">
        <f t="array" aca="1" ref="U380" ca="1">IF(A380="","",IF(E380="","",IF(B380="safety",INDIRECT("template!"&amp;"P"&amp;A380),Q380+R380)))</f>
        <v>#REF!</v>
      </c>
      <c r="V380" t="e" cm="1">
        <f t="array" aca="1" ref="V380" ca="1">IF(A380="","",IF(E380="","",IF(B380="safety",INDIRECT("template!"&amp;"P"&amp;A380),S380+T380)))</f>
        <v>#REF!</v>
      </c>
      <c r="W380" t="e">
        <f ca="1">IF(A380="","",IF(E380="","",#REF!))</f>
        <v>#REF!</v>
      </c>
      <c r="X380" t="e">
        <f ca="1">IF(A380="","",IF(E380="","",#REF!))</f>
        <v>#REF!</v>
      </c>
      <c r="Y380" s="39" t="e">
        <f ca="1">IF(A380="","",IF(E380="","",#REF!))</f>
        <v>#REF!</v>
      </c>
      <c r="Z380" t="e">
        <f ca="1">IF(A380="","",IF(E380="","",#REF!))</f>
        <v>#REF!</v>
      </c>
      <c r="AA380" t="e">
        <f ca="1">IF(A380="","",IF(E380="","",#REF!))</f>
        <v>#REF!</v>
      </c>
      <c r="AB380" t="e">
        <f ca="1">IF(A380="","",IF(E380="","",#REF!))</f>
        <v>#REF!</v>
      </c>
      <c r="AC380" t="e">
        <f t="shared" ca="1" si="32"/>
        <v>#REF!</v>
      </c>
    </row>
    <row r="381" spans="1:29" x14ac:dyDescent="0.35">
      <c r="A381" t="e" cm="1">
        <f t="array" aca="1" ref="A381" ca="1">IF(A380="","",IF(OR(AND(A380+1&gt;=$AF$1,A380+1&lt;=$AF$2),AND(A380+1&gt;=$AF$6,A380+1&lt;=$AF$7),AND(A380+1&gt;=$AF$3,A380+1&lt;=$AF$4),AND(A380+1&gt;=$AF$8,A380+1&lt;=$AF$9),A380+1=$AF$5),IF(NOT(ISBLANK(INDIRECT("template!"&amp;"P"&amp;A380+1))),A380+1,IF(NOT(ISBLANK(INDIRECT("template!"&amp;"P"&amp;A380+2))),A380+2,A380+3)),IF(A380=$AF$2,$AF$3,IF(A380=$AF$4,$AF$5,IF(A380=$AF$5,$AF$6,IF(A380=$AF$7,$AF$8,""))))))</f>
        <v>#REF!</v>
      </c>
      <c r="B381" t="e">
        <f t="shared" ca="1" si="27"/>
        <v>#REF!</v>
      </c>
      <c r="C381" t="e" cm="1">
        <f t="array" aca="1" ref="C381" ca="1">IF(A381="","",IF(B381="safety","safety costs",INDIRECT("template!"&amp;"B"&amp;A381)))</f>
        <v>#REF!</v>
      </c>
      <c r="D381" t="e" cm="1">
        <f t="array" aca="1" ref="D381" ca="1">IF(OR(A381="",B381="safety"),"",INDIRECT("template!"&amp;"C"&amp;A381))</f>
        <v>#REF!</v>
      </c>
      <c r="E381" t="e" cm="1">
        <f t="array" aca="1" ref="E381" ca="1">IF(A381="","",IF(OR(A381=A380+1,A381=A380+2),E380,INDIRECT("template!"&amp;"D"&amp;A381-2)))</f>
        <v>#REF!</v>
      </c>
      <c r="F381" t="e" cm="1">
        <f t="array" aca="1" ref="F381" ca="1">IF(OR(A381="",B381="safety"),"",IF(ISBLANK(IF(A381=A380+1,F380,INDIRECT("template!"&amp;"D"&amp;A381-1))),"",IF(A381=A380+1,F380,INDIRECT("template!"&amp;"D"&amp;A381-1))))</f>
        <v>#REF!</v>
      </c>
      <c r="G381" t="e" cm="1">
        <f t="array" aca="1" ref="G381" ca="1">IF(OR(A381="",B381="safety"),"",IF(ISBLANK(INDIRECT("template!"&amp;"D"&amp;A381)),"",INDIRECT("template!"&amp;"D"&amp;A381)))</f>
        <v>#REF!</v>
      </c>
      <c r="H381" t="e" cm="1">
        <f t="array" aca="1" ref="H381" ca="1">IF(OR(A381="",B381="safety"),"",IF(ISBLANK(INDIRECT("template!"&amp;"E"&amp;A381)),"",INDIRECT("template!"&amp;"E"&amp;A381)))</f>
        <v>#REF!</v>
      </c>
      <c r="I381" t="e" cm="1">
        <f t="array" aca="1" ref="I381" ca="1">IF(OR(A381="",B381="safety"),"",IF(ISBLANK(INDIRECT("template!"&amp;"F"&amp;A381)),"",INDIRECT("template!"&amp;"F"&amp;A381)))</f>
        <v>#REF!</v>
      </c>
      <c r="J381" t="e" cm="1">
        <f t="array" aca="1" ref="J381" ca="1">IF(OR(A381="",B381="safety"),"",IF(ISBLANK(INDIRECT("template!"&amp;"G"&amp;A381)),"",INDIRECT("template!"&amp;"G"&amp;A381)))</f>
        <v>#REF!</v>
      </c>
      <c r="K381" t="e" cm="1">
        <f t="array" aca="1" ref="K381" ca="1">IF(OR(A381="",B381="safety"),"",IF(ISBLANK(INDIRECT("template!"&amp;"H"&amp;A381)),"",INDIRECT("template!"&amp;"H"&amp;A381)))</f>
        <v>#REF!</v>
      </c>
      <c r="L381" t="e" cm="1">
        <f t="array" aca="1" ref="L381" ca="1">IF(OR(A381="",B381="safety"),"",INDIRECT("template!"&amp;"I"&amp;A381))</f>
        <v>#REF!</v>
      </c>
      <c r="M381" t="e" cm="1">
        <f t="array" aca="1" ref="M381" ca="1">IF(OR(A381="",B381="safety"),"",INDIRECT("template!"&amp;"J"&amp;A381))</f>
        <v>#REF!</v>
      </c>
      <c r="N381" t="e" cm="1">
        <f t="array" aca="1" ref="N381" ca="1">IF(OR(A381="",B381="safety"),"",IF(ISBLANK(INDIRECT("template!"&amp;"K"&amp;A381)),"",INDIRECT("template!"&amp;"K"&amp;A381)))</f>
        <v>#REF!</v>
      </c>
      <c r="O381" t="e" cm="1">
        <f t="array" aca="1" ref="O381" ca="1">IF(OR(A381="",B381="safety"),"",INDIRECT("template!"&amp;"L"&amp;A381))</f>
        <v>#REF!</v>
      </c>
      <c r="P381" t="e" cm="1">
        <f t="array" aca="1" ref="P381" ca="1">IF(OR(A381="",B381="safety"),"",INDIRECT("template!"&amp;"M"&amp;A381))</f>
        <v>#REF!</v>
      </c>
      <c r="Q381" t="e">
        <f t="shared" ca="1" si="28"/>
        <v>#REF!</v>
      </c>
      <c r="R381" t="e">
        <f t="shared" ca="1" si="29"/>
        <v>#REF!</v>
      </c>
      <c r="S381" t="e">
        <f t="shared" ca="1" si="30"/>
        <v>#REF!</v>
      </c>
      <c r="T381" t="e">
        <f t="shared" ca="1" si="31"/>
        <v>#REF!</v>
      </c>
      <c r="U381" t="e" cm="1">
        <f t="array" aca="1" ref="U381" ca="1">IF(A381="","",IF(E381="","",IF(B381="safety",INDIRECT("template!"&amp;"P"&amp;A381),Q381+R381)))</f>
        <v>#REF!</v>
      </c>
      <c r="V381" t="e" cm="1">
        <f t="array" aca="1" ref="V381" ca="1">IF(A381="","",IF(E381="","",IF(B381="safety",INDIRECT("template!"&amp;"P"&amp;A381),S381+T381)))</f>
        <v>#REF!</v>
      </c>
      <c r="W381" t="e">
        <f ca="1">IF(A381="","",IF(E381="","",#REF!))</f>
        <v>#REF!</v>
      </c>
      <c r="X381" t="e">
        <f ca="1">IF(A381="","",IF(E381="","",#REF!))</f>
        <v>#REF!</v>
      </c>
      <c r="Y381" s="39" t="e">
        <f ca="1">IF(A381="","",IF(E381="","",#REF!))</f>
        <v>#REF!</v>
      </c>
      <c r="Z381" t="e">
        <f ca="1">IF(A381="","",IF(E381="","",#REF!))</f>
        <v>#REF!</v>
      </c>
      <c r="AA381" t="e">
        <f ca="1">IF(A381="","",IF(E381="","",#REF!))</f>
        <v>#REF!</v>
      </c>
      <c r="AB381" t="e">
        <f ca="1">IF(A381="","",IF(E381="","",#REF!))</f>
        <v>#REF!</v>
      </c>
      <c r="AC381" t="e">
        <f t="shared" ca="1" si="32"/>
        <v>#REF!</v>
      </c>
    </row>
    <row r="382" spans="1:29" x14ac:dyDescent="0.35">
      <c r="A382" t="e" cm="1">
        <f t="array" aca="1" ref="A382" ca="1">IF(A381="","",IF(OR(AND(A381+1&gt;=$AF$1,A381+1&lt;=$AF$2),AND(A381+1&gt;=$AF$6,A381+1&lt;=$AF$7),AND(A381+1&gt;=$AF$3,A381+1&lt;=$AF$4),AND(A381+1&gt;=$AF$8,A381+1&lt;=$AF$9),A381+1=$AF$5),IF(NOT(ISBLANK(INDIRECT("template!"&amp;"P"&amp;A381+1))),A381+1,IF(NOT(ISBLANK(INDIRECT("template!"&amp;"P"&amp;A381+2))),A381+2,A381+3)),IF(A381=$AF$2,$AF$3,IF(A381=$AF$4,$AF$5,IF(A381=$AF$5,$AF$6,IF(A381=$AF$7,$AF$8,""))))))</f>
        <v>#REF!</v>
      </c>
      <c r="B382" t="e">
        <f t="shared" ca="1" si="27"/>
        <v>#REF!</v>
      </c>
      <c r="C382" t="e" cm="1">
        <f t="array" aca="1" ref="C382" ca="1">IF(A382="","",IF(B382="safety","safety costs",INDIRECT("template!"&amp;"B"&amp;A382)))</f>
        <v>#REF!</v>
      </c>
      <c r="D382" t="e" cm="1">
        <f t="array" aca="1" ref="D382" ca="1">IF(OR(A382="",B382="safety"),"",INDIRECT("template!"&amp;"C"&amp;A382))</f>
        <v>#REF!</v>
      </c>
      <c r="E382" t="e" cm="1">
        <f t="array" aca="1" ref="E382" ca="1">IF(A382="","",IF(OR(A382=A381+1,A382=A381+2),E381,INDIRECT("template!"&amp;"D"&amp;A382-2)))</f>
        <v>#REF!</v>
      </c>
      <c r="F382" t="e" cm="1">
        <f t="array" aca="1" ref="F382" ca="1">IF(OR(A382="",B382="safety"),"",IF(ISBLANK(IF(A382=A381+1,F381,INDIRECT("template!"&amp;"D"&amp;A382-1))),"",IF(A382=A381+1,F381,INDIRECT("template!"&amp;"D"&amp;A382-1))))</f>
        <v>#REF!</v>
      </c>
      <c r="G382" t="e" cm="1">
        <f t="array" aca="1" ref="G382" ca="1">IF(OR(A382="",B382="safety"),"",IF(ISBLANK(INDIRECT("template!"&amp;"D"&amp;A382)),"",INDIRECT("template!"&amp;"D"&amp;A382)))</f>
        <v>#REF!</v>
      </c>
      <c r="H382" t="e" cm="1">
        <f t="array" aca="1" ref="H382" ca="1">IF(OR(A382="",B382="safety"),"",IF(ISBLANK(INDIRECT("template!"&amp;"E"&amp;A382)),"",INDIRECT("template!"&amp;"E"&amp;A382)))</f>
        <v>#REF!</v>
      </c>
      <c r="I382" t="e" cm="1">
        <f t="array" aca="1" ref="I382" ca="1">IF(OR(A382="",B382="safety"),"",IF(ISBLANK(INDIRECT("template!"&amp;"F"&amp;A382)),"",INDIRECT("template!"&amp;"F"&amp;A382)))</f>
        <v>#REF!</v>
      </c>
      <c r="J382" t="e" cm="1">
        <f t="array" aca="1" ref="J382" ca="1">IF(OR(A382="",B382="safety"),"",IF(ISBLANK(INDIRECT("template!"&amp;"G"&amp;A382)),"",INDIRECT("template!"&amp;"G"&amp;A382)))</f>
        <v>#REF!</v>
      </c>
      <c r="K382" t="e" cm="1">
        <f t="array" aca="1" ref="K382" ca="1">IF(OR(A382="",B382="safety"),"",IF(ISBLANK(INDIRECT("template!"&amp;"H"&amp;A382)),"",INDIRECT("template!"&amp;"H"&amp;A382)))</f>
        <v>#REF!</v>
      </c>
      <c r="L382" t="e" cm="1">
        <f t="array" aca="1" ref="L382" ca="1">IF(OR(A382="",B382="safety"),"",INDIRECT("template!"&amp;"I"&amp;A382))</f>
        <v>#REF!</v>
      </c>
      <c r="M382" t="e" cm="1">
        <f t="array" aca="1" ref="M382" ca="1">IF(OR(A382="",B382="safety"),"",INDIRECT("template!"&amp;"J"&amp;A382))</f>
        <v>#REF!</v>
      </c>
      <c r="N382" t="e" cm="1">
        <f t="array" aca="1" ref="N382" ca="1">IF(OR(A382="",B382="safety"),"",IF(ISBLANK(INDIRECT("template!"&amp;"K"&amp;A382)),"",INDIRECT("template!"&amp;"K"&amp;A382)))</f>
        <v>#REF!</v>
      </c>
      <c r="O382" t="e" cm="1">
        <f t="array" aca="1" ref="O382" ca="1">IF(OR(A382="",B382="safety"),"",INDIRECT("template!"&amp;"L"&amp;A382))</f>
        <v>#REF!</v>
      </c>
      <c r="P382" t="e" cm="1">
        <f t="array" aca="1" ref="P382" ca="1">IF(OR(A382="",B382="safety"),"",INDIRECT("template!"&amp;"M"&amp;A382))</f>
        <v>#REF!</v>
      </c>
      <c r="Q382" t="e">
        <f t="shared" ca="1" si="28"/>
        <v>#REF!</v>
      </c>
      <c r="R382" t="e">
        <f t="shared" ca="1" si="29"/>
        <v>#REF!</v>
      </c>
      <c r="S382" t="e">
        <f t="shared" ca="1" si="30"/>
        <v>#REF!</v>
      </c>
      <c r="T382" t="e">
        <f t="shared" ca="1" si="31"/>
        <v>#REF!</v>
      </c>
      <c r="U382" t="e" cm="1">
        <f t="array" aca="1" ref="U382" ca="1">IF(A382="","",IF(E382="","",IF(B382="safety",INDIRECT("template!"&amp;"P"&amp;A382),Q382+R382)))</f>
        <v>#REF!</v>
      </c>
      <c r="V382" t="e" cm="1">
        <f t="array" aca="1" ref="V382" ca="1">IF(A382="","",IF(E382="","",IF(B382="safety",INDIRECT("template!"&amp;"P"&amp;A382),S382+T382)))</f>
        <v>#REF!</v>
      </c>
      <c r="W382" t="e">
        <f ca="1">IF(A382="","",IF(E382="","",#REF!))</f>
        <v>#REF!</v>
      </c>
      <c r="X382" t="e">
        <f ca="1">IF(A382="","",IF(E382="","",#REF!))</f>
        <v>#REF!</v>
      </c>
      <c r="Y382" s="39" t="e">
        <f ca="1">IF(A382="","",IF(E382="","",#REF!))</f>
        <v>#REF!</v>
      </c>
      <c r="Z382" t="e">
        <f ca="1">IF(A382="","",IF(E382="","",#REF!))</f>
        <v>#REF!</v>
      </c>
      <c r="AA382" t="e">
        <f ca="1">IF(A382="","",IF(E382="","",#REF!))</f>
        <v>#REF!</v>
      </c>
      <c r="AB382" t="e">
        <f ca="1">IF(A382="","",IF(E382="","",#REF!))</f>
        <v>#REF!</v>
      </c>
      <c r="AC382" t="e">
        <f t="shared" ca="1" si="32"/>
        <v>#REF!</v>
      </c>
    </row>
    <row r="383" spans="1:29" x14ac:dyDescent="0.35">
      <c r="A383" t="e" cm="1">
        <f t="array" aca="1" ref="A383" ca="1">IF(A382="","",IF(OR(AND(A382+1&gt;=$AF$1,A382+1&lt;=$AF$2),AND(A382+1&gt;=$AF$6,A382+1&lt;=$AF$7),AND(A382+1&gt;=$AF$3,A382+1&lt;=$AF$4),AND(A382+1&gt;=$AF$8,A382+1&lt;=$AF$9),A382+1=$AF$5),IF(NOT(ISBLANK(INDIRECT("template!"&amp;"P"&amp;A382+1))),A382+1,IF(NOT(ISBLANK(INDIRECT("template!"&amp;"P"&amp;A382+2))),A382+2,A382+3)),IF(A382=$AF$2,$AF$3,IF(A382=$AF$4,$AF$5,IF(A382=$AF$5,$AF$6,IF(A382=$AF$7,$AF$8,""))))))</f>
        <v>#REF!</v>
      </c>
      <c r="B383" t="e">
        <f t="shared" ca="1" si="27"/>
        <v>#REF!</v>
      </c>
      <c r="C383" t="e" cm="1">
        <f t="array" aca="1" ref="C383" ca="1">IF(A383="","",IF(B383="safety","safety costs",INDIRECT("template!"&amp;"B"&amp;A383)))</f>
        <v>#REF!</v>
      </c>
      <c r="D383" t="e" cm="1">
        <f t="array" aca="1" ref="D383" ca="1">IF(OR(A383="",B383="safety"),"",INDIRECT("template!"&amp;"C"&amp;A383))</f>
        <v>#REF!</v>
      </c>
      <c r="E383" t="e" cm="1">
        <f t="array" aca="1" ref="E383" ca="1">IF(A383="","",IF(OR(A383=A382+1,A383=A382+2),E382,INDIRECT("template!"&amp;"D"&amp;A383-2)))</f>
        <v>#REF!</v>
      </c>
      <c r="F383" t="e" cm="1">
        <f t="array" aca="1" ref="F383" ca="1">IF(OR(A383="",B383="safety"),"",IF(ISBLANK(IF(A383=A382+1,F382,INDIRECT("template!"&amp;"D"&amp;A383-1))),"",IF(A383=A382+1,F382,INDIRECT("template!"&amp;"D"&amp;A383-1))))</f>
        <v>#REF!</v>
      </c>
      <c r="G383" t="e" cm="1">
        <f t="array" aca="1" ref="G383" ca="1">IF(OR(A383="",B383="safety"),"",IF(ISBLANK(INDIRECT("template!"&amp;"D"&amp;A383)),"",INDIRECT("template!"&amp;"D"&amp;A383)))</f>
        <v>#REF!</v>
      </c>
      <c r="H383" t="e" cm="1">
        <f t="array" aca="1" ref="H383" ca="1">IF(OR(A383="",B383="safety"),"",IF(ISBLANK(INDIRECT("template!"&amp;"E"&amp;A383)),"",INDIRECT("template!"&amp;"E"&amp;A383)))</f>
        <v>#REF!</v>
      </c>
      <c r="I383" t="e" cm="1">
        <f t="array" aca="1" ref="I383" ca="1">IF(OR(A383="",B383="safety"),"",IF(ISBLANK(INDIRECT("template!"&amp;"F"&amp;A383)),"",INDIRECT("template!"&amp;"F"&amp;A383)))</f>
        <v>#REF!</v>
      </c>
      <c r="J383" t="e" cm="1">
        <f t="array" aca="1" ref="J383" ca="1">IF(OR(A383="",B383="safety"),"",IF(ISBLANK(INDIRECT("template!"&amp;"G"&amp;A383)),"",INDIRECT("template!"&amp;"G"&amp;A383)))</f>
        <v>#REF!</v>
      </c>
      <c r="K383" t="e" cm="1">
        <f t="array" aca="1" ref="K383" ca="1">IF(OR(A383="",B383="safety"),"",IF(ISBLANK(INDIRECT("template!"&amp;"H"&amp;A383)),"",INDIRECT("template!"&amp;"H"&amp;A383)))</f>
        <v>#REF!</v>
      </c>
      <c r="L383" t="e" cm="1">
        <f t="array" aca="1" ref="L383" ca="1">IF(OR(A383="",B383="safety"),"",INDIRECT("template!"&amp;"I"&amp;A383))</f>
        <v>#REF!</v>
      </c>
      <c r="M383" t="e" cm="1">
        <f t="array" aca="1" ref="M383" ca="1">IF(OR(A383="",B383="safety"),"",INDIRECT("template!"&amp;"J"&amp;A383))</f>
        <v>#REF!</v>
      </c>
      <c r="N383" t="e" cm="1">
        <f t="array" aca="1" ref="N383" ca="1">IF(OR(A383="",B383="safety"),"",IF(ISBLANK(INDIRECT("template!"&amp;"K"&amp;A383)),"",INDIRECT("template!"&amp;"K"&amp;A383)))</f>
        <v>#REF!</v>
      </c>
      <c r="O383" t="e" cm="1">
        <f t="array" aca="1" ref="O383" ca="1">IF(OR(A383="",B383="safety"),"",INDIRECT("template!"&amp;"L"&amp;A383))</f>
        <v>#REF!</v>
      </c>
      <c r="P383" t="e" cm="1">
        <f t="array" aca="1" ref="P383" ca="1">IF(OR(A383="",B383="safety"),"",INDIRECT("template!"&amp;"M"&amp;A383))</f>
        <v>#REF!</v>
      </c>
      <c r="Q383" t="e">
        <f t="shared" ca="1" si="28"/>
        <v>#REF!</v>
      </c>
      <c r="R383" t="e">
        <f t="shared" ca="1" si="29"/>
        <v>#REF!</v>
      </c>
      <c r="S383" t="e">
        <f t="shared" ca="1" si="30"/>
        <v>#REF!</v>
      </c>
      <c r="T383" t="e">
        <f t="shared" ca="1" si="31"/>
        <v>#REF!</v>
      </c>
      <c r="U383" t="e" cm="1">
        <f t="array" aca="1" ref="U383" ca="1">IF(A383="","",IF(E383="","",IF(B383="safety",INDIRECT("template!"&amp;"P"&amp;A383),Q383+R383)))</f>
        <v>#REF!</v>
      </c>
      <c r="V383" t="e" cm="1">
        <f t="array" aca="1" ref="V383" ca="1">IF(A383="","",IF(E383="","",IF(B383="safety",INDIRECT("template!"&amp;"P"&amp;A383),S383+T383)))</f>
        <v>#REF!</v>
      </c>
      <c r="W383" t="e">
        <f ca="1">IF(A383="","",IF(E383="","",#REF!))</f>
        <v>#REF!</v>
      </c>
      <c r="X383" t="e">
        <f ca="1">IF(A383="","",IF(E383="","",#REF!))</f>
        <v>#REF!</v>
      </c>
      <c r="Y383" s="39" t="e">
        <f ca="1">IF(A383="","",IF(E383="","",#REF!))</f>
        <v>#REF!</v>
      </c>
      <c r="Z383" t="e">
        <f ca="1">IF(A383="","",IF(E383="","",#REF!))</f>
        <v>#REF!</v>
      </c>
      <c r="AA383" t="e">
        <f ca="1">IF(A383="","",IF(E383="","",#REF!))</f>
        <v>#REF!</v>
      </c>
      <c r="AB383" t="e">
        <f ca="1">IF(A383="","",IF(E383="","",#REF!))</f>
        <v>#REF!</v>
      </c>
      <c r="AC383" t="e">
        <f t="shared" ca="1" si="32"/>
        <v>#REF!</v>
      </c>
    </row>
    <row r="384" spans="1:29" x14ac:dyDescent="0.35">
      <c r="A384" t="e" cm="1">
        <f t="array" aca="1" ref="A384" ca="1">IF(A383="","",IF(OR(AND(A383+1&gt;=$AF$1,A383+1&lt;=$AF$2),AND(A383+1&gt;=$AF$6,A383+1&lt;=$AF$7),AND(A383+1&gt;=$AF$3,A383+1&lt;=$AF$4),AND(A383+1&gt;=$AF$8,A383+1&lt;=$AF$9),A383+1=$AF$5),IF(NOT(ISBLANK(INDIRECT("template!"&amp;"P"&amp;A383+1))),A383+1,IF(NOT(ISBLANK(INDIRECT("template!"&amp;"P"&amp;A383+2))),A383+2,A383+3)),IF(A383=$AF$2,$AF$3,IF(A383=$AF$4,$AF$5,IF(A383=$AF$5,$AF$6,IF(A383=$AF$7,$AF$8,""))))))</f>
        <v>#REF!</v>
      </c>
      <c r="B384" t="e">
        <f t="shared" ca="1" si="27"/>
        <v>#REF!</v>
      </c>
      <c r="C384" t="e" cm="1">
        <f t="array" aca="1" ref="C384" ca="1">IF(A384="","",IF(B384="safety","safety costs",INDIRECT("template!"&amp;"B"&amp;A384)))</f>
        <v>#REF!</v>
      </c>
      <c r="D384" t="e" cm="1">
        <f t="array" aca="1" ref="D384" ca="1">IF(OR(A384="",B384="safety"),"",INDIRECT("template!"&amp;"C"&amp;A384))</f>
        <v>#REF!</v>
      </c>
      <c r="E384" t="e" cm="1">
        <f t="array" aca="1" ref="E384" ca="1">IF(A384="","",IF(OR(A384=A383+1,A384=A383+2),E383,INDIRECT("template!"&amp;"D"&amp;A384-2)))</f>
        <v>#REF!</v>
      </c>
      <c r="F384" t="e" cm="1">
        <f t="array" aca="1" ref="F384" ca="1">IF(OR(A384="",B384="safety"),"",IF(ISBLANK(IF(A384=A383+1,F383,INDIRECT("template!"&amp;"D"&amp;A384-1))),"",IF(A384=A383+1,F383,INDIRECT("template!"&amp;"D"&amp;A384-1))))</f>
        <v>#REF!</v>
      </c>
      <c r="G384" t="e" cm="1">
        <f t="array" aca="1" ref="G384" ca="1">IF(OR(A384="",B384="safety"),"",IF(ISBLANK(INDIRECT("template!"&amp;"D"&amp;A384)),"",INDIRECT("template!"&amp;"D"&amp;A384)))</f>
        <v>#REF!</v>
      </c>
      <c r="H384" t="e" cm="1">
        <f t="array" aca="1" ref="H384" ca="1">IF(OR(A384="",B384="safety"),"",IF(ISBLANK(INDIRECT("template!"&amp;"E"&amp;A384)),"",INDIRECT("template!"&amp;"E"&amp;A384)))</f>
        <v>#REF!</v>
      </c>
      <c r="I384" t="e" cm="1">
        <f t="array" aca="1" ref="I384" ca="1">IF(OR(A384="",B384="safety"),"",IF(ISBLANK(INDIRECT("template!"&amp;"F"&amp;A384)),"",INDIRECT("template!"&amp;"F"&amp;A384)))</f>
        <v>#REF!</v>
      </c>
      <c r="J384" t="e" cm="1">
        <f t="array" aca="1" ref="J384" ca="1">IF(OR(A384="",B384="safety"),"",IF(ISBLANK(INDIRECT("template!"&amp;"G"&amp;A384)),"",INDIRECT("template!"&amp;"G"&amp;A384)))</f>
        <v>#REF!</v>
      </c>
      <c r="K384" t="e" cm="1">
        <f t="array" aca="1" ref="K384" ca="1">IF(OR(A384="",B384="safety"),"",IF(ISBLANK(INDIRECT("template!"&amp;"H"&amp;A384)),"",INDIRECT("template!"&amp;"H"&amp;A384)))</f>
        <v>#REF!</v>
      </c>
      <c r="L384" t="e" cm="1">
        <f t="array" aca="1" ref="L384" ca="1">IF(OR(A384="",B384="safety"),"",INDIRECT("template!"&amp;"I"&amp;A384))</f>
        <v>#REF!</v>
      </c>
      <c r="M384" t="e" cm="1">
        <f t="array" aca="1" ref="M384" ca="1">IF(OR(A384="",B384="safety"),"",INDIRECT("template!"&amp;"J"&amp;A384))</f>
        <v>#REF!</v>
      </c>
      <c r="N384" t="e" cm="1">
        <f t="array" aca="1" ref="N384" ca="1">IF(OR(A384="",B384="safety"),"",IF(ISBLANK(INDIRECT("template!"&amp;"K"&amp;A384)),"",INDIRECT("template!"&amp;"K"&amp;A384)))</f>
        <v>#REF!</v>
      </c>
      <c r="O384" t="e" cm="1">
        <f t="array" aca="1" ref="O384" ca="1">IF(OR(A384="",B384="safety"),"",INDIRECT("template!"&amp;"L"&amp;A384))</f>
        <v>#REF!</v>
      </c>
      <c r="P384" t="e" cm="1">
        <f t="array" aca="1" ref="P384" ca="1">IF(OR(A384="",B384="safety"),"",INDIRECT("template!"&amp;"M"&amp;A384))</f>
        <v>#REF!</v>
      </c>
      <c r="Q384" t="e">
        <f t="shared" ca="1" si="28"/>
        <v>#REF!</v>
      </c>
      <c r="R384" t="e">
        <f t="shared" ca="1" si="29"/>
        <v>#REF!</v>
      </c>
      <c r="S384" t="e">
        <f t="shared" ca="1" si="30"/>
        <v>#REF!</v>
      </c>
      <c r="T384" t="e">
        <f t="shared" ca="1" si="31"/>
        <v>#REF!</v>
      </c>
      <c r="U384" t="e" cm="1">
        <f t="array" aca="1" ref="U384" ca="1">IF(A384="","",IF(E384="","",IF(B384="safety",INDIRECT("template!"&amp;"P"&amp;A384),Q384+R384)))</f>
        <v>#REF!</v>
      </c>
      <c r="V384" t="e" cm="1">
        <f t="array" aca="1" ref="V384" ca="1">IF(A384="","",IF(E384="","",IF(B384="safety",INDIRECT("template!"&amp;"P"&amp;A384),S384+T384)))</f>
        <v>#REF!</v>
      </c>
      <c r="W384" t="e">
        <f ca="1">IF(A384="","",IF(E384="","",#REF!))</f>
        <v>#REF!</v>
      </c>
      <c r="X384" t="e">
        <f ca="1">IF(A384="","",IF(E384="","",#REF!))</f>
        <v>#REF!</v>
      </c>
      <c r="Y384" s="39" t="e">
        <f ca="1">IF(A384="","",IF(E384="","",#REF!))</f>
        <v>#REF!</v>
      </c>
      <c r="Z384" t="e">
        <f ca="1">IF(A384="","",IF(E384="","",#REF!))</f>
        <v>#REF!</v>
      </c>
      <c r="AA384" t="e">
        <f ca="1">IF(A384="","",IF(E384="","",#REF!))</f>
        <v>#REF!</v>
      </c>
      <c r="AB384" t="e">
        <f ca="1">IF(A384="","",IF(E384="","",#REF!))</f>
        <v>#REF!</v>
      </c>
      <c r="AC384" t="e">
        <f t="shared" ca="1" si="32"/>
        <v>#REF!</v>
      </c>
    </row>
    <row r="385" spans="1:29" x14ac:dyDescent="0.35">
      <c r="A385" t="e" cm="1">
        <f t="array" aca="1" ref="A385" ca="1">IF(A384="","",IF(OR(AND(A384+1&gt;=$AF$1,A384+1&lt;=$AF$2),AND(A384+1&gt;=$AF$6,A384+1&lt;=$AF$7),AND(A384+1&gt;=$AF$3,A384+1&lt;=$AF$4),AND(A384+1&gt;=$AF$8,A384+1&lt;=$AF$9),A384+1=$AF$5),IF(NOT(ISBLANK(INDIRECT("template!"&amp;"P"&amp;A384+1))),A384+1,IF(NOT(ISBLANK(INDIRECT("template!"&amp;"P"&amp;A384+2))),A384+2,A384+3)),IF(A384=$AF$2,$AF$3,IF(A384=$AF$4,$AF$5,IF(A384=$AF$5,$AF$6,IF(A384=$AF$7,$AF$8,""))))))</f>
        <v>#REF!</v>
      </c>
      <c r="B385" t="e">
        <f t="shared" ca="1" si="27"/>
        <v>#REF!</v>
      </c>
      <c r="C385" t="e" cm="1">
        <f t="array" aca="1" ref="C385" ca="1">IF(A385="","",IF(B385="safety","safety costs",INDIRECT("template!"&amp;"B"&amp;A385)))</f>
        <v>#REF!</v>
      </c>
      <c r="D385" t="e" cm="1">
        <f t="array" aca="1" ref="D385" ca="1">IF(OR(A385="",B385="safety"),"",INDIRECT("template!"&amp;"C"&amp;A385))</f>
        <v>#REF!</v>
      </c>
      <c r="E385" t="e" cm="1">
        <f t="array" aca="1" ref="E385" ca="1">IF(A385="","",IF(OR(A385=A384+1,A385=A384+2),E384,INDIRECT("template!"&amp;"D"&amp;A385-2)))</f>
        <v>#REF!</v>
      </c>
      <c r="F385" t="e" cm="1">
        <f t="array" aca="1" ref="F385" ca="1">IF(OR(A385="",B385="safety"),"",IF(ISBLANK(IF(A385=A384+1,F384,INDIRECT("template!"&amp;"D"&amp;A385-1))),"",IF(A385=A384+1,F384,INDIRECT("template!"&amp;"D"&amp;A385-1))))</f>
        <v>#REF!</v>
      </c>
      <c r="G385" t="e" cm="1">
        <f t="array" aca="1" ref="G385" ca="1">IF(OR(A385="",B385="safety"),"",IF(ISBLANK(INDIRECT("template!"&amp;"D"&amp;A385)),"",INDIRECT("template!"&amp;"D"&amp;A385)))</f>
        <v>#REF!</v>
      </c>
      <c r="H385" t="e" cm="1">
        <f t="array" aca="1" ref="H385" ca="1">IF(OR(A385="",B385="safety"),"",IF(ISBLANK(INDIRECT("template!"&amp;"E"&amp;A385)),"",INDIRECT("template!"&amp;"E"&amp;A385)))</f>
        <v>#REF!</v>
      </c>
      <c r="I385" t="e" cm="1">
        <f t="array" aca="1" ref="I385" ca="1">IF(OR(A385="",B385="safety"),"",IF(ISBLANK(INDIRECT("template!"&amp;"F"&amp;A385)),"",INDIRECT("template!"&amp;"F"&amp;A385)))</f>
        <v>#REF!</v>
      </c>
      <c r="J385" t="e" cm="1">
        <f t="array" aca="1" ref="J385" ca="1">IF(OR(A385="",B385="safety"),"",IF(ISBLANK(INDIRECT("template!"&amp;"G"&amp;A385)),"",INDIRECT("template!"&amp;"G"&amp;A385)))</f>
        <v>#REF!</v>
      </c>
      <c r="K385" t="e" cm="1">
        <f t="array" aca="1" ref="K385" ca="1">IF(OR(A385="",B385="safety"),"",IF(ISBLANK(INDIRECT("template!"&amp;"H"&amp;A385)),"",INDIRECT("template!"&amp;"H"&amp;A385)))</f>
        <v>#REF!</v>
      </c>
      <c r="L385" t="e" cm="1">
        <f t="array" aca="1" ref="L385" ca="1">IF(OR(A385="",B385="safety"),"",INDIRECT("template!"&amp;"I"&amp;A385))</f>
        <v>#REF!</v>
      </c>
      <c r="M385" t="e" cm="1">
        <f t="array" aca="1" ref="M385" ca="1">IF(OR(A385="",B385="safety"),"",INDIRECT("template!"&amp;"J"&amp;A385))</f>
        <v>#REF!</v>
      </c>
      <c r="N385" t="e" cm="1">
        <f t="array" aca="1" ref="N385" ca="1">IF(OR(A385="",B385="safety"),"",IF(ISBLANK(INDIRECT("template!"&amp;"K"&amp;A385)),"",INDIRECT("template!"&amp;"K"&amp;A385)))</f>
        <v>#REF!</v>
      </c>
      <c r="O385" t="e" cm="1">
        <f t="array" aca="1" ref="O385" ca="1">IF(OR(A385="",B385="safety"),"",INDIRECT("template!"&amp;"L"&amp;A385))</f>
        <v>#REF!</v>
      </c>
      <c r="P385" t="e" cm="1">
        <f t="array" aca="1" ref="P385" ca="1">IF(OR(A385="",B385="safety"),"",INDIRECT("template!"&amp;"M"&amp;A385))</f>
        <v>#REF!</v>
      </c>
      <c r="Q385" t="e">
        <f t="shared" ca="1" si="28"/>
        <v>#REF!</v>
      </c>
      <c r="R385" t="e">
        <f t="shared" ca="1" si="29"/>
        <v>#REF!</v>
      </c>
      <c r="S385" t="e">
        <f t="shared" ca="1" si="30"/>
        <v>#REF!</v>
      </c>
      <c r="T385" t="e">
        <f t="shared" ca="1" si="31"/>
        <v>#REF!</v>
      </c>
      <c r="U385" t="e" cm="1">
        <f t="array" aca="1" ref="U385" ca="1">IF(A385="","",IF(E385="","",IF(B385="safety",INDIRECT("template!"&amp;"P"&amp;A385),Q385+R385)))</f>
        <v>#REF!</v>
      </c>
      <c r="V385" t="e" cm="1">
        <f t="array" aca="1" ref="V385" ca="1">IF(A385="","",IF(E385="","",IF(B385="safety",INDIRECT("template!"&amp;"P"&amp;A385),S385+T385)))</f>
        <v>#REF!</v>
      </c>
      <c r="W385" t="e">
        <f ca="1">IF(A385="","",IF(E385="","",#REF!))</f>
        <v>#REF!</v>
      </c>
      <c r="X385" t="e">
        <f ca="1">IF(A385="","",IF(E385="","",#REF!))</f>
        <v>#REF!</v>
      </c>
      <c r="Y385" s="39" t="e">
        <f ca="1">IF(A385="","",IF(E385="","",#REF!))</f>
        <v>#REF!</v>
      </c>
      <c r="Z385" t="e">
        <f ca="1">IF(A385="","",IF(E385="","",#REF!))</f>
        <v>#REF!</v>
      </c>
      <c r="AA385" t="e">
        <f ca="1">IF(A385="","",IF(E385="","",#REF!))</f>
        <v>#REF!</v>
      </c>
      <c r="AB385" t="e">
        <f ca="1">IF(A385="","",IF(E385="","",#REF!))</f>
        <v>#REF!</v>
      </c>
      <c r="AC385" t="e">
        <f t="shared" ca="1" si="32"/>
        <v>#REF!</v>
      </c>
    </row>
    <row r="386" spans="1:29" x14ac:dyDescent="0.35">
      <c r="A386" t="e" cm="1">
        <f t="array" aca="1" ref="A386" ca="1">IF(A385="","",IF(OR(AND(A385+1&gt;=$AF$1,A385+1&lt;=$AF$2),AND(A385+1&gt;=$AF$6,A385+1&lt;=$AF$7),AND(A385+1&gt;=$AF$3,A385+1&lt;=$AF$4),AND(A385+1&gt;=$AF$8,A385+1&lt;=$AF$9),A385+1=$AF$5),IF(NOT(ISBLANK(INDIRECT("template!"&amp;"P"&amp;A385+1))),A385+1,IF(NOT(ISBLANK(INDIRECT("template!"&amp;"P"&amp;A385+2))),A385+2,A385+3)),IF(A385=$AF$2,$AF$3,IF(A385=$AF$4,$AF$5,IF(A385=$AF$5,$AF$6,IF(A385=$AF$7,$AF$8,""))))))</f>
        <v>#REF!</v>
      </c>
      <c r="B386" t="e">
        <f t="shared" ref="B386:B449" ca="1" si="33">IF(A386="","",IF(OR(AND(A386&gt;=$AF$1,A386&lt;=$AF$2),AND(A386&gt;=$AF$6,A386&lt;=$AF$7)),"Mechanical",IF(OR(AND(A386&gt;=$AF$3,A386&lt;=$AF$4),AND(A386&gt;=$AF$8,A386&lt;=$AF$9)),"Electric",IF(A386=$AF$5,"Safety",""))))</f>
        <v>#REF!</v>
      </c>
      <c r="C386" t="e" cm="1">
        <f t="array" aca="1" ref="C386" ca="1">IF(A386="","",IF(B386="safety","safety costs",INDIRECT("template!"&amp;"B"&amp;A386)))</f>
        <v>#REF!</v>
      </c>
      <c r="D386" t="e" cm="1">
        <f t="array" aca="1" ref="D386" ca="1">IF(OR(A386="",B386="safety"),"",INDIRECT("template!"&amp;"C"&amp;A386))</f>
        <v>#REF!</v>
      </c>
      <c r="E386" t="e" cm="1">
        <f t="array" aca="1" ref="E386" ca="1">IF(A386="","",IF(OR(A386=A385+1,A386=A385+2),E385,INDIRECT("template!"&amp;"D"&amp;A386-2)))</f>
        <v>#REF!</v>
      </c>
      <c r="F386" t="e" cm="1">
        <f t="array" aca="1" ref="F386" ca="1">IF(OR(A386="",B386="safety"),"",IF(ISBLANK(IF(A386=A385+1,F385,INDIRECT("template!"&amp;"D"&amp;A386-1))),"",IF(A386=A385+1,F385,INDIRECT("template!"&amp;"D"&amp;A386-1))))</f>
        <v>#REF!</v>
      </c>
      <c r="G386" t="e" cm="1">
        <f t="array" aca="1" ref="G386" ca="1">IF(OR(A386="",B386="safety"),"",IF(ISBLANK(INDIRECT("template!"&amp;"D"&amp;A386)),"",INDIRECT("template!"&amp;"D"&amp;A386)))</f>
        <v>#REF!</v>
      </c>
      <c r="H386" t="e" cm="1">
        <f t="array" aca="1" ref="H386" ca="1">IF(OR(A386="",B386="safety"),"",IF(ISBLANK(INDIRECT("template!"&amp;"E"&amp;A386)),"",INDIRECT("template!"&amp;"E"&amp;A386)))</f>
        <v>#REF!</v>
      </c>
      <c r="I386" t="e" cm="1">
        <f t="array" aca="1" ref="I386" ca="1">IF(OR(A386="",B386="safety"),"",IF(ISBLANK(INDIRECT("template!"&amp;"F"&amp;A386)),"",INDIRECT("template!"&amp;"F"&amp;A386)))</f>
        <v>#REF!</v>
      </c>
      <c r="J386" t="e" cm="1">
        <f t="array" aca="1" ref="J386" ca="1">IF(OR(A386="",B386="safety"),"",IF(ISBLANK(INDIRECT("template!"&amp;"G"&amp;A386)),"",INDIRECT("template!"&amp;"G"&amp;A386)))</f>
        <v>#REF!</v>
      </c>
      <c r="K386" t="e" cm="1">
        <f t="array" aca="1" ref="K386" ca="1">IF(OR(A386="",B386="safety"),"",IF(ISBLANK(INDIRECT("template!"&amp;"H"&amp;A386)),"",INDIRECT("template!"&amp;"H"&amp;A386)))</f>
        <v>#REF!</v>
      </c>
      <c r="L386" t="e" cm="1">
        <f t="array" aca="1" ref="L386" ca="1">IF(OR(A386="",B386="safety"),"",INDIRECT("template!"&amp;"I"&amp;A386))</f>
        <v>#REF!</v>
      </c>
      <c r="M386" t="e" cm="1">
        <f t="array" aca="1" ref="M386" ca="1">IF(OR(A386="",B386="safety"),"",INDIRECT("template!"&amp;"J"&amp;A386))</f>
        <v>#REF!</v>
      </c>
      <c r="N386" t="e" cm="1">
        <f t="array" aca="1" ref="N386" ca="1">IF(OR(A386="",B386="safety"),"",IF(ISBLANK(INDIRECT("template!"&amp;"K"&amp;A386)),"",INDIRECT("template!"&amp;"K"&amp;A386)))</f>
        <v>#REF!</v>
      </c>
      <c r="O386" t="e" cm="1">
        <f t="array" aca="1" ref="O386" ca="1">IF(OR(A386="",B386="safety"),"",INDIRECT("template!"&amp;"L"&amp;A386))</f>
        <v>#REF!</v>
      </c>
      <c r="P386" t="e" cm="1">
        <f t="array" aca="1" ref="P386" ca="1">IF(OR(A386="",B386="safety"),"",INDIRECT("template!"&amp;"M"&amp;A386))</f>
        <v>#REF!</v>
      </c>
      <c r="Q386" t="e">
        <f t="shared" ca="1" si="28"/>
        <v>#REF!</v>
      </c>
      <c r="R386" t="e">
        <f t="shared" ca="1" si="29"/>
        <v>#REF!</v>
      </c>
      <c r="S386" t="e">
        <f t="shared" ca="1" si="30"/>
        <v>#REF!</v>
      </c>
      <c r="T386" t="e">
        <f t="shared" ca="1" si="31"/>
        <v>#REF!</v>
      </c>
      <c r="U386" t="e" cm="1">
        <f t="array" aca="1" ref="U386" ca="1">IF(A386="","",IF(E386="","",IF(B386="safety",INDIRECT("template!"&amp;"P"&amp;A386),Q386+R386)))</f>
        <v>#REF!</v>
      </c>
      <c r="V386" t="e" cm="1">
        <f t="array" aca="1" ref="V386" ca="1">IF(A386="","",IF(E386="","",IF(B386="safety",INDIRECT("template!"&amp;"P"&amp;A386),S386+T386)))</f>
        <v>#REF!</v>
      </c>
      <c r="W386" t="e">
        <f ca="1">IF(A386="","",IF(E386="","",#REF!))</f>
        <v>#REF!</v>
      </c>
      <c r="X386" t="e">
        <f ca="1">IF(A386="","",IF(E386="","",#REF!))</f>
        <v>#REF!</v>
      </c>
      <c r="Y386" s="39" t="e">
        <f ca="1">IF(A386="","",IF(E386="","",#REF!))</f>
        <v>#REF!</v>
      </c>
      <c r="Z386" t="e">
        <f ca="1">IF(A386="","",IF(E386="","",#REF!))</f>
        <v>#REF!</v>
      </c>
      <c r="AA386" t="e">
        <f ca="1">IF(A386="","",IF(E386="","",#REF!))</f>
        <v>#REF!</v>
      </c>
      <c r="AB386" t="e">
        <f ca="1">IF(A386="","",IF(E386="","",#REF!))</f>
        <v>#REF!</v>
      </c>
      <c r="AC386" t="e">
        <f t="shared" ca="1" si="32"/>
        <v>#REF!</v>
      </c>
    </row>
    <row r="387" spans="1:29" x14ac:dyDescent="0.35">
      <c r="A387" t="e" cm="1">
        <f t="array" aca="1" ref="A387" ca="1">IF(A386="","",IF(OR(AND(A386+1&gt;=$AF$1,A386+1&lt;=$AF$2),AND(A386+1&gt;=$AF$6,A386+1&lt;=$AF$7),AND(A386+1&gt;=$AF$3,A386+1&lt;=$AF$4),AND(A386+1&gt;=$AF$8,A386+1&lt;=$AF$9),A386+1=$AF$5),IF(NOT(ISBLANK(INDIRECT("template!"&amp;"P"&amp;A386+1))),A386+1,IF(NOT(ISBLANK(INDIRECT("template!"&amp;"P"&amp;A386+2))),A386+2,A386+3)),IF(A386=$AF$2,$AF$3,IF(A386=$AF$4,$AF$5,IF(A386=$AF$5,$AF$6,IF(A386=$AF$7,$AF$8,""))))))</f>
        <v>#REF!</v>
      </c>
      <c r="B387" t="e">
        <f t="shared" ca="1" si="33"/>
        <v>#REF!</v>
      </c>
      <c r="C387" t="e" cm="1">
        <f t="array" aca="1" ref="C387" ca="1">IF(A387="","",IF(B387="safety","safety costs",INDIRECT("template!"&amp;"B"&amp;A387)))</f>
        <v>#REF!</v>
      </c>
      <c r="D387" t="e" cm="1">
        <f t="array" aca="1" ref="D387" ca="1">IF(OR(A387="",B387="safety"),"",INDIRECT("template!"&amp;"C"&amp;A387))</f>
        <v>#REF!</v>
      </c>
      <c r="E387" t="e" cm="1">
        <f t="array" aca="1" ref="E387" ca="1">IF(A387="","",IF(OR(A387=A386+1,A387=A386+2),E386,INDIRECT("template!"&amp;"D"&amp;A387-2)))</f>
        <v>#REF!</v>
      </c>
      <c r="F387" t="e" cm="1">
        <f t="array" aca="1" ref="F387" ca="1">IF(OR(A387="",B387="safety"),"",IF(ISBLANK(IF(A387=A386+1,F386,INDIRECT("template!"&amp;"D"&amp;A387-1))),"",IF(A387=A386+1,F386,INDIRECT("template!"&amp;"D"&amp;A387-1))))</f>
        <v>#REF!</v>
      </c>
      <c r="G387" t="e" cm="1">
        <f t="array" aca="1" ref="G387" ca="1">IF(OR(A387="",B387="safety"),"",IF(ISBLANK(INDIRECT("template!"&amp;"D"&amp;A387)),"",INDIRECT("template!"&amp;"D"&amp;A387)))</f>
        <v>#REF!</v>
      </c>
      <c r="H387" t="e" cm="1">
        <f t="array" aca="1" ref="H387" ca="1">IF(OR(A387="",B387="safety"),"",IF(ISBLANK(INDIRECT("template!"&amp;"E"&amp;A387)),"",INDIRECT("template!"&amp;"E"&amp;A387)))</f>
        <v>#REF!</v>
      </c>
      <c r="I387" t="e" cm="1">
        <f t="array" aca="1" ref="I387" ca="1">IF(OR(A387="",B387="safety"),"",IF(ISBLANK(INDIRECT("template!"&amp;"F"&amp;A387)),"",INDIRECT("template!"&amp;"F"&amp;A387)))</f>
        <v>#REF!</v>
      </c>
      <c r="J387" t="e" cm="1">
        <f t="array" aca="1" ref="J387" ca="1">IF(OR(A387="",B387="safety"),"",IF(ISBLANK(INDIRECT("template!"&amp;"G"&amp;A387)),"",INDIRECT("template!"&amp;"G"&amp;A387)))</f>
        <v>#REF!</v>
      </c>
      <c r="K387" t="e" cm="1">
        <f t="array" aca="1" ref="K387" ca="1">IF(OR(A387="",B387="safety"),"",IF(ISBLANK(INDIRECT("template!"&amp;"H"&amp;A387)),"",INDIRECT("template!"&amp;"H"&amp;A387)))</f>
        <v>#REF!</v>
      </c>
      <c r="L387" t="e" cm="1">
        <f t="array" aca="1" ref="L387" ca="1">IF(OR(A387="",B387="safety"),"",INDIRECT("template!"&amp;"I"&amp;A387))</f>
        <v>#REF!</v>
      </c>
      <c r="M387" t="e" cm="1">
        <f t="array" aca="1" ref="M387" ca="1">IF(OR(A387="",B387="safety"),"",INDIRECT("template!"&amp;"J"&amp;A387))</f>
        <v>#REF!</v>
      </c>
      <c r="N387" t="e" cm="1">
        <f t="array" aca="1" ref="N387" ca="1">IF(OR(A387="",B387="safety"),"",IF(ISBLANK(INDIRECT("template!"&amp;"K"&amp;A387)),"",INDIRECT("template!"&amp;"K"&amp;A387)))</f>
        <v>#REF!</v>
      </c>
      <c r="O387" t="e" cm="1">
        <f t="array" aca="1" ref="O387" ca="1">IF(OR(A387="",B387="safety"),"",INDIRECT("template!"&amp;"L"&amp;A387))</f>
        <v>#REF!</v>
      </c>
      <c r="P387" t="e" cm="1">
        <f t="array" aca="1" ref="P387" ca="1">IF(OR(A387="",B387="safety"),"",INDIRECT("template!"&amp;"M"&amp;A387))</f>
        <v>#REF!</v>
      </c>
      <c r="Q387" t="e">
        <f t="shared" ca="1" si="28"/>
        <v>#REF!</v>
      </c>
      <c r="R387" t="e">
        <f t="shared" ca="1" si="29"/>
        <v>#REF!</v>
      </c>
      <c r="S387" t="e">
        <f t="shared" ca="1" si="30"/>
        <v>#REF!</v>
      </c>
      <c r="T387" t="e">
        <f t="shared" ca="1" si="31"/>
        <v>#REF!</v>
      </c>
      <c r="U387" t="e" cm="1">
        <f t="array" aca="1" ref="U387" ca="1">IF(A387="","",IF(E387="","",IF(B387="safety",INDIRECT("template!"&amp;"P"&amp;A387),Q387+R387)))</f>
        <v>#REF!</v>
      </c>
      <c r="V387" t="e" cm="1">
        <f t="array" aca="1" ref="V387" ca="1">IF(A387="","",IF(E387="","",IF(B387="safety",INDIRECT("template!"&amp;"P"&amp;A387),S387+T387)))</f>
        <v>#REF!</v>
      </c>
      <c r="W387" t="e">
        <f ca="1">IF(A387="","",IF(E387="","",#REF!))</f>
        <v>#REF!</v>
      </c>
      <c r="X387" t="e">
        <f ca="1">IF(A387="","",IF(E387="","",#REF!))</f>
        <v>#REF!</v>
      </c>
      <c r="Y387" s="39" t="e">
        <f ca="1">IF(A387="","",IF(E387="","",#REF!))</f>
        <v>#REF!</v>
      </c>
      <c r="Z387" t="e">
        <f ca="1">IF(A387="","",IF(E387="","",#REF!))</f>
        <v>#REF!</v>
      </c>
      <c r="AA387" t="e">
        <f ca="1">IF(A387="","",IF(E387="","",#REF!))</f>
        <v>#REF!</v>
      </c>
      <c r="AB387" t="e">
        <f ca="1">IF(A387="","",IF(E387="","",#REF!))</f>
        <v>#REF!</v>
      </c>
      <c r="AC387" t="e">
        <f t="shared" ca="1" si="32"/>
        <v>#REF!</v>
      </c>
    </row>
    <row r="388" spans="1:29" x14ac:dyDescent="0.35">
      <c r="A388" t="e" cm="1">
        <f t="array" aca="1" ref="A388" ca="1">IF(A387="","",IF(OR(AND(A387+1&gt;=$AF$1,A387+1&lt;=$AF$2),AND(A387+1&gt;=$AF$6,A387+1&lt;=$AF$7),AND(A387+1&gt;=$AF$3,A387+1&lt;=$AF$4),AND(A387+1&gt;=$AF$8,A387+1&lt;=$AF$9),A387+1=$AF$5),IF(NOT(ISBLANK(INDIRECT("template!"&amp;"P"&amp;A387+1))),A387+1,IF(NOT(ISBLANK(INDIRECT("template!"&amp;"P"&amp;A387+2))),A387+2,A387+3)),IF(A387=$AF$2,$AF$3,IF(A387=$AF$4,$AF$5,IF(A387=$AF$5,$AF$6,IF(A387=$AF$7,$AF$8,""))))))</f>
        <v>#REF!</v>
      </c>
      <c r="B388" t="e">
        <f t="shared" ca="1" si="33"/>
        <v>#REF!</v>
      </c>
      <c r="C388" t="e" cm="1">
        <f t="array" aca="1" ref="C388" ca="1">IF(A388="","",IF(B388="safety","safety costs",INDIRECT("template!"&amp;"B"&amp;A388)))</f>
        <v>#REF!</v>
      </c>
      <c r="D388" t="e" cm="1">
        <f t="array" aca="1" ref="D388" ca="1">IF(OR(A388="",B388="safety"),"",INDIRECT("template!"&amp;"C"&amp;A388))</f>
        <v>#REF!</v>
      </c>
      <c r="E388" t="e" cm="1">
        <f t="array" aca="1" ref="E388" ca="1">IF(A388="","",IF(OR(A388=A387+1,A388=A387+2),E387,INDIRECT("template!"&amp;"D"&amp;A388-2)))</f>
        <v>#REF!</v>
      </c>
      <c r="F388" t="e" cm="1">
        <f t="array" aca="1" ref="F388" ca="1">IF(OR(A388="",B388="safety"),"",IF(ISBLANK(IF(A388=A387+1,F387,INDIRECT("template!"&amp;"D"&amp;A388-1))),"",IF(A388=A387+1,F387,INDIRECT("template!"&amp;"D"&amp;A388-1))))</f>
        <v>#REF!</v>
      </c>
      <c r="G388" t="e" cm="1">
        <f t="array" aca="1" ref="G388" ca="1">IF(OR(A388="",B388="safety"),"",IF(ISBLANK(INDIRECT("template!"&amp;"D"&amp;A388)),"",INDIRECT("template!"&amp;"D"&amp;A388)))</f>
        <v>#REF!</v>
      </c>
      <c r="H388" t="e" cm="1">
        <f t="array" aca="1" ref="H388" ca="1">IF(OR(A388="",B388="safety"),"",IF(ISBLANK(INDIRECT("template!"&amp;"E"&amp;A388)),"",INDIRECT("template!"&amp;"E"&amp;A388)))</f>
        <v>#REF!</v>
      </c>
      <c r="I388" t="e" cm="1">
        <f t="array" aca="1" ref="I388" ca="1">IF(OR(A388="",B388="safety"),"",IF(ISBLANK(INDIRECT("template!"&amp;"F"&amp;A388)),"",INDIRECT("template!"&amp;"F"&amp;A388)))</f>
        <v>#REF!</v>
      </c>
      <c r="J388" t="e" cm="1">
        <f t="array" aca="1" ref="J388" ca="1">IF(OR(A388="",B388="safety"),"",IF(ISBLANK(INDIRECT("template!"&amp;"G"&amp;A388)),"",INDIRECT("template!"&amp;"G"&amp;A388)))</f>
        <v>#REF!</v>
      </c>
      <c r="K388" t="e" cm="1">
        <f t="array" aca="1" ref="K388" ca="1">IF(OR(A388="",B388="safety"),"",IF(ISBLANK(INDIRECT("template!"&amp;"H"&amp;A388)),"",INDIRECT("template!"&amp;"H"&amp;A388)))</f>
        <v>#REF!</v>
      </c>
      <c r="L388" t="e" cm="1">
        <f t="array" aca="1" ref="L388" ca="1">IF(OR(A388="",B388="safety"),"",INDIRECT("template!"&amp;"I"&amp;A388))</f>
        <v>#REF!</v>
      </c>
      <c r="M388" t="e" cm="1">
        <f t="array" aca="1" ref="M388" ca="1">IF(OR(A388="",B388="safety"),"",INDIRECT("template!"&amp;"J"&amp;A388))</f>
        <v>#REF!</v>
      </c>
      <c r="N388" t="e" cm="1">
        <f t="array" aca="1" ref="N388" ca="1">IF(OR(A388="",B388="safety"),"",IF(ISBLANK(INDIRECT("template!"&amp;"K"&amp;A388)),"",INDIRECT("template!"&amp;"K"&amp;A388)))</f>
        <v>#REF!</v>
      </c>
      <c r="O388" t="e" cm="1">
        <f t="array" aca="1" ref="O388" ca="1">IF(OR(A388="",B388="safety"),"",INDIRECT("template!"&amp;"L"&amp;A388))</f>
        <v>#REF!</v>
      </c>
      <c r="P388" t="e" cm="1">
        <f t="array" aca="1" ref="P388" ca="1">IF(OR(A388="",B388="safety"),"",INDIRECT("template!"&amp;"M"&amp;A388))</f>
        <v>#REF!</v>
      </c>
      <c r="Q388" t="e">
        <f t="shared" ref="Q388:Q451" ca="1" si="34">IF(OR(A388="",B388="safety"),"",IF(E388="","",O388*L388))</f>
        <v>#REF!</v>
      </c>
      <c r="R388" t="e">
        <f t="shared" ref="R388:R451" ca="1" si="35">IF(OR(A388="",B388="safety"),"",IF(E388="","",P388*L388))</f>
        <v>#REF!</v>
      </c>
      <c r="S388" t="e">
        <f t="shared" ref="S388:S451" ca="1" si="36">IF(OR(A388="",B388="safety"),"",IF(E388="","",O388*M388))</f>
        <v>#REF!</v>
      </c>
      <c r="T388" t="e">
        <f t="shared" ref="T388:T451" ca="1" si="37">IF(OR(A388="",B388="safety"),"",IF(E388="","",M388*P388))</f>
        <v>#REF!</v>
      </c>
      <c r="U388" t="e" cm="1">
        <f t="array" aca="1" ref="U388" ca="1">IF(A388="","",IF(E388="","",IF(B388="safety",INDIRECT("template!"&amp;"P"&amp;A388),Q388+R388)))</f>
        <v>#REF!</v>
      </c>
      <c r="V388" t="e" cm="1">
        <f t="array" aca="1" ref="V388" ca="1">IF(A388="","",IF(E388="","",IF(B388="safety",INDIRECT("template!"&amp;"P"&amp;A388),S388+T388)))</f>
        <v>#REF!</v>
      </c>
      <c r="W388" t="e">
        <f ca="1">IF(A388="","",IF(E388="","",#REF!))</f>
        <v>#REF!</v>
      </c>
      <c r="X388" t="e">
        <f ca="1">IF(A388="","",IF(E388="","",#REF!))</f>
        <v>#REF!</v>
      </c>
      <c r="Y388" s="39" t="e">
        <f ca="1">IF(A388="","",IF(E388="","",#REF!))</f>
        <v>#REF!</v>
      </c>
      <c r="Z388" t="e">
        <f ca="1">IF(A388="","",IF(E388="","",#REF!))</f>
        <v>#REF!</v>
      </c>
      <c r="AA388" t="e">
        <f ca="1">IF(A388="","",IF(E388="","",#REF!))</f>
        <v>#REF!</v>
      </c>
      <c r="AB388" t="e">
        <f ca="1">IF(A388="","",IF(E388="","",#REF!))</f>
        <v>#REF!</v>
      </c>
      <c r="AC388" t="e">
        <f t="shared" ref="AC388:AC451" ca="1" si="38">IF(A388="","",IF(E388="","","WEEK "&amp;WEEKNUM(Y388)&amp;"_"&amp;YEAR(Y388)))</f>
        <v>#REF!</v>
      </c>
    </row>
    <row r="389" spans="1:29" x14ac:dyDescent="0.35">
      <c r="A389" t="e" cm="1">
        <f t="array" aca="1" ref="A389" ca="1">IF(A388="","",IF(OR(AND(A388+1&gt;=$AF$1,A388+1&lt;=$AF$2),AND(A388+1&gt;=$AF$6,A388+1&lt;=$AF$7),AND(A388+1&gt;=$AF$3,A388+1&lt;=$AF$4),AND(A388+1&gt;=$AF$8,A388+1&lt;=$AF$9),A388+1=$AF$5),IF(NOT(ISBLANK(INDIRECT("template!"&amp;"P"&amp;A388+1))),A388+1,IF(NOT(ISBLANK(INDIRECT("template!"&amp;"P"&amp;A388+2))),A388+2,A388+3)),IF(A388=$AF$2,$AF$3,IF(A388=$AF$4,$AF$5,IF(A388=$AF$5,$AF$6,IF(A388=$AF$7,$AF$8,""))))))</f>
        <v>#REF!</v>
      </c>
      <c r="B389" t="e">
        <f t="shared" ca="1" si="33"/>
        <v>#REF!</v>
      </c>
      <c r="C389" t="e" cm="1">
        <f t="array" aca="1" ref="C389" ca="1">IF(A389="","",IF(B389="safety","safety costs",INDIRECT("template!"&amp;"B"&amp;A389)))</f>
        <v>#REF!</v>
      </c>
      <c r="D389" t="e" cm="1">
        <f t="array" aca="1" ref="D389" ca="1">IF(OR(A389="",B389="safety"),"",INDIRECT("template!"&amp;"C"&amp;A389))</f>
        <v>#REF!</v>
      </c>
      <c r="E389" t="e" cm="1">
        <f t="array" aca="1" ref="E389" ca="1">IF(A389="","",IF(OR(A389=A388+1,A389=A388+2),E388,INDIRECT("template!"&amp;"D"&amp;A389-2)))</f>
        <v>#REF!</v>
      </c>
      <c r="F389" t="e" cm="1">
        <f t="array" aca="1" ref="F389" ca="1">IF(OR(A389="",B389="safety"),"",IF(ISBLANK(IF(A389=A388+1,F388,INDIRECT("template!"&amp;"D"&amp;A389-1))),"",IF(A389=A388+1,F388,INDIRECT("template!"&amp;"D"&amp;A389-1))))</f>
        <v>#REF!</v>
      </c>
      <c r="G389" t="e" cm="1">
        <f t="array" aca="1" ref="G389" ca="1">IF(OR(A389="",B389="safety"),"",IF(ISBLANK(INDIRECT("template!"&amp;"D"&amp;A389)),"",INDIRECT("template!"&amp;"D"&amp;A389)))</f>
        <v>#REF!</v>
      </c>
      <c r="H389" t="e" cm="1">
        <f t="array" aca="1" ref="H389" ca="1">IF(OR(A389="",B389="safety"),"",IF(ISBLANK(INDIRECT("template!"&amp;"E"&amp;A389)),"",INDIRECT("template!"&amp;"E"&amp;A389)))</f>
        <v>#REF!</v>
      </c>
      <c r="I389" t="e" cm="1">
        <f t="array" aca="1" ref="I389" ca="1">IF(OR(A389="",B389="safety"),"",IF(ISBLANK(INDIRECT("template!"&amp;"F"&amp;A389)),"",INDIRECT("template!"&amp;"F"&amp;A389)))</f>
        <v>#REF!</v>
      </c>
      <c r="J389" t="e" cm="1">
        <f t="array" aca="1" ref="J389" ca="1">IF(OR(A389="",B389="safety"),"",IF(ISBLANK(INDIRECT("template!"&amp;"G"&amp;A389)),"",INDIRECT("template!"&amp;"G"&amp;A389)))</f>
        <v>#REF!</v>
      </c>
      <c r="K389" t="e" cm="1">
        <f t="array" aca="1" ref="K389" ca="1">IF(OR(A389="",B389="safety"),"",IF(ISBLANK(INDIRECT("template!"&amp;"H"&amp;A389)),"",INDIRECT("template!"&amp;"H"&amp;A389)))</f>
        <v>#REF!</v>
      </c>
      <c r="L389" t="e" cm="1">
        <f t="array" aca="1" ref="L389" ca="1">IF(OR(A389="",B389="safety"),"",INDIRECT("template!"&amp;"I"&amp;A389))</f>
        <v>#REF!</v>
      </c>
      <c r="M389" t="e" cm="1">
        <f t="array" aca="1" ref="M389" ca="1">IF(OR(A389="",B389="safety"),"",INDIRECT("template!"&amp;"J"&amp;A389))</f>
        <v>#REF!</v>
      </c>
      <c r="N389" t="e" cm="1">
        <f t="array" aca="1" ref="N389" ca="1">IF(OR(A389="",B389="safety"),"",IF(ISBLANK(INDIRECT("template!"&amp;"K"&amp;A389)),"",INDIRECT("template!"&amp;"K"&amp;A389)))</f>
        <v>#REF!</v>
      </c>
      <c r="O389" t="e" cm="1">
        <f t="array" aca="1" ref="O389" ca="1">IF(OR(A389="",B389="safety"),"",INDIRECT("template!"&amp;"L"&amp;A389))</f>
        <v>#REF!</v>
      </c>
      <c r="P389" t="e" cm="1">
        <f t="array" aca="1" ref="P389" ca="1">IF(OR(A389="",B389="safety"),"",INDIRECT("template!"&amp;"M"&amp;A389))</f>
        <v>#REF!</v>
      </c>
      <c r="Q389" t="e">
        <f t="shared" ca="1" si="34"/>
        <v>#REF!</v>
      </c>
      <c r="R389" t="e">
        <f t="shared" ca="1" si="35"/>
        <v>#REF!</v>
      </c>
      <c r="S389" t="e">
        <f t="shared" ca="1" si="36"/>
        <v>#REF!</v>
      </c>
      <c r="T389" t="e">
        <f t="shared" ca="1" si="37"/>
        <v>#REF!</v>
      </c>
      <c r="U389" t="e" cm="1">
        <f t="array" aca="1" ref="U389" ca="1">IF(A389="","",IF(E389="","",IF(B389="safety",INDIRECT("template!"&amp;"P"&amp;A389),Q389+R389)))</f>
        <v>#REF!</v>
      </c>
      <c r="V389" t="e" cm="1">
        <f t="array" aca="1" ref="V389" ca="1">IF(A389="","",IF(E389="","",IF(B389="safety",INDIRECT("template!"&amp;"P"&amp;A389),S389+T389)))</f>
        <v>#REF!</v>
      </c>
      <c r="W389" t="e">
        <f ca="1">IF(A389="","",IF(E389="","",#REF!))</f>
        <v>#REF!</v>
      </c>
      <c r="X389" t="e">
        <f ca="1">IF(A389="","",IF(E389="","",#REF!))</f>
        <v>#REF!</v>
      </c>
      <c r="Y389" s="39" t="e">
        <f ca="1">IF(A389="","",IF(E389="","",#REF!))</f>
        <v>#REF!</v>
      </c>
      <c r="Z389" t="e">
        <f ca="1">IF(A389="","",IF(E389="","",#REF!))</f>
        <v>#REF!</v>
      </c>
      <c r="AA389" t="e">
        <f ca="1">IF(A389="","",IF(E389="","",#REF!))</f>
        <v>#REF!</v>
      </c>
      <c r="AB389" t="e">
        <f ca="1">IF(A389="","",IF(E389="","",#REF!))</f>
        <v>#REF!</v>
      </c>
      <c r="AC389" t="e">
        <f t="shared" ca="1" si="38"/>
        <v>#REF!</v>
      </c>
    </row>
    <row r="390" spans="1:29" x14ac:dyDescent="0.35">
      <c r="A390" t="e" cm="1">
        <f t="array" aca="1" ref="A390" ca="1">IF(A389="","",IF(OR(AND(A389+1&gt;=$AF$1,A389+1&lt;=$AF$2),AND(A389+1&gt;=$AF$6,A389+1&lt;=$AF$7),AND(A389+1&gt;=$AF$3,A389+1&lt;=$AF$4),AND(A389+1&gt;=$AF$8,A389+1&lt;=$AF$9),A389+1=$AF$5),IF(NOT(ISBLANK(INDIRECT("template!"&amp;"P"&amp;A389+1))),A389+1,IF(NOT(ISBLANK(INDIRECT("template!"&amp;"P"&amp;A389+2))),A389+2,A389+3)),IF(A389=$AF$2,$AF$3,IF(A389=$AF$4,$AF$5,IF(A389=$AF$5,$AF$6,IF(A389=$AF$7,$AF$8,""))))))</f>
        <v>#REF!</v>
      </c>
      <c r="B390" t="e">
        <f t="shared" ca="1" si="33"/>
        <v>#REF!</v>
      </c>
      <c r="C390" t="e" cm="1">
        <f t="array" aca="1" ref="C390" ca="1">IF(A390="","",IF(B390="safety","safety costs",INDIRECT("template!"&amp;"B"&amp;A390)))</f>
        <v>#REF!</v>
      </c>
      <c r="D390" t="e" cm="1">
        <f t="array" aca="1" ref="D390" ca="1">IF(OR(A390="",B390="safety"),"",INDIRECT("template!"&amp;"C"&amp;A390))</f>
        <v>#REF!</v>
      </c>
      <c r="E390" t="e" cm="1">
        <f t="array" aca="1" ref="E390" ca="1">IF(A390="","",IF(OR(A390=A389+1,A390=A389+2),E389,INDIRECT("template!"&amp;"D"&amp;A390-2)))</f>
        <v>#REF!</v>
      </c>
      <c r="F390" t="e" cm="1">
        <f t="array" aca="1" ref="F390" ca="1">IF(OR(A390="",B390="safety"),"",IF(ISBLANK(IF(A390=A389+1,F389,INDIRECT("template!"&amp;"D"&amp;A390-1))),"",IF(A390=A389+1,F389,INDIRECT("template!"&amp;"D"&amp;A390-1))))</f>
        <v>#REF!</v>
      </c>
      <c r="G390" t="e" cm="1">
        <f t="array" aca="1" ref="G390" ca="1">IF(OR(A390="",B390="safety"),"",IF(ISBLANK(INDIRECT("template!"&amp;"D"&amp;A390)),"",INDIRECT("template!"&amp;"D"&amp;A390)))</f>
        <v>#REF!</v>
      </c>
      <c r="H390" t="e" cm="1">
        <f t="array" aca="1" ref="H390" ca="1">IF(OR(A390="",B390="safety"),"",IF(ISBLANK(INDIRECT("template!"&amp;"E"&amp;A390)),"",INDIRECT("template!"&amp;"E"&amp;A390)))</f>
        <v>#REF!</v>
      </c>
      <c r="I390" t="e" cm="1">
        <f t="array" aca="1" ref="I390" ca="1">IF(OR(A390="",B390="safety"),"",IF(ISBLANK(INDIRECT("template!"&amp;"F"&amp;A390)),"",INDIRECT("template!"&amp;"F"&amp;A390)))</f>
        <v>#REF!</v>
      </c>
      <c r="J390" t="e" cm="1">
        <f t="array" aca="1" ref="J390" ca="1">IF(OR(A390="",B390="safety"),"",IF(ISBLANK(INDIRECT("template!"&amp;"G"&amp;A390)),"",INDIRECT("template!"&amp;"G"&amp;A390)))</f>
        <v>#REF!</v>
      </c>
      <c r="K390" t="e" cm="1">
        <f t="array" aca="1" ref="K390" ca="1">IF(OR(A390="",B390="safety"),"",IF(ISBLANK(INDIRECT("template!"&amp;"H"&amp;A390)),"",INDIRECT("template!"&amp;"H"&amp;A390)))</f>
        <v>#REF!</v>
      </c>
      <c r="L390" t="e" cm="1">
        <f t="array" aca="1" ref="L390" ca="1">IF(OR(A390="",B390="safety"),"",INDIRECT("template!"&amp;"I"&amp;A390))</f>
        <v>#REF!</v>
      </c>
      <c r="M390" t="e" cm="1">
        <f t="array" aca="1" ref="M390" ca="1">IF(OR(A390="",B390="safety"),"",INDIRECT("template!"&amp;"J"&amp;A390))</f>
        <v>#REF!</v>
      </c>
      <c r="N390" t="e" cm="1">
        <f t="array" aca="1" ref="N390" ca="1">IF(OR(A390="",B390="safety"),"",IF(ISBLANK(INDIRECT("template!"&amp;"K"&amp;A390)),"",INDIRECT("template!"&amp;"K"&amp;A390)))</f>
        <v>#REF!</v>
      </c>
      <c r="O390" t="e" cm="1">
        <f t="array" aca="1" ref="O390" ca="1">IF(OR(A390="",B390="safety"),"",INDIRECT("template!"&amp;"L"&amp;A390))</f>
        <v>#REF!</v>
      </c>
      <c r="P390" t="e" cm="1">
        <f t="array" aca="1" ref="P390" ca="1">IF(OR(A390="",B390="safety"),"",INDIRECT("template!"&amp;"M"&amp;A390))</f>
        <v>#REF!</v>
      </c>
      <c r="Q390" t="e">
        <f t="shared" ca="1" si="34"/>
        <v>#REF!</v>
      </c>
      <c r="R390" t="e">
        <f t="shared" ca="1" si="35"/>
        <v>#REF!</v>
      </c>
      <c r="S390" t="e">
        <f t="shared" ca="1" si="36"/>
        <v>#REF!</v>
      </c>
      <c r="T390" t="e">
        <f t="shared" ca="1" si="37"/>
        <v>#REF!</v>
      </c>
      <c r="U390" t="e" cm="1">
        <f t="array" aca="1" ref="U390" ca="1">IF(A390="","",IF(E390="","",IF(B390="safety",INDIRECT("template!"&amp;"P"&amp;A390),Q390+R390)))</f>
        <v>#REF!</v>
      </c>
      <c r="V390" t="e" cm="1">
        <f t="array" aca="1" ref="V390" ca="1">IF(A390="","",IF(E390="","",IF(B390="safety",INDIRECT("template!"&amp;"P"&amp;A390),S390+T390)))</f>
        <v>#REF!</v>
      </c>
      <c r="W390" t="e">
        <f ca="1">IF(A390="","",IF(E390="","",#REF!))</f>
        <v>#REF!</v>
      </c>
      <c r="X390" t="e">
        <f ca="1">IF(A390="","",IF(E390="","",#REF!))</f>
        <v>#REF!</v>
      </c>
      <c r="Y390" s="39" t="e">
        <f ca="1">IF(A390="","",IF(E390="","",#REF!))</f>
        <v>#REF!</v>
      </c>
      <c r="Z390" t="e">
        <f ca="1">IF(A390="","",IF(E390="","",#REF!))</f>
        <v>#REF!</v>
      </c>
      <c r="AA390" t="e">
        <f ca="1">IF(A390="","",IF(E390="","",#REF!))</f>
        <v>#REF!</v>
      </c>
      <c r="AB390" t="e">
        <f ca="1">IF(A390="","",IF(E390="","",#REF!))</f>
        <v>#REF!</v>
      </c>
      <c r="AC390" t="e">
        <f t="shared" ca="1" si="38"/>
        <v>#REF!</v>
      </c>
    </row>
    <row r="391" spans="1:29" x14ac:dyDescent="0.35">
      <c r="A391" t="e" cm="1">
        <f t="array" aca="1" ref="A391" ca="1">IF(A390="","",IF(OR(AND(A390+1&gt;=$AF$1,A390+1&lt;=$AF$2),AND(A390+1&gt;=$AF$6,A390+1&lt;=$AF$7),AND(A390+1&gt;=$AF$3,A390+1&lt;=$AF$4),AND(A390+1&gt;=$AF$8,A390+1&lt;=$AF$9),A390+1=$AF$5),IF(NOT(ISBLANK(INDIRECT("template!"&amp;"P"&amp;A390+1))),A390+1,IF(NOT(ISBLANK(INDIRECT("template!"&amp;"P"&amp;A390+2))),A390+2,A390+3)),IF(A390=$AF$2,$AF$3,IF(A390=$AF$4,$AF$5,IF(A390=$AF$5,$AF$6,IF(A390=$AF$7,$AF$8,""))))))</f>
        <v>#REF!</v>
      </c>
      <c r="B391" t="e">
        <f t="shared" ca="1" si="33"/>
        <v>#REF!</v>
      </c>
      <c r="C391" t="e" cm="1">
        <f t="array" aca="1" ref="C391" ca="1">IF(A391="","",IF(B391="safety","safety costs",INDIRECT("template!"&amp;"B"&amp;A391)))</f>
        <v>#REF!</v>
      </c>
      <c r="D391" t="e" cm="1">
        <f t="array" aca="1" ref="D391" ca="1">IF(OR(A391="",B391="safety"),"",INDIRECT("template!"&amp;"C"&amp;A391))</f>
        <v>#REF!</v>
      </c>
      <c r="E391" t="e" cm="1">
        <f t="array" aca="1" ref="E391" ca="1">IF(A391="","",IF(OR(A391=A390+1,A391=A390+2),E390,INDIRECT("template!"&amp;"D"&amp;A391-2)))</f>
        <v>#REF!</v>
      </c>
      <c r="F391" t="e" cm="1">
        <f t="array" aca="1" ref="F391" ca="1">IF(OR(A391="",B391="safety"),"",IF(ISBLANK(IF(A391=A390+1,F390,INDIRECT("template!"&amp;"D"&amp;A391-1))),"",IF(A391=A390+1,F390,INDIRECT("template!"&amp;"D"&amp;A391-1))))</f>
        <v>#REF!</v>
      </c>
      <c r="G391" t="e" cm="1">
        <f t="array" aca="1" ref="G391" ca="1">IF(OR(A391="",B391="safety"),"",IF(ISBLANK(INDIRECT("template!"&amp;"D"&amp;A391)),"",INDIRECT("template!"&amp;"D"&amp;A391)))</f>
        <v>#REF!</v>
      </c>
      <c r="H391" t="e" cm="1">
        <f t="array" aca="1" ref="H391" ca="1">IF(OR(A391="",B391="safety"),"",IF(ISBLANK(INDIRECT("template!"&amp;"E"&amp;A391)),"",INDIRECT("template!"&amp;"E"&amp;A391)))</f>
        <v>#REF!</v>
      </c>
      <c r="I391" t="e" cm="1">
        <f t="array" aca="1" ref="I391" ca="1">IF(OR(A391="",B391="safety"),"",IF(ISBLANK(INDIRECT("template!"&amp;"F"&amp;A391)),"",INDIRECT("template!"&amp;"F"&amp;A391)))</f>
        <v>#REF!</v>
      </c>
      <c r="J391" t="e" cm="1">
        <f t="array" aca="1" ref="J391" ca="1">IF(OR(A391="",B391="safety"),"",IF(ISBLANK(INDIRECT("template!"&amp;"G"&amp;A391)),"",INDIRECT("template!"&amp;"G"&amp;A391)))</f>
        <v>#REF!</v>
      </c>
      <c r="K391" t="e" cm="1">
        <f t="array" aca="1" ref="K391" ca="1">IF(OR(A391="",B391="safety"),"",IF(ISBLANK(INDIRECT("template!"&amp;"H"&amp;A391)),"",INDIRECT("template!"&amp;"H"&amp;A391)))</f>
        <v>#REF!</v>
      </c>
      <c r="L391" t="e" cm="1">
        <f t="array" aca="1" ref="L391" ca="1">IF(OR(A391="",B391="safety"),"",INDIRECT("template!"&amp;"I"&amp;A391))</f>
        <v>#REF!</v>
      </c>
      <c r="M391" t="e" cm="1">
        <f t="array" aca="1" ref="M391" ca="1">IF(OR(A391="",B391="safety"),"",INDIRECT("template!"&amp;"J"&amp;A391))</f>
        <v>#REF!</v>
      </c>
      <c r="N391" t="e" cm="1">
        <f t="array" aca="1" ref="N391" ca="1">IF(OR(A391="",B391="safety"),"",IF(ISBLANK(INDIRECT("template!"&amp;"K"&amp;A391)),"",INDIRECT("template!"&amp;"K"&amp;A391)))</f>
        <v>#REF!</v>
      </c>
      <c r="O391" t="e" cm="1">
        <f t="array" aca="1" ref="O391" ca="1">IF(OR(A391="",B391="safety"),"",INDIRECT("template!"&amp;"L"&amp;A391))</f>
        <v>#REF!</v>
      </c>
      <c r="P391" t="e" cm="1">
        <f t="array" aca="1" ref="P391" ca="1">IF(OR(A391="",B391="safety"),"",INDIRECT("template!"&amp;"M"&amp;A391))</f>
        <v>#REF!</v>
      </c>
      <c r="Q391" t="e">
        <f t="shared" ca="1" si="34"/>
        <v>#REF!</v>
      </c>
      <c r="R391" t="e">
        <f t="shared" ca="1" si="35"/>
        <v>#REF!</v>
      </c>
      <c r="S391" t="e">
        <f t="shared" ca="1" si="36"/>
        <v>#REF!</v>
      </c>
      <c r="T391" t="e">
        <f t="shared" ca="1" si="37"/>
        <v>#REF!</v>
      </c>
      <c r="U391" t="e" cm="1">
        <f t="array" aca="1" ref="U391" ca="1">IF(A391="","",IF(E391="","",IF(B391="safety",INDIRECT("template!"&amp;"P"&amp;A391),Q391+R391)))</f>
        <v>#REF!</v>
      </c>
      <c r="V391" t="e" cm="1">
        <f t="array" aca="1" ref="V391" ca="1">IF(A391="","",IF(E391="","",IF(B391="safety",INDIRECT("template!"&amp;"P"&amp;A391),S391+T391)))</f>
        <v>#REF!</v>
      </c>
      <c r="W391" t="e">
        <f ca="1">IF(A391="","",IF(E391="","",#REF!))</f>
        <v>#REF!</v>
      </c>
      <c r="X391" t="e">
        <f ca="1">IF(A391="","",IF(E391="","",#REF!))</f>
        <v>#REF!</v>
      </c>
      <c r="Y391" s="39" t="e">
        <f ca="1">IF(A391="","",IF(E391="","",#REF!))</f>
        <v>#REF!</v>
      </c>
      <c r="Z391" t="e">
        <f ca="1">IF(A391="","",IF(E391="","",#REF!))</f>
        <v>#REF!</v>
      </c>
      <c r="AA391" t="e">
        <f ca="1">IF(A391="","",IF(E391="","",#REF!))</f>
        <v>#REF!</v>
      </c>
      <c r="AB391" t="e">
        <f ca="1">IF(A391="","",IF(E391="","",#REF!))</f>
        <v>#REF!</v>
      </c>
      <c r="AC391" t="e">
        <f t="shared" ca="1" si="38"/>
        <v>#REF!</v>
      </c>
    </row>
    <row r="392" spans="1:29" x14ac:dyDescent="0.35">
      <c r="A392" t="e" cm="1">
        <f t="array" aca="1" ref="A392" ca="1">IF(A391="","",IF(OR(AND(A391+1&gt;=$AF$1,A391+1&lt;=$AF$2),AND(A391+1&gt;=$AF$6,A391+1&lt;=$AF$7),AND(A391+1&gt;=$AF$3,A391+1&lt;=$AF$4),AND(A391+1&gt;=$AF$8,A391+1&lt;=$AF$9),A391+1=$AF$5),IF(NOT(ISBLANK(INDIRECT("template!"&amp;"P"&amp;A391+1))),A391+1,IF(NOT(ISBLANK(INDIRECT("template!"&amp;"P"&amp;A391+2))),A391+2,A391+3)),IF(A391=$AF$2,$AF$3,IF(A391=$AF$4,$AF$5,IF(A391=$AF$5,$AF$6,IF(A391=$AF$7,$AF$8,""))))))</f>
        <v>#REF!</v>
      </c>
      <c r="B392" t="e">
        <f t="shared" ca="1" si="33"/>
        <v>#REF!</v>
      </c>
      <c r="C392" t="e" cm="1">
        <f t="array" aca="1" ref="C392" ca="1">IF(A392="","",IF(B392="safety","safety costs",INDIRECT("template!"&amp;"B"&amp;A392)))</f>
        <v>#REF!</v>
      </c>
      <c r="D392" t="e" cm="1">
        <f t="array" aca="1" ref="D392" ca="1">IF(OR(A392="",B392="safety"),"",INDIRECT("template!"&amp;"C"&amp;A392))</f>
        <v>#REF!</v>
      </c>
      <c r="E392" t="e" cm="1">
        <f t="array" aca="1" ref="E392" ca="1">IF(A392="","",IF(OR(A392=A391+1,A392=A391+2),E391,INDIRECT("template!"&amp;"D"&amp;A392-2)))</f>
        <v>#REF!</v>
      </c>
      <c r="F392" t="e" cm="1">
        <f t="array" aca="1" ref="F392" ca="1">IF(OR(A392="",B392="safety"),"",IF(ISBLANK(IF(A392=A391+1,F391,INDIRECT("template!"&amp;"D"&amp;A392-1))),"",IF(A392=A391+1,F391,INDIRECT("template!"&amp;"D"&amp;A392-1))))</f>
        <v>#REF!</v>
      </c>
      <c r="G392" t="e" cm="1">
        <f t="array" aca="1" ref="G392" ca="1">IF(OR(A392="",B392="safety"),"",IF(ISBLANK(INDIRECT("template!"&amp;"D"&amp;A392)),"",INDIRECT("template!"&amp;"D"&amp;A392)))</f>
        <v>#REF!</v>
      </c>
      <c r="H392" t="e" cm="1">
        <f t="array" aca="1" ref="H392" ca="1">IF(OR(A392="",B392="safety"),"",IF(ISBLANK(INDIRECT("template!"&amp;"E"&amp;A392)),"",INDIRECT("template!"&amp;"E"&amp;A392)))</f>
        <v>#REF!</v>
      </c>
      <c r="I392" t="e" cm="1">
        <f t="array" aca="1" ref="I392" ca="1">IF(OR(A392="",B392="safety"),"",IF(ISBLANK(INDIRECT("template!"&amp;"F"&amp;A392)),"",INDIRECT("template!"&amp;"F"&amp;A392)))</f>
        <v>#REF!</v>
      </c>
      <c r="J392" t="e" cm="1">
        <f t="array" aca="1" ref="J392" ca="1">IF(OR(A392="",B392="safety"),"",IF(ISBLANK(INDIRECT("template!"&amp;"G"&amp;A392)),"",INDIRECT("template!"&amp;"G"&amp;A392)))</f>
        <v>#REF!</v>
      </c>
      <c r="K392" t="e" cm="1">
        <f t="array" aca="1" ref="K392" ca="1">IF(OR(A392="",B392="safety"),"",IF(ISBLANK(INDIRECT("template!"&amp;"H"&amp;A392)),"",INDIRECT("template!"&amp;"H"&amp;A392)))</f>
        <v>#REF!</v>
      </c>
      <c r="L392" t="e" cm="1">
        <f t="array" aca="1" ref="L392" ca="1">IF(OR(A392="",B392="safety"),"",INDIRECT("template!"&amp;"I"&amp;A392))</f>
        <v>#REF!</v>
      </c>
      <c r="M392" t="e" cm="1">
        <f t="array" aca="1" ref="M392" ca="1">IF(OR(A392="",B392="safety"),"",INDIRECT("template!"&amp;"J"&amp;A392))</f>
        <v>#REF!</v>
      </c>
      <c r="N392" t="e" cm="1">
        <f t="array" aca="1" ref="N392" ca="1">IF(OR(A392="",B392="safety"),"",IF(ISBLANK(INDIRECT("template!"&amp;"K"&amp;A392)),"",INDIRECT("template!"&amp;"K"&amp;A392)))</f>
        <v>#REF!</v>
      </c>
      <c r="O392" t="e" cm="1">
        <f t="array" aca="1" ref="O392" ca="1">IF(OR(A392="",B392="safety"),"",INDIRECT("template!"&amp;"L"&amp;A392))</f>
        <v>#REF!</v>
      </c>
      <c r="P392" t="e" cm="1">
        <f t="array" aca="1" ref="P392" ca="1">IF(OR(A392="",B392="safety"),"",INDIRECT("template!"&amp;"M"&amp;A392))</f>
        <v>#REF!</v>
      </c>
      <c r="Q392" t="e">
        <f t="shared" ca="1" si="34"/>
        <v>#REF!</v>
      </c>
      <c r="R392" t="e">
        <f t="shared" ca="1" si="35"/>
        <v>#REF!</v>
      </c>
      <c r="S392" t="e">
        <f t="shared" ca="1" si="36"/>
        <v>#REF!</v>
      </c>
      <c r="T392" t="e">
        <f t="shared" ca="1" si="37"/>
        <v>#REF!</v>
      </c>
      <c r="U392" t="e" cm="1">
        <f t="array" aca="1" ref="U392" ca="1">IF(A392="","",IF(E392="","",IF(B392="safety",INDIRECT("template!"&amp;"P"&amp;A392),Q392+R392)))</f>
        <v>#REF!</v>
      </c>
      <c r="V392" t="e" cm="1">
        <f t="array" aca="1" ref="V392" ca="1">IF(A392="","",IF(E392="","",IF(B392="safety",INDIRECT("template!"&amp;"P"&amp;A392),S392+T392)))</f>
        <v>#REF!</v>
      </c>
      <c r="W392" t="e">
        <f ca="1">IF(A392="","",IF(E392="","",#REF!))</f>
        <v>#REF!</v>
      </c>
      <c r="X392" t="e">
        <f ca="1">IF(A392="","",IF(E392="","",#REF!))</f>
        <v>#REF!</v>
      </c>
      <c r="Y392" s="39" t="e">
        <f ca="1">IF(A392="","",IF(E392="","",#REF!))</f>
        <v>#REF!</v>
      </c>
      <c r="Z392" t="e">
        <f ca="1">IF(A392="","",IF(E392="","",#REF!))</f>
        <v>#REF!</v>
      </c>
      <c r="AA392" t="e">
        <f ca="1">IF(A392="","",IF(E392="","",#REF!))</f>
        <v>#REF!</v>
      </c>
      <c r="AB392" t="e">
        <f ca="1">IF(A392="","",IF(E392="","",#REF!))</f>
        <v>#REF!</v>
      </c>
      <c r="AC392" t="e">
        <f t="shared" ca="1" si="38"/>
        <v>#REF!</v>
      </c>
    </row>
    <row r="393" spans="1:29" x14ac:dyDescent="0.35">
      <c r="A393" t="e" cm="1">
        <f t="array" aca="1" ref="A393" ca="1">IF(A392="","",IF(OR(AND(A392+1&gt;=$AF$1,A392+1&lt;=$AF$2),AND(A392+1&gt;=$AF$6,A392+1&lt;=$AF$7),AND(A392+1&gt;=$AF$3,A392+1&lt;=$AF$4),AND(A392+1&gt;=$AF$8,A392+1&lt;=$AF$9),A392+1=$AF$5),IF(NOT(ISBLANK(INDIRECT("template!"&amp;"P"&amp;A392+1))),A392+1,IF(NOT(ISBLANK(INDIRECT("template!"&amp;"P"&amp;A392+2))),A392+2,A392+3)),IF(A392=$AF$2,$AF$3,IF(A392=$AF$4,$AF$5,IF(A392=$AF$5,$AF$6,IF(A392=$AF$7,$AF$8,""))))))</f>
        <v>#REF!</v>
      </c>
      <c r="B393" t="e">
        <f t="shared" ca="1" si="33"/>
        <v>#REF!</v>
      </c>
      <c r="C393" t="e" cm="1">
        <f t="array" aca="1" ref="C393" ca="1">IF(A393="","",IF(B393="safety","safety costs",INDIRECT("template!"&amp;"B"&amp;A393)))</f>
        <v>#REF!</v>
      </c>
      <c r="D393" t="e" cm="1">
        <f t="array" aca="1" ref="D393" ca="1">IF(OR(A393="",B393="safety"),"",INDIRECT("template!"&amp;"C"&amp;A393))</f>
        <v>#REF!</v>
      </c>
      <c r="E393" t="e" cm="1">
        <f t="array" aca="1" ref="E393" ca="1">IF(A393="","",IF(OR(A393=A392+1,A393=A392+2),E392,INDIRECT("template!"&amp;"D"&amp;A393-2)))</f>
        <v>#REF!</v>
      </c>
      <c r="F393" t="e" cm="1">
        <f t="array" aca="1" ref="F393" ca="1">IF(OR(A393="",B393="safety"),"",IF(ISBLANK(IF(A393=A392+1,F392,INDIRECT("template!"&amp;"D"&amp;A393-1))),"",IF(A393=A392+1,F392,INDIRECT("template!"&amp;"D"&amp;A393-1))))</f>
        <v>#REF!</v>
      </c>
      <c r="G393" t="e" cm="1">
        <f t="array" aca="1" ref="G393" ca="1">IF(OR(A393="",B393="safety"),"",IF(ISBLANK(INDIRECT("template!"&amp;"D"&amp;A393)),"",INDIRECT("template!"&amp;"D"&amp;A393)))</f>
        <v>#REF!</v>
      </c>
      <c r="H393" t="e" cm="1">
        <f t="array" aca="1" ref="H393" ca="1">IF(OR(A393="",B393="safety"),"",IF(ISBLANK(INDIRECT("template!"&amp;"E"&amp;A393)),"",INDIRECT("template!"&amp;"E"&amp;A393)))</f>
        <v>#REF!</v>
      </c>
      <c r="I393" t="e" cm="1">
        <f t="array" aca="1" ref="I393" ca="1">IF(OR(A393="",B393="safety"),"",IF(ISBLANK(INDIRECT("template!"&amp;"F"&amp;A393)),"",INDIRECT("template!"&amp;"F"&amp;A393)))</f>
        <v>#REF!</v>
      </c>
      <c r="J393" t="e" cm="1">
        <f t="array" aca="1" ref="J393" ca="1">IF(OR(A393="",B393="safety"),"",IF(ISBLANK(INDIRECT("template!"&amp;"G"&amp;A393)),"",INDIRECT("template!"&amp;"G"&amp;A393)))</f>
        <v>#REF!</v>
      </c>
      <c r="K393" t="e" cm="1">
        <f t="array" aca="1" ref="K393" ca="1">IF(OR(A393="",B393="safety"),"",IF(ISBLANK(INDIRECT("template!"&amp;"H"&amp;A393)),"",INDIRECT("template!"&amp;"H"&amp;A393)))</f>
        <v>#REF!</v>
      </c>
      <c r="L393" t="e" cm="1">
        <f t="array" aca="1" ref="L393" ca="1">IF(OR(A393="",B393="safety"),"",INDIRECT("template!"&amp;"I"&amp;A393))</f>
        <v>#REF!</v>
      </c>
      <c r="M393" t="e" cm="1">
        <f t="array" aca="1" ref="M393" ca="1">IF(OR(A393="",B393="safety"),"",INDIRECT("template!"&amp;"J"&amp;A393))</f>
        <v>#REF!</v>
      </c>
      <c r="N393" t="e" cm="1">
        <f t="array" aca="1" ref="N393" ca="1">IF(OR(A393="",B393="safety"),"",IF(ISBLANK(INDIRECT("template!"&amp;"K"&amp;A393)),"",INDIRECT("template!"&amp;"K"&amp;A393)))</f>
        <v>#REF!</v>
      </c>
      <c r="O393" t="e" cm="1">
        <f t="array" aca="1" ref="O393" ca="1">IF(OR(A393="",B393="safety"),"",INDIRECT("template!"&amp;"L"&amp;A393))</f>
        <v>#REF!</v>
      </c>
      <c r="P393" t="e" cm="1">
        <f t="array" aca="1" ref="P393" ca="1">IF(OR(A393="",B393="safety"),"",INDIRECT("template!"&amp;"M"&amp;A393))</f>
        <v>#REF!</v>
      </c>
      <c r="Q393" t="e">
        <f t="shared" ca="1" si="34"/>
        <v>#REF!</v>
      </c>
      <c r="R393" t="e">
        <f t="shared" ca="1" si="35"/>
        <v>#REF!</v>
      </c>
      <c r="S393" t="e">
        <f t="shared" ca="1" si="36"/>
        <v>#REF!</v>
      </c>
      <c r="T393" t="e">
        <f t="shared" ca="1" si="37"/>
        <v>#REF!</v>
      </c>
      <c r="U393" t="e" cm="1">
        <f t="array" aca="1" ref="U393" ca="1">IF(A393="","",IF(E393="","",IF(B393="safety",INDIRECT("template!"&amp;"P"&amp;A393),Q393+R393)))</f>
        <v>#REF!</v>
      </c>
      <c r="V393" t="e" cm="1">
        <f t="array" aca="1" ref="V393" ca="1">IF(A393="","",IF(E393="","",IF(B393="safety",INDIRECT("template!"&amp;"P"&amp;A393),S393+T393)))</f>
        <v>#REF!</v>
      </c>
      <c r="W393" t="e">
        <f ca="1">IF(A393="","",IF(E393="","",#REF!))</f>
        <v>#REF!</v>
      </c>
      <c r="X393" t="e">
        <f ca="1">IF(A393="","",IF(E393="","",#REF!))</f>
        <v>#REF!</v>
      </c>
      <c r="Y393" s="39" t="e">
        <f ca="1">IF(A393="","",IF(E393="","",#REF!))</f>
        <v>#REF!</v>
      </c>
      <c r="Z393" t="e">
        <f ca="1">IF(A393="","",IF(E393="","",#REF!))</f>
        <v>#REF!</v>
      </c>
      <c r="AA393" t="e">
        <f ca="1">IF(A393="","",IF(E393="","",#REF!))</f>
        <v>#REF!</v>
      </c>
      <c r="AB393" t="e">
        <f ca="1">IF(A393="","",IF(E393="","",#REF!))</f>
        <v>#REF!</v>
      </c>
      <c r="AC393" t="e">
        <f t="shared" ca="1" si="38"/>
        <v>#REF!</v>
      </c>
    </row>
    <row r="394" spans="1:29" x14ac:dyDescent="0.35">
      <c r="A394" t="e" cm="1">
        <f t="array" aca="1" ref="A394" ca="1">IF(A393="","",IF(OR(AND(A393+1&gt;=$AF$1,A393+1&lt;=$AF$2),AND(A393+1&gt;=$AF$6,A393+1&lt;=$AF$7),AND(A393+1&gt;=$AF$3,A393+1&lt;=$AF$4),AND(A393+1&gt;=$AF$8,A393+1&lt;=$AF$9),A393+1=$AF$5),IF(NOT(ISBLANK(INDIRECT("template!"&amp;"P"&amp;A393+1))),A393+1,IF(NOT(ISBLANK(INDIRECT("template!"&amp;"P"&amp;A393+2))),A393+2,A393+3)),IF(A393=$AF$2,$AF$3,IF(A393=$AF$4,$AF$5,IF(A393=$AF$5,$AF$6,IF(A393=$AF$7,$AF$8,""))))))</f>
        <v>#REF!</v>
      </c>
      <c r="B394" t="e">
        <f t="shared" ca="1" si="33"/>
        <v>#REF!</v>
      </c>
      <c r="C394" t="e" cm="1">
        <f t="array" aca="1" ref="C394" ca="1">IF(A394="","",IF(B394="safety","safety costs",INDIRECT("template!"&amp;"B"&amp;A394)))</f>
        <v>#REF!</v>
      </c>
      <c r="D394" t="e" cm="1">
        <f t="array" aca="1" ref="D394" ca="1">IF(OR(A394="",B394="safety"),"",INDIRECT("template!"&amp;"C"&amp;A394))</f>
        <v>#REF!</v>
      </c>
      <c r="E394" t="e" cm="1">
        <f t="array" aca="1" ref="E394" ca="1">IF(A394="","",IF(OR(A394=A393+1,A394=A393+2),E393,INDIRECT("template!"&amp;"D"&amp;A394-2)))</f>
        <v>#REF!</v>
      </c>
      <c r="F394" t="e" cm="1">
        <f t="array" aca="1" ref="F394" ca="1">IF(OR(A394="",B394="safety"),"",IF(ISBLANK(IF(A394=A393+1,F393,INDIRECT("template!"&amp;"D"&amp;A394-1))),"",IF(A394=A393+1,F393,INDIRECT("template!"&amp;"D"&amp;A394-1))))</f>
        <v>#REF!</v>
      </c>
      <c r="G394" t="e" cm="1">
        <f t="array" aca="1" ref="G394" ca="1">IF(OR(A394="",B394="safety"),"",IF(ISBLANK(INDIRECT("template!"&amp;"D"&amp;A394)),"",INDIRECT("template!"&amp;"D"&amp;A394)))</f>
        <v>#REF!</v>
      </c>
      <c r="H394" t="e" cm="1">
        <f t="array" aca="1" ref="H394" ca="1">IF(OR(A394="",B394="safety"),"",IF(ISBLANK(INDIRECT("template!"&amp;"E"&amp;A394)),"",INDIRECT("template!"&amp;"E"&amp;A394)))</f>
        <v>#REF!</v>
      </c>
      <c r="I394" t="e" cm="1">
        <f t="array" aca="1" ref="I394" ca="1">IF(OR(A394="",B394="safety"),"",IF(ISBLANK(INDIRECT("template!"&amp;"F"&amp;A394)),"",INDIRECT("template!"&amp;"F"&amp;A394)))</f>
        <v>#REF!</v>
      </c>
      <c r="J394" t="e" cm="1">
        <f t="array" aca="1" ref="J394" ca="1">IF(OR(A394="",B394="safety"),"",IF(ISBLANK(INDIRECT("template!"&amp;"G"&amp;A394)),"",INDIRECT("template!"&amp;"G"&amp;A394)))</f>
        <v>#REF!</v>
      </c>
      <c r="K394" t="e" cm="1">
        <f t="array" aca="1" ref="K394" ca="1">IF(OR(A394="",B394="safety"),"",IF(ISBLANK(INDIRECT("template!"&amp;"H"&amp;A394)),"",INDIRECT("template!"&amp;"H"&amp;A394)))</f>
        <v>#REF!</v>
      </c>
      <c r="L394" t="e" cm="1">
        <f t="array" aca="1" ref="L394" ca="1">IF(OR(A394="",B394="safety"),"",INDIRECT("template!"&amp;"I"&amp;A394))</f>
        <v>#REF!</v>
      </c>
      <c r="M394" t="e" cm="1">
        <f t="array" aca="1" ref="M394" ca="1">IF(OR(A394="",B394="safety"),"",INDIRECT("template!"&amp;"J"&amp;A394))</f>
        <v>#REF!</v>
      </c>
      <c r="N394" t="e" cm="1">
        <f t="array" aca="1" ref="N394" ca="1">IF(OR(A394="",B394="safety"),"",IF(ISBLANK(INDIRECT("template!"&amp;"K"&amp;A394)),"",INDIRECT("template!"&amp;"K"&amp;A394)))</f>
        <v>#REF!</v>
      </c>
      <c r="O394" t="e" cm="1">
        <f t="array" aca="1" ref="O394" ca="1">IF(OR(A394="",B394="safety"),"",INDIRECT("template!"&amp;"L"&amp;A394))</f>
        <v>#REF!</v>
      </c>
      <c r="P394" t="e" cm="1">
        <f t="array" aca="1" ref="P394" ca="1">IF(OR(A394="",B394="safety"),"",INDIRECT("template!"&amp;"M"&amp;A394))</f>
        <v>#REF!</v>
      </c>
      <c r="Q394" t="e">
        <f t="shared" ca="1" si="34"/>
        <v>#REF!</v>
      </c>
      <c r="R394" t="e">
        <f t="shared" ca="1" si="35"/>
        <v>#REF!</v>
      </c>
      <c r="S394" t="e">
        <f t="shared" ca="1" si="36"/>
        <v>#REF!</v>
      </c>
      <c r="T394" t="e">
        <f t="shared" ca="1" si="37"/>
        <v>#REF!</v>
      </c>
      <c r="U394" t="e" cm="1">
        <f t="array" aca="1" ref="U394" ca="1">IF(A394="","",IF(E394="","",IF(B394="safety",INDIRECT("template!"&amp;"P"&amp;A394),Q394+R394)))</f>
        <v>#REF!</v>
      </c>
      <c r="V394" t="e" cm="1">
        <f t="array" aca="1" ref="V394" ca="1">IF(A394="","",IF(E394="","",IF(B394="safety",INDIRECT("template!"&amp;"P"&amp;A394),S394+T394)))</f>
        <v>#REF!</v>
      </c>
      <c r="W394" t="e">
        <f ca="1">IF(A394="","",IF(E394="","",#REF!))</f>
        <v>#REF!</v>
      </c>
      <c r="X394" t="e">
        <f ca="1">IF(A394="","",IF(E394="","",#REF!))</f>
        <v>#REF!</v>
      </c>
      <c r="Y394" s="39" t="e">
        <f ca="1">IF(A394="","",IF(E394="","",#REF!))</f>
        <v>#REF!</v>
      </c>
      <c r="Z394" t="e">
        <f ca="1">IF(A394="","",IF(E394="","",#REF!))</f>
        <v>#REF!</v>
      </c>
      <c r="AA394" t="e">
        <f ca="1">IF(A394="","",IF(E394="","",#REF!))</f>
        <v>#REF!</v>
      </c>
      <c r="AB394" t="e">
        <f ca="1">IF(A394="","",IF(E394="","",#REF!))</f>
        <v>#REF!</v>
      </c>
      <c r="AC394" t="e">
        <f t="shared" ca="1" si="38"/>
        <v>#REF!</v>
      </c>
    </row>
    <row r="395" spans="1:29" x14ac:dyDescent="0.35">
      <c r="A395" t="e" cm="1">
        <f t="array" aca="1" ref="A395" ca="1">IF(A394="","",IF(OR(AND(A394+1&gt;=$AF$1,A394+1&lt;=$AF$2),AND(A394+1&gt;=$AF$6,A394+1&lt;=$AF$7),AND(A394+1&gt;=$AF$3,A394+1&lt;=$AF$4),AND(A394+1&gt;=$AF$8,A394+1&lt;=$AF$9),A394+1=$AF$5),IF(NOT(ISBLANK(INDIRECT("template!"&amp;"P"&amp;A394+1))),A394+1,IF(NOT(ISBLANK(INDIRECT("template!"&amp;"P"&amp;A394+2))),A394+2,A394+3)),IF(A394=$AF$2,$AF$3,IF(A394=$AF$4,$AF$5,IF(A394=$AF$5,$AF$6,IF(A394=$AF$7,$AF$8,""))))))</f>
        <v>#REF!</v>
      </c>
      <c r="B395" t="e">
        <f t="shared" ca="1" si="33"/>
        <v>#REF!</v>
      </c>
      <c r="C395" t="e" cm="1">
        <f t="array" aca="1" ref="C395" ca="1">IF(A395="","",IF(B395="safety","safety costs",INDIRECT("template!"&amp;"B"&amp;A395)))</f>
        <v>#REF!</v>
      </c>
      <c r="D395" t="e" cm="1">
        <f t="array" aca="1" ref="D395" ca="1">IF(OR(A395="",B395="safety"),"",INDIRECT("template!"&amp;"C"&amp;A395))</f>
        <v>#REF!</v>
      </c>
      <c r="E395" t="e" cm="1">
        <f t="array" aca="1" ref="E395" ca="1">IF(A395="","",IF(OR(A395=A394+1,A395=A394+2),E394,INDIRECT("template!"&amp;"D"&amp;A395-2)))</f>
        <v>#REF!</v>
      </c>
      <c r="F395" t="e" cm="1">
        <f t="array" aca="1" ref="F395" ca="1">IF(OR(A395="",B395="safety"),"",IF(ISBLANK(IF(A395=A394+1,F394,INDIRECT("template!"&amp;"D"&amp;A395-1))),"",IF(A395=A394+1,F394,INDIRECT("template!"&amp;"D"&amp;A395-1))))</f>
        <v>#REF!</v>
      </c>
      <c r="G395" t="e" cm="1">
        <f t="array" aca="1" ref="G395" ca="1">IF(OR(A395="",B395="safety"),"",IF(ISBLANK(INDIRECT("template!"&amp;"D"&amp;A395)),"",INDIRECT("template!"&amp;"D"&amp;A395)))</f>
        <v>#REF!</v>
      </c>
      <c r="H395" t="e" cm="1">
        <f t="array" aca="1" ref="H395" ca="1">IF(OR(A395="",B395="safety"),"",IF(ISBLANK(INDIRECT("template!"&amp;"E"&amp;A395)),"",INDIRECT("template!"&amp;"E"&amp;A395)))</f>
        <v>#REF!</v>
      </c>
      <c r="I395" t="e" cm="1">
        <f t="array" aca="1" ref="I395" ca="1">IF(OR(A395="",B395="safety"),"",IF(ISBLANK(INDIRECT("template!"&amp;"F"&amp;A395)),"",INDIRECT("template!"&amp;"F"&amp;A395)))</f>
        <v>#REF!</v>
      </c>
      <c r="J395" t="e" cm="1">
        <f t="array" aca="1" ref="J395" ca="1">IF(OR(A395="",B395="safety"),"",IF(ISBLANK(INDIRECT("template!"&amp;"G"&amp;A395)),"",INDIRECT("template!"&amp;"G"&amp;A395)))</f>
        <v>#REF!</v>
      </c>
      <c r="K395" t="e" cm="1">
        <f t="array" aca="1" ref="K395" ca="1">IF(OR(A395="",B395="safety"),"",IF(ISBLANK(INDIRECT("template!"&amp;"H"&amp;A395)),"",INDIRECT("template!"&amp;"H"&amp;A395)))</f>
        <v>#REF!</v>
      </c>
      <c r="L395" t="e" cm="1">
        <f t="array" aca="1" ref="L395" ca="1">IF(OR(A395="",B395="safety"),"",INDIRECT("template!"&amp;"I"&amp;A395))</f>
        <v>#REF!</v>
      </c>
      <c r="M395" t="e" cm="1">
        <f t="array" aca="1" ref="M395" ca="1">IF(OR(A395="",B395="safety"),"",INDIRECT("template!"&amp;"J"&amp;A395))</f>
        <v>#REF!</v>
      </c>
      <c r="N395" t="e" cm="1">
        <f t="array" aca="1" ref="N395" ca="1">IF(OR(A395="",B395="safety"),"",IF(ISBLANK(INDIRECT("template!"&amp;"K"&amp;A395)),"",INDIRECT("template!"&amp;"K"&amp;A395)))</f>
        <v>#REF!</v>
      </c>
      <c r="O395" t="e" cm="1">
        <f t="array" aca="1" ref="O395" ca="1">IF(OR(A395="",B395="safety"),"",INDIRECT("template!"&amp;"L"&amp;A395))</f>
        <v>#REF!</v>
      </c>
      <c r="P395" t="e" cm="1">
        <f t="array" aca="1" ref="P395" ca="1">IF(OR(A395="",B395="safety"),"",INDIRECT("template!"&amp;"M"&amp;A395))</f>
        <v>#REF!</v>
      </c>
      <c r="Q395" t="e">
        <f t="shared" ca="1" si="34"/>
        <v>#REF!</v>
      </c>
      <c r="R395" t="e">
        <f t="shared" ca="1" si="35"/>
        <v>#REF!</v>
      </c>
      <c r="S395" t="e">
        <f t="shared" ca="1" si="36"/>
        <v>#REF!</v>
      </c>
      <c r="T395" t="e">
        <f t="shared" ca="1" si="37"/>
        <v>#REF!</v>
      </c>
      <c r="U395" t="e" cm="1">
        <f t="array" aca="1" ref="U395" ca="1">IF(A395="","",IF(E395="","",IF(B395="safety",INDIRECT("template!"&amp;"P"&amp;A395),Q395+R395)))</f>
        <v>#REF!</v>
      </c>
      <c r="V395" t="e" cm="1">
        <f t="array" aca="1" ref="V395" ca="1">IF(A395="","",IF(E395="","",IF(B395="safety",INDIRECT("template!"&amp;"P"&amp;A395),S395+T395)))</f>
        <v>#REF!</v>
      </c>
      <c r="W395" t="e">
        <f ca="1">IF(A395="","",IF(E395="","",#REF!))</f>
        <v>#REF!</v>
      </c>
      <c r="X395" t="e">
        <f ca="1">IF(A395="","",IF(E395="","",#REF!))</f>
        <v>#REF!</v>
      </c>
      <c r="Y395" s="39" t="e">
        <f ca="1">IF(A395="","",IF(E395="","",#REF!))</f>
        <v>#REF!</v>
      </c>
      <c r="Z395" t="e">
        <f ca="1">IF(A395="","",IF(E395="","",#REF!))</f>
        <v>#REF!</v>
      </c>
      <c r="AA395" t="e">
        <f ca="1">IF(A395="","",IF(E395="","",#REF!))</f>
        <v>#REF!</v>
      </c>
      <c r="AB395" t="e">
        <f ca="1">IF(A395="","",IF(E395="","",#REF!))</f>
        <v>#REF!</v>
      </c>
      <c r="AC395" t="e">
        <f t="shared" ca="1" si="38"/>
        <v>#REF!</v>
      </c>
    </row>
    <row r="396" spans="1:29" x14ac:dyDescent="0.35">
      <c r="A396" t="e" cm="1">
        <f t="array" aca="1" ref="A396" ca="1">IF(A395="","",IF(OR(AND(A395+1&gt;=$AF$1,A395+1&lt;=$AF$2),AND(A395+1&gt;=$AF$6,A395+1&lt;=$AF$7),AND(A395+1&gt;=$AF$3,A395+1&lt;=$AF$4),AND(A395+1&gt;=$AF$8,A395+1&lt;=$AF$9),A395+1=$AF$5),IF(NOT(ISBLANK(INDIRECT("template!"&amp;"P"&amp;A395+1))),A395+1,IF(NOT(ISBLANK(INDIRECT("template!"&amp;"P"&amp;A395+2))),A395+2,A395+3)),IF(A395=$AF$2,$AF$3,IF(A395=$AF$4,$AF$5,IF(A395=$AF$5,$AF$6,IF(A395=$AF$7,$AF$8,""))))))</f>
        <v>#REF!</v>
      </c>
      <c r="B396" t="e">
        <f t="shared" ca="1" si="33"/>
        <v>#REF!</v>
      </c>
      <c r="C396" t="e" cm="1">
        <f t="array" aca="1" ref="C396" ca="1">IF(A396="","",IF(B396="safety","safety costs",INDIRECT("template!"&amp;"B"&amp;A396)))</f>
        <v>#REF!</v>
      </c>
      <c r="D396" t="e" cm="1">
        <f t="array" aca="1" ref="D396" ca="1">IF(OR(A396="",B396="safety"),"",INDIRECT("template!"&amp;"C"&amp;A396))</f>
        <v>#REF!</v>
      </c>
      <c r="E396" t="e" cm="1">
        <f t="array" aca="1" ref="E396" ca="1">IF(A396="","",IF(OR(A396=A395+1,A396=A395+2),E395,INDIRECT("template!"&amp;"D"&amp;A396-2)))</f>
        <v>#REF!</v>
      </c>
      <c r="F396" t="e" cm="1">
        <f t="array" aca="1" ref="F396" ca="1">IF(OR(A396="",B396="safety"),"",IF(ISBLANK(IF(A396=A395+1,F395,INDIRECT("template!"&amp;"D"&amp;A396-1))),"",IF(A396=A395+1,F395,INDIRECT("template!"&amp;"D"&amp;A396-1))))</f>
        <v>#REF!</v>
      </c>
      <c r="G396" t="e" cm="1">
        <f t="array" aca="1" ref="G396" ca="1">IF(OR(A396="",B396="safety"),"",IF(ISBLANK(INDIRECT("template!"&amp;"D"&amp;A396)),"",INDIRECT("template!"&amp;"D"&amp;A396)))</f>
        <v>#REF!</v>
      </c>
      <c r="H396" t="e" cm="1">
        <f t="array" aca="1" ref="H396" ca="1">IF(OR(A396="",B396="safety"),"",IF(ISBLANK(INDIRECT("template!"&amp;"E"&amp;A396)),"",INDIRECT("template!"&amp;"E"&amp;A396)))</f>
        <v>#REF!</v>
      </c>
      <c r="I396" t="e" cm="1">
        <f t="array" aca="1" ref="I396" ca="1">IF(OR(A396="",B396="safety"),"",IF(ISBLANK(INDIRECT("template!"&amp;"F"&amp;A396)),"",INDIRECT("template!"&amp;"F"&amp;A396)))</f>
        <v>#REF!</v>
      </c>
      <c r="J396" t="e" cm="1">
        <f t="array" aca="1" ref="J396" ca="1">IF(OR(A396="",B396="safety"),"",IF(ISBLANK(INDIRECT("template!"&amp;"G"&amp;A396)),"",INDIRECT("template!"&amp;"G"&amp;A396)))</f>
        <v>#REF!</v>
      </c>
      <c r="K396" t="e" cm="1">
        <f t="array" aca="1" ref="K396" ca="1">IF(OR(A396="",B396="safety"),"",IF(ISBLANK(INDIRECT("template!"&amp;"H"&amp;A396)),"",INDIRECT("template!"&amp;"H"&amp;A396)))</f>
        <v>#REF!</v>
      </c>
      <c r="L396" t="e" cm="1">
        <f t="array" aca="1" ref="L396" ca="1">IF(OR(A396="",B396="safety"),"",INDIRECT("template!"&amp;"I"&amp;A396))</f>
        <v>#REF!</v>
      </c>
      <c r="M396" t="e" cm="1">
        <f t="array" aca="1" ref="M396" ca="1">IF(OR(A396="",B396="safety"),"",INDIRECT("template!"&amp;"J"&amp;A396))</f>
        <v>#REF!</v>
      </c>
      <c r="N396" t="e" cm="1">
        <f t="array" aca="1" ref="N396" ca="1">IF(OR(A396="",B396="safety"),"",IF(ISBLANK(INDIRECT("template!"&amp;"K"&amp;A396)),"",INDIRECT("template!"&amp;"K"&amp;A396)))</f>
        <v>#REF!</v>
      </c>
      <c r="O396" t="e" cm="1">
        <f t="array" aca="1" ref="O396" ca="1">IF(OR(A396="",B396="safety"),"",INDIRECT("template!"&amp;"L"&amp;A396))</f>
        <v>#REF!</v>
      </c>
      <c r="P396" t="e" cm="1">
        <f t="array" aca="1" ref="P396" ca="1">IF(OR(A396="",B396="safety"),"",INDIRECT("template!"&amp;"M"&amp;A396))</f>
        <v>#REF!</v>
      </c>
      <c r="Q396" t="e">
        <f t="shared" ca="1" si="34"/>
        <v>#REF!</v>
      </c>
      <c r="R396" t="e">
        <f t="shared" ca="1" si="35"/>
        <v>#REF!</v>
      </c>
      <c r="S396" t="e">
        <f t="shared" ca="1" si="36"/>
        <v>#REF!</v>
      </c>
      <c r="T396" t="e">
        <f t="shared" ca="1" si="37"/>
        <v>#REF!</v>
      </c>
      <c r="U396" t="e" cm="1">
        <f t="array" aca="1" ref="U396" ca="1">IF(A396="","",IF(E396="","",IF(B396="safety",INDIRECT("template!"&amp;"P"&amp;A396),Q396+R396)))</f>
        <v>#REF!</v>
      </c>
      <c r="V396" t="e" cm="1">
        <f t="array" aca="1" ref="V396" ca="1">IF(A396="","",IF(E396="","",IF(B396="safety",INDIRECT("template!"&amp;"P"&amp;A396),S396+T396)))</f>
        <v>#REF!</v>
      </c>
      <c r="W396" t="e">
        <f ca="1">IF(A396="","",IF(E396="","",#REF!))</f>
        <v>#REF!</v>
      </c>
      <c r="X396" t="e">
        <f ca="1">IF(A396="","",IF(E396="","",#REF!))</f>
        <v>#REF!</v>
      </c>
      <c r="Y396" s="39" t="e">
        <f ca="1">IF(A396="","",IF(E396="","",#REF!))</f>
        <v>#REF!</v>
      </c>
      <c r="Z396" t="e">
        <f ca="1">IF(A396="","",IF(E396="","",#REF!))</f>
        <v>#REF!</v>
      </c>
      <c r="AA396" t="e">
        <f ca="1">IF(A396="","",IF(E396="","",#REF!))</f>
        <v>#REF!</v>
      </c>
      <c r="AB396" t="e">
        <f ca="1">IF(A396="","",IF(E396="","",#REF!))</f>
        <v>#REF!</v>
      </c>
      <c r="AC396" t="e">
        <f t="shared" ca="1" si="38"/>
        <v>#REF!</v>
      </c>
    </row>
    <row r="397" spans="1:29" x14ac:dyDescent="0.35">
      <c r="A397" t="e" cm="1">
        <f t="array" aca="1" ref="A397" ca="1">IF(A396="","",IF(OR(AND(A396+1&gt;=$AF$1,A396+1&lt;=$AF$2),AND(A396+1&gt;=$AF$6,A396+1&lt;=$AF$7),AND(A396+1&gt;=$AF$3,A396+1&lt;=$AF$4),AND(A396+1&gt;=$AF$8,A396+1&lt;=$AF$9),A396+1=$AF$5),IF(NOT(ISBLANK(INDIRECT("template!"&amp;"P"&amp;A396+1))),A396+1,IF(NOT(ISBLANK(INDIRECT("template!"&amp;"P"&amp;A396+2))),A396+2,A396+3)),IF(A396=$AF$2,$AF$3,IF(A396=$AF$4,$AF$5,IF(A396=$AF$5,$AF$6,IF(A396=$AF$7,$AF$8,""))))))</f>
        <v>#REF!</v>
      </c>
      <c r="B397" t="e">
        <f t="shared" ca="1" si="33"/>
        <v>#REF!</v>
      </c>
      <c r="C397" t="e" cm="1">
        <f t="array" aca="1" ref="C397" ca="1">IF(A397="","",IF(B397="safety","safety costs",INDIRECT("template!"&amp;"B"&amp;A397)))</f>
        <v>#REF!</v>
      </c>
      <c r="D397" t="e" cm="1">
        <f t="array" aca="1" ref="D397" ca="1">IF(OR(A397="",B397="safety"),"",INDIRECT("template!"&amp;"C"&amp;A397))</f>
        <v>#REF!</v>
      </c>
      <c r="E397" t="e" cm="1">
        <f t="array" aca="1" ref="E397" ca="1">IF(A397="","",IF(OR(A397=A396+1,A397=A396+2),E396,INDIRECT("template!"&amp;"D"&amp;A397-2)))</f>
        <v>#REF!</v>
      </c>
      <c r="F397" t="e" cm="1">
        <f t="array" aca="1" ref="F397" ca="1">IF(OR(A397="",B397="safety"),"",IF(ISBLANK(IF(A397=A396+1,F396,INDIRECT("template!"&amp;"D"&amp;A397-1))),"",IF(A397=A396+1,F396,INDIRECT("template!"&amp;"D"&amp;A397-1))))</f>
        <v>#REF!</v>
      </c>
      <c r="G397" t="e" cm="1">
        <f t="array" aca="1" ref="G397" ca="1">IF(OR(A397="",B397="safety"),"",IF(ISBLANK(INDIRECT("template!"&amp;"D"&amp;A397)),"",INDIRECT("template!"&amp;"D"&amp;A397)))</f>
        <v>#REF!</v>
      </c>
      <c r="H397" t="e" cm="1">
        <f t="array" aca="1" ref="H397" ca="1">IF(OR(A397="",B397="safety"),"",IF(ISBLANK(INDIRECT("template!"&amp;"E"&amp;A397)),"",INDIRECT("template!"&amp;"E"&amp;A397)))</f>
        <v>#REF!</v>
      </c>
      <c r="I397" t="e" cm="1">
        <f t="array" aca="1" ref="I397" ca="1">IF(OR(A397="",B397="safety"),"",IF(ISBLANK(INDIRECT("template!"&amp;"F"&amp;A397)),"",INDIRECT("template!"&amp;"F"&amp;A397)))</f>
        <v>#REF!</v>
      </c>
      <c r="J397" t="e" cm="1">
        <f t="array" aca="1" ref="J397" ca="1">IF(OR(A397="",B397="safety"),"",IF(ISBLANK(INDIRECT("template!"&amp;"G"&amp;A397)),"",INDIRECT("template!"&amp;"G"&amp;A397)))</f>
        <v>#REF!</v>
      </c>
      <c r="K397" t="e" cm="1">
        <f t="array" aca="1" ref="K397" ca="1">IF(OR(A397="",B397="safety"),"",IF(ISBLANK(INDIRECT("template!"&amp;"H"&amp;A397)),"",INDIRECT("template!"&amp;"H"&amp;A397)))</f>
        <v>#REF!</v>
      </c>
      <c r="L397" t="e" cm="1">
        <f t="array" aca="1" ref="L397" ca="1">IF(OR(A397="",B397="safety"),"",INDIRECT("template!"&amp;"I"&amp;A397))</f>
        <v>#REF!</v>
      </c>
      <c r="M397" t="e" cm="1">
        <f t="array" aca="1" ref="M397" ca="1">IF(OR(A397="",B397="safety"),"",INDIRECT("template!"&amp;"J"&amp;A397))</f>
        <v>#REF!</v>
      </c>
      <c r="N397" t="e" cm="1">
        <f t="array" aca="1" ref="N397" ca="1">IF(OR(A397="",B397="safety"),"",IF(ISBLANK(INDIRECT("template!"&amp;"K"&amp;A397)),"",INDIRECT("template!"&amp;"K"&amp;A397)))</f>
        <v>#REF!</v>
      </c>
      <c r="O397" t="e" cm="1">
        <f t="array" aca="1" ref="O397" ca="1">IF(OR(A397="",B397="safety"),"",INDIRECT("template!"&amp;"L"&amp;A397))</f>
        <v>#REF!</v>
      </c>
      <c r="P397" t="e" cm="1">
        <f t="array" aca="1" ref="P397" ca="1">IF(OR(A397="",B397="safety"),"",INDIRECT("template!"&amp;"M"&amp;A397))</f>
        <v>#REF!</v>
      </c>
      <c r="Q397" t="e">
        <f t="shared" ca="1" si="34"/>
        <v>#REF!</v>
      </c>
      <c r="R397" t="e">
        <f t="shared" ca="1" si="35"/>
        <v>#REF!</v>
      </c>
      <c r="S397" t="e">
        <f t="shared" ca="1" si="36"/>
        <v>#REF!</v>
      </c>
      <c r="T397" t="e">
        <f t="shared" ca="1" si="37"/>
        <v>#REF!</v>
      </c>
      <c r="U397" t="e" cm="1">
        <f t="array" aca="1" ref="U397" ca="1">IF(A397="","",IF(E397="","",IF(B397="safety",INDIRECT("template!"&amp;"P"&amp;A397),Q397+R397)))</f>
        <v>#REF!</v>
      </c>
      <c r="V397" t="e" cm="1">
        <f t="array" aca="1" ref="V397" ca="1">IF(A397="","",IF(E397="","",IF(B397="safety",INDIRECT("template!"&amp;"P"&amp;A397),S397+T397)))</f>
        <v>#REF!</v>
      </c>
      <c r="W397" t="e">
        <f ca="1">IF(A397="","",IF(E397="","",#REF!))</f>
        <v>#REF!</v>
      </c>
      <c r="X397" t="e">
        <f ca="1">IF(A397="","",IF(E397="","",#REF!))</f>
        <v>#REF!</v>
      </c>
      <c r="Y397" s="39" t="e">
        <f ca="1">IF(A397="","",IF(E397="","",#REF!))</f>
        <v>#REF!</v>
      </c>
      <c r="Z397" t="e">
        <f ca="1">IF(A397="","",IF(E397="","",#REF!))</f>
        <v>#REF!</v>
      </c>
      <c r="AA397" t="e">
        <f ca="1">IF(A397="","",IF(E397="","",#REF!))</f>
        <v>#REF!</v>
      </c>
      <c r="AB397" t="e">
        <f ca="1">IF(A397="","",IF(E397="","",#REF!))</f>
        <v>#REF!</v>
      </c>
      <c r="AC397" t="e">
        <f t="shared" ca="1" si="38"/>
        <v>#REF!</v>
      </c>
    </row>
    <row r="398" spans="1:29" x14ac:dyDescent="0.35">
      <c r="A398" t="e" cm="1">
        <f t="array" aca="1" ref="A398" ca="1">IF(A397="","",IF(OR(AND(A397+1&gt;=$AF$1,A397+1&lt;=$AF$2),AND(A397+1&gt;=$AF$6,A397+1&lt;=$AF$7),AND(A397+1&gt;=$AF$3,A397+1&lt;=$AF$4),AND(A397+1&gt;=$AF$8,A397+1&lt;=$AF$9),A397+1=$AF$5),IF(NOT(ISBLANK(INDIRECT("template!"&amp;"P"&amp;A397+1))),A397+1,IF(NOT(ISBLANK(INDIRECT("template!"&amp;"P"&amp;A397+2))),A397+2,A397+3)),IF(A397=$AF$2,$AF$3,IF(A397=$AF$4,$AF$5,IF(A397=$AF$5,$AF$6,IF(A397=$AF$7,$AF$8,""))))))</f>
        <v>#REF!</v>
      </c>
      <c r="B398" t="e">
        <f t="shared" ca="1" si="33"/>
        <v>#REF!</v>
      </c>
      <c r="C398" t="e" cm="1">
        <f t="array" aca="1" ref="C398" ca="1">IF(A398="","",IF(B398="safety","safety costs",INDIRECT("template!"&amp;"B"&amp;A398)))</f>
        <v>#REF!</v>
      </c>
      <c r="D398" t="e" cm="1">
        <f t="array" aca="1" ref="D398" ca="1">IF(OR(A398="",B398="safety"),"",INDIRECT("template!"&amp;"C"&amp;A398))</f>
        <v>#REF!</v>
      </c>
      <c r="E398" t="e" cm="1">
        <f t="array" aca="1" ref="E398" ca="1">IF(A398="","",IF(OR(A398=A397+1,A398=A397+2),E397,INDIRECT("template!"&amp;"D"&amp;A398-2)))</f>
        <v>#REF!</v>
      </c>
      <c r="F398" t="e" cm="1">
        <f t="array" aca="1" ref="F398" ca="1">IF(OR(A398="",B398="safety"),"",IF(ISBLANK(IF(A398=A397+1,F397,INDIRECT("template!"&amp;"D"&amp;A398-1))),"",IF(A398=A397+1,F397,INDIRECT("template!"&amp;"D"&amp;A398-1))))</f>
        <v>#REF!</v>
      </c>
      <c r="G398" t="e" cm="1">
        <f t="array" aca="1" ref="G398" ca="1">IF(OR(A398="",B398="safety"),"",IF(ISBLANK(INDIRECT("template!"&amp;"D"&amp;A398)),"",INDIRECT("template!"&amp;"D"&amp;A398)))</f>
        <v>#REF!</v>
      </c>
      <c r="H398" t="e" cm="1">
        <f t="array" aca="1" ref="H398" ca="1">IF(OR(A398="",B398="safety"),"",IF(ISBLANK(INDIRECT("template!"&amp;"E"&amp;A398)),"",INDIRECT("template!"&amp;"E"&amp;A398)))</f>
        <v>#REF!</v>
      </c>
      <c r="I398" t="e" cm="1">
        <f t="array" aca="1" ref="I398" ca="1">IF(OR(A398="",B398="safety"),"",IF(ISBLANK(INDIRECT("template!"&amp;"F"&amp;A398)),"",INDIRECT("template!"&amp;"F"&amp;A398)))</f>
        <v>#REF!</v>
      </c>
      <c r="J398" t="e" cm="1">
        <f t="array" aca="1" ref="J398" ca="1">IF(OR(A398="",B398="safety"),"",IF(ISBLANK(INDIRECT("template!"&amp;"G"&amp;A398)),"",INDIRECT("template!"&amp;"G"&amp;A398)))</f>
        <v>#REF!</v>
      </c>
      <c r="K398" t="e" cm="1">
        <f t="array" aca="1" ref="K398" ca="1">IF(OR(A398="",B398="safety"),"",IF(ISBLANK(INDIRECT("template!"&amp;"H"&amp;A398)),"",INDIRECT("template!"&amp;"H"&amp;A398)))</f>
        <v>#REF!</v>
      </c>
      <c r="L398" t="e" cm="1">
        <f t="array" aca="1" ref="L398" ca="1">IF(OR(A398="",B398="safety"),"",INDIRECT("template!"&amp;"I"&amp;A398))</f>
        <v>#REF!</v>
      </c>
      <c r="M398" t="e" cm="1">
        <f t="array" aca="1" ref="M398" ca="1">IF(OR(A398="",B398="safety"),"",INDIRECT("template!"&amp;"J"&amp;A398))</f>
        <v>#REF!</v>
      </c>
      <c r="N398" t="e" cm="1">
        <f t="array" aca="1" ref="N398" ca="1">IF(OR(A398="",B398="safety"),"",IF(ISBLANK(INDIRECT("template!"&amp;"K"&amp;A398)),"",INDIRECT("template!"&amp;"K"&amp;A398)))</f>
        <v>#REF!</v>
      </c>
      <c r="O398" t="e" cm="1">
        <f t="array" aca="1" ref="O398" ca="1">IF(OR(A398="",B398="safety"),"",INDIRECT("template!"&amp;"L"&amp;A398))</f>
        <v>#REF!</v>
      </c>
      <c r="P398" t="e" cm="1">
        <f t="array" aca="1" ref="P398" ca="1">IF(OR(A398="",B398="safety"),"",INDIRECT("template!"&amp;"M"&amp;A398))</f>
        <v>#REF!</v>
      </c>
      <c r="Q398" t="e">
        <f t="shared" ca="1" si="34"/>
        <v>#REF!</v>
      </c>
      <c r="R398" t="e">
        <f t="shared" ca="1" si="35"/>
        <v>#REF!</v>
      </c>
      <c r="S398" t="e">
        <f t="shared" ca="1" si="36"/>
        <v>#REF!</v>
      </c>
      <c r="T398" t="e">
        <f t="shared" ca="1" si="37"/>
        <v>#REF!</v>
      </c>
      <c r="U398" t="e" cm="1">
        <f t="array" aca="1" ref="U398" ca="1">IF(A398="","",IF(E398="","",IF(B398="safety",INDIRECT("template!"&amp;"P"&amp;A398),Q398+R398)))</f>
        <v>#REF!</v>
      </c>
      <c r="V398" t="e" cm="1">
        <f t="array" aca="1" ref="V398" ca="1">IF(A398="","",IF(E398="","",IF(B398="safety",INDIRECT("template!"&amp;"P"&amp;A398),S398+T398)))</f>
        <v>#REF!</v>
      </c>
      <c r="W398" t="e">
        <f ca="1">IF(A398="","",IF(E398="","",#REF!))</f>
        <v>#REF!</v>
      </c>
      <c r="X398" t="e">
        <f ca="1">IF(A398="","",IF(E398="","",#REF!))</f>
        <v>#REF!</v>
      </c>
      <c r="Y398" s="39" t="e">
        <f ca="1">IF(A398="","",IF(E398="","",#REF!))</f>
        <v>#REF!</v>
      </c>
      <c r="Z398" t="e">
        <f ca="1">IF(A398="","",IF(E398="","",#REF!))</f>
        <v>#REF!</v>
      </c>
      <c r="AA398" t="e">
        <f ca="1">IF(A398="","",IF(E398="","",#REF!))</f>
        <v>#REF!</v>
      </c>
      <c r="AB398" t="e">
        <f ca="1">IF(A398="","",IF(E398="","",#REF!))</f>
        <v>#REF!</v>
      </c>
      <c r="AC398" t="e">
        <f t="shared" ca="1" si="38"/>
        <v>#REF!</v>
      </c>
    </row>
    <row r="399" spans="1:29" x14ac:dyDescent="0.35">
      <c r="A399" t="e" cm="1">
        <f t="array" aca="1" ref="A399" ca="1">IF(A398="","",IF(OR(AND(A398+1&gt;=$AF$1,A398+1&lt;=$AF$2),AND(A398+1&gt;=$AF$6,A398+1&lt;=$AF$7),AND(A398+1&gt;=$AF$3,A398+1&lt;=$AF$4),AND(A398+1&gt;=$AF$8,A398+1&lt;=$AF$9),A398+1=$AF$5),IF(NOT(ISBLANK(INDIRECT("template!"&amp;"P"&amp;A398+1))),A398+1,IF(NOT(ISBLANK(INDIRECT("template!"&amp;"P"&amp;A398+2))),A398+2,A398+3)),IF(A398=$AF$2,$AF$3,IF(A398=$AF$4,$AF$5,IF(A398=$AF$5,$AF$6,IF(A398=$AF$7,$AF$8,""))))))</f>
        <v>#REF!</v>
      </c>
      <c r="B399" t="e">
        <f t="shared" ca="1" si="33"/>
        <v>#REF!</v>
      </c>
      <c r="C399" t="e" cm="1">
        <f t="array" aca="1" ref="C399" ca="1">IF(A399="","",IF(B399="safety","safety costs",INDIRECT("template!"&amp;"B"&amp;A399)))</f>
        <v>#REF!</v>
      </c>
      <c r="D399" t="e" cm="1">
        <f t="array" aca="1" ref="D399" ca="1">IF(OR(A399="",B399="safety"),"",INDIRECT("template!"&amp;"C"&amp;A399))</f>
        <v>#REF!</v>
      </c>
      <c r="E399" t="e" cm="1">
        <f t="array" aca="1" ref="E399" ca="1">IF(A399="","",IF(OR(A399=A398+1,A399=A398+2),E398,INDIRECT("template!"&amp;"D"&amp;A399-2)))</f>
        <v>#REF!</v>
      </c>
      <c r="F399" t="e" cm="1">
        <f t="array" aca="1" ref="F399" ca="1">IF(OR(A399="",B399="safety"),"",IF(ISBLANK(IF(A399=A398+1,F398,INDIRECT("template!"&amp;"D"&amp;A399-1))),"",IF(A399=A398+1,F398,INDIRECT("template!"&amp;"D"&amp;A399-1))))</f>
        <v>#REF!</v>
      </c>
      <c r="G399" t="e" cm="1">
        <f t="array" aca="1" ref="G399" ca="1">IF(OR(A399="",B399="safety"),"",IF(ISBLANK(INDIRECT("template!"&amp;"D"&amp;A399)),"",INDIRECT("template!"&amp;"D"&amp;A399)))</f>
        <v>#REF!</v>
      </c>
      <c r="H399" t="e" cm="1">
        <f t="array" aca="1" ref="H399" ca="1">IF(OR(A399="",B399="safety"),"",IF(ISBLANK(INDIRECT("template!"&amp;"E"&amp;A399)),"",INDIRECT("template!"&amp;"E"&amp;A399)))</f>
        <v>#REF!</v>
      </c>
      <c r="I399" t="e" cm="1">
        <f t="array" aca="1" ref="I399" ca="1">IF(OR(A399="",B399="safety"),"",IF(ISBLANK(INDIRECT("template!"&amp;"F"&amp;A399)),"",INDIRECT("template!"&amp;"F"&amp;A399)))</f>
        <v>#REF!</v>
      </c>
      <c r="J399" t="e" cm="1">
        <f t="array" aca="1" ref="J399" ca="1">IF(OR(A399="",B399="safety"),"",IF(ISBLANK(INDIRECT("template!"&amp;"G"&amp;A399)),"",INDIRECT("template!"&amp;"G"&amp;A399)))</f>
        <v>#REF!</v>
      </c>
      <c r="K399" t="e" cm="1">
        <f t="array" aca="1" ref="K399" ca="1">IF(OR(A399="",B399="safety"),"",IF(ISBLANK(INDIRECT("template!"&amp;"H"&amp;A399)),"",INDIRECT("template!"&amp;"H"&amp;A399)))</f>
        <v>#REF!</v>
      </c>
      <c r="L399" t="e" cm="1">
        <f t="array" aca="1" ref="L399" ca="1">IF(OR(A399="",B399="safety"),"",INDIRECT("template!"&amp;"I"&amp;A399))</f>
        <v>#REF!</v>
      </c>
      <c r="M399" t="e" cm="1">
        <f t="array" aca="1" ref="M399" ca="1">IF(OR(A399="",B399="safety"),"",INDIRECT("template!"&amp;"J"&amp;A399))</f>
        <v>#REF!</v>
      </c>
      <c r="N399" t="e" cm="1">
        <f t="array" aca="1" ref="N399" ca="1">IF(OR(A399="",B399="safety"),"",IF(ISBLANK(INDIRECT("template!"&amp;"K"&amp;A399)),"",INDIRECT("template!"&amp;"K"&amp;A399)))</f>
        <v>#REF!</v>
      </c>
      <c r="O399" t="e" cm="1">
        <f t="array" aca="1" ref="O399" ca="1">IF(OR(A399="",B399="safety"),"",INDIRECT("template!"&amp;"L"&amp;A399))</f>
        <v>#REF!</v>
      </c>
      <c r="P399" t="e" cm="1">
        <f t="array" aca="1" ref="P399" ca="1">IF(OR(A399="",B399="safety"),"",INDIRECT("template!"&amp;"M"&amp;A399))</f>
        <v>#REF!</v>
      </c>
      <c r="Q399" t="e">
        <f t="shared" ca="1" si="34"/>
        <v>#REF!</v>
      </c>
      <c r="R399" t="e">
        <f t="shared" ca="1" si="35"/>
        <v>#REF!</v>
      </c>
      <c r="S399" t="e">
        <f t="shared" ca="1" si="36"/>
        <v>#REF!</v>
      </c>
      <c r="T399" t="e">
        <f t="shared" ca="1" si="37"/>
        <v>#REF!</v>
      </c>
      <c r="U399" t="e" cm="1">
        <f t="array" aca="1" ref="U399" ca="1">IF(A399="","",IF(E399="","",IF(B399="safety",INDIRECT("template!"&amp;"P"&amp;A399),Q399+R399)))</f>
        <v>#REF!</v>
      </c>
      <c r="V399" t="e" cm="1">
        <f t="array" aca="1" ref="V399" ca="1">IF(A399="","",IF(E399="","",IF(B399="safety",INDIRECT("template!"&amp;"P"&amp;A399),S399+T399)))</f>
        <v>#REF!</v>
      </c>
      <c r="W399" t="e">
        <f ca="1">IF(A399="","",IF(E399="","",#REF!))</f>
        <v>#REF!</v>
      </c>
      <c r="X399" t="e">
        <f ca="1">IF(A399="","",IF(E399="","",#REF!))</f>
        <v>#REF!</v>
      </c>
      <c r="Y399" s="39" t="e">
        <f ca="1">IF(A399="","",IF(E399="","",#REF!))</f>
        <v>#REF!</v>
      </c>
      <c r="Z399" t="e">
        <f ca="1">IF(A399="","",IF(E399="","",#REF!))</f>
        <v>#REF!</v>
      </c>
      <c r="AA399" t="e">
        <f ca="1">IF(A399="","",IF(E399="","",#REF!))</f>
        <v>#REF!</v>
      </c>
      <c r="AB399" t="e">
        <f ca="1">IF(A399="","",IF(E399="","",#REF!))</f>
        <v>#REF!</v>
      </c>
      <c r="AC399" t="e">
        <f t="shared" ca="1" si="38"/>
        <v>#REF!</v>
      </c>
    </row>
    <row r="400" spans="1:29" x14ac:dyDescent="0.35">
      <c r="A400" t="e" cm="1">
        <f t="array" aca="1" ref="A400" ca="1">IF(A399="","",IF(OR(AND(A399+1&gt;=$AF$1,A399+1&lt;=$AF$2),AND(A399+1&gt;=$AF$6,A399+1&lt;=$AF$7),AND(A399+1&gt;=$AF$3,A399+1&lt;=$AF$4),AND(A399+1&gt;=$AF$8,A399+1&lt;=$AF$9),A399+1=$AF$5),IF(NOT(ISBLANK(INDIRECT("template!"&amp;"P"&amp;A399+1))),A399+1,IF(NOT(ISBLANK(INDIRECT("template!"&amp;"P"&amp;A399+2))),A399+2,A399+3)),IF(A399=$AF$2,$AF$3,IF(A399=$AF$4,$AF$5,IF(A399=$AF$5,$AF$6,IF(A399=$AF$7,$AF$8,""))))))</f>
        <v>#REF!</v>
      </c>
      <c r="B400" t="e">
        <f t="shared" ca="1" si="33"/>
        <v>#REF!</v>
      </c>
      <c r="C400" t="e" cm="1">
        <f t="array" aca="1" ref="C400" ca="1">IF(A400="","",IF(B400="safety","safety costs",INDIRECT("template!"&amp;"B"&amp;A400)))</f>
        <v>#REF!</v>
      </c>
      <c r="D400" t="e" cm="1">
        <f t="array" aca="1" ref="D400" ca="1">IF(OR(A400="",B400="safety"),"",INDIRECT("template!"&amp;"C"&amp;A400))</f>
        <v>#REF!</v>
      </c>
      <c r="E400" t="e" cm="1">
        <f t="array" aca="1" ref="E400" ca="1">IF(A400="","",IF(OR(A400=A399+1,A400=A399+2),E399,INDIRECT("template!"&amp;"D"&amp;A400-2)))</f>
        <v>#REF!</v>
      </c>
      <c r="F400" t="e" cm="1">
        <f t="array" aca="1" ref="F400" ca="1">IF(OR(A400="",B400="safety"),"",IF(ISBLANK(IF(A400=A399+1,F399,INDIRECT("template!"&amp;"D"&amp;A400-1))),"",IF(A400=A399+1,F399,INDIRECT("template!"&amp;"D"&amp;A400-1))))</f>
        <v>#REF!</v>
      </c>
      <c r="G400" t="e" cm="1">
        <f t="array" aca="1" ref="G400" ca="1">IF(OR(A400="",B400="safety"),"",IF(ISBLANK(INDIRECT("template!"&amp;"D"&amp;A400)),"",INDIRECT("template!"&amp;"D"&amp;A400)))</f>
        <v>#REF!</v>
      </c>
      <c r="H400" t="e" cm="1">
        <f t="array" aca="1" ref="H400" ca="1">IF(OR(A400="",B400="safety"),"",IF(ISBLANK(INDIRECT("template!"&amp;"E"&amp;A400)),"",INDIRECT("template!"&amp;"E"&amp;A400)))</f>
        <v>#REF!</v>
      </c>
      <c r="I400" t="e" cm="1">
        <f t="array" aca="1" ref="I400" ca="1">IF(OR(A400="",B400="safety"),"",IF(ISBLANK(INDIRECT("template!"&amp;"F"&amp;A400)),"",INDIRECT("template!"&amp;"F"&amp;A400)))</f>
        <v>#REF!</v>
      </c>
      <c r="J400" t="e" cm="1">
        <f t="array" aca="1" ref="J400" ca="1">IF(OR(A400="",B400="safety"),"",IF(ISBLANK(INDIRECT("template!"&amp;"G"&amp;A400)),"",INDIRECT("template!"&amp;"G"&amp;A400)))</f>
        <v>#REF!</v>
      </c>
      <c r="K400" t="e" cm="1">
        <f t="array" aca="1" ref="K400" ca="1">IF(OR(A400="",B400="safety"),"",IF(ISBLANK(INDIRECT("template!"&amp;"H"&amp;A400)),"",INDIRECT("template!"&amp;"H"&amp;A400)))</f>
        <v>#REF!</v>
      </c>
      <c r="L400" t="e" cm="1">
        <f t="array" aca="1" ref="L400" ca="1">IF(OR(A400="",B400="safety"),"",INDIRECT("template!"&amp;"I"&amp;A400))</f>
        <v>#REF!</v>
      </c>
      <c r="M400" t="e" cm="1">
        <f t="array" aca="1" ref="M400" ca="1">IF(OR(A400="",B400="safety"),"",INDIRECT("template!"&amp;"J"&amp;A400))</f>
        <v>#REF!</v>
      </c>
      <c r="N400" t="e" cm="1">
        <f t="array" aca="1" ref="N400" ca="1">IF(OR(A400="",B400="safety"),"",IF(ISBLANK(INDIRECT("template!"&amp;"K"&amp;A400)),"",INDIRECT("template!"&amp;"K"&amp;A400)))</f>
        <v>#REF!</v>
      </c>
      <c r="O400" t="e" cm="1">
        <f t="array" aca="1" ref="O400" ca="1">IF(OR(A400="",B400="safety"),"",INDIRECT("template!"&amp;"L"&amp;A400))</f>
        <v>#REF!</v>
      </c>
      <c r="P400" t="e" cm="1">
        <f t="array" aca="1" ref="P400" ca="1">IF(OR(A400="",B400="safety"),"",INDIRECT("template!"&amp;"M"&amp;A400))</f>
        <v>#REF!</v>
      </c>
      <c r="Q400" t="e">
        <f t="shared" ca="1" si="34"/>
        <v>#REF!</v>
      </c>
      <c r="R400" t="e">
        <f t="shared" ca="1" si="35"/>
        <v>#REF!</v>
      </c>
      <c r="S400" t="e">
        <f t="shared" ca="1" si="36"/>
        <v>#REF!</v>
      </c>
      <c r="T400" t="e">
        <f t="shared" ca="1" si="37"/>
        <v>#REF!</v>
      </c>
      <c r="U400" t="e" cm="1">
        <f t="array" aca="1" ref="U400" ca="1">IF(A400="","",IF(E400="","",IF(B400="safety",INDIRECT("template!"&amp;"P"&amp;A400),Q400+R400)))</f>
        <v>#REF!</v>
      </c>
      <c r="V400" t="e" cm="1">
        <f t="array" aca="1" ref="V400" ca="1">IF(A400="","",IF(E400="","",IF(B400="safety",INDIRECT("template!"&amp;"P"&amp;A400),S400+T400)))</f>
        <v>#REF!</v>
      </c>
      <c r="W400" t="e">
        <f ca="1">IF(A400="","",IF(E400="","",#REF!))</f>
        <v>#REF!</v>
      </c>
      <c r="X400" t="e">
        <f ca="1">IF(A400="","",IF(E400="","",#REF!))</f>
        <v>#REF!</v>
      </c>
      <c r="Y400" s="39" t="e">
        <f ca="1">IF(A400="","",IF(E400="","",#REF!))</f>
        <v>#REF!</v>
      </c>
      <c r="Z400" t="e">
        <f ca="1">IF(A400="","",IF(E400="","",#REF!))</f>
        <v>#REF!</v>
      </c>
      <c r="AA400" t="e">
        <f ca="1">IF(A400="","",IF(E400="","",#REF!))</f>
        <v>#REF!</v>
      </c>
      <c r="AB400" t="e">
        <f ca="1">IF(A400="","",IF(E400="","",#REF!))</f>
        <v>#REF!</v>
      </c>
      <c r="AC400" t="e">
        <f t="shared" ca="1" si="38"/>
        <v>#REF!</v>
      </c>
    </row>
    <row r="401" spans="1:29" x14ac:dyDescent="0.35">
      <c r="A401" t="e" cm="1">
        <f t="array" aca="1" ref="A401" ca="1">IF(A400="","",IF(OR(AND(A400+1&gt;=$AF$1,A400+1&lt;=$AF$2),AND(A400+1&gt;=$AF$6,A400+1&lt;=$AF$7),AND(A400+1&gt;=$AF$3,A400+1&lt;=$AF$4),AND(A400+1&gt;=$AF$8,A400+1&lt;=$AF$9),A400+1=$AF$5),IF(NOT(ISBLANK(INDIRECT("template!"&amp;"P"&amp;A400+1))),A400+1,IF(NOT(ISBLANK(INDIRECT("template!"&amp;"P"&amp;A400+2))),A400+2,A400+3)),IF(A400=$AF$2,$AF$3,IF(A400=$AF$4,$AF$5,IF(A400=$AF$5,$AF$6,IF(A400=$AF$7,$AF$8,""))))))</f>
        <v>#REF!</v>
      </c>
      <c r="B401" t="e">
        <f t="shared" ca="1" si="33"/>
        <v>#REF!</v>
      </c>
      <c r="C401" t="e" cm="1">
        <f t="array" aca="1" ref="C401" ca="1">IF(A401="","",IF(B401="safety","safety costs",INDIRECT("template!"&amp;"B"&amp;A401)))</f>
        <v>#REF!</v>
      </c>
      <c r="D401" t="e" cm="1">
        <f t="array" aca="1" ref="D401" ca="1">IF(OR(A401="",B401="safety"),"",INDIRECT("template!"&amp;"C"&amp;A401))</f>
        <v>#REF!</v>
      </c>
      <c r="E401" t="e" cm="1">
        <f t="array" aca="1" ref="E401" ca="1">IF(A401="","",IF(OR(A401=A400+1,A401=A400+2),E400,INDIRECT("template!"&amp;"D"&amp;A401-2)))</f>
        <v>#REF!</v>
      </c>
      <c r="F401" t="e" cm="1">
        <f t="array" aca="1" ref="F401" ca="1">IF(OR(A401="",B401="safety"),"",IF(ISBLANK(IF(A401=A400+1,F400,INDIRECT("template!"&amp;"D"&amp;A401-1))),"",IF(A401=A400+1,F400,INDIRECT("template!"&amp;"D"&amp;A401-1))))</f>
        <v>#REF!</v>
      </c>
      <c r="G401" t="e" cm="1">
        <f t="array" aca="1" ref="G401" ca="1">IF(OR(A401="",B401="safety"),"",IF(ISBLANK(INDIRECT("template!"&amp;"D"&amp;A401)),"",INDIRECT("template!"&amp;"D"&amp;A401)))</f>
        <v>#REF!</v>
      </c>
      <c r="H401" t="e" cm="1">
        <f t="array" aca="1" ref="H401" ca="1">IF(OR(A401="",B401="safety"),"",IF(ISBLANK(INDIRECT("template!"&amp;"E"&amp;A401)),"",INDIRECT("template!"&amp;"E"&amp;A401)))</f>
        <v>#REF!</v>
      </c>
      <c r="I401" t="e" cm="1">
        <f t="array" aca="1" ref="I401" ca="1">IF(OR(A401="",B401="safety"),"",IF(ISBLANK(INDIRECT("template!"&amp;"F"&amp;A401)),"",INDIRECT("template!"&amp;"F"&amp;A401)))</f>
        <v>#REF!</v>
      </c>
      <c r="J401" t="e" cm="1">
        <f t="array" aca="1" ref="J401" ca="1">IF(OR(A401="",B401="safety"),"",IF(ISBLANK(INDIRECT("template!"&amp;"G"&amp;A401)),"",INDIRECT("template!"&amp;"G"&amp;A401)))</f>
        <v>#REF!</v>
      </c>
      <c r="K401" t="e" cm="1">
        <f t="array" aca="1" ref="K401" ca="1">IF(OR(A401="",B401="safety"),"",IF(ISBLANK(INDIRECT("template!"&amp;"H"&amp;A401)),"",INDIRECT("template!"&amp;"H"&amp;A401)))</f>
        <v>#REF!</v>
      </c>
      <c r="L401" t="e" cm="1">
        <f t="array" aca="1" ref="L401" ca="1">IF(OR(A401="",B401="safety"),"",INDIRECT("template!"&amp;"I"&amp;A401))</f>
        <v>#REF!</v>
      </c>
      <c r="M401" t="e" cm="1">
        <f t="array" aca="1" ref="M401" ca="1">IF(OR(A401="",B401="safety"),"",INDIRECT("template!"&amp;"J"&amp;A401))</f>
        <v>#REF!</v>
      </c>
      <c r="N401" t="e" cm="1">
        <f t="array" aca="1" ref="N401" ca="1">IF(OR(A401="",B401="safety"),"",IF(ISBLANK(INDIRECT("template!"&amp;"K"&amp;A401)),"",INDIRECT("template!"&amp;"K"&amp;A401)))</f>
        <v>#REF!</v>
      </c>
      <c r="O401" t="e" cm="1">
        <f t="array" aca="1" ref="O401" ca="1">IF(OR(A401="",B401="safety"),"",INDIRECT("template!"&amp;"L"&amp;A401))</f>
        <v>#REF!</v>
      </c>
      <c r="P401" t="e" cm="1">
        <f t="array" aca="1" ref="P401" ca="1">IF(OR(A401="",B401="safety"),"",INDIRECT("template!"&amp;"M"&amp;A401))</f>
        <v>#REF!</v>
      </c>
      <c r="Q401" t="e">
        <f t="shared" ca="1" si="34"/>
        <v>#REF!</v>
      </c>
      <c r="R401" t="e">
        <f t="shared" ca="1" si="35"/>
        <v>#REF!</v>
      </c>
      <c r="S401" t="e">
        <f t="shared" ca="1" si="36"/>
        <v>#REF!</v>
      </c>
      <c r="T401" t="e">
        <f t="shared" ca="1" si="37"/>
        <v>#REF!</v>
      </c>
      <c r="U401" t="e" cm="1">
        <f t="array" aca="1" ref="U401" ca="1">IF(A401="","",IF(E401="","",IF(B401="safety",INDIRECT("template!"&amp;"P"&amp;A401),Q401+R401)))</f>
        <v>#REF!</v>
      </c>
      <c r="V401" t="e" cm="1">
        <f t="array" aca="1" ref="V401" ca="1">IF(A401="","",IF(E401="","",IF(B401="safety",INDIRECT("template!"&amp;"P"&amp;A401),S401+T401)))</f>
        <v>#REF!</v>
      </c>
      <c r="W401" t="e">
        <f ca="1">IF(A401="","",IF(E401="","",#REF!))</f>
        <v>#REF!</v>
      </c>
      <c r="X401" t="e">
        <f ca="1">IF(A401="","",IF(E401="","",#REF!))</f>
        <v>#REF!</v>
      </c>
      <c r="Y401" s="39" t="e">
        <f ca="1">IF(A401="","",IF(E401="","",#REF!))</f>
        <v>#REF!</v>
      </c>
      <c r="Z401" t="e">
        <f ca="1">IF(A401="","",IF(E401="","",#REF!))</f>
        <v>#REF!</v>
      </c>
      <c r="AA401" t="e">
        <f ca="1">IF(A401="","",IF(E401="","",#REF!))</f>
        <v>#REF!</v>
      </c>
      <c r="AB401" t="e">
        <f ca="1">IF(A401="","",IF(E401="","",#REF!))</f>
        <v>#REF!</v>
      </c>
      <c r="AC401" t="e">
        <f t="shared" ca="1" si="38"/>
        <v>#REF!</v>
      </c>
    </row>
    <row r="402" spans="1:29" x14ac:dyDescent="0.35">
      <c r="A402" t="e" cm="1">
        <f t="array" aca="1" ref="A402" ca="1">IF(A401="","",IF(OR(AND(A401+1&gt;=$AF$1,A401+1&lt;=$AF$2),AND(A401+1&gt;=$AF$6,A401+1&lt;=$AF$7),AND(A401+1&gt;=$AF$3,A401+1&lt;=$AF$4),AND(A401+1&gt;=$AF$8,A401+1&lt;=$AF$9),A401+1=$AF$5),IF(NOT(ISBLANK(INDIRECT("template!"&amp;"P"&amp;A401+1))),A401+1,IF(NOT(ISBLANK(INDIRECT("template!"&amp;"P"&amp;A401+2))),A401+2,A401+3)),IF(A401=$AF$2,$AF$3,IF(A401=$AF$4,$AF$5,IF(A401=$AF$5,$AF$6,IF(A401=$AF$7,$AF$8,""))))))</f>
        <v>#REF!</v>
      </c>
      <c r="B402" t="e">
        <f t="shared" ca="1" si="33"/>
        <v>#REF!</v>
      </c>
      <c r="C402" t="e" cm="1">
        <f t="array" aca="1" ref="C402" ca="1">IF(A402="","",IF(B402="safety","safety costs",INDIRECT("template!"&amp;"B"&amp;A402)))</f>
        <v>#REF!</v>
      </c>
      <c r="D402" t="e" cm="1">
        <f t="array" aca="1" ref="D402" ca="1">IF(OR(A402="",B402="safety"),"",INDIRECT("template!"&amp;"C"&amp;A402))</f>
        <v>#REF!</v>
      </c>
      <c r="E402" t="e" cm="1">
        <f t="array" aca="1" ref="E402" ca="1">IF(A402="","",IF(OR(A402=A401+1,A402=A401+2),E401,INDIRECT("template!"&amp;"D"&amp;A402-2)))</f>
        <v>#REF!</v>
      </c>
      <c r="F402" t="e" cm="1">
        <f t="array" aca="1" ref="F402" ca="1">IF(OR(A402="",B402="safety"),"",IF(ISBLANK(IF(A402=A401+1,F401,INDIRECT("template!"&amp;"D"&amp;A402-1))),"",IF(A402=A401+1,F401,INDIRECT("template!"&amp;"D"&amp;A402-1))))</f>
        <v>#REF!</v>
      </c>
      <c r="G402" t="e" cm="1">
        <f t="array" aca="1" ref="G402" ca="1">IF(OR(A402="",B402="safety"),"",IF(ISBLANK(INDIRECT("template!"&amp;"D"&amp;A402)),"",INDIRECT("template!"&amp;"D"&amp;A402)))</f>
        <v>#REF!</v>
      </c>
      <c r="H402" t="e" cm="1">
        <f t="array" aca="1" ref="H402" ca="1">IF(OR(A402="",B402="safety"),"",IF(ISBLANK(INDIRECT("template!"&amp;"E"&amp;A402)),"",INDIRECT("template!"&amp;"E"&amp;A402)))</f>
        <v>#REF!</v>
      </c>
      <c r="I402" t="e" cm="1">
        <f t="array" aca="1" ref="I402" ca="1">IF(OR(A402="",B402="safety"),"",IF(ISBLANK(INDIRECT("template!"&amp;"F"&amp;A402)),"",INDIRECT("template!"&amp;"F"&amp;A402)))</f>
        <v>#REF!</v>
      </c>
      <c r="J402" t="e" cm="1">
        <f t="array" aca="1" ref="J402" ca="1">IF(OR(A402="",B402="safety"),"",IF(ISBLANK(INDIRECT("template!"&amp;"G"&amp;A402)),"",INDIRECT("template!"&amp;"G"&amp;A402)))</f>
        <v>#REF!</v>
      </c>
      <c r="K402" t="e" cm="1">
        <f t="array" aca="1" ref="K402" ca="1">IF(OR(A402="",B402="safety"),"",IF(ISBLANK(INDIRECT("template!"&amp;"H"&amp;A402)),"",INDIRECT("template!"&amp;"H"&amp;A402)))</f>
        <v>#REF!</v>
      </c>
      <c r="L402" t="e" cm="1">
        <f t="array" aca="1" ref="L402" ca="1">IF(OR(A402="",B402="safety"),"",INDIRECT("template!"&amp;"I"&amp;A402))</f>
        <v>#REF!</v>
      </c>
      <c r="M402" t="e" cm="1">
        <f t="array" aca="1" ref="M402" ca="1">IF(OR(A402="",B402="safety"),"",INDIRECT("template!"&amp;"J"&amp;A402))</f>
        <v>#REF!</v>
      </c>
      <c r="N402" t="e" cm="1">
        <f t="array" aca="1" ref="N402" ca="1">IF(OR(A402="",B402="safety"),"",IF(ISBLANK(INDIRECT("template!"&amp;"K"&amp;A402)),"",INDIRECT("template!"&amp;"K"&amp;A402)))</f>
        <v>#REF!</v>
      </c>
      <c r="O402" t="e" cm="1">
        <f t="array" aca="1" ref="O402" ca="1">IF(OR(A402="",B402="safety"),"",INDIRECT("template!"&amp;"L"&amp;A402))</f>
        <v>#REF!</v>
      </c>
      <c r="P402" t="e" cm="1">
        <f t="array" aca="1" ref="P402" ca="1">IF(OR(A402="",B402="safety"),"",INDIRECT("template!"&amp;"M"&amp;A402))</f>
        <v>#REF!</v>
      </c>
      <c r="Q402" t="e">
        <f t="shared" ca="1" si="34"/>
        <v>#REF!</v>
      </c>
      <c r="R402" t="e">
        <f t="shared" ca="1" si="35"/>
        <v>#REF!</v>
      </c>
      <c r="S402" t="e">
        <f t="shared" ca="1" si="36"/>
        <v>#REF!</v>
      </c>
      <c r="T402" t="e">
        <f t="shared" ca="1" si="37"/>
        <v>#REF!</v>
      </c>
      <c r="U402" t="e" cm="1">
        <f t="array" aca="1" ref="U402" ca="1">IF(A402="","",IF(E402="","",IF(B402="safety",INDIRECT("template!"&amp;"P"&amp;A402),Q402+R402)))</f>
        <v>#REF!</v>
      </c>
      <c r="V402" t="e" cm="1">
        <f t="array" aca="1" ref="V402" ca="1">IF(A402="","",IF(E402="","",IF(B402="safety",INDIRECT("template!"&amp;"P"&amp;A402),S402+T402)))</f>
        <v>#REF!</v>
      </c>
      <c r="W402" t="e">
        <f ca="1">IF(A402="","",IF(E402="","",#REF!))</f>
        <v>#REF!</v>
      </c>
      <c r="X402" t="e">
        <f ca="1">IF(A402="","",IF(E402="","",#REF!))</f>
        <v>#REF!</v>
      </c>
      <c r="Y402" s="39" t="e">
        <f ca="1">IF(A402="","",IF(E402="","",#REF!))</f>
        <v>#REF!</v>
      </c>
      <c r="Z402" t="e">
        <f ca="1">IF(A402="","",IF(E402="","",#REF!))</f>
        <v>#REF!</v>
      </c>
      <c r="AA402" t="e">
        <f ca="1">IF(A402="","",IF(E402="","",#REF!))</f>
        <v>#REF!</v>
      </c>
      <c r="AB402" t="e">
        <f ca="1">IF(A402="","",IF(E402="","",#REF!))</f>
        <v>#REF!</v>
      </c>
      <c r="AC402" t="e">
        <f t="shared" ca="1" si="38"/>
        <v>#REF!</v>
      </c>
    </row>
    <row r="403" spans="1:29" x14ac:dyDescent="0.35">
      <c r="A403" t="e" cm="1">
        <f t="array" aca="1" ref="A403" ca="1">IF(A402="","",IF(OR(AND(A402+1&gt;=$AF$1,A402+1&lt;=$AF$2),AND(A402+1&gt;=$AF$6,A402+1&lt;=$AF$7),AND(A402+1&gt;=$AF$3,A402+1&lt;=$AF$4),AND(A402+1&gt;=$AF$8,A402+1&lt;=$AF$9),A402+1=$AF$5),IF(NOT(ISBLANK(INDIRECT("template!"&amp;"P"&amp;A402+1))),A402+1,IF(NOT(ISBLANK(INDIRECT("template!"&amp;"P"&amp;A402+2))),A402+2,A402+3)),IF(A402=$AF$2,$AF$3,IF(A402=$AF$4,$AF$5,IF(A402=$AF$5,$AF$6,IF(A402=$AF$7,$AF$8,""))))))</f>
        <v>#REF!</v>
      </c>
      <c r="B403" t="e">
        <f t="shared" ca="1" si="33"/>
        <v>#REF!</v>
      </c>
      <c r="C403" t="e" cm="1">
        <f t="array" aca="1" ref="C403" ca="1">IF(A403="","",IF(B403="safety","safety costs",INDIRECT("template!"&amp;"B"&amp;A403)))</f>
        <v>#REF!</v>
      </c>
      <c r="D403" t="e" cm="1">
        <f t="array" aca="1" ref="D403" ca="1">IF(OR(A403="",B403="safety"),"",INDIRECT("template!"&amp;"C"&amp;A403))</f>
        <v>#REF!</v>
      </c>
      <c r="E403" t="e" cm="1">
        <f t="array" aca="1" ref="E403" ca="1">IF(A403="","",IF(OR(A403=A402+1,A403=A402+2),E402,INDIRECT("template!"&amp;"D"&amp;A403-2)))</f>
        <v>#REF!</v>
      </c>
      <c r="F403" t="e" cm="1">
        <f t="array" aca="1" ref="F403" ca="1">IF(OR(A403="",B403="safety"),"",IF(ISBLANK(IF(A403=A402+1,F402,INDIRECT("template!"&amp;"D"&amp;A403-1))),"",IF(A403=A402+1,F402,INDIRECT("template!"&amp;"D"&amp;A403-1))))</f>
        <v>#REF!</v>
      </c>
      <c r="G403" t="e" cm="1">
        <f t="array" aca="1" ref="G403" ca="1">IF(OR(A403="",B403="safety"),"",IF(ISBLANK(INDIRECT("template!"&amp;"D"&amp;A403)),"",INDIRECT("template!"&amp;"D"&amp;A403)))</f>
        <v>#REF!</v>
      </c>
      <c r="H403" t="e" cm="1">
        <f t="array" aca="1" ref="H403" ca="1">IF(OR(A403="",B403="safety"),"",IF(ISBLANK(INDIRECT("template!"&amp;"E"&amp;A403)),"",INDIRECT("template!"&amp;"E"&amp;A403)))</f>
        <v>#REF!</v>
      </c>
      <c r="I403" t="e" cm="1">
        <f t="array" aca="1" ref="I403" ca="1">IF(OR(A403="",B403="safety"),"",IF(ISBLANK(INDIRECT("template!"&amp;"F"&amp;A403)),"",INDIRECT("template!"&amp;"F"&amp;A403)))</f>
        <v>#REF!</v>
      </c>
      <c r="J403" t="e" cm="1">
        <f t="array" aca="1" ref="J403" ca="1">IF(OR(A403="",B403="safety"),"",IF(ISBLANK(INDIRECT("template!"&amp;"G"&amp;A403)),"",INDIRECT("template!"&amp;"G"&amp;A403)))</f>
        <v>#REF!</v>
      </c>
      <c r="K403" t="e" cm="1">
        <f t="array" aca="1" ref="K403" ca="1">IF(OR(A403="",B403="safety"),"",IF(ISBLANK(INDIRECT("template!"&amp;"H"&amp;A403)),"",INDIRECT("template!"&amp;"H"&amp;A403)))</f>
        <v>#REF!</v>
      </c>
      <c r="L403" t="e" cm="1">
        <f t="array" aca="1" ref="L403" ca="1">IF(OR(A403="",B403="safety"),"",INDIRECT("template!"&amp;"I"&amp;A403))</f>
        <v>#REF!</v>
      </c>
      <c r="M403" t="e" cm="1">
        <f t="array" aca="1" ref="M403" ca="1">IF(OR(A403="",B403="safety"),"",INDIRECT("template!"&amp;"J"&amp;A403))</f>
        <v>#REF!</v>
      </c>
      <c r="N403" t="e" cm="1">
        <f t="array" aca="1" ref="N403" ca="1">IF(OR(A403="",B403="safety"),"",IF(ISBLANK(INDIRECT("template!"&amp;"K"&amp;A403)),"",INDIRECT("template!"&amp;"K"&amp;A403)))</f>
        <v>#REF!</v>
      </c>
      <c r="O403" t="e" cm="1">
        <f t="array" aca="1" ref="O403" ca="1">IF(OR(A403="",B403="safety"),"",INDIRECT("template!"&amp;"L"&amp;A403))</f>
        <v>#REF!</v>
      </c>
      <c r="P403" t="e" cm="1">
        <f t="array" aca="1" ref="P403" ca="1">IF(OR(A403="",B403="safety"),"",INDIRECT("template!"&amp;"M"&amp;A403))</f>
        <v>#REF!</v>
      </c>
      <c r="Q403" t="e">
        <f t="shared" ca="1" si="34"/>
        <v>#REF!</v>
      </c>
      <c r="R403" t="e">
        <f t="shared" ca="1" si="35"/>
        <v>#REF!</v>
      </c>
      <c r="S403" t="e">
        <f t="shared" ca="1" si="36"/>
        <v>#REF!</v>
      </c>
      <c r="T403" t="e">
        <f t="shared" ca="1" si="37"/>
        <v>#REF!</v>
      </c>
      <c r="U403" t="e" cm="1">
        <f t="array" aca="1" ref="U403" ca="1">IF(A403="","",IF(E403="","",IF(B403="safety",INDIRECT("template!"&amp;"P"&amp;A403),Q403+R403)))</f>
        <v>#REF!</v>
      </c>
      <c r="V403" t="e" cm="1">
        <f t="array" aca="1" ref="V403" ca="1">IF(A403="","",IF(E403="","",IF(B403="safety",INDIRECT("template!"&amp;"P"&amp;A403),S403+T403)))</f>
        <v>#REF!</v>
      </c>
      <c r="W403" t="e">
        <f ca="1">IF(A403="","",IF(E403="","",#REF!))</f>
        <v>#REF!</v>
      </c>
      <c r="X403" t="e">
        <f ca="1">IF(A403="","",IF(E403="","",#REF!))</f>
        <v>#REF!</v>
      </c>
      <c r="Y403" s="39" t="e">
        <f ca="1">IF(A403="","",IF(E403="","",#REF!))</f>
        <v>#REF!</v>
      </c>
      <c r="Z403" t="e">
        <f ca="1">IF(A403="","",IF(E403="","",#REF!))</f>
        <v>#REF!</v>
      </c>
      <c r="AA403" t="e">
        <f ca="1">IF(A403="","",IF(E403="","",#REF!))</f>
        <v>#REF!</v>
      </c>
      <c r="AB403" t="e">
        <f ca="1">IF(A403="","",IF(E403="","",#REF!))</f>
        <v>#REF!</v>
      </c>
      <c r="AC403" t="e">
        <f t="shared" ca="1" si="38"/>
        <v>#REF!</v>
      </c>
    </row>
    <row r="404" spans="1:29" x14ac:dyDescent="0.35">
      <c r="A404" t="e" cm="1">
        <f t="array" aca="1" ref="A404" ca="1">IF(A403="","",IF(OR(AND(A403+1&gt;=$AF$1,A403+1&lt;=$AF$2),AND(A403+1&gt;=$AF$6,A403+1&lt;=$AF$7),AND(A403+1&gt;=$AF$3,A403+1&lt;=$AF$4),AND(A403+1&gt;=$AF$8,A403+1&lt;=$AF$9),A403+1=$AF$5),IF(NOT(ISBLANK(INDIRECT("template!"&amp;"P"&amp;A403+1))),A403+1,IF(NOT(ISBLANK(INDIRECT("template!"&amp;"P"&amp;A403+2))),A403+2,A403+3)),IF(A403=$AF$2,$AF$3,IF(A403=$AF$4,$AF$5,IF(A403=$AF$5,$AF$6,IF(A403=$AF$7,$AF$8,""))))))</f>
        <v>#REF!</v>
      </c>
      <c r="B404" t="e">
        <f t="shared" ca="1" si="33"/>
        <v>#REF!</v>
      </c>
      <c r="C404" t="e" cm="1">
        <f t="array" aca="1" ref="C404" ca="1">IF(A404="","",IF(B404="safety","safety costs",INDIRECT("template!"&amp;"B"&amp;A404)))</f>
        <v>#REF!</v>
      </c>
      <c r="D404" t="e" cm="1">
        <f t="array" aca="1" ref="D404" ca="1">IF(OR(A404="",B404="safety"),"",INDIRECT("template!"&amp;"C"&amp;A404))</f>
        <v>#REF!</v>
      </c>
      <c r="E404" t="e" cm="1">
        <f t="array" aca="1" ref="E404" ca="1">IF(A404="","",IF(OR(A404=A403+1,A404=A403+2),E403,INDIRECT("template!"&amp;"D"&amp;A404-2)))</f>
        <v>#REF!</v>
      </c>
      <c r="F404" t="e" cm="1">
        <f t="array" aca="1" ref="F404" ca="1">IF(OR(A404="",B404="safety"),"",IF(ISBLANK(IF(A404=A403+1,F403,INDIRECT("template!"&amp;"D"&amp;A404-1))),"",IF(A404=A403+1,F403,INDIRECT("template!"&amp;"D"&amp;A404-1))))</f>
        <v>#REF!</v>
      </c>
      <c r="G404" t="e" cm="1">
        <f t="array" aca="1" ref="G404" ca="1">IF(OR(A404="",B404="safety"),"",IF(ISBLANK(INDIRECT("template!"&amp;"D"&amp;A404)),"",INDIRECT("template!"&amp;"D"&amp;A404)))</f>
        <v>#REF!</v>
      </c>
      <c r="H404" t="e" cm="1">
        <f t="array" aca="1" ref="H404" ca="1">IF(OR(A404="",B404="safety"),"",IF(ISBLANK(INDIRECT("template!"&amp;"E"&amp;A404)),"",INDIRECT("template!"&amp;"E"&amp;A404)))</f>
        <v>#REF!</v>
      </c>
      <c r="I404" t="e" cm="1">
        <f t="array" aca="1" ref="I404" ca="1">IF(OR(A404="",B404="safety"),"",IF(ISBLANK(INDIRECT("template!"&amp;"F"&amp;A404)),"",INDIRECT("template!"&amp;"F"&amp;A404)))</f>
        <v>#REF!</v>
      </c>
      <c r="J404" t="e" cm="1">
        <f t="array" aca="1" ref="J404" ca="1">IF(OR(A404="",B404="safety"),"",IF(ISBLANK(INDIRECT("template!"&amp;"G"&amp;A404)),"",INDIRECT("template!"&amp;"G"&amp;A404)))</f>
        <v>#REF!</v>
      </c>
      <c r="K404" t="e" cm="1">
        <f t="array" aca="1" ref="K404" ca="1">IF(OR(A404="",B404="safety"),"",IF(ISBLANK(INDIRECT("template!"&amp;"H"&amp;A404)),"",INDIRECT("template!"&amp;"H"&amp;A404)))</f>
        <v>#REF!</v>
      </c>
      <c r="L404" t="e" cm="1">
        <f t="array" aca="1" ref="L404" ca="1">IF(OR(A404="",B404="safety"),"",INDIRECT("template!"&amp;"I"&amp;A404))</f>
        <v>#REF!</v>
      </c>
      <c r="M404" t="e" cm="1">
        <f t="array" aca="1" ref="M404" ca="1">IF(OR(A404="",B404="safety"),"",INDIRECT("template!"&amp;"J"&amp;A404))</f>
        <v>#REF!</v>
      </c>
      <c r="N404" t="e" cm="1">
        <f t="array" aca="1" ref="N404" ca="1">IF(OR(A404="",B404="safety"),"",IF(ISBLANK(INDIRECT("template!"&amp;"K"&amp;A404)),"",INDIRECT("template!"&amp;"K"&amp;A404)))</f>
        <v>#REF!</v>
      </c>
      <c r="O404" t="e" cm="1">
        <f t="array" aca="1" ref="O404" ca="1">IF(OR(A404="",B404="safety"),"",INDIRECT("template!"&amp;"L"&amp;A404))</f>
        <v>#REF!</v>
      </c>
      <c r="P404" t="e" cm="1">
        <f t="array" aca="1" ref="P404" ca="1">IF(OR(A404="",B404="safety"),"",INDIRECT("template!"&amp;"M"&amp;A404))</f>
        <v>#REF!</v>
      </c>
      <c r="Q404" t="e">
        <f t="shared" ca="1" si="34"/>
        <v>#REF!</v>
      </c>
      <c r="R404" t="e">
        <f t="shared" ca="1" si="35"/>
        <v>#REF!</v>
      </c>
      <c r="S404" t="e">
        <f t="shared" ca="1" si="36"/>
        <v>#REF!</v>
      </c>
      <c r="T404" t="e">
        <f t="shared" ca="1" si="37"/>
        <v>#REF!</v>
      </c>
      <c r="U404" t="e" cm="1">
        <f t="array" aca="1" ref="U404" ca="1">IF(A404="","",IF(E404="","",IF(B404="safety",INDIRECT("template!"&amp;"P"&amp;A404),Q404+R404)))</f>
        <v>#REF!</v>
      </c>
      <c r="V404" t="e" cm="1">
        <f t="array" aca="1" ref="V404" ca="1">IF(A404="","",IF(E404="","",IF(B404="safety",INDIRECT("template!"&amp;"P"&amp;A404),S404+T404)))</f>
        <v>#REF!</v>
      </c>
      <c r="W404" t="e">
        <f ca="1">IF(A404="","",IF(E404="","",#REF!))</f>
        <v>#REF!</v>
      </c>
      <c r="X404" t="e">
        <f ca="1">IF(A404="","",IF(E404="","",#REF!))</f>
        <v>#REF!</v>
      </c>
      <c r="Y404" s="39" t="e">
        <f ca="1">IF(A404="","",IF(E404="","",#REF!))</f>
        <v>#REF!</v>
      </c>
      <c r="Z404" t="e">
        <f ca="1">IF(A404="","",IF(E404="","",#REF!))</f>
        <v>#REF!</v>
      </c>
      <c r="AA404" t="e">
        <f ca="1">IF(A404="","",IF(E404="","",#REF!))</f>
        <v>#REF!</v>
      </c>
      <c r="AB404" t="e">
        <f ca="1">IF(A404="","",IF(E404="","",#REF!))</f>
        <v>#REF!</v>
      </c>
      <c r="AC404" t="e">
        <f t="shared" ca="1" si="38"/>
        <v>#REF!</v>
      </c>
    </row>
    <row r="405" spans="1:29" x14ac:dyDescent="0.35">
      <c r="A405" t="e" cm="1">
        <f t="array" aca="1" ref="A405" ca="1">IF(A404="","",IF(OR(AND(A404+1&gt;=$AF$1,A404+1&lt;=$AF$2),AND(A404+1&gt;=$AF$6,A404+1&lt;=$AF$7),AND(A404+1&gt;=$AF$3,A404+1&lt;=$AF$4),AND(A404+1&gt;=$AF$8,A404+1&lt;=$AF$9),A404+1=$AF$5),IF(NOT(ISBLANK(INDIRECT("template!"&amp;"P"&amp;A404+1))),A404+1,IF(NOT(ISBLANK(INDIRECT("template!"&amp;"P"&amp;A404+2))),A404+2,A404+3)),IF(A404=$AF$2,$AF$3,IF(A404=$AF$4,$AF$5,IF(A404=$AF$5,$AF$6,IF(A404=$AF$7,$AF$8,""))))))</f>
        <v>#REF!</v>
      </c>
      <c r="B405" t="e">
        <f t="shared" ca="1" si="33"/>
        <v>#REF!</v>
      </c>
      <c r="C405" t="e" cm="1">
        <f t="array" aca="1" ref="C405" ca="1">IF(A405="","",IF(B405="safety","safety costs",INDIRECT("template!"&amp;"B"&amp;A405)))</f>
        <v>#REF!</v>
      </c>
      <c r="D405" t="e" cm="1">
        <f t="array" aca="1" ref="D405" ca="1">IF(OR(A405="",B405="safety"),"",INDIRECT("template!"&amp;"C"&amp;A405))</f>
        <v>#REF!</v>
      </c>
      <c r="E405" t="e" cm="1">
        <f t="array" aca="1" ref="E405" ca="1">IF(A405="","",IF(OR(A405=A404+1,A405=A404+2),E404,INDIRECT("template!"&amp;"D"&amp;A405-2)))</f>
        <v>#REF!</v>
      </c>
      <c r="F405" t="e" cm="1">
        <f t="array" aca="1" ref="F405" ca="1">IF(OR(A405="",B405="safety"),"",IF(ISBLANK(IF(A405=A404+1,F404,INDIRECT("template!"&amp;"D"&amp;A405-1))),"",IF(A405=A404+1,F404,INDIRECT("template!"&amp;"D"&amp;A405-1))))</f>
        <v>#REF!</v>
      </c>
      <c r="G405" t="e" cm="1">
        <f t="array" aca="1" ref="G405" ca="1">IF(OR(A405="",B405="safety"),"",IF(ISBLANK(INDIRECT("template!"&amp;"D"&amp;A405)),"",INDIRECT("template!"&amp;"D"&amp;A405)))</f>
        <v>#REF!</v>
      </c>
      <c r="H405" t="e" cm="1">
        <f t="array" aca="1" ref="H405" ca="1">IF(OR(A405="",B405="safety"),"",IF(ISBLANK(INDIRECT("template!"&amp;"E"&amp;A405)),"",INDIRECT("template!"&amp;"E"&amp;A405)))</f>
        <v>#REF!</v>
      </c>
      <c r="I405" t="e" cm="1">
        <f t="array" aca="1" ref="I405" ca="1">IF(OR(A405="",B405="safety"),"",IF(ISBLANK(INDIRECT("template!"&amp;"F"&amp;A405)),"",INDIRECT("template!"&amp;"F"&amp;A405)))</f>
        <v>#REF!</v>
      </c>
      <c r="J405" t="e" cm="1">
        <f t="array" aca="1" ref="J405" ca="1">IF(OR(A405="",B405="safety"),"",IF(ISBLANK(INDIRECT("template!"&amp;"G"&amp;A405)),"",INDIRECT("template!"&amp;"G"&amp;A405)))</f>
        <v>#REF!</v>
      </c>
      <c r="K405" t="e" cm="1">
        <f t="array" aca="1" ref="K405" ca="1">IF(OR(A405="",B405="safety"),"",IF(ISBLANK(INDIRECT("template!"&amp;"H"&amp;A405)),"",INDIRECT("template!"&amp;"H"&amp;A405)))</f>
        <v>#REF!</v>
      </c>
      <c r="L405" t="e" cm="1">
        <f t="array" aca="1" ref="L405" ca="1">IF(OR(A405="",B405="safety"),"",INDIRECT("template!"&amp;"I"&amp;A405))</f>
        <v>#REF!</v>
      </c>
      <c r="M405" t="e" cm="1">
        <f t="array" aca="1" ref="M405" ca="1">IF(OR(A405="",B405="safety"),"",INDIRECT("template!"&amp;"J"&amp;A405))</f>
        <v>#REF!</v>
      </c>
      <c r="N405" t="e" cm="1">
        <f t="array" aca="1" ref="N405" ca="1">IF(OR(A405="",B405="safety"),"",IF(ISBLANK(INDIRECT("template!"&amp;"K"&amp;A405)),"",INDIRECT("template!"&amp;"K"&amp;A405)))</f>
        <v>#REF!</v>
      </c>
      <c r="O405" t="e" cm="1">
        <f t="array" aca="1" ref="O405" ca="1">IF(OR(A405="",B405="safety"),"",INDIRECT("template!"&amp;"L"&amp;A405))</f>
        <v>#REF!</v>
      </c>
      <c r="P405" t="e" cm="1">
        <f t="array" aca="1" ref="P405" ca="1">IF(OR(A405="",B405="safety"),"",INDIRECT("template!"&amp;"M"&amp;A405))</f>
        <v>#REF!</v>
      </c>
      <c r="Q405" t="e">
        <f t="shared" ca="1" si="34"/>
        <v>#REF!</v>
      </c>
      <c r="R405" t="e">
        <f t="shared" ca="1" si="35"/>
        <v>#REF!</v>
      </c>
      <c r="S405" t="e">
        <f t="shared" ca="1" si="36"/>
        <v>#REF!</v>
      </c>
      <c r="T405" t="e">
        <f t="shared" ca="1" si="37"/>
        <v>#REF!</v>
      </c>
      <c r="U405" t="e" cm="1">
        <f t="array" aca="1" ref="U405" ca="1">IF(A405="","",IF(E405="","",IF(B405="safety",INDIRECT("template!"&amp;"P"&amp;A405),Q405+R405)))</f>
        <v>#REF!</v>
      </c>
      <c r="V405" t="e" cm="1">
        <f t="array" aca="1" ref="V405" ca="1">IF(A405="","",IF(E405="","",IF(B405="safety",INDIRECT("template!"&amp;"P"&amp;A405),S405+T405)))</f>
        <v>#REF!</v>
      </c>
      <c r="W405" t="e">
        <f ca="1">IF(A405="","",IF(E405="","",#REF!))</f>
        <v>#REF!</v>
      </c>
      <c r="X405" t="e">
        <f ca="1">IF(A405="","",IF(E405="","",#REF!))</f>
        <v>#REF!</v>
      </c>
      <c r="Y405" s="39" t="e">
        <f ca="1">IF(A405="","",IF(E405="","",#REF!))</f>
        <v>#REF!</v>
      </c>
      <c r="Z405" t="e">
        <f ca="1">IF(A405="","",IF(E405="","",#REF!))</f>
        <v>#REF!</v>
      </c>
      <c r="AA405" t="e">
        <f ca="1">IF(A405="","",IF(E405="","",#REF!))</f>
        <v>#REF!</v>
      </c>
      <c r="AB405" t="e">
        <f ca="1">IF(A405="","",IF(E405="","",#REF!))</f>
        <v>#REF!</v>
      </c>
      <c r="AC405" t="e">
        <f t="shared" ca="1" si="38"/>
        <v>#REF!</v>
      </c>
    </row>
    <row r="406" spans="1:29" x14ac:dyDescent="0.35">
      <c r="A406" t="e" cm="1">
        <f t="array" aca="1" ref="A406" ca="1">IF(A405="","",IF(OR(AND(A405+1&gt;=$AF$1,A405+1&lt;=$AF$2),AND(A405+1&gt;=$AF$6,A405+1&lt;=$AF$7),AND(A405+1&gt;=$AF$3,A405+1&lt;=$AF$4),AND(A405+1&gt;=$AF$8,A405+1&lt;=$AF$9),A405+1=$AF$5),IF(NOT(ISBLANK(INDIRECT("template!"&amp;"P"&amp;A405+1))),A405+1,IF(NOT(ISBLANK(INDIRECT("template!"&amp;"P"&amp;A405+2))),A405+2,A405+3)),IF(A405=$AF$2,$AF$3,IF(A405=$AF$4,$AF$5,IF(A405=$AF$5,$AF$6,IF(A405=$AF$7,$AF$8,""))))))</f>
        <v>#REF!</v>
      </c>
      <c r="B406" t="e">
        <f t="shared" ca="1" si="33"/>
        <v>#REF!</v>
      </c>
      <c r="C406" t="e" cm="1">
        <f t="array" aca="1" ref="C406" ca="1">IF(A406="","",IF(B406="safety","safety costs",INDIRECT("template!"&amp;"B"&amp;A406)))</f>
        <v>#REF!</v>
      </c>
      <c r="D406" t="e" cm="1">
        <f t="array" aca="1" ref="D406" ca="1">IF(OR(A406="",B406="safety"),"",INDIRECT("template!"&amp;"C"&amp;A406))</f>
        <v>#REF!</v>
      </c>
      <c r="E406" t="e" cm="1">
        <f t="array" aca="1" ref="E406" ca="1">IF(A406="","",IF(OR(A406=A405+1,A406=A405+2),E405,INDIRECT("template!"&amp;"D"&amp;A406-2)))</f>
        <v>#REF!</v>
      </c>
      <c r="F406" t="e" cm="1">
        <f t="array" aca="1" ref="F406" ca="1">IF(OR(A406="",B406="safety"),"",IF(ISBLANK(IF(A406=A405+1,F405,INDIRECT("template!"&amp;"D"&amp;A406-1))),"",IF(A406=A405+1,F405,INDIRECT("template!"&amp;"D"&amp;A406-1))))</f>
        <v>#REF!</v>
      </c>
      <c r="G406" t="e" cm="1">
        <f t="array" aca="1" ref="G406" ca="1">IF(OR(A406="",B406="safety"),"",IF(ISBLANK(INDIRECT("template!"&amp;"D"&amp;A406)),"",INDIRECT("template!"&amp;"D"&amp;A406)))</f>
        <v>#REF!</v>
      </c>
      <c r="H406" t="e" cm="1">
        <f t="array" aca="1" ref="H406" ca="1">IF(OR(A406="",B406="safety"),"",IF(ISBLANK(INDIRECT("template!"&amp;"E"&amp;A406)),"",INDIRECT("template!"&amp;"E"&amp;A406)))</f>
        <v>#REF!</v>
      </c>
      <c r="I406" t="e" cm="1">
        <f t="array" aca="1" ref="I406" ca="1">IF(OR(A406="",B406="safety"),"",IF(ISBLANK(INDIRECT("template!"&amp;"F"&amp;A406)),"",INDIRECT("template!"&amp;"F"&amp;A406)))</f>
        <v>#REF!</v>
      </c>
      <c r="J406" t="e" cm="1">
        <f t="array" aca="1" ref="J406" ca="1">IF(OR(A406="",B406="safety"),"",IF(ISBLANK(INDIRECT("template!"&amp;"G"&amp;A406)),"",INDIRECT("template!"&amp;"G"&amp;A406)))</f>
        <v>#REF!</v>
      </c>
      <c r="K406" t="e" cm="1">
        <f t="array" aca="1" ref="K406" ca="1">IF(OR(A406="",B406="safety"),"",IF(ISBLANK(INDIRECT("template!"&amp;"H"&amp;A406)),"",INDIRECT("template!"&amp;"H"&amp;A406)))</f>
        <v>#REF!</v>
      </c>
      <c r="L406" t="e" cm="1">
        <f t="array" aca="1" ref="L406" ca="1">IF(OR(A406="",B406="safety"),"",INDIRECT("template!"&amp;"I"&amp;A406))</f>
        <v>#REF!</v>
      </c>
      <c r="M406" t="e" cm="1">
        <f t="array" aca="1" ref="M406" ca="1">IF(OR(A406="",B406="safety"),"",INDIRECT("template!"&amp;"J"&amp;A406))</f>
        <v>#REF!</v>
      </c>
      <c r="N406" t="e" cm="1">
        <f t="array" aca="1" ref="N406" ca="1">IF(OR(A406="",B406="safety"),"",IF(ISBLANK(INDIRECT("template!"&amp;"K"&amp;A406)),"",INDIRECT("template!"&amp;"K"&amp;A406)))</f>
        <v>#REF!</v>
      </c>
      <c r="O406" t="e" cm="1">
        <f t="array" aca="1" ref="O406" ca="1">IF(OR(A406="",B406="safety"),"",INDIRECT("template!"&amp;"L"&amp;A406))</f>
        <v>#REF!</v>
      </c>
      <c r="P406" t="e" cm="1">
        <f t="array" aca="1" ref="P406" ca="1">IF(OR(A406="",B406="safety"),"",INDIRECT("template!"&amp;"M"&amp;A406))</f>
        <v>#REF!</v>
      </c>
      <c r="Q406" t="e">
        <f t="shared" ca="1" si="34"/>
        <v>#REF!</v>
      </c>
      <c r="R406" t="e">
        <f t="shared" ca="1" si="35"/>
        <v>#REF!</v>
      </c>
      <c r="S406" t="e">
        <f t="shared" ca="1" si="36"/>
        <v>#REF!</v>
      </c>
      <c r="T406" t="e">
        <f t="shared" ca="1" si="37"/>
        <v>#REF!</v>
      </c>
      <c r="U406" t="e" cm="1">
        <f t="array" aca="1" ref="U406" ca="1">IF(A406="","",IF(E406="","",IF(B406="safety",INDIRECT("template!"&amp;"P"&amp;A406),Q406+R406)))</f>
        <v>#REF!</v>
      </c>
      <c r="V406" t="e" cm="1">
        <f t="array" aca="1" ref="V406" ca="1">IF(A406="","",IF(E406="","",IF(B406="safety",INDIRECT("template!"&amp;"P"&amp;A406),S406+T406)))</f>
        <v>#REF!</v>
      </c>
      <c r="W406" t="e">
        <f ca="1">IF(A406="","",IF(E406="","",#REF!))</f>
        <v>#REF!</v>
      </c>
      <c r="X406" t="e">
        <f ca="1">IF(A406="","",IF(E406="","",#REF!))</f>
        <v>#REF!</v>
      </c>
      <c r="Y406" s="39" t="e">
        <f ca="1">IF(A406="","",IF(E406="","",#REF!))</f>
        <v>#REF!</v>
      </c>
      <c r="Z406" t="e">
        <f ca="1">IF(A406="","",IF(E406="","",#REF!))</f>
        <v>#REF!</v>
      </c>
      <c r="AA406" t="e">
        <f ca="1">IF(A406="","",IF(E406="","",#REF!))</f>
        <v>#REF!</v>
      </c>
      <c r="AB406" t="e">
        <f ca="1">IF(A406="","",IF(E406="","",#REF!))</f>
        <v>#REF!</v>
      </c>
      <c r="AC406" t="e">
        <f t="shared" ca="1" si="38"/>
        <v>#REF!</v>
      </c>
    </row>
    <row r="407" spans="1:29" x14ac:dyDescent="0.35">
      <c r="A407" t="e" cm="1">
        <f t="array" aca="1" ref="A407" ca="1">IF(A406="","",IF(OR(AND(A406+1&gt;=$AF$1,A406+1&lt;=$AF$2),AND(A406+1&gt;=$AF$6,A406+1&lt;=$AF$7),AND(A406+1&gt;=$AF$3,A406+1&lt;=$AF$4),AND(A406+1&gt;=$AF$8,A406+1&lt;=$AF$9),A406+1=$AF$5),IF(NOT(ISBLANK(INDIRECT("template!"&amp;"P"&amp;A406+1))),A406+1,IF(NOT(ISBLANK(INDIRECT("template!"&amp;"P"&amp;A406+2))),A406+2,A406+3)),IF(A406=$AF$2,$AF$3,IF(A406=$AF$4,$AF$5,IF(A406=$AF$5,$AF$6,IF(A406=$AF$7,$AF$8,""))))))</f>
        <v>#REF!</v>
      </c>
      <c r="B407" t="e">
        <f t="shared" ca="1" si="33"/>
        <v>#REF!</v>
      </c>
      <c r="C407" t="e" cm="1">
        <f t="array" aca="1" ref="C407" ca="1">IF(A407="","",IF(B407="safety","safety costs",INDIRECT("template!"&amp;"B"&amp;A407)))</f>
        <v>#REF!</v>
      </c>
      <c r="D407" t="e" cm="1">
        <f t="array" aca="1" ref="D407" ca="1">IF(OR(A407="",B407="safety"),"",INDIRECT("template!"&amp;"C"&amp;A407))</f>
        <v>#REF!</v>
      </c>
      <c r="E407" t="e" cm="1">
        <f t="array" aca="1" ref="E407" ca="1">IF(A407="","",IF(OR(A407=A406+1,A407=A406+2),E406,INDIRECT("template!"&amp;"D"&amp;A407-2)))</f>
        <v>#REF!</v>
      </c>
      <c r="F407" t="e" cm="1">
        <f t="array" aca="1" ref="F407" ca="1">IF(OR(A407="",B407="safety"),"",IF(ISBLANK(IF(A407=A406+1,F406,INDIRECT("template!"&amp;"D"&amp;A407-1))),"",IF(A407=A406+1,F406,INDIRECT("template!"&amp;"D"&amp;A407-1))))</f>
        <v>#REF!</v>
      </c>
      <c r="G407" t="e" cm="1">
        <f t="array" aca="1" ref="G407" ca="1">IF(OR(A407="",B407="safety"),"",IF(ISBLANK(INDIRECT("template!"&amp;"D"&amp;A407)),"",INDIRECT("template!"&amp;"D"&amp;A407)))</f>
        <v>#REF!</v>
      </c>
      <c r="H407" t="e" cm="1">
        <f t="array" aca="1" ref="H407" ca="1">IF(OR(A407="",B407="safety"),"",IF(ISBLANK(INDIRECT("template!"&amp;"E"&amp;A407)),"",INDIRECT("template!"&amp;"E"&amp;A407)))</f>
        <v>#REF!</v>
      </c>
      <c r="I407" t="e" cm="1">
        <f t="array" aca="1" ref="I407" ca="1">IF(OR(A407="",B407="safety"),"",IF(ISBLANK(INDIRECT("template!"&amp;"F"&amp;A407)),"",INDIRECT("template!"&amp;"F"&amp;A407)))</f>
        <v>#REF!</v>
      </c>
      <c r="J407" t="e" cm="1">
        <f t="array" aca="1" ref="J407" ca="1">IF(OR(A407="",B407="safety"),"",IF(ISBLANK(INDIRECT("template!"&amp;"G"&amp;A407)),"",INDIRECT("template!"&amp;"G"&amp;A407)))</f>
        <v>#REF!</v>
      </c>
      <c r="K407" t="e" cm="1">
        <f t="array" aca="1" ref="K407" ca="1">IF(OR(A407="",B407="safety"),"",IF(ISBLANK(INDIRECT("template!"&amp;"H"&amp;A407)),"",INDIRECT("template!"&amp;"H"&amp;A407)))</f>
        <v>#REF!</v>
      </c>
      <c r="L407" t="e" cm="1">
        <f t="array" aca="1" ref="L407" ca="1">IF(OR(A407="",B407="safety"),"",INDIRECT("template!"&amp;"I"&amp;A407))</f>
        <v>#REF!</v>
      </c>
      <c r="M407" t="e" cm="1">
        <f t="array" aca="1" ref="M407" ca="1">IF(OR(A407="",B407="safety"),"",INDIRECT("template!"&amp;"J"&amp;A407))</f>
        <v>#REF!</v>
      </c>
      <c r="N407" t="e" cm="1">
        <f t="array" aca="1" ref="N407" ca="1">IF(OR(A407="",B407="safety"),"",IF(ISBLANK(INDIRECT("template!"&amp;"K"&amp;A407)),"",INDIRECT("template!"&amp;"K"&amp;A407)))</f>
        <v>#REF!</v>
      </c>
      <c r="O407" t="e" cm="1">
        <f t="array" aca="1" ref="O407" ca="1">IF(OR(A407="",B407="safety"),"",INDIRECT("template!"&amp;"L"&amp;A407))</f>
        <v>#REF!</v>
      </c>
      <c r="P407" t="e" cm="1">
        <f t="array" aca="1" ref="P407" ca="1">IF(OR(A407="",B407="safety"),"",INDIRECT("template!"&amp;"M"&amp;A407))</f>
        <v>#REF!</v>
      </c>
      <c r="Q407" t="e">
        <f t="shared" ca="1" si="34"/>
        <v>#REF!</v>
      </c>
      <c r="R407" t="e">
        <f t="shared" ca="1" si="35"/>
        <v>#REF!</v>
      </c>
      <c r="S407" t="e">
        <f t="shared" ca="1" si="36"/>
        <v>#REF!</v>
      </c>
      <c r="T407" t="e">
        <f t="shared" ca="1" si="37"/>
        <v>#REF!</v>
      </c>
      <c r="U407" t="e" cm="1">
        <f t="array" aca="1" ref="U407" ca="1">IF(A407="","",IF(E407="","",IF(B407="safety",INDIRECT("template!"&amp;"P"&amp;A407),Q407+R407)))</f>
        <v>#REF!</v>
      </c>
      <c r="V407" t="e" cm="1">
        <f t="array" aca="1" ref="V407" ca="1">IF(A407="","",IF(E407="","",IF(B407="safety",INDIRECT("template!"&amp;"P"&amp;A407),S407+T407)))</f>
        <v>#REF!</v>
      </c>
      <c r="W407" t="e">
        <f ca="1">IF(A407="","",IF(E407="","",#REF!))</f>
        <v>#REF!</v>
      </c>
      <c r="X407" t="e">
        <f ca="1">IF(A407="","",IF(E407="","",#REF!))</f>
        <v>#REF!</v>
      </c>
      <c r="Y407" s="39" t="e">
        <f ca="1">IF(A407="","",IF(E407="","",#REF!))</f>
        <v>#REF!</v>
      </c>
      <c r="Z407" t="e">
        <f ca="1">IF(A407="","",IF(E407="","",#REF!))</f>
        <v>#REF!</v>
      </c>
      <c r="AA407" t="e">
        <f ca="1">IF(A407="","",IF(E407="","",#REF!))</f>
        <v>#REF!</v>
      </c>
      <c r="AB407" t="e">
        <f ca="1">IF(A407="","",IF(E407="","",#REF!))</f>
        <v>#REF!</v>
      </c>
      <c r="AC407" t="e">
        <f t="shared" ca="1" si="38"/>
        <v>#REF!</v>
      </c>
    </row>
    <row r="408" spans="1:29" x14ac:dyDescent="0.35">
      <c r="A408" t="e" cm="1">
        <f t="array" aca="1" ref="A408" ca="1">IF(A407="","",IF(OR(AND(A407+1&gt;=$AF$1,A407+1&lt;=$AF$2),AND(A407+1&gt;=$AF$6,A407+1&lt;=$AF$7),AND(A407+1&gt;=$AF$3,A407+1&lt;=$AF$4),AND(A407+1&gt;=$AF$8,A407+1&lt;=$AF$9),A407+1=$AF$5),IF(NOT(ISBLANK(INDIRECT("template!"&amp;"P"&amp;A407+1))),A407+1,IF(NOT(ISBLANK(INDIRECT("template!"&amp;"P"&amp;A407+2))),A407+2,A407+3)),IF(A407=$AF$2,$AF$3,IF(A407=$AF$4,$AF$5,IF(A407=$AF$5,$AF$6,IF(A407=$AF$7,$AF$8,""))))))</f>
        <v>#REF!</v>
      </c>
      <c r="B408" t="e">
        <f t="shared" ca="1" si="33"/>
        <v>#REF!</v>
      </c>
      <c r="C408" t="e" cm="1">
        <f t="array" aca="1" ref="C408" ca="1">IF(A408="","",IF(B408="safety","safety costs",INDIRECT("template!"&amp;"B"&amp;A408)))</f>
        <v>#REF!</v>
      </c>
      <c r="D408" t="e" cm="1">
        <f t="array" aca="1" ref="D408" ca="1">IF(OR(A408="",B408="safety"),"",INDIRECT("template!"&amp;"C"&amp;A408))</f>
        <v>#REF!</v>
      </c>
      <c r="E408" t="e" cm="1">
        <f t="array" aca="1" ref="E408" ca="1">IF(A408="","",IF(OR(A408=A407+1,A408=A407+2),E407,INDIRECT("template!"&amp;"D"&amp;A408-2)))</f>
        <v>#REF!</v>
      </c>
      <c r="F408" t="e" cm="1">
        <f t="array" aca="1" ref="F408" ca="1">IF(OR(A408="",B408="safety"),"",IF(ISBLANK(IF(A408=A407+1,F407,INDIRECT("template!"&amp;"D"&amp;A408-1))),"",IF(A408=A407+1,F407,INDIRECT("template!"&amp;"D"&amp;A408-1))))</f>
        <v>#REF!</v>
      </c>
      <c r="G408" t="e" cm="1">
        <f t="array" aca="1" ref="G408" ca="1">IF(OR(A408="",B408="safety"),"",IF(ISBLANK(INDIRECT("template!"&amp;"D"&amp;A408)),"",INDIRECT("template!"&amp;"D"&amp;A408)))</f>
        <v>#REF!</v>
      </c>
      <c r="H408" t="e" cm="1">
        <f t="array" aca="1" ref="H408" ca="1">IF(OR(A408="",B408="safety"),"",IF(ISBLANK(INDIRECT("template!"&amp;"E"&amp;A408)),"",INDIRECT("template!"&amp;"E"&amp;A408)))</f>
        <v>#REF!</v>
      </c>
      <c r="I408" t="e" cm="1">
        <f t="array" aca="1" ref="I408" ca="1">IF(OR(A408="",B408="safety"),"",IF(ISBLANK(INDIRECT("template!"&amp;"F"&amp;A408)),"",INDIRECT("template!"&amp;"F"&amp;A408)))</f>
        <v>#REF!</v>
      </c>
      <c r="J408" t="e" cm="1">
        <f t="array" aca="1" ref="J408" ca="1">IF(OR(A408="",B408="safety"),"",IF(ISBLANK(INDIRECT("template!"&amp;"G"&amp;A408)),"",INDIRECT("template!"&amp;"G"&amp;A408)))</f>
        <v>#REF!</v>
      </c>
      <c r="K408" t="e" cm="1">
        <f t="array" aca="1" ref="K408" ca="1">IF(OR(A408="",B408="safety"),"",IF(ISBLANK(INDIRECT("template!"&amp;"H"&amp;A408)),"",INDIRECT("template!"&amp;"H"&amp;A408)))</f>
        <v>#REF!</v>
      </c>
      <c r="L408" t="e" cm="1">
        <f t="array" aca="1" ref="L408" ca="1">IF(OR(A408="",B408="safety"),"",INDIRECT("template!"&amp;"I"&amp;A408))</f>
        <v>#REF!</v>
      </c>
      <c r="M408" t="e" cm="1">
        <f t="array" aca="1" ref="M408" ca="1">IF(OR(A408="",B408="safety"),"",INDIRECT("template!"&amp;"J"&amp;A408))</f>
        <v>#REF!</v>
      </c>
      <c r="N408" t="e" cm="1">
        <f t="array" aca="1" ref="N408" ca="1">IF(OR(A408="",B408="safety"),"",IF(ISBLANK(INDIRECT("template!"&amp;"K"&amp;A408)),"",INDIRECT("template!"&amp;"K"&amp;A408)))</f>
        <v>#REF!</v>
      </c>
      <c r="O408" t="e" cm="1">
        <f t="array" aca="1" ref="O408" ca="1">IF(OR(A408="",B408="safety"),"",INDIRECT("template!"&amp;"L"&amp;A408))</f>
        <v>#REF!</v>
      </c>
      <c r="P408" t="e" cm="1">
        <f t="array" aca="1" ref="P408" ca="1">IF(OR(A408="",B408="safety"),"",INDIRECT("template!"&amp;"M"&amp;A408))</f>
        <v>#REF!</v>
      </c>
      <c r="Q408" t="e">
        <f t="shared" ca="1" si="34"/>
        <v>#REF!</v>
      </c>
      <c r="R408" t="e">
        <f t="shared" ca="1" si="35"/>
        <v>#REF!</v>
      </c>
      <c r="S408" t="e">
        <f t="shared" ca="1" si="36"/>
        <v>#REF!</v>
      </c>
      <c r="T408" t="e">
        <f t="shared" ca="1" si="37"/>
        <v>#REF!</v>
      </c>
      <c r="U408" t="e" cm="1">
        <f t="array" aca="1" ref="U408" ca="1">IF(A408="","",IF(E408="","",IF(B408="safety",INDIRECT("template!"&amp;"P"&amp;A408),Q408+R408)))</f>
        <v>#REF!</v>
      </c>
      <c r="V408" t="e" cm="1">
        <f t="array" aca="1" ref="V408" ca="1">IF(A408="","",IF(E408="","",IF(B408="safety",INDIRECT("template!"&amp;"P"&amp;A408),S408+T408)))</f>
        <v>#REF!</v>
      </c>
      <c r="W408" t="e">
        <f ca="1">IF(A408="","",IF(E408="","",#REF!))</f>
        <v>#REF!</v>
      </c>
      <c r="X408" t="e">
        <f ca="1">IF(A408="","",IF(E408="","",#REF!))</f>
        <v>#REF!</v>
      </c>
      <c r="Y408" s="39" t="e">
        <f ca="1">IF(A408="","",IF(E408="","",#REF!))</f>
        <v>#REF!</v>
      </c>
      <c r="Z408" t="e">
        <f ca="1">IF(A408="","",IF(E408="","",#REF!))</f>
        <v>#REF!</v>
      </c>
      <c r="AA408" t="e">
        <f ca="1">IF(A408="","",IF(E408="","",#REF!))</f>
        <v>#REF!</v>
      </c>
      <c r="AB408" t="e">
        <f ca="1">IF(A408="","",IF(E408="","",#REF!))</f>
        <v>#REF!</v>
      </c>
      <c r="AC408" t="e">
        <f t="shared" ca="1" si="38"/>
        <v>#REF!</v>
      </c>
    </row>
    <row r="409" spans="1:29" x14ac:dyDescent="0.35">
      <c r="A409" t="e" cm="1">
        <f t="array" aca="1" ref="A409" ca="1">IF(A408="","",IF(OR(AND(A408+1&gt;=$AF$1,A408+1&lt;=$AF$2),AND(A408+1&gt;=$AF$6,A408+1&lt;=$AF$7),AND(A408+1&gt;=$AF$3,A408+1&lt;=$AF$4),AND(A408+1&gt;=$AF$8,A408+1&lt;=$AF$9),A408+1=$AF$5),IF(NOT(ISBLANK(INDIRECT("template!"&amp;"P"&amp;A408+1))),A408+1,IF(NOT(ISBLANK(INDIRECT("template!"&amp;"P"&amp;A408+2))),A408+2,A408+3)),IF(A408=$AF$2,$AF$3,IF(A408=$AF$4,$AF$5,IF(A408=$AF$5,$AF$6,IF(A408=$AF$7,$AF$8,""))))))</f>
        <v>#REF!</v>
      </c>
      <c r="B409" t="e">
        <f t="shared" ca="1" si="33"/>
        <v>#REF!</v>
      </c>
      <c r="C409" t="e" cm="1">
        <f t="array" aca="1" ref="C409" ca="1">IF(A409="","",IF(B409="safety","safety costs",INDIRECT("template!"&amp;"B"&amp;A409)))</f>
        <v>#REF!</v>
      </c>
      <c r="D409" t="e" cm="1">
        <f t="array" aca="1" ref="D409" ca="1">IF(OR(A409="",B409="safety"),"",INDIRECT("template!"&amp;"C"&amp;A409))</f>
        <v>#REF!</v>
      </c>
      <c r="E409" t="e" cm="1">
        <f t="array" aca="1" ref="E409" ca="1">IF(A409="","",IF(OR(A409=A408+1,A409=A408+2),E408,INDIRECT("template!"&amp;"D"&amp;A409-2)))</f>
        <v>#REF!</v>
      </c>
      <c r="F409" t="e" cm="1">
        <f t="array" aca="1" ref="F409" ca="1">IF(OR(A409="",B409="safety"),"",IF(ISBLANK(IF(A409=A408+1,F408,INDIRECT("template!"&amp;"D"&amp;A409-1))),"",IF(A409=A408+1,F408,INDIRECT("template!"&amp;"D"&amp;A409-1))))</f>
        <v>#REF!</v>
      </c>
      <c r="G409" t="e" cm="1">
        <f t="array" aca="1" ref="G409" ca="1">IF(OR(A409="",B409="safety"),"",IF(ISBLANK(INDIRECT("template!"&amp;"D"&amp;A409)),"",INDIRECT("template!"&amp;"D"&amp;A409)))</f>
        <v>#REF!</v>
      </c>
      <c r="H409" t="e" cm="1">
        <f t="array" aca="1" ref="H409" ca="1">IF(OR(A409="",B409="safety"),"",IF(ISBLANK(INDIRECT("template!"&amp;"E"&amp;A409)),"",INDIRECT("template!"&amp;"E"&amp;A409)))</f>
        <v>#REF!</v>
      </c>
      <c r="I409" t="e" cm="1">
        <f t="array" aca="1" ref="I409" ca="1">IF(OR(A409="",B409="safety"),"",IF(ISBLANK(INDIRECT("template!"&amp;"F"&amp;A409)),"",INDIRECT("template!"&amp;"F"&amp;A409)))</f>
        <v>#REF!</v>
      </c>
      <c r="J409" t="e" cm="1">
        <f t="array" aca="1" ref="J409" ca="1">IF(OR(A409="",B409="safety"),"",IF(ISBLANK(INDIRECT("template!"&amp;"G"&amp;A409)),"",INDIRECT("template!"&amp;"G"&amp;A409)))</f>
        <v>#REF!</v>
      </c>
      <c r="K409" t="e" cm="1">
        <f t="array" aca="1" ref="K409" ca="1">IF(OR(A409="",B409="safety"),"",IF(ISBLANK(INDIRECT("template!"&amp;"H"&amp;A409)),"",INDIRECT("template!"&amp;"H"&amp;A409)))</f>
        <v>#REF!</v>
      </c>
      <c r="L409" t="e" cm="1">
        <f t="array" aca="1" ref="L409" ca="1">IF(OR(A409="",B409="safety"),"",INDIRECT("template!"&amp;"I"&amp;A409))</f>
        <v>#REF!</v>
      </c>
      <c r="M409" t="e" cm="1">
        <f t="array" aca="1" ref="M409" ca="1">IF(OR(A409="",B409="safety"),"",INDIRECT("template!"&amp;"J"&amp;A409))</f>
        <v>#REF!</v>
      </c>
      <c r="N409" t="e" cm="1">
        <f t="array" aca="1" ref="N409" ca="1">IF(OR(A409="",B409="safety"),"",IF(ISBLANK(INDIRECT("template!"&amp;"K"&amp;A409)),"",INDIRECT("template!"&amp;"K"&amp;A409)))</f>
        <v>#REF!</v>
      </c>
      <c r="O409" t="e" cm="1">
        <f t="array" aca="1" ref="O409" ca="1">IF(OR(A409="",B409="safety"),"",INDIRECT("template!"&amp;"L"&amp;A409))</f>
        <v>#REF!</v>
      </c>
      <c r="P409" t="e" cm="1">
        <f t="array" aca="1" ref="P409" ca="1">IF(OR(A409="",B409="safety"),"",INDIRECT("template!"&amp;"M"&amp;A409))</f>
        <v>#REF!</v>
      </c>
      <c r="Q409" t="e">
        <f t="shared" ca="1" si="34"/>
        <v>#REF!</v>
      </c>
      <c r="R409" t="e">
        <f t="shared" ca="1" si="35"/>
        <v>#REF!</v>
      </c>
      <c r="S409" t="e">
        <f t="shared" ca="1" si="36"/>
        <v>#REF!</v>
      </c>
      <c r="T409" t="e">
        <f t="shared" ca="1" si="37"/>
        <v>#REF!</v>
      </c>
      <c r="U409" t="e" cm="1">
        <f t="array" aca="1" ref="U409" ca="1">IF(A409="","",IF(E409="","",IF(B409="safety",INDIRECT("template!"&amp;"P"&amp;A409),Q409+R409)))</f>
        <v>#REF!</v>
      </c>
      <c r="V409" t="e" cm="1">
        <f t="array" aca="1" ref="V409" ca="1">IF(A409="","",IF(E409="","",IF(B409="safety",INDIRECT("template!"&amp;"P"&amp;A409),S409+T409)))</f>
        <v>#REF!</v>
      </c>
      <c r="W409" t="e">
        <f ca="1">IF(A409="","",IF(E409="","",#REF!))</f>
        <v>#REF!</v>
      </c>
      <c r="X409" t="e">
        <f ca="1">IF(A409="","",IF(E409="","",#REF!))</f>
        <v>#REF!</v>
      </c>
      <c r="Y409" s="39" t="e">
        <f ca="1">IF(A409="","",IF(E409="","",#REF!))</f>
        <v>#REF!</v>
      </c>
      <c r="Z409" t="e">
        <f ca="1">IF(A409="","",IF(E409="","",#REF!))</f>
        <v>#REF!</v>
      </c>
      <c r="AA409" t="e">
        <f ca="1">IF(A409="","",IF(E409="","",#REF!))</f>
        <v>#REF!</v>
      </c>
      <c r="AB409" t="e">
        <f ca="1">IF(A409="","",IF(E409="","",#REF!))</f>
        <v>#REF!</v>
      </c>
      <c r="AC409" t="e">
        <f t="shared" ca="1" si="38"/>
        <v>#REF!</v>
      </c>
    </row>
    <row r="410" spans="1:29" x14ac:dyDescent="0.35">
      <c r="A410" t="e" cm="1">
        <f t="array" aca="1" ref="A410" ca="1">IF(A409="","",IF(OR(AND(A409+1&gt;=$AF$1,A409+1&lt;=$AF$2),AND(A409+1&gt;=$AF$6,A409+1&lt;=$AF$7),AND(A409+1&gt;=$AF$3,A409+1&lt;=$AF$4),AND(A409+1&gt;=$AF$8,A409+1&lt;=$AF$9),A409+1=$AF$5),IF(NOT(ISBLANK(INDIRECT("template!"&amp;"P"&amp;A409+1))),A409+1,IF(NOT(ISBLANK(INDIRECT("template!"&amp;"P"&amp;A409+2))),A409+2,A409+3)),IF(A409=$AF$2,$AF$3,IF(A409=$AF$4,$AF$5,IF(A409=$AF$5,$AF$6,IF(A409=$AF$7,$AF$8,""))))))</f>
        <v>#REF!</v>
      </c>
      <c r="B410" t="e">
        <f t="shared" ca="1" si="33"/>
        <v>#REF!</v>
      </c>
      <c r="C410" t="e" cm="1">
        <f t="array" aca="1" ref="C410" ca="1">IF(A410="","",IF(B410="safety","safety costs",INDIRECT("template!"&amp;"B"&amp;A410)))</f>
        <v>#REF!</v>
      </c>
      <c r="D410" t="e" cm="1">
        <f t="array" aca="1" ref="D410" ca="1">IF(OR(A410="",B410="safety"),"",INDIRECT("template!"&amp;"C"&amp;A410))</f>
        <v>#REF!</v>
      </c>
      <c r="E410" t="e" cm="1">
        <f t="array" aca="1" ref="E410" ca="1">IF(A410="","",IF(OR(A410=A409+1,A410=A409+2),E409,INDIRECT("template!"&amp;"D"&amp;A410-2)))</f>
        <v>#REF!</v>
      </c>
      <c r="F410" t="e" cm="1">
        <f t="array" aca="1" ref="F410" ca="1">IF(OR(A410="",B410="safety"),"",IF(ISBLANK(IF(A410=A409+1,F409,INDIRECT("template!"&amp;"D"&amp;A410-1))),"",IF(A410=A409+1,F409,INDIRECT("template!"&amp;"D"&amp;A410-1))))</f>
        <v>#REF!</v>
      </c>
      <c r="G410" t="e" cm="1">
        <f t="array" aca="1" ref="G410" ca="1">IF(OR(A410="",B410="safety"),"",IF(ISBLANK(INDIRECT("template!"&amp;"D"&amp;A410)),"",INDIRECT("template!"&amp;"D"&amp;A410)))</f>
        <v>#REF!</v>
      </c>
      <c r="H410" t="e" cm="1">
        <f t="array" aca="1" ref="H410" ca="1">IF(OR(A410="",B410="safety"),"",IF(ISBLANK(INDIRECT("template!"&amp;"E"&amp;A410)),"",INDIRECT("template!"&amp;"E"&amp;A410)))</f>
        <v>#REF!</v>
      </c>
      <c r="I410" t="e" cm="1">
        <f t="array" aca="1" ref="I410" ca="1">IF(OR(A410="",B410="safety"),"",IF(ISBLANK(INDIRECT("template!"&amp;"F"&amp;A410)),"",INDIRECT("template!"&amp;"F"&amp;A410)))</f>
        <v>#REF!</v>
      </c>
      <c r="J410" t="e" cm="1">
        <f t="array" aca="1" ref="J410" ca="1">IF(OR(A410="",B410="safety"),"",IF(ISBLANK(INDIRECT("template!"&amp;"G"&amp;A410)),"",INDIRECT("template!"&amp;"G"&amp;A410)))</f>
        <v>#REF!</v>
      </c>
      <c r="K410" t="e" cm="1">
        <f t="array" aca="1" ref="K410" ca="1">IF(OR(A410="",B410="safety"),"",IF(ISBLANK(INDIRECT("template!"&amp;"H"&amp;A410)),"",INDIRECT("template!"&amp;"H"&amp;A410)))</f>
        <v>#REF!</v>
      </c>
      <c r="L410" t="e" cm="1">
        <f t="array" aca="1" ref="L410" ca="1">IF(OR(A410="",B410="safety"),"",INDIRECT("template!"&amp;"I"&amp;A410))</f>
        <v>#REF!</v>
      </c>
      <c r="M410" t="e" cm="1">
        <f t="array" aca="1" ref="M410" ca="1">IF(OR(A410="",B410="safety"),"",INDIRECT("template!"&amp;"J"&amp;A410))</f>
        <v>#REF!</v>
      </c>
      <c r="N410" t="e" cm="1">
        <f t="array" aca="1" ref="N410" ca="1">IF(OR(A410="",B410="safety"),"",IF(ISBLANK(INDIRECT("template!"&amp;"K"&amp;A410)),"",INDIRECT("template!"&amp;"K"&amp;A410)))</f>
        <v>#REF!</v>
      </c>
      <c r="O410" t="e" cm="1">
        <f t="array" aca="1" ref="O410" ca="1">IF(OR(A410="",B410="safety"),"",INDIRECT("template!"&amp;"L"&amp;A410))</f>
        <v>#REF!</v>
      </c>
      <c r="P410" t="e" cm="1">
        <f t="array" aca="1" ref="P410" ca="1">IF(OR(A410="",B410="safety"),"",INDIRECT("template!"&amp;"M"&amp;A410))</f>
        <v>#REF!</v>
      </c>
      <c r="Q410" t="e">
        <f t="shared" ca="1" si="34"/>
        <v>#REF!</v>
      </c>
      <c r="R410" t="e">
        <f t="shared" ca="1" si="35"/>
        <v>#REF!</v>
      </c>
      <c r="S410" t="e">
        <f t="shared" ca="1" si="36"/>
        <v>#REF!</v>
      </c>
      <c r="T410" t="e">
        <f t="shared" ca="1" si="37"/>
        <v>#REF!</v>
      </c>
      <c r="U410" t="e" cm="1">
        <f t="array" aca="1" ref="U410" ca="1">IF(A410="","",IF(E410="","",IF(B410="safety",INDIRECT("template!"&amp;"P"&amp;A410),Q410+R410)))</f>
        <v>#REF!</v>
      </c>
      <c r="V410" t="e" cm="1">
        <f t="array" aca="1" ref="V410" ca="1">IF(A410="","",IF(E410="","",IF(B410="safety",INDIRECT("template!"&amp;"P"&amp;A410),S410+T410)))</f>
        <v>#REF!</v>
      </c>
      <c r="W410" t="e">
        <f ca="1">IF(A410="","",IF(E410="","",#REF!))</f>
        <v>#REF!</v>
      </c>
      <c r="X410" t="e">
        <f ca="1">IF(A410="","",IF(E410="","",#REF!))</f>
        <v>#REF!</v>
      </c>
      <c r="Y410" s="39" t="e">
        <f ca="1">IF(A410="","",IF(E410="","",#REF!))</f>
        <v>#REF!</v>
      </c>
      <c r="Z410" t="e">
        <f ca="1">IF(A410="","",IF(E410="","",#REF!))</f>
        <v>#REF!</v>
      </c>
      <c r="AA410" t="e">
        <f ca="1">IF(A410="","",IF(E410="","",#REF!))</f>
        <v>#REF!</v>
      </c>
      <c r="AB410" t="e">
        <f ca="1">IF(A410="","",IF(E410="","",#REF!))</f>
        <v>#REF!</v>
      </c>
      <c r="AC410" t="e">
        <f t="shared" ca="1" si="38"/>
        <v>#REF!</v>
      </c>
    </row>
    <row r="411" spans="1:29" x14ac:dyDescent="0.35">
      <c r="A411" t="e" cm="1">
        <f t="array" aca="1" ref="A411" ca="1">IF(A410="","",IF(OR(AND(A410+1&gt;=$AF$1,A410+1&lt;=$AF$2),AND(A410+1&gt;=$AF$6,A410+1&lt;=$AF$7),AND(A410+1&gt;=$AF$3,A410+1&lt;=$AF$4),AND(A410+1&gt;=$AF$8,A410+1&lt;=$AF$9),A410+1=$AF$5),IF(NOT(ISBLANK(INDIRECT("template!"&amp;"P"&amp;A410+1))),A410+1,IF(NOT(ISBLANK(INDIRECT("template!"&amp;"P"&amp;A410+2))),A410+2,A410+3)),IF(A410=$AF$2,$AF$3,IF(A410=$AF$4,$AF$5,IF(A410=$AF$5,$AF$6,IF(A410=$AF$7,$AF$8,""))))))</f>
        <v>#REF!</v>
      </c>
      <c r="B411" t="e">
        <f t="shared" ca="1" si="33"/>
        <v>#REF!</v>
      </c>
      <c r="C411" t="e" cm="1">
        <f t="array" aca="1" ref="C411" ca="1">IF(A411="","",IF(B411="safety","safety costs",INDIRECT("template!"&amp;"B"&amp;A411)))</f>
        <v>#REF!</v>
      </c>
      <c r="D411" t="e" cm="1">
        <f t="array" aca="1" ref="D411" ca="1">IF(OR(A411="",B411="safety"),"",INDIRECT("template!"&amp;"C"&amp;A411))</f>
        <v>#REF!</v>
      </c>
      <c r="E411" t="e" cm="1">
        <f t="array" aca="1" ref="E411" ca="1">IF(A411="","",IF(OR(A411=A410+1,A411=A410+2),E410,INDIRECT("template!"&amp;"D"&amp;A411-2)))</f>
        <v>#REF!</v>
      </c>
      <c r="F411" t="e" cm="1">
        <f t="array" aca="1" ref="F411" ca="1">IF(OR(A411="",B411="safety"),"",IF(ISBLANK(IF(A411=A410+1,F410,INDIRECT("template!"&amp;"D"&amp;A411-1))),"",IF(A411=A410+1,F410,INDIRECT("template!"&amp;"D"&amp;A411-1))))</f>
        <v>#REF!</v>
      </c>
      <c r="G411" t="e" cm="1">
        <f t="array" aca="1" ref="G411" ca="1">IF(OR(A411="",B411="safety"),"",IF(ISBLANK(INDIRECT("template!"&amp;"D"&amp;A411)),"",INDIRECT("template!"&amp;"D"&amp;A411)))</f>
        <v>#REF!</v>
      </c>
      <c r="H411" t="e" cm="1">
        <f t="array" aca="1" ref="H411" ca="1">IF(OR(A411="",B411="safety"),"",IF(ISBLANK(INDIRECT("template!"&amp;"E"&amp;A411)),"",INDIRECT("template!"&amp;"E"&amp;A411)))</f>
        <v>#REF!</v>
      </c>
      <c r="I411" t="e" cm="1">
        <f t="array" aca="1" ref="I411" ca="1">IF(OR(A411="",B411="safety"),"",IF(ISBLANK(INDIRECT("template!"&amp;"F"&amp;A411)),"",INDIRECT("template!"&amp;"F"&amp;A411)))</f>
        <v>#REF!</v>
      </c>
      <c r="J411" t="e" cm="1">
        <f t="array" aca="1" ref="J411" ca="1">IF(OR(A411="",B411="safety"),"",IF(ISBLANK(INDIRECT("template!"&amp;"G"&amp;A411)),"",INDIRECT("template!"&amp;"G"&amp;A411)))</f>
        <v>#REF!</v>
      </c>
      <c r="K411" t="e" cm="1">
        <f t="array" aca="1" ref="K411" ca="1">IF(OR(A411="",B411="safety"),"",IF(ISBLANK(INDIRECT("template!"&amp;"H"&amp;A411)),"",INDIRECT("template!"&amp;"H"&amp;A411)))</f>
        <v>#REF!</v>
      </c>
      <c r="L411" t="e" cm="1">
        <f t="array" aca="1" ref="L411" ca="1">IF(OR(A411="",B411="safety"),"",INDIRECT("template!"&amp;"I"&amp;A411))</f>
        <v>#REF!</v>
      </c>
      <c r="M411" t="e" cm="1">
        <f t="array" aca="1" ref="M411" ca="1">IF(OR(A411="",B411="safety"),"",INDIRECT("template!"&amp;"J"&amp;A411))</f>
        <v>#REF!</v>
      </c>
      <c r="N411" t="e" cm="1">
        <f t="array" aca="1" ref="N411" ca="1">IF(OR(A411="",B411="safety"),"",IF(ISBLANK(INDIRECT("template!"&amp;"K"&amp;A411)),"",INDIRECT("template!"&amp;"K"&amp;A411)))</f>
        <v>#REF!</v>
      </c>
      <c r="O411" t="e" cm="1">
        <f t="array" aca="1" ref="O411" ca="1">IF(OR(A411="",B411="safety"),"",INDIRECT("template!"&amp;"L"&amp;A411))</f>
        <v>#REF!</v>
      </c>
      <c r="P411" t="e" cm="1">
        <f t="array" aca="1" ref="P411" ca="1">IF(OR(A411="",B411="safety"),"",INDIRECT("template!"&amp;"M"&amp;A411))</f>
        <v>#REF!</v>
      </c>
      <c r="Q411" t="e">
        <f t="shared" ca="1" si="34"/>
        <v>#REF!</v>
      </c>
      <c r="R411" t="e">
        <f t="shared" ca="1" si="35"/>
        <v>#REF!</v>
      </c>
      <c r="S411" t="e">
        <f t="shared" ca="1" si="36"/>
        <v>#REF!</v>
      </c>
      <c r="T411" t="e">
        <f t="shared" ca="1" si="37"/>
        <v>#REF!</v>
      </c>
      <c r="U411" t="e" cm="1">
        <f t="array" aca="1" ref="U411" ca="1">IF(A411="","",IF(E411="","",IF(B411="safety",INDIRECT("template!"&amp;"P"&amp;A411),Q411+R411)))</f>
        <v>#REF!</v>
      </c>
      <c r="V411" t="e" cm="1">
        <f t="array" aca="1" ref="V411" ca="1">IF(A411="","",IF(E411="","",IF(B411="safety",INDIRECT("template!"&amp;"P"&amp;A411),S411+T411)))</f>
        <v>#REF!</v>
      </c>
      <c r="W411" t="e">
        <f ca="1">IF(A411="","",IF(E411="","",#REF!))</f>
        <v>#REF!</v>
      </c>
      <c r="X411" t="e">
        <f ca="1">IF(A411="","",IF(E411="","",#REF!))</f>
        <v>#REF!</v>
      </c>
      <c r="Y411" s="39" t="e">
        <f ca="1">IF(A411="","",IF(E411="","",#REF!))</f>
        <v>#REF!</v>
      </c>
      <c r="Z411" t="e">
        <f ca="1">IF(A411="","",IF(E411="","",#REF!))</f>
        <v>#REF!</v>
      </c>
      <c r="AA411" t="e">
        <f ca="1">IF(A411="","",IF(E411="","",#REF!))</f>
        <v>#REF!</v>
      </c>
      <c r="AB411" t="e">
        <f ca="1">IF(A411="","",IF(E411="","",#REF!))</f>
        <v>#REF!</v>
      </c>
      <c r="AC411" t="e">
        <f t="shared" ca="1" si="38"/>
        <v>#REF!</v>
      </c>
    </row>
    <row r="412" spans="1:29" x14ac:dyDescent="0.35">
      <c r="A412" t="e" cm="1">
        <f t="array" aca="1" ref="A412" ca="1">IF(A411="","",IF(OR(AND(A411+1&gt;=$AF$1,A411+1&lt;=$AF$2),AND(A411+1&gt;=$AF$6,A411+1&lt;=$AF$7),AND(A411+1&gt;=$AF$3,A411+1&lt;=$AF$4),AND(A411+1&gt;=$AF$8,A411+1&lt;=$AF$9),A411+1=$AF$5),IF(NOT(ISBLANK(INDIRECT("template!"&amp;"P"&amp;A411+1))),A411+1,IF(NOT(ISBLANK(INDIRECT("template!"&amp;"P"&amp;A411+2))),A411+2,A411+3)),IF(A411=$AF$2,$AF$3,IF(A411=$AF$4,$AF$5,IF(A411=$AF$5,$AF$6,IF(A411=$AF$7,$AF$8,""))))))</f>
        <v>#REF!</v>
      </c>
      <c r="B412" t="e">
        <f t="shared" ca="1" si="33"/>
        <v>#REF!</v>
      </c>
      <c r="C412" t="e" cm="1">
        <f t="array" aca="1" ref="C412" ca="1">IF(A412="","",IF(B412="safety","safety costs",INDIRECT("template!"&amp;"B"&amp;A412)))</f>
        <v>#REF!</v>
      </c>
      <c r="D412" t="e" cm="1">
        <f t="array" aca="1" ref="D412" ca="1">IF(OR(A412="",B412="safety"),"",INDIRECT("template!"&amp;"C"&amp;A412))</f>
        <v>#REF!</v>
      </c>
      <c r="E412" t="e" cm="1">
        <f t="array" aca="1" ref="E412" ca="1">IF(A412="","",IF(OR(A412=A411+1,A412=A411+2),E411,INDIRECT("template!"&amp;"D"&amp;A412-2)))</f>
        <v>#REF!</v>
      </c>
      <c r="F412" t="e" cm="1">
        <f t="array" aca="1" ref="F412" ca="1">IF(OR(A412="",B412="safety"),"",IF(ISBLANK(IF(A412=A411+1,F411,INDIRECT("template!"&amp;"D"&amp;A412-1))),"",IF(A412=A411+1,F411,INDIRECT("template!"&amp;"D"&amp;A412-1))))</f>
        <v>#REF!</v>
      </c>
      <c r="G412" t="e" cm="1">
        <f t="array" aca="1" ref="G412" ca="1">IF(OR(A412="",B412="safety"),"",IF(ISBLANK(INDIRECT("template!"&amp;"D"&amp;A412)),"",INDIRECT("template!"&amp;"D"&amp;A412)))</f>
        <v>#REF!</v>
      </c>
      <c r="H412" t="e" cm="1">
        <f t="array" aca="1" ref="H412" ca="1">IF(OR(A412="",B412="safety"),"",IF(ISBLANK(INDIRECT("template!"&amp;"E"&amp;A412)),"",INDIRECT("template!"&amp;"E"&amp;A412)))</f>
        <v>#REF!</v>
      </c>
      <c r="I412" t="e" cm="1">
        <f t="array" aca="1" ref="I412" ca="1">IF(OR(A412="",B412="safety"),"",IF(ISBLANK(INDIRECT("template!"&amp;"F"&amp;A412)),"",INDIRECT("template!"&amp;"F"&amp;A412)))</f>
        <v>#REF!</v>
      </c>
      <c r="J412" t="e" cm="1">
        <f t="array" aca="1" ref="J412" ca="1">IF(OR(A412="",B412="safety"),"",IF(ISBLANK(INDIRECT("template!"&amp;"G"&amp;A412)),"",INDIRECT("template!"&amp;"G"&amp;A412)))</f>
        <v>#REF!</v>
      </c>
      <c r="K412" t="e" cm="1">
        <f t="array" aca="1" ref="K412" ca="1">IF(OR(A412="",B412="safety"),"",IF(ISBLANK(INDIRECT("template!"&amp;"H"&amp;A412)),"",INDIRECT("template!"&amp;"H"&amp;A412)))</f>
        <v>#REF!</v>
      </c>
      <c r="L412" t="e" cm="1">
        <f t="array" aca="1" ref="L412" ca="1">IF(OR(A412="",B412="safety"),"",INDIRECT("template!"&amp;"I"&amp;A412))</f>
        <v>#REF!</v>
      </c>
      <c r="M412" t="e" cm="1">
        <f t="array" aca="1" ref="M412" ca="1">IF(OR(A412="",B412="safety"),"",INDIRECT("template!"&amp;"J"&amp;A412))</f>
        <v>#REF!</v>
      </c>
      <c r="N412" t="e" cm="1">
        <f t="array" aca="1" ref="N412" ca="1">IF(OR(A412="",B412="safety"),"",IF(ISBLANK(INDIRECT("template!"&amp;"K"&amp;A412)),"",INDIRECT("template!"&amp;"K"&amp;A412)))</f>
        <v>#REF!</v>
      </c>
      <c r="O412" t="e" cm="1">
        <f t="array" aca="1" ref="O412" ca="1">IF(OR(A412="",B412="safety"),"",INDIRECT("template!"&amp;"L"&amp;A412))</f>
        <v>#REF!</v>
      </c>
      <c r="P412" t="e" cm="1">
        <f t="array" aca="1" ref="P412" ca="1">IF(OR(A412="",B412="safety"),"",INDIRECT("template!"&amp;"M"&amp;A412))</f>
        <v>#REF!</v>
      </c>
      <c r="Q412" t="e">
        <f t="shared" ca="1" si="34"/>
        <v>#REF!</v>
      </c>
      <c r="R412" t="e">
        <f t="shared" ca="1" si="35"/>
        <v>#REF!</v>
      </c>
      <c r="S412" t="e">
        <f t="shared" ca="1" si="36"/>
        <v>#REF!</v>
      </c>
      <c r="T412" t="e">
        <f t="shared" ca="1" si="37"/>
        <v>#REF!</v>
      </c>
      <c r="U412" t="e" cm="1">
        <f t="array" aca="1" ref="U412" ca="1">IF(A412="","",IF(E412="","",IF(B412="safety",INDIRECT("template!"&amp;"P"&amp;A412),Q412+R412)))</f>
        <v>#REF!</v>
      </c>
      <c r="V412" t="e" cm="1">
        <f t="array" aca="1" ref="V412" ca="1">IF(A412="","",IF(E412="","",IF(B412="safety",INDIRECT("template!"&amp;"P"&amp;A412),S412+T412)))</f>
        <v>#REF!</v>
      </c>
      <c r="W412" t="e">
        <f ca="1">IF(A412="","",IF(E412="","",#REF!))</f>
        <v>#REF!</v>
      </c>
      <c r="X412" t="e">
        <f ca="1">IF(A412="","",IF(E412="","",#REF!))</f>
        <v>#REF!</v>
      </c>
      <c r="Y412" s="39" t="e">
        <f ca="1">IF(A412="","",IF(E412="","",#REF!))</f>
        <v>#REF!</v>
      </c>
      <c r="Z412" t="e">
        <f ca="1">IF(A412="","",IF(E412="","",#REF!))</f>
        <v>#REF!</v>
      </c>
      <c r="AA412" t="e">
        <f ca="1">IF(A412="","",IF(E412="","",#REF!))</f>
        <v>#REF!</v>
      </c>
      <c r="AB412" t="e">
        <f ca="1">IF(A412="","",IF(E412="","",#REF!))</f>
        <v>#REF!</v>
      </c>
      <c r="AC412" t="e">
        <f t="shared" ca="1" si="38"/>
        <v>#REF!</v>
      </c>
    </row>
    <row r="413" spans="1:29" x14ac:dyDescent="0.35">
      <c r="A413" t="e" cm="1">
        <f t="array" aca="1" ref="A413" ca="1">IF(A412="","",IF(OR(AND(A412+1&gt;=$AF$1,A412+1&lt;=$AF$2),AND(A412+1&gt;=$AF$6,A412+1&lt;=$AF$7),AND(A412+1&gt;=$AF$3,A412+1&lt;=$AF$4),AND(A412+1&gt;=$AF$8,A412+1&lt;=$AF$9),A412+1=$AF$5),IF(NOT(ISBLANK(INDIRECT("template!"&amp;"P"&amp;A412+1))),A412+1,IF(NOT(ISBLANK(INDIRECT("template!"&amp;"P"&amp;A412+2))),A412+2,A412+3)),IF(A412=$AF$2,$AF$3,IF(A412=$AF$4,$AF$5,IF(A412=$AF$5,$AF$6,IF(A412=$AF$7,$AF$8,""))))))</f>
        <v>#REF!</v>
      </c>
      <c r="B413" t="e">
        <f t="shared" ca="1" si="33"/>
        <v>#REF!</v>
      </c>
      <c r="C413" t="e" cm="1">
        <f t="array" aca="1" ref="C413" ca="1">IF(A413="","",IF(B413="safety","safety costs",INDIRECT("template!"&amp;"B"&amp;A413)))</f>
        <v>#REF!</v>
      </c>
      <c r="D413" t="e" cm="1">
        <f t="array" aca="1" ref="D413" ca="1">IF(OR(A413="",B413="safety"),"",INDIRECT("template!"&amp;"C"&amp;A413))</f>
        <v>#REF!</v>
      </c>
      <c r="E413" t="e" cm="1">
        <f t="array" aca="1" ref="E413" ca="1">IF(A413="","",IF(OR(A413=A412+1,A413=A412+2),E412,INDIRECT("template!"&amp;"D"&amp;A413-2)))</f>
        <v>#REF!</v>
      </c>
      <c r="F413" t="e" cm="1">
        <f t="array" aca="1" ref="F413" ca="1">IF(OR(A413="",B413="safety"),"",IF(ISBLANK(IF(A413=A412+1,F412,INDIRECT("template!"&amp;"D"&amp;A413-1))),"",IF(A413=A412+1,F412,INDIRECT("template!"&amp;"D"&amp;A413-1))))</f>
        <v>#REF!</v>
      </c>
      <c r="G413" t="e" cm="1">
        <f t="array" aca="1" ref="G413" ca="1">IF(OR(A413="",B413="safety"),"",IF(ISBLANK(INDIRECT("template!"&amp;"D"&amp;A413)),"",INDIRECT("template!"&amp;"D"&amp;A413)))</f>
        <v>#REF!</v>
      </c>
      <c r="H413" t="e" cm="1">
        <f t="array" aca="1" ref="H413" ca="1">IF(OR(A413="",B413="safety"),"",IF(ISBLANK(INDIRECT("template!"&amp;"E"&amp;A413)),"",INDIRECT("template!"&amp;"E"&amp;A413)))</f>
        <v>#REF!</v>
      </c>
      <c r="I413" t="e" cm="1">
        <f t="array" aca="1" ref="I413" ca="1">IF(OR(A413="",B413="safety"),"",IF(ISBLANK(INDIRECT("template!"&amp;"F"&amp;A413)),"",INDIRECT("template!"&amp;"F"&amp;A413)))</f>
        <v>#REF!</v>
      </c>
      <c r="J413" t="e" cm="1">
        <f t="array" aca="1" ref="J413" ca="1">IF(OR(A413="",B413="safety"),"",IF(ISBLANK(INDIRECT("template!"&amp;"G"&amp;A413)),"",INDIRECT("template!"&amp;"G"&amp;A413)))</f>
        <v>#REF!</v>
      </c>
      <c r="K413" t="e" cm="1">
        <f t="array" aca="1" ref="K413" ca="1">IF(OR(A413="",B413="safety"),"",IF(ISBLANK(INDIRECT("template!"&amp;"H"&amp;A413)),"",INDIRECT("template!"&amp;"H"&amp;A413)))</f>
        <v>#REF!</v>
      </c>
      <c r="L413" t="e" cm="1">
        <f t="array" aca="1" ref="L413" ca="1">IF(OR(A413="",B413="safety"),"",INDIRECT("template!"&amp;"I"&amp;A413))</f>
        <v>#REF!</v>
      </c>
      <c r="M413" t="e" cm="1">
        <f t="array" aca="1" ref="M413" ca="1">IF(OR(A413="",B413="safety"),"",INDIRECT("template!"&amp;"J"&amp;A413))</f>
        <v>#REF!</v>
      </c>
      <c r="N413" t="e" cm="1">
        <f t="array" aca="1" ref="N413" ca="1">IF(OR(A413="",B413="safety"),"",IF(ISBLANK(INDIRECT("template!"&amp;"K"&amp;A413)),"",INDIRECT("template!"&amp;"K"&amp;A413)))</f>
        <v>#REF!</v>
      </c>
      <c r="O413" t="e" cm="1">
        <f t="array" aca="1" ref="O413" ca="1">IF(OR(A413="",B413="safety"),"",INDIRECT("template!"&amp;"L"&amp;A413))</f>
        <v>#REF!</v>
      </c>
      <c r="P413" t="e" cm="1">
        <f t="array" aca="1" ref="P413" ca="1">IF(OR(A413="",B413="safety"),"",INDIRECT("template!"&amp;"M"&amp;A413))</f>
        <v>#REF!</v>
      </c>
      <c r="Q413" t="e">
        <f t="shared" ca="1" si="34"/>
        <v>#REF!</v>
      </c>
      <c r="R413" t="e">
        <f t="shared" ca="1" si="35"/>
        <v>#REF!</v>
      </c>
      <c r="S413" t="e">
        <f t="shared" ca="1" si="36"/>
        <v>#REF!</v>
      </c>
      <c r="T413" t="e">
        <f t="shared" ca="1" si="37"/>
        <v>#REF!</v>
      </c>
      <c r="U413" t="e" cm="1">
        <f t="array" aca="1" ref="U413" ca="1">IF(A413="","",IF(E413="","",IF(B413="safety",INDIRECT("template!"&amp;"P"&amp;A413),Q413+R413)))</f>
        <v>#REF!</v>
      </c>
      <c r="V413" t="e" cm="1">
        <f t="array" aca="1" ref="V413" ca="1">IF(A413="","",IF(E413="","",IF(B413="safety",INDIRECT("template!"&amp;"P"&amp;A413),S413+T413)))</f>
        <v>#REF!</v>
      </c>
      <c r="W413" t="e">
        <f ca="1">IF(A413="","",IF(E413="","",#REF!))</f>
        <v>#REF!</v>
      </c>
      <c r="X413" t="e">
        <f ca="1">IF(A413="","",IF(E413="","",#REF!))</f>
        <v>#REF!</v>
      </c>
      <c r="Y413" s="39" t="e">
        <f ca="1">IF(A413="","",IF(E413="","",#REF!))</f>
        <v>#REF!</v>
      </c>
      <c r="Z413" t="e">
        <f ca="1">IF(A413="","",IF(E413="","",#REF!))</f>
        <v>#REF!</v>
      </c>
      <c r="AA413" t="e">
        <f ca="1">IF(A413="","",IF(E413="","",#REF!))</f>
        <v>#REF!</v>
      </c>
      <c r="AB413" t="e">
        <f ca="1">IF(A413="","",IF(E413="","",#REF!))</f>
        <v>#REF!</v>
      </c>
      <c r="AC413" t="e">
        <f t="shared" ca="1" si="38"/>
        <v>#REF!</v>
      </c>
    </row>
    <row r="414" spans="1:29" x14ac:dyDescent="0.35">
      <c r="A414" t="e" cm="1">
        <f t="array" aca="1" ref="A414" ca="1">IF(A413="","",IF(OR(AND(A413+1&gt;=$AF$1,A413+1&lt;=$AF$2),AND(A413+1&gt;=$AF$6,A413+1&lt;=$AF$7),AND(A413+1&gt;=$AF$3,A413+1&lt;=$AF$4),AND(A413+1&gt;=$AF$8,A413+1&lt;=$AF$9),A413+1=$AF$5),IF(NOT(ISBLANK(INDIRECT("template!"&amp;"P"&amp;A413+1))),A413+1,IF(NOT(ISBLANK(INDIRECT("template!"&amp;"P"&amp;A413+2))),A413+2,A413+3)),IF(A413=$AF$2,$AF$3,IF(A413=$AF$4,$AF$5,IF(A413=$AF$5,$AF$6,IF(A413=$AF$7,$AF$8,""))))))</f>
        <v>#REF!</v>
      </c>
      <c r="B414" t="e">
        <f t="shared" ca="1" si="33"/>
        <v>#REF!</v>
      </c>
      <c r="C414" t="e" cm="1">
        <f t="array" aca="1" ref="C414" ca="1">IF(A414="","",IF(B414="safety","safety costs",INDIRECT("template!"&amp;"B"&amp;A414)))</f>
        <v>#REF!</v>
      </c>
      <c r="D414" t="e" cm="1">
        <f t="array" aca="1" ref="D414" ca="1">IF(OR(A414="",B414="safety"),"",INDIRECT("template!"&amp;"C"&amp;A414))</f>
        <v>#REF!</v>
      </c>
      <c r="E414" t="e" cm="1">
        <f t="array" aca="1" ref="E414" ca="1">IF(A414="","",IF(OR(A414=A413+1,A414=A413+2),E413,INDIRECT("template!"&amp;"D"&amp;A414-2)))</f>
        <v>#REF!</v>
      </c>
      <c r="F414" t="e" cm="1">
        <f t="array" aca="1" ref="F414" ca="1">IF(OR(A414="",B414="safety"),"",IF(ISBLANK(IF(A414=A413+1,F413,INDIRECT("template!"&amp;"D"&amp;A414-1))),"",IF(A414=A413+1,F413,INDIRECT("template!"&amp;"D"&amp;A414-1))))</f>
        <v>#REF!</v>
      </c>
      <c r="G414" t="e" cm="1">
        <f t="array" aca="1" ref="G414" ca="1">IF(OR(A414="",B414="safety"),"",IF(ISBLANK(INDIRECT("template!"&amp;"D"&amp;A414)),"",INDIRECT("template!"&amp;"D"&amp;A414)))</f>
        <v>#REF!</v>
      </c>
      <c r="H414" t="e" cm="1">
        <f t="array" aca="1" ref="H414" ca="1">IF(OR(A414="",B414="safety"),"",IF(ISBLANK(INDIRECT("template!"&amp;"E"&amp;A414)),"",INDIRECT("template!"&amp;"E"&amp;A414)))</f>
        <v>#REF!</v>
      </c>
      <c r="I414" t="e" cm="1">
        <f t="array" aca="1" ref="I414" ca="1">IF(OR(A414="",B414="safety"),"",IF(ISBLANK(INDIRECT("template!"&amp;"F"&amp;A414)),"",INDIRECT("template!"&amp;"F"&amp;A414)))</f>
        <v>#REF!</v>
      </c>
      <c r="J414" t="e" cm="1">
        <f t="array" aca="1" ref="J414" ca="1">IF(OR(A414="",B414="safety"),"",IF(ISBLANK(INDIRECT("template!"&amp;"G"&amp;A414)),"",INDIRECT("template!"&amp;"G"&amp;A414)))</f>
        <v>#REF!</v>
      </c>
      <c r="K414" t="e" cm="1">
        <f t="array" aca="1" ref="K414" ca="1">IF(OR(A414="",B414="safety"),"",IF(ISBLANK(INDIRECT("template!"&amp;"H"&amp;A414)),"",INDIRECT("template!"&amp;"H"&amp;A414)))</f>
        <v>#REF!</v>
      </c>
      <c r="L414" t="e" cm="1">
        <f t="array" aca="1" ref="L414" ca="1">IF(OR(A414="",B414="safety"),"",INDIRECT("template!"&amp;"I"&amp;A414))</f>
        <v>#REF!</v>
      </c>
      <c r="M414" t="e" cm="1">
        <f t="array" aca="1" ref="M414" ca="1">IF(OR(A414="",B414="safety"),"",INDIRECT("template!"&amp;"J"&amp;A414))</f>
        <v>#REF!</v>
      </c>
      <c r="N414" t="e" cm="1">
        <f t="array" aca="1" ref="N414" ca="1">IF(OR(A414="",B414="safety"),"",IF(ISBLANK(INDIRECT("template!"&amp;"K"&amp;A414)),"",INDIRECT("template!"&amp;"K"&amp;A414)))</f>
        <v>#REF!</v>
      </c>
      <c r="O414" t="e" cm="1">
        <f t="array" aca="1" ref="O414" ca="1">IF(OR(A414="",B414="safety"),"",INDIRECT("template!"&amp;"L"&amp;A414))</f>
        <v>#REF!</v>
      </c>
      <c r="P414" t="e" cm="1">
        <f t="array" aca="1" ref="P414" ca="1">IF(OR(A414="",B414="safety"),"",INDIRECT("template!"&amp;"M"&amp;A414))</f>
        <v>#REF!</v>
      </c>
      <c r="Q414" t="e">
        <f t="shared" ca="1" si="34"/>
        <v>#REF!</v>
      </c>
      <c r="R414" t="e">
        <f t="shared" ca="1" si="35"/>
        <v>#REF!</v>
      </c>
      <c r="S414" t="e">
        <f t="shared" ca="1" si="36"/>
        <v>#REF!</v>
      </c>
      <c r="T414" t="e">
        <f t="shared" ca="1" si="37"/>
        <v>#REF!</v>
      </c>
      <c r="U414" t="e" cm="1">
        <f t="array" aca="1" ref="U414" ca="1">IF(A414="","",IF(E414="","",IF(B414="safety",INDIRECT("template!"&amp;"P"&amp;A414),Q414+R414)))</f>
        <v>#REF!</v>
      </c>
      <c r="V414" t="e" cm="1">
        <f t="array" aca="1" ref="V414" ca="1">IF(A414="","",IF(E414="","",IF(B414="safety",INDIRECT("template!"&amp;"P"&amp;A414),S414+T414)))</f>
        <v>#REF!</v>
      </c>
      <c r="W414" t="e">
        <f ca="1">IF(A414="","",IF(E414="","",#REF!))</f>
        <v>#REF!</v>
      </c>
      <c r="X414" t="e">
        <f ca="1">IF(A414="","",IF(E414="","",#REF!))</f>
        <v>#REF!</v>
      </c>
      <c r="Y414" s="39" t="e">
        <f ca="1">IF(A414="","",IF(E414="","",#REF!))</f>
        <v>#REF!</v>
      </c>
      <c r="Z414" t="e">
        <f ca="1">IF(A414="","",IF(E414="","",#REF!))</f>
        <v>#REF!</v>
      </c>
      <c r="AA414" t="e">
        <f ca="1">IF(A414="","",IF(E414="","",#REF!))</f>
        <v>#REF!</v>
      </c>
      <c r="AB414" t="e">
        <f ca="1">IF(A414="","",IF(E414="","",#REF!))</f>
        <v>#REF!</v>
      </c>
      <c r="AC414" t="e">
        <f t="shared" ca="1" si="38"/>
        <v>#REF!</v>
      </c>
    </row>
    <row r="415" spans="1:29" x14ac:dyDescent="0.35">
      <c r="A415" t="e" cm="1">
        <f t="array" aca="1" ref="A415" ca="1">IF(A414="","",IF(OR(AND(A414+1&gt;=$AF$1,A414+1&lt;=$AF$2),AND(A414+1&gt;=$AF$6,A414+1&lt;=$AF$7),AND(A414+1&gt;=$AF$3,A414+1&lt;=$AF$4),AND(A414+1&gt;=$AF$8,A414+1&lt;=$AF$9),A414+1=$AF$5),IF(NOT(ISBLANK(INDIRECT("template!"&amp;"P"&amp;A414+1))),A414+1,IF(NOT(ISBLANK(INDIRECT("template!"&amp;"P"&amp;A414+2))),A414+2,A414+3)),IF(A414=$AF$2,$AF$3,IF(A414=$AF$4,$AF$5,IF(A414=$AF$5,$AF$6,IF(A414=$AF$7,$AF$8,""))))))</f>
        <v>#REF!</v>
      </c>
      <c r="B415" t="e">
        <f t="shared" ca="1" si="33"/>
        <v>#REF!</v>
      </c>
      <c r="C415" t="e" cm="1">
        <f t="array" aca="1" ref="C415" ca="1">IF(A415="","",IF(B415="safety","safety costs",INDIRECT("template!"&amp;"B"&amp;A415)))</f>
        <v>#REF!</v>
      </c>
      <c r="D415" t="e" cm="1">
        <f t="array" aca="1" ref="D415" ca="1">IF(OR(A415="",B415="safety"),"",INDIRECT("template!"&amp;"C"&amp;A415))</f>
        <v>#REF!</v>
      </c>
      <c r="E415" t="e" cm="1">
        <f t="array" aca="1" ref="E415" ca="1">IF(A415="","",IF(OR(A415=A414+1,A415=A414+2),E414,INDIRECT("template!"&amp;"D"&amp;A415-2)))</f>
        <v>#REF!</v>
      </c>
      <c r="F415" t="e" cm="1">
        <f t="array" aca="1" ref="F415" ca="1">IF(OR(A415="",B415="safety"),"",IF(ISBLANK(IF(A415=A414+1,F414,INDIRECT("template!"&amp;"D"&amp;A415-1))),"",IF(A415=A414+1,F414,INDIRECT("template!"&amp;"D"&amp;A415-1))))</f>
        <v>#REF!</v>
      </c>
      <c r="G415" t="e" cm="1">
        <f t="array" aca="1" ref="G415" ca="1">IF(OR(A415="",B415="safety"),"",IF(ISBLANK(INDIRECT("template!"&amp;"D"&amp;A415)),"",INDIRECT("template!"&amp;"D"&amp;A415)))</f>
        <v>#REF!</v>
      </c>
      <c r="H415" t="e" cm="1">
        <f t="array" aca="1" ref="H415" ca="1">IF(OR(A415="",B415="safety"),"",IF(ISBLANK(INDIRECT("template!"&amp;"E"&amp;A415)),"",INDIRECT("template!"&amp;"E"&amp;A415)))</f>
        <v>#REF!</v>
      </c>
      <c r="I415" t="e" cm="1">
        <f t="array" aca="1" ref="I415" ca="1">IF(OR(A415="",B415="safety"),"",IF(ISBLANK(INDIRECT("template!"&amp;"F"&amp;A415)),"",INDIRECT("template!"&amp;"F"&amp;A415)))</f>
        <v>#REF!</v>
      </c>
      <c r="J415" t="e" cm="1">
        <f t="array" aca="1" ref="J415" ca="1">IF(OR(A415="",B415="safety"),"",IF(ISBLANK(INDIRECT("template!"&amp;"G"&amp;A415)),"",INDIRECT("template!"&amp;"G"&amp;A415)))</f>
        <v>#REF!</v>
      </c>
      <c r="K415" t="e" cm="1">
        <f t="array" aca="1" ref="K415" ca="1">IF(OR(A415="",B415="safety"),"",IF(ISBLANK(INDIRECT("template!"&amp;"H"&amp;A415)),"",INDIRECT("template!"&amp;"H"&amp;A415)))</f>
        <v>#REF!</v>
      </c>
      <c r="L415" t="e" cm="1">
        <f t="array" aca="1" ref="L415" ca="1">IF(OR(A415="",B415="safety"),"",INDIRECT("template!"&amp;"I"&amp;A415))</f>
        <v>#REF!</v>
      </c>
      <c r="M415" t="e" cm="1">
        <f t="array" aca="1" ref="M415" ca="1">IF(OR(A415="",B415="safety"),"",INDIRECT("template!"&amp;"J"&amp;A415))</f>
        <v>#REF!</v>
      </c>
      <c r="N415" t="e" cm="1">
        <f t="array" aca="1" ref="N415" ca="1">IF(OR(A415="",B415="safety"),"",IF(ISBLANK(INDIRECT("template!"&amp;"K"&amp;A415)),"",INDIRECT("template!"&amp;"K"&amp;A415)))</f>
        <v>#REF!</v>
      </c>
      <c r="O415" t="e" cm="1">
        <f t="array" aca="1" ref="O415" ca="1">IF(OR(A415="",B415="safety"),"",INDIRECT("template!"&amp;"L"&amp;A415))</f>
        <v>#REF!</v>
      </c>
      <c r="P415" t="e" cm="1">
        <f t="array" aca="1" ref="P415" ca="1">IF(OR(A415="",B415="safety"),"",INDIRECT("template!"&amp;"M"&amp;A415))</f>
        <v>#REF!</v>
      </c>
      <c r="Q415" t="e">
        <f t="shared" ca="1" si="34"/>
        <v>#REF!</v>
      </c>
      <c r="R415" t="e">
        <f t="shared" ca="1" si="35"/>
        <v>#REF!</v>
      </c>
      <c r="S415" t="e">
        <f t="shared" ca="1" si="36"/>
        <v>#REF!</v>
      </c>
      <c r="T415" t="e">
        <f t="shared" ca="1" si="37"/>
        <v>#REF!</v>
      </c>
      <c r="U415" t="e" cm="1">
        <f t="array" aca="1" ref="U415" ca="1">IF(A415="","",IF(E415="","",IF(B415="safety",INDIRECT("template!"&amp;"P"&amp;A415),Q415+R415)))</f>
        <v>#REF!</v>
      </c>
      <c r="V415" t="e" cm="1">
        <f t="array" aca="1" ref="V415" ca="1">IF(A415="","",IF(E415="","",IF(B415="safety",INDIRECT("template!"&amp;"P"&amp;A415),S415+T415)))</f>
        <v>#REF!</v>
      </c>
      <c r="W415" t="e">
        <f ca="1">IF(A415="","",IF(E415="","",#REF!))</f>
        <v>#REF!</v>
      </c>
      <c r="X415" t="e">
        <f ca="1">IF(A415="","",IF(E415="","",#REF!))</f>
        <v>#REF!</v>
      </c>
      <c r="Y415" s="39" t="e">
        <f ca="1">IF(A415="","",IF(E415="","",#REF!))</f>
        <v>#REF!</v>
      </c>
      <c r="Z415" t="e">
        <f ca="1">IF(A415="","",IF(E415="","",#REF!))</f>
        <v>#REF!</v>
      </c>
      <c r="AA415" t="e">
        <f ca="1">IF(A415="","",IF(E415="","",#REF!))</f>
        <v>#REF!</v>
      </c>
      <c r="AB415" t="e">
        <f ca="1">IF(A415="","",IF(E415="","",#REF!))</f>
        <v>#REF!</v>
      </c>
      <c r="AC415" t="e">
        <f t="shared" ca="1" si="38"/>
        <v>#REF!</v>
      </c>
    </row>
    <row r="416" spans="1:29" x14ac:dyDescent="0.35">
      <c r="A416" t="e" cm="1">
        <f t="array" aca="1" ref="A416" ca="1">IF(A415="","",IF(OR(AND(A415+1&gt;=$AF$1,A415+1&lt;=$AF$2),AND(A415+1&gt;=$AF$6,A415+1&lt;=$AF$7),AND(A415+1&gt;=$AF$3,A415+1&lt;=$AF$4),AND(A415+1&gt;=$AF$8,A415+1&lt;=$AF$9),A415+1=$AF$5),IF(NOT(ISBLANK(INDIRECT("template!"&amp;"P"&amp;A415+1))),A415+1,IF(NOT(ISBLANK(INDIRECT("template!"&amp;"P"&amp;A415+2))),A415+2,A415+3)),IF(A415=$AF$2,$AF$3,IF(A415=$AF$4,$AF$5,IF(A415=$AF$5,$AF$6,IF(A415=$AF$7,$AF$8,""))))))</f>
        <v>#REF!</v>
      </c>
      <c r="B416" t="e">
        <f t="shared" ca="1" si="33"/>
        <v>#REF!</v>
      </c>
      <c r="C416" t="e" cm="1">
        <f t="array" aca="1" ref="C416" ca="1">IF(A416="","",IF(B416="safety","safety costs",INDIRECT("template!"&amp;"B"&amp;A416)))</f>
        <v>#REF!</v>
      </c>
      <c r="D416" t="e" cm="1">
        <f t="array" aca="1" ref="D416" ca="1">IF(OR(A416="",B416="safety"),"",INDIRECT("template!"&amp;"C"&amp;A416))</f>
        <v>#REF!</v>
      </c>
      <c r="E416" t="e" cm="1">
        <f t="array" aca="1" ref="E416" ca="1">IF(A416="","",IF(OR(A416=A415+1,A416=A415+2),E415,INDIRECT("template!"&amp;"D"&amp;A416-2)))</f>
        <v>#REF!</v>
      </c>
      <c r="F416" t="e" cm="1">
        <f t="array" aca="1" ref="F416" ca="1">IF(OR(A416="",B416="safety"),"",IF(ISBLANK(IF(A416=A415+1,F415,INDIRECT("template!"&amp;"D"&amp;A416-1))),"",IF(A416=A415+1,F415,INDIRECT("template!"&amp;"D"&amp;A416-1))))</f>
        <v>#REF!</v>
      </c>
      <c r="G416" t="e" cm="1">
        <f t="array" aca="1" ref="G416" ca="1">IF(OR(A416="",B416="safety"),"",IF(ISBLANK(INDIRECT("template!"&amp;"D"&amp;A416)),"",INDIRECT("template!"&amp;"D"&amp;A416)))</f>
        <v>#REF!</v>
      </c>
      <c r="H416" t="e" cm="1">
        <f t="array" aca="1" ref="H416" ca="1">IF(OR(A416="",B416="safety"),"",IF(ISBLANK(INDIRECT("template!"&amp;"E"&amp;A416)),"",INDIRECT("template!"&amp;"E"&amp;A416)))</f>
        <v>#REF!</v>
      </c>
      <c r="I416" t="e" cm="1">
        <f t="array" aca="1" ref="I416" ca="1">IF(OR(A416="",B416="safety"),"",IF(ISBLANK(INDIRECT("template!"&amp;"F"&amp;A416)),"",INDIRECT("template!"&amp;"F"&amp;A416)))</f>
        <v>#REF!</v>
      </c>
      <c r="J416" t="e" cm="1">
        <f t="array" aca="1" ref="J416" ca="1">IF(OR(A416="",B416="safety"),"",IF(ISBLANK(INDIRECT("template!"&amp;"G"&amp;A416)),"",INDIRECT("template!"&amp;"G"&amp;A416)))</f>
        <v>#REF!</v>
      </c>
      <c r="K416" t="e" cm="1">
        <f t="array" aca="1" ref="K416" ca="1">IF(OR(A416="",B416="safety"),"",IF(ISBLANK(INDIRECT("template!"&amp;"H"&amp;A416)),"",INDIRECT("template!"&amp;"H"&amp;A416)))</f>
        <v>#REF!</v>
      </c>
      <c r="L416" t="e" cm="1">
        <f t="array" aca="1" ref="L416" ca="1">IF(OR(A416="",B416="safety"),"",INDIRECT("template!"&amp;"I"&amp;A416))</f>
        <v>#REF!</v>
      </c>
      <c r="M416" t="e" cm="1">
        <f t="array" aca="1" ref="M416" ca="1">IF(OR(A416="",B416="safety"),"",INDIRECT("template!"&amp;"J"&amp;A416))</f>
        <v>#REF!</v>
      </c>
      <c r="N416" t="e" cm="1">
        <f t="array" aca="1" ref="N416" ca="1">IF(OR(A416="",B416="safety"),"",IF(ISBLANK(INDIRECT("template!"&amp;"K"&amp;A416)),"",INDIRECT("template!"&amp;"K"&amp;A416)))</f>
        <v>#REF!</v>
      </c>
      <c r="O416" t="e" cm="1">
        <f t="array" aca="1" ref="O416" ca="1">IF(OR(A416="",B416="safety"),"",INDIRECT("template!"&amp;"L"&amp;A416))</f>
        <v>#REF!</v>
      </c>
      <c r="P416" t="e" cm="1">
        <f t="array" aca="1" ref="P416" ca="1">IF(OR(A416="",B416="safety"),"",INDIRECT("template!"&amp;"M"&amp;A416))</f>
        <v>#REF!</v>
      </c>
      <c r="Q416" t="e">
        <f t="shared" ca="1" si="34"/>
        <v>#REF!</v>
      </c>
      <c r="R416" t="e">
        <f t="shared" ca="1" si="35"/>
        <v>#REF!</v>
      </c>
      <c r="S416" t="e">
        <f t="shared" ca="1" si="36"/>
        <v>#REF!</v>
      </c>
      <c r="T416" t="e">
        <f t="shared" ca="1" si="37"/>
        <v>#REF!</v>
      </c>
      <c r="U416" t="e" cm="1">
        <f t="array" aca="1" ref="U416" ca="1">IF(A416="","",IF(E416="","",IF(B416="safety",INDIRECT("template!"&amp;"P"&amp;A416),Q416+R416)))</f>
        <v>#REF!</v>
      </c>
      <c r="V416" t="e" cm="1">
        <f t="array" aca="1" ref="V416" ca="1">IF(A416="","",IF(E416="","",IF(B416="safety",INDIRECT("template!"&amp;"P"&amp;A416),S416+T416)))</f>
        <v>#REF!</v>
      </c>
      <c r="W416" t="e">
        <f ca="1">IF(A416="","",IF(E416="","",#REF!))</f>
        <v>#REF!</v>
      </c>
      <c r="X416" t="e">
        <f ca="1">IF(A416="","",IF(E416="","",#REF!))</f>
        <v>#REF!</v>
      </c>
      <c r="Y416" s="39" t="e">
        <f ca="1">IF(A416="","",IF(E416="","",#REF!))</f>
        <v>#REF!</v>
      </c>
      <c r="Z416" t="e">
        <f ca="1">IF(A416="","",IF(E416="","",#REF!))</f>
        <v>#REF!</v>
      </c>
      <c r="AA416" t="e">
        <f ca="1">IF(A416="","",IF(E416="","",#REF!))</f>
        <v>#REF!</v>
      </c>
      <c r="AB416" t="e">
        <f ca="1">IF(A416="","",IF(E416="","",#REF!))</f>
        <v>#REF!</v>
      </c>
      <c r="AC416" t="e">
        <f t="shared" ca="1" si="38"/>
        <v>#REF!</v>
      </c>
    </row>
    <row r="417" spans="1:29" x14ac:dyDescent="0.35">
      <c r="A417" t="e" cm="1">
        <f t="array" aca="1" ref="A417" ca="1">IF(A416="","",IF(OR(AND(A416+1&gt;=$AF$1,A416+1&lt;=$AF$2),AND(A416+1&gt;=$AF$6,A416+1&lt;=$AF$7),AND(A416+1&gt;=$AF$3,A416+1&lt;=$AF$4),AND(A416+1&gt;=$AF$8,A416+1&lt;=$AF$9),A416+1=$AF$5),IF(NOT(ISBLANK(INDIRECT("template!"&amp;"P"&amp;A416+1))),A416+1,IF(NOT(ISBLANK(INDIRECT("template!"&amp;"P"&amp;A416+2))),A416+2,A416+3)),IF(A416=$AF$2,$AF$3,IF(A416=$AF$4,$AF$5,IF(A416=$AF$5,$AF$6,IF(A416=$AF$7,$AF$8,""))))))</f>
        <v>#REF!</v>
      </c>
      <c r="B417" t="e">
        <f t="shared" ca="1" si="33"/>
        <v>#REF!</v>
      </c>
      <c r="C417" t="e" cm="1">
        <f t="array" aca="1" ref="C417" ca="1">IF(A417="","",IF(B417="safety","safety costs",INDIRECT("template!"&amp;"B"&amp;A417)))</f>
        <v>#REF!</v>
      </c>
      <c r="D417" t="e" cm="1">
        <f t="array" aca="1" ref="D417" ca="1">IF(OR(A417="",B417="safety"),"",INDIRECT("template!"&amp;"C"&amp;A417))</f>
        <v>#REF!</v>
      </c>
      <c r="E417" t="e" cm="1">
        <f t="array" aca="1" ref="E417" ca="1">IF(A417="","",IF(OR(A417=A416+1,A417=A416+2),E416,INDIRECT("template!"&amp;"D"&amp;A417-2)))</f>
        <v>#REF!</v>
      </c>
      <c r="F417" t="e" cm="1">
        <f t="array" aca="1" ref="F417" ca="1">IF(OR(A417="",B417="safety"),"",IF(ISBLANK(IF(A417=A416+1,F416,INDIRECT("template!"&amp;"D"&amp;A417-1))),"",IF(A417=A416+1,F416,INDIRECT("template!"&amp;"D"&amp;A417-1))))</f>
        <v>#REF!</v>
      </c>
      <c r="G417" t="e" cm="1">
        <f t="array" aca="1" ref="G417" ca="1">IF(OR(A417="",B417="safety"),"",IF(ISBLANK(INDIRECT("template!"&amp;"D"&amp;A417)),"",INDIRECT("template!"&amp;"D"&amp;A417)))</f>
        <v>#REF!</v>
      </c>
      <c r="H417" t="e" cm="1">
        <f t="array" aca="1" ref="H417" ca="1">IF(OR(A417="",B417="safety"),"",IF(ISBLANK(INDIRECT("template!"&amp;"E"&amp;A417)),"",INDIRECT("template!"&amp;"E"&amp;A417)))</f>
        <v>#REF!</v>
      </c>
      <c r="I417" t="e" cm="1">
        <f t="array" aca="1" ref="I417" ca="1">IF(OR(A417="",B417="safety"),"",IF(ISBLANK(INDIRECT("template!"&amp;"F"&amp;A417)),"",INDIRECT("template!"&amp;"F"&amp;A417)))</f>
        <v>#REF!</v>
      </c>
      <c r="J417" t="e" cm="1">
        <f t="array" aca="1" ref="J417" ca="1">IF(OR(A417="",B417="safety"),"",IF(ISBLANK(INDIRECT("template!"&amp;"G"&amp;A417)),"",INDIRECT("template!"&amp;"G"&amp;A417)))</f>
        <v>#REF!</v>
      </c>
      <c r="K417" t="e" cm="1">
        <f t="array" aca="1" ref="K417" ca="1">IF(OR(A417="",B417="safety"),"",IF(ISBLANK(INDIRECT("template!"&amp;"H"&amp;A417)),"",INDIRECT("template!"&amp;"H"&amp;A417)))</f>
        <v>#REF!</v>
      </c>
      <c r="L417" t="e" cm="1">
        <f t="array" aca="1" ref="L417" ca="1">IF(OR(A417="",B417="safety"),"",INDIRECT("template!"&amp;"I"&amp;A417))</f>
        <v>#REF!</v>
      </c>
      <c r="M417" t="e" cm="1">
        <f t="array" aca="1" ref="M417" ca="1">IF(OR(A417="",B417="safety"),"",INDIRECT("template!"&amp;"J"&amp;A417))</f>
        <v>#REF!</v>
      </c>
      <c r="N417" t="e" cm="1">
        <f t="array" aca="1" ref="N417" ca="1">IF(OR(A417="",B417="safety"),"",IF(ISBLANK(INDIRECT("template!"&amp;"K"&amp;A417)),"",INDIRECT("template!"&amp;"K"&amp;A417)))</f>
        <v>#REF!</v>
      </c>
      <c r="O417" t="e" cm="1">
        <f t="array" aca="1" ref="O417" ca="1">IF(OR(A417="",B417="safety"),"",INDIRECT("template!"&amp;"L"&amp;A417))</f>
        <v>#REF!</v>
      </c>
      <c r="P417" t="e" cm="1">
        <f t="array" aca="1" ref="P417" ca="1">IF(OR(A417="",B417="safety"),"",INDIRECT("template!"&amp;"M"&amp;A417))</f>
        <v>#REF!</v>
      </c>
      <c r="Q417" t="e">
        <f t="shared" ca="1" si="34"/>
        <v>#REF!</v>
      </c>
      <c r="R417" t="e">
        <f t="shared" ca="1" si="35"/>
        <v>#REF!</v>
      </c>
      <c r="S417" t="e">
        <f t="shared" ca="1" si="36"/>
        <v>#REF!</v>
      </c>
      <c r="T417" t="e">
        <f t="shared" ca="1" si="37"/>
        <v>#REF!</v>
      </c>
      <c r="U417" t="e" cm="1">
        <f t="array" aca="1" ref="U417" ca="1">IF(A417="","",IF(E417="","",IF(B417="safety",INDIRECT("template!"&amp;"P"&amp;A417),Q417+R417)))</f>
        <v>#REF!</v>
      </c>
      <c r="V417" t="e" cm="1">
        <f t="array" aca="1" ref="V417" ca="1">IF(A417="","",IF(E417="","",IF(B417="safety",INDIRECT("template!"&amp;"P"&amp;A417),S417+T417)))</f>
        <v>#REF!</v>
      </c>
      <c r="W417" t="e">
        <f ca="1">IF(A417="","",IF(E417="","",#REF!))</f>
        <v>#REF!</v>
      </c>
      <c r="X417" t="e">
        <f ca="1">IF(A417="","",IF(E417="","",#REF!))</f>
        <v>#REF!</v>
      </c>
      <c r="Y417" s="39" t="e">
        <f ca="1">IF(A417="","",IF(E417="","",#REF!))</f>
        <v>#REF!</v>
      </c>
      <c r="Z417" t="e">
        <f ca="1">IF(A417="","",IF(E417="","",#REF!))</f>
        <v>#REF!</v>
      </c>
      <c r="AA417" t="e">
        <f ca="1">IF(A417="","",IF(E417="","",#REF!))</f>
        <v>#REF!</v>
      </c>
      <c r="AB417" t="e">
        <f ca="1">IF(A417="","",IF(E417="","",#REF!))</f>
        <v>#REF!</v>
      </c>
      <c r="AC417" t="e">
        <f t="shared" ca="1" si="38"/>
        <v>#REF!</v>
      </c>
    </row>
    <row r="418" spans="1:29" x14ac:dyDescent="0.35">
      <c r="A418" t="e" cm="1">
        <f t="array" aca="1" ref="A418" ca="1">IF(A417="","",IF(OR(AND(A417+1&gt;=$AF$1,A417+1&lt;=$AF$2),AND(A417+1&gt;=$AF$6,A417+1&lt;=$AF$7),AND(A417+1&gt;=$AF$3,A417+1&lt;=$AF$4),AND(A417+1&gt;=$AF$8,A417+1&lt;=$AF$9),A417+1=$AF$5),IF(NOT(ISBLANK(INDIRECT("template!"&amp;"P"&amp;A417+1))),A417+1,IF(NOT(ISBLANK(INDIRECT("template!"&amp;"P"&amp;A417+2))),A417+2,A417+3)),IF(A417=$AF$2,$AF$3,IF(A417=$AF$4,$AF$5,IF(A417=$AF$5,$AF$6,IF(A417=$AF$7,$AF$8,""))))))</f>
        <v>#REF!</v>
      </c>
      <c r="B418" t="e">
        <f t="shared" ca="1" si="33"/>
        <v>#REF!</v>
      </c>
      <c r="C418" t="e" cm="1">
        <f t="array" aca="1" ref="C418" ca="1">IF(A418="","",IF(B418="safety","safety costs",INDIRECT("template!"&amp;"B"&amp;A418)))</f>
        <v>#REF!</v>
      </c>
      <c r="D418" t="e" cm="1">
        <f t="array" aca="1" ref="D418" ca="1">IF(OR(A418="",B418="safety"),"",INDIRECT("template!"&amp;"C"&amp;A418))</f>
        <v>#REF!</v>
      </c>
      <c r="E418" t="e" cm="1">
        <f t="array" aca="1" ref="E418" ca="1">IF(A418="","",IF(OR(A418=A417+1,A418=A417+2),E417,INDIRECT("template!"&amp;"D"&amp;A418-2)))</f>
        <v>#REF!</v>
      </c>
      <c r="F418" t="e" cm="1">
        <f t="array" aca="1" ref="F418" ca="1">IF(OR(A418="",B418="safety"),"",IF(ISBLANK(IF(A418=A417+1,F417,INDIRECT("template!"&amp;"D"&amp;A418-1))),"",IF(A418=A417+1,F417,INDIRECT("template!"&amp;"D"&amp;A418-1))))</f>
        <v>#REF!</v>
      </c>
      <c r="G418" t="e" cm="1">
        <f t="array" aca="1" ref="G418" ca="1">IF(OR(A418="",B418="safety"),"",IF(ISBLANK(INDIRECT("template!"&amp;"D"&amp;A418)),"",INDIRECT("template!"&amp;"D"&amp;A418)))</f>
        <v>#REF!</v>
      </c>
      <c r="H418" t="e" cm="1">
        <f t="array" aca="1" ref="H418" ca="1">IF(OR(A418="",B418="safety"),"",IF(ISBLANK(INDIRECT("template!"&amp;"E"&amp;A418)),"",INDIRECT("template!"&amp;"E"&amp;A418)))</f>
        <v>#REF!</v>
      </c>
      <c r="I418" t="e" cm="1">
        <f t="array" aca="1" ref="I418" ca="1">IF(OR(A418="",B418="safety"),"",IF(ISBLANK(INDIRECT("template!"&amp;"F"&amp;A418)),"",INDIRECT("template!"&amp;"F"&amp;A418)))</f>
        <v>#REF!</v>
      </c>
      <c r="J418" t="e" cm="1">
        <f t="array" aca="1" ref="J418" ca="1">IF(OR(A418="",B418="safety"),"",IF(ISBLANK(INDIRECT("template!"&amp;"G"&amp;A418)),"",INDIRECT("template!"&amp;"G"&amp;A418)))</f>
        <v>#REF!</v>
      </c>
      <c r="K418" t="e" cm="1">
        <f t="array" aca="1" ref="K418" ca="1">IF(OR(A418="",B418="safety"),"",IF(ISBLANK(INDIRECT("template!"&amp;"H"&amp;A418)),"",INDIRECT("template!"&amp;"H"&amp;A418)))</f>
        <v>#REF!</v>
      </c>
      <c r="L418" t="e" cm="1">
        <f t="array" aca="1" ref="L418" ca="1">IF(OR(A418="",B418="safety"),"",INDIRECT("template!"&amp;"I"&amp;A418))</f>
        <v>#REF!</v>
      </c>
      <c r="M418" t="e" cm="1">
        <f t="array" aca="1" ref="M418" ca="1">IF(OR(A418="",B418="safety"),"",INDIRECT("template!"&amp;"J"&amp;A418))</f>
        <v>#REF!</v>
      </c>
      <c r="N418" t="e" cm="1">
        <f t="array" aca="1" ref="N418" ca="1">IF(OR(A418="",B418="safety"),"",IF(ISBLANK(INDIRECT("template!"&amp;"K"&amp;A418)),"",INDIRECT("template!"&amp;"K"&amp;A418)))</f>
        <v>#REF!</v>
      </c>
      <c r="O418" t="e" cm="1">
        <f t="array" aca="1" ref="O418" ca="1">IF(OR(A418="",B418="safety"),"",INDIRECT("template!"&amp;"L"&amp;A418))</f>
        <v>#REF!</v>
      </c>
      <c r="P418" t="e" cm="1">
        <f t="array" aca="1" ref="P418" ca="1">IF(OR(A418="",B418="safety"),"",INDIRECT("template!"&amp;"M"&amp;A418))</f>
        <v>#REF!</v>
      </c>
      <c r="Q418" t="e">
        <f t="shared" ca="1" si="34"/>
        <v>#REF!</v>
      </c>
      <c r="R418" t="e">
        <f t="shared" ca="1" si="35"/>
        <v>#REF!</v>
      </c>
      <c r="S418" t="e">
        <f t="shared" ca="1" si="36"/>
        <v>#REF!</v>
      </c>
      <c r="T418" t="e">
        <f t="shared" ca="1" si="37"/>
        <v>#REF!</v>
      </c>
      <c r="U418" t="e" cm="1">
        <f t="array" aca="1" ref="U418" ca="1">IF(A418="","",IF(E418="","",IF(B418="safety",INDIRECT("template!"&amp;"P"&amp;A418),Q418+R418)))</f>
        <v>#REF!</v>
      </c>
      <c r="V418" t="e" cm="1">
        <f t="array" aca="1" ref="V418" ca="1">IF(A418="","",IF(E418="","",IF(B418="safety",INDIRECT("template!"&amp;"P"&amp;A418),S418+T418)))</f>
        <v>#REF!</v>
      </c>
      <c r="W418" t="e">
        <f ca="1">IF(A418="","",IF(E418="","",#REF!))</f>
        <v>#REF!</v>
      </c>
      <c r="X418" t="e">
        <f ca="1">IF(A418="","",IF(E418="","",#REF!))</f>
        <v>#REF!</v>
      </c>
      <c r="Y418" s="39" t="e">
        <f ca="1">IF(A418="","",IF(E418="","",#REF!))</f>
        <v>#REF!</v>
      </c>
      <c r="Z418" t="e">
        <f ca="1">IF(A418="","",IF(E418="","",#REF!))</f>
        <v>#REF!</v>
      </c>
      <c r="AA418" t="e">
        <f ca="1">IF(A418="","",IF(E418="","",#REF!))</f>
        <v>#REF!</v>
      </c>
      <c r="AB418" t="e">
        <f ca="1">IF(A418="","",IF(E418="","",#REF!))</f>
        <v>#REF!</v>
      </c>
      <c r="AC418" t="e">
        <f t="shared" ca="1" si="38"/>
        <v>#REF!</v>
      </c>
    </row>
    <row r="419" spans="1:29" x14ac:dyDescent="0.35">
      <c r="A419" t="e" cm="1">
        <f t="array" aca="1" ref="A419" ca="1">IF(A418="","",IF(OR(AND(A418+1&gt;=$AF$1,A418+1&lt;=$AF$2),AND(A418+1&gt;=$AF$6,A418+1&lt;=$AF$7),AND(A418+1&gt;=$AF$3,A418+1&lt;=$AF$4),AND(A418+1&gt;=$AF$8,A418+1&lt;=$AF$9),A418+1=$AF$5),IF(NOT(ISBLANK(INDIRECT("template!"&amp;"P"&amp;A418+1))),A418+1,IF(NOT(ISBLANK(INDIRECT("template!"&amp;"P"&amp;A418+2))),A418+2,A418+3)),IF(A418=$AF$2,$AF$3,IF(A418=$AF$4,$AF$5,IF(A418=$AF$5,$AF$6,IF(A418=$AF$7,$AF$8,""))))))</f>
        <v>#REF!</v>
      </c>
      <c r="B419" t="e">
        <f t="shared" ca="1" si="33"/>
        <v>#REF!</v>
      </c>
      <c r="C419" t="e" cm="1">
        <f t="array" aca="1" ref="C419" ca="1">IF(A419="","",IF(B419="safety","safety costs",INDIRECT("template!"&amp;"B"&amp;A419)))</f>
        <v>#REF!</v>
      </c>
      <c r="D419" t="e" cm="1">
        <f t="array" aca="1" ref="D419" ca="1">IF(OR(A419="",B419="safety"),"",INDIRECT("template!"&amp;"C"&amp;A419))</f>
        <v>#REF!</v>
      </c>
      <c r="E419" t="e" cm="1">
        <f t="array" aca="1" ref="E419" ca="1">IF(A419="","",IF(OR(A419=A418+1,A419=A418+2),E418,INDIRECT("template!"&amp;"D"&amp;A419-2)))</f>
        <v>#REF!</v>
      </c>
      <c r="F419" t="e" cm="1">
        <f t="array" aca="1" ref="F419" ca="1">IF(OR(A419="",B419="safety"),"",IF(ISBLANK(IF(A419=A418+1,F418,INDIRECT("template!"&amp;"D"&amp;A419-1))),"",IF(A419=A418+1,F418,INDIRECT("template!"&amp;"D"&amp;A419-1))))</f>
        <v>#REF!</v>
      </c>
      <c r="G419" t="e" cm="1">
        <f t="array" aca="1" ref="G419" ca="1">IF(OR(A419="",B419="safety"),"",IF(ISBLANK(INDIRECT("template!"&amp;"D"&amp;A419)),"",INDIRECT("template!"&amp;"D"&amp;A419)))</f>
        <v>#REF!</v>
      </c>
      <c r="H419" t="e" cm="1">
        <f t="array" aca="1" ref="H419" ca="1">IF(OR(A419="",B419="safety"),"",IF(ISBLANK(INDIRECT("template!"&amp;"E"&amp;A419)),"",INDIRECT("template!"&amp;"E"&amp;A419)))</f>
        <v>#REF!</v>
      </c>
      <c r="I419" t="e" cm="1">
        <f t="array" aca="1" ref="I419" ca="1">IF(OR(A419="",B419="safety"),"",IF(ISBLANK(INDIRECT("template!"&amp;"F"&amp;A419)),"",INDIRECT("template!"&amp;"F"&amp;A419)))</f>
        <v>#REF!</v>
      </c>
      <c r="J419" t="e" cm="1">
        <f t="array" aca="1" ref="J419" ca="1">IF(OR(A419="",B419="safety"),"",IF(ISBLANK(INDIRECT("template!"&amp;"G"&amp;A419)),"",INDIRECT("template!"&amp;"G"&amp;A419)))</f>
        <v>#REF!</v>
      </c>
      <c r="K419" t="e" cm="1">
        <f t="array" aca="1" ref="K419" ca="1">IF(OR(A419="",B419="safety"),"",IF(ISBLANK(INDIRECT("template!"&amp;"H"&amp;A419)),"",INDIRECT("template!"&amp;"H"&amp;A419)))</f>
        <v>#REF!</v>
      </c>
      <c r="L419" t="e" cm="1">
        <f t="array" aca="1" ref="L419" ca="1">IF(OR(A419="",B419="safety"),"",INDIRECT("template!"&amp;"I"&amp;A419))</f>
        <v>#REF!</v>
      </c>
      <c r="M419" t="e" cm="1">
        <f t="array" aca="1" ref="M419" ca="1">IF(OR(A419="",B419="safety"),"",INDIRECT("template!"&amp;"J"&amp;A419))</f>
        <v>#REF!</v>
      </c>
      <c r="N419" t="e" cm="1">
        <f t="array" aca="1" ref="N419" ca="1">IF(OR(A419="",B419="safety"),"",IF(ISBLANK(INDIRECT("template!"&amp;"K"&amp;A419)),"",INDIRECT("template!"&amp;"K"&amp;A419)))</f>
        <v>#REF!</v>
      </c>
      <c r="O419" t="e" cm="1">
        <f t="array" aca="1" ref="O419" ca="1">IF(OR(A419="",B419="safety"),"",INDIRECT("template!"&amp;"L"&amp;A419))</f>
        <v>#REF!</v>
      </c>
      <c r="P419" t="e" cm="1">
        <f t="array" aca="1" ref="P419" ca="1">IF(OR(A419="",B419="safety"),"",INDIRECT("template!"&amp;"M"&amp;A419))</f>
        <v>#REF!</v>
      </c>
      <c r="Q419" t="e">
        <f t="shared" ca="1" si="34"/>
        <v>#REF!</v>
      </c>
      <c r="R419" t="e">
        <f t="shared" ca="1" si="35"/>
        <v>#REF!</v>
      </c>
      <c r="S419" t="e">
        <f t="shared" ca="1" si="36"/>
        <v>#REF!</v>
      </c>
      <c r="T419" t="e">
        <f t="shared" ca="1" si="37"/>
        <v>#REF!</v>
      </c>
      <c r="U419" t="e" cm="1">
        <f t="array" aca="1" ref="U419" ca="1">IF(A419="","",IF(E419="","",IF(B419="safety",INDIRECT("template!"&amp;"P"&amp;A419),Q419+R419)))</f>
        <v>#REF!</v>
      </c>
      <c r="V419" t="e" cm="1">
        <f t="array" aca="1" ref="V419" ca="1">IF(A419="","",IF(E419="","",IF(B419="safety",INDIRECT("template!"&amp;"P"&amp;A419),S419+T419)))</f>
        <v>#REF!</v>
      </c>
      <c r="W419" t="e">
        <f ca="1">IF(A419="","",IF(E419="","",#REF!))</f>
        <v>#REF!</v>
      </c>
      <c r="X419" t="e">
        <f ca="1">IF(A419="","",IF(E419="","",#REF!))</f>
        <v>#REF!</v>
      </c>
      <c r="Y419" s="39" t="e">
        <f ca="1">IF(A419="","",IF(E419="","",#REF!))</f>
        <v>#REF!</v>
      </c>
      <c r="Z419" t="e">
        <f ca="1">IF(A419="","",IF(E419="","",#REF!))</f>
        <v>#REF!</v>
      </c>
      <c r="AA419" t="e">
        <f ca="1">IF(A419="","",IF(E419="","",#REF!))</f>
        <v>#REF!</v>
      </c>
      <c r="AB419" t="e">
        <f ca="1">IF(A419="","",IF(E419="","",#REF!))</f>
        <v>#REF!</v>
      </c>
      <c r="AC419" t="e">
        <f t="shared" ca="1" si="38"/>
        <v>#REF!</v>
      </c>
    </row>
    <row r="420" spans="1:29" x14ac:dyDescent="0.35">
      <c r="A420" t="e" cm="1">
        <f t="array" aca="1" ref="A420" ca="1">IF(A419="","",IF(OR(AND(A419+1&gt;=$AF$1,A419+1&lt;=$AF$2),AND(A419+1&gt;=$AF$6,A419+1&lt;=$AF$7),AND(A419+1&gt;=$AF$3,A419+1&lt;=$AF$4),AND(A419+1&gt;=$AF$8,A419+1&lt;=$AF$9),A419+1=$AF$5),IF(NOT(ISBLANK(INDIRECT("template!"&amp;"P"&amp;A419+1))),A419+1,IF(NOT(ISBLANK(INDIRECT("template!"&amp;"P"&amp;A419+2))),A419+2,A419+3)),IF(A419=$AF$2,$AF$3,IF(A419=$AF$4,$AF$5,IF(A419=$AF$5,$AF$6,IF(A419=$AF$7,$AF$8,""))))))</f>
        <v>#REF!</v>
      </c>
      <c r="B420" t="e">
        <f t="shared" ca="1" si="33"/>
        <v>#REF!</v>
      </c>
      <c r="C420" t="e" cm="1">
        <f t="array" aca="1" ref="C420" ca="1">IF(A420="","",IF(B420="safety","safety costs",INDIRECT("template!"&amp;"B"&amp;A420)))</f>
        <v>#REF!</v>
      </c>
      <c r="D420" t="e" cm="1">
        <f t="array" aca="1" ref="D420" ca="1">IF(OR(A420="",B420="safety"),"",INDIRECT("template!"&amp;"C"&amp;A420))</f>
        <v>#REF!</v>
      </c>
      <c r="E420" t="e" cm="1">
        <f t="array" aca="1" ref="E420" ca="1">IF(A420="","",IF(OR(A420=A419+1,A420=A419+2),E419,INDIRECT("template!"&amp;"D"&amp;A420-2)))</f>
        <v>#REF!</v>
      </c>
      <c r="F420" t="e" cm="1">
        <f t="array" aca="1" ref="F420" ca="1">IF(OR(A420="",B420="safety"),"",IF(ISBLANK(IF(A420=A419+1,F419,INDIRECT("template!"&amp;"D"&amp;A420-1))),"",IF(A420=A419+1,F419,INDIRECT("template!"&amp;"D"&amp;A420-1))))</f>
        <v>#REF!</v>
      </c>
      <c r="G420" t="e" cm="1">
        <f t="array" aca="1" ref="G420" ca="1">IF(OR(A420="",B420="safety"),"",IF(ISBLANK(INDIRECT("template!"&amp;"D"&amp;A420)),"",INDIRECT("template!"&amp;"D"&amp;A420)))</f>
        <v>#REF!</v>
      </c>
      <c r="H420" t="e" cm="1">
        <f t="array" aca="1" ref="H420" ca="1">IF(OR(A420="",B420="safety"),"",IF(ISBLANK(INDIRECT("template!"&amp;"E"&amp;A420)),"",INDIRECT("template!"&amp;"E"&amp;A420)))</f>
        <v>#REF!</v>
      </c>
      <c r="I420" t="e" cm="1">
        <f t="array" aca="1" ref="I420" ca="1">IF(OR(A420="",B420="safety"),"",IF(ISBLANK(INDIRECT("template!"&amp;"F"&amp;A420)),"",INDIRECT("template!"&amp;"F"&amp;A420)))</f>
        <v>#REF!</v>
      </c>
      <c r="J420" t="e" cm="1">
        <f t="array" aca="1" ref="J420" ca="1">IF(OR(A420="",B420="safety"),"",IF(ISBLANK(INDIRECT("template!"&amp;"G"&amp;A420)),"",INDIRECT("template!"&amp;"G"&amp;A420)))</f>
        <v>#REF!</v>
      </c>
      <c r="K420" t="e" cm="1">
        <f t="array" aca="1" ref="K420" ca="1">IF(OR(A420="",B420="safety"),"",IF(ISBLANK(INDIRECT("template!"&amp;"H"&amp;A420)),"",INDIRECT("template!"&amp;"H"&amp;A420)))</f>
        <v>#REF!</v>
      </c>
      <c r="L420" t="e" cm="1">
        <f t="array" aca="1" ref="L420" ca="1">IF(OR(A420="",B420="safety"),"",INDIRECT("template!"&amp;"I"&amp;A420))</f>
        <v>#REF!</v>
      </c>
      <c r="M420" t="e" cm="1">
        <f t="array" aca="1" ref="M420" ca="1">IF(OR(A420="",B420="safety"),"",INDIRECT("template!"&amp;"J"&amp;A420))</f>
        <v>#REF!</v>
      </c>
      <c r="N420" t="e" cm="1">
        <f t="array" aca="1" ref="N420" ca="1">IF(OR(A420="",B420="safety"),"",IF(ISBLANK(INDIRECT("template!"&amp;"K"&amp;A420)),"",INDIRECT("template!"&amp;"K"&amp;A420)))</f>
        <v>#REF!</v>
      </c>
      <c r="O420" t="e" cm="1">
        <f t="array" aca="1" ref="O420" ca="1">IF(OR(A420="",B420="safety"),"",INDIRECT("template!"&amp;"L"&amp;A420))</f>
        <v>#REF!</v>
      </c>
      <c r="P420" t="e" cm="1">
        <f t="array" aca="1" ref="P420" ca="1">IF(OR(A420="",B420="safety"),"",INDIRECT("template!"&amp;"M"&amp;A420))</f>
        <v>#REF!</v>
      </c>
      <c r="Q420" t="e">
        <f t="shared" ca="1" si="34"/>
        <v>#REF!</v>
      </c>
      <c r="R420" t="e">
        <f t="shared" ca="1" si="35"/>
        <v>#REF!</v>
      </c>
      <c r="S420" t="e">
        <f t="shared" ca="1" si="36"/>
        <v>#REF!</v>
      </c>
      <c r="T420" t="e">
        <f t="shared" ca="1" si="37"/>
        <v>#REF!</v>
      </c>
      <c r="U420" t="e" cm="1">
        <f t="array" aca="1" ref="U420" ca="1">IF(A420="","",IF(E420="","",IF(B420="safety",INDIRECT("template!"&amp;"P"&amp;A420),Q420+R420)))</f>
        <v>#REF!</v>
      </c>
      <c r="V420" t="e" cm="1">
        <f t="array" aca="1" ref="V420" ca="1">IF(A420="","",IF(E420="","",IF(B420="safety",INDIRECT("template!"&amp;"P"&amp;A420),S420+T420)))</f>
        <v>#REF!</v>
      </c>
      <c r="W420" t="e">
        <f ca="1">IF(A420="","",IF(E420="","",#REF!))</f>
        <v>#REF!</v>
      </c>
      <c r="X420" t="e">
        <f ca="1">IF(A420="","",IF(E420="","",#REF!))</f>
        <v>#REF!</v>
      </c>
      <c r="Y420" s="39" t="e">
        <f ca="1">IF(A420="","",IF(E420="","",#REF!))</f>
        <v>#REF!</v>
      </c>
      <c r="Z420" t="e">
        <f ca="1">IF(A420="","",IF(E420="","",#REF!))</f>
        <v>#REF!</v>
      </c>
      <c r="AA420" t="e">
        <f ca="1">IF(A420="","",IF(E420="","",#REF!))</f>
        <v>#REF!</v>
      </c>
      <c r="AB420" t="e">
        <f ca="1">IF(A420="","",IF(E420="","",#REF!))</f>
        <v>#REF!</v>
      </c>
      <c r="AC420" t="e">
        <f t="shared" ca="1" si="38"/>
        <v>#REF!</v>
      </c>
    </row>
    <row r="421" spans="1:29" x14ac:dyDescent="0.35">
      <c r="A421" t="e" cm="1">
        <f t="array" aca="1" ref="A421" ca="1">IF(A420="","",IF(OR(AND(A420+1&gt;=$AF$1,A420+1&lt;=$AF$2),AND(A420+1&gt;=$AF$6,A420+1&lt;=$AF$7),AND(A420+1&gt;=$AF$3,A420+1&lt;=$AF$4),AND(A420+1&gt;=$AF$8,A420+1&lt;=$AF$9),A420+1=$AF$5),IF(NOT(ISBLANK(INDIRECT("template!"&amp;"P"&amp;A420+1))),A420+1,IF(NOT(ISBLANK(INDIRECT("template!"&amp;"P"&amp;A420+2))),A420+2,A420+3)),IF(A420=$AF$2,$AF$3,IF(A420=$AF$4,$AF$5,IF(A420=$AF$5,$AF$6,IF(A420=$AF$7,$AF$8,""))))))</f>
        <v>#REF!</v>
      </c>
      <c r="B421" t="e">
        <f t="shared" ca="1" si="33"/>
        <v>#REF!</v>
      </c>
      <c r="C421" t="e" cm="1">
        <f t="array" aca="1" ref="C421" ca="1">IF(A421="","",IF(B421="safety","safety costs",INDIRECT("template!"&amp;"B"&amp;A421)))</f>
        <v>#REF!</v>
      </c>
      <c r="D421" t="e" cm="1">
        <f t="array" aca="1" ref="D421" ca="1">IF(OR(A421="",B421="safety"),"",INDIRECT("template!"&amp;"C"&amp;A421))</f>
        <v>#REF!</v>
      </c>
      <c r="E421" t="e" cm="1">
        <f t="array" aca="1" ref="E421" ca="1">IF(A421="","",IF(OR(A421=A420+1,A421=A420+2),E420,INDIRECT("template!"&amp;"D"&amp;A421-2)))</f>
        <v>#REF!</v>
      </c>
      <c r="F421" t="e" cm="1">
        <f t="array" aca="1" ref="F421" ca="1">IF(OR(A421="",B421="safety"),"",IF(ISBLANK(IF(A421=A420+1,F420,INDIRECT("template!"&amp;"D"&amp;A421-1))),"",IF(A421=A420+1,F420,INDIRECT("template!"&amp;"D"&amp;A421-1))))</f>
        <v>#REF!</v>
      </c>
      <c r="G421" t="e" cm="1">
        <f t="array" aca="1" ref="G421" ca="1">IF(OR(A421="",B421="safety"),"",IF(ISBLANK(INDIRECT("template!"&amp;"D"&amp;A421)),"",INDIRECT("template!"&amp;"D"&amp;A421)))</f>
        <v>#REF!</v>
      </c>
      <c r="H421" t="e" cm="1">
        <f t="array" aca="1" ref="H421" ca="1">IF(OR(A421="",B421="safety"),"",IF(ISBLANK(INDIRECT("template!"&amp;"E"&amp;A421)),"",INDIRECT("template!"&amp;"E"&amp;A421)))</f>
        <v>#REF!</v>
      </c>
      <c r="I421" t="e" cm="1">
        <f t="array" aca="1" ref="I421" ca="1">IF(OR(A421="",B421="safety"),"",IF(ISBLANK(INDIRECT("template!"&amp;"F"&amp;A421)),"",INDIRECT("template!"&amp;"F"&amp;A421)))</f>
        <v>#REF!</v>
      </c>
      <c r="J421" t="e" cm="1">
        <f t="array" aca="1" ref="J421" ca="1">IF(OR(A421="",B421="safety"),"",IF(ISBLANK(INDIRECT("template!"&amp;"G"&amp;A421)),"",INDIRECT("template!"&amp;"G"&amp;A421)))</f>
        <v>#REF!</v>
      </c>
      <c r="K421" t="e" cm="1">
        <f t="array" aca="1" ref="K421" ca="1">IF(OR(A421="",B421="safety"),"",IF(ISBLANK(INDIRECT("template!"&amp;"H"&amp;A421)),"",INDIRECT("template!"&amp;"H"&amp;A421)))</f>
        <v>#REF!</v>
      </c>
      <c r="L421" t="e" cm="1">
        <f t="array" aca="1" ref="L421" ca="1">IF(OR(A421="",B421="safety"),"",INDIRECT("template!"&amp;"I"&amp;A421))</f>
        <v>#REF!</v>
      </c>
      <c r="M421" t="e" cm="1">
        <f t="array" aca="1" ref="M421" ca="1">IF(OR(A421="",B421="safety"),"",INDIRECT("template!"&amp;"J"&amp;A421))</f>
        <v>#REF!</v>
      </c>
      <c r="N421" t="e" cm="1">
        <f t="array" aca="1" ref="N421" ca="1">IF(OR(A421="",B421="safety"),"",IF(ISBLANK(INDIRECT("template!"&amp;"K"&amp;A421)),"",INDIRECT("template!"&amp;"K"&amp;A421)))</f>
        <v>#REF!</v>
      </c>
      <c r="O421" t="e" cm="1">
        <f t="array" aca="1" ref="O421" ca="1">IF(OR(A421="",B421="safety"),"",INDIRECT("template!"&amp;"L"&amp;A421))</f>
        <v>#REF!</v>
      </c>
      <c r="P421" t="e" cm="1">
        <f t="array" aca="1" ref="P421" ca="1">IF(OR(A421="",B421="safety"),"",INDIRECT("template!"&amp;"M"&amp;A421))</f>
        <v>#REF!</v>
      </c>
      <c r="Q421" t="e">
        <f t="shared" ca="1" si="34"/>
        <v>#REF!</v>
      </c>
      <c r="R421" t="e">
        <f t="shared" ca="1" si="35"/>
        <v>#REF!</v>
      </c>
      <c r="S421" t="e">
        <f t="shared" ca="1" si="36"/>
        <v>#REF!</v>
      </c>
      <c r="T421" t="e">
        <f t="shared" ca="1" si="37"/>
        <v>#REF!</v>
      </c>
      <c r="U421" t="e" cm="1">
        <f t="array" aca="1" ref="U421" ca="1">IF(A421="","",IF(E421="","",IF(B421="safety",INDIRECT("template!"&amp;"P"&amp;A421),Q421+R421)))</f>
        <v>#REF!</v>
      </c>
      <c r="V421" t="e" cm="1">
        <f t="array" aca="1" ref="V421" ca="1">IF(A421="","",IF(E421="","",IF(B421="safety",INDIRECT("template!"&amp;"P"&amp;A421),S421+T421)))</f>
        <v>#REF!</v>
      </c>
      <c r="W421" t="e">
        <f ca="1">IF(A421="","",IF(E421="","",#REF!))</f>
        <v>#REF!</v>
      </c>
      <c r="X421" t="e">
        <f ca="1">IF(A421="","",IF(E421="","",#REF!))</f>
        <v>#REF!</v>
      </c>
      <c r="Y421" s="39" t="e">
        <f ca="1">IF(A421="","",IF(E421="","",#REF!))</f>
        <v>#REF!</v>
      </c>
      <c r="Z421" t="e">
        <f ca="1">IF(A421="","",IF(E421="","",#REF!))</f>
        <v>#REF!</v>
      </c>
      <c r="AA421" t="e">
        <f ca="1">IF(A421="","",IF(E421="","",#REF!))</f>
        <v>#REF!</v>
      </c>
      <c r="AB421" t="e">
        <f ca="1">IF(A421="","",IF(E421="","",#REF!))</f>
        <v>#REF!</v>
      </c>
      <c r="AC421" t="e">
        <f t="shared" ca="1" si="38"/>
        <v>#REF!</v>
      </c>
    </row>
    <row r="422" spans="1:29" x14ac:dyDescent="0.35">
      <c r="A422" t="e" cm="1">
        <f t="array" aca="1" ref="A422" ca="1">IF(A421="","",IF(OR(AND(A421+1&gt;=$AF$1,A421+1&lt;=$AF$2),AND(A421+1&gt;=$AF$6,A421+1&lt;=$AF$7),AND(A421+1&gt;=$AF$3,A421+1&lt;=$AF$4),AND(A421+1&gt;=$AF$8,A421+1&lt;=$AF$9),A421+1=$AF$5),IF(NOT(ISBLANK(INDIRECT("template!"&amp;"P"&amp;A421+1))),A421+1,IF(NOT(ISBLANK(INDIRECT("template!"&amp;"P"&amp;A421+2))),A421+2,A421+3)),IF(A421=$AF$2,$AF$3,IF(A421=$AF$4,$AF$5,IF(A421=$AF$5,$AF$6,IF(A421=$AF$7,$AF$8,""))))))</f>
        <v>#REF!</v>
      </c>
      <c r="B422" t="e">
        <f t="shared" ca="1" si="33"/>
        <v>#REF!</v>
      </c>
      <c r="C422" t="e" cm="1">
        <f t="array" aca="1" ref="C422" ca="1">IF(A422="","",IF(B422="safety","safety costs",INDIRECT("template!"&amp;"B"&amp;A422)))</f>
        <v>#REF!</v>
      </c>
      <c r="D422" t="e" cm="1">
        <f t="array" aca="1" ref="D422" ca="1">IF(OR(A422="",B422="safety"),"",INDIRECT("template!"&amp;"C"&amp;A422))</f>
        <v>#REF!</v>
      </c>
      <c r="E422" t="e" cm="1">
        <f t="array" aca="1" ref="E422" ca="1">IF(A422="","",IF(OR(A422=A421+1,A422=A421+2),E421,INDIRECT("template!"&amp;"D"&amp;A422-2)))</f>
        <v>#REF!</v>
      </c>
      <c r="F422" t="e" cm="1">
        <f t="array" aca="1" ref="F422" ca="1">IF(OR(A422="",B422="safety"),"",IF(ISBLANK(IF(A422=A421+1,F421,INDIRECT("template!"&amp;"D"&amp;A422-1))),"",IF(A422=A421+1,F421,INDIRECT("template!"&amp;"D"&amp;A422-1))))</f>
        <v>#REF!</v>
      </c>
      <c r="G422" t="e" cm="1">
        <f t="array" aca="1" ref="G422" ca="1">IF(OR(A422="",B422="safety"),"",IF(ISBLANK(INDIRECT("template!"&amp;"D"&amp;A422)),"",INDIRECT("template!"&amp;"D"&amp;A422)))</f>
        <v>#REF!</v>
      </c>
      <c r="H422" t="e" cm="1">
        <f t="array" aca="1" ref="H422" ca="1">IF(OR(A422="",B422="safety"),"",IF(ISBLANK(INDIRECT("template!"&amp;"E"&amp;A422)),"",INDIRECT("template!"&amp;"E"&amp;A422)))</f>
        <v>#REF!</v>
      </c>
      <c r="I422" t="e" cm="1">
        <f t="array" aca="1" ref="I422" ca="1">IF(OR(A422="",B422="safety"),"",IF(ISBLANK(INDIRECT("template!"&amp;"F"&amp;A422)),"",INDIRECT("template!"&amp;"F"&amp;A422)))</f>
        <v>#REF!</v>
      </c>
      <c r="J422" t="e" cm="1">
        <f t="array" aca="1" ref="J422" ca="1">IF(OR(A422="",B422="safety"),"",IF(ISBLANK(INDIRECT("template!"&amp;"G"&amp;A422)),"",INDIRECT("template!"&amp;"G"&amp;A422)))</f>
        <v>#REF!</v>
      </c>
      <c r="K422" t="e" cm="1">
        <f t="array" aca="1" ref="K422" ca="1">IF(OR(A422="",B422="safety"),"",IF(ISBLANK(INDIRECT("template!"&amp;"H"&amp;A422)),"",INDIRECT("template!"&amp;"H"&amp;A422)))</f>
        <v>#REF!</v>
      </c>
      <c r="L422" t="e" cm="1">
        <f t="array" aca="1" ref="L422" ca="1">IF(OR(A422="",B422="safety"),"",INDIRECT("template!"&amp;"I"&amp;A422))</f>
        <v>#REF!</v>
      </c>
      <c r="M422" t="e" cm="1">
        <f t="array" aca="1" ref="M422" ca="1">IF(OR(A422="",B422="safety"),"",INDIRECT("template!"&amp;"J"&amp;A422))</f>
        <v>#REF!</v>
      </c>
      <c r="N422" t="e" cm="1">
        <f t="array" aca="1" ref="N422" ca="1">IF(OR(A422="",B422="safety"),"",IF(ISBLANK(INDIRECT("template!"&amp;"K"&amp;A422)),"",INDIRECT("template!"&amp;"K"&amp;A422)))</f>
        <v>#REF!</v>
      </c>
      <c r="O422" t="e" cm="1">
        <f t="array" aca="1" ref="O422" ca="1">IF(OR(A422="",B422="safety"),"",INDIRECT("template!"&amp;"L"&amp;A422))</f>
        <v>#REF!</v>
      </c>
      <c r="P422" t="e" cm="1">
        <f t="array" aca="1" ref="P422" ca="1">IF(OR(A422="",B422="safety"),"",INDIRECT("template!"&amp;"M"&amp;A422))</f>
        <v>#REF!</v>
      </c>
      <c r="Q422" t="e">
        <f t="shared" ca="1" si="34"/>
        <v>#REF!</v>
      </c>
      <c r="R422" t="e">
        <f t="shared" ca="1" si="35"/>
        <v>#REF!</v>
      </c>
      <c r="S422" t="e">
        <f t="shared" ca="1" si="36"/>
        <v>#REF!</v>
      </c>
      <c r="T422" t="e">
        <f t="shared" ca="1" si="37"/>
        <v>#REF!</v>
      </c>
      <c r="U422" t="e" cm="1">
        <f t="array" aca="1" ref="U422" ca="1">IF(A422="","",IF(E422="","",IF(B422="safety",INDIRECT("template!"&amp;"P"&amp;A422),Q422+R422)))</f>
        <v>#REF!</v>
      </c>
      <c r="V422" t="e" cm="1">
        <f t="array" aca="1" ref="V422" ca="1">IF(A422="","",IF(E422="","",IF(B422="safety",INDIRECT("template!"&amp;"P"&amp;A422),S422+T422)))</f>
        <v>#REF!</v>
      </c>
      <c r="W422" t="e">
        <f ca="1">IF(A422="","",IF(E422="","",#REF!))</f>
        <v>#REF!</v>
      </c>
      <c r="X422" t="e">
        <f ca="1">IF(A422="","",IF(E422="","",#REF!))</f>
        <v>#REF!</v>
      </c>
      <c r="Y422" s="39" t="e">
        <f ca="1">IF(A422="","",IF(E422="","",#REF!))</f>
        <v>#REF!</v>
      </c>
      <c r="Z422" t="e">
        <f ca="1">IF(A422="","",IF(E422="","",#REF!))</f>
        <v>#REF!</v>
      </c>
      <c r="AA422" t="e">
        <f ca="1">IF(A422="","",IF(E422="","",#REF!))</f>
        <v>#REF!</v>
      </c>
      <c r="AB422" t="e">
        <f ca="1">IF(A422="","",IF(E422="","",#REF!))</f>
        <v>#REF!</v>
      </c>
      <c r="AC422" t="e">
        <f t="shared" ca="1" si="38"/>
        <v>#REF!</v>
      </c>
    </row>
    <row r="423" spans="1:29" x14ac:dyDescent="0.35">
      <c r="A423" t="e" cm="1">
        <f t="array" aca="1" ref="A423" ca="1">IF(A422="","",IF(OR(AND(A422+1&gt;=$AF$1,A422+1&lt;=$AF$2),AND(A422+1&gt;=$AF$6,A422+1&lt;=$AF$7),AND(A422+1&gt;=$AF$3,A422+1&lt;=$AF$4),AND(A422+1&gt;=$AF$8,A422+1&lt;=$AF$9),A422+1=$AF$5),IF(NOT(ISBLANK(INDIRECT("template!"&amp;"P"&amp;A422+1))),A422+1,IF(NOT(ISBLANK(INDIRECT("template!"&amp;"P"&amp;A422+2))),A422+2,A422+3)),IF(A422=$AF$2,$AF$3,IF(A422=$AF$4,$AF$5,IF(A422=$AF$5,$AF$6,IF(A422=$AF$7,$AF$8,""))))))</f>
        <v>#REF!</v>
      </c>
      <c r="B423" t="e">
        <f t="shared" ca="1" si="33"/>
        <v>#REF!</v>
      </c>
      <c r="C423" t="e" cm="1">
        <f t="array" aca="1" ref="C423" ca="1">IF(A423="","",IF(B423="safety","safety costs",INDIRECT("template!"&amp;"B"&amp;A423)))</f>
        <v>#REF!</v>
      </c>
      <c r="D423" t="e" cm="1">
        <f t="array" aca="1" ref="D423" ca="1">IF(OR(A423="",B423="safety"),"",INDIRECT("template!"&amp;"C"&amp;A423))</f>
        <v>#REF!</v>
      </c>
      <c r="E423" t="e" cm="1">
        <f t="array" aca="1" ref="E423" ca="1">IF(A423="","",IF(OR(A423=A422+1,A423=A422+2),E422,INDIRECT("template!"&amp;"D"&amp;A423-2)))</f>
        <v>#REF!</v>
      </c>
      <c r="F423" t="e" cm="1">
        <f t="array" aca="1" ref="F423" ca="1">IF(OR(A423="",B423="safety"),"",IF(ISBLANK(IF(A423=A422+1,F422,INDIRECT("template!"&amp;"D"&amp;A423-1))),"",IF(A423=A422+1,F422,INDIRECT("template!"&amp;"D"&amp;A423-1))))</f>
        <v>#REF!</v>
      </c>
      <c r="G423" t="e" cm="1">
        <f t="array" aca="1" ref="G423" ca="1">IF(OR(A423="",B423="safety"),"",IF(ISBLANK(INDIRECT("template!"&amp;"D"&amp;A423)),"",INDIRECT("template!"&amp;"D"&amp;A423)))</f>
        <v>#REF!</v>
      </c>
      <c r="H423" t="e" cm="1">
        <f t="array" aca="1" ref="H423" ca="1">IF(OR(A423="",B423="safety"),"",IF(ISBLANK(INDIRECT("template!"&amp;"E"&amp;A423)),"",INDIRECT("template!"&amp;"E"&amp;A423)))</f>
        <v>#REF!</v>
      </c>
      <c r="I423" t="e" cm="1">
        <f t="array" aca="1" ref="I423" ca="1">IF(OR(A423="",B423="safety"),"",IF(ISBLANK(INDIRECT("template!"&amp;"F"&amp;A423)),"",INDIRECT("template!"&amp;"F"&amp;A423)))</f>
        <v>#REF!</v>
      </c>
      <c r="J423" t="e" cm="1">
        <f t="array" aca="1" ref="J423" ca="1">IF(OR(A423="",B423="safety"),"",IF(ISBLANK(INDIRECT("template!"&amp;"G"&amp;A423)),"",INDIRECT("template!"&amp;"G"&amp;A423)))</f>
        <v>#REF!</v>
      </c>
      <c r="K423" t="e" cm="1">
        <f t="array" aca="1" ref="K423" ca="1">IF(OR(A423="",B423="safety"),"",IF(ISBLANK(INDIRECT("template!"&amp;"H"&amp;A423)),"",INDIRECT("template!"&amp;"H"&amp;A423)))</f>
        <v>#REF!</v>
      </c>
      <c r="L423" t="e" cm="1">
        <f t="array" aca="1" ref="L423" ca="1">IF(OR(A423="",B423="safety"),"",INDIRECT("template!"&amp;"I"&amp;A423))</f>
        <v>#REF!</v>
      </c>
      <c r="M423" t="e" cm="1">
        <f t="array" aca="1" ref="M423" ca="1">IF(OR(A423="",B423="safety"),"",INDIRECT("template!"&amp;"J"&amp;A423))</f>
        <v>#REF!</v>
      </c>
      <c r="N423" t="e" cm="1">
        <f t="array" aca="1" ref="N423" ca="1">IF(OR(A423="",B423="safety"),"",IF(ISBLANK(INDIRECT("template!"&amp;"K"&amp;A423)),"",INDIRECT("template!"&amp;"K"&amp;A423)))</f>
        <v>#REF!</v>
      </c>
      <c r="O423" t="e" cm="1">
        <f t="array" aca="1" ref="O423" ca="1">IF(OR(A423="",B423="safety"),"",INDIRECT("template!"&amp;"L"&amp;A423))</f>
        <v>#REF!</v>
      </c>
      <c r="P423" t="e" cm="1">
        <f t="array" aca="1" ref="P423" ca="1">IF(OR(A423="",B423="safety"),"",INDIRECT("template!"&amp;"M"&amp;A423))</f>
        <v>#REF!</v>
      </c>
      <c r="Q423" t="e">
        <f t="shared" ca="1" si="34"/>
        <v>#REF!</v>
      </c>
      <c r="R423" t="e">
        <f t="shared" ca="1" si="35"/>
        <v>#REF!</v>
      </c>
      <c r="S423" t="e">
        <f t="shared" ca="1" si="36"/>
        <v>#REF!</v>
      </c>
      <c r="T423" t="e">
        <f t="shared" ca="1" si="37"/>
        <v>#REF!</v>
      </c>
      <c r="U423" t="e" cm="1">
        <f t="array" aca="1" ref="U423" ca="1">IF(A423="","",IF(E423="","",IF(B423="safety",INDIRECT("template!"&amp;"P"&amp;A423),Q423+R423)))</f>
        <v>#REF!</v>
      </c>
      <c r="V423" t="e" cm="1">
        <f t="array" aca="1" ref="V423" ca="1">IF(A423="","",IF(E423="","",IF(B423="safety",INDIRECT("template!"&amp;"P"&amp;A423),S423+T423)))</f>
        <v>#REF!</v>
      </c>
      <c r="W423" t="e">
        <f ca="1">IF(A423="","",IF(E423="","",#REF!))</f>
        <v>#REF!</v>
      </c>
      <c r="X423" t="e">
        <f ca="1">IF(A423="","",IF(E423="","",#REF!))</f>
        <v>#REF!</v>
      </c>
      <c r="Y423" s="39" t="e">
        <f ca="1">IF(A423="","",IF(E423="","",#REF!))</f>
        <v>#REF!</v>
      </c>
      <c r="Z423" t="e">
        <f ca="1">IF(A423="","",IF(E423="","",#REF!))</f>
        <v>#REF!</v>
      </c>
      <c r="AA423" t="e">
        <f ca="1">IF(A423="","",IF(E423="","",#REF!))</f>
        <v>#REF!</v>
      </c>
      <c r="AB423" t="e">
        <f ca="1">IF(A423="","",IF(E423="","",#REF!))</f>
        <v>#REF!</v>
      </c>
      <c r="AC423" t="e">
        <f t="shared" ca="1" si="38"/>
        <v>#REF!</v>
      </c>
    </row>
    <row r="424" spans="1:29" x14ac:dyDescent="0.35">
      <c r="A424" t="e" cm="1">
        <f t="array" aca="1" ref="A424" ca="1">IF(A423="","",IF(OR(AND(A423+1&gt;=$AF$1,A423+1&lt;=$AF$2),AND(A423+1&gt;=$AF$6,A423+1&lt;=$AF$7),AND(A423+1&gt;=$AF$3,A423+1&lt;=$AF$4),AND(A423+1&gt;=$AF$8,A423+1&lt;=$AF$9),A423+1=$AF$5),IF(NOT(ISBLANK(INDIRECT("template!"&amp;"P"&amp;A423+1))),A423+1,IF(NOT(ISBLANK(INDIRECT("template!"&amp;"P"&amp;A423+2))),A423+2,A423+3)),IF(A423=$AF$2,$AF$3,IF(A423=$AF$4,$AF$5,IF(A423=$AF$5,$AF$6,IF(A423=$AF$7,$AF$8,""))))))</f>
        <v>#REF!</v>
      </c>
      <c r="B424" t="e">
        <f t="shared" ca="1" si="33"/>
        <v>#REF!</v>
      </c>
      <c r="C424" t="e" cm="1">
        <f t="array" aca="1" ref="C424" ca="1">IF(A424="","",IF(B424="safety","safety costs",INDIRECT("template!"&amp;"B"&amp;A424)))</f>
        <v>#REF!</v>
      </c>
      <c r="D424" t="e" cm="1">
        <f t="array" aca="1" ref="D424" ca="1">IF(OR(A424="",B424="safety"),"",INDIRECT("template!"&amp;"C"&amp;A424))</f>
        <v>#REF!</v>
      </c>
      <c r="E424" t="e" cm="1">
        <f t="array" aca="1" ref="E424" ca="1">IF(A424="","",IF(OR(A424=A423+1,A424=A423+2),E423,INDIRECT("template!"&amp;"D"&amp;A424-2)))</f>
        <v>#REF!</v>
      </c>
      <c r="F424" t="e" cm="1">
        <f t="array" aca="1" ref="F424" ca="1">IF(OR(A424="",B424="safety"),"",IF(ISBLANK(IF(A424=A423+1,F423,INDIRECT("template!"&amp;"D"&amp;A424-1))),"",IF(A424=A423+1,F423,INDIRECT("template!"&amp;"D"&amp;A424-1))))</f>
        <v>#REF!</v>
      </c>
      <c r="G424" t="e" cm="1">
        <f t="array" aca="1" ref="G424" ca="1">IF(OR(A424="",B424="safety"),"",IF(ISBLANK(INDIRECT("template!"&amp;"D"&amp;A424)),"",INDIRECT("template!"&amp;"D"&amp;A424)))</f>
        <v>#REF!</v>
      </c>
      <c r="H424" t="e" cm="1">
        <f t="array" aca="1" ref="H424" ca="1">IF(OR(A424="",B424="safety"),"",IF(ISBLANK(INDIRECT("template!"&amp;"E"&amp;A424)),"",INDIRECT("template!"&amp;"E"&amp;A424)))</f>
        <v>#REF!</v>
      </c>
      <c r="I424" t="e" cm="1">
        <f t="array" aca="1" ref="I424" ca="1">IF(OR(A424="",B424="safety"),"",IF(ISBLANK(INDIRECT("template!"&amp;"F"&amp;A424)),"",INDIRECT("template!"&amp;"F"&amp;A424)))</f>
        <v>#REF!</v>
      </c>
      <c r="J424" t="e" cm="1">
        <f t="array" aca="1" ref="J424" ca="1">IF(OR(A424="",B424="safety"),"",IF(ISBLANK(INDIRECT("template!"&amp;"G"&amp;A424)),"",INDIRECT("template!"&amp;"G"&amp;A424)))</f>
        <v>#REF!</v>
      </c>
      <c r="K424" t="e" cm="1">
        <f t="array" aca="1" ref="K424" ca="1">IF(OR(A424="",B424="safety"),"",IF(ISBLANK(INDIRECT("template!"&amp;"H"&amp;A424)),"",INDIRECT("template!"&amp;"H"&amp;A424)))</f>
        <v>#REF!</v>
      </c>
      <c r="L424" t="e" cm="1">
        <f t="array" aca="1" ref="L424" ca="1">IF(OR(A424="",B424="safety"),"",INDIRECT("template!"&amp;"I"&amp;A424))</f>
        <v>#REF!</v>
      </c>
      <c r="M424" t="e" cm="1">
        <f t="array" aca="1" ref="M424" ca="1">IF(OR(A424="",B424="safety"),"",INDIRECT("template!"&amp;"J"&amp;A424))</f>
        <v>#REF!</v>
      </c>
      <c r="N424" t="e" cm="1">
        <f t="array" aca="1" ref="N424" ca="1">IF(OR(A424="",B424="safety"),"",IF(ISBLANK(INDIRECT("template!"&amp;"K"&amp;A424)),"",INDIRECT("template!"&amp;"K"&amp;A424)))</f>
        <v>#REF!</v>
      </c>
      <c r="O424" t="e" cm="1">
        <f t="array" aca="1" ref="O424" ca="1">IF(OR(A424="",B424="safety"),"",INDIRECT("template!"&amp;"L"&amp;A424))</f>
        <v>#REF!</v>
      </c>
      <c r="P424" t="e" cm="1">
        <f t="array" aca="1" ref="P424" ca="1">IF(OR(A424="",B424="safety"),"",INDIRECT("template!"&amp;"M"&amp;A424))</f>
        <v>#REF!</v>
      </c>
      <c r="Q424" t="e">
        <f t="shared" ca="1" si="34"/>
        <v>#REF!</v>
      </c>
      <c r="R424" t="e">
        <f t="shared" ca="1" si="35"/>
        <v>#REF!</v>
      </c>
      <c r="S424" t="e">
        <f t="shared" ca="1" si="36"/>
        <v>#REF!</v>
      </c>
      <c r="T424" t="e">
        <f t="shared" ca="1" si="37"/>
        <v>#REF!</v>
      </c>
      <c r="U424" t="e" cm="1">
        <f t="array" aca="1" ref="U424" ca="1">IF(A424="","",IF(E424="","",IF(B424="safety",INDIRECT("template!"&amp;"P"&amp;A424),Q424+R424)))</f>
        <v>#REF!</v>
      </c>
      <c r="V424" t="e" cm="1">
        <f t="array" aca="1" ref="V424" ca="1">IF(A424="","",IF(E424="","",IF(B424="safety",INDIRECT("template!"&amp;"P"&amp;A424),S424+T424)))</f>
        <v>#REF!</v>
      </c>
      <c r="W424" t="e">
        <f ca="1">IF(A424="","",IF(E424="","",#REF!))</f>
        <v>#REF!</v>
      </c>
      <c r="X424" t="e">
        <f ca="1">IF(A424="","",IF(E424="","",#REF!))</f>
        <v>#REF!</v>
      </c>
      <c r="Y424" s="39" t="e">
        <f ca="1">IF(A424="","",IF(E424="","",#REF!))</f>
        <v>#REF!</v>
      </c>
      <c r="Z424" t="e">
        <f ca="1">IF(A424="","",IF(E424="","",#REF!))</f>
        <v>#REF!</v>
      </c>
      <c r="AA424" t="e">
        <f ca="1">IF(A424="","",IF(E424="","",#REF!))</f>
        <v>#REF!</v>
      </c>
      <c r="AB424" t="e">
        <f ca="1">IF(A424="","",IF(E424="","",#REF!))</f>
        <v>#REF!</v>
      </c>
      <c r="AC424" t="e">
        <f t="shared" ca="1" si="38"/>
        <v>#REF!</v>
      </c>
    </row>
    <row r="425" spans="1:29" x14ac:dyDescent="0.35">
      <c r="A425" t="e" cm="1">
        <f t="array" aca="1" ref="A425" ca="1">IF(A424="","",IF(OR(AND(A424+1&gt;=$AF$1,A424+1&lt;=$AF$2),AND(A424+1&gt;=$AF$6,A424+1&lt;=$AF$7),AND(A424+1&gt;=$AF$3,A424+1&lt;=$AF$4),AND(A424+1&gt;=$AF$8,A424+1&lt;=$AF$9),A424+1=$AF$5),IF(NOT(ISBLANK(INDIRECT("template!"&amp;"P"&amp;A424+1))),A424+1,IF(NOT(ISBLANK(INDIRECT("template!"&amp;"P"&amp;A424+2))),A424+2,A424+3)),IF(A424=$AF$2,$AF$3,IF(A424=$AF$4,$AF$5,IF(A424=$AF$5,$AF$6,IF(A424=$AF$7,$AF$8,""))))))</f>
        <v>#REF!</v>
      </c>
      <c r="B425" t="e">
        <f t="shared" ca="1" si="33"/>
        <v>#REF!</v>
      </c>
      <c r="C425" t="e" cm="1">
        <f t="array" aca="1" ref="C425" ca="1">IF(A425="","",IF(B425="safety","safety costs",INDIRECT("template!"&amp;"B"&amp;A425)))</f>
        <v>#REF!</v>
      </c>
      <c r="D425" t="e" cm="1">
        <f t="array" aca="1" ref="D425" ca="1">IF(OR(A425="",B425="safety"),"",INDIRECT("template!"&amp;"C"&amp;A425))</f>
        <v>#REF!</v>
      </c>
      <c r="E425" t="e" cm="1">
        <f t="array" aca="1" ref="E425" ca="1">IF(A425="","",IF(OR(A425=A424+1,A425=A424+2),E424,INDIRECT("template!"&amp;"D"&amp;A425-2)))</f>
        <v>#REF!</v>
      </c>
      <c r="F425" t="e" cm="1">
        <f t="array" aca="1" ref="F425" ca="1">IF(OR(A425="",B425="safety"),"",IF(ISBLANK(IF(A425=A424+1,F424,INDIRECT("template!"&amp;"D"&amp;A425-1))),"",IF(A425=A424+1,F424,INDIRECT("template!"&amp;"D"&amp;A425-1))))</f>
        <v>#REF!</v>
      </c>
      <c r="G425" t="e" cm="1">
        <f t="array" aca="1" ref="G425" ca="1">IF(OR(A425="",B425="safety"),"",IF(ISBLANK(INDIRECT("template!"&amp;"D"&amp;A425)),"",INDIRECT("template!"&amp;"D"&amp;A425)))</f>
        <v>#REF!</v>
      </c>
      <c r="H425" t="e" cm="1">
        <f t="array" aca="1" ref="H425" ca="1">IF(OR(A425="",B425="safety"),"",IF(ISBLANK(INDIRECT("template!"&amp;"E"&amp;A425)),"",INDIRECT("template!"&amp;"E"&amp;A425)))</f>
        <v>#REF!</v>
      </c>
      <c r="I425" t="e" cm="1">
        <f t="array" aca="1" ref="I425" ca="1">IF(OR(A425="",B425="safety"),"",IF(ISBLANK(INDIRECT("template!"&amp;"F"&amp;A425)),"",INDIRECT("template!"&amp;"F"&amp;A425)))</f>
        <v>#REF!</v>
      </c>
      <c r="J425" t="e" cm="1">
        <f t="array" aca="1" ref="J425" ca="1">IF(OR(A425="",B425="safety"),"",IF(ISBLANK(INDIRECT("template!"&amp;"G"&amp;A425)),"",INDIRECT("template!"&amp;"G"&amp;A425)))</f>
        <v>#REF!</v>
      </c>
      <c r="K425" t="e" cm="1">
        <f t="array" aca="1" ref="K425" ca="1">IF(OR(A425="",B425="safety"),"",IF(ISBLANK(INDIRECT("template!"&amp;"H"&amp;A425)),"",INDIRECT("template!"&amp;"H"&amp;A425)))</f>
        <v>#REF!</v>
      </c>
      <c r="L425" t="e" cm="1">
        <f t="array" aca="1" ref="L425" ca="1">IF(OR(A425="",B425="safety"),"",INDIRECT("template!"&amp;"I"&amp;A425))</f>
        <v>#REF!</v>
      </c>
      <c r="M425" t="e" cm="1">
        <f t="array" aca="1" ref="M425" ca="1">IF(OR(A425="",B425="safety"),"",INDIRECT("template!"&amp;"J"&amp;A425))</f>
        <v>#REF!</v>
      </c>
      <c r="N425" t="e" cm="1">
        <f t="array" aca="1" ref="N425" ca="1">IF(OR(A425="",B425="safety"),"",IF(ISBLANK(INDIRECT("template!"&amp;"K"&amp;A425)),"",INDIRECT("template!"&amp;"K"&amp;A425)))</f>
        <v>#REF!</v>
      </c>
      <c r="O425" t="e" cm="1">
        <f t="array" aca="1" ref="O425" ca="1">IF(OR(A425="",B425="safety"),"",INDIRECT("template!"&amp;"L"&amp;A425))</f>
        <v>#REF!</v>
      </c>
      <c r="P425" t="e" cm="1">
        <f t="array" aca="1" ref="P425" ca="1">IF(OR(A425="",B425="safety"),"",INDIRECT("template!"&amp;"M"&amp;A425))</f>
        <v>#REF!</v>
      </c>
      <c r="Q425" t="e">
        <f t="shared" ca="1" si="34"/>
        <v>#REF!</v>
      </c>
      <c r="R425" t="e">
        <f t="shared" ca="1" si="35"/>
        <v>#REF!</v>
      </c>
      <c r="S425" t="e">
        <f t="shared" ca="1" si="36"/>
        <v>#REF!</v>
      </c>
      <c r="T425" t="e">
        <f t="shared" ca="1" si="37"/>
        <v>#REF!</v>
      </c>
      <c r="U425" t="e" cm="1">
        <f t="array" aca="1" ref="U425" ca="1">IF(A425="","",IF(E425="","",IF(B425="safety",INDIRECT("template!"&amp;"P"&amp;A425),Q425+R425)))</f>
        <v>#REF!</v>
      </c>
      <c r="V425" t="e" cm="1">
        <f t="array" aca="1" ref="V425" ca="1">IF(A425="","",IF(E425="","",IF(B425="safety",INDIRECT("template!"&amp;"P"&amp;A425),S425+T425)))</f>
        <v>#REF!</v>
      </c>
      <c r="W425" t="e">
        <f ca="1">IF(A425="","",IF(E425="","",#REF!))</f>
        <v>#REF!</v>
      </c>
      <c r="X425" t="e">
        <f ca="1">IF(A425="","",IF(E425="","",#REF!))</f>
        <v>#REF!</v>
      </c>
      <c r="Y425" s="39" t="e">
        <f ca="1">IF(A425="","",IF(E425="","",#REF!))</f>
        <v>#REF!</v>
      </c>
      <c r="Z425" t="e">
        <f ca="1">IF(A425="","",IF(E425="","",#REF!))</f>
        <v>#REF!</v>
      </c>
      <c r="AA425" t="e">
        <f ca="1">IF(A425="","",IF(E425="","",#REF!))</f>
        <v>#REF!</v>
      </c>
      <c r="AB425" t="e">
        <f ca="1">IF(A425="","",IF(E425="","",#REF!))</f>
        <v>#REF!</v>
      </c>
      <c r="AC425" t="e">
        <f t="shared" ca="1" si="38"/>
        <v>#REF!</v>
      </c>
    </row>
    <row r="426" spans="1:29" x14ac:dyDescent="0.35">
      <c r="A426" t="e" cm="1">
        <f t="array" aca="1" ref="A426" ca="1">IF(A425="","",IF(OR(AND(A425+1&gt;=$AF$1,A425+1&lt;=$AF$2),AND(A425+1&gt;=$AF$6,A425+1&lt;=$AF$7),AND(A425+1&gt;=$AF$3,A425+1&lt;=$AF$4),AND(A425+1&gt;=$AF$8,A425+1&lt;=$AF$9),A425+1=$AF$5),IF(NOT(ISBLANK(INDIRECT("template!"&amp;"P"&amp;A425+1))),A425+1,IF(NOT(ISBLANK(INDIRECT("template!"&amp;"P"&amp;A425+2))),A425+2,A425+3)),IF(A425=$AF$2,$AF$3,IF(A425=$AF$4,$AF$5,IF(A425=$AF$5,$AF$6,IF(A425=$AF$7,$AF$8,""))))))</f>
        <v>#REF!</v>
      </c>
      <c r="B426" t="e">
        <f t="shared" ca="1" si="33"/>
        <v>#REF!</v>
      </c>
      <c r="C426" t="e" cm="1">
        <f t="array" aca="1" ref="C426" ca="1">IF(A426="","",IF(B426="safety","safety costs",INDIRECT("template!"&amp;"B"&amp;A426)))</f>
        <v>#REF!</v>
      </c>
      <c r="D426" t="e" cm="1">
        <f t="array" aca="1" ref="D426" ca="1">IF(OR(A426="",B426="safety"),"",INDIRECT("template!"&amp;"C"&amp;A426))</f>
        <v>#REF!</v>
      </c>
      <c r="E426" t="e" cm="1">
        <f t="array" aca="1" ref="E426" ca="1">IF(A426="","",IF(OR(A426=A425+1,A426=A425+2),E425,INDIRECT("template!"&amp;"D"&amp;A426-2)))</f>
        <v>#REF!</v>
      </c>
      <c r="F426" t="e" cm="1">
        <f t="array" aca="1" ref="F426" ca="1">IF(OR(A426="",B426="safety"),"",IF(ISBLANK(IF(A426=A425+1,F425,INDIRECT("template!"&amp;"D"&amp;A426-1))),"",IF(A426=A425+1,F425,INDIRECT("template!"&amp;"D"&amp;A426-1))))</f>
        <v>#REF!</v>
      </c>
      <c r="G426" t="e" cm="1">
        <f t="array" aca="1" ref="G426" ca="1">IF(OR(A426="",B426="safety"),"",IF(ISBLANK(INDIRECT("template!"&amp;"D"&amp;A426)),"",INDIRECT("template!"&amp;"D"&amp;A426)))</f>
        <v>#REF!</v>
      </c>
      <c r="H426" t="e" cm="1">
        <f t="array" aca="1" ref="H426" ca="1">IF(OR(A426="",B426="safety"),"",IF(ISBLANK(INDIRECT("template!"&amp;"E"&amp;A426)),"",INDIRECT("template!"&amp;"E"&amp;A426)))</f>
        <v>#REF!</v>
      </c>
      <c r="I426" t="e" cm="1">
        <f t="array" aca="1" ref="I426" ca="1">IF(OR(A426="",B426="safety"),"",IF(ISBLANK(INDIRECT("template!"&amp;"F"&amp;A426)),"",INDIRECT("template!"&amp;"F"&amp;A426)))</f>
        <v>#REF!</v>
      </c>
      <c r="J426" t="e" cm="1">
        <f t="array" aca="1" ref="J426" ca="1">IF(OR(A426="",B426="safety"),"",IF(ISBLANK(INDIRECT("template!"&amp;"G"&amp;A426)),"",INDIRECT("template!"&amp;"G"&amp;A426)))</f>
        <v>#REF!</v>
      </c>
      <c r="K426" t="e" cm="1">
        <f t="array" aca="1" ref="K426" ca="1">IF(OR(A426="",B426="safety"),"",IF(ISBLANK(INDIRECT("template!"&amp;"H"&amp;A426)),"",INDIRECT("template!"&amp;"H"&amp;A426)))</f>
        <v>#REF!</v>
      </c>
      <c r="L426" t="e" cm="1">
        <f t="array" aca="1" ref="L426" ca="1">IF(OR(A426="",B426="safety"),"",INDIRECT("template!"&amp;"I"&amp;A426))</f>
        <v>#REF!</v>
      </c>
      <c r="M426" t="e" cm="1">
        <f t="array" aca="1" ref="M426" ca="1">IF(OR(A426="",B426="safety"),"",INDIRECT("template!"&amp;"J"&amp;A426))</f>
        <v>#REF!</v>
      </c>
      <c r="N426" t="e" cm="1">
        <f t="array" aca="1" ref="N426" ca="1">IF(OR(A426="",B426="safety"),"",IF(ISBLANK(INDIRECT("template!"&amp;"K"&amp;A426)),"",INDIRECT("template!"&amp;"K"&amp;A426)))</f>
        <v>#REF!</v>
      </c>
      <c r="O426" t="e" cm="1">
        <f t="array" aca="1" ref="O426" ca="1">IF(OR(A426="",B426="safety"),"",INDIRECT("template!"&amp;"L"&amp;A426))</f>
        <v>#REF!</v>
      </c>
      <c r="P426" t="e" cm="1">
        <f t="array" aca="1" ref="P426" ca="1">IF(OR(A426="",B426="safety"),"",INDIRECT("template!"&amp;"M"&amp;A426))</f>
        <v>#REF!</v>
      </c>
      <c r="Q426" t="e">
        <f t="shared" ca="1" si="34"/>
        <v>#REF!</v>
      </c>
      <c r="R426" t="e">
        <f t="shared" ca="1" si="35"/>
        <v>#REF!</v>
      </c>
      <c r="S426" t="e">
        <f t="shared" ca="1" si="36"/>
        <v>#REF!</v>
      </c>
      <c r="T426" t="e">
        <f t="shared" ca="1" si="37"/>
        <v>#REF!</v>
      </c>
      <c r="U426" t="e" cm="1">
        <f t="array" aca="1" ref="U426" ca="1">IF(A426="","",IF(E426="","",IF(B426="safety",INDIRECT("template!"&amp;"P"&amp;A426),Q426+R426)))</f>
        <v>#REF!</v>
      </c>
      <c r="V426" t="e" cm="1">
        <f t="array" aca="1" ref="V426" ca="1">IF(A426="","",IF(E426="","",IF(B426="safety",INDIRECT("template!"&amp;"P"&amp;A426),S426+T426)))</f>
        <v>#REF!</v>
      </c>
      <c r="W426" t="e">
        <f ca="1">IF(A426="","",IF(E426="","",#REF!))</f>
        <v>#REF!</v>
      </c>
      <c r="X426" t="e">
        <f ca="1">IF(A426="","",IF(E426="","",#REF!))</f>
        <v>#REF!</v>
      </c>
      <c r="Y426" s="39" t="e">
        <f ca="1">IF(A426="","",IF(E426="","",#REF!))</f>
        <v>#REF!</v>
      </c>
      <c r="Z426" t="e">
        <f ca="1">IF(A426="","",IF(E426="","",#REF!))</f>
        <v>#REF!</v>
      </c>
      <c r="AA426" t="e">
        <f ca="1">IF(A426="","",IF(E426="","",#REF!))</f>
        <v>#REF!</v>
      </c>
      <c r="AB426" t="e">
        <f ca="1">IF(A426="","",IF(E426="","",#REF!))</f>
        <v>#REF!</v>
      </c>
      <c r="AC426" t="e">
        <f t="shared" ca="1" si="38"/>
        <v>#REF!</v>
      </c>
    </row>
    <row r="427" spans="1:29" x14ac:dyDescent="0.35">
      <c r="A427" t="e" cm="1">
        <f t="array" aca="1" ref="A427" ca="1">IF(A426="","",IF(OR(AND(A426+1&gt;=$AF$1,A426+1&lt;=$AF$2),AND(A426+1&gt;=$AF$6,A426+1&lt;=$AF$7),AND(A426+1&gt;=$AF$3,A426+1&lt;=$AF$4),AND(A426+1&gt;=$AF$8,A426+1&lt;=$AF$9),A426+1=$AF$5),IF(NOT(ISBLANK(INDIRECT("template!"&amp;"P"&amp;A426+1))),A426+1,IF(NOT(ISBLANK(INDIRECT("template!"&amp;"P"&amp;A426+2))),A426+2,A426+3)),IF(A426=$AF$2,$AF$3,IF(A426=$AF$4,$AF$5,IF(A426=$AF$5,$AF$6,IF(A426=$AF$7,$AF$8,""))))))</f>
        <v>#REF!</v>
      </c>
      <c r="B427" t="e">
        <f t="shared" ca="1" si="33"/>
        <v>#REF!</v>
      </c>
      <c r="C427" t="e" cm="1">
        <f t="array" aca="1" ref="C427" ca="1">IF(A427="","",IF(B427="safety","safety costs",INDIRECT("template!"&amp;"B"&amp;A427)))</f>
        <v>#REF!</v>
      </c>
      <c r="D427" t="e" cm="1">
        <f t="array" aca="1" ref="D427" ca="1">IF(OR(A427="",B427="safety"),"",INDIRECT("template!"&amp;"C"&amp;A427))</f>
        <v>#REF!</v>
      </c>
      <c r="E427" t="e" cm="1">
        <f t="array" aca="1" ref="E427" ca="1">IF(A427="","",IF(OR(A427=A426+1,A427=A426+2),E426,INDIRECT("template!"&amp;"D"&amp;A427-2)))</f>
        <v>#REF!</v>
      </c>
      <c r="F427" t="e" cm="1">
        <f t="array" aca="1" ref="F427" ca="1">IF(OR(A427="",B427="safety"),"",IF(ISBLANK(IF(A427=A426+1,F426,INDIRECT("template!"&amp;"D"&amp;A427-1))),"",IF(A427=A426+1,F426,INDIRECT("template!"&amp;"D"&amp;A427-1))))</f>
        <v>#REF!</v>
      </c>
      <c r="G427" t="e" cm="1">
        <f t="array" aca="1" ref="G427" ca="1">IF(OR(A427="",B427="safety"),"",IF(ISBLANK(INDIRECT("template!"&amp;"D"&amp;A427)),"",INDIRECT("template!"&amp;"D"&amp;A427)))</f>
        <v>#REF!</v>
      </c>
      <c r="H427" t="e" cm="1">
        <f t="array" aca="1" ref="H427" ca="1">IF(OR(A427="",B427="safety"),"",IF(ISBLANK(INDIRECT("template!"&amp;"E"&amp;A427)),"",INDIRECT("template!"&amp;"E"&amp;A427)))</f>
        <v>#REF!</v>
      </c>
      <c r="I427" t="e" cm="1">
        <f t="array" aca="1" ref="I427" ca="1">IF(OR(A427="",B427="safety"),"",IF(ISBLANK(INDIRECT("template!"&amp;"F"&amp;A427)),"",INDIRECT("template!"&amp;"F"&amp;A427)))</f>
        <v>#REF!</v>
      </c>
      <c r="J427" t="e" cm="1">
        <f t="array" aca="1" ref="J427" ca="1">IF(OR(A427="",B427="safety"),"",IF(ISBLANK(INDIRECT("template!"&amp;"G"&amp;A427)),"",INDIRECT("template!"&amp;"G"&amp;A427)))</f>
        <v>#REF!</v>
      </c>
      <c r="K427" t="e" cm="1">
        <f t="array" aca="1" ref="K427" ca="1">IF(OR(A427="",B427="safety"),"",IF(ISBLANK(INDIRECT("template!"&amp;"H"&amp;A427)),"",INDIRECT("template!"&amp;"H"&amp;A427)))</f>
        <v>#REF!</v>
      </c>
      <c r="L427" t="e" cm="1">
        <f t="array" aca="1" ref="L427" ca="1">IF(OR(A427="",B427="safety"),"",INDIRECT("template!"&amp;"I"&amp;A427))</f>
        <v>#REF!</v>
      </c>
      <c r="M427" t="e" cm="1">
        <f t="array" aca="1" ref="M427" ca="1">IF(OR(A427="",B427="safety"),"",INDIRECT("template!"&amp;"J"&amp;A427))</f>
        <v>#REF!</v>
      </c>
      <c r="N427" t="e" cm="1">
        <f t="array" aca="1" ref="N427" ca="1">IF(OR(A427="",B427="safety"),"",IF(ISBLANK(INDIRECT("template!"&amp;"K"&amp;A427)),"",INDIRECT("template!"&amp;"K"&amp;A427)))</f>
        <v>#REF!</v>
      </c>
      <c r="O427" t="e" cm="1">
        <f t="array" aca="1" ref="O427" ca="1">IF(OR(A427="",B427="safety"),"",INDIRECT("template!"&amp;"L"&amp;A427))</f>
        <v>#REF!</v>
      </c>
      <c r="P427" t="e" cm="1">
        <f t="array" aca="1" ref="P427" ca="1">IF(OR(A427="",B427="safety"),"",INDIRECT("template!"&amp;"M"&amp;A427))</f>
        <v>#REF!</v>
      </c>
      <c r="Q427" t="e">
        <f t="shared" ca="1" si="34"/>
        <v>#REF!</v>
      </c>
      <c r="R427" t="e">
        <f t="shared" ca="1" si="35"/>
        <v>#REF!</v>
      </c>
      <c r="S427" t="e">
        <f t="shared" ca="1" si="36"/>
        <v>#REF!</v>
      </c>
      <c r="T427" t="e">
        <f t="shared" ca="1" si="37"/>
        <v>#REF!</v>
      </c>
      <c r="U427" t="e" cm="1">
        <f t="array" aca="1" ref="U427" ca="1">IF(A427="","",IF(E427="","",IF(B427="safety",INDIRECT("template!"&amp;"P"&amp;A427),Q427+R427)))</f>
        <v>#REF!</v>
      </c>
      <c r="V427" t="e" cm="1">
        <f t="array" aca="1" ref="V427" ca="1">IF(A427="","",IF(E427="","",IF(B427="safety",INDIRECT("template!"&amp;"P"&amp;A427),S427+T427)))</f>
        <v>#REF!</v>
      </c>
      <c r="W427" t="e">
        <f ca="1">IF(A427="","",IF(E427="","",#REF!))</f>
        <v>#REF!</v>
      </c>
      <c r="X427" t="e">
        <f ca="1">IF(A427="","",IF(E427="","",#REF!))</f>
        <v>#REF!</v>
      </c>
      <c r="Y427" s="39" t="e">
        <f ca="1">IF(A427="","",IF(E427="","",#REF!))</f>
        <v>#REF!</v>
      </c>
      <c r="Z427" t="e">
        <f ca="1">IF(A427="","",IF(E427="","",#REF!))</f>
        <v>#REF!</v>
      </c>
      <c r="AA427" t="e">
        <f ca="1">IF(A427="","",IF(E427="","",#REF!))</f>
        <v>#REF!</v>
      </c>
      <c r="AB427" t="e">
        <f ca="1">IF(A427="","",IF(E427="","",#REF!))</f>
        <v>#REF!</v>
      </c>
      <c r="AC427" t="e">
        <f t="shared" ca="1" si="38"/>
        <v>#REF!</v>
      </c>
    </row>
    <row r="428" spans="1:29" x14ac:dyDescent="0.35">
      <c r="A428" t="e" cm="1">
        <f t="array" aca="1" ref="A428" ca="1">IF(A427="","",IF(OR(AND(A427+1&gt;=$AF$1,A427+1&lt;=$AF$2),AND(A427+1&gt;=$AF$6,A427+1&lt;=$AF$7),AND(A427+1&gt;=$AF$3,A427+1&lt;=$AF$4),AND(A427+1&gt;=$AF$8,A427+1&lt;=$AF$9),A427+1=$AF$5),IF(NOT(ISBLANK(INDIRECT("template!"&amp;"P"&amp;A427+1))),A427+1,IF(NOT(ISBLANK(INDIRECT("template!"&amp;"P"&amp;A427+2))),A427+2,A427+3)),IF(A427=$AF$2,$AF$3,IF(A427=$AF$4,$AF$5,IF(A427=$AF$5,$AF$6,IF(A427=$AF$7,$AF$8,""))))))</f>
        <v>#REF!</v>
      </c>
      <c r="B428" t="e">
        <f t="shared" ca="1" si="33"/>
        <v>#REF!</v>
      </c>
      <c r="C428" t="e" cm="1">
        <f t="array" aca="1" ref="C428" ca="1">IF(A428="","",IF(B428="safety","safety costs",INDIRECT("template!"&amp;"B"&amp;A428)))</f>
        <v>#REF!</v>
      </c>
      <c r="D428" t="e" cm="1">
        <f t="array" aca="1" ref="D428" ca="1">IF(OR(A428="",B428="safety"),"",INDIRECT("template!"&amp;"C"&amp;A428))</f>
        <v>#REF!</v>
      </c>
      <c r="E428" t="e" cm="1">
        <f t="array" aca="1" ref="E428" ca="1">IF(A428="","",IF(OR(A428=A427+1,A428=A427+2),E427,INDIRECT("template!"&amp;"D"&amp;A428-2)))</f>
        <v>#REF!</v>
      </c>
      <c r="F428" t="e" cm="1">
        <f t="array" aca="1" ref="F428" ca="1">IF(OR(A428="",B428="safety"),"",IF(ISBLANK(IF(A428=A427+1,F427,INDIRECT("template!"&amp;"D"&amp;A428-1))),"",IF(A428=A427+1,F427,INDIRECT("template!"&amp;"D"&amp;A428-1))))</f>
        <v>#REF!</v>
      </c>
      <c r="G428" t="e" cm="1">
        <f t="array" aca="1" ref="G428" ca="1">IF(OR(A428="",B428="safety"),"",IF(ISBLANK(INDIRECT("template!"&amp;"D"&amp;A428)),"",INDIRECT("template!"&amp;"D"&amp;A428)))</f>
        <v>#REF!</v>
      </c>
      <c r="H428" t="e" cm="1">
        <f t="array" aca="1" ref="H428" ca="1">IF(OR(A428="",B428="safety"),"",IF(ISBLANK(INDIRECT("template!"&amp;"E"&amp;A428)),"",INDIRECT("template!"&amp;"E"&amp;A428)))</f>
        <v>#REF!</v>
      </c>
      <c r="I428" t="e" cm="1">
        <f t="array" aca="1" ref="I428" ca="1">IF(OR(A428="",B428="safety"),"",IF(ISBLANK(INDIRECT("template!"&amp;"F"&amp;A428)),"",INDIRECT("template!"&amp;"F"&amp;A428)))</f>
        <v>#REF!</v>
      </c>
      <c r="J428" t="e" cm="1">
        <f t="array" aca="1" ref="J428" ca="1">IF(OR(A428="",B428="safety"),"",IF(ISBLANK(INDIRECT("template!"&amp;"G"&amp;A428)),"",INDIRECT("template!"&amp;"G"&amp;A428)))</f>
        <v>#REF!</v>
      </c>
      <c r="K428" t="e" cm="1">
        <f t="array" aca="1" ref="K428" ca="1">IF(OR(A428="",B428="safety"),"",IF(ISBLANK(INDIRECT("template!"&amp;"H"&amp;A428)),"",INDIRECT("template!"&amp;"H"&amp;A428)))</f>
        <v>#REF!</v>
      </c>
      <c r="L428" t="e" cm="1">
        <f t="array" aca="1" ref="L428" ca="1">IF(OR(A428="",B428="safety"),"",INDIRECT("template!"&amp;"I"&amp;A428))</f>
        <v>#REF!</v>
      </c>
      <c r="M428" t="e" cm="1">
        <f t="array" aca="1" ref="M428" ca="1">IF(OR(A428="",B428="safety"),"",INDIRECT("template!"&amp;"J"&amp;A428))</f>
        <v>#REF!</v>
      </c>
      <c r="N428" t="e" cm="1">
        <f t="array" aca="1" ref="N428" ca="1">IF(OR(A428="",B428="safety"),"",IF(ISBLANK(INDIRECT("template!"&amp;"K"&amp;A428)),"",INDIRECT("template!"&amp;"K"&amp;A428)))</f>
        <v>#REF!</v>
      </c>
      <c r="O428" t="e" cm="1">
        <f t="array" aca="1" ref="O428" ca="1">IF(OR(A428="",B428="safety"),"",INDIRECT("template!"&amp;"L"&amp;A428))</f>
        <v>#REF!</v>
      </c>
      <c r="P428" t="e" cm="1">
        <f t="array" aca="1" ref="P428" ca="1">IF(OR(A428="",B428="safety"),"",INDIRECT("template!"&amp;"M"&amp;A428))</f>
        <v>#REF!</v>
      </c>
      <c r="Q428" t="e">
        <f t="shared" ca="1" si="34"/>
        <v>#REF!</v>
      </c>
      <c r="R428" t="e">
        <f t="shared" ca="1" si="35"/>
        <v>#REF!</v>
      </c>
      <c r="S428" t="e">
        <f t="shared" ca="1" si="36"/>
        <v>#REF!</v>
      </c>
      <c r="T428" t="e">
        <f t="shared" ca="1" si="37"/>
        <v>#REF!</v>
      </c>
      <c r="U428" t="e" cm="1">
        <f t="array" aca="1" ref="U428" ca="1">IF(A428="","",IF(E428="","",IF(B428="safety",INDIRECT("template!"&amp;"P"&amp;A428),Q428+R428)))</f>
        <v>#REF!</v>
      </c>
      <c r="V428" t="e" cm="1">
        <f t="array" aca="1" ref="V428" ca="1">IF(A428="","",IF(E428="","",IF(B428="safety",INDIRECT("template!"&amp;"P"&amp;A428),S428+T428)))</f>
        <v>#REF!</v>
      </c>
      <c r="W428" t="e">
        <f ca="1">IF(A428="","",IF(E428="","",#REF!))</f>
        <v>#REF!</v>
      </c>
      <c r="X428" t="e">
        <f ca="1">IF(A428="","",IF(E428="","",#REF!))</f>
        <v>#REF!</v>
      </c>
      <c r="Y428" s="39" t="e">
        <f ca="1">IF(A428="","",IF(E428="","",#REF!))</f>
        <v>#REF!</v>
      </c>
      <c r="Z428" t="e">
        <f ca="1">IF(A428="","",IF(E428="","",#REF!))</f>
        <v>#REF!</v>
      </c>
      <c r="AA428" t="e">
        <f ca="1">IF(A428="","",IF(E428="","",#REF!))</f>
        <v>#REF!</v>
      </c>
      <c r="AB428" t="e">
        <f ca="1">IF(A428="","",IF(E428="","",#REF!))</f>
        <v>#REF!</v>
      </c>
      <c r="AC428" t="e">
        <f t="shared" ca="1" si="38"/>
        <v>#REF!</v>
      </c>
    </row>
    <row r="429" spans="1:29" x14ac:dyDescent="0.35">
      <c r="A429" t="e" cm="1">
        <f t="array" aca="1" ref="A429" ca="1">IF(A428="","",IF(OR(AND(A428+1&gt;=$AF$1,A428+1&lt;=$AF$2),AND(A428+1&gt;=$AF$6,A428+1&lt;=$AF$7),AND(A428+1&gt;=$AF$3,A428+1&lt;=$AF$4),AND(A428+1&gt;=$AF$8,A428+1&lt;=$AF$9),A428+1=$AF$5),IF(NOT(ISBLANK(INDIRECT("template!"&amp;"P"&amp;A428+1))),A428+1,IF(NOT(ISBLANK(INDIRECT("template!"&amp;"P"&amp;A428+2))),A428+2,A428+3)),IF(A428=$AF$2,$AF$3,IF(A428=$AF$4,$AF$5,IF(A428=$AF$5,$AF$6,IF(A428=$AF$7,$AF$8,""))))))</f>
        <v>#REF!</v>
      </c>
      <c r="B429" t="e">
        <f t="shared" ca="1" si="33"/>
        <v>#REF!</v>
      </c>
      <c r="C429" t="e" cm="1">
        <f t="array" aca="1" ref="C429" ca="1">IF(A429="","",IF(B429="safety","safety costs",INDIRECT("template!"&amp;"B"&amp;A429)))</f>
        <v>#REF!</v>
      </c>
      <c r="D429" t="e" cm="1">
        <f t="array" aca="1" ref="D429" ca="1">IF(OR(A429="",B429="safety"),"",INDIRECT("template!"&amp;"C"&amp;A429))</f>
        <v>#REF!</v>
      </c>
      <c r="E429" t="e" cm="1">
        <f t="array" aca="1" ref="E429" ca="1">IF(A429="","",IF(OR(A429=A428+1,A429=A428+2),E428,INDIRECT("template!"&amp;"D"&amp;A429-2)))</f>
        <v>#REF!</v>
      </c>
      <c r="F429" t="e" cm="1">
        <f t="array" aca="1" ref="F429" ca="1">IF(OR(A429="",B429="safety"),"",IF(ISBLANK(IF(A429=A428+1,F428,INDIRECT("template!"&amp;"D"&amp;A429-1))),"",IF(A429=A428+1,F428,INDIRECT("template!"&amp;"D"&amp;A429-1))))</f>
        <v>#REF!</v>
      </c>
      <c r="G429" t="e" cm="1">
        <f t="array" aca="1" ref="G429" ca="1">IF(OR(A429="",B429="safety"),"",IF(ISBLANK(INDIRECT("template!"&amp;"D"&amp;A429)),"",INDIRECT("template!"&amp;"D"&amp;A429)))</f>
        <v>#REF!</v>
      </c>
      <c r="H429" t="e" cm="1">
        <f t="array" aca="1" ref="H429" ca="1">IF(OR(A429="",B429="safety"),"",IF(ISBLANK(INDIRECT("template!"&amp;"E"&amp;A429)),"",INDIRECT("template!"&amp;"E"&amp;A429)))</f>
        <v>#REF!</v>
      </c>
      <c r="I429" t="e" cm="1">
        <f t="array" aca="1" ref="I429" ca="1">IF(OR(A429="",B429="safety"),"",IF(ISBLANK(INDIRECT("template!"&amp;"F"&amp;A429)),"",INDIRECT("template!"&amp;"F"&amp;A429)))</f>
        <v>#REF!</v>
      </c>
      <c r="J429" t="e" cm="1">
        <f t="array" aca="1" ref="J429" ca="1">IF(OR(A429="",B429="safety"),"",IF(ISBLANK(INDIRECT("template!"&amp;"G"&amp;A429)),"",INDIRECT("template!"&amp;"G"&amp;A429)))</f>
        <v>#REF!</v>
      </c>
      <c r="K429" t="e" cm="1">
        <f t="array" aca="1" ref="K429" ca="1">IF(OR(A429="",B429="safety"),"",IF(ISBLANK(INDIRECT("template!"&amp;"H"&amp;A429)),"",INDIRECT("template!"&amp;"H"&amp;A429)))</f>
        <v>#REF!</v>
      </c>
      <c r="L429" t="e" cm="1">
        <f t="array" aca="1" ref="L429" ca="1">IF(OR(A429="",B429="safety"),"",INDIRECT("template!"&amp;"I"&amp;A429))</f>
        <v>#REF!</v>
      </c>
      <c r="M429" t="e" cm="1">
        <f t="array" aca="1" ref="M429" ca="1">IF(OR(A429="",B429="safety"),"",INDIRECT("template!"&amp;"J"&amp;A429))</f>
        <v>#REF!</v>
      </c>
      <c r="N429" t="e" cm="1">
        <f t="array" aca="1" ref="N429" ca="1">IF(OR(A429="",B429="safety"),"",IF(ISBLANK(INDIRECT("template!"&amp;"K"&amp;A429)),"",INDIRECT("template!"&amp;"K"&amp;A429)))</f>
        <v>#REF!</v>
      </c>
      <c r="O429" t="e" cm="1">
        <f t="array" aca="1" ref="O429" ca="1">IF(OR(A429="",B429="safety"),"",INDIRECT("template!"&amp;"L"&amp;A429))</f>
        <v>#REF!</v>
      </c>
      <c r="P429" t="e" cm="1">
        <f t="array" aca="1" ref="P429" ca="1">IF(OR(A429="",B429="safety"),"",INDIRECT("template!"&amp;"M"&amp;A429))</f>
        <v>#REF!</v>
      </c>
      <c r="Q429" t="e">
        <f t="shared" ca="1" si="34"/>
        <v>#REF!</v>
      </c>
      <c r="R429" t="e">
        <f t="shared" ca="1" si="35"/>
        <v>#REF!</v>
      </c>
      <c r="S429" t="e">
        <f t="shared" ca="1" si="36"/>
        <v>#REF!</v>
      </c>
      <c r="T429" t="e">
        <f t="shared" ca="1" si="37"/>
        <v>#REF!</v>
      </c>
      <c r="U429" t="e" cm="1">
        <f t="array" aca="1" ref="U429" ca="1">IF(A429="","",IF(E429="","",IF(B429="safety",INDIRECT("template!"&amp;"P"&amp;A429),Q429+R429)))</f>
        <v>#REF!</v>
      </c>
      <c r="V429" t="e" cm="1">
        <f t="array" aca="1" ref="V429" ca="1">IF(A429="","",IF(E429="","",IF(B429="safety",INDIRECT("template!"&amp;"P"&amp;A429),S429+T429)))</f>
        <v>#REF!</v>
      </c>
      <c r="W429" t="e">
        <f ca="1">IF(A429="","",IF(E429="","",#REF!))</f>
        <v>#REF!</v>
      </c>
      <c r="X429" t="e">
        <f ca="1">IF(A429="","",IF(E429="","",#REF!))</f>
        <v>#REF!</v>
      </c>
      <c r="Y429" s="39" t="e">
        <f ca="1">IF(A429="","",IF(E429="","",#REF!))</f>
        <v>#REF!</v>
      </c>
      <c r="Z429" t="e">
        <f ca="1">IF(A429="","",IF(E429="","",#REF!))</f>
        <v>#REF!</v>
      </c>
      <c r="AA429" t="e">
        <f ca="1">IF(A429="","",IF(E429="","",#REF!))</f>
        <v>#REF!</v>
      </c>
      <c r="AB429" t="e">
        <f ca="1">IF(A429="","",IF(E429="","",#REF!))</f>
        <v>#REF!</v>
      </c>
      <c r="AC429" t="e">
        <f t="shared" ca="1" si="38"/>
        <v>#REF!</v>
      </c>
    </row>
    <row r="430" spans="1:29" x14ac:dyDescent="0.35">
      <c r="A430" t="e" cm="1">
        <f t="array" aca="1" ref="A430" ca="1">IF(A429="","",IF(OR(AND(A429+1&gt;=$AF$1,A429+1&lt;=$AF$2),AND(A429+1&gt;=$AF$6,A429+1&lt;=$AF$7),AND(A429+1&gt;=$AF$3,A429+1&lt;=$AF$4),AND(A429+1&gt;=$AF$8,A429+1&lt;=$AF$9),A429+1=$AF$5),IF(NOT(ISBLANK(INDIRECT("template!"&amp;"P"&amp;A429+1))),A429+1,IF(NOT(ISBLANK(INDIRECT("template!"&amp;"P"&amp;A429+2))),A429+2,A429+3)),IF(A429=$AF$2,$AF$3,IF(A429=$AF$4,$AF$5,IF(A429=$AF$5,$AF$6,IF(A429=$AF$7,$AF$8,""))))))</f>
        <v>#REF!</v>
      </c>
      <c r="B430" t="e">
        <f t="shared" ca="1" si="33"/>
        <v>#REF!</v>
      </c>
      <c r="C430" t="e" cm="1">
        <f t="array" aca="1" ref="C430" ca="1">IF(A430="","",IF(B430="safety","safety costs",INDIRECT("template!"&amp;"B"&amp;A430)))</f>
        <v>#REF!</v>
      </c>
      <c r="D430" t="e" cm="1">
        <f t="array" aca="1" ref="D430" ca="1">IF(OR(A430="",B430="safety"),"",INDIRECT("template!"&amp;"C"&amp;A430))</f>
        <v>#REF!</v>
      </c>
      <c r="E430" t="e" cm="1">
        <f t="array" aca="1" ref="E430" ca="1">IF(A430="","",IF(OR(A430=A429+1,A430=A429+2),E429,INDIRECT("template!"&amp;"D"&amp;A430-2)))</f>
        <v>#REF!</v>
      </c>
      <c r="F430" t="e" cm="1">
        <f t="array" aca="1" ref="F430" ca="1">IF(OR(A430="",B430="safety"),"",IF(ISBLANK(IF(A430=A429+1,F429,INDIRECT("template!"&amp;"D"&amp;A430-1))),"",IF(A430=A429+1,F429,INDIRECT("template!"&amp;"D"&amp;A430-1))))</f>
        <v>#REF!</v>
      </c>
      <c r="G430" t="e" cm="1">
        <f t="array" aca="1" ref="G430" ca="1">IF(OR(A430="",B430="safety"),"",IF(ISBLANK(INDIRECT("template!"&amp;"D"&amp;A430)),"",INDIRECT("template!"&amp;"D"&amp;A430)))</f>
        <v>#REF!</v>
      </c>
      <c r="H430" t="e" cm="1">
        <f t="array" aca="1" ref="H430" ca="1">IF(OR(A430="",B430="safety"),"",IF(ISBLANK(INDIRECT("template!"&amp;"E"&amp;A430)),"",INDIRECT("template!"&amp;"E"&amp;A430)))</f>
        <v>#REF!</v>
      </c>
      <c r="I430" t="e" cm="1">
        <f t="array" aca="1" ref="I430" ca="1">IF(OR(A430="",B430="safety"),"",IF(ISBLANK(INDIRECT("template!"&amp;"F"&amp;A430)),"",INDIRECT("template!"&amp;"F"&amp;A430)))</f>
        <v>#REF!</v>
      </c>
      <c r="J430" t="e" cm="1">
        <f t="array" aca="1" ref="J430" ca="1">IF(OR(A430="",B430="safety"),"",IF(ISBLANK(INDIRECT("template!"&amp;"G"&amp;A430)),"",INDIRECT("template!"&amp;"G"&amp;A430)))</f>
        <v>#REF!</v>
      </c>
      <c r="K430" t="e" cm="1">
        <f t="array" aca="1" ref="K430" ca="1">IF(OR(A430="",B430="safety"),"",IF(ISBLANK(INDIRECT("template!"&amp;"H"&amp;A430)),"",INDIRECT("template!"&amp;"H"&amp;A430)))</f>
        <v>#REF!</v>
      </c>
      <c r="L430" t="e" cm="1">
        <f t="array" aca="1" ref="L430" ca="1">IF(OR(A430="",B430="safety"),"",INDIRECT("template!"&amp;"I"&amp;A430))</f>
        <v>#REF!</v>
      </c>
      <c r="M430" t="e" cm="1">
        <f t="array" aca="1" ref="M430" ca="1">IF(OR(A430="",B430="safety"),"",INDIRECT("template!"&amp;"J"&amp;A430))</f>
        <v>#REF!</v>
      </c>
      <c r="N430" t="e" cm="1">
        <f t="array" aca="1" ref="N430" ca="1">IF(OR(A430="",B430="safety"),"",IF(ISBLANK(INDIRECT("template!"&amp;"K"&amp;A430)),"",INDIRECT("template!"&amp;"K"&amp;A430)))</f>
        <v>#REF!</v>
      </c>
      <c r="O430" t="e" cm="1">
        <f t="array" aca="1" ref="O430" ca="1">IF(OR(A430="",B430="safety"),"",INDIRECT("template!"&amp;"L"&amp;A430))</f>
        <v>#REF!</v>
      </c>
      <c r="P430" t="e" cm="1">
        <f t="array" aca="1" ref="P430" ca="1">IF(OR(A430="",B430="safety"),"",INDIRECT("template!"&amp;"M"&amp;A430))</f>
        <v>#REF!</v>
      </c>
      <c r="Q430" t="e">
        <f t="shared" ca="1" si="34"/>
        <v>#REF!</v>
      </c>
      <c r="R430" t="e">
        <f t="shared" ca="1" si="35"/>
        <v>#REF!</v>
      </c>
      <c r="S430" t="e">
        <f t="shared" ca="1" si="36"/>
        <v>#REF!</v>
      </c>
      <c r="T430" t="e">
        <f t="shared" ca="1" si="37"/>
        <v>#REF!</v>
      </c>
      <c r="U430" t="e" cm="1">
        <f t="array" aca="1" ref="U430" ca="1">IF(A430="","",IF(E430="","",IF(B430="safety",INDIRECT("template!"&amp;"P"&amp;A430),Q430+R430)))</f>
        <v>#REF!</v>
      </c>
      <c r="V430" t="e" cm="1">
        <f t="array" aca="1" ref="V430" ca="1">IF(A430="","",IF(E430="","",IF(B430="safety",INDIRECT("template!"&amp;"P"&amp;A430),S430+T430)))</f>
        <v>#REF!</v>
      </c>
      <c r="W430" t="e">
        <f ca="1">IF(A430="","",IF(E430="","",#REF!))</f>
        <v>#REF!</v>
      </c>
      <c r="X430" t="e">
        <f ca="1">IF(A430="","",IF(E430="","",#REF!))</f>
        <v>#REF!</v>
      </c>
      <c r="Y430" s="39" t="e">
        <f ca="1">IF(A430="","",IF(E430="","",#REF!))</f>
        <v>#REF!</v>
      </c>
      <c r="Z430" t="e">
        <f ca="1">IF(A430="","",IF(E430="","",#REF!))</f>
        <v>#REF!</v>
      </c>
      <c r="AA430" t="e">
        <f ca="1">IF(A430="","",IF(E430="","",#REF!))</f>
        <v>#REF!</v>
      </c>
      <c r="AB430" t="e">
        <f ca="1">IF(A430="","",IF(E430="","",#REF!))</f>
        <v>#REF!</v>
      </c>
      <c r="AC430" t="e">
        <f t="shared" ca="1" si="38"/>
        <v>#REF!</v>
      </c>
    </row>
    <row r="431" spans="1:29" x14ac:dyDescent="0.35">
      <c r="A431" t="e" cm="1">
        <f t="array" aca="1" ref="A431" ca="1">IF(A430="","",IF(OR(AND(A430+1&gt;=$AF$1,A430+1&lt;=$AF$2),AND(A430+1&gt;=$AF$6,A430+1&lt;=$AF$7),AND(A430+1&gt;=$AF$3,A430+1&lt;=$AF$4),AND(A430+1&gt;=$AF$8,A430+1&lt;=$AF$9),A430+1=$AF$5),IF(NOT(ISBLANK(INDIRECT("template!"&amp;"P"&amp;A430+1))),A430+1,IF(NOT(ISBLANK(INDIRECT("template!"&amp;"P"&amp;A430+2))),A430+2,A430+3)),IF(A430=$AF$2,$AF$3,IF(A430=$AF$4,$AF$5,IF(A430=$AF$5,$AF$6,IF(A430=$AF$7,$AF$8,""))))))</f>
        <v>#REF!</v>
      </c>
      <c r="B431" t="e">
        <f t="shared" ca="1" si="33"/>
        <v>#REF!</v>
      </c>
      <c r="C431" t="e" cm="1">
        <f t="array" aca="1" ref="C431" ca="1">IF(A431="","",IF(B431="safety","safety costs",INDIRECT("template!"&amp;"B"&amp;A431)))</f>
        <v>#REF!</v>
      </c>
      <c r="D431" t="e" cm="1">
        <f t="array" aca="1" ref="D431" ca="1">IF(OR(A431="",B431="safety"),"",INDIRECT("template!"&amp;"C"&amp;A431))</f>
        <v>#REF!</v>
      </c>
      <c r="E431" t="e" cm="1">
        <f t="array" aca="1" ref="E431" ca="1">IF(A431="","",IF(OR(A431=A430+1,A431=A430+2),E430,INDIRECT("template!"&amp;"D"&amp;A431-2)))</f>
        <v>#REF!</v>
      </c>
      <c r="F431" t="e" cm="1">
        <f t="array" aca="1" ref="F431" ca="1">IF(OR(A431="",B431="safety"),"",IF(ISBLANK(IF(A431=A430+1,F430,INDIRECT("template!"&amp;"D"&amp;A431-1))),"",IF(A431=A430+1,F430,INDIRECT("template!"&amp;"D"&amp;A431-1))))</f>
        <v>#REF!</v>
      </c>
      <c r="G431" t="e" cm="1">
        <f t="array" aca="1" ref="G431" ca="1">IF(OR(A431="",B431="safety"),"",IF(ISBLANK(INDIRECT("template!"&amp;"D"&amp;A431)),"",INDIRECT("template!"&amp;"D"&amp;A431)))</f>
        <v>#REF!</v>
      </c>
      <c r="H431" t="e" cm="1">
        <f t="array" aca="1" ref="H431" ca="1">IF(OR(A431="",B431="safety"),"",IF(ISBLANK(INDIRECT("template!"&amp;"E"&amp;A431)),"",INDIRECT("template!"&amp;"E"&amp;A431)))</f>
        <v>#REF!</v>
      </c>
      <c r="I431" t="e" cm="1">
        <f t="array" aca="1" ref="I431" ca="1">IF(OR(A431="",B431="safety"),"",IF(ISBLANK(INDIRECT("template!"&amp;"F"&amp;A431)),"",INDIRECT("template!"&amp;"F"&amp;A431)))</f>
        <v>#REF!</v>
      </c>
      <c r="J431" t="e" cm="1">
        <f t="array" aca="1" ref="J431" ca="1">IF(OR(A431="",B431="safety"),"",IF(ISBLANK(INDIRECT("template!"&amp;"G"&amp;A431)),"",INDIRECT("template!"&amp;"G"&amp;A431)))</f>
        <v>#REF!</v>
      </c>
      <c r="K431" t="e" cm="1">
        <f t="array" aca="1" ref="K431" ca="1">IF(OR(A431="",B431="safety"),"",IF(ISBLANK(INDIRECT("template!"&amp;"H"&amp;A431)),"",INDIRECT("template!"&amp;"H"&amp;A431)))</f>
        <v>#REF!</v>
      </c>
      <c r="L431" t="e" cm="1">
        <f t="array" aca="1" ref="L431" ca="1">IF(OR(A431="",B431="safety"),"",INDIRECT("template!"&amp;"I"&amp;A431))</f>
        <v>#REF!</v>
      </c>
      <c r="M431" t="e" cm="1">
        <f t="array" aca="1" ref="M431" ca="1">IF(OR(A431="",B431="safety"),"",INDIRECT("template!"&amp;"J"&amp;A431))</f>
        <v>#REF!</v>
      </c>
      <c r="N431" t="e" cm="1">
        <f t="array" aca="1" ref="N431" ca="1">IF(OR(A431="",B431="safety"),"",IF(ISBLANK(INDIRECT("template!"&amp;"K"&amp;A431)),"",INDIRECT("template!"&amp;"K"&amp;A431)))</f>
        <v>#REF!</v>
      </c>
      <c r="O431" t="e" cm="1">
        <f t="array" aca="1" ref="O431" ca="1">IF(OR(A431="",B431="safety"),"",INDIRECT("template!"&amp;"L"&amp;A431))</f>
        <v>#REF!</v>
      </c>
      <c r="P431" t="e" cm="1">
        <f t="array" aca="1" ref="P431" ca="1">IF(OR(A431="",B431="safety"),"",INDIRECT("template!"&amp;"M"&amp;A431))</f>
        <v>#REF!</v>
      </c>
      <c r="Q431" t="e">
        <f t="shared" ca="1" si="34"/>
        <v>#REF!</v>
      </c>
      <c r="R431" t="e">
        <f t="shared" ca="1" si="35"/>
        <v>#REF!</v>
      </c>
      <c r="S431" t="e">
        <f t="shared" ca="1" si="36"/>
        <v>#REF!</v>
      </c>
      <c r="T431" t="e">
        <f t="shared" ca="1" si="37"/>
        <v>#REF!</v>
      </c>
      <c r="U431" t="e" cm="1">
        <f t="array" aca="1" ref="U431" ca="1">IF(A431="","",IF(E431="","",IF(B431="safety",INDIRECT("template!"&amp;"P"&amp;A431),Q431+R431)))</f>
        <v>#REF!</v>
      </c>
      <c r="V431" t="e" cm="1">
        <f t="array" aca="1" ref="V431" ca="1">IF(A431="","",IF(E431="","",IF(B431="safety",INDIRECT("template!"&amp;"P"&amp;A431),S431+T431)))</f>
        <v>#REF!</v>
      </c>
      <c r="W431" t="e">
        <f ca="1">IF(A431="","",IF(E431="","",#REF!))</f>
        <v>#REF!</v>
      </c>
      <c r="X431" t="e">
        <f ca="1">IF(A431="","",IF(E431="","",#REF!))</f>
        <v>#REF!</v>
      </c>
      <c r="Y431" s="39" t="e">
        <f ca="1">IF(A431="","",IF(E431="","",#REF!))</f>
        <v>#REF!</v>
      </c>
      <c r="Z431" t="e">
        <f ca="1">IF(A431="","",IF(E431="","",#REF!))</f>
        <v>#REF!</v>
      </c>
      <c r="AA431" t="e">
        <f ca="1">IF(A431="","",IF(E431="","",#REF!))</f>
        <v>#REF!</v>
      </c>
      <c r="AB431" t="e">
        <f ca="1">IF(A431="","",IF(E431="","",#REF!))</f>
        <v>#REF!</v>
      </c>
      <c r="AC431" t="e">
        <f t="shared" ca="1" si="38"/>
        <v>#REF!</v>
      </c>
    </row>
    <row r="432" spans="1:29" x14ac:dyDescent="0.35">
      <c r="A432" t="e" cm="1">
        <f t="array" aca="1" ref="A432" ca="1">IF(A431="","",IF(OR(AND(A431+1&gt;=$AF$1,A431+1&lt;=$AF$2),AND(A431+1&gt;=$AF$6,A431+1&lt;=$AF$7),AND(A431+1&gt;=$AF$3,A431+1&lt;=$AF$4),AND(A431+1&gt;=$AF$8,A431+1&lt;=$AF$9),A431+1=$AF$5),IF(NOT(ISBLANK(INDIRECT("template!"&amp;"P"&amp;A431+1))),A431+1,IF(NOT(ISBLANK(INDIRECT("template!"&amp;"P"&amp;A431+2))),A431+2,A431+3)),IF(A431=$AF$2,$AF$3,IF(A431=$AF$4,$AF$5,IF(A431=$AF$5,$AF$6,IF(A431=$AF$7,$AF$8,""))))))</f>
        <v>#REF!</v>
      </c>
      <c r="B432" t="e">
        <f t="shared" ca="1" si="33"/>
        <v>#REF!</v>
      </c>
      <c r="C432" t="e" cm="1">
        <f t="array" aca="1" ref="C432" ca="1">IF(A432="","",IF(B432="safety","safety costs",INDIRECT("template!"&amp;"B"&amp;A432)))</f>
        <v>#REF!</v>
      </c>
      <c r="D432" t="e" cm="1">
        <f t="array" aca="1" ref="D432" ca="1">IF(OR(A432="",B432="safety"),"",INDIRECT("template!"&amp;"C"&amp;A432))</f>
        <v>#REF!</v>
      </c>
      <c r="E432" t="e" cm="1">
        <f t="array" aca="1" ref="E432" ca="1">IF(A432="","",IF(OR(A432=A431+1,A432=A431+2),E431,INDIRECT("template!"&amp;"D"&amp;A432-2)))</f>
        <v>#REF!</v>
      </c>
      <c r="F432" t="e" cm="1">
        <f t="array" aca="1" ref="F432" ca="1">IF(OR(A432="",B432="safety"),"",IF(ISBLANK(IF(A432=A431+1,F431,INDIRECT("template!"&amp;"D"&amp;A432-1))),"",IF(A432=A431+1,F431,INDIRECT("template!"&amp;"D"&amp;A432-1))))</f>
        <v>#REF!</v>
      </c>
      <c r="G432" t="e" cm="1">
        <f t="array" aca="1" ref="G432" ca="1">IF(OR(A432="",B432="safety"),"",IF(ISBLANK(INDIRECT("template!"&amp;"D"&amp;A432)),"",INDIRECT("template!"&amp;"D"&amp;A432)))</f>
        <v>#REF!</v>
      </c>
      <c r="H432" t="e" cm="1">
        <f t="array" aca="1" ref="H432" ca="1">IF(OR(A432="",B432="safety"),"",IF(ISBLANK(INDIRECT("template!"&amp;"E"&amp;A432)),"",INDIRECT("template!"&amp;"E"&amp;A432)))</f>
        <v>#REF!</v>
      </c>
      <c r="I432" t="e" cm="1">
        <f t="array" aca="1" ref="I432" ca="1">IF(OR(A432="",B432="safety"),"",IF(ISBLANK(INDIRECT("template!"&amp;"F"&amp;A432)),"",INDIRECT("template!"&amp;"F"&amp;A432)))</f>
        <v>#REF!</v>
      </c>
      <c r="J432" t="e" cm="1">
        <f t="array" aca="1" ref="J432" ca="1">IF(OR(A432="",B432="safety"),"",IF(ISBLANK(INDIRECT("template!"&amp;"G"&amp;A432)),"",INDIRECT("template!"&amp;"G"&amp;A432)))</f>
        <v>#REF!</v>
      </c>
      <c r="K432" t="e" cm="1">
        <f t="array" aca="1" ref="K432" ca="1">IF(OR(A432="",B432="safety"),"",IF(ISBLANK(INDIRECT("template!"&amp;"H"&amp;A432)),"",INDIRECT("template!"&amp;"H"&amp;A432)))</f>
        <v>#REF!</v>
      </c>
      <c r="L432" t="e" cm="1">
        <f t="array" aca="1" ref="L432" ca="1">IF(OR(A432="",B432="safety"),"",INDIRECT("template!"&amp;"I"&amp;A432))</f>
        <v>#REF!</v>
      </c>
      <c r="M432" t="e" cm="1">
        <f t="array" aca="1" ref="M432" ca="1">IF(OR(A432="",B432="safety"),"",INDIRECT("template!"&amp;"J"&amp;A432))</f>
        <v>#REF!</v>
      </c>
      <c r="N432" t="e" cm="1">
        <f t="array" aca="1" ref="N432" ca="1">IF(OR(A432="",B432="safety"),"",IF(ISBLANK(INDIRECT("template!"&amp;"K"&amp;A432)),"",INDIRECT("template!"&amp;"K"&amp;A432)))</f>
        <v>#REF!</v>
      </c>
      <c r="O432" t="e" cm="1">
        <f t="array" aca="1" ref="O432" ca="1">IF(OR(A432="",B432="safety"),"",INDIRECT("template!"&amp;"L"&amp;A432))</f>
        <v>#REF!</v>
      </c>
      <c r="P432" t="e" cm="1">
        <f t="array" aca="1" ref="P432" ca="1">IF(OR(A432="",B432="safety"),"",INDIRECT("template!"&amp;"M"&amp;A432))</f>
        <v>#REF!</v>
      </c>
      <c r="Q432" t="e">
        <f t="shared" ca="1" si="34"/>
        <v>#REF!</v>
      </c>
      <c r="R432" t="e">
        <f t="shared" ca="1" si="35"/>
        <v>#REF!</v>
      </c>
      <c r="S432" t="e">
        <f t="shared" ca="1" si="36"/>
        <v>#REF!</v>
      </c>
      <c r="T432" t="e">
        <f t="shared" ca="1" si="37"/>
        <v>#REF!</v>
      </c>
      <c r="U432" t="e" cm="1">
        <f t="array" aca="1" ref="U432" ca="1">IF(A432="","",IF(E432="","",IF(B432="safety",INDIRECT("template!"&amp;"P"&amp;A432),Q432+R432)))</f>
        <v>#REF!</v>
      </c>
      <c r="V432" t="e" cm="1">
        <f t="array" aca="1" ref="V432" ca="1">IF(A432="","",IF(E432="","",IF(B432="safety",INDIRECT("template!"&amp;"P"&amp;A432),S432+T432)))</f>
        <v>#REF!</v>
      </c>
      <c r="W432" t="e">
        <f ca="1">IF(A432="","",IF(E432="","",#REF!))</f>
        <v>#REF!</v>
      </c>
      <c r="X432" t="e">
        <f ca="1">IF(A432="","",IF(E432="","",#REF!))</f>
        <v>#REF!</v>
      </c>
      <c r="Y432" s="39" t="e">
        <f ca="1">IF(A432="","",IF(E432="","",#REF!))</f>
        <v>#REF!</v>
      </c>
      <c r="Z432" t="e">
        <f ca="1">IF(A432="","",IF(E432="","",#REF!))</f>
        <v>#REF!</v>
      </c>
      <c r="AA432" t="e">
        <f ca="1">IF(A432="","",IF(E432="","",#REF!))</f>
        <v>#REF!</v>
      </c>
      <c r="AB432" t="e">
        <f ca="1">IF(A432="","",IF(E432="","",#REF!))</f>
        <v>#REF!</v>
      </c>
      <c r="AC432" t="e">
        <f t="shared" ca="1" si="38"/>
        <v>#REF!</v>
      </c>
    </row>
    <row r="433" spans="1:29" x14ac:dyDescent="0.35">
      <c r="A433" t="e" cm="1">
        <f t="array" aca="1" ref="A433" ca="1">IF(A432="","",IF(OR(AND(A432+1&gt;=$AF$1,A432+1&lt;=$AF$2),AND(A432+1&gt;=$AF$6,A432+1&lt;=$AF$7),AND(A432+1&gt;=$AF$3,A432+1&lt;=$AF$4),AND(A432+1&gt;=$AF$8,A432+1&lt;=$AF$9),A432+1=$AF$5),IF(NOT(ISBLANK(INDIRECT("template!"&amp;"P"&amp;A432+1))),A432+1,IF(NOT(ISBLANK(INDIRECT("template!"&amp;"P"&amp;A432+2))),A432+2,A432+3)),IF(A432=$AF$2,$AF$3,IF(A432=$AF$4,$AF$5,IF(A432=$AF$5,$AF$6,IF(A432=$AF$7,$AF$8,""))))))</f>
        <v>#REF!</v>
      </c>
      <c r="B433" t="e">
        <f t="shared" ca="1" si="33"/>
        <v>#REF!</v>
      </c>
      <c r="C433" t="e" cm="1">
        <f t="array" aca="1" ref="C433" ca="1">IF(A433="","",IF(B433="safety","safety costs",INDIRECT("template!"&amp;"B"&amp;A433)))</f>
        <v>#REF!</v>
      </c>
      <c r="D433" t="e" cm="1">
        <f t="array" aca="1" ref="D433" ca="1">IF(OR(A433="",B433="safety"),"",INDIRECT("template!"&amp;"C"&amp;A433))</f>
        <v>#REF!</v>
      </c>
      <c r="E433" t="e" cm="1">
        <f t="array" aca="1" ref="E433" ca="1">IF(A433="","",IF(OR(A433=A432+1,A433=A432+2),E432,INDIRECT("template!"&amp;"D"&amp;A433-2)))</f>
        <v>#REF!</v>
      </c>
      <c r="F433" t="e" cm="1">
        <f t="array" aca="1" ref="F433" ca="1">IF(OR(A433="",B433="safety"),"",IF(ISBLANK(IF(A433=A432+1,F432,INDIRECT("template!"&amp;"D"&amp;A433-1))),"",IF(A433=A432+1,F432,INDIRECT("template!"&amp;"D"&amp;A433-1))))</f>
        <v>#REF!</v>
      </c>
      <c r="G433" t="e" cm="1">
        <f t="array" aca="1" ref="G433" ca="1">IF(OR(A433="",B433="safety"),"",IF(ISBLANK(INDIRECT("template!"&amp;"D"&amp;A433)),"",INDIRECT("template!"&amp;"D"&amp;A433)))</f>
        <v>#REF!</v>
      </c>
      <c r="H433" t="e" cm="1">
        <f t="array" aca="1" ref="H433" ca="1">IF(OR(A433="",B433="safety"),"",IF(ISBLANK(INDIRECT("template!"&amp;"E"&amp;A433)),"",INDIRECT("template!"&amp;"E"&amp;A433)))</f>
        <v>#REF!</v>
      </c>
      <c r="I433" t="e" cm="1">
        <f t="array" aca="1" ref="I433" ca="1">IF(OR(A433="",B433="safety"),"",IF(ISBLANK(INDIRECT("template!"&amp;"F"&amp;A433)),"",INDIRECT("template!"&amp;"F"&amp;A433)))</f>
        <v>#REF!</v>
      </c>
      <c r="J433" t="e" cm="1">
        <f t="array" aca="1" ref="J433" ca="1">IF(OR(A433="",B433="safety"),"",IF(ISBLANK(INDIRECT("template!"&amp;"G"&amp;A433)),"",INDIRECT("template!"&amp;"G"&amp;A433)))</f>
        <v>#REF!</v>
      </c>
      <c r="K433" t="e" cm="1">
        <f t="array" aca="1" ref="K433" ca="1">IF(OR(A433="",B433="safety"),"",IF(ISBLANK(INDIRECT("template!"&amp;"H"&amp;A433)),"",INDIRECT("template!"&amp;"H"&amp;A433)))</f>
        <v>#REF!</v>
      </c>
      <c r="L433" t="e" cm="1">
        <f t="array" aca="1" ref="L433" ca="1">IF(OR(A433="",B433="safety"),"",INDIRECT("template!"&amp;"I"&amp;A433))</f>
        <v>#REF!</v>
      </c>
      <c r="M433" t="e" cm="1">
        <f t="array" aca="1" ref="M433" ca="1">IF(OR(A433="",B433="safety"),"",INDIRECT("template!"&amp;"J"&amp;A433))</f>
        <v>#REF!</v>
      </c>
      <c r="N433" t="e" cm="1">
        <f t="array" aca="1" ref="N433" ca="1">IF(OR(A433="",B433="safety"),"",IF(ISBLANK(INDIRECT("template!"&amp;"K"&amp;A433)),"",INDIRECT("template!"&amp;"K"&amp;A433)))</f>
        <v>#REF!</v>
      </c>
      <c r="O433" t="e" cm="1">
        <f t="array" aca="1" ref="O433" ca="1">IF(OR(A433="",B433="safety"),"",INDIRECT("template!"&amp;"L"&amp;A433))</f>
        <v>#REF!</v>
      </c>
      <c r="P433" t="e" cm="1">
        <f t="array" aca="1" ref="P433" ca="1">IF(OR(A433="",B433="safety"),"",INDIRECT("template!"&amp;"M"&amp;A433))</f>
        <v>#REF!</v>
      </c>
      <c r="Q433" t="e">
        <f t="shared" ca="1" si="34"/>
        <v>#REF!</v>
      </c>
      <c r="R433" t="e">
        <f t="shared" ca="1" si="35"/>
        <v>#REF!</v>
      </c>
      <c r="S433" t="e">
        <f t="shared" ca="1" si="36"/>
        <v>#REF!</v>
      </c>
      <c r="T433" t="e">
        <f t="shared" ca="1" si="37"/>
        <v>#REF!</v>
      </c>
      <c r="U433" t="e" cm="1">
        <f t="array" aca="1" ref="U433" ca="1">IF(A433="","",IF(E433="","",IF(B433="safety",INDIRECT("template!"&amp;"P"&amp;A433),Q433+R433)))</f>
        <v>#REF!</v>
      </c>
      <c r="V433" t="e" cm="1">
        <f t="array" aca="1" ref="V433" ca="1">IF(A433="","",IF(E433="","",IF(B433="safety",INDIRECT("template!"&amp;"P"&amp;A433),S433+T433)))</f>
        <v>#REF!</v>
      </c>
      <c r="W433" t="e">
        <f ca="1">IF(A433="","",IF(E433="","",#REF!))</f>
        <v>#REF!</v>
      </c>
      <c r="X433" t="e">
        <f ca="1">IF(A433="","",IF(E433="","",#REF!))</f>
        <v>#REF!</v>
      </c>
      <c r="Y433" s="39" t="e">
        <f ca="1">IF(A433="","",IF(E433="","",#REF!))</f>
        <v>#REF!</v>
      </c>
      <c r="Z433" t="e">
        <f ca="1">IF(A433="","",IF(E433="","",#REF!))</f>
        <v>#REF!</v>
      </c>
      <c r="AA433" t="e">
        <f ca="1">IF(A433="","",IF(E433="","",#REF!))</f>
        <v>#REF!</v>
      </c>
      <c r="AB433" t="e">
        <f ca="1">IF(A433="","",IF(E433="","",#REF!))</f>
        <v>#REF!</v>
      </c>
      <c r="AC433" t="e">
        <f t="shared" ca="1" si="38"/>
        <v>#REF!</v>
      </c>
    </row>
    <row r="434" spans="1:29" x14ac:dyDescent="0.35">
      <c r="A434" t="e" cm="1">
        <f t="array" aca="1" ref="A434" ca="1">IF(A433="","",IF(OR(AND(A433+1&gt;=$AF$1,A433+1&lt;=$AF$2),AND(A433+1&gt;=$AF$6,A433+1&lt;=$AF$7),AND(A433+1&gt;=$AF$3,A433+1&lt;=$AF$4),AND(A433+1&gt;=$AF$8,A433+1&lt;=$AF$9),A433+1=$AF$5),IF(NOT(ISBLANK(INDIRECT("template!"&amp;"P"&amp;A433+1))),A433+1,IF(NOT(ISBLANK(INDIRECT("template!"&amp;"P"&amp;A433+2))),A433+2,A433+3)),IF(A433=$AF$2,$AF$3,IF(A433=$AF$4,$AF$5,IF(A433=$AF$5,$AF$6,IF(A433=$AF$7,$AF$8,""))))))</f>
        <v>#REF!</v>
      </c>
      <c r="B434" t="e">
        <f t="shared" ca="1" si="33"/>
        <v>#REF!</v>
      </c>
      <c r="C434" t="e" cm="1">
        <f t="array" aca="1" ref="C434" ca="1">IF(A434="","",IF(B434="safety","safety costs",INDIRECT("template!"&amp;"B"&amp;A434)))</f>
        <v>#REF!</v>
      </c>
      <c r="D434" t="e" cm="1">
        <f t="array" aca="1" ref="D434" ca="1">IF(OR(A434="",B434="safety"),"",INDIRECT("template!"&amp;"C"&amp;A434))</f>
        <v>#REF!</v>
      </c>
      <c r="E434" t="e" cm="1">
        <f t="array" aca="1" ref="E434" ca="1">IF(A434="","",IF(OR(A434=A433+1,A434=A433+2),E433,INDIRECT("template!"&amp;"D"&amp;A434-2)))</f>
        <v>#REF!</v>
      </c>
      <c r="F434" t="e" cm="1">
        <f t="array" aca="1" ref="F434" ca="1">IF(OR(A434="",B434="safety"),"",IF(ISBLANK(IF(A434=A433+1,F433,INDIRECT("template!"&amp;"D"&amp;A434-1))),"",IF(A434=A433+1,F433,INDIRECT("template!"&amp;"D"&amp;A434-1))))</f>
        <v>#REF!</v>
      </c>
      <c r="G434" t="e" cm="1">
        <f t="array" aca="1" ref="G434" ca="1">IF(OR(A434="",B434="safety"),"",IF(ISBLANK(INDIRECT("template!"&amp;"D"&amp;A434)),"",INDIRECT("template!"&amp;"D"&amp;A434)))</f>
        <v>#REF!</v>
      </c>
      <c r="H434" t="e" cm="1">
        <f t="array" aca="1" ref="H434" ca="1">IF(OR(A434="",B434="safety"),"",IF(ISBLANK(INDIRECT("template!"&amp;"E"&amp;A434)),"",INDIRECT("template!"&amp;"E"&amp;A434)))</f>
        <v>#REF!</v>
      </c>
      <c r="I434" t="e" cm="1">
        <f t="array" aca="1" ref="I434" ca="1">IF(OR(A434="",B434="safety"),"",IF(ISBLANK(INDIRECT("template!"&amp;"F"&amp;A434)),"",INDIRECT("template!"&amp;"F"&amp;A434)))</f>
        <v>#REF!</v>
      </c>
      <c r="J434" t="e" cm="1">
        <f t="array" aca="1" ref="J434" ca="1">IF(OR(A434="",B434="safety"),"",IF(ISBLANK(INDIRECT("template!"&amp;"G"&amp;A434)),"",INDIRECT("template!"&amp;"G"&amp;A434)))</f>
        <v>#REF!</v>
      </c>
      <c r="K434" t="e" cm="1">
        <f t="array" aca="1" ref="K434" ca="1">IF(OR(A434="",B434="safety"),"",IF(ISBLANK(INDIRECT("template!"&amp;"H"&amp;A434)),"",INDIRECT("template!"&amp;"H"&amp;A434)))</f>
        <v>#REF!</v>
      </c>
      <c r="L434" t="e" cm="1">
        <f t="array" aca="1" ref="L434" ca="1">IF(OR(A434="",B434="safety"),"",INDIRECT("template!"&amp;"I"&amp;A434))</f>
        <v>#REF!</v>
      </c>
      <c r="M434" t="e" cm="1">
        <f t="array" aca="1" ref="M434" ca="1">IF(OR(A434="",B434="safety"),"",INDIRECT("template!"&amp;"J"&amp;A434))</f>
        <v>#REF!</v>
      </c>
      <c r="N434" t="e" cm="1">
        <f t="array" aca="1" ref="N434" ca="1">IF(OR(A434="",B434="safety"),"",IF(ISBLANK(INDIRECT("template!"&amp;"K"&amp;A434)),"",INDIRECT("template!"&amp;"K"&amp;A434)))</f>
        <v>#REF!</v>
      </c>
      <c r="O434" t="e" cm="1">
        <f t="array" aca="1" ref="O434" ca="1">IF(OR(A434="",B434="safety"),"",INDIRECT("template!"&amp;"L"&amp;A434))</f>
        <v>#REF!</v>
      </c>
      <c r="P434" t="e" cm="1">
        <f t="array" aca="1" ref="P434" ca="1">IF(OR(A434="",B434="safety"),"",INDIRECT("template!"&amp;"M"&amp;A434))</f>
        <v>#REF!</v>
      </c>
      <c r="Q434" t="e">
        <f t="shared" ca="1" si="34"/>
        <v>#REF!</v>
      </c>
      <c r="R434" t="e">
        <f t="shared" ca="1" si="35"/>
        <v>#REF!</v>
      </c>
      <c r="S434" t="e">
        <f t="shared" ca="1" si="36"/>
        <v>#REF!</v>
      </c>
      <c r="T434" t="e">
        <f t="shared" ca="1" si="37"/>
        <v>#REF!</v>
      </c>
      <c r="U434" t="e" cm="1">
        <f t="array" aca="1" ref="U434" ca="1">IF(A434="","",IF(E434="","",IF(B434="safety",INDIRECT("template!"&amp;"P"&amp;A434),Q434+R434)))</f>
        <v>#REF!</v>
      </c>
      <c r="V434" t="e" cm="1">
        <f t="array" aca="1" ref="V434" ca="1">IF(A434="","",IF(E434="","",IF(B434="safety",INDIRECT("template!"&amp;"P"&amp;A434),S434+T434)))</f>
        <v>#REF!</v>
      </c>
      <c r="W434" t="e">
        <f ca="1">IF(A434="","",IF(E434="","",#REF!))</f>
        <v>#REF!</v>
      </c>
      <c r="X434" t="e">
        <f ca="1">IF(A434="","",IF(E434="","",#REF!))</f>
        <v>#REF!</v>
      </c>
      <c r="Y434" s="39" t="e">
        <f ca="1">IF(A434="","",IF(E434="","",#REF!))</f>
        <v>#REF!</v>
      </c>
      <c r="Z434" t="e">
        <f ca="1">IF(A434="","",IF(E434="","",#REF!))</f>
        <v>#REF!</v>
      </c>
      <c r="AA434" t="e">
        <f ca="1">IF(A434="","",IF(E434="","",#REF!))</f>
        <v>#REF!</v>
      </c>
      <c r="AB434" t="e">
        <f ca="1">IF(A434="","",IF(E434="","",#REF!))</f>
        <v>#REF!</v>
      </c>
      <c r="AC434" t="e">
        <f t="shared" ca="1" si="38"/>
        <v>#REF!</v>
      </c>
    </row>
    <row r="435" spans="1:29" x14ac:dyDescent="0.35">
      <c r="A435" t="e" cm="1">
        <f t="array" aca="1" ref="A435" ca="1">IF(A434="","",IF(OR(AND(A434+1&gt;=$AF$1,A434+1&lt;=$AF$2),AND(A434+1&gt;=$AF$6,A434+1&lt;=$AF$7),AND(A434+1&gt;=$AF$3,A434+1&lt;=$AF$4),AND(A434+1&gt;=$AF$8,A434+1&lt;=$AF$9),A434+1=$AF$5),IF(NOT(ISBLANK(INDIRECT("template!"&amp;"P"&amp;A434+1))),A434+1,IF(NOT(ISBLANK(INDIRECT("template!"&amp;"P"&amp;A434+2))),A434+2,A434+3)),IF(A434=$AF$2,$AF$3,IF(A434=$AF$4,$AF$5,IF(A434=$AF$5,$AF$6,IF(A434=$AF$7,$AF$8,""))))))</f>
        <v>#REF!</v>
      </c>
      <c r="B435" t="e">
        <f t="shared" ca="1" si="33"/>
        <v>#REF!</v>
      </c>
      <c r="C435" t="e" cm="1">
        <f t="array" aca="1" ref="C435" ca="1">IF(A435="","",IF(B435="safety","safety costs",INDIRECT("template!"&amp;"B"&amp;A435)))</f>
        <v>#REF!</v>
      </c>
      <c r="D435" t="e" cm="1">
        <f t="array" aca="1" ref="D435" ca="1">IF(OR(A435="",B435="safety"),"",INDIRECT("template!"&amp;"C"&amp;A435))</f>
        <v>#REF!</v>
      </c>
      <c r="E435" t="e" cm="1">
        <f t="array" aca="1" ref="E435" ca="1">IF(A435="","",IF(OR(A435=A434+1,A435=A434+2),E434,INDIRECT("template!"&amp;"D"&amp;A435-2)))</f>
        <v>#REF!</v>
      </c>
      <c r="F435" t="e" cm="1">
        <f t="array" aca="1" ref="F435" ca="1">IF(OR(A435="",B435="safety"),"",IF(ISBLANK(IF(A435=A434+1,F434,INDIRECT("template!"&amp;"D"&amp;A435-1))),"",IF(A435=A434+1,F434,INDIRECT("template!"&amp;"D"&amp;A435-1))))</f>
        <v>#REF!</v>
      </c>
      <c r="G435" t="e" cm="1">
        <f t="array" aca="1" ref="G435" ca="1">IF(OR(A435="",B435="safety"),"",IF(ISBLANK(INDIRECT("template!"&amp;"D"&amp;A435)),"",INDIRECT("template!"&amp;"D"&amp;A435)))</f>
        <v>#REF!</v>
      </c>
      <c r="H435" t="e" cm="1">
        <f t="array" aca="1" ref="H435" ca="1">IF(OR(A435="",B435="safety"),"",IF(ISBLANK(INDIRECT("template!"&amp;"E"&amp;A435)),"",INDIRECT("template!"&amp;"E"&amp;A435)))</f>
        <v>#REF!</v>
      </c>
      <c r="I435" t="e" cm="1">
        <f t="array" aca="1" ref="I435" ca="1">IF(OR(A435="",B435="safety"),"",IF(ISBLANK(INDIRECT("template!"&amp;"F"&amp;A435)),"",INDIRECT("template!"&amp;"F"&amp;A435)))</f>
        <v>#REF!</v>
      </c>
      <c r="J435" t="e" cm="1">
        <f t="array" aca="1" ref="J435" ca="1">IF(OR(A435="",B435="safety"),"",IF(ISBLANK(INDIRECT("template!"&amp;"G"&amp;A435)),"",INDIRECT("template!"&amp;"G"&amp;A435)))</f>
        <v>#REF!</v>
      </c>
      <c r="K435" t="e" cm="1">
        <f t="array" aca="1" ref="K435" ca="1">IF(OR(A435="",B435="safety"),"",IF(ISBLANK(INDIRECT("template!"&amp;"H"&amp;A435)),"",INDIRECT("template!"&amp;"H"&amp;A435)))</f>
        <v>#REF!</v>
      </c>
      <c r="L435" t="e" cm="1">
        <f t="array" aca="1" ref="L435" ca="1">IF(OR(A435="",B435="safety"),"",INDIRECT("template!"&amp;"I"&amp;A435))</f>
        <v>#REF!</v>
      </c>
      <c r="M435" t="e" cm="1">
        <f t="array" aca="1" ref="M435" ca="1">IF(OR(A435="",B435="safety"),"",INDIRECT("template!"&amp;"J"&amp;A435))</f>
        <v>#REF!</v>
      </c>
      <c r="N435" t="e" cm="1">
        <f t="array" aca="1" ref="N435" ca="1">IF(OR(A435="",B435="safety"),"",IF(ISBLANK(INDIRECT("template!"&amp;"K"&amp;A435)),"",INDIRECT("template!"&amp;"K"&amp;A435)))</f>
        <v>#REF!</v>
      </c>
      <c r="O435" t="e" cm="1">
        <f t="array" aca="1" ref="O435" ca="1">IF(OR(A435="",B435="safety"),"",INDIRECT("template!"&amp;"L"&amp;A435))</f>
        <v>#REF!</v>
      </c>
      <c r="P435" t="e" cm="1">
        <f t="array" aca="1" ref="P435" ca="1">IF(OR(A435="",B435="safety"),"",INDIRECT("template!"&amp;"M"&amp;A435))</f>
        <v>#REF!</v>
      </c>
      <c r="Q435" t="e">
        <f t="shared" ca="1" si="34"/>
        <v>#REF!</v>
      </c>
      <c r="R435" t="e">
        <f t="shared" ca="1" si="35"/>
        <v>#REF!</v>
      </c>
      <c r="S435" t="e">
        <f t="shared" ca="1" si="36"/>
        <v>#REF!</v>
      </c>
      <c r="T435" t="e">
        <f t="shared" ca="1" si="37"/>
        <v>#REF!</v>
      </c>
      <c r="U435" t="e" cm="1">
        <f t="array" aca="1" ref="U435" ca="1">IF(A435="","",IF(E435="","",IF(B435="safety",INDIRECT("template!"&amp;"P"&amp;A435),Q435+R435)))</f>
        <v>#REF!</v>
      </c>
      <c r="V435" t="e" cm="1">
        <f t="array" aca="1" ref="V435" ca="1">IF(A435="","",IF(E435="","",IF(B435="safety",INDIRECT("template!"&amp;"P"&amp;A435),S435+T435)))</f>
        <v>#REF!</v>
      </c>
      <c r="W435" t="e">
        <f ca="1">IF(A435="","",IF(E435="","",#REF!))</f>
        <v>#REF!</v>
      </c>
      <c r="X435" t="e">
        <f ca="1">IF(A435="","",IF(E435="","",#REF!))</f>
        <v>#REF!</v>
      </c>
      <c r="Y435" s="39" t="e">
        <f ca="1">IF(A435="","",IF(E435="","",#REF!))</f>
        <v>#REF!</v>
      </c>
      <c r="Z435" t="e">
        <f ca="1">IF(A435="","",IF(E435="","",#REF!))</f>
        <v>#REF!</v>
      </c>
      <c r="AA435" t="e">
        <f ca="1">IF(A435="","",IF(E435="","",#REF!))</f>
        <v>#REF!</v>
      </c>
      <c r="AB435" t="e">
        <f ca="1">IF(A435="","",IF(E435="","",#REF!))</f>
        <v>#REF!</v>
      </c>
      <c r="AC435" t="e">
        <f t="shared" ca="1" si="38"/>
        <v>#REF!</v>
      </c>
    </row>
    <row r="436" spans="1:29" x14ac:dyDescent="0.35">
      <c r="A436" t="e" cm="1">
        <f t="array" aca="1" ref="A436" ca="1">IF(A435="","",IF(OR(AND(A435+1&gt;=$AF$1,A435+1&lt;=$AF$2),AND(A435+1&gt;=$AF$6,A435+1&lt;=$AF$7),AND(A435+1&gt;=$AF$3,A435+1&lt;=$AF$4),AND(A435+1&gt;=$AF$8,A435+1&lt;=$AF$9),A435+1=$AF$5),IF(NOT(ISBLANK(INDIRECT("template!"&amp;"P"&amp;A435+1))),A435+1,IF(NOT(ISBLANK(INDIRECT("template!"&amp;"P"&amp;A435+2))),A435+2,A435+3)),IF(A435=$AF$2,$AF$3,IF(A435=$AF$4,$AF$5,IF(A435=$AF$5,$AF$6,IF(A435=$AF$7,$AF$8,""))))))</f>
        <v>#REF!</v>
      </c>
      <c r="B436" t="e">
        <f t="shared" ca="1" si="33"/>
        <v>#REF!</v>
      </c>
      <c r="C436" t="e" cm="1">
        <f t="array" aca="1" ref="C436" ca="1">IF(A436="","",IF(B436="safety","safety costs",INDIRECT("template!"&amp;"B"&amp;A436)))</f>
        <v>#REF!</v>
      </c>
      <c r="D436" t="e" cm="1">
        <f t="array" aca="1" ref="D436" ca="1">IF(OR(A436="",B436="safety"),"",INDIRECT("template!"&amp;"C"&amp;A436))</f>
        <v>#REF!</v>
      </c>
      <c r="E436" t="e" cm="1">
        <f t="array" aca="1" ref="E436" ca="1">IF(A436="","",IF(OR(A436=A435+1,A436=A435+2),E435,INDIRECT("template!"&amp;"D"&amp;A436-2)))</f>
        <v>#REF!</v>
      </c>
      <c r="F436" t="e" cm="1">
        <f t="array" aca="1" ref="F436" ca="1">IF(OR(A436="",B436="safety"),"",IF(ISBLANK(IF(A436=A435+1,F435,INDIRECT("template!"&amp;"D"&amp;A436-1))),"",IF(A436=A435+1,F435,INDIRECT("template!"&amp;"D"&amp;A436-1))))</f>
        <v>#REF!</v>
      </c>
      <c r="G436" t="e" cm="1">
        <f t="array" aca="1" ref="G436" ca="1">IF(OR(A436="",B436="safety"),"",IF(ISBLANK(INDIRECT("template!"&amp;"D"&amp;A436)),"",INDIRECT("template!"&amp;"D"&amp;A436)))</f>
        <v>#REF!</v>
      </c>
      <c r="H436" t="e" cm="1">
        <f t="array" aca="1" ref="H436" ca="1">IF(OR(A436="",B436="safety"),"",IF(ISBLANK(INDIRECT("template!"&amp;"E"&amp;A436)),"",INDIRECT("template!"&amp;"E"&amp;A436)))</f>
        <v>#REF!</v>
      </c>
      <c r="I436" t="e" cm="1">
        <f t="array" aca="1" ref="I436" ca="1">IF(OR(A436="",B436="safety"),"",IF(ISBLANK(INDIRECT("template!"&amp;"F"&amp;A436)),"",INDIRECT("template!"&amp;"F"&amp;A436)))</f>
        <v>#REF!</v>
      </c>
      <c r="J436" t="e" cm="1">
        <f t="array" aca="1" ref="J436" ca="1">IF(OR(A436="",B436="safety"),"",IF(ISBLANK(INDIRECT("template!"&amp;"G"&amp;A436)),"",INDIRECT("template!"&amp;"G"&amp;A436)))</f>
        <v>#REF!</v>
      </c>
      <c r="K436" t="e" cm="1">
        <f t="array" aca="1" ref="K436" ca="1">IF(OR(A436="",B436="safety"),"",IF(ISBLANK(INDIRECT("template!"&amp;"H"&amp;A436)),"",INDIRECT("template!"&amp;"H"&amp;A436)))</f>
        <v>#REF!</v>
      </c>
      <c r="L436" t="e" cm="1">
        <f t="array" aca="1" ref="L436" ca="1">IF(OR(A436="",B436="safety"),"",INDIRECT("template!"&amp;"I"&amp;A436))</f>
        <v>#REF!</v>
      </c>
      <c r="M436" t="e" cm="1">
        <f t="array" aca="1" ref="M436" ca="1">IF(OR(A436="",B436="safety"),"",INDIRECT("template!"&amp;"J"&amp;A436))</f>
        <v>#REF!</v>
      </c>
      <c r="N436" t="e" cm="1">
        <f t="array" aca="1" ref="N436" ca="1">IF(OR(A436="",B436="safety"),"",IF(ISBLANK(INDIRECT("template!"&amp;"K"&amp;A436)),"",INDIRECT("template!"&amp;"K"&amp;A436)))</f>
        <v>#REF!</v>
      </c>
      <c r="O436" t="e" cm="1">
        <f t="array" aca="1" ref="O436" ca="1">IF(OR(A436="",B436="safety"),"",INDIRECT("template!"&amp;"L"&amp;A436))</f>
        <v>#REF!</v>
      </c>
      <c r="P436" t="e" cm="1">
        <f t="array" aca="1" ref="P436" ca="1">IF(OR(A436="",B436="safety"),"",INDIRECT("template!"&amp;"M"&amp;A436))</f>
        <v>#REF!</v>
      </c>
      <c r="Q436" t="e">
        <f t="shared" ca="1" si="34"/>
        <v>#REF!</v>
      </c>
      <c r="R436" t="e">
        <f t="shared" ca="1" si="35"/>
        <v>#REF!</v>
      </c>
      <c r="S436" t="e">
        <f t="shared" ca="1" si="36"/>
        <v>#REF!</v>
      </c>
      <c r="T436" t="e">
        <f t="shared" ca="1" si="37"/>
        <v>#REF!</v>
      </c>
      <c r="U436" t="e" cm="1">
        <f t="array" aca="1" ref="U436" ca="1">IF(A436="","",IF(E436="","",IF(B436="safety",INDIRECT("template!"&amp;"P"&amp;A436),Q436+R436)))</f>
        <v>#REF!</v>
      </c>
      <c r="V436" t="e" cm="1">
        <f t="array" aca="1" ref="V436" ca="1">IF(A436="","",IF(E436="","",IF(B436="safety",INDIRECT("template!"&amp;"P"&amp;A436),S436+T436)))</f>
        <v>#REF!</v>
      </c>
      <c r="W436" t="e">
        <f ca="1">IF(A436="","",IF(E436="","",#REF!))</f>
        <v>#REF!</v>
      </c>
      <c r="X436" t="e">
        <f ca="1">IF(A436="","",IF(E436="","",#REF!))</f>
        <v>#REF!</v>
      </c>
      <c r="Y436" s="39" t="e">
        <f ca="1">IF(A436="","",IF(E436="","",#REF!))</f>
        <v>#REF!</v>
      </c>
      <c r="Z436" t="e">
        <f ca="1">IF(A436="","",IF(E436="","",#REF!))</f>
        <v>#REF!</v>
      </c>
      <c r="AA436" t="e">
        <f ca="1">IF(A436="","",IF(E436="","",#REF!))</f>
        <v>#REF!</v>
      </c>
      <c r="AB436" t="e">
        <f ca="1">IF(A436="","",IF(E436="","",#REF!))</f>
        <v>#REF!</v>
      </c>
      <c r="AC436" t="e">
        <f t="shared" ca="1" si="38"/>
        <v>#REF!</v>
      </c>
    </row>
    <row r="437" spans="1:29" x14ac:dyDescent="0.35">
      <c r="A437" t="e" cm="1">
        <f t="array" aca="1" ref="A437" ca="1">IF(A436="","",IF(OR(AND(A436+1&gt;=$AF$1,A436+1&lt;=$AF$2),AND(A436+1&gt;=$AF$6,A436+1&lt;=$AF$7),AND(A436+1&gt;=$AF$3,A436+1&lt;=$AF$4),AND(A436+1&gt;=$AF$8,A436+1&lt;=$AF$9),A436+1=$AF$5),IF(NOT(ISBLANK(INDIRECT("template!"&amp;"P"&amp;A436+1))),A436+1,IF(NOT(ISBLANK(INDIRECT("template!"&amp;"P"&amp;A436+2))),A436+2,A436+3)),IF(A436=$AF$2,$AF$3,IF(A436=$AF$4,$AF$5,IF(A436=$AF$5,$AF$6,IF(A436=$AF$7,$AF$8,""))))))</f>
        <v>#REF!</v>
      </c>
      <c r="B437" t="e">
        <f t="shared" ca="1" si="33"/>
        <v>#REF!</v>
      </c>
      <c r="C437" t="e" cm="1">
        <f t="array" aca="1" ref="C437" ca="1">IF(A437="","",IF(B437="safety","safety costs",INDIRECT("template!"&amp;"B"&amp;A437)))</f>
        <v>#REF!</v>
      </c>
      <c r="D437" t="e" cm="1">
        <f t="array" aca="1" ref="D437" ca="1">IF(OR(A437="",B437="safety"),"",INDIRECT("template!"&amp;"C"&amp;A437))</f>
        <v>#REF!</v>
      </c>
      <c r="E437" t="e" cm="1">
        <f t="array" aca="1" ref="E437" ca="1">IF(A437="","",IF(OR(A437=A436+1,A437=A436+2),E436,INDIRECT("template!"&amp;"D"&amp;A437-2)))</f>
        <v>#REF!</v>
      </c>
      <c r="F437" t="e" cm="1">
        <f t="array" aca="1" ref="F437" ca="1">IF(OR(A437="",B437="safety"),"",IF(ISBLANK(IF(A437=A436+1,F436,INDIRECT("template!"&amp;"D"&amp;A437-1))),"",IF(A437=A436+1,F436,INDIRECT("template!"&amp;"D"&amp;A437-1))))</f>
        <v>#REF!</v>
      </c>
      <c r="G437" t="e" cm="1">
        <f t="array" aca="1" ref="G437" ca="1">IF(OR(A437="",B437="safety"),"",IF(ISBLANK(INDIRECT("template!"&amp;"D"&amp;A437)),"",INDIRECT("template!"&amp;"D"&amp;A437)))</f>
        <v>#REF!</v>
      </c>
      <c r="H437" t="e" cm="1">
        <f t="array" aca="1" ref="H437" ca="1">IF(OR(A437="",B437="safety"),"",IF(ISBLANK(INDIRECT("template!"&amp;"E"&amp;A437)),"",INDIRECT("template!"&amp;"E"&amp;A437)))</f>
        <v>#REF!</v>
      </c>
      <c r="I437" t="e" cm="1">
        <f t="array" aca="1" ref="I437" ca="1">IF(OR(A437="",B437="safety"),"",IF(ISBLANK(INDIRECT("template!"&amp;"F"&amp;A437)),"",INDIRECT("template!"&amp;"F"&amp;A437)))</f>
        <v>#REF!</v>
      </c>
      <c r="J437" t="e" cm="1">
        <f t="array" aca="1" ref="J437" ca="1">IF(OR(A437="",B437="safety"),"",IF(ISBLANK(INDIRECT("template!"&amp;"G"&amp;A437)),"",INDIRECT("template!"&amp;"G"&amp;A437)))</f>
        <v>#REF!</v>
      </c>
      <c r="K437" t="e" cm="1">
        <f t="array" aca="1" ref="K437" ca="1">IF(OR(A437="",B437="safety"),"",IF(ISBLANK(INDIRECT("template!"&amp;"H"&amp;A437)),"",INDIRECT("template!"&amp;"H"&amp;A437)))</f>
        <v>#REF!</v>
      </c>
      <c r="L437" t="e" cm="1">
        <f t="array" aca="1" ref="L437" ca="1">IF(OR(A437="",B437="safety"),"",INDIRECT("template!"&amp;"I"&amp;A437))</f>
        <v>#REF!</v>
      </c>
      <c r="M437" t="e" cm="1">
        <f t="array" aca="1" ref="M437" ca="1">IF(OR(A437="",B437="safety"),"",INDIRECT("template!"&amp;"J"&amp;A437))</f>
        <v>#REF!</v>
      </c>
      <c r="N437" t="e" cm="1">
        <f t="array" aca="1" ref="N437" ca="1">IF(OR(A437="",B437="safety"),"",IF(ISBLANK(INDIRECT("template!"&amp;"K"&amp;A437)),"",INDIRECT("template!"&amp;"K"&amp;A437)))</f>
        <v>#REF!</v>
      </c>
      <c r="O437" t="e" cm="1">
        <f t="array" aca="1" ref="O437" ca="1">IF(OR(A437="",B437="safety"),"",INDIRECT("template!"&amp;"L"&amp;A437))</f>
        <v>#REF!</v>
      </c>
      <c r="P437" t="e" cm="1">
        <f t="array" aca="1" ref="P437" ca="1">IF(OR(A437="",B437="safety"),"",INDIRECT("template!"&amp;"M"&amp;A437))</f>
        <v>#REF!</v>
      </c>
      <c r="Q437" t="e">
        <f t="shared" ca="1" si="34"/>
        <v>#REF!</v>
      </c>
      <c r="R437" t="e">
        <f t="shared" ca="1" si="35"/>
        <v>#REF!</v>
      </c>
      <c r="S437" t="e">
        <f t="shared" ca="1" si="36"/>
        <v>#REF!</v>
      </c>
      <c r="T437" t="e">
        <f t="shared" ca="1" si="37"/>
        <v>#REF!</v>
      </c>
      <c r="U437" t="e" cm="1">
        <f t="array" aca="1" ref="U437" ca="1">IF(A437="","",IF(E437="","",IF(B437="safety",INDIRECT("template!"&amp;"P"&amp;A437),Q437+R437)))</f>
        <v>#REF!</v>
      </c>
      <c r="V437" t="e" cm="1">
        <f t="array" aca="1" ref="V437" ca="1">IF(A437="","",IF(E437="","",IF(B437="safety",INDIRECT("template!"&amp;"P"&amp;A437),S437+T437)))</f>
        <v>#REF!</v>
      </c>
      <c r="W437" t="e">
        <f ca="1">IF(A437="","",IF(E437="","",#REF!))</f>
        <v>#REF!</v>
      </c>
      <c r="X437" t="e">
        <f ca="1">IF(A437="","",IF(E437="","",#REF!))</f>
        <v>#REF!</v>
      </c>
      <c r="Y437" s="39" t="e">
        <f ca="1">IF(A437="","",IF(E437="","",#REF!))</f>
        <v>#REF!</v>
      </c>
      <c r="Z437" t="e">
        <f ca="1">IF(A437="","",IF(E437="","",#REF!))</f>
        <v>#REF!</v>
      </c>
      <c r="AA437" t="e">
        <f ca="1">IF(A437="","",IF(E437="","",#REF!))</f>
        <v>#REF!</v>
      </c>
      <c r="AB437" t="e">
        <f ca="1">IF(A437="","",IF(E437="","",#REF!))</f>
        <v>#REF!</v>
      </c>
      <c r="AC437" t="e">
        <f t="shared" ca="1" si="38"/>
        <v>#REF!</v>
      </c>
    </row>
    <row r="438" spans="1:29" x14ac:dyDescent="0.35">
      <c r="A438" t="e" cm="1">
        <f t="array" aca="1" ref="A438" ca="1">IF(A437="","",IF(OR(AND(A437+1&gt;=$AF$1,A437+1&lt;=$AF$2),AND(A437+1&gt;=$AF$6,A437+1&lt;=$AF$7),AND(A437+1&gt;=$AF$3,A437+1&lt;=$AF$4),AND(A437+1&gt;=$AF$8,A437+1&lt;=$AF$9),A437+1=$AF$5),IF(NOT(ISBLANK(INDIRECT("template!"&amp;"P"&amp;A437+1))),A437+1,IF(NOT(ISBLANK(INDIRECT("template!"&amp;"P"&amp;A437+2))),A437+2,A437+3)),IF(A437=$AF$2,$AF$3,IF(A437=$AF$4,$AF$5,IF(A437=$AF$5,$AF$6,IF(A437=$AF$7,$AF$8,""))))))</f>
        <v>#REF!</v>
      </c>
      <c r="B438" t="e">
        <f t="shared" ca="1" si="33"/>
        <v>#REF!</v>
      </c>
      <c r="C438" t="e" cm="1">
        <f t="array" aca="1" ref="C438" ca="1">IF(A438="","",IF(B438="safety","safety costs",INDIRECT("template!"&amp;"B"&amp;A438)))</f>
        <v>#REF!</v>
      </c>
      <c r="D438" t="e" cm="1">
        <f t="array" aca="1" ref="D438" ca="1">IF(OR(A438="",B438="safety"),"",INDIRECT("template!"&amp;"C"&amp;A438))</f>
        <v>#REF!</v>
      </c>
      <c r="E438" t="e" cm="1">
        <f t="array" aca="1" ref="E438" ca="1">IF(A438="","",IF(OR(A438=A437+1,A438=A437+2),E437,INDIRECT("template!"&amp;"D"&amp;A438-2)))</f>
        <v>#REF!</v>
      </c>
      <c r="F438" t="e" cm="1">
        <f t="array" aca="1" ref="F438" ca="1">IF(OR(A438="",B438="safety"),"",IF(ISBLANK(IF(A438=A437+1,F437,INDIRECT("template!"&amp;"D"&amp;A438-1))),"",IF(A438=A437+1,F437,INDIRECT("template!"&amp;"D"&amp;A438-1))))</f>
        <v>#REF!</v>
      </c>
      <c r="G438" t="e" cm="1">
        <f t="array" aca="1" ref="G438" ca="1">IF(OR(A438="",B438="safety"),"",IF(ISBLANK(INDIRECT("template!"&amp;"D"&amp;A438)),"",INDIRECT("template!"&amp;"D"&amp;A438)))</f>
        <v>#REF!</v>
      </c>
      <c r="H438" t="e" cm="1">
        <f t="array" aca="1" ref="H438" ca="1">IF(OR(A438="",B438="safety"),"",IF(ISBLANK(INDIRECT("template!"&amp;"E"&amp;A438)),"",INDIRECT("template!"&amp;"E"&amp;A438)))</f>
        <v>#REF!</v>
      </c>
      <c r="I438" t="e" cm="1">
        <f t="array" aca="1" ref="I438" ca="1">IF(OR(A438="",B438="safety"),"",IF(ISBLANK(INDIRECT("template!"&amp;"F"&amp;A438)),"",INDIRECT("template!"&amp;"F"&amp;A438)))</f>
        <v>#REF!</v>
      </c>
      <c r="J438" t="e" cm="1">
        <f t="array" aca="1" ref="J438" ca="1">IF(OR(A438="",B438="safety"),"",IF(ISBLANK(INDIRECT("template!"&amp;"G"&amp;A438)),"",INDIRECT("template!"&amp;"G"&amp;A438)))</f>
        <v>#REF!</v>
      </c>
      <c r="K438" t="e" cm="1">
        <f t="array" aca="1" ref="K438" ca="1">IF(OR(A438="",B438="safety"),"",IF(ISBLANK(INDIRECT("template!"&amp;"H"&amp;A438)),"",INDIRECT("template!"&amp;"H"&amp;A438)))</f>
        <v>#REF!</v>
      </c>
      <c r="L438" t="e" cm="1">
        <f t="array" aca="1" ref="L438" ca="1">IF(OR(A438="",B438="safety"),"",INDIRECT("template!"&amp;"I"&amp;A438))</f>
        <v>#REF!</v>
      </c>
      <c r="M438" t="e" cm="1">
        <f t="array" aca="1" ref="M438" ca="1">IF(OR(A438="",B438="safety"),"",INDIRECT("template!"&amp;"J"&amp;A438))</f>
        <v>#REF!</v>
      </c>
      <c r="N438" t="e" cm="1">
        <f t="array" aca="1" ref="N438" ca="1">IF(OR(A438="",B438="safety"),"",IF(ISBLANK(INDIRECT("template!"&amp;"K"&amp;A438)),"",INDIRECT("template!"&amp;"K"&amp;A438)))</f>
        <v>#REF!</v>
      </c>
      <c r="O438" t="e" cm="1">
        <f t="array" aca="1" ref="O438" ca="1">IF(OR(A438="",B438="safety"),"",INDIRECT("template!"&amp;"L"&amp;A438))</f>
        <v>#REF!</v>
      </c>
      <c r="P438" t="e" cm="1">
        <f t="array" aca="1" ref="P438" ca="1">IF(OR(A438="",B438="safety"),"",INDIRECT("template!"&amp;"M"&amp;A438))</f>
        <v>#REF!</v>
      </c>
      <c r="Q438" t="e">
        <f t="shared" ca="1" si="34"/>
        <v>#REF!</v>
      </c>
      <c r="R438" t="e">
        <f t="shared" ca="1" si="35"/>
        <v>#REF!</v>
      </c>
      <c r="S438" t="e">
        <f t="shared" ca="1" si="36"/>
        <v>#REF!</v>
      </c>
      <c r="T438" t="e">
        <f t="shared" ca="1" si="37"/>
        <v>#REF!</v>
      </c>
      <c r="U438" t="e" cm="1">
        <f t="array" aca="1" ref="U438" ca="1">IF(A438="","",IF(E438="","",IF(B438="safety",INDIRECT("template!"&amp;"P"&amp;A438),Q438+R438)))</f>
        <v>#REF!</v>
      </c>
      <c r="V438" t="e" cm="1">
        <f t="array" aca="1" ref="V438" ca="1">IF(A438="","",IF(E438="","",IF(B438="safety",INDIRECT("template!"&amp;"P"&amp;A438),S438+T438)))</f>
        <v>#REF!</v>
      </c>
      <c r="W438" t="e">
        <f ca="1">IF(A438="","",IF(E438="","",#REF!))</f>
        <v>#REF!</v>
      </c>
      <c r="X438" t="e">
        <f ca="1">IF(A438="","",IF(E438="","",#REF!))</f>
        <v>#REF!</v>
      </c>
      <c r="Y438" s="39" t="e">
        <f ca="1">IF(A438="","",IF(E438="","",#REF!))</f>
        <v>#REF!</v>
      </c>
      <c r="Z438" t="e">
        <f ca="1">IF(A438="","",IF(E438="","",#REF!))</f>
        <v>#REF!</v>
      </c>
      <c r="AA438" t="e">
        <f ca="1">IF(A438="","",IF(E438="","",#REF!))</f>
        <v>#REF!</v>
      </c>
      <c r="AB438" t="e">
        <f ca="1">IF(A438="","",IF(E438="","",#REF!))</f>
        <v>#REF!</v>
      </c>
      <c r="AC438" t="e">
        <f t="shared" ca="1" si="38"/>
        <v>#REF!</v>
      </c>
    </row>
    <row r="439" spans="1:29" x14ac:dyDescent="0.35">
      <c r="A439" t="e" cm="1">
        <f t="array" aca="1" ref="A439" ca="1">IF(A438="","",IF(OR(AND(A438+1&gt;=$AF$1,A438+1&lt;=$AF$2),AND(A438+1&gt;=$AF$6,A438+1&lt;=$AF$7),AND(A438+1&gt;=$AF$3,A438+1&lt;=$AF$4),AND(A438+1&gt;=$AF$8,A438+1&lt;=$AF$9),A438+1=$AF$5),IF(NOT(ISBLANK(INDIRECT("template!"&amp;"P"&amp;A438+1))),A438+1,IF(NOT(ISBLANK(INDIRECT("template!"&amp;"P"&amp;A438+2))),A438+2,A438+3)),IF(A438=$AF$2,$AF$3,IF(A438=$AF$4,$AF$5,IF(A438=$AF$5,$AF$6,IF(A438=$AF$7,$AF$8,""))))))</f>
        <v>#REF!</v>
      </c>
      <c r="B439" t="e">
        <f t="shared" ca="1" si="33"/>
        <v>#REF!</v>
      </c>
      <c r="C439" t="e" cm="1">
        <f t="array" aca="1" ref="C439" ca="1">IF(A439="","",IF(B439="safety","safety costs",INDIRECT("template!"&amp;"B"&amp;A439)))</f>
        <v>#REF!</v>
      </c>
      <c r="D439" t="e" cm="1">
        <f t="array" aca="1" ref="D439" ca="1">IF(OR(A439="",B439="safety"),"",INDIRECT("template!"&amp;"C"&amp;A439))</f>
        <v>#REF!</v>
      </c>
      <c r="E439" t="e" cm="1">
        <f t="array" aca="1" ref="E439" ca="1">IF(A439="","",IF(OR(A439=A438+1,A439=A438+2),E438,INDIRECT("template!"&amp;"D"&amp;A439-2)))</f>
        <v>#REF!</v>
      </c>
      <c r="F439" t="e" cm="1">
        <f t="array" aca="1" ref="F439" ca="1">IF(OR(A439="",B439="safety"),"",IF(ISBLANK(IF(A439=A438+1,F438,INDIRECT("template!"&amp;"D"&amp;A439-1))),"",IF(A439=A438+1,F438,INDIRECT("template!"&amp;"D"&amp;A439-1))))</f>
        <v>#REF!</v>
      </c>
      <c r="G439" t="e" cm="1">
        <f t="array" aca="1" ref="G439" ca="1">IF(OR(A439="",B439="safety"),"",IF(ISBLANK(INDIRECT("template!"&amp;"D"&amp;A439)),"",INDIRECT("template!"&amp;"D"&amp;A439)))</f>
        <v>#REF!</v>
      </c>
      <c r="H439" t="e" cm="1">
        <f t="array" aca="1" ref="H439" ca="1">IF(OR(A439="",B439="safety"),"",IF(ISBLANK(INDIRECT("template!"&amp;"E"&amp;A439)),"",INDIRECT("template!"&amp;"E"&amp;A439)))</f>
        <v>#REF!</v>
      </c>
      <c r="I439" t="e" cm="1">
        <f t="array" aca="1" ref="I439" ca="1">IF(OR(A439="",B439="safety"),"",IF(ISBLANK(INDIRECT("template!"&amp;"F"&amp;A439)),"",INDIRECT("template!"&amp;"F"&amp;A439)))</f>
        <v>#REF!</v>
      </c>
      <c r="J439" t="e" cm="1">
        <f t="array" aca="1" ref="J439" ca="1">IF(OR(A439="",B439="safety"),"",IF(ISBLANK(INDIRECT("template!"&amp;"G"&amp;A439)),"",INDIRECT("template!"&amp;"G"&amp;A439)))</f>
        <v>#REF!</v>
      </c>
      <c r="K439" t="e" cm="1">
        <f t="array" aca="1" ref="K439" ca="1">IF(OR(A439="",B439="safety"),"",IF(ISBLANK(INDIRECT("template!"&amp;"H"&amp;A439)),"",INDIRECT("template!"&amp;"H"&amp;A439)))</f>
        <v>#REF!</v>
      </c>
      <c r="L439" t="e" cm="1">
        <f t="array" aca="1" ref="L439" ca="1">IF(OR(A439="",B439="safety"),"",INDIRECT("template!"&amp;"I"&amp;A439))</f>
        <v>#REF!</v>
      </c>
      <c r="M439" t="e" cm="1">
        <f t="array" aca="1" ref="M439" ca="1">IF(OR(A439="",B439="safety"),"",INDIRECT("template!"&amp;"J"&amp;A439))</f>
        <v>#REF!</v>
      </c>
      <c r="N439" t="e" cm="1">
        <f t="array" aca="1" ref="N439" ca="1">IF(OR(A439="",B439="safety"),"",IF(ISBLANK(INDIRECT("template!"&amp;"K"&amp;A439)),"",INDIRECT("template!"&amp;"K"&amp;A439)))</f>
        <v>#REF!</v>
      </c>
      <c r="O439" t="e" cm="1">
        <f t="array" aca="1" ref="O439" ca="1">IF(OR(A439="",B439="safety"),"",INDIRECT("template!"&amp;"L"&amp;A439))</f>
        <v>#REF!</v>
      </c>
      <c r="P439" t="e" cm="1">
        <f t="array" aca="1" ref="P439" ca="1">IF(OR(A439="",B439="safety"),"",INDIRECT("template!"&amp;"M"&amp;A439))</f>
        <v>#REF!</v>
      </c>
      <c r="Q439" t="e">
        <f t="shared" ca="1" si="34"/>
        <v>#REF!</v>
      </c>
      <c r="R439" t="e">
        <f t="shared" ca="1" si="35"/>
        <v>#REF!</v>
      </c>
      <c r="S439" t="e">
        <f t="shared" ca="1" si="36"/>
        <v>#REF!</v>
      </c>
      <c r="T439" t="e">
        <f t="shared" ca="1" si="37"/>
        <v>#REF!</v>
      </c>
      <c r="U439" t="e" cm="1">
        <f t="array" aca="1" ref="U439" ca="1">IF(A439="","",IF(E439="","",IF(B439="safety",INDIRECT("template!"&amp;"P"&amp;A439),Q439+R439)))</f>
        <v>#REF!</v>
      </c>
      <c r="V439" t="e" cm="1">
        <f t="array" aca="1" ref="V439" ca="1">IF(A439="","",IF(E439="","",IF(B439="safety",INDIRECT("template!"&amp;"P"&amp;A439),S439+T439)))</f>
        <v>#REF!</v>
      </c>
      <c r="W439" t="e">
        <f ca="1">IF(A439="","",IF(E439="","",#REF!))</f>
        <v>#REF!</v>
      </c>
      <c r="X439" t="e">
        <f ca="1">IF(A439="","",IF(E439="","",#REF!))</f>
        <v>#REF!</v>
      </c>
      <c r="Y439" s="39" t="e">
        <f ca="1">IF(A439="","",IF(E439="","",#REF!))</f>
        <v>#REF!</v>
      </c>
      <c r="Z439" t="e">
        <f ca="1">IF(A439="","",IF(E439="","",#REF!))</f>
        <v>#REF!</v>
      </c>
      <c r="AA439" t="e">
        <f ca="1">IF(A439="","",IF(E439="","",#REF!))</f>
        <v>#REF!</v>
      </c>
      <c r="AB439" t="e">
        <f ca="1">IF(A439="","",IF(E439="","",#REF!))</f>
        <v>#REF!</v>
      </c>
      <c r="AC439" t="e">
        <f t="shared" ca="1" si="38"/>
        <v>#REF!</v>
      </c>
    </row>
    <row r="440" spans="1:29" x14ac:dyDescent="0.35">
      <c r="A440" t="e" cm="1">
        <f t="array" aca="1" ref="A440" ca="1">IF(A439="","",IF(OR(AND(A439+1&gt;=$AF$1,A439+1&lt;=$AF$2),AND(A439+1&gt;=$AF$6,A439+1&lt;=$AF$7),AND(A439+1&gt;=$AF$3,A439+1&lt;=$AF$4),AND(A439+1&gt;=$AF$8,A439+1&lt;=$AF$9),A439+1=$AF$5),IF(NOT(ISBLANK(INDIRECT("template!"&amp;"P"&amp;A439+1))),A439+1,IF(NOT(ISBLANK(INDIRECT("template!"&amp;"P"&amp;A439+2))),A439+2,A439+3)),IF(A439=$AF$2,$AF$3,IF(A439=$AF$4,$AF$5,IF(A439=$AF$5,$AF$6,IF(A439=$AF$7,$AF$8,""))))))</f>
        <v>#REF!</v>
      </c>
      <c r="B440" t="e">
        <f t="shared" ca="1" si="33"/>
        <v>#REF!</v>
      </c>
      <c r="C440" t="e" cm="1">
        <f t="array" aca="1" ref="C440" ca="1">IF(A440="","",IF(B440="safety","safety costs",INDIRECT("template!"&amp;"B"&amp;A440)))</f>
        <v>#REF!</v>
      </c>
      <c r="D440" t="e" cm="1">
        <f t="array" aca="1" ref="D440" ca="1">IF(OR(A440="",B440="safety"),"",INDIRECT("template!"&amp;"C"&amp;A440))</f>
        <v>#REF!</v>
      </c>
      <c r="E440" t="e" cm="1">
        <f t="array" aca="1" ref="E440" ca="1">IF(A440="","",IF(OR(A440=A439+1,A440=A439+2),E439,INDIRECT("template!"&amp;"D"&amp;A440-2)))</f>
        <v>#REF!</v>
      </c>
      <c r="F440" t="e" cm="1">
        <f t="array" aca="1" ref="F440" ca="1">IF(OR(A440="",B440="safety"),"",IF(ISBLANK(IF(A440=A439+1,F439,INDIRECT("template!"&amp;"D"&amp;A440-1))),"",IF(A440=A439+1,F439,INDIRECT("template!"&amp;"D"&amp;A440-1))))</f>
        <v>#REF!</v>
      </c>
      <c r="G440" t="e" cm="1">
        <f t="array" aca="1" ref="G440" ca="1">IF(OR(A440="",B440="safety"),"",IF(ISBLANK(INDIRECT("template!"&amp;"D"&amp;A440)),"",INDIRECT("template!"&amp;"D"&amp;A440)))</f>
        <v>#REF!</v>
      </c>
      <c r="H440" t="e" cm="1">
        <f t="array" aca="1" ref="H440" ca="1">IF(OR(A440="",B440="safety"),"",IF(ISBLANK(INDIRECT("template!"&amp;"E"&amp;A440)),"",INDIRECT("template!"&amp;"E"&amp;A440)))</f>
        <v>#REF!</v>
      </c>
      <c r="I440" t="e" cm="1">
        <f t="array" aca="1" ref="I440" ca="1">IF(OR(A440="",B440="safety"),"",IF(ISBLANK(INDIRECT("template!"&amp;"F"&amp;A440)),"",INDIRECT("template!"&amp;"F"&amp;A440)))</f>
        <v>#REF!</v>
      </c>
      <c r="J440" t="e" cm="1">
        <f t="array" aca="1" ref="J440" ca="1">IF(OR(A440="",B440="safety"),"",IF(ISBLANK(INDIRECT("template!"&amp;"G"&amp;A440)),"",INDIRECT("template!"&amp;"G"&amp;A440)))</f>
        <v>#REF!</v>
      </c>
      <c r="K440" t="e" cm="1">
        <f t="array" aca="1" ref="K440" ca="1">IF(OR(A440="",B440="safety"),"",IF(ISBLANK(INDIRECT("template!"&amp;"H"&amp;A440)),"",INDIRECT("template!"&amp;"H"&amp;A440)))</f>
        <v>#REF!</v>
      </c>
      <c r="L440" t="e" cm="1">
        <f t="array" aca="1" ref="L440" ca="1">IF(OR(A440="",B440="safety"),"",INDIRECT("template!"&amp;"I"&amp;A440))</f>
        <v>#REF!</v>
      </c>
      <c r="M440" t="e" cm="1">
        <f t="array" aca="1" ref="M440" ca="1">IF(OR(A440="",B440="safety"),"",INDIRECT("template!"&amp;"J"&amp;A440))</f>
        <v>#REF!</v>
      </c>
      <c r="N440" t="e" cm="1">
        <f t="array" aca="1" ref="N440" ca="1">IF(OR(A440="",B440="safety"),"",IF(ISBLANK(INDIRECT("template!"&amp;"K"&amp;A440)),"",INDIRECT("template!"&amp;"K"&amp;A440)))</f>
        <v>#REF!</v>
      </c>
      <c r="O440" t="e" cm="1">
        <f t="array" aca="1" ref="O440" ca="1">IF(OR(A440="",B440="safety"),"",INDIRECT("template!"&amp;"L"&amp;A440))</f>
        <v>#REF!</v>
      </c>
      <c r="P440" t="e" cm="1">
        <f t="array" aca="1" ref="P440" ca="1">IF(OR(A440="",B440="safety"),"",INDIRECT("template!"&amp;"M"&amp;A440))</f>
        <v>#REF!</v>
      </c>
      <c r="Q440" t="e">
        <f t="shared" ca="1" si="34"/>
        <v>#REF!</v>
      </c>
      <c r="R440" t="e">
        <f t="shared" ca="1" si="35"/>
        <v>#REF!</v>
      </c>
      <c r="S440" t="e">
        <f t="shared" ca="1" si="36"/>
        <v>#REF!</v>
      </c>
      <c r="T440" t="e">
        <f t="shared" ca="1" si="37"/>
        <v>#REF!</v>
      </c>
      <c r="U440" t="e" cm="1">
        <f t="array" aca="1" ref="U440" ca="1">IF(A440="","",IF(E440="","",IF(B440="safety",INDIRECT("template!"&amp;"P"&amp;A440),Q440+R440)))</f>
        <v>#REF!</v>
      </c>
      <c r="V440" t="e" cm="1">
        <f t="array" aca="1" ref="V440" ca="1">IF(A440="","",IF(E440="","",IF(B440="safety",INDIRECT("template!"&amp;"P"&amp;A440),S440+T440)))</f>
        <v>#REF!</v>
      </c>
      <c r="W440" t="e">
        <f ca="1">IF(A440="","",IF(E440="","",#REF!))</f>
        <v>#REF!</v>
      </c>
      <c r="X440" t="e">
        <f ca="1">IF(A440="","",IF(E440="","",#REF!))</f>
        <v>#REF!</v>
      </c>
      <c r="Y440" s="39" t="e">
        <f ca="1">IF(A440="","",IF(E440="","",#REF!))</f>
        <v>#REF!</v>
      </c>
      <c r="Z440" t="e">
        <f ca="1">IF(A440="","",IF(E440="","",#REF!))</f>
        <v>#REF!</v>
      </c>
      <c r="AA440" t="e">
        <f ca="1">IF(A440="","",IF(E440="","",#REF!))</f>
        <v>#REF!</v>
      </c>
      <c r="AB440" t="e">
        <f ca="1">IF(A440="","",IF(E440="","",#REF!))</f>
        <v>#REF!</v>
      </c>
      <c r="AC440" t="e">
        <f t="shared" ca="1" si="38"/>
        <v>#REF!</v>
      </c>
    </row>
    <row r="441" spans="1:29" x14ac:dyDescent="0.35">
      <c r="A441" t="e" cm="1">
        <f t="array" aca="1" ref="A441" ca="1">IF(A440="","",IF(OR(AND(A440+1&gt;=$AF$1,A440+1&lt;=$AF$2),AND(A440+1&gt;=$AF$6,A440+1&lt;=$AF$7),AND(A440+1&gt;=$AF$3,A440+1&lt;=$AF$4),AND(A440+1&gt;=$AF$8,A440+1&lt;=$AF$9),A440+1=$AF$5),IF(NOT(ISBLANK(INDIRECT("template!"&amp;"P"&amp;A440+1))),A440+1,IF(NOT(ISBLANK(INDIRECT("template!"&amp;"P"&amp;A440+2))),A440+2,A440+3)),IF(A440=$AF$2,$AF$3,IF(A440=$AF$4,$AF$5,IF(A440=$AF$5,$AF$6,IF(A440=$AF$7,$AF$8,""))))))</f>
        <v>#REF!</v>
      </c>
      <c r="B441" t="e">
        <f t="shared" ca="1" si="33"/>
        <v>#REF!</v>
      </c>
      <c r="C441" t="e" cm="1">
        <f t="array" aca="1" ref="C441" ca="1">IF(A441="","",IF(B441="safety","safety costs",INDIRECT("template!"&amp;"B"&amp;A441)))</f>
        <v>#REF!</v>
      </c>
      <c r="D441" t="e" cm="1">
        <f t="array" aca="1" ref="D441" ca="1">IF(OR(A441="",B441="safety"),"",INDIRECT("template!"&amp;"C"&amp;A441))</f>
        <v>#REF!</v>
      </c>
      <c r="E441" t="e" cm="1">
        <f t="array" aca="1" ref="E441" ca="1">IF(A441="","",IF(OR(A441=A440+1,A441=A440+2),E440,INDIRECT("template!"&amp;"D"&amp;A441-2)))</f>
        <v>#REF!</v>
      </c>
      <c r="F441" t="e" cm="1">
        <f t="array" aca="1" ref="F441" ca="1">IF(OR(A441="",B441="safety"),"",IF(ISBLANK(IF(A441=A440+1,F440,INDIRECT("template!"&amp;"D"&amp;A441-1))),"",IF(A441=A440+1,F440,INDIRECT("template!"&amp;"D"&amp;A441-1))))</f>
        <v>#REF!</v>
      </c>
      <c r="G441" t="e" cm="1">
        <f t="array" aca="1" ref="G441" ca="1">IF(OR(A441="",B441="safety"),"",IF(ISBLANK(INDIRECT("template!"&amp;"D"&amp;A441)),"",INDIRECT("template!"&amp;"D"&amp;A441)))</f>
        <v>#REF!</v>
      </c>
      <c r="H441" t="e" cm="1">
        <f t="array" aca="1" ref="H441" ca="1">IF(OR(A441="",B441="safety"),"",IF(ISBLANK(INDIRECT("template!"&amp;"E"&amp;A441)),"",INDIRECT("template!"&amp;"E"&amp;A441)))</f>
        <v>#REF!</v>
      </c>
      <c r="I441" t="e" cm="1">
        <f t="array" aca="1" ref="I441" ca="1">IF(OR(A441="",B441="safety"),"",IF(ISBLANK(INDIRECT("template!"&amp;"F"&amp;A441)),"",INDIRECT("template!"&amp;"F"&amp;A441)))</f>
        <v>#REF!</v>
      </c>
      <c r="J441" t="e" cm="1">
        <f t="array" aca="1" ref="J441" ca="1">IF(OR(A441="",B441="safety"),"",IF(ISBLANK(INDIRECT("template!"&amp;"G"&amp;A441)),"",INDIRECT("template!"&amp;"G"&amp;A441)))</f>
        <v>#REF!</v>
      </c>
      <c r="K441" t="e" cm="1">
        <f t="array" aca="1" ref="K441" ca="1">IF(OR(A441="",B441="safety"),"",IF(ISBLANK(INDIRECT("template!"&amp;"H"&amp;A441)),"",INDIRECT("template!"&amp;"H"&amp;A441)))</f>
        <v>#REF!</v>
      </c>
      <c r="L441" t="e" cm="1">
        <f t="array" aca="1" ref="L441" ca="1">IF(OR(A441="",B441="safety"),"",INDIRECT("template!"&amp;"I"&amp;A441))</f>
        <v>#REF!</v>
      </c>
      <c r="M441" t="e" cm="1">
        <f t="array" aca="1" ref="M441" ca="1">IF(OR(A441="",B441="safety"),"",INDIRECT("template!"&amp;"J"&amp;A441))</f>
        <v>#REF!</v>
      </c>
      <c r="N441" t="e" cm="1">
        <f t="array" aca="1" ref="N441" ca="1">IF(OR(A441="",B441="safety"),"",IF(ISBLANK(INDIRECT("template!"&amp;"K"&amp;A441)),"",INDIRECT("template!"&amp;"K"&amp;A441)))</f>
        <v>#REF!</v>
      </c>
      <c r="O441" t="e" cm="1">
        <f t="array" aca="1" ref="O441" ca="1">IF(OR(A441="",B441="safety"),"",INDIRECT("template!"&amp;"L"&amp;A441))</f>
        <v>#REF!</v>
      </c>
      <c r="P441" t="e" cm="1">
        <f t="array" aca="1" ref="P441" ca="1">IF(OR(A441="",B441="safety"),"",INDIRECT("template!"&amp;"M"&amp;A441))</f>
        <v>#REF!</v>
      </c>
      <c r="Q441" t="e">
        <f t="shared" ca="1" si="34"/>
        <v>#REF!</v>
      </c>
      <c r="R441" t="e">
        <f t="shared" ca="1" si="35"/>
        <v>#REF!</v>
      </c>
      <c r="S441" t="e">
        <f t="shared" ca="1" si="36"/>
        <v>#REF!</v>
      </c>
      <c r="T441" t="e">
        <f t="shared" ca="1" si="37"/>
        <v>#REF!</v>
      </c>
      <c r="U441" t="e" cm="1">
        <f t="array" aca="1" ref="U441" ca="1">IF(A441="","",IF(E441="","",IF(B441="safety",INDIRECT("template!"&amp;"P"&amp;A441),Q441+R441)))</f>
        <v>#REF!</v>
      </c>
      <c r="V441" t="e" cm="1">
        <f t="array" aca="1" ref="V441" ca="1">IF(A441="","",IF(E441="","",IF(B441="safety",INDIRECT("template!"&amp;"P"&amp;A441),S441+T441)))</f>
        <v>#REF!</v>
      </c>
      <c r="W441" t="e">
        <f ca="1">IF(A441="","",IF(E441="","",#REF!))</f>
        <v>#REF!</v>
      </c>
      <c r="X441" t="e">
        <f ca="1">IF(A441="","",IF(E441="","",#REF!))</f>
        <v>#REF!</v>
      </c>
      <c r="Y441" s="39" t="e">
        <f ca="1">IF(A441="","",IF(E441="","",#REF!))</f>
        <v>#REF!</v>
      </c>
      <c r="Z441" t="e">
        <f ca="1">IF(A441="","",IF(E441="","",#REF!))</f>
        <v>#REF!</v>
      </c>
      <c r="AA441" t="e">
        <f ca="1">IF(A441="","",IF(E441="","",#REF!))</f>
        <v>#REF!</v>
      </c>
      <c r="AB441" t="e">
        <f ca="1">IF(A441="","",IF(E441="","",#REF!))</f>
        <v>#REF!</v>
      </c>
      <c r="AC441" t="e">
        <f t="shared" ca="1" si="38"/>
        <v>#REF!</v>
      </c>
    </row>
    <row r="442" spans="1:29" x14ac:dyDescent="0.35">
      <c r="A442" t="e" cm="1">
        <f t="array" aca="1" ref="A442" ca="1">IF(A441="","",IF(OR(AND(A441+1&gt;=$AF$1,A441+1&lt;=$AF$2),AND(A441+1&gt;=$AF$6,A441+1&lt;=$AF$7),AND(A441+1&gt;=$AF$3,A441+1&lt;=$AF$4),AND(A441+1&gt;=$AF$8,A441+1&lt;=$AF$9),A441+1=$AF$5),IF(NOT(ISBLANK(INDIRECT("template!"&amp;"P"&amp;A441+1))),A441+1,IF(NOT(ISBLANK(INDIRECT("template!"&amp;"P"&amp;A441+2))),A441+2,A441+3)),IF(A441=$AF$2,$AF$3,IF(A441=$AF$4,$AF$5,IF(A441=$AF$5,$AF$6,IF(A441=$AF$7,$AF$8,""))))))</f>
        <v>#REF!</v>
      </c>
      <c r="B442" t="e">
        <f t="shared" ca="1" si="33"/>
        <v>#REF!</v>
      </c>
      <c r="C442" t="e" cm="1">
        <f t="array" aca="1" ref="C442" ca="1">IF(A442="","",IF(B442="safety","safety costs",INDIRECT("template!"&amp;"B"&amp;A442)))</f>
        <v>#REF!</v>
      </c>
      <c r="D442" t="e" cm="1">
        <f t="array" aca="1" ref="D442" ca="1">IF(OR(A442="",B442="safety"),"",INDIRECT("template!"&amp;"C"&amp;A442))</f>
        <v>#REF!</v>
      </c>
      <c r="E442" t="e" cm="1">
        <f t="array" aca="1" ref="E442" ca="1">IF(A442="","",IF(OR(A442=A441+1,A442=A441+2),E441,INDIRECT("template!"&amp;"D"&amp;A442-2)))</f>
        <v>#REF!</v>
      </c>
      <c r="F442" t="e" cm="1">
        <f t="array" aca="1" ref="F442" ca="1">IF(OR(A442="",B442="safety"),"",IF(ISBLANK(IF(A442=A441+1,F441,INDIRECT("template!"&amp;"D"&amp;A442-1))),"",IF(A442=A441+1,F441,INDIRECT("template!"&amp;"D"&amp;A442-1))))</f>
        <v>#REF!</v>
      </c>
      <c r="G442" t="e" cm="1">
        <f t="array" aca="1" ref="G442" ca="1">IF(OR(A442="",B442="safety"),"",IF(ISBLANK(INDIRECT("template!"&amp;"D"&amp;A442)),"",INDIRECT("template!"&amp;"D"&amp;A442)))</f>
        <v>#REF!</v>
      </c>
      <c r="H442" t="e" cm="1">
        <f t="array" aca="1" ref="H442" ca="1">IF(OR(A442="",B442="safety"),"",IF(ISBLANK(INDIRECT("template!"&amp;"E"&amp;A442)),"",INDIRECT("template!"&amp;"E"&amp;A442)))</f>
        <v>#REF!</v>
      </c>
      <c r="I442" t="e" cm="1">
        <f t="array" aca="1" ref="I442" ca="1">IF(OR(A442="",B442="safety"),"",IF(ISBLANK(INDIRECT("template!"&amp;"F"&amp;A442)),"",INDIRECT("template!"&amp;"F"&amp;A442)))</f>
        <v>#REF!</v>
      </c>
      <c r="J442" t="e" cm="1">
        <f t="array" aca="1" ref="J442" ca="1">IF(OR(A442="",B442="safety"),"",IF(ISBLANK(INDIRECT("template!"&amp;"G"&amp;A442)),"",INDIRECT("template!"&amp;"G"&amp;A442)))</f>
        <v>#REF!</v>
      </c>
      <c r="K442" t="e" cm="1">
        <f t="array" aca="1" ref="K442" ca="1">IF(OR(A442="",B442="safety"),"",IF(ISBLANK(INDIRECT("template!"&amp;"H"&amp;A442)),"",INDIRECT("template!"&amp;"H"&amp;A442)))</f>
        <v>#REF!</v>
      </c>
      <c r="L442" t="e" cm="1">
        <f t="array" aca="1" ref="L442" ca="1">IF(OR(A442="",B442="safety"),"",INDIRECT("template!"&amp;"I"&amp;A442))</f>
        <v>#REF!</v>
      </c>
      <c r="M442" t="e" cm="1">
        <f t="array" aca="1" ref="M442" ca="1">IF(OR(A442="",B442="safety"),"",INDIRECT("template!"&amp;"J"&amp;A442))</f>
        <v>#REF!</v>
      </c>
      <c r="N442" t="e" cm="1">
        <f t="array" aca="1" ref="N442" ca="1">IF(OR(A442="",B442="safety"),"",IF(ISBLANK(INDIRECT("template!"&amp;"K"&amp;A442)),"",INDIRECT("template!"&amp;"K"&amp;A442)))</f>
        <v>#REF!</v>
      </c>
      <c r="O442" t="e" cm="1">
        <f t="array" aca="1" ref="O442" ca="1">IF(OR(A442="",B442="safety"),"",INDIRECT("template!"&amp;"L"&amp;A442))</f>
        <v>#REF!</v>
      </c>
      <c r="P442" t="e" cm="1">
        <f t="array" aca="1" ref="P442" ca="1">IF(OR(A442="",B442="safety"),"",INDIRECT("template!"&amp;"M"&amp;A442))</f>
        <v>#REF!</v>
      </c>
      <c r="Q442" t="e">
        <f t="shared" ca="1" si="34"/>
        <v>#REF!</v>
      </c>
      <c r="R442" t="e">
        <f t="shared" ca="1" si="35"/>
        <v>#REF!</v>
      </c>
      <c r="S442" t="e">
        <f t="shared" ca="1" si="36"/>
        <v>#REF!</v>
      </c>
      <c r="T442" t="e">
        <f t="shared" ca="1" si="37"/>
        <v>#REF!</v>
      </c>
      <c r="U442" t="e" cm="1">
        <f t="array" aca="1" ref="U442" ca="1">IF(A442="","",IF(E442="","",IF(B442="safety",INDIRECT("template!"&amp;"P"&amp;A442),Q442+R442)))</f>
        <v>#REF!</v>
      </c>
      <c r="V442" t="e" cm="1">
        <f t="array" aca="1" ref="V442" ca="1">IF(A442="","",IF(E442="","",IF(B442="safety",INDIRECT("template!"&amp;"P"&amp;A442),S442+T442)))</f>
        <v>#REF!</v>
      </c>
      <c r="W442" t="e">
        <f ca="1">IF(A442="","",IF(E442="","",#REF!))</f>
        <v>#REF!</v>
      </c>
      <c r="X442" t="e">
        <f ca="1">IF(A442="","",IF(E442="","",#REF!))</f>
        <v>#REF!</v>
      </c>
      <c r="Y442" s="39" t="e">
        <f ca="1">IF(A442="","",IF(E442="","",#REF!))</f>
        <v>#REF!</v>
      </c>
      <c r="Z442" t="e">
        <f ca="1">IF(A442="","",IF(E442="","",#REF!))</f>
        <v>#REF!</v>
      </c>
      <c r="AA442" t="e">
        <f ca="1">IF(A442="","",IF(E442="","",#REF!))</f>
        <v>#REF!</v>
      </c>
      <c r="AB442" t="e">
        <f ca="1">IF(A442="","",IF(E442="","",#REF!))</f>
        <v>#REF!</v>
      </c>
      <c r="AC442" t="e">
        <f t="shared" ca="1" si="38"/>
        <v>#REF!</v>
      </c>
    </row>
    <row r="443" spans="1:29" x14ac:dyDescent="0.35">
      <c r="A443" t="e" cm="1">
        <f t="array" aca="1" ref="A443" ca="1">IF(A442="","",IF(OR(AND(A442+1&gt;=$AF$1,A442+1&lt;=$AF$2),AND(A442+1&gt;=$AF$6,A442+1&lt;=$AF$7),AND(A442+1&gt;=$AF$3,A442+1&lt;=$AF$4),AND(A442+1&gt;=$AF$8,A442+1&lt;=$AF$9),A442+1=$AF$5),IF(NOT(ISBLANK(INDIRECT("template!"&amp;"P"&amp;A442+1))),A442+1,IF(NOT(ISBLANK(INDIRECT("template!"&amp;"P"&amp;A442+2))),A442+2,A442+3)),IF(A442=$AF$2,$AF$3,IF(A442=$AF$4,$AF$5,IF(A442=$AF$5,$AF$6,IF(A442=$AF$7,$AF$8,""))))))</f>
        <v>#REF!</v>
      </c>
      <c r="B443" t="e">
        <f t="shared" ca="1" si="33"/>
        <v>#REF!</v>
      </c>
      <c r="C443" t="e" cm="1">
        <f t="array" aca="1" ref="C443" ca="1">IF(A443="","",IF(B443="safety","safety costs",INDIRECT("template!"&amp;"B"&amp;A443)))</f>
        <v>#REF!</v>
      </c>
      <c r="D443" t="e" cm="1">
        <f t="array" aca="1" ref="D443" ca="1">IF(OR(A443="",B443="safety"),"",INDIRECT("template!"&amp;"C"&amp;A443))</f>
        <v>#REF!</v>
      </c>
      <c r="E443" t="e" cm="1">
        <f t="array" aca="1" ref="E443" ca="1">IF(A443="","",IF(OR(A443=A442+1,A443=A442+2),E442,INDIRECT("template!"&amp;"D"&amp;A443-2)))</f>
        <v>#REF!</v>
      </c>
      <c r="F443" t="e" cm="1">
        <f t="array" aca="1" ref="F443" ca="1">IF(OR(A443="",B443="safety"),"",IF(ISBLANK(IF(A443=A442+1,F442,INDIRECT("template!"&amp;"D"&amp;A443-1))),"",IF(A443=A442+1,F442,INDIRECT("template!"&amp;"D"&amp;A443-1))))</f>
        <v>#REF!</v>
      </c>
      <c r="G443" t="e" cm="1">
        <f t="array" aca="1" ref="G443" ca="1">IF(OR(A443="",B443="safety"),"",IF(ISBLANK(INDIRECT("template!"&amp;"D"&amp;A443)),"",INDIRECT("template!"&amp;"D"&amp;A443)))</f>
        <v>#REF!</v>
      </c>
      <c r="H443" t="e" cm="1">
        <f t="array" aca="1" ref="H443" ca="1">IF(OR(A443="",B443="safety"),"",IF(ISBLANK(INDIRECT("template!"&amp;"E"&amp;A443)),"",INDIRECT("template!"&amp;"E"&amp;A443)))</f>
        <v>#REF!</v>
      </c>
      <c r="I443" t="e" cm="1">
        <f t="array" aca="1" ref="I443" ca="1">IF(OR(A443="",B443="safety"),"",IF(ISBLANK(INDIRECT("template!"&amp;"F"&amp;A443)),"",INDIRECT("template!"&amp;"F"&amp;A443)))</f>
        <v>#REF!</v>
      </c>
      <c r="J443" t="e" cm="1">
        <f t="array" aca="1" ref="J443" ca="1">IF(OR(A443="",B443="safety"),"",IF(ISBLANK(INDIRECT("template!"&amp;"G"&amp;A443)),"",INDIRECT("template!"&amp;"G"&amp;A443)))</f>
        <v>#REF!</v>
      </c>
      <c r="K443" t="e" cm="1">
        <f t="array" aca="1" ref="K443" ca="1">IF(OR(A443="",B443="safety"),"",IF(ISBLANK(INDIRECT("template!"&amp;"H"&amp;A443)),"",INDIRECT("template!"&amp;"H"&amp;A443)))</f>
        <v>#REF!</v>
      </c>
      <c r="L443" t="e" cm="1">
        <f t="array" aca="1" ref="L443" ca="1">IF(OR(A443="",B443="safety"),"",INDIRECT("template!"&amp;"I"&amp;A443))</f>
        <v>#REF!</v>
      </c>
      <c r="M443" t="e" cm="1">
        <f t="array" aca="1" ref="M443" ca="1">IF(OR(A443="",B443="safety"),"",INDIRECT("template!"&amp;"J"&amp;A443))</f>
        <v>#REF!</v>
      </c>
      <c r="N443" t="e" cm="1">
        <f t="array" aca="1" ref="N443" ca="1">IF(OR(A443="",B443="safety"),"",IF(ISBLANK(INDIRECT("template!"&amp;"K"&amp;A443)),"",INDIRECT("template!"&amp;"K"&amp;A443)))</f>
        <v>#REF!</v>
      </c>
      <c r="O443" t="e" cm="1">
        <f t="array" aca="1" ref="O443" ca="1">IF(OR(A443="",B443="safety"),"",INDIRECT("template!"&amp;"L"&amp;A443))</f>
        <v>#REF!</v>
      </c>
      <c r="P443" t="e" cm="1">
        <f t="array" aca="1" ref="P443" ca="1">IF(OR(A443="",B443="safety"),"",INDIRECT("template!"&amp;"M"&amp;A443))</f>
        <v>#REF!</v>
      </c>
      <c r="Q443" t="e">
        <f t="shared" ca="1" si="34"/>
        <v>#REF!</v>
      </c>
      <c r="R443" t="e">
        <f t="shared" ca="1" si="35"/>
        <v>#REF!</v>
      </c>
      <c r="S443" t="e">
        <f t="shared" ca="1" si="36"/>
        <v>#REF!</v>
      </c>
      <c r="T443" t="e">
        <f t="shared" ca="1" si="37"/>
        <v>#REF!</v>
      </c>
      <c r="U443" t="e" cm="1">
        <f t="array" aca="1" ref="U443" ca="1">IF(A443="","",IF(E443="","",IF(B443="safety",INDIRECT("template!"&amp;"P"&amp;A443),Q443+R443)))</f>
        <v>#REF!</v>
      </c>
      <c r="V443" t="e" cm="1">
        <f t="array" aca="1" ref="V443" ca="1">IF(A443="","",IF(E443="","",IF(B443="safety",INDIRECT("template!"&amp;"P"&amp;A443),S443+T443)))</f>
        <v>#REF!</v>
      </c>
      <c r="W443" t="e">
        <f ca="1">IF(A443="","",IF(E443="","",#REF!))</f>
        <v>#REF!</v>
      </c>
      <c r="X443" t="e">
        <f ca="1">IF(A443="","",IF(E443="","",#REF!))</f>
        <v>#REF!</v>
      </c>
      <c r="Y443" s="39" t="e">
        <f ca="1">IF(A443="","",IF(E443="","",#REF!))</f>
        <v>#REF!</v>
      </c>
      <c r="Z443" t="e">
        <f ca="1">IF(A443="","",IF(E443="","",#REF!))</f>
        <v>#REF!</v>
      </c>
      <c r="AA443" t="e">
        <f ca="1">IF(A443="","",IF(E443="","",#REF!))</f>
        <v>#REF!</v>
      </c>
      <c r="AB443" t="e">
        <f ca="1">IF(A443="","",IF(E443="","",#REF!))</f>
        <v>#REF!</v>
      </c>
      <c r="AC443" t="e">
        <f t="shared" ca="1" si="38"/>
        <v>#REF!</v>
      </c>
    </row>
    <row r="444" spans="1:29" x14ac:dyDescent="0.35">
      <c r="A444" t="e" cm="1">
        <f t="array" aca="1" ref="A444" ca="1">IF(A443="","",IF(OR(AND(A443+1&gt;=$AF$1,A443+1&lt;=$AF$2),AND(A443+1&gt;=$AF$6,A443+1&lt;=$AF$7),AND(A443+1&gt;=$AF$3,A443+1&lt;=$AF$4),AND(A443+1&gt;=$AF$8,A443+1&lt;=$AF$9),A443+1=$AF$5),IF(NOT(ISBLANK(INDIRECT("template!"&amp;"P"&amp;A443+1))),A443+1,IF(NOT(ISBLANK(INDIRECT("template!"&amp;"P"&amp;A443+2))),A443+2,A443+3)),IF(A443=$AF$2,$AF$3,IF(A443=$AF$4,$AF$5,IF(A443=$AF$5,$AF$6,IF(A443=$AF$7,$AF$8,""))))))</f>
        <v>#REF!</v>
      </c>
      <c r="B444" t="e">
        <f t="shared" ca="1" si="33"/>
        <v>#REF!</v>
      </c>
      <c r="C444" t="e" cm="1">
        <f t="array" aca="1" ref="C444" ca="1">IF(A444="","",IF(B444="safety","safety costs",INDIRECT("template!"&amp;"B"&amp;A444)))</f>
        <v>#REF!</v>
      </c>
      <c r="D444" t="e" cm="1">
        <f t="array" aca="1" ref="D444" ca="1">IF(OR(A444="",B444="safety"),"",INDIRECT("template!"&amp;"C"&amp;A444))</f>
        <v>#REF!</v>
      </c>
      <c r="E444" t="e" cm="1">
        <f t="array" aca="1" ref="E444" ca="1">IF(A444="","",IF(OR(A444=A443+1,A444=A443+2),E443,INDIRECT("template!"&amp;"D"&amp;A444-2)))</f>
        <v>#REF!</v>
      </c>
      <c r="F444" t="e" cm="1">
        <f t="array" aca="1" ref="F444" ca="1">IF(OR(A444="",B444="safety"),"",IF(ISBLANK(IF(A444=A443+1,F443,INDIRECT("template!"&amp;"D"&amp;A444-1))),"",IF(A444=A443+1,F443,INDIRECT("template!"&amp;"D"&amp;A444-1))))</f>
        <v>#REF!</v>
      </c>
      <c r="G444" t="e" cm="1">
        <f t="array" aca="1" ref="G444" ca="1">IF(OR(A444="",B444="safety"),"",IF(ISBLANK(INDIRECT("template!"&amp;"D"&amp;A444)),"",INDIRECT("template!"&amp;"D"&amp;A444)))</f>
        <v>#REF!</v>
      </c>
      <c r="H444" t="e" cm="1">
        <f t="array" aca="1" ref="H444" ca="1">IF(OR(A444="",B444="safety"),"",IF(ISBLANK(INDIRECT("template!"&amp;"E"&amp;A444)),"",INDIRECT("template!"&amp;"E"&amp;A444)))</f>
        <v>#REF!</v>
      </c>
      <c r="I444" t="e" cm="1">
        <f t="array" aca="1" ref="I444" ca="1">IF(OR(A444="",B444="safety"),"",IF(ISBLANK(INDIRECT("template!"&amp;"F"&amp;A444)),"",INDIRECT("template!"&amp;"F"&amp;A444)))</f>
        <v>#REF!</v>
      </c>
      <c r="J444" t="e" cm="1">
        <f t="array" aca="1" ref="J444" ca="1">IF(OR(A444="",B444="safety"),"",IF(ISBLANK(INDIRECT("template!"&amp;"G"&amp;A444)),"",INDIRECT("template!"&amp;"G"&amp;A444)))</f>
        <v>#REF!</v>
      </c>
      <c r="K444" t="e" cm="1">
        <f t="array" aca="1" ref="K444" ca="1">IF(OR(A444="",B444="safety"),"",IF(ISBLANK(INDIRECT("template!"&amp;"H"&amp;A444)),"",INDIRECT("template!"&amp;"H"&amp;A444)))</f>
        <v>#REF!</v>
      </c>
      <c r="L444" t="e" cm="1">
        <f t="array" aca="1" ref="L444" ca="1">IF(OR(A444="",B444="safety"),"",INDIRECT("template!"&amp;"I"&amp;A444))</f>
        <v>#REF!</v>
      </c>
      <c r="M444" t="e" cm="1">
        <f t="array" aca="1" ref="M444" ca="1">IF(OR(A444="",B444="safety"),"",INDIRECT("template!"&amp;"J"&amp;A444))</f>
        <v>#REF!</v>
      </c>
      <c r="N444" t="e" cm="1">
        <f t="array" aca="1" ref="N444" ca="1">IF(OR(A444="",B444="safety"),"",IF(ISBLANK(INDIRECT("template!"&amp;"K"&amp;A444)),"",INDIRECT("template!"&amp;"K"&amp;A444)))</f>
        <v>#REF!</v>
      </c>
      <c r="O444" t="e" cm="1">
        <f t="array" aca="1" ref="O444" ca="1">IF(OR(A444="",B444="safety"),"",INDIRECT("template!"&amp;"L"&amp;A444))</f>
        <v>#REF!</v>
      </c>
      <c r="P444" t="e" cm="1">
        <f t="array" aca="1" ref="P444" ca="1">IF(OR(A444="",B444="safety"),"",INDIRECT("template!"&amp;"M"&amp;A444))</f>
        <v>#REF!</v>
      </c>
      <c r="Q444" t="e">
        <f t="shared" ca="1" si="34"/>
        <v>#REF!</v>
      </c>
      <c r="R444" t="e">
        <f t="shared" ca="1" si="35"/>
        <v>#REF!</v>
      </c>
      <c r="S444" t="e">
        <f t="shared" ca="1" si="36"/>
        <v>#REF!</v>
      </c>
      <c r="T444" t="e">
        <f t="shared" ca="1" si="37"/>
        <v>#REF!</v>
      </c>
      <c r="U444" t="e" cm="1">
        <f t="array" aca="1" ref="U444" ca="1">IF(A444="","",IF(E444="","",IF(B444="safety",INDIRECT("template!"&amp;"P"&amp;A444),Q444+R444)))</f>
        <v>#REF!</v>
      </c>
      <c r="V444" t="e" cm="1">
        <f t="array" aca="1" ref="V444" ca="1">IF(A444="","",IF(E444="","",IF(B444="safety",INDIRECT("template!"&amp;"P"&amp;A444),S444+T444)))</f>
        <v>#REF!</v>
      </c>
      <c r="W444" t="e">
        <f ca="1">IF(A444="","",IF(E444="","",#REF!))</f>
        <v>#REF!</v>
      </c>
      <c r="X444" t="e">
        <f ca="1">IF(A444="","",IF(E444="","",#REF!))</f>
        <v>#REF!</v>
      </c>
      <c r="Y444" s="39" t="e">
        <f ca="1">IF(A444="","",IF(E444="","",#REF!))</f>
        <v>#REF!</v>
      </c>
      <c r="Z444" t="e">
        <f ca="1">IF(A444="","",IF(E444="","",#REF!))</f>
        <v>#REF!</v>
      </c>
      <c r="AA444" t="e">
        <f ca="1">IF(A444="","",IF(E444="","",#REF!))</f>
        <v>#REF!</v>
      </c>
      <c r="AB444" t="e">
        <f ca="1">IF(A444="","",IF(E444="","",#REF!))</f>
        <v>#REF!</v>
      </c>
      <c r="AC444" t="e">
        <f t="shared" ca="1" si="38"/>
        <v>#REF!</v>
      </c>
    </row>
    <row r="445" spans="1:29" x14ac:dyDescent="0.35">
      <c r="A445" t="e" cm="1">
        <f t="array" aca="1" ref="A445" ca="1">IF(A444="","",IF(OR(AND(A444+1&gt;=$AF$1,A444+1&lt;=$AF$2),AND(A444+1&gt;=$AF$6,A444+1&lt;=$AF$7),AND(A444+1&gt;=$AF$3,A444+1&lt;=$AF$4),AND(A444+1&gt;=$AF$8,A444+1&lt;=$AF$9),A444+1=$AF$5),IF(NOT(ISBLANK(INDIRECT("template!"&amp;"P"&amp;A444+1))),A444+1,IF(NOT(ISBLANK(INDIRECT("template!"&amp;"P"&amp;A444+2))),A444+2,A444+3)),IF(A444=$AF$2,$AF$3,IF(A444=$AF$4,$AF$5,IF(A444=$AF$5,$AF$6,IF(A444=$AF$7,$AF$8,""))))))</f>
        <v>#REF!</v>
      </c>
      <c r="B445" t="e">
        <f t="shared" ca="1" si="33"/>
        <v>#REF!</v>
      </c>
      <c r="C445" t="e" cm="1">
        <f t="array" aca="1" ref="C445" ca="1">IF(A445="","",IF(B445="safety","safety costs",INDIRECT("template!"&amp;"B"&amp;A445)))</f>
        <v>#REF!</v>
      </c>
      <c r="D445" t="e" cm="1">
        <f t="array" aca="1" ref="D445" ca="1">IF(OR(A445="",B445="safety"),"",INDIRECT("template!"&amp;"C"&amp;A445))</f>
        <v>#REF!</v>
      </c>
      <c r="E445" t="e" cm="1">
        <f t="array" aca="1" ref="E445" ca="1">IF(A445="","",IF(OR(A445=A444+1,A445=A444+2),E444,INDIRECT("template!"&amp;"D"&amp;A445-2)))</f>
        <v>#REF!</v>
      </c>
      <c r="F445" t="e" cm="1">
        <f t="array" aca="1" ref="F445" ca="1">IF(OR(A445="",B445="safety"),"",IF(ISBLANK(IF(A445=A444+1,F444,INDIRECT("template!"&amp;"D"&amp;A445-1))),"",IF(A445=A444+1,F444,INDIRECT("template!"&amp;"D"&amp;A445-1))))</f>
        <v>#REF!</v>
      </c>
      <c r="G445" t="e" cm="1">
        <f t="array" aca="1" ref="G445" ca="1">IF(OR(A445="",B445="safety"),"",IF(ISBLANK(INDIRECT("template!"&amp;"D"&amp;A445)),"",INDIRECT("template!"&amp;"D"&amp;A445)))</f>
        <v>#REF!</v>
      </c>
      <c r="H445" t="e" cm="1">
        <f t="array" aca="1" ref="H445" ca="1">IF(OR(A445="",B445="safety"),"",IF(ISBLANK(INDIRECT("template!"&amp;"E"&amp;A445)),"",INDIRECT("template!"&amp;"E"&amp;A445)))</f>
        <v>#REF!</v>
      </c>
      <c r="I445" t="e" cm="1">
        <f t="array" aca="1" ref="I445" ca="1">IF(OR(A445="",B445="safety"),"",IF(ISBLANK(INDIRECT("template!"&amp;"F"&amp;A445)),"",INDIRECT("template!"&amp;"F"&amp;A445)))</f>
        <v>#REF!</v>
      </c>
      <c r="J445" t="e" cm="1">
        <f t="array" aca="1" ref="J445" ca="1">IF(OR(A445="",B445="safety"),"",IF(ISBLANK(INDIRECT("template!"&amp;"G"&amp;A445)),"",INDIRECT("template!"&amp;"G"&amp;A445)))</f>
        <v>#REF!</v>
      </c>
      <c r="K445" t="e" cm="1">
        <f t="array" aca="1" ref="K445" ca="1">IF(OR(A445="",B445="safety"),"",IF(ISBLANK(INDIRECT("template!"&amp;"H"&amp;A445)),"",INDIRECT("template!"&amp;"H"&amp;A445)))</f>
        <v>#REF!</v>
      </c>
      <c r="L445" t="e" cm="1">
        <f t="array" aca="1" ref="L445" ca="1">IF(OR(A445="",B445="safety"),"",INDIRECT("template!"&amp;"I"&amp;A445))</f>
        <v>#REF!</v>
      </c>
      <c r="M445" t="e" cm="1">
        <f t="array" aca="1" ref="M445" ca="1">IF(OR(A445="",B445="safety"),"",INDIRECT("template!"&amp;"J"&amp;A445))</f>
        <v>#REF!</v>
      </c>
      <c r="N445" t="e" cm="1">
        <f t="array" aca="1" ref="N445" ca="1">IF(OR(A445="",B445="safety"),"",IF(ISBLANK(INDIRECT("template!"&amp;"K"&amp;A445)),"",INDIRECT("template!"&amp;"K"&amp;A445)))</f>
        <v>#REF!</v>
      </c>
      <c r="O445" t="e" cm="1">
        <f t="array" aca="1" ref="O445" ca="1">IF(OR(A445="",B445="safety"),"",INDIRECT("template!"&amp;"L"&amp;A445))</f>
        <v>#REF!</v>
      </c>
      <c r="P445" t="e" cm="1">
        <f t="array" aca="1" ref="P445" ca="1">IF(OR(A445="",B445="safety"),"",INDIRECT("template!"&amp;"M"&amp;A445))</f>
        <v>#REF!</v>
      </c>
      <c r="Q445" t="e">
        <f t="shared" ca="1" si="34"/>
        <v>#REF!</v>
      </c>
      <c r="R445" t="e">
        <f t="shared" ca="1" si="35"/>
        <v>#REF!</v>
      </c>
      <c r="S445" t="e">
        <f t="shared" ca="1" si="36"/>
        <v>#REF!</v>
      </c>
      <c r="T445" t="e">
        <f t="shared" ca="1" si="37"/>
        <v>#REF!</v>
      </c>
      <c r="U445" t="e" cm="1">
        <f t="array" aca="1" ref="U445" ca="1">IF(A445="","",IF(E445="","",IF(B445="safety",INDIRECT("template!"&amp;"P"&amp;A445),Q445+R445)))</f>
        <v>#REF!</v>
      </c>
      <c r="V445" t="e" cm="1">
        <f t="array" aca="1" ref="V445" ca="1">IF(A445="","",IF(E445="","",IF(B445="safety",INDIRECT("template!"&amp;"P"&amp;A445),S445+T445)))</f>
        <v>#REF!</v>
      </c>
      <c r="W445" t="e">
        <f ca="1">IF(A445="","",IF(E445="","",#REF!))</f>
        <v>#REF!</v>
      </c>
      <c r="X445" t="e">
        <f ca="1">IF(A445="","",IF(E445="","",#REF!))</f>
        <v>#REF!</v>
      </c>
      <c r="Y445" s="39" t="e">
        <f ca="1">IF(A445="","",IF(E445="","",#REF!))</f>
        <v>#REF!</v>
      </c>
      <c r="Z445" t="e">
        <f ca="1">IF(A445="","",IF(E445="","",#REF!))</f>
        <v>#REF!</v>
      </c>
      <c r="AA445" t="e">
        <f ca="1">IF(A445="","",IF(E445="","",#REF!))</f>
        <v>#REF!</v>
      </c>
      <c r="AB445" t="e">
        <f ca="1">IF(A445="","",IF(E445="","",#REF!))</f>
        <v>#REF!</v>
      </c>
      <c r="AC445" t="e">
        <f t="shared" ca="1" si="38"/>
        <v>#REF!</v>
      </c>
    </row>
    <row r="446" spans="1:29" x14ac:dyDescent="0.35">
      <c r="A446" t="e" cm="1">
        <f t="array" aca="1" ref="A446" ca="1">IF(A445="","",IF(OR(AND(A445+1&gt;=$AF$1,A445+1&lt;=$AF$2),AND(A445+1&gt;=$AF$6,A445+1&lt;=$AF$7),AND(A445+1&gt;=$AF$3,A445+1&lt;=$AF$4),AND(A445+1&gt;=$AF$8,A445+1&lt;=$AF$9),A445+1=$AF$5),IF(NOT(ISBLANK(INDIRECT("template!"&amp;"P"&amp;A445+1))),A445+1,IF(NOT(ISBLANK(INDIRECT("template!"&amp;"P"&amp;A445+2))),A445+2,A445+3)),IF(A445=$AF$2,$AF$3,IF(A445=$AF$4,$AF$5,IF(A445=$AF$5,$AF$6,IF(A445=$AF$7,$AF$8,""))))))</f>
        <v>#REF!</v>
      </c>
      <c r="B446" t="e">
        <f t="shared" ca="1" si="33"/>
        <v>#REF!</v>
      </c>
      <c r="C446" t="e" cm="1">
        <f t="array" aca="1" ref="C446" ca="1">IF(A446="","",IF(B446="safety","safety costs",INDIRECT("template!"&amp;"B"&amp;A446)))</f>
        <v>#REF!</v>
      </c>
      <c r="D446" t="e" cm="1">
        <f t="array" aca="1" ref="D446" ca="1">IF(OR(A446="",B446="safety"),"",INDIRECT("template!"&amp;"C"&amp;A446))</f>
        <v>#REF!</v>
      </c>
      <c r="E446" t="e" cm="1">
        <f t="array" aca="1" ref="E446" ca="1">IF(A446="","",IF(OR(A446=A445+1,A446=A445+2),E445,INDIRECT("template!"&amp;"D"&amp;A446-2)))</f>
        <v>#REF!</v>
      </c>
      <c r="F446" t="e" cm="1">
        <f t="array" aca="1" ref="F446" ca="1">IF(OR(A446="",B446="safety"),"",IF(ISBLANK(IF(A446=A445+1,F445,INDIRECT("template!"&amp;"D"&amp;A446-1))),"",IF(A446=A445+1,F445,INDIRECT("template!"&amp;"D"&amp;A446-1))))</f>
        <v>#REF!</v>
      </c>
      <c r="G446" t="e" cm="1">
        <f t="array" aca="1" ref="G446" ca="1">IF(OR(A446="",B446="safety"),"",IF(ISBLANK(INDIRECT("template!"&amp;"D"&amp;A446)),"",INDIRECT("template!"&amp;"D"&amp;A446)))</f>
        <v>#REF!</v>
      </c>
      <c r="H446" t="e" cm="1">
        <f t="array" aca="1" ref="H446" ca="1">IF(OR(A446="",B446="safety"),"",IF(ISBLANK(INDIRECT("template!"&amp;"E"&amp;A446)),"",INDIRECT("template!"&amp;"E"&amp;A446)))</f>
        <v>#REF!</v>
      </c>
      <c r="I446" t="e" cm="1">
        <f t="array" aca="1" ref="I446" ca="1">IF(OR(A446="",B446="safety"),"",IF(ISBLANK(INDIRECT("template!"&amp;"F"&amp;A446)),"",INDIRECT("template!"&amp;"F"&amp;A446)))</f>
        <v>#REF!</v>
      </c>
      <c r="J446" t="e" cm="1">
        <f t="array" aca="1" ref="J446" ca="1">IF(OR(A446="",B446="safety"),"",IF(ISBLANK(INDIRECT("template!"&amp;"G"&amp;A446)),"",INDIRECT("template!"&amp;"G"&amp;A446)))</f>
        <v>#REF!</v>
      </c>
      <c r="K446" t="e" cm="1">
        <f t="array" aca="1" ref="K446" ca="1">IF(OR(A446="",B446="safety"),"",IF(ISBLANK(INDIRECT("template!"&amp;"H"&amp;A446)),"",INDIRECT("template!"&amp;"H"&amp;A446)))</f>
        <v>#REF!</v>
      </c>
      <c r="L446" t="e" cm="1">
        <f t="array" aca="1" ref="L446" ca="1">IF(OR(A446="",B446="safety"),"",INDIRECT("template!"&amp;"I"&amp;A446))</f>
        <v>#REF!</v>
      </c>
      <c r="M446" t="e" cm="1">
        <f t="array" aca="1" ref="M446" ca="1">IF(OR(A446="",B446="safety"),"",INDIRECT("template!"&amp;"J"&amp;A446))</f>
        <v>#REF!</v>
      </c>
      <c r="N446" t="e" cm="1">
        <f t="array" aca="1" ref="N446" ca="1">IF(OR(A446="",B446="safety"),"",IF(ISBLANK(INDIRECT("template!"&amp;"K"&amp;A446)),"",INDIRECT("template!"&amp;"K"&amp;A446)))</f>
        <v>#REF!</v>
      </c>
      <c r="O446" t="e" cm="1">
        <f t="array" aca="1" ref="O446" ca="1">IF(OR(A446="",B446="safety"),"",INDIRECT("template!"&amp;"L"&amp;A446))</f>
        <v>#REF!</v>
      </c>
      <c r="P446" t="e" cm="1">
        <f t="array" aca="1" ref="P446" ca="1">IF(OR(A446="",B446="safety"),"",INDIRECT("template!"&amp;"M"&amp;A446))</f>
        <v>#REF!</v>
      </c>
      <c r="Q446" t="e">
        <f t="shared" ca="1" si="34"/>
        <v>#REF!</v>
      </c>
      <c r="R446" t="e">
        <f t="shared" ca="1" si="35"/>
        <v>#REF!</v>
      </c>
      <c r="S446" t="e">
        <f t="shared" ca="1" si="36"/>
        <v>#REF!</v>
      </c>
      <c r="T446" t="e">
        <f t="shared" ca="1" si="37"/>
        <v>#REF!</v>
      </c>
      <c r="U446" t="e" cm="1">
        <f t="array" aca="1" ref="U446" ca="1">IF(A446="","",IF(E446="","",IF(B446="safety",INDIRECT("template!"&amp;"P"&amp;A446),Q446+R446)))</f>
        <v>#REF!</v>
      </c>
      <c r="V446" t="e" cm="1">
        <f t="array" aca="1" ref="V446" ca="1">IF(A446="","",IF(E446="","",IF(B446="safety",INDIRECT("template!"&amp;"P"&amp;A446),S446+T446)))</f>
        <v>#REF!</v>
      </c>
      <c r="W446" t="e">
        <f ca="1">IF(A446="","",IF(E446="","",#REF!))</f>
        <v>#REF!</v>
      </c>
      <c r="X446" t="e">
        <f ca="1">IF(A446="","",IF(E446="","",#REF!))</f>
        <v>#REF!</v>
      </c>
      <c r="Y446" s="39" t="e">
        <f ca="1">IF(A446="","",IF(E446="","",#REF!))</f>
        <v>#REF!</v>
      </c>
      <c r="Z446" t="e">
        <f ca="1">IF(A446="","",IF(E446="","",#REF!))</f>
        <v>#REF!</v>
      </c>
      <c r="AA446" t="e">
        <f ca="1">IF(A446="","",IF(E446="","",#REF!))</f>
        <v>#REF!</v>
      </c>
      <c r="AB446" t="e">
        <f ca="1">IF(A446="","",IF(E446="","",#REF!))</f>
        <v>#REF!</v>
      </c>
      <c r="AC446" t="e">
        <f t="shared" ca="1" si="38"/>
        <v>#REF!</v>
      </c>
    </row>
    <row r="447" spans="1:29" x14ac:dyDescent="0.35">
      <c r="A447" t="e" cm="1">
        <f t="array" aca="1" ref="A447" ca="1">IF(A446="","",IF(OR(AND(A446+1&gt;=$AF$1,A446+1&lt;=$AF$2),AND(A446+1&gt;=$AF$6,A446+1&lt;=$AF$7),AND(A446+1&gt;=$AF$3,A446+1&lt;=$AF$4),AND(A446+1&gt;=$AF$8,A446+1&lt;=$AF$9),A446+1=$AF$5),IF(NOT(ISBLANK(INDIRECT("template!"&amp;"P"&amp;A446+1))),A446+1,IF(NOT(ISBLANK(INDIRECT("template!"&amp;"P"&amp;A446+2))),A446+2,A446+3)),IF(A446=$AF$2,$AF$3,IF(A446=$AF$4,$AF$5,IF(A446=$AF$5,$AF$6,IF(A446=$AF$7,$AF$8,""))))))</f>
        <v>#REF!</v>
      </c>
      <c r="B447" t="e">
        <f t="shared" ca="1" si="33"/>
        <v>#REF!</v>
      </c>
      <c r="C447" t="e" cm="1">
        <f t="array" aca="1" ref="C447" ca="1">IF(A447="","",IF(B447="safety","safety costs",INDIRECT("template!"&amp;"B"&amp;A447)))</f>
        <v>#REF!</v>
      </c>
      <c r="D447" t="e" cm="1">
        <f t="array" aca="1" ref="D447" ca="1">IF(OR(A447="",B447="safety"),"",INDIRECT("template!"&amp;"C"&amp;A447))</f>
        <v>#REF!</v>
      </c>
      <c r="E447" t="e" cm="1">
        <f t="array" aca="1" ref="E447" ca="1">IF(A447="","",IF(OR(A447=A446+1,A447=A446+2),E446,INDIRECT("template!"&amp;"D"&amp;A447-2)))</f>
        <v>#REF!</v>
      </c>
      <c r="F447" t="e" cm="1">
        <f t="array" aca="1" ref="F447" ca="1">IF(OR(A447="",B447="safety"),"",IF(ISBLANK(IF(A447=A446+1,F446,INDIRECT("template!"&amp;"D"&amp;A447-1))),"",IF(A447=A446+1,F446,INDIRECT("template!"&amp;"D"&amp;A447-1))))</f>
        <v>#REF!</v>
      </c>
      <c r="G447" t="e" cm="1">
        <f t="array" aca="1" ref="G447" ca="1">IF(OR(A447="",B447="safety"),"",IF(ISBLANK(INDIRECT("template!"&amp;"D"&amp;A447)),"",INDIRECT("template!"&amp;"D"&amp;A447)))</f>
        <v>#REF!</v>
      </c>
      <c r="H447" t="e" cm="1">
        <f t="array" aca="1" ref="H447" ca="1">IF(OR(A447="",B447="safety"),"",IF(ISBLANK(INDIRECT("template!"&amp;"E"&amp;A447)),"",INDIRECT("template!"&amp;"E"&amp;A447)))</f>
        <v>#REF!</v>
      </c>
      <c r="I447" t="e" cm="1">
        <f t="array" aca="1" ref="I447" ca="1">IF(OR(A447="",B447="safety"),"",IF(ISBLANK(INDIRECT("template!"&amp;"F"&amp;A447)),"",INDIRECT("template!"&amp;"F"&amp;A447)))</f>
        <v>#REF!</v>
      </c>
      <c r="J447" t="e" cm="1">
        <f t="array" aca="1" ref="J447" ca="1">IF(OR(A447="",B447="safety"),"",IF(ISBLANK(INDIRECT("template!"&amp;"G"&amp;A447)),"",INDIRECT("template!"&amp;"G"&amp;A447)))</f>
        <v>#REF!</v>
      </c>
      <c r="K447" t="e" cm="1">
        <f t="array" aca="1" ref="K447" ca="1">IF(OR(A447="",B447="safety"),"",IF(ISBLANK(INDIRECT("template!"&amp;"H"&amp;A447)),"",INDIRECT("template!"&amp;"H"&amp;A447)))</f>
        <v>#REF!</v>
      </c>
      <c r="L447" t="e" cm="1">
        <f t="array" aca="1" ref="L447" ca="1">IF(OR(A447="",B447="safety"),"",INDIRECT("template!"&amp;"I"&amp;A447))</f>
        <v>#REF!</v>
      </c>
      <c r="M447" t="e" cm="1">
        <f t="array" aca="1" ref="M447" ca="1">IF(OR(A447="",B447="safety"),"",INDIRECT("template!"&amp;"J"&amp;A447))</f>
        <v>#REF!</v>
      </c>
      <c r="N447" t="e" cm="1">
        <f t="array" aca="1" ref="N447" ca="1">IF(OR(A447="",B447="safety"),"",IF(ISBLANK(INDIRECT("template!"&amp;"K"&amp;A447)),"",INDIRECT("template!"&amp;"K"&amp;A447)))</f>
        <v>#REF!</v>
      </c>
      <c r="O447" t="e" cm="1">
        <f t="array" aca="1" ref="O447" ca="1">IF(OR(A447="",B447="safety"),"",INDIRECT("template!"&amp;"L"&amp;A447))</f>
        <v>#REF!</v>
      </c>
      <c r="P447" t="e" cm="1">
        <f t="array" aca="1" ref="P447" ca="1">IF(OR(A447="",B447="safety"),"",INDIRECT("template!"&amp;"M"&amp;A447))</f>
        <v>#REF!</v>
      </c>
      <c r="Q447" t="e">
        <f t="shared" ca="1" si="34"/>
        <v>#REF!</v>
      </c>
      <c r="R447" t="e">
        <f t="shared" ca="1" si="35"/>
        <v>#REF!</v>
      </c>
      <c r="S447" t="e">
        <f t="shared" ca="1" si="36"/>
        <v>#REF!</v>
      </c>
      <c r="T447" t="e">
        <f t="shared" ca="1" si="37"/>
        <v>#REF!</v>
      </c>
      <c r="U447" t="e" cm="1">
        <f t="array" aca="1" ref="U447" ca="1">IF(A447="","",IF(E447="","",IF(B447="safety",INDIRECT("template!"&amp;"P"&amp;A447),Q447+R447)))</f>
        <v>#REF!</v>
      </c>
      <c r="V447" t="e" cm="1">
        <f t="array" aca="1" ref="V447" ca="1">IF(A447="","",IF(E447="","",IF(B447="safety",INDIRECT("template!"&amp;"P"&amp;A447),S447+T447)))</f>
        <v>#REF!</v>
      </c>
      <c r="W447" t="e">
        <f ca="1">IF(A447="","",IF(E447="","",#REF!))</f>
        <v>#REF!</v>
      </c>
      <c r="X447" t="e">
        <f ca="1">IF(A447="","",IF(E447="","",#REF!))</f>
        <v>#REF!</v>
      </c>
      <c r="Y447" s="39" t="e">
        <f ca="1">IF(A447="","",IF(E447="","",#REF!))</f>
        <v>#REF!</v>
      </c>
      <c r="Z447" t="e">
        <f ca="1">IF(A447="","",IF(E447="","",#REF!))</f>
        <v>#REF!</v>
      </c>
      <c r="AA447" t="e">
        <f ca="1">IF(A447="","",IF(E447="","",#REF!))</f>
        <v>#REF!</v>
      </c>
      <c r="AB447" t="e">
        <f ca="1">IF(A447="","",IF(E447="","",#REF!))</f>
        <v>#REF!</v>
      </c>
      <c r="AC447" t="e">
        <f t="shared" ca="1" si="38"/>
        <v>#REF!</v>
      </c>
    </row>
    <row r="448" spans="1:29" x14ac:dyDescent="0.35">
      <c r="A448" t="e" cm="1">
        <f t="array" aca="1" ref="A448" ca="1">IF(A447="","",IF(OR(AND(A447+1&gt;=$AF$1,A447+1&lt;=$AF$2),AND(A447+1&gt;=$AF$6,A447+1&lt;=$AF$7),AND(A447+1&gt;=$AF$3,A447+1&lt;=$AF$4),AND(A447+1&gt;=$AF$8,A447+1&lt;=$AF$9),A447+1=$AF$5),IF(NOT(ISBLANK(INDIRECT("template!"&amp;"P"&amp;A447+1))),A447+1,IF(NOT(ISBLANK(INDIRECT("template!"&amp;"P"&amp;A447+2))),A447+2,A447+3)),IF(A447=$AF$2,$AF$3,IF(A447=$AF$4,$AF$5,IF(A447=$AF$5,$AF$6,IF(A447=$AF$7,$AF$8,""))))))</f>
        <v>#REF!</v>
      </c>
      <c r="B448" t="e">
        <f t="shared" ca="1" si="33"/>
        <v>#REF!</v>
      </c>
      <c r="C448" t="e" cm="1">
        <f t="array" aca="1" ref="C448" ca="1">IF(A448="","",IF(B448="safety","safety costs",INDIRECT("template!"&amp;"B"&amp;A448)))</f>
        <v>#REF!</v>
      </c>
      <c r="D448" t="e" cm="1">
        <f t="array" aca="1" ref="D448" ca="1">IF(OR(A448="",B448="safety"),"",INDIRECT("template!"&amp;"C"&amp;A448))</f>
        <v>#REF!</v>
      </c>
      <c r="E448" t="e" cm="1">
        <f t="array" aca="1" ref="E448" ca="1">IF(A448="","",IF(OR(A448=A447+1,A448=A447+2),E447,INDIRECT("template!"&amp;"D"&amp;A448-2)))</f>
        <v>#REF!</v>
      </c>
      <c r="F448" t="e" cm="1">
        <f t="array" aca="1" ref="F448" ca="1">IF(OR(A448="",B448="safety"),"",IF(ISBLANK(IF(A448=A447+1,F447,INDIRECT("template!"&amp;"D"&amp;A448-1))),"",IF(A448=A447+1,F447,INDIRECT("template!"&amp;"D"&amp;A448-1))))</f>
        <v>#REF!</v>
      </c>
      <c r="G448" t="e" cm="1">
        <f t="array" aca="1" ref="G448" ca="1">IF(OR(A448="",B448="safety"),"",IF(ISBLANK(INDIRECT("template!"&amp;"D"&amp;A448)),"",INDIRECT("template!"&amp;"D"&amp;A448)))</f>
        <v>#REF!</v>
      </c>
      <c r="H448" t="e" cm="1">
        <f t="array" aca="1" ref="H448" ca="1">IF(OR(A448="",B448="safety"),"",IF(ISBLANK(INDIRECT("template!"&amp;"E"&amp;A448)),"",INDIRECT("template!"&amp;"E"&amp;A448)))</f>
        <v>#REF!</v>
      </c>
      <c r="I448" t="e" cm="1">
        <f t="array" aca="1" ref="I448" ca="1">IF(OR(A448="",B448="safety"),"",IF(ISBLANK(INDIRECT("template!"&amp;"F"&amp;A448)),"",INDIRECT("template!"&amp;"F"&amp;A448)))</f>
        <v>#REF!</v>
      </c>
      <c r="J448" t="e" cm="1">
        <f t="array" aca="1" ref="J448" ca="1">IF(OR(A448="",B448="safety"),"",IF(ISBLANK(INDIRECT("template!"&amp;"G"&amp;A448)),"",INDIRECT("template!"&amp;"G"&amp;A448)))</f>
        <v>#REF!</v>
      </c>
      <c r="K448" t="e" cm="1">
        <f t="array" aca="1" ref="K448" ca="1">IF(OR(A448="",B448="safety"),"",IF(ISBLANK(INDIRECT("template!"&amp;"H"&amp;A448)),"",INDIRECT("template!"&amp;"H"&amp;A448)))</f>
        <v>#REF!</v>
      </c>
      <c r="L448" t="e" cm="1">
        <f t="array" aca="1" ref="L448" ca="1">IF(OR(A448="",B448="safety"),"",INDIRECT("template!"&amp;"I"&amp;A448))</f>
        <v>#REF!</v>
      </c>
      <c r="M448" t="e" cm="1">
        <f t="array" aca="1" ref="M448" ca="1">IF(OR(A448="",B448="safety"),"",INDIRECT("template!"&amp;"J"&amp;A448))</f>
        <v>#REF!</v>
      </c>
      <c r="N448" t="e" cm="1">
        <f t="array" aca="1" ref="N448" ca="1">IF(OR(A448="",B448="safety"),"",IF(ISBLANK(INDIRECT("template!"&amp;"K"&amp;A448)),"",INDIRECT("template!"&amp;"K"&amp;A448)))</f>
        <v>#REF!</v>
      </c>
      <c r="O448" t="e" cm="1">
        <f t="array" aca="1" ref="O448" ca="1">IF(OR(A448="",B448="safety"),"",INDIRECT("template!"&amp;"L"&amp;A448))</f>
        <v>#REF!</v>
      </c>
      <c r="P448" t="e" cm="1">
        <f t="array" aca="1" ref="P448" ca="1">IF(OR(A448="",B448="safety"),"",INDIRECT("template!"&amp;"M"&amp;A448))</f>
        <v>#REF!</v>
      </c>
      <c r="Q448" t="e">
        <f t="shared" ca="1" si="34"/>
        <v>#REF!</v>
      </c>
      <c r="R448" t="e">
        <f t="shared" ca="1" si="35"/>
        <v>#REF!</v>
      </c>
      <c r="S448" t="e">
        <f t="shared" ca="1" si="36"/>
        <v>#REF!</v>
      </c>
      <c r="T448" t="e">
        <f t="shared" ca="1" si="37"/>
        <v>#REF!</v>
      </c>
      <c r="U448" t="e" cm="1">
        <f t="array" aca="1" ref="U448" ca="1">IF(A448="","",IF(E448="","",IF(B448="safety",INDIRECT("template!"&amp;"P"&amp;A448),Q448+R448)))</f>
        <v>#REF!</v>
      </c>
      <c r="V448" t="e" cm="1">
        <f t="array" aca="1" ref="V448" ca="1">IF(A448="","",IF(E448="","",IF(B448="safety",INDIRECT("template!"&amp;"P"&amp;A448),S448+T448)))</f>
        <v>#REF!</v>
      </c>
      <c r="W448" t="e">
        <f ca="1">IF(A448="","",IF(E448="","",#REF!))</f>
        <v>#REF!</v>
      </c>
      <c r="X448" t="e">
        <f ca="1">IF(A448="","",IF(E448="","",#REF!))</f>
        <v>#REF!</v>
      </c>
      <c r="Y448" s="39" t="e">
        <f ca="1">IF(A448="","",IF(E448="","",#REF!))</f>
        <v>#REF!</v>
      </c>
      <c r="Z448" t="e">
        <f ca="1">IF(A448="","",IF(E448="","",#REF!))</f>
        <v>#REF!</v>
      </c>
      <c r="AA448" t="e">
        <f ca="1">IF(A448="","",IF(E448="","",#REF!))</f>
        <v>#REF!</v>
      </c>
      <c r="AB448" t="e">
        <f ca="1">IF(A448="","",IF(E448="","",#REF!))</f>
        <v>#REF!</v>
      </c>
      <c r="AC448" t="e">
        <f t="shared" ca="1" si="38"/>
        <v>#REF!</v>
      </c>
    </row>
    <row r="449" spans="1:29" x14ac:dyDescent="0.35">
      <c r="A449" t="e" cm="1">
        <f t="array" aca="1" ref="A449" ca="1">IF(A448="","",IF(OR(AND(A448+1&gt;=$AF$1,A448+1&lt;=$AF$2),AND(A448+1&gt;=$AF$6,A448+1&lt;=$AF$7),AND(A448+1&gt;=$AF$3,A448+1&lt;=$AF$4),AND(A448+1&gt;=$AF$8,A448+1&lt;=$AF$9),A448+1=$AF$5),IF(NOT(ISBLANK(INDIRECT("template!"&amp;"P"&amp;A448+1))),A448+1,IF(NOT(ISBLANK(INDIRECT("template!"&amp;"P"&amp;A448+2))),A448+2,A448+3)),IF(A448=$AF$2,$AF$3,IF(A448=$AF$4,$AF$5,IF(A448=$AF$5,$AF$6,IF(A448=$AF$7,$AF$8,""))))))</f>
        <v>#REF!</v>
      </c>
      <c r="B449" t="e">
        <f t="shared" ca="1" si="33"/>
        <v>#REF!</v>
      </c>
      <c r="C449" t="e" cm="1">
        <f t="array" aca="1" ref="C449" ca="1">IF(A449="","",IF(B449="safety","safety costs",INDIRECT("template!"&amp;"B"&amp;A449)))</f>
        <v>#REF!</v>
      </c>
      <c r="D449" t="e" cm="1">
        <f t="array" aca="1" ref="D449" ca="1">IF(OR(A449="",B449="safety"),"",INDIRECT("template!"&amp;"C"&amp;A449))</f>
        <v>#REF!</v>
      </c>
      <c r="E449" t="e" cm="1">
        <f t="array" aca="1" ref="E449" ca="1">IF(A449="","",IF(OR(A449=A448+1,A449=A448+2),E448,INDIRECT("template!"&amp;"D"&amp;A449-2)))</f>
        <v>#REF!</v>
      </c>
      <c r="F449" t="e" cm="1">
        <f t="array" aca="1" ref="F449" ca="1">IF(OR(A449="",B449="safety"),"",IF(ISBLANK(IF(A449=A448+1,F448,INDIRECT("template!"&amp;"D"&amp;A449-1))),"",IF(A449=A448+1,F448,INDIRECT("template!"&amp;"D"&amp;A449-1))))</f>
        <v>#REF!</v>
      </c>
      <c r="G449" t="e" cm="1">
        <f t="array" aca="1" ref="G449" ca="1">IF(OR(A449="",B449="safety"),"",IF(ISBLANK(INDIRECT("template!"&amp;"D"&amp;A449)),"",INDIRECT("template!"&amp;"D"&amp;A449)))</f>
        <v>#REF!</v>
      </c>
      <c r="H449" t="e" cm="1">
        <f t="array" aca="1" ref="H449" ca="1">IF(OR(A449="",B449="safety"),"",IF(ISBLANK(INDIRECT("template!"&amp;"E"&amp;A449)),"",INDIRECT("template!"&amp;"E"&amp;A449)))</f>
        <v>#REF!</v>
      </c>
      <c r="I449" t="e" cm="1">
        <f t="array" aca="1" ref="I449" ca="1">IF(OR(A449="",B449="safety"),"",IF(ISBLANK(INDIRECT("template!"&amp;"F"&amp;A449)),"",INDIRECT("template!"&amp;"F"&amp;A449)))</f>
        <v>#REF!</v>
      </c>
      <c r="J449" t="e" cm="1">
        <f t="array" aca="1" ref="J449" ca="1">IF(OR(A449="",B449="safety"),"",IF(ISBLANK(INDIRECT("template!"&amp;"G"&amp;A449)),"",INDIRECT("template!"&amp;"G"&amp;A449)))</f>
        <v>#REF!</v>
      </c>
      <c r="K449" t="e" cm="1">
        <f t="array" aca="1" ref="K449" ca="1">IF(OR(A449="",B449="safety"),"",IF(ISBLANK(INDIRECT("template!"&amp;"H"&amp;A449)),"",INDIRECT("template!"&amp;"H"&amp;A449)))</f>
        <v>#REF!</v>
      </c>
      <c r="L449" t="e" cm="1">
        <f t="array" aca="1" ref="L449" ca="1">IF(OR(A449="",B449="safety"),"",INDIRECT("template!"&amp;"I"&amp;A449))</f>
        <v>#REF!</v>
      </c>
      <c r="M449" t="e" cm="1">
        <f t="array" aca="1" ref="M449" ca="1">IF(OR(A449="",B449="safety"),"",INDIRECT("template!"&amp;"J"&amp;A449))</f>
        <v>#REF!</v>
      </c>
      <c r="N449" t="e" cm="1">
        <f t="array" aca="1" ref="N449" ca="1">IF(OR(A449="",B449="safety"),"",IF(ISBLANK(INDIRECT("template!"&amp;"K"&amp;A449)),"",INDIRECT("template!"&amp;"K"&amp;A449)))</f>
        <v>#REF!</v>
      </c>
      <c r="O449" t="e" cm="1">
        <f t="array" aca="1" ref="O449" ca="1">IF(OR(A449="",B449="safety"),"",INDIRECT("template!"&amp;"L"&amp;A449))</f>
        <v>#REF!</v>
      </c>
      <c r="P449" t="e" cm="1">
        <f t="array" aca="1" ref="P449" ca="1">IF(OR(A449="",B449="safety"),"",INDIRECT("template!"&amp;"M"&amp;A449))</f>
        <v>#REF!</v>
      </c>
      <c r="Q449" t="e">
        <f t="shared" ca="1" si="34"/>
        <v>#REF!</v>
      </c>
      <c r="R449" t="e">
        <f t="shared" ca="1" si="35"/>
        <v>#REF!</v>
      </c>
      <c r="S449" t="e">
        <f t="shared" ca="1" si="36"/>
        <v>#REF!</v>
      </c>
      <c r="T449" t="e">
        <f t="shared" ca="1" si="37"/>
        <v>#REF!</v>
      </c>
      <c r="U449" t="e" cm="1">
        <f t="array" aca="1" ref="U449" ca="1">IF(A449="","",IF(E449="","",IF(B449="safety",INDIRECT("template!"&amp;"P"&amp;A449),Q449+R449)))</f>
        <v>#REF!</v>
      </c>
      <c r="V449" t="e" cm="1">
        <f t="array" aca="1" ref="V449" ca="1">IF(A449="","",IF(E449="","",IF(B449="safety",INDIRECT("template!"&amp;"P"&amp;A449),S449+T449)))</f>
        <v>#REF!</v>
      </c>
      <c r="W449" t="e">
        <f ca="1">IF(A449="","",IF(E449="","",#REF!))</f>
        <v>#REF!</v>
      </c>
      <c r="X449" t="e">
        <f ca="1">IF(A449="","",IF(E449="","",#REF!))</f>
        <v>#REF!</v>
      </c>
      <c r="Y449" s="39" t="e">
        <f ca="1">IF(A449="","",IF(E449="","",#REF!))</f>
        <v>#REF!</v>
      </c>
      <c r="Z449" t="e">
        <f ca="1">IF(A449="","",IF(E449="","",#REF!))</f>
        <v>#REF!</v>
      </c>
      <c r="AA449" t="e">
        <f ca="1">IF(A449="","",IF(E449="","",#REF!))</f>
        <v>#REF!</v>
      </c>
      <c r="AB449" t="e">
        <f ca="1">IF(A449="","",IF(E449="","",#REF!))</f>
        <v>#REF!</v>
      </c>
      <c r="AC449" t="e">
        <f t="shared" ca="1" si="38"/>
        <v>#REF!</v>
      </c>
    </row>
    <row r="450" spans="1:29" x14ac:dyDescent="0.35">
      <c r="A450" t="e" cm="1">
        <f t="array" aca="1" ref="A450" ca="1">IF(A449="","",IF(OR(AND(A449+1&gt;=$AF$1,A449+1&lt;=$AF$2),AND(A449+1&gt;=$AF$6,A449+1&lt;=$AF$7),AND(A449+1&gt;=$AF$3,A449+1&lt;=$AF$4),AND(A449+1&gt;=$AF$8,A449+1&lt;=$AF$9),A449+1=$AF$5),IF(NOT(ISBLANK(INDIRECT("template!"&amp;"P"&amp;A449+1))),A449+1,IF(NOT(ISBLANK(INDIRECT("template!"&amp;"P"&amp;A449+2))),A449+2,A449+3)),IF(A449=$AF$2,$AF$3,IF(A449=$AF$4,$AF$5,IF(A449=$AF$5,$AF$6,IF(A449=$AF$7,$AF$8,""))))))</f>
        <v>#REF!</v>
      </c>
      <c r="B450" t="e">
        <f t="shared" ref="B450:B513" ca="1" si="39">IF(A450="","",IF(OR(AND(A450&gt;=$AF$1,A450&lt;=$AF$2),AND(A450&gt;=$AF$6,A450&lt;=$AF$7)),"Mechanical",IF(OR(AND(A450&gt;=$AF$3,A450&lt;=$AF$4),AND(A450&gt;=$AF$8,A450&lt;=$AF$9)),"Electric",IF(A450=$AF$5,"Safety",""))))</f>
        <v>#REF!</v>
      </c>
      <c r="C450" t="e" cm="1">
        <f t="array" aca="1" ref="C450" ca="1">IF(A450="","",IF(B450="safety","safety costs",INDIRECT("template!"&amp;"B"&amp;A450)))</f>
        <v>#REF!</v>
      </c>
      <c r="D450" t="e" cm="1">
        <f t="array" aca="1" ref="D450" ca="1">IF(OR(A450="",B450="safety"),"",INDIRECT("template!"&amp;"C"&amp;A450))</f>
        <v>#REF!</v>
      </c>
      <c r="E450" t="e" cm="1">
        <f t="array" aca="1" ref="E450" ca="1">IF(A450="","",IF(OR(A450=A449+1,A450=A449+2),E449,INDIRECT("template!"&amp;"D"&amp;A450-2)))</f>
        <v>#REF!</v>
      </c>
      <c r="F450" t="e" cm="1">
        <f t="array" aca="1" ref="F450" ca="1">IF(OR(A450="",B450="safety"),"",IF(ISBLANK(IF(A450=A449+1,F449,INDIRECT("template!"&amp;"D"&amp;A450-1))),"",IF(A450=A449+1,F449,INDIRECT("template!"&amp;"D"&amp;A450-1))))</f>
        <v>#REF!</v>
      </c>
      <c r="G450" t="e" cm="1">
        <f t="array" aca="1" ref="G450" ca="1">IF(OR(A450="",B450="safety"),"",IF(ISBLANK(INDIRECT("template!"&amp;"D"&amp;A450)),"",INDIRECT("template!"&amp;"D"&amp;A450)))</f>
        <v>#REF!</v>
      </c>
      <c r="H450" t="e" cm="1">
        <f t="array" aca="1" ref="H450" ca="1">IF(OR(A450="",B450="safety"),"",IF(ISBLANK(INDIRECT("template!"&amp;"E"&amp;A450)),"",INDIRECT("template!"&amp;"E"&amp;A450)))</f>
        <v>#REF!</v>
      </c>
      <c r="I450" t="e" cm="1">
        <f t="array" aca="1" ref="I450" ca="1">IF(OR(A450="",B450="safety"),"",IF(ISBLANK(INDIRECT("template!"&amp;"F"&amp;A450)),"",INDIRECT("template!"&amp;"F"&amp;A450)))</f>
        <v>#REF!</v>
      </c>
      <c r="J450" t="e" cm="1">
        <f t="array" aca="1" ref="J450" ca="1">IF(OR(A450="",B450="safety"),"",IF(ISBLANK(INDIRECT("template!"&amp;"G"&amp;A450)),"",INDIRECT("template!"&amp;"G"&amp;A450)))</f>
        <v>#REF!</v>
      </c>
      <c r="K450" t="e" cm="1">
        <f t="array" aca="1" ref="K450" ca="1">IF(OR(A450="",B450="safety"),"",IF(ISBLANK(INDIRECT("template!"&amp;"H"&amp;A450)),"",INDIRECT("template!"&amp;"H"&amp;A450)))</f>
        <v>#REF!</v>
      </c>
      <c r="L450" t="e" cm="1">
        <f t="array" aca="1" ref="L450" ca="1">IF(OR(A450="",B450="safety"),"",INDIRECT("template!"&amp;"I"&amp;A450))</f>
        <v>#REF!</v>
      </c>
      <c r="M450" t="e" cm="1">
        <f t="array" aca="1" ref="M450" ca="1">IF(OR(A450="",B450="safety"),"",INDIRECT("template!"&amp;"J"&amp;A450))</f>
        <v>#REF!</v>
      </c>
      <c r="N450" t="e" cm="1">
        <f t="array" aca="1" ref="N450" ca="1">IF(OR(A450="",B450="safety"),"",IF(ISBLANK(INDIRECT("template!"&amp;"K"&amp;A450)),"",INDIRECT("template!"&amp;"K"&amp;A450)))</f>
        <v>#REF!</v>
      </c>
      <c r="O450" t="e" cm="1">
        <f t="array" aca="1" ref="O450" ca="1">IF(OR(A450="",B450="safety"),"",INDIRECT("template!"&amp;"L"&amp;A450))</f>
        <v>#REF!</v>
      </c>
      <c r="P450" t="e" cm="1">
        <f t="array" aca="1" ref="P450" ca="1">IF(OR(A450="",B450="safety"),"",INDIRECT("template!"&amp;"M"&amp;A450))</f>
        <v>#REF!</v>
      </c>
      <c r="Q450" t="e">
        <f t="shared" ca="1" si="34"/>
        <v>#REF!</v>
      </c>
      <c r="R450" t="e">
        <f t="shared" ca="1" si="35"/>
        <v>#REF!</v>
      </c>
      <c r="S450" t="e">
        <f t="shared" ca="1" si="36"/>
        <v>#REF!</v>
      </c>
      <c r="T450" t="e">
        <f t="shared" ca="1" si="37"/>
        <v>#REF!</v>
      </c>
      <c r="U450" t="e" cm="1">
        <f t="array" aca="1" ref="U450" ca="1">IF(A450="","",IF(E450="","",IF(B450="safety",INDIRECT("template!"&amp;"P"&amp;A450),Q450+R450)))</f>
        <v>#REF!</v>
      </c>
      <c r="V450" t="e" cm="1">
        <f t="array" aca="1" ref="V450" ca="1">IF(A450="","",IF(E450="","",IF(B450="safety",INDIRECT("template!"&amp;"P"&amp;A450),S450+T450)))</f>
        <v>#REF!</v>
      </c>
      <c r="W450" t="e">
        <f ca="1">IF(A450="","",IF(E450="","",#REF!))</f>
        <v>#REF!</v>
      </c>
      <c r="X450" t="e">
        <f ca="1">IF(A450="","",IF(E450="","",#REF!))</f>
        <v>#REF!</v>
      </c>
      <c r="Y450" s="39" t="e">
        <f ca="1">IF(A450="","",IF(E450="","",#REF!))</f>
        <v>#REF!</v>
      </c>
      <c r="Z450" t="e">
        <f ca="1">IF(A450="","",IF(E450="","",#REF!))</f>
        <v>#REF!</v>
      </c>
      <c r="AA450" t="e">
        <f ca="1">IF(A450="","",IF(E450="","",#REF!))</f>
        <v>#REF!</v>
      </c>
      <c r="AB450" t="e">
        <f ca="1">IF(A450="","",IF(E450="","",#REF!))</f>
        <v>#REF!</v>
      </c>
      <c r="AC450" t="e">
        <f t="shared" ca="1" si="38"/>
        <v>#REF!</v>
      </c>
    </row>
    <row r="451" spans="1:29" x14ac:dyDescent="0.35">
      <c r="A451" t="e" cm="1">
        <f t="array" aca="1" ref="A451" ca="1">IF(A450="","",IF(OR(AND(A450+1&gt;=$AF$1,A450+1&lt;=$AF$2),AND(A450+1&gt;=$AF$6,A450+1&lt;=$AF$7),AND(A450+1&gt;=$AF$3,A450+1&lt;=$AF$4),AND(A450+1&gt;=$AF$8,A450+1&lt;=$AF$9),A450+1=$AF$5),IF(NOT(ISBLANK(INDIRECT("template!"&amp;"P"&amp;A450+1))),A450+1,IF(NOT(ISBLANK(INDIRECT("template!"&amp;"P"&amp;A450+2))),A450+2,A450+3)),IF(A450=$AF$2,$AF$3,IF(A450=$AF$4,$AF$5,IF(A450=$AF$5,$AF$6,IF(A450=$AF$7,$AF$8,""))))))</f>
        <v>#REF!</v>
      </c>
      <c r="B451" t="e">
        <f t="shared" ca="1" si="39"/>
        <v>#REF!</v>
      </c>
      <c r="C451" t="e" cm="1">
        <f t="array" aca="1" ref="C451" ca="1">IF(A451="","",IF(B451="safety","safety costs",INDIRECT("template!"&amp;"B"&amp;A451)))</f>
        <v>#REF!</v>
      </c>
      <c r="D451" t="e" cm="1">
        <f t="array" aca="1" ref="D451" ca="1">IF(OR(A451="",B451="safety"),"",INDIRECT("template!"&amp;"C"&amp;A451))</f>
        <v>#REF!</v>
      </c>
      <c r="E451" t="e" cm="1">
        <f t="array" aca="1" ref="E451" ca="1">IF(A451="","",IF(OR(A451=A450+1,A451=A450+2),E450,INDIRECT("template!"&amp;"D"&amp;A451-2)))</f>
        <v>#REF!</v>
      </c>
      <c r="F451" t="e" cm="1">
        <f t="array" aca="1" ref="F451" ca="1">IF(OR(A451="",B451="safety"),"",IF(ISBLANK(IF(A451=A450+1,F450,INDIRECT("template!"&amp;"D"&amp;A451-1))),"",IF(A451=A450+1,F450,INDIRECT("template!"&amp;"D"&amp;A451-1))))</f>
        <v>#REF!</v>
      </c>
      <c r="G451" t="e" cm="1">
        <f t="array" aca="1" ref="G451" ca="1">IF(OR(A451="",B451="safety"),"",IF(ISBLANK(INDIRECT("template!"&amp;"D"&amp;A451)),"",INDIRECT("template!"&amp;"D"&amp;A451)))</f>
        <v>#REF!</v>
      </c>
      <c r="H451" t="e" cm="1">
        <f t="array" aca="1" ref="H451" ca="1">IF(OR(A451="",B451="safety"),"",IF(ISBLANK(INDIRECT("template!"&amp;"E"&amp;A451)),"",INDIRECT("template!"&amp;"E"&amp;A451)))</f>
        <v>#REF!</v>
      </c>
      <c r="I451" t="e" cm="1">
        <f t="array" aca="1" ref="I451" ca="1">IF(OR(A451="",B451="safety"),"",IF(ISBLANK(INDIRECT("template!"&amp;"F"&amp;A451)),"",INDIRECT("template!"&amp;"F"&amp;A451)))</f>
        <v>#REF!</v>
      </c>
      <c r="J451" t="e" cm="1">
        <f t="array" aca="1" ref="J451" ca="1">IF(OR(A451="",B451="safety"),"",IF(ISBLANK(INDIRECT("template!"&amp;"G"&amp;A451)),"",INDIRECT("template!"&amp;"G"&amp;A451)))</f>
        <v>#REF!</v>
      </c>
      <c r="K451" t="e" cm="1">
        <f t="array" aca="1" ref="K451" ca="1">IF(OR(A451="",B451="safety"),"",IF(ISBLANK(INDIRECT("template!"&amp;"H"&amp;A451)),"",INDIRECT("template!"&amp;"H"&amp;A451)))</f>
        <v>#REF!</v>
      </c>
      <c r="L451" t="e" cm="1">
        <f t="array" aca="1" ref="L451" ca="1">IF(OR(A451="",B451="safety"),"",INDIRECT("template!"&amp;"I"&amp;A451))</f>
        <v>#REF!</v>
      </c>
      <c r="M451" t="e" cm="1">
        <f t="array" aca="1" ref="M451" ca="1">IF(OR(A451="",B451="safety"),"",INDIRECT("template!"&amp;"J"&amp;A451))</f>
        <v>#REF!</v>
      </c>
      <c r="N451" t="e" cm="1">
        <f t="array" aca="1" ref="N451" ca="1">IF(OR(A451="",B451="safety"),"",IF(ISBLANK(INDIRECT("template!"&amp;"K"&amp;A451)),"",INDIRECT("template!"&amp;"K"&amp;A451)))</f>
        <v>#REF!</v>
      </c>
      <c r="O451" t="e" cm="1">
        <f t="array" aca="1" ref="O451" ca="1">IF(OR(A451="",B451="safety"),"",INDIRECT("template!"&amp;"L"&amp;A451))</f>
        <v>#REF!</v>
      </c>
      <c r="P451" t="e" cm="1">
        <f t="array" aca="1" ref="P451" ca="1">IF(OR(A451="",B451="safety"),"",INDIRECT("template!"&amp;"M"&amp;A451))</f>
        <v>#REF!</v>
      </c>
      <c r="Q451" t="e">
        <f t="shared" ca="1" si="34"/>
        <v>#REF!</v>
      </c>
      <c r="R451" t="e">
        <f t="shared" ca="1" si="35"/>
        <v>#REF!</v>
      </c>
      <c r="S451" t="e">
        <f t="shared" ca="1" si="36"/>
        <v>#REF!</v>
      </c>
      <c r="T451" t="e">
        <f t="shared" ca="1" si="37"/>
        <v>#REF!</v>
      </c>
      <c r="U451" t="e" cm="1">
        <f t="array" aca="1" ref="U451" ca="1">IF(A451="","",IF(E451="","",IF(B451="safety",INDIRECT("template!"&amp;"P"&amp;A451),Q451+R451)))</f>
        <v>#REF!</v>
      </c>
      <c r="V451" t="e" cm="1">
        <f t="array" aca="1" ref="V451" ca="1">IF(A451="","",IF(E451="","",IF(B451="safety",INDIRECT("template!"&amp;"P"&amp;A451),S451+T451)))</f>
        <v>#REF!</v>
      </c>
      <c r="W451" t="e">
        <f ca="1">IF(A451="","",IF(E451="","",#REF!))</f>
        <v>#REF!</v>
      </c>
      <c r="X451" t="e">
        <f ca="1">IF(A451="","",IF(E451="","",#REF!))</f>
        <v>#REF!</v>
      </c>
      <c r="Y451" s="39" t="e">
        <f ca="1">IF(A451="","",IF(E451="","",#REF!))</f>
        <v>#REF!</v>
      </c>
      <c r="Z451" t="e">
        <f ca="1">IF(A451="","",IF(E451="","",#REF!))</f>
        <v>#REF!</v>
      </c>
      <c r="AA451" t="e">
        <f ca="1">IF(A451="","",IF(E451="","",#REF!))</f>
        <v>#REF!</v>
      </c>
      <c r="AB451" t="e">
        <f ca="1">IF(A451="","",IF(E451="","",#REF!))</f>
        <v>#REF!</v>
      </c>
      <c r="AC451" t="e">
        <f t="shared" ca="1" si="38"/>
        <v>#REF!</v>
      </c>
    </row>
    <row r="452" spans="1:29" x14ac:dyDescent="0.35">
      <c r="A452" t="e" cm="1">
        <f t="array" aca="1" ref="A452" ca="1">IF(A451="","",IF(OR(AND(A451+1&gt;=$AF$1,A451+1&lt;=$AF$2),AND(A451+1&gt;=$AF$6,A451+1&lt;=$AF$7),AND(A451+1&gt;=$AF$3,A451+1&lt;=$AF$4),AND(A451+1&gt;=$AF$8,A451+1&lt;=$AF$9),A451+1=$AF$5),IF(NOT(ISBLANK(INDIRECT("template!"&amp;"P"&amp;A451+1))),A451+1,IF(NOT(ISBLANK(INDIRECT("template!"&amp;"P"&amp;A451+2))),A451+2,A451+3)),IF(A451=$AF$2,$AF$3,IF(A451=$AF$4,$AF$5,IF(A451=$AF$5,$AF$6,IF(A451=$AF$7,$AF$8,""))))))</f>
        <v>#REF!</v>
      </c>
      <c r="B452" t="e">
        <f t="shared" ca="1" si="39"/>
        <v>#REF!</v>
      </c>
      <c r="C452" t="e" cm="1">
        <f t="array" aca="1" ref="C452" ca="1">IF(A452="","",IF(B452="safety","safety costs",INDIRECT("template!"&amp;"B"&amp;A452)))</f>
        <v>#REF!</v>
      </c>
      <c r="D452" t="e" cm="1">
        <f t="array" aca="1" ref="D452" ca="1">IF(OR(A452="",B452="safety"),"",INDIRECT("template!"&amp;"C"&amp;A452))</f>
        <v>#REF!</v>
      </c>
      <c r="E452" t="e" cm="1">
        <f t="array" aca="1" ref="E452" ca="1">IF(A452="","",IF(OR(A452=A451+1,A452=A451+2),E451,INDIRECT("template!"&amp;"D"&amp;A452-2)))</f>
        <v>#REF!</v>
      </c>
      <c r="F452" t="e" cm="1">
        <f t="array" aca="1" ref="F452" ca="1">IF(OR(A452="",B452="safety"),"",IF(ISBLANK(IF(A452=A451+1,F451,INDIRECT("template!"&amp;"D"&amp;A452-1))),"",IF(A452=A451+1,F451,INDIRECT("template!"&amp;"D"&amp;A452-1))))</f>
        <v>#REF!</v>
      </c>
      <c r="G452" t="e" cm="1">
        <f t="array" aca="1" ref="G452" ca="1">IF(OR(A452="",B452="safety"),"",IF(ISBLANK(INDIRECT("template!"&amp;"D"&amp;A452)),"",INDIRECT("template!"&amp;"D"&amp;A452)))</f>
        <v>#REF!</v>
      </c>
      <c r="H452" t="e" cm="1">
        <f t="array" aca="1" ref="H452" ca="1">IF(OR(A452="",B452="safety"),"",IF(ISBLANK(INDIRECT("template!"&amp;"E"&amp;A452)),"",INDIRECT("template!"&amp;"E"&amp;A452)))</f>
        <v>#REF!</v>
      </c>
      <c r="I452" t="e" cm="1">
        <f t="array" aca="1" ref="I452" ca="1">IF(OR(A452="",B452="safety"),"",IF(ISBLANK(INDIRECT("template!"&amp;"F"&amp;A452)),"",INDIRECT("template!"&amp;"F"&amp;A452)))</f>
        <v>#REF!</v>
      </c>
      <c r="J452" t="e" cm="1">
        <f t="array" aca="1" ref="J452" ca="1">IF(OR(A452="",B452="safety"),"",IF(ISBLANK(INDIRECT("template!"&amp;"G"&amp;A452)),"",INDIRECT("template!"&amp;"G"&amp;A452)))</f>
        <v>#REF!</v>
      </c>
      <c r="K452" t="e" cm="1">
        <f t="array" aca="1" ref="K452" ca="1">IF(OR(A452="",B452="safety"),"",IF(ISBLANK(INDIRECT("template!"&amp;"H"&amp;A452)),"",INDIRECT("template!"&amp;"H"&amp;A452)))</f>
        <v>#REF!</v>
      </c>
      <c r="L452" t="e" cm="1">
        <f t="array" aca="1" ref="L452" ca="1">IF(OR(A452="",B452="safety"),"",INDIRECT("template!"&amp;"I"&amp;A452))</f>
        <v>#REF!</v>
      </c>
      <c r="M452" t="e" cm="1">
        <f t="array" aca="1" ref="M452" ca="1">IF(OR(A452="",B452="safety"),"",INDIRECT("template!"&amp;"J"&amp;A452))</f>
        <v>#REF!</v>
      </c>
      <c r="N452" t="e" cm="1">
        <f t="array" aca="1" ref="N452" ca="1">IF(OR(A452="",B452="safety"),"",IF(ISBLANK(INDIRECT("template!"&amp;"K"&amp;A452)),"",INDIRECT("template!"&amp;"K"&amp;A452)))</f>
        <v>#REF!</v>
      </c>
      <c r="O452" t="e" cm="1">
        <f t="array" aca="1" ref="O452" ca="1">IF(OR(A452="",B452="safety"),"",INDIRECT("template!"&amp;"L"&amp;A452))</f>
        <v>#REF!</v>
      </c>
      <c r="P452" t="e" cm="1">
        <f t="array" aca="1" ref="P452" ca="1">IF(OR(A452="",B452="safety"),"",INDIRECT("template!"&amp;"M"&amp;A452))</f>
        <v>#REF!</v>
      </c>
      <c r="Q452" t="e">
        <f t="shared" ref="Q452:Q515" ca="1" si="40">IF(OR(A452="",B452="safety"),"",IF(E452="","",O452*L452))</f>
        <v>#REF!</v>
      </c>
      <c r="R452" t="e">
        <f t="shared" ref="R452:R515" ca="1" si="41">IF(OR(A452="",B452="safety"),"",IF(E452="","",P452*L452))</f>
        <v>#REF!</v>
      </c>
      <c r="S452" t="e">
        <f t="shared" ref="S452:S515" ca="1" si="42">IF(OR(A452="",B452="safety"),"",IF(E452="","",O452*M452))</f>
        <v>#REF!</v>
      </c>
      <c r="T452" t="e">
        <f t="shared" ref="T452:T515" ca="1" si="43">IF(OR(A452="",B452="safety"),"",IF(E452="","",M452*P452))</f>
        <v>#REF!</v>
      </c>
      <c r="U452" t="e" cm="1">
        <f t="array" aca="1" ref="U452" ca="1">IF(A452="","",IF(E452="","",IF(B452="safety",INDIRECT("template!"&amp;"P"&amp;A452),Q452+R452)))</f>
        <v>#REF!</v>
      </c>
      <c r="V452" t="e" cm="1">
        <f t="array" aca="1" ref="V452" ca="1">IF(A452="","",IF(E452="","",IF(B452="safety",INDIRECT("template!"&amp;"P"&amp;A452),S452+T452)))</f>
        <v>#REF!</v>
      </c>
      <c r="W452" t="e">
        <f ca="1">IF(A452="","",IF(E452="","",#REF!))</f>
        <v>#REF!</v>
      </c>
      <c r="X452" t="e">
        <f ca="1">IF(A452="","",IF(E452="","",#REF!))</f>
        <v>#REF!</v>
      </c>
      <c r="Y452" s="39" t="e">
        <f ca="1">IF(A452="","",IF(E452="","",#REF!))</f>
        <v>#REF!</v>
      </c>
      <c r="Z452" t="e">
        <f ca="1">IF(A452="","",IF(E452="","",#REF!))</f>
        <v>#REF!</v>
      </c>
      <c r="AA452" t="e">
        <f ca="1">IF(A452="","",IF(E452="","",#REF!))</f>
        <v>#REF!</v>
      </c>
      <c r="AB452" t="e">
        <f ca="1">IF(A452="","",IF(E452="","",#REF!))</f>
        <v>#REF!</v>
      </c>
      <c r="AC452" t="e">
        <f t="shared" ref="AC452:AC515" ca="1" si="44">IF(A452="","",IF(E452="","","WEEK "&amp;WEEKNUM(Y452)&amp;"_"&amp;YEAR(Y452)))</f>
        <v>#REF!</v>
      </c>
    </row>
    <row r="453" spans="1:29" x14ac:dyDescent="0.35">
      <c r="A453" t="e" cm="1">
        <f t="array" aca="1" ref="A453" ca="1">IF(A452="","",IF(OR(AND(A452+1&gt;=$AF$1,A452+1&lt;=$AF$2),AND(A452+1&gt;=$AF$6,A452+1&lt;=$AF$7),AND(A452+1&gt;=$AF$3,A452+1&lt;=$AF$4),AND(A452+1&gt;=$AF$8,A452+1&lt;=$AF$9),A452+1=$AF$5),IF(NOT(ISBLANK(INDIRECT("template!"&amp;"P"&amp;A452+1))),A452+1,IF(NOT(ISBLANK(INDIRECT("template!"&amp;"P"&amp;A452+2))),A452+2,A452+3)),IF(A452=$AF$2,$AF$3,IF(A452=$AF$4,$AF$5,IF(A452=$AF$5,$AF$6,IF(A452=$AF$7,$AF$8,""))))))</f>
        <v>#REF!</v>
      </c>
      <c r="B453" t="e">
        <f t="shared" ca="1" si="39"/>
        <v>#REF!</v>
      </c>
      <c r="C453" t="e" cm="1">
        <f t="array" aca="1" ref="C453" ca="1">IF(A453="","",IF(B453="safety","safety costs",INDIRECT("template!"&amp;"B"&amp;A453)))</f>
        <v>#REF!</v>
      </c>
      <c r="D453" t="e" cm="1">
        <f t="array" aca="1" ref="D453" ca="1">IF(OR(A453="",B453="safety"),"",INDIRECT("template!"&amp;"C"&amp;A453))</f>
        <v>#REF!</v>
      </c>
      <c r="E453" t="e" cm="1">
        <f t="array" aca="1" ref="E453" ca="1">IF(A453="","",IF(OR(A453=A452+1,A453=A452+2),E452,INDIRECT("template!"&amp;"D"&amp;A453-2)))</f>
        <v>#REF!</v>
      </c>
      <c r="F453" t="e" cm="1">
        <f t="array" aca="1" ref="F453" ca="1">IF(OR(A453="",B453="safety"),"",IF(ISBLANK(IF(A453=A452+1,F452,INDIRECT("template!"&amp;"D"&amp;A453-1))),"",IF(A453=A452+1,F452,INDIRECT("template!"&amp;"D"&amp;A453-1))))</f>
        <v>#REF!</v>
      </c>
      <c r="G453" t="e" cm="1">
        <f t="array" aca="1" ref="G453" ca="1">IF(OR(A453="",B453="safety"),"",IF(ISBLANK(INDIRECT("template!"&amp;"D"&amp;A453)),"",INDIRECT("template!"&amp;"D"&amp;A453)))</f>
        <v>#REF!</v>
      </c>
      <c r="H453" t="e" cm="1">
        <f t="array" aca="1" ref="H453" ca="1">IF(OR(A453="",B453="safety"),"",IF(ISBLANK(INDIRECT("template!"&amp;"E"&amp;A453)),"",INDIRECT("template!"&amp;"E"&amp;A453)))</f>
        <v>#REF!</v>
      </c>
      <c r="I453" t="e" cm="1">
        <f t="array" aca="1" ref="I453" ca="1">IF(OR(A453="",B453="safety"),"",IF(ISBLANK(INDIRECT("template!"&amp;"F"&amp;A453)),"",INDIRECT("template!"&amp;"F"&amp;A453)))</f>
        <v>#REF!</v>
      </c>
      <c r="J453" t="e" cm="1">
        <f t="array" aca="1" ref="J453" ca="1">IF(OR(A453="",B453="safety"),"",IF(ISBLANK(INDIRECT("template!"&amp;"G"&amp;A453)),"",INDIRECT("template!"&amp;"G"&amp;A453)))</f>
        <v>#REF!</v>
      </c>
      <c r="K453" t="e" cm="1">
        <f t="array" aca="1" ref="K453" ca="1">IF(OR(A453="",B453="safety"),"",IF(ISBLANK(INDIRECT("template!"&amp;"H"&amp;A453)),"",INDIRECT("template!"&amp;"H"&amp;A453)))</f>
        <v>#REF!</v>
      </c>
      <c r="L453" t="e" cm="1">
        <f t="array" aca="1" ref="L453" ca="1">IF(OR(A453="",B453="safety"),"",INDIRECT("template!"&amp;"I"&amp;A453))</f>
        <v>#REF!</v>
      </c>
      <c r="M453" t="e" cm="1">
        <f t="array" aca="1" ref="M453" ca="1">IF(OR(A453="",B453="safety"),"",INDIRECT("template!"&amp;"J"&amp;A453))</f>
        <v>#REF!</v>
      </c>
      <c r="N453" t="e" cm="1">
        <f t="array" aca="1" ref="N453" ca="1">IF(OR(A453="",B453="safety"),"",IF(ISBLANK(INDIRECT("template!"&amp;"K"&amp;A453)),"",INDIRECT("template!"&amp;"K"&amp;A453)))</f>
        <v>#REF!</v>
      </c>
      <c r="O453" t="e" cm="1">
        <f t="array" aca="1" ref="O453" ca="1">IF(OR(A453="",B453="safety"),"",INDIRECT("template!"&amp;"L"&amp;A453))</f>
        <v>#REF!</v>
      </c>
      <c r="P453" t="e" cm="1">
        <f t="array" aca="1" ref="P453" ca="1">IF(OR(A453="",B453="safety"),"",INDIRECT("template!"&amp;"M"&amp;A453))</f>
        <v>#REF!</v>
      </c>
      <c r="Q453" t="e">
        <f t="shared" ca="1" si="40"/>
        <v>#REF!</v>
      </c>
      <c r="R453" t="e">
        <f t="shared" ca="1" si="41"/>
        <v>#REF!</v>
      </c>
      <c r="S453" t="e">
        <f t="shared" ca="1" si="42"/>
        <v>#REF!</v>
      </c>
      <c r="T453" t="e">
        <f t="shared" ca="1" si="43"/>
        <v>#REF!</v>
      </c>
      <c r="U453" t="e" cm="1">
        <f t="array" aca="1" ref="U453" ca="1">IF(A453="","",IF(E453="","",IF(B453="safety",INDIRECT("template!"&amp;"P"&amp;A453),Q453+R453)))</f>
        <v>#REF!</v>
      </c>
      <c r="V453" t="e" cm="1">
        <f t="array" aca="1" ref="V453" ca="1">IF(A453="","",IF(E453="","",IF(B453="safety",INDIRECT("template!"&amp;"P"&amp;A453),S453+T453)))</f>
        <v>#REF!</v>
      </c>
      <c r="W453" t="e">
        <f ca="1">IF(A453="","",IF(E453="","",#REF!))</f>
        <v>#REF!</v>
      </c>
      <c r="X453" t="e">
        <f ca="1">IF(A453="","",IF(E453="","",#REF!))</f>
        <v>#REF!</v>
      </c>
      <c r="Y453" s="39" t="e">
        <f ca="1">IF(A453="","",IF(E453="","",#REF!))</f>
        <v>#REF!</v>
      </c>
      <c r="Z453" t="e">
        <f ca="1">IF(A453="","",IF(E453="","",#REF!))</f>
        <v>#REF!</v>
      </c>
      <c r="AA453" t="e">
        <f ca="1">IF(A453="","",IF(E453="","",#REF!))</f>
        <v>#REF!</v>
      </c>
      <c r="AB453" t="e">
        <f ca="1">IF(A453="","",IF(E453="","",#REF!))</f>
        <v>#REF!</v>
      </c>
      <c r="AC453" t="e">
        <f t="shared" ca="1" si="44"/>
        <v>#REF!</v>
      </c>
    </row>
    <row r="454" spans="1:29" x14ac:dyDescent="0.35">
      <c r="A454" t="e" cm="1">
        <f t="array" aca="1" ref="A454" ca="1">IF(A453="","",IF(OR(AND(A453+1&gt;=$AF$1,A453+1&lt;=$AF$2),AND(A453+1&gt;=$AF$6,A453+1&lt;=$AF$7),AND(A453+1&gt;=$AF$3,A453+1&lt;=$AF$4),AND(A453+1&gt;=$AF$8,A453+1&lt;=$AF$9),A453+1=$AF$5),IF(NOT(ISBLANK(INDIRECT("template!"&amp;"P"&amp;A453+1))),A453+1,IF(NOT(ISBLANK(INDIRECT("template!"&amp;"P"&amp;A453+2))),A453+2,A453+3)),IF(A453=$AF$2,$AF$3,IF(A453=$AF$4,$AF$5,IF(A453=$AF$5,$AF$6,IF(A453=$AF$7,$AF$8,""))))))</f>
        <v>#REF!</v>
      </c>
      <c r="B454" t="e">
        <f t="shared" ca="1" si="39"/>
        <v>#REF!</v>
      </c>
      <c r="C454" t="e" cm="1">
        <f t="array" aca="1" ref="C454" ca="1">IF(A454="","",IF(B454="safety","safety costs",INDIRECT("template!"&amp;"B"&amp;A454)))</f>
        <v>#REF!</v>
      </c>
      <c r="D454" t="e" cm="1">
        <f t="array" aca="1" ref="D454" ca="1">IF(OR(A454="",B454="safety"),"",INDIRECT("template!"&amp;"C"&amp;A454))</f>
        <v>#REF!</v>
      </c>
      <c r="E454" t="e" cm="1">
        <f t="array" aca="1" ref="E454" ca="1">IF(A454="","",IF(OR(A454=A453+1,A454=A453+2),E453,INDIRECT("template!"&amp;"D"&amp;A454-2)))</f>
        <v>#REF!</v>
      </c>
      <c r="F454" t="e" cm="1">
        <f t="array" aca="1" ref="F454" ca="1">IF(OR(A454="",B454="safety"),"",IF(ISBLANK(IF(A454=A453+1,F453,INDIRECT("template!"&amp;"D"&amp;A454-1))),"",IF(A454=A453+1,F453,INDIRECT("template!"&amp;"D"&amp;A454-1))))</f>
        <v>#REF!</v>
      </c>
      <c r="G454" t="e" cm="1">
        <f t="array" aca="1" ref="G454" ca="1">IF(OR(A454="",B454="safety"),"",IF(ISBLANK(INDIRECT("template!"&amp;"D"&amp;A454)),"",INDIRECT("template!"&amp;"D"&amp;A454)))</f>
        <v>#REF!</v>
      </c>
      <c r="H454" t="e" cm="1">
        <f t="array" aca="1" ref="H454" ca="1">IF(OR(A454="",B454="safety"),"",IF(ISBLANK(INDIRECT("template!"&amp;"E"&amp;A454)),"",INDIRECT("template!"&amp;"E"&amp;A454)))</f>
        <v>#REF!</v>
      </c>
      <c r="I454" t="e" cm="1">
        <f t="array" aca="1" ref="I454" ca="1">IF(OR(A454="",B454="safety"),"",IF(ISBLANK(INDIRECT("template!"&amp;"F"&amp;A454)),"",INDIRECT("template!"&amp;"F"&amp;A454)))</f>
        <v>#REF!</v>
      </c>
      <c r="J454" t="e" cm="1">
        <f t="array" aca="1" ref="J454" ca="1">IF(OR(A454="",B454="safety"),"",IF(ISBLANK(INDIRECT("template!"&amp;"G"&amp;A454)),"",INDIRECT("template!"&amp;"G"&amp;A454)))</f>
        <v>#REF!</v>
      </c>
      <c r="K454" t="e" cm="1">
        <f t="array" aca="1" ref="K454" ca="1">IF(OR(A454="",B454="safety"),"",IF(ISBLANK(INDIRECT("template!"&amp;"H"&amp;A454)),"",INDIRECT("template!"&amp;"H"&amp;A454)))</f>
        <v>#REF!</v>
      </c>
      <c r="L454" t="e" cm="1">
        <f t="array" aca="1" ref="L454" ca="1">IF(OR(A454="",B454="safety"),"",INDIRECT("template!"&amp;"I"&amp;A454))</f>
        <v>#REF!</v>
      </c>
      <c r="M454" t="e" cm="1">
        <f t="array" aca="1" ref="M454" ca="1">IF(OR(A454="",B454="safety"),"",INDIRECT("template!"&amp;"J"&amp;A454))</f>
        <v>#REF!</v>
      </c>
      <c r="N454" t="e" cm="1">
        <f t="array" aca="1" ref="N454" ca="1">IF(OR(A454="",B454="safety"),"",IF(ISBLANK(INDIRECT("template!"&amp;"K"&amp;A454)),"",INDIRECT("template!"&amp;"K"&amp;A454)))</f>
        <v>#REF!</v>
      </c>
      <c r="O454" t="e" cm="1">
        <f t="array" aca="1" ref="O454" ca="1">IF(OR(A454="",B454="safety"),"",INDIRECT("template!"&amp;"L"&amp;A454))</f>
        <v>#REF!</v>
      </c>
      <c r="P454" t="e" cm="1">
        <f t="array" aca="1" ref="P454" ca="1">IF(OR(A454="",B454="safety"),"",INDIRECT("template!"&amp;"M"&amp;A454))</f>
        <v>#REF!</v>
      </c>
      <c r="Q454" t="e">
        <f t="shared" ca="1" si="40"/>
        <v>#REF!</v>
      </c>
      <c r="R454" t="e">
        <f t="shared" ca="1" si="41"/>
        <v>#REF!</v>
      </c>
      <c r="S454" t="e">
        <f t="shared" ca="1" si="42"/>
        <v>#REF!</v>
      </c>
      <c r="T454" t="e">
        <f t="shared" ca="1" si="43"/>
        <v>#REF!</v>
      </c>
      <c r="U454" t="e" cm="1">
        <f t="array" aca="1" ref="U454" ca="1">IF(A454="","",IF(E454="","",IF(B454="safety",INDIRECT("template!"&amp;"P"&amp;A454),Q454+R454)))</f>
        <v>#REF!</v>
      </c>
      <c r="V454" t="e" cm="1">
        <f t="array" aca="1" ref="V454" ca="1">IF(A454="","",IF(E454="","",IF(B454="safety",INDIRECT("template!"&amp;"P"&amp;A454),S454+T454)))</f>
        <v>#REF!</v>
      </c>
      <c r="W454" t="e">
        <f ca="1">IF(A454="","",IF(E454="","",#REF!))</f>
        <v>#REF!</v>
      </c>
      <c r="X454" t="e">
        <f ca="1">IF(A454="","",IF(E454="","",#REF!))</f>
        <v>#REF!</v>
      </c>
      <c r="Y454" s="39" t="e">
        <f ca="1">IF(A454="","",IF(E454="","",#REF!))</f>
        <v>#REF!</v>
      </c>
      <c r="Z454" t="e">
        <f ca="1">IF(A454="","",IF(E454="","",#REF!))</f>
        <v>#REF!</v>
      </c>
      <c r="AA454" t="e">
        <f ca="1">IF(A454="","",IF(E454="","",#REF!))</f>
        <v>#REF!</v>
      </c>
      <c r="AB454" t="e">
        <f ca="1">IF(A454="","",IF(E454="","",#REF!))</f>
        <v>#REF!</v>
      </c>
      <c r="AC454" t="e">
        <f t="shared" ca="1" si="44"/>
        <v>#REF!</v>
      </c>
    </row>
    <row r="455" spans="1:29" x14ac:dyDescent="0.35">
      <c r="A455" t="e" cm="1">
        <f t="array" aca="1" ref="A455" ca="1">IF(A454="","",IF(OR(AND(A454+1&gt;=$AF$1,A454+1&lt;=$AF$2),AND(A454+1&gt;=$AF$6,A454+1&lt;=$AF$7),AND(A454+1&gt;=$AF$3,A454+1&lt;=$AF$4),AND(A454+1&gt;=$AF$8,A454+1&lt;=$AF$9),A454+1=$AF$5),IF(NOT(ISBLANK(INDIRECT("template!"&amp;"P"&amp;A454+1))),A454+1,IF(NOT(ISBLANK(INDIRECT("template!"&amp;"P"&amp;A454+2))),A454+2,A454+3)),IF(A454=$AF$2,$AF$3,IF(A454=$AF$4,$AF$5,IF(A454=$AF$5,$AF$6,IF(A454=$AF$7,$AF$8,""))))))</f>
        <v>#REF!</v>
      </c>
      <c r="B455" t="e">
        <f t="shared" ca="1" si="39"/>
        <v>#REF!</v>
      </c>
      <c r="C455" t="e" cm="1">
        <f t="array" aca="1" ref="C455" ca="1">IF(A455="","",IF(B455="safety","safety costs",INDIRECT("template!"&amp;"B"&amp;A455)))</f>
        <v>#REF!</v>
      </c>
      <c r="D455" t="e" cm="1">
        <f t="array" aca="1" ref="D455" ca="1">IF(OR(A455="",B455="safety"),"",INDIRECT("template!"&amp;"C"&amp;A455))</f>
        <v>#REF!</v>
      </c>
      <c r="E455" t="e" cm="1">
        <f t="array" aca="1" ref="E455" ca="1">IF(A455="","",IF(OR(A455=A454+1,A455=A454+2),E454,INDIRECT("template!"&amp;"D"&amp;A455-2)))</f>
        <v>#REF!</v>
      </c>
      <c r="F455" t="e" cm="1">
        <f t="array" aca="1" ref="F455" ca="1">IF(OR(A455="",B455="safety"),"",IF(ISBLANK(IF(A455=A454+1,F454,INDIRECT("template!"&amp;"D"&amp;A455-1))),"",IF(A455=A454+1,F454,INDIRECT("template!"&amp;"D"&amp;A455-1))))</f>
        <v>#REF!</v>
      </c>
      <c r="G455" t="e" cm="1">
        <f t="array" aca="1" ref="G455" ca="1">IF(OR(A455="",B455="safety"),"",IF(ISBLANK(INDIRECT("template!"&amp;"D"&amp;A455)),"",INDIRECT("template!"&amp;"D"&amp;A455)))</f>
        <v>#REF!</v>
      </c>
      <c r="H455" t="e" cm="1">
        <f t="array" aca="1" ref="H455" ca="1">IF(OR(A455="",B455="safety"),"",IF(ISBLANK(INDIRECT("template!"&amp;"E"&amp;A455)),"",INDIRECT("template!"&amp;"E"&amp;A455)))</f>
        <v>#REF!</v>
      </c>
      <c r="I455" t="e" cm="1">
        <f t="array" aca="1" ref="I455" ca="1">IF(OR(A455="",B455="safety"),"",IF(ISBLANK(INDIRECT("template!"&amp;"F"&amp;A455)),"",INDIRECT("template!"&amp;"F"&amp;A455)))</f>
        <v>#REF!</v>
      </c>
      <c r="J455" t="e" cm="1">
        <f t="array" aca="1" ref="J455" ca="1">IF(OR(A455="",B455="safety"),"",IF(ISBLANK(INDIRECT("template!"&amp;"G"&amp;A455)),"",INDIRECT("template!"&amp;"G"&amp;A455)))</f>
        <v>#REF!</v>
      </c>
      <c r="K455" t="e" cm="1">
        <f t="array" aca="1" ref="K455" ca="1">IF(OR(A455="",B455="safety"),"",IF(ISBLANK(INDIRECT("template!"&amp;"H"&amp;A455)),"",INDIRECT("template!"&amp;"H"&amp;A455)))</f>
        <v>#REF!</v>
      </c>
      <c r="L455" t="e" cm="1">
        <f t="array" aca="1" ref="L455" ca="1">IF(OR(A455="",B455="safety"),"",INDIRECT("template!"&amp;"I"&amp;A455))</f>
        <v>#REF!</v>
      </c>
      <c r="M455" t="e" cm="1">
        <f t="array" aca="1" ref="M455" ca="1">IF(OR(A455="",B455="safety"),"",INDIRECT("template!"&amp;"J"&amp;A455))</f>
        <v>#REF!</v>
      </c>
      <c r="N455" t="e" cm="1">
        <f t="array" aca="1" ref="N455" ca="1">IF(OR(A455="",B455="safety"),"",IF(ISBLANK(INDIRECT("template!"&amp;"K"&amp;A455)),"",INDIRECT("template!"&amp;"K"&amp;A455)))</f>
        <v>#REF!</v>
      </c>
      <c r="O455" t="e" cm="1">
        <f t="array" aca="1" ref="O455" ca="1">IF(OR(A455="",B455="safety"),"",INDIRECT("template!"&amp;"L"&amp;A455))</f>
        <v>#REF!</v>
      </c>
      <c r="P455" t="e" cm="1">
        <f t="array" aca="1" ref="P455" ca="1">IF(OR(A455="",B455="safety"),"",INDIRECT("template!"&amp;"M"&amp;A455))</f>
        <v>#REF!</v>
      </c>
      <c r="Q455" t="e">
        <f t="shared" ca="1" si="40"/>
        <v>#REF!</v>
      </c>
      <c r="R455" t="e">
        <f t="shared" ca="1" si="41"/>
        <v>#REF!</v>
      </c>
      <c r="S455" t="e">
        <f t="shared" ca="1" si="42"/>
        <v>#REF!</v>
      </c>
      <c r="T455" t="e">
        <f t="shared" ca="1" si="43"/>
        <v>#REF!</v>
      </c>
      <c r="U455" t="e" cm="1">
        <f t="array" aca="1" ref="U455" ca="1">IF(A455="","",IF(E455="","",IF(B455="safety",INDIRECT("template!"&amp;"P"&amp;A455),Q455+R455)))</f>
        <v>#REF!</v>
      </c>
      <c r="V455" t="e" cm="1">
        <f t="array" aca="1" ref="V455" ca="1">IF(A455="","",IF(E455="","",IF(B455="safety",INDIRECT("template!"&amp;"P"&amp;A455),S455+T455)))</f>
        <v>#REF!</v>
      </c>
      <c r="W455" t="e">
        <f ca="1">IF(A455="","",IF(E455="","",#REF!))</f>
        <v>#REF!</v>
      </c>
      <c r="X455" t="e">
        <f ca="1">IF(A455="","",IF(E455="","",#REF!))</f>
        <v>#REF!</v>
      </c>
      <c r="Y455" s="39" t="e">
        <f ca="1">IF(A455="","",IF(E455="","",#REF!))</f>
        <v>#REF!</v>
      </c>
      <c r="Z455" t="e">
        <f ca="1">IF(A455="","",IF(E455="","",#REF!))</f>
        <v>#REF!</v>
      </c>
      <c r="AA455" t="e">
        <f ca="1">IF(A455="","",IF(E455="","",#REF!))</f>
        <v>#REF!</v>
      </c>
      <c r="AB455" t="e">
        <f ca="1">IF(A455="","",IF(E455="","",#REF!))</f>
        <v>#REF!</v>
      </c>
      <c r="AC455" t="e">
        <f t="shared" ca="1" si="44"/>
        <v>#REF!</v>
      </c>
    </row>
    <row r="456" spans="1:29" x14ac:dyDescent="0.35">
      <c r="A456" t="e" cm="1">
        <f t="array" aca="1" ref="A456" ca="1">IF(A455="","",IF(OR(AND(A455+1&gt;=$AF$1,A455+1&lt;=$AF$2),AND(A455+1&gt;=$AF$6,A455+1&lt;=$AF$7),AND(A455+1&gt;=$AF$3,A455+1&lt;=$AF$4),AND(A455+1&gt;=$AF$8,A455+1&lt;=$AF$9),A455+1=$AF$5),IF(NOT(ISBLANK(INDIRECT("template!"&amp;"P"&amp;A455+1))),A455+1,IF(NOT(ISBLANK(INDIRECT("template!"&amp;"P"&amp;A455+2))),A455+2,A455+3)),IF(A455=$AF$2,$AF$3,IF(A455=$AF$4,$AF$5,IF(A455=$AF$5,$AF$6,IF(A455=$AF$7,$AF$8,""))))))</f>
        <v>#REF!</v>
      </c>
      <c r="B456" t="e">
        <f t="shared" ca="1" si="39"/>
        <v>#REF!</v>
      </c>
      <c r="C456" t="e" cm="1">
        <f t="array" aca="1" ref="C456" ca="1">IF(A456="","",IF(B456="safety","safety costs",INDIRECT("template!"&amp;"B"&amp;A456)))</f>
        <v>#REF!</v>
      </c>
      <c r="D456" t="e" cm="1">
        <f t="array" aca="1" ref="D456" ca="1">IF(OR(A456="",B456="safety"),"",INDIRECT("template!"&amp;"C"&amp;A456))</f>
        <v>#REF!</v>
      </c>
      <c r="E456" t="e" cm="1">
        <f t="array" aca="1" ref="E456" ca="1">IF(A456="","",IF(OR(A456=A455+1,A456=A455+2),E455,INDIRECT("template!"&amp;"D"&amp;A456-2)))</f>
        <v>#REF!</v>
      </c>
      <c r="F456" t="e" cm="1">
        <f t="array" aca="1" ref="F456" ca="1">IF(OR(A456="",B456="safety"),"",IF(ISBLANK(IF(A456=A455+1,F455,INDIRECT("template!"&amp;"D"&amp;A456-1))),"",IF(A456=A455+1,F455,INDIRECT("template!"&amp;"D"&amp;A456-1))))</f>
        <v>#REF!</v>
      </c>
      <c r="G456" t="e" cm="1">
        <f t="array" aca="1" ref="G456" ca="1">IF(OR(A456="",B456="safety"),"",IF(ISBLANK(INDIRECT("template!"&amp;"D"&amp;A456)),"",INDIRECT("template!"&amp;"D"&amp;A456)))</f>
        <v>#REF!</v>
      </c>
      <c r="H456" t="e" cm="1">
        <f t="array" aca="1" ref="H456" ca="1">IF(OR(A456="",B456="safety"),"",IF(ISBLANK(INDIRECT("template!"&amp;"E"&amp;A456)),"",INDIRECT("template!"&amp;"E"&amp;A456)))</f>
        <v>#REF!</v>
      </c>
      <c r="I456" t="e" cm="1">
        <f t="array" aca="1" ref="I456" ca="1">IF(OR(A456="",B456="safety"),"",IF(ISBLANK(INDIRECT("template!"&amp;"F"&amp;A456)),"",INDIRECT("template!"&amp;"F"&amp;A456)))</f>
        <v>#REF!</v>
      </c>
      <c r="J456" t="e" cm="1">
        <f t="array" aca="1" ref="J456" ca="1">IF(OR(A456="",B456="safety"),"",IF(ISBLANK(INDIRECT("template!"&amp;"G"&amp;A456)),"",INDIRECT("template!"&amp;"G"&amp;A456)))</f>
        <v>#REF!</v>
      </c>
      <c r="K456" t="e" cm="1">
        <f t="array" aca="1" ref="K456" ca="1">IF(OR(A456="",B456="safety"),"",IF(ISBLANK(INDIRECT("template!"&amp;"H"&amp;A456)),"",INDIRECT("template!"&amp;"H"&amp;A456)))</f>
        <v>#REF!</v>
      </c>
      <c r="L456" t="e" cm="1">
        <f t="array" aca="1" ref="L456" ca="1">IF(OR(A456="",B456="safety"),"",INDIRECT("template!"&amp;"I"&amp;A456))</f>
        <v>#REF!</v>
      </c>
      <c r="M456" t="e" cm="1">
        <f t="array" aca="1" ref="M456" ca="1">IF(OR(A456="",B456="safety"),"",INDIRECT("template!"&amp;"J"&amp;A456))</f>
        <v>#REF!</v>
      </c>
      <c r="N456" t="e" cm="1">
        <f t="array" aca="1" ref="N456" ca="1">IF(OR(A456="",B456="safety"),"",IF(ISBLANK(INDIRECT("template!"&amp;"K"&amp;A456)),"",INDIRECT("template!"&amp;"K"&amp;A456)))</f>
        <v>#REF!</v>
      </c>
      <c r="O456" t="e" cm="1">
        <f t="array" aca="1" ref="O456" ca="1">IF(OR(A456="",B456="safety"),"",INDIRECT("template!"&amp;"L"&amp;A456))</f>
        <v>#REF!</v>
      </c>
      <c r="P456" t="e" cm="1">
        <f t="array" aca="1" ref="P456" ca="1">IF(OR(A456="",B456="safety"),"",INDIRECT("template!"&amp;"M"&amp;A456))</f>
        <v>#REF!</v>
      </c>
      <c r="Q456" t="e">
        <f t="shared" ca="1" si="40"/>
        <v>#REF!</v>
      </c>
      <c r="R456" t="e">
        <f t="shared" ca="1" si="41"/>
        <v>#REF!</v>
      </c>
      <c r="S456" t="e">
        <f t="shared" ca="1" si="42"/>
        <v>#REF!</v>
      </c>
      <c r="T456" t="e">
        <f t="shared" ca="1" si="43"/>
        <v>#REF!</v>
      </c>
      <c r="U456" t="e" cm="1">
        <f t="array" aca="1" ref="U456" ca="1">IF(A456="","",IF(E456="","",IF(B456="safety",INDIRECT("template!"&amp;"P"&amp;A456),Q456+R456)))</f>
        <v>#REF!</v>
      </c>
      <c r="V456" t="e" cm="1">
        <f t="array" aca="1" ref="V456" ca="1">IF(A456="","",IF(E456="","",IF(B456="safety",INDIRECT("template!"&amp;"P"&amp;A456),S456+T456)))</f>
        <v>#REF!</v>
      </c>
      <c r="W456" t="e">
        <f ca="1">IF(A456="","",IF(E456="","",#REF!))</f>
        <v>#REF!</v>
      </c>
      <c r="X456" t="e">
        <f ca="1">IF(A456="","",IF(E456="","",#REF!))</f>
        <v>#REF!</v>
      </c>
      <c r="Y456" s="39" t="e">
        <f ca="1">IF(A456="","",IF(E456="","",#REF!))</f>
        <v>#REF!</v>
      </c>
      <c r="Z456" t="e">
        <f ca="1">IF(A456="","",IF(E456="","",#REF!))</f>
        <v>#REF!</v>
      </c>
      <c r="AA456" t="e">
        <f ca="1">IF(A456="","",IF(E456="","",#REF!))</f>
        <v>#REF!</v>
      </c>
      <c r="AB456" t="e">
        <f ca="1">IF(A456="","",IF(E456="","",#REF!))</f>
        <v>#REF!</v>
      </c>
      <c r="AC456" t="e">
        <f t="shared" ca="1" si="44"/>
        <v>#REF!</v>
      </c>
    </row>
    <row r="457" spans="1:29" x14ac:dyDescent="0.35">
      <c r="A457" t="e" cm="1">
        <f t="array" aca="1" ref="A457" ca="1">IF(A456="","",IF(OR(AND(A456+1&gt;=$AF$1,A456+1&lt;=$AF$2),AND(A456+1&gt;=$AF$6,A456+1&lt;=$AF$7),AND(A456+1&gt;=$AF$3,A456+1&lt;=$AF$4),AND(A456+1&gt;=$AF$8,A456+1&lt;=$AF$9),A456+1=$AF$5),IF(NOT(ISBLANK(INDIRECT("template!"&amp;"P"&amp;A456+1))),A456+1,IF(NOT(ISBLANK(INDIRECT("template!"&amp;"P"&amp;A456+2))),A456+2,A456+3)),IF(A456=$AF$2,$AF$3,IF(A456=$AF$4,$AF$5,IF(A456=$AF$5,$AF$6,IF(A456=$AF$7,$AF$8,""))))))</f>
        <v>#REF!</v>
      </c>
      <c r="B457" t="e">
        <f t="shared" ca="1" si="39"/>
        <v>#REF!</v>
      </c>
      <c r="C457" t="e" cm="1">
        <f t="array" aca="1" ref="C457" ca="1">IF(A457="","",IF(B457="safety","safety costs",INDIRECT("template!"&amp;"B"&amp;A457)))</f>
        <v>#REF!</v>
      </c>
      <c r="D457" t="e" cm="1">
        <f t="array" aca="1" ref="D457" ca="1">IF(OR(A457="",B457="safety"),"",INDIRECT("template!"&amp;"C"&amp;A457))</f>
        <v>#REF!</v>
      </c>
      <c r="E457" t="e" cm="1">
        <f t="array" aca="1" ref="E457" ca="1">IF(A457="","",IF(OR(A457=A456+1,A457=A456+2),E456,INDIRECT("template!"&amp;"D"&amp;A457-2)))</f>
        <v>#REF!</v>
      </c>
      <c r="F457" t="e" cm="1">
        <f t="array" aca="1" ref="F457" ca="1">IF(OR(A457="",B457="safety"),"",IF(ISBLANK(IF(A457=A456+1,F456,INDIRECT("template!"&amp;"D"&amp;A457-1))),"",IF(A457=A456+1,F456,INDIRECT("template!"&amp;"D"&amp;A457-1))))</f>
        <v>#REF!</v>
      </c>
      <c r="G457" t="e" cm="1">
        <f t="array" aca="1" ref="G457" ca="1">IF(OR(A457="",B457="safety"),"",IF(ISBLANK(INDIRECT("template!"&amp;"D"&amp;A457)),"",INDIRECT("template!"&amp;"D"&amp;A457)))</f>
        <v>#REF!</v>
      </c>
      <c r="H457" t="e" cm="1">
        <f t="array" aca="1" ref="H457" ca="1">IF(OR(A457="",B457="safety"),"",IF(ISBLANK(INDIRECT("template!"&amp;"E"&amp;A457)),"",INDIRECT("template!"&amp;"E"&amp;A457)))</f>
        <v>#REF!</v>
      </c>
      <c r="I457" t="e" cm="1">
        <f t="array" aca="1" ref="I457" ca="1">IF(OR(A457="",B457="safety"),"",IF(ISBLANK(INDIRECT("template!"&amp;"F"&amp;A457)),"",INDIRECT("template!"&amp;"F"&amp;A457)))</f>
        <v>#REF!</v>
      </c>
      <c r="J457" t="e" cm="1">
        <f t="array" aca="1" ref="J457" ca="1">IF(OR(A457="",B457="safety"),"",IF(ISBLANK(INDIRECT("template!"&amp;"G"&amp;A457)),"",INDIRECT("template!"&amp;"G"&amp;A457)))</f>
        <v>#REF!</v>
      </c>
      <c r="K457" t="e" cm="1">
        <f t="array" aca="1" ref="K457" ca="1">IF(OR(A457="",B457="safety"),"",IF(ISBLANK(INDIRECT("template!"&amp;"H"&amp;A457)),"",INDIRECT("template!"&amp;"H"&amp;A457)))</f>
        <v>#REF!</v>
      </c>
      <c r="L457" t="e" cm="1">
        <f t="array" aca="1" ref="L457" ca="1">IF(OR(A457="",B457="safety"),"",INDIRECT("template!"&amp;"I"&amp;A457))</f>
        <v>#REF!</v>
      </c>
      <c r="M457" t="e" cm="1">
        <f t="array" aca="1" ref="M457" ca="1">IF(OR(A457="",B457="safety"),"",INDIRECT("template!"&amp;"J"&amp;A457))</f>
        <v>#REF!</v>
      </c>
      <c r="N457" t="e" cm="1">
        <f t="array" aca="1" ref="N457" ca="1">IF(OR(A457="",B457="safety"),"",IF(ISBLANK(INDIRECT("template!"&amp;"K"&amp;A457)),"",INDIRECT("template!"&amp;"K"&amp;A457)))</f>
        <v>#REF!</v>
      </c>
      <c r="O457" t="e" cm="1">
        <f t="array" aca="1" ref="O457" ca="1">IF(OR(A457="",B457="safety"),"",INDIRECT("template!"&amp;"L"&amp;A457))</f>
        <v>#REF!</v>
      </c>
      <c r="P457" t="e" cm="1">
        <f t="array" aca="1" ref="P457" ca="1">IF(OR(A457="",B457="safety"),"",INDIRECT("template!"&amp;"M"&amp;A457))</f>
        <v>#REF!</v>
      </c>
      <c r="Q457" t="e">
        <f t="shared" ca="1" si="40"/>
        <v>#REF!</v>
      </c>
      <c r="R457" t="e">
        <f t="shared" ca="1" si="41"/>
        <v>#REF!</v>
      </c>
      <c r="S457" t="e">
        <f t="shared" ca="1" si="42"/>
        <v>#REF!</v>
      </c>
      <c r="T457" t="e">
        <f t="shared" ca="1" si="43"/>
        <v>#REF!</v>
      </c>
      <c r="U457" t="e" cm="1">
        <f t="array" aca="1" ref="U457" ca="1">IF(A457="","",IF(E457="","",IF(B457="safety",INDIRECT("template!"&amp;"P"&amp;A457),Q457+R457)))</f>
        <v>#REF!</v>
      </c>
      <c r="V457" t="e" cm="1">
        <f t="array" aca="1" ref="V457" ca="1">IF(A457="","",IF(E457="","",IF(B457="safety",INDIRECT("template!"&amp;"P"&amp;A457),S457+T457)))</f>
        <v>#REF!</v>
      </c>
      <c r="W457" t="e">
        <f ca="1">IF(A457="","",IF(E457="","",#REF!))</f>
        <v>#REF!</v>
      </c>
      <c r="X457" t="e">
        <f ca="1">IF(A457="","",IF(E457="","",#REF!))</f>
        <v>#REF!</v>
      </c>
      <c r="Y457" s="39" t="e">
        <f ca="1">IF(A457="","",IF(E457="","",#REF!))</f>
        <v>#REF!</v>
      </c>
      <c r="Z457" t="e">
        <f ca="1">IF(A457="","",IF(E457="","",#REF!))</f>
        <v>#REF!</v>
      </c>
      <c r="AA457" t="e">
        <f ca="1">IF(A457="","",IF(E457="","",#REF!))</f>
        <v>#REF!</v>
      </c>
      <c r="AB457" t="e">
        <f ca="1">IF(A457="","",IF(E457="","",#REF!))</f>
        <v>#REF!</v>
      </c>
      <c r="AC457" t="e">
        <f t="shared" ca="1" si="44"/>
        <v>#REF!</v>
      </c>
    </row>
    <row r="458" spans="1:29" x14ac:dyDescent="0.35">
      <c r="A458" t="e" cm="1">
        <f t="array" aca="1" ref="A458" ca="1">IF(A457="","",IF(OR(AND(A457+1&gt;=$AF$1,A457+1&lt;=$AF$2),AND(A457+1&gt;=$AF$6,A457+1&lt;=$AF$7),AND(A457+1&gt;=$AF$3,A457+1&lt;=$AF$4),AND(A457+1&gt;=$AF$8,A457+1&lt;=$AF$9),A457+1=$AF$5),IF(NOT(ISBLANK(INDIRECT("template!"&amp;"P"&amp;A457+1))),A457+1,IF(NOT(ISBLANK(INDIRECT("template!"&amp;"P"&amp;A457+2))),A457+2,A457+3)),IF(A457=$AF$2,$AF$3,IF(A457=$AF$4,$AF$5,IF(A457=$AF$5,$AF$6,IF(A457=$AF$7,$AF$8,""))))))</f>
        <v>#REF!</v>
      </c>
      <c r="B458" t="e">
        <f t="shared" ca="1" si="39"/>
        <v>#REF!</v>
      </c>
      <c r="C458" t="e" cm="1">
        <f t="array" aca="1" ref="C458" ca="1">IF(A458="","",IF(B458="safety","safety costs",INDIRECT("template!"&amp;"B"&amp;A458)))</f>
        <v>#REF!</v>
      </c>
      <c r="D458" t="e" cm="1">
        <f t="array" aca="1" ref="D458" ca="1">IF(OR(A458="",B458="safety"),"",INDIRECT("template!"&amp;"C"&amp;A458))</f>
        <v>#REF!</v>
      </c>
      <c r="E458" t="e" cm="1">
        <f t="array" aca="1" ref="E458" ca="1">IF(A458="","",IF(OR(A458=A457+1,A458=A457+2),E457,INDIRECT("template!"&amp;"D"&amp;A458-2)))</f>
        <v>#REF!</v>
      </c>
      <c r="F458" t="e" cm="1">
        <f t="array" aca="1" ref="F458" ca="1">IF(OR(A458="",B458="safety"),"",IF(ISBLANK(IF(A458=A457+1,F457,INDIRECT("template!"&amp;"D"&amp;A458-1))),"",IF(A458=A457+1,F457,INDIRECT("template!"&amp;"D"&amp;A458-1))))</f>
        <v>#REF!</v>
      </c>
      <c r="G458" t="e" cm="1">
        <f t="array" aca="1" ref="G458" ca="1">IF(OR(A458="",B458="safety"),"",IF(ISBLANK(INDIRECT("template!"&amp;"D"&amp;A458)),"",INDIRECT("template!"&amp;"D"&amp;A458)))</f>
        <v>#REF!</v>
      </c>
      <c r="H458" t="e" cm="1">
        <f t="array" aca="1" ref="H458" ca="1">IF(OR(A458="",B458="safety"),"",IF(ISBLANK(INDIRECT("template!"&amp;"E"&amp;A458)),"",INDIRECT("template!"&amp;"E"&amp;A458)))</f>
        <v>#REF!</v>
      </c>
      <c r="I458" t="e" cm="1">
        <f t="array" aca="1" ref="I458" ca="1">IF(OR(A458="",B458="safety"),"",IF(ISBLANK(INDIRECT("template!"&amp;"F"&amp;A458)),"",INDIRECT("template!"&amp;"F"&amp;A458)))</f>
        <v>#REF!</v>
      </c>
      <c r="J458" t="e" cm="1">
        <f t="array" aca="1" ref="J458" ca="1">IF(OR(A458="",B458="safety"),"",IF(ISBLANK(INDIRECT("template!"&amp;"G"&amp;A458)),"",INDIRECT("template!"&amp;"G"&amp;A458)))</f>
        <v>#REF!</v>
      </c>
      <c r="K458" t="e" cm="1">
        <f t="array" aca="1" ref="K458" ca="1">IF(OR(A458="",B458="safety"),"",IF(ISBLANK(INDIRECT("template!"&amp;"H"&amp;A458)),"",INDIRECT("template!"&amp;"H"&amp;A458)))</f>
        <v>#REF!</v>
      </c>
      <c r="L458" t="e" cm="1">
        <f t="array" aca="1" ref="L458" ca="1">IF(OR(A458="",B458="safety"),"",INDIRECT("template!"&amp;"I"&amp;A458))</f>
        <v>#REF!</v>
      </c>
      <c r="M458" t="e" cm="1">
        <f t="array" aca="1" ref="M458" ca="1">IF(OR(A458="",B458="safety"),"",INDIRECT("template!"&amp;"J"&amp;A458))</f>
        <v>#REF!</v>
      </c>
      <c r="N458" t="e" cm="1">
        <f t="array" aca="1" ref="N458" ca="1">IF(OR(A458="",B458="safety"),"",IF(ISBLANK(INDIRECT("template!"&amp;"K"&amp;A458)),"",INDIRECT("template!"&amp;"K"&amp;A458)))</f>
        <v>#REF!</v>
      </c>
      <c r="O458" t="e" cm="1">
        <f t="array" aca="1" ref="O458" ca="1">IF(OR(A458="",B458="safety"),"",INDIRECT("template!"&amp;"L"&amp;A458))</f>
        <v>#REF!</v>
      </c>
      <c r="P458" t="e" cm="1">
        <f t="array" aca="1" ref="P458" ca="1">IF(OR(A458="",B458="safety"),"",INDIRECT("template!"&amp;"M"&amp;A458))</f>
        <v>#REF!</v>
      </c>
      <c r="Q458" t="e">
        <f t="shared" ca="1" si="40"/>
        <v>#REF!</v>
      </c>
      <c r="R458" t="e">
        <f t="shared" ca="1" si="41"/>
        <v>#REF!</v>
      </c>
      <c r="S458" t="e">
        <f t="shared" ca="1" si="42"/>
        <v>#REF!</v>
      </c>
      <c r="T458" t="e">
        <f t="shared" ca="1" si="43"/>
        <v>#REF!</v>
      </c>
      <c r="U458" t="e" cm="1">
        <f t="array" aca="1" ref="U458" ca="1">IF(A458="","",IF(E458="","",IF(B458="safety",INDIRECT("template!"&amp;"P"&amp;A458),Q458+R458)))</f>
        <v>#REF!</v>
      </c>
      <c r="V458" t="e" cm="1">
        <f t="array" aca="1" ref="V458" ca="1">IF(A458="","",IF(E458="","",IF(B458="safety",INDIRECT("template!"&amp;"P"&amp;A458),S458+T458)))</f>
        <v>#REF!</v>
      </c>
      <c r="W458" t="e">
        <f ca="1">IF(A458="","",IF(E458="","",#REF!))</f>
        <v>#REF!</v>
      </c>
      <c r="X458" t="e">
        <f ca="1">IF(A458="","",IF(E458="","",#REF!))</f>
        <v>#REF!</v>
      </c>
      <c r="Y458" s="39" t="e">
        <f ca="1">IF(A458="","",IF(E458="","",#REF!))</f>
        <v>#REF!</v>
      </c>
      <c r="Z458" t="e">
        <f ca="1">IF(A458="","",IF(E458="","",#REF!))</f>
        <v>#REF!</v>
      </c>
      <c r="AA458" t="e">
        <f ca="1">IF(A458="","",IF(E458="","",#REF!))</f>
        <v>#REF!</v>
      </c>
      <c r="AB458" t="e">
        <f ca="1">IF(A458="","",IF(E458="","",#REF!))</f>
        <v>#REF!</v>
      </c>
      <c r="AC458" t="e">
        <f t="shared" ca="1" si="44"/>
        <v>#REF!</v>
      </c>
    </row>
    <row r="459" spans="1:29" x14ac:dyDescent="0.35">
      <c r="A459" t="e" cm="1">
        <f t="array" aca="1" ref="A459" ca="1">IF(A458="","",IF(OR(AND(A458+1&gt;=$AF$1,A458+1&lt;=$AF$2),AND(A458+1&gt;=$AF$6,A458+1&lt;=$AF$7),AND(A458+1&gt;=$AF$3,A458+1&lt;=$AF$4),AND(A458+1&gt;=$AF$8,A458+1&lt;=$AF$9),A458+1=$AF$5),IF(NOT(ISBLANK(INDIRECT("template!"&amp;"P"&amp;A458+1))),A458+1,IF(NOT(ISBLANK(INDIRECT("template!"&amp;"P"&amp;A458+2))),A458+2,A458+3)),IF(A458=$AF$2,$AF$3,IF(A458=$AF$4,$AF$5,IF(A458=$AF$5,$AF$6,IF(A458=$AF$7,$AF$8,""))))))</f>
        <v>#REF!</v>
      </c>
      <c r="B459" t="e">
        <f t="shared" ca="1" si="39"/>
        <v>#REF!</v>
      </c>
      <c r="C459" t="e" cm="1">
        <f t="array" aca="1" ref="C459" ca="1">IF(A459="","",IF(B459="safety","safety costs",INDIRECT("template!"&amp;"B"&amp;A459)))</f>
        <v>#REF!</v>
      </c>
      <c r="D459" t="e" cm="1">
        <f t="array" aca="1" ref="D459" ca="1">IF(OR(A459="",B459="safety"),"",INDIRECT("template!"&amp;"C"&amp;A459))</f>
        <v>#REF!</v>
      </c>
      <c r="E459" t="e" cm="1">
        <f t="array" aca="1" ref="E459" ca="1">IF(A459="","",IF(OR(A459=A458+1,A459=A458+2),E458,INDIRECT("template!"&amp;"D"&amp;A459-2)))</f>
        <v>#REF!</v>
      </c>
      <c r="F459" t="e" cm="1">
        <f t="array" aca="1" ref="F459" ca="1">IF(OR(A459="",B459="safety"),"",IF(ISBLANK(IF(A459=A458+1,F458,INDIRECT("template!"&amp;"D"&amp;A459-1))),"",IF(A459=A458+1,F458,INDIRECT("template!"&amp;"D"&amp;A459-1))))</f>
        <v>#REF!</v>
      </c>
      <c r="G459" t="e" cm="1">
        <f t="array" aca="1" ref="G459" ca="1">IF(OR(A459="",B459="safety"),"",IF(ISBLANK(INDIRECT("template!"&amp;"D"&amp;A459)),"",INDIRECT("template!"&amp;"D"&amp;A459)))</f>
        <v>#REF!</v>
      </c>
      <c r="H459" t="e" cm="1">
        <f t="array" aca="1" ref="H459" ca="1">IF(OR(A459="",B459="safety"),"",IF(ISBLANK(INDIRECT("template!"&amp;"E"&amp;A459)),"",INDIRECT("template!"&amp;"E"&amp;A459)))</f>
        <v>#REF!</v>
      </c>
      <c r="I459" t="e" cm="1">
        <f t="array" aca="1" ref="I459" ca="1">IF(OR(A459="",B459="safety"),"",IF(ISBLANK(INDIRECT("template!"&amp;"F"&amp;A459)),"",INDIRECT("template!"&amp;"F"&amp;A459)))</f>
        <v>#REF!</v>
      </c>
      <c r="J459" t="e" cm="1">
        <f t="array" aca="1" ref="J459" ca="1">IF(OR(A459="",B459="safety"),"",IF(ISBLANK(INDIRECT("template!"&amp;"G"&amp;A459)),"",INDIRECT("template!"&amp;"G"&amp;A459)))</f>
        <v>#REF!</v>
      </c>
      <c r="K459" t="e" cm="1">
        <f t="array" aca="1" ref="K459" ca="1">IF(OR(A459="",B459="safety"),"",IF(ISBLANK(INDIRECT("template!"&amp;"H"&amp;A459)),"",INDIRECT("template!"&amp;"H"&amp;A459)))</f>
        <v>#REF!</v>
      </c>
      <c r="L459" t="e" cm="1">
        <f t="array" aca="1" ref="L459" ca="1">IF(OR(A459="",B459="safety"),"",INDIRECT("template!"&amp;"I"&amp;A459))</f>
        <v>#REF!</v>
      </c>
      <c r="M459" t="e" cm="1">
        <f t="array" aca="1" ref="M459" ca="1">IF(OR(A459="",B459="safety"),"",INDIRECT("template!"&amp;"J"&amp;A459))</f>
        <v>#REF!</v>
      </c>
      <c r="N459" t="e" cm="1">
        <f t="array" aca="1" ref="N459" ca="1">IF(OR(A459="",B459="safety"),"",IF(ISBLANK(INDIRECT("template!"&amp;"K"&amp;A459)),"",INDIRECT("template!"&amp;"K"&amp;A459)))</f>
        <v>#REF!</v>
      </c>
      <c r="O459" t="e" cm="1">
        <f t="array" aca="1" ref="O459" ca="1">IF(OR(A459="",B459="safety"),"",INDIRECT("template!"&amp;"L"&amp;A459))</f>
        <v>#REF!</v>
      </c>
      <c r="P459" t="e" cm="1">
        <f t="array" aca="1" ref="P459" ca="1">IF(OR(A459="",B459="safety"),"",INDIRECT("template!"&amp;"M"&amp;A459))</f>
        <v>#REF!</v>
      </c>
      <c r="Q459" t="e">
        <f t="shared" ca="1" si="40"/>
        <v>#REF!</v>
      </c>
      <c r="R459" t="e">
        <f t="shared" ca="1" si="41"/>
        <v>#REF!</v>
      </c>
      <c r="S459" t="e">
        <f t="shared" ca="1" si="42"/>
        <v>#REF!</v>
      </c>
      <c r="T459" t="e">
        <f t="shared" ca="1" si="43"/>
        <v>#REF!</v>
      </c>
      <c r="U459" t="e" cm="1">
        <f t="array" aca="1" ref="U459" ca="1">IF(A459="","",IF(E459="","",IF(B459="safety",INDIRECT("template!"&amp;"P"&amp;A459),Q459+R459)))</f>
        <v>#REF!</v>
      </c>
      <c r="V459" t="e" cm="1">
        <f t="array" aca="1" ref="V459" ca="1">IF(A459="","",IF(E459="","",IF(B459="safety",INDIRECT("template!"&amp;"P"&amp;A459),S459+T459)))</f>
        <v>#REF!</v>
      </c>
      <c r="W459" t="e">
        <f ca="1">IF(A459="","",IF(E459="","",#REF!))</f>
        <v>#REF!</v>
      </c>
      <c r="X459" t="e">
        <f ca="1">IF(A459="","",IF(E459="","",#REF!))</f>
        <v>#REF!</v>
      </c>
      <c r="Y459" s="39" t="e">
        <f ca="1">IF(A459="","",IF(E459="","",#REF!))</f>
        <v>#REF!</v>
      </c>
      <c r="Z459" t="e">
        <f ca="1">IF(A459="","",IF(E459="","",#REF!))</f>
        <v>#REF!</v>
      </c>
      <c r="AA459" t="e">
        <f ca="1">IF(A459="","",IF(E459="","",#REF!))</f>
        <v>#REF!</v>
      </c>
      <c r="AB459" t="e">
        <f ca="1">IF(A459="","",IF(E459="","",#REF!))</f>
        <v>#REF!</v>
      </c>
      <c r="AC459" t="e">
        <f t="shared" ca="1" si="44"/>
        <v>#REF!</v>
      </c>
    </row>
    <row r="460" spans="1:29" x14ac:dyDescent="0.35">
      <c r="A460" t="e" cm="1">
        <f t="array" aca="1" ref="A460" ca="1">IF(A459="","",IF(OR(AND(A459+1&gt;=$AF$1,A459+1&lt;=$AF$2),AND(A459+1&gt;=$AF$6,A459+1&lt;=$AF$7),AND(A459+1&gt;=$AF$3,A459+1&lt;=$AF$4),AND(A459+1&gt;=$AF$8,A459+1&lt;=$AF$9),A459+1=$AF$5),IF(NOT(ISBLANK(INDIRECT("template!"&amp;"P"&amp;A459+1))),A459+1,IF(NOT(ISBLANK(INDIRECT("template!"&amp;"P"&amp;A459+2))),A459+2,A459+3)),IF(A459=$AF$2,$AF$3,IF(A459=$AF$4,$AF$5,IF(A459=$AF$5,$AF$6,IF(A459=$AF$7,$AF$8,""))))))</f>
        <v>#REF!</v>
      </c>
      <c r="B460" t="e">
        <f t="shared" ca="1" si="39"/>
        <v>#REF!</v>
      </c>
      <c r="C460" t="e" cm="1">
        <f t="array" aca="1" ref="C460" ca="1">IF(A460="","",IF(B460="safety","safety costs",INDIRECT("template!"&amp;"B"&amp;A460)))</f>
        <v>#REF!</v>
      </c>
      <c r="D460" t="e" cm="1">
        <f t="array" aca="1" ref="D460" ca="1">IF(OR(A460="",B460="safety"),"",INDIRECT("template!"&amp;"C"&amp;A460))</f>
        <v>#REF!</v>
      </c>
      <c r="E460" t="e" cm="1">
        <f t="array" aca="1" ref="E460" ca="1">IF(A460="","",IF(OR(A460=A459+1,A460=A459+2),E459,INDIRECT("template!"&amp;"D"&amp;A460-2)))</f>
        <v>#REF!</v>
      </c>
      <c r="F460" t="e" cm="1">
        <f t="array" aca="1" ref="F460" ca="1">IF(OR(A460="",B460="safety"),"",IF(ISBLANK(IF(A460=A459+1,F459,INDIRECT("template!"&amp;"D"&amp;A460-1))),"",IF(A460=A459+1,F459,INDIRECT("template!"&amp;"D"&amp;A460-1))))</f>
        <v>#REF!</v>
      </c>
      <c r="G460" t="e" cm="1">
        <f t="array" aca="1" ref="G460" ca="1">IF(OR(A460="",B460="safety"),"",IF(ISBLANK(INDIRECT("template!"&amp;"D"&amp;A460)),"",INDIRECT("template!"&amp;"D"&amp;A460)))</f>
        <v>#REF!</v>
      </c>
      <c r="H460" t="e" cm="1">
        <f t="array" aca="1" ref="H460" ca="1">IF(OR(A460="",B460="safety"),"",IF(ISBLANK(INDIRECT("template!"&amp;"E"&amp;A460)),"",INDIRECT("template!"&amp;"E"&amp;A460)))</f>
        <v>#REF!</v>
      </c>
      <c r="I460" t="e" cm="1">
        <f t="array" aca="1" ref="I460" ca="1">IF(OR(A460="",B460="safety"),"",IF(ISBLANK(INDIRECT("template!"&amp;"F"&amp;A460)),"",INDIRECT("template!"&amp;"F"&amp;A460)))</f>
        <v>#REF!</v>
      </c>
      <c r="J460" t="e" cm="1">
        <f t="array" aca="1" ref="J460" ca="1">IF(OR(A460="",B460="safety"),"",IF(ISBLANK(INDIRECT("template!"&amp;"G"&amp;A460)),"",INDIRECT("template!"&amp;"G"&amp;A460)))</f>
        <v>#REF!</v>
      </c>
      <c r="K460" t="e" cm="1">
        <f t="array" aca="1" ref="K460" ca="1">IF(OR(A460="",B460="safety"),"",IF(ISBLANK(INDIRECT("template!"&amp;"H"&amp;A460)),"",INDIRECT("template!"&amp;"H"&amp;A460)))</f>
        <v>#REF!</v>
      </c>
      <c r="L460" t="e" cm="1">
        <f t="array" aca="1" ref="L460" ca="1">IF(OR(A460="",B460="safety"),"",INDIRECT("template!"&amp;"I"&amp;A460))</f>
        <v>#REF!</v>
      </c>
      <c r="M460" t="e" cm="1">
        <f t="array" aca="1" ref="M460" ca="1">IF(OR(A460="",B460="safety"),"",INDIRECT("template!"&amp;"J"&amp;A460))</f>
        <v>#REF!</v>
      </c>
      <c r="N460" t="e" cm="1">
        <f t="array" aca="1" ref="N460" ca="1">IF(OR(A460="",B460="safety"),"",IF(ISBLANK(INDIRECT("template!"&amp;"K"&amp;A460)),"",INDIRECT("template!"&amp;"K"&amp;A460)))</f>
        <v>#REF!</v>
      </c>
      <c r="O460" t="e" cm="1">
        <f t="array" aca="1" ref="O460" ca="1">IF(OR(A460="",B460="safety"),"",INDIRECT("template!"&amp;"L"&amp;A460))</f>
        <v>#REF!</v>
      </c>
      <c r="P460" t="e" cm="1">
        <f t="array" aca="1" ref="P460" ca="1">IF(OR(A460="",B460="safety"),"",INDIRECT("template!"&amp;"M"&amp;A460))</f>
        <v>#REF!</v>
      </c>
      <c r="Q460" t="e">
        <f t="shared" ca="1" si="40"/>
        <v>#REF!</v>
      </c>
      <c r="R460" t="e">
        <f t="shared" ca="1" si="41"/>
        <v>#REF!</v>
      </c>
      <c r="S460" t="e">
        <f t="shared" ca="1" si="42"/>
        <v>#REF!</v>
      </c>
      <c r="T460" t="e">
        <f t="shared" ca="1" si="43"/>
        <v>#REF!</v>
      </c>
      <c r="U460" t="e" cm="1">
        <f t="array" aca="1" ref="U460" ca="1">IF(A460="","",IF(E460="","",IF(B460="safety",INDIRECT("template!"&amp;"P"&amp;A460),Q460+R460)))</f>
        <v>#REF!</v>
      </c>
      <c r="V460" t="e" cm="1">
        <f t="array" aca="1" ref="V460" ca="1">IF(A460="","",IF(E460="","",IF(B460="safety",INDIRECT("template!"&amp;"P"&amp;A460),S460+T460)))</f>
        <v>#REF!</v>
      </c>
      <c r="W460" t="e">
        <f ca="1">IF(A460="","",IF(E460="","",#REF!))</f>
        <v>#REF!</v>
      </c>
      <c r="X460" t="e">
        <f ca="1">IF(A460="","",IF(E460="","",#REF!))</f>
        <v>#REF!</v>
      </c>
      <c r="Y460" s="39" t="e">
        <f ca="1">IF(A460="","",IF(E460="","",#REF!))</f>
        <v>#REF!</v>
      </c>
      <c r="Z460" t="e">
        <f ca="1">IF(A460="","",IF(E460="","",#REF!))</f>
        <v>#REF!</v>
      </c>
      <c r="AA460" t="e">
        <f ca="1">IF(A460="","",IF(E460="","",#REF!))</f>
        <v>#REF!</v>
      </c>
      <c r="AB460" t="e">
        <f ca="1">IF(A460="","",IF(E460="","",#REF!))</f>
        <v>#REF!</v>
      </c>
      <c r="AC460" t="e">
        <f t="shared" ca="1" si="44"/>
        <v>#REF!</v>
      </c>
    </row>
    <row r="461" spans="1:29" x14ac:dyDescent="0.35">
      <c r="A461" t="e" cm="1">
        <f t="array" aca="1" ref="A461" ca="1">IF(A460="","",IF(OR(AND(A460+1&gt;=$AF$1,A460+1&lt;=$AF$2),AND(A460+1&gt;=$AF$6,A460+1&lt;=$AF$7),AND(A460+1&gt;=$AF$3,A460+1&lt;=$AF$4),AND(A460+1&gt;=$AF$8,A460+1&lt;=$AF$9),A460+1=$AF$5),IF(NOT(ISBLANK(INDIRECT("template!"&amp;"P"&amp;A460+1))),A460+1,IF(NOT(ISBLANK(INDIRECT("template!"&amp;"P"&amp;A460+2))),A460+2,A460+3)),IF(A460=$AF$2,$AF$3,IF(A460=$AF$4,$AF$5,IF(A460=$AF$5,$AF$6,IF(A460=$AF$7,$AF$8,""))))))</f>
        <v>#REF!</v>
      </c>
      <c r="B461" t="e">
        <f t="shared" ca="1" si="39"/>
        <v>#REF!</v>
      </c>
      <c r="C461" t="e" cm="1">
        <f t="array" aca="1" ref="C461" ca="1">IF(A461="","",IF(B461="safety","safety costs",INDIRECT("template!"&amp;"B"&amp;A461)))</f>
        <v>#REF!</v>
      </c>
      <c r="D461" t="e" cm="1">
        <f t="array" aca="1" ref="D461" ca="1">IF(OR(A461="",B461="safety"),"",INDIRECT("template!"&amp;"C"&amp;A461))</f>
        <v>#REF!</v>
      </c>
      <c r="E461" t="e" cm="1">
        <f t="array" aca="1" ref="E461" ca="1">IF(A461="","",IF(OR(A461=A460+1,A461=A460+2),E460,INDIRECT("template!"&amp;"D"&amp;A461-2)))</f>
        <v>#REF!</v>
      </c>
      <c r="F461" t="e" cm="1">
        <f t="array" aca="1" ref="F461" ca="1">IF(OR(A461="",B461="safety"),"",IF(ISBLANK(IF(A461=A460+1,F460,INDIRECT("template!"&amp;"D"&amp;A461-1))),"",IF(A461=A460+1,F460,INDIRECT("template!"&amp;"D"&amp;A461-1))))</f>
        <v>#REF!</v>
      </c>
      <c r="G461" t="e" cm="1">
        <f t="array" aca="1" ref="G461" ca="1">IF(OR(A461="",B461="safety"),"",IF(ISBLANK(INDIRECT("template!"&amp;"D"&amp;A461)),"",INDIRECT("template!"&amp;"D"&amp;A461)))</f>
        <v>#REF!</v>
      </c>
      <c r="H461" t="e" cm="1">
        <f t="array" aca="1" ref="H461" ca="1">IF(OR(A461="",B461="safety"),"",IF(ISBLANK(INDIRECT("template!"&amp;"E"&amp;A461)),"",INDIRECT("template!"&amp;"E"&amp;A461)))</f>
        <v>#REF!</v>
      </c>
      <c r="I461" t="e" cm="1">
        <f t="array" aca="1" ref="I461" ca="1">IF(OR(A461="",B461="safety"),"",IF(ISBLANK(INDIRECT("template!"&amp;"F"&amp;A461)),"",INDIRECT("template!"&amp;"F"&amp;A461)))</f>
        <v>#REF!</v>
      </c>
      <c r="J461" t="e" cm="1">
        <f t="array" aca="1" ref="J461" ca="1">IF(OR(A461="",B461="safety"),"",IF(ISBLANK(INDIRECT("template!"&amp;"G"&amp;A461)),"",INDIRECT("template!"&amp;"G"&amp;A461)))</f>
        <v>#REF!</v>
      </c>
      <c r="K461" t="e" cm="1">
        <f t="array" aca="1" ref="K461" ca="1">IF(OR(A461="",B461="safety"),"",IF(ISBLANK(INDIRECT("template!"&amp;"H"&amp;A461)),"",INDIRECT("template!"&amp;"H"&amp;A461)))</f>
        <v>#REF!</v>
      </c>
      <c r="L461" t="e" cm="1">
        <f t="array" aca="1" ref="L461" ca="1">IF(OR(A461="",B461="safety"),"",INDIRECT("template!"&amp;"I"&amp;A461))</f>
        <v>#REF!</v>
      </c>
      <c r="M461" t="e" cm="1">
        <f t="array" aca="1" ref="M461" ca="1">IF(OR(A461="",B461="safety"),"",INDIRECT("template!"&amp;"J"&amp;A461))</f>
        <v>#REF!</v>
      </c>
      <c r="N461" t="e" cm="1">
        <f t="array" aca="1" ref="N461" ca="1">IF(OR(A461="",B461="safety"),"",IF(ISBLANK(INDIRECT("template!"&amp;"K"&amp;A461)),"",INDIRECT("template!"&amp;"K"&amp;A461)))</f>
        <v>#REF!</v>
      </c>
      <c r="O461" t="e" cm="1">
        <f t="array" aca="1" ref="O461" ca="1">IF(OR(A461="",B461="safety"),"",INDIRECT("template!"&amp;"L"&amp;A461))</f>
        <v>#REF!</v>
      </c>
      <c r="P461" t="e" cm="1">
        <f t="array" aca="1" ref="P461" ca="1">IF(OR(A461="",B461="safety"),"",INDIRECT("template!"&amp;"M"&amp;A461))</f>
        <v>#REF!</v>
      </c>
      <c r="Q461" t="e">
        <f t="shared" ca="1" si="40"/>
        <v>#REF!</v>
      </c>
      <c r="R461" t="e">
        <f t="shared" ca="1" si="41"/>
        <v>#REF!</v>
      </c>
      <c r="S461" t="e">
        <f t="shared" ca="1" si="42"/>
        <v>#REF!</v>
      </c>
      <c r="T461" t="e">
        <f t="shared" ca="1" si="43"/>
        <v>#REF!</v>
      </c>
      <c r="U461" t="e" cm="1">
        <f t="array" aca="1" ref="U461" ca="1">IF(A461="","",IF(E461="","",IF(B461="safety",INDIRECT("template!"&amp;"P"&amp;A461),Q461+R461)))</f>
        <v>#REF!</v>
      </c>
      <c r="V461" t="e" cm="1">
        <f t="array" aca="1" ref="V461" ca="1">IF(A461="","",IF(E461="","",IF(B461="safety",INDIRECT("template!"&amp;"P"&amp;A461),S461+T461)))</f>
        <v>#REF!</v>
      </c>
      <c r="W461" t="e">
        <f ca="1">IF(A461="","",IF(E461="","",#REF!))</f>
        <v>#REF!</v>
      </c>
      <c r="X461" t="e">
        <f ca="1">IF(A461="","",IF(E461="","",#REF!))</f>
        <v>#REF!</v>
      </c>
      <c r="Y461" s="39" t="e">
        <f ca="1">IF(A461="","",IF(E461="","",#REF!))</f>
        <v>#REF!</v>
      </c>
      <c r="Z461" t="e">
        <f ca="1">IF(A461="","",IF(E461="","",#REF!))</f>
        <v>#REF!</v>
      </c>
      <c r="AA461" t="e">
        <f ca="1">IF(A461="","",IF(E461="","",#REF!))</f>
        <v>#REF!</v>
      </c>
      <c r="AB461" t="e">
        <f ca="1">IF(A461="","",IF(E461="","",#REF!))</f>
        <v>#REF!</v>
      </c>
      <c r="AC461" t="e">
        <f t="shared" ca="1" si="44"/>
        <v>#REF!</v>
      </c>
    </row>
    <row r="462" spans="1:29" x14ac:dyDescent="0.35">
      <c r="A462" t="e" cm="1">
        <f t="array" aca="1" ref="A462" ca="1">IF(A461="","",IF(OR(AND(A461+1&gt;=$AF$1,A461+1&lt;=$AF$2),AND(A461+1&gt;=$AF$6,A461+1&lt;=$AF$7),AND(A461+1&gt;=$AF$3,A461+1&lt;=$AF$4),AND(A461+1&gt;=$AF$8,A461+1&lt;=$AF$9),A461+1=$AF$5),IF(NOT(ISBLANK(INDIRECT("template!"&amp;"P"&amp;A461+1))),A461+1,IF(NOT(ISBLANK(INDIRECT("template!"&amp;"P"&amp;A461+2))),A461+2,A461+3)),IF(A461=$AF$2,$AF$3,IF(A461=$AF$4,$AF$5,IF(A461=$AF$5,$AF$6,IF(A461=$AF$7,$AF$8,""))))))</f>
        <v>#REF!</v>
      </c>
      <c r="B462" t="e">
        <f t="shared" ca="1" si="39"/>
        <v>#REF!</v>
      </c>
      <c r="C462" t="e" cm="1">
        <f t="array" aca="1" ref="C462" ca="1">IF(A462="","",IF(B462="safety","safety costs",INDIRECT("template!"&amp;"B"&amp;A462)))</f>
        <v>#REF!</v>
      </c>
      <c r="D462" t="e" cm="1">
        <f t="array" aca="1" ref="D462" ca="1">IF(OR(A462="",B462="safety"),"",INDIRECT("template!"&amp;"C"&amp;A462))</f>
        <v>#REF!</v>
      </c>
      <c r="E462" t="e" cm="1">
        <f t="array" aca="1" ref="E462" ca="1">IF(A462="","",IF(OR(A462=A461+1,A462=A461+2),E461,INDIRECT("template!"&amp;"D"&amp;A462-2)))</f>
        <v>#REF!</v>
      </c>
      <c r="F462" t="e" cm="1">
        <f t="array" aca="1" ref="F462" ca="1">IF(OR(A462="",B462="safety"),"",IF(ISBLANK(IF(A462=A461+1,F461,INDIRECT("template!"&amp;"D"&amp;A462-1))),"",IF(A462=A461+1,F461,INDIRECT("template!"&amp;"D"&amp;A462-1))))</f>
        <v>#REF!</v>
      </c>
      <c r="G462" t="e" cm="1">
        <f t="array" aca="1" ref="G462" ca="1">IF(OR(A462="",B462="safety"),"",IF(ISBLANK(INDIRECT("template!"&amp;"D"&amp;A462)),"",INDIRECT("template!"&amp;"D"&amp;A462)))</f>
        <v>#REF!</v>
      </c>
      <c r="H462" t="e" cm="1">
        <f t="array" aca="1" ref="H462" ca="1">IF(OR(A462="",B462="safety"),"",IF(ISBLANK(INDIRECT("template!"&amp;"E"&amp;A462)),"",INDIRECT("template!"&amp;"E"&amp;A462)))</f>
        <v>#REF!</v>
      </c>
      <c r="I462" t="e" cm="1">
        <f t="array" aca="1" ref="I462" ca="1">IF(OR(A462="",B462="safety"),"",IF(ISBLANK(INDIRECT("template!"&amp;"F"&amp;A462)),"",INDIRECT("template!"&amp;"F"&amp;A462)))</f>
        <v>#REF!</v>
      </c>
      <c r="J462" t="e" cm="1">
        <f t="array" aca="1" ref="J462" ca="1">IF(OR(A462="",B462="safety"),"",IF(ISBLANK(INDIRECT("template!"&amp;"G"&amp;A462)),"",INDIRECT("template!"&amp;"G"&amp;A462)))</f>
        <v>#REF!</v>
      </c>
      <c r="K462" t="e" cm="1">
        <f t="array" aca="1" ref="K462" ca="1">IF(OR(A462="",B462="safety"),"",IF(ISBLANK(INDIRECT("template!"&amp;"H"&amp;A462)),"",INDIRECT("template!"&amp;"H"&amp;A462)))</f>
        <v>#REF!</v>
      </c>
      <c r="L462" t="e" cm="1">
        <f t="array" aca="1" ref="L462" ca="1">IF(OR(A462="",B462="safety"),"",INDIRECT("template!"&amp;"I"&amp;A462))</f>
        <v>#REF!</v>
      </c>
      <c r="M462" t="e" cm="1">
        <f t="array" aca="1" ref="M462" ca="1">IF(OR(A462="",B462="safety"),"",INDIRECT("template!"&amp;"J"&amp;A462))</f>
        <v>#REF!</v>
      </c>
      <c r="N462" t="e" cm="1">
        <f t="array" aca="1" ref="N462" ca="1">IF(OR(A462="",B462="safety"),"",IF(ISBLANK(INDIRECT("template!"&amp;"K"&amp;A462)),"",INDIRECT("template!"&amp;"K"&amp;A462)))</f>
        <v>#REF!</v>
      </c>
      <c r="O462" t="e" cm="1">
        <f t="array" aca="1" ref="O462" ca="1">IF(OR(A462="",B462="safety"),"",INDIRECT("template!"&amp;"L"&amp;A462))</f>
        <v>#REF!</v>
      </c>
      <c r="P462" t="e" cm="1">
        <f t="array" aca="1" ref="P462" ca="1">IF(OR(A462="",B462="safety"),"",INDIRECT("template!"&amp;"M"&amp;A462))</f>
        <v>#REF!</v>
      </c>
      <c r="Q462" t="e">
        <f t="shared" ca="1" si="40"/>
        <v>#REF!</v>
      </c>
      <c r="R462" t="e">
        <f t="shared" ca="1" si="41"/>
        <v>#REF!</v>
      </c>
      <c r="S462" t="e">
        <f t="shared" ca="1" si="42"/>
        <v>#REF!</v>
      </c>
      <c r="T462" t="e">
        <f t="shared" ca="1" si="43"/>
        <v>#REF!</v>
      </c>
      <c r="U462" t="e" cm="1">
        <f t="array" aca="1" ref="U462" ca="1">IF(A462="","",IF(E462="","",IF(B462="safety",INDIRECT("template!"&amp;"P"&amp;A462),Q462+R462)))</f>
        <v>#REF!</v>
      </c>
      <c r="V462" t="e" cm="1">
        <f t="array" aca="1" ref="V462" ca="1">IF(A462="","",IF(E462="","",IF(B462="safety",INDIRECT("template!"&amp;"P"&amp;A462),S462+T462)))</f>
        <v>#REF!</v>
      </c>
      <c r="W462" t="e">
        <f ca="1">IF(A462="","",IF(E462="","",#REF!))</f>
        <v>#REF!</v>
      </c>
      <c r="X462" t="e">
        <f ca="1">IF(A462="","",IF(E462="","",#REF!))</f>
        <v>#REF!</v>
      </c>
      <c r="Y462" s="39" t="e">
        <f ca="1">IF(A462="","",IF(E462="","",#REF!))</f>
        <v>#REF!</v>
      </c>
      <c r="Z462" t="e">
        <f ca="1">IF(A462="","",IF(E462="","",#REF!))</f>
        <v>#REF!</v>
      </c>
      <c r="AA462" t="e">
        <f ca="1">IF(A462="","",IF(E462="","",#REF!))</f>
        <v>#REF!</v>
      </c>
      <c r="AB462" t="e">
        <f ca="1">IF(A462="","",IF(E462="","",#REF!))</f>
        <v>#REF!</v>
      </c>
      <c r="AC462" t="e">
        <f t="shared" ca="1" si="44"/>
        <v>#REF!</v>
      </c>
    </row>
    <row r="463" spans="1:29" x14ac:dyDescent="0.35">
      <c r="A463" t="e" cm="1">
        <f t="array" aca="1" ref="A463" ca="1">IF(A462="","",IF(OR(AND(A462+1&gt;=$AF$1,A462+1&lt;=$AF$2),AND(A462+1&gt;=$AF$6,A462+1&lt;=$AF$7),AND(A462+1&gt;=$AF$3,A462+1&lt;=$AF$4),AND(A462+1&gt;=$AF$8,A462+1&lt;=$AF$9),A462+1=$AF$5),IF(NOT(ISBLANK(INDIRECT("template!"&amp;"P"&amp;A462+1))),A462+1,IF(NOT(ISBLANK(INDIRECT("template!"&amp;"P"&amp;A462+2))),A462+2,A462+3)),IF(A462=$AF$2,$AF$3,IF(A462=$AF$4,$AF$5,IF(A462=$AF$5,$AF$6,IF(A462=$AF$7,$AF$8,""))))))</f>
        <v>#REF!</v>
      </c>
      <c r="B463" t="e">
        <f t="shared" ca="1" si="39"/>
        <v>#REF!</v>
      </c>
      <c r="C463" t="e" cm="1">
        <f t="array" aca="1" ref="C463" ca="1">IF(A463="","",IF(B463="safety","safety costs",INDIRECT("template!"&amp;"B"&amp;A463)))</f>
        <v>#REF!</v>
      </c>
      <c r="D463" t="e" cm="1">
        <f t="array" aca="1" ref="D463" ca="1">IF(OR(A463="",B463="safety"),"",INDIRECT("template!"&amp;"C"&amp;A463))</f>
        <v>#REF!</v>
      </c>
      <c r="E463" t="e" cm="1">
        <f t="array" aca="1" ref="E463" ca="1">IF(A463="","",IF(OR(A463=A462+1,A463=A462+2),E462,INDIRECT("template!"&amp;"D"&amp;A463-2)))</f>
        <v>#REF!</v>
      </c>
      <c r="F463" t="e" cm="1">
        <f t="array" aca="1" ref="F463" ca="1">IF(OR(A463="",B463="safety"),"",IF(ISBLANK(IF(A463=A462+1,F462,INDIRECT("template!"&amp;"D"&amp;A463-1))),"",IF(A463=A462+1,F462,INDIRECT("template!"&amp;"D"&amp;A463-1))))</f>
        <v>#REF!</v>
      </c>
      <c r="G463" t="e" cm="1">
        <f t="array" aca="1" ref="G463" ca="1">IF(OR(A463="",B463="safety"),"",IF(ISBLANK(INDIRECT("template!"&amp;"D"&amp;A463)),"",INDIRECT("template!"&amp;"D"&amp;A463)))</f>
        <v>#REF!</v>
      </c>
      <c r="H463" t="e" cm="1">
        <f t="array" aca="1" ref="H463" ca="1">IF(OR(A463="",B463="safety"),"",IF(ISBLANK(INDIRECT("template!"&amp;"E"&amp;A463)),"",INDIRECT("template!"&amp;"E"&amp;A463)))</f>
        <v>#REF!</v>
      </c>
      <c r="I463" t="e" cm="1">
        <f t="array" aca="1" ref="I463" ca="1">IF(OR(A463="",B463="safety"),"",IF(ISBLANK(INDIRECT("template!"&amp;"F"&amp;A463)),"",INDIRECT("template!"&amp;"F"&amp;A463)))</f>
        <v>#REF!</v>
      </c>
      <c r="J463" t="e" cm="1">
        <f t="array" aca="1" ref="J463" ca="1">IF(OR(A463="",B463="safety"),"",IF(ISBLANK(INDIRECT("template!"&amp;"G"&amp;A463)),"",INDIRECT("template!"&amp;"G"&amp;A463)))</f>
        <v>#REF!</v>
      </c>
      <c r="K463" t="e" cm="1">
        <f t="array" aca="1" ref="K463" ca="1">IF(OR(A463="",B463="safety"),"",IF(ISBLANK(INDIRECT("template!"&amp;"H"&amp;A463)),"",INDIRECT("template!"&amp;"H"&amp;A463)))</f>
        <v>#REF!</v>
      </c>
      <c r="L463" t="e" cm="1">
        <f t="array" aca="1" ref="L463" ca="1">IF(OR(A463="",B463="safety"),"",INDIRECT("template!"&amp;"I"&amp;A463))</f>
        <v>#REF!</v>
      </c>
      <c r="M463" t="e" cm="1">
        <f t="array" aca="1" ref="M463" ca="1">IF(OR(A463="",B463="safety"),"",INDIRECT("template!"&amp;"J"&amp;A463))</f>
        <v>#REF!</v>
      </c>
      <c r="N463" t="e" cm="1">
        <f t="array" aca="1" ref="N463" ca="1">IF(OR(A463="",B463="safety"),"",IF(ISBLANK(INDIRECT("template!"&amp;"K"&amp;A463)),"",INDIRECT("template!"&amp;"K"&amp;A463)))</f>
        <v>#REF!</v>
      </c>
      <c r="O463" t="e" cm="1">
        <f t="array" aca="1" ref="O463" ca="1">IF(OR(A463="",B463="safety"),"",INDIRECT("template!"&amp;"L"&amp;A463))</f>
        <v>#REF!</v>
      </c>
      <c r="P463" t="e" cm="1">
        <f t="array" aca="1" ref="P463" ca="1">IF(OR(A463="",B463="safety"),"",INDIRECT("template!"&amp;"M"&amp;A463))</f>
        <v>#REF!</v>
      </c>
      <c r="Q463" t="e">
        <f t="shared" ca="1" si="40"/>
        <v>#REF!</v>
      </c>
      <c r="R463" t="e">
        <f t="shared" ca="1" si="41"/>
        <v>#REF!</v>
      </c>
      <c r="S463" t="e">
        <f t="shared" ca="1" si="42"/>
        <v>#REF!</v>
      </c>
      <c r="T463" t="e">
        <f t="shared" ca="1" si="43"/>
        <v>#REF!</v>
      </c>
      <c r="U463" t="e" cm="1">
        <f t="array" aca="1" ref="U463" ca="1">IF(A463="","",IF(E463="","",IF(B463="safety",INDIRECT("template!"&amp;"P"&amp;A463),Q463+R463)))</f>
        <v>#REF!</v>
      </c>
      <c r="V463" t="e" cm="1">
        <f t="array" aca="1" ref="V463" ca="1">IF(A463="","",IF(E463="","",IF(B463="safety",INDIRECT("template!"&amp;"P"&amp;A463),S463+T463)))</f>
        <v>#REF!</v>
      </c>
      <c r="W463" t="e">
        <f ca="1">IF(A463="","",IF(E463="","",#REF!))</f>
        <v>#REF!</v>
      </c>
      <c r="X463" t="e">
        <f ca="1">IF(A463="","",IF(E463="","",#REF!))</f>
        <v>#REF!</v>
      </c>
      <c r="Y463" s="39" t="e">
        <f ca="1">IF(A463="","",IF(E463="","",#REF!))</f>
        <v>#REF!</v>
      </c>
      <c r="Z463" t="e">
        <f ca="1">IF(A463="","",IF(E463="","",#REF!))</f>
        <v>#REF!</v>
      </c>
      <c r="AA463" t="e">
        <f ca="1">IF(A463="","",IF(E463="","",#REF!))</f>
        <v>#REF!</v>
      </c>
      <c r="AB463" t="e">
        <f ca="1">IF(A463="","",IF(E463="","",#REF!))</f>
        <v>#REF!</v>
      </c>
      <c r="AC463" t="e">
        <f t="shared" ca="1" si="44"/>
        <v>#REF!</v>
      </c>
    </row>
    <row r="464" spans="1:29" x14ac:dyDescent="0.35">
      <c r="A464" t="e" cm="1">
        <f t="array" aca="1" ref="A464" ca="1">IF(A463="","",IF(OR(AND(A463+1&gt;=$AF$1,A463+1&lt;=$AF$2),AND(A463+1&gt;=$AF$6,A463+1&lt;=$AF$7),AND(A463+1&gt;=$AF$3,A463+1&lt;=$AF$4),AND(A463+1&gt;=$AF$8,A463+1&lt;=$AF$9),A463+1=$AF$5),IF(NOT(ISBLANK(INDIRECT("template!"&amp;"P"&amp;A463+1))),A463+1,IF(NOT(ISBLANK(INDIRECT("template!"&amp;"P"&amp;A463+2))),A463+2,A463+3)),IF(A463=$AF$2,$AF$3,IF(A463=$AF$4,$AF$5,IF(A463=$AF$5,$AF$6,IF(A463=$AF$7,$AF$8,""))))))</f>
        <v>#REF!</v>
      </c>
      <c r="B464" t="e">
        <f t="shared" ca="1" si="39"/>
        <v>#REF!</v>
      </c>
      <c r="C464" t="e" cm="1">
        <f t="array" aca="1" ref="C464" ca="1">IF(A464="","",IF(B464="safety","safety costs",INDIRECT("template!"&amp;"B"&amp;A464)))</f>
        <v>#REF!</v>
      </c>
      <c r="D464" t="e" cm="1">
        <f t="array" aca="1" ref="D464" ca="1">IF(OR(A464="",B464="safety"),"",INDIRECT("template!"&amp;"C"&amp;A464))</f>
        <v>#REF!</v>
      </c>
      <c r="E464" t="e" cm="1">
        <f t="array" aca="1" ref="E464" ca="1">IF(A464="","",IF(OR(A464=A463+1,A464=A463+2),E463,INDIRECT("template!"&amp;"D"&amp;A464-2)))</f>
        <v>#REF!</v>
      </c>
      <c r="F464" t="e" cm="1">
        <f t="array" aca="1" ref="F464" ca="1">IF(OR(A464="",B464="safety"),"",IF(ISBLANK(IF(A464=A463+1,F463,INDIRECT("template!"&amp;"D"&amp;A464-1))),"",IF(A464=A463+1,F463,INDIRECT("template!"&amp;"D"&amp;A464-1))))</f>
        <v>#REF!</v>
      </c>
      <c r="G464" t="e" cm="1">
        <f t="array" aca="1" ref="G464" ca="1">IF(OR(A464="",B464="safety"),"",IF(ISBLANK(INDIRECT("template!"&amp;"D"&amp;A464)),"",INDIRECT("template!"&amp;"D"&amp;A464)))</f>
        <v>#REF!</v>
      </c>
      <c r="H464" t="e" cm="1">
        <f t="array" aca="1" ref="H464" ca="1">IF(OR(A464="",B464="safety"),"",IF(ISBLANK(INDIRECT("template!"&amp;"E"&amp;A464)),"",INDIRECT("template!"&amp;"E"&amp;A464)))</f>
        <v>#REF!</v>
      </c>
      <c r="I464" t="e" cm="1">
        <f t="array" aca="1" ref="I464" ca="1">IF(OR(A464="",B464="safety"),"",IF(ISBLANK(INDIRECT("template!"&amp;"F"&amp;A464)),"",INDIRECT("template!"&amp;"F"&amp;A464)))</f>
        <v>#REF!</v>
      </c>
      <c r="J464" t="e" cm="1">
        <f t="array" aca="1" ref="J464" ca="1">IF(OR(A464="",B464="safety"),"",IF(ISBLANK(INDIRECT("template!"&amp;"G"&amp;A464)),"",INDIRECT("template!"&amp;"G"&amp;A464)))</f>
        <v>#REF!</v>
      </c>
      <c r="K464" t="e" cm="1">
        <f t="array" aca="1" ref="K464" ca="1">IF(OR(A464="",B464="safety"),"",IF(ISBLANK(INDIRECT("template!"&amp;"H"&amp;A464)),"",INDIRECT("template!"&amp;"H"&amp;A464)))</f>
        <v>#REF!</v>
      </c>
      <c r="L464" t="e" cm="1">
        <f t="array" aca="1" ref="L464" ca="1">IF(OR(A464="",B464="safety"),"",INDIRECT("template!"&amp;"I"&amp;A464))</f>
        <v>#REF!</v>
      </c>
      <c r="M464" t="e" cm="1">
        <f t="array" aca="1" ref="M464" ca="1">IF(OR(A464="",B464="safety"),"",INDIRECT("template!"&amp;"J"&amp;A464))</f>
        <v>#REF!</v>
      </c>
      <c r="N464" t="e" cm="1">
        <f t="array" aca="1" ref="N464" ca="1">IF(OR(A464="",B464="safety"),"",IF(ISBLANK(INDIRECT("template!"&amp;"K"&amp;A464)),"",INDIRECT("template!"&amp;"K"&amp;A464)))</f>
        <v>#REF!</v>
      </c>
      <c r="O464" t="e" cm="1">
        <f t="array" aca="1" ref="O464" ca="1">IF(OR(A464="",B464="safety"),"",INDIRECT("template!"&amp;"L"&amp;A464))</f>
        <v>#REF!</v>
      </c>
      <c r="P464" t="e" cm="1">
        <f t="array" aca="1" ref="P464" ca="1">IF(OR(A464="",B464="safety"),"",INDIRECT("template!"&amp;"M"&amp;A464))</f>
        <v>#REF!</v>
      </c>
      <c r="Q464" t="e">
        <f t="shared" ca="1" si="40"/>
        <v>#REF!</v>
      </c>
      <c r="R464" t="e">
        <f t="shared" ca="1" si="41"/>
        <v>#REF!</v>
      </c>
      <c r="S464" t="e">
        <f t="shared" ca="1" si="42"/>
        <v>#REF!</v>
      </c>
      <c r="T464" t="e">
        <f t="shared" ca="1" si="43"/>
        <v>#REF!</v>
      </c>
      <c r="U464" t="e" cm="1">
        <f t="array" aca="1" ref="U464" ca="1">IF(A464="","",IF(E464="","",IF(B464="safety",INDIRECT("template!"&amp;"P"&amp;A464),Q464+R464)))</f>
        <v>#REF!</v>
      </c>
      <c r="V464" t="e" cm="1">
        <f t="array" aca="1" ref="V464" ca="1">IF(A464="","",IF(E464="","",IF(B464="safety",INDIRECT("template!"&amp;"P"&amp;A464),S464+T464)))</f>
        <v>#REF!</v>
      </c>
      <c r="W464" t="e">
        <f ca="1">IF(A464="","",IF(E464="","",#REF!))</f>
        <v>#REF!</v>
      </c>
      <c r="X464" t="e">
        <f ca="1">IF(A464="","",IF(E464="","",#REF!))</f>
        <v>#REF!</v>
      </c>
      <c r="Y464" s="39" t="e">
        <f ca="1">IF(A464="","",IF(E464="","",#REF!))</f>
        <v>#REF!</v>
      </c>
      <c r="Z464" t="e">
        <f ca="1">IF(A464="","",IF(E464="","",#REF!))</f>
        <v>#REF!</v>
      </c>
      <c r="AA464" t="e">
        <f ca="1">IF(A464="","",IF(E464="","",#REF!))</f>
        <v>#REF!</v>
      </c>
      <c r="AB464" t="e">
        <f ca="1">IF(A464="","",IF(E464="","",#REF!))</f>
        <v>#REF!</v>
      </c>
      <c r="AC464" t="e">
        <f t="shared" ca="1" si="44"/>
        <v>#REF!</v>
      </c>
    </row>
    <row r="465" spans="1:29" x14ac:dyDescent="0.35">
      <c r="A465" t="e" cm="1">
        <f t="array" aca="1" ref="A465" ca="1">IF(A464="","",IF(OR(AND(A464+1&gt;=$AF$1,A464+1&lt;=$AF$2),AND(A464+1&gt;=$AF$6,A464+1&lt;=$AF$7),AND(A464+1&gt;=$AF$3,A464+1&lt;=$AF$4),AND(A464+1&gt;=$AF$8,A464+1&lt;=$AF$9),A464+1=$AF$5),IF(NOT(ISBLANK(INDIRECT("template!"&amp;"P"&amp;A464+1))),A464+1,IF(NOT(ISBLANK(INDIRECT("template!"&amp;"P"&amp;A464+2))),A464+2,A464+3)),IF(A464=$AF$2,$AF$3,IF(A464=$AF$4,$AF$5,IF(A464=$AF$5,$AF$6,IF(A464=$AF$7,$AF$8,""))))))</f>
        <v>#REF!</v>
      </c>
      <c r="B465" t="e">
        <f t="shared" ca="1" si="39"/>
        <v>#REF!</v>
      </c>
      <c r="C465" t="e" cm="1">
        <f t="array" aca="1" ref="C465" ca="1">IF(A465="","",IF(B465="safety","safety costs",INDIRECT("template!"&amp;"B"&amp;A465)))</f>
        <v>#REF!</v>
      </c>
      <c r="D465" t="e" cm="1">
        <f t="array" aca="1" ref="D465" ca="1">IF(OR(A465="",B465="safety"),"",INDIRECT("template!"&amp;"C"&amp;A465))</f>
        <v>#REF!</v>
      </c>
      <c r="E465" t="e" cm="1">
        <f t="array" aca="1" ref="E465" ca="1">IF(A465="","",IF(OR(A465=A464+1,A465=A464+2),E464,INDIRECT("template!"&amp;"D"&amp;A465-2)))</f>
        <v>#REF!</v>
      </c>
      <c r="F465" t="e" cm="1">
        <f t="array" aca="1" ref="F465" ca="1">IF(OR(A465="",B465="safety"),"",IF(ISBLANK(IF(A465=A464+1,F464,INDIRECT("template!"&amp;"D"&amp;A465-1))),"",IF(A465=A464+1,F464,INDIRECT("template!"&amp;"D"&amp;A465-1))))</f>
        <v>#REF!</v>
      </c>
      <c r="G465" t="e" cm="1">
        <f t="array" aca="1" ref="G465" ca="1">IF(OR(A465="",B465="safety"),"",IF(ISBLANK(INDIRECT("template!"&amp;"D"&amp;A465)),"",INDIRECT("template!"&amp;"D"&amp;A465)))</f>
        <v>#REF!</v>
      </c>
      <c r="H465" t="e" cm="1">
        <f t="array" aca="1" ref="H465" ca="1">IF(OR(A465="",B465="safety"),"",IF(ISBLANK(INDIRECT("template!"&amp;"E"&amp;A465)),"",INDIRECT("template!"&amp;"E"&amp;A465)))</f>
        <v>#REF!</v>
      </c>
      <c r="I465" t="e" cm="1">
        <f t="array" aca="1" ref="I465" ca="1">IF(OR(A465="",B465="safety"),"",IF(ISBLANK(INDIRECT("template!"&amp;"F"&amp;A465)),"",INDIRECT("template!"&amp;"F"&amp;A465)))</f>
        <v>#REF!</v>
      </c>
      <c r="J465" t="e" cm="1">
        <f t="array" aca="1" ref="J465" ca="1">IF(OR(A465="",B465="safety"),"",IF(ISBLANK(INDIRECT("template!"&amp;"G"&amp;A465)),"",INDIRECT("template!"&amp;"G"&amp;A465)))</f>
        <v>#REF!</v>
      </c>
      <c r="K465" t="e" cm="1">
        <f t="array" aca="1" ref="K465" ca="1">IF(OR(A465="",B465="safety"),"",IF(ISBLANK(INDIRECT("template!"&amp;"H"&amp;A465)),"",INDIRECT("template!"&amp;"H"&amp;A465)))</f>
        <v>#REF!</v>
      </c>
      <c r="L465" t="e" cm="1">
        <f t="array" aca="1" ref="L465" ca="1">IF(OR(A465="",B465="safety"),"",INDIRECT("template!"&amp;"I"&amp;A465))</f>
        <v>#REF!</v>
      </c>
      <c r="M465" t="e" cm="1">
        <f t="array" aca="1" ref="M465" ca="1">IF(OR(A465="",B465="safety"),"",INDIRECT("template!"&amp;"J"&amp;A465))</f>
        <v>#REF!</v>
      </c>
      <c r="N465" t="e" cm="1">
        <f t="array" aca="1" ref="N465" ca="1">IF(OR(A465="",B465="safety"),"",IF(ISBLANK(INDIRECT("template!"&amp;"K"&amp;A465)),"",INDIRECT("template!"&amp;"K"&amp;A465)))</f>
        <v>#REF!</v>
      </c>
      <c r="O465" t="e" cm="1">
        <f t="array" aca="1" ref="O465" ca="1">IF(OR(A465="",B465="safety"),"",INDIRECT("template!"&amp;"L"&amp;A465))</f>
        <v>#REF!</v>
      </c>
      <c r="P465" t="e" cm="1">
        <f t="array" aca="1" ref="P465" ca="1">IF(OR(A465="",B465="safety"),"",INDIRECT("template!"&amp;"M"&amp;A465))</f>
        <v>#REF!</v>
      </c>
      <c r="Q465" t="e">
        <f t="shared" ca="1" si="40"/>
        <v>#REF!</v>
      </c>
      <c r="R465" t="e">
        <f t="shared" ca="1" si="41"/>
        <v>#REF!</v>
      </c>
      <c r="S465" t="e">
        <f t="shared" ca="1" si="42"/>
        <v>#REF!</v>
      </c>
      <c r="T465" t="e">
        <f t="shared" ca="1" si="43"/>
        <v>#REF!</v>
      </c>
      <c r="U465" t="e" cm="1">
        <f t="array" aca="1" ref="U465" ca="1">IF(A465="","",IF(E465="","",IF(B465="safety",INDIRECT("template!"&amp;"P"&amp;A465),Q465+R465)))</f>
        <v>#REF!</v>
      </c>
      <c r="V465" t="e" cm="1">
        <f t="array" aca="1" ref="V465" ca="1">IF(A465="","",IF(E465="","",IF(B465="safety",INDIRECT("template!"&amp;"P"&amp;A465),S465+T465)))</f>
        <v>#REF!</v>
      </c>
      <c r="W465" t="e">
        <f ca="1">IF(A465="","",IF(E465="","",#REF!))</f>
        <v>#REF!</v>
      </c>
      <c r="X465" t="e">
        <f ca="1">IF(A465="","",IF(E465="","",#REF!))</f>
        <v>#REF!</v>
      </c>
      <c r="Y465" s="39" t="e">
        <f ca="1">IF(A465="","",IF(E465="","",#REF!))</f>
        <v>#REF!</v>
      </c>
      <c r="Z465" t="e">
        <f ca="1">IF(A465="","",IF(E465="","",#REF!))</f>
        <v>#REF!</v>
      </c>
      <c r="AA465" t="e">
        <f ca="1">IF(A465="","",IF(E465="","",#REF!))</f>
        <v>#REF!</v>
      </c>
      <c r="AB465" t="e">
        <f ca="1">IF(A465="","",IF(E465="","",#REF!))</f>
        <v>#REF!</v>
      </c>
      <c r="AC465" t="e">
        <f t="shared" ca="1" si="44"/>
        <v>#REF!</v>
      </c>
    </row>
    <row r="466" spans="1:29" x14ac:dyDescent="0.35">
      <c r="A466" t="e" cm="1">
        <f t="array" aca="1" ref="A466" ca="1">IF(A465="","",IF(OR(AND(A465+1&gt;=$AF$1,A465+1&lt;=$AF$2),AND(A465+1&gt;=$AF$6,A465+1&lt;=$AF$7),AND(A465+1&gt;=$AF$3,A465+1&lt;=$AF$4),AND(A465+1&gt;=$AF$8,A465+1&lt;=$AF$9),A465+1=$AF$5),IF(NOT(ISBLANK(INDIRECT("template!"&amp;"P"&amp;A465+1))),A465+1,IF(NOT(ISBLANK(INDIRECT("template!"&amp;"P"&amp;A465+2))),A465+2,A465+3)),IF(A465=$AF$2,$AF$3,IF(A465=$AF$4,$AF$5,IF(A465=$AF$5,$AF$6,IF(A465=$AF$7,$AF$8,""))))))</f>
        <v>#REF!</v>
      </c>
      <c r="B466" t="e">
        <f t="shared" ca="1" si="39"/>
        <v>#REF!</v>
      </c>
      <c r="C466" t="e" cm="1">
        <f t="array" aca="1" ref="C466" ca="1">IF(A466="","",IF(B466="safety","safety costs",INDIRECT("template!"&amp;"B"&amp;A466)))</f>
        <v>#REF!</v>
      </c>
      <c r="D466" t="e" cm="1">
        <f t="array" aca="1" ref="D466" ca="1">IF(OR(A466="",B466="safety"),"",INDIRECT("template!"&amp;"C"&amp;A466))</f>
        <v>#REF!</v>
      </c>
      <c r="E466" t="e" cm="1">
        <f t="array" aca="1" ref="E466" ca="1">IF(A466="","",IF(OR(A466=A465+1,A466=A465+2),E465,INDIRECT("template!"&amp;"D"&amp;A466-2)))</f>
        <v>#REF!</v>
      </c>
      <c r="F466" t="e" cm="1">
        <f t="array" aca="1" ref="F466" ca="1">IF(OR(A466="",B466="safety"),"",IF(ISBLANK(IF(A466=A465+1,F465,INDIRECT("template!"&amp;"D"&amp;A466-1))),"",IF(A466=A465+1,F465,INDIRECT("template!"&amp;"D"&amp;A466-1))))</f>
        <v>#REF!</v>
      </c>
      <c r="G466" t="e" cm="1">
        <f t="array" aca="1" ref="G466" ca="1">IF(OR(A466="",B466="safety"),"",IF(ISBLANK(INDIRECT("template!"&amp;"D"&amp;A466)),"",INDIRECT("template!"&amp;"D"&amp;A466)))</f>
        <v>#REF!</v>
      </c>
      <c r="H466" t="e" cm="1">
        <f t="array" aca="1" ref="H466" ca="1">IF(OR(A466="",B466="safety"),"",IF(ISBLANK(INDIRECT("template!"&amp;"E"&amp;A466)),"",INDIRECT("template!"&amp;"E"&amp;A466)))</f>
        <v>#REF!</v>
      </c>
      <c r="I466" t="e" cm="1">
        <f t="array" aca="1" ref="I466" ca="1">IF(OR(A466="",B466="safety"),"",IF(ISBLANK(INDIRECT("template!"&amp;"F"&amp;A466)),"",INDIRECT("template!"&amp;"F"&amp;A466)))</f>
        <v>#REF!</v>
      </c>
      <c r="J466" t="e" cm="1">
        <f t="array" aca="1" ref="J466" ca="1">IF(OR(A466="",B466="safety"),"",IF(ISBLANK(INDIRECT("template!"&amp;"G"&amp;A466)),"",INDIRECT("template!"&amp;"G"&amp;A466)))</f>
        <v>#REF!</v>
      </c>
      <c r="K466" t="e" cm="1">
        <f t="array" aca="1" ref="K466" ca="1">IF(OR(A466="",B466="safety"),"",IF(ISBLANK(INDIRECT("template!"&amp;"H"&amp;A466)),"",INDIRECT("template!"&amp;"H"&amp;A466)))</f>
        <v>#REF!</v>
      </c>
      <c r="L466" t="e" cm="1">
        <f t="array" aca="1" ref="L466" ca="1">IF(OR(A466="",B466="safety"),"",INDIRECT("template!"&amp;"I"&amp;A466))</f>
        <v>#REF!</v>
      </c>
      <c r="M466" t="e" cm="1">
        <f t="array" aca="1" ref="M466" ca="1">IF(OR(A466="",B466="safety"),"",INDIRECT("template!"&amp;"J"&amp;A466))</f>
        <v>#REF!</v>
      </c>
      <c r="N466" t="e" cm="1">
        <f t="array" aca="1" ref="N466" ca="1">IF(OR(A466="",B466="safety"),"",IF(ISBLANK(INDIRECT("template!"&amp;"K"&amp;A466)),"",INDIRECT("template!"&amp;"K"&amp;A466)))</f>
        <v>#REF!</v>
      </c>
      <c r="O466" t="e" cm="1">
        <f t="array" aca="1" ref="O466" ca="1">IF(OR(A466="",B466="safety"),"",INDIRECT("template!"&amp;"L"&amp;A466))</f>
        <v>#REF!</v>
      </c>
      <c r="P466" t="e" cm="1">
        <f t="array" aca="1" ref="P466" ca="1">IF(OR(A466="",B466="safety"),"",INDIRECT("template!"&amp;"M"&amp;A466))</f>
        <v>#REF!</v>
      </c>
      <c r="Q466" t="e">
        <f t="shared" ca="1" si="40"/>
        <v>#REF!</v>
      </c>
      <c r="R466" t="e">
        <f t="shared" ca="1" si="41"/>
        <v>#REF!</v>
      </c>
      <c r="S466" t="e">
        <f t="shared" ca="1" si="42"/>
        <v>#REF!</v>
      </c>
      <c r="T466" t="e">
        <f t="shared" ca="1" si="43"/>
        <v>#REF!</v>
      </c>
      <c r="U466" t="e" cm="1">
        <f t="array" aca="1" ref="U466" ca="1">IF(A466="","",IF(E466="","",IF(B466="safety",INDIRECT("template!"&amp;"P"&amp;A466),Q466+R466)))</f>
        <v>#REF!</v>
      </c>
      <c r="V466" t="e" cm="1">
        <f t="array" aca="1" ref="V466" ca="1">IF(A466="","",IF(E466="","",IF(B466="safety",INDIRECT("template!"&amp;"P"&amp;A466),S466+T466)))</f>
        <v>#REF!</v>
      </c>
      <c r="W466" t="e">
        <f ca="1">IF(A466="","",IF(E466="","",#REF!))</f>
        <v>#REF!</v>
      </c>
      <c r="X466" t="e">
        <f ca="1">IF(A466="","",IF(E466="","",#REF!))</f>
        <v>#REF!</v>
      </c>
      <c r="Y466" s="39" t="e">
        <f ca="1">IF(A466="","",IF(E466="","",#REF!))</f>
        <v>#REF!</v>
      </c>
      <c r="Z466" t="e">
        <f ca="1">IF(A466="","",IF(E466="","",#REF!))</f>
        <v>#REF!</v>
      </c>
      <c r="AA466" t="e">
        <f ca="1">IF(A466="","",IF(E466="","",#REF!))</f>
        <v>#REF!</v>
      </c>
      <c r="AB466" t="e">
        <f ca="1">IF(A466="","",IF(E466="","",#REF!))</f>
        <v>#REF!</v>
      </c>
      <c r="AC466" t="e">
        <f t="shared" ca="1" si="44"/>
        <v>#REF!</v>
      </c>
    </row>
    <row r="467" spans="1:29" x14ac:dyDescent="0.35">
      <c r="A467" t="e" cm="1">
        <f t="array" aca="1" ref="A467" ca="1">IF(A466="","",IF(OR(AND(A466+1&gt;=$AF$1,A466+1&lt;=$AF$2),AND(A466+1&gt;=$AF$6,A466+1&lt;=$AF$7),AND(A466+1&gt;=$AF$3,A466+1&lt;=$AF$4),AND(A466+1&gt;=$AF$8,A466+1&lt;=$AF$9),A466+1=$AF$5),IF(NOT(ISBLANK(INDIRECT("template!"&amp;"P"&amp;A466+1))),A466+1,IF(NOT(ISBLANK(INDIRECT("template!"&amp;"P"&amp;A466+2))),A466+2,A466+3)),IF(A466=$AF$2,$AF$3,IF(A466=$AF$4,$AF$5,IF(A466=$AF$5,$AF$6,IF(A466=$AF$7,$AF$8,""))))))</f>
        <v>#REF!</v>
      </c>
      <c r="B467" t="e">
        <f t="shared" ca="1" si="39"/>
        <v>#REF!</v>
      </c>
      <c r="C467" t="e" cm="1">
        <f t="array" aca="1" ref="C467" ca="1">IF(A467="","",IF(B467="safety","safety costs",INDIRECT("template!"&amp;"B"&amp;A467)))</f>
        <v>#REF!</v>
      </c>
      <c r="D467" t="e" cm="1">
        <f t="array" aca="1" ref="D467" ca="1">IF(OR(A467="",B467="safety"),"",INDIRECT("template!"&amp;"C"&amp;A467))</f>
        <v>#REF!</v>
      </c>
      <c r="E467" t="e" cm="1">
        <f t="array" aca="1" ref="E467" ca="1">IF(A467="","",IF(OR(A467=A466+1,A467=A466+2),E466,INDIRECT("template!"&amp;"D"&amp;A467-2)))</f>
        <v>#REF!</v>
      </c>
      <c r="F467" t="e" cm="1">
        <f t="array" aca="1" ref="F467" ca="1">IF(OR(A467="",B467="safety"),"",IF(ISBLANK(IF(A467=A466+1,F466,INDIRECT("template!"&amp;"D"&amp;A467-1))),"",IF(A467=A466+1,F466,INDIRECT("template!"&amp;"D"&amp;A467-1))))</f>
        <v>#REF!</v>
      </c>
      <c r="G467" t="e" cm="1">
        <f t="array" aca="1" ref="G467" ca="1">IF(OR(A467="",B467="safety"),"",IF(ISBLANK(INDIRECT("template!"&amp;"D"&amp;A467)),"",INDIRECT("template!"&amp;"D"&amp;A467)))</f>
        <v>#REF!</v>
      </c>
      <c r="H467" t="e" cm="1">
        <f t="array" aca="1" ref="H467" ca="1">IF(OR(A467="",B467="safety"),"",IF(ISBLANK(INDIRECT("template!"&amp;"E"&amp;A467)),"",INDIRECT("template!"&amp;"E"&amp;A467)))</f>
        <v>#REF!</v>
      </c>
      <c r="I467" t="e" cm="1">
        <f t="array" aca="1" ref="I467" ca="1">IF(OR(A467="",B467="safety"),"",IF(ISBLANK(INDIRECT("template!"&amp;"F"&amp;A467)),"",INDIRECT("template!"&amp;"F"&amp;A467)))</f>
        <v>#REF!</v>
      </c>
      <c r="J467" t="e" cm="1">
        <f t="array" aca="1" ref="J467" ca="1">IF(OR(A467="",B467="safety"),"",IF(ISBLANK(INDIRECT("template!"&amp;"G"&amp;A467)),"",INDIRECT("template!"&amp;"G"&amp;A467)))</f>
        <v>#REF!</v>
      </c>
      <c r="K467" t="e" cm="1">
        <f t="array" aca="1" ref="K467" ca="1">IF(OR(A467="",B467="safety"),"",IF(ISBLANK(INDIRECT("template!"&amp;"H"&amp;A467)),"",INDIRECT("template!"&amp;"H"&amp;A467)))</f>
        <v>#REF!</v>
      </c>
      <c r="L467" t="e" cm="1">
        <f t="array" aca="1" ref="L467" ca="1">IF(OR(A467="",B467="safety"),"",INDIRECT("template!"&amp;"I"&amp;A467))</f>
        <v>#REF!</v>
      </c>
      <c r="M467" t="e" cm="1">
        <f t="array" aca="1" ref="M467" ca="1">IF(OR(A467="",B467="safety"),"",INDIRECT("template!"&amp;"J"&amp;A467))</f>
        <v>#REF!</v>
      </c>
      <c r="N467" t="e" cm="1">
        <f t="array" aca="1" ref="N467" ca="1">IF(OR(A467="",B467="safety"),"",IF(ISBLANK(INDIRECT("template!"&amp;"K"&amp;A467)),"",INDIRECT("template!"&amp;"K"&amp;A467)))</f>
        <v>#REF!</v>
      </c>
      <c r="O467" t="e" cm="1">
        <f t="array" aca="1" ref="O467" ca="1">IF(OR(A467="",B467="safety"),"",INDIRECT("template!"&amp;"L"&amp;A467))</f>
        <v>#REF!</v>
      </c>
      <c r="P467" t="e" cm="1">
        <f t="array" aca="1" ref="P467" ca="1">IF(OR(A467="",B467="safety"),"",INDIRECT("template!"&amp;"M"&amp;A467))</f>
        <v>#REF!</v>
      </c>
      <c r="Q467" t="e">
        <f t="shared" ca="1" si="40"/>
        <v>#REF!</v>
      </c>
      <c r="R467" t="e">
        <f t="shared" ca="1" si="41"/>
        <v>#REF!</v>
      </c>
      <c r="S467" t="e">
        <f t="shared" ca="1" si="42"/>
        <v>#REF!</v>
      </c>
      <c r="T467" t="e">
        <f t="shared" ca="1" si="43"/>
        <v>#REF!</v>
      </c>
      <c r="U467" t="e" cm="1">
        <f t="array" aca="1" ref="U467" ca="1">IF(A467="","",IF(E467="","",IF(B467="safety",INDIRECT("template!"&amp;"P"&amp;A467),Q467+R467)))</f>
        <v>#REF!</v>
      </c>
      <c r="V467" t="e" cm="1">
        <f t="array" aca="1" ref="V467" ca="1">IF(A467="","",IF(E467="","",IF(B467="safety",INDIRECT("template!"&amp;"P"&amp;A467),S467+T467)))</f>
        <v>#REF!</v>
      </c>
      <c r="W467" t="e">
        <f ca="1">IF(A467="","",IF(E467="","",#REF!))</f>
        <v>#REF!</v>
      </c>
      <c r="X467" t="e">
        <f ca="1">IF(A467="","",IF(E467="","",#REF!))</f>
        <v>#REF!</v>
      </c>
      <c r="Y467" s="39" t="e">
        <f ca="1">IF(A467="","",IF(E467="","",#REF!))</f>
        <v>#REF!</v>
      </c>
      <c r="Z467" t="e">
        <f ca="1">IF(A467="","",IF(E467="","",#REF!))</f>
        <v>#REF!</v>
      </c>
      <c r="AA467" t="e">
        <f ca="1">IF(A467="","",IF(E467="","",#REF!))</f>
        <v>#REF!</v>
      </c>
      <c r="AB467" t="e">
        <f ca="1">IF(A467="","",IF(E467="","",#REF!))</f>
        <v>#REF!</v>
      </c>
      <c r="AC467" t="e">
        <f t="shared" ca="1" si="44"/>
        <v>#REF!</v>
      </c>
    </row>
    <row r="468" spans="1:29" x14ac:dyDescent="0.35">
      <c r="A468" t="e" cm="1">
        <f t="array" aca="1" ref="A468" ca="1">IF(A467="","",IF(OR(AND(A467+1&gt;=$AF$1,A467+1&lt;=$AF$2),AND(A467+1&gt;=$AF$6,A467+1&lt;=$AF$7),AND(A467+1&gt;=$AF$3,A467+1&lt;=$AF$4),AND(A467+1&gt;=$AF$8,A467+1&lt;=$AF$9),A467+1=$AF$5),IF(NOT(ISBLANK(INDIRECT("template!"&amp;"P"&amp;A467+1))),A467+1,IF(NOT(ISBLANK(INDIRECT("template!"&amp;"P"&amp;A467+2))),A467+2,A467+3)),IF(A467=$AF$2,$AF$3,IF(A467=$AF$4,$AF$5,IF(A467=$AF$5,$AF$6,IF(A467=$AF$7,$AF$8,""))))))</f>
        <v>#REF!</v>
      </c>
      <c r="B468" t="e">
        <f t="shared" ca="1" si="39"/>
        <v>#REF!</v>
      </c>
      <c r="C468" t="e" cm="1">
        <f t="array" aca="1" ref="C468" ca="1">IF(A468="","",IF(B468="safety","safety costs",INDIRECT("template!"&amp;"B"&amp;A468)))</f>
        <v>#REF!</v>
      </c>
      <c r="D468" t="e" cm="1">
        <f t="array" aca="1" ref="D468" ca="1">IF(OR(A468="",B468="safety"),"",INDIRECT("template!"&amp;"C"&amp;A468))</f>
        <v>#REF!</v>
      </c>
      <c r="E468" t="e" cm="1">
        <f t="array" aca="1" ref="E468" ca="1">IF(A468="","",IF(OR(A468=A467+1,A468=A467+2),E467,INDIRECT("template!"&amp;"D"&amp;A468-2)))</f>
        <v>#REF!</v>
      </c>
      <c r="F468" t="e" cm="1">
        <f t="array" aca="1" ref="F468" ca="1">IF(OR(A468="",B468="safety"),"",IF(ISBLANK(IF(A468=A467+1,F467,INDIRECT("template!"&amp;"D"&amp;A468-1))),"",IF(A468=A467+1,F467,INDIRECT("template!"&amp;"D"&amp;A468-1))))</f>
        <v>#REF!</v>
      </c>
      <c r="G468" t="e" cm="1">
        <f t="array" aca="1" ref="G468" ca="1">IF(OR(A468="",B468="safety"),"",IF(ISBLANK(INDIRECT("template!"&amp;"D"&amp;A468)),"",INDIRECT("template!"&amp;"D"&amp;A468)))</f>
        <v>#REF!</v>
      </c>
      <c r="H468" t="e" cm="1">
        <f t="array" aca="1" ref="H468" ca="1">IF(OR(A468="",B468="safety"),"",IF(ISBLANK(INDIRECT("template!"&amp;"E"&amp;A468)),"",INDIRECT("template!"&amp;"E"&amp;A468)))</f>
        <v>#REF!</v>
      </c>
      <c r="I468" t="e" cm="1">
        <f t="array" aca="1" ref="I468" ca="1">IF(OR(A468="",B468="safety"),"",IF(ISBLANK(INDIRECT("template!"&amp;"F"&amp;A468)),"",INDIRECT("template!"&amp;"F"&amp;A468)))</f>
        <v>#REF!</v>
      </c>
      <c r="J468" t="e" cm="1">
        <f t="array" aca="1" ref="J468" ca="1">IF(OR(A468="",B468="safety"),"",IF(ISBLANK(INDIRECT("template!"&amp;"G"&amp;A468)),"",INDIRECT("template!"&amp;"G"&amp;A468)))</f>
        <v>#REF!</v>
      </c>
      <c r="K468" t="e" cm="1">
        <f t="array" aca="1" ref="K468" ca="1">IF(OR(A468="",B468="safety"),"",IF(ISBLANK(INDIRECT("template!"&amp;"H"&amp;A468)),"",INDIRECT("template!"&amp;"H"&amp;A468)))</f>
        <v>#REF!</v>
      </c>
      <c r="L468" t="e" cm="1">
        <f t="array" aca="1" ref="L468" ca="1">IF(OR(A468="",B468="safety"),"",INDIRECT("template!"&amp;"I"&amp;A468))</f>
        <v>#REF!</v>
      </c>
      <c r="M468" t="e" cm="1">
        <f t="array" aca="1" ref="M468" ca="1">IF(OR(A468="",B468="safety"),"",INDIRECT("template!"&amp;"J"&amp;A468))</f>
        <v>#REF!</v>
      </c>
      <c r="N468" t="e" cm="1">
        <f t="array" aca="1" ref="N468" ca="1">IF(OR(A468="",B468="safety"),"",IF(ISBLANK(INDIRECT("template!"&amp;"K"&amp;A468)),"",INDIRECT("template!"&amp;"K"&amp;A468)))</f>
        <v>#REF!</v>
      </c>
      <c r="O468" t="e" cm="1">
        <f t="array" aca="1" ref="O468" ca="1">IF(OR(A468="",B468="safety"),"",INDIRECT("template!"&amp;"L"&amp;A468))</f>
        <v>#REF!</v>
      </c>
      <c r="P468" t="e" cm="1">
        <f t="array" aca="1" ref="P468" ca="1">IF(OR(A468="",B468="safety"),"",INDIRECT("template!"&amp;"M"&amp;A468))</f>
        <v>#REF!</v>
      </c>
      <c r="Q468" t="e">
        <f t="shared" ca="1" si="40"/>
        <v>#REF!</v>
      </c>
      <c r="R468" t="e">
        <f t="shared" ca="1" si="41"/>
        <v>#REF!</v>
      </c>
      <c r="S468" t="e">
        <f t="shared" ca="1" si="42"/>
        <v>#REF!</v>
      </c>
      <c r="T468" t="e">
        <f t="shared" ca="1" si="43"/>
        <v>#REF!</v>
      </c>
      <c r="U468" t="e" cm="1">
        <f t="array" aca="1" ref="U468" ca="1">IF(A468="","",IF(E468="","",IF(B468="safety",INDIRECT("template!"&amp;"P"&amp;A468),Q468+R468)))</f>
        <v>#REF!</v>
      </c>
      <c r="V468" t="e" cm="1">
        <f t="array" aca="1" ref="V468" ca="1">IF(A468="","",IF(E468="","",IF(B468="safety",INDIRECT("template!"&amp;"P"&amp;A468),S468+T468)))</f>
        <v>#REF!</v>
      </c>
      <c r="W468" t="e">
        <f ca="1">IF(A468="","",IF(E468="","",#REF!))</f>
        <v>#REF!</v>
      </c>
      <c r="X468" t="e">
        <f ca="1">IF(A468="","",IF(E468="","",#REF!))</f>
        <v>#REF!</v>
      </c>
      <c r="Y468" s="39" t="e">
        <f ca="1">IF(A468="","",IF(E468="","",#REF!))</f>
        <v>#REF!</v>
      </c>
      <c r="Z468" t="e">
        <f ca="1">IF(A468="","",IF(E468="","",#REF!))</f>
        <v>#REF!</v>
      </c>
      <c r="AA468" t="e">
        <f ca="1">IF(A468="","",IF(E468="","",#REF!))</f>
        <v>#REF!</v>
      </c>
      <c r="AB468" t="e">
        <f ca="1">IF(A468="","",IF(E468="","",#REF!))</f>
        <v>#REF!</v>
      </c>
      <c r="AC468" t="e">
        <f t="shared" ca="1" si="44"/>
        <v>#REF!</v>
      </c>
    </row>
    <row r="469" spans="1:29" x14ac:dyDescent="0.35">
      <c r="A469" t="e" cm="1">
        <f t="array" aca="1" ref="A469" ca="1">IF(A468="","",IF(OR(AND(A468+1&gt;=$AF$1,A468+1&lt;=$AF$2),AND(A468+1&gt;=$AF$6,A468+1&lt;=$AF$7),AND(A468+1&gt;=$AF$3,A468+1&lt;=$AF$4),AND(A468+1&gt;=$AF$8,A468+1&lt;=$AF$9),A468+1=$AF$5),IF(NOT(ISBLANK(INDIRECT("template!"&amp;"P"&amp;A468+1))),A468+1,IF(NOT(ISBLANK(INDIRECT("template!"&amp;"P"&amp;A468+2))),A468+2,A468+3)),IF(A468=$AF$2,$AF$3,IF(A468=$AF$4,$AF$5,IF(A468=$AF$5,$AF$6,IF(A468=$AF$7,$AF$8,""))))))</f>
        <v>#REF!</v>
      </c>
      <c r="B469" t="e">
        <f t="shared" ca="1" si="39"/>
        <v>#REF!</v>
      </c>
      <c r="C469" t="e" cm="1">
        <f t="array" aca="1" ref="C469" ca="1">IF(A469="","",IF(B469="safety","safety costs",INDIRECT("template!"&amp;"B"&amp;A469)))</f>
        <v>#REF!</v>
      </c>
      <c r="D469" t="e" cm="1">
        <f t="array" aca="1" ref="D469" ca="1">IF(OR(A469="",B469="safety"),"",INDIRECT("template!"&amp;"C"&amp;A469))</f>
        <v>#REF!</v>
      </c>
      <c r="E469" t="e" cm="1">
        <f t="array" aca="1" ref="E469" ca="1">IF(A469="","",IF(OR(A469=A468+1,A469=A468+2),E468,INDIRECT("template!"&amp;"D"&amp;A469-2)))</f>
        <v>#REF!</v>
      </c>
      <c r="F469" t="e" cm="1">
        <f t="array" aca="1" ref="F469" ca="1">IF(OR(A469="",B469="safety"),"",IF(ISBLANK(IF(A469=A468+1,F468,INDIRECT("template!"&amp;"D"&amp;A469-1))),"",IF(A469=A468+1,F468,INDIRECT("template!"&amp;"D"&amp;A469-1))))</f>
        <v>#REF!</v>
      </c>
      <c r="G469" t="e" cm="1">
        <f t="array" aca="1" ref="G469" ca="1">IF(OR(A469="",B469="safety"),"",IF(ISBLANK(INDIRECT("template!"&amp;"D"&amp;A469)),"",INDIRECT("template!"&amp;"D"&amp;A469)))</f>
        <v>#REF!</v>
      </c>
      <c r="H469" t="e" cm="1">
        <f t="array" aca="1" ref="H469" ca="1">IF(OR(A469="",B469="safety"),"",IF(ISBLANK(INDIRECT("template!"&amp;"E"&amp;A469)),"",INDIRECT("template!"&amp;"E"&amp;A469)))</f>
        <v>#REF!</v>
      </c>
      <c r="I469" t="e" cm="1">
        <f t="array" aca="1" ref="I469" ca="1">IF(OR(A469="",B469="safety"),"",IF(ISBLANK(INDIRECT("template!"&amp;"F"&amp;A469)),"",INDIRECT("template!"&amp;"F"&amp;A469)))</f>
        <v>#REF!</v>
      </c>
      <c r="J469" t="e" cm="1">
        <f t="array" aca="1" ref="J469" ca="1">IF(OR(A469="",B469="safety"),"",IF(ISBLANK(INDIRECT("template!"&amp;"G"&amp;A469)),"",INDIRECT("template!"&amp;"G"&amp;A469)))</f>
        <v>#REF!</v>
      </c>
      <c r="K469" t="e" cm="1">
        <f t="array" aca="1" ref="K469" ca="1">IF(OR(A469="",B469="safety"),"",IF(ISBLANK(INDIRECT("template!"&amp;"H"&amp;A469)),"",INDIRECT("template!"&amp;"H"&amp;A469)))</f>
        <v>#REF!</v>
      </c>
      <c r="L469" t="e" cm="1">
        <f t="array" aca="1" ref="L469" ca="1">IF(OR(A469="",B469="safety"),"",INDIRECT("template!"&amp;"I"&amp;A469))</f>
        <v>#REF!</v>
      </c>
      <c r="M469" t="e" cm="1">
        <f t="array" aca="1" ref="M469" ca="1">IF(OR(A469="",B469="safety"),"",INDIRECT("template!"&amp;"J"&amp;A469))</f>
        <v>#REF!</v>
      </c>
      <c r="N469" t="e" cm="1">
        <f t="array" aca="1" ref="N469" ca="1">IF(OR(A469="",B469="safety"),"",IF(ISBLANK(INDIRECT("template!"&amp;"K"&amp;A469)),"",INDIRECT("template!"&amp;"K"&amp;A469)))</f>
        <v>#REF!</v>
      </c>
      <c r="O469" t="e" cm="1">
        <f t="array" aca="1" ref="O469" ca="1">IF(OR(A469="",B469="safety"),"",INDIRECT("template!"&amp;"L"&amp;A469))</f>
        <v>#REF!</v>
      </c>
      <c r="P469" t="e" cm="1">
        <f t="array" aca="1" ref="P469" ca="1">IF(OR(A469="",B469="safety"),"",INDIRECT("template!"&amp;"M"&amp;A469))</f>
        <v>#REF!</v>
      </c>
      <c r="Q469" t="e">
        <f t="shared" ca="1" si="40"/>
        <v>#REF!</v>
      </c>
      <c r="R469" t="e">
        <f t="shared" ca="1" si="41"/>
        <v>#REF!</v>
      </c>
      <c r="S469" t="e">
        <f t="shared" ca="1" si="42"/>
        <v>#REF!</v>
      </c>
      <c r="T469" t="e">
        <f t="shared" ca="1" si="43"/>
        <v>#REF!</v>
      </c>
      <c r="U469" t="e" cm="1">
        <f t="array" aca="1" ref="U469" ca="1">IF(A469="","",IF(E469="","",IF(B469="safety",INDIRECT("template!"&amp;"P"&amp;A469),Q469+R469)))</f>
        <v>#REF!</v>
      </c>
      <c r="V469" t="e" cm="1">
        <f t="array" aca="1" ref="V469" ca="1">IF(A469="","",IF(E469="","",IF(B469="safety",INDIRECT("template!"&amp;"P"&amp;A469),S469+T469)))</f>
        <v>#REF!</v>
      </c>
      <c r="W469" t="e">
        <f ca="1">IF(A469="","",IF(E469="","",#REF!))</f>
        <v>#REF!</v>
      </c>
      <c r="X469" t="e">
        <f ca="1">IF(A469="","",IF(E469="","",#REF!))</f>
        <v>#REF!</v>
      </c>
      <c r="Y469" s="39" t="e">
        <f ca="1">IF(A469="","",IF(E469="","",#REF!))</f>
        <v>#REF!</v>
      </c>
      <c r="Z469" t="e">
        <f ca="1">IF(A469="","",IF(E469="","",#REF!))</f>
        <v>#REF!</v>
      </c>
      <c r="AA469" t="e">
        <f ca="1">IF(A469="","",IF(E469="","",#REF!))</f>
        <v>#REF!</v>
      </c>
      <c r="AB469" t="e">
        <f ca="1">IF(A469="","",IF(E469="","",#REF!))</f>
        <v>#REF!</v>
      </c>
      <c r="AC469" t="e">
        <f t="shared" ca="1" si="44"/>
        <v>#REF!</v>
      </c>
    </row>
    <row r="470" spans="1:29" x14ac:dyDescent="0.35">
      <c r="A470" t="e" cm="1">
        <f t="array" aca="1" ref="A470" ca="1">IF(A469="","",IF(OR(AND(A469+1&gt;=$AF$1,A469+1&lt;=$AF$2),AND(A469+1&gt;=$AF$6,A469+1&lt;=$AF$7),AND(A469+1&gt;=$AF$3,A469+1&lt;=$AF$4),AND(A469+1&gt;=$AF$8,A469+1&lt;=$AF$9),A469+1=$AF$5),IF(NOT(ISBLANK(INDIRECT("template!"&amp;"P"&amp;A469+1))),A469+1,IF(NOT(ISBLANK(INDIRECT("template!"&amp;"P"&amp;A469+2))),A469+2,A469+3)),IF(A469=$AF$2,$AF$3,IF(A469=$AF$4,$AF$5,IF(A469=$AF$5,$AF$6,IF(A469=$AF$7,$AF$8,""))))))</f>
        <v>#REF!</v>
      </c>
      <c r="B470" t="e">
        <f t="shared" ca="1" si="39"/>
        <v>#REF!</v>
      </c>
      <c r="C470" t="e" cm="1">
        <f t="array" aca="1" ref="C470" ca="1">IF(A470="","",IF(B470="safety","safety costs",INDIRECT("template!"&amp;"B"&amp;A470)))</f>
        <v>#REF!</v>
      </c>
      <c r="D470" t="e" cm="1">
        <f t="array" aca="1" ref="D470" ca="1">IF(OR(A470="",B470="safety"),"",INDIRECT("template!"&amp;"C"&amp;A470))</f>
        <v>#REF!</v>
      </c>
      <c r="E470" t="e" cm="1">
        <f t="array" aca="1" ref="E470" ca="1">IF(A470="","",IF(OR(A470=A469+1,A470=A469+2),E469,INDIRECT("template!"&amp;"D"&amp;A470-2)))</f>
        <v>#REF!</v>
      </c>
      <c r="F470" t="e" cm="1">
        <f t="array" aca="1" ref="F470" ca="1">IF(OR(A470="",B470="safety"),"",IF(ISBLANK(IF(A470=A469+1,F469,INDIRECT("template!"&amp;"D"&amp;A470-1))),"",IF(A470=A469+1,F469,INDIRECT("template!"&amp;"D"&amp;A470-1))))</f>
        <v>#REF!</v>
      </c>
      <c r="G470" t="e" cm="1">
        <f t="array" aca="1" ref="G470" ca="1">IF(OR(A470="",B470="safety"),"",IF(ISBLANK(INDIRECT("template!"&amp;"D"&amp;A470)),"",INDIRECT("template!"&amp;"D"&amp;A470)))</f>
        <v>#REF!</v>
      </c>
      <c r="H470" t="e" cm="1">
        <f t="array" aca="1" ref="H470" ca="1">IF(OR(A470="",B470="safety"),"",IF(ISBLANK(INDIRECT("template!"&amp;"E"&amp;A470)),"",INDIRECT("template!"&amp;"E"&amp;A470)))</f>
        <v>#REF!</v>
      </c>
      <c r="I470" t="e" cm="1">
        <f t="array" aca="1" ref="I470" ca="1">IF(OR(A470="",B470="safety"),"",IF(ISBLANK(INDIRECT("template!"&amp;"F"&amp;A470)),"",INDIRECT("template!"&amp;"F"&amp;A470)))</f>
        <v>#REF!</v>
      </c>
      <c r="J470" t="e" cm="1">
        <f t="array" aca="1" ref="J470" ca="1">IF(OR(A470="",B470="safety"),"",IF(ISBLANK(INDIRECT("template!"&amp;"G"&amp;A470)),"",INDIRECT("template!"&amp;"G"&amp;A470)))</f>
        <v>#REF!</v>
      </c>
      <c r="K470" t="e" cm="1">
        <f t="array" aca="1" ref="K470" ca="1">IF(OR(A470="",B470="safety"),"",IF(ISBLANK(INDIRECT("template!"&amp;"H"&amp;A470)),"",INDIRECT("template!"&amp;"H"&amp;A470)))</f>
        <v>#REF!</v>
      </c>
      <c r="L470" t="e" cm="1">
        <f t="array" aca="1" ref="L470" ca="1">IF(OR(A470="",B470="safety"),"",INDIRECT("template!"&amp;"I"&amp;A470))</f>
        <v>#REF!</v>
      </c>
      <c r="M470" t="e" cm="1">
        <f t="array" aca="1" ref="M470" ca="1">IF(OR(A470="",B470="safety"),"",INDIRECT("template!"&amp;"J"&amp;A470))</f>
        <v>#REF!</v>
      </c>
      <c r="N470" t="e" cm="1">
        <f t="array" aca="1" ref="N470" ca="1">IF(OR(A470="",B470="safety"),"",IF(ISBLANK(INDIRECT("template!"&amp;"K"&amp;A470)),"",INDIRECT("template!"&amp;"K"&amp;A470)))</f>
        <v>#REF!</v>
      </c>
      <c r="O470" t="e" cm="1">
        <f t="array" aca="1" ref="O470" ca="1">IF(OR(A470="",B470="safety"),"",INDIRECT("template!"&amp;"L"&amp;A470))</f>
        <v>#REF!</v>
      </c>
      <c r="P470" t="e" cm="1">
        <f t="array" aca="1" ref="P470" ca="1">IF(OR(A470="",B470="safety"),"",INDIRECT("template!"&amp;"M"&amp;A470))</f>
        <v>#REF!</v>
      </c>
      <c r="Q470" t="e">
        <f t="shared" ca="1" si="40"/>
        <v>#REF!</v>
      </c>
      <c r="R470" t="e">
        <f t="shared" ca="1" si="41"/>
        <v>#REF!</v>
      </c>
      <c r="S470" t="e">
        <f t="shared" ca="1" si="42"/>
        <v>#REF!</v>
      </c>
      <c r="T470" t="e">
        <f t="shared" ca="1" si="43"/>
        <v>#REF!</v>
      </c>
      <c r="U470" t="e" cm="1">
        <f t="array" aca="1" ref="U470" ca="1">IF(A470="","",IF(E470="","",IF(B470="safety",INDIRECT("template!"&amp;"P"&amp;A470),Q470+R470)))</f>
        <v>#REF!</v>
      </c>
      <c r="V470" t="e" cm="1">
        <f t="array" aca="1" ref="V470" ca="1">IF(A470="","",IF(E470="","",IF(B470="safety",INDIRECT("template!"&amp;"P"&amp;A470),S470+T470)))</f>
        <v>#REF!</v>
      </c>
      <c r="W470" t="e">
        <f ca="1">IF(A470="","",IF(E470="","",#REF!))</f>
        <v>#REF!</v>
      </c>
      <c r="X470" t="e">
        <f ca="1">IF(A470="","",IF(E470="","",#REF!))</f>
        <v>#REF!</v>
      </c>
      <c r="Y470" s="39" t="e">
        <f ca="1">IF(A470="","",IF(E470="","",#REF!))</f>
        <v>#REF!</v>
      </c>
      <c r="Z470" t="e">
        <f ca="1">IF(A470="","",IF(E470="","",#REF!))</f>
        <v>#REF!</v>
      </c>
      <c r="AA470" t="e">
        <f ca="1">IF(A470="","",IF(E470="","",#REF!))</f>
        <v>#REF!</v>
      </c>
      <c r="AB470" t="e">
        <f ca="1">IF(A470="","",IF(E470="","",#REF!))</f>
        <v>#REF!</v>
      </c>
      <c r="AC470" t="e">
        <f t="shared" ca="1" si="44"/>
        <v>#REF!</v>
      </c>
    </row>
    <row r="471" spans="1:29" x14ac:dyDescent="0.35">
      <c r="A471" t="e" cm="1">
        <f t="array" aca="1" ref="A471" ca="1">IF(A470="","",IF(OR(AND(A470+1&gt;=$AF$1,A470+1&lt;=$AF$2),AND(A470+1&gt;=$AF$6,A470+1&lt;=$AF$7),AND(A470+1&gt;=$AF$3,A470+1&lt;=$AF$4),AND(A470+1&gt;=$AF$8,A470+1&lt;=$AF$9),A470+1=$AF$5),IF(NOT(ISBLANK(INDIRECT("template!"&amp;"P"&amp;A470+1))),A470+1,IF(NOT(ISBLANK(INDIRECT("template!"&amp;"P"&amp;A470+2))),A470+2,A470+3)),IF(A470=$AF$2,$AF$3,IF(A470=$AF$4,$AF$5,IF(A470=$AF$5,$AF$6,IF(A470=$AF$7,$AF$8,""))))))</f>
        <v>#REF!</v>
      </c>
      <c r="B471" t="e">
        <f t="shared" ca="1" si="39"/>
        <v>#REF!</v>
      </c>
      <c r="C471" t="e" cm="1">
        <f t="array" aca="1" ref="C471" ca="1">IF(A471="","",IF(B471="safety","safety costs",INDIRECT("template!"&amp;"B"&amp;A471)))</f>
        <v>#REF!</v>
      </c>
      <c r="D471" t="e" cm="1">
        <f t="array" aca="1" ref="D471" ca="1">IF(OR(A471="",B471="safety"),"",INDIRECT("template!"&amp;"C"&amp;A471))</f>
        <v>#REF!</v>
      </c>
      <c r="E471" t="e" cm="1">
        <f t="array" aca="1" ref="E471" ca="1">IF(A471="","",IF(OR(A471=A470+1,A471=A470+2),E470,INDIRECT("template!"&amp;"D"&amp;A471-2)))</f>
        <v>#REF!</v>
      </c>
      <c r="F471" t="e" cm="1">
        <f t="array" aca="1" ref="F471" ca="1">IF(OR(A471="",B471="safety"),"",IF(ISBLANK(IF(A471=A470+1,F470,INDIRECT("template!"&amp;"D"&amp;A471-1))),"",IF(A471=A470+1,F470,INDIRECT("template!"&amp;"D"&amp;A471-1))))</f>
        <v>#REF!</v>
      </c>
      <c r="G471" t="e" cm="1">
        <f t="array" aca="1" ref="G471" ca="1">IF(OR(A471="",B471="safety"),"",IF(ISBLANK(INDIRECT("template!"&amp;"D"&amp;A471)),"",INDIRECT("template!"&amp;"D"&amp;A471)))</f>
        <v>#REF!</v>
      </c>
      <c r="H471" t="e" cm="1">
        <f t="array" aca="1" ref="H471" ca="1">IF(OR(A471="",B471="safety"),"",IF(ISBLANK(INDIRECT("template!"&amp;"E"&amp;A471)),"",INDIRECT("template!"&amp;"E"&amp;A471)))</f>
        <v>#REF!</v>
      </c>
      <c r="I471" t="e" cm="1">
        <f t="array" aca="1" ref="I471" ca="1">IF(OR(A471="",B471="safety"),"",IF(ISBLANK(INDIRECT("template!"&amp;"F"&amp;A471)),"",INDIRECT("template!"&amp;"F"&amp;A471)))</f>
        <v>#REF!</v>
      </c>
      <c r="J471" t="e" cm="1">
        <f t="array" aca="1" ref="J471" ca="1">IF(OR(A471="",B471="safety"),"",IF(ISBLANK(INDIRECT("template!"&amp;"G"&amp;A471)),"",INDIRECT("template!"&amp;"G"&amp;A471)))</f>
        <v>#REF!</v>
      </c>
      <c r="K471" t="e" cm="1">
        <f t="array" aca="1" ref="K471" ca="1">IF(OR(A471="",B471="safety"),"",IF(ISBLANK(INDIRECT("template!"&amp;"H"&amp;A471)),"",INDIRECT("template!"&amp;"H"&amp;A471)))</f>
        <v>#REF!</v>
      </c>
      <c r="L471" t="e" cm="1">
        <f t="array" aca="1" ref="L471" ca="1">IF(OR(A471="",B471="safety"),"",INDIRECT("template!"&amp;"I"&amp;A471))</f>
        <v>#REF!</v>
      </c>
      <c r="M471" t="e" cm="1">
        <f t="array" aca="1" ref="M471" ca="1">IF(OR(A471="",B471="safety"),"",INDIRECT("template!"&amp;"J"&amp;A471))</f>
        <v>#REF!</v>
      </c>
      <c r="N471" t="e" cm="1">
        <f t="array" aca="1" ref="N471" ca="1">IF(OR(A471="",B471="safety"),"",IF(ISBLANK(INDIRECT("template!"&amp;"K"&amp;A471)),"",INDIRECT("template!"&amp;"K"&amp;A471)))</f>
        <v>#REF!</v>
      </c>
      <c r="O471" t="e" cm="1">
        <f t="array" aca="1" ref="O471" ca="1">IF(OR(A471="",B471="safety"),"",INDIRECT("template!"&amp;"L"&amp;A471))</f>
        <v>#REF!</v>
      </c>
      <c r="P471" t="e" cm="1">
        <f t="array" aca="1" ref="P471" ca="1">IF(OR(A471="",B471="safety"),"",INDIRECT("template!"&amp;"M"&amp;A471))</f>
        <v>#REF!</v>
      </c>
      <c r="Q471" t="e">
        <f t="shared" ca="1" si="40"/>
        <v>#REF!</v>
      </c>
      <c r="R471" t="e">
        <f t="shared" ca="1" si="41"/>
        <v>#REF!</v>
      </c>
      <c r="S471" t="e">
        <f t="shared" ca="1" si="42"/>
        <v>#REF!</v>
      </c>
      <c r="T471" t="e">
        <f t="shared" ca="1" si="43"/>
        <v>#REF!</v>
      </c>
      <c r="U471" t="e" cm="1">
        <f t="array" aca="1" ref="U471" ca="1">IF(A471="","",IF(E471="","",IF(B471="safety",INDIRECT("template!"&amp;"P"&amp;A471),Q471+R471)))</f>
        <v>#REF!</v>
      </c>
      <c r="V471" t="e" cm="1">
        <f t="array" aca="1" ref="V471" ca="1">IF(A471="","",IF(E471="","",IF(B471="safety",INDIRECT("template!"&amp;"P"&amp;A471),S471+T471)))</f>
        <v>#REF!</v>
      </c>
      <c r="W471" t="e">
        <f ca="1">IF(A471="","",IF(E471="","",#REF!))</f>
        <v>#REF!</v>
      </c>
      <c r="X471" t="e">
        <f ca="1">IF(A471="","",IF(E471="","",#REF!))</f>
        <v>#REF!</v>
      </c>
      <c r="Y471" s="39" t="e">
        <f ca="1">IF(A471="","",IF(E471="","",#REF!))</f>
        <v>#REF!</v>
      </c>
      <c r="Z471" t="e">
        <f ca="1">IF(A471="","",IF(E471="","",#REF!))</f>
        <v>#REF!</v>
      </c>
      <c r="AA471" t="e">
        <f ca="1">IF(A471="","",IF(E471="","",#REF!))</f>
        <v>#REF!</v>
      </c>
      <c r="AB471" t="e">
        <f ca="1">IF(A471="","",IF(E471="","",#REF!))</f>
        <v>#REF!</v>
      </c>
      <c r="AC471" t="e">
        <f t="shared" ca="1" si="44"/>
        <v>#REF!</v>
      </c>
    </row>
    <row r="472" spans="1:29" x14ac:dyDescent="0.35">
      <c r="A472" t="e" cm="1">
        <f t="array" aca="1" ref="A472" ca="1">IF(A471="","",IF(OR(AND(A471+1&gt;=$AF$1,A471+1&lt;=$AF$2),AND(A471+1&gt;=$AF$6,A471+1&lt;=$AF$7),AND(A471+1&gt;=$AF$3,A471+1&lt;=$AF$4),AND(A471+1&gt;=$AF$8,A471+1&lt;=$AF$9),A471+1=$AF$5),IF(NOT(ISBLANK(INDIRECT("template!"&amp;"P"&amp;A471+1))),A471+1,IF(NOT(ISBLANK(INDIRECT("template!"&amp;"P"&amp;A471+2))),A471+2,A471+3)),IF(A471=$AF$2,$AF$3,IF(A471=$AF$4,$AF$5,IF(A471=$AF$5,$AF$6,IF(A471=$AF$7,$AF$8,""))))))</f>
        <v>#REF!</v>
      </c>
      <c r="B472" t="e">
        <f t="shared" ca="1" si="39"/>
        <v>#REF!</v>
      </c>
      <c r="C472" t="e" cm="1">
        <f t="array" aca="1" ref="C472" ca="1">IF(A472="","",IF(B472="safety","safety costs",INDIRECT("template!"&amp;"B"&amp;A472)))</f>
        <v>#REF!</v>
      </c>
      <c r="D472" t="e" cm="1">
        <f t="array" aca="1" ref="D472" ca="1">IF(OR(A472="",B472="safety"),"",INDIRECT("template!"&amp;"C"&amp;A472))</f>
        <v>#REF!</v>
      </c>
      <c r="E472" t="e" cm="1">
        <f t="array" aca="1" ref="E472" ca="1">IF(A472="","",IF(OR(A472=A471+1,A472=A471+2),E471,INDIRECT("template!"&amp;"D"&amp;A472-2)))</f>
        <v>#REF!</v>
      </c>
      <c r="F472" t="e" cm="1">
        <f t="array" aca="1" ref="F472" ca="1">IF(OR(A472="",B472="safety"),"",IF(ISBLANK(IF(A472=A471+1,F471,INDIRECT("template!"&amp;"D"&amp;A472-1))),"",IF(A472=A471+1,F471,INDIRECT("template!"&amp;"D"&amp;A472-1))))</f>
        <v>#REF!</v>
      </c>
      <c r="G472" t="e" cm="1">
        <f t="array" aca="1" ref="G472" ca="1">IF(OR(A472="",B472="safety"),"",IF(ISBLANK(INDIRECT("template!"&amp;"D"&amp;A472)),"",INDIRECT("template!"&amp;"D"&amp;A472)))</f>
        <v>#REF!</v>
      </c>
      <c r="H472" t="e" cm="1">
        <f t="array" aca="1" ref="H472" ca="1">IF(OR(A472="",B472="safety"),"",IF(ISBLANK(INDIRECT("template!"&amp;"E"&amp;A472)),"",INDIRECT("template!"&amp;"E"&amp;A472)))</f>
        <v>#REF!</v>
      </c>
      <c r="I472" t="e" cm="1">
        <f t="array" aca="1" ref="I472" ca="1">IF(OR(A472="",B472="safety"),"",IF(ISBLANK(INDIRECT("template!"&amp;"F"&amp;A472)),"",INDIRECT("template!"&amp;"F"&amp;A472)))</f>
        <v>#REF!</v>
      </c>
      <c r="J472" t="e" cm="1">
        <f t="array" aca="1" ref="J472" ca="1">IF(OR(A472="",B472="safety"),"",IF(ISBLANK(INDIRECT("template!"&amp;"G"&amp;A472)),"",INDIRECT("template!"&amp;"G"&amp;A472)))</f>
        <v>#REF!</v>
      </c>
      <c r="K472" t="e" cm="1">
        <f t="array" aca="1" ref="K472" ca="1">IF(OR(A472="",B472="safety"),"",IF(ISBLANK(INDIRECT("template!"&amp;"H"&amp;A472)),"",INDIRECT("template!"&amp;"H"&amp;A472)))</f>
        <v>#REF!</v>
      </c>
      <c r="L472" t="e" cm="1">
        <f t="array" aca="1" ref="L472" ca="1">IF(OR(A472="",B472="safety"),"",INDIRECT("template!"&amp;"I"&amp;A472))</f>
        <v>#REF!</v>
      </c>
      <c r="M472" t="e" cm="1">
        <f t="array" aca="1" ref="M472" ca="1">IF(OR(A472="",B472="safety"),"",INDIRECT("template!"&amp;"J"&amp;A472))</f>
        <v>#REF!</v>
      </c>
      <c r="N472" t="e" cm="1">
        <f t="array" aca="1" ref="N472" ca="1">IF(OR(A472="",B472="safety"),"",IF(ISBLANK(INDIRECT("template!"&amp;"K"&amp;A472)),"",INDIRECT("template!"&amp;"K"&amp;A472)))</f>
        <v>#REF!</v>
      </c>
      <c r="O472" t="e" cm="1">
        <f t="array" aca="1" ref="O472" ca="1">IF(OR(A472="",B472="safety"),"",INDIRECT("template!"&amp;"L"&amp;A472))</f>
        <v>#REF!</v>
      </c>
      <c r="P472" t="e" cm="1">
        <f t="array" aca="1" ref="P472" ca="1">IF(OR(A472="",B472="safety"),"",INDIRECT("template!"&amp;"M"&amp;A472))</f>
        <v>#REF!</v>
      </c>
      <c r="Q472" t="e">
        <f t="shared" ca="1" si="40"/>
        <v>#REF!</v>
      </c>
      <c r="R472" t="e">
        <f t="shared" ca="1" si="41"/>
        <v>#REF!</v>
      </c>
      <c r="S472" t="e">
        <f t="shared" ca="1" si="42"/>
        <v>#REF!</v>
      </c>
      <c r="T472" t="e">
        <f t="shared" ca="1" si="43"/>
        <v>#REF!</v>
      </c>
      <c r="U472" t="e" cm="1">
        <f t="array" aca="1" ref="U472" ca="1">IF(A472="","",IF(E472="","",IF(B472="safety",INDIRECT("template!"&amp;"P"&amp;A472),Q472+R472)))</f>
        <v>#REF!</v>
      </c>
      <c r="V472" t="e" cm="1">
        <f t="array" aca="1" ref="V472" ca="1">IF(A472="","",IF(E472="","",IF(B472="safety",INDIRECT("template!"&amp;"P"&amp;A472),S472+T472)))</f>
        <v>#REF!</v>
      </c>
      <c r="W472" t="e">
        <f ca="1">IF(A472="","",IF(E472="","",#REF!))</f>
        <v>#REF!</v>
      </c>
      <c r="X472" t="e">
        <f ca="1">IF(A472="","",IF(E472="","",#REF!))</f>
        <v>#REF!</v>
      </c>
      <c r="Y472" s="39" t="e">
        <f ca="1">IF(A472="","",IF(E472="","",#REF!))</f>
        <v>#REF!</v>
      </c>
      <c r="Z472" t="e">
        <f ca="1">IF(A472="","",IF(E472="","",#REF!))</f>
        <v>#REF!</v>
      </c>
      <c r="AA472" t="e">
        <f ca="1">IF(A472="","",IF(E472="","",#REF!))</f>
        <v>#REF!</v>
      </c>
      <c r="AB472" t="e">
        <f ca="1">IF(A472="","",IF(E472="","",#REF!))</f>
        <v>#REF!</v>
      </c>
      <c r="AC472" t="e">
        <f t="shared" ca="1" si="44"/>
        <v>#REF!</v>
      </c>
    </row>
    <row r="473" spans="1:29" x14ac:dyDescent="0.35">
      <c r="A473" t="e" cm="1">
        <f t="array" aca="1" ref="A473" ca="1">IF(A472="","",IF(OR(AND(A472+1&gt;=$AF$1,A472+1&lt;=$AF$2),AND(A472+1&gt;=$AF$6,A472+1&lt;=$AF$7),AND(A472+1&gt;=$AF$3,A472+1&lt;=$AF$4),AND(A472+1&gt;=$AF$8,A472+1&lt;=$AF$9),A472+1=$AF$5),IF(NOT(ISBLANK(INDIRECT("template!"&amp;"P"&amp;A472+1))),A472+1,IF(NOT(ISBLANK(INDIRECT("template!"&amp;"P"&amp;A472+2))),A472+2,A472+3)),IF(A472=$AF$2,$AF$3,IF(A472=$AF$4,$AF$5,IF(A472=$AF$5,$AF$6,IF(A472=$AF$7,$AF$8,""))))))</f>
        <v>#REF!</v>
      </c>
      <c r="B473" t="e">
        <f t="shared" ca="1" si="39"/>
        <v>#REF!</v>
      </c>
      <c r="C473" t="e" cm="1">
        <f t="array" aca="1" ref="C473" ca="1">IF(A473="","",IF(B473="safety","safety costs",INDIRECT("template!"&amp;"B"&amp;A473)))</f>
        <v>#REF!</v>
      </c>
      <c r="D473" t="e" cm="1">
        <f t="array" aca="1" ref="D473" ca="1">IF(OR(A473="",B473="safety"),"",INDIRECT("template!"&amp;"C"&amp;A473))</f>
        <v>#REF!</v>
      </c>
      <c r="E473" t="e" cm="1">
        <f t="array" aca="1" ref="E473" ca="1">IF(A473="","",IF(OR(A473=A472+1,A473=A472+2),E472,INDIRECT("template!"&amp;"D"&amp;A473-2)))</f>
        <v>#REF!</v>
      </c>
      <c r="F473" t="e" cm="1">
        <f t="array" aca="1" ref="F473" ca="1">IF(OR(A473="",B473="safety"),"",IF(ISBLANK(IF(A473=A472+1,F472,INDIRECT("template!"&amp;"D"&amp;A473-1))),"",IF(A473=A472+1,F472,INDIRECT("template!"&amp;"D"&amp;A473-1))))</f>
        <v>#REF!</v>
      </c>
      <c r="G473" t="e" cm="1">
        <f t="array" aca="1" ref="G473" ca="1">IF(OR(A473="",B473="safety"),"",IF(ISBLANK(INDIRECT("template!"&amp;"D"&amp;A473)),"",INDIRECT("template!"&amp;"D"&amp;A473)))</f>
        <v>#REF!</v>
      </c>
      <c r="H473" t="e" cm="1">
        <f t="array" aca="1" ref="H473" ca="1">IF(OR(A473="",B473="safety"),"",IF(ISBLANK(INDIRECT("template!"&amp;"E"&amp;A473)),"",INDIRECT("template!"&amp;"E"&amp;A473)))</f>
        <v>#REF!</v>
      </c>
      <c r="I473" t="e" cm="1">
        <f t="array" aca="1" ref="I473" ca="1">IF(OR(A473="",B473="safety"),"",IF(ISBLANK(INDIRECT("template!"&amp;"F"&amp;A473)),"",INDIRECT("template!"&amp;"F"&amp;A473)))</f>
        <v>#REF!</v>
      </c>
      <c r="J473" t="e" cm="1">
        <f t="array" aca="1" ref="J473" ca="1">IF(OR(A473="",B473="safety"),"",IF(ISBLANK(INDIRECT("template!"&amp;"G"&amp;A473)),"",INDIRECT("template!"&amp;"G"&amp;A473)))</f>
        <v>#REF!</v>
      </c>
      <c r="K473" t="e" cm="1">
        <f t="array" aca="1" ref="K473" ca="1">IF(OR(A473="",B473="safety"),"",IF(ISBLANK(INDIRECT("template!"&amp;"H"&amp;A473)),"",INDIRECT("template!"&amp;"H"&amp;A473)))</f>
        <v>#REF!</v>
      </c>
      <c r="L473" t="e" cm="1">
        <f t="array" aca="1" ref="L473" ca="1">IF(OR(A473="",B473="safety"),"",INDIRECT("template!"&amp;"I"&amp;A473))</f>
        <v>#REF!</v>
      </c>
      <c r="M473" t="e" cm="1">
        <f t="array" aca="1" ref="M473" ca="1">IF(OR(A473="",B473="safety"),"",INDIRECT("template!"&amp;"J"&amp;A473))</f>
        <v>#REF!</v>
      </c>
      <c r="N473" t="e" cm="1">
        <f t="array" aca="1" ref="N473" ca="1">IF(OR(A473="",B473="safety"),"",IF(ISBLANK(INDIRECT("template!"&amp;"K"&amp;A473)),"",INDIRECT("template!"&amp;"K"&amp;A473)))</f>
        <v>#REF!</v>
      </c>
      <c r="O473" t="e" cm="1">
        <f t="array" aca="1" ref="O473" ca="1">IF(OR(A473="",B473="safety"),"",INDIRECT("template!"&amp;"L"&amp;A473))</f>
        <v>#REF!</v>
      </c>
      <c r="P473" t="e" cm="1">
        <f t="array" aca="1" ref="P473" ca="1">IF(OR(A473="",B473="safety"),"",INDIRECT("template!"&amp;"M"&amp;A473))</f>
        <v>#REF!</v>
      </c>
      <c r="Q473" t="e">
        <f t="shared" ca="1" si="40"/>
        <v>#REF!</v>
      </c>
      <c r="R473" t="e">
        <f t="shared" ca="1" si="41"/>
        <v>#REF!</v>
      </c>
      <c r="S473" t="e">
        <f t="shared" ca="1" si="42"/>
        <v>#REF!</v>
      </c>
      <c r="T473" t="e">
        <f t="shared" ca="1" si="43"/>
        <v>#REF!</v>
      </c>
      <c r="U473" t="e" cm="1">
        <f t="array" aca="1" ref="U473" ca="1">IF(A473="","",IF(E473="","",IF(B473="safety",INDIRECT("template!"&amp;"P"&amp;A473),Q473+R473)))</f>
        <v>#REF!</v>
      </c>
      <c r="V473" t="e" cm="1">
        <f t="array" aca="1" ref="V473" ca="1">IF(A473="","",IF(E473="","",IF(B473="safety",INDIRECT("template!"&amp;"P"&amp;A473),S473+T473)))</f>
        <v>#REF!</v>
      </c>
      <c r="W473" t="e">
        <f ca="1">IF(A473="","",IF(E473="","",#REF!))</f>
        <v>#REF!</v>
      </c>
      <c r="X473" t="e">
        <f ca="1">IF(A473="","",IF(E473="","",#REF!))</f>
        <v>#REF!</v>
      </c>
      <c r="Y473" s="39" t="e">
        <f ca="1">IF(A473="","",IF(E473="","",#REF!))</f>
        <v>#REF!</v>
      </c>
      <c r="Z473" t="e">
        <f ca="1">IF(A473="","",IF(E473="","",#REF!))</f>
        <v>#REF!</v>
      </c>
      <c r="AA473" t="e">
        <f ca="1">IF(A473="","",IF(E473="","",#REF!))</f>
        <v>#REF!</v>
      </c>
      <c r="AB473" t="e">
        <f ca="1">IF(A473="","",IF(E473="","",#REF!))</f>
        <v>#REF!</v>
      </c>
      <c r="AC473" t="e">
        <f t="shared" ca="1" si="44"/>
        <v>#REF!</v>
      </c>
    </row>
    <row r="474" spans="1:29" x14ac:dyDescent="0.35">
      <c r="A474" t="e" cm="1">
        <f t="array" aca="1" ref="A474" ca="1">IF(A473="","",IF(OR(AND(A473+1&gt;=$AF$1,A473+1&lt;=$AF$2),AND(A473+1&gt;=$AF$6,A473+1&lt;=$AF$7),AND(A473+1&gt;=$AF$3,A473+1&lt;=$AF$4),AND(A473+1&gt;=$AF$8,A473+1&lt;=$AF$9),A473+1=$AF$5),IF(NOT(ISBLANK(INDIRECT("template!"&amp;"P"&amp;A473+1))),A473+1,IF(NOT(ISBLANK(INDIRECT("template!"&amp;"P"&amp;A473+2))),A473+2,A473+3)),IF(A473=$AF$2,$AF$3,IF(A473=$AF$4,$AF$5,IF(A473=$AF$5,$AF$6,IF(A473=$AF$7,$AF$8,""))))))</f>
        <v>#REF!</v>
      </c>
      <c r="B474" t="e">
        <f t="shared" ca="1" si="39"/>
        <v>#REF!</v>
      </c>
      <c r="C474" t="e" cm="1">
        <f t="array" aca="1" ref="C474" ca="1">IF(A474="","",IF(B474="safety","safety costs",INDIRECT("template!"&amp;"B"&amp;A474)))</f>
        <v>#REF!</v>
      </c>
      <c r="D474" t="e" cm="1">
        <f t="array" aca="1" ref="D474" ca="1">IF(OR(A474="",B474="safety"),"",INDIRECT("template!"&amp;"C"&amp;A474))</f>
        <v>#REF!</v>
      </c>
      <c r="E474" t="e" cm="1">
        <f t="array" aca="1" ref="E474" ca="1">IF(A474="","",IF(OR(A474=A473+1,A474=A473+2),E473,INDIRECT("template!"&amp;"D"&amp;A474-2)))</f>
        <v>#REF!</v>
      </c>
      <c r="F474" t="e" cm="1">
        <f t="array" aca="1" ref="F474" ca="1">IF(OR(A474="",B474="safety"),"",IF(ISBLANK(IF(A474=A473+1,F473,INDIRECT("template!"&amp;"D"&amp;A474-1))),"",IF(A474=A473+1,F473,INDIRECT("template!"&amp;"D"&amp;A474-1))))</f>
        <v>#REF!</v>
      </c>
      <c r="G474" t="e" cm="1">
        <f t="array" aca="1" ref="G474" ca="1">IF(OR(A474="",B474="safety"),"",IF(ISBLANK(INDIRECT("template!"&amp;"D"&amp;A474)),"",INDIRECT("template!"&amp;"D"&amp;A474)))</f>
        <v>#REF!</v>
      </c>
      <c r="H474" t="e" cm="1">
        <f t="array" aca="1" ref="H474" ca="1">IF(OR(A474="",B474="safety"),"",IF(ISBLANK(INDIRECT("template!"&amp;"E"&amp;A474)),"",INDIRECT("template!"&amp;"E"&amp;A474)))</f>
        <v>#REF!</v>
      </c>
      <c r="I474" t="e" cm="1">
        <f t="array" aca="1" ref="I474" ca="1">IF(OR(A474="",B474="safety"),"",IF(ISBLANK(INDIRECT("template!"&amp;"F"&amp;A474)),"",INDIRECT("template!"&amp;"F"&amp;A474)))</f>
        <v>#REF!</v>
      </c>
      <c r="J474" t="e" cm="1">
        <f t="array" aca="1" ref="J474" ca="1">IF(OR(A474="",B474="safety"),"",IF(ISBLANK(INDIRECT("template!"&amp;"G"&amp;A474)),"",INDIRECT("template!"&amp;"G"&amp;A474)))</f>
        <v>#REF!</v>
      </c>
      <c r="K474" t="e" cm="1">
        <f t="array" aca="1" ref="K474" ca="1">IF(OR(A474="",B474="safety"),"",IF(ISBLANK(INDIRECT("template!"&amp;"H"&amp;A474)),"",INDIRECT("template!"&amp;"H"&amp;A474)))</f>
        <v>#REF!</v>
      </c>
      <c r="L474" t="e" cm="1">
        <f t="array" aca="1" ref="L474" ca="1">IF(OR(A474="",B474="safety"),"",INDIRECT("template!"&amp;"I"&amp;A474))</f>
        <v>#REF!</v>
      </c>
      <c r="M474" t="e" cm="1">
        <f t="array" aca="1" ref="M474" ca="1">IF(OR(A474="",B474="safety"),"",INDIRECT("template!"&amp;"J"&amp;A474))</f>
        <v>#REF!</v>
      </c>
      <c r="N474" t="e" cm="1">
        <f t="array" aca="1" ref="N474" ca="1">IF(OR(A474="",B474="safety"),"",IF(ISBLANK(INDIRECT("template!"&amp;"K"&amp;A474)),"",INDIRECT("template!"&amp;"K"&amp;A474)))</f>
        <v>#REF!</v>
      </c>
      <c r="O474" t="e" cm="1">
        <f t="array" aca="1" ref="O474" ca="1">IF(OR(A474="",B474="safety"),"",INDIRECT("template!"&amp;"L"&amp;A474))</f>
        <v>#REF!</v>
      </c>
      <c r="P474" t="e" cm="1">
        <f t="array" aca="1" ref="P474" ca="1">IF(OR(A474="",B474="safety"),"",INDIRECT("template!"&amp;"M"&amp;A474))</f>
        <v>#REF!</v>
      </c>
      <c r="Q474" t="e">
        <f t="shared" ca="1" si="40"/>
        <v>#REF!</v>
      </c>
      <c r="R474" t="e">
        <f t="shared" ca="1" si="41"/>
        <v>#REF!</v>
      </c>
      <c r="S474" t="e">
        <f t="shared" ca="1" si="42"/>
        <v>#REF!</v>
      </c>
      <c r="T474" t="e">
        <f t="shared" ca="1" si="43"/>
        <v>#REF!</v>
      </c>
      <c r="U474" t="e" cm="1">
        <f t="array" aca="1" ref="U474" ca="1">IF(A474="","",IF(E474="","",IF(B474="safety",INDIRECT("template!"&amp;"P"&amp;A474),Q474+R474)))</f>
        <v>#REF!</v>
      </c>
      <c r="V474" t="e" cm="1">
        <f t="array" aca="1" ref="V474" ca="1">IF(A474="","",IF(E474="","",IF(B474="safety",INDIRECT("template!"&amp;"P"&amp;A474),S474+T474)))</f>
        <v>#REF!</v>
      </c>
      <c r="W474" t="e">
        <f ca="1">IF(A474="","",IF(E474="","",#REF!))</f>
        <v>#REF!</v>
      </c>
      <c r="X474" t="e">
        <f ca="1">IF(A474="","",IF(E474="","",#REF!))</f>
        <v>#REF!</v>
      </c>
      <c r="Y474" s="39" t="e">
        <f ca="1">IF(A474="","",IF(E474="","",#REF!))</f>
        <v>#REF!</v>
      </c>
      <c r="Z474" t="e">
        <f ca="1">IF(A474="","",IF(E474="","",#REF!))</f>
        <v>#REF!</v>
      </c>
      <c r="AA474" t="e">
        <f ca="1">IF(A474="","",IF(E474="","",#REF!))</f>
        <v>#REF!</v>
      </c>
      <c r="AB474" t="e">
        <f ca="1">IF(A474="","",IF(E474="","",#REF!))</f>
        <v>#REF!</v>
      </c>
      <c r="AC474" t="e">
        <f t="shared" ca="1" si="44"/>
        <v>#REF!</v>
      </c>
    </row>
    <row r="475" spans="1:29" x14ac:dyDescent="0.35">
      <c r="A475" t="e" cm="1">
        <f t="array" aca="1" ref="A475" ca="1">IF(A474="","",IF(OR(AND(A474+1&gt;=$AF$1,A474+1&lt;=$AF$2),AND(A474+1&gt;=$AF$6,A474+1&lt;=$AF$7),AND(A474+1&gt;=$AF$3,A474+1&lt;=$AF$4),AND(A474+1&gt;=$AF$8,A474+1&lt;=$AF$9),A474+1=$AF$5),IF(NOT(ISBLANK(INDIRECT("template!"&amp;"P"&amp;A474+1))),A474+1,IF(NOT(ISBLANK(INDIRECT("template!"&amp;"P"&amp;A474+2))),A474+2,A474+3)),IF(A474=$AF$2,$AF$3,IF(A474=$AF$4,$AF$5,IF(A474=$AF$5,$AF$6,IF(A474=$AF$7,$AF$8,""))))))</f>
        <v>#REF!</v>
      </c>
      <c r="B475" t="e">
        <f t="shared" ca="1" si="39"/>
        <v>#REF!</v>
      </c>
      <c r="C475" t="e" cm="1">
        <f t="array" aca="1" ref="C475" ca="1">IF(A475="","",IF(B475="safety","safety costs",INDIRECT("template!"&amp;"B"&amp;A475)))</f>
        <v>#REF!</v>
      </c>
      <c r="D475" t="e" cm="1">
        <f t="array" aca="1" ref="D475" ca="1">IF(OR(A475="",B475="safety"),"",INDIRECT("template!"&amp;"C"&amp;A475))</f>
        <v>#REF!</v>
      </c>
      <c r="E475" t="e" cm="1">
        <f t="array" aca="1" ref="E475" ca="1">IF(A475="","",IF(OR(A475=A474+1,A475=A474+2),E474,INDIRECT("template!"&amp;"D"&amp;A475-2)))</f>
        <v>#REF!</v>
      </c>
      <c r="F475" t="e" cm="1">
        <f t="array" aca="1" ref="F475" ca="1">IF(OR(A475="",B475="safety"),"",IF(ISBLANK(IF(A475=A474+1,F474,INDIRECT("template!"&amp;"D"&amp;A475-1))),"",IF(A475=A474+1,F474,INDIRECT("template!"&amp;"D"&amp;A475-1))))</f>
        <v>#REF!</v>
      </c>
      <c r="G475" t="e" cm="1">
        <f t="array" aca="1" ref="G475" ca="1">IF(OR(A475="",B475="safety"),"",IF(ISBLANK(INDIRECT("template!"&amp;"D"&amp;A475)),"",INDIRECT("template!"&amp;"D"&amp;A475)))</f>
        <v>#REF!</v>
      </c>
      <c r="H475" t="e" cm="1">
        <f t="array" aca="1" ref="H475" ca="1">IF(OR(A475="",B475="safety"),"",IF(ISBLANK(INDIRECT("template!"&amp;"E"&amp;A475)),"",INDIRECT("template!"&amp;"E"&amp;A475)))</f>
        <v>#REF!</v>
      </c>
      <c r="I475" t="e" cm="1">
        <f t="array" aca="1" ref="I475" ca="1">IF(OR(A475="",B475="safety"),"",IF(ISBLANK(INDIRECT("template!"&amp;"F"&amp;A475)),"",INDIRECT("template!"&amp;"F"&amp;A475)))</f>
        <v>#REF!</v>
      </c>
      <c r="J475" t="e" cm="1">
        <f t="array" aca="1" ref="J475" ca="1">IF(OR(A475="",B475="safety"),"",IF(ISBLANK(INDIRECT("template!"&amp;"G"&amp;A475)),"",INDIRECT("template!"&amp;"G"&amp;A475)))</f>
        <v>#REF!</v>
      </c>
      <c r="K475" t="e" cm="1">
        <f t="array" aca="1" ref="K475" ca="1">IF(OR(A475="",B475="safety"),"",IF(ISBLANK(INDIRECT("template!"&amp;"H"&amp;A475)),"",INDIRECT("template!"&amp;"H"&amp;A475)))</f>
        <v>#REF!</v>
      </c>
      <c r="L475" t="e" cm="1">
        <f t="array" aca="1" ref="L475" ca="1">IF(OR(A475="",B475="safety"),"",INDIRECT("template!"&amp;"I"&amp;A475))</f>
        <v>#REF!</v>
      </c>
      <c r="M475" t="e" cm="1">
        <f t="array" aca="1" ref="M475" ca="1">IF(OR(A475="",B475="safety"),"",INDIRECT("template!"&amp;"J"&amp;A475))</f>
        <v>#REF!</v>
      </c>
      <c r="N475" t="e" cm="1">
        <f t="array" aca="1" ref="N475" ca="1">IF(OR(A475="",B475="safety"),"",IF(ISBLANK(INDIRECT("template!"&amp;"K"&amp;A475)),"",INDIRECT("template!"&amp;"K"&amp;A475)))</f>
        <v>#REF!</v>
      </c>
      <c r="O475" t="e" cm="1">
        <f t="array" aca="1" ref="O475" ca="1">IF(OR(A475="",B475="safety"),"",INDIRECT("template!"&amp;"L"&amp;A475))</f>
        <v>#REF!</v>
      </c>
      <c r="P475" t="e" cm="1">
        <f t="array" aca="1" ref="P475" ca="1">IF(OR(A475="",B475="safety"),"",INDIRECT("template!"&amp;"M"&amp;A475))</f>
        <v>#REF!</v>
      </c>
      <c r="Q475" t="e">
        <f t="shared" ca="1" si="40"/>
        <v>#REF!</v>
      </c>
      <c r="R475" t="e">
        <f t="shared" ca="1" si="41"/>
        <v>#REF!</v>
      </c>
      <c r="S475" t="e">
        <f t="shared" ca="1" si="42"/>
        <v>#REF!</v>
      </c>
      <c r="T475" t="e">
        <f t="shared" ca="1" si="43"/>
        <v>#REF!</v>
      </c>
      <c r="U475" t="e" cm="1">
        <f t="array" aca="1" ref="U475" ca="1">IF(A475="","",IF(E475="","",IF(B475="safety",INDIRECT("template!"&amp;"P"&amp;A475),Q475+R475)))</f>
        <v>#REF!</v>
      </c>
      <c r="V475" t="e" cm="1">
        <f t="array" aca="1" ref="V475" ca="1">IF(A475="","",IF(E475="","",IF(B475="safety",INDIRECT("template!"&amp;"P"&amp;A475),S475+T475)))</f>
        <v>#REF!</v>
      </c>
      <c r="W475" t="e">
        <f ca="1">IF(A475="","",IF(E475="","",#REF!))</f>
        <v>#REF!</v>
      </c>
      <c r="X475" t="e">
        <f ca="1">IF(A475="","",IF(E475="","",#REF!))</f>
        <v>#REF!</v>
      </c>
      <c r="Y475" s="39" t="e">
        <f ca="1">IF(A475="","",IF(E475="","",#REF!))</f>
        <v>#REF!</v>
      </c>
      <c r="Z475" t="e">
        <f ca="1">IF(A475="","",IF(E475="","",#REF!))</f>
        <v>#REF!</v>
      </c>
      <c r="AA475" t="e">
        <f ca="1">IF(A475="","",IF(E475="","",#REF!))</f>
        <v>#REF!</v>
      </c>
      <c r="AB475" t="e">
        <f ca="1">IF(A475="","",IF(E475="","",#REF!))</f>
        <v>#REF!</v>
      </c>
      <c r="AC475" t="e">
        <f t="shared" ca="1" si="44"/>
        <v>#REF!</v>
      </c>
    </row>
    <row r="476" spans="1:29" x14ac:dyDescent="0.35">
      <c r="A476" t="e" cm="1">
        <f t="array" aca="1" ref="A476" ca="1">IF(A475="","",IF(OR(AND(A475+1&gt;=$AF$1,A475+1&lt;=$AF$2),AND(A475+1&gt;=$AF$6,A475+1&lt;=$AF$7),AND(A475+1&gt;=$AF$3,A475+1&lt;=$AF$4),AND(A475+1&gt;=$AF$8,A475+1&lt;=$AF$9),A475+1=$AF$5),IF(NOT(ISBLANK(INDIRECT("template!"&amp;"P"&amp;A475+1))),A475+1,IF(NOT(ISBLANK(INDIRECT("template!"&amp;"P"&amp;A475+2))),A475+2,A475+3)),IF(A475=$AF$2,$AF$3,IF(A475=$AF$4,$AF$5,IF(A475=$AF$5,$AF$6,IF(A475=$AF$7,$AF$8,""))))))</f>
        <v>#REF!</v>
      </c>
      <c r="B476" t="e">
        <f t="shared" ca="1" si="39"/>
        <v>#REF!</v>
      </c>
      <c r="C476" t="e" cm="1">
        <f t="array" aca="1" ref="C476" ca="1">IF(A476="","",IF(B476="safety","safety costs",INDIRECT("template!"&amp;"B"&amp;A476)))</f>
        <v>#REF!</v>
      </c>
      <c r="D476" t="e" cm="1">
        <f t="array" aca="1" ref="D476" ca="1">IF(OR(A476="",B476="safety"),"",INDIRECT("template!"&amp;"C"&amp;A476))</f>
        <v>#REF!</v>
      </c>
      <c r="E476" t="e" cm="1">
        <f t="array" aca="1" ref="E476" ca="1">IF(A476="","",IF(OR(A476=A475+1,A476=A475+2),E475,INDIRECT("template!"&amp;"D"&amp;A476-2)))</f>
        <v>#REF!</v>
      </c>
      <c r="F476" t="e" cm="1">
        <f t="array" aca="1" ref="F476" ca="1">IF(OR(A476="",B476="safety"),"",IF(ISBLANK(IF(A476=A475+1,F475,INDIRECT("template!"&amp;"D"&amp;A476-1))),"",IF(A476=A475+1,F475,INDIRECT("template!"&amp;"D"&amp;A476-1))))</f>
        <v>#REF!</v>
      </c>
      <c r="G476" t="e" cm="1">
        <f t="array" aca="1" ref="G476" ca="1">IF(OR(A476="",B476="safety"),"",IF(ISBLANK(INDIRECT("template!"&amp;"D"&amp;A476)),"",INDIRECT("template!"&amp;"D"&amp;A476)))</f>
        <v>#REF!</v>
      </c>
      <c r="H476" t="e" cm="1">
        <f t="array" aca="1" ref="H476" ca="1">IF(OR(A476="",B476="safety"),"",IF(ISBLANK(INDIRECT("template!"&amp;"E"&amp;A476)),"",INDIRECT("template!"&amp;"E"&amp;A476)))</f>
        <v>#REF!</v>
      </c>
      <c r="I476" t="e" cm="1">
        <f t="array" aca="1" ref="I476" ca="1">IF(OR(A476="",B476="safety"),"",IF(ISBLANK(INDIRECT("template!"&amp;"F"&amp;A476)),"",INDIRECT("template!"&amp;"F"&amp;A476)))</f>
        <v>#REF!</v>
      </c>
      <c r="J476" t="e" cm="1">
        <f t="array" aca="1" ref="J476" ca="1">IF(OR(A476="",B476="safety"),"",IF(ISBLANK(INDIRECT("template!"&amp;"G"&amp;A476)),"",INDIRECT("template!"&amp;"G"&amp;A476)))</f>
        <v>#REF!</v>
      </c>
      <c r="K476" t="e" cm="1">
        <f t="array" aca="1" ref="K476" ca="1">IF(OR(A476="",B476="safety"),"",IF(ISBLANK(INDIRECT("template!"&amp;"H"&amp;A476)),"",INDIRECT("template!"&amp;"H"&amp;A476)))</f>
        <v>#REF!</v>
      </c>
      <c r="L476" t="e" cm="1">
        <f t="array" aca="1" ref="L476" ca="1">IF(OR(A476="",B476="safety"),"",INDIRECT("template!"&amp;"I"&amp;A476))</f>
        <v>#REF!</v>
      </c>
      <c r="M476" t="e" cm="1">
        <f t="array" aca="1" ref="M476" ca="1">IF(OR(A476="",B476="safety"),"",INDIRECT("template!"&amp;"J"&amp;A476))</f>
        <v>#REF!</v>
      </c>
      <c r="N476" t="e" cm="1">
        <f t="array" aca="1" ref="N476" ca="1">IF(OR(A476="",B476="safety"),"",IF(ISBLANK(INDIRECT("template!"&amp;"K"&amp;A476)),"",INDIRECT("template!"&amp;"K"&amp;A476)))</f>
        <v>#REF!</v>
      </c>
      <c r="O476" t="e" cm="1">
        <f t="array" aca="1" ref="O476" ca="1">IF(OR(A476="",B476="safety"),"",INDIRECT("template!"&amp;"L"&amp;A476))</f>
        <v>#REF!</v>
      </c>
      <c r="P476" t="e" cm="1">
        <f t="array" aca="1" ref="P476" ca="1">IF(OR(A476="",B476="safety"),"",INDIRECT("template!"&amp;"M"&amp;A476))</f>
        <v>#REF!</v>
      </c>
      <c r="Q476" t="e">
        <f t="shared" ca="1" si="40"/>
        <v>#REF!</v>
      </c>
      <c r="R476" t="e">
        <f t="shared" ca="1" si="41"/>
        <v>#REF!</v>
      </c>
      <c r="S476" t="e">
        <f t="shared" ca="1" si="42"/>
        <v>#REF!</v>
      </c>
      <c r="T476" t="e">
        <f t="shared" ca="1" si="43"/>
        <v>#REF!</v>
      </c>
      <c r="U476" t="e" cm="1">
        <f t="array" aca="1" ref="U476" ca="1">IF(A476="","",IF(E476="","",IF(B476="safety",INDIRECT("template!"&amp;"P"&amp;A476),Q476+R476)))</f>
        <v>#REF!</v>
      </c>
      <c r="V476" t="e" cm="1">
        <f t="array" aca="1" ref="V476" ca="1">IF(A476="","",IF(E476="","",IF(B476="safety",INDIRECT("template!"&amp;"P"&amp;A476),S476+T476)))</f>
        <v>#REF!</v>
      </c>
      <c r="W476" t="e">
        <f ca="1">IF(A476="","",IF(E476="","",#REF!))</f>
        <v>#REF!</v>
      </c>
      <c r="X476" t="e">
        <f ca="1">IF(A476="","",IF(E476="","",#REF!))</f>
        <v>#REF!</v>
      </c>
      <c r="Y476" s="39" t="e">
        <f ca="1">IF(A476="","",IF(E476="","",#REF!))</f>
        <v>#REF!</v>
      </c>
      <c r="Z476" t="e">
        <f ca="1">IF(A476="","",IF(E476="","",#REF!))</f>
        <v>#REF!</v>
      </c>
      <c r="AA476" t="e">
        <f ca="1">IF(A476="","",IF(E476="","",#REF!))</f>
        <v>#REF!</v>
      </c>
      <c r="AB476" t="e">
        <f ca="1">IF(A476="","",IF(E476="","",#REF!))</f>
        <v>#REF!</v>
      </c>
      <c r="AC476" t="e">
        <f t="shared" ca="1" si="44"/>
        <v>#REF!</v>
      </c>
    </row>
    <row r="477" spans="1:29" x14ac:dyDescent="0.35">
      <c r="A477" t="e" cm="1">
        <f t="array" aca="1" ref="A477" ca="1">IF(A476="","",IF(OR(AND(A476+1&gt;=$AF$1,A476+1&lt;=$AF$2),AND(A476+1&gt;=$AF$6,A476+1&lt;=$AF$7),AND(A476+1&gt;=$AF$3,A476+1&lt;=$AF$4),AND(A476+1&gt;=$AF$8,A476+1&lt;=$AF$9),A476+1=$AF$5),IF(NOT(ISBLANK(INDIRECT("template!"&amp;"P"&amp;A476+1))),A476+1,IF(NOT(ISBLANK(INDIRECT("template!"&amp;"P"&amp;A476+2))),A476+2,A476+3)),IF(A476=$AF$2,$AF$3,IF(A476=$AF$4,$AF$5,IF(A476=$AF$5,$AF$6,IF(A476=$AF$7,$AF$8,""))))))</f>
        <v>#REF!</v>
      </c>
      <c r="B477" t="e">
        <f t="shared" ca="1" si="39"/>
        <v>#REF!</v>
      </c>
      <c r="C477" t="e" cm="1">
        <f t="array" aca="1" ref="C477" ca="1">IF(A477="","",IF(B477="safety","safety costs",INDIRECT("template!"&amp;"B"&amp;A477)))</f>
        <v>#REF!</v>
      </c>
      <c r="D477" t="e" cm="1">
        <f t="array" aca="1" ref="D477" ca="1">IF(OR(A477="",B477="safety"),"",INDIRECT("template!"&amp;"C"&amp;A477))</f>
        <v>#REF!</v>
      </c>
      <c r="E477" t="e" cm="1">
        <f t="array" aca="1" ref="E477" ca="1">IF(A477="","",IF(OR(A477=A476+1,A477=A476+2),E476,INDIRECT("template!"&amp;"D"&amp;A477-2)))</f>
        <v>#REF!</v>
      </c>
      <c r="F477" t="e" cm="1">
        <f t="array" aca="1" ref="F477" ca="1">IF(OR(A477="",B477="safety"),"",IF(ISBLANK(IF(A477=A476+1,F476,INDIRECT("template!"&amp;"D"&amp;A477-1))),"",IF(A477=A476+1,F476,INDIRECT("template!"&amp;"D"&amp;A477-1))))</f>
        <v>#REF!</v>
      </c>
      <c r="G477" t="e" cm="1">
        <f t="array" aca="1" ref="G477" ca="1">IF(OR(A477="",B477="safety"),"",IF(ISBLANK(INDIRECT("template!"&amp;"D"&amp;A477)),"",INDIRECT("template!"&amp;"D"&amp;A477)))</f>
        <v>#REF!</v>
      </c>
      <c r="H477" t="e" cm="1">
        <f t="array" aca="1" ref="H477" ca="1">IF(OR(A477="",B477="safety"),"",IF(ISBLANK(INDIRECT("template!"&amp;"E"&amp;A477)),"",INDIRECT("template!"&amp;"E"&amp;A477)))</f>
        <v>#REF!</v>
      </c>
      <c r="I477" t="e" cm="1">
        <f t="array" aca="1" ref="I477" ca="1">IF(OR(A477="",B477="safety"),"",IF(ISBLANK(INDIRECT("template!"&amp;"F"&amp;A477)),"",INDIRECT("template!"&amp;"F"&amp;A477)))</f>
        <v>#REF!</v>
      </c>
      <c r="J477" t="e" cm="1">
        <f t="array" aca="1" ref="J477" ca="1">IF(OR(A477="",B477="safety"),"",IF(ISBLANK(INDIRECT("template!"&amp;"G"&amp;A477)),"",INDIRECT("template!"&amp;"G"&amp;A477)))</f>
        <v>#REF!</v>
      </c>
      <c r="K477" t="e" cm="1">
        <f t="array" aca="1" ref="K477" ca="1">IF(OR(A477="",B477="safety"),"",IF(ISBLANK(INDIRECT("template!"&amp;"H"&amp;A477)),"",INDIRECT("template!"&amp;"H"&amp;A477)))</f>
        <v>#REF!</v>
      </c>
      <c r="L477" t="e" cm="1">
        <f t="array" aca="1" ref="L477" ca="1">IF(OR(A477="",B477="safety"),"",INDIRECT("template!"&amp;"I"&amp;A477))</f>
        <v>#REF!</v>
      </c>
      <c r="M477" t="e" cm="1">
        <f t="array" aca="1" ref="M477" ca="1">IF(OR(A477="",B477="safety"),"",INDIRECT("template!"&amp;"J"&amp;A477))</f>
        <v>#REF!</v>
      </c>
      <c r="N477" t="e" cm="1">
        <f t="array" aca="1" ref="N477" ca="1">IF(OR(A477="",B477="safety"),"",IF(ISBLANK(INDIRECT("template!"&amp;"K"&amp;A477)),"",INDIRECT("template!"&amp;"K"&amp;A477)))</f>
        <v>#REF!</v>
      </c>
      <c r="O477" t="e" cm="1">
        <f t="array" aca="1" ref="O477" ca="1">IF(OR(A477="",B477="safety"),"",INDIRECT("template!"&amp;"L"&amp;A477))</f>
        <v>#REF!</v>
      </c>
      <c r="P477" t="e" cm="1">
        <f t="array" aca="1" ref="P477" ca="1">IF(OR(A477="",B477="safety"),"",INDIRECT("template!"&amp;"M"&amp;A477))</f>
        <v>#REF!</v>
      </c>
      <c r="Q477" t="e">
        <f t="shared" ca="1" si="40"/>
        <v>#REF!</v>
      </c>
      <c r="R477" t="e">
        <f t="shared" ca="1" si="41"/>
        <v>#REF!</v>
      </c>
      <c r="S477" t="e">
        <f t="shared" ca="1" si="42"/>
        <v>#REF!</v>
      </c>
      <c r="T477" t="e">
        <f t="shared" ca="1" si="43"/>
        <v>#REF!</v>
      </c>
      <c r="U477" t="e" cm="1">
        <f t="array" aca="1" ref="U477" ca="1">IF(A477="","",IF(E477="","",IF(B477="safety",INDIRECT("template!"&amp;"P"&amp;A477),Q477+R477)))</f>
        <v>#REF!</v>
      </c>
      <c r="V477" t="e" cm="1">
        <f t="array" aca="1" ref="V477" ca="1">IF(A477="","",IF(E477="","",IF(B477="safety",INDIRECT("template!"&amp;"P"&amp;A477),S477+T477)))</f>
        <v>#REF!</v>
      </c>
      <c r="W477" t="e">
        <f ca="1">IF(A477="","",IF(E477="","",#REF!))</f>
        <v>#REF!</v>
      </c>
      <c r="X477" t="e">
        <f ca="1">IF(A477="","",IF(E477="","",#REF!))</f>
        <v>#REF!</v>
      </c>
      <c r="Y477" s="39" t="e">
        <f ca="1">IF(A477="","",IF(E477="","",#REF!))</f>
        <v>#REF!</v>
      </c>
      <c r="Z477" t="e">
        <f ca="1">IF(A477="","",IF(E477="","",#REF!))</f>
        <v>#REF!</v>
      </c>
      <c r="AA477" t="e">
        <f ca="1">IF(A477="","",IF(E477="","",#REF!))</f>
        <v>#REF!</v>
      </c>
      <c r="AB477" t="e">
        <f ca="1">IF(A477="","",IF(E477="","",#REF!))</f>
        <v>#REF!</v>
      </c>
      <c r="AC477" t="e">
        <f t="shared" ca="1" si="44"/>
        <v>#REF!</v>
      </c>
    </row>
    <row r="478" spans="1:29" x14ac:dyDescent="0.35">
      <c r="A478" t="e" cm="1">
        <f t="array" aca="1" ref="A478" ca="1">IF(A477="","",IF(OR(AND(A477+1&gt;=$AF$1,A477+1&lt;=$AF$2),AND(A477+1&gt;=$AF$6,A477+1&lt;=$AF$7),AND(A477+1&gt;=$AF$3,A477+1&lt;=$AF$4),AND(A477+1&gt;=$AF$8,A477+1&lt;=$AF$9),A477+1=$AF$5),IF(NOT(ISBLANK(INDIRECT("template!"&amp;"P"&amp;A477+1))),A477+1,IF(NOT(ISBLANK(INDIRECT("template!"&amp;"P"&amp;A477+2))),A477+2,A477+3)),IF(A477=$AF$2,$AF$3,IF(A477=$AF$4,$AF$5,IF(A477=$AF$5,$AF$6,IF(A477=$AF$7,$AF$8,""))))))</f>
        <v>#REF!</v>
      </c>
      <c r="B478" t="e">
        <f t="shared" ca="1" si="39"/>
        <v>#REF!</v>
      </c>
      <c r="C478" t="e" cm="1">
        <f t="array" aca="1" ref="C478" ca="1">IF(A478="","",IF(B478="safety","safety costs",INDIRECT("template!"&amp;"B"&amp;A478)))</f>
        <v>#REF!</v>
      </c>
      <c r="D478" t="e" cm="1">
        <f t="array" aca="1" ref="D478" ca="1">IF(OR(A478="",B478="safety"),"",INDIRECT("template!"&amp;"C"&amp;A478))</f>
        <v>#REF!</v>
      </c>
      <c r="E478" t="e" cm="1">
        <f t="array" aca="1" ref="E478" ca="1">IF(A478="","",IF(OR(A478=A477+1,A478=A477+2),E477,INDIRECT("template!"&amp;"D"&amp;A478-2)))</f>
        <v>#REF!</v>
      </c>
      <c r="F478" t="e" cm="1">
        <f t="array" aca="1" ref="F478" ca="1">IF(OR(A478="",B478="safety"),"",IF(ISBLANK(IF(A478=A477+1,F477,INDIRECT("template!"&amp;"D"&amp;A478-1))),"",IF(A478=A477+1,F477,INDIRECT("template!"&amp;"D"&amp;A478-1))))</f>
        <v>#REF!</v>
      </c>
      <c r="G478" t="e" cm="1">
        <f t="array" aca="1" ref="G478" ca="1">IF(OR(A478="",B478="safety"),"",IF(ISBLANK(INDIRECT("template!"&amp;"D"&amp;A478)),"",INDIRECT("template!"&amp;"D"&amp;A478)))</f>
        <v>#REF!</v>
      </c>
      <c r="H478" t="e" cm="1">
        <f t="array" aca="1" ref="H478" ca="1">IF(OR(A478="",B478="safety"),"",IF(ISBLANK(INDIRECT("template!"&amp;"E"&amp;A478)),"",INDIRECT("template!"&amp;"E"&amp;A478)))</f>
        <v>#REF!</v>
      </c>
      <c r="I478" t="e" cm="1">
        <f t="array" aca="1" ref="I478" ca="1">IF(OR(A478="",B478="safety"),"",IF(ISBLANK(INDIRECT("template!"&amp;"F"&amp;A478)),"",INDIRECT("template!"&amp;"F"&amp;A478)))</f>
        <v>#REF!</v>
      </c>
      <c r="J478" t="e" cm="1">
        <f t="array" aca="1" ref="J478" ca="1">IF(OR(A478="",B478="safety"),"",IF(ISBLANK(INDIRECT("template!"&amp;"G"&amp;A478)),"",INDIRECT("template!"&amp;"G"&amp;A478)))</f>
        <v>#REF!</v>
      </c>
      <c r="K478" t="e" cm="1">
        <f t="array" aca="1" ref="K478" ca="1">IF(OR(A478="",B478="safety"),"",IF(ISBLANK(INDIRECT("template!"&amp;"H"&amp;A478)),"",INDIRECT("template!"&amp;"H"&amp;A478)))</f>
        <v>#REF!</v>
      </c>
      <c r="L478" t="e" cm="1">
        <f t="array" aca="1" ref="L478" ca="1">IF(OR(A478="",B478="safety"),"",INDIRECT("template!"&amp;"I"&amp;A478))</f>
        <v>#REF!</v>
      </c>
      <c r="M478" t="e" cm="1">
        <f t="array" aca="1" ref="M478" ca="1">IF(OR(A478="",B478="safety"),"",INDIRECT("template!"&amp;"J"&amp;A478))</f>
        <v>#REF!</v>
      </c>
      <c r="N478" t="e" cm="1">
        <f t="array" aca="1" ref="N478" ca="1">IF(OR(A478="",B478="safety"),"",IF(ISBLANK(INDIRECT("template!"&amp;"K"&amp;A478)),"",INDIRECT("template!"&amp;"K"&amp;A478)))</f>
        <v>#REF!</v>
      </c>
      <c r="O478" t="e" cm="1">
        <f t="array" aca="1" ref="O478" ca="1">IF(OR(A478="",B478="safety"),"",INDIRECT("template!"&amp;"L"&amp;A478))</f>
        <v>#REF!</v>
      </c>
      <c r="P478" t="e" cm="1">
        <f t="array" aca="1" ref="P478" ca="1">IF(OR(A478="",B478="safety"),"",INDIRECT("template!"&amp;"M"&amp;A478))</f>
        <v>#REF!</v>
      </c>
      <c r="Q478" t="e">
        <f t="shared" ca="1" si="40"/>
        <v>#REF!</v>
      </c>
      <c r="R478" t="e">
        <f t="shared" ca="1" si="41"/>
        <v>#REF!</v>
      </c>
      <c r="S478" t="e">
        <f t="shared" ca="1" si="42"/>
        <v>#REF!</v>
      </c>
      <c r="T478" t="e">
        <f t="shared" ca="1" si="43"/>
        <v>#REF!</v>
      </c>
      <c r="U478" t="e" cm="1">
        <f t="array" aca="1" ref="U478" ca="1">IF(A478="","",IF(E478="","",IF(B478="safety",INDIRECT("template!"&amp;"P"&amp;A478),Q478+R478)))</f>
        <v>#REF!</v>
      </c>
      <c r="V478" t="e" cm="1">
        <f t="array" aca="1" ref="V478" ca="1">IF(A478="","",IF(E478="","",IF(B478="safety",INDIRECT("template!"&amp;"P"&amp;A478),S478+T478)))</f>
        <v>#REF!</v>
      </c>
      <c r="W478" t="e">
        <f ca="1">IF(A478="","",IF(E478="","",#REF!))</f>
        <v>#REF!</v>
      </c>
      <c r="X478" t="e">
        <f ca="1">IF(A478="","",IF(E478="","",#REF!))</f>
        <v>#REF!</v>
      </c>
      <c r="Y478" s="39" t="e">
        <f ca="1">IF(A478="","",IF(E478="","",#REF!))</f>
        <v>#REF!</v>
      </c>
      <c r="Z478" t="e">
        <f ca="1">IF(A478="","",IF(E478="","",#REF!))</f>
        <v>#REF!</v>
      </c>
      <c r="AA478" t="e">
        <f ca="1">IF(A478="","",IF(E478="","",#REF!))</f>
        <v>#REF!</v>
      </c>
      <c r="AB478" t="e">
        <f ca="1">IF(A478="","",IF(E478="","",#REF!))</f>
        <v>#REF!</v>
      </c>
      <c r="AC478" t="e">
        <f t="shared" ca="1" si="44"/>
        <v>#REF!</v>
      </c>
    </row>
    <row r="479" spans="1:29" x14ac:dyDescent="0.35">
      <c r="A479" t="e" cm="1">
        <f t="array" aca="1" ref="A479" ca="1">IF(A478="","",IF(OR(AND(A478+1&gt;=$AF$1,A478+1&lt;=$AF$2),AND(A478+1&gt;=$AF$6,A478+1&lt;=$AF$7),AND(A478+1&gt;=$AF$3,A478+1&lt;=$AF$4),AND(A478+1&gt;=$AF$8,A478+1&lt;=$AF$9),A478+1=$AF$5),IF(NOT(ISBLANK(INDIRECT("template!"&amp;"P"&amp;A478+1))),A478+1,IF(NOT(ISBLANK(INDIRECT("template!"&amp;"P"&amp;A478+2))),A478+2,A478+3)),IF(A478=$AF$2,$AF$3,IF(A478=$AF$4,$AF$5,IF(A478=$AF$5,$AF$6,IF(A478=$AF$7,$AF$8,""))))))</f>
        <v>#REF!</v>
      </c>
      <c r="B479" t="e">
        <f t="shared" ca="1" si="39"/>
        <v>#REF!</v>
      </c>
      <c r="C479" t="e" cm="1">
        <f t="array" aca="1" ref="C479" ca="1">IF(A479="","",IF(B479="safety","safety costs",INDIRECT("template!"&amp;"B"&amp;A479)))</f>
        <v>#REF!</v>
      </c>
      <c r="D479" t="e" cm="1">
        <f t="array" aca="1" ref="D479" ca="1">IF(OR(A479="",B479="safety"),"",INDIRECT("template!"&amp;"C"&amp;A479))</f>
        <v>#REF!</v>
      </c>
      <c r="E479" t="e" cm="1">
        <f t="array" aca="1" ref="E479" ca="1">IF(A479="","",IF(OR(A479=A478+1,A479=A478+2),E478,INDIRECT("template!"&amp;"D"&amp;A479-2)))</f>
        <v>#REF!</v>
      </c>
      <c r="F479" t="e" cm="1">
        <f t="array" aca="1" ref="F479" ca="1">IF(OR(A479="",B479="safety"),"",IF(ISBLANK(IF(A479=A478+1,F478,INDIRECT("template!"&amp;"D"&amp;A479-1))),"",IF(A479=A478+1,F478,INDIRECT("template!"&amp;"D"&amp;A479-1))))</f>
        <v>#REF!</v>
      </c>
      <c r="G479" t="e" cm="1">
        <f t="array" aca="1" ref="G479" ca="1">IF(OR(A479="",B479="safety"),"",IF(ISBLANK(INDIRECT("template!"&amp;"D"&amp;A479)),"",INDIRECT("template!"&amp;"D"&amp;A479)))</f>
        <v>#REF!</v>
      </c>
      <c r="H479" t="e" cm="1">
        <f t="array" aca="1" ref="H479" ca="1">IF(OR(A479="",B479="safety"),"",IF(ISBLANK(INDIRECT("template!"&amp;"E"&amp;A479)),"",INDIRECT("template!"&amp;"E"&amp;A479)))</f>
        <v>#REF!</v>
      </c>
      <c r="I479" t="e" cm="1">
        <f t="array" aca="1" ref="I479" ca="1">IF(OR(A479="",B479="safety"),"",IF(ISBLANK(INDIRECT("template!"&amp;"F"&amp;A479)),"",INDIRECT("template!"&amp;"F"&amp;A479)))</f>
        <v>#REF!</v>
      </c>
      <c r="J479" t="e" cm="1">
        <f t="array" aca="1" ref="J479" ca="1">IF(OR(A479="",B479="safety"),"",IF(ISBLANK(INDIRECT("template!"&amp;"G"&amp;A479)),"",INDIRECT("template!"&amp;"G"&amp;A479)))</f>
        <v>#REF!</v>
      </c>
      <c r="K479" t="e" cm="1">
        <f t="array" aca="1" ref="K479" ca="1">IF(OR(A479="",B479="safety"),"",IF(ISBLANK(INDIRECT("template!"&amp;"H"&amp;A479)),"",INDIRECT("template!"&amp;"H"&amp;A479)))</f>
        <v>#REF!</v>
      </c>
      <c r="L479" t="e" cm="1">
        <f t="array" aca="1" ref="L479" ca="1">IF(OR(A479="",B479="safety"),"",INDIRECT("template!"&amp;"I"&amp;A479))</f>
        <v>#REF!</v>
      </c>
      <c r="M479" t="e" cm="1">
        <f t="array" aca="1" ref="M479" ca="1">IF(OR(A479="",B479="safety"),"",INDIRECT("template!"&amp;"J"&amp;A479))</f>
        <v>#REF!</v>
      </c>
      <c r="N479" t="e" cm="1">
        <f t="array" aca="1" ref="N479" ca="1">IF(OR(A479="",B479="safety"),"",IF(ISBLANK(INDIRECT("template!"&amp;"K"&amp;A479)),"",INDIRECT("template!"&amp;"K"&amp;A479)))</f>
        <v>#REF!</v>
      </c>
      <c r="O479" t="e" cm="1">
        <f t="array" aca="1" ref="O479" ca="1">IF(OR(A479="",B479="safety"),"",INDIRECT("template!"&amp;"L"&amp;A479))</f>
        <v>#REF!</v>
      </c>
      <c r="P479" t="e" cm="1">
        <f t="array" aca="1" ref="P479" ca="1">IF(OR(A479="",B479="safety"),"",INDIRECT("template!"&amp;"M"&amp;A479))</f>
        <v>#REF!</v>
      </c>
      <c r="Q479" t="e">
        <f t="shared" ca="1" si="40"/>
        <v>#REF!</v>
      </c>
      <c r="R479" t="e">
        <f t="shared" ca="1" si="41"/>
        <v>#REF!</v>
      </c>
      <c r="S479" t="e">
        <f t="shared" ca="1" si="42"/>
        <v>#REF!</v>
      </c>
      <c r="T479" t="e">
        <f t="shared" ca="1" si="43"/>
        <v>#REF!</v>
      </c>
      <c r="U479" t="e" cm="1">
        <f t="array" aca="1" ref="U479" ca="1">IF(A479="","",IF(E479="","",IF(B479="safety",INDIRECT("template!"&amp;"P"&amp;A479),Q479+R479)))</f>
        <v>#REF!</v>
      </c>
      <c r="V479" t="e" cm="1">
        <f t="array" aca="1" ref="V479" ca="1">IF(A479="","",IF(E479="","",IF(B479="safety",INDIRECT("template!"&amp;"P"&amp;A479),S479+T479)))</f>
        <v>#REF!</v>
      </c>
      <c r="W479" t="e">
        <f ca="1">IF(A479="","",IF(E479="","",#REF!))</f>
        <v>#REF!</v>
      </c>
      <c r="X479" t="e">
        <f ca="1">IF(A479="","",IF(E479="","",#REF!))</f>
        <v>#REF!</v>
      </c>
      <c r="Y479" s="39" t="e">
        <f ca="1">IF(A479="","",IF(E479="","",#REF!))</f>
        <v>#REF!</v>
      </c>
      <c r="Z479" t="e">
        <f ca="1">IF(A479="","",IF(E479="","",#REF!))</f>
        <v>#REF!</v>
      </c>
      <c r="AA479" t="e">
        <f ca="1">IF(A479="","",IF(E479="","",#REF!))</f>
        <v>#REF!</v>
      </c>
      <c r="AB479" t="e">
        <f ca="1">IF(A479="","",IF(E479="","",#REF!))</f>
        <v>#REF!</v>
      </c>
      <c r="AC479" t="e">
        <f t="shared" ca="1" si="44"/>
        <v>#REF!</v>
      </c>
    </row>
    <row r="480" spans="1:29" x14ac:dyDescent="0.35">
      <c r="A480" t="e" cm="1">
        <f t="array" aca="1" ref="A480" ca="1">IF(A479="","",IF(OR(AND(A479+1&gt;=$AF$1,A479+1&lt;=$AF$2),AND(A479+1&gt;=$AF$6,A479+1&lt;=$AF$7),AND(A479+1&gt;=$AF$3,A479+1&lt;=$AF$4),AND(A479+1&gt;=$AF$8,A479+1&lt;=$AF$9),A479+1=$AF$5),IF(NOT(ISBLANK(INDIRECT("template!"&amp;"P"&amp;A479+1))),A479+1,IF(NOT(ISBLANK(INDIRECT("template!"&amp;"P"&amp;A479+2))),A479+2,A479+3)),IF(A479=$AF$2,$AF$3,IF(A479=$AF$4,$AF$5,IF(A479=$AF$5,$AF$6,IF(A479=$AF$7,$AF$8,""))))))</f>
        <v>#REF!</v>
      </c>
      <c r="B480" t="e">
        <f t="shared" ca="1" si="39"/>
        <v>#REF!</v>
      </c>
      <c r="C480" t="e" cm="1">
        <f t="array" aca="1" ref="C480" ca="1">IF(A480="","",IF(B480="safety","safety costs",INDIRECT("template!"&amp;"B"&amp;A480)))</f>
        <v>#REF!</v>
      </c>
      <c r="D480" t="e" cm="1">
        <f t="array" aca="1" ref="D480" ca="1">IF(OR(A480="",B480="safety"),"",INDIRECT("template!"&amp;"C"&amp;A480))</f>
        <v>#REF!</v>
      </c>
      <c r="E480" t="e" cm="1">
        <f t="array" aca="1" ref="E480" ca="1">IF(A480="","",IF(OR(A480=A479+1,A480=A479+2),E479,INDIRECT("template!"&amp;"D"&amp;A480-2)))</f>
        <v>#REF!</v>
      </c>
      <c r="F480" t="e" cm="1">
        <f t="array" aca="1" ref="F480" ca="1">IF(OR(A480="",B480="safety"),"",IF(ISBLANK(IF(A480=A479+1,F479,INDIRECT("template!"&amp;"D"&amp;A480-1))),"",IF(A480=A479+1,F479,INDIRECT("template!"&amp;"D"&amp;A480-1))))</f>
        <v>#REF!</v>
      </c>
      <c r="G480" t="e" cm="1">
        <f t="array" aca="1" ref="G480" ca="1">IF(OR(A480="",B480="safety"),"",IF(ISBLANK(INDIRECT("template!"&amp;"D"&amp;A480)),"",INDIRECT("template!"&amp;"D"&amp;A480)))</f>
        <v>#REF!</v>
      </c>
      <c r="H480" t="e" cm="1">
        <f t="array" aca="1" ref="H480" ca="1">IF(OR(A480="",B480="safety"),"",IF(ISBLANK(INDIRECT("template!"&amp;"E"&amp;A480)),"",INDIRECT("template!"&amp;"E"&amp;A480)))</f>
        <v>#REF!</v>
      </c>
      <c r="I480" t="e" cm="1">
        <f t="array" aca="1" ref="I480" ca="1">IF(OR(A480="",B480="safety"),"",IF(ISBLANK(INDIRECT("template!"&amp;"F"&amp;A480)),"",INDIRECT("template!"&amp;"F"&amp;A480)))</f>
        <v>#REF!</v>
      </c>
      <c r="J480" t="e" cm="1">
        <f t="array" aca="1" ref="J480" ca="1">IF(OR(A480="",B480="safety"),"",IF(ISBLANK(INDIRECT("template!"&amp;"G"&amp;A480)),"",INDIRECT("template!"&amp;"G"&amp;A480)))</f>
        <v>#REF!</v>
      </c>
      <c r="K480" t="e" cm="1">
        <f t="array" aca="1" ref="K480" ca="1">IF(OR(A480="",B480="safety"),"",IF(ISBLANK(INDIRECT("template!"&amp;"H"&amp;A480)),"",INDIRECT("template!"&amp;"H"&amp;A480)))</f>
        <v>#REF!</v>
      </c>
      <c r="L480" t="e" cm="1">
        <f t="array" aca="1" ref="L480" ca="1">IF(OR(A480="",B480="safety"),"",INDIRECT("template!"&amp;"I"&amp;A480))</f>
        <v>#REF!</v>
      </c>
      <c r="M480" t="e" cm="1">
        <f t="array" aca="1" ref="M480" ca="1">IF(OR(A480="",B480="safety"),"",INDIRECT("template!"&amp;"J"&amp;A480))</f>
        <v>#REF!</v>
      </c>
      <c r="N480" t="e" cm="1">
        <f t="array" aca="1" ref="N480" ca="1">IF(OR(A480="",B480="safety"),"",IF(ISBLANK(INDIRECT("template!"&amp;"K"&amp;A480)),"",INDIRECT("template!"&amp;"K"&amp;A480)))</f>
        <v>#REF!</v>
      </c>
      <c r="O480" t="e" cm="1">
        <f t="array" aca="1" ref="O480" ca="1">IF(OR(A480="",B480="safety"),"",INDIRECT("template!"&amp;"L"&amp;A480))</f>
        <v>#REF!</v>
      </c>
      <c r="P480" t="e" cm="1">
        <f t="array" aca="1" ref="P480" ca="1">IF(OR(A480="",B480="safety"),"",INDIRECT("template!"&amp;"M"&amp;A480))</f>
        <v>#REF!</v>
      </c>
      <c r="Q480" t="e">
        <f t="shared" ca="1" si="40"/>
        <v>#REF!</v>
      </c>
      <c r="R480" t="e">
        <f t="shared" ca="1" si="41"/>
        <v>#REF!</v>
      </c>
      <c r="S480" t="e">
        <f t="shared" ca="1" si="42"/>
        <v>#REF!</v>
      </c>
      <c r="T480" t="e">
        <f t="shared" ca="1" si="43"/>
        <v>#REF!</v>
      </c>
      <c r="U480" t="e" cm="1">
        <f t="array" aca="1" ref="U480" ca="1">IF(A480="","",IF(E480="","",IF(B480="safety",INDIRECT("template!"&amp;"P"&amp;A480),Q480+R480)))</f>
        <v>#REF!</v>
      </c>
      <c r="V480" t="e" cm="1">
        <f t="array" aca="1" ref="V480" ca="1">IF(A480="","",IF(E480="","",IF(B480="safety",INDIRECT("template!"&amp;"P"&amp;A480),S480+T480)))</f>
        <v>#REF!</v>
      </c>
      <c r="W480" t="e">
        <f ca="1">IF(A480="","",IF(E480="","",#REF!))</f>
        <v>#REF!</v>
      </c>
      <c r="X480" t="e">
        <f ca="1">IF(A480="","",IF(E480="","",#REF!))</f>
        <v>#REF!</v>
      </c>
      <c r="Y480" s="39" t="e">
        <f ca="1">IF(A480="","",IF(E480="","",#REF!))</f>
        <v>#REF!</v>
      </c>
      <c r="Z480" t="e">
        <f ca="1">IF(A480="","",IF(E480="","",#REF!))</f>
        <v>#REF!</v>
      </c>
      <c r="AA480" t="e">
        <f ca="1">IF(A480="","",IF(E480="","",#REF!))</f>
        <v>#REF!</v>
      </c>
      <c r="AB480" t="e">
        <f ca="1">IF(A480="","",IF(E480="","",#REF!))</f>
        <v>#REF!</v>
      </c>
      <c r="AC480" t="e">
        <f t="shared" ca="1" si="44"/>
        <v>#REF!</v>
      </c>
    </row>
    <row r="481" spans="1:29" x14ac:dyDescent="0.35">
      <c r="A481" t="e" cm="1">
        <f t="array" aca="1" ref="A481" ca="1">IF(A480="","",IF(OR(AND(A480+1&gt;=$AF$1,A480+1&lt;=$AF$2),AND(A480+1&gt;=$AF$6,A480+1&lt;=$AF$7),AND(A480+1&gt;=$AF$3,A480+1&lt;=$AF$4),AND(A480+1&gt;=$AF$8,A480+1&lt;=$AF$9),A480+1=$AF$5),IF(NOT(ISBLANK(INDIRECT("template!"&amp;"P"&amp;A480+1))),A480+1,IF(NOT(ISBLANK(INDIRECT("template!"&amp;"P"&amp;A480+2))),A480+2,A480+3)),IF(A480=$AF$2,$AF$3,IF(A480=$AF$4,$AF$5,IF(A480=$AF$5,$AF$6,IF(A480=$AF$7,$AF$8,""))))))</f>
        <v>#REF!</v>
      </c>
      <c r="B481" t="e">
        <f t="shared" ca="1" si="39"/>
        <v>#REF!</v>
      </c>
      <c r="C481" t="e" cm="1">
        <f t="array" aca="1" ref="C481" ca="1">IF(A481="","",IF(B481="safety","safety costs",INDIRECT("template!"&amp;"B"&amp;A481)))</f>
        <v>#REF!</v>
      </c>
      <c r="D481" t="e" cm="1">
        <f t="array" aca="1" ref="D481" ca="1">IF(OR(A481="",B481="safety"),"",INDIRECT("template!"&amp;"C"&amp;A481))</f>
        <v>#REF!</v>
      </c>
      <c r="E481" t="e" cm="1">
        <f t="array" aca="1" ref="E481" ca="1">IF(A481="","",IF(OR(A481=A480+1,A481=A480+2),E480,INDIRECT("template!"&amp;"D"&amp;A481-2)))</f>
        <v>#REF!</v>
      </c>
      <c r="F481" t="e" cm="1">
        <f t="array" aca="1" ref="F481" ca="1">IF(OR(A481="",B481="safety"),"",IF(ISBLANK(IF(A481=A480+1,F480,INDIRECT("template!"&amp;"D"&amp;A481-1))),"",IF(A481=A480+1,F480,INDIRECT("template!"&amp;"D"&amp;A481-1))))</f>
        <v>#REF!</v>
      </c>
      <c r="G481" t="e" cm="1">
        <f t="array" aca="1" ref="G481" ca="1">IF(OR(A481="",B481="safety"),"",IF(ISBLANK(INDIRECT("template!"&amp;"D"&amp;A481)),"",INDIRECT("template!"&amp;"D"&amp;A481)))</f>
        <v>#REF!</v>
      </c>
      <c r="H481" t="e" cm="1">
        <f t="array" aca="1" ref="H481" ca="1">IF(OR(A481="",B481="safety"),"",IF(ISBLANK(INDIRECT("template!"&amp;"E"&amp;A481)),"",INDIRECT("template!"&amp;"E"&amp;A481)))</f>
        <v>#REF!</v>
      </c>
      <c r="I481" t="e" cm="1">
        <f t="array" aca="1" ref="I481" ca="1">IF(OR(A481="",B481="safety"),"",IF(ISBLANK(INDIRECT("template!"&amp;"F"&amp;A481)),"",INDIRECT("template!"&amp;"F"&amp;A481)))</f>
        <v>#REF!</v>
      </c>
      <c r="J481" t="e" cm="1">
        <f t="array" aca="1" ref="J481" ca="1">IF(OR(A481="",B481="safety"),"",IF(ISBLANK(INDIRECT("template!"&amp;"G"&amp;A481)),"",INDIRECT("template!"&amp;"G"&amp;A481)))</f>
        <v>#REF!</v>
      </c>
      <c r="K481" t="e" cm="1">
        <f t="array" aca="1" ref="K481" ca="1">IF(OR(A481="",B481="safety"),"",IF(ISBLANK(INDIRECT("template!"&amp;"H"&amp;A481)),"",INDIRECT("template!"&amp;"H"&amp;A481)))</f>
        <v>#REF!</v>
      </c>
      <c r="L481" t="e" cm="1">
        <f t="array" aca="1" ref="L481" ca="1">IF(OR(A481="",B481="safety"),"",INDIRECT("template!"&amp;"I"&amp;A481))</f>
        <v>#REF!</v>
      </c>
      <c r="M481" t="e" cm="1">
        <f t="array" aca="1" ref="M481" ca="1">IF(OR(A481="",B481="safety"),"",INDIRECT("template!"&amp;"J"&amp;A481))</f>
        <v>#REF!</v>
      </c>
      <c r="N481" t="e" cm="1">
        <f t="array" aca="1" ref="N481" ca="1">IF(OR(A481="",B481="safety"),"",IF(ISBLANK(INDIRECT("template!"&amp;"K"&amp;A481)),"",INDIRECT("template!"&amp;"K"&amp;A481)))</f>
        <v>#REF!</v>
      </c>
      <c r="O481" t="e" cm="1">
        <f t="array" aca="1" ref="O481" ca="1">IF(OR(A481="",B481="safety"),"",INDIRECT("template!"&amp;"L"&amp;A481))</f>
        <v>#REF!</v>
      </c>
      <c r="P481" t="e" cm="1">
        <f t="array" aca="1" ref="P481" ca="1">IF(OR(A481="",B481="safety"),"",INDIRECT("template!"&amp;"M"&amp;A481))</f>
        <v>#REF!</v>
      </c>
      <c r="Q481" t="e">
        <f t="shared" ca="1" si="40"/>
        <v>#REF!</v>
      </c>
      <c r="R481" t="e">
        <f t="shared" ca="1" si="41"/>
        <v>#REF!</v>
      </c>
      <c r="S481" t="e">
        <f t="shared" ca="1" si="42"/>
        <v>#REF!</v>
      </c>
      <c r="T481" t="e">
        <f t="shared" ca="1" si="43"/>
        <v>#REF!</v>
      </c>
      <c r="U481" t="e" cm="1">
        <f t="array" aca="1" ref="U481" ca="1">IF(A481="","",IF(E481="","",IF(B481="safety",INDIRECT("template!"&amp;"P"&amp;A481),Q481+R481)))</f>
        <v>#REF!</v>
      </c>
      <c r="V481" t="e" cm="1">
        <f t="array" aca="1" ref="V481" ca="1">IF(A481="","",IF(E481="","",IF(B481="safety",INDIRECT("template!"&amp;"P"&amp;A481),S481+T481)))</f>
        <v>#REF!</v>
      </c>
      <c r="W481" t="e">
        <f ca="1">IF(A481="","",IF(E481="","",#REF!))</f>
        <v>#REF!</v>
      </c>
      <c r="X481" t="e">
        <f ca="1">IF(A481="","",IF(E481="","",#REF!))</f>
        <v>#REF!</v>
      </c>
      <c r="Y481" s="39" t="e">
        <f ca="1">IF(A481="","",IF(E481="","",#REF!))</f>
        <v>#REF!</v>
      </c>
      <c r="Z481" t="e">
        <f ca="1">IF(A481="","",IF(E481="","",#REF!))</f>
        <v>#REF!</v>
      </c>
      <c r="AA481" t="e">
        <f ca="1">IF(A481="","",IF(E481="","",#REF!))</f>
        <v>#REF!</v>
      </c>
      <c r="AB481" t="e">
        <f ca="1">IF(A481="","",IF(E481="","",#REF!))</f>
        <v>#REF!</v>
      </c>
      <c r="AC481" t="e">
        <f t="shared" ca="1" si="44"/>
        <v>#REF!</v>
      </c>
    </row>
    <row r="482" spans="1:29" x14ac:dyDescent="0.35">
      <c r="A482" t="e" cm="1">
        <f t="array" aca="1" ref="A482" ca="1">IF(A481="","",IF(OR(AND(A481+1&gt;=$AF$1,A481+1&lt;=$AF$2),AND(A481+1&gt;=$AF$6,A481+1&lt;=$AF$7),AND(A481+1&gt;=$AF$3,A481+1&lt;=$AF$4),AND(A481+1&gt;=$AF$8,A481+1&lt;=$AF$9),A481+1=$AF$5),IF(NOT(ISBLANK(INDIRECT("template!"&amp;"P"&amp;A481+1))),A481+1,IF(NOT(ISBLANK(INDIRECT("template!"&amp;"P"&amp;A481+2))),A481+2,A481+3)),IF(A481=$AF$2,$AF$3,IF(A481=$AF$4,$AF$5,IF(A481=$AF$5,$AF$6,IF(A481=$AF$7,$AF$8,""))))))</f>
        <v>#REF!</v>
      </c>
      <c r="B482" t="e">
        <f t="shared" ca="1" si="39"/>
        <v>#REF!</v>
      </c>
      <c r="C482" t="e" cm="1">
        <f t="array" aca="1" ref="C482" ca="1">IF(A482="","",IF(B482="safety","safety costs",INDIRECT("template!"&amp;"B"&amp;A482)))</f>
        <v>#REF!</v>
      </c>
      <c r="D482" t="e" cm="1">
        <f t="array" aca="1" ref="D482" ca="1">IF(OR(A482="",B482="safety"),"",INDIRECT("template!"&amp;"C"&amp;A482))</f>
        <v>#REF!</v>
      </c>
      <c r="E482" t="e" cm="1">
        <f t="array" aca="1" ref="E482" ca="1">IF(A482="","",IF(OR(A482=A481+1,A482=A481+2),E481,INDIRECT("template!"&amp;"D"&amp;A482-2)))</f>
        <v>#REF!</v>
      </c>
      <c r="F482" t="e" cm="1">
        <f t="array" aca="1" ref="F482" ca="1">IF(OR(A482="",B482="safety"),"",IF(ISBLANK(IF(A482=A481+1,F481,INDIRECT("template!"&amp;"D"&amp;A482-1))),"",IF(A482=A481+1,F481,INDIRECT("template!"&amp;"D"&amp;A482-1))))</f>
        <v>#REF!</v>
      </c>
      <c r="G482" t="e" cm="1">
        <f t="array" aca="1" ref="G482" ca="1">IF(OR(A482="",B482="safety"),"",IF(ISBLANK(INDIRECT("template!"&amp;"D"&amp;A482)),"",INDIRECT("template!"&amp;"D"&amp;A482)))</f>
        <v>#REF!</v>
      </c>
      <c r="H482" t="e" cm="1">
        <f t="array" aca="1" ref="H482" ca="1">IF(OR(A482="",B482="safety"),"",IF(ISBLANK(INDIRECT("template!"&amp;"E"&amp;A482)),"",INDIRECT("template!"&amp;"E"&amp;A482)))</f>
        <v>#REF!</v>
      </c>
      <c r="I482" t="e" cm="1">
        <f t="array" aca="1" ref="I482" ca="1">IF(OR(A482="",B482="safety"),"",IF(ISBLANK(INDIRECT("template!"&amp;"F"&amp;A482)),"",INDIRECT("template!"&amp;"F"&amp;A482)))</f>
        <v>#REF!</v>
      </c>
      <c r="J482" t="e" cm="1">
        <f t="array" aca="1" ref="J482" ca="1">IF(OR(A482="",B482="safety"),"",IF(ISBLANK(INDIRECT("template!"&amp;"G"&amp;A482)),"",INDIRECT("template!"&amp;"G"&amp;A482)))</f>
        <v>#REF!</v>
      </c>
      <c r="K482" t="e" cm="1">
        <f t="array" aca="1" ref="K482" ca="1">IF(OR(A482="",B482="safety"),"",IF(ISBLANK(INDIRECT("template!"&amp;"H"&amp;A482)),"",INDIRECT("template!"&amp;"H"&amp;A482)))</f>
        <v>#REF!</v>
      </c>
      <c r="L482" t="e" cm="1">
        <f t="array" aca="1" ref="L482" ca="1">IF(OR(A482="",B482="safety"),"",INDIRECT("template!"&amp;"I"&amp;A482))</f>
        <v>#REF!</v>
      </c>
      <c r="M482" t="e" cm="1">
        <f t="array" aca="1" ref="M482" ca="1">IF(OR(A482="",B482="safety"),"",INDIRECT("template!"&amp;"J"&amp;A482))</f>
        <v>#REF!</v>
      </c>
      <c r="N482" t="e" cm="1">
        <f t="array" aca="1" ref="N482" ca="1">IF(OR(A482="",B482="safety"),"",IF(ISBLANK(INDIRECT("template!"&amp;"K"&amp;A482)),"",INDIRECT("template!"&amp;"K"&amp;A482)))</f>
        <v>#REF!</v>
      </c>
      <c r="O482" t="e" cm="1">
        <f t="array" aca="1" ref="O482" ca="1">IF(OR(A482="",B482="safety"),"",INDIRECT("template!"&amp;"L"&amp;A482))</f>
        <v>#REF!</v>
      </c>
      <c r="P482" t="e" cm="1">
        <f t="array" aca="1" ref="P482" ca="1">IF(OR(A482="",B482="safety"),"",INDIRECT("template!"&amp;"M"&amp;A482))</f>
        <v>#REF!</v>
      </c>
      <c r="Q482" t="e">
        <f t="shared" ca="1" si="40"/>
        <v>#REF!</v>
      </c>
      <c r="R482" t="e">
        <f t="shared" ca="1" si="41"/>
        <v>#REF!</v>
      </c>
      <c r="S482" t="e">
        <f t="shared" ca="1" si="42"/>
        <v>#REF!</v>
      </c>
      <c r="T482" t="e">
        <f t="shared" ca="1" si="43"/>
        <v>#REF!</v>
      </c>
      <c r="U482" t="e" cm="1">
        <f t="array" aca="1" ref="U482" ca="1">IF(A482="","",IF(E482="","",IF(B482="safety",INDIRECT("template!"&amp;"P"&amp;A482),Q482+R482)))</f>
        <v>#REF!</v>
      </c>
      <c r="V482" t="e" cm="1">
        <f t="array" aca="1" ref="V482" ca="1">IF(A482="","",IF(E482="","",IF(B482="safety",INDIRECT("template!"&amp;"P"&amp;A482),S482+T482)))</f>
        <v>#REF!</v>
      </c>
      <c r="W482" t="e">
        <f ca="1">IF(A482="","",IF(E482="","",#REF!))</f>
        <v>#REF!</v>
      </c>
      <c r="X482" t="e">
        <f ca="1">IF(A482="","",IF(E482="","",#REF!))</f>
        <v>#REF!</v>
      </c>
      <c r="Y482" s="39" t="e">
        <f ca="1">IF(A482="","",IF(E482="","",#REF!))</f>
        <v>#REF!</v>
      </c>
      <c r="Z482" t="e">
        <f ca="1">IF(A482="","",IF(E482="","",#REF!))</f>
        <v>#REF!</v>
      </c>
      <c r="AA482" t="e">
        <f ca="1">IF(A482="","",IF(E482="","",#REF!))</f>
        <v>#REF!</v>
      </c>
      <c r="AB482" t="e">
        <f ca="1">IF(A482="","",IF(E482="","",#REF!))</f>
        <v>#REF!</v>
      </c>
      <c r="AC482" t="e">
        <f t="shared" ca="1" si="44"/>
        <v>#REF!</v>
      </c>
    </row>
    <row r="483" spans="1:29" x14ac:dyDescent="0.35">
      <c r="A483" t="e" cm="1">
        <f t="array" aca="1" ref="A483" ca="1">IF(A482="","",IF(OR(AND(A482+1&gt;=$AF$1,A482+1&lt;=$AF$2),AND(A482+1&gt;=$AF$6,A482+1&lt;=$AF$7),AND(A482+1&gt;=$AF$3,A482+1&lt;=$AF$4),AND(A482+1&gt;=$AF$8,A482+1&lt;=$AF$9),A482+1=$AF$5),IF(NOT(ISBLANK(INDIRECT("template!"&amp;"P"&amp;A482+1))),A482+1,IF(NOT(ISBLANK(INDIRECT("template!"&amp;"P"&amp;A482+2))),A482+2,A482+3)),IF(A482=$AF$2,$AF$3,IF(A482=$AF$4,$AF$5,IF(A482=$AF$5,$AF$6,IF(A482=$AF$7,$AF$8,""))))))</f>
        <v>#REF!</v>
      </c>
      <c r="B483" t="e">
        <f t="shared" ca="1" si="39"/>
        <v>#REF!</v>
      </c>
      <c r="C483" t="e" cm="1">
        <f t="array" aca="1" ref="C483" ca="1">IF(A483="","",IF(B483="safety","safety costs",INDIRECT("template!"&amp;"B"&amp;A483)))</f>
        <v>#REF!</v>
      </c>
      <c r="D483" t="e" cm="1">
        <f t="array" aca="1" ref="D483" ca="1">IF(OR(A483="",B483="safety"),"",INDIRECT("template!"&amp;"C"&amp;A483))</f>
        <v>#REF!</v>
      </c>
      <c r="E483" t="e" cm="1">
        <f t="array" aca="1" ref="E483" ca="1">IF(A483="","",IF(OR(A483=A482+1,A483=A482+2),E482,INDIRECT("template!"&amp;"D"&amp;A483-2)))</f>
        <v>#REF!</v>
      </c>
      <c r="F483" t="e" cm="1">
        <f t="array" aca="1" ref="F483" ca="1">IF(OR(A483="",B483="safety"),"",IF(ISBLANK(IF(A483=A482+1,F482,INDIRECT("template!"&amp;"D"&amp;A483-1))),"",IF(A483=A482+1,F482,INDIRECT("template!"&amp;"D"&amp;A483-1))))</f>
        <v>#REF!</v>
      </c>
      <c r="G483" t="e" cm="1">
        <f t="array" aca="1" ref="G483" ca="1">IF(OR(A483="",B483="safety"),"",IF(ISBLANK(INDIRECT("template!"&amp;"D"&amp;A483)),"",INDIRECT("template!"&amp;"D"&amp;A483)))</f>
        <v>#REF!</v>
      </c>
      <c r="H483" t="e" cm="1">
        <f t="array" aca="1" ref="H483" ca="1">IF(OR(A483="",B483="safety"),"",IF(ISBLANK(INDIRECT("template!"&amp;"E"&amp;A483)),"",INDIRECT("template!"&amp;"E"&amp;A483)))</f>
        <v>#REF!</v>
      </c>
      <c r="I483" t="e" cm="1">
        <f t="array" aca="1" ref="I483" ca="1">IF(OR(A483="",B483="safety"),"",IF(ISBLANK(INDIRECT("template!"&amp;"F"&amp;A483)),"",INDIRECT("template!"&amp;"F"&amp;A483)))</f>
        <v>#REF!</v>
      </c>
      <c r="J483" t="e" cm="1">
        <f t="array" aca="1" ref="J483" ca="1">IF(OR(A483="",B483="safety"),"",IF(ISBLANK(INDIRECT("template!"&amp;"G"&amp;A483)),"",INDIRECT("template!"&amp;"G"&amp;A483)))</f>
        <v>#REF!</v>
      </c>
      <c r="K483" t="e" cm="1">
        <f t="array" aca="1" ref="K483" ca="1">IF(OR(A483="",B483="safety"),"",IF(ISBLANK(INDIRECT("template!"&amp;"H"&amp;A483)),"",INDIRECT("template!"&amp;"H"&amp;A483)))</f>
        <v>#REF!</v>
      </c>
      <c r="L483" t="e" cm="1">
        <f t="array" aca="1" ref="L483" ca="1">IF(OR(A483="",B483="safety"),"",INDIRECT("template!"&amp;"I"&amp;A483))</f>
        <v>#REF!</v>
      </c>
      <c r="M483" t="e" cm="1">
        <f t="array" aca="1" ref="M483" ca="1">IF(OR(A483="",B483="safety"),"",INDIRECT("template!"&amp;"J"&amp;A483))</f>
        <v>#REF!</v>
      </c>
      <c r="N483" t="e" cm="1">
        <f t="array" aca="1" ref="N483" ca="1">IF(OR(A483="",B483="safety"),"",IF(ISBLANK(INDIRECT("template!"&amp;"K"&amp;A483)),"",INDIRECT("template!"&amp;"K"&amp;A483)))</f>
        <v>#REF!</v>
      </c>
      <c r="O483" t="e" cm="1">
        <f t="array" aca="1" ref="O483" ca="1">IF(OR(A483="",B483="safety"),"",INDIRECT("template!"&amp;"L"&amp;A483))</f>
        <v>#REF!</v>
      </c>
      <c r="P483" t="e" cm="1">
        <f t="array" aca="1" ref="P483" ca="1">IF(OR(A483="",B483="safety"),"",INDIRECT("template!"&amp;"M"&amp;A483))</f>
        <v>#REF!</v>
      </c>
      <c r="Q483" t="e">
        <f t="shared" ca="1" si="40"/>
        <v>#REF!</v>
      </c>
      <c r="R483" t="e">
        <f t="shared" ca="1" si="41"/>
        <v>#REF!</v>
      </c>
      <c r="S483" t="e">
        <f t="shared" ca="1" si="42"/>
        <v>#REF!</v>
      </c>
      <c r="T483" t="e">
        <f t="shared" ca="1" si="43"/>
        <v>#REF!</v>
      </c>
      <c r="U483" t="e" cm="1">
        <f t="array" aca="1" ref="U483" ca="1">IF(A483="","",IF(E483="","",IF(B483="safety",INDIRECT("template!"&amp;"P"&amp;A483),Q483+R483)))</f>
        <v>#REF!</v>
      </c>
      <c r="V483" t="e" cm="1">
        <f t="array" aca="1" ref="V483" ca="1">IF(A483="","",IF(E483="","",IF(B483="safety",INDIRECT("template!"&amp;"P"&amp;A483),S483+T483)))</f>
        <v>#REF!</v>
      </c>
      <c r="W483" t="e">
        <f ca="1">IF(A483="","",IF(E483="","",#REF!))</f>
        <v>#REF!</v>
      </c>
      <c r="X483" t="e">
        <f ca="1">IF(A483="","",IF(E483="","",#REF!))</f>
        <v>#REF!</v>
      </c>
      <c r="Y483" s="39" t="e">
        <f ca="1">IF(A483="","",IF(E483="","",#REF!))</f>
        <v>#REF!</v>
      </c>
      <c r="Z483" t="e">
        <f ca="1">IF(A483="","",IF(E483="","",#REF!))</f>
        <v>#REF!</v>
      </c>
      <c r="AA483" t="e">
        <f ca="1">IF(A483="","",IF(E483="","",#REF!))</f>
        <v>#REF!</v>
      </c>
      <c r="AB483" t="e">
        <f ca="1">IF(A483="","",IF(E483="","",#REF!))</f>
        <v>#REF!</v>
      </c>
      <c r="AC483" t="e">
        <f t="shared" ca="1" si="44"/>
        <v>#REF!</v>
      </c>
    </row>
    <row r="484" spans="1:29" x14ac:dyDescent="0.35">
      <c r="A484" t="e" cm="1">
        <f t="array" aca="1" ref="A484" ca="1">IF(A483="","",IF(OR(AND(A483+1&gt;=$AF$1,A483+1&lt;=$AF$2),AND(A483+1&gt;=$AF$6,A483+1&lt;=$AF$7),AND(A483+1&gt;=$AF$3,A483+1&lt;=$AF$4),AND(A483+1&gt;=$AF$8,A483+1&lt;=$AF$9),A483+1=$AF$5),IF(NOT(ISBLANK(INDIRECT("template!"&amp;"P"&amp;A483+1))),A483+1,IF(NOT(ISBLANK(INDIRECT("template!"&amp;"P"&amp;A483+2))),A483+2,A483+3)),IF(A483=$AF$2,$AF$3,IF(A483=$AF$4,$AF$5,IF(A483=$AF$5,$AF$6,IF(A483=$AF$7,$AF$8,""))))))</f>
        <v>#REF!</v>
      </c>
      <c r="B484" t="e">
        <f t="shared" ca="1" si="39"/>
        <v>#REF!</v>
      </c>
      <c r="C484" t="e" cm="1">
        <f t="array" aca="1" ref="C484" ca="1">IF(A484="","",IF(B484="safety","safety costs",INDIRECT("template!"&amp;"B"&amp;A484)))</f>
        <v>#REF!</v>
      </c>
      <c r="D484" t="e" cm="1">
        <f t="array" aca="1" ref="D484" ca="1">IF(OR(A484="",B484="safety"),"",INDIRECT("template!"&amp;"C"&amp;A484))</f>
        <v>#REF!</v>
      </c>
      <c r="E484" t="e" cm="1">
        <f t="array" aca="1" ref="E484" ca="1">IF(A484="","",IF(OR(A484=A483+1,A484=A483+2),E483,INDIRECT("template!"&amp;"D"&amp;A484-2)))</f>
        <v>#REF!</v>
      </c>
      <c r="F484" t="e" cm="1">
        <f t="array" aca="1" ref="F484" ca="1">IF(OR(A484="",B484="safety"),"",IF(ISBLANK(IF(A484=A483+1,F483,INDIRECT("template!"&amp;"D"&amp;A484-1))),"",IF(A484=A483+1,F483,INDIRECT("template!"&amp;"D"&amp;A484-1))))</f>
        <v>#REF!</v>
      </c>
      <c r="G484" t="e" cm="1">
        <f t="array" aca="1" ref="G484" ca="1">IF(OR(A484="",B484="safety"),"",IF(ISBLANK(INDIRECT("template!"&amp;"D"&amp;A484)),"",INDIRECT("template!"&amp;"D"&amp;A484)))</f>
        <v>#REF!</v>
      </c>
      <c r="H484" t="e" cm="1">
        <f t="array" aca="1" ref="H484" ca="1">IF(OR(A484="",B484="safety"),"",IF(ISBLANK(INDIRECT("template!"&amp;"E"&amp;A484)),"",INDIRECT("template!"&amp;"E"&amp;A484)))</f>
        <v>#REF!</v>
      </c>
      <c r="I484" t="e" cm="1">
        <f t="array" aca="1" ref="I484" ca="1">IF(OR(A484="",B484="safety"),"",IF(ISBLANK(INDIRECT("template!"&amp;"F"&amp;A484)),"",INDIRECT("template!"&amp;"F"&amp;A484)))</f>
        <v>#REF!</v>
      </c>
      <c r="J484" t="e" cm="1">
        <f t="array" aca="1" ref="J484" ca="1">IF(OR(A484="",B484="safety"),"",IF(ISBLANK(INDIRECT("template!"&amp;"G"&amp;A484)),"",INDIRECT("template!"&amp;"G"&amp;A484)))</f>
        <v>#REF!</v>
      </c>
      <c r="K484" t="e" cm="1">
        <f t="array" aca="1" ref="K484" ca="1">IF(OR(A484="",B484="safety"),"",IF(ISBLANK(INDIRECT("template!"&amp;"H"&amp;A484)),"",INDIRECT("template!"&amp;"H"&amp;A484)))</f>
        <v>#REF!</v>
      </c>
      <c r="L484" t="e" cm="1">
        <f t="array" aca="1" ref="L484" ca="1">IF(OR(A484="",B484="safety"),"",INDIRECT("template!"&amp;"I"&amp;A484))</f>
        <v>#REF!</v>
      </c>
      <c r="M484" t="e" cm="1">
        <f t="array" aca="1" ref="M484" ca="1">IF(OR(A484="",B484="safety"),"",INDIRECT("template!"&amp;"J"&amp;A484))</f>
        <v>#REF!</v>
      </c>
      <c r="N484" t="e" cm="1">
        <f t="array" aca="1" ref="N484" ca="1">IF(OR(A484="",B484="safety"),"",IF(ISBLANK(INDIRECT("template!"&amp;"K"&amp;A484)),"",INDIRECT("template!"&amp;"K"&amp;A484)))</f>
        <v>#REF!</v>
      </c>
      <c r="O484" t="e" cm="1">
        <f t="array" aca="1" ref="O484" ca="1">IF(OR(A484="",B484="safety"),"",INDIRECT("template!"&amp;"L"&amp;A484))</f>
        <v>#REF!</v>
      </c>
      <c r="P484" t="e" cm="1">
        <f t="array" aca="1" ref="P484" ca="1">IF(OR(A484="",B484="safety"),"",INDIRECT("template!"&amp;"M"&amp;A484))</f>
        <v>#REF!</v>
      </c>
      <c r="Q484" t="e">
        <f t="shared" ca="1" si="40"/>
        <v>#REF!</v>
      </c>
      <c r="R484" t="e">
        <f t="shared" ca="1" si="41"/>
        <v>#REF!</v>
      </c>
      <c r="S484" t="e">
        <f t="shared" ca="1" si="42"/>
        <v>#REF!</v>
      </c>
      <c r="T484" t="e">
        <f t="shared" ca="1" si="43"/>
        <v>#REF!</v>
      </c>
      <c r="U484" t="e" cm="1">
        <f t="array" aca="1" ref="U484" ca="1">IF(A484="","",IF(E484="","",IF(B484="safety",INDIRECT("template!"&amp;"P"&amp;A484),Q484+R484)))</f>
        <v>#REF!</v>
      </c>
      <c r="V484" t="e" cm="1">
        <f t="array" aca="1" ref="V484" ca="1">IF(A484="","",IF(E484="","",IF(B484="safety",INDIRECT("template!"&amp;"P"&amp;A484),S484+T484)))</f>
        <v>#REF!</v>
      </c>
      <c r="W484" t="e">
        <f ca="1">IF(A484="","",IF(E484="","",#REF!))</f>
        <v>#REF!</v>
      </c>
      <c r="X484" t="e">
        <f ca="1">IF(A484="","",IF(E484="","",#REF!))</f>
        <v>#REF!</v>
      </c>
      <c r="Y484" s="39" t="e">
        <f ca="1">IF(A484="","",IF(E484="","",#REF!))</f>
        <v>#REF!</v>
      </c>
      <c r="Z484" t="e">
        <f ca="1">IF(A484="","",IF(E484="","",#REF!))</f>
        <v>#REF!</v>
      </c>
      <c r="AA484" t="e">
        <f ca="1">IF(A484="","",IF(E484="","",#REF!))</f>
        <v>#REF!</v>
      </c>
      <c r="AB484" t="e">
        <f ca="1">IF(A484="","",IF(E484="","",#REF!))</f>
        <v>#REF!</v>
      </c>
      <c r="AC484" t="e">
        <f t="shared" ca="1" si="44"/>
        <v>#REF!</v>
      </c>
    </row>
    <row r="485" spans="1:29" x14ac:dyDescent="0.35">
      <c r="A485" t="e" cm="1">
        <f t="array" aca="1" ref="A485" ca="1">IF(A484="","",IF(OR(AND(A484+1&gt;=$AF$1,A484+1&lt;=$AF$2),AND(A484+1&gt;=$AF$6,A484+1&lt;=$AF$7),AND(A484+1&gt;=$AF$3,A484+1&lt;=$AF$4),AND(A484+1&gt;=$AF$8,A484+1&lt;=$AF$9),A484+1=$AF$5),IF(NOT(ISBLANK(INDIRECT("template!"&amp;"P"&amp;A484+1))),A484+1,IF(NOT(ISBLANK(INDIRECT("template!"&amp;"P"&amp;A484+2))),A484+2,A484+3)),IF(A484=$AF$2,$AF$3,IF(A484=$AF$4,$AF$5,IF(A484=$AF$5,$AF$6,IF(A484=$AF$7,$AF$8,""))))))</f>
        <v>#REF!</v>
      </c>
      <c r="B485" t="e">
        <f t="shared" ca="1" si="39"/>
        <v>#REF!</v>
      </c>
      <c r="C485" t="e" cm="1">
        <f t="array" aca="1" ref="C485" ca="1">IF(A485="","",IF(B485="safety","safety costs",INDIRECT("template!"&amp;"B"&amp;A485)))</f>
        <v>#REF!</v>
      </c>
      <c r="D485" t="e" cm="1">
        <f t="array" aca="1" ref="D485" ca="1">IF(OR(A485="",B485="safety"),"",INDIRECT("template!"&amp;"C"&amp;A485))</f>
        <v>#REF!</v>
      </c>
      <c r="E485" t="e" cm="1">
        <f t="array" aca="1" ref="E485" ca="1">IF(A485="","",IF(OR(A485=A484+1,A485=A484+2),E484,INDIRECT("template!"&amp;"D"&amp;A485-2)))</f>
        <v>#REF!</v>
      </c>
      <c r="F485" t="e" cm="1">
        <f t="array" aca="1" ref="F485" ca="1">IF(OR(A485="",B485="safety"),"",IF(ISBLANK(IF(A485=A484+1,F484,INDIRECT("template!"&amp;"D"&amp;A485-1))),"",IF(A485=A484+1,F484,INDIRECT("template!"&amp;"D"&amp;A485-1))))</f>
        <v>#REF!</v>
      </c>
      <c r="G485" t="e" cm="1">
        <f t="array" aca="1" ref="G485" ca="1">IF(OR(A485="",B485="safety"),"",IF(ISBLANK(INDIRECT("template!"&amp;"D"&amp;A485)),"",INDIRECT("template!"&amp;"D"&amp;A485)))</f>
        <v>#REF!</v>
      </c>
      <c r="H485" t="e" cm="1">
        <f t="array" aca="1" ref="H485" ca="1">IF(OR(A485="",B485="safety"),"",IF(ISBLANK(INDIRECT("template!"&amp;"E"&amp;A485)),"",INDIRECT("template!"&amp;"E"&amp;A485)))</f>
        <v>#REF!</v>
      </c>
      <c r="I485" t="e" cm="1">
        <f t="array" aca="1" ref="I485" ca="1">IF(OR(A485="",B485="safety"),"",IF(ISBLANK(INDIRECT("template!"&amp;"F"&amp;A485)),"",INDIRECT("template!"&amp;"F"&amp;A485)))</f>
        <v>#REF!</v>
      </c>
      <c r="J485" t="e" cm="1">
        <f t="array" aca="1" ref="J485" ca="1">IF(OR(A485="",B485="safety"),"",IF(ISBLANK(INDIRECT("template!"&amp;"G"&amp;A485)),"",INDIRECT("template!"&amp;"G"&amp;A485)))</f>
        <v>#REF!</v>
      </c>
      <c r="K485" t="e" cm="1">
        <f t="array" aca="1" ref="K485" ca="1">IF(OR(A485="",B485="safety"),"",IF(ISBLANK(INDIRECT("template!"&amp;"H"&amp;A485)),"",INDIRECT("template!"&amp;"H"&amp;A485)))</f>
        <v>#REF!</v>
      </c>
      <c r="L485" t="e" cm="1">
        <f t="array" aca="1" ref="L485" ca="1">IF(OR(A485="",B485="safety"),"",INDIRECT("template!"&amp;"I"&amp;A485))</f>
        <v>#REF!</v>
      </c>
      <c r="M485" t="e" cm="1">
        <f t="array" aca="1" ref="M485" ca="1">IF(OR(A485="",B485="safety"),"",INDIRECT("template!"&amp;"J"&amp;A485))</f>
        <v>#REF!</v>
      </c>
      <c r="N485" t="e" cm="1">
        <f t="array" aca="1" ref="N485" ca="1">IF(OR(A485="",B485="safety"),"",IF(ISBLANK(INDIRECT("template!"&amp;"K"&amp;A485)),"",INDIRECT("template!"&amp;"K"&amp;A485)))</f>
        <v>#REF!</v>
      </c>
      <c r="O485" t="e" cm="1">
        <f t="array" aca="1" ref="O485" ca="1">IF(OR(A485="",B485="safety"),"",INDIRECT("template!"&amp;"L"&amp;A485))</f>
        <v>#REF!</v>
      </c>
      <c r="P485" t="e" cm="1">
        <f t="array" aca="1" ref="P485" ca="1">IF(OR(A485="",B485="safety"),"",INDIRECT("template!"&amp;"M"&amp;A485))</f>
        <v>#REF!</v>
      </c>
      <c r="Q485" t="e">
        <f t="shared" ca="1" si="40"/>
        <v>#REF!</v>
      </c>
      <c r="R485" t="e">
        <f t="shared" ca="1" si="41"/>
        <v>#REF!</v>
      </c>
      <c r="S485" t="e">
        <f t="shared" ca="1" si="42"/>
        <v>#REF!</v>
      </c>
      <c r="T485" t="e">
        <f t="shared" ca="1" si="43"/>
        <v>#REF!</v>
      </c>
      <c r="U485" t="e" cm="1">
        <f t="array" aca="1" ref="U485" ca="1">IF(A485="","",IF(E485="","",IF(B485="safety",INDIRECT("template!"&amp;"P"&amp;A485),Q485+R485)))</f>
        <v>#REF!</v>
      </c>
      <c r="V485" t="e" cm="1">
        <f t="array" aca="1" ref="V485" ca="1">IF(A485="","",IF(E485="","",IF(B485="safety",INDIRECT("template!"&amp;"P"&amp;A485),S485+T485)))</f>
        <v>#REF!</v>
      </c>
      <c r="W485" t="e">
        <f ca="1">IF(A485="","",IF(E485="","",#REF!))</f>
        <v>#REF!</v>
      </c>
      <c r="X485" t="e">
        <f ca="1">IF(A485="","",IF(E485="","",#REF!))</f>
        <v>#REF!</v>
      </c>
      <c r="Y485" s="39" t="e">
        <f ca="1">IF(A485="","",IF(E485="","",#REF!))</f>
        <v>#REF!</v>
      </c>
      <c r="Z485" t="e">
        <f ca="1">IF(A485="","",IF(E485="","",#REF!))</f>
        <v>#REF!</v>
      </c>
      <c r="AA485" t="e">
        <f ca="1">IF(A485="","",IF(E485="","",#REF!))</f>
        <v>#REF!</v>
      </c>
      <c r="AB485" t="e">
        <f ca="1">IF(A485="","",IF(E485="","",#REF!))</f>
        <v>#REF!</v>
      </c>
      <c r="AC485" t="e">
        <f t="shared" ca="1" si="44"/>
        <v>#REF!</v>
      </c>
    </row>
    <row r="486" spans="1:29" x14ac:dyDescent="0.35">
      <c r="A486" t="e" cm="1">
        <f t="array" aca="1" ref="A486" ca="1">IF(A485="","",IF(OR(AND(A485+1&gt;=$AF$1,A485+1&lt;=$AF$2),AND(A485+1&gt;=$AF$6,A485+1&lt;=$AF$7),AND(A485+1&gt;=$AF$3,A485+1&lt;=$AF$4),AND(A485+1&gt;=$AF$8,A485+1&lt;=$AF$9),A485+1=$AF$5),IF(NOT(ISBLANK(INDIRECT("template!"&amp;"P"&amp;A485+1))),A485+1,IF(NOT(ISBLANK(INDIRECT("template!"&amp;"P"&amp;A485+2))),A485+2,A485+3)),IF(A485=$AF$2,$AF$3,IF(A485=$AF$4,$AF$5,IF(A485=$AF$5,$AF$6,IF(A485=$AF$7,$AF$8,""))))))</f>
        <v>#REF!</v>
      </c>
      <c r="B486" t="e">
        <f t="shared" ca="1" si="39"/>
        <v>#REF!</v>
      </c>
      <c r="C486" t="e" cm="1">
        <f t="array" aca="1" ref="C486" ca="1">IF(A486="","",IF(B486="safety","safety costs",INDIRECT("template!"&amp;"B"&amp;A486)))</f>
        <v>#REF!</v>
      </c>
      <c r="D486" t="e" cm="1">
        <f t="array" aca="1" ref="D486" ca="1">IF(OR(A486="",B486="safety"),"",INDIRECT("template!"&amp;"C"&amp;A486))</f>
        <v>#REF!</v>
      </c>
      <c r="E486" t="e" cm="1">
        <f t="array" aca="1" ref="E486" ca="1">IF(A486="","",IF(OR(A486=A485+1,A486=A485+2),E485,INDIRECT("template!"&amp;"D"&amp;A486-2)))</f>
        <v>#REF!</v>
      </c>
      <c r="F486" t="e" cm="1">
        <f t="array" aca="1" ref="F486" ca="1">IF(OR(A486="",B486="safety"),"",IF(ISBLANK(IF(A486=A485+1,F485,INDIRECT("template!"&amp;"D"&amp;A486-1))),"",IF(A486=A485+1,F485,INDIRECT("template!"&amp;"D"&amp;A486-1))))</f>
        <v>#REF!</v>
      </c>
      <c r="G486" t="e" cm="1">
        <f t="array" aca="1" ref="G486" ca="1">IF(OR(A486="",B486="safety"),"",IF(ISBLANK(INDIRECT("template!"&amp;"D"&amp;A486)),"",INDIRECT("template!"&amp;"D"&amp;A486)))</f>
        <v>#REF!</v>
      </c>
      <c r="H486" t="e" cm="1">
        <f t="array" aca="1" ref="H486" ca="1">IF(OR(A486="",B486="safety"),"",IF(ISBLANK(INDIRECT("template!"&amp;"E"&amp;A486)),"",INDIRECT("template!"&amp;"E"&amp;A486)))</f>
        <v>#REF!</v>
      </c>
      <c r="I486" t="e" cm="1">
        <f t="array" aca="1" ref="I486" ca="1">IF(OR(A486="",B486="safety"),"",IF(ISBLANK(INDIRECT("template!"&amp;"F"&amp;A486)),"",INDIRECT("template!"&amp;"F"&amp;A486)))</f>
        <v>#REF!</v>
      </c>
      <c r="J486" t="e" cm="1">
        <f t="array" aca="1" ref="J486" ca="1">IF(OR(A486="",B486="safety"),"",IF(ISBLANK(INDIRECT("template!"&amp;"G"&amp;A486)),"",INDIRECT("template!"&amp;"G"&amp;A486)))</f>
        <v>#REF!</v>
      </c>
      <c r="K486" t="e" cm="1">
        <f t="array" aca="1" ref="K486" ca="1">IF(OR(A486="",B486="safety"),"",IF(ISBLANK(INDIRECT("template!"&amp;"H"&amp;A486)),"",INDIRECT("template!"&amp;"H"&amp;A486)))</f>
        <v>#REF!</v>
      </c>
      <c r="L486" t="e" cm="1">
        <f t="array" aca="1" ref="L486" ca="1">IF(OR(A486="",B486="safety"),"",INDIRECT("template!"&amp;"I"&amp;A486))</f>
        <v>#REF!</v>
      </c>
      <c r="M486" t="e" cm="1">
        <f t="array" aca="1" ref="M486" ca="1">IF(OR(A486="",B486="safety"),"",INDIRECT("template!"&amp;"J"&amp;A486))</f>
        <v>#REF!</v>
      </c>
      <c r="N486" t="e" cm="1">
        <f t="array" aca="1" ref="N486" ca="1">IF(OR(A486="",B486="safety"),"",IF(ISBLANK(INDIRECT("template!"&amp;"K"&amp;A486)),"",INDIRECT("template!"&amp;"K"&amp;A486)))</f>
        <v>#REF!</v>
      </c>
      <c r="O486" t="e" cm="1">
        <f t="array" aca="1" ref="O486" ca="1">IF(OR(A486="",B486="safety"),"",INDIRECT("template!"&amp;"L"&amp;A486))</f>
        <v>#REF!</v>
      </c>
      <c r="P486" t="e" cm="1">
        <f t="array" aca="1" ref="P486" ca="1">IF(OR(A486="",B486="safety"),"",INDIRECT("template!"&amp;"M"&amp;A486))</f>
        <v>#REF!</v>
      </c>
      <c r="Q486" t="e">
        <f t="shared" ca="1" si="40"/>
        <v>#REF!</v>
      </c>
      <c r="R486" t="e">
        <f t="shared" ca="1" si="41"/>
        <v>#REF!</v>
      </c>
      <c r="S486" t="e">
        <f t="shared" ca="1" si="42"/>
        <v>#REF!</v>
      </c>
      <c r="T486" t="e">
        <f t="shared" ca="1" si="43"/>
        <v>#REF!</v>
      </c>
      <c r="U486" t="e" cm="1">
        <f t="array" aca="1" ref="U486" ca="1">IF(A486="","",IF(E486="","",IF(B486="safety",INDIRECT("template!"&amp;"P"&amp;A486),Q486+R486)))</f>
        <v>#REF!</v>
      </c>
      <c r="V486" t="e" cm="1">
        <f t="array" aca="1" ref="V486" ca="1">IF(A486="","",IF(E486="","",IF(B486="safety",INDIRECT("template!"&amp;"P"&amp;A486),S486+T486)))</f>
        <v>#REF!</v>
      </c>
      <c r="W486" t="e">
        <f ca="1">IF(A486="","",IF(E486="","",#REF!))</f>
        <v>#REF!</v>
      </c>
      <c r="X486" t="e">
        <f ca="1">IF(A486="","",IF(E486="","",#REF!))</f>
        <v>#REF!</v>
      </c>
      <c r="Y486" s="39" t="e">
        <f ca="1">IF(A486="","",IF(E486="","",#REF!))</f>
        <v>#REF!</v>
      </c>
      <c r="Z486" t="e">
        <f ca="1">IF(A486="","",IF(E486="","",#REF!))</f>
        <v>#REF!</v>
      </c>
      <c r="AA486" t="e">
        <f ca="1">IF(A486="","",IF(E486="","",#REF!))</f>
        <v>#REF!</v>
      </c>
      <c r="AB486" t="e">
        <f ca="1">IF(A486="","",IF(E486="","",#REF!))</f>
        <v>#REF!</v>
      </c>
      <c r="AC486" t="e">
        <f t="shared" ca="1" si="44"/>
        <v>#REF!</v>
      </c>
    </row>
    <row r="487" spans="1:29" x14ac:dyDescent="0.35">
      <c r="A487" t="e" cm="1">
        <f t="array" aca="1" ref="A487" ca="1">IF(A486="","",IF(OR(AND(A486+1&gt;=$AF$1,A486+1&lt;=$AF$2),AND(A486+1&gt;=$AF$6,A486+1&lt;=$AF$7),AND(A486+1&gt;=$AF$3,A486+1&lt;=$AF$4),AND(A486+1&gt;=$AF$8,A486+1&lt;=$AF$9),A486+1=$AF$5),IF(NOT(ISBLANK(INDIRECT("template!"&amp;"P"&amp;A486+1))),A486+1,IF(NOT(ISBLANK(INDIRECT("template!"&amp;"P"&amp;A486+2))),A486+2,A486+3)),IF(A486=$AF$2,$AF$3,IF(A486=$AF$4,$AF$5,IF(A486=$AF$5,$AF$6,IF(A486=$AF$7,$AF$8,""))))))</f>
        <v>#REF!</v>
      </c>
      <c r="B487" t="e">
        <f t="shared" ca="1" si="39"/>
        <v>#REF!</v>
      </c>
      <c r="C487" t="e" cm="1">
        <f t="array" aca="1" ref="C487" ca="1">IF(A487="","",IF(B487="safety","safety costs",INDIRECT("template!"&amp;"B"&amp;A487)))</f>
        <v>#REF!</v>
      </c>
      <c r="D487" t="e" cm="1">
        <f t="array" aca="1" ref="D487" ca="1">IF(OR(A487="",B487="safety"),"",INDIRECT("template!"&amp;"C"&amp;A487))</f>
        <v>#REF!</v>
      </c>
      <c r="E487" t="e" cm="1">
        <f t="array" aca="1" ref="E487" ca="1">IF(A487="","",IF(OR(A487=A486+1,A487=A486+2),E486,INDIRECT("template!"&amp;"D"&amp;A487-2)))</f>
        <v>#REF!</v>
      </c>
      <c r="F487" t="e" cm="1">
        <f t="array" aca="1" ref="F487" ca="1">IF(OR(A487="",B487="safety"),"",IF(ISBLANK(IF(A487=A486+1,F486,INDIRECT("template!"&amp;"D"&amp;A487-1))),"",IF(A487=A486+1,F486,INDIRECT("template!"&amp;"D"&amp;A487-1))))</f>
        <v>#REF!</v>
      </c>
      <c r="G487" t="e" cm="1">
        <f t="array" aca="1" ref="G487" ca="1">IF(OR(A487="",B487="safety"),"",IF(ISBLANK(INDIRECT("template!"&amp;"D"&amp;A487)),"",INDIRECT("template!"&amp;"D"&amp;A487)))</f>
        <v>#REF!</v>
      </c>
      <c r="H487" t="e" cm="1">
        <f t="array" aca="1" ref="H487" ca="1">IF(OR(A487="",B487="safety"),"",IF(ISBLANK(INDIRECT("template!"&amp;"E"&amp;A487)),"",INDIRECT("template!"&amp;"E"&amp;A487)))</f>
        <v>#REF!</v>
      </c>
      <c r="I487" t="e" cm="1">
        <f t="array" aca="1" ref="I487" ca="1">IF(OR(A487="",B487="safety"),"",IF(ISBLANK(INDIRECT("template!"&amp;"F"&amp;A487)),"",INDIRECT("template!"&amp;"F"&amp;A487)))</f>
        <v>#REF!</v>
      </c>
      <c r="J487" t="e" cm="1">
        <f t="array" aca="1" ref="J487" ca="1">IF(OR(A487="",B487="safety"),"",IF(ISBLANK(INDIRECT("template!"&amp;"G"&amp;A487)),"",INDIRECT("template!"&amp;"G"&amp;A487)))</f>
        <v>#REF!</v>
      </c>
      <c r="K487" t="e" cm="1">
        <f t="array" aca="1" ref="K487" ca="1">IF(OR(A487="",B487="safety"),"",IF(ISBLANK(INDIRECT("template!"&amp;"H"&amp;A487)),"",INDIRECT("template!"&amp;"H"&amp;A487)))</f>
        <v>#REF!</v>
      </c>
      <c r="L487" t="e" cm="1">
        <f t="array" aca="1" ref="L487" ca="1">IF(OR(A487="",B487="safety"),"",INDIRECT("template!"&amp;"I"&amp;A487))</f>
        <v>#REF!</v>
      </c>
      <c r="M487" t="e" cm="1">
        <f t="array" aca="1" ref="M487" ca="1">IF(OR(A487="",B487="safety"),"",INDIRECT("template!"&amp;"J"&amp;A487))</f>
        <v>#REF!</v>
      </c>
      <c r="N487" t="e" cm="1">
        <f t="array" aca="1" ref="N487" ca="1">IF(OR(A487="",B487="safety"),"",IF(ISBLANK(INDIRECT("template!"&amp;"K"&amp;A487)),"",INDIRECT("template!"&amp;"K"&amp;A487)))</f>
        <v>#REF!</v>
      </c>
      <c r="O487" t="e" cm="1">
        <f t="array" aca="1" ref="O487" ca="1">IF(OR(A487="",B487="safety"),"",INDIRECT("template!"&amp;"L"&amp;A487))</f>
        <v>#REF!</v>
      </c>
      <c r="P487" t="e" cm="1">
        <f t="array" aca="1" ref="P487" ca="1">IF(OR(A487="",B487="safety"),"",INDIRECT("template!"&amp;"M"&amp;A487))</f>
        <v>#REF!</v>
      </c>
      <c r="Q487" t="e">
        <f t="shared" ca="1" si="40"/>
        <v>#REF!</v>
      </c>
      <c r="R487" t="e">
        <f t="shared" ca="1" si="41"/>
        <v>#REF!</v>
      </c>
      <c r="S487" t="e">
        <f t="shared" ca="1" si="42"/>
        <v>#REF!</v>
      </c>
      <c r="T487" t="e">
        <f t="shared" ca="1" si="43"/>
        <v>#REF!</v>
      </c>
      <c r="U487" t="e" cm="1">
        <f t="array" aca="1" ref="U487" ca="1">IF(A487="","",IF(E487="","",IF(B487="safety",INDIRECT("template!"&amp;"P"&amp;A487),Q487+R487)))</f>
        <v>#REF!</v>
      </c>
      <c r="V487" t="e" cm="1">
        <f t="array" aca="1" ref="V487" ca="1">IF(A487="","",IF(E487="","",IF(B487="safety",INDIRECT("template!"&amp;"P"&amp;A487),S487+T487)))</f>
        <v>#REF!</v>
      </c>
      <c r="W487" t="e">
        <f ca="1">IF(A487="","",IF(E487="","",#REF!))</f>
        <v>#REF!</v>
      </c>
      <c r="X487" t="e">
        <f ca="1">IF(A487="","",IF(E487="","",#REF!))</f>
        <v>#REF!</v>
      </c>
      <c r="Y487" s="39" t="e">
        <f ca="1">IF(A487="","",IF(E487="","",#REF!))</f>
        <v>#REF!</v>
      </c>
      <c r="Z487" t="e">
        <f ca="1">IF(A487="","",IF(E487="","",#REF!))</f>
        <v>#REF!</v>
      </c>
      <c r="AA487" t="e">
        <f ca="1">IF(A487="","",IF(E487="","",#REF!))</f>
        <v>#REF!</v>
      </c>
      <c r="AB487" t="e">
        <f ca="1">IF(A487="","",IF(E487="","",#REF!))</f>
        <v>#REF!</v>
      </c>
      <c r="AC487" t="e">
        <f t="shared" ca="1" si="44"/>
        <v>#REF!</v>
      </c>
    </row>
    <row r="488" spans="1:29" x14ac:dyDescent="0.35">
      <c r="A488" t="e" cm="1">
        <f t="array" aca="1" ref="A488" ca="1">IF(A487="","",IF(OR(AND(A487+1&gt;=$AF$1,A487+1&lt;=$AF$2),AND(A487+1&gt;=$AF$6,A487+1&lt;=$AF$7),AND(A487+1&gt;=$AF$3,A487+1&lt;=$AF$4),AND(A487+1&gt;=$AF$8,A487+1&lt;=$AF$9),A487+1=$AF$5),IF(NOT(ISBLANK(INDIRECT("template!"&amp;"P"&amp;A487+1))),A487+1,IF(NOT(ISBLANK(INDIRECT("template!"&amp;"P"&amp;A487+2))),A487+2,A487+3)),IF(A487=$AF$2,$AF$3,IF(A487=$AF$4,$AF$5,IF(A487=$AF$5,$AF$6,IF(A487=$AF$7,$AF$8,""))))))</f>
        <v>#REF!</v>
      </c>
      <c r="B488" t="e">
        <f t="shared" ca="1" si="39"/>
        <v>#REF!</v>
      </c>
      <c r="C488" t="e" cm="1">
        <f t="array" aca="1" ref="C488" ca="1">IF(A488="","",IF(B488="safety","safety costs",INDIRECT("template!"&amp;"B"&amp;A488)))</f>
        <v>#REF!</v>
      </c>
      <c r="D488" t="e" cm="1">
        <f t="array" aca="1" ref="D488" ca="1">IF(OR(A488="",B488="safety"),"",INDIRECT("template!"&amp;"C"&amp;A488))</f>
        <v>#REF!</v>
      </c>
      <c r="E488" t="e" cm="1">
        <f t="array" aca="1" ref="E488" ca="1">IF(A488="","",IF(OR(A488=A487+1,A488=A487+2),E487,INDIRECT("template!"&amp;"D"&amp;A488-2)))</f>
        <v>#REF!</v>
      </c>
      <c r="F488" t="e" cm="1">
        <f t="array" aca="1" ref="F488" ca="1">IF(OR(A488="",B488="safety"),"",IF(ISBLANK(IF(A488=A487+1,F487,INDIRECT("template!"&amp;"D"&amp;A488-1))),"",IF(A488=A487+1,F487,INDIRECT("template!"&amp;"D"&amp;A488-1))))</f>
        <v>#REF!</v>
      </c>
      <c r="G488" t="e" cm="1">
        <f t="array" aca="1" ref="G488" ca="1">IF(OR(A488="",B488="safety"),"",IF(ISBLANK(INDIRECT("template!"&amp;"D"&amp;A488)),"",INDIRECT("template!"&amp;"D"&amp;A488)))</f>
        <v>#REF!</v>
      </c>
      <c r="H488" t="e" cm="1">
        <f t="array" aca="1" ref="H488" ca="1">IF(OR(A488="",B488="safety"),"",IF(ISBLANK(INDIRECT("template!"&amp;"E"&amp;A488)),"",INDIRECT("template!"&amp;"E"&amp;A488)))</f>
        <v>#REF!</v>
      </c>
      <c r="I488" t="e" cm="1">
        <f t="array" aca="1" ref="I488" ca="1">IF(OR(A488="",B488="safety"),"",IF(ISBLANK(INDIRECT("template!"&amp;"F"&amp;A488)),"",INDIRECT("template!"&amp;"F"&amp;A488)))</f>
        <v>#REF!</v>
      </c>
      <c r="J488" t="e" cm="1">
        <f t="array" aca="1" ref="J488" ca="1">IF(OR(A488="",B488="safety"),"",IF(ISBLANK(INDIRECT("template!"&amp;"G"&amp;A488)),"",INDIRECT("template!"&amp;"G"&amp;A488)))</f>
        <v>#REF!</v>
      </c>
      <c r="K488" t="e" cm="1">
        <f t="array" aca="1" ref="K488" ca="1">IF(OR(A488="",B488="safety"),"",IF(ISBLANK(INDIRECT("template!"&amp;"H"&amp;A488)),"",INDIRECT("template!"&amp;"H"&amp;A488)))</f>
        <v>#REF!</v>
      </c>
      <c r="L488" t="e" cm="1">
        <f t="array" aca="1" ref="L488" ca="1">IF(OR(A488="",B488="safety"),"",INDIRECT("template!"&amp;"I"&amp;A488))</f>
        <v>#REF!</v>
      </c>
      <c r="M488" t="e" cm="1">
        <f t="array" aca="1" ref="M488" ca="1">IF(OR(A488="",B488="safety"),"",INDIRECT("template!"&amp;"J"&amp;A488))</f>
        <v>#REF!</v>
      </c>
      <c r="N488" t="e" cm="1">
        <f t="array" aca="1" ref="N488" ca="1">IF(OR(A488="",B488="safety"),"",IF(ISBLANK(INDIRECT("template!"&amp;"K"&amp;A488)),"",INDIRECT("template!"&amp;"K"&amp;A488)))</f>
        <v>#REF!</v>
      </c>
      <c r="O488" t="e" cm="1">
        <f t="array" aca="1" ref="O488" ca="1">IF(OR(A488="",B488="safety"),"",INDIRECT("template!"&amp;"L"&amp;A488))</f>
        <v>#REF!</v>
      </c>
      <c r="P488" t="e" cm="1">
        <f t="array" aca="1" ref="P488" ca="1">IF(OR(A488="",B488="safety"),"",INDIRECT("template!"&amp;"M"&amp;A488))</f>
        <v>#REF!</v>
      </c>
      <c r="Q488" t="e">
        <f t="shared" ca="1" si="40"/>
        <v>#REF!</v>
      </c>
      <c r="R488" t="e">
        <f t="shared" ca="1" si="41"/>
        <v>#REF!</v>
      </c>
      <c r="S488" t="e">
        <f t="shared" ca="1" si="42"/>
        <v>#REF!</v>
      </c>
      <c r="T488" t="e">
        <f t="shared" ca="1" si="43"/>
        <v>#REF!</v>
      </c>
      <c r="U488" t="e" cm="1">
        <f t="array" aca="1" ref="U488" ca="1">IF(A488="","",IF(E488="","",IF(B488="safety",INDIRECT("template!"&amp;"P"&amp;A488),Q488+R488)))</f>
        <v>#REF!</v>
      </c>
      <c r="V488" t="e" cm="1">
        <f t="array" aca="1" ref="V488" ca="1">IF(A488="","",IF(E488="","",IF(B488="safety",INDIRECT("template!"&amp;"P"&amp;A488),S488+T488)))</f>
        <v>#REF!</v>
      </c>
      <c r="W488" t="e">
        <f ca="1">IF(A488="","",IF(E488="","",#REF!))</f>
        <v>#REF!</v>
      </c>
      <c r="X488" t="e">
        <f ca="1">IF(A488="","",IF(E488="","",#REF!))</f>
        <v>#REF!</v>
      </c>
      <c r="Y488" s="39" t="e">
        <f ca="1">IF(A488="","",IF(E488="","",#REF!))</f>
        <v>#REF!</v>
      </c>
      <c r="Z488" t="e">
        <f ca="1">IF(A488="","",IF(E488="","",#REF!))</f>
        <v>#REF!</v>
      </c>
      <c r="AA488" t="e">
        <f ca="1">IF(A488="","",IF(E488="","",#REF!))</f>
        <v>#REF!</v>
      </c>
      <c r="AB488" t="e">
        <f ca="1">IF(A488="","",IF(E488="","",#REF!))</f>
        <v>#REF!</v>
      </c>
      <c r="AC488" t="e">
        <f t="shared" ca="1" si="44"/>
        <v>#REF!</v>
      </c>
    </row>
    <row r="489" spans="1:29" x14ac:dyDescent="0.35">
      <c r="A489" t="e" cm="1">
        <f t="array" aca="1" ref="A489" ca="1">IF(A488="","",IF(OR(AND(A488+1&gt;=$AF$1,A488+1&lt;=$AF$2),AND(A488+1&gt;=$AF$6,A488+1&lt;=$AF$7),AND(A488+1&gt;=$AF$3,A488+1&lt;=$AF$4),AND(A488+1&gt;=$AF$8,A488+1&lt;=$AF$9),A488+1=$AF$5),IF(NOT(ISBLANK(INDIRECT("template!"&amp;"P"&amp;A488+1))),A488+1,IF(NOT(ISBLANK(INDIRECT("template!"&amp;"P"&amp;A488+2))),A488+2,A488+3)),IF(A488=$AF$2,$AF$3,IF(A488=$AF$4,$AF$5,IF(A488=$AF$5,$AF$6,IF(A488=$AF$7,$AF$8,""))))))</f>
        <v>#REF!</v>
      </c>
      <c r="B489" t="e">
        <f t="shared" ca="1" si="39"/>
        <v>#REF!</v>
      </c>
      <c r="C489" t="e" cm="1">
        <f t="array" aca="1" ref="C489" ca="1">IF(A489="","",IF(B489="safety","safety costs",INDIRECT("template!"&amp;"B"&amp;A489)))</f>
        <v>#REF!</v>
      </c>
      <c r="D489" t="e" cm="1">
        <f t="array" aca="1" ref="D489" ca="1">IF(OR(A489="",B489="safety"),"",INDIRECT("template!"&amp;"C"&amp;A489))</f>
        <v>#REF!</v>
      </c>
      <c r="E489" t="e" cm="1">
        <f t="array" aca="1" ref="E489" ca="1">IF(A489="","",IF(OR(A489=A488+1,A489=A488+2),E488,INDIRECT("template!"&amp;"D"&amp;A489-2)))</f>
        <v>#REF!</v>
      </c>
      <c r="F489" t="e" cm="1">
        <f t="array" aca="1" ref="F489" ca="1">IF(OR(A489="",B489="safety"),"",IF(ISBLANK(IF(A489=A488+1,F488,INDIRECT("template!"&amp;"D"&amp;A489-1))),"",IF(A489=A488+1,F488,INDIRECT("template!"&amp;"D"&amp;A489-1))))</f>
        <v>#REF!</v>
      </c>
      <c r="G489" t="e" cm="1">
        <f t="array" aca="1" ref="G489" ca="1">IF(OR(A489="",B489="safety"),"",IF(ISBLANK(INDIRECT("template!"&amp;"D"&amp;A489)),"",INDIRECT("template!"&amp;"D"&amp;A489)))</f>
        <v>#REF!</v>
      </c>
      <c r="H489" t="e" cm="1">
        <f t="array" aca="1" ref="H489" ca="1">IF(OR(A489="",B489="safety"),"",IF(ISBLANK(INDIRECT("template!"&amp;"E"&amp;A489)),"",INDIRECT("template!"&amp;"E"&amp;A489)))</f>
        <v>#REF!</v>
      </c>
      <c r="I489" t="e" cm="1">
        <f t="array" aca="1" ref="I489" ca="1">IF(OR(A489="",B489="safety"),"",IF(ISBLANK(INDIRECT("template!"&amp;"F"&amp;A489)),"",INDIRECT("template!"&amp;"F"&amp;A489)))</f>
        <v>#REF!</v>
      </c>
      <c r="J489" t="e" cm="1">
        <f t="array" aca="1" ref="J489" ca="1">IF(OR(A489="",B489="safety"),"",IF(ISBLANK(INDIRECT("template!"&amp;"G"&amp;A489)),"",INDIRECT("template!"&amp;"G"&amp;A489)))</f>
        <v>#REF!</v>
      </c>
      <c r="K489" t="e" cm="1">
        <f t="array" aca="1" ref="K489" ca="1">IF(OR(A489="",B489="safety"),"",IF(ISBLANK(INDIRECT("template!"&amp;"H"&amp;A489)),"",INDIRECT("template!"&amp;"H"&amp;A489)))</f>
        <v>#REF!</v>
      </c>
      <c r="L489" t="e" cm="1">
        <f t="array" aca="1" ref="L489" ca="1">IF(OR(A489="",B489="safety"),"",INDIRECT("template!"&amp;"I"&amp;A489))</f>
        <v>#REF!</v>
      </c>
      <c r="M489" t="e" cm="1">
        <f t="array" aca="1" ref="M489" ca="1">IF(OR(A489="",B489="safety"),"",INDIRECT("template!"&amp;"J"&amp;A489))</f>
        <v>#REF!</v>
      </c>
      <c r="N489" t="e" cm="1">
        <f t="array" aca="1" ref="N489" ca="1">IF(OR(A489="",B489="safety"),"",IF(ISBLANK(INDIRECT("template!"&amp;"K"&amp;A489)),"",INDIRECT("template!"&amp;"K"&amp;A489)))</f>
        <v>#REF!</v>
      </c>
      <c r="O489" t="e" cm="1">
        <f t="array" aca="1" ref="O489" ca="1">IF(OR(A489="",B489="safety"),"",INDIRECT("template!"&amp;"L"&amp;A489))</f>
        <v>#REF!</v>
      </c>
      <c r="P489" t="e" cm="1">
        <f t="array" aca="1" ref="P489" ca="1">IF(OR(A489="",B489="safety"),"",INDIRECT("template!"&amp;"M"&amp;A489))</f>
        <v>#REF!</v>
      </c>
      <c r="Q489" t="e">
        <f t="shared" ca="1" si="40"/>
        <v>#REF!</v>
      </c>
      <c r="R489" t="e">
        <f t="shared" ca="1" si="41"/>
        <v>#REF!</v>
      </c>
      <c r="S489" t="e">
        <f t="shared" ca="1" si="42"/>
        <v>#REF!</v>
      </c>
      <c r="T489" t="e">
        <f t="shared" ca="1" si="43"/>
        <v>#REF!</v>
      </c>
      <c r="U489" t="e" cm="1">
        <f t="array" aca="1" ref="U489" ca="1">IF(A489="","",IF(E489="","",IF(B489="safety",INDIRECT("template!"&amp;"P"&amp;A489),Q489+R489)))</f>
        <v>#REF!</v>
      </c>
      <c r="V489" t="e" cm="1">
        <f t="array" aca="1" ref="V489" ca="1">IF(A489="","",IF(E489="","",IF(B489="safety",INDIRECT("template!"&amp;"P"&amp;A489),S489+T489)))</f>
        <v>#REF!</v>
      </c>
      <c r="W489" t="e">
        <f ca="1">IF(A489="","",IF(E489="","",#REF!))</f>
        <v>#REF!</v>
      </c>
      <c r="X489" t="e">
        <f ca="1">IF(A489="","",IF(E489="","",#REF!))</f>
        <v>#REF!</v>
      </c>
      <c r="Y489" s="39" t="e">
        <f ca="1">IF(A489="","",IF(E489="","",#REF!))</f>
        <v>#REF!</v>
      </c>
      <c r="Z489" t="e">
        <f ca="1">IF(A489="","",IF(E489="","",#REF!))</f>
        <v>#REF!</v>
      </c>
      <c r="AA489" t="e">
        <f ca="1">IF(A489="","",IF(E489="","",#REF!))</f>
        <v>#REF!</v>
      </c>
      <c r="AB489" t="e">
        <f ca="1">IF(A489="","",IF(E489="","",#REF!))</f>
        <v>#REF!</v>
      </c>
      <c r="AC489" t="e">
        <f t="shared" ca="1" si="44"/>
        <v>#REF!</v>
      </c>
    </row>
    <row r="490" spans="1:29" x14ac:dyDescent="0.35">
      <c r="A490" t="e" cm="1">
        <f t="array" aca="1" ref="A490" ca="1">IF(A489="","",IF(OR(AND(A489+1&gt;=$AF$1,A489+1&lt;=$AF$2),AND(A489+1&gt;=$AF$6,A489+1&lt;=$AF$7),AND(A489+1&gt;=$AF$3,A489+1&lt;=$AF$4),AND(A489+1&gt;=$AF$8,A489+1&lt;=$AF$9),A489+1=$AF$5),IF(NOT(ISBLANK(INDIRECT("template!"&amp;"P"&amp;A489+1))),A489+1,IF(NOT(ISBLANK(INDIRECT("template!"&amp;"P"&amp;A489+2))),A489+2,A489+3)),IF(A489=$AF$2,$AF$3,IF(A489=$AF$4,$AF$5,IF(A489=$AF$5,$AF$6,IF(A489=$AF$7,$AF$8,""))))))</f>
        <v>#REF!</v>
      </c>
      <c r="B490" t="e">
        <f t="shared" ca="1" si="39"/>
        <v>#REF!</v>
      </c>
      <c r="C490" t="e" cm="1">
        <f t="array" aca="1" ref="C490" ca="1">IF(A490="","",IF(B490="safety","safety costs",INDIRECT("template!"&amp;"B"&amp;A490)))</f>
        <v>#REF!</v>
      </c>
      <c r="D490" t="e" cm="1">
        <f t="array" aca="1" ref="D490" ca="1">IF(OR(A490="",B490="safety"),"",INDIRECT("template!"&amp;"C"&amp;A490))</f>
        <v>#REF!</v>
      </c>
      <c r="E490" t="e" cm="1">
        <f t="array" aca="1" ref="E490" ca="1">IF(A490="","",IF(OR(A490=A489+1,A490=A489+2),E489,INDIRECT("template!"&amp;"D"&amp;A490-2)))</f>
        <v>#REF!</v>
      </c>
      <c r="F490" t="e" cm="1">
        <f t="array" aca="1" ref="F490" ca="1">IF(OR(A490="",B490="safety"),"",IF(ISBLANK(IF(A490=A489+1,F489,INDIRECT("template!"&amp;"D"&amp;A490-1))),"",IF(A490=A489+1,F489,INDIRECT("template!"&amp;"D"&amp;A490-1))))</f>
        <v>#REF!</v>
      </c>
      <c r="G490" t="e" cm="1">
        <f t="array" aca="1" ref="G490" ca="1">IF(OR(A490="",B490="safety"),"",IF(ISBLANK(INDIRECT("template!"&amp;"D"&amp;A490)),"",INDIRECT("template!"&amp;"D"&amp;A490)))</f>
        <v>#REF!</v>
      </c>
      <c r="H490" t="e" cm="1">
        <f t="array" aca="1" ref="H490" ca="1">IF(OR(A490="",B490="safety"),"",IF(ISBLANK(INDIRECT("template!"&amp;"E"&amp;A490)),"",INDIRECT("template!"&amp;"E"&amp;A490)))</f>
        <v>#REF!</v>
      </c>
      <c r="I490" t="e" cm="1">
        <f t="array" aca="1" ref="I490" ca="1">IF(OR(A490="",B490="safety"),"",IF(ISBLANK(INDIRECT("template!"&amp;"F"&amp;A490)),"",INDIRECT("template!"&amp;"F"&amp;A490)))</f>
        <v>#REF!</v>
      </c>
      <c r="J490" t="e" cm="1">
        <f t="array" aca="1" ref="J490" ca="1">IF(OR(A490="",B490="safety"),"",IF(ISBLANK(INDIRECT("template!"&amp;"G"&amp;A490)),"",INDIRECT("template!"&amp;"G"&amp;A490)))</f>
        <v>#REF!</v>
      </c>
      <c r="K490" t="e" cm="1">
        <f t="array" aca="1" ref="K490" ca="1">IF(OR(A490="",B490="safety"),"",IF(ISBLANK(INDIRECT("template!"&amp;"H"&amp;A490)),"",INDIRECT("template!"&amp;"H"&amp;A490)))</f>
        <v>#REF!</v>
      </c>
      <c r="L490" t="e" cm="1">
        <f t="array" aca="1" ref="L490" ca="1">IF(OR(A490="",B490="safety"),"",INDIRECT("template!"&amp;"I"&amp;A490))</f>
        <v>#REF!</v>
      </c>
      <c r="M490" t="e" cm="1">
        <f t="array" aca="1" ref="M490" ca="1">IF(OR(A490="",B490="safety"),"",INDIRECT("template!"&amp;"J"&amp;A490))</f>
        <v>#REF!</v>
      </c>
      <c r="N490" t="e" cm="1">
        <f t="array" aca="1" ref="N490" ca="1">IF(OR(A490="",B490="safety"),"",IF(ISBLANK(INDIRECT("template!"&amp;"K"&amp;A490)),"",INDIRECT("template!"&amp;"K"&amp;A490)))</f>
        <v>#REF!</v>
      </c>
      <c r="O490" t="e" cm="1">
        <f t="array" aca="1" ref="O490" ca="1">IF(OR(A490="",B490="safety"),"",INDIRECT("template!"&amp;"L"&amp;A490))</f>
        <v>#REF!</v>
      </c>
      <c r="P490" t="e" cm="1">
        <f t="array" aca="1" ref="P490" ca="1">IF(OR(A490="",B490="safety"),"",INDIRECT("template!"&amp;"M"&amp;A490))</f>
        <v>#REF!</v>
      </c>
      <c r="Q490" t="e">
        <f t="shared" ca="1" si="40"/>
        <v>#REF!</v>
      </c>
      <c r="R490" t="e">
        <f t="shared" ca="1" si="41"/>
        <v>#REF!</v>
      </c>
      <c r="S490" t="e">
        <f t="shared" ca="1" si="42"/>
        <v>#REF!</v>
      </c>
      <c r="T490" t="e">
        <f t="shared" ca="1" si="43"/>
        <v>#REF!</v>
      </c>
      <c r="U490" t="e" cm="1">
        <f t="array" aca="1" ref="U490" ca="1">IF(A490="","",IF(E490="","",IF(B490="safety",INDIRECT("template!"&amp;"P"&amp;A490),Q490+R490)))</f>
        <v>#REF!</v>
      </c>
      <c r="V490" t="e" cm="1">
        <f t="array" aca="1" ref="V490" ca="1">IF(A490="","",IF(E490="","",IF(B490="safety",INDIRECT("template!"&amp;"P"&amp;A490),S490+T490)))</f>
        <v>#REF!</v>
      </c>
      <c r="W490" t="e">
        <f ca="1">IF(A490="","",IF(E490="","",#REF!))</f>
        <v>#REF!</v>
      </c>
      <c r="X490" t="e">
        <f ca="1">IF(A490="","",IF(E490="","",#REF!))</f>
        <v>#REF!</v>
      </c>
      <c r="Y490" s="39" t="e">
        <f ca="1">IF(A490="","",IF(E490="","",#REF!))</f>
        <v>#REF!</v>
      </c>
      <c r="Z490" t="e">
        <f ca="1">IF(A490="","",IF(E490="","",#REF!))</f>
        <v>#REF!</v>
      </c>
      <c r="AA490" t="e">
        <f ca="1">IF(A490="","",IF(E490="","",#REF!))</f>
        <v>#REF!</v>
      </c>
      <c r="AB490" t="e">
        <f ca="1">IF(A490="","",IF(E490="","",#REF!))</f>
        <v>#REF!</v>
      </c>
      <c r="AC490" t="e">
        <f t="shared" ca="1" si="44"/>
        <v>#REF!</v>
      </c>
    </row>
    <row r="491" spans="1:29" x14ac:dyDescent="0.35">
      <c r="A491" t="e" cm="1">
        <f t="array" aca="1" ref="A491" ca="1">IF(A490="","",IF(OR(AND(A490+1&gt;=$AF$1,A490+1&lt;=$AF$2),AND(A490+1&gt;=$AF$6,A490+1&lt;=$AF$7),AND(A490+1&gt;=$AF$3,A490+1&lt;=$AF$4),AND(A490+1&gt;=$AF$8,A490+1&lt;=$AF$9),A490+1=$AF$5),IF(NOT(ISBLANK(INDIRECT("template!"&amp;"P"&amp;A490+1))),A490+1,IF(NOT(ISBLANK(INDIRECT("template!"&amp;"P"&amp;A490+2))),A490+2,A490+3)),IF(A490=$AF$2,$AF$3,IF(A490=$AF$4,$AF$5,IF(A490=$AF$5,$AF$6,IF(A490=$AF$7,$AF$8,""))))))</f>
        <v>#REF!</v>
      </c>
      <c r="B491" t="e">
        <f t="shared" ca="1" si="39"/>
        <v>#REF!</v>
      </c>
      <c r="C491" t="e" cm="1">
        <f t="array" aca="1" ref="C491" ca="1">IF(A491="","",IF(B491="safety","safety costs",INDIRECT("template!"&amp;"B"&amp;A491)))</f>
        <v>#REF!</v>
      </c>
      <c r="D491" t="e" cm="1">
        <f t="array" aca="1" ref="D491" ca="1">IF(OR(A491="",B491="safety"),"",INDIRECT("template!"&amp;"C"&amp;A491))</f>
        <v>#REF!</v>
      </c>
      <c r="E491" t="e" cm="1">
        <f t="array" aca="1" ref="E491" ca="1">IF(A491="","",IF(OR(A491=A490+1,A491=A490+2),E490,INDIRECT("template!"&amp;"D"&amp;A491-2)))</f>
        <v>#REF!</v>
      </c>
      <c r="F491" t="e" cm="1">
        <f t="array" aca="1" ref="F491" ca="1">IF(OR(A491="",B491="safety"),"",IF(ISBLANK(IF(A491=A490+1,F490,INDIRECT("template!"&amp;"D"&amp;A491-1))),"",IF(A491=A490+1,F490,INDIRECT("template!"&amp;"D"&amp;A491-1))))</f>
        <v>#REF!</v>
      </c>
      <c r="G491" t="e" cm="1">
        <f t="array" aca="1" ref="G491" ca="1">IF(OR(A491="",B491="safety"),"",IF(ISBLANK(INDIRECT("template!"&amp;"D"&amp;A491)),"",INDIRECT("template!"&amp;"D"&amp;A491)))</f>
        <v>#REF!</v>
      </c>
      <c r="H491" t="e" cm="1">
        <f t="array" aca="1" ref="H491" ca="1">IF(OR(A491="",B491="safety"),"",IF(ISBLANK(INDIRECT("template!"&amp;"E"&amp;A491)),"",INDIRECT("template!"&amp;"E"&amp;A491)))</f>
        <v>#REF!</v>
      </c>
      <c r="I491" t="e" cm="1">
        <f t="array" aca="1" ref="I491" ca="1">IF(OR(A491="",B491="safety"),"",IF(ISBLANK(INDIRECT("template!"&amp;"F"&amp;A491)),"",INDIRECT("template!"&amp;"F"&amp;A491)))</f>
        <v>#REF!</v>
      </c>
      <c r="J491" t="e" cm="1">
        <f t="array" aca="1" ref="J491" ca="1">IF(OR(A491="",B491="safety"),"",IF(ISBLANK(INDIRECT("template!"&amp;"G"&amp;A491)),"",INDIRECT("template!"&amp;"G"&amp;A491)))</f>
        <v>#REF!</v>
      </c>
      <c r="K491" t="e" cm="1">
        <f t="array" aca="1" ref="K491" ca="1">IF(OR(A491="",B491="safety"),"",IF(ISBLANK(INDIRECT("template!"&amp;"H"&amp;A491)),"",INDIRECT("template!"&amp;"H"&amp;A491)))</f>
        <v>#REF!</v>
      </c>
      <c r="L491" t="e" cm="1">
        <f t="array" aca="1" ref="L491" ca="1">IF(OR(A491="",B491="safety"),"",INDIRECT("template!"&amp;"I"&amp;A491))</f>
        <v>#REF!</v>
      </c>
      <c r="M491" t="e" cm="1">
        <f t="array" aca="1" ref="M491" ca="1">IF(OR(A491="",B491="safety"),"",INDIRECT("template!"&amp;"J"&amp;A491))</f>
        <v>#REF!</v>
      </c>
      <c r="N491" t="e" cm="1">
        <f t="array" aca="1" ref="N491" ca="1">IF(OR(A491="",B491="safety"),"",IF(ISBLANK(INDIRECT("template!"&amp;"K"&amp;A491)),"",INDIRECT("template!"&amp;"K"&amp;A491)))</f>
        <v>#REF!</v>
      </c>
      <c r="O491" t="e" cm="1">
        <f t="array" aca="1" ref="O491" ca="1">IF(OR(A491="",B491="safety"),"",INDIRECT("template!"&amp;"L"&amp;A491))</f>
        <v>#REF!</v>
      </c>
      <c r="P491" t="e" cm="1">
        <f t="array" aca="1" ref="P491" ca="1">IF(OR(A491="",B491="safety"),"",INDIRECT("template!"&amp;"M"&amp;A491))</f>
        <v>#REF!</v>
      </c>
      <c r="Q491" t="e">
        <f t="shared" ca="1" si="40"/>
        <v>#REF!</v>
      </c>
      <c r="R491" t="e">
        <f t="shared" ca="1" si="41"/>
        <v>#REF!</v>
      </c>
      <c r="S491" t="e">
        <f t="shared" ca="1" si="42"/>
        <v>#REF!</v>
      </c>
      <c r="T491" t="e">
        <f t="shared" ca="1" si="43"/>
        <v>#REF!</v>
      </c>
      <c r="U491" t="e" cm="1">
        <f t="array" aca="1" ref="U491" ca="1">IF(A491="","",IF(E491="","",IF(B491="safety",INDIRECT("template!"&amp;"P"&amp;A491),Q491+R491)))</f>
        <v>#REF!</v>
      </c>
      <c r="V491" t="e" cm="1">
        <f t="array" aca="1" ref="V491" ca="1">IF(A491="","",IF(E491="","",IF(B491="safety",INDIRECT("template!"&amp;"P"&amp;A491),S491+T491)))</f>
        <v>#REF!</v>
      </c>
      <c r="W491" t="e">
        <f ca="1">IF(A491="","",IF(E491="","",#REF!))</f>
        <v>#REF!</v>
      </c>
      <c r="X491" t="e">
        <f ca="1">IF(A491="","",IF(E491="","",#REF!))</f>
        <v>#REF!</v>
      </c>
      <c r="Y491" s="39" t="e">
        <f ca="1">IF(A491="","",IF(E491="","",#REF!))</f>
        <v>#REF!</v>
      </c>
      <c r="Z491" t="e">
        <f ca="1">IF(A491="","",IF(E491="","",#REF!))</f>
        <v>#REF!</v>
      </c>
      <c r="AA491" t="e">
        <f ca="1">IF(A491="","",IF(E491="","",#REF!))</f>
        <v>#REF!</v>
      </c>
      <c r="AB491" t="e">
        <f ca="1">IF(A491="","",IF(E491="","",#REF!))</f>
        <v>#REF!</v>
      </c>
      <c r="AC491" t="e">
        <f t="shared" ca="1" si="44"/>
        <v>#REF!</v>
      </c>
    </row>
    <row r="492" spans="1:29" x14ac:dyDescent="0.35">
      <c r="A492" t="e" cm="1">
        <f t="array" aca="1" ref="A492" ca="1">IF(A491="","",IF(OR(AND(A491+1&gt;=$AF$1,A491+1&lt;=$AF$2),AND(A491+1&gt;=$AF$6,A491+1&lt;=$AF$7),AND(A491+1&gt;=$AF$3,A491+1&lt;=$AF$4),AND(A491+1&gt;=$AF$8,A491+1&lt;=$AF$9),A491+1=$AF$5),IF(NOT(ISBLANK(INDIRECT("template!"&amp;"P"&amp;A491+1))),A491+1,IF(NOT(ISBLANK(INDIRECT("template!"&amp;"P"&amp;A491+2))),A491+2,A491+3)),IF(A491=$AF$2,$AF$3,IF(A491=$AF$4,$AF$5,IF(A491=$AF$5,$AF$6,IF(A491=$AF$7,$AF$8,""))))))</f>
        <v>#REF!</v>
      </c>
      <c r="B492" t="e">
        <f t="shared" ca="1" si="39"/>
        <v>#REF!</v>
      </c>
      <c r="C492" t="e" cm="1">
        <f t="array" aca="1" ref="C492" ca="1">IF(A492="","",IF(B492="safety","safety costs",INDIRECT("template!"&amp;"B"&amp;A492)))</f>
        <v>#REF!</v>
      </c>
      <c r="D492" t="e" cm="1">
        <f t="array" aca="1" ref="D492" ca="1">IF(OR(A492="",B492="safety"),"",INDIRECT("template!"&amp;"C"&amp;A492))</f>
        <v>#REF!</v>
      </c>
      <c r="E492" t="e" cm="1">
        <f t="array" aca="1" ref="E492" ca="1">IF(A492="","",IF(OR(A492=A491+1,A492=A491+2),E491,INDIRECT("template!"&amp;"D"&amp;A492-2)))</f>
        <v>#REF!</v>
      </c>
      <c r="F492" t="e" cm="1">
        <f t="array" aca="1" ref="F492" ca="1">IF(OR(A492="",B492="safety"),"",IF(ISBLANK(IF(A492=A491+1,F491,INDIRECT("template!"&amp;"D"&amp;A492-1))),"",IF(A492=A491+1,F491,INDIRECT("template!"&amp;"D"&amp;A492-1))))</f>
        <v>#REF!</v>
      </c>
      <c r="G492" t="e" cm="1">
        <f t="array" aca="1" ref="G492" ca="1">IF(OR(A492="",B492="safety"),"",IF(ISBLANK(INDIRECT("template!"&amp;"D"&amp;A492)),"",INDIRECT("template!"&amp;"D"&amp;A492)))</f>
        <v>#REF!</v>
      </c>
      <c r="H492" t="e" cm="1">
        <f t="array" aca="1" ref="H492" ca="1">IF(OR(A492="",B492="safety"),"",IF(ISBLANK(INDIRECT("template!"&amp;"E"&amp;A492)),"",INDIRECT("template!"&amp;"E"&amp;A492)))</f>
        <v>#REF!</v>
      </c>
      <c r="I492" t="e" cm="1">
        <f t="array" aca="1" ref="I492" ca="1">IF(OR(A492="",B492="safety"),"",IF(ISBLANK(INDIRECT("template!"&amp;"F"&amp;A492)),"",INDIRECT("template!"&amp;"F"&amp;A492)))</f>
        <v>#REF!</v>
      </c>
      <c r="J492" t="e" cm="1">
        <f t="array" aca="1" ref="J492" ca="1">IF(OR(A492="",B492="safety"),"",IF(ISBLANK(INDIRECT("template!"&amp;"G"&amp;A492)),"",INDIRECT("template!"&amp;"G"&amp;A492)))</f>
        <v>#REF!</v>
      </c>
      <c r="K492" t="e" cm="1">
        <f t="array" aca="1" ref="K492" ca="1">IF(OR(A492="",B492="safety"),"",IF(ISBLANK(INDIRECT("template!"&amp;"H"&amp;A492)),"",INDIRECT("template!"&amp;"H"&amp;A492)))</f>
        <v>#REF!</v>
      </c>
      <c r="L492" t="e" cm="1">
        <f t="array" aca="1" ref="L492" ca="1">IF(OR(A492="",B492="safety"),"",INDIRECT("template!"&amp;"I"&amp;A492))</f>
        <v>#REF!</v>
      </c>
      <c r="M492" t="e" cm="1">
        <f t="array" aca="1" ref="M492" ca="1">IF(OR(A492="",B492="safety"),"",INDIRECT("template!"&amp;"J"&amp;A492))</f>
        <v>#REF!</v>
      </c>
      <c r="N492" t="e" cm="1">
        <f t="array" aca="1" ref="N492" ca="1">IF(OR(A492="",B492="safety"),"",IF(ISBLANK(INDIRECT("template!"&amp;"K"&amp;A492)),"",INDIRECT("template!"&amp;"K"&amp;A492)))</f>
        <v>#REF!</v>
      </c>
      <c r="O492" t="e" cm="1">
        <f t="array" aca="1" ref="O492" ca="1">IF(OR(A492="",B492="safety"),"",INDIRECT("template!"&amp;"L"&amp;A492))</f>
        <v>#REF!</v>
      </c>
      <c r="P492" t="e" cm="1">
        <f t="array" aca="1" ref="P492" ca="1">IF(OR(A492="",B492="safety"),"",INDIRECT("template!"&amp;"M"&amp;A492))</f>
        <v>#REF!</v>
      </c>
      <c r="Q492" t="e">
        <f t="shared" ca="1" si="40"/>
        <v>#REF!</v>
      </c>
      <c r="R492" t="e">
        <f t="shared" ca="1" si="41"/>
        <v>#REF!</v>
      </c>
      <c r="S492" t="e">
        <f t="shared" ca="1" si="42"/>
        <v>#REF!</v>
      </c>
      <c r="T492" t="e">
        <f t="shared" ca="1" si="43"/>
        <v>#REF!</v>
      </c>
      <c r="U492" t="e" cm="1">
        <f t="array" aca="1" ref="U492" ca="1">IF(A492="","",IF(E492="","",IF(B492="safety",INDIRECT("template!"&amp;"P"&amp;A492),Q492+R492)))</f>
        <v>#REF!</v>
      </c>
      <c r="V492" t="e" cm="1">
        <f t="array" aca="1" ref="V492" ca="1">IF(A492="","",IF(E492="","",IF(B492="safety",INDIRECT("template!"&amp;"P"&amp;A492),S492+T492)))</f>
        <v>#REF!</v>
      </c>
      <c r="W492" t="e">
        <f ca="1">IF(A492="","",IF(E492="","",#REF!))</f>
        <v>#REF!</v>
      </c>
      <c r="X492" t="e">
        <f ca="1">IF(A492="","",IF(E492="","",#REF!))</f>
        <v>#REF!</v>
      </c>
      <c r="Y492" s="39" t="e">
        <f ca="1">IF(A492="","",IF(E492="","",#REF!))</f>
        <v>#REF!</v>
      </c>
      <c r="Z492" t="e">
        <f ca="1">IF(A492="","",IF(E492="","",#REF!))</f>
        <v>#REF!</v>
      </c>
      <c r="AA492" t="e">
        <f ca="1">IF(A492="","",IF(E492="","",#REF!))</f>
        <v>#REF!</v>
      </c>
      <c r="AB492" t="e">
        <f ca="1">IF(A492="","",IF(E492="","",#REF!))</f>
        <v>#REF!</v>
      </c>
      <c r="AC492" t="e">
        <f t="shared" ca="1" si="44"/>
        <v>#REF!</v>
      </c>
    </row>
    <row r="493" spans="1:29" x14ac:dyDescent="0.35">
      <c r="A493" t="e" cm="1">
        <f t="array" aca="1" ref="A493" ca="1">IF(A492="","",IF(OR(AND(A492+1&gt;=$AF$1,A492+1&lt;=$AF$2),AND(A492+1&gt;=$AF$6,A492+1&lt;=$AF$7),AND(A492+1&gt;=$AF$3,A492+1&lt;=$AF$4),AND(A492+1&gt;=$AF$8,A492+1&lt;=$AF$9),A492+1=$AF$5),IF(NOT(ISBLANK(INDIRECT("template!"&amp;"P"&amp;A492+1))),A492+1,IF(NOT(ISBLANK(INDIRECT("template!"&amp;"P"&amp;A492+2))),A492+2,A492+3)),IF(A492=$AF$2,$AF$3,IF(A492=$AF$4,$AF$5,IF(A492=$AF$5,$AF$6,IF(A492=$AF$7,$AF$8,""))))))</f>
        <v>#REF!</v>
      </c>
      <c r="B493" t="e">
        <f t="shared" ca="1" si="39"/>
        <v>#REF!</v>
      </c>
      <c r="C493" t="e" cm="1">
        <f t="array" aca="1" ref="C493" ca="1">IF(A493="","",IF(B493="safety","safety costs",INDIRECT("template!"&amp;"B"&amp;A493)))</f>
        <v>#REF!</v>
      </c>
      <c r="D493" t="e" cm="1">
        <f t="array" aca="1" ref="D493" ca="1">IF(OR(A493="",B493="safety"),"",INDIRECT("template!"&amp;"C"&amp;A493))</f>
        <v>#REF!</v>
      </c>
      <c r="E493" t="e" cm="1">
        <f t="array" aca="1" ref="E493" ca="1">IF(A493="","",IF(OR(A493=A492+1,A493=A492+2),E492,INDIRECT("template!"&amp;"D"&amp;A493-2)))</f>
        <v>#REF!</v>
      </c>
      <c r="F493" t="e" cm="1">
        <f t="array" aca="1" ref="F493" ca="1">IF(OR(A493="",B493="safety"),"",IF(ISBLANK(IF(A493=A492+1,F492,INDIRECT("template!"&amp;"D"&amp;A493-1))),"",IF(A493=A492+1,F492,INDIRECT("template!"&amp;"D"&amp;A493-1))))</f>
        <v>#REF!</v>
      </c>
      <c r="G493" t="e" cm="1">
        <f t="array" aca="1" ref="G493" ca="1">IF(OR(A493="",B493="safety"),"",IF(ISBLANK(INDIRECT("template!"&amp;"D"&amp;A493)),"",INDIRECT("template!"&amp;"D"&amp;A493)))</f>
        <v>#REF!</v>
      </c>
      <c r="H493" t="e" cm="1">
        <f t="array" aca="1" ref="H493" ca="1">IF(OR(A493="",B493="safety"),"",IF(ISBLANK(INDIRECT("template!"&amp;"E"&amp;A493)),"",INDIRECT("template!"&amp;"E"&amp;A493)))</f>
        <v>#REF!</v>
      </c>
      <c r="I493" t="e" cm="1">
        <f t="array" aca="1" ref="I493" ca="1">IF(OR(A493="",B493="safety"),"",IF(ISBLANK(INDIRECT("template!"&amp;"F"&amp;A493)),"",INDIRECT("template!"&amp;"F"&amp;A493)))</f>
        <v>#REF!</v>
      </c>
      <c r="J493" t="e" cm="1">
        <f t="array" aca="1" ref="J493" ca="1">IF(OR(A493="",B493="safety"),"",IF(ISBLANK(INDIRECT("template!"&amp;"G"&amp;A493)),"",INDIRECT("template!"&amp;"G"&amp;A493)))</f>
        <v>#REF!</v>
      </c>
      <c r="K493" t="e" cm="1">
        <f t="array" aca="1" ref="K493" ca="1">IF(OR(A493="",B493="safety"),"",IF(ISBLANK(INDIRECT("template!"&amp;"H"&amp;A493)),"",INDIRECT("template!"&amp;"H"&amp;A493)))</f>
        <v>#REF!</v>
      </c>
      <c r="L493" t="e" cm="1">
        <f t="array" aca="1" ref="L493" ca="1">IF(OR(A493="",B493="safety"),"",INDIRECT("template!"&amp;"I"&amp;A493))</f>
        <v>#REF!</v>
      </c>
      <c r="M493" t="e" cm="1">
        <f t="array" aca="1" ref="M493" ca="1">IF(OR(A493="",B493="safety"),"",INDIRECT("template!"&amp;"J"&amp;A493))</f>
        <v>#REF!</v>
      </c>
      <c r="N493" t="e" cm="1">
        <f t="array" aca="1" ref="N493" ca="1">IF(OR(A493="",B493="safety"),"",IF(ISBLANK(INDIRECT("template!"&amp;"K"&amp;A493)),"",INDIRECT("template!"&amp;"K"&amp;A493)))</f>
        <v>#REF!</v>
      </c>
      <c r="O493" t="e" cm="1">
        <f t="array" aca="1" ref="O493" ca="1">IF(OR(A493="",B493="safety"),"",INDIRECT("template!"&amp;"L"&amp;A493))</f>
        <v>#REF!</v>
      </c>
      <c r="P493" t="e" cm="1">
        <f t="array" aca="1" ref="P493" ca="1">IF(OR(A493="",B493="safety"),"",INDIRECT("template!"&amp;"M"&amp;A493))</f>
        <v>#REF!</v>
      </c>
      <c r="Q493" t="e">
        <f t="shared" ca="1" si="40"/>
        <v>#REF!</v>
      </c>
      <c r="R493" t="e">
        <f t="shared" ca="1" si="41"/>
        <v>#REF!</v>
      </c>
      <c r="S493" t="e">
        <f t="shared" ca="1" si="42"/>
        <v>#REF!</v>
      </c>
      <c r="T493" t="e">
        <f t="shared" ca="1" si="43"/>
        <v>#REF!</v>
      </c>
      <c r="U493" t="e" cm="1">
        <f t="array" aca="1" ref="U493" ca="1">IF(A493="","",IF(E493="","",IF(B493="safety",INDIRECT("template!"&amp;"P"&amp;A493),Q493+R493)))</f>
        <v>#REF!</v>
      </c>
      <c r="V493" t="e" cm="1">
        <f t="array" aca="1" ref="V493" ca="1">IF(A493="","",IF(E493="","",IF(B493="safety",INDIRECT("template!"&amp;"P"&amp;A493),S493+T493)))</f>
        <v>#REF!</v>
      </c>
      <c r="W493" t="e">
        <f ca="1">IF(A493="","",IF(E493="","",#REF!))</f>
        <v>#REF!</v>
      </c>
      <c r="X493" t="e">
        <f ca="1">IF(A493="","",IF(E493="","",#REF!))</f>
        <v>#REF!</v>
      </c>
      <c r="Y493" s="39" t="e">
        <f ca="1">IF(A493="","",IF(E493="","",#REF!))</f>
        <v>#REF!</v>
      </c>
      <c r="Z493" t="e">
        <f ca="1">IF(A493="","",IF(E493="","",#REF!))</f>
        <v>#REF!</v>
      </c>
      <c r="AA493" t="e">
        <f ca="1">IF(A493="","",IF(E493="","",#REF!))</f>
        <v>#REF!</v>
      </c>
      <c r="AB493" t="e">
        <f ca="1">IF(A493="","",IF(E493="","",#REF!))</f>
        <v>#REF!</v>
      </c>
      <c r="AC493" t="e">
        <f t="shared" ca="1" si="44"/>
        <v>#REF!</v>
      </c>
    </row>
    <row r="494" spans="1:29" x14ac:dyDescent="0.35">
      <c r="A494" t="e" cm="1">
        <f t="array" aca="1" ref="A494" ca="1">IF(A493="","",IF(OR(AND(A493+1&gt;=$AF$1,A493+1&lt;=$AF$2),AND(A493+1&gt;=$AF$6,A493+1&lt;=$AF$7),AND(A493+1&gt;=$AF$3,A493+1&lt;=$AF$4),AND(A493+1&gt;=$AF$8,A493+1&lt;=$AF$9),A493+1=$AF$5),IF(NOT(ISBLANK(INDIRECT("template!"&amp;"P"&amp;A493+1))),A493+1,IF(NOT(ISBLANK(INDIRECT("template!"&amp;"P"&amp;A493+2))),A493+2,A493+3)),IF(A493=$AF$2,$AF$3,IF(A493=$AF$4,$AF$5,IF(A493=$AF$5,$AF$6,IF(A493=$AF$7,$AF$8,""))))))</f>
        <v>#REF!</v>
      </c>
      <c r="B494" t="e">
        <f t="shared" ca="1" si="39"/>
        <v>#REF!</v>
      </c>
      <c r="C494" t="e" cm="1">
        <f t="array" aca="1" ref="C494" ca="1">IF(A494="","",IF(B494="safety","safety costs",INDIRECT("template!"&amp;"B"&amp;A494)))</f>
        <v>#REF!</v>
      </c>
      <c r="D494" t="e" cm="1">
        <f t="array" aca="1" ref="D494" ca="1">IF(OR(A494="",B494="safety"),"",INDIRECT("template!"&amp;"C"&amp;A494))</f>
        <v>#REF!</v>
      </c>
      <c r="E494" t="e" cm="1">
        <f t="array" aca="1" ref="E494" ca="1">IF(A494="","",IF(OR(A494=A493+1,A494=A493+2),E493,INDIRECT("template!"&amp;"D"&amp;A494-2)))</f>
        <v>#REF!</v>
      </c>
      <c r="F494" t="e" cm="1">
        <f t="array" aca="1" ref="F494" ca="1">IF(OR(A494="",B494="safety"),"",IF(ISBLANK(IF(A494=A493+1,F493,INDIRECT("template!"&amp;"D"&amp;A494-1))),"",IF(A494=A493+1,F493,INDIRECT("template!"&amp;"D"&amp;A494-1))))</f>
        <v>#REF!</v>
      </c>
      <c r="G494" t="e" cm="1">
        <f t="array" aca="1" ref="G494" ca="1">IF(OR(A494="",B494="safety"),"",IF(ISBLANK(INDIRECT("template!"&amp;"D"&amp;A494)),"",INDIRECT("template!"&amp;"D"&amp;A494)))</f>
        <v>#REF!</v>
      </c>
      <c r="H494" t="e" cm="1">
        <f t="array" aca="1" ref="H494" ca="1">IF(OR(A494="",B494="safety"),"",IF(ISBLANK(INDIRECT("template!"&amp;"E"&amp;A494)),"",INDIRECT("template!"&amp;"E"&amp;A494)))</f>
        <v>#REF!</v>
      </c>
      <c r="I494" t="e" cm="1">
        <f t="array" aca="1" ref="I494" ca="1">IF(OR(A494="",B494="safety"),"",IF(ISBLANK(INDIRECT("template!"&amp;"F"&amp;A494)),"",INDIRECT("template!"&amp;"F"&amp;A494)))</f>
        <v>#REF!</v>
      </c>
      <c r="J494" t="e" cm="1">
        <f t="array" aca="1" ref="J494" ca="1">IF(OR(A494="",B494="safety"),"",IF(ISBLANK(INDIRECT("template!"&amp;"G"&amp;A494)),"",INDIRECT("template!"&amp;"G"&amp;A494)))</f>
        <v>#REF!</v>
      </c>
      <c r="K494" t="e" cm="1">
        <f t="array" aca="1" ref="K494" ca="1">IF(OR(A494="",B494="safety"),"",IF(ISBLANK(INDIRECT("template!"&amp;"H"&amp;A494)),"",INDIRECT("template!"&amp;"H"&amp;A494)))</f>
        <v>#REF!</v>
      </c>
      <c r="L494" t="e" cm="1">
        <f t="array" aca="1" ref="L494" ca="1">IF(OR(A494="",B494="safety"),"",INDIRECT("template!"&amp;"I"&amp;A494))</f>
        <v>#REF!</v>
      </c>
      <c r="M494" t="e" cm="1">
        <f t="array" aca="1" ref="M494" ca="1">IF(OR(A494="",B494="safety"),"",INDIRECT("template!"&amp;"J"&amp;A494))</f>
        <v>#REF!</v>
      </c>
      <c r="N494" t="e" cm="1">
        <f t="array" aca="1" ref="N494" ca="1">IF(OR(A494="",B494="safety"),"",IF(ISBLANK(INDIRECT("template!"&amp;"K"&amp;A494)),"",INDIRECT("template!"&amp;"K"&amp;A494)))</f>
        <v>#REF!</v>
      </c>
      <c r="O494" t="e" cm="1">
        <f t="array" aca="1" ref="O494" ca="1">IF(OR(A494="",B494="safety"),"",INDIRECT("template!"&amp;"L"&amp;A494))</f>
        <v>#REF!</v>
      </c>
      <c r="P494" t="e" cm="1">
        <f t="array" aca="1" ref="P494" ca="1">IF(OR(A494="",B494="safety"),"",INDIRECT("template!"&amp;"M"&amp;A494))</f>
        <v>#REF!</v>
      </c>
      <c r="Q494" t="e">
        <f t="shared" ca="1" si="40"/>
        <v>#REF!</v>
      </c>
      <c r="R494" t="e">
        <f t="shared" ca="1" si="41"/>
        <v>#REF!</v>
      </c>
      <c r="S494" t="e">
        <f t="shared" ca="1" si="42"/>
        <v>#REF!</v>
      </c>
      <c r="T494" t="e">
        <f t="shared" ca="1" si="43"/>
        <v>#REF!</v>
      </c>
      <c r="U494" t="e" cm="1">
        <f t="array" aca="1" ref="U494" ca="1">IF(A494="","",IF(E494="","",IF(B494="safety",INDIRECT("template!"&amp;"P"&amp;A494),Q494+R494)))</f>
        <v>#REF!</v>
      </c>
      <c r="V494" t="e" cm="1">
        <f t="array" aca="1" ref="V494" ca="1">IF(A494="","",IF(E494="","",IF(B494="safety",INDIRECT("template!"&amp;"P"&amp;A494),S494+T494)))</f>
        <v>#REF!</v>
      </c>
      <c r="W494" t="e">
        <f ca="1">IF(A494="","",IF(E494="","",#REF!))</f>
        <v>#REF!</v>
      </c>
      <c r="X494" t="e">
        <f ca="1">IF(A494="","",IF(E494="","",#REF!))</f>
        <v>#REF!</v>
      </c>
      <c r="Y494" s="39" t="e">
        <f ca="1">IF(A494="","",IF(E494="","",#REF!))</f>
        <v>#REF!</v>
      </c>
      <c r="Z494" t="e">
        <f ca="1">IF(A494="","",IF(E494="","",#REF!))</f>
        <v>#REF!</v>
      </c>
      <c r="AA494" t="e">
        <f ca="1">IF(A494="","",IF(E494="","",#REF!))</f>
        <v>#REF!</v>
      </c>
      <c r="AB494" t="e">
        <f ca="1">IF(A494="","",IF(E494="","",#REF!))</f>
        <v>#REF!</v>
      </c>
      <c r="AC494" t="e">
        <f t="shared" ca="1" si="44"/>
        <v>#REF!</v>
      </c>
    </row>
    <row r="495" spans="1:29" x14ac:dyDescent="0.35">
      <c r="A495" t="e" cm="1">
        <f t="array" aca="1" ref="A495" ca="1">IF(A494="","",IF(OR(AND(A494+1&gt;=$AF$1,A494+1&lt;=$AF$2),AND(A494+1&gt;=$AF$6,A494+1&lt;=$AF$7),AND(A494+1&gt;=$AF$3,A494+1&lt;=$AF$4),AND(A494+1&gt;=$AF$8,A494+1&lt;=$AF$9),A494+1=$AF$5),IF(NOT(ISBLANK(INDIRECT("template!"&amp;"P"&amp;A494+1))),A494+1,IF(NOT(ISBLANK(INDIRECT("template!"&amp;"P"&amp;A494+2))),A494+2,A494+3)),IF(A494=$AF$2,$AF$3,IF(A494=$AF$4,$AF$5,IF(A494=$AF$5,$AF$6,IF(A494=$AF$7,$AF$8,""))))))</f>
        <v>#REF!</v>
      </c>
      <c r="B495" t="e">
        <f t="shared" ca="1" si="39"/>
        <v>#REF!</v>
      </c>
      <c r="C495" t="e" cm="1">
        <f t="array" aca="1" ref="C495" ca="1">IF(A495="","",IF(B495="safety","safety costs",INDIRECT("template!"&amp;"B"&amp;A495)))</f>
        <v>#REF!</v>
      </c>
      <c r="D495" t="e" cm="1">
        <f t="array" aca="1" ref="D495" ca="1">IF(OR(A495="",B495="safety"),"",INDIRECT("template!"&amp;"C"&amp;A495))</f>
        <v>#REF!</v>
      </c>
      <c r="E495" t="e" cm="1">
        <f t="array" aca="1" ref="E495" ca="1">IF(A495="","",IF(OR(A495=A494+1,A495=A494+2),E494,INDIRECT("template!"&amp;"D"&amp;A495-2)))</f>
        <v>#REF!</v>
      </c>
      <c r="F495" t="e" cm="1">
        <f t="array" aca="1" ref="F495" ca="1">IF(OR(A495="",B495="safety"),"",IF(ISBLANK(IF(A495=A494+1,F494,INDIRECT("template!"&amp;"D"&amp;A495-1))),"",IF(A495=A494+1,F494,INDIRECT("template!"&amp;"D"&amp;A495-1))))</f>
        <v>#REF!</v>
      </c>
      <c r="G495" t="e" cm="1">
        <f t="array" aca="1" ref="G495" ca="1">IF(OR(A495="",B495="safety"),"",IF(ISBLANK(INDIRECT("template!"&amp;"D"&amp;A495)),"",INDIRECT("template!"&amp;"D"&amp;A495)))</f>
        <v>#REF!</v>
      </c>
      <c r="H495" t="e" cm="1">
        <f t="array" aca="1" ref="H495" ca="1">IF(OR(A495="",B495="safety"),"",IF(ISBLANK(INDIRECT("template!"&amp;"E"&amp;A495)),"",INDIRECT("template!"&amp;"E"&amp;A495)))</f>
        <v>#REF!</v>
      </c>
      <c r="I495" t="e" cm="1">
        <f t="array" aca="1" ref="I495" ca="1">IF(OR(A495="",B495="safety"),"",IF(ISBLANK(INDIRECT("template!"&amp;"F"&amp;A495)),"",INDIRECT("template!"&amp;"F"&amp;A495)))</f>
        <v>#REF!</v>
      </c>
      <c r="J495" t="e" cm="1">
        <f t="array" aca="1" ref="J495" ca="1">IF(OR(A495="",B495="safety"),"",IF(ISBLANK(INDIRECT("template!"&amp;"G"&amp;A495)),"",INDIRECT("template!"&amp;"G"&amp;A495)))</f>
        <v>#REF!</v>
      </c>
      <c r="K495" t="e" cm="1">
        <f t="array" aca="1" ref="K495" ca="1">IF(OR(A495="",B495="safety"),"",IF(ISBLANK(INDIRECT("template!"&amp;"H"&amp;A495)),"",INDIRECT("template!"&amp;"H"&amp;A495)))</f>
        <v>#REF!</v>
      </c>
      <c r="L495" t="e" cm="1">
        <f t="array" aca="1" ref="L495" ca="1">IF(OR(A495="",B495="safety"),"",INDIRECT("template!"&amp;"I"&amp;A495))</f>
        <v>#REF!</v>
      </c>
      <c r="M495" t="e" cm="1">
        <f t="array" aca="1" ref="M495" ca="1">IF(OR(A495="",B495="safety"),"",INDIRECT("template!"&amp;"J"&amp;A495))</f>
        <v>#REF!</v>
      </c>
      <c r="N495" t="e" cm="1">
        <f t="array" aca="1" ref="N495" ca="1">IF(OR(A495="",B495="safety"),"",IF(ISBLANK(INDIRECT("template!"&amp;"K"&amp;A495)),"",INDIRECT("template!"&amp;"K"&amp;A495)))</f>
        <v>#REF!</v>
      </c>
      <c r="O495" t="e" cm="1">
        <f t="array" aca="1" ref="O495" ca="1">IF(OR(A495="",B495="safety"),"",INDIRECT("template!"&amp;"L"&amp;A495))</f>
        <v>#REF!</v>
      </c>
      <c r="P495" t="e" cm="1">
        <f t="array" aca="1" ref="P495" ca="1">IF(OR(A495="",B495="safety"),"",INDIRECT("template!"&amp;"M"&amp;A495))</f>
        <v>#REF!</v>
      </c>
      <c r="Q495" t="e">
        <f t="shared" ca="1" si="40"/>
        <v>#REF!</v>
      </c>
      <c r="R495" t="e">
        <f t="shared" ca="1" si="41"/>
        <v>#REF!</v>
      </c>
      <c r="S495" t="e">
        <f t="shared" ca="1" si="42"/>
        <v>#REF!</v>
      </c>
      <c r="T495" t="e">
        <f t="shared" ca="1" si="43"/>
        <v>#REF!</v>
      </c>
      <c r="U495" t="e" cm="1">
        <f t="array" aca="1" ref="U495" ca="1">IF(A495="","",IF(E495="","",IF(B495="safety",INDIRECT("template!"&amp;"P"&amp;A495),Q495+R495)))</f>
        <v>#REF!</v>
      </c>
      <c r="V495" t="e" cm="1">
        <f t="array" aca="1" ref="V495" ca="1">IF(A495="","",IF(E495="","",IF(B495="safety",INDIRECT("template!"&amp;"P"&amp;A495),S495+T495)))</f>
        <v>#REF!</v>
      </c>
      <c r="W495" t="e">
        <f ca="1">IF(A495="","",IF(E495="","",#REF!))</f>
        <v>#REF!</v>
      </c>
      <c r="X495" t="e">
        <f ca="1">IF(A495="","",IF(E495="","",#REF!))</f>
        <v>#REF!</v>
      </c>
      <c r="Y495" s="39" t="e">
        <f ca="1">IF(A495="","",IF(E495="","",#REF!))</f>
        <v>#REF!</v>
      </c>
      <c r="Z495" t="e">
        <f ca="1">IF(A495="","",IF(E495="","",#REF!))</f>
        <v>#REF!</v>
      </c>
      <c r="AA495" t="e">
        <f ca="1">IF(A495="","",IF(E495="","",#REF!))</f>
        <v>#REF!</v>
      </c>
      <c r="AB495" t="e">
        <f ca="1">IF(A495="","",IF(E495="","",#REF!))</f>
        <v>#REF!</v>
      </c>
      <c r="AC495" t="e">
        <f t="shared" ca="1" si="44"/>
        <v>#REF!</v>
      </c>
    </row>
    <row r="496" spans="1:29" x14ac:dyDescent="0.35">
      <c r="A496" t="e" cm="1">
        <f t="array" aca="1" ref="A496" ca="1">IF(A495="","",IF(OR(AND(A495+1&gt;=$AF$1,A495+1&lt;=$AF$2),AND(A495+1&gt;=$AF$6,A495+1&lt;=$AF$7),AND(A495+1&gt;=$AF$3,A495+1&lt;=$AF$4),AND(A495+1&gt;=$AF$8,A495+1&lt;=$AF$9),A495+1=$AF$5),IF(NOT(ISBLANK(INDIRECT("template!"&amp;"P"&amp;A495+1))),A495+1,IF(NOT(ISBLANK(INDIRECT("template!"&amp;"P"&amp;A495+2))),A495+2,A495+3)),IF(A495=$AF$2,$AF$3,IF(A495=$AF$4,$AF$5,IF(A495=$AF$5,$AF$6,IF(A495=$AF$7,$AF$8,""))))))</f>
        <v>#REF!</v>
      </c>
      <c r="B496" t="e">
        <f t="shared" ca="1" si="39"/>
        <v>#REF!</v>
      </c>
      <c r="C496" t="e" cm="1">
        <f t="array" aca="1" ref="C496" ca="1">IF(A496="","",IF(B496="safety","safety costs",INDIRECT("template!"&amp;"B"&amp;A496)))</f>
        <v>#REF!</v>
      </c>
      <c r="D496" t="e" cm="1">
        <f t="array" aca="1" ref="D496" ca="1">IF(OR(A496="",B496="safety"),"",INDIRECT("template!"&amp;"C"&amp;A496))</f>
        <v>#REF!</v>
      </c>
      <c r="E496" t="e" cm="1">
        <f t="array" aca="1" ref="E496" ca="1">IF(A496="","",IF(OR(A496=A495+1,A496=A495+2),E495,INDIRECT("template!"&amp;"D"&amp;A496-2)))</f>
        <v>#REF!</v>
      </c>
      <c r="F496" t="e" cm="1">
        <f t="array" aca="1" ref="F496" ca="1">IF(OR(A496="",B496="safety"),"",IF(ISBLANK(IF(A496=A495+1,F495,INDIRECT("template!"&amp;"D"&amp;A496-1))),"",IF(A496=A495+1,F495,INDIRECT("template!"&amp;"D"&amp;A496-1))))</f>
        <v>#REF!</v>
      </c>
      <c r="G496" t="e" cm="1">
        <f t="array" aca="1" ref="G496" ca="1">IF(OR(A496="",B496="safety"),"",IF(ISBLANK(INDIRECT("template!"&amp;"D"&amp;A496)),"",INDIRECT("template!"&amp;"D"&amp;A496)))</f>
        <v>#REF!</v>
      </c>
      <c r="H496" t="e" cm="1">
        <f t="array" aca="1" ref="H496" ca="1">IF(OR(A496="",B496="safety"),"",IF(ISBLANK(INDIRECT("template!"&amp;"E"&amp;A496)),"",INDIRECT("template!"&amp;"E"&amp;A496)))</f>
        <v>#REF!</v>
      </c>
      <c r="I496" t="e" cm="1">
        <f t="array" aca="1" ref="I496" ca="1">IF(OR(A496="",B496="safety"),"",IF(ISBLANK(INDIRECT("template!"&amp;"F"&amp;A496)),"",INDIRECT("template!"&amp;"F"&amp;A496)))</f>
        <v>#REF!</v>
      </c>
      <c r="J496" t="e" cm="1">
        <f t="array" aca="1" ref="J496" ca="1">IF(OR(A496="",B496="safety"),"",IF(ISBLANK(INDIRECT("template!"&amp;"G"&amp;A496)),"",INDIRECT("template!"&amp;"G"&amp;A496)))</f>
        <v>#REF!</v>
      </c>
      <c r="K496" t="e" cm="1">
        <f t="array" aca="1" ref="K496" ca="1">IF(OR(A496="",B496="safety"),"",IF(ISBLANK(INDIRECT("template!"&amp;"H"&amp;A496)),"",INDIRECT("template!"&amp;"H"&amp;A496)))</f>
        <v>#REF!</v>
      </c>
      <c r="L496" t="e" cm="1">
        <f t="array" aca="1" ref="L496" ca="1">IF(OR(A496="",B496="safety"),"",INDIRECT("template!"&amp;"I"&amp;A496))</f>
        <v>#REF!</v>
      </c>
      <c r="M496" t="e" cm="1">
        <f t="array" aca="1" ref="M496" ca="1">IF(OR(A496="",B496="safety"),"",INDIRECT("template!"&amp;"J"&amp;A496))</f>
        <v>#REF!</v>
      </c>
      <c r="N496" t="e" cm="1">
        <f t="array" aca="1" ref="N496" ca="1">IF(OR(A496="",B496="safety"),"",IF(ISBLANK(INDIRECT("template!"&amp;"K"&amp;A496)),"",INDIRECT("template!"&amp;"K"&amp;A496)))</f>
        <v>#REF!</v>
      </c>
      <c r="O496" t="e" cm="1">
        <f t="array" aca="1" ref="O496" ca="1">IF(OR(A496="",B496="safety"),"",INDIRECT("template!"&amp;"L"&amp;A496))</f>
        <v>#REF!</v>
      </c>
      <c r="P496" t="e" cm="1">
        <f t="array" aca="1" ref="P496" ca="1">IF(OR(A496="",B496="safety"),"",INDIRECT("template!"&amp;"M"&amp;A496))</f>
        <v>#REF!</v>
      </c>
      <c r="Q496" t="e">
        <f t="shared" ca="1" si="40"/>
        <v>#REF!</v>
      </c>
      <c r="R496" t="e">
        <f t="shared" ca="1" si="41"/>
        <v>#REF!</v>
      </c>
      <c r="S496" t="e">
        <f t="shared" ca="1" si="42"/>
        <v>#REF!</v>
      </c>
      <c r="T496" t="e">
        <f t="shared" ca="1" si="43"/>
        <v>#REF!</v>
      </c>
      <c r="U496" t="e" cm="1">
        <f t="array" aca="1" ref="U496" ca="1">IF(A496="","",IF(E496="","",IF(B496="safety",INDIRECT("template!"&amp;"P"&amp;A496),Q496+R496)))</f>
        <v>#REF!</v>
      </c>
      <c r="V496" t="e" cm="1">
        <f t="array" aca="1" ref="V496" ca="1">IF(A496="","",IF(E496="","",IF(B496="safety",INDIRECT("template!"&amp;"P"&amp;A496),S496+T496)))</f>
        <v>#REF!</v>
      </c>
      <c r="W496" t="e">
        <f ca="1">IF(A496="","",IF(E496="","",#REF!))</f>
        <v>#REF!</v>
      </c>
      <c r="X496" t="e">
        <f ca="1">IF(A496="","",IF(E496="","",#REF!))</f>
        <v>#REF!</v>
      </c>
      <c r="Y496" s="39" t="e">
        <f ca="1">IF(A496="","",IF(E496="","",#REF!))</f>
        <v>#REF!</v>
      </c>
      <c r="Z496" t="e">
        <f ca="1">IF(A496="","",IF(E496="","",#REF!))</f>
        <v>#REF!</v>
      </c>
      <c r="AA496" t="e">
        <f ca="1">IF(A496="","",IF(E496="","",#REF!))</f>
        <v>#REF!</v>
      </c>
      <c r="AB496" t="e">
        <f ca="1">IF(A496="","",IF(E496="","",#REF!))</f>
        <v>#REF!</v>
      </c>
      <c r="AC496" t="e">
        <f t="shared" ca="1" si="44"/>
        <v>#REF!</v>
      </c>
    </row>
    <row r="497" spans="1:29" x14ac:dyDescent="0.35">
      <c r="A497" t="e" cm="1">
        <f t="array" aca="1" ref="A497" ca="1">IF(A496="","",IF(OR(AND(A496+1&gt;=$AF$1,A496+1&lt;=$AF$2),AND(A496+1&gt;=$AF$6,A496+1&lt;=$AF$7),AND(A496+1&gt;=$AF$3,A496+1&lt;=$AF$4),AND(A496+1&gt;=$AF$8,A496+1&lt;=$AF$9),A496+1=$AF$5),IF(NOT(ISBLANK(INDIRECT("template!"&amp;"P"&amp;A496+1))),A496+1,IF(NOT(ISBLANK(INDIRECT("template!"&amp;"P"&amp;A496+2))),A496+2,A496+3)),IF(A496=$AF$2,$AF$3,IF(A496=$AF$4,$AF$5,IF(A496=$AF$5,$AF$6,IF(A496=$AF$7,$AF$8,""))))))</f>
        <v>#REF!</v>
      </c>
      <c r="B497" t="e">
        <f t="shared" ca="1" si="39"/>
        <v>#REF!</v>
      </c>
      <c r="C497" t="e" cm="1">
        <f t="array" aca="1" ref="C497" ca="1">IF(A497="","",IF(B497="safety","safety costs",INDIRECT("template!"&amp;"B"&amp;A497)))</f>
        <v>#REF!</v>
      </c>
      <c r="D497" t="e" cm="1">
        <f t="array" aca="1" ref="D497" ca="1">IF(OR(A497="",B497="safety"),"",INDIRECT("template!"&amp;"C"&amp;A497))</f>
        <v>#REF!</v>
      </c>
      <c r="E497" t="e" cm="1">
        <f t="array" aca="1" ref="E497" ca="1">IF(A497="","",IF(OR(A497=A496+1,A497=A496+2),E496,INDIRECT("template!"&amp;"D"&amp;A497-2)))</f>
        <v>#REF!</v>
      </c>
      <c r="F497" t="e" cm="1">
        <f t="array" aca="1" ref="F497" ca="1">IF(OR(A497="",B497="safety"),"",IF(ISBLANK(IF(A497=A496+1,F496,INDIRECT("template!"&amp;"D"&amp;A497-1))),"",IF(A497=A496+1,F496,INDIRECT("template!"&amp;"D"&amp;A497-1))))</f>
        <v>#REF!</v>
      </c>
      <c r="G497" t="e" cm="1">
        <f t="array" aca="1" ref="G497" ca="1">IF(OR(A497="",B497="safety"),"",IF(ISBLANK(INDIRECT("template!"&amp;"D"&amp;A497)),"",INDIRECT("template!"&amp;"D"&amp;A497)))</f>
        <v>#REF!</v>
      </c>
      <c r="H497" t="e" cm="1">
        <f t="array" aca="1" ref="H497" ca="1">IF(OR(A497="",B497="safety"),"",IF(ISBLANK(INDIRECT("template!"&amp;"E"&amp;A497)),"",INDIRECT("template!"&amp;"E"&amp;A497)))</f>
        <v>#REF!</v>
      </c>
      <c r="I497" t="e" cm="1">
        <f t="array" aca="1" ref="I497" ca="1">IF(OR(A497="",B497="safety"),"",IF(ISBLANK(INDIRECT("template!"&amp;"F"&amp;A497)),"",INDIRECT("template!"&amp;"F"&amp;A497)))</f>
        <v>#REF!</v>
      </c>
      <c r="J497" t="e" cm="1">
        <f t="array" aca="1" ref="J497" ca="1">IF(OR(A497="",B497="safety"),"",IF(ISBLANK(INDIRECT("template!"&amp;"G"&amp;A497)),"",INDIRECT("template!"&amp;"G"&amp;A497)))</f>
        <v>#REF!</v>
      </c>
      <c r="K497" t="e" cm="1">
        <f t="array" aca="1" ref="K497" ca="1">IF(OR(A497="",B497="safety"),"",IF(ISBLANK(INDIRECT("template!"&amp;"H"&amp;A497)),"",INDIRECT("template!"&amp;"H"&amp;A497)))</f>
        <v>#REF!</v>
      </c>
      <c r="L497" t="e" cm="1">
        <f t="array" aca="1" ref="L497" ca="1">IF(OR(A497="",B497="safety"),"",INDIRECT("template!"&amp;"I"&amp;A497))</f>
        <v>#REF!</v>
      </c>
      <c r="M497" t="e" cm="1">
        <f t="array" aca="1" ref="M497" ca="1">IF(OR(A497="",B497="safety"),"",INDIRECT("template!"&amp;"J"&amp;A497))</f>
        <v>#REF!</v>
      </c>
      <c r="N497" t="e" cm="1">
        <f t="array" aca="1" ref="N497" ca="1">IF(OR(A497="",B497="safety"),"",IF(ISBLANK(INDIRECT("template!"&amp;"K"&amp;A497)),"",INDIRECT("template!"&amp;"K"&amp;A497)))</f>
        <v>#REF!</v>
      </c>
      <c r="O497" t="e" cm="1">
        <f t="array" aca="1" ref="O497" ca="1">IF(OR(A497="",B497="safety"),"",INDIRECT("template!"&amp;"L"&amp;A497))</f>
        <v>#REF!</v>
      </c>
      <c r="P497" t="e" cm="1">
        <f t="array" aca="1" ref="P497" ca="1">IF(OR(A497="",B497="safety"),"",INDIRECT("template!"&amp;"M"&amp;A497))</f>
        <v>#REF!</v>
      </c>
      <c r="Q497" t="e">
        <f t="shared" ca="1" si="40"/>
        <v>#REF!</v>
      </c>
      <c r="R497" t="e">
        <f t="shared" ca="1" si="41"/>
        <v>#REF!</v>
      </c>
      <c r="S497" t="e">
        <f t="shared" ca="1" si="42"/>
        <v>#REF!</v>
      </c>
      <c r="T497" t="e">
        <f t="shared" ca="1" si="43"/>
        <v>#REF!</v>
      </c>
      <c r="U497" t="e" cm="1">
        <f t="array" aca="1" ref="U497" ca="1">IF(A497="","",IF(E497="","",IF(B497="safety",INDIRECT("template!"&amp;"P"&amp;A497),Q497+R497)))</f>
        <v>#REF!</v>
      </c>
      <c r="V497" t="e" cm="1">
        <f t="array" aca="1" ref="V497" ca="1">IF(A497="","",IF(E497="","",IF(B497="safety",INDIRECT("template!"&amp;"P"&amp;A497),S497+T497)))</f>
        <v>#REF!</v>
      </c>
      <c r="W497" t="e">
        <f ca="1">IF(A497="","",IF(E497="","",#REF!))</f>
        <v>#REF!</v>
      </c>
      <c r="X497" t="e">
        <f ca="1">IF(A497="","",IF(E497="","",#REF!))</f>
        <v>#REF!</v>
      </c>
      <c r="Y497" s="39" t="e">
        <f ca="1">IF(A497="","",IF(E497="","",#REF!))</f>
        <v>#REF!</v>
      </c>
      <c r="Z497" t="e">
        <f ca="1">IF(A497="","",IF(E497="","",#REF!))</f>
        <v>#REF!</v>
      </c>
      <c r="AA497" t="e">
        <f ca="1">IF(A497="","",IF(E497="","",#REF!))</f>
        <v>#REF!</v>
      </c>
      <c r="AB497" t="e">
        <f ca="1">IF(A497="","",IF(E497="","",#REF!))</f>
        <v>#REF!</v>
      </c>
      <c r="AC497" t="e">
        <f t="shared" ca="1" si="44"/>
        <v>#REF!</v>
      </c>
    </row>
    <row r="498" spans="1:29" x14ac:dyDescent="0.35">
      <c r="A498" t="e" cm="1">
        <f t="array" aca="1" ref="A498" ca="1">IF(A497="","",IF(OR(AND(A497+1&gt;=$AF$1,A497+1&lt;=$AF$2),AND(A497+1&gt;=$AF$6,A497+1&lt;=$AF$7),AND(A497+1&gt;=$AF$3,A497+1&lt;=$AF$4),AND(A497+1&gt;=$AF$8,A497+1&lt;=$AF$9),A497+1=$AF$5),IF(NOT(ISBLANK(INDIRECT("template!"&amp;"P"&amp;A497+1))),A497+1,IF(NOT(ISBLANK(INDIRECT("template!"&amp;"P"&amp;A497+2))),A497+2,A497+3)),IF(A497=$AF$2,$AF$3,IF(A497=$AF$4,$AF$5,IF(A497=$AF$5,$AF$6,IF(A497=$AF$7,$AF$8,""))))))</f>
        <v>#REF!</v>
      </c>
      <c r="B498" t="e">
        <f t="shared" ca="1" si="39"/>
        <v>#REF!</v>
      </c>
      <c r="C498" t="e" cm="1">
        <f t="array" aca="1" ref="C498" ca="1">IF(A498="","",IF(B498="safety","safety costs",INDIRECT("template!"&amp;"B"&amp;A498)))</f>
        <v>#REF!</v>
      </c>
      <c r="D498" t="e" cm="1">
        <f t="array" aca="1" ref="D498" ca="1">IF(OR(A498="",B498="safety"),"",INDIRECT("template!"&amp;"C"&amp;A498))</f>
        <v>#REF!</v>
      </c>
      <c r="E498" t="e" cm="1">
        <f t="array" aca="1" ref="E498" ca="1">IF(A498="","",IF(OR(A498=A497+1,A498=A497+2),E497,INDIRECT("template!"&amp;"D"&amp;A498-2)))</f>
        <v>#REF!</v>
      </c>
      <c r="F498" t="e" cm="1">
        <f t="array" aca="1" ref="F498" ca="1">IF(OR(A498="",B498="safety"),"",IF(ISBLANK(IF(A498=A497+1,F497,INDIRECT("template!"&amp;"D"&amp;A498-1))),"",IF(A498=A497+1,F497,INDIRECT("template!"&amp;"D"&amp;A498-1))))</f>
        <v>#REF!</v>
      </c>
      <c r="G498" t="e" cm="1">
        <f t="array" aca="1" ref="G498" ca="1">IF(OR(A498="",B498="safety"),"",IF(ISBLANK(INDIRECT("template!"&amp;"D"&amp;A498)),"",INDIRECT("template!"&amp;"D"&amp;A498)))</f>
        <v>#REF!</v>
      </c>
      <c r="H498" t="e" cm="1">
        <f t="array" aca="1" ref="H498" ca="1">IF(OR(A498="",B498="safety"),"",IF(ISBLANK(INDIRECT("template!"&amp;"E"&amp;A498)),"",INDIRECT("template!"&amp;"E"&amp;A498)))</f>
        <v>#REF!</v>
      </c>
      <c r="I498" t="e" cm="1">
        <f t="array" aca="1" ref="I498" ca="1">IF(OR(A498="",B498="safety"),"",IF(ISBLANK(INDIRECT("template!"&amp;"F"&amp;A498)),"",INDIRECT("template!"&amp;"F"&amp;A498)))</f>
        <v>#REF!</v>
      </c>
      <c r="J498" t="e" cm="1">
        <f t="array" aca="1" ref="J498" ca="1">IF(OR(A498="",B498="safety"),"",IF(ISBLANK(INDIRECT("template!"&amp;"G"&amp;A498)),"",INDIRECT("template!"&amp;"G"&amp;A498)))</f>
        <v>#REF!</v>
      </c>
      <c r="K498" t="e" cm="1">
        <f t="array" aca="1" ref="K498" ca="1">IF(OR(A498="",B498="safety"),"",IF(ISBLANK(INDIRECT("template!"&amp;"H"&amp;A498)),"",INDIRECT("template!"&amp;"H"&amp;A498)))</f>
        <v>#REF!</v>
      </c>
      <c r="L498" t="e" cm="1">
        <f t="array" aca="1" ref="L498" ca="1">IF(OR(A498="",B498="safety"),"",INDIRECT("template!"&amp;"I"&amp;A498))</f>
        <v>#REF!</v>
      </c>
      <c r="M498" t="e" cm="1">
        <f t="array" aca="1" ref="M498" ca="1">IF(OR(A498="",B498="safety"),"",INDIRECT("template!"&amp;"J"&amp;A498))</f>
        <v>#REF!</v>
      </c>
      <c r="N498" t="e" cm="1">
        <f t="array" aca="1" ref="N498" ca="1">IF(OR(A498="",B498="safety"),"",IF(ISBLANK(INDIRECT("template!"&amp;"K"&amp;A498)),"",INDIRECT("template!"&amp;"K"&amp;A498)))</f>
        <v>#REF!</v>
      </c>
      <c r="O498" t="e" cm="1">
        <f t="array" aca="1" ref="O498" ca="1">IF(OR(A498="",B498="safety"),"",INDIRECT("template!"&amp;"L"&amp;A498))</f>
        <v>#REF!</v>
      </c>
      <c r="P498" t="e" cm="1">
        <f t="array" aca="1" ref="P498" ca="1">IF(OR(A498="",B498="safety"),"",INDIRECT("template!"&amp;"M"&amp;A498))</f>
        <v>#REF!</v>
      </c>
      <c r="Q498" t="e">
        <f t="shared" ca="1" si="40"/>
        <v>#REF!</v>
      </c>
      <c r="R498" t="e">
        <f t="shared" ca="1" si="41"/>
        <v>#REF!</v>
      </c>
      <c r="S498" t="e">
        <f t="shared" ca="1" si="42"/>
        <v>#REF!</v>
      </c>
      <c r="T498" t="e">
        <f t="shared" ca="1" si="43"/>
        <v>#REF!</v>
      </c>
      <c r="U498" t="e" cm="1">
        <f t="array" aca="1" ref="U498" ca="1">IF(A498="","",IF(E498="","",IF(B498="safety",INDIRECT("template!"&amp;"P"&amp;A498),Q498+R498)))</f>
        <v>#REF!</v>
      </c>
      <c r="V498" t="e" cm="1">
        <f t="array" aca="1" ref="V498" ca="1">IF(A498="","",IF(E498="","",IF(B498="safety",INDIRECT("template!"&amp;"P"&amp;A498),S498+T498)))</f>
        <v>#REF!</v>
      </c>
      <c r="W498" t="e">
        <f ca="1">IF(A498="","",IF(E498="","",#REF!))</f>
        <v>#REF!</v>
      </c>
      <c r="X498" t="e">
        <f ca="1">IF(A498="","",IF(E498="","",#REF!))</f>
        <v>#REF!</v>
      </c>
      <c r="Y498" s="39" t="e">
        <f ca="1">IF(A498="","",IF(E498="","",#REF!))</f>
        <v>#REF!</v>
      </c>
      <c r="Z498" t="e">
        <f ca="1">IF(A498="","",IF(E498="","",#REF!))</f>
        <v>#REF!</v>
      </c>
      <c r="AA498" t="e">
        <f ca="1">IF(A498="","",IF(E498="","",#REF!))</f>
        <v>#REF!</v>
      </c>
      <c r="AB498" t="e">
        <f ca="1">IF(A498="","",IF(E498="","",#REF!))</f>
        <v>#REF!</v>
      </c>
      <c r="AC498" t="e">
        <f t="shared" ca="1" si="44"/>
        <v>#REF!</v>
      </c>
    </row>
    <row r="499" spans="1:29" x14ac:dyDescent="0.35">
      <c r="A499" t="e" cm="1">
        <f t="array" aca="1" ref="A499" ca="1">IF(A498="","",IF(OR(AND(A498+1&gt;=$AF$1,A498+1&lt;=$AF$2),AND(A498+1&gt;=$AF$6,A498+1&lt;=$AF$7),AND(A498+1&gt;=$AF$3,A498+1&lt;=$AF$4),AND(A498+1&gt;=$AF$8,A498+1&lt;=$AF$9),A498+1=$AF$5),IF(NOT(ISBLANK(INDIRECT("template!"&amp;"P"&amp;A498+1))),A498+1,IF(NOT(ISBLANK(INDIRECT("template!"&amp;"P"&amp;A498+2))),A498+2,A498+3)),IF(A498=$AF$2,$AF$3,IF(A498=$AF$4,$AF$5,IF(A498=$AF$5,$AF$6,IF(A498=$AF$7,$AF$8,""))))))</f>
        <v>#REF!</v>
      </c>
      <c r="B499" t="e">
        <f t="shared" ca="1" si="39"/>
        <v>#REF!</v>
      </c>
      <c r="C499" t="e" cm="1">
        <f t="array" aca="1" ref="C499" ca="1">IF(A499="","",IF(B499="safety","safety costs",INDIRECT("template!"&amp;"B"&amp;A499)))</f>
        <v>#REF!</v>
      </c>
      <c r="D499" t="e" cm="1">
        <f t="array" aca="1" ref="D499" ca="1">IF(OR(A499="",B499="safety"),"",INDIRECT("template!"&amp;"C"&amp;A499))</f>
        <v>#REF!</v>
      </c>
      <c r="E499" t="e" cm="1">
        <f t="array" aca="1" ref="E499" ca="1">IF(A499="","",IF(OR(A499=A498+1,A499=A498+2),E498,INDIRECT("template!"&amp;"D"&amp;A499-2)))</f>
        <v>#REF!</v>
      </c>
      <c r="F499" t="e" cm="1">
        <f t="array" aca="1" ref="F499" ca="1">IF(OR(A499="",B499="safety"),"",IF(ISBLANK(IF(A499=A498+1,F498,INDIRECT("template!"&amp;"D"&amp;A499-1))),"",IF(A499=A498+1,F498,INDIRECT("template!"&amp;"D"&amp;A499-1))))</f>
        <v>#REF!</v>
      </c>
      <c r="G499" t="e" cm="1">
        <f t="array" aca="1" ref="G499" ca="1">IF(OR(A499="",B499="safety"),"",IF(ISBLANK(INDIRECT("template!"&amp;"D"&amp;A499)),"",INDIRECT("template!"&amp;"D"&amp;A499)))</f>
        <v>#REF!</v>
      </c>
      <c r="H499" t="e" cm="1">
        <f t="array" aca="1" ref="H499" ca="1">IF(OR(A499="",B499="safety"),"",IF(ISBLANK(INDIRECT("template!"&amp;"E"&amp;A499)),"",INDIRECT("template!"&amp;"E"&amp;A499)))</f>
        <v>#REF!</v>
      </c>
      <c r="I499" t="e" cm="1">
        <f t="array" aca="1" ref="I499" ca="1">IF(OR(A499="",B499="safety"),"",IF(ISBLANK(INDIRECT("template!"&amp;"F"&amp;A499)),"",INDIRECT("template!"&amp;"F"&amp;A499)))</f>
        <v>#REF!</v>
      </c>
      <c r="J499" t="e" cm="1">
        <f t="array" aca="1" ref="J499" ca="1">IF(OR(A499="",B499="safety"),"",IF(ISBLANK(INDIRECT("template!"&amp;"G"&amp;A499)),"",INDIRECT("template!"&amp;"G"&amp;A499)))</f>
        <v>#REF!</v>
      </c>
      <c r="K499" t="e" cm="1">
        <f t="array" aca="1" ref="K499" ca="1">IF(OR(A499="",B499="safety"),"",IF(ISBLANK(INDIRECT("template!"&amp;"H"&amp;A499)),"",INDIRECT("template!"&amp;"H"&amp;A499)))</f>
        <v>#REF!</v>
      </c>
      <c r="L499" t="e" cm="1">
        <f t="array" aca="1" ref="L499" ca="1">IF(OR(A499="",B499="safety"),"",INDIRECT("template!"&amp;"I"&amp;A499))</f>
        <v>#REF!</v>
      </c>
      <c r="M499" t="e" cm="1">
        <f t="array" aca="1" ref="M499" ca="1">IF(OR(A499="",B499="safety"),"",INDIRECT("template!"&amp;"J"&amp;A499))</f>
        <v>#REF!</v>
      </c>
      <c r="N499" t="e" cm="1">
        <f t="array" aca="1" ref="N499" ca="1">IF(OR(A499="",B499="safety"),"",IF(ISBLANK(INDIRECT("template!"&amp;"K"&amp;A499)),"",INDIRECT("template!"&amp;"K"&amp;A499)))</f>
        <v>#REF!</v>
      </c>
      <c r="O499" t="e" cm="1">
        <f t="array" aca="1" ref="O499" ca="1">IF(OR(A499="",B499="safety"),"",INDIRECT("template!"&amp;"L"&amp;A499))</f>
        <v>#REF!</v>
      </c>
      <c r="P499" t="e" cm="1">
        <f t="array" aca="1" ref="P499" ca="1">IF(OR(A499="",B499="safety"),"",INDIRECT("template!"&amp;"M"&amp;A499))</f>
        <v>#REF!</v>
      </c>
      <c r="Q499" t="e">
        <f t="shared" ca="1" si="40"/>
        <v>#REF!</v>
      </c>
      <c r="R499" t="e">
        <f t="shared" ca="1" si="41"/>
        <v>#REF!</v>
      </c>
      <c r="S499" t="e">
        <f t="shared" ca="1" si="42"/>
        <v>#REF!</v>
      </c>
      <c r="T499" t="e">
        <f t="shared" ca="1" si="43"/>
        <v>#REF!</v>
      </c>
      <c r="U499" t="e" cm="1">
        <f t="array" aca="1" ref="U499" ca="1">IF(A499="","",IF(E499="","",IF(B499="safety",INDIRECT("template!"&amp;"P"&amp;A499),Q499+R499)))</f>
        <v>#REF!</v>
      </c>
      <c r="V499" t="e" cm="1">
        <f t="array" aca="1" ref="V499" ca="1">IF(A499="","",IF(E499="","",IF(B499="safety",INDIRECT("template!"&amp;"P"&amp;A499),S499+T499)))</f>
        <v>#REF!</v>
      </c>
      <c r="W499" t="e">
        <f ca="1">IF(A499="","",IF(E499="","",#REF!))</f>
        <v>#REF!</v>
      </c>
      <c r="X499" t="e">
        <f ca="1">IF(A499="","",IF(E499="","",#REF!))</f>
        <v>#REF!</v>
      </c>
      <c r="Y499" s="39" t="e">
        <f ca="1">IF(A499="","",IF(E499="","",#REF!))</f>
        <v>#REF!</v>
      </c>
      <c r="Z499" t="e">
        <f ca="1">IF(A499="","",IF(E499="","",#REF!))</f>
        <v>#REF!</v>
      </c>
      <c r="AA499" t="e">
        <f ca="1">IF(A499="","",IF(E499="","",#REF!))</f>
        <v>#REF!</v>
      </c>
      <c r="AB499" t="e">
        <f ca="1">IF(A499="","",IF(E499="","",#REF!))</f>
        <v>#REF!</v>
      </c>
      <c r="AC499" t="e">
        <f t="shared" ca="1" si="44"/>
        <v>#REF!</v>
      </c>
    </row>
    <row r="500" spans="1:29" x14ac:dyDescent="0.35">
      <c r="A500" t="e" cm="1">
        <f t="array" aca="1" ref="A500" ca="1">IF(A499="","",IF(OR(AND(A499+1&gt;=$AF$1,A499+1&lt;=$AF$2),AND(A499+1&gt;=$AF$6,A499+1&lt;=$AF$7),AND(A499+1&gt;=$AF$3,A499+1&lt;=$AF$4),AND(A499+1&gt;=$AF$8,A499+1&lt;=$AF$9),A499+1=$AF$5),IF(NOT(ISBLANK(INDIRECT("template!"&amp;"P"&amp;A499+1))),A499+1,IF(NOT(ISBLANK(INDIRECT("template!"&amp;"P"&amp;A499+2))),A499+2,A499+3)),IF(A499=$AF$2,$AF$3,IF(A499=$AF$4,$AF$5,IF(A499=$AF$5,$AF$6,IF(A499=$AF$7,$AF$8,""))))))</f>
        <v>#REF!</v>
      </c>
      <c r="B500" t="e">
        <f t="shared" ca="1" si="39"/>
        <v>#REF!</v>
      </c>
      <c r="C500" t="e" cm="1">
        <f t="array" aca="1" ref="C500" ca="1">IF(A500="","",IF(B500="safety","safety costs",INDIRECT("template!"&amp;"B"&amp;A500)))</f>
        <v>#REF!</v>
      </c>
      <c r="D500" t="e" cm="1">
        <f t="array" aca="1" ref="D500" ca="1">IF(OR(A500="",B500="safety"),"",INDIRECT("template!"&amp;"C"&amp;A500))</f>
        <v>#REF!</v>
      </c>
      <c r="E500" t="e" cm="1">
        <f t="array" aca="1" ref="E500" ca="1">IF(A500="","",IF(OR(A500=A499+1,A500=A499+2),E499,INDIRECT("template!"&amp;"D"&amp;A500-2)))</f>
        <v>#REF!</v>
      </c>
      <c r="F500" t="e" cm="1">
        <f t="array" aca="1" ref="F500" ca="1">IF(OR(A500="",B500="safety"),"",IF(ISBLANK(IF(A500=A499+1,F499,INDIRECT("template!"&amp;"D"&amp;A500-1))),"",IF(A500=A499+1,F499,INDIRECT("template!"&amp;"D"&amp;A500-1))))</f>
        <v>#REF!</v>
      </c>
      <c r="G500" t="e" cm="1">
        <f t="array" aca="1" ref="G500" ca="1">IF(OR(A500="",B500="safety"),"",IF(ISBLANK(INDIRECT("template!"&amp;"D"&amp;A500)),"",INDIRECT("template!"&amp;"D"&amp;A500)))</f>
        <v>#REF!</v>
      </c>
      <c r="H500" t="e" cm="1">
        <f t="array" aca="1" ref="H500" ca="1">IF(OR(A500="",B500="safety"),"",IF(ISBLANK(INDIRECT("template!"&amp;"E"&amp;A500)),"",INDIRECT("template!"&amp;"E"&amp;A500)))</f>
        <v>#REF!</v>
      </c>
      <c r="I500" t="e" cm="1">
        <f t="array" aca="1" ref="I500" ca="1">IF(OR(A500="",B500="safety"),"",IF(ISBLANK(INDIRECT("template!"&amp;"F"&amp;A500)),"",INDIRECT("template!"&amp;"F"&amp;A500)))</f>
        <v>#REF!</v>
      </c>
      <c r="J500" t="e" cm="1">
        <f t="array" aca="1" ref="J500" ca="1">IF(OR(A500="",B500="safety"),"",IF(ISBLANK(INDIRECT("template!"&amp;"G"&amp;A500)),"",INDIRECT("template!"&amp;"G"&amp;A500)))</f>
        <v>#REF!</v>
      </c>
      <c r="K500" t="e" cm="1">
        <f t="array" aca="1" ref="K500" ca="1">IF(OR(A500="",B500="safety"),"",IF(ISBLANK(INDIRECT("template!"&amp;"H"&amp;A500)),"",INDIRECT("template!"&amp;"H"&amp;A500)))</f>
        <v>#REF!</v>
      </c>
      <c r="L500" t="e" cm="1">
        <f t="array" aca="1" ref="L500" ca="1">IF(OR(A500="",B500="safety"),"",INDIRECT("template!"&amp;"I"&amp;A500))</f>
        <v>#REF!</v>
      </c>
      <c r="M500" t="e" cm="1">
        <f t="array" aca="1" ref="M500" ca="1">IF(OR(A500="",B500="safety"),"",INDIRECT("template!"&amp;"J"&amp;A500))</f>
        <v>#REF!</v>
      </c>
      <c r="N500" t="e" cm="1">
        <f t="array" aca="1" ref="N500" ca="1">IF(OR(A500="",B500="safety"),"",IF(ISBLANK(INDIRECT("template!"&amp;"K"&amp;A500)),"",INDIRECT("template!"&amp;"K"&amp;A500)))</f>
        <v>#REF!</v>
      </c>
      <c r="O500" t="e" cm="1">
        <f t="array" aca="1" ref="O500" ca="1">IF(OR(A500="",B500="safety"),"",INDIRECT("template!"&amp;"L"&amp;A500))</f>
        <v>#REF!</v>
      </c>
      <c r="P500" t="e" cm="1">
        <f t="array" aca="1" ref="P500" ca="1">IF(OR(A500="",B500="safety"),"",INDIRECT("template!"&amp;"M"&amp;A500))</f>
        <v>#REF!</v>
      </c>
      <c r="Q500" t="e">
        <f t="shared" ca="1" si="40"/>
        <v>#REF!</v>
      </c>
      <c r="R500" t="e">
        <f t="shared" ca="1" si="41"/>
        <v>#REF!</v>
      </c>
      <c r="S500" t="e">
        <f t="shared" ca="1" si="42"/>
        <v>#REF!</v>
      </c>
      <c r="T500" t="e">
        <f t="shared" ca="1" si="43"/>
        <v>#REF!</v>
      </c>
      <c r="U500" t="e" cm="1">
        <f t="array" aca="1" ref="U500" ca="1">IF(A500="","",IF(E500="","",IF(B500="safety",INDIRECT("template!"&amp;"P"&amp;A500),Q500+R500)))</f>
        <v>#REF!</v>
      </c>
      <c r="V500" t="e" cm="1">
        <f t="array" aca="1" ref="V500" ca="1">IF(A500="","",IF(E500="","",IF(B500="safety",INDIRECT("template!"&amp;"P"&amp;A500),S500+T500)))</f>
        <v>#REF!</v>
      </c>
      <c r="W500" t="e">
        <f ca="1">IF(A500="","",IF(E500="","",#REF!))</f>
        <v>#REF!</v>
      </c>
      <c r="X500" t="e">
        <f ca="1">IF(A500="","",IF(E500="","",#REF!))</f>
        <v>#REF!</v>
      </c>
      <c r="Y500" s="39" t="e">
        <f ca="1">IF(A500="","",IF(E500="","",#REF!))</f>
        <v>#REF!</v>
      </c>
      <c r="Z500" t="e">
        <f ca="1">IF(A500="","",IF(E500="","",#REF!))</f>
        <v>#REF!</v>
      </c>
      <c r="AA500" t="e">
        <f ca="1">IF(A500="","",IF(E500="","",#REF!))</f>
        <v>#REF!</v>
      </c>
      <c r="AB500" t="e">
        <f ca="1">IF(A500="","",IF(E500="","",#REF!))</f>
        <v>#REF!</v>
      </c>
      <c r="AC500" t="e">
        <f t="shared" ca="1" si="44"/>
        <v>#REF!</v>
      </c>
    </row>
    <row r="501" spans="1:29" x14ac:dyDescent="0.35">
      <c r="A501" t="e" cm="1">
        <f t="array" aca="1" ref="A501" ca="1">IF(A500="","",IF(OR(AND(A500+1&gt;=$AF$1,A500+1&lt;=$AF$2),AND(A500+1&gt;=$AF$6,A500+1&lt;=$AF$7),AND(A500+1&gt;=$AF$3,A500+1&lt;=$AF$4),AND(A500+1&gt;=$AF$8,A500+1&lt;=$AF$9),A500+1=$AF$5),IF(NOT(ISBLANK(INDIRECT("template!"&amp;"P"&amp;A500+1))),A500+1,IF(NOT(ISBLANK(INDIRECT("template!"&amp;"P"&amp;A500+2))),A500+2,A500+3)),IF(A500=$AF$2,$AF$3,IF(A500=$AF$4,$AF$5,IF(A500=$AF$5,$AF$6,IF(A500=$AF$7,$AF$8,""))))))</f>
        <v>#REF!</v>
      </c>
      <c r="B501" t="e">
        <f t="shared" ca="1" si="39"/>
        <v>#REF!</v>
      </c>
      <c r="C501" t="e" cm="1">
        <f t="array" aca="1" ref="C501" ca="1">IF(A501="","",IF(B501="safety","safety costs",INDIRECT("template!"&amp;"B"&amp;A501)))</f>
        <v>#REF!</v>
      </c>
      <c r="D501" t="e" cm="1">
        <f t="array" aca="1" ref="D501" ca="1">IF(OR(A501="",B501="safety"),"",INDIRECT("template!"&amp;"C"&amp;A501))</f>
        <v>#REF!</v>
      </c>
      <c r="E501" t="e" cm="1">
        <f t="array" aca="1" ref="E501" ca="1">IF(A501="","",IF(OR(A501=A500+1,A501=A500+2),E500,INDIRECT("template!"&amp;"D"&amp;A501-2)))</f>
        <v>#REF!</v>
      </c>
      <c r="F501" t="e" cm="1">
        <f t="array" aca="1" ref="F501" ca="1">IF(OR(A501="",B501="safety"),"",IF(ISBLANK(IF(A501=A500+1,F500,INDIRECT("template!"&amp;"D"&amp;A501-1))),"",IF(A501=A500+1,F500,INDIRECT("template!"&amp;"D"&amp;A501-1))))</f>
        <v>#REF!</v>
      </c>
      <c r="G501" t="e" cm="1">
        <f t="array" aca="1" ref="G501" ca="1">IF(OR(A501="",B501="safety"),"",IF(ISBLANK(INDIRECT("template!"&amp;"D"&amp;A501)),"",INDIRECT("template!"&amp;"D"&amp;A501)))</f>
        <v>#REF!</v>
      </c>
      <c r="H501" t="e" cm="1">
        <f t="array" aca="1" ref="H501" ca="1">IF(OR(A501="",B501="safety"),"",IF(ISBLANK(INDIRECT("template!"&amp;"E"&amp;A501)),"",INDIRECT("template!"&amp;"E"&amp;A501)))</f>
        <v>#REF!</v>
      </c>
      <c r="I501" t="e" cm="1">
        <f t="array" aca="1" ref="I501" ca="1">IF(OR(A501="",B501="safety"),"",IF(ISBLANK(INDIRECT("template!"&amp;"F"&amp;A501)),"",INDIRECT("template!"&amp;"F"&amp;A501)))</f>
        <v>#REF!</v>
      </c>
      <c r="J501" t="e" cm="1">
        <f t="array" aca="1" ref="J501" ca="1">IF(OR(A501="",B501="safety"),"",IF(ISBLANK(INDIRECT("template!"&amp;"G"&amp;A501)),"",INDIRECT("template!"&amp;"G"&amp;A501)))</f>
        <v>#REF!</v>
      </c>
      <c r="K501" t="e" cm="1">
        <f t="array" aca="1" ref="K501" ca="1">IF(OR(A501="",B501="safety"),"",IF(ISBLANK(INDIRECT("template!"&amp;"H"&amp;A501)),"",INDIRECT("template!"&amp;"H"&amp;A501)))</f>
        <v>#REF!</v>
      </c>
      <c r="L501" t="e" cm="1">
        <f t="array" aca="1" ref="L501" ca="1">IF(OR(A501="",B501="safety"),"",INDIRECT("template!"&amp;"I"&amp;A501))</f>
        <v>#REF!</v>
      </c>
      <c r="M501" t="e" cm="1">
        <f t="array" aca="1" ref="M501" ca="1">IF(OR(A501="",B501="safety"),"",INDIRECT("template!"&amp;"J"&amp;A501))</f>
        <v>#REF!</v>
      </c>
      <c r="N501" t="e" cm="1">
        <f t="array" aca="1" ref="N501" ca="1">IF(OR(A501="",B501="safety"),"",IF(ISBLANK(INDIRECT("template!"&amp;"K"&amp;A501)),"",INDIRECT("template!"&amp;"K"&amp;A501)))</f>
        <v>#REF!</v>
      </c>
      <c r="O501" t="e" cm="1">
        <f t="array" aca="1" ref="O501" ca="1">IF(OR(A501="",B501="safety"),"",INDIRECT("template!"&amp;"L"&amp;A501))</f>
        <v>#REF!</v>
      </c>
      <c r="P501" t="e" cm="1">
        <f t="array" aca="1" ref="P501" ca="1">IF(OR(A501="",B501="safety"),"",INDIRECT("template!"&amp;"M"&amp;A501))</f>
        <v>#REF!</v>
      </c>
      <c r="Q501" t="e">
        <f t="shared" ca="1" si="40"/>
        <v>#REF!</v>
      </c>
      <c r="R501" t="e">
        <f t="shared" ca="1" si="41"/>
        <v>#REF!</v>
      </c>
      <c r="S501" t="e">
        <f t="shared" ca="1" si="42"/>
        <v>#REF!</v>
      </c>
      <c r="T501" t="e">
        <f t="shared" ca="1" si="43"/>
        <v>#REF!</v>
      </c>
      <c r="U501" t="e" cm="1">
        <f t="array" aca="1" ref="U501" ca="1">IF(A501="","",IF(E501="","",IF(B501="safety",INDIRECT("template!"&amp;"P"&amp;A501),Q501+R501)))</f>
        <v>#REF!</v>
      </c>
      <c r="V501" t="e" cm="1">
        <f t="array" aca="1" ref="V501" ca="1">IF(A501="","",IF(E501="","",IF(B501="safety",INDIRECT("template!"&amp;"P"&amp;A501),S501+T501)))</f>
        <v>#REF!</v>
      </c>
      <c r="W501" t="e">
        <f ca="1">IF(A501="","",IF(E501="","",#REF!))</f>
        <v>#REF!</v>
      </c>
      <c r="X501" t="e">
        <f ca="1">IF(A501="","",IF(E501="","",#REF!))</f>
        <v>#REF!</v>
      </c>
      <c r="Y501" s="39" t="e">
        <f ca="1">IF(A501="","",IF(E501="","",#REF!))</f>
        <v>#REF!</v>
      </c>
      <c r="Z501" t="e">
        <f ca="1">IF(A501="","",IF(E501="","",#REF!))</f>
        <v>#REF!</v>
      </c>
      <c r="AA501" t="e">
        <f ca="1">IF(A501="","",IF(E501="","",#REF!))</f>
        <v>#REF!</v>
      </c>
      <c r="AB501" t="e">
        <f ca="1">IF(A501="","",IF(E501="","",#REF!))</f>
        <v>#REF!</v>
      </c>
      <c r="AC501" t="e">
        <f t="shared" ca="1" si="44"/>
        <v>#REF!</v>
      </c>
    </row>
    <row r="502" spans="1:29" x14ac:dyDescent="0.35">
      <c r="A502" t="e" cm="1">
        <f t="array" aca="1" ref="A502" ca="1">IF(A501="","",IF(OR(AND(A501+1&gt;=$AF$1,A501+1&lt;=$AF$2),AND(A501+1&gt;=$AF$6,A501+1&lt;=$AF$7),AND(A501+1&gt;=$AF$3,A501+1&lt;=$AF$4),AND(A501+1&gt;=$AF$8,A501+1&lt;=$AF$9),A501+1=$AF$5),IF(NOT(ISBLANK(INDIRECT("template!"&amp;"P"&amp;A501+1))),A501+1,IF(NOT(ISBLANK(INDIRECT("template!"&amp;"P"&amp;A501+2))),A501+2,A501+3)),IF(A501=$AF$2,$AF$3,IF(A501=$AF$4,$AF$5,IF(A501=$AF$5,$AF$6,IF(A501=$AF$7,$AF$8,""))))))</f>
        <v>#REF!</v>
      </c>
      <c r="B502" t="e">
        <f t="shared" ca="1" si="39"/>
        <v>#REF!</v>
      </c>
      <c r="C502" t="e" cm="1">
        <f t="array" aca="1" ref="C502" ca="1">IF(A502="","",IF(B502="safety","safety costs",INDIRECT("template!"&amp;"B"&amp;A502)))</f>
        <v>#REF!</v>
      </c>
      <c r="D502" t="e" cm="1">
        <f t="array" aca="1" ref="D502" ca="1">IF(OR(A502="",B502="safety"),"",INDIRECT("template!"&amp;"C"&amp;A502))</f>
        <v>#REF!</v>
      </c>
      <c r="E502" t="e" cm="1">
        <f t="array" aca="1" ref="E502" ca="1">IF(A502="","",IF(OR(A502=A501+1,A502=A501+2),E501,INDIRECT("template!"&amp;"D"&amp;A502-2)))</f>
        <v>#REF!</v>
      </c>
      <c r="F502" t="e" cm="1">
        <f t="array" aca="1" ref="F502" ca="1">IF(OR(A502="",B502="safety"),"",IF(ISBLANK(IF(A502=A501+1,F501,INDIRECT("template!"&amp;"D"&amp;A502-1))),"",IF(A502=A501+1,F501,INDIRECT("template!"&amp;"D"&amp;A502-1))))</f>
        <v>#REF!</v>
      </c>
      <c r="G502" t="e" cm="1">
        <f t="array" aca="1" ref="G502" ca="1">IF(OR(A502="",B502="safety"),"",IF(ISBLANK(INDIRECT("template!"&amp;"D"&amp;A502)),"",INDIRECT("template!"&amp;"D"&amp;A502)))</f>
        <v>#REF!</v>
      </c>
      <c r="H502" t="e" cm="1">
        <f t="array" aca="1" ref="H502" ca="1">IF(OR(A502="",B502="safety"),"",IF(ISBLANK(INDIRECT("template!"&amp;"E"&amp;A502)),"",INDIRECT("template!"&amp;"E"&amp;A502)))</f>
        <v>#REF!</v>
      </c>
      <c r="I502" t="e" cm="1">
        <f t="array" aca="1" ref="I502" ca="1">IF(OR(A502="",B502="safety"),"",IF(ISBLANK(INDIRECT("template!"&amp;"F"&amp;A502)),"",INDIRECT("template!"&amp;"F"&amp;A502)))</f>
        <v>#REF!</v>
      </c>
      <c r="J502" t="e" cm="1">
        <f t="array" aca="1" ref="J502" ca="1">IF(OR(A502="",B502="safety"),"",IF(ISBLANK(INDIRECT("template!"&amp;"G"&amp;A502)),"",INDIRECT("template!"&amp;"G"&amp;A502)))</f>
        <v>#REF!</v>
      </c>
      <c r="K502" t="e" cm="1">
        <f t="array" aca="1" ref="K502" ca="1">IF(OR(A502="",B502="safety"),"",IF(ISBLANK(INDIRECT("template!"&amp;"H"&amp;A502)),"",INDIRECT("template!"&amp;"H"&amp;A502)))</f>
        <v>#REF!</v>
      </c>
      <c r="L502" t="e" cm="1">
        <f t="array" aca="1" ref="L502" ca="1">IF(OR(A502="",B502="safety"),"",INDIRECT("template!"&amp;"I"&amp;A502))</f>
        <v>#REF!</v>
      </c>
      <c r="M502" t="e" cm="1">
        <f t="array" aca="1" ref="M502" ca="1">IF(OR(A502="",B502="safety"),"",INDIRECT("template!"&amp;"J"&amp;A502))</f>
        <v>#REF!</v>
      </c>
      <c r="N502" t="e" cm="1">
        <f t="array" aca="1" ref="N502" ca="1">IF(OR(A502="",B502="safety"),"",IF(ISBLANK(INDIRECT("template!"&amp;"K"&amp;A502)),"",INDIRECT("template!"&amp;"K"&amp;A502)))</f>
        <v>#REF!</v>
      </c>
      <c r="O502" t="e" cm="1">
        <f t="array" aca="1" ref="O502" ca="1">IF(OR(A502="",B502="safety"),"",INDIRECT("template!"&amp;"L"&amp;A502))</f>
        <v>#REF!</v>
      </c>
      <c r="P502" t="e" cm="1">
        <f t="array" aca="1" ref="P502" ca="1">IF(OR(A502="",B502="safety"),"",INDIRECT("template!"&amp;"M"&amp;A502))</f>
        <v>#REF!</v>
      </c>
      <c r="Q502" t="e">
        <f t="shared" ca="1" si="40"/>
        <v>#REF!</v>
      </c>
      <c r="R502" t="e">
        <f t="shared" ca="1" si="41"/>
        <v>#REF!</v>
      </c>
      <c r="S502" t="e">
        <f t="shared" ca="1" si="42"/>
        <v>#REF!</v>
      </c>
      <c r="T502" t="e">
        <f t="shared" ca="1" si="43"/>
        <v>#REF!</v>
      </c>
      <c r="U502" t="e" cm="1">
        <f t="array" aca="1" ref="U502" ca="1">IF(A502="","",IF(E502="","",IF(B502="safety",INDIRECT("template!"&amp;"P"&amp;A502),Q502+R502)))</f>
        <v>#REF!</v>
      </c>
      <c r="V502" t="e" cm="1">
        <f t="array" aca="1" ref="V502" ca="1">IF(A502="","",IF(E502="","",IF(B502="safety",INDIRECT("template!"&amp;"P"&amp;A502),S502+T502)))</f>
        <v>#REF!</v>
      </c>
      <c r="W502" t="e">
        <f ca="1">IF(A502="","",IF(E502="","",#REF!))</f>
        <v>#REF!</v>
      </c>
      <c r="X502" t="e">
        <f ca="1">IF(A502="","",IF(E502="","",#REF!))</f>
        <v>#REF!</v>
      </c>
      <c r="Y502" s="39" t="e">
        <f ca="1">IF(A502="","",IF(E502="","",#REF!))</f>
        <v>#REF!</v>
      </c>
      <c r="Z502" t="e">
        <f ca="1">IF(A502="","",IF(E502="","",#REF!))</f>
        <v>#REF!</v>
      </c>
      <c r="AA502" t="e">
        <f ca="1">IF(A502="","",IF(E502="","",#REF!))</f>
        <v>#REF!</v>
      </c>
      <c r="AB502" t="e">
        <f ca="1">IF(A502="","",IF(E502="","",#REF!))</f>
        <v>#REF!</v>
      </c>
      <c r="AC502" t="e">
        <f t="shared" ca="1" si="44"/>
        <v>#REF!</v>
      </c>
    </row>
    <row r="503" spans="1:29" x14ac:dyDescent="0.35">
      <c r="A503" t="e" cm="1">
        <f t="array" aca="1" ref="A503" ca="1">IF(A502="","",IF(OR(AND(A502+1&gt;=$AF$1,A502+1&lt;=$AF$2),AND(A502+1&gt;=$AF$6,A502+1&lt;=$AF$7),AND(A502+1&gt;=$AF$3,A502+1&lt;=$AF$4),AND(A502+1&gt;=$AF$8,A502+1&lt;=$AF$9),A502+1=$AF$5),IF(NOT(ISBLANK(INDIRECT("template!"&amp;"P"&amp;A502+1))),A502+1,IF(NOT(ISBLANK(INDIRECT("template!"&amp;"P"&amp;A502+2))),A502+2,A502+3)),IF(A502=$AF$2,$AF$3,IF(A502=$AF$4,$AF$5,IF(A502=$AF$5,$AF$6,IF(A502=$AF$7,$AF$8,""))))))</f>
        <v>#REF!</v>
      </c>
      <c r="B503" t="e">
        <f t="shared" ca="1" si="39"/>
        <v>#REF!</v>
      </c>
      <c r="C503" t="e" cm="1">
        <f t="array" aca="1" ref="C503" ca="1">IF(A503="","",IF(B503="safety","safety costs",INDIRECT("template!"&amp;"B"&amp;A503)))</f>
        <v>#REF!</v>
      </c>
      <c r="D503" t="e" cm="1">
        <f t="array" aca="1" ref="D503" ca="1">IF(OR(A503="",B503="safety"),"",INDIRECT("template!"&amp;"C"&amp;A503))</f>
        <v>#REF!</v>
      </c>
      <c r="E503" t="e" cm="1">
        <f t="array" aca="1" ref="E503" ca="1">IF(A503="","",IF(OR(A503=A502+1,A503=A502+2),E502,INDIRECT("template!"&amp;"D"&amp;A503-2)))</f>
        <v>#REF!</v>
      </c>
      <c r="F503" t="e" cm="1">
        <f t="array" aca="1" ref="F503" ca="1">IF(OR(A503="",B503="safety"),"",IF(ISBLANK(IF(A503=A502+1,F502,INDIRECT("template!"&amp;"D"&amp;A503-1))),"",IF(A503=A502+1,F502,INDIRECT("template!"&amp;"D"&amp;A503-1))))</f>
        <v>#REF!</v>
      </c>
      <c r="G503" t="e" cm="1">
        <f t="array" aca="1" ref="G503" ca="1">IF(OR(A503="",B503="safety"),"",IF(ISBLANK(INDIRECT("template!"&amp;"D"&amp;A503)),"",INDIRECT("template!"&amp;"D"&amp;A503)))</f>
        <v>#REF!</v>
      </c>
      <c r="H503" t="e" cm="1">
        <f t="array" aca="1" ref="H503" ca="1">IF(OR(A503="",B503="safety"),"",IF(ISBLANK(INDIRECT("template!"&amp;"E"&amp;A503)),"",INDIRECT("template!"&amp;"E"&amp;A503)))</f>
        <v>#REF!</v>
      </c>
      <c r="I503" t="e" cm="1">
        <f t="array" aca="1" ref="I503" ca="1">IF(OR(A503="",B503="safety"),"",IF(ISBLANK(INDIRECT("template!"&amp;"F"&amp;A503)),"",INDIRECT("template!"&amp;"F"&amp;A503)))</f>
        <v>#REF!</v>
      </c>
      <c r="J503" t="e" cm="1">
        <f t="array" aca="1" ref="J503" ca="1">IF(OR(A503="",B503="safety"),"",IF(ISBLANK(INDIRECT("template!"&amp;"G"&amp;A503)),"",INDIRECT("template!"&amp;"G"&amp;A503)))</f>
        <v>#REF!</v>
      </c>
      <c r="K503" t="e" cm="1">
        <f t="array" aca="1" ref="K503" ca="1">IF(OR(A503="",B503="safety"),"",IF(ISBLANK(INDIRECT("template!"&amp;"H"&amp;A503)),"",INDIRECT("template!"&amp;"H"&amp;A503)))</f>
        <v>#REF!</v>
      </c>
      <c r="L503" t="e" cm="1">
        <f t="array" aca="1" ref="L503" ca="1">IF(OR(A503="",B503="safety"),"",INDIRECT("template!"&amp;"I"&amp;A503))</f>
        <v>#REF!</v>
      </c>
      <c r="M503" t="e" cm="1">
        <f t="array" aca="1" ref="M503" ca="1">IF(OR(A503="",B503="safety"),"",INDIRECT("template!"&amp;"J"&amp;A503))</f>
        <v>#REF!</v>
      </c>
      <c r="N503" t="e" cm="1">
        <f t="array" aca="1" ref="N503" ca="1">IF(OR(A503="",B503="safety"),"",IF(ISBLANK(INDIRECT("template!"&amp;"K"&amp;A503)),"",INDIRECT("template!"&amp;"K"&amp;A503)))</f>
        <v>#REF!</v>
      </c>
      <c r="O503" t="e" cm="1">
        <f t="array" aca="1" ref="O503" ca="1">IF(OR(A503="",B503="safety"),"",INDIRECT("template!"&amp;"L"&amp;A503))</f>
        <v>#REF!</v>
      </c>
      <c r="P503" t="e" cm="1">
        <f t="array" aca="1" ref="P503" ca="1">IF(OR(A503="",B503="safety"),"",INDIRECT("template!"&amp;"M"&amp;A503))</f>
        <v>#REF!</v>
      </c>
      <c r="Q503" t="e">
        <f t="shared" ca="1" si="40"/>
        <v>#REF!</v>
      </c>
      <c r="R503" t="e">
        <f t="shared" ca="1" si="41"/>
        <v>#REF!</v>
      </c>
      <c r="S503" t="e">
        <f t="shared" ca="1" si="42"/>
        <v>#REF!</v>
      </c>
      <c r="T503" t="e">
        <f t="shared" ca="1" si="43"/>
        <v>#REF!</v>
      </c>
      <c r="U503" t="e" cm="1">
        <f t="array" aca="1" ref="U503" ca="1">IF(A503="","",IF(E503="","",IF(B503="safety",INDIRECT("template!"&amp;"P"&amp;A503),Q503+R503)))</f>
        <v>#REF!</v>
      </c>
      <c r="V503" t="e" cm="1">
        <f t="array" aca="1" ref="V503" ca="1">IF(A503="","",IF(E503="","",IF(B503="safety",INDIRECT("template!"&amp;"P"&amp;A503),S503+T503)))</f>
        <v>#REF!</v>
      </c>
      <c r="W503" t="e">
        <f ca="1">IF(A503="","",IF(E503="","",#REF!))</f>
        <v>#REF!</v>
      </c>
      <c r="X503" t="e">
        <f ca="1">IF(A503="","",IF(E503="","",#REF!))</f>
        <v>#REF!</v>
      </c>
      <c r="Y503" s="39" t="e">
        <f ca="1">IF(A503="","",IF(E503="","",#REF!))</f>
        <v>#REF!</v>
      </c>
      <c r="Z503" t="e">
        <f ca="1">IF(A503="","",IF(E503="","",#REF!))</f>
        <v>#REF!</v>
      </c>
      <c r="AA503" t="e">
        <f ca="1">IF(A503="","",IF(E503="","",#REF!))</f>
        <v>#REF!</v>
      </c>
      <c r="AB503" t="e">
        <f ca="1">IF(A503="","",IF(E503="","",#REF!))</f>
        <v>#REF!</v>
      </c>
      <c r="AC503" t="e">
        <f t="shared" ca="1" si="44"/>
        <v>#REF!</v>
      </c>
    </row>
    <row r="504" spans="1:29" x14ac:dyDescent="0.35">
      <c r="A504" t="e" cm="1">
        <f t="array" aca="1" ref="A504" ca="1">IF(A503="","",IF(OR(AND(A503+1&gt;=$AF$1,A503+1&lt;=$AF$2),AND(A503+1&gt;=$AF$6,A503+1&lt;=$AF$7),AND(A503+1&gt;=$AF$3,A503+1&lt;=$AF$4),AND(A503+1&gt;=$AF$8,A503+1&lt;=$AF$9),A503+1=$AF$5),IF(NOT(ISBLANK(INDIRECT("template!"&amp;"P"&amp;A503+1))),A503+1,IF(NOT(ISBLANK(INDIRECT("template!"&amp;"P"&amp;A503+2))),A503+2,A503+3)),IF(A503=$AF$2,$AF$3,IF(A503=$AF$4,$AF$5,IF(A503=$AF$5,$AF$6,IF(A503=$AF$7,$AF$8,""))))))</f>
        <v>#REF!</v>
      </c>
      <c r="B504" t="e">
        <f t="shared" ca="1" si="39"/>
        <v>#REF!</v>
      </c>
      <c r="C504" t="e" cm="1">
        <f t="array" aca="1" ref="C504" ca="1">IF(A504="","",IF(B504="safety","safety costs",INDIRECT("template!"&amp;"B"&amp;A504)))</f>
        <v>#REF!</v>
      </c>
      <c r="D504" t="e" cm="1">
        <f t="array" aca="1" ref="D504" ca="1">IF(OR(A504="",B504="safety"),"",INDIRECT("template!"&amp;"C"&amp;A504))</f>
        <v>#REF!</v>
      </c>
      <c r="E504" t="e" cm="1">
        <f t="array" aca="1" ref="E504" ca="1">IF(A504="","",IF(OR(A504=A503+1,A504=A503+2),E503,INDIRECT("template!"&amp;"D"&amp;A504-2)))</f>
        <v>#REF!</v>
      </c>
      <c r="F504" t="e" cm="1">
        <f t="array" aca="1" ref="F504" ca="1">IF(OR(A504="",B504="safety"),"",IF(ISBLANK(IF(A504=A503+1,F503,INDIRECT("template!"&amp;"D"&amp;A504-1))),"",IF(A504=A503+1,F503,INDIRECT("template!"&amp;"D"&amp;A504-1))))</f>
        <v>#REF!</v>
      </c>
      <c r="G504" t="e" cm="1">
        <f t="array" aca="1" ref="G504" ca="1">IF(OR(A504="",B504="safety"),"",IF(ISBLANK(INDIRECT("template!"&amp;"D"&amp;A504)),"",INDIRECT("template!"&amp;"D"&amp;A504)))</f>
        <v>#REF!</v>
      </c>
      <c r="H504" t="e" cm="1">
        <f t="array" aca="1" ref="H504" ca="1">IF(OR(A504="",B504="safety"),"",IF(ISBLANK(INDIRECT("template!"&amp;"E"&amp;A504)),"",INDIRECT("template!"&amp;"E"&amp;A504)))</f>
        <v>#REF!</v>
      </c>
      <c r="I504" t="e" cm="1">
        <f t="array" aca="1" ref="I504" ca="1">IF(OR(A504="",B504="safety"),"",IF(ISBLANK(INDIRECT("template!"&amp;"F"&amp;A504)),"",INDIRECT("template!"&amp;"F"&amp;A504)))</f>
        <v>#REF!</v>
      </c>
      <c r="J504" t="e" cm="1">
        <f t="array" aca="1" ref="J504" ca="1">IF(OR(A504="",B504="safety"),"",IF(ISBLANK(INDIRECT("template!"&amp;"G"&amp;A504)),"",INDIRECT("template!"&amp;"G"&amp;A504)))</f>
        <v>#REF!</v>
      </c>
      <c r="K504" t="e" cm="1">
        <f t="array" aca="1" ref="K504" ca="1">IF(OR(A504="",B504="safety"),"",IF(ISBLANK(INDIRECT("template!"&amp;"H"&amp;A504)),"",INDIRECT("template!"&amp;"H"&amp;A504)))</f>
        <v>#REF!</v>
      </c>
      <c r="L504" t="e" cm="1">
        <f t="array" aca="1" ref="L504" ca="1">IF(OR(A504="",B504="safety"),"",INDIRECT("template!"&amp;"I"&amp;A504))</f>
        <v>#REF!</v>
      </c>
      <c r="M504" t="e" cm="1">
        <f t="array" aca="1" ref="M504" ca="1">IF(OR(A504="",B504="safety"),"",INDIRECT("template!"&amp;"J"&amp;A504))</f>
        <v>#REF!</v>
      </c>
      <c r="N504" t="e" cm="1">
        <f t="array" aca="1" ref="N504" ca="1">IF(OR(A504="",B504="safety"),"",IF(ISBLANK(INDIRECT("template!"&amp;"K"&amp;A504)),"",INDIRECT("template!"&amp;"K"&amp;A504)))</f>
        <v>#REF!</v>
      </c>
      <c r="O504" t="e" cm="1">
        <f t="array" aca="1" ref="O504" ca="1">IF(OR(A504="",B504="safety"),"",INDIRECT("template!"&amp;"L"&amp;A504))</f>
        <v>#REF!</v>
      </c>
      <c r="P504" t="e" cm="1">
        <f t="array" aca="1" ref="P504" ca="1">IF(OR(A504="",B504="safety"),"",INDIRECT("template!"&amp;"M"&amp;A504))</f>
        <v>#REF!</v>
      </c>
      <c r="Q504" t="e">
        <f t="shared" ca="1" si="40"/>
        <v>#REF!</v>
      </c>
      <c r="R504" t="e">
        <f t="shared" ca="1" si="41"/>
        <v>#REF!</v>
      </c>
      <c r="S504" t="e">
        <f t="shared" ca="1" si="42"/>
        <v>#REF!</v>
      </c>
      <c r="T504" t="e">
        <f t="shared" ca="1" si="43"/>
        <v>#REF!</v>
      </c>
      <c r="U504" t="e" cm="1">
        <f t="array" aca="1" ref="U504" ca="1">IF(A504="","",IF(E504="","",IF(B504="safety",INDIRECT("template!"&amp;"P"&amp;A504),Q504+R504)))</f>
        <v>#REF!</v>
      </c>
      <c r="V504" t="e" cm="1">
        <f t="array" aca="1" ref="V504" ca="1">IF(A504="","",IF(E504="","",IF(B504="safety",INDIRECT("template!"&amp;"P"&amp;A504),S504+T504)))</f>
        <v>#REF!</v>
      </c>
      <c r="W504" t="e">
        <f ca="1">IF(A504="","",IF(E504="","",#REF!))</f>
        <v>#REF!</v>
      </c>
      <c r="X504" t="e">
        <f ca="1">IF(A504="","",IF(E504="","",#REF!))</f>
        <v>#REF!</v>
      </c>
      <c r="Y504" s="39" t="e">
        <f ca="1">IF(A504="","",IF(E504="","",#REF!))</f>
        <v>#REF!</v>
      </c>
      <c r="Z504" t="e">
        <f ca="1">IF(A504="","",IF(E504="","",#REF!))</f>
        <v>#REF!</v>
      </c>
      <c r="AA504" t="e">
        <f ca="1">IF(A504="","",IF(E504="","",#REF!))</f>
        <v>#REF!</v>
      </c>
      <c r="AB504" t="e">
        <f ca="1">IF(A504="","",IF(E504="","",#REF!))</f>
        <v>#REF!</v>
      </c>
      <c r="AC504" t="e">
        <f t="shared" ca="1" si="44"/>
        <v>#REF!</v>
      </c>
    </row>
    <row r="505" spans="1:29" x14ac:dyDescent="0.35">
      <c r="A505" t="e" cm="1">
        <f t="array" aca="1" ref="A505" ca="1">IF(A504="","",IF(OR(AND(A504+1&gt;=$AF$1,A504+1&lt;=$AF$2),AND(A504+1&gt;=$AF$6,A504+1&lt;=$AF$7),AND(A504+1&gt;=$AF$3,A504+1&lt;=$AF$4),AND(A504+1&gt;=$AF$8,A504+1&lt;=$AF$9),A504+1=$AF$5),IF(NOT(ISBLANK(INDIRECT("template!"&amp;"P"&amp;A504+1))),A504+1,IF(NOT(ISBLANK(INDIRECT("template!"&amp;"P"&amp;A504+2))),A504+2,A504+3)),IF(A504=$AF$2,$AF$3,IF(A504=$AF$4,$AF$5,IF(A504=$AF$5,$AF$6,IF(A504=$AF$7,$AF$8,""))))))</f>
        <v>#REF!</v>
      </c>
      <c r="B505" t="e">
        <f t="shared" ca="1" si="39"/>
        <v>#REF!</v>
      </c>
      <c r="C505" t="e" cm="1">
        <f t="array" aca="1" ref="C505" ca="1">IF(A505="","",IF(B505="safety","safety costs",INDIRECT("template!"&amp;"B"&amp;A505)))</f>
        <v>#REF!</v>
      </c>
      <c r="D505" t="e" cm="1">
        <f t="array" aca="1" ref="D505" ca="1">IF(OR(A505="",B505="safety"),"",INDIRECT("template!"&amp;"C"&amp;A505))</f>
        <v>#REF!</v>
      </c>
      <c r="E505" t="e" cm="1">
        <f t="array" aca="1" ref="E505" ca="1">IF(A505="","",IF(OR(A505=A504+1,A505=A504+2),E504,INDIRECT("template!"&amp;"D"&amp;A505-2)))</f>
        <v>#REF!</v>
      </c>
      <c r="F505" t="e" cm="1">
        <f t="array" aca="1" ref="F505" ca="1">IF(OR(A505="",B505="safety"),"",IF(ISBLANK(IF(A505=A504+1,F504,INDIRECT("template!"&amp;"D"&amp;A505-1))),"",IF(A505=A504+1,F504,INDIRECT("template!"&amp;"D"&amp;A505-1))))</f>
        <v>#REF!</v>
      </c>
      <c r="G505" t="e" cm="1">
        <f t="array" aca="1" ref="G505" ca="1">IF(OR(A505="",B505="safety"),"",IF(ISBLANK(INDIRECT("template!"&amp;"D"&amp;A505)),"",INDIRECT("template!"&amp;"D"&amp;A505)))</f>
        <v>#REF!</v>
      </c>
      <c r="H505" t="e" cm="1">
        <f t="array" aca="1" ref="H505" ca="1">IF(OR(A505="",B505="safety"),"",IF(ISBLANK(INDIRECT("template!"&amp;"E"&amp;A505)),"",INDIRECT("template!"&amp;"E"&amp;A505)))</f>
        <v>#REF!</v>
      </c>
      <c r="I505" t="e" cm="1">
        <f t="array" aca="1" ref="I505" ca="1">IF(OR(A505="",B505="safety"),"",IF(ISBLANK(INDIRECT("template!"&amp;"F"&amp;A505)),"",INDIRECT("template!"&amp;"F"&amp;A505)))</f>
        <v>#REF!</v>
      </c>
      <c r="J505" t="e" cm="1">
        <f t="array" aca="1" ref="J505" ca="1">IF(OR(A505="",B505="safety"),"",IF(ISBLANK(INDIRECT("template!"&amp;"G"&amp;A505)),"",INDIRECT("template!"&amp;"G"&amp;A505)))</f>
        <v>#REF!</v>
      </c>
      <c r="K505" t="e" cm="1">
        <f t="array" aca="1" ref="K505" ca="1">IF(OR(A505="",B505="safety"),"",IF(ISBLANK(INDIRECT("template!"&amp;"H"&amp;A505)),"",INDIRECT("template!"&amp;"H"&amp;A505)))</f>
        <v>#REF!</v>
      </c>
      <c r="L505" t="e" cm="1">
        <f t="array" aca="1" ref="L505" ca="1">IF(OR(A505="",B505="safety"),"",INDIRECT("template!"&amp;"I"&amp;A505))</f>
        <v>#REF!</v>
      </c>
      <c r="M505" t="e" cm="1">
        <f t="array" aca="1" ref="M505" ca="1">IF(OR(A505="",B505="safety"),"",INDIRECT("template!"&amp;"J"&amp;A505))</f>
        <v>#REF!</v>
      </c>
      <c r="N505" t="e" cm="1">
        <f t="array" aca="1" ref="N505" ca="1">IF(OR(A505="",B505="safety"),"",IF(ISBLANK(INDIRECT("template!"&amp;"K"&amp;A505)),"",INDIRECT("template!"&amp;"K"&amp;A505)))</f>
        <v>#REF!</v>
      </c>
      <c r="O505" t="e" cm="1">
        <f t="array" aca="1" ref="O505" ca="1">IF(OR(A505="",B505="safety"),"",INDIRECT("template!"&amp;"L"&amp;A505))</f>
        <v>#REF!</v>
      </c>
      <c r="P505" t="e" cm="1">
        <f t="array" aca="1" ref="P505" ca="1">IF(OR(A505="",B505="safety"),"",INDIRECT("template!"&amp;"M"&amp;A505))</f>
        <v>#REF!</v>
      </c>
      <c r="Q505" t="e">
        <f t="shared" ca="1" si="40"/>
        <v>#REF!</v>
      </c>
      <c r="R505" t="e">
        <f t="shared" ca="1" si="41"/>
        <v>#REF!</v>
      </c>
      <c r="S505" t="e">
        <f t="shared" ca="1" si="42"/>
        <v>#REF!</v>
      </c>
      <c r="T505" t="e">
        <f t="shared" ca="1" si="43"/>
        <v>#REF!</v>
      </c>
      <c r="U505" t="e" cm="1">
        <f t="array" aca="1" ref="U505" ca="1">IF(A505="","",IF(E505="","",IF(B505="safety",INDIRECT("template!"&amp;"P"&amp;A505),Q505+R505)))</f>
        <v>#REF!</v>
      </c>
      <c r="V505" t="e" cm="1">
        <f t="array" aca="1" ref="V505" ca="1">IF(A505="","",IF(E505="","",IF(B505="safety",INDIRECT("template!"&amp;"P"&amp;A505),S505+T505)))</f>
        <v>#REF!</v>
      </c>
      <c r="W505" t="e">
        <f ca="1">IF(A505="","",IF(E505="","",#REF!))</f>
        <v>#REF!</v>
      </c>
      <c r="X505" t="e">
        <f ca="1">IF(A505="","",IF(E505="","",#REF!))</f>
        <v>#REF!</v>
      </c>
      <c r="Y505" s="39" t="e">
        <f ca="1">IF(A505="","",IF(E505="","",#REF!))</f>
        <v>#REF!</v>
      </c>
      <c r="Z505" t="e">
        <f ca="1">IF(A505="","",IF(E505="","",#REF!))</f>
        <v>#REF!</v>
      </c>
      <c r="AA505" t="e">
        <f ca="1">IF(A505="","",IF(E505="","",#REF!))</f>
        <v>#REF!</v>
      </c>
      <c r="AB505" t="e">
        <f ca="1">IF(A505="","",IF(E505="","",#REF!))</f>
        <v>#REF!</v>
      </c>
      <c r="AC505" t="e">
        <f t="shared" ca="1" si="44"/>
        <v>#REF!</v>
      </c>
    </row>
    <row r="506" spans="1:29" x14ac:dyDescent="0.35">
      <c r="A506" t="e" cm="1">
        <f t="array" aca="1" ref="A506" ca="1">IF(A505="","",IF(OR(AND(A505+1&gt;=$AF$1,A505+1&lt;=$AF$2),AND(A505+1&gt;=$AF$6,A505+1&lt;=$AF$7),AND(A505+1&gt;=$AF$3,A505+1&lt;=$AF$4),AND(A505+1&gt;=$AF$8,A505+1&lt;=$AF$9),A505+1=$AF$5),IF(NOT(ISBLANK(INDIRECT("template!"&amp;"P"&amp;A505+1))),A505+1,IF(NOT(ISBLANK(INDIRECT("template!"&amp;"P"&amp;A505+2))),A505+2,A505+3)),IF(A505=$AF$2,$AF$3,IF(A505=$AF$4,$AF$5,IF(A505=$AF$5,$AF$6,IF(A505=$AF$7,$AF$8,""))))))</f>
        <v>#REF!</v>
      </c>
      <c r="B506" t="e">
        <f t="shared" ca="1" si="39"/>
        <v>#REF!</v>
      </c>
      <c r="C506" t="e" cm="1">
        <f t="array" aca="1" ref="C506" ca="1">IF(A506="","",IF(B506="safety","safety costs",INDIRECT("template!"&amp;"B"&amp;A506)))</f>
        <v>#REF!</v>
      </c>
      <c r="D506" t="e" cm="1">
        <f t="array" aca="1" ref="D506" ca="1">IF(OR(A506="",B506="safety"),"",INDIRECT("template!"&amp;"C"&amp;A506))</f>
        <v>#REF!</v>
      </c>
      <c r="E506" t="e" cm="1">
        <f t="array" aca="1" ref="E506" ca="1">IF(A506="","",IF(OR(A506=A505+1,A506=A505+2),E505,INDIRECT("template!"&amp;"D"&amp;A506-2)))</f>
        <v>#REF!</v>
      </c>
      <c r="F506" t="e" cm="1">
        <f t="array" aca="1" ref="F506" ca="1">IF(OR(A506="",B506="safety"),"",IF(ISBLANK(IF(A506=A505+1,F505,INDIRECT("template!"&amp;"D"&amp;A506-1))),"",IF(A506=A505+1,F505,INDIRECT("template!"&amp;"D"&amp;A506-1))))</f>
        <v>#REF!</v>
      </c>
      <c r="G506" t="e" cm="1">
        <f t="array" aca="1" ref="G506" ca="1">IF(OR(A506="",B506="safety"),"",IF(ISBLANK(INDIRECT("template!"&amp;"D"&amp;A506)),"",INDIRECT("template!"&amp;"D"&amp;A506)))</f>
        <v>#REF!</v>
      </c>
      <c r="H506" t="e" cm="1">
        <f t="array" aca="1" ref="H506" ca="1">IF(OR(A506="",B506="safety"),"",IF(ISBLANK(INDIRECT("template!"&amp;"E"&amp;A506)),"",INDIRECT("template!"&amp;"E"&amp;A506)))</f>
        <v>#REF!</v>
      </c>
      <c r="I506" t="e" cm="1">
        <f t="array" aca="1" ref="I506" ca="1">IF(OR(A506="",B506="safety"),"",IF(ISBLANK(INDIRECT("template!"&amp;"F"&amp;A506)),"",INDIRECT("template!"&amp;"F"&amp;A506)))</f>
        <v>#REF!</v>
      </c>
      <c r="J506" t="e" cm="1">
        <f t="array" aca="1" ref="J506" ca="1">IF(OR(A506="",B506="safety"),"",IF(ISBLANK(INDIRECT("template!"&amp;"G"&amp;A506)),"",INDIRECT("template!"&amp;"G"&amp;A506)))</f>
        <v>#REF!</v>
      </c>
      <c r="K506" t="e" cm="1">
        <f t="array" aca="1" ref="K506" ca="1">IF(OR(A506="",B506="safety"),"",IF(ISBLANK(INDIRECT("template!"&amp;"H"&amp;A506)),"",INDIRECT("template!"&amp;"H"&amp;A506)))</f>
        <v>#REF!</v>
      </c>
      <c r="L506" t="e" cm="1">
        <f t="array" aca="1" ref="L506" ca="1">IF(OR(A506="",B506="safety"),"",INDIRECT("template!"&amp;"I"&amp;A506))</f>
        <v>#REF!</v>
      </c>
      <c r="M506" t="e" cm="1">
        <f t="array" aca="1" ref="M506" ca="1">IF(OR(A506="",B506="safety"),"",INDIRECT("template!"&amp;"J"&amp;A506))</f>
        <v>#REF!</v>
      </c>
      <c r="N506" t="e" cm="1">
        <f t="array" aca="1" ref="N506" ca="1">IF(OR(A506="",B506="safety"),"",IF(ISBLANK(INDIRECT("template!"&amp;"K"&amp;A506)),"",INDIRECT("template!"&amp;"K"&amp;A506)))</f>
        <v>#REF!</v>
      </c>
      <c r="O506" t="e" cm="1">
        <f t="array" aca="1" ref="O506" ca="1">IF(OR(A506="",B506="safety"),"",INDIRECT("template!"&amp;"L"&amp;A506))</f>
        <v>#REF!</v>
      </c>
      <c r="P506" t="e" cm="1">
        <f t="array" aca="1" ref="P506" ca="1">IF(OR(A506="",B506="safety"),"",INDIRECT("template!"&amp;"M"&amp;A506))</f>
        <v>#REF!</v>
      </c>
      <c r="Q506" t="e">
        <f t="shared" ca="1" si="40"/>
        <v>#REF!</v>
      </c>
      <c r="R506" t="e">
        <f t="shared" ca="1" si="41"/>
        <v>#REF!</v>
      </c>
      <c r="S506" t="e">
        <f t="shared" ca="1" si="42"/>
        <v>#REF!</v>
      </c>
      <c r="T506" t="e">
        <f t="shared" ca="1" si="43"/>
        <v>#REF!</v>
      </c>
      <c r="U506" t="e" cm="1">
        <f t="array" aca="1" ref="U506" ca="1">IF(A506="","",IF(E506="","",IF(B506="safety",INDIRECT("template!"&amp;"P"&amp;A506),Q506+R506)))</f>
        <v>#REF!</v>
      </c>
      <c r="V506" t="e" cm="1">
        <f t="array" aca="1" ref="V506" ca="1">IF(A506="","",IF(E506="","",IF(B506="safety",INDIRECT("template!"&amp;"P"&amp;A506),S506+T506)))</f>
        <v>#REF!</v>
      </c>
      <c r="W506" t="e">
        <f ca="1">IF(A506="","",IF(E506="","",#REF!))</f>
        <v>#REF!</v>
      </c>
      <c r="X506" t="e">
        <f ca="1">IF(A506="","",IF(E506="","",#REF!))</f>
        <v>#REF!</v>
      </c>
      <c r="Y506" s="39" t="e">
        <f ca="1">IF(A506="","",IF(E506="","",#REF!))</f>
        <v>#REF!</v>
      </c>
      <c r="Z506" t="e">
        <f ca="1">IF(A506="","",IF(E506="","",#REF!))</f>
        <v>#REF!</v>
      </c>
      <c r="AA506" t="e">
        <f ca="1">IF(A506="","",IF(E506="","",#REF!))</f>
        <v>#REF!</v>
      </c>
      <c r="AB506" t="e">
        <f ca="1">IF(A506="","",IF(E506="","",#REF!))</f>
        <v>#REF!</v>
      </c>
      <c r="AC506" t="e">
        <f t="shared" ca="1" si="44"/>
        <v>#REF!</v>
      </c>
    </row>
    <row r="507" spans="1:29" x14ac:dyDescent="0.35">
      <c r="A507" t="e" cm="1">
        <f t="array" aca="1" ref="A507" ca="1">IF(A506="","",IF(OR(AND(A506+1&gt;=$AF$1,A506+1&lt;=$AF$2),AND(A506+1&gt;=$AF$6,A506+1&lt;=$AF$7),AND(A506+1&gt;=$AF$3,A506+1&lt;=$AF$4),AND(A506+1&gt;=$AF$8,A506+1&lt;=$AF$9),A506+1=$AF$5),IF(NOT(ISBLANK(INDIRECT("template!"&amp;"P"&amp;A506+1))),A506+1,IF(NOT(ISBLANK(INDIRECT("template!"&amp;"P"&amp;A506+2))),A506+2,A506+3)),IF(A506=$AF$2,$AF$3,IF(A506=$AF$4,$AF$5,IF(A506=$AF$5,$AF$6,IF(A506=$AF$7,$AF$8,""))))))</f>
        <v>#REF!</v>
      </c>
      <c r="B507" t="e">
        <f t="shared" ca="1" si="39"/>
        <v>#REF!</v>
      </c>
      <c r="C507" t="e" cm="1">
        <f t="array" aca="1" ref="C507" ca="1">IF(A507="","",IF(B507="safety","safety costs",INDIRECT("template!"&amp;"B"&amp;A507)))</f>
        <v>#REF!</v>
      </c>
      <c r="D507" t="e" cm="1">
        <f t="array" aca="1" ref="D507" ca="1">IF(OR(A507="",B507="safety"),"",INDIRECT("template!"&amp;"C"&amp;A507))</f>
        <v>#REF!</v>
      </c>
      <c r="E507" t="e" cm="1">
        <f t="array" aca="1" ref="E507" ca="1">IF(A507="","",IF(OR(A507=A506+1,A507=A506+2),E506,INDIRECT("template!"&amp;"D"&amp;A507-2)))</f>
        <v>#REF!</v>
      </c>
      <c r="F507" t="e" cm="1">
        <f t="array" aca="1" ref="F507" ca="1">IF(OR(A507="",B507="safety"),"",IF(ISBLANK(IF(A507=A506+1,F506,INDIRECT("template!"&amp;"D"&amp;A507-1))),"",IF(A507=A506+1,F506,INDIRECT("template!"&amp;"D"&amp;A507-1))))</f>
        <v>#REF!</v>
      </c>
      <c r="G507" t="e" cm="1">
        <f t="array" aca="1" ref="G507" ca="1">IF(OR(A507="",B507="safety"),"",IF(ISBLANK(INDIRECT("template!"&amp;"D"&amp;A507)),"",INDIRECT("template!"&amp;"D"&amp;A507)))</f>
        <v>#REF!</v>
      </c>
      <c r="H507" t="e" cm="1">
        <f t="array" aca="1" ref="H507" ca="1">IF(OR(A507="",B507="safety"),"",IF(ISBLANK(INDIRECT("template!"&amp;"E"&amp;A507)),"",INDIRECT("template!"&amp;"E"&amp;A507)))</f>
        <v>#REF!</v>
      </c>
      <c r="I507" t="e" cm="1">
        <f t="array" aca="1" ref="I507" ca="1">IF(OR(A507="",B507="safety"),"",IF(ISBLANK(INDIRECT("template!"&amp;"F"&amp;A507)),"",INDIRECT("template!"&amp;"F"&amp;A507)))</f>
        <v>#REF!</v>
      </c>
      <c r="J507" t="e" cm="1">
        <f t="array" aca="1" ref="J507" ca="1">IF(OR(A507="",B507="safety"),"",IF(ISBLANK(INDIRECT("template!"&amp;"G"&amp;A507)),"",INDIRECT("template!"&amp;"G"&amp;A507)))</f>
        <v>#REF!</v>
      </c>
      <c r="K507" t="e" cm="1">
        <f t="array" aca="1" ref="K507" ca="1">IF(OR(A507="",B507="safety"),"",IF(ISBLANK(INDIRECT("template!"&amp;"H"&amp;A507)),"",INDIRECT("template!"&amp;"H"&amp;A507)))</f>
        <v>#REF!</v>
      </c>
      <c r="L507" t="e" cm="1">
        <f t="array" aca="1" ref="L507" ca="1">IF(OR(A507="",B507="safety"),"",INDIRECT("template!"&amp;"I"&amp;A507))</f>
        <v>#REF!</v>
      </c>
      <c r="M507" t="e" cm="1">
        <f t="array" aca="1" ref="M507" ca="1">IF(OR(A507="",B507="safety"),"",INDIRECT("template!"&amp;"J"&amp;A507))</f>
        <v>#REF!</v>
      </c>
      <c r="N507" t="e" cm="1">
        <f t="array" aca="1" ref="N507" ca="1">IF(OR(A507="",B507="safety"),"",IF(ISBLANK(INDIRECT("template!"&amp;"K"&amp;A507)),"",INDIRECT("template!"&amp;"K"&amp;A507)))</f>
        <v>#REF!</v>
      </c>
      <c r="O507" t="e" cm="1">
        <f t="array" aca="1" ref="O507" ca="1">IF(OR(A507="",B507="safety"),"",INDIRECT("template!"&amp;"L"&amp;A507))</f>
        <v>#REF!</v>
      </c>
      <c r="P507" t="e" cm="1">
        <f t="array" aca="1" ref="P507" ca="1">IF(OR(A507="",B507="safety"),"",INDIRECT("template!"&amp;"M"&amp;A507))</f>
        <v>#REF!</v>
      </c>
      <c r="Q507" t="e">
        <f t="shared" ca="1" si="40"/>
        <v>#REF!</v>
      </c>
      <c r="R507" t="e">
        <f t="shared" ca="1" si="41"/>
        <v>#REF!</v>
      </c>
      <c r="S507" t="e">
        <f t="shared" ca="1" si="42"/>
        <v>#REF!</v>
      </c>
      <c r="T507" t="e">
        <f t="shared" ca="1" si="43"/>
        <v>#REF!</v>
      </c>
      <c r="U507" t="e" cm="1">
        <f t="array" aca="1" ref="U507" ca="1">IF(A507="","",IF(E507="","",IF(B507="safety",INDIRECT("template!"&amp;"P"&amp;A507),Q507+R507)))</f>
        <v>#REF!</v>
      </c>
      <c r="V507" t="e" cm="1">
        <f t="array" aca="1" ref="V507" ca="1">IF(A507="","",IF(E507="","",IF(B507="safety",INDIRECT("template!"&amp;"P"&amp;A507),S507+T507)))</f>
        <v>#REF!</v>
      </c>
      <c r="W507" t="e">
        <f ca="1">IF(A507="","",IF(E507="","",#REF!))</f>
        <v>#REF!</v>
      </c>
      <c r="X507" t="e">
        <f ca="1">IF(A507="","",IF(E507="","",#REF!))</f>
        <v>#REF!</v>
      </c>
      <c r="Y507" s="39" t="e">
        <f ca="1">IF(A507="","",IF(E507="","",#REF!))</f>
        <v>#REF!</v>
      </c>
      <c r="Z507" t="e">
        <f ca="1">IF(A507="","",IF(E507="","",#REF!))</f>
        <v>#REF!</v>
      </c>
      <c r="AA507" t="e">
        <f ca="1">IF(A507="","",IF(E507="","",#REF!))</f>
        <v>#REF!</v>
      </c>
      <c r="AB507" t="e">
        <f ca="1">IF(A507="","",IF(E507="","",#REF!))</f>
        <v>#REF!</v>
      </c>
      <c r="AC507" t="e">
        <f t="shared" ca="1" si="44"/>
        <v>#REF!</v>
      </c>
    </row>
    <row r="508" spans="1:29" x14ac:dyDescent="0.35">
      <c r="A508" t="e" cm="1">
        <f t="array" aca="1" ref="A508" ca="1">IF(A507="","",IF(OR(AND(A507+1&gt;=$AF$1,A507+1&lt;=$AF$2),AND(A507+1&gt;=$AF$6,A507+1&lt;=$AF$7),AND(A507+1&gt;=$AF$3,A507+1&lt;=$AF$4),AND(A507+1&gt;=$AF$8,A507+1&lt;=$AF$9),A507+1=$AF$5),IF(NOT(ISBLANK(INDIRECT("template!"&amp;"P"&amp;A507+1))),A507+1,IF(NOT(ISBLANK(INDIRECT("template!"&amp;"P"&amp;A507+2))),A507+2,A507+3)),IF(A507=$AF$2,$AF$3,IF(A507=$AF$4,$AF$5,IF(A507=$AF$5,$AF$6,IF(A507=$AF$7,$AF$8,""))))))</f>
        <v>#REF!</v>
      </c>
      <c r="B508" t="e">
        <f t="shared" ca="1" si="39"/>
        <v>#REF!</v>
      </c>
      <c r="C508" t="e" cm="1">
        <f t="array" aca="1" ref="C508" ca="1">IF(A508="","",IF(B508="safety","safety costs",INDIRECT("template!"&amp;"B"&amp;A508)))</f>
        <v>#REF!</v>
      </c>
      <c r="D508" t="e" cm="1">
        <f t="array" aca="1" ref="D508" ca="1">IF(OR(A508="",B508="safety"),"",INDIRECT("template!"&amp;"C"&amp;A508))</f>
        <v>#REF!</v>
      </c>
      <c r="E508" t="e" cm="1">
        <f t="array" aca="1" ref="E508" ca="1">IF(A508="","",IF(OR(A508=A507+1,A508=A507+2),E507,INDIRECT("template!"&amp;"D"&amp;A508-2)))</f>
        <v>#REF!</v>
      </c>
      <c r="F508" t="e" cm="1">
        <f t="array" aca="1" ref="F508" ca="1">IF(OR(A508="",B508="safety"),"",IF(ISBLANK(IF(A508=A507+1,F507,INDIRECT("template!"&amp;"D"&amp;A508-1))),"",IF(A508=A507+1,F507,INDIRECT("template!"&amp;"D"&amp;A508-1))))</f>
        <v>#REF!</v>
      </c>
      <c r="G508" t="e" cm="1">
        <f t="array" aca="1" ref="G508" ca="1">IF(OR(A508="",B508="safety"),"",IF(ISBLANK(INDIRECT("template!"&amp;"D"&amp;A508)),"",INDIRECT("template!"&amp;"D"&amp;A508)))</f>
        <v>#REF!</v>
      </c>
      <c r="H508" t="e" cm="1">
        <f t="array" aca="1" ref="H508" ca="1">IF(OR(A508="",B508="safety"),"",IF(ISBLANK(INDIRECT("template!"&amp;"E"&amp;A508)),"",INDIRECT("template!"&amp;"E"&amp;A508)))</f>
        <v>#REF!</v>
      </c>
      <c r="I508" t="e" cm="1">
        <f t="array" aca="1" ref="I508" ca="1">IF(OR(A508="",B508="safety"),"",IF(ISBLANK(INDIRECT("template!"&amp;"F"&amp;A508)),"",INDIRECT("template!"&amp;"F"&amp;A508)))</f>
        <v>#REF!</v>
      </c>
      <c r="J508" t="e" cm="1">
        <f t="array" aca="1" ref="J508" ca="1">IF(OR(A508="",B508="safety"),"",IF(ISBLANK(INDIRECT("template!"&amp;"G"&amp;A508)),"",INDIRECT("template!"&amp;"G"&amp;A508)))</f>
        <v>#REF!</v>
      </c>
      <c r="K508" t="e" cm="1">
        <f t="array" aca="1" ref="K508" ca="1">IF(OR(A508="",B508="safety"),"",IF(ISBLANK(INDIRECT("template!"&amp;"H"&amp;A508)),"",INDIRECT("template!"&amp;"H"&amp;A508)))</f>
        <v>#REF!</v>
      </c>
      <c r="L508" t="e" cm="1">
        <f t="array" aca="1" ref="L508" ca="1">IF(OR(A508="",B508="safety"),"",INDIRECT("template!"&amp;"I"&amp;A508))</f>
        <v>#REF!</v>
      </c>
      <c r="M508" t="e" cm="1">
        <f t="array" aca="1" ref="M508" ca="1">IF(OR(A508="",B508="safety"),"",INDIRECT("template!"&amp;"J"&amp;A508))</f>
        <v>#REF!</v>
      </c>
      <c r="N508" t="e" cm="1">
        <f t="array" aca="1" ref="N508" ca="1">IF(OR(A508="",B508="safety"),"",IF(ISBLANK(INDIRECT("template!"&amp;"K"&amp;A508)),"",INDIRECT("template!"&amp;"K"&amp;A508)))</f>
        <v>#REF!</v>
      </c>
      <c r="O508" t="e" cm="1">
        <f t="array" aca="1" ref="O508" ca="1">IF(OR(A508="",B508="safety"),"",INDIRECT("template!"&amp;"L"&amp;A508))</f>
        <v>#REF!</v>
      </c>
      <c r="P508" t="e" cm="1">
        <f t="array" aca="1" ref="P508" ca="1">IF(OR(A508="",B508="safety"),"",INDIRECT("template!"&amp;"M"&amp;A508))</f>
        <v>#REF!</v>
      </c>
      <c r="Q508" t="e">
        <f t="shared" ca="1" si="40"/>
        <v>#REF!</v>
      </c>
      <c r="R508" t="e">
        <f t="shared" ca="1" si="41"/>
        <v>#REF!</v>
      </c>
      <c r="S508" t="e">
        <f t="shared" ca="1" si="42"/>
        <v>#REF!</v>
      </c>
      <c r="T508" t="e">
        <f t="shared" ca="1" si="43"/>
        <v>#REF!</v>
      </c>
      <c r="U508" t="e" cm="1">
        <f t="array" aca="1" ref="U508" ca="1">IF(A508="","",IF(E508="","",IF(B508="safety",INDIRECT("template!"&amp;"P"&amp;A508),Q508+R508)))</f>
        <v>#REF!</v>
      </c>
      <c r="V508" t="e" cm="1">
        <f t="array" aca="1" ref="V508" ca="1">IF(A508="","",IF(E508="","",IF(B508="safety",INDIRECT("template!"&amp;"P"&amp;A508),S508+T508)))</f>
        <v>#REF!</v>
      </c>
      <c r="W508" t="e">
        <f ca="1">IF(A508="","",IF(E508="","",#REF!))</f>
        <v>#REF!</v>
      </c>
      <c r="X508" t="e">
        <f ca="1">IF(A508="","",IF(E508="","",#REF!))</f>
        <v>#REF!</v>
      </c>
      <c r="Y508" s="39" t="e">
        <f ca="1">IF(A508="","",IF(E508="","",#REF!))</f>
        <v>#REF!</v>
      </c>
      <c r="Z508" t="e">
        <f ca="1">IF(A508="","",IF(E508="","",#REF!))</f>
        <v>#REF!</v>
      </c>
      <c r="AA508" t="e">
        <f ca="1">IF(A508="","",IF(E508="","",#REF!))</f>
        <v>#REF!</v>
      </c>
      <c r="AB508" t="e">
        <f ca="1">IF(A508="","",IF(E508="","",#REF!))</f>
        <v>#REF!</v>
      </c>
      <c r="AC508" t="e">
        <f t="shared" ca="1" si="44"/>
        <v>#REF!</v>
      </c>
    </row>
    <row r="509" spans="1:29" x14ac:dyDescent="0.35">
      <c r="A509" t="e" cm="1">
        <f t="array" aca="1" ref="A509" ca="1">IF(A508="","",IF(OR(AND(A508+1&gt;=$AF$1,A508+1&lt;=$AF$2),AND(A508+1&gt;=$AF$6,A508+1&lt;=$AF$7),AND(A508+1&gt;=$AF$3,A508+1&lt;=$AF$4),AND(A508+1&gt;=$AF$8,A508+1&lt;=$AF$9),A508+1=$AF$5),IF(NOT(ISBLANK(INDIRECT("template!"&amp;"P"&amp;A508+1))),A508+1,IF(NOT(ISBLANK(INDIRECT("template!"&amp;"P"&amp;A508+2))),A508+2,A508+3)),IF(A508=$AF$2,$AF$3,IF(A508=$AF$4,$AF$5,IF(A508=$AF$5,$AF$6,IF(A508=$AF$7,$AF$8,""))))))</f>
        <v>#REF!</v>
      </c>
      <c r="B509" t="e">
        <f t="shared" ca="1" si="39"/>
        <v>#REF!</v>
      </c>
      <c r="C509" t="e" cm="1">
        <f t="array" aca="1" ref="C509" ca="1">IF(A509="","",IF(B509="safety","safety costs",INDIRECT("template!"&amp;"B"&amp;A509)))</f>
        <v>#REF!</v>
      </c>
      <c r="D509" t="e" cm="1">
        <f t="array" aca="1" ref="D509" ca="1">IF(OR(A509="",B509="safety"),"",INDIRECT("template!"&amp;"C"&amp;A509))</f>
        <v>#REF!</v>
      </c>
      <c r="E509" t="e" cm="1">
        <f t="array" aca="1" ref="E509" ca="1">IF(A509="","",IF(OR(A509=A508+1,A509=A508+2),E508,INDIRECT("template!"&amp;"D"&amp;A509-2)))</f>
        <v>#REF!</v>
      </c>
      <c r="F509" t="e" cm="1">
        <f t="array" aca="1" ref="F509" ca="1">IF(OR(A509="",B509="safety"),"",IF(ISBLANK(IF(A509=A508+1,F508,INDIRECT("template!"&amp;"D"&amp;A509-1))),"",IF(A509=A508+1,F508,INDIRECT("template!"&amp;"D"&amp;A509-1))))</f>
        <v>#REF!</v>
      </c>
      <c r="G509" t="e" cm="1">
        <f t="array" aca="1" ref="G509" ca="1">IF(OR(A509="",B509="safety"),"",IF(ISBLANK(INDIRECT("template!"&amp;"D"&amp;A509)),"",INDIRECT("template!"&amp;"D"&amp;A509)))</f>
        <v>#REF!</v>
      </c>
      <c r="H509" t="e" cm="1">
        <f t="array" aca="1" ref="H509" ca="1">IF(OR(A509="",B509="safety"),"",IF(ISBLANK(INDIRECT("template!"&amp;"E"&amp;A509)),"",INDIRECT("template!"&amp;"E"&amp;A509)))</f>
        <v>#REF!</v>
      </c>
      <c r="I509" t="e" cm="1">
        <f t="array" aca="1" ref="I509" ca="1">IF(OR(A509="",B509="safety"),"",IF(ISBLANK(INDIRECT("template!"&amp;"F"&amp;A509)),"",INDIRECT("template!"&amp;"F"&amp;A509)))</f>
        <v>#REF!</v>
      </c>
      <c r="J509" t="e" cm="1">
        <f t="array" aca="1" ref="J509" ca="1">IF(OR(A509="",B509="safety"),"",IF(ISBLANK(INDIRECT("template!"&amp;"G"&amp;A509)),"",INDIRECT("template!"&amp;"G"&amp;A509)))</f>
        <v>#REF!</v>
      </c>
      <c r="K509" t="e" cm="1">
        <f t="array" aca="1" ref="K509" ca="1">IF(OR(A509="",B509="safety"),"",IF(ISBLANK(INDIRECT("template!"&amp;"H"&amp;A509)),"",INDIRECT("template!"&amp;"H"&amp;A509)))</f>
        <v>#REF!</v>
      </c>
      <c r="L509" t="e" cm="1">
        <f t="array" aca="1" ref="L509" ca="1">IF(OR(A509="",B509="safety"),"",INDIRECT("template!"&amp;"I"&amp;A509))</f>
        <v>#REF!</v>
      </c>
      <c r="M509" t="e" cm="1">
        <f t="array" aca="1" ref="M509" ca="1">IF(OR(A509="",B509="safety"),"",INDIRECT("template!"&amp;"J"&amp;A509))</f>
        <v>#REF!</v>
      </c>
      <c r="N509" t="e" cm="1">
        <f t="array" aca="1" ref="N509" ca="1">IF(OR(A509="",B509="safety"),"",IF(ISBLANK(INDIRECT("template!"&amp;"K"&amp;A509)),"",INDIRECT("template!"&amp;"K"&amp;A509)))</f>
        <v>#REF!</v>
      </c>
      <c r="O509" t="e" cm="1">
        <f t="array" aca="1" ref="O509" ca="1">IF(OR(A509="",B509="safety"),"",INDIRECT("template!"&amp;"L"&amp;A509))</f>
        <v>#REF!</v>
      </c>
      <c r="P509" t="e" cm="1">
        <f t="array" aca="1" ref="P509" ca="1">IF(OR(A509="",B509="safety"),"",INDIRECT("template!"&amp;"M"&amp;A509))</f>
        <v>#REF!</v>
      </c>
      <c r="Q509" t="e">
        <f t="shared" ca="1" si="40"/>
        <v>#REF!</v>
      </c>
      <c r="R509" t="e">
        <f t="shared" ca="1" si="41"/>
        <v>#REF!</v>
      </c>
      <c r="S509" t="e">
        <f t="shared" ca="1" si="42"/>
        <v>#REF!</v>
      </c>
      <c r="T509" t="e">
        <f t="shared" ca="1" si="43"/>
        <v>#REF!</v>
      </c>
      <c r="U509" t="e" cm="1">
        <f t="array" aca="1" ref="U509" ca="1">IF(A509="","",IF(E509="","",IF(B509="safety",INDIRECT("template!"&amp;"P"&amp;A509),Q509+R509)))</f>
        <v>#REF!</v>
      </c>
      <c r="V509" t="e" cm="1">
        <f t="array" aca="1" ref="V509" ca="1">IF(A509="","",IF(E509="","",IF(B509="safety",INDIRECT("template!"&amp;"P"&amp;A509),S509+T509)))</f>
        <v>#REF!</v>
      </c>
      <c r="W509" t="e">
        <f ca="1">IF(A509="","",IF(E509="","",#REF!))</f>
        <v>#REF!</v>
      </c>
      <c r="X509" t="e">
        <f ca="1">IF(A509="","",IF(E509="","",#REF!))</f>
        <v>#REF!</v>
      </c>
      <c r="Y509" s="39" t="e">
        <f ca="1">IF(A509="","",IF(E509="","",#REF!))</f>
        <v>#REF!</v>
      </c>
      <c r="Z509" t="e">
        <f ca="1">IF(A509="","",IF(E509="","",#REF!))</f>
        <v>#REF!</v>
      </c>
      <c r="AA509" t="e">
        <f ca="1">IF(A509="","",IF(E509="","",#REF!))</f>
        <v>#REF!</v>
      </c>
      <c r="AB509" t="e">
        <f ca="1">IF(A509="","",IF(E509="","",#REF!))</f>
        <v>#REF!</v>
      </c>
      <c r="AC509" t="e">
        <f t="shared" ca="1" si="44"/>
        <v>#REF!</v>
      </c>
    </row>
    <row r="510" spans="1:29" x14ac:dyDescent="0.35">
      <c r="A510" t="e" cm="1">
        <f t="array" aca="1" ref="A510" ca="1">IF(A509="","",IF(OR(AND(A509+1&gt;=$AF$1,A509+1&lt;=$AF$2),AND(A509+1&gt;=$AF$6,A509+1&lt;=$AF$7),AND(A509+1&gt;=$AF$3,A509+1&lt;=$AF$4),AND(A509+1&gt;=$AF$8,A509+1&lt;=$AF$9),A509+1=$AF$5),IF(NOT(ISBLANK(INDIRECT("template!"&amp;"P"&amp;A509+1))),A509+1,IF(NOT(ISBLANK(INDIRECT("template!"&amp;"P"&amp;A509+2))),A509+2,A509+3)),IF(A509=$AF$2,$AF$3,IF(A509=$AF$4,$AF$5,IF(A509=$AF$5,$AF$6,IF(A509=$AF$7,$AF$8,""))))))</f>
        <v>#REF!</v>
      </c>
      <c r="B510" t="e">
        <f t="shared" ca="1" si="39"/>
        <v>#REF!</v>
      </c>
      <c r="C510" t="e" cm="1">
        <f t="array" aca="1" ref="C510" ca="1">IF(A510="","",IF(B510="safety","safety costs",INDIRECT("template!"&amp;"B"&amp;A510)))</f>
        <v>#REF!</v>
      </c>
      <c r="D510" t="e" cm="1">
        <f t="array" aca="1" ref="D510" ca="1">IF(OR(A510="",B510="safety"),"",INDIRECT("template!"&amp;"C"&amp;A510))</f>
        <v>#REF!</v>
      </c>
      <c r="E510" t="e" cm="1">
        <f t="array" aca="1" ref="E510" ca="1">IF(A510="","",IF(OR(A510=A509+1,A510=A509+2),E509,INDIRECT("template!"&amp;"D"&amp;A510-2)))</f>
        <v>#REF!</v>
      </c>
      <c r="F510" t="e" cm="1">
        <f t="array" aca="1" ref="F510" ca="1">IF(OR(A510="",B510="safety"),"",IF(ISBLANK(IF(A510=A509+1,F509,INDIRECT("template!"&amp;"D"&amp;A510-1))),"",IF(A510=A509+1,F509,INDIRECT("template!"&amp;"D"&amp;A510-1))))</f>
        <v>#REF!</v>
      </c>
      <c r="G510" t="e" cm="1">
        <f t="array" aca="1" ref="G510" ca="1">IF(OR(A510="",B510="safety"),"",IF(ISBLANK(INDIRECT("template!"&amp;"D"&amp;A510)),"",INDIRECT("template!"&amp;"D"&amp;A510)))</f>
        <v>#REF!</v>
      </c>
      <c r="H510" t="e" cm="1">
        <f t="array" aca="1" ref="H510" ca="1">IF(OR(A510="",B510="safety"),"",IF(ISBLANK(INDIRECT("template!"&amp;"E"&amp;A510)),"",INDIRECT("template!"&amp;"E"&amp;A510)))</f>
        <v>#REF!</v>
      </c>
      <c r="I510" t="e" cm="1">
        <f t="array" aca="1" ref="I510" ca="1">IF(OR(A510="",B510="safety"),"",IF(ISBLANK(INDIRECT("template!"&amp;"F"&amp;A510)),"",INDIRECT("template!"&amp;"F"&amp;A510)))</f>
        <v>#REF!</v>
      </c>
      <c r="J510" t="e" cm="1">
        <f t="array" aca="1" ref="J510" ca="1">IF(OR(A510="",B510="safety"),"",IF(ISBLANK(INDIRECT("template!"&amp;"G"&amp;A510)),"",INDIRECT("template!"&amp;"G"&amp;A510)))</f>
        <v>#REF!</v>
      </c>
      <c r="K510" t="e" cm="1">
        <f t="array" aca="1" ref="K510" ca="1">IF(OR(A510="",B510="safety"),"",IF(ISBLANK(INDIRECT("template!"&amp;"H"&amp;A510)),"",INDIRECT("template!"&amp;"H"&amp;A510)))</f>
        <v>#REF!</v>
      </c>
      <c r="L510" t="e" cm="1">
        <f t="array" aca="1" ref="L510" ca="1">IF(OR(A510="",B510="safety"),"",INDIRECT("template!"&amp;"I"&amp;A510))</f>
        <v>#REF!</v>
      </c>
      <c r="M510" t="e" cm="1">
        <f t="array" aca="1" ref="M510" ca="1">IF(OR(A510="",B510="safety"),"",INDIRECT("template!"&amp;"J"&amp;A510))</f>
        <v>#REF!</v>
      </c>
      <c r="N510" t="e" cm="1">
        <f t="array" aca="1" ref="N510" ca="1">IF(OR(A510="",B510="safety"),"",IF(ISBLANK(INDIRECT("template!"&amp;"K"&amp;A510)),"",INDIRECT("template!"&amp;"K"&amp;A510)))</f>
        <v>#REF!</v>
      </c>
      <c r="O510" t="e" cm="1">
        <f t="array" aca="1" ref="O510" ca="1">IF(OR(A510="",B510="safety"),"",INDIRECT("template!"&amp;"L"&amp;A510))</f>
        <v>#REF!</v>
      </c>
      <c r="P510" t="e" cm="1">
        <f t="array" aca="1" ref="P510" ca="1">IF(OR(A510="",B510="safety"),"",INDIRECT("template!"&amp;"M"&amp;A510))</f>
        <v>#REF!</v>
      </c>
      <c r="Q510" t="e">
        <f t="shared" ca="1" si="40"/>
        <v>#REF!</v>
      </c>
      <c r="R510" t="e">
        <f t="shared" ca="1" si="41"/>
        <v>#REF!</v>
      </c>
      <c r="S510" t="e">
        <f t="shared" ca="1" si="42"/>
        <v>#REF!</v>
      </c>
      <c r="T510" t="e">
        <f t="shared" ca="1" si="43"/>
        <v>#REF!</v>
      </c>
      <c r="U510" t="e" cm="1">
        <f t="array" aca="1" ref="U510" ca="1">IF(A510="","",IF(E510="","",IF(B510="safety",INDIRECT("template!"&amp;"P"&amp;A510),Q510+R510)))</f>
        <v>#REF!</v>
      </c>
      <c r="V510" t="e" cm="1">
        <f t="array" aca="1" ref="V510" ca="1">IF(A510="","",IF(E510="","",IF(B510="safety",INDIRECT("template!"&amp;"P"&amp;A510),S510+T510)))</f>
        <v>#REF!</v>
      </c>
      <c r="W510" t="e">
        <f ca="1">IF(A510="","",IF(E510="","",#REF!))</f>
        <v>#REF!</v>
      </c>
      <c r="X510" t="e">
        <f ca="1">IF(A510="","",IF(E510="","",#REF!))</f>
        <v>#REF!</v>
      </c>
      <c r="Y510" s="39" t="e">
        <f ca="1">IF(A510="","",IF(E510="","",#REF!))</f>
        <v>#REF!</v>
      </c>
      <c r="Z510" t="e">
        <f ca="1">IF(A510="","",IF(E510="","",#REF!))</f>
        <v>#REF!</v>
      </c>
      <c r="AA510" t="e">
        <f ca="1">IF(A510="","",IF(E510="","",#REF!))</f>
        <v>#REF!</v>
      </c>
      <c r="AB510" t="e">
        <f ca="1">IF(A510="","",IF(E510="","",#REF!))</f>
        <v>#REF!</v>
      </c>
      <c r="AC510" t="e">
        <f t="shared" ca="1" si="44"/>
        <v>#REF!</v>
      </c>
    </row>
    <row r="511" spans="1:29" x14ac:dyDescent="0.35">
      <c r="A511" t="e" cm="1">
        <f t="array" aca="1" ref="A511" ca="1">IF(A510="","",IF(OR(AND(A510+1&gt;=$AF$1,A510+1&lt;=$AF$2),AND(A510+1&gt;=$AF$6,A510+1&lt;=$AF$7),AND(A510+1&gt;=$AF$3,A510+1&lt;=$AF$4),AND(A510+1&gt;=$AF$8,A510+1&lt;=$AF$9),A510+1=$AF$5),IF(NOT(ISBLANK(INDIRECT("template!"&amp;"P"&amp;A510+1))),A510+1,IF(NOT(ISBLANK(INDIRECT("template!"&amp;"P"&amp;A510+2))),A510+2,A510+3)),IF(A510=$AF$2,$AF$3,IF(A510=$AF$4,$AF$5,IF(A510=$AF$5,$AF$6,IF(A510=$AF$7,$AF$8,""))))))</f>
        <v>#REF!</v>
      </c>
      <c r="B511" t="e">
        <f t="shared" ca="1" si="39"/>
        <v>#REF!</v>
      </c>
      <c r="C511" t="e" cm="1">
        <f t="array" aca="1" ref="C511" ca="1">IF(A511="","",IF(B511="safety","safety costs",INDIRECT("template!"&amp;"B"&amp;A511)))</f>
        <v>#REF!</v>
      </c>
      <c r="D511" t="e" cm="1">
        <f t="array" aca="1" ref="D511" ca="1">IF(OR(A511="",B511="safety"),"",INDIRECT("template!"&amp;"C"&amp;A511))</f>
        <v>#REF!</v>
      </c>
      <c r="E511" t="e" cm="1">
        <f t="array" aca="1" ref="E511" ca="1">IF(A511="","",IF(OR(A511=A510+1,A511=A510+2),E510,INDIRECT("template!"&amp;"D"&amp;A511-2)))</f>
        <v>#REF!</v>
      </c>
      <c r="F511" t="e" cm="1">
        <f t="array" aca="1" ref="F511" ca="1">IF(OR(A511="",B511="safety"),"",IF(ISBLANK(IF(A511=A510+1,F510,INDIRECT("template!"&amp;"D"&amp;A511-1))),"",IF(A511=A510+1,F510,INDIRECT("template!"&amp;"D"&amp;A511-1))))</f>
        <v>#REF!</v>
      </c>
      <c r="G511" t="e" cm="1">
        <f t="array" aca="1" ref="G511" ca="1">IF(OR(A511="",B511="safety"),"",IF(ISBLANK(INDIRECT("template!"&amp;"D"&amp;A511)),"",INDIRECT("template!"&amp;"D"&amp;A511)))</f>
        <v>#REF!</v>
      </c>
      <c r="H511" t="e" cm="1">
        <f t="array" aca="1" ref="H511" ca="1">IF(OR(A511="",B511="safety"),"",IF(ISBLANK(INDIRECT("template!"&amp;"E"&amp;A511)),"",INDIRECT("template!"&amp;"E"&amp;A511)))</f>
        <v>#REF!</v>
      </c>
      <c r="I511" t="e" cm="1">
        <f t="array" aca="1" ref="I511" ca="1">IF(OR(A511="",B511="safety"),"",IF(ISBLANK(INDIRECT("template!"&amp;"F"&amp;A511)),"",INDIRECT("template!"&amp;"F"&amp;A511)))</f>
        <v>#REF!</v>
      </c>
      <c r="J511" t="e" cm="1">
        <f t="array" aca="1" ref="J511" ca="1">IF(OR(A511="",B511="safety"),"",IF(ISBLANK(INDIRECT("template!"&amp;"G"&amp;A511)),"",INDIRECT("template!"&amp;"G"&amp;A511)))</f>
        <v>#REF!</v>
      </c>
      <c r="K511" t="e" cm="1">
        <f t="array" aca="1" ref="K511" ca="1">IF(OR(A511="",B511="safety"),"",IF(ISBLANK(INDIRECT("template!"&amp;"H"&amp;A511)),"",INDIRECT("template!"&amp;"H"&amp;A511)))</f>
        <v>#REF!</v>
      </c>
      <c r="L511" t="e" cm="1">
        <f t="array" aca="1" ref="L511" ca="1">IF(OR(A511="",B511="safety"),"",INDIRECT("template!"&amp;"I"&amp;A511))</f>
        <v>#REF!</v>
      </c>
      <c r="M511" t="e" cm="1">
        <f t="array" aca="1" ref="M511" ca="1">IF(OR(A511="",B511="safety"),"",INDIRECT("template!"&amp;"J"&amp;A511))</f>
        <v>#REF!</v>
      </c>
      <c r="N511" t="e" cm="1">
        <f t="array" aca="1" ref="N511" ca="1">IF(OR(A511="",B511="safety"),"",IF(ISBLANK(INDIRECT("template!"&amp;"K"&amp;A511)),"",INDIRECT("template!"&amp;"K"&amp;A511)))</f>
        <v>#REF!</v>
      </c>
      <c r="O511" t="e" cm="1">
        <f t="array" aca="1" ref="O511" ca="1">IF(OR(A511="",B511="safety"),"",INDIRECT("template!"&amp;"L"&amp;A511))</f>
        <v>#REF!</v>
      </c>
      <c r="P511" t="e" cm="1">
        <f t="array" aca="1" ref="P511" ca="1">IF(OR(A511="",B511="safety"),"",INDIRECT("template!"&amp;"M"&amp;A511))</f>
        <v>#REF!</v>
      </c>
      <c r="Q511" t="e">
        <f t="shared" ca="1" si="40"/>
        <v>#REF!</v>
      </c>
      <c r="R511" t="e">
        <f t="shared" ca="1" si="41"/>
        <v>#REF!</v>
      </c>
      <c r="S511" t="e">
        <f t="shared" ca="1" si="42"/>
        <v>#REF!</v>
      </c>
      <c r="T511" t="e">
        <f t="shared" ca="1" si="43"/>
        <v>#REF!</v>
      </c>
      <c r="U511" t="e" cm="1">
        <f t="array" aca="1" ref="U511" ca="1">IF(A511="","",IF(E511="","",IF(B511="safety",INDIRECT("template!"&amp;"P"&amp;A511),Q511+R511)))</f>
        <v>#REF!</v>
      </c>
      <c r="V511" t="e" cm="1">
        <f t="array" aca="1" ref="V511" ca="1">IF(A511="","",IF(E511="","",IF(B511="safety",INDIRECT("template!"&amp;"P"&amp;A511),S511+T511)))</f>
        <v>#REF!</v>
      </c>
      <c r="W511" t="e">
        <f ca="1">IF(A511="","",IF(E511="","",#REF!))</f>
        <v>#REF!</v>
      </c>
      <c r="X511" t="e">
        <f ca="1">IF(A511="","",IF(E511="","",#REF!))</f>
        <v>#REF!</v>
      </c>
      <c r="Y511" s="39" t="e">
        <f ca="1">IF(A511="","",IF(E511="","",#REF!))</f>
        <v>#REF!</v>
      </c>
      <c r="Z511" t="e">
        <f ca="1">IF(A511="","",IF(E511="","",#REF!))</f>
        <v>#REF!</v>
      </c>
      <c r="AA511" t="e">
        <f ca="1">IF(A511="","",IF(E511="","",#REF!))</f>
        <v>#REF!</v>
      </c>
      <c r="AB511" t="e">
        <f ca="1">IF(A511="","",IF(E511="","",#REF!))</f>
        <v>#REF!</v>
      </c>
      <c r="AC511" t="e">
        <f t="shared" ca="1" si="44"/>
        <v>#REF!</v>
      </c>
    </row>
    <row r="512" spans="1:29" x14ac:dyDescent="0.35">
      <c r="A512" t="e" cm="1">
        <f t="array" aca="1" ref="A512" ca="1">IF(A511="","",IF(OR(AND(A511+1&gt;=$AF$1,A511+1&lt;=$AF$2),AND(A511+1&gt;=$AF$6,A511+1&lt;=$AF$7),AND(A511+1&gt;=$AF$3,A511+1&lt;=$AF$4),AND(A511+1&gt;=$AF$8,A511+1&lt;=$AF$9),A511+1=$AF$5),IF(NOT(ISBLANK(INDIRECT("template!"&amp;"P"&amp;A511+1))),A511+1,IF(NOT(ISBLANK(INDIRECT("template!"&amp;"P"&amp;A511+2))),A511+2,A511+3)),IF(A511=$AF$2,$AF$3,IF(A511=$AF$4,$AF$5,IF(A511=$AF$5,$AF$6,IF(A511=$AF$7,$AF$8,""))))))</f>
        <v>#REF!</v>
      </c>
      <c r="B512" t="e">
        <f t="shared" ca="1" si="39"/>
        <v>#REF!</v>
      </c>
      <c r="C512" t="e" cm="1">
        <f t="array" aca="1" ref="C512" ca="1">IF(A512="","",IF(B512="safety","safety costs",INDIRECT("template!"&amp;"B"&amp;A512)))</f>
        <v>#REF!</v>
      </c>
      <c r="D512" t="e" cm="1">
        <f t="array" aca="1" ref="D512" ca="1">IF(OR(A512="",B512="safety"),"",INDIRECT("template!"&amp;"C"&amp;A512))</f>
        <v>#REF!</v>
      </c>
      <c r="E512" t="e" cm="1">
        <f t="array" aca="1" ref="E512" ca="1">IF(A512="","",IF(OR(A512=A511+1,A512=A511+2),E511,INDIRECT("template!"&amp;"D"&amp;A512-2)))</f>
        <v>#REF!</v>
      </c>
      <c r="F512" t="e" cm="1">
        <f t="array" aca="1" ref="F512" ca="1">IF(OR(A512="",B512="safety"),"",IF(ISBLANK(IF(A512=A511+1,F511,INDIRECT("template!"&amp;"D"&amp;A512-1))),"",IF(A512=A511+1,F511,INDIRECT("template!"&amp;"D"&amp;A512-1))))</f>
        <v>#REF!</v>
      </c>
      <c r="G512" t="e" cm="1">
        <f t="array" aca="1" ref="G512" ca="1">IF(OR(A512="",B512="safety"),"",IF(ISBLANK(INDIRECT("template!"&amp;"D"&amp;A512)),"",INDIRECT("template!"&amp;"D"&amp;A512)))</f>
        <v>#REF!</v>
      </c>
      <c r="H512" t="e" cm="1">
        <f t="array" aca="1" ref="H512" ca="1">IF(OR(A512="",B512="safety"),"",IF(ISBLANK(INDIRECT("template!"&amp;"E"&amp;A512)),"",INDIRECT("template!"&amp;"E"&amp;A512)))</f>
        <v>#REF!</v>
      </c>
      <c r="I512" t="e" cm="1">
        <f t="array" aca="1" ref="I512" ca="1">IF(OR(A512="",B512="safety"),"",IF(ISBLANK(INDIRECT("template!"&amp;"F"&amp;A512)),"",INDIRECT("template!"&amp;"F"&amp;A512)))</f>
        <v>#REF!</v>
      </c>
      <c r="J512" t="e" cm="1">
        <f t="array" aca="1" ref="J512" ca="1">IF(OR(A512="",B512="safety"),"",IF(ISBLANK(INDIRECT("template!"&amp;"G"&amp;A512)),"",INDIRECT("template!"&amp;"G"&amp;A512)))</f>
        <v>#REF!</v>
      </c>
      <c r="K512" t="e" cm="1">
        <f t="array" aca="1" ref="K512" ca="1">IF(OR(A512="",B512="safety"),"",IF(ISBLANK(INDIRECT("template!"&amp;"H"&amp;A512)),"",INDIRECT("template!"&amp;"H"&amp;A512)))</f>
        <v>#REF!</v>
      </c>
      <c r="L512" t="e" cm="1">
        <f t="array" aca="1" ref="L512" ca="1">IF(OR(A512="",B512="safety"),"",INDIRECT("template!"&amp;"I"&amp;A512))</f>
        <v>#REF!</v>
      </c>
      <c r="M512" t="e" cm="1">
        <f t="array" aca="1" ref="M512" ca="1">IF(OR(A512="",B512="safety"),"",INDIRECT("template!"&amp;"J"&amp;A512))</f>
        <v>#REF!</v>
      </c>
      <c r="N512" t="e" cm="1">
        <f t="array" aca="1" ref="N512" ca="1">IF(OR(A512="",B512="safety"),"",IF(ISBLANK(INDIRECT("template!"&amp;"K"&amp;A512)),"",INDIRECT("template!"&amp;"K"&amp;A512)))</f>
        <v>#REF!</v>
      </c>
      <c r="O512" t="e" cm="1">
        <f t="array" aca="1" ref="O512" ca="1">IF(OR(A512="",B512="safety"),"",INDIRECT("template!"&amp;"L"&amp;A512))</f>
        <v>#REF!</v>
      </c>
      <c r="P512" t="e" cm="1">
        <f t="array" aca="1" ref="P512" ca="1">IF(OR(A512="",B512="safety"),"",INDIRECT("template!"&amp;"M"&amp;A512))</f>
        <v>#REF!</v>
      </c>
      <c r="Q512" t="e">
        <f t="shared" ca="1" si="40"/>
        <v>#REF!</v>
      </c>
      <c r="R512" t="e">
        <f t="shared" ca="1" si="41"/>
        <v>#REF!</v>
      </c>
      <c r="S512" t="e">
        <f t="shared" ca="1" si="42"/>
        <v>#REF!</v>
      </c>
      <c r="T512" t="e">
        <f t="shared" ca="1" si="43"/>
        <v>#REF!</v>
      </c>
      <c r="U512" t="e" cm="1">
        <f t="array" aca="1" ref="U512" ca="1">IF(A512="","",IF(E512="","",IF(B512="safety",INDIRECT("template!"&amp;"P"&amp;A512),Q512+R512)))</f>
        <v>#REF!</v>
      </c>
      <c r="V512" t="e" cm="1">
        <f t="array" aca="1" ref="V512" ca="1">IF(A512="","",IF(E512="","",IF(B512="safety",INDIRECT("template!"&amp;"P"&amp;A512),S512+T512)))</f>
        <v>#REF!</v>
      </c>
      <c r="W512" t="e">
        <f ca="1">IF(A512="","",IF(E512="","",#REF!))</f>
        <v>#REF!</v>
      </c>
      <c r="X512" t="e">
        <f ca="1">IF(A512="","",IF(E512="","",#REF!))</f>
        <v>#REF!</v>
      </c>
      <c r="Y512" s="39" t="e">
        <f ca="1">IF(A512="","",IF(E512="","",#REF!))</f>
        <v>#REF!</v>
      </c>
      <c r="Z512" t="e">
        <f ca="1">IF(A512="","",IF(E512="","",#REF!))</f>
        <v>#REF!</v>
      </c>
      <c r="AA512" t="e">
        <f ca="1">IF(A512="","",IF(E512="","",#REF!))</f>
        <v>#REF!</v>
      </c>
      <c r="AB512" t="e">
        <f ca="1">IF(A512="","",IF(E512="","",#REF!))</f>
        <v>#REF!</v>
      </c>
      <c r="AC512" t="e">
        <f t="shared" ca="1" si="44"/>
        <v>#REF!</v>
      </c>
    </row>
    <row r="513" spans="1:29" x14ac:dyDescent="0.35">
      <c r="A513" t="e" cm="1">
        <f t="array" aca="1" ref="A513" ca="1">IF(A512="","",IF(OR(AND(A512+1&gt;=$AF$1,A512+1&lt;=$AF$2),AND(A512+1&gt;=$AF$6,A512+1&lt;=$AF$7),AND(A512+1&gt;=$AF$3,A512+1&lt;=$AF$4),AND(A512+1&gt;=$AF$8,A512+1&lt;=$AF$9),A512+1=$AF$5),IF(NOT(ISBLANK(INDIRECT("template!"&amp;"P"&amp;A512+1))),A512+1,IF(NOT(ISBLANK(INDIRECT("template!"&amp;"P"&amp;A512+2))),A512+2,A512+3)),IF(A512=$AF$2,$AF$3,IF(A512=$AF$4,$AF$5,IF(A512=$AF$5,$AF$6,IF(A512=$AF$7,$AF$8,""))))))</f>
        <v>#REF!</v>
      </c>
      <c r="B513" t="e">
        <f t="shared" ca="1" si="39"/>
        <v>#REF!</v>
      </c>
      <c r="C513" t="e" cm="1">
        <f t="array" aca="1" ref="C513" ca="1">IF(A513="","",IF(B513="safety","safety costs",INDIRECT("template!"&amp;"B"&amp;A513)))</f>
        <v>#REF!</v>
      </c>
      <c r="D513" t="e" cm="1">
        <f t="array" aca="1" ref="D513" ca="1">IF(OR(A513="",B513="safety"),"",INDIRECT("template!"&amp;"C"&amp;A513))</f>
        <v>#REF!</v>
      </c>
      <c r="E513" t="e" cm="1">
        <f t="array" aca="1" ref="E513" ca="1">IF(A513="","",IF(OR(A513=A512+1,A513=A512+2),E512,INDIRECT("template!"&amp;"D"&amp;A513-2)))</f>
        <v>#REF!</v>
      </c>
      <c r="F513" t="e" cm="1">
        <f t="array" aca="1" ref="F513" ca="1">IF(OR(A513="",B513="safety"),"",IF(ISBLANK(IF(A513=A512+1,F512,INDIRECT("template!"&amp;"D"&amp;A513-1))),"",IF(A513=A512+1,F512,INDIRECT("template!"&amp;"D"&amp;A513-1))))</f>
        <v>#REF!</v>
      </c>
      <c r="G513" t="e" cm="1">
        <f t="array" aca="1" ref="G513" ca="1">IF(OR(A513="",B513="safety"),"",IF(ISBLANK(INDIRECT("template!"&amp;"D"&amp;A513)),"",INDIRECT("template!"&amp;"D"&amp;A513)))</f>
        <v>#REF!</v>
      </c>
      <c r="H513" t="e" cm="1">
        <f t="array" aca="1" ref="H513" ca="1">IF(OR(A513="",B513="safety"),"",IF(ISBLANK(INDIRECT("template!"&amp;"E"&amp;A513)),"",INDIRECT("template!"&amp;"E"&amp;A513)))</f>
        <v>#REF!</v>
      </c>
      <c r="I513" t="e" cm="1">
        <f t="array" aca="1" ref="I513" ca="1">IF(OR(A513="",B513="safety"),"",IF(ISBLANK(INDIRECT("template!"&amp;"F"&amp;A513)),"",INDIRECT("template!"&amp;"F"&amp;A513)))</f>
        <v>#REF!</v>
      </c>
      <c r="J513" t="e" cm="1">
        <f t="array" aca="1" ref="J513" ca="1">IF(OR(A513="",B513="safety"),"",IF(ISBLANK(INDIRECT("template!"&amp;"G"&amp;A513)),"",INDIRECT("template!"&amp;"G"&amp;A513)))</f>
        <v>#REF!</v>
      </c>
      <c r="K513" t="e" cm="1">
        <f t="array" aca="1" ref="K513" ca="1">IF(OR(A513="",B513="safety"),"",IF(ISBLANK(INDIRECT("template!"&amp;"H"&amp;A513)),"",INDIRECT("template!"&amp;"H"&amp;A513)))</f>
        <v>#REF!</v>
      </c>
      <c r="L513" t="e" cm="1">
        <f t="array" aca="1" ref="L513" ca="1">IF(OR(A513="",B513="safety"),"",INDIRECT("template!"&amp;"I"&amp;A513))</f>
        <v>#REF!</v>
      </c>
      <c r="M513" t="e" cm="1">
        <f t="array" aca="1" ref="M513" ca="1">IF(OR(A513="",B513="safety"),"",INDIRECT("template!"&amp;"J"&amp;A513))</f>
        <v>#REF!</v>
      </c>
      <c r="N513" t="e" cm="1">
        <f t="array" aca="1" ref="N513" ca="1">IF(OR(A513="",B513="safety"),"",IF(ISBLANK(INDIRECT("template!"&amp;"K"&amp;A513)),"",INDIRECT("template!"&amp;"K"&amp;A513)))</f>
        <v>#REF!</v>
      </c>
      <c r="O513" t="e" cm="1">
        <f t="array" aca="1" ref="O513" ca="1">IF(OR(A513="",B513="safety"),"",INDIRECT("template!"&amp;"L"&amp;A513))</f>
        <v>#REF!</v>
      </c>
      <c r="P513" t="e" cm="1">
        <f t="array" aca="1" ref="P513" ca="1">IF(OR(A513="",B513="safety"),"",INDIRECT("template!"&amp;"M"&amp;A513))</f>
        <v>#REF!</v>
      </c>
      <c r="Q513" t="e">
        <f t="shared" ca="1" si="40"/>
        <v>#REF!</v>
      </c>
      <c r="R513" t="e">
        <f t="shared" ca="1" si="41"/>
        <v>#REF!</v>
      </c>
      <c r="S513" t="e">
        <f t="shared" ca="1" si="42"/>
        <v>#REF!</v>
      </c>
      <c r="T513" t="e">
        <f t="shared" ca="1" si="43"/>
        <v>#REF!</v>
      </c>
      <c r="U513" t="e" cm="1">
        <f t="array" aca="1" ref="U513" ca="1">IF(A513="","",IF(E513="","",IF(B513="safety",INDIRECT("template!"&amp;"P"&amp;A513),Q513+R513)))</f>
        <v>#REF!</v>
      </c>
      <c r="V513" t="e" cm="1">
        <f t="array" aca="1" ref="V513" ca="1">IF(A513="","",IF(E513="","",IF(B513="safety",INDIRECT("template!"&amp;"P"&amp;A513),S513+T513)))</f>
        <v>#REF!</v>
      </c>
      <c r="W513" t="e">
        <f ca="1">IF(A513="","",IF(E513="","",#REF!))</f>
        <v>#REF!</v>
      </c>
      <c r="X513" t="e">
        <f ca="1">IF(A513="","",IF(E513="","",#REF!))</f>
        <v>#REF!</v>
      </c>
      <c r="Y513" s="39" t="e">
        <f ca="1">IF(A513="","",IF(E513="","",#REF!))</f>
        <v>#REF!</v>
      </c>
      <c r="Z513" t="e">
        <f ca="1">IF(A513="","",IF(E513="","",#REF!))</f>
        <v>#REF!</v>
      </c>
      <c r="AA513" t="e">
        <f ca="1">IF(A513="","",IF(E513="","",#REF!))</f>
        <v>#REF!</v>
      </c>
      <c r="AB513" t="e">
        <f ca="1">IF(A513="","",IF(E513="","",#REF!))</f>
        <v>#REF!</v>
      </c>
      <c r="AC513" t="e">
        <f t="shared" ca="1" si="44"/>
        <v>#REF!</v>
      </c>
    </row>
    <row r="514" spans="1:29" x14ac:dyDescent="0.35">
      <c r="A514" t="e" cm="1">
        <f t="array" aca="1" ref="A514" ca="1">IF(A513="","",IF(OR(AND(A513+1&gt;=$AF$1,A513+1&lt;=$AF$2),AND(A513+1&gt;=$AF$6,A513+1&lt;=$AF$7),AND(A513+1&gt;=$AF$3,A513+1&lt;=$AF$4),AND(A513+1&gt;=$AF$8,A513+1&lt;=$AF$9),A513+1=$AF$5),IF(NOT(ISBLANK(INDIRECT("template!"&amp;"P"&amp;A513+1))),A513+1,IF(NOT(ISBLANK(INDIRECT("template!"&amp;"P"&amp;A513+2))),A513+2,A513+3)),IF(A513=$AF$2,$AF$3,IF(A513=$AF$4,$AF$5,IF(A513=$AF$5,$AF$6,IF(A513=$AF$7,$AF$8,""))))))</f>
        <v>#REF!</v>
      </c>
      <c r="B514" t="e">
        <f t="shared" ref="B514:B577" ca="1" si="45">IF(A514="","",IF(OR(AND(A514&gt;=$AF$1,A514&lt;=$AF$2),AND(A514&gt;=$AF$6,A514&lt;=$AF$7)),"Mechanical",IF(OR(AND(A514&gt;=$AF$3,A514&lt;=$AF$4),AND(A514&gt;=$AF$8,A514&lt;=$AF$9)),"Electric",IF(A514=$AF$5,"Safety",""))))</f>
        <v>#REF!</v>
      </c>
      <c r="C514" t="e" cm="1">
        <f t="array" aca="1" ref="C514" ca="1">IF(A514="","",IF(B514="safety","safety costs",INDIRECT("template!"&amp;"B"&amp;A514)))</f>
        <v>#REF!</v>
      </c>
      <c r="D514" t="e" cm="1">
        <f t="array" aca="1" ref="D514" ca="1">IF(OR(A514="",B514="safety"),"",INDIRECT("template!"&amp;"C"&amp;A514))</f>
        <v>#REF!</v>
      </c>
      <c r="E514" t="e" cm="1">
        <f t="array" aca="1" ref="E514" ca="1">IF(A514="","",IF(OR(A514=A513+1,A514=A513+2),E513,INDIRECT("template!"&amp;"D"&amp;A514-2)))</f>
        <v>#REF!</v>
      </c>
      <c r="F514" t="e" cm="1">
        <f t="array" aca="1" ref="F514" ca="1">IF(OR(A514="",B514="safety"),"",IF(ISBLANK(IF(A514=A513+1,F513,INDIRECT("template!"&amp;"D"&amp;A514-1))),"",IF(A514=A513+1,F513,INDIRECT("template!"&amp;"D"&amp;A514-1))))</f>
        <v>#REF!</v>
      </c>
      <c r="G514" t="e" cm="1">
        <f t="array" aca="1" ref="G514" ca="1">IF(OR(A514="",B514="safety"),"",IF(ISBLANK(INDIRECT("template!"&amp;"D"&amp;A514)),"",INDIRECT("template!"&amp;"D"&amp;A514)))</f>
        <v>#REF!</v>
      </c>
      <c r="H514" t="e" cm="1">
        <f t="array" aca="1" ref="H514" ca="1">IF(OR(A514="",B514="safety"),"",IF(ISBLANK(INDIRECT("template!"&amp;"E"&amp;A514)),"",INDIRECT("template!"&amp;"E"&amp;A514)))</f>
        <v>#REF!</v>
      </c>
      <c r="I514" t="e" cm="1">
        <f t="array" aca="1" ref="I514" ca="1">IF(OR(A514="",B514="safety"),"",IF(ISBLANK(INDIRECT("template!"&amp;"F"&amp;A514)),"",INDIRECT("template!"&amp;"F"&amp;A514)))</f>
        <v>#REF!</v>
      </c>
      <c r="J514" t="e" cm="1">
        <f t="array" aca="1" ref="J514" ca="1">IF(OR(A514="",B514="safety"),"",IF(ISBLANK(INDIRECT("template!"&amp;"G"&amp;A514)),"",INDIRECT("template!"&amp;"G"&amp;A514)))</f>
        <v>#REF!</v>
      </c>
      <c r="K514" t="e" cm="1">
        <f t="array" aca="1" ref="K514" ca="1">IF(OR(A514="",B514="safety"),"",IF(ISBLANK(INDIRECT("template!"&amp;"H"&amp;A514)),"",INDIRECT("template!"&amp;"H"&amp;A514)))</f>
        <v>#REF!</v>
      </c>
      <c r="L514" t="e" cm="1">
        <f t="array" aca="1" ref="L514" ca="1">IF(OR(A514="",B514="safety"),"",INDIRECT("template!"&amp;"I"&amp;A514))</f>
        <v>#REF!</v>
      </c>
      <c r="M514" t="e" cm="1">
        <f t="array" aca="1" ref="M514" ca="1">IF(OR(A514="",B514="safety"),"",INDIRECT("template!"&amp;"J"&amp;A514))</f>
        <v>#REF!</v>
      </c>
      <c r="N514" t="e" cm="1">
        <f t="array" aca="1" ref="N514" ca="1">IF(OR(A514="",B514="safety"),"",IF(ISBLANK(INDIRECT("template!"&amp;"K"&amp;A514)),"",INDIRECT("template!"&amp;"K"&amp;A514)))</f>
        <v>#REF!</v>
      </c>
      <c r="O514" t="e" cm="1">
        <f t="array" aca="1" ref="O514" ca="1">IF(OR(A514="",B514="safety"),"",INDIRECT("template!"&amp;"L"&amp;A514))</f>
        <v>#REF!</v>
      </c>
      <c r="P514" t="e" cm="1">
        <f t="array" aca="1" ref="P514" ca="1">IF(OR(A514="",B514="safety"),"",INDIRECT("template!"&amp;"M"&amp;A514))</f>
        <v>#REF!</v>
      </c>
      <c r="Q514" t="e">
        <f t="shared" ca="1" si="40"/>
        <v>#REF!</v>
      </c>
      <c r="R514" t="e">
        <f t="shared" ca="1" si="41"/>
        <v>#REF!</v>
      </c>
      <c r="S514" t="e">
        <f t="shared" ca="1" si="42"/>
        <v>#REF!</v>
      </c>
      <c r="T514" t="e">
        <f t="shared" ca="1" si="43"/>
        <v>#REF!</v>
      </c>
      <c r="U514" t="e" cm="1">
        <f t="array" aca="1" ref="U514" ca="1">IF(A514="","",IF(E514="","",IF(B514="safety",INDIRECT("template!"&amp;"P"&amp;A514),Q514+R514)))</f>
        <v>#REF!</v>
      </c>
      <c r="V514" t="e" cm="1">
        <f t="array" aca="1" ref="V514" ca="1">IF(A514="","",IF(E514="","",IF(B514="safety",INDIRECT("template!"&amp;"P"&amp;A514),S514+T514)))</f>
        <v>#REF!</v>
      </c>
      <c r="W514" t="e">
        <f ca="1">IF(A514="","",IF(E514="","",#REF!))</f>
        <v>#REF!</v>
      </c>
      <c r="X514" t="e">
        <f ca="1">IF(A514="","",IF(E514="","",#REF!))</f>
        <v>#REF!</v>
      </c>
      <c r="Y514" s="39" t="e">
        <f ca="1">IF(A514="","",IF(E514="","",#REF!))</f>
        <v>#REF!</v>
      </c>
      <c r="Z514" t="e">
        <f ca="1">IF(A514="","",IF(E514="","",#REF!))</f>
        <v>#REF!</v>
      </c>
      <c r="AA514" t="e">
        <f ca="1">IF(A514="","",IF(E514="","",#REF!))</f>
        <v>#REF!</v>
      </c>
      <c r="AB514" t="e">
        <f ca="1">IF(A514="","",IF(E514="","",#REF!))</f>
        <v>#REF!</v>
      </c>
      <c r="AC514" t="e">
        <f t="shared" ca="1" si="44"/>
        <v>#REF!</v>
      </c>
    </row>
    <row r="515" spans="1:29" x14ac:dyDescent="0.35">
      <c r="A515" t="e" cm="1">
        <f t="array" aca="1" ref="A515" ca="1">IF(A514="","",IF(OR(AND(A514+1&gt;=$AF$1,A514+1&lt;=$AF$2),AND(A514+1&gt;=$AF$6,A514+1&lt;=$AF$7),AND(A514+1&gt;=$AF$3,A514+1&lt;=$AF$4),AND(A514+1&gt;=$AF$8,A514+1&lt;=$AF$9),A514+1=$AF$5),IF(NOT(ISBLANK(INDIRECT("template!"&amp;"P"&amp;A514+1))),A514+1,IF(NOT(ISBLANK(INDIRECT("template!"&amp;"P"&amp;A514+2))),A514+2,A514+3)),IF(A514=$AF$2,$AF$3,IF(A514=$AF$4,$AF$5,IF(A514=$AF$5,$AF$6,IF(A514=$AF$7,$AF$8,""))))))</f>
        <v>#REF!</v>
      </c>
      <c r="B515" t="e">
        <f t="shared" ca="1" si="45"/>
        <v>#REF!</v>
      </c>
      <c r="C515" t="e" cm="1">
        <f t="array" aca="1" ref="C515" ca="1">IF(A515="","",IF(B515="safety","safety costs",INDIRECT("template!"&amp;"B"&amp;A515)))</f>
        <v>#REF!</v>
      </c>
      <c r="D515" t="e" cm="1">
        <f t="array" aca="1" ref="D515" ca="1">IF(OR(A515="",B515="safety"),"",INDIRECT("template!"&amp;"C"&amp;A515))</f>
        <v>#REF!</v>
      </c>
      <c r="E515" t="e" cm="1">
        <f t="array" aca="1" ref="E515" ca="1">IF(A515="","",IF(OR(A515=A514+1,A515=A514+2),E514,INDIRECT("template!"&amp;"D"&amp;A515-2)))</f>
        <v>#REF!</v>
      </c>
      <c r="F515" t="e" cm="1">
        <f t="array" aca="1" ref="F515" ca="1">IF(OR(A515="",B515="safety"),"",IF(ISBLANK(IF(A515=A514+1,F514,INDIRECT("template!"&amp;"D"&amp;A515-1))),"",IF(A515=A514+1,F514,INDIRECT("template!"&amp;"D"&amp;A515-1))))</f>
        <v>#REF!</v>
      </c>
      <c r="G515" t="e" cm="1">
        <f t="array" aca="1" ref="G515" ca="1">IF(OR(A515="",B515="safety"),"",IF(ISBLANK(INDIRECT("template!"&amp;"D"&amp;A515)),"",INDIRECT("template!"&amp;"D"&amp;A515)))</f>
        <v>#REF!</v>
      </c>
      <c r="H515" t="e" cm="1">
        <f t="array" aca="1" ref="H515" ca="1">IF(OR(A515="",B515="safety"),"",IF(ISBLANK(INDIRECT("template!"&amp;"E"&amp;A515)),"",INDIRECT("template!"&amp;"E"&amp;A515)))</f>
        <v>#REF!</v>
      </c>
      <c r="I515" t="e" cm="1">
        <f t="array" aca="1" ref="I515" ca="1">IF(OR(A515="",B515="safety"),"",IF(ISBLANK(INDIRECT("template!"&amp;"F"&amp;A515)),"",INDIRECT("template!"&amp;"F"&amp;A515)))</f>
        <v>#REF!</v>
      </c>
      <c r="J515" t="e" cm="1">
        <f t="array" aca="1" ref="J515" ca="1">IF(OR(A515="",B515="safety"),"",IF(ISBLANK(INDIRECT("template!"&amp;"G"&amp;A515)),"",INDIRECT("template!"&amp;"G"&amp;A515)))</f>
        <v>#REF!</v>
      </c>
      <c r="K515" t="e" cm="1">
        <f t="array" aca="1" ref="K515" ca="1">IF(OR(A515="",B515="safety"),"",IF(ISBLANK(INDIRECT("template!"&amp;"H"&amp;A515)),"",INDIRECT("template!"&amp;"H"&amp;A515)))</f>
        <v>#REF!</v>
      </c>
      <c r="L515" t="e" cm="1">
        <f t="array" aca="1" ref="L515" ca="1">IF(OR(A515="",B515="safety"),"",INDIRECT("template!"&amp;"I"&amp;A515))</f>
        <v>#REF!</v>
      </c>
      <c r="M515" t="e" cm="1">
        <f t="array" aca="1" ref="M515" ca="1">IF(OR(A515="",B515="safety"),"",INDIRECT("template!"&amp;"J"&amp;A515))</f>
        <v>#REF!</v>
      </c>
      <c r="N515" t="e" cm="1">
        <f t="array" aca="1" ref="N515" ca="1">IF(OR(A515="",B515="safety"),"",IF(ISBLANK(INDIRECT("template!"&amp;"K"&amp;A515)),"",INDIRECT("template!"&amp;"K"&amp;A515)))</f>
        <v>#REF!</v>
      </c>
      <c r="O515" t="e" cm="1">
        <f t="array" aca="1" ref="O515" ca="1">IF(OR(A515="",B515="safety"),"",INDIRECT("template!"&amp;"L"&amp;A515))</f>
        <v>#REF!</v>
      </c>
      <c r="P515" t="e" cm="1">
        <f t="array" aca="1" ref="P515" ca="1">IF(OR(A515="",B515="safety"),"",INDIRECT("template!"&amp;"M"&amp;A515))</f>
        <v>#REF!</v>
      </c>
      <c r="Q515" t="e">
        <f t="shared" ca="1" si="40"/>
        <v>#REF!</v>
      </c>
      <c r="R515" t="e">
        <f t="shared" ca="1" si="41"/>
        <v>#REF!</v>
      </c>
      <c r="S515" t="e">
        <f t="shared" ca="1" si="42"/>
        <v>#REF!</v>
      </c>
      <c r="T515" t="e">
        <f t="shared" ca="1" si="43"/>
        <v>#REF!</v>
      </c>
      <c r="U515" t="e" cm="1">
        <f t="array" aca="1" ref="U515" ca="1">IF(A515="","",IF(E515="","",IF(B515="safety",INDIRECT("template!"&amp;"P"&amp;A515),Q515+R515)))</f>
        <v>#REF!</v>
      </c>
      <c r="V515" t="e" cm="1">
        <f t="array" aca="1" ref="V515" ca="1">IF(A515="","",IF(E515="","",IF(B515="safety",INDIRECT("template!"&amp;"P"&amp;A515),S515+T515)))</f>
        <v>#REF!</v>
      </c>
      <c r="W515" t="e">
        <f ca="1">IF(A515="","",IF(E515="","",#REF!))</f>
        <v>#REF!</v>
      </c>
      <c r="X515" t="e">
        <f ca="1">IF(A515="","",IF(E515="","",#REF!))</f>
        <v>#REF!</v>
      </c>
      <c r="Y515" s="39" t="e">
        <f ca="1">IF(A515="","",IF(E515="","",#REF!))</f>
        <v>#REF!</v>
      </c>
      <c r="Z515" t="e">
        <f ca="1">IF(A515="","",IF(E515="","",#REF!))</f>
        <v>#REF!</v>
      </c>
      <c r="AA515" t="e">
        <f ca="1">IF(A515="","",IF(E515="","",#REF!))</f>
        <v>#REF!</v>
      </c>
      <c r="AB515" t="e">
        <f ca="1">IF(A515="","",IF(E515="","",#REF!))</f>
        <v>#REF!</v>
      </c>
      <c r="AC515" t="e">
        <f t="shared" ca="1" si="44"/>
        <v>#REF!</v>
      </c>
    </row>
    <row r="516" spans="1:29" x14ac:dyDescent="0.35">
      <c r="A516" t="e" cm="1">
        <f t="array" aca="1" ref="A516" ca="1">IF(A515="","",IF(OR(AND(A515+1&gt;=$AF$1,A515+1&lt;=$AF$2),AND(A515+1&gt;=$AF$6,A515+1&lt;=$AF$7),AND(A515+1&gt;=$AF$3,A515+1&lt;=$AF$4),AND(A515+1&gt;=$AF$8,A515+1&lt;=$AF$9),A515+1=$AF$5),IF(NOT(ISBLANK(INDIRECT("template!"&amp;"P"&amp;A515+1))),A515+1,IF(NOT(ISBLANK(INDIRECT("template!"&amp;"P"&amp;A515+2))),A515+2,A515+3)),IF(A515=$AF$2,$AF$3,IF(A515=$AF$4,$AF$5,IF(A515=$AF$5,$AF$6,IF(A515=$AF$7,$AF$8,""))))))</f>
        <v>#REF!</v>
      </c>
      <c r="B516" t="e">
        <f t="shared" ca="1" si="45"/>
        <v>#REF!</v>
      </c>
      <c r="C516" t="e" cm="1">
        <f t="array" aca="1" ref="C516" ca="1">IF(A516="","",IF(B516="safety","safety costs",INDIRECT("template!"&amp;"B"&amp;A516)))</f>
        <v>#REF!</v>
      </c>
      <c r="D516" t="e" cm="1">
        <f t="array" aca="1" ref="D516" ca="1">IF(OR(A516="",B516="safety"),"",INDIRECT("template!"&amp;"C"&amp;A516))</f>
        <v>#REF!</v>
      </c>
      <c r="E516" t="e" cm="1">
        <f t="array" aca="1" ref="E516" ca="1">IF(A516="","",IF(OR(A516=A515+1,A516=A515+2),E515,INDIRECT("template!"&amp;"D"&amp;A516-2)))</f>
        <v>#REF!</v>
      </c>
      <c r="F516" t="e" cm="1">
        <f t="array" aca="1" ref="F516" ca="1">IF(OR(A516="",B516="safety"),"",IF(ISBLANK(IF(A516=A515+1,F515,INDIRECT("template!"&amp;"D"&amp;A516-1))),"",IF(A516=A515+1,F515,INDIRECT("template!"&amp;"D"&amp;A516-1))))</f>
        <v>#REF!</v>
      </c>
      <c r="G516" t="e" cm="1">
        <f t="array" aca="1" ref="G516" ca="1">IF(OR(A516="",B516="safety"),"",IF(ISBLANK(INDIRECT("template!"&amp;"D"&amp;A516)),"",INDIRECT("template!"&amp;"D"&amp;A516)))</f>
        <v>#REF!</v>
      </c>
      <c r="H516" t="e" cm="1">
        <f t="array" aca="1" ref="H516" ca="1">IF(OR(A516="",B516="safety"),"",IF(ISBLANK(INDIRECT("template!"&amp;"E"&amp;A516)),"",INDIRECT("template!"&amp;"E"&amp;A516)))</f>
        <v>#REF!</v>
      </c>
      <c r="I516" t="e" cm="1">
        <f t="array" aca="1" ref="I516" ca="1">IF(OR(A516="",B516="safety"),"",IF(ISBLANK(INDIRECT("template!"&amp;"F"&amp;A516)),"",INDIRECT("template!"&amp;"F"&amp;A516)))</f>
        <v>#REF!</v>
      </c>
      <c r="J516" t="e" cm="1">
        <f t="array" aca="1" ref="J516" ca="1">IF(OR(A516="",B516="safety"),"",IF(ISBLANK(INDIRECT("template!"&amp;"G"&amp;A516)),"",INDIRECT("template!"&amp;"G"&amp;A516)))</f>
        <v>#REF!</v>
      </c>
      <c r="K516" t="e" cm="1">
        <f t="array" aca="1" ref="K516" ca="1">IF(OR(A516="",B516="safety"),"",IF(ISBLANK(INDIRECT("template!"&amp;"H"&amp;A516)),"",INDIRECT("template!"&amp;"H"&amp;A516)))</f>
        <v>#REF!</v>
      </c>
      <c r="L516" t="e" cm="1">
        <f t="array" aca="1" ref="L516" ca="1">IF(OR(A516="",B516="safety"),"",INDIRECT("template!"&amp;"I"&amp;A516))</f>
        <v>#REF!</v>
      </c>
      <c r="M516" t="e" cm="1">
        <f t="array" aca="1" ref="M516" ca="1">IF(OR(A516="",B516="safety"),"",INDIRECT("template!"&amp;"J"&amp;A516))</f>
        <v>#REF!</v>
      </c>
      <c r="N516" t="e" cm="1">
        <f t="array" aca="1" ref="N516" ca="1">IF(OR(A516="",B516="safety"),"",IF(ISBLANK(INDIRECT("template!"&amp;"K"&amp;A516)),"",INDIRECT("template!"&amp;"K"&amp;A516)))</f>
        <v>#REF!</v>
      </c>
      <c r="O516" t="e" cm="1">
        <f t="array" aca="1" ref="O516" ca="1">IF(OR(A516="",B516="safety"),"",INDIRECT("template!"&amp;"L"&amp;A516))</f>
        <v>#REF!</v>
      </c>
      <c r="P516" t="e" cm="1">
        <f t="array" aca="1" ref="P516" ca="1">IF(OR(A516="",B516="safety"),"",INDIRECT("template!"&amp;"M"&amp;A516))</f>
        <v>#REF!</v>
      </c>
      <c r="Q516" t="e">
        <f t="shared" ref="Q516:Q579" ca="1" si="46">IF(OR(A516="",B516="safety"),"",IF(E516="","",O516*L516))</f>
        <v>#REF!</v>
      </c>
      <c r="R516" t="e">
        <f t="shared" ref="R516:R579" ca="1" si="47">IF(OR(A516="",B516="safety"),"",IF(E516="","",P516*L516))</f>
        <v>#REF!</v>
      </c>
      <c r="S516" t="e">
        <f t="shared" ref="S516:S579" ca="1" si="48">IF(OR(A516="",B516="safety"),"",IF(E516="","",O516*M516))</f>
        <v>#REF!</v>
      </c>
      <c r="T516" t="e">
        <f t="shared" ref="T516:T579" ca="1" si="49">IF(OR(A516="",B516="safety"),"",IF(E516="","",M516*P516))</f>
        <v>#REF!</v>
      </c>
      <c r="U516" t="e" cm="1">
        <f t="array" aca="1" ref="U516" ca="1">IF(A516="","",IF(E516="","",IF(B516="safety",INDIRECT("template!"&amp;"P"&amp;A516),Q516+R516)))</f>
        <v>#REF!</v>
      </c>
      <c r="V516" t="e" cm="1">
        <f t="array" aca="1" ref="V516" ca="1">IF(A516="","",IF(E516="","",IF(B516="safety",INDIRECT("template!"&amp;"P"&amp;A516),S516+T516)))</f>
        <v>#REF!</v>
      </c>
      <c r="W516" t="e">
        <f ca="1">IF(A516="","",IF(E516="","",#REF!))</f>
        <v>#REF!</v>
      </c>
      <c r="X516" t="e">
        <f ca="1">IF(A516="","",IF(E516="","",#REF!))</f>
        <v>#REF!</v>
      </c>
      <c r="Y516" s="39" t="e">
        <f ca="1">IF(A516="","",IF(E516="","",#REF!))</f>
        <v>#REF!</v>
      </c>
      <c r="Z516" t="e">
        <f ca="1">IF(A516="","",IF(E516="","",#REF!))</f>
        <v>#REF!</v>
      </c>
      <c r="AA516" t="e">
        <f ca="1">IF(A516="","",IF(E516="","",#REF!))</f>
        <v>#REF!</v>
      </c>
      <c r="AB516" t="e">
        <f ca="1">IF(A516="","",IF(E516="","",#REF!))</f>
        <v>#REF!</v>
      </c>
      <c r="AC516" t="e">
        <f t="shared" ref="AC516:AC579" ca="1" si="50">IF(A516="","",IF(E516="","","WEEK "&amp;WEEKNUM(Y516)&amp;"_"&amp;YEAR(Y516)))</f>
        <v>#REF!</v>
      </c>
    </row>
    <row r="517" spans="1:29" x14ac:dyDescent="0.35">
      <c r="A517" t="e" cm="1">
        <f t="array" aca="1" ref="A517" ca="1">IF(A516="","",IF(OR(AND(A516+1&gt;=$AF$1,A516+1&lt;=$AF$2),AND(A516+1&gt;=$AF$6,A516+1&lt;=$AF$7),AND(A516+1&gt;=$AF$3,A516+1&lt;=$AF$4),AND(A516+1&gt;=$AF$8,A516+1&lt;=$AF$9),A516+1=$AF$5),IF(NOT(ISBLANK(INDIRECT("template!"&amp;"P"&amp;A516+1))),A516+1,IF(NOT(ISBLANK(INDIRECT("template!"&amp;"P"&amp;A516+2))),A516+2,A516+3)),IF(A516=$AF$2,$AF$3,IF(A516=$AF$4,$AF$5,IF(A516=$AF$5,$AF$6,IF(A516=$AF$7,$AF$8,""))))))</f>
        <v>#REF!</v>
      </c>
      <c r="B517" t="e">
        <f t="shared" ca="1" si="45"/>
        <v>#REF!</v>
      </c>
      <c r="C517" t="e" cm="1">
        <f t="array" aca="1" ref="C517" ca="1">IF(A517="","",IF(B517="safety","safety costs",INDIRECT("template!"&amp;"B"&amp;A517)))</f>
        <v>#REF!</v>
      </c>
      <c r="D517" t="e" cm="1">
        <f t="array" aca="1" ref="D517" ca="1">IF(OR(A517="",B517="safety"),"",INDIRECT("template!"&amp;"C"&amp;A517))</f>
        <v>#REF!</v>
      </c>
      <c r="E517" t="e" cm="1">
        <f t="array" aca="1" ref="E517" ca="1">IF(A517="","",IF(OR(A517=A516+1,A517=A516+2),E516,INDIRECT("template!"&amp;"D"&amp;A517-2)))</f>
        <v>#REF!</v>
      </c>
      <c r="F517" t="e" cm="1">
        <f t="array" aca="1" ref="F517" ca="1">IF(OR(A517="",B517="safety"),"",IF(ISBLANK(IF(A517=A516+1,F516,INDIRECT("template!"&amp;"D"&amp;A517-1))),"",IF(A517=A516+1,F516,INDIRECT("template!"&amp;"D"&amp;A517-1))))</f>
        <v>#REF!</v>
      </c>
      <c r="G517" t="e" cm="1">
        <f t="array" aca="1" ref="G517" ca="1">IF(OR(A517="",B517="safety"),"",IF(ISBLANK(INDIRECT("template!"&amp;"D"&amp;A517)),"",INDIRECT("template!"&amp;"D"&amp;A517)))</f>
        <v>#REF!</v>
      </c>
      <c r="H517" t="e" cm="1">
        <f t="array" aca="1" ref="H517" ca="1">IF(OR(A517="",B517="safety"),"",IF(ISBLANK(INDIRECT("template!"&amp;"E"&amp;A517)),"",INDIRECT("template!"&amp;"E"&amp;A517)))</f>
        <v>#REF!</v>
      </c>
      <c r="I517" t="e" cm="1">
        <f t="array" aca="1" ref="I517" ca="1">IF(OR(A517="",B517="safety"),"",IF(ISBLANK(INDIRECT("template!"&amp;"F"&amp;A517)),"",INDIRECT("template!"&amp;"F"&amp;A517)))</f>
        <v>#REF!</v>
      </c>
      <c r="J517" t="e" cm="1">
        <f t="array" aca="1" ref="J517" ca="1">IF(OR(A517="",B517="safety"),"",IF(ISBLANK(INDIRECT("template!"&amp;"G"&amp;A517)),"",INDIRECT("template!"&amp;"G"&amp;A517)))</f>
        <v>#REF!</v>
      </c>
      <c r="K517" t="e" cm="1">
        <f t="array" aca="1" ref="K517" ca="1">IF(OR(A517="",B517="safety"),"",IF(ISBLANK(INDIRECT("template!"&amp;"H"&amp;A517)),"",INDIRECT("template!"&amp;"H"&amp;A517)))</f>
        <v>#REF!</v>
      </c>
      <c r="L517" t="e" cm="1">
        <f t="array" aca="1" ref="L517" ca="1">IF(OR(A517="",B517="safety"),"",INDIRECT("template!"&amp;"I"&amp;A517))</f>
        <v>#REF!</v>
      </c>
      <c r="M517" t="e" cm="1">
        <f t="array" aca="1" ref="M517" ca="1">IF(OR(A517="",B517="safety"),"",INDIRECT("template!"&amp;"J"&amp;A517))</f>
        <v>#REF!</v>
      </c>
      <c r="N517" t="e" cm="1">
        <f t="array" aca="1" ref="N517" ca="1">IF(OR(A517="",B517="safety"),"",IF(ISBLANK(INDIRECT("template!"&amp;"K"&amp;A517)),"",INDIRECT("template!"&amp;"K"&amp;A517)))</f>
        <v>#REF!</v>
      </c>
      <c r="O517" t="e" cm="1">
        <f t="array" aca="1" ref="O517" ca="1">IF(OR(A517="",B517="safety"),"",INDIRECT("template!"&amp;"L"&amp;A517))</f>
        <v>#REF!</v>
      </c>
      <c r="P517" t="e" cm="1">
        <f t="array" aca="1" ref="P517" ca="1">IF(OR(A517="",B517="safety"),"",INDIRECT("template!"&amp;"M"&amp;A517))</f>
        <v>#REF!</v>
      </c>
      <c r="Q517" t="e">
        <f t="shared" ca="1" si="46"/>
        <v>#REF!</v>
      </c>
      <c r="R517" t="e">
        <f t="shared" ca="1" si="47"/>
        <v>#REF!</v>
      </c>
      <c r="S517" t="e">
        <f t="shared" ca="1" si="48"/>
        <v>#REF!</v>
      </c>
      <c r="T517" t="e">
        <f t="shared" ca="1" si="49"/>
        <v>#REF!</v>
      </c>
      <c r="U517" t="e" cm="1">
        <f t="array" aca="1" ref="U517" ca="1">IF(A517="","",IF(E517="","",IF(B517="safety",INDIRECT("template!"&amp;"P"&amp;A517),Q517+R517)))</f>
        <v>#REF!</v>
      </c>
      <c r="V517" t="e" cm="1">
        <f t="array" aca="1" ref="V517" ca="1">IF(A517="","",IF(E517="","",IF(B517="safety",INDIRECT("template!"&amp;"P"&amp;A517),S517+T517)))</f>
        <v>#REF!</v>
      </c>
      <c r="W517" t="e">
        <f ca="1">IF(A517="","",IF(E517="","",#REF!))</f>
        <v>#REF!</v>
      </c>
      <c r="X517" t="e">
        <f ca="1">IF(A517="","",IF(E517="","",#REF!))</f>
        <v>#REF!</v>
      </c>
      <c r="Y517" s="39" t="e">
        <f ca="1">IF(A517="","",IF(E517="","",#REF!))</f>
        <v>#REF!</v>
      </c>
      <c r="Z517" t="e">
        <f ca="1">IF(A517="","",IF(E517="","",#REF!))</f>
        <v>#REF!</v>
      </c>
      <c r="AA517" t="e">
        <f ca="1">IF(A517="","",IF(E517="","",#REF!))</f>
        <v>#REF!</v>
      </c>
      <c r="AB517" t="e">
        <f ca="1">IF(A517="","",IF(E517="","",#REF!))</f>
        <v>#REF!</v>
      </c>
      <c r="AC517" t="e">
        <f t="shared" ca="1" si="50"/>
        <v>#REF!</v>
      </c>
    </row>
    <row r="518" spans="1:29" x14ac:dyDescent="0.35">
      <c r="A518" t="e" cm="1">
        <f t="array" aca="1" ref="A518" ca="1">IF(A517="","",IF(OR(AND(A517+1&gt;=$AF$1,A517+1&lt;=$AF$2),AND(A517+1&gt;=$AF$6,A517+1&lt;=$AF$7),AND(A517+1&gt;=$AF$3,A517+1&lt;=$AF$4),AND(A517+1&gt;=$AF$8,A517+1&lt;=$AF$9),A517+1=$AF$5),IF(NOT(ISBLANK(INDIRECT("template!"&amp;"P"&amp;A517+1))),A517+1,IF(NOT(ISBLANK(INDIRECT("template!"&amp;"P"&amp;A517+2))),A517+2,A517+3)),IF(A517=$AF$2,$AF$3,IF(A517=$AF$4,$AF$5,IF(A517=$AF$5,$AF$6,IF(A517=$AF$7,$AF$8,""))))))</f>
        <v>#REF!</v>
      </c>
      <c r="B518" t="e">
        <f t="shared" ca="1" si="45"/>
        <v>#REF!</v>
      </c>
      <c r="C518" t="e" cm="1">
        <f t="array" aca="1" ref="C518" ca="1">IF(A518="","",IF(B518="safety","safety costs",INDIRECT("template!"&amp;"B"&amp;A518)))</f>
        <v>#REF!</v>
      </c>
      <c r="D518" t="e" cm="1">
        <f t="array" aca="1" ref="D518" ca="1">IF(OR(A518="",B518="safety"),"",INDIRECT("template!"&amp;"C"&amp;A518))</f>
        <v>#REF!</v>
      </c>
      <c r="E518" t="e" cm="1">
        <f t="array" aca="1" ref="E518" ca="1">IF(A518="","",IF(OR(A518=A517+1,A518=A517+2),E517,INDIRECT("template!"&amp;"D"&amp;A518-2)))</f>
        <v>#REF!</v>
      </c>
      <c r="F518" t="e" cm="1">
        <f t="array" aca="1" ref="F518" ca="1">IF(OR(A518="",B518="safety"),"",IF(ISBLANK(IF(A518=A517+1,F517,INDIRECT("template!"&amp;"D"&amp;A518-1))),"",IF(A518=A517+1,F517,INDIRECT("template!"&amp;"D"&amp;A518-1))))</f>
        <v>#REF!</v>
      </c>
      <c r="G518" t="e" cm="1">
        <f t="array" aca="1" ref="G518" ca="1">IF(OR(A518="",B518="safety"),"",IF(ISBLANK(INDIRECT("template!"&amp;"D"&amp;A518)),"",INDIRECT("template!"&amp;"D"&amp;A518)))</f>
        <v>#REF!</v>
      </c>
      <c r="H518" t="e" cm="1">
        <f t="array" aca="1" ref="H518" ca="1">IF(OR(A518="",B518="safety"),"",IF(ISBLANK(INDIRECT("template!"&amp;"E"&amp;A518)),"",INDIRECT("template!"&amp;"E"&amp;A518)))</f>
        <v>#REF!</v>
      </c>
      <c r="I518" t="e" cm="1">
        <f t="array" aca="1" ref="I518" ca="1">IF(OR(A518="",B518="safety"),"",IF(ISBLANK(INDIRECT("template!"&amp;"F"&amp;A518)),"",INDIRECT("template!"&amp;"F"&amp;A518)))</f>
        <v>#REF!</v>
      </c>
      <c r="J518" t="e" cm="1">
        <f t="array" aca="1" ref="J518" ca="1">IF(OR(A518="",B518="safety"),"",IF(ISBLANK(INDIRECT("template!"&amp;"G"&amp;A518)),"",INDIRECT("template!"&amp;"G"&amp;A518)))</f>
        <v>#REF!</v>
      </c>
      <c r="K518" t="e" cm="1">
        <f t="array" aca="1" ref="K518" ca="1">IF(OR(A518="",B518="safety"),"",IF(ISBLANK(INDIRECT("template!"&amp;"H"&amp;A518)),"",INDIRECT("template!"&amp;"H"&amp;A518)))</f>
        <v>#REF!</v>
      </c>
      <c r="L518" t="e" cm="1">
        <f t="array" aca="1" ref="L518" ca="1">IF(OR(A518="",B518="safety"),"",INDIRECT("template!"&amp;"I"&amp;A518))</f>
        <v>#REF!</v>
      </c>
      <c r="M518" t="e" cm="1">
        <f t="array" aca="1" ref="M518" ca="1">IF(OR(A518="",B518="safety"),"",INDIRECT("template!"&amp;"J"&amp;A518))</f>
        <v>#REF!</v>
      </c>
      <c r="N518" t="e" cm="1">
        <f t="array" aca="1" ref="N518" ca="1">IF(OR(A518="",B518="safety"),"",IF(ISBLANK(INDIRECT("template!"&amp;"K"&amp;A518)),"",INDIRECT("template!"&amp;"K"&amp;A518)))</f>
        <v>#REF!</v>
      </c>
      <c r="O518" t="e" cm="1">
        <f t="array" aca="1" ref="O518" ca="1">IF(OR(A518="",B518="safety"),"",INDIRECT("template!"&amp;"L"&amp;A518))</f>
        <v>#REF!</v>
      </c>
      <c r="P518" t="e" cm="1">
        <f t="array" aca="1" ref="P518" ca="1">IF(OR(A518="",B518="safety"),"",INDIRECT("template!"&amp;"M"&amp;A518))</f>
        <v>#REF!</v>
      </c>
      <c r="Q518" t="e">
        <f t="shared" ca="1" si="46"/>
        <v>#REF!</v>
      </c>
      <c r="R518" t="e">
        <f t="shared" ca="1" si="47"/>
        <v>#REF!</v>
      </c>
      <c r="S518" t="e">
        <f t="shared" ca="1" si="48"/>
        <v>#REF!</v>
      </c>
      <c r="T518" t="e">
        <f t="shared" ca="1" si="49"/>
        <v>#REF!</v>
      </c>
      <c r="U518" t="e" cm="1">
        <f t="array" aca="1" ref="U518" ca="1">IF(A518="","",IF(E518="","",IF(B518="safety",INDIRECT("template!"&amp;"P"&amp;A518),Q518+R518)))</f>
        <v>#REF!</v>
      </c>
      <c r="V518" t="e" cm="1">
        <f t="array" aca="1" ref="V518" ca="1">IF(A518="","",IF(E518="","",IF(B518="safety",INDIRECT("template!"&amp;"P"&amp;A518),S518+T518)))</f>
        <v>#REF!</v>
      </c>
      <c r="W518" t="e">
        <f ca="1">IF(A518="","",IF(E518="","",#REF!))</f>
        <v>#REF!</v>
      </c>
      <c r="X518" t="e">
        <f ca="1">IF(A518="","",IF(E518="","",#REF!))</f>
        <v>#REF!</v>
      </c>
      <c r="Y518" s="39" t="e">
        <f ca="1">IF(A518="","",IF(E518="","",#REF!))</f>
        <v>#REF!</v>
      </c>
      <c r="Z518" t="e">
        <f ca="1">IF(A518="","",IF(E518="","",#REF!))</f>
        <v>#REF!</v>
      </c>
      <c r="AA518" t="e">
        <f ca="1">IF(A518="","",IF(E518="","",#REF!))</f>
        <v>#REF!</v>
      </c>
      <c r="AB518" t="e">
        <f ca="1">IF(A518="","",IF(E518="","",#REF!))</f>
        <v>#REF!</v>
      </c>
      <c r="AC518" t="e">
        <f t="shared" ca="1" si="50"/>
        <v>#REF!</v>
      </c>
    </row>
    <row r="519" spans="1:29" x14ac:dyDescent="0.35">
      <c r="A519" t="e" cm="1">
        <f t="array" aca="1" ref="A519" ca="1">IF(A518="","",IF(OR(AND(A518+1&gt;=$AF$1,A518+1&lt;=$AF$2),AND(A518+1&gt;=$AF$6,A518+1&lt;=$AF$7),AND(A518+1&gt;=$AF$3,A518+1&lt;=$AF$4),AND(A518+1&gt;=$AF$8,A518+1&lt;=$AF$9),A518+1=$AF$5),IF(NOT(ISBLANK(INDIRECT("template!"&amp;"P"&amp;A518+1))),A518+1,IF(NOT(ISBLANK(INDIRECT("template!"&amp;"P"&amp;A518+2))),A518+2,A518+3)),IF(A518=$AF$2,$AF$3,IF(A518=$AF$4,$AF$5,IF(A518=$AF$5,$AF$6,IF(A518=$AF$7,$AF$8,""))))))</f>
        <v>#REF!</v>
      </c>
      <c r="B519" t="e">
        <f t="shared" ca="1" si="45"/>
        <v>#REF!</v>
      </c>
      <c r="C519" t="e" cm="1">
        <f t="array" aca="1" ref="C519" ca="1">IF(A519="","",IF(B519="safety","safety costs",INDIRECT("template!"&amp;"B"&amp;A519)))</f>
        <v>#REF!</v>
      </c>
      <c r="D519" t="e" cm="1">
        <f t="array" aca="1" ref="D519" ca="1">IF(OR(A519="",B519="safety"),"",INDIRECT("template!"&amp;"C"&amp;A519))</f>
        <v>#REF!</v>
      </c>
      <c r="E519" t="e" cm="1">
        <f t="array" aca="1" ref="E519" ca="1">IF(A519="","",IF(OR(A519=A518+1,A519=A518+2),E518,INDIRECT("template!"&amp;"D"&amp;A519-2)))</f>
        <v>#REF!</v>
      </c>
      <c r="F519" t="e" cm="1">
        <f t="array" aca="1" ref="F519" ca="1">IF(OR(A519="",B519="safety"),"",IF(ISBLANK(IF(A519=A518+1,F518,INDIRECT("template!"&amp;"D"&amp;A519-1))),"",IF(A519=A518+1,F518,INDIRECT("template!"&amp;"D"&amp;A519-1))))</f>
        <v>#REF!</v>
      </c>
      <c r="G519" t="e" cm="1">
        <f t="array" aca="1" ref="G519" ca="1">IF(OR(A519="",B519="safety"),"",IF(ISBLANK(INDIRECT("template!"&amp;"D"&amp;A519)),"",INDIRECT("template!"&amp;"D"&amp;A519)))</f>
        <v>#REF!</v>
      </c>
      <c r="H519" t="e" cm="1">
        <f t="array" aca="1" ref="H519" ca="1">IF(OR(A519="",B519="safety"),"",IF(ISBLANK(INDIRECT("template!"&amp;"E"&amp;A519)),"",INDIRECT("template!"&amp;"E"&amp;A519)))</f>
        <v>#REF!</v>
      </c>
      <c r="I519" t="e" cm="1">
        <f t="array" aca="1" ref="I519" ca="1">IF(OR(A519="",B519="safety"),"",IF(ISBLANK(INDIRECT("template!"&amp;"F"&amp;A519)),"",INDIRECT("template!"&amp;"F"&amp;A519)))</f>
        <v>#REF!</v>
      </c>
      <c r="J519" t="e" cm="1">
        <f t="array" aca="1" ref="J519" ca="1">IF(OR(A519="",B519="safety"),"",IF(ISBLANK(INDIRECT("template!"&amp;"G"&amp;A519)),"",INDIRECT("template!"&amp;"G"&amp;A519)))</f>
        <v>#REF!</v>
      </c>
      <c r="K519" t="e" cm="1">
        <f t="array" aca="1" ref="K519" ca="1">IF(OR(A519="",B519="safety"),"",IF(ISBLANK(INDIRECT("template!"&amp;"H"&amp;A519)),"",INDIRECT("template!"&amp;"H"&amp;A519)))</f>
        <v>#REF!</v>
      </c>
      <c r="L519" t="e" cm="1">
        <f t="array" aca="1" ref="L519" ca="1">IF(OR(A519="",B519="safety"),"",INDIRECT("template!"&amp;"I"&amp;A519))</f>
        <v>#REF!</v>
      </c>
      <c r="M519" t="e" cm="1">
        <f t="array" aca="1" ref="M519" ca="1">IF(OR(A519="",B519="safety"),"",INDIRECT("template!"&amp;"J"&amp;A519))</f>
        <v>#REF!</v>
      </c>
      <c r="N519" t="e" cm="1">
        <f t="array" aca="1" ref="N519" ca="1">IF(OR(A519="",B519="safety"),"",IF(ISBLANK(INDIRECT("template!"&amp;"K"&amp;A519)),"",INDIRECT("template!"&amp;"K"&amp;A519)))</f>
        <v>#REF!</v>
      </c>
      <c r="O519" t="e" cm="1">
        <f t="array" aca="1" ref="O519" ca="1">IF(OR(A519="",B519="safety"),"",INDIRECT("template!"&amp;"L"&amp;A519))</f>
        <v>#REF!</v>
      </c>
      <c r="P519" t="e" cm="1">
        <f t="array" aca="1" ref="P519" ca="1">IF(OR(A519="",B519="safety"),"",INDIRECT("template!"&amp;"M"&amp;A519))</f>
        <v>#REF!</v>
      </c>
      <c r="Q519" t="e">
        <f t="shared" ca="1" si="46"/>
        <v>#REF!</v>
      </c>
      <c r="R519" t="e">
        <f t="shared" ca="1" si="47"/>
        <v>#REF!</v>
      </c>
      <c r="S519" t="e">
        <f t="shared" ca="1" si="48"/>
        <v>#REF!</v>
      </c>
      <c r="T519" t="e">
        <f t="shared" ca="1" si="49"/>
        <v>#REF!</v>
      </c>
      <c r="U519" t="e" cm="1">
        <f t="array" aca="1" ref="U519" ca="1">IF(A519="","",IF(E519="","",IF(B519="safety",INDIRECT("template!"&amp;"P"&amp;A519),Q519+R519)))</f>
        <v>#REF!</v>
      </c>
      <c r="V519" t="e" cm="1">
        <f t="array" aca="1" ref="V519" ca="1">IF(A519="","",IF(E519="","",IF(B519="safety",INDIRECT("template!"&amp;"P"&amp;A519),S519+T519)))</f>
        <v>#REF!</v>
      </c>
      <c r="W519" t="e">
        <f ca="1">IF(A519="","",IF(E519="","",#REF!))</f>
        <v>#REF!</v>
      </c>
      <c r="X519" t="e">
        <f ca="1">IF(A519="","",IF(E519="","",#REF!))</f>
        <v>#REF!</v>
      </c>
      <c r="Y519" s="39" t="e">
        <f ca="1">IF(A519="","",IF(E519="","",#REF!))</f>
        <v>#REF!</v>
      </c>
      <c r="Z519" t="e">
        <f ca="1">IF(A519="","",IF(E519="","",#REF!))</f>
        <v>#REF!</v>
      </c>
      <c r="AA519" t="e">
        <f ca="1">IF(A519="","",IF(E519="","",#REF!))</f>
        <v>#REF!</v>
      </c>
      <c r="AB519" t="e">
        <f ca="1">IF(A519="","",IF(E519="","",#REF!))</f>
        <v>#REF!</v>
      </c>
      <c r="AC519" t="e">
        <f t="shared" ca="1" si="50"/>
        <v>#REF!</v>
      </c>
    </row>
    <row r="520" spans="1:29" x14ac:dyDescent="0.35">
      <c r="A520" t="e" cm="1">
        <f t="array" aca="1" ref="A520" ca="1">IF(A519="","",IF(OR(AND(A519+1&gt;=$AF$1,A519+1&lt;=$AF$2),AND(A519+1&gt;=$AF$6,A519+1&lt;=$AF$7),AND(A519+1&gt;=$AF$3,A519+1&lt;=$AF$4),AND(A519+1&gt;=$AF$8,A519+1&lt;=$AF$9),A519+1=$AF$5),IF(NOT(ISBLANK(INDIRECT("template!"&amp;"P"&amp;A519+1))),A519+1,IF(NOT(ISBLANK(INDIRECT("template!"&amp;"P"&amp;A519+2))),A519+2,A519+3)),IF(A519=$AF$2,$AF$3,IF(A519=$AF$4,$AF$5,IF(A519=$AF$5,$AF$6,IF(A519=$AF$7,$AF$8,""))))))</f>
        <v>#REF!</v>
      </c>
      <c r="B520" t="e">
        <f t="shared" ca="1" si="45"/>
        <v>#REF!</v>
      </c>
      <c r="C520" t="e" cm="1">
        <f t="array" aca="1" ref="C520" ca="1">IF(A520="","",IF(B520="safety","safety costs",INDIRECT("template!"&amp;"B"&amp;A520)))</f>
        <v>#REF!</v>
      </c>
      <c r="D520" t="e" cm="1">
        <f t="array" aca="1" ref="D520" ca="1">IF(OR(A520="",B520="safety"),"",INDIRECT("template!"&amp;"C"&amp;A520))</f>
        <v>#REF!</v>
      </c>
      <c r="E520" t="e" cm="1">
        <f t="array" aca="1" ref="E520" ca="1">IF(A520="","",IF(OR(A520=A519+1,A520=A519+2),E519,INDIRECT("template!"&amp;"D"&amp;A520-2)))</f>
        <v>#REF!</v>
      </c>
      <c r="F520" t="e" cm="1">
        <f t="array" aca="1" ref="F520" ca="1">IF(OR(A520="",B520="safety"),"",IF(ISBLANK(IF(A520=A519+1,F519,INDIRECT("template!"&amp;"D"&amp;A520-1))),"",IF(A520=A519+1,F519,INDIRECT("template!"&amp;"D"&amp;A520-1))))</f>
        <v>#REF!</v>
      </c>
      <c r="G520" t="e" cm="1">
        <f t="array" aca="1" ref="G520" ca="1">IF(OR(A520="",B520="safety"),"",IF(ISBLANK(INDIRECT("template!"&amp;"D"&amp;A520)),"",INDIRECT("template!"&amp;"D"&amp;A520)))</f>
        <v>#REF!</v>
      </c>
      <c r="H520" t="e" cm="1">
        <f t="array" aca="1" ref="H520" ca="1">IF(OR(A520="",B520="safety"),"",IF(ISBLANK(INDIRECT("template!"&amp;"E"&amp;A520)),"",INDIRECT("template!"&amp;"E"&amp;A520)))</f>
        <v>#REF!</v>
      </c>
      <c r="I520" t="e" cm="1">
        <f t="array" aca="1" ref="I520" ca="1">IF(OR(A520="",B520="safety"),"",IF(ISBLANK(INDIRECT("template!"&amp;"F"&amp;A520)),"",INDIRECT("template!"&amp;"F"&amp;A520)))</f>
        <v>#REF!</v>
      </c>
      <c r="J520" t="e" cm="1">
        <f t="array" aca="1" ref="J520" ca="1">IF(OR(A520="",B520="safety"),"",IF(ISBLANK(INDIRECT("template!"&amp;"G"&amp;A520)),"",INDIRECT("template!"&amp;"G"&amp;A520)))</f>
        <v>#REF!</v>
      </c>
      <c r="K520" t="e" cm="1">
        <f t="array" aca="1" ref="K520" ca="1">IF(OR(A520="",B520="safety"),"",IF(ISBLANK(INDIRECT("template!"&amp;"H"&amp;A520)),"",INDIRECT("template!"&amp;"H"&amp;A520)))</f>
        <v>#REF!</v>
      </c>
      <c r="L520" t="e" cm="1">
        <f t="array" aca="1" ref="L520" ca="1">IF(OR(A520="",B520="safety"),"",INDIRECT("template!"&amp;"I"&amp;A520))</f>
        <v>#REF!</v>
      </c>
      <c r="M520" t="e" cm="1">
        <f t="array" aca="1" ref="M520" ca="1">IF(OR(A520="",B520="safety"),"",INDIRECT("template!"&amp;"J"&amp;A520))</f>
        <v>#REF!</v>
      </c>
      <c r="N520" t="e" cm="1">
        <f t="array" aca="1" ref="N520" ca="1">IF(OR(A520="",B520="safety"),"",IF(ISBLANK(INDIRECT("template!"&amp;"K"&amp;A520)),"",INDIRECT("template!"&amp;"K"&amp;A520)))</f>
        <v>#REF!</v>
      </c>
      <c r="O520" t="e" cm="1">
        <f t="array" aca="1" ref="O520" ca="1">IF(OR(A520="",B520="safety"),"",INDIRECT("template!"&amp;"L"&amp;A520))</f>
        <v>#REF!</v>
      </c>
      <c r="P520" t="e" cm="1">
        <f t="array" aca="1" ref="P520" ca="1">IF(OR(A520="",B520="safety"),"",INDIRECT("template!"&amp;"M"&amp;A520))</f>
        <v>#REF!</v>
      </c>
      <c r="Q520" t="e">
        <f t="shared" ca="1" si="46"/>
        <v>#REF!</v>
      </c>
      <c r="R520" t="e">
        <f t="shared" ca="1" si="47"/>
        <v>#REF!</v>
      </c>
      <c r="S520" t="e">
        <f t="shared" ca="1" si="48"/>
        <v>#REF!</v>
      </c>
      <c r="T520" t="e">
        <f t="shared" ca="1" si="49"/>
        <v>#REF!</v>
      </c>
      <c r="U520" t="e" cm="1">
        <f t="array" aca="1" ref="U520" ca="1">IF(A520="","",IF(E520="","",IF(B520="safety",INDIRECT("template!"&amp;"P"&amp;A520),Q520+R520)))</f>
        <v>#REF!</v>
      </c>
      <c r="V520" t="e" cm="1">
        <f t="array" aca="1" ref="V520" ca="1">IF(A520="","",IF(E520="","",IF(B520="safety",INDIRECT("template!"&amp;"P"&amp;A520),S520+T520)))</f>
        <v>#REF!</v>
      </c>
      <c r="W520" t="e">
        <f ca="1">IF(A520="","",IF(E520="","",#REF!))</f>
        <v>#REF!</v>
      </c>
      <c r="X520" t="e">
        <f ca="1">IF(A520="","",IF(E520="","",#REF!))</f>
        <v>#REF!</v>
      </c>
      <c r="Y520" s="39" t="e">
        <f ca="1">IF(A520="","",IF(E520="","",#REF!))</f>
        <v>#REF!</v>
      </c>
      <c r="Z520" t="e">
        <f ca="1">IF(A520="","",IF(E520="","",#REF!))</f>
        <v>#REF!</v>
      </c>
      <c r="AA520" t="e">
        <f ca="1">IF(A520="","",IF(E520="","",#REF!))</f>
        <v>#REF!</v>
      </c>
      <c r="AB520" t="e">
        <f ca="1">IF(A520="","",IF(E520="","",#REF!))</f>
        <v>#REF!</v>
      </c>
      <c r="AC520" t="e">
        <f t="shared" ca="1" si="50"/>
        <v>#REF!</v>
      </c>
    </row>
    <row r="521" spans="1:29" x14ac:dyDescent="0.35">
      <c r="A521" t="e" cm="1">
        <f t="array" aca="1" ref="A521" ca="1">IF(A520="","",IF(OR(AND(A520+1&gt;=$AF$1,A520+1&lt;=$AF$2),AND(A520+1&gt;=$AF$6,A520+1&lt;=$AF$7),AND(A520+1&gt;=$AF$3,A520+1&lt;=$AF$4),AND(A520+1&gt;=$AF$8,A520+1&lt;=$AF$9),A520+1=$AF$5),IF(NOT(ISBLANK(INDIRECT("template!"&amp;"P"&amp;A520+1))),A520+1,IF(NOT(ISBLANK(INDIRECT("template!"&amp;"P"&amp;A520+2))),A520+2,A520+3)),IF(A520=$AF$2,$AF$3,IF(A520=$AF$4,$AF$5,IF(A520=$AF$5,$AF$6,IF(A520=$AF$7,$AF$8,""))))))</f>
        <v>#REF!</v>
      </c>
      <c r="B521" t="e">
        <f t="shared" ca="1" si="45"/>
        <v>#REF!</v>
      </c>
      <c r="C521" t="e" cm="1">
        <f t="array" aca="1" ref="C521" ca="1">IF(A521="","",IF(B521="safety","safety costs",INDIRECT("template!"&amp;"B"&amp;A521)))</f>
        <v>#REF!</v>
      </c>
      <c r="D521" t="e" cm="1">
        <f t="array" aca="1" ref="D521" ca="1">IF(OR(A521="",B521="safety"),"",INDIRECT("template!"&amp;"C"&amp;A521))</f>
        <v>#REF!</v>
      </c>
      <c r="E521" t="e" cm="1">
        <f t="array" aca="1" ref="E521" ca="1">IF(A521="","",IF(OR(A521=A520+1,A521=A520+2),E520,INDIRECT("template!"&amp;"D"&amp;A521-2)))</f>
        <v>#REF!</v>
      </c>
      <c r="F521" t="e" cm="1">
        <f t="array" aca="1" ref="F521" ca="1">IF(OR(A521="",B521="safety"),"",IF(ISBLANK(IF(A521=A520+1,F520,INDIRECT("template!"&amp;"D"&amp;A521-1))),"",IF(A521=A520+1,F520,INDIRECT("template!"&amp;"D"&amp;A521-1))))</f>
        <v>#REF!</v>
      </c>
      <c r="G521" t="e" cm="1">
        <f t="array" aca="1" ref="G521" ca="1">IF(OR(A521="",B521="safety"),"",IF(ISBLANK(INDIRECT("template!"&amp;"D"&amp;A521)),"",INDIRECT("template!"&amp;"D"&amp;A521)))</f>
        <v>#REF!</v>
      </c>
      <c r="H521" t="e" cm="1">
        <f t="array" aca="1" ref="H521" ca="1">IF(OR(A521="",B521="safety"),"",IF(ISBLANK(INDIRECT("template!"&amp;"E"&amp;A521)),"",INDIRECT("template!"&amp;"E"&amp;A521)))</f>
        <v>#REF!</v>
      </c>
      <c r="I521" t="e" cm="1">
        <f t="array" aca="1" ref="I521" ca="1">IF(OR(A521="",B521="safety"),"",IF(ISBLANK(INDIRECT("template!"&amp;"F"&amp;A521)),"",INDIRECT("template!"&amp;"F"&amp;A521)))</f>
        <v>#REF!</v>
      </c>
      <c r="J521" t="e" cm="1">
        <f t="array" aca="1" ref="J521" ca="1">IF(OR(A521="",B521="safety"),"",IF(ISBLANK(INDIRECT("template!"&amp;"G"&amp;A521)),"",INDIRECT("template!"&amp;"G"&amp;A521)))</f>
        <v>#REF!</v>
      </c>
      <c r="K521" t="e" cm="1">
        <f t="array" aca="1" ref="K521" ca="1">IF(OR(A521="",B521="safety"),"",IF(ISBLANK(INDIRECT("template!"&amp;"H"&amp;A521)),"",INDIRECT("template!"&amp;"H"&amp;A521)))</f>
        <v>#REF!</v>
      </c>
      <c r="L521" t="e" cm="1">
        <f t="array" aca="1" ref="L521" ca="1">IF(OR(A521="",B521="safety"),"",INDIRECT("template!"&amp;"I"&amp;A521))</f>
        <v>#REF!</v>
      </c>
      <c r="M521" t="e" cm="1">
        <f t="array" aca="1" ref="M521" ca="1">IF(OR(A521="",B521="safety"),"",INDIRECT("template!"&amp;"J"&amp;A521))</f>
        <v>#REF!</v>
      </c>
      <c r="N521" t="e" cm="1">
        <f t="array" aca="1" ref="N521" ca="1">IF(OR(A521="",B521="safety"),"",IF(ISBLANK(INDIRECT("template!"&amp;"K"&amp;A521)),"",INDIRECT("template!"&amp;"K"&amp;A521)))</f>
        <v>#REF!</v>
      </c>
      <c r="O521" t="e" cm="1">
        <f t="array" aca="1" ref="O521" ca="1">IF(OR(A521="",B521="safety"),"",INDIRECT("template!"&amp;"L"&amp;A521))</f>
        <v>#REF!</v>
      </c>
      <c r="P521" t="e" cm="1">
        <f t="array" aca="1" ref="P521" ca="1">IF(OR(A521="",B521="safety"),"",INDIRECT("template!"&amp;"M"&amp;A521))</f>
        <v>#REF!</v>
      </c>
      <c r="Q521" t="e">
        <f t="shared" ca="1" si="46"/>
        <v>#REF!</v>
      </c>
      <c r="R521" t="e">
        <f t="shared" ca="1" si="47"/>
        <v>#REF!</v>
      </c>
      <c r="S521" t="e">
        <f t="shared" ca="1" si="48"/>
        <v>#REF!</v>
      </c>
      <c r="T521" t="e">
        <f t="shared" ca="1" si="49"/>
        <v>#REF!</v>
      </c>
      <c r="U521" t="e" cm="1">
        <f t="array" aca="1" ref="U521" ca="1">IF(A521="","",IF(E521="","",IF(B521="safety",INDIRECT("template!"&amp;"P"&amp;A521),Q521+R521)))</f>
        <v>#REF!</v>
      </c>
      <c r="V521" t="e" cm="1">
        <f t="array" aca="1" ref="V521" ca="1">IF(A521="","",IF(E521="","",IF(B521="safety",INDIRECT("template!"&amp;"P"&amp;A521),S521+T521)))</f>
        <v>#REF!</v>
      </c>
      <c r="W521" t="e">
        <f ca="1">IF(A521="","",IF(E521="","",#REF!))</f>
        <v>#REF!</v>
      </c>
      <c r="X521" t="e">
        <f ca="1">IF(A521="","",IF(E521="","",#REF!))</f>
        <v>#REF!</v>
      </c>
      <c r="Y521" s="39" t="e">
        <f ca="1">IF(A521="","",IF(E521="","",#REF!))</f>
        <v>#REF!</v>
      </c>
      <c r="Z521" t="e">
        <f ca="1">IF(A521="","",IF(E521="","",#REF!))</f>
        <v>#REF!</v>
      </c>
      <c r="AA521" t="e">
        <f ca="1">IF(A521="","",IF(E521="","",#REF!))</f>
        <v>#REF!</v>
      </c>
      <c r="AB521" t="e">
        <f ca="1">IF(A521="","",IF(E521="","",#REF!))</f>
        <v>#REF!</v>
      </c>
      <c r="AC521" t="e">
        <f t="shared" ca="1" si="50"/>
        <v>#REF!</v>
      </c>
    </row>
    <row r="522" spans="1:29" x14ac:dyDescent="0.35">
      <c r="A522" t="e" cm="1">
        <f t="array" aca="1" ref="A522" ca="1">IF(A521="","",IF(OR(AND(A521+1&gt;=$AF$1,A521+1&lt;=$AF$2),AND(A521+1&gt;=$AF$6,A521+1&lt;=$AF$7),AND(A521+1&gt;=$AF$3,A521+1&lt;=$AF$4),AND(A521+1&gt;=$AF$8,A521+1&lt;=$AF$9),A521+1=$AF$5),IF(NOT(ISBLANK(INDIRECT("template!"&amp;"P"&amp;A521+1))),A521+1,IF(NOT(ISBLANK(INDIRECT("template!"&amp;"P"&amp;A521+2))),A521+2,A521+3)),IF(A521=$AF$2,$AF$3,IF(A521=$AF$4,$AF$5,IF(A521=$AF$5,$AF$6,IF(A521=$AF$7,$AF$8,""))))))</f>
        <v>#REF!</v>
      </c>
      <c r="B522" t="e">
        <f t="shared" ca="1" si="45"/>
        <v>#REF!</v>
      </c>
      <c r="C522" t="e" cm="1">
        <f t="array" aca="1" ref="C522" ca="1">IF(A522="","",IF(B522="safety","safety costs",INDIRECT("template!"&amp;"B"&amp;A522)))</f>
        <v>#REF!</v>
      </c>
      <c r="D522" t="e" cm="1">
        <f t="array" aca="1" ref="D522" ca="1">IF(OR(A522="",B522="safety"),"",INDIRECT("template!"&amp;"C"&amp;A522))</f>
        <v>#REF!</v>
      </c>
      <c r="E522" t="e" cm="1">
        <f t="array" aca="1" ref="E522" ca="1">IF(A522="","",IF(OR(A522=A521+1,A522=A521+2),E521,INDIRECT("template!"&amp;"D"&amp;A522-2)))</f>
        <v>#REF!</v>
      </c>
      <c r="F522" t="e" cm="1">
        <f t="array" aca="1" ref="F522" ca="1">IF(OR(A522="",B522="safety"),"",IF(ISBLANK(IF(A522=A521+1,F521,INDIRECT("template!"&amp;"D"&amp;A522-1))),"",IF(A522=A521+1,F521,INDIRECT("template!"&amp;"D"&amp;A522-1))))</f>
        <v>#REF!</v>
      </c>
      <c r="G522" t="e" cm="1">
        <f t="array" aca="1" ref="G522" ca="1">IF(OR(A522="",B522="safety"),"",IF(ISBLANK(INDIRECT("template!"&amp;"D"&amp;A522)),"",INDIRECT("template!"&amp;"D"&amp;A522)))</f>
        <v>#REF!</v>
      </c>
      <c r="H522" t="e" cm="1">
        <f t="array" aca="1" ref="H522" ca="1">IF(OR(A522="",B522="safety"),"",IF(ISBLANK(INDIRECT("template!"&amp;"E"&amp;A522)),"",INDIRECT("template!"&amp;"E"&amp;A522)))</f>
        <v>#REF!</v>
      </c>
      <c r="I522" t="e" cm="1">
        <f t="array" aca="1" ref="I522" ca="1">IF(OR(A522="",B522="safety"),"",IF(ISBLANK(INDIRECT("template!"&amp;"F"&amp;A522)),"",INDIRECT("template!"&amp;"F"&amp;A522)))</f>
        <v>#REF!</v>
      </c>
      <c r="J522" t="e" cm="1">
        <f t="array" aca="1" ref="J522" ca="1">IF(OR(A522="",B522="safety"),"",IF(ISBLANK(INDIRECT("template!"&amp;"G"&amp;A522)),"",INDIRECT("template!"&amp;"G"&amp;A522)))</f>
        <v>#REF!</v>
      </c>
      <c r="K522" t="e" cm="1">
        <f t="array" aca="1" ref="K522" ca="1">IF(OR(A522="",B522="safety"),"",IF(ISBLANK(INDIRECT("template!"&amp;"H"&amp;A522)),"",INDIRECT("template!"&amp;"H"&amp;A522)))</f>
        <v>#REF!</v>
      </c>
      <c r="L522" t="e" cm="1">
        <f t="array" aca="1" ref="L522" ca="1">IF(OR(A522="",B522="safety"),"",INDIRECT("template!"&amp;"I"&amp;A522))</f>
        <v>#REF!</v>
      </c>
      <c r="M522" t="e" cm="1">
        <f t="array" aca="1" ref="M522" ca="1">IF(OR(A522="",B522="safety"),"",INDIRECT("template!"&amp;"J"&amp;A522))</f>
        <v>#REF!</v>
      </c>
      <c r="N522" t="e" cm="1">
        <f t="array" aca="1" ref="N522" ca="1">IF(OR(A522="",B522="safety"),"",IF(ISBLANK(INDIRECT("template!"&amp;"K"&amp;A522)),"",INDIRECT("template!"&amp;"K"&amp;A522)))</f>
        <v>#REF!</v>
      </c>
      <c r="O522" t="e" cm="1">
        <f t="array" aca="1" ref="O522" ca="1">IF(OR(A522="",B522="safety"),"",INDIRECT("template!"&amp;"L"&amp;A522))</f>
        <v>#REF!</v>
      </c>
      <c r="P522" t="e" cm="1">
        <f t="array" aca="1" ref="P522" ca="1">IF(OR(A522="",B522="safety"),"",INDIRECT("template!"&amp;"M"&amp;A522))</f>
        <v>#REF!</v>
      </c>
      <c r="Q522" t="e">
        <f t="shared" ca="1" si="46"/>
        <v>#REF!</v>
      </c>
      <c r="R522" t="e">
        <f t="shared" ca="1" si="47"/>
        <v>#REF!</v>
      </c>
      <c r="S522" t="e">
        <f t="shared" ca="1" si="48"/>
        <v>#REF!</v>
      </c>
      <c r="T522" t="e">
        <f t="shared" ca="1" si="49"/>
        <v>#REF!</v>
      </c>
      <c r="U522" t="e" cm="1">
        <f t="array" aca="1" ref="U522" ca="1">IF(A522="","",IF(E522="","",IF(B522="safety",INDIRECT("template!"&amp;"P"&amp;A522),Q522+R522)))</f>
        <v>#REF!</v>
      </c>
      <c r="V522" t="e" cm="1">
        <f t="array" aca="1" ref="V522" ca="1">IF(A522="","",IF(E522="","",IF(B522="safety",INDIRECT("template!"&amp;"P"&amp;A522),S522+T522)))</f>
        <v>#REF!</v>
      </c>
      <c r="W522" t="e">
        <f ca="1">IF(A522="","",IF(E522="","",#REF!))</f>
        <v>#REF!</v>
      </c>
      <c r="X522" t="e">
        <f ca="1">IF(A522="","",IF(E522="","",#REF!))</f>
        <v>#REF!</v>
      </c>
      <c r="Y522" s="39" t="e">
        <f ca="1">IF(A522="","",IF(E522="","",#REF!))</f>
        <v>#REF!</v>
      </c>
      <c r="Z522" t="e">
        <f ca="1">IF(A522="","",IF(E522="","",#REF!))</f>
        <v>#REF!</v>
      </c>
      <c r="AA522" t="e">
        <f ca="1">IF(A522="","",IF(E522="","",#REF!))</f>
        <v>#REF!</v>
      </c>
      <c r="AB522" t="e">
        <f ca="1">IF(A522="","",IF(E522="","",#REF!))</f>
        <v>#REF!</v>
      </c>
      <c r="AC522" t="e">
        <f t="shared" ca="1" si="50"/>
        <v>#REF!</v>
      </c>
    </row>
    <row r="523" spans="1:29" x14ac:dyDescent="0.35">
      <c r="A523" t="e" cm="1">
        <f t="array" aca="1" ref="A523" ca="1">IF(A522="","",IF(OR(AND(A522+1&gt;=$AF$1,A522+1&lt;=$AF$2),AND(A522+1&gt;=$AF$6,A522+1&lt;=$AF$7),AND(A522+1&gt;=$AF$3,A522+1&lt;=$AF$4),AND(A522+1&gt;=$AF$8,A522+1&lt;=$AF$9),A522+1=$AF$5),IF(NOT(ISBLANK(INDIRECT("template!"&amp;"P"&amp;A522+1))),A522+1,IF(NOT(ISBLANK(INDIRECT("template!"&amp;"P"&amp;A522+2))),A522+2,A522+3)),IF(A522=$AF$2,$AF$3,IF(A522=$AF$4,$AF$5,IF(A522=$AF$5,$AF$6,IF(A522=$AF$7,$AF$8,""))))))</f>
        <v>#REF!</v>
      </c>
      <c r="B523" t="e">
        <f t="shared" ca="1" si="45"/>
        <v>#REF!</v>
      </c>
      <c r="C523" t="e" cm="1">
        <f t="array" aca="1" ref="C523" ca="1">IF(A523="","",IF(B523="safety","safety costs",INDIRECT("template!"&amp;"B"&amp;A523)))</f>
        <v>#REF!</v>
      </c>
      <c r="D523" t="e" cm="1">
        <f t="array" aca="1" ref="D523" ca="1">IF(OR(A523="",B523="safety"),"",INDIRECT("template!"&amp;"C"&amp;A523))</f>
        <v>#REF!</v>
      </c>
      <c r="E523" t="e" cm="1">
        <f t="array" aca="1" ref="E523" ca="1">IF(A523="","",IF(OR(A523=A522+1,A523=A522+2),E522,INDIRECT("template!"&amp;"D"&amp;A523-2)))</f>
        <v>#REF!</v>
      </c>
      <c r="F523" t="e" cm="1">
        <f t="array" aca="1" ref="F523" ca="1">IF(OR(A523="",B523="safety"),"",IF(ISBLANK(IF(A523=A522+1,F522,INDIRECT("template!"&amp;"D"&amp;A523-1))),"",IF(A523=A522+1,F522,INDIRECT("template!"&amp;"D"&amp;A523-1))))</f>
        <v>#REF!</v>
      </c>
      <c r="G523" t="e" cm="1">
        <f t="array" aca="1" ref="G523" ca="1">IF(OR(A523="",B523="safety"),"",IF(ISBLANK(INDIRECT("template!"&amp;"D"&amp;A523)),"",INDIRECT("template!"&amp;"D"&amp;A523)))</f>
        <v>#REF!</v>
      </c>
      <c r="H523" t="e" cm="1">
        <f t="array" aca="1" ref="H523" ca="1">IF(OR(A523="",B523="safety"),"",IF(ISBLANK(INDIRECT("template!"&amp;"E"&amp;A523)),"",INDIRECT("template!"&amp;"E"&amp;A523)))</f>
        <v>#REF!</v>
      </c>
      <c r="I523" t="e" cm="1">
        <f t="array" aca="1" ref="I523" ca="1">IF(OR(A523="",B523="safety"),"",IF(ISBLANK(INDIRECT("template!"&amp;"F"&amp;A523)),"",INDIRECT("template!"&amp;"F"&amp;A523)))</f>
        <v>#REF!</v>
      </c>
      <c r="J523" t="e" cm="1">
        <f t="array" aca="1" ref="J523" ca="1">IF(OR(A523="",B523="safety"),"",IF(ISBLANK(INDIRECT("template!"&amp;"G"&amp;A523)),"",INDIRECT("template!"&amp;"G"&amp;A523)))</f>
        <v>#REF!</v>
      </c>
      <c r="K523" t="e" cm="1">
        <f t="array" aca="1" ref="K523" ca="1">IF(OR(A523="",B523="safety"),"",IF(ISBLANK(INDIRECT("template!"&amp;"H"&amp;A523)),"",INDIRECT("template!"&amp;"H"&amp;A523)))</f>
        <v>#REF!</v>
      </c>
      <c r="L523" t="e" cm="1">
        <f t="array" aca="1" ref="L523" ca="1">IF(OR(A523="",B523="safety"),"",INDIRECT("template!"&amp;"I"&amp;A523))</f>
        <v>#REF!</v>
      </c>
      <c r="M523" t="e" cm="1">
        <f t="array" aca="1" ref="M523" ca="1">IF(OR(A523="",B523="safety"),"",INDIRECT("template!"&amp;"J"&amp;A523))</f>
        <v>#REF!</v>
      </c>
      <c r="N523" t="e" cm="1">
        <f t="array" aca="1" ref="N523" ca="1">IF(OR(A523="",B523="safety"),"",IF(ISBLANK(INDIRECT("template!"&amp;"K"&amp;A523)),"",INDIRECT("template!"&amp;"K"&amp;A523)))</f>
        <v>#REF!</v>
      </c>
      <c r="O523" t="e" cm="1">
        <f t="array" aca="1" ref="O523" ca="1">IF(OR(A523="",B523="safety"),"",INDIRECT("template!"&amp;"L"&amp;A523))</f>
        <v>#REF!</v>
      </c>
      <c r="P523" t="e" cm="1">
        <f t="array" aca="1" ref="P523" ca="1">IF(OR(A523="",B523="safety"),"",INDIRECT("template!"&amp;"M"&amp;A523))</f>
        <v>#REF!</v>
      </c>
      <c r="Q523" t="e">
        <f t="shared" ca="1" si="46"/>
        <v>#REF!</v>
      </c>
      <c r="R523" t="e">
        <f t="shared" ca="1" si="47"/>
        <v>#REF!</v>
      </c>
      <c r="S523" t="e">
        <f t="shared" ca="1" si="48"/>
        <v>#REF!</v>
      </c>
      <c r="T523" t="e">
        <f t="shared" ca="1" si="49"/>
        <v>#REF!</v>
      </c>
      <c r="U523" t="e" cm="1">
        <f t="array" aca="1" ref="U523" ca="1">IF(A523="","",IF(E523="","",IF(B523="safety",INDIRECT("template!"&amp;"P"&amp;A523),Q523+R523)))</f>
        <v>#REF!</v>
      </c>
      <c r="V523" t="e" cm="1">
        <f t="array" aca="1" ref="V523" ca="1">IF(A523="","",IF(E523="","",IF(B523="safety",INDIRECT("template!"&amp;"P"&amp;A523),S523+T523)))</f>
        <v>#REF!</v>
      </c>
      <c r="W523" t="e">
        <f ca="1">IF(A523="","",IF(E523="","",#REF!))</f>
        <v>#REF!</v>
      </c>
      <c r="X523" t="e">
        <f ca="1">IF(A523="","",IF(E523="","",#REF!))</f>
        <v>#REF!</v>
      </c>
      <c r="Y523" s="39" t="e">
        <f ca="1">IF(A523="","",IF(E523="","",#REF!))</f>
        <v>#REF!</v>
      </c>
      <c r="Z523" t="e">
        <f ca="1">IF(A523="","",IF(E523="","",#REF!))</f>
        <v>#REF!</v>
      </c>
      <c r="AA523" t="e">
        <f ca="1">IF(A523="","",IF(E523="","",#REF!))</f>
        <v>#REF!</v>
      </c>
      <c r="AB523" t="e">
        <f ca="1">IF(A523="","",IF(E523="","",#REF!))</f>
        <v>#REF!</v>
      </c>
      <c r="AC523" t="e">
        <f t="shared" ca="1" si="50"/>
        <v>#REF!</v>
      </c>
    </row>
    <row r="524" spans="1:29" x14ac:dyDescent="0.35">
      <c r="A524" t="e" cm="1">
        <f t="array" aca="1" ref="A524" ca="1">IF(A523="","",IF(OR(AND(A523+1&gt;=$AF$1,A523+1&lt;=$AF$2),AND(A523+1&gt;=$AF$6,A523+1&lt;=$AF$7),AND(A523+1&gt;=$AF$3,A523+1&lt;=$AF$4),AND(A523+1&gt;=$AF$8,A523+1&lt;=$AF$9),A523+1=$AF$5),IF(NOT(ISBLANK(INDIRECT("template!"&amp;"P"&amp;A523+1))),A523+1,IF(NOT(ISBLANK(INDIRECT("template!"&amp;"P"&amp;A523+2))),A523+2,A523+3)),IF(A523=$AF$2,$AF$3,IF(A523=$AF$4,$AF$5,IF(A523=$AF$5,$AF$6,IF(A523=$AF$7,$AF$8,""))))))</f>
        <v>#REF!</v>
      </c>
      <c r="B524" t="e">
        <f t="shared" ca="1" si="45"/>
        <v>#REF!</v>
      </c>
      <c r="C524" t="e" cm="1">
        <f t="array" aca="1" ref="C524" ca="1">IF(A524="","",IF(B524="safety","safety costs",INDIRECT("template!"&amp;"B"&amp;A524)))</f>
        <v>#REF!</v>
      </c>
      <c r="D524" t="e" cm="1">
        <f t="array" aca="1" ref="D524" ca="1">IF(OR(A524="",B524="safety"),"",INDIRECT("template!"&amp;"C"&amp;A524))</f>
        <v>#REF!</v>
      </c>
      <c r="E524" t="e" cm="1">
        <f t="array" aca="1" ref="E524" ca="1">IF(A524="","",IF(OR(A524=A523+1,A524=A523+2),E523,INDIRECT("template!"&amp;"D"&amp;A524-2)))</f>
        <v>#REF!</v>
      </c>
      <c r="F524" t="e" cm="1">
        <f t="array" aca="1" ref="F524" ca="1">IF(OR(A524="",B524="safety"),"",IF(ISBLANK(IF(A524=A523+1,F523,INDIRECT("template!"&amp;"D"&amp;A524-1))),"",IF(A524=A523+1,F523,INDIRECT("template!"&amp;"D"&amp;A524-1))))</f>
        <v>#REF!</v>
      </c>
      <c r="G524" t="e" cm="1">
        <f t="array" aca="1" ref="G524" ca="1">IF(OR(A524="",B524="safety"),"",IF(ISBLANK(INDIRECT("template!"&amp;"D"&amp;A524)),"",INDIRECT("template!"&amp;"D"&amp;A524)))</f>
        <v>#REF!</v>
      </c>
      <c r="H524" t="e" cm="1">
        <f t="array" aca="1" ref="H524" ca="1">IF(OR(A524="",B524="safety"),"",IF(ISBLANK(INDIRECT("template!"&amp;"E"&amp;A524)),"",INDIRECT("template!"&amp;"E"&amp;A524)))</f>
        <v>#REF!</v>
      </c>
      <c r="I524" t="e" cm="1">
        <f t="array" aca="1" ref="I524" ca="1">IF(OR(A524="",B524="safety"),"",IF(ISBLANK(INDIRECT("template!"&amp;"F"&amp;A524)),"",INDIRECT("template!"&amp;"F"&amp;A524)))</f>
        <v>#REF!</v>
      </c>
      <c r="J524" t="e" cm="1">
        <f t="array" aca="1" ref="J524" ca="1">IF(OR(A524="",B524="safety"),"",IF(ISBLANK(INDIRECT("template!"&amp;"G"&amp;A524)),"",INDIRECT("template!"&amp;"G"&amp;A524)))</f>
        <v>#REF!</v>
      </c>
      <c r="K524" t="e" cm="1">
        <f t="array" aca="1" ref="K524" ca="1">IF(OR(A524="",B524="safety"),"",IF(ISBLANK(INDIRECT("template!"&amp;"H"&amp;A524)),"",INDIRECT("template!"&amp;"H"&amp;A524)))</f>
        <v>#REF!</v>
      </c>
      <c r="L524" t="e" cm="1">
        <f t="array" aca="1" ref="L524" ca="1">IF(OR(A524="",B524="safety"),"",INDIRECT("template!"&amp;"I"&amp;A524))</f>
        <v>#REF!</v>
      </c>
      <c r="M524" t="e" cm="1">
        <f t="array" aca="1" ref="M524" ca="1">IF(OR(A524="",B524="safety"),"",INDIRECT("template!"&amp;"J"&amp;A524))</f>
        <v>#REF!</v>
      </c>
      <c r="N524" t="e" cm="1">
        <f t="array" aca="1" ref="N524" ca="1">IF(OR(A524="",B524="safety"),"",IF(ISBLANK(INDIRECT("template!"&amp;"K"&amp;A524)),"",INDIRECT("template!"&amp;"K"&amp;A524)))</f>
        <v>#REF!</v>
      </c>
      <c r="O524" t="e" cm="1">
        <f t="array" aca="1" ref="O524" ca="1">IF(OR(A524="",B524="safety"),"",INDIRECT("template!"&amp;"L"&amp;A524))</f>
        <v>#REF!</v>
      </c>
      <c r="P524" t="e" cm="1">
        <f t="array" aca="1" ref="P524" ca="1">IF(OR(A524="",B524="safety"),"",INDIRECT("template!"&amp;"M"&amp;A524))</f>
        <v>#REF!</v>
      </c>
      <c r="Q524" t="e">
        <f t="shared" ca="1" si="46"/>
        <v>#REF!</v>
      </c>
      <c r="R524" t="e">
        <f t="shared" ca="1" si="47"/>
        <v>#REF!</v>
      </c>
      <c r="S524" t="e">
        <f t="shared" ca="1" si="48"/>
        <v>#REF!</v>
      </c>
      <c r="T524" t="e">
        <f t="shared" ca="1" si="49"/>
        <v>#REF!</v>
      </c>
      <c r="U524" t="e" cm="1">
        <f t="array" aca="1" ref="U524" ca="1">IF(A524="","",IF(E524="","",IF(B524="safety",INDIRECT("template!"&amp;"P"&amp;A524),Q524+R524)))</f>
        <v>#REF!</v>
      </c>
      <c r="V524" t="e" cm="1">
        <f t="array" aca="1" ref="V524" ca="1">IF(A524="","",IF(E524="","",IF(B524="safety",INDIRECT("template!"&amp;"P"&amp;A524),S524+T524)))</f>
        <v>#REF!</v>
      </c>
      <c r="W524" t="e">
        <f ca="1">IF(A524="","",IF(E524="","",#REF!))</f>
        <v>#REF!</v>
      </c>
      <c r="X524" t="e">
        <f ca="1">IF(A524="","",IF(E524="","",#REF!))</f>
        <v>#REF!</v>
      </c>
      <c r="Y524" s="39" t="e">
        <f ca="1">IF(A524="","",IF(E524="","",#REF!))</f>
        <v>#REF!</v>
      </c>
      <c r="Z524" t="e">
        <f ca="1">IF(A524="","",IF(E524="","",#REF!))</f>
        <v>#REF!</v>
      </c>
      <c r="AA524" t="e">
        <f ca="1">IF(A524="","",IF(E524="","",#REF!))</f>
        <v>#REF!</v>
      </c>
      <c r="AB524" t="e">
        <f ca="1">IF(A524="","",IF(E524="","",#REF!))</f>
        <v>#REF!</v>
      </c>
      <c r="AC524" t="e">
        <f t="shared" ca="1" si="50"/>
        <v>#REF!</v>
      </c>
    </row>
    <row r="525" spans="1:29" x14ac:dyDescent="0.35">
      <c r="A525" t="e" cm="1">
        <f t="array" aca="1" ref="A525" ca="1">IF(A524="","",IF(OR(AND(A524+1&gt;=$AF$1,A524+1&lt;=$AF$2),AND(A524+1&gt;=$AF$6,A524+1&lt;=$AF$7),AND(A524+1&gt;=$AF$3,A524+1&lt;=$AF$4),AND(A524+1&gt;=$AF$8,A524+1&lt;=$AF$9),A524+1=$AF$5),IF(NOT(ISBLANK(INDIRECT("template!"&amp;"P"&amp;A524+1))),A524+1,IF(NOT(ISBLANK(INDIRECT("template!"&amp;"P"&amp;A524+2))),A524+2,A524+3)),IF(A524=$AF$2,$AF$3,IF(A524=$AF$4,$AF$5,IF(A524=$AF$5,$AF$6,IF(A524=$AF$7,$AF$8,""))))))</f>
        <v>#REF!</v>
      </c>
      <c r="B525" t="e">
        <f t="shared" ca="1" si="45"/>
        <v>#REF!</v>
      </c>
      <c r="C525" t="e" cm="1">
        <f t="array" aca="1" ref="C525" ca="1">IF(A525="","",IF(B525="safety","safety costs",INDIRECT("template!"&amp;"B"&amp;A525)))</f>
        <v>#REF!</v>
      </c>
      <c r="D525" t="e" cm="1">
        <f t="array" aca="1" ref="D525" ca="1">IF(OR(A525="",B525="safety"),"",INDIRECT("template!"&amp;"C"&amp;A525))</f>
        <v>#REF!</v>
      </c>
      <c r="E525" t="e" cm="1">
        <f t="array" aca="1" ref="E525" ca="1">IF(A525="","",IF(OR(A525=A524+1,A525=A524+2),E524,INDIRECT("template!"&amp;"D"&amp;A525-2)))</f>
        <v>#REF!</v>
      </c>
      <c r="F525" t="e" cm="1">
        <f t="array" aca="1" ref="F525" ca="1">IF(OR(A525="",B525="safety"),"",IF(ISBLANK(IF(A525=A524+1,F524,INDIRECT("template!"&amp;"D"&amp;A525-1))),"",IF(A525=A524+1,F524,INDIRECT("template!"&amp;"D"&amp;A525-1))))</f>
        <v>#REF!</v>
      </c>
      <c r="G525" t="e" cm="1">
        <f t="array" aca="1" ref="G525" ca="1">IF(OR(A525="",B525="safety"),"",IF(ISBLANK(INDIRECT("template!"&amp;"D"&amp;A525)),"",INDIRECT("template!"&amp;"D"&amp;A525)))</f>
        <v>#REF!</v>
      </c>
      <c r="H525" t="e" cm="1">
        <f t="array" aca="1" ref="H525" ca="1">IF(OR(A525="",B525="safety"),"",IF(ISBLANK(INDIRECT("template!"&amp;"E"&amp;A525)),"",INDIRECT("template!"&amp;"E"&amp;A525)))</f>
        <v>#REF!</v>
      </c>
      <c r="I525" t="e" cm="1">
        <f t="array" aca="1" ref="I525" ca="1">IF(OR(A525="",B525="safety"),"",IF(ISBLANK(INDIRECT("template!"&amp;"F"&amp;A525)),"",INDIRECT("template!"&amp;"F"&amp;A525)))</f>
        <v>#REF!</v>
      </c>
      <c r="J525" t="e" cm="1">
        <f t="array" aca="1" ref="J525" ca="1">IF(OR(A525="",B525="safety"),"",IF(ISBLANK(INDIRECT("template!"&amp;"G"&amp;A525)),"",INDIRECT("template!"&amp;"G"&amp;A525)))</f>
        <v>#REF!</v>
      </c>
      <c r="K525" t="e" cm="1">
        <f t="array" aca="1" ref="K525" ca="1">IF(OR(A525="",B525="safety"),"",IF(ISBLANK(INDIRECT("template!"&amp;"H"&amp;A525)),"",INDIRECT("template!"&amp;"H"&amp;A525)))</f>
        <v>#REF!</v>
      </c>
      <c r="L525" t="e" cm="1">
        <f t="array" aca="1" ref="L525" ca="1">IF(OR(A525="",B525="safety"),"",INDIRECT("template!"&amp;"I"&amp;A525))</f>
        <v>#REF!</v>
      </c>
      <c r="M525" t="e" cm="1">
        <f t="array" aca="1" ref="M525" ca="1">IF(OR(A525="",B525="safety"),"",INDIRECT("template!"&amp;"J"&amp;A525))</f>
        <v>#REF!</v>
      </c>
      <c r="N525" t="e" cm="1">
        <f t="array" aca="1" ref="N525" ca="1">IF(OR(A525="",B525="safety"),"",IF(ISBLANK(INDIRECT("template!"&amp;"K"&amp;A525)),"",INDIRECT("template!"&amp;"K"&amp;A525)))</f>
        <v>#REF!</v>
      </c>
      <c r="O525" t="e" cm="1">
        <f t="array" aca="1" ref="O525" ca="1">IF(OR(A525="",B525="safety"),"",INDIRECT("template!"&amp;"L"&amp;A525))</f>
        <v>#REF!</v>
      </c>
      <c r="P525" t="e" cm="1">
        <f t="array" aca="1" ref="P525" ca="1">IF(OR(A525="",B525="safety"),"",INDIRECT("template!"&amp;"M"&amp;A525))</f>
        <v>#REF!</v>
      </c>
      <c r="Q525" t="e">
        <f t="shared" ca="1" si="46"/>
        <v>#REF!</v>
      </c>
      <c r="R525" t="e">
        <f t="shared" ca="1" si="47"/>
        <v>#REF!</v>
      </c>
      <c r="S525" t="e">
        <f t="shared" ca="1" si="48"/>
        <v>#REF!</v>
      </c>
      <c r="T525" t="e">
        <f t="shared" ca="1" si="49"/>
        <v>#REF!</v>
      </c>
      <c r="U525" t="e" cm="1">
        <f t="array" aca="1" ref="U525" ca="1">IF(A525="","",IF(E525="","",IF(B525="safety",INDIRECT("template!"&amp;"P"&amp;A525),Q525+R525)))</f>
        <v>#REF!</v>
      </c>
      <c r="V525" t="e" cm="1">
        <f t="array" aca="1" ref="V525" ca="1">IF(A525="","",IF(E525="","",IF(B525="safety",INDIRECT("template!"&amp;"P"&amp;A525),S525+T525)))</f>
        <v>#REF!</v>
      </c>
      <c r="W525" t="e">
        <f ca="1">IF(A525="","",IF(E525="","",#REF!))</f>
        <v>#REF!</v>
      </c>
      <c r="X525" t="e">
        <f ca="1">IF(A525="","",IF(E525="","",#REF!))</f>
        <v>#REF!</v>
      </c>
      <c r="Y525" s="39" t="e">
        <f ca="1">IF(A525="","",IF(E525="","",#REF!))</f>
        <v>#REF!</v>
      </c>
      <c r="Z525" t="e">
        <f ca="1">IF(A525="","",IF(E525="","",#REF!))</f>
        <v>#REF!</v>
      </c>
      <c r="AA525" t="e">
        <f ca="1">IF(A525="","",IF(E525="","",#REF!))</f>
        <v>#REF!</v>
      </c>
      <c r="AB525" t="e">
        <f ca="1">IF(A525="","",IF(E525="","",#REF!))</f>
        <v>#REF!</v>
      </c>
      <c r="AC525" t="e">
        <f t="shared" ca="1" si="50"/>
        <v>#REF!</v>
      </c>
    </row>
    <row r="526" spans="1:29" x14ac:dyDescent="0.35">
      <c r="A526" t="e" cm="1">
        <f t="array" aca="1" ref="A526" ca="1">IF(A525="","",IF(OR(AND(A525+1&gt;=$AF$1,A525+1&lt;=$AF$2),AND(A525+1&gt;=$AF$6,A525+1&lt;=$AF$7),AND(A525+1&gt;=$AF$3,A525+1&lt;=$AF$4),AND(A525+1&gt;=$AF$8,A525+1&lt;=$AF$9),A525+1=$AF$5),IF(NOT(ISBLANK(INDIRECT("template!"&amp;"P"&amp;A525+1))),A525+1,IF(NOT(ISBLANK(INDIRECT("template!"&amp;"P"&amp;A525+2))),A525+2,A525+3)),IF(A525=$AF$2,$AF$3,IF(A525=$AF$4,$AF$5,IF(A525=$AF$5,$AF$6,IF(A525=$AF$7,$AF$8,""))))))</f>
        <v>#REF!</v>
      </c>
      <c r="B526" t="e">
        <f t="shared" ca="1" si="45"/>
        <v>#REF!</v>
      </c>
      <c r="C526" t="e" cm="1">
        <f t="array" aca="1" ref="C526" ca="1">IF(A526="","",IF(B526="safety","safety costs",INDIRECT("template!"&amp;"B"&amp;A526)))</f>
        <v>#REF!</v>
      </c>
      <c r="D526" t="e" cm="1">
        <f t="array" aca="1" ref="D526" ca="1">IF(OR(A526="",B526="safety"),"",INDIRECT("template!"&amp;"C"&amp;A526))</f>
        <v>#REF!</v>
      </c>
      <c r="E526" t="e" cm="1">
        <f t="array" aca="1" ref="E526" ca="1">IF(A526="","",IF(OR(A526=A525+1,A526=A525+2),E525,INDIRECT("template!"&amp;"D"&amp;A526-2)))</f>
        <v>#REF!</v>
      </c>
      <c r="F526" t="e" cm="1">
        <f t="array" aca="1" ref="F526" ca="1">IF(OR(A526="",B526="safety"),"",IF(ISBLANK(IF(A526=A525+1,F525,INDIRECT("template!"&amp;"D"&amp;A526-1))),"",IF(A526=A525+1,F525,INDIRECT("template!"&amp;"D"&amp;A526-1))))</f>
        <v>#REF!</v>
      </c>
      <c r="G526" t="e" cm="1">
        <f t="array" aca="1" ref="G526" ca="1">IF(OR(A526="",B526="safety"),"",IF(ISBLANK(INDIRECT("template!"&amp;"D"&amp;A526)),"",INDIRECT("template!"&amp;"D"&amp;A526)))</f>
        <v>#REF!</v>
      </c>
      <c r="H526" t="e" cm="1">
        <f t="array" aca="1" ref="H526" ca="1">IF(OR(A526="",B526="safety"),"",IF(ISBLANK(INDIRECT("template!"&amp;"E"&amp;A526)),"",INDIRECT("template!"&amp;"E"&amp;A526)))</f>
        <v>#REF!</v>
      </c>
      <c r="I526" t="e" cm="1">
        <f t="array" aca="1" ref="I526" ca="1">IF(OR(A526="",B526="safety"),"",IF(ISBLANK(INDIRECT("template!"&amp;"F"&amp;A526)),"",INDIRECT("template!"&amp;"F"&amp;A526)))</f>
        <v>#REF!</v>
      </c>
      <c r="J526" t="e" cm="1">
        <f t="array" aca="1" ref="J526" ca="1">IF(OR(A526="",B526="safety"),"",IF(ISBLANK(INDIRECT("template!"&amp;"G"&amp;A526)),"",INDIRECT("template!"&amp;"G"&amp;A526)))</f>
        <v>#REF!</v>
      </c>
      <c r="K526" t="e" cm="1">
        <f t="array" aca="1" ref="K526" ca="1">IF(OR(A526="",B526="safety"),"",IF(ISBLANK(INDIRECT("template!"&amp;"H"&amp;A526)),"",INDIRECT("template!"&amp;"H"&amp;A526)))</f>
        <v>#REF!</v>
      </c>
      <c r="L526" t="e" cm="1">
        <f t="array" aca="1" ref="L526" ca="1">IF(OR(A526="",B526="safety"),"",INDIRECT("template!"&amp;"I"&amp;A526))</f>
        <v>#REF!</v>
      </c>
      <c r="M526" t="e" cm="1">
        <f t="array" aca="1" ref="M526" ca="1">IF(OR(A526="",B526="safety"),"",INDIRECT("template!"&amp;"J"&amp;A526))</f>
        <v>#REF!</v>
      </c>
      <c r="N526" t="e" cm="1">
        <f t="array" aca="1" ref="N526" ca="1">IF(OR(A526="",B526="safety"),"",IF(ISBLANK(INDIRECT("template!"&amp;"K"&amp;A526)),"",INDIRECT("template!"&amp;"K"&amp;A526)))</f>
        <v>#REF!</v>
      </c>
      <c r="O526" t="e" cm="1">
        <f t="array" aca="1" ref="O526" ca="1">IF(OR(A526="",B526="safety"),"",INDIRECT("template!"&amp;"L"&amp;A526))</f>
        <v>#REF!</v>
      </c>
      <c r="P526" t="e" cm="1">
        <f t="array" aca="1" ref="P526" ca="1">IF(OR(A526="",B526="safety"),"",INDIRECT("template!"&amp;"M"&amp;A526))</f>
        <v>#REF!</v>
      </c>
      <c r="Q526" t="e">
        <f t="shared" ca="1" si="46"/>
        <v>#REF!</v>
      </c>
      <c r="R526" t="e">
        <f t="shared" ca="1" si="47"/>
        <v>#REF!</v>
      </c>
      <c r="S526" t="e">
        <f t="shared" ca="1" si="48"/>
        <v>#REF!</v>
      </c>
      <c r="T526" t="e">
        <f t="shared" ca="1" si="49"/>
        <v>#REF!</v>
      </c>
      <c r="U526" t="e" cm="1">
        <f t="array" aca="1" ref="U526" ca="1">IF(A526="","",IF(E526="","",IF(B526="safety",INDIRECT("template!"&amp;"P"&amp;A526),Q526+R526)))</f>
        <v>#REF!</v>
      </c>
      <c r="V526" t="e" cm="1">
        <f t="array" aca="1" ref="V526" ca="1">IF(A526="","",IF(E526="","",IF(B526="safety",INDIRECT("template!"&amp;"P"&amp;A526),S526+T526)))</f>
        <v>#REF!</v>
      </c>
      <c r="W526" t="e">
        <f ca="1">IF(A526="","",IF(E526="","",#REF!))</f>
        <v>#REF!</v>
      </c>
      <c r="X526" t="e">
        <f ca="1">IF(A526="","",IF(E526="","",#REF!))</f>
        <v>#REF!</v>
      </c>
      <c r="Y526" s="39" t="e">
        <f ca="1">IF(A526="","",IF(E526="","",#REF!))</f>
        <v>#REF!</v>
      </c>
      <c r="Z526" t="e">
        <f ca="1">IF(A526="","",IF(E526="","",#REF!))</f>
        <v>#REF!</v>
      </c>
      <c r="AA526" t="e">
        <f ca="1">IF(A526="","",IF(E526="","",#REF!))</f>
        <v>#REF!</v>
      </c>
      <c r="AB526" t="e">
        <f ca="1">IF(A526="","",IF(E526="","",#REF!))</f>
        <v>#REF!</v>
      </c>
      <c r="AC526" t="e">
        <f t="shared" ca="1" si="50"/>
        <v>#REF!</v>
      </c>
    </row>
    <row r="527" spans="1:29" x14ac:dyDescent="0.35">
      <c r="A527" t="e" cm="1">
        <f t="array" aca="1" ref="A527" ca="1">IF(A526="","",IF(OR(AND(A526+1&gt;=$AF$1,A526+1&lt;=$AF$2),AND(A526+1&gt;=$AF$6,A526+1&lt;=$AF$7),AND(A526+1&gt;=$AF$3,A526+1&lt;=$AF$4),AND(A526+1&gt;=$AF$8,A526+1&lt;=$AF$9),A526+1=$AF$5),IF(NOT(ISBLANK(INDIRECT("template!"&amp;"P"&amp;A526+1))),A526+1,IF(NOT(ISBLANK(INDIRECT("template!"&amp;"P"&amp;A526+2))),A526+2,A526+3)),IF(A526=$AF$2,$AF$3,IF(A526=$AF$4,$AF$5,IF(A526=$AF$5,$AF$6,IF(A526=$AF$7,$AF$8,""))))))</f>
        <v>#REF!</v>
      </c>
      <c r="B527" t="e">
        <f t="shared" ca="1" si="45"/>
        <v>#REF!</v>
      </c>
      <c r="C527" t="e" cm="1">
        <f t="array" aca="1" ref="C527" ca="1">IF(A527="","",IF(B527="safety","safety costs",INDIRECT("template!"&amp;"B"&amp;A527)))</f>
        <v>#REF!</v>
      </c>
      <c r="D527" t="e" cm="1">
        <f t="array" aca="1" ref="D527" ca="1">IF(OR(A527="",B527="safety"),"",INDIRECT("template!"&amp;"C"&amp;A527))</f>
        <v>#REF!</v>
      </c>
      <c r="E527" t="e" cm="1">
        <f t="array" aca="1" ref="E527" ca="1">IF(A527="","",IF(OR(A527=A526+1,A527=A526+2),E526,INDIRECT("template!"&amp;"D"&amp;A527-2)))</f>
        <v>#REF!</v>
      </c>
      <c r="F527" t="e" cm="1">
        <f t="array" aca="1" ref="F527" ca="1">IF(OR(A527="",B527="safety"),"",IF(ISBLANK(IF(A527=A526+1,F526,INDIRECT("template!"&amp;"D"&amp;A527-1))),"",IF(A527=A526+1,F526,INDIRECT("template!"&amp;"D"&amp;A527-1))))</f>
        <v>#REF!</v>
      </c>
      <c r="G527" t="e" cm="1">
        <f t="array" aca="1" ref="G527" ca="1">IF(OR(A527="",B527="safety"),"",IF(ISBLANK(INDIRECT("template!"&amp;"D"&amp;A527)),"",INDIRECT("template!"&amp;"D"&amp;A527)))</f>
        <v>#REF!</v>
      </c>
      <c r="H527" t="e" cm="1">
        <f t="array" aca="1" ref="H527" ca="1">IF(OR(A527="",B527="safety"),"",IF(ISBLANK(INDIRECT("template!"&amp;"E"&amp;A527)),"",INDIRECT("template!"&amp;"E"&amp;A527)))</f>
        <v>#REF!</v>
      </c>
      <c r="I527" t="e" cm="1">
        <f t="array" aca="1" ref="I527" ca="1">IF(OR(A527="",B527="safety"),"",IF(ISBLANK(INDIRECT("template!"&amp;"F"&amp;A527)),"",INDIRECT("template!"&amp;"F"&amp;A527)))</f>
        <v>#REF!</v>
      </c>
      <c r="J527" t="e" cm="1">
        <f t="array" aca="1" ref="J527" ca="1">IF(OR(A527="",B527="safety"),"",IF(ISBLANK(INDIRECT("template!"&amp;"G"&amp;A527)),"",INDIRECT("template!"&amp;"G"&amp;A527)))</f>
        <v>#REF!</v>
      </c>
      <c r="K527" t="e" cm="1">
        <f t="array" aca="1" ref="K527" ca="1">IF(OR(A527="",B527="safety"),"",IF(ISBLANK(INDIRECT("template!"&amp;"H"&amp;A527)),"",INDIRECT("template!"&amp;"H"&amp;A527)))</f>
        <v>#REF!</v>
      </c>
      <c r="L527" t="e" cm="1">
        <f t="array" aca="1" ref="L527" ca="1">IF(OR(A527="",B527="safety"),"",INDIRECT("template!"&amp;"I"&amp;A527))</f>
        <v>#REF!</v>
      </c>
      <c r="M527" t="e" cm="1">
        <f t="array" aca="1" ref="M527" ca="1">IF(OR(A527="",B527="safety"),"",INDIRECT("template!"&amp;"J"&amp;A527))</f>
        <v>#REF!</v>
      </c>
      <c r="N527" t="e" cm="1">
        <f t="array" aca="1" ref="N527" ca="1">IF(OR(A527="",B527="safety"),"",IF(ISBLANK(INDIRECT("template!"&amp;"K"&amp;A527)),"",INDIRECT("template!"&amp;"K"&amp;A527)))</f>
        <v>#REF!</v>
      </c>
      <c r="O527" t="e" cm="1">
        <f t="array" aca="1" ref="O527" ca="1">IF(OR(A527="",B527="safety"),"",INDIRECT("template!"&amp;"L"&amp;A527))</f>
        <v>#REF!</v>
      </c>
      <c r="P527" t="e" cm="1">
        <f t="array" aca="1" ref="P527" ca="1">IF(OR(A527="",B527="safety"),"",INDIRECT("template!"&amp;"M"&amp;A527))</f>
        <v>#REF!</v>
      </c>
      <c r="Q527" t="e">
        <f t="shared" ca="1" si="46"/>
        <v>#REF!</v>
      </c>
      <c r="R527" t="e">
        <f t="shared" ca="1" si="47"/>
        <v>#REF!</v>
      </c>
      <c r="S527" t="e">
        <f t="shared" ca="1" si="48"/>
        <v>#REF!</v>
      </c>
      <c r="T527" t="e">
        <f t="shared" ca="1" si="49"/>
        <v>#REF!</v>
      </c>
      <c r="U527" t="e" cm="1">
        <f t="array" aca="1" ref="U527" ca="1">IF(A527="","",IF(E527="","",IF(B527="safety",INDIRECT("template!"&amp;"P"&amp;A527),Q527+R527)))</f>
        <v>#REF!</v>
      </c>
      <c r="V527" t="e" cm="1">
        <f t="array" aca="1" ref="V527" ca="1">IF(A527="","",IF(E527="","",IF(B527="safety",INDIRECT("template!"&amp;"P"&amp;A527),S527+T527)))</f>
        <v>#REF!</v>
      </c>
      <c r="W527" t="e">
        <f ca="1">IF(A527="","",IF(E527="","",#REF!))</f>
        <v>#REF!</v>
      </c>
      <c r="X527" t="e">
        <f ca="1">IF(A527="","",IF(E527="","",#REF!))</f>
        <v>#REF!</v>
      </c>
      <c r="Y527" s="39" t="e">
        <f ca="1">IF(A527="","",IF(E527="","",#REF!))</f>
        <v>#REF!</v>
      </c>
      <c r="Z527" t="e">
        <f ca="1">IF(A527="","",IF(E527="","",#REF!))</f>
        <v>#REF!</v>
      </c>
      <c r="AA527" t="e">
        <f ca="1">IF(A527="","",IF(E527="","",#REF!))</f>
        <v>#REF!</v>
      </c>
      <c r="AB527" t="e">
        <f ca="1">IF(A527="","",IF(E527="","",#REF!))</f>
        <v>#REF!</v>
      </c>
      <c r="AC527" t="e">
        <f t="shared" ca="1" si="50"/>
        <v>#REF!</v>
      </c>
    </row>
    <row r="528" spans="1:29" x14ac:dyDescent="0.35">
      <c r="A528" t="e" cm="1">
        <f t="array" aca="1" ref="A528" ca="1">IF(A527="","",IF(OR(AND(A527+1&gt;=$AF$1,A527+1&lt;=$AF$2),AND(A527+1&gt;=$AF$6,A527+1&lt;=$AF$7),AND(A527+1&gt;=$AF$3,A527+1&lt;=$AF$4),AND(A527+1&gt;=$AF$8,A527+1&lt;=$AF$9),A527+1=$AF$5),IF(NOT(ISBLANK(INDIRECT("template!"&amp;"P"&amp;A527+1))),A527+1,IF(NOT(ISBLANK(INDIRECT("template!"&amp;"P"&amp;A527+2))),A527+2,A527+3)),IF(A527=$AF$2,$AF$3,IF(A527=$AF$4,$AF$5,IF(A527=$AF$5,$AF$6,IF(A527=$AF$7,$AF$8,""))))))</f>
        <v>#REF!</v>
      </c>
      <c r="B528" t="e">
        <f t="shared" ca="1" si="45"/>
        <v>#REF!</v>
      </c>
      <c r="C528" t="e" cm="1">
        <f t="array" aca="1" ref="C528" ca="1">IF(A528="","",IF(B528="safety","safety costs",INDIRECT("template!"&amp;"B"&amp;A528)))</f>
        <v>#REF!</v>
      </c>
      <c r="D528" t="e" cm="1">
        <f t="array" aca="1" ref="D528" ca="1">IF(OR(A528="",B528="safety"),"",INDIRECT("template!"&amp;"C"&amp;A528))</f>
        <v>#REF!</v>
      </c>
      <c r="E528" t="e" cm="1">
        <f t="array" aca="1" ref="E528" ca="1">IF(A528="","",IF(OR(A528=A527+1,A528=A527+2),E527,INDIRECT("template!"&amp;"D"&amp;A528-2)))</f>
        <v>#REF!</v>
      </c>
      <c r="F528" t="e" cm="1">
        <f t="array" aca="1" ref="F528" ca="1">IF(OR(A528="",B528="safety"),"",IF(ISBLANK(IF(A528=A527+1,F527,INDIRECT("template!"&amp;"D"&amp;A528-1))),"",IF(A528=A527+1,F527,INDIRECT("template!"&amp;"D"&amp;A528-1))))</f>
        <v>#REF!</v>
      </c>
      <c r="G528" t="e" cm="1">
        <f t="array" aca="1" ref="G528" ca="1">IF(OR(A528="",B528="safety"),"",IF(ISBLANK(INDIRECT("template!"&amp;"D"&amp;A528)),"",INDIRECT("template!"&amp;"D"&amp;A528)))</f>
        <v>#REF!</v>
      </c>
      <c r="H528" t="e" cm="1">
        <f t="array" aca="1" ref="H528" ca="1">IF(OR(A528="",B528="safety"),"",IF(ISBLANK(INDIRECT("template!"&amp;"E"&amp;A528)),"",INDIRECT("template!"&amp;"E"&amp;A528)))</f>
        <v>#REF!</v>
      </c>
      <c r="I528" t="e" cm="1">
        <f t="array" aca="1" ref="I528" ca="1">IF(OR(A528="",B528="safety"),"",IF(ISBLANK(INDIRECT("template!"&amp;"F"&amp;A528)),"",INDIRECT("template!"&amp;"F"&amp;A528)))</f>
        <v>#REF!</v>
      </c>
      <c r="J528" t="e" cm="1">
        <f t="array" aca="1" ref="J528" ca="1">IF(OR(A528="",B528="safety"),"",IF(ISBLANK(INDIRECT("template!"&amp;"G"&amp;A528)),"",INDIRECT("template!"&amp;"G"&amp;A528)))</f>
        <v>#REF!</v>
      </c>
      <c r="K528" t="e" cm="1">
        <f t="array" aca="1" ref="K528" ca="1">IF(OR(A528="",B528="safety"),"",IF(ISBLANK(INDIRECT("template!"&amp;"H"&amp;A528)),"",INDIRECT("template!"&amp;"H"&amp;A528)))</f>
        <v>#REF!</v>
      </c>
      <c r="L528" t="e" cm="1">
        <f t="array" aca="1" ref="L528" ca="1">IF(OR(A528="",B528="safety"),"",INDIRECT("template!"&amp;"I"&amp;A528))</f>
        <v>#REF!</v>
      </c>
      <c r="M528" t="e" cm="1">
        <f t="array" aca="1" ref="M528" ca="1">IF(OR(A528="",B528="safety"),"",INDIRECT("template!"&amp;"J"&amp;A528))</f>
        <v>#REF!</v>
      </c>
      <c r="N528" t="e" cm="1">
        <f t="array" aca="1" ref="N528" ca="1">IF(OR(A528="",B528="safety"),"",IF(ISBLANK(INDIRECT("template!"&amp;"K"&amp;A528)),"",INDIRECT("template!"&amp;"K"&amp;A528)))</f>
        <v>#REF!</v>
      </c>
      <c r="O528" t="e" cm="1">
        <f t="array" aca="1" ref="O528" ca="1">IF(OR(A528="",B528="safety"),"",INDIRECT("template!"&amp;"L"&amp;A528))</f>
        <v>#REF!</v>
      </c>
      <c r="P528" t="e" cm="1">
        <f t="array" aca="1" ref="P528" ca="1">IF(OR(A528="",B528="safety"),"",INDIRECT("template!"&amp;"M"&amp;A528))</f>
        <v>#REF!</v>
      </c>
      <c r="Q528" t="e">
        <f t="shared" ca="1" si="46"/>
        <v>#REF!</v>
      </c>
      <c r="R528" t="e">
        <f t="shared" ca="1" si="47"/>
        <v>#REF!</v>
      </c>
      <c r="S528" t="e">
        <f t="shared" ca="1" si="48"/>
        <v>#REF!</v>
      </c>
      <c r="T528" t="e">
        <f t="shared" ca="1" si="49"/>
        <v>#REF!</v>
      </c>
      <c r="U528" t="e" cm="1">
        <f t="array" aca="1" ref="U528" ca="1">IF(A528="","",IF(E528="","",IF(B528="safety",INDIRECT("template!"&amp;"P"&amp;A528),Q528+R528)))</f>
        <v>#REF!</v>
      </c>
      <c r="V528" t="e" cm="1">
        <f t="array" aca="1" ref="V528" ca="1">IF(A528="","",IF(E528="","",IF(B528="safety",INDIRECT("template!"&amp;"P"&amp;A528),S528+T528)))</f>
        <v>#REF!</v>
      </c>
      <c r="W528" t="e">
        <f ca="1">IF(A528="","",IF(E528="","",#REF!))</f>
        <v>#REF!</v>
      </c>
      <c r="X528" t="e">
        <f ca="1">IF(A528="","",IF(E528="","",#REF!))</f>
        <v>#REF!</v>
      </c>
      <c r="Y528" s="39" t="e">
        <f ca="1">IF(A528="","",IF(E528="","",#REF!))</f>
        <v>#REF!</v>
      </c>
      <c r="Z528" t="e">
        <f ca="1">IF(A528="","",IF(E528="","",#REF!))</f>
        <v>#REF!</v>
      </c>
      <c r="AA528" t="e">
        <f ca="1">IF(A528="","",IF(E528="","",#REF!))</f>
        <v>#REF!</v>
      </c>
      <c r="AB528" t="e">
        <f ca="1">IF(A528="","",IF(E528="","",#REF!))</f>
        <v>#REF!</v>
      </c>
      <c r="AC528" t="e">
        <f t="shared" ca="1" si="50"/>
        <v>#REF!</v>
      </c>
    </row>
    <row r="529" spans="1:29" x14ac:dyDescent="0.35">
      <c r="A529" t="e" cm="1">
        <f t="array" aca="1" ref="A529" ca="1">IF(A528="","",IF(OR(AND(A528+1&gt;=$AF$1,A528+1&lt;=$AF$2),AND(A528+1&gt;=$AF$6,A528+1&lt;=$AF$7),AND(A528+1&gt;=$AF$3,A528+1&lt;=$AF$4),AND(A528+1&gt;=$AF$8,A528+1&lt;=$AF$9),A528+1=$AF$5),IF(NOT(ISBLANK(INDIRECT("template!"&amp;"P"&amp;A528+1))),A528+1,IF(NOT(ISBLANK(INDIRECT("template!"&amp;"P"&amp;A528+2))),A528+2,A528+3)),IF(A528=$AF$2,$AF$3,IF(A528=$AF$4,$AF$5,IF(A528=$AF$5,$AF$6,IF(A528=$AF$7,$AF$8,""))))))</f>
        <v>#REF!</v>
      </c>
      <c r="B529" t="e">
        <f t="shared" ca="1" si="45"/>
        <v>#REF!</v>
      </c>
      <c r="C529" t="e" cm="1">
        <f t="array" aca="1" ref="C529" ca="1">IF(A529="","",IF(B529="safety","safety costs",INDIRECT("template!"&amp;"B"&amp;A529)))</f>
        <v>#REF!</v>
      </c>
      <c r="D529" t="e" cm="1">
        <f t="array" aca="1" ref="D529" ca="1">IF(OR(A529="",B529="safety"),"",INDIRECT("template!"&amp;"C"&amp;A529))</f>
        <v>#REF!</v>
      </c>
      <c r="E529" t="e" cm="1">
        <f t="array" aca="1" ref="E529" ca="1">IF(A529="","",IF(OR(A529=A528+1,A529=A528+2),E528,INDIRECT("template!"&amp;"D"&amp;A529-2)))</f>
        <v>#REF!</v>
      </c>
      <c r="F529" t="e" cm="1">
        <f t="array" aca="1" ref="F529" ca="1">IF(OR(A529="",B529="safety"),"",IF(ISBLANK(IF(A529=A528+1,F528,INDIRECT("template!"&amp;"D"&amp;A529-1))),"",IF(A529=A528+1,F528,INDIRECT("template!"&amp;"D"&amp;A529-1))))</f>
        <v>#REF!</v>
      </c>
      <c r="G529" t="e" cm="1">
        <f t="array" aca="1" ref="G529" ca="1">IF(OR(A529="",B529="safety"),"",IF(ISBLANK(INDIRECT("template!"&amp;"D"&amp;A529)),"",INDIRECT("template!"&amp;"D"&amp;A529)))</f>
        <v>#REF!</v>
      </c>
      <c r="H529" t="e" cm="1">
        <f t="array" aca="1" ref="H529" ca="1">IF(OR(A529="",B529="safety"),"",IF(ISBLANK(INDIRECT("template!"&amp;"E"&amp;A529)),"",INDIRECT("template!"&amp;"E"&amp;A529)))</f>
        <v>#REF!</v>
      </c>
      <c r="I529" t="e" cm="1">
        <f t="array" aca="1" ref="I529" ca="1">IF(OR(A529="",B529="safety"),"",IF(ISBLANK(INDIRECT("template!"&amp;"F"&amp;A529)),"",INDIRECT("template!"&amp;"F"&amp;A529)))</f>
        <v>#REF!</v>
      </c>
      <c r="J529" t="e" cm="1">
        <f t="array" aca="1" ref="J529" ca="1">IF(OR(A529="",B529="safety"),"",IF(ISBLANK(INDIRECT("template!"&amp;"G"&amp;A529)),"",INDIRECT("template!"&amp;"G"&amp;A529)))</f>
        <v>#REF!</v>
      </c>
      <c r="K529" t="e" cm="1">
        <f t="array" aca="1" ref="K529" ca="1">IF(OR(A529="",B529="safety"),"",IF(ISBLANK(INDIRECT("template!"&amp;"H"&amp;A529)),"",INDIRECT("template!"&amp;"H"&amp;A529)))</f>
        <v>#REF!</v>
      </c>
      <c r="L529" t="e" cm="1">
        <f t="array" aca="1" ref="L529" ca="1">IF(OR(A529="",B529="safety"),"",INDIRECT("template!"&amp;"I"&amp;A529))</f>
        <v>#REF!</v>
      </c>
      <c r="M529" t="e" cm="1">
        <f t="array" aca="1" ref="M529" ca="1">IF(OR(A529="",B529="safety"),"",INDIRECT("template!"&amp;"J"&amp;A529))</f>
        <v>#REF!</v>
      </c>
      <c r="N529" t="e" cm="1">
        <f t="array" aca="1" ref="N529" ca="1">IF(OR(A529="",B529="safety"),"",IF(ISBLANK(INDIRECT("template!"&amp;"K"&amp;A529)),"",INDIRECT("template!"&amp;"K"&amp;A529)))</f>
        <v>#REF!</v>
      </c>
      <c r="O529" t="e" cm="1">
        <f t="array" aca="1" ref="O529" ca="1">IF(OR(A529="",B529="safety"),"",INDIRECT("template!"&amp;"L"&amp;A529))</f>
        <v>#REF!</v>
      </c>
      <c r="P529" t="e" cm="1">
        <f t="array" aca="1" ref="P529" ca="1">IF(OR(A529="",B529="safety"),"",INDIRECT("template!"&amp;"M"&amp;A529))</f>
        <v>#REF!</v>
      </c>
      <c r="Q529" t="e">
        <f t="shared" ca="1" si="46"/>
        <v>#REF!</v>
      </c>
      <c r="R529" t="e">
        <f t="shared" ca="1" si="47"/>
        <v>#REF!</v>
      </c>
      <c r="S529" t="e">
        <f t="shared" ca="1" si="48"/>
        <v>#REF!</v>
      </c>
      <c r="T529" t="e">
        <f t="shared" ca="1" si="49"/>
        <v>#REF!</v>
      </c>
      <c r="U529" t="e" cm="1">
        <f t="array" aca="1" ref="U529" ca="1">IF(A529="","",IF(E529="","",IF(B529="safety",INDIRECT("template!"&amp;"P"&amp;A529),Q529+R529)))</f>
        <v>#REF!</v>
      </c>
      <c r="V529" t="e" cm="1">
        <f t="array" aca="1" ref="V529" ca="1">IF(A529="","",IF(E529="","",IF(B529="safety",INDIRECT("template!"&amp;"P"&amp;A529),S529+T529)))</f>
        <v>#REF!</v>
      </c>
      <c r="W529" t="e">
        <f ca="1">IF(A529="","",IF(E529="","",#REF!))</f>
        <v>#REF!</v>
      </c>
      <c r="X529" t="e">
        <f ca="1">IF(A529="","",IF(E529="","",#REF!))</f>
        <v>#REF!</v>
      </c>
      <c r="Y529" s="39" t="e">
        <f ca="1">IF(A529="","",IF(E529="","",#REF!))</f>
        <v>#REF!</v>
      </c>
      <c r="Z529" t="e">
        <f ca="1">IF(A529="","",IF(E529="","",#REF!))</f>
        <v>#REF!</v>
      </c>
      <c r="AA529" t="e">
        <f ca="1">IF(A529="","",IF(E529="","",#REF!))</f>
        <v>#REF!</v>
      </c>
      <c r="AB529" t="e">
        <f ca="1">IF(A529="","",IF(E529="","",#REF!))</f>
        <v>#REF!</v>
      </c>
      <c r="AC529" t="e">
        <f t="shared" ca="1" si="50"/>
        <v>#REF!</v>
      </c>
    </row>
    <row r="530" spans="1:29" x14ac:dyDescent="0.35">
      <c r="A530" t="e" cm="1">
        <f t="array" aca="1" ref="A530" ca="1">IF(A529="","",IF(OR(AND(A529+1&gt;=$AF$1,A529+1&lt;=$AF$2),AND(A529+1&gt;=$AF$6,A529+1&lt;=$AF$7),AND(A529+1&gt;=$AF$3,A529+1&lt;=$AF$4),AND(A529+1&gt;=$AF$8,A529+1&lt;=$AF$9),A529+1=$AF$5),IF(NOT(ISBLANK(INDIRECT("template!"&amp;"P"&amp;A529+1))),A529+1,IF(NOT(ISBLANK(INDIRECT("template!"&amp;"P"&amp;A529+2))),A529+2,A529+3)),IF(A529=$AF$2,$AF$3,IF(A529=$AF$4,$AF$5,IF(A529=$AF$5,$AF$6,IF(A529=$AF$7,$AF$8,""))))))</f>
        <v>#REF!</v>
      </c>
      <c r="B530" t="e">
        <f t="shared" ca="1" si="45"/>
        <v>#REF!</v>
      </c>
      <c r="C530" t="e" cm="1">
        <f t="array" aca="1" ref="C530" ca="1">IF(A530="","",IF(B530="safety","safety costs",INDIRECT("template!"&amp;"B"&amp;A530)))</f>
        <v>#REF!</v>
      </c>
      <c r="D530" t="e" cm="1">
        <f t="array" aca="1" ref="D530" ca="1">IF(OR(A530="",B530="safety"),"",INDIRECT("template!"&amp;"C"&amp;A530))</f>
        <v>#REF!</v>
      </c>
      <c r="E530" t="e" cm="1">
        <f t="array" aca="1" ref="E530" ca="1">IF(A530="","",IF(OR(A530=A529+1,A530=A529+2),E529,INDIRECT("template!"&amp;"D"&amp;A530-2)))</f>
        <v>#REF!</v>
      </c>
      <c r="F530" t="e" cm="1">
        <f t="array" aca="1" ref="F530" ca="1">IF(OR(A530="",B530="safety"),"",IF(ISBLANK(IF(A530=A529+1,F529,INDIRECT("template!"&amp;"D"&amp;A530-1))),"",IF(A530=A529+1,F529,INDIRECT("template!"&amp;"D"&amp;A530-1))))</f>
        <v>#REF!</v>
      </c>
      <c r="G530" t="e" cm="1">
        <f t="array" aca="1" ref="G530" ca="1">IF(OR(A530="",B530="safety"),"",IF(ISBLANK(INDIRECT("template!"&amp;"D"&amp;A530)),"",INDIRECT("template!"&amp;"D"&amp;A530)))</f>
        <v>#REF!</v>
      </c>
      <c r="H530" t="e" cm="1">
        <f t="array" aca="1" ref="H530" ca="1">IF(OR(A530="",B530="safety"),"",IF(ISBLANK(INDIRECT("template!"&amp;"E"&amp;A530)),"",INDIRECT("template!"&amp;"E"&amp;A530)))</f>
        <v>#REF!</v>
      </c>
      <c r="I530" t="e" cm="1">
        <f t="array" aca="1" ref="I530" ca="1">IF(OR(A530="",B530="safety"),"",IF(ISBLANK(INDIRECT("template!"&amp;"F"&amp;A530)),"",INDIRECT("template!"&amp;"F"&amp;A530)))</f>
        <v>#REF!</v>
      </c>
      <c r="J530" t="e" cm="1">
        <f t="array" aca="1" ref="J530" ca="1">IF(OR(A530="",B530="safety"),"",IF(ISBLANK(INDIRECT("template!"&amp;"G"&amp;A530)),"",INDIRECT("template!"&amp;"G"&amp;A530)))</f>
        <v>#REF!</v>
      </c>
      <c r="K530" t="e" cm="1">
        <f t="array" aca="1" ref="K530" ca="1">IF(OR(A530="",B530="safety"),"",IF(ISBLANK(INDIRECT("template!"&amp;"H"&amp;A530)),"",INDIRECT("template!"&amp;"H"&amp;A530)))</f>
        <v>#REF!</v>
      </c>
      <c r="L530" t="e" cm="1">
        <f t="array" aca="1" ref="L530" ca="1">IF(OR(A530="",B530="safety"),"",INDIRECT("template!"&amp;"I"&amp;A530))</f>
        <v>#REF!</v>
      </c>
      <c r="M530" t="e" cm="1">
        <f t="array" aca="1" ref="M530" ca="1">IF(OR(A530="",B530="safety"),"",INDIRECT("template!"&amp;"J"&amp;A530))</f>
        <v>#REF!</v>
      </c>
      <c r="N530" t="e" cm="1">
        <f t="array" aca="1" ref="N530" ca="1">IF(OR(A530="",B530="safety"),"",IF(ISBLANK(INDIRECT("template!"&amp;"K"&amp;A530)),"",INDIRECT("template!"&amp;"K"&amp;A530)))</f>
        <v>#REF!</v>
      </c>
      <c r="O530" t="e" cm="1">
        <f t="array" aca="1" ref="O530" ca="1">IF(OR(A530="",B530="safety"),"",INDIRECT("template!"&amp;"L"&amp;A530))</f>
        <v>#REF!</v>
      </c>
      <c r="P530" t="e" cm="1">
        <f t="array" aca="1" ref="P530" ca="1">IF(OR(A530="",B530="safety"),"",INDIRECT("template!"&amp;"M"&amp;A530))</f>
        <v>#REF!</v>
      </c>
      <c r="Q530" t="e">
        <f t="shared" ca="1" si="46"/>
        <v>#REF!</v>
      </c>
      <c r="R530" t="e">
        <f t="shared" ca="1" si="47"/>
        <v>#REF!</v>
      </c>
      <c r="S530" t="e">
        <f t="shared" ca="1" si="48"/>
        <v>#REF!</v>
      </c>
      <c r="T530" t="e">
        <f t="shared" ca="1" si="49"/>
        <v>#REF!</v>
      </c>
      <c r="U530" t="e" cm="1">
        <f t="array" aca="1" ref="U530" ca="1">IF(A530="","",IF(E530="","",IF(B530="safety",INDIRECT("template!"&amp;"P"&amp;A530),Q530+R530)))</f>
        <v>#REF!</v>
      </c>
      <c r="V530" t="e" cm="1">
        <f t="array" aca="1" ref="V530" ca="1">IF(A530="","",IF(E530="","",IF(B530="safety",INDIRECT("template!"&amp;"P"&amp;A530),S530+T530)))</f>
        <v>#REF!</v>
      </c>
      <c r="W530" t="e">
        <f ca="1">IF(A530="","",IF(E530="","",#REF!))</f>
        <v>#REF!</v>
      </c>
      <c r="X530" t="e">
        <f ca="1">IF(A530="","",IF(E530="","",#REF!))</f>
        <v>#REF!</v>
      </c>
      <c r="Y530" s="39" t="e">
        <f ca="1">IF(A530="","",IF(E530="","",#REF!))</f>
        <v>#REF!</v>
      </c>
      <c r="Z530" t="e">
        <f ca="1">IF(A530="","",IF(E530="","",#REF!))</f>
        <v>#REF!</v>
      </c>
      <c r="AA530" t="e">
        <f ca="1">IF(A530="","",IF(E530="","",#REF!))</f>
        <v>#REF!</v>
      </c>
      <c r="AB530" t="e">
        <f ca="1">IF(A530="","",IF(E530="","",#REF!))</f>
        <v>#REF!</v>
      </c>
      <c r="AC530" t="e">
        <f t="shared" ca="1" si="50"/>
        <v>#REF!</v>
      </c>
    </row>
    <row r="531" spans="1:29" x14ac:dyDescent="0.35">
      <c r="A531" t="e" cm="1">
        <f t="array" aca="1" ref="A531" ca="1">IF(A530="","",IF(OR(AND(A530+1&gt;=$AF$1,A530+1&lt;=$AF$2),AND(A530+1&gt;=$AF$6,A530+1&lt;=$AF$7),AND(A530+1&gt;=$AF$3,A530+1&lt;=$AF$4),AND(A530+1&gt;=$AF$8,A530+1&lt;=$AF$9),A530+1=$AF$5),IF(NOT(ISBLANK(INDIRECT("template!"&amp;"P"&amp;A530+1))),A530+1,IF(NOT(ISBLANK(INDIRECT("template!"&amp;"P"&amp;A530+2))),A530+2,A530+3)),IF(A530=$AF$2,$AF$3,IF(A530=$AF$4,$AF$5,IF(A530=$AF$5,$AF$6,IF(A530=$AF$7,$AF$8,""))))))</f>
        <v>#REF!</v>
      </c>
      <c r="B531" t="e">
        <f t="shared" ca="1" si="45"/>
        <v>#REF!</v>
      </c>
      <c r="C531" t="e" cm="1">
        <f t="array" aca="1" ref="C531" ca="1">IF(A531="","",IF(B531="safety","safety costs",INDIRECT("template!"&amp;"B"&amp;A531)))</f>
        <v>#REF!</v>
      </c>
      <c r="D531" t="e" cm="1">
        <f t="array" aca="1" ref="D531" ca="1">IF(OR(A531="",B531="safety"),"",INDIRECT("template!"&amp;"C"&amp;A531))</f>
        <v>#REF!</v>
      </c>
      <c r="E531" t="e" cm="1">
        <f t="array" aca="1" ref="E531" ca="1">IF(A531="","",IF(OR(A531=A530+1,A531=A530+2),E530,INDIRECT("template!"&amp;"D"&amp;A531-2)))</f>
        <v>#REF!</v>
      </c>
      <c r="F531" t="e" cm="1">
        <f t="array" aca="1" ref="F531" ca="1">IF(OR(A531="",B531="safety"),"",IF(ISBLANK(IF(A531=A530+1,F530,INDIRECT("template!"&amp;"D"&amp;A531-1))),"",IF(A531=A530+1,F530,INDIRECT("template!"&amp;"D"&amp;A531-1))))</f>
        <v>#REF!</v>
      </c>
      <c r="G531" t="e" cm="1">
        <f t="array" aca="1" ref="G531" ca="1">IF(OR(A531="",B531="safety"),"",IF(ISBLANK(INDIRECT("template!"&amp;"D"&amp;A531)),"",INDIRECT("template!"&amp;"D"&amp;A531)))</f>
        <v>#REF!</v>
      </c>
      <c r="H531" t="e" cm="1">
        <f t="array" aca="1" ref="H531" ca="1">IF(OR(A531="",B531="safety"),"",IF(ISBLANK(INDIRECT("template!"&amp;"E"&amp;A531)),"",INDIRECT("template!"&amp;"E"&amp;A531)))</f>
        <v>#REF!</v>
      </c>
      <c r="I531" t="e" cm="1">
        <f t="array" aca="1" ref="I531" ca="1">IF(OR(A531="",B531="safety"),"",IF(ISBLANK(INDIRECT("template!"&amp;"F"&amp;A531)),"",INDIRECT("template!"&amp;"F"&amp;A531)))</f>
        <v>#REF!</v>
      </c>
      <c r="J531" t="e" cm="1">
        <f t="array" aca="1" ref="J531" ca="1">IF(OR(A531="",B531="safety"),"",IF(ISBLANK(INDIRECT("template!"&amp;"G"&amp;A531)),"",INDIRECT("template!"&amp;"G"&amp;A531)))</f>
        <v>#REF!</v>
      </c>
      <c r="K531" t="e" cm="1">
        <f t="array" aca="1" ref="K531" ca="1">IF(OR(A531="",B531="safety"),"",IF(ISBLANK(INDIRECT("template!"&amp;"H"&amp;A531)),"",INDIRECT("template!"&amp;"H"&amp;A531)))</f>
        <v>#REF!</v>
      </c>
      <c r="L531" t="e" cm="1">
        <f t="array" aca="1" ref="L531" ca="1">IF(OR(A531="",B531="safety"),"",INDIRECT("template!"&amp;"I"&amp;A531))</f>
        <v>#REF!</v>
      </c>
      <c r="M531" t="e" cm="1">
        <f t="array" aca="1" ref="M531" ca="1">IF(OR(A531="",B531="safety"),"",INDIRECT("template!"&amp;"J"&amp;A531))</f>
        <v>#REF!</v>
      </c>
      <c r="N531" t="e" cm="1">
        <f t="array" aca="1" ref="N531" ca="1">IF(OR(A531="",B531="safety"),"",IF(ISBLANK(INDIRECT("template!"&amp;"K"&amp;A531)),"",INDIRECT("template!"&amp;"K"&amp;A531)))</f>
        <v>#REF!</v>
      </c>
      <c r="O531" t="e" cm="1">
        <f t="array" aca="1" ref="O531" ca="1">IF(OR(A531="",B531="safety"),"",INDIRECT("template!"&amp;"L"&amp;A531))</f>
        <v>#REF!</v>
      </c>
      <c r="P531" t="e" cm="1">
        <f t="array" aca="1" ref="P531" ca="1">IF(OR(A531="",B531="safety"),"",INDIRECT("template!"&amp;"M"&amp;A531))</f>
        <v>#REF!</v>
      </c>
      <c r="Q531" t="e">
        <f t="shared" ca="1" si="46"/>
        <v>#REF!</v>
      </c>
      <c r="R531" t="e">
        <f t="shared" ca="1" si="47"/>
        <v>#REF!</v>
      </c>
      <c r="S531" t="e">
        <f t="shared" ca="1" si="48"/>
        <v>#REF!</v>
      </c>
      <c r="T531" t="e">
        <f t="shared" ca="1" si="49"/>
        <v>#REF!</v>
      </c>
      <c r="U531" t="e" cm="1">
        <f t="array" aca="1" ref="U531" ca="1">IF(A531="","",IF(E531="","",IF(B531="safety",INDIRECT("template!"&amp;"P"&amp;A531),Q531+R531)))</f>
        <v>#REF!</v>
      </c>
      <c r="V531" t="e" cm="1">
        <f t="array" aca="1" ref="V531" ca="1">IF(A531="","",IF(E531="","",IF(B531="safety",INDIRECT("template!"&amp;"P"&amp;A531),S531+T531)))</f>
        <v>#REF!</v>
      </c>
      <c r="W531" t="e">
        <f ca="1">IF(A531="","",IF(E531="","",#REF!))</f>
        <v>#REF!</v>
      </c>
      <c r="X531" t="e">
        <f ca="1">IF(A531="","",IF(E531="","",#REF!))</f>
        <v>#REF!</v>
      </c>
      <c r="Y531" s="39" t="e">
        <f ca="1">IF(A531="","",IF(E531="","",#REF!))</f>
        <v>#REF!</v>
      </c>
      <c r="Z531" t="e">
        <f ca="1">IF(A531="","",IF(E531="","",#REF!))</f>
        <v>#REF!</v>
      </c>
      <c r="AA531" t="e">
        <f ca="1">IF(A531="","",IF(E531="","",#REF!))</f>
        <v>#REF!</v>
      </c>
      <c r="AB531" t="e">
        <f ca="1">IF(A531="","",IF(E531="","",#REF!))</f>
        <v>#REF!</v>
      </c>
      <c r="AC531" t="e">
        <f t="shared" ca="1" si="50"/>
        <v>#REF!</v>
      </c>
    </row>
    <row r="532" spans="1:29" x14ac:dyDescent="0.35">
      <c r="A532" t="e" cm="1">
        <f t="array" aca="1" ref="A532" ca="1">IF(A531="","",IF(OR(AND(A531+1&gt;=$AF$1,A531+1&lt;=$AF$2),AND(A531+1&gt;=$AF$6,A531+1&lt;=$AF$7),AND(A531+1&gt;=$AF$3,A531+1&lt;=$AF$4),AND(A531+1&gt;=$AF$8,A531+1&lt;=$AF$9),A531+1=$AF$5),IF(NOT(ISBLANK(INDIRECT("template!"&amp;"P"&amp;A531+1))),A531+1,IF(NOT(ISBLANK(INDIRECT("template!"&amp;"P"&amp;A531+2))),A531+2,A531+3)),IF(A531=$AF$2,$AF$3,IF(A531=$AF$4,$AF$5,IF(A531=$AF$5,$AF$6,IF(A531=$AF$7,$AF$8,""))))))</f>
        <v>#REF!</v>
      </c>
      <c r="B532" t="e">
        <f t="shared" ca="1" si="45"/>
        <v>#REF!</v>
      </c>
      <c r="C532" t="e" cm="1">
        <f t="array" aca="1" ref="C532" ca="1">IF(A532="","",IF(B532="safety","safety costs",INDIRECT("template!"&amp;"B"&amp;A532)))</f>
        <v>#REF!</v>
      </c>
      <c r="D532" t="e" cm="1">
        <f t="array" aca="1" ref="D532" ca="1">IF(OR(A532="",B532="safety"),"",INDIRECT("template!"&amp;"C"&amp;A532))</f>
        <v>#REF!</v>
      </c>
      <c r="E532" t="e" cm="1">
        <f t="array" aca="1" ref="E532" ca="1">IF(A532="","",IF(OR(A532=A531+1,A532=A531+2),E531,INDIRECT("template!"&amp;"D"&amp;A532-2)))</f>
        <v>#REF!</v>
      </c>
      <c r="F532" t="e" cm="1">
        <f t="array" aca="1" ref="F532" ca="1">IF(OR(A532="",B532="safety"),"",IF(ISBLANK(IF(A532=A531+1,F531,INDIRECT("template!"&amp;"D"&amp;A532-1))),"",IF(A532=A531+1,F531,INDIRECT("template!"&amp;"D"&amp;A532-1))))</f>
        <v>#REF!</v>
      </c>
      <c r="G532" t="e" cm="1">
        <f t="array" aca="1" ref="G532" ca="1">IF(OR(A532="",B532="safety"),"",IF(ISBLANK(INDIRECT("template!"&amp;"D"&amp;A532)),"",INDIRECT("template!"&amp;"D"&amp;A532)))</f>
        <v>#REF!</v>
      </c>
      <c r="H532" t="e" cm="1">
        <f t="array" aca="1" ref="H532" ca="1">IF(OR(A532="",B532="safety"),"",IF(ISBLANK(INDIRECT("template!"&amp;"E"&amp;A532)),"",INDIRECT("template!"&amp;"E"&amp;A532)))</f>
        <v>#REF!</v>
      </c>
      <c r="I532" t="e" cm="1">
        <f t="array" aca="1" ref="I532" ca="1">IF(OR(A532="",B532="safety"),"",IF(ISBLANK(INDIRECT("template!"&amp;"F"&amp;A532)),"",INDIRECT("template!"&amp;"F"&amp;A532)))</f>
        <v>#REF!</v>
      </c>
      <c r="J532" t="e" cm="1">
        <f t="array" aca="1" ref="J532" ca="1">IF(OR(A532="",B532="safety"),"",IF(ISBLANK(INDIRECT("template!"&amp;"G"&amp;A532)),"",INDIRECT("template!"&amp;"G"&amp;A532)))</f>
        <v>#REF!</v>
      </c>
      <c r="K532" t="e" cm="1">
        <f t="array" aca="1" ref="K532" ca="1">IF(OR(A532="",B532="safety"),"",IF(ISBLANK(INDIRECT("template!"&amp;"H"&amp;A532)),"",INDIRECT("template!"&amp;"H"&amp;A532)))</f>
        <v>#REF!</v>
      </c>
      <c r="L532" t="e" cm="1">
        <f t="array" aca="1" ref="L532" ca="1">IF(OR(A532="",B532="safety"),"",INDIRECT("template!"&amp;"I"&amp;A532))</f>
        <v>#REF!</v>
      </c>
      <c r="M532" t="e" cm="1">
        <f t="array" aca="1" ref="M532" ca="1">IF(OR(A532="",B532="safety"),"",INDIRECT("template!"&amp;"J"&amp;A532))</f>
        <v>#REF!</v>
      </c>
      <c r="N532" t="e" cm="1">
        <f t="array" aca="1" ref="N532" ca="1">IF(OR(A532="",B532="safety"),"",IF(ISBLANK(INDIRECT("template!"&amp;"K"&amp;A532)),"",INDIRECT("template!"&amp;"K"&amp;A532)))</f>
        <v>#REF!</v>
      </c>
      <c r="O532" t="e" cm="1">
        <f t="array" aca="1" ref="O532" ca="1">IF(OR(A532="",B532="safety"),"",INDIRECT("template!"&amp;"L"&amp;A532))</f>
        <v>#REF!</v>
      </c>
      <c r="P532" t="e" cm="1">
        <f t="array" aca="1" ref="P532" ca="1">IF(OR(A532="",B532="safety"),"",INDIRECT("template!"&amp;"M"&amp;A532))</f>
        <v>#REF!</v>
      </c>
      <c r="Q532" t="e">
        <f t="shared" ca="1" si="46"/>
        <v>#REF!</v>
      </c>
      <c r="R532" t="e">
        <f t="shared" ca="1" si="47"/>
        <v>#REF!</v>
      </c>
      <c r="S532" t="e">
        <f t="shared" ca="1" si="48"/>
        <v>#REF!</v>
      </c>
      <c r="T532" t="e">
        <f t="shared" ca="1" si="49"/>
        <v>#REF!</v>
      </c>
      <c r="U532" t="e" cm="1">
        <f t="array" aca="1" ref="U532" ca="1">IF(A532="","",IF(E532="","",IF(B532="safety",INDIRECT("template!"&amp;"P"&amp;A532),Q532+R532)))</f>
        <v>#REF!</v>
      </c>
      <c r="V532" t="e" cm="1">
        <f t="array" aca="1" ref="V532" ca="1">IF(A532="","",IF(E532="","",IF(B532="safety",INDIRECT("template!"&amp;"P"&amp;A532),S532+T532)))</f>
        <v>#REF!</v>
      </c>
      <c r="W532" t="e">
        <f ca="1">IF(A532="","",IF(E532="","",#REF!))</f>
        <v>#REF!</v>
      </c>
      <c r="X532" t="e">
        <f ca="1">IF(A532="","",IF(E532="","",#REF!))</f>
        <v>#REF!</v>
      </c>
      <c r="Y532" s="39" t="e">
        <f ca="1">IF(A532="","",IF(E532="","",#REF!))</f>
        <v>#REF!</v>
      </c>
      <c r="Z532" t="e">
        <f ca="1">IF(A532="","",IF(E532="","",#REF!))</f>
        <v>#REF!</v>
      </c>
      <c r="AA532" t="e">
        <f ca="1">IF(A532="","",IF(E532="","",#REF!))</f>
        <v>#REF!</v>
      </c>
      <c r="AB532" t="e">
        <f ca="1">IF(A532="","",IF(E532="","",#REF!))</f>
        <v>#REF!</v>
      </c>
      <c r="AC532" t="e">
        <f t="shared" ca="1" si="50"/>
        <v>#REF!</v>
      </c>
    </row>
    <row r="533" spans="1:29" x14ac:dyDescent="0.35">
      <c r="A533" t="e" cm="1">
        <f t="array" aca="1" ref="A533" ca="1">IF(A532="","",IF(OR(AND(A532+1&gt;=$AF$1,A532+1&lt;=$AF$2),AND(A532+1&gt;=$AF$6,A532+1&lt;=$AF$7),AND(A532+1&gt;=$AF$3,A532+1&lt;=$AF$4),AND(A532+1&gt;=$AF$8,A532+1&lt;=$AF$9),A532+1=$AF$5),IF(NOT(ISBLANK(INDIRECT("template!"&amp;"P"&amp;A532+1))),A532+1,IF(NOT(ISBLANK(INDIRECT("template!"&amp;"P"&amp;A532+2))),A532+2,A532+3)),IF(A532=$AF$2,$AF$3,IF(A532=$AF$4,$AF$5,IF(A532=$AF$5,$AF$6,IF(A532=$AF$7,$AF$8,""))))))</f>
        <v>#REF!</v>
      </c>
      <c r="B533" t="e">
        <f t="shared" ca="1" si="45"/>
        <v>#REF!</v>
      </c>
      <c r="C533" t="e" cm="1">
        <f t="array" aca="1" ref="C533" ca="1">IF(A533="","",IF(B533="safety","safety costs",INDIRECT("template!"&amp;"B"&amp;A533)))</f>
        <v>#REF!</v>
      </c>
      <c r="D533" t="e" cm="1">
        <f t="array" aca="1" ref="D533" ca="1">IF(OR(A533="",B533="safety"),"",INDIRECT("template!"&amp;"C"&amp;A533))</f>
        <v>#REF!</v>
      </c>
      <c r="E533" t="e" cm="1">
        <f t="array" aca="1" ref="E533" ca="1">IF(A533="","",IF(OR(A533=A532+1,A533=A532+2),E532,INDIRECT("template!"&amp;"D"&amp;A533-2)))</f>
        <v>#REF!</v>
      </c>
      <c r="F533" t="e" cm="1">
        <f t="array" aca="1" ref="F533" ca="1">IF(OR(A533="",B533="safety"),"",IF(ISBLANK(IF(A533=A532+1,F532,INDIRECT("template!"&amp;"D"&amp;A533-1))),"",IF(A533=A532+1,F532,INDIRECT("template!"&amp;"D"&amp;A533-1))))</f>
        <v>#REF!</v>
      </c>
      <c r="G533" t="e" cm="1">
        <f t="array" aca="1" ref="G533" ca="1">IF(OR(A533="",B533="safety"),"",IF(ISBLANK(INDIRECT("template!"&amp;"D"&amp;A533)),"",INDIRECT("template!"&amp;"D"&amp;A533)))</f>
        <v>#REF!</v>
      </c>
      <c r="H533" t="e" cm="1">
        <f t="array" aca="1" ref="H533" ca="1">IF(OR(A533="",B533="safety"),"",IF(ISBLANK(INDIRECT("template!"&amp;"E"&amp;A533)),"",INDIRECT("template!"&amp;"E"&amp;A533)))</f>
        <v>#REF!</v>
      </c>
      <c r="I533" t="e" cm="1">
        <f t="array" aca="1" ref="I533" ca="1">IF(OR(A533="",B533="safety"),"",IF(ISBLANK(INDIRECT("template!"&amp;"F"&amp;A533)),"",INDIRECT("template!"&amp;"F"&amp;A533)))</f>
        <v>#REF!</v>
      </c>
      <c r="J533" t="e" cm="1">
        <f t="array" aca="1" ref="J533" ca="1">IF(OR(A533="",B533="safety"),"",IF(ISBLANK(INDIRECT("template!"&amp;"G"&amp;A533)),"",INDIRECT("template!"&amp;"G"&amp;A533)))</f>
        <v>#REF!</v>
      </c>
      <c r="K533" t="e" cm="1">
        <f t="array" aca="1" ref="K533" ca="1">IF(OR(A533="",B533="safety"),"",IF(ISBLANK(INDIRECT("template!"&amp;"H"&amp;A533)),"",INDIRECT("template!"&amp;"H"&amp;A533)))</f>
        <v>#REF!</v>
      </c>
      <c r="L533" t="e" cm="1">
        <f t="array" aca="1" ref="L533" ca="1">IF(OR(A533="",B533="safety"),"",INDIRECT("template!"&amp;"I"&amp;A533))</f>
        <v>#REF!</v>
      </c>
      <c r="M533" t="e" cm="1">
        <f t="array" aca="1" ref="M533" ca="1">IF(OR(A533="",B533="safety"),"",INDIRECT("template!"&amp;"J"&amp;A533))</f>
        <v>#REF!</v>
      </c>
      <c r="N533" t="e" cm="1">
        <f t="array" aca="1" ref="N533" ca="1">IF(OR(A533="",B533="safety"),"",IF(ISBLANK(INDIRECT("template!"&amp;"K"&amp;A533)),"",INDIRECT("template!"&amp;"K"&amp;A533)))</f>
        <v>#REF!</v>
      </c>
      <c r="O533" t="e" cm="1">
        <f t="array" aca="1" ref="O533" ca="1">IF(OR(A533="",B533="safety"),"",INDIRECT("template!"&amp;"L"&amp;A533))</f>
        <v>#REF!</v>
      </c>
      <c r="P533" t="e" cm="1">
        <f t="array" aca="1" ref="P533" ca="1">IF(OR(A533="",B533="safety"),"",INDIRECT("template!"&amp;"M"&amp;A533))</f>
        <v>#REF!</v>
      </c>
      <c r="Q533" t="e">
        <f t="shared" ca="1" si="46"/>
        <v>#REF!</v>
      </c>
      <c r="R533" t="e">
        <f t="shared" ca="1" si="47"/>
        <v>#REF!</v>
      </c>
      <c r="S533" t="e">
        <f t="shared" ca="1" si="48"/>
        <v>#REF!</v>
      </c>
      <c r="T533" t="e">
        <f t="shared" ca="1" si="49"/>
        <v>#REF!</v>
      </c>
      <c r="U533" t="e" cm="1">
        <f t="array" aca="1" ref="U533" ca="1">IF(A533="","",IF(E533="","",IF(B533="safety",INDIRECT("template!"&amp;"P"&amp;A533),Q533+R533)))</f>
        <v>#REF!</v>
      </c>
      <c r="V533" t="e" cm="1">
        <f t="array" aca="1" ref="V533" ca="1">IF(A533="","",IF(E533="","",IF(B533="safety",INDIRECT("template!"&amp;"P"&amp;A533),S533+T533)))</f>
        <v>#REF!</v>
      </c>
      <c r="W533" t="e">
        <f ca="1">IF(A533="","",IF(E533="","",#REF!))</f>
        <v>#REF!</v>
      </c>
      <c r="X533" t="e">
        <f ca="1">IF(A533="","",IF(E533="","",#REF!))</f>
        <v>#REF!</v>
      </c>
      <c r="Y533" s="39" t="e">
        <f ca="1">IF(A533="","",IF(E533="","",#REF!))</f>
        <v>#REF!</v>
      </c>
      <c r="Z533" t="e">
        <f ca="1">IF(A533="","",IF(E533="","",#REF!))</f>
        <v>#REF!</v>
      </c>
      <c r="AA533" t="e">
        <f ca="1">IF(A533="","",IF(E533="","",#REF!))</f>
        <v>#REF!</v>
      </c>
      <c r="AB533" t="e">
        <f ca="1">IF(A533="","",IF(E533="","",#REF!))</f>
        <v>#REF!</v>
      </c>
      <c r="AC533" t="e">
        <f t="shared" ca="1" si="50"/>
        <v>#REF!</v>
      </c>
    </row>
    <row r="534" spans="1:29" x14ac:dyDescent="0.35">
      <c r="A534" t="e" cm="1">
        <f t="array" aca="1" ref="A534" ca="1">IF(A533="","",IF(OR(AND(A533+1&gt;=$AF$1,A533+1&lt;=$AF$2),AND(A533+1&gt;=$AF$6,A533+1&lt;=$AF$7),AND(A533+1&gt;=$AF$3,A533+1&lt;=$AF$4),AND(A533+1&gt;=$AF$8,A533+1&lt;=$AF$9),A533+1=$AF$5),IF(NOT(ISBLANK(INDIRECT("template!"&amp;"P"&amp;A533+1))),A533+1,IF(NOT(ISBLANK(INDIRECT("template!"&amp;"P"&amp;A533+2))),A533+2,A533+3)),IF(A533=$AF$2,$AF$3,IF(A533=$AF$4,$AF$5,IF(A533=$AF$5,$AF$6,IF(A533=$AF$7,$AF$8,""))))))</f>
        <v>#REF!</v>
      </c>
      <c r="B534" t="e">
        <f t="shared" ca="1" si="45"/>
        <v>#REF!</v>
      </c>
      <c r="C534" t="e" cm="1">
        <f t="array" aca="1" ref="C534" ca="1">IF(A534="","",IF(B534="safety","safety costs",INDIRECT("template!"&amp;"B"&amp;A534)))</f>
        <v>#REF!</v>
      </c>
      <c r="D534" t="e" cm="1">
        <f t="array" aca="1" ref="D534" ca="1">IF(OR(A534="",B534="safety"),"",INDIRECT("template!"&amp;"C"&amp;A534))</f>
        <v>#REF!</v>
      </c>
      <c r="E534" t="e" cm="1">
        <f t="array" aca="1" ref="E534" ca="1">IF(A534="","",IF(OR(A534=A533+1,A534=A533+2),E533,INDIRECT("template!"&amp;"D"&amp;A534-2)))</f>
        <v>#REF!</v>
      </c>
      <c r="F534" t="e" cm="1">
        <f t="array" aca="1" ref="F534" ca="1">IF(OR(A534="",B534="safety"),"",IF(ISBLANK(IF(A534=A533+1,F533,INDIRECT("template!"&amp;"D"&amp;A534-1))),"",IF(A534=A533+1,F533,INDIRECT("template!"&amp;"D"&amp;A534-1))))</f>
        <v>#REF!</v>
      </c>
      <c r="G534" t="e" cm="1">
        <f t="array" aca="1" ref="G534" ca="1">IF(OR(A534="",B534="safety"),"",IF(ISBLANK(INDIRECT("template!"&amp;"D"&amp;A534)),"",INDIRECT("template!"&amp;"D"&amp;A534)))</f>
        <v>#REF!</v>
      </c>
      <c r="H534" t="e" cm="1">
        <f t="array" aca="1" ref="H534" ca="1">IF(OR(A534="",B534="safety"),"",IF(ISBLANK(INDIRECT("template!"&amp;"E"&amp;A534)),"",INDIRECT("template!"&amp;"E"&amp;A534)))</f>
        <v>#REF!</v>
      </c>
      <c r="I534" t="e" cm="1">
        <f t="array" aca="1" ref="I534" ca="1">IF(OR(A534="",B534="safety"),"",IF(ISBLANK(INDIRECT("template!"&amp;"F"&amp;A534)),"",INDIRECT("template!"&amp;"F"&amp;A534)))</f>
        <v>#REF!</v>
      </c>
      <c r="J534" t="e" cm="1">
        <f t="array" aca="1" ref="J534" ca="1">IF(OR(A534="",B534="safety"),"",IF(ISBLANK(INDIRECT("template!"&amp;"G"&amp;A534)),"",INDIRECT("template!"&amp;"G"&amp;A534)))</f>
        <v>#REF!</v>
      </c>
      <c r="K534" t="e" cm="1">
        <f t="array" aca="1" ref="K534" ca="1">IF(OR(A534="",B534="safety"),"",IF(ISBLANK(INDIRECT("template!"&amp;"H"&amp;A534)),"",INDIRECT("template!"&amp;"H"&amp;A534)))</f>
        <v>#REF!</v>
      </c>
      <c r="L534" t="e" cm="1">
        <f t="array" aca="1" ref="L534" ca="1">IF(OR(A534="",B534="safety"),"",INDIRECT("template!"&amp;"I"&amp;A534))</f>
        <v>#REF!</v>
      </c>
      <c r="M534" t="e" cm="1">
        <f t="array" aca="1" ref="M534" ca="1">IF(OR(A534="",B534="safety"),"",INDIRECT("template!"&amp;"J"&amp;A534))</f>
        <v>#REF!</v>
      </c>
      <c r="N534" t="e" cm="1">
        <f t="array" aca="1" ref="N534" ca="1">IF(OR(A534="",B534="safety"),"",IF(ISBLANK(INDIRECT("template!"&amp;"K"&amp;A534)),"",INDIRECT("template!"&amp;"K"&amp;A534)))</f>
        <v>#REF!</v>
      </c>
      <c r="O534" t="e" cm="1">
        <f t="array" aca="1" ref="O534" ca="1">IF(OR(A534="",B534="safety"),"",INDIRECT("template!"&amp;"L"&amp;A534))</f>
        <v>#REF!</v>
      </c>
      <c r="P534" t="e" cm="1">
        <f t="array" aca="1" ref="P534" ca="1">IF(OR(A534="",B534="safety"),"",INDIRECT("template!"&amp;"M"&amp;A534))</f>
        <v>#REF!</v>
      </c>
      <c r="Q534" t="e">
        <f t="shared" ca="1" si="46"/>
        <v>#REF!</v>
      </c>
      <c r="R534" t="e">
        <f t="shared" ca="1" si="47"/>
        <v>#REF!</v>
      </c>
      <c r="S534" t="e">
        <f t="shared" ca="1" si="48"/>
        <v>#REF!</v>
      </c>
      <c r="T534" t="e">
        <f t="shared" ca="1" si="49"/>
        <v>#REF!</v>
      </c>
      <c r="U534" t="e" cm="1">
        <f t="array" aca="1" ref="U534" ca="1">IF(A534="","",IF(E534="","",IF(B534="safety",INDIRECT("template!"&amp;"P"&amp;A534),Q534+R534)))</f>
        <v>#REF!</v>
      </c>
      <c r="V534" t="e" cm="1">
        <f t="array" aca="1" ref="V534" ca="1">IF(A534="","",IF(E534="","",IF(B534="safety",INDIRECT("template!"&amp;"P"&amp;A534),S534+T534)))</f>
        <v>#REF!</v>
      </c>
      <c r="W534" t="e">
        <f ca="1">IF(A534="","",IF(E534="","",#REF!))</f>
        <v>#REF!</v>
      </c>
      <c r="X534" t="e">
        <f ca="1">IF(A534="","",IF(E534="","",#REF!))</f>
        <v>#REF!</v>
      </c>
      <c r="Y534" s="39" t="e">
        <f ca="1">IF(A534="","",IF(E534="","",#REF!))</f>
        <v>#REF!</v>
      </c>
      <c r="Z534" t="e">
        <f ca="1">IF(A534="","",IF(E534="","",#REF!))</f>
        <v>#REF!</v>
      </c>
      <c r="AA534" t="e">
        <f ca="1">IF(A534="","",IF(E534="","",#REF!))</f>
        <v>#REF!</v>
      </c>
      <c r="AB534" t="e">
        <f ca="1">IF(A534="","",IF(E534="","",#REF!))</f>
        <v>#REF!</v>
      </c>
      <c r="AC534" t="e">
        <f t="shared" ca="1" si="50"/>
        <v>#REF!</v>
      </c>
    </row>
    <row r="535" spans="1:29" x14ac:dyDescent="0.35">
      <c r="A535" t="e" cm="1">
        <f t="array" aca="1" ref="A535" ca="1">IF(A534="","",IF(OR(AND(A534+1&gt;=$AF$1,A534+1&lt;=$AF$2),AND(A534+1&gt;=$AF$6,A534+1&lt;=$AF$7),AND(A534+1&gt;=$AF$3,A534+1&lt;=$AF$4),AND(A534+1&gt;=$AF$8,A534+1&lt;=$AF$9),A534+1=$AF$5),IF(NOT(ISBLANK(INDIRECT("template!"&amp;"P"&amp;A534+1))),A534+1,IF(NOT(ISBLANK(INDIRECT("template!"&amp;"P"&amp;A534+2))),A534+2,A534+3)),IF(A534=$AF$2,$AF$3,IF(A534=$AF$4,$AF$5,IF(A534=$AF$5,$AF$6,IF(A534=$AF$7,$AF$8,""))))))</f>
        <v>#REF!</v>
      </c>
      <c r="B535" t="e">
        <f t="shared" ca="1" si="45"/>
        <v>#REF!</v>
      </c>
      <c r="C535" t="e" cm="1">
        <f t="array" aca="1" ref="C535" ca="1">IF(A535="","",IF(B535="safety","safety costs",INDIRECT("template!"&amp;"B"&amp;A535)))</f>
        <v>#REF!</v>
      </c>
      <c r="D535" t="e" cm="1">
        <f t="array" aca="1" ref="D535" ca="1">IF(OR(A535="",B535="safety"),"",INDIRECT("template!"&amp;"C"&amp;A535))</f>
        <v>#REF!</v>
      </c>
      <c r="E535" t="e" cm="1">
        <f t="array" aca="1" ref="E535" ca="1">IF(A535="","",IF(OR(A535=A534+1,A535=A534+2),E534,INDIRECT("template!"&amp;"D"&amp;A535-2)))</f>
        <v>#REF!</v>
      </c>
      <c r="F535" t="e" cm="1">
        <f t="array" aca="1" ref="F535" ca="1">IF(OR(A535="",B535="safety"),"",IF(ISBLANK(IF(A535=A534+1,F534,INDIRECT("template!"&amp;"D"&amp;A535-1))),"",IF(A535=A534+1,F534,INDIRECT("template!"&amp;"D"&amp;A535-1))))</f>
        <v>#REF!</v>
      </c>
      <c r="G535" t="e" cm="1">
        <f t="array" aca="1" ref="G535" ca="1">IF(OR(A535="",B535="safety"),"",IF(ISBLANK(INDIRECT("template!"&amp;"D"&amp;A535)),"",INDIRECT("template!"&amp;"D"&amp;A535)))</f>
        <v>#REF!</v>
      </c>
      <c r="H535" t="e" cm="1">
        <f t="array" aca="1" ref="H535" ca="1">IF(OR(A535="",B535="safety"),"",IF(ISBLANK(INDIRECT("template!"&amp;"E"&amp;A535)),"",INDIRECT("template!"&amp;"E"&amp;A535)))</f>
        <v>#REF!</v>
      </c>
      <c r="I535" t="e" cm="1">
        <f t="array" aca="1" ref="I535" ca="1">IF(OR(A535="",B535="safety"),"",IF(ISBLANK(INDIRECT("template!"&amp;"F"&amp;A535)),"",INDIRECT("template!"&amp;"F"&amp;A535)))</f>
        <v>#REF!</v>
      </c>
      <c r="J535" t="e" cm="1">
        <f t="array" aca="1" ref="J535" ca="1">IF(OR(A535="",B535="safety"),"",IF(ISBLANK(INDIRECT("template!"&amp;"G"&amp;A535)),"",INDIRECT("template!"&amp;"G"&amp;A535)))</f>
        <v>#REF!</v>
      </c>
      <c r="K535" t="e" cm="1">
        <f t="array" aca="1" ref="K535" ca="1">IF(OR(A535="",B535="safety"),"",IF(ISBLANK(INDIRECT("template!"&amp;"H"&amp;A535)),"",INDIRECT("template!"&amp;"H"&amp;A535)))</f>
        <v>#REF!</v>
      </c>
      <c r="L535" t="e" cm="1">
        <f t="array" aca="1" ref="L535" ca="1">IF(OR(A535="",B535="safety"),"",INDIRECT("template!"&amp;"I"&amp;A535))</f>
        <v>#REF!</v>
      </c>
      <c r="M535" t="e" cm="1">
        <f t="array" aca="1" ref="M535" ca="1">IF(OR(A535="",B535="safety"),"",INDIRECT("template!"&amp;"J"&amp;A535))</f>
        <v>#REF!</v>
      </c>
      <c r="N535" t="e" cm="1">
        <f t="array" aca="1" ref="N535" ca="1">IF(OR(A535="",B535="safety"),"",IF(ISBLANK(INDIRECT("template!"&amp;"K"&amp;A535)),"",INDIRECT("template!"&amp;"K"&amp;A535)))</f>
        <v>#REF!</v>
      </c>
      <c r="O535" t="e" cm="1">
        <f t="array" aca="1" ref="O535" ca="1">IF(OR(A535="",B535="safety"),"",INDIRECT("template!"&amp;"L"&amp;A535))</f>
        <v>#REF!</v>
      </c>
      <c r="P535" t="e" cm="1">
        <f t="array" aca="1" ref="P535" ca="1">IF(OR(A535="",B535="safety"),"",INDIRECT("template!"&amp;"M"&amp;A535))</f>
        <v>#REF!</v>
      </c>
      <c r="Q535" t="e">
        <f t="shared" ca="1" si="46"/>
        <v>#REF!</v>
      </c>
      <c r="R535" t="e">
        <f t="shared" ca="1" si="47"/>
        <v>#REF!</v>
      </c>
      <c r="S535" t="e">
        <f t="shared" ca="1" si="48"/>
        <v>#REF!</v>
      </c>
      <c r="T535" t="e">
        <f t="shared" ca="1" si="49"/>
        <v>#REF!</v>
      </c>
      <c r="U535" t="e" cm="1">
        <f t="array" aca="1" ref="U535" ca="1">IF(A535="","",IF(E535="","",IF(B535="safety",INDIRECT("template!"&amp;"P"&amp;A535),Q535+R535)))</f>
        <v>#REF!</v>
      </c>
      <c r="V535" t="e" cm="1">
        <f t="array" aca="1" ref="V535" ca="1">IF(A535="","",IF(E535="","",IF(B535="safety",INDIRECT("template!"&amp;"P"&amp;A535),S535+T535)))</f>
        <v>#REF!</v>
      </c>
      <c r="W535" t="e">
        <f ca="1">IF(A535="","",IF(E535="","",#REF!))</f>
        <v>#REF!</v>
      </c>
      <c r="X535" t="e">
        <f ca="1">IF(A535="","",IF(E535="","",#REF!))</f>
        <v>#REF!</v>
      </c>
      <c r="Y535" s="39" t="e">
        <f ca="1">IF(A535="","",IF(E535="","",#REF!))</f>
        <v>#REF!</v>
      </c>
      <c r="Z535" t="e">
        <f ca="1">IF(A535="","",IF(E535="","",#REF!))</f>
        <v>#REF!</v>
      </c>
      <c r="AA535" t="e">
        <f ca="1">IF(A535="","",IF(E535="","",#REF!))</f>
        <v>#REF!</v>
      </c>
      <c r="AB535" t="e">
        <f ca="1">IF(A535="","",IF(E535="","",#REF!))</f>
        <v>#REF!</v>
      </c>
      <c r="AC535" t="e">
        <f t="shared" ca="1" si="50"/>
        <v>#REF!</v>
      </c>
    </row>
    <row r="536" spans="1:29" x14ac:dyDescent="0.35">
      <c r="A536" t="e" cm="1">
        <f t="array" aca="1" ref="A536" ca="1">IF(A535="","",IF(OR(AND(A535+1&gt;=$AF$1,A535+1&lt;=$AF$2),AND(A535+1&gt;=$AF$6,A535+1&lt;=$AF$7),AND(A535+1&gt;=$AF$3,A535+1&lt;=$AF$4),AND(A535+1&gt;=$AF$8,A535+1&lt;=$AF$9),A535+1=$AF$5),IF(NOT(ISBLANK(INDIRECT("template!"&amp;"P"&amp;A535+1))),A535+1,IF(NOT(ISBLANK(INDIRECT("template!"&amp;"P"&amp;A535+2))),A535+2,A535+3)),IF(A535=$AF$2,$AF$3,IF(A535=$AF$4,$AF$5,IF(A535=$AF$5,$AF$6,IF(A535=$AF$7,$AF$8,""))))))</f>
        <v>#REF!</v>
      </c>
      <c r="B536" t="e">
        <f t="shared" ca="1" si="45"/>
        <v>#REF!</v>
      </c>
      <c r="C536" t="e" cm="1">
        <f t="array" aca="1" ref="C536" ca="1">IF(A536="","",IF(B536="safety","safety costs",INDIRECT("template!"&amp;"B"&amp;A536)))</f>
        <v>#REF!</v>
      </c>
      <c r="D536" t="e" cm="1">
        <f t="array" aca="1" ref="D536" ca="1">IF(OR(A536="",B536="safety"),"",INDIRECT("template!"&amp;"C"&amp;A536))</f>
        <v>#REF!</v>
      </c>
      <c r="E536" t="e" cm="1">
        <f t="array" aca="1" ref="E536" ca="1">IF(A536="","",IF(OR(A536=A535+1,A536=A535+2),E535,INDIRECT("template!"&amp;"D"&amp;A536-2)))</f>
        <v>#REF!</v>
      </c>
      <c r="F536" t="e" cm="1">
        <f t="array" aca="1" ref="F536" ca="1">IF(OR(A536="",B536="safety"),"",IF(ISBLANK(IF(A536=A535+1,F535,INDIRECT("template!"&amp;"D"&amp;A536-1))),"",IF(A536=A535+1,F535,INDIRECT("template!"&amp;"D"&amp;A536-1))))</f>
        <v>#REF!</v>
      </c>
      <c r="G536" t="e" cm="1">
        <f t="array" aca="1" ref="G536" ca="1">IF(OR(A536="",B536="safety"),"",IF(ISBLANK(INDIRECT("template!"&amp;"D"&amp;A536)),"",INDIRECT("template!"&amp;"D"&amp;A536)))</f>
        <v>#REF!</v>
      </c>
      <c r="H536" t="e" cm="1">
        <f t="array" aca="1" ref="H536" ca="1">IF(OR(A536="",B536="safety"),"",IF(ISBLANK(INDIRECT("template!"&amp;"E"&amp;A536)),"",INDIRECT("template!"&amp;"E"&amp;A536)))</f>
        <v>#REF!</v>
      </c>
      <c r="I536" t="e" cm="1">
        <f t="array" aca="1" ref="I536" ca="1">IF(OR(A536="",B536="safety"),"",IF(ISBLANK(INDIRECT("template!"&amp;"F"&amp;A536)),"",INDIRECT("template!"&amp;"F"&amp;A536)))</f>
        <v>#REF!</v>
      </c>
      <c r="J536" t="e" cm="1">
        <f t="array" aca="1" ref="J536" ca="1">IF(OR(A536="",B536="safety"),"",IF(ISBLANK(INDIRECT("template!"&amp;"G"&amp;A536)),"",INDIRECT("template!"&amp;"G"&amp;A536)))</f>
        <v>#REF!</v>
      </c>
      <c r="K536" t="e" cm="1">
        <f t="array" aca="1" ref="K536" ca="1">IF(OR(A536="",B536="safety"),"",IF(ISBLANK(INDIRECT("template!"&amp;"H"&amp;A536)),"",INDIRECT("template!"&amp;"H"&amp;A536)))</f>
        <v>#REF!</v>
      </c>
      <c r="L536" t="e" cm="1">
        <f t="array" aca="1" ref="L536" ca="1">IF(OR(A536="",B536="safety"),"",INDIRECT("template!"&amp;"I"&amp;A536))</f>
        <v>#REF!</v>
      </c>
      <c r="M536" t="e" cm="1">
        <f t="array" aca="1" ref="M536" ca="1">IF(OR(A536="",B536="safety"),"",INDIRECT("template!"&amp;"J"&amp;A536))</f>
        <v>#REF!</v>
      </c>
      <c r="N536" t="e" cm="1">
        <f t="array" aca="1" ref="N536" ca="1">IF(OR(A536="",B536="safety"),"",IF(ISBLANK(INDIRECT("template!"&amp;"K"&amp;A536)),"",INDIRECT("template!"&amp;"K"&amp;A536)))</f>
        <v>#REF!</v>
      </c>
      <c r="O536" t="e" cm="1">
        <f t="array" aca="1" ref="O536" ca="1">IF(OR(A536="",B536="safety"),"",INDIRECT("template!"&amp;"L"&amp;A536))</f>
        <v>#REF!</v>
      </c>
      <c r="P536" t="e" cm="1">
        <f t="array" aca="1" ref="P536" ca="1">IF(OR(A536="",B536="safety"),"",INDIRECT("template!"&amp;"M"&amp;A536))</f>
        <v>#REF!</v>
      </c>
      <c r="Q536" t="e">
        <f t="shared" ca="1" si="46"/>
        <v>#REF!</v>
      </c>
      <c r="R536" t="e">
        <f t="shared" ca="1" si="47"/>
        <v>#REF!</v>
      </c>
      <c r="S536" t="e">
        <f t="shared" ca="1" si="48"/>
        <v>#REF!</v>
      </c>
      <c r="T536" t="e">
        <f t="shared" ca="1" si="49"/>
        <v>#REF!</v>
      </c>
      <c r="U536" t="e" cm="1">
        <f t="array" aca="1" ref="U536" ca="1">IF(A536="","",IF(E536="","",IF(B536="safety",INDIRECT("template!"&amp;"P"&amp;A536),Q536+R536)))</f>
        <v>#REF!</v>
      </c>
      <c r="V536" t="e" cm="1">
        <f t="array" aca="1" ref="V536" ca="1">IF(A536="","",IF(E536="","",IF(B536="safety",INDIRECT("template!"&amp;"P"&amp;A536),S536+T536)))</f>
        <v>#REF!</v>
      </c>
      <c r="W536" t="e">
        <f ca="1">IF(A536="","",IF(E536="","",#REF!))</f>
        <v>#REF!</v>
      </c>
      <c r="X536" t="e">
        <f ca="1">IF(A536="","",IF(E536="","",#REF!))</f>
        <v>#REF!</v>
      </c>
      <c r="Y536" s="39" t="e">
        <f ca="1">IF(A536="","",IF(E536="","",#REF!))</f>
        <v>#REF!</v>
      </c>
      <c r="Z536" t="e">
        <f ca="1">IF(A536="","",IF(E536="","",#REF!))</f>
        <v>#REF!</v>
      </c>
      <c r="AA536" t="e">
        <f ca="1">IF(A536="","",IF(E536="","",#REF!))</f>
        <v>#REF!</v>
      </c>
      <c r="AB536" t="e">
        <f ca="1">IF(A536="","",IF(E536="","",#REF!))</f>
        <v>#REF!</v>
      </c>
      <c r="AC536" t="e">
        <f t="shared" ca="1" si="50"/>
        <v>#REF!</v>
      </c>
    </row>
    <row r="537" spans="1:29" x14ac:dyDescent="0.35">
      <c r="A537" t="e" cm="1">
        <f t="array" aca="1" ref="A537" ca="1">IF(A536="","",IF(OR(AND(A536+1&gt;=$AF$1,A536+1&lt;=$AF$2),AND(A536+1&gt;=$AF$6,A536+1&lt;=$AF$7),AND(A536+1&gt;=$AF$3,A536+1&lt;=$AF$4),AND(A536+1&gt;=$AF$8,A536+1&lt;=$AF$9),A536+1=$AF$5),IF(NOT(ISBLANK(INDIRECT("template!"&amp;"P"&amp;A536+1))),A536+1,IF(NOT(ISBLANK(INDIRECT("template!"&amp;"P"&amp;A536+2))),A536+2,A536+3)),IF(A536=$AF$2,$AF$3,IF(A536=$AF$4,$AF$5,IF(A536=$AF$5,$AF$6,IF(A536=$AF$7,$AF$8,""))))))</f>
        <v>#REF!</v>
      </c>
      <c r="B537" t="e">
        <f t="shared" ca="1" si="45"/>
        <v>#REF!</v>
      </c>
      <c r="C537" t="e" cm="1">
        <f t="array" aca="1" ref="C537" ca="1">IF(A537="","",IF(B537="safety","safety costs",INDIRECT("template!"&amp;"B"&amp;A537)))</f>
        <v>#REF!</v>
      </c>
      <c r="D537" t="e" cm="1">
        <f t="array" aca="1" ref="D537" ca="1">IF(OR(A537="",B537="safety"),"",INDIRECT("template!"&amp;"C"&amp;A537))</f>
        <v>#REF!</v>
      </c>
      <c r="E537" t="e" cm="1">
        <f t="array" aca="1" ref="E537" ca="1">IF(A537="","",IF(OR(A537=A536+1,A537=A536+2),E536,INDIRECT("template!"&amp;"D"&amp;A537-2)))</f>
        <v>#REF!</v>
      </c>
      <c r="F537" t="e" cm="1">
        <f t="array" aca="1" ref="F537" ca="1">IF(OR(A537="",B537="safety"),"",IF(ISBLANK(IF(A537=A536+1,F536,INDIRECT("template!"&amp;"D"&amp;A537-1))),"",IF(A537=A536+1,F536,INDIRECT("template!"&amp;"D"&amp;A537-1))))</f>
        <v>#REF!</v>
      </c>
      <c r="G537" t="e" cm="1">
        <f t="array" aca="1" ref="G537" ca="1">IF(OR(A537="",B537="safety"),"",IF(ISBLANK(INDIRECT("template!"&amp;"D"&amp;A537)),"",INDIRECT("template!"&amp;"D"&amp;A537)))</f>
        <v>#REF!</v>
      </c>
      <c r="H537" t="e" cm="1">
        <f t="array" aca="1" ref="H537" ca="1">IF(OR(A537="",B537="safety"),"",IF(ISBLANK(INDIRECT("template!"&amp;"E"&amp;A537)),"",INDIRECT("template!"&amp;"E"&amp;A537)))</f>
        <v>#REF!</v>
      </c>
      <c r="I537" t="e" cm="1">
        <f t="array" aca="1" ref="I537" ca="1">IF(OR(A537="",B537="safety"),"",IF(ISBLANK(INDIRECT("template!"&amp;"F"&amp;A537)),"",INDIRECT("template!"&amp;"F"&amp;A537)))</f>
        <v>#REF!</v>
      </c>
      <c r="J537" t="e" cm="1">
        <f t="array" aca="1" ref="J537" ca="1">IF(OR(A537="",B537="safety"),"",IF(ISBLANK(INDIRECT("template!"&amp;"G"&amp;A537)),"",INDIRECT("template!"&amp;"G"&amp;A537)))</f>
        <v>#REF!</v>
      </c>
      <c r="K537" t="e" cm="1">
        <f t="array" aca="1" ref="K537" ca="1">IF(OR(A537="",B537="safety"),"",IF(ISBLANK(INDIRECT("template!"&amp;"H"&amp;A537)),"",INDIRECT("template!"&amp;"H"&amp;A537)))</f>
        <v>#REF!</v>
      </c>
      <c r="L537" t="e" cm="1">
        <f t="array" aca="1" ref="L537" ca="1">IF(OR(A537="",B537="safety"),"",INDIRECT("template!"&amp;"I"&amp;A537))</f>
        <v>#REF!</v>
      </c>
      <c r="M537" t="e" cm="1">
        <f t="array" aca="1" ref="M537" ca="1">IF(OR(A537="",B537="safety"),"",INDIRECT("template!"&amp;"J"&amp;A537))</f>
        <v>#REF!</v>
      </c>
      <c r="N537" t="e" cm="1">
        <f t="array" aca="1" ref="N537" ca="1">IF(OR(A537="",B537="safety"),"",IF(ISBLANK(INDIRECT("template!"&amp;"K"&amp;A537)),"",INDIRECT("template!"&amp;"K"&amp;A537)))</f>
        <v>#REF!</v>
      </c>
      <c r="O537" t="e" cm="1">
        <f t="array" aca="1" ref="O537" ca="1">IF(OR(A537="",B537="safety"),"",INDIRECT("template!"&amp;"L"&amp;A537))</f>
        <v>#REF!</v>
      </c>
      <c r="P537" t="e" cm="1">
        <f t="array" aca="1" ref="P537" ca="1">IF(OR(A537="",B537="safety"),"",INDIRECT("template!"&amp;"M"&amp;A537))</f>
        <v>#REF!</v>
      </c>
      <c r="Q537" t="e">
        <f t="shared" ca="1" si="46"/>
        <v>#REF!</v>
      </c>
      <c r="R537" t="e">
        <f t="shared" ca="1" si="47"/>
        <v>#REF!</v>
      </c>
      <c r="S537" t="e">
        <f t="shared" ca="1" si="48"/>
        <v>#REF!</v>
      </c>
      <c r="T537" t="e">
        <f t="shared" ca="1" si="49"/>
        <v>#REF!</v>
      </c>
      <c r="U537" t="e" cm="1">
        <f t="array" aca="1" ref="U537" ca="1">IF(A537="","",IF(E537="","",IF(B537="safety",INDIRECT("template!"&amp;"P"&amp;A537),Q537+R537)))</f>
        <v>#REF!</v>
      </c>
      <c r="V537" t="e" cm="1">
        <f t="array" aca="1" ref="V537" ca="1">IF(A537="","",IF(E537="","",IF(B537="safety",INDIRECT("template!"&amp;"P"&amp;A537),S537+T537)))</f>
        <v>#REF!</v>
      </c>
      <c r="W537" t="e">
        <f ca="1">IF(A537="","",IF(E537="","",#REF!))</f>
        <v>#REF!</v>
      </c>
      <c r="X537" t="e">
        <f ca="1">IF(A537="","",IF(E537="","",#REF!))</f>
        <v>#REF!</v>
      </c>
      <c r="Y537" s="39" t="e">
        <f ca="1">IF(A537="","",IF(E537="","",#REF!))</f>
        <v>#REF!</v>
      </c>
      <c r="Z537" t="e">
        <f ca="1">IF(A537="","",IF(E537="","",#REF!))</f>
        <v>#REF!</v>
      </c>
      <c r="AA537" t="e">
        <f ca="1">IF(A537="","",IF(E537="","",#REF!))</f>
        <v>#REF!</v>
      </c>
      <c r="AB537" t="e">
        <f ca="1">IF(A537="","",IF(E537="","",#REF!))</f>
        <v>#REF!</v>
      </c>
      <c r="AC537" t="e">
        <f t="shared" ca="1" si="50"/>
        <v>#REF!</v>
      </c>
    </row>
    <row r="538" spans="1:29" x14ac:dyDescent="0.35">
      <c r="A538" t="e" cm="1">
        <f t="array" aca="1" ref="A538" ca="1">IF(A537="","",IF(OR(AND(A537+1&gt;=$AF$1,A537+1&lt;=$AF$2),AND(A537+1&gt;=$AF$6,A537+1&lt;=$AF$7),AND(A537+1&gt;=$AF$3,A537+1&lt;=$AF$4),AND(A537+1&gt;=$AF$8,A537+1&lt;=$AF$9),A537+1=$AF$5),IF(NOT(ISBLANK(INDIRECT("template!"&amp;"P"&amp;A537+1))),A537+1,IF(NOT(ISBLANK(INDIRECT("template!"&amp;"P"&amp;A537+2))),A537+2,A537+3)),IF(A537=$AF$2,$AF$3,IF(A537=$AF$4,$AF$5,IF(A537=$AF$5,$AF$6,IF(A537=$AF$7,$AF$8,""))))))</f>
        <v>#REF!</v>
      </c>
      <c r="B538" t="e">
        <f t="shared" ca="1" si="45"/>
        <v>#REF!</v>
      </c>
      <c r="C538" t="e" cm="1">
        <f t="array" aca="1" ref="C538" ca="1">IF(A538="","",IF(B538="safety","safety costs",INDIRECT("template!"&amp;"B"&amp;A538)))</f>
        <v>#REF!</v>
      </c>
      <c r="D538" t="e" cm="1">
        <f t="array" aca="1" ref="D538" ca="1">IF(OR(A538="",B538="safety"),"",INDIRECT("template!"&amp;"C"&amp;A538))</f>
        <v>#REF!</v>
      </c>
      <c r="E538" t="e" cm="1">
        <f t="array" aca="1" ref="E538" ca="1">IF(A538="","",IF(OR(A538=A537+1,A538=A537+2),E537,INDIRECT("template!"&amp;"D"&amp;A538-2)))</f>
        <v>#REF!</v>
      </c>
      <c r="F538" t="e" cm="1">
        <f t="array" aca="1" ref="F538" ca="1">IF(OR(A538="",B538="safety"),"",IF(ISBLANK(IF(A538=A537+1,F537,INDIRECT("template!"&amp;"D"&amp;A538-1))),"",IF(A538=A537+1,F537,INDIRECT("template!"&amp;"D"&amp;A538-1))))</f>
        <v>#REF!</v>
      </c>
      <c r="G538" t="e" cm="1">
        <f t="array" aca="1" ref="G538" ca="1">IF(OR(A538="",B538="safety"),"",IF(ISBLANK(INDIRECT("template!"&amp;"D"&amp;A538)),"",INDIRECT("template!"&amp;"D"&amp;A538)))</f>
        <v>#REF!</v>
      </c>
      <c r="H538" t="e" cm="1">
        <f t="array" aca="1" ref="H538" ca="1">IF(OR(A538="",B538="safety"),"",IF(ISBLANK(INDIRECT("template!"&amp;"E"&amp;A538)),"",INDIRECT("template!"&amp;"E"&amp;A538)))</f>
        <v>#REF!</v>
      </c>
      <c r="I538" t="e" cm="1">
        <f t="array" aca="1" ref="I538" ca="1">IF(OR(A538="",B538="safety"),"",IF(ISBLANK(INDIRECT("template!"&amp;"F"&amp;A538)),"",INDIRECT("template!"&amp;"F"&amp;A538)))</f>
        <v>#REF!</v>
      </c>
      <c r="J538" t="e" cm="1">
        <f t="array" aca="1" ref="J538" ca="1">IF(OR(A538="",B538="safety"),"",IF(ISBLANK(INDIRECT("template!"&amp;"G"&amp;A538)),"",INDIRECT("template!"&amp;"G"&amp;A538)))</f>
        <v>#REF!</v>
      </c>
      <c r="K538" t="e" cm="1">
        <f t="array" aca="1" ref="K538" ca="1">IF(OR(A538="",B538="safety"),"",IF(ISBLANK(INDIRECT("template!"&amp;"H"&amp;A538)),"",INDIRECT("template!"&amp;"H"&amp;A538)))</f>
        <v>#REF!</v>
      </c>
      <c r="L538" t="e" cm="1">
        <f t="array" aca="1" ref="L538" ca="1">IF(OR(A538="",B538="safety"),"",INDIRECT("template!"&amp;"I"&amp;A538))</f>
        <v>#REF!</v>
      </c>
      <c r="M538" t="e" cm="1">
        <f t="array" aca="1" ref="M538" ca="1">IF(OR(A538="",B538="safety"),"",INDIRECT("template!"&amp;"J"&amp;A538))</f>
        <v>#REF!</v>
      </c>
      <c r="N538" t="e" cm="1">
        <f t="array" aca="1" ref="N538" ca="1">IF(OR(A538="",B538="safety"),"",IF(ISBLANK(INDIRECT("template!"&amp;"K"&amp;A538)),"",INDIRECT("template!"&amp;"K"&amp;A538)))</f>
        <v>#REF!</v>
      </c>
      <c r="O538" t="e" cm="1">
        <f t="array" aca="1" ref="O538" ca="1">IF(OR(A538="",B538="safety"),"",INDIRECT("template!"&amp;"L"&amp;A538))</f>
        <v>#REF!</v>
      </c>
      <c r="P538" t="e" cm="1">
        <f t="array" aca="1" ref="P538" ca="1">IF(OR(A538="",B538="safety"),"",INDIRECT("template!"&amp;"M"&amp;A538))</f>
        <v>#REF!</v>
      </c>
      <c r="Q538" t="e">
        <f t="shared" ca="1" si="46"/>
        <v>#REF!</v>
      </c>
      <c r="R538" t="e">
        <f t="shared" ca="1" si="47"/>
        <v>#REF!</v>
      </c>
      <c r="S538" t="e">
        <f t="shared" ca="1" si="48"/>
        <v>#REF!</v>
      </c>
      <c r="T538" t="e">
        <f t="shared" ca="1" si="49"/>
        <v>#REF!</v>
      </c>
      <c r="U538" t="e" cm="1">
        <f t="array" aca="1" ref="U538" ca="1">IF(A538="","",IF(E538="","",IF(B538="safety",INDIRECT("template!"&amp;"P"&amp;A538),Q538+R538)))</f>
        <v>#REF!</v>
      </c>
      <c r="V538" t="e" cm="1">
        <f t="array" aca="1" ref="V538" ca="1">IF(A538="","",IF(E538="","",IF(B538="safety",INDIRECT("template!"&amp;"P"&amp;A538),S538+T538)))</f>
        <v>#REF!</v>
      </c>
      <c r="W538" t="e">
        <f ca="1">IF(A538="","",IF(E538="","",#REF!))</f>
        <v>#REF!</v>
      </c>
      <c r="X538" t="e">
        <f ca="1">IF(A538="","",IF(E538="","",#REF!))</f>
        <v>#REF!</v>
      </c>
      <c r="Y538" s="39" t="e">
        <f ca="1">IF(A538="","",IF(E538="","",#REF!))</f>
        <v>#REF!</v>
      </c>
      <c r="Z538" t="e">
        <f ca="1">IF(A538="","",IF(E538="","",#REF!))</f>
        <v>#REF!</v>
      </c>
      <c r="AA538" t="e">
        <f ca="1">IF(A538="","",IF(E538="","",#REF!))</f>
        <v>#REF!</v>
      </c>
      <c r="AB538" t="e">
        <f ca="1">IF(A538="","",IF(E538="","",#REF!))</f>
        <v>#REF!</v>
      </c>
      <c r="AC538" t="e">
        <f t="shared" ca="1" si="50"/>
        <v>#REF!</v>
      </c>
    </row>
    <row r="539" spans="1:29" x14ac:dyDescent="0.35">
      <c r="A539" t="e" cm="1">
        <f t="array" aca="1" ref="A539" ca="1">IF(A538="","",IF(OR(AND(A538+1&gt;=$AF$1,A538+1&lt;=$AF$2),AND(A538+1&gt;=$AF$6,A538+1&lt;=$AF$7),AND(A538+1&gt;=$AF$3,A538+1&lt;=$AF$4),AND(A538+1&gt;=$AF$8,A538+1&lt;=$AF$9),A538+1=$AF$5),IF(NOT(ISBLANK(INDIRECT("template!"&amp;"P"&amp;A538+1))),A538+1,IF(NOT(ISBLANK(INDIRECT("template!"&amp;"P"&amp;A538+2))),A538+2,A538+3)),IF(A538=$AF$2,$AF$3,IF(A538=$AF$4,$AF$5,IF(A538=$AF$5,$AF$6,IF(A538=$AF$7,$AF$8,""))))))</f>
        <v>#REF!</v>
      </c>
      <c r="B539" t="e">
        <f t="shared" ca="1" si="45"/>
        <v>#REF!</v>
      </c>
      <c r="C539" t="e" cm="1">
        <f t="array" aca="1" ref="C539" ca="1">IF(A539="","",IF(B539="safety","safety costs",INDIRECT("template!"&amp;"B"&amp;A539)))</f>
        <v>#REF!</v>
      </c>
      <c r="D539" t="e" cm="1">
        <f t="array" aca="1" ref="D539" ca="1">IF(OR(A539="",B539="safety"),"",INDIRECT("template!"&amp;"C"&amp;A539))</f>
        <v>#REF!</v>
      </c>
      <c r="E539" t="e" cm="1">
        <f t="array" aca="1" ref="E539" ca="1">IF(A539="","",IF(OR(A539=A538+1,A539=A538+2),E538,INDIRECT("template!"&amp;"D"&amp;A539-2)))</f>
        <v>#REF!</v>
      </c>
      <c r="F539" t="e" cm="1">
        <f t="array" aca="1" ref="F539" ca="1">IF(OR(A539="",B539="safety"),"",IF(ISBLANK(IF(A539=A538+1,F538,INDIRECT("template!"&amp;"D"&amp;A539-1))),"",IF(A539=A538+1,F538,INDIRECT("template!"&amp;"D"&amp;A539-1))))</f>
        <v>#REF!</v>
      </c>
      <c r="G539" t="e" cm="1">
        <f t="array" aca="1" ref="G539" ca="1">IF(OR(A539="",B539="safety"),"",IF(ISBLANK(INDIRECT("template!"&amp;"D"&amp;A539)),"",INDIRECT("template!"&amp;"D"&amp;A539)))</f>
        <v>#REF!</v>
      </c>
      <c r="H539" t="e" cm="1">
        <f t="array" aca="1" ref="H539" ca="1">IF(OR(A539="",B539="safety"),"",IF(ISBLANK(INDIRECT("template!"&amp;"E"&amp;A539)),"",INDIRECT("template!"&amp;"E"&amp;A539)))</f>
        <v>#REF!</v>
      </c>
      <c r="I539" t="e" cm="1">
        <f t="array" aca="1" ref="I539" ca="1">IF(OR(A539="",B539="safety"),"",IF(ISBLANK(INDIRECT("template!"&amp;"F"&amp;A539)),"",INDIRECT("template!"&amp;"F"&amp;A539)))</f>
        <v>#REF!</v>
      </c>
      <c r="J539" t="e" cm="1">
        <f t="array" aca="1" ref="J539" ca="1">IF(OR(A539="",B539="safety"),"",IF(ISBLANK(INDIRECT("template!"&amp;"G"&amp;A539)),"",INDIRECT("template!"&amp;"G"&amp;A539)))</f>
        <v>#REF!</v>
      </c>
      <c r="K539" t="e" cm="1">
        <f t="array" aca="1" ref="K539" ca="1">IF(OR(A539="",B539="safety"),"",IF(ISBLANK(INDIRECT("template!"&amp;"H"&amp;A539)),"",INDIRECT("template!"&amp;"H"&amp;A539)))</f>
        <v>#REF!</v>
      </c>
      <c r="L539" t="e" cm="1">
        <f t="array" aca="1" ref="L539" ca="1">IF(OR(A539="",B539="safety"),"",INDIRECT("template!"&amp;"I"&amp;A539))</f>
        <v>#REF!</v>
      </c>
      <c r="M539" t="e" cm="1">
        <f t="array" aca="1" ref="M539" ca="1">IF(OR(A539="",B539="safety"),"",INDIRECT("template!"&amp;"J"&amp;A539))</f>
        <v>#REF!</v>
      </c>
      <c r="N539" t="e" cm="1">
        <f t="array" aca="1" ref="N539" ca="1">IF(OR(A539="",B539="safety"),"",IF(ISBLANK(INDIRECT("template!"&amp;"K"&amp;A539)),"",INDIRECT("template!"&amp;"K"&amp;A539)))</f>
        <v>#REF!</v>
      </c>
      <c r="O539" t="e" cm="1">
        <f t="array" aca="1" ref="O539" ca="1">IF(OR(A539="",B539="safety"),"",INDIRECT("template!"&amp;"L"&amp;A539))</f>
        <v>#REF!</v>
      </c>
      <c r="P539" t="e" cm="1">
        <f t="array" aca="1" ref="P539" ca="1">IF(OR(A539="",B539="safety"),"",INDIRECT("template!"&amp;"M"&amp;A539))</f>
        <v>#REF!</v>
      </c>
      <c r="Q539" t="e">
        <f t="shared" ca="1" si="46"/>
        <v>#REF!</v>
      </c>
      <c r="R539" t="e">
        <f t="shared" ca="1" si="47"/>
        <v>#REF!</v>
      </c>
      <c r="S539" t="e">
        <f t="shared" ca="1" si="48"/>
        <v>#REF!</v>
      </c>
      <c r="T539" t="e">
        <f t="shared" ca="1" si="49"/>
        <v>#REF!</v>
      </c>
      <c r="U539" t="e" cm="1">
        <f t="array" aca="1" ref="U539" ca="1">IF(A539="","",IF(E539="","",IF(B539="safety",INDIRECT("template!"&amp;"P"&amp;A539),Q539+R539)))</f>
        <v>#REF!</v>
      </c>
      <c r="V539" t="e" cm="1">
        <f t="array" aca="1" ref="V539" ca="1">IF(A539="","",IF(E539="","",IF(B539="safety",INDIRECT("template!"&amp;"P"&amp;A539),S539+T539)))</f>
        <v>#REF!</v>
      </c>
      <c r="W539" t="e">
        <f ca="1">IF(A539="","",IF(E539="","",#REF!))</f>
        <v>#REF!</v>
      </c>
      <c r="X539" t="e">
        <f ca="1">IF(A539="","",IF(E539="","",#REF!))</f>
        <v>#REF!</v>
      </c>
      <c r="Y539" s="39" t="e">
        <f ca="1">IF(A539="","",IF(E539="","",#REF!))</f>
        <v>#REF!</v>
      </c>
      <c r="Z539" t="e">
        <f ca="1">IF(A539="","",IF(E539="","",#REF!))</f>
        <v>#REF!</v>
      </c>
      <c r="AA539" t="e">
        <f ca="1">IF(A539="","",IF(E539="","",#REF!))</f>
        <v>#REF!</v>
      </c>
      <c r="AB539" t="e">
        <f ca="1">IF(A539="","",IF(E539="","",#REF!))</f>
        <v>#REF!</v>
      </c>
      <c r="AC539" t="e">
        <f t="shared" ca="1" si="50"/>
        <v>#REF!</v>
      </c>
    </row>
    <row r="540" spans="1:29" x14ac:dyDescent="0.35">
      <c r="A540" t="e" cm="1">
        <f t="array" aca="1" ref="A540" ca="1">IF(A539="","",IF(OR(AND(A539+1&gt;=$AF$1,A539+1&lt;=$AF$2),AND(A539+1&gt;=$AF$6,A539+1&lt;=$AF$7),AND(A539+1&gt;=$AF$3,A539+1&lt;=$AF$4),AND(A539+1&gt;=$AF$8,A539+1&lt;=$AF$9),A539+1=$AF$5),IF(NOT(ISBLANK(INDIRECT("template!"&amp;"P"&amp;A539+1))),A539+1,IF(NOT(ISBLANK(INDIRECT("template!"&amp;"P"&amp;A539+2))),A539+2,A539+3)),IF(A539=$AF$2,$AF$3,IF(A539=$AF$4,$AF$5,IF(A539=$AF$5,$AF$6,IF(A539=$AF$7,$AF$8,""))))))</f>
        <v>#REF!</v>
      </c>
      <c r="B540" t="e">
        <f t="shared" ca="1" si="45"/>
        <v>#REF!</v>
      </c>
      <c r="C540" t="e" cm="1">
        <f t="array" aca="1" ref="C540" ca="1">IF(A540="","",IF(B540="safety","safety costs",INDIRECT("template!"&amp;"B"&amp;A540)))</f>
        <v>#REF!</v>
      </c>
      <c r="D540" t="e" cm="1">
        <f t="array" aca="1" ref="D540" ca="1">IF(OR(A540="",B540="safety"),"",INDIRECT("template!"&amp;"C"&amp;A540))</f>
        <v>#REF!</v>
      </c>
      <c r="E540" t="e" cm="1">
        <f t="array" aca="1" ref="E540" ca="1">IF(A540="","",IF(OR(A540=A539+1,A540=A539+2),E539,INDIRECT("template!"&amp;"D"&amp;A540-2)))</f>
        <v>#REF!</v>
      </c>
      <c r="F540" t="e" cm="1">
        <f t="array" aca="1" ref="F540" ca="1">IF(OR(A540="",B540="safety"),"",IF(ISBLANK(IF(A540=A539+1,F539,INDIRECT("template!"&amp;"D"&amp;A540-1))),"",IF(A540=A539+1,F539,INDIRECT("template!"&amp;"D"&amp;A540-1))))</f>
        <v>#REF!</v>
      </c>
      <c r="G540" t="e" cm="1">
        <f t="array" aca="1" ref="G540" ca="1">IF(OR(A540="",B540="safety"),"",IF(ISBLANK(INDIRECT("template!"&amp;"D"&amp;A540)),"",INDIRECT("template!"&amp;"D"&amp;A540)))</f>
        <v>#REF!</v>
      </c>
      <c r="H540" t="e" cm="1">
        <f t="array" aca="1" ref="H540" ca="1">IF(OR(A540="",B540="safety"),"",IF(ISBLANK(INDIRECT("template!"&amp;"E"&amp;A540)),"",INDIRECT("template!"&amp;"E"&amp;A540)))</f>
        <v>#REF!</v>
      </c>
      <c r="I540" t="e" cm="1">
        <f t="array" aca="1" ref="I540" ca="1">IF(OR(A540="",B540="safety"),"",IF(ISBLANK(INDIRECT("template!"&amp;"F"&amp;A540)),"",INDIRECT("template!"&amp;"F"&amp;A540)))</f>
        <v>#REF!</v>
      </c>
      <c r="J540" t="e" cm="1">
        <f t="array" aca="1" ref="J540" ca="1">IF(OR(A540="",B540="safety"),"",IF(ISBLANK(INDIRECT("template!"&amp;"G"&amp;A540)),"",INDIRECT("template!"&amp;"G"&amp;A540)))</f>
        <v>#REF!</v>
      </c>
      <c r="K540" t="e" cm="1">
        <f t="array" aca="1" ref="K540" ca="1">IF(OR(A540="",B540="safety"),"",IF(ISBLANK(INDIRECT("template!"&amp;"H"&amp;A540)),"",INDIRECT("template!"&amp;"H"&amp;A540)))</f>
        <v>#REF!</v>
      </c>
      <c r="L540" t="e" cm="1">
        <f t="array" aca="1" ref="L540" ca="1">IF(OR(A540="",B540="safety"),"",INDIRECT("template!"&amp;"I"&amp;A540))</f>
        <v>#REF!</v>
      </c>
      <c r="M540" t="e" cm="1">
        <f t="array" aca="1" ref="M540" ca="1">IF(OR(A540="",B540="safety"),"",INDIRECT("template!"&amp;"J"&amp;A540))</f>
        <v>#REF!</v>
      </c>
      <c r="N540" t="e" cm="1">
        <f t="array" aca="1" ref="N540" ca="1">IF(OR(A540="",B540="safety"),"",IF(ISBLANK(INDIRECT("template!"&amp;"K"&amp;A540)),"",INDIRECT("template!"&amp;"K"&amp;A540)))</f>
        <v>#REF!</v>
      </c>
      <c r="O540" t="e" cm="1">
        <f t="array" aca="1" ref="O540" ca="1">IF(OR(A540="",B540="safety"),"",INDIRECT("template!"&amp;"L"&amp;A540))</f>
        <v>#REF!</v>
      </c>
      <c r="P540" t="e" cm="1">
        <f t="array" aca="1" ref="P540" ca="1">IF(OR(A540="",B540="safety"),"",INDIRECT("template!"&amp;"M"&amp;A540))</f>
        <v>#REF!</v>
      </c>
      <c r="Q540" t="e">
        <f t="shared" ca="1" si="46"/>
        <v>#REF!</v>
      </c>
      <c r="R540" t="e">
        <f t="shared" ca="1" si="47"/>
        <v>#REF!</v>
      </c>
      <c r="S540" t="e">
        <f t="shared" ca="1" si="48"/>
        <v>#REF!</v>
      </c>
      <c r="T540" t="e">
        <f t="shared" ca="1" si="49"/>
        <v>#REF!</v>
      </c>
      <c r="U540" t="e" cm="1">
        <f t="array" aca="1" ref="U540" ca="1">IF(A540="","",IF(E540="","",IF(B540="safety",INDIRECT("template!"&amp;"P"&amp;A540),Q540+R540)))</f>
        <v>#REF!</v>
      </c>
      <c r="V540" t="e" cm="1">
        <f t="array" aca="1" ref="V540" ca="1">IF(A540="","",IF(E540="","",IF(B540="safety",INDIRECT("template!"&amp;"P"&amp;A540),S540+T540)))</f>
        <v>#REF!</v>
      </c>
      <c r="W540" t="e">
        <f ca="1">IF(A540="","",IF(E540="","",#REF!))</f>
        <v>#REF!</v>
      </c>
      <c r="X540" t="e">
        <f ca="1">IF(A540="","",IF(E540="","",#REF!))</f>
        <v>#REF!</v>
      </c>
      <c r="Y540" s="39" t="e">
        <f ca="1">IF(A540="","",IF(E540="","",#REF!))</f>
        <v>#REF!</v>
      </c>
      <c r="Z540" t="e">
        <f ca="1">IF(A540="","",IF(E540="","",#REF!))</f>
        <v>#REF!</v>
      </c>
      <c r="AA540" t="e">
        <f ca="1">IF(A540="","",IF(E540="","",#REF!))</f>
        <v>#REF!</v>
      </c>
      <c r="AB540" t="e">
        <f ca="1">IF(A540="","",IF(E540="","",#REF!))</f>
        <v>#REF!</v>
      </c>
      <c r="AC540" t="e">
        <f t="shared" ca="1" si="50"/>
        <v>#REF!</v>
      </c>
    </row>
    <row r="541" spans="1:29" x14ac:dyDescent="0.35">
      <c r="A541" t="e" cm="1">
        <f t="array" aca="1" ref="A541" ca="1">IF(A540="","",IF(OR(AND(A540+1&gt;=$AF$1,A540+1&lt;=$AF$2),AND(A540+1&gt;=$AF$6,A540+1&lt;=$AF$7),AND(A540+1&gt;=$AF$3,A540+1&lt;=$AF$4),AND(A540+1&gt;=$AF$8,A540+1&lt;=$AF$9),A540+1=$AF$5),IF(NOT(ISBLANK(INDIRECT("template!"&amp;"P"&amp;A540+1))),A540+1,IF(NOT(ISBLANK(INDIRECT("template!"&amp;"P"&amp;A540+2))),A540+2,A540+3)),IF(A540=$AF$2,$AF$3,IF(A540=$AF$4,$AF$5,IF(A540=$AF$5,$AF$6,IF(A540=$AF$7,$AF$8,""))))))</f>
        <v>#REF!</v>
      </c>
      <c r="B541" t="e">
        <f t="shared" ca="1" si="45"/>
        <v>#REF!</v>
      </c>
      <c r="C541" t="e" cm="1">
        <f t="array" aca="1" ref="C541" ca="1">IF(A541="","",IF(B541="safety","safety costs",INDIRECT("template!"&amp;"B"&amp;A541)))</f>
        <v>#REF!</v>
      </c>
      <c r="D541" t="e" cm="1">
        <f t="array" aca="1" ref="D541" ca="1">IF(OR(A541="",B541="safety"),"",INDIRECT("template!"&amp;"C"&amp;A541))</f>
        <v>#REF!</v>
      </c>
      <c r="E541" t="e" cm="1">
        <f t="array" aca="1" ref="E541" ca="1">IF(A541="","",IF(OR(A541=A540+1,A541=A540+2),E540,INDIRECT("template!"&amp;"D"&amp;A541-2)))</f>
        <v>#REF!</v>
      </c>
      <c r="F541" t="e" cm="1">
        <f t="array" aca="1" ref="F541" ca="1">IF(OR(A541="",B541="safety"),"",IF(ISBLANK(IF(A541=A540+1,F540,INDIRECT("template!"&amp;"D"&amp;A541-1))),"",IF(A541=A540+1,F540,INDIRECT("template!"&amp;"D"&amp;A541-1))))</f>
        <v>#REF!</v>
      </c>
      <c r="G541" t="e" cm="1">
        <f t="array" aca="1" ref="G541" ca="1">IF(OR(A541="",B541="safety"),"",IF(ISBLANK(INDIRECT("template!"&amp;"D"&amp;A541)),"",INDIRECT("template!"&amp;"D"&amp;A541)))</f>
        <v>#REF!</v>
      </c>
      <c r="H541" t="e" cm="1">
        <f t="array" aca="1" ref="H541" ca="1">IF(OR(A541="",B541="safety"),"",IF(ISBLANK(INDIRECT("template!"&amp;"E"&amp;A541)),"",INDIRECT("template!"&amp;"E"&amp;A541)))</f>
        <v>#REF!</v>
      </c>
      <c r="I541" t="e" cm="1">
        <f t="array" aca="1" ref="I541" ca="1">IF(OR(A541="",B541="safety"),"",IF(ISBLANK(INDIRECT("template!"&amp;"F"&amp;A541)),"",INDIRECT("template!"&amp;"F"&amp;A541)))</f>
        <v>#REF!</v>
      </c>
      <c r="J541" t="e" cm="1">
        <f t="array" aca="1" ref="J541" ca="1">IF(OR(A541="",B541="safety"),"",IF(ISBLANK(INDIRECT("template!"&amp;"G"&amp;A541)),"",INDIRECT("template!"&amp;"G"&amp;A541)))</f>
        <v>#REF!</v>
      </c>
      <c r="K541" t="e" cm="1">
        <f t="array" aca="1" ref="K541" ca="1">IF(OR(A541="",B541="safety"),"",IF(ISBLANK(INDIRECT("template!"&amp;"H"&amp;A541)),"",INDIRECT("template!"&amp;"H"&amp;A541)))</f>
        <v>#REF!</v>
      </c>
      <c r="L541" t="e" cm="1">
        <f t="array" aca="1" ref="L541" ca="1">IF(OR(A541="",B541="safety"),"",INDIRECT("template!"&amp;"I"&amp;A541))</f>
        <v>#REF!</v>
      </c>
      <c r="M541" t="e" cm="1">
        <f t="array" aca="1" ref="M541" ca="1">IF(OR(A541="",B541="safety"),"",INDIRECT("template!"&amp;"J"&amp;A541))</f>
        <v>#REF!</v>
      </c>
      <c r="N541" t="e" cm="1">
        <f t="array" aca="1" ref="N541" ca="1">IF(OR(A541="",B541="safety"),"",IF(ISBLANK(INDIRECT("template!"&amp;"K"&amp;A541)),"",INDIRECT("template!"&amp;"K"&amp;A541)))</f>
        <v>#REF!</v>
      </c>
      <c r="O541" t="e" cm="1">
        <f t="array" aca="1" ref="O541" ca="1">IF(OR(A541="",B541="safety"),"",INDIRECT("template!"&amp;"L"&amp;A541))</f>
        <v>#REF!</v>
      </c>
      <c r="P541" t="e" cm="1">
        <f t="array" aca="1" ref="P541" ca="1">IF(OR(A541="",B541="safety"),"",INDIRECT("template!"&amp;"M"&amp;A541))</f>
        <v>#REF!</v>
      </c>
      <c r="Q541" t="e">
        <f t="shared" ca="1" si="46"/>
        <v>#REF!</v>
      </c>
      <c r="R541" t="e">
        <f t="shared" ca="1" si="47"/>
        <v>#REF!</v>
      </c>
      <c r="S541" t="e">
        <f t="shared" ca="1" si="48"/>
        <v>#REF!</v>
      </c>
      <c r="T541" t="e">
        <f t="shared" ca="1" si="49"/>
        <v>#REF!</v>
      </c>
      <c r="U541" t="e" cm="1">
        <f t="array" aca="1" ref="U541" ca="1">IF(A541="","",IF(E541="","",IF(B541="safety",INDIRECT("template!"&amp;"P"&amp;A541),Q541+R541)))</f>
        <v>#REF!</v>
      </c>
      <c r="V541" t="e" cm="1">
        <f t="array" aca="1" ref="V541" ca="1">IF(A541="","",IF(E541="","",IF(B541="safety",INDIRECT("template!"&amp;"P"&amp;A541),S541+T541)))</f>
        <v>#REF!</v>
      </c>
      <c r="W541" t="e">
        <f ca="1">IF(A541="","",IF(E541="","",#REF!))</f>
        <v>#REF!</v>
      </c>
      <c r="X541" t="e">
        <f ca="1">IF(A541="","",IF(E541="","",#REF!))</f>
        <v>#REF!</v>
      </c>
      <c r="Y541" s="39" t="e">
        <f ca="1">IF(A541="","",IF(E541="","",#REF!))</f>
        <v>#REF!</v>
      </c>
      <c r="Z541" t="e">
        <f ca="1">IF(A541="","",IF(E541="","",#REF!))</f>
        <v>#REF!</v>
      </c>
      <c r="AA541" t="e">
        <f ca="1">IF(A541="","",IF(E541="","",#REF!))</f>
        <v>#REF!</v>
      </c>
      <c r="AB541" t="e">
        <f ca="1">IF(A541="","",IF(E541="","",#REF!))</f>
        <v>#REF!</v>
      </c>
      <c r="AC541" t="e">
        <f t="shared" ca="1" si="50"/>
        <v>#REF!</v>
      </c>
    </row>
    <row r="542" spans="1:29" x14ac:dyDescent="0.35">
      <c r="A542" t="e" cm="1">
        <f t="array" aca="1" ref="A542" ca="1">IF(A541="","",IF(OR(AND(A541+1&gt;=$AF$1,A541+1&lt;=$AF$2),AND(A541+1&gt;=$AF$6,A541+1&lt;=$AF$7),AND(A541+1&gt;=$AF$3,A541+1&lt;=$AF$4),AND(A541+1&gt;=$AF$8,A541+1&lt;=$AF$9),A541+1=$AF$5),IF(NOT(ISBLANK(INDIRECT("template!"&amp;"P"&amp;A541+1))),A541+1,IF(NOT(ISBLANK(INDIRECT("template!"&amp;"P"&amp;A541+2))),A541+2,A541+3)),IF(A541=$AF$2,$AF$3,IF(A541=$AF$4,$AF$5,IF(A541=$AF$5,$AF$6,IF(A541=$AF$7,$AF$8,""))))))</f>
        <v>#REF!</v>
      </c>
      <c r="B542" t="e">
        <f t="shared" ca="1" si="45"/>
        <v>#REF!</v>
      </c>
      <c r="C542" t="e" cm="1">
        <f t="array" aca="1" ref="C542" ca="1">IF(A542="","",IF(B542="safety","safety costs",INDIRECT("template!"&amp;"B"&amp;A542)))</f>
        <v>#REF!</v>
      </c>
      <c r="D542" t="e" cm="1">
        <f t="array" aca="1" ref="D542" ca="1">IF(OR(A542="",B542="safety"),"",INDIRECT("template!"&amp;"C"&amp;A542))</f>
        <v>#REF!</v>
      </c>
      <c r="E542" t="e" cm="1">
        <f t="array" aca="1" ref="E542" ca="1">IF(A542="","",IF(OR(A542=A541+1,A542=A541+2),E541,INDIRECT("template!"&amp;"D"&amp;A542-2)))</f>
        <v>#REF!</v>
      </c>
      <c r="F542" t="e" cm="1">
        <f t="array" aca="1" ref="F542" ca="1">IF(OR(A542="",B542="safety"),"",IF(ISBLANK(IF(A542=A541+1,F541,INDIRECT("template!"&amp;"D"&amp;A542-1))),"",IF(A542=A541+1,F541,INDIRECT("template!"&amp;"D"&amp;A542-1))))</f>
        <v>#REF!</v>
      </c>
      <c r="G542" t="e" cm="1">
        <f t="array" aca="1" ref="G542" ca="1">IF(OR(A542="",B542="safety"),"",IF(ISBLANK(INDIRECT("template!"&amp;"D"&amp;A542)),"",INDIRECT("template!"&amp;"D"&amp;A542)))</f>
        <v>#REF!</v>
      </c>
      <c r="H542" t="e" cm="1">
        <f t="array" aca="1" ref="H542" ca="1">IF(OR(A542="",B542="safety"),"",IF(ISBLANK(INDIRECT("template!"&amp;"E"&amp;A542)),"",INDIRECT("template!"&amp;"E"&amp;A542)))</f>
        <v>#REF!</v>
      </c>
      <c r="I542" t="e" cm="1">
        <f t="array" aca="1" ref="I542" ca="1">IF(OR(A542="",B542="safety"),"",IF(ISBLANK(INDIRECT("template!"&amp;"F"&amp;A542)),"",INDIRECT("template!"&amp;"F"&amp;A542)))</f>
        <v>#REF!</v>
      </c>
      <c r="J542" t="e" cm="1">
        <f t="array" aca="1" ref="J542" ca="1">IF(OR(A542="",B542="safety"),"",IF(ISBLANK(INDIRECT("template!"&amp;"G"&amp;A542)),"",INDIRECT("template!"&amp;"G"&amp;A542)))</f>
        <v>#REF!</v>
      </c>
      <c r="K542" t="e" cm="1">
        <f t="array" aca="1" ref="K542" ca="1">IF(OR(A542="",B542="safety"),"",IF(ISBLANK(INDIRECT("template!"&amp;"H"&amp;A542)),"",INDIRECT("template!"&amp;"H"&amp;A542)))</f>
        <v>#REF!</v>
      </c>
      <c r="L542" t="e" cm="1">
        <f t="array" aca="1" ref="L542" ca="1">IF(OR(A542="",B542="safety"),"",INDIRECT("template!"&amp;"I"&amp;A542))</f>
        <v>#REF!</v>
      </c>
      <c r="M542" t="e" cm="1">
        <f t="array" aca="1" ref="M542" ca="1">IF(OR(A542="",B542="safety"),"",INDIRECT("template!"&amp;"J"&amp;A542))</f>
        <v>#REF!</v>
      </c>
      <c r="N542" t="e" cm="1">
        <f t="array" aca="1" ref="N542" ca="1">IF(OR(A542="",B542="safety"),"",IF(ISBLANK(INDIRECT("template!"&amp;"K"&amp;A542)),"",INDIRECT("template!"&amp;"K"&amp;A542)))</f>
        <v>#REF!</v>
      </c>
      <c r="O542" t="e" cm="1">
        <f t="array" aca="1" ref="O542" ca="1">IF(OR(A542="",B542="safety"),"",INDIRECT("template!"&amp;"L"&amp;A542))</f>
        <v>#REF!</v>
      </c>
      <c r="P542" t="e" cm="1">
        <f t="array" aca="1" ref="P542" ca="1">IF(OR(A542="",B542="safety"),"",INDIRECT("template!"&amp;"M"&amp;A542))</f>
        <v>#REF!</v>
      </c>
      <c r="Q542" t="e">
        <f t="shared" ca="1" si="46"/>
        <v>#REF!</v>
      </c>
      <c r="R542" t="e">
        <f t="shared" ca="1" si="47"/>
        <v>#REF!</v>
      </c>
      <c r="S542" t="e">
        <f t="shared" ca="1" si="48"/>
        <v>#REF!</v>
      </c>
      <c r="T542" t="e">
        <f t="shared" ca="1" si="49"/>
        <v>#REF!</v>
      </c>
      <c r="U542" t="e" cm="1">
        <f t="array" aca="1" ref="U542" ca="1">IF(A542="","",IF(E542="","",IF(B542="safety",INDIRECT("template!"&amp;"P"&amp;A542),Q542+R542)))</f>
        <v>#REF!</v>
      </c>
      <c r="V542" t="e" cm="1">
        <f t="array" aca="1" ref="V542" ca="1">IF(A542="","",IF(E542="","",IF(B542="safety",INDIRECT("template!"&amp;"P"&amp;A542),S542+T542)))</f>
        <v>#REF!</v>
      </c>
      <c r="W542" t="e">
        <f ca="1">IF(A542="","",IF(E542="","",#REF!))</f>
        <v>#REF!</v>
      </c>
      <c r="X542" t="e">
        <f ca="1">IF(A542="","",IF(E542="","",#REF!))</f>
        <v>#REF!</v>
      </c>
      <c r="Y542" s="39" t="e">
        <f ca="1">IF(A542="","",IF(E542="","",#REF!))</f>
        <v>#REF!</v>
      </c>
      <c r="Z542" t="e">
        <f ca="1">IF(A542="","",IF(E542="","",#REF!))</f>
        <v>#REF!</v>
      </c>
      <c r="AA542" t="e">
        <f ca="1">IF(A542="","",IF(E542="","",#REF!))</f>
        <v>#REF!</v>
      </c>
      <c r="AB542" t="e">
        <f ca="1">IF(A542="","",IF(E542="","",#REF!))</f>
        <v>#REF!</v>
      </c>
      <c r="AC542" t="e">
        <f t="shared" ca="1" si="50"/>
        <v>#REF!</v>
      </c>
    </row>
    <row r="543" spans="1:29" x14ac:dyDescent="0.35">
      <c r="A543" t="e" cm="1">
        <f t="array" aca="1" ref="A543" ca="1">IF(A542="","",IF(OR(AND(A542+1&gt;=$AF$1,A542+1&lt;=$AF$2),AND(A542+1&gt;=$AF$6,A542+1&lt;=$AF$7),AND(A542+1&gt;=$AF$3,A542+1&lt;=$AF$4),AND(A542+1&gt;=$AF$8,A542+1&lt;=$AF$9),A542+1=$AF$5),IF(NOT(ISBLANK(INDIRECT("template!"&amp;"P"&amp;A542+1))),A542+1,IF(NOT(ISBLANK(INDIRECT("template!"&amp;"P"&amp;A542+2))),A542+2,A542+3)),IF(A542=$AF$2,$AF$3,IF(A542=$AF$4,$AF$5,IF(A542=$AF$5,$AF$6,IF(A542=$AF$7,$AF$8,""))))))</f>
        <v>#REF!</v>
      </c>
      <c r="B543" t="e">
        <f t="shared" ca="1" si="45"/>
        <v>#REF!</v>
      </c>
      <c r="C543" t="e" cm="1">
        <f t="array" aca="1" ref="C543" ca="1">IF(A543="","",IF(B543="safety","safety costs",INDIRECT("template!"&amp;"B"&amp;A543)))</f>
        <v>#REF!</v>
      </c>
      <c r="D543" t="e" cm="1">
        <f t="array" aca="1" ref="D543" ca="1">IF(OR(A543="",B543="safety"),"",INDIRECT("template!"&amp;"C"&amp;A543))</f>
        <v>#REF!</v>
      </c>
      <c r="E543" t="e" cm="1">
        <f t="array" aca="1" ref="E543" ca="1">IF(A543="","",IF(OR(A543=A542+1,A543=A542+2),E542,INDIRECT("template!"&amp;"D"&amp;A543-2)))</f>
        <v>#REF!</v>
      </c>
      <c r="F543" t="e" cm="1">
        <f t="array" aca="1" ref="F543" ca="1">IF(OR(A543="",B543="safety"),"",IF(ISBLANK(IF(A543=A542+1,F542,INDIRECT("template!"&amp;"D"&amp;A543-1))),"",IF(A543=A542+1,F542,INDIRECT("template!"&amp;"D"&amp;A543-1))))</f>
        <v>#REF!</v>
      </c>
      <c r="G543" t="e" cm="1">
        <f t="array" aca="1" ref="G543" ca="1">IF(OR(A543="",B543="safety"),"",IF(ISBLANK(INDIRECT("template!"&amp;"D"&amp;A543)),"",INDIRECT("template!"&amp;"D"&amp;A543)))</f>
        <v>#REF!</v>
      </c>
      <c r="H543" t="e" cm="1">
        <f t="array" aca="1" ref="H543" ca="1">IF(OR(A543="",B543="safety"),"",IF(ISBLANK(INDIRECT("template!"&amp;"E"&amp;A543)),"",INDIRECT("template!"&amp;"E"&amp;A543)))</f>
        <v>#REF!</v>
      </c>
      <c r="I543" t="e" cm="1">
        <f t="array" aca="1" ref="I543" ca="1">IF(OR(A543="",B543="safety"),"",IF(ISBLANK(INDIRECT("template!"&amp;"F"&amp;A543)),"",INDIRECT("template!"&amp;"F"&amp;A543)))</f>
        <v>#REF!</v>
      </c>
      <c r="J543" t="e" cm="1">
        <f t="array" aca="1" ref="J543" ca="1">IF(OR(A543="",B543="safety"),"",IF(ISBLANK(INDIRECT("template!"&amp;"G"&amp;A543)),"",INDIRECT("template!"&amp;"G"&amp;A543)))</f>
        <v>#REF!</v>
      </c>
      <c r="K543" t="e" cm="1">
        <f t="array" aca="1" ref="K543" ca="1">IF(OR(A543="",B543="safety"),"",IF(ISBLANK(INDIRECT("template!"&amp;"H"&amp;A543)),"",INDIRECT("template!"&amp;"H"&amp;A543)))</f>
        <v>#REF!</v>
      </c>
      <c r="L543" t="e" cm="1">
        <f t="array" aca="1" ref="L543" ca="1">IF(OR(A543="",B543="safety"),"",INDIRECT("template!"&amp;"I"&amp;A543))</f>
        <v>#REF!</v>
      </c>
      <c r="M543" t="e" cm="1">
        <f t="array" aca="1" ref="M543" ca="1">IF(OR(A543="",B543="safety"),"",INDIRECT("template!"&amp;"J"&amp;A543))</f>
        <v>#REF!</v>
      </c>
      <c r="N543" t="e" cm="1">
        <f t="array" aca="1" ref="N543" ca="1">IF(OR(A543="",B543="safety"),"",IF(ISBLANK(INDIRECT("template!"&amp;"K"&amp;A543)),"",INDIRECT("template!"&amp;"K"&amp;A543)))</f>
        <v>#REF!</v>
      </c>
      <c r="O543" t="e" cm="1">
        <f t="array" aca="1" ref="O543" ca="1">IF(OR(A543="",B543="safety"),"",INDIRECT("template!"&amp;"L"&amp;A543))</f>
        <v>#REF!</v>
      </c>
      <c r="P543" t="e" cm="1">
        <f t="array" aca="1" ref="P543" ca="1">IF(OR(A543="",B543="safety"),"",INDIRECT("template!"&amp;"M"&amp;A543))</f>
        <v>#REF!</v>
      </c>
      <c r="Q543" t="e">
        <f t="shared" ca="1" si="46"/>
        <v>#REF!</v>
      </c>
      <c r="R543" t="e">
        <f t="shared" ca="1" si="47"/>
        <v>#REF!</v>
      </c>
      <c r="S543" t="e">
        <f t="shared" ca="1" si="48"/>
        <v>#REF!</v>
      </c>
      <c r="T543" t="e">
        <f t="shared" ca="1" si="49"/>
        <v>#REF!</v>
      </c>
      <c r="U543" t="e" cm="1">
        <f t="array" aca="1" ref="U543" ca="1">IF(A543="","",IF(E543="","",IF(B543="safety",INDIRECT("template!"&amp;"P"&amp;A543),Q543+R543)))</f>
        <v>#REF!</v>
      </c>
      <c r="V543" t="e" cm="1">
        <f t="array" aca="1" ref="V543" ca="1">IF(A543="","",IF(E543="","",IF(B543="safety",INDIRECT("template!"&amp;"P"&amp;A543),S543+T543)))</f>
        <v>#REF!</v>
      </c>
      <c r="W543" t="e">
        <f ca="1">IF(A543="","",IF(E543="","",#REF!))</f>
        <v>#REF!</v>
      </c>
      <c r="X543" t="e">
        <f ca="1">IF(A543="","",IF(E543="","",#REF!))</f>
        <v>#REF!</v>
      </c>
      <c r="Y543" s="39" t="e">
        <f ca="1">IF(A543="","",IF(E543="","",#REF!))</f>
        <v>#REF!</v>
      </c>
      <c r="Z543" t="e">
        <f ca="1">IF(A543="","",IF(E543="","",#REF!))</f>
        <v>#REF!</v>
      </c>
      <c r="AA543" t="e">
        <f ca="1">IF(A543="","",IF(E543="","",#REF!))</f>
        <v>#REF!</v>
      </c>
      <c r="AB543" t="e">
        <f ca="1">IF(A543="","",IF(E543="","",#REF!))</f>
        <v>#REF!</v>
      </c>
      <c r="AC543" t="e">
        <f t="shared" ca="1" si="50"/>
        <v>#REF!</v>
      </c>
    </row>
    <row r="544" spans="1:29" x14ac:dyDescent="0.35">
      <c r="A544" t="e" cm="1">
        <f t="array" aca="1" ref="A544" ca="1">IF(A543="","",IF(OR(AND(A543+1&gt;=$AF$1,A543+1&lt;=$AF$2),AND(A543+1&gt;=$AF$6,A543+1&lt;=$AF$7),AND(A543+1&gt;=$AF$3,A543+1&lt;=$AF$4),AND(A543+1&gt;=$AF$8,A543+1&lt;=$AF$9),A543+1=$AF$5),IF(NOT(ISBLANK(INDIRECT("template!"&amp;"P"&amp;A543+1))),A543+1,IF(NOT(ISBLANK(INDIRECT("template!"&amp;"P"&amp;A543+2))),A543+2,A543+3)),IF(A543=$AF$2,$AF$3,IF(A543=$AF$4,$AF$5,IF(A543=$AF$5,$AF$6,IF(A543=$AF$7,$AF$8,""))))))</f>
        <v>#REF!</v>
      </c>
      <c r="B544" t="e">
        <f t="shared" ca="1" si="45"/>
        <v>#REF!</v>
      </c>
      <c r="C544" t="e" cm="1">
        <f t="array" aca="1" ref="C544" ca="1">IF(A544="","",IF(B544="safety","safety costs",INDIRECT("template!"&amp;"B"&amp;A544)))</f>
        <v>#REF!</v>
      </c>
      <c r="D544" t="e" cm="1">
        <f t="array" aca="1" ref="D544" ca="1">IF(OR(A544="",B544="safety"),"",INDIRECT("template!"&amp;"C"&amp;A544))</f>
        <v>#REF!</v>
      </c>
      <c r="E544" t="e" cm="1">
        <f t="array" aca="1" ref="E544" ca="1">IF(A544="","",IF(OR(A544=A543+1,A544=A543+2),E543,INDIRECT("template!"&amp;"D"&amp;A544-2)))</f>
        <v>#REF!</v>
      </c>
      <c r="F544" t="e" cm="1">
        <f t="array" aca="1" ref="F544" ca="1">IF(OR(A544="",B544="safety"),"",IF(ISBLANK(IF(A544=A543+1,F543,INDIRECT("template!"&amp;"D"&amp;A544-1))),"",IF(A544=A543+1,F543,INDIRECT("template!"&amp;"D"&amp;A544-1))))</f>
        <v>#REF!</v>
      </c>
      <c r="G544" t="e" cm="1">
        <f t="array" aca="1" ref="G544" ca="1">IF(OR(A544="",B544="safety"),"",IF(ISBLANK(INDIRECT("template!"&amp;"D"&amp;A544)),"",INDIRECT("template!"&amp;"D"&amp;A544)))</f>
        <v>#REF!</v>
      </c>
      <c r="H544" t="e" cm="1">
        <f t="array" aca="1" ref="H544" ca="1">IF(OR(A544="",B544="safety"),"",IF(ISBLANK(INDIRECT("template!"&amp;"E"&amp;A544)),"",INDIRECT("template!"&amp;"E"&amp;A544)))</f>
        <v>#REF!</v>
      </c>
      <c r="I544" t="e" cm="1">
        <f t="array" aca="1" ref="I544" ca="1">IF(OR(A544="",B544="safety"),"",IF(ISBLANK(INDIRECT("template!"&amp;"F"&amp;A544)),"",INDIRECT("template!"&amp;"F"&amp;A544)))</f>
        <v>#REF!</v>
      </c>
      <c r="J544" t="e" cm="1">
        <f t="array" aca="1" ref="J544" ca="1">IF(OR(A544="",B544="safety"),"",IF(ISBLANK(INDIRECT("template!"&amp;"G"&amp;A544)),"",INDIRECT("template!"&amp;"G"&amp;A544)))</f>
        <v>#REF!</v>
      </c>
      <c r="K544" t="e" cm="1">
        <f t="array" aca="1" ref="K544" ca="1">IF(OR(A544="",B544="safety"),"",IF(ISBLANK(INDIRECT("template!"&amp;"H"&amp;A544)),"",INDIRECT("template!"&amp;"H"&amp;A544)))</f>
        <v>#REF!</v>
      </c>
      <c r="L544" t="e" cm="1">
        <f t="array" aca="1" ref="L544" ca="1">IF(OR(A544="",B544="safety"),"",INDIRECT("template!"&amp;"I"&amp;A544))</f>
        <v>#REF!</v>
      </c>
      <c r="M544" t="e" cm="1">
        <f t="array" aca="1" ref="M544" ca="1">IF(OR(A544="",B544="safety"),"",INDIRECT("template!"&amp;"J"&amp;A544))</f>
        <v>#REF!</v>
      </c>
      <c r="N544" t="e" cm="1">
        <f t="array" aca="1" ref="N544" ca="1">IF(OR(A544="",B544="safety"),"",IF(ISBLANK(INDIRECT("template!"&amp;"K"&amp;A544)),"",INDIRECT("template!"&amp;"K"&amp;A544)))</f>
        <v>#REF!</v>
      </c>
      <c r="O544" t="e" cm="1">
        <f t="array" aca="1" ref="O544" ca="1">IF(OR(A544="",B544="safety"),"",INDIRECT("template!"&amp;"L"&amp;A544))</f>
        <v>#REF!</v>
      </c>
      <c r="P544" t="e" cm="1">
        <f t="array" aca="1" ref="P544" ca="1">IF(OR(A544="",B544="safety"),"",INDIRECT("template!"&amp;"M"&amp;A544))</f>
        <v>#REF!</v>
      </c>
      <c r="Q544" t="e">
        <f t="shared" ca="1" si="46"/>
        <v>#REF!</v>
      </c>
      <c r="R544" t="e">
        <f t="shared" ca="1" si="47"/>
        <v>#REF!</v>
      </c>
      <c r="S544" t="e">
        <f t="shared" ca="1" si="48"/>
        <v>#REF!</v>
      </c>
      <c r="T544" t="e">
        <f t="shared" ca="1" si="49"/>
        <v>#REF!</v>
      </c>
      <c r="U544" t="e" cm="1">
        <f t="array" aca="1" ref="U544" ca="1">IF(A544="","",IF(E544="","",IF(B544="safety",INDIRECT("template!"&amp;"P"&amp;A544),Q544+R544)))</f>
        <v>#REF!</v>
      </c>
      <c r="V544" t="e" cm="1">
        <f t="array" aca="1" ref="V544" ca="1">IF(A544="","",IF(E544="","",IF(B544="safety",INDIRECT("template!"&amp;"P"&amp;A544),S544+T544)))</f>
        <v>#REF!</v>
      </c>
      <c r="W544" t="e">
        <f ca="1">IF(A544="","",IF(E544="","",#REF!))</f>
        <v>#REF!</v>
      </c>
      <c r="X544" t="e">
        <f ca="1">IF(A544="","",IF(E544="","",#REF!))</f>
        <v>#REF!</v>
      </c>
      <c r="Y544" s="39" t="e">
        <f ca="1">IF(A544="","",IF(E544="","",#REF!))</f>
        <v>#REF!</v>
      </c>
      <c r="Z544" t="e">
        <f ca="1">IF(A544="","",IF(E544="","",#REF!))</f>
        <v>#REF!</v>
      </c>
      <c r="AA544" t="e">
        <f ca="1">IF(A544="","",IF(E544="","",#REF!))</f>
        <v>#REF!</v>
      </c>
      <c r="AB544" t="e">
        <f ca="1">IF(A544="","",IF(E544="","",#REF!))</f>
        <v>#REF!</v>
      </c>
      <c r="AC544" t="e">
        <f t="shared" ca="1" si="50"/>
        <v>#REF!</v>
      </c>
    </row>
    <row r="545" spans="1:29" x14ac:dyDescent="0.35">
      <c r="A545" t="e" cm="1">
        <f t="array" aca="1" ref="A545" ca="1">IF(A544="","",IF(OR(AND(A544+1&gt;=$AF$1,A544+1&lt;=$AF$2),AND(A544+1&gt;=$AF$6,A544+1&lt;=$AF$7),AND(A544+1&gt;=$AF$3,A544+1&lt;=$AF$4),AND(A544+1&gt;=$AF$8,A544+1&lt;=$AF$9),A544+1=$AF$5),IF(NOT(ISBLANK(INDIRECT("template!"&amp;"P"&amp;A544+1))),A544+1,IF(NOT(ISBLANK(INDIRECT("template!"&amp;"P"&amp;A544+2))),A544+2,A544+3)),IF(A544=$AF$2,$AF$3,IF(A544=$AF$4,$AF$5,IF(A544=$AF$5,$AF$6,IF(A544=$AF$7,$AF$8,""))))))</f>
        <v>#REF!</v>
      </c>
      <c r="B545" t="e">
        <f t="shared" ca="1" si="45"/>
        <v>#REF!</v>
      </c>
      <c r="C545" t="e" cm="1">
        <f t="array" aca="1" ref="C545" ca="1">IF(A545="","",IF(B545="safety","safety costs",INDIRECT("template!"&amp;"B"&amp;A545)))</f>
        <v>#REF!</v>
      </c>
      <c r="D545" t="e" cm="1">
        <f t="array" aca="1" ref="D545" ca="1">IF(OR(A545="",B545="safety"),"",INDIRECT("template!"&amp;"C"&amp;A545))</f>
        <v>#REF!</v>
      </c>
      <c r="E545" t="e" cm="1">
        <f t="array" aca="1" ref="E545" ca="1">IF(A545="","",IF(OR(A545=A544+1,A545=A544+2),E544,INDIRECT("template!"&amp;"D"&amp;A545-2)))</f>
        <v>#REF!</v>
      </c>
      <c r="F545" t="e" cm="1">
        <f t="array" aca="1" ref="F545" ca="1">IF(OR(A545="",B545="safety"),"",IF(ISBLANK(IF(A545=A544+1,F544,INDIRECT("template!"&amp;"D"&amp;A545-1))),"",IF(A545=A544+1,F544,INDIRECT("template!"&amp;"D"&amp;A545-1))))</f>
        <v>#REF!</v>
      </c>
      <c r="G545" t="e" cm="1">
        <f t="array" aca="1" ref="G545" ca="1">IF(OR(A545="",B545="safety"),"",IF(ISBLANK(INDIRECT("template!"&amp;"D"&amp;A545)),"",INDIRECT("template!"&amp;"D"&amp;A545)))</f>
        <v>#REF!</v>
      </c>
      <c r="H545" t="e" cm="1">
        <f t="array" aca="1" ref="H545" ca="1">IF(OR(A545="",B545="safety"),"",IF(ISBLANK(INDIRECT("template!"&amp;"E"&amp;A545)),"",INDIRECT("template!"&amp;"E"&amp;A545)))</f>
        <v>#REF!</v>
      </c>
      <c r="I545" t="e" cm="1">
        <f t="array" aca="1" ref="I545" ca="1">IF(OR(A545="",B545="safety"),"",IF(ISBLANK(INDIRECT("template!"&amp;"F"&amp;A545)),"",INDIRECT("template!"&amp;"F"&amp;A545)))</f>
        <v>#REF!</v>
      </c>
      <c r="J545" t="e" cm="1">
        <f t="array" aca="1" ref="J545" ca="1">IF(OR(A545="",B545="safety"),"",IF(ISBLANK(INDIRECT("template!"&amp;"G"&amp;A545)),"",INDIRECT("template!"&amp;"G"&amp;A545)))</f>
        <v>#REF!</v>
      </c>
      <c r="K545" t="e" cm="1">
        <f t="array" aca="1" ref="K545" ca="1">IF(OR(A545="",B545="safety"),"",IF(ISBLANK(INDIRECT("template!"&amp;"H"&amp;A545)),"",INDIRECT("template!"&amp;"H"&amp;A545)))</f>
        <v>#REF!</v>
      </c>
      <c r="L545" t="e" cm="1">
        <f t="array" aca="1" ref="L545" ca="1">IF(OR(A545="",B545="safety"),"",INDIRECT("template!"&amp;"I"&amp;A545))</f>
        <v>#REF!</v>
      </c>
      <c r="M545" t="e" cm="1">
        <f t="array" aca="1" ref="M545" ca="1">IF(OR(A545="",B545="safety"),"",INDIRECT("template!"&amp;"J"&amp;A545))</f>
        <v>#REF!</v>
      </c>
      <c r="N545" t="e" cm="1">
        <f t="array" aca="1" ref="N545" ca="1">IF(OR(A545="",B545="safety"),"",IF(ISBLANK(INDIRECT("template!"&amp;"K"&amp;A545)),"",INDIRECT("template!"&amp;"K"&amp;A545)))</f>
        <v>#REF!</v>
      </c>
      <c r="O545" t="e" cm="1">
        <f t="array" aca="1" ref="O545" ca="1">IF(OR(A545="",B545="safety"),"",INDIRECT("template!"&amp;"L"&amp;A545))</f>
        <v>#REF!</v>
      </c>
      <c r="P545" t="e" cm="1">
        <f t="array" aca="1" ref="P545" ca="1">IF(OR(A545="",B545="safety"),"",INDIRECT("template!"&amp;"M"&amp;A545))</f>
        <v>#REF!</v>
      </c>
      <c r="Q545" t="e">
        <f t="shared" ca="1" si="46"/>
        <v>#REF!</v>
      </c>
      <c r="R545" t="e">
        <f t="shared" ca="1" si="47"/>
        <v>#REF!</v>
      </c>
      <c r="S545" t="e">
        <f t="shared" ca="1" si="48"/>
        <v>#REF!</v>
      </c>
      <c r="T545" t="e">
        <f t="shared" ca="1" si="49"/>
        <v>#REF!</v>
      </c>
      <c r="U545" t="e" cm="1">
        <f t="array" aca="1" ref="U545" ca="1">IF(A545="","",IF(E545="","",IF(B545="safety",INDIRECT("template!"&amp;"P"&amp;A545),Q545+R545)))</f>
        <v>#REF!</v>
      </c>
      <c r="V545" t="e" cm="1">
        <f t="array" aca="1" ref="V545" ca="1">IF(A545="","",IF(E545="","",IF(B545="safety",INDIRECT("template!"&amp;"P"&amp;A545),S545+T545)))</f>
        <v>#REF!</v>
      </c>
      <c r="W545" t="e">
        <f ca="1">IF(A545="","",IF(E545="","",#REF!))</f>
        <v>#REF!</v>
      </c>
      <c r="X545" t="e">
        <f ca="1">IF(A545="","",IF(E545="","",#REF!))</f>
        <v>#REF!</v>
      </c>
      <c r="Y545" s="39" t="e">
        <f ca="1">IF(A545="","",IF(E545="","",#REF!))</f>
        <v>#REF!</v>
      </c>
      <c r="Z545" t="e">
        <f ca="1">IF(A545="","",IF(E545="","",#REF!))</f>
        <v>#REF!</v>
      </c>
      <c r="AA545" t="e">
        <f ca="1">IF(A545="","",IF(E545="","",#REF!))</f>
        <v>#REF!</v>
      </c>
      <c r="AB545" t="e">
        <f ca="1">IF(A545="","",IF(E545="","",#REF!))</f>
        <v>#REF!</v>
      </c>
      <c r="AC545" t="e">
        <f t="shared" ca="1" si="50"/>
        <v>#REF!</v>
      </c>
    </row>
    <row r="546" spans="1:29" x14ac:dyDescent="0.35">
      <c r="A546" t="e" cm="1">
        <f t="array" aca="1" ref="A546" ca="1">IF(A545="","",IF(OR(AND(A545+1&gt;=$AF$1,A545+1&lt;=$AF$2),AND(A545+1&gt;=$AF$6,A545+1&lt;=$AF$7),AND(A545+1&gt;=$AF$3,A545+1&lt;=$AF$4),AND(A545+1&gt;=$AF$8,A545+1&lt;=$AF$9),A545+1=$AF$5),IF(NOT(ISBLANK(INDIRECT("template!"&amp;"P"&amp;A545+1))),A545+1,IF(NOT(ISBLANK(INDIRECT("template!"&amp;"P"&amp;A545+2))),A545+2,A545+3)),IF(A545=$AF$2,$AF$3,IF(A545=$AF$4,$AF$5,IF(A545=$AF$5,$AF$6,IF(A545=$AF$7,$AF$8,""))))))</f>
        <v>#REF!</v>
      </c>
      <c r="B546" t="e">
        <f t="shared" ca="1" si="45"/>
        <v>#REF!</v>
      </c>
      <c r="C546" t="e" cm="1">
        <f t="array" aca="1" ref="C546" ca="1">IF(A546="","",IF(B546="safety","safety costs",INDIRECT("template!"&amp;"B"&amp;A546)))</f>
        <v>#REF!</v>
      </c>
      <c r="D546" t="e" cm="1">
        <f t="array" aca="1" ref="D546" ca="1">IF(OR(A546="",B546="safety"),"",INDIRECT("template!"&amp;"C"&amp;A546))</f>
        <v>#REF!</v>
      </c>
      <c r="E546" t="e" cm="1">
        <f t="array" aca="1" ref="E546" ca="1">IF(A546="","",IF(OR(A546=A545+1,A546=A545+2),E545,INDIRECT("template!"&amp;"D"&amp;A546-2)))</f>
        <v>#REF!</v>
      </c>
      <c r="F546" t="e" cm="1">
        <f t="array" aca="1" ref="F546" ca="1">IF(OR(A546="",B546="safety"),"",IF(ISBLANK(IF(A546=A545+1,F545,INDIRECT("template!"&amp;"D"&amp;A546-1))),"",IF(A546=A545+1,F545,INDIRECT("template!"&amp;"D"&amp;A546-1))))</f>
        <v>#REF!</v>
      </c>
      <c r="G546" t="e" cm="1">
        <f t="array" aca="1" ref="G546" ca="1">IF(OR(A546="",B546="safety"),"",IF(ISBLANK(INDIRECT("template!"&amp;"D"&amp;A546)),"",INDIRECT("template!"&amp;"D"&amp;A546)))</f>
        <v>#REF!</v>
      </c>
      <c r="H546" t="e" cm="1">
        <f t="array" aca="1" ref="H546" ca="1">IF(OR(A546="",B546="safety"),"",IF(ISBLANK(INDIRECT("template!"&amp;"E"&amp;A546)),"",INDIRECT("template!"&amp;"E"&amp;A546)))</f>
        <v>#REF!</v>
      </c>
      <c r="I546" t="e" cm="1">
        <f t="array" aca="1" ref="I546" ca="1">IF(OR(A546="",B546="safety"),"",IF(ISBLANK(INDIRECT("template!"&amp;"F"&amp;A546)),"",INDIRECT("template!"&amp;"F"&amp;A546)))</f>
        <v>#REF!</v>
      </c>
      <c r="J546" t="e" cm="1">
        <f t="array" aca="1" ref="J546" ca="1">IF(OR(A546="",B546="safety"),"",IF(ISBLANK(INDIRECT("template!"&amp;"G"&amp;A546)),"",INDIRECT("template!"&amp;"G"&amp;A546)))</f>
        <v>#REF!</v>
      </c>
      <c r="K546" t="e" cm="1">
        <f t="array" aca="1" ref="K546" ca="1">IF(OR(A546="",B546="safety"),"",IF(ISBLANK(INDIRECT("template!"&amp;"H"&amp;A546)),"",INDIRECT("template!"&amp;"H"&amp;A546)))</f>
        <v>#REF!</v>
      </c>
      <c r="L546" t="e" cm="1">
        <f t="array" aca="1" ref="L546" ca="1">IF(OR(A546="",B546="safety"),"",INDIRECT("template!"&amp;"I"&amp;A546))</f>
        <v>#REF!</v>
      </c>
      <c r="M546" t="e" cm="1">
        <f t="array" aca="1" ref="M546" ca="1">IF(OR(A546="",B546="safety"),"",INDIRECT("template!"&amp;"J"&amp;A546))</f>
        <v>#REF!</v>
      </c>
      <c r="N546" t="e" cm="1">
        <f t="array" aca="1" ref="N546" ca="1">IF(OR(A546="",B546="safety"),"",IF(ISBLANK(INDIRECT("template!"&amp;"K"&amp;A546)),"",INDIRECT("template!"&amp;"K"&amp;A546)))</f>
        <v>#REF!</v>
      </c>
      <c r="O546" t="e" cm="1">
        <f t="array" aca="1" ref="O546" ca="1">IF(OR(A546="",B546="safety"),"",INDIRECT("template!"&amp;"L"&amp;A546))</f>
        <v>#REF!</v>
      </c>
      <c r="P546" t="e" cm="1">
        <f t="array" aca="1" ref="P546" ca="1">IF(OR(A546="",B546="safety"),"",INDIRECT("template!"&amp;"M"&amp;A546))</f>
        <v>#REF!</v>
      </c>
      <c r="Q546" t="e">
        <f t="shared" ca="1" si="46"/>
        <v>#REF!</v>
      </c>
      <c r="R546" t="e">
        <f t="shared" ca="1" si="47"/>
        <v>#REF!</v>
      </c>
      <c r="S546" t="e">
        <f t="shared" ca="1" si="48"/>
        <v>#REF!</v>
      </c>
      <c r="T546" t="e">
        <f t="shared" ca="1" si="49"/>
        <v>#REF!</v>
      </c>
      <c r="U546" t="e" cm="1">
        <f t="array" aca="1" ref="U546" ca="1">IF(A546="","",IF(E546="","",IF(B546="safety",INDIRECT("template!"&amp;"P"&amp;A546),Q546+R546)))</f>
        <v>#REF!</v>
      </c>
      <c r="V546" t="e" cm="1">
        <f t="array" aca="1" ref="V546" ca="1">IF(A546="","",IF(E546="","",IF(B546="safety",INDIRECT("template!"&amp;"P"&amp;A546),S546+T546)))</f>
        <v>#REF!</v>
      </c>
      <c r="W546" t="e">
        <f ca="1">IF(A546="","",IF(E546="","",#REF!))</f>
        <v>#REF!</v>
      </c>
      <c r="X546" t="e">
        <f ca="1">IF(A546="","",IF(E546="","",#REF!))</f>
        <v>#REF!</v>
      </c>
      <c r="Y546" s="39" t="e">
        <f ca="1">IF(A546="","",IF(E546="","",#REF!))</f>
        <v>#REF!</v>
      </c>
      <c r="Z546" t="e">
        <f ca="1">IF(A546="","",IF(E546="","",#REF!))</f>
        <v>#REF!</v>
      </c>
      <c r="AA546" t="e">
        <f ca="1">IF(A546="","",IF(E546="","",#REF!))</f>
        <v>#REF!</v>
      </c>
      <c r="AB546" t="e">
        <f ca="1">IF(A546="","",IF(E546="","",#REF!))</f>
        <v>#REF!</v>
      </c>
      <c r="AC546" t="e">
        <f t="shared" ca="1" si="50"/>
        <v>#REF!</v>
      </c>
    </row>
    <row r="547" spans="1:29" x14ac:dyDescent="0.35">
      <c r="A547" t="e" cm="1">
        <f t="array" aca="1" ref="A547" ca="1">IF(A546="","",IF(OR(AND(A546+1&gt;=$AF$1,A546+1&lt;=$AF$2),AND(A546+1&gt;=$AF$6,A546+1&lt;=$AF$7),AND(A546+1&gt;=$AF$3,A546+1&lt;=$AF$4),AND(A546+1&gt;=$AF$8,A546+1&lt;=$AF$9),A546+1=$AF$5),IF(NOT(ISBLANK(INDIRECT("template!"&amp;"P"&amp;A546+1))),A546+1,IF(NOT(ISBLANK(INDIRECT("template!"&amp;"P"&amp;A546+2))),A546+2,A546+3)),IF(A546=$AF$2,$AF$3,IF(A546=$AF$4,$AF$5,IF(A546=$AF$5,$AF$6,IF(A546=$AF$7,$AF$8,""))))))</f>
        <v>#REF!</v>
      </c>
      <c r="B547" t="e">
        <f t="shared" ca="1" si="45"/>
        <v>#REF!</v>
      </c>
      <c r="C547" t="e" cm="1">
        <f t="array" aca="1" ref="C547" ca="1">IF(A547="","",IF(B547="safety","safety costs",INDIRECT("template!"&amp;"B"&amp;A547)))</f>
        <v>#REF!</v>
      </c>
      <c r="D547" t="e" cm="1">
        <f t="array" aca="1" ref="D547" ca="1">IF(OR(A547="",B547="safety"),"",INDIRECT("template!"&amp;"C"&amp;A547))</f>
        <v>#REF!</v>
      </c>
      <c r="E547" t="e" cm="1">
        <f t="array" aca="1" ref="E547" ca="1">IF(A547="","",IF(OR(A547=A546+1,A547=A546+2),E546,INDIRECT("template!"&amp;"D"&amp;A547-2)))</f>
        <v>#REF!</v>
      </c>
      <c r="F547" t="e" cm="1">
        <f t="array" aca="1" ref="F547" ca="1">IF(OR(A547="",B547="safety"),"",IF(ISBLANK(IF(A547=A546+1,F546,INDIRECT("template!"&amp;"D"&amp;A547-1))),"",IF(A547=A546+1,F546,INDIRECT("template!"&amp;"D"&amp;A547-1))))</f>
        <v>#REF!</v>
      </c>
      <c r="G547" t="e" cm="1">
        <f t="array" aca="1" ref="G547" ca="1">IF(OR(A547="",B547="safety"),"",IF(ISBLANK(INDIRECT("template!"&amp;"D"&amp;A547)),"",INDIRECT("template!"&amp;"D"&amp;A547)))</f>
        <v>#REF!</v>
      </c>
      <c r="H547" t="e" cm="1">
        <f t="array" aca="1" ref="H547" ca="1">IF(OR(A547="",B547="safety"),"",IF(ISBLANK(INDIRECT("template!"&amp;"E"&amp;A547)),"",INDIRECT("template!"&amp;"E"&amp;A547)))</f>
        <v>#REF!</v>
      </c>
      <c r="I547" t="e" cm="1">
        <f t="array" aca="1" ref="I547" ca="1">IF(OR(A547="",B547="safety"),"",IF(ISBLANK(INDIRECT("template!"&amp;"F"&amp;A547)),"",INDIRECT("template!"&amp;"F"&amp;A547)))</f>
        <v>#REF!</v>
      </c>
      <c r="J547" t="e" cm="1">
        <f t="array" aca="1" ref="J547" ca="1">IF(OR(A547="",B547="safety"),"",IF(ISBLANK(INDIRECT("template!"&amp;"G"&amp;A547)),"",INDIRECT("template!"&amp;"G"&amp;A547)))</f>
        <v>#REF!</v>
      </c>
      <c r="K547" t="e" cm="1">
        <f t="array" aca="1" ref="K547" ca="1">IF(OR(A547="",B547="safety"),"",IF(ISBLANK(INDIRECT("template!"&amp;"H"&amp;A547)),"",INDIRECT("template!"&amp;"H"&amp;A547)))</f>
        <v>#REF!</v>
      </c>
      <c r="L547" t="e" cm="1">
        <f t="array" aca="1" ref="L547" ca="1">IF(OR(A547="",B547="safety"),"",INDIRECT("template!"&amp;"I"&amp;A547))</f>
        <v>#REF!</v>
      </c>
      <c r="M547" t="e" cm="1">
        <f t="array" aca="1" ref="M547" ca="1">IF(OR(A547="",B547="safety"),"",INDIRECT("template!"&amp;"J"&amp;A547))</f>
        <v>#REF!</v>
      </c>
      <c r="N547" t="e" cm="1">
        <f t="array" aca="1" ref="N547" ca="1">IF(OR(A547="",B547="safety"),"",IF(ISBLANK(INDIRECT("template!"&amp;"K"&amp;A547)),"",INDIRECT("template!"&amp;"K"&amp;A547)))</f>
        <v>#REF!</v>
      </c>
      <c r="O547" t="e" cm="1">
        <f t="array" aca="1" ref="O547" ca="1">IF(OR(A547="",B547="safety"),"",INDIRECT("template!"&amp;"L"&amp;A547))</f>
        <v>#REF!</v>
      </c>
      <c r="P547" t="e" cm="1">
        <f t="array" aca="1" ref="P547" ca="1">IF(OR(A547="",B547="safety"),"",INDIRECT("template!"&amp;"M"&amp;A547))</f>
        <v>#REF!</v>
      </c>
      <c r="Q547" t="e">
        <f t="shared" ca="1" si="46"/>
        <v>#REF!</v>
      </c>
      <c r="R547" t="e">
        <f t="shared" ca="1" si="47"/>
        <v>#REF!</v>
      </c>
      <c r="S547" t="e">
        <f t="shared" ca="1" si="48"/>
        <v>#REF!</v>
      </c>
      <c r="T547" t="e">
        <f t="shared" ca="1" si="49"/>
        <v>#REF!</v>
      </c>
      <c r="U547" t="e" cm="1">
        <f t="array" aca="1" ref="U547" ca="1">IF(A547="","",IF(E547="","",IF(B547="safety",INDIRECT("template!"&amp;"P"&amp;A547),Q547+R547)))</f>
        <v>#REF!</v>
      </c>
      <c r="V547" t="e" cm="1">
        <f t="array" aca="1" ref="V547" ca="1">IF(A547="","",IF(E547="","",IF(B547="safety",INDIRECT("template!"&amp;"P"&amp;A547),S547+T547)))</f>
        <v>#REF!</v>
      </c>
      <c r="W547" t="e">
        <f ca="1">IF(A547="","",IF(E547="","",#REF!))</f>
        <v>#REF!</v>
      </c>
      <c r="X547" t="e">
        <f ca="1">IF(A547="","",IF(E547="","",#REF!))</f>
        <v>#REF!</v>
      </c>
      <c r="Y547" s="39" t="e">
        <f ca="1">IF(A547="","",IF(E547="","",#REF!))</f>
        <v>#REF!</v>
      </c>
      <c r="Z547" t="e">
        <f ca="1">IF(A547="","",IF(E547="","",#REF!))</f>
        <v>#REF!</v>
      </c>
      <c r="AA547" t="e">
        <f ca="1">IF(A547="","",IF(E547="","",#REF!))</f>
        <v>#REF!</v>
      </c>
      <c r="AB547" t="e">
        <f ca="1">IF(A547="","",IF(E547="","",#REF!))</f>
        <v>#REF!</v>
      </c>
      <c r="AC547" t="e">
        <f t="shared" ca="1" si="50"/>
        <v>#REF!</v>
      </c>
    </row>
    <row r="548" spans="1:29" x14ac:dyDescent="0.35">
      <c r="A548" t="e" cm="1">
        <f t="array" aca="1" ref="A548" ca="1">IF(A547="","",IF(OR(AND(A547+1&gt;=$AF$1,A547+1&lt;=$AF$2),AND(A547+1&gt;=$AF$6,A547+1&lt;=$AF$7),AND(A547+1&gt;=$AF$3,A547+1&lt;=$AF$4),AND(A547+1&gt;=$AF$8,A547+1&lt;=$AF$9),A547+1=$AF$5),IF(NOT(ISBLANK(INDIRECT("template!"&amp;"P"&amp;A547+1))),A547+1,IF(NOT(ISBLANK(INDIRECT("template!"&amp;"P"&amp;A547+2))),A547+2,A547+3)),IF(A547=$AF$2,$AF$3,IF(A547=$AF$4,$AF$5,IF(A547=$AF$5,$AF$6,IF(A547=$AF$7,$AF$8,""))))))</f>
        <v>#REF!</v>
      </c>
      <c r="B548" t="e">
        <f t="shared" ca="1" si="45"/>
        <v>#REF!</v>
      </c>
      <c r="C548" t="e" cm="1">
        <f t="array" aca="1" ref="C548" ca="1">IF(A548="","",IF(B548="safety","safety costs",INDIRECT("template!"&amp;"B"&amp;A548)))</f>
        <v>#REF!</v>
      </c>
      <c r="D548" t="e" cm="1">
        <f t="array" aca="1" ref="D548" ca="1">IF(OR(A548="",B548="safety"),"",INDIRECT("template!"&amp;"C"&amp;A548))</f>
        <v>#REF!</v>
      </c>
      <c r="E548" t="e" cm="1">
        <f t="array" aca="1" ref="E548" ca="1">IF(A548="","",IF(OR(A548=A547+1,A548=A547+2),E547,INDIRECT("template!"&amp;"D"&amp;A548-2)))</f>
        <v>#REF!</v>
      </c>
      <c r="F548" t="e" cm="1">
        <f t="array" aca="1" ref="F548" ca="1">IF(OR(A548="",B548="safety"),"",IF(ISBLANK(IF(A548=A547+1,F547,INDIRECT("template!"&amp;"D"&amp;A548-1))),"",IF(A548=A547+1,F547,INDIRECT("template!"&amp;"D"&amp;A548-1))))</f>
        <v>#REF!</v>
      </c>
      <c r="G548" t="e" cm="1">
        <f t="array" aca="1" ref="G548" ca="1">IF(OR(A548="",B548="safety"),"",IF(ISBLANK(INDIRECT("template!"&amp;"D"&amp;A548)),"",INDIRECT("template!"&amp;"D"&amp;A548)))</f>
        <v>#REF!</v>
      </c>
      <c r="H548" t="e" cm="1">
        <f t="array" aca="1" ref="H548" ca="1">IF(OR(A548="",B548="safety"),"",IF(ISBLANK(INDIRECT("template!"&amp;"E"&amp;A548)),"",INDIRECT("template!"&amp;"E"&amp;A548)))</f>
        <v>#REF!</v>
      </c>
      <c r="I548" t="e" cm="1">
        <f t="array" aca="1" ref="I548" ca="1">IF(OR(A548="",B548="safety"),"",IF(ISBLANK(INDIRECT("template!"&amp;"F"&amp;A548)),"",INDIRECT("template!"&amp;"F"&amp;A548)))</f>
        <v>#REF!</v>
      </c>
      <c r="J548" t="e" cm="1">
        <f t="array" aca="1" ref="J548" ca="1">IF(OR(A548="",B548="safety"),"",IF(ISBLANK(INDIRECT("template!"&amp;"G"&amp;A548)),"",INDIRECT("template!"&amp;"G"&amp;A548)))</f>
        <v>#REF!</v>
      </c>
      <c r="K548" t="e" cm="1">
        <f t="array" aca="1" ref="K548" ca="1">IF(OR(A548="",B548="safety"),"",IF(ISBLANK(INDIRECT("template!"&amp;"H"&amp;A548)),"",INDIRECT("template!"&amp;"H"&amp;A548)))</f>
        <v>#REF!</v>
      </c>
      <c r="L548" t="e" cm="1">
        <f t="array" aca="1" ref="L548" ca="1">IF(OR(A548="",B548="safety"),"",INDIRECT("template!"&amp;"I"&amp;A548))</f>
        <v>#REF!</v>
      </c>
      <c r="M548" t="e" cm="1">
        <f t="array" aca="1" ref="M548" ca="1">IF(OR(A548="",B548="safety"),"",INDIRECT("template!"&amp;"J"&amp;A548))</f>
        <v>#REF!</v>
      </c>
      <c r="N548" t="e" cm="1">
        <f t="array" aca="1" ref="N548" ca="1">IF(OR(A548="",B548="safety"),"",IF(ISBLANK(INDIRECT("template!"&amp;"K"&amp;A548)),"",INDIRECT("template!"&amp;"K"&amp;A548)))</f>
        <v>#REF!</v>
      </c>
      <c r="O548" t="e" cm="1">
        <f t="array" aca="1" ref="O548" ca="1">IF(OR(A548="",B548="safety"),"",INDIRECT("template!"&amp;"L"&amp;A548))</f>
        <v>#REF!</v>
      </c>
      <c r="P548" t="e" cm="1">
        <f t="array" aca="1" ref="P548" ca="1">IF(OR(A548="",B548="safety"),"",INDIRECT("template!"&amp;"M"&amp;A548))</f>
        <v>#REF!</v>
      </c>
      <c r="Q548" t="e">
        <f t="shared" ca="1" si="46"/>
        <v>#REF!</v>
      </c>
      <c r="R548" t="e">
        <f t="shared" ca="1" si="47"/>
        <v>#REF!</v>
      </c>
      <c r="S548" t="e">
        <f t="shared" ca="1" si="48"/>
        <v>#REF!</v>
      </c>
      <c r="T548" t="e">
        <f t="shared" ca="1" si="49"/>
        <v>#REF!</v>
      </c>
      <c r="U548" t="e" cm="1">
        <f t="array" aca="1" ref="U548" ca="1">IF(A548="","",IF(E548="","",IF(B548="safety",INDIRECT("template!"&amp;"P"&amp;A548),Q548+R548)))</f>
        <v>#REF!</v>
      </c>
      <c r="V548" t="e" cm="1">
        <f t="array" aca="1" ref="V548" ca="1">IF(A548="","",IF(E548="","",IF(B548="safety",INDIRECT("template!"&amp;"P"&amp;A548),S548+T548)))</f>
        <v>#REF!</v>
      </c>
      <c r="W548" t="e">
        <f ca="1">IF(A548="","",IF(E548="","",#REF!))</f>
        <v>#REF!</v>
      </c>
      <c r="X548" t="e">
        <f ca="1">IF(A548="","",IF(E548="","",#REF!))</f>
        <v>#REF!</v>
      </c>
      <c r="Y548" s="39" t="e">
        <f ca="1">IF(A548="","",IF(E548="","",#REF!))</f>
        <v>#REF!</v>
      </c>
      <c r="Z548" t="e">
        <f ca="1">IF(A548="","",IF(E548="","",#REF!))</f>
        <v>#REF!</v>
      </c>
      <c r="AA548" t="e">
        <f ca="1">IF(A548="","",IF(E548="","",#REF!))</f>
        <v>#REF!</v>
      </c>
      <c r="AB548" t="e">
        <f ca="1">IF(A548="","",IF(E548="","",#REF!))</f>
        <v>#REF!</v>
      </c>
      <c r="AC548" t="e">
        <f t="shared" ca="1" si="50"/>
        <v>#REF!</v>
      </c>
    </row>
    <row r="549" spans="1:29" x14ac:dyDescent="0.35">
      <c r="A549" t="e" cm="1">
        <f t="array" aca="1" ref="A549" ca="1">IF(A548="","",IF(OR(AND(A548+1&gt;=$AF$1,A548+1&lt;=$AF$2),AND(A548+1&gt;=$AF$6,A548+1&lt;=$AF$7),AND(A548+1&gt;=$AF$3,A548+1&lt;=$AF$4),AND(A548+1&gt;=$AF$8,A548+1&lt;=$AF$9),A548+1=$AF$5),IF(NOT(ISBLANK(INDIRECT("template!"&amp;"P"&amp;A548+1))),A548+1,IF(NOT(ISBLANK(INDIRECT("template!"&amp;"P"&amp;A548+2))),A548+2,A548+3)),IF(A548=$AF$2,$AF$3,IF(A548=$AF$4,$AF$5,IF(A548=$AF$5,$AF$6,IF(A548=$AF$7,$AF$8,""))))))</f>
        <v>#REF!</v>
      </c>
      <c r="B549" t="e">
        <f t="shared" ca="1" si="45"/>
        <v>#REF!</v>
      </c>
      <c r="C549" t="e" cm="1">
        <f t="array" aca="1" ref="C549" ca="1">IF(A549="","",IF(B549="safety","safety costs",INDIRECT("template!"&amp;"B"&amp;A549)))</f>
        <v>#REF!</v>
      </c>
      <c r="D549" t="e" cm="1">
        <f t="array" aca="1" ref="D549" ca="1">IF(OR(A549="",B549="safety"),"",INDIRECT("template!"&amp;"C"&amp;A549))</f>
        <v>#REF!</v>
      </c>
      <c r="E549" t="e" cm="1">
        <f t="array" aca="1" ref="E549" ca="1">IF(A549="","",IF(OR(A549=A548+1,A549=A548+2),E548,INDIRECT("template!"&amp;"D"&amp;A549-2)))</f>
        <v>#REF!</v>
      </c>
      <c r="F549" t="e" cm="1">
        <f t="array" aca="1" ref="F549" ca="1">IF(OR(A549="",B549="safety"),"",IF(ISBLANK(IF(A549=A548+1,F548,INDIRECT("template!"&amp;"D"&amp;A549-1))),"",IF(A549=A548+1,F548,INDIRECT("template!"&amp;"D"&amp;A549-1))))</f>
        <v>#REF!</v>
      </c>
      <c r="G549" t="e" cm="1">
        <f t="array" aca="1" ref="G549" ca="1">IF(OR(A549="",B549="safety"),"",IF(ISBLANK(INDIRECT("template!"&amp;"D"&amp;A549)),"",INDIRECT("template!"&amp;"D"&amp;A549)))</f>
        <v>#REF!</v>
      </c>
      <c r="H549" t="e" cm="1">
        <f t="array" aca="1" ref="H549" ca="1">IF(OR(A549="",B549="safety"),"",IF(ISBLANK(INDIRECT("template!"&amp;"E"&amp;A549)),"",INDIRECT("template!"&amp;"E"&amp;A549)))</f>
        <v>#REF!</v>
      </c>
      <c r="I549" t="e" cm="1">
        <f t="array" aca="1" ref="I549" ca="1">IF(OR(A549="",B549="safety"),"",IF(ISBLANK(INDIRECT("template!"&amp;"F"&amp;A549)),"",INDIRECT("template!"&amp;"F"&amp;A549)))</f>
        <v>#REF!</v>
      </c>
      <c r="J549" t="e" cm="1">
        <f t="array" aca="1" ref="J549" ca="1">IF(OR(A549="",B549="safety"),"",IF(ISBLANK(INDIRECT("template!"&amp;"G"&amp;A549)),"",INDIRECT("template!"&amp;"G"&amp;A549)))</f>
        <v>#REF!</v>
      </c>
      <c r="K549" t="e" cm="1">
        <f t="array" aca="1" ref="K549" ca="1">IF(OR(A549="",B549="safety"),"",IF(ISBLANK(INDIRECT("template!"&amp;"H"&amp;A549)),"",INDIRECT("template!"&amp;"H"&amp;A549)))</f>
        <v>#REF!</v>
      </c>
      <c r="L549" t="e" cm="1">
        <f t="array" aca="1" ref="L549" ca="1">IF(OR(A549="",B549="safety"),"",INDIRECT("template!"&amp;"I"&amp;A549))</f>
        <v>#REF!</v>
      </c>
      <c r="M549" t="e" cm="1">
        <f t="array" aca="1" ref="M549" ca="1">IF(OR(A549="",B549="safety"),"",INDIRECT("template!"&amp;"J"&amp;A549))</f>
        <v>#REF!</v>
      </c>
      <c r="N549" t="e" cm="1">
        <f t="array" aca="1" ref="N549" ca="1">IF(OR(A549="",B549="safety"),"",IF(ISBLANK(INDIRECT("template!"&amp;"K"&amp;A549)),"",INDIRECT("template!"&amp;"K"&amp;A549)))</f>
        <v>#REF!</v>
      </c>
      <c r="O549" t="e" cm="1">
        <f t="array" aca="1" ref="O549" ca="1">IF(OR(A549="",B549="safety"),"",INDIRECT("template!"&amp;"L"&amp;A549))</f>
        <v>#REF!</v>
      </c>
      <c r="P549" t="e" cm="1">
        <f t="array" aca="1" ref="P549" ca="1">IF(OR(A549="",B549="safety"),"",INDIRECT("template!"&amp;"M"&amp;A549))</f>
        <v>#REF!</v>
      </c>
      <c r="Q549" t="e">
        <f t="shared" ca="1" si="46"/>
        <v>#REF!</v>
      </c>
      <c r="R549" t="e">
        <f t="shared" ca="1" si="47"/>
        <v>#REF!</v>
      </c>
      <c r="S549" t="e">
        <f t="shared" ca="1" si="48"/>
        <v>#REF!</v>
      </c>
      <c r="T549" t="e">
        <f t="shared" ca="1" si="49"/>
        <v>#REF!</v>
      </c>
      <c r="U549" t="e" cm="1">
        <f t="array" aca="1" ref="U549" ca="1">IF(A549="","",IF(E549="","",IF(B549="safety",INDIRECT("template!"&amp;"P"&amp;A549),Q549+R549)))</f>
        <v>#REF!</v>
      </c>
      <c r="V549" t="e" cm="1">
        <f t="array" aca="1" ref="V549" ca="1">IF(A549="","",IF(E549="","",IF(B549="safety",INDIRECT("template!"&amp;"P"&amp;A549),S549+T549)))</f>
        <v>#REF!</v>
      </c>
      <c r="W549" t="e">
        <f ca="1">IF(A549="","",IF(E549="","",#REF!))</f>
        <v>#REF!</v>
      </c>
      <c r="X549" t="e">
        <f ca="1">IF(A549="","",IF(E549="","",#REF!))</f>
        <v>#REF!</v>
      </c>
      <c r="Y549" s="39" t="e">
        <f ca="1">IF(A549="","",IF(E549="","",#REF!))</f>
        <v>#REF!</v>
      </c>
      <c r="Z549" t="e">
        <f ca="1">IF(A549="","",IF(E549="","",#REF!))</f>
        <v>#REF!</v>
      </c>
      <c r="AA549" t="e">
        <f ca="1">IF(A549="","",IF(E549="","",#REF!))</f>
        <v>#REF!</v>
      </c>
      <c r="AB549" t="e">
        <f ca="1">IF(A549="","",IF(E549="","",#REF!))</f>
        <v>#REF!</v>
      </c>
      <c r="AC549" t="e">
        <f t="shared" ca="1" si="50"/>
        <v>#REF!</v>
      </c>
    </row>
    <row r="550" spans="1:29" x14ac:dyDescent="0.35">
      <c r="A550" t="e" cm="1">
        <f t="array" aca="1" ref="A550" ca="1">IF(A549="","",IF(OR(AND(A549+1&gt;=$AF$1,A549+1&lt;=$AF$2),AND(A549+1&gt;=$AF$6,A549+1&lt;=$AF$7),AND(A549+1&gt;=$AF$3,A549+1&lt;=$AF$4),AND(A549+1&gt;=$AF$8,A549+1&lt;=$AF$9),A549+1=$AF$5),IF(NOT(ISBLANK(INDIRECT("template!"&amp;"P"&amp;A549+1))),A549+1,IF(NOT(ISBLANK(INDIRECT("template!"&amp;"P"&amp;A549+2))),A549+2,A549+3)),IF(A549=$AF$2,$AF$3,IF(A549=$AF$4,$AF$5,IF(A549=$AF$5,$AF$6,IF(A549=$AF$7,$AF$8,""))))))</f>
        <v>#REF!</v>
      </c>
      <c r="B550" t="e">
        <f t="shared" ca="1" si="45"/>
        <v>#REF!</v>
      </c>
      <c r="C550" t="e" cm="1">
        <f t="array" aca="1" ref="C550" ca="1">IF(A550="","",IF(B550="safety","safety costs",INDIRECT("template!"&amp;"B"&amp;A550)))</f>
        <v>#REF!</v>
      </c>
      <c r="D550" t="e" cm="1">
        <f t="array" aca="1" ref="D550" ca="1">IF(OR(A550="",B550="safety"),"",INDIRECT("template!"&amp;"C"&amp;A550))</f>
        <v>#REF!</v>
      </c>
      <c r="E550" t="e" cm="1">
        <f t="array" aca="1" ref="E550" ca="1">IF(A550="","",IF(OR(A550=A549+1,A550=A549+2),E549,INDIRECT("template!"&amp;"D"&amp;A550-2)))</f>
        <v>#REF!</v>
      </c>
      <c r="F550" t="e" cm="1">
        <f t="array" aca="1" ref="F550" ca="1">IF(OR(A550="",B550="safety"),"",IF(ISBLANK(IF(A550=A549+1,F549,INDIRECT("template!"&amp;"D"&amp;A550-1))),"",IF(A550=A549+1,F549,INDIRECT("template!"&amp;"D"&amp;A550-1))))</f>
        <v>#REF!</v>
      </c>
      <c r="G550" t="e" cm="1">
        <f t="array" aca="1" ref="G550" ca="1">IF(OR(A550="",B550="safety"),"",IF(ISBLANK(INDIRECT("template!"&amp;"D"&amp;A550)),"",INDIRECT("template!"&amp;"D"&amp;A550)))</f>
        <v>#REF!</v>
      </c>
      <c r="H550" t="e" cm="1">
        <f t="array" aca="1" ref="H550" ca="1">IF(OR(A550="",B550="safety"),"",IF(ISBLANK(INDIRECT("template!"&amp;"E"&amp;A550)),"",INDIRECT("template!"&amp;"E"&amp;A550)))</f>
        <v>#REF!</v>
      </c>
      <c r="I550" t="e" cm="1">
        <f t="array" aca="1" ref="I550" ca="1">IF(OR(A550="",B550="safety"),"",IF(ISBLANK(INDIRECT("template!"&amp;"F"&amp;A550)),"",INDIRECT("template!"&amp;"F"&amp;A550)))</f>
        <v>#REF!</v>
      </c>
      <c r="J550" t="e" cm="1">
        <f t="array" aca="1" ref="J550" ca="1">IF(OR(A550="",B550="safety"),"",IF(ISBLANK(INDIRECT("template!"&amp;"G"&amp;A550)),"",INDIRECT("template!"&amp;"G"&amp;A550)))</f>
        <v>#REF!</v>
      </c>
      <c r="K550" t="e" cm="1">
        <f t="array" aca="1" ref="K550" ca="1">IF(OR(A550="",B550="safety"),"",IF(ISBLANK(INDIRECT("template!"&amp;"H"&amp;A550)),"",INDIRECT("template!"&amp;"H"&amp;A550)))</f>
        <v>#REF!</v>
      </c>
      <c r="L550" t="e" cm="1">
        <f t="array" aca="1" ref="L550" ca="1">IF(OR(A550="",B550="safety"),"",INDIRECT("template!"&amp;"I"&amp;A550))</f>
        <v>#REF!</v>
      </c>
      <c r="M550" t="e" cm="1">
        <f t="array" aca="1" ref="M550" ca="1">IF(OR(A550="",B550="safety"),"",INDIRECT("template!"&amp;"J"&amp;A550))</f>
        <v>#REF!</v>
      </c>
      <c r="N550" t="e" cm="1">
        <f t="array" aca="1" ref="N550" ca="1">IF(OR(A550="",B550="safety"),"",IF(ISBLANK(INDIRECT("template!"&amp;"K"&amp;A550)),"",INDIRECT("template!"&amp;"K"&amp;A550)))</f>
        <v>#REF!</v>
      </c>
      <c r="O550" t="e" cm="1">
        <f t="array" aca="1" ref="O550" ca="1">IF(OR(A550="",B550="safety"),"",INDIRECT("template!"&amp;"L"&amp;A550))</f>
        <v>#REF!</v>
      </c>
      <c r="P550" t="e" cm="1">
        <f t="array" aca="1" ref="P550" ca="1">IF(OR(A550="",B550="safety"),"",INDIRECT("template!"&amp;"M"&amp;A550))</f>
        <v>#REF!</v>
      </c>
      <c r="Q550" t="e">
        <f t="shared" ca="1" si="46"/>
        <v>#REF!</v>
      </c>
      <c r="R550" t="e">
        <f t="shared" ca="1" si="47"/>
        <v>#REF!</v>
      </c>
      <c r="S550" t="e">
        <f t="shared" ca="1" si="48"/>
        <v>#REF!</v>
      </c>
      <c r="T550" t="e">
        <f t="shared" ca="1" si="49"/>
        <v>#REF!</v>
      </c>
      <c r="U550" t="e" cm="1">
        <f t="array" aca="1" ref="U550" ca="1">IF(A550="","",IF(E550="","",IF(B550="safety",INDIRECT("template!"&amp;"P"&amp;A550),Q550+R550)))</f>
        <v>#REF!</v>
      </c>
      <c r="V550" t="e" cm="1">
        <f t="array" aca="1" ref="V550" ca="1">IF(A550="","",IF(E550="","",IF(B550="safety",INDIRECT("template!"&amp;"P"&amp;A550),S550+T550)))</f>
        <v>#REF!</v>
      </c>
      <c r="W550" t="e">
        <f ca="1">IF(A550="","",IF(E550="","",#REF!))</f>
        <v>#REF!</v>
      </c>
      <c r="X550" t="e">
        <f ca="1">IF(A550="","",IF(E550="","",#REF!))</f>
        <v>#REF!</v>
      </c>
      <c r="Y550" s="39" t="e">
        <f ca="1">IF(A550="","",IF(E550="","",#REF!))</f>
        <v>#REF!</v>
      </c>
      <c r="Z550" t="e">
        <f ca="1">IF(A550="","",IF(E550="","",#REF!))</f>
        <v>#REF!</v>
      </c>
      <c r="AA550" t="e">
        <f ca="1">IF(A550="","",IF(E550="","",#REF!))</f>
        <v>#REF!</v>
      </c>
      <c r="AB550" t="e">
        <f ca="1">IF(A550="","",IF(E550="","",#REF!))</f>
        <v>#REF!</v>
      </c>
      <c r="AC550" t="e">
        <f t="shared" ca="1" si="50"/>
        <v>#REF!</v>
      </c>
    </row>
    <row r="551" spans="1:29" x14ac:dyDescent="0.35">
      <c r="A551" t="e" cm="1">
        <f t="array" aca="1" ref="A551" ca="1">IF(A550="","",IF(OR(AND(A550+1&gt;=$AF$1,A550+1&lt;=$AF$2),AND(A550+1&gt;=$AF$6,A550+1&lt;=$AF$7),AND(A550+1&gt;=$AF$3,A550+1&lt;=$AF$4),AND(A550+1&gt;=$AF$8,A550+1&lt;=$AF$9),A550+1=$AF$5),IF(NOT(ISBLANK(INDIRECT("template!"&amp;"P"&amp;A550+1))),A550+1,IF(NOT(ISBLANK(INDIRECT("template!"&amp;"P"&amp;A550+2))),A550+2,A550+3)),IF(A550=$AF$2,$AF$3,IF(A550=$AF$4,$AF$5,IF(A550=$AF$5,$AF$6,IF(A550=$AF$7,$AF$8,""))))))</f>
        <v>#REF!</v>
      </c>
      <c r="B551" t="e">
        <f t="shared" ca="1" si="45"/>
        <v>#REF!</v>
      </c>
      <c r="C551" t="e" cm="1">
        <f t="array" aca="1" ref="C551" ca="1">IF(A551="","",IF(B551="safety","safety costs",INDIRECT("template!"&amp;"B"&amp;A551)))</f>
        <v>#REF!</v>
      </c>
      <c r="D551" t="e" cm="1">
        <f t="array" aca="1" ref="D551" ca="1">IF(OR(A551="",B551="safety"),"",INDIRECT("template!"&amp;"C"&amp;A551))</f>
        <v>#REF!</v>
      </c>
      <c r="E551" t="e" cm="1">
        <f t="array" aca="1" ref="E551" ca="1">IF(A551="","",IF(OR(A551=A550+1,A551=A550+2),E550,INDIRECT("template!"&amp;"D"&amp;A551-2)))</f>
        <v>#REF!</v>
      </c>
      <c r="F551" t="e" cm="1">
        <f t="array" aca="1" ref="F551" ca="1">IF(OR(A551="",B551="safety"),"",IF(ISBLANK(IF(A551=A550+1,F550,INDIRECT("template!"&amp;"D"&amp;A551-1))),"",IF(A551=A550+1,F550,INDIRECT("template!"&amp;"D"&amp;A551-1))))</f>
        <v>#REF!</v>
      </c>
      <c r="G551" t="e" cm="1">
        <f t="array" aca="1" ref="G551" ca="1">IF(OR(A551="",B551="safety"),"",IF(ISBLANK(INDIRECT("template!"&amp;"D"&amp;A551)),"",INDIRECT("template!"&amp;"D"&amp;A551)))</f>
        <v>#REF!</v>
      </c>
      <c r="H551" t="e" cm="1">
        <f t="array" aca="1" ref="H551" ca="1">IF(OR(A551="",B551="safety"),"",IF(ISBLANK(INDIRECT("template!"&amp;"E"&amp;A551)),"",INDIRECT("template!"&amp;"E"&amp;A551)))</f>
        <v>#REF!</v>
      </c>
      <c r="I551" t="e" cm="1">
        <f t="array" aca="1" ref="I551" ca="1">IF(OR(A551="",B551="safety"),"",IF(ISBLANK(INDIRECT("template!"&amp;"F"&amp;A551)),"",INDIRECT("template!"&amp;"F"&amp;A551)))</f>
        <v>#REF!</v>
      </c>
      <c r="J551" t="e" cm="1">
        <f t="array" aca="1" ref="J551" ca="1">IF(OR(A551="",B551="safety"),"",IF(ISBLANK(INDIRECT("template!"&amp;"G"&amp;A551)),"",INDIRECT("template!"&amp;"G"&amp;A551)))</f>
        <v>#REF!</v>
      </c>
      <c r="K551" t="e" cm="1">
        <f t="array" aca="1" ref="K551" ca="1">IF(OR(A551="",B551="safety"),"",IF(ISBLANK(INDIRECT("template!"&amp;"H"&amp;A551)),"",INDIRECT("template!"&amp;"H"&amp;A551)))</f>
        <v>#REF!</v>
      </c>
      <c r="L551" t="e" cm="1">
        <f t="array" aca="1" ref="L551" ca="1">IF(OR(A551="",B551="safety"),"",INDIRECT("template!"&amp;"I"&amp;A551))</f>
        <v>#REF!</v>
      </c>
      <c r="M551" t="e" cm="1">
        <f t="array" aca="1" ref="M551" ca="1">IF(OR(A551="",B551="safety"),"",INDIRECT("template!"&amp;"J"&amp;A551))</f>
        <v>#REF!</v>
      </c>
      <c r="N551" t="e" cm="1">
        <f t="array" aca="1" ref="N551" ca="1">IF(OR(A551="",B551="safety"),"",IF(ISBLANK(INDIRECT("template!"&amp;"K"&amp;A551)),"",INDIRECT("template!"&amp;"K"&amp;A551)))</f>
        <v>#REF!</v>
      </c>
      <c r="O551" t="e" cm="1">
        <f t="array" aca="1" ref="O551" ca="1">IF(OR(A551="",B551="safety"),"",INDIRECT("template!"&amp;"L"&amp;A551))</f>
        <v>#REF!</v>
      </c>
      <c r="P551" t="e" cm="1">
        <f t="array" aca="1" ref="P551" ca="1">IF(OR(A551="",B551="safety"),"",INDIRECT("template!"&amp;"M"&amp;A551))</f>
        <v>#REF!</v>
      </c>
      <c r="Q551" t="e">
        <f t="shared" ca="1" si="46"/>
        <v>#REF!</v>
      </c>
      <c r="R551" t="e">
        <f t="shared" ca="1" si="47"/>
        <v>#REF!</v>
      </c>
      <c r="S551" t="e">
        <f t="shared" ca="1" si="48"/>
        <v>#REF!</v>
      </c>
      <c r="T551" t="e">
        <f t="shared" ca="1" si="49"/>
        <v>#REF!</v>
      </c>
      <c r="U551" t="e" cm="1">
        <f t="array" aca="1" ref="U551" ca="1">IF(A551="","",IF(E551="","",IF(B551="safety",INDIRECT("template!"&amp;"P"&amp;A551),Q551+R551)))</f>
        <v>#REF!</v>
      </c>
      <c r="V551" t="e" cm="1">
        <f t="array" aca="1" ref="V551" ca="1">IF(A551="","",IF(E551="","",IF(B551="safety",INDIRECT("template!"&amp;"P"&amp;A551),S551+T551)))</f>
        <v>#REF!</v>
      </c>
      <c r="W551" t="e">
        <f ca="1">IF(A551="","",IF(E551="","",#REF!))</f>
        <v>#REF!</v>
      </c>
      <c r="X551" t="e">
        <f ca="1">IF(A551="","",IF(E551="","",#REF!))</f>
        <v>#REF!</v>
      </c>
      <c r="Y551" s="39" t="e">
        <f ca="1">IF(A551="","",IF(E551="","",#REF!))</f>
        <v>#REF!</v>
      </c>
      <c r="Z551" t="e">
        <f ca="1">IF(A551="","",IF(E551="","",#REF!))</f>
        <v>#REF!</v>
      </c>
      <c r="AA551" t="e">
        <f ca="1">IF(A551="","",IF(E551="","",#REF!))</f>
        <v>#REF!</v>
      </c>
      <c r="AB551" t="e">
        <f ca="1">IF(A551="","",IF(E551="","",#REF!))</f>
        <v>#REF!</v>
      </c>
      <c r="AC551" t="e">
        <f t="shared" ca="1" si="50"/>
        <v>#REF!</v>
      </c>
    </row>
    <row r="552" spans="1:29" x14ac:dyDescent="0.35">
      <c r="A552" t="e" cm="1">
        <f t="array" aca="1" ref="A552" ca="1">IF(A551="","",IF(OR(AND(A551+1&gt;=$AF$1,A551+1&lt;=$AF$2),AND(A551+1&gt;=$AF$6,A551+1&lt;=$AF$7),AND(A551+1&gt;=$AF$3,A551+1&lt;=$AF$4),AND(A551+1&gt;=$AF$8,A551+1&lt;=$AF$9),A551+1=$AF$5),IF(NOT(ISBLANK(INDIRECT("template!"&amp;"P"&amp;A551+1))),A551+1,IF(NOT(ISBLANK(INDIRECT("template!"&amp;"P"&amp;A551+2))),A551+2,A551+3)),IF(A551=$AF$2,$AF$3,IF(A551=$AF$4,$AF$5,IF(A551=$AF$5,$AF$6,IF(A551=$AF$7,$AF$8,""))))))</f>
        <v>#REF!</v>
      </c>
      <c r="B552" t="e">
        <f t="shared" ca="1" si="45"/>
        <v>#REF!</v>
      </c>
      <c r="C552" t="e" cm="1">
        <f t="array" aca="1" ref="C552" ca="1">IF(A552="","",IF(B552="safety","safety costs",INDIRECT("template!"&amp;"B"&amp;A552)))</f>
        <v>#REF!</v>
      </c>
      <c r="D552" t="e" cm="1">
        <f t="array" aca="1" ref="D552" ca="1">IF(OR(A552="",B552="safety"),"",INDIRECT("template!"&amp;"C"&amp;A552))</f>
        <v>#REF!</v>
      </c>
      <c r="E552" t="e" cm="1">
        <f t="array" aca="1" ref="E552" ca="1">IF(A552="","",IF(OR(A552=A551+1,A552=A551+2),E551,INDIRECT("template!"&amp;"D"&amp;A552-2)))</f>
        <v>#REF!</v>
      </c>
      <c r="F552" t="e" cm="1">
        <f t="array" aca="1" ref="F552" ca="1">IF(OR(A552="",B552="safety"),"",IF(ISBLANK(IF(A552=A551+1,F551,INDIRECT("template!"&amp;"D"&amp;A552-1))),"",IF(A552=A551+1,F551,INDIRECT("template!"&amp;"D"&amp;A552-1))))</f>
        <v>#REF!</v>
      </c>
      <c r="G552" t="e" cm="1">
        <f t="array" aca="1" ref="G552" ca="1">IF(OR(A552="",B552="safety"),"",IF(ISBLANK(INDIRECT("template!"&amp;"D"&amp;A552)),"",INDIRECT("template!"&amp;"D"&amp;A552)))</f>
        <v>#REF!</v>
      </c>
      <c r="H552" t="e" cm="1">
        <f t="array" aca="1" ref="H552" ca="1">IF(OR(A552="",B552="safety"),"",IF(ISBLANK(INDIRECT("template!"&amp;"E"&amp;A552)),"",INDIRECT("template!"&amp;"E"&amp;A552)))</f>
        <v>#REF!</v>
      </c>
      <c r="I552" t="e" cm="1">
        <f t="array" aca="1" ref="I552" ca="1">IF(OR(A552="",B552="safety"),"",IF(ISBLANK(INDIRECT("template!"&amp;"F"&amp;A552)),"",INDIRECT("template!"&amp;"F"&amp;A552)))</f>
        <v>#REF!</v>
      </c>
      <c r="J552" t="e" cm="1">
        <f t="array" aca="1" ref="J552" ca="1">IF(OR(A552="",B552="safety"),"",IF(ISBLANK(INDIRECT("template!"&amp;"G"&amp;A552)),"",INDIRECT("template!"&amp;"G"&amp;A552)))</f>
        <v>#REF!</v>
      </c>
      <c r="K552" t="e" cm="1">
        <f t="array" aca="1" ref="K552" ca="1">IF(OR(A552="",B552="safety"),"",IF(ISBLANK(INDIRECT("template!"&amp;"H"&amp;A552)),"",INDIRECT("template!"&amp;"H"&amp;A552)))</f>
        <v>#REF!</v>
      </c>
      <c r="L552" t="e" cm="1">
        <f t="array" aca="1" ref="L552" ca="1">IF(OR(A552="",B552="safety"),"",INDIRECT("template!"&amp;"I"&amp;A552))</f>
        <v>#REF!</v>
      </c>
      <c r="M552" t="e" cm="1">
        <f t="array" aca="1" ref="M552" ca="1">IF(OR(A552="",B552="safety"),"",INDIRECT("template!"&amp;"J"&amp;A552))</f>
        <v>#REF!</v>
      </c>
      <c r="N552" t="e" cm="1">
        <f t="array" aca="1" ref="N552" ca="1">IF(OR(A552="",B552="safety"),"",IF(ISBLANK(INDIRECT("template!"&amp;"K"&amp;A552)),"",INDIRECT("template!"&amp;"K"&amp;A552)))</f>
        <v>#REF!</v>
      </c>
      <c r="O552" t="e" cm="1">
        <f t="array" aca="1" ref="O552" ca="1">IF(OR(A552="",B552="safety"),"",INDIRECT("template!"&amp;"L"&amp;A552))</f>
        <v>#REF!</v>
      </c>
      <c r="P552" t="e" cm="1">
        <f t="array" aca="1" ref="P552" ca="1">IF(OR(A552="",B552="safety"),"",INDIRECT("template!"&amp;"M"&amp;A552))</f>
        <v>#REF!</v>
      </c>
      <c r="Q552" t="e">
        <f t="shared" ca="1" si="46"/>
        <v>#REF!</v>
      </c>
      <c r="R552" t="e">
        <f t="shared" ca="1" si="47"/>
        <v>#REF!</v>
      </c>
      <c r="S552" t="e">
        <f t="shared" ca="1" si="48"/>
        <v>#REF!</v>
      </c>
      <c r="T552" t="e">
        <f t="shared" ca="1" si="49"/>
        <v>#REF!</v>
      </c>
      <c r="U552" t="e" cm="1">
        <f t="array" aca="1" ref="U552" ca="1">IF(A552="","",IF(E552="","",IF(B552="safety",INDIRECT("template!"&amp;"P"&amp;A552),Q552+R552)))</f>
        <v>#REF!</v>
      </c>
      <c r="V552" t="e" cm="1">
        <f t="array" aca="1" ref="V552" ca="1">IF(A552="","",IF(E552="","",IF(B552="safety",INDIRECT("template!"&amp;"P"&amp;A552),S552+T552)))</f>
        <v>#REF!</v>
      </c>
      <c r="W552" t="e">
        <f ca="1">IF(A552="","",IF(E552="","",#REF!))</f>
        <v>#REF!</v>
      </c>
      <c r="X552" t="e">
        <f ca="1">IF(A552="","",IF(E552="","",#REF!))</f>
        <v>#REF!</v>
      </c>
      <c r="Y552" s="39" t="e">
        <f ca="1">IF(A552="","",IF(E552="","",#REF!))</f>
        <v>#REF!</v>
      </c>
      <c r="Z552" t="e">
        <f ca="1">IF(A552="","",IF(E552="","",#REF!))</f>
        <v>#REF!</v>
      </c>
      <c r="AA552" t="e">
        <f ca="1">IF(A552="","",IF(E552="","",#REF!))</f>
        <v>#REF!</v>
      </c>
      <c r="AB552" t="e">
        <f ca="1">IF(A552="","",IF(E552="","",#REF!))</f>
        <v>#REF!</v>
      </c>
      <c r="AC552" t="e">
        <f t="shared" ca="1" si="50"/>
        <v>#REF!</v>
      </c>
    </row>
    <row r="553" spans="1:29" x14ac:dyDescent="0.35">
      <c r="A553" t="e" cm="1">
        <f t="array" aca="1" ref="A553" ca="1">IF(A552="","",IF(OR(AND(A552+1&gt;=$AF$1,A552+1&lt;=$AF$2),AND(A552+1&gt;=$AF$6,A552+1&lt;=$AF$7),AND(A552+1&gt;=$AF$3,A552+1&lt;=$AF$4),AND(A552+1&gt;=$AF$8,A552+1&lt;=$AF$9),A552+1=$AF$5),IF(NOT(ISBLANK(INDIRECT("template!"&amp;"P"&amp;A552+1))),A552+1,IF(NOT(ISBLANK(INDIRECT("template!"&amp;"P"&amp;A552+2))),A552+2,A552+3)),IF(A552=$AF$2,$AF$3,IF(A552=$AF$4,$AF$5,IF(A552=$AF$5,$AF$6,IF(A552=$AF$7,$AF$8,""))))))</f>
        <v>#REF!</v>
      </c>
      <c r="B553" t="e">
        <f t="shared" ca="1" si="45"/>
        <v>#REF!</v>
      </c>
      <c r="C553" t="e" cm="1">
        <f t="array" aca="1" ref="C553" ca="1">IF(A553="","",IF(B553="safety","safety costs",INDIRECT("template!"&amp;"B"&amp;A553)))</f>
        <v>#REF!</v>
      </c>
      <c r="D553" t="e" cm="1">
        <f t="array" aca="1" ref="D553" ca="1">IF(OR(A553="",B553="safety"),"",INDIRECT("template!"&amp;"C"&amp;A553))</f>
        <v>#REF!</v>
      </c>
      <c r="E553" t="e" cm="1">
        <f t="array" aca="1" ref="E553" ca="1">IF(A553="","",IF(OR(A553=A552+1,A553=A552+2),E552,INDIRECT("template!"&amp;"D"&amp;A553-2)))</f>
        <v>#REF!</v>
      </c>
      <c r="F553" t="e" cm="1">
        <f t="array" aca="1" ref="F553" ca="1">IF(OR(A553="",B553="safety"),"",IF(ISBLANK(IF(A553=A552+1,F552,INDIRECT("template!"&amp;"D"&amp;A553-1))),"",IF(A553=A552+1,F552,INDIRECT("template!"&amp;"D"&amp;A553-1))))</f>
        <v>#REF!</v>
      </c>
      <c r="G553" t="e" cm="1">
        <f t="array" aca="1" ref="G553" ca="1">IF(OR(A553="",B553="safety"),"",IF(ISBLANK(INDIRECT("template!"&amp;"D"&amp;A553)),"",INDIRECT("template!"&amp;"D"&amp;A553)))</f>
        <v>#REF!</v>
      </c>
      <c r="H553" t="e" cm="1">
        <f t="array" aca="1" ref="H553" ca="1">IF(OR(A553="",B553="safety"),"",IF(ISBLANK(INDIRECT("template!"&amp;"E"&amp;A553)),"",INDIRECT("template!"&amp;"E"&amp;A553)))</f>
        <v>#REF!</v>
      </c>
      <c r="I553" t="e" cm="1">
        <f t="array" aca="1" ref="I553" ca="1">IF(OR(A553="",B553="safety"),"",IF(ISBLANK(INDIRECT("template!"&amp;"F"&amp;A553)),"",INDIRECT("template!"&amp;"F"&amp;A553)))</f>
        <v>#REF!</v>
      </c>
      <c r="J553" t="e" cm="1">
        <f t="array" aca="1" ref="J553" ca="1">IF(OR(A553="",B553="safety"),"",IF(ISBLANK(INDIRECT("template!"&amp;"G"&amp;A553)),"",INDIRECT("template!"&amp;"G"&amp;A553)))</f>
        <v>#REF!</v>
      </c>
      <c r="K553" t="e" cm="1">
        <f t="array" aca="1" ref="K553" ca="1">IF(OR(A553="",B553="safety"),"",IF(ISBLANK(INDIRECT("template!"&amp;"H"&amp;A553)),"",INDIRECT("template!"&amp;"H"&amp;A553)))</f>
        <v>#REF!</v>
      </c>
      <c r="L553" t="e" cm="1">
        <f t="array" aca="1" ref="L553" ca="1">IF(OR(A553="",B553="safety"),"",INDIRECT("template!"&amp;"I"&amp;A553))</f>
        <v>#REF!</v>
      </c>
      <c r="M553" t="e" cm="1">
        <f t="array" aca="1" ref="M553" ca="1">IF(OR(A553="",B553="safety"),"",INDIRECT("template!"&amp;"J"&amp;A553))</f>
        <v>#REF!</v>
      </c>
      <c r="N553" t="e" cm="1">
        <f t="array" aca="1" ref="N553" ca="1">IF(OR(A553="",B553="safety"),"",IF(ISBLANK(INDIRECT("template!"&amp;"K"&amp;A553)),"",INDIRECT("template!"&amp;"K"&amp;A553)))</f>
        <v>#REF!</v>
      </c>
      <c r="O553" t="e" cm="1">
        <f t="array" aca="1" ref="O553" ca="1">IF(OR(A553="",B553="safety"),"",INDIRECT("template!"&amp;"L"&amp;A553))</f>
        <v>#REF!</v>
      </c>
      <c r="P553" t="e" cm="1">
        <f t="array" aca="1" ref="P553" ca="1">IF(OR(A553="",B553="safety"),"",INDIRECT("template!"&amp;"M"&amp;A553))</f>
        <v>#REF!</v>
      </c>
      <c r="Q553" t="e">
        <f t="shared" ca="1" si="46"/>
        <v>#REF!</v>
      </c>
      <c r="R553" t="e">
        <f t="shared" ca="1" si="47"/>
        <v>#REF!</v>
      </c>
      <c r="S553" t="e">
        <f t="shared" ca="1" si="48"/>
        <v>#REF!</v>
      </c>
      <c r="T553" t="e">
        <f t="shared" ca="1" si="49"/>
        <v>#REF!</v>
      </c>
      <c r="U553" t="e" cm="1">
        <f t="array" aca="1" ref="U553" ca="1">IF(A553="","",IF(E553="","",IF(B553="safety",INDIRECT("template!"&amp;"P"&amp;A553),Q553+R553)))</f>
        <v>#REF!</v>
      </c>
      <c r="V553" t="e" cm="1">
        <f t="array" aca="1" ref="V553" ca="1">IF(A553="","",IF(E553="","",IF(B553="safety",INDIRECT("template!"&amp;"P"&amp;A553),S553+T553)))</f>
        <v>#REF!</v>
      </c>
      <c r="W553" t="e">
        <f ca="1">IF(A553="","",IF(E553="","",#REF!))</f>
        <v>#REF!</v>
      </c>
      <c r="X553" t="e">
        <f ca="1">IF(A553="","",IF(E553="","",#REF!))</f>
        <v>#REF!</v>
      </c>
      <c r="Y553" s="39" t="e">
        <f ca="1">IF(A553="","",IF(E553="","",#REF!))</f>
        <v>#REF!</v>
      </c>
      <c r="Z553" t="e">
        <f ca="1">IF(A553="","",IF(E553="","",#REF!))</f>
        <v>#REF!</v>
      </c>
      <c r="AA553" t="e">
        <f ca="1">IF(A553="","",IF(E553="","",#REF!))</f>
        <v>#REF!</v>
      </c>
      <c r="AB553" t="e">
        <f ca="1">IF(A553="","",IF(E553="","",#REF!))</f>
        <v>#REF!</v>
      </c>
      <c r="AC553" t="e">
        <f t="shared" ca="1" si="50"/>
        <v>#REF!</v>
      </c>
    </row>
    <row r="554" spans="1:29" x14ac:dyDescent="0.35">
      <c r="A554" t="e" cm="1">
        <f t="array" aca="1" ref="A554" ca="1">IF(A553="","",IF(OR(AND(A553+1&gt;=$AF$1,A553+1&lt;=$AF$2),AND(A553+1&gt;=$AF$6,A553+1&lt;=$AF$7),AND(A553+1&gt;=$AF$3,A553+1&lt;=$AF$4),AND(A553+1&gt;=$AF$8,A553+1&lt;=$AF$9),A553+1=$AF$5),IF(NOT(ISBLANK(INDIRECT("template!"&amp;"P"&amp;A553+1))),A553+1,IF(NOT(ISBLANK(INDIRECT("template!"&amp;"P"&amp;A553+2))),A553+2,A553+3)),IF(A553=$AF$2,$AF$3,IF(A553=$AF$4,$AF$5,IF(A553=$AF$5,$AF$6,IF(A553=$AF$7,$AF$8,""))))))</f>
        <v>#REF!</v>
      </c>
      <c r="B554" t="e">
        <f t="shared" ca="1" si="45"/>
        <v>#REF!</v>
      </c>
      <c r="C554" t="e" cm="1">
        <f t="array" aca="1" ref="C554" ca="1">IF(A554="","",IF(B554="safety","safety costs",INDIRECT("template!"&amp;"B"&amp;A554)))</f>
        <v>#REF!</v>
      </c>
      <c r="D554" t="e" cm="1">
        <f t="array" aca="1" ref="D554" ca="1">IF(OR(A554="",B554="safety"),"",INDIRECT("template!"&amp;"C"&amp;A554))</f>
        <v>#REF!</v>
      </c>
      <c r="E554" t="e" cm="1">
        <f t="array" aca="1" ref="E554" ca="1">IF(A554="","",IF(OR(A554=A553+1,A554=A553+2),E553,INDIRECT("template!"&amp;"D"&amp;A554-2)))</f>
        <v>#REF!</v>
      </c>
      <c r="F554" t="e" cm="1">
        <f t="array" aca="1" ref="F554" ca="1">IF(OR(A554="",B554="safety"),"",IF(ISBLANK(IF(A554=A553+1,F553,INDIRECT("template!"&amp;"D"&amp;A554-1))),"",IF(A554=A553+1,F553,INDIRECT("template!"&amp;"D"&amp;A554-1))))</f>
        <v>#REF!</v>
      </c>
      <c r="G554" t="e" cm="1">
        <f t="array" aca="1" ref="G554" ca="1">IF(OR(A554="",B554="safety"),"",IF(ISBLANK(INDIRECT("template!"&amp;"D"&amp;A554)),"",INDIRECT("template!"&amp;"D"&amp;A554)))</f>
        <v>#REF!</v>
      </c>
      <c r="H554" t="e" cm="1">
        <f t="array" aca="1" ref="H554" ca="1">IF(OR(A554="",B554="safety"),"",IF(ISBLANK(INDIRECT("template!"&amp;"E"&amp;A554)),"",INDIRECT("template!"&amp;"E"&amp;A554)))</f>
        <v>#REF!</v>
      </c>
      <c r="I554" t="e" cm="1">
        <f t="array" aca="1" ref="I554" ca="1">IF(OR(A554="",B554="safety"),"",IF(ISBLANK(INDIRECT("template!"&amp;"F"&amp;A554)),"",INDIRECT("template!"&amp;"F"&amp;A554)))</f>
        <v>#REF!</v>
      </c>
      <c r="J554" t="e" cm="1">
        <f t="array" aca="1" ref="J554" ca="1">IF(OR(A554="",B554="safety"),"",IF(ISBLANK(INDIRECT("template!"&amp;"G"&amp;A554)),"",INDIRECT("template!"&amp;"G"&amp;A554)))</f>
        <v>#REF!</v>
      </c>
      <c r="K554" t="e" cm="1">
        <f t="array" aca="1" ref="K554" ca="1">IF(OR(A554="",B554="safety"),"",IF(ISBLANK(INDIRECT("template!"&amp;"H"&amp;A554)),"",INDIRECT("template!"&amp;"H"&amp;A554)))</f>
        <v>#REF!</v>
      </c>
      <c r="L554" t="e" cm="1">
        <f t="array" aca="1" ref="L554" ca="1">IF(OR(A554="",B554="safety"),"",INDIRECT("template!"&amp;"I"&amp;A554))</f>
        <v>#REF!</v>
      </c>
      <c r="M554" t="e" cm="1">
        <f t="array" aca="1" ref="M554" ca="1">IF(OR(A554="",B554="safety"),"",INDIRECT("template!"&amp;"J"&amp;A554))</f>
        <v>#REF!</v>
      </c>
      <c r="N554" t="e" cm="1">
        <f t="array" aca="1" ref="N554" ca="1">IF(OR(A554="",B554="safety"),"",IF(ISBLANK(INDIRECT("template!"&amp;"K"&amp;A554)),"",INDIRECT("template!"&amp;"K"&amp;A554)))</f>
        <v>#REF!</v>
      </c>
      <c r="O554" t="e" cm="1">
        <f t="array" aca="1" ref="O554" ca="1">IF(OR(A554="",B554="safety"),"",INDIRECT("template!"&amp;"L"&amp;A554))</f>
        <v>#REF!</v>
      </c>
      <c r="P554" t="e" cm="1">
        <f t="array" aca="1" ref="P554" ca="1">IF(OR(A554="",B554="safety"),"",INDIRECT("template!"&amp;"M"&amp;A554))</f>
        <v>#REF!</v>
      </c>
      <c r="Q554" t="e">
        <f t="shared" ca="1" si="46"/>
        <v>#REF!</v>
      </c>
      <c r="R554" t="e">
        <f t="shared" ca="1" si="47"/>
        <v>#REF!</v>
      </c>
      <c r="S554" t="e">
        <f t="shared" ca="1" si="48"/>
        <v>#REF!</v>
      </c>
      <c r="T554" t="e">
        <f t="shared" ca="1" si="49"/>
        <v>#REF!</v>
      </c>
      <c r="U554" t="e" cm="1">
        <f t="array" aca="1" ref="U554" ca="1">IF(A554="","",IF(E554="","",IF(B554="safety",INDIRECT("template!"&amp;"P"&amp;A554),Q554+R554)))</f>
        <v>#REF!</v>
      </c>
      <c r="V554" t="e" cm="1">
        <f t="array" aca="1" ref="V554" ca="1">IF(A554="","",IF(E554="","",IF(B554="safety",INDIRECT("template!"&amp;"P"&amp;A554),S554+T554)))</f>
        <v>#REF!</v>
      </c>
      <c r="W554" t="e">
        <f ca="1">IF(A554="","",IF(E554="","",#REF!))</f>
        <v>#REF!</v>
      </c>
      <c r="X554" t="e">
        <f ca="1">IF(A554="","",IF(E554="","",#REF!))</f>
        <v>#REF!</v>
      </c>
      <c r="Y554" s="39" t="e">
        <f ca="1">IF(A554="","",IF(E554="","",#REF!))</f>
        <v>#REF!</v>
      </c>
      <c r="Z554" t="e">
        <f ca="1">IF(A554="","",IF(E554="","",#REF!))</f>
        <v>#REF!</v>
      </c>
      <c r="AA554" t="e">
        <f ca="1">IF(A554="","",IF(E554="","",#REF!))</f>
        <v>#REF!</v>
      </c>
      <c r="AB554" t="e">
        <f ca="1">IF(A554="","",IF(E554="","",#REF!))</f>
        <v>#REF!</v>
      </c>
      <c r="AC554" t="e">
        <f t="shared" ca="1" si="50"/>
        <v>#REF!</v>
      </c>
    </row>
    <row r="555" spans="1:29" x14ac:dyDescent="0.35">
      <c r="A555" t="e" cm="1">
        <f t="array" aca="1" ref="A555" ca="1">IF(A554="","",IF(OR(AND(A554+1&gt;=$AF$1,A554+1&lt;=$AF$2),AND(A554+1&gt;=$AF$6,A554+1&lt;=$AF$7),AND(A554+1&gt;=$AF$3,A554+1&lt;=$AF$4),AND(A554+1&gt;=$AF$8,A554+1&lt;=$AF$9),A554+1=$AF$5),IF(NOT(ISBLANK(INDIRECT("template!"&amp;"P"&amp;A554+1))),A554+1,IF(NOT(ISBLANK(INDIRECT("template!"&amp;"P"&amp;A554+2))),A554+2,A554+3)),IF(A554=$AF$2,$AF$3,IF(A554=$AF$4,$AF$5,IF(A554=$AF$5,$AF$6,IF(A554=$AF$7,$AF$8,""))))))</f>
        <v>#REF!</v>
      </c>
      <c r="B555" t="e">
        <f t="shared" ca="1" si="45"/>
        <v>#REF!</v>
      </c>
      <c r="C555" t="e" cm="1">
        <f t="array" aca="1" ref="C555" ca="1">IF(A555="","",IF(B555="safety","safety costs",INDIRECT("template!"&amp;"B"&amp;A555)))</f>
        <v>#REF!</v>
      </c>
      <c r="D555" t="e" cm="1">
        <f t="array" aca="1" ref="D555" ca="1">IF(OR(A555="",B555="safety"),"",INDIRECT("template!"&amp;"C"&amp;A555))</f>
        <v>#REF!</v>
      </c>
      <c r="E555" t="e" cm="1">
        <f t="array" aca="1" ref="E555" ca="1">IF(A555="","",IF(OR(A555=A554+1,A555=A554+2),E554,INDIRECT("template!"&amp;"D"&amp;A555-2)))</f>
        <v>#REF!</v>
      </c>
      <c r="F555" t="e" cm="1">
        <f t="array" aca="1" ref="F555" ca="1">IF(OR(A555="",B555="safety"),"",IF(ISBLANK(IF(A555=A554+1,F554,INDIRECT("template!"&amp;"D"&amp;A555-1))),"",IF(A555=A554+1,F554,INDIRECT("template!"&amp;"D"&amp;A555-1))))</f>
        <v>#REF!</v>
      </c>
      <c r="G555" t="e" cm="1">
        <f t="array" aca="1" ref="G555" ca="1">IF(OR(A555="",B555="safety"),"",IF(ISBLANK(INDIRECT("template!"&amp;"D"&amp;A555)),"",INDIRECT("template!"&amp;"D"&amp;A555)))</f>
        <v>#REF!</v>
      </c>
      <c r="H555" t="e" cm="1">
        <f t="array" aca="1" ref="H555" ca="1">IF(OR(A555="",B555="safety"),"",IF(ISBLANK(INDIRECT("template!"&amp;"E"&amp;A555)),"",INDIRECT("template!"&amp;"E"&amp;A555)))</f>
        <v>#REF!</v>
      </c>
      <c r="I555" t="e" cm="1">
        <f t="array" aca="1" ref="I555" ca="1">IF(OR(A555="",B555="safety"),"",IF(ISBLANK(INDIRECT("template!"&amp;"F"&amp;A555)),"",INDIRECT("template!"&amp;"F"&amp;A555)))</f>
        <v>#REF!</v>
      </c>
      <c r="J555" t="e" cm="1">
        <f t="array" aca="1" ref="J555" ca="1">IF(OR(A555="",B555="safety"),"",IF(ISBLANK(INDIRECT("template!"&amp;"G"&amp;A555)),"",INDIRECT("template!"&amp;"G"&amp;A555)))</f>
        <v>#REF!</v>
      </c>
      <c r="K555" t="e" cm="1">
        <f t="array" aca="1" ref="K555" ca="1">IF(OR(A555="",B555="safety"),"",IF(ISBLANK(INDIRECT("template!"&amp;"H"&amp;A555)),"",INDIRECT("template!"&amp;"H"&amp;A555)))</f>
        <v>#REF!</v>
      </c>
      <c r="L555" t="e" cm="1">
        <f t="array" aca="1" ref="L555" ca="1">IF(OR(A555="",B555="safety"),"",INDIRECT("template!"&amp;"I"&amp;A555))</f>
        <v>#REF!</v>
      </c>
      <c r="M555" t="e" cm="1">
        <f t="array" aca="1" ref="M555" ca="1">IF(OR(A555="",B555="safety"),"",INDIRECT("template!"&amp;"J"&amp;A555))</f>
        <v>#REF!</v>
      </c>
      <c r="N555" t="e" cm="1">
        <f t="array" aca="1" ref="N555" ca="1">IF(OR(A555="",B555="safety"),"",IF(ISBLANK(INDIRECT("template!"&amp;"K"&amp;A555)),"",INDIRECT("template!"&amp;"K"&amp;A555)))</f>
        <v>#REF!</v>
      </c>
      <c r="O555" t="e" cm="1">
        <f t="array" aca="1" ref="O555" ca="1">IF(OR(A555="",B555="safety"),"",INDIRECT("template!"&amp;"L"&amp;A555))</f>
        <v>#REF!</v>
      </c>
      <c r="P555" t="e" cm="1">
        <f t="array" aca="1" ref="P555" ca="1">IF(OR(A555="",B555="safety"),"",INDIRECT("template!"&amp;"M"&amp;A555))</f>
        <v>#REF!</v>
      </c>
      <c r="Q555" t="e">
        <f t="shared" ca="1" si="46"/>
        <v>#REF!</v>
      </c>
      <c r="R555" t="e">
        <f t="shared" ca="1" si="47"/>
        <v>#REF!</v>
      </c>
      <c r="S555" t="e">
        <f t="shared" ca="1" si="48"/>
        <v>#REF!</v>
      </c>
      <c r="T555" t="e">
        <f t="shared" ca="1" si="49"/>
        <v>#REF!</v>
      </c>
      <c r="U555" t="e" cm="1">
        <f t="array" aca="1" ref="U555" ca="1">IF(A555="","",IF(E555="","",IF(B555="safety",INDIRECT("template!"&amp;"P"&amp;A555),Q555+R555)))</f>
        <v>#REF!</v>
      </c>
      <c r="V555" t="e" cm="1">
        <f t="array" aca="1" ref="V555" ca="1">IF(A555="","",IF(E555="","",IF(B555="safety",INDIRECT("template!"&amp;"P"&amp;A555),S555+T555)))</f>
        <v>#REF!</v>
      </c>
      <c r="W555" t="e">
        <f ca="1">IF(A555="","",IF(E555="","",#REF!))</f>
        <v>#REF!</v>
      </c>
      <c r="X555" t="e">
        <f ca="1">IF(A555="","",IF(E555="","",#REF!))</f>
        <v>#REF!</v>
      </c>
      <c r="Y555" s="39" t="e">
        <f ca="1">IF(A555="","",IF(E555="","",#REF!))</f>
        <v>#REF!</v>
      </c>
      <c r="Z555" t="e">
        <f ca="1">IF(A555="","",IF(E555="","",#REF!))</f>
        <v>#REF!</v>
      </c>
      <c r="AA555" t="e">
        <f ca="1">IF(A555="","",IF(E555="","",#REF!))</f>
        <v>#REF!</v>
      </c>
      <c r="AB555" t="e">
        <f ca="1">IF(A555="","",IF(E555="","",#REF!))</f>
        <v>#REF!</v>
      </c>
      <c r="AC555" t="e">
        <f t="shared" ca="1" si="50"/>
        <v>#REF!</v>
      </c>
    </row>
    <row r="556" spans="1:29" x14ac:dyDescent="0.35">
      <c r="A556" t="e" cm="1">
        <f t="array" aca="1" ref="A556" ca="1">IF(A555="","",IF(OR(AND(A555+1&gt;=$AF$1,A555+1&lt;=$AF$2),AND(A555+1&gt;=$AF$6,A555+1&lt;=$AF$7),AND(A555+1&gt;=$AF$3,A555+1&lt;=$AF$4),AND(A555+1&gt;=$AF$8,A555+1&lt;=$AF$9),A555+1=$AF$5),IF(NOT(ISBLANK(INDIRECT("template!"&amp;"P"&amp;A555+1))),A555+1,IF(NOT(ISBLANK(INDIRECT("template!"&amp;"P"&amp;A555+2))),A555+2,A555+3)),IF(A555=$AF$2,$AF$3,IF(A555=$AF$4,$AF$5,IF(A555=$AF$5,$AF$6,IF(A555=$AF$7,$AF$8,""))))))</f>
        <v>#REF!</v>
      </c>
      <c r="B556" t="e">
        <f t="shared" ca="1" si="45"/>
        <v>#REF!</v>
      </c>
      <c r="C556" t="e" cm="1">
        <f t="array" aca="1" ref="C556" ca="1">IF(A556="","",IF(B556="safety","safety costs",INDIRECT("template!"&amp;"B"&amp;A556)))</f>
        <v>#REF!</v>
      </c>
      <c r="D556" t="e" cm="1">
        <f t="array" aca="1" ref="D556" ca="1">IF(OR(A556="",B556="safety"),"",INDIRECT("template!"&amp;"C"&amp;A556))</f>
        <v>#REF!</v>
      </c>
      <c r="E556" t="e" cm="1">
        <f t="array" aca="1" ref="E556" ca="1">IF(A556="","",IF(OR(A556=A555+1,A556=A555+2),E555,INDIRECT("template!"&amp;"D"&amp;A556-2)))</f>
        <v>#REF!</v>
      </c>
      <c r="F556" t="e" cm="1">
        <f t="array" aca="1" ref="F556" ca="1">IF(OR(A556="",B556="safety"),"",IF(ISBLANK(IF(A556=A555+1,F555,INDIRECT("template!"&amp;"D"&amp;A556-1))),"",IF(A556=A555+1,F555,INDIRECT("template!"&amp;"D"&amp;A556-1))))</f>
        <v>#REF!</v>
      </c>
      <c r="G556" t="e" cm="1">
        <f t="array" aca="1" ref="G556" ca="1">IF(OR(A556="",B556="safety"),"",IF(ISBLANK(INDIRECT("template!"&amp;"D"&amp;A556)),"",INDIRECT("template!"&amp;"D"&amp;A556)))</f>
        <v>#REF!</v>
      </c>
      <c r="H556" t="e" cm="1">
        <f t="array" aca="1" ref="H556" ca="1">IF(OR(A556="",B556="safety"),"",IF(ISBLANK(INDIRECT("template!"&amp;"E"&amp;A556)),"",INDIRECT("template!"&amp;"E"&amp;A556)))</f>
        <v>#REF!</v>
      </c>
      <c r="I556" t="e" cm="1">
        <f t="array" aca="1" ref="I556" ca="1">IF(OR(A556="",B556="safety"),"",IF(ISBLANK(INDIRECT("template!"&amp;"F"&amp;A556)),"",INDIRECT("template!"&amp;"F"&amp;A556)))</f>
        <v>#REF!</v>
      </c>
      <c r="J556" t="e" cm="1">
        <f t="array" aca="1" ref="J556" ca="1">IF(OR(A556="",B556="safety"),"",IF(ISBLANK(INDIRECT("template!"&amp;"G"&amp;A556)),"",INDIRECT("template!"&amp;"G"&amp;A556)))</f>
        <v>#REF!</v>
      </c>
      <c r="K556" t="e" cm="1">
        <f t="array" aca="1" ref="K556" ca="1">IF(OR(A556="",B556="safety"),"",IF(ISBLANK(INDIRECT("template!"&amp;"H"&amp;A556)),"",INDIRECT("template!"&amp;"H"&amp;A556)))</f>
        <v>#REF!</v>
      </c>
      <c r="L556" t="e" cm="1">
        <f t="array" aca="1" ref="L556" ca="1">IF(OR(A556="",B556="safety"),"",INDIRECT("template!"&amp;"I"&amp;A556))</f>
        <v>#REF!</v>
      </c>
      <c r="M556" t="e" cm="1">
        <f t="array" aca="1" ref="M556" ca="1">IF(OR(A556="",B556="safety"),"",INDIRECT("template!"&amp;"J"&amp;A556))</f>
        <v>#REF!</v>
      </c>
      <c r="N556" t="e" cm="1">
        <f t="array" aca="1" ref="N556" ca="1">IF(OR(A556="",B556="safety"),"",IF(ISBLANK(INDIRECT("template!"&amp;"K"&amp;A556)),"",INDIRECT("template!"&amp;"K"&amp;A556)))</f>
        <v>#REF!</v>
      </c>
      <c r="O556" t="e" cm="1">
        <f t="array" aca="1" ref="O556" ca="1">IF(OR(A556="",B556="safety"),"",INDIRECT("template!"&amp;"L"&amp;A556))</f>
        <v>#REF!</v>
      </c>
      <c r="P556" t="e" cm="1">
        <f t="array" aca="1" ref="P556" ca="1">IF(OR(A556="",B556="safety"),"",INDIRECT("template!"&amp;"M"&amp;A556))</f>
        <v>#REF!</v>
      </c>
      <c r="Q556" t="e">
        <f t="shared" ca="1" si="46"/>
        <v>#REF!</v>
      </c>
      <c r="R556" t="e">
        <f t="shared" ca="1" si="47"/>
        <v>#REF!</v>
      </c>
      <c r="S556" t="e">
        <f t="shared" ca="1" si="48"/>
        <v>#REF!</v>
      </c>
      <c r="T556" t="e">
        <f t="shared" ca="1" si="49"/>
        <v>#REF!</v>
      </c>
      <c r="U556" t="e" cm="1">
        <f t="array" aca="1" ref="U556" ca="1">IF(A556="","",IF(E556="","",IF(B556="safety",INDIRECT("template!"&amp;"P"&amp;A556),Q556+R556)))</f>
        <v>#REF!</v>
      </c>
      <c r="V556" t="e" cm="1">
        <f t="array" aca="1" ref="V556" ca="1">IF(A556="","",IF(E556="","",IF(B556="safety",INDIRECT("template!"&amp;"P"&amp;A556),S556+T556)))</f>
        <v>#REF!</v>
      </c>
      <c r="W556" t="e">
        <f ca="1">IF(A556="","",IF(E556="","",#REF!))</f>
        <v>#REF!</v>
      </c>
      <c r="X556" t="e">
        <f ca="1">IF(A556="","",IF(E556="","",#REF!))</f>
        <v>#REF!</v>
      </c>
      <c r="Y556" s="39" t="e">
        <f ca="1">IF(A556="","",IF(E556="","",#REF!))</f>
        <v>#REF!</v>
      </c>
      <c r="Z556" t="e">
        <f ca="1">IF(A556="","",IF(E556="","",#REF!))</f>
        <v>#REF!</v>
      </c>
      <c r="AA556" t="e">
        <f ca="1">IF(A556="","",IF(E556="","",#REF!))</f>
        <v>#REF!</v>
      </c>
      <c r="AB556" t="e">
        <f ca="1">IF(A556="","",IF(E556="","",#REF!))</f>
        <v>#REF!</v>
      </c>
      <c r="AC556" t="e">
        <f t="shared" ca="1" si="50"/>
        <v>#REF!</v>
      </c>
    </row>
    <row r="557" spans="1:29" x14ac:dyDescent="0.35">
      <c r="A557" t="e" cm="1">
        <f t="array" aca="1" ref="A557" ca="1">IF(A556="","",IF(OR(AND(A556+1&gt;=$AF$1,A556+1&lt;=$AF$2),AND(A556+1&gt;=$AF$6,A556+1&lt;=$AF$7),AND(A556+1&gt;=$AF$3,A556+1&lt;=$AF$4),AND(A556+1&gt;=$AF$8,A556+1&lt;=$AF$9),A556+1=$AF$5),IF(NOT(ISBLANK(INDIRECT("template!"&amp;"P"&amp;A556+1))),A556+1,IF(NOT(ISBLANK(INDIRECT("template!"&amp;"P"&amp;A556+2))),A556+2,A556+3)),IF(A556=$AF$2,$AF$3,IF(A556=$AF$4,$AF$5,IF(A556=$AF$5,$AF$6,IF(A556=$AF$7,$AF$8,""))))))</f>
        <v>#REF!</v>
      </c>
      <c r="B557" t="e">
        <f t="shared" ca="1" si="45"/>
        <v>#REF!</v>
      </c>
      <c r="C557" t="e" cm="1">
        <f t="array" aca="1" ref="C557" ca="1">IF(A557="","",IF(B557="safety","safety costs",INDIRECT("template!"&amp;"B"&amp;A557)))</f>
        <v>#REF!</v>
      </c>
      <c r="D557" t="e" cm="1">
        <f t="array" aca="1" ref="D557" ca="1">IF(OR(A557="",B557="safety"),"",INDIRECT("template!"&amp;"C"&amp;A557))</f>
        <v>#REF!</v>
      </c>
      <c r="E557" t="e" cm="1">
        <f t="array" aca="1" ref="E557" ca="1">IF(A557="","",IF(OR(A557=A556+1,A557=A556+2),E556,INDIRECT("template!"&amp;"D"&amp;A557-2)))</f>
        <v>#REF!</v>
      </c>
      <c r="F557" t="e" cm="1">
        <f t="array" aca="1" ref="F557" ca="1">IF(OR(A557="",B557="safety"),"",IF(ISBLANK(IF(A557=A556+1,F556,INDIRECT("template!"&amp;"D"&amp;A557-1))),"",IF(A557=A556+1,F556,INDIRECT("template!"&amp;"D"&amp;A557-1))))</f>
        <v>#REF!</v>
      </c>
      <c r="G557" t="e" cm="1">
        <f t="array" aca="1" ref="G557" ca="1">IF(OR(A557="",B557="safety"),"",IF(ISBLANK(INDIRECT("template!"&amp;"D"&amp;A557)),"",INDIRECT("template!"&amp;"D"&amp;A557)))</f>
        <v>#REF!</v>
      </c>
      <c r="H557" t="e" cm="1">
        <f t="array" aca="1" ref="H557" ca="1">IF(OR(A557="",B557="safety"),"",IF(ISBLANK(INDIRECT("template!"&amp;"E"&amp;A557)),"",INDIRECT("template!"&amp;"E"&amp;A557)))</f>
        <v>#REF!</v>
      </c>
      <c r="I557" t="e" cm="1">
        <f t="array" aca="1" ref="I557" ca="1">IF(OR(A557="",B557="safety"),"",IF(ISBLANK(INDIRECT("template!"&amp;"F"&amp;A557)),"",INDIRECT("template!"&amp;"F"&amp;A557)))</f>
        <v>#REF!</v>
      </c>
      <c r="J557" t="e" cm="1">
        <f t="array" aca="1" ref="J557" ca="1">IF(OR(A557="",B557="safety"),"",IF(ISBLANK(INDIRECT("template!"&amp;"G"&amp;A557)),"",INDIRECT("template!"&amp;"G"&amp;A557)))</f>
        <v>#REF!</v>
      </c>
      <c r="K557" t="e" cm="1">
        <f t="array" aca="1" ref="K557" ca="1">IF(OR(A557="",B557="safety"),"",IF(ISBLANK(INDIRECT("template!"&amp;"H"&amp;A557)),"",INDIRECT("template!"&amp;"H"&amp;A557)))</f>
        <v>#REF!</v>
      </c>
      <c r="L557" t="e" cm="1">
        <f t="array" aca="1" ref="L557" ca="1">IF(OR(A557="",B557="safety"),"",INDIRECT("template!"&amp;"I"&amp;A557))</f>
        <v>#REF!</v>
      </c>
      <c r="M557" t="e" cm="1">
        <f t="array" aca="1" ref="M557" ca="1">IF(OR(A557="",B557="safety"),"",INDIRECT("template!"&amp;"J"&amp;A557))</f>
        <v>#REF!</v>
      </c>
      <c r="N557" t="e" cm="1">
        <f t="array" aca="1" ref="N557" ca="1">IF(OR(A557="",B557="safety"),"",IF(ISBLANK(INDIRECT("template!"&amp;"K"&amp;A557)),"",INDIRECT("template!"&amp;"K"&amp;A557)))</f>
        <v>#REF!</v>
      </c>
      <c r="O557" t="e" cm="1">
        <f t="array" aca="1" ref="O557" ca="1">IF(OR(A557="",B557="safety"),"",INDIRECT("template!"&amp;"L"&amp;A557))</f>
        <v>#REF!</v>
      </c>
      <c r="P557" t="e" cm="1">
        <f t="array" aca="1" ref="P557" ca="1">IF(OR(A557="",B557="safety"),"",INDIRECT("template!"&amp;"M"&amp;A557))</f>
        <v>#REF!</v>
      </c>
      <c r="Q557" t="e">
        <f t="shared" ca="1" si="46"/>
        <v>#REF!</v>
      </c>
      <c r="R557" t="e">
        <f t="shared" ca="1" si="47"/>
        <v>#REF!</v>
      </c>
      <c r="S557" t="e">
        <f t="shared" ca="1" si="48"/>
        <v>#REF!</v>
      </c>
      <c r="T557" t="e">
        <f t="shared" ca="1" si="49"/>
        <v>#REF!</v>
      </c>
      <c r="U557" t="e" cm="1">
        <f t="array" aca="1" ref="U557" ca="1">IF(A557="","",IF(E557="","",IF(B557="safety",INDIRECT("template!"&amp;"P"&amp;A557),Q557+R557)))</f>
        <v>#REF!</v>
      </c>
      <c r="V557" t="e" cm="1">
        <f t="array" aca="1" ref="V557" ca="1">IF(A557="","",IF(E557="","",IF(B557="safety",INDIRECT("template!"&amp;"P"&amp;A557),S557+T557)))</f>
        <v>#REF!</v>
      </c>
      <c r="W557" t="e">
        <f ca="1">IF(A557="","",IF(E557="","",#REF!))</f>
        <v>#REF!</v>
      </c>
      <c r="X557" t="e">
        <f ca="1">IF(A557="","",IF(E557="","",#REF!))</f>
        <v>#REF!</v>
      </c>
      <c r="Y557" s="39" t="e">
        <f ca="1">IF(A557="","",IF(E557="","",#REF!))</f>
        <v>#REF!</v>
      </c>
      <c r="Z557" t="e">
        <f ca="1">IF(A557="","",IF(E557="","",#REF!))</f>
        <v>#REF!</v>
      </c>
      <c r="AA557" t="e">
        <f ca="1">IF(A557="","",IF(E557="","",#REF!))</f>
        <v>#REF!</v>
      </c>
      <c r="AB557" t="e">
        <f ca="1">IF(A557="","",IF(E557="","",#REF!))</f>
        <v>#REF!</v>
      </c>
      <c r="AC557" t="e">
        <f t="shared" ca="1" si="50"/>
        <v>#REF!</v>
      </c>
    </row>
    <row r="558" spans="1:29" x14ac:dyDescent="0.35">
      <c r="A558" t="e" cm="1">
        <f t="array" aca="1" ref="A558" ca="1">IF(A557="","",IF(OR(AND(A557+1&gt;=$AF$1,A557+1&lt;=$AF$2),AND(A557+1&gt;=$AF$6,A557+1&lt;=$AF$7),AND(A557+1&gt;=$AF$3,A557+1&lt;=$AF$4),AND(A557+1&gt;=$AF$8,A557+1&lt;=$AF$9),A557+1=$AF$5),IF(NOT(ISBLANK(INDIRECT("template!"&amp;"P"&amp;A557+1))),A557+1,IF(NOT(ISBLANK(INDIRECT("template!"&amp;"P"&amp;A557+2))),A557+2,A557+3)),IF(A557=$AF$2,$AF$3,IF(A557=$AF$4,$AF$5,IF(A557=$AF$5,$AF$6,IF(A557=$AF$7,$AF$8,""))))))</f>
        <v>#REF!</v>
      </c>
      <c r="B558" t="e">
        <f t="shared" ca="1" si="45"/>
        <v>#REF!</v>
      </c>
      <c r="C558" t="e" cm="1">
        <f t="array" aca="1" ref="C558" ca="1">IF(A558="","",IF(B558="safety","safety costs",INDIRECT("template!"&amp;"B"&amp;A558)))</f>
        <v>#REF!</v>
      </c>
      <c r="D558" t="e" cm="1">
        <f t="array" aca="1" ref="D558" ca="1">IF(OR(A558="",B558="safety"),"",INDIRECT("template!"&amp;"C"&amp;A558))</f>
        <v>#REF!</v>
      </c>
      <c r="E558" t="e" cm="1">
        <f t="array" aca="1" ref="E558" ca="1">IF(A558="","",IF(OR(A558=A557+1,A558=A557+2),E557,INDIRECT("template!"&amp;"D"&amp;A558-2)))</f>
        <v>#REF!</v>
      </c>
      <c r="F558" t="e" cm="1">
        <f t="array" aca="1" ref="F558" ca="1">IF(OR(A558="",B558="safety"),"",IF(ISBLANK(IF(A558=A557+1,F557,INDIRECT("template!"&amp;"D"&amp;A558-1))),"",IF(A558=A557+1,F557,INDIRECT("template!"&amp;"D"&amp;A558-1))))</f>
        <v>#REF!</v>
      </c>
      <c r="G558" t="e" cm="1">
        <f t="array" aca="1" ref="G558" ca="1">IF(OR(A558="",B558="safety"),"",IF(ISBLANK(INDIRECT("template!"&amp;"D"&amp;A558)),"",INDIRECT("template!"&amp;"D"&amp;A558)))</f>
        <v>#REF!</v>
      </c>
      <c r="H558" t="e" cm="1">
        <f t="array" aca="1" ref="H558" ca="1">IF(OR(A558="",B558="safety"),"",IF(ISBLANK(INDIRECT("template!"&amp;"E"&amp;A558)),"",INDIRECT("template!"&amp;"E"&amp;A558)))</f>
        <v>#REF!</v>
      </c>
      <c r="I558" t="e" cm="1">
        <f t="array" aca="1" ref="I558" ca="1">IF(OR(A558="",B558="safety"),"",IF(ISBLANK(INDIRECT("template!"&amp;"F"&amp;A558)),"",INDIRECT("template!"&amp;"F"&amp;A558)))</f>
        <v>#REF!</v>
      </c>
      <c r="J558" t="e" cm="1">
        <f t="array" aca="1" ref="J558" ca="1">IF(OR(A558="",B558="safety"),"",IF(ISBLANK(INDIRECT("template!"&amp;"G"&amp;A558)),"",INDIRECT("template!"&amp;"G"&amp;A558)))</f>
        <v>#REF!</v>
      </c>
      <c r="K558" t="e" cm="1">
        <f t="array" aca="1" ref="K558" ca="1">IF(OR(A558="",B558="safety"),"",IF(ISBLANK(INDIRECT("template!"&amp;"H"&amp;A558)),"",INDIRECT("template!"&amp;"H"&amp;A558)))</f>
        <v>#REF!</v>
      </c>
      <c r="L558" t="e" cm="1">
        <f t="array" aca="1" ref="L558" ca="1">IF(OR(A558="",B558="safety"),"",INDIRECT("template!"&amp;"I"&amp;A558))</f>
        <v>#REF!</v>
      </c>
      <c r="M558" t="e" cm="1">
        <f t="array" aca="1" ref="M558" ca="1">IF(OR(A558="",B558="safety"),"",INDIRECT("template!"&amp;"J"&amp;A558))</f>
        <v>#REF!</v>
      </c>
      <c r="N558" t="e" cm="1">
        <f t="array" aca="1" ref="N558" ca="1">IF(OR(A558="",B558="safety"),"",IF(ISBLANK(INDIRECT("template!"&amp;"K"&amp;A558)),"",INDIRECT("template!"&amp;"K"&amp;A558)))</f>
        <v>#REF!</v>
      </c>
      <c r="O558" t="e" cm="1">
        <f t="array" aca="1" ref="O558" ca="1">IF(OR(A558="",B558="safety"),"",INDIRECT("template!"&amp;"L"&amp;A558))</f>
        <v>#REF!</v>
      </c>
      <c r="P558" t="e" cm="1">
        <f t="array" aca="1" ref="P558" ca="1">IF(OR(A558="",B558="safety"),"",INDIRECT("template!"&amp;"M"&amp;A558))</f>
        <v>#REF!</v>
      </c>
      <c r="Q558" t="e">
        <f t="shared" ca="1" si="46"/>
        <v>#REF!</v>
      </c>
      <c r="R558" t="e">
        <f t="shared" ca="1" si="47"/>
        <v>#REF!</v>
      </c>
      <c r="S558" t="e">
        <f t="shared" ca="1" si="48"/>
        <v>#REF!</v>
      </c>
      <c r="T558" t="e">
        <f t="shared" ca="1" si="49"/>
        <v>#REF!</v>
      </c>
      <c r="U558" t="e" cm="1">
        <f t="array" aca="1" ref="U558" ca="1">IF(A558="","",IF(E558="","",IF(B558="safety",INDIRECT("template!"&amp;"P"&amp;A558),Q558+R558)))</f>
        <v>#REF!</v>
      </c>
      <c r="V558" t="e" cm="1">
        <f t="array" aca="1" ref="V558" ca="1">IF(A558="","",IF(E558="","",IF(B558="safety",INDIRECT("template!"&amp;"P"&amp;A558),S558+T558)))</f>
        <v>#REF!</v>
      </c>
      <c r="W558" t="e">
        <f ca="1">IF(A558="","",IF(E558="","",#REF!))</f>
        <v>#REF!</v>
      </c>
      <c r="X558" t="e">
        <f ca="1">IF(A558="","",IF(E558="","",#REF!))</f>
        <v>#REF!</v>
      </c>
      <c r="Y558" s="39" t="e">
        <f ca="1">IF(A558="","",IF(E558="","",#REF!))</f>
        <v>#REF!</v>
      </c>
      <c r="Z558" t="e">
        <f ca="1">IF(A558="","",IF(E558="","",#REF!))</f>
        <v>#REF!</v>
      </c>
      <c r="AA558" t="e">
        <f ca="1">IF(A558="","",IF(E558="","",#REF!))</f>
        <v>#REF!</v>
      </c>
      <c r="AB558" t="e">
        <f ca="1">IF(A558="","",IF(E558="","",#REF!))</f>
        <v>#REF!</v>
      </c>
      <c r="AC558" t="e">
        <f t="shared" ca="1" si="50"/>
        <v>#REF!</v>
      </c>
    </row>
    <row r="559" spans="1:29" x14ac:dyDescent="0.35">
      <c r="A559" t="e" cm="1">
        <f t="array" aca="1" ref="A559" ca="1">IF(A558="","",IF(OR(AND(A558+1&gt;=$AF$1,A558+1&lt;=$AF$2),AND(A558+1&gt;=$AF$6,A558+1&lt;=$AF$7),AND(A558+1&gt;=$AF$3,A558+1&lt;=$AF$4),AND(A558+1&gt;=$AF$8,A558+1&lt;=$AF$9),A558+1=$AF$5),IF(NOT(ISBLANK(INDIRECT("template!"&amp;"P"&amp;A558+1))),A558+1,IF(NOT(ISBLANK(INDIRECT("template!"&amp;"P"&amp;A558+2))),A558+2,A558+3)),IF(A558=$AF$2,$AF$3,IF(A558=$AF$4,$AF$5,IF(A558=$AF$5,$AF$6,IF(A558=$AF$7,$AF$8,""))))))</f>
        <v>#REF!</v>
      </c>
      <c r="B559" t="e">
        <f t="shared" ca="1" si="45"/>
        <v>#REF!</v>
      </c>
      <c r="C559" t="e" cm="1">
        <f t="array" aca="1" ref="C559" ca="1">IF(A559="","",IF(B559="safety","safety costs",INDIRECT("template!"&amp;"B"&amp;A559)))</f>
        <v>#REF!</v>
      </c>
      <c r="D559" t="e" cm="1">
        <f t="array" aca="1" ref="D559" ca="1">IF(OR(A559="",B559="safety"),"",INDIRECT("template!"&amp;"C"&amp;A559))</f>
        <v>#REF!</v>
      </c>
      <c r="E559" t="e" cm="1">
        <f t="array" aca="1" ref="E559" ca="1">IF(A559="","",IF(OR(A559=A558+1,A559=A558+2),E558,INDIRECT("template!"&amp;"D"&amp;A559-2)))</f>
        <v>#REF!</v>
      </c>
      <c r="F559" t="e" cm="1">
        <f t="array" aca="1" ref="F559" ca="1">IF(OR(A559="",B559="safety"),"",IF(ISBLANK(IF(A559=A558+1,F558,INDIRECT("template!"&amp;"D"&amp;A559-1))),"",IF(A559=A558+1,F558,INDIRECT("template!"&amp;"D"&amp;A559-1))))</f>
        <v>#REF!</v>
      </c>
      <c r="G559" t="e" cm="1">
        <f t="array" aca="1" ref="G559" ca="1">IF(OR(A559="",B559="safety"),"",IF(ISBLANK(INDIRECT("template!"&amp;"D"&amp;A559)),"",INDIRECT("template!"&amp;"D"&amp;A559)))</f>
        <v>#REF!</v>
      </c>
      <c r="H559" t="e" cm="1">
        <f t="array" aca="1" ref="H559" ca="1">IF(OR(A559="",B559="safety"),"",IF(ISBLANK(INDIRECT("template!"&amp;"E"&amp;A559)),"",INDIRECT("template!"&amp;"E"&amp;A559)))</f>
        <v>#REF!</v>
      </c>
      <c r="I559" t="e" cm="1">
        <f t="array" aca="1" ref="I559" ca="1">IF(OR(A559="",B559="safety"),"",IF(ISBLANK(INDIRECT("template!"&amp;"F"&amp;A559)),"",INDIRECT("template!"&amp;"F"&amp;A559)))</f>
        <v>#REF!</v>
      </c>
      <c r="J559" t="e" cm="1">
        <f t="array" aca="1" ref="J559" ca="1">IF(OR(A559="",B559="safety"),"",IF(ISBLANK(INDIRECT("template!"&amp;"G"&amp;A559)),"",INDIRECT("template!"&amp;"G"&amp;A559)))</f>
        <v>#REF!</v>
      </c>
      <c r="K559" t="e" cm="1">
        <f t="array" aca="1" ref="K559" ca="1">IF(OR(A559="",B559="safety"),"",IF(ISBLANK(INDIRECT("template!"&amp;"H"&amp;A559)),"",INDIRECT("template!"&amp;"H"&amp;A559)))</f>
        <v>#REF!</v>
      </c>
      <c r="L559" t="e" cm="1">
        <f t="array" aca="1" ref="L559" ca="1">IF(OR(A559="",B559="safety"),"",INDIRECT("template!"&amp;"I"&amp;A559))</f>
        <v>#REF!</v>
      </c>
      <c r="M559" t="e" cm="1">
        <f t="array" aca="1" ref="M559" ca="1">IF(OR(A559="",B559="safety"),"",INDIRECT("template!"&amp;"J"&amp;A559))</f>
        <v>#REF!</v>
      </c>
      <c r="N559" t="e" cm="1">
        <f t="array" aca="1" ref="N559" ca="1">IF(OR(A559="",B559="safety"),"",IF(ISBLANK(INDIRECT("template!"&amp;"K"&amp;A559)),"",INDIRECT("template!"&amp;"K"&amp;A559)))</f>
        <v>#REF!</v>
      </c>
      <c r="O559" t="e" cm="1">
        <f t="array" aca="1" ref="O559" ca="1">IF(OR(A559="",B559="safety"),"",INDIRECT("template!"&amp;"L"&amp;A559))</f>
        <v>#REF!</v>
      </c>
      <c r="P559" t="e" cm="1">
        <f t="array" aca="1" ref="P559" ca="1">IF(OR(A559="",B559="safety"),"",INDIRECT("template!"&amp;"M"&amp;A559))</f>
        <v>#REF!</v>
      </c>
      <c r="Q559" t="e">
        <f t="shared" ca="1" si="46"/>
        <v>#REF!</v>
      </c>
      <c r="R559" t="e">
        <f t="shared" ca="1" si="47"/>
        <v>#REF!</v>
      </c>
      <c r="S559" t="e">
        <f t="shared" ca="1" si="48"/>
        <v>#REF!</v>
      </c>
      <c r="T559" t="e">
        <f t="shared" ca="1" si="49"/>
        <v>#REF!</v>
      </c>
      <c r="U559" t="e" cm="1">
        <f t="array" aca="1" ref="U559" ca="1">IF(A559="","",IF(E559="","",IF(B559="safety",INDIRECT("template!"&amp;"P"&amp;A559),Q559+R559)))</f>
        <v>#REF!</v>
      </c>
      <c r="V559" t="e" cm="1">
        <f t="array" aca="1" ref="V559" ca="1">IF(A559="","",IF(E559="","",IF(B559="safety",INDIRECT("template!"&amp;"P"&amp;A559),S559+T559)))</f>
        <v>#REF!</v>
      </c>
      <c r="W559" t="e">
        <f ca="1">IF(A559="","",IF(E559="","",#REF!))</f>
        <v>#REF!</v>
      </c>
      <c r="X559" t="e">
        <f ca="1">IF(A559="","",IF(E559="","",#REF!))</f>
        <v>#REF!</v>
      </c>
      <c r="Y559" s="39" t="e">
        <f ca="1">IF(A559="","",IF(E559="","",#REF!))</f>
        <v>#REF!</v>
      </c>
      <c r="Z559" t="e">
        <f ca="1">IF(A559="","",IF(E559="","",#REF!))</f>
        <v>#REF!</v>
      </c>
      <c r="AA559" t="e">
        <f ca="1">IF(A559="","",IF(E559="","",#REF!))</f>
        <v>#REF!</v>
      </c>
      <c r="AB559" t="e">
        <f ca="1">IF(A559="","",IF(E559="","",#REF!))</f>
        <v>#REF!</v>
      </c>
      <c r="AC559" t="e">
        <f t="shared" ca="1" si="50"/>
        <v>#REF!</v>
      </c>
    </row>
    <row r="560" spans="1:29" x14ac:dyDescent="0.35">
      <c r="A560" t="e" cm="1">
        <f t="array" aca="1" ref="A560" ca="1">IF(A559="","",IF(OR(AND(A559+1&gt;=$AF$1,A559+1&lt;=$AF$2),AND(A559+1&gt;=$AF$6,A559+1&lt;=$AF$7),AND(A559+1&gt;=$AF$3,A559+1&lt;=$AF$4),AND(A559+1&gt;=$AF$8,A559+1&lt;=$AF$9),A559+1=$AF$5),IF(NOT(ISBLANK(INDIRECT("template!"&amp;"P"&amp;A559+1))),A559+1,IF(NOT(ISBLANK(INDIRECT("template!"&amp;"P"&amp;A559+2))),A559+2,A559+3)),IF(A559=$AF$2,$AF$3,IF(A559=$AF$4,$AF$5,IF(A559=$AF$5,$AF$6,IF(A559=$AF$7,$AF$8,""))))))</f>
        <v>#REF!</v>
      </c>
      <c r="B560" t="e">
        <f t="shared" ca="1" si="45"/>
        <v>#REF!</v>
      </c>
      <c r="C560" t="e" cm="1">
        <f t="array" aca="1" ref="C560" ca="1">IF(A560="","",IF(B560="safety","safety costs",INDIRECT("template!"&amp;"B"&amp;A560)))</f>
        <v>#REF!</v>
      </c>
      <c r="D560" t="e" cm="1">
        <f t="array" aca="1" ref="D560" ca="1">IF(OR(A560="",B560="safety"),"",INDIRECT("template!"&amp;"C"&amp;A560))</f>
        <v>#REF!</v>
      </c>
      <c r="E560" t="e" cm="1">
        <f t="array" aca="1" ref="E560" ca="1">IF(A560="","",IF(OR(A560=A559+1,A560=A559+2),E559,INDIRECT("template!"&amp;"D"&amp;A560-2)))</f>
        <v>#REF!</v>
      </c>
      <c r="F560" t="e" cm="1">
        <f t="array" aca="1" ref="F560" ca="1">IF(OR(A560="",B560="safety"),"",IF(ISBLANK(IF(A560=A559+1,F559,INDIRECT("template!"&amp;"D"&amp;A560-1))),"",IF(A560=A559+1,F559,INDIRECT("template!"&amp;"D"&amp;A560-1))))</f>
        <v>#REF!</v>
      </c>
      <c r="G560" t="e" cm="1">
        <f t="array" aca="1" ref="G560" ca="1">IF(OR(A560="",B560="safety"),"",IF(ISBLANK(INDIRECT("template!"&amp;"D"&amp;A560)),"",INDIRECT("template!"&amp;"D"&amp;A560)))</f>
        <v>#REF!</v>
      </c>
      <c r="H560" t="e" cm="1">
        <f t="array" aca="1" ref="H560" ca="1">IF(OR(A560="",B560="safety"),"",IF(ISBLANK(INDIRECT("template!"&amp;"E"&amp;A560)),"",INDIRECT("template!"&amp;"E"&amp;A560)))</f>
        <v>#REF!</v>
      </c>
      <c r="I560" t="e" cm="1">
        <f t="array" aca="1" ref="I560" ca="1">IF(OR(A560="",B560="safety"),"",IF(ISBLANK(INDIRECT("template!"&amp;"F"&amp;A560)),"",INDIRECT("template!"&amp;"F"&amp;A560)))</f>
        <v>#REF!</v>
      </c>
      <c r="J560" t="e" cm="1">
        <f t="array" aca="1" ref="J560" ca="1">IF(OR(A560="",B560="safety"),"",IF(ISBLANK(INDIRECT("template!"&amp;"G"&amp;A560)),"",INDIRECT("template!"&amp;"G"&amp;A560)))</f>
        <v>#REF!</v>
      </c>
      <c r="K560" t="e" cm="1">
        <f t="array" aca="1" ref="K560" ca="1">IF(OR(A560="",B560="safety"),"",IF(ISBLANK(INDIRECT("template!"&amp;"H"&amp;A560)),"",INDIRECT("template!"&amp;"H"&amp;A560)))</f>
        <v>#REF!</v>
      </c>
      <c r="L560" t="e" cm="1">
        <f t="array" aca="1" ref="L560" ca="1">IF(OR(A560="",B560="safety"),"",INDIRECT("template!"&amp;"I"&amp;A560))</f>
        <v>#REF!</v>
      </c>
      <c r="M560" t="e" cm="1">
        <f t="array" aca="1" ref="M560" ca="1">IF(OR(A560="",B560="safety"),"",INDIRECT("template!"&amp;"J"&amp;A560))</f>
        <v>#REF!</v>
      </c>
      <c r="N560" t="e" cm="1">
        <f t="array" aca="1" ref="N560" ca="1">IF(OR(A560="",B560="safety"),"",IF(ISBLANK(INDIRECT("template!"&amp;"K"&amp;A560)),"",INDIRECT("template!"&amp;"K"&amp;A560)))</f>
        <v>#REF!</v>
      </c>
      <c r="O560" t="e" cm="1">
        <f t="array" aca="1" ref="O560" ca="1">IF(OR(A560="",B560="safety"),"",INDIRECT("template!"&amp;"L"&amp;A560))</f>
        <v>#REF!</v>
      </c>
      <c r="P560" t="e" cm="1">
        <f t="array" aca="1" ref="P560" ca="1">IF(OR(A560="",B560="safety"),"",INDIRECT("template!"&amp;"M"&amp;A560))</f>
        <v>#REF!</v>
      </c>
      <c r="Q560" t="e">
        <f t="shared" ca="1" si="46"/>
        <v>#REF!</v>
      </c>
      <c r="R560" t="e">
        <f t="shared" ca="1" si="47"/>
        <v>#REF!</v>
      </c>
      <c r="S560" t="e">
        <f t="shared" ca="1" si="48"/>
        <v>#REF!</v>
      </c>
      <c r="T560" t="e">
        <f t="shared" ca="1" si="49"/>
        <v>#REF!</v>
      </c>
      <c r="U560" t="e" cm="1">
        <f t="array" aca="1" ref="U560" ca="1">IF(A560="","",IF(E560="","",IF(B560="safety",INDIRECT("template!"&amp;"P"&amp;A560),Q560+R560)))</f>
        <v>#REF!</v>
      </c>
      <c r="V560" t="e" cm="1">
        <f t="array" aca="1" ref="V560" ca="1">IF(A560="","",IF(E560="","",IF(B560="safety",INDIRECT("template!"&amp;"P"&amp;A560),S560+T560)))</f>
        <v>#REF!</v>
      </c>
      <c r="W560" t="e">
        <f ca="1">IF(A560="","",IF(E560="","",#REF!))</f>
        <v>#REF!</v>
      </c>
      <c r="X560" t="e">
        <f ca="1">IF(A560="","",IF(E560="","",#REF!))</f>
        <v>#REF!</v>
      </c>
      <c r="Y560" s="39" t="e">
        <f ca="1">IF(A560="","",IF(E560="","",#REF!))</f>
        <v>#REF!</v>
      </c>
      <c r="Z560" t="e">
        <f ca="1">IF(A560="","",IF(E560="","",#REF!))</f>
        <v>#REF!</v>
      </c>
      <c r="AA560" t="e">
        <f ca="1">IF(A560="","",IF(E560="","",#REF!))</f>
        <v>#REF!</v>
      </c>
      <c r="AB560" t="e">
        <f ca="1">IF(A560="","",IF(E560="","",#REF!))</f>
        <v>#REF!</v>
      </c>
      <c r="AC560" t="e">
        <f t="shared" ca="1" si="50"/>
        <v>#REF!</v>
      </c>
    </row>
    <row r="561" spans="1:29" x14ac:dyDescent="0.35">
      <c r="A561" t="e" cm="1">
        <f t="array" aca="1" ref="A561" ca="1">IF(A560="","",IF(OR(AND(A560+1&gt;=$AF$1,A560+1&lt;=$AF$2),AND(A560+1&gt;=$AF$6,A560+1&lt;=$AF$7),AND(A560+1&gt;=$AF$3,A560+1&lt;=$AF$4),AND(A560+1&gt;=$AF$8,A560+1&lt;=$AF$9),A560+1=$AF$5),IF(NOT(ISBLANK(INDIRECT("template!"&amp;"P"&amp;A560+1))),A560+1,IF(NOT(ISBLANK(INDIRECT("template!"&amp;"P"&amp;A560+2))),A560+2,A560+3)),IF(A560=$AF$2,$AF$3,IF(A560=$AF$4,$AF$5,IF(A560=$AF$5,$AF$6,IF(A560=$AF$7,$AF$8,""))))))</f>
        <v>#REF!</v>
      </c>
      <c r="B561" t="e">
        <f t="shared" ca="1" si="45"/>
        <v>#REF!</v>
      </c>
      <c r="C561" t="e" cm="1">
        <f t="array" aca="1" ref="C561" ca="1">IF(A561="","",IF(B561="safety","safety costs",INDIRECT("template!"&amp;"B"&amp;A561)))</f>
        <v>#REF!</v>
      </c>
      <c r="D561" t="e" cm="1">
        <f t="array" aca="1" ref="D561" ca="1">IF(OR(A561="",B561="safety"),"",INDIRECT("template!"&amp;"C"&amp;A561))</f>
        <v>#REF!</v>
      </c>
      <c r="E561" t="e" cm="1">
        <f t="array" aca="1" ref="E561" ca="1">IF(A561="","",IF(OR(A561=A560+1,A561=A560+2),E560,INDIRECT("template!"&amp;"D"&amp;A561-2)))</f>
        <v>#REF!</v>
      </c>
      <c r="F561" t="e" cm="1">
        <f t="array" aca="1" ref="F561" ca="1">IF(OR(A561="",B561="safety"),"",IF(ISBLANK(IF(A561=A560+1,F560,INDIRECT("template!"&amp;"D"&amp;A561-1))),"",IF(A561=A560+1,F560,INDIRECT("template!"&amp;"D"&amp;A561-1))))</f>
        <v>#REF!</v>
      </c>
      <c r="G561" t="e" cm="1">
        <f t="array" aca="1" ref="G561" ca="1">IF(OR(A561="",B561="safety"),"",IF(ISBLANK(INDIRECT("template!"&amp;"D"&amp;A561)),"",INDIRECT("template!"&amp;"D"&amp;A561)))</f>
        <v>#REF!</v>
      </c>
      <c r="H561" t="e" cm="1">
        <f t="array" aca="1" ref="H561" ca="1">IF(OR(A561="",B561="safety"),"",IF(ISBLANK(INDIRECT("template!"&amp;"E"&amp;A561)),"",INDIRECT("template!"&amp;"E"&amp;A561)))</f>
        <v>#REF!</v>
      </c>
      <c r="I561" t="e" cm="1">
        <f t="array" aca="1" ref="I561" ca="1">IF(OR(A561="",B561="safety"),"",IF(ISBLANK(INDIRECT("template!"&amp;"F"&amp;A561)),"",INDIRECT("template!"&amp;"F"&amp;A561)))</f>
        <v>#REF!</v>
      </c>
      <c r="J561" t="e" cm="1">
        <f t="array" aca="1" ref="J561" ca="1">IF(OR(A561="",B561="safety"),"",IF(ISBLANK(INDIRECT("template!"&amp;"G"&amp;A561)),"",INDIRECT("template!"&amp;"G"&amp;A561)))</f>
        <v>#REF!</v>
      </c>
      <c r="K561" t="e" cm="1">
        <f t="array" aca="1" ref="K561" ca="1">IF(OR(A561="",B561="safety"),"",IF(ISBLANK(INDIRECT("template!"&amp;"H"&amp;A561)),"",INDIRECT("template!"&amp;"H"&amp;A561)))</f>
        <v>#REF!</v>
      </c>
      <c r="L561" t="e" cm="1">
        <f t="array" aca="1" ref="L561" ca="1">IF(OR(A561="",B561="safety"),"",INDIRECT("template!"&amp;"I"&amp;A561))</f>
        <v>#REF!</v>
      </c>
      <c r="M561" t="e" cm="1">
        <f t="array" aca="1" ref="M561" ca="1">IF(OR(A561="",B561="safety"),"",INDIRECT("template!"&amp;"J"&amp;A561))</f>
        <v>#REF!</v>
      </c>
      <c r="N561" t="e" cm="1">
        <f t="array" aca="1" ref="N561" ca="1">IF(OR(A561="",B561="safety"),"",IF(ISBLANK(INDIRECT("template!"&amp;"K"&amp;A561)),"",INDIRECT("template!"&amp;"K"&amp;A561)))</f>
        <v>#REF!</v>
      </c>
      <c r="O561" t="e" cm="1">
        <f t="array" aca="1" ref="O561" ca="1">IF(OR(A561="",B561="safety"),"",INDIRECT("template!"&amp;"L"&amp;A561))</f>
        <v>#REF!</v>
      </c>
      <c r="P561" t="e" cm="1">
        <f t="array" aca="1" ref="P561" ca="1">IF(OR(A561="",B561="safety"),"",INDIRECT("template!"&amp;"M"&amp;A561))</f>
        <v>#REF!</v>
      </c>
      <c r="Q561" t="e">
        <f t="shared" ca="1" si="46"/>
        <v>#REF!</v>
      </c>
      <c r="R561" t="e">
        <f t="shared" ca="1" si="47"/>
        <v>#REF!</v>
      </c>
      <c r="S561" t="e">
        <f t="shared" ca="1" si="48"/>
        <v>#REF!</v>
      </c>
      <c r="T561" t="e">
        <f t="shared" ca="1" si="49"/>
        <v>#REF!</v>
      </c>
      <c r="U561" t="e" cm="1">
        <f t="array" aca="1" ref="U561" ca="1">IF(A561="","",IF(E561="","",IF(B561="safety",INDIRECT("template!"&amp;"P"&amp;A561),Q561+R561)))</f>
        <v>#REF!</v>
      </c>
      <c r="V561" t="e" cm="1">
        <f t="array" aca="1" ref="V561" ca="1">IF(A561="","",IF(E561="","",IF(B561="safety",INDIRECT("template!"&amp;"P"&amp;A561),S561+T561)))</f>
        <v>#REF!</v>
      </c>
      <c r="W561" t="e">
        <f ca="1">IF(A561="","",IF(E561="","",#REF!))</f>
        <v>#REF!</v>
      </c>
      <c r="X561" t="e">
        <f ca="1">IF(A561="","",IF(E561="","",#REF!))</f>
        <v>#REF!</v>
      </c>
      <c r="Y561" s="39" t="e">
        <f ca="1">IF(A561="","",IF(E561="","",#REF!))</f>
        <v>#REF!</v>
      </c>
      <c r="Z561" t="e">
        <f ca="1">IF(A561="","",IF(E561="","",#REF!))</f>
        <v>#REF!</v>
      </c>
      <c r="AA561" t="e">
        <f ca="1">IF(A561="","",IF(E561="","",#REF!))</f>
        <v>#REF!</v>
      </c>
      <c r="AB561" t="e">
        <f ca="1">IF(A561="","",IF(E561="","",#REF!))</f>
        <v>#REF!</v>
      </c>
      <c r="AC561" t="e">
        <f t="shared" ca="1" si="50"/>
        <v>#REF!</v>
      </c>
    </row>
    <row r="562" spans="1:29" x14ac:dyDescent="0.35">
      <c r="A562" t="e" cm="1">
        <f t="array" aca="1" ref="A562" ca="1">IF(A561="","",IF(OR(AND(A561+1&gt;=$AF$1,A561+1&lt;=$AF$2),AND(A561+1&gt;=$AF$6,A561+1&lt;=$AF$7),AND(A561+1&gt;=$AF$3,A561+1&lt;=$AF$4),AND(A561+1&gt;=$AF$8,A561+1&lt;=$AF$9),A561+1=$AF$5),IF(NOT(ISBLANK(INDIRECT("template!"&amp;"P"&amp;A561+1))),A561+1,IF(NOT(ISBLANK(INDIRECT("template!"&amp;"P"&amp;A561+2))),A561+2,A561+3)),IF(A561=$AF$2,$AF$3,IF(A561=$AF$4,$AF$5,IF(A561=$AF$5,$AF$6,IF(A561=$AF$7,$AF$8,""))))))</f>
        <v>#REF!</v>
      </c>
      <c r="B562" t="e">
        <f t="shared" ca="1" si="45"/>
        <v>#REF!</v>
      </c>
      <c r="C562" t="e" cm="1">
        <f t="array" aca="1" ref="C562" ca="1">IF(A562="","",IF(B562="safety","safety costs",INDIRECT("template!"&amp;"B"&amp;A562)))</f>
        <v>#REF!</v>
      </c>
      <c r="D562" t="e" cm="1">
        <f t="array" aca="1" ref="D562" ca="1">IF(OR(A562="",B562="safety"),"",INDIRECT("template!"&amp;"C"&amp;A562))</f>
        <v>#REF!</v>
      </c>
      <c r="E562" t="e" cm="1">
        <f t="array" aca="1" ref="E562" ca="1">IF(A562="","",IF(OR(A562=A561+1,A562=A561+2),E561,INDIRECT("template!"&amp;"D"&amp;A562-2)))</f>
        <v>#REF!</v>
      </c>
      <c r="F562" t="e" cm="1">
        <f t="array" aca="1" ref="F562" ca="1">IF(OR(A562="",B562="safety"),"",IF(ISBLANK(IF(A562=A561+1,F561,INDIRECT("template!"&amp;"D"&amp;A562-1))),"",IF(A562=A561+1,F561,INDIRECT("template!"&amp;"D"&amp;A562-1))))</f>
        <v>#REF!</v>
      </c>
      <c r="G562" t="e" cm="1">
        <f t="array" aca="1" ref="G562" ca="1">IF(OR(A562="",B562="safety"),"",IF(ISBLANK(INDIRECT("template!"&amp;"D"&amp;A562)),"",INDIRECT("template!"&amp;"D"&amp;A562)))</f>
        <v>#REF!</v>
      </c>
      <c r="H562" t="e" cm="1">
        <f t="array" aca="1" ref="H562" ca="1">IF(OR(A562="",B562="safety"),"",IF(ISBLANK(INDIRECT("template!"&amp;"E"&amp;A562)),"",INDIRECT("template!"&amp;"E"&amp;A562)))</f>
        <v>#REF!</v>
      </c>
      <c r="I562" t="e" cm="1">
        <f t="array" aca="1" ref="I562" ca="1">IF(OR(A562="",B562="safety"),"",IF(ISBLANK(INDIRECT("template!"&amp;"F"&amp;A562)),"",INDIRECT("template!"&amp;"F"&amp;A562)))</f>
        <v>#REF!</v>
      </c>
      <c r="J562" t="e" cm="1">
        <f t="array" aca="1" ref="J562" ca="1">IF(OR(A562="",B562="safety"),"",IF(ISBLANK(INDIRECT("template!"&amp;"G"&amp;A562)),"",INDIRECT("template!"&amp;"G"&amp;A562)))</f>
        <v>#REF!</v>
      </c>
      <c r="K562" t="e" cm="1">
        <f t="array" aca="1" ref="K562" ca="1">IF(OR(A562="",B562="safety"),"",IF(ISBLANK(INDIRECT("template!"&amp;"H"&amp;A562)),"",INDIRECT("template!"&amp;"H"&amp;A562)))</f>
        <v>#REF!</v>
      </c>
      <c r="L562" t="e" cm="1">
        <f t="array" aca="1" ref="L562" ca="1">IF(OR(A562="",B562="safety"),"",INDIRECT("template!"&amp;"I"&amp;A562))</f>
        <v>#REF!</v>
      </c>
      <c r="M562" t="e" cm="1">
        <f t="array" aca="1" ref="M562" ca="1">IF(OR(A562="",B562="safety"),"",INDIRECT("template!"&amp;"J"&amp;A562))</f>
        <v>#REF!</v>
      </c>
      <c r="N562" t="e" cm="1">
        <f t="array" aca="1" ref="N562" ca="1">IF(OR(A562="",B562="safety"),"",IF(ISBLANK(INDIRECT("template!"&amp;"K"&amp;A562)),"",INDIRECT("template!"&amp;"K"&amp;A562)))</f>
        <v>#REF!</v>
      </c>
      <c r="O562" t="e" cm="1">
        <f t="array" aca="1" ref="O562" ca="1">IF(OR(A562="",B562="safety"),"",INDIRECT("template!"&amp;"L"&amp;A562))</f>
        <v>#REF!</v>
      </c>
      <c r="P562" t="e" cm="1">
        <f t="array" aca="1" ref="P562" ca="1">IF(OR(A562="",B562="safety"),"",INDIRECT("template!"&amp;"M"&amp;A562))</f>
        <v>#REF!</v>
      </c>
      <c r="Q562" t="e">
        <f t="shared" ca="1" si="46"/>
        <v>#REF!</v>
      </c>
      <c r="R562" t="e">
        <f t="shared" ca="1" si="47"/>
        <v>#REF!</v>
      </c>
      <c r="S562" t="e">
        <f t="shared" ca="1" si="48"/>
        <v>#REF!</v>
      </c>
      <c r="T562" t="e">
        <f t="shared" ca="1" si="49"/>
        <v>#REF!</v>
      </c>
      <c r="U562" t="e" cm="1">
        <f t="array" aca="1" ref="U562" ca="1">IF(A562="","",IF(E562="","",IF(B562="safety",INDIRECT("template!"&amp;"P"&amp;A562),Q562+R562)))</f>
        <v>#REF!</v>
      </c>
      <c r="V562" t="e" cm="1">
        <f t="array" aca="1" ref="V562" ca="1">IF(A562="","",IF(E562="","",IF(B562="safety",INDIRECT("template!"&amp;"P"&amp;A562),S562+T562)))</f>
        <v>#REF!</v>
      </c>
      <c r="W562" t="e">
        <f ca="1">IF(A562="","",IF(E562="","",#REF!))</f>
        <v>#REF!</v>
      </c>
      <c r="X562" t="e">
        <f ca="1">IF(A562="","",IF(E562="","",#REF!))</f>
        <v>#REF!</v>
      </c>
      <c r="Y562" s="39" t="e">
        <f ca="1">IF(A562="","",IF(E562="","",#REF!))</f>
        <v>#REF!</v>
      </c>
      <c r="Z562" t="e">
        <f ca="1">IF(A562="","",IF(E562="","",#REF!))</f>
        <v>#REF!</v>
      </c>
      <c r="AA562" t="e">
        <f ca="1">IF(A562="","",IF(E562="","",#REF!))</f>
        <v>#REF!</v>
      </c>
      <c r="AB562" t="e">
        <f ca="1">IF(A562="","",IF(E562="","",#REF!))</f>
        <v>#REF!</v>
      </c>
      <c r="AC562" t="e">
        <f t="shared" ca="1" si="50"/>
        <v>#REF!</v>
      </c>
    </row>
    <row r="563" spans="1:29" x14ac:dyDescent="0.35">
      <c r="A563" t="e" cm="1">
        <f t="array" aca="1" ref="A563" ca="1">IF(A562="","",IF(OR(AND(A562+1&gt;=$AF$1,A562+1&lt;=$AF$2),AND(A562+1&gt;=$AF$6,A562+1&lt;=$AF$7),AND(A562+1&gt;=$AF$3,A562+1&lt;=$AF$4),AND(A562+1&gt;=$AF$8,A562+1&lt;=$AF$9),A562+1=$AF$5),IF(NOT(ISBLANK(INDIRECT("template!"&amp;"P"&amp;A562+1))),A562+1,IF(NOT(ISBLANK(INDIRECT("template!"&amp;"P"&amp;A562+2))),A562+2,A562+3)),IF(A562=$AF$2,$AF$3,IF(A562=$AF$4,$AF$5,IF(A562=$AF$5,$AF$6,IF(A562=$AF$7,$AF$8,""))))))</f>
        <v>#REF!</v>
      </c>
      <c r="B563" t="e">
        <f t="shared" ca="1" si="45"/>
        <v>#REF!</v>
      </c>
      <c r="C563" t="e" cm="1">
        <f t="array" aca="1" ref="C563" ca="1">IF(A563="","",IF(B563="safety","safety costs",INDIRECT("template!"&amp;"B"&amp;A563)))</f>
        <v>#REF!</v>
      </c>
      <c r="D563" t="e" cm="1">
        <f t="array" aca="1" ref="D563" ca="1">IF(OR(A563="",B563="safety"),"",INDIRECT("template!"&amp;"C"&amp;A563))</f>
        <v>#REF!</v>
      </c>
      <c r="E563" t="e" cm="1">
        <f t="array" aca="1" ref="E563" ca="1">IF(A563="","",IF(OR(A563=A562+1,A563=A562+2),E562,INDIRECT("template!"&amp;"D"&amp;A563-2)))</f>
        <v>#REF!</v>
      </c>
      <c r="F563" t="e" cm="1">
        <f t="array" aca="1" ref="F563" ca="1">IF(OR(A563="",B563="safety"),"",IF(ISBLANK(IF(A563=A562+1,F562,INDIRECT("template!"&amp;"D"&amp;A563-1))),"",IF(A563=A562+1,F562,INDIRECT("template!"&amp;"D"&amp;A563-1))))</f>
        <v>#REF!</v>
      </c>
      <c r="G563" t="e" cm="1">
        <f t="array" aca="1" ref="G563" ca="1">IF(OR(A563="",B563="safety"),"",IF(ISBLANK(INDIRECT("template!"&amp;"D"&amp;A563)),"",INDIRECT("template!"&amp;"D"&amp;A563)))</f>
        <v>#REF!</v>
      </c>
      <c r="H563" t="e" cm="1">
        <f t="array" aca="1" ref="H563" ca="1">IF(OR(A563="",B563="safety"),"",IF(ISBLANK(INDIRECT("template!"&amp;"E"&amp;A563)),"",INDIRECT("template!"&amp;"E"&amp;A563)))</f>
        <v>#REF!</v>
      </c>
      <c r="I563" t="e" cm="1">
        <f t="array" aca="1" ref="I563" ca="1">IF(OR(A563="",B563="safety"),"",IF(ISBLANK(INDIRECT("template!"&amp;"F"&amp;A563)),"",INDIRECT("template!"&amp;"F"&amp;A563)))</f>
        <v>#REF!</v>
      </c>
      <c r="J563" t="e" cm="1">
        <f t="array" aca="1" ref="J563" ca="1">IF(OR(A563="",B563="safety"),"",IF(ISBLANK(INDIRECT("template!"&amp;"G"&amp;A563)),"",INDIRECT("template!"&amp;"G"&amp;A563)))</f>
        <v>#REF!</v>
      </c>
      <c r="K563" t="e" cm="1">
        <f t="array" aca="1" ref="K563" ca="1">IF(OR(A563="",B563="safety"),"",IF(ISBLANK(INDIRECT("template!"&amp;"H"&amp;A563)),"",INDIRECT("template!"&amp;"H"&amp;A563)))</f>
        <v>#REF!</v>
      </c>
      <c r="L563" t="e" cm="1">
        <f t="array" aca="1" ref="L563" ca="1">IF(OR(A563="",B563="safety"),"",INDIRECT("template!"&amp;"I"&amp;A563))</f>
        <v>#REF!</v>
      </c>
      <c r="M563" t="e" cm="1">
        <f t="array" aca="1" ref="M563" ca="1">IF(OR(A563="",B563="safety"),"",INDIRECT("template!"&amp;"J"&amp;A563))</f>
        <v>#REF!</v>
      </c>
      <c r="N563" t="e" cm="1">
        <f t="array" aca="1" ref="N563" ca="1">IF(OR(A563="",B563="safety"),"",IF(ISBLANK(INDIRECT("template!"&amp;"K"&amp;A563)),"",INDIRECT("template!"&amp;"K"&amp;A563)))</f>
        <v>#REF!</v>
      </c>
      <c r="O563" t="e" cm="1">
        <f t="array" aca="1" ref="O563" ca="1">IF(OR(A563="",B563="safety"),"",INDIRECT("template!"&amp;"L"&amp;A563))</f>
        <v>#REF!</v>
      </c>
      <c r="P563" t="e" cm="1">
        <f t="array" aca="1" ref="P563" ca="1">IF(OR(A563="",B563="safety"),"",INDIRECT("template!"&amp;"M"&amp;A563))</f>
        <v>#REF!</v>
      </c>
      <c r="Q563" t="e">
        <f t="shared" ca="1" si="46"/>
        <v>#REF!</v>
      </c>
      <c r="R563" t="e">
        <f t="shared" ca="1" si="47"/>
        <v>#REF!</v>
      </c>
      <c r="S563" t="e">
        <f t="shared" ca="1" si="48"/>
        <v>#REF!</v>
      </c>
      <c r="T563" t="e">
        <f t="shared" ca="1" si="49"/>
        <v>#REF!</v>
      </c>
      <c r="U563" t="e" cm="1">
        <f t="array" aca="1" ref="U563" ca="1">IF(A563="","",IF(E563="","",IF(B563="safety",INDIRECT("template!"&amp;"P"&amp;A563),Q563+R563)))</f>
        <v>#REF!</v>
      </c>
      <c r="V563" t="e" cm="1">
        <f t="array" aca="1" ref="V563" ca="1">IF(A563="","",IF(E563="","",IF(B563="safety",INDIRECT("template!"&amp;"P"&amp;A563),S563+T563)))</f>
        <v>#REF!</v>
      </c>
      <c r="W563" t="e">
        <f ca="1">IF(A563="","",IF(E563="","",#REF!))</f>
        <v>#REF!</v>
      </c>
      <c r="X563" t="e">
        <f ca="1">IF(A563="","",IF(E563="","",#REF!))</f>
        <v>#REF!</v>
      </c>
      <c r="Y563" s="39" t="e">
        <f ca="1">IF(A563="","",IF(E563="","",#REF!))</f>
        <v>#REF!</v>
      </c>
      <c r="Z563" t="e">
        <f ca="1">IF(A563="","",IF(E563="","",#REF!))</f>
        <v>#REF!</v>
      </c>
      <c r="AA563" t="e">
        <f ca="1">IF(A563="","",IF(E563="","",#REF!))</f>
        <v>#REF!</v>
      </c>
      <c r="AB563" t="e">
        <f ca="1">IF(A563="","",IF(E563="","",#REF!))</f>
        <v>#REF!</v>
      </c>
      <c r="AC563" t="e">
        <f t="shared" ca="1" si="50"/>
        <v>#REF!</v>
      </c>
    </row>
    <row r="564" spans="1:29" x14ac:dyDescent="0.35">
      <c r="A564" t="e" cm="1">
        <f t="array" aca="1" ref="A564" ca="1">IF(A563="","",IF(OR(AND(A563+1&gt;=$AF$1,A563+1&lt;=$AF$2),AND(A563+1&gt;=$AF$6,A563+1&lt;=$AF$7),AND(A563+1&gt;=$AF$3,A563+1&lt;=$AF$4),AND(A563+1&gt;=$AF$8,A563+1&lt;=$AF$9),A563+1=$AF$5),IF(NOT(ISBLANK(INDIRECT("template!"&amp;"P"&amp;A563+1))),A563+1,IF(NOT(ISBLANK(INDIRECT("template!"&amp;"P"&amp;A563+2))),A563+2,A563+3)),IF(A563=$AF$2,$AF$3,IF(A563=$AF$4,$AF$5,IF(A563=$AF$5,$AF$6,IF(A563=$AF$7,$AF$8,""))))))</f>
        <v>#REF!</v>
      </c>
      <c r="B564" t="e">
        <f t="shared" ca="1" si="45"/>
        <v>#REF!</v>
      </c>
      <c r="C564" t="e" cm="1">
        <f t="array" aca="1" ref="C564" ca="1">IF(A564="","",IF(B564="safety","safety costs",INDIRECT("template!"&amp;"B"&amp;A564)))</f>
        <v>#REF!</v>
      </c>
      <c r="D564" t="e" cm="1">
        <f t="array" aca="1" ref="D564" ca="1">IF(OR(A564="",B564="safety"),"",INDIRECT("template!"&amp;"C"&amp;A564))</f>
        <v>#REF!</v>
      </c>
      <c r="E564" t="e" cm="1">
        <f t="array" aca="1" ref="E564" ca="1">IF(A564="","",IF(OR(A564=A563+1,A564=A563+2),E563,INDIRECT("template!"&amp;"D"&amp;A564-2)))</f>
        <v>#REF!</v>
      </c>
      <c r="F564" t="e" cm="1">
        <f t="array" aca="1" ref="F564" ca="1">IF(OR(A564="",B564="safety"),"",IF(ISBLANK(IF(A564=A563+1,F563,INDIRECT("template!"&amp;"D"&amp;A564-1))),"",IF(A564=A563+1,F563,INDIRECT("template!"&amp;"D"&amp;A564-1))))</f>
        <v>#REF!</v>
      </c>
      <c r="G564" t="e" cm="1">
        <f t="array" aca="1" ref="G564" ca="1">IF(OR(A564="",B564="safety"),"",IF(ISBLANK(INDIRECT("template!"&amp;"D"&amp;A564)),"",INDIRECT("template!"&amp;"D"&amp;A564)))</f>
        <v>#REF!</v>
      </c>
      <c r="H564" t="e" cm="1">
        <f t="array" aca="1" ref="H564" ca="1">IF(OR(A564="",B564="safety"),"",IF(ISBLANK(INDIRECT("template!"&amp;"E"&amp;A564)),"",INDIRECT("template!"&amp;"E"&amp;A564)))</f>
        <v>#REF!</v>
      </c>
      <c r="I564" t="e" cm="1">
        <f t="array" aca="1" ref="I564" ca="1">IF(OR(A564="",B564="safety"),"",IF(ISBLANK(INDIRECT("template!"&amp;"F"&amp;A564)),"",INDIRECT("template!"&amp;"F"&amp;A564)))</f>
        <v>#REF!</v>
      </c>
      <c r="J564" t="e" cm="1">
        <f t="array" aca="1" ref="J564" ca="1">IF(OR(A564="",B564="safety"),"",IF(ISBLANK(INDIRECT("template!"&amp;"G"&amp;A564)),"",INDIRECT("template!"&amp;"G"&amp;A564)))</f>
        <v>#REF!</v>
      </c>
      <c r="K564" t="e" cm="1">
        <f t="array" aca="1" ref="K564" ca="1">IF(OR(A564="",B564="safety"),"",IF(ISBLANK(INDIRECT("template!"&amp;"H"&amp;A564)),"",INDIRECT("template!"&amp;"H"&amp;A564)))</f>
        <v>#REF!</v>
      </c>
      <c r="L564" t="e" cm="1">
        <f t="array" aca="1" ref="L564" ca="1">IF(OR(A564="",B564="safety"),"",INDIRECT("template!"&amp;"I"&amp;A564))</f>
        <v>#REF!</v>
      </c>
      <c r="M564" t="e" cm="1">
        <f t="array" aca="1" ref="M564" ca="1">IF(OR(A564="",B564="safety"),"",INDIRECT("template!"&amp;"J"&amp;A564))</f>
        <v>#REF!</v>
      </c>
      <c r="N564" t="e" cm="1">
        <f t="array" aca="1" ref="N564" ca="1">IF(OR(A564="",B564="safety"),"",IF(ISBLANK(INDIRECT("template!"&amp;"K"&amp;A564)),"",INDIRECT("template!"&amp;"K"&amp;A564)))</f>
        <v>#REF!</v>
      </c>
      <c r="O564" t="e" cm="1">
        <f t="array" aca="1" ref="O564" ca="1">IF(OR(A564="",B564="safety"),"",INDIRECT("template!"&amp;"L"&amp;A564))</f>
        <v>#REF!</v>
      </c>
      <c r="P564" t="e" cm="1">
        <f t="array" aca="1" ref="P564" ca="1">IF(OR(A564="",B564="safety"),"",INDIRECT("template!"&amp;"M"&amp;A564))</f>
        <v>#REF!</v>
      </c>
      <c r="Q564" t="e">
        <f t="shared" ca="1" si="46"/>
        <v>#REF!</v>
      </c>
      <c r="R564" t="e">
        <f t="shared" ca="1" si="47"/>
        <v>#REF!</v>
      </c>
      <c r="S564" t="e">
        <f t="shared" ca="1" si="48"/>
        <v>#REF!</v>
      </c>
      <c r="T564" t="e">
        <f t="shared" ca="1" si="49"/>
        <v>#REF!</v>
      </c>
      <c r="U564" t="e" cm="1">
        <f t="array" aca="1" ref="U564" ca="1">IF(A564="","",IF(E564="","",IF(B564="safety",INDIRECT("template!"&amp;"P"&amp;A564),Q564+R564)))</f>
        <v>#REF!</v>
      </c>
      <c r="V564" t="e" cm="1">
        <f t="array" aca="1" ref="V564" ca="1">IF(A564="","",IF(E564="","",IF(B564="safety",INDIRECT("template!"&amp;"P"&amp;A564),S564+T564)))</f>
        <v>#REF!</v>
      </c>
      <c r="W564" t="e">
        <f ca="1">IF(A564="","",IF(E564="","",#REF!))</f>
        <v>#REF!</v>
      </c>
      <c r="X564" t="e">
        <f ca="1">IF(A564="","",IF(E564="","",#REF!))</f>
        <v>#REF!</v>
      </c>
      <c r="Y564" s="39" t="e">
        <f ca="1">IF(A564="","",IF(E564="","",#REF!))</f>
        <v>#REF!</v>
      </c>
      <c r="Z564" t="e">
        <f ca="1">IF(A564="","",IF(E564="","",#REF!))</f>
        <v>#REF!</v>
      </c>
      <c r="AA564" t="e">
        <f ca="1">IF(A564="","",IF(E564="","",#REF!))</f>
        <v>#REF!</v>
      </c>
      <c r="AB564" t="e">
        <f ca="1">IF(A564="","",IF(E564="","",#REF!))</f>
        <v>#REF!</v>
      </c>
      <c r="AC564" t="e">
        <f t="shared" ca="1" si="50"/>
        <v>#REF!</v>
      </c>
    </row>
    <row r="565" spans="1:29" x14ac:dyDescent="0.35">
      <c r="A565" t="e" cm="1">
        <f t="array" aca="1" ref="A565" ca="1">IF(A564="","",IF(OR(AND(A564+1&gt;=$AF$1,A564+1&lt;=$AF$2),AND(A564+1&gt;=$AF$6,A564+1&lt;=$AF$7),AND(A564+1&gt;=$AF$3,A564+1&lt;=$AF$4),AND(A564+1&gt;=$AF$8,A564+1&lt;=$AF$9),A564+1=$AF$5),IF(NOT(ISBLANK(INDIRECT("template!"&amp;"P"&amp;A564+1))),A564+1,IF(NOT(ISBLANK(INDIRECT("template!"&amp;"P"&amp;A564+2))),A564+2,A564+3)),IF(A564=$AF$2,$AF$3,IF(A564=$AF$4,$AF$5,IF(A564=$AF$5,$AF$6,IF(A564=$AF$7,$AF$8,""))))))</f>
        <v>#REF!</v>
      </c>
      <c r="B565" t="e">
        <f t="shared" ca="1" si="45"/>
        <v>#REF!</v>
      </c>
      <c r="C565" t="e" cm="1">
        <f t="array" aca="1" ref="C565" ca="1">IF(A565="","",IF(B565="safety","safety costs",INDIRECT("template!"&amp;"B"&amp;A565)))</f>
        <v>#REF!</v>
      </c>
      <c r="D565" t="e" cm="1">
        <f t="array" aca="1" ref="D565" ca="1">IF(OR(A565="",B565="safety"),"",INDIRECT("template!"&amp;"C"&amp;A565))</f>
        <v>#REF!</v>
      </c>
      <c r="E565" t="e" cm="1">
        <f t="array" aca="1" ref="E565" ca="1">IF(A565="","",IF(OR(A565=A564+1,A565=A564+2),E564,INDIRECT("template!"&amp;"D"&amp;A565-2)))</f>
        <v>#REF!</v>
      </c>
      <c r="F565" t="e" cm="1">
        <f t="array" aca="1" ref="F565" ca="1">IF(OR(A565="",B565="safety"),"",IF(ISBLANK(IF(A565=A564+1,F564,INDIRECT("template!"&amp;"D"&amp;A565-1))),"",IF(A565=A564+1,F564,INDIRECT("template!"&amp;"D"&amp;A565-1))))</f>
        <v>#REF!</v>
      </c>
      <c r="G565" t="e" cm="1">
        <f t="array" aca="1" ref="G565" ca="1">IF(OR(A565="",B565="safety"),"",IF(ISBLANK(INDIRECT("template!"&amp;"D"&amp;A565)),"",INDIRECT("template!"&amp;"D"&amp;A565)))</f>
        <v>#REF!</v>
      </c>
      <c r="H565" t="e" cm="1">
        <f t="array" aca="1" ref="H565" ca="1">IF(OR(A565="",B565="safety"),"",IF(ISBLANK(INDIRECT("template!"&amp;"E"&amp;A565)),"",INDIRECT("template!"&amp;"E"&amp;A565)))</f>
        <v>#REF!</v>
      </c>
      <c r="I565" t="e" cm="1">
        <f t="array" aca="1" ref="I565" ca="1">IF(OR(A565="",B565="safety"),"",IF(ISBLANK(INDIRECT("template!"&amp;"F"&amp;A565)),"",INDIRECT("template!"&amp;"F"&amp;A565)))</f>
        <v>#REF!</v>
      </c>
      <c r="J565" t="e" cm="1">
        <f t="array" aca="1" ref="J565" ca="1">IF(OR(A565="",B565="safety"),"",IF(ISBLANK(INDIRECT("template!"&amp;"G"&amp;A565)),"",INDIRECT("template!"&amp;"G"&amp;A565)))</f>
        <v>#REF!</v>
      </c>
      <c r="K565" t="e" cm="1">
        <f t="array" aca="1" ref="K565" ca="1">IF(OR(A565="",B565="safety"),"",IF(ISBLANK(INDIRECT("template!"&amp;"H"&amp;A565)),"",INDIRECT("template!"&amp;"H"&amp;A565)))</f>
        <v>#REF!</v>
      </c>
      <c r="L565" t="e" cm="1">
        <f t="array" aca="1" ref="L565" ca="1">IF(OR(A565="",B565="safety"),"",INDIRECT("template!"&amp;"I"&amp;A565))</f>
        <v>#REF!</v>
      </c>
      <c r="M565" t="e" cm="1">
        <f t="array" aca="1" ref="M565" ca="1">IF(OR(A565="",B565="safety"),"",INDIRECT("template!"&amp;"J"&amp;A565))</f>
        <v>#REF!</v>
      </c>
      <c r="N565" t="e" cm="1">
        <f t="array" aca="1" ref="N565" ca="1">IF(OR(A565="",B565="safety"),"",IF(ISBLANK(INDIRECT("template!"&amp;"K"&amp;A565)),"",INDIRECT("template!"&amp;"K"&amp;A565)))</f>
        <v>#REF!</v>
      </c>
      <c r="O565" t="e" cm="1">
        <f t="array" aca="1" ref="O565" ca="1">IF(OR(A565="",B565="safety"),"",INDIRECT("template!"&amp;"L"&amp;A565))</f>
        <v>#REF!</v>
      </c>
      <c r="P565" t="e" cm="1">
        <f t="array" aca="1" ref="P565" ca="1">IF(OR(A565="",B565="safety"),"",INDIRECT("template!"&amp;"M"&amp;A565))</f>
        <v>#REF!</v>
      </c>
      <c r="Q565" t="e">
        <f t="shared" ca="1" si="46"/>
        <v>#REF!</v>
      </c>
      <c r="R565" t="e">
        <f t="shared" ca="1" si="47"/>
        <v>#REF!</v>
      </c>
      <c r="S565" t="e">
        <f t="shared" ca="1" si="48"/>
        <v>#REF!</v>
      </c>
      <c r="T565" t="e">
        <f t="shared" ca="1" si="49"/>
        <v>#REF!</v>
      </c>
      <c r="U565" t="e" cm="1">
        <f t="array" aca="1" ref="U565" ca="1">IF(A565="","",IF(E565="","",IF(B565="safety",INDIRECT("template!"&amp;"P"&amp;A565),Q565+R565)))</f>
        <v>#REF!</v>
      </c>
      <c r="V565" t="e" cm="1">
        <f t="array" aca="1" ref="V565" ca="1">IF(A565="","",IF(E565="","",IF(B565="safety",INDIRECT("template!"&amp;"P"&amp;A565),S565+T565)))</f>
        <v>#REF!</v>
      </c>
      <c r="W565" t="e">
        <f ca="1">IF(A565="","",IF(E565="","",#REF!))</f>
        <v>#REF!</v>
      </c>
      <c r="X565" t="e">
        <f ca="1">IF(A565="","",IF(E565="","",#REF!))</f>
        <v>#REF!</v>
      </c>
      <c r="Y565" s="39" t="e">
        <f ca="1">IF(A565="","",IF(E565="","",#REF!))</f>
        <v>#REF!</v>
      </c>
      <c r="Z565" t="e">
        <f ca="1">IF(A565="","",IF(E565="","",#REF!))</f>
        <v>#REF!</v>
      </c>
      <c r="AA565" t="e">
        <f ca="1">IF(A565="","",IF(E565="","",#REF!))</f>
        <v>#REF!</v>
      </c>
      <c r="AB565" t="e">
        <f ca="1">IF(A565="","",IF(E565="","",#REF!))</f>
        <v>#REF!</v>
      </c>
      <c r="AC565" t="e">
        <f t="shared" ca="1" si="50"/>
        <v>#REF!</v>
      </c>
    </row>
    <row r="566" spans="1:29" x14ac:dyDescent="0.35">
      <c r="A566" t="e" cm="1">
        <f t="array" aca="1" ref="A566" ca="1">IF(A565="","",IF(OR(AND(A565+1&gt;=$AF$1,A565+1&lt;=$AF$2),AND(A565+1&gt;=$AF$6,A565+1&lt;=$AF$7),AND(A565+1&gt;=$AF$3,A565+1&lt;=$AF$4),AND(A565+1&gt;=$AF$8,A565+1&lt;=$AF$9),A565+1=$AF$5),IF(NOT(ISBLANK(INDIRECT("template!"&amp;"P"&amp;A565+1))),A565+1,IF(NOT(ISBLANK(INDIRECT("template!"&amp;"P"&amp;A565+2))),A565+2,A565+3)),IF(A565=$AF$2,$AF$3,IF(A565=$AF$4,$AF$5,IF(A565=$AF$5,$AF$6,IF(A565=$AF$7,$AF$8,""))))))</f>
        <v>#REF!</v>
      </c>
      <c r="B566" t="e">
        <f t="shared" ca="1" si="45"/>
        <v>#REF!</v>
      </c>
      <c r="C566" t="e" cm="1">
        <f t="array" aca="1" ref="C566" ca="1">IF(A566="","",IF(B566="safety","safety costs",INDIRECT("template!"&amp;"B"&amp;A566)))</f>
        <v>#REF!</v>
      </c>
      <c r="D566" t="e" cm="1">
        <f t="array" aca="1" ref="D566" ca="1">IF(OR(A566="",B566="safety"),"",INDIRECT("template!"&amp;"C"&amp;A566))</f>
        <v>#REF!</v>
      </c>
      <c r="E566" t="e" cm="1">
        <f t="array" aca="1" ref="E566" ca="1">IF(A566="","",IF(OR(A566=A565+1,A566=A565+2),E565,INDIRECT("template!"&amp;"D"&amp;A566-2)))</f>
        <v>#REF!</v>
      </c>
      <c r="F566" t="e" cm="1">
        <f t="array" aca="1" ref="F566" ca="1">IF(OR(A566="",B566="safety"),"",IF(ISBLANK(IF(A566=A565+1,F565,INDIRECT("template!"&amp;"D"&amp;A566-1))),"",IF(A566=A565+1,F565,INDIRECT("template!"&amp;"D"&amp;A566-1))))</f>
        <v>#REF!</v>
      </c>
      <c r="G566" t="e" cm="1">
        <f t="array" aca="1" ref="G566" ca="1">IF(OR(A566="",B566="safety"),"",IF(ISBLANK(INDIRECT("template!"&amp;"D"&amp;A566)),"",INDIRECT("template!"&amp;"D"&amp;A566)))</f>
        <v>#REF!</v>
      </c>
      <c r="H566" t="e" cm="1">
        <f t="array" aca="1" ref="H566" ca="1">IF(OR(A566="",B566="safety"),"",IF(ISBLANK(INDIRECT("template!"&amp;"E"&amp;A566)),"",INDIRECT("template!"&amp;"E"&amp;A566)))</f>
        <v>#REF!</v>
      </c>
      <c r="I566" t="e" cm="1">
        <f t="array" aca="1" ref="I566" ca="1">IF(OR(A566="",B566="safety"),"",IF(ISBLANK(INDIRECT("template!"&amp;"F"&amp;A566)),"",INDIRECT("template!"&amp;"F"&amp;A566)))</f>
        <v>#REF!</v>
      </c>
      <c r="J566" t="e" cm="1">
        <f t="array" aca="1" ref="J566" ca="1">IF(OR(A566="",B566="safety"),"",IF(ISBLANK(INDIRECT("template!"&amp;"G"&amp;A566)),"",INDIRECT("template!"&amp;"G"&amp;A566)))</f>
        <v>#REF!</v>
      </c>
      <c r="K566" t="e" cm="1">
        <f t="array" aca="1" ref="K566" ca="1">IF(OR(A566="",B566="safety"),"",IF(ISBLANK(INDIRECT("template!"&amp;"H"&amp;A566)),"",INDIRECT("template!"&amp;"H"&amp;A566)))</f>
        <v>#REF!</v>
      </c>
      <c r="L566" t="e" cm="1">
        <f t="array" aca="1" ref="L566" ca="1">IF(OR(A566="",B566="safety"),"",INDIRECT("template!"&amp;"I"&amp;A566))</f>
        <v>#REF!</v>
      </c>
      <c r="M566" t="e" cm="1">
        <f t="array" aca="1" ref="M566" ca="1">IF(OR(A566="",B566="safety"),"",INDIRECT("template!"&amp;"J"&amp;A566))</f>
        <v>#REF!</v>
      </c>
      <c r="N566" t="e" cm="1">
        <f t="array" aca="1" ref="N566" ca="1">IF(OR(A566="",B566="safety"),"",IF(ISBLANK(INDIRECT("template!"&amp;"K"&amp;A566)),"",INDIRECT("template!"&amp;"K"&amp;A566)))</f>
        <v>#REF!</v>
      </c>
      <c r="O566" t="e" cm="1">
        <f t="array" aca="1" ref="O566" ca="1">IF(OR(A566="",B566="safety"),"",INDIRECT("template!"&amp;"L"&amp;A566))</f>
        <v>#REF!</v>
      </c>
      <c r="P566" t="e" cm="1">
        <f t="array" aca="1" ref="P566" ca="1">IF(OR(A566="",B566="safety"),"",INDIRECT("template!"&amp;"M"&amp;A566))</f>
        <v>#REF!</v>
      </c>
      <c r="Q566" t="e">
        <f t="shared" ca="1" si="46"/>
        <v>#REF!</v>
      </c>
      <c r="R566" t="e">
        <f t="shared" ca="1" si="47"/>
        <v>#REF!</v>
      </c>
      <c r="S566" t="e">
        <f t="shared" ca="1" si="48"/>
        <v>#REF!</v>
      </c>
      <c r="T566" t="e">
        <f t="shared" ca="1" si="49"/>
        <v>#REF!</v>
      </c>
      <c r="U566" t="e" cm="1">
        <f t="array" aca="1" ref="U566" ca="1">IF(A566="","",IF(E566="","",IF(B566="safety",INDIRECT("template!"&amp;"P"&amp;A566),Q566+R566)))</f>
        <v>#REF!</v>
      </c>
      <c r="V566" t="e" cm="1">
        <f t="array" aca="1" ref="V566" ca="1">IF(A566="","",IF(E566="","",IF(B566="safety",INDIRECT("template!"&amp;"P"&amp;A566),S566+T566)))</f>
        <v>#REF!</v>
      </c>
      <c r="W566" t="e">
        <f ca="1">IF(A566="","",IF(E566="","",#REF!))</f>
        <v>#REF!</v>
      </c>
      <c r="X566" t="e">
        <f ca="1">IF(A566="","",IF(E566="","",#REF!))</f>
        <v>#REF!</v>
      </c>
      <c r="Y566" s="39" t="e">
        <f ca="1">IF(A566="","",IF(E566="","",#REF!))</f>
        <v>#REF!</v>
      </c>
      <c r="Z566" t="e">
        <f ca="1">IF(A566="","",IF(E566="","",#REF!))</f>
        <v>#REF!</v>
      </c>
      <c r="AA566" t="e">
        <f ca="1">IF(A566="","",IF(E566="","",#REF!))</f>
        <v>#REF!</v>
      </c>
      <c r="AB566" t="e">
        <f ca="1">IF(A566="","",IF(E566="","",#REF!))</f>
        <v>#REF!</v>
      </c>
      <c r="AC566" t="e">
        <f t="shared" ca="1" si="50"/>
        <v>#REF!</v>
      </c>
    </row>
    <row r="567" spans="1:29" x14ac:dyDescent="0.35">
      <c r="A567" t="e" cm="1">
        <f t="array" aca="1" ref="A567" ca="1">IF(A566="","",IF(OR(AND(A566+1&gt;=$AF$1,A566+1&lt;=$AF$2),AND(A566+1&gt;=$AF$6,A566+1&lt;=$AF$7),AND(A566+1&gt;=$AF$3,A566+1&lt;=$AF$4),AND(A566+1&gt;=$AF$8,A566+1&lt;=$AF$9),A566+1=$AF$5),IF(NOT(ISBLANK(INDIRECT("template!"&amp;"P"&amp;A566+1))),A566+1,IF(NOT(ISBLANK(INDIRECT("template!"&amp;"P"&amp;A566+2))),A566+2,A566+3)),IF(A566=$AF$2,$AF$3,IF(A566=$AF$4,$AF$5,IF(A566=$AF$5,$AF$6,IF(A566=$AF$7,$AF$8,""))))))</f>
        <v>#REF!</v>
      </c>
      <c r="B567" t="e">
        <f t="shared" ca="1" si="45"/>
        <v>#REF!</v>
      </c>
      <c r="C567" t="e" cm="1">
        <f t="array" aca="1" ref="C567" ca="1">IF(A567="","",IF(B567="safety","safety costs",INDIRECT("template!"&amp;"B"&amp;A567)))</f>
        <v>#REF!</v>
      </c>
      <c r="D567" t="e" cm="1">
        <f t="array" aca="1" ref="D567" ca="1">IF(OR(A567="",B567="safety"),"",INDIRECT("template!"&amp;"C"&amp;A567))</f>
        <v>#REF!</v>
      </c>
      <c r="E567" t="e" cm="1">
        <f t="array" aca="1" ref="E567" ca="1">IF(A567="","",IF(OR(A567=A566+1,A567=A566+2),E566,INDIRECT("template!"&amp;"D"&amp;A567-2)))</f>
        <v>#REF!</v>
      </c>
      <c r="F567" t="e" cm="1">
        <f t="array" aca="1" ref="F567" ca="1">IF(OR(A567="",B567="safety"),"",IF(ISBLANK(IF(A567=A566+1,F566,INDIRECT("template!"&amp;"D"&amp;A567-1))),"",IF(A567=A566+1,F566,INDIRECT("template!"&amp;"D"&amp;A567-1))))</f>
        <v>#REF!</v>
      </c>
      <c r="G567" t="e" cm="1">
        <f t="array" aca="1" ref="G567" ca="1">IF(OR(A567="",B567="safety"),"",IF(ISBLANK(INDIRECT("template!"&amp;"D"&amp;A567)),"",INDIRECT("template!"&amp;"D"&amp;A567)))</f>
        <v>#REF!</v>
      </c>
      <c r="H567" t="e" cm="1">
        <f t="array" aca="1" ref="H567" ca="1">IF(OR(A567="",B567="safety"),"",IF(ISBLANK(INDIRECT("template!"&amp;"E"&amp;A567)),"",INDIRECT("template!"&amp;"E"&amp;A567)))</f>
        <v>#REF!</v>
      </c>
      <c r="I567" t="e" cm="1">
        <f t="array" aca="1" ref="I567" ca="1">IF(OR(A567="",B567="safety"),"",IF(ISBLANK(INDIRECT("template!"&amp;"F"&amp;A567)),"",INDIRECT("template!"&amp;"F"&amp;A567)))</f>
        <v>#REF!</v>
      </c>
      <c r="J567" t="e" cm="1">
        <f t="array" aca="1" ref="J567" ca="1">IF(OR(A567="",B567="safety"),"",IF(ISBLANK(INDIRECT("template!"&amp;"G"&amp;A567)),"",INDIRECT("template!"&amp;"G"&amp;A567)))</f>
        <v>#REF!</v>
      </c>
      <c r="K567" t="e" cm="1">
        <f t="array" aca="1" ref="K567" ca="1">IF(OR(A567="",B567="safety"),"",IF(ISBLANK(INDIRECT("template!"&amp;"H"&amp;A567)),"",INDIRECT("template!"&amp;"H"&amp;A567)))</f>
        <v>#REF!</v>
      </c>
      <c r="L567" t="e" cm="1">
        <f t="array" aca="1" ref="L567" ca="1">IF(OR(A567="",B567="safety"),"",INDIRECT("template!"&amp;"I"&amp;A567))</f>
        <v>#REF!</v>
      </c>
      <c r="M567" t="e" cm="1">
        <f t="array" aca="1" ref="M567" ca="1">IF(OR(A567="",B567="safety"),"",INDIRECT("template!"&amp;"J"&amp;A567))</f>
        <v>#REF!</v>
      </c>
      <c r="N567" t="e" cm="1">
        <f t="array" aca="1" ref="N567" ca="1">IF(OR(A567="",B567="safety"),"",IF(ISBLANK(INDIRECT("template!"&amp;"K"&amp;A567)),"",INDIRECT("template!"&amp;"K"&amp;A567)))</f>
        <v>#REF!</v>
      </c>
      <c r="O567" t="e" cm="1">
        <f t="array" aca="1" ref="O567" ca="1">IF(OR(A567="",B567="safety"),"",INDIRECT("template!"&amp;"L"&amp;A567))</f>
        <v>#REF!</v>
      </c>
      <c r="P567" t="e" cm="1">
        <f t="array" aca="1" ref="P567" ca="1">IF(OR(A567="",B567="safety"),"",INDIRECT("template!"&amp;"M"&amp;A567))</f>
        <v>#REF!</v>
      </c>
      <c r="Q567" t="e">
        <f t="shared" ca="1" si="46"/>
        <v>#REF!</v>
      </c>
      <c r="R567" t="e">
        <f t="shared" ca="1" si="47"/>
        <v>#REF!</v>
      </c>
      <c r="S567" t="e">
        <f t="shared" ca="1" si="48"/>
        <v>#REF!</v>
      </c>
      <c r="T567" t="e">
        <f t="shared" ca="1" si="49"/>
        <v>#REF!</v>
      </c>
      <c r="U567" t="e" cm="1">
        <f t="array" aca="1" ref="U567" ca="1">IF(A567="","",IF(E567="","",IF(B567="safety",INDIRECT("template!"&amp;"P"&amp;A567),Q567+R567)))</f>
        <v>#REF!</v>
      </c>
      <c r="V567" t="e" cm="1">
        <f t="array" aca="1" ref="V567" ca="1">IF(A567="","",IF(E567="","",IF(B567="safety",INDIRECT("template!"&amp;"P"&amp;A567),S567+T567)))</f>
        <v>#REF!</v>
      </c>
      <c r="W567" t="e">
        <f ca="1">IF(A567="","",IF(E567="","",#REF!))</f>
        <v>#REF!</v>
      </c>
      <c r="X567" t="e">
        <f ca="1">IF(A567="","",IF(E567="","",#REF!))</f>
        <v>#REF!</v>
      </c>
      <c r="Y567" s="39" t="e">
        <f ca="1">IF(A567="","",IF(E567="","",#REF!))</f>
        <v>#REF!</v>
      </c>
      <c r="Z567" t="e">
        <f ca="1">IF(A567="","",IF(E567="","",#REF!))</f>
        <v>#REF!</v>
      </c>
      <c r="AA567" t="e">
        <f ca="1">IF(A567="","",IF(E567="","",#REF!))</f>
        <v>#REF!</v>
      </c>
      <c r="AB567" t="e">
        <f ca="1">IF(A567="","",IF(E567="","",#REF!))</f>
        <v>#REF!</v>
      </c>
      <c r="AC567" t="e">
        <f t="shared" ca="1" si="50"/>
        <v>#REF!</v>
      </c>
    </row>
    <row r="568" spans="1:29" x14ac:dyDescent="0.35">
      <c r="A568" t="e" cm="1">
        <f t="array" aca="1" ref="A568" ca="1">IF(A567="","",IF(OR(AND(A567+1&gt;=$AF$1,A567+1&lt;=$AF$2),AND(A567+1&gt;=$AF$6,A567+1&lt;=$AF$7),AND(A567+1&gt;=$AF$3,A567+1&lt;=$AF$4),AND(A567+1&gt;=$AF$8,A567+1&lt;=$AF$9),A567+1=$AF$5),IF(NOT(ISBLANK(INDIRECT("template!"&amp;"P"&amp;A567+1))),A567+1,IF(NOT(ISBLANK(INDIRECT("template!"&amp;"P"&amp;A567+2))),A567+2,A567+3)),IF(A567=$AF$2,$AF$3,IF(A567=$AF$4,$AF$5,IF(A567=$AF$5,$AF$6,IF(A567=$AF$7,$AF$8,""))))))</f>
        <v>#REF!</v>
      </c>
      <c r="B568" t="e">
        <f t="shared" ca="1" si="45"/>
        <v>#REF!</v>
      </c>
      <c r="C568" t="e" cm="1">
        <f t="array" aca="1" ref="C568" ca="1">IF(A568="","",IF(B568="safety","safety costs",INDIRECT("template!"&amp;"B"&amp;A568)))</f>
        <v>#REF!</v>
      </c>
      <c r="D568" t="e" cm="1">
        <f t="array" aca="1" ref="D568" ca="1">IF(OR(A568="",B568="safety"),"",INDIRECT("template!"&amp;"C"&amp;A568))</f>
        <v>#REF!</v>
      </c>
      <c r="E568" t="e" cm="1">
        <f t="array" aca="1" ref="E568" ca="1">IF(A568="","",IF(OR(A568=A567+1,A568=A567+2),E567,INDIRECT("template!"&amp;"D"&amp;A568-2)))</f>
        <v>#REF!</v>
      </c>
      <c r="F568" t="e" cm="1">
        <f t="array" aca="1" ref="F568" ca="1">IF(OR(A568="",B568="safety"),"",IF(ISBLANK(IF(A568=A567+1,F567,INDIRECT("template!"&amp;"D"&amp;A568-1))),"",IF(A568=A567+1,F567,INDIRECT("template!"&amp;"D"&amp;A568-1))))</f>
        <v>#REF!</v>
      </c>
      <c r="G568" t="e" cm="1">
        <f t="array" aca="1" ref="G568" ca="1">IF(OR(A568="",B568="safety"),"",IF(ISBLANK(INDIRECT("template!"&amp;"D"&amp;A568)),"",INDIRECT("template!"&amp;"D"&amp;A568)))</f>
        <v>#REF!</v>
      </c>
      <c r="H568" t="e" cm="1">
        <f t="array" aca="1" ref="H568" ca="1">IF(OR(A568="",B568="safety"),"",IF(ISBLANK(INDIRECT("template!"&amp;"E"&amp;A568)),"",INDIRECT("template!"&amp;"E"&amp;A568)))</f>
        <v>#REF!</v>
      </c>
      <c r="I568" t="e" cm="1">
        <f t="array" aca="1" ref="I568" ca="1">IF(OR(A568="",B568="safety"),"",IF(ISBLANK(INDIRECT("template!"&amp;"F"&amp;A568)),"",INDIRECT("template!"&amp;"F"&amp;A568)))</f>
        <v>#REF!</v>
      </c>
      <c r="J568" t="e" cm="1">
        <f t="array" aca="1" ref="J568" ca="1">IF(OR(A568="",B568="safety"),"",IF(ISBLANK(INDIRECT("template!"&amp;"G"&amp;A568)),"",INDIRECT("template!"&amp;"G"&amp;A568)))</f>
        <v>#REF!</v>
      </c>
      <c r="K568" t="e" cm="1">
        <f t="array" aca="1" ref="K568" ca="1">IF(OR(A568="",B568="safety"),"",IF(ISBLANK(INDIRECT("template!"&amp;"H"&amp;A568)),"",INDIRECT("template!"&amp;"H"&amp;A568)))</f>
        <v>#REF!</v>
      </c>
      <c r="L568" t="e" cm="1">
        <f t="array" aca="1" ref="L568" ca="1">IF(OR(A568="",B568="safety"),"",INDIRECT("template!"&amp;"I"&amp;A568))</f>
        <v>#REF!</v>
      </c>
      <c r="M568" t="e" cm="1">
        <f t="array" aca="1" ref="M568" ca="1">IF(OR(A568="",B568="safety"),"",INDIRECT("template!"&amp;"J"&amp;A568))</f>
        <v>#REF!</v>
      </c>
      <c r="N568" t="e" cm="1">
        <f t="array" aca="1" ref="N568" ca="1">IF(OR(A568="",B568="safety"),"",IF(ISBLANK(INDIRECT("template!"&amp;"K"&amp;A568)),"",INDIRECT("template!"&amp;"K"&amp;A568)))</f>
        <v>#REF!</v>
      </c>
      <c r="O568" t="e" cm="1">
        <f t="array" aca="1" ref="O568" ca="1">IF(OR(A568="",B568="safety"),"",INDIRECT("template!"&amp;"L"&amp;A568))</f>
        <v>#REF!</v>
      </c>
      <c r="P568" t="e" cm="1">
        <f t="array" aca="1" ref="P568" ca="1">IF(OR(A568="",B568="safety"),"",INDIRECT("template!"&amp;"M"&amp;A568))</f>
        <v>#REF!</v>
      </c>
      <c r="Q568" t="e">
        <f t="shared" ca="1" si="46"/>
        <v>#REF!</v>
      </c>
      <c r="R568" t="e">
        <f t="shared" ca="1" si="47"/>
        <v>#REF!</v>
      </c>
      <c r="S568" t="e">
        <f t="shared" ca="1" si="48"/>
        <v>#REF!</v>
      </c>
      <c r="T568" t="e">
        <f t="shared" ca="1" si="49"/>
        <v>#REF!</v>
      </c>
      <c r="U568" t="e" cm="1">
        <f t="array" aca="1" ref="U568" ca="1">IF(A568="","",IF(E568="","",IF(B568="safety",INDIRECT("template!"&amp;"P"&amp;A568),Q568+R568)))</f>
        <v>#REF!</v>
      </c>
      <c r="V568" t="e" cm="1">
        <f t="array" aca="1" ref="V568" ca="1">IF(A568="","",IF(E568="","",IF(B568="safety",INDIRECT("template!"&amp;"P"&amp;A568),S568+T568)))</f>
        <v>#REF!</v>
      </c>
      <c r="W568" t="e">
        <f ca="1">IF(A568="","",IF(E568="","",#REF!))</f>
        <v>#REF!</v>
      </c>
      <c r="X568" t="e">
        <f ca="1">IF(A568="","",IF(E568="","",#REF!))</f>
        <v>#REF!</v>
      </c>
      <c r="Y568" s="39" t="e">
        <f ca="1">IF(A568="","",IF(E568="","",#REF!))</f>
        <v>#REF!</v>
      </c>
      <c r="Z568" t="e">
        <f ca="1">IF(A568="","",IF(E568="","",#REF!))</f>
        <v>#REF!</v>
      </c>
      <c r="AA568" t="e">
        <f ca="1">IF(A568="","",IF(E568="","",#REF!))</f>
        <v>#REF!</v>
      </c>
      <c r="AB568" t="e">
        <f ca="1">IF(A568="","",IF(E568="","",#REF!))</f>
        <v>#REF!</v>
      </c>
      <c r="AC568" t="e">
        <f t="shared" ca="1" si="50"/>
        <v>#REF!</v>
      </c>
    </row>
    <row r="569" spans="1:29" x14ac:dyDescent="0.35">
      <c r="A569" t="e" cm="1">
        <f t="array" aca="1" ref="A569" ca="1">IF(A568="","",IF(OR(AND(A568+1&gt;=$AF$1,A568+1&lt;=$AF$2),AND(A568+1&gt;=$AF$6,A568+1&lt;=$AF$7),AND(A568+1&gt;=$AF$3,A568+1&lt;=$AF$4),AND(A568+1&gt;=$AF$8,A568+1&lt;=$AF$9),A568+1=$AF$5),IF(NOT(ISBLANK(INDIRECT("template!"&amp;"P"&amp;A568+1))),A568+1,IF(NOT(ISBLANK(INDIRECT("template!"&amp;"P"&amp;A568+2))),A568+2,A568+3)),IF(A568=$AF$2,$AF$3,IF(A568=$AF$4,$AF$5,IF(A568=$AF$5,$AF$6,IF(A568=$AF$7,$AF$8,""))))))</f>
        <v>#REF!</v>
      </c>
      <c r="B569" t="e">
        <f t="shared" ca="1" si="45"/>
        <v>#REF!</v>
      </c>
      <c r="C569" t="e" cm="1">
        <f t="array" aca="1" ref="C569" ca="1">IF(A569="","",IF(B569="safety","safety costs",INDIRECT("template!"&amp;"B"&amp;A569)))</f>
        <v>#REF!</v>
      </c>
      <c r="D569" t="e" cm="1">
        <f t="array" aca="1" ref="D569" ca="1">IF(OR(A569="",B569="safety"),"",INDIRECT("template!"&amp;"C"&amp;A569))</f>
        <v>#REF!</v>
      </c>
      <c r="E569" t="e" cm="1">
        <f t="array" aca="1" ref="E569" ca="1">IF(A569="","",IF(OR(A569=A568+1,A569=A568+2),E568,INDIRECT("template!"&amp;"D"&amp;A569-2)))</f>
        <v>#REF!</v>
      </c>
      <c r="F569" t="e" cm="1">
        <f t="array" aca="1" ref="F569" ca="1">IF(OR(A569="",B569="safety"),"",IF(ISBLANK(IF(A569=A568+1,F568,INDIRECT("template!"&amp;"D"&amp;A569-1))),"",IF(A569=A568+1,F568,INDIRECT("template!"&amp;"D"&amp;A569-1))))</f>
        <v>#REF!</v>
      </c>
      <c r="G569" t="e" cm="1">
        <f t="array" aca="1" ref="G569" ca="1">IF(OR(A569="",B569="safety"),"",IF(ISBLANK(INDIRECT("template!"&amp;"D"&amp;A569)),"",INDIRECT("template!"&amp;"D"&amp;A569)))</f>
        <v>#REF!</v>
      </c>
      <c r="H569" t="e" cm="1">
        <f t="array" aca="1" ref="H569" ca="1">IF(OR(A569="",B569="safety"),"",IF(ISBLANK(INDIRECT("template!"&amp;"E"&amp;A569)),"",INDIRECT("template!"&amp;"E"&amp;A569)))</f>
        <v>#REF!</v>
      </c>
      <c r="I569" t="e" cm="1">
        <f t="array" aca="1" ref="I569" ca="1">IF(OR(A569="",B569="safety"),"",IF(ISBLANK(INDIRECT("template!"&amp;"F"&amp;A569)),"",INDIRECT("template!"&amp;"F"&amp;A569)))</f>
        <v>#REF!</v>
      </c>
      <c r="J569" t="e" cm="1">
        <f t="array" aca="1" ref="J569" ca="1">IF(OR(A569="",B569="safety"),"",IF(ISBLANK(INDIRECT("template!"&amp;"G"&amp;A569)),"",INDIRECT("template!"&amp;"G"&amp;A569)))</f>
        <v>#REF!</v>
      </c>
      <c r="K569" t="e" cm="1">
        <f t="array" aca="1" ref="K569" ca="1">IF(OR(A569="",B569="safety"),"",IF(ISBLANK(INDIRECT("template!"&amp;"H"&amp;A569)),"",INDIRECT("template!"&amp;"H"&amp;A569)))</f>
        <v>#REF!</v>
      </c>
      <c r="L569" t="e" cm="1">
        <f t="array" aca="1" ref="L569" ca="1">IF(OR(A569="",B569="safety"),"",INDIRECT("template!"&amp;"I"&amp;A569))</f>
        <v>#REF!</v>
      </c>
      <c r="M569" t="e" cm="1">
        <f t="array" aca="1" ref="M569" ca="1">IF(OR(A569="",B569="safety"),"",INDIRECT("template!"&amp;"J"&amp;A569))</f>
        <v>#REF!</v>
      </c>
      <c r="N569" t="e" cm="1">
        <f t="array" aca="1" ref="N569" ca="1">IF(OR(A569="",B569="safety"),"",IF(ISBLANK(INDIRECT("template!"&amp;"K"&amp;A569)),"",INDIRECT("template!"&amp;"K"&amp;A569)))</f>
        <v>#REF!</v>
      </c>
      <c r="O569" t="e" cm="1">
        <f t="array" aca="1" ref="O569" ca="1">IF(OR(A569="",B569="safety"),"",INDIRECT("template!"&amp;"L"&amp;A569))</f>
        <v>#REF!</v>
      </c>
      <c r="P569" t="e" cm="1">
        <f t="array" aca="1" ref="P569" ca="1">IF(OR(A569="",B569="safety"),"",INDIRECT("template!"&amp;"M"&amp;A569))</f>
        <v>#REF!</v>
      </c>
      <c r="Q569" t="e">
        <f t="shared" ca="1" si="46"/>
        <v>#REF!</v>
      </c>
      <c r="R569" t="e">
        <f t="shared" ca="1" si="47"/>
        <v>#REF!</v>
      </c>
      <c r="S569" t="e">
        <f t="shared" ca="1" si="48"/>
        <v>#REF!</v>
      </c>
      <c r="T569" t="e">
        <f t="shared" ca="1" si="49"/>
        <v>#REF!</v>
      </c>
      <c r="U569" t="e" cm="1">
        <f t="array" aca="1" ref="U569" ca="1">IF(A569="","",IF(E569="","",IF(B569="safety",INDIRECT("template!"&amp;"P"&amp;A569),Q569+R569)))</f>
        <v>#REF!</v>
      </c>
      <c r="V569" t="e" cm="1">
        <f t="array" aca="1" ref="V569" ca="1">IF(A569="","",IF(E569="","",IF(B569="safety",INDIRECT("template!"&amp;"P"&amp;A569),S569+T569)))</f>
        <v>#REF!</v>
      </c>
      <c r="W569" t="e">
        <f ca="1">IF(A569="","",IF(E569="","",#REF!))</f>
        <v>#REF!</v>
      </c>
      <c r="X569" t="e">
        <f ca="1">IF(A569="","",IF(E569="","",#REF!))</f>
        <v>#REF!</v>
      </c>
      <c r="Y569" s="39" t="e">
        <f ca="1">IF(A569="","",IF(E569="","",#REF!))</f>
        <v>#REF!</v>
      </c>
      <c r="Z569" t="e">
        <f ca="1">IF(A569="","",IF(E569="","",#REF!))</f>
        <v>#REF!</v>
      </c>
      <c r="AA569" t="e">
        <f ca="1">IF(A569="","",IF(E569="","",#REF!))</f>
        <v>#REF!</v>
      </c>
      <c r="AB569" t="e">
        <f ca="1">IF(A569="","",IF(E569="","",#REF!))</f>
        <v>#REF!</v>
      </c>
      <c r="AC569" t="e">
        <f t="shared" ca="1" si="50"/>
        <v>#REF!</v>
      </c>
    </row>
    <row r="570" spans="1:29" x14ac:dyDescent="0.35">
      <c r="A570" t="e" cm="1">
        <f t="array" aca="1" ref="A570" ca="1">IF(A569="","",IF(OR(AND(A569+1&gt;=$AF$1,A569+1&lt;=$AF$2),AND(A569+1&gt;=$AF$6,A569+1&lt;=$AF$7),AND(A569+1&gt;=$AF$3,A569+1&lt;=$AF$4),AND(A569+1&gt;=$AF$8,A569+1&lt;=$AF$9),A569+1=$AF$5),IF(NOT(ISBLANK(INDIRECT("template!"&amp;"P"&amp;A569+1))),A569+1,IF(NOT(ISBLANK(INDIRECT("template!"&amp;"P"&amp;A569+2))),A569+2,A569+3)),IF(A569=$AF$2,$AF$3,IF(A569=$AF$4,$AF$5,IF(A569=$AF$5,$AF$6,IF(A569=$AF$7,$AF$8,""))))))</f>
        <v>#REF!</v>
      </c>
      <c r="B570" t="e">
        <f t="shared" ca="1" si="45"/>
        <v>#REF!</v>
      </c>
      <c r="C570" t="e" cm="1">
        <f t="array" aca="1" ref="C570" ca="1">IF(A570="","",IF(B570="safety","safety costs",INDIRECT("template!"&amp;"B"&amp;A570)))</f>
        <v>#REF!</v>
      </c>
      <c r="D570" t="e" cm="1">
        <f t="array" aca="1" ref="D570" ca="1">IF(OR(A570="",B570="safety"),"",INDIRECT("template!"&amp;"C"&amp;A570))</f>
        <v>#REF!</v>
      </c>
      <c r="E570" t="e" cm="1">
        <f t="array" aca="1" ref="E570" ca="1">IF(A570="","",IF(OR(A570=A569+1,A570=A569+2),E569,INDIRECT("template!"&amp;"D"&amp;A570-2)))</f>
        <v>#REF!</v>
      </c>
      <c r="F570" t="e" cm="1">
        <f t="array" aca="1" ref="F570" ca="1">IF(OR(A570="",B570="safety"),"",IF(ISBLANK(IF(A570=A569+1,F569,INDIRECT("template!"&amp;"D"&amp;A570-1))),"",IF(A570=A569+1,F569,INDIRECT("template!"&amp;"D"&amp;A570-1))))</f>
        <v>#REF!</v>
      </c>
      <c r="G570" t="e" cm="1">
        <f t="array" aca="1" ref="G570" ca="1">IF(OR(A570="",B570="safety"),"",IF(ISBLANK(INDIRECT("template!"&amp;"D"&amp;A570)),"",INDIRECT("template!"&amp;"D"&amp;A570)))</f>
        <v>#REF!</v>
      </c>
      <c r="H570" t="e" cm="1">
        <f t="array" aca="1" ref="H570" ca="1">IF(OR(A570="",B570="safety"),"",IF(ISBLANK(INDIRECT("template!"&amp;"E"&amp;A570)),"",INDIRECT("template!"&amp;"E"&amp;A570)))</f>
        <v>#REF!</v>
      </c>
      <c r="I570" t="e" cm="1">
        <f t="array" aca="1" ref="I570" ca="1">IF(OR(A570="",B570="safety"),"",IF(ISBLANK(INDIRECT("template!"&amp;"F"&amp;A570)),"",INDIRECT("template!"&amp;"F"&amp;A570)))</f>
        <v>#REF!</v>
      </c>
      <c r="J570" t="e" cm="1">
        <f t="array" aca="1" ref="J570" ca="1">IF(OR(A570="",B570="safety"),"",IF(ISBLANK(INDIRECT("template!"&amp;"G"&amp;A570)),"",INDIRECT("template!"&amp;"G"&amp;A570)))</f>
        <v>#REF!</v>
      </c>
      <c r="K570" t="e" cm="1">
        <f t="array" aca="1" ref="K570" ca="1">IF(OR(A570="",B570="safety"),"",IF(ISBLANK(INDIRECT("template!"&amp;"H"&amp;A570)),"",INDIRECT("template!"&amp;"H"&amp;A570)))</f>
        <v>#REF!</v>
      </c>
      <c r="L570" t="e" cm="1">
        <f t="array" aca="1" ref="L570" ca="1">IF(OR(A570="",B570="safety"),"",INDIRECT("template!"&amp;"I"&amp;A570))</f>
        <v>#REF!</v>
      </c>
      <c r="M570" t="e" cm="1">
        <f t="array" aca="1" ref="M570" ca="1">IF(OR(A570="",B570="safety"),"",INDIRECT("template!"&amp;"J"&amp;A570))</f>
        <v>#REF!</v>
      </c>
      <c r="N570" t="e" cm="1">
        <f t="array" aca="1" ref="N570" ca="1">IF(OR(A570="",B570="safety"),"",IF(ISBLANK(INDIRECT("template!"&amp;"K"&amp;A570)),"",INDIRECT("template!"&amp;"K"&amp;A570)))</f>
        <v>#REF!</v>
      </c>
      <c r="O570" t="e" cm="1">
        <f t="array" aca="1" ref="O570" ca="1">IF(OR(A570="",B570="safety"),"",INDIRECT("template!"&amp;"L"&amp;A570))</f>
        <v>#REF!</v>
      </c>
      <c r="P570" t="e" cm="1">
        <f t="array" aca="1" ref="P570" ca="1">IF(OR(A570="",B570="safety"),"",INDIRECT("template!"&amp;"M"&amp;A570))</f>
        <v>#REF!</v>
      </c>
      <c r="Q570" t="e">
        <f t="shared" ca="1" si="46"/>
        <v>#REF!</v>
      </c>
      <c r="R570" t="e">
        <f t="shared" ca="1" si="47"/>
        <v>#REF!</v>
      </c>
      <c r="S570" t="e">
        <f t="shared" ca="1" si="48"/>
        <v>#REF!</v>
      </c>
      <c r="T570" t="e">
        <f t="shared" ca="1" si="49"/>
        <v>#REF!</v>
      </c>
      <c r="U570" t="e" cm="1">
        <f t="array" aca="1" ref="U570" ca="1">IF(A570="","",IF(E570="","",IF(B570="safety",INDIRECT("template!"&amp;"P"&amp;A570),Q570+R570)))</f>
        <v>#REF!</v>
      </c>
      <c r="V570" t="e" cm="1">
        <f t="array" aca="1" ref="V570" ca="1">IF(A570="","",IF(E570="","",IF(B570="safety",INDIRECT("template!"&amp;"P"&amp;A570),S570+T570)))</f>
        <v>#REF!</v>
      </c>
      <c r="W570" t="e">
        <f ca="1">IF(A570="","",IF(E570="","",#REF!))</f>
        <v>#REF!</v>
      </c>
      <c r="X570" t="e">
        <f ca="1">IF(A570="","",IF(E570="","",#REF!))</f>
        <v>#REF!</v>
      </c>
      <c r="Y570" s="39" t="e">
        <f ca="1">IF(A570="","",IF(E570="","",#REF!))</f>
        <v>#REF!</v>
      </c>
      <c r="Z570" t="e">
        <f ca="1">IF(A570="","",IF(E570="","",#REF!))</f>
        <v>#REF!</v>
      </c>
      <c r="AA570" t="e">
        <f ca="1">IF(A570="","",IF(E570="","",#REF!))</f>
        <v>#REF!</v>
      </c>
      <c r="AB570" t="e">
        <f ca="1">IF(A570="","",IF(E570="","",#REF!))</f>
        <v>#REF!</v>
      </c>
      <c r="AC570" t="e">
        <f t="shared" ca="1" si="50"/>
        <v>#REF!</v>
      </c>
    </row>
    <row r="571" spans="1:29" x14ac:dyDescent="0.35">
      <c r="A571" t="e" cm="1">
        <f t="array" aca="1" ref="A571" ca="1">IF(A570="","",IF(OR(AND(A570+1&gt;=$AF$1,A570+1&lt;=$AF$2),AND(A570+1&gt;=$AF$6,A570+1&lt;=$AF$7),AND(A570+1&gt;=$AF$3,A570+1&lt;=$AF$4),AND(A570+1&gt;=$AF$8,A570+1&lt;=$AF$9),A570+1=$AF$5),IF(NOT(ISBLANK(INDIRECT("template!"&amp;"P"&amp;A570+1))),A570+1,IF(NOT(ISBLANK(INDIRECT("template!"&amp;"P"&amp;A570+2))),A570+2,A570+3)),IF(A570=$AF$2,$AF$3,IF(A570=$AF$4,$AF$5,IF(A570=$AF$5,$AF$6,IF(A570=$AF$7,$AF$8,""))))))</f>
        <v>#REF!</v>
      </c>
      <c r="B571" t="e">
        <f t="shared" ca="1" si="45"/>
        <v>#REF!</v>
      </c>
      <c r="C571" t="e" cm="1">
        <f t="array" aca="1" ref="C571" ca="1">IF(A571="","",IF(B571="safety","safety costs",INDIRECT("template!"&amp;"B"&amp;A571)))</f>
        <v>#REF!</v>
      </c>
      <c r="D571" t="e" cm="1">
        <f t="array" aca="1" ref="D571" ca="1">IF(OR(A571="",B571="safety"),"",INDIRECT("template!"&amp;"C"&amp;A571))</f>
        <v>#REF!</v>
      </c>
      <c r="E571" t="e" cm="1">
        <f t="array" aca="1" ref="E571" ca="1">IF(A571="","",IF(OR(A571=A570+1,A571=A570+2),E570,INDIRECT("template!"&amp;"D"&amp;A571-2)))</f>
        <v>#REF!</v>
      </c>
      <c r="F571" t="e" cm="1">
        <f t="array" aca="1" ref="F571" ca="1">IF(OR(A571="",B571="safety"),"",IF(ISBLANK(IF(A571=A570+1,F570,INDIRECT("template!"&amp;"D"&amp;A571-1))),"",IF(A571=A570+1,F570,INDIRECT("template!"&amp;"D"&amp;A571-1))))</f>
        <v>#REF!</v>
      </c>
      <c r="G571" t="e" cm="1">
        <f t="array" aca="1" ref="G571" ca="1">IF(OR(A571="",B571="safety"),"",IF(ISBLANK(INDIRECT("template!"&amp;"D"&amp;A571)),"",INDIRECT("template!"&amp;"D"&amp;A571)))</f>
        <v>#REF!</v>
      </c>
      <c r="H571" t="e" cm="1">
        <f t="array" aca="1" ref="H571" ca="1">IF(OR(A571="",B571="safety"),"",IF(ISBLANK(INDIRECT("template!"&amp;"E"&amp;A571)),"",INDIRECT("template!"&amp;"E"&amp;A571)))</f>
        <v>#REF!</v>
      </c>
      <c r="I571" t="e" cm="1">
        <f t="array" aca="1" ref="I571" ca="1">IF(OR(A571="",B571="safety"),"",IF(ISBLANK(INDIRECT("template!"&amp;"F"&amp;A571)),"",INDIRECT("template!"&amp;"F"&amp;A571)))</f>
        <v>#REF!</v>
      </c>
      <c r="J571" t="e" cm="1">
        <f t="array" aca="1" ref="J571" ca="1">IF(OR(A571="",B571="safety"),"",IF(ISBLANK(INDIRECT("template!"&amp;"G"&amp;A571)),"",INDIRECT("template!"&amp;"G"&amp;A571)))</f>
        <v>#REF!</v>
      </c>
      <c r="K571" t="e" cm="1">
        <f t="array" aca="1" ref="K571" ca="1">IF(OR(A571="",B571="safety"),"",IF(ISBLANK(INDIRECT("template!"&amp;"H"&amp;A571)),"",INDIRECT("template!"&amp;"H"&amp;A571)))</f>
        <v>#REF!</v>
      </c>
      <c r="L571" t="e" cm="1">
        <f t="array" aca="1" ref="L571" ca="1">IF(OR(A571="",B571="safety"),"",INDIRECT("template!"&amp;"I"&amp;A571))</f>
        <v>#REF!</v>
      </c>
      <c r="M571" t="e" cm="1">
        <f t="array" aca="1" ref="M571" ca="1">IF(OR(A571="",B571="safety"),"",INDIRECT("template!"&amp;"J"&amp;A571))</f>
        <v>#REF!</v>
      </c>
      <c r="N571" t="e" cm="1">
        <f t="array" aca="1" ref="N571" ca="1">IF(OR(A571="",B571="safety"),"",IF(ISBLANK(INDIRECT("template!"&amp;"K"&amp;A571)),"",INDIRECT("template!"&amp;"K"&amp;A571)))</f>
        <v>#REF!</v>
      </c>
      <c r="O571" t="e" cm="1">
        <f t="array" aca="1" ref="O571" ca="1">IF(OR(A571="",B571="safety"),"",INDIRECT("template!"&amp;"L"&amp;A571))</f>
        <v>#REF!</v>
      </c>
      <c r="P571" t="e" cm="1">
        <f t="array" aca="1" ref="P571" ca="1">IF(OR(A571="",B571="safety"),"",INDIRECT("template!"&amp;"M"&amp;A571))</f>
        <v>#REF!</v>
      </c>
      <c r="Q571" t="e">
        <f t="shared" ca="1" si="46"/>
        <v>#REF!</v>
      </c>
      <c r="R571" t="e">
        <f t="shared" ca="1" si="47"/>
        <v>#REF!</v>
      </c>
      <c r="S571" t="e">
        <f t="shared" ca="1" si="48"/>
        <v>#REF!</v>
      </c>
      <c r="T571" t="e">
        <f t="shared" ca="1" si="49"/>
        <v>#REF!</v>
      </c>
      <c r="U571" t="e" cm="1">
        <f t="array" aca="1" ref="U571" ca="1">IF(A571="","",IF(E571="","",IF(B571="safety",INDIRECT("template!"&amp;"P"&amp;A571),Q571+R571)))</f>
        <v>#REF!</v>
      </c>
      <c r="V571" t="e" cm="1">
        <f t="array" aca="1" ref="V571" ca="1">IF(A571="","",IF(E571="","",IF(B571="safety",INDIRECT("template!"&amp;"P"&amp;A571),S571+T571)))</f>
        <v>#REF!</v>
      </c>
      <c r="W571" t="e">
        <f ca="1">IF(A571="","",IF(E571="","",#REF!))</f>
        <v>#REF!</v>
      </c>
      <c r="X571" t="e">
        <f ca="1">IF(A571="","",IF(E571="","",#REF!))</f>
        <v>#REF!</v>
      </c>
      <c r="Y571" s="39" t="e">
        <f ca="1">IF(A571="","",IF(E571="","",#REF!))</f>
        <v>#REF!</v>
      </c>
      <c r="Z571" t="e">
        <f ca="1">IF(A571="","",IF(E571="","",#REF!))</f>
        <v>#REF!</v>
      </c>
      <c r="AA571" t="e">
        <f ca="1">IF(A571="","",IF(E571="","",#REF!))</f>
        <v>#REF!</v>
      </c>
      <c r="AB571" t="e">
        <f ca="1">IF(A571="","",IF(E571="","",#REF!))</f>
        <v>#REF!</v>
      </c>
      <c r="AC571" t="e">
        <f t="shared" ca="1" si="50"/>
        <v>#REF!</v>
      </c>
    </row>
    <row r="572" spans="1:29" x14ac:dyDescent="0.35">
      <c r="A572" t="e" cm="1">
        <f t="array" aca="1" ref="A572" ca="1">IF(A571="","",IF(OR(AND(A571+1&gt;=$AF$1,A571+1&lt;=$AF$2),AND(A571+1&gt;=$AF$6,A571+1&lt;=$AF$7),AND(A571+1&gt;=$AF$3,A571+1&lt;=$AF$4),AND(A571+1&gt;=$AF$8,A571+1&lt;=$AF$9),A571+1=$AF$5),IF(NOT(ISBLANK(INDIRECT("template!"&amp;"P"&amp;A571+1))),A571+1,IF(NOT(ISBLANK(INDIRECT("template!"&amp;"P"&amp;A571+2))),A571+2,A571+3)),IF(A571=$AF$2,$AF$3,IF(A571=$AF$4,$AF$5,IF(A571=$AF$5,$AF$6,IF(A571=$AF$7,$AF$8,""))))))</f>
        <v>#REF!</v>
      </c>
      <c r="B572" t="e">
        <f t="shared" ca="1" si="45"/>
        <v>#REF!</v>
      </c>
      <c r="C572" t="e" cm="1">
        <f t="array" aca="1" ref="C572" ca="1">IF(A572="","",IF(B572="safety","safety costs",INDIRECT("template!"&amp;"B"&amp;A572)))</f>
        <v>#REF!</v>
      </c>
      <c r="D572" t="e" cm="1">
        <f t="array" aca="1" ref="D572" ca="1">IF(OR(A572="",B572="safety"),"",INDIRECT("template!"&amp;"C"&amp;A572))</f>
        <v>#REF!</v>
      </c>
      <c r="E572" t="e" cm="1">
        <f t="array" aca="1" ref="E572" ca="1">IF(A572="","",IF(OR(A572=A571+1,A572=A571+2),E571,INDIRECT("template!"&amp;"D"&amp;A572-2)))</f>
        <v>#REF!</v>
      </c>
      <c r="F572" t="e" cm="1">
        <f t="array" aca="1" ref="F572" ca="1">IF(OR(A572="",B572="safety"),"",IF(ISBLANK(IF(A572=A571+1,F571,INDIRECT("template!"&amp;"D"&amp;A572-1))),"",IF(A572=A571+1,F571,INDIRECT("template!"&amp;"D"&amp;A572-1))))</f>
        <v>#REF!</v>
      </c>
      <c r="G572" t="e" cm="1">
        <f t="array" aca="1" ref="G572" ca="1">IF(OR(A572="",B572="safety"),"",IF(ISBLANK(INDIRECT("template!"&amp;"D"&amp;A572)),"",INDIRECT("template!"&amp;"D"&amp;A572)))</f>
        <v>#REF!</v>
      </c>
      <c r="H572" t="e" cm="1">
        <f t="array" aca="1" ref="H572" ca="1">IF(OR(A572="",B572="safety"),"",IF(ISBLANK(INDIRECT("template!"&amp;"E"&amp;A572)),"",INDIRECT("template!"&amp;"E"&amp;A572)))</f>
        <v>#REF!</v>
      </c>
      <c r="I572" t="e" cm="1">
        <f t="array" aca="1" ref="I572" ca="1">IF(OR(A572="",B572="safety"),"",IF(ISBLANK(INDIRECT("template!"&amp;"F"&amp;A572)),"",INDIRECT("template!"&amp;"F"&amp;A572)))</f>
        <v>#REF!</v>
      </c>
      <c r="J572" t="e" cm="1">
        <f t="array" aca="1" ref="J572" ca="1">IF(OR(A572="",B572="safety"),"",IF(ISBLANK(INDIRECT("template!"&amp;"G"&amp;A572)),"",INDIRECT("template!"&amp;"G"&amp;A572)))</f>
        <v>#REF!</v>
      </c>
      <c r="K572" t="e" cm="1">
        <f t="array" aca="1" ref="K572" ca="1">IF(OR(A572="",B572="safety"),"",IF(ISBLANK(INDIRECT("template!"&amp;"H"&amp;A572)),"",INDIRECT("template!"&amp;"H"&amp;A572)))</f>
        <v>#REF!</v>
      </c>
      <c r="L572" t="e" cm="1">
        <f t="array" aca="1" ref="L572" ca="1">IF(OR(A572="",B572="safety"),"",INDIRECT("template!"&amp;"I"&amp;A572))</f>
        <v>#REF!</v>
      </c>
      <c r="M572" t="e" cm="1">
        <f t="array" aca="1" ref="M572" ca="1">IF(OR(A572="",B572="safety"),"",INDIRECT("template!"&amp;"J"&amp;A572))</f>
        <v>#REF!</v>
      </c>
      <c r="N572" t="e" cm="1">
        <f t="array" aca="1" ref="N572" ca="1">IF(OR(A572="",B572="safety"),"",IF(ISBLANK(INDIRECT("template!"&amp;"K"&amp;A572)),"",INDIRECT("template!"&amp;"K"&amp;A572)))</f>
        <v>#REF!</v>
      </c>
      <c r="O572" t="e" cm="1">
        <f t="array" aca="1" ref="O572" ca="1">IF(OR(A572="",B572="safety"),"",INDIRECT("template!"&amp;"L"&amp;A572))</f>
        <v>#REF!</v>
      </c>
      <c r="P572" t="e" cm="1">
        <f t="array" aca="1" ref="P572" ca="1">IF(OR(A572="",B572="safety"),"",INDIRECT("template!"&amp;"M"&amp;A572))</f>
        <v>#REF!</v>
      </c>
      <c r="Q572" t="e">
        <f t="shared" ca="1" si="46"/>
        <v>#REF!</v>
      </c>
      <c r="R572" t="e">
        <f t="shared" ca="1" si="47"/>
        <v>#REF!</v>
      </c>
      <c r="S572" t="e">
        <f t="shared" ca="1" si="48"/>
        <v>#REF!</v>
      </c>
      <c r="T572" t="e">
        <f t="shared" ca="1" si="49"/>
        <v>#REF!</v>
      </c>
      <c r="U572" t="e" cm="1">
        <f t="array" aca="1" ref="U572" ca="1">IF(A572="","",IF(E572="","",IF(B572="safety",INDIRECT("template!"&amp;"P"&amp;A572),Q572+R572)))</f>
        <v>#REF!</v>
      </c>
      <c r="V572" t="e" cm="1">
        <f t="array" aca="1" ref="V572" ca="1">IF(A572="","",IF(E572="","",IF(B572="safety",INDIRECT("template!"&amp;"P"&amp;A572),S572+T572)))</f>
        <v>#REF!</v>
      </c>
      <c r="W572" t="e">
        <f ca="1">IF(A572="","",IF(E572="","",#REF!))</f>
        <v>#REF!</v>
      </c>
      <c r="X572" t="e">
        <f ca="1">IF(A572="","",IF(E572="","",#REF!))</f>
        <v>#REF!</v>
      </c>
      <c r="Y572" s="39" t="e">
        <f ca="1">IF(A572="","",IF(E572="","",#REF!))</f>
        <v>#REF!</v>
      </c>
      <c r="Z572" t="e">
        <f ca="1">IF(A572="","",IF(E572="","",#REF!))</f>
        <v>#REF!</v>
      </c>
      <c r="AA572" t="e">
        <f ca="1">IF(A572="","",IF(E572="","",#REF!))</f>
        <v>#REF!</v>
      </c>
      <c r="AB572" t="e">
        <f ca="1">IF(A572="","",IF(E572="","",#REF!))</f>
        <v>#REF!</v>
      </c>
      <c r="AC572" t="e">
        <f t="shared" ca="1" si="50"/>
        <v>#REF!</v>
      </c>
    </row>
    <row r="573" spans="1:29" x14ac:dyDescent="0.35">
      <c r="A573" t="e" cm="1">
        <f t="array" aca="1" ref="A573" ca="1">IF(A572="","",IF(OR(AND(A572+1&gt;=$AF$1,A572+1&lt;=$AF$2),AND(A572+1&gt;=$AF$6,A572+1&lt;=$AF$7),AND(A572+1&gt;=$AF$3,A572+1&lt;=$AF$4),AND(A572+1&gt;=$AF$8,A572+1&lt;=$AF$9),A572+1=$AF$5),IF(NOT(ISBLANK(INDIRECT("template!"&amp;"P"&amp;A572+1))),A572+1,IF(NOT(ISBLANK(INDIRECT("template!"&amp;"P"&amp;A572+2))),A572+2,A572+3)),IF(A572=$AF$2,$AF$3,IF(A572=$AF$4,$AF$5,IF(A572=$AF$5,$AF$6,IF(A572=$AF$7,$AF$8,""))))))</f>
        <v>#REF!</v>
      </c>
      <c r="B573" t="e">
        <f t="shared" ca="1" si="45"/>
        <v>#REF!</v>
      </c>
      <c r="C573" t="e" cm="1">
        <f t="array" aca="1" ref="C573" ca="1">IF(A573="","",IF(B573="safety","safety costs",INDIRECT("template!"&amp;"B"&amp;A573)))</f>
        <v>#REF!</v>
      </c>
      <c r="D573" t="e" cm="1">
        <f t="array" aca="1" ref="D573" ca="1">IF(OR(A573="",B573="safety"),"",INDIRECT("template!"&amp;"C"&amp;A573))</f>
        <v>#REF!</v>
      </c>
      <c r="E573" t="e" cm="1">
        <f t="array" aca="1" ref="E573" ca="1">IF(A573="","",IF(OR(A573=A572+1,A573=A572+2),E572,INDIRECT("template!"&amp;"D"&amp;A573-2)))</f>
        <v>#REF!</v>
      </c>
      <c r="F573" t="e" cm="1">
        <f t="array" aca="1" ref="F573" ca="1">IF(OR(A573="",B573="safety"),"",IF(ISBLANK(IF(A573=A572+1,F572,INDIRECT("template!"&amp;"D"&amp;A573-1))),"",IF(A573=A572+1,F572,INDIRECT("template!"&amp;"D"&amp;A573-1))))</f>
        <v>#REF!</v>
      </c>
      <c r="G573" t="e" cm="1">
        <f t="array" aca="1" ref="G573" ca="1">IF(OR(A573="",B573="safety"),"",IF(ISBLANK(INDIRECT("template!"&amp;"D"&amp;A573)),"",INDIRECT("template!"&amp;"D"&amp;A573)))</f>
        <v>#REF!</v>
      </c>
      <c r="H573" t="e" cm="1">
        <f t="array" aca="1" ref="H573" ca="1">IF(OR(A573="",B573="safety"),"",IF(ISBLANK(INDIRECT("template!"&amp;"E"&amp;A573)),"",INDIRECT("template!"&amp;"E"&amp;A573)))</f>
        <v>#REF!</v>
      </c>
      <c r="I573" t="e" cm="1">
        <f t="array" aca="1" ref="I573" ca="1">IF(OR(A573="",B573="safety"),"",IF(ISBLANK(INDIRECT("template!"&amp;"F"&amp;A573)),"",INDIRECT("template!"&amp;"F"&amp;A573)))</f>
        <v>#REF!</v>
      </c>
      <c r="J573" t="e" cm="1">
        <f t="array" aca="1" ref="J573" ca="1">IF(OR(A573="",B573="safety"),"",IF(ISBLANK(INDIRECT("template!"&amp;"G"&amp;A573)),"",INDIRECT("template!"&amp;"G"&amp;A573)))</f>
        <v>#REF!</v>
      </c>
      <c r="K573" t="e" cm="1">
        <f t="array" aca="1" ref="K573" ca="1">IF(OR(A573="",B573="safety"),"",IF(ISBLANK(INDIRECT("template!"&amp;"H"&amp;A573)),"",INDIRECT("template!"&amp;"H"&amp;A573)))</f>
        <v>#REF!</v>
      </c>
      <c r="L573" t="e" cm="1">
        <f t="array" aca="1" ref="L573" ca="1">IF(OR(A573="",B573="safety"),"",INDIRECT("template!"&amp;"I"&amp;A573))</f>
        <v>#REF!</v>
      </c>
      <c r="M573" t="e" cm="1">
        <f t="array" aca="1" ref="M573" ca="1">IF(OR(A573="",B573="safety"),"",INDIRECT("template!"&amp;"J"&amp;A573))</f>
        <v>#REF!</v>
      </c>
      <c r="N573" t="e" cm="1">
        <f t="array" aca="1" ref="N573" ca="1">IF(OR(A573="",B573="safety"),"",IF(ISBLANK(INDIRECT("template!"&amp;"K"&amp;A573)),"",INDIRECT("template!"&amp;"K"&amp;A573)))</f>
        <v>#REF!</v>
      </c>
      <c r="O573" t="e" cm="1">
        <f t="array" aca="1" ref="O573" ca="1">IF(OR(A573="",B573="safety"),"",INDIRECT("template!"&amp;"L"&amp;A573))</f>
        <v>#REF!</v>
      </c>
      <c r="P573" t="e" cm="1">
        <f t="array" aca="1" ref="P573" ca="1">IF(OR(A573="",B573="safety"),"",INDIRECT("template!"&amp;"M"&amp;A573))</f>
        <v>#REF!</v>
      </c>
      <c r="Q573" t="e">
        <f t="shared" ca="1" si="46"/>
        <v>#REF!</v>
      </c>
      <c r="R573" t="e">
        <f t="shared" ca="1" si="47"/>
        <v>#REF!</v>
      </c>
      <c r="S573" t="e">
        <f t="shared" ca="1" si="48"/>
        <v>#REF!</v>
      </c>
      <c r="T573" t="e">
        <f t="shared" ca="1" si="49"/>
        <v>#REF!</v>
      </c>
      <c r="U573" t="e" cm="1">
        <f t="array" aca="1" ref="U573" ca="1">IF(A573="","",IF(E573="","",IF(B573="safety",INDIRECT("template!"&amp;"P"&amp;A573),Q573+R573)))</f>
        <v>#REF!</v>
      </c>
      <c r="V573" t="e" cm="1">
        <f t="array" aca="1" ref="V573" ca="1">IF(A573="","",IF(E573="","",IF(B573="safety",INDIRECT("template!"&amp;"P"&amp;A573),S573+T573)))</f>
        <v>#REF!</v>
      </c>
      <c r="W573" t="e">
        <f ca="1">IF(A573="","",IF(E573="","",#REF!))</f>
        <v>#REF!</v>
      </c>
      <c r="X573" t="e">
        <f ca="1">IF(A573="","",IF(E573="","",#REF!))</f>
        <v>#REF!</v>
      </c>
      <c r="Y573" s="39" t="e">
        <f ca="1">IF(A573="","",IF(E573="","",#REF!))</f>
        <v>#REF!</v>
      </c>
      <c r="Z573" t="e">
        <f ca="1">IF(A573="","",IF(E573="","",#REF!))</f>
        <v>#REF!</v>
      </c>
      <c r="AA573" t="e">
        <f ca="1">IF(A573="","",IF(E573="","",#REF!))</f>
        <v>#REF!</v>
      </c>
      <c r="AB573" t="e">
        <f ca="1">IF(A573="","",IF(E573="","",#REF!))</f>
        <v>#REF!</v>
      </c>
      <c r="AC573" t="e">
        <f t="shared" ca="1" si="50"/>
        <v>#REF!</v>
      </c>
    </row>
    <row r="574" spans="1:29" x14ac:dyDescent="0.35">
      <c r="A574" t="e" cm="1">
        <f t="array" aca="1" ref="A574" ca="1">IF(A573="","",IF(OR(AND(A573+1&gt;=$AF$1,A573+1&lt;=$AF$2),AND(A573+1&gt;=$AF$6,A573+1&lt;=$AF$7),AND(A573+1&gt;=$AF$3,A573+1&lt;=$AF$4),AND(A573+1&gt;=$AF$8,A573+1&lt;=$AF$9),A573+1=$AF$5),IF(NOT(ISBLANK(INDIRECT("template!"&amp;"P"&amp;A573+1))),A573+1,IF(NOT(ISBLANK(INDIRECT("template!"&amp;"P"&amp;A573+2))),A573+2,A573+3)),IF(A573=$AF$2,$AF$3,IF(A573=$AF$4,$AF$5,IF(A573=$AF$5,$AF$6,IF(A573=$AF$7,$AF$8,""))))))</f>
        <v>#REF!</v>
      </c>
      <c r="B574" t="e">
        <f t="shared" ca="1" si="45"/>
        <v>#REF!</v>
      </c>
      <c r="C574" t="e" cm="1">
        <f t="array" aca="1" ref="C574" ca="1">IF(A574="","",IF(B574="safety","safety costs",INDIRECT("template!"&amp;"B"&amp;A574)))</f>
        <v>#REF!</v>
      </c>
      <c r="D574" t="e" cm="1">
        <f t="array" aca="1" ref="D574" ca="1">IF(OR(A574="",B574="safety"),"",INDIRECT("template!"&amp;"C"&amp;A574))</f>
        <v>#REF!</v>
      </c>
      <c r="E574" t="e" cm="1">
        <f t="array" aca="1" ref="E574" ca="1">IF(A574="","",IF(OR(A574=A573+1,A574=A573+2),E573,INDIRECT("template!"&amp;"D"&amp;A574-2)))</f>
        <v>#REF!</v>
      </c>
      <c r="F574" t="e" cm="1">
        <f t="array" aca="1" ref="F574" ca="1">IF(OR(A574="",B574="safety"),"",IF(ISBLANK(IF(A574=A573+1,F573,INDIRECT("template!"&amp;"D"&amp;A574-1))),"",IF(A574=A573+1,F573,INDIRECT("template!"&amp;"D"&amp;A574-1))))</f>
        <v>#REF!</v>
      </c>
      <c r="G574" t="e" cm="1">
        <f t="array" aca="1" ref="G574" ca="1">IF(OR(A574="",B574="safety"),"",IF(ISBLANK(INDIRECT("template!"&amp;"D"&amp;A574)),"",INDIRECT("template!"&amp;"D"&amp;A574)))</f>
        <v>#REF!</v>
      </c>
      <c r="H574" t="e" cm="1">
        <f t="array" aca="1" ref="H574" ca="1">IF(OR(A574="",B574="safety"),"",IF(ISBLANK(INDIRECT("template!"&amp;"E"&amp;A574)),"",INDIRECT("template!"&amp;"E"&amp;A574)))</f>
        <v>#REF!</v>
      </c>
      <c r="I574" t="e" cm="1">
        <f t="array" aca="1" ref="I574" ca="1">IF(OR(A574="",B574="safety"),"",IF(ISBLANK(INDIRECT("template!"&amp;"F"&amp;A574)),"",INDIRECT("template!"&amp;"F"&amp;A574)))</f>
        <v>#REF!</v>
      </c>
      <c r="J574" t="e" cm="1">
        <f t="array" aca="1" ref="J574" ca="1">IF(OR(A574="",B574="safety"),"",IF(ISBLANK(INDIRECT("template!"&amp;"G"&amp;A574)),"",INDIRECT("template!"&amp;"G"&amp;A574)))</f>
        <v>#REF!</v>
      </c>
      <c r="K574" t="e" cm="1">
        <f t="array" aca="1" ref="K574" ca="1">IF(OR(A574="",B574="safety"),"",IF(ISBLANK(INDIRECT("template!"&amp;"H"&amp;A574)),"",INDIRECT("template!"&amp;"H"&amp;A574)))</f>
        <v>#REF!</v>
      </c>
      <c r="L574" t="e" cm="1">
        <f t="array" aca="1" ref="L574" ca="1">IF(OR(A574="",B574="safety"),"",INDIRECT("template!"&amp;"I"&amp;A574))</f>
        <v>#REF!</v>
      </c>
      <c r="M574" t="e" cm="1">
        <f t="array" aca="1" ref="M574" ca="1">IF(OR(A574="",B574="safety"),"",INDIRECT("template!"&amp;"J"&amp;A574))</f>
        <v>#REF!</v>
      </c>
      <c r="N574" t="e" cm="1">
        <f t="array" aca="1" ref="N574" ca="1">IF(OR(A574="",B574="safety"),"",IF(ISBLANK(INDIRECT("template!"&amp;"K"&amp;A574)),"",INDIRECT("template!"&amp;"K"&amp;A574)))</f>
        <v>#REF!</v>
      </c>
      <c r="O574" t="e" cm="1">
        <f t="array" aca="1" ref="O574" ca="1">IF(OR(A574="",B574="safety"),"",INDIRECT("template!"&amp;"L"&amp;A574))</f>
        <v>#REF!</v>
      </c>
      <c r="P574" t="e" cm="1">
        <f t="array" aca="1" ref="P574" ca="1">IF(OR(A574="",B574="safety"),"",INDIRECT("template!"&amp;"M"&amp;A574))</f>
        <v>#REF!</v>
      </c>
      <c r="Q574" t="e">
        <f t="shared" ca="1" si="46"/>
        <v>#REF!</v>
      </c>
      <c r="R574" t="e">
        <f t="shared" ca="1" si="47"/>
        <v>#REF!</v>
      </c>
      <c r="S574" t="e">
        <f t="shared" ca="1" si="48"/>
        <v>#REF!</v>
      </c>
      <c r="T574" t="e">
        <f t="shared" ca="1" si="49"/>
        <v>#REF!</v>
      </c>
      <c r="U574" t="e" cm="1">
        <f t="array" aca="1" ref="U574" ca="1">IF(A574="","",IF(E574="","",IF(B574="safety",INDIRECT("template!"&amp;"P"&amp;A574),Q574+R574)))</f>
        <v>#REF!</v>
      </c>
      <c r="V574" t="e" cm="1">
        <f t="array" aca="1" ref="V574" ca="1">IF(A574="","",IF(E574="","",IF(B574="safety",INDIRECT("template!"&amp;"P"&amp;A574),S574+T574)))</f>
        <v>#REF!</v>
      </c>
      <c r="W574" t="e">
        <f ca="1">IF(A574="","",IF(E574="","",#REF!))</f>
        <v>#REF!</v>
      </c>
      <c r="X574" t="e">
        <f ca="1">IF(A574="","",IF(E574="","",#REF!))</f>
        <v>#REF!</v>
      </c>
      <c r="Y574" s="39" t="e">
        <f ca="1">IF(A574="","",IF(E574="","",#REF!))</f>
        <v>#REF!</v>
      </c>
      <c r="Z574" t="e">
        <f ca="1">IF(A574="","",IF(E574="","",#REF!))</f>
        <v>#REF!</v>
      </c>
      <c r="AA574" t="e">
        <f ca="1">IF(A574="","",IF(E574="","",#REF!))</f>
        <v>#REF!</v>
      </c>
      <c r="AB574" t="e">
        <f ca="1">IF(A574="","",IF(E574="","",#REF!))</f>
        <v>#REF!</v>
      </c>
      <c r="AC574" t="e">
        <f t="shared" ca="1" si="50"/>
        <v>#REF!</v>
      </c>
    </row>
    <row r="575" spans="1:29" x14ac:dyDescent="0.35">
      <c r="A575" t="e" cm="1">
        <f t="array" aca="1" ref="A575" ca="1">IF(A574="","",IF(OR(AND(A574+1&gt;=$AF$1,A574+1&lt;=$AF$2),AND(A574+1&gt;=$AF$6,A574+1&lt;=$AF$7),AND(A574+1&gt;=$AF$3,A574+1&lt;=$AF$4),AND(A574+1&gt;=$AF$8,A574+1&lt;=$AF$9),A574+1=$AF$5),IF(NOT(ISBLANK(INDIRECT("template!"&amp;"P"&amp;A574+1))),A574+1,IF(NOT(ISBLANK(INDIRECT("template!"&amp;"P"&amp;A574+2))),A574+2,A574+3)),IF(A574=$AF$2,$AF$3,IF(A574=$AF$4,$AF$5,IF(A574=$AF$5,$AF$6,IF(A574=$AF$7,$AF$8,""))))))</f>
        <v>#REF!</v>
      </c>
      <c r="B575" t="e">
        <f t="shared" ca="1" si="45"/>
        <v>#REF!</v>
      </c>
      <c r="C575" t="e" cm="1">
        <f t="array" aca="1" ref="C575" ca="1">IF(A575="","",IF(B575="safety","safety costs",INDIRECT("template!"&amp;"B"&amp;A575)))</f>
        <v>#REF!</v>
      </c>
      <c r="D575" t="e" cm="1">
        <f t="array" aca="1" ref="D575" ca="1">IF(OR(A575="",B575="safety"),"",INDIRECT("template!"&amp;"C"&amp;A575))</f>
        <v>#REF!</v>
      </c>
      <c r="E575" t="e" cm="1">
        <f t="array" aca="1" ref="E575" ca="1">IF(A575="","",IF(OR(A575=A574+1,A575=A574+2),E574,INDIRECT("template!"&amp;"D"&amp;A575-2)))</f>
        <v>#REF!</v>
      </c>
      <c r="F575" t="e" cm="1">
        <f t="array" aca="1" ref="F575" ca="1">IF(OR(A575="",B575="safety"),"",IF(ISBLANK(IF(A575=A574+1,F574,INDIRECT("template!"&amp;"D"&amp;A575-1))),"",IF(A575=A574+1,F574,INDIRECT("template!"&amp;"D"&amp;A575-1))))</f>
        <v>#REF!</v>
      </c>
      <c r="G575" t="e" cm="1">
        <f t="array" aca="1" ref="G575" ca="1">IF(OR(A575="",B575="safety"),"",IF(ISBLANK(INDIRECT("template!"&amp;"D"&amp;A575)),"",INDIRECT("template!"&amp;"D"&amp;A575)))</f>
        <v>#REF!</v>
      </c>
      <c r="H575" t="e" cm="1">
        <f t="array" aca="1" ref="H575" ca="1">IF(OR(A575="",B575="safety"),"",IF(ISBLANK(INDIRECT("template!"&amp;"E"&amp;A575)),"",INDIRECT("template!"&amp;"E"&amp;A575)))</f>
        <v>#REF!</v>
      </c>
      <c r="I575" t="e" cm="1">
        <f t="array" aca="1" ref="I575" ca="1">IF(OR(A575="",B575="safety"),"",IF(ISBLANK(INDIRECT("template!"&amp;"F"&amp;A575)),"",INDIRECT("template!"&amp;"F"&amp;A575)))</f>
        <v>#REF!</v>
      </c>
      <c r="J575" t="e" cm="1">
        <f t="array" aca="1" ref="J575" ca="1">IF(OR(A575="",B575="safety"),"",IF(ISBLANK(INDIRECT("template!"&amp;"G"&amp;A575)),"",INDIRECT("template!"&amp;"G"&amp;A575)))</f>
        <v>#REF!</v>
      </c>
      <c r="K575" t="e" cm="1">
        <f t="array" aca="1" ref="K575" ca="1">IF(OR(A575="",B575="safety"),"",IF(ISBLANK(INDIRECT("template!"&amp;"H"&amp;A575)),"",INDIRECT("template!"&amp;"H"&amp;A575)))</f>
        <v>#REF!</v>
      </c>
      <c r="L575" t="e" cm="1">
        <f t="array" aca="1" ref="L575" ca="1">IF(OR(A575="",B575="safety"),"",INDIRECT("template!"&amp;"I"&amp;A575))</f>
        <v>#REF!</v>
      </c>
      <c r="M575" t="e" cm="1">
        <f t="array" aca="1" ref="M575" ca="1">IF(OR(A575="",B575="safety"),"",INDIRECT("template!"&amp;"J"&amp;A575))</f>
        <v>#REF!</v>
      </c>
      <c r="N575" t="e" cm="1">
        <f t="array" aca="1" ref="N575" ca="1">IF(OR(A575="",B575="safety"),"",IF(ISBLANK(INDIRECT("template!"&amp;"K"&amp;A575)),"",INDIRECT("template!"&amp;"K"&amp;A575)))</f>
        <v>#REF!</v>
      </c>
      <c r="O575" t="e" cm="1">
        <f t="array" aca="1" ref="O575" ca="1">IF(OR(A575="",B575="safety"),"",INDIRECT("template!"&amp;"L"&amp;A575))</f>
        <v>#REF!</v>
      </c>
      <c r="P575" t="e" cm="1">
        <f t="array" aca="1" ref="P575" ca="1">IF(OR(A575="",B575="safety"),"",INDIRECT("template!"&amp;"M"&amp;A575))</f>
        <v>#REF!</v>
      </c>
      <c r="Q575" t="e">
        <f t="shared" ca="1" si="46"/>
        <v>#REF!</v>
      </c>
      <c r="R575" t="e">
        <f t="shared" ca="1" si="47"/>
        <v>#REF!</v>
      </c>
      <c r="S575" t="e">
        <f t="shared" ca="1" si="48"/>
        <v>#REF!</v>
      </c>
      <c r="T575" t="e">
        <f t="shared" ca="1" si="49"/>
        <v>#REF!</v>
      </c>
      <c r="U575" t="e" cm="1">
        <f t="array" aca="1" ref="U575" ca="1">IF(A575="","",IF(E575="","",IF(B575="safety",INDIRECT("template!"&amp;"P"&amp;A575),Q575+R575)))</f>
        <v>#REF!</v>
      </c>
      <c r="V575" t="e" cm="1">
        <f t="array" aca="1" ref="V575" ca="1">IF(A575="","",IF(E575="","",IF(B575="safety",INDIRECT("template!"&amp;"P"&amp;A575),S575+T575)))</f>
        <v>#REF!</v>
      </c>
      <c r="W575" t="e">
        <f ca="1">IF(A575="","",IF(E575="","",#REF!))</f>
        <v>#REF!</v>
      </c>
      <c r="X575" t="e">
        <f ca="1">IF(A575="","",IF(E575="","",#REF!))</f>
        <v>#REF!</v>
      </c>
      <c r="Y575" s="39" t="e">
        <f ca="1">IF(A575="","",IF(E575="","",#REF!))</f>
        <v>#REF!</v>
      </c>
      <c r="Z575" t="e">
        <f ca="1">IF(A575="","",IF(E575="","",#REF!))</f>
        <v>#REF!</v>
      </c>
      <c r="AA575" t="e">
        <f ca="1">IF(A575="","",IF(E575="","",#REF!))</f>
        <v>#REF!</v>
      </c>
      <c r="AB575" t="e">
        <f ca="1">IF(A575="","",IF(E575="","",#REF!))</f>
        <v>#REF!</v>
      </c>
      <c r="AC575" t="e">
        <f t="shared" ca="1" si="50"/>
        <v>#REF!</v>
      </c>
    </row>
    <row r="576" spans="1:29" x14ac:dyDescent="0.35">
      <c r="A576" t="e" cm="1">
        <f t="array" aca="1" ref="A576" ca="1">IF(A575="","",IF(OR(AND(A575+1&gt;=$AF$1,A575+1&lt;=$AF$2),AND(A575+1&gt;=$AF$6,A575+1&lt;=$AF$7),AND(A575+1&gt;=$AF$3,A575+1&lt;=$AF$4),AND(A575+1&gt;=$AF$8,A575+1&lt;=$AF$9),A575+1=$AF$5),IF(NOT(ISBLANK(INDIRECT("template!"&amp;"P"&amp;A575+1))),A575+1,IF(NOT(ISBLANK(INDIRECT("template!"&amp;"P"&amp;A575+2))),A575+2,A575+3)),IF(A575=$AF$2,$AF$3,IF(A575=$AF$4,$AF$5,IF(A575=$AF$5,$AF$6,IF(A575=$AF$7,$AF$8,""))))))</f>
        <v>#REF!</v>
      </c>
      <c r="B576" t="e">
        <f t="shared" ca="1" si="45"/>
        <v>#REF!</v>
      </c>
      <c r="C576" t="e" cm="1">
        <f t="array" aca="1" ref="C576" ca="1">IF(A576="","",IF(B576="safety","safety costs",INDIRECT("template!"&amp;"B"&amp;A576)))</f>
        <v>#REF!</v>
      </c>
      <c r="D576" t="e" cm="1">
        <f t="array" aca="1" ref="D576" ca="1">IF(OR(A576="",B576="safety"),"",INDIRECT("template!"&amp;"C"&amp;A576))</f>
        <v>#REF!</v>
      </c>
      <c r="E576" t="e" cm="1">
        <f t="array" aca="1" ref="E576" ca="1">IF(A576="","",IF(OR(A576=A575+1,A576=A575+2),E575,INDIRECT("template!"&amp;"D"&amp;A576-2)))</f>
        <v>#REF!</v>
      </c>
      <c r="F576" t="e" cm="1">
        <f t="array" aca="1" ref="F576" ca="1">IF(OR(A576="",B576="safety"),"",IF(ISBLANK(IF(A576=A575+1,F575,INDIRECT("template!"&amp;"D"&amp;A576-1))),"",IF(A576=A575+1,F575,INDIRECT("template!"&amp;"D"&amp;A576-1))))</f>
        <v>#REF!</v>
      </c>
      <c r="G576" t="e" cm="1">
        <f t="array" aca="1" ref="G576" ca="1">IF(OR(A576="",B576="safety"),"",IF(ISBLANK(INDIRECT("template!"&amp;"D"&amp;A576)),"",INDIRECT("template!"&amp;"D"&amp;A576)))</f>
        <v>#REF!</v>
      </c>
      <c r="H576" t="e" cm="1">
        <f t="array" aca="1" ref="H576" ca="1">IF(OR(A576="",B576="safety"),"",IF(ISBLANK(INDIRECT("template!"&amp;"E"&amp;A576)),"",INDIRECT("template!"&amp;"E"&amp;A576)))</f>
        <v>#REF!</v>
      </c>
      <c r="I576" t="e" cm="1">
        <f t="array" aca="1" ref="I576" ca="1">IF(OR(A576="",B576="safety"),"",IF(ISBLANK(INDIRECT("template!"&amp;"F"&amp;A576)),"",INDIRECT("template!"&amp;"F"&amp;A576)))</f>
        <v>#REF!</v>
      </c>
      <c r="J576" t="e" cm="1">
        <f t="array" aca="1" ref="J576" ca="1">IF(OR(A576="",B576="safety"),"",IF(ISBLANK(INDIRECT("template!"&amp;"G"&amp;A576)),"",INDIRECT("template!"&amp;"G"&amp;A576)))</f>
        <v>#REF!</v>
      </c>
      <c r="K576" t="e" cm="1">
        <f t="array" aca="1" ref="K576" ca="1">IF(OR(A576="",B576="safety"),"",IF(ISBLANK(INDIRECT("template!"&amp;"H"&amp;A576)),"",INDIRECT("template!"&amp;"H"&amp;A576)))</f>
        <v>#REF!</v>
      </c>
      <c r="L576" t="e" cm="1">
        <f t="array" aca="1" ref="L576" ca="1">IF(OR(A576="",B576="safety"),"",INDIRECT("template!"&amp;"I"&amp;A576))</f>
        <v>#REF!</v>
      </c>
      <c r="M576" t="e" cm="1">
        <f t="array" aca="1" ref="M576" ca="1">IF(OR(A576="",B576="safety"),"",INDIRECT("template!"&amp;"J"&amp;A576))</f>
        <v>#REF!</v>
      </c>
      <c r="N576" t="e" cm="1">
        <f t="array" aca="1" ref="N576" ca="1">IF(OR(A576="",B576="safety"),"",IF(ISBLANK(INDIRECT("template!"&amp;"K"&amp;A576)),"",INDIRECT("template!"&amp;"K"&amp;A576)))</f>
        <v>#REF!</v>
      </c>
      <c r="O576" t="e" cm="1">
        <f t="array" aca="1" ref="O576" ca="1">IF(OR(A576="",B576="safety"),"",INDIRECT("template!"&amp;"L"&amp;A576))</f>
        <v>#REF!</v>
      </c>
      <c r="P576" t="e" cm="1">
        <f t="array" aca="1" ref="P576" ca="1">IF(OR(A576="",B576="safety"),"",INDIRECT("template!"&amp;"M"&amp;A576))</f>
        <v>#REF!</v>
      </c>
      <c r="Q576" t="e">
        <f t="shared" ca="1" si="46"/>
        <v>#REF!</v>
      </c>
      <c r="R576" t="e">
        <f t="shared" ca="1" si="47"/>
        <v>#REF!</v>
      </c>
      <c r="S576" t="e">
        <f t="shared" ca="1" si="48"/>
        <v>#REF!</v>
      </c>
      <c r="T576" t="e">
        <f t="shared" ca="1" si="49"/>
        <v>#REF!</v>
      </c>
      <c r="U576" t="e" cm="1">
        <f t="array" aca="1" ref="U576" ca="1">IF(A576="","",IF(E576="","",IF(B576="safety",INDIRECT("template!"&amp;"P"&amp;A576),Q576+R576)))</f>
        <v>#REF!</v>
      </c>
      <c r="V576" t="e" cm="1">
        <f t="array" aca="1" ref="V576" ca="1">IF(A576="","",IF(E576="","",IF(B576="safety",INDIRECT("template!"&amp;"P"&amp;A576),S576+T576)))</f>
        <v>#REF!</v>
      </c>
      <c r="W576" t="e">
        <f ca="1">IF(A576="","",IF(E576="","",#REF!))</f>
        <v>#REF!</v>
      </c>
      <c r="X576" t="e">
        <f ca="1">IF(A576="","",IF(E576="","",#REF!))</f>
        <v>#REF!</v>
      </c>
      <c r="Y576" s="39" t="e">
        <f ca="1">IF(A576="","",IF(E576="","",#REF!))</f>
        <v>#REF!</v>
      </c>
      <c r="Z576" t="e">
        <f ca="1">IF(A576="","",IF(E576="","",#REF!))</f>
        <v>#REF!</v>
      </c>
      <c r="AA576" t="e">
        <f ca="1">IF(A576="","",IF(E576="","",#REF!))</f>
        <v>#REF!</v>
      </c>
      <c r="AB576" t="e">
        <f ca="1">IF(A576="","",IF(E576="","",#REF!))</f>
        <v>#REF!</v>
      </c>
      <c r="AC576" t="e">
        <f t="shared" ca="1" si="50"/>
        <v>#REF!</v>
      </c>
    </row>
    <row r="577" spans="1:29" x14ac:dyDescent="0.35">
      <c r="A577" t="e" cm="1">
        <f t="array" aca="1" ref="A577" ca="1">IF(A576="","",IF(OR(AND(A576+1&gt;=$AF$1,A576+1&lt;=$AF$2),AND(A576+1&gt;=$AF$6,A576+1&lt;=$AF$7),AND(A576+1&gt;=$AF$3,A576+1&lt;=$AF$4),AND(A576+1&gt;=$AF$8,A576+1&lt;=$AF$9),A576+1=$AF$5),IF(NOT(ISBLANK(INDIRECT("template!"&amp;"P"&amp;A576+1))),A576+1,IF(NOT(ISBLANK(INDIRECT("template!"&amp;"P"&amp;A576+2))),A576+2,A576+3)),IF(A576=$AF$2,$AF$3,IF(A576=$AF$4,$AF$5,IF(A576=$AF$5,$AF$6,IF(A576=$AF$7,$AF$8,""))))))</f>
        <v>#REF!</v>
      </c>
      <c r="B577" t="e">
        <f t="shared" ca="1" si="45"/>
        <v>#REF!</v>
      </c>
      <c r="C577" t="e" cm="1">
        <f t="array" aca="1" ref="C577" ca="1">IF(A577="","",IF(B577="safety","safety costs",INDIRECT("template!"&amp;"B"&amp;A577)))</f>
        <v>#REF!</v>
      </c>
      <c r="D577" t="e" cm="1">
        <f t="array" aca="1" ref="D577" ca="1">IF(OR(A577="",B577="safety"),"",INDIRECT("template!"&amp;"C"&amp;A577))</f>
        <v>#REF!</v>
      </c>
      <c r="E577" t="e" cm="1">
        <f t="array" aca="1" ref="E577" ca="1">IF(A577="","",IF(OR(A577=A576+1,A577=A576+2),E576,INDIRECT("template!"&amp;"D"&amp;A577-2)))</f>
        <v>#REF!</v>
      </c>
      <c r="F577" t="e" cm="1">
        <f t="array" aca="1" ref="F577" ca="1">IF(OR(A577="",B577="safety"),"",IF(ISBLANK(IF(A577=A576+1,F576,INDIRECT("template!"&amp;"D"&amp;A577-1))),"",IF(A577=A576+1,F576,INDIRECT("template!"&amp;"D"&amp;A577-1))))</f>
        <v>#REF!</v>
      </c>
      <c r="G577" t="e" cm="1">
        <f t="array" aca="1" ref="G577" ca="1">IF(OR(A577="",B577="safety"),"",IF(ISBLANK(INDIRECT("template!"&amp;"D"&amp;A577)),"",INDIRECT("template!"&amp;"D"&amp;A577)))</f>
        <v>#REF!</v>
      </c>
      <c r="H577" t="e" cm="1">
        <f t="array" aca="1" ref="H577" ca="1">IF(OR(A577="",B577="safety"),"",IF(ISBLANK(INDIRECT("template!"&amp;"E"&amp;A577)),"",INDIRECT("template!"&amp;"E"&amp;A577)))</f>
        <v>#REF!</v>
      </c>
      <c r="I577" t="e" cm="1">
        <f t="array" aca="1" ref="I577" ca="1">IF(OR(A577="",B577="safety"),"",IF(ISBLANK(INDIRECT("template!"&amp;"F"&amp;A577)),"",INDIRECT("template!"&amp;"F"&amp;A577)))</f>
        <v>#REF!</v>
      </c>
      <c r="J577" t="e" cm="1">
        <f t="array" aca="1" ref="J577" ca="1">IF(OR(A577="",B577="safety"),"",IF(ISBLANK(INDIRECT("template!"&amp;"G"&amp;A577)),"",INDIRECT("template!"&amp;"G"&amp;A577)))</f>
        <v>#REF!</v>
      </c>
      <c r="K577" t="e" cm="1">
        <f t="array" aca="1" ref="K577" ca="1">IF(OR(A577="",B577="safety"),"",IF(ISBLANK(INDIRECT("template!"&amp;"H"&amp;A577)),"",INDIRECT("template!"&amp;"H"&amp;A577)))</f>
        <v>#REF!</v>
      </c>
      <c r="L577" t="e" cm="1">
        <f t="array" aca="1" ref="L577" ca="1">IF(OR(A577="",B577="safety"),"",INDIRECT("template!"&amp;"I"&amp;A577))</f>
        <v>#REF!</v>
      </c>
      <c r="M577" t="e" cm="1">
        <f t="array" aca="1" ref="M577" ca="1">IF(OR(A577="",B577="safety"),"",INDIRECT("template!"&amp;"J"&amp;A577))</f>
        <v>#REF!</v>
      </c>
      <c r="N577" t="e" cm="1">
        <f t="array" aca="1" ref="N577" ca="1">IF(OR(A577="",B577="safety"),"",IF(ISBLANK(INDIRECT("template!"&amp;"K"&amp;A577)),"",INDIRECT("template!"&amp;"K"&amp;A577)))</f>
        <v>#REF!</v>
      </c>
      <c r="O577" t="e" cm="1">
        <f t="array" aca="1" ref="O577" ca="1">IF(OR(A577="",B577="safety"),"",INDIRECT("template!"&amp;"L"&amp;A577))</f>
        <v>#REF!</v>
      </c>
      <c r="P577" t="e" cm="1">
        <f t="array" aca="1" ref="P577" ca="1">IF(OR(A577="",B577="safety"),"",INDIRECT("template!"&amp;"M"&amp;A577))</f>
        <v>#REF!</v>
      </c>
      <c r="Q577" t="e">
        <f t="shared" ca="1" si="46"/>
        <v>#REF!</v>
      </c>
      <c r="R577" t="e">
        <f t="shared" ca="1" si="47"/>
        <v>#REF!</v>
      </c>
      <c r="S577" t="e">
        <f t="shared" ca="1" si="48"/>
        <v>#REF!</v>
      </c>
      <c r="T577" t="e">
        <f t="shared" ca="1" si="49"/>
        <v>#REF!</v>
      </c>
      <c r="U577" t="e" cm="1">
        <f t="array" aca="1" ref="U577" ca="1">IF(A577="","",IF(E577="","",IF(B577="safety",INDIRECT("template!"&amp;"P"&amp;A577),Q577+R577)))</f>
        <v>#REF!</v>
      </c>
      <c r="V577" t="e" cm="1">
        <f t="array" aca="1" ref="V577" ca="1">IF(A577="","",IF(E577="","",IF(B577="safety",INDIRECT("template!"&amp;"P"&amp;A577),S577+T577)))</f>
        <v>#REF!</v>
      </c>
      <c r="W577" t="e">
        <f ca="1">IF(A577="","",IF(E577="","",#REF!))</f>
        <v>#REF!</v>
      </c>
      <c r="X577" t="e">
        <f ca="1">IF(A577="","",IF(E577="","",#REF!))</f>
        <v>#REF!</v>
      </c>
      <c r="Y577" s="39" t="e">
        <f ca="1">IF(A577="","",IF(E577="","",#REF!))</f>
        <v>#REF!</v>
      </c>
      <c r="Z577" t="e">
        <f ca="1">IF(A577="","",IF(E577="","",#REF!))</f>
        <v>#REF!</v>
      </c>
      <c r="AA577" t="e">
        <f ca="1">IF(A577="","",IF(E577="","",#REF!))</f>
        <v>#REF!</v>
      </c>
      <c r="AB577" t="e">
        <f ca="1">IF(A577="","",IF(E577="","",#REF!))</f>
        <v>#REF!</v>
      </c>
      <c r="AC577" t="e">
        <f t="shared" ca="1" si="50"/>
        <v>#REF!</v>
      </c>
    </row>
    <row r="578" spans="1:29" x14ac:dyDescent="0.35">
      <c r="A578" t="e" cm="1">
        <f t="array" aca="1" ref="A578" ca="1">IF(A577="","",IF(OR(AND(A577+1&gt;=$AF$1,A577+1&lt;=$AF$2),AND(A577+1&gt;=$AF$6,A577+1&lt;=$AF$7),AND(A577+1&gt;=$AF$3,A577+1&lt;=$AF$4),AND(A577+1&gt;=$AF$8,A577+1&lt;=$AF$9),A577+1=$AF$5),IF(NOT(ISBLANK(INDIRECT("template!"&amp;"P"&amp;A577+1))),A577+1,IF(NOT(ISBLANK(INDIRECT("template!"&amp;"P"&amp;A577+2))),A577+2,A577+3)),IF(A577=$AF$2,$AF$3,IF(A577=$AF$4,$AF$5,IF(A577=$AF$5,$AF$6,IF(A577=$AF$7,$AF$8,""))))))</f>
        <v>#REF!</v>
      </c>
      <c r="B578" t="e">
        <f t="shared" ref="B578:B641" ca="1" si="51">IF(A578="","",IF(OR(AND(A578&gt;=$AF$1,A578&lt;=$AF$2),AND(A578&gt;=$AF$6,A578&lt;=$AF$7)),"Mechanical",IF(OR(AND(A578&gt;=$AF$3,A578&lt;=$AF$4),AND(A578&gt;=$AF$8,A578&lt;=$AF$9)),"Electric",IF(A578=$AF$5,"Safety",""))))</f>
        <v>#REF!</v>
      </c>
      <c r="C578" t="e" cm="1">
        <f t="array" aca="1" ref="C578" ca="1">IF(A578="","",IF(B578="safety","safety costs",INDIRECT("template!"&amp;"B"&amp;A578)))</f>
        <v>#REF!</v>
      </c>
      <c r="D578" t="e" cm="1">
        <f t="array" aca="1" ref="D578" ca="1">IF(OR(A578="",B578="safety"),"",INDIRECT("template!"&amp;"C"&amp;A578))</f>
        <v>#REF!</v>
      </c>
      <c r="E578" t="e" cm="1">
        <f t="array" aca="1" ref="E578" ca="1">IF(A578="","",IF(OR(A578=A577+1,A578=A577+2),E577,INDIRECT("template!"&amp;"D"&amp;A578-2)))</f>
        <v>#REF!</v>
      </c>
      <c r="F578" t="e" cm="1">
        <f t="array" aca="1" ref="F578" ca="1">IF(OR(A578="",B578="safety"),"",IF(ISBLANK(IF(A578=A577+1,F577,INDIRECT("template!"&amp;"D"&amp;A578-1))),"",IF(A578=A577+1,F577,INDIRECT("template!"&amp;"D"&amp;A578-1))))</f>
        <v>#REF!</v>
      </c>
      <c r="G578" t="e" cm="1">
        <f t="array" aca="1" ref="G578" ca="1">IF(OR(A578="",B578="safety"),"",IF(ISBLANK(INDIRECT("template!"&amp;"D"&amp;A578)),"",INDIRECT("template!"&amp;"D"&amp;A578)))</f>
        <v>#REF!</v>
      </c>
      <c r="H578" t="e" cm="1">
        <f t="array" aca="1" ref="H578" ca="1">IF(OR(A578="",B578="safety"),"",IF(ISBLANK(INDIRECT("template!"&amp;"E"&amp;A578)),"",INDIRECT("template!"&amp;"E"&amp;A578)))</f>
        <v>#REF!</v>
      </c>
      <c r="I578" t="e" cm="1">
        <f t="array" aca="1" ref="I578" ca="1">IF(OR(A578="",B578="safety"),"",IF(ISBLANK(INDIRECT("template!"&amp;"F"&amp;A578)),"",INDIRECT("template!"&amp;"F"&amp;A578)))</f>
        <v>#REF!</v>
      </c>
      <c r="J578" t="e" cm="1">
        <f t="array" aca="1" ref="J578" ca="1">IF(OR(A578="",B578="safety"),"",IF(ISBLANK(INDIRECT("template!"&amp;"G"&amp;A578)),"",INDIRECT("template!"&amp;"G"&amp;A578)))</f>
        <v>#REF!</v>
      </c>
      <c r="K578" t="e" cm="1">
        <f t="array" aca="1" ref="K578" ca="1">IF(OR(A578="",B578="safety"),"",IF(ISBLANK(INDIRECT("template!"&amp;"H"&amp;A578)),"",INDIRECT("template!"&amp;"H"&amp;A578)))</f>
        <v>#REF!</v>
      </c>
      <c r="L578" t="e" cm="1">
        <f t="array" aca="1" ref="L578" ca="1">IF(OR(A578="",B578="safety"),"",INDIRECT("template!"&amp;"I"&amp;A578))</f>
        <v>#REF!</v>
      </c>
      <c r="M578" t="e" cm="1">
        <f t="array" aca="1" ref="M578" ca="1">IF(OR(A578="",B578="safety"),"",INDIRECT("template!"&amp;"J"&amp;A578))</f>
        <v>#REF!</v>
      </c>
      <c r="N578" t="e" cm="1">
        <f t="array" aca="1" ref="N578" ca="1">IF(OR(A578="",B578="safety"),"",IF(ISBLANK(INDIRECT("template!"&amp;"K"&amp;A578)),"",INDIRECT("template!"&amp;"K"&amp;A578)))</f>
        <v>#REF!</v>
      </c>
      <c r="O578" t="e" cm="1">
        <f t="array" aca="1" ref="O578" ca="1">IF(OR(A578="",B578="safety"),"",INDIRECT("template!"&amp;"L"&amp;A578))</f>
        <v>#REF!</v>
      </c>
      <c r="P578" t="e" cm="1">
        <f t="array" aca="1" ref="P578" ca="1">IF(OR(A578="",B578="safety"),"",INDIRECT("template!"&amp;"M"&amp;A578))</f>
        <v>#REF!</v>
      </c>
      <c r="Q578" t="e">
        <f t="shared" ca="1" si="46"/>
        <v>#REF!</v>
      </c>
      <c r="R578" t="e">
        <f t="shared" ca="1" si="47"/>
        <v>#REF!</v>
      </c>
      <c r="S578" t="e">
        <f t="shared" ca="1" si="48"/>
        <v>#REF!</v>
      </c>
      <c r="T578" t="e">
        <f t="shared" ca="1" si="49"/>
        <v>#REF!</v>
      </c>
      <c r="U578" t="e" cm="1">
        <f t="array" aca="1" ref="U578" ca="1">IF(A578="","",IF(E578="","",IF(B578="safety",INDIRECT("template!"&amp;"P"&amp;A578),Q578+R578)))</f>
        <v>#REF!</v>
      </c>
      <c r="V578" t="e" cm="1">
        <f t="array" aca="1" ref="V578" ca="1">IF(A578="","",IF(E578="","",IF(B578="safety",INDIRECT("template!"&amp;"P"&amp;A578),S578+T578)))</f>
        <v>#REF!</v>
      </c>
      <c r="W578" t="e">
        <f ca="1">IF(A578="","",IF(E578="","",#REF!))</f>
        <v>#REF!</v>
      </c>
      <c r="X578" t="e">
        <f ca="1">IF(A578="","",IF(E578="","",#REF!))</f>
        <v>#REF!</v>
      </c>
      <c r="Y578" s="39" t="e">
        <f ca="1">IF(A578="","",IF(E578="","",#REF!))</f>
        <v>#REF!</v>
      </c>
      <c r="Z578" t="e">
        <f ca="1">IF(A578="","",IF(E578="","",#REF!))</f>
        <v>#REF!</v>
      </c>
      <c r="AA578" t="e">
        <f ca="1">IF(A578="","",IF(E578="","",#REF!))</f>
        <v>#REF!</v>
      </c>
      <c r="AB578" t="e">
        <f ca="1">IF(A578="","",IF(E578="","",#REF!))</f>
        <v>#REF!</v>
      </c>
      <c r="AC578" t="e">
        <f t="shared" ca="1" si="50"/>
        <v>#REF!</v>
      </c>
    </row>
    <row r="579" spans="1:29" x14ac:dyDescent="0.35">
      <c r="A579" t="e" cm="1">
        <f t="array" aca="1" ref="A579" ca="1">IF(A578="","",IF(OR(AND(A578+1&gt;=$AF$1,A578+1&lt;=$AF$2),AND(A578+1&gt;=$AF$6,A578+1&lt;=$AF$7),AND(A578+1&gt;=$AF$3,A578+1&lt;=$AF$4),AND(A578+1&gt;=$AF$8,A578+1&lt;=$AF$9),A578+1=$AF$5),IF(NOT(ISBLANK(INDIRECT("template!"&amp;"P"&amp;A578+1))),A578+1,IF(NOT(ISBLANK(INDIRECT("template!"&amp;"P"&amp;A578+2))),A578+2,A578+3)),IF(A578=$AF$2,$AF$3,IF(A578=$AF$4,$AF$5,IF(A578=$AF$5,$AF$6,IF(A578=$AF$7,$AF$8,""))))))</f>
        <v>#REF!</v>
      </c>
      <c r="B579" t="e">
        <f t="shared" ca="1" si="51"/>
        <v>#REF!</v>
      </c>
      <c r="C579" t="e" cm="1">
        <f t="array" aca="1" ref="C579" ca="1">IF(A579="","",IF(B579="safety","safety costs",INDIRECT("template!"&amp;"B"&amp;A579)))</f>
        <v>#REF!</v>
      </c>
      <c r="D579" t="e" cm="1">
        <f t="array" aca="1" ref="D579" ca="1">IF(OR(A579="",B579="safety"),"",INDIRECT("template!"&amp;"C"&amp;A579))</f>
        <v>#REF!</v>
      </c>
      <c r="E579" t="e" cm="1">
        <f t="array" aca="1" ref="E579" ca="1">IF(A579="","",IF(OR(A579=A578+1,A579=A578+2),E578,INDIRECT("template!"&amp;"D"&amp;A579-2)))</f>
        <v>#REF!</v>
      </c>
      <c r="F579" t="e" cm="1">
        <f t="array" aca="1" ref="F579" ca="1">IF(OR(A579="",B579="safety"),"",IF(ISBLANK(IF(A579=A578+1,F578,INDIRECT("template!"&amp;"D"&amp;A579-1))),"",IF(A579=A578+1,F578,INDIRECT("template!"&amp;"D"&amp;A579-1))))</f>
        <v>#REF!</v>
      </c>
      <c r="G579" t="e" cm="1">
        <f t="array" aca="1" ref="G579" ca="1">IF(OR(A579="",B579="safety"),"",IF(ISBLANK(INDIRECT("template!"&amp;"D"&amp;A579)),"",INDIRECT("template!"&amp;"D"&amp;A579)))</f>
        <v>#REF!</v>
      </c>
      <c r="H579" t="e" cm="1">
        <f t="array" aca="1" ref="H579" ca="1">IF(OR(A579="",B579="safety"),"",IF(ISBLANK(INDIRECT("template!"&amp;"E"&amp;A579)),"",INDIRECT("template!"&amp;"E"&amp;A579)))</f>
        <v>#REF!</v>
      </c>
      <c r="I579" t="e" cm="1">
        <f t="array" aca="1" ref="I579" ca="1">IF(OR(A579="",B579="safety"),"",IF(ISBLANK(INDIRECT("template!"&amp;"F"&amp;A579)),"",INDIRECT("template!"&amp;"F"&amp;A579)))</f>
        <v>#REF!</v>
      </c>
      <c r="J579" t="e" cm="1">
        <f t="array" aca="1" ref="J579" ca="1">IF(OR(A579="",B579="safety"),"",IF(ISBLANK(INDIRECT("template!"&amp;"G"&amp;A579)),"",INDIRECT("template!"&amp;"G"&amp;A579)))</f>
        <v>#REF!</v>
      </c>
      <c r="K579" t="e" cm="1">
        <f t="array" aca="1" ref="K579" ca="1">IF(OR(A579="",B579="safety"),"",IF(ISBLANK(INDIRECT("template!"&amp;"H"&amp;A579)),"",INDIRECT("template!"&amp;"H"&amp;A579)))</f>
        <v>#REF!</v>
      </c>
      <c r="L579" t="e" cm="1">
        <f t="array" aca="1" ref="L579" ca="1">IF(OR(A579="",B579="safety"),"",INDIRECT("template!"&amp;"I"&amp;A579))</f>
        <v>#REF!</v>
      </c>
      <c r="M579" t="e" cm="1">
        <f t="array" aca="1" ref="M579" ca="1">IF(OR(A579="",B579="safety"),"",INDIRECT("template!"&amp;"J"&amp;A579))</f>
        <v>#REF!</v>
      </c>
      <c r="N579" t="e" cm="1">
        <f t="array" aca="1" ref="N579" ca="1">IF(OR(A579="",B579="safety"),"",IF(ISBLANK(INDIRECT("template!"&amp;"K"&amp;A579)),"",INDIRECT("template!"&amp;"K"&amp;A579)))</f>
        <v>#REF!</v>
      </c>
      <c r="O579" t="e" cm="1">
        <f t="array" aca="1" ref="O579" ca="1">IF(OR(A579="",B579="safety"),"",INDIRECT("template!"&amp;"L"&amp;A579))</f>
        <v>#REF!</v>
      </c>
      <c r="P579" t="e" cm="1">
        <f t="array" aca="1" ref="P579" ca="1">IF(OR(A579="",B579="safety"),"",INDIRECT("template!"&amp;"M"&amp;A579))</f>
        <v>#REF!</v>
      </c>
      <c r="Q579" t="e">
        <f t="shared" ca="1" si="46"/>
        <v>#REF!</v>
      </c>
      <c r="R579" t="e">
        <f t="shared" ca="1" si="47"/>
        <v>#REF!</v>
      </c>
      <c r="S579" t="e">
        <f t="shared" ca="1" si="48"/>
        <v>#REF!</v>
      </c>
      <c r="T579" t="e">
        <f t="shared" ca="1" si="49"/>
        <v>#REF!</v>
      </c>
      <c r="U579" t="e" cm="1">
        <f t="array" aca="1" ref="U579" ca="1">IF(A579="","",IF(E579="","",IF(B579="safety",INDIRECT("template!"&amp;"P"&amp;A579),Q579+R579)))</f>
        <v>#REF!</v>
      </c>
      <c r="V579" t="e" cm="1">
        <f t="array" aca="1" ref="V579" ca="1">IF(A579="","",IF(E579="","",IF(B579="safety",INDIRECT("template!"&amp;"P"&amp;A579),S579+T579)))</f>
        <v>#REF!</v>
      </c>
      <c r="W579" t="e">
        <f ca="1">IF(A579="","",IF(E579="","",#REF!))</f>
        <v>#REF!</v>
      </c>
      <c r="X579" t="e">
        <f ca="1">IF(A579="","",IF(E579="","",#REF!))</f>
        <v>#REF!</v>
      </c>
      <c r="Y579" s="39" t="e">
        <f ca="1">IF(A579="","",IF(E579="","",#REF!))</f>
        <v>#REF!</v>
      </c>
      <c r="Z579" t="e">
        <f ca="1">IF(A579="","",IF(E579="","",#REF!))</f>
        <v>#REF!</v>
      </c>
      <c r="AA579" t="e">
        <f ca="1">IF(A579="","",IF(E579="","",#REF!))</f>
        <v>#REF!</v>
      </c>
      <c r="AB579" t="e">
        <f ca="1">IF(A579="","",IF(E579="","",#REF!))</f>
        <v>#REF!</v>
      </c>
      <c r="AC579" t="e">
        <f t="shared" ca="1" si="50"/>
        <v>#REF!</v>
      </c>
    </row>
    <row r="580" spans="1:29" x14ac:dyDescent="0.35">
      <c r="A580" t="e" cm="1">
        <f t="array" aca="1" ref="A580" ca="1">IF(A579="","",IF(OR(AND(A579+1&gt;=$AF$1,A579+1&lt;=$AF$2),AND(A579+1&gt;=$AF$6,A579+1&lt;=$AF$7),AND(A579+1&gt;=$AF$3,A579+1&lt;=$AF$4),AND(A579+1&gt;=$AF$8,A579+1&lt;=$AF$9),A579+1=$AF$5),IF(NOT(ISBLANK(INDIRECT("template!"&amp;"P"&amp;A579+1))),A579+1,IF(NOT(ISBLANK(INDIRECT("template!"&amp;"P"&amp;A579+2))),A579+2,A579+3)),IF(A579=$AF$2,$AF$3,IF(A579=$AF$4,$AF$5,IF(A579=$AF$5,$AF$6,IF(A579=$AF$7,$AF$8,""))))))</f>
        <v>#REF!</v>
      </c>
      <c r="B580" t="e">
        <f t="shared" ca="1" si="51"/>
        <v>#REF!</v>
      </c>
      <c r="C580" t="e" cm="1">
        <f t="array" aca="1" ref="C580" ca="1">IF(A580="","",IF(B580="safety","safety costs",INDIRECT("template!"&amp;"B"&amp;A580)))</f>
        <v>#REF!</v>
      </c>
      <c r="D580" t="e" cm="1">
        <f t="array" aca="1" ref="D580" ca="1">IF(OR(A580="",B580="safety"),"",INDIRECT("template!"&amp;"C"&amp;A580))</f>
        <v>#REF!</v>
      </c>
      <c r="E580" t="e" cm="1">
        <f t="array" aca="1" ref="E580" ca="1">IF(A580="","",IF(OR(A580=A579+1,A580=A579+2),E579,INDIRECT("template!"&amp;"D"&amp;A580-2)))</f>
        <v>#REF!</v>
      </c>
      <c r="F580" t="e" cm="1">
        <f t="array" aca="1" ref="F580" ca="1">IF(OR(A580="",B580="safety"),"",IF(ISBLANK(IF(A580=A579+1,F579,INDIRECT("template!"&amp;"D"&amp;A580-1))),"",IF(A580=A579+1,F579,INDIRECT("template!"&amp;"D"&amp;A580-1))))</f>
        <v>#REF!</v>
      </c>
      <c r="G580" t="e" cm="1">
        <f t="array" aca="1" ref="G580" ca="1">IF(OR(A580="",B580="safety"),"",IF(ISBLANK(INDIRECT("template!"&amp;"D"&amp;A580)),"",INDIRECT("template!"&amp;"D"&amp;A580)))</f>
        <v>#REF!</v>
      </c>
      <c r="H580" t="e" cm="1">
        <f t="array" aca="1" ref="H580" ca="1">IF(OR(A580="",B580="safety"),"",IF(ISBLANK(INDIRECT("template!"&amp;"E"&amp;A580)),"",INDIRECT("template!"&amp;"E"&amp;A580)))</f>
        <v>#REF!</v>
      </c>
      <c r="I580" t="e" cm="1">
        <f t="array" aca="1" ref="I580" ca="1">IF(OR(A580="",B580="safety"),"",IF(ISBLANK(INDIRECT("template!"&amp;"F"&amp;A580)),"",INDIRECT("template!"&amp;"F"&amp;A580)))</f>
        <v>#REF!</v>
      </c>
      <c r="J580" t="e" cm="1">
        <f t="array" aca="1" ref="J580" ca="1">IF(OR(A580="",B580="safety"),"",IF(ISBLANK(INDIRECT("template!"&amp;"G"&amp;A580)),"",INDIRECT("template!"&amp;"G"&amp;A580)))</f>
        <v>#REF!</v>
      </c>
      <c r="K580" t="e" cm="1">
        <f t="array" aca="1" ref="K580" ca="1">IF(OR(A580="",B580="safety"),"",IF(ISBLANK(INDIRECT("template!"&amp;"H"&amp;A580)),"",INDIRECT("template!"&amp;"H"&amp;A580)))</f>
        <v>#REF!</v>
      </c>
      <c r="L580" t="e" cm="1">
        <f t="array" aca="1" ref="L580" ca="1">IF(OR(A580="",B580="safety"),"",INDIRECT("template!"&amp;"I"&amp;A580))</f>
        <v>#REF!</v>
      </c>
      <c r="M580" t="e" cm="1">
        <f t="array" aca="1" ref="M580" ca="1">IF(OR(A580="",B580="safety"),"",INDIRECT("template!"&amp;"J"&amp;A580))</f>
        <v>#REF!</v>
      </c>
      <c r="N580" t="e" cm="1">
        <f t="array" aca="1" ref="N580" ca="1">IF(OR(A580="",B580="safety"),"",IF(ISBLANK(INDIRECT("template!"&amp;"K"&amp;A580)),"",INDIRECT("template!"&amp;"K"&amp;A580)))</f>
        <v>#REF!</v>
      </c>
      <c r="O580" t="e" cm="1">
        <f t="array" aca="1" ref="O580" ca="1">IF(OR(A580="",B580="safety"),"",INDIRECT("template!"&amp;"L"&amp;A580))</f>
        <v>#REF!</v>
      </c>
      <c r="P580" t="e" cm="1">
        <f t="array" aca="1" ref="P580" ca="1">IF(OR(A580="",B580="safety"),"",INDIRECT("template!"&amp;"M"&amp;A580))</f>
        <v>#REF!</v>
      </c>
      <c r="Q580" t="e">
        <f t="shared" ref="Q580:Q643" ca="1" si="52">IF(OR(A580="",B580="safety"),"",IF(E580="","",O580*L580))</f>
        <v>#REF!</v>
      </c>
      <c r="R580" t="e">
        <f t="shared" ref="R580:R643" ca="1" si="53">IF(OR(A580="",B580="safety"),"",IF(E580="","",P580*L580))</f>
        <v>#REF!</v>
      </c>
      <c r="S580" t="e">
        <f t="shared" ref="S580:S643" ca="1" si="54">IF(OR(A580="",B580="safety"),"",IF(E580="","",O580*M580))</f>
        <v>#REF!</v>
      </c>
      <c r="T580" t="e">
        <f t="shared" ref="T580:T643" ca="1" si="55">IF(OR(A580="",B580="safety"),"",IF(E580="","",M580*P580))</f>
        <v>#REF!</v>
      </c>
      <c r="U580" t="e" cm="1">
        <f t="array" aca="1" ref="U580" ca="1">IF(A580="","",IF(E580="","",IF(B580="safety",INDIRECT("template!"&amp;"P"&amp;A580),Q580+R580)))</f>
        <v>#REF!</v>
      </c>
      <c r="V580" t="e" cm="1">
        <f t="array" aca="1" ref="V580" ca="1">IF(A580="","",IF(E580="","",IF(B580="safety",INDIRECT("template!"&amp;"P"&amp;A580),S580+T580)))</f>
        <v>#REF!</v>
      </c>
      <c r="W580" t="e">
        <f ca="1">IF(A580="","",IF(E580="","",#REF!))</f>
        <v>#REF!</v>
      </c>
      <c r="X580" t="e">
        <f ca="1">IF(A580="","",IF(E580="","",#REF!))</f>
        <v>#REF!</v>
      </c>
      <c r="Y580" s="39" t="e">
        <f ca="1">IF(A580="","",IF(E580="","",#REF!))</f>
        <v>#REF!</v>
      </c>
      <c r="Z580" t="e">
        <f ca="1">IF(A580="","",IF(E580="","",#REF!))</f>
        <v>#REF!</v>
      </c>
      <c r="AA580" t="e">
        <f ca="1">IF(A580="","",IF(E580="","",#REF!))</f>
        <v>#REF!</v>
      </c>
      <c r="AB580" t="e">
        <f ca="1">IF(A580="","",IF(E580="","",#REF!))</f>
        <v>#REF!</v>
      </c>
      <c r="AC580" t="e">
        <f t="shared" ref="AC580:AC643" ca="1" si="56">IF(A580="","",IF(E580="","","WEEK "&amp;WEEKNUM(Y580)&amp;"_"&amp;YEAR(Y580)))</f>
        <v>#REF!</v>
      </c>
    </row>
    <row r="581" spans="1:29" x14ac:dyDescent="0.35">
      <c r="A581" t="e" cm="1">
        <f t="array" aca="1" ref="A581" ca="1">IF(A580="","",IF(OR(AND(A580+1&gt;=$AF$1,A580+1&lt;=$AF$2),AND(A580+1&gt;=$AF$6,A580+1&lt;=$AF$7),AND(A580+1&gt;=$AF$3,A580+1&lt;=$AF$4),AND(A580+1&gt;=$AF$8,A580+1&lt;=$AF$9),A580+1=$AF$5),IF(NOT(ISBLANK(INDIRECT("template!"&amp;"P"&amp;A580+1))),A580+1,IF(NOT(ISBLANK(INDIRECT("template!"&amp;"P"&amp;A580+2))),A580+2,A580+3)),IF(A580=$AF$2,$AF$3,IF(A580=$AF$4,$AF$5,IF(A580=$AF$5,$AF$6,IF(A580=$AF$7,$AF$8,""))))))</f>
        <v>#REF!</v>
      </c>
      <c r="B581" t="e">
        <f t="shared" ca="1" si="51"/>
        <v>#REF!</v>
      </c>
      <c r="C581" t="e" cm="1">
        <f t="array" aca="1" ref="C581" ca="1">IF(A581="","",IF(B581="safety","safety costs",INDIRECT("template!"&amp;"B"&amp;A581)))</f>
        <v>#REF!</v>
      </c>
      <c r="D581" t="e" cm="1">
        <f t="array" aca="1" ref="D581" ca="1">IF(OR(A581="",B581="safety"),"",INDIRECT("template!"&amp;"C"&amp;A581))</f>
        <v>#REF!</v>
      </c>
      <c r="E581" t="e" cm="1">
        <f t="array" aca="1" ref="E581" ca="1">IF(A581="","",IF(OR(A581=A580+1,A581=A580+2),E580,INDIRECT("template!"&amp;"D"&amp;A581-2)))</f>
        <v>#REF!</v>
      </c>
      <c r="F581" t="e" cm="1">
        <f t="array" aca="1" ref="F581" ca="1">IF(OR(A581="",B581="safety"),"",IF(ISBLANK(IF(A581=A580+1,F580,INDIRECT("template!"&amp;"D"&amp;A581-1))),"",IF(A581=A580+1,F580,INDIRECT("template!"&amp;"D"&amp;A581-1))))</f>
        <v>#REF!</v>
      </c>
      <c r="G581" t="e" cm="1">
        <f t="array" aca="1" ref="G581" ca="1">IF(OR(A581="",B581="safety"),"",IF(ISBLANK(INDIRECT("template!"&amp;"D"&amp;A581)),"",INDIRECT("template!"&amp;"D"&amp;A581)))</f>
        <v>#REF!</v>
      </c>
      <c r="H581" t="e" cm="1">
        <f t="array" aca="1" ref="H581" ca="1">IF(OR(A581="",B581="safety"),"",IF(ISBLANK(INDIRECT("template!"&amp;"E"&amp;A581)),"",INDIRECT("template!"&amp;"E"&amp;A581)))</f>
        <v>#REF!</v>
      </c>
      <c r="I581" t="e" cm="1">
        <f t="array" aca="1" ref="I581" ca="1">IF(OR(A581="",B581="safety"),"",IF(ISBLANK(INDIRECT("template!"&amp;"F"&amp;A581)),"",INDIRECT("template!"&amp;"F"&amp;A581)))</f>
        <v>#REF!</v>
      </c>
      <c r="J581" t="e" cm="1">
        <f t="array" aca="1" ref="J581" ca="1">IF(OR(A581="",B581="safety"),"",IF(ISBLANK(INDIRECT("template!"&amp;"G"&amp;A581)),"",INDIRECT("template!"&amp;"G"&amp;A581)))</f>
        <v>#REF!</v>
      </c>
      <c r="K581" t="e" cm="1">
        <f t="array" aca="1" ref="K581" ca="1">IF(OR(A581="",B581="safety"),"",IF(ISBLANK(INDIRECT("template!"&amp;"H"&amp;A581)),"",INDIRECT("template!"&amp;"H"&amp;A581)))</f>
        <v>#REF!</v>
      </c>
      <c r="L581" t="e" cm="1">
        <f t="array" aca="1" ref="L581" ca="1">IF(OR(A581="",B581="safety"),"",INDIRECT("template!"&amp;"I"&amp;A581))</f>
        <v>#REF!</v>
      </c>
      <c r="M581" t="e" cm="1">
        <f t="array" aca="1" ref="M581" ca="1">IF(OR(A581="",B581="safety"),"",INDIRECT("template!"&amp;"J"&amp;A581))</f>
        <v>#REF!</v>
      </c>
      <c r="N581" t="e" cm="1">
        <f t="array" aca="1" ref="N581" ca="1">IF(OR(A581="",B581="safety"),"",IF(ISBLANK(INDIRECT("template!"&amp;"K"&amp;A581)),"",INDIRECT("template!"&amp;"K"&amp;A581)))</f>
        <v>#REF!</v>
      </c>
      <c r="O581" t="e" cm="1">
        <f t="array" aca="1" ref="O581" ca="1">IF(OR(A581="",B581="safety"),"",INDIRECT("template!"&amp;"L"&amp;A581))</f>
        <v>#REF!</v>
      </c>
      <c r="P581" t="e" cm="1">
        <f t="array" aca="1" ref="P581" ca="1">IF(OR(A581="",B581="safety"),"",INDIRECT("template!"&amp;"M"&amp;A581))</f>
        <v>#REF!</v>
      </c>
      <c r="Q581" t="e">
        <f t="shared" ca="1" si="52"/>
        <v>#REF!</v>
      </c>
      <c r="R581" t="e">
        <f t="shared" ca="1" si="53"/>
        <v>#REF!</v>
      </c>
      <c r="S581" t="e">
        <f t="shared" ca="1" si="54"/>
        <v>#REF!</v>
      </c>
      <c r="T581" t="e">
        <f t="shared" ca="1" si="55"/>
        <v>#REF!</v>
      </c>
      <c r="U581" t="e" cm="1">
        <f t="array" aca="1" ref="U581" ca="1">IF(A581="","",IF(E581="","",IF(B581="safety",INDIRECT("template!"&amp;"P"&amp;A581),Q581+R581)))</f>
        <v>#REF!</v>
      </c>
      <c r="V581" t="e" cm="1">
        <f t="array" aca="1" ref="V581" ca="1">IF(A581="","",IF(E581="","",IF(B581="safety",INDIRECT("template!"&amp;"P"&amp;A581),S581+T581)))</f>
        <v>#REF!</v>
      </c>
      <c r="W581" t="e">
        <f ca="1">IF(A581="","",IF(E581="","",#REF!))</f>
        <v>#REF!</v>
      </c>
      <c r="X581" t="e">
        <f ca="1">IF(A581="","",IF(E581="","",#REF!))</f>
        <v>#REF!</v>
      </c>
      <c r="Y581" s="39" t="e">
        <f ca="1">IF(A581="","",IF(E581="","",#REF!))</f>
        <v>#REF!</v>
      </c>
      <c r="Z581" t="e">
        <f ca="1">IF(A581="","",IF(E581="","",#REF!))</f>
        <v>#REF!</v>
      </c>
      <c r="AA581" t="e">
        <f ca="1">IF(A581="","",IF(E581="","",#REF!))</f>
        <v>#REF!</v>
      </c>
      <c r="AB581" t="e">
        <f ca="1">IF(A581="","",IF(E581="","",#REF!))</f>
        <v>#REF!</v>
      </c>
      <c r="AC581" t="e">
        <f t="shared" ca="1" si="56"/>
        <v>#REF!</v>
      </c>
    </row>
    <row r="582" spans="1:29" x14ac:dyDescent="0.35">
      <c r="A582" t="e" cm="1">
        <f t="array" aca="1" ref="A582" ca="1">IF(A581="","",IF(OR(AND(A581+1&gt;=$AF$1,A581+1&lt;=$AF$2),AND(A581+1&gt;=$AF$6,A581+1&lt;=$AF$7),AND(A581+1&gt;=$AF$3,A581+1&lt;=$AF$4),AND(A581+1&gt;=$AF$8,A581+1&lt;=$AF$9),A581+1=$AF$5),IF(NOT(ISBLANK(INDIRECT("template!"&amp;"P"&amp;A581+1))),A581+1,IF(NOT(ISBLANK(INDIRECT("template!"&amp;"P"&amp;A581+2))),A581+2,A581+3)),IF(A581=$AF$2,$AF$3,IF(A581=$AF$4,$AF$5,IF(A581=$AF$5,$AF$6,IF(A581=$AF$7,$AF$8,""))))))</f>
        <v>#REF!</v>
      </c>
      <c r="B582" t="e">
        <f t="shared" ca="1" si="51"/>
        <v>#REF!</v>
      </c>
      <c r="C582" t="e" cm="1">
        <f t="array" aca="1" ref="C582" ca="1">IF(A582="","",IF(B582="safety","safety costs",INDIRECT("template!"&amp;"B"&amp;A582)))</f>
        <v>#REF!</v>
      </c>
      <c r="D582" t="e" cm="1">
        <f t="array" aca="1" ref="D582" ca="1">IF(OR(A582="",B582="safety"),"",INDIRECT("template!"&amp;"C"&amp;A582))</f>
        <v>#REF!</v>
      </c>
      <c r="E582" t="e" cm="1">
        <f t="array" aca="1" ref="E582" ca="1">IF(A582="","",IF(OR(A582=A581+1,A582=A581+2),E581,INDIRECT("template!"&amp;"D"&amp;A582-2)))</f>
        <v>#REF!</v>
      </c>
      <c r="F582" t="e" cm="1">
        <f t="array" aca="1" ref="F582" ca="1">IF(OR(A582="",B582="safety"),"",IF(ISBLANK(IF(A582=A581+1,F581,INDIRECT("template!"&amp;"D"&amp;A582-1))),"",IF(A582=A581+1,F581,INDIRECT("template!"&amp;"D"&amp;A582-1))))</f>
        <v>#REF!</v>
      </c>
      <c r="G582" t="e" cm="1">
        <f t="array" aca="1" ref="G582" ca="1">IF(OR(A582="",B582="safety"),"",IF(ISBLANK(INDIRECT("template!"&amp;"D"&amp;A582)),"",INDIRECT("template!"&amp;"D"&amp;A582)))</f>
        <v>#REF!</v>
      </c>
      <c r="H582" t="e" cm="1">
        <f t="array" aca="1" ref="H582" ca="1">IF(OR(A582="",B582="safety"),"",IF(ISBLANK(INDIRECT("template!"&amp;"E"&amp;A582)),"",INDIRECT("template!"&amp;"E"&amp;A582)))</f>
        <v>#REF!</v>
      </c>
      <c r="I582" t="e" cm="1">
        <f t="array" aca="1" ref="I582" ca="1">IF(OR(A582="",B582="safety"),"",IF(ISBLANK(INDIRECT("template!"&amp;"F"&amp;A582)),"",INDIRECT("template!"&amp;"F"&amp;A582)))</f>
        <v>#REF!</v>
      </c>
      <c r="J582" t="e" cm="1">
        <f t="array" aca="1" ref="J582" ca="1">IF(OR(A582="",B582="safety"),"",IF(ISBLANK(INDIRECT("template!"&amp;"G"&amp;A582)),"",INDIRECT("template!"&amp;"G"&amp;A582)))</f>
        <v>#REF!</v>
      </c>
      <c r="K582" t="e" cm="1">
        <f t="array" aca="1" ref="K582" ca="1">IF(OR(A582="",B582="safety"),"",IF(ISBLANK(INDIRECT("template!"&amp;"H"&amp;A582)),"",INDIRECT("template!"&amp;"H"&amp;A582)))</f>
        <v>#REF!</v>
      </c>
      <c r="L582" t="e" cm="1">
        <f t="array" aca="1" ref="L582" ca="1">IF(OR(A582="",B582="safety"),"",INDIRECT("template!"&amp;"I"&amp;A582))</f>
        <v>#REF!</v>
      </c>
      <c r="M582" t="e" cm="1">
        <f t="array" aca="1" ref="M582" ca="1">IF(OR(A582="",B582="safety"),"",INDIRECT("template!"&amp;"J"&amp;A582))</f>
        <v>#REF!</v>
      </c>
      <c r="N582" t="e" cm="1">
        <f t="array" aca="1" ref="N582" ca="1">IF(OR(A582="",B582="safety"),"",IF(ISBLANK(INDIRECT("template!"&amp;"K"&amp;A582)),"",INDIRECT("template!"&amp;"K"&amp;A582)))</f>
        <v>#REF!</v>
      </c>
      <c r="O582" t="e" cm="1">
        <f t="array" aca="1" ref="O582" ca="1">IF(OR(A582="",B582="safety"),"",INDIRECT("template!"&amp;"L"&amp;A582))</f>
        <v>#REF!</v>
      </c>
      <c r="P582" t="e" cm="1">
        <f t="array" aca="1" ref="P582" ca="1">IF(OR(A582="",B582="safety"),"",INDIRECT("template!"&amp;"M"&amp;A582))</f>
        <v>#REF!</v>
      </c>
      <c r="Q582" t="e">
        <f t="shared" ca="1" si="52"/>
        <v>#REF!</v>
      </c>
      <c r="R582" t="e">
        <f t="shared" ca="1" si="53"/>
        <v>#REF!</v>
      </c>
      <c r="S582" t="e">
        <f t="shared" ca="1" si="54"/>
        <v>#REF!</v>
      </c>
      <c r="T582" t="e">
        <f t="shared" ca="1" si="55"/>
        <v>#REF!</v>
      </c>
      <c r="U582" t="e" cm="1">
        <f t="array" aca="1" ref="U582" ca="1">IF(A582="","",IF(E582="","",IF(B582="safety",INDIRECT("template!"&amp;"P"&amp;A582),Q582+R582)))</f>
        <v>#REF!</v>
      </c>
      <c r="V582" t="e" cm="1">
        <f t="array" aca="1" ref="V582" ca="1">IF(A582="","",IF(E582="","",IF(B582="safety",INDIRECT("template!"&amp;"P"&amp;A582),S582+T582)))</f>
        <v>#REF!</v>
      </c>
      <c r="W582" t="e">
        <f ca="1">IF(A582="","",IF(E582="","",#REF!))</f>
        <v>#REF!</v>
      </c>
      <c r="X582" t="e">
        <f ca="1">IF(A582="","",IF(E582="","",#REF!))</f>
        <v>#REF!</v>
      </c>
      <c r="Y582" s="39" t="e">
        <f ca="1">IF(A582="","",IF(E582="","",#REF!))</f>
        <v>#REF!</v>
      </c>
      <c r="Z582" t="e">
        <f ca="1">IF(A582="","",IF(E582="","",#REF!))</f>
        <v>#REF!</v>
      </c>
      <c r="AA582" t="e">
        <f ca="1">IF(A582="","",IF(E582="","",#REF!))</f>
        <v>#REF!</v>
      </c>
      <c r="AB582" t="e">
        <f ca="1">IF(A582="","",IF(E582="","",#REF!))</f>
        <v>#REF!</v>
      </c>
      <c r="AC582" t="e">
        <f t="shared" ca="1" si="56"/>
        <v>#REF!</v>
      </c>
    </row>
    <row r="583" spans="1:29" x14ac:dyDescent="0.35">
      <c r="A583" t="e" cm="1">
        <f t="array" aca="1" ref="A583" ca="1">IF(A582="","",IF(OR(AND(A582+1&gt;=$AF$1,A582+1&lt;=$AF$2),AND(A582+1&gt;=$AF$6,A582+1&lt;=$AF$7),AND(A582+1&gt;=$AF$3,A582+1&lt;=$AF$4),AND(A582+1&gt;=$AF$8,A582+1&lt;=$AF$9),A582+1=$AF$5),IF(NOT(ISBLANK(INDIRECT("template!"&amp;"P"&amp;A582+1))),A582+1,IF(NOT(ISBLANK(INDIRECT("template!"&amp;"P"&amp;A582+2))),A582+2,A582+3)),IF(A582=$AF$2,$AF$3,IF(A582=$AF$4,$AF$5,IF(A582=$AF$5,$AF$6,IF(A582=$AF$7,$AF$8,""))))))</f>
        <v>#REF!</v>
      </c>
      <c r="B583" t="e">
        <f t="shared" ca="1" si="51"/>
        <v>#REF!</v>
      </c>
      <c r="C583" t="e" cm="1">
        <f t="array" aca="1" ref="C583" ca="1">IF(A583="","",IF(B583="safety","safety costs",INDIRECT("template!"&amp;"B"&amp;A583)))</f>
        <v>#REF!</v>
      </c>
      <c r="D583" t="e" cm="1">
        <f t="array" aca="1" ref="D583" ca="1">IF(OR(A583="",B583="safety"),"",INDIRECT("template!"&amp;"C"&amp;A583))</f>
        <v>#REF!</v>
      </c>
      <c r="E583" t="e" cm="1">
        <f t="array" aca="1" ref="E583" ca="1">IF(A583="","",IF(OR(A583=A582+1,A583=A582+2),E582,INDIRECT("template!"&amp;"D"&amp;A583-2)))</f>
        <v>#REF!</v>
      </c>
      <c r="F583" t="e" cm="1">
        <f t="array" aca="1" ref="F583" ca="1">IF(OR(A583="",B583="safety"),"",IF(ISBLANK(IF(A583=A582+1,F582,INDIRECT("template!"&amp;"D"&amp;A583-1))),"",IF(A583=A582+1,F582,INDIRECT("template!"&amp;"D"&amp;A583-1))))</f>
        <v>#REF!</v>
      </c>
      <c r="G583" t="e" cm="1">
        <f t="array" aca="1" ref="G583" ca="1">IF(OR(A583="",B583="safety"),"",IF(ISBLANK(INDIRECT("template!"&amp;"D"&amp;A583)),"",INDIRECT("template!"&amp;"D"&amp;A583)))</f>
        <v>#REF!</v>
      </c>
      <c r="H583" t="e" cm="1">
        <f t="array" aca="1" ref="H583" ca="1">IF(OR(A583="",B583="safety"),"",IF(ISBLANK(INDIRECT("template!"&amp;"E"&amp;A583)),"",INDIRECT("template!"&amp;"E"&amp;A583)))</f>
        <v>#REF!</v>
      </c>
      <c r="I583" t="e" cm="1">
        <f t="array" aca="1" ref="I583" ca="1">IF(OR(A583="",B583="safety"),"",IF(ISBLANK(INDIRECT("template!"&amp;"F"&amp;A583)),"",INDIRECT("template!"&amp;"F"&amp;A583)))</f>
        <v>#REF!</v>
      </c>
      <c r="J583" t="e" cm="1">
        <f t="array" aca="1" ref="J583" ca="1">IF(OR(A583="",B583="safety"),"",IF(ISBLANK(INDIRECT("template!"&amp;"G"&amp;A583)),"",INDIRECT("template!"&amp;"G"&amp;A583)))</f>
        <v>#REF!</v>
      </c>
      <c r="K583" t="e" cm="1">
        <f t="array" aca="1" ref="K583" ca="1">IF(OR(A583="",B583="safety"),"",IF(ISBLANK(INDIRECT("template!"&amp;"H"&amp;A583)),"",INDIRECT("template!"&amp;"H"&amp;A583)))</f>
        <v>#REF!</v>
      </c>
      <c r="L583" t="e" cm="1">
        <f t="array" aca="1" ref="L583" ca="1">IF(OR(A583="",B583="safety"),"",INDIRECT("template!"&amp;"I"&amp;A583))</f>
        <v>#REF!</v>
      </c>
      <c r="M583" t="e" cm="1">
        <f t="array" aca="1" ref="M583" ca="1">IF(OR(A583="",B583="safety"),"",INDIRECT("template!"&amp;"J"&amp;A583))</f>
        <v>#REF!</v>
      </c>
      <c r="N583" t="e" cm="1">
        <f t="array" aca="1" ref="N583" ca="1">IF(OR(A583="",B583="safety"),"",IF(ISBLANK(INDIRECT("template!"&amp;"K"&amp;A583)),"",INDIRECT("template!"&amp;"K"&amp;A583)))</f>
        <v>#REF!</v>
      </c>
      <c r="O583" t="e" cm="1">
        <f t="array" aca="1" ref="O583" ca="1">IF(OR(A583="",B583="safety"),"",INDIRECT("template!"&amp;"L"&amp;A583))</f>
        <v>#REF!</v>
      </c>
      <c r="P583" t="e" cm="1">
        <f t="array" aca="1" ref="P583" ca="1">IF(OR(A583="",B583="safety"),"",INDIRECT("template!"&amp;"M"&amp;A583))</f>
        <v>#REF!</v>
      </c>
      <c r="Q583" t="e">
        <f t="shared" ca="1" si="52"/>
        <v>#REF!</v>
      </c>
      <c r="R583" t="e">
        <f t="shared" ca="1" si="53"/>
        <v>#REF!</v>
      </c>
      <c r="S583" t="e">
        <f t="shared" ca="1" si="54"/>
        <v>#REF!</v>
      </c>
      <c r="T583" t="e">
        <f t="shared" ca="1" si="55"/>
        <v>#REF!</v>
      </c>
      <c r="U583" t="e" cm="1">
        <f t="array" aca="1" ref="U583" ca="1">IF(A583="","",IF(E583="","",IF(B583="safety",INDIRECT("template!"&amp;"P"&amp;A583),Q583+R583)))</f>
        <v>#REF!</v>
      </c>
      <c r="V583" t="e" cm="1">
        <f t="array" aca="1" ref="V583" ca="1">IF(A583="","",IF(E583="","",IF(B583="safety",INDIRECT("template!"&amp;"P"&amp;A583),S583+T583)))</f>
        <v>#REF!</v>
      </c>
      <c r="W583" t="e">
        <f ca="1">IF(A583="","",IF(E583="","",#REF!))</f>
        <v>#REF!</v>
      </c>
      <c r="X583" t="e">
        <f ca="1">IF(A583="","",IF(E583="","",#REF!))</f>
        <v>#REF!</v>
      </c>
      <c r="Y583" s="39" t="e">
        <f ca="1">IF(A583="","",IF(E583="","",#REF!))</f>
        <v>#REF!</v>
      </c>
      <c r="Z583" t="e">
        <f ca="1">IF(A583="","",IF(E583="","",#REF!))</f>
        <v>#REF!</v>
      </c>
      <c r="AA583" t="e">
        <f ca="1">IF(A583="","",IF(E583="","",#REF!))</f>
        <v>#REF!</v>
      </c>
      <c r="AB583" t="e">
        <f ca="1">IF(A583="","",IF(E583="","",#REF!))</f>
        <v>#REF!</v>
      </c>
      <c r="AC583" t="e">
        <f t="shared" ca="1" si="56"/>
        <v>#REF!</v>
      </c>
    </row>
    <row r="584" spans="1:29" x14ac:dyDescent="0.35">
      <c r="A584" t="e" cm="1">
        <f t="array" aca="1" ref="A584" ca="1">IF(A583="","",IF(OR(AND(A583+1&gt;=$AF$1,A583+1&lt;=$AF$2),AND(A583+1&gt;=$AF$6,A583+1&lt;=$AF$7),AND(A583+1&gt;=$AF$3,A583+1&lt;=$AF$4),AND(A583+1&gt;=$AF$8,A583+1&lt;=$AF$9),A583+1=$AF$5),IF(NOT(ISBLANK(INDIRECT("template!"&amp;"P"&amp;A583+1))),A583+1,IF(NOT(ISBLANK(INDIRECT("template!"&amp;"P"&amp;A583+2))),A583+2,A583+3)),IF(A583=$AF$2,$AF$3,IF(A583=$AF$4,$AF$5,IF(A583=$AF$5,$AF$6,IF(A583=$AF$7,$AF$8,""))))))</f>
        <v>#REF!</v>
      </c>
      <c r="B584" t="e">
        <f t="shared" ca="1" si="51"/>
        <v>#REF!</v>
      </c>
      <c r="C584" t="e" cm="1">
        <f t="array" aca="1" ref="C584" ca="1">IF(A584="","",IF(B584="safety","safety costs",INDIRECT("template!"&amp;"B"&amp;A584)))</f>
        <v>#REF!</v>
      </c>
      <c r="D584" t="e" cm="1">
        <f t="array" aca="1" ref="D584" ca="1">IF(OR(A584="",B584="safety"),"",INDIRECT("template!"&amp;"C"&amp;A584))</f>
        <v>#REF!</v>
      </c>
      <c r="E584" t="e" cm="1">
        <f t="array" aca="1" ref="E584" ca="1">IF(A584="","",IF(OR(A584=A583+1,A584=A583+2),E583,INDIRECT("template!"&amp;"D"&amp;A584-2)))</f>
        <v>#REF!</v>
      </c>
      <c r="F584" t="e" cm="1">
        <f t="array" aca="1" ref="F584" ca="1">IF(OR(A584="",B584="safety"),"",IF(ISBLANK(IF(A584=A583+1,F583,INDIRECT("template!"&amp;"D"&amp;A584-1))),"",IF(A584=A583+1,F583,INDIRECT("template!"&amp;"D"&amp;A584-1))))</f>
        <v>#REF!</v>
      </c>
      <c r="G584" t="e" cm="1">
        <f t="array" aca="1" ref="G584" ca="1">IF(OR(A584="",B584="safety"),"",IF(ISBLANK(INDIRECT("template!"&amp;"D"&amp;A584)),"",INDIRECT("template!"&amp;"D"&amp;A584)))</f>
        <v>#REF!</v>
      </c>
      <c r="H584" t="e" cm="1">
        <f t="array" aca="1" ref="H584" ca="1">IF(OR(A584="",B584="safety"),"",IF(ISBLANK(INDIRECT("template!"&amp;"E"&amp;A584)),"",INDIRECT("template!"&amp;"E"&amp;A584)))</f>
        <v>#REF!</v>
      </c>
      <c r="I584" t="e" cm="1">
        <f t="array" aca="1" ref="I584" ca="1">IF(OR(A584="",B584="safety"),"",IF(ISBLANK(INDIRECT("template!"&amp;"F"&amp;A584)),"",INDIRECT("template!"&amp;"F"&amp;A584)))</f>
        <v>#REF!</v>
      </c>
      <c r="J584" t="e" cm="1">
        <f t="array" aca="1" ref="J584" ca="1">IF(OR(A584="",B584="safety"),"",IF(ISBLANK(INDIRECT("template!"&amp;"G"&amp;A584)),"",INDIRECT("template!"&amp;"G"&amp;A584)))</f>
        <v>#REF!</v>
      </c>
      <c r="K584" t="e" cm="1">
        <f t="array" aca="1" ref="K584" ca="1">IF(OR(A584="",B584="safety"),"",IF(ISBLANK(INDIRECT("template!"&amp;"H"&amp;A584)),"",INDIRECT("template!"&amp;"H"&amp;A584)))</f>
        <v>#REF!</v>
      </c>
      <c r="L584" t="e" cm="1">
        <f t="array" aca="1" ref="L584" ca="1">IF(OR(A584="",B584="safety"),"",INDIRECT("template!"&amp;"I"&amp;A584))</f>
        <v>#REF!</v>
      </c>
      <c r="M584" t="e" cm="1">
        <f t="array" aca="1" ref="M584" ca="1">IF(OR(A584="",B584="safety"),"",INDIRECT("template!"&amp;"J"&amp;A584))</f>
        <v>#REF!</v>
      </c>
      <c r="N584" t="e" cm="1">
        <f t="array" aca="1" ref="N584" ca="1">IF(OR(A584="",B584="safety"),"",IF(ISBLANK(INDIRECT("template!"&amp;"K"&amp;A584)),"",INDIRECT("template!"&amp;"K"&amp;A584)))</f>
        <v>#REF!</v>
      </c>
      <c r="O584" t="e" cm="1">
        <f t="array" aca="1" ref="O584" ca="1">IF(OR(A584="",B584="safety"),"",INDIRECT("template!"&amp;"L"&amp;A584))</f>
        <v>#REF!</v>
      </c>
      <c r="P584" t="e" cm="1">
        <f t="array" aca="1" ref="P584" ca="1">IF(OR(A584="",B584="safety"),"",INDIRECT("template!"&amp;"M"&amp;A584))</f>
        <v>#REF!</v>
      </c>
      <c r="Q584" t="e">
        <f t="shared" ca="1" si="52"/>
        <v>#REF!</v>
      </c>
      <c r="R584" t="e">
        <f t="shared" ca="1" si="53"/>
        <v>#REF!</v>
      </c>
      <c r="S584" t="e">
        <f t="shared" ca="1" si="54"/>
        <v>#REF!</v>
      </c>
      <c r="T584" t="e">
        <f t="shared" ca="1" si="55"/>
        <v>#REF!</v>
      </c>
      <c r="U584" t="e" cm="1">
        <f t="array" aca="1" ref="U584" ca="1">IF(A584="","",IF(E584="","",IF(B584="safety",INDIRECT("template!"&amp;"P"&amp;A584),Q584+R584)))</f>
        <v>#REF!</v>
      </c>
      <c r="V584" t="e" cm="1">
        <f t="array" aca="1" ref="V584" ca="1">IF(A584="","",IF(E584="","",IF(B584="safety",INDIRECT("template!"&amp;"P"&amp;A584),S584+T584)))</f>
        <v>#REF!</v>
      </c>
      <c r="W584" t="e">
        <f ca="1">IF(A584="","",IF(E584="","",#REF!))</f>
        <v>#REF!</v>
      </c>
      <c r="X584" t="e">
        <f ca="1">IF(A584="","",IF(E584="","",#REF!))</f>
        <v>#REF!</v>
      </c>
      <c r="Y584" s="39" t="e">
        <f ca="1">IF(A584="","",IF(E584="","",#REF!))</f>
        <v>#REF!</v>
      </c>
      <c r="Z584" t="e">
        <f ca="1">IF(A584="","",IF(E584="","",#REF!))</f>
        <v>#REF!</v>
      </c>
      <c r="AA584" t="e">
        <f ca="1">IF(A584="","",IF(E584="","",#REF!))</f>
        <v>#REF!</v>
      </c>
      <c r="AB584" t="e">
        <f ca="1">IF(A584="","",IF(E584="","",#REF!))</f>
        <v>#REF!</v>
      </c>
      <c r="AC584" t="e">
        <f t="shared" ca="1" si="56"/>
        <v>#REF!</v>
      </c>
    </row>
    <row r="585" spans="1:29" x14ac:dyDescent="0.35">
      <c r="A585" t="e" cm="1">
        <f t="array" aca="1" ref="A585" ca="1">IF(A584="","",IF(OR(AND(A584+1&gt;=$AF$1,A584+1&lt;=$AF$2),AND(A584+1&gt;=$AF$6,A584+1&lt;=$AF$7),AND(A584+1&gt;=$AF$3,A584+1&lt;=$AF$4),AND(A584+1&gt;=$AF$8,A584+1&lt;=$AF$9),A584+1=$AF$5),IF(NOT(ISBLANK(INDIRECT("template!"&amp;"P"&amp;A584+1))),A584+1,IF(NOT(ISBLANK(INDIRECT("template!"&amp;"P"&amp;A584+2))),A584+2,A584+3)),IF(A584=$AF$2,$AF$3,IF(A584=$AF$4,$AF$5,IF(A584=$AF$5,$AF$6,IF(A584=$AF$7,$AF$8,""))))))</f>
        <v>#REF!</v>
      </c>
      <c r="B585" t="e">
        <f t="shared" ca="1" si="51"/>
        <v>#REF!</v>
      </c>
      <c r="C585" t="e" cm="1">
        <f t="array" aca="1" ref="C585" ca="1">IF(A585="","",IF(B585="safety","safety costs",INDIRECT("template!"&amp;"B"&amp;A585)))</f>
        <v>#REF!</v>
      </c>
      <c r="D585" t="e" cm="1">
        <f t="array" aca="1" ref="D585" ca="1">IF(OR(A585="",B585="safety"),"",INDIRECT("template!"&amp;"C"&amp;A585))</f>
        <v>#REF!</v>
      </c>
      <c r="E585" t="e" cm="1">
        <f t="array" aca="1" ref="E585" ca="1">IF(A585="","",IF(OR(A585=A584+1,A585=A584+2),E584,INDIRECT("template!"&amp;"D"&amp;A585-2)))</f>
        <v>#REF!</v>
      </c>
      <c r="F585" t="e" cm="1">
        <f t="array" aca="1" ref="F585" ca="1">IF(OR(A585="",B585="safety"),"",IF(ISBLANK(IF(A585=A584+1,F584,INDIRECT("template!"&amp;"D"&amp;A585-1))),"",IF(A585=A584+1,F584,INDIRECT("template!"&amp;"D"&amp;A585-1))))</f>
        <v>#REF!</v>
      </c>
      <c r="G585" t="e" cm="1">
        <f t="array" aca="1" ref="G585" ca="1">IF(OR(A585="",B585="safety"),"",IF(ISBLANK(INDIRECT("template!"&amp;"D"&amp;A585)),"",INDIRECT("template!"&amp;"D"&amp;A585)))</f>
        <v>#REF!</v>
      </c>
      <c r="H585" t="e" cm="1">
        <f t="array" aca="1" ref="H585" ca="1">IF(OR(A585="",B585="safety"),"",IF(ISBLANK(INDIRECT("template!"&amp;"E"&amp;A585)),"",INDIRECT("template!"&amp;"E"&amp;A585)))</f>
        <v>#REF!</v>
      </c>
      <c r="I585" t="e" cm="1">
        <f t="array" aca="1" ref="I585" ca="1">IF(OR(A585="",B585="safety"),"",IF(ISBLANK(INDIRECT("template!"&amp;"F"&amp;A585)),"",INDIRECT("template!"&amp;"F"&amp;A585)))</f>
        <v>#REF!</v>
      </c>
      <c r="J585" t="e" cm="1">
        <f t="array" aca="1" ref="J585" ca="1">IF(OR(A585="",B585="safety"),"",IF(ISBLANK(INDIRECT("template!"&amp;"G"&amp;A585)),"",INDIRECT("template!"&amp;"G"&amp;A585)))</f>
        <v>#REF!</v>
      </c>
      <c r="K585" t="e" cm="1">
        <f t="array" aca="1" ref="K585" ca="1">IF(OR(A585="",B585="safety"),"",IF(ISBLANK(INDIRECT("template!"&amp;"H"&amp;A585)),"",INDIRECT("template!"&amp;"H"&amp;A585)))</f>
        <v>#REF!</v>
      </c>
      <c r="L585" t="e" cm="1">
        <f t="array" aca="1" ref="L585" ca="1">IF(OR(A585="",B585="safety"),"",INDIRECT("template!"&amp;"I"&amp;A585))</f>
        <v>#REF!</v>
      </c>
      <c r="M585" t="e" cm="1">
        <f t="array" aca="1" ref="M585" ca="1">IF(OR(A585="",B585="safety"),"",INDIRECT("template!"&amp;"J"&amp;A585))</f>
        <v>#REF!</v>
      </c>
      <c r="N585" t="e" cm="1">
        <f t="array" aca="1" ref="N585" ca="1">IF(OR(A585="",B585="safety"),"",IF(ISBLANK(INDIRECT("template!"&amp;"K"&amp;A585)),"",INDIRECT("template!"&amp;"K"&amp;A585)))</f>
        <v>#REF!</v>
      </c>
      <c r="O585" t="e" cm="1">
        <f t="array" aca="1" ref="O585" ca="1">IF(OR(A585="",B585="safety"),"",INDIRECT("template!"&amp;"L"&amp;A585))</f>
        <v>#REF!</v>
      </c>
      <c r="P585" t="e" cm="1">
        <f t="array" aca="1" ref="P585" ca="1">IF(OR(A585="",B585="safety"),"",INDIRECT("template!"&amp;"M"&amp;A585))</f>
        <v>#REF!</v>
      </c>
      <c r="Q585" t="e">
        <f t="shared" ca="1" si="52"/>
        <v>#REF!</v>
      </c>
      <c r="R585" t="e">
        <f t="shared" ca="1" si="53"/>
        <v>#REF!</v>
      </c>
      <c r="S585" t="e">
        <f t="shared" ca="1" si="54"/>
        <v>#REF!</v>
      </c>
      <c r="T585" t="e">
        <f t="shared" ca="1" si="55"/>
        <v>#REF!</v>
      </c>
      <c r="U585" t="e" cm="1">
        <f t="array" aca="1" ref="U585" ca="1">IF(A585="","",IF(E585="","",IF(B585="safety",INDIRECT("template!"&amp;"P"&amp;A585),Q585+R585)))</f>
        <v>#REF!</v>
      </c>
      <c r="V585" t="e" cm="1">
        <f t="array" aca="1" ref="V585" ca="1">IF(A585="","",IF(E585="","",IF(B585="safety",INDIRECT("template!"&amp;"P"&amp;A585),S585+T585)))</f>
        <v>#REF!</v>
      </c>
      <c r="W585" t="e">
        <f ca="1">IF(A585="","",IF(E585="","",#REF!))</f>
        <v>#REF!</v>
      </c>
      <c r="X585" t="e">
        <f ca="1">IF(A585="","",IF(E585="","",#REF!))</f>
        <v>#REF!</v>
      </c>
      <c r="Y585" s="39" t="e">
        <f ca="1">IF(A585="","",IF(E585="","",#REF!))</f>
        <v>#REF!</v>
      </c>
      <c r="Z585" t="e">
        <f ca="1">IF(A585="","",IF(E585="","",#REF!))</f>
        <v>#REF!</v>
      </c>
      <c r="AA585" t="e">
        <f ca="1">IF(A585="","",IF(E585="","",#REF!))</f>
        <v>#REF!</v>
      </c>
      <c r="AB585" t="e">
        <f ca="1">IF(A585="","",IF(E585="","",#REF!))</f>
        <v>#REF!</v>
      </c>
      <c r="AC585" t="e">
        <f t="shared" ca="1" si="56"/>
        <v>#REF!</v>
      </c>
    </row>
    <row r="586" spans="1:29" x14ac:dyDescent="0.35">
      <c r="A586" t="e" cm="1">
        <f t="array" aca="1" ref="A586" ca="1">IF(A585="","",IF(OR(AND(A585+1&gt;=$AF$1,A585+1&lt;=$AF$2),AND(A585+1&gt;=$AF$6,A585+1&lt;=$AF$7),AND(A585+1&gt;=$AF$3,A585+1&lt;=$AF$4),AND(A585+1&gt;=$AF$8,A585+1&lt;=$AF$9),A585+1=$AF$5),IF(NOT(ISBLANK(INDIRECT("template!"&amp;"P"&amp;A585+1))),A585+1,IF(NOT(ISBLANK(INDIRECT("template!"&amp;"P"&amp;A585+2))),A585+2,A585+3)),IF(A585=$AF$2,$AF$3,IF(A585=$AF$4,$AF$5,IF(A585=$AF$5,$AF$6,IF(A585=$AF$7,$AF$8,""))))))</f>
        <v>#REF!</v>
      </c>
      <c r="B586" t="e">
        <f t="shared" ca="1" si="51"/>
        <v>#REF!</v>
      </c>
      <c r="C586" t="e" cm="1">
        <f t="array" aca="1" ref="C586" ca="1">IF(A586="","",IF(B586="safety","safety costs",INDIRECT("template!"&amp;"B"&amp;A586)))</f>
        <v>#REF!</v>
      </c>
      <c r="D586" t="e" cm="1">
        <f t="array" aca="1" ref="D586" ca="1">IF(OR(A586="",B586="safety"),"",INDIRECT("template!"&amp;"C"&amp;A586))</f>
        <v>#REF!</v>
      </c>
      <c r="E586" t="e" cm="1">
        <f t="array" aca="1" ref="E586" ca="1">IF(A586="","",IF(OR(A586=A585+1,A586=A585+2),E585,INDIRECT("template!"&amp;"D"&amp;A586-2)))</f>
        <v>#REF!</v>
      </c>
      <c r="F586" t="e" cm="1">
        <f t="array" aca="1" ref="F586" ca="1">IF(OR(A586="",B586="safety"),"",IF(ISBLANK(IF(A586=A585+1,F585,INDIRECT("template!"&amp;"D"&amp;A586-1))),"",IF(A586=A585+1,F585,INDIRECT("template!"&amp;"D"&amp;A586-1))))</f>
        <v>#REF!</v>
      </c>
      <c r="G586" t="e" cm="1">
        <f t="array" aca="1" ref="G586" ca="1">IF(OR(A586="",B586="safety"),"",IF(ISBLANK(INDIRECT("template!"&amp;"D"&amp;A586)),"",INDIRECT("template!"&amp;"D"&amp;A586)))</f>
        <v>#REF!</v>
      </c>
      <c r="H586" t="e" cm="1">
        <f t="array" aca="1" ref="H586" ca="1">IF(OR(A586="",B586="safety"),"",IF(ISBLANK(INDIRECT("template!"&amp;"E"&amp;A586)),"",INDIRECT("template!"&amp;"E"&amp;A586)))</f>
        <v>#REF!</v>
      </c>
      <c r="I586" t="e" cm="1">
        <f t="array" aca="1" ref="I586" ca="1">IF(OR(A586="",B586="safety"),"",IF(ISBLANK(INDIRECT("template!"&amp;"F"&amp;A586)),"",INDIRECT("template!"&amp;"F"&amp;A586)))</f>
        <v>#REF!</v>
      </c>
      <c r="J586" t="e" cm="1">
        <f t="array" aca="1" ref="J586" ca="1">IF(OR(A586="",B586="safety"),"",IF(ISBLANK(INDIRECT("template!"&amp;"G"&amp;A586)),"",INDIRECT("template!"&amp;"G"&amp;A586)))</f>
        <v>#REF!</v>
      </c>
      <c r="K586" t="e" cm="1">
        <f t="array" aca="1" ref="K586" ca="1">IF(OR(A586="",B586="safety"),"",IF(ISBLANK(INDIRECT("template!"&amp;"H"&amp;A586)),"",INDIRECT("template!"&amp;"H"&amp;A586)))</f>
        <v>#REF!</v>
      </c>
      <c r="L586" t="e" cm="1">
        <f t="array" aca="1" ref="L586" ca="1">IF(OR(A586="",B586="safety"),"",INDIRECT("template!"&amp;"I"&amp;A586))</f>
        <v>#REF!</v>
      </c>
      <c r="M586" t="e" cm="1">
        <f t="array" aca="1" ref="M586" ca="1">IF(OR(A586="",B586="safety"),"",INDIRECT("template!"&amp;"J"&amp;A586))</f>
        <v>#REF!</v>
      </c>
      <c r="N586" t="e" cm="1">
        <f t="array" aca="1" ref="N586" ca="1">IF(OR(A586="",B586="safety"),"",IF(ISBLANK(INDIRECT("template!"&amp;"K"&amp;A586)),"",INDIRECT("template!"&amp;"K"&amp;A586)))</f>
        <v>#REF!</v>
      </c>
      <c r="O586" t="e" cm="1">
        <f t="array" aca="1" ref="O586" ca="1">IF(OR(A586="",B586="safety"),"",INDIRECT("template!"&amp;"L"&amp;A586))</f>
        <v>#REF!</v>
      </c>
      <c r="P586" t="e" cm="1">
        <f t="array" aca="1" ref="P586" ca="1">IF(OR(A586="",B586="safety"),"",INDIRECT("template!"&amp;"M"&amp;A586))</f>
        <v>#REF!</v>
      </c>
      <c r="Q586" t="e">
        <f t="shared" ca="1" si="52"/>
        <v>#REF!</v>
      </c>
      <c r="R586" t="e">
        <f t="shared" ca="1" si="53"/>
        <v>#REF!</v>
      </c>
      <c r="S586" t="e">
        <f t="shared" ca="1" si="54"/>
        <v>#REF!</v>
      </c>
      <c r="T586" t="e">
        <f t="shared" ca="1" si="55"/>
        <v>#REF!</v>
      </c>
      <c r="U586" t="e" cm="1">
        <f t="array" aca="1" ref="U586" ca="1">IF(A586="","",IF(E586="","",IF(B586="safety",INDIRECT("template!"&amp;"P"&amp;A586),Q586+R586)))</f>
        <v>#REF!</v>
      </c>
      <c r="V586" t="e" cm="1">
        <f t="array" aca="1" ref="V586" ca="1">IF(A586="","",IF(E586="","",IF(B586="safety",INDIRECT("template!"&amp;"P"&amp;A586),S586+T586)))</f>
        <v>#REF!</v>
      </c>
      <c r="W586" t="e">
        <f ca="1">IF(A586="","",IF(E586="","",#REF!))</f>
        <v>#REF!</v>
      </c>
      <c r="X586" t="e">
        <f ca="1">IF(A586="","",IF(E586="","",#REF!))</f>
        <v>#REF!</v>
      </c>
      <c r="Y586" s="39" t="e">
        <f ca="1">IF(A586="","",IF(E586="","",#REF!))</f>
        <v>#REF!</v>
      </c>
      <c r="Z586" t="e">
        <f ca="1">IF(A586="","",IF(E586="","",#REF!))</f>
        <v>#REF!</v>
      </c>
      <c r="AA586" t="e">
        <f ca="1">IF(A586="","",IF(E586="","",#REF!))</f>
        <v>#REF!</v>
      </c>
      <c r="AB586" t="e">
        <f ca="1">IF(A586="","",IF(E586="","",#REF!))</f>
        <v>#REF!</v>
      </c>
      <c r="AC586" t="e">
        <f t="shared" ca="1" si="56"/>
        <v>#REF!</v>
      </c>
    </row>
    <row r="587" spans="1:29" x14ac:dyDescent="0.35">
      <c r="A587" t="e" cm="1">
        <f t="array" aca="1" ref="A587" ca="1">IF(A586="","",IF(OR(AND(A586+1&gt;=$AF$1,A586+1&lt;=$AF$2),AND(A586+1&gt;=$AF$6,A586+1&lt;=$AF$7),AND(A586+1&gt;=$AF$3,A586+1&lt;=$AF$4),AND(A586+1&gt;=$AF$8,A586+1&lt;=$AF$9),A586+1=$AF$5),IF(NOT(ISBLANK(INDIRECT("template!"&amp;"P"&amp;A586+1))),A586+1,IF(NOT(ISBLANK(INDIRECT("template!"&amp;"P"&amp;A586+2))),A586+2,A586+3)),IF(A586=$AF$2,$AF$3,IF(A586=$AF$4,$AF$5,IF(A586=$AF$5,$AF$6,IF(A586=$AF$7,$AF$8,""))))))</f>
        <v>#REF!</v>
      </c>
      <c r="B587" t="e">
        <f t="shared" ca="1" si="51"/>
        <v>#REF!</v>
      </c>
      <c r="C587" t="e" cm="1">
        <f t="array" aca="1" ref="C587" ca="1">IF(A587="","",IF(B587="safety","safety costs",INDIRECT("template!"&amp;"B"&amp;A587)))</f>
        <v>#REF!</v>
      </c>
      <c r="D587" t="e" cm="1">
        <f t="array" aca="1" ref="D587" ca="1">IF(OR(A587="",B587="safety"),"",INDIRECT("template!"&amp;"C"&amp;A587))</f>
        <v>#REF!</v>
      </c>
      <c r="E587" t="e" cm="1">
        <f t="array" aca="1" ref="E587" ca="1">IF(A587="","",IF(OR(A587=A586+1,A587=A586+2),E586,INDIRECT("template!"&amp;"D"&amp;A587-2)))</f>
        <v>#REF!</v>
      </c>
      <c r="F587" t="e" cm="1">
        <f t="array" aca="1" ref="F587" ca="1">IF(OR(A587="",B587="safety"),"",IF(ISBLANK(IF(A587=A586+1,F586,INDIRECT("template!"&amp;"D"&amp;A587-1))),"",IF(A587=A586+1,F586,INDIRECT("template!"&amp;"D"&amp;A587-1))))</f>
        <v>#REF!</v>
      </c>
      <c r="G587" t="e" cm="1">
        <f t="array" aca="1" ref="G587" ca="1">IF(OR(A587="",B587="safety"),"",IF(ISBLANK(INDIRECT("template!"&amp;"D"&amp;A587)),"",INDIRECT("template!"&amp;"D"&amp;A587)))</f>
        <v>#REF!</v>
      </c>
      <c r="H587" t="e" cm="1">
        <f t="array" aca="1" ref="H587" ca="1">IF(OR(A587="",B587="safety"),"",IF(ISBLANK(INDIRECT("template!"&amp;"E"&amp;A587)),"",INDIRECT("template!"&amp;"E"&amp;A587)))</f>
        <v>#REF!</v>
      </c>
      <c r="I587" t="e" cm="1">
        <f t="array" aca="1" ref="I587" ca="1">IF(OR(A587="",B587="safety"),"",IF(ISBLANK(INDIRECT("template!"&amp;"F"&amp;A587)),"",INDIRECT("template!"&amp;"F"&amp;A587)))</f>
        <v>#REF!</v>
      </c>
      <c r="J587" t="e" cm="1">
        <f t="array" aca="1" ref="J587" ca="1">IF(OR(A587="",B587="safety"),"",IF(ISBLANK(INDIRECT("template!"&amp;"G"&amp;A587)),"",INDIRECT("template!"&amp;"G"&amp;A587)))</f>
        <v>#REF!</v>
      </c>
      <c r="K587" t="e" cm="1">
        <f t="array" aca="1" ref="K587" ca="1">IF(OR(A587="",B587="safety"),"",IF(ISBLANK(INDIRECT("template!"&amp;"H"&amp;A587)),"",INDIRECT("template!"&amp;"H"&amp;A587)))</f>
        <v>#REF!</v>
      </c>
      <c r="L587" t="e" cm="1">
        <f t="array" aca="1" ref="L587" ca="1">IF(OR(A587="",B587="safety"),"",INDIRECT("template!"&amp;"I"&amp;A587))</f>
        <v>#REF!</v>
      </c>
      <c r="M587" t="e" cm="1">
        <f t="array" aca="1" ref="M587" ca="1">IF(OR(A587="",B587="safety"),"",INDIRECT("template!"&amp;"J"&amp;A587))</f>
        <v>#REF!</v>
      </c>
      <c r="N587" t="e" cm="1">
        <f t="array" aca="1" ref="N587" ca="1">IF(OR(A587="",B587="safety"),"",IF(ISBLANK(INDIRECT("template!"&amp;"K"&amp;A587)),"",INDIRECT("template!"&amp;"K"&amp;A587)))</f>
        <v>#REF!</v>
      </c>
      <c r="O587" t="e" cm="1">
        <f t="array" aca="1" ref="O587" ca="1">IF(OR(A587="",B587="safety"),"",INDIRECT("template!"&amp;"L"&amp;A587))</f>
        <v>#REF!</v>
      </c>
      <c r="P587" t="e" cm="1">
        <f t="array" aca="1" ref="P587" ca="1">IF(OR(A587="",B587="safety"),"",INDIRECT("template!"&amp;"M"&amp;A587))</f>
        <v>#REF!</v>
      </c>
      <c r="Q587" t="e">
        <f t="shared" ca="1" si="52"/>
        <v>#REF!</v>
      </c>
      <c r="R587" t="e">
        <f t="shared" ca="1" si="53"/>
        <v>#REF!</v>
      </c>
      <c r="S587" t="e">
        <f t="shared" ca="1" si="54"/>
        <v>#REF!</v>
      </c>
      <c r="T587" t="e">
        <f t="shared" ca="1" si="55"/>
        <v>#REF!</v>
      </c>
      <c r="U587" t="e" cm="1">
        <f t="array" aca="1" ref="U587" ca="1">IF(A587="","",IF(E587="","",IF(B587="safety",INDIRECT("template!"&amp;"P"&amp;A587),Q587+R587)))</f>
        <v>#REF!</v>
      </c>
      <c r="V587" t="e" cm="1">
        <f t="array" aca="1" ref="V587" ca="1">IF(A587="","",IF(E587="","",IF(B587="safety",INDIRECT("template!"&amp;"P"&amp;A587),S587+T587)))</f>
        <v>#REF!</v>
      </c>
      <c r="W587" t="e">
        <f ca="1">IF(A587="","",IF(E587="","",#REF!))</f>
        <v>#REF!</v>
      </c>
      <c r="X587" t="e">
        <f ca="1">IF(A587="","",IF(E587="","",#REF!))</f>
        <v>#REF!</v>
      </c>
      <c r="Y587" s="39" t="e">
        <f ca="1">IF(A587="","",IF(E587="","",#REF!))</f>
        <v>#REF!</v>
      </c>
      <c r="Z587" t="e">
        <f ca="1">IF(A587="","",IF(E587="","",#REF!))</f>
        <v>#REF!</v>
      </c>
      <c r="AA587" t="e">
        <f ca="1">IF(A587="","",IF(E587="","",#REF!))</f>
        <v>#REF!</v>
      </c>
      <c r="AB587" t="e">
        <f ca="1">IF(A587="","",IF(E587="","",#REF!))</f>
        <v>#REF!</v>
      </c>
      <c r="AC587" t="e">
        <f t="shared" ca="1" si="56"/>
        <v>#REF!</v>
      </c>
    </row>
    <row r="588" spans="1:29" x14ac:dyDescent="0.35">
      <c r="A588" t="e" cm="1">
        <f t="array" aca="1" ref="A588" ca="1">IF(A587="","",IF(OR(AND(A587+1&gt;=$AF$1,A587+1&lt;=$AF$2),AND(A587+1&gt;=$AF$6,A587+1&lt;=$AF$7),AND(A587+1&gt;=$AF$3,A587+1&lt;=$AF$4),AND(A587+1&gt;=$AF$8,A587+1&lt;=$AF$9),A587+1=$AF$5),IF(NOT(ISBLANK(INDIRECT("template!"&amp;"P"&amp;A587+1))),A587+1,IF(NOT(ISBLANK(INDIRECT("template!"&amp;"P"&amp;A587+2))),A587+2,A587+3)),IF(A587=$AF$2,$AF$3,IF(A587=$AF$4,$AF$5,IF(A587=$AF$5,$AF$6,IF(A587=$AF$7,$AF$8,""))))))</f>
        <v>#REF!</v>
      </c>
      <c r="B588" t="e">
        <f t="shared" ca="1" si="51"/>
        <v>#REF!</v>
      </c>
      <c r="C588" t="e" cm="1">
        <f t="array" aca="1" ref="C588" ca="1">IF(A588="","",IF(B588="safety","safety costs",INDIRECT("template!"&amp;"B"&amp;A588)))</f>
        <v>#REF!</v>
      </c>
      <c r="D588" t="e" cm="1">
        <f t="array" aca="1" ref="D588" ca="1">IF(OR(A588="",B588="safety"),"",INDIRECT("template!"&amp;"C"&amp;A588))</f>
        <v>#REF!</v>
      </c>
      <c r="E588" t="e" cm="1">
        <f t="array" aca="1" ref="E588" ca="1">IF(A588="","",IF(OR(A588=A587+1,A588=A587+2),E587,INDIRECT("template!"&amp;"D"&amp;A588-2)))</f>
        <v>#REF!</v>
      </c>
      <c r="F588" t="e" cm="1">
        <f t="array" aca="1" ref="F588" ca="1">IF(OR(A588="",B588="safety"),"",IF(ISBLANK(IF(A588=A587+1,F587,INDIRECT("template!"&amp;"D"&amp;A588-1))),"",IF(A588=A587+1,F587,INDIRECT("template!"&amp;"D"&amp;A588-1))))</f>
        <v>#REF!</v>
      </c>
      <c r="G588" t="e" cm="1">
        <f t="array" aca="1" ref="G588" ca="1">IF(OR(A588="",B588="safety"),"",IF(ISBLANK(INDIRECT("template!"&amp;"D"&amp;A588)),"",INDIRECT("template!"&amp;"D"&amp;A588)))</f>
        <v>#REF!</v>
      </c>
      <c r="H588" t="e" cm="1">
        <f t="array" aca="1" ref="H588" ca="1">IF(OR(A588="",B588="safety"),"",IF(ISBLANK(INDIRECT("template!"&amp;"E"&amp;A588)),"",INDIRECT("template!"&amp;"E"&amp;A588)))</f>
        <v>#REF!</v>
      </c>
      <c r="I588" t="e" cm="1">
        <f t="array" aca="1" ref="I588" ca="1">IF(OR(A588="",B588="safety"),"",IF(ISBLANK(INDIRECT("template!"&amp;"F"&amp;A588)),"",INDIRECT("template!"&amp;"F"&amp;A588)))</f>
        <v>#REF!</v>
      </c>
      <c r="J588" t="e" cm="1">
        <f t="array" aca="1" ref="J588" ca="1">IF(OR(A588="",B588="safety"),"",IF(ISBLANK(INDIRECT("template!"&amp;"G"&amp;A588)),"",INDIRECT("template!"&amp;"G"&amp;A588)))</f>
        <v>#REF!</v>
      </c>
      <c r="K588" t="e" cm="1">
        <f t="array" aca="1" ref="K588" ca="1">IF(OR(A588="",B588="safety"),"",IF(ISBLANK(INDIRECT("template!"&amp;"H"&amp;A588)),"",INDIRECT("template!"&amp;"H"&amp;A588)))</f>
        <v>#REF!</v>
      </c>
      <c r="L588" t="e" cm="1">
        <f t="array" aca="1" ref="L588" ca="1">IF(OR(A588="",B588="safety"),"",INDIRECT("template!"&amp;"I"&amp;A588))</f>
        <v>#REF!</v>
      </c>
      <c r="M588" t="e" cm="1">
        <f t="array" aca="1" ref="M588" ca="1">IF(OR(A588="",B588="safety"),"",INDIRECT("template!"&amp;"J"&amp;A588))</f>
        <v>#REF!</v>
      </c>
      <c r="N588" t="e" cm="1">
        <f t="array" aca="1" ref="N588" ca="1">IF(OR(A588="",B588="safety"),"",IF(ISBLANK(INDIRECT("template!"&amp;"K"&amp;A588)),"",INDIRECT("template!"&amp;"K"&amp;A588)))</f>
        <v>#REF!</v>
      </c>
      <c r="O588" t="e" cm="1">
        <f t="array" aca="1" ref="O588" ca="1">IF(OR(A588="",B588="safety"),"",INDIRECT("template!"&amp;"L"&amp;A588))</f>
        <v>#REF!</v>
      </c>
      <c r="P588" t="e" cm="1">
        <f t="array" aca="1" ref="P588" ca="1">IF(OR(A588="",B588="safety"),"",INDIRECT("template!"&amp;"M"&amp;A588))</f>
        <v>#REF!</v>
      </c>
      <c r="Q588" t="e">
        <f t="shared" ca="1" si="52"/>
        <v>#REF!</v>
      </c>
      <c r="R588" t="e">
        <f t="shared" ca="1" si="53"/>
        <v>#REF!</v>
      </c>
      <c r="S588" t="e">
        <f t="shared" ca="1" si="54"/>
        <v>#REF!</v>
      </c>
      <c r="T588" t="e">
        <f t="shared" ca="1" si="55"/>
        <v>#REF!</v>
      </c>
      <c r="U588" t="e" cm="1">
        <f t="array" aca="1" ref="U588" ca="1">IF(A588="","",IF(E588="","",IF(B588="safety",INDIRECT("template!"&amp;"P"&amp;A588),Q588+R588)))</f>
        <v>#REF!</v>
      </c>
      <c r="V588" t="e" cm="1">
        <f t="array" aca="1" ref="V588" ca="1">IF(A588="","",IF(E588="","",IF(B588="safety",INDIRECT("template!"&amp;"P"&amp;A588),S588+T588)))</f>
        <v>#REF!</v>
      </c>
      <c r="W588" t="e">
        <f ca="1">IF(A588="","",IF(E588="","",#REF!))</f>
        <v>#REF!</v>
      </c>
      <c r="X588" t="e">
        <f ca="1">IF(A588="","",IF(E588="","",#REF!))</f>
        <v>#REF!</v>
      </c>
      <c r="Y588" s="39" t="e">
        <f ca="1">IF(A588="","",IF(E588="","",#REF!))</f>
        <v>#REF!</v>
      </c>
      <c r="Z588" t="e">
        <f ca="1">IF(A588="","",IF(E588="","",#REF!))</f>
        <v>#REF!</v>
      </c>
      <c r="AA588" t="e">
        <f ca="1">IF(A588="","",IF(E588="","",#REF!))</f>
        <v>#REF!</v>
      </c>
      <c r="AB588" t="e">
        <f ca="1">IF(A588="","",IF(E588="","",#REF!))</f>
        <v>#REF!</v>
      </c>
      <c r="AC588" t="e">
        <f t="shared" ca="1" si="56"/>
        <v>#REF!</v>
      </c>
    </row>
    <row r="589" spans="1:29" x14ac:dyDescent="0.35">
      <c r="A589" t="e" cm="1">
        <f t="array" aca="1" ref="A589" ca="1">IF(A588="","",IF(OR(AND(A588+1&gt;=$AF$1,A588+1&lt;=$AF$2),AND(A588+1&gt;=$AF$6,A588+1&lt;=$AF$7),AND(A588+1&gt;=$AF$3,A588+1&lt;=$AF$4),AND(A588+1&gt;=$AF$8,A588+1&lt;=$AF$9),A588+1=$AF$5),IF(NOT(ISBLANK(INDIRECT("template!"&amp;"P"&amp;A588+1))),A588+1,IF(NOT(ISBLANK(INDIRECT("template!"&amp;"P"&amp;A588+2))),A588+2,A588+3)),IF(A588=$AF$2,$AF$3,IF(A588=$AF$4,$AF$5,IF(A588=$AF$5,$AF$6,IF(A588=$AF$7,$AF$8,""))))))</f>
        <v>#REF!</v>
      </c>
      <c r="B589" t="e">
        <f t="shared" ca="1" si="51"/>
        <v>#REF!</v>
      </c>
      <c r="C589" t="e" cm="1">
        <f t="array" aca="1" ref="C589" ca="1">IF(A589="","",IF(B589="safety","safety costs",INDIRECT("template!"&amp;"B"&amp;A589)))</f>
        <v>#REF!</v>
      </c>
      <c r="D589" t="e" cm="1">
        <f t="array" aca="1" ref="D589" ca="1">IF(OR(A589="",B589="safety"),"",INDIRECT("template!"&amp;"C"&amp;A589))</f>
        <v>#REF!</v>
      </c>
      <c r="E589" t="e" cm="1">
        <f t="array" aca="1" ref="E589" ca="1">IF(A589="","",IF(OR(A589=A588+1,A589=A588+2),E588,INDIRECT("template!"&amp;"D"&amp;A589-2)))</f>
        <v>#REF!</v>
      </c>
      <c r="F589" t="e" cm="1">
        <f t="array" aca="1" ref="F589" ca="1">IF(OR(A589="",B589="safety"),"",IF(ISBLANK(IF(A589=A588+1,F588,INDIRECT("template!"&amp;"D"&amp;A589-1))),"",IF(A589=A588+1,F588,INDIRECT("template!"&amp;"D"&amp;A589-1))))</f>
        <v>#REF!</v>
      </c>
      <c r="G589" t="e" cm="1">
        <f t="array" aca="1" ref="G589" ca="1">IF(OR(A589="",B589="safety"),"",IF(ISBLANK(INDIRECT("template!"&amp;"D"&amp;A589)),"",INDIRECT("template!"&amp;"D"&amp;A589)))</f>
        <v>#REF!</v>
      </c>
      <c r="H589" t="e" cm="1">
        <f t="array" aca="1" ref="H589" ca="1">IF(OR(A589="",B589="safety"),"",IF(ISBLANK(INDIRECT("template!"&amp;"E"&amp;A589)),"",INDIRECT("template!"&amp;"E"&amp;A589)))</f>
        <v>#REF!</v>
      </c>
      <c r="I589" t="e" cm="1">
        <f t="array" aca="1" ref="I589" ca="1">IF(OR(A589="",B589="safety"),"",IF(ISBLANK(INDIRECT("template!"&amp;"F"&amp;A589)),"",INDIRECT("template!"&amp;"F"&amp;A589)))</f>
        <v>#REF!</v>
      </c>
      <c r="J589" t="e" cm="1">
        <f t="array" aca="1" ref="J589" ca="1">IF(OR(A589="",B589="safety"),"",IF(ISBLANK(INDIRECT("template!"&amp;"G"&amp;A589)),"",INDIRECT("template!"&amp;"G"&amp;A589)))</f>
        <v>#REF!</v>
      </c>
      <c r="K589" t="e" cm="1">
        <f t="array" aca="1" ref="K589" ca="1">IF(OR(A589="",B589="safety"),"",IF(ISBLANK(INDIRECT("template!"&amp;"H"&amp;A589)),"",INDIRECT("template!"&amp;"H"&amp;A589)))</f>
        <v>#REF!</v>
      </c>
      <c r="L589" t="e" cm="1">
        <f t="array" aca="1" ref="L589" ca="1">IF(OR(A589="",B589="safety"),"",INDIRECT("template!"&amp;"I"&amp;A589))</f>
        <v>#REF!</v>
      </c>
      <c r="M589" t="e" cm="1">
        <f t="array" aca="1" ref="M589" ca="1">IF(OR(A589="",B589="safety"),"",INDIRECT("template!"&amp;"J"&amp;A589))</f>
        <v>#REF!</v>
      </c>
      <c r="N589" t="e" cm="1">
        <f t="array" aca="1" ref="N589" ca="1">IF(OR(A589="",B589="safety"),"",IF(ISBLANK(INDIRECT("template!"&amp;"K"&amp;A589)),"",INDIRECT("template!"&amp;"K"&amp;A589)))</f>
        <v>#REF!</v>
      </c>
      <c r="O589" t="e" cm="1">
        <f t="array" aca="1" ref="O589" ca="1">IF(OR(A589="",B589="safety"),"",INDIRECT("template!"&amp;"L"&amp;A589))</f>
        <v>#REF!</v>
      </c>
      <c r="P589" t="e" cm="1">
        <f t="array" aca="1" ref="P589" ca="1">IF(OR(A589="",B589="safety"),"",INDIRECT("template!"&amp;"M"&amp;A589))</f>
        <v>#REF!</v>
      </c>
      <c r="Q589" t="e">
        <f t="shared" ca="1" si="52"/>
        <v>#REF!</v>
      </c>
      <c r="R589" t="e">
        <f t="shared" ca="1" si="53"/>
        <v>#REF!</v>
      </c>
      <c r="S589" t="e">
        <f t="shared" ca="1" si="54"/>
        <v>#REF!</v>
      </c>
      <c r="T589" t="e">
        <f t="shared" ca="1" si="55"/>
        <v>#REF!</v>
      </c>
      <c r="U589" t="e" cm="1">
        <f t="array" aca="1" ref="U589" ca="1">IF(A589="","",IF(E589="","",IF(B589="safety",INDIRECT("template!"&amp;"P"&amp;A589),Q589+R589)))</f>
        <v>#REF!</v>
      </c>
      <c r="V589" t="e" cm="1">
        <f t="array" aca="1" ref="V589" ca="1">IF(A589="","",IF(E589="","",IF(B589="safety",INDIRECT("template!"&amp;"P"&amp;A589),S589+T589)))</f>
        <v>#REF!</v>
      </c>
      <c r="W589" t="e">
        <f ca="1">IF(A589="","",IF(E589="","",#REF!))</f>
        <v>#REF!</v>
      </c>
      <c r="X589" t="e">
        <f ca="1">IF(A589="","",IF(E589="","",#REF!))</f>
        <v>#REF!</v>
      </c>
      <c r="Y589" s="39" t="e">
        <f ca="1">IF(A589="","",IF(E589="","",#REF!))</f>
        <v>#REF!</v>
      </c>
      <c r="Z589" t="e">
        <f ca="1">IF(A589="","",IF(E589="","",#REF!))</f>
        <v>#REF!</v>
      </c>
      <c r="AA589" t="e">
        <f ca="1">IF(A589="","",IF(E589="","",#REF!))</f>
        <v>#REF!</v>
      </c>
      <c r="AB589" t="e">
        <f ca="1">IF(A589="","",IF(E589="","",#REF!))</f>
        <v>#REF!</v>
      </c>
      <c r="AC589" t="e">
        <f t="shared" ca="1" si="56"/>
        <v>#REF!</v>
      </c>
    </row>
    <row r="590" spans="1:29" x14ac:dyDescent="0.35">
      <c r="A590" t="e" cm="1">
        <f t="array" aca="1" ref="A590" ca="1">IF(A589="","",IF(OR(AND(A589+1&gt;=$AF$1,A589+1&lt;=$AF$2),AND(A589+1&gt;=$AF$6,A589+1&lt;=$AF$7),AND(A589+1&gt;=$AF$3,A589+1&lt;=$AF$4),AND(A589+1&gt;=$AF$8,A589+1&lt;=$AF$9),A589+1=$AF$5),IF(NOT(ISBLANK(INDIRECT("template!"&amp;"P"&amp;A589+1))),A589+1,IF(NOT(ISBLANK(INDIRECT("template!"&amp;"P"&amp;A589+2))),A589+2,A589+3)),IF(A589=$AF$2,$AF$3,IF(A589=$AF$4,$AF$5,IF(A589=$AF$5,$AF$6,IF(A589=$AF$7,$AF$8,""))))))</f>
        <v>#REF!</v>
      </c>
      <c r="B590" t="e">
        <f t="shared" ca="1" si="51"/>
        <v>#REF!</v>
      </c>
      <c r="C590" t="e" cm="1">
        <f t="array" aca="1" ref="C590" ca="1">IF(A590="","",IF(B590="safety","safety costs",INDIRECT("template!"&amp;"B"&amp;A590)))</f>
        <v>#REF!</v>
      </c>
      <c r="D590" t="e" cm="1">
        <f t="array" aca="1" ref="D590" ca="1">IF(OR(A590="",B590="safety"),"",INDIRECT("template!"&amp;"C"&amp;A590))</f>
        <v>#REF!</v>
      </c>
      <c r="E590" t="e" cm="1">
        <f t="array" aca="1" ref="E590" ca="1">IF(A590="","",IF(OR(A590=A589+1,A590=A589+2),E589,INDIRECT("template!"&amp;"D"&amp;A590-2)))</f>
        <v>#REF!</v>
      </c>
      <c r="F590" t="e" cm="1">
        <f t="array" aca="1" ref="F590" ca="1">IF(OR(A590="",B590="safety"),"",IF(ISBLANK(IF(A590=A589+1,F589,INDIRECT("template!"&amp;"D"&amp;A590-1))),"",IF(A590=A589+1,F589,INDIRECT("template!"&amp;"D"&amp;A590-1))))</f>
        <v>#REF!</v>
      </c>
      <c r="G590" t="e" cm="1">
        <f t="array" aca="1" ref="G590" ca="1">IF(OR(A590="",B590="safety"),"",IF(ISBLANK(INDIRECT("template!"&amp;"D"&amp;A590)),"",INDIRECT("template!"&amp;"D"&amp;A590)))</f>
        <v>#REF!</v>
      </c>
      <c r="H590" t="e" cm="1">
        <f t="array" aca="1" ref="H590" ca="1">IF(OR(A590="",B590="safety"),"",IF(ISBLANK(INDIRECT("template!"&amp;"E"&amp;A590)),"",INDIRECT("template!"&amp;"E"&amp;A590)))</f>
        <v>#REF!</v>
      </c>
      <c r="I590" t="e" cm="1">
        <f t="array" aca="1" ref="I590" ca="1">IF(OR(A590="",B590="safety"),"",IF(ISBLANK(INDIRECT("template!"&amp;"F"&amp;A590)),"",INDIRECT("template!"&amp;"F"&amp;A590)))</f>
        <v>#REF!</v>
      </c>
      <c r="J590" t="e" cm="1">
        <f t="array" aca="1" ref="J590" ca="1">IF(OR(A590="",B590="safety"),"",IF(ISBLANK(INDIRECT("template!"&amp;"G"&amp;A590)),"",INDIRECT("template!"&amp;"G"&amp;A590)))</f>
        <v>#REF!</v>
      </c>
      <c r="K590" t="e" cm="1">
        <f t="array" aca="1" ref="K590" ca="1">IF(OR(A590="",B590="safety"),"",IF(ISBLANK(INDIRECT("template!"&amp;"H"&amp;A590)),"",INDIRECT("template!"&amp;"H"&amp;A590)))</f>
        <v>#REF!</v>
      </c>
      <c r="L590" t="e" cm="1">
        <f t="array" aca="1" ref="L590" ca="1">IF(OR(A590="",B590="safety"),"",INDIRECT("template!"&amp;"I"&amp;A590))</f>
        <v>#REF!</v>
      </c>
      <c r="M590" t="e" cm="1">
        <f t="array" aca="1" ref="M590" ca="1">IF(OR(A590="",B590="safety"),"",INDIRECT("template!"&amp;"J"&amp;A590))</f>
        <v>#REF!</v>
      </c>
      <c r="N590" t="e" cm="1">
        <f t="array" aca="1" ref="N590" ca="1">IF(OR(A590="",B590="safety"),"",IF(ISBLANK(INDIRECT("template!"&amp;"K"&amp;A590)),"",INDIRECT("template!"&amp;"K"&amp;A590)))</f>
        <v>#REF!</v>
      </c>
      <c r="O590" t="e" cm="1">
        <f t="array" aca="1" ref="O590" ca="1">IF(OR(A590="",B590="safety"),"",INDIRECT("template!"&amp;"L"&amp;A590))</f>
        <v>#REF!</v>
      </c>
      <c r="P590" t="e" cm="1">
        <f t="array" aca="1" ref="P590" ca="1">IF(OR(A590="",B590="safety"),"",INDIRECT("template!"&amp;"M"&amp;A590))</f>
        <v>#REF!</v>
      </c>
      <c r="Q590" t="e">
        <f t="shared" ca="1" si="52"/>
        <v>#REF!</v>
      </c>
      <c r="R590" t="e">
        <f t="shared" ca="1" si="53"/>
        <v>#REF!</v>
      </c>
      <c r="S590" t="e">
        <f t="shared" ca="1" si="54"/>
        <v>#REF!</v>
      </c>
      <c r="T590" t="e">
        <f t="shared" ca="1" si="55"/>
        <v>#REF!</v>
      </c>
      <c r="U590" t="e" cm="1">
        <f t="array" aca="1" ref="U590" ca="1">IF(A590="","",IF(E590="","",IF(B590="safety",INDIRECT("template!"&amp;"P"&amp;A590),Q590+R590)))</f>
        <v>#REF!</v>
      </c>
      <c r="V590" t="e" cm="1">
        <f t="array" aca="1" ref="V590" ca="1">IF(A590="","",IF(E590="","",IF(B590="safety",INDIRECT("template!"&amp;"P"&amp;A590),S590+T590)))</f>
        <v>#REF!</v>
      </c>
      <c r="W590" t="e">
        <f ca="1">IF(A590="","",IF(E590="","",#REF!))</f>
        <v>#REF!</v>
      </c>
      <c r="X590" t="e">
        <f ca="1">IF(A590="","",IF(E590="","",#REF!))</f>
        <v>#REF!</v>
      </c>
      <c r="Y590" s="39" t="e">
        <f ca="1">IF(A590="","",IF(E590="","",#REF!))</f>
        <v>#REF!</v>
      </c>
      <c r="Z590" t="e">
        <f ca="1">IF(A590="","",IF(E590="","",#REF!))</f>
        <v>#REF!</v>
      </c>
      <c r="AA590" t="e">
        <f ca="1">IF(A590="","",IF(E590="","",#REF!))</f>
        <v>#REF!</v>
      </c>
      <c r="AB590" t="e">
        <f ca="1">IF(A590="","",IF(E590="","",#REF!))</f>
        <v>#REF!</v>
      </c>
      <c r="AC590" t="e">
        <f t="shared" ca="1" si="56"/>
        <v>#REF!</v>
      </c>
    </row>
    <row r="591" spans="1:29" x14ac:dyDescent="0.35">
      <c r="A591" t="e" cm="1">
        <f t="array" aca="1" ref="A591" ca="1">IF(A590="","",IF(OR(AND(A590+1&gt;=$AF$1,A590+1&lt;=$AF$2),AND(A590+1&gt;=$AF$6,A590+1&lt;=$AF$7),AND(A590+1&gt;=$AF$3,A590+1&lt;=$AF$4),AND(A590+1&gt;=$AF$8,A590+1&lt;=$AF$9),A590+1=$AF$5),IF(NOT(ISBLANK(INDIRECT("template!"&amp;"P"&amp;A590+1))),A590+1,IF(NOT(ISBLANK(INDIRECT("template!"&amp;"P"&amp;A590+2))),A590+2,A590+3)),IF(A590=$AF$2,$AF$3,IF(A590=$AF$4,$AF$5,IF(A590=$AF$5,$AF$6,IF(A590=$AF$7,$AF$8,""))))))</f>
        <v>#REF!</v>
      </c>
      <c r="B591" t="e">
        <f t="shared" ca="1" si="51"/>
        <v>#REF!</v>
      </c>
      <c r="C591" t="e" cm="1">
        <f t="array" aca="1" ref="C591" ca="1">IF(A591="","",IF(B591="safety","safety costs",INDIRECT("template!"&amp;"B"&amp;A591)))</f>
        <v>#REF!</v>
      </c>
      <c r="D591" t="e" cm="1">
        <f t="array" aca="1" ref="D591" ca="1">IF(OR(A591="",B591="safety"),"",INDIRECT("template!"&amp;"C"&amp;A591))</f>
        <v>#REF!</v>
      </c>
      <c r="E591" t="e" cm="1">
        <f t="array" aca="1" ref="E591" ca="1">IF(A591="","",IF(OR(A591=A590+1,A591=A590+2),E590,INDIRECT("template!"&amp;"D"&amp;A591-2)))</f>
        <v>#REF!</v>
      </c>
      <c r="F591" t="e" cm="1">
        <f t="array" aca="1" ref="F591" ca="1">IF(OR(A591="",B591="safety"),"",IF(ISBLANK(IF(A591=A590+1,F590,INDIRECT("template!"&amp;"D"&amp;A591-1))),"",IF(A591=A590+1,F590,INDIRECT("template!"&amp;"D"&amp;A591-1))))</f>
        <v>#REF!</v>
      </c>
      <c r="G591" t="e" cm="1">
        <f t="array" aca="1" ref="G591" ca="1">IF(OR(A591="",B591="safety"),"",IF(ISBLANK(INDIRECT("template!"&amp;"D"&amp;A591)),"",INDIRECT("template!"&amp;"D"&amp;A591)))</f>
        <v>#REF!</v>
      </c>
      <c r="H591" t="e" cm="1">
        <f t="array" aca="1" ref="H591" ca="1">IF(OR(A591="",B591="safety"),"",IF(ISBLANK(INDIRECT("template!"&amp;"E"&amp;A591)),"",INDIRECT("template!"&amp;"E"&amp;A591)))</f>
        <v>#REF!</v>
      </c>
      <c r="I591" t="e" cm="1">
        <f t="array" aca="1" ref="I591" ca="1">IF(OR(A591="",B591="safety"),"",IF(ISBLANK(INDIRECT("template!"&amp;"F"&amp;A591)),"",INDIRECT("template!"&amp;"F"&amp;A591)))</f>
        <v>#REF!</v>
      </c>
      <c r="J591" t="e" cm="1">
        <f t="array" aca="1" ref="J591" ca="1">IF(OR(A591="",B591="safety"),"",IF(ISBLANK(INDIRECT("template!"&amp;"G"&amp;A591)),"",INDIRECT("template!"&amp;"G"&amp;A591)))</f>
        <v>#REF!</v>
      </c>
      <c r="K591" t="e" cm="1">
        <f t="array" aca="1" ref="K591" ca="1">IF(OR(A591="",B591="safety"),"",IF(ISBLANK(INDIRECT("template!"&amp;"H"&amp;A591)),"",INDIRECT("template!"&amp;"H"&amp;A591)))</f>
        <v>#REF!</v>
      </c>
      <c r="L591" t="e" cm="1">
        <f t="array" aca="1" ref="L591" ca="1">IF(OR(A591="",B591="safety"),"",INDIRECT("template!"&amp;"I"&amp;A591))</f>
        <v>#REF!</v>
      </c>
      <c r="M591" t="e" cm="1">
        <f t="array" aca="1" ref="M591" ca="1">IF(OR(A591="",B591="safety"),"",INDIRECT("template!"&amp;"J"&amp;A591))</f>
        <v>#REF!</v>
      </c>
      <c r="N591" t="e" cm="1">
        <f t="array" aca="1" ref="N591" ca="1">IF(OR(A591="",B591="safety"),"",IF(ISBLANK(INDIRECT("template!"&amp;"K"&amp;A591)),"",INDIRECT("template!"&amp;"K"&amp;A591)))</f>
        <v>#REF!</v>
      </c>
      <c r="O591" t="e" cm="1">
        <f t="array" aca="1" ref="O591" ca="1">IF(OR(A591="",B591="safety"),"",INDIRECT("template!"&amp;"L"&amp;A591))</f>
        <v>#REF!</v>
      </c>
      <c r="P591" t="e" cm="1">
        <f t="array" aca="1" ref="P591" ca="1">IF(OR(A591="",B591="safety"),"",INDIRECT("template!"&amp;"M"&amp;A591))</f>
        <v>#REF!</v>
      </c>
      <c r="Q591" t="e">
        <f t="shared" ca="1" si="52"/>
        <v>#REF!</v>
      </c>
      <c r="R591" t="e">
        <f t="shared" ca="1" si="53"/>
        <v>#REF!</v>
      </c>
      <c r="S591" t="e">
        <f t="shared" ca="1" si="54"/>
        <v>#REF!</v>
      </c>
      <c r="T591" t="e">
        <f t="shared" ca="1" si="55"/>
        <v>#REF!</v>
      </c>
      <c r="U591" t="e" cm="1">
        <f t="array" aca="1" ref="U591" ca="1">IF(A591="","",IF(E591="","",IF(B591="safety",INDIRECT("template!"&amp;"P"&amp;A591),Q591+R591)))</f>
        <v>#REF!</v>
      </c>
      <c r="V591" t="e" cm="1">
        <f t="array" aca="1" ref="V591" ca="1">IF(A591="","",IF(E591="","",IF(B591="safety",INDIRECT("template!"&amp;"P"&amp;A591),S591+T591)))</f>
        <v>#REF!</v>
      </c>
      <c r="W591" t="e">
        <f ca="1">IF(A591="","",IF(E591="","",#REF!))</f>
        <v>#REF!</v>
      </c>
      <c r="X591" t="e">
        <f ca="1">IF(A591="","",IF(E591="","",#REF!))</f>
        <v>#REF!</v>
      </c>
      <c r="Y591" s="39" t="e">
        <f ca="1">IF(A591="","",IF(E591="","",#REF!))</f>
        <v>#REF!</v>
      </c>
      <c r="Z591" t="e">
        <f ca="1">IF(A591="","",IF(E591="","",#REF!))</f>
        <v>#REF!</v>
      </c>
      <c r="AA591" t="e">
        <f ca="1">IF(A591="","",IF(E591="","",#REF!))</f>
        <v>#REF!</v>
      </c>
      <c r="AB591" t="e">
        <f ca="1">IF(A591="","",IF(E591="","",#REF!))</f>
        <v>#REF!</v>
      </c>
      <c r="AC591" t="e">
        <f t="shared" ca="1" si="56"/>
        <v>#REF!</v>
      </c>
    </row>
    <row r="592" spans="1:29" x14ac:dyDescent="0.35">
      <c r="A592" t="e" cm="1">
        <f t="array" aca="1" ref="A592" ca="1">IF(A591="","",IF(OR(AND(A591+1&gt;=$AF$1,A591+1&lt;=$AF$2),AND(A591+1&gt;=$AF$6,A591+1&lt;=$AF$7),AND(A591+1&gt;=$AF$3,A591+1&lt;=$AF$4),AND(A591+1&gt;=$AF$8,A591+1&lt;=$AF$9),A591+1=$AF$5),IF(NOT(ISBLANK(INDIRECT("template!"&amp;"P"&amp;A591+1))),A591+1,IF(NOT(ISBLANK(INDIRECT("template!"&amp;"P"&amp;A591+2))),A591+2,A591+3)),IF(A591=$AF$2,$AF$3,IF(A591=$AF$4,$AF$5,IF(A591=$AF$5,$AF$6,IF(A591=$AF$7,$AF$8,""))))))</f>
        <v>#REF!</v>
      </c>
      <c r="B592" t="e">
        <f t="shared" ca="1" si="51"/>
        <v>#REF!</v>
      </c>
      <c r="C592" t="e" cm="1">
        <f t="array" aca="1" ref="C592" ca="1">IF(A592="","",IF(B592="safety","safety costs",INDIRECT("template!"&amp;"B"&amp;A592)))</f>
        <v>#REF!</v>
      </c>
      <c r="D592" t="e" cm="1">
        <f t="array" aca="1" ref="D592" ca="1">IF(OR(A592="",B592="safety"),"",INDIRECT("template!"&amp;"C"&amp;A592))</f>
        <v>#REF!</v>
      </c>
      <c r="E592" t="e" cm="1">
        <f t="array" aca="1" ref="E592" ca="1">IF(A592="","",IF(OR(A592=A591+1,A592=A591+2),E591,INDIRECT("template!"&amp;"D"&amp;A592-2)))</f>
        <v>#REF!</v>
      </c>
      <c r="F592" t="e" cm="1">
        <f t="array" aca="1" ref="F592" ca="1">IF(OR(A592="",B592="safety"),"",IF(ISBLANK(IF(A592=A591+1,F591,INDIRECT("template!"&amp;"D"&amp;A592-1))),"",IF(A592=A591+1,F591,INDIRECT("template!"&amp;"D"&amp;A592-1))))</f>
        <v>#REF!</v>
      </c>
      <c r="G592" t="e" cm="1">
        <f t="array" aca="1" ref="G592" ca="1">IF(OR(A592="",B592="safety"),"",IF(ISBLANK(INDIRECT("template!"&amp;"D"&amp;A592)),"",INDIRECT("template!"&amp;"D"&amp;A592)))</f>
        <v>#REF!</v>
      </c>
      <c r="H592" t="e" cm="1">
        <f t="array" aca="1" ref="H592" ca="1">IF(OR(A592="",B592="safety"),"",IF(ISBLANK(INDIRECT("template!"&amp;"E"&amp;A592)),"",INDIRECT("template!"&amp;"E"&amp;A592)))</f>
        <v>#REF!</v>
      </c>
      <c r="I592" t="e" cm="1">
        <f t="array" aca="1" ref="I592" ca="1">IF(OR(A592="",B592="safety"),"",IF(ISBLANK(INDIRECT("template!"&amp;"F"&amp;A592)),"",INDIRECT("template!"&amp;"F"&amp;A592)))</f>
        <v>#REF!</v>
      </c>
      <c r="J592" t="e" cm="1">
        <f t="array" aca="1" ref="J592" ca="1">IF(OR(A592="",B592="safety"),"",IF(ISBLANK(INDIRECT("template!"&amp;"G"&amp;A592)),"",INDIRECT("template!"&amp;"G"&amp;A592)))</f>
        <v>#REF!</v>
      </c>
      <c r="K592" t="e" cm="1">
        <f t="array" aca="1" ref="K592" ca="1">IF(OR(A592="",B592="safety"),"",IF(ISBLANK(INDIRECT("template!"&amp;"H"&amp;A592)),"",INDIRECT("template!"&amp;"H"&amp;A592)))</f>
        <v>#REF!</v>
      </c>
      <c r="L592" t="e" cm="1">
        <f t="array" aca="1" ref="L592" ca="1">IF(OR(A592="",B592="safety"),"",INDIRECT("template!"&amp;"I"&amp;A592))</f>
        <v>#REF!</v>
      </c>
      <c r="M592" t="e" cm="1">
        <f t="array" aca="1" ref="M592" ca="1">IF(OR(A592="",B592="safety"),"",INDIRECT("template!"&amp;"J"&amp;A592))</f>
        <v>#REF!</v>
      </c>
      <c r="N592" t="e" cm="1">
        <f t="array" aca="1" ref="N592" ca="1">IF(OR(A592="",B592="safety"),"",IF(ISBLANK(INDIRECT("template!"&amp;"K"&amp;A592)),"",INDIRECT("template!"&amp;"K"&amp;A592)))</f>
        <v>#REF!</v>
      </c>
      <c r="O592" t="e" cm="1">
        <f t="array" aca="1" ref="O592" ca="1">IF(OR(A592="",B592="safety"),"",INDIRECT("template!"&amp;"L"&amp;A592))</f>
        <v>#REF!</v>
      </c>
      <c r="P592" t="e" cm="1">
        <f t="array" aca="1" ref="P592" ca="1">IF(OR(A592="",B592="safety"),"",INDIRECT("template!"&amp;"M"&amp;A592))</f>
        <v>#REF!</v>
      </c>
      <c r="Q592" t="e">
        <f t="shared" ca="1" si="52"/>
        <v>#REF!</v>
      </c>
      <c r="R592" t="e">
        <f t="shared" ca="1" si="53"/>
        <v>#REF!</v>
      </c>
      <c r="S592" t="e">
        <f t="shared" ca="1" si="54"/>
        <v>#REF!</v>
      </c>
      <c r="T592" t="e">
        <f t="shared" ca="1" si="55"/>
        <v>#REF!</v>
      </c>
      <c r="U592" t="e" cm="1">
        <f t="array" aca="1" ref="U592" ca="1">IF(A592="","",IF(E592="","",IF(B592="safety",INDIRECT("template!"&amp;"P"&amp;A592),Q592+R592)))</f>
        <v>#REF!</v>
      </c>
      <c r="V592" t="e" cm="1">
        <f t="array" aca="1" ref="V592" ca="1">IF(A592="","",IF(E592="","",IF(B592="safety",INDIRECT("template!"&amp;"P"&amp;A592),S592+T592)))</f>
        <v>#REF!</v>
      </c>
      <c r="W592" t="e">
        <f ca="1">IF(A592="","",IF(E592="","",#REF!))</f>
        <v>#REF!</v>
      </c>
      <c r="X592" t="e">
        <f ca="1">IF(A592="","",IF(E592="","",#REF!))</f>
        <v>#REF!</v>
      </c>
      <c r="Y592" s="39" t="e">
        <f ca="1">IF(A592="","",IF(E592="","",#REF!))</f>
        <v>#REF!</v>
      </c>
      <c r="Z592" t="e">
        <f ca="1">IF(A592="","",IF(E592="","",#REF!))</f>
        <v>#REF!</v>
      </c>
      <c r="AA592" t="e">
        <f ca="1">IF(A592="","",IF(E592="","",#REF!))</f>
        <v>#REF!</v>
      </c>
      <c r="AB592" t="e">
        <f ca="1">IF(A592="","",IF(E592="","",#REF!))</f>
        <v>#REF!</v>
      </c>
      <c r="AC592" t="e">
        <f t="shared" ca="1" si="56"/>
        <v>#REF!</v>
      </c>
    </row>
    <row r="593" spans="1:29" x14ac:dyDescent="0.35">
      <c r="A593" t="e" cm="1">
        <f t="array" aca="1" ref="A593" ca="1">IF(A592="","",IF(OR(AND(A592+1&gt;=$AF$1,A592+1&lt;=$AF$2),AND(A592+1&gt;=$AF$6,A592+1&lt;=$AF$7),AND(A592+1&gt;=$AF$3,A592+1&lt;=$AF$4),AND(A592+1&gt;=$AF$8,A592+1&lt;=$AF$9),A592+1=$AF$5),IF(NOT(ISBLANK(INDIRECT("template!"&amp;"P"&amp;A592+1))),A592+1,IF(NOT(ISBLANK(INDIRECT("template!"&amp;"P"&amp;A592+2))),A592+2,A592+3)),IF(A592=$AF$2,$AF$3,IF(A592=$AF$4,$AF$5,IF(A592=$AF$5,$AF$6,IF(A592=$AF$7,$AF$8,""))))))</f>
        <v>#REF!</v>
      </c>
      <c r="B593" t="e">
        <f t="shared" ca="1" si="51"/>
        <v>#REF!</v>
      </c>
      <c r="C593" t="e" cm="1">
        <f t="array" aca="1" ref="C593" ca="1">IF(A593="","",IF(B593="safety","safety costs",INDIRECT("template!"&amp;"B"&amp;A593)))</f>
        <v>#REF!</v>
      </c>
      <c r="D593" t="e" cm="1">
        <f t="array" aca="1" ref="D593" ca="1">IF(OR(A593="",B593="safety"),"",INDIRECT("template!"&amp;"C"&amp;A593))</f>
        <v>#REF!</v>
      </c>
      <c r="E593" t="e" cm="1">
        <f t="array" aca="1" ref="E593" ca="1">IF(A593="","",IF(OR(A593=A592+1,A593=A592+2),E592,INDIRECT("template!"&amp;"D"&amp;A593-2)))</f>
        <v>#REF!</v>
      </c>
      <c r="F593" t="e" cm="1">
        <f t="array" aca="1" ref="F593" ca="1">IF(OR(A593="",B593="safety"),"",IF(ISBLANK(IF(A593=A592+1,F592,INDIRECT("template!"&amp;"D"&amp;A593-1))),"",IF(A593=A592+1,F592,INDIRECT("template!"&amp;"D"&amp;A593-1))))</f>
        <v>#REF!</v>
      </c>
      <c r="G593" t="e" cm="1">
        <f t="array" aca="1" ref="G593" ca="1">IF(OR(A593="",B593="safety"),"",IF(ISBLANK(INDIRECT("template!"&amp;"D"&amp;A593)),"",INDIRECT("template!"&amp;"D"&amp;A593)))</f>
        <v>#REF!</v>
      </c>
      <c r="H593" t="e" cm="1">
        <f t="array" aca="1" ref="H593" ca="1">IF(OR(A593="",B593="safety"),"",IF(ISBLANK(INDIRECT("template!"&amp;"E"&amp;A593)),"",INDIRECT("template!"&amp;"E"&amp;A593)))</f>
        <v>#REF!</v>
      </c>
      <c r="I593" t="e" cm="1">
        <f t="array" aca="1" ref="I593" ca="1">IF(OR(A593="",B593="safety"),"",IF(ISBLANK(INDIRECT("template!"&amp;"F"&amp;A593)),"",INDIRECT("template!"&amp;"F"&amp;A593)))</f>
        <v>#REF!</v>
      </c>
      <c r="J593" t="e" cm="1">
        <f t="array" aca="1" ref="J593" ca="1">IF(OR(A593="",B593="safety"),"",IF(ISBLANK(INDIRECT("template!"&amp;"G"&amp;A593)),"",INDIRECT("template!"&amp;"G"&amp;A593)))</f>
        <v>#REF!</v>
      </c>
      <c r="K593" t="e" cm="1">
        <f t="array" aca="1" ref="K593" ca="1">IF(OR(A593="",B593="safety"),"",IF(ISBLANK(INDIRECT("template!"&amp;"H"&amp;A593)),"",INDIRECT("template!"&amp;"H"&amp;A593)))</f>
        <v>#REF!</v>
      </c>
      <c r="L593" t="e" cm="1">
        <f t="array" aca="1" ref="L593" ca="1">IF(OR(A593="",B593="safety"),"",INDIRECT("template!"&amp;"I"&amp;A593))</f>
        <v>#REF!</v>
      </c>
      <c r="M593" t="e" cm="1">
        <f t="array" aca="1" ref="M593" ca="1">IF(OR(A593="",B593="safety"),"",INDIRECT("template!"&amp;"J"&amp;A593))</f>
        <v>#REF!</v>
      </c>
      <c r="N593" t="e" cm="1">
        <f t="array" aca="1" ref="N593" ca="1">IF(OR(A593="",B593="safety"),"",IF(ISBLANK(INDIRECT("template!"&amp;"K"&amp;A593)),"",INDIRECT("template!"&amp;"K"&amp;A593)))</f>
        <v>#REF!</v>
      </c>
      <c r="O593" t="e" cm="1">
        <f t="array" aca="1" ref="O593" ca="1">IF(OR(A593="",B593="safety"),"",INDIRECT("template!"&amp;"L"&amp;A593))</f>
        <v>#REF!</v>
      </c>
      <c r="P593" t="e" cm="1">
        <f t="array" aca="1" ref="P593" ca="1">IF(OR(A593="",B593="safety"),"",INDIRECT("template!"&amp;"M"&amp;A593))</f>
        <v>#REF!</v>
      </c>
      <c r="Q593" t="e">
        <f t="shared" ca="1" si="52"/>
        <v>#REF!</v>
      </c>
      <c r="R593" t="e">
        <f t="shared" ca="1" si="53"/>
        <v>#REF!</v>
      </c>
      <c r="S593" t="e">
        <f t="shared" ca="1" si="54"/>
        <v>#REF!</v>
      </c>
      <c r="T593" t="e">
        <f t="shared" ca="1" si="55"/>
        <v>#REF!</v>
      </c>
      <c r="U593" t="e" cm="1">
        <f t="array" aca="1" ref="U593" ca="1">IF(A593="","",IF(E593="","",IF(B593="safety",INDIRECT("template!"&amp;"P"&amp;A593),Q593+R593)))</f>
        <v>#REF!</v>
      </c>
      <c r="V593" t="e" cm="1">
        <f t="array" aca="1" ref="V593" ca="1">IF(A593="","",IF(E593="","",IF(B593="safety",INDIRECT("template!"&amp;"P"&amp;A593),S593+T593)))</f>
        <v>#REF!</v>
      </c>
      <c r="W593" t="e">
        <f ca="1">IF(A593="","",IF(E593="","",#REF!))</f>
        <v>#REF!</v>
      </c>
      <c r="X593" t="e">
        <f ca="1">IF(A593="","",IF(E593="","",#REF!))</f>
        <v>#REF!</v>
      </c>
      <c r="Y593" s="39" t="e">
        <f ca="1">IF(A593="","",IF(E593="","",#REF!))</f>
        <v>#REF!</v>
      </c>
      <c r="Z593" t="e">
        <f ca="1">IF(A593="","",IF(E593="","",#REF!))</f>
        <v>#REF!</v>
      </c>
      <c r="AA593" t="e">
        <f ca="1">IF(A593="","",IF(E593="","",#REF!))</f>
        <v>#REF!</v>
      </c>
      <c r="AB593" t="e">
        <f ca="1">IF(A593="","",IF(E593="","",#REF!))</f>
        <v>#REF!</v>
      </c>
      <c r="AC593" t="e">
        <f t="shared" ca="1" si="56"/>
        <v>#REF!</v>
      </c>
    </row>
    <row r="594" spans="1:29" x14ac:dyDescent="0.35">
      <c r="A594" t="e" cm="1">
        <f t="array" aca="1" ref="A594" ca="1">IF(A593="","",IF(OR(AND(A593+1&gt;=$AF$1,A593+1&lt;=$AF$2),AND(A593+1&gt;=$AF$6,A593+1&lt;=$AF$7),AND(A593+1&gt;=$AF$3,A593+1&lt;=$AF$4),AND(A593+1&gt;=$AF$8,A593+1&lt;=$AF$9),A593+1=$AF$5),IF(NOT(ISBLANK(INDIRECT("template!"&amp;"P"&amp;A593+1))),A593+1,IF(NOT(ISBLANK(INDIRECT("template!"&amp;"P"&amp;A593+2))),A593+2,A593+3)),IF(A593=$AF$2,$AF$3,IF(A593=$AF$4,$AF$5,IF(A593=$AF$5,$AF$6,IF(A593=$AF$7,$AF$8,""))))))</f>
        <v>#REF!</v>
      </c>
      <c r="B594" t="e">
        <f t="shared" ca="1" si="51"/>
        <v>#REF!</v>
      </c>
      <c r="C594" t="e" cm="1">
        <f t="array" aca="1" ref="C594" ca="1">IF(A594="","",IF(B594="safety","safety costs",INDIRECT("template!"&amp;"B"&amp;A594)))</f>
        <v>#REF!</v>
      </c>
      <c r="D594" t="e" cm="1">
        <f t="array" aca="1" ref="D594" ca="1">IF(OR(A594="",B594="safety"),"",INDIRECT("template!"&amp;"C"&amp;A594))</f>
        <v>#REF!</v>
      </c>
      <c r="E594" t="e" cm="1">
        <f t="array" aca="1" ref="E594" ca="1">IF(A594="","",IF(OR(A594=A593+1,A594=A593+2),E593,INDIRECT("template!"&amp;"D"&amp;A594-2)))</f>
        <v>#REF!</v>
      </c>
      <c r="F594" t="e" cm="1">
        <f t="array" aca="1" ref="F594" ca="1">IF(OR(A594="",B594="safety"),"",IF(ISBLANK(IF(A594=A593+1,F593,INDIRECT("template!"&amp;"D"&amp;A594-1))),"",IF(A594=A593+1,F593,INDIRECT("template!"&amp;"D"&amp;A594-1))))</f>
        <v>#REF!</v>
      </c>
      <c r="G594" t="e" cm="1">
        <f t="array" aca="1" ref="G594" ca="1">IF(OR(A594="",B594="safety"),"",IF(ISBLANK(INDIRECT("template!"&amp;"D"&amp;A594)),"",INDIRECT("template!"&amp;"D"&amp;A594)))</f>
        <v>#REF!</v>
      </c>
      <c r="H594" t="e" cm="1">
        <f t="array" aca="1" ref="H594" ca="1">IF(OR(A594="",B594="safety"),"",IF(ISBLANK(INDIRECT("template!"&amp;"E"&amp;A594)),"",INDIRECT("template!"&amp;"E"&amp;A594)))</f>
        <v>#REF!</v>
      </c>
      <c r="I594" t="e" cm="1">
        <f t="array" aca="1" ref="I594" ca="1">IF(OR(A594="",B594="safety"),"",IF(ISBLANK(INDIRECT("template!"&amp;"F"&amp;A594)),"",INDIRECT("template!"&amp;"F"&amp;A594)))</f>
        <v>#REF!</v>
      </c>
      <c r="J594" t="e" cm="1">
        <f t="array" aca="1" ref="J594" ca="1">IF(OR(A594="",B594="safety"),"",IF(ISBLANK(INDIRECT("template!"&amp;"G"&amp;A594)),"",INDIRECT("template!"&amp;"G"&amp;A594)))</f>
        <v>#REF!</v>
      </c>
      <c r="K594" t="e" cm="1">
        <f t="array" aca="1" ref="K594" ca="1">IF(OR(A594="",B594="safety"),"",IF(ISBLANK(INDIRECT("template!"&amp;"H"&amp;A594)),"",INDIRECT("template!"&amp;"H"&amp;A594)))</f>
        <v>#REF!</v>
      </c>
      <c r="L594" t="e" cm="1">
        <f t="array" aca="1" ref="L594" ca="1">IF(OR(A594="",B594="safety"),"",INDIRECT("template!"&amp;"I"&amp;A594))</f>
        <v>#REF!</v>
      </c>
      <c r="M594" t="e" cm="1">
        <f t="array" aca="1" ref="M594" ca="1">IF(OR(A594="",B594="safety"),"",INDIRECT("template!"&amp;"J"&amp;A594))</f>
        <v>#REF!</v>
      </c>
      <c r="N594" t="e" cm="1">
        <f t="array" aca="1" ref="N594" ca="1">IF(OR(A594="",B594="safety"),"",IF(ISBLANK(INDIRECT("template!"&amp;"K"&amp;A594)),"",INDIRECT("template!"&amp;"K"&amp;A594)))</f>
        <v>#REF!</v>
      </c>
      <c r="O594" t="e" cm="1">
        <f t="array" aca="1" ref="O594" ca="1">IF(OR(A594="",B594="safety"),"",INDIRECT("template!"&amp;"L"&amp;A594))</f>
        <v>#REF!</v>
      </c>
      <c r="P594" t="e" cm="1">
        <f t="array" aca="1" ref="P594" ca="1">IF(OR(A594="",B594="safety"),"",INDIRECT("template!"&amp;"M"&amp;A594))</f>
        <v>#REF!</v>
      </c>
      <c r="Q594" t="e">
        <f t="shared" ca="1" si="52"/>
        <v>#REF!</v>
      </c>
      <c r="R594" t="e">
        <f t="shared" ca="1" si="53"/>
        <v>#REF!</v>
      </c>
      <c r="S594" t="e">
        <f t="shared" ca="1" si="54"/>
        <v>#REF!</v>
      </c>
      <c r="T594" t="e">
        <f t="shared" ca="1" si="55"/>
        <v>#REF!</v>
      </c>
      <c r="U594" t="e" cm="1">
        <f t="array" aca="1" ref="U594" ca="1">IF(A594="","",IF(E594="","",IF(B594="safety",INDIRECT("template!"&amp;"P"&amp;A594),Q594+R594)))</f>
        <v>#REF!</v>
      </c>
      <c r="V594" t="e" cm="1">
        <f t="array" aca="1" ref="V594" ca="1">IF(A594="","",IF(E594="","",IF(B594="safety",INDIRECT("template!"&amp;"P"&amp;A594),S594+T594)))</f>
        <v>#REF!</v>
      </c>
      <c r="W594" t="e">
        <f ca="1">IF(A594="","",IF(E594="","",#REF!))</f>
        <v>#REF!</v>
      </c>
      <c r="X594" t="e">
        <f ca="1">IF(A594="","",IF(E594="","",#REF!))</f>
        <v>#REF!</v>
      </c>
      <c r="Y594" s="39" t="e">
        <f ca="1">IF(A594="","",IF(E594="","",#REF!))</f>
        <v>#REF!</v>
      </c>
      <c r="Z594" t="e">
        <f ca="1">IF(A594="","",IF(E594="","",#REF!))</f>
        <v>#REF!</v>
      </c>
      <c r="AA594" t="e">
        <f ca="1">IF(A594="","",IF(E594="","",#REF!))</f>
        <v>#REF!</v>
      </c>
      <c r="AB594" t="e">
        <f ca="1">IF(A594="","",IF(E594="","",#REF!))</f>
        <v>#REF!</v>
      </c>
      <c r="AC594" t="e">
        <f t="shared" ca="1" si="56"/>
        <v>#REF!</v>
      </c>
    </row>
    <row r="595" spans="1:29" x14ac:dyDescent="0.35">
      <c r="A595" t="e" cm="1">
        <f t="array" aca="1" ref="A595" ca="1">IF(A594="","",IF(OR(AND(A594+1&gt;=$AF$1,A594+1&lt;=$AF$2),AND(A594+1&gt;=$AF$6,A594+1&lt;=$AF$7),AND(A594+1&gt;=$AF$3,A594+1&lt;=$AF$4),AND(A594+1&gt;=$AF$8,A594+1&lt;=$AF$9),A594+1=$AF$5),IF(NOT(ISBLANK(INDIRECT("template!"&amp;"P"&amp;A594+1))),A594+1,IF(NOT(ISBLANK(INDIRECT("template!"&amp;"P"&amp;A594+2))),A594+2,A594+3)),IF(A594=$AF$2,$AF$3,IF(A594=$AF$4,$AF$5,IF(A594=$AF$5,$AF$6,IF(A594=$AF$7,$AF$8,""))))))</f>
        <v>#REF!</v>
      </c>
      <c r="B595" t="e">
        <f t="shared" ca="1" si="51"/>
        <v>#REF!</v>
      </c>
      <c r="C595" t="e" cm="1">
        <f t="array" aca="1" ref="C595" ca="1">IF(A595="","",IF(B595="safety","safety costs",INDIRECT("template!"&amp;"B"&amp;A595)))</f>
        <v>#REF!</v>
      </c>
      <c r="D595" t="e" cm="1">
        <f t="array" aca="1" ref="D595" ca="1">IF(OR(A595="",B595="safety"),"",INDIRECT("template!"&amp;"C"&amp;A595))</f>
        <v>#REF!</v>
      </c>
      <c r="E595" t="e" cm="1">
        <f t="array" aca="1" ref="E595" ca="1">IF(A595="","",IF(OR(A595=A594+1,A595=A594+2),E594,INDIRECT("template!"&amp;"D"&amp;A595-2)))</f>
        <v>#REF!</v>
      </c>
      <c r="F595" t="e" cm="1">
        <f t="array" aca="1" ref="F595" ca="1">IF(OR(A595="",B595="safety"),"",IF(ISBLANK(IF(A595=A594+1,F594,INDIRECT("template!"&amp;"D"&amp;A595-1))),"",IF(A595=A594+1,F594,INDIRECT("template!"&amp;"D"&amp;A595-1))))</f>
        <v>#REF!</v>
      </c>
      <c r="G595" t="e" cm="1">
        <f t="array" aca="1" ref="G595" ca="1">IF(OR(A595="",B595="safety"),"",IF(ISBLANK(INDIRECT("template!"&amp;"D"&amp;A595)),"",INDIRECT("template!"&amp;"D"&amp;A595)))</f>
        <v>#REF!</v>
      </c>
      <c r="H595" t="e" cm="1">
        <f t="array" aca="1" ref="H595" ca="1">IF(OR(A595="",B595="safety"),"",IF(ISBLANK(INDIRECT("template!"&amp;"E"&amp;A595)),"",INDIRECT("template!"&amp;"E"&amp;A595)))</f>
        <v>#REF!</v>
      </c>
      <c r="I595" t="e" cm="1">
        <f t="array" aca="1" ref="I595" ca="1">IF(OR(A595="",B595="safety"),"",IF(ISBLANK(INDIRECT("template!"&amp;"F"&amp;A595)),"",INDIRECT("template!"&amp;"F"&amp;A595)))</f>
        <v>#REF!</v>
      </c>
      <c r="J595" t="e" cm="1">
        <f t="array" aca="1" ref="J595" ca="1">IF(OR(A595="",B595="safety"),"",IF(ISBLANK(INDIRECT("template!"&amp;"G"&amp;A595)),"",INDIRECT("template!"&amp;"G"&amp;A595)))</f>
        <v>#REF!</v>
      </c>
      <c r="K595" t="e" cm="1">
        <f t="array" aca="1" ref="K595" ca="1">IF(OR(A595="",B595="safety"),"",IF(ISBLANK(INDIRECT("template!"&amp;"H"&amp;A595)),"",INDIRECT("template!"&amp;"H"&amp;A595)))</f>
        <v>#REF!</v>
      </c>
      <c r="L595" t="e" cm="1">
        <f t="array" aca="1" ref="L595" ca="1">IF(OR(A595="",B595="safety"),"",INDIRECT("template!"&amp;"I"&amp;A595))</f>
        <v>#REF!</v>
      </c>
      <c r="M595" t="e" cm="1">
        <f t="array" aca="1" ref="M595" ca="1">IF(OR(A595="",B595="safety"),"",INDIRECT("template!"&amp;"J"&amp;A595))</f>
        <v>#REF!</v>
      </c>
      <c r="N595" t="e" cm="1">
        <f t="array" aca="1" ref="N595" ca="1">IF(OR(A595="",B595="safety"),"",IF(ISBLANK(INDIRECT("template!"&amp;"K"&amp;A595)),"",INDIRECT("template!"&amp;"K"&amp;A595)))</f>
        <v>#REF!</v>
      </c>
      <c r="O595" t="e" cm="1">
        <f t="array" aca="1" ref="O595" ca="1">IF(OR(A595="",B595="safety"),"",INDIRECT("template!"&amp;"L"&amp;A595))</f>
        <v>#REF!</v>
      </c>
      <c r="P595" t="e" cm="1">
        <f t="array" aca="1" ref="P595" ca="1">IF(OR(A595="",B595="safety"),"",INDIRECT("template!"&amp;"M"&amp;A595))</f>
        <v>#REF!</v>
      </c>
      <c r="Q595" t="e">
        <f t="shared" ca="1" si="52"/>
        <v>#REF!</v>
      </c>
      <c r="R595" t="e">
        <f t="shared" ca="1" si="53"/>
        <v>#REF!</v>
      </c>
      <c r="S595" t="e">
        <f t="shared" ca="1" si="54"/>
        <v>#REF!</v>
      </c>
      <c r="T595" t="e">
        <f t="shared" ca="1" si="55"/>
        <v>#REF!</v>
      </c>
      <c r="U595" t="e" cm="1">
        <f t="array" aca="1" ref="U595" ca="1">IF(A595="","",IF(E595="","",IF(B595="safety",INDIRECT("template!"&amp;"P"&amp;A595),Q595+R595)))</f>
        <v>#REF!</v>
      </c>
      <c r="V595" t="e" cm="1">
        <f t="array" aca="1" ref="V595" ca="1">IF(A595="","",IF(E595="","",IF(B595="safety",INDIRECT("template!"&amp;"P"&amp;A595),S595+T595)))</f>
        <v>#REF!</v>
      </c>
      <c r="W595" t="e">
        <f ca="1">IF(A595="","",IF(E595="","",#REF!))</f>
        <v>#REF!</v>
      </c>
      <c r="X595" t="e">
        <f ca="1">IF(A595="","",IF(E595="","",#REF!))</f>
        <v>#REF!</v>
      </c>
      <c r="Y595" s="39" t="e">
        <f ca="1">IF(A595="","",IF(E595="","",#REF!))</f>
        <v>#REF!</v>
      </c>
      <c r="Z595" t="e">
        <f ca="1">IF(A595="","",IF(E595="","",#REF!))</f>
        <v>#REF!</v>
      </c>
      <c r="AA595" t="e">
        <f ca="1">IF(A595="","",IF(E595="","",#REF!))</f>
        <v>#REF!</v>
      </c>
      <c r="AB595" t="e">
        <f ca="1">IF(A595="","",IF(E595="","",#REF!))</f>
        <v>#REF!</v>
      </c>
      <c r="AC595" t="e">
        <f t="shared" ca="1" si="56"/>
        <v>#REF!</v>
      </c>
    </row>
    <row r="596" spans="1:29" x14ac:dyDescent="0.35">
      <c r="A596" t="e" cm="1">
        <f t="array" aca="1" ref="A596" ca="1">IF(A595="","",IF(OR(AND(A595+1&gt;=$AF$1,A595+1&lt;=$AF$2),AND(A595+1&gt;=$AF$6,A595+1&lt;=$AF$7),AND(A595+1&gt;=$AF$3,A595+1&lt;=$AF$4),AND(A595+1&gt;=$AF$8,A595+1&lt;=$AF$9),A595+1=$AF$5),IF(NOT(ISBLANK(INDIRECT("template!"&amp;"P"&amp;A595+1))),A595+1,IF(NOT(ISBLANK(INDIRECT("template!"&amp;"P"&amp;A595+2))),A595+2,A595+3)),IF(A595=$AF$2,$AF$3,IF(A595=$AF$4,$AF$5,IF(A595=$AF$5,$AF$6,IF(A595=$AF$7,$AF$8,""))))))</f>
        <v>#REF!</v>
      </c>
      <c r="B596" t="e">
        <f t="shared" ca="1" si="51"/>
        <v>#REF!</v>
      </c>
      <c r="C596" t="e" cm="1">
        <f t="array" aca="1" ref="C596" ca="1">IF(A596="","",IF(B596="safety","safety costs",INDIRECT("template!"&amp;"B"&amp;A596)))</f>
        <v>#REF!</v>
      </c>
      <c r="D596" t="e" cm="1">
        <f t="array" aca="1" ref="D596" ca="1">IF(OR(A596="",B596="safety"),"",INDIRECT("template!"&amp;"C"&amp;A596))</f>
        <v>#REF!</v>
      </c>
      <c r="E596" t="e" cm="1">
        <f t="array" aca="1" ref="E596" ca="1">IF(A596="","",IF(OR(A596=A595+1,A596=A595+2),E595,INDIRECT("template!"&amp;"D"&amp;A596-2)))</f>
        <v>#REF!</v>
      </c>
      <c r="F596" t="e" cm="1">
        <f t="array" aca="1" ref="F596" ca="1">IF(OR(A596="",B596="safety"),"",IF(ISBLANK(IF(A596=A595+1,F595,INDIRECT("template!"&amp;"D"&amp;A596-1))),"",IF(A596=A595+1,F595,INDIRECT("template!"&amp;"D"&amp;A596-1))))</f>
        <v>#REF!</v>
      </c>
      <c r="G596" t="e" cm="1">
        <f t="array" aca="1" ref="G596" ca="1">IF(OR(A596="",B596="safety"),"",IF(ISBLANK(INDIRECT("template!"&amp;"D"&amp;A596)),"",INDIRECT("template!"&amp;"D"&amp;A596)))</f>
        <v>#REF!</v>
      </c>
      <c r="H596" t="e" cm="1">
        <f t="array" aca="1" ref="H596" ca="1">IF(OR(A596="",B596="safety"),"",IF(ISBLANK(INDIRECT("template!"&amp;"E"&amp;A596)),"",INDIRECT("template!"&amp;"E"&amp;A596)))</f>
        <v>#REF!</v>
      </c>
      <c r="I596" t="e" cm="1">
        <f t="array" aca="1" ref="I596" ca="1">IF(OR(A596="",B596="safety"),"",IF(ISBLANK(INDIRECT("template!"&amp;"F"&amp;A596)),"",INDIRECT("template!"&amp;"F"&amp;A596)))</f>
        <v>#REF!</v>
      </c>
      <c r="J596" t="e" cm="1">
        <f t="array" aca="1" ref="J596" ca="1">IF(OR(A596="",B596="safety"),"",IF(ISBLANK(INDIRECT("template!"&amp;"G"&amp;A596)),"",INDIRECT("template!"&amp;"G"&amp;A596)))</f>
        <v>#REF!</v>
      </c>
      <c r="K596" t="e" cm="1">
        <f t="array" aca="1" ref="K596" ca="1">IF(OR(A596="",B596="safety"),"",IF(ISBLANK(INDIRECT("template!"&amp;"H"&amp;A596)),"",INDIRECT("template!"&amp;"H"&amp;A596)))</f>
        <v>#REF!</v>
      </c>
      <c r="L596" t="e" cm="1">
        <f t="array" aca="1" ref="L596" ca="1">IF(OR(A596="",B596="safety"),"",INDIRECT("template!"&amp;"I"&amp;A596))</f>
        <v>#REF!</v>
      </c>
      <c r="M596" t="e" cm="1">
        <f t="array" aca="1" ref="M596" ca="1">IF(OR(A596="",B596="safety"),"",INDIRECT("template!"&amp;"J"&amp;A596))</f>
        <v>#REF!</v>
      </c>
      <c r="N596" t="e" cm="1">
        <f t="array" aca="1" ref="N596" ca="1">IF(OR(A596="",B596="safety"),"",IF(ISBLANK(INDIRECT("template!"&amp;"K"&amp;A596)),"",INDIRECT("template!"&amp;"K"&amp;A596)))</f>
        <v>#REF!</v>
      </c>
      <c r="O596" t="e" cm="1">
        <f t="array" aca="1" ref="O596" ca="1">IF(OR(A596="",B596="safety"),"",INDIRECT("template!"&amp;"L"&amp;A596))</f>
        <v>#REF!</v>
      </c>
      <c r="P596" t="e" cm="1">
        <f t="array" aca="1" ref="P596" ca="1">IF(OR(A596="",B596="safety"),"",INDIRECT("template!"&amp;"M"&amp;A596))</f>
        <v>#REF!</v>
      </c>
      <c r="Q596" t="e">
        <f t="shared" ca="1" si="52"/>
        <v>#REF!</v>
      </c>
      <c r="R596" t="e">
        <f t="shared" ca="1" si="53"/>
        <v>#REF!</v>
      </c>
      <c r="S596" t="e">
        <f t="shared" ca="1" si="54"/>
        <v>#REF!</v>
      </c>
      <c r="T596" t="e">
        <f t="shared" ca="1" si="55"/>
        <v>#REF!</v>
      </c>
      <c r="U596" t="e" cm="1">
        <f t="array" aca="1" ref="U596" ca="1">IF(A596="","",IF(E596="","",IF(B596="safety",INDIRECT("template!"&amp;"P"&amp;A596),Q596+R596)))</f>
        <v>#REF!</v>
      </c>
      <c r="V596" t="e" cm="1">
        <f t="array" aca="1" ref="V596" ca="1">IF(A596="","",IF(E596="","",IF(B596="safety",INDIRECT("template!"&amp;"P"&amp;A596),S596+T596)))</f>
        <v>#REF!</v>
      </c>
      <c r="W596" t="e">
        <f ca="1">IF(A596="","",IF(E596="","",#REF!))</f>
        <v>#REF!</v>
      </c>
      <c r="X596" t="e">
        <f ca="1">IF(A596="","",IF(E596="","",#REF!))</f>
        <v>#REF!</v>
      </c>
      <c r="Y596" s="39" t="e">
        <f ca="1">IF(A596="","",IF(E596="","",#REF!))</f>
        <v>#REF!</v>
      </c>
      <c r="Z596" t="e">
        <f ca="1">IF(A596="","",IF(E596="","",#REF!))</f>
        <v>#REF!</v>
      </c>
      <c r="AA596" t="e">
        <f ca="1">IF(A596="","",IF(E596="","",#REF!))</f>
        <v>#REF!</v>
      </c>
      <c r="AB596" t="e">
        <f ca="1">IF(A596="","",IF(E596="","",#REF!))</f>
        <v>#REF!</v>
      </c>
      <c r="AC596" t="e">
        <f t="shared" ca="1" si="56"/>
        <v>#REF!</v>
      </c>
    </row>
    <row r="597" spans="1:29" x14ac:dyDescent="0.35">
      <c r="A597" t="e" cm="1">
        <f t="array" aca="1" ref="A597" ca="1">IF(A596="","",IF(OR(AND(A596+1&gt;=$AF$1,A596+1&lt;=$AF$2),AND(A596+1&gt;=$AF$6,A596+1&lt;=$AF$7),AND(A596+1&gt;=$AF$3,A596+1&lt;=$AF$4),AND(A596+1&gt;=$AF$8,A596+1&lt;=$AF$9),A596+1=$AF$5),IF(NOT(ISBLANK(INDIRECT("template!"&amp;"P"&amp;A596+1))),A596+1,IF(NOT(ISBLANK(INDIRECT("template!"&amp;"P"&amp;A596+2))),A596+2,A596+3)),IF(A596=$AF$2,$AF$3,IF(A596=$AF$4,$AF$5,IF(A596=$AF$5,$AF$6,IF(A596=$AF$7,$AF$8,""))))))</f>
        <v>#REF!</v>
      </c>
      <c r="B597" t="e">
        <f t="shared" ca="1" si="51"/>
        <v>#REF!</v>
      </c>
      <c r="C597" t="e" cm="1">
        <f t="array" aca="1" ref="C597" ca="1">IF(A597="","",IF(B597="safety","safety costs",INDIRECT("template!"&amp;"B"&amp;A597)))</f>
        <v>#REF!</v>
      </c>
      <c r="D597" t="e" cm="1">
        <f t="array" aca="1" ref="D597" ca="1">IF(OR(A597="",B597="safety"),"",INDIRECT("template!"&amp;"C"&amp;A597))</f>
        <v>#REF!</v>
      </c>
      <c r="E597" t="e" cm="1">
        <f t="array" aca="1" ref="E597" ca="1">IF(A597="","",IF(OR(A597=A596+1,A597=A596+2),E596,INDIRECT("template!"&amp;"D"&amp;A597-2)))</f>
        <v>#REF!</v>
      </c>
      <c r="F597" t="e" cm="1">
        <f t="array" aca="1" ref="F597" ca="1">IF(OR(A597="",B597="safety"),"",IF(ISBLANK(IF(A597=A596+1,F596,INDIRECT("template!"&amp;"D"&amp;A597-1))),"",IF(A597=A596+1,F596,INDIRECT("template!"&amp;"D"&amp;A597-1))))</f>
        <v>#REF!</v>
      </c>
      <c r="G597" t="e" cm="1">
        <f t="array" aca="1" ref="G597" ca="1">IF(OR(A597="",B597="safety"),"",IF(ISBLANK(INDIRECT("template!"&amp;"D"&amp;A597)),"",INDIRECT("template!"&amp;"D"&amp;A597)))</f>
        <v>#REF!</v>
      </c>
      <c r="H597" t="e" cm="1">
        <f t="array" aca="1" ref="H597" ca="1">IF(OR(A597="",B597="safety"),"",IF(ISBLANK(INDIRECT("template!"&amp;"E"&amp;A597)),"",INDIRECT("template!"&amp;"E"&amp;A597)))</f>
        <v>#REF!</v>
      </c>
      <c r="I597" t="e" cm="1">
        <f t="array" aca="1" ref="I597" ca="1">IF(OR(A597="",B597="safety"),"",IF(ISBLANK(INDIRECT("template!"&amp;"F"&amp;A597)),"",INDIRECT("template!"&amp;"F"&amp;A597)))</f>
        <v>#REF!</v>
      </c>
      <c r="J597" t="e" cm="1">
        <f t="array" aca="1" ref="J597" ca="1">IF(OR(A597="",B597="safety"),"",IF(ISBLANK(INDIRECT("template!"&amp;"G"&amp;A597)),"",INDIRECT("template!"&amp;"G"&amp;A597)))</f>
        <v>#REF!</v>
      </c>
      <c r="K597" t="e" cm="1">
        <f t="array" aca="1" ref="K597" ca="1">IF(OR(A597="",B597="safety"),"",IF(ISBLANK(INDIRECT("template!"&amp;"H"&amp;A597)),"",INDIRECT("template!"&amp;"H"&amp;A597)))</f>
        <v>#REF!</v>
      </c>
      <c r="L597" t="e" cm="1">
        <f t="array" aca="1" ref="L597" ca="1">IF(OR(A597="",B597="safety"),"",INDIRECT("template!"&amp;"I"&amp;A597))</f>
        <v>#REF!</v>
      </c>
      <c r="M597" t="e" cm="1">
        <f t="array" aca="1" ref="M597" ca="1">IF(OR(A597="",B597="safety"),"",INDIRECT("template!"&amp;"J"&amp;A597))</f>
        <v>#REF!</v>
      </c>
      <c r="N597" t="e" cm="1">
        <f t="array" aca="1" ref="N597" ca="1">IF(OR(A597="",B597="safety"),"",IF(ISBLANK(INDIRECT("template!"&amp;"K"&amp;A597)),"",INDIRECT("template!"&amp;"K"&amp;A597)))</f>
        <v>#REF!</v>
      </c>
      <c r="O597" t="e" cm="1">
        <f t="array" aca="1" ref="O597" ca="1">IF(OR(A597="",B597="safety"),"",INDIRECT("template!"&amp;"L"&amp;A597))</f>
        <v>#REF!</v>
      </c>
      <c r="P597" t="e" cm="1">
        <f t="array" aca="1" ref="P597" ca="1">IF(OR(A597="",B597="safety"),"",INDIRECT("template!"&amp;"M"&amp;A597))</f>
        <v>#REF!</v>
      </c>
      <c r="Q597" t="e">
        <f t="shared" ca="1" si="52"/>
        <v>#REF!</v>
      </c>
      <c r="R597" t="e">
        <f t="shared" ca="1" si="53"/>
        <v>#REF!</v>
      </c>
      <c r="S597" t="e">
        <f t="shared" ca="1" si="54"/>
        <v>#REF!</v>
      </c>
      <c r="T597" t="e">
        <f t="shared" ca="1" si="55"/>
        <v>#REF!</v>
      </c>
      <c r="U597" t="e" cm="1">
        <f t="array" aca="1" ref="U597" ca="1">IF(A597="","",IF(E597="","",IF(B597="safety",INDIRECT("template!"&amp;"P"&amp;A597),Q597+R597)))</f>
        <v>#REF!</v>
      </c>
      <c r="V597" t="e" cm="1">
        <f t="array" aca="1" ref="V597" ca="1">IF(A597="","",IF(E597="","",IF(B597="safety",INDIRECT("template!"&amp;"P"&amp;A597),S597+T597)))</f>
        <v>#REF!</v>
      </c>
      <c r="W597" t="e">
        <f ca="1">IF(A597="","",IF(E597="","",#REF!))</f>
        <v>#REF!</v>
      </c>
      <c r="X597" t="e">
        <f ca="1">IF(A597="","",IF(E597="","",#REF!))</f>
        <v>#REF!</v>
      </c>
      <c r="Y597" s="39" t="e">
        <f ca="1">IF(A597="","",IF(E597="","",#REF!))</f>
        <v>#REF!</v>
      </c>
      <c r="Z597" t="e">
        <f ca="1">IF(A597="","",IF(E597="","",#REF!))</f>
        <v>#REF!</v>
      </c>
      <c r="AA597" t="e">
        <f ca="1">IF(A597="","",IF(E597="","",#REF!))</f>
        <v>#REF!</v>
      </c>
      <c r="AB597" t="e">
        <f ca="1">IF(A597="","",IF(E597="","",#REF!))</f>
        <v>#REF!</v>
      </c>
      <c r="AC597" t="e">
        <f t="shared" ca="1" si="56"/>
        <v>#REF!</v>
      </c>
    </row>
    <row r="598" spans="1:29" x14ac:dyDescent="0.35">
      <c r="A598" t="e" cm="1">
        <f t="array" aca="1" ref="A598" ca="1">IF(A597="","",IF(OR(AND(A597+1&gt;=$AF$1,A597+1&lt;=$AF$2),AND(A597+1&gt;=$AF$6,A597+1&lt;=$AF$7),AND(A597+1&gt;=$AF$3,A597+1&lt;=$AF$4),AND(A597+1&gt;=$AF$8,A597+1&lt;=$AF$9),A597+1=$AF$5),IF(NOT(ISBLANK(INDIRECT("template!"&amp;"P"&amp;A597+1))),A597+1,IF(NOT(ISBLANK(INDIRECT("template!"&amp;"P"&amp;A597+2))),A597+2,A597+3)),IF(A597=$AF$2,$AF$3,IF(A597=$AF$4,$AF$5,IF(A597=$AF$5,$AF$6,IF(A597=$AF$7,$AF$8,""))))))</f>
        <v>#REF!</v>
      </c>
      <c r="B598" t="e">
        <f t="shared" ca="1" si="51"/>
        <v>#REF!</v>
      </c>
      <c r="C598" t="e" cm="1">
        <f t="array" aca="1" ref="C598" ca="1">IF(A598="","",IF(B598="safety","safety costs",INDIRECT("template!"&amp;"B"&amp;A598)))</f>
        <v>#REF!</v>
      </c>
      <c r="D598" t="e" cm="1">
        <f t="array" aca="1" ref="D598" ca="1">IF(OR(A598="",B598="safety"),"",INDIRECT("template!"&amp;"C"&amp;A598))</f>
        <v>#REF!</v>
      </c>
      <c r="E598" t="e" cm="1">
        <f t="array" aca="1" ref="E598" ca="1">IF(A598="","",IF(OR(A598=A597+1,A598=A597+2),E597,INDIRECT("template!"&amp;"D"&amp;A598-2)))</f>
        <v>#REF!</v>
      </c>
      <c r="F598" t="e" cm="1">
        <f t="array" aca="1" ref="F598" ca="1">IF(OR(A598="",B598="safety"),"",IF(ISBLANK(IF(A598=A597+1,F597,INDIRECT("template!"&amp;"D"&amp;A598-1))),"",IF(A598=A597+1,F597,INDIRECT("template!"&amp;"D"&amp;A598-1))))</f>
        <v>#REF!</v>
      </c>
      <c r="G598" t="e" cm="1">
        <f t="array" aca="1" ref="G598" ca="1">IF(OR(A598="",B598="safety"),"",IF(ISBLANK(INDIRECT("template!"&amp;"D"&amp;A598)),"",INDIRECT("template!"&amp;"D"&amp;A598)))</f>
        <v>#REF!</v>
      </c>
      <c r="H598" t="e" cm="1">
        <f t="array" aca="1" ref="H598" ca="1">IF(OR(A598="",B598="safety"),"",IF(ISBLANK(INDIRECT("template!"&amp;"E"&amp;A598)),"",INDIRECT("template!"&amp;"E"&amp;A598)))</f>
        <v>#REF!</v>
      </c>
      <c r="I598" t="e" cm="1">
        <f t="array" aca="1" ref="I598" ca="1">IF(OR(A598="",B598="safety"),"",IF(ISBLANK(INDIRECT("template!"&amp;"F"&amp;A598)),"",INDIRECT("template!"&amp;"F"&amp;A598)))</f>
        <v>#REF!</v>
      </c>
      <c r="J598" t="e" cm="1">
        <f t="array" aca="1" ref="J598" ca="1">IF(OR(A598="",B598="safety"),"",IF(ISBLANK(INDIRECT("template!"&amp;"G"&amp;A598)),"",INDIRECT("template!"&amp;"G"&amp;A598)))</f>
        <v>#REF!</v>
      </c>
      <c r="K598" t="e" cm="1">
        <f t="array" aca="1" ref="K598" ca="1">IF(OR(A598="",B598="safety"),"",IF(ISBLANK(INDIRECT("template!"&amp;"H"&amp;A598)),"",INDIRECT("template!"&amp;"H"&amp;A598)))</f>
        <v>#REF!</v>
      </c>
      <c r="L598" t="e" cm="1">
        <f t="array" aca="1" ref="L598" ca="1">IF(OR(A598="",B598="safety"),"",INDIRECT("template!"&amp;"I"&amp;A598))</f>
        <v>#REF!</v>
      </c>
      <c r="M598" t="e" cm="1">
        <f t="array" aca="1" ref="M598" ca="1">IF(OR(A598="",B598="safety"),"",INDIRECT("template!"&amp;"J"&amp;A598))</f>
        <v>#REF!</v>
      </c>
      <c r="N598" t="e" cm="1">
        <f t="array" aca="1" ref="N598" ca="1">IF(OR(A598="",B598="safety"),"",IF(ISBLANK(INDIRECT("template!"&amp;"K"&amp;A598)),"",INDIRECT("template!"&amp;"K"&amp;A598)))</f>
        <v>#REF!</v>
      </c>
      <c r="O598" t="e" cm="1">
        <f t="array" aca="1" ref="O598" ca="1">IF(OR(A598="",B598="safety"),"",INDIRECT("template!"&amp;"L"&amp;A598))</f>
        <v>#REF!</v>
      </c>
      <c r="P598" t="e" cm="1">
        <f t="array" aca="1" ref="P598" ca="1">IF(OR(A598="",B598="safety"),"",INDIRECT("template!"&amp;"M"&amp;A598))</f>
        <v>#REF!</v>
      </c>
      <c r="Q598" t="e">
        <f t="shared" ca="1" si="52"/>
        <v>#REF!</v>
      </c>
      <c r="R598" t="e">
        <f t="shared" ca="1" si="53"/>
        <v>#REF!</v>
      </c>
      <c r="S598" t="e">
        <f t="shared" ca="1" si="54"/>
        <v>#REF!</v>
      </c>
      <c r="T598" t="e">
        <f t="shared" ca="1" si="55"/>
        <v>#REF!</v>
      </c>
      <c r="U598" t="e" cm="1">
        <f t="array" aca="1" ref="U598" ca="1">IF(A598="","",IF(E598="","",IF(B598="safety",INDIRECT("template!"&amp;"P"&amp;A598),Q598+R598)))</f>
        <v>#REF!</v>
      </c>
      <c r="V598" t="e" cm="1">
        <f t="array" aca="1" ref="V598" ca="1">IF(A598="","",IF(E598="","",IF(B598="safety",INDIRECT("template!"&amp;"P"&amp;A598),S598+T598)))</f>
        <v>#REF!</v>
      </c>
      <c r="W598" t="e">
        <f ca="1">IF(A598="","",IF(E598="","",#REF!))</f>
        <v>#REF!</v>
      </c>
      <c r="X598" t="e">
        <f ca="1">IF(A598="","",IF(E598="","",#REF!))</f>
        <v>#REF!</v>
      </c>
      <c r="Y598" s="39" t="e">
        <f ca="1">IF(A598="","",IF(E598="","",#REF!))</f>
        <v>#REF!</v>
      </c>
      <c r="Z598" t="e">
        <f ca="1">IF(A598="","",IF(E598="","",#REF!))</f>
        <v>#REF!</v>
      </c>
      <c r="AA598" t="e">
        <f ca="1">IF(A598="","",IF(E598="","",#REF!))</f>
        <v>#REF!</v>
      </c>
      <c r="AB598" t="e">
        <f ca="1">IF(A598="","",IF(E598="","",#REF!))</f>
        <v>#REF!</v>
      </c>
      <c r="AC598" t="e">
        <f t="shared" ca="1" si="56"/>
        <v>#REF!</v>
      </c>
    </row>
    <row r="599" spans="1:29" x14ac:dyDescent="0.35">
      <c r="A599" t="e" cm="1">
        <f t="array" aca="1" ref="A599" ca="1">IF(A598="","",IF(OR(AND(A598+1&gt;=$AF$1,A598+1&lt;=$AF$2),AND(A598+1&gt;=$AF$6,A598+1&lt;=$AF$7),AND(A598+1&gt;=$AF$3,A598+1&lt;=$AF$4),AND(A598+1&gt;=$AF$8,A598+1&lt;=$AF$9),A598+1=$AF$5),IF(NOT(ISBLANK(INDIRECT("template!"&amp;"P"&amp;A598+1))),A598+1,IF(NOT(ISBLANK(INDIRECT("template!"&amp;"P"&amp;A598+2))),A598+2,A598+3)),IF(A598=$AF$2,$AF$3,IF(A598=$AF$4,$AF$5,IF(A598=$AF$5,$AF$6,IF(A598=$AF$7,$AF$8,""))))))</f>
        <v>#REF!</v>
      </c>
      <c r="B599" t="e">
        <f t="shared" ca="1" si="51"/>
        <v>#REF!</v>
      </c>
      <c r="C599" t="e" cm="1">
        <f t="array" aca="1" ref="C599" ca="1">IF(A599="","",IF(B599="safety","safety costs",INDIRECT("template!"&amp;"B"&amp;A599)))</f>
        <v>#REF!</v>
      </c>
      <c r="D599" t="e" cm="1">
        <f t="array" aca="1" ref="D599" ca="1">IF(OR(A599="",B599="safety"),"",INDIRECT("template!"&amp;"C"&amp;A599))</f>
        <v>#REF!</v>
      </c>
      <c r="E599" t="e" cm="1">
        <f t="array" aca="1" ref="E599" ca="1">IF(A599="","",IF(OR(A599=A598+1,A599=A598+2),E598,INDIRECT("template!"&amp;"D"&amp;A599-2)))</f>
        <v>#REF!</v>
      </c>
      <c r="F599" t="e" cm="1">
        <f t="array" aca="1" ref="F599" ca="1">IF(OR(A599="",B599="safety"),"",IF(ISBLANK(IF(A599=A598+1,F598,INDIRECT("template!"&amp;"D"&amp;A599-1))),"",IF(A599=A598+1,F598,INDIRECT("template!"&amp;"D"&amp;A599-1))))</f>
        <v>#REF!</v>
      </c>
      <c r="G599" t="e" cm="1">
        <f t="array" aca="1" ref="G599" ca="1">IF(OR(A599="",B599="safety"),"",IF(ISBLANK(INDIRECT("template!"&amp;"D"&amp;A599)),"",INDIRECT("template!"&amp;"D"&amp;A599)))</f>
        <v>#REF!</v>
      </c>
      <c r="H599" t="e" cm="1">
        <f t="array" aca="1" ref="H599" ca="1">IF(OR(A599="",B599="safety"),"",IF(ISBLANK(INDIRECT("template!"&amp;"E"&amp;A599)),"",INDIRECT("template!"&amp;"E"&amp;A599)))</f>
        <v>#REF!</v>
      </c>
      <c r="I599" t="e" cm="1">
        <f t="array" aca="1" ref="I599" ca="1">IF(OR(A599="",B599="safety"),"",IF(ISBLANK(INDIRECT("template!"&amp;"F"&amp;A599)),"",INDIRECT("template!"&amp;"F"&amp;A599)))</f>
        <v>#REF!</v>
      </c>
      <c r="J599" t="e" cm="1">
        <f t="array" aca="1" ref="J599" ca="1">IF(OR(A599="",B599="safety"),"",IF(ISBLANK(INDIRECT("template!"&amp;"G"&amp;A599)),"",INDIRECT("template!"&amp;"G"&amp;A599)))</f>
        <v>#REF!</v>
      </c>
      <c r="K599" t="e" cm="1">
        <f t="array" aca="1" ref="K599" ca="1">IF(OR(A599="",B599="safety"),"",IF(ISBLANK(INDIRECT("template!"&amp;"H"&amp;A599)),"",INDIRECT("template!"&amp;"H"&amp;A599)))</f>
        <v>#REF!</v>
      </c>
      <c r="L599" t="e" cm="1">
        <f t="array" aca="1" ref="L599" ca="1">IF(OR(A599="",B599="safety"),"",INDIRECT("template!"&amp;"I"&amp;A599))</f>
        <v>#REF!</v>
      </c>
      <c r="M599" t="e" cm="1">
        <f t="array" aca="1" ref="M599" ca="1">IF(OR(A599="",B599="safety"),"",INDIRECT("template!"&amp;"J"&amp;A599))</f>
        <v>#REF!</v>
      </c>
      <c r="N599" t="e" cm="1">
        <f t="array" aca="1" ref="N599" ca="1">IF(OR(A599="",B599="safety"),"",IF(ISBLANK(INDIRECT("template!"&amp;"K"&amp;A599)),"",INDIRECT("template!"&amp;"K"&amp;A599)))</f>
        <v>#REF!</v>
      </c>
      <c r="O599" t="e" cm="1">
        <f t="array" aca="1" ref="O599" ca="1">IF(OR(A599="",B599="safety"),"",INDIRECT("template!"&amp;"L"&amp;A599))</f>
        <v>#REF!</v>
      </c>
      <c r="P599" t="e" cm="1">
        <f t="array" aca="1" ref="P599" ca="1">IF(OR(A599="",B599="safety"),"",INDIRECT("template!"&amp;"M"&amp;A599))</f>
        <v>#REF!</v>
      </c>
      <c r="Q599" t="e">
        <f t="shared" ca="1" si="52"/>
        <v>#REF!</v>
      </c>
      <c r="R599" t="e">
        <f t="shared" ca="1" si="53"/>
        <v>#REF!</v>
      </c>
      <c r="S599" t="e">
        <f t="shared" ca="1" si="54"/>
        <v>#REF!</v>
      </c>
      <c r="T599" t="e">
        <f t="shared" ca="1" si="55"/>
        <v>#REF!</v>
      </c>
      <c r="U599" t="e" cm="1">
        <f t="array" aca="1" ref="U599" ca="1">IF(A599="","",IF(E599="","",IF(B599="safety",INDIRECT("template!"&amp;"P"&amp;A599),Q599+R599)))</f>
        <v>#REF!</v>
      </c>
      <c r="V599" t="e" cm="1">
        <f t="array" aca="1" ref="V599" ca="1">IF(A599="","",IF(E599="","",IF(B599="safety",INDIRECT("template!"&amp;"P"&amp;A599),S599+T599)))</f>
        <v>#REF!</v>
      </c>
      <c r="W599" t="e">
        <f ca="1">IF(A599="","",IF(E599="","",#REF!))</f>
        <v>#REF!</v>
      </c>
      <c r="X599" t="e">
        <f ca="1">IF(A599="","",IF(E599="","",#REF!))</f>
        <v>#REF!</v>
      </c>
      <c r="Y599" s="39" t="e">
        <f ca="1">IF(A599="","",IF(E599="","",#REF!))</f>
        <v>#REF!</v>
      </c>
      <c r="Z599" t="e">
        <f ca="1">IF(A599="","",IF(E599="","",#REF!))</f>
        <v>#REF!</v>
      </c>
      <c r="AA599" t="e">
        <f ca="1">IF(A599="","",IF(E599="","",#REF!))</f>
        <v>#REF!</v>
      </c>
      <c r="AB599" t="e">
        <f ca="1">IF(A599="","",IF(E599="","",#REF!))</f>
        <v>#REF!</v>
      </c>
      <c r="AC599" t="e">
        <f t="shared" ca="1" si="56"/>
        <v>#REF!</v>
      </c>
    </row>
    <row r="600" spans="1:29" x14ac:dyDescent="0.35">
      <c r="A600" t="e" cm="1">
        <f t="array" aca="1" ref="A600" ca="1">IF(A599="","",IF(OR(AND(A599+1&gt;=$AF$1,A599+1&lt;=$AF$2),AND(A599+1&gt;=$AF$6,A599+1&lt;=$AF$7),AND(A599+1&gt;=$AF$3,A599+1&lt;=$AF$4),AND(A599+1&gt;=$AF$8,A599+1&lt;=$AF$9),A599+1=$AF$5),IF(NOT(ISBLANK(INDIRECT("template!"&amp;"P"&amp;A599+1))),A599+1,IF(NOT(ISBLANK(INDIRECT("template!"&amp;"P"&amp;A599+2))),A599+2,A599+3)),IF(A599=$AF$2,$AF$3,IF(A599=$AF$4,$AF$5,IF(A599=$AF$5,$AF$6,IF(A599=$AF$7,$AF$8,""))))))</f>
        <v>#REF!</v>
      </c>
      <c r="B600" t="e">
        <f t="shared" ca="1" si="51"/>
        <v>#REF!</v>
      </c>
      <c r="C600" t="e" cm="1">
        <f t="array" aca="1" ref="C600" ca="1">IF(A600="","",IF(B600="safety","safety costs",INDIRECT("template!"&amp;"B"&amp;A600)))</f>
        <v>#REF!</v>
      </c>
      <c r="D600" t="e" cm="1">
        <f t="array" aca="1" ref="D600" ca="1">IF(OR(A600="",B600="safety"),"",INDIRECT("template!"&amp;"C"&amp;A600))</f>
        <v>#REF!</v>
      </c>
      <c r="E600" t="e" cm="1">
        <f t="array" aca="1" ref="E600" ca="1">IF(A600="","",IF(OR(A600=A599+1,A600=A599+2),E599,INDIRECT("template!"&amp;"D"&amp;A600-2)))</f>
        <v>#REF!</v>
      </c>
      <c r="F600" t="e" cm="1">
        <f t="array" aca="1" ref="F600" ca="1">IF(OR(A600="",B600="safety"),"",IF(ISBLANK(IF(A600=A599+1,F599,INDIRECT("template!"&amp;"D"&amp;A600-1))),"",IF(A600=A599+1,F599,INDIRECT("template!"&amp;"D"&amp;A600-1))))</f>
        <v>#REF!</v>
      </c>
      <c r="G600" t="e" cm="1">
        <f t="array" aca="1" ref="G600" ca="1">IF(OR(A600="",B600="safety"),"",IF(ISBLANK(INDIRECT("template!"&amp;"D"&amp;A600)),"",INDIRECT("template!"&amp;"D"&amp;A600)))</f>
        <v>#REF!</v>
      </c>
      <c r="H600" t="e" cm="1">
        <f t="array" aca="1" ref="H600" ca="1">IF(OR(A600="",B600="safety"),"",IF(ISBLANK(INDIRECT("template!"&amp;"E"&amp;A600)),"",INDIRECT("template!"&amp;"E"&amp;A600)))</f>
        <v>#REF!</v>
      </c>
      <c r="I600" t="e" cm="1">
        <f t="array" aca="1" ref="I600" ca="1">IF(OR(A600="",B600="safety"),"",IF(ISBLANK(INDIRECT("template!"&amp;"F"&amp;A600)),"",INDIRECT("template!"&amp;"F"&amp;A600)))</f>
        <v>#REF!</v>
      </c>
      <c r="J600" t="e" cm="1">
        <f t="array" aca="1" ref="J600" ca="1">IF(OR(A600="",B600="safety"),"",IF(ISBLANK(INDIRECT("template!"&amp;"G"&amp;A600)),"",INDIRECT("template!"&amp;"G"&amp;A600)))</f>
        <v>#REF!</v>
      </c>
      <c r="K600" t="e" cm="1">
        <f t="array" aca="1" ref="K600" ca="1">IF(OR(A600="",B600="safety"),"",IF(ISBLANK(INDIRECT("template!"&amp;"H"&amp;A600)),"",INDIRECT("template!"&amp;"H"&amp;A600)))</f>
        <v>#REF!</v>
      </c>
      <c r="L600" t="e" cm="1">
        <f t="array" aca="1" ref="L600" ca="1">IF(OR(A600="",B600="safety"),"",INDIRECT("template!"&amp;"I"&amp;A600))</f>
        <v>#REF!</v>
      </c>
      <c r="M600" t="e" cm="1">
        <f t="array" aca="1" ref="M600" ca="1">IF(OR(A600="",B600="safety"),"",INDIRECT("template!"&amp;"J"&amp;A600))</f>
        <v>#REF!</v>
      </c>
      <c r="N600" t="e" cm="1">
        <f t="array" aca="1" ref="N600" ca="1">IF(OR(A600="",B600="safety"),"",IF(ISBLANK(INDIRECT("template!"&amp;"K"&amp;A600)),"",INDIRECT("template!"&amp;"K"&amp;A600)))</f>
        <v>#REF!</v>
      </c>
      <c r="O600" t="e" cm="1">
        <f t="array" aca="1" ref="O600" ca="1">IF(OR(A600="",B600="safety"),"",INDIRECT("template!"&amp;"L"&amp;A600))</f>
        <v>#REF!</v>
      </c>
      <c r="P600" t="e" cm="1">
        <f t="array" aca="1" ref="P600" ca="1">IF(OR(A600="",B600="safety"),"",INDIRECT("template!"&amp;"M"&amp;A600))</f>
        <v>#REF!</v>
      </c>
      <c r="Q600" t="e">
        <f t="shared" ca="1" si="52"/>
        <v>#REF!</v>
      </c>
      <c r="R600" t="e">
        <f t="shared" ca="1" si="53"/>
        <v>#REF!</v>
      </c>
      <c r="S600" t="e">
        <f t="shared" ca="1" si="54"/>
        <v>#REF!</v>
      </c>
      <c r="T600" t="e">
        <f t="shared" ca="1" si="55"/>
        <v>#REF!</v>
      </c>
      <c r="U600" t="e" cm="1">
        <f t="array" aca="1" ref="U600" ca="1">IF(A600="","",IF(E600="","",IF(B600="safety",INDIRECT("template!"&amp;"P"&amp;A600),Q600+R600)))</f>
        <v>#REF!</v>
      </c>
      <c r="V600" t="e" cm="1">
        <f t="array" aca="1" ref="V600" ca="1">IF(A600="","",IF(E600="","",IF(B600="safety",INDIRECT("template!"&amp;"P"&amp;A600),S600+T600)))</f>
        <v>#REF!</v>
      </c>
      <c r="W600" t="e">
        <f ca="1">IF(A600="","",IF(E600="","",#REF!))</f>
        <v>#REF!</v>
      </c>
      <c r="X600" t="e">
        <f ca="1">IF(A600="","",IF(E600="","",#REF!))</f>
        <v>#REF!</v>
      </c>
      <c r="Y600" s="39" t="e">
        <f ca="1">IF(A600="","",IF(E600="","",#REF!))</f>
        <v>#REF!</v>
      </c>
      <c r="Z600" t="e">
        <f ca="1">IF(A600="","",IF(E600="","",#REF!))</f>
        <v>#REF!</v>
      </c>
      <c r="AA600" t="e">
        <f ca="1">IF(A600="","",IF(E600="","",#REF!))</f>
        <v>#REF!</v>
      </c>
      <c r="AB600" t="e">
        <f ca="1">IF(A600="","",IF(E600="","",#REF!))</f>
        <v>#REF!</v>
      </c>
      <c r="AC600" t="e">
        <f t="shared" ca="1" si="56"/>
        <v>#REF!</v>
      </c>
    </row>
    <row r="601" spans="1:29" x14ac:dyDescent="0.35">
      <c r="A601" t="e" cm="1">
        <f t="array" aca="1" ref="A601" ca="1">IF(A600="","",IF(OR(AND(A600+1&gt;=$AF$1,A600+1&lt;=$AF$2),AND(A600+1&gt;=$AF$6,A600+1&lt;=$AF$7),AND(A600+1&gt;=$AF$3,A600+1&lt;=$AF$4),AND(A600+1&gt;=$AF$8,A600+1&lt;=$AF$9),A600+1=$AF$5),IF(NOT(ISBLANK(INDIRECT("template!"&amp;"P"&amp;A600+1))),A600+1,IF(NOT(ISBLANK(INDIRECT("template!"&amp;"P"&amp;A600+2))),A600+2,A600+3)),IF(A600=$AF$2,$AF$3,IF(A600=$AF$4,$AF$5,IF(A600=$AF$5,$AF$6,IF(A600=$AF$7,$AF$8,""))))))</f>
        <v>#REF!</v>
      </c>
      <c r="B601" t="e">
        <f t="shared" ca="1" si="51"/>
        <v>#REF!</v>
      </c>
      <c r="C601" t="e" cm="1">
        <f t="array" aca="1" ref="C601" ca="1">IF(A601="","",IF(B601="safety","safety costs",INDIRECT("template!"&amp;"B"&amp;A601)))</f>
        <v>#REF!</v>
      </c>
      <c r="D601" t="e" cm="1">
        <f t="array" aca="1" ref="D601" ca="1">IF(OR(A601="",B601="safety"),"",INDIRECT("template!"&amp;"C"&amp;A601))</f>
        <v>#REF!</v>
      </c>
      <c r="E601" t="e" cm="1">
        <f t="array" aca="1" ref="E601" ca="1">IF(A601="","",IF(OR(A601=A600+1,A601=A600+2),E600,INDIRECT("template!"&amp;"D"&amp;A601-2)))</f>
        <v>#REF!</v>
      </c>
      <c r="F601" t="e" cm="1">
        <f t="array" aca="1" ref="F601" ca="1">IF(OR(A601="",B601="safety"),"",IF(ISBLANK(IF(A601=A600+1,F600,INDIRECT("template!"&amp;"D"&amp;A601-1))),"",IF(A601=A600+1,F600,INDIRECT("template!"&amp;"D"&amp;A601-1))))</f>
        <v>#REF!</v>
      </c>
      <c r="G601" t="e" cm="1">
        <f t="array" aca="1" ref="G601" ca="1">IF(OR(A601="",B601="safety"),"",IF(ISBLANK(INDIRECT("template!"&amp;"D"&amp;A601)),"",INDIRECT("template!"&amp;"D"&amp;A601)))</f>
        <v>#REF!</v>
      </c>
      <c r="H601" t="e" cm="1">
        <f t="array" aca="1" ref="H601" ca="1">IF(OR(A601="",B601="safety"),"",IF(ISBLANK(INDIRECT("template!"&amp;"E"&amp;A601)),"",INDIRECT("template!"&amp;"E"&amp;A601)))</f>
        <v>#REF!</v>
      </c>
      <c r="I601" t="e" cm="1">
        <f t="array" aca="1" ref="I601" ca="1">IF(OR(A601="",B601="safety"),"",IF(ISBLANK(INDIRECT("template!"&amp;"F"&amp;A601)),"",INDIRECT("template!"&amp;"F"&amp;A601)))</f>
        <v>#REF!</v>
      </c>
      <c r="J601" t="e" cm="1">
        <f t="array" aca="1" ref="J601" ca="1">IF(OR(A601="",B601="safety"),"",IF(ISBLANK(INDIRECT("template!"&amp;"G"&amp;A601)),"",INDIRECT("template!"&amp;"G"&amp;A601)))</f>
        <v>#REF!</v>
      </c>
      <c r="K601" t="e" cm="1">
        <f t="array" aca="1" ref="K601" ca="1">IF(OR(A601="",B601="safety"),"",IF(ISBLANK(INDIRECT("template!"&amp;"H"&amp;A601)),"",INDIRECT("template!"&amp;"H"&amp;A601)))</f>
        <v>#REF!</v>
      </c>
      <c r="L601" t="e" cm="1">
        <f t="array" aca="1" ref="L601" ca="1">IF(OR(A601="",B601="safety"),"",INDIRECT("template!"&amp;"I"&amp;A601))</f>
        <v>#REF!</v>
      </c>
      <c r="M601" t="e" cm="1">
        <f t="array" aca="1" ref="M601" ca="1">IF(OR(A601="",B601="safety"),"",INDIRECT("template!"&amp;"J"&amp;A601))</f>
        <v>#REF!</v>
      </c>
      <c r="N601" t="e" cm="1">
        <f t="array" aca="1" ref="N601" ca="1">IF(OR(A601="",B601="safety"),"",IF(ISBLANK(INDIRECT("template!"&amp;"K"&amp;A601)),"",INDIRECT("template!"&amp;"K"&amp;A601)))</f>
        <v>#REF!</v>
      </c>
      <c r="O601" t="e" cm="1">
        <f t="array" aca="1" ref="O601" ca="1">IF(OR(A601="",B601="safety"),"",INDIRECT("template!"&amp;"L"&amp;A601))</f>
        <v>#REF!</v>
      </c>
      <c r="P601" t="e" cm="1">
        <f t="array" aca="1" ref="P601" ca="1">IF(OR(A601="",B601="safety"),"",INDIRECT("template!"&amp;"M"&amp;A601))</f>
        <v>#REF!</v>
      </c>
      <c r="Q601" t="e">
        <f t="shared" ca="1" si="52"/>
        <v>#REF!</v>
      </c>
      <c r="R601" t="e">
        <f t="shared" ca="1" si="53"/>
        <v>#REF!</v>
      </c>
      <c r="S601" t="e">
        <f t="shared" ca="1" si="54"/>
        <v>#REF!</v>
      </c>
      <c r="T601" t="e">
        <f t="shared" ca="1" si="55"/>
        <v>#REF!</v>
      </c>
      <c r="U601" t="e" cm="1">
        <f t="array" aca="1" ref="U601" ca="1">IF(A601="","",IF(E601="","",IF(B601="safety",INDIRECT("template!"&amp;"P"&amp;A601),Q601+R601)))</f>
        <v>#REF!</v>
      </c>
      <c r="V601" t="e" cm="1">
        <f t="array" aca="1" ref="V601" ca="1">IF(A601="","",IF(E601="","",IF(B601="safety",INDIRECT("template!"&amp;"P"&amp;A601),S601+T601)))</f>
        <v>#REF!</v>
      </c>
      <c r="W601" t="e">
        <f ca="1">IF(A601="","",IF(E601="","",#REF!))</f>
        <v>#REF!</v>
      </c>
      <c r="X601" t="e">
        <f ca="1">IF(A601="","",IF(E601="","",#REF!))</f>
        <v>#REF!</v>
      </c>
      <c r="Y601" s="39" t="e">
        <f ca="1">IF(A601="","",IF(E601="","",#REF!))</f>
        <v>#REF!</v>
      </c>
      <c r="Z601" t="e">
        <f ca="1">IF(A601="","",IF(E601="","",#REF!))</f>
        <v>#REF!</v>
      </c>
      <c r="AA601" t="e">
        <f ca="1">IF(A601="","",IF(E601="","",#REF!))</f>
        <v>#REF!</v>
      </c>
      <c r="AB601" t="e">
        <f ca="1">IF(A601="","",IF(E601="","",#REF!))</f>
        <v>#REF!</v>
      </c>
      <c r="AC601" t="e">
        <f t="shared" ca="1" si="56"/>
        <v>#REF!</v>
      </c>
    </row>
    <row r="602" spans="1:29" x14ac:dyDescent="0.35">
      <c r="A602" t="e" cm="1">
        <f t="array" aca="1" ref="A602" ca="1">IF(A601="","",IF(OR(AND(A601+1&gt;=$AF$1,A601+1&lt;=$AF$2),AND(A601+1&gt;=$AF$6,A601+1&lt;=$AF$7),AND(A601+1&gt;=$AF$3,A601+1&lt;=$AF$4),AND(A601+1&gt;=$AF$8,A601+1&lt;=$AF$9),A601+1=$AF$5),IF(NOT(ISBLANK(INDIRECT("template!"&amp;"P"&amp;A601+1))),A601+1,IF(NOT(ISBLANK(INDIRECT("template!"&amp;"P"&amp;A601+2))),A601+2,A601+3)),IF(A601=$AF$2,$AF$3,IF(A601=$AF$4,$AF$5,IF(A601=$AF$5,$AF$6,IF(A601=$AF$7,$AF$8,""))))))</f>
        <v>#REF!</v>
      </c>
      <c r="B602" t="e">
        <f t="shared" ca="1" si="51"/>
        <v>#REF!</v>
      </c>
      <c r="C602" t="e" cm="1">
        <f t="array" aca="1" ref="C602" ca="1">IF(A602="","",IF(B602="safety","safety costs",INDIRECT("template!"&amp;"B"&amp;A602)))</f>
        <v>#REF!</v>
      </c>
      <c r="D602" t="e" cm="1">
        <f t="array" aca="1" ref="D602" ca="1">IF(OR(A602="",B602="safety"),"",INDIRECT("template!"&amp;"C"&amp;A602))</f>
        <v>#REF!</v>
      </c>
      <c r="E602" t="e" cm="1">
        <f t="array" aca="1" ref="E602" ca="1">IF(A602="","",IF(OR(A602=A601+1,A602=A601+2),E601,INDIRECT("template!"&amp;"D"&amp;A602-2)))</f>
        <v>#REF!</v>
      </c>
      <c r="F602" t="e" cm="1">
        <f t="array" aca="1" ref="F602" ca="1">IF(OR(A602="",B602="safety"),"",IF(ISBLANK(IF(A602=A601+1,F601,INDIRECT("template!"&amp;"D"&amp;A602-1))),"",IF(A602=A601+1,F601,INDIRECT("template!"&amp;"D"&amp;A602-1))))</f>
        <v>#REF!</v>
      </c>
      <c r="G602" t="e" cm="1">
        <f t="array" aca="1" ref="G602" ca="1">IF(OR(A602="",B602="safety"),"",IF(ISBLANK(INDIRECT("template!"&amp;"D"&amp;A602)),"",INDIRECT("template!"&amp;"D"&amp;A602)))</f>
        <v>#REF!</v>
      </c>
      <c r="H602" t="e" cm="1">
        <f t="array" aca="1" ref="H602" ca="1">IF(OR(A602="",B602="safety"),"",IF(ISBLANK(INDIRECT("template!"&amp;"E"&amp;A602)),"",INDIRECT("template!"&amp;"E"&amp;A602)))</f>
        <v>#REF!</v>
      </c>
      <c r="I602" t="e" cm="1">
        <f t="array" aca="1" ref="I602" ca="1">IF(OR(A602="",B602="safety"),"",IF(ISBLANK(INDIRECT("template!"&amp;"F"&amp;A602)),"",INDIRECT("template!"&amp;"F"&amp;A602)))</f>
        <v>#REF!</v>
      </c>
      <c r="J602" t="e" cm="1">
        <f t="array" aca="1" ref="J602" ca="1">IF(OR(A602="",B602="safety"),"",IF(ISBLANK(INDIRECT("template!"&amp;"G"&amp;A602)),"",INDIRECT("template!"&amp;"G"&amp;A602)))</f>
        <v>#REF!</v>
      </c>
      <c r="K602" t="e" cm="1">
        <f t="array" aca="1" ref="K602" ca="1">IF(OR(A602="",B602="safety"),"",IF(ISBLANK(INDIRECT("template!"&amp;"H"&amp;A602)),"",INDIRECT("template!"&amp;"H"&amp;A602)))</f>
        <v>#REF!</v>
      </c>
      <c r="L602" t="e" cm="1">
        <f t="array" aca="1" ref="L602" ca="1">IF(OR(A602="",B602="safety"),"",INDIRECT("template!"&amp;"I"&amp;A602))</f>
        <v>#REF!</v>
      </c>
      <c r="M602" t="e" cm="1">
        <f t="array" aca="1" ref="M602" ca="1">IF(OR(A602="",B602="safety"),"",INDIRECT("template!"&amp;"J"&amp;A602))</f>
        <v>#REF!</v>
      </c>
      <c r="N602" t="e" cm="1">
        <f t="array" aca="1" ref="N602" ca="1">IF(OR(A602="",B602="safety"),"",IF(ISBLANK(INDIRECT("template!"&amp;"K"&amp;A602)),"",INDIRECT("template!"&amp;"K"&amp;A602)))</f>
        <v>#REF!</v>
      </c>
      <c r="O602" t="e" cm="1">
        <f t="array" aca="1" ref="O602" ca="1">IF(OR(A602="",B602="safety"),"",INDIRECT("template!"&amp;"L"&amp;A602))</f>
        <v>#REF!</v>
      </c>
      <c r="P602" t="e" cm="1">
        <f t="array" aca="1" ref="P602" ca="1">IF(OR(A602="",B602="safety"),"",INDIRECT("template!"&amp;"M"&amp;A602))</f>
        <v>#REF!</v>
      </c>
      <c r="Q602" t="e">
        <f t="shared" ca="1" si="52"/>
        <v>#REF!</v>
      </c>
      <c r="R602" t="e">
        <f t="shared" ca="1" si="53"/>
        <v>#REF!</v>
      </c>
      <c r="S602" t="e">
        <f t="shared" ca="1" si="54"/>
        <v>#REF!</v>
      </c>
      <c r="T602" t="e">
        <f t="shared" ca="1" si="55"/>
        <v>#REF!</v>
      </c>
      <c r="U602" t="e" cm="1">
        <f t="array" aca="1" ref="U602" ca="1">IF(A602="","",IF(E602="","",IF(B602="safety",INDIRECT("template!"&amp;"P"&amp;A602),Q602+R602)))</f>
        <v>#REF!</v>
      </c>
      <c r="V602" t="e" cm="1">
        <f t="array" aca="1" ref="V602" ca="1">IF(A602="","",IF(E602="","",IF(B602="safety",INDIRECT("template!"&amp;"P"&amp;A602),S602+T602)))</f>
        <v>#REF!</v>
      </c>
      <c r="W602" t="e">
        <f ca="1">IF(A602="","",IF(E602="","",#REF!))</f>
        <v>#REF!</v>
      </c>
      <c r="X602" t="e">
        <f ca="1">IF(A602="","",IF(E602="","",#REF!))</f>
        <v>#REF!</v>
      </c>
      <c r="Y602" s="39" t="e">
        <f ca="1">IF(A602="","",IF(E602="","",#REF!))</f>
        <v>#REF!</v>
      </c>
      <c r="Z602" t="e">
        <f ca="1">IF(A602="","",IF(E602="","",#REF!))</f>
        <v>#REF!</v>
      </c>
      <c r="AA602" t="e">
        <f ca="1">IF(A602="","",IF(E602="","",#REF!))</f>
        <v>#REF!</v>
      </c>
      <c r="AB602" t="e">
        <f ca="1">IF(A602="","",IF(E602="","",#REF!))</f>
        <v>#REF!</v>
      </c>
      <c r="AC602" t="e">
        <f t="shared" ca="1" si="56"/>
        <v>#REF!</v>
      </c>
    </row>
    <row r="603" spans="1:29" x14ac:dyDescent="0.35">
      <c r="A603" t="e" cm="1">
        <f t="array" aca="1" ref="A603" ca="1">IF(A602="","",IF(OR(AND(A602+1&gt;=$AF$1,A602+1&lt;=$AF$2),AND(A602+1&gt;=$AF$6,A602+1&lt;=$AF$7),AND(A602+1&gt;=$AF$3,A602+1&lt;=$AF$4),AND(A602+1&gt;=$AF$8,A602+1&lt;=$AF$9),A602+1=$AF$5),IF(NOT(ISBLANK(INDIRECT("template!"&amp;"P"&amp;A602+1))),A602+1,IF(NOT(ISBLANK(INDIRECT("template!"&amp;"P"&amp;A602+2))),A602+2,A602+3)),IF(A602=$AF$2,$AF$3,IF(A602=$AF$4,$AF$5,IF(A602=$AF$5,$AF$6,IF(A602=$AF$7,$AF$8,""))))))</f>
        <v>#REF!</v>
      </c>
      <c r="B603" t="e">
        <f t="shared" ca="1" si="51"/>
        <v>#REF!</v>
      </c>
      <c r="C603" t="e" cm="1">
        <f t="array" aca="1" ref="C603" ca="1">IF(A603="","",IF(B603="safety","safety costs",INDIRECT("template!"&amp;"B"&amp;A603)))</f>
        <v>#REF!</v>
      </c>
      <c r="D603" t="e" cm="1">
        <f t="array" aca="1" ref="D603" ca="1">IF(OR(A603="",B603="safety"),"",INDIRECT("template!"&amp;"C"&amp;A603))</f>
        <v>#REF!</v>
      </c>
      <c r="E603" t="e" cm="1">
        <f t="array" aca="1" ref="E603" ca="1">IF(A603="","",IF(OR(A603=A602+1,A603=A602+2),E602,INDIRECT("template!"&amp;"D"&amp;A603-2)))</f>
        <v>#REF!</v>
      </c>
      <c r="F603" t="e" cm="1">
        <f t="array" aca="1" ref="F603" ca="1">IF(OR(A603="",B603="safety"),"",IF(ISBLANK(IF(A603=A602+1,F602,INDIRECT("template!"&amp;"D"&amp;A603-1))),"",IF(A603=A602+1,F602,INDIRECT("template!"&amp;"D"&amp;A603-1))))</f>
        <v>#REF!</v>
      </c>
      <c r="G603" t="e" cm="1">
        <f t="array" aca="1" ref="G603" ca="1">IF(OR(A603="",B603="safety"),"",IF(ISBLANK(INDIRECT("template!"&amp;"D"&amp;A603)),"",INDIRECT("template!"&amp;"D"&amp;A603)))</f>
        <v>#REF!</v>
      </c>
      <c r="H603" t="e" cm="1">
        <f t="array" aca="1" ref="H603" ca="1">IF(OR(A603="",B603="safety"),"",IF(ISBLANK(INDIRECT("template!"&amp;"E"&amp;A603)),"",INDIRECT("template!"&amp;"E"&amp;A603)))</f>
        <v>#REF!</v>
      </c>
      <c r="I603" t="e" cm="1">
        <f t="array" aca="1" ref="I603" ca="1">IF(OR(A603="",B603="safety"),"",IF(ISBLANK(INDIRECT("template!"&amp;"F"&amp;A603)),"",INDIRECT("template!"&amp;"F"&amp;A603)))</f>
        <v>#REF!</v>
      </c>
      <c r="J603" t="e" cm="1">
        <f t="array" aca="1" ref="J603" ca="1">IF(OR(A603="",B603="safety"),"",IF(ISBLANK(INDIRECT("template!"&amp;"G"&amp;A603)),"",INDIRECT("template!"&amp;"G"&amp;A603)))</f>
        <v>#REF!</v>
      </c>
      <c r="K603" t="e" cm="1">
        <f t="array" aca="1" ref="K603" ca="1">IF(OR(A603="",B603="safety"),"",IF(ISBLANK(INDIRECT("template!"&amp;"H"&amp;A603)),"",INDIRECT("template!"&amp;"H"&amp;A603)))</f>
        <v>#REF!</v>
      </c>
      <c r="L603" t="e" cm="1">
        <f t="array" aca="1" ref="L603" ca="1">IF(OR(A603="",B603="safety"),"",INDIRECT("template!"&amp;"I"&amp;A603))</f>
        <v>#REF!</v>
      </c>
      <c r="M603" t="e" cm="1">
        <f t="array" aca="1" ref="M603" ca="1">IF(OR(A603="",B603="safety"),"",INDIRECT("template!"&amp;"J"&amp;A603))</f>
        <v>#REF!</v>
      </c>
      <c r="N603" t="e" cm="1">
        <f t="array" aca="1" ref="N603" ca="1">IF(OR(A603="",B603="safety"),"",IF(ISBLANK(INDIRECT("template!"&amp;"K"&amp;A603)),"",INDIRECT("template!"&amp;"K"&amp;A603)))</f>
        <v>#REF!</v>
      </c>
      <c r="O603" t="e" cm="1">
        <f t="array" aca="1" ref="O603" ca="1">IF(OR(A603="",B603="safety"),"",INDIRECT("template!"&amp;"L"&amp;A603))</f>
        <v>#REF!</v>
      </c>
      <c r="P603" t="e" cm="1">
        <f t="array" aca="1" ref="P603" ca="1">IF(OR(A603="",B603="safety"),"",INDIRECT("template!"&amp;"M"&amp;A603))</f>
        <v>#REF!</v>
      </c>
      <c r="Q603" t="e">
        <f t="shared" ca="1" si="52"/>
        <v>#REF!</v>
      </c>
      <c r="R603" t="e">
        <f t="shared" ca="1" si="53"/>
        <v>#REF!</v>
      </c>
      <c r="S603" t="e">
        <f t="shared" ca="1" si="54"/>
        <v>#REF!</v>
      </c>
      <c r="T603" t="e">
        <f t="shared" ca="1" si="55"/>
        <v>#REF!</v>
      </c>
      <c r="U603" t="e" cm="1">
        <f t="array" aca="1" ref="U603" ca="1">IF(A603="","",IF(E603="","",IF(B603="safety",INDIRECT("template!"&amp;"P"&amp;A603),Q603+R603)))</f>
        <v>#REF!</v>
      </c>
      <c r="V603" t="e" cm="1">
        <f t="array" aca="1" ref="V603" ca="1">IF(A603="","",IF(E603="","",IF(B603="safety",INDIRECT("template!"&amp;"P"&amp;A603),S603+T603)))</f>
        <v>#REF!</v>
      </c>
      <c r="W603" t="e">
        <f ca="1">IF(A603="","",IF(E603="","",#REF!))</f>
        <v>#REF!</v>
      </c>
      <c r="X603" t="e">
        <f ca="1">IF(A603="","",IF(E603="","",#REF!))</f>
        <v>#REF!</v>
      </c>
      <c r="Y603" s="39" t="e">
        <f ca="1">IF(A603="","",IF(E603="","",#REF!))</f>
        <v>#REF!</v>
      </c>
      <c r="Z603" t="e">
        <f ca="1">IF(A603="","",IF(E603="","",#REF!))</f>
        <v>#REF!</v>
      </c>
      <c r="AA603" t="e">
        <f ca="1">IF(A603="","",IF(E603="","",#REF!))</f>
        <v>#REF!</v>
      </c>
      <c r="AB603" t="e">
        <f ca="1">IF(A603="","",IF(E603="","",#REF!))</f>
        <v>#REF!</v>
      </c>
      <c r="AC603" t="e">
        <f t="shared" ca="1" si="56"/>
        <v>#REF!</v>
      </c>
    </row>
    <row r="604" spans="1:29" x14ac:dyDescent="0.35">
      <c r="A604" t="e" cm="1">
        <f t="array" aca="1" ref="A604" ca="1">IF(A603="","",IF(OR(AND(A603+1&gt;=$AF$1,A603+1&lt;=$AF$2),AND(A603+1&gt;=$AF$6,A603+1&lt;=$AF$7),AND(A603+1&gt;=$AF$3,A603+1&lt;=$AF$4),AND(A603+1&gt;=$AF$8,A603+1&lt;=$AF$9),A603+1=$AF$5),IF(NOT(ISBLANK(INDIRECT("template!"&amp;"P"&amp;A603+1))),A603+1,IF(NOT(ISBLANK(INDIRECT("template!"&amp;"P"&amp;A603+2))),A603+2,A603+3)),IF(A603=$AF$2,$AF$3,IF(A603=$AF$4,$AF$5,IF(A603=$AF$5,$AF$6,IF(A603=$AF$7,$AF$8,""))))))</f>
        <v>#REF!</v>
      </c>
      <c r="B604" t="e">
        <f t="shared" ca="1" si="51"/>
        <v>#REF!</v>
      </c>
      <c r="C604" t="e" cm="1">
        <f t="array" aca="1" ref="C604" ca="1">IF(A604="","",IF(B604="safety","safety costs",INDIRECT("template!"&amp;"B"&amp;A604)))</f>
        <v>#REF!</v>
      </c>
      <c r="D604" t="e" cm="1">
        <f t="array" aca="1" ref="D604" ca="1">IF(OR(A604="",B604="safety"),"",INDIRECT("template!"&amp;"C"&amp;A604))</f>
        <v>#REF!</v>
      </c>
      <c r="E604" t="e" cm="1">
        <f t="array" aca="1" ref="E604" ca="1">IF(A604="","",IF(OR(A604=A603+1,A604=A603+2),E603,INDIRECT("template!"&amp;"D"&amp;A604-2)))</f>
        <v>#REF!</v>
      </c>
      <c r="F604" t="e" cm="1">
        <f t="array" aca="1" ref="F604" ca="1">IF(OR(A604="",B604="safety"),"",IF(ISBLANK(IF(A604=A603+1,F603,INDIRECT("template!"&amp;"D"&amp;A604-1))),"",IF(A604=A603+1,F603,INDIRECT("template!"&amp;"D"&amp;A604-1))))</f>
        <v>#REF!</v>
      </c>
      <c r="G604" t="e" cm="1">
        <f t="array" aca="1" ref="G604" ca="1">IF(OR(A604="",B604="safety"),"",IF(ISBLANK(INDIRECT("template!"&amp;"D"&amp;A604)),"",INDIRECT("template!"&amp;"D"&amp;A604)))</f>
        <v>#REF!</v>
      </c>
      <c r="H604" t="e" cm="1">
        <f t="array" aca="1" ref="H604" ca="1">IF(OR(A604="",B604="safety"),"",IF(ISBLANK(INDIRECT("template!"&amp;"E"&amp;A604)),"",INDIRECT("template!"&amp;"E"&amp;A604)))</f>
        <v>#REF!</v>
      </c>
      <c r="I604" t="e" cm="1">
        <f t="array" aca="1" ref="I604" ca="1">IF(OR(A604="",B604="safety"),"",IF(ISBLANK(INDIRECT("template!"&amp;"F"&amp;A604)),"",INDIRECT("template!"&amp;"F"&amp;A604)))</f>
        <v>#REF!</v>
      </c>
      <c r="J604" t="e" cm="1">
        <f t="array" aca="1" ref="J604" ca="1">IF(OR(A604="",B604="safety"),"",IF(ISBLANK(INDIRECT("template!"&amp;"G"&amp;A604)),"",INDIRECT("template!"&amp;"G"&amp;A604)))</f>
        <v>#REF!</v>
      </c>
      <c r="K604" t="e" cm="1">
        <f t="array" aca="1" ref="K604" ca="1">IF(OR(A604="",B604="safety"),"",IF(ISBLANK(INDIRECT("template!"&amp;"H"&amp;A604)),"",INDIRECT("template!"&amp;"H"&amp;A604)))</f>
        <v>#REF!</v>
      </c>
      <c r="L604" t="e" cm="1">
        <f t="array" aca="1" ref="L604" ca="1">IF(OR(A604="",B604="safety"),"",INDIRECT("template!"&amp;"I"&amp;A604))</f>
        <v>#REF!</v>
      </c>
      <c r="M604" t="e" cm="1">
        <f t="array" aca="1" ref="M604" ca="1">IF(OR(A604="",B604="safety"),"",INDIRECT("template!"&amp;"J"&amp;A604))</f>
        <v>#REF!</v>
      </c>
      <c r="N604" t="e" cm="1">
        <f t="array" aca="1" ref="N604" ca="1">IF(OR(A604="",B604="safety"),"",IF(ISBLANK(INDIRECT("template!"&amp;"K"&amp;A604)),"",INDIRECT("template!"&amp;"K"&amp;A604)))</f>
        <v>#REF!</v>
      </c>
      <c r="O604" t="e" cm="1">
        <f t="array" aca="1" ref="O604" ca="1">IF(OR(A604="",B604="safety"),"",INDIRECT("template!"&amp;"L"&amp;A604))</f>
        <v>#REF!</v>
      </c>
      <c r="P604" t="e" cm="1">
        <f t="array" aca="1" ref="P604" ca="1">IF(OR(A604="",B604="safety"),"",INDIRECT("template!"&amp;"M"&amp;A604))</f>
        <v>#REF!</v>
      </c>
      <c r="Q604" t="e">
        <f t="shared" ca="1" si="52"/>
        <v>#REF!</v>
      </c>
      <c r="R604" t="e">
        <f t="shared" ca="1" si="53"/>
        <v>#REF!</v>
      </c>
      <c r="S604" t="e">
        <f t="shared" ca="1" si="54"/>
        <v>#REF!</v>
      </c>
      <c r="T604" t="e">
        <f t="shared" ca="1" si="55"/>
        <v>#REF!</v>
      </c>
      <c r="U604" t="e" cm="1">
        <f t="array" aca="1" ref="U604" ca="1">IF(A604="","",IF(E604="","",IF(B604="safety",INDIRECT("template!"&amp;"P"&amp;A604),Q604+R604)))</f>
        <v>#REF!</v>
      </c>
      <c r="V604" t="e" cm="1">
        <f t="array" aca="1" ref="V604" ca="1">IF(A604="","",IF(E604="","",IF(B604="safety",INDIRECT("template!"&amp;"P"&amp;A604),S604+T604)))</f>
        <v>#REF!</v>
      </c>
      <c r="W604" t="e">
        <f ca="1">IF(A604="","",IF(E604="","",#REF!))</f>
        <v>#REF!</v>
      </c>
      <c r="X604" t="e">
        <f ca="1">IF(A604="","",IF(E604="","",#REF!))</f>
        <v>#REF!</v>
      </c>
      <c r="Y604" s="39" t="e">
        <f ca="1">IF(A604="","",IF(E604="","",#REF!))</f>
        <v>#REF!</v>
      </c>
      <c r="Z604" t="e">
        <f ca="1">IF(A604="","",IF(E604="","",#REF!))</f>
        <v>#REF!</v>
      </c>
      <c r="AA604" t="e">
        <f ca="1">IF(A604="","",IF(E604="","",#REF!))</f>
        <v>#REF!</v>
      </c>
      <c r="AB604" t="e">
        <f ca="1">IF(A604="","",IF(E604="","",#REF!))</f>
        <v>#REF!</v>
      </c>
      <c r="AC604" t="e">
        <f t="shared" ca="1" si="56"/>
        <v>#REF!</v>
      </c>
    </row>
    <row r="605" spans="1:29" x14ac:dyDescent="0.35">
      <c r="A605" t="e" cm="1">
        <f t="array" aca="1" ref="A605" ca="1">IF(A604="","",IF(OR(AND(A604+1&gt;=$AF$1,A604+1&lt;=$AF$2),AND(A604+1&gt;=$AF$6,A604+1&lt;=$AF$7),AND(A604+1&gt;=$AF$3,A604+1&lt;=$AF$4),AND(A604+1&gt;=$AF$8,A604+1&lt;=$AF$9),A604+1=$AF$5),IF(NOT(ISBLANK(INDIRECT("template!"&amp;"P"&amp;A604+1))),A604+1,IF(NOT(ISBLANK(INDIRECT("template!"&amp;"P"&amp;A604+2))),A604+2,A604+3)),IF(A604=$AF$2,$AF$3,IF(A604=$AF$4,$AF$5,IF(A604=$AF$5,$AF$6,IF(A604=$AF$7,$AF$8,""))))))</f>
        <v>#REF!</v>
      </c>
      <c r="B605" t="e">
        <f t="shared" ca="1" si="51"/>
        <v>#REF!</v>
      </c>
      <c r="C605" t="e" cm="1">
        <f t="array" aca="1" ref="C605" ca="1">IF(A605="","",IF(B605="safety","safety costs",INDIRECT("template!"&amp;"B"&amp;A605)))</f>
        <v>#REF!</v>
      </c>
      <c r="D605" t="e" cm="1">
        <f t="array" aca="1" ref="D605" ca="1">IF(OR(A605="",B605="safety"),"",INDIRECT("template!"&amp;"C"&amp;A605))</f>
        <v>#REF!</v>
      </c>
      <c r="E605" t="e" cm="1">
        <f t="array" aca="1" ref="E605" ca="1">IF(A605="","",IF(OR(A605=A604+1,A605=A604+2),E604,INDIRECT("template!"&amp;"D"&amp;A605-2)))</f>
        <v>#REF!</v>
      </c>
      <c r="F605" t="e" cm="1">
        <f t="array" aca="1" ref="F605" ca="1">IF(OR(A605="",B605="safety"),"",IF(ISBLANK(IF(A605=A604+1,F604,INDIRECT("template!"&amp;"D"&amp;A605-1))),"",IF(A605=A604+1,F604,INDIRECT("template!"&amp;"D"&amp;A605-1))))</f>
        <v>#REF!</v>
      </c>
      <c r="G605" t="e" cm="1">
        <f t="array" aca="1" ref="G605" ca="1">IF(OR(A605="",B605="safety"),"",IF(ISBLANK(INDIRECT("template!"&amp;"D"&amp;A605)),"",INDIRECT("template!"&amp;"D"&amp;A605)))</f>
        <v>#REF!</v>
      </c>
      <c r="H605" t="e" cm="1">
        <f t="array" aca="1" ref="H605" ca="1">IF(OR(A605="",B605="safety"),"",IF(ISBLANK(INDIRECT("template!"&amp;"E"&amp;A605)),"",INDIRECT("template!"&amp;"E"&amp;A605)))</f>
        <v>#REF!</v>
      </c>
      <c r="I605" t="e" cm="1">
        <f t="array" aca="1" ref="I605" ca="1">IF(OR(A605="",B605="safety"),"",IF(ISBLANK(INDIRECT("template!"&amp;"F"&amp;A605)),"",INDIRECT("template!"&amp;"F"&amp;A605)))</f>
        <v>#REF!</v>
      </c>
      <c r="J605" t="e" cm="1">
        <f t="array" aca="1" ref="J605" ca="1">IF(OR(A605="",B605="safety"),"",IF(ISBLANK(INDIRECT("template!"&amp;"G"&amp;A605)),"",INDIRECT("template!"&amp;"G"&amp;A605)))</f>
        <v>#REF!</v>
      </c>
      <c r="K605" t="e" cm="1">
        <f t="array" aca="1" ref="K605" ca="1">IF(OR(A605="",B605="safety"),"",IF(ISBLANK(INDIRECT("template!"&amp;"H"&amp;A605)),"",INDIRECT("template!"&amp;"H"&amp;A605)))</f>
        <v>#REF!</v>
      </c>
      <c r="L605" t="e" cm="1">
        <f t="array" aca="1" ref="L605" ca="1">IF(OR(A605="",B605="safety"),"",INDIRECT("template!"&amp;"I"&amp;A605))</f>
        <v>#REF!</v>
      </c>
      <c r="M605" t="e" cm="1">
        <f t="array" aca="1" ref="M605" ca="1">IF(OR(A605="",B605="safety"),"",INDIRECT("template!"&amp;"J"&amp;A605))</f>
        <v>#REF!</v>
      </c>
      <c r="N605" t="e" cm="1">
        <f t="array" aca="1" ref="N605" ca="1">IF(OR(A605="",B605="safety"),"",IF(ISBLANK(INDIRECT("template!"&amp;"K"&amp;A605)),"",INDIRECT("template!"&amp;"K"&amp;A605)))</f>
        <v>#REF!</v>
      </c>
      <c r="O605" t="e" cm="1">
        <f t="array" aca="1" ref="O605" ca="1">IF(OR(A605="",B605="safety"),"",INDIRECT("template!"&amp;"L"&amp;A605))</f>
        <v>#REF!</v>
      </c>
      <c r="P605" t="e" cm="1">
        <f t="array" aca="1" ref="P605" ca="1">IF(OR(A605="",B605="safety"),"",INDIRECT("template!"&amp;"M"&amp;A605))</f>
        <v>#REF!</v>
      </c>
      <c r="Q605" t="e">
        <f t="shared" ca="1" si="52"/>
        <v>#REF!</v>
      </c>
      <c r="R605" t="e">
        <f t="shared" ca="1" si="53"/>
        <v>#REF!</v>
      </c>
      <c r="S605" t="e">
        <f t="shared" ca="1" si="54"/>
        <v>#REF!</v>
      </c>
      <c r="T605" t="e">
        <f t="shared" ca="1" si="55"/>
        <v>#REF!</v>
      </c>
      <c r="U605" t="e" cm="1">
        <f t="array" aca="1" ref="U605" ca="1">IF(A605="","",IF(E605="","",IF(B605="safety",INDIRECT("template!"&amp;"P"&amp;A605),Q605+R605)))</f>
        <v>#REF!</v>
      </c>
      <c r="V605" t="e" cm="1">
        <f t="array" aca="1" ref="V605" ca="1">IF(A605="","",IF(E605="","",IF(B605="safety",INDIRECT("template!"&amp;"P"&amp;A605),S605+T605)))</f>
        <v>#REF!</v>
      </c>
      <c r="W605" t="e">
        <f ca="1">IF(A605="","",IF(E605="","",#REF!))</f>
        <v>#REF!</v>
      </c>
      <c r="X605" t="e">
        <f ca="1">IF(A605="","",IF(E605="","",#REF!))</f>
        <v>#REF!</v>
      </c>
      <c r="Y605" s="39" t="e">
        <f ca="1">IF(A605="","",IF(E605="","",#REF!))</f>
        <v>#REF!</v>
      </c>
      <c r="Z605" t="e">
        <f ca="1">IF(A605="","",IF(E605="","",#REF!))</f>
        <v>#REF!</v>
      </c>
      <c r="AA605" t="e">
        <f ca="1">IF(A605="","",IF(E605="","",#REF!))</f>
        <v>#REF!</v>
      </c>
      <c r="AB605" t="e">
        <f ca="1">IF(A605="","",IF(E605="","",#REF!))</f>
        <v>#REF!</v>
      </c>
      <c r="AC605" t="e">
        <f t="shared" ca="1" si="56"/>
        <v>#REF!</v>
      </c>
    </row>
    <row r="606" spans="1:29" x14ac:dyDescent="0.35">
      <c r="A606" t="e" cm="1">
        <f t="array" aca="1" ref="A606" ca="1">IF(A605="","",IF(OR(AND(A605+1&gt;=$AF$1,A605+1&lt;=$AF$2),AND(A605+1&gt;=$AF$6,A605+1&lt;=$AF$7),AND(A605+1&gt;=$AF$3,A605+1&lt;=$AF$4),AND(A605+1&gt;=$AF$8,A605+1&lt;=$AF$9),A605+1=$AF$5),IF(NOT(ISBLANK(INDIRECT("template!"&amp;"P"&amp;A605+1))),A605+1,IF(NOT(ISBLANK(INDIRECT("template!"&amp;"P"&amp;A605+2))),A605+2,A605+3)),IF(A605=$AF$2,$AF$3,IF(A605=$AF$4,$AF$5,IF(A605=$AF$5,$AF$6,IF(A605=$AF$7,$AF$8,""))))))</f>
        <v>#REF!</v>
      </c>
      <c r="B606" t="e">
        <f t="shared" ca="1" si="51"/>
        <v>#REF!</v>
      </c>
      <c r="C606" t="e" cm="1">
        <f t="array" aca="1" ref="C606" ca="1">IF(A606="","",IF(B606="safety","safety costs",INDIRECT("template!"&amp;"B"&amp;A606)))</f>
        <v>#REF!</v>
      </c>
      <c r="D606" t="e" cm="1">
        <f t="array" aca="1" ref="D606" ca="1">IF(OR(A606="",B606="safety"),"",INDIRECT("template!"&amp;"C"&amp;A606))</f>
        <v>#REF!</v>
      </c>
      <c r="E606" t="e" cm="1">
        <f t="array" aca="1" ref="E606" ca="1">IF(A606="","",IF(OR(A606=A605+1,A606=A605+2),E605,INDIRECT("template!"&amp;"D"&amp;A606-2)))</f>
        <v>#REF!</v>
      </c>
      <c r="F606" t="e" cm="1">
        <f t="array" aca="1" ref="F606" ca="1">IF(OR(A606="",B606="safety"),"",IF(ISBLANK(IF(A606=A605+1,F605,INDIRECT("template!"&amp;"D"&amp;A606-1))),"",IF(A606=A605+1,F605,INDIRECT("template!"&amp;"D"&amp;A606-1))))</f>
        <v>#REF!</v>
      </c>
      <c r="G606" t="e" cm="1">
        <f t="array" aca="1" ref="G606" ca="1">IF(OR(A606="",B606="safety"),"",IF(ISBLANK(INDIRECT("template!"&amp;"D"&amp;A606)),"",INDIRECT("template!"&amp;"D"&amp;A606)))</f>
        <v>#REF!</v>
      </c>
      <c r="H606" t="e" cm="1">
        <f t="array" aca="1" ref="H606" ca="1">IF(OR(A606="",B606="safety"),"",IF(ISBLANK(INDIRECT("template!"&amp;"E"&amp;A606)),"",INDIRECT("template!"&amp;"E"&amp;A606)))</f>
        <v>#REF!</v>
      </c>
      <c r="I606" t="e" cm="1">
        <f t="array" aca="1" ref="I606" ca="1">IF(OR(A606="",B606="safety"),"",IF(ISBLANK(INDIRECT("template!"&amp;"F"&amp;A606)),"",INDIRECT("template!"&amp;"F"&amp;A606)))</f>
        <v>#REF!</v>
      </c>
      <c r="J606" t="e" cm="1">
        <f t="array" aca="1" ref="J606" ca="1">IF(OR(A606="",B606="safety"),"",IF(ISBLANK(INDIRECT("template!"&amp;"G"&amp;A606)),"",INDIRECT("template!"&amp;"G"&amp;A606)))</f>
        <v>#REF!</v>
      </c>
      <c r="K606" t="e" cm="1">
        <f t="array" aca="1" ref="K606" ca="1">IF(OR(A606="",B606="safety"),"",IF(ISBLANK(INDIRECT("template!"&amp;"H"&amp;A606)),"",INDIRECT("template!"&amp;"H"&amp;A606)))</f>
        <v>#REF!</v>
      </c>
      <c r="L606" t="e" cm="1">
        <f t="array" aca="1" ref="L606" ca="1">IF(OR(A606="",B606="safety"),"",INDIRECT("template!"&amp;"I"&amp;A606))</f>
        <v>#REF!</v>
      </c>
      <c r="M606" t="e" cm="1">
        <f t="array" aca="1" ref="M606" ca="1">IF(OR(A606="",B606="safety"),"",INDIRECT("template!"&amp;"J"&amp;A606))</f>
        <v>#REF!</v>
      </c>
      <c r="N606" t="e" cm="1">
        <f t="array" aca="1" ref="N606" ca="1">IF(OR(A606="",B606="safety"),"",IF(ISBLANK(INDIRECT("template!"&amp;"K"&amp;A606)),"",INDIRECT("template!"&amp;"K"&amp;A606)))</f>
        <v>#REF!</v>
      </c>
      <c r="O606" t="e" cm="1">
        <f t="array" aca="1" ref="O606" ca="1">IF(OR(A606="",B606="safety"),"",INDIRECT("template!"&amp;"L"&amp;A606))</f>
        <v>#REF!</v>
      </c>
      <c r="P606" t="e" cm="1">
        <f t="array" aca="1" ref="P606" ca="1">IF(OR(A606="",B606="safety"),"",INDIRECT("template!"&amp;"M"&amp;A606))</f>
        <v>#REF!</v>
      </c>
      <c r="Q606" t="e">
        <f t="shared" ca="1" si="52"/>
        <v>#REF!</v>
      </c>
      <c r="R606" t="e">
        <f t="shared" ca="1" si="53"/>
        <v>#REF!</v>
      </c>
      <c r="S606" t="e">
        <f t="shared" ca="1" si="54"/>
        <v>#REF!</v>
      </c>
      <c r="T606" t="e">
        <f t="shared" ca="1" si="55"/>
        <v>#REF!</v>
      </c>
      <c r="U606" t="e" cm="1">
        <f t="array" aca="1" ref="U606" ca="1">IF(A606="","",IF(E606="","",IF(B606="safety",INDIRECT("template!"&amp;"P"&amp;A606),Q606+R606)))</f>
        <v>#REF!</v>
      </c>
      <c r="V606" t="e" cm="1">
        <f t="array" aca="1" ref="V606" ca="1">IF(A606="","",IF(E606="","",IF(B606="safety",INDIRECT("template!"&amp;"P"&amp;A606),S606+T606)))</f>
        <v>#REF!</v>
      </c>
      <c r="W606" t="e">
        <f ca="1">IF(A606="","",IF(E606="","",#REF!))</f>
        <v>#REF!</v>
      </c>
      <c r="X606" t="e">
        <f ca="1">IF(A606="","",IF(E606="","",#REF!))</f>
        <v>#REF!</v>
      </c>
      <c r="Y606" s="39" t="e">
        <f ca="1">IF(A606="","",IF(E606="","",#REF!))</f>
        <v>#REF!</v>
      </c>
      <c r="Z606" t="e">
        <f ca="1">IF(A606="","",IF(E606="","",#REF!))</f>
        <v>#REF!</v>
      </c>
      <c r="AA606" t="e">
        <f ca="1">IF(A606="","",IF(E606="","",#REF!))</f>
        <v>#REF!</v>
      </c>
      <c r="AB606" t="e">
        <f ca="1">IF(A606="","",IF(E606="","",#REF!))</f>
        <v>#REF!</v>
      </c>
      <c r="AC606" t="e">
        <f t="shared" ca="1" si="56"/>
        <v>#REF!</v>
      </c>
    </row>
    <row r="607" spans="1:29" x14ac:dyDescent="0.35">
      <c r="A607" t="e" cm="1">
        <f t="array" aca="1" ref="A607" ca="1">IF(A606="","",IF(OR(AND(A606+1&gt;=$AF$1,A606+1&lt;=$AF$2),AND(A606+1&gt;=$AF$6,A606+1&lt;=$AF$7),AND(A606+1&gt;=$AF$3,A606+1&lt;=$AF$4),AND(A606+1&gt;=$AF$8,A606+1&lt;=$AF$9),A606+1=$AF$5),IF(NOT(ISBLANK(INDIRECT("template!"&amp;"P"&amp;A606+1))),A606+1,IF(NOT(ISBLANK(INDIRECT("template!"&amp;"P"&amp;A606+2))),A606+2,A606+3)),IF(A606=$AF$2,$AF$3,IF(A606=$AF$4,$AF$5,IF(A606=$AF$5,$AF$6,IF(A606=$AF$7,$AF$8,""))))))</f>
        <v>#REF!</v>
      </c>
      <c r="B607" t="e">
        <f t="shared" ca="1" si="51"/>
        <v>#REF!</v>
      </c>
      <c r="C607" t="e" cm="1">
        <f t="array" aca="1" ref="C607" ca="1">IF(A607="","",IF(B607="safety","safety costs",INDIRECT("template!"&amp;"B"&amp;A607)))</f>
        <v>#REF!</v>
      </c>
      <c r="D607" t="e" cm="1">
        <f t="array" aca="1" ref="D607" ca="1">IF(OR(A607="",B607="safety"),"",INDIRECT("template!"&amp;"C"&amp;A607))</f>
        <v>#REF!</v>
      </c>
      <c r="E607" t="e" cm="1">
        <f t="array" aca="1" ref="E607" ca="1">IF(A607="","",IF(OR(A607=A606+1,A607=A606+2),E606,INDIRECT("template!"&amp;"D"&amp;A607-2)))</f>
        <v>#REF!</v>
      </c>
      <c r="F607" t="e" cm="1">
        <f t="array" aca="1" ref="F607" ca="1">IF(OR(A607="",B607="safety"),"",IF(ISBLANK(IF(A607=A606+1,F606,INDIRECT("template!"&amp;"D"&amp;A607-1))),"",IF(A607=A606+1,F606,INDIRECT("template!"&amp;"D"&amp;A607-1))))</f>
        <v>#REF!</v>
      </c>
      <c r="G607" t="e" cm="1">
        <f t="array" aca="1" ref="G607" ca="1">IF(OR(A607="",B607="safety"),"",IF(ISBLANK(INDIRECT("template!"&amp;"D"&amp;A607)),"",INDIRECT("template!"&amp;"D"&amp;A607)))</f>
        <v>#REF!</v>
      </c>
      <c r="H607" t="e" cm="1">
        <f t="array" aca="1" ref="H607" ca="1">IF(OR(A607="",B607="safety"),"",IF(ISBLANK(INDIRECT("template!"&amp;"E"&amp;A607)),"",INDIRECT("template!"&amp;"E"&amp;A607)))</f>
        <v>#REF!</v>
      </c>
      <c r="I607" t="e" cm="1">
        <f t="array" aca="1" ref="I607" ca="1">IF(OR(A607="",B607="safety"),"",IF(ISBLANK(INDIRECT("template!"&amp;"F"&amp;A607)),"",INDIRECT("template!"&amp;"F"&amp;A607)))</f>
        <v>#REF!</v>
      </c>
      <c r="J607" t="e" cm="1">
        <f t="array" aca="1" ref="J607" ca="1">IF(OR(A607="",B607="safety"),"",IF(ISBLANK(INDIRECT("template!"&amp;"G"&amp;A607)),"",INDIRECT("template!"&amp;"G"&amp;A607)))</f>
        <v>#REF!</v>
      </c>
      <c r="K607" t="e" cm="1">
        <f t="array" aca="1" ref="K607" ca="1">IF(OR(A607="",B607="safety"),"",IF(ISBLANK(INDIRECT("template!"&amp;"H"&amp;A607)),"",INDIRECT("template!"&amp;"H"&amp;A607)))</f>
        <v>#REF!</v>
      </c>
      <c r="L607" t="e" cm="1">
        <f t="array" aca="1" ref="L607" ca="1">IF(OR(A607="",B607="safety"),"",INDIRECT("template!"&amp;"I"&amp;A607))</f>
        <v>#REF!</v>
      </c>
      <c r="M607" t="e" cm="1">
        <f t="array" aca="1" ref="M607" ca="1">IF(OR(A607="",B607="safety"),"",INDIRECT("template!"&amp;"J"&amp;A607))</f>
        <v>#REF!</v>
      </c>
      <c r="N607" t="e" cm="1">
        <f t="array" aca="1" ref="N607" ca="1">IF(OR(A607="",B607="safety"),"",IF(ISBLANK(INDIRECT("template!"&amp;"K"&amp;A607)),"",INDIRECT("template!"&amp;"K"&amp;A607)))</f>
        <v>#REF!</v>
      </c>
      <c r="O607" t="e" cm="1">
        <f t="array" aca="1" ref="O607" ca="1">IF(OR(A607="",B607="safety"),"",INDIRECT("template!"&amp;"L"&amp;A607))</f>
        <v>#REF!</v>
      </c>
      <c r="P607" t="e" cm="1">
        <f t="array" aca="1" ref="P607" ca="1">IF(OR(A607="",B607="safety"),"",INDIRECT("template!"&amp;"M"&amp;A607))</f>
        <v>#REF!</v>
      </c>
      <c r="Q607" t="e">
        <f t="shared" ca="1" si="52"/>
        <v>#REF!</v>
      </c>
      <c r="R607" t="e">
        <f t="shared" ca="1" si="53"/>
        <v>#REF!</v>
      </c>
      <c r="S607" t="e">
        <f t="shared" ca="1" si="54"/>
        <v>#REF!</v>
      </c>
      <c r="T607" t="e">
        <f t="shared" ca="1" si="55"/>
        <v>#REF!</v>
      </c>
      <c r="U607" t="e" cm="1">
        <f t="array" aca="1" ref="U607" ca="1">IF(A607="","",IF(E607="","",IF(B607="safety",INDIRECT("template!"&amp;"P"&amp;A607),Q607+R607)))</f>
        <v>#REF!</v>
      </c>
      <c r="V607" t="e" cm="1">
        <f t="array" aca="1" ref="V607" ca="1">IF(A607="","",IF(E607="","",IF(B607="safety",INDIRECT("template!"&amp;"P"&amp;A607),S607+T607)))</f>
        <v>#REF!</v>
      </c>
      <c r="W607" t="e">
        <f ca="1">IF(A607="","",IF(E607="","",#REF!))</f>
        <v>#REF!</v>
      </c>
      <c r="X607" t="e">
        <f ca="1">IF(A607="","",IF(E607="","",#REF!))</f>
        <v>#REF!</v>
      </c>
      <c r="Y607" s="39" t="e">
        <f ca="1">IF(A607="","",IF(E607="","",#REF!))</f>
        <v>#REF!</v>
      </c>
      <c r="Z607" t="e">
        <f ca="1">IF(A607="","",IF(E607="","",#REF!))</f>
        <v>#REF!</v>
      </c>
      <c r="AA607" t="e">
        <f ca="1">IF(A607="","",IF(E607="","",#REF!))</f>
        <v>#REF!</v>
      </c>
      <c r="AB607" t="e">
        <f ca="1">IF(A607="","",IF(E607="","",#REF!))</f>
        <v>#REF!</v>
      </c>
      <c r="AC607" t="e">
        <f t="shared" ca="1" si="56"/>
        <v>#REF!</v>
      </c>
    </row>
    <row r="608" spans="1:29" x14ac:dyDescent="0.35">
      <c r="A608" t="e" cm="1">
        <f t="array" aca="1" ref="A608" ca="1">IF(A607="","",IF(OR(AND(A607+1&gt;=$AF$1,A607+1&lt;=$AF$2),AND(A607+1&gt;=$AF$6,A607+1&lt;=$AF$7),AND(A607+1&gt;=$AF$3,A607+1&lt;=$AF$4),AND(A607+1&gt;=$AF$8,A607+1&lt;=$AF$9),A607+1=$AF$5),IF(NOT(ISBLANK(INDIRECT("template!"&amp;"P"&amp;A607+1))),A607+1,IF(NOT(ISBLANK(INDIRECT("template!"&amp;"P"&amp;A607+2))),A607+2,A607+3)),IF(A607=$AF$2,$AF$3,IF(A607=$AF$4,$AF$5,IF(A607=$AF$5,$AF$6,IF(A607=$AF$7,$AF$8,""))))))</f>
        <v>#REF!</v>
      </c>
      <c r="B608" t="e">
        <f t="shared" ca="1" si="51"/>
        <v>#REF!</v>
      </c>
      <c r="C608" t="e" cm="1">
        <f t="array" aca="1" ref="C608" ca="1">IF(A608="","",IF(B608="safety","safety costs",INDIRECT("template!"&amp;"B"&amp;A608)))</f>
        <v>#REF!</v>
      </c>
      <c r="D608" t="e" cm="1">
        <f t="array" aca="1" ref="D608" ca="1">IF(OR(A608="",B608="safety"),"",INDIRECT("template!"&amp;"C"&amp;A608))</f>
        <v>#REF!</v>
      </c>
      <c r="E608" t="e" cm="1">
        <f t="array" aca="1" ref="E608" ca="1">IF(A608="","",IF(OR(A608=A607+1,A608=A607+2),E607,INDIRECT("template!"&amp;"D"&amp;A608-2)))</f>
        <v>#REF!</v>
      </c>
      <c r="F608" t="e" cm="1">
        <f t="array" aca="1" ref="F608" ca="1">IF(OR(A608="",B608="safety"),"",IF(ISBLANK(IF(A608=A607+1,F607,INDIRECT("template!"&amp;"D"&amp;A608-1))),"",IF(A608=A607+1,F607,INDIRECT("template!"&amp;"D"&amp;A608-1))))</f>
        <v>#REF!</v>
      </c>
      <c r="G608" t="e" cm="1">
        <f t="array" aca="1" ref="G608" ca="1">IF(OR(A608="",B608="safety"),"",IF(ISBLANK(INDIRECT("template!"&amp;"D"&amp;A608)),"",INDIRECT("template!"&amp;"D"&amp;A608)))</f>
        <v>#REF!</v>
      </c>
      <c r="H608" t="e" cm="1">
        <f t="array" aca="1" ref="H608" ca="1">IF(OR(A608="",B608="safety"),"",IF(ISBLANK(INDIRECT("template!"&amp;"E"&amp;A608)),"",INDIRECT("template!"&amp;"E"&amp;A608)))</f>
        <v>#REF!</v>
      </c>
      <c r="I608" t="e" cm="1">
        <f t="array" aca="1" ref="I608" ca="1">IF(OR(A608="",B608="safety"),"",IF(ISBLANK(INDIRECT("template!"&amp;"F"&amp;A608)),"",INDIRECT("template!"&amp;"F"&amp;A608)))</f>
        <v>#REF!</v>
      </c>
      <c r="J608" t="e" cm="1">
        <f t="array" aca="1" ref="J608" ca="1">IF(OR(A608="",B608="safety"),"",IF(ISBLANK(INDIRECT("template!"&amp;"G"&amp;A608)),"",INDIRECT("template!"&amp;"G"&amp;A608)))</f>
        <v>#REF!</v>
      </c>
      <c r="K608" t="e" cm="1">
        <f t="array" aca="1" ref="K608" ca="1">IF(OR(A608="",B608="safety"),"",IF(ISBLANK(INDIRECT("template!"&amp;"H"&amp;A608)),"",INDIRECT("template!"&amp;"H"&amp;A608)))</f>
        <v>#REF!</v>
      </c>
      <c r="L608" t="e" cm="1">
        <f t="array" aca="1" ref="L608" ca="1">IF(OR(A608="",B608="safety"),"",INDIRECT("template!"&amp;"I"&amp;A608))</f>
        <v>#REF!</v>
      </c>
      <c r="M608" t="e" cm="1">
        <f t="array" aca="1" ref="M608" ca="1">IF(OR(A608="",B608="safety"),"",INDIRECT("template!"&amp;"J"&amp;A608))</f>
        <v>#REF!</v>
      </c>
      <c r="N608" t="e" cm="1">
        <f t="array" aca="1" ref="N608" ca="1">IF(OR(A608="",B608="safety"),"",IF(ISBLANK(INDIRECT("template!"&amp;"K"&amp;A608)),"",INDIRECT("template!"&amp;"K"&amp;A608)))</f>
        <v>#REF!</v>
      </c>
      <c r="O608" t="e" cm="1">
        <f t="array" aca="1" ref="O608" ca="1">IF(OR(A608="",B608="safety"),"",INDIRECT("template!"&amp;"L"&amp;A608))</f>
        <v>#REF!</v>
      </c>
      <c r="P608" t="e" cm="1">
        <f t="array" aca="1" ref="P608" ca="1">IF(OR(A608="",B608="safety"),"",INDIRECT("template!"&amp;"M"&amp;A608))</f>
        <v>#REF!</v>
      </c>
      <c r="Q608" t="e">
        <f t="shared" ca="1" si="52"/>
        <v>#REF!</v>
      </c>
      <c r="R608" t="e">
        <f t="shared" ca="1" si="53"/>
        <v>#REF!</v>
      </c>
      <c r="S608" t="e">
        <f t="shared" ca="1" si="54"/>
        <v>#REF!</v>
      </c>
      <c r="T608" t="e">
        <f t="shared" ca="1" si="55"/>
        <v>#REF!</v>
      </c>
      <c r="U608" t="e" cm="1">
        <f t="array" aca="1" ref="U608" ca="1">IF(A608="","",IF(E608="","",IF(B608="safety",INDIRECT("template!"&amp;"P"&amp;A608),Q608+R608)))</f>
        <v>#REF!</v>
      </c>
      <c r="V608" t="e" cm="1">
        <f t="array" aca="1" ref="V608" ca="1">IF(A608="","",IF(E608="","",IF(B608="safety",INDIRECT("template!"&amp;"P"&amp;A608),S608+T608)))</f>
        <v>#REF!</v>
      </c>
      <c r="W608" t="e">
        <f ca="1">IF(A608="","",IF(E608="","",#REF!))</f>
        <v>#REF!</v>
      </c>
      <c r="X608" t="e">
        <f ca="1">IF(A608="","",IF(E608="","",#REF!))</f>
        <v>#REF!</v>
      </c>
      <c r="Y608" s="39" t="e">
        <f ca="1">IF(A608="","",IF(E608="","",#REF!))</f>
        <v>#REF!</v>
      </c>
      <c r="Z608" t="e">
        <f ca="1">IF(A608="","",IF(E608="","",#REF!))</f>
        <v>#REF!</v>
      </c>
      <c r="AA608" t="e">
        <f ca="1">IF(A608="","",IF(E608="","",#REF!))</f>
        <v>#REF!</v>
      </c>
      <c r="AB608" t="e">
        <f ca="1">IF(A608="","",IF(E608="","",#REF!))</f>
        <v>#REF!</v>
      </c>
      <c r="AC608" t="e">
        <f t="shared" ca="1" si="56"/>
        <v>#REF!</v>
      </c>
    </row>
    <row r="609" spans="1:29" x14ac:dyDescent="0.35">
      <c r="A609" t="e" cm="1">
        <f t="array" aca="1" ref="A609" ca="1">IF(A608="","",IF(OR(AND(A608+1&gt;=$AF$1,A608+1&lt;=$AF$2),AND(A608+1&gt;=$AF$6,A608+1&lt;=$AF$7),AND(A608+1&gt;=$AF$3,A608+1&lt;=$AF$4),AND(A608+1&gt;=$AF$8,A608+1&lt;=$AF$9),A608+1=$AF$5),IF(NOT(ISBLANK(INDIRECT("template!"&amp;"P"&amp;A608+1))),A608+1,IF(NOT(ISBLANK(INDIRECT("template!"&amp;"P"&amp;A608+2))),A608+2,A608+3)),IF(A608=$AF$2,$AF$3,IF(A608=$AF$4,$AF$5,IF(A608=$AF$5,$AF$6,IF(A608=$AF$7,$AF$8,""))))))</f>
        <v>#REF!</v>
      </c>
      <c r="B609" t="e">
        <f t="shared" ca="1" si="51"/>
        <v>#REF!</v>
      </c>
      <c r="C609" t="e" cm="1">
        <f t="array" aca="1" ref="C609" ca="1">IF(A609="","",IF(B609="safety","safety costs",INDIRECT("template!"&amp;"B"&amp;A609)))</f>
        <v>#REF!</v>
      </c>
      <c r="D609" t="e" cm="1">
        <f t="array" aca="1" ref="D609" ca="1">IF(OR(A609="",B609="safety"),"",INDIRECT("template!"&amp;"C"&amp;A609))</f>
        <v>#REF!</v>
      </c>
      <c r="E609" t="e" cm="1">
        <f t="array" aca="1" ref="E609" ca="1">IF(A609="","",IF(OR(A609=A608+1,A609=A608+2),E608,INDIRECT("template!"&amp;"D"&amp;A609-2)))</f>
        <v>#REF!</v>
      </c>
      <c r="F609" t="e" cm="1">
        <f t="array" aca="1" ref="F609" ca="1">IF(OR(A609="",B609="safety"),"",IF(ISBLANK(IF(A609=A608+1,F608,INDIRECT("template!"&amp;"D"&amp;A609-1))),"",IF(A609=A608+1,F608,INDIRECT("template!"&amp;"D"&amp;A609-1))))</f>
        <v>#REF!</v>
      </c>
      <c r="G609" t="e" cm="1">
        <f t="array" aca="1" ref="G609" ca="1">IF(OR(A609="",B609="safety"),"",IF(ISBLANK(INDIRECT("template!"&amp;"D"&amp;A609)),"",INDIRECT("template!"&amp;"D"&amp;A609)))</f>
        <v>#REF!</v>
      </c>
      <c r="H609" t="e" cm="1">
        <f t="array" aca="1" ref="H609" ca="1">IF(OR(A609="",B609="safety"),"",IF(ISBLANK(INDIRECT("template!"&amp;"E"&amp;A609)),"",INDIRECT("template!"&amp;"E"&amp;A609)))</f>
        <v>#REF!</v>
      </c>
      <c r="I609" t="e" cm="1">
        <f t="array" aca="1" ref="I609" ca="1">IF(OR(A609="",B609="safety"),"",IF(ISBLANK(INDIRECT("template!"&amp;"F"&amp;A609)),"",INDIRECT("template!"&amp;"F"&amp;A609)))</f>
        <v>#REF!</v>
      </c>
      <c r="J609" t="e" cm="1">
        <f t="array" aca="1" ref="J609" ca="1">IF(OR(A609="",B609="safety"),"",IF(ISBLANK(INDIRECT("template!"&amp;"G"&amp;A609)),"",INDIRECT("template!"&amp;"G"&amp;A609)))</f>
        <v>#REF!</v>
      </c>
      <c r="K609" t="e" cm="1">
        <f t="array" aca="1" ref="K609" ca="1">IF(OR(A609="",B609="safety"),"",IF(ISBLANK(INDIRECT("template!"&amp;"H"&amp;A609)),"",INDIRECT("template!"&amp;"H"&amp;A609)))</f>
        <v>#REF!</v>
      </c>
      <c r="L609" t="e" cm="1">
        <f t="array" aca="1" ref="L609" ca="1">IF(OR(A609="",B609="safety"),"",INDIRECT("template!"&amp;"I"&amp;A609))</f>
        <v>#REF!</v>
      </c>
      <c r="M609" t="e" cm="1">
        <f t="array" aca="1" ref="M609" ca="1">IF(OR(A609="",B609="safety"),"",INDIRECT("template!"&amp;"J"&amp;A609))</f>
        <v>#REF!</v>
      </c>
      <c r="N609" t="e" cm="1">
        <f t="array" aca="1" ref="N609" ca="1">IF(OR(A609="",B609="safety"),"",IF(ISBLANK(INDIRECT("template!"&amp;"K"&amp;A609)),"",INDIRECT("template!"&amp;"K"&amp;A609)))</f>
        <v>#REF!</v>
      </c>
      <c r="O609" t="e" cm="1">
        <f t="array" aca="1" ref="O609" ca="1">IF(OR(A609="",B609="safety"),"",INDIRECT("template!"&amp;"L"&amp;A609))</f>
        <v>#REF!</v>
      </c>
      <c r="P609" t="e" cm="1">
        <f t="array" aca="1" ref="P609" ca="1">IF(OR(A609="",B609="safety"),"",INDIRECT("template!"&amp;"M"&amp;A609))</f>
        <v>#REF!</v>
      </c>
      <c r="Q609" t="e">
        <f t="shared" ca="1" si="52"/>
        <v>#REF!</v>
      </c>
      <c r="R609" t="e">
        <f t="shared" ca="1" si="53"/>
        <v>#REF!</v>
      </c>
      <c r="S609" t="e">
        <f t="shared" ca="1" si="54"/>
        <v>#REF!</v>
      </c>
      <c r="T609" t="e">
        <f t="shared" ca="1" si="55"/>
        <v>#REF!</v>
      </c>
      <c r="U609" t="e" cm="1">
        <f t="array" aca="1" ref="U609" ca="1">IF(A609="","",IF(E609="","",IF(B609="safety",INDIRECT("template!"&amp;"P"&amp;A609),Q609+R609)))</f>
        <v>#REF!</v>
      </c>
      <c r="V609" t="e" cm="1">
        <f t="array" aca="1" ref="V609" ca="1">IF(A609="","",IF(E609="","",IF(B609="safety",INDIRECT("template!"&amp;"P"&amp;A609),S609+T609)))</f>
        <v>#REF!</v>
      </c>
      <c r="W609" t="e">
        <f ca="1">IF(A609="","",IF(E609="","",#REF!))</f>
        <v>#REF!</v>
      </c>
      <c r="X609" t="e">
        <f ca="1">IF(A609="","",IF(E609="","",#REF!))</f>
        <v>#REF!</v>
      </c>
      <c r="Y609" s="39" t="e">
        <f ca="1">IF(A609="","",IF(E609="","",#REF!))</f>
        <v>#REF!</v>
      </c>
      <c r="Z609" t="e">
        <f ca="1">IF(A609="","",IF(E609="","",#REF!))</f>
        <v>#REF!</v>
      </c>
      <c r="AA609" t="e">
        <f ca="1">IF(A609="","",IF(E609="","",#REF!))</f>
        <v>#REF!</v>
      </c>
      <c r="AB609" t="e">
        <f ca="1">IF(A609="","",IF(E609="","",#REF!))</f>
        <v>#REF!</v>
      </c>
      <c r="AC609" t="e">
        <f t="shared" ca="1" si="56"/>
        <v>#REF!</v>
      </c>
    </row>
    <row r="610" spans="1:29" x14ac:dyDescent="0.35">
      <c r="A610" t="e" cm="1">
        <f t="array" aca="1" ref="A610" ca="1">IF(A609="","",IF(OR(AND(A609+1&gt;=$AF$1,A609+1&lt;=$AF$2),AND(A609+1&gt;=$AF$6,A609+1&lt;=$AF$7),AND(A609+1&gt;=$AF$3,A609+1&lt;=$AF$4),AND(A609+1&gt;=$AF$8,A609+1&lt;=$AF$9),A609+1=$AF$5),IF(NOT(ISBLANK(INDIRECT("template!"&amp;"P"&amp;A609+1))),A609+1,IF(NOT(ISBLANK(INDIRECT("template!"&amp;"P"&amp;A609+2))),A609+2,A609+3)),IF(A609=$AF$2,$AF$3,IF(A609=$AF$4,$AF$5,IF(A609=$AF$5,$AF$6,IF(A609=$AF$7,$AF$8,""))))))</f>
        <v>#REF!</v>
      </c>
      <c r="B610" t="e">
        <f t="shared" ca="1" si="51"/>
        <v>#REF!</v>
      </c>
      <c r="C610" t="e" cm="1">
        <f t="array" aca="1" ref="C610" ca="1">IF(A610="","",IF(B610="safety","safety costs",INDIRECT("template!"&amp;"B"&amp;A610)))</f>
        <v>#REF!</v>
      </c>
      <c r="D610" t="e" cm="1">
        <f t="array" aca="1" ref="D610" ca="1">IF(OR(A610="",B610="safety"),"",INDIRECT("template!"&amp;"C"&amp;A610))</f>
        <v>#REF!</v>
      </c>
      <c r="E610" t="e" cm="1">
        <f t="array" aca="1" ref="E610" ca="1">IF(A610="","",IF(OR(A610=A609+1,A610=A609+2),E609,INDIRECT("template!"&amp;"D"&amp;A610-2)))</f>
        <v>#REF!</v>
      </c>
      <c r="F610" t="e" cm="1">
        <f t="array" aca="1" ref="F610" ca="1">IF(OR(A610="",B610="safety"),"",IF(ISBLANK(IF(A610=A609+1,F609,INDIRECT("template!"&amp;"D"&amp;A610-1))),"",IF(A610=A609+1,F609,INDIRECT("template!"&amp;"D"&amp;A610-1))))</f>
        <v>#REF!</v>
      </c>
      <c r="G610" t="e" cm="1">
        <f t="array" aca="1" ref="G610" ca="1">IF(OR(A610="",B610="safety"),"",IF(ISBLANK(INDIRECT("template!"&amp;"D"&amp;A610)),"",INDIRECT("template!"&amp;"D"&amp;A610)))</f>
        <v>#REF!</v>
      </c>
      <c r="H610" t="e" cm="1">
        <f t="array" aca="1" ref="H610" ca="1">IF(OR(A610="",B610="safety"),"",IF(ISBLANK(INDIRECT("template!"&amp;"E"&amp;A610)),"",INDIRECT("template!"&amp;"E"&amp;A610)))</f>
        <v>#REF!</v>
      </c>
      <c r="I610" t="e" cm="1">
        <f t="array" aca="1" ref="I610" ca="1">IF(OR(A610="",B610="safety"),"",IF(ISBLANK(INDIRECT("template!"&amp;"F"&amp;A610)),"",INDIRECT("template!"&amp;"F"&amp;A610)))</f>
        <v>#REF!</v>
      </c>
      <c r="J610" t="e" cm="1">
        <f t="array" aca="1" ref="J610" ca="1">IF(OR(A610="",B610="safety"),"",IF(ISBLANK(INDIRECT("template!"&amp;"G"&amp;A610)),"",INDIRECT("template!"&amp;"G"&amp;A610)))</f>
        <v>#REF!</v>
      </c>
      <c r="K610" t="e" cm="1">
        <f t="array" aca="1" ref="K610" ca="1">IF(OR(A610="",B610="safety"),"",IF(ISBLANK(INDIRECT("template!"&amp;"H"&amp;A610)),"",INDIRECT("template!"&amp;"H"&amp;A610)))</f>
        <v>#REF!</v>
      </c>
      <c r="L610" t="e" cm="1">
        <f t="array" aca="1" ref="L610" ca="1">IF(OR(A610="",B610="safety"),"",INDIRECT("template!"&amp;"I"&amp;A610))</f>
        <v>#REF!</v>
      </c>
      <c r="M610" t="e" cm="1">
        <f t="array" aca="1" ref="M610" ca="1">IF(OR(A610="",B610="safety"),"",INDIRECT("template!"&amp;"J"&amp;A610))</f>
        <v>#REF!</v>
      </c>
      <c r="N610" t="e" cm="1">
        <f t="array" aca="1" ref="N610" ca="1">IF(OR(A610="",B610="safety"),"",IF(ISBLANK(INDIRECT("template!"&amp;"K"&amp;A610)),"",INDIRECT("template!"&amp;"K"&amp;A610)))</f>
        <v>#REF!</v>
      </c>
      <c r="O610" t="e" cm="1">
        <f t="array" aca="1" ref="O610" ca="1">IF(OR(A610="",B610="safety"),"",INDIRECT("template!"&amp;"L"&amp;A610))</f>
        <v>#REF!</v>
      </c>
      <c r="P610" t="e" cm="1">
        <f t="array" aca="1" ref="P610" ca="1">IF(OR(A610="",B610="safety"),"",INDIRECT("template!"&amp;"M"&amp;A610))</f>
        <v>#REF!</v>
      </c>
      <c r="Q610" t="e">
        <f t="shared" ca="1" si="52"/>
        <v>#REF!</v>
      </c>
      <c r="R610" t="e">
        <f t="shared" ca="1" si="53"/>
        <v>#REF!</v>
      </c>
      <c r="S610" t="e">
        <f t="shared" ca="1" si="54"/>
        <v>#REF!</v>
      </c>
      <c r="T610" t="e">
        <f t="shared" ca="1" si="55"/>
        <v>#REF!</v>
      </c>
      <c r="U610" t="e" cm="1">
        <f t="array" aca="1" ref="U610" ca="1">IF(A610="","",IF(E610="","",IF(B610="safety",INDIRECT("template!"&amp;"P"&amp;A610),Q610+R610)))</f>
        <v>#REF!</v>
      </c>
      <c r="V610" t="e" cm="1">
        <f t="array" aca="1" ref="V610" ca="1">IF(A610="","",IF(E610="","",IF(B610="safety",INDIRECT("template!"&amp;"P"&amp;A610),S610+T610)))</f>
        <v>#REF!</v>
      </c>
      <c r="W610" t="e">
        <f ca="1">IF(A610="","",IF(E610="","",#REF!))</f>
        <v>#REF!</v>
      </c>
      <c r="X610" t="e">
        <f ca="1">IF(A610="","",IF(E610="","",#REF!))</f>
        <v>#REF!</v>
      </c>
      <c r="Y610" s="39" t="e">
        <f ca="1">IF(A610="","",IF(E610="","",#REF!))</f>
        <v>#REF!</v>
      </c>
      <c r="Z610" t="e">
        <f ca="1">IF(A610="","",IF(E610="","",#REF!))</f>
        <v>#REF!</v>
      </c>
      <c r="AA610" t="e">
        <f ca="1">IF(A610="","",IF(E610="","",#REF!))</f>
        <v>#REF!</v>
      </c>
      <c r="AB610" t="e">
        <f ca="1">IF(A610="","",IF(E610="","",#REF!))</f>
        <v>#REF!</v>
      </c>
      <c r="AC610" t="e">
        <f t="shared" ca="1" si="56"/>
        <v>#REF!</v>
      </c>
    </row>
    <row r="611" spans="1:29" x14ac:dyDescent="0.35">
      <c r="A611" t="e" cm="1">
        <f t="array" aca="1" ref="A611" ca="1">IF(A610="","",IF(OR(AND(A610+1&gt;=$AF$1,A610+1&lt;=$AF$2),AND(A610+1&gt;=$AF$6,A610+1&lt;=$AF$7),AND(A610+1&gt;=$AF$3,A610+1&lt;=$AF$4),AND(A610+1&gt;=$AF$8,A610+1&lt;=$AF$9),A610+1=$AF$5),IF(NOT(ISBLANK(INDIRECT("template!"&amp;"P"&amp;A610+1))),A610+1,IF(NOT(ISBLANK(INDIRECT("template!"&amp;"P"&amp;A610+2))),A610+2,A610+3)),IF(A610=$AF$2,$AF$3,IF(A610=$AF$4,$AF$5,IF(A610=$AF$5,$AF$6,IF(A610=$AF$7,$AF$8,""))))))</f>
        <v>#REF!</v>
      </c>
      <c r="B611" t="e">
        <f t="shared" ca="1" si="51"/>
        <v>#REF!</v>
      </c>
      <c r="C611" t="e" cm="1">
        <f t="array" aca="1" ref="C611" ca="1">IF(A611="","",IF(B611="safety","safety costs",INDIRECT("template!"&amp;"B"&amp;A611)))</f>
        <v>#REF!</v>
      </c>
      <c r="D611" t="e" cm="1">
        <f t="array" aca="1" ref="D611" ca="1">IF(OR(A611="",B611="safety"),"",INDIRECT("template!"&amp;"C"&amp;A611))</f>
        <v>#REF!</v>
      </c>
      <c r="E611" t="e" cm="1">
        <f t="array" aca="1" ref="E611" ca="1">IF(A611="","",IF(OR(A611=A610+1,A611=A610+2),E610,INDIRECT("template!"&amp;"D"&amp;A611-2)))</f>
        <v>#REF!</v>
      </c>
      <c r="F611" t="e" cm="1">
        <f t="array" aca="1" ref="F611" ca="1">IF(OR(A611="",B611="safety"),"",IF(ISBLANK(IF(A611=A610+1,F610,INDIRECT("template!"&amp;"D"&amp;A611-1))),"",IF(A611=A610+1,F610,INDIRECT("template!"&amp;"D"&amp;A611-1))))</f>
        <v>#REF!</v>
      </c>
      <c r="G611" t="e" cm="1">
        <f t="array" aca="1" ref="G611" ca="1">IF(OR(A611="",B611="safety"),"",IF(ISBLANK(INDIRECT("template!"&amp;"D"&amp;A611)),"",INDIRECT("template!"&amp;"D"&amp;A611)))</f>
        <v>#REF!</v>
      </c>
      <c r="H611" t="e" cm="1">
        <f t="array" aca="1" ref="H611" ca="1">IF(OR(A611="",B611="safety"),"",IF(ISBLANK(INDIRECT("template!"&amp;"E"&amp;A611)),"",INDIRECT("template!"&amp;"E"&amp;A611)))</f>
        <v>#REF!</v>
      </c>
      <c r="I611" t="e" cm="1">
        <f t="array" aca="1" ref="I611" ca="1">IF(OR(A611="",B611="safety"),"",IF(ISBLANK(INDIRECT("template!"&amp;"F"&amp;A611)),"",INDIRECT("template!"&amp;"F"&amp;A611)))</f>
        <v>#REF!</v>
      </c>
      <c r="J611" t="e" cm="1">
        <f t="array" aca="1" ref="J611" ca="1">IF(OR(A611="",B611="safety"),"",IF(ISBLANK(INDIRECT("template!"&amp;"G"&amp;A611)),"",INDIRECT("template!"&amp;"G"&amp;A611)))</f>
        <v>#REF!</v>
      </c>
      <c r="K611" t="e" cm="1">
        <f t="array" aca="1" ref="K611" ca="1">IF(OR(A611="",B611="safety"),"",IF(ISBLANK(INDIRECT("template!"&amp;"H"&amp;A611)),"",INDIRECT("template!"&amp;"H"&amp;A611)))</f>
        <v>#REF!</v>
      </c>
      <c r="L611" t="e" cm="1">
        <f t="array" aca="1" ref="L611" ca="1">IF(OR(A611="",B611="safety"),"",INDIRECT("template!"&amp;"I"&amp;A611))</f>
        <v>#REF!</v>
      </c>
      <c r="M611" t="e" cm="1">
        <f t="array" aca="1" ref="M611" ca="1">IF(OR(A611="",B611="safety"),"",INDIRECT("template!"&amp;"J"&amp;A611))</f>
        <v>#REF!</v>
      </c>
      <c r="N611" t="e" cm="1">
        <f t="array" aca="1" ref="N611" ca="1">IF(OR(A611="",B611="safety"),"",IF(ISBLANK(INDIRECT("template!"&amp;"K"&amp;A611)),"",INDIRECT("template!"&amp;"K"&amp;A611)))</f>
        <v>#REF!</v>
      </c>
      <c r="O611" t="e" cm="1">
        <f t="array" aca="1" ref="O611" ca="1">IF(OR(A611="",B611="safety"),"",INDIRECT("template!"&amp;"L"&amp;A611))</f>
        <v>#REF!</v>
      </c>
      <c r="P611" t="e" cm="1">
        <f t="array" aca="1" ref="P611" ca="1">IF(OR(A611="",B611="safety"),"",INDIRECT("template!"&amp;"M"&amp;A611))</f>
        <v>#REF!</v>
      </c>
      <c r="Q611" t="e">
        <f t="shared" ca="1" si="52"/>
        <v>#REF!</v>
      </c>
      <c r="R611" t="e">
        <f t="shared" ca="1" si="53"/>
        <v>#REF!</v>
      </c>
      <c r="S611" t="e">
        <f t="shared" ca="1" si="54"/>
        <v>#REF!</v>
      </c>
      <c r="T611" t="e">
        <f t="shared" ca="1" si="55"/>
        <v>#REF!</v>
      </c>
      <c r="U611" t="e" cm="1">
        <f t="array" aca="1" ref="U611" ca="1">IF(A611="","",IF(E611="","",IF(B611="safety",INDIRECT("template!"&amp;"P"&amp;A611),Q611+R611)))</f>
        <v>#REF!</v>
      </c>
      <c r="V611" t="e" cm="1">
        <f t="array" aca="1" ref="V611" ca="1">IF(A611="","",IF(E611="","",IF(B611="safety",INDIRECT("template!"&amp;"P"&amp;A611),S611+T611)))</f>
        <v>#REF!</v>
      </c>
      <c r="W611" t="e">
        <f ca="1">IF(A611="","",IF(E611="","",#REF!))</f>
        <v>#REF!</v>
      </c>
      <c r="X611" t="e">
        <f ca="1">IF(A611="","",IF(E611="","",#REF!))</f>
        <v>#REF!</v>
      </c>
      <c r="Y611" s="39" t="e">
        <f ca="1">IF(A611="","",IF(E611="","",#REF!))</f>
        <v>#REF!</v>
      </c>
      <c r="Z611" t="e">
        <f ca="1">IF(A611="","",IF(E611="","",#REF!))</f>
        <v>#REF!</v>
      </c>
      <c r="AA611" t="e">
        <f ca="1">IF(A611="","",IF(E611="","",#REF!))</f>
        <v>#REF!</v>
      </c>
      <c r="AB611" t="e">
        <f ca="1">IF(A611="","",IF(E611="","",#REF!))</f>
        <v>#REF!</v>
      </c>
      <c r="AC611" t="e">
        <f t="shared" ca="1" si="56"/>
        <v>#REF!</v>
      </c>
    </row>
    <row r="612" spans="1:29" x14ac:dyDescent="0.35">
      <c r="A612" t="e" cm="1">
        <f t="array" aca="1" ref="A612" ca="1">IF(A611="","",IF(OR(AND(A611+1&gt;=$AF$1,A611+1&lt;=$AF$2),AND(A611+1&gt;=$AF$6,A611+1&lt;=$AF$7),AND(A611+1&gt;=$AF$3,A611+1&lt;=$AF$4),AND(A611+1&gt;=$AF$8,A611+1&lt;=$AF$9),A611+1=$AF$5),IF(NOT(ISBLANK(INDIRECT("template!"&amp;"P"&amp;A611+1))),A611+1,IF(NOT(ISBLANK(INDIRECT("template!"&amp;"P"&amp;A611+2))),A611+2,A611+3)),IF(A611=$AF$2,$AF$3,IF(A611=$AF$4,$AF$5,IF(A611=$AF$5,$AF$6,IF(A611=$AF$7,$AF$8,""))))))</f>
        <v>#REF!</v>
      </c>
      <c r="B612" t="e">
        <f t="shared" ca="1" si="51"/>
        <v>#REF!</v>
      </c>
      <c r="C612" t="e" cm="1">
        <f t="array" aca="1" ref="C612" ca="1">IF(A612="","",IF(B612="safety","safety costs",INDIRECT("template!"&amp;"B"&amp;A612)))</f>
        <v>#REF!</v>
      </c>
      <c r="D612" t="e" cm="1">
        <f t="array" aca="1" ref="D612" ca="1">IF(OR(A612="",B612="safety"),"",INDIRECT("template!"&amp;"C"&amp;A612))</f>
        <v>#REF!</v>
      </c>
      <c r="E612" t="e" cm="1">
        <f t="array" aca="1" ref="E612" ca="1">IF(A612="","",IF(OR(A612=A611+1,A612=A611+2),E611,INDIRECT("template!"&amp;"D"&amp;A612-2)))</f>
        <v>#REF!</v>
      </c>
      <c r="F612" t="e" cm="1">
        <f t="array" aca="1" ref="F612" ca="1">IF(OR(A612="",B612="safety"),"",IF(ISBLANK(IF(A612=A611+1,F611,INDIRECT("template!"&amp;"D"&amp;A612-1))),"",IF(A612=A611+1,F611,INDIRECT("template!"&amp;"D"&amp;A612-1))))</f>
        <v>#REF!</v>
      </c>
      <c r="G612" t="e" cm="1">
        <f t="array" aca="1" ref="G612" ca="1">IF(OR(A612="",B612="safety"),"",IF(ISBLANK(INDIRECT("template!"&amp;"D"&amp;A612)),"",INDIRECT("template!"&amp;"D"&amp;A612)))</f>
        <v>#REF!</v>
      </c>
      <c r="H612" t="e" cm="1">
        <f t="array" aca="1" ref="H612" ca="1">IF(OR(A612="",B612="safety"),"",IF(ISBLANK(INDIRECT("template!"&amp;"E"&amp;A612)),"",INDIRECT("template!"&amp;"E"&amp;A612)))</f>
        <v>#REF!</v>
      </c>
      <c r="I612" t="e" cm="1">
        <f t="array" aca="1" ref="I612" ca="1">IF(OR(A612="",B612="safety"),"",IF(ISBLANK(INDIRECT("template!"&amp;"F"&amp;A612)),"",INDIRECT("template!"&amp;"F"&amp;A612)))</f>
        <v>#REF!</v>
      </c>
      <c r="J612" t="e" cm="1">
        <f t="array" aca="1" ref="J612" ca="1">IF(OR(A612="",B612="safety"),"",IF(ISBLANK(INDIRECT("template!"&amp;"G"&amp;A612)),"",INDIRECT("template!"&amp;"G"&amp;A612)))</f>
        <v>#REF!</v>
      </c>
      <c r="K612" t="e" cm="1">
        <f t="array" aca="1" ref="K612" ca="1">IF(OR(A612="",B612="safety"),"",IF(ISBLANK(INDIRECT("template!"&amp;"H"&amp;A612)),"",INDIRECT("template!"&amp;"H"&amp;A612)))</f>
        <v>#REF!</v>
      </c>
      <c r="L612" t="e" cm="1">
        <f t="array" aca="1" ref="L612" ca="1">IF(OR(A612="",B612="safety"),"",INDIRECT("template!"&amp;"I"&amp;A612))</f>
        <v>#REF!</v>
      </c>
      <c r="M612" t="e" cm="1">
        <f t="array" aca="1" ref="M612" ca="1">IF(OR(A612="",B612="safety"),"",INDIRECT("template!"&amp;"J"&amp;A612))</f>
        <v>#REF!</v>
      </c>
      <c r="N612" t="e" cm="1">
        <f t="array" aca="1" ref="N612" ca="1">IF(OR(A612="",B612="safety"),"",IF(ISBLANK(INDIRECT("template!"&amp;"K"&amp;A612)),"",INDIRECT("template!"&amp;"K"&amp;A612)))</f>
        <v>#REF!</v>
      </c>
      <c r="O612" t="e" cm="1">
        <f t="array" aca="1" ref="O612" ca="1">IF(OR(A612="",B612="safety"),"",INDIRECT("template!"&amp;"L"&amp;A612))</f>
        <v>#REF!</v>
      </c>
      <c r="P612" t="e" cm="1">
        <f t="array" aca="1" ref="P612" ca="1">IF(OR(A612="",B612="safety"),"",INDIRECT("template!"&amp;"M"&amp;A612))</f>
        <v>#REF!</v>
      </c>
      <c r="Q612" t="e">
        <f t="shared" ca="1" si="52"/>
        <v>#REF!</v>
      </c>
      <c r="R612" t="e">
        <f t="shared" ca="1" si="53"/>
        <v>#REF!</v>
      </c>
      <c r="S612" t="e">
        <f t="shared" ca="1" si="54"/>
        <v>#REF!</v>
      </c>
      <c r="T612" t="e">
        <f t="shared" ca="1" si="55"/>
        <v>#REF!</v>
      </c>
      <c r="U612" t="e" cm="1">
        <f t="array" aca="1" ref="U612" ca="1">IF(A612="","",IF(E612="","",IF(B612="safety",INDIRECT("template!"&amp;"P"&amp;A612),Q612+R612)))</f>
        <v>#REF!</v>
      </c>
      <c r="V612" t="e" cm="1">
        <f t="array" aca="1" ref="V612" ca="1">IF(A612="","",IF(E612="","",IF(B612="safety",INDIRECT("template!"&amp;"P"&amp;A612),S612+T612)))</f>
        <v>#REF!</v>
      </c>
      <c r="W612" t="e">
        <f ca="1">IF(A612="","",IF(E612="","",#REF!))</f>
        <v>#REF!</v>
      </c>
      <c r="X612" t="e">
        <f ca="1">IF(A612="","",IF(E612="","",#REF!))</f>
        <v>#REF!</v>
      </c>
      <c r="Y612" s="39" t="e">
        <f ca="1">IF(A612="","",IF(E612="","",#REF!))</f>
        <v>#REF!</v>
      </c>
      <c r="Z612" t="e">
        <f ca="1">IF(A612="","",IF(E612="","",#REF!))</f>
        <v>#REF!</v>
      </c>
      <c r="AA612" t="e">
        <f ca="1">IF(A612="","",IF(E612="","",#REF!))</f>
        <v>#REF!</v>
      </c>
      <c r="AB612" t="e">
        <f ca="1">IF(A612="","",IF(E612="","",#REF!))</f>
        <v>#REF!</v>
      </c>
      <c r="AC612" t="e">
        <f t="shared" ca="1" si="56"/>
        <v>#REF!</v>
      </c>
    </row>
    <row r="613" spans="1:29" x14ac:dyDescent="0.35">
      <c r="A613" t="e" cm="1">
        <f t="array" aca="1" ref="A613" ca="1">IF(A612="","",IF(OR(AND(A612+1&gt;=$AF$1,A612+1&lt;=$AF$2),AND(A612+1&gt;=$AF$6,A612+1&lt;=$AF$7),AND(A612+1&gt;=$AF$3,A612+1&lt;=$AF$4),AND(A612+1&gt;=$AF$8,A612+1&lt;=$AF$9),A612+1=$AF$5),IF(NOT(ISBLANK(INDIRECT("template!"&amp;"P"&amp;A612+1))),A612+1,IF(NOT(ISBLANK(INDIRECT("template!"&amp;"P"&amp;A612+2))),A612+2,A612+3)),IF(A612=$AF$2,$AF$3,IF(A612=$AF$4,$AF$5,IF(A612=$AF$5,$AF$6,IF(A612=$AF$7,$AF$8,""))))))</f>
        <v>#REF!</v>
      </c>
      <c r="B613" t="e">
        <f t="shared" ca="1" si="51"/>
        <v>#REF!</v>
      </c>
      <c r="C613" t="e" cm="1">
        <f t="array" aca="1" ref="C613" ca="1">IF(A613="","",IF(B613="safety","safety costs",INDIRECT("template!"&amp;"B"&amp;A613)))</f>
        <v>#REF!</v>
      </c>
      <c r="D613" t="e" cm="1">
        <f t="array" aca="1" ref="D613" ca="1">IF(OR(A613="",B613="safety"),"",INDIRECT("template!"&amp;"C"&amp;A613))</f>
        <v>#REF!</v>
      </c>
      <c r="E613" t="e" cm="1">
        <f t="array" aca="1" ref="E613" ca="1">IF(A613="","",IF(OR(A613=A612+1,A613=A612+2),E612,INDIRECT("template!"&amp;"D"&amp;A613-2)))</f>
        <v>#REF!</v>
      </c>
      <c r="F613" t="e" cm="1">
        <f t="array" aca="1" ref="F613" ca="1">IF(OR(A613="",B613="safety"),"",IF(ISBLANK(IF(A613=A612+1,F612,INDIRECT("template!"&amp;"D"&amp;A613-1))),"",IF(A613=A612+1,F612,INDIRECT("template!"&amp;"D"&amp;A613-1))))</f>
        <v>#REF!</v>
      </c>
      <c r="G613" t="e" cm="1">
        <f t="array" aca="1" ref="G613" ca="1">IF(OR(A613="",B613="safety"),"",IF(ISBLANK(INDIRECT("template!"&amp;"D"&amp;A613)),"",INDIRECT("template!"&amp;"D"&amp;A613)))</f>
        <v>#REF!</v>
      </c>
      <c r="H613" t="e" cm="1">
        <f t="array" aca="1" ref="H613" ca="1">IF(OR(A613="",B613="safety"),"",IF(ISBLANK(INDIRECT("template!"&amp;"E"&amp;A613)),"",INDIRECT("template!"&amp;"E"&amp;A613)))</f>
        <v>#REF!</v>
      </c>
      <c r="I613" t="e" cm="1">
        <f t="array" aca="1" ref="I613" ca="1">IF(OR(A613="",B613="safety"),"",IF(ISBLANK(INDIRECT("template!"&amp;"F"&amp;A613)),"",INDIRECT("template!"&amp;"F"&amp;A613)))</f>
        <v>#REF!</v>
      </c>
      <c r="J613" t="e" cm="1">
        <f t="array" aca="1" ref="J613" ca="1">IF(OR(A613="",B613="safety"),"",IF(ISBLANK(INDIRECT("template!"&amp;"G"&amp;A613)),"",INDIRECT("template!"&amp;"G"&amp;A613)))</f>
        <v>#REF!</v>
      </c>
      <c r="K613" t="e" cm="1">
        <f t="array" aca="1" ref="K613" ca="1">IF(OR(A613="",B613="safety"),"",IF(ISBLANK(INDIRECT("template!"&amp;"H"&amp;A613)),"",INDIRECT("template!"&amp;"H"&amp;A613)))</f>
        <v>#REF!</v>
      </c>
      <c r="L613" t="e" cm="1">
        <f t="array" aca="1" ref="L613" ca="1">IF(OR(A613="",B613="safety"),"",INDIRECT("template!"&amp;"I"&amp;A613))</f>
        <v>#REF!</v>
      </c>
      <c r="M613" t="e" cm="1">
        <f t="array" aca="1" ref="M613" ca="1">IF(OR(A613="",B613="safety"),"",INDIRECT("template!"&amp;"J"&amp;A613))</f>
        <v>#REF!</v>
      </c>
      <c r="N613" t="e" cm="1">
        <f t="array" aca="1" ref="N613" ca="1">IF(OR(A613="",B613="safety"),"",IF(ISBLANK(INDIRECT("template!"&amp;"K"&amp;A613)),"",INDIRECT("template!"&amp;"K"&amp;A613)))</f>
        <v>#REF!</v>
      </c>
      <c r="O613" t="e" cm="1">
        <f t="array" aca="1" ref="O613" ca="1">IF(OR(A613="",B613="safety"),"",INDIRECT("template!"&amp;"L"&amp;A613))</f>
        <v>#REF!</v>
      </c>
      <c r="P613" t="e" cm="1">
        <f t="array" aca="1" ref="P613" ca="1">IF(OR(A613="",B613="safety"),"",INDIRECT("template!"&amp;"M"&amp;A613))</f>
        <v>#REF!</v>
      </c>
      <c r="Q613" t="e">
        <f t="shared" ca="1" si="52"/>
        <v>#REF!</v>
      </c>
      <c r="R613" t="e">
        <f t="shared" ca="1" si="53"/>
        <v>#REF!</v>
      </c>
      <c r="S613" t="e">
        <f t="shared" ca="1" si="54"/>
        <v>#REF!</v>
      </c>
      <c r="T613" t="e">
        <f t="shared" ca="1" si="55"/>
        <v>#REF!</v>
      </c>
      <c r="U613" t="e" cm="1">
        <f t="array" aca="1" ref="U613" ca="1">IF(A613="","",IF(E613="","",IF(B613="safety",INDIRECT("template!"&amp;"P"&amp;A613),Q613+R613)))</f>
        <v>#REF!</v>
      </c>
      <c r="V613" t="e" cm="1">
        <f t="array" aca="1" ref="V613" ca="1">IF(A613="","",IF(E613="","",IF(B613="safety",INDIRECT("template!"&amp;"P"&amp;A613),S613+T613)))</f>
        <v>#REF!</v>
      </c>
      <c r="W613" t="e">
        <f ca="1">IF(A613="","",IF(E613="","",#REF!))</f>
        <v>#REF!</v>
      </c>
      <c r="X613" t="e">
        <f ca="1">IF(A613="","",IF(E613="","",#REF!))</f>
        <v>#REF!</v>
      </c>
      <c r="Y613" s="39" t="e">
        <f ca="1">IF(A613="","",IF(E613="","",#REF!))</f>
        <v>#REF!</v>
      </c>
      <c r="Z613" t="e">
        <f ca="1">IF(A613="","",IF(E613="","",#REF!))</f>
        <v>#REF!</v>
      </c>
      <c r="AA613" t="e">
        <f ca="1">IF(A613="","",IF(E613="","",#REF!))</f>
        <v>#REF!</v>
      </c>
      <c r="AB613" t="e">
        <f ca="1">IF(A613="","",IF(E613="","",#REF!))</f>
        <v>#REF!</v>
      </c>
      <c r="AC613" t="e">
        <f t="shared" ca="1" si="56"/>
        <v>#REF!</v>
      </c>
    </row>
    <row r="614" spans="1:29" x14ac:dyDescent="0.35">
      <c r="A614" t="e" cm="1">
        <f t="array" aca="1" ref="A614" ca="1">IF(A613="","",IF(OR(AND(A613+1&gt;=$AF$1,A613+1&lt;=$AF$2),AND(A613+1&gt;=$AF$6,A613+1&lt;=$AF$7),AND(A613+1&gt;=$AF$3,A613+1&lt;=$AF$4),AND(A613+1&gt;=$AF$8,A613+1&lt;=$AF$9),A613+1=$AF$5),IF(NOT(ISBLANK(INDIRECT("template!"&amp;"P"&amp;A613+1))),A613+1,IF(NOT(ISBLANK(INDIRECT("template!"&amp;"P"&amp;A613+2))),A613+2,A613+3)),IF(A613=$AF$2,$AF$3,IF(A613=$AF$4,$AF$5,IF(A613=$AF$5,$AF$6,IF(A613=$AF$7,$AF$8,""))))))</f>
        <v>#REF!</v>
      </c>
      <c r="B614" t="e">
        <f t="shared" ca="1" si="51"/>
        <v>#REF!</v>
      </c>
      <c r="C614" t="e" cm="1">
        <f t="array" aca="1" ref="C614" ca="1">IF(A614="","",IF(B614="safety","safety costs",INDIRECT("template!"&amp;"B"&amp;A614)))</f>
        <v>#REF!</v>
      </c>
      <c r="D614" t="e" cm="1">
        <f t="array" aca="1" ref="D614" ca="1">IF(OR(A614="",B614="safety"),"",INDIRECT("template!"&amp;"C"&amp;A614))</f>
        <v>#REF!</v>
      </c>
      <c r="E614" t="e" cm="1">
        <f t="array" aca="1" ref="E614" ca="1">IF(A614="","",IF(OR(A614=A613+1,A614=A613+2),E613,INDIRECT("template!"&amp;"D"&amp;A614-2)))</f>
        <v>#REF!</v>
      </c>
      <c r="F614" t="e" cm="1">
        <f t="array" aca="1" ref="F614" ca="1">IF(OR(A614="",B614="safety"),"",IF(ISBLANK(IF(A614=A613+1,F613,INDIRECT("template!"&amp;"D"&amp;A614-1))),"",IF(A614=A613+1,F613,INDIRECT("template!"&amp;"D"&amp;A614-1))))</f>
        <v>#REF!</v>
      </c>
      <c r="G614" t="e" cm="1">
        <f t="array" aca="1" ref="G614" ca="1">IF(OR(A614="",B614="safety"),"",IF(ISBLANK(INDIRECT("template!"&amp;"D"&amp;A614)),"",INDIRECT("template!"&amp;"D"&amp;A614)))</f>
        <v>#REF!</v>
      </c>
      <c r="H614" t="e" cm="1">
        <f t="array" aca="1" ref="H614" ca="1">IF(OR(A614="",B614="safety"),"",IF(ISBLANK(INDIRECT("template!"&amp;"E"&amp;A614)),"",INDIRECT("template!"&amp;"E"&amp;A614)))</f>
        <v>#REF!</v>
      </c>
      <c r="I614" t="e" cm="1">
        <f t="array" aca="1" ref="I614" ca="1">IF(OR(A614="",B614="safety"),"",IF(ISBLANK(INDIRECT("template!"&amp;"F"&amp;A614)),"",INDIRECT("template!"&amp;"F"&amp;A614)))</f>
        <v>#REF!</v>
      </c>
      <c r="J614" t="e" cm="1">
        <f t="array" aca="1" ref="J614" ca="1">IF(OR(A614="",B614="safety"),"",IF(ISBLANK(INDIRECT("template!"&amp;"G"&amp;A614)),"",INDIRECT("template!"&amp;"G"&amp;A614)))</f>
        <v>#REF!</v>
      </c>
      <c r="K614" t="e" cm="1">
        <f t="array" aca="1" ref="K614" ca="1">IF(OR(A614="",B614="safety"),"",IF(ISBLANK(INDIRECT("template!"&amp;"H"&amp;A614)),"",INDIRECT("template!"&amp;"H"&amp;A614)))</f>
        <v>#REF!</v>
      </c>
      <c r="L614" t="e" cm="1">
        <f t="array" aca="1" ref="L614" ca="1">IF(OR(A614="",B614="safety"),"",INDIRECT("template!"&amp;"I"&amp;A614))</f>
        <v>#REF!</v>
      </c>
      <c r="M614" t="e" cm="1">
        <f t="array" aca="1" ref="M614" ca="1">IF(OR(A614="",B614="safety"),"",INDIRECT("template!"&amp;"J"&amp;A614))</f>
        <v>#REF!</v>
      </c>
      <c r="N614" t="e" cm="1">
        <f t="array" aca="1" ref="N614" ca="1">IF(OR(A614="",B614="safety"),"",IF(ISBLANK(INDIRECT("template!"&amp;"K"&amp;A614)),"",INDIRECT("template!"&amp;"K"&amp;A614)))</f>
        <v>#REF!</v>
      </c>
      <c r="O614" t="e" cm="1">
        <f t="array" aca="1" ref="O614" ca="1">IF(OR(A614="",B614="safety"),"",INDIRECT("template!"&amp;"L"&amp;A614))</f>
        <v>#REF!</v>
      </c>
      <c r="P614" t="e" cm="1">
        <f t="array" aca="1" ref="P614" ca="1">IF(OR(A614="",B614="safety"),"",INDIRECT("template!"&amp;"M"&amp;A614))</f>
        <v>#REF!</v>
      </c>
      <c r="Q614" t="e">
        <f t="shared" ca="1" si="52"/>
        <v>#REF!</v>
      </c>
      <c r="R614" t="e">
        <f t="shared" ca="1" si="53"/>
        <v>#REF!</v>
      </c>
      <c r="S614" t="e">
        <f t="shared" ca="1" si="54"/>
        <v>#REF!</v>
      </c>
      <c r="T614" t="e">
        <f t="shared" ca="1" si="55"/>
        <v>#REF!</v>
      </c>
      <c r="U614" t="e" cm="1">
        <f t="array" aca="1" ref="U614" ca="1">IF(A614="","",IF(E614="","",IF(B614="safety",INDIRECT("template!"&amp;"P"&amp;A614),Q614+R614)))</f>
        <v>#REF!</v>
      </c>
      <c r="V614" t="e" cm="1">
        <f t="array" aca="1" ref="V614" ca="1">IF(A614="","",IF(E614="","",IF(B614="safety",INDIRECT("template!"&amp;"P"&amp;A614),S614+T614)))</f>
        <v>#REF!</v>
      </c>
      <c r="W614" t="e">
        <f ca="1">IF(A614="","",IF(E614="","",#REF!))</f>
        <v>#REF!</v>
      </c>
      <c r="X614" t="e">
        <f ca="1">IF(A614="","",IF(E614="","",#REF!))</f>
        <v>#REF!</v>
      </c>
      <c r="Y614" s="39" t="e">
        <f ca="1">IF(A614="","",IF(E614="","",#REF!))</f>
        <v>#REF!</v>
      </c>
      <c r="Z614" t="e">
        <f ca="1">IF(A614="","",IF(E614="","",#REF!))</f>
        <v>#REF!</v>
      </c>
      <c r="AA614" t="e">
        <f ca="1">IF(A614="","",IF(E614="","",#REF!))</f>
        <v>#REF!</v>
      </c>
      <c r="AB614" t="e">
        <f ca="1">IF(A614="","",IF(E614="","",#REF!))</f>
        <v>#REF!</v>
      </c>
      <c r="AC614" t="e">
        <f t="shared" ca="1" si="56"/>
        <v>#REF!</v>
      </c>
    </row>
    <row r="615" spans="1:29" x14ac:dyDescent="0.35">
      <c r="A615" t="e" cm="1">
        <f t="array" aca="1" ref="A615" ca="1">IF(A614="","",IF(OR(AND(A614+1&gt;=$AF$1,A614+1&lt;=$AF$2),AND(A614+1&gt;=$AF$6,A614+1&lt;=$AF$7),AND(A614+1&gt;=$AF$3,A614+1&lt;=$AF$4),AND(A614+1&gt;=$AF$8,A614+1&lt;=$AF$9),A614+1=$AF$5),IF(NOT(ISBLANK(INDIRECT("template!"&amp;"P"&amp;A614+1))),A614+1,IF(NOT(ISBLANK(INDIRECT("template!"&amp;"P"&amp;A614+2))),A614+2,A614+3)),IF(A614=$AF$2,$AF$3,IF(A614=$AF$4,$AF$5,IF(A614=$AF$5,$AF$6,IF(A614=$AF$7,$AF$8,""))))))</f>
        <v>#REF!</v>
      </c>
      <c r="B615" t="e">
        <f t="shared" ca="1" si="51"/>
        <v>#REF!</v>
      </c>
      <c r="C615" t="e" cm="1">
        <f t="array" aca="1" ref="C615" ca="1">IF(A615="","",IF(B615="safety","safety costs",INDIRECT("template!"&amp;"B"&amp;A615)))</f>
        <v>#REF!</v>
      </c>
      <c r="D615" t="e" cm="1">
        <f t="array" aca="1" ref="D615" ca="1">IF(OR(A615="",B615="safety"),"",INDIRECT("template!"&amp;"C"&amp;A615))</f>
        <v>#REF!</v>
      </c>
      <c r="E615" t="e" cm="1">
        <f t="array" aca="1" ref="E615" ca="1">IF(A615="","",IF(OR(A615=A614+1,A615=A614+2),E614,INDIRECT("template!"&amp;"D"&amp;A615-2)))</f>
        <v>#REF!</v>
      </c>
      <c r="F615" t="e" cm="1">
        <f t="array" aca="1" ref="F615" ca="1">IF(OR(A615="",B615="safety"),"",IF(ISBLANK(IF(A615=A614+1,F614,INDIRECT("template!"&amp;"D"&amp;A615-1))),"",IF(A615=A614+1,F614,INDIRECT("template!"&amp;"D"&amp;A615-1))))</f>
        <v>#REF!</v>
      </c>
      <c r="G615" t="e" cm="1">
        <f t="array" aca="1" ref="G615" ca="1">IF(OR(A615="",B615="safety"),"",IF(ISBLANK(INDIRECT("template!"&amp;"D"&amp;A615)),"",INDIRECT("template!"&amp;"D"&amp;A615)))</f>
        <v>#REF!</v>
      </c>
      <c r="H615" t="e" cm="1">
        <f t="array" aca="1" ref="H615" ca="1">IF(OR(A615="",B615="safety"),"",IF(ISBLANK(INDIRECT("template!"&amp;"E"&amp;A615)),"",INDIRECT("template!"&amp;"E"&amp;A615)))</f>
        <v>#REF!</v>
      </c>
      <c r="I615" t="e" cm="1">
        <f t="array" aca="1" ref="I615" ca="1">IF(OR(A615="",B615="safety"),"",IF(ISBLANK(INDIRECT("template!"&amp;"F"&amp;A615)),"",INDIRECT("template!"&amp;"F"&amp;A615)))</f>
        <v>#REF!</v>
      </c>
      <c r="J615" t="e" cm="1">
        <f t="array" aca="1" ref="J615" ca="1">IF(OR(A615="",B615="safety"),"",IF(ISBLANK(INDIRECT("template!"&amp;"G"&amp;A615)),"",INDIRECT("template!"&amp;"G"&amp;A615)))</f>
        <v>#REF!</v>
      </c>
      <c r="K615" t="e" cm="1">
        <f t="array" aca="1" ref="K615" ca="1">IF(OR(A615="",B615="safety"),"",IF(ISBLANK(INDIRECT("template!"&amp;"H"&amp;A615)),"",INDIRECT("template!"&amp;"H"&amp;A615)))</f>
        <v>#REF!</v>
      </c>
      <c r="L615" t="e" cm="1">
        <f t="array" aca="1" ref="L615" ca="1">IF(OR(A615="",B615="safety"),"",INDIRECT("template!"&amp;"I"&amp;A615))</f>
        <v>#REF!</v>
      </c>
      <c r="M615" t="e" cm="1">
        <f t="array" aca="1" ref="M615" ca="1">IF(OR(A615="",B615="safety"),"",INDIRECT("template!"&amp;"J"&amp;A615))</f>
        <v>#REF!</v>
      </c>
      <c r="N615" t="e" cm="1">
        <f t="array" aca="1" ref="N615" ca="1">IF(OR(A615="",B615="safety"),"",IF(ISBLANK(INDIRECT("template!"&amp;"K"&amp;A615)),"",INDIRECT("template!"&amp;"K"&amp;A615)))</f>
        <v>#REF!</v>
      </c>
      <c r="O615" t="e" cm="1">
        <f t="array" aca="1" ref="O615" ca="1">IF(OR(A615="",B615="safety"),"",INDIRECT("template!"&amp;"L"&amp;A615))</f>
        <v>#REF!</v>
      </c>
      <c r="P615" t="e" cm="1">
        <f t="array" aca="1" ref="P615" ca="1">IF(OR(A615="",B615="safety"),"",INDIRECT("template!"&amp;"M"&amp;A615))</f>
        <v>#REF!</v>
      </c>
      <c r="Q615" t="e">
        <f t="shared" ca="1" si="52"/>
        <v>#REF!</v>
      </c>
      <c r="R615" t="e">
        <f t="shared" ca="1" si="53"/>
        <v>#REF!</v>
      </c>
      <c r="S615" t="e">
        <f t="shared" ca="1" si="54"/>
        <v>#REF!</v>
      </c>
      <c r="T615" t="e">
        <f t="shared" ca="1" si="55"/>
        <v>#REF!</v>
      </c>
      <c r="U615" t="e" cm="1">
        <f t="array" aca="1" ref="U615" ca="1">IF(A615="","",IF(E615="","",IF(B615="safety",INDIRECT("template!"&amp;"P"&amp;A615),Q615+R615)))</f>
        <v>#REF!</v>
      </c>
      <c r="V615" t="e" cm="1">
        <f t="array" aca="1" ref="V615" ca="1">IF(A615="","",IF(E615="","",IF(B615="safety",INDIRECT("template!"&amp;"P"&amp;A615),S615+T615)))</f>
        <v>#REF!</v>
      </c>
      <c r="W615" t="e">
        <f ca="1">IF(A615="","",IF(E615="","",#REF!))</f>
        <v>#REF!</v>
      </c>
      <c r="X615" t="e">
        <f ca="1">IF(A615="","",IF(E615="","",#REF!))</f>
        <v>#REF!</v>
      </c>
      <c r="Y615" s="39" t="e">
        <f ca="1">IF(A615="","",IF(E615="","",#REF!))</f>
        <v>#REF!</v>
      </c>
      <c r="Z615" t="e">
        <f ca="1">IF(A615="","",IF(E615="","",#REF!))</f>
        <v>#REF!</v>
      </c>
      <c r="AA615" t="e">
        <f ca="1">IF(A615="","",IF(E615="","",#REF!))</f>
        <v>#REF!</v>
      </c>
      <c r="AB615" t="e">
        <f ca="1">IF(A615="","",IF(E615="","",#REF!))</f>
        <v>#REF!</v>
      </c>
      <c r="AC615" t="e">
        <f t="shared" ca="1" si="56"/>
        <v>#REF!</v>
      </c>
    </row>
    <row r="616" spans="1:29" x14ac:dyDescent="0.35">
      <c r="A616" t="e" cm="1">
        <f t="array" aca="1" ref="A616" ca="1">IF(A615="","",IF(OR(AND(A615+1&gt;=$AF$1,A615+1&lt;=$AF$2),AND(A615+1&gt;=$AF$6,A615+1&lt;=$AF$7),AND(A615+1&gt;=$AF$3,A615+1&lt;=$AF$4),AND(A615+1&gt;=$AF$8,A615+1&lt;=$AF$9),A615+1=$AF$5),IF(NOT(ISBLANK(INDIRECT("template!"&amp;"P"&amp;A615+1))),A615+1,IF(NOT(ISBLANK(INDIRECT("template!"&amp;"P"&amp;A615+2))),A615+2,A615+3)),IF(A615=$AF$2,$AF$3,IF(A615=$AF$4,$AF$5,IF(A615=$AF$5,$AF$6,IF(A615=$AF$7,$AF$8,""))))))</f>
        <v>#REF!</v>
      </c>
      <c r="B616" t="e">
        <f t="shared" ca="1" si="51"/>
        <v>#REF!</v>
      </c>
      <c r="C616" t="e" cm="1">
        <f t="array" aca="1" ref="C616" ca="1">IF(A616="","",IF(B616="safety","safety costs",INDIRECT("template!"&amp;"B"&amp;A616)))</f>
        <v>#REF!</v>
      </c>
      <c r="D616" t="e" cm="1">
        <f t="array" aca="1" ref="D616" ca="1">IF(OR(A616="",B616="safety"),"",INDIRECT("template!"&amp;"C"&amp;A616))</f>
        <v>#REF!</v>
      </c>
      <c r="E616" t="e" cm="1">
        <f t="array" aca="1" ref="E616" ca="1">IF(A616="","",IF(OR(A616=A615+1,A616=A615+2),E615,INDIRECT("template!"&amp;"D"&amp;A616-2)))</f>
        <v>#REF!</v>
      </c>
      <c r="F616" t="e" cm="1">
        <f t="array" aca="1" ref="F616" ca="1">IF(OR(A616="",B616="safety"),"",IF(ISBLANK(IF(A616=A615+1,F615,INDIRECT("template!"&amp;"D"&amp;A616-1))),"",IF(A616=A615+1,F615,INDIRECT("template!"&amp;"D"&amp;A616-1))))</f>
        <v>#REF!</v>
      </c>
      <c r="G616" t="e" cm="1">
        <f t="array" aca="1" ref="G616" ca="1">IF(OR(A616="",B616="safety"),"",IF(ISBLANK(INDIRECT("template!"&amp;"D"&amp;A616)),"",INDIRECT("template!"&amp;"D"&amp;A616)))</f>
        <v>#REF!</v>
      </c>
      <c r="H616" t="e" cm="1">
        <f t="array" aca="1" ref="H616" ca="1">IF(OR(A616="",B616="safety"),"",IF(ISBLANK(INDIRECT("template!"&amp;"E"&amp;A616)),"",INDIRECT("template!"&amp;"E"&amp;A616)))</f>
        <v>#REF!</v>
      </c>
      <c r="I616" t="e" cm="1">
        <f t="array" aca="1" ref="I616" ca="1">IF(OR(A616="",B616="safety"),"",IF(ISBLANK(INDIRECT("template!"&amp;"F"&amp;A616)),"",INDIRECT("template!"&amp;"F"&amp;A616)))</f>
        <v>#REF!</v>
      </c>
      <c r="J616" t="e" cm="1">
        <f t="array" aca="1" ref="J616" ca="1">IF(OR(A616="",B616="safety"),"",IF(ISBLANK(INDIRECT("template!"&amp;"G"&amp;A616)),"",INDIRECT("template!"&amp;"G"&amp;A616)))</f>
        <v>#REF!</v>
      </c>
      <c r="K616" t="e" cm="1">
        <f t="array" aca="1" ref="K616" ca="1">IF(OR(A616="",B616="safety"),"",IF(ISBLANK(INDIRECT("template!"&amp;"H"&amp;A616)),"",INDIRECT("template!"&amp;"H"&amp;A616)))</f>
        <v>#REF!</v>
      </c>
      <c r="L616" t="e" cm="1">
        <f t="array" aca="1" ref="L616" ca="1">IF(OR(A616="",B616="safety"),"",INDIRECT("template!"&amp;"I"&amp;A616))</f>
        <v>#REF!</v>
      </c>
      <c r="M616" t="e" cm="1">
        <f t="array" aca="1" ref="M616" ca="1">IF(OR(A616="",B616="safety"),"",INDIRECT("template!"&amp;"J"&amp;A616))</f>
        <v>#REF!</v>
      </c>
      <c r="N616" t="e" cm="1">
        <f t="array" aca="1" ref="N616" ca="1">IF(OR(A616="",B616="safety"),"",IF(ISBLANK(INDIRECT("template!"&amp;"K"&amp;A616)),"",INDIRECT("template!"&amp;"K"&amp;A616)))</f>
        <v>#REF!</v>
      </c>
      <c r="O616" t="e" cm="1">
        <f t="array" aca="1" ref="O616" ca="1">IF(OR(A616="",B616="safety"),"",INDIRECT("template!"&amp;"L"&amp;A616))</f>
        <v>#REF!</v>
      </c>
      <c r="P616" t="e" cm="1">
        <f t="array" aca="1" ref="P616" ca="1">IF(OR(A616="",B616="safety"),"",INDIRECT("template!"&amp;"M"&amp;A616))</f>
        <v>#REF!</v>
      </c>
      <c r="Q616" t="e">
        <f t="shared" ca="1" si="52"/>
        <v>#REF!</v>
      </c>
      <c r="R616" t="e">
        <f t="shared" ca="1" si="53"/>
        <v>#REF!</v>
      </c>
      <c r="S616" t="e">
        <f t="shared" ca="1" si="54"/>
        <v>#REF!</v>
      </c>
      <c r="T616" t="e">
        <f t="shared" ca="1" si="55"/>
        <v>#REF!</v>
      </c>
      <c r="U616" t="e" cm="1">
        <f t="array" aca="1" ref="U616" ca="1">IF(A616="","",IF(E616="","",IF(B616="safety",INDIRECT("template!"&amp;"P"&amp;A616),Q616+R616)))</f>
        <v>#REF!</v>
      </c>
      <c r="V616" t="e" cm="1">
        <f t="array" aca="1" ref="V616" ca="1">IF(A616="","",IF(E616="","",IF(B616="safety",INDIRECT("template!"&amp;"P"&amp;A616),S616+T616)))</f>
        <v>#REF!</v>
      </c>
      <c r="W616" t="e">
        <f ca="1">IF(A616="","",IF(E616="","",#REF!))</f>
        <v>#REF!</v>
      </c>
      <c r="X616" t="e">
        <f ca="1">IF(A616="","",IF(E616="","",#REF!))</f>
        <v>#REF!</v>
      </c>
      <c r="Y616" s="39" t="e">
        <f ca="1">IF(A616="","",IF(E616="","",#REF!))</f>
        <v>#REF!</v>
      </c>
      <c r="Z616" t="e">
        <f ca="1">IF(A616="","",IF(E616="","",#REF!))</f>
        <v>#REF!</v>
      </c>
      <c r="AA616" t="e">
        <f ca="1">IF(A616="","",IF(E616="","",#REF!))</f>
        <v>#REF!</v>
      </c>
      <c r="AB616" t="e">
        <f ca="1">IF(A616="","",IF(E616="","",#REF!))</f>
        <v>#REF!</v>
      </c>
      <c r="AC616" t="e">
        <f t="shared" ca="1" si="56"/>
        <v>#REF!</v>
      </c>
    </row>
    <row r="617" spans="1:29" x14ac:dyDescent="0.35">
      <c r="A617" t="e" cm="1">
        <f t="array" aca="1" ref="A617" ca="1">IF(A616="","",IF(OR(AND(A616+1&gt;=$AF$1,A616+1&lt;=$AF$2),AND(A616+1&gt;=$AF$6,A616+1&lt;=$AF$7),AND(A616+1&gt;=$AF$3,A616+1&lt;=$AF$4),AND(A616+1&gt;=$AF$8,A616+1&lt;=$AF$9),A616+1=$AF$5),IF(NOT(ISBLANK(INDIRECT("template!"&amp;"P"&amp;A616+1))),A616+1,IF(NOT(ISBLANK(INDIRECT("template!"&amp;"P"&amp;A616+2))),A616+2,A616+3)),IF(A616=$AF$2,$AF$3,IF(A616=$AF$4,$AF$5,IF(A616=$AF$5,$AF$6,IF(A616=$AF$7,$AF$8,""))))))</f>
        <v>#REF!</v>
      </c>
      <c r="B617" t="e">
        <f t="shared" ca="1" si="51"/>
        <v>#REF!</v>
      </c>
      <c r="C617" t="e" cm="1">
        <f t="array" aca="1" ref="C617" ca="1">IF(A617="","",IF(B617="safety","safety costs",INDIRECT("template!"&amp;"B"&amp;A617)))</f>
        <v>#REF!</v>
      </c>
      <c r="D617" t="e" cm="1">
        <f t="array" aca="1" ref="D617" ca="1">IF(OR(A617="",B617="safety"),"",INDIRECT("template!"&amp;"C"&amp;A617))</f>
        <v>#REF!</v>
      </c>
      <c r="E617" t="e" cm="1">
        <f t="array" aca="1" ref="E617" ca="1">IF(A617="","",IF(OR(A617=A616+1,A617=A616+2),E616,INDIRECT("template!"&amp;"D"&amp;A617-2)))</f>
        <v>#REF!</v>
      </c>
      <c r="F617" t="e" cm="1">
        <f t="array" aca="1" ref="F617" ca="1">IF(OR(A617="",B617="safety"),"",IF(ISBLANK(IF(A617=A616+1,F616,INDIRECT("template!"&amp;"D"&amp;A617-1))),"",IF(A617=A616+1,F616,INDIRECT("template!"&amp;"D"&amp;A617-1))))</f>
        <v>#REF!</v>
      </c>
      <c r="G617" t="e" cm="1">
        <f t="array" aca="1" ref="G617" ca="1">IF(OR(A617="",B617="safety"),"",IF(ISBLANK(INDIRECT("template!"&amp;"D"&amp;A617)),"",INDIRECT("template!"&amp;"D"&amp;A617)))</f>
        <v>#REF!</v>
      </c>
      <c r="H617" t="e" cm="1">
        <f t="array" aca="1" ref="H617" ca="1">IF(OR(A617="",B617="safety"),"",IF(ISBLANK(INDIRECT("template!"&amp;"E"&amp;A617)),"",INDIRECT("template!"&amp;"E"&amp;A617)))</f>
        <v>#REF!</v>
      </c>
      <c r="I617" t="e" cm="1">
        <f t="array" aca="1" ref="I617" ca="1">IF(OR(A617="",B617="safety"),"",IF(ISBLANK(INDIRECT("template!"&amp;"F"&amp;A617)),"",INDIRECT("template!"&amp;"F"&amp;A617)))</f>
        <v>#REF!</v>
      </c>
      <c r="J617" t="e" cm="1">
        <f t="array" aca="1" ref="J617" ca="1">IF(OR(A617="",B617="safety"),"",IF(ISBLANK(INDIRECT("template!"&amp;"G"&amp;A617)),"",INDIRECT("template!"&amp;"G"&amp;A617)))</f>
        <v>#REF!</v>
      </c>
      <c r="K617" t="e" cm="1">
        <f t="array" aca="1" ref="K617" ca="1">IF(OR(A617="",B617="safety"),"",IF(ISBLANK(INDIRECT("template!"&amp;"H"&amp;A617)),"",INDIRECT("template!"&amp;"H"&amp;A617)))</f>
        <v>#REF!</v>
      </c>
      <c r="L617" t="e" cm="1">
        <f t="array" aca="1" ref="L617" ca="1">IF(OR(A617="",B617="safety"),"",INDIRECT("template!"&amp;"I"&amp;A617))</f>
        <v>#REF!</v>
      </c>
      <c r="M617" t="e" cm="1">
        <f t="array" aca="1" ref="M617" ca="1">IF(OR(A617="",B617="safety"),"",INDIRECT("template!"&amp;"J"&amp;A617))</f>
        <v>#REF!</v>
      </c>
      <c r="N617" t="e" cm="1">
        <f t="array" aca="1" ref="N617" ca="1">IF(OR(A617="",B617="safety"),"",IF(ISBLANK(INDIRECT("template!"&amp;"K"&amp;A617)),"",INDIRECT("template!"&amp;"K"&amp;A617)))</f>
        <v>#REF!</v>
      </c>
      <c r="O617" t="e" cm="1">
        <f t="array" aca="1" ref="O617" ca="1">IF(OR(A617="",B617="safety"),"",INDIRECT("template!"&amp;"L"&amp;A617))</f>
        <v>#REF!</v>
      </c>
      <c r="P617" t="e" cm="1">
        <f t="array" aca="1" ref="P617" ca="1">IF(OR(A617="",B617="safety"),"",INDIRECT("template!"&amp;"M"&amp;A617))</f>
        <v>#REF!</v>
      </c>
      <c r="Q617" t="e">
        <f t="shared" ca="1" si="52"/>
        <v>#REF!</v>
      </c>
      <c r="R617" t="e">
        <f t="shared" ca="1" si="53"/>
        <v>#REF!</v>
      </c>
      <c r="S617" t="e">
        <f t="shared" ca="1" si="54"/>
        <v>#REF!</v>
      </c>
      <c r="T617" t="e">
        <f t="shared" ca="1" si="55"/>
        <v>#REF!</v>
      </c>
      <c r="U617" t="e" cm="1">
        <f t="array" aca="1" ref="U617" ca="1">IF(A617="","",IF(E617="","",IF(B617="safety",INDIRECT("template!"&amp;"P"&amp;A617),Q617+R617)))</f>
        <v>#REF!</v>
      </c>
      <c r="V617" t="e" cm="1">
        <f t="array" aca="1" ref="V617" ca="1">IF(A617="","",IF(E617="","",IF(B617="safety",INDIRECT("template!"&amp;"P"&amp;A617),S617+T617)))</f>
        <v>#REF!</v>
      </c>
      <c r="W617" t="e">
        <f ca="1">IF(A617="","",IF(E617="","",#REF!))</f>
        <v>#REF!</v>
      </c>
      <c r="X617" t="e">
        <f ca="1">IF(A617="","",IF(E617="","",#REF!))</f>
        <v>#REF!</v>
      </c>
      <c r="Y617" s="39" t="e">
        <f ca="1">IF(A617="","",IF(E617="","",#REF!))</f>
        <v>#REF!</v>
      </c>
      <c r="Z617" t="e">
        <f ca="1">IF(A617="","",IF(E617="","",#REF!))</f>
        <v>#REF!</v>
      </c>
      <c r="AA617" t="e">
        <f ca="1">IF(A617="","",IF(E617="","",#REF!))</f>
        <v>#REF!</v>
      </c>
      <c r="AB617" t="e">
        <f ca="1">IF(A617="","",IF(E617="","",#REF!))</f>
        <v>#REF!</v>
      </c>
      <c r="AC617" t="e">
        <f t="shared" ca="1" si="56"/>
        <v>#REF!</v>
      </c>
    </row>
    <row r="618" spans="1:29" x14ac:dyDescent="0.35">
      <c r="A618" t="e" cm="1">
        <f t="array" aca="1" ref="A618" ca="1">IF(A617="","",IF(OR(AND(A617+1&gt;=$AF$1,A617+1&lt;=$AF$2),AND(A617+1&gt;=$AF$6,A617+1&lt;=$AF$7),AND(A617+1&gt;=$AF$3,A617+1&lt;=$AF$4),AND(A617+1&gt;=$AF$8,A617+1&lt;=$AF$9),A617+1=$AF$5),IF(NOT(ISBLANK(INDIRECT("template!"&amp;"P"&amp;A617+1))),A617+1,IF(NOT(ISBLANK(INDIRECT("template!"&amp;"P"&amp;A617+2))),A617+2,A617+3)),IF(A617=$AF$2,$AF$3,IF(A617=$AF$4,$AF$5,IF(A617=$AF$5,$AF$6,IF(A617=$AF$7,$AF$8,""))))))</f>
        <v>#REF!</v>
      </c>
      <c r="B618" t="e">
        <f t="shared" ca="1" si="51"/>
        <v>#REF!</v>
      </c>
      <c r="C618" t="e" cm="1">
        <f t="array" aca="1" ref="C618" ca="1">IF(A618="","",IF(B618="safety","safety costs",INDIRECT("template!"&amp;"B"&amp;A618)))</f>
        <v>#REF!</v>
      </c>
      <c r="D618" t="e" cm="1">
        <f t="array" aca="1" ref="D618" ca="1">IF(OR(A618="",B618="safety"),"",INDIRECT("template!"&amp;"C"&amp;A618))</f>
        <v>#REF!</v>
      </c>
      <c r="E618" t="e" cm="1">
        <f t="array" aca="1" ref="E618" ca="1">IF(A618="","",IF(OR(A618=A617+1,A618=A617+2),E617,INDIRECT("template!"&amp;"D"&amp;A618-2)))</f>
        <v>#REF!</v>
      </c>
      <c r="F618" t="e" cm="1">
        <f t="array" aca="1" ref="F618" ca="1">IF(OR(A618="",B618="safety"),"",IF(ISBLANK(IF(A618=A617+1,F617,INDIRECT("template!"&amp;"D"&amp;A618-1))),"",IF(A618=A617+1,F617,INDIRECT("template!"&amp;"D"&amp;A618-1))))</f>
        <v>#REF!</v>
      </c>
      <c r="G618" t="e" cm="1">
        <f t="array" aca="1" ref="G618" ca="1">IF(OR(A618="",B618="safety"),"",IF(ISBLANK(INDIRECT("template!"&amp;"D"&amp;A618)),"",INDIRECT("template!"&amp;"D"&amp;A618)))</f>
        <v>#REF!</v>
      </c>
      <c r="H618" t="e" cm="1">
        <f t="array" aca="1" ref="H618" ca="1">IF(OR(A618="",B618="safety"),"",IF(ISBLANK(INDIRECT("template!"&amp;"E"&amp;A618)),"",INDIRECT("template!"&amp;"E"&amp;A618)))</f>
        <v>#REF!</v>
      </c>
      <c r="I618" t="e" cm="1">
        <f t="array" aca="1" ref="I618" ca="1">IF(OR(A618="",B618="safety"),"",IF(ISBLANK(INDIRECT("template!"&amp;"F"&amp;A618)),"",INDIRECT("template!"&amp;"F"&amp;A618)))</f>
        <v>#REF!</v>
      </c>
      <c r="J618" t="e" cm="1">
        <f t="array" aca="1" ref="J618" ca="1">IF(OR(A618="",B618="safety"),"",IF(ISBLANK(INDIRECT("template!"&amp;"G"&amp;A618)),"",INDIRECT("template!"&amp;"G"&amp;A618)))</f>
        <v>#REF!</v>
      </c>
      <c r="K618" t="e" cm="1">
        <f t="array" aca="1" ref="K618" ca="1">IF(OR(A618="",B618="safety"),"",IF(ISBLANK(INDIRECT("template!"&amp;"H"&amp;A618)),"",INDIRECT("template!"&amp;"H"&amp;A618)))</f>
        <v>#REF!</v>
      </c>
      <c r="L618" t="e" cm="1">
        <f t="array" aca="1" ref="L618" ca="1">IF(OR(A618="",B618="safety"),"",INDIRECT("template!"&amp;"I"&amp;A618))</f>
        <v>#REF!</v>
      </c>
      <c r="M618" t="e" cm="1">
        <f t="array" aca="1" ref="M618" ca="1">IF(OR(A618="",B618="safety"),"",INDIRECT("template!"&amp;"J"&amp;A618))</f>
        <v>#REF!</v>
      </c>
      <c r="N618" t="e" cm="1">
        <f t="array" aca="1" ref="N618" ca="1">IF(OR(A618="",B618="safety"),"",IF(ISBLANK(INDIRECT("template!"&amp;"K"&amp;A618)),"",INDIRECT("template!"&amp;"K"&amp;A618)))</f>
        <v>#REF!</v>
      </c>
      <c r="O618" t="e" cm="1">
        <f t="array" aca="1" ref="O618" ca="1">IF(OR(A618="",B618="safety"),"",INDIRECT("template!"&amp;"L"&amp;A618))</f>
        <v>#REF!</v>
      </c>
      <c r="P618" t="e" cm="1">
        <f t="array" aca="1" ref="P618" ca="1">IF(OR(A618="",B618="safety"),"",INDIRECT("template!"&amp;"M"&amp;A618))</f>
        <v>#REF!</v>
      </c>
      <c r="Q618" t="e">
        <f t="shared" ca="1" si="52"/>
        <v>#REF!</v>
      </c>
      <c r="R618" t="e">
        <f t="shared" ca="1" si="53"/>
        <v>#REF!</v>
      </c>
      <c r="S618" t="e">
        <f t="shared" ca="1" si="54"/>
        <v>#REF!</v>
      </c>
      <c r="T618" t="e">
        <f t="shared" ca="1" si="55"/>
        <v>#REF!</v>
      </c>
      <c r="U618" t="e" cm="1">
        <f t="array" aca="1" ref="U618" ca="1">IF(A618="","",IF(E618="","",IF(B618="safety",INDIRECT("template!"&amp;"P"&amp;A618),Q618+R618)))</f>
        <v>#REF!</v>
      </c>
      <c r="V618" t="e" cm="1">
        <f t="array" aca="1" ref="V618" ca="1">IF(A618="","",IF(E618="","",IF(B618="safety",INDIRECT("template!"&amp;"P"&amp;A618),S618+T618)))</f>
        <v>#REF!</v>
      </c>
      <c r="W618" t="e">
        <f ca="1">IF(A618="","",IF(E618="","",#REF!))</f>
        <v>#REF!</v>
      </c>
      <c r="X618" t="e">
        <f ca="1">IF(A618="","",IF(E618="","",#REF!))</f>
        <v>#REF!</v>
      </c>
      <c r="Y618" s="39" t="e">
        <f ca="1">IF(A618="","",IF(E618="","",#REF!))</f>
        <v>#REF!</v>
      </c>
      <c r="Z618" t="e">
        <f ca="1">IF(A618="","",IF(E618="","",#REF!))</f>
        <v>#REF!</v>
      </c>
      <c r="AA618" t="e">
        <f ca="1">IF(A618="","",IF(E618="","",#REF!))</f>
        <v>#REF!</v>
      </c>
      <c r="AB618" t="e">
        <f ca="1">IF(A618="","",IF(E618="","",#REF!))</f>
        <v>#REF!</v>
      </c>
      <c r="AC618" t="e">
        <f t="shared" ca="1" si="56"/>
        <v>#REF!</v>
      </c>
    </row>
    <row r="619" spans="1:29" x14ac:dyDescent="0.35">
      <c r="A619" t="e" cm="1">
        <f t="array" aca="1" ref="A619" ca="1">IF(A618="","",IF(OR(AND(A618+1&gt;=$AF$1,A618+1&lt;=$AF$2),AND(A618+1&gt;=$AF$6,A618+1&lt;=$AF$7),AND(A618+1&gt;=$AF$3,A618+1&lt;=$AF$4),AND(A618+1&gt;=$AF$8,A618+1&lt;=$AF$9),A618+1=$AF$5),IF(NOT(ISBLANK(INDIRECT("template!"&amp;"P"&amp;A618+1))),A618+1,IF(NOT(ISBLANK(INDIRECT("template!"&amp;"P"&amp;A618+2))),A618+2,A618+3)),IF(A618=$AF$2,$AF$3,IF(A618=$AF$4,$AF$5,IF(A618=$AF$5,$AF$6,IF(A618=$AF$7,$AF$8,""))))))</f>
        <v>#REF!</v>
      </c>
      <c r="B619" t="e">
        <f t="shared" ca="1" si="51"/>
        <v>#REF!</v>
      </c>
      <c r="C619" t="e" cm="1">
        <f t="array" aca="1" ref="C619" ca="1">IF(A619="","",IF(B619="safety","safety costs",INDIRECT("template!"&amp;"B"&amp;A619)))</f>
        <v>#REF!</v>
      </c>
      <c r="D619" t="e" cm="1">
        <f t="array" aca="1" ref="D619" ca="1">IF(OR(A619="",B619="safety"),"",INDIRECT("template!"&amp;"C"&amp;A619))</f>
        <v>#REF!</v>
      </c>
      <c r="E619" t="e" cm="1">
        <f t="array" aca="1" ref="E619" ca="1">IF(A619="","",IF(OR(A619=A618+1,A619=A618+2),E618,INDIRECT("template!"&amp;"D"&amp;A619-2)))</f>
        <v>#REF!</v>
      </c>
      <c r="F619" t="e" cm="1">
        <f t="array" aca="1" ref="F619" ca="1">IF(OR(A619="",B619="safety"),"",IF(ISBLANK(IF(A619=A618+1,F618,INDIRECT("template!"&amp;"D"&amp;A619-1))),"",IF(A619=A618+1,F618,INDIRECT("template!"&amp;"D"&amp;A619-1))))</f>
        <v>#REF!</v>
      </c>
      <c r="G619" t="e" cm="1">
        <f t="array" aca="1" ref="G619" ca="1">IF(OR(A619="",B619="safety"),"",IF(ISBLANK(INDIRECT("template!"&amp;"D"&amp;A619)),"",INDIRECT("template!"&amp;"D"&amp;A619)))</f>
        <v>#REF!</v>
      </c>
      <c r="H619" t="e" cm="1">
        <f t="array" aca="1" ref="H619" ca="1">IF(OR(A619="",B619="safety"),"",IF(ISBLANK(INDIRECT("template!"&amp;"E"&amp;A619)),"",INDIRECT("template!"&amp;"E"&amp;A619)))</f>
        <v>#REF!</v>
      </c>
      <c r="I619" t="e" cm="1">
        <f t="array" aca="1" ref="I619" ca="1">IF(OR(A619="",B619="safety"),"",IF(ISBLANK(INDIRECT("template!"&amp;"F"&amp;A619)),"",INDIRECT("template!"&amp;"F"&amp;A619)))</f>
        <v>#REF!</v>
      </c>
      <c r="J619" t="e" cm="1">
        <f t="array" aca="1" ref="J619" ca="1">IF(OR(A619="",B619="safety"),"",IF(ISBLANK(INDIRECT("template!"&amp;"G"&amp;A619)),"",INDIRECT("template!"&amp;"G"&amp;A619)))</f>
        <v>#REF!</v>
      </c>
      <c r="K619" t="e" cm="1">
        <f t="array" aca="1" ref="K619" ca="1">IF(OR(A619="",B619="safety"),"",IF(ISBLANK(INDIRECT("template!"&amp;"H"&amp;A619)),"",INDIRECT("template!"&amp;"H"&amp;A619)))</f>
        <v>#REF!</v>
      </c>
      <c r="L619" t="e" cm="1">
        <f t="array" aca="1" ref="L619" ca="1">IF(OR(A619="",B619="safety"),"",INDIRECT("template!"&amp;"I"&amp;A619))</f>
        <v>#REF!</v>
      </c>
      <c r="M619" t="e" cm="1">
        <f t="array" aca="1" ref="M619" ca="1">IF(OR(A619="",B619="safety"),"",INDIRECT("template!"&amp;"J"&amp;A619))</f>
        <v>#REF!</v>
      </c>
      <c r="N619" t="e" cm="1">
        <f t="array" aca="1" ref="N619" ca="1">IF(OR(A619="",B619="safety"),"",IF(ISBLANK(INDIRECT("template!"&amp;"K"&amp;A619)),"",INDIRECT("template!"&amp;"K"&amp;A619)))</f>
        <v>#REF!</v>
      </c>
      <c r="O619" t="e" cm="1">
        <f t="array" aca="1" ref="O619" ca="1">IF(OR(A619="",B619="safety"),"",INDIRECT("template!"&amp;"L"&amp;A619))</f>
        <v>#REF!</v>
      </c>
      <c r="P619" t="e" cm="1">
        <f t="array" aca="1" ref="P619" ca="1">IF(OR(A619="",B619="safety"),"",INDIRECT("template!"&amp;"M"&amp;A619))</f>
        <v>#REF!</v>
      </c>
      <c r="Q619" t="e">
        <f t="shared" ca="1" si="52"/>
        <v>#REF!</v>
      </c>
      <c r="R619" t="e">
        <f t="shared" ca="1" si="53"/>
        <v>#REF!</v>
      </c>
      <c r="S619" t="e">
        <f t="shared" ca="1" si="54"/>
        <v>#REF!</v>
      </c>
      <c r="T619" t="e">
        <f t="shared" ca="1" si="55"/>
        <v>#REF!</v>
      </c>
      <c r="U619" t="e" cm="1">
        <f t="array" aca="1" ref="U619" ca="1">IF(A619="","",IF(E619="","",IF(B619="safety",INDIRECT("template!"&amp;"P"&amp;A619),Q619+R619)))</f>
        <v>#REF!</v>
      </c>
      <c r="V619" t="e" cm="1">
        <f t="array" aca="1" ref="V619" ca="1">IF(A619="","",IF(E619="","",IF(B619="safety",INDIRECT("template!"&amp;"P"&amp;A619),S619+T619)))</f>
        <v>#REF!</v>
      </c>
      <c r="W619" t="e">
        <f ca="1">IF(A619="","",IF(E619="","",#REF!))</f>
        <v>#REF!</v>
      </c>
      <c r="X619" t="e">
        <f ca="1">IF(A619="","",IF(E619="","",#REF!))</f>
        <v>#REF!</v>
      </c>
      <c r="Y619" s="39" t="e">
        <f ca="1">IF(A619="","",IF(E619="","",#REF!))</f>
        <v>#REF!</v>
      </c>
      <c r="Z619" t="e">
        <f ca="1">IF(A619="","",IF(E619="","",#REF!))</f>
        <v>#REF!</v>
      </c>
      <c r="AA619" t="e">
        <f ca="1">IF(A619="","",IF(E619="","",#REF!))</f>
        <v>#REF!</v>
      </c>
      <c r="AB619" t="e">
        <f ca="1">IF(A619="","",IF(E619="","",#REF!))</f>
        <v>#REF!</v>
      </c>
      <c r="AC619" t="e">
        <f t="shared" ca="1" si="56"/>
        <v>#REF!</v>
      </c>
    </row>
    <row r="620" spans="1:29" x14ac:dyDescent="0.35">
      <c r="A620" t="e" cm="1">
        <f t="array" aca="1" ref="A620" ca="1">IF(A619="","",IF(OR(AND(A619+1&gt;=$AF$1,A619+1&lt;=$AF$2),AND(A619+1&gt;=$AF$6,A619+1&lt;=$AF$7),AND(A619+1&gt;=$AF$3,A619+1&lt;=$AF$4),AND(A619+1&gt;=$AF$8,A619+1&lt;=$AF$9),A619+1=$AF$5),IF(NOT(ISBLANK(INDIRECT("template!"&amp;"P"&amp;A619+1))),A619+1,IF(NOT(ISBLANK(INDIRECT("template!"&amp;"P"&amp;A619+2))),A619+2,A619+3)),IF(A619=$AF$2,$AF$3,IF(A619=$AF$4,$AF$5,IF(A619=$AF$5,$AF$6,IF(A619=$AF$7,$AF$8,""))))))</f>
        <v>#REF!</v>
      </c>
      <c r="B620" t="e">
        <f t="shared" ca="1" si="51"/>
        <v>#REF!</v>
      </c>
      <c r="C620" t="e" cm="1">
        <f t="array" aca="1" ref="C620" ca="1">IF(A620="","",IF(B620="safety","safety costs",INDIRECT("template!"&amp;"B"&amp;A620)))</f>
        <v>#REF!</v>
      </c>
      <c r="D620" t="e" cm="1">
        <f t="array" aca="1" ref="D620" ca="1">IF(OR(A620="",B620="safety"),"",INDIRECT("template!"&amp;"C"&amp;A620))</f>
        <v>#REF!</v>
      </c>
      <c r="E620" t="e" cm="1">
        <f t="array" aca="1" ref="E620" ca="1">IF(A620="","",IF(OR(A620=A619+1,A620=A619+2),E619,INDIRECT("template!"&amp;"D"&amp;A620-2)))</f>
        <v>#REF!</v>
      </c>
      <c r="F620" t="e" cm="1">
        <f t="array" aca="1" ref="F620" ca="1">IF(OR(A620="",B620="safety"),"",IF(ISBLANK(IF(A620=A619+1,F619,INDIRECT("template!"&amp;"D"&amp;A620-1))),"",IF(A620=A619+1,F619,INDIRECT("template!"&amp;"D"&amp;A620-1))))</f>
        <v>#REF!</v>
      </c>
      <c r="G620" t="e" cm="1">
        <f t="array" aca="1" ref="G620" ca="1">IF(OR(A620="",B620="safety"),"",IF(ISBLANK(INDIRECT("template!"&amp;"D"&amp;A620)),"",INDIRECT("template!"&amp;"D"&amp;A620)))</f>
        <v>#REF!</v>
      </c>
      <c r="H620" t="e" cm="1">
        <f t="array" aca="1" ref="H620" ca="1">IF(OR(A620="",B620="safety"),"",IF(ISBLANK(INDIRECT("template!"&amp;"E"&amp;A620)),"",INDIRECT("template!"&amp;"E"&amp;A620)))</f>
        <v>#REF!</v>
      </c>
      <c r="I620" t="e" cm="1">
        <f t="array" aca="1" ref="I620" ca="1">IF(OR(A620="",B620="safety"),"",IF(ISBLANK(INDIRECT("template!"&amp;"F"&amp;A620)),"",INDIRECT("template!"&amp;"F"&amp;A620)))</f>
        <v>#REF!</v>
      </c>
      <c r="J620" t="e" cm="1">
        <f t="array" aca="1" ref="J620" ca="1">IF(OR(A620="",B620="safety"),"",IF(ISBLANK(INDIRECT("template!"&amp;"G"&amp;A620)),"",INDIRECT("template!"&amp;"G"&amp;A620)))</f>
        <v>#REF!</v>
      </c>
      <c r="K620" t="e" cm="1">
        <f t="array" aca="1" ref="K620" ca="1">IF(OR(A620="",B620="safety"),"",IF(ISBLANK(INDIRECT("template!"&amp;"H"&amp;A620)),"",INDIRECT("template!"&amp;"H"&amp;A620)))</f>
        <v>#REF!</v>
      </c>
      <c r="L620" t="e" cm="1">
        <f t="array" aca="1" ref="L620" ca="1">IF(OR(A620="",B620="safety"),"",INDIRECT("template!"&amp;"I"&amp;A620))</f>
        <v>#REF!</v>
      </c>
      <c r="M620" t="e" cm="1">
        <f t="array" aca="1" ref="M620" ca="1">IF(OR(A620="",B620="safety"),"",INDIRECT("template!"&amp;"J"&amp;A620))</f>
        <v>#REF!</v>
      </c>
      <c r="N620" t="e" cm="1">
        <f t="array" aca="1" ref="N620" ca="1">IF(OR(A620="",B620="safety"),"",IF(ISBLANK(INDIRECT("template!"&amp;"K"&amp;A620)),"",INDIRECT("template!"&amp;"K"&amp;A620)))</f>
        <v>#REF!</v>
      </c>
      <c r="O620" t="e" cm="1">
        <f t="array" aca="1" ref="O620" ca="1">IF(OR(A620="",B620="safety"),"",INDIRECT("template!"&amp;"L"&amp;A620))</f>
        <v>#REF!</v>
      </c>
      <c r="P620" t="e" cm="1">
        <f t="array" aca="1" ref="P620" ca="1">IF(OR(A620="",B620="safety"),"",INDIRECT("template!"&amp;"M"&amp;A620))</f>
        <v>#REF!</v>
      </c>
      <c r="Q620" t="e">
        <f t="shared" ca="1" si="52"/>
        <v>#REF!</v>
      </c>
      <c r="R620" t="e">
        <f t="shared" ca="1" si="53"/>
        <v>#REF!</v>
      </c>
      <c r="S620" t="e">
        <f t="shared" ca="1" si="54"/>
        <v>#REF!</v>
      </c>
      <c r="T620" t="e">
        <f t="shared" ca="1" si="55"/>
        <v>#REF!</v>
      </c>
      <c r="U620" t="e" cm="1">
        <f t="array" aca="1" ref="U620" ca="1">IF(A620="","",IF(E620="","",IF(B620="safety",INDIRECT("template!"&amp;"P"&amp;A620),Q620+R620)))</f>
        <v>#REF!</v>
      </c>
      <c r="V620" t="e" cm="1">
        <f t="array" aca="1" ref="V620" ca="1">IF(A620="","",IF(E620="","",IF(B620="safety",INDIRECT("template!"&amp;"P"&amp;A620),S620+T620)))</f>
        <v>#REF!</v>
      </c>
      <c r="W620" t="e">
        <f ca="1">IF(A620="","",IF(E620="","",#REF!))</f>
        <v>#REF!</v>
      </c>
      <c r="X620" t="e">
        <f ca="1">IF(A620="","",IF(E620="","",#REF!))</f>
        <v>#REF!</v>
      </c>
      <c r="Y620" s="39" t="e">
        <f ca="1">IF(A620="","",IF(E620="","",#REF!))</f>
        <v>#REF!</v>
      </c>
      <c r="Z620" t="e">
        <f ca="1">IF(A620="","",IF(E620="","",#REF!))</f>
        <v>#REF!</v>
      </c>
      <c r="AA620" t="e">
        <f ca="1">IF(A620="","",IF(E620="","",#REF!))</f>
        <v>#REF!</v>
      </c>
      <c r="AB620" t="e">
        <f ca="1">IF(A620="","",IF(E620="","",#REF!))</f>
        <v>#REF!</v>
      </c>
      <c r="AC620" t="e">
        <f t="shared" ca="1" si="56"/>
        <v>#REF!</v>
      </c>
    </row>
    <row r="621" spans="1:29" x14ac:dyDescent="0.35">
      <c r="A621" t="e" cm="1">
        <f t="array" aca="1" ref="A621" ca="1">IF(A620="","",IF(OR(AND(A620+1&gt;=$AF$1,A620+1&lt;=$AF$2),AND(A620+1&gt;=$AF$6,A620+1&lt;=$AF$7),AND(A620+1&gt;=$AF$3,A620+1&lt;=$AF$4),AND(A620+1&gt;=$AF$8,A620+1&lt;=$AF$9),A620+1=$AF$5),IF(NOT(ISBLANK(INDIRECT("template!"&amp;"P"&amp;A620+1))),A620+1,IF(NOT(ISBLANK(INDIRECT("template!"&amp;"P"&amp;A620+2))),A620+2,A620+3)),IF(A620=$AF$2,$AF$3,IF(A620=$AF$4,$AF$5,IF(A620=$AF$5,$AF$6,IF(A620=$AF$7,$AF$8,""))))))</f>
        <v>#REF!</v>
      </c>
      <c r="B621" t="e">
        <f t="shared" ca="1" si="51"/>
        <v>#REF!</v>
      </c>
      <c r="C621" t="e" cm="1">
        <f t="array" aca="1" ref="C621" ca="1">IF(A621="","",IF(B621="safety","safety costs",INDIRECT("template!"&amp;"B"&amp;A621)))</f>
        <v>#REF!</v>
      </c>
      <c r="D621" t="e" cm="1">
        <f t="array" aca="1" ref="D621" ca="1">IF(OR(A621="",B621="safety"),"",INDIRECT("template!"&amp;"C"&amp;A621))</f>
        <v>#REF!</v>
      </c>
      <c r="E621" t="e" cm="1">
        <f t="array" aca="1" ref="E621" ca="1">IF(A621="","",IF(OR(A621=A620+1,A621=A620+2),E620,INDIRECT("template!"&amp;"D"&amp;A621-2)))</f>
        <v>#REF!</v>
      </c>
      <c r="F621" t="e" cm="1">
        <f t="array" aca="1" ref="F621" ca="1">IF(OR(A621="",B621="safety"),"",IF(ISBLANK(IF(A621=A620+1,F620,INDIRECT("template!"&amp;"D"&amp;A621-1))),"",IF(A621=A620+1,F620,INDIRECT("template!"&amp;"D"&amp;A621-1))))</f>
        <v>#REF!</v>
      </c>
      <c r="G621" t="e" cm="1">
        <f t="array" aca="1" ref="G621" ca="1">IF(OR(A621="",B621="safety"),"",IF(ISBLANK(INDIRECT("template!"&amp;"D"&amp;A621)),"",INDIRECT("template!"&amp;"D"&amp;A621)))</f>
        <v>#REF!</v>
      </c>
      <c r="H621" t="e" cm="1">
        <f t="array" aca="1" ref="H621" ca="1">IF(OR(A621="",B621="safety"),"",IF(ISBLANK(INDIRECT("template!"&amp;"E"&amp;A621)),"",INDIRECT("template!"&amp;"E"&amp;A621)))</f>
        <v>#REF!</v>
      </c>
      <c r="I621" t="e" cm="1">
        <f t="array" aca="1" ref="I621" ca="1">IF(OR(A621="",B621="safety"),"",IF(ISBLANK(INDIRECT("template!"&amp;"F"&amp;A621)),"",INDIRECT("template!"&amp;"F"&amp;A621)))</f>
        <v>#REF!</v>
      </c>
      <c r="J621" t="e" cm="1">
        <f t="array" aca="1" ref="J621" ca="1">IF(OR(A621="",B621="safety"),"",IF(ISBLANK(INDIRECT("template!"&amp;"G"&amp;A621)),"",INDIRECT("template!"&amp;"G"&amp;A621)))</f>
        <v>#REF!</v>
      </c>
      <c r="K621" t="e" cm="1">
        <f t="array" aca="1" ref="K621" ca="1">IF(OR(A621="",B621="safety"),"",IF(ISBLANK(INDIRECT("template!"&amp;"H"&amp;A621)),"",INDIRECT("template!"&amp;"H"&amp;A621)))</f>
        <v>#REF!</v>
      </c>
      <c r="L621" t="e" cm="1">
        <f t="array" aca="1" ref="L621" ca="1">IF(OR(A621="",B621="safety"),"",INDIRECT("template!"&amp;"I"&amp;A621))</f>
        <v>#REF!</v>
      </c>
      <c r="M621" t="e" cm="1">
        <f t="array" aca="1" ref="M621" ca="1">IF(OR(A621="",B621="safety"),"",INDIRECT("template!"&amp;"J"&amp;A621))</f>
        <v>#REF!</v>
      </c>
      <c r="N621" t="e" cm="1">
        <f t="array" aca="1" ref="N621" ca="1">IF(OR(A621="",B621="safety"),"",IF(ISBLANK(INDIRECT("template!"&amp;"K"&amp;A621)),"",INDIRECT("template!"&amp;"K"&amp;A621)))</f>
        <v>#REF!</v>
      </c>
      <c r="O621" t="e" cm="1">
        <f t="array" aca="1" ref="O621" ca="1">IF(OR(A621="",B621="safety"),"",INDIRECT("template!"&amp;"L"&amp;A621))</f>
        <v>#REF!</v>
      </c>
      <c r="P621" t="e" cm="1">
        <f t="array" aca="1" ref="P621" ca="1">IF(OR(A621="",B621="safety"),"",INDIRECT("template!"&amp;"M"&amp;A621))</f>
        <v>#REF!</v>
      </c>
      <c r="Q621" t="e">
        <f t="shared" ca="1" si="52"/>
        <v>#REF!</v>
      </c>
      <c r="R621" t="e">
        <f t="shared" ca="1" si="53"/>
        <v>#REF!</v>
      </c>
      <c r="S621" t="e">
        <f t="shared" ca="1" si="54"/>
        <v>#REF!</v>
      </c>
      <c r="T621" t="e">
        <f t="shared" ca="1" si="55"/>
        <v>#REF!</v>
      </c>
      <c r="U621" t="e" cm="1">
        <f t="array" aca="1" ref="U621" ca="1">IF(A621="","",IF(E621="","",IF(B621="safety",INDIRECT("template!"&amp;"P"&amp;A621),Q621+R621)))</f>
        <v>#REF!</v>
      </c>
      <c r="V621" t="e" cm="1">
        <f t="array" aca="1" ref="V621" ca="1">IF(A621="","",IF(E621="","",IF(B621="safety",INDIRECT("template!"&amp;"P"&amp;A621),S621+T621)))</f>
        <v>#REF!</v>
      </c>
      <c r="W621" t="e">
        <f ca="1">IF(A621="","",IF(E621="","",#REF!))</f>
        <v>#REF!</v>
      </c>
      <c r="X621" t="e">
        <f ca="1">IF(A621="","",IF(E621="","",#REF!))</f>
        <v>#REF!</v>
      </c>
      <c r="Y621" s="39" t="e">
        <f ca="1">IF(A621="","",IF(E621="","",#REF!))</f>
        <v>#REF!</v>
      </c>
      <c r="Z621" t="e">
        <f ca="1">IF(A621="","",IF(E621="","",#REF!))</f>
        <v>#REF!</v>
      </c>
      <c r="AA621" t="e">
        <f ca="1">IF(A621="","",IF(E621="","",#REF!))</f>
        <v>#REF!</v>
      </c>
      <c r="AB621" t="e">
        <f ca="1">IF(A621="","",IF(E621="","",#REF!))</f>
        <v>#REF!</v>
      </c>
      <c r="AC621" t="e">
        <f t="shared" ca="1" si="56"/>
        <v>#REF!</v>
      </c>
    </row>
    <row r="622" spans="1:29" x14ac:dyDescent="0.35">
      <c r="A622" t="e" cm="1">
        <f t="array" aca="1" ref="A622" ca="1">IF(A621="","",IF(OR(AND(A621+1&gt;=$AF$1,A621+1&lt;=$AF$2),AND(A621+1&gt;=$AF$6,A621+1&lt;=$AF$7),AND(A621+1&gt;=$AF$3,A621+1&lt;=$AF$4),AND(A621+1&gt;=$AF$8,A621+1&lt;=$AF$9),A621+1=$AF$5),IF(NOT(ISBLANK(INDIRECT("template!"&amp;"P"&amp;A621+1))),A621+1,IF(NOT(ISBLANK(INDIRECT("template!"&amp;"P"&amp;A621+2))),A621+2,A621+3)),IF(A621=$AF$2,$AF$3,IF(A621=$AF$4,$AF$5,IF(A621=$AF$5,$AF$6,IF(A621=$AF$7,$AF$8,""))))))</f>
        <v>#REF!</v>
      </c>
      <c r="B622" t="e">
        <f t="shared" ca="1" si="51"/>
        <v>#REF!</v>
      </c>
      <c r="C622" t="e" cm="1">
        <f t="array" aca="1" ref="C622" ca="1">IF(A622="","",IF(B622="safety","safety costs",INDIRECT("template!"&amp;"B"&amp;A622)))</f>
        <v>#REF!</v>
      </c>
      <c r="D622" t="e" cm="1">
        <f t="array" aca="1" ref="D622" ca="1">IF(OR(A622="",B622="safety"),"",INDIRECT("template!"&amp;"C"&amp;A622))</f>
        <v>#REF!</v>
      </c>
      <c r="E622" t="e" cm="1">
        <f t="array" aca="1" ref="E622" ca="1">IF(A622="","",IF(OR(A622=A621+1,A622=A621+2),E621,INDIRECT("template!"&amp;"D"&amp;A622-2)))</f>
        <v>#REF!</v>
      </c>
      <c r="F622" t="e" cm="1">
        <f t="array" aca="1" ref="F622" ca="1">IF(OR(A622="",B622="safety"),"",IF(ISBLANK(IF(A622=A621+1,F621,INDIRECT("template!"&amp;"D"&amp;A622-1))),"",IF(A622=A621+1,F621,INDIRECT("template!"&amp;"D"&amp;A622-1))))</f>
        <v>#REF!</v>
      </c>
      <c r="G622" t="e" cm="1">
        <f t="array" aca="1" ref="G622" ca="1">IF(OR(A622="",B622="safety"),"",IF(ISBLANK(INDIRECT("template!"&amp;"D"&amp;A622)),"",INDIRECT("template!"&amp;"D"&amp;A622)))</f>
        <v>#REF!</v>
      </c>
      <c r="H622" t="e" cm="1">
        <f t="array" aca="1" ref="H622" ca="1">IF(OR(A622="",B622="safety"),"",IF(ISBLANK(INDIRECT("template!"&amp;"E"&amp;A622)),"",INDIRECT("template!"&amp;"E"&amp;A622)))</f>
        <v>#REF!</v>
      </c>
      <c r="I622" t="e" cm="1">
        <f t="array" aca="1" ref="I622" ca="1">IF(OR(A622="",B622="safety"),"",IF(ISBLANK(INDIRECT("template!"&amp;"F"&amp;A622)),"",INDIRECT("template!"&amp;"F"&amp;A622)))</f>
        <v>#REF!</v>
      </c>
      <c r="J622" t="e" cm="1">
        <f t="array" aca="1" ref="J622" ca="1">IF(OR(A622="",B622="safety"),"",IF(ISBLANK(INDIRECT("template!"&amp;"G"&amp;A622)),"",INDIRECT("template!"&amp;"G"&amp;A622)))</f>
        <v>#REF!</v>
      </c>
      <c r="K622" t="e" cm="1">
        <f t="array" aca="1" ref="K622" ca="1">IF(OR(A622="",B622="safety"),"",IF(ISBLANK(INDIRECT("template!"&amp;"H"&amp;A622)),"",INDIRECT("template!"&amp;"H"&amp;A622)))</f>
        <v>#REF!</v>
      </c>
      <c r="L622" t="e" cm="1">
        <f t="array" aca="1" ref="L622" ca="1">IF(OR(A622="",B622="safety"),"",INDIRECT("template!"&amp;"I"&amp;A622))</f>
        <v>#REF!</v>
      </c>
      <c r="M622" t="e" cm="1">
        <f t="array" aca="1" ref="M622" ca="1">IF(OR(A622="",B622="safety"),"",INDIRECT("template!"&amp;"J"&amp;A622))</f>
        <v>#REF!</v>
      </c>
      <c r="N622" t="e" cm="1">
        <f t="array" aca="1" ref="N622" ca="1">IF(OR(A622="",B622="safety"),"",IF(ISBLANK(INDIRECT("template!"&amp;"K"&amp;A622)),"",INDIRECT("template!"&amp;"K"&amp;A622)))</f>
        <v>#REF!</v>
      </c>
      <c r="O622" t="e" cm="1">
        <f t="array" aca="1" ref="O622" ca="1">IF(OR(A622="",B622="safety"),"",INDIRECT("template!"&amp;"L"&amp;A622))</f>
        <v>#REF!</v>
      </c>
      <c r="P622" t="e" cm="1">
        <f t="array" aca="1" ref="P622" ca="1">IF(OR(A622="",B622="safety"),"",INDIRECT("template!"&amp;"M"&amp;A622))</f>
        <v>#REF!</v>
      </c>
      <c r="Q622" t="e">
        <f t="shared" ca="1" si="52"/>
        <v>#REF!</v>
      </c>
      <c r="R622" t="e">
        <f t="shared" ca="1" si="53"/>
        <v>#REF!</v>
      </c>
      <c r="S622" t="e">
        <f t="shared" ca="1" si="54"/>
        <v>#REF!</v>
      </c>
      <c r="T622" t="e">
        <f t="shared" ca="1" si="55"/>
        <v>#REF!</v>
      </c>
      <c r="U622" t="e" cm="1">
        <f t="array" aca="1" ref="U622" ca="1">IF(A622="","",IF(E622="","",IF(B622="safety",INDIRECT("template!"&amp;"P"&amp;A622),Q622+R622)))</f>
        <v>#REF!</v>
      </c>
      <c r="V622" t="e" cm="1">
        <f t="array" aca="1" ref="V622" ca="1">IF(A622="","",IF(E622="","",IF(B622="safety",INDIRECT("template!"&amp;"P"&amp;A622),S622+T622)))</f>
        <v>#REF!</v>
      </c>
      <c r="W622" t="e">
        <f ca="1">IF(A622="","",IF(E622="","",#REF!))</f>
        <v>#REF!</v>
      </c>
      <c r="X622" t="e">
        <f ca="1">IF(A622="","",IF(E622="","",#REF!))</f>
        <v>#REF!</v>
      </c>
      <c r="Y622" s="39" t="e">
        <f ca="1">IF(A622="","",IF(E622="","",#REF!))</f>
        <v>#REF!</v>
      </c>
      <c r="Z622" t="e">
        <f ca="1">IF(A622="","",IF(E622="","",#REF!))</f>
        <v>#REF!</v>
      </c>
      <c r="AA622" t="e">
        <f ca="1">IF(A622="","",IF(E622="","",#REF!))</f>
        <v>#REF!</v>
      </c>
      <c r="AB622" t="e">
        <f ca="1">IF(A622="","",IF(E622="","",#REF!))</f>
        <v>#REF!</v>
      </c>
      <c r="AC622" t="e">
        <f t="shared" ca="1" si="56"/>
        <v>#REF!</v>
      </c>
    </row>
    <row r="623" spans="1:29" x14ac:dyDescent="0.35">
      <c r="A623" t="e" cm="1">
        <f t="array" aca="1" ref="A623" ca="1">IF(A622="","",IF(OR(AND(A622+1&gt;=$AF$1,A622+1&lt;=$AF$2),AND(A622+1&gt;=$AF$6,A622+1&lt;=$AF$7),AND(A622+1&gt;=$AF$3,A622+1&lt;=$AF$4),AND(A622+1&gt;=$AF$8,A622+1&lt;=$AF$9),A622+1=$AF$5),IF(NOT(ISBLANK(INDIRECT("template!"&amp;"P"&amp;A622+1))),A622+1,IF(NOT(ISBLANK(INDIRECT("template!"&amp;"P"&amp;A622+2))),A622+2,A622+3)),IF(A622=$AF$2,$AF$3,IF(A622=$AF$4,$AF$5,IF(A622=$AF$5,$AF$6,IF(A622=$AF$7,$AF$8,""))))))</f>
        <v>#REF!</v>
      </c>
      <c r="B623" t="e">
        <f t="shared" ca="1" si="51"/>
        <v>#REF!</v>
      </c>
      <c r="C623" t="e" cm="1">
        <f t="array" aca="1" ref="C623" ca="1">IF(A623="","",IF(B623="safety","safety costs",INDIRECT("template!"&amp;"B"&amp;A623)))</f>
        <v>#REF!</v>
      </c>
      <c r="D623" t="e" cm="1">
        <f t="array" aca="1" ref="D623" ca="1">IF(OR(A623="",B623="safety"),"",INDIRECT("template!"&amp;"C"&amp;A623))</f>
        <v>#REF!</v>
      </c>
      <c r="E623" t="e" cm="1">
        <f t="array" aca="1" ref="E623" ca="1">IF(A623="","",IF(OR(A623=A622+1,A623=A622+2),E622,INDIRECT("template!"&amp;"D"&amp;A623-2)))</f>
        <v>#REF!</v>
      </c>
      <c r="F623" t="e" cm="1">
        <f t="array" aca="1" ref="F623" ca="1">IF(OR(A623="",B623="safety"),"",IF(ISBLANK(IF(A623=A622+1,F622,INDIRECT("template!"&amp;"D"&amp;A623-1))),"",IF(A623=A622+1,F622,INDIRECT("template!"&amp;"D"&amp;A623-1))))</f>
        <v>#REF!</v>
      </c>
      <c r="G623" t="e" cm="1">
        <f t="array" aca="1" ref="G623" ca="1">IF(OR(A623="",B623="safety"),"",IF(ISBLANK(INDIRECT("template!"&amp;"D"&amp;A623)),"",INDIRECT("template!"&amp;"D"&amp;A623)))</f>
        <v>#REF!</v>
      </c>
      <c r="H623" t="e" cm="1">
        <f t="array" aca="1" ref="H623" ca="1">IF(OR(A623="",B623="safety"),"",IF(ISBLANK(INDIRECT("template!"&amp;"E"&amp;A623)),"",INDIRECT("template!"&amp;"E"&amp;A623)))</f>
        <v>#REF!</v>
      </c>
      <c r="I623" t="e" cm="1">
        <f t="array" aca="1" ref="I623" ca="1">IF(OR(A623="",B623="safety"),"",IF(ISBLANK(INDIRECT("template!"&amp;"F"&amp;A623)),"",INDIRECT("template!"&amp;"F"&amp;A623)))</f>
        <v>#REF!</v>
      </c>
      <c r="J623" t="e" cm="1">
        <f t="array" aca="1" ref="J623" ca="1">IF(OR(A623="",B623="safety"),"",IF(ISBLANK(INDIRECT("template!"&amp;"G"&amp;A623)),"",INDIRECT("template!"&amp;"G"&amp;A623)))</f>
        <v>#REF!</v>
      </c>
      <c r="K623" t="e" cm="1">
        <f t="array" aca="1" ref="K623" ca="1">IF(OR(A623="",B623="safety"),"",IF(ISBLANK(INDIRECT("template!"&amp;"H"&amp;A623)),"",INDIRECT("template!"&amp;"H"&amp;A623)))</f>
        <v>#REF!</v>
      </c>
      <c r="L623" t="e" cm="1">
        <f t="array" aca="1" ref="L623" ca="1">IF(OR(A623="",B623="safety"),"",INDIRECT("template!"&amp;"I"&amp;A623))</f>
        <v>#REF!</v>
      </c>
      <c r="M623" t="e" cm="1">
        <f t="array" aca="1" ref="M623" ca="1">IF(OR(A623="",B623="safety"),"",INDIRECT("template!"&amp;"J"&amp;A623))</f>
        <v>#REF!</v>
      </c>
      <c r="N623" t="e" cm="1">
        <f t="array" aca="1" ref="N623" ca="1">IF(OR(A623="",B623="safety"),"",IF(ISBLANK(INDIRECT("template!"&amp;"K"&amp;A623)),"",INDIRECT("template!"&amp;"K"&amp;A623)))</f>
        <v>#REF!</v>
      </c>
      <c r="O623" t="e" cm="1">
        <f t="array" aca="1" ref="O623" ca="1">IF(OR(A623="",B623="safety"),"",INDIRECT("template!"&amp;"L"&amp;A623))</f>
        <v>#REF!</v>
      </c>
      <c r="P623" t="e" cm="1">
        <f t="array" aca="1" ref="P623" ca="1">IF(OR(A623="",B623="safety"),"",INDIRECT("template!"&amp;"M"&amp;A623))</f>
        <v>#REF!</v>
      </c>
      <c r="Q623" t="e">
        <f t="shared" ca="1" si="52"/>
        <v>#REF!</v>
      </c>
      <c r="R623" t="e">
        <f t="shared" ca="1" si="53"/>
        <v>#REF!</v>
      </c>
      <c r="S623" t="e">
        <f t="shared" ca="1" si="54"/>
        <v>#REF!</v>
      </c>
      <c r="T623" t="e">
        <f t="shared" ca="1" si="55"/>
        <v>#REF!</v>
      </c>
      <c r="U623" t="e" cm="1">
        <f t="array" aca="1" ref="U623" ca="1">IF(A623="","",IF(E623="","",IF(B623="safety",INDIRECT("template!"&amp;"P"&amp;A623),Q623+R623)))</f>
        <v>#REF!</v>
      </c>
      <c r="V623" t="e" cm="1">
        <f t="array" aca="1" ref="V623" ca="1">IF(A623="","",IF(E623="","",IF(B623="safety",INDIRECT("template!"&amp;"P"&amp;A623),S623+T623)))</f>
        <v>#REF!</v>
      </c>
      <c r="W623" t="e">
        <f ca="1">IF(A623="","",IF(E623="","",#REF!))</f>
        <v>#REF!</v>
      </c>
      <c r="X623" t="e">
        <f ca="1">IF(A623="","",IF(E623="","",#REF!))</f>
        <v>#REF!</v>
      </c>
      <c r="Y623" s="39" t="e">
        <f ca="1">IF(A623="","",IF(E623="","",#REF!))</f>
        <v>#REF!</v>
      </c>
      <c r="Z623" t="e">
        <f ca="1">IF(A623="","",IF(E623="","",#REF!))</f>
        <v>#REF!</v>
      </c>
      <c r="AA623" t="e">
        <f ca="1">IF(A623="","",IF(E623="","",#REF!))</f>
        <v>#REF!</v>
      </c>
      <c r="AB623" t="e">
        <f ca="1">IF(A623="","",IF(E623="","",#REF!))</f>
        <v>#REF!</v>
      </c>
      <c r="AC623" t="e">
        <f t="shared" ca="1" si="56"/>
        <v>#REF!</v>
      </c>
    </row>
    <row r="624" spans="1:29" x14ac:dyDescent="0.35">
      <c r="A624" t="e" cm="1">
        <f t="array" aca="1" ref="A624" ca="1">IF(A623="","",IF(OR(AND(A623+1&gt;=$AF$1,A623+1&lt;=$AF$2),AND(A623+1&gt;=$AF$6,A623+1&lt;=$AF$7),AND(A623+1&gt;=$AF$3,A623+1&lt;=$AF$4),AND(A623+1&gt;=$AF$8,A623+1&lt;=$AF$9),A623+1=$AF$5),IF(NOT(ISBLANK(INDIRECT("template!"&amp;"P"&amp;A623+1))),A623+1,IF(NOT(ISBLANK(INDIRECT("template!"&amp;"P"&amp;A623+2))),A623+2,A623+3)),IF(A623=$AF$2,$AF$3,IF(A623=$AF$4,$AF$5,IF(A623=$AF$5,$AF$6,IF(A623=$AF$7,$AF$8,""))))))</f>
        <v>#REF!</v>
      </c>
      <c r="B624" t="e">
        <f t="shared" ca="1" si="51"/>
        <v>#REF!</v>
      </c>
      <c r="C624" t="e" cm="1">
        <f t="array" aca="1" ref="C624" ca="1">IF(A624="","",IF(B624="safety","safety costs",INDIRECT("template!"&amp;"B"&amp;A624)))</f>
        <v>#REF!</v>
      </c>
      <c r="D624" t="e" cm="1">
        <f t="array" aca="1" ref="D624" ca="1">IF(OR(A624="",B624="safety"),"",INDIRECT("template!"&amp;"C"&amp;A624))</f>
        <v>#REF!</v>
      </c>
      <c r="E624" t="e" cm="1">
        <f t="array" aca="1" ref="E624" ca="1">IF(A624="","",IF(OR(A624=A623+1,A624=A623+2),E623,INDIRECT("template!"&amp;"D"&amp;A624-2)))</f>
        <v>#REF!</v>
      </c>
      <c r="F624" t="e" cm="1">
        <f t="array" aca="1" ref="F624" ca="1">IF(OR(A624="",B624="safety"),"",IF(ISBLANK(IF(A624=A623+1,F623,INDIRECT("template!"&amp;"D"&amp;A624-1))),"",IF(A624=A623+1,F623,INDIRECT("template!"&amp;"D"&amp;A624-1))))</f>
        <v>#REF!</v>
      </c>
      <c r="G624" t="e" cm="1">
        <f t="array" aca="1" ref="G624" ca="1">IF(OR(A624="",B624="safety"),"",IF(ISBLANK(INDIRECT("template!"&amp;"D"&amp;A624)),"",INDIRECT("template!"&amp;"D"&amp;A624)))</f>
        <v>#REF!</v>
      </c>
      <c r="H624" t="e" cm="1">
        <f t="array" aca="1" ref="H624" ca="1">IF(OR(A624="",B624="safety"),"",IF(ISBLANK(INDIRECT("template!"&amp;"E"&amp;A624)),"",INDIRECT("template!"&amp;"E"&amp;A624)))</f>
        <v>#REF!</v>
      </c>
      <c r="I624" t="e" cm="1">
        <f t="array" aca="1" ref="I624" ca="1">IF(OR(A624="",B624="safety"),"",IF(ISBLANK(INDIRECT("template!"&amp;"F"&amp;A624)),"",INDIRECT("template!"&amp;"F"&amp;A624)))</f>
        <v>#REF!</v>
      </c>
      <c r="J624" t="e" cm="1">
        <f t="array" aca="1" ref="J624" ca="1">IF(OR(A624="",B624="safety"),"",IF(ISBLANK(INDIRECT("template!"&amp;"G"&amp;A624)),"",INDIRECT("template!"&amp;"G"&amp;A624)))</f>
        <v>#REF!</v>
      </c>
      <c r="K624" t="e" cm="1">
        <f t="array" aca="1" ref="K624" ca="1">IF(OR(A624="",B624="safety"),"",IF(ISBLANK(INDIRECT("template!"&amp;"H"&amp;A624)),"",INDIRECT("template!"&amp;"H"&amp;A624)))</f>
        <v>#REF!</v>
      </c>
      <c r="L624" t="e" cm="1">
        <f t="array" aca="1" ref="L624" ca="1">IF(OR(A624="",B624="safety"),"",INDIRECT("template!"&amp;"I"&amp;A624))</f>
        <v>#REF!</v>
      </c>
      <c r="M624" t="e" cm="1">
        <f t="array" aca="1" ref="M624" ca="1">IF(OR(A624="",B624="safety"),"",INDIRECT("template!"&amp;"J"&amp;A624))</f>
        <v>#REF!</v>
      </c>
      <c r="N624" t="e" cm="1">
        <f t="array" aca="1" ref="N624" ca="1">IF(OR(A624="",B624="safety"),"",IF(ISBLANK(INDIRECT("template!"&amp;"K"&amp;A624)),"",INDIRECT("template!"&amp;"K"&amp;A624)))</f>
        <v>#REF!</v>
      </c>
      <c r="O624" t="e" cm="1">
        <f t="array" aca="1" ref="O624" ca="1">IF(OR(A624="",B624="safety"),"",INDIRECT("template!"&amp;"L"&amp;A624))</f>
        <v>#REF!</v>
      </c>
      <c r="P624" t="e" cm="1">
        <f t="array" aca="1" ref="P624" ca="1">IF(OR(A624="",B624="safety"),"",INDIRECT("template!"&amp;"M"&amp;A624))</f>
        <v>#REF!</v>
      </c>
      <c r="Q624" t="e">
        <f t="shared" ca="1" si="52"/>
        <v>#REF!</v>
      </c>
      <c r="R624" t="e">
        <f t="shared" ca="1" si="53"/>
        <v>#REF!</v>
      </c>
      <c r="S624" t="e">
        <f t="shared" ca="1" si="54"/>
        <v>#REF!</v>
      </c>
      <c r="T624" t="e">
        <f t="shared" ca="1" si="55"/>
        <v>#REF!</v>
      </c>
      <c r="U624" t="e" cm="1">
        <f t="array" aca="1" ref="U624" ca="1">IF(A624="","",IF(E624="","",IF(B624="safety",INDIRECT("template!"&amp;"P"&amp;A624),Q624+R624)))</f>
        <v>#REF!</v>
      </c>
      <c r="V624" t="e" cm="1">
        <f t="array" aca="1" ref="V624" ca="1">IF(A624="","",IF(E624="","",IF(B624="safety",INDIRECT("template!"&amp;"P"&amp;A624),S624+T624)))</f>
        <v>#REF!</v>
      </c>
      <c r="W624" t="e">
        <f ca="1">IF(A624="","",IF(E624="","",#REF!))</f>
        <v>#REF!</v>
      </c>
      <c r="X624" t="e">
        <f ca="1">IF(A624="","",IF(E624="","",#REF!))</f>
        <v>#REF!</v>
      </c>
      <c r="Y624" s="39" t="e">
        <f ca="1">IF(A624="","",IF(E624="","",#REF!))</f>
        <v>#REF!</v>
      </c>
      <c r="Z624" t="e">
        <f ca="1">IF(A624="","",IF(E624="","",#REF!))</f>
        <v>#REF!</v>
      </c>
      <c r="AA624" t="e">
        <f ca="1">IF(A624="","",IF(E624="","",#REF!))</f>
        <v>#REF!</v>
      </c>
      <c r="AB624" t="e">
        <f ca="1">IF(A624="","",IF(E624="","",#REF!))</f>
        <v>#REF!</v>
      </c>
      <c r="AC624" t="e">
        <f t="shared" ca="1" si="56"/>
        <v>#REF!</v>
      </c>
    </row>
    <row r="625" spans="1:29" x14ac:dyDescent="0.35">
      <c r="A625" t="e" cm="1">
        <f t="array" aca="1" ref="A625" ca="1">IF(A624="","",IF(OR(AND(A624+1&gt;=$AF$1,A624+1&lt;=$AF$2),AND(A624+1&gt;=$AF$6,A624+1&lt;=$AF$7),AND(A624+1&gt;=$AF$3,A624+1&lt;=$AF$4),AND(A624+1&gt;=$AF$8,A624+1&lt;=$AF$9),A624+1=$AF$5),IF(NOT(ISBLANK(INDIRECT("template!"&amp;"P"&amp;A624+1))),A624+1,IF(NOT(ISBLANK(INDIRECT("template!"&amp;"P"&amp;A624+2))),A624+2,A624+3)),IF(A624=$AF$2,$AF$3,IF(A624=$AF$4,$AF$5,IF(A624=$AF$5,$AF$6,IF(A624=$AF$7,$AF$8,""))))))</f>
        <v>#REF!</v>
      </c>
      <c r="B625" t="e">
        <f t="shared" ca="1" si="51"/>
        <v>#REF!</v>
      </c>
      <c r="C625" t="e" cm="1">
        <f t="array" aca="1" ref="C625" ca="1">IF(A625="","",IF(B625="safety","safety costs",INDIRECT("template!"&amp;"B"&amp;A625)))</f>
        <v>#REF!</v>
      </c>
      <c r="D625" t="e" cm="1">
        <f t="array" aca="1" ref="D625" ca="1">IF(OR(A625="",B625="safety"),"",INDIRECT("template!"&amp;"C"&amp;A625))</f>
        <v>#REF!</v>
      </c>
      <c r="E625" t="e" cm="1">
        <f t="array" aca="1" ref="E625" ca="1">IF(A625="","",IF(OR(A625=A624+1,A625=A624+2),E624,INDIRECT("template!"&amp;"D"&amp;A625-2)))</f>
        <v>#REF!</v>
      </c>
      <c r="F625" t="e" cm="1">
        <f t="array" aca="1" ref="F625" ca="1">IF(OR(A625="",B625="safety"),"",IF(ISBLANK(IF(A625=A624+1,F624,INDIRECT("template!"&amp;"D"&amp;A625-1))),"",IF(A625=A624+1,F624,INDIRECT("template!"&amp;"D"&amp;A625-1))))</f>
        <v>#REF!</v>
      </c>
      <c r="G625" t="e" cm="1">
        <f t="array" aca="1" ref="G625" ca="1">IF(OR(A625="",B625="safety"),"",IF(ISBLANK(INDIRECT("template!"&amp;"D"&amp;A625)),"",INDIRECT("template!"&amp;"D"&amp;A625)))</f>
        <v>#REF!</v>
      </c>
      <c r="H625" t="e" cm="1">
        <f t="array" aca="1" ref="H625" ca="1">IF(OR(A625="",B625="safety"),"",IF(ISBLANK(INDIRECT("template!"&amp;"E"&amp;A625)),"",INDIRECT("template!"&amp;"E"&amp;A625)))</f>
        <v>#REF!</v>
      </c>
      <c r="I625" t="e" cm="1">
        <f t="array" aca="1" ref="I625" ca="1">IF(OR(A625="",B625="safety"),"",IF(ISBLANK(INDIRECT("template!"&amp;"F"&amp;A625)),"",INDIRECT("template!"&amp;"F"&amp;A625)))</f>
        <v>#REF!</v>
      </c>
      <c r="J625" t="e" cm="1">
        <f t="array" aca="1" ref="J625" ca="1">IF(OR(A625="",B625="safety"),"",IF(ISBLANK(INDIRECT("template!"&amp;"G"&amp;A625)),"",INDIRECT("template!"&amp;"G"&amp;A625)))</f>
        <v>#REF!</v>
      </c>
      <c r="K625" t="e" cm="1">
        <f t="array" aca="1" ref="K625" ca="1">IF(OR(A625="",B625="safety"),"",IF(ISBLANK(INDIRECT("template!"&amp;"H"&amp;A625)),"",INDIRECT("template!"&amp;"H"&amp;A625)))</f>
        <v>#REF!</v>
      </c>
      <c r="L625" t="e" cm="1">
        <f t="array" aca="1" ref="L625" ca="1">IF(OR(A625="",B625="safety"),"",INDIRECT("template!"&amp;"I"&amp;A625))</f>
        <v>#REF!</v>
      </c>
      <c r="M625" t="e" cm="1">
        <f t="array" aca="1" ref="M625" ca="1">IF(OR(A625="",B625="safety"),"",INDIRECT("template!"&amp;"J"&amp;A625))</f>
        <v>#REF!</v>
      </c>
      <c r="N625" t="e" cm="1">
        <f t="array" aca="1" ref="N625" ca="1">IF(OR(A625="",B625="safety"),"",IF(ISBLANK(INDIRECT("template!"&amp;"K"&amp;A625)),"",INDIRECT("template!"&amp;"K"&amp;A625)))</f>
        <v>#REF!</v>
      </c>
      <c r="O625" t="e" cm="1">
        <f t="array" aca="1" ref="O625" ca="1">IF(OR(A625="",B625="safety"),"",INDIRECT("template!"&amp;"L"&amp;A625))</f>
        <v>#REF!</v>
      </c>
      <c r="P625" t="e" cm="1">
        <f t="array" aca="1" ref="P625" ca="1">IF(OR(A625="",B625="safety"),"",INDIRECT("template!"&amp;"M"&amp;A625))</f>
        <v>#REF!</v>
      </c>
      <c r="Q625" t="e">
        <f t="shared" ca="1" si="52"/>
        <v>#REF!</v>
      </c>
      <c r="R625" t="e">
        <f t="shared" ca="1" si="53"/>
        <v>#REF!</v>
      </c>
      <c r="S625" t="e">
        <f t="shared" ca="1" si="54"/>
        <v>#REF!</v>
      </c>
      <c r="T625" t="e">
        <f t="shared" ca="1" si="55"/>
        <v>#REF!</v>
      </c>
      <c r="U625" t="e" cm="1">
        <f t="array" aca="1" ref="U625" ca="1">IF(A625="","",IF(E625="","",IF(B625="safety",INDIRECT("template!"&amp;"P"&amp;A625),Q625+R625)))</f>
        <v>#REF!</v>
      </c>
      <c r="V625" t="e" cm="1">
        <f t="array" aca="1" ref="V625" ca="1">IF(A625="","",IF(E625="","",IF(B625="safety",INDIRECT("template!"&amp;"P"&amp;A625),S625+T625)))</f>
        <v>#REF!</v>
      </c>
      <c r="W625" t="e">
        <f ca="1">IF(A625="","",IF(E625="","",#REF!))</f>
        <v>#REF!</v>
      </c>
      <c r="X625" t="e">
        <f ca="1">IF(A625="","",IF(E625="","",#REF!))</f>
        <v>#REF!</v>
      </c>
      <c r="Y625" s="39" t="e">
        <f ca="1">IF(A625="","",IF(E625="","",#REF!))</f>
        <v>#REF!</v>
      </c>
      <c r="Z625" t="e">
        <f ca="1">IF(A625="","",IF(E625="","",#REF!))</f>
        <v>#REF!</v>
      </c>
      <c r="AA625" t="e">
        <f ca="1">IF(A625="","",IF(E625="","",#REF!))</f>
        <v>#REF!</v>
      </c>
      <c r="AB625" t="e">
        <f ca="1">IF(A625="","",IF(E625="","",#REF!))</f>
        <v>#REF!</v>
      </c>
      <c r="AC625" t="e">
        <f t="shared" ca="1" si="56"/>
        <v>#REF!</v>
      </c>
    </row>
    <row r="626" spans="1:29" x14ac:dyDescent="0.35">
      <c r="A626" t="e" cm="1">
        <f t="array" aca="1" ref="A626" ca="1">IF(A625="","",IF(OR(AND(A625+1&gt;=$AF$1,A625+1&lt;=$AF$2),AND(A625+1&gt;=$AF$6,A625+1&lt;=$AF$7),AND(A625+1&gt;=$AF$3,A625+1&lt;=$AF$4),AND(A625+1&gt;=$AF$8,A625+1&lt;=$AF$9),A625+1=$AF$5),IF(NOT(ISBLANK(INDIRECT("template!"&amp;"P"&amp;A625+1))),A625+1,IF(NOT(ISBLANK(INDIRECT("template!"&amp;"P"&amp;A625+2))),A625+2,A625+3)),IF(A625=$AF$2,$AF$3,IF(A625=$AF$4,$AF$5,IF(A625=$AF$5,$AF$6,IF(A625=$AF$7,$AF$8,""))))))</f>
        <v>#REF!</v>
      </c>
      <c r="B626" t="e">
        <f t="shared" ca="1" si="51"/>
        <v>#REF!</v>
      </c>
      <c r="C626" t="e" cm="1">
        <f t="array" aca="1" ref="C626" ca="1">IF(A626="","",IF(B626="safety","safety costs",INDIRECT("template!"&amp;"B"&amp;A626)))</f>
        <v>#REF!</v>
      </c>
      <c r="D626" t="e" cm="1">
        <f t="array" aca="1" ref="D626" ca="1">IF(OR(A626="",B626="safety"),"",INDIRECT("template!"&amp;"C"&amp;A626))</f>
        <v>#REF!</v>
      </c>
      <c r="E626" t="e" cm="1">
        <f t="array" aca="1" ref="E626" ca="1">IF(A626="","",IF(OR(A626=A625+1,A626=A625+2),E625,INDIRECT("template!"&amp;"D"&amp;A626-2)))</f>
        <v>#REF!</v>
      </c>
      <c r="F626" t="e" cm="1">
        <f t="array" aca="1" ref="F626" ca="1">IF(OR(A626="",B626="safety"),"",IF(ISBLANK(IF(A626=A625+1,F625,INDIRECT("template!"&amp;"D"&amp;A626-1))),"",IF(A626=A625+1,F625,INDIRECT("template!"&amp;"D"&amp;A626-1))))</f>
        <v>#REF!</v>
      </c>
      <c r="G626" t="e" cm="1">
        <f t="array" aca="1" ref="G626" ca="1">IF(OR(A626="",B626="safety"),"",IF(ISBLANK(INDIRECT("template!"&amp;"D"&amp;A626)),"",INDIRECT("template!"&amp;"D"&amp;A626)))</f>
        <v>#REF!</v>
      </c>
      <c r="H626" t="e" cm="1">
        <f t="array" aca="1" ref="H626" ca="1">IF(OR(A626="",B626="safety"),"",IF(ISBLANK(INDIRECT("template!"&amp;"E"&amp;A626)),"",INDIRECT("template!"&amp;"E"&amp;A626)))</f>
        <v>#REF!</v>
      </c>
      <c r="I626" t="e" cm="1">
        <f t="array" aca="1" ref="I626" ca="1">IF(OR(A626="",B626="safety"),"",IF(ISBLANK(INDIRECT("template!"&amp;"F"&amp;A626)),"",INDIRECT("template!"&amp;"F"&amp;A626)))</f>
        <v>#REF!</v>
      </c>
      <c r="J626" t="e" cm="1">
        <f t="array" aca="1" ref="J626" ca="1">IF(OR(A626="",B626="safety"),"",IF(ISBLANK(INDIRECT("template!"&amp;"G"&amp;A626)),"",INDIRECT("template!"&amp;"G"&amp;A626)))</f>
        <v>#REF!</v>
      </c>
      <c r="K626" t="e" cm="1">
        <f t="array" aca="1" ref="K626" ca="1">IF(OR(A626="",B626="safety"),"",IF(ISBLANK(INDIRECT("template!"&amp;"H"&amp;A626)),"",INDIRECT("template!"&amp;"H"&amp;A626)))</f>
        <v>#REF!</v>
      </c>
      <c r="L626" t="e" cm="1">
        <f t="array" aca="1" ref="L626" ca="1">IF(OR(A626="",B626="safety"),"",INDIRECT("template!"&amp;"I"&amp;A626))</f>
        <v>#REF!</v>
      </c>
      <c r="M626" t="e" cm="1">
        <f t="array" aca="1" ref="M626" ca="1">IF(OR(A626="",B626="safety"),"",INDIRECT("template!"&amp;"J"&amp;A626))</f>
        <v>#REF!</v>
      </c>
      <c r="N626" t="e" cm="1">
        <f t="array" aca="1" ref="N626" ca="1">IF(OR(A626="",B626="safety"),"",IF(ISBLANK(INDIRECT("template!"&amp;"K"&amp;A626)),"",INDIRECT("template!"&amp;"K"&amp;A626)))</f>
        <v>#REF!</v>
      </c>
      <c r="O626" t="e" cm="1">
        <f t="array" aca="1" ref="O626" ca="1">IF(OR(A626="",B626="safety"),"",INDIRECT("template!"&amp;"L"&amp;A626))</f>
        <v>#REF!</v>
      </c>
      <c r="P626" t="e" cm="1">
        <f t="array" aca="1" ref="P626" ca="1">IF(OR(A626="",B626="safety"),"",INDIRECT("template!"&amp;"M"&amp;A626))</f>
        <v>#REF!</v>
      </c>
      <c r="Q626" t="e">
        <f t="shared" ca="1" si="52"/>
        <v>#REF!</v>
      </c>
      <c r="R626" t="e">
        <f t="shared" ca="1" si="53"/>
        <v>#REF!</v>
      </c>
      <c r="S626" t="e">
        <f t="shared" ca="1" si="54"/>
        <v>#REF!</v>
      </c>
      <c r="T626" t="e">
        <f t="shared" ca="1" si="55"/>
        <v>#REF!</v>
      </c>
      <c r="U626" t="e" cm="1">
        <f t="array" aca="1" ref="U626" ca="1">IF(A626="","",IF(E626="","",IF(B626="safety",INDIRECT("template!"&amp;"P"&amp;A626),Q626+R626)))</f>
        <v>#REF!</v>
      </c>
      <c r="V626" t="e" cm="1">
        <f t="array" aca="1" ref="V626" ca="1">IF(A626="","",IF(E626="","",IF(B626="safety",INDIRECT("template!"&amp;"P"&amp;A626),S626+T626)))</f>
        <v>#REF!</v>
      </c>
      <c r="W626" t="e">
        <f ca="1">IF(A626="","",IF(E626="","",#REF!))</f>
        <v>#REF!</v>
      </c>
      <c r="X626" t="e">
        <f ca="1">IF(A626="","",IF(E626="","",#REF!))</f>
        <v>#REF!</v>
      </c>
      <c r="Y626" s="39" t="e">
        <f ca="1">IF(A626="","",IF(E626="","",#REF!))</f>
        <v>#REF!</v>
      </c>
      <c r="Z626" t="e">
        <f ca="1">IF(A626="","",IF(E626="","",#REF!))</f>
        <v>#REF!</v>
      </c>
      <c r="AA626" t="e">
        <f ca="1">IF(A626="","",IF(E626="","",#REF!))</f>
        <v>#REF!</v>
      </c>
      <c r="AB626" t="e">
        <f ca="1">IF(A626="","",IF(E626="","",#REF!))</f>
        <v>#REF!</v>
      </c>
      <c r="AC626" t="e">
        <f t="shared" ca="1" si="56"/>
        <v>#REF!</v>
      </c>
    </row>
    <row r="627" spans="1:29" x14ac:dyDescent="0.35">
      <c r="A627" t="e" cm="1">
        <f t="array" aca="1" ref="A627" ca="1">IF(A626="","",IF(OR(AND(A626+1&gt;=$AF$1,A626+1&lt;=$AF$2),AND(A626+1&gt;=$AF$6,A626+1&lt;=$AF$7),AND(A626+1&gt;=$AF$3,A626+1&lt;=$AF$4),AND(A626+1&gt;=$AF$8,A626+1&lt;=$AF$9),A626+1=$AF$5),IF(NOT(ISBLANK(INDIRECT("template!"&amp;"P"&amp;A626+1))),A626+1,IF(NOT(ISBLANK(INDIRECT("template!"&amp;"P"&amp;A626+2))),A626+2,A626+3)),IF(A626=$AF$2,$AF$3,IF(A626=$AF$4,$AF$5,IF(A626=$AF$5,$AF$6,IF(A626=$AF$7,$AF$8,""))))))</f>
        <v>#REF!</v>
      </c>
      <c r="B627" t="e">
        <f t="shared" ca="1" si="51"/>
        <v>#REF!</v>
      </c>
      <c r="C627" t="e" cm="1">
        <f t="array" aca="1" ref="C627" ca="1">IF(A627="","",IF(B627="safety","safety costs",INDIRECT("template!"&amp;"B"&amp;A627)))</f>
        <v>#REF!</v>
      </c>
      <c r="D627" t="e" cm="1">
        <f t="array" aca="1" ref="D627" ca="1">IF(OR(A627="",B627="safety"),"",INDIRECT("template!"&amp;"C"&amp;A627))</f>
        <v>#REF!</v>
      </c>
      <c r="E627" t="e" cm="1">
        <f t="array" aca="1" ref="E627" ca="1">IF(A627="","",IF(OR(A627=A626+1,A627=A626+2),E626,INDIRECT("template!"&amp;"D"&amp;A627-2)))</f>
        <v>#REF!</v>
      </c>
      <c r="F627" t="e" cm="1">
        <f t="array" aca="1" ref="F627" ca="1">IF(OR(A627="",B627="safety"),"",IF(ISBLANK(IF(A627=A626+1,F626,INDIRECT("template!"&amp;"D"&amp;A627-1))),"",IF(A627=A626+1,F626,INDIRECT("template!"&amp;"D"&amp;A627-1))))</f>
        <v>#REF!</v>
      </c>
      <c r="G627" t="e" cm="1">
        <f t="array" aca="1" ref="G627" ca="1">IF(OR(A627="",B627="safety"),"",IF(ISBLANK(INDIRECT("template!"&amp;"D"&amp;A627)),"",INDIRECT("template!"&amp;"D"&amp;A627)))</f>
        <v>#REF!</v>
      </c>
      <c r="H627" t="e" cm="1">
        <f t="array" aca="1" ref="H627" ca="1">IF(OR(A627="",B627="safety"),"",IF(ISBLANK(INDIRECT("template!"&amp;"E"&amp;A627)),"",INDIRECT("template!"&amp;"E"&amp;A627)))</f>
        <v>#REF!</v>
      </c>
      <c r="I627" t="e" cm="1">
        <f t="array" aca="1" ref="I627" ca="1">IF(OR(A627="",B627="safety"),"",IF(ISBLANK(INDIRECT("template!"&amp;"F"&amp;A627)),"",INDIRECT("template!"&amp;"F"&amp;A627)))</f>
        <v>#REF!</v>
      </c>
      <c r="J627" t="e" cm="1">
        <f t="array" aca="1" ref="J627" ca="1">IF(OR(A627="",B627="safety"),"",IF(ISBLANK(INDIRECT("template!"&amp;"G"&amp;A627)),"",INDIRECT("template!"&amp;"G"&amp;A627)))</f>
        <v>#REF!</v>
      </c>
      <c r="K627" t="e" cm="1">
        <f t="array" aca="1" ref="K627" ca="1">IF(OR(A627="",B627="safety"),"",IF(ISBLANK(INDIRECT("template!"&amp;"H"&amp;A627)),"",INDIRECT("template!"&amp;"H"&amp;A627)))</f>
        <v>#REF!</v>
      </c>
      <c r="L627" t="e" cm="1">
        <f t="array" aca="1" ref="L627" ca="1">IF(OR(A627="",B627="safety"),"",INDIRECT("template!"&amp;"I"&amp;A627))</f>
        <v>#REF!</v>
      </c>
      <c r="M627" t="e" cm="1">
        <f t="array" aca="1" ref="M627" ca="1">IF(OR(A627="",B627="safety"),"",INDIRECT("template!"&amp;"J"&amp;A627))</f>
        <v>#REF!</v>
      </c>
      <c r="N627" t="e" cm="1">
        <f t="array" aca="1" ref="N627" ca="1">IF(OR(A627="",B627="safety"),"",IF(ISBLANK(INDIRECT("template!"&amp;"K"&amp;A627)),"",INDIRECT("template!"&amp;"K"&amp;A627)))</f>
        <v>#REF!</v>
      </c>
      <c r="O627" t="e" cm="1">
        <f t="array" aca="1" ref="O627" ca="1">IF(OR(A627="",B627="safety"),"",INDIRECT("template!"&amp;"L"&amp;A627))</f>
        <v>#REF!</v>
      </c>
      <c r="P627" t="e" cm="1">
        <f t="array" aca="1" ref="P627" ca="1">IF(OR(A627="",B627="safety"),"",INDIRECT("template!"&amp;"M"&amp;A627))</f>
        <v>#REF!</v>
      </c>
      <c r="Q627" t="e">
        <f t="shared" ca="1" si="52"/>
        <v>#REF!</v>
      </c>
      <c r="R627" t="e">
        <f t="shared" ca="1" si="53"/>
        <v>#REF!</v>
      </c>
      <c r="S627" t="e">
        <f t="shared" ca="1" si="54"/>
        <v>#REF!</v>
      </c>
      <c r="T627" t="e">
        <f t="shared" ca="1" si="55"/>
        <v>#REF!</v>
      </c>
      <c r="U627" t="e" cm="1">
        <f t="array" aca="1" ref="U627" ca="1">IF(A627="","",IF(E627="","",IF(B627="safety",INDIRECT("template!"&amp;"P"&amp;A627),Q627+R627)))</f>
        <v>#REF!</v>
      </c>
      <c r="V627" t="e" cm="1">
        <f t="array" aca="1" ref="V627" ca="1">IF(A627="","",IF(E627="","",IF(B627="safety",INDIRECT("template!"&amp;"P"&amp;A627),S627+T627)))</f>
        <v>#REF!</v>
      </c>
      <c r="W627" t="e">
        <f ca="1">IF(A627="","",IF(E627="","",#REF!))</f>
        <v>#REF!</v>
      </c>
      <c r="X627" t="e">
        <f ca="1">IF(A627="","",IF(E627="","",#REF!))</f>
        <v>#REF!</v>
      </c>
      <c r="Y627" s="39" t="e">
        <f ca="1">IF(A627="","",IF(E627="","",#REF!))</f>
        <v>#REF!</v>
      </c>
      <c r="Z627" t="e">
        <f ca="1">IF(A627="","",IF(E627="","",#REF!))</f>
        <v>#REF!</v>
      </c>
      <c r="AA627" t="e">
        <f ca="1">IF(A627="","",IF(E627="","",#REF!))</f>
        <v>#REF!</v>
      </c>
      <c r="AB627" t="e">
        <f ca="1">IF(A627="","",IF(E627="","",#REF!))</f>
        <v>#REF!</v>
      </c>
      <c r="AC627" t="e">
        <f t="shared" ca="1" si="56"/>
        <v>#REF!</v>
      </c>
    </row>
    <row r="628" spans="1:29" x14ac:dyDescent="0.35">
      <c r="A628" t="e" cm="1">
        <f t="array" aca="1" ref="A628" ca="1">IF(A627="","",IF(OR(AND(A627+1&gt;=$AF$1,A627+1&lt;=$AF$2),AND(A627+1&gt;=$AF$6,A627+1&lt;=$AF$7),AND(A627+1&gt;=$AF$3,A627+1&lt;=$AF$4),AND(A627+1&gt;=$AF$8,A627+1&lt;=$AF$9),A627+1=$AF$5),IF(NOT(ISBLANK(INDIRECT("template!"&amp;"P"&amp;A627+1))),A627+1,IF(NOT(ISBLANK(INDIRECT("template!"&amp;"P"&amp;A627+2))),A627+2,A627+3)),IF(A627=$AF$2,$AF$3,IF(A627=$AF$4,$AF$5,IF(A627=$AF$5,$AF$6,IF(A627=$AF$7,$AF$8,""))))))</f>
        <v>#REF!</v>
      </c>
      <c r="B628" t="e">
        <f t="shared" ca="1" si="51"/>
        <v>#REF!</v>
      </c>
      <c r="C628" t="e" cm="1">
        <f t="array" aca="1" ref="C628" ca="1">IF(A628="","",IF(B628="safety","safety costs",INDIRECT("template!"&amp;"B"&amp;A628)))</f>
        <v>#REF!</v>
      </c>
      <c r="D628" t="e" cm="1">
        <f t="array" aca="1" ref="D628" ca="1">IF(OR(A628="",B628="safety"),"",INDIRECT("template!"&amp;"C"&amp;A628))</f>
        <v>#REF!</v>
      </c>
      <c r="E628" t="e" cm="1">
        <f t="array" aca="1" ref="E628" ca="1">IF(A628="","",IF(OR(A628=A627+1,A628=A627+2),E627,INDIRECT("template!"&amp;"D"&amp;A628-2)))</f>
        <v>#REF!</v>
      </c>
      <c r="F628" t="e" cm="1">
        <f t="array" aca="1" ref="F628" ca="1">IF(OR(A628="",B628="safety"),"",IF(ISBLANK(IF(A628=A627+1,F627,INDIRECT("template!"&amp;"D"&amp;A628-1))),"",IF(A628=A627+1,F627,INDIRECT("template!"&amp;"D"&amp;A628-1))))</f>
        <v>#REF!</v>
      </c>
      <c r="G628" t="e" cm="1">
        <f t="array" aca="1" ref="G628" ca="1">IF(OR(A628="",B628="safety"),"",IF(ISBLANK(INDIRECT("template!"&amp;"D"&amp;A628)),"",INDIRECT("template!"&amp;"D"&amp;A628)))</f>
        <v>#REF!</v>
      </c>
      <c r="H628" t="e" cm="1">
        <f t="array" aca="1" ref="H628" ca="1">IF(OR(A628="",B628="safety"),"",IF(ISBLANK(INDIRECT("template!"&amp;"E"&amp;A628)),"",INDIRECT("template!"&amp;"E"&amp;A628)))</f>
        <v>#REF!</v>
      </c>
      <c r="I628" t="e" cm="1">
        <f t="array" aca="1" ref="I628" ca="1">IF(OR(A628="",B628="safety"),"",IF(ISBLANK(INDIRECT("template!"&amp;"F"&amp;A628)),"",INDIRECT("template!"&amp;"F"&amp;A628)))</f>
        <v>#REF!</v>
      </c>
      <c r="J628" t="e" cm="1">
        <f t="array" aca="1" ref="J628" ca="1">IF(OR(A628="",B628="safety"),"",IF(ISBLANK(INDIRECT("template!"&amp;"G"&amp;A628)),"",INDIRECT("template!"&amp;"G"&amp;A628)))</f>
        <v>#REF!</v>
      </c>
      <c r="K628" t="e" cm="1">
        <f t="array" aca="1" ref="K628" ca="1">IF(OR(A628="",B628="safety"),"",IF(ISBLANK(INDIRECT("template!"&amp;"H"&amp;A628)),"",INDIRECT("template!"&amp;"H"&amp;A628)))</f>
        <v>#REF!</v>
      </c>
      <c r="L628" t="e" cm="1">
        <f t="array" aca="1" ref="L628" ca="1">IF(OR(A628="",B628="safety"),"",INDIRECT("template!"&amp;"I"&amp;A628))</f>
        <v>#REF!</v>
      </c>
      <c r="M628" t="e" cm="1">
        <f t="array" aca="1" ref="M628" ca="1">IF(OR(A628="",B628="safety"),"",INDIRECT("template!"&amp;"J"&amp;A628))</f>
        <v>#REF!</v>
      </c>
      <c r="N628" t="e" cm="1">
        <f t="array" aca="1" ref="N628" ca="1">IF(OR(A628="",B628="safety"),"",IF(ISBLANK(INDIRECT("template!"&amp;"K"&amp;A628)),"",INDIRECT("template!"&amp;"K"&amp;A628)))</f>
        <v>#REF!</v>
      </c>
      <c r="O628" t="e" cm="1">
        <f t="array" aca="1" ref="O628" ca="1">IF(OR(A628="",B628="safety"),"",INDIRECT("template!"&amp;"L"&amp;A628))</f>
        <v>#REF!</v>
      </c>
      <c r="P628" t="e" cm="1">
        <f t="array" aca="1" ref="P628" ca="1">IF(OR(A628="",B628="safety"),"",INDIRECT("template!"&amp;"M"&amp;A628))</f>
        <v>#REF!</v>
      </c>
      <c r="Q628" t="e">
        <f t="shared" ca="1" si="52"/>
        <v>#REF!</v>
      </c>
      <c r="R628" t="e">
        <f t="shared" ca="1" si="53"/>
        <v>#REF!</v>
      </c>
      <c r="S628" t="e">
        <f t="shared" ca="1" si="54"/>
        <v>#REF!</v>
      </c>
      <c r="T628" t="e">
        <f t="shared" ca="1" si="55"/>
        <v>#REF!</v>
      </c>
      <c r="U628" t="e" cm="1">
        <f t="array" aca="1" ref="U628" ca="1">IF(A628="","",IF(E628="","",IF(B628="safety",INDIRECT("template!"&amp;"P"&amp;A628),Q628+R628)))</f>
        <v>#REF!</v>
      </c>
      <c r="V628" t="e" cm="1">
        <f t="array" aca="1" ref="V628" ca="1">IF(A628="","",IF(E628="","",IF(B628="safety",INDIRECT("template!"&amp;"P"&amp;A628),S628+T628)))</f>
        <v>#REF!</v>
      </c>
      <c r="W628" t="e">
        <f ca="1">IF(A628="","",IF(E628="","",#REF!))</f>
        <v>#REF!</v>
      </c>
      <c r="X628" t="e">
        <f ca="1">IF(A628="","",IF(E628="","",#REF!))</f>
        <v>#REF!</v>
      </c>
      <c r="Y628" s="39" t="e">
        <f ca="1">IF(A628="","",IF(E628="","",#REF!))</f>
        <v>#REF!</v>
      </c>
      <c r="Z628" t="e">
        <f ca="1">IF(A628="","",IF(E628="","",#REF!))</f>
        <v>#REF!</v>
      </c>
      <c r="AA628" t="e">
        <f ca="1">IF(A628="","",IF(E628="","",#REF!))</f>
        <v>#REF!</v>
      </c>
      <c r="AB628" t="e">
        <f ca="1">IF(A628="","",IF(E628="","",#REF!))</f>
        <v>#REF!</v>
      </c>
      <c r="AC628" t="e">
        <f t="shared" ca="1" si="56"/>
        <v>#REF!</v>
      </c>
    </row>
    <row r="629" spans="1:29" x14ac:dyDescent="0.35">
      <c r="A629" t="e" cm="1">
        <f t="array" aca="1" ref="A629" ca="1">IF(A628="","",IF(OR(AND(A628+1&gt;=$AF$1,A628+1&lt;=$AF$2),AND(A628+1&gt;=$AF$6,A628+1&lt;=$AF$7),AND(A628+1&gt;=$AF$3,A628+1&lt;=$AF$4),AND(A628+1&gt;=$AF$8,A628+1&lt;=$AF$9),A628+1=$AF$5),IF(NOT(ISBLANK(INDIRECT("template!"&amp;"P"&amp;A628+1))),A628+1,IF(NOT(ISBLANK(INDIRECT("template!"&amp;"P"&amp;A628+2))),A628+2,A628+3)),IF(A628=$AF$2,$AF$3,IF(A628=$AF$4,$AF$5,IF(A628=$AF$5,$AF$6,IF(A628=$AF$7,$AF$8,""))))))</f>
        <v>#REF!</v>
      </c>
      <c r="B629" t="e">
        <f t="shared" ca="1" si="51"/>
        <v>#REF!</v>
      </c>
      <c r="C629" t="e" cm="1">
        <f t="array" aca="1" ref="C629" ca="1">IF(A629="","",IF(B629="safety","safety costs",INDIRECT("template!"&amp;"B"&amp;A629)))</f>
        <v>#REF!</v>
      </c>
      <c r="D629" t="e" cm="1">
        <f t="array" aca="1" ref="D629" ca="1">IF(OR(A629="",B629="safety"),"",INDIRECT("template!"&amp;"C"&amp;A629))</f>
        <v>#REF!</v>
      </c>
      <c r="E629" t="e" cm="1">
        <f t="array" aca="1" ref="E629" ca="1">IF(A629="","",IF(OR(A629=A628+1,A629=A628+2),E628,INDIRECT("template!"&amp;"D"&amp;A629-2)))</f>
        <v>#REF!</v>
      </c>
      <c r="F629" t="e" cm="1">
        <f t="array" aca="1" ref="F629" ca="1">IF(OR(A629="",B629="safety"),"",IF(ISBLANK(IF(A629=A628+1,F628,INDIRECT("template!"&amp;"D"&amp;A629-1))),"",IF(A629=A628+1,F628,INDIRECT("template!"&amp;"D"&amp;A629-1))))</f>
        <v>#REF!</v>
      </c>
      <c r="G629" t="e" cm="1">
        <f t="array" aca="1" ref="G629" ca="1">IF(OR(A629="",B629="safety"),"",IF(ISBLANK(INDIRECT("template!"&amp;"D"&amp;A629)),"",INDIRECT("template!"&amp;"D"&amp;A629)))</f>
        <v>#REF!</v>
      </c>
      <c r="H629" t="e" cm="1">
        <f t="array" aca="1" ref="H629" ca="1">IF(OR(A629="",B629="safety"),"",IF(ISBLANK(INDIRECT("template!"&amp;"E"&amp;A629)),"",INDIRECT("template!"&amp;"E"&amp;A629)))</f>
        <v>#REF!</v>
      </c>
      <c r="I629" t="e" cm="1">
        <f t="array" aca="1" ref="I629" ca="1">IF(OR(A629="",B629="safety"),"",IF(ISBLANK(INDIRECT("template!"&amp;"F"&amp;A629)),"",INDIRECT("template!"&amp;"F"&amp;A629)))</f>
        <v>#REF!</v>
      </c>
      <c r="J629" t="e" cm="1">
        <f t="array" aca="1" ref="J629" ca="1">IF(OR(A629="",B629="safety"),"",IF(ISBLANK(INDIRECT("template!"&amp;"G"&amp;A629)),"",INDIRECT("template!"&amp;"G"&amp;A629)))</f>
        <v>#REF!</v>
      </c>
      <c r="K629" t="e" cm="1">
        <f t="array" aca="1" ref="K629" ca="1">IF(OR(A629="",B629="safety"),"",IF(ISBLANK(INDIRECT("template!"&amp;"H"&amp;A629)),"",INDIRECT("template!"&amp;"H"&amp;A629)))</f>
        <v>#REF!</v>
      </c>
      <c r="L629" t="e" cm="1">
        <f t="array" aca="1" ref="L629" ca="1">IF(OR(A629="",B629="safety"),"",INDIRECT("template!"&amp;"I"&amp;A629))</f>
        <v>#REF!</v>
      </c>
      <c r="M629" t="e" cm="1">
        <f t="array" aca="1" ref="M629" ca="1">IF(OR(A629="",B629="safety"),"",INDIRECT("template!"&amp;"J"&amp;A629))</f>
        <v>#REF!</v>
      </c>
      <c r="N629" t="e" cm="1">
        <f t="array" aca="1" ref="N629" ca="1">IF(OR(A629="",B629="safety"),"",IF(ISBLANK(INDIRECT("template!"&amp;"K"&amp;A629)),"",INDIRECT("template!"&amp;"K"&amp;A629)))</f>
        <v>#REF!</v>
      </c>
      <c r="O629" t="e" cm="1">
        <f t="array" aca="1" ref="O629" ca="1">IF(OR(A629="",B629="safety"),"",INDIRECT("template!"&amp;"L"&amp;A629))</f>
        <v>#REF!</v>
      </c>
      <c r="P629" t="e" cm="1">
        <f t="array" aca="1" ref="P629" ca="1">IF(OR(A629="",B629="safety"),"",INDIRECT("template!"&amp;"M"&amp;A629))</f>
        <v>#REF!</v>
      </c>
      <c r="Q629" t="e">
        <f t="shared" ca="1" si="52"/>
        <v>#REF!</v>
      </c>
      <c r="R629" t="e">
        <f t="shared" ca="1" si="53"/>
        <v>#REF!</v>
      </c>
      <c r="S629" t="e">
        <f t="shared" ca="1" si="54"/>
        <v>#REF!</v>
      </c>
      <c r="T629" t="e">
        <f t="shared" ca="1" si="55"/>
        <v>#REF!</v>
      </c>
      <c r="U629" t="e" cm="1">
        <f t="array" aca="1" ref="U629" ca="1">IF(A629="","",IF(E629="","",IF(B629="safety",INDIRECT("template!"&amp;"P"&amp;A629),Q629+R629)))</f>
        <v>#REF!</v>
      </c>
      <c r="V629" t="e" cm="1">
        <f t="array" aca="1" ref="V629" ca="1">IF(A629="","",IF(E629="","",IF(B629="safety",INDIRECT("template!"&amp;"P"&amp;A629),S629+T629)))</f>
        <v>#REF!</v>
      </c>
      <c r="W629" t="e">
        <f ca="1">IF(A629="","",IF(E629="","",#REF!))</f>
        <v>#REF!</v>
      </c>
      <c r="X629" t="e">
        <f ca="1">IF(A629="","",IF(E629="","",#REF!))</f>
        <v>#REF!</v>
      </c>
      <c r="Y629" s="39" t="e">
        <f ca="1">IF(A629="","",IF(E629="","",#REF!))</f>
        <v>#REF!</v>
      </c>
      <c r="Z629" t="e">
        <f ca="1">IF(A629="","",IF(E629="","",#REF!))</f>
        <v>#REF!</v>
      </c>
      <c r="AA629" t="e">
        <f ca="1">IF(A629="","",IF(E629="","",#REF!))</f>
        <v>#REF!</v>
      </c>
      <c r="AB629" t="e">
        <f ca="1">IF(A629="","",IF(E629="","",#REF!))</f>
        <v>#REF!</v>
      </c>
      <c r="AC629" t="e">
        <f t="shared" ca="1" si="56"/>
        <v>#REF!</v>
      </c>
    </row>
    <row r="630" spans="1:29" x14ac:dyDescent="0.35">
      <c r="A630" t="e" cm="1">
        <f t="array" aca="1" ref="A630" ca="1">IF(A629="","",IF(OR(AND(A629+1&gt;=$AF$1,A629+1&lt;=$AF$2),AND(A629+1&gt;=$AF$6,A629+1&lt;=$AF$7),AND(A629+1&gt;=$AF$3,A629+1&lt;=$AF$4),AND(A629+1&gt;=$AF$8,A629+1&lt;=$AF$9),A629+1=$AF$5),IF(NOT(ISBLANK(INDIRECT("template!"&amp;"P"&amp;A629+1))),A629+1,IF(NOT(ISBLANK(INDIRECT("template!"&amp;"P"&amp;A629+2))),A629+2,A629+3)),IF(A629=$AF$2,$AF$3,IF(A629=$AF$4,$AF$5,IF(A629=$AF$5,$AF$6,IF(A629=$AF$7,$AF$8,""))))))</f>
        <v>#REF!</v>
      </c>
      <c r="B630" t="e">
        <f t="shared" ca="1" si="51"/>
        <v>#REF!</v>
      </c>
      <c r="C630" t="e" cm="1">
        <f t="array" aca="1" ref="C630" ca="1">IF(A630="","",IF(B630="safety","safety costs",INDIRECT("template!"&amp;"B"&amp;A630)))</f>
        <v>#REF!</v>
      </c>
      <c r="D630" t="e" cm="1">
        <f t="array" aca="1" ref="D630" ca="1">IF(OR(A630="",B630="safety"),"",INDIRECT("template!"&amp;"C"&amp;A630))</f>
        <v>#REF!</v>
      </c>
      <c r="E630" t="e" cm="1">
        <f t="array" aca="1" ref="E630" ca="1">IF(A630="","",IF(OR(A630=A629+1,A630=A629+2),E629,INDIRECT("template!"&amp;"D"&amp;A630-2)))</f>
        <v>#REF!</v>
      </c>
      <c r="F630" t="e" cm="1">
        <f t="array" aca="1" ref="F630" ca="1">IF(OR(A630="",B630="safety"),"",IF(ISBLANK(IF(A630=A629+1,F629,INDIRECT("template!"&amp;"D"&amp;A630-1))),"",IF(A630=A629+1,F629,INDIRECT("template!"&amp;"D"&amp;A630-1))))</f>
        <v>#REF!</v>
      </c>
      <c r="G630" t="e" cm="1">
        <f t="array" aca="1" ref="G630" ca="1">IF(OR(A630="",B630="safety"),"",IF(ISBLANK(INDIRECT("template!"&amp;"D"&amp;A630)),"",INDIRECT("template!"&amp;"D"&amp;A630)))</f>
        <v>#REF!</v>
      </c>
      <c r="H630" t="e" cm="1">
        <f t="array" aca="1" ref="H630" ca="1">IF(OR(A630="",B630="safety"),"",IF(ISBLANK(INDIRECT("template!"&amp;"E"&amp;A630)),"",INDIRECT("template!"&amp;"E"&amp;A630)))</f>
        <v>#REF!</v>
      </c>
      <c r="I630" t="e" cm="1">
        <f t="array" aca="1" ref="I630" ca="1">IF(OR(A630="",B630="safety"),"",IF(ISBLANK(INDIRECT("template!"&amp;"F"&amp;A630)),"",INDIRECT("template!"&amp;"F"&amp;A630)))</f>
        <v>#REF!</v>
      </c>
      <c r="J630" t="e" cm="1">
        <f t="array" aca="1" ref="J630" ca="1">IF(OR(A630="",B630="safety"),"",IF(ISBLANK(INDIRECT("template!"&amp;"G"&amp;A630)),"",INDIRECT("template!"&amp;"G"&amp;A630)))</f>
        <v>#REF!</v>
      </c>
      <c r="K630" t="e" cm="1">
        <f t="array" aca="1" ref="K630" ca="1">IF(OR(A630="",B630="safety"),"",IF(ISBLANK(INDIRECT("template!"&amp;"H"&amp;A630)),"",INDIRECT("template!"&amp;"H"&amp;A630)))</f>
        <v>#REF!</v>
      </c>
      <c r="L630" t="e" cm="1">
        <f t="array" aca="1" ref="L630" ca="1">IF(OR(A630="",B630="safety"),"",INDIRECT("template!"&amp;"I"&amp;A630))</f>
        <v>#REF!</v>
      </c>
      <c r="M630" t="e" cm="1">
        <f t="array" aca="1" ref="M630" ca="1">IF(OR(A630="",B630="safety"),"",INDIRECT("template!"&amp;"J"&amp;A630))</f>
        <v>#REF!</v>
      </c>
      <c r="N630" t="e" cm="1">
        <f t="array" aca="1" ref="N630" ca="1">IF(OR(A630="",B630="safety"),"",IF(ISBLANK(INDIRECT("template!"&amp;"K"&amp;A630)),"",INDIRECT("template!"&amp;"K"&amp;A630)))</f>
        <v>#REF!</v>
      </c>
      <c r="O630" t="e" cm="1">
        <f t="array" aca="1" ref="O630" ca="1">IF(OR(A630="",B630="safety"),"",INDIRECT("template!"&amp;"L"&amp;A630))</f>
        <v>#REF!</v>
      </c>
      <c r="P630" t="e" cm="1">
        <f t="array" aca="1" ref="P630" ca="1">IF(OR(A630="",B630="safety"),"",INDIRECT("template!"&amp;"M"&amp;A630))</f>
        <v>#REF!</v>
      </c>
      <c r="Q630" t="e">
        <f t="shared" ca="1" si="52"/>
        <v>#REF!</v>
      </c>
      <c r="R630" t="e">
        <f t="shared" ca="1" si="53"/>
        <v>#REF!</v>
      </c>
      <c r="S630" t="e">
        <f t="shared" ca="1" si="54"/>
        <v>#REF!</v>
      </c>
      <c r="T630" t="e">
        <f t="shared" ca="1" si="55"/>
        <v>#REF!</v>
      </c>
      <c r="U630" t="e" cm="1">
        <f t="array" aca="1" ref="U630" ca="1">IF(A630="","",IF(E630="","",IF(B630="safety",INDIRECT("template!"&amp;"P"&amp;A630),Q630+R630)))</f>
        <v>#REF!</v>
      </c>
      <c r="V630" t="e" cm="1">
        <f t="array" aca="1" ref="V630" ca="1">IF(A630="","",IF(E630="","",IF(B630="safety",INDIRECT("template!"&amp;"P"&amp;A630),S630+T630)))</f>
        <v>#REF!</v>
      </c>
      <c r="W630" t="e">
        <f ca="1">IF(A630="","",IF(E630="","",#REF!))</f>
        <v>#REF!</v>
      </c>
      <c r="X630" t="e">
        <f ca="1">IF(A630="","",IF(E630="","",#REF!))</f>
        <v>#REF!</v>
      </c>
      <c r="Y630" s="39" t="e">
        <f ca="1">IF(A630="","",IF(E630="","",#REF!))</f>
        <v>#REF!</v>
      </c>
      <c r="Z630" t="e">
        <f ca="1">IF(A630="","",IF(E630="","",#REF!))</f>
        <v>#REF!</v>
      </c>
      <c r="AA630" t="e">
        <f ca="1">IF(A630="","",IF(E630="","",#REF!))</f>
        <v>#REF!</v>
      </c>
      <c r="AB630" t="e">
        <f ca="1">IF(A630="","",IF(E630="","",#REF!))</f>
        <v>#REF!</v>
      </c>
      <c r="AC630" t="e">
        <f t="shared" ca="1" si="56"/>
        <v>#REF!</v>
      </c>
    </row>
    <row r="631" spans="1:29" x14ac:dyDescent="0.35">
      <c r="A631" t="e" cm="1">
        <f t="array" aca="1" ref="A631" ca="1">IF(A630="","",IF(OR(AND(A630+1&gt;=$AF$1,A630+1&lt;=$AF$2),AND(A630+1&gt;=$AF$6,A630+1&lt;=$AF$7),AND(A630+1&gt;=$AF$3,A630+1&lt;=$AF$4),AND(A630+1&gt;=$AF$8,A630+1&lt;=$AF$9),A630+1=$AF$5),IF(NOT(ISBLANK(INDIRECT("template!"&amp;"P"&amp;A630+1))),A630+1,IF(NOT(ISBLANK(INDIRECT("template!"&amp;"P"&amp;A630+2))),A630+2,A630+3)),IF(A630=$AF$2,$AF$3,IF(A630=$AF$4,$AF$5,IF(A630=$AF$5,$AF$6,IF(A630=$AF$7,$AF$8,""))))))</f>
        <v>#REF!</v>
      </c>
      <c r="B631" t="e">
        <f t="shared" ca="1" si="51"/>
        <v>#REF!</v>
      </c>
      <c r="C631" t="e" cm="1">
        <f t="array" aca="1" ref="C631" ca="1">IF(A631="","",IF(B631="safety","safety costs",INDIRECT("template!"&amp;"B"&amp;A631)))</f>
        <v>#REF!</v>
      </c>
      <c r="D631" t="e" cm="1">
        <f t="array" aca="1" ref="D631" ca="1">IF(OR(A631="",B631="safety"),"",INDIRECT("template!"&amp;"C"&amp;A631))</f>
        <v>#REF!</v>
      </c>
      <c r="E631" t="e" cm="1">
        <f t="array" aca="1" ref="E631" ca="1">IF(A631="","",IF(OR(A631=A630+1,A631=A630+2),E630,INDIRECT("template!"&amp;"D"&amp;A631-2)))</f>
        <v>#REF!</v>
      </c>
      <c r="F631" t="e" cm="1">
        <f t="array" aca="1" ref="F631" ca="1">IF(OR(A631="",B631="safety"),"",IF(ISBLANK(IF(A631=A630+1,F630,INDIRECT("template!"&amp;"D"&amp;A631-1))),"",IF(A631=A630+1,F630,INDIRECT("template!"&amp;"D"&amp;A631-1))))</f>
        <v>#REF!</v>
      </c>
      <c r="G631" t="e" cm="1">
        <f t="array" aca="1" ref="G631" ca="1">IF(OR(A631="",B631="safety"),"",IF(ISBLANK(INDIRECT("template!"&amp;"D"&amp;A631)),"",INDIRECT("template!"&amp;"D"&amp;A631)))</f>
        <v>#REF!</v>
      </c>
      <c r="H631" t="e" cm="1">
        <f t="array" aca="1" ref="H631" ca="1">IF(OR(A631="",B631="safety"),"",IF(ISBLANK(INDIRECT("template!"&amp;"E"&amp;A631)),"",INDIRECT("template!"&amp;"E"&amp;A631)))</f>
        <v>#REF!</v>
      </c>
      <c r="I631" t="e" cm="1">
        <f t="array" aca="1" ref="I631" ca="1">IF(OR(A631="",B631="safety"),"",IF(ISBLANK(INDIRECT("template!"&amp;"F"&amp;A631)),"",INDIRECT("template!"&amp;"F"&amp;A631)))</f>
        <v>#REF!</v>
      </c>
      <c r="J631" t="e" cm="1">
        <f t="array" aca="1" ref="J631" ca="1">IF(OR(A631="",B631="safety"),"",IF(ISBLANK(INDIRECT("template!"&amp;"G"&amp;A631)),"",INDIRECT("template!"&amp;"G"&amp;A631)))</f>
        <v>#REF!</v>
      </c>
      <c r="K631" t="e" cm="1">
        <f t="array" aca="1" ref="K631" ca="1">IF(OR(A631="",B631="safety"),"",IF(ISBLANK(INDIRECT("template!"&amp;"H"&amp;A631)),"",INDIRECT("template!"&amp;"H"&amp;A631)))</f>
        <v>#REF!</v>
      </c>
      <c r="L631" t="e" cm="1">
        <f t="array" aca="1" ref="L631" ca="1">IF(OR(A631="",B631="safety"),"",INDIRECT("template!"&amp;"I"&amp;A631))</f>
        <v>#REF!</v>
      </c>
      <c r="M631" t="e" cm="1">
        <f t="array" aca="1" ref="M631" ca="1">IF(OR(A631="",B631="safety"),"",INDIRECT("template!"&amp;"J"&amp;A631))</f>
        <v>#REF!</v>
      </c>
      <c r="N631" t="e" cm="1">
        <f t="array" aca="1" ref="N631" ca="1">IF(OR(A631="",B631="safety"),"",IF(ISBLANK(INDIRECT("template!"&amp;"K"&amp;A631)),"",INDIRECT("template!"&amp;"K"&amp;A631)))</f>
        <v>#REF!</v>
      </c>
      <c r="O631" t="e" cm="1">
        <f t="array" aca="1" ref="O631" ca="1">IF(OR(A631="",B631="safety"),"",INDIRECT("template!"&amp;"L"&amp;A631))</f>
        <v>#REF!</v>
      </c>
      <c r="P631" t="e" cm="1">
        <f t="array" aca="1" ref="P631" ca="1">IF(OR(A631="",B631="safety"),"",INDIRECT("template!"&amp;"M"&amp;A631))</f>
        <v>#REF!</v>
      </c>
      <c r="Q631" t="e">
        <f t="shared" ca="1" si="52"/>
        <v>#REF!</v>
      </c>
      <c r="R631" t="e">
        <f t="shared" ca="1" si="53"/>
        <v>#REF!</v>
      </c>
      <c r="S631" t="e">
        <f t="shared" ca="1" si="54"/>
        <v>#REF!</v>
      </c>
      <c r="T631" t="e">
        <f t="shared" ca="1" si="55"/>
        <v>#REF!</v>
      </c>
      <c r="U631" t="e" cm="1">
        <f t="array" aca="1" ref="U631" ca="1">IF(A631="","",IF(E631="","",IF(B631="safety",INDIRECT("template!"&amp;"P"&amp;A631),Q631+R631)))</f>
        <v>#REF!</v>
      </c>
      <c r="V631" t="e" cm="1">
        <f t="array" aca="1" ref="V631" ca="1">IF(A631="","",IF(E631="","",IF(B631="safety",INDIRECT("template!"&amp;"P"&amp;A631),S631+T631)))</f>
        <v>#REF!</v>
      </c>
      <c r="W631" t="e">
        <f ca="1">IF(A631="","",IF(E631="","",#REF!))</f>
        <v>#REF!</v>
      </c>
      <c r="X631" t="e">
        <f ca="1">IF(A631="","",IF(E631="","",#REF!))</f>
        <v>#REF!</v>
      </c>
      <c r="Y631" s="39" t="e">
        <f ca="1">IF(A631="","",IF(E631="","",#REF!))</f>
        <v>#REF!</v>
      </c>
      <c r="Z631" t="e">
        <f ca="1">IF(A631="","",IF(E631="","",#REF!))</f>
        <v>#REF!</v>
      </c>
      <c r="AA631" t="e">
        <f ca="1">IF(A631="","",IF(E631="","",#REF!))</f>
        <v>#REF!</v>
      </c>
      <c r="AB631" t="e">
        <f ca="1">IF(A631="","",IF(E631="","",#REF!))</f>
        <v>#REF!</v>
      </c>
      <c r="AC631" t="e">
        <f t="shared" ca="1" si="56"/>
        <v>#REF!</v>
      </c>
    </row>
    <row r="632" spans="1:29" x14ac:dyDescent="0.35">
      <c r="A632" t="e" cm="1">
        <f t="array" aca="1" ref="A632" ca="1">IF(A631="","",IF(OR(AND(A631+1&gt;=$AF$1,A631+1&lt;=$AF$2),AND(A631+1&gt;=$AF$6,A631+1&lt;=$AF$7),AND(A631+1&gt;=$AF$3,A631+1&lt;=$AF$4),AND(A631+1&gt;=$AF$8,A631+1&lt;=$AF$9),A631+1=$AF$5),IF(NOT(ISBLANK(INDIRECT("template!"&amp;"P"&amp;A631+1))),A631+1,IF(NOT(ISBLANK(INDIRECT("template!"&amp;"P"&amp;A631+2))),A631+2,A631+3)),IF(A631=$AF$2,$AF$3,IF(A631=$AF$4,$AF$5,IF(A631=$AF$5,$AF$6,IF(A631=$AF$7,$AF$8,""))))))</f>
        <v>#REF!</v>
      </c>
      <c r="B632" t="e">
        <f t="shared" ca="1" si="51"/>
        <v>#REF!</v>
      </c>
      <c r="C632" t="e" cm="1">
        <f t="array" aca="1" ref="C632" ca="1">IF(A632="","",IF(B632="safety","safety costs",INDIRECT("template!"&amp;"B"&amp;A632)))</f>
        <v>#REF!</v>
      </c>
      <c r="D632" t="e" cm="1">
        <f t="array" aca="1" ref="D632" ca="1">IF(OR(A632="",B632="safety"),"",INDIRECT("template!"&amp;"C"&amp;A632))</f>
        <v>#REF!</v>
      </c>
      <c r="E632" t="e" cm="1">
        <f t="array" aca="1" ref="E632" ca="1">IF(A632="","",IF(OR(A632=A631+1,A632=A631+2),E631,INDIRECT("template!"&amp;"D"&amp;A632-2)))</f>
        <v>#REF!</v>
      </c>
      <c r="F632" t="e" cm="1">
        <f t="array" aca="1" ref="F632" ca="1">IF(OR(A632="",B632="safety"),"",IF(ISBLANK(IF(A632=A631+1,F631,INDIRECT("template!"&amp;"D"&amp;A632-1))),"",IF(A632=A631+1,F631,INDIRECT("template!"&amp;"D"&amp;A632-1))))</f>
        <v>#REF!</v>
      </c>
      <c r="G632" t="e" cm="1">
        <f t="array" aca="1" ref="G632" ca="1">IF(OR(A632="",B632="safety"),"",IF(ISBLANK(INDIRECT("template!"&amp;"D"&amp;A632)),"",INDIRECT("template!"&amp;"D"&amp;A632)))</f>
        <v>#REF!</v>
      </c>
      <c r="H632" t="e" cm="1">
        <f t="array" aca="1" ref="H632" ca="1">IF(OR(A632="",B632="safety"),"",IF(ISBLANK(INDIRECT("template!"&amp;"E"&amp;A632)),"",INDIRECT("template!"&amp;"E"&amp;A632)))</f>
        <v>#REF!</v>
      </c>
      <c r="I632" t="e" cm="1">
        <f t="array" aca="1" ref="I632" ca="1">IF(OR(A632="",B632="safety"),"",IF(ISBLANK(INDIRECT("template!"&amp;"F"&amp;A632)),"",INDIRECT("template!"&amp;"F"&amp;A632)))</f>
        <v>#REF!</v>
      </c>
      <c r="J632" t="e" cm="1">
        <f t="array" aca="1" ref="J632" ca="1">IF(OR(A632="",B632="safety"),"",IF(ISBLANK(INDIRECT("template!"&amp;"G"&amp;A632)),"",INDIRECT("template!"&amp;"G"&amp;A632)))</f>
        <v>#REF!</v>
      </c>
      <c r="K632" t="e" cm="1">
        <f t="array" aca="1" ref="K632" ca="1">IF(OR(A632="",B632="safety"),"",IF(ISBLANK(INDIRECT("template!"&amp;"H"&amp;A632)),"",INDIRECT("template!"&amp;"H"&amp;A632)))</f>
        <v>#REF!</v>
      </c>
      <c r="L632" t="e" cm="1">
        <f t="array" aca="1" ref="L632" ca="1">IF(OR(A632="",B632="safety"),"",INDIRECT("template!"&amp;"I"&amp;A632))</f>
        <v>#REF!</v>
      </c>
      <c r="M632" t="e" cm="1">
        <f t="array" aca="1" ref="M632" ca="1">IF(OR(A632="",B632="safety"),"",INDIRECT("template!"&amp;"J"&amp;A632))</f>
        <v>#REF!</v>
      </c>
      <c r="N632" t="e" cm="1">
        <f t="array" aca="1" ref="N632" ca="1">IF(OR(A632="",B632="safety"),"",IF(ISBLANK(INDIRECT("template!"&amp;"K"&amp;A632)),"",INDIRECT("template!"&amp;"K"&amp;A632)))</f>
        <v>#REF!</v>
      </c>
      <c r="O632" t="e" cm="1">
        <f t="array" aca="1" ref="O632" ca="1">IF(OR(A632="",B632="safety"),"",INDIRECT("template!"&amp;"L"&amp;A632))</f>
        <v>#REF!</v>
      </c>
      <c r="P632" t="e" cm="1">
        <f t="array" aca="1" ref="P632" ca="1">IF(OR(A632="",B632="safety"),"",INDIRECT("template!"&amp;"M"&amp;A632))</f>
        <v>#REF!</v>
      </c>
      <c r="Q632" t="e">
        <f t="shared" ca="1" si="52"/>
        <v>#REF!</v>
      </c>
      <c r="R632" t="e">
        <f t="shared" ca="1" si="53"/>
        <v>#REF!</v>
      </c>
      <c r="S632" t="e">
        <f t="shared" ca="1" si="54"/>
        <v>#REF!</v>
      </c>
      <c r="T632" t="e">
        <f t="shared" ca="1" si="55"/>
        <v>#REF!</v>
      </c>
      <c r="U632" t="e" cm="1">
        <f t="array" aca="1" ref="U632" ca="1">IF(A632="","",IF(E632="","",IF(B632="safety",INDIRECT("template!"&amp;"P"&amp;A632),Q632+R632)))</f>
        <v>#REF!</v>
      </c>
      <c r="V632" t="e" cm="1">
        <f t="array" aca="1" ref="V632" ca="1">IF(A632="","",IF(E632="","",IF(B632="safety",INDIRECT("template!"&amp;"P"&amp;A632),S632+T632)))</f>
        <v>#REF!</v>
      </c>
      <c r="W632" t="e">
        <f ca="1">IF(A632="","",IF(E632="","",#REF!))</f>
        <v>#REF!</v>
      </c>
      <c r="X632" t="e">
        <f ca="1">IF(A632="","",IF(E632="","",#REF!))</f>
        <v>#REF!</v>
      </c>
      <c r="Y632" s="39" t="e">
        <f ca="1">IF(A632="","",IF(E632="","",#REF!))</f>
        <v>#REF!</v>
      </c>
      <c r="Z632" t="e">
        <f ca="1">IF(A632="","",IF(E632="","",#REF!))</f>
        <v>#REF!</v>
      </c>
      <c r="AA632" t="e">
        <f ca="1">IF(A632="","",IF(E632="","",#REF!))</f>
        <v>#REF!</v>
      </c>
      <c r="AB632" t="e">
        <f ca="1">IF(A632="","",IF(E632="","",#REF!))</f>
        <v>#REF!</v>
      </c>
      <c r="AC632" t="e">
        <f t="shared" ca="1" si="56"/>
        <v>#REF!</v>
      </c>
    </row>
    <row r="633" spans="1:29" x14ac:dyDescent="0.35">
      <c r="A633" t="e" cm="1">
        <f t="array" aca="1" ref="A633" ca="1">IF(A632="","",IF(OR(AND(A632+1&gt;=$AF$1,A632+1&lt;=$AF$2),AND(A632+1&gt;=$AF$6,A632+1&lt;=$AF$7),AND(A632+1&gt;=$AF$3,A632+1&lt;=$AF$4),AND(A632+1&gt;=$AF$8,A632+1&lt;=$AF$9),A632+1=$AF$5),IF(NOT(ISBLANK(INDIRECT("template!"&amp;"P"&amp;A632+1))),A632+1,IF(NOT(ISBLANK(INDIRECT("template!"&amp;"P"&amp;A632+2))),A632+2,A632+3)),IF(A632=$AF$2,$AF$3,IF(A632=$AF$4,$AF$5,IF(A632=$AF$5,$AF$6,IF(A632=$AF$7,$AF$8,""))))))</f>
        <v>#REF!</v>
      </c>
      <c r="B633" t="e">
        <f t="shared" ca="1" si="51"/>
        <v>#REF!</v>
      </c>
      <c r="C633" t="e" cm="1">
        <f t="array" aca="1" ref="C633" ca="1">IF(A633="","",IF(B633="safety","safety costs",INDIRECT("template!"&amp;"B"&amp;A633)))</f>
        <v>#REF!</v>
      </c>
      <c r="D633" t="e" cm="1">
        <f t="array" aca="1" ref="D633" ca="1">IF(OR(A633="",B633="safety"),"",INDIRECT("template!"&amp;"C"&amp;A633))</f>
        <v>#REF!</v>
      </c>
      <c r="E633" t="e" cm="1">
        <f t="array" aca="1" ref="E633" ca="1">IF(A633="","",IF(OR(A633=A632+1,A633=A632+2),E632,INDIRECT("template!"&amp;"D"&amp;A633-2)))</f>
        <v>#REF!</v>
      </c>
      <c r="F633" t="e" cm="1">
        <f t="array" aca="1" ref="F633" ca="1">IF(OR(A633="",B633="safety"),"",IF(ISBLANK(IF(A633=A632+1,F632,INDIRECT("template!"&amp;"D"&amp;A633-1))),"",IF(A633=A632+1,F632,INDIRECT("template!"&amp;"D"&amp;A633-1))))</f>
        <v>#REF!</v>
      </c>
      <c r="G633" t="e" cm="1">
        <f t="array" aca="1" ref="G633" ca="1">IF(OR(A633="",B633="safety"),"",IF(ISBLANK(INDIRECT("template!"&amp;"D"&amp;A633)),"",INDIRECT("template!"&amp;"D"&amp;A633)))</f>
        <v>#REF!</v>
      </c>
      <c r="H633" t="e" cm="1">
        <f t="array" aca="1" ref="H633" ca="1">IF(OR(A633="",B633="safety"),"",IF(ISBLANK(INDIRECT("template!"&amp;"E"&amp;A633)),"",INDIRECT("template!"&amp;"E"&amp;A633)))</f>
        <v>#REF!</v>
      </c>
      <c r="I633" t="e" cm="1">
        <f t="array" aca="1" ref="I633" ca="1">IF(OR(A633="",B633="safety"),"",IF(ISBLANK(INDIRECT("template!"&amp;"F"&amp;A633)),"",INDIRECT("template!"&amp;"F"&amp;A633)))</f>
        <v>#REF!</v>
      </c>
      <c r="J633" t="e" cm="1">
        <f t="array" aca="1" ref="J633" ca="1">IF(OR(A633="",B633="safety"),"",IF(ISBLANK(INDIRECT("template!"&amp;"G"&amp;A633)),"",INDIRECT("template!"&amp;"G"&amp;A633)))</f>
        <v>#REF!</v>
      </c>
      <c r="K633" t="e" cm="1">
        <f t="array" aca="1" ref="K633" ca="1">IF(OR(A633="",B633="safety"),"",IF(ISBLANK(INDIRECT("template!"&amp;"H"&amp;A633)),"",INDIRECT("template!"&amp;"H"&amp;A633)))</f>
        <v>#REF!</v>
      </c>
      <c r="L633" t="e" cm="1">
        <f t="array" aca="1" ref="L633" ca="1">IF(OR(A633="",B633="safety"),"",INDIRECT("template!"&amp;"I"&amp;A633))</f>
        <v>#REF!</v>
      </c>
      <c r="M633" t="e" cm="1">
        <f t="array" aca="1" ref="M633" ca="1">IF(OR(A633="",B633="safety"),"",INDIRECT("template!"&amp;"J"&amp;A633))</f>
        <v>#REF!</v>
      </c>
      <c r="N633" t="e" cm="1">
        <f t="array" aca="1" ref="N633" ca="1">IF(OR(A633="",B633="safety"),"",IF(ISBLANK(INDIRECT("template!"&amp;"K"&amp;A633)),"",INDIRECT("template!"&amp;"K"&amp;A633)))</f>
        <v>#REF!</v>
      </c>
      <c r="O633" t="e" cm="1">
        <f t="array" aca="1" ref="O633" ca="1">IF(OR(A633="",B633="safety"),"",INDIRECT("template!"&amp;"L"&amp;A633))</f>
        <v>#REF!</v>
      </c>
      <c r="P633" t="e" cm="1">
        <f t="array" aca="1" ref="P633" ca="1">IF(OR(A633="",B633="safety"),"",INDIRECT("template!"&amp;"M"&amp;A633))</f>
        <v>#REF!</v>
      </c>
      <c r="Q633" t="e">
        <f t="shared" ca="1" si="52"/>
        <v>#REF!</v>
      </c>
      <c r="R633" t="e">
        <f t="shared" ca="1" si="53"/>
        <v>#REF!</v>
      </c>
      <c r="S633" t="e">
        <f t="shared" ca="1" si="54"/>
        <v>#REF!</v>
      </c>
      <c r="T633" t="e">
        <f t="shared" ca="1" si="55"/>
        <v>#REF!</v>
      </c>
      <c r="U633" t="e" cm="1">
        <f t="array" aca="1" ref="U633" ca="1">IF(A633="","",IF(E633="","",IF(B633="safety",INDIRECT("template!"&amp;"P"&amp;A633),Q633+R633)))</f>
        <v>#REF!</v>
      </c>
      <c r="V633" t="e" cm="1">
        <f t="array" aca="1" ref="V633" ca="1">IF(A633="","",IF(E633="","",IF(B633="safety",INDIRECT("template!"&amp;"P"&amp;A633),S633+T633)))</f>
        <v>#REF!</v>
      </c>
      <c r="W633" t="e">
        <f ca="1">IF(A633="","",IF(E633="","",#REF!))</f>
        <v>#REF!</v>
      </c>
      <c r="X633" t="e">
        <f ca="1">IF(A633="","",IF(E633="","",#REF!))</f>
        <v>#REF!</v>
      </c>
      <c r="Y633" s="39" t="e">
        <f ca="1">IF(A633="","",IF(E633="","",#REF!))</f>
        <v>#REF!</v>
      </c>
      <c r="Z633" t="e">
        <f ca="1">IF(A633="","",IF(E633="","",#REF!))</f>
        <v>#REF!</v>
      </c>
      <c r="AA633" t="e">
        <f ca="1">IF(A633="","",IF(E633="","",#REF!))</f>
        <v>#REF!</v>
      </c>
      <c r="AB633" t="e">
        <f ca="1">IF(A633="","",IF(E633="","",#REF!))</f>
        <v>#REF!</v>
      </c>
      <c r="AC633" t="e">
        <f t="shared" ca="1" si="56"/>
        <v>#REF!</v>
      </c>
    </row>
    <row r="634" spans="1:29" x14ac:dyDescent="0.35">
      <c r="A634" t="e" cm="1">
        <f t="array" aca="1" ref="A634" ca="1">IF(A633="","",IF(OR(AND(A633+1&gt;=$AF$1,A633+1&lt;=$AF$2),AND(A633+1&gt;=$AF$6,A633+1&lt;=$AF$7),AND(A633+1&gt;=$AF$3,A633+1&lt;=$AF$4),AND(A633+1&gt;=$AF$8,A633+1&lt;=$AF$9),A633+1=$AF$5),IF(NOT(ISBLANK(INDIRECT("template!"&amp;"P"&amp;A633+1))),A633+1,IF(NOT(ISBLANK(INDIRECT("template!"&amp;"P"&amp;A633+2))),A633+2,A633+3)),IF(A633=$AF$2,$AF$3,IF(A633=$AF$4,$AF$5,IF(A633=$AF$5,$AF$6,IF(A633=$AF$7,$AF$8,""))))))</f>
        <v>#REF!</v>
      </c>
      <c r="B634" t="e">
        <f t="shared" ca="1" si="51"/>
        <v>#REF!</v>
      </c>
      <c r="C634" t="e" cm="1">
        <f t="array" aca="1" ref="C634" ca="1">IF(A634="","",IF(B634="safety","safety costs",INDIRECT("template!"&amp;"B"&amp;A634)))</f>
        <v>#REF!</v>
      </c>
      <c r="D634" t="e" cm="1">
        <f t="array" aca="1" ref="D634" ca="1">IF(OR(A634="",B634="safety"),"",INDIRECT("template!"&amp;"C"&amp;A634))</f>
        <v>#REF!</v>
      </c>
      <c r="E634" t="e" cm="1">
        <f t="array" aca="1" ref="E634" ca="1">IF(A634="","",IF(OR(A634=A633+1,A634=A633+2),E633,INDIRECT("template!"&amp;"D"&amp;A634-2)))</f>
        <v>#REF!</v>
      </c>
      <c r="F634" t="e" cm="1">
        <f t="array" aca="1" ref="F634" ca="1">IF(OR(A634="",B634="safety"),"",IF(ISBLANK(IF(A634=A633+1,F633,INDIRECT("template!"&amp;"D"&amp;A634-1))),"",IF(A634=A633+1,F633,INDIRECT("template!"&amp;"D"&amp;A634-1))))</f>
        <v>#REF!</v>
      </c>
      <c r="G634" t="e" cm="1">
        <f t="array" aca="1" ref="G634" ca="1">IF(OR(A634="",B634="safety"),"",IF(ISBLANK(INDIRECT("template!"&amp;"D"&amp;A634)),"",INDIRECT("template!"&amp;"D"&amp;A634)))</f>
        <v>#REF!</v>
      </c>
      <c r="H634" t="e" cm="1">
        <f t="array" aca="1" ref="H634" ca="1">IF(OR(A634="",B634="safety"),"",IF(ISBLANK(INDIRECT("template!"&amp;"E"&amp;A634)),"",INDIRECT("template!"&amp;"E"&amp;A634)))</f>
        <v>#REF!</v>
      </c>
      <c r="I634" t="e" cm="1">
        <f t="array" aca="1" ref="I634" ca="1">IF(OR(A634="",B634="safety"),"",IF(ISBLANK(INDIRECT("template!"&amp;"F"&amp;A634)),"",INDIRECT("template!"&amp;"F"&amp;A634)))</f>
        <v>#REF!</v>
      </c>
      <c r="J634" t="e" cm="1">
        <f t="array" aca="1" ref="J634" ca="1">IF(OR(A634="",B634="safety"),"",IF(ISBLANK(INDIRECT("template!"&amp;"G"&amp;A634)),"",INDIRECT("template!"&amp;"G"&amp;A634)))</f>
        <v>#REF!</v>
      </c>
      <c r="K634" t="e" cm="1">
        <f t="array" aca="1" ref="K634" ca="1">IF(OR(A634="",B634="safety"),"",IF(ISBLANK(INDIRECT("template!"&amp;"H"&amp;A634)),"",INDIRECT("template!"&amp;"H"&amp;A634)))</f>
        <v>#REF!</v>
      </c>
      <c r="L634" t="e" cm="1">
        <f t="array" aca="1" ref="L634" ca="1">IF(OR(A634="",B634="safety"),"",INDIRECT("template!"&amp;"I"&amp;A634))</f>
        <v>#REF!</v>
      </c>
      <c r="M634" t="e" cm="1">
        <f t="array" aca="1" ref="M634" ca="1">IF(OR(A634="",B634="safety"),"",INDIRECT("template!"&amp;"J"&amp;A634))</f>
        <v>#REF!</v>
      </c>
      <c r="N634" t="e" cm="1">
        <f t="array" aca="1" ref="N634" ca="1">IF(OR(A634="",B634="safety"),"",IF(ISBLANK(INDIRECT("template!"&amp;"K"&amp;A634)),"",INDIRECT("template!"&amp;"K"&amp;A634)))</f>
        <v>#REF!</v>
      </c>
      <c r="O634" t="e" cm="1">
        <f t="array" aca="1" ref="O634" ca="1">IF(OR(A634="",B634="safety"),"",INDIRECT("template!"&amp;"L"&amp;A634))</f>
        <v>#REF!</v>
      </c>
      <c r="P634" t="e" cm="1">
        <f t="array" aca="1" ref="P634" ca="1">IF(OR(A634="",B634="safety"),"",INDIRECT("template!"&amp;"M"&amp;A634))</f>
        <v>#REF!</v>
      </c>
      <c r="Q634" t="e">
        <f t="shared" ca="1" si="52"/>
        <v>#REF!</v>
      </c>
      <c r="R634" t="e">
        <f t="shared" ca="1" si="53"/>
        <v>#REF!</v>
      </c>
      <c r="S634" t="e">
        <f t="shared" ca="1" si="54"/>
        <v>#REF!</v>
      </c>
      <c r="T634" t="e">
        <f t="shared" ca="1" si="55"/>
        <v>#REF!</v>
      </c>
      <c r="U634" t="e" cm="1">
        <f t="array" aca="1" ref="U634" ca="1">IF(A634="","",IF(E634="","",IF(B634="safety",INDIRECT("template!"&amp;"P"&amp;A634),Q634+R634)))</f>
        <v>#REF!</v>
      </c>
      <c r="V634" t="e" cm="1">
        <f t="array" aca="1" ref="V634" ca="1">IF(A634="","",IF(E634="","",IF(B634="safety",INDIRECT("template!"&amp;"P"&amp;A634),S634+T634)))</f>
        <v>#REF!</v>
      </c>
      <c r="W634" t="e">
        <f ca="1">IF(A634="","",IF(E634="","",#REF!))</f>
        <v>#REF!</v>
      </c>
      <c r="X634" t="e">
        <f ca="1">IF(A634="","",IF(E634="","",#REF!))</f>
        <v>#REF!</v>
      </c>
      <c r="Y634" s="39" t="e">
        <f ca="1">IF(A634="","",IF(E634="","",#REF!))</f>
        <v>#REF!</v>
      </c>
      <c r="Z634" t="e">
        <f ca="1">IF(A634="","",IF(E634="","",#REF!))</f>
        <v>#REF!</v>
      </c>
      <c r="AA634" t="e">
        <f ca="1">IF(A634="","",IF(E634="","",#REF!))</f>
        <v>#REF!</v>
      </c>
      <c r="AB634" t="e">
        <f ca="1">IF(A634="","",IF(E634="","",#REF!))</f>
        <v>#REF!</v>
      </c>
      <c r="AC634" t="e">
        <f t="shared" ca="1" si="56"/>
        <v>#REF!</v>
      </c>
    </row>
    <row r="635" spans="1:29" x14ac:dyDescent="0.35">
      <c r="A635" t="e" cm="1">
        <f t="array" aca="1" ref="A635" ca="1">IF(A634="","",IF(OR(AND(A634+1&gt;=$AF$1,A634+1&lt;=$AF$2),AND(A634+1&gt;=$AF$6,A634+1&lt;=$AF$7),AND(A634+1&gt;=$AF$3,A634+1&lt;=$AF$4),AND(A634+1&gt;=$AF$8,A634+1&lt;=$AF$9),A634+1=$AF$5),IF(NOT(ISBLANK(INDIRECT("template!"&amp;"P"&amp;A634+1))),A634+1,IF(NOT(ISBLANK(INDIRECT("template!"&amp;"P"&amp;A634+2))),A634+2,A634+3)),IF(A634=$AF$2,$AF$3,IF(A634=$AF$4,$AF$5,IF(A634=$AF$5,$AF$6,IF(A634=$AF$7,$AF$8,""))))))</f>
        <v>#REF!</v>
      </c>
      <c r="B635" t="e">
        <f t="shared" ca="1" si="51"/>
        <v>#REF!</v>
      </c>
      <c r="C635" t="e" cm="1">
        <f t="array" aca="1" ref="C635" ca="1">IF(A635="","",IF(B635="safety","safety costs",INDIRECT("template!"&amp;"B"&amp;A635)))</f>
        <v>#REF!</v>
      </c>
      <c r="D635" t="e" cm="1">
        <f t="array" aca="1" ref="D635" ca="1">IF(OR(A635="",B635="safety"),"",INDIRECT("template!"&amp;"C"&amp;A635))</f>
        <v>#REF!</v>
      </c>
      <c r="E635" t="e" cm="1">
        <f t="array" aca="1" ref="E635" ca="1">IF(A635="","",IF(OR(A635=A634+1,A635=A634+2),E634,INDIRECT("template!"&amp;"D"&amp;A635-2)))</f>
        <v>#REF!</v>
      </c>
      <c r="F635" t="e" cm="1">
        <f t="array" aca="1" ref="F635" ca="1">IF(OR(A635="",B635="safety"),"",IF(ISBLANK(IF(A635=A634+1,F634,INDIRECT("template!"&amp;"D"&amp;A635-1))),"",IF(A635=A634+1,F634,INDIRECT("template!"&amp;"D"&amp;A635-1))))</f>
        <v>#REF!</v>
      </c>
      <c r="G635" t="e" cm="1">
        <f t="array" aca="1" ref="G635" ca="1">IF(OR(A635="",B635="safety"),"",IF(ISBLANK(INDIRECT("template!"&amp;"D"&amp;A635)),"",INDIRECT("template!"&amp;"D"&amp;A635)))</f>
        <v>#REF!</v>
      </c>
      <c r="H635" t="e" cm="1">
        <f t="array" aca="1" ref="H635" ca="1">IF(OR(A635="",B635="safety"),"",IF(ISBLANK(INDIRECT("template!"&amp;"E"&amp;A635)),"",INDIRECT("template!"&amp;"E"&amp;A635)))</f>
        <v>#REF!</v>
      </c>
      <c r="I635" t="e" cm="1">
        <f t="array" aca="1" ref="I635" ca="1">IF(OR(A635="",B635="safety"),"",IF(ISBLANK(INDIRECT("template!"&amp;"F"&amp;A635)),"",INDIRECT("template!"&amp;"F"&amp;A635)))</f>
        <v>#REF!</v>
      </c>
      <c r="J635" t="e" cm="1">
        <f t="array" aca="1" ref="J635" ca="1">IF(OR(A635="",B635="safety"),"",IF(ISBLANK(INDIRECT("template!"&amp;"G"&amp;A635)),"",INDIRECT("template!"&amp;"G"&amp;A635)))</f>
        <v>#REF!</v>
      </c>
      <c r="K635" t="e" cm="1">
        <f t="array" aca="1" ref="K635" ca="1">IF(OR(A635="",B635="safety"),"",IF(ISBLANK(INDIRECT("template!"&amp;"H"&amp;A635)),"",INDIRECT("template!"&amp;"H"&amp;A635)))</f>
        <v>#REF!</v>
      </c>
      <c r="L635" t="e" cm="1">
        <f t="array" aca="1" ref="L635" ca="1">IF(OR(A635="",B635="safety"),"",INDIRECT("template!"&amp;"I"&amp;A635))</f>
        <v>#REF!</v>
      </c>
      <c r="M635" t="e" cm="1">
        <f t="array" aca="1" ref="M635" ca="1">IF(OR(A635="",B635="safety"),"",INDIRECT("template!"&amp;"J"&amp;A635))</f>
        <v>#REF!</v>
      </c>
      <c r="N635" t="e" cm="1">
        <f t="array" aca="1" ref="N635" ca="1">IF(OR(A635="",B635="safety"),"",IF(ISBLANK(INDIRECT("template!"&amp;"K"&amp;A635)),"",INDIRECT("template!"&amp;"K"&amp;A635)))</f>
        <v>#REF!</v>
      </c>
      <c r="O635" t="e" cm="1">
        <f t="array" aca="1" ref="O635" ca="1">IF(OR(A635="",B635="safety"),"",INDIRECT("template!"&amp;"L"&amp;A635))</f>
        <v>#REF!</v>
      </c>
      <c r="P635" t="e" cm="1">
        <f t="array" aca="1" ref="P635" ca="1">IF(OR(A635="",B635="safety"),"",INDIRECT("template!"&amp;"M"&amp;A635))</f>
        <v>#REF!</v>
      </c>
      <c r="Q635" t="e">
        <f t="shared" ca="1" si="52"/>
        <v>#REF!</v>
      </c>
      <c r="R635" t="e">
        <f t="shared" ca="1" si="53"/>
        <v>#REF!</v>
      </c>
      <c r="S635" t="e">
        <f t="shared" ca="1" si="54"/>
        <v>#REF!</v>
      </c>
      <c r="T635" t="e">
        <f t="shared" ca="1" si="55"/>
        <v>#REF!</v>
      </c>
      <c r="U635" t="e" cm="1">
        <f t="array" aca="1" ref="U635" ca="1">IF(A635="","",IF(E635="","",IF(B635="safety",INDIRECT("template!"&amp;"P"&amp;A635),Q635+R635)))</f>
        <v>#REF!</v>
      </c>
      <c r="V635" t="e" cm="1">
        <f t="array" aca="1" ref="V635" ca="1">IF(A635="","",IF(E635="","",IF(B635="safety",INDIRECT("template!"&amp;"P"&amp;A635),S635+T635)))</f>
        <v>#REF!</v>
      </c>
      <c r="W635" t="e">
        <f ca="1">IF(A635="","",IF(E635="","",#REF!))</f>
        <v>#REF!</v>
      </c>
      <c r="X635" t="e">
        <f ca="1">IF(A635="","",IF(E635="","",#REF!))</f>
        <v>#REF!</v>
      </c>
      <c r="Y635" s="39" t="e">
        <f ca="1">IF(A635="","",IF(E635="","",#REF!))</f>
        <v>#REF!</v>
      </c>
      <c r="Z635" t="e">
        <f ca="1">IF(A635="","",IF(E635="","",#REF!))</f>
        <v>#REF!</v>
      </c>
      <c r="AA635" t="e">
        <f ca="1">IF(A635="","",IF(E635="","",#REF!))</f>
        <v>#REF!</v>
      </c>
      <c r="AB635" t="e">
        <f ca="1">IF(A635="","",IF(E635="","",#REF!))</f>
        <v>#REF!</v>
      </c>
      <c r="AC635" t="e">
        <f t="shared" ca="1" si="56"/>
        <v>#REF!</v>
      </c>
    </row>
    <row r="636" spans="1:29" x14ac:dyDescent="0.35">
      <c r="A636" t="e" cm="1">
        <f t="array" aca="1" ref="A636" ca="1">IF(A635="","",IF(OR(AND(A635+1&gt;=$AF$1,A635+1&lt;=$AF$2),AND(A635+1&gt;=$AF$6,A635+1&lt;=$AF$7),AND(A635+1&gt;=$AF$3,A635+1&lt;=$AF$4),AND(A635+1&gt;=$AF$8,A635+1&lt;=$AF$9),A635+1=$AF$5),IF(NOT(ISBLANK(INDIRECT("template!"&amp;"P"&amp;A635+1))),A635+1,IF(NOT(ISBLANK(INDIRECT("template!"&amp;"P"&amp;A635+2))),A635+2,A635+3)),IF(A635=$AF$2,$AF$3,IF(A635=$AF$4,$AF$5,IF(A635=$AF$5,$AF$6,IF(A635=$AF$7,$AF$8,""))))))</f>
        <v>#REF!</v>
      </c>
      <c r="B636" t="e">
        <f t="shared" ca="1" si="51"/>
        <v>#REF!</v>
      </c>
      <c r="C636" t="e" cm="1">
        <f t="array" aca="1" ref="C636" ca="1">IF(A636="","",IF(B636="safety","safety costs",INDIRECT("template!"&amp;"B"&amp;A636)))</f>
        <v>#REF!</v>
      </c>
      <c r="D636" t="e" cm="1">
        <f t="array" aca="1" ref="D636" ca="1">IF(OR(A636="",B636="safety"),"",INDIRECT("template!"&amp;"C"&amp;A636))</f>
        <v>#REF!</v>
      </c>
      <c r="E636" t="e" cm="1">
        <f t="array" aca="1" ref="E636" ca="1">IF(A636="","",IF(OR(A636=A635+1,A636=A635+2),E635,INDIRECT("template!"&amp;"D"&amp;A636-2)))</f>
        <v>#REF!</v>
      </c>
      <c r="F636" t="e" cm="1">
        <f t="array" aca="1" ref="F636" ca="1">IF(OR(A636="",B636="safety"),"",IF(ISBLANK(IF(A636=A635+1,F635,INDIRECT("template!"&amp;"D"&amp;A636-1))),"",IF(A636=A635+1,F635,INDIRECT("template!"&amp;"D"&amp;A636-1))))</f>
        <v>#REF!</v>
      </c>
      <c r="G636" t="e" cm="1">
        <f t="array" aca="1" ref="G636" ca="1">IF(OR(A636="",B636="safety"),"",IF(ISBLANK(INDIRECT("template!"&amp;"D"&amp;A636)),"",INDIRECT("template!"&amp;"D"&amp;A636)))</f>
        <v>#REF!</v>
      </c>
      <c r="H636" t="e" cm="1">
        <f t="array" aca="1" ref="H636" ca="1">IF(OR(A636="",B636="safety"),"",IF(ISBLANK(INDIRECT("template!"&amp;"E"&amp;A636)),"",INDIRECT("template!"&amp;"E"&amp;A636)))</f>
        <v>#REF!</v>
      </c>
      <c r="I636" t="e" cm="1">
        <f t="array" aca="1" ref="I636" ca="1">IF(OR(A636="",B636="safety"),"",IF(ISBLANK(INDIRECT("template!"&amp;"F"&amp;A636)),"",INDIRECT("template!"&amp;"F"&amp;A636)))</f>
        <v>#REF!</v>
      </c>
      <c r="J636" t="e" cm="1">
        <f t="array" aca="1" ref="J636" ca="1">IF(OR(A636="",B636="safety"),"",IF(ISBLANK(INDIRECT("template!"&amp;"G"&amp;A636)),"",INDIRECT("template!"&amp;"G"&amp;A636)))</f>
        <v>#REF!</v>
      </c>
      <c r="K636" t="e" cm="1">
        <f t="array" aca="1" ref="K636" ca="1">IF(OR(A636="",B636="safety"),"",IF(ISBLANK(INDIRECT("template!"&amp;"H"&amp;A636)),"",INDIRECT("template!"&amp;"H"&amp;A636)))</f>
        <v>#REF!</v>
      </c>
      <c r="L636" t="e" cm="1">
        <f t="array" aca="1" ref="L636" ca="1">IF(OR(A636="",B636="safety"),"",INDIRECT("template!"&amp;"I"&amp;A636))</f>
        <v>#REF!</v>
      </c>
      <c r="M636" t="e" cm="1">
        <f t="array" aca="1" ref="M636" ca="1">IF(OR(A636="",B636="safety"),"",INDIRECT("template!"&amp;"J"&amp;A636))</f>
        <v>#REF!</v>
      </c>
      <c r="N636" t="e" cm="1">
        <f t="array" aca="1" ref="N636" ca="1">IF(OR(A636="",B636="safety"),"",IF(ISBLANK(INDIRECT("template!"&amp;"K"&amp;A636)),"",INDIRECT("template!"&amp;"K"&amp;A636)))</f>
        <v>#REF!</v>
      </c>
      <c r="O636" t="e" cm="1">
        <f t="array" aca="1" ref="O636" ca="1">IF(OR(A636="",B636="safety"),"",INDIRECT("template!"&amp;"L"&amp;A636))</f>
        <v>#REF!</v>
      </c>
      <c r="P636" t="e" cm="1">
        <f t="array" aca="1" ref="P636" ca="1">IF(OR(A636="",B636="safety"),"",INDIRECT("template!"&amp;"M"&amp;A636))</f>
        <v>#REF!</v>
      </c>
      <c r="Q636" t="e">
        <f t="shared" ca="1" si="52"/>
        <v>#REF!</v>
      </c>
      <c r="R636" t="e">
        <f t="shared" ca="1" si="53"/>
        <v>#REF!</v>
      </c>
      <c r="S636" t="e">
        <f t="shared" ca="1" si="54"/>
        <v>#REF!</v>
      </c>
      <c r="T636" t="e">
        <f t="shared" ca="1" si="55"/>
        <v>#REF!</v>
      </c>
      <c r="U636" t="e" cm="1">
        <f t="array" aca="1" ref="U636" ca="1">IF(A636="","",IF(E636="","",IF(B636="safety",INDIRECT("template!"&amp;"P"&amp;A636),Q636+R636)))</f>
        <v>#REF!</v>
      </c>
      <c r="V636" t="e" cm="1">
        <f t="array" aca="1" ref="V636" ca="1">IF(A636="","",IF(E636="","",IF(B636="safety",INDIRECT("template!"&amp;"P"&amp;A636),S636+T636)))</f>
        <v>#REF!</v>
      </c>
      <c r="W636" t="e">
        <f ca="1">IF(A636="","",IF(E636="","",#REF!))</f>
        <v>#REF!</v>
      </c>
      <c r="X636" t="e">
        <f ca="1">IF(A636="","",IF(E636="","",#REF!))</f>
        <v>#REF!</v>
      </c>
      <c r="Y636" s="39" t="e">
        <f ca="1">IF(A636="","",IF(E636="","",#REF!))</f>
        <v>#REF!</v>
      </c>
      <c r="Z636" t="e">
        <f ca="1">IF(A636="","",IF(E636="","",#REF!))</f>
        <v>#REF!</v>
      </c>
      <c r="AA636" t="e">
        <f ca="1">IF(A636="","",IF(E636="","",#REF!))</f>
        <v>#REF!</v>
      </c>
      <c r="AB636" t="e">
        <f ca="1">IF(A636="","",IF(E636="","",#REF!))</f>
        <v>#REF!</v>
      </c>
      <c r="AC636" t="e">
        <f t="shared" ca="1" si="56"/>
        <v>#REF!</v>
      </c>
    </row>
    <row r="637" spans="1:29" x14ac:dyDescent="0.35">
      <c r="A637" t="e" cm="1">
        <f t="array" aca="1" ref="A637" ca="1">IF(A636="","",IF(OR(AND(A636+1&gt;=$AF$1,A636+1&lt;=$AF$2),AND(A636+1&gt;=$AF$6,A636+1&lt;=$AF$7),AND(A636+1&gt;=$AF$3,A636+1&lt;=$AF$4),AND(A636+1&gt;=$AF$8,A636+1&lt;=$AF$9),A636+1=$AF$5),IF(NOT(ISBLANK(INDIRECT("template!"&amp;"P"&amp;A636+1))),A636+1,IF(NOT(ISBLANK(INDIRECT("template!"&amp;"P"&amp;A636+2))),A636+2,A636+3)),IF(A636=$AF$2,$AF$3,IF(A636=$AF$4,$AF$5,IF(A636=$AF$5,$AF$6,IF(A636=$AF$7,$AF$8,""))))))</f>
        <v>#REF!</v>
      </c>
      <c r="B637" t="e">
        <f t="shared" ca="1" si="51"/>
        <v>#REF!</v>
      </c>
      <c r="C637" t="e" cm="1">
        <f t="array" aca="1" ref="C637" ca="1">IF(A637="","",IF(B637="safety","safety costs",INDIRECT("template!"&amp;"B"&amp;A637)))</f>
        <v>#REF!</v>
      </c>
      <c r="D637" t="e" cm="1">
        <f t="array" aca="1" ref="D637" ca="1">IF(OR(A637="",B637="safety"),"",INDIRECT("template!"&amp;"C"&amp;A637))</f>
        <v>#REF!</v>
      </c>
      <c r="E637" t="e" cm="1">
        <f t="array" aca="1" ref="E637" ca="1">IF(A637="","",IF(OR(A637=A636+1,A637=A636+2),E636,INDIRECT("template!"&amp;"D"&amp;A637-2)))</f>
        <v>#REF!</v>
      </c>
      <c r="F637" t="e" cm="1">
        <f t="array" aca="1" ref="F637" ca="1">IF(OR(A637="",B637="safety"),"",IF(ISBLANK(IF(A637=A636+1,F636,INDIRECT("template!"&amp;"D"&amp;A637-1))),"",IF(A637=A636+1,F636,INDIRECT("template!"&amp;"D"&amp;A637-1))))</f>
        <v>#REF!</v>
      </c>
      <c r="G637" t="e" cm="1">
        <f t="array" aca="1" ref="G637" ca="1">IF(OR(A637="",B637="safety"),"",IF(ISBLANK(INDIRECT("template!"&amp;"D"&amp;A637)),"",INDIRECT("template!"&amp;"D"&amp;A637)))</f>
        <v>#REF!</v>
      </c>
      <c r="H637" t="e" cm="1">
        <f t="array" aca="1" ref="H637" ca="1">IF(OR(A637="",B637="safety"),"",IF(ISBLANK(INDIRECT("template!"&amp;"E"&amp;A637)),"",INDIRECT("template!"&amp;"E"&amp;A637)))</f>
        <v>#REF!</v>
      </c>
      <c r="I637" t="e" cm="1">
        <f t="array" aca="1" ref="I637" ca="1">IF(OR(A637="",B637="safety"),"",IF(ISBLANK(INDIRECT("template!"&amp;"F"&amp;A637)),"",INDIRECT("template!"&amp;"F"&amp;A637)))</f>
        <v>#REF!</v>
      </c>
      <c r="J637" t="e" cm="1">
        <f t="array" aca="1" ref="J637" ca="1">IF(OR(A637="",B637="safety"),"",IF(ISBLANK(INDIRECT("template!"&amp;"G"&amp;A637)),"",INDIRECT("template!"&amp;"G"&amp;A637)))</f>
        <v>#REF!</v>
      </c>
      <c r="K637" t="e" cm="1">
        <f t="array" aca="1" ref="K637" ca="1">IF(OR(A637="",B637="safety"),"",IF(ISBLANK(INDIRECT("template!"&amp;"H"&amp;A637)),"",INDIRECT("template!"&amp;"H"&amp;A637)))</f>
        <v>#REF!</v>
      </c>
      <c r="L637" t="e" cm="1">
        <f t="array" aca="1" ref="L637" ca="1">IF(OR(A637="",B637="safety"),"",INDIRECT("template!"&amp;"I"&amp;A637))</f>
        <v>#REF!</v>
      </c>
      <c r="M637" t="e" cm="1">
        <f t="array" aca="1" ref="M637" ca="1">IF(OR(A637="",B637="safety"),"",INDIRECT("template!"&amp;"J"&amp;A637))</f>
        <v>#REF!</v>
      </c>
      <c r="N637" t="e" cm="1">
        <f t="array" aca="1" ref="N637" ca="1">IF(OR(A637="",B637="safety"),"",IF(ISBLANK(INDIRECT("template!"&amp;"K"&amp;A637)),"",INDIRECT("template!"&amp;"K"&amp;A637)))</f>
        <v>#REF!</v>
      </c>
      <c r="O637" t="e" cm="1">
        <f t="array" aca="1" ref="O637" ca="1">IF(OR(A637="",B637="safety"),"",INDIRECT("template!"&amp;"L"&amp;A637))</f>
        <v>#REF!</v>
      </c>
      <c r="P637" t="e" cm="1">
        <f t="array" aca="1" ref="P637" ca="1">IF(OR(A637="",B637="safety"),"",INDIRECT("template!"&amp;"M"&amp;A637))</f>
        <v>#REF!</v>
      </c>
      <c r="Q637" t="e">
        <f t="shared" ca="1" si="52"/>
        <v>#REF!</v>
      </c>
      <c r="R637" t="e">
        <f t="shared" ca="1" si="53"/>
        <v>#REF!</v>
      </c>
      <c r="S637" t="e">
        <f t="shared" ca="1" si="54"/>
        <v>#REF!</v>
      </c>
      <c r="T637" t="e">
        <f t="shared" ca="1" si="55"/>
        <v>#REF!</v>
      </c>
      <c r="U637" t="e" cm="1">
        <f t="array" aca="1" ref="U637" ca="1">IF(A637="","",IF(E637="","",IF(B637="safety",INDIRECT("template!"&amp;"P"&amp;A637),Q637+R637)))</f>
        <v>#REF!</v>
      </c>
      <c r="V637" t="e" cm="1">
        <f t="array" aca="1" ref="V637" ca="1">IF(A637="","",IF(E637="","",IF(B637="safety",INDIRECT("template!"&amp;"P"&amp;A637),S637+T637)))</f>
        <v>#REF!</v>
      </c>
      <c r="W637" t="e">
        <f ca="1">IF(A637="","",IF(E637="","",#REF!))</f>
        <v>#REF!</v>
      </c>
      <c r="X637" t="e">
        <f ca="1">IF(A637="","",IF(E637="","",#REF!))</f>
        <v>#REF!</v>
      </c>
      <c r="Y637" s="39" t="e">
        <f ca="1">IF(A637="","",IF(E637="","",#REF!))</f>
        <v>#REF!</v>
      </c>
      <c r="Z637" t="e">
        <f ca="1">IF(A637="","",IF(E637="","",#REF!))</f>
        <v>#REF!</v>
      </c>
      <c r="AA637" t="e">
        <f ca="1">IF(A637="","",IF(E637="","",#REF!))</f>
        <v>#REF!</v>
      </c>
      <c r="AB637" t="e">
        <f ca="1">IF(A637="","",IF(E637="","",#REF!))</f>
        <v>#REF!</v>
      </c>
      <c r="AC637" t="e">
        <f t="shared" ca="1" si="56"/>
        <v>#REF!</v>
      </c>
    </row>
    <row r="638" spans="1:29" x14ac:dyDescent="0.35">
      <c r="A638" t="e" cm="1">
        <f t="array" aca="1" ref="A638" ca="1">IF(A637="","",IF(OR(AND(A637+1&gt;=$AF$1,A637+1&lt;=$AF$2),AND(A637+1&gt;=$AF$6,A637+1&lt;=$AF$7),AND(A637+1&gt;=$AF$3,A637+1&lt;=$AF$4),AND(A637+1&gt;=$AF$8,A637+1&lt;=$AF$9),A637+1=$AF$5),IF(NOT(ISBLANK(INDIRECT("template!"&amp;"P"&amp;A637+1))),A637+1,IF(NOT(ISBLANK(INDIRECT("template!"&amp;"P"&amp;A637+2))),A637+2,A637+3)),IF(A637=$AF$2,$AF$3,IF(A637=$AF$4,$AF$5,IF(A637=$AF$5,$AF$6,IF(A637=$AF$7,$AF$8,""))))))</f>
        <v>#REF!</v>
      </c>
      <c r="B638" t="e">
        <f t="shared" ca="1" si="51"/>
        <v>#REF!</v>
      </c>
      <c r="C638" t="e" cm="1">
        <f t="array" aca="1" ref="C638" ca="1">IF(A638="","",IF(B638="safety","safety costs",INDIRECT("template!"&amp;"B"&amp;A638)))</f>
        <v>#REF!</v>
      </c>
      <c r="D638" t="e" cm="1">
        <f t="array" aca="1" ref="D638" ca="1">IF(OR(A638="",B638="safety"),"",INDIRECT("template!"&amp;"C"&amp;A638))</f>
        <v>#REF!</v>
      </c>
      <c r="E638" t="e" cm="1">
        <f t="array" aca="1" ref="E638" ca="1">IF(A638="","",IF(OR(A638=A637+1,A638=A637+2),E637,INDIRECT("template!"&amp;"D"&amp;A638-2)))</f>
        <v>#REF!</v>
      </c>
      <c r="F638" t="e" cm="1">
        <f t="array" aca="1" ref="F638" ca="1">IF(OR(A638="",B638="safety"),"",IF(ISBLANK(IF(A638=A637+1,F637,INDIRECT("template!"&amp;"D"&amp;A638-1))),"",IF(A638=A637+1,F637,INDIRECT("template!"&amp;"D"&amp;A638-1))))</f>
        <v>#REF!</v>
      </c>
      <c r="G638" t="e" cm="1">
        <f t="array" aca="1" ref="G638" ca="1">IF(OR(A638="",B638="safety"),"",IF(ISBLANK(INDIRECT("template!"&amp;"D"&amp;A638)),"",INDIRECT("template!"&amp;"D"&amp;A638)))</f>
        <v>#REF!</v>
      </c>
      <c r="H638" t="e" cm="1">
        <f t="array" aca="1" ref="H638" ca="1">IF(OR(A638="",B638="safety"),"",IF(ISBLANK(INDIRECT("template!"&amp;"E"&amp;A638)),"",INDIRECT("template!"&amp;"E"&amp;A638)))</f>
        <v>#REF!</v>
      </c>
      <c r="I638" t="e" cm="1">
        <f t="array" aca="1" ref="I638" ca="1">IF(OR(A638="",B638="safety"),"",IF(ISBLANK(INDIRECT("template!"&amp;"F"&amp;A638)),"",INDIRECT("template!"&amp;"F"&amp;A638)))</f>
        <v>#REF!</v>
      </c>
      <c r="J638" t="e" cm="1">
        <f t="array" aca="1" ref="J638" ca="1">IF(OR(A638="",B638="safety"),"",IF(ISBLANK(INDIRECT("template!"&amp;"G"&amp;A638)),"",INDIRECT("template!"&amp;"G"&amp;A638)))</f>
        <v>#REF!</v>
      </c>
      <c r="K638" t="e" cm="1">
        <f t="array" aca="1" ref="K638" ca="1">IF(OR(A638="",B638="safety"),"",IF(ISBLANK(INDIRECT("template!"&amp;"H"&amp;A638)),"",INDIRECT("template!"&amp;"H"&amp;A638)))</f>
        <v>#REF!</v>
      </c>
      <c r="L638" t="e" cm="1">
        <f t="array" aca="1" ref="L638" ca="1">IF(OR(A638="",B638="safety"),"",INDIRECT("template!"&amp;"I"&amp;A638))</f>
        <v>#REF!</v>
      </c>
      <c r="M638" t="e" cm="1">
        <f t="array" aca="1" ref="M638" ca="1">IF(OR(A638="",B638="safety"),"",INDIRECT("template!"&amp;"J"&amp;A638))</f>
        <v>#REF!</v>
      </c>
      <c r="N638" t="e" cm="1">
        <f t="array" aca="1" ref="N638" ca="1">IF(OR(A638="",B638="safety"),"",IF(ISBLANK(INDIRECT("template!"&amp;"K"&amp;A638)),"",INDIRECT("template!"&amp;"K"&amp;A638)))</f>
        <v>#REF!</v>
      </c>
      <c r="O638" t="e" cm="1">
        <f t="array" aca="1" ref="O638" ca="1">IF(OR(A638="",B638="safety"),"",INDIRECT("template!"&amp;"L"&amp;A638))</f>
        <v>#REF!</v>
      </c>
      <c r="P638" t="e" cm="1">
        <f t="array" aca="1" ref="P638" ca="1">IF(OR(A638="",B638="safety"),"",INDIRECT("template!"&amp;"M"&amp;A638))</f>
        <v>#REF!</v>
      </c>
      <c r="Q638" t="e">
        <f t="shared" ca="1" si="52"/>
        <v>#REF!</v>
      </c>
      <c r="R638" t="e">
        <f t="shared" ca="1" si="53"/>
        <v>#REF!</v>
      </c>
      <c r="S638" t="e">
        <f t="shared" ca="1" si="54"/>
        <v>#REF!</v>
      </c>
      <c r="T638" t="e">
        <f t="shared" ca="1" si="55"/>
        <v>#REF!</v>
      </c>
      <c r="U638" t="e" cm="1">
        <f t="array" aca="1" ref="U638" ca="1">IF(A638="","",IF(E638="","",IF(B638="safety",INDIRECT("template!"&amp;"P"&amp;A638),Q638+R638)))</f>
        <v>#REF!</v>
      </c>
      <c r="V638" t="e" cm="1">
        <f t="array" aca="1" ref="V638" ca="1">IF(A638="","",IF(E638="","",IF(B638="safety",INDIRECT("template!"&amp;"P"&amp;A638),S638+T638)))</f>
        <v>#REF!</v>
      </c>
      <c r="W638" t="e">
        <f ca="1">IF(A638="","",IF(E638="","",#REF!))</f>
        <v>#REF!</v>
      </c>
      <c r="X638" t="e">
        <f ca="1">IF(A638="","",IF(E638="","",#REF!))</f>
        <v>#REF!</v>
      </c>
      <c r="Y638" s="39" t="e">
        <f ca="1">IF(A638="","",IF(E638="","",#REF!))</f>
        <v>#REF!</v>
      </c>
      <c r="Z638" t="e">
        <f ca="1">IF(A638="","",IF(E638="","",#REF!))</f>
        <v>#REF!</v>
      </c>
      <c r="AA638" t="e">
        <f ca="1">IF(A638="","",IF(E638="","",#REF!))</f>
        <v>#REF!</v>
      </c>
      <c r="AB638" t="e">
        <f ca="1">IF(A638="","",IF(E638="","",#REF!))</f>
        <v>#REF!</v>
      </c>
      <c r="AC638" t="e">
        <f t="shared" ca="1" si="56"/>
        <v>#REF!</v>
      </c>
    </row>
    <row r="639" spans="1:29" x14ac:dyDescent="0.35">
      <c r="A639" t="e" cm="1">
        <f t="array" aca="1" ref="A639" ca="1">IF(A638="","",IF(OR(AND(A638+1&gt;=$AF$1,A638+1&lt;=$AF$2),AND(A638+1&gt;=$AF$6,A638+1&lt;=$AF$7),AND(A638+1&gt;=$AF$3,A638+1&lt;=$AF$4),AND(A638+1&gt;=$AF$8,A638+1&lt;=$AF$9),A638+1=$AF$5),IF(NOT(ISBLANK(INDIRECT("template!"&amp;"P"&amp;A638+1))),A638+1,IF(NOT(ISBLANK(INDIRECT("template!"&amp;"P"&amp;A638+2))),A638+2,A638+3)),IF(A638=$AF$2,$AF$3,IF(A638=$AF$4,$AF$5,IF(A638=$AF$5,$AF$6,IF(A638=$AF$7,$AF$8,""))))))</f>
        <v>#REF!</v>
      </c>
      <c r="B639" t="e">
        <f t="shared" ca="1" si="51"/>
        <v>#REF!</v>
      </c>
      <c r="C639" t="e" cm="1">
        <f t="array" aca="1" ref="C639" ca="1">IF(A639="","",IF(B639="safety","safety costs",INDIRECT("template!"&amp;"B"&amp;A639)))</f>
        <v>#REF!</v>
      </c>
      <c r="D639" t="e" cm="1">
        <f t="array" aca="1" ref="D639" ca="1">IF(OR(A639="",B639="safety"),"",INDIRECT("template!"&amp;"C"&amp;A639))</f>
        <v>#REF!</v>
      </c>
      <c r="E639" t="e" cm="1">
        <f t="array" aca="1" ref="E639" ca="1">IF(A639="","",IF(OR(A639=A638+1,A639=A638+2),E638,INDIRECT("template!"&amp;"D"&amp;A639-2)))</f>
        <v>#REF!</v>
      </c>
      <c r="F639" t="e" cm="1">
        <f t="array" aca="1" ref="F639" ca="1">IF(OR(A639="",B639="safety"),"",IF(ISBLANK(IF(A639=A638+1,F638,INDIRECT("template!"&amp;"D"&amp;A639-1))),"",IF(A639=A638+1,F638,INDIRECT("template!"&amp;"D"&amp;A639-1))))</f>
        <v>#REF!</v>
      </c>
      <c r="G639" t="e" cm="1">
        <f t="array" aca="1" ref="G639" ca="1">IF(OR(A639="",B639="safety"),"",IF(ISBLANK(INDIRECT("template!"&amp;"D"&amp;A639)),"",INDIRECT("template!"&amp;"D"&amp;A639)))</f>
        <v>#REF!</v>
      </c>
      <c r="H639" t="e" cm="1">
        <f t="array" aca="1" ref="H639" ca="1">IF(OR(A639="",B639="safety"),"",IF(ISBLANK(INDIRECT("template!"&amp;"E"&amp;A639)),"",INDIRECT("template!"&amp;"E"&amp;A639)))</f>
        <v>#REF!</v>
      </c>
      <c r="I639" t="e" cm="1">
        <f t="array" aca="1" ref="I639" ca="1">IF(OR(A639="",B639="safety"),"",IF(ISBLANK(INDIRECT("template!"&amp;"F"&amp;A639)),"",INDIRECT("template!"&amp;"F"&amp;A639)))</f>
        <v>#REF!</v>
      </c>
      <c r="J639" t="e" cm="1">
        <f t="array" aca="1" ref="J639" ca="1">IF(OR(A639="",B639="safety"),"",IF(ISBLANK(INDIRECT("template!"&amp;"G"&amp;A639)),"",INDIRECT("template!"&amp;"G"&amp;A639)))</f>
        <v>#REF!</v>
      </c>
      <c r="K639" t="e" cm="1">
        <f t="array" aca="1" ref="K639" ca="1">IF(OR(A639="",B639="safety"),"",IF(ISBLANK(INDIRECT("template!"&amp;"H"&amp;A639)),"",INDIRECT("template!"&amp;"H"&amp;A639)))</f>
        <v>#REF!</v>
      </c>
      <c r="L639" t="e" cm="1">
        <f t="array" aca="1" ref="L639" ca="1">IF(OR(A639="",B639="safety"),"",INDIRECT("template!"&amp;"I"&amp;A639))</f>
        <v>#REF!</v>
      </c>
      <c r="M639" t="e" cm="1">
        <f t="array" aca="1" ref="M639" ca="1">IF(OR(A639="",B639="safety"),"",INDIRECT("template!"&amp;"J"&amp;A639))</f>
        <v>#REF!</v>
      </c>
      <c r="N639" t="e" cm="1">
        <f t="array" aca="1" ref="N639" ca="1">IF(OR(A639="",B639="safety"),"",IF(ISBLANK(INDIRECT("template!"&amp;"K"&amp;A639)),"",INDIRECT("template!"&amp;"K"&amp;A639)))</f>
        <v>#REF!</v>
      </c>
      <c r="O639" t="e" cm="1">
        <f t="array" aca="1" ref="O639" ca="1">IF(OR(A639="",B639="safety"),"",INDIRECT("template!"&amp;"L"&amp;A639))</f>
        <v>#REF!</v>
      </c>
      <c r="P639" t="e" cm="1">
        <f t="array" aca="1" ref="P639" ca="1">IF(OR(A639="",B639="safety"),"",INDIRECT("template!"&amp;"M"&amp;A639))</f>
        <v>#REF!</v>
      </c>
      <c r="Q639" t="e">
        <f t="shared" ca="1" si="52"/>
        <v>#REF!</v>
      </c>
      <c r="R639" t="e">
        <f t="shared" ca="1" si="53"/>
        <v>#REF!</v>
      </c>
      <c r="S639" t="e">
        <f t="shared" ca="1" si="54"/>
        <v>#REF!</v>
      </c>
      <c r="T639" t="e">
        <f t="shared" ca="1" si="55"/>
        <v>#REF!</v>
      </c>
      <c r="U639" t="e" cm="1">
        <f t="array" aca="1" ref="U639" ca="1">IF(A639="","",IF(E639="","",IF(B639="safety",INDIRECT("template!"&amp;"P"&amp;A639),Q639+R639)))</f>
        <v>#REF!</v>
      </c>
      <c r="V639" t="e" cm="1">
        <f t="array" aca="1" ref="V639" ca="1">IF(A639="","",IF(E639="","",IF(B639="safety",INDIRECT("template!"&amp;"P"&amp;A639),S639+T639)))</f>
        <v>#REF!</v>
      </c>
      <c r="W639" t="e">
        <f ca="1">IF(A639="","",IF(E639="","",#REF!))</f>
        <v>#REF!</v>
      </c>
      <c r="X639" t="e">
        <f ca="1">IF(A639="","",IF(E639="","",#REF!))</f>
        <v>#REF!</v>
      </c>
      <c r="Y639" s="39" t="e">
        <f ca="1">IF(A639="","",IF(E639="","",#REF!))</f>
        <v>#REF!</v>
      </c>
      <c r="Z639" t="e">
        <f ca="1">IF(A639="","",IF(E639="","",#REF!))</f>
        <v>#REF!</v>
      </c>
      <c r="AA639" t="e">
        <f ca="1">IF(A639="","",IF(E639="","",#REF!))</f>
        <v>#REF!</v>
      </c>
      <c r="AB639" t="e">
        <f ca="1">IF(A639="","",IF(E639="","",#REF!))</f>
        <v>#REF!</v>
      </c>
      <c r="AC639" t="e">
        <f t="shared" ca="1" si="56"/>
        <v>#REF!</v>
      </c>
    </row>
    <row r="640" spans="1:29" x14ac:dyDescent="0.35">
      <c r="A640" t="e" cm="1">
        <f t="array" aca="1" ref="A640" ca="1">IF(A639="","",IF(OR(AND(A639+1&gt;=$AF$1,A639+1&lt;=$AF$2),AND(A639+1&gt;=$AF$6,A639+1&lt;=$AF$7),AND(A639+1&gt;=$AF$3,A639+1&lt;=$AF$4),AND(A639+1&gt;=$AF$8,A639+1&lt;=$AF$9),A639+1=$AF$5),IF(NOT(ISBLANK(INDIRECT("template!"&amp;"P"&amp;A639+1))),A639+1,IF(NOT(ISBLANK(INDIRECT("template!"&amp;"P"&amp;A639+2))),A639+2,A639+3)),IF(A639=$AF$2,$AF$3,IF(A639=$AF$4,$AF$5,IF(A639=$AF$5,$AF$6,IF(A639=$AF$7,$AF$8,""))))))</f>
        <v>#REF!</v>
      </c>
      <c r="B640" t="e">
        <f t="shared" ca="1" si="51"/>
        <v>#REF!</v>
      </c>
      <c r="C640" t="e" cm="1">
        <f t="array" aca="1" ref="C640" ca="1">IF(A640="","",IF(B640="safety","safety costs",INDIRECT("template!"&amp;"B"&amp;A640)))</f>
        <v>#REF!</v>
      </c>
      <c r="D640" t="e" cm="1">
        <f t="array" aca="1" ref="D640" ca="1">IF(OR(A640="",B640="safety"),"",INDIRECT("template!"&amp;"C"&amp;A640))</f>
        <v>#REF!</v>
      </c>
      <c r="E640" t="e" cm="1">
        <f t="array" aca="1" ref="E640" ca="1">IF(A640="","",IF(OR(A640=A639+1,A640=A639+2),E639,INDIRECT("template!"&amp;"D"&amp;A640-2)))</f>
        <v>#REF!</v>
      </c>
      <c r="F640" t="e" cm="1">
        <f t="array" aca="1" ref="F640" ca="1">IF(OR(A640="",B640="safety"),"",IF(ISBLANK(IF(A640=A639+1,F639,INDIRECT("template!"&amp;"D"&amp;A640-1))),"",IF(A640=A639+1,F639,INDIRECT("template!"&amp;"D"&amp;A640-1))))</f>
        <v>#REF!</v>
      </c>
      <c r="G640" t="e" cm="1">
        <f t="array" aca="1" ref="G640" ca="1">IF(OR(A640="",B640="safety"),"",IF(ISBLANK(INDIRECT("template!"&amp;"D"&amp;A640)),"",INDIRECT("template!"&amp;"D"&amp;A640)))</f>
        <v>#REF!</v>
      </c>
      <c r="H640" t="e" cm="1">
        <f t="array" aca="1" ref="H640" ca="1">IF(OR(A640="",B640="safety"),"",IF(ISBLANK(INDIRECT("template!"&amp;"E"&amp;A640)),"",INDIRECT("template!"&amp;"E"&amp;A640)))</f>
        <v>#REF!</v>
      </c>
      <c r="I640" t="e" cm="1">
        <f t="array" aca="1" ref="I640" ca="1">IF(OR(A640="",B640="safety"),"",IF(ISBLANK(INDIRECT("template!"&amp;"F"&amp;A640)),"",INDIRECT("template!"&amp;"F"&amp;A640)))</f>
        <v>#REF!</v>
      </c>
      <c r="J640" t="e" cm="1">
        <f t="array" aca="1" ref="J640" ca="1">IF(OR(A640="",B640="safety"),"",IF(ISBLANK(INDIRECT("template!"&amp;"G"&amp;A640)),"",INDIRECT("template!"&amp;"G"&amp;A640)))</f>
        <v>#REF!</v>
      </c>
      <c r="K640" t="e" cm="1">
        <f t="array" aca="1" ref="K640" ca="1">IF(OR(A640="",B640="safety"),"",IF(ISBLANK(INDIRECT("template!"&amp;"H"&amp;A640)),"",INDIRECT("template!"&amp;"H"&amp;A640)))</f>
        <v>#REF!</v>
      </c>
      <c r="L640" t="e" cm="1">
        <f t="array" aca="1" ref="L640" ca="1">IF(OR(A640="",B640="safety"),"",INDIRECT("template!"&amp;"I"&amp;A640))</f>
        <v>#REF!</v>
      </c>
      <c r="M640" t="e" cm="1">
        <f t="array" aca="1" ref="M640" ca="1">IF(OR(A640="",B640="safety"),"",INDIRECT("template!"&amp;"J"&amp;A640))</f>
        <v>#REF!</v>
      </c>
      <c r="N640" t="e" cm="1">
        <f t="array" aca="1" ref="N640" ca="1">IF(OR(A640="",B640="safety"),"",IF(ISBLANK(INDIRECT("template!"&amp;"K"&amp;A640)),"",INDIRECT("template!"&amp;"K"&amp;A640)))</f>
        <v>#REF!</v>
      </c>
      <c r="O640" t="e" cm="1">
        <f t="array" aca="1" ref="O640" ca="1">IF(OR(A640="",B640="safety"),"",INDIRECT("template!"&amp;"L"&amp;A640))</f>
        <v>#REF!</v>
      </c>
      <c r="P640" t="e" cm="1">
        <f t="array" aca="1" ref="P640" ca="1">IF(OR(A640="",B640="safety"),"",INDIRECT("template!"&amp;"M"&amp;A640))</f>
        <v>#REF!</v>
      </c>
      <c r="Q640" t="e">
        <f t="shared" ca="1" si="52"/>
        <v>#REF!</v>
      </c>
      <c r="R640" t="e">
        <f t="shared" ca="1" si="53"/>
        <v>#REF!</v>
      </c>
      <c r="S640" t="e">
        <f t="shared" ca="1" si="54"/>
        <v>#REF!</v>
      </c>
      <c r="T640" t="e">
        <f t="shared" ca="1" si="55"/>
        <v>#REF!</v>
      </c>
      <c r="U640" t="e" cm="1">
        <f t="array" aca="1" ref="U640" ca="1">IF(A640="","",IF(E640="","",IF(B640="safety",INDIRECT("template!"&amp;"P"&amp;A640),Q640+R640)))</f>
        <v>#REF!</v>
      </c>
      <c r="V640" t="e" cm="1">
        <f t="array" aca="1" ref="V640" ca="1">IF(A640="","",IF(E640="","",IF(B640="safety",INDIRECT("template!"&amp;"P"&amp;A640),S640+T640)))</f>
        <v>#REF!</v>
      </c>
      <c r="W640" t="e">
        <f ca="1">IF(A640="","",IF(E640="","",#REF!))</f>
        <v>#REF!</v>
      </c>
      <c r="X640" t="e">
        <f ca="1">IF(A640="","",IF(E640="","",#REF!))</f>
        <v>#REF!</v>
      </c>
      <c r="Y640" s="39" t="e">
        <f ca="1">IF(A640="","",IF(E640="","",#REF!))</f>
        <v>#REF!</v>
      </c>
      <c r="Z640" t="e">
        <f ca="1">IF(A640="","",IF(E640="","",#REF!))</f>
        <v>#REF!</v>
      </c>
      <c r="AA640" t="e">
        <f ca="1">IF(A640="","",IF(E640="","",#REF!))</f>
        <v>#REF!</v>
      </c>
      <c r="AB640" t="e">
        <f ca="1">IF(A640="","",IF(E640="","",#REF!))</f>
        <v>#REF!</v>
      </c>
      <c r="AC640" t="e">
        <f t="shared" ca="1" si="56"/>
        <v>#REF!</v>
      </c>
    </row>
    <row r="641" spans="1:29" x14ac:dyDescent="0.35">
      <c r="A641" t="e" cm="1">
        <f t="array" aca="1" ref="A641" ca="1">IF(A640="","",IF(OR(AND(A640+1&gt;=$AF$1,A640+1&lt;=$AF$2),AND(A640+1&gt;=$AF$6,A640+1&lt;=$AF$7),AND(A640+1&gt;=$AF$3,A640+1&lt;=$AF$4),AND(A640+1&gt;=$AF$8,A640+1&lt;=$AF$9),A640+1=$AF$5),IF(NOT(ISBLANK(INDIRECT("template!"&amp;"P"&amp;A640+1))),A640+1,IF(NOT(ISBLANK(INDIRECT("template!"&amp;"P"&amp;A640+2))),A640+2,A640+3)),IF(A640=$AF$2,$AF$3,IF(A640=$AF$4,$AF$5,IF(A640=$AF$5,$AF$6,IF(A640=$AF$7,$AF$8,""))))))</f>
        <v>#REF!</v>
      </c>
      <c r="B641" t="e">
        <f t="shared" ca="1" si="51"/>
        <v>#REF!</v>
      </c>
      <c r="C641" t="e" cm="1">
        <f t="array" aca="1" ref="C641" ca="1">IF(A641="","",IF(B641="safety","safety costs",INDIRECT("template!"&amp;"B"&amp;A641)))</f>
        <v>#REF!</v>
      </c>
      <c r="D641" t="e" cm="1">
        <f t="array" aca="1" ref="D641" ca="1">IF(OR(A641="",B641="safety"),"",INDIRECT("template!"&amp;"C"&amp;A641))</f>
        <v>#REF!</v>
      </c>
      <c r="E641" t="e" cm="1">
        <f t="array" aca="1" ref="E641" ca="1">IF(A641="","",IF(OR(A641=A640+1,A641=A640+2),E640,INDIRECT("template!"&amp;"D"&amp;A641-2)))</f>
        <v>#REF!</v>
      </c>
      <c r="F641" t="e" cm="1">
        <f t="array" aca="1" ref="F641" ca="1">IF(OR(A641="",B641="safety"),"",IF(ISBLANK(IF(A641=A640+1,F640,INDIRECT("template!"&amp;"D"&amp;A641-1))),"",IF(A641=A640+1,F640,INDIRECT("template!"&amp;"D"&amp;A641-1))))</f>
        <v>#REF!</v>
      </c>
      <c r="G641" t="e" cm="1">
        <f t="array" aca="1" ref="G641" ca="1">IF(OR(A641="",B641="safety"),"",IF(ISBLANK(INDIRECT("template!"&amp;"D"&amp;A641)),"",INDIRECT("template!"&amp;"D"&amp;A641)))</f>
        <v>#REF!</v>
      </c>
      <c r="H641" t="e" cm="1">
        <f t="array" aca="1" ref="H641" ca="1">IF(OR(A641="",B641="safety"),"",IF(ISBLANK(INDIRECT("template!"&amp;"E"&amp;A641)),"",INDIRECT("template!"&amp;"E"&amp;A641)))</f>
        <v>#REF!</v>
      </c>
      <c r="I641" t="e" cm="1">
        <f t="array" aca="1" ref="I641" ca="1">IF(OR(A641="",B641="safety"),"",IF(ISBLANK(INDIRECT("template!"&amp;"F"&amp;A641)),"",INDIRECT("template!"&amp;"F"&amp;A641)))</f>
        <v>#REF!</v>
      </c>
      <c r="J641" t="e" cm="1">
        <f t="array" aca="1" ref="J641" ca="1">IF(OR(A641="",B641="safety"),"",IF(ISBLANK(INDIRECT("template!"&amp;"G"&amp;A641)),"",INDIRECT("template!"&amp;"G"&amp;A641)))</f>
        <v>#REF!</v>
      </c>
      <c r="K641" t="e" cm="1">
        <f t="array" aca="1" ref="K641" ca="1">IF(OR(A641="",B641="safety"),"",IF(ISBLANK(INDIRECT("template!"&amp;"H"&amp;A641)),"",INDIRECT("template!"&amp;"H"&amp;A641)))</f>
        <v>#REF!</v>
      </c>
      <c r="L641" t="e" cm="1">
        <f t="array" aca="1" ref="L641" ca="1">IF(OR(A641="",B641="safety"),"",INDIRECT("template!"&amp;"I"&amp;A641))</f>
        <v>#REF!</v>
      </c>
      <c r="M641" t="e" cm="1">
        <f t="array" aca="1" ref="M641" ca="1">IF(OR(A641="",B641="safety"),"",INDIRECT("template!"&amp;"J"&amp;A641))</f>
        <v>#REF!</v>
      </c>
      <c r="N641" t="e" cm="1">
        <f t="array" aca="1" ref="N641" ca="1">IF(OR(A641="",B641="safety"),"",IF(ISBLANK(INDIRECT("template!"&amp;"K"&amp;A641)),"",INDIRECT("template!"&amp;"K"&amp;A641)))</f>
        <v>#REF!</v>
      </c>
      <c r="O641" t="e" cm="1">
        <f t="array" aca="1" ref="O641" ca="1">IF(OR(A641="",B641="safety"),"",INDIRECT("template!"&amp;"L"&amp;A641))</f>
        <v>#REF!</v>
      </c>
      <c r="P641" t="e" cm="1">
        <f t="array" aca="1" ref="P641" ca="1">IF(OR(A641="",B641="safety"),"",INDIRECT("template!"&amp;"M"&amp;A641))</f>
        <v>#REF!</v>
      </c>
      <c r="Q641" t="e">
        <f t="shared" ca="1" si="52"/>
        <v>#REF!</v>
      </c>
      <c r="R641" t="e">
        <f t="shared" ca="1" si="53"/>
        <v>#REF!</v>
      </c>
      <c r="S641" t="e">
        <f t="shared" ca="1" si="54"/>
        <v>#REF!</v>
      </c>
      <c r="T641" t="e">
        <f t="shared" ca="1" si="55"/>
        <v>#REF!</v>
      </c>
      <c r="U641" t="e" cm="1">
        <f t="array" aca="1" ref="U641" ca="1">IF(A641="","",IF(E641="","",IF(B641="safety",INDIRECT("template!"&amp;"P"&amp;A641),Q641+R641)))</f>
        <v>#REF!</v>
      </c>
      <c r="V641" t="e" cm="1">
        <f t="array" aca="1" ref="V641" ca="1">IF(A641="","",IF(E641="","",IF(B641="safety",INDIRECT("template!"&amp;"P"&amp;A641),S641+T641)))</f>
        <v>#REF!</v>
      </c>
      <c r="W641" t="e">
        <f ca="1">IF(A641="","",IF(E641="","",#REF!))</f>
        <v>#REF!</v>
      </c>
      <c r="X641" t="e">
        <f ca="1">IF(A641="","",IF(E641="","",#REF!))</f>
        <v>#REF!</v>
      </c>
      <c r="Y641" s="39" t="e">
        <f ca="1">IF(A641="","",IF(E641="","",#REF!))</f>
        <v>#REF!</v>
      </c>
      <c r="Z641" t="e">
        <f ca="1">IF(A641="","",IF(E641="","",#REF!))</f>
        <v>#REF!</v>
      </c>
      <c r="AA641" t="e">
        <f ca="1">IF(A641="","",IF(E641="","",#REF!))</f>
        <v>#REF!</v>
      </c>
      <c r="AB641" t="e">
        <f ca="1">IF(A641="","",IF(E641="","",#REF!))</f>
        <v>#REF!</v>
      </c>
      <c r="AC641" t="e">
        <f t="shared" ca="1" si="56"/>
        <v>#REF!</v>
      </c>
    </row>
    <row r="642" spans="1:29" x14ac:dyDescent="0.35">
      <c r="A642" t="e" cm="1">
        <f t="array" aca="1" ref="A642" ca="1">IF(A641="","",IF(OR(AND(A641+1&gt;=$AF$1,A641+1&lt;=$AF$2),AND(A641+1&gt;=$AF$6,A641+1&lt;=$AF$7),AND(A641+1&gt;=$AF$3,A641+1&lt;=$AF$4),AND(A641+1&gt;=$AF$8,A641+1&lt;=$AF$9),A641+1=$AF$5),IF(NOT(ISBLANK(INDIRECT("template!"&amp;"P"&amp;A641+1))),A641+1,IF(NOT(ISBLANK(INDIRECT("template!"&amp;"P"&amp;A641+2))),A641+2,A641+3)),IF(A641=$AF$2,$AF$3,IF(A641=$AF$4,$AF$5,IF(A641=$AF$5,$AF$6,IF(A641=$AF$7,$AF$8,""))))))</f>
        <v>#REF!</v>
      </c>
      <c r="B642" t="e">
        <f t="shared" ref="B642:B705" ca="1" si="57">IF(A642="","",IF(OR(AND(A642&gt;=$AF$1,A642&lt;=$AF$2),AND(A642&gt;=$AF$6,A642&lt;=$AF$7)),"Mechanical",IF(OR(AND(A642&gt;=$AF$3,A642&lt;=$AF$4),AND(A642&gt;=$AF$8,A642&lt;=$AF$9)),"Electric",IF(A642=$AF$5,"Safety",""))))</f>
        <v>#REF!</v>
      </c>
      <c r="C642" t="e" cm="1">
        <f t="array" aca="1" ref="C642" ca="1">IF(A642="","",IF(B642="safety","safety costs",INDIRECT("template!"&amp;"B"&amp;A642)))</f>
        <v>#REF!</v>
      </c>
      <c r="D642" t="e" cm="1">
        <f t="array" aca="1" ref="D642" ca="1">IF(OR(A642="",B642="safety"),"",INDIRECT("template!"&amp;"C"&amp;A642))</f>
        <v>#REF!</v>
      </c>
      <c r="E642" t="e" cm="1">
        <f t="array" aca="1" ref="E642" ca="1">IF(A642="","",IF(OR(A642=A641+1,A642=A641+2),E641,INDIRECT("template!"&amp;"D"&amp;A642-2)))</f>
        <v>#REF!</v>
      </c>
      <c r="F642" t="e" cm="1">
        <f t="array" aca="1" ref="F642" ca="1">IF(OR(A642="",B642="safety"),"",IF(ISBLANK(IF(A642=A641+1,F641,INDIRECT("template!"&amp;"D"&amp;A642-1))),"",IF(A642=A641+1,F641,INDIRECT("template!"&amp;"D"&amp;A642-1))))</f>
        <v>#REF!</v>
      </c>
      <c r="G642" t="e" cm="1">
        <f t="array" aca="1" ref="G642" ca="1">IF(OR(A642="",B642="safety"),"",IF(ISBLANK(INDIRECT("template!"&amp;"D"&amp;A642)),"",INDIRECT("template!"&amp;"D"&amp;A642)))</f>
        <v>#REF!</v>
      </c>
      <c r="H642" t="e" cm="1">
        <f t="array" aca="1" ref="H642" ca="1">IF(OR(A642="",B642="safety"),"",IF(ISBLANK(INDIRECT("template!"&amp;"E"&amp;A642)),"",INDIRECT("template!"&amp;"E"&amp;A642)))</f>
        <v>#REF!</v>
      </c>
      <c r="I642" t="e" cm="1">
        <f t="array" aca="1" ref="I642" ca="1">IF(OR(A642="",B642="safety"),"",IF(ISBLANK(INDIRECT("template!"&amp;"F"&amp;A642)),"",INDIRECT("template!"&amp;"F"&amp;A642)))</f>
        <v>#REF!</v>
      </c>
      <c r="J642" t="e" cm="1">
        <f t="array" aca="1" ref="J642" ca="1">IF(OR(A642="",B642="safety"),"",IF(ISBLANK(INDIRECT("template!"&amp;"G"&amp;A642)),"",INDIRECT("template!"&amp;"G"&amp;A642)))</f>
        <v>#REF!</v>
      </c>
      <c r="K642" t="e" cm="1">
        <f t="array" aca="1" ref="K642" ca="1">IF(OR(A642="",B642="safety"),"",IF(ISBLANK(INDIRECT("template!"&amp;"H"&amp;A642)),"",INDIRECT("template!"&amp;"H"&amp;A642)))</f>
        <v>#REF!</v>
      </c>
      <c r="L642" t="e" cm="1">
        <f t="array" aca="1" ref="L642" ca="1">IF(OR(A642="",B642="safety"),"",INDIRECT("template!"&amp;"I"&amp;A642))</f>
        <v>#REF!</v>
      </c>
      <c r="M642" t="e" cm="1">
        <f t="array" aca="1" ref="M642" ca="1">IF(OR(A642="",B642="safety"),"",INDIRECT("template!"&amp;"J"&amp;A642))</f>
        <v>#REF!</v>
      </c>
      <c r="N642" t="e" cm="1">
        <f t="array" aca="1" ref="N642" ca="1">IF(OR(A642="",B642="safety"),"",IF(ISBLANK(INDIRECT("template!"&amp;"K"&amp;A642)),"",INDIRECT("template!"&amp;"K"&amp;A642)))</f>
        <v>#REF!</v>
      </c>
      <c r="O642" t="e" cm="1">
        <f t="array" aca="1" ref="O642" ca="1">IF(OR(A642="",B642="safety"),"",INDIRECT("template!"&amp;"L"&amp;A642))</f>
        <v>#REF!</v>
      </c>
      <c r="P642" t="e" cm="1">
        <f t="array" aca="1" ref="P642" ca="1">IF(OR(A642="",B642="safety"),"",INDIRECT("template!"&amp;"M"&amp;A642))</f>
        <v>#REF!</v>
      </c>
      <c r="Q642" t="e">
        <f t="shared" ca="1" si="52"/>
        <v>#REF!</v>
      </c>
      <c r="R642" t="e">
        <f t="shared" ca="1" si="53"/>
        <v>#REF!</v>
      </c>
      <c r="S642" t="e">
        <f t="shared" ca="1" si="54"/>
        <v>#REF!</v>
      </c>
      <c r="T642" t="e">
        <f t="shared" ca="1" si="55"/>
        <v>#REF!</v>
      </c>
      <c r="U642" t="e" cm="1">
        <f t="array" aca="1" ref="U642" ca="1">IF(A642="","",IF(E642="","",IF(B642="safety",INDIRECT("template!"&amp;"P"&amp;A642),Q642+R642)))</f>
        <v>#REF!</v>
      </c>
      <c r="V642" t="e" cm="1">
        <f t="array" aca="1" ref="V642" ca="1">IF(A642="","",IF(E642="","",IF(B642="safety",INDIRECT("template!"&amp;"P"&amp;A642),S642+T642)))</f>
        <v>#REF!</v>
      </c>
      <c r="W642" t="e">
        <f ca="1">IF(A642="","",IF(E642="","",#REF!))</f>
        <v>#REF!</v>
      </c>
      <c r="X642" t="e">
        <f ca="1">IF(A642="","",IF(E642="","",#REF!))</f>
        <v>#REF!</v>
      </c>
      <c r="Y642" s="39" t="e">
        <f ca="1">IF(A642="","",IF(E642="","",#REF!))</f>
        <v>#REF!</v>
      </c>
      <c r="Z642" t="e">
        <f ca="1">IF(A642="","",IF(E642="","",#REF!))</f>
        <v>#REF!</v>
      </c>
      <c r="AA642" t="e">
        <f ca="1">IF(A642="","",IF(E642="","",#REF!))</f>
        <v>#REF!</v>
      </c>
      <c r="AB642" t="e">
        <f ca="1">IF(A642="","",IF(E642="","",#REF!))</f>
        <v>#REF!</v>
      </c>
      <c r="AC642" t="e">
        <f t="shared" ca="1" si="56"/>
        <v>#REF!</v>
      </c>
    </row>
    <row r="643" spans="1:29" x14ac:dyDescent="0.35">
      <c r="A643" t="e" cm="1">
        <f t="array" aca="1" ref="A643" ca="1">IF(A642="","",IF(OR(AND(A642+1&gt;=$AF$1,A642+1&lt;=$AF$2),AND(A642+1&gt;=$AF$6,A642+1&lt;=$AF$7),AND(A642+1&gt;=$AF$3,A642+1&lt;=$AF$4),AND(A642+1&gt;=$AF$8,A642+1&lt;=$AF$9),A642+1=$AF$5),IF(NOT(ISBLANK(INDIRECT("template!"&amp;"P"&amp;A642+1))),A642+1,IF(NOT(ISBLANK(INDIRECT("template!"&amp;"P"&amp;A642+2))),A642+2,A642+3)),IF(A642=$AF$2,$AF$3,IF(A642=$AF$4,$AF$5,IF(A642=$AF$5,$AF$6,IF(A642=$AF$7,$AF$8,""))))))</f>
        <v>#REF!</v>
      </c>
      <c r="B643" t="e">
        <f t="shared" ca="1" si="57"/>
        <v>#REF!</v>
      </c>
      <c r="C643" t="e" cm="1">
        <f t="array" aca="1" ref="C643" ca="1">IF(A643="","",IF(B643="safety","safety costs",INDIRECT("template!"&amp;"B"&amp;A643)))</f>
        <v>#REF!</v>
      </c>
      <c r="D643" t="e" cm="1">
        <f t="array" aca="1" ref="D643" ca="1">IF(OR(A643="",B643="safety"),"",INDIRECT("template!"&amp;"C"&amp;A643))</f>
        <v>#REF!</v>
      </c>
      <c r="E643" t="e" cm="1">
        <f t="array" aca="1" ref="E643" ca="1">IF(A643="","",IF(OR(A643=A642+1,A643=A642+2),E642,INDIRECT("template!"&amp;"D"&amp;A643-2)))</f>
        <v>#REF!</v>
      </c>
      <c r="F643" t="e" cm="1">
        <f t="array" aca="1" ref="F643" ca="1">IF(OR(A643="",B643="safety"),"",IF(ISBLANK(IF(A643=A642+1,F642,INDIRECT("template!"&amp;"D"&amp;A643-1))),"",IF(A643=A642+1,F642,INDIRECT("template!"&amp;"D"&amp;A643-1))))</f>
        <v>#REF!</v>
      </c>
      <c r="G643" t="e" cm="1">
        <f t="array" aca="1" ref="G643" ca="1">IF(OR(A643="",B643="safety"),"",IF(ISBLANK(INDIRECT("template!"&amp;"D"&amp;A643)),"",INDIRECT("template!"&amp;"D"&amp;A643)))</f>
        <v>#REF!</v>
      </c>
      <c r="H643" t="e" cm="1">
        <f t="array" aca="1" ref="H643" ca="1">IF(OR(A643="",B643="safety"),"",IF(ISBLANK(INDIRECT("template!"&amp;"E"&amp;A643)),"",INDIRECT("template!"&amp;"E"&amp;A643)))</f>
        <v>#REF!</v>
      </c>
      <c r="I643" t="e" cm="1">
        <f t="array" aca="1" ref="I643" ca="1">IF(OR(A643="",B643="safety"),"",IF(ISBLANK(INDIRECT("template!"&amp;"F"&amp;A643)),"",INDIRECT("template!"&amp;"F"&amp;A643)))</f>
        <v>#REF!</v>
      </c>
      <c r="J643" t="e" cm="1">
        <f t="array" aca="1" ref="J643" ca="1">IF(OR(A643="",B643="safety"),"",IF(ISBLANK(INDIRECT("template!"&amp;"G"&amp;A643)),"",INDIRECT("template!"&amp;"G"&amp;A643)))</f>
        <v>#REF!</v>
      </c>
      <c r="K643" t="e" cm="1">
        <f t="array" aca="1" ref="K643" ca="1">IF(OR(A643="",B643="safety"),"",IF(ISBLANK(INDIRECT("template!"&amp;"H"&amp;A643)),"",INDIRECT("template!"&amp;"H"&amp;A643)))</f>
        <v>#REF!</v>
      </c>
      <c r="L643" t="e" cm="1">
        <f t="array" aca="1" ref="L643" ca="1">IF(OR(A643="",B643="safety"),"",INDIRECT("template!"&amp;"I"&amp;A643))</f>
        <v>#REF!</v>
      </c>
      <c r="M643" t="e" cm="1">
        <f t="array" aca="1" ref="M643" ca="1">IF(OR(A643="",B643="safety"),"",INDIRECT("template!"&amp;"J"&amp;A643))</f>
        <v>#REF!</v>
      </c>
      <c r="N643" t="e" cm="1">
        <f t="array" aca="1" ref="N643" ca="1">IF(OR(A643="",B643="safety"),"",IF(ISBLANK(INDIRECT("template!"&amp;"K"&amp;A643)),"",INDIRECT("template!"&amp;"K"&amp;A643)))</f>
        <v>#REF!</v>
      </c>
      <c r="O643" t="e" cm="1">
        <f t="array" aca="1" ref="O643" ca="1">IF(OR(A643="",B643="safety"),"",INDIRECT("template!"&amp;"L"&amp;A643))</f>
        <v>#REF!</v>
      </c>
      <c r="P643" t="e" cm="1">
        <f t="array" aca="1" ref="P643" ca="1">IF(OR(A643="",B643="safety"),"",INDIRECT("template!"&amp;"M"&amp;A643))</f>
        <v>#REF!</v>
      </c>
      <c r="Q643" t="e">
        <f t="shared" ca="1" si="52"/>
        <v>#REF!</v>
      </c>
      <c r="R643" t="e">
        <f t="shared" ca="1" si="53"/>
        <v>#REF!</v>
      </c>
      <c r="S643" t="e">
        <f t="shared" ca="1" si="54"/>
        <v>#REF!</v>
      </c>
      <c r="T643" t="e">
        <f t="shared" ca="1" si="55"/>
        <v>#REF!</v>
      </c>
      <c r="U643" t="e" cm="1">
        <f t="array" aca="1" ref="U643" ca="1">IF(A643="","",IF(E643="","",IF(B643="safety",INDIRECT("template!"&amp;"P"&amp;A643),Q643+R643)))</f>
        <v>#REF!</v>
      </c>
      <c r="V643" t="e" cm="1">
        <f t="array" aca="1" ref="V643" ca="1">IF(A643="","",IF(E643="","",IF(B643="safety",INDIRECT("template!"&amp;"P"&amp;A643),S643+T643)))</f>
        <v>#REF!</v>
      </c>
      <c r="W643" t="e">
        <f ca="1">IF(A643="","",IF(E643="","",#REF!))</f>
        <v>#REF!</v>
      </c>
      <c r="X643" t="e">
        <f ca="1">IF(A643="","",IF(E643="","",#REF!))</f>
        <v>#REF!</v>
      </c>
      <c r="Y643" s="39" t="e">
        <f ca="1">IF(A643="","",IF(E643="","",#REF!))</f>
        <v>#REF!</v>
      </c>
      <c r="Z643" t="e">
        <f ca="1">IF(A643="","",IF(E643="","",#REF!))</f>
        <v>#REF!</v>
      </c>
      <c r="AA643" t="e">
        <f ca="1">IF(A643="","",IF(E643="","",#REF!))</f>
        <v>#REF!</v>
      </c>
      <c r="AB643" t="e">
        <f ca="1">IF(A643="","",IF(E643="","",#REF!))</f>
        <v>#REF!</v>
      </c>
      <c r="AC643" t="e">
        <f t="shared" ca="1" si="56"/>
        <v>#REF!</v>
      </c>
    </row>
    <row r="644" spans="1:29" x14ac:dyDescent="0.35">
      <c r="A644" t="e" cm="1">
        <f t="array" aca="1" ref="A644" ca="1">IF(A643="","",IF(OR(AND(A643+1&gt;=$AF$1,A643+1&lt;=$AF$2),AND(A643+1&gt;=$AF$6,A643+1&lt;=$AF$7),AND(A643+1&gt;=$AF$3,A643+1&lt;=$AF$4),AND(A643+1&gt;=$AF$8,A643+1&lt;=$AF$9),A643+1=$AF$5),IF(NOT(ISBLANK(INDIRECT("template!"&amp;"P"&amp;A643+1))),A643+1,IF(NOT(ISBLANK(INDIRECT("template!"&amp;"P"&amp;A643+2))),A643+2,A643+3)),IF(A643=$AF$2,$AF$3,IF(A643=$AF$4,$AF$5,IF(A643=$AF$5,$AF$6,IF(A643=$AF$7,$AF$8,""))))))</f>
        <v>#REF!</v>
      </c>
      <c r="B644" t="e">
        <f t="shared" ca="1" si="57"/>
        <v>#REF!</v>
      </c>
      <c r="C644" t="e" cm="1">
        <f t="array" aca="1" ref="C644" ca="1">IF(A644="","",IF(B644="safety","safety costs",INDIRECT("template!"&amp;"B"&amp;A644)))</f>
        <v>#REF!</v>
      </c>
      <c r="D644" t="e" cm="1">
        <f t="array" aca="1" ref="D644" ca="1">IF(OR(A644="",B644="safety"),"",INDIRECT("template!"&amp;"C"&amp;A644))</f>
        <v>#REF!</v>
      </c>
      <c r="E644" t="e" cm="1">
        <f t="array" aca="1" ref="E644" ca="1">IF(A644="","",IF(OR(A644=A643+1,A644=A643+2),E643,INDIRECT("template!"&amp;"D"&amp;A644-2)))</f>
        <v>#REF!</v>
      </c>
      <c r="F644" t="e" cm="1">
        <f t="array" aca="1" ref="F644" ca="1">IF(OR(A644="",B644="safety"),"",IF(ISBLANK(IF(A644=A643+1,F643,INDIRECT("template!"&amp;"D"&amp;A644-1))),"",IF(A644=A643+1,F643,INDIRECT("template!"&amp;"D"&amp;A644-1))))</f>
        <v>#REF!</v>
      </c>
      <c r="G644" t="e" cm="1">
        <f t="array" aca="1" ref="G644" ca="1">IF(OR(A644="",B644="safety"),"",IF(ISBLANK(INDIRECT("template!"&amp;"D"&amp;A644)),"",INDIRECT("template!"&amp;"D"&amp;A644)))</f>
        <v>#REF!</v>
      </c>
      <c r="H644" t="e" cm="1">
        <f t="array" aca="1" ref="H644" ca="1">IF(OR(A644="",B644="safety"),"",IF(ISBLANK(INDIRECT("template!"&amp;"E"&amp;A644)),"",INDIRECT("template!"&amp;"E"&amp;A644)))</f>
        <v>#REF!</v>
      </c>
      <c r="I644" t="e" cm="1">
        <f t="array" aca="1" ref="I644" ca="1">IF(OR(A644="",B644="safety"),"",IF(ISBLANK(INDIRECT("template!"&amp;"F"&amp;A644)),"",INDIRECT("template!"&amp;"F"&amp;A644)))</f>
        <v>#REF!</v>
      </c>
      <c r="J644" t="e" cm="1">
        <f t="array" aca="1" ref="J644" ca="1">IF(OR(A644="",B644="safety"),"",IF(ISBLANK(INDIRECT("template!"&amp;"G"&amp;A644)),"",INDIRECT("template!"&amp;"G"&amp;A644)))</f>
        <v>#REF!</v>
      </c>
      <c r="K644" t="e" cm="1">
        <f t="array" aca="1" ref="K644" ca="1">IF(OR(A644="",B644="safety"),"",IF(ISBLANK(INDIRECT("template!"&amp;"H"&amp;A644)),"",INDIRECT("template!"&amp;"H"&amp;A644)))</f>
        <v>#REF!</v>
      </c>
      <c r="L644" t="e" cm="1">
        <f t="array" aca="1" ref="L644" ca="1">IF(OR(A644="",B644="safety"),"",INDIRECT("template!"&amp;"I"&amp;A644))</f>
        <v>#REF!</v>
      </c>
      <c r="M644" t="e" cm="1">
        <f t="array" aca="1" ref="M644" ca="1">IF(OR(A644="",B644="safety"),"",INDIRECT("template!"&amp;"J"&amp;A644))</f>
        <v>#REF!</v>
      </c>
      <c r="N644" t="e" cm="1">
        <f t="array" aca="1" ref="N644" ca="1">IF(OR(A644="",B644="safety"),"",IF(ISBLANK(INDIRECT("template!"&amp;"K"&amp;A644)),"",INDIRECT("template!"&amp;"K"&amp;A644)))</f>
        <v>#REF!</v>
      </c>
      <c r="O644" t="e" cm="1">
        <f t="array" aca="1" ref="O644" ca="1">IF(OR(A644="",B644="safety"),"",INDIRECT("template!"&amp;"L"&amp;A644))</f>
        <v>#REF!</v>
      </c>
      <c r="P644" t="e" cm="1">
        <f t="array" aca="1" ref="P644" ca="1">IF(OR(A644="",B644="safety"),"",INDIRECT("template!"&amp;"M"&amp;A644))</f>
        <v>#REF!</v>
      </c>
      <c r="Q644" t="e">
        <f t="shared" ref="Q644:Q707" ca="1" si="58">IF(OR(A644="",B644="safety"),"",IF(E644="","",O644*L644))</f>
        <v>#REF!</v>
      </c>
      <c r="R644" t="e">
        <f t="shared" ref="R644:R707" ca="1" si="59">IF(OR(A644="",B644="safety"),"",IF(E644="","",P644*L644))</f>
        <v>#REF!</v>
      </c>
      <c r="S644" t="e">
        <f t="shared" ref="S644:S707" ca="1" si="60">IF(OR(A644="",B644="safety"),"",IF(E644="","",O644*M644))</f>
        <v>#REF!</v>
      </c>
      <c r="T644" t="e">
        <f t="shared" ref="T644:T707" ca="1" si="61">IF(OR(A644="",B644="safety"),"",IF(E644="","",M644*P644))</f>
        <v>#REF!</v>
      </c>
      <c r="U644" t="e" cm="1">
        <f t="array" aca="1" ref="U644" ca="1">IF(A644="","",IF(E644="","",IF(B644="safety",INDIRECT("template!"&amp;"P"&amp;A644),Q644+R644)))</f>
        <v>#REF!</v>
      </c>
      <c r="V644" t="e" cm="1">
        <f t="array" aca="1" ref="V644" ca="1">IF(A644="","",IF(E644="","",IF(B644="safety",INDIRECT("template!"&amp;"P"&amp;A644),S644+T644)))</f>
        <v>#REF!</v>
      </c>
      <c r="W644" t="e">
        <f ca="1">IF(A644="","",IF(E644="","",#REF!))</f>
        <v>#REF!</v>
      </c>
      <c r="X644" t="e">
        <f ca="1">IF(A644="","",IF(E644="","",#REF!))</f>
        <v>#REF!</v>
      </c>
      <c r="Y644" s="39" t="e">
        <f ca="1">IF(A644="","",IF(E644="","",#REF!))</f>
        <v>#REF!</v>
      </c>
      <c r="Z644" t="e">
        <f ca="1">IF(A644="","",IF(E644="","",#REF!))</f>
        <v>#REF!</v>
      </c>
      <c r="AA644" t="e">
        <f ca="1">IF(A644="","",IF(E644="","",#REF!))</f>
        <v>#REF!</v>
      </c>
      <c r="AB644" t="e">
        <f ca="1">IF(A644="","",IF(E644="","",#REF!))</f>
        <v>#REF!</v>
      </c>
      <c r="AC644" t="e">
        <f t="shared" ref="AC644:AC707" ca="1" si="62">IF(A644="","",IF(E644="","","WEEK "&amp;WEEKNUM(Y644)&amp;"_"&amp;YEAR(Y644)))</f>
        <v>#REF!</v>
      </c>
    </row>
    <row r="645" spans="1:29" x14ac:dyDescent="0.35">
      <c r="A645" t="e" cm="1">
        <f t="array" aca="1" ref="A645" ca="1">IF(A644="","",IF(OR(AND(A644+1&gt;=$AF$1,A644+1&lt;=$AF$2),AND(A644+1&gt;=$AF$6,A644+1&lt;=$AF$7),AND(A644+1&gt;=$AF$3,A644+1&lt;=$AF$4),AND(A644+1&gt;=$AF$8,A644+1&lt;=$AF$9),A644+1=$AF$5),IF(NOT(ISBLANK(INDIRECT("template!"&amp;"P"&amp;A644+1))),A644+1,IF(NOT(ISBLANK(INDIRECT("template!"&amp;"P"&amp;A644+2))),A644+2,A644+3)),IF(A644=$AF$2,$AF$3,IF(A644=$AF$4,$AF$5,IF(A644=$AF$5,$AF$6,IF(A644=$AF$7,$AF$8,""))))))</f>
        <v>#REF!</v>
      </c>
      <c r="B645" t="e">
        <f t="shared" ca="1" si="57"/>
        <v>#REF!</v>
      </c>
      <c r="C645" t="e" cm="1">
        <f t="array" aca="1" ref="C645" ca="1">IF(A645="","",IF(B645="safety","safety costs",INDIRECT("template!"&amp;"B"&amp;A645)))</f>
        <v>#REF!</v>
      </c>
      <c r="D645" t="e" cm="1">
        <f t="array" aca="1" ref="D645" ca="1">IF(OR(A645="",B645="safety"),"",INDIRECT("template!"&amp;"C"&amp;A645))</f>
        <v>#REF!</v>
      </c>
      <c r="E645" t="e" cm="1">
        <f t="array" aca="1" ref="E645" ca="1">IF(A645="","",IF(OR(A645=A644+1,A645=A644+2),E644,INDIRECT("template!"&amp;"D"&amp;A645-2)))</f>
        <v>#REF!</v>
      </c>
      <c r="F645" t="e" cm="1">
        <f t="array" aca="1" ref="F645" ca="1">IF(OR(A645="",B645="safety"),"",IF(ISBLANK(IF(A645=A644+1,F644,INDIRECT("template!"&amp;"D"&amp;A645-1))),"",IF(A645=A644+1,F644,INDIRECT("template!"&amp;"D"&amp;A645-1))))</f>
        <v>#REF!</v>
      </c>
      <c r="G645" t="e" cm="1">
        <f t="array" aca="1" ref="G645" ca="1">IF(OR(A645="",B645="safety"),"",IF(ISBLANK(INDIRECT("template!"&amp;"D"&amp;A645)),"",INDIRECT("template!"&amp;"D"&amp;A645)))</f>
        <v>#REF!</v>
      </c>
      <c r="H645" t="e" cm="1">
        <f t="array" aca="1" ref="H645" ca="1">IF(OR(A645="",B645="safety"),"",IF(ISBLANK(INDIRECT("template!"&amp;"E"&amp;A645)),"",INDIRECT("template!"&amp;"E"&amp;A645)))</f>
        <v>#REF!</v>
      </c>
      <c r="I645" t="e" cm="1">
        <f t="array" aca="1" ref="I645" ca="1">IF(OR(A645="",B645="safety"),"",IF(ISBLANK(INDIRECT("template!"&amp;"F"&amp;A645)),"",INDIRECT("template!"&amp;"F"&amp;A645)))</f>
        <v>#REF!</v>
      </c>
      <c r="J645" t="e" cm="1">
        <f t="array" aca="1" ref="J645" ca="1">IF(OR(A645="",B645="safety"),"",IF(ISBLANK(INDIRECT("template!"&amp;"G"&amp;A645)),"",INDIRECT("template!"&amp;"G"&amp;A645)))</f>
        <v>#REF!</v>
      </c>
      <c r="K645" t="e" cm="1">
        <f t="array" aca="1" ref="K645" ca="1">IF(OR(A645="",B645="safety"),"",IF(ISBLANK(INDIRECT("template!"&amp;"H"&amp;A645)),"",INDIRECT("template!"&amp;"H"&amp;A645)))</f>
        <v>#REF!</v>
      </c>
      <c r="L645" t="e" cm="1">
        <f t="array" aca="1" ref="L645" ca="1">IF(OR(A645="",B645="safety"),"",INDIRECT("template!"&amp;"I"&amp;A645))</f>
        <v>#REF!</v>
      </c>
      <c r="M645" t="e" cm="1">
        <f t="array" aca="1" ref="M645" ca="1">IF(OR(A645="",B645="safety"),"",INDIRECT("template!"&amp;"J"&amp;A645))</f>
        <v>#REF!</v>
      </c>
      <c r="N645" t="e" cm="1">
        <f t="array" aca="1" ref="N645" ca="1">IF(OR(A645="",B645="safety"),"",IF(ISBLANK(INDIRECT("template!"&amp;"K"&amp;A645)),"",INDIRECT("template!"&amp;"K"&amp;A645)))</f>
        <v>#REF!</v>
      </c>
      <c r="O645" t="e" cm="1">
        <f t="array" aca="1" ref="O645" ca="1">IF(OR(A645="",B645="safety"),"",INDIRECT("template!"&amp;"L"&amp;A645))</f>
        <v>#REF!</v>
      </c>
      <c r="P645" t="e" cm="1">
        <f t="array" aca="1" ref="P645" ca="1">IF(OR(A645="",B645="safety"),"",INDIRECT("template!"&amp;"M"&amp;A645))</f>
        <v>#REF!</v>
      </c>
      <c r="Q645" t="e">
        <f t="shared" ca="1" si="58"/>
        <v>#REF!</v>
      </c>
      <c r="R645" t="e">
        <f t="shared" ca="1" si="59"/>
        <v>#REF!</v>
      </c>
      <c r="S645" t="e">
        <f t="shared" ca="1" si="60"/>
        <v>#REF!</v>
      </c>
      <c r="T645" t="e">
        <f t="shared" ca="1" si="61"/>
        <v>#REF!</v>
      </c>
      <c r="U645" t="e" cm="1">
        <f t="array" aca="1" ref="U645" ca="1">IF(A645="","",IF(E645="","",IF(B645="safety",INDIRECT("template!"&amp;"P"&amp;A645),Q645+R645)))</f>
        <v>#REF!</v>
      </c>
      <c r="V645" t="e" cm="1">
        <f t="array" aca="1" ref="V645" ca="1">IF(A645="","",IF(E645="","",IF(B645="safety",INDIRECT("template!"&amp;"P"&amp;A645),S645+T645)))</f>
        <v>#REF!</v>
      </c>
      <c r="W645" t="e">
        <f ca="1">IF(A645="","",IF(E645="","",#REF!))</f>
        <v>#REF!</v>
      </c>
      <c r="X645" t="e">
        <f ca="1">IF(A645="","",IF(E645="","",#REF!))</f>
        <v>#REF!</v>
      </c>
      <c r="Y645" s="39" t="e">
        <f ca="1">IF(A645="","",IF(E645="","",#REF!))</f>
        <v>#REF!</v>
      </c>
      <c r="Z645" t="e">
        <f ca="1">IF(A645="","",IF(E645="","",#REF!))</f>
        <v>#REF!</v>
      </c>
      <c r="AA645" t="e">
        <f ca="1">IF(A645="","",IF(E645="","",#REF!))</f>
        <v>#REF!</v>
      </c>
      <c r="AB645" t="e">
        <f ca="1">IF(A645="","",IF(E645="","",#REF!))</f>
        <v>#REF!</v>
      </c>
      <c r="AC645" t="e">
        <f t="shared" ca="1" si="62"/>
        <v>#REF!</v>
      </c>
    </row>
    <row r="646" spans="1:29" x14ac:dyDescent="0.35">
      <c r="A646" t="e" cm="1">
        <f t="array" aca="1" ref="A646" ca="1">IF(A645="","",IF(OR(AND(A645+1&gt;=$AF$1,A645+1&lt;=$AF$2),AND(A645+1&gt;=$AF$6,A645+1&lt;=$AF$7),AND(A645+1&gt;=$AF$3,A645+1&lt;=$AF$4),AND(A645+1&gt;=$AF$8,A645+1&lt;=$AF$9),A645+1=$AF$5),IF(NOT(ISBLANK(INDIRECT("template!"&amp;"P"&amp;A645+1))),A645+1,IF(NOT(ISBLANK(INDIRECT("template!"&amp;"P"&amp;A645+2))),A645+2,A645+3)),IF(A645=$AF$2,$AF$3,IF(A645=$AF$4,$AF$5,IF(A645=$AF$5,$AF$6,IF(A645=$AF$7,$AF$8,""))))))</f>
        <v>#REF!</v>
      </c>
      <c r="B646" t="e">
        <f t="shared" ca="1" si="57"/>
        <v>#REF!</v>
      </c>
      <c r="C646" t="e" cm="1">
        <f t="array" aca="1" ref="C646" ca="1">IF(A646="","",IF(B646="safety","safety costs",INDIRECT("template!"&amp;"B"&amp;A646)))</f>
        <v>#REF!</v>
      </c>
      <c r="D646" t="e" cm="1">
        <f t="array" aca="1" ref="D646" ca="1">IF(OR(A646="",B646="safety"),"",INDIRECT("template!"&amp;"C"&amp;A646))</f>
        <v>#REF!</v>
      </c>
      <c r="E646" t="e" cm="1">
        <f t="array" aca="1" ref="E646" ca="1">IF(A646="","",IF(OR(A646=A645+1,A646=A645+2),E645,INDIRECT("template!"&amp;"D"&amp;A646-2)))</f>
        <v>#REF!</v>
      </c>
      <c r="F646" t="e" cm="1">
        <f t="array" aca="1" ref="F646" ca="1">IF(OR(A646="",B646="safety"),"",IF(ISBLANK(IF(A646=A645+1,F645,INDIRECT("template!"&amp;"D"&amp;A646-1))),"",IF(A646=A645+1,F645,INDIRECT("template!"&amp;"D"&amp;A646-1))))</f>
        <v>#REF!</v>
      </c>
      <c r="G646" t="e" cm="1">
        <f t="array" aca="1" ref="G646" ca="1">IF(OR(A646="",B646="safety"),"",IF(ISBLANK(INDIRECT("template!"&amp;"D"&amp;A646)),"",INDIRECT("template!"&amp;"D"&amp;A646)))</f>
        <v>#REF!</v>
      </c>
      <c r="H646" t="e" cm="1">
        <f t="array" aca="1" ref="H646" ca="1">IF(OR(A646="",B646="safety"),"",IF(ISBLANK(INDIRECT("template!"&amp;"E"&amp;A646)),"",INDIRECT("template!"&amp;"E"&amp;A646)))</f>
        <v>#REF!</v>
      </c>
      <c r="I646" t="e" cm="1">
        <f t="array" aca="1" ref="I646" ca="1">IF(OR(A646="",B646="safety"),"",IF(ISBLANK(INDIRECT("template!"&amp;"F"&amp;A646)),"",INDIRECT("template!"&amp;"F"&amp;A646)))</f>
        <v>#REF!</v>
      </c>
      <c r="J646" t="e" cm="1">
        <f t="array" aca="1" ref="J646" ca="1">IF(OR(A646="",B646="safety"),"",IF(ISBLANK(INDIRECT("template!"&amp;"G"&amp;A646)),"",INDIRECT("template!"&amp;"G"&amp;A646)))</f>
        <v>#REF!</v>
      </c>
      <c r="K646" t="e" cm="1">
        <f t="array" aca="1" ref="K646" ca="1">IF(OR(A646="",B646="safety"),"",IF(ISBLANK(INDIRECT("template!"&amp;"H"&amp;A646)),"",INDIRECT("template!"&amp;"H"&amp;A646)))</f>
        <v>#REF!</v>
      </c>
      <c r="L646" t="e" cm="1">
        <f t="array" aca="1" ref="L646" ca="1">IF(OR(A646="",B646="safety"),"",INDIRECT("template!"&amp;"I"&amp;A646))</f>
        <v>#REF!</v>
      </c>
      <c r="M646" t="e" cm="1">
        <f t="array" aca="1" ref="M646" ca="1">IF(OR(A646="",B646="safety"),"",INDIRECT("template!"&amp;"J"&amp;A646))</f>
        <v>#REF!</v>
      </c>
      <c r="N646" t="e" cm="1">
        <f t="array" aca="1" ref="N646" ca="1">IF(OR(A646="",B646="safety"),"",IF(ISBLANK(INDIRECT("template!"&amp;"K"&amp;A646)),"",INDIRECT("template!"&amp;"K"&amp;A646)))</f>
        <v>#REF!</v>
      </c>
      <c r="O646" t="e" cm="1">
        <f t="array" aca="1" ref="O646" ca="1">IF(OR(A646="",B646="safety"),"",INDIRECT("template!"&amp;"L"&amp;A646))</f>
        <v>#REF!</v>
      </c>
      <c r="P646" t="e" cm="1">
        <f t="array" aca="1" ref="P646" ca="1">IF(OR(A646="",B646="safety"),"",INDIRECT("template!"&amp;"M"&amp;A646))</f>
        <v>#REF!</v>
      </c>
      <c r="Q646" t="e">
        <f t="shared" ca="1" si="58"/>
        <v>#REF!</v>
      </c>
      <c r="R646" t="e">
        <f t="shared" ca="1" si="59"/>
        <v>#REF!</v>
      </c>
      <c r="S646" t="e">
        <f t="shared" ca="1" si="60"/>
        <v>#REF!</v>
      </c>
      <c r="T646" t="e">
        <f t="shared" ca="1" si="61"/>
        <v>#REF!</v>
      </c>
      <c r="U646" t="e" cm="1">
        <f t="array" aca="1" ref="U646" ca="1">IF(A646="","",IF(E646="","",IF(B646="safety",INDIRECT("template!"&amp;"P"&amp;A646),Q646+R646)))</f>
        <v>#REF!</v>
      </c>
      <c r="V646" t="e" cm="1">
        <f t="array" aca="1" ref="V646" ca="1">IF(A646="","",IF(E646="","",IF(B646="safety",INDIRECT("template!"&amp;"P"&amp;A646),S646+T646)))</f>
        <v>#REF!</v>
      </c>
      <c r="W646" t="e">
        <f ca="1">IF(A646="","",IF(E646="","",#REF!))</f>
        <v>#REF!</v>
      </c>
      <c r="X646" t="e">
        <f ca="1">IF(A646="","",IF(E646="","",#REF!))</f>
        <v>#REF!</v>
      </c>
      <c r="Y646" s="39" t="e">
        <f ca="1">IF(A646="","",IF(E646="","",#REF!))</f>
        <v>#REF!</v>
      </c>
      <c r="Z646" t="e">
        <f ca="1">IF(A646="","",IF(E646="","",#REF!))</f>
        <v>#REF!</v>
      </c>
      <c r="AA646" t="e">
        <f ca="1">IF(A646="","",IF(E646="","",#REF!))</f>
        <v>#REF!</v>
      </c>
      <c r="AB646" t="e">
        <f ca="1">IF(A646="","",IF(E646="","",#REF!))</f>
        <v>#REF!</v>
      </c>
      <c r="AC646" t="e">
        <f t="shared" ca="1" si="62"/>
        <v>#REF!</v>
      </c>
    </row>
    <row r="647" spans="1:29" x14ac:dyDescent="0.35">
      <c r="A647" t="e" cm="1">
        <f t="array" aca="1" ref="A647" ca="1">IF(A646="","",IF(OR(AND(A646+1&gt;=$AF$1,A646+1&lt;=$AF$2),AND(A646+1&gt;=$AF$6,A646+1&lt;=$AF$7),AND(A646+1&gt;=$AF$3,A646+1&lt;=$AF$4),AND(A646+1&gt;=$AF$8,A646+1&lt;=$AF$9),A646+1=$AF$5),IF(NOT(ISBLANK(INDIRECT("template!"&amp;"P"&amp;A646+1))),A646+1,IF(NOT(ISBLANK(INDIRECT("template!"&amp;"P"&amp;A646+2))),A646+2,A646+3)),IF(A646=$AF$2,$AF$3,IF(A646=$AF$4,$AF$5,IF(A646=$AF$5,$AF$6,IF(A646=$AF$7,$AF$8,""))))))</f>
        <v>#REF!</v>
      </c>
      <c r="B647" t="e">
        <f t="shared" ca="1" si="57"/>
        <v>#REF!</v>
      </c>
      <c r="C647" t="e" cm="1">
        <f t="array" aca="1" ref="C647" ca="1">IF(A647="","",IF(B647="safety","safety costs",INDIRECT("template!"&amp;"B"&amp;A647)))</f>
        <v>#REF!</v>
      </c>
      <c r="D647" t="e" cm="1">
        <f t="array" aca="1" ref="D647" ca="1">IF(OR(A647="",B647="safety"),"",INDIRECT("template!"&amp;"C"&amp;A647))</f>
        <v>#REF!</v>
      </c>
      <c r="E647" t="e" cm="1">
        <f t="array" aca="1" ref="E647" ca="1">IF(A647="","",IF(OR(A647=A646+1,A647=A646+2),E646,INDIRECT("template!"&amp;"D"&amp;A647-2)))</f>
        <v>#REF!</v>
      </c>
      <c r="F647" t="e" cm="1">
        <f t="array" aca="1" ref="F647" ca="1">IF(OR(A647="",B647="safety"),"",IF(ISBLANK(IF(A647=A646+1,F646,INDIRECT("template!"&amp;"D"&amp;A647-1))),"",IF(A647=A646+1,F646,INDIRECT("template!"&amp;"D"&amp;A647-1))))</f>
        <v>#REF!</v>
      </c>
      <c r="G647" t="e" cm="1">
        <f t="array" aca="1" ref="G647" ca="1">IF(OR(A647="",B647="safety"),"",IF(ISBLANK(INDIRECT("template!"&amp;"D"&amp;A647)),"",INDIRECT("template!"&amp;"D"&amp;A647)))</f>
        <v>#REF!</v>
      </c>
      <c r="H647" t="e" cm="1">
        <f t="array" aca="1" ref="H647" ca="1">IF(OR(A647="",B647="safety"),"",IF(ISBLANK(INDIRECT("template!"&amp;"E"&amp;A647)),"",INDIRECT("template!"&amp;"E"&amp;A647)))</f>
        <v>#REF!</v>
      </c>
      <c r="I647" t="e" cm="1">
        <f t="array" aca="1" ref="I647" ca="1">IF(OR(A647="",B647="safety"),"",IF(ISBLANK(INDIRECT("template!"&amp;"F"&amp;A647)),"",INDIRECT("template!"&amp;"F"&amp;A647)))</f>
        <v>#REF!</v>
      </c>
      <c r="J647" t="e" cm="1">
        <f t="array" aca="1" ref="J647" ca="1">IF(OR(A647="",B647="safety"),"",IF(ISBLANK(INDIRECT("template!"&amp;"G"&amp;A647)),"",INDIRECT("template!"&amp;"G"&amp;A647)))</f>
        <v>#REF!</v>
      </c>
      <c r="K647" t="e" cm="1">
        <f t="array" aca="1" ref="K647" ca="1">IF(OR(A647="",B647="safety"),"",IF(ISBLANK(INDIRECT("template!"&amp;"H"&amp;A647)),"",INDIRECT("template!"&amp;"H"&amp;A647)))</f>
        <v>#REF!</v>
      </c>
      <c r="L647" t="e" cm="1">
        <f t="array" aca="1" ref="L647" ca="1">IF(OR(A647="",B647="safety"),"",INDIRECT("template!"&amp;"I"&amp;A647))</f>
        <v>#REF!</v>
      </c>
      <c r="M647" t="e" cm="1">
        <f t="array" aca="1" ref="M647" ca="1">IF(OR(A647="",B647="safety"),"",INDIRECT("template!"&amp;"J"&amp;A647))</f>
        <v>#REF!</v>
      </c>
      <c r="N647" t="e" cm="1">
        <f t="array" aca="1" ref="N647" ca="1">IF(OR(A647="",B647="safety"),"",IF(ISBLANK(INDIRECT("template!"&amp;"K"&amp;A647)),"",INDIRECT("template!"&amp;"K"&amp;A647)))</f>
        <v>#REF!</v>
      </c>
      <c r="O647" t="e" cm="1">
        <f t="array" aca="1" ref="O647" ca="1">IF(OR(A647="",B647="safety"),"",INDIRECT("template!"&amp;"L"&amp;A647))</f>
        <v>#REF!</v>
      </c>
      <c r="P647" t="e" cm="1">
        <f t="array" aca="1" ref="P647" ca="1">IF(OR(A647="",B647="safety"),"",INDIRECT("template!"&amp;"M"&amp;A647))</f>
        <v>#REF!</v>
      </c>
      <c r="Q647" t="e">
        <f t="shared" ca="1" si="58"/>
        <v>#REF!</v>
      </c>
      <c r="R647" t="e">
        <f t="shared" ca="1" si="59"/>
        <v>#REF!</v>
      </c>
      <c r="S647" t="e">
        <f t="shared" ca="1" si="60"/>
        <v>#REF!</v>
      </c>
      <c r="T647" t="e">
        <f t="shared" ca="1" si="61"/>
        <v>#REF!</v>
      </c>
      <c r="U647" t="e" cm="1">
        <f t="array" aca="1" ref="U647" ca="1">IF(A647="","",IF(E647="","",IF(B647="safety",INDIRECT("template!"&amp;"P"&amp;A647),Q647+R647)))</f>
        <v>#REF!</v>
      </c>
      <c r="V647" t="e" cm="1">
        <f t="array" aca="1" ref="V647" ca="1">IF(A647="","",IF(E647="","",IF(B647="safety",INDIRECT("template!"&amp;"P"&amp;A647),S647+T647)))</f>
        <v>#REF!</v>
      </c>
      <c r="W647" t="e">
        <f ca="1">IF(A647="","",IF(E647="","",#REF!))</f>
        <v>#REF!</v>
      </c>
      <c r="X647" t="e">
        <f ca="1">IF(A647="","",IF(E647="","",#REF!))</f>
        <v>#REF!</v>
      </c>
      <c r="Y647" s="39" t="e">
        <f ca="1">IF(A647="","",IF(E647="","",#REF!))</f>
        <v>#REF!</v>
      </c>
      <c r="Z647" t="e">
        <f ca="1">IF(A647="","",IF(E647="","",#REF!))</f>
        <v>#REF!</v>
      </c>
      <c r="AA647" t="e">
        <f ca="1">IF(A647="","",IF(E647="","",#REF!))</f>
        <v>#REF!</v>
      </c>
      <c r="AB647" t="e">
        <f ca="1">IF(A647="","",IF(E647="","",#REF!))</f>
        <v>#REF!</v>
      </c>
      <c r="AC647" t="e">
        <f t="shared" ca="1" si="62"/>
        <v>#REF!</v>
      </c>
    </row>
    <row r="648" spans="1:29" x14ac:dyDescent="0.35">
      <c r="A648" t="e" cm="1">
        <f t="array" aca="1" ref="A648" ca="1">IF(A647="","",IF(OR(AND(A647+1&gt;=$AF$1,A647+1&lt;=$AF$2),AND(A647+1&gt;=$AF$6,A647+1&lt;=$AF$7),AND(A647+1&gt;=$AF$3,A647+1&lt;=$AF$4),AND(A647+1&gt;=$AF$8,A647+1&lt;=$AF$9),A647+1=$AF$5),IF(NOT(ISBLANK(INDIRECT("template!"&amp;"P"&amp;A647+1))),A647+1,IF(NOT(ISBLANK(INDIRECT("template!"&amp;"P"&amp;A647+2))),A647+2,A647+3)),IF(A647=$AF$2,$AF$3,IF(A647=$AF$4,$AF$5,IF(A647=$AF$5,$AF$6,IF(A647=$AF$7,$AF$8,""))))))</f>
        <v>#REF!</v>
      </c>
      <c r="B648" t="e">
        <f t="shared" ca="1" si="57"/>
        <v>#REF!</v>
      </c>
      <c r="C648" t="e" cm="1">
        <f t="array" aca="1" ref="C648" ca="1">IF(A648="","",IF(B648="safety","safety costs",INDIRECT("template!"&amp;"B"&amp;A648)))</f>
        <v>#REF!</v>
      </c>
      <c r="D648" t="e" cm="1">
        <f t="array" aca="1" ref="D648" ca="1">IF(OR(A648="",B648="safety"),"",INDIRECT("template!"&amp;"C"&amp;A648))</f>
        <v>#REF!</v>
      </c>
      <c r="E648" t="e" cm="1">
        <f t="array" aca="1" ref="E648" ca="1">IF(A648="","",IF(OR(A648=A647+1,A648=A647+2),E647,INDIRECT("template!"&amp;"D"&amp;A648-2)))</f>
        <v>#REF!</v>
      </c>
      <c r="F648" t="e" cm="1">
        <f t="array" aca="1" ref="F648" ca="1">IF(OR(A648="",B648="safety"),"",IF(ISBLANK(IF(A648=A647+1,F647,INDIRECT("template!"&amp;"D"&amp;A648-1))),"",IF(A648=A647+1,F647,INDIRECT("template!"&amp;"D"&amp;A648-1))))</f>
        <v>#REF!</v>
      </c>
      <c r="G648" t="e" cm="1">
        <f t="array" aca="1" ref="G648" ca="1">IF(OR(A648="",B648="safety"),"",IF(ISBLANK(INDIRECT("template!"&amp;"D"&amp;A648)),"",INDIRECT("template!"&amp;"D"&amp;A648)))</f>
        <v>#REF!</v>
      </c>
      <c r="H648" t="e" cm="1">
        <f t="array" aca="1" ref="H648" ca="1">IF(OR(A648="",B648="safety"),"",IF(ISBLANK(INDIRECT("template!"&amp;"E"&amp;A648)),"",INDIRECT("template!"&amp;"E"&amp;A648)))</f>
        <v>#REF!</v>
      </c>
      <c r="I648" t="e" cm="1">
        <f t="array" aca="1" ref="I648" ca="1">IF(OR(A648="",B648="safety"),"",IF(ISBLANK(INDIRECT("template!"&amp;"F"&amp;A648)),"",INDIRECT("template!"&amp;"F"&amp;A648)))</f>
        <v>#REF!</v>
      </c>
      <c r="J648" t="e" cm="1">
        <f t="array" aca="1" ref="J648" ca="1">IF(OR(A648="",B648="safety"),"",IF(ISBLANK(INDIRECT("template!"&amp;"G"&amp;A648)),"",INDIRECT("template!"&amp;"G"&amp;A648)))</f>
        <v>#REF!</v>
      </c>
      <c r="K648" t="e" cm="1">
        <f t="array" aca="1" ref="K648" ca="1">IF(OR(A648="",B648="safety"),"",IF(ISBLANK(INDIRECT("template!"&amp;"H"&amp;A648)),"",INDIRECT("template!"&amp;"H"&amp;A648)))</f>
        <v>#REF!</v>
      </c>
      <c r="L648" t="e" cm="1">
        <f t="array" aca="1" ref="L648" ca="1">IF(OR(A648="",B648="safety"),"",INDIRECT("template!"&amp;"I"&amp;A648))</f>
        <v>#REF!</v>
      </c>
      <c r="M648" t="e" cm="1">
        <f t="array" aca="1" ref="M648" ca="1">IF(OR(A648="",B648="safety"),"",INDIRECT("template!"&amp;"J"&amp;A648))</f>
        <v>#REF!</v>
      </c>
      <c r="N648" t="e" cm="1">
        <f t="array" aca="1" ref="N648" ca="1">IF(OR(A648="",B648="safety"),"",IF(ISBLANK(INDIRECT("template!"&amp;"K"&amp;A648)),"",INDIRECT("template!"&amp;"K"&amp;A648)))</f>
        <v>#REF!</v>
      </c>
      <c r="O648" t="e" cm="1">
        <f t="array" aca="1" ref="O648" ca="1">IF(OR(A648="",B648="safety"),"",INDIRECT("template!"&amp;"L"&amp;A648))</f>
        <v>#REF!</v>
      </c>
      <c r="P648" t="e" cm="1">
        <f t="array" aca="1" ref="P648" ca="1">IF(OR(A648="",B648="safety"),"",INDIRECT("template!"&amp;"M"&amp;A648))</f>
        <v>#REF!</v>
      </c>
      <c r="Q648" t="e">
        <f t="shared" ca="1" si="58"/>
        <v>#REF!</v>
      </c>
      <c r="R648" t="e">
        <f t="shared" ca="1" si="59"/>
        <v>#REF!</v>
      </c>
      <c r="S648" t="e">
        <f t="shared" ca="1" si="60"/>
        <v>#REF!</v>
      </c>
      <c r="T648" t="e">
        <f t="shared" ca="1" si="61"/>
        <v>#REF!</v>
      </c>
      <c r="U648" t="e" cm="1">
        <f t="array" aca="1" ref="U648" ca="1">IF(A648="","",IF(E648="","",IF(B648="safety",INDIRECT("template!"&amp;"P"&amp;A648),Q648+R648)))</f>
        <v>#REF!</v>
      </c>
      <c r="V648" t="e" cm="1">
        <f t="array" aca="1" ref="V648" ca="1">IF(A648="","",IF(E648="","",IF(B648="safety",INDIRECT("template!"&amp;"P"&amp;A648),S648+T648)))</f>
        <v>#REF!</v>
      </c>
      <c r="W648" t="e">
        <f ca="1">IF(A648="","",IF(E648="","",#REF!))</f>
        <v>#REF!</v>
      </c>
      <c r="X648" t="e">
        <f ca="1">IF(A648="","",IF(E648="","",#REF!))</f>
        <v>#REF!</v>
      </c>
      <c r="Y648" s="39" t="e">
        <f ca="1">IF(A648="","",IF(E648="","",#REF!))</f>
        <v>#REF!</v>
      </c>
      <c r="Z648" t="e">
        <f ca="1">IF(A648="","",IF(E648="","",#REF!))</f>
        <v>#REF!</v>
      </c>
      <c r="AA648" t="e">
        <f ca="1">IF(A648="","",IF(E648="","",#REF!))</f>
        <v>#REF!</v>
      </c>
      <c r="AB648" t="e">
        <f ca="1">IF(A648="","",IF(E648="","",#REF!))</f>
        <v>#REF!</v>
      </c>
      <c r="AC648" t="e">
        <f t="shared" ca="1" si="62"/>
        <v>#REF!</v>
      </c>
    </row>
    <row r="649" spans="1:29" x14ac:dyDescent="0.35">
      <c r="A649" t="e" cm="1">
        <f t="array" aca="1" ref="A649" ca="1">IF(A648="","",IF(OR(AND(A648+1&gt;=$AF$1,A648+1&lt;=$AF$2),AND(A648+1&gt;=$AF$6,A648+1&lt;=$AF$7),AND(A648+1&gt;=$AF$3,A648+1&lt;=$AF$4),AND(A648+1&gt;=$AF$8,A648+1&lt;=$AF$9),A648+1=$AF$5),IF(NOT(ISBLANK(INDIRECT("template!"&amp;"P"&amp;A648+1))),A648+1,IF(NOT(ISBLANK(INDIRECT("template!"&amp;"P"&amp;A648+2))),A648+2,A648+3)),IF(A648=$AF$2,$AF$3,IF(A648=$AF$4,$AF$5,IF(A648=$AF$5,$AF$6,IF(A648=$AF$7,$AF$8,""))))))</f>
        <v>#REF!</v>
      </c>
      <c r="B649" t="e">
        <f t="shared" ca="1" si="57"/>
        <v>#REF!</v>
      </c>
      <c r="C649" t="e" cm="1">
        <f t="array" aca="1" ref="C649" ca="1">IF(A649="","",IF(B649="safety","safety costs",INDIRECT("template!"&amp;"B"&amp;A649)))</f>
        <v>#REF!</v>
      </c>
      <c r="D649" t="e" cm="1">
        <f t="array" aca="1" ref="D649" ca="1">IF(OR(A649="",B649="safety"),"",INDIRECT("template!"&amp;"C"&amp;A649))</f>
        <v>#REF!</v>
      </c>
      <c r="E649" t="e" cm="1">
        <f t="array" aca="1" ref="E649" ca="1">IF(A649="","",IF(OR(A649=A648+1,A649=A648+2),E648,INDIRECT("template!"&amp;"D"&amp;A649-2)))</f>
        <v>#REF!</v>
      </c>
      <c r="F649" t="e" cm="1">
        <f t="array" aca="1" ref="F649" ca="1">IF(OR(A649="",B649="safety"),"",IF(ISBLANK(IF(A649=A648+1,F648,INDIRECT("template!"&amp;"D"&amp;A649-1))),"",IF(A649=A648+1,F648,INDIRECT("template!"&amp;"D"&amp;A649-1))))</f>
        <v>#REF!</v>
      </c>
      <c r="G649" t="e" cm="1">
        <f t="array" aca="1" ref="G649" ca="1">IF(OR(A649="",B649="safety"),"",IF(ISBLANK(INDIRECT("template!"&amp;"D"&amp;A649)),"",INDIRECT("template!"&amp;"D"&amp;A649)))</f>
        <v>#REF!</v>
      </c>
      <c r="H649" t="e" cm="1">
        <f t="array" aca="1" ref="H649" ca="1">IF(OR(A649="",B649="safety"),"",IF(ISBLANK(INDIRECT("template!"&amp;"E"&amp;A649)),"",INDIRECT("template!"&amp;"E"&amp;A649)))</f>
        <v>#REF!</v>
      </c>
      <c r="I649" t="e" cm="1">
        <f t="array" aca="1" ref="I649" ca="1">IF(OR(A649="",B649="safety"),"",IF(ISBLANK(INDIRECT("template!"&amp;"F"&amp;A649)),"",INDIRECT("template!"&amp;"F"&amp;A649)))</f>
        <v>#REF!</v>
      </c>
      <c r="J649" t="e" cm="1">
        <f t="array" aca="1" ref="J649" ca="1">IF(OR(A649="",B649="safety"),"",IF(ISBLANK(INDIRECT("template!"&amp;"G"&amp;A649)),"",INDIRECT("template!"&amp;"G"&amp;A649)))</f>
        <v>#REF!</v>
      </c>
      <c r="K649" t="e" cm="1">
        <f t="array" aca="1" ref="K649" ca="1">IF(OR(A649="",B649="safety"),"",IF(ISBLANK(INDIRECT("template!"&amp;"H"&amp;A649)),"",INDIRECT("template!"&amp;"H"&amp;A649)))</f>
        <v>#REF!</v>
      </c>
      <c r="L649" t="e" cm="1">
        <f t="array" aca="1" ref="L649" ca="1">IF(OR(A649="",B649="safety"),"",INDIRECT("template!"&amp;"I"&amp;A649))</f>
        <v>#REF!</v>
      </c>
      <c r="M649" t="e" cm="1">
        <f t="array" aca="1" ref="M649" ca="1">IF(OR(A649="",B649="safety"),"",INDIRECT("template!"&amp;"J"&amp;A649))</f>
        <v>#REF!</v>
      </c>
      <c r="N649" t="e" cm="1">
        <f t="array" aca="1" ref="N649" ca="1">IF(OR(A649="",B649="safety"),"",IF(ISBLANK(INDIRECT("template!"&amp;"K"&amp;A649)),"",INDIRECT("template!"&amp;"K"&amp;A649)))</f>
        <v>#REF!</v>
      </c>
      <c r="O649" t="e" cm="1">
        <f t="array" aca="1" ref="O649" ca="1">IF(OR(A649="",B649="safety"),"",INDIRECT("template!"&amp;"L"&amp;A649))</f>
        <v>#REF!</v>
      </c>
      <c r="P649" t="e" cm="1">
        <f t="array" aca="1" ref="P649" ca="1">IF(OR(A649="",B649="safety"),"",INDIRECT("template!"&amp;"M"&amp;A649))</f>
        <v>#REF!</v>
      </c>
      <c r="Q649" t="e">
        <f t="shared" ca="1" si="58"/>
        <v>#REF!</v>
      </c>
      <c r="R649" t="e">
        <f t="shared" ca="1" si="59"/>
        <v>#REF!</v>
      </c>
      <c r="S649" t="e">
        <f t="shared" ca="1" si="60"/>
        <v>#REF!</v>
      </c>
      <c r="T649" t="e">
        <f t="shared" ca="1" si="61"/>
        <v>#REF!</v>
      </c>
      <c r="U649" t="e" cm="1">
        <f t="array" aca="1" ref="U649" ca="1">IF(A649="","",IF(E649="","",IF(B649="safety",INDIRECT("template!"&amp;"P"&amp;A649),Q649+R649)))</f>
        <v>#REF!</v>
      </c>
      <c r="V649" t="e" cm="1">
        <f t="array" aca="1" ref="V649" ca="1">IF(A649="","",IF(E649="","",IF(B649="safety",INDIRECT("template!"&amp;"P"&amp;A649),S649+T649)))</f>
        <v>#REF!</v>
      </c>
      <c r="W649" t="e">
        <f ca="1">IF(A649="","",IF(E649="","",#REF!))</f>
        <v>#REF!</v>
      </c>
      <c r="X649" t="e">
        <f ca="1">IF(A649="","",IF(E649="","",#REF!))</f>
        <v>#REF!</v>
      </c>
      <c r="Y649" s="39" t="e">
        <f ca="1">IF(A649="","",IF(E649="","",#REF!))</f>
        <v>#REF!</v>
      </c>
      <c r="Z649" t="e">
        <f ca="1">IF(A649="","",IF(E649="","",#REF!))</f>
        <v>#REF!</v>
      </c>
      <c r="AA649" t="e">
        <f ca="1">IF(A649="","",IF(E649="","",#REF!))</f>
        <v>#REF!</v>
      </c>
      <c r="AB649" t="e">
        <f ca="1">IF(A649="","",IF(E649="","",#REF!))</f>
        <v>#REF!</v>
      </c>
      <c r="AC649" t="e">
        <f t="shared" ca="1" si="62"/>
        <v>#REF!</v>
      </c>
    </row>
    <row r="650" spans="1:29" x14ac:dyDescent="0.35">
      <c r="A650" t="e" cm="1">
        <f t="array" aca="1" ref="A650" ca="1">IF(A649="","",IF(OR(AND(A649+1&gt;=$AF$1,A649+1&lt;=$AF$2),AND(A649+1&gt;=$AF$6,A649+1&lt;=$AF$7),AND(A649+1&gt;=$AF$3,A649+1&lt;=$AF$4),AND(A649+1&gt;=$AF$8,A649+1&lt;=$AF$9),A649+1=$AF$5),IF(NOT(ISBLANK(INDIRECT("template!"&amp;"P"&amp;A649+1))),A649+1,IF(NOT(ISBLANK(INDIRECT("template!"&amp;"P"&amp;A649+2))),A649+2,A649+3)),IF(A649=$AF$2,$AF$3,IF(A649=$AF$4,$AF$5,IF(A649=$AF$5,$AF$6,IF(A649=$AF$7,$AF$8,""))))))</f>
        <v>#REF!</v>
      </c>
      <c r="B650" t="e">
        <f t="shared" ca="1" si="57"/>
        <v>#REF!</v>
      </c>
      <c r="C650" t="e" cm="1">
        <f t="array" aca="1" ref="C650" ca="1">IF(A650="","",IF(B650="safety","safety costs",INDIRECT("template!"&amp;"B"&amp;A650)))</f>
        <v>#REF!</v>
      </c>
      <c r="D650" t="e" cm="1">
        <f t="array" aca="1" ref="D650" ca="1">IF(OR(A650="",B650="safety"),"",INDIRECT("template!"&amp;"C"&amp;A650))</f>
        <v>#REF!</v>
      </c>
      <c r="E650" t="e" cm="1">
        <f t="array" aca="1" ref="E650" ca="1">IF(A650="","",IF(OR(A650=A649+1,A650=A649+2),E649,INDIRECT("template!"&amp;"D"&amp;A650-2)))</f>
        <v>#REF!</v>
      </c>
      <c r="F650" t="e" cm="1">
        <f t="array" aca="1" ref="F650" ca="1">IF(OR(A650="",B650="safety"),"",IF(ISBLANK(IF(A650=A649+1,F649,INDIRECT("template!"&amp;"D"&amp;A650-1))),"",IF(A650=A649+1,F649,INDIRECT("template!"&amp;"D"&amp;A650-1))))</f>
        <v>#REF!</v>
      </c>
      <c r="G650" t="e" cm="1">
        <f t="array" aca="1" ref="G650" ca="1">IF(OR(A650="",B650="safety"),"",IF(ISBLANK(INDIRECT("template!"&amp;"D"&amp;A650)),"",INDIRECT("template!"&amp;"D"&amp;A650)))</f>
        <v>#REF!</v>
      </c>
      <c r="H650" t="e" cm="1">
        <f t="array" aca="1" ref="H650" ca="1">IF(OR(A650="",B650="safety"),"",IF(ISBLANK(INDIRECT("template!"&amp;"E"&amp;A650)),"",INDIRECT("template!"&amp;"E"&amp;A650)))</f>
        <v>#REF!</v>
      </c>
      <c r="I650" t="e" cm="1">
        <f t="array" aca="1" ref="I650" ca="1">IF(OR(A650="",B650="safety"),"",IF(ISBLANK(INDIRECT("template!"&amp;"F"&amp;A650)),"",INDIRECT("template!"&amp;"F"&amp;A650)))</f>
        <v>#REF!</v>
      </c>
      <c r="J650" t="e" cm="1">
        <f t="array" aca="1" ref="J650" ca="1">IF(OR(A650="",B650="safety"),"",IF(ISBLANK(INDIRECT("template!"&amp;"G"&amp;A650)),"",INDIRECT("template!"&amp;"G"&amp;A650)))</f>
        <v>#REF!</v>
      </c>
      <c r="K650" t="e" cm="1">
        <f t="array" aca="1" ref="K650" ca="1">IF(OR(A650="",B650="safety"),"",IF(ISBLANK(INDIRECT("template!"&amp;"H"&amp;A650)),"",INDIRECT("template!"&amp;"H"&amp;A650)))</f>
        <v>#REF!</v>
      </c>
      <c r="L650" t="e" cm="1">
        <f t="array" aca="1" ref="L650" ca="1">IF(OR(A650="",B650="safety"),"",INDIRECT("template!"&amp;"I"&amp;A650))</f>
        <v>#REF!</v>
      </c>
      <c r="M650" t="e" cm="1">
        <f t="array" aca="1" ref="M650" ca="1">IF(OR(A650="",B650="safety"),"",INDIRECT("template!"&amp;"J"&amp;A650))</f>
        <v>#REF!</v>
      </c>
      <c r="N650" t="e" cm="1">
        <f t="array" aca="1" ref="N650" ca="1">IF(OR(A650="",B650="safety"),"",IF(ISBLANK(INDIRECT("template!"&amp;"K"&amp;A650)),"",INDIRECT("template!"&amp;"K"&amp;A650)))</f>
        <v>#REF!</v>
      </c>
      <c r="O650" t="e" cm="1">
        <f t="array" aca="1" ref="O650" ca="1">IF(OR(A650="",B650="safety"),"",INDIRECT("template!"&amp;"L"&amp;A650))</f>
        <v>#REF!</v>
      </c>
      <c r="P650" t="e" cm="1">
        <f t="array" aca="1" ref="P650" ca="1">IF(OR(A650="",B650="safety"),"",INDIRECT("template!"&amp;"M"&amp;A650))</f>
        <v>#REF!</v>
      </c>
      <c r="Q650" t="e">
        <f t="shared" ca="1" si="58"/>
        <v>#REF!</v>
      </c>
      <c r="R650" t="e">
        <f t="shared" ca="1" si="59"/>
        <v>#REF!</v>
      </c>
      <c r="S650" t="e">
        <f t="shared" ca="1" si="60"/>
        <v>#REF!</v>
      </c>
      <c r="T650" t="e">
        <f t="shared" ca="1" si="61"/>
        <v>#REF!</v>
      </c>
      <c r="U650" t="e" cm="1">
        <f t="array" aca="1" ref="U650" ca="1">IF(A650="","",IF(E650="","",IF(B650="safety",INDIRECT("template!"&amp;"P"&amp;A650),Q650+R650)))</f>
        <v>#REF!</v>
      </c>
      <c r="V650" t="e" cm="1">
        <f t="array" aca="1" ref="V650" ca="1">IF(A650="","",IF(E650="","",IF(B650="safety",INDIRECT("template!"&amp;"P"&amp;A650),S650+T650)))</f>
        <v>#REF!</v>
      </c>
      <c r="W650" t="e">
        <f ca="1">IF(A650="","",IF(E650="","",#REF!))</f>
        <v>#REF!</v>
      </c>
      <c r="X650" t="e">
        <f ca="1">IF(A650="","",IF(E650="","",#REF!))</f>
        <v>#REF!</v>
      </c>
      <c r="Y650" s="39" t="e">
        <f ca="1">IF(A650="","",IF(E650="","",#REF!))</f>
        <v>#REF!</v>
      </c>
      <c r="Z650" t="e">
        <f ca="1">IF(A650="","",IF(E650="","",#REF!))</f>
        <v>#REF!</v>
      </c>
      <c r="AA650" t="e">
        <f ca="1">IF(A650="","",IF(E650="","",#REF!))</f>
        <v>#REF!</v>
      </c>
      <c r="AB650" t="e">
        <f ca="1">IF(A650="","",IF(E650="","",#REF!))</f>
        <v>#REF!</v>
      </c>
      <c r="AC650" t="e">
        <f t="shared" ca="1" si="62"/>
        <v>#REF!</v>
      </c>
    </row>
    <row r="651" spans="1:29" x14ac:dyDescent="0.35">
      <c r="A651" t="e" cm="1">
        <f t="array" aca="1" ref="A651" ca="1">IF(A650="","",IF(OR(AND(A650+1&gt;=$AF$1,A650+1&lt;=$AF$2),AND(A650+1&gt;=$AF$6,A650+1&lt;=$AF$7),AND(A650+1&gt;=$AF$3,A650+1&lt;=$AF$4),AND(A650+1&gt;=$AF$8,A650+1&lt;=$AF$9),A650+1=$AF$5),IF(NOT(ISBLANK(INDIRECT("template!"&amp;"P"&amp;A650+1))),A650+1,IF(NOT(ISBLANK(INDIRECT("template!"&amp;"P"&amp;A650+2))),A650+2,A650+3)),IF(A650=$AF$2,$AF$3,IF(A650=$AF$4,$AF$5,IF(A650=$AF$5,$AF$6,IF(A650=$AF$7,$AF$8,""))))))</f>
        <v>#REF!</v>
      </c>
      <c r="B651" t="e">
        <f t="shared" ca="1" si="57"/>
        <v>#REF!</v>
      </c>
      <c r="C651" t="e" cm="1">
        <f t="array" aca="1" ref="C651" ca="1">IF(A651="","",IF(B651="safety","safety costs",INDIRECT("template!"&amp;"B"&amp;A651)))</f>
        <v>#REF!</v>
      </c>
      <c r="D651" t="e" cm="1">
        <f t="array" aca="1" ref="D651" ca="1">IF(OR(A651="",B651="safety"),"",INDIRECT("template!"&amp;"C"&amp;A651))</f>
        <v>#REF!</v>
      </c>
      <c r="E651" t="e" cm="1">
        <f t="array" aca="1" ref="E651" ca="1">IF(A651="","",IF(OR(A651=A650+1,A651=A650+2),E650,INDIRECT("template!"&amp;"D"&amp;A651-2)))</f>
        <v>#REF!</v>
      </c>
      <c r="F651" t="e" cm="1">
        <f t="array" aca="1" ref="F651" ca="1">IF(OR(A651="",B651="safety"),"",IF(ISBLANK(IF(A651=A650+1,F650,INDIRECT("template!"&amp;"D"&amp;A651-1))),"",IF(A651=A650+1,F650,INDIRECT("template!"&amp;"D"&amp;A651-1))))</f>
        <v>#REF!</v>
      </c>
      <c r="G651" t="e" cm="1">
        <f t="array" aca="1" ref="G651" ca="1">IF(OR(A651="",B651="safety"),"",IF(ISBLANK(INDIRECT("template!"&amp;"D"&amp;A651)),"",INDIRECT("template!"&amp;"D"&amp;A651)))</f>
        <v>#REF!</v>
      </c>
      <c r="H651" t="e" cm="1">
        <f t="array" aca="1" ref="H651" ca="1">IF(OR(A651="",B651="safety"),"",IF(ISBLANK(INDIRECT("template!"&amp;"E"&amp;A651)),"",INDIRECT("template!"&amp;"E"&amp;A651)))</f>
        <v>#REF!</v>
      </c>
      <c r="I651" t="e" cm="1">
        <f t="array" aca="1" ref="I651" ca="1">IF(OR(A651="",B651="safety"),"",IF(ISBLANK(INDIRECT("template!"&amp;"F"&amp;A651)),"",INDIRECT("template!"&amp;"F"&amp;A651)))</f>
        <v>#REF!</v>
      </c>
      <c r="J651" t="e" cm="1">
        <f t="array" aca="1" ref="J651" ca="1">IF(OR(A651="",B651="safety"),"",IF(ISBLANK(INDIRECT("template!"&amp;"G"&amp;A651)),"",INDIRECT("template!"&amp;"G"&amp;A651)))</f>
        <v>#REF!</v>
      </c>
      <c r="K651" t="e" cm="1">
        <f t="array" aca="1" ref="K651" ca="1">IF(OR(A651="",B651="safety"),"",IF(ISBLANK(INDIRECT("template!"&amp;"H"&amp;A651)),"",INDIRECT("template!"&amp;"H"&amp;A651)))</f>
        <v>#REF!</v>
      </c>
      <c r="L651" t="e" cm="1">
        <f t="array" aca="1" ref="L651" ca="1">IF(OR(A651="",B651="safety"),"",INDIRECT("template!"&amp;"I"&amp;A651))</f>
        <v>#REF!</v>
      </c>
      <c r="M651" t="e" cm="1">
        <f t="array" aca="1" ref="M651" ca="1">IF(OR(A651="",B651="safety"),"",INDIRECT("template!"&amp;"J"&amp;A651))</f>
        <v>#REF!</v>
      </c>
      <c r="N651" t="e" cm="1">
        <f t="array" aca="1" ref="N651" ca="1">IF(OR(A651="",B651="safety"),"",IF(ISBLANK(INDIRECT("template!"&amp;"K"&amp;A651)),"",INDIRECT("template!"&amp;"K"&amp;A651)))</f>
        <v>#REF!</v>
      </c>
      <c r="O651" t="e" cm="1">
        <f t="array" aca="1" ref="O651" ca="1">IF(OR(A651="",B651="safety"),"",INDIRECT("template!"&amp;"L"&amp;A651))</f>
        <v>#REF!</v>
      </c>
      <c r="P651" t="e" cm="1">
        <f t="array" aca="1" ref="P651" ca="1">IF(OR(A651="",B651="safety"),"",INDIRECT("template!"&amp;"M"&amp;A651))</f>
        <v>#REF!</v>
      </c>
      <c r="Q651" t="e">
        <f t="shared" ca="1" si="58"/>
        <v>#REF!</v>
      </c>
      <c r="R651" t="e">
        <f t="shared" ca="1" si="59"/>
        <v>#REF!</v>
      </c>
      <c r="S651" t="e">
        <f t="shared" ca="1" si="60"/>
        <v>#REF!</v>
      </c>
      <c r="T651" t="e">
        <f t="shared" ca="1" si="61"/>
        <v>#REF!</v>
      </c>
      <c r="U651" t="e" cm="1">
        <f t="array" aca="1" ref="U651" ca="1">IF(A651="","",IF(E651="","",IF(B651="safety",INDIRECT("template!"&amp;"P"&amp;A651),Q651+R651)))</f>
        <v>#REF!</v>
      </c>
      <c r="V651" t="e" cm="1">
        <f t="array" aca="1" ref="V651" ca="1">IF(A651="","",IF(E651="","",IF(B651="safety",INDIRECT("template!"&amp;"P"&amp;A651),S651+T651)))</f>
        <v>#REF!</v>
      </c>
      <c r="W651" t="e">
        <f ca="1">IF(A651="","",IF(E651="","",#REF!))</f>
        <v>#REF!</v>
      </c>
      <c r="X651" t="e">
        <f ca="1">IF(A651="","",IF(E651="","",#REF!))</f>
        <v>#REF!</v>
      </c>
      <c r="Y651" s="39" t="e">
        <f ca="1">IF(A651="","",IF(E651="","",#REF!))</f>
        <v>#REF!</v>
      </c>
      <c r="Z651" t="e">
        <f ca="1">IF(A651="","",IF(E651="","",#REF!))</f>
        <v>#REF!</v>
      </c>
      <c r="AA651" t="e">
        <f ca="1">IF(A651="","",IF(E651="","",#REF!))</f>
        <v>#REF!</v>
      </c>
      <c r="AB651" t="e">
        <f ca="1">IF(A651="","",IF(E651="","",#REF!))</f>
        <v>#REF!</v>
      </c>
      <c r="AC651" t="e">
        <f t="shared" ca="1" si="62"/>
        <v>#REF!</v>
      </c>
    </row>
    <row r="652" spans="1:29" x14ac:dyDescent="0.35">
      <c r="A652" t="e" cm="1">
        <f t="array" aca="1" ref="A652" ca="1">IF(A651="","",IF(OR(AND(A651+1&gt;=$AF$1,A651+1&lt;=$AF$2),AND(A651+1&gt;=$AF$6,A651+1&lt;=$AF$7),AND(A651+1&gt;=$AF$3,A651+1&lt;=$AF$4),AND(A651+1&gt;=$AF$8,A651+1&lt;=$AF$9),A651+1=$AF$5),IF(NOT(ISBLANK(INDIRECT("template!"&amp;"P"&amp;A651+1))),A651+1,IF(NOT(ISBLANK(INDIRECT("template!"&amp;"P"&amp;A651+2))),A651+2,A651+3)),IF(A651=$AF$2,$AF$3,IF(A651=$AF$4,$AF$5,IF(A651=$AF$5,$AF$6,IF(A651=$AF$7,$AF$8,""))))))</f>
        <v>#REF!</v>
      </c>
      <c r="B652" t="e">
        <f t="shared" ca="1" si="57"/>
        <v>#REF!</v>
      </c>
      <c r="C652" t="e" cm="1">
        <f t="array" aca="1" ref="C652" ca="1">IF(A652="","",IF(B652="safety","safety costs",INDIRECT("template!"&amp;"B"&amp;A652)))</f>
        <v>#REF!</v>
      </c>
      <c r="D652" t="e" cm="1">
        <f t="array" aca="1" ref="D652" ca="1">IF(OR(A652="",B652="safety"),"",INDIRECT("template!"&amp;"C"&amp;A652))</f>
        <v>#REF!</v>
      </c>
      <c r="E652" t="e" cm="1">
        <f t="array" aca="1" ref="E652" ca="1">IF(A652="","",IF(OR(A652=A651+1,A652=A651+2),E651,INDIRECT("template!"&amp;"D"&amp;A652-2)))</f>
        <v>#REF!</v>
      </c>
      <c r="F652" t="e" cm="1">
        <f t="array" aca="1" ref="F652" ca="1">IF(OR(A652="",B652="safety"),"",IF(ISBLANK(IF(A652=A651+1,F651,INDIRECT("template!"&amp;"D"&amp;A652-1))),"",IF(A652=A651+1,F651,INDIRECT("template!"&amp;"D"&amp;A652-1))))</f>
        <v>#REF!</v>
      </c>
      <c r="G652" t="e" cm="1">
        <f t="array" aca="1" ref="G652" ca="1">IF(OR(A652="",B652="safety"),"",IF(ISBLANK(INDIRECT("template!"&amp;"D"&amp;A652)),"",INDIRECT("template!"&amp;"D"&amp;A652)))</f>
        <v>#REF!</v>
      </c>
      <c r="H652" t="e" cm="1">
        <f t="array" aca="1" ref="H652" ca="1">IF(OR(A652="",B652="safety"),"",IF(ISBLANK(INDIRECT("template!"&amp;"E"&amp;A652)),"",INDIRECT("template!"&amp;"E"&amp;A652)))</f>
        <v>#REF!</v>
      </c>
      <c r="I652" t="e" cm="1">
        <f t="array" aca="1" ref="I652" ca="1">IF(OR(A652="",B652="safety"),"",IF(ISBLANK(INDIRECT("template!"&amp;"F"&amp;A652)),"",INDIRECT("template!"&amp;"F"&amp;A652)))</f>
        <v>#REF!</v>
      </c>
      <c r="J652" t="e" cm="1">
        <f t="array" aca="1" ref="J652" ca="1">IF(OR(A652="",B652="safety"),"",IF(ISBLANK(INDIRECT("template!"&amp;"G"&amp;A652)),"",INDIRECT("template!"&amp;"G"&amp;A652)))</f>
        <v>#REF!</v>
      </c>
      <c r="K652" t="e" cm="1">
        <f t="array" aca="1" ref="K652" ca="1">IF(OR(A652="",B652="safety"),"",IF(ISBLANK(INDIRECT("template!"&amp;"H"&amp;A652)),"",INDIRECT("template!"&amp;"H"&amp;A652)))</f>
        <v>#REF!</v>
      </c>
      <c r="L652" t="e" cm="1">
        <f t="array" aca="1" ref="L652" ca="1">IF(OR(A652="",B652="safety"),"",INDIRECT("template!"&amp;"I"&amp;A652))</f>
        <v>#REF!</v>
      </c>
      <c r="M652" t="e" cm="1">
        <f t="array" aca="1" ref="M652" ca="1">IF(OR(A652="",B652="safety"),"",INDIRECT("template!"&amp;"J"&amp;A652))</f>
        <v>#REF!</v>
      </c>
      <c r="N652" t="e" cm="1">
        <f t="array" aca="1" ref="N652" ca="1">IF(OR(A652="",B652="safety"),"",IF(ISBLANK(INDIRECT("template!"&amp;"K"&amp;A652)),"",INDIRECT("template!"&amp;"K"&amp;A652)))</f>
        <v>#REF!</v>
      </c>
      <c r="O652" t="e" cm="1">
        <f t="array" aca="1" ref="O652" ca="1">IF(OR(A652="",B652="safety"),"",INDIRECT("template!"&amp;"L"&amp;A652))</f>
        <v>#REF!</v>
      </c>
      <c r="P652" t="e" cm="1">
        <f t="array" aca="1" ref="P652" ca="1">IF(OR(A652="",B652="safety"),"",INDIRECT("template!"&amp;"M"&amp;A652))</f>
        <v>#REF!</v>
      </c>
      <c r="Q652" t="e">
        <f t="shared" ca="1" si="58"/>
        <v>#REF!</v>
      </c>
      <c r="R652" t="e">
        <f t="shared" ca="1" si="59"/>
        <v>#REF!</v>
      </c>
      <c r="S652" t="e">
        <f t="shared" ca="1" si="60"/>
        <v>#REF!</v>
      </c>
      <c r="T652" t="e">
        <f t="shared" ca="1" si="61"/>
        <v>#REF!</v>
      </c>
      <c r="U652" t="e" cm="1">
        <f t="array" aca="1" ref="U652" ca="1">IF(A652="","",IF(E652="","",IF(B652="safety",INDIRECT("template!"&amp;"P"&amp;A652),Q652+R652)))</f>
        <v>#REF!</v>
      </c>
      <c r="V652" t="e" cm="1">
        <f t="array" aca="1" ref="V652" ca="1">IF(A652="","",IF(E652="","",IF(B652="safety",INDIRECT("template!"&amp;"P"&amp;A652),S652+T652)))</f>
        <v>#REF!</v>
      </c>
      <c r="W652" t="e">
        <f ca="1">IF(A652="","",IF(E652="","",#REF!))</f>
        <v>#REF!</v>
      </c>
      <c r="X652" t="e">
        <f ca="1">IF(A652="","",IF(E652="","",#REF!))</f>
        <v>#REF!</v>
      </c>
      <c r="Y652" s="39" t="e">
        <f ca="1">IF(A652="","",IF(E652="","",#REF!))</f>
        <v>#REF!</v>
      </c>
      <c r="Z652" t="e">
        <f ca="1">IF(A652="","",IF(E652="","",#REF!))</f>
        <v>#REF!</v>
      </c>
      <c r="AA652" t="e">
        <f ca="1">IF(A652="","",IF(E652="","",#REF!))</f>
        <v>#REF!</v>
      </c>
      <c r="AB652" t="e">
        <f ca="1">IF(A652="","",IF(E652="","",#REF!))</f>
        <v>#REF!</v>
      </c>
      <c r="AC652" t="e">
        <f t="shared" ca="1" si="62"/>
        <v>#REF!</v>
      </c>
    </row>
    <row r="653" spans="1:29" x14ac:dyDescent="0.35">
      <c r="A653" t="e" cm="1">
        <f t="array" aca="1" ref="A653" ca="1">IF(A652="","",IF(OR(AND(A652+1&gt;=$AF$1,A652+1&lt;=$AF$2),AND(A652+1&gt;=$AF$6,A652+1&lt;=$AF$7),AND(A652+1&gt;=$AF$3,A652+1&lt;=$AF$4),AND(A652+1&gt;=$AF$8,A652+1&lt;=$AF$9),A652+1=$AF$5),IF(NOT(ISBLANK(INDIRECT("template!"&amp;"P"&amp;A652+1))),A652+1,IF(NOT(ISBLANK(INDIRECT("template!"&amp;"P"&amp;A652+2))),A652+2,A652+3)),IF(A652=$AF$2,$AF$3,IF(A652=$AF$4,$AF$5,IF(A652=$AF$5,$AF$6,IF(A652=$AF$7,$AF$8,""))))))</f>
        <v>#REF!</v>
      </c>
      <c r="B653" t="e">
        <f t="shared" ca="1" si="57"/>
        <v>#REF!</v>
      </c>
      <c r="C653" t="e" cm="1">
        <f t="array" aca="1" ref="C653" ca="1">IF(A653="","",IF(B653="safety","safety costs",INDIRECT("template!"&amp;"B"&amp;A653)))</f>
        <v>#REF!</v>
      </c>
      <c r="D653" t="e" cm="1">
        <f t="array" aca="1" ref="D653" ca="1">IF(OR(A653="",B653="safety"),"",INDIRECT("template!"&amp;"C"&amp;A653))</f>
        <v>#REF!</v>
      </c>
      <c r="E653" t="e" cm="1">
        <f t="array" aca="1" ref="E653" ca="1">IF(A653="","",IF(OR(A653=A652+1,A653=A652+2),E652,INDIRECT("template!"&amp;"D"&amp;A653-2)))</f>
        <v>#REF!</v>
      </c>
      <c r="F653" t="e" cm="1">
        <f t="array" aca="1" ref="F653" ca="1">IF(OR(A653="",B653="safety"),"",IF(ISBLANK(IF(A653=A652+1,F652,INDIRECT("template!"&amp;"D"&amp;A653-1))),"",IF(A653=A652+1,F652,INDIRECT("template!"&amp;"D"&amp;A653-1))))</f>
        <v>#REF!</v>
      </c>
      <c r="G653" t="e" cm="1">
        <f t="array" aca="1" ref="G653" ca="1">IF(OR(A653="",B653="safety"),"",IF(ISBLANK(INDIRECT("template!"&amp;"D"&amp;A653)),"",INDIRECT("template!"&amp;"D"&amp;A653)))</f>
        <v>#REF!</v>
      </c>
      <c r="H653" t="e" cm="1">
        <f t="array" aca="1" ref="H653" ca="1">IF(OR(A653="",B653="safety"),"",IF(ISBLANK(INDIRECT("template!"&amp;"E"&amp;A653)),"",INDIRECT("template!"&amp;"E"&amp;A653)))</f>
        <v>#REF!</v>
      </c>
      <c r="I653" t="e" cm="1">
        <f t="array" aca="1" ref="I653" ca="1">IF(OR(A653="",B653="safety"),"",IF(ISBLANK(INDIRECT("template!"&amp;"F"&amp;A653)),"",INDIRECT("template!"&amp;"F"&amp;A653)))</f>
        <v>#REF!</v>
      </c>
      <c r="J653" t="e" cm="1">
        <f t="array" aca="1" ref="J653" ca="1">IF(OR(A653="",B653="safety"),"",IF(ISBLANK(INDIRECT("template!"&amp;"G"&amp;A653)),"",INDIRECT("template!"&amp;"G"&amp;A653)))</f>
        <v>#REF!</v>
      </c>
      <c r="K653" t="e" cm="1">
        <f t="array" aca="1" ref="K653" ca="1">IF(OR(A653="",B653="safety"),"",IF(ISBLANK(INDIRECT("template!"&amp;"H"&amp;A653)),"",INDIRECT("template!"&amp;"H"&amp;A653)))</f>
        <v>#REF!</v>
      </c>
      <c r="L653" t="e" cm="1">
        <f t="array" aca="1" ref="L653" ca="1">IF(OR(A653="",B653="safety"),"",INDIRECT("template!"&amp;"I"&amp;A653))</f>
        <v>#REF!</v>
      </c>
      <c r="M653" t="e" cm="1">
        <f t="array" aca="1" ref="M653" ca="1">IF(OR(A653="",B653="safety"),"",INDIRECT("template!"&amp;"J"&amp;A653))</f>
        <v>#REF!</v>
      </c>
      <c r="N653" t="e" cm="1">
        <f t="array" aca="1" ref="N653" ca="1">IF(OR(A653="",B653="safety"),"",IF(ISBLANK(INDIRECT("template!"&amp;"K"&amp;A653)),"",INDIRECT("template!"&amp;"K"&amp;A653)))</f>
        <v>#REF!</v>
      </c>
      <c r="O653" t="e" cm="1">
        <f t="array" aca="1" ref="O653" ca="1">IF(OR(A653="",B653="safety"),"",INDIRECT("template!"&amp;"L"&amp;A653))</f>
        <v>#REF!</v>
      </c>
      <c r="P653" t="e" cm="1">
        <f t="array" aca="1" ref="P653" ca="1">IF(OR(A653="",B653="safety"),"",INDIRECT("template!"&amp;"M"&amp;A653))</f>
        <v>#REF!</v>
      </c>
      <c r="Q653" t="e">
        <f t="shared" ca="1" si="58"/>
        <v>#REF!</v>
      </c>
      <c r="R653" t="e">
        <f t="shared" ca="1" si="59"/>
        <v>#REF!</v>
      </c>
      <c r="S653" t="e">
        <f t="shared" ca="1" si="60"/>
        <v>#REF!</v>
      </c>
      <c r="T653" t="e">
        <f t="shared" ca="1" si="61"/>
        <v>#REF!</v>
      </c>
      <c r="U653" t="e" cm="1">
        <f t="array" aca="1" ref="U653" ca="1">IF(A653="","",IF(E653="","",IF(B653="safety",INDIRECT("template!"&amp;"P"&amp;A653),Q653+R653)))</f>
        <v>#REF!</v>
      </c>
      <c r="V653" t="e" cm="1">
        <f t="array" aca="1" ref="V653" ca="1">IF(A653="","",IF(E653="","",IF(B653="safety",INDIRECT("template!"&amp;"P"&amp;A653),S653+T653)))</f>
        <v>#REF!</v>
      </c>
      <c r="W653" t="e">
        <f ca="1">IF(A653="","",IF(E653="","",#REF!))</f>
        <v>#REF!</v>
      </c>
      <c r="X653" t="e">
        <f ca="1">IF(A653="","",IF(E653="","",#REF!))</f>
        <v>#REF!</v>
      </c>
      <c r="Y653" s="39" t="e">
        <f ca="1">IF(A653="","",IF(E653="","",#REF!))</f>
        <v>#REF!</v>
      </c>
      <c r="Z653" t="e">
        <f ca="1">IF(A653="","",IF(E653="","",#REF!))</f>
        <v>#REF!</v>
      </c>
      <c r="AA653" t="e">
        <f ca="1">IF(A653="","",IF(E653="","",#REF!))</f>
        <v>#REF!</v>
      </c>
      <c r="AB653" t="e">
        <f ca="1">IF(A653="","",IF(E653="","",#REF!))</f>
        <v>#REF!</v>
      </c>
      <c r="AC653" t="e">
        <f t="shared" ca="1" si="62"/>
        <v>#REF!</v>
      </c>
    </row>
    <row r="654" spans="1:29" x14ac:dyDescent="0.35">
      <c r="A654" t="e" cm="1">
        <f t="array" aca="1" ref="A654" ca="1">IF(A653="","",IF(OR(AND(A653+1&gt;=$AF$1,A653+1&lt;=$AF$2),AND(A653+1&gt;=$AF$6,A653+1&lt;=$AF$7),AND(A653+1&gt;=$AF$3,A653+1&lt;=$AF$4),AND(A653+1&gt;=$AF$8,A653+1&lt;=$AF$9),A653+1=$AF$5),IF(NOT(ISBLANK(INDIRECT("template!"&amp;"P"&amp;A653+1))),A653+1,IF(NOT(ISBLANK(INDIRECT("template!"&amp;"P"&amp;A653+2))),A653+2,A653+3)),IF(A653=$AF$2,$AF$3,IF(A653=$AF$4,$AF$5,IF(A653=$AF$5,$AF$6,IF(A653=$AF$7,$AF$8,""))))))</f>
        <v>#REF!</v>
      </c>
      <c r="B654" t="e">
        <f t="shared" ca="1" si="57"/>
        <v>#REF!</v>
      </c>
      <c r="C654" t="e" cm="1">
        <f t="array" aca="1" ref="C654" ca="1">IF(A654="","",IF(B654="safety","safety costs",INDIRECT("template!"&amp;"B"&amp;A654)))</f>
        <v>#REF!</v>
      </c>
      <c r="D654" t="e" cm="1">
        <f t="array" aca="1" ref="D654" ca="1">IF(OR(A654="",B654="safety"),"",INDIRECT("template!"&amp;"C"&amp;A654))</f>
        <v>#REF!</v>
      </c>
      <c r="E654" t="e" cm="1">
        <f t="array" aca="1" ref="E654" ca="1">IF(A654="","",IF(OR(A654=A653+1,A654=A653+2),E653,INDIRECT("template!"&amp;"D"&amp;A654-2)))</f>
        <v>#REF!</v>
      </c>
      <c r="F654" t="e" cm="1">
        <f t="array" aca="1" ref="F654" ca="1">IF(OR(A654="",B654="safety"),"",IF(ISBLANK(IF(A654=A653+1,F653,INDIRECT("template!"&amp;"D"&amp;A654-1))),"",IF(A654=A653+1,F653,INDIRECT("template!"&amp;"D"&amp;A654-1))))</f>
        <v>#REF!</v>
      </c>
      <c r="G654" t="e" cm="1">
        <f t="array" aca="1" ref="G654" ca="1">IF(OR(A654="",B654="safety"),"",IF(ISBLANK(INDIRECT("template!"&amp;"D"&amp;A654)),"",INDIRECT("template!"&amp;"D"&amp;A654)))</f>
        <v>#REF!</v>
      </c>
      <c r="H654" t="e" cm="1">
        <f t="array" aca="1" ref="H654" ca="1">IF(OR(A654="",B654="safety"),"",IF(ISBLANK(INDIRECT("template!"&amp;"E"&amp;A654)),"",INDIRECT("template!"&amp;"E"&amp;A654)))</f>
        <v>#REF!</v>
      </c>
      <c r="I654" t="e" cm="1">
        <f t="array" aca="1" ref="I654" ca="1">IF(OR(A654="",B654="safety"),"",IF(ISBLANK(INDIRECT("template!"&amp;"F"&amp;A654)),"",INDIRECT("template!"&amp;"F"&amp;A654)))</f>
        <v>#REF!</v>
      </c>
      <c r="J654" t="e" cm="1">
        <f t="array" aca="1" ref="J654" ca="1">IF(OR(A654="",B654="safety"),"",IF(ISBLANK(INDIRECT("template!"&amp;"G"&amp;A654)),"",INDIRECT("template!"&amp;"G"&amp;A654)))</f>
        <v>#REF!</v>
      </c>
      <c r="K654" t="e" cm="1">
        <f t="array" aca="1" ref="K654" ca="1">IF(OR(A654="",B654="safety"),"",IF(ISBLANK(INDIRECT("template!"&amp;"H"&amp;A654)),"",INDIRECT("template!"&amp;"H"&amp;A654)))</f>
        <v>#REF!</v>
      </c>
      <c r="L654" t="e" cm="1">
        <f t="array" aca="1" ref="L654" ca="1">IF(OR(A654="",B654="safety"),"",INDIRECT("template!"&amp;"I"&amp;A654))</f>
        <v>#REF!</v>
      </c>
      <c r="M654" t="e" cm="1">
        <f t="array" aca="1" ref="M654" ca="1">IF(OR(A654="",B654="safety"),"",INDIRECT("template!"&amp;"J"&amp;A654))</f>
        <v>#REF!</v>
      </c>
      <c r="N654" t="e" cm="1">
        <f t="array" aca="1" ref="N654" ca="1">IF(OR(A654="",B654="safety"),"",IF(ISBLANK(INDIRECT("template!"&amp;"K"&amp;A654)),"",INDIRECT("template!"&amp;"K"&amp;A654)))</f>
        <v>#REF!</v>
      </c>
      <c r="O654" t="e" cm="1">
        <f t="array" aca="1" ref="O654" ca="1">IF(OR(A654="",B654="safety"),"",INDIRECT("template!"&amp;"L"&amp;A654))</f>
        <v>#REF!</v>
      </c>
      <c r="P654" t="e" cm="1">
        <f t="array" aca="1" ref="P654" ca="1">IF(OR(A654="",B654="safety"),"",INDIRECT("template!"&amp;"M"&amp;A654))</f>
        <v>#REF!</v>
      </c>
      <c r="Q654" t="e">
        <f t="shared" ca="1" si="58"/>
        <v>#REF!</v>
      </c>
      <c r="R654" t="e">
        <f t="shared" ca="1" si="59"/>
        <v>#REF!</v>
      </c>
      <c r="S654" t="e">
        <f t="shared" ca="1" si="60"/>
        <v>#REF!</v>
      </c>
      <c r="T654" t="e">
        <f t="shared" ca="1" si="61"/>
        <v>#REF!</v>
      </c>
      <c r="U654" t="e" cm="1">
        <f t="array" aca="1" ref="U654" ca="1">IF(A654="","",IF(E654="","",IF(B654="safety",INDIRECT("template!"&amp;"P"&amp;A654),Q654+R654)))</f>
        <v>#REF!</v>
      </c>
      <c r="V654" t="e" cm="1">
        <f t="array" aca="1" ref="V654" ca="1">IF(A654="","",IF(E654="","",IF(B654="safety",INDIRECT("template!"&amp;"P"&amp;A654),S654+T654)))</f>
        <v>#REF!</v>
      </c>
      <c r="W654" t="e">
        <f ca="1">IF(A654="","",IF(E654="","",#REF!))</f>
        <v>#REF!</v>
      </c>
      <c r="X654" t="e">
        <f ca="1">IF(A654="","",IF(E654="","",#REF!))</f>
        <v>#REF!</v>
      </c>
      <c r="Y654" s="39" t="e">
        <f ca="1">IF(A654="","",IF(E654="","",#REF!))</f>
        <v>#REF!</v>
      </c>
      <c r="Z654" t="e">
        <f ca="1">IF(A654="","",IF(E654="","",#REF!))</f>
        <v>#REF!</v>
      </c>
      <c r="AA654" t="e">
        <f ca="1">IF(A654="","",IF(E654="","",#REF!))</f>
        <v>#REF!</v>
      </c>
      <c r="AB654" t="e">
        <f ca="1">IF(A654="","",IF(E654="","",#REF!))</f>
        <v>#REF!</v>
      </c>
      <c r="AC654" t="e">
        <f t="shared" ca="1" si="62"/>
        <v>#REF!</v>
      </c>
    </row>
    <row r="655" spans="1:29" x14ac:dyDescent="0.35">
      <c r="A655" t="e" cm="1">
        <f t="array" aca="1" ref="A655" ca="1">IF(A654="","",IF(OR(AND(A654+1&gt;=$AF$1,A654+1&lt;=$AF$2),AND(A654+1&gt;=$AF$6,A654+1&lt;=$AF$7),AND(A654+1&gt;=$AF$3,A654+1&lt;=$AF$4),AND(A654+1&gt;=$AF$8,A654+1&lt;=$AF$9),A654+1=$AF$5),IF(NOT(ISBLANK(INDIRECT("template!"&amp;"P"&amp;A654+1))),A654+1,IF(NOT(ISBLANK(INDIRECT("template!"&amp;"P"&amp;A654+2))),A654+2,A654+3)),IF(A654=$AF$2,$AF$3,IF(A654=$AF$4,$AF$5,IF(A654=$AF$5,$AF$6,IF(A654=$AF$7,$AF$8,""))))))</f>
        <v>#REF!</v>
      </c>
      <c r="B655" t="e">
        <f t="shared" ca="1" si="57"/>
        <v>#REF!</v>
      </c>
      <c r="C655" t="e" cm="1">
        <f t="array" aca="1" ref="C655" ca="1">IF(A655="","",IF(B655="safety","safety costs",INDIRECT("template!"&amp;"B"&amp;A655)))</f>
        <v>#REF!</v>
      </c>
      <c r="D655" t="e" cm="1">
        <f t="array" aca="1" ref="D655" ca="1">IF(OR(A655="",B655="safety"),"",INDIRECT("template!"&amp;"C"&amp;A655))</f>
        <v>#REF!</v>
      </c>
      <c r="E655" t="e" cm="1">
        <f t="array" aca="1" ref="E655" ca="1">IF(A655="","",IF(OR(A655=A654+1,A655=A654+2),E654,INDIRECT("template!"&amp;"D"&amp;A655-2)))</f>
        <v>#REF!</v>
      </c>
      <c r="F655" t="e" cm="1">
        <f t="array" aca="1" ref="F655" ca="1">IF(OR(A655="",B655="safety"),"",IF(ISBLANK(IF(A655=A654+1,F654,INDIRECT("template!"&amp;"D"&amp;A655-1))),"",IF(A655=A654+1,F654,INDIRECT("template!"&amp;"D"&amp;A655-1))))</f>
        <v>#REF!</v>
      </c>
      <c r="G655" t="e" cm="1">
        <f t="array" aca="1" ref="G655" ca="1">IF(OR(A655="",B655="safety"),"",IF(ISBLANK(INDIRECT("template!"&amp;"D"&amp;A655)),"",INDIRECT("template!"&amp;"D"&amp;A655)))</f>
        <v>#REF!</v>
      </c>
      <c r="H655" t="e" cm="1">
        <f t="array" aca="1" ref="H655" ca="1">IF(OR(A655="",B655="safety"),"",IF(ISBLANK(INDIRECT("template!"&amp;"E"&amp;A655)),"",INDIRECT("template!"&amp;"E"&amp;A655)))</f>
        <v>#REF!</v>
      </c>
      <c r="I655" t="e" cm="1">
        <f t="array" aca="1" ref="I655" ca="1">IF(OR(A655="",B655="safety"),"",IF(ISBLANK(INDIRECT("template!"&amp;"F"&amp;A655)),"",INDIRECT("template!"&amp;"F"&amp;A655)))</f>
        <v>#REF!</v>
      </c>
      <c r="J655" t="e" cm="1">
        <f t="array" aca="1" ref="J655" ca="1">IF(OR(A655="",B655="safety"),"",IF(ISBLANK(INDIRECT("template!"&amp;"G"&amp;A655)),"",INDIRECT("template!"&amp;"G"&amp;A655)))</f>
        <v>#REF!</v>
      </c>
      <c r="K655" t="e" cm="1">
        <f t="array" aca="1" ref="K655" ca="1">IF(OR(A655="",B655="safety"),"",IF(ISBLANK(INDIRECT("template!"&amp;"H"&amp;A655)),"",INDIRECT("template!"&amp;"H"&amp;A655)))</f>
        <v>#REF!</v>
      </c>
      <c r="L655" t="e" cm="1">
        <f t="array" aca="1" ref="L655" ca="1">IF(OR(A655="",B655="safety"),"",INDIRECT("template!"&amp;"I"&amp;A655))</f>
        <v>#REF!</v>
      </c>
      <c r="M655" t="e" cm="1">
        <f t="array" aca="1" ref="M655" ca="1">IF(OR(A655="",B655="safety"),"",INDIRECT("template!"&amp;"J"&amp;A655))</f>
        <v>#REF!</v>
      </c>
      <c r="N655" t="e" cm="1">
        <f t="array" aca="1" ref="N655" ca="1">IF(OR(A655="",B655="safety"),"",IF(ISBLANK(INDIRECT("template!"&amp;"K"&amp;A655)),"",INDIRECT("template!"&amp;"K"&amp;A655)))</f>
        <v>#REF!</v>
      </c>
      <c r="O655" t="e" cm="1">
        <f t="array" aca="1" ref="O655" ca="1">IF(OR(A655="",B655="safety"),"",INDIRECT("template!"&amp;"L"&amp;A655))</f>
        <v>#REF!</v>
      </c>
      <c r="P655" t="e" cm="1">
        <f t="array" aca="1" ref="P655" ca="1">IF(OR(A655="",B655="safety"),"",INDIRECT("template!"&amp;"M"&amp;A655))</f>
        <v>#REF!</v>
      </c>
      <c r="Q655" t="e">
        <f t="shared" ca="1" si="58"/>
        <v>#REF!</v>
      </c>
      <c r="R655" t="e">
        <f t="shared" ca="1" si="59"/>
        <v>#REF!</v>
      </c>
      <c r="S655" t="e">
        <f t="shared" ca="1" si="60"/>
        <v>#REF!</v>
      </c>
      <c r="T655" t="e">
        <f t="shared" ca="1" si="61"/>
        <v>#REF!</v>
      </c>
      <c r="U655" t="e" cm="1">
        <f t="array" aca="1" ref="U655" ca="1">IF(A655="","",IF(E655="","",IF(B655="safety",INDIRECT("template!"&amp;"P"&amp;A655),Q655+R655)))</f>
        <v>#REF!</v>
      </c>
      <c r="V655" t="e" cm="1">
        <f t="array" aca="1" ref="V655" ca="1">IF(A655="","",IF(E655="","",IF(B655="safety",INDIRECT("template!"&amp;"P"&amp;A655),S655+T655)))</f>
        <v>#REF!</v>
      </c>
      <c r="W655" t="e">
        <f ca="1">IF(A655="","",IF(E655="","",#REF!))</f>
        <v>#REF!</v>
      </c>
      <c r="X655" t="e">
        <f ca="1">IF(A655="","",IF(E655="","",#REF!))</f>
        <v>#REF!</v>
      </c>
      <c r="Y655" s="39" t="e">
        <f ca="1">IF(A655="","",IF(E655="","",#REF!))</f>
        <v>#REF!</v>
      </c>
      <c r="Z655" t="e">
        <f ca="1">IF(A655="","",IF(E655="","",#REF!))</f>
        <v>#REF!</v>
      </c>
      <c r="AA655" t="e">
        <f ca="1">IF(A655="","",IF(E655="","",#REF!))</f>
        <v>#REF!</v>
      </c>
      <c r="AB655" t="e">
        <f ca="1">IF(A655="","",IF(E655="","",#REF!))</f>
        <v>#REF!</v>
      </c>
      <c r="AC655" t="e">
        <f t="shared" ca="1" si="62"/>
        <v>#REF!</v>
      </c>
    </row>
    <row r="656" spans="1:29" x14ac:dyDescent="0.35">
      <c r="A656" t="e" cm="1">
        <f t="array" aca="1" ref="A656" ca="1">IF(A655="","",IF(OR(AND(A655+1&gt;=$AF$1,A655+1&lt;=$AF$2),AND(A655+1&gt;=$AF$6,A655+1&lt;=$AF$7),AND(A655+1&gt;=$AF$3,A655+1&lt;=$AF$4),AND(A655+1&gt;=$AF$8,A655+1&lt;=$AF$9),A655+1=$AF$5),IF(NOT(ISBLANK(INDIRECT("template!"&amp;"P"&amp;A655+1))),A655+1,IF(NOT(ISBLANK(INDIRECT("template!"&amp;"P"&amp;A655+2))),A655+2,A655+3)),IF(A655=$AF$2,$AF$3,IF(A655=$AF$4,$AF$5,IF(A655=$AF$5,$AF$6,IF(A655=$AF$7,$AF$8,""))))))</f>
        <v>#REF!</v>
      </c>
      <c r="B656" t="e">
        <f t="shared" ca="1" si="57"/>
        <v>#REF!</v>
      </c>
      <c r="C656" t="e" cm="1">
        <f t="array" aca="1" ref="C656" ca="1">IF(A656="","",IF(B656="safety","safety costs",INDIRECT("template!"&amp;"B"&amp;A656)))</f>
        <v>#REF!</v>
      </c>
      <c r="D656" t="e" cm="1">
        <f t="array" aca="1" ref="D656" ca="1">IF(OR(A656="",B656="safety"),"",INDIRECT("template!"&amp;"C"&amp;A656))</f>
        <v>#REF!</v>
      </c>
      <c r="E656" t="e" cm="1">
        <f t="array" aca="1" ref="E656" ca="1">IF(A656="","",IF(OR(A656=A655+1,A656=A655+2),E655,INDIRECT("template!"&amp;"D"&amp;A656-2)))</f>
        <v>#REF!</v>
      </c>
      <c r="F656" t="e" cm="1">
        <f t="array" aca="1" ref="F656" ca="1">IF(OR(A656="",B656="safety"),"",IF(ISBLANK(IF(A656=A655+1,F655,INDIRECT("template!"&amp;"D"&amp;A656-1))),"",IF(A656=A655+1,F655,INDIRECT("template!"&amp;"D"&amp;A656-1))))</f>
        <v>#REF!</v>
      </c>
      <c r="G656" t="e" cm="1">
        <f t="array" aca="1" ref="G656" ca="1">IF(OR(A656="",B656="safety"),"",IF(ISBLANK(INDIRECT("template!"&amp;"D"&amp;A656)),"",INDIRECT("template!"&amp;"D"&amp;A656)))</f>
        <v>#REF!</v>
      </c>
      <c r="H656" t="e" cm="1">
        <f t="array" aca="1" ref="H656" ca="1">IF(OR(A656="",B656="safety"),"",IF(ISBLANK(INDIRECT("template!"&amp;"E"&amp;A656)),"",INDIRECT("template!"&amp;"E"&amp;A656)))</f>
        <v>#REF!</v>
      </c>
      <c r="I656" t="e" cm="1">
        <f t="array" aca="1" ref="I656" ca="1">IF(OR(A656="",B656="safety"),"",IF(ISBLANK(INDIRECT("template!"&amp;"F"&amp;A656)),"",INDIRECT("template!"&amp;"F"&amp;A656)))</f>
        <v>#REF!</v>
      </c>
      <c r="J656" t="e" cm="1">
        <f t="array" aca="1" ref="J656" ca="1">IF(OR(A656="",B656="safety"),"",IF(ISBLANK(INDIRECT("template!"&amp;"G"&amp;A656)),"",INDIRECT("template!"&amp;"G"&amp;A656)))</f>
        <v>#REF!</v>
      </c>
      <c r="K656" t="e" cm="1">
        <f t="array" aca="1" ref="K656" ca="1">IF(OR(A656="",B656="safety"),"",IF(ISBLANK(INDIRECT("template!"&amp;"H"&amp;A656)),"",INDIRECT("template!"&amp;"H"&amp;A656)))</f>
        <v>#REF!</v>
      </c>
      <c r="L656" t="e" cm="1">
        <f t="array" aca="1" ref="L656" ca="1">IF(OR(A656="",B656="safety"),"",INDIRECT("template!"&amp;"I"&amp;A656))</f>
        <v>#REF!</v>
      </c>
      <c r="M656" t="e" cm="1">
        <f t="array" aca="1" ref="M656" ca="1">IF(OR(A656="",B656="safety"),"",INDIRECT("template!"&amp;"J"&amp;A656))</f>
        <v>#REF!</v>
      </c>
      <c r="N656" t="e" cm="1">
        <f t="array" aca="1" ref="N656" ca="1">IF(OR(A656="",B656="safety"),"",IF(ISBLANK(INDIRECT("template!"&amp;"K"&amp;A656)),"",INDIRECT("template!"&amp;"K"&amp;A656)))</f>
        <v>#REF!</v>
      </c>
      <c r="O656" t="e" cm="1">
        <f t="array" aca="1" ref="O656" ca="1">IF(OR(A656="",B656="safety"),"",INDIRECT("template!"&amp;"L"&amp;A656))</f>
        <v>#REF!</v>
      </c>
      <c r="P656" t="e" cm="1">
        <f t="array" aca="1" ref="P656" ca="1">IF(OR(A656="",B656="safety"),"",INDIRECT("template!"&amp;"M"&amp;A656))</f>
        <v>#REF!</v>
      </c>
      <c r="Q656" t="e">
        <f t="shared" ca="1" si="58"/>
        <v>#REF!</v>
      </c>
      <c r="R656" t="e">
        <f t="shared" ca="1" si="59"/>
        <v>#REF!</v>
      </c>
      <c r="S656" t="e">
        <f t="shared" ca="1" si="60"/>
        <v>#REF!</v>
      </c>
      <c r="T656" t="e">
        <f t="shared" ca="1" si="61"/>
        <v>#REF!</v>
      </c>
      <c r="U656" t="e" cm="1">
        <f t="array" aca="1" ref="U656" ca="1">IF(A656="","",IF(E656="","",IF(B656="safety",INDIRECT("template!"&amp;"P"&amp;A656),Q656+R656)))</f>
        <v>#REF!</v>
      </c>
      <c r="V656" t="e" cm="1">
        <f t="array" aca="1" ref="V656" ca="1">IF(A656="","",IF(E656="","",IF(B656="safety",INDIRECT("template!"&amp;"P"&amp;A656),S656+T656)))</f>
        <v>#REF!</v>
      </c>
      <c r="W656" t="e">
        <f ca="1">IF(A656="","",IF(E656="","",#REF!))</f>
        <v>#REF!</v>
      </c>
      <c r="X656" t="e">
        <f ca="1">IF(A656="","",IF(E656="","",#REF!))</f>
        <v>#REF!</v>
      </c>
      <c r="Y656" s="39" t="e">
        <f ca="1">IF(A656="","",IF(E656="","",#REF!))</f>
        <v>#REF!</v>
      </c>
      <c r="Z656" t="e">
        <f ca="1">IF(A656="","",IF(E656="","",#REF!))</f>
        <v>#REF!</v>
      </c>
      <c r="AA656" t="e">
        <f ca="1">IF(A656="","",IF(E656="","",#REF!))</f>
        <v>#REF!</v>
      </c>
      <c r="AB656" t="e">
        <f ca="1">IF(A656="","",IF(E656="","",#REF!))</f>
        <v>#REF!</v>
      </c>
      <c r="AC656" t="e">
        <f t="shared" ca="1" si="62"/>
        <v>#REF!</v>
      </c>
    </row>
    <row r="657" spans="1:29" x14ac:dyDescent="0.35">
      <c r="A657" t="e" cm="1">
        <f t="array" aca="1" ref="A657" ca="1">IF(A656="","",IF(OR(AND(A656+1&gt;=$AF$1,A656+1&lt;=$AF$2),AND(A656+1&gt;=$AF$6,A656+1&lt;=$AF$7),AND(A656+1&gt;=$AF$3,A656+1&lt;=$AF$4),AND(A656+1&gt;=$AF$8,A656+1&lt;=$AF$9),A656+1=$AF$5),IF(NOT(ISBLANK(INDIRECT("template!"&amp;"P"&amp;A656+1))),A656+1,IF(NOT(ISBLANK(INDIRECT("template!"&amp;"P"&amp;A656+2))),A656+2,A656+3)),IF(A656=$AF$2,$AF$3,IF(A656=$AF$4,$AF$5,IF(A656=$AF$5,$AF$6,IF(A656=$AF$7,$AF$8,""))))))</f>
        <v>#REF!</v>
      </c>
      <c r="B657" t="e">
        <f t="shared" ca="1" si="57"/>
        <v>#REF!</v>
      </c>
      <c r="C657" t="e" cm="1">
        <f t="array" aca="1" ref="C657" ca="1">IF(A657="","",IF(B657="safety","safety costs",INDIRECT("template!"&amp;"B"&amp;A657)))</f>
        <v>#REF!</v>
      </c>
      <c r="D657" t="e" cm="1">
        <f t="array" aca="1" ref="D657" ca="1">IF(OR(A657="",B657="safety"),"",INDIRECT("template!"&amp;"C"&amp;A657))</f>
        <v>#REF!</v>
      </c>
      <c r="E657" t="e" cm="1">
        <f t="array" aca="1" ref="E657" ca="1">IF(A657="","",IF(OR(A657=A656+1,A657=A656+2),E656,INDIRECT("template!"&amp;"D"&amp;A657-2)))</f>
        <v>#REF!</v>
      </c>
      <c r="F657" t="e" cm="1">
        <f t="array" aca="1" ref="F657" ca="1">IF(OR(A657="",B657="safety"),"",IF(ISBLANK(IF(A657=A656+1,F656,INDIRECT("template!"&amp;"D"&amp;A657-1))),"",IF(A657=A656+1,F656,INDIRECT("template!"&amp;"D"&amp;A657-1))))</f>
        <v>#REF!</v>
      </c>
      <c r="G657" t="e" cm="1">
        <f t="array" aca="1" ref="G657" ca="1">IF(OR(A657="",B657="safety"),"",IF(ISBLANK(INDIRECT("template!"&amp;"D"&amp;A657)),"",INDIRECT("template!"&amp;"D"&amp;A657)))</f>
        <v>#REF!</v>
      </c>
      <c r="H657" t="e" cm="1">
        <f t="array" aca="1" ref="H657" ca="1">IF(OR(A657="",B657="safety"),"",IF(ISBLANK(INDIRECT("template!"&amp;"E"&amp;A657)),"",INDIRECT("template!"&amp;"E"&amp;A657)))</f>
        <v>#REF!</v>
      </c>
      <c r="I657" t="e" cm="1">
        <f t="array" aca="1" ref="I657" ca="1">IF(OR(A657="",B657="safety"),"",IF(ISBLANK(INDIRECT("template!"&amp;"F"&amp;A657)),"",INDIRECT("template!"&amp;"F"&amp;A657)))</f>
        <v>#REF!</v>
      </c>
      <c r="J657" t="e" cm="1">
        <f t="array" aca="1" ref="J657" ca="1">IF(OR(A657="",B657="safety"),"",IF(ISBLANK(INDIRECT("template!"&amp;"G"&amp;A657)),"",INDIRECT("template!"&amp;"G"&amp;A657)))</f>
        <v>#REF!</v>
      </c>
      <c r="K657" t="e" cm="1">
        <f t="array" aca="1" ref="K657" ca="1">IF(OR(A657="",B657="safety"),"",IF(ISBLANK(INDIRECT("template!"&amp;"H"&amp;A657)),"",INDIRECT("template!"&amp;"H"&amp;A657)))</f>
        <v>#REF!</v>
      </c>
      <c r="L657" t="e" cm="1">
        <f t="array" aca="1" ref="L657" ca="1">IF(OR(A657="",B657="safety"),"",INDIRECT("template!"&amp;"I"&amp;A657))</f>
        <v>#REF!</v>
      </c>
      <c r="M657" t="e" cm="1">
        <f t="array" aca="1" ref="M657" ca="1">IF(OR(A657="",B657="safety"),"",INDIRECT("template!"&amp;"J"&amp;A657))</f>
        <v>#REF!</v>
      </c>
      <c r="N657" t="e" cm="1">
        <f t="array" aca="1" ref="N657" ca="1">IF(OR(A657="",B657="safety"),"",IF(ISBLANK(INDIRECT("template!"&amp;"K"&amp;A657)),"",INDIRECT("template!"&amp;"K"&amp;A657)))</f>
        <v>#REF!</v>
      </c>
      <c r="O657" t="e" cm="1">
        <f t="array" aca="1" ref="O657" ca="1">IF(OR(A657="",B657="safety"),"",INDIRECT("template!"&amp;"L"&amp;A657))</f>
        <v>#REF!</v>
      </c>
      <c r="P657" t="e" cm="1">
        <f t="array" aca="1" ref="P657" ca="1">IF(OR(A657="",B657="safety"),"",INDIRECT("template!"&amp;"M"&amp;A657))</f>
        <v>#REF!</v>
      </c>
      <c r="Q657" t="e">
        <f t="shared" ca="1" si="58"/>
        <v>#REF!</v>
      </c>
      <c r="R657" t="e">
        <f t="shared" ca="1" si="59"/>
        <v>#REF!</v>
      </c>
      <c r="S657" t="e">
        <f t="shared" ca="1" si="60"/>
        <v>#REF!</v>
      </c>
      <c r="T657" t="e">
        <f t="shared" ca="1" si="61"/>
        <v>#REF!</v>
      </c>
      <c r="U657" t="e" cm="1">
        <f t="array" aca="1" ref="U657" ca="1">IF(A657="","",IF(E657="","",IF(B657="safety",INDIRECT("template!"&amp;"P"&amp;A657),Q657+R657)))</f>
        <v>#REF!</v>
      </c>
      <c r="V657" t="e" cm="1">
        <f t="array" aca="1" ref="V657" ca="1">IF(A657="","",IF(E657="","",IF(B657="safety",INDIRECT("template!"&amp;"P"&amp;A657),S657+T657)))</f>
        <v>#REF!</v>
      </c>
      <c r="W657" t="e">
        <f ca="1">IF(A657="","",IF(E657="","",#REF!))</f>
        <v>#REF!</v>
      </c>
      <c r="X657" t="e">
        <f ca="1">IF(A657="","",IF(E657="","",#REF!))</f>
        <v>#REF!</v>
      </c>
      <c r="Y657" s="39" t="e">
        <f ca="1">IF(A657="","",IF(E657="","",#REF!))</f>
        <v>#REF!</v>
      </c>
      <c r="Z657" t="e">
        <f ca="1">IF(A657="","",IF(E657="","",#REF!))</f>
        <v>#REF!</v>
      </c>
      <c r="AA657" t="e">
        <f ca="1">IF(A657="","",IF(E657="","",#REF!))</f>
        <v>#REF!</v>
      </c>
      <c r="AB657" t="e">
        <f ca="1">IF(A657="","",IF(E657="","",#REF!))</f>
        <v>#REF!</v>
      </c>
      <c r="AC657" t="e">
        <f t="shared" ca="1" si="62"/>
        <v>#REF!</v>
      </c>
    </row>
    <row r="658" spans="1:29" x14ac:dyDescent="0.35">
      <c r="A658" t="e" cm="1">
        <f t="array" aca="1" ref="A658" ca="1">IF(A657="","",IF(OR(AND(A657+1&gt;=$AF$1,A657+1&lt;=$AF$2),AND(A657+1&gt;=$AF$6,A657+1&lt;=$AF$7),AND(A657+1&gt;=$AF$3,A657+1&lt;=$AF$4),AND(A657+1&gt;=$AF$8,A657+1&lt;=$AF$9),A657+1=$AF$5),IF(NOT(ISBLANK(INDIRECT("template!"&amp;"P"&amp;A657+1))),A657+1,IF(NOT(ISBLANK(INDIRECT("template!"&amp;"P"&amp;A657+2))),A657+2,A657+3)),IF(A657=$AF$2,$AF$3,IF(A657=$AF$4,$AF$5,IF(A657=$AF$5,$AF$6,IF(A657=$AF$7,$AF$8,""))))))</f>
        <v>#REF!</v>
      </c>
      <c r="B658" t="e">
        <f t="shared" ca="1" si="57"/>
        <v>#REF!</v>
      </c>
      <c r="C658" t="e" cm="1">
        <f t="array" aca="1" ref="C658" ca="1">IF(A658="","",IF(B658="safety","safety costs",INDIRECT("template!"&amp;"B"&amp;A658)))</f>
        <v>#REF!</v>
      </c>
      <c r="D658" t="e" cm="1">
        <f t="array" aca="1" ref="D658" ca="1">IF(OR(A658="",B658="safety"),"",INDIRECT("template!"&amp;"C"&amp;A658))</f>
        <v>#REF!</v>
      </c>
      <c r="E658" t="e" cm="1">
        <f t="array" aca="1" ref="E658" ca="1">IF(A658="","",IF(OR(A658=A657+1,A658=A657+2),E657,INDIRECT("template!"&amp;"D"&amp;A658-2)))</f>
        <v>#REF!</v>
      </c>
      <c r="F658" t="e" cm="1">
        <f t="array" aca="1" ref="F658" ca="1">IF(OR(A658="",B658="safety"),"",IF(ISBLANK(IF(A658=A657+1,F657,INDIRECT("template!"&amp;"D"&amp;A658-1))),"",IF(A658=A657+1,F657,INDIRECT("template!"&amp;"D"&amp;A658-1))))</f>
        <v>#REF!</v>
      </c>
      <c r="G658" t="e" cm="1">
        <f t="array" aca="1" ref="G658" ca="1">IF(OR(A658="",B658="safety"),"",IF(ISBLANK(INDIRECT("template!"&amp;"D"&amp;A658)),"",INDIRECT("template!"&amp;"D"&amp;A658)))</f>
        <v>#REF!</v>
      </c>
      <c r="H658" t="e" cm="1">
        <f t="array" aca="1" ref="H658" ca="1">IF(OR(A658="",B658="safety"),"",IF(ISBLANK(INDIRECT("template!"&amp;"E"&amp;A658)),"",INDIRECT("template!"&amp;"E"&amp;A658)))</f>
        <v>#REF!</v>
      </c>
      <c r="I658" t="e" cm="1">
        <f t="array" aca="1" ref="I658" ca="1">IF(OR(A658="",B658="safety"),"",IF(ISBLANK(INDIRECT("template!"&amp;"F"&amp;A658)),"",INDIRECT("template!"&amp;"F"&amp;A658)))</f>
        <v>#REF!</v>
      </c>
      <c r="J658" t="e" cm="1">
        <f t="array" aca="1" ref="J658" ca="1">IF(OR(A658="",B658="safety"),"",IF(ISBLANK(INDIRECT("template!"&amp;"G"&amp;A658)),"",INDIRECT("template!"&amp;"G"&amp;A658)))</f>
        <v>#REF!</v>
      </c>
      <c r="K658" t="e" cm="1">
        <f t="array" aca="1" ref="K658" ca="1">IF(OR(A658="",B658="safety"),"",IF(ISBLANK(INDIRECT("template!"&amp;"H"&amp;A658)),"",INDIRECT("template!"&amp;"H"&amp;A658)))</f>
        <v>#REF!</v>
      </c>
      <c r="L658" t="e" cm="1">
        <f t="array" aca="1" ref="L658" ca="1">IF(OR(A658="",B658="safety"),"",INDIRECT("template!"&amp;"I"&amp;A658))</f>
        <v>#REF!</v>
      </c>
      <c r="M658" t="e" cm="1">
        <f t="array" aca="1" ref="M658" ca="1">IF(OR(A658="",B658="safety"),"",INDIRECT("template!"&amp;"J"&amp;A658))</f>
        <v>#REF!</v>
      </c>
      <c r="N658" t="e" cm="1">
        <f t="array" aca="1" ref="N658" ca="1">IF(OR(A658="",B658="safety"),"",IF(ISBLANK(INDIRECT("template!"&amp;"K"&amp;A658)),"",INDIRECT("template!"&amp;"K"&amp;A658)))</f>
        <v>#REF!</v>
      </c>
      <c r="O658" t="e" cm="1">
        <f t="array" aca="1" ref="O658" ca="1">IF(OR(A658="",B658="safety"),"",INDIRECT("template!"&amp;"L"&amp;A658))</f>
        <v>#REF!</v>
      </c>
      <c r="P658" t="e" cm="1">
        <f t="array" aca="1" ref="P658" ca="1">IF(OR(A658="",B658="safety"),"",INDIRECT("template!"&amp;"M"&amp;A658))</f>
        <v>#REF!</v>
      </c>
      <c r="Q658" t="e">
        <f t="shared" ca="1" si="58"/>
        <v>#REF!</v>
      </c>
      <c r="R658" t="e">
        <f t="shared" ca="1" si="59"/>
        <v>#REF!</v>
      </c>
      <c r="S658" t="e">
        <f t="shared" ca="1" si="60"/>
        <v>#REF!</v>
      </c>
      <c r="T658" t="e">
        <f t="shared" ca="1" si="61"/>
        <v>#REF!</v>
      </c>
      <c r="U658" t="e" cm="1">
        <f t="array" aca="1" ref="U658" ca="1">IF(A658="","",IF(E658="","",IF(B658="safety",INDIRECT("template!"&amp;"P"&amp;A658),Q658+R658)))</f>
        <v>#REF!</v>
      </c>
      <c r="V658" t="e" cm="1">
        <f t="array" aca="1" ref="V658" ca="1">IF(A658="","",IF(E658="","",IF(B658="safety",INDIRECT("template!"&amp;"P"&amp;A658),S658+T658)))</f>
        <v>#REF!</v>
      </c>
      <c r="W658" t="e">
        <f ca="1">IF(A658="","",IF(E658="","",#REF!))</f>
        <v>#REF!</v>
      </c>
      <c r="X658" t="e">
        <f ca="1">IF(A658="","",IF(E658="","",#REF!))</f>
        <v>#REF!</v>
      </c>
      <c r="Y658" s="39" t="e">
        <f ca="1">IF(A658="","",IF(E658="","",#REF!))</f>
        <v>#REF!</v>
      </c>
      <c r="Z658" t="e">
        <f ca="1">IF(A658="","",IF(E658="","",#REF!))</f>
        <v>#REF!</v>
      </c>
      <c r="AA658" t="e">
        <f ca="1">IF(A658="","",IF(E658="","",#REF!))</f>
        <v>#REF!</v>
      </c>
      <c r="AB658" t="e">
        <f ca="1">IF(A658="","",IF(E658="","",#REF!))</f>
        <v>#REF!</v>
      </c>
      <c r="AC658" t="e">
        <f t="shared" ca="1" si="62"/>
        <v>#REF!</v>
      </c>
    </row>
    <row r="659" spans="1:29" x14ac:dyDescent="0.35">
      <c r="A659" t="e" cm="1">
        <f t="array" aca="1" ref="A659" ca="1">IF(A658="","",IF(OR(AND(A658+1&gt;=$AF$1,A658+1&lt;=$AF$2),AND(A658+1&gt;=$AF$6,A658+1&lt;=$AF$7),AND(A658+1&gt;=$AF$3,A658+1&lt;=$AF$4),AND(A658+1&gt;=$AF$8,A658+1&lt;=$AF$9),A658+1=$AF$5),IF(NOT(ISBLANK(INDIRECT("template!"&amp;"P"&amp;A658+1))),A658+1,IF(NOT(ISBLANK(INDIRECT("template!"&amp;"P"&amp;A658+2))),A658+2,A658+3)),IF(A658=$AF$2,$AF$3,IF(A658=$AF$4,$AF$5,IF(A658=$AF$5,$AF$6,IF(A658=$AF$7,$AF$8,""))))))</f>
        <v>#REF!</v>
      </c>
      <c r="B659" t="e">
        <f t="shared" ca="1" si="57"/>
        <v>#REF!</v>
      </c>
      <c r="C659" t="e" cm="1">
        <f t="array" aca="1" ref="C659" ca="1">IF(A659="","",IF(B659="safety","safety costs",INDIRECT("template!"&amp;"B"&amp;A659)))</f>
        <v>#REF!</v>
      </c>
      <c r="D659" t="e" cm="1">
        <f t="array" aca="1" ref="D659" ca="1">IF(OR(A659="",B659="safety"),"",INDIRECT("template!"&amp;"C"&amp;A659))</f>
        <v>#REF!</v>
      </c>
      <c r="E659" t="e" cm="1">
        <f t="array" aca="1" ref="E659" ca="1">IF(A659="","",IF(OR(A659=A658+1,A659=A658+2),E658,INDIRECT("template!"&amp;"D"&amp;A659-2)))</f>
        <v>#REF!</v>
      </c>
      <c r="F659" t="e" cm="1">
        <f t="array" aca="1" ref="F659" ca="1">IF(OR(A659="",B659="safety"),"",IF(ISBLANK(IF(A659=A658+1,F658,INDIRECT("template!"&amp;"D"&amp;A659-1))),"",IF(A659=A658+1,F658,INDIRECT("template!"&amp;"D"&amp;A659-1))))</f>
        <v>#REF!</v>
      </c>
      <c r="G659" t="e" cm="1">
        <f t="array" aca="1" ref="G659" ca="1">IF(OR(A659="",B659="safety"),"",IF(ISBLANK(INDIRECT("template!"&amp;"D"&amp;A659)),"",INDIRECT("template!"&amp;"D"&amp;A659)))</f>
        <v>#REF!</v>
      </c>
      <c r="H659" t="e" cm="1">
        <f t="array" aca="1" ref="H659" ca="1">IF(OR(A659="",B659="safety"),"",IF(ISBLANK(INDIRECT("template!"&amp;"E"&amp;A659)),"",INDIRECT("template!"&amp;"E"&amp;A659)))</f>
        <v>#REF!</v>
      </c>
      <c r="I659" t="e" cm="1">
        <f t="array" aca="1" ref="I659" ca="1">IF(OR(A659="",B659="safety"),"",IF(ISBLANK(INDIRECT("template!"&amp;"F"&amp;A659)),"",INDIRECT("template!"&amp;"F"&amp;A659)))</f>
        <v>#REF!</v>
      </c>
      <c r="J659" t="e" cm="1">
        <f t="array" aca="1" ref="J659" ca="1">IF(OR(A659="",B659="safety"),"",IF(ISBLANK(INDIRECT("template!"&amp;"G"&amp;A659)),"",INDIRECT("template!"&amp;"G"&amp;A659)))</f>
        <v>#REF!</v>
      </c>
      <c r="K659" t="e" cm="1">
        <f t="array" aca="1" ref="K659" ca="1">IF(OR(A659="",B659="safety"),"",IF(ISBLANK(INDIRECT("template!"&amp;"H"&amp;A659)),"",INDIRECT("template!"&amp;"H"&amp;A659)))</f>
        <v>#REF!</v>
      </c>
      <c r="L659" t="e" cm="1">
        <f t="array" aca="1" ref="L659" ca="1">IF(OR(A659="",B659="safety"),"",INDIRECT("template!"&amp;"I"&amp;A659))</f>
        <v>#REF!</v>
      </c>
      <c r="M659" t="e" cm="1">
        <f t="array" aca="1" ref="M659" ca="1">IF(OR(A659="",B659="safety"),"",INDIRECT("template!"&amp;"J"&amp;A659))</f>
        <v>#REF!</v>
      </c>
      <c r="N659" t="e" cm="1">
        <f t="array" aca="1" ref="N659" ca="1">IF(OR(A659="",B659="safety"),"",IF(ISBLANK(INDIRECT("template!"&amp;"K"&amp;A659)),"",INDIRECT("template!"&amp;"K"&amp;A659)))</f>
        <v>#REF!</v>
      </c>
      <c r="O659" t="e" cm="1">
        <f t="array" aca="1" ref="O659" ca="1">IF(OR(A659="",B659="safety"),"",INDIRECT("template!"&amp;"L"&amp;A659))</f>
        <v>#REF!</v>
      </c>
      <c r="P659" t="e" cm="1">
        <f t="array" aca="1" ref="P659" ca="1">IF(OR(A659="",B659="safety"),"",INDIRECT("template!"&amp;"M"&amp;A659))</f>
        <v>#REF!</v>
      </c>
      <c r="Q659" t="e">
        <f t="shared" ca="1" si="58"/>
        <v>#REF!</v>
      </c>
      <c r="R659" t="e">
        <f t="shared" ca="1" si="59"/>
        <v>#REF!</v>
      </c>
      <c r="S659" t="e">
        <f t="shared" ca="1" si="60"/>
        <v>#REF!</v>
      </c>
      <c r="T659" t="e">
        <f t="shared" ca="1" si="61"/>
        <v>#REF!</v>
      </c>
      <c r="U659" t="e" cm="1">
        <f t="array" aca="1" ref="U659" ca="1">IF(A659="","",IF(E659="","",IF(B659="safety",INDIRECT("template!"&amp;"P"&amp;A659),Q659+R659)))</f>
        <v>#REF!</v>
      </c>
      <c r="V659" t="e" cm="1">
        <f t="array" aca="1" ref="V659" ca="1">IF(A659="","",IF(E659="","",IF(B659="safety",INDIRECT("template!"&amp;"P"&amp;A659),S659+T659)))</f>
        <v>#REF!</v>
      </c>
      <c r="W659" t="e">
        <f ca="1">IF(A659="","",IF(E659="","",#REF!))</f>
        <v>#REF!</v>
      </c>
      <c r="X659" t="e">
        <f ca="1">IF(A659="","",IF(E659="","",#REF!))</f>
        <v>#REF!</v>
      </c>
      <c r="Y659" s="39" t="e">
        <f ca="1">IF(A659="","",IF(E659="","",#REF!))</f>
        <v>#REF!</v>
      </c>
      <c r="Z659" t="e">
        <f ca="1">IF(A659="","",IF(E659="","",#REF!))</f>
        <v>#REF!</v>
      </c>
      <c r="AA659" t="e">
        <f ca="1">IF(A659="","",IF(E659="","",#REF!))</f>
        <v>#REF!</v>
      </c>
      <c r="AB659" t="e">
        <f ca="1">IF(A659="","",IF(E659="","",#REF!))</f>
        <v>#REF!</v>
      </c>
      <c r="AC659" t="e">
        <f t="shared" ca="1" si="62"/>
        <v>#REF!</v>
      </c>
    </row>
    <row r="660" spans="1:29" x14ac:dyDescent="0.35">
      <c r="A660" t="e" cm="1">
        <f t="array" aca="1" ref="A660" ca="1">IF(A659="","",IF(OR(AND(A659+1&gt;=$AF$1,A659+1&lt;=$AF$2),AND(A659+1&gt;=$AF$6,A659+1&lt;=$AF$7),AND(A659+1&gt;=$AF$3,A659+1&lt;=$AF$4),AND(A659+1&gt;=$AF$8,A659+1&lt;=$AF$9),A659+1=$AF$5),IF(NOT(ISBLANK(INDIRECT("template!"&amp;"P"&amp;A659+1))),A659+1,IF(NOT(ISBLANK(INDIRECT("template!"&amp;"P"&amp;A659+2))),A659+2,A659+3)),IF(A659=$AF$2,$AF$3,IF(A659=$AF$4,$AF$5,IF(A659=$AF$5,$AF$6,IF(A659=$AF$7,$AF$8,""))))))</f>
        <v>#REF!</v>
      </c>
      <c r="B660" t="e">
        <f t="shared" ca="1" si="57"/>
        <v>#REF!</v>
      </c>
      <c r="C660" t="e" cm="1">
        <f t="array" aca="1" ref="C660" ca="1">IF(A660="","",IF(B660="safety","safety costs",INDIRECT("template!"&amp;"B"&amp;A660)))</f>
        <v>#REF!</v>
      </c>
      <c r="D660" t="e" cm="1">
        <f t="array" aca="1" ref="D660" ca="1">IF(OR(A660="",B660="safety"),"",INDIRECT("template!"&amp;"C"&amp;A660))</f>
        <v>#REF!</v>
      </c>
      <c r="E660" t="e" cm="1">
        <f t="array" aca="1" ref="E660" ca="1">IF(A660="","",IF(OR(A660=A659+1,A660=A659+2),E659,INDIRECT("template!"&amp;"D"&amp;A660-2)))</f>
        <v>#REF!</v>
      </c>
      <c r="F660" t="e" cm="1">
        <f t="array" aca="1" ref="F660" ca="1">IF(OR(A660="",B660="safety"),"",IF(ISBLANK(IF(A660=A659+1,F659,INDIRECT("template!"&amp;"D"&amp;A660-1))),"",IF(A660=A659+1,F659,INDIRECT("template!"&amp;"D"&amp;A660-1))))</f>
        <v>#REF!</v>
      </c>
      <c r="G660" t="e" cm="1">
        <f t="array" aca="1" ref="G660" ca="1">IF(OR(A660="",B660="safety"),"",IF(ISBLANK(INDIRECT("template!"&amp;"D"&amp;A660)),"",INDIRECT("template!"&amp;"D"&amp;A660)))</f>
        <v>#REF!</v>
      </c>
      <c r="H660" t="e" cm="1">
        <f t="array" aca="1" ref="H660" ca="1">IF(OR(A660="",B660="safety"),"",IF(ISBLANK(INDIRECT("template!"&amp;"E"&amp;A660)),"",INDIRECT("template!"&amp;"E"&amp;A660)))</f>
        <v>#REF!</v>
      </c>
      <c r="I660" t="e" cm="1">
        <f t="array" aca="1" ref="I660" ca="1">IF(OR(A660="",B660="safety"),"",IF(ISBLANK(INDIRECT("template!"&amp;"F"&amp;A660)),"",INDIRECT("template!"&amp;"F"&amp;A660)))</f>
        <v>#REF!</v>
      </c>
      <c r="J660" t="e" cm="1">
        <f t="array" aca="1" ref="J660" ca="1">IF(OR(A660="",B660="safety"),"",IF(ISBLANK(INDIRECT("template!"&amp;"G"&amp;A660)),"",INDIRECT("template!"&amp;"G"&amp;A660)))</f>
        <v>#REF!</v>
      </c>
      <c r="K660" t="e" cm="1">
        <f t="array" aca="1" ref="K660" ca="1">IF(OR(A660="",B660="safety"),"",IF(ISBLANK(INDIRECT("template!"&amp;"H"&amp;A660)),"",INDIRECT("template!"&amp;"H"&amp;A660)))</f>
        <v>#REF!</v>
      </c>
      <c r="L660" t="e" cm="1">
        <f t="array" aca="1" ref="L660" ca="1">IF(OR(A660="",B660="safety"),"",INDIRECT("template!"&amp;"I"&amp;A660))</f>
        <v>#REF!</v>
      </c>
      <c r="M660" t="e" cm="1">
        <f t="array" aca="1" ref="M660" ca="1">IF(OR(A660="",B660="safety"),"",INDIRECT("template!"&amp;"J"&amp;A660))</f>
        <v>#REF!</v>
      </c>
      <c r="N660" t="e" cm="1">
        <f t="array" aca="1" ref="N660" ca="1">IF(OR(A660="",B660="safety"),"",IF(ISBLANK(INDIRECT("template!"&amp;"K"&amp;A660)),"",INDIRECT("template!"&amp;"K"&amp;A660)))</f>
        <v>#REF!</v>
      </c>
      <c r="O660" t="e" cm="1">
        <f t="array" aca="1" ref="O660" ca="1">IF(OR(A660="",B660="safety"),"",INDIRECT("template!"&amp;"L"&amp;A660))</f>
        <v>#REF!</v>
      </c>
      <c r="P660" t="e" cm="1">
        <f t="array" aca="1" ref="P660" ca="1">IF(OR(A660="",B660="safety"),"",INDIRECT("template!"&amp;"M"&amp;A660))</f>
        <v>#REF!</v>
      </c>
      <c r="Q660" t="e">
        <f t="shared" ca="1" si="58"/>
        <v>#REF!</v>
      </c>
      <c r="R660" t="e">
        <f t="shared" ca="1" si="59"/>
        <v>#REF!</v>
      </c>
      <c r="S660" t="e">
        <f t="shared" ca="1" si="60"/>
        <v>#REF!</v>
      </c>
      <c r="T660" t="e">
        <f t="shared" ca="1" si="61"/>
        <v>#REF!</v>
      </c>
      <c r="U660" t="e" cm="1">
        <f t="array" aca="1" ref="U660" ca="1">IF(A660="","",IF(E660="","",IF(B660="safety",INDIRECT("template!"&amp;"P"&amp;A660),Q660+R660)))</f>
        <v>#REF!</v>
      </c>
      <c r="V660" t="e" cm="1">
        <f t="array" aca="1" ref="V660" ca="1">IF(A660="","",IF(E660="","",IF(B660="safety",INDIRECT("template!"&amp;"P"&amp;A660),S660+T660)))</f>
        <v>#REF!</v>
      </c>
      <c r="W660" t="e">
        <f ca="1">IF(A660="","",IF(E660="","",#REF!))</f>
        <v>#REF!</v>
      </c>
      <c r="X660" t="e">
        <f ca="1">IF(A660="","",IF(E660="","",#REF!))</f>
        <v>#REF!</v>
      </c>
      <c r="Y660" s="39" t="e">
        <f ca="1">IF(A660="","",IF(E660="","",#REF!))</f>
        <v>#REF!</v>
      </c>
      <c r="Z660" t="e">
        <f ca="1">IF(A660="","",IF(E660="","",#REF!))</f>
        <v>#REF!</v>
      </c>
      <c r="AA660" t="e">
        <f ca="1">IF(A660="","",IF(E660="","",#REF!))</f>
        <v>#REF!</v>
      </c>
      <c r="AB660" t="e">
        <f ca="1">IF(A660="","",IF(E660="","",#REF!))</f>
        <v>#REF!</v>
      </c>
      <c r="AC660" t="e">
        <f t="shared" ca="1" si="62"/>
        <v>#REF!</v>
      </c>
    </row>
    <row r="661" spans="1:29" x14ac:dyDescent="0.35">
      <c r="A661" t="e" cm="1">
        <f t="array" aca="1" ref="A661" ca="1">IF(A660="","",IF(OR(AND(A660+1&gt;=$AF$1,A660+1&lt;=$AF$2),AND(A660+1&gt;=$AF$6,A660+1&lt;=$AF$7),AND(A660+1&gt;=$AF$3,A660+1&lt;=$AF$4),AND(A660+1&gt;=$AF$8,A660+1&lt;=$AF$9),A660+1=$AF$5),IF(NOT(ISBLANK(INDIRECT("template!"&amp;"P"&amp;A660+1))),A660+1,IF(NOT(ISBLANK(INDIRECT("template!"&amp;"P"&amp;A660+2))),A660+2,A660+3)),IF(A660=$AF$2,$AF$3,IF(A660=$AF$4,$AF$5,IF(A660=$AF$5,$AF$6,IF(A660=$AF$7,$AF$8,""))))))</f>
        <v>#REF!</v>
      </c>
      <c r="B661" t="e">
        <f t="shared" ca="1" si="57"/>
        <v>#REF!</v>
      </c>
      <c r="C661" t="e" cm="1">
        <f t="array" aca="1" ref="C661" ca="1">IF(A661="","",IF(B661="safety","safety costs",INDIRECT("template!"&amp;"B"&amp;A661)))</f>
        <v>#REF!</v>
      </c>
      <c r="D661" t="e" cm="1">
        <f t="array" aca="1" ref="D661" ca="1">IF(OR(A661="",B661="safety"),"",INDIRECT("template!"&amp;"C"&amp;A661))</f>
        <v>#REF!</v>
      </c>
      <c r="E661" t="e" cm="1">
        <f t="array" aca="1" ref="E661" ca="1">IF(A661="","",IF(OR(A661=A660+1,A661=A660+2),E660,INDIRECT("template!"&amp;"D"&amp;A661-2)))</f>
        <v>#REF!</v>
      </c>
      <c r="F661" t="e" cm="1">
        <f t="array" aca="1" ref="F661" ca="1">IF(OR(A661="",B661="safety"),"",IF(ISBLANK(IF(A661=A660+1,F660,INDIRECT("template!"&amp;"D"&amp;A661-1))),"",IF(A661=A660+1,F660,INDIRECT("template!"&amp;"D"&amp;A661-1))))</f>
        <v>#REF!</v>
      </c>
      <c r="G661" t="e" cm="1">
        <f t="array" aca="1" ref="G661" ca="1">IF(OR(A661="",B661="safety"),"",IF(ISBLANK(INDIRECT("template!"&amp;"D"&amp;A661)),"",INDIRECT("template!"&amp;"D"&amp;A661)))</f>
        <v>#REF!</v>
      </c>
      <c r="H661" t="e" cm="1">
        <f t="array" aca="1" ref="H661" ca="1">IF(OR(A661="",B661="safety"),"",IF(ISBLANK(INDIRECT("template!"&amp;"E"&amp;A661)),"",INDIRECT("template!"&amp;"E"&amp;A661)))</f>
        <v>#REF!</v>
      </c>
      <c r="I661" t="e" cm="1">
        <f t="array" aca="1" ref="I661" ca="1">IF(OR(A661="",B661="safety"),"",IF(ISBLANK(INDIRECT("template!"&amp;"F"&amp;A661)),"",INDIRECT("template!"&amp;"F"&amp;A661)))</f>
        <v>#REF!</v>
      </c>
      <c r="J661" t="e" cm="1">
        <f t="array" aca="1" ref="J661" ca="1">IF(OR(A661="",B661="safety"),"",IF(ISBLANK(INDIRECT("template!"&amp;"G"&amp;A661)),"",INDIRECT("template!"&amp;"G"&amp;A661)))</f>
        <v>#REF!</v>
      </c>
      <c r="K661" t="e" cm="1">
        <f t="array" aca="1" ref="K661" ca="1">IF(OR(A661="",B661="safety"),"",IF(ISBLANK(INDIRECT("template!"&amp;"H"&amp;A661)),"",INDIRECT("template!"&amp;"H"&amp;A661)))</f>
        <v>#REF!</v>
      </c>
      <c r="L661" t="e" cm="1">
        <f t="array" aca="1" ref="L661" ca="1">IF(OR(A661="",B661="safety"),"",INDIRECT("template!"&amp;"I"&amp;A661))</f>
        <v>#REF!</v>
      </c>
      <c r="M661" t="e" cm="1">
        <f t="array" aca="1" ref="M661" ca="1">IF(OR(A661="",B661="safety"),"",INDIRECT("template!"&amp;"J"&amp;A661))</f>
        <v>#REF!</v>
      </c>
      <c r="N661" t="e" cm="1">
        <f t="array" aca="1" ref="N661" ca="1">IF(OR(A661="",B661="safety"),"",IF(ISBLANK(INDIRECT("template!"&amp;"K"&amp;A661)),"",INDIRECT("template!"&amp;"K"&amp;A661)))</f>
        <v>#REF!</v>
      </c>
      <c r="O661" t="e" cm="1">
        <f t="array" aca="1" ref="O661" ca="1">IF(OR(A661="",B661="safety"),"",INDIRECT("template!"&amp;"L"&amp;A661))</f>
        <v>#REF!</v>
      </c>
      <c r="P661" t="e" cm="1">
        <f t="array" aca="1" ref="P661" ca="1">IF(OR(A661="",B661="safety"),"",INDIRECT("template!"&amp;"M"&amp;A661))</f>
        <v>#REF!</v>
      </c>
      <c r="Q661" t="e">
        <f t="shared" ca="1" si="58"/>
        <v>#REF!</v>
      </c>
      <c r="R661" t="e">
        <f t="shared" ca="1" si="59"/>
        <v>#REF!</v>
      </c>
      <c r="S661" t="e">
        <f t="shared" ca="1" si="60"/>
        <v>#REF!</v>
      </c>
      <c r="T661" t="e">
        <f t="shared" ca="1" si="61"/>
        <v>#REF!</v>
      </c>
      <c r="U661" t="e" cm="1">
        <f t="array" aca="1" ref="U661" ca="1">IF(A661="","",IF(E661="","",IF(B661="safety",INDIRECT("template!"&amp;"P"&amp;A661),Q661+R661)))</f>
        <v>#REF!</v>
      </c>
      <c r="V661" t="e" cm="1">
        <f t="array" aca="1" ref="V661" ca="1">IF(A661="","",IF(E661="","",IF(B661="safety",INDIRECT("template!"&amp;"P"&amp;A661),S661+T661)))</f>
        <v>#REF!</v>
      </c>
      <c r="W661" t="e">
        <f ca="1">IF(A661="","",IF(E661="","",#REF!))</f>
        <v>#REF!</v>
      </c>
      <c r="X661" t="e">
        <f ca="1">IF(A661="","",IF(E661="","",#REF!))</f>
        <v>#REF!</v>
      </c>
      <c r="Y661" s="39" t="e">
        <f ca="1">IF(A661="","",IF(E661="","",#REF!))</f>
        <v>#REF!</v>
      </c>
      <c r="Z661" t="e">
        <f ca="1">IF(A661="","",IF(E661="","",#REF!))</f>
        <v>#REF!</v>
      </c>
      <c r="AA661" t="e">
        <f ca="1">IF(A661="","",IF(E661="","",#REF!))</f>
        <v>#REF!</v>
      </c>
      <c r="AB661" t="e">
        <f ca="1">IF(A661="","",IF(E661="","",#REF!))</f>
        <v>#REF!</v>
      </c>
      <c r="AC661" t="e">
        <f t="shared" ca="1" si="62"/>
        <v>#REF!</v>
      </c>
    </row>
    <row r="662" spans="1:29" x14ac:dyDescent="0.35">
      <c r="A662" t="e" cm="1">
        <f t="array" aca="1" ref="A662" ca="1">IF(A661="","",IF(OR(AND(A661+1&gt;=$AF$1,A661+1&lt;=$AF$2),AND(A661+1&gt;=$AF$6,A661+1&lt;=$AF$7),AND(A661+1&gt;=$AF$3,A661+1&lt;=$AF$4),AND(A661+1&gt;=$AF$8,A661+1&lt;=$AF$9),A661+1=$AF$5),IF(NOT(ISBLANK(INDIRECT("template!"&amp;"P"&amp;A661+1))),A661+1,IF(NOT(ISBLANK(INDIRECT("template!"&amp;"P"&amp;A661+2))),A661+2,A661+3)),IF(A661=$AF$2,$AF$3,IF(A661=$AF$4,$AF$5,IF(A661=$AF$5,$AF$6,IF(A661=$AF$7,$AF$8,""))))))</f>
        <v>#REF!</v>
      </c>
      <c r="B662" t="e">
        <f t="shared" ca="1" si="57"/>
        <v>#REF!</v>
      </c>
      <c r="C662" t="e" cm="1">
        <f t="array" aca="1" ref="C662" ca="1">IF(A662="","",IF(B662="safety","safety costs",INDIRECT("template!"&amp;"B"&amp;A662)))</f>
        <v>#REF!</v>
      </c>
      <c r="D662" t="e" cm="1">
        <f t="array" aca="1" ref="D662" ca="1">IF(OR(A662="",B662="safety"),"",INDIRECT("template!"&amp;"C"&amp;A662))</f>
        <v>#REF!</v>
      </c>
      <c r="E662" t="e" cm="1">
        <f t="array" aca="1" ref="E662" ca="1">IF(A662="","",IF(OR(A662=A661+1,A662=A661+2),E661,INDIRECT("template!"&amp;"D"&amp;A662-2)))</f>
        <v>#REF!</v>
      </c>
      <c r="F662" t="e" cm="1">
        <f t="array" aca="1" ref="F662" ca="1">IF(OR(A662="",B662="safety"),"",IF(ISBLANK(IF(A662=A661+1,F661,INDIRECT("template!"&amp;"D"&amp;A662-1))),"",IF(A662=A661+1,F661,INDIRECT("template!"&amp;"D"&amp;A662-1))))</f>
        <v>#REF!</v>
      </c>
      <c r="G662" t="e" cm="1">
        <f t="array" aca="1" ref="G662" ca="1">IF(OR(A662="",B662="safety"),"",IF(ISBLANK(INDIRECT("template!"&amp;"D"&amp;A662)),"",INDIRECT("template!"&amp;"D"&amp;A662)))</f>
        <v>#REF!</v>
      </c>
      <c r="H662" t="e" cm="1">
        <f t="array" aca="1" ref="H662" ca="1">IF(OR(A662="",B662="safety"),"",IF(ISBLANK(INDIRECT("template!"&amp;"E"&amp;A662)),"",INDIRECT("template!"&amp;"E"&amp;A662)))</f>
        <v>#REF!</v>
      </c>
      <c r="I662" t="e" cm="1">
        <f t="array" aca="1" ref="I662" ca="1">IF(OR(A662="",B662="safety"),"",IF(ISBLANK(INDIRECT("template!"&amp;"F"&amp;A662)),"",INDIRECT("template!"&amp;"F"&amp;A662)))</f>
        <v>#REF!</v>
      </c>
      <c r="J662" t="e" cm="1">
        <f t="array" aca="1" ref="J662" ca="1">IF(OR(A662="",B662="safety"),"",IF(ISBLANK(INDIRECT("template!"&amp;"G"&amp;A662)),"",INDIRECT("template!"&amp;"G"&amp;A662)))</f>
        <v>#REF!</v>
      </c>
      <c r="K662" t="e" cm="1">
        <f t="array" aca="1" ref="K662" ca="1">IF(OR(A662="",B662="safety"),"",IF(ISBLANK(INDIRECT("template!"&amp;"H"&amp;A662)),"",INDIRECT("template!"&amp;"H"&amp;A662)))</f>
        <v>#REF!</v>
      </c>
      <c r="L662" t="e" cm="1">
        <f t="array" aca="1" ref="L662" ca="1">IF(OR(A662="",B662="safety"),"",INDIRECT("template!"&amp;"I"&amp;A662))</f>
        <v>#REF!</v>
      </c>
      <c r="M662" t="e" cm="1">
        <f t="array" aca="1" ref="M662" ca="1">IF(OR(A662="",B662="safety"),"",INDIRECT("template!"&amp;"J"&amp;A662))</f>
        <v>#REF!</v>
      </c>
      <c r="N662" t="e" cm="1">
        <f t="array" aca="1" ref="N662" ca="1">IF(OR(A662="",B662="safety"),"",IF(ISBLANK(INDIRECT("template!"&amp;"K"&amp;A662)),"",INDIRECT("template!"&amp;"K"&amp;A662)))</f>
        <v>#REF!</v>
      </c>
      <c r="O662" t="e" cm="1">
        <f t="array" aca="1" ref="O662" ca="1">IF(OR(A662="",B662="safety"),"",INDIRECT("template!"&amp;"L"&amp;A662))</f>
        <v>#REF!</v>
      </c>
      <c r="P662" t="e" cm="1">
        <f t="array" aca="1" ref="P662" ca="1">IF(OR(A662="",B662="safety"),"",INDIRECT("template!"&amp;"M"&amp;A662))</f>
        <v>#REF!</v>
      </c>
      <c r="Q662" t="e">
        <f t="shared" ca="1" si="58"/>
        <v>#REF!</v>
      </c>
      <c r="R662" t="e">
        <f t="shared" ca="1" si="59"/>
        <v>#REF!</v>
      </c>
      <c r="S662" t="e">
        <f t="shared" ca="1" si="60"/>
        <v>#REF!</v>
      </c>
      <c r="T662" t="e">
        <f t="shared" ca="1" si="61"/>
        <v>#REF!</v>
      </c>
      <c r="U662" t="e" cm="1">
        <f t="array" aca="1" ref="U662" ca="1">IF(A662="","",IF(E662="","",IF(B662="safety",INDIRECT("template!"&amp;"P"&amp;A662),Q662+R662)))</f>
        <v>#REF!</v>
      </c>
      <c r="V662" t="e" cm="1">
        <f t="array" aca="1" ref="V662" ca="1">IF(A662="","",IF(E662="","",IF(B662="safety",INDIRECT("template!"&amp;"P"&amp;A662),S662+T662)))</f>
        <v>#REF!</v>
      </c>
      <c r="W662" t="e">
        <f ca="1">IF(A662="","",IF(E662="","",#REF!))</f>
        <v>#REF!</v>
      </c>
      <c r="X662" t="e">
        <f ca="1">IF(A662="","",IF(E662="","",#REF!))</f>
        <v>#REF!</v>
      </c>
      <c r="Y662" s="39" t="e">
        <f ca="1">IF(A662="","",IF(E662="","",#REF!))</f>
        <v>#REF!</v>
      </c>
      <c r="Z662" t="e">
        <f ca="1">IF(A662="","",IF(E662="","",#REF!))</f>
        <v>#REF!</v>
      </c>
      <c r="AA662" t="e">
        <f ca="1">IF(A662="","",IF(E662="","",#REF!))</f>
        <v>#REF!</v>
      </c>
      <c r="AB662" t="e">
        <f ca="1">IF(A662="","",IF(E662="","",#REF!))</f>
        <v>#REF!</v>
      </c>
      <c r="AC662" t="e">
        <f t="shared" ca="1" si="62"/>
        <v>#REF!</v>
      </c>
    </row>
    <row r="663" spans="1:29" x14ac:dyDescent="0.35">
      <c r="A663" t="e" cm="1">
        <f t="array" aca="1" ref="A663" ca="1">IF(A662="","",IF(OR(AND(A662+1&gt;=$AF$1,A662+1&lt;=$AF$2),AND(A662+1&gt;=$AF$6,A662+1&lt;=$AF$7),AND(A662+1&gt;=$AF$3,A662+1&lt;=$AF$4),AND(A662+1&gt;=$AF$8,A662+1&lt;=$AF$9),A662+1=$AF$5),IF(NOT(ISBLANK(INDIRECT("template!"&amp;"P"&amp;A662+1))),A662+1,IF(NOT(ISBLANK(INDIRECT("template!"&amp;"P"&amp;A662+2))),A662+2,A662+3)),IF(A662=$AF$2,$AF$3,IF(A662=$AF$4,$AF$5,IF(A662=$AF$5,$AF$6,IF(A662=$AF$7,$AF$8,""))))))</f>
        <v>#REF!</v>
      </c>
      <c r="B663" t="e">
        <f t="shared" ca="1" si="57"/>
        <v>#REF!</v>
      </c>
      <c r="C663" t="e" cm="1">
        <f t="array" aca="1" ref="C663" ca="1">IF(A663="","",IF(B663="safety","safety costs",INDIRECT("template!"&amp;"B"&amp;A663)))</f>
        <v>#REF!</v>
      </c>
      <c r="D663" t="e" cm="1">
        <f t="array" aca="1" ref="D663" ca="1">IF(OR(A663="",B663="safety"),"",INDIRECT("template!"&amp;"C"&amp;A663))</f>
        <v>#REF!</v>
      </c>
      <c r="E663" t="e" cm="1">
        <f t="array" aca="1" ref="E663" ca="1">IF(A663="","",IF(OR(A663=A662+1,A663=A662+2),E662,INDIRECT("template!"&amp;"D"&amp;A663-2)))</f>
        <v>#REF!</v>
      </c>
      <c r="F663" t="e" cm="1">
        <f t="array" aca="1" ref="F663" ca="1">IF(OR(A663="",B663="safety"),"",IF(ISBLANK(IF(A663=A662+1,F662,INDIRECT("template!"&amp;"D"&amp;A663-1))),"",IF(A663=A662+1,F662,INDIRECT("template!"&amp;"D"&amp;A663-1))))</f>
        <v>#REF!</v>
      </c>
      <c r="G663" t="e" cm="1">
        <f t="array" aca="1" ref="G663" ca="1">IF(OR(A663="",B663="safety"),"",IF(ISBLANK(INDIRECT("template!"&amp;"D"&amp;A663)),"",INDIRECT("template!"&amp;"D"&amp;A663)))</f>
        <v>#REF!</v>
      </c>
      <c r="H663" t="e" cm="1">
        <f t="array" aca="1" ref="H663" ca="1">IF(OR(A663="",B663="safety"),"",IF(ISBLANK(INDIRECT("template!"&amp;"E"&amp;A663)),"",INDIRECT("template!"&amp;"E"&amp;A663)))</f>
        <v>#REF!</v>
      </c>
      <c r="I663" t="e" cm="1">
        <f t="array" aca="1" ref="I663" ca="1">IF(OR(A663="",B663="safety"),"",IF(ISBLANK(INDIRECT("template!"&amp;"F"&amp;A663)),"",INDIRECT("template!"&amp;"F"&amp;A663)))</f>
        <v>#REF!</v>
      </c>
      <c r="J663" t="e" cm="1">
        <f t="array" aca="1" ref="J663" ca="1">IF(OR(A663="",B663="safety"),"",IF(ISBLANK(INDIRECT("template!"&amp;"G"&amp;A663)),"",INDIRECT("template!"&amp;"G"&amp;A663)))</f>
        <v>#REF!</v>
      </c>
      <c r="K663" t="e" cm="1">
        <f t="array" aca="1" ref="K663" ca="1">IF(OR(A663="",B663="safety"),"",IF(ISBLANK(INDIRECT("template!"&amp;"H"&amp;A663)),"",INDIRECT("template!"&amp;"H"&amp;A663)))</f>
        <v>#REF!</v>
      </c>
      <c r="L663" t="e" cm="1">
        <f t="array" aca="1" ref="L663" ca="1">IF(OR(A663="",B663="safety"),"",INDIRECT("template!"&amp;"I"&amp;A663))</f>
        <v>#REF!</v>
      </c>
      <c r="M663" t="e" cm="1">
        <f t="array" aca="1" ref="M663" ca="1">IF(OR(A663="",B663="safety"),"",INDIRECT("template!"&amp;"J"&amp;A663))</f>
        <v>#REF!</v>
      </c>
      <c r="N663" t="e" cm="1">
        <f t="array" aca="1" ref="N663" ca="1">IF(OR(A663="",B663="safety"),"",IF(ISBLANK(INDIRECT("template!"&amp;"K"&amp;A663)),"",INDIRECT("template!"&amp;"K"&amp;A663)))</f>
        <v>#REF!</v>
      </c>
      <c r="O663" t="e" cm="1">
        <f t="array" aca="1" ref="O663" ca="1">IF(OR(A663="",B663="safety"),"",INDIRECT("template!"&amp;"L"&amp;A663))</f>
        <v>#REF!</v>
      </c>
      <c r="P663" t="e" cm="1">
        <f t="array" aca="1" ref="P663" ca="1">IF(OR(A663="",B663="safety"),"",INDIRECT("template!"&amp;"M"&amp;A663))</f>
        <v>#REF!</v>
      </c>
      <c r="Q663" t="e">
        <f t="shared" ca="1" si="58"/>
        <v>#REF!</v>
      </c>
      <c r="R663" t="e">
        <f t="shared" ca="1" si="59"/>
        <v>#REF!</v>
      </c>
      <c r="S663" t="e">
        <f t="shared" ca="1" si="60"/>
        <v>#REF!</v>
      </c>
      <c r="T663" t="e">
        <f t="shared" ca="1" si="61"/>
        <v>#REF!</v>
      </c>
      <c r="U663" t="e" cm="1">
        <f t="array" aca="1" ref="U663" ca="1">IF(A663="","",IF(E663="","",IF(B663="safety",INDIRECT("template!"&amp;"P"&amp;A663),Q663+R663)))</f>
        <v>#REF!</v>
      </c>
      <c r="V663" t="e" cm="1">
        <f t="array" aca="1" ref="V663" ca="1">IF(A663="","",IF(E663="","",IF(B663="safety",INDIRECT("template!"&amp;"P"&amp;A663),S663+T663)))</f>
        <v>#REF!</v>
      </c>
      <c r="W663" t="e">
        <f ca="1">IF(A663="","",IF(E663="","",#REF!))</f>
        <v>#REF!</v>
      </c>
      <c r="X663" t="e">
        <f ca="1">IF(A663="","",IF(E663="","",#REF!))</f>
        <v>#REF!</v>
      </c>
      <c r="Y663" s="39" t="e">
        <f ca="1">IF(A663="","",IF(E663="","",#REF!))</f>
        <v>#REF!</v>
      </c>
      <c r="Z663" t="e">
        <f ca="1">IF(A663="","",IF(E663="","",#REF!))</f>
        <v>#REF!</v>
      </c>
      <c r="AA663" t="e">
        <f ca="1">IF(A663="","",IF(E663="","",#REF!))</f>
        <v>#REF!</v>
      </c>
      <c r="AB663" t="e">
        <f ca="1">IF(A663="","",IF(E663="","",#REF!))</f>
        <v>#REF!</v>
      </c>
      <c r="AC663" t="e">
        <f t="shared" ca="1" si="62"/>
        <v>#REF!</v>
      </c>
    </row>
    <row r="664" spans="1:29" x14ac:dyDescent="0.35">
      <c r="A664" t="e" cm="1">
        <f t="array" aca="1" ref="A664" ca="1">IF(A663="","",IF(OR(AND(A663+1&gt;=$AF$1,A663+1&lt;=$AF$2),AND(A663+1&gt;=$AF$6,A663+1&lt;=$AF$7),AND(A663+1&gt;=$AF$3,A663+1&lt;=$AF$4),AND(A663+1&gt;=$AF$8,A663+1&lt;=$AF$9),A663+1=$AF$5),IF(NOT(ISBLANK(INDIRECT("template!"&amp;"P"&amp;A663+1))),A663+1,IF(NOT(ISBLANK(INDIRECT("template!"&amp;"P"&amp;A663+2))),A663+2,A663+3)),IF(A663=$AF$2,$AF$3,IF(A663=$AF$4,$AF$5,IF(A663=$AF$5,$AF$6,IF(A663=$AF$7,$AF$8,""))))))</f>
        <v>#REF!</v>
      </c>
      <c r="B664" t="e">
        <f t="shared" ca="1" si="57"/>
        <v>#REF!</v>
      </c>
      <c r="C664" t="e" cm="1">
        <f t="array" aca="1" ref="C664" ca="1">IF(A664="","",IF(B664="safety","safety costs",INDIRECT("template!"&amp;"B"&amp;A664)))</f>
        <v>#REF!</v>
      </c>
      <c r="D664" t="e" cm="1">
        <f t="array" aca="1" ref="D664" ca="1">IF(OR(A664="",B664="safety"),"",INDIRECT("template!"&amp;"C"&amp;A664))</f>
        <v>#REF!</v>
      </c>
      <c r="E664" t="e" cm="1">
        <f t="array" aca="1" ref="E664" ca="1">IF(A664="","",IF(OR(A664=A663+1,A664=A663+2),E663,INDIRECT("template!"&amp;"D"&amp;A664-2)))</f>
        <v>#REF!</v>
      </c>
      <c r="F664" t="e" cm="1">
        <f t="array" aca="1" ref="F664" ca="1">IF(OR(A664="",B664="safety"),"",IF(ISBLANK(IF(A664=A663+1,F663,INDIRECT("template!"&amp;"D"&amp;A664-1))),"",IF(A664=A663+1,F663,INDIRECT("template!"&amp;"D"&amp;A664-1))))</f>
        <v>#REF!</v>
      </c>
      <c r="G664" t="e" cm="1">
        <f t="array" aca="1" ref="G664" ca="1">IF(OR(A664="",B664="safety"),"",IF(ISBLANK(INDIRECT("template!"&amp;"D"&amp;A664)),"",INDIRECT("template!"&amp;"D"&amp;A664)))</f>
        <v>#REF!</v>
      </c>
      <c r="H664" t="e" cm="1">
        <f t="array" aca="1" ref="H664" ca="1">IF(OR(A664="",B664="safety"),"",IF(ISBLANK(INDIRECT("template!"&amp;"E"&amp;A664)),"",INDIRECT("template!"&amp;"E"&amp;A664)))</f>
        <v>#REF!</v>
      </c>
      <c r="I664" t="e" cm="1">
        <f t="array" aca="1" ref="I664" ca="1">IF(OR(A664="",B664="safety"),"",IF(ISBLANK(INDIRECT("template!"&amp;"F"&amp;A664)),"",INDIRECT("template!"&amp;"F"&amp;A664)))</f>
        <v>#REF!</v>
      </c>
      <c r="J664" t="e" cm="1">
        <f t="array" aca="1" ref="J664" ca="1">IF(OR(A664="",B664="safety"),"",IF(ISBLANK(INDIRECT("template!"&amp;"G"&amp;A664)),"",INDIRECT("template!"&amp;"G"&amp;A664)))</f>
        <v>#REF!</v>
      </c>
      <c r="K664" t="e" cm="1">
        <f t="array" aca="1" ref="K664" ca="1">IF(OR(A664="",B664="safety"),"",IF(ISBLANK(INDIRECT("template!"&amp;"H"&amp;A664)),"",INDIRECT("template!"&amp;"H"&amp;A664)))</f>
        <v>#REF!</v>
      </c>
      <c r="L664" t="e" cm="1">
        <f t="array" aca="1" ref="L664" ca="1">IF(OR(A664="",B664="safety"),"",INDIRECT("template!"&amp;"I"&amp;A664))</f>
        <v>#REF!</v>
      </c>
      <c r="M664" t="e" cm="1">
        <f t="array" aca="1" ref="M664" ca="1">IF(OR(A664="",B664="safety"),"",INDIRECT("template!"&amp;"J"&amp;A664))</f>
        <v>#REF!</v>
      </c>
      <c r="N664" t="e" cm="1">
        <f t="array" aca="1" ref="N664" ca="1">IF(OR(A664="",B664="safety"),"",IF(ISBLANK(INDIRECT("template!"&amp;"K"&amp;A664)),"",INDIRECT("template!"&amp;"K"&amp;A664)))</f>
        <v>#REF!</v>
      </c>
      <c r="O664" t="e" cm="1">
        <f t="array" aca="1" ref="O664" ca="1">IF(OR(A664="",B664="safety"),"",INDIRECT("template!"&amp;"L"&amp;A664))</f>
        <v>#REF!</v>
      </c>
      <c r="P664" t="e" cm="1">
        <f t="array" aca="1" ref="P664" ca="1">IF(OR(A664="",B664="safety"),"",INDIRECT("template!"&amp;"M"&amp;A664))</f>
        <v>#REF!</v>
      </c>
      <c r="Q664" t="e">
        <f t="shared" ca="1" si="58"/>
        <v>#REF!</v>
      </c>
      <c r="R664" t="e">
        <f t="shared" ca="1" si="59"/>
        <v>#REF!</v>
      </c>
      <c r="S664" t="e">
        <f t="shared" ca="1" si="60"/>
        <v>#REF!</v>
      </c>
      <c r="T664" t="e">
        <f t="shared" ca="1" si="61"/>
        <v>#REF!</v>
      </c>
      <c r="U664" t="e" cm="1">
        <f t="array" aca="1" ref="U664" ca="1">IF(A664="","",IF(E664="","",IF(B664="safety",INDIRECT("template!"&amp;"P"&amp;A664),Q664+R664)))</f>
        <v>#REF!</v>
      </c>
      <c r="V664" t="e" cm="1">
        <f t="array" aca="1" ref="V664" ca="1">IF(A664="","",IF(E664="","",IF(B664="safety",INDIRECT("template!"&amp;"P"&amp;A664),S664+T664)))</f>
        <v>#REF!</v>
      </c>
      <c r="W664" t="e">
        <f ca="1">IF(A664="","",IF(E664="","",#REF!))</f>
        <v>#REF!</v>
      </c>
      <c r="X664" t="e">
        <f ca="1">IF(A664="","",IF(E664="","",#REF!))</f>
        <v>#REF!</v>
      </c>
      <c r="Y664" s="39" t="e">
        <f ca="1">IF(A664="","",IF(E664="","",#REF!))</f>
        <v>#REF!</v>
      </c>
      <c r="Z664" t="e">
        <f ca="1">IF(A664="","",IF(E664="","",#REF!))</f>
        <v>#REF!</v>
      </c>
      <c r="AA664" t="e">
        <f ca="1">IF(A664="","",IF(E664="","",#REF!))</f>
        <v>#REF!</v>
      </c>
      <c r="AB664" t="e">
        <f ca="1">IF(A664="","",IF(E664="","",#REF!))</f>
        <v>#REF!</v>
      </c>
      <c r="AC664" t="e">
        <f t="shared" ca="1" si="62"/>
        <v>#REF!</v>
      </c>
    </row>
    <row r="665" spans="1:29" x14ac:dyDescent="0.35">
      <c r="A665" t="e" cm="1">
        <f t="array" aca="1" ref="A665" ca="1">IF(A664="","",IF(OR(AND(A664+1&gt;=$AF$1,A664+1&lt;=$AF$2),AND(A664+1&gt;=$AF$6,A664+1&lt;=$AF$7),AND(A664+1&gt;=$AF$3,A664+1&lt;=$AF$4),AND(A664+1&gt;=$AF$8,A664+1&lt;=$AF$9),A664+1=$AF$5),IF(NOT(ISBLANK(INDIRECT("template!"&amp;"P"&amp;A664+1))),A664+1,IF(NOT(ISBLANK(INDIRECT("template!"&amp;"P"&amp;A664+2))),A664+2,A664+3)),IF(A664=$AF$2,$AF$3,IF(A664=$AF$4,$AF$5,IF(A664=$AF$5,$AF$6,IF(A664=$AF$7,$AF$8,""))))))</f>
        <v>#REF!</v>
      </c>
      <c r="B665" t="e">
        <f t="shared" ca="1" si="57"/>
        <v>#REF!</v>
      </c>
      <c r="C665" t="e" cm="1">
        <f t="array" aca="1" ref="C665" ca="1">IF(A665="","",IF(B665="safety","safety costs",INDIRECT("template!"&amp;"B"&amp;A665)))</f>
        <v>#REF!</v>
      </c>
      <c r="D665" t="e" cm="1">
        <f t="array" aca="1" ref="D665" ca="1">IF(OR(A665="",B665="safety"),"",INDIRECT("template!"&amp;"C"&amp;A665))</f>
        <v>#REF!</v>
      </c>
      <c r="E665" t="e" cm="1">
        <f t="array" aca="1" ref="E665" ca="1">IF(A665="","",IF(OR(A665=A664+1,A665=A664+2),E664,INDIRECT("template!"&amp;"D"&amp;A665-2)))</f>
        <v>#REF!</v>
      </c>
      <c r="F665" t="e" cm="1">
        <f t="array" aca="1" ref="F665" ca="1">IF(OR(A665="",B665="safety"),"",IF(ISBLANK(IF(A665=A664+1,F664,INDIRECT("template!"&amp;"D"&amp;A665-1))),"",IF(A665=A664+1,F664,INDIRECT("template!"&amp;"D"&amp;A665-1))))</f>
        <v>#REF!</v>
      </c>
      <c r="G665" t="e" cm="1">
        <f t="array" aca="1" ref="G665" ca="1">IF(OR(A665="",B665="safety"),"",IF(ISBLANK(INDIRECT("template!"&amp;"D"&amp;A665)),"",INDIRECT("template!"&amp;"D"&amp;A665)))</f>
        <v>#REF!</v>
      </c>
      <c r="H665" t="e" cm="1">
        <f t="array" aca="1" ref="H665" ca="1">IF(OR(A665="",B665="safety"),"",IF(ISBLANK(INDIRECT("template!"&amp;"E"&amp;A665)),"",INDIRECT("template!"&amp;"E"&amp;A665)))</f>
        <v>#REF!</v>
      </c>
      <c r="I665" t="e" cm="1">
        <f t="array" aca="1" ref="I665" ca="1">IF(OR(A665="",B665="safety"),"",IF(ISBLANK(INDIRECT("template!"&amp;"F"&amp;A665)),"",INDIRECT("template!"&amp;"F"&amp;A665)))</f>
        <v>#REF!</v>
      </c>
      <c r="J665" t="e" cm="1">
        <f t="array" aca="1" ref="J665" ca="1">IF(OR(A665="",B665="safety"),"",IF(ISBLANK(INDIRECT("template!"&amp;"G"&amp;A665)),"",INDIRECT("template!"&amp;"G"&amp;A665)))</f>
        <v>#REF!</v>
      </c>
      <c r="K665" t="e" cm="1">
        <f t="array" aca="1" ref="K665" ca="1">IF(OR(A665="",B665="safety"),"",IF(ISBLANK(INDIRECT("template!"&amp;"H"&amp;A665)),"",INDIRECT("template!"&amp;"H"&amp;A665)))</f>
        <v>#REF!</v>
      </c>
      <c r="L665" t="e" cm="1">
        <f t="array" aca="1" ref="L665" ca="1">IF(OR(A665="",B665="safety"),"",INDIRECT("template!"&amp;"I"&amp;A665))</f>
        <v>#REF!</v>
      </c>
      <c r="M665" t="e" cm="1">
        <f t="array" aca="1" ref="M665" ca="1">IF(OR(A665="",B665="safety"),"",INDIRECT("template!"&amp;"J"&amp;A665))</f>
        <v>#REF!</v>
      </c>
      <c r="N665" t="e" cm="1">
        <f t="array" aca="1" ref="N665" ca="1">IF(OR(A665="",B665="safety"),"",IF(ISBLANK(INDIRECT("template!"&amp;"K"&amp;A665)),"",INDIRECT("template!"&amp;"K"&amp;A665)))</f>
        <v>#REF!</v>
      </c>
      <c r="O665" t="e" cm="1">
        <f t="array" aca="1" ref="O665" ca="1">IF(OR(A665="",B665="safety"),"",INDIRECT("template!"&amp;"L"&amp;A665))</f>
        <v>#REF!</v>
      </c>
      <c r="P665" t="e" cm="1">
        <f t="array" aca="1" ref="P665" ca="1">IF(OR(A665="",B665="safety"),"",INDIRECT("template!"&amp;"M"&amp;A665))</f>
        <v>#REF!</v>
      </c>
      <c r="Q665" t="e">
        <f t="shared" ca="1" si="58"/>
        <v>#REF!</v>
      </c>
      <c r="R665" t="e">
        <f t="shared" ca="1" si="59"/>
        <v>#REF!</v>
      </c>
      <c r="S665" t="e">
        <f t="shared" ca="1" si="60"/>
        <v>#REF!</v>
      </c>
      <c r="T665" t="e">
        <f t="shared" ca="1" si="61"/>
        <v>#REF!</v>
      </c>
      <c r="U665" t="e" cm="1">
        <f t="array" aca="1" ref="U665" ca="1">IF(A665="","",IF(E665="","",IF(B665="safety",INDIRECT("template!"&amp;"P"&amp;A665),Q665+R665)))</f>
        <v>#REF!</v>
      </c>
      <c r="V665" t="e" cm="1">
        <f t="array" aca="1" ref="V665" ca="1">IF(A665="","",IF(E665="","",IF(B665="safety",INDIRECT("template!"&amp;"P"&amp;A665),S665+T665)))</f>
        <v>#REF!</v>
      </c>
      <c r="W665" t="e">
        <f ca="1">IF(A665="","",IF(E665="","",#REF!))</f>
        <v>#REF!</v>
      </c>
      <c r="X665" t="e">
        <f ca="1">IF(A665="","",IF(E665="","",#REF!))</f>
        <v>#REF!</v>
      </c>
      <c r="Y665" s="39" t="e">
        <f ca="1">IF(A665="","",IF(E665="","",#REF!))</f>
        <v>#REF!</v>
      </c>
      <c r="Z665" t="e">
        <f ca="1">IF(A665="","",IF(E665="","",#REF!))</f>
        <v>#REF!</v>
      </c>
      <c r="AA665" t="e">
        <f ca="1">IF(A665="","",IF(E665="","",#REF!))</f>
        <v>#REF!</v>
      </c>
      <c r="AB665" t="e">
        <f ca="1">IF(A665="","",IF(E665="","",#REF!))</f>
        <v>#REF!</v>
      </c>
      <c r="AC665" t="e">
        <f t="shared" ca="1" si="62"/>
        <v>#REF!</v>
      </c>
    </row>
    <row r="666" spans="1:29" x14ac:dyDescent="0.35">
      <c r="A666" t="e" cm="1">
        <f t="array" aca="1" ref="A666" ca="1">IF(A665="","",IF(OR(AND(A665+1&gt;=$AF$1,A665+1&lt;=$AF$2),AND(A665+1&gt;=$AF$6,A665+1&lt;=$AF$7),AND(A665+1&gt;=$AF$3,A665+1&lt;=$AF$4),AND(A665+1&gt;=$AF$8,A665+1&lt;=$AF$9),A665+1=$AF$5),IF(NOT(ISBLANK(INDIRECT("template!"&amp;"P"&amp;A665+1))),A665+1,IF(NOT(ISBLANK(INDIRECT("template!"&amp;"P"&amp;A665+2))),A665+2,A665+3)),IF(A665=$AF$2,$AF$3,IF(A665=$AF$4,$AF$5,IF(A665=$AF$5,$AF$6,IF(A665=$AF$7,$AF$8,""))))))</f>
        <v>#REF!</v>
      </c>
      <c r="B666" t="e">
        <f t="shared" ca="1" si="57"/>
        <v>#REF!</v>
      </c>
      <c r="C666" t="e" cm="1">
        <f t="array" aca="1" ref="C666" ca="1">IF(A666="","",IF(B666="safety","safety costs",INDIRECT("template!"&amp;"B"&amp;A666)))</f>
        <v>#REF!</v>
      </c>
      <c r="D666" t="e" cm="1">
        <f t="array" aca="1" ref="D666" ca="1">IF(OR(A666="",B666="safety"),"",INDIRECT("template!"&amp;"C"&amp;A666))</f>
        <v>#REF!</v>
      </c>
      <c r="E666" t="e" cm="1">
        <f t="array" aca="1" ref="E666" ca="1">IF(A666="","",IF(OR(A666=A665+1,A666=A665+2),E665,INDIRECT("template!"&amp;"D"&amp;A666-2)))</f>
        <v>#REF!</v>
      </c>
      <c r="F666" t="e" cm="1">
        <f t="array" aca="1" ref="F666" ca="1">IF(OR(A666="",B666="safety"),"",IF(ISBLANK(IF(A666=A665+1,F665,INDIRECT("template!"&amp;"D"&amp;A666-1))),"",IF(A666=A665+1,F665,INDIRECT("template!"&amp;"D"&amp;A666-1))))</f>
        <v>#REF!</v>
      </c>
      <c r="G666" t="e" cm="1">
        <f t="array" aca="1" ref="G666" ca="1">IF(OR(A666="",B666="safety"),"",IF(ISBLANK(INDIRECT("template!"&amp;"D"&amp;A666)),"",INDIRECT("template!"&amp;"D"&amp;A666)))</f>
        <v>#REF!</v>
      </c>
      <c r="H666" t="e" cm="1">
        <f t="array" aca="1" ref="H666" ca="1">IF(OR(A666="",B666="safety"),"",IF(ISBLANK(INDIRECT("template!"&amp;"E"&amp;A666)),"",INDIRECT("template!"&amp;"E"&amp;A666)))</f>
        <v>#REF!</v>
      </c>
      <c r="I666" t="e" cm="1">
        <f t="array" aca="1" ref="I666" ca="1">IF(OR(A666="",B666="safety"),"",IF(ISBLANK(INDIRECT("template!"&amp;"F"&amp;A666)),"",INDIRECT("template!"&amp;"F"&amp;A666)))</f>
        <v>#REF!</v>
      </c>
      <c r="J666" t="e" cm="1">
        <f t="array" aca="1" ref="J666" ca="1">IF(OR(A666="",B666="safety"),"",IF(ISBLANK(INDIRECT("template!"&amp;"G"&amp;A666)),"",INDIRECT("template!"&amp;"G"&amp;A666)))</f>
        <v>#REF!</v>
      </c>
      <c r="K666" t="e" cm="1">
        <f t="array" aca="1" ref="K666" ca="1">IF(OR(A666="",B666="safety"),"",IF(ISBLANK(INDIRECT("template!"&amp;"H"&amp;A666)),"",INDIRECT("template!"&amp;"H"&amp;A666)))</f>
        <v>#REF!</v>
      </c>
      <c r="L666" t="e" cm="1">
        <f t="array" aca="1" ref="L666" ca="1">IF(OR(A666="",B666="safety"),"",INDIRECT("template!"&amp;"I"&amp;A666))</f>
        <v>#REF!</v>
      </c>
      <c r="M666" t="e" cm="1">
        <f t="array" aca="1" ref="M666" ca="1">IF(OR(A666="",B666="safety"),"",INDIRECT("template!"&amp;"J"&amp;A666))</f>
        <v>#REF!</v>
      </c>
      <c r="N666" t="e" cm="1">
        <f t="array" aca="1" ref="N666" ca="1">IF(OR(A666="",B666="safety"),"",IF(ISBLANK(INDIRECT("template!"&amp;"K"&amp;A666)),"",INDIRECT("template!"&amp;"K"&amp;A666)))</f>
        <v>#REF!</v>
      </c>
      <c r="O666" t="e" cm="1">
        <f t="array" aca="1" ref="O666" ca="1">IF(OR(A666="",B666="safety"),"",INDIRECT("template!"&amp;"L"&amp;A666))</f>
        <v>#REF!</v>
      </c>
      <c r="P666" t="e" cm="1">
        <f t="array" aca="1" ref="P666" ca="1">IF(OR(A666="",B666="safety"),"",INDIRECT("template!"&amp;"M"&amp;A666))</f>
        <v>#REF!</v>
      </c>
      <c r="Q666" t="e">
        <f t="shared" ca="1" si="58"/>
        <v>#REF!</v>
      </c>
      <c r="R666" t="e">
        <f t="shared" ca="1" si="59"/>
        <v>#REF!</v>
      </c>
      <c r="S666" t="e">
        <f t="shared" ca="1" si="60"/>
        <v>#REF!</v>
      </c>
      <c r="T666" t="e">
        <f t="shared" ca="1" si="61"/>
        <v>#REF!</v>
      </c>
      <c r="U666" t="e" cm="1">
        <f t="array" aca="1" ref="U666" ca="1">IF(A666="","",IF(E666="","",IF(B666="safety",INDIRECT("template!"&amp;"P"&amp;A666),Q666+R666)))</f>
        <v>#REF!</v>
      </c>
      <c r="V666" t="e" cm="1">
        <f t="array" aca="1" ref="V666" ca="1">IF(A666="","",IF(E666="","",IF(B666="safety",INDIRECT("template!"&amp;"P"&amp;A666),S666+T666)))</f>
        <v>#REF!</v>
      </c>
      <c r="W666" t="e">
        <f ca="1">IF(A666="","",IF(E666="","",#REF!))</f>
        <v>#REF!</v>
      </c>
      <c r="X666" t="e">
        <f ca="1">IF(A666="","",IF(E666="","",#REF!))</f>
        <v>#REF!</v>
      </c>
      <c r="Y666" s="39" t="e">
        <f ca="1">IF(A666="","",IF(E666="","",#REF!))</f>
        <v>#REF!</v>
      </c>
      <c r="Z666" t="e">
        <f ca="1">IF(A666="","",IF(E666="","",#REF!))</f>
        <v>#REF!</v>
      </c>
      <c r="AA666" t="e">
        <f ca="1">IF(A666="","",IF(E666="","",#REF!))</f>
        <v>#REF!</v>
      </c>
      <c r="AB666" t="e">
        <f ca="1">IF(A666="","",IF(E666="","",#REF!))</f>
        <v>#REF!</v>
      </c>
      <c r="AC666" t="e">
        <f t="shared" ca="1" si="62"/>
        <v>#REF!</v>
      </c>
    </row>
    <row r="667" spans="1:29" x14ac:dyDescent="0.35">
      <c r="A667" t="e" cm="1">
        <f t="array" aca="1" ref="A667" ca="1">IF(A666="","",IF(OR(AND(A666+1&gt;=$AF$1,A666+1&lt;=$AF$2),AND(A666+1&gt;=$AF$6,A666+1&lt;=$AF$7),AND(A666+1&gt;=$AF$3,A666+1&lt;=$AF$4),AND(A666+1&gt;=$AF$8,A666+1&lt;=$AF$9),A666+1=$AF$5),IF(NOT(ISBLANK(INDIRECT("template!"&amp;"P"&amp;A666+1))),A666+1,IF(NOT(ISBLANK(INDIRECT("template!"&amp;"P"&amp;A666+2))),A666+2,A666+3)),IF(A666=$AF$2,$AF$3,IF(A666=$AF$4,$AF$5,IF(A666=$AF$5,$AF$6,IF(A666=$AF$7,$AF$8,""))))))</f>
        <v>#REF!</v>
      </c>
      <c r="B667" t="e">
        <f t="shared" ca="1" si="57"/>
        <v>#REF!</v>
      </c>
      <c r="C667" t="e" cm="1">
        <f t="array" aca="1" ref="C667" ca="1">IF(A667="","",IF(B667="safety","safety costs",INDIRECT("template!"&amp;"B"&amp;A667)))</f>
        <v>#REF!</v>
      </c>
      <c r="D667" t="e" cm="1">
        <f t="array" aca="1" ref="D667" ca="1">IF(OR(A667="",B667="safety"),"",INDIRECT("template!"&amp;"C"&amp;A667))</f>
        <v>#REF!</v>
      </c>
      <c r="E667" t="e" cm="1">
        <f t="array" aca="1" ref="E667" ca="1">IF(A667="","",IF(OR(A667=A666+1,A667=A666+2),E666,INDIRECT("template!"&amp;"D"&amp;A667-2)))</f>
        <v>#REF!</v>
      </c>
      <c r="F667" t="e" cm="1">
        <f t="array" aca="1" ref="F667" ca="1">IF(OR(A667="",B667="safety"),"",IF(ISBLANK(IF(A667=A666+1,F666,INDIRECT("template!"&amp;"D"&amp;A667-1))),"",IF(A667=A666+1,F666,INDIRECT("template!"&amp;"D"&amp;A667-1))))</f>
        <v>#REF!</v>
      </c>
      <c r="G667" t="e" cm="1">
        <f t="array" aca="1" ref="G667" ca="1">IF(OR(A667="",B667="safety"),"",IF(ISBLANK(INDIRECT("template!"&amp;"D"&amp;A667)),"",INDIRECT("template!"&amp;"D"&amp;A667)))</f>
        <v>#REF!</v>
      </c>
      <c r="H667" t="e" cm="1">
        <f t="array" aca="1" ref="H667" ca="1">IF(OR(A667="",B667="safety"),"",IF(ISBLANK(INDIRECT("template!"&amp;"E"&amp;A667)),"",INDIRECT("template!"&amp;"E"&amp;A667)))</f>
        <v>#REF!</v>
      </c>
      <c r="I667" t="e" cm="1">
        <f t="array" aca="1" ref="I667" ca="1">IF(OR(A667="",B667="safety"),"",IF(ISBLANK(INDIRECT("template!"&amp;"F"&amp;A667)),"",INDIRECT("template!"&amp;"F"&amp;A667)))</f>
        <v>#REF!</v>
      </c>
      <c r="J667" t="e" cm="1">
        <f t="array" aca="1" ref="J667" ca="1">IF(OR(A667="",B667="safety"),"",IF(ISBLANK(INDIRECT("template!"&amp;"G"&amp;A667)),"",INDIRECT("template!"&amp;"G"&amp;A667)))</f>
        <v>#REF!</v>
      </c>
      <c r="K667" t="e" cm="1">
        <f t="array" aca="1" ref="K667" ca="1">IF(OR(A667="",B667="safety"),"",IF(ISBLANK(INDIRECT("template!"&amp;"H"&amp;A667)),"",INDIRECT("template!"&amp;"H"&amp;A667)))</f>
        <v>#REF!</v>
      </c>
      <c r="L667" t="e" cm="1">
        <f t="array" aca="1" ref="L667" ca="1">IF(OR(A667="",B667="safety"),"",INDIRECT("template!"&amp;"I"&amp;A667))</f>
        <v>#REF!</v>
      </c>
      <c r="M667" t="e" cm="1">
        <f t="array" aca="1" ref="M667" ca="1">IF(OR(A667="",B667="safety"),"",INDIRECT("template!"&amp;"J"&amp;A667))</f>
        <v>#REF!</v>
      </c>
      <c r="N667" t="e" cm="1">
        <f t="array" aca="1" ref="N667" ca="1">IF(OR(A667="",B667="safety"),"",IF(ISBLANK(INDIRECT("template!"&amp;"K"&amp;A667)),"",INDIRECT("template!"&amp;"K"&amp;A667)))</f>
        <v>#REF!</v>
      </c>
      <c r="O667" t="e" cm="1">
        <f t="array" aca="1" ref="O667" ca="1">IF(OR(A667="",B667="safety"),"",INDIRECT("template!"&amp;"L"&amp;A667))</f>
        <v>#REF!</v>
      </c>
      <c r="P667" t="e" cm="1">
        <f t="array" aca="1" ref="P667" ca="1">IF(OR(A667="",B667="safety"),"",INDIRECT("template!"&amp;"M"&amp;A667))</f>
        <v>#REF!</v>
      </c>
      <c r="Q667" t="e">
        <f t="shared" ca="1" si="58"/>
        <v>#REF!</v>
      </c>
      <c r="R667" t="e">
        <f t="shared" ca="1" si="59"/>
        <v>#REF!</v>
      </c>
      <c r="S667" t="e">
        <f t="shared" ca="1" si="60"/>
        <v>#REF!</v>
      </c>
      <c r="T667" t="e">
        <f t="shared" ca="1" si="61"/>
        <v>#REF!</v>
      </c>
      <c r="U667" t="e" cm="1">
        <f t="array" aca="1" ref="U667" ca="1">IF(A667="","",IF(E667="","",IF(B667="safety",INDIRECT("template!"&amp;"P"&amp;A667),Q667+R667)))</f>
        <v>#REF!</v>
      </c>
      <c r="V667" t="e" cm="1">
        <f t="array" aca="1" ref="V667" ca="1">IF(A667="","",IF(E667="","",IF(B667="safety",INDIRECT("template!"&amp;"P"&amp;A667),S667+T667)))</f>
        <v>#REF!</v>
      </c>
      <c r="W667" t="e">
        <f ca="1">IF(A667="","",IF(E667="","",#REF!))</f>
        <v>#REF!</v>
      </c>
      <c r="X667" t="e">
        <f ca="1">IF(A667="","",IF(E667="","",#REF!))</f>
        <v>#REF!</v>
      </c>
      <c r="Y667" s="39" t="e">
        <f ca="1">IF(A667="","",IF(E667="","",#REF!))</f>
        <v>#REF!</v>
      </c>
      <c r="Z667" t="e">
        <f ca="1">IF(A667="","",IF(E667="","",#REF!))</f>
        <v>#REF!</v>
      </c>
      <c r="AA667" t="e">
        <f ca="1">IF(A667="","",IF(E667="","",#REF!))</f>
        <v>#REF!</v>
      </c>
      <c r="AB667" t="e">
        <f ca="1">IF(A667="","",IF(E667="","",#REF!))</f>
        <v>#REF!</v>
      </c>
      <c r="AC667" t="e">
        <f t="shared" ca="1" si="62"/>
        <v>#REF!</v>
      </c>
    </row>
    <row r="668" spans="1:29" x14ac:dyDescent="0.35">
      <c r="A668" t="e" cm="1">
        <f t="array" aca="1" ref="A668" ca="1">IF(A667="","",IF(OR(AND(A667+1&gt;=$AF$1,A667+1&lt;=$AF$2),AND(A667+1&gt;=$AF$6,A667+1&lt;=$AF$7),AND(A667+1&gt;=$AF$3,A667+1&lt;=$AF$4),AND(A667+1&gt;=$AF$8,A667+1&lt;=$AF$9),A667+1=$AF$5),IF(NOT(ISBLANK(INDIRECT("template!"&amp;"P"&amp;A667+1))),A667+1,IF(NOT(ISBLANK(INDIRECT("template!"&amp;"P"&amp;A667+2))),A667+2,A667+3)),IF(A667=$AF$2,$AF$3,IF(A667=$AF$4,$AF$5,IF(A667=$AF$5,$AF$6,IF(A667=$AF$7,$AF$8,""))))))</f>
        <v>#REF!</v>
      </c>
      <c r="B668" t="e">
        <f t="shared" ca="1" si="57"/>
        <v>#REF!</v>
      </c>
      <c r="C668" t="e" cm="1">
        <f t="array" aca="1" ref="C668" ca="1">IF(A668="","",IF(B668="safety","safety costs",INDIRECT("template!"&amp;"B"&amp;A668)))</f>
        <v>#REF!</v>
      </c>
      <c r="D668" t="e" cm="1">
        <f t="array" aca="1" ref="D668" ca="1">IF(OR(A668="",B668="safety"),"",INDIRECT("template!"&amp;"C"&amp;A668))</f>
        <v>#REF!</v>
      </c>
      <c r="E668" t="e" cm="1">
        <f t="array" aca="1" ref="E668" ca="1">IF(A668="","",IF(OR(A668=A667+1,A668=A667+2),E667,INDIRECT("template!"&amp;"D"&amp;A668-2)))</f>
        <v>#REF!</v>
      </c>
      <c r="F668" t="e" cm="1">
        <f t="array" aca="1" ref="F668" ca="1">IF(OR(A668="",B668="safety"),"",IF(ISBLANK(IF(A668=A667+1,F667,INDIRECT("template!"&amp;"D"&amp;A668-1))),"",IF(A668=A667+1,F667,INDIRECT("template!"&amp;"D"&amp;A668-1))))</f>
        <v>#REF!</v>
      </c>
      <c r="G668" t="e" cm="1">
        <f t="array" aca="1" ref="G668" ca="1">IF(OR(A668="",B668="safety"),"",IF(ISBLANK(INDIRECT("template!"&amp;"D"&amp;A668)),"",INDIRECT("template!"&amp;"D"&amp;A668)))</f>
        <v>#REF!</v>
      </c>
      <c r="H668" t="e" cm="1">
        <f t="array" aca="1" ref="H668" ca="1">IF(OR(A668="",B668="safety"),"",IF(ISBLANK(INDIRECT("template!"&amp;"E"&amp;A668)),"",INDIRECT("template!"&amp;"E"&amp;A668)))</f>
        <v>#REF!</v>
      </c>
      <c r="I668" t="e" cm="1">
        <f t="array" aca="1" ref="I668" ca="1">IF(OR(A668="",B668="safety"),"",IF(ISBLANK(INDIRECT("template!"&amp;"F"&amp;A668)),"",INDIRECT("template!"&amp;"F"&amp;A668)))</f>
        <v>#REF!</v>
      </c>
      <c r="J668" t="e" cm="1">
        <f t="array" aca="1" ref="J668" ca="1">IF(OR(A668="",B668="safety"),"",IF(ISBLANK(INDIRECT("template!"&amp;"G"&amp;A668)),"",INDIRECT("template!"&amp;"G"&amp;A668)))</f>
        <v>#REF!</v>
      </c>
      <c r="K668" t="e" cm="1">
        <f t="array" aca="1" ref="K668" ca="1">IF(OR(A668="",B668="safety"),"",IF(ISBLANK(INDIRECT("template!"&amp;"H"&amp;A668)),"",INDIRECT("template!"&amp;"H"&amp;A668)))</f>
        <v>#REF!</v>
      </c>
      <c r="L668" t="e" cm="1">
        <f t="array" aca="1" ref="L668" ca="1">IF(OR(A668="",B668="safety"),"",INDIRECT("template!"&amp;"I"&amp;A668))</f>
        <v>#REF!</v>
      </c>
      <c r="M668" t="e" cm="1">
        <f t="array" aca="1" ref="M668" ca="1">IF(OR(A668="",B668="safety"),"",INDIRECT("template!"&amp;"J"&amp;A668))</f>
        <v>#REF!</v>
      </c>
      <c r="N668" t="e" cm="1">
        <f t="array" aca="1" ref="N668" ca="1">IF(OR(A668="",B668="safety"),"",IF(ISBLANK(INDIRECT("template!"&amp;"K"&amp;A668)),"",INDIRECT("template!"&amp;"K"&amp;A668)))</f>
        <v>#REF!</v>
      </c>
      <c r="O668" t="e" cm="1">
        <f t="array" aca="1" ref="O668" ca="1">IF(OR(A668="",B668="safety"),"",INDIRECT("template!"&amp;"L"&amp;A668))</f>
        <v>#REF!</v>
      </c>
      <c r="P668" t="e" cm="1">
        <f t="array" aca="1" ref="P668" ca="1">IF(OR(A668="",B668="safety"),"",INDIRECT("template!"&amp;"M"&amp;A668))</f>
        <v>#REF!</v>
      </c>
      <c r="Q668" t="e">
        <f t="shared" ca="1" si="58"/>
        <v>#REF!</v>
      </c>
      <c r="R668" t="e">
        <f t="shared" ca="1" si="59"/>
        <v>#REF!</v>
      </c>
      <c r="S668" t="e">
        <f t="shared" ca="1" si="60"/>
        <v>#REF!</v>
      </c>
      <c r="T668" t="e">
        <f t="shared" ca="1" si="61"/>
        <v>#REF!</v>
      </c>
      <c r="U668" t="e" cm="1">
        <f t="array" aca="1" ref="U668" ca="1">IF(A668="","",IF(E668="","",IF(B668="safety",INDIRECT("template!"&amp;"P"&amp;A668),Q668+R668)))</f>
        <v>#REF!</v>
      </c>
      <c r="V668" t="e" cm="1">
        <f t="array" aca="1" ref="V668" ca="1">IF(A668="","",IF(E668="","",IF(B668="safety",INDIRECT("template!"&amp;"P"&amp;A668),S668+T668)))</f>
        <v>#REF!</v>
      </c>
      <c r="W668" t="e">
        <f ca="1">IF(A668="","",IF(E668="","",#REF!))</f>
        <v>#REF!</v>
      </c>
      <c r="X668" t="e">
        <f ca="1">IF(A668="","",IF(E668="","",#REF!))</f>
        <v>#REF!</v>
      </c>
      <c r="Y668" s="39" t="e">
        <f ca="1">IF(A668="","",IF(E668="","",#REF!))</f>
        <v>#REF!</v>
      </c>
      <c r="Z668" t="e">
        <f ca="1">IF(A668="","",IF(E668="","",#REF!))</f>
        <v>#REF!</v>
      </c>
      <c r="AA668" t="e">
        <f ca="1">IF(A668="","",IF(E668="","",#REF!))</f>
        <v>#REF!</v>
      </c>
      <c r="AB668" t="e">
        <f ca="1">IF(A668="","",IF(E668="","",#REF!))</f>
        <v>#REF!</v>
      </c>
      <c r="AC668" t="e">
        <f t="shared" ca="1" si="62"/>
        <v>#REF!</v>
      </c>
    </row>
    <row r="669" spans="1:29" x14ac:dyDescent="0.35">
      <c r="A669" t="e" cm="1">
        <f t="array" aca="1" ref="A669" ca="1">IF(A668="","",IF(OR(AND(A668+1&gt;=$AF$1,A668+1&lt;=$AF$2),AND(A668+1&gt;=$AF$6,A668+1&lt;=$AF$7),AND(A668+1&gt;=$AF$3,A668+1&lt;=$AF$4),AND(A668+1&gt;=$AF$8,A668+1&lt;=$AF$9),A668+1=$AF$5),IF(NOT(ISBLANK(INDIRECT("template!"&amp;"P"&amp;A668+1))),A668+1,IF(NOT(ISBLANK(INDIRECT("template!"&amp;"P"&amp;A668+2))),A668+2,A668+3)),IF(A668=$AF$2,$AF$3,IF(A668=$AF$4,$AF$5,IF(A668=$AF$5,$AF$6,IF(A668=$AF$7,$AF$8,""))))))</f>
        <v>#REF!</v>
      </c>
      <c r="B669" t="e">
        <f t="shared" ca="1" si="57"/>
        <v>#REF!</v>
      </c>
      <c r="C669" t="e" cm="1">
        <f t="array" aca="1" ref="C669" ca="1">IF(A669="","",IF(B669="safety","safety costs",INDIRECT("template!"&amp;"B"&amp;A669)))</f>
        <v>#REF!</v>
      </c>
      <c r="D669" t="e" cm="1">
        <f t="array" aca="1" ref="D669" ca="1">IF(OR(A669="",B669="safety"),"",INDIRECT("template!"&amp;"C"&amp;A669))</f>
        <v>#REF!</v>
      </c>
      <c r="E669" t="e" cm="1">
        <f t="array" aca="1" ref="E669" ca="1">IF(A669="","",IF(OR(A669=A668+1,A669=A668+2),E668,INDIRECT("template!"&amp;"D"&amp;A669-2)))</f>
        <v>#REF!</v>
      </c>
      <c r="F669" t="e" cm="1">
        <f t="array" aca="1" ref="F669" ca="1">IF(OR(A669="",B669="safety"),"",IF(ISBLANK(IF(A669=A668+1,F668,INDIRECT("template!"&amp;"D"&amp;A669-1))),"",IF(A669=A668+1,F668,INDIRECT("template!"&amp;"D"&amp;A669-1))))</f>
        <v>#REF!</v>
      </c>
      <c r="G669" t="e" cm="1">
        <f t="array" aca="1" ref="G669" ca="1">IF(OR(A669="",B669="safety"),"",IF(ISBLANK(INDIRECT("template!"&amp;"D"&amp;A669)),"",INDIRECT("template!"&amp;"D"&amp;A669)))</f>
        <v>#REF!</v>
      </c>
      <c r="H669" t="e" cm="1">
        <f t="array" aca="1" ref="H669" ca="1">IF(OR(A669="",B669="safety"),"",IF(ISBLANK(INDIRECT("template!"&amp;"E"&amp;A669)),"",INDIRECT("template!"&amp;"E"&amp;A669)))</f>
        <v>#REF!</v>
      </c>
      <c r="I669" t="e" cm="1">
        <f t="array" aca="1" ref="I669" ca="1">IF(OR(A669="",B669="safety"),"",IF(ISBLANK(INDIRECT("template!"&amp;"F"&amp;A669)),"",INDIRECT("template!"&amp;"F"&amp;A669)))</f>
        <v>#REF!</v>
      </c>
      <c r="J669" t="e" cm="1">
        <f t="array" aca="1" ref="J669" ca="1">IF(OR(A669="",B669="safety"),"",IF(ISBLANK(INDIRECT("template!"&amp;"G"&amp;A669)),"",INDIRECT("template!"&amp;"G"&amp;A669)))</f>
        <v>#REF!</v>
      </c>
      <c r="K669" t="e" cm="1">
        <f t="array" aca="1" ref="K669" ca="1">IF(OR(A669="",B669="safety"),"",IF(ISBLANK(INDIRECT("template!"&amp;"H"&amp;A669)),"",INDIRECT("template!"&amp;"H"&amp;A669)))</f>
        <v>#REF!</v>
      </c>
      <c r="L669" t="e" cm="1">
        <f t="array" aca="1" ref="L669" ca="1">IF(OR(A669="",B669="safety"),"",INDIRECT("template!"&amp;"I"&amp;A669))</f>
        <v>#REF!</v>
      </c>
      <c r="M669" t="e" cm="1">
        <f t="array" aca="1" ref="M669" ca="1">IF(OR(A669="",B669="safety"),"",INDIRECT("template!"&amp;"J"&amp;A669))</f>
        <v>#REF!</v>
      </c>
      <c r="N669" t="e" cm="1">
        <f t="array" aca="1" ref="N669" ca="1">IF(OR(A669="",B669="safety"),"",IF(ISBLANK(INDIRECT("template!"&amp;"K"&amp;A669)),"",INDIRECT("template!"&amp;"K"&amp;A669)))</f>
        <v>#REF!</v>
      </c>
      <c r="O669" t="e" cm="1">
        <f t="array" aca="1" ref="O669" ca="1">IF(OR(A669="",B669="safety"),"",INDIRECT("template!"&amp;"L"&amp;A669))</f>
        <v>#REF!</v>
      </c>
      <c r="P669" t="e" cm="1">
        <f t="array" aca="1" ref="P669" ca="1">IF(OR(A669="",B669="safety"),"",INDIRECT("template!"&amp;"M"&amp;A669))</f>
        <v>#REF!</v>
      </c>
      <c r="Q669" t="e">
        <f t="shared" ca="1" si="58"/>
        <v>#REF!</v>
      </c>
      <c r="R669" t="e">
        <f t="shared" ca="1" si="59"/>
        <v>#REF!</v>
      </c>
      <c r="S669" t="e">
        <f t="shared" ca="1" si="60"/>
        <v>#REF!</v>
      </c>
      <c r="T669" t="e">
        <f t="shared" ca="1" si="61"/>
        <v>#REF!</v>
      </c>
      <c r="U669" t="e" cm="1">
        <f t="array" aca="1" ref="U669" ca="1">IF(A669="","",IF(E669="","",IF(B669="safety",INDIRECT("template!"&amp;"P"&amp;A669),Q669+R669)))</f>
        <v>#REF!</v>
      </c>
      <c r="V669" t="e" cm="1">
        <f t="array" aca="1" ref="V669" ca="1">IF(A669="","",IF(E669="","",IF(B669="safety",INDIRECT("template!"&amp;"P"&amp;A669),S669+T669)))</f>
        <v>#REF!</v>
      </c>
      <c r="W669" t="e">
        <f ca="1">IF(A669="","",IF(E669="","",#REF!))</f>
        <v>#REF!</v>
      </c>
      <c r="X669" t="e">
        <f ca="1">IF(A669="","",IF(E669="","",#REF!))</f>
        <v>#REF!</v>
      </c>
      <c r="Y669" s="39" t="e">
        <f ca="1">IF(A669="","",IF(E669="","",#REF!))</f>
        <v>#REF!</v>
      </c>
      <c r="Z669" t="e">
        <f ca="1">IF(A669="","",IF(E669="","",#REF!))</f>
        <v>#REF!</v>
      </c>
      <c r="AA669" t="e">
        <f ca="1">IF(A669="","",IF(E669="","",#REF!))</f>
        <v>#REF!</v>
      </c>
      <c r="AB669" t="e">
        <f ca="1">IF(A669="","",IF(E669="","",#REF!))</f>
        <v>#REF!</v>
      </c>
      <c r="AC669" t="e">
        <f t="shared" ca="1" si="62"/>
        <v>#REF!</v>
      </c>
    </row>
    <row r="670" spans="1:29" x14ac:dyDescent="0.35">
      <c r="A670" t="e" cm="1">
        <f t="array" aca="1" ref="A670" ca="1">IF(A669="","",IF(OR(AND(A669+1&gt;=$AF$1,A669+1&lt;=$AF$2),AND(A669+1&gt;=$AF$6,A669+1&lt;=$AF$7),AND(A669+1&gt;=$AF$3,A669+1&lt;=$AF$4),AND(A669+1&gt;=$AF$8,A669+1&lt;=$AF$9),A669+1=$AF$5),IF(NOT(ISBLANK(INDIRECT("template!"&amp;"P"&amp;A669+1))),A669+1,IF(NOT(ISBLANK(INDIRECT("template!"&amp;"P"&amp;A669+2))),A669+2,A669+3)),IF(A669=$AF$2,$AF$3,IF(A669=$AF$4,$AF$5,IF(A669=$AF$5,$AF$6,IF(A669=$AF$7,$AF$8,""))))))</f>
        <v>#REF!</v>
      </c>
      <c r="B670" t="e">
        <f t="shared" ca="1" si="57"/>
        <v>#REF!</v>
      </c>
      <c r="C670" t="e" cm="1">
        <f t="array" aca="1" ref="C670" ca="1">IF(A670="","",IF(B670="safety","safety costs",INDIRECT("template!"&amp;"B"&amp;A670)))</f>
        <v>#REF!</v>
      </c>
      <c r="D670" t="e" cm="1">
        <f t="array" aca="1" ref="D670" ca="1">IF(OR(A670="",B670="safety"),"",INDIRECT("template!"&amp;"C"&amp;A670))</f>
        <v>#REF!</v>
      </c>
      <c r="E670" t="e" cm="1">
        <f t="array" aca="1" ref="E670" ca="1">IF(A670="","",IF(OR(A670=A669+1,A670=A669+2),E669,INDIRECT("template!"&amp;"D"&amp;A670-2)))</f>
        <v>#REF!</v>
      </c>
      <c r="F670" t="e" cm="1">
        <f t="array" aca="1" ref="F670" ca="1">IF(OR(A670="",B670="safety"),"",IF(ISBLANK(IF(A670=A669+1,F669,INDIRECT("template!"&amp;"D"&amp;A670-1))),"",IF(A670=A669+1,F669,INDIRECT("template!"&amp;"D"&amp;A670-1))))</f>
        <v>#REF!</v>
      </c>
      <c r="G670" t="e" cm="1">
        <f t="array" aca="1" ref="G670" ca="1">IF(OR(A670="",B670="safety"),"",IF(ISBLANK(INDIRECT("template!"&amp;"D"&amp;A670)),"",INDIRECT("template!"&amp;"D"&amp;A670)))</f>
        <v>#REF!</v>
      </c>
      <c r="H670" t="e" cm="1">
        <f t="array" aca="1" ref="H670" ca="1">IF(OR(A670="",B670="safety"),"",IF(ISBLANK(INDIRECT("template!"&amp;"E"&amp;A670)),"",INDIRECT("template!"&amp;"E"&amp;A670)))</f>
        <v>#REF!</v>
      </c>
      <c r="I670" t="e" cm="1">
        <f t="array" aca="1" ref="I670" ca="1">IF(OR(A670="",B670="safety"),"",IF(ISBLANK(INDIRECT("template!"&amp;"F"&amp;A670)),"",INDIRECT("template!"&amp;"F"&amp;A670)))</f>
        <v>#REF!</v>
      </c>
      <c r="J670" t="e" cm="1">
        <f t="array" aca="1" ref="J670" ca="1">IF(OR(A670="",B670="safety"),"",IF(ISBLANK(INDIRECT("template!"&amp;"G"&amp;A670)),"",INDIRECT("template!"&amp;"G"&amp;A670)))</f>
        <v>#REF!</v>
      </c>
      <c r="K670" t="e" cm="1">
        <f t="array" aca="1" ref="K670" ca="1">IF(OR(A670="",B670="safety"),"",IF(ISBLANK(INDIRECT("template!"&amp;"H"&amp;A670)),"",INDIRECT("template!"&amp;"H"&amp;A670)))</f>
        <v>#REF!</v>
      </c>
      <c r="L670" t="e" cm="1">
        <f t="array" aca="1" ref="L670" ca="1">IF(OR(A670="",B670="safety"),"",INDIRECT("template!"&amp;"I"&amp;A670))</f>
        <v>#REF!</v>
      </c>
      <c r="M670" t="e" cm="1">
        <f t="array" aca="1" ref="M670" ca="1">IF(OR(A670="",B670="safety"),"",INDIRECT("template!"&amp;"J"&amp;A670))</f>
        <v>#REF!</v>
      </c>
      <c r="N670" t="e" cm="1">
        <f t="array" aca="1" ref="N670" ca="1">IF(OR(A670="",B670="safety"),"",IF(ISBLANK(INDIRECT("template!"&amp;"K"&amp;A670)),"",INDIRECT("template!"&amp;"K"&amp;A670)))</f>
        <v>#REF!</v>
      </c>
      <c r="O670" t="e" cm="1">
        <f t="array" aca="1" ref="O670" ca="1">IF(OR(A670="",B670="safety"),"",INDIRECT("template!"&amp;"L"&amp;A670))</f>
        <v>#REF!</v>
      </c>
      <c r="P670" t="e" cm="1">
        <f t="array" aca="1" ref="P670" ca="1">IF(OR(A670="",B670="safety"),"",INDIRECT("template!"&amp;"M"&amp;A670))</f>
        <v>#REF!</v>
      </c>
      <c r="Q670" t="e">
        <f t="shared" ca="1" si="58"/>
        <v>#REF!</v>
      </c>
      <c r="R670" t="e">
        <f t="shared" ca="1" si="59"/>
        <v>#REF!</v>
      </c>
      <c r="S670" t="e">
        <f t="shared" ca="1" si="60"/>
        <v>#REF!</v>
      </c>
      <c r="T670" t="e">
        <f t="shared" ca="1" si="61"/>
        <v>#REF!</v>
      </c>
      <c r="U670" t="e" cm="1">
        <f t="array" aca="1" ref="U670" ca="1">IF(A670="","",IF(E670="","",IF(B670="safety",INDIRECT("template!"&amp;"P"&amp;A670),Q670+R670)))</f>
        <v>#REF!</v>
      </c>
      <c r="V670" t="e" cm="1">
        <f t="array" aca="1" ref="V670" ca="1">IF(A670="","",IF(E670="","",IF(B670="safety",INDIRECT("template!"&amp;"P"&amp;A670),S670+T670)))</f>
        <v>#REF!</v>
      </c>
      <c r="W670" t="e">
        <f ca="1">IF(A670="","",IF(E670="","",#REF!))</f>
        <v>#REF!</v>
      </c>
      <c r="X670" t="e">
        <f ca="1">IF(A670="","",IF(E670="","",#REF!))</f>
        <v>#REF!</v>
      </c>
      <c r="Y670" s="39" t="e">
        <f ca="1">IF(A670="","",IF(E670="","",#REF!))</f>
        <v>#REF!</v>
      </c>
      <c r="Z670" t="e">
        <f ca="1">IF(A670="","",IF(E670="","",#REF!))</f>
        <v>#REF!</v>
      </c>
      <c r="AA670" t="e">
        <f ca="1">IF(A670="","",IF(E670="","",#REF!))</f>
        <v>#REF!</v>
      </c>
      <c r="AB670" t="e">
        <f ca="1">IF(A670="","",IF(E670="","",#REF!))</f>
        <v>#REF!</v>
      </c>
      <c r="AC670" t="e">
        <f t="shared" ca="1" si="62"/>
        <v>#REF!</v>
      </c>
    </row>
    <row r="671" spans="1:29" x14ac:dyDescent="0.35">
      <c r="A671" t="e" cm="1">
        <f t="array" aca="1" ref="A671" ca="1">IF(A670="","",IF(OR(AND(A670+1&gt;=$AF$1,A670+1&lt;=$AF$2),AND(A670+1&gt;=$AF$6,A670+1&lt;=$AF$7),AND(A670+1&gt;=$AF$3,A670+1&lt;=$AF$4),AND(A670+1&gt;=$AF$8,A670+1&lt;=$AF$9),A670+1=$AF$5),IF(NOT(ISBLANK(INDIRECT("template!"&amp;"P"&amp;A670+1))),A670+1,IF(NOT(ISBLANK(INDIRECT("template!"&amp;"P"&amp;A670+2))),A670+2,A670+3)),IF(A670=$AF$2,$AF$3,IF(A670=$AF$4,$AF$5,IF(A670=$AF$5,$AF$6,IF(A670=$AF$7,$AF$8,""))))))</f>
        <v>#REF!</v>
      </c>
      <c r="B671" t="e">
        <f t="shared" ca="1" si="57"/>
        <v>#REF!</v>
      </c>
      <c r="C671" t="e" cm="1">
        <f t="array" aca="1" ref="C671" ca="1">IF(A671="","",IF(B671="safety","safety costs",INDIRECT("template!"&amp;"B"&amp;A671)))</f>
        <v>#REF!</v>
      </c>
      <c r="D671" t="e" cm="1">
        <f t="array" aca="1" ref="D671" ca="1">IF(OR(A671="",B671="safety"),"",INDIRECT("template!"&amp;"C"&amp;A671))</f>
        <v>#REF!</v>
      </c>
      <c r="E671" t="e" cm="1">
        <f t="array" aca="1" ref="E671" ca="1">IF(A671="","",IF(OR(A671=A670+1,A671=A670+2),E670,INDIRECT("template!"&amp;"D"&amp;A671-2)))</f>
        <v>#REF!</v>
      </c>
      <c r="F671" t="e" cm="1">
        <f t="array" aca="1" ref="F671" ca="1">IF(OR(A671="",B671="safety"),"",IF(ISBLANK(IF(A671=A670+1,F670,INDIRECT("template!"&amp;"D"&amp;A671-1))),"",IF(A671=A670+1,F670,INDIRECT("template!"&amp;"D"&amp;A671-1))))</f>
        <v>#REF!</v>
      </c>
      <c r="G671" t="e" cm="1">
        <f t="array" aca="1" ref="G671" ca="1">IF(OR(A671="",B671="safety"),"",IF(ISBLANK(INDIRECT("template!"&amp;"D"&amp;A671)),"",INDIRECT("template!"&amp;"D"&amp;A671)))</f>
        <v>#REF!</v>
      </c>
      <c r="H671" t="e" cm="1">
        <f t="array" aca="1" ref="H671" ca="1">IF(OR(A671="",B671="safety"),"",IF(ISBLANK(INDIRECT("template!"&amp;"E"&amp;A671)),"",INDIRECT("template!"&amp;"E"&amp;A671)))</f>
        <v>#REF!</v>
      </c>
      <c r="I671" t="e" cm="1">
        <f t="array" aca="1" ref="I671" ca="1">IF(OR(A671="",B671="safety"),"",IF(ISBLANK(INDIRECT("template!"&amp;"F"&amp;A671)),"",INDIRECT("template!"&amp;"F"&amp;A671)))</f>
        <v>#REF!</v>
      </c>
      <c r="J671" t="e" cm="1">
        <f t="array" aca="1" ref="J671" ca="1">IF(OR(A671="",B671="safety"),"",IF(ISBLANK(INDIRECT("template!"&amp;"G"&amp;A671)),"",INDIRECT("template!"&amp;"G"&amp;A671)))</f>
        <v>#REF!</v>
      </c>
      <c r="K671" t="e" cm="1">
        <f t="array" aca="1" ref="K671" ca="1">IF(OR(A671="",B671="safety"),"",IF(ISBLANK(INDIRECT("template!"&amp;"H"&amp;A671)),"",INDIRECT("template!"&amp;"H"&amp;A671)))</f>
        <v>#REF!</v>
      </c>
      <c r="L671" t="e" cm="1">
        <f t="array" aca="1" ref="L671" ca="1">IF(OR(A671="",B671="safety"),"",INDIRECT("template!"&amp;"I"&amp;A671))</f>
        <v>#REF!</v>
      </c>
      <c r="M671" t="e" cm="1">
        <f t="array" aca="1" ref="M671" ca="1">IF(OR(A671="",B671="safety"),"",INDIRECT("template!"&amp;"J"&amp;A671))</f>
        <v>#REF!</v>
      </c>
      <c r="N671" t="e" cm="1">
        <f t="array" aca="1" ref="N671" ca="1">IF(OR(A671="",B671="safety"),"",IF(ISBLANK(INDIRECT("template!"&amp;"K"&amp;A671)),"",INDIRECT("template!"&amp;"K"&amp;A671)))</f>
        <v>#REF!</v>
      </c>
      <c r="O671" t="e" cm="1">
        <f t="array" aca="1" ref="O671" ca="1">IF(OR(A671="",B671="safety"),"",INDIRECT("template!"&amp;"L"&amp;A671))</f>
        <v>#REF!</v>
      </c>
      <c r="P671" t="e" cm="1">
        <f t="array" aca="1" ref="P671" ca="1">IF(OR(A671="",B671="safety"),"",INDIRECT("template!"&amp;"M"&amp;A671))</f>
        <v>#REF!</v>
      </c>
      <c r="Q671" t="e">
        <f t="shared" ca="1" si="58"/>
        <v>#REF!</v>
      </c>
      <c r="R671" t="e">
        <f t="shared" ca="1" si="59"/>
        <v>#REF!</v>
      </c>
      <c r="S671" t="e">
        <f t="shared" ca="1" si="60"/>
        <v>#REF!</v>
      </c>
      <c r="T671" t="e">
        <f t="shared" ca="1" si="61"/>
        <v>#REF!</v>
      </c>
      <c r="U671" t="e" cm="1">
        <f t="array" aca="1" ref="U671" ca="1">IF(A671="","",IF(E671="","",IF(B671="safety",INDIRECT("template!"&amp;"P"&amp;A671),Q671+R671)))</f>
        <v>#REF!</v>
      </c>
      <c r="V671" t="e" cm="1">
        <f t="array" aca="1" ref="V671" ca="1">IF(A671="","",IF(E671="","",IF(B671="safety",INDIRECT("template!"&amp;"P"&amp;A671),S671+T671)))</f>
        <v>#REF!</v>
      </c>
      <c r="W671" t="e">
        <f ca="1">IF(A671="","",IF(E671="","",#REF!))</f>
        <v>#REF!</v>
      </c>
      <c r="X671" t="e">
        <f ca="1">IF(A671="","",IF(E671="","",#REF!))</f>
        <v>#REF!</v>
      </c>
      <c r="Y671" s="39" t="e">
        <f ca="1">IF(A671="","",IF(E671="","",#REF!))</f>
        <v>#REF!</v>
      </c>
      <c r="Z671" t="e">
        <f ca="1">IF(A671="","",IF(E671="","",#REF!))</f>
        <v>#REF!</v>
      </c>
      <c r="AA671" t="e">
        <f ca="1">IF(A671="","",IF(E671="","",#REF!))</f>
        <v>#REF!</v>
      </c>
      <c r="AB671" t="e">
        <f ca="1">IF(A671="","",IF(E671="","",#REF!))</f>
        <v>#REF!</v>
      </c>
      <c r="AC671" t="e">
        <f t="shared" ca="1" si="62"/>
        <v>#REF!</v>
      </c>
    </row>
    <row r="672" spans="1:29" x14ac:dyDescent="0.35">
      <c r="A672" t="e" cm="1">
        <f t="array" aca="1" ref="A672" ca="1">IF(A671="","",IF(OR(AND(A671+1&gt;=$AF$1,A671+1&lt;=$AF$2),AND(A671+1&gt;=$AF$6,A671+1&lt;=$AF$7),AND(A671+1&gt;=$AF$3,A671+1&lt;=$AF$4),AND(A671+1&gt;=$AF$8,A671+1&lt;=$AF$9),A671+1=$AF$5),IF(NOT(ISBLANK(INDIRECT("template!"&amp;"P"&amp;A671+1))),A671+1,IF(NOT(ISBLANK(INDIRECT("template!"&amp;"P"&amp;A671+2))),A671+2,A671+3)),IF(A671=$AF$2,$AF$3,IF(A671=$AF$4,$AF$5,IF(A671=$AF$5,$AF$6,IF(A671=$AF$7,$AF$8,""))))))</f>
        <v>#REF!</v>
      </c>
      <c r="B672" t="e">
        <f t="shared" ca="1" si="57"/>
        <v>#REF!</v>
      </c>
      <c r="C672" t="e" cm="1">
        <f t="array" aca="1" ref="C672" ca="1">IF(A672="","",IF(B672="safety","safety costs",INDIRECT("template!"&amp;"B"&amp;A672)))</f>
        <v>#REF!</v>
      </c>
      <c r="D672" t="e" cm="1">
        <f t="array" aca="1" ref="D672" ca="1">IF(OR(A672="",B672="safety"),"",INDIRECT("template!"&amp;"C"&amp;A672))</f>
        <v>#REF!</v>
      </c>
      <c r="E672" t="e" cm="1">
        <f t="array" aca="1" ref="E672" ca="1">IF(A672="","",IF(OR(A672=A671+1,A672=A671+2),E671,INDIRECT("template!"&amp;"D"&amp;A672-2)))</f>
        <v>#REF!</v>
      </c>
      <c r="F672" t="e" cm="1">
        <f t="array" aca="1" ref="F672" ca="1">IF(OR(A672="",B672="safety"),"",IF(ISBLANK(IF(A672=A671+1,F671,INDIRECT("template!"&amp;"D"&amp;A672-1))),"",IF(A672=A671+1,F671,INDIRECT("template!"&amp;"D"&amp;A672-1))))</f>
        <v>#REF!</v>
      </c>
      <c r="G672" t="e" cm="1">
        <f t="array" aca="1" ref="G672" ca="1">IF(OR(A672="",B672="safety"),"",IF(ISBLANK(INDIRECT("template!"&amp;"D"&amp;A672)),"",INDIRECT("template!"&amp;"D"&amp;A672)))</f>
        <v>#REF!</v>
      </c>
      <c r="H672" t="e" cm="1">
        <f t="array" aca="1" ref="H672" ca="1">IF(OR(A672="",B672="safety"),"",IF(ISBLANK(INDIRECT("template!"&amp;"E"&amp;A672)),"",INDIRECT("template!"&amp;"E"&amp;A672)))</f>
        <v>#REF!</v>
      </c>
      <c r="I672" t="e" cm="1">
        <f t="array" aca="1" ref="I672" ca="1">IF(OR(A672="",B672="safety"),"",IF(ISBLANK(INDIRECT("template!"&amp;"F"&amp;A672)),"",INDIRECT("template!"&amp;"F"&amp;A672)))</f>
        <v>#REF!</v>
      </c>
      <c r="J672" t="e" cm="1">
        <f t="array" aca="1" ref="J672" ca="1">IF(OR(A672="",B672="safety"),"",IF(ISBLANK(INDIRECT("template!"&amp;"G"&amp;A672)),"",INDIRECT("template!"&amp;"G"&amp;A672)))</f>
        <v>#REF!</v>
      </c>
      <c r="K672" t="e" cm="1">
        <f t="array" aca="1" ref="K672" ca="1">IF(OR(A672="",B672="safety"),"",IF(ISBLANK(INDIRECT("template!"&amp;"H"&amp;A672)),"",INDIRECT("template!"&amp;"H"&amp;A672)))</f>
        <v>#REF!</v>
      </c>
      <c r="L672" t="e" cm="1">
        <f t="array" aca="1" ref="L672" ca="1">IF(OR(A672="",B672="safety"),"",INDIRECT("template!"&amp;"I"&amp;A672))</f>
        <v>#REF!</v>
      </c>
      <c r="M672" t="e" cm="1">
        <f t="array" aca="1" ref="M672" ca="1">IF(OR(A672="",B672="safety"),"",INDIRECT("template!"&amp;"J"&amp;A672))</f>
        <v>#REF!</v>
      </c>
      <c r="N672" t="e" cm="1">
        <f t="array" aca="1" ref="N672" ca="1">IF(OR(A672="",B672="safety"),"",IF(ISBLANK(INDIRECT("template!"&amp;"K"&amp;A672)),"",INDIRECT("template!"&amp;"K"&amp;A672)))</f>
        <v>#REF!</v>
      </c>
      <c r="O672" t="e" cm="1">
        <f t="array" aca="1" ref="O672" ca="1">IF(OR(A672="",B672="safety"),"",INDIRECT("template!"&amp;"L"&amp;A672))</f>
        <v>#REF!</v>
      </c>
      <c r="P672" t="e" cm="1">
        <f t="array" aca="1" ref="P672" ca="1">IF(OR(A672="",B672="safety"),"",INDIRECT("template!"&amp;"M"&amp;A672))</f>
        <v>#REF!</v>
      </c>
      <c r="Q672" t="e">
        <f t="shared" ca="1" si="58"/>
        <v>#REF!</v>
      </c>
      <c r="R672" t="e">
        <f t="shared" ca="1" si="59"/>
        <v>#REF!</v>
      </c>
      <c r="S672" t="e">
        <f t="shared" ca="1" si="60"/>
        <v>#REF!</v>
      </c>
      <c r="T672" t="e">
        <f t="shared" ca="1" si="61"/>
        <v>#REF!</v>
      </c>
      <c r="U672" t="e" cm="1">
        <f t="array" aca="1" ref="U672" ca="1">IF(A672="","",IF(E672="","",IF(B672="safety",INDIRECT("template!"&amp;"P"&amp;A672),Q672+R672)))</f>
        <v>#REF!</v>
      </c>
      <c r="V672" t="e" cm="1">
        <f t="array" aca="1" ref="V672" ca="1">IF(A672="","",IF(E672="","",IF(B672="safety",INDIRECT("template!"&amp;"P"&amp;A672),S672+T672)))</f>
        <v>#REF!</v>
      </c>
      <c r="W672" t="e">
        <f ca="1">IF(A672="","",IF(E672="","",#REF!))</f>
        <v>#REF!</v>
      </c>
      <c r="X672" t="e">
        <f ca="1">IF(A672="","",IF(E672="","",#REF!))</f>
        <v>#REF!</v>
      </c>
      <c r="Y672" s="39" t="e">
        <f ca="1">IF(A672="","",IF(E672="","",#REF!))</f>
        <v>#REF!</v>
      </c>
      <c r="Z672" t="e">
        <f ca="1">IF(A672="","",IF(E672="","",#REF!))</f>
        <v>#REF!</v>
      </c>
      <c r="AA672" t="e">
        <f ca="1">IF(A672="","",IF(E672="","",#REF!))</f>
        <v>#REF!</v>
      </c>
      <c r="AB672" t="e">
        <f ca="1">IF(A672="","",IF(E672="","",#REF!))</f>
        <v>#REF!</v>
      </c>
      <c r="AC672" t="e">
        <f t="shared" ca="1" si="62"/>
        <v>#REF!</v>
      </c>
    </row>
    <row r="673" spans="1:29" x14ac:dyDescent="0.35">
      <c r="A673" t="e" cm="1">
        <f t="array" aca="1" ref="A673" ca="1">IF(A672="","",IF(OR(AND(A672+1&gt;=$AF$1,A672+1&lt;=$AF$2),AND(A672+1&gt;=$AF$6,A672+1&lt;=$AF$7),AND(A672+1&gt;=$AF$3,A672+1&lt;=$AF$4),AND(A672+1&gt;=$AF$8,A672+1&lt;=$AF$9),A672+1=$AF$5),IF(NOT(ISBLANK(INDIRECT("template!"&amp;"P"&amp;A672+1))),A672+1,IF(NOT(ISBLANK(INDIRECT("template!"&amp;"P"&amp;A672+2))),A672+2,A672+3)),IF(A672=$AF$2,$AF$3,IF(A672=$AF$4,$AF$5,IF(A672=$AF$5,$AF$6,IF(A672=$AF$7,$AF$8,""))))))</f>
        <v>#REF!</v>
      </c>
      <c r="B673" t="e">
        <f t="shared" ca="1" si="57"/>
        <v>#REF!</v>
      </c>
      <c r="C673" t="e" cm="1">
        <f t="array" aca="1" ref="C673" ca="1">IF(A673="","",IF(B673="safety","safety costs",INDIRECT("template!"&amp;"B"&amp;A673)))</f>
        <v>#REF!</v>
      </c>
      <c r="D673" t="e" cm="1">
        <f t="array" aca="1" ref="D673" ca="1">IF(OR(A673="",B673="safety"),"",INDIRECT("template!"&amp;"C"&amp;A673))</f>
        <v>#REF!</v>
      </c>
      <c r="E673" t="e" cm="1">
        <f t="array" aca="1" ref="E673" ca="1">IF(A673="","",IF(OR(A673=A672+1,A673=A672+2),E672,INDIRECT("template!"&amp;"D"&amp;A673-2)))</f>
        <v>#REF!</v>
      </c>
      <c r="F673" t="e" cm="1">
        <f t="array" aca="1" ref="F673" ca="1">IF(OR(A673="",B673="safety"),"",IF(ISBLANK(IF(A673=A672+1,F672,INDIRECT("template!"&amp;"D"&amp;A673-1))),"",IF(A673=A672+1,F672,INDIRECT("template!"&amp;"D"&amp;A673-1))))</f>
        <v>#REF!</v>
      </c>
      <c r="G673" t="e" cm="1">
        <f t="array" aca="1" ref="G673" ca="1">IF(OR(A673="",B673="safety"),"",IF(ISBLANK(INDIRECT("template!"&amp;"D"&amp;A673)),"",INDIRECT("template!"&amp;"D"&amp;A673)))</f>
        <v>#REF!</v>
      </c>
      <c r="H673" t="e" cm="1">
        <f t="array" aca="1" ref="H673" ca="1">IF(OR(A673="",B673="safety"),"",IF(ISBLANK(INDIRECT("template!"&amp;"E"&amp;A673)),"",INDIRECT("template!"&amp;"E"&amp;A673)))</f>
        <v>#REF!</v>
      </c>
      <c r="I673" t="e" cm="1">
        <f t="array" aca="1" ref="I673" ca="1">IF(OR(A673="",B673="safety"),"",IF(ISBLANK(INDIRECT("template!"&amp;"F"&amp;A673)),"",INDIRECT("template!"&amp;"F"&amp;A673)))</f>
        <v>#REF!</v>
      </c>
      <c r="J673" t="e" cm="1">
        <f t="array" aca="1" ref="J673" ca="1">IF(OR(A673="",B673="safety"),"",IF(ISBLANK(INDIRECT("template!"&amp;"G"&amp;A673)),"",INDIRECT("template!"&amp;"G"&amp;A673)))</f>
        <v>#REF!</v>
      </c>
      <c r="K673" t="e" cm="1">
        <f t="array" aca="1" ref="K673" ca="1">IF(OR(A673="",B673="safety"),"",IF(ISBLANK(INDIRECT("template!"&amp;"H"&amp;A673)),"",INDIRECT("template!"&amp;"H"&amp;A673)))</f>
        <v>#REF!</v>
      </c>
      <c r="L673" t="e" cm="1">
        <f t="array" aca="1" ref="L673" ca="1">IF(OR(A673="",B673="safety"),"",INDIRECT("template!"&amp;"I"&amp;A673))</f>
        <v>#REF!</v>
      </c>
      <c r="M673" t="e" cm="1">
        <f t="array" aca="1" ref="M673" ca="1">IF(OR(A673="",B673="safety"),"",INDIRECT("template!"&amp;"J"&amp;A673))</f>
        <v>#REF!</v>
      </c>
      <c r="N673" t="e" cm="1">
        <f t="array" aca="1" ref="N673" ca="1">IF(OR(A673="",B673="safety"),"",IF(ISBLANK(INDIRECT("template!"&amp;"K"&amp;A673)),"",INDIRECT("template!"&amp;"K"&amp;A673)))</f>
        <v>#REF!</v>
      </c>
      <c r="O673" t="e" cm="1">
        <f t="array" aca="1" ref="O673" ca="1">IF(OR(A673="",B673="safety"),"",INDIRECT("template!"&amp;"L"&amp;A673))</f>
        <v>#REF!</v>
      </c>
      <c r="P673" t="e" cm="1">
        <f t="array" aca="1" ref="P673" ca="1">IF(OR(A673="",B673="safety"),"",INDIRECT("template!"&amp;"M"&amp;A673))</f>
        <v>#REF!</v>
      </c>
      <c r="Q673" t="e">
        <f t="shared" ca="1" si="58"/>
        <v>#REF!</v>
      </c>
      <c r="R673" t="e">
        <f t="shared" ca="1" si="59"/>
        <v>#REF!</v>
      </c>
      <c r="S673" t="e">
        <f t="shared" ca="1" si="60"/>
        <v>#REF!</v>
      </c>
      <c r="T673" t="e">
        <f t="shared" ca="1" si="61"/>
        <v>#REF!</v>
      </c>
      <c r="U673" t="e" cm="1">
        <f t="array" aca="1" ref="U673" ca="1">IF(A673="","",IF(E673="","",IF(B673="safety",INDIRECT("template!"&amp;"P"&amp;A673),Q673+R673)))</f>
        <v>#REF!</v>
      </c>
      <c r="V673" t="e" cm="1">
        <f t="array" aca="1" ref="V673" ca="1">IF(A673="","",IF(E673="","",IF(B673="safety",INDIRECT("template!"&amp;"P"&amp;A673),S673+T673)))</f>
        <v>#REF!</v>
      </c>
      <c r="W673" t="e">
        <f ca="1">IF(A673="","",IF(E673="","",#REF!))</f>
        <v>#REF!</v>
      </c>
      <c r="X673" t="e">
        <f ca="1">IF(A673="","",IF(E673="","",#REF!))</f>
        <v>#REF!</v>
      </c>
      <c r="Y673" s="39" t="e">
        <f ca="1">IF(A673="","",IF(E673="","",#REF!))</f>
        <v>#REF!</v>
      </c>
      <c r="Z673" t="e">
        <f ca="1">IF(A673="","",IF(E673="","",#REF!))</f>
        <v>#REF!</v>
      </c>
      <c r="AA673" t="e">
        <f ca="1">IF(A673="","",IF(E673="","",#REF!))</f>
        <v>#REF!</v>
      </c>
      <c r="AB673" t="e">
        <f ca="1">IF(A673="","",IF(E673="","",#REF!))</f>
        <v>#REF!</v>
      </c>
      <c r="AC673" t="e">
        <f t="shared" ca="1" si="62"/>
        <v>#REF!</v>
      </c>
    </row>
    <row r="674" spans="1:29" x14ac:dyDescent="0.35">
      <c r="A674" t="e" cm="1">
        <f t="array" aca="1" ref="A674" ca="1">IF(A673="","",IF(OR(AND(A673+1&gt;=$AF$1,A673+1&lt;=$AF$2),AND(A673+1&gt;=$AF$6,A673+1&lt;=$AF$7),AND(A673+1&gt;=$AF$3,A673+1&lt;=$AF$4),AND(A673+1&gt;=$AF$8,A673+1&lt;=$AF$9),A673+1=$AF$5),IF(NOT(ISBLANK(INDIRECT("template!"&amp;"P"&amp;A673+1))),A673+1,IF(NOT(ISBLANK(INDIRECT("template!"&amp;"P"&amp;A673+2))),A673+2,A673+3)),IF(A673=$AF$2,$AF$3,IF(A673=$AF$4,$AF$5,IF(A673=$AF$5,$AF$6,IF(A673=$AF$7,$AF$8,""))))))</f>
        <v>#REF!</v>
      </c>
      <c r="B674" t="e">
        <f t="shared" ca="1" si="57"/>
        <v>#REF!</v>
      </c>
      <c r="C674" t="e" cm="1">
        <f t="array" aca="1" ref="C674" ca="1">IF(A674="","",IF(B674="safety","safety costs",INDIRECT("template!"&amp;"B"&amp;A674)))</f>
        <v>#REF!</v>
      </c>
      <c r="D674" t="e" cm="1">
        <f t="array" aca="1" ref="D674" ca="1">IF(OR(A674="",B674="safety"),"",INDIRECT("template!"&amp;"C"&amp;A674))</f>
        <v>#REF!</v>
      </c>
      <c r="E674" t="e" cm="1">
        <f t="array" aca="1" ref="E674" ca="1">IF(A674="","",IF(OR(A674=A673+1,A674=A673+2),E673,INDIRECT("template!"&amp;"D"&amp;A674-2)))</f>
        <v>#REF!</v>
      </c>
      <c r="F674" t="e" cm="1">
        <f t="array" aca="1" ref="F674" ca="1">IF(OR(A674="",B674="safety"),"",IF(ISBLANK(IF(A674=A673+1,F673,INDIRECT("template!"&amp;"D"&amp;A674-1))),"",IF(A674=A673+1,F673,INDIRECT("template!"&amp;"D"&amp;A674-1))))</f>
        <v>#REF!</v>
      </c>
      <c r="G674" t="e" cm="1">
        <f t="array" aca="1" ref="G674" ca="1">IF(OR(A674="",B674="safety"),"",IF(ISBLANK(INDIRECT("template!"&amp;"D"&amp;A674)),"",INDIRECT("template!"&amp;"D"&amp;A674)))</f>
        <v>#REF!</v>
      </c>
      <c r="H674" t="e" cm="1">
        <f t="array" aca="1" ref="H674" ca="1">IF(OR(A674="",B674="safety"),"",IF(ISBLANK(INDIRECT("template!"&amp;"E"&amp;A674)),"",INDIRECT("template!"&amp;"E"&amp;A674)))</f>
        <v>#REF!</v>
      </c>
      <c r="I674" t="e" cm="1">
        <f t="array" aca="1" ref="I674" ca="1">IF(OR(A674="",B674="safety"),"",IF(ISBLANK(INDIRECT("template!"&amp;"F"&amp;A674)),"",INDIRECT("template!"&amp;"F"&amp;A674)))</f>
        <v>#REF!</v>
      </c>
      <c r="J674" t="e" cm="1">
        <f t="array" aca="1" ref="J674" ca="1">IF(OR(A674="",B674="safety"),"",IF(ISBLANK(INDIRECT("template!"&amp;"G"&amp;A674)),"",INDIRECT("template!"&amp;"G"&amp;A674)))</f>
        <v>#REF!</v>
      </c>
      <c r="K674" t="e" cm="1">
        <f t="array" aca="1" ref="K674" ca="1">IF(OR(A674="",B674="safety"),"",IF(ISBLANK(INDIRECT("template!"&amp;"H"&amp;A674)),"",INDIRECT("template!"&amp;"H"&amp;A674)))</f>
        <v>#REF!</v>
      </c>
      <c r="L674" t="e" cm="1">
        <f t="array" aca="1" ref="L674" ca="1">IF(OR(A674="",B674="safety"),"",INDIRECT("template!"&amp;"I"&amp;A674))</f>
        <v>#REF!</v>
      </c>
      <c r="M674" t="e" cm="1">
        <f t="array" aca="1" ref="M674" ca="1">IF(OR(A674="",B674="safety"),"",INDIRECT("template!"&amp;"J"&amp;A674))</f>
        <v>#REF!</v>
      </c>
      <c r="N674" t="e" cm="1">
        <f t="array" aca="1" ref="N674" ca="1">IF(OR(A674="",B674="safety"),"",IF(ISBLANK(INDIRECT("template!"&amp;"K"&amp;A674)),"",INDIRECT("template!"&amp;"K"&amp;A674)))</f>
        <v>#REF!</v>
      </c>
      <c r="O674" t="e" cm="1">
        <f t="array" aca="1" ref="O674" ca="1">IF(OR(A674="",B674="safety"),"",INDIRECT("template!"&amp;"L"&amp;A674))</f>
        <v>#REF!</v>
      </c>
      <c r="P674" t="e" cm="1">
        <f t="array" aca="1" ref="P674" ca="1">IF(OR(A674="",B674="safety"),"",INDIRECT("template!"&amp;"M"&amp;A674))</f>
        <v>#REF!</v>
      </c>
      <c r="Q674" t="e">
        <f t="shared" ca="1" si="58"/>
        <v>#REF!</v>
      </c>
      <c r="R674" t="e">
        <f t="shared" ca="1" si="59"/>
        <v>#REF!</v>
      </c>
      <c r="S674" t="e">
        <f t="shared" ca="1" si="60"/>
        <v>#REF!</v>
      </c>
      <c r="T674" t="e">
        <f t="shared" ca="1" si="61"/>
        <v>#REF!</v>
      </c>
      <c r="U674" t="e" cm="1">
        <f t="array" aca="1" ref="U674" ca="1">IF(A674="","",IF(E674="","",IF(B674="safety",INDIRECT("template!"&amp;"P"&amp;A674),Q674+R674)))</f>
        <v>#REF!</v>
      </c>
      <c r="V674" t="e" cm="1">
        <f t="array" aca="1" ref="V674" ca="1">IF(A674="","",IF(E674="","",IF(B674="safety",INDIRECT("template!"&amp;"P"&amp;A674),S674+T674)))</f>
        <v>#REF!</v>
      </c>
      <c r="W674" t="e">
        <f ca="1">IF(A674="","",IF(E674="","",#REF!))</f>
        <v>#REF!</v>
      </c>
      <c r="X674" t="e">
        <f ca="1">IF(A674="","",IF(E674="","",#REF!))</f>
        <v>#REF!</v>
      </c>
      <c r="Y674" s="39" t="e">
        <f ca="1">IF(A674="","",IF(E674="","",#REF!))</f>
        <v>#REF!</v>
      </c>
      <c r="Z674" t="e">
        <f ca="1">IF(A674="","",IF(E674="","",#REF!))</f>
        <v>#REF!</v>
      </c>
      <c r="AA674" t="e">
        <f ca="1">IF(A674="","",IF(E674="","",#REF!))</f>
        <v>#REF!</v>
      </c>
      <c r="AB674" t="e">
        <f ca="1">IF(A674="","",IF(E674="","",#REF!))</f>
        <v>#REF!</v>
      </c>
      <c r="AC674" t="e">
        <f t="shared" ca="1" si="62"/>
        <v>#REF!</v>
      </c>
    </row>
    <row r="675" spans="1:29" x14ac:dyDescent="0.35">
      <c r="A675" t="e" cm="1">
        <f t="array" aca="1" ref="A675" ca="1">IF(A674="","",IF(OR(AND(A674+1&gt;=$AF$1,A674+1&lt;=$AF$2),AND(A674+1&gt;=$AF$6,A674+1&lt;=$AF$7),AND(A674+1&gt;=$AF$3,A674+1&lt;=$AF$4),AND(A674+1&gt;=$AF$8,A674+1&lt;=$AF$9),A674+1=$AF$5),IF(NOT(ISBLANK(INDIRECT("template!"&amp;"P"&amp;A674+1))),A674+1,IF(NOT(ISBLANK(INDIRECT("template!"&amp;"P"&amp;A674+2))),A674+2,A674+3)),IF(A674=$AF$2,$AF$3,IF(A674=$AF$4,$AF$5,IF(A674=$AF$5,$AF$6,IF(A674=$AF$7,$AF$8,""))))))</f>
        <v>#REF!</v>
      </c>
      <c r="B675" t="e">
        <f t="shared" ca="1" si="57"/>
        <v>#REF!</v>
      </c>
      <c r="C675" t="e" cm="1">
        <f t="array" aca="1" ref="C675" ca="1">IF(A675="","",IF(B675="safety","safety costs",INDIRECT("template!"&amp;"B"&amp;A675)))</f>
        <v>#REF!</v>
      </c>
      <c r="D675" t="e" cm="1">
        <f t="array" aca="1" ref="D675" ca="1">IF(OR(A675="",B675="safety"),"",INDIRECT("template!"&amp;"C"&amp;A675))</f>
        <v>#REF!</v>
      </c>
      <c r="E675" t="e" cm="1">
        <f t="array" aca="1" ref="E675" ca="1">IF(A675="","",IF(OR(A675=A674+1,A675=A674+2),E674,INDIRECT("template!"&amp;"D"&amp;A675-2)))</f>
        <v>#REF!</v>
      </c>
      <c r="F675" t="e" cm="1">
        <f t="array" aca="1" ref="F675" ca="1">IF(OR(A675="",B675="safety"),"",IF(ISBLANK(IF(A675=A674+1,F674,INDIRECT("template!"&amp;"D"&amp;A675-1))),"",IF(A675=A674+1,F674,INDIRECT("template!"&amp;"D"&amp;A675-1))))</f>
        <v>#REF!</v>
      </c>
      <c r="G675" t="e" cm="1">
        <f t="array" aca="1" ref="G675" ca="1">IF(OR(A675="",B675="safety"),"",IF(ISBLANK(INDIRECT("template!"&amp;"D"&amp;A675)),"",INDIRECT("template!"&amp;"D"&amp;A675)))</f>
        <v>#REF!</v>
      </c>
      <c r="H675" t="e" cm="1">
        <f t="array" aca="1" ref="H675" ca="1">IF(OR(A675="",B675="safety"),"",IF(ISBLANK(INDIRECT("template!"&amp;"E"&amp;A675)),"",INDIRECT("template!"&amp;"E"&amp;A675)))</f>
        <v>#REF!</v>
      </c>
      <c r="I675" t="e" cm="1">
        <f t="array" aca="1" ref="I675" ca="1">IF(OR(A675="",B675="safety"),"",IF(ISBLANK(INDIRECT("template!"&amp;"F"&amp;A675)),"",INDIRECT("template!"&amp;"F"&amp;A675)))</f>
        <v>#REF!</v>
      </c>
      <c r="J675" t="e" cm="1">
        <f t="array" aca="1" ref="J675" ca="1">IF(OR(A675="",B675="safety"),"",IF(ISBLANK(INDIRECT("template!"&amp;"G"&amp;A675)),"",INDIRECT("template!"&amp;"G"&amp;A675)))</f>
        <v>#REF!</v>
      </c>
      <c r="K675" t="e" cm="1">
        <f t="array" aca="1" ref="K675" ca="1">IF(OR(A675="",B675="safety"),"",IF(ISBLANK(INDIRECT("template!"&amp;"H"&amp;A675)),"",INDIRECT("template!"&amp;"H"&amp;A675)))</f>
        <v>#REF!</v>
      </c>
      <c r="L675" t="e" cm="1">
        <f t="array" aca="1" ref="L675" ca="1">IF(OR(A675="",B675="safety"),"",INDIRECT("template!"&amp;"I"&amp;A675))</f>
        <v>#REF!</v>
      </c>
      <c r="M675" t="e" cm="1">
        <f t="array" aca="1" ref="M675" ca="1">IF(OR(A675="",B675="safety"),"",INDIRECT("template!"&amp;"J"&amp;A675))</f>
        <v>#REF!</v>
      </c>
      <c r="N675" t="e" cm="1">
        <f t="array" aca="1" ref="N675" ca="1">IF(OR(A675="",B675="safety"),"",IF(ISBLANK(INDIRECT("template!"&amp;"K"&amp;A675)),"",INDIRECT("template!"&amp;"K"&amp;A675)))</f>
        <v>#REF!</v>
      </c>
      <c r="O675" t="e" cm="1">
        <f t="array" aca="1" ref="O675" ca="1">IF(OR(A675="",B675="safety"),"",INDIRECT("template!"&amp;"L"&amp;A675))</f>
        <v>#REF!</v>
      </c>
      <c r="P675" t="e" cm="1">
        <f t="array" aca="1" ref="P675" ca="1">IF(OR(A675="",B675="safety"),"",INDIRECT("template!"&amp;"M"&amp;A675))</f>
        <v>#REF!</v>
      </c>
      <c r="Q675" t="e">
        <f t="shared" ca="1" si="58"/>
        <v>#REF!</v>
      </c>
      <c r="R675" t="e">
        <f t="shared" ca="1" si="59"/>
        <v>#REF!</v>
      </c>
      <c r="S675" t="e">
        <f t="shared" ca="1" si="60"/>
        <v>#REF!</v>
      </c>
      <c r="T675" t="e">
        <f t="shared" ca="1" si="61"/>
        <v>#REF!</v>
      </c>
      <c r="U675" t="e" cm="1">
        <f t="array" aca="1" ref="U675" ca="1">IF(A675="","",IF(E675="","",IF(B675="safety",INDIRECT("template!"&amp;"P"&amp;A675),Q675+R675)))</f>
        <v>#REF!</v>
      </c>
      <c r="V675" t="e" cm="1">
        <f t="array" aca="1" ref="V675" ca="1">IF(A675="","",IF(E675="","",IF(B675="safety",INDIRECT("template!"&amp;"P"&amp;A675),S675+T675)))</f>
        <v>#REF!</v>
      </c>
      <c r="W675" t="e">
        <f ca="1">IF(A675="","",IF(E675="","",#REF!))</f>
        <v>#REF!</v>
      </c>
      <c r="X675" t="e">
        <f ca="1">IF(A675="","",IF(E675="","",#REF!))</f>
        <v>#REF!</v>
      </c>
      <c r="Y675" s="39" t="e">
        <f ca="1">IF(A675="","",IF(E675="","",#REF!))</f>
        <v>#REF!</v>
      </c>
      <c r="Z675" t="e">
        <f ca="1">IF(A675="","",IF(E675="","",#REF!))</f>
        <v>#REF!</v>
      </c>
      <c r="AA675" t="e">
        <f ca="1">IF(A675="","",IF(E675="","",#REF!))</f>
        <v>#REF!</v>
      </c>
      <c r="AB675" t="e">
        <f ca="1">IF(A675="","",IF(E675="","",#REF!))</f>
        <v>#REF!</v>
      </c>
      <c r="AC675" t="e">
        <f t="shared" ca="1" si="62"/>
        <v>#REF!</v>
      </c>
    </row>
    <row r="676" spans="1:29" x14ac:dyDescent="0.35">
      <c r="A676" t="e" cm="1">
        <f t="array" aca="1" ref="A676" ca="1">IF(A675="","",IF(OR(AND(A675+1&gt;=$AF$1,A675+1&lt;=$AF$2),AND(A675+1&gt;=$AF$6,A675+1&lt;=$AF$7),AND(A675+1&gt;=$AF$3,A675+1&lt;=$AF$4),AND(A675+1&gt;=$AF$8,A675+1&lt;=$AF$9),A675+1=$AF$5),IF(NOT(ISBLANK(INDIRECT("template!"&amp;"P"&amp;A675+1))),A675+1,IF(NOT(ISBLANK(INDIRECT("template!"&amp;"P"&amp;A675+2))),A675+2,A675+3)),IF(A675=$AF$2,$AF$3,IF(A675=$AF$4,$AF$5,IF(A675=$AF$5,$AF$6,IF(A675=$AF$7,$AF$8,""))))))</f>
        <v>#REF!</v>
      </c>
      <c r="B676" t="e">
        <f t="shared" ca="1" si="57"/>
        <v>#REF!</v>
      </c>
      <c r="C676" t="e" cm="1">
        <f t="array" aca="1" ref="C676" ca="1">IF(A676="","",IF(B676="safety","safety costs",INDIRECT("template!"&amp;"B"&amp;A676)))</f>
        <v>#REF!</v>
      </c>
      <c r="D676" t="e" cm="1">
        <f t="array" aca="1" ref="D676" ca="1">IF(OR(A676="",B676="safety"),"",INDIRECT("template!"&amp;"C"&amp;A676))</f>
        <v>#REF!</v>
      </c>
      <c r="E676" t="e" cm="1">
        <f t="array" aca="1" ref="E676" ca="1">IF(A676="","",IF(OR(A676=A675+1,A676=A675+2),E675,INDIRECT("template!"&amp;"D"&amp;A676-2)))</f>
        <v>#REF!</v>
      </c>
      <c r="F676" t="e" cm="1">
        <f t="array" aca="1" ref="F676" ca="1">IF(OR(A676="",B676="safety"),"",IF(ISBLANK(IF(A676=A675+1,F675,INDIRECT("template!"&amp;"D"&amp;A676-1))),"",IF(A676=A675+1,F675,INDIRECT("template!"&amp;"D"&amp;A676-1))))</f>
        <v>#REF!</v>
      </c>
      <c r="G676" t="e" cm="1">
        <f t="array" aca="1" ref="G676" ca="1">IF(OR(A676="",B676="safety"),"",IF(ISBLANK(INDIRECT("template!"&amp;"D"&amp;A676)),"",INDIRECT("template!"&amp;"D"&amp;A676)))</f>
        <v>#REF!</v>
      </c>
      <c r="H676" t="e" cm="1">
        <f t="array" aca="1" ref="H676" ca="1">IF(OR(A676="",B676="safety"),"",IF(ISBLANK(INDIRECT("template!"&amp;"E"&amp;A676)),"",INDIRECT("template!"&amp;"E"&amp;A676)))</f>
        <v>#REF!</v>
      </c>
      <c r="I676" t="e" cm="1">
        <f t="array" aca="1" ref="I676" ca="1">IF(OR(A676="",B676="safety"),"",IF(ISBLANK(INDIRECT("template!"&amp;"F"&amp;A676)),"",INDIRECT("template!"&amp;"F"&amp;A676)))</f>
        <v>#REF!</v>
      </c>
      <c r="J676" t="e" cm="1">
        <f t="array" aca="1" ref="J676" ca="1">IF(OR(A676="",B676="safety"),"",IF(ISBLANK(INDIRECT("template!"&amp;"G"&amp;A676)),"",INDIRECT("template!"&amp;"G"&amp;A676)))</f>
        <v>#REF!</v>
      </c>
      <c r="K676" t="e" cm="1">
        <f t="array" aca="1" ref="K676" ca="1">IF(OR(A676="",B676="safety"),"",IF(ISBLANK(INDIRECT("template!"&amp;"H"&amp;A676)),"",INDIRECT("template!"&amp;"H"&amp;A676)))</f>
        <v>#REF!</v>
      </c>
      <c r="L676" t="e" cm="1">
        <f t="array" aca="1" ref="L676" ca="1">IF(OR(A676="",B676="safety"),"",INDIRECT("template!"&amp;"I"&amp;A676))</f>
        <v>#REF!</v>
      </c>
      <c r="M676" t="e" cm="1">
        <f t="array" aca="1" ref="M676" ca="1">IF(OR(A676="",B676="safety"),"",INDIRECT("template!"&amp;"J"&amp;A676))</f>
        <v>#REF!</v>
      </c>
      <c r="N676" t="e" cm="1">
        <f t="array" aca="1" ref="N676" ca="1">IF(OR(A676="",B676="safety"),"",IF(ISBLANK(INDIRECT("template!"&amp;"K"&amp;A676)),"",INDIRECT("template!"&amp;"K"&amp;A676)))</f>
        <v>#REF!</v>
      </c>
      <c r="O676" t="e" cm="1">
        <f t="array" aca="1" ref="O676" ca="1">IF(OR(A676="",B676="safety"),"",INDIRECT("template!"&amp;"L"&amp;A676))</f>
        <v>#REF!</v>
      </c>
      <c r="P676" t="e" cm="1">
        <f t="array" aca="1" ref="P676" ca="1">IF(OR(A676="",B676="safety"),"",INDIRECT("template!"&amp;"M"&amp;A676))</f>
        <v>#REF!</v>
      </c>
      <c r="Q676" t="e">
        <f t="shared" ca="1" si="58"/>
        <v>#REF!</v>
      </c>
      <c r="R676" t="e">
        <f t="shared" ca="1" si="59"/>
        <v>#REF!</v>
      </c>
      <c r="S676" t="e">
        <f t="shared" ca="1" si="60"/>
        <v>#REF!</v>
      </c>
      <c r="T676" t="e">
        <f t="shared" ca="1" si="61"/>
        <v>#REF!</v>
      </c>
      <c r="U676" t="e" cm="1">
        <f t="array" aca="1" ref="U676" ca="1">IF(A676="","",IF(E676="","",IF(B676="safety",INDIRECT("template!"&amp;"P"&amp;A676),Q676+R676)))</f>
        <v>#REF!</v>
      </c>
      <c r="V676" t="e" cm="1">
        <f t="array" aca="1" ref="V676" ca="1">IF(A676="","",IF(E676="","",IF(B676="safety",INDIRECT("template!"&amp;"P"&amp;A676),S676+T676)))</f>
        <v>#REF!</v>
      </c>
      <c r="W676" t="e">
        <f ca="1">IF(A676="","",IF(E676="","",#REF!))</f>
        <v>#REF!</v>
      </c>
      <c r="X676" t="e">
        <f ca="1">IF(A676="","",IF(E676="","",#REF!))</f>
        <v>#REF!</v>
      </c>
      <c r="Y676" s="39" t="e">
        <f ca="1">IF(A676="","",IF(E676="","",#REF!))</f>
        <v>#REF!</v>
      </c>
      <c r="Z676" t="e">
        <f ca="1">IF(A676="","",IF(E676="","",#REF!))</f>
        <v>#REF!</v>
      </c>
      <c r="AA676" t="e">
        <f ca="1">IF(A676="","",IF(E676="","",#REF!))</f>
        <v>#REF!</v>
      </c>
      <c r="AB676" t="e">
        <f ca="1">IF(A676="","",IF(E676="","",#REF!))</f>
        <v>#REF!</v>
      </c>
      <c r="AC676" t="e">
        <f t="shared" ca="1" si="62"/>
        <v>#REF!</v>
      </c>
    </row>
    <row r="677" spans="1:29" x14ac:dyDescent="0.35">
      <c r="A677" t="e" cm="1">
        <f t="array" aca="1" ref="A677" ca="1">IF(A676="","",IF(OR(AND(A676+1&gt;=$AF$1,A676+1&lt;=$AF$2),AND(A676+1&gt;=$AF$6,A676+1&lt;=$AF$7),AND(A676+1&gt;=$AF$3,A676+1&lt;=$AF$4),AND(A676+1&gt;=$AF$8,A676+1&lt;=$AF$9),A676+1=$AF$5),IF(NOT(ISBLANK(INDIRECT("template!"&amp;"P"&amp;A676+1))),A676+1,IF(NOT(ISBLANK(INDIRECT("template!"&amp;"P"&amp;A676+2))),A676+2,A676+3)),IF(A676=$AF$2,$AF$3,IF(A676=$AF$4,$AF$5,IF(A676=$AF$5,$AF$6,IF(A676=$AF$7,$AF$8,""))))))</f>
        <v>#REF!</v>
      </c>
      <c r="B677" t="e">
        <f t="shared" ca="1" si="57"/>
        <v>#REF!</v>
      </c>
      <c r="C677" t="e" cm="1">
        <f t="array" aca="1" ref="C677" ca="1">IF(A677="","",IF(B677="safety","safety costs",INDIRECT("template!"&amp;"B"&amp;A677)))</f>
        <v>#REF!</v>
      </c>
      <c r="D677" t="e" cm="1">
        <f t="array" aca="1" ref="D677" ca="1">IF(OR(A677="",B677="safety"),"",INDIRECT("template!"&amp;"C"&amp;A677))</f>
        <v>#REF!</v>
      </c>
      <c r="E677" t="e" cm="1">
        <f t="array" aca="1" ref="E677" ca="1">IF(A677="","",IF(OR(A677=A676+1,A677=A676+2),E676,INDIRECT("template!"&amp;"D"&amp;A677-2)))</f>
        <v>#REF!</v>
      </c>
      <c r="F677" t="e" cm="1">
        <f t="array" aca="1" ref="F677" ca="1">IF(OR(A677="",B677="safety"),"",IF(ISBLANK(IF(A677=A676+1,F676,INDIRECT("template!"&amp;"D"&amp;A677-1))),"",IF(A677=A676+1,F676,INDIRECT("template!"&amp;"D"&amp;A677-1))))</f>
        <v>#REF!</v>
      </c>
      <c r="G677" t="e" cm="1">
        <f t="array" aca="1" ref="G677" ca="1">IF(OR(A677="",B677="safety"),"",IF(ISBLANK(INDIRECT("template!"&amp;"D"&amp;A677)),"",INDIRECT("template!"&amp;"D"&amp;A677)))</f>
        <v>#REF!</v>
      </c>
      <c r="H677" t="e" cm="1">
        <f t="array" aca="1" ref="H677" ca="1">IF(OR(A677="",B677="safety"),"",IF(ISBLANK(INDIRECT("template!"&amp;"E"&amp;A677)),"",INDIRECT("template!"&amp;"E"&amp;A677)))</f>
        <v>#REF!</v>
      </c>
      <c r="I677" t="e" cm="1">
        <f t="array" aca="1" ref="I677" ca="1">IF(OR(A677="",B677="safety"),"",IF(ISBLANK(INDIRECT("template!"&amp;"F"&amp;A677)),"",INDIRECT("template!"&amp;"F"&amp;A677)))</f>
        <v>#REF!</v>
      </c>
      <c r="J677" t="e" cm="1">
        <f t="array" aca="1" ref="J677" ca="1">IF(OR(A677="",B677="safety"),"",IF(ISBLANK(INDIRECT("template!"&amp;"G"&amp;A677)),"",INDIRECT("template!"&amp;"G"&amp;A677)))</f>
        <v>#REF!</v>
      </c>
      <c r="K677" t="e" cm="1">
        <f t="array" aca="1" ref="K677" ca="1">IF(OR(A677="",B677="safety"),"",IF(ISBLANK(INDIRECT("template!"&amp;"H"&amp;A677)),"",INDIRECT("template!"&amp;"H"&amp;A677)))</f>
        <v>#REF!</v>
      </c>
      <c r="L677" t="e" cm="1">
        <f t="array" aca="1" ref="L677" ca="1">IF(OR(A677="",B677="safety"),"",INDIRECT("template!"&amp;"I"&amp;A677))</f>
        <v>#REF!</v>
      </c>
      <c r="M677" t="e" cm="1">
        <f t="array" aca="1" ref="M677" ca="1">IF(OR(A677="",B677="safety"),"",INDIRECT("template!"&amp;"J"&amp;A677))</f>
        <v>#REF!</v>
      </c>
      <c r="N677" t="e" cm="1">
        <f t="array" aca="1" ref="N677" ca="1">IF(OR(A677="",B677="safety"),"",IF(ISBLANK(INDIRECT("template!"&amp;"K"&amp;A677)),"",INDIRECT("template!"&amp;"K"&amp;A677)))</f>
        <v>#REF!</v>
      </c>
      <c r="O677" t="e" cm="1">
        <f t="array" aca="1" ref="O677" ca="1">IF(OR(A677="",B677="safety"),"",INDIRECT("template!"&amp;"L"&amp;A677))</f>
        <v>#REF!</v>
      </c>
      <c r="P677" t="e" cm="1">
        <f t="array" aca="1" ref="P677" ca="1">IF(OR(A677="",B677="safety"),"",INDIRECT("template!"&amp;"M"&amp;A677))</f>
        <v>#REF!</v>
      </c>
      <c r="Q677" t="e">
        <f t="shared" ca="1" si="58"/>
        <v>#REF!</v>
      </c>
      <c r="R677" t="e">
        <f t="shared" ca="1" si="59"/>
        <v>#REF!</v>
      </c>
      <c r="S677" t="e">
        <f t="shared" ca="1" si="60"/>
        <v>#REF!</v>
      </c>
      <c r="T677" t="e">
        <f t="shared" ca="1" si="61"/>
        <v>#REF!</v>
      </c>
      <c r="U677" t="e" cm="1">
        <f t="array" aca="1" ref="U677" ca="1">IF(A677="","",IF(E677="","",IF(B677="safety",INDIRECT("template!"&amp;"P"&amp;A677),Q677+R677)))</f>
        <v>#REF!</v>
      </c>
      <c r="V677" t="e" cm="1">
        <f t="array" aca="1" ref="V677" ca="1">IF(A677="","",IF(E677="","",IF(B677="safety",INDIRECT("template!"&amp;"P"&amp;A677),S677+T677)))</f>
        <v>#REF!</v>
      </c>
      <c r="W677" t="e">
        <f ca="1">IF(A677="","",IF(E677="","",#REF!))</f>
        <v>#REF!</v>
      </c>
      <c r="X677" t="e">
        <f ca="1">IF(A677="","",IF(E677="","",#REF!))</f>
        <v>#REF!</v>
      </c>
      <c r="Y677" s="39" t="e">
        <f ca="1">IF(A677="","",IF(E677="","",#REF!))</f>
        <v>#REF!</v>
      </c>
      <c r="Z677" t="e">
        <f ca="1">IF(A677="","",IF(E677="","",#REF!))</f>
        <v>#REF!</v>
      </c>
      <c r="AA677" t="e">
        <f ca="1">IF(A677="","",IF(E677="","",#REF!))</f>
        <v>#REF!</v>
      </c>
      <c r="AB677" t="e">
        <f ca="1">IF(A677="","",IF(E677="","",#REF!))</f>
        <v>#REF!</v>
      </c>
      <c r="AC677" t="e">
        <f t="shared" ca="1" si="62"/>
        <v>#REF!</v>
      </c>
    </row>
    <row r="678" spans="1:29" x14ac:dyDescent="0.35">
      <c r="A678" t="e" cm="1">
        <f t="array" aca="1" ref="A678" ca="1">IF(A677="","",IF(OR(AND(A677+1&gt;=$AF$1,A677+1&lt;=$AF$2),AND(A677+1&gt;=$AF$6,A677+1&lt;=$AF$7),AND(A677+1&gt;=$AF$3,A677+1&lt;=$AF$4),AND(A677+1&gt;=$AF$8,A677+1&lt;=$AF$9),A677+1=$AF$5),IF(NOT(ISBLANK(INDIRECT("template!"&amp;"P"&amp;A677+1))),A677+1,IF(NOT(ISBLANK(INDIRECT("template!"&amp;"P"&amp;A677+2))),A677+2,A677+3)),IF(A677=$AF$2,$AF$3,IF(A677=$AF$4,$AF$5,IF(A677=$AF$5,$AF$6,IF(A677=$AF$7,$AF$8,""))))))</f>
        <v>#REF!</v>
      </c>
      <c r="B678" t="e">
        <f t="shared" ca="1" si="57"/>
        <v>#REF!</v>
      </c>
      <c r="C678" t="e" cm="1">
        <f t="array" aca="1" ref="C678" ca="1">IF(A678="","",IF(B678="safety","safety costs",INDIRECT("template!"&amp;"B"&amp;A678)))</f>
        <v>#REF!</v>
      </c>
      <c r="D678" t="e" cm="1">
        <f t="array" aca="1" ref="D678" ca="1">IF(OR(A678="",B678="safety"),"",INDIRECT("template!"&amp;"C"&amp;A678))</f>
        <v>#REF!</v>
      </c>
      <c r="E678" t="e" cm="1">
        <f t="array" aca="1" ref="E678" ca="1">IF(A678="","",IF(OR(A678=A677+1,A678=A677+2),E677,INDIRECT("template!"&amp;"D"&amp;A678-2)))</f>
        <v>#REF!</v>
      </c>
      <c r="F678" t="e" cm="1">
        <f t="array" aca="1" ref="F678" ca="1">IF(OR(A678="",B678="safety"),"",IF(ISBLANK(IF(A678=A677+1,F677,INDIRECT("template!"&amp;"D"&amp;A678-1))),"",IF(A678=A677+1,F677,INDIRECT("template!"&amp;"D"&amp;A678-1))))</f>
        <v>#REF!</v>
      </c>
      <c r="G678" t="e" cm="1">
        <f t="array" aca="1" ref="G678" ca="1">IF(OR(A678="",B678="safety"),"",IF(ISBLANK(INDIRECT("template!"&amp;"D"&amp;A678)),"",INDIRECT("template!"&amp;"D"&amp;A678)))</f>
        <v>#REF!</v>
      </c>
      <c r="H678" t="e" cm="1">
        <f t="array" aca="1" ref="H678" ca="1">IF(OR(A678="",B678="safety"),"",IF(ISBLANK(INDIRECT("template!"&amp;"E"&amp;A678)),"",INDIRECT("template!"&amp;"E"&amp;A678)))</f>
        <v>#REF!</v>
      </c>
      <c r="I678" t="e" cm="1">
        <f t="array" aca="1" ref="I678" ca="1">IF(OR(A678="",B678="safety"),"",IF(ISBLANK(INDIRECT("template!"&amp;"F"&amp;A678)),"",INDIRECT("template!"&amp;"F"&amp;A678)))</f>
        <v>#REF!</v>
      </c>
      <c r="J678" t="e" cm="1">
        <f t="array" aca="1" ref="J678" ca="1">IF(OR(A678="",B678="safety"),"",IF(ISBLANK(INDIRECT("template!"&amp;"G"&amp;A678)),"",INDIRECT("template!"&amp;"G"&amp;A678)))</f>
        <v>#REF!</v>
      </c>
      <c r="K678" t="e" cm="1">
        <f t="array" aca="1" ref="K678" ca="1">IF(OR(A678="",B678="safety"),"",IF(ISBLANK(INDIRECT("template!"&amp;"H"&amp;A678)),"",INDIRECT("template!"&amp;"H"&amp;A678)))</f>
        <v>#REF!</v>
      </c>
      <c r="L678" t="e" cm="1">
        <f t="array" aca="1" ref="L678" ca="1">IF(OR(A678="",B678="safety"),"",INDIRECT("template!"&amp;"I"&amp;A678))</f>
        <v>#REF!</v>
      </c>
      <c r="M678" t="e" cm="1">
        <f t="array" aca="1" ref="M678" ca="1">IF(OR(A678="",B678="safety"),"",INDIRECT("template!"&amp;"J"&amp;A678))</f>
        <v>#REF!</v>
      </c>
      <c r="N678" t="e" cm="1">
        <f t="array" aca="1" ref="N678" ca="1">IF(OR(A678="",B678="safety"),"",IF(ISBLANK(INDIRECT("template!"&amp;"K"&amp;A678)),"",INDIRECT("template!"&amp;"K"&amp;A678)))</f>
        <v>#REF!</v>
      </c>
      <c r="O678" t="e" cm="1">
        <f t="array" aca="1" ref="O678" ca="1">IF(OR(A678="",B678="safety"),"",INDIRECT("template!"&amp;"L"&amp;A678))</f>
        <v>#REF!</v>
      </c>
      <c r="P678" t="e" cm="1">
        <f t="array" aca="1" ref="P678" ca="1">IF(OR(A678="",B678="safety"),"",INDIRECT("template!"&amp;"M"&amp;A678))</f>
        <v>#REF!</v>
      </c>
      <c r="Q678" t="e">
        <f t="shared" ca="1" si="58"/>
        <v>#REF!</v>
      </c>
      <c r="R678" t="e">
        <f t="shared" ca="1" si="59"/>
        <v>#REF!</v>
      </c>
      <c r="S678" t="e">
        <f t="shared" ca="1" si="60"/>
        <v>#REF!</v>
      </c>
      <c r="T678" t="e">
        <f t="shared" ca="1" si="61"/>
        <v>#REF!</v>
      </c>
      <c r="U678" t="e" cm="1">
        <f t="array" aca="1" ref="U678" ca="1">IF(A678="","",IF(E678="","",IF(B678="safety",INDIRECT("template!"&amp;"P"&amp;A678),Q678+R678)))</f>
        <v>#REF!</v>
      </c>
      <c r="V678" t="e" cm="1">
        <f t="array" aca="1" ref="V678" ca="1">IF(A678="","",IF(E678="","",IF(B678="safety",INDIRECT("template!"&amp;"P"&amp;A678),S678+T678)))</f>
        <v>#REF!</v>
      </c>
      <c r="W678" t="e">
        <f ca="1">IF(A678="","",IF(E678="","",#REF!))</f>
        <v>#REF!</v>
      </c>
      <c r="X678" t="e">
        <f ca="1">IF(A678="","",IF(E678="","",#REF!))</f>
        <v>#REF!</v>
      </c>
      <c r="Y678" s="39" t="e">
        <f ca="1">IF(A678="","",IF(E678="","",#REF!))</f>
        <v>#REF!</v>
      </c>
      <c r="Z678" t="e">
        <f ca="1">IF(A678="","",IF(E678="","",#REF!))</f>
        <v>#REF!</v>
      </c>
      <c r="AA678" t="e">
        <f ca="1">IF(A678="","",IF(E678="","",#REF!))</f>
        <v>#REF!</v>
      </c>
      <c r="AB678" t="e">
        <f ca="1">IF(A678="","",IF(E678="","",#REF!))</f>
        <v>#REF!</v>
      </c>
      <c r="AC678" t="e">
        <f t="shared" ca="1" si="62"/>
        <v>#REF!</v>
      </c>
    </row>
    <row r="679" spans="1:29" x14ac:dyDescent="0.35">
      <c r="A679" t="e" cm="1">
        <f t="array" aca="1" ref="A679" ca="1">IF(A678="","",IF(OR(AND(A678+1&gt;=$AF$1,A678+1&lt;=$AF$2),AND(A678+1&gt;=$AF$6,A678+1&lt;=$AF$7),AND(A678+1&gt;=$AF$3,A678+1&lt;=$AF$4),AND(A678+1&gt;=$AF$8,A678+1&lt;=$AF$9),A678+1=$AF$5),IF(NOT(ISBLANK(INDIRECT("template!"&amp;"P"&amp;A678+1))),A678+1,IF(NOT(ISBLANK(INDIRECT("template!"&amp;"P"&amp;A678+2))),A678+2,A678+3)),IF(A678=$AF$2,$AF$3,IF(A678=$AF$4,$AF$5,IF(A678=$AF$5,$AF$6,IF(A678=$AF$7,$AF$8,""))))))</f>
        <v>#REF!</v>
      </c>
      <c r="B679" t="e">
        <f t="shared" ca="1" si="57"/>
        <v>#REF!</v>
      </c>
      <c r="C679" t="e" cm="1">
        <f t="array" aca="1" ref="C679" ca="1">IF(A679="","",IF(B679="safety","safety costs",INDIRECT("template!"&amp;"B"&amp;A679)))</f>
        <v>#REF!</v>
      </c>
      <c r="D679" t="e" cm="1">
        <f t="array" aca="1" ref="D679" ca="1">IF(OR(A679="",B679="safety"),"",INDIRECT("template!"&amp;"C"&amp;A679))</f>
        <v>#REF!</v>
      </c>
      <c r="E679" t="e" cm="1">
        <f t="array" aca="1" ref="E679" ca="1">IF(A679="","",IF(OR(A679=A678+1,A679=A678+2),E678,INDIRECT("template!"&amp;"D"&amp;A679-2)))</f>
        <v>#REF!</v>
      </c>
      <c r="F679" t="e" cm="1">
        <f t="array" aca="1" ref="F679" ca="1">IF(OR(A679="",B679="safety"),"",IF(ISBLANK(IF(A679=A678+1,F678,INDIRECT("template!"&amp;"D"&amp;A679-1))),"",IF(A679=A678+1,F678,INDIRECT("template!"&amp;"D"&amp;A679-1))))</f>
        <v>#REF!</v>
      </c>
      <c r="G679" t="e" cm="1">
        <f t="array" aca="1" ref="G679" ca="1">IF(OR(A679="",B679="safety"),"",IF(ISBLANK(INDIRECT("template!"&amp;"D"&amp;A679)),"",INDIRECT("template!"&amp;"D"&amp;A679)))</f>
        <v>#REF!</v>
      </c>
      <c r="H679" t="e" cm="1">
        <f t="array" aca="1" ref="H679" ca="1">IF(OR(A679="",B679="safety"),"",IF(ISBLANK(INDIRECT("template!"&amp;"E"&amp;A679)),"",INDIRECT("template!"&amp;"E"&amp;A679)))</f>
        <v>#REF!</v>
      </c>
      <c r="I679" t="e" cm="1">
        <f t="array" aca="1" ref="I679" ca="1">IF(OR(A679="",B679="safety"),"",IF(ISBLANK(INDIRECT("template!"&amp;"F"&amp;A679)),"",INDIRECT("template!"&amp;"F"&amp;A679)))</f>
        <v>#REF!</v>
      </c>
      <c r="J679" t="e" cm="1">
        <f t="array" aca="1" ref="J679" ca="1">IF(OR(A679="",B679="safety"),"",IF(ISBLANK(INDIRECT("template!"&amp;"G"&amp;A679)),"",INDIRECT("template!"&amp;"G"&amp;A679)))</f>
        <v>#REF!</v>
      </c>
      <c r="K679" t="e" cm="1">
        <f t="array" aca="1" ref="K679" ca="1">IF(OR(A679="",B679="safety"),"",IF(ISBLANK(INDIRECT("template!"&amp;"H"&amp;A679)),"",INDIRECT("template!"&amp;"H"&amp;A679)))</f>
        <v>#REF!</v>
      </c>
      <c r="L679" t="e" cm="1">
        <f t="array" aca="1" ref="L679" ca="1">IF(OR(A679="",B679="safety"),"",INDIRECT("template!"&amp;"I"&amp;A679))</f>
        <v>#REF!</v>
      </c>
      <c r="M679" t="e" cm="1">
        <f t="array" aca="1" ref="M679" ca="1">IF(OR(A679="",B679="safety"),"",INDIRECT("template!"&amp;"J"&amp;A679))</f>
        <v>#REF!</v>
      </c>
      <c r="N679" t="e" cm="1">
        <f t="array" aca="1" ref="N679" ca="1">IF(OR(A679="",B679="safety"),"",IF(ISBLANK(INDIRECT("template!"&amp;"K"&amp;A679)),"",INDIRECT("template!"&amp;"K"&amp;A679)))</f>
        <v>#REF!</v>
      </c>
      <c r="O679" t="e" cm="1">
        <f t="array" aca="1" ref="O679" ca="1">IF(OR(A679="",B679="safety"),"",INDIRECT("template!"&amp;"L"&amp;A679))</f>
        <v>#REF!</v>
      </c>
      <c r="P679" t="e" cm="1">
        <f t="array" aca="1" ref="P679" ca="1">IF(OR(A679="",B679="safety"),"",INDIRECT("template!"&amp;"M"&amp;A679))</f>
        <v>#REF!</v>
      </c>
      <c r="Q679" t="e">
        <f t="shared" ca="1" si="58"/>
        <v>#REF!</v>
      </c>
      <c r="R679" t="e">
        <f t="shared" ca="1" si="59"/>
        <v>#REF!</v>
      </c>
      <c r="S679" t="e">
        <f t="shared" ca="1" si="60"/>
        <v>#REF!</v>
      </c>
      <c r="T679" t="e">
        <f t="shared" ca="1" si="61"/>
        <v>#REF!</v>
      </c>
      <c r="U679" t="e" cm="1">
        <f t="array" aca="1" ref="U679" ca="1">IF(A679="","",IF(E679="","",IF(B679="safety",INDIRECT("template!"&amp;"P"&amp;A679),Q679+R679)))</f>
        <v>#REF!</v>
      </c>
      <c r="V679" t="e" cm="1">
        <f t="array" aca="1" ref="V679" ca="1">IF(A679="","",IF(E679="","",IF(B679="safety",INDIRECT("template!"&amp;"P"&amp;A679),S679+T679)))</f>
        <v>#REF!</v>
      </c>
      <c r="W679" t="e">
        <f ca="1">IF(A679="","",IF(E679="","",#REF!))</f>
        <v>#REF!</v>
      </c>
      <c r="X679" t="e">
        <f ca="1">IF(A679="","",IF(E679="","",#REF!))</f>
        <v>#REF!</v>
      </c>
      <c r="Y679" s="39" t="e">
        <f ca="1">IF(A679="","",IF(E679="","",#REF!))</f>
        <v>#REF!</v>
      </c>
      <c r="Z679" t="e">
        <f ca="1">IF(A679="","",IF(E679="","",#REF!))</f>
        <v>#REF!</v>
      </c>
      <c r="AA679" t="e">
        <f ca="1">IF(A679="","",IF(E679="","",#REF!))</f>
        <v>#REF!</v>
      </c>
      <c r="AB679" t="e">
        <f ca="1">IF(A679="","",IF(E679="","",#REF!))</f>
        <v>#REF!</v>
      </c>
      <c r="AC679" t="e">
        <f t="shared" ca="1" si="62"/>
        <v>#REF!</v>
      </c>
    </row>
    <row r="680" spans="1:29" x14ac:dyDescent="0.35">
      <c r="A680" t="e" cm="1">
        <f t="array" aca="1" ref="A680" ca="1">IF(A679="","",IF(OR(AND(A679+1&gt;=$AF$1,A679+1&lt;=$AF$2),AND(A679+1&gt;=$AF$6,A679+1&lt;=$AF$7),AND(A679+1&gt;=$AF$3,A679+1&lt;=$AF$4),AND(A679+1&gt;=$AF$8,A679+1&lt;=$AF$9),A679+1=$AF$5),IF(NOT(ISBLANK(INDIRECT("template!"&amp;"P"&amp;A679+1))),A679+1,IF(NOT(ISBLANK(INDIRECT("template!"&amp;"P"&amp;A679+2))),A679+2,A679+3)),IF(A679=$AF$2,$AF$3,IF(A679=$AF$4,$AF$5,IF(A679=$AF$5,$AF$6,IF(A679=$AF$7,$AF$8,""))))))</f>
        <v>#REF!</v>
      </c>
      <c r="B680" t="e">
        <f t="shared" ca="1" si="57"/>
        <v>#REF!</v>
      </c>
      <c r="C680" t="e" cm="1">
        <f t="array" aca="1" ref="C680" ca="1">IF(A680="","",IF(B680="safety","safety costs",INDIRECT("template!"&amp;"B"&amp;A680)))</f>
        <v>#REF!</v>
      </c>
      <c r="D680" t="e" cm="1">
        <f t="array" aca="1" ref="D680" ca="1">IF(OR(A680="",B680="safety"),"",INDIRECT("template!"&amp;"C"&amp;A680))</f>
        <v>#REF!</v>
      </c>
      <c r="E680" t="e" cm="1">
        <f t="array" aca="1" ref="E680" ca="1">IF(A680="","",IF(OR(A680=A679+1,A680=A679+2),E679,INDIRECT("template!"&amp;"D"&amp;A680-2)))</f>
        <v>#REF!</v>
      </c>
      <c r="F680" t="e" cm="1">
        <f t="array" aca="1" ref="F680" ca="1">IF(OR(A680="",B680="safety"),"",IF(ISBLANK(IF(A680=A679+1,F679,INDIRECT("template!"&amp;"D"&amp;A680-1))),"",IF(A680=A679+1,F679,INDIRECT("template!"&amp;"D"&amp;A680-1))))</f>
        <v>#REF!</v>
      </c>
      <c r="G680" t="e" cm="1">
        <f t="array" aca="1" ref="G680" ca="1">IF(OR(A680="",B680="safety"),"",IF(ISBLANK(INDIRECT("template!"&amp;"D"&amp;A680)),"",INDIRECT("template!"&amp;"D"&amp;A680)))</f>
        <v>#REF!</v>
      </c>
      <c r="H680" t="e" cm="1">
        <f t="array" aca="1" ref="H680" ca="1">IF(OR(A680="",B680="safety"),"",IF(ISBLANK(INDIRECT("template!"&amp;"E"&amp;A680)),"",INDIRECT("template!"&amp;"E"&amp;A680)))</f>
        <v>#REF!</v>
      </c>
      <c r="I680" t="e" cm="1">
        <f t="array" aca="1" ref="I680" ca="1">IF(OR(A680="",B680="safety"),"",IF(ISBLANK(INDIRECT("template!"&amp;"F"&amp;A680)),"",INDIRECT("template!"&amp;"F"&amp;A680)))</f>
        <v>#REF!</v>
      </c>
      <c r="J680" t="e" cm="1">
        <f t="array" aca="1" ref="J680" ca="1">IF(OR(A680="",B680="safety"),"",IF(ISBLANK(INDIRECT("template!"&amp;"G"&amp;A680)),"",INDIRECT("template!"&amp;"G"&amp;A680)))</f>
        <v>#REF!</v>
      </c>
      <c r="K680" t="e" cm="1">
        <f t="array" aca="1" ref="K680" ca="1">IF(OR(A680="",B680="safety"),"",IF(ISBLANK(INDIRECT("template!"&amp;"H"&amp;A680)),"",INDIRECT("template!"&amp;"H"&amp;A680)))</f>
        <v>#REF!</v>
      </c>
      <c r="L680" t="e" cm="1">
        <f t="array" aca="1" ref="L680" ca="1">IF(OR(A680="",B680="safety"),"",INDIRECT("template!"&amp;"I"&amp;A680))</f>
        <v>#REF!</v>
      </c>
      <c r="M680" t="e" cm="1">
        <f t="array" aca="1" ref="M680" ca="1">IF(OR(A680="",B680="safety"),"",INDIRECT("template!"&amp;"J"&amp;A680))</f>
        <v>#REF!</v>
      </c>
      <c r="N680" t="e" cm="1">
        <f t="array" aca="1" ref="N680" ca="1">IF(OR(A680="",B680="safety"),"",IF(ISBLANK(INDIRECT("template!"&amp;"K"&amp;A680)),"",INDIRECT("template!"&amp;"K"&amp;A680)))</f>
        <v>#REF!</v>
      </c>
      <c r="O680" t="e" cm="1">
        <f t="array" aca="1" ref="O680" ca="1">IF(OR(A680="",B680="safety"),"",INDIRECT("template!"&amp;"L"&amp;A680))</f>
        <v>#REF!</v>
      </c>
      <c r="P680" t="e" cm="1">
        <f t="array" aca="1" ref="P680" ca="1">IF(OR(A680="",B680="safety"),"",INDIRECT("template!"&amp;"M"&amp;A680))</f>
        <v>#REF!</v>
      </c>
      <c r="Q680" t="e">
        <f t="shared" ca="1" si="58"/>
        <v>#REF!</v>
      </c>
      <c r="R680" t="e">
        <f t="shared" ca="1" si="59"/>
        <v>#REF!</v>
      </c>
      <c r="S680" t="e">
        <f t="shared" ca="1" si="60"/>
        <v>#REF!</v>
      </c>
      <c r="T680" t="e">
        <f t="shared" ca="1" si="61"/>
        <v>#REF!</v>
      </c>
      <c r="U680" t="e" cm="1">
        <f t="array" aca="1" ref="U680" ca="1">IF(A680="","",IF(E680="","",IF(B680="safety",INDIRECT("template!"&amp;"P"&amp;A680),Q680+R680)))</f>
        <v>#REF!</v>
      </c>
      <c r="V680" t="e" cm="1">
        <f t="array" aca="1" ref="V680" ca="1">IF(A680="","",IF(E680="","",IF(B680="safety",INDIRECT("template!"&amp;"P"&amp;A680),S680+T680)))</f>
        <v>#REF!</v>
      </c>
      <c r="W680" t="e">
        <f ca="1">IF(A680="","",IF(E680="","",#REF!))</f>
        <v>#REF!</v>
      </c>
      <c r="X680" t="e">
        <f ca="1">IF(A680="","",IF(E680="","",#REF!))</f>
        <v>#REF!</v>
      </c>
      <c r="Y680" s="39" t="e">
        <f ca="1">IF(A680="","",IF(E680="","",#REF!))</f>
        <v>#REF!</v>
      </c>
      <c r="Z680" t="e">
        <f ca="1">IF(A680="","",IF(E680="","",#REF!))</f>
        <v>#REF!</v>
      </c>
      <c r="AA680" t="e">
        <f ca="1">IF(A680="","",IF(E680="","",#REF!))</f>
        <v>#REF!</v>
      </c>
      <c r="AB680" t="e">
        <f ca="1">IF(A680="","",IF(E680="","",#REF!))</f>
        <v>#REF!</v>
      </c>
      <c r="AC680" t="e">
        <f t="shared" ca="1" si="62"/>
        <v>#REF!</v>
      </c>
    </row>
    <row r="681" spans="1:29" x14ac:dyDescent="0.35">
      <c r="A681" t="e" cm="1">
        <f t="array" aca="1" ref="A681" ca="1">IF(A680="","",IF(OR(AND(A680+1&gt;=$AF$1,A680+1&lt;=$AF$2),AND(A680+1&gt;=$AF$6,A680+1&lt;=$AF$7),AND(A680+1&gt;=$AF$3,A680+1&lt;=$AF$4),AND(A680+1&gt;=$AF$8,A680+1&lt;=$AF$9),A680+1=$AF$5),IF(NOT(ISBLANK(INDIRECT("template!"&amp;"P"&amp;A680+1))),A680+1,IF(NOT(ISBLANK(INDIRECT("template!"&amp;"P"&amp;A680+2))),A680+2,A680+3)),IF(A680=$AF$2,$AF$3,IF(A680=$AF$4,$AF$5,IF(A680=$AF$5,$AF$6,IF(A680=$AF$7,$AF$8,""))))))</f>
        <v>#REF!</v>
      </c>
      <c r="B681" t="e">
        <f t="shared" ca="1" si="57"/>
        <v>#REF!</v>
      </c>
      <c r="C681" t="e" cm="1">
        <f t="array" aca="1" ref="C681" ca="1">IF(A681="","",IF(B681="safety","safety costs",INDIRECT("template!"&amp;"B"&amp;A681)))</f>
        <v>#REF!</v>
      </c>
      <c r="D681" t="e" cm="1">
        <f t="array" aca="1" ref="D681" ca="1">IF(OR(A681="",B681="safety"),"",INDIRECT("template!"&amp;"C"&amp;A681))</f>
        <v>#REF!</v>
      </c>
      <c r="E681" t="e" cm="1">
        <f t="array" aca="1" ref="E681" ca="1">IF(A681="","",IF(OR(A681=A680+1,A681=A680+2),E680,INDIRECT("template!"&amp;"D"&amp;A681-2)))</f>
        <v>#REF!</v>
      </c>
      <c r="F681" t="e" cm="1">
        <f t="array" aca="1" ref="F681" ca="1">IF(OR(A681="",B681="safety"),"",IF(ISBLANK(IF(A681=A680+1,F680,INDIRECT("template!"&amp;"D"&amp;A681-1))),"",IF(A681=A680+1,F680,INDIRECT("template!"&amp;"D"&amp;A681-1))))</f>
        <v>#REF!</v>
      </c>
      <c r="G681" t="e" cm="1">
        <f t="array" aca="1" ref="G681" ca="1">IF(OR(A681="",B681="safety"),"",IF(ISBLANK(INDIRECT("template!"&amp;"D"&amp;A681)),"",INDIRECT("template!"&amp;"D"&amp;A681)))</f>
        <v>#REF!</v>
      </c>
      <c r="H681" t="e" cm="1">
        <f t="array" aca="1" ref="H681" ca="1">IF(OR(A681="",B681="safety"),"",IF(ISBLANK(INDIRECT("template!"&amp;"E"&amp;A681)),"",INDIRECT("template!"&amp;"E"&amp;A681)))</f>
        <v>#REF!</v>
      </c>
      <c r="I681" t="e" cm="1">
        <f t="array" aca="1" ref="I681" ca="1">IF(OR(A681="",B681="safety"),"",IF(ISBLANK(INDIRECT("template!"&amp;"F"&amp;A681)),"",INDIRECT("template!"&amp;"F"&amp;A681)))</f>
        <v>#REF!</v>
      </c>
      <c r="J681" t="e" cm="1">
        <f t="array" aca="1" ref="J681" ca="1">IF(OR(A681="",B681="safety"),"",IF(ISBLANK(INDIRECT("template!"&amp;"G"&amp;A681)),"",INDIRECT("template!"&amp;"G"&amp;A681)))</f>
        <v>#REF!</v>
      </c>
      <c r="K681" t="e" cm="1">
        <f t="array" aca="1" ref="K681" ca="1">IF(OR(A681="",B681="safety"),"",IF(ISBLANK(INDIRECT("template!"&amp;"H"&amp;A681)),"",INDIRECT("template!"&amp;"H"&amp;A681)))</f>
        <v>#REF!</v>
      </c>
      <c r="L681" t="e" cm="1">
        <f t="array" aca="1" ref="L681" ca="1">IF(OR(A681="",B681="safety"),"",INDIRECT("template!"&amp;"I"&amp;A681))</f>
        <v>#REF!</v>
      </c>
      <c r="M681" t="e" cm="1">
        <f t="array" aca="1" ref="M681" ca="1">IF(OR(A681="",B681="safety"),"",INDIRECT("template!"&amp;"J"&amp;A681))</f>
        <v>#REF!</v>
      </c>
      <c r="N681" t="e" cm="1">
        <f t="array" aca="1" ref="N681" ca="1">IF(OR(A681="",B681="safety"),"",IF(ISBLANK(INDIRECT("template!"&amp;"K"&amp;A681)),"",INDIRECT("template!"&amp;"K"&amp;A681)))</f>
        <v>#REF!</v>
      </c>
      <c r="O681" t="e" cm="1">
        <f t="array" aca="1" ref="O681" ca="1">IF(OR(A681="",B681="safety"),"",INDIRECT("template!"&amp;"L"&amp;A681))</f>
        <v>#REF!</v>
      </c>
      <c r="P681" t="e" cm="1">
        <f t="array" aca="1" ref="P681" ca="1">IF(OR(A681="",B681="safety"),"",INDIRECT("template!"&amp;"M"&amp;A681))</f>
        <v>#REF!</v>
      </c>
      <c r="Q681" t="e">
        <f t="shared" ca="1" si="58"/>
        <v>#REF!</v>
      </c>
      <c r="R681" t="e">
        <f t="shared" ca="1" si="59"/>
        <v>#REF!</v>
      </c>
      <c r="S681" t="e">
        <f t="shared" ca="1" si="60"/>
        <v>#REF!</v>
      </c>
      <c r="T681" t="e">
        <f t="shared" ca="1" si="61"/>
        <v>#REF!</v>
      </c>
      <c r="U681" t="e" cm="1">
        <f t="array" aca="1" ref="U681" ca="1">IF(A681="","",IF(E681="","",IF(B681="safety",INDIRECT("template!"&amp;"P"&amp;A681),Q681+R681)))</f>
        <v>#REF!</v>
      </c>
      <c r="V681" t="e" cm="1">
        <f t="array" aca="1" ref="V681" ca="1">IF(A681="","",IF(E681="","",IF(B681="safety",INDIRECT("template!"&amp;"P"&amp;A681),S681+T681)))</f>
        <v>#REF!</v>
      </c>
      <c r="W681" t="e">
        <f ca="1">IF(A681="","",IF(E681="","",#REF!))</f>
        <v>#REF!</v>
      </c>
      <c r="X681" t="e">
        <f ca="1">IF(A681="","",IF(E681="","",#REF!))</f>
        <v>#REF!</v>
      </c>
      <c r="Y681" s="39" t="e">
        <f ca="1">IF(A681="","",IF(E681="","",#REF!))</f>
        <v>#REF!</v>
      </c>
      <c r="Z681" t="e">
        <f ca="1">IF(A681="","",IF(E681="","",#REF!))</f>
        <v>#REF!</v>
      </c>
      <c r="AA681" t="e">
        <f ca="1">IF(A681="","",IF(E681="","",#REF!))</f>
        <v>#REF!</v>
      </c>
      <c r="AB681" t="e">
        <f ca="1">IF(A681="","",IF(E681="","",#REF!))</f>
        <v>#REF!</v>
      </c>
      <c r="AC681" t="e">
        <f t="shared" ca="1" si="62"/>
        <v>#REF!</v>
      </c>
    </row>
    <row r="682" spans="1:29" x14ac:dyDescent="0.35">
      <c r="A682" t="e" cm="1">
        <f t="array" aca="1" ref="A682" ca="1">IF(A681="","",IF(OR(AND(A681+1&gt;=$AF$1,A681+1&lt;=$AF$2),AND(A681+1&gt;=$AF$6,A681+1&lt;=$AF$7),AND(A681+1&gt;=$AF$3,A681+1&lt;=$AF$4),AND(A681+1&gt;=$AF$8,A681+1&lt;=$AF$9),A681+1=$AF$5),IF(NOT(ISBLANK(INDIRECT("template!"&amp;"P"&amp;A681+1))),A681+1,IF(NOT(ISBLANK(INDIRECT("template!"&amp;"P"&amp;A681+2))),A681+2,A681+3)),IF(A681=$AF$2,$AF$3,IF(A681=$AF$4,$AF$5,IF(A681=$AF$5,$AF$6,IF(A681=$AF$7,$AF$8,""))))))</f>
        <v>#REF!</v>
      </c>
      <c r="B682" t="e">
        <f t="shared" ca="1" si="57"/>
        <v>#REF!</v>
      </c>
      <c r="C682" t="e" cm="1">
        <f t="array" aca="1" ref="C682" ca="1">IF(A682="","",IF(B682="safety","safety costs",INDIRECT("template!"&amp;"B"&amp;A682)))</f>
        <v>#REF!</v>
      </c>
      <c r="D682" t="e" cm="1">
        <f t="array" aca="1" ref="D682" ca="1">IF(OR(A682="",B682="safety"),"",INDIRECT("template!"&amp;"C"&amp;A682))</f>
        <v>#REF!</v>
      </c>
      <c r="E682" t="e" cm="1">
        <f t="array" aca="1" ref="E682" ca="1">IF(A682="","",IF(OR(A682=A681+1,A682=A681+2),E681,INDIRECT("template!"&amp;"D"&amp;A682-2)))</f>
        <v>#REF!</v>
      </c>
      <c r="F682" t="e" cm="1">
        <f t="array" aca="1" ref="F682" ca="1">IF(OR(A682="",B682="safety"),"",IF(ISBLANK(IF(A682=A681+1,F681,INDIRECT("template!"&amp;"D"&amp;A682-1))),"",IF(A682=A681+1,F681,INDIRECT("template!"&amp;"D"&amp;A682-1))))</f>
        <v>#REF!</v>
      </c>
      <c r="G682" t="e" cm="1">
        <f t="array" aca="1" ref="G682" ca="1">IF(OR(A682="",B682="safety"),"",IF(ISBLANK(INDIRECT("template!"&amp;"D"&amp;A682)),"",INDIRECT("template!"&amp;"D"&amp;A682)))</f>
        <v>#REF!</v>
      </c>
      <c r="H682" t="e" cm="1">
        <f t="array" aca="1" ref="H682" ca="1">IF(OR(A682="",B682="safety"),"",IF(ISBLANK(INDIRECT("template!"&amp;"E"&amp;A682)),"",INDIRECT("template!"&amp;"E"&amp;A682)))</f>
        <v>#REF!</v>
      </c>
      <c r="I682" t="e" cm="1">
        <f t="array" aca="1" ref="I682" ca="1">IF(OR(A682="",B682="safety"),"",IF(ISBLANK(INDIRECT("template!"&amp;"F"&amp;A682)),"",INDIRECT("template!"&amp;"F"&amp;A682)))</f>
        <v>#REF!</v>
      </c>
      <c r="J682" t="e" cm="1">
        <f t="array" aca="1" ref="J682" ca="1">IF(OR(A682="",B682="safety"),"",IF(ISBLANK(INDIRECT("template!"&amp;"G"&amp;A682)),"",INDIRECT("template!"&amp;"G"&amp;A682)))</f>
        <v>#REF!</v>
      </c>
      <c r="K682" t="e" cm="1">
        <f t="array" aca="1" ref="K682" ca="1">IF(OR(A682="",B682="safety"),"",IF(ISBLANK(INDIRECT("template!"&amp;"H"&amp;A682)),"",INDIRECT("template!"&amp;"H"&amp;A682)))</f>
        <v>#REF!</v>
      </c>
      <c r="L682" t="e" cm="1">
        <f t="array" aca="1" ref="L682" ca="1">IF(OR(A682="",B682="safety"),"",INDIRECT("template!"&amp;"I"&amp;A682))</f>
        <v>#REF!</v>
      </c>
      <c r="M682" t="e" cm="1">
        <f t="array" aca="1" ref="M682" ca="1">IF(OR(A682="",B682="safety"),"",INDIRECT("template!"&amp;"J"&amp;A682))</f>
        <v>#REF!</v>
      </c>
      <c r="N682" t="e" cm="1">
        <f t="array" aca="1" ref="N682" ca="1">IF(OR(A682="",B682="safety"),"",IF(ISBLANK(INDIRECT("template!"&amp;"K"&amp;A682)),"",INDIRECT("template!"&amp;"K"&amp;A682)))</f>
        <v>#REF!</v>
      </c>
      <c r="O682" t="e" cm="1">
        <f t="array" aca="1" ref="O682" ca="1">IF(OR(A682="",B682="safety"),"",INDIRECT("template!"&amp;"L"&amp;A682))</f>
        <v>#REF!</v>
      </c>
      <c r="P682" t="e" cm="1">
        <f t="array" aca="1" ref="P682" ca="1">IF(OR(A682="",B682="safety"),"",INDIRECT("template!"&amp;"M"&amp;A682))</f>
        <v>#REF!</v>
      </c>
      <c r="Q682" t="e">
        <f t="shared" ca="1" si="58"/>
        <v>#REF!</v>
      </c>
      <c r="R682" t="e">
        <f t="shared" ca="1" si="59"/>
        <v>#REF!</v>
      </c>
      <c r="S682" t="e">
        <f t="shared" ca="1" si="60"/>
        <v>#REF!</v>
      </c>
      <c r="T682" t="e">
        <f t="shared" ca="1" si="61"/>
        <v>#REF!</v>
      </c>
      <c r="U682" t="e" cm="1">
        <f t="array" aca="1" ref="U682" ca="1">IF(A682="","",IF(E682="","",IF(B682="safety",INDIRECT("template!"&amp;"P"&amp;A682),Q682+R682)))</f>
        <v>#REF!</v>
      </c>
      <c r="V682" t="e" cm="1">
        <f t="array" aca="1" ref="V682" ca="1">IF(A682="","",IF(E682="","",IF(B682="safety",INDIRECT("template!"&amp;"P"&amp;A682),S682+T682)))</f>
        <v>#REF!</v>
      </c>
      <c r="W682" t="e">
        <f ca="1">IF(A682="","",IF(E682="","",#REF!))</f>
        <v>#REF!</v>
      </c>
      <c r="X682" t="e">
        <f ca="1">IF(A682="","",IF(E682="","",#REF!))</f>
        <v>#REF!</v>
      </c>
      <c r="Y682" s="39" t="e">
        <f ca="1">IF(A682="","",IF(E682="","",#REF!))</f>
        <v>#REF!</v>
      </c>
      <c r="Z682" t="e">
        <f ca="1">IF(A682="","",IF(E682="","",#REF!))</f>
        <v>#REF!</v>
      </c>
      <c r="AA682" t="e">
        <f ca="1">IF(A682="","",IF(E682="","",#REF!))</f>
        <v>#REF!</v>
      </c>
      <c r="AB682" t="e">
        <f ca="1">IF(A682="","",IF(E682="","",#REF!))</f>
        <v>#REF!</v>
      </c>
      <c r="AC682" t="e">
        <f t="shared" ca="1" si="62"/>
        <v>#REF!</v>
      </c>
    </row>
    <row r="683" spans="1:29" x14ac:dyDescent="0.35">
      <c r="A683" t="e" cm="1">
        <f t="array" aca="1" ref="A683" ca="1">IF(A682="","",IF(OR(AND(A682+1&gt;=$AF$1,A682+1&lt;=$AF$2),AND(A682+1&gt;=$AF$6,A682+1&lt;=$AF$7),AND(A682+1&gt;=$AF$3,A682+1&lt;=$AF$4),AND(A682+1&gt;=$AF$8,A682+1&lt;=$AF$9),A682+1=$AF$5),IF(NOT(ISBLANK(INDIRECT("template!"&amp;"P"&amp;A682+1))),A682+1,IF(NOT(ISBLANK(INDIRECT("template!"&amp;"P"&amp;A682+2))),A682+2,A682+3)),IF(A682=$AF$2,$AF$3,IF(A682=$AF$4,$AF$5,IF(A682=$AF$5,$AF$6,IF(A682=$AF$7,$AF$8,""))))))</f>
        <v>#REF!</v>
      </c>
      <c r="B683" t="e">
        <f t="shared" ca="1" si="57"/>
        <v>#REF!</v>
      </c>
      <c r="C683" t="e" cm="1">
        <f t="array" aca="1" ref="C683" ca="1">IF(A683="","",IF(B683="safety","safety costs",INDIRECT("template!"&amp;"B"&amp;A683)))</f>
        <v>#REF!</v>
      </c>
      <c r="D683" t="e" cm="1">
        <f t="array" aca="1" ref="D683" ca="1">IF(OR(A683="",B683="safety"),"",INDIRECT("template!"&amp;"C"&amp;A683))</f>
        <v>#REF!</v>
      </c>
      <c r="E683" t="e" cm="1">
        <f t="array" aca="1" ref="E683" ca="1">IF(A683="","",IF(OR(A683=A682+1,A683=A682+2),E682,INDIRECT("template!"&amp;"D"&amp;A683-2)))</f>
        <v>#REF!</v>
      </c>
      <c r="F683" t="e" cm="1">
        <f t="array" aca="1" ref="F683" ca="1">IF(OR(A683="",B683="safety"),"",IF(ISBLANK(IF(A683=A682+1,F682,INDIRECT("template!"&amp;"D"&amp;A683-1))),"",IF(A683=A682+1,F682,INDIRECT("template!"&amp;"D"&amp;A683-1))))</f>
        <v>#REF!</v>
      </c>
      <c r="G683" t="e" cm="1">
        <f t="array" aca="1" ref="G683" ca="1">IF(OR(A683="",B683="safety"),"",IF(ISBLANK(INDIRECT("template!"&amp;"D"&amp;A683)),"",INDIRECT("template!"&amp;"D"&amp;A683)))</f>
        <v>#REF!</v>
      </c>
      <c r="H683" t="e" cm="1">
        <f t="array" aca="1" ref="H683" ca="1">IF(OR(A683="",B683="safety"),"",IF(ISBLANK(INDIRECT("template!"&amp;"E"&amp;A683)),"",INDIRECT("template!"&amp;"E"&amp;A683)))</f>
        <v>#REF!</v>
      </c>
      <c r="I683" t="e" cm="1">
        <f t="array" aca="1" ref="I683" ca="1">IF(OR(A683="",B683="safety"),"",IF(ISBLANK(INDIRECT("template!"&amp;"F"&amp;A683)),"",INDIRECT("template!"&amp;"F"&amp;A683)))</f>
        <v>#REF!</v>
      </c>
      <c r="J683" t="e" cm="1">
        <f t="array" aca="1" ref="J683" ca="1">IF(OR(A683="",B683="safety"),"",IF(ISBLANK(INDIRECT("template!"&amp;"G"&amp;A683)),"",INDIRECT("template!"&amp;"G"&amp;A683)))</f>
        <v>#REF!</v>
      </c>
      <c r="K683" t="e" cm="1">
        <f t="array" aca="1" ref="K683" ca="1">IF(OR(A683="",B683="safety"),"",IF(ISBLANK(INDIRECT("template!"&amp;"H"&amp;A683)),"",INDIRECT("template!"&amp;"H"&amp;A683)))</f>
        <v>#REF!</v>
      </c>
      <c r="L683" t="e" cm="1">
        <f t="array" aca="1" ref="L683" ca="1">IF(OR(A683="",B683="safety"),"",INDIRECT("template!"&amp;"I"&amp;A683))</f>
        <v>#REF!</v>
      </c>
      <c r="M683" t="e" cm="1">
        <f t="array" aca="1" ref="M683" ca="1">IF(OR(A683="",B683="safety"),"",INDIRECT("template!"&amp;"J"&amp;A683))</f>
        <v>#REF!</v>
      </c>
      <c r="N683" t="e" cm="1">
        <f t="array" aca="1" ref="N683" ca="1">IF(OR(A683="",B683="safety"),"",IF(ISBLANK(INDIRECT("template!"&amp;"K"&amp;A683)),"",INDIRECT("template!"&amp;"K"&amp;A683)))</f>
        <v>#REF!</v>
      </c>
      <c r="O683" t="e" cm="1">
        <f t="array" aca="1" ref="O683" ca="1">IF(OR(A683="",B683="safety"),"",INDIRECT("template!"&amp;"L"&amp;A683))</f>
        <v>#REF!</v>
      </c>
      <c r="P683" t="e" cm="1">
        <f t="array" aca="1" ref="P683" ca="1">IF(OR(A683="",B683="safety"),"",INDIRECT("template!"&amp;"M"&amp;A683))</f>
        <v>#REF!</v>
      </c>
      <c r="Q683" t="e">
        <f t="shared" ca="1" si="58"/>
        <v>#REF!</v>
      </c>
      <c r="R683" t="e">
        <f t="shared" ca="1" si="59"/>
        <v>#REF!</v>
      </c>
      <c r="S683" t="e">
        <f t="shared" ca="1" si="60"/>
        <v>#REF!</v>
      </c>
      <c r="T683" t="e">
        <f t="shared" ca="1" si="61"/>
        <v>#REF!</v>
      </c>
      <c r="U683" t="e" cm="1">
        <f t="array" aca="1" ref="U683" ca="1">IF(A683="","",IF(E683="","",IF(B683="safety",INDIRECT("template!"&amp;"P"&amp;A683),Q683+R683)))</f>
        <v>#REF!</v>
      </c>
      <c r="V683" t="e" cm="1">
        <f t="array" aca="1" ref="V683" ca="1">IF(A683="","",IF(E683="","",IF(B683="safety",INDIRECT("template!"&amp;"P"&amp;A683),S683+T683)))</f>
        <v>#REF!</v>
      </c>
      <c r="W683" t="e">
        <f ca="1">IF(A683="","",IF(E683="","",#REF!))</f>
        <v>#REF!</v>
      </c>
      <c r="X683" t="e">
        <f ca="1">IF(A683="","",IF(E683="","",#REF!))</f>
        <v>#REF!</v>
      </c>
      <c r="Y683" s="39" t="e">
        <f ca="1">IF(A683="","",IF(E683="","",#REF!))</f>
        <v>#REF!</v>
      </c>
      <c r="Z683" t="e">
        <f ca="1">IF(A683="","",IF(E683="","",#REF!))</f>
        <v>#REF!</v>
      </c>
      <c r="AA683" t="e">
        <f ca="1">IF(A683="","",IF(E683="","",#REF!))</f>
        <v>#REF!</v>
      </c>
      <c r="AB683" t="e">
        <f ca="1">IF(A683="","",IF(E683="","",#REF!))</f>
        <v>#REF!</v>
      </c>
      <c r="AC683" t="e">
        <f t="shared" ca="1" si="62"/>
        <v>#REF!</v>
      </c>
    </row>
    <row r="684" spans="1:29" x14ac:dyDescent="0.35">
      <c r="A684" t="e" cm="1">
        <f t="array" aca="1" ref="A684" ca="1">IF(A683="","",IF(OR(AND(A683+1&gt;=$AF$1,A683+1&lt;=$AF$2),AND(A683+1&gt;=$AF$6,A683+1&lt;=$AF$7),AND(A683+1&gt;=$AF$3,A683+1&lt;=$AF$4),AND(A683+1&gt;=$AF$8,A683+1&lt;=$AF$9),A683+1=$AF$5),IF(NOT(ISBLANK(INDIRECT("template!"&amp;"P"&amp;A683+1))),A683+1,IF(NOT(ISBLANK(INDIRECT("template!"&amp;"P"&amp;A683+2))),A683+2,A683+3)),IF(A683=$AF$2,$AF$3,IF(A683=$AF$4,$AF$5,IF(A683=$AF$5,$AF$6,IF(A683=$AF$7,$AF$8,""))))))</f>
        <v>#REF!</v>
      </c>
      <c r="B684" t="e">
        <f t="shared" ca="1" si="57"/>
        <v>#REF!</v>
      </c>
      <c r="C684" t="e" cm="1">
        <f t="array" aca="1" ref="C684" ca="1">IF(A684="","",IF(B684="safety","safety costs",INDIRECT("template!"&amp;"B"&amp;A684)))</f>
        <v>#REF!</v>
      </c>
      <c r="D684" t="e" cm="1">
        <f t="array" aca="1" ref="D684" ca="1">IF(OR(A684="",B684="safety"),"",INDIRECT("template!"&amp;"C"&amp;A684))</f>
        <v>#REF!</v>
      </c>
      <c r="E684" t="e" cm="1">
        <f t="array" aca="1" ref="E684" ca="1">IF(A684="","",IF(OR(A684=A683+1,A684=A683+2),E683,INDIRECT("template!"&amp;"D"&amp;A684-2)))</f>
        <v>#REF!</v>
      </c>
      <c r="F684" t="e" cm="1">
        <f t="array" aca="1" ref="F684" ca="1">IF(OR(A684="",B684="safety"),"",IF(ISBLANK(IF(A684=A683+1,F683,INDIRECT("template!"&amp;"D"&amp;A684-1))),"",IF(A684=A683+1,F683,INDIRECT("template!"&amp;"D"&amp;A684-1))))</f>
        <v>#REF!</v>
      </c>
      <c r="G684" t="e" cm="1">
        <f t="array" aca="1" ref="G684" ca="1">IF(OR(A684="",B684="safety"),"",IF(ISBLANK(INDIRECT("template!"&amp;"D"&amp;A684)),"",INDIRECT("template!"&amp;"D"&amp;A684)))</f>
        <v>#REF!</v>
      </c>
      <c r="H684" t="e" cm="1">
        <f t="array" aca="1" ref="H684" ca="1">IF(OR(A684="",B684="safety"),"",IF(ISBLANK(INDIRECT("template!"&amp;"E"&amp;A684)),"",INDIRECT("template!"&amp;"E"&amp;A684)))</f>
        <v>#REF!</v>
      </c>
      <c r="I684" t="e" cm="1">
        <f t="array" aca="1" ref="I684" ca="1">IF(OR(A684="",B684="safety"),"",IF(ISBLANK(INDIRECT("template!"&amp;"F"&amp;A684)),"",INDIRECT("template!"&amp;"F"&amp;A684)))</f>
        <v>#REF!</v>
      </c>
      <c r="J684" t="e" cm="1">
        <f t="array" aca="1" ref="J684" ca="1">IF(OR(A684="",B684="safety"),"",IF(ISBLANK(INDIRECT("template!"&amp;"G"&amp;A684)),"",INDIRECT("template!"&amp;"G"&amp;A684)))</f>
        <v>#REF!</v>
      </c>
      <c r="K684" t="e" cm="1">
        <f t="array" aca="1" ref="K684" ca="1">IF(OR(A684="",B684="safety"),"",IF(ISBLANK(INDIRECT("template!"&amp;"H"&amp;A684)),"",INDIRECT("template!"&amp;"H"&amp;A684)))</f>
        <v>#REF!</v>
      </c>
      <c r="L684" t="e" cm="1">
        <f t="array" aca="1" ref="L684" ca="1">IF(OR(A684="",B684="safety"),"",INDIRECT("template!"&amp;"I"&amp;A684))</f>
        <v>#REF!</v>
      </c>
      <c r="M684" t="e" cm="1">
        <f t="array" aca="1" ref="M684" ca="1">IF(OR(A684="",B684="safety"),"",INDIRECT("template!"&amp;"J"&amp;A684))</f>
        <v>#REF!</v>
      </c>
      <c r="N684" t="e" cm="1">
        <f t="array" aca="1" ref="N684" ca="1">IF(OR(A684="",B684="safety"),"",IF(ISBLANK(INDIRECT("template!"&amp;"K"&amp;A684)),"",INDIRECT("template!"&amp;"K"&amp;A684)))</f>
        <v>#REF!</v>
      </c>
      <c r="O684" t="e" cm="1">
        <f t="array" aca="1" ref="O684" ca="1">IF(OR(A684="",B684="safety"),"",INDIRECT("template!"&amp;"L"&amp;A684))</f>
        <v>#REF!</v>
      </c>
      <c r="P684" t="e" cm="1">
        <f t="array" aca="1" ref="P684" ca="1">IF(OR(A684="",B684="safety"),"",INDIRECT("template!"&amp;"M"&amp;A684))</f>
        <v>#REF!</v>
      </c>
      <c r="Q684" t="e">
        <f t="shared" ca="1" si="58"/>
        <v>#REF!</v>
      </c>
      <c r="R684" t="e">
        <f t="shared" ca="1" si="59"/>
        <v>#REF!</v>
      </c>
      <c r="S684" t="e">
        <f t="shared" ca="1" si="60"/>
        <v>#REF!</v>
      </c>
      <c r="T684" t="e">
        <f t="shared" ca="1" si="61"/>
        <v>#REF!</v>
      </c>
      <c r="U684" t="e" cm="1">
        <f t="array" aca="1" ref="U684" ca="1">IF(A684="","",IF(E684="","",IF(B684="safety",INDIRECT("template!"&amp;"P"&amp;A684),Q684+R684)))</f>
        <v>#REF!</v>
      </c>
      <c r="V684" t="e" cm="1">
        <f t="array" aca="1" ref="V684" ca="1">IF(A684="","",IF(E684="","",IF(B684="safety",INDIRECT("template!"&amp;"P"&amp;A684),S684+T684)))</f>
        <v>#REF!</v>
      </c>
      <c r="W684" t="e">
        <f ca="1">IF(A684="","",IF(E684="","",#REF!))</f>
        <v>#REF!</v>
      </c>
      <c r="X684" t="e">
        <f ca="1">IF(A684="","",IF(E684="","",#REF!))</f>
        <v>#REF!</v>
      </c>
      <c r="Y684" s="39" t="e">
        <f ca="1">IF(A684="","",IF(E684="","",#REF!))</f>
        <v>#REF!</v>
      </c>
      <c r="Z684" t="e">
        <f ca="1">IF(A684="","",IF(E684="","",#REF!))</f>
        <v>#REF!</v>
      </c>
      <c r="AA684" t="e">
        <f ca="1">IF(A684="","",IF(E684="","",#REF!))</f>
        <v>#REF!</v>
      </c>
      <c r="AB684" t="e">
        <f ca="1">IF(A684="","",IF(E684="","",#REF!))</f>
        <v>#REF!</v>
      </c>
      <c r="AC684" t="e">
        <f t="shared" ca="1" si="62"/>
        <v>#REF!</v>
      </c>
    </row>
    <row r="685" spans="1:29" x14ac:dyDescent="0.35">
      <c r="A685" t="e" cm="1">
        <f t="array" aca="1" ref="A685" ca="1">IF(A684="","",IF(OR(AND(A684+1&gt;=$AF$1,A684+1&lt;=$AF$2),AND(A684+1&gt;=$AF$6,A684+1&lt;=$AF$7),AND(A684+1&gt;=$AF$3,A684+1&lt;=$AF$4),AND(A684+1&gt;=$AF$8,A684+1&lt;=$AF$9),A684+1=$AF$5),IF(NOT(ISBLANK(INDIRECT("template!"&amp;"P"&amp;A684+1))),A684+1,IF(NOT(ISBLANK(INDIRECT("template!"&amp;"P"&amp;A684+2))),A684+2,A684+3)),IF(A684=$AF$2,$AF$3,IF(A684=$AF$4,$AF$5,IF(A684=$AF$5,$AF$6,IF(A684=$AF$7,$AF$8,""))))))</f>
        <v>#REF!</v>
      </c>
      <c r="B685" t="e">
        <f t="shared" ca="1" si="57"/>
        <v>#REF!</v>
      </c>
      <c r="C685" t="e" cm="1">
        <f t="array" aca="1" ref="C685" ca="1">IF(A685="","",IF(B685="safety","safety costs",INDIRECT("template!"&amp;"B"&amp;A685)))</f>
        <v>#REF!</v>
      </c>
      <c r="D685" t="e" cm="1">
        <f t="array" aca="1" ref="D685" ca="1">IF(OR(A685="",B685="safety"),"",INDIRECT("template!"&amp;"C"&amp;A685))</f>
        <v>#REF!</v>
      </c>
      <c r="E685" t="e" cm="1">
        <f t="array" aca="1" ref="E685" ca="1">IF(A685="","",IF(OR(A685=A684+1,A685=A684+2),E684,INDIRECT("template!"&amp;"D"&amp;A685-2)))</f>
        <v>#REF!</v>
      </c>
      <c r="F685" t="e" cm="1">
        <f t="array" aca="1" ref="F685" ca="1">IF(OR(A685="",B685="safety"),"",IF(ISBLANK(IF(A685=A684+1,F684,INDIRECT("template!"&amp;"D"&amp;A685-1))),"",IF(A685=A684+1,F684,INDIRECT("template!"&amp;"D"&amp;A685-1))))</f>
        <v>#REF!</v>
      </c>
      <c r="G685" t="e" cm="1">
        <f t="array" aca="1" ref="G685" ca="1">IF(OR(A685="",B685="safety"),"",IF(ISBLANK(INDIRECT("template!"&amp;"D"&amp;A685)),"",INDIRECT("template!"&amp;"D"&amp;A685)))</f>
        <v>#REF!</v>
      </c>
      <c r="H685" t="e" cm="1">
        <f t="array" aca="1" ref="H685" ca="1">IF(OR(A685="",B685="safety"),"",IF(ISBLANK(INDIRECT("template!"&amp;"E"&amp;A685)),"",INDIRECT("template!"&amp;"E"&amp;A685)))</f>
        <v>#REF!</v>
      </c>
      <c r="I685" t="e" cm="1">
        <f t="array" aca="1" ref="I685" ca="1">IF(OR(A685="",B685="safety"),"",IF(ISBLANK(INDIRECT("template!"&amp;"F"&amp;A685)),"",INDIRECT("template!"&amp;"F"&amp;A685)))</f>
        <v>#REF!</v>
      </c>
      <c r="J685" t="e" cm="1">
        <f t="array" aca="1" ref="J685" ca="1">IF(OR(A685="",B685="safety"),"",IF(ISBLANK(INDIRECT("template!"&amp;"G"&amp;A685)),"",INDIRECT("template!"&amp;"G"&amp;A685)))</f>
        <v>#REF!</v>
      </c>
      <c r="K685" t="e" cm="1">
        <f t="array" aca="1" ref="K685" ca="1">IF(OR(A685="",B685="safety"),"",IF(ISBLANK(INDIRECT("template!"&amp;"H"&amp;A685)),"",INDIRECT("template!"&amp;"H"&amp;A685)))</f>
        <v>#REF!</v>
      </c>
      <c r="L685" t="e" cm="1">
        <f t="array" aca="1" ref="L685" ca="1">IF(OR(A685="",B685="safety"),"",INDIRECT("template!"&amp;"I"&amp;A685))</f>
        <v>#REF!</v>
      </c>
      <c r="M685" t="e" cm="1">
        <f t="array" aca="1" ref="M685" ca="1">IF(OR(A685="",B685="safety"),"",INDIRECT("template!"&amp;"J"&amp;A685))</f>
        <v>#REF!</v>
      </c>
      <c r="N685" t="e" cm="1">
        <f t="array" aca="1" ref="N685" ca="1">IF(OR(A685="",B685="safety"),"",IF(ISBLANK(INDIRECT("template!"&amp;"K"&amp;A685)),"",INDIRECT("template!"&amp;"K"&amp;A685)))</f>
        <v>#REF!</v>
      </c>
      <c r="O685" t="e" cm="1">
        <f t="array" aca="1" ref="O685" ca="1">IF(OR(A685="",B685="safety"),"",INDIRECT("template!"&amp;"L"&amp;A685))</f>
        <v>#REF!</v>
      </c>
      <c r="P685" t="e" cm="1">
        <f t="array" aca="1" ref="P685" ca="1">IF(OR(A685="",B685="safety"),"",INDIRECT("template!"&amp;"M"&amp;A685))</f>
        <v>#REF!</v>
      </c>
      <c r="Q685" t="e">
        <f t="shared" ca="1" si="58"/>
        <v>#REF!</v>
      </c>
      <c r="R685" t="e">
        <f t="shared" ca="1" si="59"/>
        <v>#REF!</v>
      </c>
      <c r="S685" t="e">
        <f t="shared" ca="1" si="60"/>
        <v>#REF!</v>
      </c>
      <c r="T685" t="e">
        <f t="shared" ca="1" si="61"/>
        <v>#REF!</v>
      </c>
      <c r="U685" t="e" cm="1">
        <f t="array" aca="1" ref="U685" ca="1">IF(A685="","",IF(E685="","",IF(B685="safety",INDIRECT("template!"&amp;"P"&amp;A685),Q685+R685)))</f>
        <v>#REF!</v>
      </c>
      <c r="V685" t="e" cm="1">
        <f t="array" aca="1" ref="V685" ca="1">IF(A685="","",IF(E685="","",IF(B685="safety",INDIRECT("template!"&amp;"P"&amp;A685),S685+T685)))</f>
        <v>#REF!</v>
      </c>
      <c r="W685" t="e">
        <f ca="1">IF(A685="","",IF(E685="","",#REF!))</f>
        <v>#REF!</v>
      </c>
      <c r="X685" t="e">
        <f ca="1">IF(A685="","",IF(E685="","",#REF!))</f>
        <v>#REF!</v>
      </c>
      <c r="Y685" s="39" t="e">
        <f ca="1">IF(A685="","",IF(E685="","",#REF!))</f>
        <v>#REF!</v>
      </c>
      <c r="Z685" t="e">
        <f ca="1">IF(A685="","",IF(E685="","",#REF!))</f>
        <v>#REF!</v>
      </c>
      <c r="AA685" t="e">
        <f ca="1">IF(A685="","",IF(E685="","",#REF!))</f>
        <v>#REF!</v>
      </c>
      <c r="AB685" t="e">
        <f ca="1">IF(A685="","",IF(E685="","",#REF!))</f>
        <v>#REF!</v>
      </c>
      <c r="AC685" t="e">
        <f t="shared" ca="1" si="62"/>
        <v>#REF!</v>
      </c>
    </row>
    <row r="686" spans="1:29" x14ac:dyDescent="0.35">
      <c r="A686" t="e" cm="1">
        <f t="array" aca="1" ref="A686" ca="1">IF(A685="","",IF(OR(AND(A685+1&gt;=$AF$1,A685+1&lt;=$AF$2),AND(A685+1&gt;=$AF$6,A685+1&lt;=$AF$7),AND(A685+1&gt;=$AF$3,A685+1&lt;=$AF$4),AND(A685+1&gt;=$AF$8,A685+1&lt;=$AF$9),A685+1=$AF$5),IF(NOT(ISBLANK(INDIRECT("template!"&amp;"P"&amp;A685+1))),A685+1,IF(NOT(ISBLANK(INDIRECT("template!"&amp;"P"&amp;A685+2))),A685+2,A685+3)),IF(A685=$AF$2,$AF$3,IF(A685=$AF$4,$AF$5,IF(A685=$AF$5,$AF$6,IF(A685=$AF$7,$AF$8,""))))))</f>
        <v>#REF!</v>
      </c>
      <c r="B686" t="e">
        <f t="shared" ca="1" si="57"/>
        <v>#REF!</v>
      </c>
      <c r="C686" t="e" cm="1">
        <f t="array" aca="1" ref="C686" ca="1">IF(A686="","",IF(B686="safety","safety costs",INDIRECT("template!"&amp;"B"&amp;A686)))</f>
        <v>#REF!</v>
      </c>
      <c r="D686" t="e" cm="1">
        <f t="array" aca="1" ref="D686" ca="1">IF(OR(A686="",B686="safety"),"",INDIRECT("template!"&amp;"C"&amp;A686))</f>
        <v>#REF!</v>
      </c>
      <c r="E686" t="e" cm="1">
        <f t="array" aca="1" ref="E686" ca="1">IF(A686="","",IF(OR(A686=A685+1,A686=A685+2),E685,INDIRECT("template!"&amp;"D"&amp;A686-2)))</f>
        <v>#REF!</v>
      </c>
      <c r="F686" t="e" cm="1">
        <f t="array" aca="1" ref="F686" ca="1">IF(OR(A686="",B686="safety"),"",IF(ISBLANK(IF(A686=A685+1,F685,INDIRECT("template!"&amp;"D"&amp;A686-1))),"",IF(A686=A685+1,F685,INDIRECT("template!"&amp;"D"&amp;A686-1))))</f>
        <v>#REF!</v>
      </c>
      <c r="G686" t="e" cm="1">
        <f t="array" aca="1" ref="G686" ca="1">IF(OR(A686="",B686="safety"),"",IF(ISBLANK(INDIRECT("template!"&amp;"D"&amp;A686)),"",INDIRECT("template!"&amp;"D"&amp;A686)))</f>
        <v>#REF!</v>
      </c>
      <c r="H686" t="e" cm="1">
        <f t="array" aca="1" ref="H686" ca="1">IF(OR(A686="",B686="safety"),"",IF(ISBLANK(INDIRECT("template!"&amp;"E"&amp;A686)),"",INDIRECT("template!"&amp;"E"&amp;A686)))</f>
        <v>#REF!</v>
      </c>
      <c r="I686" t="e" cm="1">
        <f t="array" aca="1" ref="I686" ca="1">IF(OR(A686="",B686="safety"),"",IF(ISBLANK(INDIRECT("template!"&amp;"F"&amp;A686)),"",INDIRECT("template!"&amp;"F"&amp;A686)))</f>
        <v>#REF!</v>
      </c>
      <c r="J686" t="e" cm="1">
        <f t="array" aca="1" ref="J686" ca="1">IF(OR(A686="",B686="safety"),"",IF(ISBLANK(INDIRECT("template!"&amp;"G"&amp;A686)),"",INDIRECT("template!"&amp;"G"&amp;A686)))</f>
        <v>#REF!</v>
      </c>
      <c r="K686" t="e" cm="1">
        <f t="array" aca="1" ref="K686" ca="1">IF(OR(A686="",B686="safety"),"",IF(ISBLANK(INDIRECT("template!"&amp;"H"&amp;A686)),"",INDIRECT("template!"&amp;"H"&amp;A686)))</f>
        <v>#REF!</v>
      </c>
      <c r="L686" t="e" cm="1">
        <f t="array" aca="1" ref="L686" ca="1">IF(OR(A686="",B686="safety"),"",INDIRECT("template!"&amp;"I"&amp;A686))</f>
        <v>#REF!</v>
      </c>
      <c r="M686" t="e" cm="1">
        <f t="array" aca="1" ref="M686" ca="1">IF(OR(A686="",B686="safety"),"",INDIRECT("template!"&amp;"J"&amp;A686))</f>
        <v>#REF!</v>
      </c>
      <c r="N686" t="e" cm="1">
        <f t="array" aca="1" ref="N686" ca="1">IF(OR(A686="",B686="safety"),"",IF(ISBLANK(INDIRECT("template!"&amp;"K"&amp;A686)),"",INDIRECT("template!"&amp;"K"&amp;A686)))</f>
        <v>#REF!</v>
      </c>
      <c r="O686" t="e" cm="1">
        <f t="array" aca="1" ref="O686" ca="1">IF(OR(A686="",B686="safety"),"",INDIRECT("template!"&amp;"L"&amp;A686))</f>
        <v>#REF!</v>
      </c>
      <c r="P686" t="e" cm="1">
        <f t="array" aca="1" ref="P686" ca="1">IF(OR(A686="",B686="safety"),"",INDIRECT("template!"&amp;"M"&amp;A686))</f>
        <v>#REF!</v>
      </c>
      <c r="Q686" t="e">
        <f t="shared" ca="1" si="58"/>
        <v>#REF!</v>
      </c>
      <c r="R686" t="e">
        <f t="shared" ca="1" si="59"/>
        <v>#REF!</v>
      </c>
      <c r="S686" t="e">
        <f t="shared" ca="1" si="60"/>
        <v>#REF!</v>
      </c>
      <c r="T686" t="e">
        <f t="shared" ca="1" si="61"/>
        <v>#REF!</v>
      </c>
      <c r="U686" t="e" cm="1">
        <f t="array" aca="1" ref="U686" ca="1">IF(A686="","",IF(E686="","",IF(B686="safety",INDIRECT("template!"&amp;"P"&amp;A686),Q686+R686)))</f>
        <v>#REF!</v>
      </c>
      <c r="V686" t="e" cm="1">
        <f t="array" aca="1" ref="V686" ca="1">IF(A686="","",IF(E686="","",IF(B686="safety",INDIRECT("template!"&amp;"P"&amp;A686),S686+T686)))</f>
        <v>#REF!</v>
      </c>
      <c r="W686" t="e">
        <f ca="1">IF(A686="","",IF(E686="","",#REF!))</f>
        <v>#REF!</v>
      </c>
      <c r="X686" t="e">
        <f ca="1">IF(A686="","",IF(E686="","",#REF!))</f>
        <v>#REF!</v>
      </c>
      <c r="Y686" s="39" t="e">
        <f ca="1">IF(A686="","",IF(E686="","",#REF!))</f>
        <v>#REF!</v>
      </c>
      <c r="Z686" t="e">
        <f ca="1">IF(A686="","",IF(E686="","",#REF!))</f>
        <v>#REF!</v>
      </c>
      <c r="AA686" t="e">
        <f ca="1">IF(A686="","",IF(E686="","",#REF!))</f>
        <v>#REF!</v>
      </c>
      <c r="AB686" t="e">
        <f ca="1">IF(A686="","",IF(E686="","",#REF!))</f>
        <v>#REF!</v>
      </c>
      <c r="AC686" t="e">
        <f t="shared" ca="1" si="62"/>
        <v>#REF!</v>
      </c>
    </row>
    <row r="687" spans="1:29" x14ac:dyDescent="0.35">
      <c r="A687" t="e" cm="1">
        <f t="array" aca="1" ref="A687" ca="1">IF(A686="","",IF(OR(AND(A686+1&gt;=$AF$1,A686+1&lt;=$AF$2),AND(A686+1&gt;=$AF$6,A686+1&lt;=$AF$7),AND(A686+1&gt;=$AF$3,A686+1&lt;=$AF$4),AND(A686+1&gt;=$AF$8,A686+1&lt;=$AF$9),A686+1=$AF$5),IF(NOT(ISBLANK(INDIRECT("template!"&amp;"P"&amp;A686+1))),A686+1,IF(NOT(ISBLANK(INDIRECT("template!"&amp;"P"&amp;A686+2))),A686+2,A686+3)),IF(A686=$AF$2,$AF$3,IF(A686=$AF$4,$AF$5,IF(A686=$AF$5,$AF$6,IF(A686=$AF$7,$AF$8,""))))))</f>
        <v>#REF!</v>
      </c>
      <c r="B687" t="e">
        <f t="shared" ca="1" si="57"/>
        <v>#REF!</v>
      </c>
      <c r="C687" t="e" cm="1">
        <f t="array" aca="1" ref="C687" ca="1">IF(A687="","",IF(B687="safety","safety costs",INDIRECT("template!"&amp;"B"&amp;A687)))</f>
        <v>#REF!</v>
      </c>
      <c r="D687" t="e" cm="1">
        <f t="array" aca="1" ref="D687" ca="1">IF(OR(A687="",B687="safety"),"",INDIRECT("template!"&amp;"C"&amp;A687))</f>
        <v>#REF!</v>
      </c>
      <c r="E687" t="e" cm="1">
        <f t="array" aca="1" ref="E687" ca="1">IF(A687="","",IF(OR(A687=A686+1,A687=A686+2),E686,INDIRECT("template!"&amp;"D"&amp;A687-2)))</f>
        <v>#REF!</v>
      </c>
      <c r="F687" t="e" cm="1">
        <f t="array" aca="1" ref="F687" ca="1">IF(OR(A687="",B687="safety"),"",IF(ISBLANK(IF(A687=A686+1,F686,INDIRECT("template!"&amp;"D"&amp;A687-1))),"",IF(A687=A686+1,F686,INDIRECT("template!"&amp;"D"&amp;A687-1))))</f>
        <v>#REF!</v>
      </c>
      <c r="G687" t="e" cm="1">
        <f t="array" aca="1" ref="G687" ca="1">IF(OR(A687="",B687="safety"),"",IF(ISBLANK(INDIRECT("template!"&amp;"D"&amp;A687)),"",INDIRECT("template!"&amp;"D"&amp;A687)))</f>
        <v>#REF!</v>
      </c>
      <c r="H687" t="e" cm="1">
        <f t="array" aca="1" ref="H687" ca="1">IF(OR(A687="",B687="safety"),"",IF(ISBLANK(INDIRECT("template!"&amp;"E"&amp;A687)),"",INDIRECT("template!"&amp;"E"&amp;A687)))</f>
        <v>#REF!</v>
      </c>
      <c r="I687" t="e" cm="1">
        <f t="array" aca="1" ref="I687" ca="1">IF(OR(A687="",B687="safety"),"",IF(ISBLANK(INDIRECT("template!"&amp;"F"&amp;A687)),"",INDIRECT("template!"&amp;"F"&amp;A687)))</f>
        <v>#REF!</v>
      </c>
      <c r="J687" t="e" cm="1">
        <f t="array" aca="1" ref="J687" ca="1">IF(OR(A687="",B687="safety"),"",IF(ISBLANK(INDIRECT("template!"&amp;"G"&amp;A687)),"",INDIRECT("template!"&amp;"G"&amp;A687)))</f>
        <v>#REF!</v>
      </c>
      <c r="K687" t="e" cm="1">
        <f t="array" aca="1" ref="K687" ca="1">IF(OR(A687="",B687="safety"),"",IF(ISBLANK(INDIRECT("template!"&amp;"H"&amp;A687)),"",INDIRECT("template!"&amp;"H"&amp;A687)))</f>
        <v>#REF!</v>
      </c>
      <c r="L687" t="e" cm="1">
        <f t="array" aca="1" ref="L687" ca="1">IF(OR(A687="",B687="safety"),"",INDIRECT("template!"&amp;"I"&amp;A687))</f>
        <v>#REF!</v>
      </c>
      <c r="M687" t="e" cm="1">
        <f t="array" aca="1" ref="M687" ca="1">IF(OR(A687="",B687="safety"),"",INDIRECT("template!"&amp;"J"&amp;A687))</f>
        <v>#REF!</v>
      </c>
      <c r="N687" t="e" cm="1">
        <f t="array" aca="1" ref="N687" ca="1">IF(OR(A687="",B687="safety"),"",IF(ISBLANK(INDIRECT("template!"&amp;"K"&amp;A687)),"",INDIRECT("template!"&amp;"K"&amp;A687)))</f>
        <v>#REF!</v>
      </c>
      <c r="O687" t="e" cm="1">
        <f t="array" aca="1" ref="O687" ca="1">IF(OR(A687="",B687="safety"),"",INDIRECT("template!"&amp;"L"&amp;A687))</f>
        <v>#REF!</v>
      </c>
      <c r="P687" t="e" cm="1">
        <f t="array" aca="1" ref="P687" ca="1">IF(OR(A687="",B687="safety"),"",INDIRECT("template!"&amp;"M"&amp;A687))</f>
        <v>#REF!</v>
      </c>
      <c r="Q687" t="e">
        <f t="shared" ca="1" si="58"/>
        <v>#REF!</v>
      </c>
      <c r="R687" t="e">
        <f t="shared" ca="1" si="59"/>
        <v>#REF!</v>
      </c>
      <c r="S687" t="e">
        <f t="shared" ca="1" si="60"/>
        <v>#REF!</v>
      </c>
      <c r="T687" t="e">
        <f t="shared" ca="1" si="61"/>
        <v>#REF!</v>
      </c>
      <c r="U687" t="e" cm="1">
        <f t="array" aca="1" ref="U687" ca="1">IF(A687="","",IF(E687="","",IF(B687="safety",INDIRECT("template!"&amp;"P"&amp;A687),Q687+R687)))</f>
        <v>#REF!</v>
      </c>
      <c r="V687" t="e" cm="1">
        <f t="array" aca="1" ref="V687" ca="1">IF(A687="","",IF(E687="","",IF(B687="safety",INDIRECT("template!"&amp;"P"&amp;A687),S687+T687)))</f>
        <v>#REF!</v>
      </c>
      <c r="W687" t="e">
        <f ca="1">IF(A687="","",IF(E687="","",#REF!))</f>
        <v>#REF!</v>
      </c>
      <c r="X687" t="e">
        <f ca="1">IF(A687="","",IF(E687="","",#REF!))</f>
        <v>#REF!</v>
      </c>
      <c r="Y687" s="39" t="e">
        <f ca="1">IF(A687="","",IF(E687="","",#REF!))</f>
        <v>#REF!</v>
      </c>
      <c r="Z687" t="e">
        <f ca="1">IF(A687="","",IF(E687="","",#REF!))</f>
        <v>#REF!</v>
      </c>
      <c r="AA687" t="e">
        <f ca="1">IF(A687="","",IF(E687="","",#REF!))</f>
        <v>#REF!</v>
      </c>
      <c r="AB687" t="e">
        <f ca="1">IF(A687="","",IF(E687="","",#REF!))</f>
        <v>#REF!</v>
      </c>
      <c r="AC687" t="e">
        <f t="shared" ca="1" si="62"/>
        <v>#REF!</v>
      </c>
    </row>
    <row r="688" spans="1:29" x14ac:dyDescent="0.35">
      <c r="A688" t="e" cm="1">
        <f t="array" aca="1" ref="A688" ca="1">IF(A687="","",IF(OR(AND(A687+1&gt;=$AF$1,A687+1&lt;=$AF$2),AND(A687+1&gt;=$AF$6,A687+1&lt;=$AF$7),AND(A687+1&gt;=$AF$3,A687+1&lt;=$AF$4),AND(A687+1&gt;=$AF$8,A687+1&lt;=$AF$9),A687+1=$AF$5),IF(NOT(ISBLANK(INDIRECT("template!"&amp;"P"&amp;A687+1))),A687+1,IF(NOT(ISBLANK(INDIRECT("template!"&amp;"P"&amp;A687+2))),A687+2,A687+3)),IF(A687=$AF$2,$AF$3,IF(A687=$AF$4,$AF$5,IF(A687=$AF$5,$AF$6,IF(A687=$AF$7,$AF$8,""))))))</f>
        <v>#REF!</v>
      </c>
      <c r="B688" t="e">
        <f t="shared" ca="1" si="57"/>
        <v>#REF!</v>
      </c>
      <c r="C688" t="e" cm="1">
        <f t="array" aca="1" ref="C688" ca="1">IF(A688="","",IF(B688="safety","safety costs",INDIRECT("template!"&amp;"B"&amp;A688)))</f>
        <v>#REF!</v>
      </c>
      <c r="D688" t="e" cm="1">
        <f t="array" aca="1" ref="D688" ca="1">IF(OR(A688="",B688="safety"),"",INDIRECT("template!"&amp;"C"&amp;A688))</f>
        <v>#REF!</v>
      </c>
      <c r="E688" t="e" cm="1">
        <f t="array" aca="1" ref="E688" ca="1">IF(A688="","",IF(OR(A688=A687+1,A688=A687+2),E687,INDIRECT("template!"&amp;"D"&amp;A688-2)))</f>
        <v>#REF!</v>
      </c>
      <c r="F688" t="e" cm="1">
        <f t="array" aca="1" ref="F688" ca="1">IF(OR(A688="",B688="safety"),"",IF(ISBLANK(IF(A688=A687+1,F687,INDIRECT("template!"&amp;"D"&amp;A688-1))),"",IF(A688=A687+1,F687,INDIRECT("template!"&amp;"D"&amp;A688-1))))</f>
        <v>#REF!</v>
      </c>
      <c r="G688" t="e" cm="1">
        <f t="array" aca="1" ref="G688" ca="1">IF(OR(A688="",B688="safety"),"",IF(ISBLANK(INDIRECT("template!"&amp;"D"&amp;A688)),"",INDIRECT("template!"&amp;"D"&amp;A688)))</f>
        <v>#REF!</v>
      </c>
      <c r="H688" t="e" cm="1">
        <f t="array" aca="1" ref="H688" ca="1">IF(OR(A688="",B688="safety"),"",IF(ISBLANK(INDIRECT("template!"&amp;"E"&amp;A688)),"",INDIRECT("template!"&amp;"E"&amp;A688)))</f>
        <v>#REF!</v>
      </c>
      <c r="I688" t="e" cm="1">
        <f t="array" aca="1" ref="I688" ca="1">IF(OR(A688="",B688="safety"),"",IF(ISBLANK(INDIRECT("template!"&amp;"F"&amp;A688)),"",INDIRECT("template!"&amp;"F"&amp;A688)))</f>
        <v>#REF!</v>
      </c>
      <c r="J688" t="e" cm="1">
        <f t="array" aca="1" ref="J688" ca="1">IF(OR(A688="",B688="safety"),"",IF(ISBLANK(INDIRECT("template!"&amp;"G"&amp;A688)),"",INDIRECT("template!"&amp;"G"&amp;A688)))</f>
        <v>#REF!</v>
      </c>
      <c r="K688" t="e" cm="1">
        <f t="array" aca="1" ref="K688" ca="1">IF(OR(A688="",B688="safety"),"",IF(ISBLANK(INDIRECT("template!"&amp;"H"&amp;A688)),"",INDIRECT("template!"&amp;"H"&amp;A688)))</f>
        <v>#REF!</v>
      </c>
      <c r="L688" t="e" cm="1">
        <f t="array" aca="1" ref="L688" ca="1">IF(OR(A688="",B688="safety"),"",INDIRECT("template!"&amp;"I"&amp;A688))</f>
        <v>#REF!</v>
      </c>
      <c r="M688" t="e" cm="1">
        <f t="array" aca="1" ref="M688" ca="1">IF(OR(A688="",B688="safety"),"",INDIRECT("template!"&amp;"J"&amp;A688))</f>
        <v>#REF!</v>
      </c>
      <c r="N688" t="e" cm="1">
        <f t="array" aca="1" ref="N688" ca="1">IF(OR(A688="",B688="safety"),"",IF(ISBLANK(INDIRECT("template!"&amp;"K"&amp;A688)),"",INDIRECT("template!"&amp;"K"&amp;A688)))</f>
        <v>#REF!</v>
      </c>
      <c r="O688" t="e" cm="1">
        <f t="array" aca="1" ref="O688" ca="1">IF(OR(A688="",B688="safety"),"",INDIRECT("template!"&amp;"L"&amp;A688))</f>
        <v>#REF!</v>
      </c>
      <c r="P688" t="e" cm="1">
        <f t="array" aca="1" ref="P688" ca="1">IF(OR(A688="",B688="safety"),"",INDIRECT("template!"&amp;"M"&amp;A688))</f>
        <v>#REF!</v>
      </c>
      <c r="Q688" t="e">
        <f t="shared" ca="1" si="58"/>
        <v>#REF!</v>
      </c>
      <c r="R688" t="e">
        <f t="shared" ca="1" si="59"/>
        <v>#REF!</v>
      </c>
      <c r="S688" t="e">
        <f t="shared" ca="1" si="60"/>
        <v>#REF!</v>
      </c>
      <c r="T688" t="e">
        <f t="shared" ca="1" si="61"/>
        <v>#REF!</v>
      </c>
      <c r="U688" t="e" cm="1">
        <f t="array" aca="1" ref="U688" ca="1">IF(A688="","",IF(E688="","",IF(B688="safety",INDIRECT("template!"&amp;"P"&amp;A688),Q688+R688)))</f>
        <v>#REF!</v>
      </c>
      <c r="V688" t="e" cm="1">
        <f t="array" aca="1" ref="V688" ca="1">IF(A688="","",IF(E688="","",IF(B688="safety",INDIRECT("template!"&amp;"P"&amp;A688),S688+T688)))</f>
        <v>#REF!</v>
      </c>
      <c r="W688" t="e">
        <f ca="1">IF(A688="","",IF(E688="","",#REF!))</f>
        <v>#REF!</v>
      </c>
      <c r="X688" t="e">
        <f ca="1">IF(A688="","",IF(E688="","",#REF!))</f>
        <v>#REF!</v>
      </c>
      <c r="Y688" s="39" t="e">
        <f ca="1">IF(A688="","",IF(E688="","",#REF!))</f>
        <v>#REF!</v>
      </c>
      <c r="Z688" t="e">
        <f ca="1">IF(A688="","",IF(E688="","",#REF!))</f>
        <v>#REF!</v>
      </c>
      <c r="AA688" t="e">
        <f ca="1">IF(A688="","",IF(E688="","",#REF!))</f>
        <v>#REF!</v>
      </c>
      <c r="AB688" t="e">
        <f ca="1">IF(A688="","",IF(E688="","",#REF!))</f>
        <v>#REF!</v>
      </c>
      <c r="AC688" t="e">
        <f t="shared" ca="1" si="62"/>
        <v>#REF!</v>
      </c>
    </row>
    <row r="689" spans="1:29" x14ac:dyDescent="0.35">
      <c r="A689" t="e" cm="1">
        <f t="array" aca="1" ref="A689" ca="1">IF(A688="","",IF(OR(AND(A688+1&gt;=$AF$1,A688+1&lt;=$AF$2),AND(A688+1&gt;=$AF$6,A688+1&lt;=$AF$7),AND(A688+1&gt;=$AF$3,A688+1&lt;=$AF$4),AND(A688+1&gt;=$AF$8,A688+1&lt;=$AF$9),A688+1=$AF$5),IF(NOT(ISBLANK(INDIRECT("template!"&amp;"P"&amp;A688+1))),A688+1,IF(NOT(ISBLANK(INDIRECT("template!"&amp;"P"&amp;A688+2))),A688+2,A688+3)),IF(A688=$AF$2,$AF$3,IF(A688=$AF$4,$AF$5,IF(A688=$AF$5,$AF$6,IF(A688=$AF$7,$AF$8,""))))))</f>
        <v>#REF!</v>
      </c>
      <c r="B689" t="e">
        <f t="shared" ca="1" si="57"/>
        <v>#REF!</v>
      </c>
      <c r="C689" t="e" cm="1">
        <f t="array" aca="1" ref="C689" ca="1">IF(A689="","",IF(B689="safety","safety costs",INDIRECT("template!"&amp;"B"&amp;A689)))</f>
        <v>#REF!</v>
      </c>
      <c r="D689" t="e" cm="1">
        <f t="array" aca="1" ref="D689" ca="1">IF(OR(A689="",B689="safety"),"",INDIRECT("template!"&amp;"C"&amp;A689))</f>
        <v>#REF!</v>
      </c>
      <c r="E689" t="e" cm="1">
        <f t="array" aca="1" ref="E689" ca="1">IF(A689="","",IF(OR(A689=A688+1,A689=A688+2),E688,INDIRECT("template!"&amp;"D"&amp;A689-2)))</f>
        <v>#REF!</v>
      </c>
      <c r="F689" t="e" cm="1">
        <f t="array" aca="1" ref="F689" ca="1">IF(OR(A689="",B689="safety"),"",IF(ISBLANK(IF(A689=A688+1,F688,INDIRECT("template!"&amp;"D"&amp;A689-1))),"",IF(A689=A688+1,F688,INDIRECT("template!"&amp;"D"&amp;A689-1))))</f>
        <v>#REF!</v>
      </c>
      <c r="G689" t="e" cm="1">
        <f t="array" aca="1" ref="G689" ca="1">IF(OR(A689="",B689="safety"),"",IF(ISBLANK(INDIRECT("template!"&amp;"D"&amp;A689)),"",INDIRECT("template!"&amp;"D"&amp;A689)))</f>
        <v>#REF!</v>
      </c>
      <c r="H689" t="e" cm="1">
        <f t="array" aca="1" ref="H689" ca="1">IF(OR(A689="",B689="safety"),"",IF(ISBLANK(INDIRECT("template!"&amp;"E"&amp;A689)),"",INDIRECT("template!"&amp;"E"&amp;A689)))</f>
        <v>#REF!</v>
      </c>
      <c r="I689" t="e" cm="1">
        <f t="array" aca="1" ref="I689" ca="1">IF(OR(A689="",B689="safety"),"",IF(ISBLANK(INDIRECT("template!"&amp;"F"&amp;A689)),"",INDIRECT("template!"&amp;"F"&amp;A689)))</f>
        <v>#REF!</v>
      </c>
      <c r="J689" t="e" cm="1">
        <f t="array" aca="1" ref="J689" ca="1">IF(OR(A689="",B689="safety"),"",IF(ISBLANK(INDIRECT("template!"&amp;"G"&amp;A689)),"",INDIRECT("template!"&amp;"G"&amp;A689)))</f>
        <v>#REF!</v>
      </c>
      <c r="K689" t="e" cm="1">
        <f t="array" aca="1" ref="K689" ca="1">IF(OR(A689="",B689="safety"),"",IF(ISBLANK(INDIRECT("template!"&amp;"H"&amp;A689)),"",INDIRECT("template!"&amp;"H"&amp;A689)))</f>
        <v>#REF!</v>
      </c>
      <c r="L689" t="e" cm="1">
        <f t="array" aca="1" ref="L689" ca="1">IF(OR(A689="",B689="safety"),"",INDIRECT("template!"&amp;"I"&amp;A689))</f>
        <v>#REF!</v>
      </c>
      <c r="M689" t="e" cm="1">
        <f t="array" aca="1" ref="M689" ca="1">IF(OR(A689="",B689="safety"),"",INDIRECT("template!"&amp;"J"&amp;A689))</f>
        <v>#REF!</v>
      </c>
      <c r="N689" t="e" cm="1">
        <f t="array" aca="1" ref="N689" ca="1">IF(OR(A689="",B689="safety"),"",IF(ISBLANK(INDIRECT("template!"&amp;"K"&amp;A689)),"",INDIRECT("template!"&amp;"K"&amp;A689)))</f>
        <v>#REF!</v>
      </c>
      <c r="O689" t="e" cm="1">
        <f t="array" aca="1" ref="O689" ca="1">IF(OR(A689="",B689="safety"),"",INDIRECT("template!"&amp;"L"&amp;A689))</f>
        <v>#REF!</v>
      </c>
      <c r="P689" t="e" cm="1">
        <f t="array" aca="1" ref="P689" ca="1">IF(OR(A689="",B689="safety"),"",INDIRECT("template!"&amp;"M"&amp;A689))</f>
        <v>#REF!</v>
      </c>
      <c r="Q689" t="e">
        <f t="shared" ca="1" si="58"/>
        <v>#REF!</v>
      </c>
      <c r="R689" t="e">
        <f t="shared" ca="1" si="59"/>
        <v>#REF!</v>
      </c>
      <c r="S689" t="e">
        <f t="shared" ca="1" si="60"/>
        <v>#REF!</v>
      </c>
      <c r="T689" t="e">
        <f t="shared" ca="1" si="61"/>
        <v>#REF!</v>
      </c>
      <c r="U689" t="e" cm="1">
        <f t="array" aca="1" ref="U689" ca="1">IF(A689="","",IF(E689="","",IF(B689="safety",INDIRECT("template!"&amp;"P"&amp;A689),Q689+R689)))</f>
        <v>#REF!</v>
      </c>
      <c r="V689" t="e" cm="1">
        <f t="array" aca="1" ref="V689" ca="1">IF(A689="","",IF(E689="","",IF(B689="safety",INDIRECT("template!"&amp;"P"&amp;A689),S689+T689)))</f>
        <v>#REF!</v>
      </c>
      <c r="W689" t="e">
        <f ca="1">IF(A689="","",IF(E689="","",#REF!))</f>
        <v>#REF!</v>
      </c>
      <c r="X689" t="e">
        <f ca="1">IF(A689="","",IF(E689="","",#REF!))</f>
        <v>#REF!</v>
      </c>
      <c r="Y689" s="39" t="e">
        <f ca="1">IF(A689="","",IF(E689="","",#REF!))</f>
        <v>#REF!</v>
      </c>
      <c r="Z689" t="e">
        <f ca="1">IF(A689="","",IF(E689="","",#REF!))</f>
        <v>#REF!</v>
      </c>
      <c r="AA689" t="e">
        <f ca="1">IF(A689="","",IF(E689="","",#REF!))</f>
        <v>#REF!</v>
      </c>
      <c r="AB689" t="e">
        <f ca="1">IF(A689="","",IF(E689="","",#REF!))</f>
        <v>#REF!</v>
      </c>
      <c r="AC689" t="e">
        <f t="shared" ca="1" si="62"/>
        <v>#REF!</v>
      </c>
    </row>
    <row r="690" spans="1:29" x14ac:dyDescent="0.35">
      <c r="A690" t="e" cm="1">
        <f t="array" aca="1" ref="A690" ca="1">IF(A689="","",IF(OR(AND(A689+1&gt;=$AF$1,A689+1&lt;=$AF$2),AND(A689+1&gt;=$AF$6,A689+1&lt;=$AF$7),AND(A689+1&gt;=$AF$3,A689+1&lt;=$AF$4),AND(A689+1&gt;=$AF$8,A689+1&lt;=$AF$9),A689+1=$AF$5),IF(NOT(ISBLANK(INDIRECT("template!"&amp;"P"&amp;A689+1))),A689+1,IF(NOT(ISBLANK(INDIRECT("template!"&amp;"P"&amp;A689+2))),A689+2,A689+3)),IF(A689=$AF$2,$AF$3,IF(A689=$AF$4,$AF$5,IF(A689=$AF$5,$AF$6,IF(A689=$AF$7,$AF$8,""))))))</f>
        <v>#REF!</v>
      </c>
      <c r="B690" t="e">
        <f t="shared" ca="1" si="57"/>
        <v>#REF!</v>
      </c>
      <c r="C690" t="e" cm="1">
        <f t="array" aca="1" ref="C690" ca="1">IF(A690="","",IF(B690="safety","safety costs",INDIRECT("template!"&amp;"B"&amp;A690)))</f>
        <v>#REF!</v>
      </c>
      <c r="D690" t="e" cm="1">
        <f t="array" aca="1" ref="D690" ca="1">IF(OR(A690="",B690="safety"),"",INDIRECT("template!"&amp;"C"&amp;A690))</f>
        <v>#REF!</v>
      </c>
      <c r="E690" t="e" cm="1">
        <f t="array" aca="1" ref="E690" ca="1">IF(A690="","",IF(OR(A690=A689+1,A690=A689+2),E689,INDIRECT("template!"&amp;"D"&amp;A690-2)))</f>
        <v>#REF!</v>
      </c>
      <c r="F690" t="e" cm="1">
        <f t="array" aca="1" ref="F690" ca="1">IF(OR(A690="",B690="safety"),"",IF(ISBLANK(IF(A690=A689+1,F689,INDIRECT("template!"&amp;"D"&amp;A690-1))),"",IF(A690=A689+1,F689,INDIRECT("template!"&amp;"D"&amp;A690-1))))</f>
        <v>#REF!</v>
      </c>
      <c r="G690" t="e" cm="1">
        <f t="array" aca="1" ref="G690" ca="1">IF(OR(A690="",B690="safety"),"",IF(ISBLANK(INDIRECT("template!"&amp;"D"&amp;A690)),"",INDIRECT("template!"&amp;"D"&amp;A690)))</f>
        <v>#REF!</v>
      </c>
      <c r="H690" t="e" cm="1">
        <f t="array" aca="1" ref="H690" ca="1">IF(OR(A690="",B690="safety"),"",IF(ISBLANK(INDIRECT("template!"&amp;"E"&amp;A690)),"",INDIRECT("template!"&amp;"E"&amp;A690)))</f>
        <v>#REF!</v>
      </c>
      <c r="I690" t="e" cm="1">
        <f t="array" aca="1" ref="I690" ca="1">IF(OR(A690="",B690="safety"),"",IF(ISBLANK(INDIRECT("template!"&amp;"F"&amp;A690)),"",INDIRECT("template!"&amp;"F"&amp;A690)))</f>
        <v>#REF!</v>
      </c>
      <c r="J690" t="e" cm="1">
        <f t="array" aca="1" ref="J690" ca="1">IF(OR(A690="",B690="safety"),"",IF(ISBLANK(INDIRECT("template!"&amp;"G"&amp;A690)),"",INDIRECT("template!"&amp;"G"&amp;A690)))</f>
        <v>#REF!</v>
      </c>
      <c r="K690" t="e" cm="1">
        <f t="array" aca="1" ref="K690" ca="1">IF(OR(A690="",B690="safety"),"",IF(ISBLANK(INDIRECT("template!"&amp;"H"&amp;A690)),"",INDIRECT("template!"&amp;"H"&amp;A690)))</f>
        <v>#REF!</v>
      </c>
      <c r="L690" t="e" cm="1">
        <f t="array" aca="1" ref="L690" ca="1">IF(OR(A690="",B690="safety"),"",INDIRECT("template!"&amp;"I"&amp;A690))</f>
        <v>#REF!</v>
      </c>
      <c r="M690" t="e" cm="1">
        <f t="array" aca="1" ref="M690" ca="1">IF(OR(A690="",B690="safety"),"",INDIRECT("template!"&amp;"J"&amp;A690))</f>
        <v>#REF!</v>
      </c>
      <c r="N690" t="e" cm="1">
        <f t="array" aca="1" ref="N690" ca="1">IF(OR(A690="",B690="safety"),"",IF(ISBLANK(INDIRECT("template!"&amp;"K"&amp;A690)),"",INDIRECT("template!"&amp;"K"&amp;A690)))</f>
        <v>#REF!</v>
      </c>
      <c r="O690" t="e" cm="1">
        <f t="array" aca="1" ref="O690" ca="1">IF(OR(A690="",B690="safety"),"",INDIRECT("template!"&amp;"L"&amp;A690))</f>
        <v>#REF!</v>
      </c>
      <c r="P690" t="e" cm="1">
        <f t="array" aca="1" ref="P690" ca="1">IF(OR(A690="",B690="safety"),"",INDIRECT("template!"&amp;"M"&amp;A690))</f>
        <v>#REF!</v>
      </c>
      <c r="Q690" t="e">
        <f t="shared" ca="1" si="58"/>
        <v>#REF!</v>
      </c>
      <c r="R690" t="e">
        <f t="shared" ca="1" si="59"/>
        <v>#REF!</v>
      </c>
      <c r="S690" t="e">
        <f t="shared" ca="1" si="60"/>
        <v>#REF!</v>
      </c>
      <c r="T690" t="e">
        <f t="shared" ca="1" si="61"/>
        <v>#REF!</v>
      </c>
      <c r="U690" t="e" cm="1">
        <f t="array" aca="1" ref="U690" ca="1">IF(A690="","",IF(E690="","",IF(B690="safety",INDIRECT("template!"&amp;"P"&amp;A690),Q690+R690)))</f>
        <v>#REF!</v>
      </c>
      <c r="V690" t="e" cm="1">
        <f t="array" aca="1" ref="V690" ca="1">IF(A690="","",IF(E690="","",IF(B690="safety",INDIRECT("template!"&amp;"P"&amp;A690),S690+T690)))</f>
        <v>#REF!</v>
      </c>
      <c r="W690" t="e">
        <f ca="1">IF(A690="","",IF(E690="","",#REF!))</f>
        <v>#REF!</v>
      </c>
      <c r="X690" t="e">
        <f ca="1">IF(A690="","",IF(E690="","",#REF!))</f>
        <v>#REF!</v>
      </c>
      <c r="Y690" s="39" t="e">
        <f ca="1">IF(A690="","",IF(E690="","",#REF!))</f>
        <v>#REF!</v>
      </c>
      <c r="Z690" t="e">
        <f ca="1">IF(A690="","",IF(E690="","",#REF!))</f>
        <v>#REF!</v>
      </c>
      <c r="AA690" t="e">
        <f ca="1">IF(A690="","",IF(E690="","",#REF!))</f>
        <v>#REF!</v>
      </c>
      <c r="AB690" t="e">
        <f ca="1">IF(A690="","",IF(E690="","",#REF!))</f>
        <v>#REF!</v>
      </c>
      <c r="AC690" t="e">
        <f t="shared" ca="1" si="62"/>
        <v>#REF!</v>
      </c>
    </row>
    <row r="691" spans="1:29" x14ac:dyDescent="0.35">
      <c r="A691" t="e" cm="1">
        <f t="array" aca="1" ref="A691" ca="1">IF(A690="","",IF(OR(AND(A690+1&gt;=$AF$1,A690+1&lt;=$AF$2),AND(A690+1&gt;=$AF$6,A690+1&lt;=$AF$7),AND(A690+1&gt;=$AF$3,A690+1&lt;=$AF$4),AND(A690+1&gt;=$AF$8,A690+1&lt;=$AF$9),A690+1=$AF$5),IF(NOT(ISBLANK(INDIRECT("template!"&amp;"P"&amp;A690+1))),A690+1,IF(NOT(ISBLANK(INDIRECT("template!"&amp;"P"&amp;A690+2))),A690+2,A690+3)),IF(A690=$AF$2,$AF$3,IF(A690=$AF$4,$AF$5,IF(A690=$AF$5,$AF$6,IF(A690=$AF$7,$AF$8,""))))))</f>
        <v>#REF!</v>
      </c>
      <c r="B691" t="e">
        <f t="shared" ca="1" si="57"/>
        <v>#REF!</v>
      </c>
      <c r="C691" t="e" cm="1">
        <f t="array" aca="1" ref="C691" ca="1">IF(A691="","",IF(B691="safety","safety costs",INDIRECT("template!"&amp;"B"&amp;A691)))</f>
        <v>#REF!</v>
      </c>
      <c r="D691" t="e" cm="1">
        <f t="array" aca="1" ref="D691" ca="1">IF(OR(A691="",B691="safety"),"",INDIRECT("template!"&amp;"C"&amp;A691))</f>
        <v>#REF!</v>
      </c>
      <c r="E691" t="e" cm="1">
        <f t="array" aca="1" ref="E691" ca="1">IF(A691="","",IF(OR(A691=A690+1,A691=A690+2),E690,INDIRECT("template!"&amp;"D"&amp;A691-2)))</f>
        <v>#REF!</v>
      </c>
      <c r="F691" t="e" cm="1">
        <f t="array" aca="1" ref="F691" ca="1">IF(OR(A691="",B691="safety"),"",IF(ISBLANK(IF(A691=A690+1,F690,INDIRECT("template!"&amp;"D"&amp;A691-1))),"",IF(A691=A690+1,F690,INDIRECT("template!"&amp;"D"&amp;A691-1))))</f>
        <v>#REF!</v>
      </c>
      <c r="G691" t="e" cm="1">
        <f t="array" aca="1" ref="G691" ca="1">IF(OR(A691="",B691="safety"),"",IF(ISBLANK(INDIRECT("template!"&amp;"D"&amp;A691)),"",INDIRECT("template!"&amp;"D"&amp;A691)))</f>
        <v>#REF!</v>
      </c>
      <c r="H691" t="e" cm="1">
        <f t="array" aca="1" ref="H691" ca="1">IF(OR(A691="",B691="safety"),"",IF(ISBLANK(INDIRECT("template!"&amp;"E"&amp;A691)),"",INDIRECT("template!"&amp;"E"&amp;A691)))</f>
        <v>#REF!</v>
      </c>
      <c r="I691" t="e" cm="1">
        <f t="array" aca="1" ref="I691" ca="1">IF(OR(A691="",B691="safety"),"",IF(ISBLANK(INDIRECT("template!"&amp;"F"&amp;A691)),"",INDIRECT("template!"&amp;"F"&amp;A691)))</f>
        <v>#REF!</v>
      </c>
      <c r="J691" t="e" cm="1">
        <f t="array" aca="1" ref="J691" ca="1">IF(OR(A691="",B691="safety"),"",IF(ISBLANK(INDIRECT("template!"&amp;"G"&amp;A691)),"",INDIRECT("template!"&amp;"G"&amp;A691)))</f>
        <v>#REF!</v>
      </c>
      <c r="K691" t="e" cm="1">
        <f t="array" aca="1" ref="K691" ca="1">IF(OR(A691="",B691="safety"),"",IF(ISBLANK(INDIRECT("template!"&amp;"H"&amp;A691)),"",INDIRECT("template!"&amp;"H"&amp;A691)))</f>
        <v>#REF!</v>
      </c>
      <c r="L691" t="e" cm="1">
        <f t="array" aca="1" ref="L691" ca="1">IF(OR(A691="",B691="safety"),"",INDIRECT("template!"&amp;"I"&amp;A691))</f>
        <v>#REF!</v>
      </c>
      <c r="M691" t="e" cm="1">
        <f t="array" aca="1" ref="M691" ca="1">IF(OR(A691="",B691="safety"),"",INDIRECT("template!"&amp;"J"&amp;A691))</f>
        <v>#REF!</v>
      </c>
      <c r="N691" t="e" cm="1">
        <f t="array" aca="1" ref="N691" ca="1">IF(OR(A691="",B691="safety"),"",IF(ISBLANK(INDIRECT("template!"&amp;"K"&amp;A691)),"",INDIRECT("template!"&amp;"K"&amp;A691)))</f>
        <v>#REF!</v>
      </c>
      <c r="O691" t="e" cm="1">
        <f t="array" aca="1" ref="O691" ca="1">IF(OR(A691="",B691="safety"),"",INDIRECT("template!"&amp;"L"&amp;A691))</f>
        <v>#REF!</v>
      </c>
      <c r="P691" t="e" cm="1">
        <f t="array" aca="1" ref="P691" ca="1">IF(OR(A691="",B691="safety"),"",INDIRECT("template!"&amp;"M"&amp;A691))</f>
        <v>#REF!</v>
      </c>
      <c r="Q691" t="e">
        <f t="shared" ca="1" si="58"/>
        <v>#REF!</v>
      </c>
      <c r="R691" t="e">
        <f t="shared" ca="1" si="59"/>
        <v>#REF!</v>
      </c>
      <c r="S691" t="e">
        <f t="shared" ca="1" si="60"/>
        <v>#REF!</v>
      </c>
      <c r="T691" t="e">
        <f t="shared" ca="1" si="61"/>
        <v>#REF!</v>
      </c>
      <c r="U691" t="e" cm="1">
        <f t="array" aca="1" ref="U691" ca="1">IF(A691="","",IF(E691="","",IF(B691="safety",INDIRECT("template!"&amp;"P"&amp;A691),Q691+R691)))</f>
        <v>#REF!</v>
      </c>
      <c r="V691" t="e" cm="1">
        <f t="array" aca="1" ref="V691" ca="1">IF(A691="","",IF(E691="","",IF(B691="safety",INDIRECT("template!"&amp;"P"&amp;A691),S691+T691)))</f>
        <v>#REF!</v>
      </c>
      <c r="W691" t="e">
        <f ca="1">IF(A691="","",IF(E691="","",#REF!))</f>
        <v>#REF!</v>
      </c>
      <c r="X691" t="e">
        <f ca="1">IF(A691="","",IF(E691="","",#REF!))</f>
        <v>#REF!</v>
      </c>
      <c r="Y691" s="39" t="e">
        <f ca="1">IF(A691="","",IF(E691="","",#REF!))</f>
        <v>#REF!</v>
      </c>
      <c r="Z691" t="e">
        <f ca="1">IF(A691="","",IF(E691="","",#REF!))</f>
        <v>#REF!</v>
      </c>
      <c r="AA691" t="e">
        <f ca="1">IF(A691="","",IF(E691="","",#REF!))</f>
        <v>#REF!</v>
      </c>
      <c r="AB691" t="e">
        <f ca="1">IF(A691="","",IF(E691="","",#REF!))</f>
        <v>#REF!</v>
      </c>
      <c r="AC691" t="e">
        <f t="shared" ca="1" si="62"/>
        <v>#REF!</v>
      </c>
    </row>
    <row r="692" spans="1:29" x14ac:dyDescent="0.35">
      <c r="A692" t="e" cm="1">
        <f t="array" aca="1" ref="A692" ca="1">IF(A691="","",IF(OR(AND(A691+1&gt;=$AF$1,A691+1&lt;=$AF$2),AND(A691+1&gt;=$AF$6,A691+1&lt;=$AF$7),AND(A691+1&gt;=$AF$3,A691+1&lt;=$AF$4),AND(A691+1&gt;=$AF$8,A691+1&lt;=$AF$9),A691+1=$AF$5),IF(NOT(ISBLANK(INDIRECT("template!"&amp;"P"&amp;A691+1))),A691+1,IF(NOT(ISBLANK(INDIRECT("template!"&amp;"P"&amp;A691+2))),A691+2,A691+3)),IF(A691=$AF$2,$AF$3,IF(A691=$AF$4,$AF$5,IF(A691=$AF$5,$AF$6,IF(A691=$AF$7,$AF$8,""))))))</f>
        <v>#REF!</v>
      </c>
      <c r="B692" t="e">
        <f t="shared" ca="1" si="57"/>
        <v>#REF!</v>
      </c>
      <c r="C692" t="e" cm="1">
        <f t="array" aca="1" ref="C692" ca="1">IF(A692="","",IF(B692="safety","safety costs",INDIRECT("template!"&amp;"B"&amp;A692)))</f>
        <v>#REF!</v>
      </c>
      <c r="D692" t="e" cm="1">
        <f t="array" aca="1" ref="D692" ca="1">IF(OR(A692="",B692="safety"),"",INDIRECT("template!"&amp;"C"&amp;A692))</f>
        <v>#REF!</v>
      </c>
      <c r="E692" t="e" cm="1">
        <f t="array" aca="1" ref="E692" ca="1">IF(A692="","",IF(OR(A692=A691+1,A692=A691+2),E691,INDIRECT("template!"&amp;"D"&amp;A692-2)))</f>
        <v>#REF!</v>
      </c>
      <c r="F692" t="e" cm="1">
        <f t="array" aca="1" ref="F692" ca="1">IF(OR(A692="",B692="safety"),"",IF(ISBLANK(IF(A692=A691+1,F691,INDIRECT("template!"&amp;"D"&amp;A692-1))),"",IF(A692=A691+1,F691,INDIRECT("template!"&amp;"D"&amp;A692-1))))</f>
        <v>#REF!</v>
      </c>
      <c r="G692" t="e" cm="1">
        <f t="array" aca="1" ref="G692" ca="1">IF(OR(A692="",B692="safety"),"",IF(ISBLANK(INDIRECT("template!"&amp;"D"&amp;A692)),"",INDIRECT("template!"&amp;"D"&amp;A692)))</f>
        <v>#REF!</v>
      </c>
      <c r="H692" t="e" cm="1">
        <f t="array" aca="1" ref="H692" ca="1">IF(OR(A692="",B692="safety"),"",IF(ISBLANK(INDIRECT("template!"&amp;"E"&amp;A692)),"",INDIRECT("template!"&amp;"E"&amp;A692)))</f>
        <v>#REF!</v>
      </c>
      <c r="I692" t="e" cm="1">
        <f t="array" aca="1" ref="I692" ca="1">IF(OR(A692="",B692="safety"),"",IF(ISBLANK(INDIRECT("template!"&amp;"F"&amp;A692)),"",INDIRECT("template!"&amp;"F"&amp;A692)))</f>
        <v>#REF!</v>
      </c>
      <c r="J692" t="e" cm="1">
        <f t="array" aca="1" ref="J692" ca="1">IF(OR(A692="",B692="safety"),"",IF(ISBLANK(INDIRECT("template!"&amp;"G"&amp;A692)),"",INDIRECT("template!"&amp;"G"&amp;A692)))</f>
        <v>#REF!</v>
      </c>
      <c r="K692" t="e" cm="1">
        <f t="array" aca="1" ref="K692" ca="1">IF(OR(A692="",B692="safety"),"",IF(ISBLANK(INDIRECT("template!"&amp;"H"&amp;A692)),"",INDIRECT("template!"&amp;"H"&amp;A692)))</f>
        <v>#REF!</v>
      </c>
      <c r="L692" t="e" cm="1">
        <f t="array" aca="1" ref="L692" ca="1">IF(OR(A692="",B692="safety"),"",INDIRECT("template!"&amp;"I"&amp;A692))</f>
        <v>#REF!</v>
      </c>
      <c r="M692" t="e" cm="1">
        <f t="array" aca="1" ref="M692" ca="1">IF(OR(A692="",B692="safety"),"",INDIRECT("template!"&amp;"J"&amp;A692))</f>
        <v>#REF!</v>
      </c>
      <c r="N692" t="e" cm="1">
        <f t="array" aca="1" ref="N692" ca="1">IF(OR(A692="",B692="safety"),"",IF(ISBLANK(INDIRECT("template!"&amp;"K"&amp;A692)),"",INDIRECT("template!"&amp;"K"&amp;A692)))</f>
        <v>#REF!</v>
      </c>
      <c r="O692" t="e" cm="1">
        <f t="array" aca="1" ref="O692" ca="1">IF(OR(A692="",B692="safety"),"",INDIRECT("template!"&amp;"L"&amp;A692))</f>
        <v>#REF!</v>
      </c>
      <c r="P692" t="e" cm="1">
        <f t="array" aca="1" ref="P692" ca="1">IF(OR(A692="",B692="safety"),"",INDIRECT("template!"&amp;"M"&amp;A692))</f>
        <v>#REF!</v>
      </c>
      <c r="Q692" t="e">
        <f t="shared" ca="1" si="58"/>
        <v>#REF!</v>
      </c>
      <c r="R692" t="e">
        <f t="shared" ca="1" si="59"/>
        <v>#REF!</v>
      </c>
      <c r="S692" t="e">
        <f t="shared" ca="1" si="60"/>
        <v>#REF!</v>
      </c>
      <c r="T692" t="e">
        <f t="shared" ca="1" si="61"/>
        <v>#REF!</v>
      </c>
      <c r="U692" t="e" cm="1">
        <f t="array" aca="1" ref="U692" ca="1">IF(A692="","",IF(E692="","",IF(B692="safety",INDIRECT("template!"&amp;"P"&amp;A692),Q692+R692)))</f>
        <v>#REF!</v>
      </c>
      <c r="V692" t="e" cm="1">
        <f t="array" aca="1" ref="V692" ca="1">IF(A692="","",IF(E692="","",IF(B692="safety",INDIRECT("template!"&amp;"P"&amp;A692),S692+T692)))</f>
        <v>#REF!</v>
      </c>
      <c r="W692" t="e">
        <f ca="1">IF(A692="","",IF(E692="","",#REF!))</f>
        <v>#REF!</v>
      </c>
      <c r="X692" t="e">
        <f ca="1">IF(A692="","",IF(E692="","",#REF!))</f>
        <v>#REF!</v>
      </c>
      <c r="Y692" s="39" t="e">
        <f ca="1">IF(A692="","",IF(E692="","",#REF!))</f>
        <v>#REF!</v>
      </c>
      <c r="Z692" t="e">
        <f ca="1">IF(A692="","",IF(E692="","",#REF!))</f>
        <v>#REF!</v>
      </c>
      <c r="AA692" t="e">
        <f ca="1">IF(A692="","",IF(E692="","",#REF!))</f>
        <v>#REF!</v>
      </c>
      <c r="AB692" t="e">
        <f ca="1">IF(A692="","",IF(E692="","",#REF!))</f>
        <v>#REF!</v>
      </c>
      <c r="AC692" t="e">
        <f t="shared" ca="1" si="62"/>
        <v>#REF!</v>
      </c>
    </row>
    <row r="693" spans="1:29" x14ac:dyDescent="0.35">
      <c r="A693" t="e" cm="1">
        <f t="array" aca="1" ref="A693" ca="1">IF(A692="","",IF(OR(AND(A692+1&gt;=$AF$1,A692+1&lt;=$AF$2),AND(A692+1&gt;=$AF$6,A692+1&lt;=$AF$7),AND(A692+1&gt;=$AF$3,A692+1&lt;=$AF$4),AND(A692+1&gt;=$AF$8,A692+1&lt;=$AF$9),A692+1=$AF$5),IF(NOT(ISBLANK(INDIRECT("template!"&amp;"P"&amp;A692+1))),A692+1,IF(NOT(ISBLANK(INDIRECT("template!"&amp;"P"&amp;A692+2))),A692+2,A692+3)),IF(A692=$AF$2,$AF$3,IF(A692=$AF$4,$AF$5,IF(A692=$AF$5,$AF$6,IF(A692=$AF$7,$AF$8,""))))))</f>
        <v>#REF!</v>
      </c>
      <c r="B693" t="e">
        <f t="shared" ca="1" si="57"/>
        <v>#REF!</v>
      </c>
      <c r="C693" t="e" cm="1">
        <f t="array" aca="1" ref="C693" ca="1">IF(A693="","",IF(B693="safety","safety costs",INDIRECT("template!"&amp;"B"&amp;A693)))</f>
        <v>#REF!</v>
      </c>
      <c r="D693" t="e" cm="1">
        <f t="array" aca="1" ref="D693" ca="1">IF(OR(A693="",B693="safety"),"",INDIRECT("template!"&amp;"C"&amp;A693))</f>
        <v>#REF!</v>
      </c>
      <c r="E693" t="e" cm="1">
        <f t="array" aca="1" ref="E693" ca="1">IF(A693="","",IF(OR(A693=A692+1,A693=A692+2),E692,INDIRECT("template!"&amp;"D"&amp;A693-2)))</f>
        <v>#REF!</v>
      </c>
      <c r="F693" t="e" cm="1">
        <f t="array" aca="1" ref="F693" ca="1">IF(OR(A693="",B693="safety"),"",IF(ISBLANK(IF(A693=A692+1,F692,INDIRECT("template!"&amp;"D"&amp;A693-1))),"",IF(A693=A692+1,F692,INDIRECT("template!"&amp;"D"&amp;A693-1))))</f>
        <v>#REF!</v>
      </c>
      <c r="G693" t="e" cm="1">
        <f t="array" aca="1" ref="G693" ca="1">IF(OR(A693="",B693="safety"),"",IF(ISBLANK(INDIRECT("template!"&amp;"D"&amp;A693)),"",INDIRECT("template!"&amp;"D"&amp;A693)))</f>
        <v>#REF!</v>
      </c>
      <c r="H693" t="e" cm="1">
        <f t="array" aca="1" ref="H693" ca="1">IF(OR(A693="",B693="safety"),"",IF(ISBLANK(INDIRECT("template!"&amp;"E"&amp;A693)),"",INDIRECT("template!"&amp;"E"&amp;A693)))</f>
        <v>#REF!</v>
      </c>
      <c r="I693" t="e" cm="1">
        <f t="array" aca="1" ref="I693" ca="1">IF(OR(A693="",B693="safety"),"",IF(ISBLANK(INDIRECT("template!"&amp;"F"&amp;A693)),"",INDIRECT("template!"&amp;"F"&amp;A693)))</f>
        <v>#REF!</v>
      </c>
      <c r="J693" t="e" cm="1">
        <f t="array" aca="1" ref="J693" ca="1">IF(OR(A693="",B693="safety"),"",IF(ISBLANK(INDIRECT("template!"&amp;"G"&amp;A693)),"",INDIRECT("template!"&amp;"G"&amp;A693)))</f>
        <v>#REF!</v>
      </c>
      <c r="K693" t="e" cm="1">
        <f t="array" aca="1" ref="K693" ca="1">IF(OR(A693="",B693="safety"),"",IF(ISBLANK(INDIRECT("template!"&amp;"H"&amp;A693)),"",INDIRECT("template!"&amp;"H"&amp;A693)))</f>
        <v>#REF!</v>
      </c>
      <c r="L693" t="e" cm="1">
        <f t="array" aca="1" ref="L693" ca="1">IF(OR(A693="",B693="safety"),"",INDIRECT("template!"&amp;"I"&amp;A693))</f>
        <v>#REF!</v>
      </c>
      <c r="M693" t="e" cm="1">
        <f t="array" aca="1" ref="M693" ca="1">IF(OR(A693="",B693="safety"),"",INDIRECT("template!"&amp;"J"&amp;A693))</f>
        <v>#REF!</v>
      </c>
      <c r="N693" t="e" cm="1">
        <f t="array" aca="1" ref="N693" ca="1">IF(OR(A693="",B693="safety"),"",IF(ISBLANK(INDIRECT("template!"&amp;"K"&amp;A693)),"",INDIRECT("template!"&amp;"K"&amp;A693)))</f>
        <v>#REF!</v>
      </c>
      <c r="O693" t="e" cm="1">
        <f t="array" aca="1" ref="O693" ca="1">IF(OR(A693="",B693="safety"),"",INDIRECT("template!"&amp;"L"&amp;A693))</f>
        <v>#REF!</v>
      </c>
      <c r="P693" t="e" cm="1">
        <f t="array" aca="1" ref="P693" ca="1">IF(OR(A693="",B693="safety"),"",INDIRECT("template!"&amp;"M"&amp;A693))</f>
        <v>#REF!</v>
      </c>
      <c r="Q693" t="e">
        <f t="shared" ca="1" si="58"/>
        <v>#REF!</v>
      </c>
      <c r="R693" t="e">
        <f t="shared" ca="1" si="59"/>
        <v>#REF!</v>
      </c>
      <c r="S693" t="e">
        <f t="shared" ca="1" si="60"/>
        <v>#REF!</v>
      </c>
      <c r="T693" t="e">
        <f t="shared" ca="1" si="61"/>
        <v>#REF!</v>
      </c>
      <c r="U693" t="e" cm="1">
        <f t="array" aca="1" ref="U693" ca="1">IF(A693="","",IF(E693="","",IF(B693="safety",INDIRECT("template!"&amp;"P"&amp;A693),Q693+R693)))</f>
        <v>#REF!</v>
      </c>
      <c r="V693" t="e" cm="1">
        <f t="array" aca="1" ref="V693" ca="1">IF(A693="","",IF(E693="","",IF(B693="safety",INDIRECT("template!"&amp;"P"&amp;A693),S693+T693)))</f>
        <v>#REF!</v>
      </c>
      <c r="W693" t="e">
        <f ca="1">IF(A693="","",IF(E693="","",#REF!))</f>
        <v>#REF!</v>
      </c>
      <c r="X693" t="e">
        <f ca="1">IF(A693="","",IF(E693="","",#REF!))</f>
        <v>#REF!</v>
      </c>
      <c r="Y693" s="39" t="e">
        <f ca="1">IF(A693="","",IF(E693="","",#REF!))</f>
        <v>#REF!</v>
      </c>
      <c r="Z693" t="e">
        <f ca="1">IF(A693="","",IF(E693="","",#REF!))</f>
        <v>#REF!</v>
      </c>
      <c r="AA693" t="e">
        <f ca="1">IF(A693="","",IF(E693="","",#REF!))</f>
        <v>#REF!</v>
      </c>
      <c r="AB693" t="e">
        <f ca="1">IF(A693="","",IF(E693="","",#REF!))</f>
        <v>#REF!</v>
      </c>
      <c r="AC693" t="e">
        <f t="shared" ca="1" si="62"/>
        <v>#REF!</v>
      </c>
    </row>
    <row r="694" spans="1:29" x14ac:dyDescent="0.35">
      <c r="A694" t="e" cm="1">
        <f t="array" aca="1" ref="A694" ca="1">IF(A693="","",IF(OR(AND(A693+1&gt;=$AF$1,A693+1&lt;=$AF$2),AND(A693+1&gt;=$AF$6,A693+1&lt;=$AF$7),AND(A693+1&gt;=$AF$3,A693+1&lt;=$AF$4),AND(A693+1&gt;=$AF$8,A693+1&lt;=$AF$9),A693+1=$AF$5),IF(NOT(ISBLANK(INDIRECT("template!"&amp;"P"&amp;A693+1))),A693+1,IF(NOT(ISBLANK(INDIRECT("template!"&amp;"P"&amp;A693+2))),A693+2,A693+3)),IF(A693=$AF$2,$AF$3,IF(A693=$AF$4,$AF$5,IF(A693=$AF$5,$AF$6,IF(A693=$AF$7,$AF$8,""))))))</f>
        <v>#REF!</v>
      </c>
      <c r="B694" t="e">
        <f t="shared" ca="1" si="57"/>
        <v>#REF!</v>
      </c>
      <c r="C694" t="e" cm="1">
        <f t="array" aca="1" ref="C694" ca="1">IF(A694="","",IF(B694="safety","safety costs",INDIRECT("template!"&amp;"B"&amp;A694)))</f>
        <v>#REF!</v>
      </c>
      <c r="D694" t="e" cm="1">
        <f t="array" aca="1" ref="D694" ca="1">IF(OR(A694="",B694="safety"),"",INDIRECT("template!"&amp;"C"&amp;A694))</f>
        <v>#REF!</v>
      </c>
      <c r="E694" t="e" cm="1">
        <f t="array" aca="1" ref="E694" ca="1">IF(A694="","",IF(OR(A694=A693+1,A694=A693+2),E693,INDIRECT("template!"&amp;"D"&amp;A694-2)))</f>
        <v>#REF!</v>
      </c>
      <c r="F694" t="e" cm="1">
        <f t="array" aca="1" ref="F694" ca="1">IF(OR(A694="",B694="safety"),"",IF(ISBLANK(IF(A694=A693+1,F693,INDIRECT("template!"&amp;"D"&amp;A694-1))),"",IF(A694=A693+1,F693,INDIRECT("template!"&amp;"D"&amp;A694-1))))</f>
        <v>#REF!</v>
      </c>
      <c r="G694" t="e" cm="1">
        <f t="array" aca="1" ref="G694" ca="1">IF(OR(A694="",B694="safety"),"",IF(ISBLANK(INDIRECT("template!"&amp;"D"&amp;A694)),"",INDIRECT("template!"&amp;"D"&amp;A694)))</f>
        <v>#REF!</v>
      </c>
      <c r="H694" t="e" cm="1">
        <f t="array" aca="1" ref="H694" ca="1">IF(OR(A694="",B694="safety"),"",IF(ISBLANK(INDIRECT("template!"&amp;"E"&amp;A694)),"",INDIRECT("template!"&amp;"E"&amp;A694)))</f>
        <v>#REF!</v>
      </c>
      <c r="I694" t="e" cm="1">
        <f t="array" aca="1" ref="I694" ca="1">IF(OR(A694="",B694="safety"),"",IF(ISBLANK(INDIRECT("template!"&amp;"F"&amp;A694)),"",INDIRECT("template!"&amp;"F"&amp;A694)))</f>
        <v>#REF!</v>
      </c>
      <c r="J694" t="e" cm="1">
        <f t="array" aca="1" ref="J694" ca="1">IF(OR(A694="",B694="safety"),"",IF(ISBLANK(INDIRECT("template!"&amp;"G"&amp;A694)),"",INDIRECT("template!"&amp;"G"&amp;A694)))</f>
        <v>#REF!</v>
      </c>
      <c r="K694" t="e" cm="1">
        <f t="array" aca="1" ref="K694" ca="1">IF(OR(A694="",B694="safety"),"",IF(ISBLANK(INDIRECT("template!"&amp;"H"&amp;A694)),"",INDIRECT("template!"&amp;"H"&amp;A694)))</f>
        <v>#REF!</v>
      </c>
      <c r="L694" t="e" cm="1">
        <f t="array" aca="1" ref="L694" ca="1">IF(OR(A694="",B694="safety"),"",INDIRECT("template!"&amp;"I"&amp;A694))</f>
        <v>#REF!</v>
      </c>
      <c r="M694" t="e" cm="1">
        <f t="array" aca="1" ref="M694" ca="1">IF(OR(A694="",B694="safety"),"",INDIRECT("template!"&amp;"J"&amp;A694))</f>
        <v>#REF!</v>
      </c>
      <c r="N694" t="e" cm="1">
        <f t="array" aca="1" ref="N694" ca="1">IF(OR(A694="",B694="safety"),"",IF(ISBLANK(INDIRECT("template!"&amp;"K"&amp;A694)),"",INDIRECT("template!"&amp;"K"&amp;A694)))</f>
        <v>#REF!</v>
      </c>
      <c r="O694" t="e" cm="1">
        <f t="array" aca="1" ref="O694" ca="1">IF(OR(A694="",B694="safety"),"",INDIRECT("template!"&amp;"L"&amp;A694))</f>
        <v>#REF!</v>
      </c>
      <c r="P694" t="e" cm="1">
        <f t="array" aca="1" ref="P694" ca="1">IF(OR(A694="",B694="safety"),"",INDIRECT("template!"&amp;"M"&amp;A694))</f>
        <v>#REF!</v>
      </c>
      <c r="Q694" t="e">
        <f t="shared" ca="1" si="58"/>
        <v>#REF!</v>
      </c>
      <c r="R694" t="e">
        <f t="shared" ca="1" si="59"/>
        <v>#REF!</v>
      </c>
      <c r="S694" t="e">
        <f t="shared" ca="1" si="60"/>
        <v>#REF!</v>
      </c>
      <c r="T694" t="e">
        <f t="shared" ca="1" si="61"/>
        <v>#REF!</v>
      </c>
      <c r="U694" t="e" cm="1">
        <f t="array" aca="1" ref="U694" ca="1">IF(A694="","",IF(E694="","",IF(B694="safety",INDIRECT("template!"&amp;"P"&amp;A694),Q694+R694)))</f>
        <v>#REF!</v>
      </c>
      <c r="V694" t="e" cm="1">
        <f t="array" aca="1" ref="V694" ca="1">IF(A694="","",IF(E694="","",IF(B694="safety",INDIRECT("template!"&amp;"P"&amp;A694),S694+T694)))</f>
        <v>#REF!</v>
      </c>
      <c r="W694" t="e">
        <f ca="1">IF(A694="","",IF(E694="","",#REF!))</f>
        <v>#REF!</v>
      </c>
      <c r="X694" t="e">
        <f ca="1">IF(A694="","",IF(E694="","",#REF!))</f>
        <v>#REF!</v>
      </c>
      <c r="Y694" s="39" t="e">
        <f ca="1">IF(A694="","",IF(E694="","",#REF!))</f>
        <v>#REF!</v>
      </c>
      <c r="Z694" t="e">
        <f ca="1">IF(A694="","",IF(E694="","",#REF!))</f>
        <v>#REF!</v>
      </c>
      <c r="AA694" t="e">
        <f ca="1">IF(A694="","",IF(E694="","",#REF!))</f>
        <v>#REF!</v>
      </c>
      <c r="AB694" t="e">
        <f ca="1">IF(A694="","",IF(E694="","",#REF!))</f>
        <v>#REF!</v>
      </c>
      <c r="AC694" t="e">
        <f t="shared" ca="1" si="62"/>
        <v>#REF!</v>
      </c>
    </row>
    <row r="695" spans="1:29" x14ac:dyDescent="0.35">
      <c r="A695" t="e" cm="1">
        <f t="array" aca="1" ref="A695" ca="1">IF(A694="","",IF(OR(AND(A694+1&gt;=$AF$1,A694+1&lt;=$AF$2),AND(A694+1&gt;=$AF$6,A694+1&lt;=$AF$7),AND(A694+1&gt;=$AF$3,A694+1&lt;=$AF$4),AND(A694+1&gt;=$AF$8,A694+1&lt;=$AF$9),A694+1=$AF$5),IF(NOT(ISBLANK(INDIRECT("template!"&amp;"P"&amp;A694+1))),A694+1,IF(NOT(ISBLANK(INDIRECT("template!"&amp;"P"&amp;A694+2))),A694+2,A694+3)),IF(A694=$AF$2,$AF$3,IF(A694=$AF$4,$AF$5,IF(A694=$AF$5,$AF$6,IF(A694=$AF$7,$AF$8,""))))))</f>
        <v>#REF!</v>
      </c>
      <c r="B695" t="e">
        <f t="shared" ca="1" si="57"/>
        <v>#REF!</v>
      </c>
      <c r="C695" t="e" cm="1">
        <f t="array" aca="1" ref="C695" ca="1">IF(A695="","",IF(B695="safety","safety costs",INDIRECT("template!"&amp;"B"&amp;A695)))</f>
        <v>#REF!</v>
      </c>
      <c r="D695" t="e" cm="1">
        <f t="array" aca="1" ref="D695" ca="1">IF(OR(A695="",B695="safety"),"",INDIRECT("template!"&amp;"C"&amp;A695))</f>
        <v>#REF!</v>
      </c>
      <c r="E695" t="e" cm="1">
        <f t="array" aca="1" ref="E695" ca="1">IF(A695="","",IF(OR(A695=A694+1,A695=A694+2),E694,INDIRECT("template!"&amp;"D"&amp;A695-2)))</f>
        <v>#REF!</v>
      </c>
      <c r="F695" t="e" cm="1">
        <f t="array" aca="1" ref="F695" ca="1">IF(OR(A695="",B695="safety"),"",IF(ISBLANK(IF(A695=A694+1,F694,INDIRECT("template!"&amp;"D"&amp;A695-1))),"",IF(A695=A694+1,F694,INDIRECT("template!"&amp;"D"&amp;A695-1))))</f>
        <v>#REF!</v>
      </c>
      <c r="G695" t="e" cm="1">
        <f t="array" aca="1" ref="G695" ca="1">IF(OR(A695="",B695="safety"),"",IF(ISBLANK(INDIRECT("template!"&amp;"D"&amp;A695)),"",INDIRECT("template!"&amp;"D"&amp;A695)))</f>
        <v>#REF!</v>
      </c>
      <c r="H695" t="e" cm="1">
        <f t="array" aca="1" ref="H695" ca="1">IF(OR(A695="",B695="safety"),"",IF(ISBLANK(INDIRECT("template!"&amp;"E"&amp;A695)),"",INDIRECT("template!"&amp;"E"&amp;A695)))</f>
        <v>#REF!</v>
      </c>
      <c r="I695" t="e" cm="1">
        <f t="array" aca="1" ref="I695" ca="1">IF(OR(A695="",B695="safety"),"",IF(ISBLANK(INDIRECT("template!"&amp;"F"&amp;A695)),"",INDIRECT("template!"&amp;"F"&amp;A695)))</f>
        <v>#REF!</v>
      </c>
      <c r="J695" t="e" cm="1">
        <f t="array" aca="1" ref="J695" ca="1">IF(OR(A695="",B695="safety"),"",IF(ISBLANK(INDIRECT("template!"&amp;"G"&amp;A695)),"",INDIRECT("template!"&amp;"G"&amp;A695)))</f>
        <v>#REF!</v>
      </c>
      <c r="K695" t="e" cm="1">
        <f t="array" aca="1" ref="K695" ca="1">IF(OR(A695="",B695="safety"),"",IF(ISBLANK(INDIRECT("template!"&amp;"H"&amp;A695)),"",INDIRECT("template!"&amp;"H"&amp;A695)))</f>
        <v>#REF!</v>
      </c>
      <c r="L695" t="e" cm="1">
        <f t="array" aca="1" ref="L695" ca="1">IF(OR(A695="",B695="safety"),"",INDIRECT("template!"&amp;"I"&amp;A695))</f>
        <v>#REF!</v>
      </c>
      <c r="M695" t="e" cm="1">
        <f t="array" aca="1" ref="M695" ca="1">IF(OR(A695="",B695="safety"),"",INDIRECT("template!"&amp;"J"&amp;A695))</f>
        <v>#REF!</v>
      </c>
      <c r="N695" t="e" cm="1">
        <f t="array" aca="1" ref="N695" ca="1">IF(OR(A695="",B695="safety"),"",IF(ISBLANK(INDIRECT("template!"&amp;"K"&amp;A695)),"",INDIRECT("template!"&amp;"K"&amp;A695)))</f>
        <v>#REF!</v>
      </c>
      <c r="O695" t="e" cm="1">
        <f t="array" aca="1" ref="O695" ca="1">IF(OR(A695="",B695="safety"),"",INDIRECT("template!"&amp;"L"&amp;A695))</f>
        <v>#REF!</v>
      </c>
      <c r="P695" t="e" cm="1">
        <f t="array" aca="1" ref="P695" ca="1">IF(OR(A695="",B695="safety"),"",INDIRECT("template!"&amp;"M"&amp;A695))</f>
        <v>#REF!</v>
      </c>
      <c r="Q695" t="e">
        <f t="shared" ca="1" si="58"/>
        <v>#REF!</v>
      </c>
      <c r="R695" t="e">
        <f t="shared" ca="1" si="59"/>
        <v>#REF!</v>
      </c>
      <c r="S695" t="e">
        <f t="shared" ca="1" si="60"/>
        <v>#REF!</v>
      </c>
      <c r="T695" t="e">
        <f t="shared" ca="1" si="61"/>
        <v>#REF!</v>
      </c>
      <c r="U695" t="e" cm="1">
        <f t="array" aca="1" ref="U695" ca="1">IF(A695="","",IF(E695="","",IF(B695="safety",INDIRECT("template!"&amp;"P"&amp;A695),Q695+R695)))</f>
        <v>#REF!</v>
      </c>
      <c r="V695" t="e" cm="1">
        <f t="array" aca="1" ref="V695" ca="1">IF(A695="","",IF(E695="","",IF(B695="safety",INDIRECT("template!"&amp;"P"&amp;A695),S695+T695)))</f>
        <v>#REF!</v>
      </c>
      <c r="W695" t="e">
        <f ca="1">IF(A695="","",IF(E695="","",#REF!))</f>
        <v>#REF!</v>
      </c>
      <c r="X695" t="e">
        <f ca="1">IF(A695="","",IF(E695="","",#REF!))</f>
        <v>#REF!</v>
      </c>
      <c r="Y695" s="39" t="e">
        <f ca="1">IF(A695="","",IF(E695="","",#REF!))</f>
        <v>#REF!</v>
      </c>
      <c r="Z695" t="e">
        <f ca="1">IF(A695="","",IF(E695="","",#REF!))</f>
        <v>#REF!</v>
      </c>
      <c r="AA695" t="e">
        <f ca="1">IF(A695="","",IF(E695="","",#REF!))</f>
        <v>#REF!</v>
      </c>
      <c r="AB695" t="e">
        <f ca="1">IF(A695="","",IF(E695="","",#REF!))</f>
        <v>#REF!</v>
      </c>
      <c r="AC695" t="e">
        <f t="shared" ca="1" si="62"/>
        <v>#REF!</v>
      </c>
    </row>
    <row r="696" spans="1:29" x14ac:dyDescent="0.35">
      <c r="A696" t="e" cm="1">
        <f t="array" aca="1" ref="A696" ca="1">IF(A695="","",IF(OR(AND(A695+1&gt;=$AF$1,A695+1&lt;=$AF$2),AND(A695+1&gt;=$AF$6,A695+1&lt;=$AF$7),AND(A695+1&gt;=$AF$3,A695+1&lt;=$AF$4),AND(A695+1&gt;=$AF$8,A695+1&lt;=$AF$9),A695+1=$AF$5),IF(NOT(ISBLANK(INDIRECT("template!"&amp;"P"&amp;A695+1))),A695+1,IF(NOT(ISBLANK(INDIRECT("template!"&amp;"P"&amp;A695+2))),A695+2,A695+3)),IF(A695=$AF$2,$AF$3,IF(A695=$AF$4,$AF$5,IF(A695=$AF$5,$AF$6,IF(A695=$AF$7,$AF$8,""))))))</f>
        <v>#REF!</v>
      </c>
      <c r="B696" t="e">
        <f t="shared" ca="1" si="57"/>
        <v>#REF!</v>
      </c>
      <c r="C696" t="e" cm="1">
        <f t="array" aca="1" ref="C696" ca="1">IF(A696="","",IF(B696="safety","safety costs",INDIRECT("template!"&amp;"B"&amp;A696)))</f>
        <v>#REF!</v>
      </c>
      <c r="D696" t="e" cm="1">
        <f t="array" aca="1" ref="D696" ca="1">IF(OR(A696="",B696="safety"),"",INDIRECT("template!"&amp;"C"&amp;A696))</f>
        <v>#REF!</v>
      </c>
      <c r="E696" t="e" cm="1">
        <f t="array" aca="1" ref="E696" ca="1">IF(A696="","",IF(OR(A696=A695+1,A696=A695+2),E695,INDIRECT("template!"&amp;"D"&amp;A696-2)))</f>
        <v>#REF!</v>
      </c>
      <c r="F696" t="e" cm="1">
        <f t="array" aca="1" ref="F696" ca="1">IF(OR(A696="",B696="safety"),"",IF(ISBLANK(IF(A696=A695+1,F695,INDIRECT("template!"&amp;"D"&amp;A696-1))),"",IF(A696=A695+1,F695,INDIRECT("template!"&amp;"D"&amp;A696-1))))</f>
        <v>#REF!</v>
      </c>
      <c r="G696" t="e" cm="1">
        <f t="array" aca="1" ref="G696" ca="1">IF(OR(A696="",B696="safety"),"",IF(ISBLANK(INDIRECT("template!"&amp;"D"&amp;A696)),"",INDIRECT("template!"&amp;"D"&amp;A696)))</f>
        <v>#REF!</v>
      </c>
      <c r="H696" t="e" cm="1">
        <f t="array" aca="1" ref="H696" ca="1">IF(OR(A696="",B696="safety"),"",IF(ISBLANK(INDIRECT("template!"&amp;"E"&amp;A696)),"",INDIRECT("template!"&amp;"E"&amp;A696)))</f>
        <v>#REF!</v>
      </c>
      <c r="I696" t="e" cm="1">
        <f t="array" aca="1" ref="I696" ca="1">IF(OR(A696="",B696="safety"),"",IF(ISBLANK(INDIRECT("template!"&amp;"F"&amp;A696)),"",INDIRECT("template!"&amp;"F"&amp;A696)))</f>
        <v>#REF!</v>
      </c>
      <c r="J696" t="e" cm="1">
        <f t="array" aca="1" ref="J696" ca="1">IF(OR(A696="",B696="safety"),"",IF(ISBLANK(INDIRECT("template!"&amp;"G"&amp;A696)),"",INDIRECT("template!"&amp;"G"&amp;A696)))</f>
        <v>#REF!</v>
      </c>
      <c r="K696" t="e" cm="1">
        <f t="array" aca="1" ref="K696" ca="1">IF(OR(A696="",B696="safety"),"",IF(ISBLANK(INDIRECT("template!"&amp;"H"&amp;A696)),"",INDIRECT("template!"&amp;"H"&amp;A696)))</f>
        <v>#REF!</v>
      </c>
      <c r="L696" t="e" cm="1">
        <f t="array" aca="1" ref="L696" ca="1">IF(OR(A696="",B696="safety"),"",INDIRECT("template!"&amp;"I"&amp;A696))</f>
        <v>#REF!</v>
      </c>
      <c r="M696" t="e" cm="1">
        <f t="array" aca="1" ref="M696" ca="1">IF(OR(A696="",B696="safety"),"",INDIRECT("template!"&amp;"J"&amp;A696))</f>
        <v>#REF!</v>
      </c>
      <c r="N696" t="e" cm="1">
        <f t="array" aca="1" ref="N696" ca="1">IF(OR(A696="",B696="safety"),"",IF(ISBLANK(INDIRECT("template!"&amp;"K"&amp;A696)),"",INDIRECT("template!"&amp;"K"&amp;A696)))</f>
        <v>#REF!</v>
      </c>
      <c r="O696" t="e" cm="1">
        <f t="array" aca="1" ref="O696" ca="1">IF(OR(A696="",B696="safety"),"",INDIRECT("template!"&amp;"L"&amp;A696))</f>
        <v>#REF!</v>
      </c>
      <c r="P696" t="e" cm="1">
        <f t="array" aca="1" ref="P696" ca="1">IF(OR(A696="",B696="safety"),"",INDIRECT("template!"&amp;"M"&amp;A696))</f>
        <v>#REF!</v>
      </c>
      <c r="Q696" t="e">
        <f t="shared" ca="1" si="58"/>
        <v>#REF!</v>
      </c>
      <c r="R696" t="e">
        <f t="shared" ca="1" si="59"/>
        <v>#REF!</v>
      </c>
      <c r="S696" t="e">
        <f t="shared" ca="1" si="60"/>
        <v>#REF!</v>
      </c>
      <c r="T696" t="e">
        <f t="shared" ca="1" si="61"/>
        <v>#REF!</v>
      </c>
      <c r="U696" t="e" cm="1">
        <f t="array" aca="1" ref="U696" ca="1">IF(A696="","",IF(E696="","",IF(B696="safety",INDIRECT("template!"&amp;"P"&amp;A696),Q696+R696)))</f>
        <v>#REF!</v>
      </c>
      <c r="V696" t="e" cm="1">
        <f t="array" aca="1" ref="V696" ca="1">IF(A696="","",IF(E696="","",IF(B696="safety",INDIRECT("template!"&amp;"P"&amp;A696),S696+T696)))</f>
        <v>#REF!</v>
      </c>
      <c r="W696" t="e">
        <f ca="1">IF(A696="","",IF(E696="","",#REF!))</f>
        <v>#REF!</v>
      </c>
      <c r="X696" t="e">
        <f ca="1">IF(A696="","",IF(E696="","",#REF!))</f>
        <v>#REF!</v>
      </c>
      <c r="Y696" s="39" t="e">
        <f ca="1">IF(A696="","",IF(E696="","",#REF!))</f>
        <v>#REF!</v>
      </c>
      <c r="Z696" t="e">
        <f ca="1">IF(A696="","",IF(E696="","",#REF!))</f>
        <v>#REF!</v>
      </c>
      <c r="AA696" t="e">
        <f ca="1">IF(A696="","",IF(E696="","",#REF!))</f>
        <v>#REF!</v>
      </c>
      <c r="AB696" t="e">
        <f ca="1">IF(A696="","",IF(E696="","",#REF!))</f>
        <v>#REF!</v>
      </c>
      <c r="AC696" t="e">
        <f t="shared" ca="1" si="62"/>
        <v>#REF!</v>
      </c>
    </row>
    <row r="697" spans="1:29" x14ac:dyDescent="0.35">
      <c r="A697" t="e" cm="1">
        <f t="array" aca="1" ref="A697" ca="1">IF(A696="","",IF(OR(AND(A696+1&gt;=$AF$1,A696+1&lt;=$AF$2),AND(A696+1&gt;=$AF$6,A696+1&lt;=$AF$7),AND(A696+1&gt;=$AF$3,A696+1&lt;=$AF$4),AND(A696+1&gt;=$AF$8,A696+1&lt;=$AF$9),A696+1=$AF$5),IF(NOT(ISBLANK(INDIRECT("template!"&amp;"P"&amp;A696+1))),A696+1,IF(NOT(ISBLANK(INDIRECT("template!"&amp;"P"&amp;A696+2))),A696+2,A696+3)),IF(A696=$AF$2,$AF$3,IF(A696=$AF$4,$AF$5,IF(A696=$AF$5,$AF$6,IF(A696=$AF$7,$AF$8,""))))))</f>
        <v>#REF!</v>
      </c>
      <c r="B697" t="e">
        <f t="shared" ca="1" si="57"/>
        <v>#REF!</v>
      </c>
      <c r="C697" t="e" cm="1">
        <f t="array" aca="1" ref="C697" ca="1">IF(A697="","",IF(B697="safety","safety costs",INDIRECT("template!"&amp;"B"&amp;A697)))</f>
        <v>#REF!</v>
      </c>
      <c r="D697" t="e" cm="1">
        <f t="array" aca="1" ref="D697" ca="1">IF(OR(A697="",B697="safety"),"",INDIRECT("template!"&amp;"C"&amp;A697))</f>
        <v>#REF!</v>
      </c>
      <c r="E697" t="e" cm="1">
        <f t="array" aca="1" ref="E697" ca="1">IF(A697="","",IF(OR(A697=A696+1,A697=A696+2),E696,INDIRECT("template!"&amp;"D"&amp;A697-2)))</f>
        <v>#REF!</v>
      </c>
      <c r="F697" t="e" cm="1">
        <f t="array" aca="1" ref="F697" ca="1">IF(OR(A697="",B697="safety"),"",IF(ISBLANK(IF(A697=A696+1,F696,INDIRECT("template!"&amp;"D"&amp;A697-1))),"",IF(A697=A696+1,F696,INDIRECT("template!"&amp;"D"&amp;A697-1))))</f>
        <v>#REF!</v>
      </c>
      <c r="G697" t="e" cm="1">
        <f t="array" aca="1" ref="G697" ca="1">IF(OR(A697="",B697="safety"),"",IF(ISBLANK(INDIRECT("template!"&amp;"D"&amp;A697)),"",INDIRECT("template!"&amp;"D"&amp;A697)))</f>
        <v>#REF!</v>
      </c>
      <c r="H697" t="e" cm="1">
        <f t="array" aca="1" ref="H697" ca="1">IF(OR(A697="",B697="safety"),"",IF(ISBLANK(INDIRECT("template!"&amp;"E"&amp;A697)),"",INDIRECT("template!"&amp;"E"&amp;A697)))</f>
        <v>#REF!</v>
      </c>
      <c r="I697" t="e" cm="1">
        <f t="array" aca="1" ref="I697" ca="1">IF(OR(A697="",B697="safety"),"",IF(ISBLANK(INDIRECT("template!"&amp;"F"&amp;A697)),"",INDIRECT("template!"&amp;"F"&amp;A697)))</f>
        <v>#REF!</v>
      </c>
      <c r="J697" t="e" cm="1">
        <f t="array" aca="1" ref="J697" ca="1">IF(OR(A697="",B697="safety"),"",IF(ISBLANK(INDIRECT("template!"&amp;"G"&amp;A697)),"",INDIRECT("template!"&amp;"G"&amp;A697)))</f>
        <v>#REF!</v>
      </c>
      <c r="K697" t="e" cm="1">
        <f t="array" aca="1" ref="K697" ca="1">IF(OR(A697="",B697="safety"),"",IF(ISBLANK(INDIRECT("template!"&amp;"H"&amp;A697)),"",INDIRECT("template!"&amp;"H"&amp;A697)))</f>
        <v>#REF!</v>
      </c>
      <c r="L697" t="e" cm="1">
        <f t="array" aca="1" ref="L697" ca="1">IF(OR(A697="",B697="safety"),"",INDIRECT("template!"&amp;"I"&amp;A697))</f>
        <v>#REF!</v>
      </c>
      <c r="M697" t="e" cm="1">
        <f t="array" aca="1" ref="M697" ca="1">IF(OR(A697="",B697="safety"),"",INDIRECT("template!"&amp;"J"&amp;A697))</f>
        <v>#REF!</v>
      </c>
      <c r="N697" t="e" cm="1">
        <f t="array" aca="1" ref="N697" ca="1">IF(OR(A697="",B697="safety"),"",IF(ISBLANK(INDIRECT("template!"&amp;"K"&amp;A697)),"",INDIRECT("template!"&amp;"K"&amp;A697)))</f>
        <v>#REF!</v>
      </c>
      <c r="O697" t="e" cm="1">
        <f t="array" aca="1" ref="O697" ca="1">IF(OR(A697="",B697="safety"),"",INDIRECT("template!"&amp;"L"&amp;A697))</f>
        <v>#REF!</v>
      </c>
      <c r="P697" t="e" cm="1">
        <f t="array" aca="1" ref="P697" ca="1">IF(OR(A697="",B697="safety"),"",INDIRECT("template!"&amp;"M"&amp;A697))</f>
        <v>#REF!</v>
      </c>
      <c r="Q697" t="e">
        <f t="shared" ca="1" si="58"/>
        <v>#REF!</v>
      </c>
      <c r="R697" t="e">
        <f t="shared" ca="1" si="59"/>
        <v>#REF!</v>
      </c>
      <c r="S697" t="e">
        <f t="shared" ca="1" si="60"/>
        <v>#REF!</v>
      </c>
      <c r="T697" t="e">
        <f t="shared" ca="1" si="61"/>
        <v>#REF!</v>
      </c>
      <c r="U697" t="e" cm="1">
        <f t="array" aca="1" ref="U697" ca="1">IF(A697="","",IF(E697="","",IF(B697="safety",INDIRECT("template!"&amp;"P"&amp;A697),Q697+R697)))</f>
        <v>#REF!</v>
      </c>
      <c r="V697" t="e" cm="1">
        <f t="array" aca="1" ref="V697" ca="1">IF(A697="","",IF(E697="","",IF(B697="safety",INDIRECT("template!"&amp;"P"&amp;A697),S697+T697)))</f>
        <v>#REF!</v>
      </c>
      <c r="W697" t="e">
        <f ca="1">IF(A697="","",IF(E697="","",#REF!))</f>
        <v>#REF!</v>
      </c>
      <c r="X697" t="e">
        <f ca="1">IF(A697="","",IF(E697="","",#REF!))</f>
        <v>#REF!</v>
      </c>
      <c r="Y697" s="39" t="e">
        <f ca="1">IF(A697="","",IF(E697="","",#REF!))</f>
        <v>#REF!</v>
      </c>
      <c r="Z697" t="e">
        <f ca="1">IF(A697="","",IF(E697="","",#REF!))</f>
        <v>#REF!</v>
      </c>
      <c r="AA697" t="e">
        <f ca="1">IF(A697="","",IF(E697="","",#REF!))</f>
        <v>#REF!</v>
      </c>
      <c r="AB697" t="e">
        <f ca="1">IF(A697="","",IF(E697="","",#REF!))</f>
        <v>#REF!</v>
      </c>
      <c r="AC697" t="e">
        <f t="shared" ca="1" si="62"/>
        <v>#REF!</v>
      </c>
    </row>
    <row r="698" spans="1:29" x14ac:dyDescent="0.35">
      <c r="A698" t="e" cm="1">
        <f t="array" aca="1" ref="A698" ca="1">IF(A697="","",IF(OR(AND(A697+1&gt;=$AF$1,A697+1&lt;=$AF$2),AND(A697+1&gt;=$AF$6,A697+1&lt;=$AF$7),AND(A697+1&gt;=$AF$3,A697+1&lt;=$AF$4),AND(A697+1&gt;=$AF$8,A697+1&lt;=$AF$9),A697+1=$AF$5),IF(NOT(ISBLANK(INDIRECT("template!"&amp;"P"&amp;A697+1))),A697+1,IF(NOT(ISBLANK(INDIRECT("template!"&amp;"P"&amp;A697+2))),A697+2,A697+3)),IF(A697=$AF$2,$AF$3,IF(A697=$AF$4,$AF$5,IF(A697=$AF$5,$AF$6,IF(A697=$AF$7,$AF$8,""))))))</f>
        <v>#REF!</v>
      </c>
      <c r="B698" t="e">
        <f t="shared" ca="1" si="57"/>
        <v>#REF!</v>
      </c>
      <c r="C698" t="e" cm="1">
        <f t="array" aca="1" ref="C698" ca="1">IF(A698="","",IF(B698="safety","safety costs",INDIRECT("template!"&amp;"B"&amp;A698)))</f>
        <v>#REF!</v>
      </c>
      <c r="D698" t="e" cm="1">
        <f t="array" aca="1" ref="D698" ca="1">IF(OR(A698="",B698="safety"),"",INDIRECT("template!"&amp;"C"&amp;A698))</f>
        <v>#REF!</v>
      </c>
      <c r="E698" t="e" cm="1">
        <f t="array" aca="1" ref="E698" ca="1">IF(A698="","",IF(OR(A698=A697+1,A698=A697+2),E697,INDIRECT("template!"&amp;"D"&amp;A698-2)))</f>
        <v>#REF!</v>
      </c>
      <c r="F698" t="e" cm="1">
        <f t="array" aca="1" ref="F698" ca="1">IF(OR(A698="",B698="safety"),"",IF(ISBLANK(IF(A698=A697+1,F697,INDIRECT("template!"&amp;"D"&amp;A698-1))),"",IF(A698=A697+1,F697,INDIRECT("template!"&amp;"D"&amp;A698-1))))</f>
        <v>#REF!</v>
      </c>
      <c r="G698" t="e" cm="1">
        <f t="array" aca="1" ref="G698" ca="1">IF(OR(A698="",B698="safety"),"",IF(ISBLANK(INDIRECT("template!"&amp;"D"&amp;A698)),"",INDIRECT("template!"&amp;"D"&amp;A698)))</f>
        <v>#REF!</v>
      </c>
      <c r="H698" t="e" cm="1">
        <f t="array" aca="1" ref="H698" ca="1">IF(OR(A698="",B698="safety"),"",IF(ISBLANK(INDIRECT("template!"&amp;"E"&amp;A698)),"",INDIRECT("template!"&amp;"E"&amp;A698)))</f>
        <v>#REF!</v>
      </c>
      <c r="I698" t="e" cm="1">
        <f t="array" aca="1" ref="I698" ca="1">IF(OR(A698="",B698="safety"),"",IF(ISBLANK(INDIRECT("template!"&amp;"F"&amp;A698)),"",INDIRECT("template!"&amp;"F"&amp;A698)))</f>
        <v>#REF!</v>
      </c>
      <c r="J698" t="e" cm="1">
        <f t="array" aca="1" ref="J698" ca="1">IF(OR(A698="",B698="safety"),"",IF(ISBLANK(INDIRECT("template!"&amp;"G"&amp;A698)),"",INDIRECT("template!"&amp;"G"&amp;A698)))</f>
        <v>#REF!</v>
      </c>
      <c r="K698" t="e" cm="1">
        <f t="array" aca="1" ref="K698" ca="1">IF(OR(A698="",B698="safety"),"",IF(ISBLANK(INDIRECT("template!"&amp;"H"&amp;A698)),"",INDIRECT("template!"&amp;"H"&amp;A698)))</f>
        <v>#REF!</v>
      </c>
      <c r="L698" t="e" cm="1">
        <f t="array" aca="1" ref="L698" ca="1">IF(OR(A698="",B698="safety"),"",INDIRECT("template!"&amp;"I"&amp;A698))</f>
        <v>#REF!</v>
      </c>
      <c r="M698" t="e" cm="1">
        <f t="array" aca="1" ref="M698" ca="1">IF(OR(A698="",B698="safety"),"",INDIRECT("template!"&amp;"J"&amp;A698))</f>
        <v>#REF!</v>
      </c>
      <c r="N698" t="e" cm="1">
        <f t="array" aca="1" ref="N698" ca="1">IF(OR(A698="",B698="safety"),"",IF(ISBLANK(INDIRECT("template!"&amp;"K"&amp;A698)),"",INDIRECT("template!"&amp;"K"&amp;A698)))</f>
        <v>#REF!</v>
      </c>
      <c r="O698" t="e" cm="1">
        <f t="array" aca="1" ref="O698" ca="1">IF(OR(A698="",B698="safety"),"",INDIRECT("template!"&amp;"L"&amp;A698))</f>
        <v>#REF!</v>
      </c>
      <c r="P698" t="e" cm="1">
        <f t="array" aca="1" ref="P698" ca="1">IF(OR(A698="",B698="safety"),"",INDIRECT("template!"&amp;"M"&amp;A698))</f>
        <v>#REF!</v>
      </c>
      <c r="Q698" t="e">
        <f t="shared" ca="1" si="58"/>
        <v>#REF!</v>
      </c>
      <c r="R698" t="e">
        <f t="shared" ca="1" si="59"/>
        <v>#REF!</v>
      </c>
      <c r="S698" t="e">
        <f t="shared" ca="1" si="60"/>
        <v>#REF!</v>
      </c>
      <c r="T698" t="e">
        <f t="shared" ca="1" si="61"/>
        <v>#REF!</v>
      </c>
      <c r="U698" t="e" cm="1">
        <f t="array" aca="1" ref="U698" ca="1">IF(A698="","",IF(E698="","",IF(B698="safety",INDIRECT("template!"&amp;"P"&amp;A698),Q698+R698)))</f>
        <v>#REF!</v>
      </c>
      <c r="V698" t="e" cm="1">
        <f t="array" aca="1" ref="V698" ca="1">IF(A698="","",IF(E698="","",IF(B698="safety",INDIRECT("template!"&amp;"P"&amp;A698),S698+T698)))</f>
        <v>#REF!</v>
      </c>
      <c r="W698" t="e">
        <f ca="1">IF(A698="","",IF(E698="","",#REF!))</f>
        <v>#REF!</v>
      </c>
      <c r="X698" t="e">
        <f ca="1">IF(A698="","",IF(E698="","",#REF!))</f>
        <v>#REF!</v>
      </c>
      <c r="Y698" s="39" t="e">
        <f ca="1">IF(A698="","",IF(E698="","",#REF!))</f>
        <v>#REF!</v>
      </c>
      <c r="Z698" t="e">
        <f ca="1">IF(A698="","",IF(E698="","",#REF!))</f>
        <v>#REF!</v>
      </c>
      <c r="AA698" t="e">
        <f ca="1">IF(A698="","",IF(E698="","",#REF!))</f>
        <v>#REF!</v>
      </c>
      <c r="AB698" t="e">
        <f ca="1">IF(A698="","",IF(E698="","",#REF!))</f>
        <v>#REF!</v>
      </c>
      <c r="AC698" t="e">
        <f t="shared" ca="1" si="62"/>
        <v>#REF!</v>
      </c>
    </row>
    <row r="699" spans="1:29" x14ac:dyDescent="0.35">
      <c r="A699" t="e" cm="1">
        <f t="array" aca="1" ref="A699" ca="1">IF(A698="","",IF(OR(AND(A698+1&gt;=$AF$1,A698+1&lt;=$AF$2),AND(A698+1&gt;=$AF$6,A698+1&lt;=$AF$7),AND(A698+1&gt;=$AF$3,A698+1&lt;=$AF$4),AND(A698+1&gt;=$AF$8,A698+1&lt;=$AF$9),A698+1=$AF$5),IF(NOT(ISBLANK(INDIRECT("template!"&amp;"P"&amp;A698+1))),A698+1,IF(NOT(ISBLANK(INDIRECT("template!"&amp;"P"&amp;A698+2))),A698+2,A698+3)),IF(A698=$AF$2,$AF$3,IF(A698=$AF$4,$AF$5,IF(A698=$AF$5,$AF$6,IF(A698=$AF$7,$AF$8,""))))))</f>
        <v>#REF!</v>
      </c>
      <c r="B699" t="e">
        <f t="shared" ca="1" si="57"/>
        <v>#REF!</v>
      </c>
      <c r="C699" t="e" cm="1">
        <f t="array" aca="1" ref="C699" ca="1">IF(A699="","",IF(B699="safety","safety costs",INDIRECT("template!"&amp;"B"&amp;A699)))</f>
        <v>#REF!</v>
      </c>
      <c r="D699" t="e" cm="1">
        <f t="array" aca="1" ref="D699" ca="1">IF(OR(A699="",B699="safety"),"",INDIRECT("template!"&amp;"C"&amp;A699))</f>
        <v>#REF!</v>
      </c>
      <c r="E699" t="e" cm="1">
        <f t="array" aca="1" ref="E699" ca="1">IF(A699="","",IF(OR(A699=A698+1,A699=A698+2),E698,INDIRECT("template!"&amp;"D"&amp;A699-2)))</f>
        <v>#REF!</v>
      </c>
      <c r="F699" t="e" cm="1">
        <f t="array" aca="1" ref="F699" ca="1">IF(OR(A699="",B699="safety"),"",IF(ISBLANK(IF(A699=A698+1,F698,INDIRECT("template!"&amp;"D"&amp;A699-1))),"",IF(A699=A698+1,F698,INDIRECT("template!"&amp;"D"&amp;A699-1))))</f>
        <v>#REF!</v>
      </c>
      <c r="G699" t="e" cm="1">
        <f t="array" aca="1" ref="G699" ca="1">IF(OR(A699="",B699="safety"),"",IF(ISBLANK(INDIRECT("template!"&amp;"D"&amp;A699)),"",INDIRECT("template!"&amp;"D"&amp;A699)))</f>
        <v>#REF!</v>
      </c>
      <c r="H699" t="e" cm="1">
        <f t="array" aca="1" ref="H699" ca="1">IF(OR(A699="",B699="safety"),"",IF(ISBLANK(INDIRECT("template!"&amp;"E"&amp;A699)),"",INDIRECT("template!"&amp;"E"&amp;A699)))</f>
        <v>#REF!</v>
      </c>
      <c r="I699" t="e" cm="1">
        <f t="array" aca="1" ref="I699" ca="1">IF(OR(A699="",B699="safety"),"",IF(ISBLANK(INDIRECT("template!"&amp;"F"&amp;A699)),"",INDIRECT("template!"&amp;"F"&amp;A699)))</f>
        <v>#REF!</v>
      </c>
      <c r="J699" t="e" cm="1">
        <f t="array" aca="1" ref="J699" ca="1">IF(OR(A699="",B699="safety"),"",IF(ISBLANK(INDIRECT("template!"&amp;"G"&amp;A699)),"",INDIRECT("template!"&amp;"G"&amp;A699)))</f>
        <v>#REF!</v>
      </c>
      <c r="K699" t="e" cm="1">
        <f t="array" aca="1" ref="K699" ca="1">IF(OR(A699="",B699="safety"),"",IF(ISBLANK(INDIRECT("template!"&amp;"H"&amp;A699)),"",INDIRECT("template!"&amp;"H"&amp;A699)))</f>
        <v>#REF!</v>
      </c>
      <c r="L699" t="e" cm="1">
        <f t="array" aca="1" ref="L699" ca="1">IF(OR(A699="",B699="safety"),"",INDIRECT("template!"&amp;"I"&amp;A699))</f>
        <v>#REF!</v>
      </c>
      <c r="M699" t="e" cm="1">
        <f t="array" aca="1" ref="M699" ca="1">IF(OR(A699="",B699="safety"),"",INDIRECT("template!"&amp;"J"&amp;A699))</f>
        <v>#REF!</v>
      </c>
      <c r="N699" t="e" cm="1">
        <f t="array" aca="1" ref="N699" ca="1">IF(OR(A699="",B699="safety"),"",IF(ISBLANK(INDIRECT("template!"&amp;"K"&amp;A699)),"",INDIRECT("template!"&amp;"K"&amp;A699)))</f>
        <v>#REF!</v>
      </c>
      <c r="O699" t="e" cm="1">
        <f t="array" aca="1" ref="O699" ca="1">IF(OR(A699="",B699="safety"),"",INDIRECT("template!"&amp;"L"&amp;A699))</f>
        <v>#REF!</v>
      </c>
      <c r="P699" t="e" cm="1">
        <f t="array" aca="1" ref="P699" ca="1">IF(OR(A699="",B699="safety"),"",INDIRECT("template!"&amp;"M"&amp;A699))</f>
        <v>#REF!</v>
      </c>
      <c r="Q699" t="e">
        <f t="shared" ca="1" si="58"/>
        <v>#REF!</v>
      </c>
      <c r="R699" t="e">
        <f t="shared" ca="1" si="59"/>
        <v>#REF!</v>
      </c>
      <c r="S699" t="e">
        <f t="shared" ca="1" si="60"/>
        <v>#REF!</v>
      </c>
      <c r="T699" t="e">
        <f t="shared" ca="1" si="61"/>
        <v>#REF!</v>
      </c>
      <c r="U699" t="e" cm="1">
        <f t="array" aca="1" ref="U699" ca="1">IF(A699="","",IF(E699="","",IF(B699="safety",INDIRECT("template!"&amp;"P"&amp;A699),Q699+R699)))</f>
        <v>#REF!</v>
      </c>
      <c r="V699" t="e" cm="1">
        <f t="array" aca="1" ref="V699" ca="1">IF(A699="","",IF(E699="","",IF(B699="safety",INDIRECT("template!"&amp;"P"&amp;A699),S699+T699)))</f>
        <v>#REF!</v>
      </c>
      <c r="W699" t="e">
        <f ca="1">IF(A699="","",IF(E699="","",#REF!))</f>
        <v>#REF!</v>
      </c>
      <c r="X699" t="e">
        <f ca="1">IF(A699="","",IF(E699="","",#REF!))</f>
        <v>#REF!</v>
      </c>
      <c r="Y699" s="39" t="e">
        <f ca="1">IF(A699="","",IF(E699="","",#REF!))</f>
        <v>#REF!</v>
      </c>
      <c r="Z699" t="e">
        <f ca="1">IF(A699="","",IF(E699="","",#REF!))</f>
        <v>#REF!</v>
      </c>
      <c r="AA699" t="e">
        <f ca="1">IF(A699="","",IF(E699="","",#REF!))</f>
        <v>#REF!</v>
      </c>
      <c r="AB699" t="e">
        <f ca="1">IF(A699="","",IF(E699="","",#REF!))</f>
        <v>#REF!</v>
      </c>
      <c r="AC699" t="e">
        <f t="shared" ca="1" si="62"/>
        <v>#REF!</v>
      </c>
    </row>
    <row r="700" spans="1:29" x14ac:dyDescent="0.35">
      <c r="A700" t="e" cm="1">
        <f t="array" aca="1" ref="A700" ca="1">IF(A699="","",IF(OR(AND(A699+1&gt;=$AF$1,A699+1&lt;=$AF$2),AND(A699+1&gt;=$AF$6,A699+1&lt;=$AF$7),AND(A699+1&gt;=$AF$3,A699+1&lt;=$AF$4),AND(A699+1&gt;=$AF$8,A699+1&lt;=$AF$9),A699+1=$AF$5),IF(NOT(ISBLANK(INDIRECT("template!"&amp;"P"&amp;A699+1))),A699+1,IF(NOT(ISBLANK(INDIRECT("template!"&amp;"P"&amp;A699+2))),A699+2,A699+3)),IF(A699=$AF$2,$AF$3,IF(A699=$AF$4,$AF$5,IF(A699=$AF$5,$AF$6,IF(A699=$AF$7,$AF$8,""))))))</f>
        <v>#REF!</v>
      </c>
      <c r="B700" t="e">
        <f t="shared" ca="1" si="57"/>
        <v>#REF!</v>
      </c>
      <c r="C700" t="e" cm="1">
        <f t="array" aca="1" ref="C700" ca="1">IF(A700="","",IF(B700="safety","safety costs",INDIRECT("template!"&amp;"B"&amp;A700)))</f>
        <v>#REF!</v>
      </c>
      <c r="D700" t="e" cm="1">
        <f t="array" aca="1" ref="D700" ca="1">IF(OR(A700="",B700="safety"),"",INDIRECT("template!"&amp;"C"&amp;A700))</f>
        <v>#REF!</v>
      </c>
      <c r="E700" t="e" cm="1">
        <f t="array" aca="1" ref="E700" ca="1">IF(A700="","",IF(OR(A700=A699+1,A700=A699+2),E699,INDIRECT("template!"&amp;"D"&amp;A700-2)))</f>
        <v>#REF!</v>
      </c>
      <c r="F700" t="e" cm="1">
        <f t="array" aca="1" ref="F700" ca="1">IF(OR(A700="",B700="safety"),"",IF(ISBLANK(IF(A700=A699+1,F699,INDIRECT("template!"&amp;"D"&amp;A700-1))),"",IF(A700=A699+1,F699,INDIRECT("template!"&amp;"D"&amp;A700-1))))</f>
        <v>#REF!</v>
      </c>
      <c r="G700" t="e" cm="1">
        <f t="array" aca="1" ref="G700" ca="1">IF(OR(A700="",B700="safety"),"",IF(ISBLANK(INDIRECT("template!"&amp;"D"&amp;A700)),"",INDIRECT("template!"&amp;"D"&amp;A700)))</f>
        <v>#REF!</v>
      </c>
      <c r="H700" t="e" cm="1">
        <f t="array" aca="1" ref="H700" ca="1">IF(OR(A700="",B700="safety"),"",IF(ISBLANK(INDIRECT("template!"&amp;"E"&amp;A700)),"",INDIRECT("template!"&amp;"E"&amp;A700)))</f>
        <v>#REF!</v>
      </c>
      <c r="I700" t="e" cm="1">
        <f t="array" aca="1" ref="I700" ca="1">IF(OR(A700="",B700="safety"),"",IF(ISBLANK(INDIRECT("template!"&amp;"F"&amp;A700)),"",INDIRECT("template!"&amp;"F"&amp;A700)))</f>
        <v>#REF!</v>
      </c>
      <c r="J700" t="e" cm="1">
        <f t="array" aca="1" ref="J700" ca="1">IF(OR(A700="",B700="safety"),"",IF(ISBLANK(INDIRECT("template!"&amp;"G"&amp;A700)),"",INDIRECT("template!"&amp;"G"&amp;A700)))</f>
        <v>#REF!</v>
      </c>
      <c r="K700" t="e" cm="1">
        <f t="array" aca="1" ref="K700" ca="1">IF(OR(A700="",B700="safety"),"",IF(ISBLANK(INDIRECT("template!"&amp;"H"&amp;A700)),"",INDIRECT("template!"&amp;"H"&amp;A700)))</f>
        <v>#REF!</v>
      </c>
      <c r="L700" t="e" cm="1">
        <f t="array" aca="1" ref="L700" ca="1">IF(OR(A700="",B700="safety"),"",INDIRECT("template!"&amp;"I"&amp;A700))</f>
        <v>#REF!</v>
      </c>
      <c r="M700" t="e" cm="1">
        <f t="array" aca="1" ref="M700" ca="1">IF(OR(A700="",B700="safety"),"",INDIRECT("template!"&amp;"J"&amp;A700))</f>
        <v>#REF!</v>
      </c>
      <c r="N700" t="e" cm="1">
        <f t="array" aca="1" ref="N700" ca="1">IF(OR(A700="",B700="safety"),"",IF(ISBLANK(INDIRECT("template!"&amp;"K"&amp;A700)),"",INDIRECT("template!"&amp;"K"&amp;A700)))</f>
        <v>#REF!</v>
      </c>
      <c r="O700" t="e" cm="1">
        <f t="array" aca="1" ref="O700" ca="1">IF(OR(A700="",B700="safety"),"",INDIRECT("template!"&amp;"L"&amp;A700))</f>
        <v>#REF!</v>
      </c>
      <c r="P700" t="e" cm="1">
        <f t="array" aca="1" ref="P700" ca="1">IF(OR(A700="",B700="safety"),"",INDIRECT("template!"&amp;"M"&amp;A700))</f>
        <v>#REF!</v>
      </c>
      <c r="Q700" t="e">
        <f t="shared" ca="1" si="58"/>
        <v>#REF!</v>
      </c>
      <c r="R700" t="e">
        <f t="shared" ca="1" si="59"/>
        <v>#REF!</v>
      </c>
      <c r="S700" t="e">
        <f t="shared" ca="1" si="60"/>
        <v>#REF!</v>
      </c>
      <c r="T700" t="e">
        <f t="shared" ca="1" si="61"/>
        <v>#REF!</v>
      </c>
      <c r="U700" t="e" cm="1">
        <f t="array" aca="1" ref="U700" ca="1">IF(A700="","",IF(E700="","",IF(B700="safety",INDIRECT("template!"&amp;"P"&amp;A700),Q700+R700)))</f>
        <v>#REF!</v>
      </c>
      <c r="V700" t="e" cm="1">
        <f t="array" aca="1" ref="V700" ca="1">IF(A700="","",IF(E700="","",IF(B700="safety",INDIRECT("template!"&amp;"P"&amp;A700),S700+T700)))</f>
        <v>#REF!</v>
      </c>
      <c r="W700" t="e">
        <f ca="1">IF(A700="","",IF(E700="","",#REF!))</f>
        <v>#REF!</v>
      </c>
      <c r="X700" t="e">
        <f ca="1">IF(A700="","",IF(E700="","",#REF!))</f>
        <v>#REF!</v>
      </c>
      <c r="Y700" s="39" t="e">
        <f ca="1">IF(A700="","",IF(E700="","",#REF!))</f>
        <v>#REF!</v>
      </c>
      <c r="Z700" t="e">
        <f ca="1">IF(A700="","",IF(E700="","",#REF!))</f>
        <v>#REF!</v>
      </c>
      <c r="AA700" t="e">
        <f ca="1">IF(A700="","",IF(E700="","",#REF!))</f>
        <v>#REF!</v>
      </c>
      <c r="AB700" t="e">
        <f ca="1">IF(A700="","",IF(E700="","",#REF!))</f>
        <v>#REF!</v>
      </c>
      <c r="AC700" t="e">
        <f t="shared" ca="1" si="62"/>
        <v>#REF!</v>
      </c>
    </row>
    <row r="701" spans="1:29" x14ac:dyDescent="0.35">
      <c r="A701" t="e" cm="1">
        <f t="array" aca="1" ref="A701" ca="1">IF(A700="","",IF(OR(AND(A700+1&gt;=$AF$1,A700+1&lt;=$AF$2),AND(A700+1&gt;=$AF$6,A700+1&lt;=$AF$7),AND(A700+1&gt;=$AF$3,A700+1&lt;=$AF$4),AND(A700+1&gt;=$AF$8,A700+1&lt;=$AF$9),A700+1=$AF$5),IF(NOT(ISBLANK(INDIRECT("template!"&amp;"P"&amp;A700+1))),A700+1,IF(NOT(ISBLANK(INDIRECT("template!"&amp;"P"&amp;A700+2))),A700+2,A700+3)),IF(A700=$AF$2,$AF$3,IF(A700=$AF$4,$AF$5,IF(A700=$AF$5,$AF$6,IF(A700=$AF$7,$AF$8,""))))))</f>
        <v>#REF!</v>
      </c>
      <c r="B701" t="e">
        <f t="shared" ca="1" si="57"/>
        <v>#REF!</v>
      </c>
      <c r="C701" t="e" cm="1">
        <f t="array" aca="1" ref="C701" ca="1">IF(A701="","",IF(B701="safety","safety costs",INDIRECT("template!"&amp;"B"&amp;A701)))</f>
        <v>#REF!</v>
      </c>
      <c r="D701" t="e" cm="1">
        <f t="array" aca="1" ref="D701" ca="1">IF(OR(A701="",B701="safety"),"",INDIRECT("template!"&amp;"C"&amp;A701))</f>
        <v>#REF!</v>
      </c>
      <c r="E701" t="e" cm="1">
        <f t="array" aca="1" ref="E701" ca="1">IF(A701="","",IF(OR(A701=A700+1,A701=A700+2),E700,INDIRECT("template!"&amp;"D"&amp;A701-2)))</f>
        <v>#REF!</v>
      </c>
      <c r="F701" t="e" cm="1">
        <f t="array" aca="1" ref="F701" ca="1">IF(OR(A701="",B701="safety"),"",IF(ISBLANK(IF(A701=A700+1,F700,INDIRECT("template!"&amp;"D"&amp;A701-1))),"",IF(A701=A700+1,F700,INDIRECT("template!"&amp;"D"&amp;A701-1))))</f>
        <v>#REF!</v>
      </c>
      <c r="G701" t="e" cm="1">
        <f t="array" aca="1" ref="G701" ca="1">IF(OR(A701="",B701="safety"),"",IF(ISBLANK(INDIRECT("template!"&amp;"D"&amp;A701)),"",INDIRECT("template!"&amp;"D"&amp;A701)))</f>
        <v>#REF!</v>
      </c>
      <c r="H701" t="e" cm="1">
        <f t="array" aca="1" ref="H701" ca="1">IF(OR(A701="",B701="safety"),"",IF(ISBLANK(INDIRECT("template!"&amp;"E"&amp;A701)),"",INDIRECT("template!"&amp;"E"&amp;A701)))</f>
        <v>#REF!</v>
      </c>
      <c r="I701" t="e" cm="1">
        <f t="array" aca="1" ref="I701" ca="1">IF(OR(A701="",B701="safety"),"",IF(ISBLANK(INDIRECT("template!"&amp;"F"&amp;A701)),"",INDIRECT("template!"&amp;"F"&amp;A701)))</f>
        <v>#REF!</v>
      </c>
      <c r="J701" t="e" cm="1">
        <f t="array" aca="1" ref="J701" ca="1">IF(OR(A701="",B701="safety"),"",IF(ISBLANK(INDIRECT("template!"&amp;"G"&amp;A701)),"",INDIRECT("template!"&amp;"G"&amp;A701)))</f>
        <v>#REF!</v>
      </c>
      <c r="K701" t="e" cm="1">
        <f t="array" aca="1" ref="K701" ca="1">IF(OR(A701="",B701="safety"),"",IF(ISBLANK(INDIRECT("template!"&amp;"H"&amp;A701)),"",INDIRECT("template!"&amp;"H"&amp;A701)))</f>
        <v>#REF!</v>
      </c>
      <c r="L701" t="e" cm="1">
        <f t="array" aca="1" ref="L701" ca="1">IF(OR(A701="",B701="safety"),"",INDIRECT("template!"&amp;"I"&amp;A701))</f>
        <v>#REF!</v>
      </c>
      <c r="M701" t="e" cm="1">
        <f t="array" aca="1" ref="M701" ca="1">IF(OR(A701="",B701="safety"),"",INDIRECT("template!"&amp;"J"&amp;A701))</f>
        <v>#REF!</v>
      </c>
      <c r="N701" t="e" cm="1">
        <f t="array" aca="1" ref="N701" ca="1">IF(OR(A701="",B701="safety"),"",IF(ISBLANK(INDIRECT("template!"&amp;"K"&amp;A701)),"",INDIRECT("template!"&amp;"K"&amp;A701)))</f>
        <v>#REF!</v>
      </c>
      <c r="O701" t="e" cm="1">
        <f t="array" aca="1" ref="O701" ca="1">IF(OR(A701="",B701="safety"),"",INDIRECT("template!"&amp;"L"&amp;A701))</f>
        <v>#REF!</v>
      </c>
      <c r="P701" t="e" cm="1">
        <f t="array" aca="1" ref="P701" ca="1">IF(OR(A701="",B701="safety"),"",INDIRECT("template!"&amp;"M"&amp;A701))</f>
        <v>#REF!</v>
      </c>
      <c r="Q701" t="e">
        <f t="shared" ca="1" si="58"/>
        <v>#REF!</v>
      </c>
      <c r="R701" t="e">
        <f t="shared" ca="1" si="59"/>
        <v>#REF!</v>
      </c>
      <c r="S701" t="e">
        <f t="shared" ca="1" si="60"/>
        <v>#REF!</v>
      </c>
      <c r="T701" t="e">
        <f t="shared" ca="1" si="61"/>
        <v>#REF!</v>
      </c>
      <c r="U701" t="e" cm="1">
        <f t="array" aca="1" ref="U701" ca="1">IF(A701="","",IF(E701="","",IF(B701="safety",INDIRECT("template!"&amp;"P"&amp;A701),Q701+R701)))</f>
        <v>#REF!</v>
      </c>
      <c r="V701" t="e" cm="1">
        <f t="array" aca="1" ref="V701" ca="1">IF(A701="","",IF(E701="","",IF(B701="safety",INDIRECT("template!"&amp;"P"&amp;A701),S701+T701)))</f>
        <v>#REF!</v>
      </c>
      <c r="W701" t="e">
        <f ca="1">IF(A701="","",IF(E701="","",#REF!))</f>
        <v>#REF!</v>
      </c>
      <c r="X701" t="e">
        <f ca="1">IF(A701="","",IF(E701="","",#REF!))</f>
        <v>#REF!</v>
      </c>
      <c r="Y701" s="39" t="e">
        <f ca="1">IF(A701="","",IF(E701="","",#REF!))</f>
        <v>#REF!</v>
      </c>
      <c r="Z701" t="e">
        <f ca="1">IF(A701="","",IF(E701="","",#REF!))</f>
        <v>#REF!</v>
      </c>
      <c r="AA701" t="e">
        <f ca="1">IF(A701="","",IF(E701="","",#REF!))</f>
        <v>#REF!</v>
      </c>
      <c r="AB701" t="e">
        <f ca="1">IF(A701="","",IF(E701="","",#REF!))</f>
        <v>#REF!</v>
      </c>
      <c r="AC701" t="e">
        <f t="shared" ca="1" si="62"/>
        <v>#REF!</v>
      </c>
    </row>
    <row r="702" spans="1:29" x14ac:dyDescent="0.35">
      <c r="A702" t="e" cm="1">
        <f t="array" aca="1" ref="A702" ca="1">IF(A701="","",IF(OR(AND(A701+1&gt;=$AF$1,A701+1&lt;=$AF$2),AND(A701+1&gt;=$AF$6,A701+1&lt;=$AF$7),AND(A701+1&gt;=$AF$3,A701+1&lt;=$AF$4),AND(A701+1&gt;=$AF$8,A701+1&lt;=$AF$9),A701+1=$AF$5),IF(NOT(ISBLANK(INDIRECT("template!"&amp;"P"&amp;A701+1))),A701+1,IF(NOT(ISBLANK(INDIRECT("template!"&amp;"P"&amp;A701+2))),A701+2,A701+3)),IF(A701=$AF$2,$AF$3,IF(A701=$AF$4,$AF$5,IF(A701=$AF$5,$AF$6,IF(A701=$AF$7,$AF$8,""))))))</f>
        <v>#REF!</v>
      </c>
      <c r="B702" t="e">
        <f t="shared" ca="1" si="57"/>
        <v>#REF!</v>
      </c>
      <c r="C702" t="e" cm="1">
        <f t="array" aca="1" ref="C702" ca="1">IF(A702="","",IF(B702="safety","safety costs",INDIRECT("template!"&amp;"B"&amp;A702)))</f>
        <v>#REF!</v>
      </c>
      <c r="D702" t="e" cm="1">
        <f t="array" aca="1" ref="D702" ca="1">IF(OR(A702="",B702="safety"),"",INDIRECT("template!"&amp;"C"&amp;A702))</f>
        <v>#REF!</v>
      </c>
      <c r="E702" t="e" cm="1">
        <f t="array" aca="1" ref="E702" ca="1">IF(A702="","",IF(OR(A702=A701+1,A702=A701+2),E701,INDIRECT("template!"&amp;"D"&amp;A702-2)))</f>
        <v>#REF!</v>
      </c>
      <c r="F702" t="e" cm="1">
        <f t="array" aca="1" ref="F702" ca="1">IF(OR(A702="",B702="safety"),"",IF(ISBLANK(IF(A702=A701+1,F701,INDIRECT("template!"&amp;"D"&amp;A702-1))),"",IF(A702=A701+1,F701,INDIRECT("template!"&amp;"D"&amp;A702-1))))</f>
        <v>#REF!</v>
      </c>
      <c r="G702" t="e" cm="1">
        <f t="array" aca="1" ref="G702" ca="1">IF(OR(A702="",B702="safety"),"",IF(ISBLANK(INDIRECT("template!"&amp;"D"&amp;A702)),"",INDIRECT("template!"&amp;"D"&amp;A702)))</f>
        <v>#REF!</v>
      </c>
      <c r="H702" t="e" cm="1">
        <f t="array" aca="1" ref="H702" ca="1">IF(OR(A702="",B702="safety"),"",IF(ISBLANK(INDIRECT("template!"&amp;"E"&amp;A702)),"",INDIRECT("template!"&amp;"E"&amp;A702)))</f>
        <v>#REF!</v>
      </c>
      <c r="I702" t="e" cm="1">
        <f t="array" aca="1" ref="I702" ca="1">IF(OR(A702="",B702="safety"),"",IF(ISBLANK(INDIRECT("template!"&amp;"F"&amp;A702)),"",INDIRECT("template!"&amp;"F"&amp;A702)))</f>
        <v>#REF!</v>
      </c>
      <c r="J702" t="e" cm="1">
        <f t="array" aca="1" ref="J702" ca="1">IF(OR(A702="",B702="safety"),"",IF(ISBLANK(INDIRECT("template!"&amp;"G"&amp;A702)),"",INDIRECT("template!"&amp;"G"&amp;A702)))</f>
        <v>#REF!</v>
      </c>
      <c r="K702" t="e" cm="1">
        <f t="array" aca="1" ref="K702" ca="1">IF(OR(A702="",B702="safety"),"",IF(ISBLANK(INDIRECT("template!"&amp;"H"&amp;A702)),"",INDIRECT("template!"&amp;"H"&amp;A702)))</f>
        <v>#REF!</v>
      </c>
      <c r="L702" t="e" cm="1">
        <f t="array" aca="1" ref="L702" ca="1">IF(OR(A702="",B702="safety"),"",INDIRECT("template!"&amp;"I"&amp;A702))</f>
        <v>#REF!</v>
      </c>
      <c r="M702" t="e" cm="1">
        <f t="array" aca="1" ref="M702" ca="1">IF(OR(A702="",B702="safety"),"",INDIRECT("template!"&amp;"J"&amp;A702))</f>
        <v>#REF!</v>
      </c>
      <c r="N702" t="e" cm="1">
        <f t="array" aca="1" ref="N702" ca="1">IF(OR(A702="",B702="safety"),"",IF(ISBLANK(INDIRECT("template!"&amp;"K"&amp;A702)),"",INDIRECT("template!"&amp;"K"&amp;A702)))</f>
        <v>#REF!</v>
      </c>
      <c r="O702" t="e" cm="1">
        <f t="array" aca="1" ref="O702" ca="1">IF(OR(A702="",B702="safety"),"",INDIRECT("template!"&amp;"L"&amp;A702))</f>
        <v>#REF!</v>
      </c>
      <c r="P702" t="e" cm="1">
        <f t="array" aca="1" ref="P702" ca="1">IF(OR(A702="",B702="safety"),"",INDIRECT("template!"&amp;"M"&amp;A702))</f>
        <v>#REF!</v>
      </c>
      <c r="Q702" t="e">
        <f t="shared" ca="1" si="58"/>
        <v>#REF!</v>
      </c>
      <c r="R702" t="e">
        <f t="shared" ca="1" si="59"/>
        <v>#REF!</v>
      </c>
      <c r="S702" t="e">
        <f t="shared" ca="1" si="60"/>
        <v>#REF!</v>
      </c>
      <c r="T702" t="e">
        <f t="shared" ca="1" si="61"/>
        <v>#REF!</v>
      </c>
      <c r="U702" t="e" cm="1">
        <f t="array" aca="1" ref="U702" ca="1">IF(A702="","",IF(E702="","",IF(B702="safety",INDIRECT("template!"&amp;"P"&amp;A702),Q702+R702)))</f>
        <v>#REF!</v>
      </c>
      <c r="V702" t="e" cm="1">
        <f t="array" aca="1" ref="V702" ca="1">IF(A702="","",IF(E702="","",IF(B702="safety",INDIRECT("template!"&amp;"P"&amp;A702),S702+T702)))</f>
        <v>#REF!</v>
      </c>
      <c r="W702" t="e">
        <f ca="1">IF(A702="","",IF(E702="","",#REF!))</f>
        <v>#REF!</v>
      </c>
      <c r="X702" t="e">
        <f ca="1">IF(A702="","",IF(E702="","",#REF!))</f>
        <v>#REF!</v>
      </c>
      <c r="Y702" s="39" t="e">
        <f ca="1">IF(A702="","",IF(E702="","",#REF!))</f>
        <v>#REF!</v>
      </c>
      <c r="Z702" t="e">
        <f ca="1">IF(A702="","",IF(E702="","",#REF!))</f>
        <v>#REF!</v>
      </c>
      <c r="AA702" t="e">
        <f ca="1">IF(A702="","",IF(E702="","",#REF!))</f>
        <v>#REF!</v>
      </c>
      <c r="AB702" t="e">
        <f ca="1">IF(A702="","",IF(E702="","",#REF!))</f>
        <v>#REF!</v>
      </c>
      <c r="AC702" t="e">
        <f t="shared" ca="1" si="62"/>
        <v>#REF!</v>
      </c>
    </row>
    <row r="703" spans="1:29" x14ac:dyDescent="0.35">
      <c r="A703" t="e" cm="1">
        <f t="array" aca="1" ref="A703" ca="1">IF(A702="","",IF(OR(AND(A702+1&gt;=$AF$1,A702+1&lt;=$AF$2),AND(A702+1&gt;=$AF$6,A702+1&lt;=$AF$7),AND(A702+1&gt;=$AF$3,A702+1&lt;=$AF$4),AND(A702+1&gt;=$AF$8,A702+1&lt;=$AF$9),A702+1=$AF$5),IF(NOT(ISBLANK(INDIRECT("template!"&amp;"P"&amp;A702+1))),A702+1,IF(NOT(ISBLANK(INDIRECT("template!"&amp;"P"&amp;A702+2))),A702+2,A702+3)),IF(A702=$AF$2,$AF$3,IF(A702=$AF$4,$AF$5,IF(A702=$AF$5,$AF$6,IF(A702=$AF$7,$AF$8,""))))))</f>
        <v>#REF!</v>
      </c>
      <c r="B703" t="e">
        <f t="shared" ca="1" si="57"/>
        <v>#REF!</v>
      </c>
      <c r="C703" t="e" cm="1">
        <f t="array" aca="1" ref="C703" ca="1">IF(A703="","",IF(B703="safety","safety costs",INDIRECT("template!"&amp;"B"&amp;A703)))</f>
        <v>#REF!</v>
      </c>
      <c r="D703" t="e" cm="1">
        <f t="array" aca="1" ref="D703" ca="1">IF(OR(A703="",B703="safety"),"",INDIRECT("template!"&amp;"C"&amp;A703))</f>
        <v>#REF!</v>
      </c>
      <c r="E703" t="e" cm="1">
        <f t="array" aca="1" ref="E703" ca="1">IF(A703="","",IF(OR(A703=A702+1,A703=A702+2),E702,INDIRECT("template!"&amp;"D"&amp;A703-2)))</f>
        <v>#REF!</v>
      </c>
      <c r="F703" t="e" cm="1">
        <f t="array" aca="1" ref="F703" ca="1">IF(OR(A703="",B703="safety"),"",IF(ISBLANK(IF(A703=A702+1,F702,INDIRECT("template!"&amp;"D"&amp;A703-1))),"",IF(A703=A702+1,F702,INDIRECT("template!"&amp;"D"&amp;A703-1))))</f>
        <v>#REF!</v>
      </c>
      <c r="G703" t="e" cm="1">
        <f t="array" aca="1" ref="G703" ca="1">IF(OR(A703="",B703="safety"),"",IF(ISBLANK(INDIRECT("template!"&amp;"D"&amp;A703)),"",INDIRECT("template!"&amp;"D"&amp;A703)))</f>
        <v>#REF!</v>
      </c>
      <c r="H703" t="e" cm="1">
        <f t="array" aca="1" ref="H703" ca="1">IF(OR(A703="",B703="safety"),"",IF(ISBLANK(INDIRECT("template!"&amp;"E"&amp;A703)),"",INDIRECT("template!"&amp;"E"&amp;A703)))</f>
        <v>#REF!</v>
      </c>
      <c r="I703" t="e" cm="1">
        <f t="array" aca="1" ref="I703" ca="1">IF(OR(A703="",B703="safety"),"",IF(ISBLANK(INDIRECT("template!"&amp;"F"&amp;A703)),"",INDIRECT("template!"&amp;"F"&amp;A703)))</f>
        <v>#REF!</v>
      </c>
      <c r="J703" t="e" cm="1">
        <f t="array" aca="1" ref="J703" ca="1">IF(OR(A703="",B703="safety"),"",IF(ISBLANK(INDIRECT("template!"&amp;"G"&amp;A703)),"",INDIRECT("template!"&amp;"G"&amp;A703)))</f>
        <v>#REF!</v>
      </c>
      <c r="K703" t="e" cm="1">
        <f t="array" aca="1" ref="K703" ca="1">IF(OR(A703="",B703="safety"),"",IF(ISBLANK(INDIRECT("template!"&amp;"H"&amp;A703)),"",INDIRECT("template!"&amp;"H"&amp;A703)))</f>
        <v>#REF!</v>
      </c>
      <c r="L703" t="e" cm="1">
        <f t="array" aca="1" ref="L703" ca="1">IF(OR(A703="",B703="safety"),"",INDIRECT("template!"&amp;"I"&amp;A703))</f>
        <v>#REF!</v>
      </c>
      <c r="M703" t="e" cm="1">
        <f t="array" aca="1" ref="M703" ca="1">IF(OR(A703="",B703="safety"),"",INDIRECT("template!"&amp;"J"&amp;A703))</f>
        <v>#REF!</v>
      </c>
      <c r="N703" t="e" cm="1">
        <f t="array" aca="1" ref="N703" ca="1">IF(OR(A703="",B703="safety"),"",IF(ISBLANK(INDIRECT("template!"&amp;"K"&amp;A703)),"",INDIRECT("template!"&amp;"K"&amp;A703)))</f>
        <v>#REF!</v>
      </c>
      <c r="O703" t="e" cm="1">
        <f t="array" aca="1" ref="O703" ca="1">IF(OR(A703="",B703="safety"),"",INDIRECT("template!"&amp;"L"&amp;A703))</f>
        <v>#REF!</v>
      </c>
      <c r="P703" t="e" cm="1">
        <f t="array" aca="1" ref="P703" ca="1">IF(OR(A703="",B703="safety"),"",INDIRECT("template!"&amp;"M"&amp;A703))</f>
        <v>#REF!</v>
      </c>
      <c r="Q703" t="e">
        <f t="shared" ca="1" si="58"/>
        <v>#REF!</v>
      </c>
      <c r="R703" t="e">
        <f t="shared" ca="1" si="59"/>
        <v>#REF!</v>
      </c>
      <c r="S703" t="e">
        <f t="shared" ca="1" si="60"/>
        <v>#REF!</v>
      </c>
      <c r="T703" t="e">
        <f t="shared" ca="1" si="61"/>
        <v>#REF!</v>
      </c>
      <c r="U703" t="e" cm="1">
        <f t="array" aca="1" ref="U703" ca="1">IF(A703="","",IF(E703="","",IF(B703="safety",INDIRECT("template!"&amp;"P"&amp;A703),Q703+R703)))</f>
        <v>#REF!</v>
      </c>
      <c r="V703" t="e" cm="1">
        <f t="array" aca="1" ref="V703" ca="1">IF(A703="","",IF(E703="","",IF(B703="safety",INDIRECT("template!"&amp;"P"&amp;A703),S703+T703)))</f>
        <v>#REF!</v>
      </c>
      <c r="W703" t="e">
        <f ca="1">IF(A703="","",IF(E703="","",#REF!))</f>
        <v>#REF!</v>
      </c>
      <c r="X703" t="e">
        <f ca="1">IF(A703="","",IF(E703="","",#REF!))</f>
        <v>#REF!</v>
      </c>
      <c r="Y703" s="39" t="e">
        <f ca="1">IF(A703="","",IF(E703="","",#REF!))</f>
        <v>#REF!</v>
      </c>
      <c r="Z703" t="e">
        <f ca="1">IF(A703="","",IF(E703="","",#REF!))</f>
        <v>#REF!</v>
      </c>
      <c r="AA703" t="e">
        <f ca="1">IF(A703="","",IF(E703="","",#REF!))</f>
        <v>#REF!</v>
      </c>
      <c r="AB703" t="e">
        <f ca="1">IF(A703="","",IF(E703="","",#REF!))</f>
        <v>#REF!</v>
      </c>
      <c r="AC703" t="e">
        <f t="shared" ca="1" si="62"/>
        <v>#REF!</v>
      </c>
    </row>
    <row r="704" spans="1:29" x14ac:dyDescent="0.35">
      <c r="A704" t="e" cm="1">
        <f t="array" aca="1" ref="A704" ca="1">IF(A703="","",IF(OR(AND(A703+1&gt;=$AF$1,A703+1&lt;=$AF$2),AND(A703+1&gt;=$AF$6,A703+1&lt;=$AF$7),AND(A703+1&gt;=$AF$3,A703+1&lt;=$AF$4),AND(A703+1&gt;=$AF$8,A703+1&lt;=$AF$9),A703+1=$AF$5),IF(NOT(ISBLANK(INDIRECT("template!"&amp;"P"&amp;A703+1))),A703+1,IF(NOT(ISBLANK(INDIRECT("template!"&amp;"P"&amp;A703+2))),A703+2,A703+3)),IF(A703=$AF$2,$AF$3,IF(A703=$AF$4,$AF$5,IF(A703=$AF$5,$AF$6,IF(A703=$AF$7,$AF$8,""))))))</f>
        <v>#REF!</v>
      </c>
      <c r="B704" t="e">
        <f t="shared" ca="1" si="57"/>
        <v>#REF!</v>
      </c>
      <c r="C704" t="e" cm="1">
        <f t="array" aca="1" ref="C704" ca="1">IF(A704="","",IF(B704="safety","safety costs",INDIRECT("template!"&amp;"B"&amp;A704)))</f>
        <v>#REF!</v>
      </c>
      <c r="D704" t="e" cm="1">
        <f t="array" aca="1" ref="D704" ca="1">IF(OR(A704="",B704="safety"),"",INDIRECT("template!"&amp;"C"&amp;A704))</f>
        <v>#REF!</v>
      </c>
      <c r="E704" t="e" cm="1">
        <f t="array" aca="1" ref="E704" ca="1">IF(A704="","",IF(OR(A704=A703+1,A704=A703+2),E703,INDIRECT("template!"&amp;"D"&amp;A704-2)))</f>
        <v>#REF!</v>
      </c>
      <c r="F704" t="e" cm="1">
        <f t="array" aca="1" ref="F704" ca="1">IF(OR(A704="",B704="safety"),"",IF(ISBLANK(IF(A704=A703+1,F703,INDIRECT("template!"&amp;"D"&amp;A704-1))),"",IF(A704=A703+1,F703,INDIRECT("template!"&amp;"D"&amp;A704-1))))</f>
        <v>#REF!</v>
      </c>
      <c r="G704" t="e" cm="1">
        <f t="array" aca="1" ref="G704" ca="1">IF(OR(A704="",B704="safety"),"",IF(ISBLANK(INDIRECT("template!"&amp;"D"&amp;A704)),"",INDIRECT("template!"&amp;"D"&amp;A704)))</f>
        <v>#REF!</v>
      </c>
      <c r="H704" t="e" cm="1">
        <f t="array" aca="1" ref="H704" ca="1">IF(OR(A704="",B704="safety"),"",IF(ISBLANK(INDIRECT("template!"&amp;"E"&amp;A704)),"",INDIRECT("template!"&amp;"E"&amp;A704)))</f>
        <v>#REF!</v>
      </c>
      <c r="I704" t="e" cm="1">
        <f t="array" aca="1" ref="I704" ca="1">IF(OR(A704="",B704="safety"),"",IF(ISBLANK(INDIRECT("template!"&amp;"F"&amp;A704)),"",INDIRECT("template!"&amp;"F"&amp;A704)))</f>
        <v>#REF!</v>
      </c>
      <c r="J704" t="e" cm="1">
        <f t="array" aca="1" ref="J704" ca="1">IF(OR(A704="",B704="safety"),"",IF(ISBLANK(INDIRECT("template!"&amp;"G"&amp;A704)),"",INDIRECT("template!"&amp;"G"&amp;A704)))</f>
        <v>#REF!</v>
      </c>
      <c r="K704" t="e" cm="1">
        <f t="array" aca="1" ref="K704" ca="1">IF(OR(A704="",B704="safety"),"",IF(ISBLANK(INDIRECT("template!"&amp;"H"&amp;A704)),"",INDIRECT("template!"&amp;"H"&amp;A704)))</f>
        <v>#REF!</v>
      </c>
      <c r="L704" t="e" cm="1">
        <f t="array" aca="1" ref="L704" ca="1">IF(OR(A704="",B704="safety"),"",INDIRECT("template!"&amp;"I"&amp;A704))</f>
        <v>#REF!</v>
      </c>
      <c r="M704" t="e" cm="1">
        <f t="array" aca="1" ref="M704" ca="1">IF(OR(A704="",B704="safety"),"",INDIRECT("template!"&amp;"J"&amp;A704))</f>
        <v>#REF!</v>
      </c>
      <c r="N704" t="e" cm="1">
        <f t="array" aca="1" ref="N704" ca="1">IF(OR(A704="",B704="safety"),"",IF(ISBLANK(INDIRECT("template!"&amp;"K"&amp;A704)),"",INDIRECT("template!"&amp;"K"&amp;A704)))</f>
        <v>#REF!</v>
      </c>
      <c r="O704" t="e" cm="1">
        <f t="array" aca="1" ref="O704" ca="1">IF(OR(A704="",B704="safety"),"",INDIRECT("template!"&amp;"L"&amp;A704))</f>
        <v>#REF!</v>
      </c>
      <c r="P704" t="e" cm="1">
        <f t="array" aca="1" ref="P704" ca="1">IF(OR(A704="",B704="safety"),"",INDIRECT("template!"&amp;"M"&amp;A704))</f>
        <v>#REF!</v>
      </c>
      <c r="Q704" t="e">
        <f t="shared" ca="1" si="58"/>
        <v>#REF!</v>
      </c>
      <c r="R704" t="e">
        <f t="shared" ca="1" si="59"/>
        <v>#REF!</v>
      </c>
      <c r="S704" t="e">
        <f t="shared" ca="1" si="60"/>
        <v>#REF!</v>
      </c>
      <c r="T704" t="e">
        <f t="shared" ca="1" si="61"/>
        <v>#REF!</v>
      </c>
      <c r="U704" t="e" cm="1">
        <f t="array" aca="1" ref="U704" ca="1">IF(A704="","",IF(E704="","",IF(B704="safety",INDIRECT("template!"&amp;"P"&amp;A704),Q704+R704)))</f>
        <v>#REF!</v>
      </c>
      <c r="V704" t="e" cm="1">
        <f t="array" aca="1" ref="V704" ca="1">IF(A704="","",IF(E704="","",IF(B704="safety",INDIRECT("template!"&amp;"P"&amp;A704),S704+T704)))</f>
        <v>#REF!</v>
      </c>
      <c r="W704" t="e">
        <f ca="1">IF(A704="","",IF(E704="","",#REF!))</f>
        <v>#REF!</v>
      </c>
      <c r="X704" t="e">
        <f ca="1">IF(A704="","",IF(E704="","",#REF!))</f>
        <v>#REF!</v>
      </c>
      <c r="Y704" s="39" t="e">
        <f ca="1">IF(A704="","",IF(E704="","",#REF!))</f>
        <v>#REF!</v>
      </c>
      <c r="Z704" t="e">
        <f ca="1">IF(A704="","",IF(E704="","",#REF!))</f>
        <v>#REF!</v>
      </c>
      <c r="AA704" t="e">
        <f ca="1">IF(A704="","",IF(E704="","",#REF!))</f>
        <v>#REF!</v>
      </c>
      <c r="AB704" t="e">
        <f ca="1">IF(A704="","",IF(E704="","",#REF!))</f>
        <v>#REF!</v>
      </c>
      <c r="AC704" t="e">
        <f t="shared" ca="1" si="62"/>
        <v>#REF!</v>
      </c>
    </row>
    <row r="705" spans="1:29" x14ac:dyDescent="0.35">
      <c r="A705" t="e" cm="1">
        <f t="array" aca="1" ref="A705" ca="1">IF(A704="","",IF(OR(AND(A704+1&gt;=$AF$1,A704+1&lt;=$AF$2),AND(A704+1&gt;=$AF$6,A704+1&lt;=$AF$7),AND(A704+1&gt;=$AF$3,A704+1&lt;=$AF$4),AND(A704+1&gt;=$AF$8,A704+1&lt;=$AF$9),A704+1=$AF$5),IF(NOT(ISBLANK(INDIRECT("template!"&amp;"P"&amp;A704+1))),A704+1,IF(NOT(ISBLANK(INDIRECT("template!"&amp;"P"&amp;A704+2))),A704+2,A704+3)),IF(A704=$AF$2,$AF$3,IF(A704=$AF$4,$AF$5,IF(A704=$AF$5,$AF$6,IF(A704=$AF$7,$AF$8,""))))))</f>
        <v>#REF!</v>
      </c>
      <c r="B705" t="e">
        <f t="shared" ca="1" si="57"/>
        <v>#REF!</v>
      </c>
      <c r="C705" t="e" cm="1">
        <f t="array" aca="1" ref="C705" ca="1">IF(A705="","",IF(B705="safety","safety costs",INDIRECT("template!"&amp;"B"&amp;A705)))</f>
        <v>#REF!</v>
      </c>
      <c r="D705" t="e" cm="1">
        <f t="array" aca="1" ref="D705" ca="1">IF(OR(A705="",B705="safety"),"",INDIRECT("template!"&amp;"C"&amp;A705))</f>
        <v>#REF!</v>
      </c>
      <c r="E705" t="e" cm="1">
        <f t="array" aca="1" ref="E705" ca="1">IF(A705="","",IF(OR(A705=A704+1,A705=A704+2),E704,INDIRECT("template!"&amp;"D"&amp;A705-2)))</f>
        <v>#REF!</v>
      </c>
      <c r="F705" t="e" cm="1">
        <f t="array" aca="1" ref="F705" ca="1">IF(OR(A705="",B705="safety"),"",IF(ISBLANK(IF(A705=A704+1,F704,INDIRECT("template!"&amp;"D"&amp;A705-1))),"",IF(A705=A704+1,F704,INDIRECT("template!"&amp;"D"&amp;A705-1))))</f>
        <v>#REF!</v>
      </c>
      <c r="G705" t="e" cm="1">
        <f t="array" aca="1" ref="G705" ca="1">IF(OR(A705="",B705="safety"),"",IF(ISBLANK(INDIRECT("template!"&amp;"D"&amp;A705)),"",INDIRECT("template!"&amp;"D"&amp;A705)))</f>
        <v>#REF!</v>
      </c>
      <c r="H705" t="e" cm="1">
        <f t="array" aca="1" ref="H705" ca="1">IF(OR(A705="",B705="safety"),"",IF(ISBLANK(INDIRECT("template!"&amp;"E"&amp;A705)),"",INDIRECT("template!"&amp;"E"&amp;A705)))</f>
        <v>#REF!</v>
      </c>
      <c r="I705" t="e" cm="1">
        <f t="array" aca="1" ref="I705" ca="1">IF(OR(A705="",B705="safety"),"",IF(ISBLANK(INDIRECT("template!"&amp;"F"&amp;A705)),"",INDIRECT("template!"&amp;"F"&amp;A705)))</f>
        <v>#REF!</v>
      </c>
      <c r="J705" t="e" cm="1">
        <f t="array" aca="1" ref="J705" ca="1">IF(OR(A705="",B705="safety"),"",IF(ISBLANK(INDIRECT("template!"&amp;"G"&amp;A705)),"",INDIRECT("template!"&amp;"G"&amp;A705)))</f>
        <v>#REF!</v>
      </c>
      <c r="K705" t="e" cm="1">
        <f t="array" aca="1" ref="K705" ca="1">IF(OR(A705="",B705="safety"),"",IF(ISBLANK(INDIRECT("template!"&amp;"H"&amp;A705)),"",INDIRECT("template!"&amp;"H"&amp;A705)))</f>
        <v>#REF!</v>
      </c>
      <c r="L705" t="e" cm="1">
        <f t="array" aca="1" ref="L705" ca="1">IF(OR(A705="",B705="safety"),"",INDIRECT("template!"&amp;"I"&amp;A705))</f>
        <v>#REF!</v>
      </c>
      <c r="M705" t="e" cm="1">
        <f t="array" aca="1" ref="M705" ca="1">IF(OR(A705="",B705="safety"),"",INDIRECT("template!"&amp;"J"&amp;A705))</f>
        <v>#REF!</v>
      </c>
      <c r="N705" t="e" cm="1">
        <f t="array" aca="1" ref="N705" ca="1">IF(OR(A705="",B705="safety"),"",IF(ISBLANK(INDIRECT("template!"&amp;"K"&amp;A705)),"",INDIRECT("template!"&amp;"K"&amp;A705)))</f>
        <v>#REF!</v>
      </c>
      <c r="O705" t="e" cm="1">
        <f t="array" aca="1" ref="O705" ca="1">IF(OR(A705="",B705="safety"),"",INDIRECT("template!"&amp;"L"&amp;A705))</f>
        <v>#REF!</v>
      </c>
      <c r="P705" t="e" cm="1">
        <f t="array" aca="1" ref="P705" ca="1">IF(OR(A705="",B705="safety"),"",INDIRECT("template!"&amp;"M"&amp;A705))</f>
        <v>#REF!</v>
      </c>
      <c r="Q705" t="e">
        <f t="shared" ca="1" si="58"/>
        <v>#REF!</v>
      </c>
      <c r="R705" t="e">
        <f t="shared" ca="1" si="59"/>
        <v>#REF!</v>
      </c>
      <c r="S705" t="e">
        <f t="shared" ca="1" si="60"/>
        <v>#REF!</v>
      </c>
      <c r="T705" t="e">
        <f t="shared" ca="1" si="61"/>
        <v>#REF!</v>
      </c>
      <c r="U705" t="e" cm="1">
        <f t="array" aca="1" ref="U705" ca="1">IF(A705="","",IF(E705="","",IF(B705="safety",INDIRECT("template!"&amp;"P"&amp;A705),Q705+R705)))</f>
        <v>#REF!</v>
      </c>
      <c r="V705" t="e" cm="1">
        <f t="array" aca="1" ref="V705" ca="1">IF(A705="","",IF(E705="","",IF(B705="safety",INDIRECT("template!"&amp;"P"&amp;A705),S705+T705)))</f>
        <v>#REF!</v>
      </c>
      <c r="W705" t="e">
        <f ca="1">IF(A705="","",IF(E705="","",#REF!))</f>
        <v>#REF!</v>
      </c>
      <c r="X705" t="e">
        <f ca="1">IF(A705="","",IF(E705="","",#REF!))</f>
        <v>#REF!</v>
      </c>
      <c r="Y705" s="39" t="e">
        <f ca="1">IF(A705="","",IF(E705="","",#REF!))</f>
        <v>#REF!</v>
      </c>
      <c r="Z705" t="e">
        <f ca="1">IF(A705="","",IF(E705="","",#REF!))</f>
        <v>#REF!</v>
      </c>
      <c r="AA705" t="e">
        <f ca="1">IF(A705="","",IF(E705="","",#REF!))</f>
        <v>#REF!</v>
      </c>
      <c r="AB705" t="e">
        <f ca="1">IF(A705="","",IF(E705="","",#REF!))</f>
        <v>#REF!</v>
      </c>
      <c r="AC705" t="e">
        <f t="shared" ca="1" si="62"/>
        <v>#REF!</v>
      </c>
    </row>
    <row r="706" spans="1:29" x14ac:dyDescent="0.35">
      <c r="A706" t="e" cm="1">
        <f t="array" aca="1" ref="A706" ca="1">IF(A705="","",IF(OR(AND(A705+1&gt;=$AF$1,A705+1&lt;=$AF$2),AND(A705+1&gt;=$AF$6,A705+1&lt;=$AF$7),AND(A705+1&gt;=$AF$3,A705+1&lt;=$AF$4),AND(A705+1&gt;=$AF$8,A705+1&lt;=$AF$9),A705+1=$AF$5),IF(NOT(ISBLANK(INDIRECT("template!"&amp;"P"&amp;A705+1))),A705+1,IF(NOT(ISBLANK(INDIRECT("template!"&amp;"P"&amp;A705+2))),A705+2,A705+3)),IF(A705=$AF$2,$AF$3,IF(A705=$AF$4,$AF$5,IF(A705=$AF$5,$AF$6,IF(A705=$AF$7,$AF$8,""))))))</f>
        <v>#REF!</v>
      </c>
      <c r="B706" t="e">
        <f t="shared" ref="B706:B769" ca="1" si="63">IF(A706="","",IF(OR(AND(A706&gt;=$AF$1,A706&lt;=$AF$2),AND(A706&gt;=$AF$6,A706&lt;=$AF$7)),"Mechanical",IF(OR(AND(A706&gt;=$AF$3,A706&lt;=$AF$4),AND(A706&gt;=$AF$8,A706&lt;=$AF$9)),"Electric",IF(A706=$AF$5,"Safety",""))))</f>
        <v>#REF!</v>
      </c>
      <c r="C706" t="e" cm="1">
        <f t="array" aca="1" ref="C706" ca="1">IF(A706="","",IF(B706="safety","safety costs",INDIRECT("template!"&amp;"B"&amp;A706)))</f>
        <v>#REF!</v>
      </c>
      <c r="D706" t="e" cm="1">
        <f t="array" aca="1" ref="D706" ca="1">IF(OR(A706="",B706="safety"),"",INDIRECT("template!"&amp;"C"&amp;A706))</f>
        <v>#REF!</v>
      </c>
      <c r="E706" t="e" cm="1">
        <f t="array" aca="1" ref="E706" ca="1">IF(A706="","",IF(OR(A706=A705+1,A706=A705+2),E705,INDIRECT("template!"&amp;"D"&amp;A706-2)))</f>
        <v>#REF!</v>
      </c>
      <c r="F706" t="e" cm="1">
        <f t="array" aca="1" ref="F706" ca="1">IF(OR(A706="",B706="safety"),"",IF(ISBLANK(IF(A706=A705+1,F705,INDIRECT("template!"&amp;"D"&amp;A706-1))),"",IF(A706=A705+1,F705,INDIRECT("template!"&amp;"D"&amp;A706-1))))</f>
        <v>#REF!</v>
      </c>
      <c r="G706" t="e" cm="1">
        <f t="array" aca="1" ref="G706" ca="1">IF(OR(A706="",B706="safety"),"",IF(ISBLANK(INDIRECT("template!"&amp;"D"&amp;A706)),"",INDIRECT("template!"&amp;"D"&amp;A706)))</f>
        <v>#REF!</v>
      </c>
      <c r="H706" t="e" cm="1">
        <f t="array" aca="1" ref="H706" ca="1">IF(OR(A706="",B706="safety"),"",IF(ISBLANK(INDIRECT("template!"&amp;"E"&amp;A706)),"",INDIRECT("template!"&amp;"E"&amp;A706)))</f>
        <v>#REF!</v>
      </c>
      <c r="I706" t="e" cm="1">
        <f t="array" aca="1" ref="I706" ca="1">IF(OR(A706="",B706="safety"),"",IF(ISBLANK(INDIRECT("template!"&amp;"F"&amp;A706)),"",INDIRECT("template!"&amp;"F"&amp;A706)))</f>
        <v>#REF!</v>
      </c>
      <c r="J706" t="e" cm="1">
        <f t="array" aca="1" ref="J706" ca="1">IF(OR(A706="",B706="safety"),"",IF(ISBLANK(INDIRECT("template!"&amp;"G"&amp;A706)),"",INDIRECT("template!"&amp;"G"&amp;A706)))</f>
        <v>#REF!</v>
      </c>
      <c r="K706" t="e" cm="1">
        <f t="array" aca="1" ref="K706" ca="1">IF(OR(A706="",B706="safety"),"",IF(ISBLANK(INDIRECT("template!"&amp;"H"&amp;A706)),"",INDIRECT("template!"&amp;"H"&amp;A706)))</f>
        <v>#REF!</v>
      </c>
      <c r="L706" t="e" cm="1">
        <f t="array" aca="1" ref="L706" ca="1">IF(OR(A706="",B706="safety"),"",INDIRECT("template!"&amp;"I"&amp;A706))</f>
        <v>#REF!</v>
      </c>
      <c r="M706" t="e" cm="1">
        <f t="array" aca="1" ref="M706" ca="1">IF(OR(A706="",B706="safety"),"",INDIRECT("template!"&amp;"J"&amp;A706))</f>
        <v>#REF!</v>
      </c>
      <c r="N706" t="e" cm="1">
        <f t="array" aca="1" ref="N706" ca="1">IF(OR(A706="",B706="safety"),"",IF(ISBLANK(INDIRECT("template!"&amp;"K"&amp;A706)),"",INDIRECT("template!"&amp;"K"&amp;A706)))</f>
        <v>#REF!</v>
      </c>
      <c r="O706" t="e" cm="1">
        <f t="array" aca="1" ref="O706" ca="1">IF(OR(A706="",B706="safety"),"",INDIRECT("template!"&amp;"L"&amp;A706))</f>
        <v>#REF!</v>
      </c>
      <c r="P706" t="e" cm="1">
        <f t="array" aca="1" ref="P706" ca="1">IF(OR(A706="",B706="safety"),"",INDIRECT("template!"&amp;"M"&amp;A706))</f>
        <v>#REF!</v>
      </c>
      <c r="Q706" t="e">
        <f t="shared" ca="1" si="58"/>
        <v>#REF!</v>
      </c>
      <c r="R706" t="e">
        <f t="shared" ca="1" si="59"/>
        <v>#REF!</v>
      </c>
      <c r="S706" t="e">
        <f t="shared" ca="1" si="60"/>
        <v>#REF!</v>
      </c>
      <c r="T706" t="e">
        <f t="shared" ca="1" si="61"/>
        <v>#REF!</v>
      </c>
      <c r="U706" t="e" cm="1">
        <f t="array" aca="1" ref="U706" ca="1">IF(A706="","",IF(E706="","",IF(B706="safety",INDIRECT("template!"&amp;"P"&amp;A706),Q706+R706)))</f>
        <v>#REF!</v>
      </c>
      <c r="V706" t="e" cm="1">
        <f t="array" aca="1" ref="V706" ca="1">IF(A706="","",IF(E706="","",IF(B706="safety",INDIRECT("template!"&amp;"P"&amp;A706),S706+T706)))</f>
        <v>#REF!</v>
      </c>
      <c r="W706" t="e">
        <f ca="1">IF(A706="","",IF(E706="","",#REF!))</f>
        <v>#REF!</v>
      </c>
      <c r="X706" t="e">
        <f ca="1">IF(A706="","",IF(E706="","",#REF!))</f>
        <v>#REF!</v>
      </c>
      <c r="Y706" s="39" t="e">
        <f ca="1">IF(A706="","",IF(E706="","",#REF!))</f>
        <v>#REF!</v>
      </c>
      <c r="Z706" t="e">
        <f ca="1">IF(A706="","",IF(E706="","",#REF!))</f>
        <v>#REF!</v>
      </c>
      <c r="AA706" t="e">
        <f ca="1">IF(A706="","",IF(E706="","",#REF!))</f>
        <v>#REF!</v>
      </c>
      <c r="AB706" t="e">
        <f ca="1">IF(A706="","",IF(E706="","",#REF!))</f>
        <v>#REF!</v>
      </c>
      <c r="AC706" t="e">
        <f t="shared" ca="1" si="62"/>
        <v>#REF!</v>
      </c>
    </row>
    <row r="707" spans="1:29" x14ac:dyDescent="0.35">
      <c r="A707" t="e" cm="1">
        <f t="array" aca="1" ref="A707" ca="1">IF(A706="","",IF(OR(AND(A706+1&gt;=$AF$1,A706+1&lt;=$AF$2),AND(A706+1&gt;=$AF$6,A706+1&lt;=$AF$7),AND(A706+1&gt;=$AF$3,A706+1&lt;=$AF$4),AND(A706+1&gt;=$AF$8,A706+1&lt;=$AF$9),A706+1=$AF$5),IF(NOT(ISBLANK(INDIRECT("template!"&amp;"P"&amp;A706+1))),A706+1,IF(NOT(ISBLANK(INDIRECT("template!"&amp;"P"&amp;A706+2))),A706+2,A706+3)),IF(A706=$AF$2,$AF$3,IF(A706=$AF$4,$AF$5,IF(A706=$AF$5,$AF$6,IF(A706=$AF$7,$AF$8,""))))))</f>
        <v>#REF!</v>
      </c>
      <c r="B707" t="e">
        <f t="shared" ca="1" si="63"/>
        <v>#REF!</v>
      </c>
      <c r="C707" t="e" cm="1">
        <f t="array" aca="1" ref="C707" ca="1">IF(A707="","",IF(B707="safety","safety costs",INDIRECT("template!"&amp;"B"&amp;A707)))</f>
        <v>#REF!</v>
      </c>
      <c r="D707" t="e" cm="1">
        <f t="array" aca="1" ref="D707" ca="1">IF(OR(A707="",B707="safety"),"",INDIRECT("template!"&amp;"C"&amp;A707))</f>
        <v>#REF!</v>
      </c>
      <c r="E707" t="e" cm="1">
        <f t="array" aca="1" ref="E707" ca="1">IF(A707="","",IF(OR(A707=A706+1,A707=A706+2),E706,INDIRECT("template!"&amp;"D"&amp;A707-2)))</f>
        <v>#REF!</v>
      </c>
      <c r="F707" t="e" cm="1">
        <f t="array" aca="1" ref="F707" ca="1">IF(OR(A707="",B707="safety"),"",IF(ISBLANK(IF(A707=A706+1,F706,INDIRECT("template!"&amp;"D"&amp;A707-1))),"",IF(A707=A706+1,F706,INDIRECT("template!"&amp;"D"&amp;A707-1))))</f>
        <v>#REF!</v>
      </c>
      <c r="G707" t="e" cm="1">
        <f t="array" aca="1" ref="G707" ca="1">IF(OR(A707="",B707="safety"),"",IF(ISBLANK(INDIRECT("template!"&amp;"D"&amp;A707)),"",INDIRECT("template!"&amp;"D"&amp;A707)))</f>
        <v>#REF!</v>
      </c>
      <c r="H707" t="e" cm="1">
        <f t="array" aca="1" ref="H707" ca="1">IF(OR(A707="",B707="safety"),"",IF(ISBLANK(INDIRECT("template!"&amp;"E"&amp;A707)),"",INDIRECT("template!"&amp;"E"&amp;A707)))</f>
        <v>#REF!</v>
      </c>
      <c r="I707" t="e" cm="1">
        <f t="array" aca="1" ref="I707" ca="1">IF(OR(A707="",B707="safety"),"",IF(ISBLANK(INDIRECT("template!"&amp;"F"&amp;A707)),"",INDIRECT("template!"&amp;"F"&amp;A707)))</f>
        <v>#REF!</v>
      </c>
      <c r="J707" t="e" cm="1">
        <f t="array" aca="1" ref="J707" ca="1">IF(OR(A707="",B707="safety"),"",IF(ISBLANK(INDIRECT("template!"&amp;"G"&amp;A707)),"",INDIRECT("template!"&amp;"G"&amp;A707)))</f>
        <v>#REF!</v>
      </c>
      <c r="K707" t="e" cm="1">
        <f t="array" aca="1" ref="K707" ca="1">IF(OR(A707="",B707="safety"),"",IF(ISBLANK(INDIRECT("template!"&amp;"H"&amp;A707)),"",INDIRECT("template!"&amp;"H"&amp;A707)))</f>
        <v>#REF!</v>
      </c>
      <c r="L707" t="e" cm="1">
        <f t="array" aca="1" ref="L707" ca="1">IF(OR(A707="",B707="safety"),"",INDIRECT("template!"&amp;"I"&amp;A707))</f>
        <v>#REF!</v>
      </c>
      <c r="M707" t="e" cm="1">
        <f t="array" aca="1" ref="M707" ca="1">IF(OR(A707="",B707="safety"),"",INDIRECT("template!"&amp;"J"&amp;A707))</f>
        <v>#REF!</v>
      </c>
      <c r="N707" t="e" cm="1">
        <f t="array" aca="1" ref="N707" ca="1">IF(OR(A707="",B707="safety"),"",IF(ISBLANK(INDIRECT("template!"&amp;"K"&amp;A707)),"",INDIRECT("template!"&amp;"K"&amp;A707)))</f>
        <v>#REF!</v>
      </c>
      <c r="O707" t="e" cm="1">
        <f t="array" aca="1" ref="O707" ca="1">IF(OR(A707="",B707="safety"),"",INDIRECT("template!"&amp;"L"&amp;A707))</f>
        <v>#REF!</v>
      </c>
      <c r="P707" t="e" cm="1">
        <f t="array" aca="1" ref="P707" ca="1">IF(OR(A707="",B707="safety"),"",INDIRECT("template!"&amp;"M"&amp;A707))</f>
        <v>#REF!</v>
      </c>
      <c r="Q707" t="e">
        <f t="shared" ca="1" si="58"/>
        <v>#REF!</v>
      </c>
      <c r="R707" t="e">
        <f t="shared" ca="1" si="59"/>
        <v>#REF!</v>
      </c>
      <c r="S707" t="e">
        <f t="shared" ca="1" si="60"/>
        <v>#REF!</v>
      </c>
      <c r="T707" t="e">
        <f t="shared" ca="1" si="61"/>
        <v>#REF!</v>
      </c>
      <c r="U707" t="e" cm="1">
        <f t="array" aca="1" ref="U707" ca="1">IF(A707="","",IF(E707="","",IF(B707="safety",INDIRECT("template!"&amp;"P"&amp;A707),Q707+R707)))</f>
        <v>#REF!</v>
      </c>
      <c r="V707" t="e" cm="1">
        <f t="array" aca="1" ref="V707" ca="1">IF(A707="","",IF(E707="","",IF(B707="safety",INDIRECT("template!"&amp;"P"&amp;A707),S707+T707)))</f>
        <v>#REF!</v>
      </c>
      <c r="W707" t="e">
        <f ca="1">IF(A707="","",IF(E707="","",#REF!))</f>
        <v>#REF!</v>
      </c>
      <c r="X707" t="e">
        <f ca="1">IF(A707="","",IF(E707="","",#REF!))</f>
        <v>#REF!</v>
      </c>
      <c r="Y707" s="39" t="e">
        <f ca="1">IF(A707="","",IF(E707="","",#REF!))</f>
        <v>#REF!</v>
      </c>
      <c r="Z707" t="e">
        <f ca="1">IF(A707="","",IF(E707="","",#REF!))</f>
        <v>#REF!</v>
      </c>
      <c r="AA707" t="e">
        <f ca="1">IF(A707="","",IF(E707="","",#REF!))</f>
        <v>#REF!</v>
      </c>
      <c r="AB707" t="e">
        <f ca="1">IF(A707="","",IF(E707="","",#REF!))</f>
        <v>#REF!</v>
      </c>
      <c r="AC707" t="e">
        <f t="shared" ca="1" si="62"/>
        <v>#REF!</v>
      </c>
    </row>
    <row r="708" spans="1:29" x14ac:dyDescent="0.35">
      <c r="A708" t="e" cm="1">
        <f t="array" aca="1" ref="A708" ca="1">IF(A707="","",IF(OR(AND(A707+1&gt;=$AF$1,A707+1&lt;=$AF$2),AND(A707+1&gt;=$AF$6,A707+1&lt;=$AF$7),AND(A707+1&gt;=$AF$3,A707+1&lt;=$AF$4),AND(A707+1&gt;=$AF$8,A707+1&lt;=$AF$9),A707+1=$AF$5),IF(NOT(ISBLANK(INDIRECT("template!"&amp;"P"&amp;A707+1))),A707+1,IF(NOT(ISBLANK(INDIRECT("template!"&amp;"P"&amp;A707+2))),A707+2,A707+3)),IF(A707=$AF$2,$AF$3,IF(A707=$AF$4,$AF$5,IF(A707=$AF$5,$AF$6,IF(A707=$AF$7,$AF$8,""))))))</f>
        <v>#REF!</v>
      </c>
      <c r="B708" t="e">
        <f t="shared" ca="1" si="63"/>
        <v>#REF!</v>
      </c>
      <c r="C708" t="e" cm="1">
        <f t="array" aca="1" ref="C708" ca="1">IF(A708="","",IF(B708="safety","safety costs",INDIRECT("template!"&amp;"B"&amp;A708)))</f>
        <v>#REF!</v>
      </c>
      <c r="D708" t="e" cm="1">
        <f t="array" aca="1" ref="D708" ca="1">IF(OR(A708="",B708="safety"),"",INDIRECT("template!"&amp;"C"&amp;A708))</f>
        <v>#REF!</v>
      </c>
      <c r="E708" t="e" cm="1">
        <f t="array" aca="1" ref="E708" ca="1">IF(A708="","",IF(OR(A708=A707+1,A708=A707+2),E707,INDIRECT("template!"&amp;"D"&amp;A708-2)))</f>
        <v>#REF!</v>
      </c>
      <c r="F708" t="e" cm="1">
        <f t="array" aca="1" ref="F708" ca="1">IF(OR(A708="",B708="safety"),"",IF(ISBLANK(IF(A708=A707+1,F707,INDIRECT("template!"&amp;"D"&amp;A708-1))),"",IF(A708=A707+1,F707,INDIRECT("template!"&amp;"D"&amp;A708-1))))</f>
        <v>#REF!</v>
      </c>
      <c r="G708" t="e" cm="1">
        <f t="array" aca="1" ref="G708" ca="1">IF(OR(A708="",B708="safety"),"",IF(ISBLANK(INDIRECT("template!"&amp;"D"&amp;A708)),"",INDIRECT("template!"&amp;"D"&amp;A708)))</f>
        <v>#REF!</v>
      </c>
      <c r="H708" t="e" cm="1">
        <f t="array" aca="1" ref="H708" ca="1">IF(OR(A708="",B708="safety"),"",IF(ISBLANK(INDIRECT("template!"&amp;"E"&amp;A708)),"",INDIRECT("template!"&amp;"E"&amp;A708)))</f>
        <v>#REF!</v>
      </c>
      <c r="I708" t="e" cm="1">
        <f t="array" aca="1" ref="I708" ca="1">IF(OR(A708="",B708="safety"),"",IF(ISBLANK(INDIRECT("template!"&amp;"F"&amp;A708)),"",INDIRECT("template!"&amp;"F"&amp;A708)))</f>
        <v>#REF!</v>
      </c>
      <c r="J708" t="e" cm="1">
        <f t="array" aca="1" ref="J708" ca="1">IF(OR(A708="",B708="safety"),"",IF(ISBLANK(INDIRECT("template!"&amp;"G"&amp;A708)),"",INDIRECT("template!"&amp;"G"&amp;A708)))</f>
        <v>#REF!</v>
      </c>
      <c r="K708" t="e" cm="1">
        <f t="array" aca="1" ref="K708" ca="1">IF(OR(A708="",B708="safety"),"",IF(ISBLANK(INDIRECT("template!"&amp;"H"&amp;A708)),"",INDIRECT("template!"&amp;"H"&amp;A708)))</f>
        <v>#REF!</v>
      </c>
      <c r="L708" t="e" cm="1">
        <f t="array" aca="1" ref="L708" ca="1">IF(OR(A708="",B708="safety"),"",INDIRECT("template!"&amp;"I"&amp;A708))</f>
        <v>#REF!</v>
      </c>
      <c r="M708" t="e" cm="1">
        <f t="array" aca="1" ref="M708" ca="1">IF(OR(A708="",B708="safety"),"",INDIRECT("template!"&amp;"J"&amp;A708))</f>
        <v>#REF!</v>
      </c>
      <c r="N708" t="e" cm="1">
        <f t="array" aca="1" ref="N708" ca="1">IF(OR(A708="",B708="safety"),"",IF(ISBLANK(INDIRECT("template!"&amp;"K"&amp;A708)),"",INDIRECT("template!"&amp;"K"&amp;A708)))</f>
        <v>#REF!</v>
      </c>
      <c r="O708" t="e" cm="1">
        <f t="array" aca="1" ref="O708" ca="1">IF(OR(A708="",B708="safety"),"",INDIRECT("template!"&amp;"L"&amp;A708))</f>
        <v>#REF!</v>
      </c>
      <c r="P708" t="e" cm="1">
        <f t="array" aca="1" ref="P708" ca="1">IF(OR(A708="",B708="safety"),"",INDIRECT("template!"&amp;"M"&amp;A708))</f>
        <v>#REF!</v>
      </c>
      <c r="Q708" t="e">
        <f t="shared" ref="Q708:Q771" ca="1" si="64">IF(OR(A708="",B708="safety"),"",IF(E708="","",O708*L708))</f>
        <v>#REF!</v>
      </c>
      <c r="R708" t="e">
        <f t="shared" ref="R708:R771" ca="1" si="65">IF(OR(A708="",B708="safety"),"",IF(E708="","",P708*L708))</f>
        <v>#REF!</v>
      </c>
      <c r="S708" t="e">
        <f t="shared" ref="S708:S771" ca="1" si="66">IF(OR(A708="",B708="safety"),"",IF(E708="","",O708*M708))</f>
        <v>#REF!</v>
      </c>
      <c r="T708" t="e">
        <f t="shared" ref="T708:T771" ca="1" si="67">IF(OR(A708="",B708="safety"),"",IF(E708="","",M708*P708))</f>
        <v>#REF!</v>
      </c>
      <c r="U708" t="e" cm="1">
        <f t="array" aca="1" ref="U708" ca="1">IF(A708="","",IF(E708="","",IF(B708="safety",INDIRECT("template!"&amp;"P"&amp;A708),Q708+R708)))</f>
        <v>#REF!</v>
      </c>
      <c r="V708" t="e" cm="1">
        <f t="array" aca="1" ref="V708" ca="1">IF(A708="","",IF(E708="","",IF(B708="safety",INDIRECT("template!"&amp;"P"&amp;A708),S708+T708)))</f>
        <v>#REF!</v>
      </c>
      <c r="W708" t="e">
        <f ca="1">IF(A708="","",IF(E708="","",#REF!))</f>
        <v>#REF!</v>
      </c>
      <c r="X708" t="e">
        <f ca="1">IF(A708="","",IF(E708="","",#REF!))</f>
        <v>#REF!</v>
      </c>
      <c r="Y708" s="39" t="e">
        <f ca="1">IF(A708="","",IF(E708="","",#REF!))</f>
        <v>#REF!</v>
      </c>
      <c r="Z708" t="e">
        <f ca="1">IF(A708="","",IF(E708="","",#REF!))</f>
        <v>#REF!</v>
      </c>
      <c r="AA708" t="e">
        <f ca="1">IF(A708="","",IF(E708="","",#REF!))</f>
        <v>#REF!</v>
      </c>
      <c r="AB708" t="e">
        <f ca="1">IF(A708="","",IF(E708="","",#REF!))</f>
        <v>#REF!</v>
      </c>
      <c r="AC708" t="e">
        <f t="shared" ref="AC708:AC771" ca="1" si="68">IF(A708="","",IF(E708="","","WEEK "&amp;WEEKNUM(Y708)&amp;"_"&amp;YEAR(Y708)))</f>
        <v>#REF!</v>
      </c>
    </row>
    <row r="709" spans="1:29" x14ac:dyDescent="0.35">
      <c r="A709" t="e" cm="1">
        <f t="array" aca="1" ref="A709" ca="1">IF(A708="","",IF(OR(AND(A708+1&gt;=$AF$1,A708+1&lt;=$AF$2),AND(A708+1&gt;=$AF$6,A708+1&lt;=$AF$7),AND(A708+1&gt;=$AF$3,A708+1&lt;=$AF$4),AND(A708+1&gt;=$AF$8,A708+1&lt;=$AF$9),A708+1=$AF$5),IF(NOT(ISBLANK(INDIRECT("template!"&amp;"P"&amp;A708+1))),A708+1,IF(NOT(ISBLANK(INDIRECT("template!"&amp;"P"&amp;A708+2))),A708+2,A708+3)),IF(A708=$AF$2,$AF$3,IF(A708=$AF$4,$AF$5,IF(A708=$AF$5,$AF$6,IF(A708=$AF$7,$AF$8,""))))))</f>
        <v>#REF!</v>
      </c>
      <c r="B709" t="e">
        <f t="shared" ca="1" si="63"/>
        <v>#REF!</v>
      </c>
      <c r="C709" t="e" cm="1">
        <f t="array" aca="1" ref="C709" ca="1">IF(A709="","",IF(B709="safety","safety costs",INDIRECT("template!"&amp;"B"&amp;A709)))</f>
        <v>#REF!</v>
      </c>
      <c r="D709" t="e" cm="1">
        <f t="array" aca="1" ref="D709" ca="1">IF(OR(A709="",B709="safety"),"",INDIRECT("template!"&amp;"C"&amp;A709))</f>
        <v>#REF!</v>
      </c>
      <c r="E709" t="e" cm="1">
        <f t="array" aca="1" ref="E709" ca="1">IF(A709="","",IF(OR(A709=A708+1,A709=A708+2),E708,INDIRECT("template!"&amp;"D"&amp;A709-2)))</f>
        <v>#REF!</v>
      </c>
      <c r="F709" t="e" cm="1">
        <f t="array" aca="1" ref="F709" ca="1">IF(OR(A709="",B709="safety"),"",IF(ISBLANK(IF(A709=A708+1,F708,INDIRECT("template!"&amp;"D"&amp;A709-1))),"",IF(A709=A708+1,F708,INDIRECT("template!"&amp;"D"&amp;A709-1))))</f>
        <v>#REF!</v>
      </c>
      <c r="G709" t="e" cm="1">
        <f t="array" aca="1" ref="G709" ca="1">IF(OR(A709="",B709="safety"),"",IF(ISBLANK(INDIRECT("template!"&amp;"D"&amp;A709)),"",INDIRECT("template!"&amp;"D"&amp;A709)))</f>
        <v>#REF!</v>
      </c>
      <c r="H709" t="e" cm="1">
        <f t="array" aca="1" ref="H709" ca="1">IF(OR(A709="",B709="safety"),"",IF(ISBLANK(INDIRECT("template!"&amp;"E"&amp;A709)),"",INDIRECT("template!"&amp;"E"&amp;A709)))</f>
        <v>#REF!</v>
      </c>
      <c r="I709" t="e" cm="1">
        <f t="array" aca="1" ref="I709" ca="1">IF(OR(A709="",B709="safety"),"",IF(ISBLANK(INDIRECT("template!"&amp;"F"&amp;A709)),"",INDIRECT("template!"&amp;"F"&amp;A709)))</f>
        <v>#REF!</v>
      </c>
      <c r="J709" t="e" cm="1">
        <f t="array" aca="1" ref="J709" ca="1">IF(OR(A709="",B709="safety"),"",IF(ISBLANK(INDIRECT("template!"&amp;"G"&amp;A709)),"",INDIRECT("template!"&amp;"G"&amp;A709)))</f>
        <v>#REF!</v>
      </c>
      <c r="K709" t="e" cm="1">
        <f t="array" aca="1" ref="K709" ca="1">IF(OR(A709="",B709="safety"),"",IF(ISBLANK(INDIRECT("template!"&amp;"H"&amp;A709)),"",INDIRECT("template!"&amp;"H"&amp;A709)))</f>
        <v>#REF!</v>
      </c>
      <c r="L709" t="e" cm="1">
        <f t="array" aca="1" ref="L709" ca="1">IF(OR(A709="",B709="safety"),"",INDIRECT("template!"&amp;"I"&amp;A709))</f>
        <v>#REF!</v>
      </c>
      <c r="M709" t="e" cm="1">
        <f t="array" aca="1" ref="M709" ca="1">IF(OR(A709="",B709="safety"),"",INDIRECT("template!"&amp;"J"&amp;A709))</f>
        <v>#REF!</v>
      </c>
      <c r="N709" t="e" cm="1">
        <f t="array" aca="1" ref="N709" ca="1">IF(OR(A709="",B709="safety"),"",IF(ISBLANK(INDIRECT("template!"&amp;"K"&amp;A709)),"",INDIRECT("template!"&amp;"K"&amp;A709)))</f>
        <v>#REF!</v>
      </c>
      <c r="O709" t="e" cm="1">
        <f t="array" aca="1" ref="O709" ca="1">IF(OR(A709="",B709="safety"),"",INDIRECT("template!"&amp;"L"&amp;A709))</f>
        <v>#REF!</v>
      </c>
      <c r="P709" t="e" cm="1">
        <f t="array" aca="1" ref="P709" ca="1">IF(OR(A709="",B709="safety"),"",INDIRECT("template!"&amp;"M"&amp;A709))</f>
        <v>#REF!</v>
      </c>
      <c r="Q709" t="e">
        <f t="shared" ca="1" si="64"/>
        <v>#REF!</v>
      </c>
      <c r="R709" t="e">
        <f t="shared" ca="1" si="65"/>
        <v>#REF!</v>
      </c>
      <c r="S709" t="e">
        <f t="shared" ca="1" si="66"/>
        <v>#REF!</v>
      </c>
      <c r="T709" t="e">
        <f t="shared" ca="1" si="67"/>
        <v>#REF!</v>
      </c>
      <c r="U709" t="e" cm="1">
        <f t="array" aca="1" ref="U709" ca="1">IF(A709="","",IF(E709="","",IF(B709="safety",INDIRECT("template!"&amp;"P"&amp;A709),Q709+R709)))</f>
        <v>#REF!</v>
      </c>
      <c r="V709" t="e" cm="1">
        <f t="array" aca="1" ref="V709" ca="1">IF(A709="","",IF(E709="","",IF(B709="safety",INDIRECT("template!"&amp;"P"&amp;A709),S709+T709)))</f>
        <v>#REF!</v>
      </c>
      <c r="W709" t="e">
        <f ca="1">IF(A709="","",IF(E709="","",#REF!))</f>
        <v>#REF!</v>
      </c>
      <c r="X709" t="e">
        <f ca="1">IF(A709="","",IF(E709="","",#REF!))</f>
        <v>#REF!</v>
      </c>
      <c r="Y709" s="39" t="e">
        <f ca="1">IF(A709="","",IF(E709="","",#REF!))</f>
        <v>#REF!</v>
      </c>
      <c r="Z709" t="e">
        <f ca="1">IF(A709="","",IF(E709="","",#REF!))</f>
        <v>#REF!</v>
      </c>
      <c r="AA709" t="e">
        <f ca="1">IF(A709="","",IF(E709="","",#REF!))</f>
        <v>#REF!</v>
      </c>
      <c r="AB709" t="e">
        <f ca="1">IF(A709="","",IF(E709="","",#REF!))</f>
        <v>#REF!</v>
      </c>
      <c r="AC709" t="e">
        <f t="shared" ca="1" si="68"/>
        <v>#REF!</v>
      </c>
    </row>
    <row r="710" spans="1:29" x14ac:dyDescent="0.35">
      <c r="A710" t="e" cm="1">
        <f t="array" aca="1" ref="A710" ca="1">IF(A709="","",IF(OR(AND(A709+1&gt;=$AF$1,A709+1&lt;=$AF$2),AND(A709+1&gt;=$AF$6,A709+1&lt;=$AF$7),AND(A709+1&gt;=$AF$3,A709+1&lt;=$AF$4),AND(A709+1&gt;=$AF$8,A709+1&lt;=$AF$9),A709+1=$AF$5),IF(NOT(ISBLANK(INDIRECT("template!"&amp;"P"&amp;A709+1))),A709+1,IF(NOT(ISBLANK(INDIRECT("template!"&amp;"P"&amp;A709+2))),A709+2,A709+3)),IF(A709=$AF$2,$AF$3,IF(A709=$AF$4,$AF$5,IF(A709=$AF$5,$AF$6,IF(A709=$AF$7,$AF$8,""))))))</f>
        <v>#REF!</v>
      </c>
      <c r="B710" t="e">
        <f t="shared" ca="1" si="63"/>
        <v>#REF!</v>
      </c>
      <c r="C710" t="e" cm="1">
        <f t="array" aca="1" ref="C710" ca="1">IF(A710="","",IF(B710="safety","safety costs",INDIRECT("template!"&amp;"B"&amp;A710)))</f>
        <v>#REF!</v>
      </c>
      <c r="D710" t="e" cm="1">
        <f t="array" aca="1" ref="D710" ca="1">IF(OR(A710="",B710="safety"),"",INDIRECT("template!"&amp;"C"&amp;A710))</f>
        <v>#REF!</v>
      </c>
      <c r="E710" t="e" cm="1">
        <f t="array" aca="1" ref="E710" ca="1">IF(A710="","",IF(OR(A710=A709+1,A710=A709+2),E709,INDIRECT("template!"&amp;"D"&amp;A710-2)))</f>
        <v>#REF!</v>
      </c>
      <c r="F710" t="e" cm="1">
        <f t="array" aca="1" ref="F710" ca="1">IF(OR(A710="",B710="safety"),"",IF(ISBLANK(IF(A710=A709+1,F709,INDIRECT("template!"&amp;"D"&amp;A710-1))),"",IF(A710=A709+1,F709,INDIRECT("template!"&amp;"D"&amp;A710-1))))</f>
        <v>#REF!</v>
      </c>
      <c r="G710" t="e" cm="1">
        <f t="array" aca="1" ref="G710" ca="1">IF(OR(A710="",B710="safety"),"",IF(ISBLANK(INDIRECT("template!"&amp;"D"&amp;A710)),"",INDIRECT("template!"&amp;"D"&amp;A710)))</f>
        <v>#REF!</v>
      </c>
      <c r="H710" t="e" cm="1">
        <f t="array" aca="1" ref="H710" ca="1">IF(OR(A710="",B710="safety"),"",IF(ISBLANK(INDIRECT("template!"&amp;"E"&amp;A710)),"",INDIRECT("template!"&amp;"E"&amp;A710)))</f>
        <v>#REF!</v>
      </c>
      <c r="I710" t="e" cm="1">
        <f t="array" aca="1" ref="I710" ca="1">IF(OR(A710="",B710="safety"),"",IF(ISBLANK(INDIRECT("template!"&amp;"F"&amp;A710)),"",INDIRECT("template!"&amp;"F"&amp;A710)))</f>
        <v>#REF!</v>
      </c>
      <c r="J710" t="e" cm="1">
        <f t="array" aca="1" ref="J710" ca="1">IF(OR(A710="",B710="safety"),"",IF(ISBLANK(INDIRECT("template!"&amp;"G"&amp;A710)),"",INDIRECT("template!"&amp;"G"&amp;A710)))</f>
        <v>#REF!</v>
      </c>
      <c r="K710" t="e" cm="1">
        <f t="array" aca="1" ref="K710" ca="1">IF(OR(A710="",B710="safety"),"",IF(ISBLANK(INDIRECT("template!"&amp;"H"&amp;A710)),"",INDIRECT("template!"&amp;"H"&amp;A710)))</f>
        <v>#REF!</v>
      </c>
      <c r="L710" t="e" cm="1">
        <f t="array" aca="1" ref="L710" ca="1">IF(OR(A710="",B710="safety"),"",INDIRECT("template!"&amp;"I"&amp;A710))</f>
        <v>#REF!</v>
      </c>
      <c r="M710" t="e" cm="1">
        <f t="array" aca="1" ref="M710" ca="1">IF(OR(A710="",B710="safety"),"",INDIRECT("template!"&amp;"J"&amp;A710))</f>
        <v>#REF!</v>
      </c>
      <c r="N710" t="e" cm="1">
        <f t="array" aca="1" ref="N710" ca="1">IF(OR(A710="",B710="safety"),"",IF(ISBLANK(INDIRECT("template!"&amp;"K"&amp;A710)),"",INDIRECT("template!"&amp;"K"&amp;A710)))</f>
        <v>#REF!</v>
      </c>
      <c r="O710" t="e" cm="1">
        <f t="array" aca="1" ref="O710" ca="1">IF(OR(A710="",B710="safety"),"",INDIRECT("template!"&amp;"L"&amp;A710))</f>
        <v>#REF!</v>
      </c>
      <c r="P710" t="e" cm="1">
        <f t="array" aca="1" ref="P710" ca="1">IF(OR(A710="",B710="safety"),"",INDIRECT("template!"&amp;"M"&amp;A710))</f>
        <v>#REF!</v>
      </c>
      <c r="Q710" t="e">
        <f t="shared" ca="1" si="64"/>
        <v>#REF!</v>
      </c>
      <c r="R710" t="e">
        <f t="shared" ca="1" si="65"/>
        <v>#REF!</v>
      </c>
      <c r="S710" t="e">
        <f t="shared" ca="1" si="66"/>
        <v>#REF!</v>
      </c>
      <c r="T710" t="e">
        <f t="shared" ca="1" si="67"/>
        <v>#REF!</v>
      </c>
      <c r="U710" t="e" cm="1">
        <f t="array" aca="1" ref="U710" ca="1">IF(A710="","",IF(E710="","",IF(B710="safety",INDIRECT("template!"&amp;"P"&amp;A710),Q710+R710)))</f>
        <v>#REF!</v>
      </c>
      <c r="V710" t="e" cm="1">
        <f t="array" aca="1" ref="V710" ca="1">IF(A710="","",IF(E710="","",IF(B710="safety",INDIRECT("template!"&amp;"P"&amp;A710),S710+T710)))</f>
        <v>#REF!</v>
      </c>
      <c r="W710" t="e">
        <f ca="1">IF(A710="","",IF(E710="","",#REF!))</f>
        <v>#REF!</v>
      </c>
      <c r="X710" t="e">
        <f ca="1">IF(A710="","",IF(E710="","",#REF!))</f>
        <v>#REF!</v>
      </c>
      <c r="Y710" s="39" t="e">
        <f ca="1">IF(A710="","",IF(E710="","",#REF!))</f>
        <v>#REF!</v>
      </c>
      <c r="Z710" t="e">
        <f ca="1">IF(A710="","",IF(E710="","",#REF!))</f>
        <v>#REF!</v>
      </c>
      <c r="AA710" t="e">
        <f ca="1">IF(A710="","",IF(E710="","",#REF!))</f>
        <v>#REF!</v>
      </c>
      <c r="AB710" t="e">
        <f ca="1">IF(A710="","",IF(E710="","",#REF!))</f>
        <v>#REF!</v>
      </c>
      <c r="AC710" t="e">
        <f t="shared" ca="1" si="68"/>
        <v>#REF!</v>
      </c>
    </row>
    <row r="711" spans="1:29" x14ac:dyDescent="0.35">
      <c r="A711" t="e" cm="1">
        <f t="array" aca="1" ref="A711" ca="1">IF(A710="","",IF(OR(AND(A710+1&gt;=$AF$1,A710+1&lt;=$AF$2),AND(A710+1&gt;=$AF$6,A710+1&lt;=$AF$7),AND(A710+1&gt;=$AF$3,A710+1&lt;=$AF$4),AND(A710+1&gt;=$AF$8,A710+1&lt;=$AF$9),A710+1=$AF$5),IF(NOT(ISBLANK(INDIRECT("template!"&amp;"P"&amp;A710+1))),A710+1,IF(NOT(ISBLANK(INDIRECT("template!"&amp;"P"&amp;A710+2))),A710+2,A710+3)),IF(A710=$AF$2,$AF$3,IF(A710=$AF$4,$AF$5,IF(A710=$AF$5,$AF$6,IF(A710=$AF$7,$AF$8,""))))))</f>
        <v>#REF!</v>
      </c>
      <c r="B711" t="e">
        <f t="shared" ca="1" si="63"/>
        <v>#REF!</v>
      </c>
      <c r="C711" t="e" cm="1">
        <f t="array" aca="1" ref="C711" ca="1">IF(A711="","",IF(B711="safety","safety costs",INDIRECT("template!"&amp;"B"&amp;A711)))</f>
        <v>#REF!</v>
      </c>
      <c r="D711" t="e" cm="1">
        <f t="array" aca="1" ref="D711" ca="1">IF(OR(A711="",B711="safety"),"",INDIRECT("template!"&amp;"C"&amp;A711))</f>
        <v>#REF!</v>
      </c>
      <c r="E711" t="e" cm="1">
        <f t="array" aca="1" ref="E711" ca="1">IF(A711="","",IF(OR(A711=A710+1,A711=A710+2),E710,INDIRECT("template!"&amp;"D"&amp;A711-2)))</f>
        <v>#REF!</v>
      </c>
      <c r="F711" t="e" cm="1">
        <f t="array" aca="1" ref="F711" ca="1">IF(OR(A711="",B711="safety"),"",IF(ISBLANK(IF(A711=A710+1,F710,INDIRECT("template!"&amp;"D"&amp;A711-1))),"",IF(A711=A710+1,F710,INDIRECT("template!"&amp;"D"&amp;A711-1))))</f>
        <v>#REF!</v>
      </c>
      <c r="G711" t="e" cm="1">
        <f t="array" aca="1" ref="G711" ca="1">IF(OR(A711="",B711="safety"),"",IF(ISBLANK(INDIRECT("template!"&amp;"D"&amp;A711)),"",INDIRECT("template!"&amp;"D"&amp;A711)))</f>
        <v>#REF!</v>
      </c>
      <c r="H711" t="e" cm="1">
        <f t="array" aca="1" ref="H711" ca="1">IF(OR(A711="",B711="safety"),"",IF(ISBLANK(INDIRECT("template!"&amp;"E"&amp;A711)),"",INDIRECT("template!"&amp;"E"&amp;A711)))</f>
        <v>#REF!</v>
      </c>
      <c r="I711" t="e" cm="1">
        <f t="array" aca="1" ref="I711" ca="1">IF(OR(A711="",B711="safety"),"",IF(ISBLANK(INDIRECT("template!"&amp;"F"&amp;A711)),"",INDIRECT("template!"&amp;"F"&amp;A711)))</f>
        <v>#REF!</v>
      </c>
      <c r="J711" t="e" cm="1">
        <f t="array" aca="1" ref="J711" ca="1">IF(OR(A711="",B711="safety"),"",IF(ISBLANK(INDIRECT("template!"&amp;"G"&amp;A711)),"",INDIRECT("template!"&amp;"G"&amp;A711)))</f>
        <v>#REF!</v>
      </c>
      <c r="K711" t="e" cm="1">
        <f t="array" aca="1" ref="K711" ca="1">IF(OR(A711="",B711="safety"),"",IF(ISBLANK(INDIRECT("template!"&amp;"H"&amp;A711)),"",INDIRECT("template!"&amp;"H"&amp;A711)))</f>
        <v>#REF!</v>
      </c>
      <c r="L711" t="e" cm="1">
        <f t="array" aca="1" ref="L711" ca="1">IF(OR(A711="",B711="safety"),"",INDIRECT("template!"&amp;"I"&amp;A711))</f>
        <v>#REF!</v>
      </c>
      <c r="M711" t="e" cm="1">
        <f t="array" aca="1" ref="M711" ca="1">IF(OR(A711="",B711="safety"),"",INDIRECT("template!"&amp;"J"&amp;A711))</f>
        <v>#REF!</v>
      </c>
      <c r="N711" t="e" cm="1">
        <f t="array" aca="1" ref="N711" ca="1">IF(OR(A711="",B711="safety"),"",IF(ISBLANK(INDIRECT("template!"&amp;"K"&amp;A711)),"",INDIRECT("template!"&amp;"K"&amp;A711)))</f>
        <v>#REF!</v>
      </c>
      <c r="O711" t="e" cm="1">
        <f t="array" aca="1" ref="O711" ca="1">IF(OR(A711="",B711="safety"),"",INDIRECT("template!"&amp;"L"&amp;A711))</f>
        <v>#REF!</v>
      </c>
      <c r="P711" t="e" cm="1">
        <f t="array" aca="1" ref="P711" ca="1">IF(OR(A711="",B711="safety"),"",INDIRECT("template!"&amp;"M"&amp;A711))</f>
        <v>#REF!</v>
      </c>
      <c r="Q711" t="e">
        <f t="shared" ca="1" si="64"/>
        <v>#REF!</v>
      </c>
      <c r="R711" t="e">
        <f t="shared" ca="1" si="65"/>
        <v>#REF!</v>
      </c>
      <c r="S711" t="e">
        <f t="shared" ca="1" si="66"/>
        <v>#REF!</v>
      </c>
      <c r="T711" t="e">
        <f t="shared" ca="1" si="67"/>
        <v>#REF!</v>
      </c>
      <c r="U711" t="e" cm="1">
        <f t="array" aca="1" ref="U711" ca="1">IF(A711="","",IF(E711="","",IF(B711="safety",INDIRECT("template!"&amp;"P"&amp;A711),Q711+R711)))</f>
        <v>#REF!</v>
      </c>
      <c r="V711" t="e" cm="1">
        <f t="array" aca="1" ref="V711" ca="1">IF(A711="","",IF(E711="","",IF(B711="safety",INDIRECT("template!"&amp;"P"&amp;A711),S711+T711)))</f>
        <v>#REF!</v>
      </c>
      <c r="W711" t="e">
        <f ca="1">IF(A711="","",IF(E711="","",#REF!))</f>
        <v>#REF!</v>
      </c>
      <c r="X711" t="e">
        <f ca="1">IF(A711="","",IF(E711="","",#REF!))</f>
        <v>#REF!</v>
      </c>
      <c r="Y711" s="39" t="e">
        <f ca="1">IF(A711="","",IF(E711="","",#REF!))</f>
        <v>#REF!</v>
      </c>
      <c r="Z711" t="e">
        <f ca="1">IF(A711="","",IF(E711="","",#REF!))</f>
        <v>#REF!</v>
      </c>
      <c r="AA711" t="e">
        <f ca="1">IF(A711="","",IF(E711="","",#REF!))</f>
        <v>#REF!</v>
      </c>
      <c r="AB711" t="e">
        <f ca="1">IF(A711="","",IF(E711="","",#REF!))</f>
        <v>#REF!</v>
      </c>
      <c r="AC711" t="e">
        <f t="shared" ca="1" si="68"/>
        <v>#REF!</v>
      </c>
    </row>
    <row r="712" spans="1:29" x14ac:dyDescent="0.35">
      <c r="A712" t="e" cm="1">
        <f t="array" aca="1" ref="A712" ca="1">IF(A711="","",IF(OR(AND(A711+1&gt;=$AF$1,A711+1&lt;=$AF$2),AND(A711+1&gt;=$AF$6,A711+1&lt;=$AF$7),AND(A711+1&gt;=$AF$3,A711+1&lt;=$AF$4),AND(A711+1&gt;=$AF$8,A711+1&lt;=$AF$9),A711+1=$AF$5),IF(NOT(ISBLANK(INDIRECT("template!"&amp;"P"&amp;A711+1))),A711+1,IF(NOT(ISBLANK(INDIRECT("template!"&amp;"P"&amp;A711+2))),A711+2,A711+3)),IF(A711=$AF$2,$AF$3,IF(A711=$AF$4,$AF$5,IF(A711=$AF$5,$AF$6,IF(A711=$AF$7,$AF$8,""))))))</f>
        <v>#REF!</v>
      </c>
      <c r="B712" t="e">
        <f t="shared" ca="1" si="63"/>
        <v>#REF!</v>
      </c>
      <c r="C712" t="e" cm="1">
        <f t="array" aca="1" ref="C712" ca="1">IF(A712="","",IF(B712="safety","safety costs",INDIRECT("template!"&amp;"B"&amp;A712)))</f>
        <v>#REF!</v>
      </c>
      <c r="D712" t="e" cm="1">
        <f t="array" aca="1" ref="D712" ca="1">IF(OR(A712="",B712="safety"),"",INDIRECT("template!"&amp;"C"&amp;A712))</f>
        <v>#REF!</v>
      </c>
      <c r="E712" t="e" cm="1">
        <f t="array" aca="1" ref="E712" ca="1">IF(A712="","",IF(OR(A712=A711+1,A712=A711+2),E711,INDIRECT("template!"&amp;"D"&amp;A712-2)))</f>
        <v>#REF!</v>
      </c>
      <c r="F712" t="e" cm="1">
        <f t="array" aca="1" ref="F712" ca="1">IF(OR(A712="",B712="safety"),"",IF(ISBLANK(IF(A712=A711+1,F711,INDIRECT("template!"&amp;"D"&amp;A712-1))),"",IF(A712=A711+1,F711,INDIRECT("template!"&amp;"D"&amp;A712-1))))</f>
        <v>#REF!</v>
      </c>
      <c r="G712" t="e" cm="1">
        <f t="array" aca="1" ref="G712" ca="1">IF(OR(A712="",B712="safety"),"",IF(ISBLANK(INDIRECT("template!"&amp;"D"&amp;A712)),"",INDIRECT("template!"&amp;"D"&amp;A712)))</f>
        <v>#REF!</v>
      </c>
      <c r="H712" t="e" cm="1">
        <f t="array" aca="1" ref="H712" ca="1">IF(OR(A712="",B712="safety"),"",IF(ISBLANK(INDIRECT("template!"&amp;"E"&amp;A712)),"",INDIRECT("template!"&amp;"E"&amp;A712)))</f>
        <v>#REF!</v>
      </c>
      <c r="I712" t="e" cm="1">
        <f t="array" aca="1" ref="I712" ca="1">IF(OR(A712="",B712="safety"),"",IF(ISBLANK(INDIRECT("template!"&amp;"F"&amp;A712)),"",INDIRECT("template!"&amp;"F"&amp;A712)))</f>
        <v>#REF!</v>
      </c>
      <c r="J712" t="e" cm="1">
        <f t="array" aca="1" ref="J712" ca="1">IF(OR(A712="",B712="safety"),"",IF(ISBLANK(INDIRECT("template!"&amp;"G"&amp;A712)),"",INDIRECT("template!"&amp;"G"&amp;A712)))</f>
        <v>#REF!</v>
      </c>
      <c r="K712" t="e" cm="1">
        <f t="array" aca="1" ref="K712" ca="1">IF(OR(A712="",B712="safety"),"",IF(ISBLANK(INDIRECT("template!"&amp;"H"&amp;A712)),"",INDIRECT("template!"&amp;"H"&amp;A712)))</f>
        <v>#REF!</v>
      </c>
      <c r="L712" t="e" cm="1">
        <f t="array" aca="1" ref="L712" ca="1">IF(OR(A712="",B712="safety"),"",INDIRECT("template!"&amp;"I"&amp;A712))</f>
        <v>#REF!</v>
      </c>
      <c r="M712" t="e" cm="1">
        <f t="array" aca="1" ref="M712" ca="1">IF(OR(A712="",B712="safety"),"",INDIRECT("template!"&amp;"J"&amp;A712))</f>
        <v>#REF!</v>
      </c>
      <c r="N712" t="e" cm="1">
        <f t="array" aca="1" ref="N712" ca="1">IF(OR(A712="",B712="safety"),"",IF(ISBLANK(INDIRECT("template!"&amp;"K"&amp;A712)),"",INDIRECT("template!"&amp;"K"&amp;A712)))</f>
        <v>#REF!</v>
      </c>
      <c r="O712" t="e" cm="1">
        <f t="array" aca="1" ref="O712" ca="1">IF(OR(A712="",B712="safety"),"",INDIRECT("template!"&amp;"L"&amp;A712))</f>
        <v>#REF!</v>
      </c>
      <c r="P712" t="e" cm="1">
        <f t="array" aca="1" ref="P712" ca="1">IF(OR(A712="",B712="safety"),"",INDIRECT("template!"&amp;"M"&amp;A712))</f>
        <v>#REF!</v>
      </c>
      <c r="Q712" t="e">
        <f t="shared" ca="1" si="64"/>
        <v>#REF!</v>
      </c>
      <c r="R712" t="e">
        <f t="shared" ca="1" si="65"/>
        <v>#REF!</v>
      </c>
      <c r="S712" t="e">
        <f t="shared" ca="1" si="66"/>
        <v>#REF!</v>
      </c>
      <c r="T712" t="e">
        <f t="shared" ca="1" si="67"/>
        <v>#REF!</v>
      </c>
      <c r="U712" t="e" cm="1">
        <f t="array" aca="1" ref="U712" ca="1">IF(A712="","",IF(E712="","",IF(B712="safety",INDIRECT("template!"&amp;"P"&amp;A712),Q712+R712)))</f>
        <v>#REF!</v>
      </c>
      <c r="V712" t="e" cm="1">
        <f t="array" aca="1" ref="V712" ca="1">IF(A712="","",IF(E712="","",IF(B712="safety",INDIRECT("template!"&amp;"P"&amp;A712),S712+T712)))</f>
        <v>#REF!</v>
      </c>
      <c r="W712" t="e">
        <f ca="1">IF(A712="","",IF(E712="","",#REF!))</f>
        <v>#REF!</v>
      </c>
      <c r="X712" t="e">
        <f ca="1">IF(A712="","",IF(E712="","",#REF!))</f>
        <v>#REF!</v>
      </c>
      <c r="Y712" s="39" t="e">
        <f ca="1">IF(A712="","",IF(E712="","",#REF!))</f>
        <v>#REF!</v>
      </c>
      <c r="Z712" t="e">
        <f ca="1">IF(A712="","",IF(E712="","",#REF!))</f>
        <v>#REF!</v>
      </c>
      <c r="AA712" t="e">
        <f ca="1">IF(A712="","",IF(E712="","",#REF!))</f>
        <v>#REF!</v>
      </c>
      <c r="AB712" t="e">
        <f ca="1">IF(A712="","",IF(E712="","",#REF!))</f>
        <v>#REF!</v>
      </c>
      <c r="AC712" t="e">
        <f t="shared" ca="1" si="68"/>
        <v>#REF!</v>
      </c>
    </row>
    <row r="713" spans="1:29" x14ac:dyDescent="0.35">
      <c r="A713" t="e" cm="1">
        <f t="array" aca="1" ref="A713" ca="1">IF(A712="","",IF(OR(AND(A712+1&gt;=$AF$1,A712+1&lt;=$AF$2),AND(A712+1&gt;=$AF$6,A712+1&lt;=$AF$7),AND(A712+1&gt;=$AF$3,A712+1&lt;=$AF$4),AND(A712+1&gt;=$AF$8,A712+1&lt;=$AF$9),A712+1=$AF$5),IF(NOT(ISBLANK(INDIRECT("template!"&amp;"P"&amp;A712+1))),A712+1,IF(NOT(ISBLANK(INDIRECT("template!"&amp;"P"&amp;A712+2))),A712+2,A712+3)),IF(A712=$AF$2,$AF$3,IF(A712=$AF$4,$AF$5,IF(A712=$AF$5,$AF$6,IF(A712=$AF$7,$AF$8,""))))))</f>
        <v>#REF!</v>
      </c>
      <c r="B713" t="e">
        <f t="shared" ca="1" si="63"/>
        <v>#REF!</v>
      </c>
      <c r="C713" t="e" cm="1">
        <f t="array" aca="1" ref="C713" ca="1">IF(A713="","",IF(B713="safety","safety costs",INDIRECT("template!"&amp;"B"&amp;A713)))</f>
        <v>#REF!</v>
      </c>
      <c r="D713" t="e" cm="1">
        <f t="array" aca="1" ref="D713" ca="1">IF(OR(A713="",B713="safety"),"",INDIRECT("template!"&amp;"C"&amp;A713))</f>
        <v>#REF!</v>
      </c>
      <c r="E713" t="e" cm="1">
        <f t="array" aca="1" ref="E713" ca="1">IF(A713="","",IF(OR(A713=A712+1,A713=A712+2),E712,INDIRECT("template!"&amp;"D"&amp;A713-2)))</f>
        <v>#REF!</v>
      </c>
      <c r="F713" t="e" cm="1">
        <f t="array" aca="1" ref="F713" ca="1">IF(OR(A713="",B713="safety"),"",IF(ISBLANK(IF(A713=A712+1,F712,INDIRECT("template!"&amp;"D"&amp;A713-1))),"",IF(A713=A712+1,F712,INDIRECT("template!"&amp;"D"&amp;A713-1))))</f>
        <v>#REF!</v>
      </c>
      <c r="G713" t="e" cm="1">
        <f t="array" aca="1" ref="G713" ca="1">IF(OR(A713="",B713="safety"),"",IF(ISBLANK(INDIRECT("template!"&amp;"D"&amp;A713)),"",INDIRECT("template!"&amp;"D"&amp;A713)))</f>
        <v>#REF!</v>
      </c>
      <c r="H713" t="e" cm="1">
        <f t="array" aca="1" ref="H713" ca="1">IF(OR(A713="",B713="safety"),"",IF(ISBLANK(INDIRECT("template!"&amp;"E"&amp;A713)),"",INDIRECT("template!"&amp;"E"&amp;A713)))</f>
        <v>#REF!</v>
      </c>
      <c r="I713" t="e" cm="1">
        <f t="array" aca="1" ref="I713" ca="1">IF(OR(A713="",B713="safety"),"",IF(ISBLANK(INDIRECT("template!"&amp;"F"&amp;A713)),"",INDIRECT("template!"&amp;"F"&amp;A713)))</f>
        <v>#REF!</v>
      </c>
      <c r="J713" t="e" cm="1">
        <f t="array" aca="1" ref="J713" ca="1">IF(OR(A713="",B713="safety"),"",IF(ISBLANK(INDIRECT("template!"&amp;"G"&amp;A713)),"",INDIRECT("template!"&amp;"G"&amp;A713)))</f>
        <v>#REF!</v>
      </c>
      <c r="K713" t="e" cm="1">
        <f t="array" aca="1" ref="K713" ca="1">IF(OR(A713="",B713="safety"),"",IF(ISBLANK(INDIRECT("template!"&amp;"H"&amp;A713)),"",INDIRECT("template!"&amp;"H"&amp;A713)))</f>
        <v>#REF!</v>
      </c>
      <c r="L713" t="e" cm="1">
        <f t="array" aca="1" ref="L713" ca="1">IF(OR(A713="",B713="safety"),"",INDIRECT("template!"&amp;"I"&amp;A713))</f>
        <v>#REF!</v>
      </c>
      <c r="M713" t="e" cm="1">
        <f t="array" aca="1" ref="M713" ca="1">IF(OR(A713="",B713="safety"),"",INDIRECT("template!"&amp;"J"&amp;A713))</f>
        <v>#REF!</v>
      </c>
      <c r="N713" t="e" cm="1">
        <f t="array" aca="1" ref="N713" ca="1">IF(OR(A713="",B713="safety"),"",IF(ISBLANK(INDIRECT("template!"&amp;"K"&amp;A713)),"",INDIRECT("template!"&amp;"K"&amp;A713)))</f>
        <v>#REF!</v>
      </c>
      <c r="O713" t="e" cm="1">
        <f t="array" aca="1" ref="O713" ca="1">IF(OR(A713="",B713="safety"),"",INDIRECT("template!"&amp;"L"&amp;A713))</f>
        <v>#REF!</v>
      </c>
      <c r="P713" t="e" cm="1">
        <f t="array" aca="1" ref="P713" ca="1">IF(OR(A713="",B713="safety"),"",INDIRECT("template!"&amp;"M"&amp;A713))</f>
        <v>#REF!</v>
      </c>
      <c r="Q713" t="e">
        <f t="shared" ca="1" si="64"/>
        <v>#REF!</v>
      </c>
      <c r="R713" t="e">
        <f t="shared" ca="1" si="65"/>
        <v>#REF!</v>
      </c>
      <c r="S713" t="e">
        <f t="shared" ca="1" si="66"/>
        <v>#REF!</v>
      </c>
      <c r="T713" t="e">
        <f t="shared" ca="1" si="67"/>
        <v>#REF!</v>
      </c>
      <c r="U713" t="e" cm="1">
        <f t="array" aca="1" ref="U713" ca="1">IF(A713="","",IF(E713="","",IF(B713="safety",INDIRECT("template!"&amp;"P"&amp;A713),Q713+R713)))</f>
        <v>#REF!</v>
      </c>
      <c r="V713" t="e" cm="1">
        <f t="array" aca="1" ref="V713" ca="1">IF(A713="","",IF(E713="","",IF(B713="safety",INDIRECT("template!"&amp;"P"&amp;A713),S713+T713)))</f>
        <v>#REF!</v>
      </c>
      <c r="W713" t="e">
        <f ca="1">IF(A713="","",IF(E713="","",#REF!))</f>
        <v>#REF!</v>
      </c>
      <c r="X713" t="e">
        <f ca="1">IF(A713="","",IF(E713="","",#REF!))</f>
        <v>#REF!</v>
      </c>
      <c r="Y713" s="39" t="e">
        <f ca="1">IF(A713="","",IF(E713="","",#REF!))</f>
        <v>#REF!</v>
      </c>
      <c r="Z713" t="e">
        <f ca="1">IF(A713="","",IF(E713="","",#REF!))</f>
        <v>#REF!</v>
      </c>
      <c r="AA713" t="e">
        <f ca="1">IF(A713="","",IF(E713="","",#REF!))</f>
        <v>#REF!</v>
      </c>
      <c r="AB713" t="e">
        <f ca="1">IF(A713="","",IF(E713="","",#REF!))</f>
        <v>#REF!</v>
      </c>
      <c r="AC713" t="e">
        <f t="shared" ca="1" si="68"/>
        <v>#REF!</v>
      </c>
    </row>
    <row r="714" spans="1:29" x14ac:dyDescent="0.35">
      <c r="A714" t="e" cm="1">
        <f t="array" aca="1" ref="A714" ca="1">IF(A713="","",IF(OR(AND(A713+1&gt;=$AF$1,A713+1&lt;=$AF$2),AND(A713+1&gt;=$AF$6,A713+1&lt;=$AF$7),AND(A713+1&gt;=$AF$3,A713+1&lt;=$AF$4),AND(A713+1&gt;=$AF$8,A713+1&lt;=$AF$9),A713+1=$AF$5),IF(NOT(ISBLANK(INDIRECT("template!"&amp;"P"&amp;A713+1))),A713+1,IF(NOT(ISBLANK(INDIRECT("template!"&amp;"P"&amp;A713+2))),A713+2,A713+3)),IF(A713=$AF$2,$AF$3,IF(A713=$AF$4,$AF$5,IF(A713=$AF$5,$AF$6,IF(A713=$AF$7,$AF$8,""))))))</f>
        <v>#REF!</v>
      </c>
      <c r="B714" t="e">
        <f t="shared" ca="1" si="63"/>
        <v>#REF!</v>
      </c>
      <c r="C714" t="e" cm="1">
        <f t="array" aca="1" ref="C714" ca="1">IF(A714="","",IF(B714="safety","safety costs",INDIRECT("template!"&amp;"B"&amp;A714)))</f>
        <v>#REF!</v>
      </c>
      <c r="D714" t="e" cm="1">
        <f t="array" aca="1" ref="D714" ca="1">IF(OR(A714="",B714="safety"),"",INDIRECT("template!"&amp;"C"&amp;A714))</f>
        <v>#REF!</v>
      </c>
      <c r="E714" t="e" cm="1">
        <f t="array" aca="1" ref="E714" ca="1">IF(A714="","",IF(OR(A714=A713+1,A714=A713+2),E713,INDIRECT("template!"&amp;"D"&amp;A714-2)))</f>
        <v>#REF!</v>
      </c>
      <c r="F714" t="e" cm="1">
        <f t="array" aca="1" ref="F714" ca="1">IF(OR(A714="",B714="safety"),"",IF(ISBLANK(IF(A714=A713+1,F713,INDIRECT("template!"&amp;"D"&amp;A714-1))),"",IF(A714=A713+1,F713,INDIRECT("template!"&amp;"D"&amp;A714-1))))</f>
        <v>#REF!</v>
      </c>
      <c r="G714" t="e" cm="1">
        <f t="array" aca="1" ref="G714" ca="1">IF(OR(A714="",B714="safety"),"",IF(ISBLANK(INDIRECT("template!"&amp;"D"&amp;A714)),"",INDIRECT("template!"&amp;"D"&amp;A714)))</f>
        <v>#REF!</v>
      </c>
      <c r="H714" t="e" cm="1">
        <f t="array" aca="1" ref="H714" ca="1">IF(OR(A714="",B714="safety"),"",IF(ISBLANK(INDIRECT("template!"&amp;"E"&amp;A714)),"",INDIRECT("template!"&amp;"E"&amp;A714)))</f>
        <v>#REF!</v>
      </c>
      <c r="I714" t="e" cm="1">
        <f t="array" aca="1" ref="I714" ca="1">IF(OR(A714="",B714="safety"),"",IF(ISBLANK(INDIRECT("template!"&amp;"F"&amp;A714)),"",INDIRECT("template!"&amp;"F"&amp;A714)))</f>
        <v>#REF!</v>
      </c>
      <c r="J714" t="e" cm="1">
        <f t="array" aca="1" ref="J714" ca="1">IF(OR(A714="",B714="safety"),"",IF(ISBLANK(INDIRECT("template!"&amp;"G"&amp;A714)),"",INDIRECT("template!"&amp;"G"&amp;A714)))</f>
        <v>#REF!</v>
      </c>
      <c r="K714" t="e" cm="1">
        <f t="array" aca="1" ref="K714" ca="1">IF(OR(A714="",B714="safety"),"",IF(ISBLANK(INDIRECT("template!"&amp;"H"&amp;A714)),"",INDIRECT("template!"&amp;"H"&amp;A714)))</f>
        <v>#REF!</v>
      </c>
      <c r="L714" t="e" cm="1">
        <f t="array" aca="1" ref="L714" ca="1">IF(OR(A714="",B714="safety"),"",INDIRECT("template!"&amp;"I"&amp;A714))</f>
        <v>#REF!</v>
      </c>
      <c r="M714" t="e" cm="1">
        <f t="array" aca="1" ref="M714" ca="1">IF(OR(A714="",B714="safety"),"",INDIRECT("template!"&amp;"J"&amp;A714))</f>
        <v>#REF!</v>
      </c>
      <c r="N714" t="e" cm="1">
        <f t="array" aca="1" ref="N714" ca="1">IF(OR(A714="",B714="safety"),"",IF(ISBLANK(INDIRECT("template!"&amp;"K"&amp;A714)),"",INDIRECT("template!"&amp;"K"&amp;A714)))</f>
        <v>#REF!</v>
      </c>
      <c r="O714" t="e" cm="1">
        <f t="array" aca="1" ref="O714" ca="1">IF(OR(A714="",B714="safety"),"",INDIRECT("template!"&amp;"L"&amp;A714))</f>
        <v>#REF!</v>
      </c>
      <c r="P714" t="e" cm="1">
        <f t="array" aca="1" ref="P714" ca="1">IF(OR(A714="",B714="safety"),"",INDIRECT("template!"&amp;"M"&amp;A714))</f>
        <v>#REF!</v>
      </c>
      <c r="Q714" t="e">
        <f t="shared" ca="1" si="64"/>
        <v>#REF!</v>
      </c>
      <c r="R714" t="e">
        <f t="shared" ca="1" si="65"/>
        <v>#REF!</v>
      </c>
      <c r="S714" t="e">
        <f t="shared" ca="1" si="66"/>
        <v>#REF!</v>
      </c>
      <c r="T714" t="e">
        <f t="shared" ca="1" si="67"/>
        <v>#REF!</v>
      </c>
      <c r="U714" t="e" cm="1">
        <f t="array" aca="1" ref="U714" ca="1">IF(A714="","",IF(E714="","",IF(B714="safety",INDIRECT("template!"&amp;"P"&amp;A714),Q714+R714)))</f>
        <v>#REF!</v>
      </c>
      <c r="V714" t="e" cm="1">
        <f t="array" aca="1" ref="V714" ca="1">IF(A714="","",IF(E714="","",IF(B714="safety",INDIRECT("template!"&amp;"P"&amp;A714),S714+T714)))</f>
        <v>#REF!</v>
      </c>
      <c r="W714" t="e">
        <f ca="1">IF(A714="","",IF(E714="","",#REF!))</f>
        <v>#REF!</v>
      </c>
      <c r="X714" t="e">
        <f ca="1">IF(A714="","",IF(E714="","",#REF!))</f>
        <v>#REF!</v>
      </c>
      <c r="Y714" s="39" t="e">
        <f ca="1">IF(A714="","",IF(E714="","",#REF!))</f>
        <v>#REF!</v>
      </c>
      <c r="Z714" t="e">
        <f ca="1">IF(A714="","",IF(E714="","",#REF!))</f>
        <v>#REF!</v>
      </c>
      <c r="AA714" t="e">
        <f ca="1">IF(A714="","",IF(E714="","",#REF!))</f>
        <v>#REF!</v>
      </c>
      <c r="AB714" t="e">
        <f ca="1">IF(A714="","",IF(E714="","",#REF!))</f>
        <v>#REF!</v>
      </c>
      <c r="AC714" t="e">
        <f t="shared" ca="1" si="68"/>
        <v>#REF!</v>
      </c>
    </row>
    <row r="715" spans="1:29" x14ac:dyDescent="0.35">
      <c r="A715" t="e" cm="1">
        <f t="array" aca="1" ref="A715" ca="1">IF(A714="","",IF(OR(AND(A714+1&gt;=$AF$1,A714+1&lt;=$AF$2),AND(A714+1&gt;=$AF$6,A714+1&lt;=$AF$7),AND(A714+1&gt;=$AF$3,A714+1&lt;=$AF$4),AND(A714+1&gt;=$AF$8,A714+1&lt;=$AF$9),A714+1=$AF$5),IF(NOT(ISBLANK(INDIRECT("template!"&amp;"P"&amp;A714+1))),A714+1,IF(NOT(ISBLANK(INDIRECT("template!"&amp;"P"&amp;A714+2))),A714+2,A714+3)),IF(A714=$AF$2,$AF$3,IF(A714=$AF$4,$AF$5,IF(A714=$AF$5,$AF$6,IF(A714=$AF$7,$AF$8,""))))))</f>
        <v>#REF!</v>
      </c>
      <c r="B715" t="e">
        <f t="shared" ca="1" si="63"/>
        <v>#REF!</v>
      </c>
      <c r="C715" t="e" cm="1">
        <f t="array" aca="1" ref="C715" ca="1">IF(A715="","",IF(B715="safety","safety costs",INDIRECT("template!"&amp;"B"&amp;A715)))</f>
        <v>#REF!</v>
      </c>
      <c r="D715" t="e" cm="1">
        <f t="array" aca="1" ref="D715" ca="1">IF(OR(A715="",B715="safety"),"",INDIRECT("template!"&amp;"C"&amp;A715))</f>
        <v>#REF!</v>
      </c>
      <c r="E715" t="e" cm="1">
        <f t="array" aca="1" ref="E715" ca="1">IF(A715="","",IF(OR(A715=A714+1,A715=A714+2),E714,INDIRECT("template!"&amp;"D"&amp;A715-2)))</f>
        <v>#REF!</v>
      </c>
      <c r="F715" t="e" cm="1">
        <f t="array" aca="1" ref="F715" ca="1">IF(OR(A715="",B715="safety"),"",IF(ISBLANK(IF(A715=A714+1,F714,INDIRECT("template!"&amp;"D"&amp;A715-1))),"",IF(A715=A714+1,F714,INDIRECT("template!"&amp;"D"&amp;A715-1))))</f>
        <v>#REF!</v>
      </c>
      <c r="G715" t="e" cm="1">
        <f t="array" aca="1" ref="G715" ca="1">IF(OR(A715="",B715="safety"),"",IF(ISBLANK(INDIRECT("template!"&amp;"D"&amp;A715)),"",INDIRECT("template!"&amp;"D"&amp;A715)))</f>
        <v>#REF!</v>
      </c>
      <c r="H715" t="e" cm="1">
        <f t="array" aca="1" ref="H715" ca="1">IF(OR(A715="",B715="safety"),"",IF(ISBLANK(INDIRECT("template!"&amp;"E"&amp;A715)),"",INDIRECT("template!"&amp;"E"&amp;A715)))</f>
        <v>#REF!</v>
      </c>
      <c r="I715" t="e" cm="1">
        <f t="array" aca="1" ref="I715" ca="1">IF(OR(A715="",B715="safety"),"",IF(ISBLANK(INDIRECT("template!"&amp;"F"&amp;A715)),"",INDIRECT("template!"&amp;"F"&amp;A715)))</f>
        <v>#REF!</v>
      </c>
      <c r="J715" t="e" cm="1">
        <f t="array" aca="1" ref="J715" ca="1">IF(OR(A715="",B715="safety"),"",IF(ISBLANK(INDIRECT("template!"&amp;"G"&amp;A715)),"",INDIRECT("template!"&amp;"G"&amp;A715)))</f>
        <v>#REF!</v>
      </c>
      <c r="K715" t="e" cm="1">
        <f t="array" aca="1" ref="K715" ca="1">IF(OR(A715="",B715="safety"),"",IF(ISBLANK(INDIRECT("template!"&amp;"H"&amp;A715)),"",INDIRECT("template!"&amp;"H"&amp;A715)))</f>
        <v>#REF!</v>
      </c>
      <c r="L715" t="e" cm="1">
        <f t="array" aca="1" ref="L715" ca="1">IF(OR(A715="",B715="safety"),"",INDIRECT("template!"&amp;"I"&amp;A715))</f>
        <v>#REF!</v>
      </c>
      <c r="M715" t="e" cm="1">
        <f t="array" aca="1" ref="M715" ca="1">IF(OR(A715="",B715="safety"),"",INDIRECT("template!"&amp;"J"&amp;A715))</f>
        <v>#REF!</v>
      </c>
      <c r="N715" t="e" cm="1">
        <f t="array" aca="1" ref="N715" ca="1">IF(OR(A715="",B715="safety"),"",IF(ISBLANK(INDIRECT("template!"&amp;"K"&amp;A715)),"",INDIRECT("template!"&amp;"K"&amp;A715)))</f>
        <v>#REF!</v>
      </c>
      <c r="O715" t="e" cm="1">
        <f t="array" aca="1" ref="O715" ca="1">IF(OR(A715="",B715="safety"),"",INDIRECT("template!"&amp;"L"&amp;A715))</f>
        <v>#REF!</v>
      </c>
      <c r="P715" t="e" cm="1">
        <f t="array" aca="1" ref="P715" ca="1">IF(OR(A715="",B715="safety"),"",INDIRECT("template!"&amp;"M"&amp;A715))</f>
        <v>#REF!</v>
      </c>
      <c r="Q715" t="e">
        <f t="shared" ca="1" si="64"/>
        <v>#REF!</v>
      </c>
      <c r="R715" t="e">
        <f t="shared" ca="1" si="65"/>
        <v>#REF!</v>
      </c>
      <c r="S715" t="e">
        <f t="shared" ca="1" si="66"/>
        <v>#REF!</v>
      </c>
      <c r="T715" t="e">
        <f t="shared" ca="1" si="67"/>
        <v>#REF!</v>
      </c>
      <c r="U715" t="e" cm="1">
        <f t="array" aca="1" ref="U715" ca="1">IF(A715="","",IF(E715="","",IF(B715="safety",INDIRECT("template!"&amp;"P"&amp;A715),Q715+R715)))</f>
        <v>#REF!</v>
      </c>
      <c r="V715" t="e" cm="1">
        <f t="array" aca="1" ref="V715" ca="1">IF(A715="","",IF(E715="","",IF(B715="safety",INDIRECT("template!"&amp;"P"&amp;A715),S715+T715)))</f>
        <v>#REF!</v>
      </c>
      <c r="W715" t="e">
        <f ca="1">IF(A715="","",IF(E715="","",#REF!))</f>
        <v>#REF!</v>
      </c>
      <c r="X715" t="e">
        <f ca="1">IF(A715="","",IF(E715="","",#REF!))</f>
        <v>#REF!</v>
      </c>
      <c r="Y715" s="39" t="e">
        <f ca="1">IF(A715="","",IF(E715="","",#REF!))</f>
        <v>#REF!</v>
      </c>
      <c r="Z715" t="e">
        <f ca="1">IF(A715="","",IF(E715="","",#REF!))</f>
        <v>#REF!</v>
      </c>
      <c r="AA715" t="e">
        <f ca="1">IF(A715="","",IF(E715="","",#REF!))</f>
        <v>#REF!</v>
      </c>
      <c r="AB715" t="e">
        <f ca="1">IF(A715="","",IF(E715="","",#REF!))</f>
        <v>#REF!</v>
      </c>
      <c r="AC715" t="e">
        <f t="shared" ca="1" si="68"/>
        <v>#REF!</v>
      </c>
    </row>
    <row r="716" spans="1:29" x14ac:dyDescent="0.35">
      <c r="A716" t="e" cm="1">
        <f t="array" aca="1" ref="A716" ca="1">IF(A715="","",IF(OR(AND(A715+1&gt;=$AF$1,A715+1&lt;=$AF$2),AND(A715+1&gt;=$AF$6,A715+1&lt;=$AF$7),AND(A715+1&gt;=$AF$3,A715+1&lt;=$AF$4),AND(A715+1&gt;=$AF$8,A715+1&lt;=$AF$9),A715+1=$AF$5),IF(NOT(ISBLANK(INDIRECT("template!"&amp;"P"&amp;A715+1))),A715+1,IF(NOT(ISBLANK(INDIRECT("template!"&amp;"P"&amp;A715+2))),A715+2,A715+3)),IF(A715=$AF$2,$AF$3,IF(A715=$AF$4,$AF$5,IF(A715=$AF$5,$AF$6,IF(A715=$AF$7,$AF$8,""))))))</f>
        <v>#REF!</v>
      </c>
      <c r="B716" t="e">
        <f t="shared" ca="1" si="63"/>
        <v>#REF!</v>
      </c>
      <c r="C716" t="e" cm="1">
        <f t="array" aca="1" ref="C716" ca="1">IF(A716="","",IF(B716="safety","safety costs",INDIRECT("template!"&amp;"B"&amp;A716)))</f>
        <v>#REF!</v>
      </c>
      <c r="D716" t="e" cm="1">
        <f t="array" aca="1" ref="D716" ca="1">IF(OR(A716="",B716="safety"),"",INDIRECT("template!"&amp;"C"&amp;A716))</f>
        <v>#REF!</v>
      </c>
      <c r="E716" t="e" cm="1">
        <f t="array" aca="1" ref="E716" ca="1">IF(A716="","",IF(OR(A716=A715+1,A716=A715+2),E715,INDIRECT("template!"&amp;"D"&amp;A716-2)))</f>
        <v>#REF!</v>
      </c>
      <c r="F716" t="e" cm="1">
        <f t="array" aca="1" ref="F716" ca="1">IF(OR(A716="",B716="safety"),"",IF(ISBLANK(IF(A716=A715+1,F715,INDIRECT("template!"&amp;"D"&amp;A716-1))),"",IF(A716=A715+1,F715,INDIRECT("template!"&amp;"D"&amp;A716-1))))</f>
        <v>#REF!</v>
      </c>
      <c r="G716" t="e" cm="1">
        <f t="array" aca="1" ref="G716" ca="1">IF(OR(A716="",B716="safety"),"",IF(ISBLANK(INDIRECT("template!"&amp;"D"&amp;A716)),"",INDIRECT("template!"&amp;"D"&amp;A716)))</f>
        <v>#REF!</v>
      </c>
      <c r="H716" t="e" cm="1">
        <f t="array" aca="1" ref="H716" ca="1">IF(OR(A716="",B716="safety"),"",IF(ISBLANK(INDIRECT("template!"&amp;"E"&amp;A716)),"",INDIRECT("template!"&amp;"E"&amp;A716)))</f>
        <v>#REF!</v>
      </c>
      <c r="I716" t="e" cm="1">
        <f t="array" aca="1" ref="I716" ca="1">IF(OR(A716="",B716="safety"),"",IF(ISBLANK(INDIRECT("template!"&amp;"F"&amp;A716)),"",INDIRECT("template!"&amp;"F"&amp;A716)))</f>
        <v>#REF!</v>
      </c>
      <c r="J716" t="e" cm="1">
        <f t="array" aca="1" ref="J716" ca="1">IF(OR(A716="",B716="safety"),"",IF(ISBLANK(INDIRECT("template!"&amp;"G"&amp;A716)),"",INDIRECT("template!"&amp;"G"&amp;A716)))</f>
        <v>#REF!</v>
      </c>
      <c r="K716" t="e" cm="1">
        <f t="array" aca="1" ref="K716" ca="1">IF(OR(A716="",B716="safety"),"",IF(ISBLANK(INDIRECT("template!"&amp;"H"&amp;A716)),"",INDIRECT("template!"&amp;"H"&amp;A716)))</f>
        <v>#REF!</v>
      </c>
      <c r="L716" t="e" cm="1">
        <f t="array" aca="1" ref="L716" ca="1">IF(OR(A716="",B716="safety"),"",INDIRECT("template!"&amp;"I"&amp;A716))</f>
        <v>#REF!</v>
      </c>
      <c r="M716" t="e" cm="1">
        <f t="array" aca="1" ref="M716" ca="1">IF(OR(A716="",B716="safety"),"",INDIRECT("template!"&amp;"J"&amp;A716))</f>
        <v>#REF!</v>
      </c>
      <c r="N716" t="e" cm="1">
        <f t="array" aca="1" ref="N716" ca="1">IF(OR(A716="",B716="safety"),"",IF(ISBLANK(INDIRECT("template!"&amp;"K"&amp;A716)),"",INDIRECT("template!"&amp;"K"&amp;A716)))</f>
        <v>#REF!</v>
      </c>
      <c r="O716" t="e" cm="1">
        <f t="array" aca="1" ref="O716" ca="1">IF(OR(A716="",B716="safety"),"",INDIRECT("template!"&amp;"L"&amp;A716))</f>
        <v>#REF!</v>
      </c>
      <c r="P716" t="e" cm="1">
        <f t="array" aca="1" ref="P716" ca="1">IF(OR(A716="",B716="safety"),"",INDIRECT("template!"&amp;"M"&amp;A716))</f>
        <v>#REF!</v>
      </c>
      <c r="Q716" t="e">
        <f t="shared" ca="1" si="64"/>
        <v>#REF!</v>
      </c>
      <c r="R716" t="e">
        <f t="shared" ca="1" si="65"/>
        <v>#REF!</v>
      </c>
      <c r="S716" t="e">
        <f t="shared" ca="1" si="66"/>
        <v>#REF!</v>
      </c>
      <c r="T716" t="e">
        <f t="shared" ca="1" si="67"/>
        <v>#REF!</v>
      </c>
      <c r="U716" t="e" cm="1">
        <f t="array" aca="1" ref="U716" ca="1">IF(A716="","",IF(E716="","",IF(B716="safety",INDIRECT("template!"&amp;"P"&amp;A716),Q716+R716)))</f>
        <v>#REF!</v>
      </c>
      <c r="V716" t="e" cm="1">
        <f t="array" aca="1" ref="V716" ca="1">IF(A716="","",IF(E716="","",IF(B716="safety",INDIRECT("template!"&amp;"P"&amp;A716),S716+T716)))</f>
        <v>#REF!</v>
      </c>
      <c r="W716" t="e">
        <f ca="1">IF(A716="","",IF(E716="","",#REF!))</f>
        <v>#REF!</v>
      </c>
      <c r="X716" t="e">
        <f ca="1">IF(A716="","",IF(E716="","",#REF!))</f>
        <v>#REF!</v>
      </c>
      <c r="Y716" s="39" t="e">
        <f ca="1">IF(A716="","",IF(E716="","",#REF!))</f>
        <v>#REF!</v>
      </c>
      <c r="Z716" t="e">
        <f ca="1">IF(A716="","",IF(E716="","",#REF!))</f>
        <v>#REF!</v>
      </c>
      <c r="AA716" t="e">
        <f ca="1">IF(A716="","",IF(E716="","",#REF!))</f>
        <v>#REF!</v>
      </c>
      <c r="AB716" t="e">
        <f ca="1">IF(A716="","",IF(E716="","",#REF!))</f>
        <v>#REF!</v>
      </c>
      <c r="AC716" t="e">
        <f t="shared" ca="1" si="68"/>
        <v>#REF!</v>
      </c>
    </row>
    <row r="717" spans="1:29" x14ac:dyDescent="0.35">
      <c r="A717" t="e" cm="1">
        <f t="array" aca="1" ref="A717" ca="1">IF(A716="","",IF(OR(AND(A716+1&gt;=$AF$1,A716+1&lt;=$AF$2),AND(A716+1&gt;=$AF$6,A716+1&lt;=$AF$7),AND(A716+1&gt;=$AF$3,A716+1&lt;=$AF$4),AND(A716+1&gt;=$AF$8,A716+1&lt;=$AF$9),A716+1=$AF$5),IF(NOT(ISBLANK(INDIRECT("template!"&amp;"P"&amp;A716+1))),A716+1,IF(NOT(ISBLANK(INDIRECT("template!"&amp;"P"&amp;A716+2))),A716+2,A716+3)),IF(A716=$AF$2,$AF$3,IF(A716=$AF$4,$AF$5,IF(A716=$AF$5,$AF$6,IF(A716=$AF$7,$AF$8,""))))))</f>
        <v>#REF!</v>
      </c>
      <c r="B717" t="e">
        <f t="shared" ca="1" si="63"/>
        <v>#REF!</v>
      </c>
      <c r="C717" t="e" cm="1">
        <f t="array" aca="1" ref="C717" ca="1">IF(A717="","",IF(B717="safety","safety costs",INDIRECT("template!"&amp;"B"&amp;A717)))</f>
        <v>#REF!</v>
      </c>
      <c r="D717" t="e" cm="1">
        <f t="array" aca="1" ref="D717" ca="1">IF(OR(A717="",B717="safety"),"",INDIRECT("template!"&amp;"C"&amp;A717))</f>
        <v>#REF!</v>
      </c>
      <c r="E717" t="e" cm="1">
        <f t="array" aca="1" ref="E717" ca="1">IF(A717="","",IF(OR(A717=A716+1,A717=A716+2),E716,INDIRECT("template!"&amp;"D"&amp;A717-2)))</f>
        <v>#REF!</v>
      </c>
      <c r="F717" t="e" cm="1">
        <f t="array" aca="1" ref="F717" ca="1">IF(OR(A717="",B717="safety"),"",IF(ISBLANK(IF(A717=A716+1,F716,INDIRECT("template!"&amp;"D"&amp;A717-1))),"",IF(A717=A716+1,F716,INDIRECT("template!"&amp;"D"&amp;A717-1))))</f>
        <v>#REF!</v>
      </c>
      <c r="G717" t="e" cm="1">
        <f t="array" aca="1" ref="G717" ca="1">IF(OR(A717="",B717="safety"),"",IF(ISBLANK(INDIRECT("template!"&amp;"D"&amp;A717)),"",INDIRECT("template!"&amp;"D"&amp;A717)))</f>
        <v>#REF!</v>
      </c>
      <c r="H717" t="e" cm="1">
        <f t="array" aca="1" ref="H717" ca="1">IF(OR(A717="",B717="safety"),"",IF(ISBLANK(INDIRECT("template!"&amp;"E"&amp;A717)),"",INDIRECT("template!"&amp;"E"&amp;A717)))</f>
        <v>#REF!</v>
      </c>
      <c r="I717" t="e" cm="1">
        <f t="array" aca="1" ref="I717" ca="1">IF(OR(A717="",B717="safety"),"",IF(ISBLANK(INDIRECT("template!"&amp;"F"&amp;A717)),"",INDIRECT("template!"&amp;"F"&amp;A717)))</f>
        <v>#REF!</v>
      </c>
      <c r="J717" t="e" cm="1">
        <f t="array" aca="1" ref="J717" ca="1">IF(OR(A717="",B717="safety"),"",IF(ISBLANK(INDIRECT("template!"&amp;"G"&amp;A717)),"",INDIRECT("template!"&amp;"G"&amp;A717)))</f>
        <v>#REF!</v>
      </c>
      <c r="K717" t="e" cm="1">
        <f t="array" aca="1" ref="K717" ca="1">IF(OR(A717="",B717="safety"),"",IF(ISBLANK(INDIRECT("template!"&amp;"H"&amp;A717)),"",INDIRECT("template!"&amp;"H"&amp;A717)))</f>
        <v>#REF!</v>
      </c>
      <c r="L717" t="e" cm="1">
        <f t="array" aca="1" ref="L717" ca="1">IF(OR(A717="",B717="safety"),"",INDIRECT("template!"&amp;"I"&amp;A717))</f>
        <v>#REF!</v>
      </c>
      <c r="M717" t="e" cm="1">
        <f t="array" aca="1" ref="M717" ca="1">IF(OR(A717="",B717="safety"),"",INDIRECT("template!"&amp;"J"&amp;A717))</f>
        <v>#REF!</v>
      </c>
      <c r="N717" t="e" cm="1">
        <f t="array" aca="1" ref="N717" ca="1">IF(OR(A717="",B717="safety"),"",IF(ISBLANK(INDIRECT("template!"&amp;"K"&amp;A717)),"",INDIRECT("template!"&amp;"K"&amp;A717)))</f>
        <v>#REF!</v>
      </c>
      <c r="O717" t="e" cm="1">
        <f t="array" aca="1" ref="O717" ca="1">IF(OR(A717="",B717="safety"),"",INDIRECT("template!"&amp;"L"&amp;A717))</f>
        <v>#REF!</v>
      </c>
      <c r="P717" t="e" cm="1">
        <f t="array" aca="1" ref="P717" ca="1">IF(OR(A717="",B717="safety"),"",INDIRECT("template!"&amp;"M"&amp;A717))</f>
        <v>#REF!</v>
      </c>
      <c r="Q717" t="e">
        <f t="shared" ca="1" si="64"/>
        <v>#REF!</v>
      </c>
      <c r="R717" t="e">
        <f t="shared" ca="1" si="65"/>
        <v>#REF!</v>
      </c>
      <c r="S717" t="e">
        <f t="shared" ca="1" si="66"/>
        <v>#REF!</v>
      </c>
      <c r="T717" t="e">
        <f t="shared" ca="1" si="67"/>
        <v>#REF!</v>
      </c>
      <c r="U717" t="e" cm="1">
        <f t="array" aca="1" ref="U717" ca="1">IF(A717="","",IF(E717="","",IF(B717="safety",INDIRECT("template!"&amp;"P"&amp;A717),Q717+R717)))</f>
        <v>#REF!</v>
      </c>
      <c r="V717" t="e" cm="1">
        <f t="array" aca="1" ref="V717" ca="1">IF(A717="","",IF(E717="","",IF(B717="safety",INDIRECT("template!"&amp;"P"&amp;A717),S717+T717)))</f>
        <v>#REF!</v>
      </c>
      <c r="W717" t="e">
        <f ca="1">IF(A717="","",IF(E717="","",#REF!))</f>
        <v>#REF!</v>
      </c>
      <c r="X717" t="e">
        <f ca="1">IF(A717="","",IF(E717="","",#REF!))</f>
        <v>#REF!</v>
      </c>
      <c r="Y717" s="39" t="e">
        <f ca="1">IF(A717="","",IF(E717="","",#REF!))</f>
        <v>#REF!</v>
      </c>
      <c r="Z717" t="e">
        <f ca="1">IF(A717="","",IF(E717="","",#REF!))</f>
        <v>#REF!</v>
      </c>
      <c r="AA717" t="e">
        <f ca="1">IF(A717="","",IF(E717="","",#REF!))</f>
        <v>#REF!</v>
      </c>
      <c r="AB717" t="e">
        <f ca="1">IF(A717="","",IF(E717="","",#REF!))</f>
        <v>#REF!</v>
      </c>
      <c r="AC717" t="e">
        <f t="shared" ca="1" si="68"/>
        <v>#REF!</v>
      </c>
    </row>
    <row r="718" spans="1:29" x14ac:dyDescent="0.35">
      <c r="A718" t="e" cm="1">
        <f t="array" aca="1" ref="A718" ca="1">IF(A717="","",IF(OR(AND(A717+1&gt;=$AF$1,A717+1&lt;=$AF$2),AND(A717+1&gt;=$AF$6,A717+1&lt;=$AF$7),AND(A717+1&gt;=$AF$3,A717+1&lt;=$AF$4),AND(A717+1&gt;=$AF$8,A717+1&lt;=$AF$9),A717+1=$AF$5),IF(NOT(ISBLANK(INDIRECT("template!"&amp;"P"&amp;A717+1))),A717+1,IF(NOT(ISBLANK(INDIRECT("template!"&amp;"P"&amp;A717+2))),A717+2,A717+3)),IF(A717=$AF$2,$AF$3,IF(A717=$AF$4,$AF$5,IF(A717=$AF$5,$AF$6,IF(A717=$AF$7,$AF$8,""))))))</f>
        <v>#REF!</v>
      </c>
      <c r="B718" t="e">
        <f t="shared" ca="1" si="63"/>
        <v>#REF!</v>
      </c>
      <c r="C718" t="e" cm="1">
        <f t="array" aca="1" ref="C718" ca="1">IF(A718="","",IF(B718="safety","safety costs",INDIRECT("template!"&amp;"B"&amp;A718)))</f>
        <v>#REF!</v>
      </c>
      <c r="D718" t="e" cm="1">
        <f t="array" aca="1" ref="D718" ca="1">IF(OR(A718="",B718="safety"),"",INDIRECT("template!"&amp;"C"&amp;A718))</f>
        <v>#REF!</v>
      </c>
      <c r="E718" t="e" cm="1">
        <f t="array" aca="1" ref="E718" ca="1">IF(A718="","",IF(OR(A718=A717+1,A718=A717+2),E717,INDIRECT("template!"&amp;"D"&amp;A718-2)))</f>
        <v>#REF!</v>
      </c>
      <c r="F718" t="e" cm="1">
        <f t="array" aca="1" ref="F718" ca="1">IF(OR(A718="",B718="safety"),"",IF(ISBLANK(IF(A718=A717+1,F717,INDIRECT("template!"&amp;"D"&amp;A718-1))),"",IF(A718=A717+1,F717,INDIRECT("template!"&amp;"D"&amp;A718-1))))</f>
        <v>#REF!</v>
      </c>
      <c r="G718" t="e" cm="1">
        <f t="array" aca="1" ref="G718" ca="1">IF(OR(A718="",B718="safety"),"",IF(ISBLANK(INDIRECT("template!"&amp;"D"&amp;A718)),"",INDIRECT("template!"&amp;"D"&amp;A718)))</f>
        <v>#REF!</v>
      </c>
      <c r="H718" t="e" cm="1">
        <f t="array" aca="1" ref="H718" ca="1">IF(OR(A718="",B718="safety"),"",IF(ISBLANK(INDIRECT("template!"&amp;"E"&amp;A718)),"",INDIRECT("template!"&amp;"E"&amp;A718)))</f>
        <v>#REF!</v>
      </c>
      <c r="I718" t="e" cm="1">
        <f t="array" aca="1" ref="I718" ca="1">IF(OR(A718="",B718="safety"),"",IF(ISBLANK(INDIRECT("template!"&amp;"F"&amp;A718)),"",INDIRECT("template!"&amp;"F"&amp;A718)))</f>
        <v>#REF!</v>
      </c>
      <c r="J718" t="e" cm="1">
        <f t="array" aca="1" ref="J718" ca="1">IF(OR(A718="",B718="safety"),"",IF(ISBLANK(INDIRECT("template!"&amp;"G"&amp;A718)),"",INDIRECT("template!"&amp;"G"&amp;A718)))</f>
        <v>#REF!</v>
      </c>
      <c r="K718" t="e" cm="1">
        <f t="array" aca="1" ref="K718" ca="1">IF(OR(A718="",B718="safety"),"",IF(ISBLANK(INDIRECT("template!"&amp;"H"&amp;A718)),"",INDIRECT("template!"&amp;"H"&amp;A718)))</f>
        <v>#REF!</v>
      </c>
      <c r="L718" t="e" cm="1">
        <f t="array" aca="1" ref="L718" ca="1">IF(OR(A718="",B718="safety"),"",INDIRECT("template!"&amp;"I"&amp;A718))</f>
        <v>#REF!</v>
      </c>
      <c r="M718" t="e" cm="1">
        <f t="array" aca="1" ref="M718" ca="1">IF(OR(A718="",B718="safety"),"",INDIRECT("template!"&amp;"J"&amp;A718))</f>
        <v>#REF!</v>
      </c>
      <c r="N718" t="e" cm="1">
        <f t="array" aca="1" ref="N718" ca="1">IF(OR(A718="",B718="safety"),"",IF(ISBLANK(INDIRECT("template!"&amp;"K"&amp;A718)),"",INDIRECT("template!"&amp;"K"&amp;A718)))</f>
        <v>#REF!</v>
      </c>
      <c r="O718" t="e" cm="1">
        <f t="array" aca="1" ref="O718" ca="1">IF(OR(A718="",B718="safety"),"",INDIRECT("template!"&amp;"L"&amp;A718))</f>
        <v>#REF!</v>
      </c>
      <c r="P718" t="e" cm="1">
        <f t="array" aca="1" ref="P718" ca="1">IF(OR(A718="",B718="safety"),"",INDIRECT("template!"&amp;"M"&amp;A718))</f>
        <v>#REF!</v>
      </c>
      <c r="Q718" t="e">
        <f t="shared" ca="1" si="64"/>
        <v>#REF!</v>
      </c>
      <c r="R718" t="e">
        <f t="shared" ca="1" si="65"/>
        <v>#REF!</v>
      </c>
      <c r="S718" t="e">
        <f t="shared" ca="1" si="66"/>
        <v>#REF!</v>
      </c>
      <c r="T718" t="e">
        <f t="shared" ca="1" si="67"/>
        <v>#REF!</v>
      </c>
      <c r="U718" t="e" cm="1">
        <f t="array" aca="1" ref="U718" ca="1">IF(A718="","",IF(E718="","",IF(B718="safety",INDIRECT("template!"&amp;"P"&amp;A718),Q718+R718)))</f>
        <v>#REF!</v>
      </c>
      <c r="V718" t="e" cm="1">
        <f t="array" aca="1" ref="V718" ca="1">IF(A718="","",IF(E718="","",IF(B718="safety",INDIRECT("template!"&amp;"P"&amp;A718),S718+T718)))</f>
        <v>#REF!</v>
      </c>
      <c r="W718" t="e">
        <f ca="1">IF(A718="","",IF(E718="","",#REF!))</f>
        <v>#REF!</v>
      </c>
      <c r="X718" t="e">
        <f ca="1">IF(A718="","",IF(E718="","",#REF!))</f>
        <v>#REF!</v>
      </c>
      <c r="Y718" s="39" t="e">
        <f ca="1">IF(A718="","",IF(E718="","",#REF!))</f>
        <v>#REF!</v>
      </c>
      <c r="Z718" t="e">
        <f ca="1">IF(A718="","",IF(E718="","",#REF!))</f>
        <v>#REF!</v>
      </c>
      <c r="AA718" t="e">
        <f ca="1">IF(A718="","",IF(E718="","",#REF!))</f>
        <v>#REF!</v>
      </c>
      <c r="AB718" t="e">
        <f ca="1">IF(A718="","",IF(E718="","",#REF!))</f>
        <v>#REF!</v>
      </c>
      <c r="AC718" t="e">
        <f t="shared" ca="1" si="68"/>
        <v>#REF!</v>
      </c>
    </row>
    <row r="719" spans="1:29" x14ac:dyDescent="0.35">
      <c r="A719" t="e" cm="1">
        <f t="array" aca="1" ref="A719" ca="1">IF(A718="","",IF(OR(AND(A718+1&gt;=$AF$1,A718+1&lt;=$AF$2),AND(A718+1&gt;=$AF$6,A718+1&lt;=$AF$7),AND(A718+1&gt;=$AF$3,A718+1&lt;=$AF$4),AND(A718+1&gt;=$AF$8,A718+1&lt;=$AF$9),A718+1=$AF$5),IF(NOT(ISBLANK(INDIRECT("template!"&amp;"P"&amp;A718+1))),A718+1,IF(NOT(ISBLANK(INDIRECT("template!"&amp;"P"&amp;A718+2))),A718+2,A718+3)),IF(A718=$AF$2,$AF$3,IF(A718=$AF$4,$AF$5,IF(A718=$AF$5,$AF$6,IF(A718=$AF$7,$AF$8,""))))))</f>
        <v>#REF!</v>
      </c>
      <c r="B719" t="e">
        <f t="shared" ca="1" si="63"/>
        <v>#REF!</v>
      </c>
      <c r="C719" t="e" cm="1">
        <f t="array" aca="1" ref="C719" ca="1">IF(A719="","",IF(B719="safety","safety costs",INDIRECT("template!"&amp;"B"&amp;A719)))</f>
        <v>#REF!</v>
      </c>
      <c r="D719" t="e" cm="1">
        <f t="array" aca="1" ref="D719" ca="1">IF(OR(A719="",B719="safety"),"",INDIRECT("template!"&amp;"C"&amp;A719))</f>
        <v>#REF!</v>
      </c>
      <c r="E719" t="e" cm="1">
        <f t="array" aca="1" ref="E719" ca="1">IF(A719="","",IF(OR(A719=A718+1,A719=A718+2),E718,INDIRECT("template!"&amp;"D"&amp;A719-2)))</f>
        <v>#REF!</v>
      </c>
      <c r="F719" t="e" cm="1">
        <f t="array" aca="1" ref="F719" ca="1">IF(OR(A719="",B719="safety"),"",IF(ISBLANK(IF(A719=A718+1,F718,INDIRECT("template!"&amp;"D"&amp;A719-1))),"",IF(A719=A718+1,F718,INDIRECT("template!"&amp;"D"&amp;A719-1))))</f>
        <v>#REF!</v>
      </c>
      <c r="G719" t="e" cm="1">
        <f t="array" aca="1" ref="G719" ca="1">IF(OR(A719="",B719="safety"),"",IF(ISBLANK(INDIRECT("template!"&amp;"D"&amp;A719)),"",INDIRECT("template!"&amp;"D"&amp;A719)))</f>
        <v>#REF!</v>
      </c>
      <c r="H719" t="e" cm="1">
        <f t="array" aca="1" ref="H719" ca="1">IF(OR(A719="",B719="safety"),"",IF(ISBLANK(INDIRECT("template!"&amp;"E"&amp;A719)),"",INDIRECT("template!"&amp;"E"&amp;A719)))</f>
        <v>#REF!</v>
      </c>
      <c r="I719" t="e" cm="1">
        <f t="array" aca="1" ref="I719" ca="1">IF(OR(A719="",B719="safety"),"",IF(ISBLANK(INDIRECT("template!"&amp;"F"&amp;A719)),"",INDIRECT("template!"&amp;"F"&amp;A719)))</f>
        <v>#REF!</v>
      </c>
      <c r="J719" t="e" cm="1">
        <f t="array" aca="1" ref="J719" ca="1">IF(OR(A719="",B719="safety"),"",IF(ISBLANK(INDIRECT("template!"&amp;"G"&amp;A719)),"",INDIRECT("template!"&amp;"G"&amp;A719)))</f>
        <v>#REF!</v>
      </c>
      <c r="K719" t="e" cm="1">
        <f t="array" aca="1" ref="K719" ca="1">IF(OR(A719="",B719="safety"),"",IF(ISBLANK(INDIRECT("template!"&amp;"H"&amp;A719)),"",INDIRECT("template!"&amp;"H"&amp;A719)))</f>
        <v>#REF!</v>
      </c>
      <c r="L719" t="e" cm="1">
        <f t="array" aca="1" ref="L719" ca="1">IF(OR(A719="",B719="safety"),"",INDIRECT("template!"&amp;"I"&amp;A719))</f>
        <v>#REF!</v>
      </c>
      <c r="M719" t="e" cm="1">
        <f t="array" aca="1" ref="M719" ca="1">IF(OR(A719="",B719="safety"),"",INDIRECT("template!"&amp;"J"&amp;A719))</f>
        <v>#REF!</v>
      </c>
      <c r="N719" t="e" cm="1">
        <f t="array" aca="1" ref="N719" ca="1">IF(OR(A719="",B719="safety"),"",IF(ISBLANK(INDIRECT("template!"&amp;"K"&amp;A719)),"",INDIRECT("template!"&amp;"K"&amp;A719)))</f>
        <v>#REF!</v>
      </c>
      <c r="O719" t="e" cm="1">
        <f t="array" aca="1" ref="O719" ca="1">IF(OR(A719="",B719="safety"),"",INDIRECT("template!"&amp;"L"&amp;A719))</f>
        <v>#REF!</v>
      </c>
      <c r="P719" t="e" cm="1">
        <f t="array" aca="1" ref="P719" ca="1">IF(OR(A719="",B719="safety"),"",INDIRECT("template!"&amp;"M"&amp;A719))</f>
        <v>#REF!</v>
      </c>
      <c r="Q719" t="e">
        <f t="shared" ca="1" si="64"/>
        <v>#REF!</v>
      </c>
      <c r="R719" t="e">
        <f t="shared" ca="1" si="65"/>
        <v>#REF!</v>
      </c>
      <c r="S719" t="e">
        <f t="shared" ca="1" si="66"/>
        <v>#REF!</v>
      </c>
      <c r="T719" t="e">
        <f t="shared" ca="1" si="67"/>
        <v>#REF!</v>
      </c>
      <c r="U719" t="e" cm="1">
        <f t="array" aca="1" ref="U719" ca="1">IF(A719="","",IF(E719="","",IF(B719="safety",INDIRECT("template!"&amp;"P"&amp;A719),Q719+R719)))</f>
        <v>#REF!</v>
      </c>
      <c r="V719" t="e" cm="1">
        <f t="array" aca="1" ref="V719" ca="1">IF(A719="","",IF(E719="","",IF(B719="safety",INDIRECT("template!"&amp;"P"&amp;A719),S719+T719)))</f>
        <v>#REF!</v>
      </c>
      <c r="W719" t="e">
        <f ca="1">IF(A719="","",IF(E719="","",#REF!))</f>
        <v>#REF!</v>
      </c>
      <c r="X719" t="e">
        <f ca="1">IF(A719="","",IF(E719="","",#REF!))</f>
        <v>#REF!</v>
      </c>
      <c r="Y719" s="39" t="e">
        <f ca="1">IF(A719="","",IF(E719="","",#REF!))</f>
        <v>#REF!</v>
      </c>
      <c r="Z719" t="e">
        <f ca="1">IF(A719="","",IF(E719="","",#REF!))</f>
        <v>#REF!</v>
      </c>
      <c r="AA719" t="e">
        <f ca="1">IF(A719="","",IF(E719="","",#REF!))</f>
        <v>#REF!</v>
      </c>
      <c r="AB719" t="e">
        <f ca="1">IF(A719="","",IF(E719="","",#REF!))</f>
        <v>#REF!</v>
      </c>
      <c r="AC719" t="e">
        <f t="shared" ca="1" si="68"/>
        <v>#REF!</v>
      </c>
    </row>
    <row r="720" spans="1:29" x14ac:dyDescent="0.35">
      <c r="A720" t="e" cm="1">
        <f t="array" aca="1" ref="A720" ca="1">IF(A719="","",IF(OR(AND(A719+1&gt;=$AF$1,A719+1&lt;=$AF$2),AND(A719+1&gt;=$AF$6,A719+1&lt;=$AF$7),AND(A719+1&gt;=$AF$3,A719+1&lt;=$AF$4),AND(A719+1&gt;=$AF$8,A719+1&lt;=$AF$9),A719+1=$AF$5),IF(NOT(ISBLANK(INDIRECT("template!"&amp;"P"&amp;A719+1))),A719+1,IF(NOT(ISBLANK(INDIRECT("template!"&amp;"P"&amp;A719+2))),A719+2,A719+3)),IF(A719=$AF$2,$AF$3,IF(A719=$AF$4,$AF$5,IF(A719=$AF$5,$AF$6,IF(A719=$AF$7,$AF$8,""))))))</f>
        <v>#REF!</v>
      </c>
      <c r="B720" t="e">
        <f t="shared" ca="1" si="63"/>
        <v>#REF!</v>
      </c>
      <c r="C720" t="e" cm="1">
        <f t="array" aca="1" ref="C720" ca="1">IF(A720="","",IF(B720="safety","safety costs",INDIRECT("template!"&amp;"B"&amp;A720)))</f>
        <v>#REF!</v>
      </c>
      <c r="D720" t="e" cm="1">
        <f t="array" aca="1" ref="D720" ca="1">IF(OR(A720="",B720="safety"),"",INDIRECT("template!"&amp;"C"&amp;A720))</f>
        <v>#REF!</v>
      </c>
      <c r="E720" t="e" cm="1">
        <f t="array" aca="1" ref="E720" ca="1">IF(A720="","",IF(OR(A720=A719+1,A720=A719+2),E719,INDIRECT("template!"&amp;"D"&amp;A720-2)))</f>
        <v>#REF!</v>
      </c>
      <c r="F720" t="e" cm="1">
        <f t="array" aca="1" ref="F720" ca="1">IF(OR(A720="",B720="safety"),"",IF(ISBLANK(IF(A720=A719+1,F719,INDIRECT("template!"&amp;"D"&amp;A720-1))),"",IF(A720=A719+1,F719,INDIRECT("template!"&amp;"D"&amp;A720-1))))</f>
        <v>#REF!</v>
      </c>
      <c r="G720" t="e" cm="1">
        <f t="array" aca="1" ref="G720" ca="1">IF(OR(A720="",B720="safety"),"",IF(ISBLANK(INDIRECT("template!"&amp;"D"&amp;A720)),"",INDIRECT("template!"&amp;"D"&amp;A720)))</f>
        <v>#REF!</v>
      </c>
      <c r="H720" t="e" cm="1">
        <f t="array" aca="1" ref="H720" ca="1">IF(OR(A720="",B720="safety"),"",IF(ISBLANK(INDIRECT("template!"&amp;"E"&amp;A720)),"",INDIRECT("template!"&amp;"E"&amp;A720)))</f>
        <v>#REF!</v>
      </c>
      <c r="I720" t="e" cm="1">
        <f t="array" aca="1" ref="I720" ca="1">IF(OR(A720="",B720="safety"),"",IF(ISBLANK(INDIRECT("template!"&amp;"F"&amp;A720)),"",INDIRECT("template!"&amp;"F"&amp;A720)))</f>
        <v>#REF!</v>
      </c>
      <c r="J720" t="e" cm="1">
        <f t="array" aca="1" ref="J720" ca="1">IF(OR(A720="",B720="safety"),"",IF(ISBLANK(INDIRECT("template!"&amp;"G"&amp;A720)),"",INDIRECT("template!"&amp;"G"&amp;A720)))</f>
        <v>#REF!</v>
      </c>
      <c r="K720" t="e" cm="1">
        <f t="array" aca="1" ref="K720" ca="1">IF(OR(A720="",B720="safety"),"",IF(ISBLANK(INDIRECT("template!"&amp;"H"&amp;A720)),"",INDIRECT("template!"&amp;"H"&amp;A720)))</f>
        <v>#REF!</v>
      </c>
      <c r="L720" t="e" cm="1">
        <f t="array" aca="1" ref="L720" ca="1">IF(OR(A720="",B720="safety"),"",INDIRECT("template!"&amp;"I"&amp;A720))</f>
        <v>#REF!</v>
      </c>
      <c r="M720" t="e" cm="1">
        <f t="array" aca="1" ref="M720" ca="1">IF(OR(A720="",B720="safety"),"",INDIRECT("template!"&amp;"J"&amp;A720))</f>
        <v>#REF!</v>
      </c>
      <c r="N720" t="e" cm="1">
        <f t="array" aca="1" ref="N720" ca="1">IF(OR(A720="",B720="safety"),"",IF(ISBLANK(INDIRECT("template!"&amp;"K"&amp;A720)),"",INDIRECT("template!"&amp;"K"&amp;A720)))</f>
        <v>#REF!</v>
      </c>
      <c r="O720" t="e" cm="1">
        <f t="array" aca="1" ref="O720" ca="1">IF(OR(A720="",B720="safety"),"",INDIRECT("template!"&amp;"L"&amp;A720))</f>
        <v>#REF!</v>
      </c>
      <c r="P720" t="e" cm="1">
        <f t="array" aca="1" ref="P720" ca="1">IF(OR(A720="",B720="safety"),"",INDIRECT("template!"&amp;"M"&amp;A720))</f>
        <v>#REF!</v>
      </c>
      <c r="Q720" t="e">
        <f t="shared" ca="1" si="64"/>
        <v>#REF!</v>
      </c>
      <c r="R720" t="e">
        <f t="shared" ca="1" si="65"/>
        <v>#REF!</v>
      </c>
      <c r="S720" t="e">
        <f t="shared" ca="1" si="66"/>
        <v>#REF!</v>
      </c>
      <c r="T720" t="e">
        <f t="shared" ca="1" si="67"/>
        <v>#REF!</v>
      </c>
      <c r="U720" t="e" cm="1">
        <f t="array" aca="1" ref="U720" ca="1">IF(A720="","",IF(E720="","",IF(B720="safety",INDIRECT("template!"&amp;"P"&amp;A720),Q720+R720)))</f>
        <v>#REF!</v>
      </c>
      <c r="V720" t="e" cm="1">
        <f t="array" aca="1" ref="V720" ca="1">IF(A720="","",IF(E720="","",IF(B720="safety",INDIRECT("template!"&amp;"P"&amp;A720),S720+T720)))</f>
        <v>#REF!</v>
      </c>
      <c r="W720" t="e">
        <f ca="1">IF(A720="","",IF(E720="","",#REF!))</f>
        <v>#REF!</v>
      </c>
      <c r="X720" t="e">
        <f ca="1">IF(A720="","",IF(E720="","",#REF!))</f>
        <v>#REF!</v>
      </c>
      <c r="Y720" s="39" t="e">
        <f ca="1">IF(A720="","",IF(E720="","",#REF!))</f>
        <v>#REF!</v>
      </c>
      <c r="Z720" t="e">
        <f ca="1">IF(A720="","",IF(E720="","",#REF!))</f>
        <v>#REF!</v>
      </c>
      <c r="AA720" t="e">
        <f ca="1">IF(A720="","",IF(E720="","",#REF!))</f>
        <v>#REF!</v>
      </c>
      <c r="AB720" t="e">
        <f ca="1">IF(A720="","",IF(E720="","",#REF!))</f>
        <v>#REF!</v>
      </c>
      <c r="AC720" t="e">
        <f t="shared" ca="1" si="68"/>
        <v>#REF!</v>
      </c>
    </row>
    <row r="721" spans="1:29" x14ac:dyDescent="0.35">
      <c r="A721" t="e" cm="1">
        <f t="array" aca="1" ref="A721" ca="1">IF(A720="","",IF(OR(AND(A720+1&gt;=$AF$1,A720+1&lt;=$AF$2),AND(A720+1&gt;=$AF$6,A720+1&lt;=$AF$7),AND(A720+1&gt;=$AF$3,A720+1&lt;=$AF$4),AND(A720+1&gt;=$AF$8,A720+1&lt;=$AF$9),A720+1=$AF$5),IF(NOT(ISBLANK(INDIRECT("template!"&amp;"P"&amp;A720+1))),A720+1,IF(NOT(ISBLANK(INDIRECT("template!"&amp;"P"&amp;A720+2))),A720+2,A720+3)),IF(A720=$AF$2,$AF$3,IF(A720=$AF$4,$AF$5,IF(A720=$AF$5,$AF$6,IF(A720=$AF$7,$AF$8,""))))))</f>
        <v>#REF!</v>
      </c>
      <c r="B721" t="e">
        <f t="shared" ca="1" si="63"/>
        <v>#REF!</v>
      </c>
      <c r="C721" t="e" cm="1">
        <f t="array" aca="1" ref="C721" ca="1">IF(A721="","",IF(B721="safety","safety costs",INDIRECT("template!"&amp;"B"&amp;A721)))</f>
        <v>#REF!</v>
      </c>
      <c r="D721" t="e" cm="1">
        <f t="array" aca="1" ref="D721" ca="1">IF(OR(A721="",B721="safety"),"",INDIRECT("template!"&amp;"C"&amp;A721))</f>
        <v>#REF!</v>
      </c>
      <c r="E721" t="e" cm="1">
        <f t="array" aca="1" ref="E721" ca="1">IF(A721="","",IF(OR(A721=A720+1,A721=A720+2),E720,INDIRECT("template!"&amp;"D"&amp;A721-2)))</f>
        <v>#REF!</v>
      </c>
      <c r="F721" t="e" cm="1">
        <f t="array" aca="1" ref="F721" ca="1">IF(OR(A721="",B721="safety"),"",IF(ISBLANK(IF(A721=A720+1,F720,INDIRECT("template!"&amp;"D"&amp;A721-1))),"",IF(A721=A720+1,F720,INDIRECT("template!"&amp;"D"&amp;A721-1))))</f>
        <v>#REF!</v>
      </c>
      <c r="G721" t="e" cm="1">
        <f t="array" aca="1" ref="G721" ca="1">IF(OR(A721="",B721="safety"),"",IF(ISBLANK(INDIRECT("template!"&amp;"D"&amp;A721)),"",INDIRECT("template!"&amp;"D"&amp;A721)))</f>
        <v>#REF!</v>
      </c>
      <c r="H721" t="e" cm="1">
        <f t="array" aca="1" ref="H721" ca="1">IF(OR(A721="",B721="safety"),"",IF(ISBLANK(INDIRECT("template!"&amp;"E"&amp;A721)),"",INDIRECT("template!"&amp;"E"&amp;A721)))</f>
        <v>#REF!</v>
      </c>
      <c r="I721" t="e" cm="1">
        <f t="array" aca="1" ref="I721" ca="1">IF(OR(A721="",B721="safety"),"",IF(ISBLANK(INDIRECT("template!"&amp;"F"&amp;A721)),"",INDIRECT("template!"&amp;"F"&amp;A721)))</f>
        <v>#REF!</v>
      </c>
      <c r="J721" t="e" cm="1">
        <f t="array" aca="1" ref="J721" ca="1">IF(OR(A721="",B721="safety"),"",IF(ISBLANK(INDIRECT("template!"&amp;"G"&amp;A721)),"",INDIRECT("template!"&amp;"G"&amp;A721)))</f>
        <v>#REF!</v>
      </c>
      <c r="K721" t="e" cm="1">
        <f t="array" aca="1" ref="K721" ca="1">IF(OR(A721="",B721="safety"),"",IF(ISBLANK(INDIRECT("template!"&amp;"H"&amp;A721)),"",INDIRECT("template!"&amp;"H"&amp;A721)))</f>
        <v>#REF!</v>
      </c>
      <c r="L721" t="e" cm="1">
        <f t="array" aca="1" ref="L721" ca="1">IF(OR(A721="",B721="safety"),"",INDIRECT("template!"&amp;"I"&amp;A721))</f>
        <v>#REF!</v>
      </c>
      <c r="M721" t="e" cm="1">
        <f t="array" aca="1" ref="M721" ca="1">IF(OR(A721="",B721="safety"),"",INDIRECT("template!"&amp;"J"&amp;A721))</f>
        <v>#REF!</v>
      </c>
      <c r="N721" t="e" cm="1">
        <f t="array" aca="1" ref="N721" ca="1">IF(OR(A721="",B721="safety"),"",IF(ISBLANK(INDIRECT("template!"&amp;"K"&amp;A721)),"",INDIRECT("template!"&amp;"K"&amp;A721)))</f>
        <v>#REF!</v>
      </c>
      <c r="O721" t="e" cm="1">
        <f t="array" aca="1" ref="O721" ca="1">IF(OR(A721="",B721="safety"),"",INDIRECT("template!"&amp;"L"&amp;A721))</f>
        <v>#REF!</v>
      </c>
      <c r="P721" t="e" cm="1">
        <f t="array" aca="1" ref="P721" ca="1">IF(OR(A721="",B721="safety"),"",INDIRECT("template!"&amp;"M"&amp;A721))</f>
        <v>#REF!</v>
      </c>
      <c r="Q721" t="e">
        <f t="shared" ca="1" si="64"/>
        <v>#REF!</v>
      </c>
      <c r="R721" t="e">
        <f t="shared" ca="1" si="65"/>
        <v>#REF!</v>
      </c>
      <c r="S721" t="e">
        <f t="shared" ca="1" si="66"/>
        <v>#REF!</v>
      </c>
      <c r="T721" t="e">
        <f t="shared" ca="1" si="67"/>
        <v>#REF!</v>
      </c>
      <c r="U721" t="e" cm="1">
        <f t="array" aca="1" ref="U721" ca="1">IF(A721="","",IF(E721="","",IF(B721="safety",INDIRECT("template!"&amp;"P"&amp;A721),Q721+R721)))</f>
        <v>#REF!</v>
      </c>
      <c r="V721" t="e" cm="1">
        <f t="array" aca="1" ref="V721" ca="1">IF(A721="","",IF(E721="","",IF(B721="safety",INDIRECT("template!"&amp;"P"&amp;A721),S721+T721)))</f>
        <v>#REF!</v>
      </c>
      <c r="W721" t="e">
        <f ca="1">IF(A721="","",IF(E721="","",#REF!))</f>
        <v>#REF!</v>
      </c>
      <c r="X721" t="e">
        <f ca="1">IF(A721="","",IF(E721="","",#REF!))</f>
        <v>#REF!</v>
      </c>
      <c r="Y721" s="39" t="e">
        <f ca="1">IF(A721="","",IF(E721="","",#REF!))</f>
        <v>#REF!</v>
      </c>
      <c r="Z721" t="e">
        <f ca="1">IF(A721="","",IF(E721="","",#REF!))</f>
        <v>#REF!</v>
      </c>
      <c r="AA721" t="e">
        <f ca="1">IF(A721="","",IF(E721="","",#REF!))</f>
        <v>#REF!</v>
      </c>
      <c r="AB721" t="e">
        <f ca="1">IF(A721="","",IF(E721="","",#REF!))</f>
        <v>#REF!</v>
      </c>
      <c r="AC721" t="e">
        <f t="shared" ca="1" si="68"/>
        <v>#REF!</v>
      </c>
    </row>
    <row r="722" spans="1:29" x14ac:dyDescent="0.35">
      <c r="A722" t="e" cm="1">
        <f t="array" aca="1" ref="A722" ca="1">IF(A721="","",IF(OR(AND(A721+1&gt;=$AF$1,A721+1&lt;=$AF$2),AND(A721+1&gt;=$AF$6,A721+1&lt;=$AF$7),AND(A721+1&gt;=$AF$3,A721+1&lt;=$AF$4),AND(A721+1&gt;=$AF$8,A721+1&lt;=$AF$9),A721+1=$AF$5),IF(NOT(ISBLANK(INDIRECT("template!"&amp;"P"&amp;A721+1))),A721+1,IF(NOT(ISBLANK(INDIRECT("template!"&amp;"P"&amp;A721+2))),A721+2,A721+3)),IF(A721=$AF$2,$AF$3,IF(A721=$AF$4,$AF$5,IF(A721=$AF$5,$AF$6,IF(A721=$AF$7,$AF$8,""))))))</f>
        <v>#REF!</v>
      </c>
      <c r="B722" t="e">
        <f t="shared" ca="1" si="63"/>
        <v>#REF!</v>
      </c>
      <c r="C722" t="e" cm="1">
        <f t="array" aca="1" ref="C722" ca="1">IF(A722="","",IF(B722="safety","safety costs",INDIRECT("template!"&amp;"B"&amp;A722)))</f>
        <v>#REF!</v>
      </c>
      <c r="D722" t="e" cm="1">
        <f t="array" aca="1" ref="D722" ca="1">IF(OR(A722="",B722="safety"),"",INDIRECT("template!"&amp;"C"&amp;A722))</f>
        <v>#REF!</v>
      </c>
      <c r="E722" t="e" cm="1">
        <f t="array" aca="1" ref="E722" ca="1">IF(A722="","",IF(OR(A722=A721+1,A722=A721+2),E721,INDIRECT("template!"&amp;"D"&amp;A722-2)))</f>
        <v>#REF!</v>
      </c>
      <c r="F722" t="e" cm="1">
        <f t="array" aca="1" ref="F722" ca="1">IF(OR(A722="",B722="safety"),"",IF(ISBLANK(IF(A722=A721+1,F721,INDIRECT("template!"&amp;"D"&amp;A722-1))),"",IF(A722=A721+1,F721,INDIRECT("template!"&amp;"D"&amp;A722-1))))</f>
        <v>#REF!</v>
      </c>
      <c r="G722" t="e" cm="1">
        <f t="array" aca="1" ref="G722" ca="1">IF(OR(A722="",B722="safety"),"",IF(ISBLANK(INDIRECT("template!"&amp;"D"&amp;A722)),"",INDIRECT("template!"&amp;"D"&amp;A722)))</f>
        <v>#REF!</v>
      </c>
      <c r="H722" t="e" cm="1">
        <f t="array" aca="1" ref="H722" ca="1">IF(OR(A722="",B722="safety"),"",IF(ISBLANK(INDIRECT("template!"&amp;"E"&amp;A722)),"",INDIRECT("template!"&amp;"E"&amp;A722)))</f>
        <v>#REF!</v>
      </c>
      <c r="I722" t="e" cm="1">
        <f t="array" aca="1" ref="I722" ca="1">IF(OR(A722="",B722="safety"),"",IF(ISBLANK(INDIRECT("template!"&amp;"F"&amp;A722)),"",INDIRECT("template!"&amp;"F"&amp;A722)))</f>
        <v>#REF!</v>
      </c>
      <c r="J722" t="e" cm="1">
        <f t="array" aca="1" ref="J722" ca="1">IF(OR(A722="",B722="safety"),"",IF(ISBLANK(INDIRECT("template!"&amp;"G"&amp;A722)),"",INDIRECT("template!"&amp;"G"&amp;A722)))</f>
        <v>#REF!</v>
      </c>
      <c r="K722" t="e" cm="1">
        <f t="array" aca="1" ref="K722" ca="1">IF(OR(A722="",B722="safety"),"",IF(ISBLANK(INDIRECT("template!"&amp;"H"&amp;A722)),"",INDIRECT("template!"&amp;"H"&amp;A722)))</f>
        <v>#REF!</v>
      </c>
      <c r="L722" t="e" cm="1">
        <f t="array" aca="1" ref="L722" ca="1">IF(OR(A722="",B722="safety"),"",INDIRECT("template!"&amp;"I"&amp;A722))</f>
        <v>#REF!</v>
      </c>
      <c r="M722" t="e" cm="1">
        <f t="array" aca="1" ref="M722" ca="1">IF(OR(A722="",B722="safety"),"",INDIRECT("template!"&amp;"J"&amp;A722))</f>
        <v>#REF!</v>
      </c>
      <c r="N722" t="e" cm="1">
        <f t="array" aca="1" ref="N722" ca="1">IF(OR(A722="",B722="safety"),"",IF(ISBLANK(INDIRECT("template!"&amp;"K"&amp;A722)),"",INDIRECT("template!"&amp;"K"&amp;A722)))</f>
        <v>#REF!</v>
      </c>
      <c r="O722" t="e" cm="1">
        <f t="array" aca="1" ref="O722" ca="1">IF(OR(A722="",B722="safety"),"",INDIRECT("template!"&amp;"L"&amp;A722))</f>
        <v>#REF!</v>
      </c>
      <c r="P722" t="e" cm="1">
        <f t="array" aca="1" ref="P722" ca="1">IF(OR(A722="",B722="safety"),"",INDIRECT("template!"&amp;"M"&amp;A722))</f>
        <v>#REF!</v>
      </c>
      <c r="Q722" t="e">
        <f t="shared" ca="1" si="64"/>
        <v>#REF!</v>
      </c>
      <c r="R722" t="e">
        <f t="shared" ca="1" si="65"/>
        <v>#REF!</v>
      </c>
      <c r="S722" t="e">
        <f t="shared" ca="1" si="66"/>
        <v>#REF!</v>
      </c>
      <c r="T722" t="e">
        <f t="shared" ca="1" si="67"/>
        <v>#REF!</v>
      </c>
      <c r="U722" t="e" cm="1">
        <f t="array" aca="1" ref="U722" ca="1">IF(A722="","",IF(E722="","",IF(B722="safety",INDIRECT("template!"&amp;"P"&amp;A722),Q722+R722)))</f>
        <v>#REF!</v>
      </c>
      <c r="V722" t="e" cm="1">
        <f t="array" aca="1" ref="V722" ca="1">IF(A722="","",IF(E722="","",IF(B722="safety",INDIRECT("template!"&amp;"P"&amp;A722),S722+T722)))</f>
        <v>#REF!</v>
      </c>
      <c r="W722" t="e">
        <f ca="1">IF(A722="","",IF(E722="","",#REF!))</f>
        <v>#REF!</v>
      </c>
      <c r="X722" t="e">
        <f ca="1">IF(A722="","",IF(E722="","",#REF!))</f>
        <v>#REF!</v>
      </c>
      <c r="Y722" s="39" t="e">
        <f ca="1">IF(A722="","",IF(E722="","",#REF!))</f>
        <v>#REF!</v>
      </c>
      <c r="Z722" t="e">
        <f ca="1">IF(A722="","",IF(E722="","",#REF!))</f>
        <v>#REF!</v>
      </c>
      <c r="AA722" t="e">
        <f ca="1">IF(A722="","",IF(E722="","",#REF!))</f>
        <v>#REF!</v>
      </c>
      <c r="AB722" t="e">
        <f ca="1">IF(A722="","",IF(E722="","",#REF!))</f>
        <v>#REF!</v>
      </c>
      <c r="AC722" t="e">
        <f t="shared" ca="1" si="68"/>
        <v>#REF!</v>
      </c>
    </row>
    <row r="723" spans="1:29" x14ac:dyDescent="0.35">
      <c r="A723" t="e" cm="1">
        <f t="array" aca="1" ref="A723" ca="1">IF(A722="","",IF(OR(AND(A722+1&gt;=$AF$1,A722+1&lt;=$AF$2),AND(A722+1&gt;=$AF$6,A722+1&lt;=$AF$7),AND(A722+1&gt;=$AF$3,A722+1&lt;=$AF$4),AND(A722+1&gt;=$AF$8,A722+1&lt;=$AF$9),A722+1=$AF$5),IF(NOT(ISBLANK(INDIRECT("template!"&amp;"P"&amp;A722+1))),A722+1,IF(NOT(ISBLANK(INDIRECT("template!"&amp;"P"&amp;A722+2))),A722+2,A722+3)),IF(A722=$AF$2,$AF$3,IF(A722=$AF$4,$AF$5,IF(A722=$AF$5,$AF$6,IF(A722=$AF$7,$AF$8,""))))))</f>
        <v>#REF!</v>
      </c>
      <c r="B723" t="e">
        <f t="shared" ca="1" si="63"/>
        <v>#REF!</v>
      </c>
      <c r="C723" t="e" cm="1">
        <f t="array" aca="1" ref="C723" ca="1">IF(A723="","",IF(B723="safety","safety costs",INDIRECT("template!"&amp;"B"&amp;A723)))</f>
        <v>#REF!</v>
      </c>
      <c r="D723" t="e" cm="1">
        <f t="array" aca="1" ref="D723" ca="1">IF(OR(A723="",B723="safety"),"",INDIRECT("template!"&amp;"C"&amp;A723))</f>
        <v>#REF!</v>
      </c>
      <c r="E723" t="e" cm="1">
        <f t="array" aca="1" ref="E723" ca="1">IF(A723="","",IF(OR(A723=A722+1,A723=A722+2),E722,INDIRECT("template!"&amp;"D"&amp;A723-2)))</f>
        <v>#REF!</v>
      </c>
      <c r="F723" t="e" cm="1">
        <f t="array" aca="1" ref="F723" ca="1">IF(OR(A723="",B723="safety"),"",IF(ISBLANK(IF(A723=A722+1,F722,INDIRECT("template!"&amp;"D"&amp;A723-1))),"",IF(A723=A722+1,F722,INDIRECT("template!"&amp;"D"&amp;A723-1))))</f>
        <v>#REF!</v>
      </c>
      <c r="G723" t="e" cm="1">
        <f t="array" aca="1" ref="G723" ca="1">IF(OR(A723="",B723="safety"),"",IF(ISBLANK(INDIRECT("template!"&amp;"D"&amp;A723)),"",INDIRECT("template!"&amp;"D"&amp;A723)))</f>
        <v>#REF!</v>
      </c>
      <c r="H723" t="e" cm="1">
        <f t="array" aca="1" ref="H723" ca="1">IF(OR(A723="",B723="safety"),"",IF(ISBLANK(INDIRECT("template!"&amp;"E"&amp;A723)),"",INDIRECT("template!"&amp;"E"&amp;A723)))</f>
        <v>#REF!</v>
      </c>
      <c r="I723" t="e" cm="1">
        <f t="array" aca="1" ref="I723" ca="1">IF(OR(A723="",B723="safety"),"",IF(ISBLANK(INDIRECT("template!"&amp;"F"&amp;A723)),"",INDIRECT("template!"&amp;"F"&amp;A723)))</f>
        <v>#REF!</v>
      </c>
      <c r="J723" t="e" cm="1">
        <f t="array" aca="1" ref="J723" ca="1">IF(OR(A723="",B723="safety"),"",IF(ISBLANK(INDIRECT("template!"&amp;"G"&amp;A723)),"",INDIRECT("template!"&amp;"G"&amp;A723)))</f>
        <v>#REF!</v>
      </c>
      <c r="K723" t="e" cm="1">
        <f t="array" aca="1" ref="K723" ca="1">IF(OR(A723="",B723="safety"),"",IF(ISBLANK(INDIRECT("template!"&amp;"H"&amp;A723)),"",INDIRECT("template!"&amp;"H"&amp;A723)))</f>
        <v>#REF!</v>
      </c>
      <c r="L723" t="e" cm="1">
        <f t="array" aca="1" ref="L723" ca="1">IF(OR(A723="",B723="safety"),"",INDIRECT("template!"&amp;"I"&amp;A723))</f>
        <v>#REF!</v>
      </c>
      <c r="M723" t="e" cm="1">
        <f t="array" aca="1" ref="M723" ca="1">IF(OR(A723="",B723="safety"),"",INDIRECT("template!"&amp;"J"&amp;A723))</f>
        <v>#REF!</v>
      </c>
      <c r="N723" t="e" cm="1">
        <f t="array" aca="1" ref="N723" ca="1">IF(OR(A723="",B723="safety"),"",IF(ISBLANK(INDIRECT("template!"&amp;"K"&amp;A723)),"",INDIRECT("template!"&amp;"K"&amp;A723)))</f>
        <v>#REF!</v>
      </c>
      <c r="O723" t="e" cm="1">
        <f t="array" aca="1" ref="O723" ca="1">IF(OR(A723="",B723="safety"),"",INDIRECT("template!"&amp;"L"&amp;A723))</f>
        <v>#REF!</v>
      </c>
      <c r="P723" t="e" cm="1">
        <f t="array" aca="1" ref="P723" ca="1">IF(OR(A723="",B723="safety"),"",INDIRECT("template!"&amp;"M"&amp;A723))</f>
        <v>#REF!</v>
      </c>
      <c r="Q723" t="e">
        <f t="shared" ca="1" si="64"/>
        <v>#REF!</v>
      </c>
      <c r="R723" t="e">
        <f t="shared" ca="1" si="65"/>
        <v>#REF!</v>
      </c>
      <c r="S723" t="e">
        <f t="shared" ca="1" si="66"/>
        <v>#REF!</v>
      </c>
      <c r="T723" t="e">
        <f t="shared" ca="1" si="67"/>
        <v>#REF!</v>
      </c>
      <c r="U723" t="e" cm="1">
        <f t="array" aca="1" ref="U723" ca="1">IF(A723="","",IF(E723="","",IF(B723="safety",INDIRECT("template!"&amp;"P"&amp;A723),Q723+R723)))</f>
        <v>#REF!</v>
      </c>
      <c r="V723" t="e" cm="1">
        <f t="array" aca="1" ref="V723" ca="1">IF(A723="","",IF(E723="","",IF(B723="safety",INDIRECT("template!"&amp;"P"&amp;A723),S723+T723)))</f>
        <v>#REF!</v>
      </c>
      <c r="W723" t="e">
        <f ca="1">IF(A723="","",IF(E723="","",#REF!))</f>
        <v>#REF!</v>
      </c>
      <c r="X723" t="e">
        <f ca="1">IF(A723="","",IF(E723="","",#REF!))</f>
        <v>#REF!</v>
      </c>
      <c r="Y723" s="39" t="e">
        <f ca="1">IF(A723="","",IF(E723="","",#REF!))</f>
        <v>#REF!</v>
      </c>
      <c r="Z723" t="e">
        <f ca="1">IF(A723="","",IF(E723="","",#REF!))</f>
        <v>#REF!</v>
      </c>
      <c r="AA723" t="e">
        <f ca="1">IF(A723="","",IF(E723="","",#REF!))</f>
        <v>#REF!</v>
      </c>
      <c r="AB723" t="e">
        <f ca="1">IF(A723="","",IF(E723="","",#REF!))</f>
        <v>#REF!</v>
      </c>
      <c r="AC723" t="e">
        <f t="shared" ca="1" si="68"/>
        <v>#REF!</v>
      </c>
    </row>
    <row r="724" spans="1:29" x14ac:dyDescent="0.35">
      <c r="A724" t="e" cm="1">
        <f t="array" aca="1" ref="A724" ca="1">IF(A723="","",IF(OR(AND(A723+1&gt;=$AF$1,A723+1&lt;=$AF$2),AND(A723+1&gt;=$AF$6,A723+1&lt;=$AF$7),AND(A723+1&gt;=$AF$3,A723+1&lt;=$AF$4),AND(A723+1&gt;=$AF$8,A723+1&lt;=$AF$9),A723+1=$AF$5),IF(NOT(ISBLANK(INDIRECT("template!"&amp;"P"&amp;A723+1))),A723+1,IF(NOT(ISBLANK(INDIRECT("template!"&amp;"P"&amp;A723+2))),A723+2,A723+3)),IF(A723=$AF$2,$AF$3,IF(A723=$AF$4,$AF$5,IF(A723=$AF$5,$AF$6,IF(A723=$AF$7,$AF$8,""))))))</f>
        <v>#REF!</v>
      </c>
      <c r="B724" t="e">
        <f t="shared" ca="1" si="63"/>
        <v>#REF!</v>
      </c>
      <c r="C724" t="e" cm="1">
        <f t="array" aca="1" ref="C724" ca="1">IF(A724="","",IF(B724="safety","safety costs",INDIRECT("template!"&amp;"B"&amp;A724)))</f>
        <v>#REF!</v>
      </c>
      <c r="D724" t="e" cm="1">
        <f t="array" aca="1" ref="D724" ca="1">IF(OR(A724="",B724="safety"),"",INDIRECT("template!"&amp;"C"&amp;A724))</f>
        <v>#REF!</v>
      </c>
      <c r="E724" t="e" cm="1">
        <f t="array" aca="1" ref="E724" ca="1">IF(A724="","",IF(OR(A724=A723+1,A724=A723+2),E723,INDIRECT("template!"&amp;"D"&amp;A724-2)))</f>
        <v>#REF!</v>
      </c>
      <c r="F724" t="e" cm="1">
        <f t="array" aca="1" ref="F724" ca="1">IF(OR(A724="",B724="safety"),"",IF(ISBLANK(IF(A724=A723+1,F723,INDIRECT("template!"&amp;"D"&amp;A724-1))),"",IF(A724=A723+1,F723,INDIRECT("template!"&amp;"D"&amp;A724-1))))</f>
        <v>#REF!</v>
      </c>
      <c r="G724" t="e" cm="1">
        <f t="array" aca="1" ref="G724" ca="1">IF(OR(A724="",B724="safety"),"",IF(ISBLANK(INDIRECT("template!"&amp;"D"&amp;A724)),"",INDIRECT("template!"&amp;"D"&amp;A724)))</f>
        <v>#REF!</v>
      </c>
      <c r="H724" t="e" cm="1">
        <f t="array" aca="1" ref="H724" ca="1">IF(OR(A724="",B724="safety"),"",IF(ISBLANK(INDIRECT("template!"&amp;"E"&amp;A724)),"",INDIRECT("template!"&amp;"E"&amp;A724)))</f>
        <v>#REF!</v>
      </c>
      <c r="I724" t="e" cm="1">
        <f t="array" aca="1" ref="I724" ca="1">IF(OR(A724="",B724="safety"),"",IF(ISBLANK(INDIRECT("template!"&amp;"F"&amp;A724)),"",INDIRECT("template!"&amp;"F"&amp;A724)))</f>
        <v>#REF!</v>
      </c>
      <c r="J724" t="e" cm="1">
        <f t="array" aca="1" ref="J724" ca="1">IF(OR(A724="",B724="safety"),"",IF(ISBLANK(INDIRECT("template!"&amp;"G"&amp;A724)),"",INDIRECT("template!"&amp;"G"&amp;A724)))</f>
        <v>#REF!</v>
      </c>
      <c r="K724" t="e" cm="1">
        <f t="array" aca="1" ref="K724" ca="1">IF(OR(A724="",B724="safety"),"",IF(ISBLANK(INDIRECT("template!"&amp;"H"&amp;A724)),"",INDIRECT("template!"&amp;"H"&amp;A724)))</f>
        <v>#REF!</v>
      </c>
      <c r="L724" t="e" cm="1">
        <f t="array" aca="1" ref="L724" ca="1">IF(OR(A724="",B724="safety"),"",INDIRECT("template!"&amp;"I"&amp;A724))</f>
        <v>#REF!</v>
      </c>
      <c r="M724" t="e" cm="1">
        <f t="array" aca="1" ref="M724" ca="1">IF(OR(A724="",B724="safety"),"",INDIRECT("template!"&amp;"J"&amp;A724))</f>
        <v>#REF!</v>
      </c>
      <c r="N724" t="e" cm="1">
        <f t="array" aca="1" ref="N724" ca="1">IF(OR(A724="",B724="safety"),"",IF(ISBLANK(INDIRECT("template!"&amp;"K"&amp;A724)),"",INDIRECT("template!"&amp;"K"&amp;A724)))</f>
        <v>#REF!</v>
      </c>
      <c r="O724" t="e" cm="1">
        <f t="array" aca="1" ref="O724" ca="1">IF(OR(A724="",B724="safety"),"",INDIRECT("template!"&amp;"L"&amp;A724))</f>
        <v>#REF!</v>
      </c>
      <c r="P724" t="e" cm="1">
        <f t="array" aca="1" ref="P724" ca="1">IF(OR(A724="",B724="safety"),"",INDIRECT("template!"&amp;"M"&amp;A724))</f>
        <v>#REF!</v>
      </c>
      <c r="Q724" t="e">
        <f t="shared" ca="1" si="64"/>
        <v>#REF!</v>
      </c>
      <c r="R724" t="e">
        <f t="shared" ca="1" si="65"/>
        <v>#REF!</v>
      </c>
      <c r="S724" t="e">
        <f t="shared" ca="1" si="66"/>
        <v>#REF!</v>
      </c>
      <c r="T724" t="e">
        <f t="shared" ca="1" si="67"/>
        <v>#REF!</v>
      </c>
      <c r="U724" t="e" cm="1">
        <f t="array" aca="1" ref="U724" ca="1">IF(A724="","",IF(E724="","",IF(B724="safety",INDIRECT("template!"&amp;"P"&amp;A724),Q724+R724)))</f>
        <v>#REF!</v>
      </c>
      <c r="V724" t="e" cm="1">
        <f t="array" aca="1" ref="V724" ca="1">IF(A724="","",IF(E724="","",IF(B724="safety",INDIRECT("template!"&amp;"P"&amp;A724),S724+T724)))</f>
        <v>#REF!</v>
      </c>
      <c r="W724" t="e">
        <f ca="1">IF(A724="","",IF(E724="","",#REF!))</f>
        <v>#REF!</v>
      </c>
      <c r="X724" t="e">
        <f ca="1">IF(A724="","",IF(E724="","",#REF!))</f>
        <v>#REF!</v>
      </c>
      <c r="Y724" s="39" t="e">
        <f ca="1">IF(A724="","",IF(E724="","",#REF!))</f>
        <v>#REF!</v>
      </c>
      <c r="Z724" t="e">
        <f ca="1">IF(A724="","",IF(E724="","",#REF!))</f>
        <v>#REF!</v>
      </c>
      <c r="AA724" t="e">
        <f ca="1">IF(A724="","",IF(E724="","",#REF!))</f>
        <v>#REF!</v>
      </c>
      <c r="AB724" t="e">
        <f ca="1">IF(A724="","",IF(E724="","",#REF!))</f>
        <v>#REF!</v>
      </c>
      <c r="AC724" t="e">
        <f t="shared" ca="1" si="68"/>
        <v>#REF!</v>
      </c>
    </row>
    <row r="725" spans="1:29" x14ac:dyDescent="0.35">
      <c r="A725" t="e" cm="1">
        <f t="array" aca="1" ref="A725" ca="1">IF(A724="","",IF(OR(AND(A724+1&gt;=$AF$1,A724+1&lt;=$AF$2),AND(A724+1&gt;=$AF$6,A724+1&lt;=$AF$7),AND(A724+1&gt;=$AF$3,A724+1&lt;=$AF$4),AND(A724+1&gt;=$AF$8,A724+1&lt;=$AF$9),A724+1=$AF$5),IF(NOT(ISBLANK(INDIRECT("template!"&amp;"P"&amp;A724+1))),A724+1,IF(NOT(ISBLANK(INDIRECT("template!"&amp;"P"&amp;A724+2))),A724+2,A724+3)),IF(A724=$AF$2,$AF$3,IF(A724=$AF$4,$AF$5,IF(A724=$AF$5,$AF$6,IF(A724=$AF$7,$AF$8,""))))))</f>
        <v>#REF!</v>
      </c>
      <c r="B725" t="e">
        <f t="shared" ca="1" si="63"/>
        <v>#REF!</v>
      </c>
      <c r="C725" t="e" cm="1">
        <f t="array" aca="1" ref="C725" ca="1">IF(A725="","",IF(B725="safety","safety costs",INDIRECT("template!"&amp;"B"&amp;A725)))</f>
        <v>#REF!</v>
      </c>
      <c r="D725" t="e" cm="1">
        <f t="array" aca="1" ref="D725" ca="1">IF(OR(A725="",B725="safety"),"",INDIRECT("template!"&amp;"C"&amp;A725))</f>
        <v>#REF!</v>
      </c>
      <c r="E725" t="e" cm="1">
        <f t="array" aca="1" ref="E725" ca="1">IF(A725="","",IF(OR(A725=A724+1,A725=A724+2),E724,INDIRECT("template!"&amp;"D"&amp;A725-2)))</f>
        <v>#REF!</v>
      </c>
      <c r="F725" t="e" cm="1">
        <f t="array" aca="1" ref="F725" ca="1">IF(OR(A725="",B725="safety"),"",IF(ISBLANK(IF(A725=A724+1,F724,INDIRECT("template!"&amp;"D"&amp;A725-1))),"",IF(A725=A724+1,F724,INDIRECT("template!"&amp;"D"&amp;A725-1))))</f>
        <v>#REF!</v>
      </c>
      <c r="G725" t="e" cm="1">
        <f t="array" aca="1" ref="G725" ca="1">IF(OR(A725="",B725="safety"),"",IF(ISBLANK(INDIRECT("template!"&amp;"D"&amp;A725)),"",INDIRECT("template!"&amp;"D"&amp;A725)))</f>
        <v>#REF!</v>
      </c>
      <c r="H725" t="e" cm="1">
        <f t="array" aca="1" ref="H725" ca="1">IF(OR(A725="",B725="safety"),"",IF(ISBLANK(INDIRECT("template!"&amp;"E"&amp;A725)),"",INDIRECT("template!"&amp;"E"&amp;A725)))</f>
        <v>#REF!</v>
      </c>
      <c r="I725" t="e" cm="1">
        <f t="array" aca="1" ref="I725" ca="1">IF(OR(A725="",B725="safety"),"",IF(ISBLANK(INDIRECT("template!"&amp;"F"&amp;A725)),"",INDIRECT("template!"&amp;"F"&amp;A725)))</f>
        <v>#REF!</v>
      </c>
      <c r="J725" t="e" cm="1">
        <f t="array" aca="1" ref="J725" ca="1">IF(OR(A725="",B725="safety"),"",IF(ISBLANK(INDIRECT("template!"&amp;"G"&amp;A725)),"",INDIRECT("template!"&amp;"G"&amp;A725)))</f>
        <v>#REF!</v>
      </c>
      <c r="K725" t="e" cm="1">
        <f t="array" aca="1" ref="K725" ca="1">IF(OR(A725="",B725="safety"),"",IF(ISBLANK(INDIRECT("template!"&amp;"H"&amp;A725)),"",INDIRECT("template!"&amp;"H"&amp;A725)))</f>
        <v>#REF!</v>
      </c>
      <c r="L725" t="e" cm="1">
        <f t="array" aca="1" ref="L725" ca="1">IF(OR(A725="",B725="safety"),"",INDIRECT("template!"&amp;"I"&amp;A725))</f>
        <v>#REF!</v>
      </c>
      <c r="M725" t="e" cm="1">
        <f t="array" aca="1" ref="M725" ca="1">IF(OR(A725="",B725="safety"),"",INDIRECT("template!"&amp;"J"&amp;A725))</f>
        <v>#REF!</v>
      </c>
      <c r="N725" t="e" cm="1">
        <f t="array" aca="1" ref="N725" ca="1">IF(OR(A725="",B725="safety"),"",IF(ISBLANK(INDIRECT("template!"&amp;"K"&amp;A725)),"",INDIRECT("template!"&amp;"K"&amp;A725)))</f>
        <v>#REF!</v>
      </c>
      <c r="O725" t="e" cm="1">
        <f t="array" aca="1" ref="O725" ca="1">IF(OR(A725="",B725="safety"),"",INDIRECT("template!"&amp;"L"&amp;A725))</f>
        <v>#REF!</v>
      </c>
      <c r="P725" t="e" cm="1">
        <f t="array" aca="1" ref="P725" ca="1">IF(OR(A725="",B725="safety"),"",INDIRECT("template!"&amp;"M"&amp;A725))</f>
        <v>#REF!</v>
      </c>
      <c r="Q725" t="e">
        <f t="shared" ca="1" si="64"/>
        <v>#REF!</v>
      </c>
      <c r="R725" t="e">
        <f t="shared" ca="1" si="65"/>
        <v>#REF!</v>
      </c>
      <c r="S725" t="e">
        <f t="shared" ca="1" si="66"/>
        <v>#REF!</v>
      </c>
      <c r="T725" t="e">
        <f t="shared" ca="1" si="67"/>
        <v>#REF!</v>
      </c>
      <c r="U725" t="e" cm="1">
        <f t="array" aca="1" ref="U725" ca="1">IF(A725="","",IF(E725="","",IF(B725="safety",INDIRECT("template!"&amp;"P"&amp;A725),Q725+R725)))</f>
        <v>#REF!</v>
      </c>
      <c r="V725" t="e" cm="1">
        <f t="array" aca="1" ref="V725" ca="1">IF(A725="","",IF(E725="","",IF(B725="safety",INDIRECT("template!"&amp;"P"&amp;A725),S725+T725)))</f>
        <v>#REF!</v>
      </c>
      <c r="W725" t="e">
        <f ca="1">IF(A725="","",IF(E725="","",#REF!))</f>
        <v>#REF!</v>
      </c>
      <c r="X725" t="e">
        <f ca="1">IF(A725="","",IF(E725="","",#REF!))</f>
        <v>#REF!</v>
      </c>
      <c r="Y725" s="39" t="e">
        <f ca="1">IF(A725="","",IF(E725="","",#REF!))</f>
        <v>#REF!</v>
      </c>
      <c r="Z725" t="e">
        <f ca="1">IF(A725="","",IF(E725="","",#REF!))</f>
        <v>#REF!</v>
      </c>
      <c r="AA725" t="e">
        <f ca="1">IF(A725="","",IF(E725="","",#REF!))</f>
        <v>#REF!</v>
      </c>
      <c r="AB725" t="e">
        <f ca="1">IF(A725="","",IF(E725="","",#REF!))</f>
        <v>#REF!</v>
      </c>
      <c r="AC725" t="e">
        <f t="shared" ca="1" si="68"/>
        <v>#REF!</v>
      </c>
    </row>
    <row r="726" spans="1:29" x14ac:dyDescent="0.35">
      <c r="A726" t="e" cm="1">
        <f t="array" aca="1" ref="A726" ca="1">IF(A725="","",IF(OR(AND(A725+1&gt;=$AF$1,A725+1&lt;=$AF$2),AND(A725+1&gt;=$AF$6,A725+1&lt;=$AF$7),AND(A725+1&gt;=$AF$3,A725+1&lt;=$AF$4),AND(A725+1&gt;=$AF$8,A725+1&lt;=$AF$9),A725+1=$AF$5),IF(NOT(ISBLANK(INDIRECT("template!"&amp;"P"&amp;A725+1))),A725+1,IF(NOT(ISBLANK(INDIRECT("template!"&amp;"P"&amp;A725+2))),A725+2,A725+3)),IF(A725=$AF$2,$AF$3,IF(A725=$AF$4,$AF$5,IF(A725=$AF$5,$AF$6,IF(A725=$AF$7,$AF$8,""))))))</f>
        <v>#REF!</v>
      </c>
      <c r="B726" t="e">
        <f t="shared" ca="1" si="63"/>
        <v>#REF!</v>
      </c>
      <c r="C726" t="e" cm="1">
        <f t="array" aca="1" ref="C726" ca="1">IF(A726="","",IF(B726="safety","safety costs",INDIRECT("template!"&amp;"B"&amp;A726)))</f>
        <v>#REF!</v>
      </c>
      <c r="D726" t="e" cm="1">
        <f t="array" aca="1" ref="D726" ca="1">IF(OR(A726="",B726="safety"),"",INDIRECT("template!"&amp;"C"&amp;A726))</f>
        <v>#REF!</v>
      </c>
      <c r="E726" t="e" cm="1">
        <f t="array" aca="1" ref="E726" ca="1">IF(A726="","",IF(OR(A726=A725+1,A726=A725+2),E725,INDIRECT("template!"&amp;"D"&amp;A726-2)))</f>
        <v>#REF!</v>
      </c>
      <c r="F726" t="e" cm="1">
        <f t="array" aca="1" ref="F726" ca="1">IF(OR(A726="",B726="safety"),"",IF(ISBLANK(IF(A726=A725+1,F725,INDIRECT("template!"&amp;"D"&amp;A726-1))),"",IF(A726=A725+1,F725,INDIRECT("template!"&amp;"D"&amp;A726-1))))</f>
        <v>#REF!</v>
      </c>
      <c r="G726" t="e" cm="1">
        <f t="array" aca="1" ref="G726" ca="1">IF(OR(A726="",B726="safety"),"",IF(ISBLANK(INDIRECT("template!"&amp;"D"&amp;A726)),"",INDIRECT("template!"&amp;"D"&amp;A726)))</f>
        <v>#REF!</v>
      </c>
      <c r="H726" t="e" cm="1">
        <f t="array" aca="1" ref="H726" ca="1">IF(OR(A726="",B726="safety"),"",IF(ISBLANK(INDIRECT("template!"&amp;"E"&amp;A726)),"",INDIRECT("template!"&amp;"E"&amp;A726)))</f>
        <v>#REF!</v>
      </c>
      <c r="I726" t="e" cm="1">
        <f t="array" aca="1" ref="I726" ca="1">IF(OR(A726="",B726="safety"),"",IF(ISBLANK(INDIRECT("template!"&amp;"F"&amp;A726)),"",INDIRECT("template!"&amp;"F"&amp;A726)))</f>
        <v>#REF!</v>
      </c>
      <c r="J726" t="e" cm="1">
        <f t="array" aca="1" ref="J726" ca="1">IF(OR(A726="",B726="safety"),"",IF(ISBLANK(INDIRECT("template!"&amp;"G"&amp;A726)),"",INDIRECT("template!"&amp;"G"&amp;A726)))</f>
        <v>#REF!</v>
      </c>
      <c r="K726" t="e" cm="1">
        <f t="array" aca="1" ref="K726" ca="1">IF(OR(A726="",B726="safety"),"",IF(ISBLANK(INDIRECT("template!"&amp;"H"&amp;A726)),"",INDIRECT("template!"&amp;"H"&amp;A726)))</f>
        <v>#REF!</v>
      </c>
      <c r="L726" t="e" cm="1">
        <f t="array" aca="1" ref="L726" ca="1">IF(OR(A726="",B726="safety"),"",INDIRECT("template!"&amp;"I"&amp;A726))</f>
        <v>#REF!</v>
      </c>
      <c r="M726" t="e" cm="1">
        <f t="array" aca="1" ref="M726" ca="1">IF(OR(A726="",B726="safety"),"",INDIRECT("template!"&amp;"J"&amp;A726))</f>
        <v>#REF!</v>
      </c>
      <c r="N726" t="e" cm="1">
        <f t="array" aca="1" ref="N726" ca="1">IF(OR(A726="",B726="safety"),"",IF(ISBLANK(INDIRECT("template!"&amp;"K"&amp;A726)),"",INDIRECT("template!"&amp;"K"&amp;A726)))</f>
        <v>#REF!</v>
      </c>
      <c r="O726" t="e" cm="1">
        <f t="array" aca="1" ref="O726" ca="1">IF(OR(A726="",B726="safety"),"",INDIRECT("template!"&amp;"L"&amp;A726))</f>
        <v>#REF!</v>
      </c>
      <c r="P726" t="e" cm="1">
        <f t="array" aca="1" ref="P726" ca="1">IF(OR(A726="",B726="safety"),"",INDIRECT("template!"&amp;"M"&amp;A726))</f>
        <v>#REF!</v>
      </c>
      <c r="Q726" t="e">
        <f t="shared" ca="1" si="64"/>
        <v>#REF!</v>
      </c>
      <c r="R726" t="e">
        <f t="shared" ca="1" si="65"/>
        <v>#REF!</v>
      </c>
      <c r="S726" t="e">
        <f t="shared" ca="1" si="66"/>
        <v>#REF!</v>
      </c>
      <c r="T726" t="e">
        <f t="shared" ca="1" si="67"/>
        <v>#REF!</v>
      </c>
      <c r="U726" t="e" cm="1">
        <f t="array" aca="1" ref="U726" ca="1">IF(A726="","",IF(E726="","",IF(B726="safety",INDIRECT("template!"&amp;"P"&amp;A726),Q726+R726)))</f>
        <v>#REF!</v>
      </c>
      <c r="V726" t="e" cm="1">
        <f t="array" aca="1" ref="V726" ca="1">IF(A726="","",IF(E726="","",IF(B726="safety",INDIRECT("template!"&amp;"P"&amp;A726),S726+T726)))</f>
        <v>#REF!</v>
      </c>
      <c r="W726" t="e">
        <f ca="1">IF(A726="","",IF(E726="","",#REF!))</f>
        <v>#REF!</v>
      </c>
      <c r="X726" t="e">
        <f ca="1">IF(A726="","",IF(E726="","",#REF!))</f>
        <v>#REF!</v>
      </c>
      <c r="Y726" s="39" t="e">
        <f ca="1">IF(A726="","",IF(E726="","",#REF!))</f>
        <v>#REF!</v>
      </c>
      <c r="Z726" t="e">
        <f ca="1">IF(A726="","",IF(E726="","",#REF!))</f>
        <v>#REF!</v>
      </c>
      <c r="AA726" t="e">
        <f ca="1">IF(A726="","",IF(E726="","",#REF!))</f>
        <v>#REF!</v>
      </c>
      <c r="AB726" t="e">
        <f ca="1">IF(A726="","",IF(E726="","",#REF!))</f>
        <v>#REF!</v>
      </c>
      <c r="AC726" t="e">
        <f t="shared" ca="1" si="68"/>
        <v>#REF!</v>
      </c>
    </row>
    <row r="727" spans="1:29" x14ac:dyDescent="0.35">
      <c r="A727" t="e" cm="1">
        <f t="array" aca="1" ref="A727" ca="1">IF(A726="","",IF(OR(AND(A726+1&gt;=$AF$1,A726+1&lt;=$AF$2),AND(A726+1&gt;=$AF$6,A726+1&lt;=$AF$7),AND(A726+1&gt;=$AF$3,A726+1&lt;=$AF$4),AND(A726+1&gt;=$AF$8,A726+1&lt;=$AF$9),A726+1=$AF$5),IF(NOT(ISBLANK(INDIRECT("template!"&amp;"P"&amp;A726+1))),A726+1,IF(NOT(ISBLANK(INDIRECT("template!"&amp;"P"&amp;A726+2))),A726+2,A726+3)),IF(A726=$AF$2,$AF$3,IF(A726=$AF$4,$AF$5,IF(A726=$AF$5,$AF$6,IF(A726=$AF$7,$AF$8,""))))))</f>
        <v>#REF!</v>
      </c>
      <c r="B727" t="e">
        <f t="shared" ca="1" si="63"/>
        <v>#REF!</v>
      </c>
      <c r="C727" t="e" cm="1">
        <f t="array" aca="1" ref="C727" ca="1">IF(A727="","",IF(B727="safety","safety costs",INDIRECT("template!"&amp;"B"&amp;A727)))</f>
        <v>#REF!</v>
      </c>
      <c r="D727" t="e" cm="1">
        <f t="array" aca="1" ref="D727" ca="1">IF(OR(A727="",B727="safety"),"",INDIRECT("template!"&amp;"C"&amp;A727))</f>
        <v>#REF!</v>
      </c>
      <c r="E727" t="e" cm="1">
        <f t="array" aca="1" ref="E727" ca="1">IF(A727="","",IF(OR(A727=A726+1,A727=A726+2),E726,INDIRECT("template!"&amp;"D"&amp;A727-2)))</f>
        <v>#REF!</v>
      </c>
      <c r="F727" t="e" cm="1">
        <f t="array" aca="1" ref="F727" ca="1">IF(OR(A727="",B727="safety"),"",IF(ISBLANK(IF(A727=A726+1,F726,INDIRECT("template!"&amp;"D"&amp;A727-1))),"",IF(A727=A726+1,F726,INDIRECT("template!"&amp;"D"&amp;A727-1))))</f>
        <v>#REF!</v>
      </c>
      <c r="G727" t="e" cm="1">
        <f t="array" aca="1" ref="G727" ca="1">IF(OR(A727="",B727="safety"),"",IF(ISBLANK(INDIRECT("template!"&amp;"D"&amp;A727)),"",INDIRECT("template!"&amp;"D"&amp;A727)))</f>
        <v>#REF!</v>
      </c>
      <c r="H727" t="e" cm="1">
        <f t="array" aca="1" ref="H727" ca="1">IF(OR(A727="",B727="safety"),"",IF(ISBLANK(INDIRECT("template!"&amp;"E"&amp;A727)),"",INDIRECT("template!"&amp;"E"&amp;A727)))</f>
        <v>#REF!</v>
      </c>
      <c r="I727" t="e" cm="1">
        <f t="array" aca="1" ref="I727" ca="1">IF(OR(A727="",B727="safety"),"",IF(ISBLANK(INDIRECT("template!"&amp;"F"&amp;A727)),"",INDIRECT("template!"&amp;"F"&amp;A727)))</f>
        <v>#REF!</v>
      </c>
      <c r="J727" t="e" cm="1">
        <f t="array" aca="1" ref="J727" ca="1">IF(OR(A727="",B727="safety"),"",IF(ISBLANK(INDIRECT("template!"&amp;"G"&amp;A727)),"",INDIRECT("template!"&amp;"G"&amp;A727)))</f>
        <v>#REF!</v>
      </c>
      <c r="K727" t="e" cm="1">
        <f t="array" aca="1" ref="K727" ca="1">IF(OR(A727="",B727="safety"),"",IF(ISBLANK(INDIRECT("template!"&amp;"H"&amp;A727)),"",INDIRECT("template!"&amp;"H"&amp;A727)))</f>
        <v>#REF!</v>
      </c>
      <c r="L727" t="e" cm="1">
        <f t="array" aca="1" ref="L727" ca="1">IF(OR(A727="",B727="safety"),"",INDIRECT("template!"&amp;"I"&amp;A727))</f>
        <v>#REF!</v>
      </c>
      <c r="M727" t="e" cm="1">
        <f t="array" aca="1" ref="M727" ca="1">IF(OR(A727="",B727="safety"),"",INDIRECT("template!"&amp;"J"&amp;A727))</f>
        <v>#REF!</v>
      </c>
      <c r="N727" t="e" cm="1">
        <f t="array" aca="1" ref="N727" ca="1">IF(OR(A727="",B727="safety"),"",IF(ISBLANK(INDIRECT("template!"&amp;"K"&amp;A727)),"",INDIRECT("template!"&amp;"K"&amp;A727)))</f>
        <v>#REF!</v>
      </c>
      <c r="O727" t="e" cm="1">
        <f t="array" aca="1" ref="O727" ca="1">IF(OR(A727="",B727="safety"),"",INDIRECT("template!"&amp;"L"&amp;A727))</f>
        <v>#REF!</v>
      </c>
      <c r="P727" t="e" cm="1">
        <f t="array" aca="1" ref="P727" ca="1">IF(OR(A727="",B727="safety"),"",INDIRECT("template!"&amp;"M"&amp;A727))</f>
        <v>#REF!</v>
      </c>
      <c r="Q727" t="e">
        <f t="shared" ca="1" si="64"/>
        <v>#REF!</v>
      </c>
      <c r="R727" t="e">
        <f t="shared" ca="1" si="65"/>
        <v>#REF!</v>
      </c>
      <c r="S727" t="e">
        <f t="shared" ca="1" si="66"/>
        <v>#REF!</v>
      </c>
      <c r="T727" t="e">
        <f t="shared" ca="1" si="67"/>
        <v>#REF!</v>
      </c>
      <c r="U727" t="e" cm="1">
        <f t="array" aca="1" ref="U727" ca="1">IF(A727="","",IF(E727="","",IF(B727="safety",INDIRECT("template!"&amp;"P"&amp;A727),Q727+R727)))</f>
        <v>#REF!</v>
      </c>
      <c r="V727" t="e" cm="1">
        <f t="array" aca="1" ref="V727" ca="1">IF(A727="","",IF(E727="","",IF(B727="safety",INDIRECT("template!"&amp;"P"&amp;A727),S727+T727)))</f>
        <v>#REF!</v>
      </c>
      <c r="W727" t="e">
        <f ca="1">IF(A727="","",IF(E727="","",#REF!))</f>
        <v>#REF!</v>
      </c>
      <c r="X727" t="e">
        <f ca="1">IF(A727="","",IF(E727="","",#REF!))</f>
        <v>#REF!</v>
      </c>
      <c r="Y727" s="39" t="e">
        <f ca="1">IF(A727="","",IF(E727="","",#REF!))</f>
        <v>#REF!</v>
      </c>
      <c r="Z727" t="e">
        <f ca="1">IF(A727="","",IF(E727="","",#REF!))</f>
        <v>#REF!</v>
      </c>
      <c r="AA727" t="e">
        <f ca="1">IF(A727="","",IF(E727="","",#REF!))</f>
        <v>#REF!</v>
      </c>
      <c r="AB727" t="e">
        <f ca="1">IF(A727="","",IF(E727="","",#REF!))</f>
        <v>#REF!</v>
      </c>
      <c r="AC727" t="e">
        <f t="shared" ca="1" si="68"/>
        <v>#REF!</v>
      </c>
    </row>
    <row r="728" spans="1:29" x14ac:dyDescent="0.35">
      <c r="A728" t="e" cm="1">
        <f t="array" aca="1" ref="A728" ca="1">IF(A727="","",IF(OR(AND(A727+1&gt;=$AF$1,A727+1&lt;=$AF$2),AND(A727+1&gt;=$AF$6,A727+1&lt;=$AF$7),AND(A727+1&gt;=$AF$3,A727+1&lt;=$AF$4),AND(A727+1&gt;=$AF$8,A727+1&lt;=$AF$9),A727+1=$AF$5),IF(NOT(ISBLANK(INDIRECT("template!"&amp;"P"&amp;A727+1))),A727+1,IF(NOT(ISBLANK(INDIRECT("template!"&amp;"P"&amp;A727+2))),A727+2,A727+3)),IF(A727=$AF$2,$AF$3,IF(A727=$AF$4,$AF$5,IF(A727=$AF$5,$AF$6,IF(A727=$AF$7,$AF$8,""))))))</f>
        <v>#REF!</v>
      </c>
      <c r="B728" t="e">
        <f t="shared" ca="1" si="63"/>
        <v>#REF!</v>
      </c>
      <c r="C728" t="e" cm="1">
        <f t="array" aca="1" ref="C728" ca="1">IF(A728="","",IF(B728="safety","safety costs",INDIRECT("template!"&amp;"B"&amp;A728)))</f>
        <v>#REF!</v>
      </c>
      <c r="D728" t="e" cm="1">
        <f t="array" aca="1" ref="D728" ca="1">IF(OR(A728="",B728="safety"),"",INDIRECT("template!"&amp;"C"&amp;A728))</f>
        <v>#REF!</v>
      </c>
      <c r="E728" t="e" cm="1">
        <f t="array" aca="1" ref="E728" ca="1">IF(A728="","",IF(OR(A728=A727+1,A728=A727+2),E727,INDIRECT("template!"&amp;"D"&amp;A728-2)))</f>
        <v>#REF!</v>
      </c>
      <c r="F728" t="e" cm="1">
        <f t="array" aca="1" ref="F728" ca="1">IF(OR(A728="",B728="safety"),"",IF(ISBLANK(IF(A728=A727+1,F727,INDIRECT("template!"&amp;"D"&amp;A728-1))),"",IF(A728=A727+1,F727,INDIRECT("template!"&amp;"D"&amp;A728-1))))</f>
        <v>#REF!</v>
      </c>
      <c r="G728" t="e" cm="1">
        <f t="array" aca="1" ref="G728" ca="1">IF(OR(A728="",B728="safety"),"",IF(ISBLANK(INDIRECT("template!"&amp;"D"&amp;A728)),"",INDIRECT("template!"&amp;"D"&amp;A728)))</f>
        <v>#REF!</v>
      </c>
      <c r="H728" t="e" cm="1">
        <f t="array" aca="1" ref="H728" ca="1">IF(OR(A728="",B728="safety"),"",IF(ISBLANK(INDIRECT("template!"&amp;"E"&amp;A728)),"",INDIRECT("template!"&amp;"E"&amp;A728)))</f>
        <v>#REF!</v>
      </c>
      <c r="I728" t="e" cm="1">
        <f t="array" aca="1" ref="I728" ca="1">IF(OR(A728="",B728="safety"),"",IF(ISBLANK(INDIRECT("template!"&amp;"F"&amp;A728)),"",INDIRECT("template!"&amp;"F"&amp;A728)))</f>
        <v>#REF!</v>
      </c>
      <c r="J728" t="e" cm="1">
        <f t="array" aca="1" ref="J728" ca="1">IF(OR(A728="",B728="safety"),"",IF(ISBLANK(INDIRECT("template!"&amp;"G"&amp;A728)),"",INDIRECT("template!"&amp;"G"&amp;A728)))</f>
        <v>#REF!</v>
      </c>
      <c r="K728" t="e" cm="1">
        <f t="array" aca="1" ref="K728" ca="1">IF(OR(A728="",B728="safety"),"",IF(ISBLANK(INDIRECT("template!"&amp;"H"&amp;A728)),"",INDIRECT("template!"&amp;"H"&amp;A728)))</f>
        <v>#REF!</v>
      </c>
      <c r="L728" t="e" cm="1">
        <f t="array" aca="1" ref="L728" ca="1">IF(OR(A728="",B728="safety"),"",INDIRECT("template!"&amp;"I"&amp;A728))</f>
        <v>#REF!</v>
      </c>
      <c r="M728" t="e" cm="1">
        <f t="array" aca="1" ref="M728" ca="1">IF(OR(A728="",B728="safety"),"",INDIRECT("template!"&amp;"J"&amp;A728))</f>
        <v>#REF!</v>
      </c>
      <c r="N728" t="e" cm="1">
        <f t="array" aca="1" ref="N728" ca="1">IF(OR(A728="",B728="safety"),"",IF(ISBLANK(INDIRECT("template!"&amp;"K"&amp;A728)),"",INDIRECT("template!"&amp;"K"&amp;A728)))</f>
        <v>#REF!</v>
      </c>
      <c r="O728" t="e" cm="1">
        <f t="array" aca="1" ref="O728" ca="1">IF(OR(A728="",B728="safety"),"",INDIRECT("template!"&amp;"L"&amp;A728))</f>
        <v>#REF!</v>
      </c>
      <c r="P728" t="e" cm="1">
        <f t="array" aca="1" ref="P728" ca="1">IF(OR(A728="",B728="safety"),"",INDIRECT("template!"&amp;"M"&amp;A728))</f>
        <v>#REF!</v>
      </c>
      <c r="Q728" t="e">
        <f t="shared" ca="1" si="64"/>
        <v>#REF!</v>
      </c>
      <c r="R728" t="e">
        <f t="shared" ca="1" si="65"/>
        <v>#REF!</v>
      </c>
      <c r="S728" t="e">
        <f t="shared" ca="1" si="66"/>
        <v>#REF!</v>
      </c>
      <c r="T728" t="e">
        <f t="shared" ca="1" si="67"/>
        <v>#REF!</v>
      </c>
      <c r="U728" t="e" cm="1">
        <f t="array" aca="1" ref="U728" ca="1">IF(A728="","",IF(E728="","",IF(B728="safety",INDIRECT("template!"&amp;"P"&amp;A728),Q728+R728)))</f>
        <v>#REF!</v>
      </c>
      <c r="V728" t="e" cm="1">
        <f t="array" aca="1" ref="V728" ca="1">IF(A728="","",IF(E728="","",IF(B728="safety",INDIRECT("template!"&amp;"P"&amp;A728),S728+T728)))</f>
        <v>#REF!</v>
      </c>
      <c r="W728" t="e">
        <f ca="1">IF(A728="","",IF(E728="","",#REF!))</f>
        <v>#REF!</v>
      </c>
      <c r="X728" t="e">
        <f ca="1">IF(A728="","",IF(E728="","",#REF!))</f>
        <v>#REF!</v>
      </c>
      <c r="Y728" s="39" t="e">
        <f ca="1">IF(A728="","",IF(E728="","",#REF!))</f>
        <v>#REF!</v>
      </c>
      <c r="Z728" t="e">
        <f ca="1">IF(A728="","",IF(E728="","",#REF!))</f>
        <v>#REF!</v>
      </c>
      <c r="AA728" t="e">
        <f ca="1">IF(A728="","",IF(E728="","",#REF!))</f>
        <v>#REF!</v>
      </c>
      <c r="AB728" t="e">
        <f ca="1">IF(A728="","",IF(E728="","",#REF!))</f>
        <v>#REF!</v>
      </c>
      <c r="AC728" t="e">
        <f t="shared" ca="1" si="68"/>
        <v>#REF!</v>
      </c>
    </row>
    <row r="729" spans="1:29" x14ac:dyDescent="0.35">
      <c r="A729" t="e" cm="1">
        <f t="array" aca="1" ref="A729" ca="1">IF(A728="","",IF(OR(AND(A728+1&gt;=$AF$1,A728+1&lt;=$AF$2),AND(A728+1&gt;=$AF$6,A728+1&lt;=$AF$7),AND(A728+1&gt;=$AF$3,A728+1&lt;=$AF$4),AND(A728+1&gt;=$AF$8,A728+1&lt;=$AF$9),A728+1=$AF$5),IF(NOT(ISBLANK(INDIRECT("template!"&amp;"P"&amp;A728+1))),A728+1,IF(NOT(ISBLANK(INDIRECT("template!"&amp;"P"&amp;A728+2))),A728+2,A728+3)),IF(A728=$AF$2,$AF$3,IF(A728=$AF$4,$AF$5,IF(A728=$AF$5,$AF$6,IF(A728=$AF$7,$AF$8,""))))))</f>
        <v>#REF!</v>
      </c>
      <c r="B729" t="e">
        <f t="shared" ca="1" si="63"/>
        <v>#REF!</v>
      </c>
      <c r="C729" t="e" cm="1">
        <f t="array" aca="1" ref="C729" ca="1">IF(A729="","",IF(B729="safety","safety costs",INDIRECT("template!"&amp;"B"&amp;A729)))</f>
        <v>#REF!</v>
      </c>
      <c r="D729" t="e" cm="1">
        <f t="array" aca="1" ref="D729" ca="1">IF(OR(A729="",B729="safety"),"",INDIRECT("template!"&amp;"C"&amp;A729))</f>
        <v>#REF!</v>
      </c>
      <c r="E729" t="e" cm="1">
        <f t="array" aca="1" ref="E729" ca="1">IF(A729="","",IF(OR(A729=A728+1,A729=A728+2),E728,INDIRECT("template!"&amp;"D"&amp;A729-2)))</f>
        <v>#REF!</v>
      </c>
      <c r="F729" t="e" cm="1">
        <f t="array" aca="1" ref="F729" ca="1">IF(OR(A729="",B729="safety"),"",IF(ISBLANK(IF(A729=A728+1,F728,INDIRECT("template!"&amp;"D"&amp;A729-1))),"",IF(A729=A728+1,F728,INDIRECT("template!"&amp;"D"&amp;A729-1))))</f>
        <v>#REF!</v>
      </c>
      <c r="G729" t="e" cm="1">
        <f t="array" aca="1" ref="G729" ca="1">IF(OR(A729="",B729="safety"),"",IF(ISBLANK(INDIRECT("template!"&amp;"D"&amp;A729)),"",INDIRECT("template!"&amp;"D"&amp;A729)))</f>
        <v>#REF!</v>
      </c>
      <c r="H729" t="e" cm="1">
        <f t="array" aca="1" ref="H729" ca="1">IF(OR(A729="",B729="safety"),"",IF(ISBLANK(INDIRECT("template!"&amp;"E"&amp;A729)),"",INDIRECT("template!"&amp;"E"&amp;A729)))</f>
        <v>#REF!</v>
      </c>
      <c r="I729" t="e" cm="1">
        <f t="array" aca="1" ref="I729" ca="1">IF(OR(A729="",B729="safety"),"",IF(ISBLANK(INDIRECT("template!"&amp;"F"&amp;A729)),"",INDIRECT("template!"&amp;"F"&amp;A729)))</f>
        <v>#REF!</v>
      </c>
      <c r="J729" t="e" cm="1">
        <f t="array" aca="1" ref="J729" ca="1">IF(OR(A729="",B729="safety"),"",IF(ISBLANK(INDIRECT("template!"&amp;"G"&amp;A729)),"",INDIRECT("template!"&amp;"G"&amp;A729)))</f>
        <v>#REF!</v>
      </c>
      <c r="K729" t="e" cm="1">
        <f t="array" aca="1" ref="K729" ca="1">IF(OR(A729="",B729="safety"),"",IF(ISBLANK(INDIRECT("template!"&amp;"H"&amp;A729)),"",INDIRECT("template!"&amp;"H"&amp;A729)))</f>
        <v>#REF!</v>
      </c>
      <c r="L729" t="e" cm="1">
        <f t="array" aca="1" ref="L729" ca="1">IF(OR(A729="",B729="safety"),"",INDIRECT("template!"&amp;"I"&amp;A729))</f>
        <v>#REF!</v>
      </c>
      <c r="M729" t="e" cm="1">
        <f t="array" aca="1" ref="M729" ca="1">IF(OR(A729="",B729="safety"),"",INDIRECT("template!"&amp;"J"&amp;A729))</f>
        <v>#REF!</v>
      </c>
      <c r="N729" t="e" cm="1">
        <f t="array" aca="1" ref="N729" ca="1">IF(OR(A729="",B729="safety"),"",IF(ISBLANK(INDIRECT("template!"&amp;"K"&amp;A729)),"",INDIRECT("template!"&amp;"K"&amp;A729)))</f>
        <v>#REF!</v>
      </c>
      <c r="O729" t="e" cm="1">
        <f t="array" aca="1" ref="O729" ca="1">IF(OR(A729="",B729="safety"),"",INDIRECT("template!"&amp;"L"&amp;A729))</f>
        <v>#REF!</v>
      </c>
      <c r="P729" t="e" cm="1">
        <f t="array" aca="1" ref="P729" ca="1">IF(OR(A729="",B729="safety"),"",INDIRECT("template!"&amp;"M"&amp;A729))</f>
        <v>#REF!</v>
      </c>
      <c r="Q729" t="e">
        <f t="shared" ca="1" si="64"/>
        <v>#REF!</v>
      </c>
      <c r="R729" t="e">
        <f t="shared" ca="1" si="65"/>
        <v>#REF!</v>
      </c>
      <c r="S729" t="e">
        <f t="shared" ca="1" si="66"/>
        <v>#REF!</v>
      </c>
      <c r="T729" t="e">
        <f t="shared" ca="1" si="67"/>
        <v>#REF!</v>
      </c>
      <c r="U729" t="e" cm="1">
        <f t="array" aca="1" ref="U729" ca="1">IF(A729="","",IF(E729="","",IF(B729="safety",INDIRECT("template!"&amp;"P"&amp;A729),Q729+R729)))</f>
        <v>#REF!</v>
      </c>
      <c r="V729" t="e" cm="1">
        <f t="array" aca="1" ref="V729" ca="1">IF(A729="","",IF(E729="","",IF(B729="safety",INDIRECT("template!"&amp;"P"&amp;A729),S729+T729)))</f>
        <v>#REF!</v>
      </c>
      <c r="W729" t="e">
        <f ca="1">IF(A729="","",IF(E729="","",#REF!))</f>
        <v>#REF!</v>
      </c>
      <c r="X729" t="e">
        <f ca="1">IF(A729="","",IF(E729="","",#REF!))</f>
        <v>#REF!</v>
      </c>
      <c r="Y729" s="39" t="e">
        <f ca="1">IF(A729="","",IF(E729="","",#REF!))</f>
        <v>#REF!</v>
      </c>
      <c r="Z729" t="e">
        <f ca="1">IF(A729="","",IF(E729="","",#REF!))</f>
        <v>#REF!</v>
      </c>
      <c r="AA729" t="e">
        <f ca="1">IF(A729="","",IF(E729="","",#REF!))</f>
        <v>#REF!</v>
      </c>
      <c r="AB729" t="e">
        <f ca="1">IF(A729="","",IF(E729="","",#REF!))</f>
        <v>#REF!</v>
      </c>
      <c r="AC729" t="e">
        <f t="shared" ca="1" si="68"/>
        <v>#REF!</v>
      </c>
    </row>
    <row r="730" spans="1:29" x14ac:dyDescent="0.35">
      <c r="A730" t="e" cm="1">
        <f t="array" aca="1" ref="A730" ca="1">IF(A729="","",IF(OR(AND(A729+1&gt;=$AF$1,A729+1&lt;=$AF$2),AND(A729+1&gt;=$AF$6,A729+1&lt;=$AF$7),AND(A729+1&gt;=$AF$3,A729+1&lt;=$AF$4),AND(A729+1&gt;=$AF$8,A729+1&lt;=$AF$9),A729+1=$AF$5),IF(NOT(ISBLANK(INDIRECT("template!"&amp;"P"&amp;A729+1))),A729+1,IF(NOT(ISBLANK(INDIRECT("template!"&amp;"P"&amp;A729+2))),A729+2,A729+3)),IF(A729=$AF$2,$AF$3,IF(A729=$AF$4,$AF$5,IF(A729=$AF$5,$AF$6,IF(A729=$AF$7,$AF$8,""))))))</f>
        <v>#REF!</v>
      </c>
      <c r="B730" t="e">
        <f t="shared" ca="1" si="63"/>
        <v>#REF!</v>
      </c>
      <c r="C730" t="e" cm="1">
        <f t="array" aca="1" ref="C730" ca="1">IF(A730="","",IF(B730="safety","safety costs",INDIRECT("template!"&amp;"B"&amp;A730)))</f>
        <v>#REF!</v>
      </c>
      <c r="D730" t="e" cm="1">
        <f t="array" aca="1" ref="D730" ca="1">IF(OR(A730="",B730="safety"),"",INDIRECT("template!"&amp;"C"&amp;A730))</f>
        <v>#REF!</v>
      </c>
      <c r="E730" t="e" cm="1">
        <f t="array" aca="1" ref="E730" ca="1">IF(A730="","",IF(OR(A730=A729+1,A730=A729+2),E729,INDIRECT("template!"&amp;"D"&amp;A730-2)))</f>
        <v>#REF!</v>
      </c>
      <c r="F730" t="e" cm="1">
        <f t="array" aca="1" ref="F730" ca="1">IF(OR(A730="",B730="safety"),"",IF(ISBLANK(IF(A730=A729+1,F729,INDIRECT("template!"&amp;"D"&amp;A730-1))),"",IF(A730=A729+1,F729,INDIRECT("template!"&amp;"D"&amp;A730-1))))</f>
        <v>#REF!</v>
      </c>
      <c r="G730" t="e" cm="1">
        <f t="array" aca="1" ref="G730" ca="1">IF(OR(A730="",B730="safety"),"",IF(ISBLANK(INDIRECT("template!"&amp;"D"&amp;A730)),"",INDIRECT("template!"&amp;"D"&amp;A730)))</f>
        <v>#REF!</v>
      </c>
      <c r="H730" t="e" cm="1">
        <f t="array" aca="1" ref="H730" ca="1">IF(OR(A730="",B730="safety"),"",IF(ISBLANK(INDIRECT("template!"&amp;"E"&amp;A730)),"",INDIRECT("template!"&amp;"E"&amp;A730)))</f>
        <v>#REF!</v>
      </c>
      <c r="I730" t="e" cm="1">
        <f t="array" aca="1" ref="I730" ca="1">IF(OR(A730="",B730="safety"),"",IF(ISBLANK(INDIRECT("template!"&amp;"F"&amp;A730)),"",INDIRECT("template!"&amp;"F"&amp;A730)))</f>
        <v>#REF!</v>
      </c>
      <c r="J730" t="e" cm="1">
        <f t="array" aca="1" ref="J730" ca="1">IF(OR(A730="",B730="safety"),"",IF(ISBLANK(INDIRECT("template!"&amp;"G"&amp;A730)),"",INDIRECT("template!"&amp;"G"&amp;A730)))</f>
        <v>#REF!</v>
      </c>
      <c r="K730" t="e" cm="1">
        <f t="array" aca="1" ref="K730" ca="1">IF(OR(A730="",B730="safety"),"",IF(ISBLANK(INDIRECT("template!"&amp;"H"&amp;A730)),"",INDIRECT("template!"&amp;"H"&amp;A730)))</f>
        <v>#REF!</v>
      </c>
      <c r="L730" t="e" cm="1">
        <f t="array" aca="1" ref="L730" ca="1">IF(OR(A730="",B730="safety"),"",INDIRECT("template!"&amp;"I"&amp;A730))</f>
        <v>#REF!</v>
      </c>
      <c r="M730" t="e" cm="1">
        <f t="array" aca="1" ref="M730" ca="1">IF(OR(A730="",B730="safety"),"",INDIRECT("template!"&amp;"J"&amp;A730))</f>
        <v>#REF!</v>
      </c>
      <c r="N730" t="e" cm="1">
        <f t="array" aca="1" ref="N730" ca="1">IF(OR(A730="",B730="safety"),"",IF(ISBLANK(INDIRECT("template!"&amp;"K"&amp;A730)),"",INDIRECT("template!"&amp;"K"&amp;A730)))</f>
        <v>#REF!</v>
      </c>
      <c r="O730" t="e" cm="1">
        <f t="array" aca="1" ref="O730" ca="1">IF(OR(A730="",B730="safety"),"",INDIRECT("template!"&amp;"L"&amp;A730))</f>
        <v>#REF!</v>
      </c>
      <c r="P730" t="e" cm="1">
        <f t="array" aca="1" ref="P730" ca="1">IF(OR(A730="",B730="safety"),"",INDIRECT("template!"&amp;"M"&amp;A730))</f>
        <v>#REF!</v>
      </c>
      <c r="Q730" t="e">
        <f t="shared" ca="1" si="64"/>
        <v>#REF!</v>
      </c>
      <c r="R730" t="e">
        <f t="shared" ca="1" si="65"/>
        <v>#REF!</v>
      </c>
      <c r="S730" t="e">
        <f t="shared" ca="1" si="66"/>
        <v>#REF!</v>
      </c>
      <c r="T730" t="e">
        <f t="shared" ca="1" si="67"/>
        <v>#REF!</v>
      </c>
      <c r="U730" t="e" cm="1">
        <f t="array" aca="1" ref="U730" ca="1">IF(A730="","",IF(E730="","",IF(B730="safety",INDIRECT("template!"&amp;"P"&amp;A730),Q730+R730)))</f>
        <v>#REF!</v>
      </c>
      <c r="V730" t="e" cm="1">
        <f t="array" aca="1" ref="V730" ca="1">IF(A730="","",IF(E730="","",IF(B730="safety",INDIRECT("template!"&amp;"P"&amp;A730),S730+T730)))</f>
        <v>#REF!</v>
      </c>
      <c r="W730" t="e">
        <f ca="1">IF(A730="","",IF(E730="","",#REF!))</f>
        <v>#REF!</v>
      </c>
      <c r="X730" t="e">
        <f ca="1">IF(A730="","",IF(E730="","",#REF!))</f>
        <v>#REF!</v>
      </c>
      <c r="Y730" s="39" t="e">
        <f ca="1">IF(A730="","",IF(E730="","",#REF!))</f>
        <v>#REF!</v>
      </c>
      <c r="Z730" t="e">
        <f ca="1">IF(A730="","",IF(E730="","",#REF!))</f>
        <v>#REF!</v>
      </c>
      <c r="AA730" t="e">
        <f ca="1">IF(A730="","",IF(E730="","",#REF!))</f>
        <v>#REF!</v>
      </c>
      <c r="AB730" t="e">
        <f ca="1">IF(A730="","",IF(E730="","",#REF!))</f>
        <v>#REF!</v>
      </c>
      <c r="AC730" t="e">
        <f t="shared" ca="1" si="68"/>
        <v>#REF!</v>
      </c>
    </row>
    <row r="731" spans="1:29" x14ac:dyDescent="0.35">
      <c r="A731" t="e" cm="1">
        <f t="array" aca="1" ref="A731" ca="1">IF(A730="","",IF(OR(AND(A730+1&gt;=$AF$1,A730+1&lt;=$AF$2),AND(A730+1&gt;=$AF$6,A730+1&lt;=$AF$7),AND(A730+1&gt;=$AF$3,A730+1&lt;=$AF$4),AND(A730+1&gt;=$AF$8,A730+1&lt;=$AF$9),A730+1=$AF$5),IF(NOT(ISBLANK(INDIRECT("template!"&amp;"P"&amp;A730+1))),A730+1,IF(NOT(ISBLANK(INDIRECT("template!"&amp;"P"&amp;A730+2))),A730+2,A730+3)),IF(A730=$AF$2,$AF$3,IF(A730=$AF$4,$AF$5,IF(A730=$AF$5,$AF$6,IF(A730=$AF$7,$AF$8,""))))))</f>
        <v>#REF!</v>
      </c>
      <c r="B731" t="e">
        <f t="shared" ca="1" si="63"/>
        <v>#REF!</v>
      </c>
      <c r="C731" t="e" cm="1">
        <f t="array" aca="1" ref="C731" ca="1">IF(A731="","",IF(B731="safety","safety costs",INDIRECT("template!"&amp;"B"&amp;A731)))</f>
        <v>#REF!</v>
      </c>
      <c r="D731" t="e" cm="1">
        <f t="array" aca="1" ref="D731" ca="1">IF(OR(A731="",B731="safety"),"",INDIRECT("template!"&amp;"C"&amp;A731))</f>
        <v>#REF!</v>
      </c>
      <c r="E731" t="e" cm="1">
        <f t="array" aca="1" ref="E731" ca="1">IF(A731="","",IF(OR(A731=A730+1,A731=A730+2),E730,INDIRECT("template!"&amp;"D"&amp;A731-2)))</f>
        <v>#REF!</v>
      </c>
      <c r="F731" t="e" cm="1">
        <f t="array" aca="1" ref="F731" ca="1">IF(OR(A731="",B731="safety"),"",IF(ISBLANK(IF(A731=A730+1,F730,INDIRECT("template!"&amp;"D"&amp;A731-1))),"",IF(A731=A730+1,F730,INDIRECT("template!"&amp;"D"&amp;A731-1))))</f>
        <v>#REF!</v>
      </c>
      <c r="G731" t="e" cm="1">
        <f t="array" aca="1" ref="G731" ca="1">IF(OR(A731="",B731="safety"),"",IF(ISBLANK(INDIRECT("template!"&amp;"D"&amp;A731)),"",INDIRECT("template!"&amp;"D"&amp;A731)))</f>
        <v>#REF!</v>
      </c>
      <c r="H731" t="e" cm="1">
        <f t="array" aca="1" ref="H731" ca="1">IF(OR(A731="",B731="safety"),"",IF(ISBLANK(INDIRECT("template!"&amp;"E"&amp;A731)),"",INDIRECT("template!"&amp;"E"&amp;A731)))</f>
        <v>#REF!</v>
      </c>
      <c r="I731" t="e" cm="1">
        <f t="array" aca="1" ref="I731" ca="1">IF(OR(A731="",B731="safety"),"",IF(ISBLANK(INDIRECT("template!"&amp;"F"&amp;A731)),"",INDIRECT("template!"&amp;"F"&amp;A731)))</f>
        <v>#REF!</v>
      </c>
      <c r="J731" t="e" cm="1">
        <f t="array" aca="1" ref="J731" ca="1">IF(OR(A731="",B731="safety"),"",IF(ISBLANK(INDIRECT("template!"&amp;"G"&amp;A731)),"",INDIRECT("template!"&amp;"G"&amp;A731)))</f>
        <v>#REF!</v>
      </c>
      <c r="K731" t="e" cm="1">
        <f t="array" aca="1" ref="K731" ca="1">IF(OR(A731="",B731="safety"),"",IF(ISBLANK(INDIRECT("template!"&amp;"H"&amp;A731)),"",INDIRECT("template!"&amp;"H"&amp;A731)))</f>
        <v>#REF!</v>
      </c>
      <c r="L731" t="e" cm="1">
        <f t="array" aca="1" ref="L731" ca="1">IF(OR(A731="",B731="safety"),"",INDIRECT("template!"&amp;"I"&amp;A731))</f>
        <v>#REF!</v>
      </c>
      <c r="M731" t="e" cm="1">
        <f t="array" aca="1" ref="M731" ca="1">IF(OR(A731="",B731="safety"),"",INDIRECT("template!"&amp;"J"&amp;A731))</f>
        <v>#REF!</v>
      </c>
      <c r="N731" t="e" cm="1">
        <f t="array" aca="1" ref="N731" ca="1">IF(OR(A731="",B731="safety"),"",IF(ISBLANK(INDIRECT("template!"&amp;"K"&amp;A731)),"",INDIRECT("template!"&amp;"K"&amp;A731)))</f>
        <v>#REF!</v>
      </c>
      <c r="O731" t="e" cm="1">
        <f t="array" aca="1" ref="O731" ca="1">IF(OR(A731="",B731="safety"),"",INDIRECT("template!"&amp;"L"&amp;A731))</f>
        <v>#REF!</v>
      </c>
      <c r="P731" t="e" cm="1">
        <f t="array" aca="1" ref="P731" ca="1">IF(OR(A731="",B731="safety"),"",INDIRECT("template!"&amp;"M"&amp;A731))</f>
        <v>#REF!</v>
      </c>
      <c r="Q731" t="e">
        <f t="shared" ca="1" si="64"/>
        <v>#REF!</v>
      </c>
      <c r="R731" t="e">
        <f t="shared" ca="1" si="65"/>
        <v>#REF!</v>
      </c>
      <c r="S731" t="e">
        <f t="shared" ca="1" si="66"/>
        <v>#REF!</v>
      </c>
      <c r="T731" t="e">
        <f t="shared" ca="1" si="67"/>
        <v>#REF!</v>
      </c>
      <c r="U731" t="e" cm="1">
        <f t="array" aca="1" ref="U731" ca="1">IF(A731="","",IF(E731="","",IF(B731="safety",INDIRECT("template!"&amp;"P"&amp;A731),Q731+R731)))</f>
        <v>#REF!</v>
      </c>
      <c r="V731" t="e" cm="1">
        <f t="array" aca="1" ref="V731" ca="1">IF(A731="","",IF(E731="","",IF(B731="safety",INDIRECT("template!"&amp;"P"&amp;A731),S731+T731)))</f>
        <v>#REF!</v>
      </c>
      <c r="W731" t="e">
        <f ca="1">IF(A731="","",IF(E731="","",#REF!))</f>
        <v>#REF!</v>
      </c>
      <c r="X731" t="e">
        <f ca="1">IF(A731="","",IF(E731="","",#REF!))</f>
        <v>#REF!</v>
      </c>
      <c r="Y731" s="39" t="e">
        <f ca="1">IF(A731="","",IF(E731="","",#REF!))</f>
        <v>#REF!</v>
      </c>
      <c r="Z731" t="e">
        <f ca="1">IF(A731="","",IF(E731="","",#REF!))</f>
        <v>#REF!</v>
      </c>
      <c r="AA731" t="e">
        <f ca="1">IF(A731="","",IF(E731="","",#REF!))</f>
        <v>#REF!</v>
      </c>
      <c r="AB731" t="e">
        <f ca="1">IF(A731="","",IF(E731="","",#REF!))</f>
        <v>#REF!</v>
      </c>
      <c r="AC731" t="e">
        <f t="shared" ca="1" si="68"/>
        <v>#REF!</v>
      </c>
    </row>
    <row r="732" spans="1:29" x14ac:dyDescent="0.35">
      <c r="A732" t="e" cm="1">
        <f t="array" aca="1" ref="A732" ca="1">IF(A731="","",IF(OR(AND(A731+1&gt;=$AF$1,A731+1&lt;=$AF$2),AND(A731+1&gt;=$AF$6,A731+1&lt;=$AF$7),AND(A731+1&gt;=$AF$3,A731+1&lt;=$AF$4),AND(A731+1&gt;=$AF$8,A731+1&lt;=$AF$9),A731+1=$AF$5),IF(NOT(ISBLANK(INDIRECT("template!"&amp;"P"&amp;A731+1))),A731+1,IF(NOT(ISBLANK(INDIRECT("template!"&amp;"P"&amp;A731+2))),A731+2,A731+3)),IF(A731=$AF$2,$AF$3,IF(A731=$AF$4,$AF$5,IF(A731=$AF$5,$AF$6,IF(A731=$AF$7,$AF$8,""))))))</f>
        <v>#REF!</v>
      </c>
      <c r="B732" t="e">
        <f t="shared" ca="1" si="63"/>
        <v>#REF!</v>
      </c>
      <c r="C732" t="e" cm="1">
        <f t="array" aca="1" ref="C732" ca="1">IF(A732="","",IF(B732="safety","safety costs",INDIRECT("template!"&amp;"B"&amp;A732)))</f>
        <v>#REF!</v>
      </c>
      <c r="D732" t="e" cm="1">
        <f t="array" aca="1" ref="D732" ca="1">IF(OR(A732="",B732="safety"),"",INDIRECT("template!"&amp;"C"&amp;A732))</f>
        <v>#REF!</v>
      </c>
      <c r="E732" t="e" cm="1">
        <f t="array" aca="1" ref="E732" ca="1">IF(A732="","",IF(OR(A732=A731+1,A732=A731+2),E731,INDIRECT("template!"&amp;"D"&amp;A732-2)))</f>
        <v>#REF!</v>
      </c>
      <c r="F732" t="e" cm="1">
        <f t="array" aca="1" ref="F732" ca="1">IF(OR(A732="",B732="safety"),"",IF(ISBLANK(IF(A732=A731+1,F731,INDIRECT("template!"&amp;"D"&amp;A732-1))),"",IF(A732=A731+1,F731,INDIRECT("template!"&amp;"D"&amp;A732-1))))</f>
        <v>#REF!</v>
      </c>
      <c r="G732" t="e" cm="1">
        <f t="array" aca="1" ref="G732" ca="1">IF(OR(A732="",B732="safety"),"",IF(ISBLANK(INDIRECT("template!"&amp;"D"&amp;A732)),"",INDIRECT("template!"&amp;"D"&amp;A732)))</f>
        <v>#REF!</v>
      </c>
      <c r="H732" t="e" cm="1">
        <f t="array" aca="1" ref="H732" ca="1">IF(OR(A732="",B732="safety"),"",IF(ISBLANK(INDIRECT("template!"&amp;"E"&amp;A732)),"",INDIRECT("template!"&amp;"E"&amp;A732)))</f>
        <v>#REF!</v>
      </c>
      <c r="I732" t="e" cm="1">
        <f t="array" aca="1" ref="I732" ca="1">IF(OR(A732="",B732="safety"),"",IF(ISBLANK(INDIRECT("template!"&amp;"F"&amp;A732)),"",INDIRECT("template!"&amp;"F"&amp;A732)))</f>
        <v>#REF!</v>
      </c>
      <c r="J732" t="e" cm="1">
        <f t="array" aca="1" ref="J732" ca="1">IF(OR(A732="",B732="safety"),"",IF(ISBLANK(INDIRECT("template!"&amp;"G"&amp;A732)),"",INDIRECT("template!"&amp;"G"&amp;A732)))</f>
        <v>#REF!</v>
      </c>
      <c r="K732" t="e" cm="1">
        <f t="array" aca="1" ref="K732" ca="1">IF(OR(A732="",B732="safety"),"",IF(ISBLANK(INDIRECT("template!"&amp;"H"&amp;A732)),"",INDIRECT("template!"&amp;"H"&amp;A732)))</f>
        <v>#REF!</v>
      </c>
      <c r="L732" t="e" cm="1">
        <f t="array" aca="1" ref="L732" ca="1">IF(OR(A732="",B732="safety"),"",INDIRECT("template!"&amp;"I"&amp;A732))</f>
        <v>#REF!</v>
      </c>
      <c r="M732" t="e" cm="1">
        <f t="array" aca="1" ref="M732" ca="1">IF(OR(A732="",B732="safety"),"",INDIRECT("template!"&amp;"J"&amp;A732))</f>
        <v>#REF!</v>
      </c>
      <c r="N732" t="e" cm="1">
        <f t="array" aca="1" ref="N732" ca="1">IF(OR(A732="",B732="safety"),"",IF(ISBLANK(INDIRECT("template!"&amp;"K"&amp;A732)),"",INDIRECT("template!"&amp;"K"&amp;A732)))</f>
        <v>#REF!</v>
      </c>
      <c r="O732" t="e" cm="1">
        <f t="array" aca="1" ref="O732" ca="1">IF(OR(A732="",B732="safety"),"",INDIRECT("template!"&amp;"L"&amp;A732))</f>
        <v>#REF!</v>
      </c>
      <c r="P732" t="e" cm="1">
        <f t="array" aca="1" ref="P732" ca="1">IF(OR(A732="",B732="safety"),"",INDIRECT("template!"&amp;"M"&amp;A732))</f>
        <v>#REF!</v>
      </c>
      <c r="Q732" t="e">
        <f t="shared" ca="1" si="64"/>
        <v>#REF!</v>
      </c>
      <c r="R732" t="e">
        <f t="shared" ca="1" si="65"/>
        <v>#REF!</v>
      </c>
      <c r="S732" t="e">
        <f t="shared" ca="1" si="66"/>
        <v>#REF!</v>
      </c>
      <c r="T732" t="e">
        <f t="shared" ca="1" si="67"/>
        <v>#REF!</v>
      </c>
      <c r="U732" t="e" cm="1">
        <f t="array" aca="1" ref="U732" ca="1">IF(A732="","",IF(E732="","",IF(B732="safety",INDIRECT("template!"&amp;"P"&amp;A732),Q732+R732)))</f>
        <v>#REF!</v>
      </c>
      <c r="V732" t="e" cm="1">
        <f t="array" aca="1" ref="V732" ca="1">IF(A732="","",IF(E732="","",IF(B732="safety",INDIRECT("template!"&amp;"P"&amp;A732),S732+T732)))</f>
        <v>#REF!</v>
      </c>
      <c r="W732" t="e">
        <f ca="1">IF(A732="","",IF(E732="","",#REF!))</f>
        <v>#REF!</v>
      </c>
      <c r="X732" t="e">
        <f ca="1">IF(A732="","",IF(E732="","",#REF!))</f>
        <v>#REF!</v>
      </c>
      <c r="Y732" s="39" t="e">
        <f ca="1">IF(A732="","",IF(E732="","",#REF!))</f>
        <v>#REF!</v>
      </c>
      <c r="Z732" t="e">
        <f ca="1">IF(A732="","",IF(E732="","",#REF!))</f>
        <v>#REF!</v>
      </c>
      <c r="AA732" t="e">
        <f ca="1">IF(A732="","",IF(E732="","",#REF!))</f>
        <v>#REF!</v>
      </c>
      <c r="AB732" t="e">
        <f ca="1">IF(A732="","",IF(E732="","",#REF!))</f>
        <v>#REF!</v>
      </c>
      <c r="AC732" t="e">
        <f t="shared" ca="1" si="68"/>
        <v>#REF!</v>
      </c>
    </row>
    <row r="733" spans="1:29" x14ac:dyDescent="0.35">
      <c r="A733" t="e" cm="1">
        <f t="array" aca="1" ref="A733" ca="1">IF(A732="","",IF(OR(AND(A732+1&gt;=$AF$1,A732+1&lt;=$AF$2),AND(A732+1&gt;=$AF$6,A732+1&lt;=$AF$7),AND(A732+1&gt;=$AF$3,A732+1&lt;=$AF$4),AND(A732+1&gt;=$AF$8,A732+1&lt;=$AF$9),A732+1=$AF$5),IF(NOT(ISBLANK(INDIRECT("template!"&amp;"P"&amp;A732+1))),A732+1,IF(NOT(ISBLANK(INDIRECT("template!"&amp;"P"&amp;A732+2))),A732+2,A732+3)),IF(A732=$AF$2,$AF$3,IF(A732=$AF$4,$AF$5,IF(A732=$AF$5,$AF$6,IF(A732=$AF$7,$AF$8,""))))))</f>
        <v>#REF!</v>
      </c>
      <c r="B733" t="e">
        <f t="shared" ca="1" si="63"/>
        <v>#REF!</v>
      </c>
      <c r="C733" t="e" cm="1">
        <f t="array" aca="1" ref="C733" ca="1">IF(A733="","",IF(B733="safety","safety costs",INDIRECT("template!"&amp;"B"&amp;A733)))</f>
        <v>#REF!</v>
      </c>
      <c r="D733" t="e" cm="1">
        <f t="array" aca="1" ref="D733" ca="1">IF(OR(A733="",B733="safety"),"",INDIRECT("template!"&amp;"C"&amp;A733))</f>
        <v>#REF!</v>
      </c>
      <c r="E733" t="e" cm="1">
        <f t="array" aca="1" ref="E733" ca="1">IF(A733="","",IF(OR(A733=A732+1,A733=A732+2),E732,INDIRECT("template!"&amp;"D"&amp;A733-2)))</f>
        <v>#REF!</v>
      </c>
      <c r="F733" t="e" cm="1">
        <f t="array" aca="1" ref="F733" ca="1">IF(OR(A733="",B733="safety"),"",IF(ISBLANK(IF(A733=A732+1,F732,INDIRECT("template!"&amp;"D"&amp;A733-1))),"",IF(A733=A732+1,F732,INDIRECT("template!"&amp;"D"&amp;A733-1))))</f>
        <v>#REF!</v>
      </c>
      <c r="G733" t="e" cm="1">
        <f t="array" aca="1" ref="G733" ca="1">IF(OR(A733="",B733="safety"),"",IF(ISBLANK(INDIRECT("template!"&amp;"D"&amp;A733)),"",INDIRECT("template!"&amp;"D"&amp;A733)))</f>
        <v>#REF!</v>
      </c>
      <c r="H733" t="e" cm="1">
        <f t="array" aca="1" ref="H733" ca="1">IF(OR(A733="",B733="safety"),"",IF(ISBLANK(INDIRECT("template!"&amp;"E"&amp;A733)),"",INDIRECT("template!"&amp;"E"&amp;A733)))</f>
        <v>#REF!</v>
      </c>
      <c r="I733" t="e" cm="1">
        <f t="array" aca="1" ref="I733" ca="1">IF(OR(A733="",B733="safety"),"",IF(ISBLANK(INDIRECT("template!"&amp;"F"&amp;A733)),"",INDIRECT("template!"&amp;"F"&amp;A733)))</f>
        <v>#REF!</v>
      </c>
      <c r="J733" t="e" cm="1">
        <f t="array" aca="1" ref="J733" ca="1">IF(OR(A733="",B733="safety"),"",IF(ISBLANK(INDIRECT("template!"&amp;"G"&amp;A733)),"",INDIRECT("template!"&amp;"G"&amp;A733)))</f>
        <v>#REF!</v>
      </c>
      <c r="K733" t="e" cm="1">
        <f t="array" aca="1" ref="K733" ca="1">IF(OR(A733="",B733="safety"),"",IF(ISBLANK(INDIRECT("template!"&amp;"H"&amp;A733)),"",INDIRECT("template!"&amp;"H"&amp;A733)))</f>
        <v>#REF!</v>
      </c>
      <c r="L733" t="e" cm="1">
        <f t="array" aca="1" ref="L733" ca="1">IF(OR(A733="",B733="safety"),"",INDIRECT("template!"&amp;"I"&amp;A733))</f>
        <v>#REF!</v>
      </c>
      <c r="M733" t="e" cm="1">
        <f t="array" aca="1" ref="M733" ca="1">IF(OR(A733="",B733="safety"),"",INDIRECT("template!"&amp;"J"&amp;A733))</f>
        <v>#REF!</v>
      </c>
      <c r="N733" t="e" cm="1">
        <f t="array" aca="1" ref="N733" ca="1">IF(OR(A733="",B733="safety"),"",IF(ISBLANK(INDIRECT("template!"&amp;"K"&amp;A733)),"",INDIRECT("template!"&amp;"K"&amp;A733)))</f>
        <v>#REF!</v>
      </c>
      <c r="O733" t="e" cm="1">
        <f t="array" aca="1" ref="O733" ca="1">IF(OR(A733="",B733="safety"),"",INDIRECT("template!"&amp;"L"&amp;A733))</f>
        <v>#REF!</v>
      </c>
      <c r="P733" t="e" cm="1">
        <f t="array" aca="1" ref="P733" ca="1">IF(OR(A733="",B733="safety"),"",INDIRECT("template!"&amp;"M"&amp;A733))</f>
        <v>#REF!</v>
      </c>
      <c r="Q733" t="e">
        <f t="shared" ca="1" si="64"/>
        <v>#REF!</v>
      </c>
      <c r="R733" t="e">
        <f t="shared" ca="1" si="65"/>
        <v>#REF!</v>
      </c>
      <c r="S733" t="e">
        <f t="shared" ca="1" si="66"/>
        <v>#REF!</v>
      </c>
      <c r="T733" t="e">
        <f t="shared" ca="1" si="67"/>
        <v>#REF!</v>
      </c>
      <c r="U733" t="e" cm="1">
        <f t="array" aca="1" ref="U733" ca="1">IF(A733="","",IF(E733="","",IF(B733="safety",INDIRECT("template!"&amp;"P"&amp;A733),Q733+R733)))</f>
        <v>#REF!</v>
      </c>
      <c r="V733" t="e" cm="1">
        <f t="array" aca="1" ref="V733" ca="1">IF(A733="","",IF(E733="","",IF(B733="safety",INDIRECT("template!"&amp;"P"&amp;A733),S733+T733)))</f>
        <v>#REF!</v>
      </c>
      <c r="W733" t="e">
        <f ca="1">IF(A733="","",IF(E733="","",#REF!))</f>
        <v>#REF!</v>
      </c>
      <c r="X733" t="e">
        <f ca="1">IF(A733="","",IF(E733="","",#REF!))</f>
        <v>#REF!</v>
      </c>
      <c r="Y733" s="39" t="e">
        <f ca="1">IF(A733="","",IF(E733="","",#REF!))</f>
        <v>#REF!</v>
      </c>
      <c r="Z733" t="e">
        <f ca="1">IF(A733="","",IF(E733="","",#REF!))</f>
        <v>#REF!</v>
      </c>
      <c r="AA733" t="e">
        <f ca="1">IF(A733="","",IF(E733="","",#REF!))</f>
        <v>#REF!</v>
      </c>
      <c r="AB733" t="e">
        <f ca="1">IF(A733="","",IF(E733="","",#REF!))</f>
        <v>#REF!</v>
      </c>
      <c r="AC733" t="e">
        <f t="shared" ca="1" si="68"/>
        <v>#REF!</v>
      </c>
    </row>
    <row r="734" spans="1:29" x14ac:dyDescent="0.35">
      <c r="A734" t="e" cm="1">
        <f t="array" aca="1" ref="A734" ca="1">IF(A733="","",IF(OR(AND(A733+1&gt;=$AF$1,A733+1&lt;=$AF$2),AND(A733+1&gt;=$AF$6,A733+1&lt;=$AF$7),AND(A733+1&gt;=$AF$3,A733+1&lt;=$AF$4),AND(A733+1&gt;=$AF$8,A733+1&lt;=$AF$9),A733+1=$AF$5),IF(NOT(ISBLANK(INDIRECT("template!"&amp;"P"&amp;A733+1))),A733+1,IF(NOT(ISBLANK(INDIRECT("template!"&amp;"P"&amp;A733+2))),A733+2,A733+3)),IF(A733=$AF$2,$AF$3,IF(A733=$AF$4,$AF$5,IF(A733=$AF$5,$AF$6,IF(A733=$AF$7,$AF$8,""))))))</f>
        <v>#REF!</v>
      </c>
      <c r="B734" t="e">
        <f t="shared" ca="1" si="63"/>
        <v>#REF!</v>
      </c>
      <c r="C734" t="e" cm="1">
        <f t="array" aca="1" ref="C734" ca="1">IF(A734="","",IF(B734="safety","safety costs",INDIRECT("template!"&amp;"B"&amp;A734)))</f>
        <v>#REF!</v>
      </c>
      <c r="D734" t="e" cm="1">
        <f t="array" aca="1" ref="D734" ca="1">IF(OR(A734="",B734="safety"),"",INDIRECT("template!"&amp;"C"&amp;A734))</f>
        <v>#REF!</v>
      </c>
      <c r="E734" t="e" cm="1">
        <f t="array" aca="1" ref="E734" ca="1">IF(A734="","",IF(OR(A734=A733+1,A734=A733+2),E733,INDIRECT("template!"&amp;"D"&amp;A734-2)))</f>
        <v>#REF!</v>
      </c>
      <c r="F734" t="e" cm="1">
        <f t="array" aca="1" ref="F734" ca="1">IF(OR(A734="",B734="safety"),"",IF(ISBLANK(IF(A734=A733+1,F733,INDIRECT("template!"&amp;"D"&amp;A734-1))),"",IF(A734=A733+1,F733,INDIRECT("template!"&amp;"D"&amp;A734-1))))</f>
        <v>#REF!</v>
      </c>
      <c r="G734" t="e" cm="1">
        <f t="array" aca="1" ref="G734" ca="1">IF(OR(A734="",B734="safety"),"",IF(ISBLANK(INDIRECT("template!"&amp;"D"&amp;A734)),"",INDIRECT("template!"&amp;"D"&amp;A734)))</f>
        <v>#REF!</v>
      </c>
      <c r="H734" t="e" cm="1">
        <f t="array" aca="1" ref="H734" ca="1">IF(OR(A734="",B734="safety"),"",IF(ISBLANK(INDIRECT("template!"&amp;"E"&amp;A734)),"",INDIRECT("template!"&amp;"E"&amp;A734)))</f>
        <v>#REF!</v>
      </c>
      <c r="I734" t="e" cm="1">
        <f t="array" aca="1" ref="I734" ca="1">IF(OR(A734="",B734="safety"),"",IF(ISBLANK(INDIRECT("template!"&amp;"F"&amp;A734)),"",INDIRECT("template!"&amp;"F"&amp;A734)))</f>
        <v>#REF!</v>
      </c>
      <c r="J734" t="e" cm="1">
        <f t="array" aca="1" ref="J734" ca="1">IF(OR(A734="",B734="safety"),"",IF(ISBLANK(INDIRECT("template!"&amp;"G"&amp;A734)),"",INDIRECT("template!"&amp;"G"&amp;A734)))</f>
        <v>#REF!</v>
      </c>
      <c r="K734" t="e" cm="1">
        <f t="array" aca="1" ref="K734" ca="1">IF(OR(A734="",B734="safety"),"",IF(ISBLANK(INDIRECT("template!"&amp;"H"&amp;A734)),"",INDIRECT("template!"&amp;"H"&amp;A734)))</f>
        <v>#REF!</v>
      </c>
      <c r="L734" t="e" cm="1">
        <f t="array" aca="1" ref="L734" ca="1">IF(OR(A734="",B734="safety"),"",INDIRECT("template!"&amp;"I"&amp;A734))</f>
        <v>#REF!</v>
      </c>
      <c r="M734" t="e" cm="1">
        <f t="array" aca="1" ref="M734" ca="1">IF(OR(A734="",B734="safety"),"",INDIRECT("template!"&amp;"J"&amp;A734))</f>
        <v>#REF!</v>
      </c>
      <c r="N734" t="e" cm="1">
        <f t="array" aca="1" ref="N734" ca="1">IF(OR(A734="",B734="safety"),"",IF(ISBLANK(INDIRECT("template!"&amp;"K"&amp;A734)),"",INDIRECT("template!"&amp;"K"&amp;A734)))</f>
        <v>#REF!</v>
      </c>
      <c r="O734" t="e" cm="1">
        <f t="array" aca="1" ref="O734" ca="1">IF(OR(A734="",B734="safety"),"",INDIRECT("template!"&amp;"L"&amp;A734))</f>
        <v>#REF!</v>
      </c>
      <c r="P734" t="e" cm="1">
        <f t="array" aca="1" ref="P734" ca="1">IF(OR(A734="",B734="safety"),"",INDIRECT("template!"&amp;"M"&amp;A734))</f>
        <v>#REF!</v>
      </c>
      <c r="Q734" t="e">
        <f t="shared" ca="1" si="64"/>
        <v>#REF!</v>
      </c>
      <c r="R734" t="e">
        <f t="shared" ca="1" si="65"/>
        <v>#REF!</v>
      </c>
      <c r="S734" t="e">
        <f t="shared" ca="1" si="66"/>
        <v>#REF!</v>
      </c>
      <c r="T734" t="e">
        <f t="shared" ca="1" si="67"/>
        <v>#REF!</v>
      </c>
      <c r="U734" t="e" cm="1">
        <f t="array" aca="1" ref="U734" ca="1">IF(A734="","",IF(E734="","",IF(B734="safety",INDIRECT("template!"&amp;"P"&amp;A734),Q734+R734)))</f>
        <v>#REF!</v>
      </c>
      <c r="V734" t="e" cm="1">
        <f t="array" aca="1" ref="V734" ca="1">IF(A734="","",IF(E734="","",IF(B734="safety",INDIRECT("template!"&amp;"P"&amp;A734),S734+T734)))</f>
        <v>#REF!</v>
      </c>
      <c r="W734" t="e">
        <f ca="1">IF(A734="","",IF(E734="","",#REF!))</f>
        <v>#REF!</v>
      </c>
      <c r="X734" t="e">
        <f ca="1">IF(A734="","",IF(E734="","",#REF!))</f>
        <v>#REF!</v>
      </c>
      <c r="Y734" s="39" t="e">
        <f ca="1">IF(A734="","",IF(E734="","",#REF!))</f>
        <v>#REF!</v>
      </c>
      <c r="Z734" t="e">
        <f ca="1">IF(A734="","",IF(E734="","",#REF!))</f>
        <v>#REF!</v>
      </c>
      <c r="AA734" t="e">
        <f ca="1">IF(A734="","",IF(E734="","",#REF!))</f>
        <v>#REF!</v>
      </c>
      <c r="AB734" t="e">
        <f ca="1">IF(A734="","",IF(E734="","",#REF!))</f>
        <v>#REF!</v>
      </c>
      <c r="AC734" t="e">
        <f t="shared" ca="1" si="68"/>
        <v>#REF!</v>
      </c>
    </row>
    <row r="735" spans="1:29" x14ac:dyDescent="0.35">
      <c r="A735" t="e" cm="1">
        <f t="array" aca="1" ref="A735" ca="1">IF(A734="","",IF(OR(AND(A734+1&gt;=$AF$1,A734+1&lt;=$AF$2),AND(A734+1&gt;=$AF$6,A734+1&lt;=$AF$7),AND(A734+1&gt;=$AF$3,A734+1&lt;=$AF$4),AND(A734+1&gt;=$AF$8,A734+1&lt;=$AF$9),A734+1=$AF$5),IF(NOT(ISBLANK(INDIRECT("template!"&amp;"P"&amp;A734+1))),A734+1,IF(NOT(ISBLANK(INDIRECT("template!"&amp;"P"&amp;A734+2))),A734+2,A734+3)),IF(A734=$AF$2,$AF$3,IF(A734=$AF$4,$AF$5,IF(A734=$AF$5,$AF$6,IF(A734=$AF$7,$AF$8,""))))))</f>
        <v>#REF!</v>
      </c>
      <c r="B735" t="e">
        <f t="shared" ca="1" si="63"/>
        <v>#REF!</v>
      </c>
      <c r="C735" t="e" cm="1">
        <f t="array" aca="1" ref="C735" ca="1">IF(A735="","",IF(B735="safety","safety costs",INDIRECT("template!"&amp;"B"&amp;A735)))</f>
        <v>#REF!</v>
      </c>
      <c r="D735" t="e" cm="1">
        <f t="array" aca="1" ref="D735" ca="1">IF(OR(A735="",B735="safety"),"",INDIRECT("template!"&amp;"C"&amp;A735))</f>
        <v>#REF!</v>
      </c>
      <c r="E735" t="e" cm="1">
        <f t="array" aca="1" ref="E735" ca="1">IF(A735="","",IF(OR(A735=A734+1,A735=A734+2),E734,INDIRECT("template!"&amp;"D"&amp;A735-2)))</f>
        <v>#REF!</v>
      </c>
      <c r="F735" t="e" cm="1">
        <f t="array" aca="1" ref="F735" ca="1">IF(OR(A735="",B735="safety"),"",IF(ISBLANK(IF(A735=A734+1,F734,INDIRECT("template!"&amp;"D"&amp;A735-1))),"",IF(A735=A734+1,F734,INDIRECT("template!"&amp;"D"&amp;A735-1))))</f>
        <v>#REF!</v>
      </c>
      <c r="G735" t="e" cm="1">
        <f t="array" aca="1" ref="G735" ca="1">IF(OR(A735="",B735="safety"),"",IF(ISBLANK(INDIRECT("template!"&amp;"D"&amp;A735)),"",INDIRECT("template!"&amp;"D"&amp;A735)))</f>
        <v>#REF!</v>
      </c>
      <c r="H735" t="e" cm="1">
        <f t="array" aca="1" ref="H735" ca="1">IF(OR(A735="",B735="safety"),"",IF(ISBLANK(INDIRECT("template!"&amp;"E"&amp;A735)),"",INDIRECT("template!"&amp;"E"&amp;A735)))</f>
        <v>#REF!</v>
      </c>
      <c r="I735" t="e" cm="1">
        <f t="array" aca="1" ref="I735" ca="1">IF(OR(A735="",B735="safety"),"",IF(ISBLANK(INDIRECT("template!"&amp;"F"&amp;A735)),"",INDIRECT("template!"&amp;"F"&amp;A735)))</f>
        <v>#REF!</v>
      </c>
      <c r="J735" t="e" cm="1">
        <f t="array" aca="1" ref="J735" ca="1">IF(OR(A735="",B735="safety"),"",IF(ISBLANK(INDIRECT("template!"&amp;"G"&amp;A735)),"",INDIRECT("template!"&amp;"G"&amp;A735)))</f>
        <v>#REF!</v>
      </c>
      <c r="K735" t="e" cm="1">
        <f t="array" aca="1" ref="K735" ca="1">IF(OR(A735="",B735="safety"),"",IF(ISBLANK(INDIRECT("template!"&amp;"H"&amp;A735)),"",INDIRECT("template!"&amp;"H"&amp;A735)))</f>
        <v>#REF!</v>
      </c>
      <c r="L735" t="e" cm="1">
        <f t="array" aca="1" ref="L735" ca="1">IF(OR(A735="",B735="safety"),"",INDIRECT("template!"&amp;"I"&amp;A735))</f>
        <v>#REF!</v>
      </c>
      <c r="M735" t="e" cm="1">
        <f t="array" aca="1" ref="M735" ca="1">IF(OR(A735="",B735="safety"),"",INDIRECT("template!"&amp;"J"&amp;A735))</f>
        <v>#REF!</v>
      </c>
      <c r="N735" t="e" cm="1">
        <f t="array" aca="1" ref="N735" ca="1">IF(OR(A735="",B735="safety"),"",IF(ISBLANK(INDIRECT("template!"&amp;"K"&amp;A735)),"",INDIRECT("template!"&amp;"K"&amp;A735)))</f>
        <v>#REF!</v>
      </c>
      <c r="O735" t="e" cm="1">
        <f t="array" aca="1" ref="O735" ca="1">IF(OR(A735="",B735="safety"),"",INDIRECT("template!"&amp;"L"&amp;A735))</f>
        <v>#REF!</v>
      </c>
      <c r="P735" t="e" cm="1">
        <f t="array" aca="1" ref="P735" ca="1">IF(OR(A735="",B735="safety"),"",INDIRECT("template!"&amp;"M"&amp;A735))</f>
        <v>#REF!</v>
      </c>
      <c r="Q735" t="e">
        <f t="shared" ca="1" si="64"/>
        <v>#REF!</v>
      </c>
      <c r="R735" t="e">
        <f t="shared" ca="1" si="65"/>
        <v>#REF!</v>
      </c>
      <c r="S735" t="e">
        <f t="shared" ca="1" si="66"/>
        <v>#REF!</v>
      </c>
      <c r="T735" t="e">
        <f t="shared" ca="1" si="67"/>
        <v>#REF!</v>
      </c>
      <c r="U735" t="e" cm="1">
        <f t="array" aca="1" ref="U735" ca="1">IF(A735="","",IF(E735="","",IF(B735="safety",INDIRECT("template!"&amp;"P"&amp;A735),Q735+R735)))</f>
        <v>#REF!</v>
      </c>
      <c r="V735" t="e" cm="1">
        <f t="array" aca="1" ref="V735" ca="1">IF(A735="","",IF(E735="","",IF(B735="safety",INDIRECT("template!"&amp;"P"&amp;A735),S735+T735)))</f>
        <v>#REF!</v>
      </c>
      <c r="W735" t="e">
        <f ca="1">IF(A735="","",IF(E735="","",#REF!))</f>
        <v>#REF!</v>
      </c>
      <c r="X735" t="e">
        <f ca="1">IF(A735="","",IF(E735="","",#REF!))</f>
        <v>#REF!</v>
      </c>
      <c r="Y735" s="39" t="e">
        <f ca="1">IF(A735="","",IF(E735="","",#REF!))</f>
        <v>#REF!</v>
      </c>
      <c r="Z735" t="e">
        <f ca="1">IF(A735="","",IF(E735="","",#REF!))</f>
        <v>#REF!</v>
      </c>
      <c r="AA735" t="e">
        <f ca="1">IF(A735="","",IF(E735="","",#REF!))</f>
        <v>#REF!</v>
      </c>
      <c r="AB735" t="e">
        <f ca="1">IF(A735="","",IF(E735="","",#REF!))</f>
        <v>#REF!</v>
      </c>
      <c r="AC735" t="e">
        <f t="shared" ca="1" si="68"/>
        <v>#REF!</v>
      </c>
    </row>
    <row r="736" spans="1:29" x14ac:dyDescent="0.35">
      <c r="A736" t="e" cm="1">
        <f t="array" aca="1" ref="A736" ca="1">IF(A735="","",IF(OR(AND(A735+1&gt;=$AF$1,A735+1&lt;=$AF$2),AND(A735+1&gt;=$AF$6,A735+1&lt;=$AF$7),AND(A735+1&gt;=$AF$3,A735+1&lt;=$AF$4),AND(A735+1&gt;=$AF$8,A735+1&lt;=$AF$9),A735+1=$AF$5),IF(NOT(ISBLANK(INDIRECT("template!"&amp;"P"&amp;A735+1))),A735+1,IF(NOT(ISBLANK(INDIRECT("template!"&amp;"P"&amp;A735+2))),A735+2,A735+3)),IF(A735=$AF$2,$AF$3,IF(A735=$AF$4,$AF$5,IF(A735=$AF$5,$AF$6,IF(A735=$AF$7,$AF$8,""))))))</f>
        <v>#REF!</v>
      </c>
      <c r="B736" t="e">
        <f t="shared" ca="1" si="63"/>
        <v>#REF!</v>
      </c>
      <c r="C736" t="e" cm="1">
        <f t="array" aca="1" ref="C736" ca="1">IF(A736="","",IF(B736="safety","safety costs",INDIRECT("template!"&amp;"B"&amp;A736)))</f>
        <v>#REF!</v>
      </c>
      <c r="D736" t="e" cm="1">
        <f t="array" aca="1" ref="D736" ca="1">IF(OR(A736="",B736="safety"),"",INDIRECT("template!"&amp;"C"&amp;A736))</f>
        <v>#REF!</v>
      </c>
      <c r="E736" t="e" cm="1">
        <f t="array" aca="1" ref="E736" ca="1">IF(A736="","",IF(OR(A736=A735+1,A736=A735+2),E735,INDIRECT("template!"&amp;"D"&amp;A736-2)))</f>
        <v>#REF!</v>
      </c>
      <c r="F736" t="e" cm="1">
        <f t="array" aca="1" ref="F736" ca="1">IF(OR(A736="",B736="safety"),"",IF(ISBLANK(IF(A736=A735+1,F735,INDIRECT("template!"&amp;"D"&amp;A736-1))),"",IF(A736=A735+1,F735,INDIRECT("template!"&amp;"D"&amp;A736-1))))</f>
        <v>#REF!</v>
      </c>
      <c r="G736" t="e" cm="1">
        <f t="array" aca="1" ref="G736" ca="1">IF(OR(A736="",B736="safety"),"",IF(ISBLANK(INDIRECT("template!"&amp;"D"&amp;A736)),"",INDIRECT("template!"&amp;"D"&amp;A736)))</f>
        <v>#REF!</v>
      </c>
      <c r="H736" t="e" cm="1">
        <f t="array" aca="1" ref="H736" ca="1">IF(OR(A736="",B736="safety"),"",IF(ISBLANK(INDIRECT("template!"&amp;"E"&amp;A736)),"",INDIRECT("template!"&amp;"E"&amp;A736)))</f>
        <v>#REF!</v>
      </c>
      <c r="I736" t="e" cm="1">
        <f t="array" aca="1" ref="I736" ca="1">IF(OR(A736="",B736="safety"),"",IF(ISBLANK(INDIRECT("template!"&amp;"F"&amp;A736)),"",INDIRECT("template!"&amp;"F"&amp;A736)))</f>
        <v>#REF!</v>
      </c>
      <c r="J736" t="e" cm="1">
        <f t="array" aca="1" ref="J736" ca="1">IF(OR(A736="",B736="safety"),"",IF(ISBLANK(INDIRECT("template!"&amp;"G"&amp;A736)),"",INDIRECT("template!"&amp;"G"&amp;A736)))</f>
        <v>#REF!</v>
      </c>
      <c r="K736" t="e" cm="1">
        <f t="array" aca="1" ref="K736" ca="1">IF(OR(A736="",B736="safety"),"",IF(ISBLANK(INDIRECT("template!"&amp;"H"&amp;A736)),"",INDIRECT("template!"&amp;"H"&amp;A736)))</f>
        <v>#REF!</v>
      </c>
      <c r="L736" t="e" cm="1">
        <f t="array" aca="1" ref="L736" ca="1">IF(OR(A736="",B736="safety"),"",INDIRECT("template!"&amp;"I"&amp;A736))</f>
        <v>#REF!</v>
      </c>
      <c r="M736" t="e" cm="1">
        <f t="array" aca="1" ref="M736" ca="1">IF(OR(A736="",B736="safety"),"",INDIRECT("template!"&amp;"J"&amp;A736))</f>
        <v>#REF!</v>
      </c>
      <c r="N736" t="e" cm="1">
        <f t="array" aca="1" ref="N736" ca="1">IF(OR(A736="",B736="safety"),"",IF(ISBLANK(INDIRECT("template!"&amp;"K"&amp;A736)),"",INDIRECT("template!"&amp;"K"&amp;A736)))</f>
        <v>#REF!</v>
      </c>
      <c r="O736" t="e" cm="1">
        <f t="array" aca="1" ref="O736" ca="1">IF(OR(A736="",B736="safety"),"",INDIRECT("template!"&amp;"L"&amp;A736))</f>
        <v>#REF!</v>
      </c>
      <c r="P736" t="e" cm="1">
        <f t="array" aca="1" ref="P736" ca="1">IF(OR(A736="",B736="safety"),"",INDIRECT("template!"&amp;"M"&amp;A736))</f>
        <v>#REF!</v>
      </c>
      <c r="Q736" t="e">
        <f t="shared" ca="1" si="64"/>
        <v>#REF!</v>
      </c>
      <c r="R736" t="e">
        <f t="shared" ca="1" si="65"/>
        <v>#REF!</v>
      </c>
      <c r="S736" t="e">
        <f t="shared" ca="1" si="66"/>
        <v>#REF!</v>
      </c>
      <c r="T736" t="e">
        <f t="shared" ca="1" si="67"/>
        <v>#REF!</v>
      </c>
      <c r="U736" t="e" cm="1">
        <f t="array" aca="1" ref="U736" ca="1">IF(A736="","",IF(E736="","",IF(B736="safety",INDIRECT("template!"&amp;"P"&amp;A736),Q736+R736)))</f>
        <v>#REF!</v>
      </c>
      <c r="V736" t="e" cm="1">
        <f t="array" aca="1" ref="V736" ca="1">IF(A736="","",IF(E736="","",IF(B736="safety",INDIRECT("template!"&amp;"P"&amp;A736),S736+T736)))</f>
        <v>#REF!</v>
      </c>
      <c r="W736" t="e">
        <f ca="1">IF(A736="","",IF(E736="","",#REF!))</f>
        <v>#REF!</v>
      </c>
      <c r="X736" t="e">
        <f ca="1">IF(A736="","",IF(E736="","",#REF!))</f>
        <v>#REF!</v>
      </c>
      <c r="Y736" s="39" t="e">
        <f ca="1">IF(A736="","",IF(E736="","",#REF!))</f>
        <v>#REF!</v>
      </c>
      <c r="Z736" t="e">
        <f ca="1">IF(A736="","",IF(E736="","",#REF!))</f>
        <v>#REF!</v>
      </c>
      <c r="AA736" t="e">
        <f ca="1">IF(A736="","",IF(E736="","",#REF!))</f>
        <v>#REF!</v>
      </c>
      <c r="AB736" t="e">
        <f ca="1">IF(A736="","",IF(E736="","",#REF!))</f>
        <v>#REF!</v>
      </c>
      <c r="AC736" t="e">
        <f t="shared" ca="1" si="68"/>
        <v>#REF!</v>
      </c>
    </row>
    <row r="737" spans="1:29" x14ac:dyDescent="0.35">
      <c r="A737" t="e" cm="1">
        <f t="array" aca="1" ref="A737" ca="1">IF(A736="","",IF(OR(AND(A736+1&gt;=$AF$1,A736+1&lt;=$AF$2),AND(A736+1&gt;=$AF$6,A736+1&lt;=$AF$7),AND(A736+1&gt;=$AF$3,A736+1&lt;=$AF$4),AND(A736+1&gt;=$AF$8,A736+1&lt;=$AF$9),A736+1=$AF$5),IF(NOT(ISBLANK(INDIRECT("template!"&amp;"P"&amp;A736+1))),A736+1,IF(NOT(ISBLANK(INDIRECT("template!"&amp;"P"&amp;A736+2))),A736+2,A736+3)),IF(A736=$AF$2,$AF$3,IF(A736=$AF$4,$AF$5,IF(A736=$AF$5,$AF$6,IF(A736=$AF$7,$AF$8,""))))))</f>
        <v>#REF!</v>
      </c>
      <c r="B737" t="e">
        <f t="shared" ca="1" si="63"/>
        <v>#REF!</v>
      </c>
      <c r="C737" t="e" cm="1">
        <f t="array" aca="1" ref="C737" ca="1">IF(A737="","",IF(B737="safety","safety costs",INDIRECT("template!"&amp;"B"&amp;A737)))</f>
        <v>#REF!</v>
      </c>
      <c r="D737" t="e" cm="1">
        <f t="array" aca="1" ref="D737" ca="1">IF(OR(A737="",B737="safety"),"",INDIRECT("template!"&amp;"C"&amp;A737))</f>
        <v>#REF!</v>
      </c>
      <c r="E737" t="e" cm="1">
        <f t="array" aca="1" ref="E737" ca="1">IF(A737="","",IF(OR(A737=A736+1,A737=A736+2),E736,INDIRECT("template!"&amp;"D"&amp;A737-2)))</f>
        <v>#REF!</v>
      </c>
      <c r="F737" t="e" cm="1">
        <f t="array" aca="1" ref="F737" ca="1">IF(OR(A737="",B737="safety"),"",IF(ISBLANK(IF(A737=A736+1,F736,INDIRECT("template!"&amp;"D"&amp;A737-1))),"",IF(A737=A736+1,F736,INDIRECT("template!"&amp;"D"&amp;A737-1))))</f>
        <v>#REF!</v>
      </c>
      <c r="G737" t="e" cm="1">
        <f t="array" aca="1" ref="G737" ca="1">IF(OR(A737="",B737="safety"),"",IF(ISBLANK(INDIRECT("template!"&amp;"D"&amp;A737)),"",INDIRECT("template!"&amp;"D"&amp;A737)))</f>
        <v>#REF!</v>
      </c>
      <c r="H737" t="e" cm="1">
        <f t="array" aca="1" ref="H737" ca="1">IF(OR(A737="",B737="safety"),"",IF(ISBLANK(INDIRECT("template!"&amp;"E"&amp;A737)),"",INDIRECT("template!"&amp;"E"&amp;A737)))</f>
        <v>#REF!</v>
      </c>
      <c r="I737" t="e" cm="1">
        <f t="array" aca="1" ref="I737" ca="1">IF(OR(A737="",B737="safety"),"",IF(ISBLANK(INDIRECT("template!"&amp;"F"&amp;A737)),"",INDIRECT("template!"&amp;"F"&amp;A737)))</f>
        <v>#REF!</v>
      </c>
      <c r="J737" t="e" cm="1">
        <f t="array" aca="1" ref="J737" ca="1">IF(OR(A737="",B737="safety"),"",IF(ISBLANK(INDIRECT("template!"&amp;"G"&amp;A737)),"",INDIRECT("template!"&amp;"G"&amp;A737)))</f>
        <v>#REF!</v>
      </c>
      <c r="K737" t="e" cm="1">
        <f t="array" aca="1" ref="K737" ca="1">IF(OR(A737="",B737="safety"),"",IF(ISBLANK(INDIRECT("template!"&amp;"H"&amp;A737)),"",INDIRECT("template!"&amp;"H"&amp;A737)))</f>
        <v>#REF!</v>
      </c>
      <c r="L737" t="e" cm="1">
        <f t="array" aca="1" ref="L737" ca="1">IF(OR(A737="",B737="safety"),"",INDIRECT("template!"&amp;"I"&amp;A737))</f>
        <v>#REF!</v>
      </c>
      <c r="M737" t="e" cm="1">
        <f t="array" aca="1" ref="M737" ca="1">IF(OR(A737="",B737="safety"),"",INDIRECT("template!"&amp;"J"&amp;A737))</f>
        <v>#REF!</v>
      </c>
      <c r="N737" t="e" cm="1">
        <f t="array" aca="1" ref="N737" ca="1">IF(OR(A737="",B737="safety"),"",IF(ISBLANK(INDIRECT("template!"&amp;"K"&amp;A737)),"",INDIRECT("template!"&amp;"K"&amp;A737)))</f>
        <v>#REF!</v>
      </c>
      <c r="O737" t="e" cm="1">
        <f t="array" aca="1" ref="O737" ca="1">IF(OR(A737="",B737="safety"),"",INDIRECT("template!"&amp;"L"&amp;A737))</f>
        <v>#REF!</v>
      </c>
      <c r="P737" t="e" cm="1">
        <f t="array" aca="1" ref="P737" ca="1">IF(OR(A737="",B737="safety"),"",INDIRECT("template!"&amp;"M"&amp;A737))</f>
        <v>#REF!</v>
      </c>
      <c r="Q737" t="e">
        <f t="shared" ca="1" si="64"/>
        <v>#REF!</v>
      </c>
      <c r="R737" t="e">
        <f t="shared" ca="1" si="65"/>
        <v>#REF!</v>
      </c>
      <c r="S737" t="e">
        <f t="shared" ca="1" si="66"/>
        <v>#REF!</v>
      </c>
      <c r="T737" t="e">
        <f t="shared" ca="1" si="67"/>
        <v>#REF!</v>
      </c>
      <c r="U737" t="e" cm="1">
        <f t="array" aca="1" ref="U737" ca="1">IF(A737="","",IF(E737="","",IF(B737="safety",INDIRECT("template!"&amp;"P"&amp;A737),Q737+R737)))</f>
        <v>#REF!</v>
      </c>
      <c r="V737" t="e" cm="1">
        <f t="array" aca="1" ref="V737" ca="1">IF(A737="","",IF(E737="","",IF(B737="safety",INDIRECT("template!"&amp;"P"&amp;A737),S737+T737)))</f>
        <v>#REF!</v>
      </c>
      <c r="W737" t="e">
        <f ca="1">IF(A737="","",IF(E737="","",#REF!))</f>
        <v>#REF!</v>
      </c>
      <c r="X737" t="e">
        <f ca="1">IF(A737="","",IF(E737="","",#REF!))</f>
        <v>#REF!</v>
      </c>
      <c r="Y737" s="39" t="e">
        <f ca="1">IF(A737="","",IF(E737="","",#REF!))</f>
        <v>#REF!</v>
      </c>
      <c r="Z737" t="e">
        <f ca="1">IF(A737="","",IF(E737="","",#REF!))</f>
        <v>#REF!</v>
      </c>
      <c r="AA737" t="e">
        <f ca="1">IF(A737="","",IF(E737="","",#REF!))</f>
        <v>#REF!</v>
      </c>
      <c r="AB737" t="e">
        <f ca="1">IF(A737="","",IF(E737="","",#REF!))</f>
        <v>#REF!</v>
      </c>
      <c r="AC737" t="e">
        <f t="shared" ca="1" si="68"/>
        <v>#REF!</v>
      </c>
    </row>
    <row r="738" spans="1:29" x14ac:dyDescent="0.35">
      <c r="A738" t="e" cm="1">
        <f t="array" aca="1" ref="A738" ca="1">IF(A737="","",IF(OR(AND(A737+1&gt;=$AF$1,A737+1&lt;=$AF$2),AND(A737+1&gt;=$AF$6,A737+1&lt;=$AF$7),AND(A737+1&gt;=$AF$3,A737+1&lt;=$AF$4),AND(A737+1&gt;=$AF$8,A737+1&lt;=$AF$9),A737+1=$AF$5),IF(NOT(ISBLANK(INDIRECT("template!"&amp;"P"&amp;A737+1))),A737+1,IF(NOT(ISBLANK(INDIRECT("template!"&amp;"P"&amp;A737+2))),A737+2,A737+3)),IF(A737=$AF$2,$AF$3,IF(A737=$AF$4,$AF$5,IF(A737=$AF$5,$AF$6,IF(A737=$AF$7,$AF$8,""))))))</f>
        <v>#REF!</v>
      </c>
      <c r="B738" t="e">
        <f t="shared" ca="1" si="63"/>
        <v>#REF!</v>
      </c>
      <c r="C738" t="e" cm="1">
        <f t="array" aca="1" ref="C738" ca="1">IF(A738="","",IF(B738="safety","safety costs",INDIRECT("template!"&amp;"B"&amp;A738)))</f>
        <v>#REF!</v>
      </c>
      <c r="D738" t="e" cm="1">
        <f t="array" aca="1" ref="D738" ca="1">IF(OR(A738="",B738="safety"),"",INDIRECT("template!"&amp;"C"&amp;A738))</f>
        <v>#REF!</v>
      </c>
      <c r="E738" t="e" cm="1">
        <f t="array" aca="1" ref="E738" ca="1">IF(A738="","",IF(OR(A738=A737+1,A738=A737+2),E737,INDIRECT("template!"&amp;"D"&amp;A738-2)))</f>
        <v>#REF!</v>
      </c>
      <c r="F738" t="e" cm="1">
        <f t="array" aca="1" ref="F738" ca="1">IF(OR(A738="",B738="safety"),"",IF(ISBLANK(IF(A738=A737+1,F737,INDIRECT("template!"&amp;"D"&amp;A738-1))),"",IF(A738=A737+1,F737,INDIRECT("template!"&amp;"D"&amp;A738-1))))</f>
        <v>#REF!</v>
      </c>
      <c r="G738" t="e" cm="1">
        <f t="array" aca="1" ref="G738" ca="1">IF(OR(A738="",B738="safety"),"",IF(ISBLANK(INDIRECT("template!"&amp;"D"&amp;A738)),"",INDIRECT("template!"&amp;"D"&amp;A738)))</f>
        <v>#REF!</v>
      </c>
      <c r="H738" t="e" cm="1">
        <f t="array" aca="1" ref="H738" ca="1">IF(OR(A738="",B738="safety"),"",IF(ISBLANK(INDIRECT("template!"&amp;"E"&amp;A738)),"",INDIRECT("template!"&amp;"E"&amp;A738)))</f>
        <v>#REF!</v>
      </c>
      <c r="I738" t="e" cm="1">
        <f t="array" aca="1" ref="I738" ca="1">IF(OR(A738="",B738="safety"),"",IF(ISBLANK(INDIRECT("template!"&amp;"F"&amp;A738)),"",INDIRECT("template!"&amp;"F"&amp;A738)))</f>
        <v>#REF!</v>
      </c>
      <c r="J738" t="e" cm="1">
        <f t="array" aca="1" ref="J738" ca="1">IF(OR(A738="",B738="safety"),"",IF(ISBLANK(INDIRECT("template!"&amp;"G"&amp;A738)),"",INDIRECT("template!"&amp;"G"&amp;A738)))</f>
        <v>#REF!</v>
      </c>
      <c r="K738" t="e" cm="1">
        <f t="array" aca="1" ref="K738" ca="1">IF(OR(A738="",B738="safety"),"",IF(ISBLANK(INDIRECT("template!"&amp;"H"&amp;A738)),"",INDIRECT("template!"&amp;"H"&amp;A738)))</f>
        <v>#REF!</v>
      </c>
      <c r="L738" t="e" cm="1">
        <f t="array" aca="1" ref="L738" ca="1">IF(OR(A738="",B738="safety"),"",INDIRECT("template!"&amp;"I"&amp;A738))</f>
        <v>#REF!</v>
      </c>
      <c r="M738" t="e" cm="1">
        <f t="array" aca="1" ref="M738" ca="1">IF(OR(A738="",B738="safety"),"",INDIRECT("template!"&amp;"J"&amp;A738))</f>
        <v>#REF!</v>
      </c>
      <c r="N738" t="e" cm="1">
        <f t="array" aca="1" ref="N738" ca="1">IF(OR(A738="",B738="safety"),"",IF(ISBLANK(INDIRECT("template!"&amp;"K"&amp;A738)),"",INDIRECT("template!"&amp;"K"&amp;A738)))</f>
        <v>#REF!</v>
      </c>
      <c r="O738" t="e" cm="1">
        <f t="array" aca="1" ref="O738" ca="1">IF(OR(A738="",B738="safety"),"",INDIRECT("template!"&amp;"L"&amp;A738))</f>
        <v>#REF!</v>
      </c>
      <c r="P738" t="e" cm="1">
        <f t="array" aca="1" ref="P738" ca="1">IF(OR(A738="",B738="safety"),"",INDIRECT("template!"&amp;"M"&amp;A738))</f>
        <v>#REF!</v>
      </c>
      <c r="Q738" t="e">
        <f t="shared" ca="1" si="64"/>
        <v>#REF!</v>
      </c>
      <c r="R738" t="e">
        <f t="shared" ca="1" si="65"/>
        <v>#REF!</v>
      </c>
      <c r="S738" t="e">
        <f t="shared" ca="1" si="66"/>
        <v>#REF!</v>
      </c>
      <c r="T738" t="e">
        <f t="shared" ca="1" si="67"/>
        <v>#REF!</v>
      </c>
      <c r="U738" t="e" cm="1">
        <f t="array" aca="1" ref="U738" ca="1">IF(A738="","",IF(E738="","",IF(B738="safety",INDIRECT("template!"&amp;"P"&amp;A738),Q738+R738)))</f>
        <v>#REF!</v>
      </c>
      <c r="V738" t="e" cm="1">
        <f t="array" aca="1" ref="V738" ca="1">IF(A738="","",IF(E738="","",IF(B738="safety",INDIRECT("template!"&amp;"P"&amp;A738),S738+T738)))</f>
        <v>#REF!</v>
      </c>
      <c r="W738" t="e">
        <f ca="1">IF(A738="","",IF(E738="","",#REF!))</f>
        <v>#REF!</v>
      </c>
      <c r="X738" t="e">
        <f ca="1">IF(A738="","",IF(E738="","",#REF!))</f>
        <v>#REF!</v>
      </c>
      <c r="Y738" s="39" t="e">
        <f ca="1">IF(A738="","",IF(E738="","",#REF!))</f>
        <v>#REF!</v>
      </c>
      <c r="Z738" t="e">
        <f ca="1">IF(A738="","",IF(E738="","",#REF!))</f>
        <v>#REF!</v>
      </c>
      <c r="AA738" t="e">
        <f ca="1">IF(A738="","",IF(E738="","",#REF!))</f>
        <v>#REF!</v>
      </c>
      <c r="AB738" t="e">
        <f ca="1">IF(A738="","",IF(E738="","",#REF!))</f>
        <v>#REF!</v>
      </c>
      <c r="AC738" t="e">
        <f t="shared" ca="1" si="68"/>
        <v>#REF!</v>
      </c>
    </row>
    <row r="739" spans="1:29" x14ac:dyDescent="0.35">
      <c r="A739" t="e" cm="1">
        <f t="array" aca="1" ref="A739" ca="1">IF(A738="","",IF(OR(AND(A738+1&gt;=$AF$1,A738+1&lt;=$AF$2),AND(A738+1&gt;=$AF$6,A738+1&lt;=$AF$7),AND(A738+1&gt;=$AF$3,A738+1&lt;=$AF$4),AND(A738+1&gt;=$AF$8,A738+1&lt;=$AF$9),A738+1=$AF$5),IF(NOT(ISBLANK(INDIRECT("template!"&amp;"P"&amp;A738+1))),A738+1,IF(NOT(ISBLANK(INDIRECT("template!"&amp;"P"&amp;A738+2))),A738+2,A738+3)),IF(A738=$AF$2,$AF$3,IF(A738=$AF$4,$AF$5,IF(A738=$AF$5,$AF$6,IF(A738=$AF$7,$AF$8,""))))))</f>
        <v>#REF!</v>
      </c>
      <c r="B739" t="e">
        <f t="shared" ca="1" si="63"/>
        <v>#REF!</v>
      </c>
      <c r="C739" t="e" cm="1">
        <f t="array" aca="1" ref="C739" ca="1">IF(A739="","",IF(B739="safety","safety costs",INDIRECT("template!"&amp;"B"&amp;A739)))</f>
        <v>#REF!</v>
      </c>
      <c r="D739" t="e" cm="1">
        <f t="array" aca="1" ref="D739" ca="1">IF(OR(A739="",B739="safety"),"",INDIRECT("template!"&amp;"C"&amp;A739))</f>
        <v>#REF!</v>
      </c>
      <c r="E739" t="e" cm="1">
        <f t="array" aca="1" ref="E739" ca="1">IF(A739="","",IF(OR(A739=A738+1,A739=A738+2),E738,INDIRECT("template!"&amp;"D"&amp;A739-2)))</f>
        <v>#REF!</v>
      </c>
      <c r="F739" t="e" cm="1">
        <f t="array" aca="1" ref="F739" ca="1">IF(OR(A739="",B739="safety"),"",IF(ISBLANK(IF(A739=A738+1,F738,INDIRECT("template!"&amp;"D"&amp;A739-1))),"",IF(A739=A738+1,F738,INDIRECT("template!"&amp;"D"&amp;A739-1))))</f>
        <v>#REF!</v>
      </c>
      <c r="G739" t="e" cm="1">
        <f t="array" aca="1" ref="G739" ca="1">IF(OR(A739="",B739="safety"),"",IF(ISBLANK(INDIRECT("template!"&amp;"D"&amp;A739)),"",INDIRECT("template!"&amp;"D"&amp;A739)))</f>
        <v>#REF!</v>
      </c>
      <c r="H739" t="e" cm="1">
        <f t="array" aca="1" ref="H739" ca="1">IF(OR(A739="",B739="safety"),"",IF(ISBLANK(INDIRECT("template!"&amp;"E"&amp;A739)),"",INDIRECT("template!"&amp;"E"&amp;A739)))</f>
        <v>#REF!</v>
      </c>
      <c r="I739" t="e" cm="1">
        <f t="array" aca="1" ref="I739" ca="1">IF(OR(A739="",B739="safety"),"",IF(ISBLANK(INDIRECT("template!"&amp;"F"&amp;A739)),"",INDIRECT("template!"&amp;"F"&amp;A739)))</f>
        <v>#REF!</v>
      </c>
      <c r="J739" t="e" cm="1">
        <f t="array" aca="1" ref="J739" ca="1">IF(OR(A739="",B739="safety"),"",IF(ISBLANK(INDIRECT("template!"&amp;"G"&amp;A739)),"",INDIRECT("template!"&amp;"G"&amp;A739)))</f>
        <v>#REF!</v>
      </c>
      <c r="K739" t="e" cm="1">
        <f t="array" aca="1" ref="K739" ca="1">IF(OR(A739="",B739="safety"),"",IF(ISBLANK(INDIRECT("template!"&amp;"H"&amp;A739)),"",INDIRECT("template!"&amp;"H"&amp;A739)))</f>
        <v>#REF!</v>
      </c>
      <c r="L739" t="e" cm="1">
        <f t="array" aca="1" ref="L739" ca="1">IF(OR(A739="",B739="safety"),"",INDIRECT("template!"&amp;"I"&amp;A739))</f>
        <v>#REF!</v>
      </c>
      <c r="M739" t="e" cm="1">
        <f t="array" aca="1" ref="M739" ca="1">IF(OR(A739="",B739="safety"),"",INDIRECT("template!"&amp;"J"&amp;A739))</f>
        <v>#REF!</v>
      </c>
      <c r="N739" t="e" cm="1">
        <f t="array" aca="1" ref="N739" ca="1">IF(OR(A739="",B739="safety"),"",IF(ISBLANK(INDIRECT("template!"&amp;"K"&amp;A739)),"",INDIRECT("template!"&amp;"K"&amp;A739)))</f>
        <v>#REF!</v>
      </c>
      <c r="O739" t="e" cm="1">
        <f t="array" aca="1" ref="O739" ca="1">IF(OR(A739="",B739="safety"),"",INDIRECT("template!"&amp;"L"&amp;A739))</f>
        <v>#REF!</v>
      </c>
      <c r="P739" t="e" cm="1">
        <f t="array" aca="1" ref="P739" ca="1">IF(OR(A739="",B739="safety"),"",INDIRECT("template!"&amp;"M"&amp;A739))</f>
        <v>#REF!</v>
      </c>
      <c r="Q739" t="e">
        <f t="shared" ca="1" si="64"/>
        <v>#REF!</v>
      </c>
      <c r="R739" t="e">
        <f t="shared" ca="1" si="65"/>
        <v>#REF!</v>
      </c>
      <c r="S739" t="e">
        <f t="shared" ca="1" si="66"/>
        <v>#REF!</v>
      </c>
      <c r="T739" t="e">
        <f t="shared" ca="1" si="67"/>
        <v>#REF!</v>
      </c>
      <c r="U739" t="e" cm="1">
        <f t="array" aca="1" ref="U739" ca="1">IF(A739="","",IF(E739="","",IF(B739="safety",INDIRECT("template!"&amp;"P"&amp;A739),Q739+R739)))</f>
        <v>#REF!</v>
      </c>
      <c r="V739" t="e" cm="1">
        <f t="array" aca="1" ref="V739" ca="1">IF(A739="","",IF(E739="","",IF(B739="safety",INDIRECT("template!"&amp;"P"&amp;A739),S739+T739)))</f>
        <v>#REF!</v>
      </c>
      <c r="W739" t="e">
        <f ca="1">IF(A739="","",IF(E739="","",#REF!))</f>
        <v>#REF!</v>
      </c>
      <c r="X739" t="e">
        <f ca="1">IF(A739="","",IF(E739="","",#REF!))</f>
        <v>#REF!</v>
      </c>
      <c r="Y739" s="39" t="e">
        <f ca="1">IF(A739="","",IF(E739="","",#REF!))</f>
        <v>#REF!</v>
      </c>
      <c r="Z739" t="e">
        <f ca="1">IF(A739="","",IF(E739="","",#REF!))</f>
        <v>#REF!</v>
      </c>
      <c r="AA739" t="e">
        <f ca="1">IF(A739="","",IF(E739="","",#REF!))</f>
        <v>#REF!</v>
      </c>
      <c r="AB739" t="e">
        <f ca="1">IF(A739="","",IF(E739="","",#REF!))</f>
        <v>#REF!</v>
      </c>
      <c r="AC739" t="e">
        <f t="shared" ca="1" si="68"/>
        <v>#REF!</v>
      </c>
    </row>
    <row r="740" spans="1:29" x14ac:dyDescent="0.35">
      <c r="A740" t="e" cm="1">
        <f t="array" aca="1" ref="A740" ca="1">IF(A739="","",IF(OR(AND(A739+1&gt;=$AF$1,A739+1&lt;=$AF$2),AND(A739+1&gt;=$AF$6,A739+1&lt;=$AF$7),AND(A739+1&gt;=$AF$3,A739+1&lt;=$AF$4),AND(A739+1&gt;=$AF$8,A739+1&lt;=$AF$9),A739+1=$AF$5),IF(NOT(ISBLANK(INDIRECT("template!"&amp;"P"&amp;A739+1))),A739+1,IF(NOT(ISBLANK(INDIRECT("template!"&amp;"P"&amp;A739+2))),A739+2,A739+3)),IF(A739=$AF$2,$AF$3,IF(A739=$AF$4,$AF$5,IF(A739=$AF$5,$AF$6,IF(A739=$AF$7,$AF$8,""))))))</f>
        <v>#REF!</v>
      </c>
      <c r="B740" t="e">
        <f t="shared" ca="1" si="63"/>
        <v>#REF!</v>
      </c>
      <c r="C740" t="e" cm="1">
        <f t="array" aca="1" ref="C740" ca="1">IF(A740="","",IF(B740="safety","safety costs",INDIRECT("template!"&amp;"B"&amp;A740)))</f>
        <v>#REF!</v>
      </c>
      <c r="D740" t="e" cm="1">
        <f t="array" aca="1" ref="D740" ca="1">IF(OR(A740="",B740="safety"),"",INDIRECT("template!"&amp;"C"&amp;A740))</f>
        <v>#REF!</v>
      </c>
      <c r="E740" t="e" cm="1">
        <f t="array" aca="1" ref="E740" ca="1">IF(A740="","",IF(OR(A740=A739+1,A740=A739+2),E739,INDIRECT("template!"&amp;"D"&amp;A740-2)))</f>
        <v>#REF!</v>
      </c>
      <c r="F740" t="e" cm="1">
        <f t="array" aca="1" ref="F740" ca="1">IF(OR(A740="",B740="safety"),"",IF(ISBLANK(IF(A740=A739+1,F739,INDIRECT("template!"&amp;"D"&amp;A740-1))),"",IF(A740=A739+1,F739,INDIRECT("template!"&amp;"D"&amp;A740-1))))</f>
        <v>#REF!</v>
      </c>
      <c r="G740" t="e" cm="1">
        <f t="array" aca="1" ref="G740" ca="1">IF(OR(A740="",B740="safety"),"",IF(ISBLANK(INDIRECT("template!"&amp;"D"&amp;A740)),"",INDIRECT("template!"&amp;"D"&amp;A740)))</f>
        <v>#REF!</v>
      </c>
      <c r="H740" t="e" cm="1">
        <f t="array" aca="1" ref="H740" ca="1">IF(OR(A740="",B740="safety"),"",IF(ISBLANK(INDIRECT("template!"&amp;"E"&amp;A740)),"",INDIRECT("template!"&amp;"E"&amp;A740)))</f>
        <v>#REF!</v>
      </c>
      <c r="I740" t="e" cm="1">
        <f t="array" aca="1" ref="I740" ca="1">IF(OR(A740="",B740="safety"),"",IF(ISBLANK(INDIRECT("template!"&amp;"F"&amp;A740)),"",INDIRECT("template!"&amp;"F"&amp;A740)))</f>
        <v>#REF!</v>
      </c>
      <c r="J740" t="e" cm="1">
        <f t="array" aca="1" ref="J740" ca="1">IF(OR(A740="",B740="safety"),"",IF(ISBLANK(INDIRECT("template!"&amp;"G"&amp;A740)),"",INDIRECT("template!"&amp;"G"&amp;A740)))</f>
        <v>#REF!</v>
      </c>
      <c r="K740" t="e" cm="1">
        <f t="array" aca="1" ref="K740" ca="1">IF(OR(A740="",B740="safety"),"",IF(ISBLANK(INDIRECT("template!"&amp;"H"&amp;A740)),"",INDIRECT("template!"&amp;"H"&amp;A740)))</f>
        <v>#REF!</v>
      </c>
      <c r="L740" t="e" cm="1">
        <f t="array" aca="1" ref="L740" ca="1">IF(OR(A740="",B740="safety"),"",INDIRECT("template!"&amp;"I"&amp;A740))</f>
        <v>#REF!</v>
      </c>
      <c r="M740" t="e" cm="1">
        <f t="array" aca="1" ref="M740" ca="1">IF(OR(A740="",B740="safety"),"",INDIRECT("template!"&amp;"J"&amp;A740))</f>
        <v>#REF!</v>
      </c>
      <c r="N740" t="e" cm="1">
        <f t="array" aca="1" ref="N740" ca="1">IF(OR(A740="",B740="safety"),"",IF(ISBLANK(INDIRECT("template!"&amp;"K"&amp;A740)),"",INDIRECT("template!"&amp;"K"&amp;A740)))</f>
        <v>#REF!</v>
      </c>
      <c r="O740" t="e" cm="1">
        <f t="array" aca="1" ref="O740" ca="1">IF(OR(A740="",B740="safety"),"",INDIRECT("template!"&amp;"L"&amp;A740))</f>
        <v>#REF!</v>
      </c>
      <c r="P740" t="e" cm="1">
        <f t="array" aca="1" ref="P740" ca="1">IF(OR(A740="",B740="safety"),"",INDIRECT("template!"&amp;"M"&amp;A740))</f>
        <v>#REF!</v>
      </c>
      <c r="Q740" t="e">
        <f t="shared" ca="1" si="64"/>
        <v>#REF!</v>
      </c>
      <c r="R740" t="e">
        <f t="shared" ca="1" si="65"/>
        <v>#REF!</v>
      </c>
      <c r="S740" t="e">
        <f t="shared" ca="1" si="66"/>
        <v>#REF!</v>
      </c>
      <c r="T740" t="e">
        <f t="shared" ca="1" si="67"/>
        <v>#REF!</v>
      </c>
      <c r="U740" t="e" cm="1">
        <f t="array" aca="1" ref="U740" ca="1">IF(A740="","",IF(E740="","",IF(B740="safety",INDIRECT("template!"&amp;"P"&amp;A740),Q740+R740)))</f>
        <v>#REF!</v>
      </c>
      <c r="V740" t="e" cm="1">
        <f t="array" aca="1" ref="V740" ca="1">IF(A740="","",IF(E740="","",IF(B740="safety",INDIRECT("template!"&amp;"P"&amp;A740),S740+T740)))</f>
        <v>#REF!</v>
      </c>
      <c r="W740" t="e">
        <f ca="1">IF(A740="","",IF(E740="","",#REF!))</f>
        <v>#REF!</v>
      </c>
      <c r="X740" t="e">
        <f ca="1">IF(A740="","",IF(E740="","",#REF!))</f>
        <v>#REF!</v>
      </c>
      <c r="Y740" s="39" t="e">
        <f ca="1">IF(A740="","",IF(E740="","",#REF!))</f>
        <v>#REF!</v>
      </c>
      <c r="Z740" t="e">
        <f ca="1">IF(A740="","",IF(E740="","",#REF!))</f>
        <v>#REF!</v>
      </c>
      <c r="AA740" t="e">
        <f ca="1">IF(A740="","",IF(E740="","",#REF!))</f>
        <v>#REF!</v>
      </c>
      <c r="AB740" t="e">
        <f ca="1">IF(A740="","",IF(E740="","",#REF!))</f>
        <v>#REF!</v>
      </c>
      <c r="AC740" t="e">
        <f t="shared" ca="1" si="68"/>
        <v>#REF!</v>
      </c>
    </row>
    <row r="741" spans="1:29" x14ac:dyDescent="0.35">
      <c r="A741" t="e" cm="1">
        <f t="array" aca="1" ref="A741" ca="1">IF(A740="","",IF(OR(AND(A740+1&gt;=$AF$1,A740+1&lt;=$AF$2),AND(A740+1&gt;=$AF$6,A740+1&lt;=$AF$7),AND(A740+1&gt;=$AF$3,A740+1&lt;=$AF$4),AND(A740+1&gt;=$AF$8,A740+1&lt;=$AF$9),A740+1=$AF$5),IF(NOT(ISBLANK(INDIRECT("template!"&amp;"P"&amp;A740+1))),A740+1,IF(NOT(ISBLANK(INDIRECT("template!"&amp;"P"&amp;A740+2))),A740+2,A740+3)),IF(A740=$AF$2,$AF$3,IF(A740=$AF$4,$AF$5,IF(A740=$AF$5,$AF$6,IF(A740=$AF$7,$AF$8,""))))))</f>
        <v>#REF!</v>
      </c>
      <c r="B741" t="e">
        <f t="shared" ca="1" si="63"/>
        <v>#REF!</v>
      </c>
      <c r="C741" t="e" cm="1">
        <f t="array" aca="1" ref="C741" ca="1">IF(A741="","",IF(B741="safety","safety costs",INDIRECT("template!"&amp;"B"&amp;A741)))</f>
        <v>#REF!</v>
      </c>
      <c r="D741" t="e" cm="1">
        <f t="array" aca="1" ref="D741" ca="1">IF(OR(A741="",B741="safety"),"",INDIRECT("template!"&amp;"C"&amp;A741))</f>
        <v>#REF!</v>
      </c>
      <c r="E741" t="e" cm="1">
        <f t="array" aca="1" ref="E741" ca="1">IF(A741="","",IF(OR(A741=A740+1,A741=A740+2),E740,INDIRECT("template!"&amp;"D"&amp;A741-2)))</f>
        <v>#REF!</v>
      </c>
      <c r="F741" t="e" cm="1">
        <f t="array" aca="1" ref="F741" ca="1">IF(OR(A741="",B741="safety"),"",IF(ISBLANK(IF(A741=A740+1,F740,INDIRECT("template!"&amp;"D"&amp;A741-1))),"",IF(A741=A740+1,F740,INDIRECT("template!"&amp;"D"&amp;A741-1))))</f>
        <v>#REF!</v>
      </c>
      <c r="G741" t="e" cm="1">
        <f t="array" aca="1" ref="G741" ca="1">IF(OR(A741="",B741="safety"),"",IF(ISBLANK(INDIRECT("template!"&amp;"D"&amp;A741)),"",INDIRECT("template!"&amp;"D"&amp;A741)))</f>
        <v>#REF!</v>
      </c>
      <c r="H741" t="e" cm="1">
        <f t="array" aca="1" ref="H741" ca="1">IF(OR(A741="",B741="safety"),"",IF(ISBLANK(INDIRECT("template!"&amp;"E"&amp;A741)),"",INDIRECT("template!"&amp;"E"&amp;A741)))</f>
        <v>#REF!</v>
      </c>
      <c r="I741" t="e" cm="1">
        <f t="array" aca="1" ref="I741" ca="1">IF(OR(A741="",B741="safety"),"",IF(ISBLANK(INDIRECT("template!"&amp;"F"&amp;A741)),"",INDIRECT("template!"&amp;"F"&amp;A741)))</f>
        <v>#REF!</v>
      </c>
      <c r="J741" t="e" cm="1">
        <f t="array" aca="1" ref="J741" ca="1">IF(OR(A741="",B741="safety"),"",IF(ISBLANK(INDIRECT("template!"&amp;"G"&amp;A741)),"",INDIRECT("template!"&amp;"G"&amp;A741)))</f>
        <v>#REF!</v>
      </c>
      <c r="K741" t="e" cm="1">
        <f t="array" aca="1" ref="K741" ca="1">IF(OR(A741="",B741="safety"),"",IF(ISBLANK(INDIRECT("template!"&amp;"H"&amp;A741)),"",INDIRECT("template!"&amp;"H"&amp;A741)))</f>
        <v>#REF!</v>
      </c>
      <c r="L741" t="e" cm="1">
        <f t="array" aca="1" ref="L741" ca="1">IF(OR(A741="",B741="safety"),"",INDIRECT("template!"&amp;"I"&amp;A741))</f>
        <v>#REF!</v>
      </c>
      <c r="M741" t="e" cm="1">
        <f t="array" aca="1" ref="M741" ca="1">IF(OR(A741="",B741="safety"),"",INDIRECT("template!"&amp;"J"&amp;A741))</f>
        <v>#REF!</v>
      </c>
      <c r="N741" t="e" cm="1">
        <f t="array" aca="1" ref="N741" ca="1">IF(OR(A741="",B741="safety"),"",IF(ISBLANK(INDIRECT("template!"&amp;"K"&amp;A741)),"",INDIRECT("template!"&amp;"K"&amp;A741)))</f>
        <v>#REF!</v>
      </c>
      <c r="O741" t="e" cm="1">
        <f t="array" aca="1" ref="O741" ca="1">IF(OR(A741="",B741="safety"),"",INDIRECT("template!"&amp;"L"&amp;A741))</f>
        <v>#REF!</v>
      </c>
      <c r="P741" t="e" cm="1">
        <f t="array" aca="1" ref="P741" ca="1">IF(OR(A741="",B741="safety"),"",INDIRECT("template!"&amp;"M"&amp;A741))</f>
        <v>#REF!</v>
      </c>
      <c r="Q741" t="e">
        <f t="shared" ca="1" si="64"/>
        <v>#REF!</v>
      </c>
      <c r="R741" t="e">
        <f t="shared" ca="1" si="65"/>
        <v>#REF!</v>
      </c>
      <c r="S741" t="e">
        <f t="shared" ca="1" si="66"/>
        <v>#REF!</v>
      </c>
      <c r="T741" t="e">
        <f t="shared" ca="1" si="67"/>
        <v>#REF!</v>
      </c>
      <c r="U741" t="e" cm="1">
        <f t="array" aca="1" ref="U741" ca="1">IF(A741="","",IF(E741="","",IF(B741="safety",INDIRECT("template!"&amp;"P"&amp;A741),Q741+R741)))</f>
        <v>#REF!</v>
      </c>
      <c r="V741" t="e" cm="1">
        <f t="array" aca="1" ref="V741" ca="1">IF(A741="","",IF(E741="","",IF(B741="safety",INDIRECT("template!"&amp;"P"&amp;A741),S741+T741)))</f>
        <v>#REF!</v>
      </c>
      <c r="W741" t="e">
        <f ca="1">IF(A741="","",IF(E741="","",#REF!))</f>
        <v>#REF!</v>
      </c>
      <c r="X741" t="e">
        <f ca="1">IF(A741="","",IF(E741="","",#REF!))</f>
        <v>#REF!</v>
      </c>
      <c r="Y741" s="39" t="e">
        <f ca="1">IF(A741="","",IF(E741="","",#REF!))</f>
        <v>#REF!</v>
      </c>
      <c r="Z741" t="e">
        <f ca="1">IF(A741="","",IF(E741="","",#REF!))</f>
        <v>#REF!</v>
      </c>
      <c r="AA741" t="e">
        <f ca="1">IF(A741="","",IF(E741="","",#REF!))</f>
        <v>#REF!</v>
      </c>
      <c r="AB741" t="e">
        <f ca="1">IF(A741="","",IF(E741="","",#REF!))</f>
        <v>#REF!</v>
      </c>
      <c r="AC741" t="e">
        <f t="shared" ca="1" si="68"/>
        <v>#REF!</v>
      </c>
    </row>
    <row r="742" spans="1:29" x14ac:dyDescent="0.35">
      <c r="A742" t="e" cm="1">
        <f t="array" aca="1" ref="A742" ca="1">IF(A741="","",IF(OR(AND(A741+1&gt;=$AF$1,A741+1&lt;=$AF$2),AND(A741+1&gt;=$AF$6,A741+1&lt;=$AF$7),AND(A741+1&gt;=$AF$3,A741+1&lt;=$AF$4),AND(A741+1&gt;=$AF$8,A741+1&lt;=$AF$9),A741+1=$AF$5),IF(NOT(ISBLANK(INDIRECT("template!"&amp;"P"&amp;A741+1))),A741+1,IF(NOT(ISBLANK(INDIRECT("template!"&amp;"P"&amp;A741+2))),A741+2,A741+3)),IF(A741=$AF$2,$AF$3,IF(A741=$AF$4,$AF$5,IF(A741=$AF$5,$AF$6,IF(A741=$AF$7,$AF$8,""))))))</f>
        <v>#REF!</v>
      </c>
      <c r="B742" t="e">
        <f t="shared" ca="1" si="63"/>
        <v>#REF!</v>
      </c>
      <c r="C742" t="e" cm="1">
        <f t="array" aca="1" ref="C742" ca="1">IF(A742="","",IF(B742="safety","safety costs",INDIRECT("template!"&amp;"B"&amp;A742)))</f>
        <v>#REF!</v>
      </c>
      <c r="D742" t="e" cm="1">
        <f t="array" aca="1" ref="D742" ca="1">IF(OR(A742="",B742="safety"),"",INDIRECT("template!"&amp;"C"&amp;A742))</f>
        <v>#REF!</v>
      </c>
      <c r="E742" t="e" cm="1">
        <f t="array" aca="1" ref="E742" ca="1">IF(A742="","",IF(OR(A742=A741+1,A742=A741+2),E741,INDIRECT("template!"&amp;"D"&amp;A742-2)))</f>
        <v>#REF!</v>
      </c>
      <c r="F742" t="e" cm="1">
        <f t="array" aca="1" ref="F742" ca="1">IF(OR(A742="",B742="safety"),"",IF(ISBLANK(IF(A742=A741+1,F741,INDIRECT("template!"&amp;"D"&amp;A742-1))),"",IF(A742=A741+1,F741,INDIRECT("template!"&amp;"D"&amp;A742-1))))</f>
        <v>#REF!</v>
      </c>
      <c r="G742" t="e" cm="1">
        <f t="array" aca="1" ref="G742" ca="1">IF(OR(A742="",B742="safety"),"",IF(ISBLANK(INDIRECT("template!"&amp;"D"&amp;A742)),"",INDIRECT("template!"&amp;"D"&amp;A742)))</f>
        <v>#REF!</v>
      </c>
      <c r="H742" t="e" cm="1">
        <f t="array" aca="1" ref="H742" ca="1">IF(OR(A742="",B742="safety"),"",IF(ISBLANK(INDIRECT("template!"&amp;"E"&amp;A742)),"",INDIRECT("template!"&amp;"E"&amp;A742)))</f>
        <v>#REF!</v>
      </c>
      <c r="I742" t="e" cm="1">
        <f t="array" aca="1" ref="I742" ca="1">IF(OR(A742="",B742="safety"),"",IF(ISBLANK(INDIRECT("template!"&amp;"F"&amp;A742)),"",INDIRECT("template!"&amp;"F"&amp;A742)))</f>
        <v>#REF!</v>
      </c>
      <c r="J742" t="e" cm="1">
        <f t="array" aca="1" ref="J742" ca="1">IF(OR(A742="",B742="safety"),"",IF(ISBLANK(INDIRECT("template!"&amp;"G"&amp;A742)),"",INDIRECT("template!"&amp;"G"&amp;A742)))</f>
        <v>#REF!</v>
      </c>
      <c r="K742" t="e" cm="1">
        <f t="array" aca="1" ref="K742" ca="1">IF(OR(A742="",B742="safety"),"",IF(ISBLANK(INDIRECT("template!"&amp;"H"&amp;A742)),"",INDIRECT("template!"&amp;"H"&amp;A742)))</f>
        <v>#REF!</v>
      </c>
      <c r="L742" t="e" cm="1">
        <f t="array" aca="1" ref="L742" ca="1">IF(OR(A742="",B742="safety"),"",INDIRECT("template!"&amp;"I"&amp;A742))</f>
        <v>#REF!</v>
      </c>
      <c r="M742" t="e" cm="1">
        <f t="array" aca="1" ref="M742" ca="1">IF(OR(A742="",B742="safety"),"",INDIRECT("template!"&amp;"J"&amp;A742))</f>
        <v>#REF!</v>
      </c>
      <c r="N742" t="e" cm="1">
        <f t="array" aca="1" ref="N742" ca="1">IF(OR(A742="",B742="safety"),"",IF(ISBLANK(INDIRECT("template!"&amp;"K"&amp;A742)),"",INDIRECT("template!"&amp;"K"&amp;A742)))</f>
        <v>#REF!</v>
      </c>
      <c r="O742" t="e" cm="1">
        <f t="array" aca="1" ref="O742" ca="1">IF(OR(A742="",B742="safety"),"",INDIRECT("template!"&amp;"L"&amp;A742))</f>
        <v>#REF!</v>
      </c>
      <c r="P742" t="e" cm="1">
        <f t="array" aca="1" ref="P742" ca="1">IF(OR(A742="",B742="safety"),"",INDIRECT("template!"&amp;"M"&amp;A742))</f>
        <v>#REF!</v>
      </c>
      <c r="Q742" t="e">
        <f t="shared" ca="1" si="64"/>
        <v>#REF!</v>
      </c>
      <c r="R742" t="e">
        <f t="shared" ca="1" si="65"/>
        <v>#REF!</v>
      </c>
      <c r="S742" t="e">
        <f t="shared" ca="1" si="66"/>
        <v>#REF!</v>
      </c>
      <c r="T742" t="e">
        <f t="shared" ca="1" si="67"/>
        <v>#REF!</v>
      </c>
      <c r="U742" t="e" cm="1">
        <f t="array" aca="1" ref="U742" ca="1">IF(A742="","",IF(E742="","",IF(B742="safety",INDIRECT("template!"&amp;"P"&amp;A742),Q742+R742)))</f>
        <v>#REF!</v>
      </c>
      <c r="V742" t="e" cm="1">
        <f t="array" aca="1" ref="V742" ca="1">IF(A742="","",IF(E742="","",IF(B742="safety",INDIRECT("template!"&amp;"P"&amp;A742),S742+T742)))</f>
        <v>#REF!</v>
      </c>
      <c r="W742" t="e">
        <f ca="1">IF(A742="","",IF(E742="","",#REF!))</f>
        <v>#REF!</v>
      </c>
      <c r="X742" t="e">
        <f ca="1">IF(A742="","",IF(E742="","",#REF!))</f>
        <v>#REF!</v>
      </c>
      <c r="Y742" s="39" t="e">
        <f ca="1">IF(A742="","",IF(E742="","",#REF!))</f>
        <v>#REF!</v>
      </c>
      <c r="Z742" t="e">
        <f ca="1">IF(A742="","",IF(E742="","",#REF!))</f>
        <v>#REF!</v>
      </c>
      <c r="AA742" t="e">
        <f ca="1">IF(A742="","",IF(E742="","",#REF!))</f>
        <v>#REF!</v>
      </c>
      <c r="AB742" t="e">
        <f ca="1">IF(A742="","",IF(E742="","",#REF!))</f>
        <v>#REF!</v>
      </c>
      <c r="AC742" t="e">
        <f t="shared" ca="1" si="68"/>
        <v>#REF!</v>
      </c>
    </row>
    <row r="743" spans="1:29" x14ac:dyDescent="0.35">
      <c r="A743" t="e" cm="1">
        <f t="array" aca="1" ref="A743" ca="1">IF(A742="","",IF(OR(AND(A742+1&gt;=$AF$1,A742+1&lt;=$AF$2),AND(A742+1&gt;=$AF$6,A742+1&lt;=$AF$7),AND(A742+1&gt;=$AF$3,A742+1&lt;=$AF$4),AND(A742+1&gt;=$AF$8,A742+1&lt;=$AF$9),A742+1=$AF$5),IF(NOT(ISBLANK(INDIRECT("template!"&amp;"P"&amp;A742+1))),A742+1,IF(NOT(ISBLANK(INDIRECT("template!"&amp;"P"&amp;A742+2))),A742+2,A742+3)),IF(A742=$AF$2,$AF$3,IF(A742=$AF$4,$AF$5,IF(A742=$AF$5,$AF$6,IF(A742=$AF$7,$AF$8,""))))))</f>
        <v>#REF!</v>
      </c>
      <c r="B743" t="e">
        <f t="shared" ca="1" si="63"/>
        <v>#REF!</v>
      </c>
      <c r="C743" t="e" cm="1">
        <f t="array" aca="1" ref="C743" ca="1">IF(A743="","",IF(B743="safety","safety costs",INDIRECT("template!"&amp;"B"&amp;A743)))</f>
        <v>#REF!</v>
      </c>
      <c r="D743" t="e" cm="1">
        <f t="array" aca="1" ref="D743" ca="1">IF(OR(A743="",B743="safety"),"",INDIRECT("template!"&amp;"C"&amp;A743))</f>
        <v>#REF!</v>
      </c>
      <c r="E743" t="e" cm="1">
        <f t="array" aca="1" ref="E743" ca="1">IF(A743="","",IF(OR(A743=A742+1,A743=A742+2),E742,INDIRECT("template!"&amp;"D"&amp;A743-2)))</f>
        <v>#REF!</v>
      </c>
      <c r="F743" t="e" cm="1">
        <f t="array" aca="1" ref="F743" ca="1">IF(OR(A743="",B743="safety"),"",IF(ISBLANK(IF(A743=A742+1,F742,INDIRECT("template!"&amp;"D"&amp;A743-1))),"",IF(A743=A742+1,F742,INDIRECT("template!"&amp;"D"&amp;A743-1))))</f>
        <v>#REF!</v>
      </c>
      <c r="G743" t="e" cm="1">
        <f t="array" aca="1" ref="G743" ca="1">IF(OR(A743="",B743="safety"),"",IF(ISBLANK(INDIRECT("template!"&amp;"D"&amp;A743)),"",INDIRECT("template!"&amp;"D"&amp;A743)))</f>
        <v>#REF!</v>
      </c>
      <c r="H743" t="e" cm="1">
        <f t="array" aca="1" ref="H743" ca="1">IF(OR(A743="",B743="safety"),"",IF(ISBLANK(INDIRECT("template!"&amp;"E"&amp;A743)),"",INDIRECT("template!"&amp;"E"&amp;A743)))</f>
        <v>#REF!</v>
      </c>
      <c r="I743" t="e" cm="1">
        <f t="array" aca="1" ref="I743" ca="1">IF(OR(A743="",B743="safety"),"",IF(ISBLANK(INDIRECT("template!"&amp;"F"&amp;A743)),"",INDIRECT("template!"&amp;"F"&amp;A743)))</f>
        <v>#REF!</v>
      </c>
      <c r="J743" t="e" cm="1">
        <f t="array" aca="1" ref="J743" ca="1">IF(OR(A743="",B743="safety"),"",IF(ISBLANK(INDIRECT("template!"&amp;"G"&amp;A743)),"",INDIRECT("template!"&amp;"G"&amp;A743)))</f>
        <v>#REF!</v>
      </c>
      <c r="K743" t="e" cm="1">
        <f t="array" aca="1" ref="K743" ca="1">IF(OR(A743="",B743="safety"),"",IF(ISBLANK(INDIRECT("template!"&amp;"H"&amp;A743)),"",INDIRECT("template!"&amp;"H"&amp;A743)))</f>
        <v>#REF!</v>
      </c>
      <c r="L743" t="e" cm="1">
        <f t="array" aca="1" ref="L743" ca="1">IF(OR(A743="",B743="safety"),"",INDIRECT("template!"&amp;"I"&amp;A743))</f>
        <v>#REF!</v>
      </c>
      <c r="M743" t="e" cm="1">
        <f t="array" aca="1" ref="M743" ca="1">IF(OR(A743="",B743="safety"),"",INDIRECT("template!"&amp;"J"&amp;A743))</f>
        <v>#REF!</v>
      </c>
      <c r="N743" t="e" cm="1">
        <f t="array" aca="1" ref="N743" ca="1">IF(OR(A743="",B743="safety"),"",IF(ISBLANK(INDIRECT("template!"&amp;"K"&amp;A743)),"",INDIRECT("template!"&amp;"K"&amp;A743)))</f>
        <v>#REF!</v>
      </c>
      <c r="O743" t="e" cm="1">
        <f t="array" aca="1" ref="O743" ca="1">IF(OR(A743="",B743="safety"),"",INDIRECT("template!"&amp;"L"&amp;A743))</f>
        <v>#REF!</v>
      </c>
      <c r="P743" t="e" cm="1">
        <f t="array" aca="1" ref="P743" ca="1">IF(OR(A743="",B743="safety"),"",INDIRECT("template!"&amp;"M"&amp;A743))</f>
        <v>#REF!</v>
      </c>
      <c r="Q743" t="e">
        <f t="shared" ca="1" si="64"/>
        <v>#REF!</v>
      </c>
      <c r="R743" t="e">
        <f t="shared" ca="1" si="65"/>
        <v>#REF!</v>
      </c>
      <c r="S743" t="e">
        <f t="shared" ca="1" si="66"/>
        <v>#REF!</v>
      </c>
      <c r="T743" t="e">
        <f t="shared" ca="1" si="67"/>
        <v>#REF!</v>
      </c>
      <c r="U743" t="e" cm="1">
        <f t="array" aca="1" ref="U743" ca="1">IF(A743="","",IF(E743="","",IF(B743="safety",INDIRECT("template!"&amp;"P"&amp;A743),Q743+R743)))</f>
        <v>#REF!</v>
      </c>
      <c r="V743" t="e" cm="1">
        <f t="array" aca="1" ref="V743" ca="1">IF(A743="","",IF(E743="","",IF(B743="safety",INDIRECT("template!"&amp;"P"&amp;A743),S743+T743)))</f>
        <v>#REF!</v>
      </c>
      <c r="W743" t="e">
        <f ca="1">IF(A743="","",IF(E743="","",#REF!))</f>
        <v>#REF!</v>
      </c>
      <c r="X743" t="e">
        <f ca="1">IF(A743="","",IF(E743="","",#REF!))</f>
        <v>#REF!</v>
      </c>
      <c r="Y743" s="39" t="e">
        <f ca="1">IF(A743="","",IF(E743="","",#REF!))</f>
        <v>#REF!</v>
      </c>
      <c r="Z743" t="e">
        <f ca="1">IF(A743="","",IF(E743="","",#REF!))</f>
        <v>#REF!</v>
      </c>
      <c r="AA743" t="e">
        <f ca="1">IF(A743="","",IF(E743="","",#REF!))</f>
        <v>#REF!</v>
      </c>
      <c r="AB743" t="e">
        <f ca="1">IF(A743="","",IF(E743="","",#REF!))</f>
        <v>#REF!</v>
      </c>
      <c r="AC743" t="e">
        <f t="shared" ca="1" si="68"/>
        <v>#REF!</v>
      </c>
    </row>
    <row r="744" spans="1:29" x14ac:dyDescent="0.35">
      <c r="A744" t="e" cm="1">
        <f t="array" aca="1" ref="A744" ca="1">IF(A743="","",IF(OR(AND(A743+1&gt;=$AF$1,A743+1&lt;=$AF$2),AND(A743+1&gt;=$AF$6,A743+1&lt;=$AF$7),AND(A743+1&gt;=$AF$3,A743+1&lt;=$AF$4),AND(A743+1&gt;=$AF$8,A743+1&lt;=$AF$9),A743+1=$AF$5),IF(NOT(ISBLANK(INDIRECT("template!"&amp;"P"&amp;A743+1))),A743+1,IF(NOT(ISBLANK(INDIRECT("template!"&amp;"P"&amp;A743+2))),A743+2,A743+3)),IF(A743=$AF$2,$AF$3,IF(A743=$AF$4,$AF$5,IF(A743=$AF$5,$AF$6,IF(A743=$AF$7,$AF$8,""))))))</f>
        <v>#REF!</v>
      </c>
      <c r="B744" t="e">
        <f t="shared" ca="1" si="63"/>
        <v>#REF!</v>
      </c>
      <c r="C744" t="e" cm="1">
        <f t="array" aca="1" ref="C744" ca="1">IF(A744="","",IF(B744="safety","safety costs",INDIRECT("template!"&amp;"B"&amp;A744)))</f>
        <v>#REF!</v>
      </c>
      <c r="D744" t="e" cm="1">
        <f t="array" aca="1" ref="D744" ca="1">IF(OR(A744="",B744="safety"),"",INDIRECT("template!"&amp;"C"&amp;A744))</f>
        <v>#REF!</v>
      </c>
      <c r="E744" t="e" cm="1">
        <f t="array" aca="1" ref="E744" ca="1">IF(A744="","",IF(OR(A744=A743+1,A744=A743+2),E743,INDIRECT("template!"&amp;"D"&amp;A744-2)))</f>
        <v>#REF!</v>
      </c>
      <c r="F744" t="e" cm="1">
        <f t="array" aca="1" ref="F744" ca="1">IF(OR(A744="",B744="safety"),"",IF(ISBLANK(IF(A744=A743+1,F743,INDIRECT("template!"&amp;"D"&amp;A744-1))),"",IF(A744=A743+1,F743,INDIRECT("template!"&amp;"D"&amp;A744-1))))</f>
        <v>#REF!</v>
      </c>
      <c r="G744" t="e" cm="1">
        <f t="array" aca="1" ref="G744" ca="1">IF(OR(A744="",B744="safety"),"",IF(ISBLANK(INDIRECT("template!"&amp;"D"&amp;A744)),"",INDIRECT("template!"&amp;"D"&amp;A744)))</f>
        <v>#REF!</v>
      </c>
      <c r="H744" t="e" cm="1">
        <f t="array" aca="1" ref="H744" ca="1">IF(OR(A744="",B744="safety"),"",IF(ISBLANK(INDIRECT("template!"&amp;"E"&amp;A744)),"",INDIRECT("template!"&amp;"E"&amp;A744)))</f>
        <v>#REF!</v>
      </c>
      <c r="I744" t="e" cm="1">
        <f t="array" aca="1" ref="I744" ca="1">IF(OR(A744="",B744="safety"),"",IF(ISBLANK(INDIRECT("template!"&amp;"F"&amp;A744)),"",INDIRECT("template!"&amp;"F"&amp;A744)))</f>
        <v>#REF!</v>
      </c>
      <c r="J744" t="e" cm="1">
        <f t="array" aca="1" ref="J744" ca="1">IF(OR(A744="",B744="safety"),"",IF(ISBLANK(INDIRECT("template!"&amp;"G"&amp;A744)),"",INDIRECT("template!"&amp;"G"&amp;A744)))</f>
        <v>#REF!</v>
      </c>
      <c r="K744" t="e" cm="1">
        <f t="array" aca="1" ref="K744" ca="1">IF(OR(A744="",B744="safety"),"",IF(ISBLANK(INDIRECT("template!"&amp;"H"&amp;A744)),"",INDIRECT("template!"&amp;"H"&amp;A744)))</f>
        <v>#REF!</v>
      </c>
      <c r="L744" t="e" cm="1">
        <f t="array" aca="1" ref="L744" ca="1">IF(OR(A744="",B744="safety"),"",INDIRECT("template!"&amp;"I"&amp;A744))</f>
        <v>#REF!</v>
      </c>
      <c r="M744" t="e" cm="1">
        <f t="array" aca="1" ref="M744" ca="1">IF(OR(A744="",B744="safety"),"",INDIRECT("template!"&amp;"J"&amp;A744))</f>
        <v>#REF!</v>
      </c>
      <c r="N744" t="e" cm="1">
        <f t="array" aca="1" ref="N744" ca="1">IF(OR(A744="",B744="safety"),"",IF(ISBLANK(INDIRECT("template!"&amp;"K"&amp;A744)),"",INDIRECT("template!"&amp;"K"&amp;A744)))</f>
        <v>#REF!</v>
      </c>
      <c r="O744" t="e" cm="1">
        <f t="array" aca="1" ref="O744" ca="1">IF(OR(A744="",B744="safety"),"",INDIRECT("template!"&amp;"L"&amp;A744))</f>
        <v>#REF!</v>
      </c>
      <c r="P744" t="e" cm="1">
        <f t="array" aca="1" ref="P744" ca="1">IF(OR(A744="",B744="safety"),"",INDIRECT("template!"&amp;"M"&amp;A744))</f>
        <v>#REF!</v>
      </c>
      <c r="Q744" t="e">
        <f t="shared" ca="1" si="64"/>
        <v>#REF!</v>
      </c>
      <c r="R744" t="e">
        <f t="shared" ca="1" si="65"/>
        <v>#REF!</v>
      </c>
      <c r="S744" t="e">
        <f t="shared" ca="1" si="66"/>
        <v>#REF!</v>
      </c>
      <c r="T744" t="e">
        <f t="shared" ca="1" si="67"/>
        <v>#REF!</v>
      </c>
      <c r="U744" t="e" cm="1">
        <f t="array" aca="1" ref="U744" ca="1">IF(A744="","",IF(E744="","",IF(B744="safety",INDIRECT("template!"&amp;"P"&amp;A744),Q744+R744)))</f>
        <v>#REF!</v>
      </c>
      <c r="V744" t="e" cm="1">
        <f t="array" aca="1" ref="V744" ca="1">IF(A744="","",IF(E744="","",IF(B744="safety",INDIRECT("template!"&amp;"P"&amp;A744),S744+T744)))</f>
        <v>#REF!</v>
      </c>
      <c r="W744" t="e">
        <f ca="1">IF(A744="","",IF(E744="","",#REF!))</f>
        <v>#REF!</v>
      </c>
      <c r="X744" t="e">
        <f ca="1">IF(A744="","",IF(E744="","",#REF!))</f>
        <v>#REF!</v>
      </c>
      <c r="Y744" s="39" t="e">
        <f ca="1">IF(A744="","",IF(E744="","",#REF!))</f>
        <v>#REF!</v>
      </c>
      <c r="Z744" t="e">
        <f ca="1">IF(A744="","",IF(E744="","",#REF!))</f>
        <v>#REF!</v>
      </c>
      <c r="AA744" t="e">
        <f ca="1">IF(A744="","",IF(E744="","",#REF!))</f>
        <v>#REF!</v>
      </c>
      <c r="AB744" t="e">
        <f ca="1">IF(A744="","",IF(E744="","",#REF!))</f>
        <v>#REF!</v>
      </c>
      <c r="AC744" t="e">
        <f t="shared" ca="1" si="68"/>
        <v>#REF!</v>
      </c>
    </row>
    <row r="745" spans="1:29" x14ac:dyDescent="0.35">
      <c r="A745" t="e" cm="1">
        <f t="array" aca="1" ref="A745" ca="1">IF(A744="","",IF(OR(AND(A744+1&gt;=$AF$1,A744+1&lt;=$AF$2),AND(A744+1&gt;=$AF$6,A744+1&lt;=$AF$7),AND(A744+1&gt;=$AF$3,A744+1&lt;=$AF$4),AND(A744+1&gt;=$AF$8,A744+1&lt;=$AF$9),A744+1=$AF$5),IF(NOT(ISBLANK(INDIRECT("template!"&amp;"P"&amp;A744+1))),A744+1,IF(NOT(ISBLANK(INDIRECT("template!"&amp;"P"&amp;A744+2))),A744+2,A744+3)),IF(A744=$AF$2,$AF$3,IF(A744=$AF$4,$AF$5,IF(A744=$AF$5,$AF$6,IF(A744=$AF$7,$AF$8,""))))))</f>
        <v>#REF!</v>
      </c>
      <c r="B745" t="e">
        <f t="shared" ca="1" si="63"/>
        <v>#REF!</v>
      </c>
      <c r="C745" t="e" cm="1">
        <f t="array" aca="1" ref="C745" ca="1">IF(A745="","",IF(B745="safety","safety costs",INDIRECT("template!"&amp;"B"&amp;A745)))</f>
        <v>#REF!</v>
      </c>
      <c r="D745" t="e" cm="1">
        <f t="array" aca="1" ref="D745" ca="1">IF(OR(A745="",B745="safety"),"",INDIRECT("template!"&amp;"C"&amp;A745))</f>
        <v>#REF!</v>
      </c>
      <c r="E745" t="e" cm="1">
        <f t="array" aca="1" ref="E745" ca="1">IF(A745="","",IF(OR(A745=A744+1,A745=A744+2),E744,INDIRECT("template!"&amp;"D"&amp;A745-2)))</f>
        <v>#REF!</v>
      </c>
      <c r="F745" t="e" cm="1">
        <f t="array" aca="1" ref="F745" ca="1">IF(OR(A745="",B745="safety"),"",IF(ISBLANK(IF(A745=A744+1,F744,INDIRECT("template!"&amp;"D"&amp;A745-1))),"",IF(A745=A744+1,F744,INDIRECT("template!"&amp;"D"&amp;A745-1))))</f>
        <v>#REF!</v>
      </c>
      <c r="G745" t="e" cm="1">
        <f t="array" aca="1" ref="G745" ca="1">IF(OR(A745="",B745="safety"),"",IF(ISBLANK(INDIRECT("template!"&amp;"D"&amp;A745)),"",INDIRECT("template!"&amp;"D"&amp;A745)))</f>
        <v>#REF!</v>
      </c>
      <c r="H745" t="e" cm="1">
        <f t="array" aca="1" ref="H745" ca="1">IF(OR(A745="",B745="safety"),"",IF(ISBLANK(INDIRECT("template!"&amp;"E"&amp;A745)),"",INDIRECT("template!"&amp;"E"&amp;A745)))</f>
        <v>#REF!</v>
      </c>
      <c r="I745" t="e" cm="1">
        <f t="array" aca="1" ref="I745" ca="1">IF(OR(A745="",B745="safety"),"",IF(ISBLANK(INDIRECT("template!"&amp;"F"&amp;A745)),"",INDIRECT("template!"&amp;"F"&amp;A745)))</f>
        <v>#REF!</v>
      </c>
      <c r="J745" t="e" cm="1">
        <f t="array" aca="1" ref="J745" ca="1">IF(OR(A745="",B745="safety"),"",IF(ISBLANK(INDIRECT("template!"&amp;"G"&amp;A745)),"",INDIRECT("template!"&amp;"G"&amp;A745)))</f>
        <v>#REF!</v>
      </c>
      <c r="K745" t="e" cm="1">
        <f t="array" aca="1" ref="K745" ca="1">IF(OR(A745="",B745="safety"),"",IF(ISBLANK(INDIRECT("template!"&amp;"H"&amp;A745)),"",INDIRECT("template!"&amp;"H"&amp;A745)))</f>
        <v>#REF!</v>
      </c>
      <c r="L745" t="e" cm="1">
        <f t="array" aca="1" ref="L745" ca="1">IF(OR(A745="",B745="safety"),"",INDIRECT("template!"&amp;"I"&amp;A745))</f>
        <v>#REF!</v>
      </c>
      <c r="M745" t="e" cm="1">
        <f t="array" aca="1" ref="M745" ca="1">IF(OR(A745="",B745="safety"),"",INDIRECT("template!"&amp;"J"&amp;A745))</f>
        <v>#REF!</v>
      </c>
      <c r="N745" t="e" cm="1">
        <f t="array" aca="1" ref="N745" ca="1">IF(OR(A745="",B745="safety"),"",IF(ISBLANK(INDIRECT("template!"&amp;"K"&amp;A745)),"",INDIRECT("template!"&amp;"K"&amp;A745)))</f>
        <v>#REF!</v>
      </c>
      <c r="O745" t="e" cm="1">
        <f t="array" aca="1" ref="O745" ca="1">IF(OR(A745="",B745="safety"),"",INDIRECT("template!"&amp;"L"&amp;A745))</f>
        <v>#REF!</v>
      </c>
      <c r="P745" t="e" cm="1">
        <f t="array" aca="1" ref="P745" ca="1">IF(OR(A745="",B745="safety"),"",INDIRECT("template!"&amp;"M"&amp;A745))</f>
        <v>#REF!</v>
      </c>
      <c r="Q745" t="e">
        <f t="shared" ca="1" si="64"/>
        <v>#REF!</v>
      </c>
      <c r="R745" t="e">
        <f t="shared" ca="1" si="65"/>
        <v>#REF!</v>
      </c>
      <c r="S745" t="e">
        <f t="shared" ca="1" si="66"/>
        <v>#REF!</v>
      </c>
      <c r="T745" t="e">
        <f t="shared" ca="1" si="67"/>
        <v>#REF!</v>
      </c>
      <c r="U745" t="e" cm="1">
        <f t="array" aca="1" ref="U745" ca="1">IF(A745="","",IF(E745="","",IF(B745="safety",INDIRECT("template!"&amp;"P"&amp;A745),Q745+R745)))</f>
        <v>#REF!</v>
      </c>
      <c r="V745" t="e" cm="1">
        <f t="array" aca="1" ref="V745" ca="1">IF(A745="","",IF(E745="","",IF(B745="safety",INDIRECT("template!"&amp;"P"&amp;A745),S745+T745)))</f>
        <v>#REF!</v>
      </c>
      <c r="W745" t="e">
        <f ca="1">IF(A745="","",IF(E745="","",#REF!))</f>
        <v>#REF!</v>
      </c>
      <c r="X745" t="e">
        <f ca="1">IF(A745="","",IF(E745="","",#REF!))</f>
        <v>#REF!</v>
      </c>
      <c r="Y745" s="39" t="e">
        <f ca="1">IF(A745="","",IF(E745="","",#REF!))</f>
        <v>#REF!</v>
      </c>
      <c r="Z745" t="e">
        <f ca="1">IF(A745="","",IF(E745="","",#REF!))</f>
        <v>#REF!</v>
      </c>
      <c r="AA745" t="e">
        <f ca="1">IF(A745="","",IF(E745="","",#REF!))</f>
        <v>#REF!</v>
      </c>
      <c r="AB745" t="e">
        <f ca="1">IF(A745="","",IF(E745="","",#REF!))</f>
        <v>#REF!</v>
      </c>
      <c r="AC745" t="e">
        <f t="shared" ca="1" si="68"/>
        <v>#REF!</v>
      </c>
    </row>
    <row r="746" spans="1:29" x14ac:dyDescent="0.35">
      <c r="A746" t="e" cm="1">
        <f t="array" aca="1" ref="A746" ca="1">IF(A745="","",IF(OR(AND(A745+1&gt;=$AF$1,A745+1&lt;=$AF$2),AND(A745+1&gt;=$AF$6,A745+1&lt;=$AF$7),AND(A745+1&gt;=$AF$3,A745+1&lt;=$AF$4),AND(A745+1&gt;=$AF$8,A745+1&lt;=$AF$9),A745+1=$AF$5),IF(NOT(ISBLANK(INDIRECT("template!"&amp;"P"&amp;A745+1))),A745+1,IF(NOT(ISBLANK(INDIRECT("template!"&amp;"P"&amp;A745+2))),A745+2,A745+3)),IF(A745=$AF$2,$AF$3,IF(A745=$AF$4,$AF$5,IF(A745=$AF$5,$AF$6,IF(A745=$AF$7,$AF$8,""))))))</f>
        <v>#REF!</v>
      </c>
      <c r="B746" t="e">
        <f t="shared" ca="1" si="63"/>
        <v>#REF!</v>
      </c>
      <c r="C746" t="e" cm="1">
        <f t="array" aca="1" ref="C746" ca="1">IF(A746="","",IF(B746="safety","safety costs",INDIRECT("template!"&amp;"B"&amp;A746)))</f>
        <v>#REF!</v>
      </c>
      <c r="D746" t="e" cm="1">
        <f t="array" aca="1" ref="D746" ca="1">IF(OR(A746="",B746="safety"),"",INDIRECT("template!"&amp;"C"&amp;A746))</f>
        <v>#REF!</v>
      </c>
      <c r="E746" t="e" cm="1">
        <f t="array" aca="1" ref="E746" ca="1">IF(A746="","",IF(OR(A746=A745+1,A746=A745+2),E745,INDIRECT("template!"&amp;"D"&amp;A746-2)))</f>
        <v>#REF!</v>
      </c>
      <c r="F746" t="e" cm="1">
        <f t="array" aca="1" ref="F746" ca="1">IF(OR(A746="",B746="safety"),"",IF(ISBLANK(IF(A746=A745+1,F745,INDIRECT("template!"&amp;"D"&amp;A746-1))),"",IF(A746=A745+1,F745,INDIRECT("template!"&amp;"D"&amp;A746-1))))</f>
        <v>#REF!</v>
      </c>
      <c r="G746" t="e" cm="1">
        <f t="array" aca="1" ref="G746" ca="1">IF(OR(A746="",B746="safety"),"",IF(ISBLANK(INDIRECT("template!"&amp;"D"&amp;A746)),"",INDIRECT("template!"&amp;"D"&amp;A746)))</f>
        <v>#REF!</v>
      </c>
      <c r="H746" t="e" cm="1">
        <f t="array" aca="1" ref="H746" ca="1">IF(OR(A746="",B746="safety"),"",IF(ISBLANK(INDIRECT("template!"&amp;"E"&amp;A746)),"",INDIRECT("template!"&amp;"E"&amp;A746)))</f>
        <v>#REF!</v>
      </c>
      <c r="I746" t="e" cm="1">
        <f t="array" aca="1" ref="I746" ca="1">IF(OR(A746="",B746="safety"),"",IF(ISBLANK(INDIRECT("template!"&amp;"F"&amp;A746)),"",INDIRECT("template!"&amp;"F"&amp;A746)))</f>
        <v>#REF!</v>
      </c>
      <c r="J746" t="e" cm="1">
        <f t="array" aca="1" ref="J746" ca="1">IF(OR(A746="",B746="safety"),"",IF(ISBLANK(INDIRECT("template!"&amp;"G"&amp;A746)),"",INDIRECT("template!"&amp;"G"&amp;A746)))</f>
        <v>#REF!</v>
      </c>
      <c r="K746" t="e" cm="1">
        <f t="array" aca="1" ref="K746" ca="1">IF(OR(A746="",B746="safety"),"",IF(ISBLANK(INDIRECT("template!"&amp;"H"&amp;A746)),"",INDIRECT("template!"&amp;"H"&amp;A746)))</f>
        <v>#REF!</v>
      </c>
      <c r="L746" t="e" cm="1">
        <f t="array" aca="1" ref="L746" ca="1">IF(OR(A746="",B746="safety"),"",INDIRECT("template!"&amp;"I"&amp;A746))</f>
        <v>#REF!</v>
      </c>
      <c r="M746" t="e" cm="1">
        <f t="array" aca="1" ref="M746" ca="1">IF(OR(A746="",B746="safety"),"",INDIRECT("template!"&amp;"J"&amp;A746))</f>
        <v>#REF!</v>
      </c>
      <c r="N746" t="e" cm="1">
        <f t="array" aca="1" ref="N746" ca="1">IF(OR(A746="",B746="safety"),"",IF(ISBLANK(INDIRECT("template!"&amp;"K"&amp;A746)),"",INDIRECT("template!"&amp;"K"&amp;A746)))</f>
        <v>#REF!</v>
      </c>
      <c r="O746" t="e" cm="1">
        <f t="array" aca="1" ref="O746" ca="1">IF(OR(A746="",B746="safety"),"",INDIRECT("template!"&amp;"L"&amp;A746))</f>
        <v>#REF!</v>
      </c>
      <c r="P746" t="e" cm="1">
        <f t="array" aca="1" ref="P746" ca="1">IF(OR(A746="",B746="safety"),"",INDIRECT("template!"&amp;"M"&amp;A746))</f>
        <v>#REF!</v>
      </c>
      <c r="Q746" t="e">
        <f t="shared" ca="1" si="64"/>
        <v>#REF!</v>
      </c>
      <c r="R746" t="e">
        <f t="shared" ca="1" si="65"/>
        <v>#REF!</v>
      </c>
      <c r="S746" t="e">
        <f t="shared" ca="1" si="66"/>
        <v>#REF!</v>
      </c>
      <c r="T746" t="e">
        <f t="shared" ca="1" si="67"/>
        <v>#REF!</v>
      </c>
      <c r="U746" t="e" cm="1">
        <f t="array" aca="1" ref="U746" ca="1">IF(A746="","",IF(E746="","",IF(B746="safety",INDIRECT("template!"&amp;"P"&amp;A746),Q746+R746)))</f>
        <v>#REF!</v>
      </c>
      <c r="V746" t="e" cm="1">
        <f t="array" aca="1" ref="V746" ca="1">IF(A746="","",IF(E746="","",IF(B746="safety",INDIRECT("template!"&amp;"P"&amp;A746),S746+T746)))</f>
        <v>#REF!</v>
      </c>
      <c r="W746" t="e">
        <f ca="1">IF(A746="","",IF(E746="","",#REF!))</f>
        <v>#REF!</v>
      </c>
      <c r="X746" t="e">
        <f ca="1">IF(A746="","",IF(E746="","",#REF!))</f>
        <v>#REF!</v>
      </c>
      <c r="Y746" s="39" t="e">
        <f ca="1">IF(A746="","",IF(E746="","",#REF!))</f>
        <v>#REF!</v>
      </c>
      <c r="Z746" t="e">
        <f ca="1">IF(A746="","",IF(E746="","",#REF!))</f>
        <v>#REF!</v>
      </c>
      <c r="AA746" t="e">
        <f ca="1">IF(A746="","",IF(E746="","",#REF!))</f>
        <v>#REF!</v>
      </c>
      <c r="AB746" t="e">
        <f ca="1">IF(A746="","",IF(E746="","",#REF!))</f>
        <v>#REF!</v>
      </c>
      <c r="AC746" t="e">
        <f t="shared" ca="1" si="68"/>
        <v>#REF!</v>
      </c>
    </row>
    <row r="747" spans="1:29" x14ac:dyDescent="0.35">
      <c r="A747" t="e" cm="1">
        <f t="array" aca="1" ref="A747" ca="1">IF(A746="","",IF(OR(AND(A746+1&gt;=$AF$1,A746+1&lt;=$AF$2),AND(A746+1&gt;=$AF$6,A746+1&lt;=$AF$7),AND(A746+1&gt;=$AF$3,A746+1&lt;=$AF$4),AND(A746+1&gt;=$AF$8,A746+1&lt;=$AF$9),A746+1=$AF$5),IF(NOT(ISBLANK(INDIRECT("template!"&amp;"P"&amp;A746+1))),A746+1,IF(NOT(ISBLANK(INDIRECT("template!"&amp;"P"&amp;A746+2))),A746+2,A746+3)),IF(A746=$AF$2,$AF$3,IF(A746=$AF$4,$AF$5,IF(A746=$AF$5,$AF$6,IF(A746=$AF$7,$AF$8,""))))))</f>
        <v>#REF!</v>
      </c>
      <c r="B747" t="e">
        <f t="shared" ca="1" si="63"/>
        <v>#REF!</v>
      </c>
      <c r="C747" t="e" cm="1">
        <f t="array" aca="1" ref="C747" ca="1">IF(A747="","",IF(B747="safety","safety costs",INDIRECT("template!"&amp;"B"&amp;A747)))</f>
        <v>#REF!</v>
      </c>
      <c r="D747" t="e" cm="1">
        <f t="array" aca="1" ref="D747" ca="1">IF(OR(A747="",B747="safety"),"",INDIRECT("template!"&amp;"C"&amp;A747))</f>
        <v>#REF!</v>
      </c>
      <c r="E747" t="e" cm="1">
        <f t="array" aca="1" ref="E747" ca="1">IF(A747="","",IF(OR(A747=A746+1,A747=A746+2),E746,INDIRECT("template!"&amp;"D"&amp;A747-2)))</f>
        <v>#REF!</v>
      </c>
      <c r="F747" t="e" cm="1">
        <f t="array" aca="1" ref="F747" ca="1">IF(OR(A747="",B747="safety"),"",IF(ISBLANK(IF(A747=A746+1,F746,INDIRECT("template!"&amp;"D"&amp;A747-1))),"",IF(A747=A746+1,F746,INDIRECT("template!"&amp;"D"&amp;A747-1))))</f>
        <v>#REF!</v>
      </c>
      <c r="G747" t="e" cm="1">
        <f t="array" aca="1" ref="G747" ca="1">IF(OR(A747="",B747="safety"),"",IF(ISBLANK(INDIRECT("template!"&amp;"D"&amp;A747)),"",INDIRECT("template!"&amp;"D"&amp;A747)))</f>
        <v>#REF!</v>
      </c>
      <c r="H747" t="e" cm="1">
        <f t="array" aca="1" ref="H747" ca="1">IF(OR(A747="",B747="safety"),"",IF(ISBLANK(INDIRECT("template!"&amp;"E"&amp;A747)),"",INDIRECT("template!"&amp;"E"&amp;A747)))</f>
        <v>#REF!</v>
      </c>
      <c r="I747" t="e" cm="1">
        <f t="array" aca="1" ref="I747" ca="1">IF(OR(A747="",B747="safety"),"",IF(ISBLANK(INDIRECT("template!"&amp;"F"&amp;A747)),"",INDIRECT("template!"&amp;"F"&amp;A747)))</f>
        <v>#REF!</v>
      </c>
      <c r="J747" t="e" cm="1">
        <f t="array" aca="1" ref="J747" ca="1">IF(OR(A747="",B747="safety"),"",IF(ISBLANK(INDIRECT("template!"&amp;"G"&amp;A747)),"",INDIRECT("template!"&amp;"G"&amp;A747)))</f>
        <v>#REF!</v>
      </c>
      <c r="K747" t="e" cm="1">
        <f t="array" aca="1" ref="K747" ca="1">IF(OR(A747="",B747="safety"),"",IF(ISBLANK(INDIRECT("template!"&amp;"H"&amp;A747)),"",INDIRECT("template!"&amp;"H"&amp;A747)))</f>
        <v>#REF!</v>
      </c>
      <c r="L747" t="e" cm="1">
        <f t="array" aca="1" ref="L747" ca="1">IF(OR(A747="",B747="safety"),"",INDIRECT("template!"&amp;"I"&amp;A747))</f>
        <v>#REF!</v>
      </c>
      <c r="M747" t="e" cm="1">
        <f t="array" aca="1" ref="M747" ca="1">IF(OR(A747="",B747="safety"),"",INDIRECT("template!"&amp;"J"&amp;A747))</f>
        <v>#REF!</v>
      </c>
      <c r="N747" t="e" cm="1">
        <f t="array" aca="1" ref="N747" ca="1">IF(OR(A747="",B747="safety"),"",IF(ISBLANK(INDIRECT("template!"&amp;"K"&amp;A747)),"",INDIRECT("template!"&amp;"K"&amp;A747)))</f>
        <v>#REF!</v>
      </c>
      <c r="O747" t="e" cm="1">
        <f t="array" aca="1" ref="O747" ca="1">IF(OR(A747="",B747="safety"),"",INDIRECT("template!"&amp;"L"&amp;A747))</f>
        <v>#REF!</v>
      </c>
      <c r="P747" t="e" cm="1">
        <f t="array" aca="1" ref="P747" ca="1">IF(OR(A747="",B747="safety"),"",INDIRECT("template!"&amp;"M"&amp;A747))</f>
        <v>#REF!</v>
      </c>
      <c r="Q747" t="e">
        <f t="shared" ca="1" si="64"/>
        <v>#REF!</v>
      </c>
      <c r="R747" t="e">
        <f t="shared" ca="1" si="65"/>
        <v>#REF!</v>
      </c>
      <c r="S747" t="e">
        <f t="shared" ca="1" si="66"/>
        <v>#REF!</v>
      </c>
      <c r="T747" t="e">
        <f t="shared" ca="1" si="67"/>
        <v>#REF!</v>
      </c>
      <c r="U747" t="e" cm="1">
        <f t="array" aca="1" ref="U747" ca="1">IF(A747="","",IF(E747="","",IF(B747="safety",INDIRECT("template!"&amp;"P"&amp;A747),Q747+R747)))</f>
        <v>#REF!</v>
      </c>
      <c r="V747" t="e" cm="1">
        <f t="array" aca="1" ref="V747" ca="1">IF(A747="","",IF(E747="","",IF(B747="safety",INDIRECT("template!"&amp;"P"&amp;A747),S747+T747)))</f>
        <v>#REF!</v>
      </c>
      <c r="W747" t="e">
        <f ca="1">IF(A747="","",IF(E747="","",#REF!))</f>
        <v>#REF!</v>
      </c>
      <c r="X747" t="e">
        <f ca="1">IF(A747="","",IF(E747="","",#REF!))</f>
        <v>#REF!</v>
      </c>
      <c r="Y747" s="39" t="e">
        <f ca="1">IF(A747="","",IF(E747="","",#REF!))</f>
        <v>#REF!</v>
      </c>
      <c r="Z747" t="e">
        <f ca="1">IF(A747="","",IF(E747="","",#REF!))</f>
        <v>#REF!</v>
      </c>
      <c r="AA747" t="e">
        <f ca="1">IF(A747="","",IF(E747="","",#REF!))</f>
        <v>#REF!</v>
      </c>
      <c r="AB747" t="e">
        <f ca="1">IF(A747="","",IF(E747="","",#REF!))</f>
        <v>#REF!</v>
      </c>
      <c r="AC747" t="e">
        <f t="shared" ca="1" si="68"/>
        <v>#REF!</v>
      </c>
    </row>
    <row r="748" spans="1:29" x14ac:dyDescent="0.35">
      <c r="A748" t="e" cm="1">
        <f t="array" aca="1" ref="A748" ca="1">IF(A747="","",IF(OR(AND(A747+1&gt;=$AF$1,A747+1&lt;=$AF$2),AND(A747+1&gt;=$AF$6,A747+1&lt;=$AF$7),AND(A747+1&gt;=$AF$3,A747+1&lt;=$AF$4),AND(A747+1&gt;=$AF$8,A747+1&lt;=$AF$9),A747+1=$AF$5),IF(NOT(ISBLANK(INDIRECT("template!"&amp;"P"&amp;A747+1))),A747+1,IF(NOT(ISBLANK(INDIRECT("template!"&amp;"P"&amp;A747+2))),A747+2,A747+3)),IF(A747=$AF$2,$AF$3,IF(A747=$AF$4,$AF$5,IF(A747=$AF$5,$AF$6,IF(A747=$AF$7,$AF$8,""))))))</f>
        <v>#REF!</v>
      </c>
      <c r="B748" t="e">
        <f t="shared" ca="1" si="63"/>
        <v>#REF!</v>
      </c>
      <c r="C748" t="e" cm="1">
        <f t="array" aca="1" ref="C748" ca="1">IF(A748="","",IF(B748="safety","safety costs",INDIRECT("template!"&amp;"B"&amp;A748)))</f>
        <v>#REF!</v>
      </c>
      <c r="D748" t="e" cm="1">
        <f t="array" aca="1" ref="D748" ca="1">IF(OR(A748="",B748="safety"),"",INDIRECT("template!"&amp;"C"&amp;A748))</f>
        <v>#REF!</v>
      </c>
      <c r="E748" t="e" cm="1">
        <f t="array" aca="1" ref="E748" ca="1">IF(A748="","",IF(OR(A748=A747+1,A748=A747+2),E747,INDIRECT("template!"&amp;"D"&amp;A748-2)))</f>
        <v>#REF!</v>
      </c>
      <c r="F748" t="e" cm="1">
        <f t="array" aca="1" ref="F748" ca="1">IF(OR(A748="",B748="safety"),"",IF(ISBLANK(IF(A748=A747+1,F747,INDIRECT("template!"&amp;"D"&amp;A748-1))),"",IF(A748=A747+1,F747,INDIRECT("template!"&amp;"D"&amp;A748-1))))</f>
        <v>#REF!</v>
      </c>
      <c r="G748" t="e" cm="1">
        <f t="array" aca="1" ref="G748" ca="1">IF(OR(A748="",B748="safety"),"",IF(ISBLANK(INDIRECT("template!"&amp;"D"&amp;A748)),"",INDIRECT("template!"&amp;"D"&amp;A748)))</f>
        <v>#REF!</v>
      </c>
      <c r="H748" t="e" cm="1">
        <f t="array" aca="1" ref="H748" ca="1">IF(OR(A748="",B748="safety"),"",IF(ISBLANK(INDIRECT("template!"&amp;"E"&amp;A748)),"",INDIRECT("template!"&amp;"E"&amp;A748)))</f>
        <v>#REF!</v>
      </c>
      <c r="I748" t="e" cm="1">
        <f t="array" aca="1" ref="I748" ca="1">IF(OR(A748="",B748="safety"),"",IF(ISBLANK(INDIRECT("template!"&amp;"F"&amp;A748)),"",INDIRECT("template!"&amp;"F"&amp;A748)))</f>
        <v>#REF!</v>
      </c>
      <c r="J748" t="e" cm="1">
        <f t="array" aca="1" ref="J748" ca="1">IF(OR(A748="",B748="safety"),"",IF(ISBLANK(INDIRECT("template!"&amp;"G"&amp;A748)),"",INDIRECT("template!"&amp;"G"&amp;A748)))</f>
        <v>#REF!</v>
      </c>
      <c r="K748" t="e" cm="1">
        <f t="array" aca="1" ref="K748" ca="1">IF(OR(A748="",B748="safety"),"",IF(ISBLANK(INDIRECT("template!"&amp;"H"&amp;A748)),"",INDIRECT("template!"&amp;"H"&amp;A748)))</f>
        <v>#REF!</v>
      </c>
      <c r="L748" t="e" cm="1">
        <f t="array" aca="1" ref="L748" ca="1">IF(OR(A748="",B748="safety"),"",INDIRECT("template!"&amp;"I"&amp;A748))</f>
        <v>#REF!</v>
      </c>
      <c r="M748" t="e" cm="1">
        <f t="array" aca="1" ref="M748" ca="1">IF(OR(A748="",B748="safety"),"",INDIRECT("template!"&amp;"J"&amp;A748))</f>
        <v>#REF!</v>
      </c>
      <c r="N748" t="e" cm="1">
        <f t="array" aca="1" ref="N748" ca="1">IF(OR(A748="",B748="safety"),"",IF(ISBLANK(INDIRECT("template!"&amp;"K"&amp;A748)),"",INDIRECT("template!"&amp;"K"&amp;A748)))</f>
        <v>#REF!</v>
      </c>
      <c r="O748" t="e" cm="1">
        <f t="array" aca="1" ref="O748" ca="1">IF(OR(A748="",B748="safety"),"",INDIRECT("template!"&amp;"L"&amp;A748))</f>
        <v>#REF!</v>
      </c>
      <c r="P748" t="e" cm="1">
        <f t="array" aca="1" ref="P748" ca="1">IF(OR(A748="",B748="safety"),"",INDIRECT("template!"&amp;"M"&amp;A748))</f>
        <v>#REF!</v>
      </c>
      <c r="Q748" t="e">
        <f t="shared" ca="1" si="64"/>
        <v>#REF!</v>
      </c>
      <c r="R748" t="e">
        <f t="shared" ca="1" si="65"/>
        <v>#REF!</v>
      </c>
      <c r="S748" t="e">
        <f t="shared" ca="1" si="66"/>
        <v>#REF!</v>
      </c>
      <c r="T748" t="e">
        <f t="shared" ca="1" si="67"/>
        <v>#REF!</v>
      </c>
      <c r="U748" t="e" cm="1">
        <f t="array" aca="1" ref="U748" ca="1">IF(A748="","",IF(E748="","",IF(B748="safety",INDIRECT("template!"&amp;"P"&amp;A748),Q748+R748)))</f>
        <v>#REF!</v>
      </c>
      <c r="V748" t="e" cm="1">
        <f t="array" aca="1" ref="V748" ca="1">IF(A748="","",IF(E748="","",IF(B748="safety",INDIRECT("template!"&amp;"P"&amp;A748),S748+T748)))</f>
        <v>#REF!</v>
      </c>
      <c r="W748" t="e">
        <f ca="1">IF(A748="","",IF(E748="","",#REF!))</f>
        <v>#REF!</v>
      </c>
      <c r="X748" t="e">
        <f ca="1">IF(A748="","",IF(E748="","",#REF!))</f>
        <v>#REF!</v>
      </c>
      <c r="Y748" s="39" t="e">
        <f ca="1">IF(A748="","",IF(E748="","",#REF!))</f>
        <v>#REF!</v>
      </c>
      <c r="Z748" t="e">
        <f ca="1">IF(A748="","",IF(E748="","",#REF!))</f>
        <v>#REF!</v>
      </c>
      <c r="AA748" t="e">
        <f ca="1">IF(A748="","",IF(E748="","",#REF!))</f>
        <v>#REF!</v>
      </c>
      <c r="AB748" t="e">
        <f ca="1">IF(A748="","",IF(E748="","",#REF!))</f>
        <v>#REF!</v>
      </c>
      <c r="AC748" t="e">
        <f t="shared" ca="1" si="68"/>
        <v>#REF!</v>
      </c>
    </row>
    <row r="749" spans="1:29" x14ac:dyDescent="0.35">
      <c r="A749" t="e" cm="1">
        <f t="array" aca="1" ref="A749" ca="1">IF(A748="","",IF(OR(AND(A748+1&gt;=$AF$1,A748+1&lt;=$AF$2),AND(A748+1&gt;=$AF$6,A748+1&lt;=$AF$7),AND(A748+1&gt;=$AF$3,A748+1&lt;=$AF$4),AND(A748+1&gt;=$AF$8,A748+1&lt;=$AF$9),A748+1=$AF$5),IF(NOT(ISBLANK(INDIRECT("template!"&amp;"P"&amp;A748+1))),A748+1,IF(NOT(ISBLANK(INDIRECT("template!"&amp;"P"&amp;A748+2))),A748+2,A748+3)),IF(A748=$AF$2,$AF$3,IF(A748=$AF$4,$AF$5,IF(A748=$AF$5,$AF$6,IF(A748=$AF$7,$AF$8,""))))))</f>
        <v>#REF!</v>
      </c>
      <c r="B749" t="e">
        <f t="shared" ca="1" si="63"/>
        <v>#REF!</v>
      </c>
      <c r="C749" t="e" cm="1">
        <f t="array" aca="1" ref="C749" ca="1">IF(A749="","",IF(B749="safety","safety costs",INDIRECT("template!"&amp;"B"&amp;A749)))</f>
        <v>#REF!</v>
      </c>
      <c r="D749" t="e" cm="1">
        <f t="array" aca="1" ref="D749" ca="1">IF(OR(A749="",B749="safety"),"",INDIRECT("template!"&amp;"C"&amp;A749))</f>
        <v>#REF!</v>
      </c>
      <c r="E749" t="e" cm="1">
        <f t="array" aca="1" ref="E749" ca="1">IF(A749="","",IF(OR(A749=A748+1,A749=A748+2),E748,INDIRECT("template!"&amp;"D"&amp;A749-2)))</f>
        <v>#REF!</v>
      </c>
      <c r="F749" t="e" cm="1">
        <f t="array" aca="1" ref="F749" ca="1">IF(OR(A749="",B749="safety"),"",IF(ISBLANK(IF(A749=A748+1,F748,INDIRECT("template!"&amp;"D"&amp;A749-1))),"",IF(A749=A748+1,F748,INDIRECT("template!"&amp;"D"&amp;A749-1))))</f>
        <v>#REF!</v>
      </c>
      <c r="G749" t="e" cm="1">
        <f t="array" aca="1" ref="G749" ca="1">IF(OR(A749="",B749="safety"),"",IF(ISBLANK(INDIRECT("template!"&amp;"D"&amp;A749)),"",INDIRECT("template!"&amp;"D"&amp;A749)))</f>
        <v>#REF!</v>
      </c>
      <c r="H749" t="e" cm="1">
        <f t="array" aca="1" ref="H749" ca="1">IF(OR(A749="",B749="safety"),"",IF(ISBLANK(INDIRECT("template!"&amp;"E"&amp;A749)),"",INDIRECT("template!"&amp;"E"&amp;A749)))</f>
        <v>#REF!</v>
      </c>
      <c r="I749" t="e" cm="1">
        <f t="array" aca="1" ref="I749" ca="1">IF(OR(A749="",B749="safety"),"",IF(ISBLANK(INDIRECT("template!"&amp;"F"&amp;A749)),"",INDIRECT("template!"&amp;"F"&amp;A749)))</f>
        <v>#REF!</v>
      </c>
      <c r="J749" t="e" cm="1">
        <f t="array" aca="1" ref="J749" ca="1">IF(OR(A749="",B749="safety"),"",IF(ISBLANK(INDIRECT("template!"&amp;"G"&amp;A749)),"",INDIRECT("template!"&amp;"G"&amp;A749)))</f>
        <v>#REF!</v>
      </c>
      <c r="K749" t="e" cm="1">
        <f t="array" aca="1" ref="K749" ca="1">IF(OR(A749="",B749="safety"),"",IF(ISBLANK(INDIRECT("template!"&amp;"H"&amp;A749)),"",INDIRECT("template!"&amp;"H"&amp;A749)))</f>
        <v>#REF!</v>
      </c>
      <c r="L749" t="e" cm="1">
        <f t="array" aca="1" ref="L749" ca="1">IF(OR(A749="",B749="safety"),"",INDIRECT("template!"&amp;"I"&amp;A749))</f>
        <v>#REF!</v>
      </c>
      <c r="M749" t="e" cm="1">
        <f t="array" aca="1" ref="M749" ca="1">IF(OR(A749="",B749="safety"),"",INDIRECT("template!"&amp;"J"&amp;A749))</f>
        <v>#REF!</v>
      </c>
      <c r="N749" t="e" cm="1">
        <f t="array" aca="1" ref="N749" ca="1">IF(OR(A749="",B749="safety"),"",IF(ISBLANK(INDIRECT("template!"&amp;"K"&amp;A749)),"",INDIRECT("template!"&amp;"K"&amp;A749)))</f>
        <v>#REF!</v>
      </c>
      <c r="O749" t="e" cm="1">
        <f t="array" aca="1" ref="O749" ca="1">IF(OR(A749="",B749="safety"),"",INDIRECT("template!"&amp;"L"&amp;A749))</f>
        <v>#REF!</v>
      </c>
      <c r="P749" t="e" cm="1">
        <f t="array" aca="1" ref="P749" ca="1">IF(OR(A749="",B749="safety"),"",INDIRECT("template!"&amp;"M"&amp;A749))</f>
        <v>#REF!</v>
      </c>
      <c r="Q749" t="e">
        <f t="shared" ca="1" si="64"/>
        <v>#REF!</v>
      </c>
      <c r="R749" t="e">
        <f t="shared" ca="1" si="65"/>
        <v>#REF!</v>
      </c>
      <c r="S749" t="e">
        <f t="shared" ca="1" si="66"/>
        <v>#REF!</v>
      </c>
      <c r="T749" t="e">
        <f t="shared" ca="1" si="67"/>
        <v>#REF!</v>
      </c>
      <c r="U749" t="e" cm="1">
        <f t="array" aca="1" ref="U749" ca="1">IF(A749="","",IF(E749="","",IF(B749="safety",INDIRECT("template!"&amp;"P"&amp;A749),Q749+R749)))</f>
        <v>#REF!</v>
      </c>
      <c r="V749" t="e" cm="1">
        <f t="array" aca="1" ref="V749" ca="1">IF(A749="","",IF(E749="","",IF(B749="safety",INDIRECT("template!"&amp;"P"&amp;A749),S749+T749)))</f>
        <v>#REF!</v>
      </c>
      <c r="W749" t="e">
        <f ca="1">IF(A749="","",IF(E749="","",#REF!))</f>
        <v>#REF!</v>
      </c>
      <c r="X749" t="e">
        <f ca="1">IF(A749="","",IF(E749="","",#REF!))</f>
        <v>#REF!</v>
      </c>
      <c r="Y749" s="39" t="e">
        <f ca="1">IF(A749="","",IF(E749="","",#REF!))</f>
        <v>#REF!</v>
      </c>
      <c r="Z749" t="e">
        <f ca="1">IF(A749="","",IF(E749="","",#REF!))</f>
        <v>#REF!</v>
      </c>
      <c r="AA749" t="e">
        <f ca="1">IF(A749="","",IF(E749="","",#REF!))</f>
        <v>#REF!</v>
      </c>
      <c r="AB749" t="e">
        <f ca="1">IF(A749="","",IF(E749="","",#REF!))</f>
        <v>#REF!</v>
      </c>
      <c r="AC749" t="e">
        <f t="shared" ca="1" si="68"/>
        <v>#REF!</v>
      </c>
    </row>
    <row r="750" spans="1:29" x14ac:dyDescent="0.35">
      <c r="A750" t="e" cm="1">
        <f t="array" aca="1" ref="A750" ca="1">IF(A749="","",IF(OR(AND(A749+1&gt;=$AF$1,A749+1&lt;=$AF$2),AND(A749+1&gt;=$AF$6,A749+1&lt;=$AF$7),AND(A749+1&gt;=$AF$3,A749+1&lt;=$AF$4),AND(A749+1&gt;=$AF$8,A749+1&lt;=$AF$9),A749+1=$AF$5),IF(NOT(ISBLANK(INDIRECT("template!"&amp;"P"&amp;A749+1))),A749+1,IF(NOT(ISBLANK(INDIRECT("template!"&amp;"P"&amp;A749+2))),A749+2,A749+3)),IF(A749=$AF$2,$AF$3,IF(A749=$AF$4,$AF$5,IF(A749=$AF$5,$AF$6,IF(A749=$AF$7,$AF$8,""))))))</f>
        <v>#REF!</v>
      </c>
      <c r="B750" t="e">
        <f t="shared" ca="1" si="63"/>
        <v>#REF!</v>
      </c>
      <c r="C750" t="e" cm="1">
        <f t="array" aca="1" ref="C750" ca="1">IF(A750="","",IF(B750="safety","safety costs",INDIRECT("template!"&amp;"B"&amp;A750)))</f>
        <v>#REF!</v>
      </c>
      <c r="D750" t="e" cm="1">
        <f t="array" aca="1" ref="D750" ca="1">IF(OR(A750="",B750="safety"),"",INDIRECT("template!"&amp;"C"&amp;A750))</f>
        <v>#REF!</v>
      </c>
      <c r="E750" t="e" cm="1">
        <f t="array" aca="1" ref="E750" ca="1">IF(A750="","",IF(OR(A750=A749+1,A750=A749+2),E749,INDIRECT("template!"&amp;"D"&amp;A750-2)))</f>
        <v>#REF!</v>
      </c>
      <c r="F750" t="e" cm="1">
        <f t="array" aca="1" ref="F750" ca="1">IF(OR(A750="",B750="safety"),"",IF(ISBLANK(IF(A750=A749+1,F749,INDIRECT("template!"&amp;"D"&amp;A750-1))),"",IF(A750=A749+1,F749,INDIRECT("template!"&amp;"D"&amp;A750-1))))</f>
        <v>#REF!</v>
      </c>
      <c r="G750" t="e" cm="1">
        <f t="array" aca="1" ref="G750" ca="1">IF(OR(A750="",B750="safety"),"",IF(ISBLANK(INDIRECT("template!"&amp;"D"&amp;A750)),"",INDIRECT("template!"&amp;"D"&amp;A750)))</f>
        <v>#REF!</v>
      </c>
      <c r="H750" t="e" cm="1">
        <f t="array" aca="1" ref="H750" ca="1">IF(OR(A750="",B750="safety"),"",IF(ISBLANK(INDIRECT("template!"&amp;"E"&amp;A750)),"",INDIRECT("template!"&amp;"E"&amp;A750)))</f>
        <v>#REF!</v>
      </c>
      <c r="I750" t="e" cm="1">
        <f t="array" aca="1" ref="I750" ca="1">IF(OR(A750="",B750="safety"),"",IF(ISBLANK(INDIRECT("template!"&amp;"F"&amp;A750)),"",INDIRECT("template!"&amp;"F"&amp;A750)))</f>
        <v>#REF!</v>
      </c>
      <c r="J750" t="e" cm="1">
        <f t="array" aca="1" ref="J750" ca="1">IF(OR(A750="",B750="safety"),"",IF(ISBLANK(INDIRECT("template!"&amp;"G"&amp;A750)),"",INDIRECT("template!"&amp;"G"&amp;A750)))</f>
        <v>#REF!</v>
      </c>
      <c r="K750" t="e" cm="1">
        <f t="array" aca="1" ref="K750" ca="1">IF(OR(A750="",B750="safety"),"",IF(ISBLANK(INDIRECT("template!"&amp;"H"&amp;A750)),"",INDIRECT("template!"&amp;"H"&amp;A750)))</f>
        <v>#REF!</v>
      </c>
      <c r="L750" t="e" cm="1">
        <f t="array" aca="1" ref="L750" ca="1">IF(OR(A750="",B750="safety"),"",INDIRECT("template!"&amp;"I"&amp;A750))</f>
        <v>#REF!</v>
      </c>
      <c r="M750" t="e" cm="1">
        <f t="array" aca="1" ref="M750" ca="1">IF(OR(A750="",B750="safety"),"",INDIRECT("template!"&amp;"J"&amp;A750))</f>
        <v>#REF!</v>
      </c>
      <c r="N750" t="e" cm="1">
        <f t="array" aca="1" ref="N750" ca="1">IF(OR(A750="",B750="safety"),"",IF(ISBLANK(INDIRECT("template!"&amp;"K"&amp;A750)),"",INDIRECT("template!"&amp;"K"&amp;A750)))</f>
        <v>#REF!</v>
      </c>
      <c r="O750" t="e" cm="1">
        <f t="array" aca="1" ref="O750" ca="1">IF(OR(A750="",B750="safety"),"",INDIRECT("template!"&amp;"L"&amp;A750))</f>
        <v>#REF!</v>
      </c>
      <c r="P750" t="e" cm="1">
        <f t="array" aca="1" ref="P750" ca="1">IF(OR(A750="",B750="safety"),"",INDIRECT("template!"&amp;"M"&amp;A750))</f>
        <v>#REF!</v>
      </c>
      <c r="Q750" t="e">
        <f t="shared" ca="1" si="64"/>
        <v>#REF!</v>
      </c>
      <c r="R750" t="e">
        <f t="shared" ca="1" si="65"/>
        <v>#REF!</v>
      </c>
      <c r="S750" t="e">
        <f t="shared" ca="1" si="66"/>
        <v>#REF!</v>
      </c>
      <c r="T750" t="e">
        <f t="shared" ca="1" si="67"/>
        <v>#REF!</v>
      </c>
      <c r="U750" t="e" cm="1">
        <f t="array" aca="1" ref="U750" ca="1">IF(A750="","",IF(E750="","",IF(B750="safety",INDIRECT("template!"&amp;"P"&amp;A750),Q750+R750)))</f>
        <v>#REF!</v>
      </c>
      <c r="V750" t="e" cm="1">
        <f t="array" aca="1" ref="V750" ca="1">IF(A750="","",IF(E750="","",IF(B750="safety",INDIRECT("template!"&amp;"P"&amp;A750),S750+T750)))</f>
        <v>#REF!</v>
      </c>
      <c r="W750" t="e">
        <f ca="1">IF(A750="","",IF(E750="","",#REF!))</f>
        <v>#REF!</v>
      </c>
      <c r="X750" t="e">
        <f ca="1">IF(A750="","",IF(E750="","",#REF!))</f>
        <v>#REF!</v>
      </c>
      <c r="Y750" s="39" t="e">
        <f ca="1">IF(A750="","",IF(E750="","",#REF!))</f>
        <v>#REF!</v>
      </c>
      <c r="Z750" t="e">
        <f ca="1">IF(A750="","",IF(E750="","",#REF!))</f>
        <v>#REF!</v>
      </c>
      <c r="AA750" t="e">
        <f ca="1">IF(A750="","",IF(E750="","",#REF!))</f>
        <v>#REF!</v>
      </c>
      <c r="AB750" t="e">
        <f ca="1">IF(A750="","",IF(E750="","",#REF!))</f>
        <v>#REF!</v>
      </c>
      <c r="AC750" t="e">
        <f t="shared" ca="1" si="68"/>
        <v>#REF!</v>
      </c>
    </row>
    <row r="751" spans="1:29" x14ac:dyDescent="0.35">
      <c r="A751" t="e" cm="1">
        <f t="array" aca="1" ref="A751" ca="1">IF(A750="","",IF(OR(AND(A750+1&gt;=$AF$1,A750+1&lt;=$AF$2),AND(A750+1&gt;=$AF$6,A750+1&lt;=$AF$7),AND(A750+1&gt;=$AF$3,A750+1&lt;=$AF$4),AND(A750+1&gt;=$AF$8,A750+1&lt;=$AF$9),A750+1=$AF$5),IF(NOT(ISBLANK(INDIRECT("template!"&amp;"P"&amp;A750+1))),A750+1,IF(NOT(ISBLANK(INDIRECT("template!"&amp;"P"&amp;A750+2))),A750+2,A750+3)),IF(A750=$AF$2,$AF$3,IF(A750=$AF$4,$AF$5,IF(A750=$AF$5,$AF$6,IF(A750=$AF$7,$AF$8,""))))))</f>
        <v>#REF!</v>
      </c>
      <c r="B751" t="e">
        <f t="shared" ca="1" si="63"/>
        <v>#REF!</v>
      </c>
      <c r="C751" t="e" cm="1">
        <f t="array" aca="1" ref="C751" ca="1">IF(A751="","",IF(B751="safety","safety costs",INDIRECT("template!"&amp;"B"&amp;A751)))</f>
        <v>#REF!</v>
      </c>
      <c r="D751" t="e" cm="1">
        <f t="array" aca="1" ref="D751" ca="1">IF(OR(A751="",B751="safety"),"",INDIRECT("template!"&amp;"C"&amp;A751))</f>
        <v>#REF!</v>
      </c>
      <c r="E751" t="e" cm="1">
        <f t="array" aca="1" ref="E751" ca="1">IF(A751="","",IF(OR(A751=A750+1,A751=A750+2),E750,INDIRECT("template!"&amp;"D"&amp;A751-2)))</f>
        <v>#REF!</v>
      </c>
      <c r="F751" t="e" cm="1">
        <f t="array" aca="1" ref="F751" ca="1">IF(OR(A751="",B751="safety"),"",IF(ISBLANK(IF(A751=A750+1,F750,INDIRECT("template!"&amp;"D"&amp;A751-1))),"",IF(A751=A750+1,F750,INDIRECT("template!"&amp;"D"&amp;A751-1))))</f>
        <v>#REF!</v>
      </c>
      <c r="G751" t="e" cm="1">
        <f t="array" aca="1" ref="G751" ca="1">IF(OR(A751="",B751="safety"),"",IF(ISBLANK(INDIRECT("template!"&amp;"D"&amp;A751)),"",INDIRECT("template!"&amp;"D"&amp;A751)))</f>
        <v>#REF!</v>
      </c>
      <c r="H751" t="e" cm="1">
        <f t="array" aca="1" ref="H751" ca="1">IF(OR(A751="",B751="safety"),"",IF(ISBLANK(INDIRECT("template!"&amp;"E"&amp;A751)),"",INDIRECT("template!"&amp;"E"&amp;A751)))</f>
        <v>#REF!</v>
      </c>
      <c r="I751" t="e" cm="1">
        <f t="array" aca="1" ref="I751" ca="1">IF(OR(A751="",B751="safety"),"",IF(ISBLANK(INDIRECT("template!"&amp;"F"&amp;A751)),"",INDIRECT("template!"&amp;"F"&amp;A751)))</f>
        <v>#REF!</v>
      </c>
      <c r="J751" t="e" cm="1">
        <f t="array" aca="1" ref="J751" ca="1">IF(OR(A751="",B751="safety"),"",IF(ISBLANK(INDIRECT("template!"&amp;"G"&amp;A751)),"",INDIRECT("template!"&amp;"G"&amp;A751)))</f>
        <v>#REF!</v>
      </c>
      <c r="K751" t="e" cm="1">
        <f t="array" aca="1" ref="K751" ca="1">IF(OR(A751="",B751="safety"),"",IF(ISBLANK(INDIRECT("template!"&amp;"H"&amp;A751)),"",INDIRECT("template!"&amp;"H"&amp;A751)))</f>
        <v>#REF!</v>
      </c>
      <c r="L751" t="e" cm="1">
        <f t="array" aca="1" ref="L751" ca="1">IF(OR(A751="",B751="safety"),"",INDIRECT("template!"&amp;"I"&amp;A751))</f>
        <v>#REF!</v>
      </c>
      <c r="M751" t="e" cm="1">
        <f t="array" aca="1" ref="M751" ca="1">IF(OR(A751="",B751="safety"),"",INDIRECT("template!"&amp;"J"&amp;A751))</f>
        <v>#REF!</v>
      </c>
      <c r="N751" t="e" cm="1">
        <f t="array" aca="1" ref="N751" ca="1">IF(OR(A751="",B751="safety"),"",IF(ISBLANK(INDIRECT("template!"&amp;"K"&amp;A751)),"",INDIRECT("template!"&amp;"K"&amp;A751)))</f>
        <v>#REF!</v>
      </c>
      <c r="O751" t="e" cm="1">
        <f t="array" aca="1" ref="O751" ca="1">IF(OR(A751="",B751="safety"),"",INDIRECT("template!"&amp;"L"&amp;A751))</f>
        <v>#REF!</v>
      </c>
      <c r="P751" t="e" cm="1">
        <f t="array" aca="1" ref="P751" ca="1">IF(OR(A751="",B751="safety"),"",INDIRECT("template!"&amp;"M"&amp;A751))</f>
        <v>#REF!</v>
      </c>
      <c r="Q751" t="e">
        <f t="shared" ca="1" si="64"/>
        <v>#REF!</v>
      </c>
      <c r="R751" t="e">
        <f t="shared" ca="1" si="65"/>
        <v>#REF!</v>
      </c>
      <c r="S751" t="e">
        <f t="shared" ca="1" si="66"/>
        <v>#REF!</v>
      </c>
      <c r="T751" t="e">
        <f t="shared" ca="1" si="67"/>
        <v>#REF!</v>
      </c>
      <c r="U751" t="e" cm="1">
        <f t="array" aca="1" ref="U751" ca="1">IF(A751="","",IF(E751="","",IF(B751="safety",INDIRECT("template!"&amp;"P"&amp;A751),Q751+R751)))</f>
        <v>#REF!</v>
      </c>
      <c r="V751" t="e" cm="1">
        <f t="array" aca="1" ref="V751" ca="1">IF(A751="","",IF(E751="","",IF(B751="safety",INDIRECT("template!"&amp;"P"&amp;A751),S751+T751)))</f>
        <v>#REF!</v>
      </c>
      <c r="W751" t="e">
        <f ca="1">IF(A751="","",IF(E751="","",#REF!))</f>
        <v>#REF!</v>
      </c>
      <c r="X751" t="e">
        <f ca="1">IF(A751="","",IF(E751="","",#REF!))</f>
        <v>#REF!</v>
      </c>
      <c r="Y751" s="39" t="e">
        <f ca="1">IF(A751="","",IF(E751="","",#REF!))</f>
        <v>#REF!</v>
      </c>
      <c r="Z751" t="e">
        <f ca="1">IF(A751="","",IF(E751="","",#REF!))</f>
        <v>#REF!</v>
      </c>
      <c r="AA751" t="e">
        <f ca="1">IF(A751="","",IF(E751="","",#REF!))</f>
        <v>#REF!</v>
      </c>
      <c r="AB751" t="e">
        <f ca="1">IF(A751="","",IF(E751="","",#REF!))</f>
        <v>#REF!</v>
      </c>
      <c r="AC751" t="e">
        <f t="shared" ca="1" si="68"/>
        <v>#REF!</v>
      </c>
    </row>
    <row r="752" spans="1:29" x14ac:dyDescent="0.35">
      <c r="A752" t="e" cm="1">
        <f t="array" aca="1" ref="A752" ca="1">IF(A751="","",IF(OR(AND(A751+1&gt;=$AF$1,A751+1&lt;=$AF$2),AND(A751+1&gt;=$AF$6,A751+1&lt;=$AF$7),AND(A751+1&gt;=$AF$3,A751+1&lt;=$AF$4),AND(A751+1&gt;=$AF$8,A751+1&lt;=$AF$9),A751+1=$AF$5),IF(NOT(ISBLANK(INDIRECT("template!"&amp;"P"&amp;A751+1))),A751+1,IF(NOT(ISBLANK(INDIRECT("template!"&amp;"P"&amp;A751+2))),A751+2,A751+3)),IF(A751=$AF$2,$AF$3,IF(A751=$AF$4,$AF$5,IF(A751=$AF$5,$AF$6,IF(A751=$AF$7,$AF$8,""))))))</f>
        <v>#REF!</v>
      </c>
      <c r="B752" t="e">
        <f t="shared" ca="1" si="63"/>
        <v>#REF!</v>
      </c>
      <c r="C752" t="e" cm="1">
        <f t="array" aca="1" ref="C752" ca="1">IF(A752="","",IF(B752="safety","safety costs",INDIRECT("template!"&amp;"B"&amp;A752)))</f>
        <v>#REF!</v>
      </c>
      <c r="D752" t="e" cm="1">
        <f t="array" aca="1" ref="D752" ca="1">IF(OR(A752="",B752="safety"),"",INDIRECT("template!"&amp;"C"&amp;A752))</f>
        <v>#REF!</v>
      </c>
      <c r="E752" t="e" cm="1">
        <f t="array" aca="1" ref="E752" ca="1">IF(A752="","",IF(OR(A752=A751+1,A752=A751+2),E751,INDIRECT("template!"&amp;"D"&amp;A752-2)))</f>
        <v>#REF!</v>
      </c>
      <c r="F752" t="e" cm="1">
        <f t="array" aca="1" ref="F752" ca="1">IF(OR(A752="",B752="safety"),"",IF(ISBLANK(IF(A752=A751+1,F751,INDIRECT("template!"&amp;"D"&amp;A752-1))),"",IF(A752=A751+1,F751,INDIRECT("template!"&amp;"D"&amp;A752-1))))</f>
        <v>#REF!</v>
      </c>
      <c r="G752" t="e" cm="1">
        <f t="array" aca="1" ref="G752" ca="1">IF(OR(A752="",B752="safety"),"",IF(ISBLANK(INDIRECT("template!"&amp;"D"&amp;A752)),"",INDIRECT("template!"&amp;"D"&amp;A752)))</f>
        <v>#REF!</v>
      </c>
      <c r="H752" t="e" cm="1">
        <f t="array" aca="1" ref="H752" ca="1">IF(OR(A752="",B752="safety"),"",IF(ISBLANK(INDIRECT("template!"&amp;"E"&amp;A752)),"",INDIRECT("template!"&amp;"E"&amp;A752)))</f>
        <v>#REF!</v>
      </c>
      <c r="I752" t="e" cm="1">
        <f t="array" aca="1" ref="I752" ca="1">IF(OR(A752="",B752="safety"),"",IF(ISBLANK(INDIRECT("template!"&amp;"F"&amp;A752)),"",INDIRECT("template!"&amp;"F"&amp;A752)))</f>
        <v>#REF!</v>
      </c>
      <c r="J752" t="e" cm="1">
        <f t="array" aca="1" ref="J752" ca="1">IF(OR(A752="",B752="safety"),"",IF(ISBLANK(INDIRECT("template!"&amp;"G"&amp;A752)),"",INDIRECT("template!"&amp;"G"&amp;A752)))</f>
        <v>#REF!</v>
      </c>
      <c r="K752" t="e" cm="1">
        <f t="array" aca="1" ref="K752" ca="1">IF(OR(A752="",B752="safety"),"",IF(ISBLANK(INDIRECT("template!"&amp;"H"&amp;A752)),"",INDIRECT("template!"&amp;"H"&amp;A752)))</f>
        <v>#REF!</v>
      </c>
      <c r="L752" t="e" cm="1">
        <f t="array" aca="1" ref="L752" ca="1">IF(OR(A752="",B752="safety"),"",INDIRECT("template!"&amp;"I"&amp;A752))</f>
        <v>#REF!</v>
      </c>
      <c r="M752" t="e" cm="1">
        <f t="array" aca="1" ref="M752" ca="1">IF(OR(A752="",B752="safety"),"",INDIRECT("template!"&amp;"J"&amp;A752))</f>
        <v>#REF!</v>
      </c>
      <c r="N752" t="e" cm="1">
        <f t="array" aca="1" ref="N752" ca="1">IF(OR(A752="",B752="safety"),"",IF(ISBLANK(INDIRECT("template!"&amp;"K"&amp;A752)),"",INDIRECT("template!"&amp;"K"&amp;A752)))</f>
        <v>#REF!</v>
      </c>
      <c r="O752" t="e" cm="1">
        <f t="array" aca="1" ref="O752" ca="1">IF(OR(A752="",B752="safety"),"",INDIRECT("template!"&amp;"L"&amp;A752))</f>
        <v>#REF!</v>
      </c>
      <c r="P752" t="e" cm="1">
        <f t="array" aca="1" ref="P752" ca="1">IF(OR(A752="",B752="safety"),"",INDIRECT("template!"&amp;"M"&amp;A752))</f>
        <v>#REF!</v>
      </c>
      <c r="Q752" t="e">
        <f t="shared" ca="1" si="64"/>
        <v>#REF!</v>
      </c>
      <c r="R752" t="e">
        <f t="shared" ca="1" si="65"/>
        <v>#REF!</v>
      </c>
      <c r="S752" t="e">
        <f t="shared" ca="1" si="66"/>
        <v>#REF!</v>
      </c>
      <c r="T752" t="e">
        <f t="shared" ca="1" si="67"/>
        <v>#REF!</v>
      </c>
      <c r="U752" t="e" cm="1">
        <f t="array" aca="1" ref="U752" ca="1">IF(A752="","",IF(E752="","",IF(B752="safety",INDIRECT("template!"&amp;"P"&amp;A752),Q752+R752)))</f>
        <v>#REF!</v>
      </c>
      <c r="V752" t="e" cm="1">
        <f t="array" aca="1" ref="V752" ca="1">IF(A752="","",IF(E752="","",IF(B752="safety",INDIRECT("template!"&amp;"P"&amp;A752),S752+T752)))</f>
        <v>#REF!</v>
      </c>
      <c r="W752" t="e">
        <f ca="1">IF(A752="","",IF(E752="","",#REF!))</f>
        <v>#REF!</v>
      </c>
      <c r="X752" t="e">
        <f ca="1">IF(A752="","",IF(E752="","",#REF!))</f>
        <v>#REF!</v>
      </c>
      <c r="Y752" s="39" t="e">
        <f ca="1">IF(A752="","",IF(E752="","",#REF!))</f>
        <v>#REF!</v>
      </c>
      <c r="Z752" t="e">
        <f ca="1">IF(A752="","",IF(E752="","",#REF!))</f>
        <v>#REF!</v>
      </c>
      <c r="AA752" t="e">
        <f ca="1">IF(A752="","",IF(E752="","",#REF!))</f>
        <v>#REF!</v>
      </c>
      <c r="AB752" t="e">
        <f ca="1">IF(A752="","",IF(E752="","",#REF!))</f>
        <v>#REF!</v>
      </c>
      <c r="AC752" t="e">
        <f t="shared" ca="1" si="68"/>
        <v>#REF!</v>
      </c>
    </row>
    <row r="753" spans="1:29" x14ac:dyDescent="0.35">
      <c r="A753" t="e" cm="1">
        <f t="array" aca="1" ref="A753" ca="1">IF(A752="","",IF(OR(AND(A752+1&gt;=$AF$1,A752+1&lt;=$AF$2),AND(A752+1&gt;=$AF$6,A752+1&lt;=$AF$7),AND(A752+1&gt;=$AF$3,A752+1&lt;=$AF$4),AND(A752+1&gt;=$AF$8,A752+1&lt;=$AF$9),A752+1=$AF$5),IF(NOT(ISBLANK(INDIRECT("template!"&amp;"P"&amp;A752+1))),A752+1,IF(NOT(ISBLANK(INDIRECT("template!"&amp;"P"&amp;A752+2))),A752+2,A752+3)),IF(A752=$AF$2,$AF$3,IF(A752=$AF$4,$AF$5,IF(A752=$AF$5,$AF$6,IF(A752=$AF$7,$AF$8,""))))))</f>
        <v>#REF!</v>
      </c>
      <c r="B753" t="e">
        <f t="shared" ca="1" si="63"/>
        <v>#REF!</v>
      </c>
      <c r="C753" t="e" cm="1">
        <f t="array" aca="1" ref="C753" ca="1">IF(A753="","",IF(B753="safety","safety costs",INDIRECT("template!"&amp;"B"&amp;A753)))</f>
        <v>#REF!</v>
      </c>
      <c r="D753" t="e" cm="1">
        <f t="array" aca="1" ref="D753" ca="1">IF(OR(A753="",B753="safety"),"",INDIRECT("template!"&amp;"C"&amp;A753))</f>
        <v>#REF!</v>
      </c>
      <c r="E753" t="e" cm="1">
        <f t="array" aca="1" ref="E753" ca="1">IF(A753="","",IF(OR(A753=A752+1,A753=A752+2),E752,INDIRECT("template!"&amp;"D"&amp;A753-2)))</f>
        <v>#REF!</v>
      </c>
      <c r="F753" t="e" cm="1">
        <f t="array" aca="1" ref="F753" ca="1">IF(OR(A753="",B753="safety"),"",IF(ISBLANK(IF(A753=A752+1,F752,INDIRECT("template!"&amp;"D"&amp;A753-1))),"",IF(A753=A752+1,F752,INDIRECT("template!"&amp;"D"&amp;A753-1))))</f>
        <v>#REF!</v>
      </c>
      <c r="G753" t="e" cm="1">
        <f t="array" aca="1" ref="G753" ca="1">IF(OR(A753="",B753="safety"),"",IF(ISBLANK(INDIRECT("template!"&amp;"D"&amp;A753)),"",INDIRECT("template!"&amp;"D"&amp;A753)))</f>
        <v>#REF!</v>
      </c>
      <c r="H753" t="e" cm="1">
        <f t="array" aca="1" ref="H753" ca="1">IF(OR(A753="",B753="safety"),"",IF(ISBLANK(INDIRECT("template!"&amp;"E"&amp;A753)),"",INDIRECT("template!"&amp;"E"&amp;A753)))</f>
        <v>#REF!</v>
      </c>
      <c r="I753" t="e" cm="1">
        <f t="array" aca="1" ref="I753" ca="1">IF(OR(A753="",B753="safety"),"",IF(ISBLANK(INDIRECT("template!"&amp;"F"&amp;A753)),"",INDIRECT("template!"&amp;"F"&amp;A753)))</f>
        <v>#REF!</v>
      </c>
      <c r="J753" t="e" cm="1">
        <f t="array" aca="1" ref="J753" ca="1">IF(OR(A753="",B753="safety"),"",IF(ISBLANK(INDIRECT("template!"&amp;"G"&amp;A753)),"",INDIRECT("template!"&amp;"G"&amp;A753)))</f>
        <v>#REF!</v>
      </c>
      <c r="K753" t="e" cm="1">
        <f t="array" aca="1" ref="K753" ca="1">IF(OR(A753="",B753="safety"),"",IF(ISBLANK(INDIRECT("template!"&amp;"H"&amp;A753)),"",INDIRECT("template!"&amp;"H"&amp;A753)))</f>
        <v>#REF!</v>
      </c>
      <c r="L753" t="e" cm="1">
        <f t="array" aca="1" ref="L753" ca="1">IF(OR(A753="",B753="safety"),"",INDIRECT("template!"&amp;"I"&amp;A753))</f>
        <v>#REF!</v>
      </c>
      <c r="M753" t="e" cm="1">
        <f t="array" aca="1" ref="M753" ca="1">IF(OR(A753="",B753="safety"),"",INDIRECT("template!"&amp;"J"&amp;A753))</f>
        <v>#REF!</v>
      </c>
      <c r="N753" t="e" cm="1">
        <f t="array" aca="1" ref="N753" ca="1">IF(OR(A753="",B753="safety"),"",IF(ISBLANK(INDIRECT("template!"&amp;"K"&amp;A753)),"",INDIRECT("template!"&amp;"K"&amp;A753)))</f>
        <v>#REF!</v>
      </c>
      <c r="O753" t="e" cm="1">
        <f t="array" aca="1" ref="O753" ca="1">IF(OR(A753="",B753="safety"),"",INDIRECT("template!"&amp;"L"&amp;A753))</f>
        <v>#REF!</v>
      </c>
      <c r="P753" t="e" cm="1">
        <f t="array" aca="1" ref="P753" ca="1">IF(OR(A753="",B753="safety"),"",INDIRECT("template!"&amp;"M"&amp;A753))</f>
        <v>#REF!</v>
      </c>
      <c r="Q753" t="e">
        <f t="shared" ca="1" si="64"/>
        <v>#REF!</v>
      </c>
      <c r="R753" t="e">
        <f t="shared" ca="1" si="65"/>
        <v>#REF!</v>
      </c>
      <c r="S753" t="e">
        <f t="shared" ca="1" si="66"/>
        <v>#REF!</v>
      </c>
      <c r="T753" t="e">
        <f t="shared" ca="1" si="67"/>
        <v>#REF!</v>
      </c>
      <c r="U753" t="e" cm="1">
        <f t="array" aca="1" ref="U753" ca="1">IF(A753="","",IF(E753="","",IF(B753="safety",INDIRECT("template!"&amp;"P"&amp;A753),Q753+R753)))</f>
        <v>#REF!</v>
      </c>
      <c r="V753" t="e" cm="1">
        <f t="array" aca="1" ref="V753" ca="1">IF(A753="","",IF(E753="","",IF(B753="safety",INDIRECT("template!"&amp;"P"&amp;A753),S753+T753)))</f>
        <v>#REF!</v>
      </c>
      <c r="W753" t="e">
        <f ca="1">IF(A753="","",IF(E753="","",#REF!))</f>
        <v>#REF!</v>
      </c>
      <c r="X753" t="e">
        <f ca="1">IF(A753="","",IF(E753="","",#REF!))</f>
        <v>#REF!</v>
      </c>
      <c r="Y753" s="39" t="e">
        <f ca="1">IF(A753="","",IF(E753="","",#REF!))</f>
        <v>#REF!</v>
      </c>
      <c r="Z753" t="e">
        <f ca="1">IF(A753="","",IF(E753="","",#REF!))</f>
        <v>#REF!</v>
      </c>
      <c r="AA753" t="e">
        <f ca="1">IF(A753="","",IF(E753="","",#REF!))</f>
        <v>#REF!</v>
      </c>
      <c r="AB753" t="e">
        <f ca="1">IF(A753="","",IF(E753="","",#REF!))</f>
        <v>#REF!</v>
      </c>
      <c r="AC753" t="e">
        <f t="shared" ca="1" si="68"/>
        <v>#REF!</v>
      </c>
    </row>
    <row r="754" spans="1:29" x14ac:dyDescent="0.35">
      <c r="A754" t="e" cm="1">
        <f t="array" aca="1" ref="A754" ca="1">IF(A753="","",IF(OR(AND(A753+1&gt;=$AF$1,A753+1&lt;=$AF$2),AND(A753+1&gt;=$AF$6,A753+1&lt;=$AF$7),AND(A753+1&gt;=$AF$3,A753+1&lt;=$AF$4),AND(A753+1&gt;=$AF$8,A753+1&lt;=$AF$9),A753+1=$AF$5),IF(NOT(ISBLANK(INDIRECT("template!"&amp;"P"&amp;A753+1))),A753+1,IF(NOT(ISBLANK(INDIRECT("template!"&amp;"P"&amp;A753+2))),A753+2,A753+3)),IF(A753=$AF$2,$AF$3,IF(A753=$AF$4,$AF$5,IF(A753=$AF$5,$AF$6,IF(A753=$AF$7,$AF$8,""))))))</f>
        <v>#REF!</v>
      </c>
      <c r="B754" t="e">
        <f t="shared" ca="1" si="63"/>
        <v>#REF!</v>
      </c>
      <c r="C754" t="e" cm="1">
        <f t="array" aca="1" ref="C754" ca="1">IF(A754="","",IF(B754="safety","safety costs",INDIRECT("template!"&amp;"B"&amp;A754)))</f>
        <v>#REF!</v>
      </c>
      <c r="D754" t="e" cm="1">
        <f t="array" aca="1" ref="D754" ca="1">IF(OR(A754="",B754="safety"),"",INDIRECT("template!"&amp;"C"&amp;A754))</f>
        <v>#REF!</v>
      </c>
      <c r="E754" t="e" cm="1">
        <f t="array" aca="1" ref="E754" ca="1">IF(A754="","",IF(OR(A754=A753+1,A754=A753+2),E753,INDIRECT("template!"&amp;"D"&amp;A754-2)))</f>
        <v>#REF!</v>
      </c>
      <c r="F754" t="e" cm="1">
        <f t="array" aca="1" ref="F754" ca="1">IF(OR(A754="",B754="safety"),"",IF(ISBLANK(IF(A754=A753+1,F753,INDIRECT("template!"&amp;"D"&amp;A754-1))),"",IF(A754=A753+1,F753,INDIRECT("template!"&amp;"D"&amp;A754-1))))</f>
        <v>#REF!</v>
      </c>
      <c r="G754" t="e" cm="1">
        <f t="array" aca="1" ref="G754" ca="1">IF(OR(A754="",B754="safety"),"",IF(ISBLANK(INDIRECT("template!"&amp;"D"&amp;A754)),"",INDIRECT("template!"&amp;"D"&amp;A754)))</f>
        <v>#REF!</v>
      </c>
      <c r="H754" t="e" cm="1">
        <f t="array" aca="1" ref="H754" ca="1">IF(OR(A754="",B754="safety"),"",IF(ISBLANK(INDIRECT("template!"&amp;"E"&amp;A754)),"",INDIRECT("template!"&amp;"E"&amp;A754)))</f>
        <v>#REF!</v>
      </c>
      <c r="I754" t="e" cm="1">
        <f t="array" aca="1" ref="I754" ca="1">IF(OR(A754="",B754="safety"),"",IF(ISBLANK(INDIRECT("template!"&amp;"F"&amp;A754)),"",INDIRECT("template!"&amp;"F"&amp;A754)))</f>
        <v>#REF!</v>
      </c>
      <c r="J754" t="e" cm="1">
        <f t="array" aca="1" ref="J754" ca="1">IF(OR(A754="",B754="safety"),"",IF(ISBLANK(INDIRECT("template!"&amp;"G"&amp;A754)),"",INDIRECT("template!"&amp;"G"&amp;A754)))</f>
        <v>#REF!</v>
      </c>
      <c r="K754" t="e" cm="1">
        <f t="array" aca="1" ref="K754" ca="1">IF(OR(A754="",B754="safety"),"",IF(ISBLANK(INDIRECT("template!"&amp;"H"&amp;A754)),"",INDIRECT("template!"&amp;"H"&amp;A754)))</f>
        <v>#REF!</v>
      </c>
      <c r="L754" t="e" cm="1">
        <f t="array" aca="1" ref="L754" ca="1">IF(OR(A754="",B754="safety"),"",INDIRECT("template!"&amp;"I"&amp;A754))</f>
        <v>#REF!</v>
      </c>
      <c r="M754" t="e" cm="1">
        <f t="array" aca="1" ref="M754" ca="1">IF(OR(A754="",B754="safety"),"",INDIRECT("template!"&amp;"J"&amp;A754))</f>
        <v>#REF!</v>
      </c>
      <c r="N754" t="e" cm="1">
        <f t="array" aca="1" ref="N754" ca="1">IF(OR(A754="",B754="safety"),"",IF(ISBLANK(INDIRECT("template!"&amp;"K"&amp;A754)),"",INDIRECT("template!"&amp;"K"&amp;A754)))</f>
        <v>#REF!</v>
      </c>
      <c r="O754" t="e" cm="1">
        <f t="array" aca="1" ref="O754" ca="1">IF(OR(A754="",B754="safety"),"",INDIRECT("template!"&amp;"L"&amp;A754))</f>
        <v>#REF!</v>
      </c>
      <c r="P754" t="e" cm="1">
        <f t="array" aca="1" ref="P754" ca="1">IF(OR(A754="",B754="safety"),"",INDIRECT("template!"&amp;"M"&amp;A754))</f>
        <v>#REF!</v>
      </c>
      <c r="Q754" t="e">
        <f t="shared" ca="1" si="64"/>
        <v>#REF!</v>
      </c>
      <c r="R754" t="e">
        <f t="shared" ca="1" si="65"/>
        <v>#REF!</v>
      </c>
      <c r="S754" t="e">
        <f t="shared" ca="1" si="66"/>
        <v>#REF!</v>
      </c>
      <c r="T754" t="e">
        <f t="shared" ca="1" si="67"/>
        <v>#REF!</v>
      </c>
      <c r="U754" t="e" cm="1">
        <f t="array" aca="1" ref="U754" ca="1">IF(A754="","",IF(E754="","",IF(B754="safety",INDIRECT("template!"&amp;"P"&amp;A754),Q754+R754)))</f>
        <v>#REF!</v>
      </c>
      <c r="V754" t="e" cm="1">
        <f t="array" aca="1" ref="V754" ca="1">IF(A754="","",IF(E754="","",IF(B754="safety",INDIRECT("template!"&amp;"P"&amp;A754),S754+T754)))</f>
        <v>#REF!</v>
      </c>
      <c r="W754" t="e">
        <f ca="1">IF(A754="","",IF(E754="","",#REF!))</f>
        <v>#REF!</v>
      </c>
      <c r="X754" t="e">
        <f ca="1">IF(A754="","",IF(E754="","",#REF!))</f>
        <v>#REF!</v>
      </c>
      <c r="Y754" s="39" t="e">
        <f ca="1">IF(A754="","",IF(E754="","",#REF!))</f>
        <v>#REF!</v>
      </c>
      <c r="Z754" t="e">
        <f ca="1">IF(A754="","",IF(E754="","",#REF!))</f>
        <v>#REF!</v>
      </c>
      <c r="AA754" t="e">
        <f ca="1">IF(A754="","",IF(E754="","",#REF!))</f>
        <v>#REF!</v>
      </c>
      <c r="AB754" t="e">
        <f ca="1">IF(A754="","",IF(E754="","",#REF!))</f>
        <v>#REF!</v>
      </c>
      <c r="AC754" t="e">
        <f t="shared" ca="1" si="68"/>
        <v>#REF!</v>
      </c>
    </row>
    <row r="755" spans="1:29" x14ac:dyDescent="0.35">
      <c r="A755" t="e" cm="1">
        <f t="array" aca="1" ref="A755" ca="1">IF(A754="","",IF(OR(AND(A754+1&gt;=$AF$1,A754+1&lt;=$AF$2),AND(A754+1&gt;=$AF$6,A754+1&lt;=$AF$7),AND(A754+1&gt;=$AF$3,A754+1&lt;=$AF$4),AND(A754+1&gt;=$AF$8,A754+1&lt;=$AF$9),A754+1=$AF$5),IF(NOT(ISBLANK(INDIRECT("template!"&amp;"P"&amp;A754+1))),A754+1,IF(NOT(ISBLANK(INDIRECT("template!"&amp;"P"&amp;A754+2))),A754+2,A754+3)),IF(A754=$AF$2,$AF$3,IF(A754=$AF$4,$AF$5,IF(A754=$AF$5,$AF$6,IF(A754=$AF$7,$AF$8,""))))))</f>
        <v>#REF!</v>
      </c>
      <c r="B755" t="e">
        <f t="shared" ca="1" si="63"/>
        <v>#REF!</v>
      </c>
      <c r="C755" t="e" cm="1">
        <f t="array" aca="1" ref="C755" ca="1">IF(A755="","",IF(B755="safety","safety costs",INDIRECT("template!"&amp;"B"&amp;A755)))</f>
        <v>#REF!</v>
      </c>
      <c r="D755" t="e" cm="1">
        <f t="array" aca="1" ref="D755" ca="1">IF(OR(A755="",B755="safety"),"",INDIRECT("template!"&amp;"C"&amp;A755))</f>
        <v>#REF!</v>
      </c>
      <c r="E755" t="e" cm="1">
        <f t="array" aca="1" ref="E755" ca="1">IF(A755="","",IF(OR(A755=A754+1,A755=A754+2),E754,INDIRECT("template!"&amp;"D"&amp;A755-2)))</f>
        <v>#REF!</v>
      </c>
      <c r="F755" t="e" cm="1">
        <f t="array" aca="1" ref="F755" ca="1">IF(OR(A755="",B755="safety"),"",IF(ISBLANK(IF(A755=A754+1,F754,INDIRECT("template!"&amp;"D"&amp;A755-1))),"",IF(A755=A754+1,F754,INDIRECT("template!"&amp;"D"&amp;A755-1))))</f>
        <v>#REF!</v>
      </c>
      <c r="G755" t="e" cm="1">
        <f t="array" aca="1" ref="G755" ca="1">IF(OR(A755="",B755="safety"),"",IF(ISBLANK(INDIRECT("template!"&amp;"D"&amp;A755)),"",INDIRECT("template!"&amp;"D"&amp;A755)))</f>
        <v>#REF!</v>
      </c>
      <c r="H755" t="e" cm="1">
        <f t="array" aca="1" ref="H755" ca="1">IF(OR(A755="",B755="safety"),"",IF(ISBLANK(INDIRECT("template!"&amp;"E"&amp;A755)),"",INDIRECT("template!"&amp;"E"&amp;A755)))</f>
        <v>#REF!</v>
      </c>
      <c r="I755" t="e" cm="1">
        <f t="array" aca="1" ref="I755" ca="1">IF(OR(A755="",B755="safety"),"",IF(ISBLANK(INDIRECT("template!"&amp;"F"&amp;A755)),"",INDIRECT("template!"&amp;"F"&amp;A755)))</f>
        <v>#REF!</v>
      </c>
      <c r="J755" t="e" cm="1">
        <f t="array" aca="1" ref="J755" ca="1">IF(OR(A755="",B755="safety"),"",IF(ISBLANK(INDIRECT("template!"&amp;"G"&amp;A755)),"",INDIRECT("template!"&amp;"G"&amp;A755)))</f>
        <v>#REF!</v>
      </c>
      <c r="K755" t="e" cm="1">
        <f t="array" aca="1" ref="K755" ca="1">IF(OR(A755="",B755="safety"),"",IF(ISBLANK(INDIRECT("template!"&amp;"H"&amp;A755)),"",INDIRECT("template!"&amp;"H"&amp;A755)))</f>
        <v>#REF!</v>
      </c>
      <c r="L755" t="e" cm="1">
        <f t="array" aca="1" ref="L755" ca="1">IF(OR(A755="",B755="safety"),"",INDIRECT("template!"&amp;"I"&amp;A755))</f>
        <v>#REF!</v>
      </c>
      <c r="M755" t="e" cm="1">
        <f t="array" aca="1" ref="M755" ca="1">IF(OR(A755="",B755="safety"),"",INDIRECT("template!"&amp;"J"&amp;A755))</f>
        <v>#REF!</v>
      </c>
      <c r="N755" t="e" cm="1">
        <f t="array" aca="1" ref="N755" ca="1">IF(OR(A755="",B755="safety"),"",IF(ISBLANK(INDIRECT("template!"&amp;"K"&amp;A755)),"",INDIRECT("template!"&amp;"K"&amp;A755)))</f>
        <v>#REF!</v>
      </c>
      <c r="O755" t="e" cm="1">
        <f t="array" aca="1" ref="O755" ca="1">IF(OR(A755="",B755="safety"),"",INDIRECT("template!"&amp;"L"&amp;A755))</f>
        <v>#REF!</v>
      </c>
      <c r="P755" t="e" cm="1">
        <f t="array" aca="1" ref="P755" ca="1">IF(OR(A755="",B755="safety"),"",INDIRECT("template!"&amp;"M"&amp;A755))</f>
        <v>#REF!</v>
      </c>
      <c r="Q755" t="e">
        <f t="shared" ca="1" si="64"/>
        <v>#REF!</v>
      </c>
      <c r="R755" t="e">
        <f t="shared" ca="1" si="65"/>
        <v>#REF!</v>
      </c>
      <c r="S755" t="e">
        <f t="shared" ca="1" si="66"/>
        <v>#REF!</v>
      </c>
      <c r="T755" t="e">
        <f t="shared" ca="1" si="67"/>
        <v>#REF!</v>
      </c>
      <c r="U755" t="e" cm="1">
        <f t="array" aca="1" ref="U755" ca="1">IF(A755="","",IF(E755="","",IF(B755="safety",INDIRECT("template!"&amp;"P"&amp;A755),Q755+R755)))</f>
        <v>#REF!</v>
      </c>
      <c r="V755" t="e" cm="1">
        <f t="array" aca="1" ref="V755" ca="1">IF(A755="","",IF(E755="","",IF(B755="safety",INDIRECT("template!"&amp;"P"&amp;A755),S755+T755)))</f>
        <v>#REF!</v>
      </c>
      <c r="W755" t="e">
        <f ca="1">IF(A755="","",IF(E755="","",#REF!))</f>
        <v>#REF!</v>
      </c>
      <c r="X755" t="e">
        <f ca="1">IF(A755="","",IF(E755="","",#REF!))</f>
        <v>#REF!</v>
      </c>
      <c r="Y755" s="39" t="e">
        <f ca="1">IF(A755="","",IF(E755="","",#REF!))</f>
        <v>#REF!</v>
      </c>
      <c r="Z755" t="e">
        <f ca="1">IF(A755="","",IF(E755="","",#REF!))</f>
        <v>#REF!</v>
      </c>
      <c r="AA755" t="e">
        <f ca="1">IF(A755="","",IF(E755="","",#REF!))</f>
        <v>#REF!</v>
      </c>
      <c r="AB755" t="e">
        <f ca="1">IF(A755="","",IF(E755="","",#REF!))</f>
        <v>#REF!</v>
      </c>
      <c r="AC755" t="e">
        <f t="shared" ca="1" si="68"/>
        <v>#REF!</v>
      </c>
    </row>
    <row r="756" spans="1:29" x14ac:dyDescent="0.35">
      <c r="A756" t="e" cm="1">
        <f t="array" aca="1" ref="A756" ca="1">IF(A755="","",IF(OR(AND(A755+1&gt;=$AF$1,A755+1&lt;=$AF$2),AND(A755+1&gt;=$AF$6,A755+1&lt;=$AF$7),AND(A755+1&gt;=$AF$3,A755+1&lt;=$AF$4),AND(A755+1&gt;=$AF$8,A755+1&lt;=$AF$9),A755+1=$AF$5),IF(NOT(ISBLANK(INDIRECT("template!"&amp;"P"&amp;A755+1))),A755+1,IF(NOT(ISBLANK(INDIRECT("template!"&amp;"P"&amp;A755+2))),A755+2,A755+3)),IF(A755=$AF$2,$AF$3,IF(A755=$AF$4,$AF$5,IF(A755=$AF$5,$AF$6,IF(A755=$AF$7,$AF$8,""))))))</f>
        <v>#REF!</v>
      </c>
      <c r="B756" t="e">
        <f t="shared" ca="1" si="63"/>
        <v>#REF!</v>
      </c>
      <c r="C756" t="e" cm="1">
        <f t="array" aca="1" ref="C756" ca="1">IF(A756="","",IF(B756="safety","safety costs",INDIRECT("template!"&amp;"B"&amp;A756)))</f>
        <v>#REF!</v>
      </c>
      <c r="D756" t="e" cm="1">
        <f t="array" aca="1" ref="D756" ca="1">IF(OR(A756="",B756="safety"),"",INDIRECT("template!"&amp;"C"&amp;A756))</f>
        <v>#REF!</v>
      </c>
      <c r="E756" t="e" cm="1">
        <f t="array" aca="1" ref="E756" ca="1">IF(A756="","",IF(OR(A756=A755+1,A756=A755+2),E755,INDIRECT("template!"&amp;"D"&amp;A756-2)))</f>
        <v>#REF!</v>
      </c>
      <c r="F756" t="e" cm="1">
        <f t="array" aca="1" ref="F756" ca="1">IF(OR(A756="",B756="safety"),"",IF(ISBLANK(IF(A756=A755+1,F755,INDIRECT("template!"&amp;"D"&amp;A756-1))),"",IF(A756=A755+1,F755,INDIRECT("template!"&amp;"D"&amp;A756-1))))</f>
        <v>#REF!</v>
      </c>
      <c r="G756" t="e" cm="1">
        <f t="array" aca="1" ref="G756" ca="1">IF(OR(A756="",B756="safety"),"",IF(ISBLANK(INDIRECT("template!"&amp;"D"&amp;A756)),"",INDIRECT("template!"&amp;"D"&amp;A756)))</f>
        <v>#REF!</v>
      </c>
      <c r="H756" t="e" cm="1">
        <f t="array" aca="1" ref="H756" ca="1">IF(OR(A756="",B756="safety"),"",IF(ISBLANK(INDIRECT("template!"&amp;"E"&amp;A756)),"",INDIRECT("template!"&amp;"E"&amp;A756)))</f>
        <v>#REF!</v>
      </c>
      <c r="I756" t="e" cm="1">
        <f t="array" aca="1" ref="I756" ca="1">IF(OR(A756="",B756="safety"),"",IF(ISBLANK(INDIRECT("template!"&amp;"F"&amp;A756)),"",INDIRECT("template!"&amp;"F"&amp;A756)))</f>
        <v>#REF!</v>
      </c>
      <c r="J756" t="e" cm="1">
        <f t="array" aca="1" ref="J756" ca="1">IF(OR(A756="",B756="safety"),"",IF(ISBLANK(INDIRECT("template!"&amp;"G"&amp;A756)),"",INDIRECT("template!"&amp;"G"&amp;A756)))</f>
        <v>#REF!</v>
      </c>
      <c r="K756" t="e" cm="1">
        <f t="array" aca="1" ref="K756" ca="1">IF(OR(A756="",B756="safety"),"",IF(ISBLANK(INDIRECT("template!"&amp;"H"&amp;A756)),"",INDIRECT("template!"&amp;"H"&amp;A756)))</f>
        <v>#REF!</v>
      </c>
      <c r="L756" t="e" cm="1">
        <f t="array" aca="1" ref="L756" ca="1">IF(OR(A756="",B756="safety"),"",INDIRECT("template!"&amp;"I"&amp;A756))</f>
        <v>#REF!</v>
      </c>
      <c r="M756" t="e" cm="1">
        <f t="array" aca="1" ref="M756" ca="1">IF(OR(A756="",B756="safety"),"",INDIRECT("template!"&amp;"J"&amp;A756))</f>
        <v>#REF!</v>
      </c>
      <c r="N756" t="e" cm="1">
        <f t="array" aca="1" ref="N756" ca="1">IF(OR(A756="",B756="safety"),"",IF(ISBLANK(INDIRECT("template!"&amp;"K"&amp;A756)),"",INDIRECT("template!"&amp;"K"&amp;A756)))</f>
        <v>#REF!</v>
      </c>
      <c r="O756" t="e" cm="1">
        <f t="array" aca="1" ref="O756" ca="1">IF(OR(A756="",B756="safety"),"",INDIRECT("template!"&amp;"L"&amp;A756))</f>
        <v>#REF!</v>
      </c>
      <c r="P756" t="e" cm="1">
        <f t="array" aca="1" ref="P756" ca="1">IF(OR(A756="",B756="safety"),"",INDIRECT("template!"&amp;"M"&amp;A756))</f>
        <v>#REF!</v>
      </c>
      <c r="Q756" t="e">
        <f t="shared" ca="1" si="64"/>
        <v>#REF!</v>
      </c>
      <c r="R756" t="e">
        <f t="shared" ca="1" si="65"/>
        <v>#REF!</v>
      </c>
      <c r="S756" t="e">
        <f t="shared" ca="1" si="66"/>
        <v>#REF!</v>
      </c>
      <c r="T756" t="e">
        <f t="shared" ca="1" si="67"/>
        <v>#REF!</v>
      </c>
      <c r="U756" t="e" cm="1">
        <f t="array" aca="1" ref="U756" ca="1">IF(A756="","",IF(E756="","",IF(B756="safety",INDIRECT("template!"&amp;"P"&amp;A756),Q756+R756)))</f>
        <v>#REF!</v>
      </c>
      <c r="V756" t="e" cm="1">
        <f t="array" aca="1" ref="V756" ca="1">IF(A756="","",IF(E756="","",IF(B756="safety",INDIRECT("template!"&amp;"P"&amp;A756),S756+T756)))</f>
        <v>#REF!</v>
      </c>
      <c r="W756" t="e">
        <f ca="1">IF(A756="","",IF(E756="","",#REF!))</f>
        <v>#REF!</v>
      </c>
      <c r="X756" t="e">
        <f ca="1">IF(A756="","",IF(E756="","",#REF!))</f>
        <v>#REF!</v>
      </c>
      <c r="Y756" s="39" t="e">
        <f ca="1">IF(A756="","",IF(E756="","",#REF!))</f>
        <v>#REF!</v>
      </c>
      <c r="Z756" t="e">
        <f ca="1">IF(A756="","",IF(E756="","",#REF!))</f>
        <v>#REF!</v>
      </c>
      <c r="AA756" t="e">
        <f ca="1">IF(A756="","",IF(E756="","",#REF!))</f>
        <v>#REF!</v>
      </c>
      <c r="AB756" t="e">
        <f ca="1">IF(A756="","",IF(E756="","",#REF!))</f>
        <v>#REF!</v>
      </c>
      <c r="AC756" t="e">
        <f t="shared" ca="1" si="68"/>
        <v>#REF!</v>
      </c>
    </row>
    <row r="757" spans="1:29" x14ac:dyDescent="0.35">
      <c r="A757" t="e" cm="1">
        <f t="array" aca="1" ref="A757" ca="1">IF(A756="","",IF(OR(AND(A756+1&gt;=$AF$1,A756+1&lt;=$AF$2),AND(A756+1&gt;=$AF$6,A756+1&lt;=$AF$7),AND(A756+1&gt;=$AF$3,A756+1&lt;=$AF$4),AND(A756+1&gt;=$AF$8,A756+1&lt;=$AF$9),A756+1=$AF$5),IF(NOT(ISBLANK(INDIRECT("template!"&amp;"P"&amp;A756+1))),A756+1,IF(NOT(ISBLANK(INDIRECT("template!"&amp;"P"&amp;A756+2))),A756+2,A756+3)),IF(A756=$AF$2,$AF$3,IF(A756=$AF$4,$AF$5,IF(A756=$AF$5,$AF$6,IF(A756=$AF$7,$AF$8,""))))))</f>
        <v>#REF!</v>
      </c>
      <c r="B757" t="e">
        <f t="shared" ca="1" si="63"/>
        <v>#REF!</v>
      </c>
      <c r="C757" t="e" cm="1">
        <f t="array" aca="1" ref="C757" ca="1">IF(A757="","",IF(B757="safety","safety costs",INDIRECT("template!"&amp;"B"&amp;A757)))</f>
        <v>#REF!</v>
      </c>
      <c r="D757" t="e" cm="1">
        <f t="array" aca="1" ref="D757" ca="1">IF(OR(A757="",B757="safety"),"",INDIRECT("template!"&amp;"C"&amp;A757))</f>
        <v>#REF!</v>
      </c>
      <c r="E757" t="e" cm="1">
        <f t="array" aca="1" ref="E757" ca="1">IF(A757="","",IF(OR(A757=A756+1,A757=A756+2),E756,INDIRECT("template!"&amp;"D"&amp;A757-2)))</f>
        <v>#REF!</v>
      </c>
      <c r="F757" t="e" cm="1">
        <f t="array" aca="1" ref="F757" ca="1">IF(OR(A757="",B757="safety"),"",IF(ISBLANK(IF(A757=A756+1,F756,INDIRECT("template!"&amp;"D"&amp;A757-1))),"",IF(A757=A756+1,F756,INDIRECT("template!"&amp;"D"&amp;A757-1))))</f>
        <v>#REF!</v>
      </c>
      <c r="G757" t="e" cm="1">
        <f t="array" aca="1" ref="G757" ca="1">IF(OR(A757="",B757="safety"),"",IF(ISBLANK(INDIRECT("template!"&amp;"D"&amp;A757)),"",INDIRECT("template!"&amp;"D"&amp;A757)))</f>
        <v>#REF!</v>
      </c>
      <c r="H757" t="e" cm="1">
        <f t="array" aca="1" ref="H757" ca="1">IF(OR(A757="",B757="safety"),"",IF(ISBLANK(INDIRECT("template!"&amp;"E"&amp;A757)),"",INDIRECT("template!"&amp;"E"&amp;A757)))</f>
        <v>#REF!</v>
      </c>
      <c r="I757" t="e" cm="1">
        <f t="array" aca="1" ref="I757" ca="1">IF(OR(A757="",B757="safety"),"",IF(ISBLANK(INDIRECT("template!"&amp;"F"&amp;A757)),"",INDIRECT("template!"&amp;"F"&amp;A757)))</f>
        <v>#REF!</v>
      </c>
      <c r="J757" t="e" cm="1">
        <f t="array" aca="1" ref="J757" ca="1">IF(OR(A757="",B757="safety"),"",IF(ISBLANK(INDIRECT("template!"&amp;"G"&amp;A757)),"",INDIRECT("template!"&amp;"G"&amp;A757)))</f>
        <v>#REF!</v>
      </c>
      <c r="K757" t="e" cm="1">
        <f t="array" aca="1" ref="K757" ca="1">IF(OR(A757="",B757="safety"),"",IF(ISBLANK(INDIRECT("template!"&amp;"H"&amp;A757)),"",INDIRECT("template!"&amp;"H"&amp;A757)))</f>
        <v>#REF!</v>
      </c>
      <c r="L757" t="e" cm="1">
        <f t="array" aca="1" ref="L757" ca="1">IF(OR(A757="",B757="safety"),"",INDIRECT("template!"&amp;"I"&amp;A757))</f>
        <v>#REF!</v>
      </c>
      <c r="M757" t="e" cm="1">
        <f t="array" aca="1" ref="M757" ca="1">IF(OR(A757="",B757="safety"),"",INDIRECT("template!"&amp;"J"&amp;A757))</f>
        <v>#REF!</v>
      </c>
      <c r="N757" t="e" cm="1">
        <f t="array" aca="1" ref="N757" ca="1">IF(OR(A757="",B757="safety"),"",IF(ISBLANK(INDIRECT("template!"&amp;"K"&amp;A757)),"",INDIRECT("template!"&amp;"K"&amp;A757)))</f>
        <v>#REF!</v>
      </c>
      <c r="O757" t="e" cm="1">
        <f t="array" aca="1" ref="O757" ca="1">IF(OR(A757="",B757="safety"),"",INDIRECT("template!"&amp;"L"&amp;A757))</f>
        <v>#REF!</v>
      </c>
      <c r="P757" t="e" cm="1">
        <f t="array" aca="1" ref="P757" ca="1">IF(OR(A757="",B757="safety"),"",INDIRECT("template!"&amp;"M"&amp;A757))</f>
        <v>#REF!</v>
      </c>
      <c r="Q757" t="e">
        <f t="shared" ca="1" si="64"/>
        <v>#REF!</v>
      </c>
      <c r="R757" t="e">
        <f t="shared" ca="1" si="65"/>
        <v>#REF!</v>
      </c>
      <c r="S757" t="e">
        <f t="shared" ca="1" si="66"/>
        <v>#REF!</v>
      </c>
      <c r="T757" t="e">
        <f t="shared" ca="1" si="67"/>
        <v>#REF!</v>
      </c>
      <c r="U757" t="e" cm="1">
        <f t="array" aca="1" ref="U757" ca="1">IF(A757="","",IF(E757="","",IF(B757="safety",INDIRECT("template!"&amp;"P"&amp;A757),Q757+R757)))</f>
        <v>#REF!</v>
      </c>
      <c r="V757" t="e" cm="1">
        <f t="array" aca="1" ref="V757" ca="1">IF(A757="","",IF(E757="","",IF(B757="safety",INDIRECT("template!"&amp;"P"&amp;A757),S757+T757)))</f>
        <v>#REF!</v>
      </c>
      <c r="W757" t="e">
        <f ca="1">IF(A757="","",IF(E757="","",#REF!))</f>
        <v>#REF!</v>
      </c>
      <c r="X757" t="e">
        <f ca="1">IF(A757="","",IF(E757="","",#REF!))</f>
        <v>#REF!</v>
      </c>
      <c r="Y757" s="39" t="e">
        <f ca="1">IF(A757="","",IF(E757="","",#REF!))</f>
        <v>#REF!</v>
      </c>
      <c r="Z757" t="e">
        <f ca="1">IF(A757="","",IF(E757="","",#REF!))</f>
        <v>#REF!</v>
      </c>
      <c r="AA757" t="e">
        <f ca="1">IF(A757="","",IF(E757="","",#REF!))</f>
        <v>#REF!</v>
      </c>
      <c r="AB757" t="e">
        <f ca="1">IF(A757="","",IF(E757="","",#REF!))</f>
        <v>#REF!</v>
      </c>
      <c r="AC757" t="e">
        <f t="shared" ca="1" si="68"/>
        <v>#REF!</v>
      </c>
    </row>
    <row r="758" spans="1:29" x14ac:dyDescent="0.35">
      <c r="A758" t="e" cm="1">
        <f t="array" aca="1" ref="A758" ca="1">IF(A757="","",IF(OR(AND(A757+1&gt;=$AF$1,A757+1&lt;=$AF$2),AND(A757+1&gt;=$AF$6,A757+1&lt;=$AF$7),AND(A757+1&gt;=$AF$3,A757+1&lt;=$AF$4),AND(A757+1&gt;=$AF$8,A757+1&lt;=$AF$9),A757+1=$AF$5),IF(NOT(ISBLANK(INDIRECT("template!"&amp;"P"&amp;A757+1))),A757+1,IF(NOT(ISBLANK(INDIRECT("template!"&amp;"P"&amp;A757+2))),A757+2,A757+3)),IF(A757=$AF$2,$AF$3,IF(A757=$AF$4,$AF$5,IF(A757=$AF$5,$AF$6,IF(A757=$AF$7,$AF$8,""))))))</f>
        <v>#REF!</v>
      </c>
      <c r="B758" t="e">
        <f t="shared" ca="1" si="63"/>
        <v>#REF!</v>
      </c>
      <c r="C758" t="e" cm="1">
        <f t="array" aca="1" ref="C758" ca="1">IF(A758="","",IF(B758="safety","safety costs",INDIRECT("template!"&amp;"B"&amp;A758)))</f>
        <v>#REF!</v>
      </c>
      <c r="D758" t="e" cm="1">
        <f t="array" aca="1" ref="D758" ca="1">IF(OR(A758="",B758="safety"),"",INDIRECT("template!"&amp;"C"&amp;A758))</f>
        <v>#REF!</v>
      </c>
      <c r="E758" t="e" cm="1">
        <f t="array" aca="1" ref="E758" ca="1">IF(A758="","",IF(OR(A758=A757+1,A758=A757+2),E757,INDIRECT("template!"&amp;"D"&amp;A758-2)))</f>
        <v>#REF!</v>
      </c>
      <c r="F758" t="e" cm="1">
        <f t="array" aca="1" ref="F758" ca="1">IF(OR(A758="",B758="safety"),"",IF(ISBLANK(IF(A758=A757+1,F757,INDIRECT("template!"&amp;"D"&amp;A758-1))),"",IF(A758=A757+1,F757,INDIRECT("template!"&amp;"D"&amp;A758-1))))</f>
        <v>#REF!</v>
      </c>
      <c r="G758" t="e" cm="1">
        <f t="array" aca="1" ref="G758" ca="1">IF(OR(A758="",B758="safety"),"",IF(ISBLANK(INDIRECT("template!"&amp;"D"&amp;A758)),"",INDIRECT("template!"&amp;"D"&amp;A758)))</f>
        <v>#REF!</v>
      </c>
      <c r="H758" t="e" cm="1">
        <f t="array" aca="1" ref="H758" ca="1">IF(OR(A758="",B758="safety"),"",IF(ISBLANK(INDIRECT("template!"&amp;"E"&amp;A758)),"",INDIRECT("template!"&amp;"E"&amp;A758)))</f>
        <v>#REF!</v>
      </c>
      <c r="I758" t="e" cm="1">
        <f t="array" aca="1" ref="I758" ca="1">IF(OR(A758="",B758="safety"),"",IF(ISBLANK(INDIRECT("template!"&amp;"F"&amp;A758)),"",INDIRECT("template!"&amp;"F"&amp;A758)))</f>
        <v>#REF!</v>
      </c>
      <c r="J758" t="e" cm="1">
        <f t="array" aca="1" ref="J758" ca="1">IF(OR(A758="",B758="safety"),"",IF(ISBLANK(INDIRECT("template!"&amp;"G"&amp;A758)),"",INDIRECT("template!"&amp;"G"&amp;A758)))</f>
        <v>#REF!</v>
      </c>
      <c r="K758" t="e" cm="1">
        <f t="array" aca="1" ref="K758" ca="1">IF(OR(A758="",B758="safety"),"",IF(ISBLANK(INDIRECT("template!"&amp;"H"&amp;A758)),"",INDIRECT("template!"&amp;"H"&amp;A758)))</f>
        <v>#REF!</v>
      </c>
      <c r="L758" t="e" cm="1">
        <f t="array" aca="1" ref="L758" ca="1">IF(OR(A758="",B758="safety"),"",INDIRECT("template!"&amp;"I"&amp;A758))</f>
        <v>#REF!</v>
      </c>
      <c r="M758" t="e" cm="1">
        <f t="array" aca="1" ref="M758" ca="1">IF(OR(A758="",B758="safety"),"",INDIRECT("template!"&amp;"J"&amp;A758))</f>
        <v>#REF!</v>
      </c>
      <c r="N758" t="e" cm="1">
        <f t="array" aca="1" ref="N758" ca="1">IF(OR(A758="",B758="safety"),"",IF(ISBLANK(INDIRECT("template!"&amp;"K"&amp;A758)),"",INDIRECT("template!"&amp;"K"&amp;A758)))</f>
        <v>#REF!</v>
      </c>
      <c r="O758" t="e" cm="1">
        <f t="array" aca="1" ref="O758" ca="1">IF(OR(A758="",B758="safety"),"",INDIRECT("template!"&amp;"L"&amp;A758))</f>
        <v>#REF!</v>
      </c>
      <c r="P758" t="e" cm="1">
        <f t="array" aca="1" ref="P758" ca="1">IF(OR(A758="",B758="safety"),"",INDIRECT("template!"&amp;"M"&amp;A758))</f>
        <v>#REF!</v>
      </c>
      <c r="Q758" t="e">
        <f t="shared" ca="1" si="64"/>
        <v>#REF!</v>
      </c>
      <c r="R758" t="e">
        <f t="shared" ca="1" si="65"/>
        <v>#REF!</v>
      </c>
      <c r="S758" t="e">
        <f t="shared" ca="1" si="66"/>
        <v>#REF!</v>
      </c>
      <c r="T758" t="e">
        <f t="shared" ca="1" si="67"/>
        <v>#REF!</v>
      </c>
      <c r="U758" t="e" cm="1">
        <f t="array" aca="1" ref="U758" ca="1">IF(A758="","",IF(E758="","",IF(B758="safety",INDIRECT("template!"&amp;"P"&amp;A758),Q758+R758)))</f>
        <v>#REF!</v>
      </c>
      <c r="V758" t="e" cm="1">
        <f t="array" aca="1" ref="V758" ca="1">IF(A758="","",IF(E758="","",IF(B758="safety",INDIRECT("template!"&amp;"P"&amp;A758),S758+T758)))</f>
        <v>#REF!</v>
      </c>
      <c r="W758" t="e">
        <f ca="1">IF(A758="","",IF(E758="","",#REF!))</f>
        <v>#REF!</v>
      </c>
      <c r="X758" t="e">
        <f ca="1">IF(A758="","",IF(E758="","",#REF!))</f>
        <v>#REF!</v>
      </c>
      <c r="Y758" s="39" t="e">
        <f ca="1">IF(A758="","",IF(E758="","",#REF!))</f>
        <v>#REF!</v>
      </c>
      <c r="Z758" t="e">
        <f ca="1">IF(A758="","",IF(E758="","",#REF!))</f>
        <v>#REF!</v>
      </c>
      <c r="AA758" t="e">
        <f ca="1">IF(A758="","",IF(E758="","",#REF!))</f>
        <v>#REF!</v>
      </c>
      <c r="AB758" t="e">
        <f ca="1">IF(A758="","",IF(E758="","",#REF!))</f>
        <v>#REF!</v>
      </c>
      <c r="AC758" t="e">
        <f t="shared" ca="1" si="68"/>
        <v>#REF!</v>
      </c>
    </row>
    <row r="759" spans="1:29" x14ac:dyDescent="0.35">
      <c r="A759" t="e" cm="1">
        <f t="array" aca="1" ref="A759" ca="1">IF(A758="","",IF(OR(AND(A758+1&gt;=$AF$1,A758+1&lt;=$AF$2),AND(A758+1&gt;=$AF$6,A758+1&lt;=$AF$7),AND(A758+1&gt;=$AF$3,A758+1&lt;=$AF$4),AND(A758+1&gt;=$AF$8,A758+1&lt;=$AF$9),A758+1=$AF$5),IF(NOT(ISBLANK(INDIRECT("template!"&amp;"P"&amp;A758+1))),A758+1,IF(NOT(ISBLANK(INDIRECT("template!"&amp;"P"&amp;A758+2))),A758+2,A758+3)),IF(A758=$AF$2,$AF$3,IF(A758=$AF$4,$AF$5,IF(A758=$AF$5,$AF$6,IF(A758=$AF$7,$AF$8,""))))))</f>
        <v>#REF!</v>
      </c>
      <c r="B759" t="e">
        <f t="shared" ca="1" si="63"/>
        <v>#REF!</v>
      </c>
      <c r="C759" t="e" cm="1">
        <f t="array" aca="1" ref="C759" ca="1">IF(A759="","",IF(B759="safety","safety costs",INDIRECT("template!"&amp;"B"&amp;A759)))</f>
        <v>#REF!</v>
      </c>
      <c r="D759" t="e" cm="1">
        <f t="array" aca="1" ref="D759" ca="1">IF(OR(A759="",B759="safety"),"",INDIRECT("template!"&amp;"C"&amp;A759))</f>
        <v>#REF!</v>
      </c>
      <c r="E759" t="e" cm="1">
        <f t="array" aca="1" ref="E759" ca="1">IF(A759="","",IF(OR(A759=A758+1,A759=A758+2),E758,INDIRECT("template!"&amp;"D"&amp;A759-2)))</f>
        <v>#REF!</v>
      </c>
      <c r="F759" t="e" cm="1">
        <f t="array" aca="1" ref="F759" ca="1">IF(OR(A759="",B759="safety"),"",IF(ISBLANK(IF(A759=A758+1,F758,INDIRECT("template!"&amp;"D"&amp;A759-1))),"",IF(A759=A758+1,F758,INDIRECT("template!"&amp;"D"&amp;A759-1))))</f>
        <v>#REF!</v>
      </c>
      <c r="G759" t="e" cm="1">
        <f t="array" aca="1" ref="G759" ca="1">IF(OR(A759="",B759="safety"),"",IF(ISBLANK(INDIRECT("template!"&amp;"D"&amp;A759)),"",INDIRECT("template!"&amp;"D"&amp;A759)))</f>
        <v>#REF!</v>
      </c>
      <c r="H759" t="e" cm="1">
        <f t="array" aca="1" ref="H759" ca="1">IF(OR(A759="",B759="safety"),"",IF(ISBLANK(INDIRECT("template!"&amp;"E"&amp;A759)),"",INDIRECT("template!"&amp;"E"&amp;A759)))</f>
        <v>#REF!</v>
      </c>
      <c r="I759" t="e" cm="1">
        <f t="array" aca="1" ref="I759" ca="1">IF(OR(A759="",B759="safety"),"",IF(ISBLANK(INDIRECT("template!"&amp;"F"&amp;A759)),"",INDIRECT("template!"&amp;"F"&amp;A759)))</f>
        <v>#REF!</v>
      </c>
      <c r="J759" t="e" cm="1">
        <f t="array" aca="1" ref="J759" ca="1">IF(OR(A759="",B759="safety"),"",IF(ISBLANK(INDIRECT("template!"&amp;"G"&amp;A759)),"",INDIRECT("template!"&amp;"G"&amp;A759)))</f>
        <v>#REF!</v>
      </c>
      <c r="K759" t="e" cm="1">
        <f t="array" aca="1" ref="K759" ca="1">IF(OR(A759="",B759="safety"),"",IF(ISBLANK(INDIRECT("template!"&amp;"H"&amp;A759)),"",INDIRECT("template!"&amp;"H"&amp;A759)))</f>
        <v>#REF!</v>
      </c>
      <c r="L759" t="e" cm="1">
        <f t="array" aca="1" ref="L759" ca="1">IF(OR(A759="",B759="safety"),"",INDIRECT("template!"&amp;"I"&amp;A759))</f>
        <v>#REF!</v>
      </c>
      <c r="M759" t="e" cm="1">
        <f t="array" aca="1" ref="M759" ca="1">IF(OR(A759="",B759="safety"),"",INDIRECT("template!"&amp;"J"&amp;A759))</f>
        <v>#REF!</v>
      </c>
      <c r="N759" t="e" cm="1">
        <f t="array" aca="1" ref="N759" ca="1">IF(OR(A759="",B759="safety"),"",IF(ISBLANK(INDIRECT("template!"&amp;"K"&amp;A759)),"",INDIRECT("template!"&amp;"K"&amp;A759)))</f>
        <v>#REF!</v>
      </c>
      <c r="O759" t="e" cm="1">
        <f t="array" aca="1" ref="O759" ca="1">IF(OR(A759="",B759="safety"),"",INDIRECT("template!"&amp;"L"&amp;A759))</f>
        <v>#REF!</v>
      </c>
      <c r="P759" t="e" cm="1">
        <f t="array" aca="1" ref="P759" ca="1">IF(OR(A759="",B759="safety"),"",INDIRECT("template!"&amp;"M"&amp;A759))</f>
        <v>#REF!</v>
      </c>
      <c r="Q759" t="e">
        <f t="shared" ca="1" si="64"/>
        <v>#REF!</v>
      </c>
      <c r="R759" t="e">
        <f t="shared" ca="1" si="65"/>
        <v>#REF!</v>
      </c>
      <c r="S759" t="e">
        <f t="shared" ca="1" si="66"/>
        <v>#REF!</v>
      </c>
      <c r="T759" t="e">
        <f t="shared" ca="1" si="67"/>
        <v>#REF!</v>
      </c>
      <c r="U759" t="e" cm="1">
        <f t="array" aca="1" ref="U759" ca="1">IF(A759="","",IF(E759="","",IF(B759="safety",INDIRECT("template!"&amp;"P"&amp;A759),Q759+R759)))</f>
        <v>#REF!</v>
      </c>
      <c r="V759" t="e" cm="1">
        <f t="array" aca="1" ref="V759" ca="1">IF(A759="","",IF(E759="","",IF(B759="safety",INDIRECT("template!"&amp;"P"&amp;A759),S759+T759)))</f>
        <v>#REF!</v>
      </c>
      <c r="W759" t="e">
        <f ca="1">IF(A759="","",IF(E759="","",#REF!))</f>
        <v>#REF!</v>
      </c>
      <c r="X759" t="e">
        <f ca="1">IF(A759="","",IF(E759="","",#REF!))</f>
        <v>#REF!</v>
      </c>
      <c r="Y759" s="39" t="e">
        <f ca="1">IF(A759="","",IF(E759="","",#REF!))</f>
        <v>#REF!</v>
      </c>
      <c r="Z759" t="e">
        <f ca="1">IF(A759="","",IF(E759="","",#REF!))</f>
        <v>#REF!</v>
      </c>
      <c r="AA759" t="e">
        <f ca="1">IF(A759="","",IF(E759="","",#REF!))</f>
        <v>#REF!</v>
      </c>
      <c r="AB759" t="e">
        <f ca="1">IF(A759="","",IF(E759="","",#REF!))</f>
        <v>#REF!</v>
      </c>
      <c r="AC759" t="e">
        <f t="shared" ca="1" si="68"/>
        <v>#REF!</v>
      </c>
    </row>
    <row r="760" spans="1:29" x14ac:dyDescent="0.35">
      <c r="A760" t="e" cm="1">
        <f t="array" aca="1" ref="A760" ca="1">IF(A759="","",IF(OR(AND(A759+1&gt;=$AF$1,A759+1&lt;=$AF$2),AND(A759+1&gt;=$AF$6,A759+1&lt;=$AF$7),AND(A759+1&gt;=$AF$3,A759+1&lt;=$AF$4),AND(A759+1&gt;=$AF$8,A759+1&lt;=$AF$9),A759+1=$AF$5),IF(NOT(ISBLANK(INDIRECT("template!"&amp;"P"&amp;A759+1))),A759+1,IF(NOT(ISBLANK(INDIRECT("template!"&amp;"P"&amp;A759+2))),A759+2,A759+3)),IF(A759=$AF$2,$AF$3,IF(A759=$AF$4,$AF$5,IF(A759=$AF$5,$AF$6,IF(A759=$AF$7,$AF$8,""))))))</f>
        <v>#REF!</v>
      </c>
      <c r="B760" t="e">
        <f t="shared" ca="1" si="63"/>
        <v>#REF!</v>
      </c>
      <c r="C760" t="e" cm="1">
        <f t="array" aca="1" ref="C760" ca="1">IF(A760="","",IF(B760="safety","safety costs",INDIRECT("template!"&amp;"B"&amp;A760)))</f>
        <v>#REF!</v>
      </c>
      <c r="D760" t="e" cm="1">
        <f t="array" aca="1" ref="D760" ca="1">IF(OR(A760="",B760="safety"),"",INDIRECT("template!"&amp;"C"&amp;A760))</f>
        <v>#REF!</v>
      </c>
      <c r="E760" t="e" cm="1">
        <f t="array" aca="1" ref="E760" ca="1">IF(A760="","",IF(OR(A760=A759+1,A760=A759+2),E759,INDIRECT("template!"&amp;"D"&amp;A760-2)))</f>
        <v>#REF!</v>
      </c>
      <c r="F760" t="e" cm="1">
        <f t="array" aca="1" ref="F760" ca="1">IF(OR(A760="",B760="safety"),"",IF(ISBLANK(IF(A760=A759+1,F759,INDIRECT("template!"&amp;"D"&amp;A760-1))),"",IF(A760=A759+1,F759,INDIRECT("template!"&amp;"D"&amp;A760-1))))</f>
        <v>#REF!</v>
      </c>
      <c r="G760" t="e" cm="1">
        <f t="array" aca="1" ref="G760" ca="1">IF(OR(A760="",B760="safety"),"",IF(ISBLANK(INDIRECT("template!"&amp;"D"&amp;A760)),"",INDIRECT("template!"&amp;"D"&amp;A760)))</f>
        <v>#REF!</v>
      </c>
      <c r="H760" t="e" cm="1">
        <f t="array" aca="1" ref="H760" ca="1">IF(OR(A760="",B760="safety"),"",IF(ISBLANK(INDIRECT("template!"&amp;"E"&amp;A760)),"",INDIRECT("template!"&amp;"E"&amp;A760)))</f>
        <v>#REF!</v>
      </c>
      <c r="I760" t="e" cm="1">
        <f t="array" aca="1" ref="I760" ca="1">IF(OR(A760="",B760="safety"),"",IF(ISBLANK(INDIRECT("template!"&amp;"F"&amp;A760)),"",INDIRECT("template!"&amp;"F"&amp;A760)))</f>
        <v>#REF!</v>
      </c>
      <c r="J760" t="e" cm="1">
        <f t="array" aca="1" ref="J760" ca="1">IF(OR(A760="",B760="safety"),"",IF(ISBLANK(INDIRECT("template!"&amp;"G"&amp;A760)),"",INDIRECT("template!"&amp;"G"&amp;A760)))</f>
        <v>#REF!</v>
      </c>
      <c r="K760" t="e" cm="1">
        <f t="array" aca="1" ref="K760" ca="1">IF(OR(A760="",B760="safety"),"",IF(ISBLANK(INDIRECT("template!"&amp;"H"&amp;A760)),"",INDIRECT("template!"&amp;"H"&amp;A760)))</f>
        <v>#REF!</v>
      </c>
      <c r="L760" t="e" cm="1">
        <f t="array" aca="1" ref="L760" ca="1">IF(OR(A760="",B760="safety"),"",INDIRECT("template!"&amp;"I"&amp;A760))</f>
        <v>#REF!</v>
      </c>
      <c r="M760" t="e" cm="1">
        <f t="array" aca="1" ref="M760" ca="1">IF(OR(A760="",B760="safety"),"",INDIRECT("template!"&amp;"J"&amp;A760))</f>
        <v>#REF!</v>
      </c>
      <c r="N760" t="e" cm="1">
        <f t="array" aca="1" ref="N760" ca="1">IF(OR(A760="",B760="safety"),"",IF(ISBLANK(INDIRECT("template!"&amp;"K"&amp;A760)),"",INDIRECT("template!"&amp;"K"&amp;A760)))</f>
        <v>#REF!</v>
      </c>
      <c r="O760" t="e" cm="1">
        <f t="array" aca="1" ref="O760" ca="1">IF(OR(A760="",B760="safety"),"",INDIRECT("template!"&amp;"L"&amp;A760))</f>
        <v>#REF!</v>
      </c>
      <c r="P760" t="e" cm="1">
        <f t="array" aca="1" ref="P760" ca="1">IF(OR(A760="",B760="safety"),"",INDIRECT("template!"&amp;"M"&amp;A760))</f>
        <v>#REF!</v>
      </c>
      <c r="Q760" t="e">
        <f t="shared" ca="1" si="64"/>
        <v>#REF!</v>
      </c>
      <c r="R760" t="e">
        <f t="shared" ca="1" si="65"/>
        <v>#REF!</v>
      </c>
      <c r="S760" t="e">
        <f t="shared" ca="1" si="66"/>
        <v>#REF!</v>
      </c>
      <c r="T760" t="e">
        <f t="shared" ca="1" si="67"/>
        <v>#REF!</v>
      </c>
      <c r="U760" t="e" cm="1">
        <f t="array" aca="1" ref="U760" ca="1">IF(A760="","",IF(E760="","",IF(B760="safety",INDIRECT("template!"&amp;"P"&amp;A760),Q760+R760)))</f>
        <v>#REF!</v>
      </c>
      <c r="V760" t="e" cm="1">
        <f t="array" aca="1" ref="V760" ca="1">IF(A760="","",IF(E760="","",IF(B760="safety",INDIRECT("template!"&amp;"P"&amp;A760),S760+T760)))</f>
        <v>#REF!</v>
      </c>
      <c r="W760" t="e">
        <f ca="1">IF(A760="","",IF(E760="","",#REF!))</f>
        <v>#REF!</v>
      </c>
      <c r="X760" t="e">
        <f ca="1">IF(A760="","",IF(E760="","",#REF!))</f>
        <v>#REF!</v>
      </c>
      <c r="Y760" s="39" t="e">
        <f ca="1">IF(A760="","",IF(E760="","",#REF!))</f>
        <v>#REF!</v>
      </c>
      <c r="Z760" t="e">
        <f ca="1">IF(A760="","",IF(E760="","",#REF!))</f>
        <v>#REF!</v>
      </c>
      <c r="AA760" t="e">
        <f ca="1">IF(A760="","",IF(E760="","",#REF!))</f>
        <v>#REF!</v>
      </c>
      <c r="AB760" t="e">
        <f ca="1">IF(A760="","",IF(E760="","",#REF!))</f>
        <v>#REF!</v>
      </c>
      <c r="AC760" t="e">
        <f t="shared" ca="1" si="68"/>
        <v>#REF!</v>
      </c>
    </row>
    <row r="761" spans="1:29" x14ac:dyDescent="0.35">
      <c r="A761" t="e" cm="1">
        <f t="array" aca="1" ref="A761" ca="1">IF(A760="","",IF(OR(AND(A760+1&gt;=$AF$1,A760+1&lt;=$AF$2),AND(A760+1&gt;=$AF$6,A760+1&lt;=$AF$7),AND(A760+1&gt;=$AF$3,A760+1&lt;=$AF$4),AND(A760+1&gt;=$AF$8,A760+1&lt;=$AF$9),A760+1=$AF$5),IF(NOT(ISBLANK(INDIRECT("template!"&amp;"P"&amp;A760+1))),A760+1,IF(NOT(ISBLANK(INDIRECT("template!"&amp;"P"&amp;A760+2))),A760+2,A760+3)),IF(A760=$AF$2,$AF$3,IF(A760=$AF$4,$AF$5,IF(A760=$AF$5,$AF$6,IF(A760=$AF$7,$AF$8,""))))))</f>
        <v>#REF!</v>
      </c>
      <c r="B761" t="e">
        <f t="shared" ca="1" si="63"/>
        <v>#REF!</v>
      </c>
      <c r="C761" t="e" cm="1">
        <f t="array" aca="1" ref="C761" ca="1">IF(A761="","",IF(B761="safety","safety costs",INDIRECT("template!"&amp;"B"&amp;A761)))</f>
        <v>#REF!</v>
      </c>
      <c r="D761" t="e" cm="1">
        <f t="array" aca="1" ref="D761" ca="1">IF(OR(A761="",B761="safety"),"",INDIRECT("template!"&amp;"C"&amp;A761))</f>
        <v>#REF!</v>
      </c>
      <c r="E761" t="e" cm="1">
        <f t="array" aca="1" ref="E761" ca="1">IF(A761="","",IF(OR(A761=A760+1,A761=A760+2),E760,INDIRECT("template!"&amp;"D"&amp;A761-2)))</f>
        <v>#REF!</v>
      </c>
      <c r="F761" t="e" cm="1">
        <f t="array" aca="1" ref="F761" ca="1">IF(OR(A761="",B761="safety"),"",IF(ISBLANK(IF(A761=A760+1,F760,INDIRECT("template!"&amp;"D"&amp;A761-1))),"",IF(A761=A760+1,F760,INDIRECT("template!"&amp;"D"&amp;A761-1))))</f>
        <v>#REF!</v>
      </c>
      <c r="G761" t="e" cm="1">
        <f t="array" aca="1" ref="G761" ca="1">IF(OR(A761="",B761="safety"),"",IF(ISBLANK(INDIRECT("template!"&amp;"D"&amp;A761)),"",INDIRECT("template!"&amp;"D"&amp;A761)))</f>
        <v>#REF!</v>
      </c>
      <c r="H761" t="e" cm="1">
        <f t="array" aca="1" ref="H761" ca="1">IF(OR(A761="",B761="safety"),"",IF(ISBLANK(INDIRECT("template!"&amp;"E"&amp;A761)),"",INDIRECT("template!"&amp;"E"&amp;A761)))</f>
        <v>#REF!</v>
      </c>
      <c r="I761" t="e" cm="1">
        <f t="array" aca="1" ref="I761" ca="1">IF(OR(A761="",B761="safety"),"",IF(ISBLANK(INDIRECT("template!"&amp;"F"&amp;A761)),"",INDIRECT("template!"&amp;"F"&amp;A761)))</f>
        <v>#REF!</v>
      </c>
      <c r="J761" t="e" cm="1">
        <f t="array" aca="1" ref="J761" ca="1">IF(OR(A761="",B761="safety"),"",IF(ISBLANK(INDIRECT("template!"&amp;"G"&amp;A761)),"",INDIRECT("template!"&amp;"G"&amp;A761)))</f>
        <v>#REF!</v>
      </c>
      <c r="K761" t="e" cm="1">
        <f t="array" aca="1" ref="K761" ca="1">IF(OR(A761="",B761="safety"),"",IF(ISBLANK(INDIRECT("template!"&amp;"H"&amp;A761)),"",INDIRECT("template!"&amp;"H"&amp;A761)))</f>
        <v>#REF!</v>
      </c>
      <c r="L761" t="e" cm="1">
        <f t="array" aca="1" ref="L761" ca="1">IF(OR(A761="",B761="safety"),"",INDIRECT("template!"&amp;"I"&amp;A761))</f>
        <v>#REF!</v>
      </c>
      <c r="M761" t="e" cm="1">
        <f t="array" aca="1" ref="M761" ca="1">IF(OR(A761="",B761="safety"),"",INDIRECT("template!"&amp;"J"&amp;A761))</f>
        <v>#REF!</v>
      </c>
      <c r="N761" t="e" cm="1">
        <f t="array" aca="1" ref="N761" ca="1">IF(OR(A761="",B761="safety"),"",IF(ISBLANK(INDIRECT("template!"&amp;"K"&amp;A761)),"",INDIRECT("template!"&amp;"K"&amp;A761)))</f>
        <v>#REF!</v>
      </c>
      <c r="O761" t="e" cm="1">
        <f t="array" aca="1" ref="O761" ca="1">IF(OR(A761="",B761="safety"),"",INDIRECT("template!"&amp;"L"&amp;A761))</f>
        <v>#REF!</v>
      </c>
      <c r="P761" t="e" cm="1">
        <f t="array" aca="1" ref="P761" ca="1">IF(OR(A761="",B761="safety"),"",INDIRECT("template!"&amp;"M"&amp;A761))</f>
        <v>#REF!</v>
      </c>
      <c r="Q761" t="e">
        <f t="shared" ca="1" si="64"/>
        <v>#REF!</v>
      </c>
      <c r="R761" t="e">
        <f t="shared" ca="1" si="65"/>
        <v>#REF!</v>
      </c>
      <c r="S761" t="e">
        <f t="shared" ca="1" si="66"/>
        <v>#REF!</v>
      </c>
      <c r="T761" t="e">
        <f t="shared" ca="1" si="67"/>
        <v>#REF!</v>
      </c>
      <c r="U761" t="e" cm="1">
        <f t="array" aca="1" ref="U761" ca="1">IF(A761="","",IF(E761="","",IF(B761="safety",INDIRECT("template!"&amp;"P"&amp;A761),Q761+R761)))</f>
        <v>#REF!</v>
      </c>
      <c r="V761" t="e" cm="1">
        <f t="array" aca="1" ref="V761" ca="1">IF(A761="","",IF(E761="","",IF(B761="safety",INDIRECT("template!"&amp;"P"&amp;A761),S761+T761)))</f>
        <v>#REF!</v>
      </c>
      <c r="W761" t="e">
        <f ca="1">IF(A761="","",IF(E761="","",#REF!))</f>
        <v>#REF!</v>
      </c>
      <c r="X761" t="e">
        <f ca="1">IF(A761="","",IF(E761="","",#REF!))</f>
        <v>#REF!</v>
      </c>
      <c r="Y761" s="39" t="e">
        <f ca="1">IF(A761="","",IF(E761="","",#REF!))</f>
        <v>#REF!</v>
      </c>
      <c r="Z761" t="e">
        <f ca="1">IF(A761="","",IF(E761="","",#REF!))</f>
        <v>#REF!</v>
      </c>
      <c r="AA761" t="e">
        <f ca="1">IF(A761="","",IF(E761="","",#REF!))</f>
        <v>#REF!</v>
      </c>
      <c r="AB761" t="e">
        <f ca="1">IF(A761="","",IF(E761="","",#REF!))</f>
        <v>#REF!</v>
      </c>
      <c r="AC761" t="e">
        <f t="shared" ca="1" si="68"/>
        <v>#REF!</v>
      </c>
    </row>
    <row r="762" spans="1:29" x14ac:dyDescent="0.35">
      <c r="A762" t="e" cm="1">
        <f t="array" aca="1" ref="A762" ca="1">IF(A761="","",IF(OR(AND(A761+1&gt;=$AF$1,A761+1&lt;=$AF$2),AND(A761+1&gt;=$AF$6,A761+1&lt;=$AF$7),AND(A761+1&gt;=$AF$3,A761+1&lt;=$AF$4),AND(A761+1&gt;=$AF$8,A761+1&lt;=$AF$9),A761+1=$AF$5),IF(NOT(ISBLANK(INDIRECT("template!"&amp;"P"&amp;A761+1))),A761+1,IF(NOT(ISBLANK(INDIRECT("template!"&amp;"P"&amp;A761+2))),A761+2,A761+3)),IF(A761=$AF$2,$AF$3,IF(A761=$AF$4,$AF$5,IF(A761=$AF$5,$AF$6,IF(A761=$AF$7,$AF$8,""))))))</f>
        <v>#REF!</v>
      </c>
      <c r="B762" t="e">
        <f t="shared" ca="1" si="63"/>
        <v>#REF!</v>
      </c>
      <c r="C762" t="e" cm="1">
        <f t="array" aca="1" ref="C762" ca="1">IF(A762="","",IF(B762="safety","safety costs",INDIRECT("template!"&amp;"B"&amp;A762)))</f>
        <v>#REF!</v>
      </c>
      <c r="D762" t="e" cm="1">
        <f t="array" aca="1" ref="D762" ca="1">IF(OR(A762="",B762="safety"),"",INDIRECT("template!"&amp;"C"&amp;A762))</f>
        <v>#REF!</v>
      </c>
      <c r="E762" t="e" cm="1">
        <f t="array" aca="1" ref="E762" ca="1">IF(A762="","",IF(OR(A762=A761+1,A762=A761+2),E761,INDIRECT("template!"&amp;"D"&amp;A762-2)))</f>
        <v>#REF!</v>
      </c>
      <c r="F762" t="e" cm="1">
        <f t="array" aca="1" ref="F762" ca="1">IF(OR(A762="",B762="safety"),"",IF(ISBLANK(IF(A762=A761+1,F761,INDIRECT("template!"&amp;"D"&amp;A762-1))),"",IF(A762=A761+1,F761,INDIRECT("template!"&amp;"D"&amp;A762-1))))</f>
        <v>#REF!</v>
      </c>
      <c r="G762" t="e" cm="1">
        <f t="array" aca="1" ref="G762" ca="1">IF(OR(A762="",B762="safety"),"",IF(ISBLANK(INDIRECT("template!"&amp;"D"&amp;A762)),"",INDIRECT("template!"&amp;"D"&amp;A762)))</f>
        <v>#REF!</v>
      </c>
      <c r="H762" t="e" cm="1">
        <f t="array" aca="1" ref="H762" ca="1">IF(OR(A762="",B762="safety"),"",IF(ISBLANK(INDIRECT("template!"&amp;"E"&amp;A762)),"",INDIRECT("template!"&amp;"E"&amp;A762)))</f>
        <v>#REF!</v>
      </c>
      <c r="I762" t="e" cm="1">
        <f t="array" aca="1" ref="I762" ca="1">IF(OR(A762="",B762="safety"),"",IF(ISBLANK(INDIRECT("template!"&amp;"F"&amp;A762)),"",INDIRECT("template!"&amp;"F"&amp;A762)))</f>
        <v>#REF!</v>
      </c>
      <c r="J762" t="e" cm="1">
        <f t="array" aca="1" ref="J762" ca="1">IF(OR(A762="",B762="safety"),"",IF(ISBLANK(INDIRECT("template!"&amp;"G"&amp;A762)),"",INDIRECT("template!"&amp;"G"&amp;A762)))</f>
        <v>#REF!</v>
      </c>
      <c r="K762" t="e" cm="1">
        <f t="array" aca="1" ref="K762" ca="1">IF(OR(A762="",B762="safety"),"",IF(ISBLANK(INDIRECT("template!"&amp;"H"&amp;A762)),"",INDIRECT("template!"&amp;"H"&amp;A762)))</f>
        <v>#REF!</v>
      </c>
      <c r="L762" t="e" cm="1">
        <f t="array" aca="1" ref="L762" ca="1">IF(OR(A762="",B762="safety"),"",INDIRECT("template!"&amp;"I"&amp;A762))</f>
        <v>#REF!</v>
      </c>
      <c r="M762" t="e" cm="1">
        <f t="array" aca="1" ref="M762" ca="1">IF(OR(A762="",B762="safety"),"",INDIRECT("template!"&amp;"J"&amp;A762))</f>
        <v>#REF!</v>
      </c>
      <c r="N762" t="e" cm="1">
        <f t="array" aca="1" ref="N762" ca="1">IF(OR(A762="",B762="safety"),"",IF(ISBLANK(INDIRECT("template!"&amp;"K"&amp;A762)),"",INDIRECT("template!"&amp;"K"&amp;A762)))</f>
        <v>#REF!</v>
      </c>
      <c r="O762" t="e" cm="1">
        <f t="array" aca="1" ref="O762" ca="1">IF(OR(A762="",B762="safety"),"",INDIRECT("template!"&amp;"L"&amp;A762))</f>
        <v>#REF!</v>
      </c>
      <c r="P762" t="e" cm="1">
        <f t="array" aca="1" ref="P762" ca="1">IF(OR(A762="",B762="safety"),"",INDIRECT("template!"&amp;"M"&amp;A762))</f>
        <v>#REF!</v>
      </c>
      <c r="Q762" t="e">
        <f t="shared" ca="1" si="64"/>
        <v>#REF!</v>
      </c>
      <c r="R762" t="e">
        <f t="shared" ca="1" si="65"/>
        <v>#REF!</v>
      </c>
      <c r="S762" t="e">
        <f t="shared" ca="1" si="66"/>
        <v>#REF!</v>
      </c>
      <c r="T762" t="e">
        <f t="shared" ca="1" si="67"/>
        <v>#REF!</v>
      </c>
      <c r="U762" t="e" cm="1">
        <f t="array" aca="1" ref="U762" ca="1">IF(A762="","",IF(E762="","",IF(B762="safety",INDIRECT("template!"&amp;"P"&amp;A762),Q762+R762)))</f>
        <v>#REF!</v>
      </c>
      <c r="V762" t="e" cm="1">
        <f t="array" aca="1" ref="V762" ca="1">IF(A762="","",IF(E762="","",IF(B762="safety",INDIRECT("template!"&amp;"P"&amp;A762),S762+T762)))</f>
        <v>#REF!</v>
      </c>
      <c r="W762" t="e">
        <f ca="1">IF(A762="","",IF(E762="","",#REF!))</f>
        <v>#REF!</v>
      </c>
      <c r="X762" t="e">
        <f ca="1">IF(A762="","",IF(E762="","",#REF!))</f>
        <v>#REF!</v>
      </c>
      <c r="Y762" s="39" t="e">
        <f ca="1">IF(A762="","",IF(E762="","",#REF!))</f>
        <v>#REF!</v>
      </c>
      <c r="Z762" t="e">
        <f ca="1">IF(A762="","",IF(E762="","",#REF!))</f>
        <v>#REF!</v>
      </c>
      <c r="AA762" t="e">
        <f ca="1">IF(A762="","",IF(E762="","",#REF!))</f>
        <v>#REF!</v>
      </c>
      <c r="AB762" t="e">
        <f ca="1">IF(A762="","",IF(E762="","",#REF!))</f>
        <v>#REF!</v>
      </c>
      <c r="AC762" t="e">
        <f t="shared" ca="1" si="68"/>
        <v>#REF!</v>
      </c>
    </row>
    <row r="763" spans="1:29" x14ac:dyDescent="0.35">
      <c r="A763" t="e" cm="1">
        <f t="array" aca="1" ref="A763" ca="1">IF(A762="","",IF(OR(AND(A762+1&gt;=$AF$1,A762+1&lt;=$AF$2),AND(A762+1&gt;=$AF$6,A762+1&lt;=$AF$7),AND(A762+1&gt;=$AF$3,A762+1&lt;=$AF$4),AND(A762+1&gt;=$AF$8,A762+1&lt;=$AF$9),A762+1=$AF$5),IF(NOT(ISBLANK(INDIRECT("template!"&amp;"P"&amp;A762+1))),A762+1,IF(NOT(ISBLANK(INDIRECT("template!"&amp;"P"&amp;A762+2))),A762+2,A762+3)),IF(A762=$AF$2,$AF$3,IF(A762=$AF$4,$AF$5,IF(A762=$AF$5,$AF$6,IF(A762=$AF$7,$AF$8,""))))))</f>
        <v>#REF!</v>
      </c>
      <c r="B763" t="e">
        <f t="shared" ca="1" si="63"/>
        <v>#REF!</v>
      </c>
      <c r="C763" t="e" cm="1">
        <f t="array" aca="1" ref="C763" ca="1">IF(A763="","",IF(B763="safety","safety costs",INDIRECT("template!"&amp;"B"&amp;A763)))</f>
        <v>#REF!</v>
      </c>
      <c r="D763" t="e" cm="1">
        <f t="array" aca="1" ref="D763" ca="1">IF(OR(A763="",B763="safety"),"",INDIRECT("template!"&amp;"C"&amp;A763))</f>
        <v>#REF!</v>
      </c>
      <c r="E763" t="e" cm="1">
        <f t="array" aca="1" ref="E763" ca="1">IF(A763="","",IF(OR(A763=A762+1,A763=A762+2),E762,INDIRECT("template!"&amp;"D"&amp;A763-2)))</f>
        <v>#REF!</v>
      </c>
      <c r="F763" t="e" cm="1">
        <f t="array" aca="1" ref="F763" ca="1">IF(OR(A763="",B763="safety"),"",IF(ISBLANK(IF(A763=A762+1,F762,INDIRECT("template!"&amp;"D"&amp;A763-1))),"",IF(A763=A762+1,F762,INDIRECT("template!"&amp;"D"&amp;A763-1))))</f>
        <v>#REF!</v>
      </c>
      <c r="G763" t="e" cm="1">
        <f t="array" aca="1" ref="G763" ca="1">IF(OR(A763="",B763="safety"),"",IF(ISBLANK(INDIRECT("template!"&amp;"D"&amp;A763)),"",INDIRECT("template!"&amp;"D"&amp;A763)))</f>
        <v>#REF!</v>
      </c>
      <c r="H763" t="e" cm="1">
        <f t="array" aca="1" ref="H763" ca="1">IF(OR(A763="",B763="safety"),"",IF(ISBLANK(INDIRECT("template!"&amp;"E"&amp;A763)),"",INDIRECT("template!"&amp;"E"&amp;A763)))</f>
        <v>#REF!</v>
      </c>
      <c r="I763" t="e" cm="1">
        <f t="array" aca="1" ref="I763" ca="1">IF(OR(A763="",B763="safety"),"",IF(ISBLANK(INDIRECT("template!"&amp;"F"&amp;A763)),"",INDIRECT("template!"&amp;"F"&amp;A763)))</f>
        <v>#REF!</v>
      </c>
      <c r="J763" t="e" cm="1">
        <f t="array" aca="1" ref="J763" ca="1">IF(OR(A763="",B763="safety"),"",IF(ISBLANK(INDIRECT("template!"&amp;"G"&amp;A763)),"",INDIRECT("template!"&amp;"G"&amp;A763)))</f>
        <v>#REF!</v>
      </c>
      <c r="K763" t="e" cm="1">
        <f t="array" aca="1" ref="K763" ca="1">IF(OR(A763="",B763="safety"),"",IF(ISBLANK(INDIRECT("template!"&amp;"H"&amp;A763)),"",INDIRECT("template!"&amp;"H"&amp;A763)))</f>
        <v>#REF!</v>
      </c>
      <c r="L763" t="e" cm="1">
        <f t="array" aca="1" ref="L763" ca="1">IF(OR(A763="",B763="safety"),"",INDIRECT("template!"&amp;"I"&amp;A763))</f>
        <v>#REF!</v>
      </c>
      <c r="M763" t="e" cm="1">
        <f t="array" aca="1" ref="M763" ca="1">IF(OR(A763="",B763="safety"),"",INDIRECT("template!"&amp;"J"&amp;A763))</f>
        <v>#REF!</v>
      </c>
      <c r="N763" t="e" cm="1">
        <f t="array" aca="1" ref="N763" ca="1">IF(OR(A763="",B763="safety"),"",IF(ISBLANK(INDIRECT("template!"&amp;"K"&amp;A763)),"",INDIRECT("template!"&amp;"K"&amp;A763)))</f>
        <v>#REF!</v>
      </c>
      <c r="O763" t="e" cm="1">
        <f t="array" aca="1" ref="O763" ca="1">IF(OR(A763="",B763="safety"),"",INDIRECT("template!"&amp;"L"&amp;A763))</f>
        <v>#REF!</v>
      </c>
      <c r="P763" t="e" cm="1">
        <f t="array" aca="1" ref="P763" ca="1">IF(OR(A763="",B763="safety"),"",INDIRECT("template!"&amp;"M"&amp;A763))</f>
        <v>#REF!</v>
      </c>
      <c r="Q763" t="e">
        <f t="shared" ca="1" si="64"/>
        <v>#REF!</v>
      </c>
      <c r="R763" t="e">
        <f t="shared" ca="1" si="65"/>
        <v>#REF!</v>
      </c>
      <c r="S763" t="e">
        <f t="shared" ca="1" si="66"/>
        <v>#REF!</v>
      </c>
      <c r="T763" t="e">
        <f t="shared" ca="1" si="67"/>
        <v>#REF!</v>
      </c>
      <c r="U763" t="e" cm="1">
        <f t="array" aca="1" ref="U763" ca="1">IF(A763="","",IF(E763="","",IF(B763="safety",INDIRECT("template!"&amp;"P"&amp;A763),Q763+R763)))</f>
        <v>#REF!</v>
      </c>
      <c r="V763" t="e" cm="1">
        <f t="array" aca="1" ref="V763" ca="1">IF(A763="","",IF(E763="","",IF(B763="safety",INDIRECT("template!"&amp;"P"&amp;A763),S763+T763)))</f>
        <v>#REF!</v>
      </c>
      <c r="W763" t="e">
        <f ca="1">IF(A763="","",IF(E763="","",#REF!))</f>
        <v>#REF!</v>
      </c>
      <c r="X763" t="e">
        <f ca="1">IF(A763="","",IF(E763="","",#REF!))</f>
        <v>#REF!</v>
      </c>
      <c r="Y763" s="39" t="e">
        <f ca="1">IF(A763="","",IF(E763="","",#REF!))</f>
        <v>#REF!</v>
      </c>
      <c r="Z763" t="e">
        <f ca="1">IF(A763="","",IF(E763="","",#REF!))</f>
        <v>#REF!</v>
      </c>
      <c r="AA763" t="e">
        <f ca="1">IF(A763="","",IF(E763="","",#REF!))</f>
        <v>#REF!</v>
      </c>
      <c r="AB763" t="e">
        <f ca="1">IF(A763="","",IF(E763="","",#REF!))</f>
        <v>#REF!</v>
      </c>
      <c r="AC763" t="e">
        <f t="shared" ca="1" si="68"/>
        <v>#REF!</v>
      </c>
    </row>
    <row r="764" spans="1:29" x14ac:dyDescent="0.35">
      <c r="A764" t="e" cm="1">
        <f t="array" aca="1" ref="A764" ca="1">IF(A763="","",IF(OR(AND(A763+1&gt;=$AF$1,A763+1&lt;=$AF$2),AND(A763+1&gt;=$AF$6,A763+1&lt;=$AF$7),AND(A763+1&gt;=$AF$3,A763+1&lt;=$AF$4),AND(A763+1&gt;=$AF$8,A763+1&lt;=$AF$9),A763+1=$AF$5),IF(NOT(ISBLANK(INDIRECT("template!"&amp;"P"&amp;A763+1))),A763+1,IF(NOT(ISBLANK(INDIRECT("template!"&amp;"P"&amp;A763+2))),A763+2,A763+3)),IF(A763=$AF$2,$AF$3,IF(A763=$AF$4,$AF$5,IF(A763=$AF$5,$AF$6,IF(A763=$AF$7,$AF$8,""))))))</f>
        <v>#REF!</v>
      </c>
      <c r="B764" t="e">
        <f t="shared" ca="1" si="63"/>
        <v>#REF!</v>
      </c>
      <c r="C764" t="e" cm="1">
        <f t="array" aca="1" ref="C764" ca="1">IF(A764="","",IF(B764="safety","safety costs",INDIRECT("template!"&amp;"B"&amp;A764)))</f>
        <v>#REF!</v>
      </c>
      <c r="D764" t="e" cm="1">
        <f t="array" aca="1" ref="D764" ca="1">IF(OR(A764="",B764="safety"),"",INDIRECT("template!"&amp;"C"&amp;A764))</f>
        <v>#REF!</v>
      </c>
      <c r="E764" t="e" cm="1">
        <f t="array" aca="1" ref="E764" ca="1">IF(A764="","",IF(OR(A764=A763+1,A764=A763+2),E763,INDIRECT("template!"&amp;"D"&amp;A764-2)))</f>
        <v>#REF!</v>
      </c>
      <c r="F764" t="e" cm="1">
        <f t="array" aca="1" ref="F764" ca="1">IF(OR(A764="",B764="safety"),"",IF(ISBLANK(IF(A764=A763+1,F763,INDIRECT("template!"&amp;"D"&amp;A764-1))),"",IF(A764=A763+1,F763,INDIRECT("template!"&amp;"D"&amp;A764-1))))</f>
        <v>#REF!</v>
      </c>
      <c r="G764" t="e" cm="1">
        <f t="array" aca="1" ref="G764" ca="1">IF(OR(A764="",B764="safety"),"",IF(ISBLANK(INDIRECT("template!"&amp;"D"&amp;A764)),"",INDIRECT("template!"&amp;"D"&amp;A764)))</f>
        <v>#REF!</v>
      </c>
      <c r="H764" t="e" cm="1">
        <f t="array" aca="1" ref="H764" ca="1">IF(OR(A764="",B764="safety"),"",IF(ISBLANK(INDIRECT("template!"&amp;"E"&amp;A764)),"",INDIRECT("template!"&amp;"E"&amp;A764)))</f>
        <v>#REF!</v>
      </c>
      <c r="I764" t="e" cm="1">
        <f t="array" aca="1" ref="I764" ca="1">IF(OR(A764="",B764="safety"),"",IF(ISBLANK(INDIRECT("template!"&amp;"F"&amp;A764)),"",INDIRECT("template!"&amp;"F"&amp;A764)))</f>
        <v>#REF!</v>
      </c>
      <c r="J764" t="e" cm="1">
        <f t="array" aca="1" ref="J764" ca="1">IF(OR(A764="",B764="safety"),"",IF(ISBLANK(INDIRECT("template!"&amp;"G"&amp;A764)),"",INDIRECT("template!"&amp;"G"&amp;A764)))</f>
        <v>#REF!</v>
      </c>
      <c r="K764" t="e" cm="1">
        <f t="array" aca="1" ref="K764" ca="1">IF(OR(A764="",B764="safety"),"",IF(ISBLANK(INDIRECT("template!"&amp;"H"&amp;A764)),"",INDIRECT("template!"&amp;"H"&amp;A764)))</f>
        <v>#REF!</v>
      </c>
      <c r="L764" t="e" cm="1">
        <f t="array" aca="1" ref="L764" ca="1">IF(OR(A764="",B764="safety"),"",INDIRECT("template!"&amp;"I"&amp;A764))</f>
        <v>#REF!</v>
      </c>
      <c r="M764" t="e" cm="1">
        <f t="array" aca="1" ref="M764" ca="1">IF(OR(A764="",B764="safety"),"",INDIRECT("template!"&amp;"J"&amp;A764))</f>
        <v>#REF!</v>
      </c>
      <c r="N764" t="e" cm="1">
        <f t="array" aca="1" ref="N764" ca="1">IF(OR(A764="",B764="safety"),"",IF(ISBLANK(INDIRECT("template!"&amp;"K"&amp;A764)),"",INDIRECT("template!"&amp;"K"&amp;A764)))</f>
        <v>#REF!</v>
      </c>
      <c r="O764" t="e" cm="1">
        <f t="array" aca="1" ref="O764" ca="1">IF(OR(A764="",B764="safety"),"",INDIRECT("template!"&amp;"L"&amp;A764))</f>
        <v>#REF!</v>
      </c>
      <c r="P764" t="e" cm="1">
        <f t="array" aca="1" ref="P764" ca="1">IF(OR(A764="",B764="safety"),"",INDIRECT("template!"&amp;"M"&amp;A764))</f>
        <v>#REF!</v>
      </c>
      <c r="Q764" t="e">
        <f t="shared" ca="1" si="64"/>
        <v>#REF!</v>
      </c>
      <c r="R764" t="e">
        <f t="shared" ca="1" si="65"/>
        <v>#REF!</v>
      </c>
      <c r="S764" t="e">
        <f t="shared" ca="1" si="66"/>
        <v>#REF!</v>
      </c>
      <c r="T764" t="e">
        <f t="shared" ca="1" si="67"/>
        <v>#REF!</v>
      </c>
      <c r="U764" t="e" cm="1">
        <f t="array" aca="1" ref="U764" ca="1">IF(A764="","",IF(E764="","",IF(B764="safety",INDIRECT("template!"&amp;"P"&amp;A764),Q764+R764)))</f>
        <v>#REF!</v>
      </c>
      <c r="V764" t="e" cm="1">
        <f t="array" aca="1" ref="V764" ca="1">IF(A764="","",IF(E764="","",IF(B764="safety",INDIRECT("template!"&amp;"P"&amp;A764),S764+T764)))</f>
        <v>#REF!</v>
      </c>
      <c r="W764" t="e">
        <f ca="1">IF(A764="","",IF(E764="","",#REF!))</f>
        <v>#REF!</v>
      </c>
      <c r="X764" t="e">
        <f ca="1">IF(A764="","",IF(E764="","",#REF!))</f>
        <v>#REF!</v>
      </c>
      <c r="Y764" s="39" t="e">
        <f ca="1">IF(A764="","",IF(E764="","",#REF!))</f>
        <v>#REF!</v>
      </c>
      <c r="Z764" t="e">
        <f ca="1">IF(A764="","",IF(E764="","",#REF!))</f>
        <v>#REF!</v>
      </c>
      <c r="AA764" t="e">
        <f ca="1">IF(A764="","",IF(E764="","",#REF!))</f>
        <v>#REF!</v>
      </c>
      <c r="AB764" t="e">
        <f ca="1">IF(A764="","",IF(E764="","",#REF!))</f>
        <v>#REF!</v>
      </c>
      <c r="AC764" t="e">
        <f t="shared" ca="1" si="68"/>
        <v>#REF!</v>
      </c>
    </row>
    <row r="765" spans="1:29" x14ac:dyDescent="0.35">
      <c r="A765" t="e" cm="1">
        <f t="array" aca="1" ref="A765" ca="1">IF(A764="","",IF(OR(AND(A764+1&gt;=$AF$1,A764+1&lt;=$AF$2),AND(A764+1&gt;=$AF$6,A764+1&lt;=$AF$7),AND(A764+1&gt;=$AF$3,A764+1&lt;=$AF$4),AND(A764+1&gt;=$AF$8,A764+1&lt;=$AF$9),A764+1=$AF$5),IF(NOT(ISBLANK(INDIRECT("template!"&amp;"P"&amp;A764+1))),A764+1,IF(NOT(ISBLANK(INDIRECT("template!"&amp;"P"&amp;A764+2))),A764+2,A764+3)),IF(A764=$AF$2,$AF$3,IF(A764=$AF$4,$AF$5,IF(A764=$AF$5,$AF$6,IF(A764=$AF$7,$AF$8,""))))))</f>
        <v>#REF!</v>
      </c>
      <c r="B765" t="e">
        <f t="shared" ca="1" si="63"/>
        <v>#REF!</v>
      </c>
      <c r="C765" t="e" cm="1">
        <f t="array" aca="1" ref="C765" ca="1">IF(A765="","",IF(B765="safety","safety costs",INDIRECT("template!"&amp;"B"&amp;A765)))</f>
        <v>#REF!</v>
      </c>
      <c r="D765" t="e" cm="1">
        <f t="array" aca="1" ref="D765" ca="1">IF(OR(A765="",B765="safety"),"",INDIRECT("template!"&amp;"C"&amp;A765))</f>
        <v>#REF!</v>
      </c>
      <c r="E765" t="e" cm="1">
        <f t="array" aca="1" ref="E765" ca="1">IF(A765="","",IF(OR(A765=A764+1,A765=A764+2),E764,INDIRECT("template!"&amp;"D"&amp;A765-2)))</f>
        <v>#REF!</v>
      </c>
      <c r="F765" t="e" cm="1">
        <f t="array" aca="1" ref="F765" ca="1">IF(OR(A765="",B765="safety"),"",IF(ISBLANK(IF(A765=A764+1,F764,INDIRECT("template!"&amp;"D"&amp;A765-1))),"",IF(A765=A764+1,F764,INDIRECT("template!"&amp;"D"&amp;A765-1))))</f>
        <v>#REF!</v>
      </c>
      <c r="G765" t="e" cm="1">
        <f t="array" aca="1" ref="G765" ca="1">IF(OR(A765="",B765="safety"),"",IF(ISBLANK(INDIRECT("template!"&amp;"D"&amp;A765)),"",INDIRECT("template!"&amp;"D"&amp;A765)))</f>
        <v>#REF!</v>
      </c>
      <c r="H765" t="e" cm="1">
        <f t="array" aca="1" ref="H765" ca="1">IF(OR(A765="",B765="safety"),"",IF(ISBLANK(INDIRECT("template!"&amp;"E"&amp;A765)),"",INDIRECT("template!"&amp;"E"&amp;A765)))</f>
        <v>#REF!</v>
      </c>
      <c r="I765" t="e" cm="1">
        <f t="array" aca="1" ref="I765" ca="1">IF(OR(A765="",B765="safety"),"",IF(ISBLANK(INDIRECT("template!"&amp;"F"&amp;A765)),"",INDIRECT("template!"&amp;"F"&amp;A765)))</f>
        <v>#REF!</v>
      </c>
      <c r="J765" t="e" cm="1">
        <f t="array" aca="1" ref="J765" ca="1">IF(OR(A765="",B765="safety"),"",IF(ISBLANK(INDIRECT("template!"&amp;"G"&amp;A765)),"",INDIRECT("template!"&amp;"G"&amp;A765)))</f>
        <v>#REF!</v>
      </c>
      <c r="K765" t="e" cm="1">
        <f t="array" aca="1" ref="K765" ca="1">IF(OR(A765="",B765="safety"),"",IF(ISBLANK(INDIRECT("template!"&amp;"H"&amp;A765)),"",INDIRECT("template!"&amp;"H"&amp;A765)))</f>
        <v>#REF!</v>
      </c>
      <c r="L765" t="e" cm="1">
        <f t="array" aca="1" ref="L765" ca="1">IF(OR(A765="",B765="safety"),"",INDIRECT("template!"&amp;"I"&amp;A765))</f>
        <v>#REF!</v>
      </c>
      <c r="M765" t="e" cm="1">
        <f t="array" aca="1" ref="M765" ca="1">IF(OR(A765="",B765="safety"),"",INDIRECT("template!"&amp;"J"&amp;A765))</f>
        <v>#REF!</v>
      </c>
      <c r="N765" t="e" cm="1">
        <f t="array" aca="1" ref="N765" ca="1">IF(OR(A765="",B765="safety"),"",IF(ISBLANK(INDIRECT("template!"&amp;"K"&amp;A765)),"",INDIRECT("template!"&amp;"K"&amp;A765)))</f>
        <v>#REF!</v>
      </c>
      <c r="O765" t="e" cm="1">
        <f t="array" aca="1" ref="O765" ca="1">IF(OR(A765="",B765="safety"),"",INDIRECT("template!"&amp;"L"&amp;A765))</f>
        <v>#REF!</v>
      </c>
      <c r="P765" t="e" cm="1">
        <f t="array" aca="1" ref="P765" ca="1">IF(OR(A765="",B765="safety"),"",INDIRECT("template!"&amp;"M"&amp;A765))</f>
        <v>#REF!</v>
      </c>
      <c r="Q765" t="e">
        <f t="shared" ca="1" si="64"/>
        <v>#REF!</v>
      </c>
      <c r="R765" t="e">
        <f t="shared" ca="1" si="65"/>
        <v>#REF!</v>
      </c>
      <c r="S765" t="e">
        <f t="shared" ca="1" si="66"/>
        <v>#REF!</v>
      </c>
      <c r="T765" t="e">
        <f t="shared" ca="1" si="67"/>
        <v>#REF!</v>
      </c>
      <c r="U765" t="e" cm="1">
        <f t="array" aca="1" ref="U765" ca="1">IF(A765="","",IF(E765="","",IF(B765="safety",INDIRECT("template!"&amp;"P"&amp;A765),Q765+R765)))</f>
        <v>#REF!</v>
      </c>
      <c r="V765" t="e" cm="1">
        <f t="array" aca="1" ref="V765" ca="1">IF(A765="","",IF(E765="","",IF(B765="safety",INDIRECT("template!"&amp;"P"&amp;A765),S765+T765)))</f>
        <v>#REF!</v>
      </c>
      <c r="W765" t="e">
        <f ca="1">IF(A765="","",IF(E765="","",#REF!))</f>
        <v>#REF!</v>
      </c>
      <c r="X765" t="e">
        <f ca="1">IF(A765="","",IF(E765="","",#REF!))</f>
        <v>#REF!</v>
      </c>
      <c r="Y765" s="39" t="e">
        <f ca="1">IF(A765="","",IF(E765="","",#REF!))</f>
        <v>#REF!</v>
      </c>
      <c r="Z765" t="e">
        <f ca="1">IF(A765="","",IF(E765="","",#REF!))</f>
        <v>#REF!</v>
      </c>
      <c r="AA765" t="e">
        <f ca="1">IF(A765="","",IF(E765="","",#REF!))</f>
        <v>#REF!</v>
      </c>
      <c r="AB765" t="e">
        <f ca="1">IF(A765="","",IF(E765="","",#REF!))</f>
        <v>#REF!</v>
      </c>
      <c r="AC765" t="e">
        <f t="shared" ca="1" si="68"/>
        <v>#REF!</v>
      </c>
    </row>
    <row r="766" spans="1:29" x14ac:dyDescent="0.35">
      <c r="A766" t="e" cm="1">
        <f t="array" aca="1" ref="A766" ca="1">IF(A765="","",IF(OR(AND(A765+1&gt;=$AF$1,A765+1&lt;=$AF$2),AND(A765+1&gt;=$AF$6,A765+1&lt;=$AF$7),AND(A765+1&gt;=$AF$3,A765+1&lt;=$AF$4),AND(A765+1&gt;=$AF$8,A765+1&lt;=$AF$9),A765+1=$AF$5),IF(NOT(ISBLANK(INDIRECT("template!"&amp;"P"&amp;A765+1))),A765+1,IF(NOT(ISBLANK(INDIRECT("template!"&amp;"P"&amp;A765+2))),A765+2,A765+3)),IF(A765=$AF$2,$AF$3,IF(A765=$AF$4,$AF$5,IF(A765=$AF$5,$AF$6,IF(A765=$AF$7,$AF$8,""))))))</f>
        <v>#REF!</v>
      </c>
      <c r="B766" t="e">
        <f t="shared" ca="1" si="63"/>
        <v>#REF!</v>
      </c>
      <c r="C766" t="e" cm="1">
        <f t="array" aca="1" ref="C766" ca="1">IF(A766="","",IF(B766="safety","safety costs",INDIRECT("template!"&amp;"B"&amp;A766)))</f>
        <v>#REF!</v>
      </c>
      <c r="D766" t="e" cm="1">
        <f t="array" aca="1" ref="D766" ca="1">IF(OR(A766="",B766="safety"),"",INDIRECT("template!"&amp;"C"&amp;A766))</f>
        <v>#REF!</v>
      </c>
      <c r="E766" t="e" cm="1">
        <f t="array" aca="1" ref="E766" ca="1">IF(A766="","",IF(OR(A766=A765+1,A766=A765+2),E765,INDIRECT("template!"&amp;"D"&amp;A766-2)))</f>
        <v>#REF!</v>
      </c>
      <c r="F766" t="e" cm="1">
        <f t="array" aca="1" ref="F766" ca="1">IF(OR(A766="",B766="safety"),"",IF(ISBLANK(IF(A766=A765+1,F765,INDIRECT("template!"&amp;"D"&amp;A766-1))),"",IF(A766=A765+1,F765,INDIRECT("template!"&amp;"D"&amp;A766-1))))</f>
        <v>#REF!</v>
      </c>
      <c r="G766" t="e" cm="1">
        <f t="array" aca="1" ref="G766" ca="1">IF(OR(A766="",B766="safety"),"",IF(ISBLANK(INDIRECT("template!"&amp;"D"&amp;A766)),"",INDIRECT("template!"&amp;"D"&amp;A766)))</f>
        <v>#REF!</v>
      </c>
      <c r="H766" t="e" cm="1">
        <f t="array" aca="1" ref="H766" ca="1">IF(OR(A766="",B766="safety"),"",IF(ISBLANK(INDIRECT("template!"&amp;"E"&amp;A766)),"",INDIRECT("template!"&amp;"E"&amp;A766)))</f>
        <v>#REF!</v>
      </c>
      <c r="I766" t="e" cm="1">
        <f t="array" aca="1" ref="I766" ca="1">IF(OR(A766="",B766="safety"),"",IF(ISBLANK(INDIRECT("template!"&amp;"F"&amp;A766)),"",INDIRECT("template!"&amp;"F"&amp;A766)))</f>
        <v>#REF!</v>
      </c>
      <c r="J766" t="e" cm="1">
        <f t="array" aca="1" ref="J766" ca="1">IF(OR(A766="",B766="safety"),"",IF(ISBLANK(INDIRECT("template!"&amp;"G"&amp;A766)),"",INDIRECT("template!"&amp;"G"&amp;A766)))</f>
        <v>#REF!</v>
      </c>
      <c r="K766" t="e" cm="1">
        <f t="array" aca="1" ref="K766" ca="1">IF(OR(A766="",B766="safety"),"",IF(ISBLANK(INDIRECT("template!"&amp;"H"&amp;A766)),"",INDIRECT("template!"&amp;"H"&amp;A766)))</f>
        <v>#REF!</v>
      </c>
      <c r="L766" t="e" cm="1">
        <f t="array" aca="1" ref="L766" ca="1">IF(OR(A766="",B766="safety"),"",INDIRECT("template!"&amp;"I"&amp;A766))</f>
        <v>#REF!</v>
      </c>
      <c r="M766" t="e" cm="1">
        <f t="array" aca="1" ref="M766" ca="1">IF(OR(A766="",B766="safety"),"",INDIRECT("template!"&amp;"J"&amp;A766))</f>
        <v>#REF!</v>
      </c>
      <c r="N766" t="e" cm="1">
        <f t="array" aca="1" ref="N766" ca="1">IF(OR(A766="",B766="safety"),"",IF(ISBLANK(INDIRECT("template!"&amp;"K"&amp;A766)),"",INDIRECT("template!"&amp;"K"&amp;A766)))</f>
        <v>#REF!</v>
      </c>
      <c r="O766" t="e" cm="1">
        <f t="array" aca="1" ref="O766" ca="1">IF(OR(A766="",B766="safety"),"",INDIRECT("template!"&amp;"L"&amp;A766))</f>
        <v>#REF!</v>
      </c>
      <c r="P766" t="e" cm="1">
        <f t="array" aca="1" ref="P766" ca="1">IF(OR(A766="",B766="safety"),"",INDIRECT("template!"&amp;"M"&amp;A766))</f>
        <v>#REF!</v>
      </c>
      <c r="Q766" t="e">
        <f t="shared" ca="1" si="64"/>
        <v>#REF!</v>
      </c>
      <c r="R766" t="e">
        <f t="shared" ca="1" si="65"/>
        <v>#REF!</v>
      </c>
      <c r="S766" t="e">
        <f t="shared" ca="1" si="66"/>
        <v>#REF!</v>
      </c>
      <c r="T766" t="e">
        <f t="shared" ca="1" si="67"/>
        <v>#REF!</v>
      </c>
      <c r="U766" t="e" cm="1">
        <f t="array" aca="1" ref="U766" ca="1">IF(A766="","",IF(E766="","",IF(B766="safety",INDIRECT("template!"&amp;"P"&amp;A766),Q766+R766)))</f>
        <v>#REF!</v>
      </c>
      <c r="V766" t="e" cm="1">
        <f t="array" aca="1" ref="V766" ca="1">IF(A766="","",IF(E766="","",IF(B766="safety",INDIRECT("template!"&amp;"P"&amp;A766),S766+T766)))</f>
        <v>#REF!</v>
      </c>
      <c r="W766" t="e">
        <f ca="1">IF(A766="","",IF(E766="","",#REF!))</f>
        <v>#REF!</v>
      </c>
      <c r="X766" t="e">
        <f ca="1">IF(A766="","",IF(E766="","",#REF!))</f>
        <v>#REF!</v>
      </c>
      <c r="Y766" s="39" t="e">
        <f ca="1">IF(A766="","",IF(E766="","",#REF!))</f>
        <v>#REF!</v>
      </c>
      <c r="Z766" t="e">
        <f ca="1">IF(A766="","",IF(E766="","",#REF!))</f>
        <v>#REF!</v>
      </c>
      <c r="AA766" t="e">
        <f ca="1">IF(A766="","",IF(E766="","",#REF!))</f>
        <v>#REF!</v>
      </c>
      <c r="AB766" t="e">
        <f ca="1">IF(A766="","",IF(E766="","",#REF!))</f>
        <v>#REF!</v>
      </c>
      <c r="AC766" t="e">
        <f t="shared" ca="1" si="68"/>
        <v>#REF!</v>
      </c>
    </row>
    <row r="767" spans="1:29" x14ac:dyDescent="0.35">
      <c r="A767" t="e" cm="1">
        <f t="array" aca="1" ref="A767" ca="1">IF(A766="","",IF(OR(AND(A766+1&gt;=$AF$1,A766+1&lt;=$AF$2),AND(A766+1&gt;=$AF$6,A766+1&lt;=$AF$7),AND(A766+1&gt;=$AF$3,A766+1&lt;=$AF$4),AND(A766+1&gt;=$AF$8,A766+1&lt;=$AF$9),A766+1=$AF$5),IF(NOT(ISBLANK(INDIRECT("template!"&amp;"P"&amp;A766+1))),A766+1,IF(NOT(ISBLANK(INDIRECT("template!"&amp;"P"&amp;A766+2))),A766+2,A766+3)),IF(A766=$AF$2,$AF$3,IF(A766=$AF$4,$AF$5,IF(A766=$AF$5,$AF$6,IF(A766=$AF$7,$AF$8,""))))))</f>
        <v>#REF!</v>
      </c>
      <c r="B767" t="e">
        <f t="shared" ca="1" si="63"/>
        <v>#REF!</v>
      </c>
      <c r="C767" t="e" cm="1">
        <f t="array" aca="1" ref="C767" ca="1">IF(A767="","",IF(B767="safety","safety costs",INDIRECT("template!"&amp;"B"&amp;A767)))</f>
        <v>#REF!</v>
      </c>
      <c r="D767" t="e" cm="1">
        <f t="array" aca="1" ref="D767" ca="1">IF(OR(A767="",B767="safety"),"",INDIRECT("template!"&amp;"C"&amp;A767))</f>
        <v>#REF!</v>
      </c>
      <c r="E767" t="e" cm="1">
        <f t="array" aca="1" ref="E767" ca="1">IF(A767="","",IF(OR(A767=A766+1,A767=A766+2),E766,INDIRECT("template!"&amp;"D"&amp;A767-2)))</f>
        <v>#REF!</v>
      </c>
      <c r="F767" t="e" cm="1">
        <f t="array" aca="1" ref="F767" ca="1">IF(OR(A767="",B767="safety"),"",IF(ISBLANK(IF(A767=A766+1,F766,INDIRECT("template!"&amp;"D"&amp;A767-1))),"",IF(A767=A766+1,F766,INDIRECT("template!"&amp;"D"&amp;A767-1))))</f>
        <v>#REF!</v>
      </c>
      <c r="G767" t="e" cm="1">
        <f t="array" aca="1" ref="G767" ca="1">IF(OR(A767="",B767="safety"),"",IF(ISBLANK(INDIRECT("template!"&amp;"D"&amp;A767)),"",INDIRECT("template!"&amp;"D"&amp;A767)))</f>
        <v>#REF!</v>
      </c>
      <c r="H767" t="e" cm="1">
        <f t="array" aca="1" ref="H767" ca="1">IF(OR(A767="",B767="safety"),"",IF(ISBLANK(INDIRECT("template!"&amp;"E"&amp;A767)),"",INDIRECT("template!"&amp;"E"&amp;A767)))</f>
        <v>#REF!</v>
      </c>
      <c r="I767" t="e" cm="1">
        <f t="array" aca="1" ref="I767" ca="1">IF(OR(A767="",B767="safety"),"",IF(ISBLANK(INDIRECT("template!"&amp;"F"&amp;A767)),"",INDIRECT("template!"&amp;"F"&amp;A767)))</f>
        <v>#REF!</v>
      </c>
      <c r="J767" t="e" cm="1">
        <f t="array" aca="1" ref="J767" ca="1">IF(OR(A767="",B767="safety"),"",IF(ISBLANK(INDIRECT("template!"&amp;"G"&amp;A767)),"",INDIRECT("template!"&amp;"G"&amp;A767)))</f>
        <v>#REF!</v>
      </c>
      <c r="K767" t="e" cm="1">
        <f t="array" aca="1" ref="K767" ca="1">IF(OR(A767="",B767="safety"),"",IF(ISBLANK(INDIRECT("template!"&amp;"H"&amp;A767)),"",INDIRECT("template!"&amp;"H"&amp;A767)))</f>
        <v>#REF!</v>
      </c>
      <c r="L767" t="e" cm="1">
        <f t="array" aca="1" ref="L767" ca="1">IF(OR(A767="",B767="safety"),"",INDIRECT("template!"&amp;"I"&amp;A767))</f>
        <v>#REF!</v>
      </c>
      <c r="M767" t="e" cm="1">
        <f t="array" aca="1" ref="M767" ca="1">IF(OR(A767="",B767="safety"),"",INDIRECT("template!"&amp;"J"&amp;A767))</f>
        <v>#REF!</v>
      </c>
      <c r="N767" t="e" cm="1">
        <f t="array" aca="1" ref="N767" ca="1">IF(OR(A767="",B767="safety"),"",IF(ISBLANK(INDIRECT("template!"&amp;"K"&amp;A767)),"",INDIRECT("template!"&amp;"K"&amp;A767)))</f>
        <v>#REF!</v>
      </c>
      <c r="O767" t="e" cm="1">
        <f t="array" aca="1" ref="O767" ca="1">IF(OR(A767="",B767="safety"),"",INDIRECT("template!"&amp;"L"&amp;A767))</f>
        <v>#REF!</v>
      </c>
      <c r="P767" t="e" cm="1">
        <f t="array" aca="1" ref="P767" ca="1">IF(OR(A767="",B767="safety"),"",INDIRECT("template!"&amp;"M"&amp;A767))</f>
        <v>#REF!</v>
      </c>
      <c r="Q767" t="e">
        <f t="shared" ca="1" si="64"/>
        <v>#REF!</v>
      </c>
      <c r="R767" t="e">
        <f t="shared" ca="1" si="65"/>
        <v>#REF!</v>
      </c>
      <c r="S767" t="e">
        <f t="shared" ca="1" si="66"/>
        <v>#REF!</v>
      </c>
      <c r="T767" t="e">
        <f t="shared" ca="1" si="67"/>
        <v>#REF!</v>
      </c>
      <c r="U767" t="e" cm="1">
        <f t="array" aca="1" ref="U767" ca="1">IF(A767="","",IF(E767="","",IF(B767="safety",INDIRECT("template!"&amp;"P"&amp;A767),Q767+R767)))</f>
        <v>#REF!</v>
      </c>
      <c r="V767" t="e" cm="1">
        <f t="array" aca="1" ref="V767" ca="1">IF(A767="","",IF(E767="","",IF(B767="safety",INDIRECT("template!"&amp;"P"&amp;A767),S767+T767)))</f>
        <v>#REF!</v>
      </c>
      <c r="W767" t="e">
        <f ca="1">IF(A767="","",IF(E767="","",#REF!))</f>
        <v>#REF!</v>
      </c>
      <c r="X767" t="e">
        <f ca="1">IF(A767="","",IF(E767="","",#REF!))</f>
        <v>#REF!</v>
      </c>
      <c r="Y767" s="39" t="e">
        <f ca="1">IF(A767="","",IF(E767="","",#REF!))</f>
        <v>#REF!</v>
      </c>
      <c r="Z767" t="e">
        <f ca="1">IF(A767="","",IF(E767="","",#REF!))</f>
        <v>#REF!</v>
      </c>
      <c r="AA767" t="e">
        <f ca="1">IF(A767="","",IF(E767="","",#REF!))</f>
        <v>#REF!</v>
      </c>
      <c r="AB767" t="e">
        <f ca="1">IF(A767="","",IF(E767="","",#REF!))</f>
        <v>#REF!</v>
      </c>
      <c r="AC767" t="e">
        <f t="shared" ca="1" si="68"/>
        <v>#REF!</v>
      </c>
    </row>
    <row r="768" spans="1:29" x14ac:dyDescent="0.35">
      <c r="A768" t="e" cm="1">
        <f t="array" aca="1" ref="A768" ca="1">IF(A767="","",IF(OR(AND(A767+1&gt;=$AF$1,A767+1&lt;=$AF$2),AND(A767+1&gt;=$AF$6,A767+1&lt;=$AF$7),AND(A767+1&gt;=$AF$3,A767+1&lt;=$AF$4),AND(A767+1&gt;=$AF$8,A767+1&lt;=$AF$9),A767+1=$AF$5),IF(NOT(ISBLANK(INDIRECT("template!"&amp;"P"&amp;A767+1))),A767+1,IF(NOT(ISBLANK(INDIRECT("template!"&amp;"P"&amp;A767+2))),A767+2,A767+3)),IF(A767=$AF$2,$AF$3,IF(A767=$AF$4,$AF$5,IF(A767=$AF$5,$AF$6,IF(A767=$AF$7,$AF$8,""))))))</f>
        <v>#REF!</v>
      </c>
      <c r="B768" t="e">
        <f t="shared" ca="1" si="63"/>
        <v>#REF!</v>
      </c>
      <c r="C768" t="e" cm="1">
        <f t="array" aca="1" ref="C768" ca="1">IF(A768="","",IF(B768="safety","safety costs",INDIRECT("template!"&amp;"B"&amp;A768)))</f>
        <v>#REF!</v>
      </c>
      <c r="D768" t="e" cm="1">
        <f t="array" aca="1" ref="D768" ca="1">IF(OR(A768="",B768="safety"),"",INDIRECT("template!"&amp;"C"&amp;A768))</f>
        <v>#REF!</v>
      </c>
      <c r="E768" t="e" cm="1">
        <f t="array" aca="1" ref="E768" ca="1">IF(A768="","",IF(OR(A768=A767+1,A768=A767+2),E767,INDIRECT("template!"&amp;"D"&amp;A768-2)))</f>
        <v>#REF!</v>
      </c>
      <c r="F768" t="e" cm="1">
        <f t="array" aca="1" ref="F768" ca="1">IF(OR(A768="",B768="safety"),"",IF(ISBLANK(IF(A768=A767+1,F767,INDIRECT("template!"&amp;"D"&amp;A768-1))),"",IF(A768=A767+1,F767,INDIRECT("template!"&amp;"D"&amp;A768-1))))</f>
        <v>#REF!</v>
      </c>
      <c r="G768" t="e" cm="1">
        <f t="array" aca="1" ref="G768" ca="1">IF(OR(A768="",B768="safety"),"",IF(ISBLANK(INDIRECT("template!"&amp;"D"&amp;A768)),"",INDIRECT("template!"&amp;"D"&amp;A768)))</f>
        <v>#REF!</v>
      </c>
      <c r="H768" t="e" cm="1">
        <f t="array" aca="1" ref="H768" ca="1">IF(OR(A768="",B768="safety"),"",IF(ISBLANK(INDIRECT("template!"&amp;"E"&amp;A768)),"",INDIRECT("template!"&amp;"E"&amp;A768)))</f>
        <v>#REF!</v>
      </c>
      <c r="I768" t="e" cm="1">
        <f t="array" aca="1" ref="I768" ca="1">IF(OR(A768="",B768="safety"),"",IF(ISBLANK(INDIRECT("template!"&amp;"F"&amp;A768)),"",INDIRECT("template!"&amp;"F"&amp;A768)))</f>
        <v>#REF!</v>
      </c>
      <c r="J768" t="e" cm="1">
        <f t="array" aca="1" ref="J768" ca="1">IF(OR(A768="",B768="safety"),"",IF(ISBLANK(INDIRECT("template!"&amp;"G"&amp;A768)),"",INDIRECT("template!"&amp;"G"&amp;A768)))</f>
        <v>#REF!</v>
      </c>
      <c r="K768" t="e" cm="1">
        <f t="array" aca="1" ref="K768" ca="1">IF(OR(A768="",B768="safety"),"",IF(ISBLANK(INDIRECT("template!"&amp;"H"&amp;A768)),"",INDIRECT("template!"&amp;"H"&amp;A768)))</f>
        <v>#REF!</v>
      </c>
      <c r="L768" t="e" cm="1">
        <f t="array" aca="1" ref="L768" ca="1">IF(OR(A768="",B768="safety"),"",INDIRECT("template!"&amp;"I"&amp;A768))</f>
        <v>#REF!</v>
      </c>
      <c r="M768" t="e" cm="1">
        <f t="array" aca="1" ref="M768" ca="1">IF(OR(A768="",B768="safety"),"",INDIRECT("template!"&amp;"J"&amp;A768))</f>
        <v>#REF!</v>
      </c>
      <c r="N768" t="e" cm="1">
        <f t="array" aca="1" ref="N768" ca="1">IF(OR(A768="",B768="safety"),"",IF(ISBLANK(INDIRECT("template!"&amp;"K"&amp;A768)),"",INDIRECT("template!"&amp;"K"&amp;A768)))</f>
        <v>#REF!</v>
      </c>
      <c r="O768" t="e" cm="1">
        <f t="array" aca="1" ref="O768" ca="1">IF(OR(A768="",B768="safety"),"",INDIRECT("template!"&amp;"L"&amp;A768))</f>
        <v>#REF!</v>
      </c>
      <c r="P768" t="e" cm="1">
        <f t="array" aca="1" ref="P768" ca="1">IF(OR(A768="",B768="safety"),"",INDIRECT("template!"&amp;"M"&amp;A768))</f>
        <v>#REF!</v>
      </c>
      <c r="Q768" t="e">
        <f t="shared" ca="1" si="64"/>
        <v>#REF!</v>
      </c>
      <c r="R768" t="e">
        <f t="shared" ca="1" si="65"/>
        <v>#REF!</v>
      </c>
      <c r="S768" t="e">
        <f t="shared" ca="1" si="66"/>
        <v>#REF!</v>
      </c>
      <c r="T768" t="e">
        <f t="shared" ca="1" si="67"/>
        <v>#REF!</v>
      </c>
      <c r="U768" t="e" cm="1">
        <f t="array" aca="1" ref="U768" ca="1">IF(A768="","",IF(E768="","",IF(B768="safety",INDIRECT("template!"&amp;"P"&amp;A768),Q768+R768)))</f>
        <v>#REF!</v>
      </c>
      <c r="V768" t="e" cm="1">
        <f t="array" aca="1" ref="V768" ca="1">IF(A768="","",IF(E768="","",IF(B768="safety",INDIRECT("template!"&amp;"P"&amp;A768),S768+T768)))</f>
        <v>#REF!</v>
      </c>
      <c r="W768" t="e">
        <f ca="1">IF(A768="","",IF(E768="","",#REF!))</f>
        <v>#REF!</v>
      </c>
      <c r="X768" t="e">
        <f ca="1">IF(A768="","",IF(E768="","",#REF!))</f>
        <v>#REF!</v>
      </c>
      <c r="Y768" s="39" t="e">
        <f ca="1">IF(A768="","",IF(E768="","",#REF!))</f>
        <v>#REF!</v>
      </c>
      <c r="Z768" t="e">
        <f ca="1">IF(A768="","",IF(E768="","",#REF!))</f>
        <v>#REF!</v>
      </c>
      <c r="AA768" t="e">
        <f ca="1">IF(A768="","",IF(E768="","",#REF!))</f>
        <v>#REF!</v>
      </c>
      <c r="AB768" t="e">
        <f ca="1">IF(A768="","",IF(E768="","",#REF!))</f>
        <v>#REF!</v>
      </c>
      <c r="AC768" t="e">
        <f t="shared" ca="1" si="68"/>
        <v>#REF!</v>
      </c>
    </row>
    <row r="769" spans="1:29" x14ac:dyDescent="0.35">
      <c r="A769" t="e" cm="1">
        <f t="array" aca="1" ref="A769" ca="1">IF(A768="","",IF(OR(AND(A768+1&gt;=$AF$1,A768+1&lt;=$AF$2),AND(A768+1&gt;=$AF$6,A768+1&lt;=$AF$7),AND(A768+1&gt;=$AF$3,A768+1&lt;=$AF$4),AND(A768+1&gt;=$AF$8,A768+1&lt;=$AF$9),A768+1=$AF$5),IF(NOT(ISBLANK(INDIRECT("template!"&amp;"P"&amp;A768+1))),A768+1,IF(NOT(ISBLANK(INDIRECT("template!"&amp;"P"&amp;A768+2))),A768+2,A768+3)),IF(A768=$AF$2,$AF$3,IF(A768=$AF$4,$AF$5,IF(A768=$AF$5,$AF$6,IF(A768=$AF$7,$AF$8,""))))))</f>
        <v>#REF!</v>
      </c>
      <c r="B769" t="e">
        <f t="shared" ca="1" si="63"/>
        <v>#REF!</v>
      </c>
      <c r="C769" t="e" cm="1">
        <f t="array" aca="1" ref="C769" ca="1">IF(A769="","",IF(B769="safety","safety costs",INDIRECT("template!"&amp;"B"&amp;A769)))</f>
        <v>#REF!</v>
      </c>
      <c r="D769" t="e" cm="1">
        <f t="array" aca="1" ref="D769" ca="1">IF(OR(A769="",B769="safety"),"",INDIRECT("template!"&amp;"C"&amp;A769))</f>
        <v>#REF!</v>
      </c>
      <c r="E769" t="e" cm="1">
        <f t="array" aca="1" ref="E769" ca="1">IF(A769="","",IF(OR(A769=A768+1,A769=A768+2),E768,INDIRECT("template!"&amp;"D"&amp;A769-2)))</f>
        <v>#REF!</v>
      </c>
      <c r="F769" t="e" cm="1">
        <f t="array" aca="1" ref="F769" ca="1">IF(OR(A769="",B769="safety"),"",IF(ISBLANK(IF(A769=A768+1,F768,INDIRECT("template!"&amp;"D"&amp;A769-1))),"",IF(A769=A768+1,F768,INDIRECT("template!"&amp;"D"&amp;A769-1))))</f>
        <v>#REF!</v>
      </c>
      <c r="G769" t="e" cm="1">
        <f t="array" aca="1" ref="G769" ca="1">IF(OR(A769="",B769="safety"),"",IF(ISBLANK(INDIRECT("template!"&amp;"D"&amp;A769)),"",INDIRECT("template!"&amp;"D"&amp;A769)))</f>
        <v>#REF!</v>
      </c>
      <c r="H769" t="e" cm="1">
        <f t="array" aca="1" ref="H769" ca="1">IF(OR(A769="",B769="safety"),"",IF(ISBLANK(INDIRECT("template!"&amp;"E"&amp;A769)),"",INDIRECT("template!"&amp;"E"&amp;A769)))</f>
        <v>#REF!</v>
      </c>
      <c r="I769" t="e" cm="1">
        <f t="array" aca="1" ref="I769" ca="1">IF(OR(A769="",B769="safety"),"",IF(ISBLANK(INDIRECT("template!"&amp;"F"&amp;A769)),"",INDIRECT("template!"&amp;"F"&amp;A769)))</f>
        <v>#REF!</v>
      </c>
      <c r="J769" t="e" cm="1">
        <f t="array" aca="1" ref="J769" ca="1">IF(OR(A769="",B769="safety"),"",IF(ISBLANK(INDIRECT("template!"&amp;"G"&amp;A769)),"",INDIRECT("template!"&amp;"G"&amp;A769)))</f>
        <v>#REF!</v>
      </c>
      <c r="K769" t="e" cm="1">
        <f t="array" aca="1" ref="K769" ca="1">IF(OR(A769="",B769="safety"),"",IF(ISBLANK(INDIRECT("template!"&amp;"H"&amp;A769)),"",INDIRECT("template!"&amp;"H"&amp;A769)))</f>
        <v>#REF!</v>
      </c>
      <c r="L769" t="e" cm="1">
        <f t="array" aca="1" ref="L769" ca="1">IF(OR(A769="",B769="safety"),"",INDIRECT("template!"&amp;"I"&amp;A769))</f>
        <v>#REF!</v>
      </c>
      <c r="M769" t="e" cm="1">
        <f t="array" aca="1" ref="M769" ca="1">IF(OR(A769="",B769="safety"),"",INDIRECT("template!"&amp;"J"&amp;A769))</f>
        <v>#REF!</v>
      </c>
      <c r="N769" t="e" cm="1">
        <f t="array" aca="1" ref="N769" ca="1">IF(OR(A769="",B769="safety"),"",IF(ISBLANK(INDIRECT("template!"&amp;"K"&amp;A769)),"",INDIRECT("template!"&amp;"K"&amp;A769)))</f>
        <v>#REF!</v>
      </c>
      <c r="O769" t="e" cm="1">
        <f t="array" aca="1" ref="O769" ca="1">IF(OR(A769="",B769="safety"),"",INDIRECT("template!"&amp;"L"&amp;A769))</f>
        <v>#REF!</v>
      </c>
      <c r="P769" t="e" cm="1">
        <f t="array" aca="1" ref="P769" ca="1">IF(OR(A769="",B769="safety"),"",INDIRECT("template!"&amp;"M"&amp;A769))</f>
        <v>#REF!</v>
      </c>
      <c r="Q769" t="e">
        <f t="shared" ca="1" si="64"/>
        <v>#REF!</v>
      </c>
      <c r="R769" t="e">
        <f t="shared" ca="1" si="65"/>
        <v>#REF!</v>
      </c>
      <c r="S769" t="e">
        <f t="shared" ca="1" si="66"/>
        <v>#REF!</v>
      </c>
      <c r="T769" t="e">
        <f t="shared" ca="1" si="67"/>
        <v>#REF!</v>
      </c>
      <c r="U769" t="e" cm="1">
        <f t="array" aca="1" ref="U769" ca="1">IF(A769="","",IF(E769="","",IF(B769="safety",INDIRECT("template!"&amp;"P"&amp;A769),Q769+R769)))</f>
        <v>#REF!</v>
      </c>
      <c r="V769" t="e" cm="1">
        <f t="array" aca="1" ref="V769" ca="1">IF(A769="","",IF(E769="","",IF(B769="safety",INDIRECT("template!"&amp;"P"&amp;A769),S769+T769)))</f>
        <v>#REF!</v>
      </c>
      <c r="W769" t="e">
        <f ca="1">IF(A769="","",IF(E769="","",#REF!))</f>
        <v>#REF!</v>
      </c>
      <c r="X769" t="e">
        <f ca="1">IF(A769="","",IF(E769="","",#REF!))</f>
        <v>#REF!</v>
      </c>
      <c r="Y769" s="39" t="e">
        <f ca="1">IF(A769="","",IF(E769="","",#REF!))</f>
        <v>#REF!</v>
      </c>
      <c r="Z769" t="e">
        <f ca="1">IF(A769="","",IF(E769="","",#REF!))</f>
        <v>#REF!</v>
      </c>
      <c r="AA769" t="e">
        <f ca="1">IF(A769="","",IF(E769="","",#REF!))</f>
        <v>#REF!</v>
      </c>
      <c r="AB769" t="e">
        <f ca="1">IF(A769="","",IF(E769="","",#REF!))</f>
        <v>#REF!</v>
      </c>
      <c r="AC769" t="e">
        <f t="shared" ca="1" si="68"/>
        <v>#REF!</v>
      </c>
    </row>
    <row r="770" spans="1:29" x14ac:dyDescent="0.35">
      <c r="A770" t="e" cm="1">
        <f t="array" aca="1" ref="A770" ca="1">IF(A769="","",IF(OR(AND(A769+1&gt;=$AF$1,A769+1&lt;=$AF$2),AND(A769+1&gt;=$AF$6,A769+1&lt;=$AF$7),AND(A769+1&gt;=$AF$3,A769+1&lt;=$AF$4),AND(A769+1&gt;=$AF$8,A769+1&lt;=$AF$9),A769+1=$AF$5),IF(NOT(ISBLANK(INDIRECT("template!"&amp;"P"&amp;A769+1))),A769+1,IF(NOT(ISBLANK(INDIRECT("template!"&amp;"P"&amp;A769+2))),A769+2,A769+3)),IF(A769=$AF$2,$AF$3,IF(A769=$AF$4,$AF$5,IF(A769=$AF$5,$AF$6,IF(A769=$AF$7,$AF$8,""))))))</f>
        <v>#REF!</v>
      </c>
      <c r="B770" t="e">
        <f t="shared" ref="B770:B833" ca="1" si="69">IF(A770="","",IF(OR(AND(A770&gt;=$AF$1,A770&lt;=$AF$2),AND(A770&gt;=$AF$6,A770&lt;=$AF$7)),"Mechanical",IF(OR(AND(A770&gt;=$AF$3,A770&lt;=$AF$4),AND(A770&gt;=$AF$8,A770&lt;=$AF$9)),"Electric",IF(A770=$AF$5,"Safety",""))))</f>
        <v>#REF!</v>
      </c>
      <c r="C770" t="e" cm="1">
        <f t="array" aca="1" ref="C770" ca="1">IF(A770="","",IF(B770="safety","safety costs",INDIRECT("template!"&amp;"B"&amp;A770)))</f>
        <v>#REF!</v>
      </c>
      <c r="D770" t="e" cm="1">
        <f t="array" aca="1" ref="D770" ca="1">IF(OR(A770="",B770="safety"),"",INDIRECT("template!"&amp;"C"&amp;A770))</f>
        <v>#REF!</v>
      </c>
      <c r="E770" t="e" cm="1">
        <f t="array" aca="1" ref="E770" ca="1">IF(A770="","",IF(OR(A770=A769+1,A770=A769+2),E769,INDIRECT("template!"&amp;"D"&amp;A770-2)))</f>
        <v>#REF!</v>
      </c>
      <c r="F770" t="e" cm="1">
        <f t="array" aca="1" ref="F770" ca="1">IF(OR(A770="",B770="safety"),"",IF(ISBLANK(IF(A770=A769+1,F769,INDIRECT("template!"&amp;"D"&amp;A770-1))),"",IF(A770=A769+1,F769,INDIRECT("template!"&amp;"D"&amp;A770-1))))</f>
        <v>#REF!</v>
      </c>
      <c r="G770" t="e" cm="1">
        <f t="array" aca="1" ref="G770" ca="1">IF(OR(A770="",B770="safety"),"",IF(ISBLANK(INDIRECT("template!"&amp;"D"&amp;A770)),"",INDIRECT("template!"&amp;"D"&amp;A770)))</f>
        <v>#REF!</v>
      </c>
      <c r="H770" t="e" cm="1">
        <f t="array" aca="1" ref="H770" ca="1">IF(OR(A770="",B770="safety"),"",IF(ISBLANK(INDIRECT("template!"&amp;"E"&amp;A770)),"",INDIRECT("template!"&amp;"E"&amp;A770)))</f>
        <v>#REF!</v>
      </c>
      <c r="I770" t="e" cm="1">
        <f t="array" aca="1" ref="I770" ca="1">IF(OR(A770="",B770="safety"),"",IF(ISBLANK(INDIRECT("template!"&amp;"F"&amp;A770)),"",INDIRECT("template!"&amp;"F"&amp;A770)))</f>
        <v>#REF!</v>
      </c>
      <c r="J770" t="e" cm="1">
        <f t="array" aca="1" ref="J770" ca="1">IF(OR(A770="",B770="safety"),"",IF(ISBLANK(INDIRECT("template!"&amp;"G"&amp;A770)),"",INDIRECT("template!"&amp;"G"&amp;A770)))</f>
        <v>#REF!</v>
      </c>
      <c r="K770" t="e" cm="1">
        <f t="array" aca="1" ref="K770" ca="1">IF(OR(A770="",B770="safety"),"",IF(ISBLANK(INDIRECT("template!"&amp;"H"&amp;A770)),"",INDIRECT("template!"&amp;"H"&amp;A770)))</f>
        <v>#REF!</v>
      </c>
      <c r="L770" t="e" cm="1">
        <f t="array" aca="1" ref="L770" ca="1">IF(OR(A770="",B770="safety"),"",INDIRECT("template!"&amp;"I"&amp;A770))</f>
        <v>#REF!</v>
      </c>
      <c r="M770" t="e" cm="1">
        <f t="array" aca="1" ref="M770" ca="1">IF(OR(A770="",B770="safety"),"",INDIRECT("template!"&amp;"J"&amp;A770))</f>
        <v>#REF!</v>
      </c>
      <c r="N770" t="e" cm="1">
        <f t="array" aca="1" ref="N770" ca="1">IF(OR(A770="",B770="safety"),"",IF(ISBLANK(INDIRECT("template!"&amp;"K"&amp;A770)),"",INDIRECT("template!"&amp;"K"&amp;A770)))</f>
        <v>#REF!</v>
      </c>
      <c r="O770" t="e" cm="1">
        <f t="array" aca="1" ref="O770" ca="1">IF(OR(A770="",B770="safety"),"",INDIRECT("template!"&amp;"L"&amp;A770))</f>
        <v>#REF!</v>
      </c>
      <c r="P770" t="e" cm="1">
        <f t="array" aca="1" ref="P770" ca="1">IF(OR(A770="",B770="safety"),"",INDIRECT("template!"&amp;"M"&amp;A770))</f>
        <v>#REF!</v>
      </c>
      <c r="Q770" t="e">
        <f t="shared" ca="1" si="64"/>
        <v>#REF!</v>
      </c>
      <c r="R770" t="e">
        <f t="shared" ca="1" si="65"/>
        <v>#REF!</v>
      </c>
      <c r="S770" t="e">
        <f t="shared" ca="1" si="66"/>
        <v>#REF!</v>
      </c>
      <c r="T770" t="e">
        <f t="shared" ca="1" si="67"/>
        <v>#REF!</v>
      </c>
      <c r="U770" t="e" cm="1">
        <f t="array" aca="1" ref="U770" ca="1">IF(A770="","",IF(E770="","",IF(B770="safety",INDIRECT("template!"&amp;"P"&amp;A770),Q770+R770)))</f>
        <v>#REF!</v>
      </c>
      <c r="V770" t="e" cm="1">
        <f t="array" aca="1" ref="V770" ca="1">IF(A770="","",IF(E770="","",IF(B770="safety",INDIRECT("template!"&amp;"P"&amp;A770),S770+T770)))</f>
        <v>#REF!</v>
      </c>
      <c r="W770" t="e">
        <f ca="1">IF(A770="","",IF(E770="","",#REF!))</f>
        <v>#REF!</v>
      </c>
      <c r="X770" t="e">
        <f ca="1">IF(A770="","",IF(E770="","",#REF!))</f>
        <v>#REF!</v>
      </c>
      <c r="Y770" s="39" t="e">
        <f ca="1">IF(A770="","",IF(E770="","",#REF!))</f>
        <v>#REF!</v>
      </c>
      <c r="Z770" t="e">
        <f ca="1">IF(A770="","",IF(E770="","",#REF!))</f>
        <v>#REF!</v>
      </c>
      <c r="AA770" t="e">
        <f ca="1">IF(A770="","",IF(E770="","",#REF!))</f>
        <v>#REF!</v>
      </c>
      <c r="AB770" t="e">
        <f ca="1">IF(A770="","",IF(E770="","",#REF!))</f>
        <v>#REF!</v>
      </c>
      <c r="AC770" t="e">
        <f t="shared" ca="1" si="68"/>
        <v>#REF!</v>
      </c>
    </row>
    <row r="771" spans="1:29" x14ac:dyDescent="0.35">
      <c r="A771" t="e" cm="1">
        <f t="array" aca="1" ref="A771" ca="1">IF(A770="","",IF(OR(AND(A770+1&gt;=$AF$1,A770+1&lt;=$AF$2),AND(A770+1&gt;=$AF$6,A770+1&lt;=$AF$7),AND(A770+1&gt;=$AF$3,A770+1&lt;=$AF$4),AND(A770+1&gt;=$AF$8,A770+1&lt;=$AF$9),A770+1=$AF$5),IF(NOT(ISBLANK(INDIRECT("template!"&amp;"P"&amp;A770+1))),A770+1,IF(NOT(ISBLANK(INDIRECT("template!"&amp;"P"&amp;A770+2))),A770+2,A770+3)),IF(A770=$AF$2,$AF$3,IF(A770=$AF$4,$AF$5,IF(A770=$AF$5,$AF$6,IF(A770=$AF$7,$AF$8,""))))))</f>
        <v>#REF!</v>
      </c>
      <c r="B771" t="e">
        <f t="shared" ca="1" si="69"/>
        <v>#REF!</v>
      </c>
      <c r="C771" t="e" cm="1">
        <f t="array" aca="1" ref="C771" ca="1">IF(A771="","",IF(B771="safety","safety costs",INDIRECT("template!"&amp;"B"&amp;A771)))</f>
        <v>#REF!</v>
      </c>
      <c r="D771" t="e" cm="1">
        <f t="array" aca="1" ref="D771" ca="1">IF(OR(A771="",B771="safety"),"",INDIRECT("template!"&amp;"C"&amp;A771))</f>
        <v>#REF!</v>
      </c>
      <c r="E771" t="e" cm="1">
        <f t="array" aca="1" ref="E771" ca="1">IF(A771="","",IF(OR(A771=A770+1,A771=A770+2),E770,INDIRECT("template!"&amp;"D"&amp;A771-2)))</f>
        <v>#REF!</v>
      </c>
      <c r="F771" t="e" cm="1">
        <f t="array" aca="1" ref="F771" ca="1">IF(OR(A771="",B771="safety"),"",IF(ISBLANK(IF(A771=A770+1,F770,INDIRECT("template!"&amp;"D"&amp;A771-1))),"",IF(A771=A770+1,F770,INDIRECT("template!"&amp;"D"&amp;A771-1))))</f>
        <v>#REF!</v>
      </c>
      <c r="G771" t="e" cm="1">
        <f t="array" aca="1" ref="G771" ca="1">IF(OR(A771="",B771="safety"),"",IF(ISBLANK(INDIRECT("template!"&amp;"D"&amp;A771)),"",INDIRECT("template!"&amp;"D"&amp;A771)))</f>
        <v>#REF!</v>
      </c>
      <c r="H771" t="e" cm="1">
        <f t="array" aca="1" ref="H771" ca="1">IF(OR(A771="",B771="safety"),"",IF(ISBLANK(INDIRECT("template!"&amp;"E"&amp;A771)),"",INDIRECT("template!"&amp;"E"&amp;A771)))</f>
        <v>#REF!</v>
      </c>
      <c r="I771" t="e" cm="1">
        <f t="array" aca="1" ref="I771" ca="1">IF(OR(A771="",B771="safety"),"",IF(ISBLANK(INDIRECT("template!"&amp;"F"&amp;A771)),"",INDIRECT("template!"&amp;"F"&amp;A771)))</f>
        <v>#REF!</v>
      </c>
      <c r="J771" t="e" cm="1">
        <f t="array" aca="1" ref="J771" ca="1">IF(OR(A771="",B771="safety"),"",IF(ISBLANK(INDIRECT("template!"&amp;"G"&amp;A771)),"",INDIRECT("template!"&amp;"G"&amp;A771)))</f>
        <v>#REF!</v>
      </c>
      <c r="K771" t="e" cm="1">
        <f t="array" aca="1" ref="K771" ca="1">IF(OR(A771="",B771="safety"),"",IF(ISBLANK(INDIRECT("template!"&amp;"H"&amp;A771)),"",INDIRECT("template!"&amp;"H"&amp;A771)))</f>
        <v>#REF!</v>
      </c>
      <c r="L771" t="e" cm="1">
        <f t="array" aca="1" ref="L771" ca="1">IF(OR(A771="",B771="safety"),"",INDIRECT("template!"&amp;"I"&amp;A771))</f>
        <v>#REF!</v>
      </c>
      <c r="M771" t="e" cm="1">
        <f t="array" aca="1" ref="M771" ca="1">IF(OR(A771="",B771="safety"),"",INDIRECT("template!"&amp;"J"&amp;A771))</f>
        <v>#REF!</v>
      </c>
      <c r="N771" t="e" cm="1">
        <f t="array" aca="1" ref="N771" ca="1">IF(OR(A771="",B771="safety"),"",IF(ISBLANK(INDIRECT("template!"&amp;"K"&amp;A771)),"",INDIRECT("template!"&amp;"K"&amp;A771)))</f>
        <v>#REF!</v>
      </c>
      <c r="O771" t="e" cm="1">
        <f t="array" aca="1" ref="O771" ca="1">IF(OR(A771="",B771="safety"),"",INDIRECT("template!"&amp;"L"&amp;A771))</f>
        <v>#REF!</v>
      </c>
      <c r="P771" t="e" cm="1">
        <f t="array" aca="1" ref="P771" ca="1">IF(OR(A771="",B771="safety"),"",INDIRECT("template!"&amp;"M"&amp;A771))</f>
        <v>#REF!</v>
      </c>
      <c r="Q771" t="e">
        <f t="shared" ca="1" si="64"/>
        <v>#REF!</v>
      </c>
      <c r="R771" t="e">
        <f t="shared" ca="1" si="65"/>
        <v>#REF!</v>
      </c>
      <c r="S771" t="e">
        <f t="shared" ca="1" si="66"/>
        <v>#REF!</v>
      </c>
      <c r="T771" t="e">
        <f t="shared" ca="1" si="67"/>
        <v>#REF!</v>
      </c>
      <c r="U771" t="e" cm="1">
        <f t="array" aca="1" ref="U771" ca="1">IF(A771="","",IF(E771="","",IF(B771="safety",INDIRECT("template!"&amp;"P"&amp;A771),Q771+R771)))</f>
        <v>#REF!</v>
      </c>
      <c r="V771" t="e" cm="1">
        <f t="array" aca="1" ref="V771" ca="1">IF(A771="","",IF(E771="","",IF(B771="safety",INDIRECT("template!"&amp;"P"&amp;A771),S771+T771)))</f>
        <v>#REF!</v>
      </c>
      <c r="W771" t="e">
        <f ca="1">IF(A771="","",IF(E771="","",#REF!))</f>
        <v>#REF!</v>
      </c>
      <c r="X771" t="e">
        <f ca="1">IF(A771="","",IF(E771="","",#REF!))</f>
        <v>#REF!</v>
      </c>
      <c r="Y771" s="39" t="e">
        <f ca="1">IF(A771="","",IF(E771="","",#REF!))</f>
        <v>#REF!</v>
      </c>
      <c r="Z771" t="e">
        <f ca="1">IF(A771="","",IF(E771="","",#REF!))</f>
        <v>#REF!</v>
      </c>
      <c r="AA771" t="e">
        <f ca="1">IF(A771="","",IF(E771="","",#REF!))</f>
        <v>#REF!</v>
      </c>
      <c r="AB771" t="e">
        <f ca="1">IF(A771="","",IF(E771="","",#REF!))</f>
        <v>#REF!</v>
      </c>
      <c r="AC771" t="e">
        <f t="shared" ca="1" si="68"/>
        <v>#REF!</v>
      </c>
    </row>
    <row r="772" spans="1:29" x14ac:dyDescent="0.35">
      <c r="A772" t="e" cm="1">
        <f t="array" aca="1" ref="A772" ca="1">IF(A771="","",IF(OR(AND(A771+1&gt;=$AF$1,A771+1&lt;=$AF$2),AND(A771+1&gt;=$AF$6,A771+1&lt;=$AF$7),AND(A771+1&gt;=$AF$3,A771+1&lt;=$AF$4),AND(A771+1&gt;=$AF$8,A771+1&lt;=$AF$9),A771+1=$AF$5),IF(NOT(ISBLANK(INDIRECT("template!"&amp;"P"&amp;A771+1))),A771+1,IF(NOT(ISBLANK(INDIRECT("template!"&amp;"P"&amp;A771+2))),A771+2,A771+3)),IF(A771=$AF$2,$AF$3,IF(A771=$AF$4,$AF$5,IF(A771=$AF$5,$AF$6,IF(A771=$AF$7,$AF$8,""))))))</f>
        <v>#REF!</v>
      </c>
      <c r="B772" t="e">
        <f t="shared" ca="1" si="69"/>
        <v>#REF!</v>
      </c>
      <c r="C772" t="e" cm="1">
        <f t="array" aca="1" ref="C772" ca="1">IF(A772="","",IF(B772="safety","safety costs",INDIRECT("template!"&amp;"B"&amp;A772)))</f>
        <v>#REF!</v>
      </c>
      <c r="D772" t="e" cm="1">
        <f t="array" aca="1" ref="D772" ca="1">IF(OR(A772="",B772="safety"),"",INDIRECT("template!"&amp;"C"&amp;A772))</f>
        <v>#REF!</v>
      </c>
      <c r="E772" t="e" cm="1">
        <f t="array" aca="1" ref="E772" ca="1">IF(A772="","",IF(OR(A772=A771+1,A772=A771+2),E771,INDIRECT("template!"&amp;"D"&amp;A772-2)))</f>
        <v>#REF!</v>
      </c>
      <c r="F772" t="e" cm="1">
        <f t="array" aca="1" ref="F772" ca="1">IF(OR(A772="",B772="safety"),"",IF(ISBLANK(IF(A772=A771+1,F771,INDIRECT("template!"&amp;"D"&amp;A772-1))),"",IF(A772=A771+1,F771,INDIRECT("template!"&amp;"D"&amp;A772-1))))</f>
        <v>#REF!</v>
      </c>
      <c r="G772" t="e" cm="1">
        <f t="array" aca="1" ref="G772" ca="1">IF(OR(A772="",B772="safety"),"",IF(ISBLANK(INDIRECT("template!"&amp;"D"&amp;A772)),"",INDIRECT("template!"&amp;"D"&amp;A772)))</f>
        <v>#REF!</v>
      </c>
      <c r="H772" t="e" cm="1">
        <f t="array" aca="1" ref="H772" ca="1">IF(OR(A772="",B772="safety"),"",IF(ISBLANK(INDIRECT("template!"&amp;"E"&amp;A772)),"",INDIRECT("template!"&amp;"E"&amp;A772)))</f>
        <v>#REF!</v>
      </c>
      <c r="I772" t="e" cm="1">
        <f t="array" aca="1" ref="I772" ca="1">IF(OR(A772="",B772="safety"),"",IF(ISBLANK(INDIRECT("template!"&amp;"F"&amp;A772)),"",INDIRECT("template!"&amp;"F"&amp;A772)))</f>
        <v>#REF!</v>
      </c>
      <c r="J772" t="e" cm="1">
        <f t="array" aca="1" ref="J772" ca="1">IF(OR(A772="",B772="safety"),"",IF(ISBLANK(INDIRECT("template!"&amp;"G"&amp;A772)),"",INDIRECT("template!"&amp;"G"&amp;A772)))</f>
        <v>#REF!</v>
      </c>
      <c r="K772" t="e" cm="1">
        <f t="array" aca="1" ref="K772" ca="1">IF(OR(A772="",B772="safety"),"",IF(ISBLANK(INDIRECT("template!"&amp;"H"&amp;A772)),"",INDIRECT("template!"&amp;"H"&amp;A772)))</f>
        <v>#REF!</v>
      </c>
      <c r="L772" t="e" cm="1">
        <f t="array" aca="1" ref="L772" ca="1">IF(OR(A772="",B772="safety"),"",INDIRECT("template!"&amp;"I"&amp;A772))</f>
        <v>#REF!</v>
      </c>
      <c r="M772" t="e" cm="1">
        <f t="array" aca="1" ref="M772" ca="1">IF(OR(A772="",B772="safety"),"",INDIRECT("template!"&amp;"J"&amp;A772))</f>
        <v>#REF!</v>
      </c>
      <c r="N772" t="e" cm="1">
        <f t="array" aca="1" ref="N772" ca="1">IF(OR(A772="",B772="safety"),"",IF(ISBLANK(INDIRECT("template!"&amp;"K"&amp;A772)),"",INDIRECT("template!"&amp;"K"&amp;A772)))</f>
        <v>#REF!</v>
      </c>
      <c r="O772" t="e" cm="1">
        <f t="array" aca="1" ref="O772" ca="1">IF(OR(A772="",B772="safety"),"",INDIRECT("template!"&amp;"L"&amp;A772))</f>
        <v>#REF!</v>
      </c>
      <c r="P772" t="e" cm="1">
        <f t="array" aca="1" ref="P772" ca="1">IF(OR(A772="",B772="safety"),"",INDIRECT("template!"&amp;"M"&amp;A772))</f>
        <v>#REF!</v>
      </c>
      <c r="Q772" t="e">
        <f t="shared" ref="Q772:Q835" ca="1" si="70">IF(OR(A772="",B772="safety"),"",IF(E772="","",O772*L772))</f>
        <v>#REF!</v>
      </c>
      <c r="R772" t="e">
        <f t="shared" ref="R772:R835" ca="1" si="71">IF(OR(A772="",B772="safety"),"",IF(E772="","",P772*L772))</f>
        <v>#REF!</v>
      </c>
      <c r="S772" t="e">
        <f t="shared" ref="S772:S835" ca="1" si="72">IF(OR(A772="",B772="safety"),"",IF(E772="","",O772*M772))</f>
        <v>#REF!</v>
      </c>
      <c r="T772" t="e">
        <f t="shared" ref="T772:T835" ca="1" si="73">IF(OR(A772="",B772="safety"),"",IF(E772="","",M772*P772))</f>
        <v>#REF!</v>
      </c>
      <c r="U772" t="e" cm="1">
        <f t="array" aca="1" ref="U772" ca="1">IF(A772="","",IF(E772="","",IF(B772="safety",INDIRECT("template!"&amp;"P"&amp;A772),Q772+R772)))</f>
        <v>#REF!</v>
      </c>
      <c r="V772" t="e" cm="1">
        <f t="array" aca="1" ref="V772" ca="1">IF(A772="","",IF(E772="","",IF(B772="safety",INDIRECT("template!"&amp;"P"&amp;A772),S772+T772)))</f>
        <v>#REF!</v>
      </c>
      <c r="W772" t="e">
        <f ca="1">IF(A772="","",IF(E772="","",#REF!))</f>
        <v>#REF!</v>
      </c>
      <c r="X772" t="e">
        <f ca="1">IF(A772="","",IF(E772="","",#REF!))</f>
        <v>#REF!</v>
      </c>
      <c r="Y772" s="39" t="e">
        <f ca="1">IF(A772="","",IF(E772="","",#REF!))</f>
        <v>#REF!</v>
      </c>
      <c r="Z772" t="e">
        <f ca="1">IF(A772="","",IF(E772="","",#REF!))</f>
        <v>#REF!</v>
      </c>
      <c r="AA772" t="e">
        <f ca="1">IF(A772="","",IF(E772="","",#REF!))</f>
        <v>#REF!</v>
      </c>
      <c r="AB772" t="e">
        <f ca="1">IF(A772="","",IF(E772="","",#REF!))</f>
        <v>#REF!</v>
      </c>
      <c r="AC772" t="e">
        <f t="shared" ref="AC772:AC835" ca="1" si="74">IF(A772="","",IF(E772="","","WEEK "&amp;WEEKNUM(Y772)&amp;"_"&amp;YEAR(Y772)))</f>
        <v>#REF!</v>
      </c>
    </row>
    <row r="773" spans="1:29" x14ac:dyDescent="0.35">
      <c r="A773" t="e" cm="1">
        <f t="array" aca="1" ref="A773" ca="1">IF(A772="","",IF(OR(AND(A772+1&gt;=$AF$1,A772+1&lt;=$AF$2),AND(A772+1&gt;=$AF$6,A772+1&lt;=$AF$7),AND(A772+1&gt;=$AF$3,A772+1&lt;=$AF$4),AND(A772+1&gt;=$AF$8,A772+1&lt;=$AF$9),A772+1=$AF$5),IF(NOT(ISBLANK(INDIRECT("template!"&amp;"P"&amp;A772+1))),A772+1,IF(NOT(ISBLANK(INDIRECT("template!"&amp;"P"&amp;A772+2))),A772+2,A772+3)),IF(A772=$AF$2,$AF$3,IF(A772=$AF$4,$AF$5,IF(A772=$AF$5,$AF$6,IF(A772=$AF$7,$AF$8,""))))))</f>
        <v>#REF!</v>
      </c>
      <c r="B773" t="e">
        <f t="shared" ca="1" si="69"/>
        <v>#REF!</v>
      </c>
      <c r="C773" t="e" cm="1">
        <f t="array" aca="1" ref="C773" ca="1">IF(A773="","",IF(B773="safety","safety costs",INDIRECT("template!"&amp;"B"&amp;A773)))</f>
        <v>#REF!</v>
      </c>
      <c r="D773" t="e" cm="1">
        <f t="array" aca="1" ref="D773" ca="1">IF(OR(A773="",B773="safety"),"",INDIRECT("template!"&amp;"C"&amp;A773))</f>
        <v>#REF!</v>
      </c>
      <c r="E773" t="e" cm="1">
        <f t="array" aca="1" ref="E773" ca="1">IF(A773="","",IF(OR(A773=A772+1,A773=A772+2),E772,INDIRECT("template!"&amp;"D"&amp;A773-2)))</f>
        <v>#REF!</v>
      </c>
      <c r="F773" t="e" cm="1">
        <f t="array" aca="1" ref="F773" ca="1">IF(OR(A773="",B773="safety"),"",IF(ISBLANK(IF(A773=A772+1,F772,INDIRECT("template!"&amp;"D"&amp;A773-1))),"",IF(A773=A772+1,F772,INDIRECT("template!"&amp;"D"&amp;A773-1))))</f>
        <v>#REF!</v>
      </c>
      <c r="G773" t="e" cm="1">
        <f t="array" aca="1" ref="G773" ca="1">IF(OR(A773="",B773="safety"),"",IF(ISBLANK(INDIRECT("template!"&amp;"D"&amp;A773)),"",INDIRECT("template!"&amp;"D"&amp;A773)))</f>
        <v>#REF!</v>
      </c>
      <c r="H773" t="e" cm="1">
        <f t="array" aca="1" ref="H773" ca="1">IF(OR(A773="",B773="safety"),"",IF(ISBLANK(INDIRECT("template!"&amp;"E"&amp;A773)),"",INDIRECT("template!"&amp;"E"&amp;A773)))</f>
        <v>#REF!</v>
      </c>
      <c r="I773" t="e" cm="1">
        <f t="array" aca="1" ref="I773" ca="1">IF(OR(A773="",B773="safety"),"",IF(ISBLANK(INDIRECT("template!"&amp;"F"&amp;A773)),"",INDIRECT("template!"&amp;"F"&amp;A773)))</f>
        <v>#REF!</v>
      </c>
      <c r="J773" t="e" cm="1">
        <f t="array" aca="1" ref="J773" ca="1">IF(OR(A773="",B773="safety"),"",IF(ISBLANK(INDIRECT("template!"&amp;"G"&amp;A773)),"",INDIRECT("template!"&amp;"G"&amp;A773)))</f>
        <v>#REF!</v>
      </c>
      <c r="K773" t="e" cm="1">
        <f t="array" aca="1" ref="K773" ca="1">IF(OR(A773="",B773="safety"),"",IF(ISBLANK(INDIRECT("template!"&amp;"H"&amp;A773)),"",INDIRECT("template!"&amp;"H"&amp;A773)))</f>
        <v>#REF!</v>
      </c>
      <c r="L773" t="e" cm="1">
        <f t="array" aca="1" ref="L773" ca="1">IF(OR(A773="",B773="safety"),"",INDIRECT("template!"&amp;"I"&amp;A773))</f>
        <v>#REF!</v>
      </c>
      <c r="M773" t="e" cm="1">
        <f t="array" aca="1" ref="M773" ca="1">IF(OR(A773="",B773="safety"),"",INDIRECT("template!"&amp;"J"&amp;A773))</f>
        <v>#REF!</v>
      </c>
      <c r="N773" t="e" cm="1">
        <f t="array" aca="1" ref="N773" ca="1">IF(OR(A773="",B773="safety"),"",IF(ISBLANK(INDIRECT("template!"&amp;"K"&amp;A773)),"",INDIRECT("template!"&amp;"K"&amp;A773)))</f>
        <v>#REF!</v>
      </c>
      <c r="O773" t="e" cm="1">
        <f t="array" aca="1" ref="O773" ca="1">IF(OR(A773="",B773="safety"),"",INDIRECT("template!"&amp;"L"&amp;A773))</f>
        <v>#REF!</v>
      </c>
      <c r="P773" t="e" cm="1">
        <f t="array" aca="1" ref="P773" ca="1">IF(OR(A773="",B773="safety"),"",INDIRECT("template!"&amp;"M"&amp;A773))</f>
        <v>#REF!</v>
      </c>
      <c r="Q773" t="e">
        <f t="shared" ca="1" si="70"/>
        <v>#REF!</v>
      </c>
      <c r="R773" t="e">
        <f t="shared" ca="1" si="71"/>
        <v>#REF!</v>
      </c>
      <c r="S773" t="e">
        <f t="shared" ca="1" si="72"/>
        <v>#REF!</v>
      </c>
      <c r="T773" t="e">
        <f t="shared" ca="1" si="73"/>
        <v>#REF!</v>
      </c>
      <c r="U773" t="e" cm="1">
        <f t="array" aca="1" ref="U773" ca="1">IF(A773="","",IF(E773="","",IF(B773="safety",INDIRECT("template!"&amp;"P"&amp;A773),Q773+R773)))</f>
        <v>#REF!</v>
      </c>
      <c r="V773" t="e" cm="1">
        <f t="array" aca="1" ref="V773" ca="1">IF(A773="","",IF(E773="","",IF(B773="safety",INDIRECT("template!"&amp;"P"&amp;A773),S773+T773)))</f>
        <v>#REF!</v>
      </c>
      <c r="W773" t="e">
        <f ca="1">IF(A773="","",IF(E773="","",#REF!))</f>
        <v>#REF!</v>
      </c>
      <c r="X773" t="e">
        <f ca="1">IF(A773="","",IF(E773="","",#REF!))</f>
        <v>#REF!</v>
      </c>
      <c r="Y773" s="39" t="e">
        <f ca="1">IF(A773="","",IF(E773="","",#REF!))</f>
        <v>#REF!</v>
      </c>
      <c r="Z773" t="e">
        <f ca="1">IF(A773="","",IF(E773="","",#REF!))</f>
        <v>#REF!</v>
      </c>
      <c r="AA773" t="e">
        <f ca="1">IF(A773="","",IF(E773="","",#REF!))</f>
        <v>#REF!</v>
      </c>
      <c r="AB773" t="e">
        <f ca="1">IF(A773="","",IF(E773="","",#REF!))</f>
        <v>#REF!</v>
      </c>
      <c r="AC773" t="e">
        <f t="shared" ca="1" si="74"/>
        <v>#REF!</v>
      </c>
    </row>
    <row r="774" spans="1:29" x14ac:dyDescent="0.35">
      <c r="A774" t="e" cm="1">
        <f t="array" aca="1" ref="A774" ca="1">IF(A773="","",IF(OR(AND(A773+1&gt;=$AF$1,A773+1&lt;=$AF$2),AND(A773+1&gt;=$AF$6,A773+1&lt;=$AF$7),AND(A773+1&gt;=$AF$3,A773+1&lt;=$AF$4),AND(A773+1&gt;=$AF$8,A773+1&lt;=$AF$9),A773+1=$AF$5),IF(NOT(ISBLANK(INDIRECT("template!"&amp;"P"&amp;A773+1))),A773+1,IF(NOT(ISBLANK(INDIRECT("template!"&amp;"P"&amp;A773+2))),A773+2,A773+3)),IF(A773=$AF$2,$AF$3,IF(A773=$AF$4,$AF$5,IF(A773=$AF$5,$AF$6,IF(A773=$AF$7,$AF$8,""))))))</f>
        <v>#REF!</v>
      </c>
      <c r="B774" t="e">
        <f t="shared" ca="1" si="69"/>
        <v>#REF!</v>
      </c>
      <c r="C774" t="e" cm="1">
        <f t="array" aca="1" ref="C774" ca="1">IF(A774="","",IF(B774="safety","safety costs",INDIRECT("template!"&amp;"B"&amp;A774)))</f>
        <v>#REF!</v>
      </c>
      <c r="D774" t="e" cm="1">
        <f t="array" aca="1" ref="D774" ca="1">IF(OR(A774="",B774="safety"),"",INDIRECT("template!"&amp;"C"&amp;A774))</f>
        <v>#REF!</v>
      </c>
      <c r="E774" t="e" cm="1">
        <f t="array" aca="1" ref="E774" ca="1">IF(A774="","",IF(OR(A774=A773+1,A774=A773+2),E773,INDIRECT("template!"&amp;"D"&amp;A774-2)))</f>
        <v>#REF!</v>
      </c>
      <c r="F774" t="e" cm="1">
        <f t="array" aca="1" ref="F774" ca="1">IF(OR(A774="",B774="safety"),"",IF(ISBLANK(IF(A774=A773+1,F773,INDIRECT("template!"&amp;"D"&amp;A774-1))),"",IF(A774=A773+1,F773,INDIRECT("template!"&amp;"D"&amp;A774-1))))</f>
        <v>#REF!</v>
      </c>
      <c r="G774" t="e" cm="1">
        <f t="array" aca="1" ref="G774" ca="1">IF(OR(A774="",B774="safety"),"",IF(ISBLANK(INDIRECT("template!"&amp;"D"&amp;A774)),"",INDIRECT("template!"&amp;"D"&amp;A774)))</f>
        <v>#REF!</v>
      </c>
      <c r="H774" t="e" cm="1">
        <f t="array" aca="1" ref="H774" ca="1">IF(OR(A774="",B774="safety"),"",IF(ISBLANK(INDIRECT("template!"&amp;"E"&amp;A774)),"",INDIRECT("template!"&amp;"E"&amp;A774)))</f>
        <v>#REF!</v>
      </c>
      <c r="I774" t="e" cm="1">
        <f t="array" aca="1" ref="I774" ca="1">IF(OR(A774="",B774="safety"),"",IF(ISBLANK(INDIRECT("template!"&amp;"F"&amp;A774)),"",INDIRECT("template!"&amp;"F"&amp;A774)))</f>
        <v>#REF!</v>
      </c>
      <c r="J774" t="e" cm="1">
        <f t="array" aca="1" ref="J774" ca="1">IF(OR(A774="",B774="safety"),"",IF(ISBLANK(INDIRECT("template!"&amp;"G"&amp;A774)),"",INDIRECT("template!"&amp;"G"&amp;A774)))</f>
        <v>#REF!</v>
      </c>
      <c r="K774" t="e" cm="1">
        <f t="array" aca="1" ref="K774" ca="1">IF(OR(A774="",B774="safety"),"",IF(ISBLANK(INDIRECT("template!"&amp;"H"&amp;A774)),"",INDIRECT("template!"&amp;"H"&amp;A774)))</f>
        <v>#REF!</v>
      </c>
      <c r="L774" t="e" cm="1">
        <f t="array" aca="1" ref="L774" ca="1">IF(OR(A774="",B774="safety"),"",INDIRECT("template!"&amp;"I"&amp;A774))</f>
        <v>#REF!</v>
      </c>
      <c r="M774" t="e" cm="1">
        <f t="array" aca="1" ref="M774" ca="1">IF(OR(A774="",B774="safety"),"",INDIRECT("template!"&amp;"J"&amp;A774))</f>
        <v>#REF!</v>
      </c>
      <c r="N774" t="e" cm="1">
        <f t="array" aca="1" ref="N774" ca="1">IF(OR(A774="",B774="safety"),"",IF(ISBLANK(INDIRECT("template!"&amp;"K"&amp;A774)),"",INDIRECT("template!"&amp;"K"&amp;A774)))</f>
        <v>#REF!</v>
      </c>
      <c r="O774" t="e" cm="1">
        <f t="array" aca="1" ref="O774" ca="1">IF(OR(A774="",B774="safety"),"",INDIRECT("template!"&amp;"L"&amp;A774))</f>
        <v>#REF!</v>
      </c>
      <c r="P774" t="e" cm="1">
        <f t="array" aca="1" ref="P774" ca="1">IF(OR(A774="",B774="safety"),"",INDIRECT("template!"&amp;"M"&amp;A774))</f>
        <v>#REF!</v>
      </c>
      <c r="Q774" t="e">
        <f t="shared" ca="1" si="70"/>
        <v>#REF!</v>
      </c>
      <c r="R774" t="e">
        <f t="shared" ca="1" si="71"/>
        <v>#REF!</v>
      </c>
      <c r="S774" t="e">
        <f t="shared" ca="1" si="72"/>
        <v>#REF!</v>
      </c>
      <c r="T774" t="e">
        <f t="shared" ca="1" si="73"/>
        <v>#REF!</v>
      </c>
      <c r="U774" t="e" cm="1">
        <f t="array" aca="1" ref="U774" ca="1">IF(A774="","",IF(E774="","",IF(B774="safety",INDIRECT("template!"&amp;"P"&amp;A774),Q774+R774)))</f>
        <v>#REF!</v>
      </c>
      <c r="V774" t="e" cm="1">
        <f t="array" aca="1" ref="V774" ca="1">IF(A774="","",IF(E774="","",IF(B774="safety",INDIRECT("template!"&amp;"P"&amp;A774),S774+T774)))</f>
        <v>#REF!</v>
      </c>
      <c r="W774" t="e">
        <f ca="1">IF(A774="","",IF(E774="","",#REF!))</f>
        <v>#REF!</v>
      </c>
      <c r="X774" t="e">
        <f ca="1">IF(A774="","",IF(E774="","",#REF!))</f>
        <v>#REF!</v>
      </c>
      <c r="Y774" s="39" t="e">
        <f ca="1">IF(A774="","",IF(E774="","",#REF!))</f>
        <v>#REF!</v>
      </c>
      <c r="Z774" t="e">
        <f ca="1">IF(A774="","",IF(E774="","",#REF!))</f>
        <v>#REF!</v>
      </c>
      <c r="AA774" t="e">
        <f ca="1">IF(A774="","",IF(E774="","",#REF!))</f>
        <v>#REF!</v>
      </c>
      <c r="AB774" t="e">
        <f ca="1">IF(A774="","",IF(E774="","",#REF!))</f>
        <v>#REF!</v>
      </c>
      <c r="AC774" t="e">
        <f t="shared" ca="1" si="74"/>
        <v>#REF!</v>
      </c>
    </row>
    <row r="775" spans="1:29" x14ac:dyDescent="0.35">
      <c r="A775" t="e" cm="1">
        <f t="array" aca="1" ref="A775" ca="1">IF(A774="","",IF(OR(AND(A774+1&gt;=$AF$1,A774+1&lt;=$AF$2),AND(A774+1&gt;=$AF$6,A774+1&lt;=$AF$7),AND(A774+1&gt;=$AF$3,A774+1&lt;=$AF$4),AND(A774+1&gt;=$AF$8,A774+1&lt;=$AF$9),A774+1=$AF$5),IF(NOT(ISBLANK(INDIRECT("template!"&amp;"P"&amp;A774+1))),A774+1,IF(NOT(ISBLANK(INDIRECT("template!"&amp;"P"&amp;A774+2))),A774+2,A774+3)),IF(A774=$AF$2,$AF$3,IF(A774=$AF$4,$AF$5,IF(A774=$AF$5,$AF$6,IF(A774=$AF$7,$AF$8,""))))))</f>
        <v>#REF!</v>
      </c>
      <c r="B775" t="e">
        <f t="shared" ca="1" si="69"/>
        <v>#REF!</v>
      </c>
      <c r="C775" t="e" cm="1">
        <f t="array" aca="1" ref="C775" ca="1">IF(A775="","",IF(B775="safety","safety costs",INDIRECT("template!"&amp;"B"&amp;A775)))</f>
        <v>#REF!</v>
      </c>
      <c r="D775" t="e" cm="1">
        <f t="array" aca="1" ref="D775" ca="1">IF(OR(A775="",B775="safety"),"",INDIRECT("template!"&amp;"C"&amp;A775))</f>
        <v>#REF!</v>
      </c>
      <c r="E775" t="e" cm="1">
        <f t="array" aca="1" ref="E775" ca="1">IF(A775="","",IF(OR(A775=A774+1,A775=A774+2),E774,INDIRECT("template!"&amp;"D"&amp;A775-2)))</f>
        <v>#REF!</v>
      </c>
      <c r="F775" t="e" cm="1">
        <f t="array" aca="1" ref="F775" ca="1">IF(OR(A775="",B775="safety"),"",IF(ISBLANK(IF(A775=A774+1,F774,INDIRECT("template!"&amp;"D"&amp;A775-1))),"",IF(A775=A774+1,F774,INDIRECT("template!"&amp;"D"&amp;A775-1))))</f>
        <v>#REF!</v>
      </c>
      <c r="G775" t="e" cm="1">
        <f t="array" aca="1" ref="G775" ca="1">IF(OR(A775="",B775="safety"),"",IF(ISBLANK(INDIRECT("template!"&amp;"D"&amp;A775)),"",INDIRECT("template!"&amp;"D"&amp;A775)))</f>
        <v>#REF!</v>
      </c>
      <c r="H775" t="e" cm="1">
        <f t="array" aca="1" ref="H775" ca="1">IF(OR(A775="",B775="safety"),"",IF(ISBLANK(INDIRECT("template!"&amp;"E"&amp;A775)),"",INDIRECT("template!"&amp;"E"&amp;A775)))</f>
        <v>#REF!</v>
      </c>
      <c r="I775" t="e" cm="1">
        <f t="array" aca="1" ref="I775" ca="1">IF(OR(A775="",B775="safety"),"",IF(ISBLANK(INDIRECT("template!"&amp;"F"&amp;A775)),"",INDIRECT("template!"&amp;"F"&amp;A775)))</f>
        <v>#REF!</v>
      </c>
      <c r="J775" t="e" cm="1">
        <f t="array" aca="1" ref="J775" ca="1">IF(OR(A775="",B775="safety"),"",IF(ISBLANK(INDIRECT("template!"&amp;"G"&amp;A775)),"",INDIRECT("template!"&amp;"G"&amp;A775)))</f>
        <v>#REF!</v>
      </c>
      <c r="K775" t="e" cm="1">
        <f t="array" aca="1" ref="K775" ca="1">IF(OR(A775="",B775="safety"),"",IF(ISBLANK(INDIRECT("template!"&amp;"H"&amp;A775)),"",INDIRECT("template!"&amp;"H"&amp;A775)))</f>
        <v>#REF!</v>
      </c>
      <c r="L775" t="e" cm="1">
        <f t="array" aca="1" ref="L775" ca="1">IF(OR(A775="",B775="safety"),"",INDIRECT("template!"&amp;"I"&amp;A775))</f>
        <v>#REF!</v>
      </c>
      <c r="M775" t="e" cm="1">
        <f t="array" aca="1" ref="M775" ca="1">IF(OR(A775="",B775="safety"),"",INDIRECT("template!"&amp;"J"&amp;A775))</f>
        <v>#REF!</v>
      </c>
      <c r="N775" t="e" cm="1">
        <f t="array" aca="1" ref="N775" ca="1">IF(OR(A775="",B775="safety"),"",IF(ISBLANK(INDIRECT("template!"&amp;"K"&amp;A775)),"",INDIRECT("template!"&amp;"K"&amp;A775)))</f>
        <v>#REF!</v>
      </c>
      <c r="O775" t="e" cm="1">
        <f t="array" aca="1" ref="O775" ca="1">IF(OR(A775="",B775="safety"),"",INDIRECT("template!"&amp;"L"&amp;A775))</f>
        <v>#REF!</v>
      </c>
      <c r="P775" t="e" cm="1">
        <f t="array" aca="1" ref="P775" ca="1">IF(OR(A775="",B775="safety"),"",INDIRECT("template!"&amp;"M"&amp;A775))</f>
        <v>#REF!</v>
      </c>
      <c r="Q775" t="e">
        <f t="shared" ca="1" si="70"/>
        <v>#REF!</v>
      </c>
      <c r="R775" t="e">
        <f t="shared" ca="1" si="71"/>
        <v>#REF!</v>
      </c>
      <c r="S775" t="e">
        <f t="shared" ca="1" si="72"/>
        <v>#REF!</v>
      </c>
      <c r="T775" t="e">
        <f t="shared" ca="1" si="73"/>
        <v>#REF!</v>
      </c>
      <c r="U775" t="e" cm="1">
        <f t="array" aca="1" ref="U775" ca="1">IF(A775="","",IF(E775="","",IF(B775="safety",INDIRECT("template!"&amp;"P"&amp;A775),Q775+R775)))</f>
        <v>#REF!</v>
      </c>
      <c r="V775" t="e" cm="1">
        <f t="array" aca="1" ref="V775" ca="1">IF(A775="","",IF(E775="","",IF(B775="safety",INDIRECT("template!"&amp;"P"&amp;A775),S775+T775)))</f>
        <v>#REF!</v>
      </c>
      <c r="W775" t="e">
        <f ca="1">IF(A775="","",IF(E775="","",#REF!))</f>
        <v>#REF!</v>
      </c>
      <c r="X775" t="e">
        <f ca="1">IF(A775="","",IF(E775="","",#REF!))</f>
        <v>#REF!</v>
      </c>
      <c r="Y775" s="39" t="e">
        <f ca="1">IF(A775="","",IF(E775="","",#REF!))</f>
        <v>#REF!</v>
      </c>
      <c r="Z775" t="e">
        <f ca="1">IF(A775="","",IF(E775="","",#REF!))</f>
        <v>#REF!</v>
      </c>
      <c r="AA775" t="e">
        <f ca="1">IF(A775="","",IF(E775="","",#REF!))</f>
        <v>#REF!</v>
      </c>
      <c r="AB775" t="e">
        <f ca="1">IF(A775="","",IF(E775="","",#REF!))</f>
        <v>#REF!</v>
      </c>
      <c r="AC775" t="e">
        <f t="shared" ca="1" si="74"/>
        <v>#REF!</v>
      </c>
    </row>
    <row r="776" spans="1:29" x14ac:dyDescent="0.35">
      <c r="A776" t="e" cm="1">
        <f t="array" aca="1" ref="A776" ca="1">IF(A775="","",IF(OR(AND(A775+1&gt;=$AF$1,A775+1&lt;=$AF$2),AND(A775+1&gt;=$AF$6,A775+1&lt;=$AF$7),AND(A775+1&gt;=$AF$3,A775+1&lt;=$AF$4),AND(A775+1&gt;=$AF$8,A775+1&lt;=$AF$9),A775+1=$AF$5),IF(NOT(ISBLANK(INDIRECT("template!"&amp;"P"&amp;A775+1))),A775+1,IF(NOT(ISBLANK(INDIRECT("template!"&amp;"P"&amp;A775+2))),A775+2,A775+3)),IF(A775=$AF$2,$AF$3,IF(A775=$AF$4,$AF$5,IF(A775=$AF$5,$AF$6,IF(A775=$AF$7,$AF$8,""))))))</f>
        <v>#REF!</v>
      </c>
      <c r="B776" t="e">
        <f t="shared" ca="1" si="69"/>
        <v>#REF!</v>
      </c>
      <c r="C776" t="e" cm="1">
        <f t="array" aca="1" ref="C776" ca="1">IF(A776="","",IF(B776="safety","safety costs",INDIRECT("template!"&amp;"B"&amp;A776)))</f>
        <v>#REF!</v>
      </c>
      <c r="D776" t="e" cm="1">
        <f t="array" aca="1" ref="D776" ca="1">IF(OR(A776="",B776="safety"),"",INDIRECT("template!"&amp;"C"&amp;A776))</f>
        <v>#REF!</v>
      </c>
      <c r="E776" t="e" cm="1">
        <f t="array" aca="1" ref="E776" ca="1">IF(A776="","",IF(OR(A776=A775+1,A776=A775+2),E775,INDIRECT("template!"&amp;"D"&amp;A776-2)))</f>
        <v>#REF!</v>
      </c>
      <c r="F776" t="e" cm="1">
        <f t="array" aca="1" ref="F776" ca="1">IF(OR(A776="",B776="safety"),"",IF(ISBLANK(IF(A776=A775+1,F775,INDIRECT("template!"&amp;"D"&amp;A776-1))),"",IF(A776=A775+1,F775,INDIRECT("template!"&amp;"D"&amp;A776-1))))</f>
        <v>#REF!</v>
      </c>
      <c r="G776" t="e" cm="1">
        <f t="array" aca="1" ref="G776" ca="1">IF(OR(A776="",B776="safety"),"",IF(ISBLANK(INDIRECT("template!"&amp;"D"&amp;A776)),"",INDIRECT("template!"&amp;"D"&amp;A776)))</f>
        <v>#REF!</v>
      </c>
      <c r="H776" t="e" cm="1">
        <f t="array" aca="1" ref="H776" ca="1">IF(OR(A776="",B776="safety"),"",IF(ISBLANK(INDIRECT("template!"&amp;"E"&amp;A776)),"",INDIRECT("template!"&amp;"E"&amp;A776)))</f>
        <v>#REF!</v>
      </c>
      <c r="I776" t="e" cm="1">
        <f t="array" aca="1" ref="I776" ca="1">IF(OR(A776="",B776="safety"),"",IF(ISBLANK(INDIRECT("template!"&amp;"F"&amp;A776)),"",INDIRECT("template!"&amp;"F"&amp;A776)))</f>
        <v>#REF!</v>
      </c>
      <c r="J776" t="e" cm="1">
        <f t="array" aca="1" ref="J776" ca="1">IF(OR(A776="",B776="safety"),"",IF(ISBLANK(INDIRECT("template!"&amp;"G"&amp;A776)),"",INDIRECT("template!"&amp;"G"&amp;A776)))</f>
        <v>#REF!</v>
      </c>
      <c r="K776" t="e" cm="1">
        <f t="array" aca="1" ref="K776" ca="1">IF(OR(A776="",B776="safety"),"",IF(ISBLANK(INDIRECT("template!"&amp;"H"&amp;A776)),"",INDIRECT("template!"&amp;"H"&amp;A776)))</f>
        <v>#REF!</v>
      </c>
      <c r="L776" t="e" cm="1">
        <f t="array" aca="1" ref="L776" ca="1">IF(OR(A776="",B776="safety"),"",INDIRECT("template!"&amp;"I"&amp;A776))</f>
        <v>#REF!</v>
      </c>
      <c r="M776" t="e" cm="1">
        <f t="array" aca="1" ref="M776" ca="1">IF(OR(A776="",B776="safety"),"",INDIRECT("template!"&amp;"J"&amp;A776))</f>
        <v>#REF!</v>
      </c>
      <c r="N776" t="e" cm="1">
        <f t="array" aca="1" ref="N776" ca="1">IF(OR(A776="",B776="safety"),"",IF(ISBLANK(INDIRECT("template!"&amp;"K"&amp;A776)),"",INDIRECT("template!"&amp;"K"&amp;A776)))</f>
        <v>#REF!</v>
      </c>
      <c r="O776" t="e" cm="1">
        <f t="array" aca="1" ref="O776" ca="1">IF(OR(A776="",B776="safety"),"",INDIRECT("template!"&amp;"L"&amp;A776))</f>
        <v>#REF!</v>
      </c>
      <c r="P776" t="e" cm="1">
        <f t="array" aca="1" ref="P776" ca="1">IF(OR(A776="",B776="safety"),"",INDIRECT("template!"&amp;"M"&amp;A776))</f>
        <v>#REF!</v>
      </c>
      <c r="Q776" t="e">
        <f t="shared" ca="1" si="70"/>
        <v>#REF!</v>
      </c>
      <c r="R776" t="e">
        <f t="shared" ca="1" si="71"/>
        <v>#REF!</v>
      </c>
      <c r="S776" t="e">
        <f t="shared" ca="1" si="72"/>
        <v>#REF!</v>
      </c>
      <c r="T776" t="e">
        <f t="shared" ca="1" si="73"/>
        <v>#REF!</v>
      </c>
      <c r="U776" t="e" cm="1">
        <f t="array" aca="1" ref="U776" ca="1">IF(A776="","",IF(E776="","",IF(B776="safety",INDIRECT("template!"&amp;"P"&amp;A776),Q776+R776)))</f>
        <v>#REF!</v>
      </c>
      <c r="V776" t="e" cm="1">
        <f t="array" aca="1" ref="V776" ca="1">IF(A776="","",IF(E776="","",IF(B776="safety",INDIRECT("template!"&amp;"P"&amp;A776),S776+T776)))</f>
        <v>#REF!</v>
      </c>
      <c r="W776" t="e">
        <f ca="1">IF(A776="","",IF(E776="","",#REF!))</f>
        <v>#REF!</v>
      </c>
      <c r="X776" t="e">
        <f ca="1">IF(A776="","",IF(E776="","",#REF!))</f>
        <v>#REF!</v>
      </c>
      <c r="Y776" s="39" t="e">
        <f ca="1">IF(A776="","",IF(E776="","",#REF!))</f>
        <v>#REF!</v>
      </c>
      <c r="Z776" t="e">
        <f ca="1">IF(A776="","",IF(E776="","",#REF!))</f>
        <v>#REF!</v>
      </c>
      <c r="AA776" t="e">
        <f ca="1">IF(A776="","",IF(E776="","",#REF!))</f>
        <v>#REF!</v>
      </c>
      <c r="AB776" t="e">
        <f ca="1">IF(A776="","",IF(E776="","",#REF!))</f>
        <v>#REF!</v>
      </c>
      <c r="AC776" t="e">
        <f t="shared" ca="1" si="74"/>
        <v>#REF!</v>
      </c>
    </row>
    <row r="777" spans="1:29" x14ac:dyDescent="0.35">
      <c r="A777" t="e" cm="1">
        <f t="array" aca="1" ref="A777" ca="1">IF(A776="","",IF(OR(AND(A776+1&gt;=$AF$1,A776+1&lt;=$AF$2),AND(A776+1&gt;=$AF$6,A776+1&lt;=$AF$7),AND(A776+1&gt;=$AF$3,A776+1&lt;=$AF$4),AND(A776+1&gt;=$AF$8,A776+1&lt;=$AF$9),A776+1=$AF$5),IF(NOT(ISBLANK(INDIRECT("template!"&amp;"P"&amp;A776+1))),A776+1,IF(NOT(ISBLANK(INDIRECT("template!"&amp;"P"&amp;A776+2))),A776+2,A776+3)),IF(A776=$AF$2,$AF$3,IF(A776=$AF$4,$AF$5,IF(A776=$AF$5,$AF$6,IF(A776=$AF$7,$AF$8,""))))))</f>
        <v>#REF!</v>
      </c>
      <c r="B777" t="e">
        <f t="shared" ca="1" si="69"/>
        <v>#REF!</v>
      </c>
      <c r="C777" t="e" cm="1">
        <f t="array" aca="1" ref="C777" ca="1">IF(A777="","",IF(B777="safety","safety costs",INDIRECT("template!"&amp;"B"&amp;A777)))</f>
        <v>#REF!</v>
      </c>
      <c r="D777" t="e" cm="1">
        <f t="array" aca="1" ref="D777" ca="1">IF(OR(A777="",B777="safety"),"",INDIRECT("template!"&amp;"C"&amp;A777))</f>
        <v>#REF!</v>
      </c>
      <c r="E777" t="e" cm="1">
        <f t="array" aca="1" ref="E777" ca="1">IF(A777="","",IF(OR(A777=A776+1,A777=A776+2),E776,INDIRECT("template!"&amp;"D"&amp;A777-2)))</f>
        <v>#REF!</v>
      </c>
      <c r="F777" t="e" cm="1">
        <f t="array" aca="1" ref="F777" ca="1">IF(OR(A777="",B777="safety"),"",IF(ISBLANK(IF(A777=A776+1,F776,INDIRECT("template!"&amp;"D"&amp;A777-1))),"",IF(A777=A776+1,F776,INDIRECT("template!"&amp;"D"&amp;A777-1))))</f>
        <v>#REF!</v>
      </c>
      <c r="G777" t="e" cm="1">
        <f t="array" aca="1" ref="G777" ca="1">IF(OR(A777="",B777="safety"),"",IF(ISBLANK(INDIRECT("template!"&amp;"D"&amp;A777)),"",INDIRECT("template!"&amp;"D"&amp;A777)))</f>
        <v>#REF!</v>
      </c>
      <c r="H777" t="e" cm="1">
        <f t="array" aca="1" ref="H777" ca="1">IF(OR(A777="",B777="safety"),"",IF(ISBLANK(INDIRECT("template!"&amp;"E"&amp;A777)),"",INDIRECT("template!"&amp;"E"&amp;A777)))</f>
        <v>#REF!</v>
      </c>
      <c r="I777" t="e" cm="1">
        <f t="array" aca="1" ref="I777" ca="1">IF(OR(A777="",B777="safety"),"",IF(ISBLANK(INDIRECT("template!"&amp;"F"&amp;A777)),"",INDIRECT("template!"&amp;"F"&amp;A777)))</f>
        <v>#REF!</v>
      </c>
      <c r="J777" t="e" cm="1">
        <f t="array" aca="1" ref="J777" ca="1">IF(OR(A777="",B777="safety"),"",IF(ISBLANK(INDIRECT("template!"&amp;"G"&amp;A777)),"",INDIRECT("template!"&amp;"G"&amp;A777)))</f>
        <v>#REF!</v>
      </c>
      <c r="K777" t="e" cm="1">
        <f t="array" aca="1" ref="K777" ca="1">IF(OR(A777="",B777="safety"),"",IF(ISBLANK(INDIRECT("template!"&amp;"H"&amp;A777)),"",INDIRECT("template!"&amp;"H"&amp;A777)))</f>
        <v>#REF!</v>
      </c>
      <c r="L777" t="e" cm="1">
        <f t="array" aca="1" ref="L777" ca="1">IF(OR(A777="",B777="safety"),"",INDIRECT("template!"&amp;"I"&amp;A777))</f>
        <v>#REF!</v>
      </c>
      <c r="M777" t="e" cm="1">
        <f t="array" aca="1" ref="M777" ca="1">IF(OR(A777="",B777="safety"),"",INDIRECT("template!"&amp;"J"&amp;A777))</f>
        <v>#REF!</v>
      </c>
      <c r="N777" t="e" cm="1">
        <f t="array" aca="1" ref="N777" ca="1">IF(OR(A777="",B777="safety"),"",IF(ISBLANK(INDIRECT("template!"&amp;"K"&amp;A777)),"",INDIRECT("template!"&amp;"K"&amp;A777)))</f>
        <v>#REF!</v>
      </c>
      <c r="O777" t="e" cm="1">
        <f t="array" aca="1" ref="O777" ca="1">IF(OR(A777="",B777="safety"),"",INDIRECT("template!"&amp;"L"&amp;A777))</f>
        <v>#REF!</v>
      </c>
      <c r="P777" t="e" cm="1">
        <f t="array" aca="1" ref="P777" ca="1">IF(OR(A777="",B777="safety"),"",INDIRECT("template!"&amp;"M"&amp;A777))</f>
        <v>#REF!</v>
      </c>
      <c r="Q777" t="e">
        <f t="shared" ca="1" si="70"/>
        <v>#REF!</v>
      </c>
      <c r="R777" t="e">
        <f t="shared" ca="1" si="71"/>
        <v>#REF!</v>
      </c>
      <c r="S777" t="e">
        <f t="shared" ca="1" si="72"/>
        <v>#REF!</v>
      </c>
      <c r="T777" t="e">
        <f t="shared" ca="1" si="73"/>
        <v>#REF!</v>
      </c>
      <c r="U777" t="e" cm="1">
        <f t="array" aca="1" ref="U777" ca="1">IF(A777="","",IF(E777="","",IF(B777="safety",INDIRECT("template!"&amp;"P"&amp;A777),Q777+R777)))</f>
        <v>#REF!</v>
      </c>
      <c r="V777" t="e" cm="1">
        <f t="array" aca="1" ref="V777" ca="1">IF(A777="","",IF(E777="","",IF(B777="safety",INDIRECT("template!"&amp;"P"&amp;A777),S777+T777)))</f>
        <v>#REF!</v>
      </c>
      <c r="W777" t="e">
        <f ca="1">IF(A777="","",IF(E777="","",#REF!))</f>
        <v>#REF!</v>
      </c>
      <c r="X777" t="e">
        <f ca="1">IF(A777="","",IF(E777="","",#REF!))</f>
        <v>#REF!</v>
      </c>
      <c r="Y777" s="39" t="e">
        <f ca="1">IF(A777="","",IF(E777="","",#REF!))</f>
        <v>#REF!</v>
      </c>
      <c r="Z777" t="e">
        <f ca="1">IF(A777="","",IF(E777="","",#REF!))</f>
        <v>#REF!</v>
      </c>
      <c r="AA777" t="e">
        <f ca="1">IF(A777="","",IF(E777="","",#REF!))</f>
        <v>#REF!</v>
      </c>
      <c r="AB777" t="e">
        <f ca="1">IF(A777="","",IF(E777="","",#REF!))</f>
        <v>#REF!</v>
      </c>
      <c r="AC777" t="e">
        <f t="shared" ca="1" si="74"/>
        <v>#REF!</v>
      </c>
    </row>
    <row r="778" spans="1:29" x14ac:dyDescent="0.35">
      <c r="A778" t="e" cm="1">
        <f t="array" aca="1" ref="A778" ca="1">IF(A777="","",IF(OR(AND(A777+1&gt;=$AF$1,A777+1&lt;=$AF$2),AND(A777+1&gt;=$AF$6,A777+1&lt;=$AF$7),AND(A777+1&gt;=$AF$3,A777+1&lt;=$AF$4),AND(A777+1&gt;=$AF$8,A777+1&lt;=$AF$9),A777+1=$AF$5),IF(NOT(ISBLANK(INDIRECT("template!"&amp;"P"&amp;A777+1))),A777+1,IF(NOT(ISBLANK(INDIRECT("template!"&amp;"P"&amp;A777+2))),A777+2,A777+3)),IF(A777=$AF$2,$AF$3,IF(A777=$AF$4,$AF$5,IF(A777=$AF$5,$AF$6,IF(A777=$AF$7,$AF$8,""))))))</f>
        <v>#REF!</v>
      </c>
      <c r="B778" t="e">
        <f t="shared" ca="1" si="69"/>
        <v>#REF!</v>
      </c>
      <c r="C778" t="e" cm="1">
        <f t="array" aca="1" ref="C778" ca="1">IF(A778="","",IF(B778="safety","safety costs",INDIRECT("template!"&amp;"B"&amp;A778)))</f>
        <v>#REF!</v>
      </c>
      <c r="D778" t="e" cm="1">
        <f t="array" aca="1" ref="D778" ca="1">IF(OR(A778="",B778="safety"),"",INDIRECT("template!"&amp;"C"&amp;A778))</f>
        <v>#REF!</v>
      </c>
      <c r="E778" t="e" cm="1">
        <f t="array" aca="1" ref="E778" ca="1">IF(A778="","",IF(OR(A778=A777+1,A778=A777+2),E777,INDIRECT("template!"&amp;"D"&amp;A778-2)))</f>
        <v>#REF!</v>
      </c>
      <c r="F778" t="e" cm="1">
        <f t="array" aca="1" ref="F778" ca="1">IF(OR(A778="",B778="safety"),"",IF(ISBLANK(IF(A778=A777+1,F777,INDIRECT("template!"&amp;"D"&amp;A778-1))),"",IF(A778=A777+1,F777,INDIRECT("template!"&amp;"D"&amp;A778-1))))</f>
        <v>#REF!</v>
      </c>
      <c r="G778" t="e" cm="1">
        <f t="array" aca="1" ref="G778" ca="1">IF(OR(A778="",B778="safety"),"",IF(ISBLANK(INDIRECT("template!"&amp;"D"&amp;A778)),"",INDIRECT("template!"&amp;"D"&amp;A778)))</f>
        <v>#REF!</v>
      </c>
      <c r="H778" t="e" cm="1">
        <f t="array" aca="1" ref="H778" ca="1">IF(OR(A778="",B778="safety"),"",IF(ISBLANK(INDIRECT("template!"&amp;"E"&amp;A778)),"",INDIRECT("template!"&amp;"E"&amp;A778)))</f>
        <v>#REF!</v>
      </c>
      <c r="I778" t="e" cm="1">
        <f t="array" aca="1" ref="I778" ca="1">IF(OR(A778="",B778="safety"),"",IF(ISBLANK(INDIRECT("template!"&amp;"F"&amp;A778)),"",INDIRECT("template!"&amp;"F"&amp;A778)))</f>
        <v>#REF!</v>
      </c>
      <c r="J778" t="e" cm="1">
        <f t="array" aca="1" ref="J778" ca="1">IF(OR(A778="",B778="safety"),"",IF(ISBLANK(INDIRECT("template!"&amp;"G"&amp;A778)),"",INDIRECT("template!"&amp;"G"&amp;A778)))</f>
        <v>#REF!</v>
      </c>
      <c r="K778" t="e" cm="1">
        <f t="array" aca="1" ref="K778" ca="1">IF(OR(A778="",B778="safety"),"",IF(ISBLANK(INDIRECT("template!"&amp;"H"&amp;A778)),"",INDIRECT("template!"&amp;"H"&amp;A778)))</f>
        <v>#REF!</v>
      </c>
      <c r="L778" t="e" cm="1">
        <f t="array" aca="1" ref="L778" ca="1">IF(OR(A778="",B778="safety"),"",INDIRECT("template!"&amp;"I"&amp;A778))</f>
        <v>#REF!</v>
      </c>
      <c r="M778" t="e" cm="1">
        <f t="array" aca="1" ref="M778" ca="1">IF(OR(A778="",B778="safety"),"",INDIRECT("template!"&amp;"J"&amp;A778))</f>
        <v>#REF!</v>
      </c>
      <c r="N778" t="e" cm="1">
        <f t="array" aca="1" ref="N778" ca="1">IF(OR(A778="",B778="safety"),"",IF(ISBLANK(INDIRECT("template!"&amp;"K"&amp;A778)),"",INDIRECT("template!"&amp;"K"&amp;A778)))</f>
        <v>#REF!</v>
      </c>
      <c r="O778" t="e" cm="1">
        <f t="array" aca="1" ref="O778" ca="1">IF(OR(A778="",B778="safety"),"",INDIRECT("template!"&amp;"L"&amp;A778))</f>
        <v>#REF!</v>
      </c>
      <c r="P778" t="e" cm="1">
        <f t="array" aca="1" ref="P778" ca="1">IF(OR(A778="",B778="safety"),"",INDIRECT("template!"&amp;"M"&amp;A778))</f>
        <v>#REF!</v>
      </c>
      <c r="Q778" t="e">
        <f t="shared" ca="1" si="70"/>
        <v>#REF!</v>
      </c>
      <c r="R778" t="e">
        <f t="shared" ca="1" si="71"/>
        <v>#REF!</v>
      </c>
      <c r="S778" t="e">
        <f t="shared" ca="1" si="72"/>
        <v>#REF!</v>
      </c>
      <c r="T778" t="e">
        <f t="shared" ca="1" si="73"/>
        <v>#REF!</v>
      </c>
      <c r="U778" t="e" cm="1">
        <f t="array" aca="1" ref="U778" ca="1">IF(A778="","",IF(E778="","",IF(B778="safety",INDIRECT("template!"&amp;"P"&amp;A778),Q778+R778)))</f>
        <v>#REF!</v>
      </c>
      <c r="V778" t="e" cm="1">
        <f t="array" aca="1" ref="V778" ca="1">IF(A778="","",IF(E778="","",IF(B778="safety",INDIRECT("template!"&amp;"P"&amp;A778),S778+T778)))</f>
        <v>#REF!</v>
      </c>
      <c r="W778" t="e">
        <f ca="1">IF(A778="","",IF(E778="","",#REF!))</f>
        <v>#REF!</v>
      </c>
      <c r="X778" t="e">
        <f ca="1">IF(A778="","",IF(E778="","",#REF!))</f>
        <v>#REF!</v>
      </c>
      <c r="Y778" s="39" t="e">
        <f ca="1">IF(A778="","",IF(E778="","",#REF!))</f>
        <v>#REF!</v>
      </c>
      <c r="Z778" t="e">
        <f ca="1">IF(A778="","",IF(E778="","",#REF!))</f>
        <v>#REF!</v>
      </c>
      <c r="AA778" t="e">
        <f ca="1">IF(A778="","",IF(E778="","",#REF!))</f>
        <v>#REF!</v>
      </c>
      <c r="AB778" t="e">
        <f ca="1">IF(A778="","",IF(E778="","",#REF!))</f>
        <v>#REF!</v>
      </c>
      <c r="AC778" t="e">
        <f t="shared" ca="1" si="74"/>
        <v>#REF!</v>
      </c>
    </row>
    <row r="779" spans="1:29" x14ac:dyDescent="0.35">
      <c r="A779" t="e" cm="1">
        <f t="array" aca="1" ref="A779" ca="1">IF(A778="","",IF(OR(AND(A778+1&gt;=$AF$1,A778+1&lt;=$AF$2),AND(A778+1&gt;=$AF$6,A778+1&lt;=$AF$7),AND(A778+1&gt;=$AF$3,A778+1&lt;=$AF$4),AND(A778+1&gt;=$AF$8,A778+1&lt;=$AF$9),A778+1=$AF$5),IF(NOT(ISBLANK(INDIRECT("template!"&amp;"P"&amp;A778+1))),A778+1,IF(NOT(ISBLANK(INDIRECT("template!"&amp;"P"&amp;A778+2))),A778+2,A778+3)),IF(A778=$AF$2,$AF$3,IF(A778=$AF$4,$AF$5,IF(A778=$AF$5,$AF$6,IF(A778=$AF$7,$AF$8,""))))))</f>
        <v>#REF!</v>
      </c>
      <c r="B779" t="e">
        <f t="shared" ca="1" si="69"/>
        <v>#REF!</v>
      </c>
      <c r="C779" t="e" cm="1">
        <f t="array" aca="1" ref="C779" ca="1">IF(A779="","",IF(B779="safety","safety costs",INDIRECT("template!"&amp;"B"&amp;A779)))</f>
        <v>#REF!</v>
      </c>
      <c r="D779" t="e" cm="1">
        <f t="array" aca="1" ref="D779" ca="1">IF(OR(A779="",B779="safety"),"",INDIRECT("template!"&amp;"C"&amp;A779))</f>
        <v>#REF!</v>
      </c>
      <c r="E779" t="e" cm="1">
        <f t="array" aca="1" ref="E779" ca="1">IF(A779="","",IF(OR(A779=A778+1,A779=A778+2),E778,INDIRECT("template!"&amp;"D"&amp;A779-2)))</f>
        <v>#REF!</v>
      </c>
      <c r="F779" t="e" cm="1">
        <f t="array" aca="1" ref="F779" ca="1">IF(OR(A779="",B779="safety"),"",IF(ISBLANK(IF(A779=A778+1,F778,INDIRECT("template!"&amp;"D"&amp;A779-1))),"",IF(A779=A778+1,F778,INDIRECT("template!"&amp;"D"&amp;A779-1))))</f>
        <v>#REF!</v>
      </c>
      <c r="G779" t="e" cm="1">
        <f t="array" aca="1" ref="G779" ca="1">IF(OR(A779="",B779="safety"),"",IF(ISBLANK(INDIRECT("template!"&amp;"D"&amp;A779)),"",INDIRECT("template!"&amp;"D"&amp;A779)))</f>
        <v>#REF!</v>
      </c>
      <c r="H779" t="e" cm="1">
        <f t="array" aca="1" ref="H779" ca="1">IF(OR(A779="",B779="safety"),"",IF(ISBLANK(INDIRECT("template!"&amp;"E"&amp;A779)),"",INDIRECT("template!"&amp;"E"&amp;A779)))</f>
        <v>#REF!</v>
      </c>
      <c r="I779" t="e" cm="1">
        <f t="array" aca="1" ref="I779" ca="1">IF(OR(A779="",B779="safety"),"",IF(ISBLANK(INDIRECT("template!"&amp;"F"&amp;A779)),"",INDIRECT("template!"&amp;"F"&amp;A779)))</f>
        <v>#REF!</v>
      </c>
      <c r="J779" t="e" cm="1">
        <f t="array" aca="1" ref="J779" ca="1">IF(OR(A779="",B779="safety"),"",IF(ISBLANK(INDIRECT("template!"&amp;"G"&amp;A779)),"",INDIRECT("template!"&amp;"G"&amp;A779)))</f>
        <v>#REF!</v>
      </c>
      <c r="K779" t="e" cm="1">
        <f t="array" aca="1" ref="K779" ca="1">IF(OR(A779="",B779="safety"),"",IF(ISBLANK(INDIRECT("template!"&amp;"H"&amp;A779)),"",INDIRECT("template!"&amp;"H"&amp;A779)))</f>
        <v>#REF!</v>
      </c>
      <c r="L779" t="e" cm="1">
        <f t="array" aca="1" ref="L779" ca="1">IF(OR(A779="",B779="safety"),"",INDIRECT("template!"&amp;"I"&amp;A779))</f>
        <v>#REF!</v>
      </c>
      <c r="M779" t="e" cm="1">
        <f t="array" aca="1" ref="M779" ca="1">IF(OR(A779="",B779="safety"),"",INDIRECT("template!"&amp;"J"&amp;A779))</f>
        <v>#REF!</v>
      </c>
      <c r="N779" t="e" cm="1">
        <f t="array" aca="1" ref="N779" ca="1">IF(OR(A779="",B779="safety"),"",IF(ISBLANK(INDIRECT("template!"&amp;"K"&amp;A779)),"",INDIRECT("template!"&amp;"K"&amp;A779)))</f>
        <v>#REF!</v>
      </c>
      <c r="O779" t="e" cm="1">
        <f t="array" aca="1" ref="O779" ca="1">IF(OR(A779="",B779="safety"),"",INDIRECT("template!"&amp;"L"&amp;A779))</f>
        <v>#REF!</v>
      </c>
      <c r="P779" t="e" cm="1">
        <f t="array" aca="1" ref="P779" ca="1">IF(OR(A779="",B779="safety"),"",INDIRECT("template!"&amp;"M"&amp;A779))</f>
        <v>#REF!</v>
      </c>
      <c r="Q779" t="e">
        <f t="shared" ca="1" si="70"/>
        <v>#REF!</v>
      </c>
      <c r="R779" t="e">
        <f t="shared" ca="1" si="71"/>
        <v>#REF!</v>
      </c>
      <c r="S779" t="e">
        <f t="shared" ca="1" si="72"/>
        <v>#REF!</v>
      </c>
      <c r="T779" t="e">
        <f t="shared" ca="1" si="73"/>
        <v>#REF!</v>
      </c>
      <c r="U779" t="e" cm="1">
        <f t="array" aca="1" ref="U779" ca="1">IF(A779="","",IF(E779="","",IF(B779="safety",INDIRECT("template!"&amp;"P"&amp;A779),Q779+R779)))</f>
        <v>#REF!</v>
      </c>
      <c r="V779" t="e" cm="1">
        <f t="array" aca="1" ref="V779" ca="1">IF(A779="","",IF(E779="","",IF(B779="safety",INDIRECT("template!"&amp;"P"&amp;A779),S779+T779)))</f>
        <v>#REF!</v>
      </c>
      <c r="W779" t="e">
        <f ca="1">IF(A779="","",IF(E779="","",#REF!))</f>
        <v>#REF!</v>
      </c>
      <c r="X779" t="e">
        <f ca="1">IF(A779="","",IF(E779="","",#REF!))</f>
        <v>#REF!</v>
      </c>
      <c r="Y779" s="39" t="e">
        <f ca="1">IF(A779="","",IF(E779="","",#REF!))</f>
        <v>#REF!</v>
      </c>
      <c r="Z779" t="e">
        <f ca="1">IF(A779="","",IF(E779="","",#REF!))</f>
        <v>#REF!</v>
      </c>
      <c r="AA779" t="e">
        <f ca="1">IF(A779="","",IF(E779="","",#REF!))</f>
        <v>#REF!</v>
      </c>
      <c r="AB779" t="e">
        <f ca="1">IF(A779="","",IF(E779="","",#REF!))</f>
        <v>#REF!</v>
      </c>
      <c r="AC779" t="e">
        <f t="shared" ca="1" si="74"/>
        <v>#REF!</v>
      </c>
    </row>
    <row r="780" spans="1:29" x14ac:dyDescent="0.35">
      <c r="A780" t="e" cm="1">
        <f t="array" aca="1" ref="A780" ca="1">IF(A779="","",IF(OR(AND(A779+1&gt;=$AF$1,A779+1&lt;=$AF$2),AND(A779+1&gt;=$AF$6,A779+1&lt;=$AF$7),AND(A779+1&gt;=$AF$3,A779+1&lt;=$AF$4),AND(A779+1&gt;=$AF$8,A779+1&lt;=$AF$9),A779+1=$AF$5),IF(NOT(ISBLANK(INDIRECT("template!"&amp;"P"&amp;A779+1))),A779+1,IF(NOT(ISBLANK(INDIRECT("template!"&amp;"P"&amp;A779+2))),A779+2,A779+3)),IF(A779=$AF$2,$AF$3,IF(A779=$AF$4,$AF$5,IF(A779=$AF$5,$AF$6,IF(A779=$AF$7,$AF$8,""))))))</f>
        <v>#REF!</v>
      </c>
      <c r="B780" t="e">
        <f t="shared" ca="1" si="69"/>
        <v>#REF!</v>
      </c>
      <c r="C780" t="e" cm="1">
        <f t="array" aca="1" ref="C780" ca="1">IF(A780="","",IF(B780="safety","safety costs",INDIRECT("template!"&amp;"B"&amp;A780)))</f>
        <v>#REF!</v>
      </c>
      <c r="D780" t="e" cm="1">
        <f t="array" aca="1" ref="D780" ca="1">IF(OR(A780="",B780="safety"),"",INDIRECT("template!"&amp;"C"&amp;A780))</f>
        <v>#REF!</v>
      </c>
      <c r="E780" t="e" cm="1">
        <f t="array" aca="1" ref="E780" ca="1">IF(A780="","",IF(OR(A780=A779+1,A780=A779+2),E779,INDIRECT("template!"&amp;"D"&amp;A780-2)))</f>
        <v>#REF!</v>
      </c>
      <c r="F780" t="e" cm="1">
        <f t="array" aca="1" ref="F780" ca="1">IF(OR(A780="",B780="safety"),"",IF(ISBLANK(IF(A780=A779+1,F779,INDIRECT("template!"&amp;"D"&amp;A780-1))),"",IF(A780=A779+1,F779,INDIRECT("template!"&amp;"D"&amp;A780-1))))</f>
        <v>#REF!</v>
      </c>
      <c r="G780" t="e" cm="1">
        <f t="array" aca="1" ref="G780" ca="1">IF(OR(A780="",B780="safety"),"",IF(ISBLANK(INDIRECT("template!"&amp;"D"&amp;A780)),"",INDIRECT("template!"&amp;"D"&amp;A780)))</f>
        <v>#REF!</v>
      </c>
      <c r="H780" t="e" cm="1">
        <f t="array" aca="1" ref="H780" ca="1">IF(OR(A780="",B780="safety"),"",IF(ISBLANK(INDIRECT("template!"&amp;"E"&amp;A780)),"",INDIRECT("template!"&amp;"E"&amp;A780)))</f>
        <v>#REF!</v>
      </c>
      <c r="I780" t="e" cm="1">
        <f t="array" aca="1" ref="I780" ca="1">IF(OR(A780="",B780="safety"),"",IF(ISBLANK(INDIRECT("template!"&amp;"F"&amp;A780)),"",INDIRECT("template!"&amp;"F"&amp;A780)))</f>
        <v>#REF!</v>
      </c>
      <c r="J780" t="e" cm="1">
        <f t="array" aca="1" ref="J780" ca="1">IF(OR(A780="",B780="safety"),"",IF(ISBLANK(INDIRECT("template!"&amp;"G"&amp;A780)),"",INDIRECT("template!"&amp;"G"&amp;A780)))</f>
        <v>#REF!</v>
      </c>
      <c r="K780" t="e" cm="1">
        <f t="array" aca="1" ref="K780" ca="1">IF(OR(A780="",B780="safety"),"",IF(ISBLANK(INDIRECT("template!"&amp;"H"&amp;A780)),"",INDIRECT("template!"&amp;"H"&amp;A780)))</f>
        <v>#REF!</v>
      </c>
      <c r="L780" t="e" cm="1">
        <f t="array" aca="1" ref="L780" ca="1">IF(OR(A780="",B780="safety"),"",INDIRECT("template!"&amp;"I"&amp;A780))</f>
        <v>#REF!</v>
      </c>
      <c r="M780" t="e" cm="1">
        <f t="array" aca="1" ref="M780" ca="1">IF(OR(A780="",B780="safety"),"",INDIRECT("template!"&amp;"J"&amp;A780))</f>
        <v>#REF!</v>
      </c>
      <c r="N780" t="e" cm="1">
        <f t="array" aca="1" ref="N780" ca="1">IF(OR(A780="",B780="safety"),"",IF(ISBLANK(INDIRECT("template!"&amp;"K"&amp;A780)),"",INDIRECT("template!"&amp;"K"&amp;A780)))</f>
        <v>#REF!</v>
      </c>
      <c r="O780" t="e" cm="1">
        <f t="array" aca="1" ref="O780" ca="1">IF(OR(A780="",B780="safety"),"",INDIRECT("template!"&amp;"L"&amp;A780))</f>
        <v>#REF!</v>
      </c>
      <c r="P780" t="e" cm="1">
        <f t="array" aca="1" ref="P780" ca="1">IF(OR(A780="",B780="safety"),"",INDIRECT("template!"&amp;"M"&amp;A780))</f>
        <v>#REF!</v>
      </c>
      <c r="Q780" t="e">
        <f t="shared" ca="1" si="70"/>
        <v>#REF!</v>
      </c>
      <c r="R780" t="e">
        <f t="shared" ca="1" si="71"/>
        <v>#REF!</v>
      </c>
      <c r="S780" t="e">
        <f t="shared" ca="1" si="72"/>
        <v>#REF!</v>
      </c>
      <c r="T780" t="e">
        <f t="shared" ca="1" si="73"/>
        <v>#REF!</v>
      </c>
      <c r="U780" t="e" cm="1">
        <f t="array" aca="1" ref="U780" ca="1">IF(A780="","",IF(E780="","",IF(B780="safety",INDIRECT("template!"&amp;"P"&amp;A780),Q780+R780)))</f>
        <v>#REF!</v>
      </c>
      <c r="V780" t="e" cm="1">
        <f t="array" aca="1" ref="V780" ca="1">IF(A780="","",IF(E780="","",IF(B780="safety",INDIRECT("template!"&amp;"P"&amp;A780),S780+T780)))</f>
        <v>#REF!</v>
      </c>
      <c r="W780" t="e">
        <f ca="1">IF(A780="","",IF(E780="","",#REF!))</f>
        <v>#REF!</v>
      </c>
      <c r="X780" t="e">
        <f ca="1">IF(A780="","",IF(E780="","",#REF!))</f>
        <v>#REF!</v>
      </c>
      <c r="Y780" s="39" t="e">
        <f ca="1">IF(A780="","",IF(E780="","",#REF!))</f>
        <v>#REF!</v>
      </c>
      <c r="Z780" t="e">
        <f ca="1">IF(A780="","",IF(E780="","",#REF!))</f>
        <v>#REF!</v>
      </c>
      <c r="AA780" t="e">
        <f ca="1">IF(A780="","",IF(E780="","",#REF!))</f>
        <v>#REF!</v>
      </c>
      <c r="AB780" t="e">
        <f ca="1">IF(A780="","",IF(E780="","",#REF!))</f>
        <v>#REF!</v>
      </c>
      <c r="AC780" t="e">
        <f t="shared" ca="1" si="74"/>
        <v>#REF!</v>
      </c>
    </row>
    <row r="781" spans="1:29" x14ac:dyDescent="0.35">
      <c r="A781" t="e" cm="1">
        <f t="array" aca="1" ref="A781" ca="1">IF(A780="","",IF(OR(AND(A780+1&gt;=$AF$1,A780+1&lt;=$AF$2),AND(A780+1&gt;=$AF$6,A780+1&lt;=$AF$7),AND(A780+1&gt;=$AF$3,A780+1&lt;=$AF$4),AND(A780+1&gt;=$AF$8,A780+1&lt;=$AF$9),A780+1=$AF$5),IF(NOT(ISBLANK(INDIRECT("template!"&amp;"P"&amp;A780+1))),A780+1,IF(NOT(ISBLANK(INDIRECT("template!"&amp;"P"&amp;A780+2))),A780+2,A780+3)),IF(A780=$AF$2,$AF$3,IF(A780=$AF$4,$AF$5,IF(A780=$AF$5,$AF$6,IF(A780=$AF$7,$AF$8,""))))))</f>
        <v>#REF!</v>
      </c>
      <c r="B781" t="e">
        <f t="shared" ca="1" si="69"/>
        <v>#REF!</v>
      </c>
      <c r="C781" t="e" cm="1">
        <f t="array" aca="1" ref="C781" ca="1">IF(A781="","",IF(B781="safety","safety costs",INDIRECT("template!"&amp;"B"&amp;A781)))</f>
        <v>#REF!</v>
      </c>
      <c r="D781" t="e" cm="1">
        <f t="array" aca="1" ref="D781" ca="1">IF(OR(A781="",B781="safety"),"",INDIRECT("template!"&amp;"C"&amp;A781))</f>
        <v>#REF!</v>
      </c>
      <c r="E781" t="e" cm="1">
        <f t="array" aca="1" ref="E781" ca="1">IF(A781="","",IF(OR(A781=A780+1,A781=A780+2),E780,INDIRECT("template!"&amp;"D"&amp;A781-2)))</f>
        <v>#REF!</v>
      </c>
      <c r="F781" t="e" cm="1">
        <f t="array" aca="1" ref="F781" ca="1">IF(OR(A781="",B781="safety"),"",IF(ISBLANK(IF(A781=A780+1,F780,INDIRECT("template!"&amp;"D"&amp;A781-1))),"",IF(A781=A780+1,F780,INDIRECT("template!"&amp;"D"&amp;A781-1))))</f>
        <v>#REF!</v>
      </c>
      <c r="G781" t="e" cm="1">
        <f t="array" aca="1" ref="G781" ca="1">IF(OR(A781="",B781="safety"),"",IF(ISBLANK(INDIRECT("template!"&amp;"D"&amp;A781)),"",INDIRECT("template!"&amp;"D"&amp;A781)))</f>
        <v>#REF!</v>
      </c>
      <c r="H781" t="e" cm="1">
        <f t="array" aca="1" ref="H781" ca="1">IF(OR(A781="",B781="safety"),"",IF(ISBLANK(INDIRECT("template!"&amp;"E"&amp;A781)),"",INDIRECT("template!"&amp;"E"&amp;A781)))</f>
        <v>#REF!</v>
      </c>
      <c r="I781" t="e" cm="1">
        <f t="array" aca="1" ref="I781" ca="1">IF(OR(A781="",B781="safety"),"",IF(ISBLANK(INDIRECT("template!"&amp;"F"&amp;A781)),"",INDIRECT("template!"&amp;"F"&amp;A781)))</f>
        <v>#REF!</v>
      </c>
      <c r="J781" t="e" cm="1">
        <f t="array" aca="1" ref="J781" ca="1">IF(OR(A781="",B781="safety"),"",IF(ISBLANK(INDIRECT("template!"&amp;"G"&amp;A781)),"",INDIRECT("template!"&amp;"G"&amp;A781)))</f>
        <v>#REF!</v>
      </c>
      <c r="K781" t="e" cm="1">
        <f t="array" aca="1" ref="K781" ca="1">IF(OR(A781="",B781="safety"),"",IF(ISBLANK(INDIRECT("template!"&amp;"H"&amp;A781)),"",INDIRECT("template!"&amp;"H"&amp;A781)))</f>
        <v>#REF!</v>
      </c>
      <c r="L781" t="e" cm="1">
        <f t="array" aca="1" ref="L781" ca="1">IF(OR(A781="",B781="safety"),"",INDIRECT("template!"&amp;"I"&amp;A781))</f>
        <v>#REF!</v>
      </c>
      <c r="M781" t="e" cm="1">
        <f t="array" aca="1" ref="M781" ca="1">IF(OR(A781="",B781="safety"),"",INDIRECT("template!"&amp;"J"&amp;A781))</f>
        <v>#REF!</v>
      </c>
      <c r="N781" t="e" cm="1">
        <f t="array" aca="1" ref="N781" ca="1">IF(OR(A781="",B781="safety"),"",IF(ISBLANK(INDIRECT("template!"&amp;"K"&amp;A781)),"",INDIRECT("template!"&amp;"K"&amp;A781)))</f>
        <v>#REF!</v>
      </c>
      <c r="O781" t="e" cm="1">
        <f t="array" aca="1" ref="O781" ca="1">IF(OR(A781="",B781="safety"),"",INDIRECT("template!"&amp;"L"&amp;A781))</f>
        <v>#REF!</v>
      </c>
      <c r="P781" t="e" cm="1">
        <f t="array" aca="1" ref="P781" ca="1">IF(OR(A781="",B781="safety"),"",INDIRECT("template!"&amp;"M"&amp;A781))</f>
        <v>#REF!</v>
      </c>
      <c r="Q781" t="e">
        <f t="shared" ca="1" si="70"/>
        <v>#REF!</v>
      </c>
      <c r="R781" t="e">
        <f t="shared" ca="1" si="71"/>
        <v>#REF!</v>
      </c>
      <c r="S781" t="e">
        <f t="shared" ca="1" si="72"/>
        <v>#REF!</v>
      </c>
      <c r="T781" t="e">
        <f t="shared" ca="1" si="73"/>
        <v>#REF!</v>
      </c>
      <c r="U781" t="e" cm="1">
        <f t="array" aca="1" ref="U781" ca="1">IF(A781="","",IF(E781="","",IF(B781="safety",INDIRECT("template!"&amp;"P"&amp;A781),Q781+R781)))</f>
        <v>#REF!</v>
      </c>
      <c r="V781" t="e" cm="1">
        <f t="array" aca="1" ref="V781" ca="1">IF(A781="","",IF(E781="","",IF(B781="safety",INDIRECT("template!"&amp;"P"&amp;A781),S781+T781)))</f>
        <v>#REF!</v>
      </c>
      <c r="W781" t="e">
        <f ca="1">IF(A781="","",IF(E781="","",#REF!))</f>
        <v>#REF!</v>
      </c>
      <c r="X781" t="e">
        <f ca="1">IF(A781="","",IF(E781="","",#REF!))</f>
        <v>#REF!</v>
      </c>
      <c r="Y781" s="39" t="e">
        <f ca="1">IF(A781="","",IF(E781="","",#REF!))</f>
        <v>#REF!</v>
      </c>
      <c r="Z781" t="e">
        <f ca="1">IF(A781="","",IF(E781="","",#REF!))</f>
        <v>#REF!</v>
      </c>
      <c r="AA781" t="e">
        <f ca="1">IF(A781="","",IF(E781="","",#REF!))</f>
        <v>#REF!</v>
      </c>
      <c r="AB781" t="e">
        <f ca="1">IF(A781="","",IF(E781="","",#REF!))</f>
        <v>#REF!</v>
      </c>
      <c r="AC781" t="e">
        <f t="shared" ca="1" si="74"/>
        <v>#REF!</v>
      </c>
    </row>
    <row r="782" spans="1:29" x14ac:dyDescent="0.35">
      <c r="A782" t="e" cm="1">
        <f t="array" aca="1" ref="A782" ca="1">IF(A781="","",IF(OR(AND(A781+1&gt;=$AF$1,A781+1&lt;=$AF$2),AND(A781+1&gt;=$AF$6,A781+1&lt;=$AF$7),AND(A781+1&gt;=$AF$3,A781+1&lt;=$AF$4),AND(A781+1&gt;=$AF$8,A781+1&lt;=$AF$9),A781+1=$AF$5),IF(NOT(ISBLANK(INDIRECT("template!"&amp;"P"&amp;A781+1))),A781+1,IF(NOT(ISBLANK(INDIRECT("template!"&amp;"P"&amp;A781+2))),A781+2,A781+3)),IF(A781=$AF$2,$AF$3,IF(A781=$AF$4,$AF$5,IF(A781=$AF$5,$AF$6,IF(A781=$AF$7,$AF$8,""))))))</f>
        <v>#REF!</v>
      </c>
      <c r="B782" t="e">
        <f t="shared" ca="1" si="69"/>
        <v>#REF!</v>
      </c>
      <c r="C782" t="e" cm="1">
        <f t="array" aca="1" ref="C782" ca="1">IF(A782="","",IF(B782="safety","safety costs",INDIRECT("template!"&amp;"B"&amp;A782)))</f>
        <v>#REF!</v>
      </c>
      <c r="D782" t="e" cm="1">
        <f t="array" aca="1" ref="D782" ca="1">IF(OR(A782="",B782="safety"),"",INDIRECT("template!"&amp;"C"&amp;A782))</f>
        <v>#REF!</v>
      </c>
      <c r="E782" t="e" cm="1">
        <f t="array" aca="1" ref="E782" ca="1">IF(A782="","",IF(OR(A782=A781+1,A782=A781+2),E781,INDIRECT("template!"&amp;"D"&amp;A782-2)))</f>
        <v>#REF!</v>
      </c>
      <c r="F782" t="e" cm="1">
        <f t="array" aca="1" ref="F782" ca="1">IF(OR(A782="",B782="safety"),"",IF(ISBLANK(IF(A782=A781+1,F781,INDIRECT("template!"&amp;"D"&amp;A782-1))),"",IF(A782=A781+1,F781,INDIRECT("template!"&amp;"D"&amp;A782-1))))</f>
        <v>#REF!</v>
      </c>
      <c r="G782" t="e" cm="1">
        <f t="array" aca="1" ref="G782" ca="1">IF(OR(A782="",B782="safety"),"",IF(ISBLANK(INDIRECT("template!"&amp;"D"&amp;A782)),"",INDIRECT("template!"&amp;"D"&amp;A782)))</f>
        <v>#REF!</v>
      </c>
      <c r="H782" t="e" cm="1">
        <f t="array" aca="1" ref="H782" ca="1">IF(OR(A782="",B782="safety"),"",IF(ISBLANK(INDIRECT("template!"&amp;"E"&amp;A782)),"",INDIRECT("template!"&amp;"E"&amp;A782)))</f>
        <v>#REF!</v>
      </c>
      <c r="I782" t="e" cm="1">
        <f t="array" aca="1" ref="I782" ca="1">IF(OR(A782="",B782="safety"),"",IF(ISBLANK(INDIRECT("template!"&amp;"F"&amp;A782)),"",INDIRECT("template!"&amp;"F"&amp;A782)))</f>
        <v>#REF!</v>
      </c>
      <c r="J782" t="e" cm="1">
        <f t="array" aca="1" ref="J782" ca="1">IF(OR(A782="",B782="safety"),"",IF(ISBLANK(INDIRECT("template!"&amp;"G"&amp;A782)),"",INDIRECT("template!"&amp;"G"&amp;A782)))</f>
        <v>#REF!</v>
      </c>
      <c r="K782" t="e" cm="1">
        <f t="array" aca="1" ref="K782" ca="1">IF(OR(A782="",B782="safety"),"",IF(ISBLANK(INDIRECT("template!"&amp;"H"&amp;A782)),"",INDIRECT("template!"&amp;"H"&amp;A782)))</f>
        <v>#REF!</v>
      </c>
      <c r="L782" t="e" cm="1">
        <f t="array" aca="1" ref="L782" ca="1">IF(OR(A782="",B782="safety"),"",INDIRECT("template!"&amp;"I"&amp;A782))</f>
        <v>#REF!</v>
      </c>
      <c r="M782" t="e" cm="1">
        <f t="array" aca="1" ref="M782" ca="1">IF(OR(A782="",B782="safety"),"",INDIRECT("template!"&amp;"J"&amp;A782))</f>
        <v>#REF!</v>
      </c>
      <c r="N782" t="e" cm="1">
        <f t="array" aca="1" ref="N782" ca="1">IF(OR(A782="",B782="safety"),"",IF(ISBLANK(INDIRECT("template!"&amp;"K"&amp;A782)),"",INDIRECT("template!"&amp;"K"&amp;A782)))</f>
        <v>#REF!</v>
      </c>
      <c r="O782" t="e" cm="1">
        <f t="array" aca="1" ref="O782" ca="1">IF(OR(A782="",B782="safety"),"",INDIRECT("template!"&amp;"L"&amp;A782))</f>
        <v>#REF!</v>
      </c>
      <c r="P782" t="e" cm="1">
        <f t="array" aca="1" ref="P782" ca="1">IF(OR(A782="",B782="safety"),"",INDIRECT("template!"&amp;"M"&amp;A782))</f>
        <v>#REF!</v>
      </c>
      <c r="Q782" t="e">
        <f t="shared" ca="1" si="70"/>
        <v>#REF!</v>
      </c>
      <c r="R782" t="e">
        <f t="shared" ca="1" si="71"/>
        <v>#REF!</v>
      </c>
      <c r="S782" t="e">
        <f t="shared" ca="1" si="72"/>
        <v>#REF!</v>
      </c>
      <c r="T782" t="e">
        <f t="shared" ca="1" si="73"/>
        <v>#REF!</v>
      </c>
      <c r="U782" t="e" cm="1">
        <f t="array" aca="1" ref="U782" ca="1">IF(A782="","",IF(E782="","",IF(B782="safety",INDIRECT("template!"&amp;"P"&amp;A782),Q782+R782)))</f>
        <v>#REF!</v>
      </c>
      <c r="V782" t="e" cm="1">
        <f t="array" aca="1" ref="V782" ca="1">IF(A782="","",IF(E782="","",IF(B782="safety",INDIRECT("template!"&amp;"P"&amp;A782),S782+T782)))</f>
        <v>#REF!</v>
      </c>
      <c r="W782" t="e">
        <f ca="1">IF(A782="","",IF(E782="","",#REF!))</f>
        <v>#REF!</v>
      </c>
      <c r="X782" t="e">
        <f ca="1">IF(A782="","",IF(E782="","",#REF!))</f>
        <v>#REF!</v>
      </c>
      <c r="Y782" s="39" t="e">
        <f ca="1">IF(A782="","",IF(E782="","",#REF!))</f>
        <v>#REF!</v>
      </c>
      <c r="Z782" t="e">
        <f ca="1">IF(A782="","",IF(E782="","",#REF!))</f>
        <v>#REF!</v>
      </c>
      <c r="AA782" t="e">
        <f ca="1">IF(A782="","",IF(E782="","",#REF!))</f>
        <v>#REF!</v>
      </c>
      <c r="AB782" t="e">
        <f ca="1">IF(A782="","",IF(E782="","",#REF!))</f>
        <v>#REF!</v>
      </c>
      <c r="AC782" t="e">
        <f t="shared" ca="1" si="74"/>
        <v>#REF!</v>
      </c>
    </row>
    <row r="783" spans="1:29" x14ac:dyDescent="0.35">
      <c r="A783" t="e" cm="1">
        <f t="array" aca="1" ref="A783" ca="1">IF(A782="","",IF(OR(AND(A782+1&gt;=$AF$1,A782+1&lt;=$AF$2),AND(A782+1&gt;=$AF$6,A782+1&lt;=$AF$7),AND(A782+1&gt;=$AF$3,A782+1&lt;=$AF$4),AND(A782+1&gt;=$AF$8,A782+1&lt;=$AF$9),A782+1=$AF$5),IF(NOT(ISBLANK(INDIRECT("template!"&amp;"P"&amp;A782+1))),A782+1,IF(NOT(ISBLANK(INDIRECT("template!"&amp;"P"&amp;A782+2))),A782+2,A782+3)),IF(A782=$AF$2,$AF$3,IF(A782=$AF$4,$AF$5,IF(A782=$AF$5,$AF$6,IF(A782=$AF$7,$AF$8,""))))))</f>
        <v>#REF!</v>
      </c>
      <c r="B783" t="e">
        <f t="shared" ca="1" si="69"/>
        <v>#REF!</v>
      </c>
      <c r="C783" t="e" cm="1">
        <f t="array" aca="1" ref="C783" ca="1">IF(A783="","",IF(B783="safety","safety costs",INDIRECT("template!"&amp;"B"&amp;A783)))</f>
        <v>#REF!</v>
      </c>
      <c r="D783" t="e" cm="1">
        <f t="array" aca="1" ref="D783" ca="1">IF(OR(A783="",B783="safety"),"",INDIRECT("template!"&amp;"C"&amp;A783))</f>
        <v>#REF!</v>
      </c>
      <c r="E783" t="e" cm="1">
        <f t="array" aca="1" ref="E783" ca="1">IF(A783="","",IF(OR(A783=A782+1,A783=A782+2),E782,INDIRECT("template!"&amp;"D"&amp;A783-2)))</f>
        <v>#REF!</v>
      </c>
      <c r="F783" t="e" cm="1">
        <f t="array" aca="1" ref="F783" ca="1">IF(OR(A783="",B783="safety"),"",IF(ISBLANK(IF(A783=A782+1,F782,INDIRECT("template!"&amp;"D"&amp;A783-1))),"",IF(A783=A782+1,F782,INDIRECT("template!"&amp;"D"&amp;A783-1))))</f>
        <v>#REF!</v>
      </c>
      <c r="G783" t="e" cm="1">
        <f t="array" aca="1" ref="G783" ca="1">IF(OR(A783="",B783="safety"),"",IF(ISBLANK(INDIRECT("template!"&amp;"D"&amp;A783)),"",INDIRECT("template!"&amp;"D"&amp;A783)))</f>
        <v>#REF!</v>
      </c>
      <c r="H783" t="e" cm="1">
        <f t="array" aca="1" ref="H783" ca="1">IF(OR(A783="",B783="safety"),"",IF(ISBLANK(INDIRECT("template!"&amp;"E"&amp;A783)),"",INDIRECT("template!"&amp;"E"&amp;A783)))</f>
        <v>#REF!</v>
      </c>
      <c r="I783" t="e" cm="1">
        <f t="array" aca="1" ref="I783" ca="1">IF(OR(A783="",B783="safety"),"",IF(ISBLANK(INDIRECT("template!"&amp;"F"&amp;A783)),"",INDIRECT("template!"&amp;"F"&amp;A783)))</f>
        <v>#REF!</v>
      </c>
      <c r="J783" t="e" cm="1">
        <f t="array" aca="1" ref="J783" ca="1">IF(OR(A783="",B783="safety"),"",IF(ISBLANK(INDIRECT("template!"&amp;"G"&amp;A783)),"",INDIRECT("template!"&amp;"G"&amp;A783)))</f>
        <v>#REF!</v>
      </c>
      <c r="K783" t="e" cm="1">
        <f t="array" aca="1" ref="K783" ca="1">IF(OR(A783="",B783="safety"),"",IF(ISBLANK(INDIRECT("template!"&amp;"H"&amp;A783)),"",INDIRECT("template!"&amp;"H"&amp;A783)))</f>
        <v>#REF!</v>
      </c>
      <c r="L783" t="e" cm="1">
        <f t="array" aca="1" ref="L783" ca="1">IF(OR(A783="",B783="safety"),"",INDIRECT("template!"&amp;"I"&amp;A783))</f>
        <v>#REF!</v>
      </c>
      <c r="M783" t="e" cm="1">
        <f t="array" aca="1" ref="M783" ca="1">IF(OR(A783="",B783="safety"),"",INDIRECT("template!"&amp;"J"&amp;A783))</f>
        <v>#REF!</v>
      </c>
      <c r="N783" t="e" cm="1">
        <f t="array" aca="1" ref="N783" ca="1">IF(OR(A783="",B783="safety"),"",IF(ISBLANK(INDIRECT("template!"&amp;"K"&amp;A783)),"",INDIRECT("template!"&amp;"K"&amp;A783)))</f>
        <v>#REF!</v>
      </c>
      <c r="O783" t="e" cm="1">
        <f t="array" aca="1" ref="O783" ca="1">IF(OR(A783="",B783="safety"),"",INDIRECT("template!"&amp;"L"&amp;A783))</f>
        <v>#REF!</v>
      </c>
      <c r="P783" t="e" cm="1">
        <f t="array" aca="1" ref="P783" ca="1">IF(OR(A783="",B783="safety"),"",INDIRECT("template!"&amp;"M"&amp;A783))</f>
        <v>#REF!</v>
      </c>
      <c r="Q783" t="e">
        <f t="shared" ca="1" si="70"/>
        <v>#REF!</v>
      </c>
      <c r="R783" t="e">
        <f t="shared" ca="1" si="71"/>
        <v>#REF!</v>
      </c>
      <c r="S783" t="e">
        <f t="shared" ca="1" si="72"/>
        <v>#REF!</v>
      </c>
      <c r="T783" t="e">
        <f t="shared" ca="1" si="73"/>
        <v>#REF!</v>
      </c>
      <c r="U783" t="e" cm="1">
        <f t="array" aca="1" ref="U783" ca="1">IF(A783="","",IF(E783="","",IF(B783="safety",INDIRECT("template!"&amp;"P"&amp;A783),Q783+R783)))</f>
        <v>#REF!</v>
      </c>
      <c r="V783" t="e" cm="1">
        <f t="array" aca="1" ref="V783" ca="1">IF(A783="","",IF(E783="","",IF(B783="safety",INDIRECT("template!"&amp;"P"&amp;A783),S783+T783)))</f>
        <v>#REF!</v>
      </c>
      <c r="W783" t="e">
        <f ca="1">IF(A783="","",IF(E783="","",#REF!))</f>
        <v>#REF!</v>
      </c>
      <c r="X783" t="e">
        <f ca="1">IF(A783="","",IF(E783="","",#REF!))</f>
        <v>#REF!</v>
      </c>
      <c r="Y783" s="39" t="e">
        <f ca="1">IF(A783="","",IF(E783="","",#REF!))</f>
        <v>#REF!</v>
      </c>
      <c r="Z783" t="e">
        <f ca="1">IF(A783="","",IF(E783="","",#REF!))</f>
        <v>#REF!</v>
      </c>
      <c r="AA783" t="e">
        <f ca="1">IF(A783="","",IF(E783="","",#REF!))</f>
        <v>#REF!</v>
      </c>
      <c r="AB783" t="e">
        <f ca="1">IF(A783="","",IF(E783="","",#REF!))</f>
        <v>#REF!</v>
      </c>
      <c r="AC783" t="e">
        <f t="shared" ca="1" si="74"/>
        <v>#REF!</v>
      </c>
    </row>
    <row r="784" spans="1:29" x14ac:dyDescent="0.35">
      <c r="A784" t="e" cm="1">
        <f t="array" aca="1" ref="A784" ca="1">IF(A783="","",IF(OR(AND(A783+1&gt;=$AF$1,A783+1&lt;=$AF$2),AND(A783+1&gt;=$AF$6,A783+1&lt;=$AF$7),AND(A783+1&gt;=$AF$3,A783+1&lt;=$AF$4),AND(A783+1&gt;=$AF$8,A783+1&lt;=$AF$9),A783+1=$AF$5),IF(NOT(ISBLANK(INDIRECT("template!"&amp;"P"&amp;A783+1))),A783+1,IF(NOT(ISBLANK(INDIRECT("template!"&amp;"P"&amp;A783+2))),A783+2,A783+3)),IF(A783=$AF$2,$AF$3,IF(A783=$AF$4,$AF$5,IF(A783=$AF$5,$AF$6,IF(A783=$AF$7,$AF$8,""))))))</f>
        <v>#REF!</v>
      </c>
      <c r="B784" t="e">
        <f t="shared" ca="1" si="69"/>
        <v>#REF!</v>
      </c>
      <c r="C784" t="e" cm="1">
        <f t="array" aca="1" ref="C784" ca="1">IF(A784="","",IF(B784="safety","safety costs",INDIRECT("template!"&amp;"B"&amp;A784)))</f>
        <v>#REF!</v>
      </c>
      <c r="D784" t="e" cm="1">
        <f t="array" aca="1" ref="D784" ca="1">IF(OR(A784="",B784="safety"),"",INDIRECT("template!"&amp;"C"&amp;A784))</f>
        <v>#REF!</v>
      </c>
      <c r="E784" t="e" cm="1">
        <f t="array" aca="1" ref="E784" ca="1">IF(A784="","",IF(OR(A784=A783+1,A784=A783+2),E783,INDIRECT("template!"&amp;"D"&amp;A784-2)))</f>
        <v>#REF!</v>
      </c>
      <c r="F784" t="e" cm="1">
        <f t="array" aca="1" ref="F784" ca="1">IF(OR(A784="",B784="safety"),"",IF(ISBLANK(IF(A784=A783+1,F783,INDIRECT("template!"&amp;"D"&amp;A784-1))),"",IF(A784=A783+1,F783,INDIRECT("template!"&amp;"D"&amp;A784-1))))</f>
        <v>#REF!</v>
      </c>
      <c r="G784" t="e" cm="1">
        <f t="array" aca="1" ref="G784" ca="1">IF(OR(A784="",B784="safety"),"",IF(ISBLANK(INDIRECT("template!"&amp;"D"&amp;A784)),"",INDIRECT("template!"&amp;"D"&amp;A784)))</f>
        <v>#REF!</v>
      </c>
      <c r="H784" t="e" cm="1">
        <f t="array" aca="1" ref="H784" ca="1">IF(OR(A784="",B784="safety"),"",IF(ISBLANK(INDIRECT("template!"&amp;"E"&amp;A784)),"",INDIRECT("template!"&amp;"E"&amp;A784)))</f>
        <v>#REF!</v>
      </c>
      <c r="I784" t="e" cm="1">
        <f t="array" aca="1" ref="I784" ca="1">IF(OR(A784="",B784="safety"),"",IF(ISBLANK(INDIRECT("template!"&amp;"F"&amp;A784)),"",INDIRECT("template!"&amp;"F"&amp;A784)))</f>
        <v>#REF!</v>
      </c>
      <c r="J784" t="e" cm="1">
        <f t="array" aca="1" ref="J784" ca="1">IF(OR(A784="",B784="safety"),"",IF(ISBLANK(INDIRECT("template!"&amp;"G"&amp;A784)),"",INDIRECT("template!"&amp;"G"&amp;A784)))</f>
        <v>#REF!</v>
      </c>
      <c r="K784" t="e" cm="1">
        <f t="array" aca="1" ref="K784" ca="1">IF(OR(A784="",B784="safety"),"",IF(ISBLANK(INDIRECT("template!"&amp;"H"&amp;A784)),"",INDIRECT("template!"&amp;"H"&amp;A784)))</f>
        <v>#REF!</v>
      </c>
      <c r="L784" t="e" cm="1">
        <f t="array" aca="1" ref="L784" ca="1">IF(OR(A784="",B784="safety"),"",INDIRECT("template!"&amp;"I"&amp;A784))</f>
        <v>#REF!</v>
      </c>
      <c r="M784" t="e" cm="1">
        <f t="array" aca="1" ref="M784" ca="1">IF(OR(A784="",B784="safety"),"",INDIRECT("template!"&amp;"J"&amp;A784))</f>
        <v>#REF!</v>
      </c>
      <c r="N784" t="e" cm="1">
        <f t="array" aca="1" ref="N784" ca="1">IF(OR(A784="",B784="safety"),"",IF(ISBLANK(INDIRECT("template!"&amp;"K"&amp;A784)),"",INDIRECT("template!"&amp;"K"&amp;A784)))</f>
        <v>#REF!</v>
      </c>
      <c r="O784" t="e" cm="1">
        <f t="array" aca="1" ref="O784" ca="1">IF(OR(A784="",B784="safety"),"",INDIRECT("template!"&amp;"L"&amp;A784))</f>
        <v>#REF!</v>
      </c>
      <c r="P784" t="e" cm="1">
        <f t="array" aca="1" ref="P784" ca="1">IF(OR(A784="",B784="safety"),"",INDIRECT("template!"&amp;"M"&amp;A784))</f>
        <v>#REF!</v>
      </c>
      <c r="Q784" t="e">
        <f t="shared" ca="1" si="70"/>
        <v>#REF!</v>
      </c>
      <c r="R784" t="e">
        <f t="shared" ca="1" si="71"/>
        <v>#REF!</v>
      </c>
      <c r="S784" t="e">
        <f t="shared" ca="1" si="72"/>
        <v>#REF!</v>
      </c>
      <c r="T784" t="e">
        <f t="shared" ca="1" si="73"/>
        <v>#REF!</v>
      </c>
      <c r="U784" t="e" cm="1">
        <f t="array" aca="1" ref="U784" ca="1">IF(A784="","",IF(E784="","",IF(B784="safety",INDIRECT("template!"&amp;"P"&amp;A784),Q784+R784)))</f>
        <v>#REF!</v>
      </c>
      <c r="V784" t="e" cm="1">
        <f t="array" aca="1" ref="V784" ca="1">IF(A784="","",IF(E784="","",IF(B784="safety",INDIRECT("template!"&amp;"P"&amp;A784),S784+T784)))</f>
        <v>#REF!</v>
      </c>
      <c r="W784" t="e">
        <f ca="1">IF(A784="","",IF(E784="","",#REF!))</f>
        <v>#REF!</v>
      </c>
      <c r="X784" t="e">
        <f ca="1">IF(A784="","",IF(E784="","",#REF!))</f>
        <v>#REF!</v>
      </c>
      <c r="Y784" s="39" t="e">
        <f ca="1">IF(A784="","",IF(E784="","",#REF!))</f>
        <v>#REF!</v>
      </c>
      <c r="Z784" t="e">
        <f ca="1">IF(A784="","",IF(E784="","",#REF!))</f>
        <v>#REF!</v>
      </c>
      <c r="AA784" t="e">
        <f ca="1">IF(A784="","",IF(E784="","",#REF!))</f>
        <v>#REF!</v>
      </c>
      <c r="AB784" t="e">
        <f ca="1">IF(A784="","",IF(E784="","",#REF!))</f>
        <v>#REF!</v>
      </c>
      <c r="AC784" t="e">
        <f t="shared" ca="1" si="74"/>
        <v>#REF!</v>
      </c>
    </row>
    <row r="785" spans="1:29" x14ac:dyDescent="0.35">
      <c r="A785" t="e" cm="1">
        <f t="array" aca="1" ref="A785" ca="1">IF(A784="","",IF(OR(AND(A784+1&gt;=$AF$1,A784+1&lt;=$AF$2),AND(A784+1&gt;=$AF$6,A784+1&lt;=$AF$7),AND(A784+1&gt;=$AF$3,A784+1&lt;=$AF$4),AND(A784+1&gt;=$AF$8,A784+1&lt;=$AF$9),A784+1=$AF$5),IF(NOT(ISBLANK(INDIRECT("template!"&amp;"P"&amp;A784+1))),A784+1,IF(NOT(ISBLANK(INDIRECT("template!"&amp;"P"&amp;A784+2))),A784+2,A784+3)),IF(A784=$AF$2,$AF$3,IF(A784=$AF$4,$AF$5,IF(A784=$AF$5,$AF$6,IF(A784=$AF$7,$AF$8,""))))))</f>
        <v>#REF!</v>
      </c>
      <c r="B785" t="e">
        <f t="shared" ca="1" si="69"/>
        <v>#REF!</v>
      </c>
      <c r="C785" t="e" cm="1">
        <f t="array" aca="1" ref="C785" ca="1">IF(A785="","",IF(B785="safety","safety costs",INDIRECT("template!"&amp;"B"&amp;A785)))</f>
        <v>#REF!</v>
      </c>
      <c r="D785" t="e" cm="1">
        <f t="array" aca="1" ref="D785" ca="1">IF(OR(A785="",B785="safety"),"",INDIRECT("template!"&amp;"C"&amp;A785))</f>
        <v>#REF!</v>
      </c>
      <c r="E785" t="e" cm="1">
        <f t="array" aca="1" ref="E785" ca="1">IF(A785="","",IF(OR(A785=A784+1,A785=A784+2),E784,INDIRECT("template!"&amp;"D"&amp;A785-2)))</f>
        <v>#REF!</v>
      </c>
      <c r="F785" t="e" cm="1">
        <f t="array" aca="1" ref="F785" ca="1">IF(OR(A785="",B785="safety"),"",IF(ISBLANK(IF(A785=A784+1,F784,INDIRECT("template!"&amp;"D"&amp;A785-1))),"",IF(A785=A784+1,F784,INDIRECT("template!"&amp;"D"&amp;A785-1))))</f>
        <v>#REF!</v>
      </c>
      <c r="G785" t="e" cm="1">
        <f t="array" aca="1" ref="G785" ca="1">IF(OR(A785="",B785="safety"),"",IF(ISBLANK(INDIRECT("template!"&amp;"D"&amp;A785)),"",INDIRECT("template!"&amp;"D"&amp;A785)))</f>
        <v>#REF!</v>
      </c>
      <c r="H785" t="e" cm="1">
        <f t="array" aca="1" ref="H785" ca="1">IF(OR(A785="",B785="safety"),"",IF(ISBLANK(INDIRECT("template!"&amp;"E"&amp;A785)),"",INDIRECT("template!"&amp;"E"&amp;A785)))</f>
        <v>#REF!</v>
      </c>
      <c r="I785" t="e" cm="1">
        <f t="array" aca="1" ref="I785" ca="1">IF(OR(A785="",B785="safety"),"",IF(ISBLANK(INDIRECT("template!"&amp;"F"&amp;A785)),"",INDIRECT("template!"&amp;"F"&amp;A785)))</f>
        <v>#REF!</v>
      </c>
      <c r="J785" t="e" cm="1">
        <f t="array" aca="1" ref="J785" ca="1">IF(OR(A785="",B785="safety"),"",IF(ISBLANK(INDIRECT("template!"&amp;"G"&amp;A785)),"",INDIRECT("template!"&amp;"G"&amp;A785)))</f>
        <v>#REF!</v>
      </c>
      <c r="K785" t="e" cm="1">
        <f t="array" aca="1" ref="K785" ca="1">IF(OR(A785="",B785="safety"),"",IF(ISBLANK(INDIRECT("template!"&amp;"H"&amp;A785)),"",INDIRECT("template!"&amp;"H"&amp;A785)))</f>
        <v>#REF!</v>
      </c>
      <c r="L785" t="e" cm="1">
        <f t="array" aca="1" ref="L785" ca="1">IF(OR(A785="",B785="safety"),"",INDIRECT("template!"&amp;"I"&amp;A785))</f>
        <v>#REF!</v>
      </c>
      <c r="M785" t="e" cm="1">
        <f t="array" aca="1" ref="M785" ca="1">IF(OR(A785="",B785="safety"),"",INDIRECT("template!"&amp;"J"&amp;A785))</f>
        <v>#REF!</v>
      </c>
      <c r="N785" t="e" cm="1">
        <f t="array" aca="1" ref="N785" ca="1">IF(OR(A785="",B785="safety"),"",IF(ISBLANK(INDIRECT("template!"&amp;"K"&amp;A785)),"",INDIRECT("template!"&amp;"K"&amp;A785)))</f>
        <v>#REF!</v>
      </c>
      <c r="O785" t="e" cm="1">
        <f t="array" aca="1" ref="O785" ca="1">IF(OR(A785="",B785="safety"),"",INDIRECT("template!"&amp;"L"&amp;A785))</f>
        <v>#REF!</v>
      </c>
      <c r="P785" t="e" cm="1">
        <f t="array" aca="1" ref="P785" ca="1">IF(OR(A785="",B785="safety"),"",INDIRECT("template!"&amp;"M"&amp;A785))</f>
        <v>#REF!</v>
      </c>
      <c r="Q785" t="e">
        <f t="shared" ca="1" si="70"/>
        <v>#REF!</v>
      </c>
      <c r="R785" t="e">
        <f t="shared" ca="1" si="71"/>
        <v>#REF!</v>
      </c>
      <c r="S785" t="e">
        <f t="shared" ca="1" si="72"/>
        <v>#REF!</v>
      </c>
      <c r="T785" t="e">
        <f t="shared" ca="1" si="73"/>
        <v>#REF!</v>
      </c>
      <c r="U785" t="e" cm="1">
        <f t="array" aca="1" ref="U785" ca="1">IF(A785="","",IF(E785="","",IF(B785="safety",INDIRECT("template!"&amp;"P"&amp;A785),Q785+R785)))</f>
        <v>#REF!</v>
      </c>
      <c r="V785" t="e" cm="1">
        <f t="array" aca="1" ref="V785" ca="1">IF(A785="","",IF(E785="","",IF(B785="safety",INDIRECT("template!"&amp;"P"&amp;A785),S785+T785)))</f>
        <v>#REF!</v>
      </c>
      <c r="W785" t="e">
        <f ca="1">IF(A785="","",IF(E785="","",#REF!))</f>
        <v>#REF!</v>
      </c>
      <c r="X785" t="e">
        <f ca="1">IF(A785="","",IF(E785="","",#REF!))</f>
        <v>#REF!</v>
      </c>
      <c r="Y785" s="39" t="e">
        <f ca="1">IF(A785="","",IF(E785="","",#REF!))</f>
        <v>#REF!</v>
      </c>
      <c r="Z785" t="e">
        <f ca="1">IF(A785="","",IF(E785="","",#REF!))</f>
        <v>#REF!</v>
      </c>
      <c r="AA785" t="e">
        <f ca="1">IF(A785="","",IF(E785="","",#REF!))</f>
        <v>#REF!</v>
      </c>
      <c r="AB785" t="e">
        <f ca="1">IF(A785="","",IF(E785="","",#REF!))</f>
        <v>#REF!</v>
      </c>
      <c r="AC785" t="e">
        <f t="shared" ca="1" si="74"/>
        <v>#REF!</v>
      </c>
    </row>
    <row r="786" spans="1:29" x14ac:dyDescent="0.35">
      <c r="A786" t="e" cm="1">
        <f t="array" aca="1" ref="A786" ca="1">IF(A785="","",IF(OR(AND(A785+1&gt;=$AF$1,A785+1&lt;=$AF$2),AND(A785+1&gt;=$AF$6,A785+1&lt;=$AF$7),AND(A785+1&gt;=$AF$3,A785+1&lt;=$AF$4),AND(A785+1&gt;=$AF$8,A785+1&lt;=$AF$9),A785+1=$AF$5),IF(NOT(ISBLANK(INDIRECT("template!"&amp;"P"&amp;A785+1))),A785+1,IF(NOT(ISBLANK(INDIRECT("template!"&amp;"P"&amp;A785+2))),A785+2,A785+3)),IF(A785=$AF$2,$AF$3,IF(A785=$AF$4,$AF$5,IF(A785=$AF$5,$AF$6,IF(A785=$AF$7,$AF$8,""))))))</f>
        <v>#REF!</v>
      </c>
      <c r="B786" t="e">
        <f t="shared" ca="1" si="69"/>
        <v>#REF!</v>
      </c>
      <c r="C786" t="e" cm="1">
        <f t="array" aca="1" ref="C786" ca="1">IF(A786="","",IF(B786="safety","safety costs",INDIRECT("template!"&amp;"B"&amp;A786)))</f>
        <v>#REF!</v>
      </c>
      <c r="D786" t="e" cm="1">
        <f t="array" aca="1" ref="D786" ca="1">IF(OR(A786="",B786="safety"),"",INDIRECT("template!"&amp;"C"&amp;A786))</f>
        <v>#REF!</v>
      </c>
      <c r="E786" t="e" cm="1">
        <f t="array" aca="1" ref="E786" ca="1">IF(A786="","",IF(OR(A786=A785+1,A786=A785+2),E785,INDIRECT("template!"&amp;"D"&amp;A786-2)))</f>
        <v>#REF!</v>
      </c>
      <c r="F786" t="e" cm="1">
        <f t="array" aca="1" ref="F786" ca="1">IF(OR(A786="",B786="safety"),"",IF(ISBLANK(IF(A786=A785+1,F785,INDIRECT("template!"&amp;"D"&amp;A786-1))),"",IF(A786=A785+1,F785,INDIRECT("template!"&amp;"D"&amp;A786-1))))</f>
        <v>#REF!</v>
      </c>
      <c r="G786" t="e" cm="1">
        <f t="array" aca="1" ref="G786" ca="1">IF(OR(A786="",B786="safety"),"",IF(ISBLANK(INDIRECT("template!"&amp;"D"&amp;A786)),"",INDIRECT("template!"&amp;"D"&amp;A786)))</f>
        <v>#REF!</v>
      </c>
      <c r="H786" t="e" cm="1">
        <f t="array" aca="1" ref="H786" ca="1">IF(OR(A786="",B786="safety"),"",IF(ISBLANK(INDIRECT("template!"&amp;"E"&amp;A786)),"",INDIRECT("template!"&amp;"E"&amp;A786)))</f>
        <v>#REF!</v>
      </c>
      <c r="I786" t="e" cm="1">
        <f t="array" aca="1" ref="I786" ca="1">IF(OR(A786="",B786="safety"),"",IF(ISBLANK(INDIRECT("template!"&amp;"F"&amp;A786)),"",INDIRECT("template!"&amp;"F"&amp;A786)))</f>
        <v>#REF!</v>
      </c>
      <c r="J786" t="e" cm="1">
        <f t="array" aca="1" ref="J786" ca="1">IF(OR(A786="",B786="safety"),"",IF(ISBLANK(INDIRECT("template!"&amp;"G"&amp;A786)),"",INDIRECT("template!"&amp;"G"&amp;A786)))</f>
        <v>#REF!</v>
      </c>
      <c r="K786" t="e" cm="1">
        <f t="array" aca="1" ref="K786" ca="1">IF(OR(A786="",B786="safety"),"",IF(ISBLANK(INDIRECT("template!"&amp;"H"&amp;A786)),"",INDIRECT("template!"&amp;"H"&amp;A786)))</f>
        <v>#REF!</v>
      </c>
      <c r="L786" t="e" cm="1">
        <f t="array" aca="1" ref="L786" ca="1">IF(OR(A786="",B786="safety"),"",INDIRECT("template!"&amp;"I"&amp;A786))</f>
        <v>#REF!</v>
      </c>
      <c r="M786" t="e" cm="1">
        <f t="array" aca="1" ref="M786" ca="1">IF(OR(A786="",B786="safety"),"",INDIRECT("template!"&amp;"J"&amp;A786))</f>
        <v>#REF!</v>
      </c>
      <c r="N786" t="e" cm="1">
        <f t="array" aca="1" ref="N786" ca="1">IF(OR(A786="",B786="safety"),"",IF(ISBLANK(INDIRECT("template!"&amp;"K"&amp;A786)),"",INDIRECT("template!"&amp;"K"&amp;A786)))</f>
        <v>#REF!</v>
      </c>
      <c r="O786" t="e" cm="1">
        <f t="array" aca="1" ref="O786" ca="1">IF(OR(A786="",B786="safety"),"",INDIRECT("template!"&amp;"L"&amp;A786))</f>
        <v>#REF!</v>
      </c>
      <c r="P786" t="e" cm="1">
        <f t="array" aca="1" ref="P786" ca="1">IF(OR(A786="",B786="safety"),"",INDIRECT("template!"&amp;"M"&amp;A786))</f>
        <v>#REF!</v>
      </c>
      <c r="Q786" t="e">
        <f t="shared" ca="1" si="70"/>
        <v>#REF!</v>
      </c>
      <c r="R786" t="e">
        <f t="shared" ca="1" si="71"/>
        <v>#REF!</v>
      </c>
      <c r="S786" t="e">
        <f t="shared" ca="1" si="72"/>
        <v>#REF!</v>
      </c>
      <c r="T786" t="e">
        <f t="shared" ca="1" si="73"/>
        <v>#REF!</v>
      </c>
      <c r="U786" t="e" cm="1">
        <f t="array" aca="1" ref="U786" ca="1">IF(A786="","",IF(E786="","",IF(B786="safety",INDIRECT("template!"&amp;"P"&amp;A786),Q786+R786)))</f>
        <v>#REF!</v>
      </c>
      <c r="V786" t="e" cm="1">
        <f t="array" aca="1" ref="V786" ca="1">IF(A786="","",IF(E786="","",IF(B786="safety",INDIRECT("template!"&amp;"P"&amp;A786),S786+T786)))</f>
        <v>#REF!</v>
      </c>
      <c r="W786" t="e">
        <f ca="1">IF(A786="","",IF(E786="","",#REF!))</f>
        <v>#REF!</v>
      </c>
      <c r="X786" t="e">
        <f ca="1">IF(A786="","",IF(E786="","",#REF!))</f>
        <v>#REF!</v>
      </c>
      <c r="Y786" s="39" t="e">
        <f ca="1">IF(A786="","",IF(E786="","",#REF!))</f>
        <v>#REF!</v>
      </c>
      <c r="Z786" t="e">
        <f ca="1">IF(A786="","",IF(E786="","",#REF!))</f>
        <v>#REF!</v>
      </c>
      <c r="AA786" t="e">
        <f ca="1">IF(A786="","",IF(E786="","",#REF!))</f>
        <v>#REF!</v>
      </c>
      <c r="AB786" t="e">
        <f ca="1">IF(A786="","",IF(E786="","",#REF!))</f>
        <v>#REF!</v>
      </c>
      <c r="AC786" t="e">
        <f t="shared" ca="1" si="74"/>
        <v>#REF!</v>
      </c>
    </row>
    <row r="787" spans="1:29" x14ac:dyDescent="0.35">
      <c r="A787" t="e" cm="1">
        <f t="array" aca="1" ref="A787" ca="1">IF(A786="","",IF(OR(AND(A786+1&gt;=$AF$1,A786+1&lt;=$AF$2),AND(A786+1&gt;=$AF$6,A786+1&lt;=$AF$7),AND(A786+1&gt;=$AF$3,A786+1&lt;=$AF$4),AND(A786+1&gt;=$AF$8,A786+1&lt;=$AF$9),A786+1=$AF$5),IF(NOT(ISBLANK(INDIRECT("template!"&amp;"P"&amp;A786+1))),A786+1,IF(NOT(ISBLANK(INDIRECT("template!"&amp;"P"&amp;A786+2))),A786+2,A786+3)),IF(A786=$AF$2,$AF$3,IF(A786=$AF$4,$AF$5,IF(A786=$AF$5,$AF$6,IF(A786=$AF$7,$AF$8,""))))))</f>
        <v>#REF!</v>
      </c>
      <c r="B787" t="e">
        <f t="shared" ca="1" si="69"/>
        <v>#REF!</v>
      </c>
      <c r="C787" t="e" cm="1">
        <f t="array" aca="1" ref="C787" ca="1">IF(A787="","",IF(B787="safety","safety costs",INDIRECT("template!"&amp;"B"&amp;A787)))</f>
        <v>#REF!</v>
      </c>
      <c r="D787" t="e" cm="1">
        <f t="array" aca="1" ref="D787" ca="1">IF(OR(A787="",B787="safety"),"",INDIRECT("template!"&amp;"C"&amp;A787))</f>
        <v>#REF!</v>
      </c>
      <c r="E787" t="e" cm="1">
        <f t="array" aca="1" ref="E787" ca="1">IF(A787="","",IF(OR(A787=A786+1,A787=A786+2),E786,INDIRECT("template!"&amp;"D"&amp;A787-2)))</f>
        <v>#REF!</v>
      </c>
      <c r="F787" t="e" cm="1">
        <f t="array" aca="1" ref="F787" ca="1">IF(OR(A787="",B787="safety"),"",IF(ISBLANK(IF(A787=A786+1,F786,INDIRECT("template!"&amp;"D"&amp;A787-1))),"",IF(A787=A786+1,F786,INDIRECT("template!"&amp;"D"&amp;A787-1))))</f>
        <v>#REF!</v>
      </c>
      <c r="G787" t="e" cm="1">
        <f t="array" aca="1" ref="G787" ca="1">IF(OR(A787="",B787="safety"),"",IF(ISBLANK(INDIRECT("template!"&amp;"D"&amp;A787)),"",INDIRECT("template!"&amp;"D"&amp;A787)))</f>
        <v>#REF!</v>
      </c>
      <c r="H787" t="e" cm="1">
        <f t="array" aca="1" ref="H787" ca="1">IF(OR(A787="",B787="safety"),"",IF(ISBLANK(INDIRECT("template!"&amp;"E"&amp;A787)),"",INDIRECT("template!"&amp;"E"&amp;A787)))</f>
        <v>#REF!</v>
      </c>
      <c r="I787" t="e" cm="1">
        <f t="array" aca="1" ref="I787" ca="1">IF(OR(A787="",B787="safety"),"",IF(ISBLANK(INDIRECT("template!"&amp;"F"&amp;A787)),"",INDIRECT("template!"&amp;"F"&amp;A787)))</f>
        <v>#REF!</v>
      </c>
      <c r="J787" t="e" cm="1">
        <f t="array" aca="1" ref="J787" ca="1">IF(OR(A787="",B787="safety"),"",IF(ISBLANK(INDIRECT("template!"&amp;"G"&amp;A787)),"",INDIRECT("template!"&amp;"G"&amp;A787)))</f>
        <v>#REF!</v>
      </c>
      <c r="K787" t="e" cm="1">
        <f t="array" aca="1" ref="K787" ca="1">IF(OR(A787="",B787="safety"),"",IF(ISBLANK(INDIRECT("template!"&amp;"H"&amp;A787)),"",INDIRECT("template!"&amp;"H"&amp;A787)))</f>
        <v>#REF!</v>
      </c>
      <c r="L787" t="e" cm="1">
        <f t="array" aca="1" ref="L787" ca="1">IF(OR(A787="",B787="safety"),"",INDIRECT("template!"&amp;"I"&amp;A787))</f>
        <v>#REF!</v>
      </c>
      <c r="M787" t="e" cm="1">
        <f t="array" aca="1" ref="M787" ca="1">IF(OR(A787="",B787="safety"),"",INDIRECT("template!"&amp;"J"&amp;A787))</f>
        <v>#REF!</v>
      </c>
      <c r="N787" t="e" cm="1">
        <f t="array" aca="1" ref="N787" ca="1">IF(OR(A787="",B787="safety"),"",IF(ISBLANK(INDIRECT("template!"&amp;"K"&amp;A787)),"",INDIRECT("template!"&amp;"K"&amp;A787)))</f>
        <v>#REF!</v>
      </c>
      <c r="O787" t="e" cm="1">
        <f t="array" aca="1" ref="O787" ca="1">IF(OR(A787="",B787="safety"),"",INDIRECT("template!"&amp;"L"&amp;A787))</f>
        <v>#REF!</v>
      </c>
      <c r="P787" t="e" cm="1">
        <f t="array" aca="1" ref="P787" ca="1">IF(OR(A787="",B787="safety"),"",INDIRECT("template!"&amp;"M"&amp;A787))</f>
        <v>#REF!</v>
      </c>
      <c r="Q787" t="e">
        <f t="shared" ca="1" si="70"/>
        <v>#REF!</v>
      </c>
      <c r="R787" t="e">
        <f t="shared" ca="1" si="71"/>
        <v>#REF!</v>
      </c>
      <c r="S787" t="e">
        <f t="shared" ca="1" si="72"/>
        <v>#REF!</v>
      </c>
      <c r="T787" t="e">
        <f t="shared" ca="1" si="73"/>
        <v>#REF!</v>
      </c>
      <c r="U787" t="e" cm="1">
        <f t="array" aca="1" ref="U787" ca="1">IF(A787="","",IF(E787="","",IF(B787="safety",INDIRECT("template!"&amp;"P"&amp;A787),Q787+R787)))</f>
        <v>#REF!</v>
      </c>
      <c r="V787" t="e" cm="1">
        <f t="array" aca="1" ref="V787" ca="1">IF(A787="","",IF(E787="","",IF(B787="safety",INDIRECT("template!"&amp;"P"&amp;A787),S787+T787)))</f>
        <v>#REF!</v>
      </c>
      <c r="W787" t="e">
        <f ca="1">IF(A787="","",IF(E787="","",#REF!))</f>
        <v>#REF!</v>
      </c>
      <c r="X787" t="e">
        <f ca="1">IF(A787="","",IF(E787="","",#REF!))</f>
        <v>#REF!</v>
      </c>
      <c r="Y787" s="39" t="e">
        <f ca="1">IF(A787="","",IF(E787="","",#REF!))</f>
        <v>#REF!</v>
      </c>
      <c r="Z787" t="e">
        <f ca="1">IF(A787="","",IF(E787="","",#REF!))</f>
        <v>#REF!</v>
      </c>
      <c r="AA787" t="e">
        <f ca="1">IF(A787="","",IF(E787="","",#REF!))</f>
        <v>#REF!</v>
      </c>
      <c r="AB787" t="e">
        <f ca="1">IF(A787="","",IF(E787="","",#REF!))</f>
        <v>#REF!</v>
      </c>
      <c r="AC787" t="e">
        <f t="shared" ca="1" si="74"/>
        <v>#REF!</v>
      </c>
    </row>
    <row r="788" spans="1:29" x14ac:dyDescent="0.35">
      <c r="A788" t="e" cm="1">
        <f t="array" aca="1" ref="A788" ca="1">IF(A787="","",IF(OR(AND(A787+1&gt;=$AF$1,A787+1&lt;=$AF$2),AND(A787+1&gt;=$AF$6,A787+1&lt;=$AF$7),AND(A787+1&gt;=$AF$3,A787+1&lt;=$AF$4),AND(A787+1&gt;=$AF$8,A787+1&lt;=$AF$9),A787+1=$AF$5),IF(NOT(ISBLANK(INDIRECT("template!"&amp;"P"&amp;A787+1))),A787+1,IF(NOT(ISBLANK(INDIRECT("template!"&amp;"P"&amp;A787+2))),A787+2,A787+3)),IF(A787=$AF$2,$AF$3,IF(A787=$AF$4,$AF$5,IF(A787=$AF$5,$AF$6,IF(A787=$AF$7,$AF$8,""))))))</f>
        <v>#REF!</v>
      </c>
      <c r="B788" t="e">
        <f t="shared" ca="1" si="69"/>
        <v>#REF!</v>
      </c>
      <c r="C788" t="e" cm="1">
        <f t="array" aca="1" ref="C788" ca="1">IF(A788="","",IF(B788="safety","safety costs",INDIRECT("template!"&amp;"B"&amp;A788)))</f>
        <v>#REF!</v>
      </c>
      <c r="D788" t="e" cm="1">
        <f t="array" aca="1" ref="D788" ca="1">IF(OR(A788="",B788="safety"),"",INDIRECT("template!"&amp;"C"&amp;A788))</f>
        <v>#REF!</v>
      </c>
      <c r="E788" t="e" cm="1">
        <f t="array" aca="1" ref="E788" ca="1">IF(A788="","",IF(OR(A788=A787+1,A788=A787+2),E787,INDIRECT("template!"&amp;"D"&amp;A788-2)))</f>
        <v>#REF!</v>
      </c>
      <c r="F788" t="e" cm="1">
        <f t="array" aca="1" ref="F788" ca="1">IF(OR(A788="",B788="safety"),"",IF(ISBLANK(IF(A788=A787+1,F787,INDIRECT("template!"&amp;"D"&amp;A788-1))),"",IF(A788=A787+1,F787,INDIRECT("template!"&amp;"D"&amp;A788-1))))</f>
        <v>#REF!</v>
      </c>
      <c r="G788" t="e" cm="1">
        <f t="array" aca="1" ref="G788" ca="1">IF(OR(A788="",B788="safety"),"",IF(ISBLANK(INDIRECT("template!"&amp;"D"&amp;A788)),"",INDIRECT("template!"&amp;"D"&amp;A788)))</f>
        <v>#REF!</v>
      </c>
      <c r="H788" t="e" cm="1">
        <f t="array" aca="1" ref="H788" ca="1">IF(OR(A788="",B788="safety"),"",IF(ISBLANK(INDIRECT("template!"&amp;"E"&amp;A788)),"",INDIRECT("template!"&amp;"E"&amp;A788)))</f>
        <v>#REF!</v>
      </c>
      <c r="I788" t="e" cm="1">
        <f t="array" aca="1" ref="I788" ca="1">IF(OR(A788="",B788="safety"),"",IF(ISBLANK(INDIRECT("template!"&amp;"F"&amp;A788)),"",INDIRECT("template!"&amp;"F"&amp;A788)))</f>
        <v>#REF!</v>
      </c>
      <c r="J788" t="e" cm="1">
        <f t="array" aca="1" ref="J788" ca="1">IF(OR(A788="",B788="safety"),"",IF(ISBLANK(INDIRECT("template!"&amp;"G"&amp;A788)),"",INDIRECT("template!"&amp;"G"&amp;A788)))</f>
        <v>#REF!</v>
      </c>
      <c r="K788" t="e" cm="1">
        <f t="array" aca="1" ref="K788" ca="1">IF(OR(A788="",B788="safety"),"",IF(ISBLANK(INDIRECT("template!"&amp;"H"&amp;A788)),"",INDIRECT("template!"&amp;"H"&amp;A788)))</f>
        <v>#REF!</v>
      </c>
      <c r="L788" t="e" cm="1">
        <f t="array" aca="1" ref="L788" ca="1">IF(OR(A788="",B788="safety"),"",INDIRECT("template!"&amp;"I"&amp;A788))</f>
        <v>#REF!</v>
      </c>
      <c r="M788" t="e" cm="1">
        <f t="array" aca="1" ref="M788" ca="1">IF(OR(A788="",B788="safety"),"",INDIRECT("template!"&amp;"J"&amp;A788))</f>
        <v>#REF!</v>
      </c>
      <c r="N788" t="e" cm="1">
        <f t="array" aca="1" ref="N788" ca="1">IF(OR(A788="",B788="safety"),"",IF(ISBLANK(INDIRECT("template!"&amp;"K"&amp;A788)),"",INDIRECT("template!"&amp;"K"&amp;A788)))</f>
        <v>#REF!</v>
      </c>
      <c r="O788" t="e" cm="1">
        <f t="array" aca="1" ref="O788" ca="1">IF(OR(A788="",B788="safety"),"",INDIRECT("template!"&amp;"L"&amp;A788))</f>
        <v>#REF!</v>
      </c>
      <c r="P788" t="e" cm="1">
        <f t="array" aca="1" ref="P788" ca="1">IF(OR(A788="",B788="safety"),"",INDIRECT("template!"&amp;"M"&amp;A788))</f>
        <v>#REF!</v>
      </c>
      <c r="Q788" t="e">
        <f t="shared" ca="1" si="70"/>
        <v>#REF!</v>
      </c>
      <c r="R788" t="e">
        <f t="shared" ca="1" si="71"/>
        <v>#REF!</v>
      </c>
      <c r="S788" t="e">
        <f t="shared" ca="1" si="72"/>
        <v>#REF!</v>
      </c>
      <c r="T788" t="e">
        <f t="shared" ca="1" si="73"/>
        <v>#REF!</v>
      </c>
      <c r="U788" t="e" cm="1">
        <f t="array" aca="1" ref="U788" ca="1">IF(A788="","",IF(E788="","",IF(B788="safety",INDIRECT("template!"&amp;"P"&amp;A788),Q788+R788)))</f>
        <v>#REF!</v>
      </c>
      <c r="V788" t="e" cm="1">
        <f t="array" aca="1" ref="V788" ca="1">IF(A788="","",IF(E788="","",IF(B788="safety",INDIRECT("template!"&amp;"P"&amp;A788),S788+T788)))</f>
        <v>#REF!</v>
      </c>
      <c r="W788" t="e">
        <f ca="1">IF(A788="","",IF(E788="","",#REF!))</f>
        <v>#REF!</v>
      </c>
      <c r="X788" t="e">
        <f ca="1">IF(A788="","",IF(E788="","",#REF!))</f>
        <v>#REF!</v>
      </c>
      <c r="Y788" s="39" t="e">
        <f ca="1">IF(A788="","",IF(E788="","",#REF!))</f>
        <v>#REF!</v>
      </c>
      <c r="Z788" t="e">
        <f ca="1">IF(A788="","",IF(E788="","",#REF!))</f>
        <v>#REF!</v>
      </c>
      <c r="AA788" t="e">
        <f ca="1">IF(A788="","",IF(E788="","",#REF!))</f>
        <v>#REF!</v>
      </c>
      <c r="AB788" t="e">
        <f ca="1">IF(A788="","",IF(E788="","",#REF!))</f>
        <v>#REF!</v>
      </c>
      <c r="AC788" t="e">
        <f t="shared" ca="1" si="74"/>
        <v>#REF!</v>
      </c>
    </row>
    <row r="789" spans="1:29" x14ac:dyDescent="0.35">
      <c r="A789" t="e" cm="1">
        <f t="array" aca="1" ref="A789" ca="1">IF(A788="","",IF(OR(AND(A788+1&gt;=$AF$1,A788+1&lt;=$AF$2),AND(A788+1&gt;=$AF$6,A788+1&lt;=$AF$7),AND(A788+1&gt;=$AF$3,A788+1&lt;=$AF$4),AND(A788+1&gt;=$AF$8,A788+1&lt;=$AF$9),A788+1=$AF$5),IF(NOT(ISBLANK(INDIRECT("template!"&amp;"P"&amp;A788+1))),A788+1,IF(NOT(ISBLANK(INDIRECT("template!"&amp;"P"&amp;A788+2))),A788+2,A788+3)),IF(A788=$AF$2,$AF$3,IF(A788=$AF$4,$AF$5,IF(A788=$AF$5,$AF$6,IF(A788=$AF$7,$AF$8,""))))))</f>
        <v>#REF!</v>
      </c>
      <c r="B789" t="e">
        <f t="shared" ca="1" si="69"/>
        <v>#REF!</v>
      </c>
      <c r="C789" t="e" cm="1">
        <f t="array" aca="1" ref="C789" ca="1">IF(A789="","",IF(B789="safety","safety costs",INDIRECT("template!"&amp;"B"&amp;A789)))</f>
        <v>#REF!</v>
      </c>
      <c r="D789" t="e" cm="1">
        <f t="array" aca="1" ref="D789" ca="1">IF(OR(A789="",B789="safety"),"",INDIRECT("template!"&amp;"C"&amp;A789))</f>
        <v>#REF!</v>
      </c>
      <c r="E789" t="e" cm="1">
        <f t="array" aca="1" ref="E789" ca="1">IF(A789="","",IF(OR(A789=A788+1,A789=A788+2),E788,INDIRECT("template!"&amp;"D"&amp;A789-2)))</f>
        <v>#REF!</v>
      </c>
      <c r="F789" t="e" cm="1">
        <f t="array" aca="1" ref="F789" ca="1">IF(OR(A789="",B789="safety"),"",IF(ISBLANK(IF(A789=A788+1,F788,INDIRECT("template!"&amp;"D"&amp;A789-1))),"",IF(A789=A788+1,F788,INDIRECT("template!"&amp;"D"&amp;A789-1))))</f>
        <v>#REF!</v>
      </c>
      <c r="G789" t="e" cm="1">
        <f t="array" aca="1" ref="G789" ca="1">IF(OR(A789="",B789="safety"),"",IF(ISBLANK(INDIRECT("template!"&amp;"D"&amp;A789)),"",INDIRECT("template!"&amp;"D"&amp;A789)))</f>
        <v>#REF!</v>
      </c>
      <c r="H789" t="e" cm="1">
        <f t="array" aca="1" ref="H789" ca="1">IF(OR(A789="",B789="safety"),"",IF(ISBLANK(INDIRECT("template!"&amp;"E"&amp;A789)),"",INDIRECT("template!"&amp;"E"&amp;A789)))</f>
        <v>#REF!</v>
      </c>
      <c r="I789" t="e" cm="1">
        <f t="array" aca="1" ref="I789" ca="1">IF(OR(A789="",B789="safety"),"",IF(ISBLANK(INDIRECT("template!"&amp;"F"&amp;A789)),"",INDIRECT("template!"&amp;"F"&amp;A789)))</f>
        <v>#REF!</v>
      </c>
      <c r="J789" t="e" cm="1">
        <f t="array" aca="1" ref="J789" ca="1">IF(OR(A789="",B789="safety"),"",IF(ISBLANK(INDIRECT("template!"&amp;"G"&amp;A789)),"",INDIRECT("template!"&amp;"G"&amp;A789)))</f>
        <v>#REF!</v>
      </c>
      <c r="K789" t="e" cm="1">
        <f t="array" aca="1" ref="K789" ca="1">IF(OR(A789="",B789="safety"),"",IF(ISBLANK(INDIRECT("template!"&amp;"H"&amp;A789)),"",INDIRECT("template!"&amp;"H"&amp;A789)))</f>
        <v>#REF!</v>
      </c>
      <c r="L789" t="e" cm="1">
        <f t="array" aca="1" ref="L789" ca="1">IF(OR(A789="",B789="safety"),"",INDIRECT("template!"&amp;"I"&amp;A789))</f>
        <v>#REF!</v>
      </c>
      <c r="M789" t="e" cm="1">
        <f t="array" aca="1" ref="M789" ca="1">IF(OR(A789="",B789="safety"),"",INDIRECT("template!"&amp;"J"&amp;A789))</f>
        <v>#REF!</v>
      </c>
      <c r="N789" t="e" cm="1">
        <f t="array" aca="1" ref="N789" ca="1">IF(OR(A789="",B789="safety"),"",IF(ISBLANK(INDIRECT("template!"&amp;"K"&amp;A789)),"",INDIRECT("template!"&amp;"K"&amp;A789)))</f>
        <v>#REF!</v>
      </c>
      <c r="O789" t="e" cm="1">
        <f t="array" aca="1" ref="O789" ca="1">IF(OR(A789="",B789="safety"),"",INDIRECT("template!"&amp;"L"&amp;A789))</f>
        <v>#REF!</v>
      </c>
      <c r="P789" t="e" cm="1">
        <f t="array" aca="1" ref="P789" ca="1">IF(OR(A789="",B789="safety"),"",INDIRECT("template!"&amp;"M"&amp;A789))</f>
        <v>#REF!</v>
      </c>
      <c r="Q789" t="e">
        <f t="shared" ca="1" si="70"/>
        <v>#REF!</v>
      </c>
      <c r="R789" t="e">
        <f t="shared" ca="1" si="71"/>
        <v>#REF!</v>
      </c>
      <c r="S789" t="e">
        <f t="shared" ca="1" si="72"/>
        <v>#REF!</v>
      </c>
      <c r="T789" t="e">
        <f t="shared" ca="1" si="73"/>
        <v>#REF!</v>
      </c>
      <c r="U789" t="e" cm="1">
        <f t="array" aca="1" ref="U789" ca="1">IF(A789="","",IF(E789="","",IF(B789="safety",INDIRECT("template!"&amp;"P"&amp;A789),Q789+R789)))</f>
        <v>#REF!</v>
      </c>
      <c r="V789" t="e" cm="1">
        <f t="array" aca="1" ref="V789" ca="1">IF(A789="","",IF(E789="","",IF(B789="safety",INDIRECT("template!"&amp;"P"&amp;A789),S789+T789)))</f>
        <v>#REF!</v>
      </c>
      <c r="W789" t="e">
        <f ca="1">IF(A789="","",IF(E789="","",#REF!))</f>
        <v>#REF!</v>
      </c>
      <c r="X789" t="e">
        <f ca="1">IF(A789="","",IF(E789="","",#REF!))</f>
        <v>#REF!</v>
      </c>
      <c r="Y789" s="39" t="e">
        <f ca="1">IF(A789="","",IF(E789="","",#REF!))</f>
        <v>#REF!</v>
      </c>
      <c r="Z789" t="e">
        <f ca="1">IF(A789="","",IF(E789="","",#REF!))</f>
        <v>#REF!</v>
      </c>
      <c r="AA789" t="e">
        <f ca="1">IF(A789="","",IF(E789="","",#REF!))</f>
        <v>#REF!</v>
      </c>
      <c r="AB789" t="e">
        <f ca="1">IF(A789="","",IF(E789="","",#REF!))</f>
        <v>#REF!</v>
      </c>
      <c r="AC789" t="e">
        <f t="shared" ca="1" si="74"/>
        <v>#REF!</v>
      </c>
    </row>
    <row r="790" spans="1:29" x14ac:dyDescent="0.35">
      <c r="A790" t="e" cm="1">
        <f t="array" aca="1" ref="A790" ca="1">IF(A789="","",IF(OR(AND(A789+1&gt;=$AF$1,A789+1&lt;=$AF$2),AND(A789+1&gt;=$AF$6,A789+1&lt;=$AF$7),AND(A789+1&gt;=$AF$3,A789+1&lt;=$AF$4),AND(A789+1&gt;=$AF$8,A789+1&lt;=$AF$9),A789+1=$AF$5),IF(NOT(ISBLANK(INDIRECT("template!"&amp;"P"&amp;A789+1))),A789+1,IF(NOT(ISBLANK(INDIRECT("template!"&amp;"P"&amp;A789+2))),A789+2,A789+3)),IF(A789=$AF$2,$AF$3,IF(A789=$AF$4,$AF$5,IF(A789=$AF$5,$AF$6,IF(A789=$AF$7,$AF$8,""))))))</f>
        <v>#REF!</v>
      </c>
      <c r="B790" t="e">
        <f t="shared" ca="1" si="69"/>
        <v>#REF!</v>
      </c>
      <c r="C790" t="e" cm="1">
        <f t="array" aca="1" ref="C790" ca="1">IF(A790="","",IF(B790="safety","safety costs",INDIRECT("template!"&amp;"B"&amp;A790)))</f>
        <v>#REF!</v>
      </c>
      <c r="D790" t="e" cm="1">
        <f t="array" aca="1" ref="D790" ca="1">IF(OR(A790="",B790="safety"),"",INDIRECT("template!"&amp;"C"&amp;A790))</f>
        <v>#REF!</v>
      </c>
      <c r="E790" t="e" cm="1">
        <f t="array" aca="1" ref="E790" ca="1">IF(A790="","",IF(OR(A790=A789+1,A790=A789+2),E789,INDIRECT("template!"&amp;"D"&amp;A790-2)))</f>
        <v>#REF!</v>
      </c>
      <c r="F790" t="e" cm="1">
        <f t="array" aca="1" ref="F790" ca="1">IF(OR(A790="",B790="safety"),"",IF(ISBLANK(IF(A790=A789+1,F789,INDIRECT("template!"&amp;"D"&amp;A790-1))),"",IF(A790=A789+1,F789,INDIRECT("template!"&amp;"D"&amp;A790-1))))</f>
        <v>#REF!</v>
      </c>
      <c r="G790" t="e" cm="1">
        <f t="array" aca="1" ref="G790" ca="1">IF(OR(A790="",B790="safety"),"",IF(ISBLANK(INDIRECT("template!"&amp;"D"&amp;A790)),"",INDIRECT("template!"&amp;"D"&amp;A790)))</f>
        <v>#REF!</v>
      </c>
      <c r="H790" t="e" cm="1">
        <f t="array" aca="1" ref="H790" ca="1">IF(OR(A790="",B790="safety"),"",IF(ISBLANK(INDIRECT("template!"&amp;"E"&amp;A790)),"",INDIRECT("template!"&amp;"E"&amp;A790)))</f>
        <v>#REF!</v>
      </c>
      <c r="I790" t="e" cm="1">
        <f t="array" aca="1" ref="I790" ca="1">IF(OR(A790="",B790="safety"),"",IF(ISBLANK(INDIRECT("template!"&amp;"F"&amp;A790)),"",INDIRECT("template!"&amp;"F"&amp;A790)))</f>
        <v>#REF!</v>
      </c>
      <c r="J790" t="e" cm="1">
        <f t="array" aca="1" ref="J790" ca="1">IF(OR(A790="",B790="safety"),"",IF(ISBLANK(INDIRECT("template!"&amp;"G"&amp;A790)),"",INDIRECT("template!"&amp;"G"&amp;A790)))</f>
        <v>#REF!</v>
      </c>
      <c r="K790" t="e" cm="1">
        <f t="array" aca="1" ref="K790" ca="1">IF(OR(A790="",B790="safety"),"",IF(ISBLANK(INDIRECT("template!"&amp;"H"&amp;A790)),"",INDIRECT("template!"&amp;"H"&amp;A790)))</f>
        <v>#REF!</v>
      </c>
      <c r="L790" t="e" cm="1">
        <f t="array" aca="1" ref="L790" ca="1">IF(OR(A790="",B790="safety"),"",INDIRECT("template!"&amp;"I"&amp;A790))</f>
        <v>#REF!</v>
      </c>
      <c r="M790" t="e" cm="1">
        <f t="array" aca="1" ref="M790" ca="1">IF(OR(A790="",B790="safety"),"",INDIRECT("template!"&amp;"J"&amp;A790))</f>
        <v>#REF!</v>
      </c>
      <c r="N790" t="e" cm="1">
        <f t="array" aca="1" ref="N790" ca="1">IF(OR(A790="",B790="safety"),"",IF(ISBLANK(INDIRECT("template!"&amp;"K"&amp;A790)),"",INDIRECT("template!"&amp;"K"&amp;A790)))</f>
        <v>#REF!</v>
      </c>
      <c r="O790" t="e" cm="1">
        <f t="array" aca="1" ref="O790" ca="1">IF(OR(A790="",B790="safety"),"",INDIRECT("template!"&amp;"L"&amp;A790))</f>
        <v>#REF!</v>
      </c>
      <c r="P790" t="e" cm="1">
        <f t="array" aca="1" ref="P790" ca="1">IF(OR(A790="",B790="safety"),"",INDIRECT("template!"&amp;"M"&amp;A790))</f>
        <v>#REF!</v>
      </c>
      <c r="Q790" t="e">
        <f t="shared" ca="1" si="70"/>
        <v>#REF!</v>
      </c>
      <c r="R790" t="e">
        <f t="shared" ca="1" si="71"/>
        <v>#REF!</v>
      </c>
      <c r="S790" t="e">
        <f t="shared" ca="1" si="72"/>
        <v>#REF!</v>
      </c>
      <c r="T790" t="e">
        <f t="shared" ca="1" si="73"/>
        <v>#REF!</v>
      </c>
      <c r="U790" t="e" cm="1">
        <f t="array" aca="1" ref="U790" ca="1">IF(A790="","",IF(E790="","",IF(B790="safety",INDIRECT("template!"&amp;"P"&amp;A790),Q790+R790)))</f>
        <v>#REF!</v>
      </c>
      <c r="V790" t="e" cm="1">
        <f t="array" aca="1" ref="V790" ca="1">IF(A790="","",IF(E790="","",IF(B790="safety",INDIRECT("template!"&amp;"P"&amp;A790),S790+T790)))</f>
        <v>#REF!</v>
      </c>
      <c r="W790" t="e">
        <f ca="1">IF(A790="","",IF(E790="","",#REF!))</f>
        <v>#REF!</v>
      </c>
      <c r="X790" t="e">
        <f ca="1">IF(A790="","",IF(E790="","",#REF!))</f>
        <v>#REF!</v>
      </c>
      <c r="Y790" s="39" t="e">
        <f ca="1">IF(A790="","",IF(E790="","",#REF!))</f>
        <v>#REF!</v>
      </c>
      <c r="Z790" t="e">
        <f ca="1">IF(A790="","",IF(E790="","",#REF!))</f>
        <v>#REF!</v>
      </c>
      <c r="AA790" t="e">
        <f ca="1">IF(A790="","",IF(E790="","",#REF!))</f>
        <v>#REF!</v>
      </c>
      <c r="AB790" t="e">
        <f ca="1">IF(A790="","",IF(E790="","",#REF!))</f>
        <v>#REF!</v>
      </c>
      <c r="AC790" t="e">
        <f t="shared" ca="1" si="74"/>
        <v>#REF!</v>
      </c>
    </row>
    <row r="791" spans="1:29" x14ac:dyDescent="0.35">
      <c r="A791" t="e" cm="1">
        <f t="array" aca="1" ref="A791" ca="1">IF(A790="","",IF(OR(AND(A790+1&gt;=$AF$1,A790+1&lt;=$AF$2),AND(A790+1&gt;=$AF$6,A790+1&lt;=$AF$7),AND(A790+1&gt;=$AF$3,A790+1&lt;=$AF$4),AND(A790+1&gt;=$AF$8,A790+1&lt;=$AF$9),A790+1=$AF$5),IF(NOT(ISBLANK(INDIRECT("template!"&amp;"P"&amp;A790+1))),A790+1,IF(NOT(ISBLANK(INDIRECT("template!"&amp;"P"&amp;A790+2))),A790+2,A790+3)),IF(A790=$AF$2,$AF$3,IF(A790=$AF$4,$AF$5,IF(A790=$AF$5,$AF$6,IF(A790=$AF$7,$AF$8,""))))))</f>
        <v>#REF!</v>
      </c>
      <c r="B791" t="e">
        <f t="shared" ca="1" si="69"/>
        <v>#REF!</v>
      </c>
      <c r="C791" t="e" cm="1">
        <f t="array" aca="1" ref="C791" ca="1">IF(A791="","",IF(B791="safety","safety costs",INDIRECT("template!"&amp;"B"&amp;A791)))</f>
        <v>#REF!</v>
      </c>
      <c r="D791" t="e" cm="1">
        <f t="array" aca="1" ref="D791" ca="1">IF(OR(A791="",B791="safety"),"",INDIRECT("template!"&amp;"C"&amp;A791))</f>
        <v>#REF!</v>
      </c>
      <c r="E791" t="e" cm="1">
        <f t="array" aca="1" ref="E791" ca="1">IF(A791="","",IF(OR(A791=A790+1,A791=A790+2),E790,INDIRECT("template!"&amp;"D"&amp;A791-2)))</f>
        <v>#REF!</v>
      </c>
      <c r="F791" t="e" cm="1">
        <f t="array" aca="1" ref="F791" ca="1">IF(OR(A791="",B791="safety"),"",IF(ISBLANK(IF(A791=A790+1,F790,INDIRECT("template!"&amp;"D"&amp;A791-1))),"",IF(A791=A790+1,F790,INDIRECT("template!"&amp;"D"&amp;A791-1))))</f>
        <v>#REF!</v>
      </c>
      <c r="G791" t="e" cm="1">
        <f t="array" aca="1" ref="G791" ca="1">IF(OR(A791="",B791="safety"),"",IF(ISBLANK(INDIRECT("template!"&amp;"D"&amp;A791)),"",INDIRECT("template!"&amp;"D"&amp;A791)))</f>
        <v>#REF!</v>
      </c>
      <c r="H791" t="e" cm="1">
        <f t="array" aca="1" ref="H791" ca="1">IF(OR(A791="",B791="safety"),"",IF(ISBLANK(INDIRECT("template!"&amp;"E"&amp;A791)),"",INDIRECT("template!"&amp;"E"&amp;A791)))</f>
        <v>#REF!</v>
      </c>
      <c r="I791" t="e" cm="1">
        <f t="array" aca="1" ref="I791" ca="1">IF(OR(A791="",B791="safety"),"",IF(ISBLANK(INDIRECT("template!"&amp;"F"&amp;A791)),"",INDIRECT("template!"&amp;"F"&amp;A791)))</f>
        <v>#REF!</v>
      </c>
      <c r="J791" t="e" cm="1">
        <f t="array" aca="1" ref="J791" ca="1">IF(OR(A791="",B791="safety"),"",IF(ISBLANK(INDIRECT("template!"&amp;"G"&amp;A791)),"",INDIRECT("template!"&amp;"G"&amp;A791)))</f>
        <v>#REF!</v>
      </c>
      <c r="K791" t="e" cm="1">
        <f t="array" aca="1" ref="K791" ca="1">IF(OR(A791="",B791="safety"),"",IF(ISBLANK(INDIRECT("template!"&amp;"H"&amp;A791)),"",INDIRECT("template!"&amp;"H"&amp;A791)))</f>
        <v>#REF!</v>
      </c>
      <c r="L791" t="e" cm="1">
        <f t="array" aca="1" ref="L791" ca="1">IF(OR(A791="",B791="safety"),"",INDIRECT("template!"&amp;"I"&amp;A791))</f>
        <v>#REF!</v>
      </c>
      <c r="M791" t="e" cm="1">
        <f t="array" aca="1" ref="M791" ca="1">IF(OR(A791="",B791="safety"),"",INDIRECT("template!"&amp;"J"&amp;A791))</f>
        <v>#REF!</v>
      </c>
      <c r="N791" t="e" cm="1">
        <f t="array" aca="1" ref="N791" ca="1">IF(OR(A791="",B791="safety"),"",IF(ISBLANK(INDIRECT("template!"&amp;"K"&amp;A791)),"",INDIRECT("template!"&amp;"K"&amp;A791)))</f>
        <v>#REF!</v>
      </c>
      <c r="O791" t="e" cm="1">
        <f t="array" aca="1" ref="O791" ca="1">IF(OR(A791="",B791="safety"),"",INDIRECT("template!"&amp;"L"&amp;A791))</f>
        <v>#REF!</v>
      </c>
      <c r="P791" t="e" cm="1">
        <f t="array" aca="1" ref="P791" ca="1">IF(OR(A791="",B791="safety"),"",INDIRECT("template!"&amp;"M"&amp;A791))</f>
        <v>#REF!</v>
      </c>
      <c r="Q791" t="e">
        <f t="shared" ca="1" si="70"/>
        <v>#REF!</v>
      </c>
      <c r="R791" t="e">
        <f t="shared" ca="1" si="71"/>
        <v>#REF!</v>
      </c>
      <c r="S791" t="e">
        <f t="shared" ca="1" si="72"/>
        <v>#REF!</v>
      </c>
      <c r="T791" t="e">
        <f t="shared" ca="1" si="73"/>
        <v>#REF!</v>
      </c>
      <c r="U791" t="e" cm="1">
        <f t="array" aca="1" ref="U791" ca="1">IF(A791="","",IF(E791="","",IF(B791="safety",INDIRECT("template!"&amp;"P"&amp;A791),Q791+R791)))</f>
        <v>#REF!</v>
      </c>
      <c r="V791" t="e" cm="1">
        <f t="array" aca="1" ref="V791" ca="1">IF(A791="","",IF(E791="","",IF(B791="safety",INDIRECT("template!"&amp;"P"&amp;A791),S791+T791)))</f>
        <v>#REF!</v>
      </c>
      <c r="W791" t="e">
        <f ca="1">IF(A791="","",IF(E791="","",#REF!))</f>
        <v>#REF!</v>
      </c>
      <c r="X791" t="e">
        <f ca="1">IF(A791="","",IF(E791="","",#REF!))</f>
        <v>#REF!</v>
      </c>
      <c r="Y791" s="39" t="e">
        <f ca="1">IF(A791="","",IF(E791="","",#REF!))</f>
        <v>#REF!</v>
      </c>
      <c r="Z791" t="e">
        <f ca="1">IF(A791="","",IF(E791="","",#REF!))</f>
        <v>#REF!</v>
      </c>
      <c r="AA791" t="e">
        <f ca="1">IF(A791="","",IF(E791="","",#REF!))</f>
        <v>#REF!</v>
      </c>
      <c r="AB791" t="e">
        <f ca="1">IF(A791="","",IF(E791="","",#REF!))</f>
        <v>#REF!</v>
      </c>
      <c r="AC791" t="e">
        <f t="shared" ca="1" si="74"/>
        <v>#REF!</v>
      </c>
    </row>
    <row r="792" spans="1:29" x14ac:dyDescent="0.35">
      <c r="A792" t="e" cm="1">
        <f t="array" aca="1" ref="A792" ca="1">IF(A791="","",IF(OR(AND(A791+1&gt;=$AF$1,A791+1&lt;=$AF$2),AND(A791+1&gt;=$AF$6,A791+1&lt;=$AF$7),AND(A791+1&gt;=$AF$3,A791+1&lt;=$AF$4),AND(A791+1&gt;=$AF$8,A791+1&lt;=$AF$9),A791+1=$AF$5),IF(NOT(ISBLANK(INDIRECT("template!"&amp;"P"&amp;A791+1))),A791+1,IF(NOT(ISBLANK(INDIRECT("template!"&amp;"P"&amp;A791+2))),A791+2,A791+3)),IF(A791=$AF$2,$AF$3,IF(A791=$AF$4,$AF$5,IF(A791=$AF$5,$AF$6,IF(A791=$AF$7,$AF$8,""))))))</f>
        <v>#REF!</v>
      </c>
      <c r="B792" t="e">
        <f t="shared" ca="1" si="69"/>
        <v>#REF!</v>
      </c>
      <c r="C792" t="e" cm="1">
        <f t="array" aca="1" ref="C792" ca="1">IF(A792="","",IF(B792="safety","safety costs",INDIRECT("template!"&amp;"B"&amp;A792)))</f>
        <v>#REF!</v>
      </c>
      <c r="D792" t="e" cm="1">
        <f t="array" aca="1" ref="D792" ca="1">IF(OR(A792="",B792="safety"),"",INDIRECT("template!"&amp;"C"&amp;A792))</f>
        <v>#REF!</v>
      </c>
      <c r="E792" t="e" cm="1">
        <f t="array" aca="1" ref="E792" ca="1">IF(A792="","",IF(OR(A792=A791+1,A792=A791+2),E791,INDIRECT("template!"&amp;"D"&amp;A792-2)))</f>
        <v>#REF!</v>
      </c>
      <c r="F792" t="e" cm="1">
        <f t="array" aca="1" ref="F792" ca="1">IF(OR(A792="",B792="safety"),"",IF(ISBLANK(IF(A792=A791+1,F791,INDIRECT("template!"&amp;"D"&amp;A792-1))),"",IF(A792=A791+1,F791,INDIRECT("template!"&amp;"D"&amp;A792-1))))</f>
        <v>#REF!</v>
      </c>
      <c r="G792" t="e" cm="1">
        <f t="array" aca="1" ref="G792" ca="1">IF(OR(A792="",B792="safety"),"",IF(ISBLANK(INDIRECT("template!"&amp;"D"&amp;A792)),"",INDIRECT("template!"&amp;"D"&amp;A792)))</f>
        <v>#REF!</v>
      </c>
      <c r="H792" t="e" cm="1">
        <f t="array" aca="1" ref="H792" ca="1">IF(OR(A792="",B792="safety"),"",IF(ISBLANK(INDIRECT("template!"&amp;"E"&amp;A792)),"",INDIRECT("template!"&amp;"E"&amp;A792)))</f>
        <v>#REF!</v>
      </c>
      <c r="I792" t="e" cm="1">
        <f t="array" aca="1" ref="I792" ca="1">IF(OR(A792="",B792="safety"),"",IF(ISBLANK(INDIRECT("template!"&amp;"F"&amp;A792)),"",INDIRECT("template!"&amp;"F"&amp;A792)))</f>
        <v>#REF!</v>
      </c>
      <c r="J792" t="e" cm="1">
        <f t="array" aca="1" ref="J792" ca="1">IF(OR(A792="",B792="safety"),"",IF(ISBLANK(INDIRECT("template!"&amp;"G"&amp;A792)),"",INDIRECT("template!"&amp;"G"&amp;A792)))</f>
        <v>#REF!</v>
      </c>
      <c r="K792" t="e" cm="1">
        <f t="array" aca="1" ref="K792" ca="1">IF(OR(A792="",B792="safety"),"",IF(ISBLANK(INDIRECT("template!"&amp;"H"&amp;A792)),"",INDIRECT("template!"&amp;"H"&amp;A792)))</f>
        <v>#REF!</v>
      </c>
      <c r="L792" t="e" cm="1">
        <f t="array" aca="1" ref="L792" ca="1">IF(OR(A792="",B792="safety"),"",INDIRECT("template!"&amp;"I"&amp;A792))</f>
        <v>#REF!</v>
      </c>
      <c r="M792" t="e" cm="1">
        <f t="array" aca="1" ref="M792" ca="1">IF(OR(A792="",B792="safety"),"",INDIRECT("template!"&amp;"J"&amp;A792))</f>
        <v>#REF!</v>
      </c>
      <c r="N792" t="e" cm="1">
        <f t="array" aca="1" ref="N792" ca="1">IF(OR(A792="",B792="safety"),"",IF(ISBLANK(INDIRECT("template!"&amp;"K"&amp;A792)),"",INDIRECT("template!"&amp;"K"&amp;A792)))</f>
        <v>#REF!</v>
      </c>
      <c r="O792" t="e" cm="1">
        <f t="array" aca="1" ref="O792" ca="1">IF(OR(A792="",B792="safety"),"",INDIRECT("template!"&amp;"L"&amp;A792))</f>
        <v>#REF!</v>
      </c>
      <c r="P792" t="e" cm="1">
        <f t="array" aca="1" ref="P792" ca="1">IF(OR(A792="",B792="safety"),"",INDIRECT("template!"&amp;"M"&amp;A792))</f>
        <v>#REF!</v>
      </c>
      <c r="Q792" t="e">
        <f t="shared" ca="1" si="70"/>
        <v>#REF!</v>
      </c>
      <c r="R792" t="e">
        <f t="shared" ca="1" si="71"/>
        <v>#REF!</v>
      </c>
      <c r="S792" t="e">
        <f t="shared" ca="1" si="72"/>
        <v>#REF!</v>
      </c>
      <c r="T792" t="e">
        <f t="shared" ca="1" si="73"/>
        <v>#REF!</v>
      </c>
      <c r="U792" t="e" cm="1">
        <f t="array" aca="1" ref="U792" ca="1">IF(A792="","",IF(E792="","",IF(B792="safety",INDIRECT("template!"&amp;"P"&amp;A792),Q792+R792)))</f>
        <v>#REF!</v>
      </c>
      <c r="V792" t="e" cm="1">
        <f t="array" aca="1" ref="V792" ca="1">IF(A792="","",IF(E792="","",IF(B792="safety",INDIRECT("template!"&amp;"P"&amp;A792),S792+T792)))</f>
        <v>#REF!</v>
      </c>
      <c r="W792" t="e">
        <f ca="1">IF(A792="","",IF(E792="","",#REF!))</f>
        <v>#REF!</v>
      </c>
      <c r="X792" t="e">
        <f ca="1">IF(A792="","",IF(E792="","",#REF!))</f>
        <v>#REF!</v>
      </c>
      <c r="Y792" s="39" t="e">
        <f ca="1">IF(A792="","",IF(E792="","",#REF!))</f>
        <v>#REF!</v>
      </c>
      <c r="Z792" t="e">
        <f ca="1">IF(A792="","",IF(E792="","",#REF!))</f>
        <v>#REF!</v>
      </c>
      <c r="AA792" t="e">
        <f ca="1">IF(A792="","",IF(E792="","",#REF!))</f>
        <v>#REF!</v>
      </c>
      <c r="AB792" t="e">
        <f ca="1">IF(A792="","",IF(E792="","",#REF!))</f>
        <v>#REF!</v>
      </c>
      <c r="AC792" t="e">
        <f t="shared" ca="1" si="74"/>
        <v>#REF!</v>
      </c>
    </row>
    <row r="793" spans="1:29" x14ac:dyDescent="0.35">
      <c r="A793" t="e" cm="1">
        <f t="array" aca="1" ref="A793" ca="1">IF(A792="","",IF(OR(AND(A792+1&gt;=$AF$1,A792+1&lt;=$AF$2),AND(A792+1&gt;=$AF$6,A792+1&lt;=$AF$7),AND(A792+1&gt;=$AF$3,A792+1&lt;=$AF$4),AND(A792+1&gt;=$AF$8,A792+1&lt;=$AF$9),A792+1=$AF$5),IF(NOT(ISBLANK(INDIRECT("template!"&amp;"P"&amp;A792+1))),A792+1,IF(NOT(ISBLANK(INDIRECT("template!"&amp;"P"&amp;A792+2))),A792+2,A792+3)),IF(A792=$AF$2,$AF$3,IF(A792=$AF$4,$AF$5,IF(A792=$AF$5,$AF$6,IF(A792=$AF$7,$AF$8,""))))))</f>
        <v>#REF!</v>
      </c>
      <c r="B793" t="e">
        <f t="shared" ca="1" si="69"/>
        <v>#REF!</v>
      </c>
      <c r="C793" t="e" cm="1">
        <f t="array" aca="1" ref="C793" ca="1">IF(A793="","",IF(B793="safety","safety costs",INDIRECT("template!"&amp;"B"&amp;A793)))</f>
        <v>#REF!</v>
      </c>
      <c r="D793" t="e" cm="1">
        <f t="array" aca="1" ref="D793" ca="1">IF(OR(A793="",B793="safety"),"",INDIRECT("template!"&amp;"C"&amp;A793))</f>
        <v>#REF!</v>
      </c>
      <c r="E793" t="e" cm="1">
        <f t="array" aca="1" ref="E793" ca="1">IF(A793="","",IF(OR(A793=A792+1,A793=A792+2),E792,INDIRECT("template!"&amp;"D"&amp;A793-2)))</f>
        <v>#REF!</v>
      </c>
      <c r="F793" t="e" cm="1">
        <f t="array" aca="1" ref="F793" ca="1">IF(OR(A793="",B793="safety"),"",IF(ISBLANK(IF(A793=A792+1,F792,INDIRECT("template!"&amp;"D"&amp;A793-1))),"",IF(A793=A792+1,F792,INDIRECT("template!"&amp;"D"&amp;A793-1))))</f>
        <v>#REF!</v>
      </c>
      <c r="G793" t="e" cm="1">
        <f t="array" aca="1" ref="G793" ca="1">IF(OR(A793="",B793="safety"),"",IF(ISBLANK(INDIRECT("template!"&amp;"D"&amp;A793)),"",INDIRECT("template!"&amp;"D"&amp;A793)))</f>
        <v>#REF!</v>
      </c>
      <c r="H793" t="e" cm="1">
        <f t="array" aca="1" ref="H793" ca="1">IF(OR(A793="",B793="safety"),"",IF(ISBLANK(INDIRECT("template!"&amp;"E"&amp;A793)),"",INDIRECT("template!"&amp;"E"&amp;A793)))</f>
        <v>#REF!</v>
      </c>
      <c r="I793" t="e" cm="1">
        <f t="array" aca="1" ref="I793" ca="1">IF(OR(A793="",B793="safety"),"",IF(ISBLANK(INDIRECT("template!"&amp;"F"&amp;A793)),"",INDIRECT("template!"&amp;"F"&amp;A793)))</f>
        <v>#REF!</v>
      </c>
      <c r="J793" t="e" cm="1">
        <f t="array" aca="1" ref="J793" ca="1">IF(OR(A793="",B793="safety"),"",IF(ISBLANK(INDIRECT("template!"&amp;"G"&amp;A793)),"",INDIRECT("template!"&amp;"G"&amp;A793)))</f>
        <v>#REF!</v>
      </c>
      <c r="K793" t="e" cm="1">
        <f t="array" aca="1" ref="K793" ca="1">IF(OR(A793="",B793="safety"),"",IF(ISBLANK(INDIRECT("template!"&amp;"H"&amp;A793)),"",INDIRECT("template!"&amp;"H"&amp;A793)))</f>
        <v>#REF!</v>
      </c>
      <c r="L793" t="e" cm="1">
        <f t="array" aca="1" ref="L793" ca="1">IF(OR(A793="",B793="safety"),"",INDIRECT("template!"&amp;"I"&amp;A793))</f>
        <v>#REF!</v>
      </c>
      <c r="M793" t="e" cm="1">
        <f t="array" aca="1" ref="M793" ca="1">IF(OR(A793="",B793="safety"),"",INDIRECT("template!"&amp;"J"&amp;A793))</f>
        <v>#REF!</v>
      </c>
      <c r="N793" t="e" cm="1">
        <f t="array" aca="1" ref="N793" ca="1">IF(OR(A793="",B793="safety"),"",IF(ISBLANK(INDIRECT("template!"&amp;"K"&amp;A793)),"",INDIRECT("template!"&amp;"K"&amp;A793)))</f>
        <v>#REF!</v>
      </c>
      <c r="O793" t="e" cm="1">
        <f t="array" aca="1" ref="O793" ca="1">IF(OR(A793="",B793="safety"),"",INDIRECT("template!"&amp;"L"&amp;A793))</f>
        <v>#REF!</v>
      </c>
      <c r="P793" t="e" cm="1">
        <f t="array" aca="1" ref="P793" ca="1">IF(OR(A793="",B793="safety"),"",INDIRECT("template!"&amp;"M"&amp;A793))</f>
        <v>#REF!</v>
      </c>
      <c r="Q793" t="e">
        <f t="shared" ca="1" si="70"/>
        <v>#REF!</v>
      </c>
      <c r="R793" t="e">
        <f t="shared" ca="1" si="71"/>
        <v>#REF!</v>
      </c>
      <c r="S793" t="e">
        <f t="shared" ca="1" si="72"/>
        <v>#REF!</v>
      </c>
      <c r="T793" t="e">
        <f t="shared" ca="1" si="73"/>
        <v>#REF!</v>
      </c>
      <c r="U793" t="e" cm="1">
        <f t="array" aca="1" ref="U793" ca="1">IF(A793="","",IF(E793="","",IF(B793="safety",INDIRECT("template!"&amp;"P"&amp;A793),Q793+R793)))</f>
        <v>#REF!</v>
      </c>
      <c r="V793" t="e" cm="1">
        <f t="array" aca="1" ref="V793" ca="1">IF(A793="","",IF(E793="","",IF(B793="safety",INDIRECT("template!"&amp;"P"&amp;A793),S793+T793)))</f>
        <v>#REF!</v>
      </c>
      <c r="W793" t="e">
        <f ca="1">IF(A793="","",IF(E793="","",#REF!))</f>
        <v>#REF!</v>
      </c>
      <c r="X793" t="e">
        <f ca="1">IF(A793="","",IF(E793="","",#REF!))</f>
        <v>#REF!</v>
      </c>
      <c r="Y793" s="39" t="e">
        <f ca="1">IF(A793="","",IF(E793="","",#REF!))</f>
        <v>#REF!</v>
      </c>
      <c r="Z793" t="e">
        <f ca="1">IF(A793="","",IF(E793="","",#REF!))</f>
        <v>#REF!</v>
      </c>
      <c r="AA793" t="e">
        <f ca="1">IF(A793="","",IF(E793="","",#REF!))</f>
        <v>#REF!</v>
      </c>
      <c r="AB793" t="e">
        <f ca="1">IF(A793="","",IF(E793="","",#REF!))</f>
        <v>#REF!</v>
      </c>
      <c r="AC793" t="e">
        <f t="shared" ca="1" si="74"/>
        <v>#REF!</v>
      </c>
    </row>
    <row r="794" spans="1:29" x14ac:dyDescent="0.35">
      <c r="A794" t="e" cm="1">
        <f t="array" aca="1" ref="A794" ca="1">IF(A793="","",IF(OR(AND(A793+1&gt;=$AF$1,A793+1&lt;=$AF$2),AND(A793+1&gt;=$AF$6,A793+1&lt;=$AF$7),AND(A793+1&gt;=$AF$3,A793+1&lt;=$AF$4),AND(A793+1&gt;=$AF$8,A793+1&lt;=$AF$9),A793+1=$AF$5),IF(NOT(ISBLANK(INDIRECT("template!"&amp;"P"&amp;A793+1))),A793+1,IF(NOT(ISBLANK(INDIRECT("template!"&amp;"P"&amp;A793+2))),A793+2,A793+3)),IF(A793=$AF$2,$AF$3,IF(A793=$AF$4,$AF$5,IF(A793=$AF$5,$AF$6,IF(A793=$AF$7,$AF$8,""))))))</f>
        <v>#REF!</v>
      </c>
      <c r="B794" t="e">
        <f t="shared" ca="1" si="69"/>
        <v>#REF!</v>
      </c>
      <c r="C794" t="e" cm="1">
        <f t="array" aca="1" ref="C794" ca="1">IF(A794="","",IF(B794="safety","safety costs",INDIRECT("template!"&amp;"B"&amp;A794)))</f>
        <v>#REF!</v>
      </c>
      <c r="D794" t="e" cm="1">
        <f t="array" aca="1" ref="D794" ca="1">IF(OR(A794="",B794="safety"),"",INDIRECT("template!"&amp;"C"&amp;A794))</f>
        <v>#REF!</v>
      </c>
      <c r="E794" t="e" cm="1">
        <f t="array" aca="1" ref="E794" ca="1">IF(A794="","",IF(OR(A794=A793+1,A794=A793+2),E793,INDIRECT("template!"&amp;"D"&amp;A794-2)))</f>
        <v>#REF!</v>
      </c>
      <c r="F794" t="e" cm="1">
        <f t="array" aca="1" ref="F794" ca="1">IF(OR(A794="",B794="safety"),"",IF(ISBLANK(IF(A794=A793+1,F793,INDIRECT("template!"&amp;"D"&amp;A794-1))),"",IF(A794=A793+1,F793,INDIRECT("template!"&amp;"D"&amp;A794-1))))</f>
        <v>#REF!</v>
      </c>
      <c r="G794" t="e" cm="1">
        <f t="array" aca="1" ref="G794" ca="1">IF(OR(A794="",B794="safety"),"",IF(ISBLANK(INDIRECT("template!"&amp;"D"&amp;A794)),"",INDIRECT("template!"&amp;"D"&amp;A794)))</f>
        <v>#REF!</v>
      </c>
      <c r="H794" t="e" cm="1">
        <f t="array" aca="1" ref="H794" ca="1">IF(OR(A794="",B794="safety"),"",IF(ISBLANK(INDIRECT("template!"&amp;"E"&amp;A794)),"",INDIRECT("template!"&amp;"E"&amp;A794)))</f>
        <v>#REF!</v>
      </c>
      <c r="I794" t="e" cm="1">
        <f t="array" aca="1" ref="I794" ca="1">IF(OR(A794="",B794="safety"),"",IF(ISBLANK(INDIRECT("template!"&amp;"F"&amp;A794)),"",INDIRECT("template!"&amp;"F"&amp;A794)))</f>
        <v>#REF!</v>
      </c>
      <c r="J794" t="e" cm="1">
        <f t="array" aca="1" ref="J794" ca="1">IF(OR(A794="",B794="safety"),"",IF(ISBLANK(INDIRECT("template!"&amp;"G"&amp;A794)),"",INDIRECT("template!"&amp;"G"&amp;A794)))</f>
        <v>#REF!</v>
      </c>
      <c r="K794" t="e" cm="1">
        <f t="array" aca="1" ref="K794" ca="1">IF(OR(A794="",B794="safety"),"",IF(ISBLANK(INDIRECT("template!"&amp;"H"&amp;A794)),"",INDIRECT("template!"&amp;"H"&amp;A794)))</f>
        <v>#REF!</v>
      </c>
      <c r="L794" t="e" cm="1">
        <f t="array" aca="1" ref="L794" ca="1">IF(OR(A794="",B794="safety"),"",INDIRECT("template!"&amp;"I"&amp;A794))</f>
        <v>#REF!</v>
      </c>
      <c r="M794" t="e" cm="1">
        <f t="array" aca="1" ref="M794" ca="1">IF(OR(A794="",B794="safety"),"",INDIRECT("template!"&amp;"J"&amp;A794))</f>
        <v>#REF!</v>
      </c>
      <c r="N794" t="e" cm="1">
        <f t="array" aca="1" ref="N794" ca="1">IF(OR(A794="",B794="safety"),"",IF(ISBLANK(INDIRECT("template!"&amp;"K"&amp;A794)),"",INDIRECT("template!"&amp;"K"&amp;A794)))</f>
        <v>#REF!</v>
      </c>
      <c r="O794" t="e" cm="1">
        <f t="array" aca="1" ref="O794" ca="1">IF(OR(A794="",B794="safety"),"",INDIRECT("template!"&amp;"L"&amp;A794))</f>
        <v>#REF!</v>
      </c>
      <c r="P794" t="e" cm="1">
        <f t="array" aca="1" ref="P794" ca="1">IF(OR(A794="",B794="safety"),"",INDIRECT("template!"&amp;"M"&amp;A794))</f>
        <v>#REF!</v>
      </c>
      <c r="Q794" t="e">
        <f t="shared" ca="1" si="70"/>
        <v>#REF!</v>
      </c>
      <c r="R794" t="e">
        <f t="shared" ca="1" si="71"/>
        <v>#REF!</v>
      </c>
      <c r="S794" t="e">
        <f t="shared" ca="1" si="72"/>
        <v>#REF!</v>
      </c>
      <c r="T794" t="e">
        <f t="shared" ca="1" si="73"/>
        <v>#REF!</v>
      </c>
      <c r="U794" t="e" cm="1">
        <f t="array" aca="1" ref="U794" ca="1">IF(A794="","",IF(E794="","",IF(B794="safety",INDIRECT("template!"&amp;"P"&amp;A794),Q794+R794)))</f>
        <v>#REF!</v>
      </c>
      <c r="V794" t="e" cm="1">
        <f t="array" aca="1" ref="V794" ca="1">IF(A794="","",IF(E794="","",IF(B794="safety",INDIRECT("template!"&amp;"P"&amp;A794),S794+T794)))</f>
        <v>#REF!</v>
      </c>
      <c r="W794" t="e">
        <f ca="1">IF(A794="","",IF(E794="","",#REF!))</f>
        <v>#REF!</v>
      </c>
      <c r="X794" t="e">
        <f ca="1">IF(A794="","",IF(E794="","",#REF!))</f>
        <v>#REF!</v>
      </c>
      <c r="Y794" s="39" t="e">
        <f ca="1">IF(A794="","",IF(E794="","",#REF!))</f>
        <v>#REF!</v>
      </c>
      <c r="Z794" t="e">
        <f ca="1">IF(A794="","",IF(E794="","",#REF!))</f>
        <v>#REF!</v>
      </c>
      <c r="AA794" t="e">
        <f ca="1">IF(A794="","",IF(E794="","",#REF!))</f>
        <v>#REF!</v>
      </c>
      <c r="AB794" t="e">
        <f ca="1">IF(A794="","",IF(E794="","",#REF!))</f>
        <v>#REF!</v>
      </c>
      <c r="AC794" t="e">
        <f t="shared" ca="1" si="74"/>
        <v>#REF!</v>
      </c>
    </row>
    <row r="795" spans="1:29" x14ac:dyDescent="0.35">
      <c r="A795" t="e" cm="1">
        <f t="array" aca="1" ref="A795" ca="1">IF(A794="","",IF(OR(AND(A794+1&gt;=$AF$1,A794+1&lt;=$AF$2),AND(A794+1&gt;=$AF$6,A794+1&lt;=$AF$7),AND(A794+1&gt;=$AF$3,A794+1&lt;=$AF$4),AND(A794+1&gt;=$AF$8,A794+1&lt;=$AF$9),A794+1=$AF$5),IF(NOT(ISBLANK(INDIRECT("template!"&amp;"P"&amp;A794+1))),A794+1,IF(NOT(ISBLANK(INDIRECT("template!"&amp;"P"&amp;A794+2))),A794+2,A794+3)),IF(A794=$AF$2,$AF$3,IF(A794=$AF$4,$AF$5,IF(A794=$AF$5,$AF$6,IF(A794=$AF$7,$AF$8,""))))))</f>
        <v>#REF!</v>
      </c>
      <c r="B795" t="e">
        <f t="shared" ca="1" si="69"/>
        <v>#REF!</v>
      </c>
      <c r="C795" t="e" cm="1">
        <f t="array" aca="1" ref="C795" ca="1">IF(A795="","",IF(B795="safety","safety costs",INDIRECT("template!"&amp;"B"&amp;A795)))</f>
        <v>#REF!</v>
      </c>
      <c r="D795" t="e" cm="1">
        <f t="array" aca="1" ref="D795" ca="1">IF(OR(A795="",B795="safety"),"",INDIRECT("template!"&amp;"C"&amp;A795))</f>
        <v>#REF!</v>
      </c>
      <c r="E795" t="e" cm="1">
        <f t="array" aca="1" ref="E795" ca="1">IF(A795="","",IF(OR(A795=A794+1,A795=A794+2),E794,INDIRECT("template!"&amp;"D"&amp;A795-2)))</f>
        <v>#REF!</v>
      </c>
      <c r="F795" t="e" cm="1">
        <f t="array" aca="1" ref="F795" ca="1">IF(OR(A795="",B795="safety"),"",IF(ISBLANK(IF(A795=A794+1,F794,INDIRECT("template!"&amp;"D"&amp;A795-1))),"",IF(A795=A794+1,F794,INDIRECT("template!"&amp;"D"&amp;A795-1))))</f>
        <v>#REF!</v>
      </c>
      <c r="G795" t="e" cm="1">
        <f t="array" aca="1" ref="G795" ca="1">IF(OR(A795="",B795="safety"),"",IF(ISBLANK(INDIRECT("template!"&amp;"D"&amp;A795)),"",INDIRECT("template!"&amp;"D"&amp;A795)))</f>
        <v>#REF!</v>
      </c>
      <c r="H795" t="e" cm="1">
        <f t="array" aca="1" ref="H795" ca="1">IF(OR(A795="",B795="safety"),"",IF(ISBLANK(INDIRECT("template!"&amp;"E"&amp;A795)),"",INDIRECT("template!"&amp;"E"&amp;A795)))</f>
        <v>#REF!</v>
      </c>
      <c r="I795" t="e" cm="1">
        <f t="array" aca="1" ref="I795" ca="1">IF(OR(A795="",B795="safety"),"",IF(ISBLANK(INDIRECT("template!"&amp;"F"&amp;A795)),"",INDIRECT("template!"&amp;"F"&amp;A795)))</f>
        <v>#REF!</v>
      </c>
      <c r="J795" t="e" cm="1">
        <f t="array" aca="1" ref="J795" ca="1">IF(OR(A795="",B795="safety"),"",IF(ISBLANK(INDIRECT("template!"&amp;"G"&amp;A795)),"",INDIRECT("template!"&amp;"G"&amp;A795)))</f>
        <v>#REF!</v>
      </c>
      <c r="K795" t="e" cm="1">
        <f t="array" aca="1" ref="K795" ca="1">IF(OR(A795="",B795="safety"),"",IF(ISBLANK(INDIRECT("template!"&amp;"H"&amp;A795)),"",INDIRECT("template!"&amp;"H"&amp;A795)))</f>
        <v>#REF!</v>
      </c>
      <c r="L795" t="e" cm="1">
        <f t="array" aca="1" ref="L795" ca="1">IF(OR(A795="",B795="safety"),"",INDIRECT("template!"&amp;"I"&amp;A795))</f>
        <v>#REF!</v>
      </c>
      <c r="M795" t="e" cm="1">
        <f t="array" aca="1" ref="M795" ca="1">IF(OR(A795="",B795="safety"),"",INDIRECT("template!"&amp;"J"&amp;A795))</f>
        <v>#REF!</v>
      </c>
      <c r="N795" t="e" cm="1">
        <f t="array" aca="1" ref="N795" ca="1">IF(OR(A795="",B795="safety"),"",IF(ISBLANK(INDIRECT("template!"&amp;"K"&amp;A795)),"",INDIRECT("template!"&amp;"K"&amp;A795)))</f>
        <v>#REF!</v>
      </c>
      <c r="O795" t="e" cm="1">
        <f t="array" aca="1" ref="O795" ca="1">IF(OR(A795="",B795="safety"),"",INDIRECT("template!"&amp;"L"&amp;A795))</f>
        <v>#REF!</v>
      </c>
      <c r="P795" t="e" cm="1">
        <f t="array" aca="1" ref="P795" ca="1">IF(OR(A795="",B795="safety"),"",INDIRECT("template!"&amp;"M"&amp;A795))</f>
        <v>#REF!</v>
      </c>
      <c r="Q795" t="e">
        <f t="shared" ca="1" si="70"/>
        <v>#REF!</v>
      </c>
      <c r="R795" t="e">
        <f t="shared" ca="1" si="71"/>
        <v>#REF!</v>
      </c>
      <c r="S795" t="e">
        <f t="shared" ca="1" si="72"/>
        <v>#REF!</v>
      </c>
      <c r="T795" t="e">
        <f t="shared" ca="1" si="73"/>
        <v>#REF!</v>
      </c>
      <c r="U795" t="e" cm="1">
        <f t="array" aca="1" ref="U795" ca="1">IF(A795="","",IF(E795="","",IF(B795="safety",INDIRECT("template!"&amp;"P"&amp;A795),Q795+R795)))</f>
        <v>#REF!</v>
      </c>
      <c r="V795" t="e" cm="1">
        <f t="array" aca="1" ref="V795" ca="1">IF(A795="","",IF(E795="","",IF(B795="safety",INDIRECT("template!"&amp;"P"&amp;A795),S795+T795)))</f>
        <v>#REF!</v>
      </c>
      <c r="W795" t="e">
        <f ca="1">IF(A795="","",IF(E795="","",#REF!))</f>
        <v>#REF!</v>
      </c>
      <c r="X795" t="e">
        <f ca="1">IF(A795="","",IF(E795="","",#REF!))</f>
        <v>#REF!</v>
      </c>
      <c r="Y795" s="39" t="e">
        <f ca="1">IF(A795="","",IF(E795="","",#REF!))</f>
        <v>#REF!</v>
      </c>
      <c r="Z795" t="e">
        <f ca="1">IF(A795="","",IF(E795="","",#REF!))</f>
        <v>#REF!</v>
      </c>
      <c r="AA795" t="e">
        <f ca="1">IF(A795="","",IF(E795="","",#REF!))</f>
        <v>#REF!</v>
      </c>
      <c r="AB795" t="e">
        <f ca="1">IF(A795="","",IF(E795="","",#REF!))</f>
        <v>#REF!</v>
      </c>
      <c r="AC795" t="e">
        <f t="shared" ca="1" si="74"/>
        <v>#REF!</v>
      </c>
    </row>
    <row r="796" spans="1:29" x14ac:dyDescent="0.35">
      <c r="A796" t="e" cm="1">
        <f t="array" aca="1" ref="A796" ca="1">IF(A795="","",IF(OR(AND(A795+1&gt;=$AF$1,A795+1&lt;=$AF$2),AND(A795+1&gt;=$AF$6,A795+1&lt;=$AF$7),AND(A795+1&gt;=$AF$3,A795+1&lt;=$AF$4),AND(A795+1&gt;=$AF$8,A795+1&lt;=$AF$9),A795+1=$AF$5),IF(NOT(ISBLANK(INDIRECT("template!"&amp;"P"&amp;A795+1))),A795+1,IF(NOT(ISBLANK(INDIRECT("template!"&amp;"P"&amp;A795+2))),A795+2,A795+3)),IF(A795=$AF$2,$AF$3,IF(A795=$AF$4,$AF$5,IF(A795=$AF$5,$AF$6,IF(A795=$AF$7,$AF$8,""))))))</f>
        <v>#REF!</v>
      </c>
      <c r="B796" t="e">
        <f t="shared" ca="1" si="69"/>
        <v>#REF!</v>
      </c>
      <c r="C796" t="e" cm="1">
        <f t="array" aca="1" ref="C796" ca="1">IF(A796="","",IF(B796="safety","safety costs",INDIRECT("template!"&amp;"B"&amp;A796)))</f>
        <v>#REF!</v>
      </c>
      <c r="D796" t="e" cm="1">
        <f t="array" aca="1" ref="D796" ca="1">IF(OR(A796="",B796="safety"),"",INDIRECT("template!"&amp;"C"&amp;A796))</f>
        <v>#REF!</v>
      </c>
      <c r="E796" t="e" cm="1">
        <f t="array" aca="1" ref="E796" ca="1">IF(A796="","",IF(OR(A796=A795+1,A796=A795+2),E795,INDIRECT("template!"&amp;"D"&amp;A796-2)))</f>
        <v>#REF!</v>
      </c>
      <c r="F796" t="e" cm="1">
        <f t="array" aca="1" ref="F796" ca="1">IF(OR(A796="",B796="safety"),"",IF(ISBLANK(IF(A796=A795+1,F795,INDIRECT("template!"&amp;"D"&amp;A796-1))),"",IF(A796=A795+1,F795,INDIRECT("template!"&amp;"D"&amp;A796-1))))</f>
        <v>#REF!</v>
      </c>
      <c r="G796" t="e" cm="1">
        <f t="array" aca="1" ref="G796" ca="1">IF(OR(A796="",B796="safety"),"",IF(ISBLANK(INDIRECT("template!"&amp;"D"&amp;A796)),"",INDIRECT("template!"&amp;"D"&amp;A796)))</f>
        <v>#REF!</v>
      </c>
      <c r="H796" t="e" cm="1">
        <f t="array" aca="1" ref="H796" ca="1">IF(OR(A796="",B796="safety"),"",IF(ISBLANK(INDIRECT("template!"&amp;"E"&amp;A796)),"",INDIRECT("template!"&amp;"E"&amp;A796)))</f>
        <v>#REF!</v>
      </c>
      <c r="I796" t="e" cm="1">
        <f t="array" aca="1" ref="I796" ca="1">IF(OR(A796="",B796="safety"),"",IF(ISBLANK(INDIRECT("template!"&amp;"F"&amp;A796)),"",INDIRECT("template!"&amp;"F"&amp;A796)))</f>
        <v>#REF!</v>
      </c>
      <c r="J796" t="e" cm="1">
        <f t="array" aca="1" ref="J796" ca="1">IF(OR(A796="",B796="safety"),"",IF(ISBLANK(INDIRECT("template!"&amp;"G"&amp;A796)),"",INDIRECT("template!"&amp;"G"&amp;A796)))</f>
        <v>#REF!</v>
      </c>
      <c r="K796" t="e" cm="1">
        <f t="array" aca="1" ref="K796" ca="1">IF(OR(A796="",B796="safety"),"",IF(ISBLANK(INDIRECT("template!"&amp;"H"&amp;A796)),"",INDIRECT("template!"&amp;"H"&amp;A796)))</f>
        <v>#REF!</v>
      </c>
      <c r="L796" t="e" cm="1">
        <f t="array" aca="1" ref="L796" ca="1">IF(OR(A796="",B796="safety"),"",INDIRECT("template!"&amp;"I"&amp;A796))</f>
        <v>#REF!</v>
      </c>
      <c r="M796" t="e" cm="1">
        <f t="array" aca="1" ref="M796" ca="1">IF(OR(A796="",B796="safety"),"",INDIRECT("template!"&amp;"J"&amp;A796))</f>
        <v>#REF!</v>
      </c>
      <c r="N796" t="e" cm="1">
        <f t="array" aca="1" ref="N796" ca="1">IF(OR(A796="",B796="safety"),"",IF(ISBLANK(INDIRECT("template!"&amp;"K"&amp;A796)),"",INDIRECT("template!"&amp;"K"&amp;A796)))</f>
        <v>#REF!</v>
      </c>
      <c r="O796" t="e" cm="1">
        <f t="array" aca="1" ref="O796" ca="1">IF(OR(A796="",B796="safety"),"",INDIRECT("template!"&amp;"L"&amp;A796))</f>
        <v>#REF!</v>
      </c>
      <c r="P796" t="e" cm="1">
        <f t="array" aca="1" ref="P796" ca="1">IF(OR(A796="",B796="safety"),"",INDIRECT("template!"&amp;"M"&amp;A796))</f>
        <v>#REF!</v>
      </c>
      <c r="Q796" t="e">
        <f t="shared" ca="1" si="70"/>
        <v>#REF!</v>
      </c>
      <c r="R796" t="e">
        <f t="shared" ca="1" si="71"/>
        <v>#REF!</v>
      </c>
      <c r="S796" t="e">
        <f t="shared" ca="1" si="72"/>
        <v>#REF!</v>
      </c>
      <c r="T796" t="e">
        <f t="shared" ca="1" si="73"/>
        <v>#REF!</v>
      </c>
      <c r="U796" t="e" cm="1">
        <f t="array" aca="1" ref="U796" ca="1">IF(A796="","",IF(E796="","",IF(B796="safety",INDIRECT("template!"&amp;"P"&amp;A796),Q796+R796)))</f>
        <v>#REF!</v>
      </c>
      <c r="V796" t="e" cm="1">
        <f t="array" aca="1" ref="V796" ca="1">IF(A796="","",IF(E796="","",IF(B796="safety",INDIRECT("template!"&amp;"P"&amp;A796),S796+T796)))</f>
        <v>#REF!</v>
      </c>
      <c r="W796" t="e">
        <f ca="1">IF(A796="","",IF(E796="","",#REF!))</f>
        <v>#REF!</v>
      </c>
      <c r="X796" t="e">
        <f ca="1">IF(A796="","",IF(E796="","",#REF!))</f>
        <v>#REF!</v>
      </c>
      <c r="Y796" s="39" t="e">
        <f ca="1">IF(A796="","",IF(E796="","",#REF!))</f>
        <v>#REF!</v>
      </c>
      <c r="Z796" t="e">
        <f ca="1">IF(A796="","",IF(E796="","",#REF!))</f>
        <v>#REF!</v>
      </c>
      <c r="AA796" t="e">
        <f ca="1">IF(A796="","",IF(E796="","",#REF!))</f>
        <v>#REF!</v>
      </c>
      <c r="AB796" t="e">
        <f ca="1">IF(A796="","",IF(E796="","",#REF!))</f>
        <v>#REF!</v>
      </c>
      <c r="AC796" t="e">
        <f t="shared" ca="1" si="74"/>
        <v>#REF!</v>
      </c>
    </row>
    <row r="797" spans="1:29" x14ac:dyDescent="0.35">
      <c r="A797" t="e" cm="1">
        <f t="array" aca="1" ref="A797" ca="1">IF(A796="","",IF(OR(AND(A796+1&gt;=$AF$1,A796+1&lt;=$AF$2),AND(A796+1&gt;=$AF$6,A796+1&lt;=$AF$7),AND(A796+1&gt;=$AF$3,A796+1&lt;=$AF$4),AND(A796+1&gt;=$AF$8,A796+1&lt;=$AF$9),A796+1=$AF$5),IF(NOT(ISBLANK(INDIRECT("template!"&amp;"P"&amp;A796+1))),A796+1,IF(NOT(ISBLANK(INDIRECT("template!"&amp;"P"&amp;A796+2))),A796+2,A796+3)),IF(A796=$AF$2,$AF$3,IF(A796=$AF$4,$AF$5,IF(A796=$AF$5,$AF$6,IF(A796=$AF$7,$AF$8,""))))))</f>
        <v>#REF!</v>
      </c>
      <c r="B797" t="e">
        <f t="shared" ca="1" si="69"/>
        <v>#REF!</v>
      </c>
      <c r="C797" t="e" cm="1">
        <f t="array" aca="1" ref="C797" ca="1">IF(A797="","",IF(B797="safety","safety costs",INDIRECT("template!"&amp;"B"&amp;A797)))</f>
        <v>#REF!</v>
      </c>
      <c r="D797" t="e" cm="1">
        <f t="array" aca="1" ref="D797" ca="1">IF(OR(A797="",B797="safety"),"",INDIRECT("template!"&amp;"C"&amp;A797))</f>
        <v>#REF!</v>
      </c>
      <c r="E797" t="e" cm="1">
        <f t="array" aca="1" ref="E797" ca="1">IF(A797="","",IF(OR(A797=A796+1,A797=A796+2),E796,INDIRECT("template!"&amp;"D"&amp;A797-2)))</f>
        <v>#REF!</v>
      </c>
      <c r="F797" t="e" cm="1">
        <f t="array" aca="1" ref="F797" ca="1">IF(OR(A797="",B797="safety"),"",IF(ISBLANK(IF(A797=A796+1,F796,INDIRECT("template!"&amp;"D"&amp;A797-1))),"",IF(A797=A796+1,F796,INDIRECT("template!"&amp;"D"&amp;A797-1))))</f>
        <v>#REF!</v>
      </c>
      <c r="G797" t="e" cm="1">
        <f t="array" aca="1" ref="G797" ca="1">IF(OR(A797="",B797="safety"),"",IF(ISBLANK(INDIRECT("template!"&amp;"D"&amp;A797)),"",INDIRECT("template!"&amp;"D"&amp;A797)))</f>
        <v>#REF!</v>
      </c>
      <c r="H797" t="e" cm="1">
        <f t="array" aca="1" ref="H797" ca="1">IF(OR(A797="",B797="safety"),"",IF(ISBLANK(INDIRECT("template!"&amp;"E"&amp;A797)),"",INDIRECT("template!"&amp;"E"&amp;A797)))</f>
        <v>#REF!</v>
      </c>
      <c r="I797" t="e" cm="1">
        <f t="array" aca="1" ref="I797" ca="1">IF(OR(A797="",B797="safety"),"",IF(ISBLANK(INDIRECT("template!"&amp;"F"&amp;A797)),"",INDIRECT("template!"&amp;"F"&amp;A797)))</f>
        <v>#REF!</v>
      </c>
      <c r="J797" t="e" cm="1">
        <f t="array" aca="1" ref="J797" ca="1">IF(OR(A797="",B797="safety"),"",IF(ISBLANK(INDIRECT("template!"&amp;"G"&amp;A797)),"",INDIRECT("template!"&amp;"G"&amp;A797)))</f>
        <v>#REF!</v>
      </c>
      <c r="K797" t="e" cm="1">
        <f t="array" aca="1" ref="K797" ca="1">IF(OR(A797="",B797="safety"),"",IF(ISBLANK(INDIRECT("template!"&amp;"H"&amp;A797)),"",INDIRECT("template!"&amp;"H"&amp;A797)))</f>
        <v>#REF!</v>
      </c>
      <c r="L797" t="e" cm="1">
        <f t="array" aca="1" ref="L797" ca="1">IF(OR(A797="",B797="safety"),"",INDIRECT("template!"&amp;"I"&amp;A797))</f>
        <v>#REF!</v>
      </c>
      <c r="M797" t="e" cm="1">
        <f t="array" aca="1" ref="M797" ca="1">IF(OR(A797="",B797="safety"),"",INDIRECT("template!"&amp;"J"&amp;A797))</f>
        <v>#REF!</v>
      </c>
      <c r="N797" t="e" cm="1">
        <f t="array" aca="1" ref="N797" ca="1">IF(OR(A797="",B797="safety"),"",IF(ISBLANK(INDIRECT("template!"&amp;"K"&amp;A797)),"",INDIRECT("template!"&amp;"K"&amp;A797)))</f>
        <v>#REF!</v>
      </c>
      <c r="O797" t="e" cm="1">
        <f t="array" aca="1" ref="O797" ca="1">IF(OR(A797="",B797="safety"),"",INDIRECT("template!"&amp;"L"&amp;A797))</f>
        <v>#REF!</v>
      </c>
      <c r="P797" t="e" cm="1">
        <f t="array" aca="1" ref="P797" ca="1">IF(OR(A797="",B797="safety"),"",INDIRECT("template!"&amp;"M"&amp;A797))</f>
        <v>#REF!</v>
      </c>
      <c r="Q797" t="e">
        <f t="shared" ca="1" si="70"/>
        <v>#REF!</v>
      </c>
      <c r="R797" t="e">
        <f t="shared" ca="1" si="71"/>
        <v>#REF!</v>
      </c>
      <c r="S797" t="e">
        <f t="shared" ca="1" si="72"/>
        <v>#REF!</v>
      </c>
      <c r="T797" t="e">
        <f t="shared" ca="1" si="73"/>
        <v>#REF!</v>
      </c>
      <c r="U797" t="e" cm="1">
        <f t="array" aca="1" ref="U797" ca="1">IF(A797="","",IF(E797="","",IF(B797="safety",INDIRECT("template!"&amp;"P"&amp;A797),Q797+R797)))</f>
        <v>#REF!</v>
      </c>
      <c r="V797" t="e" cm="1">
        <f t="array" aca="1" ref="V797" ca="1">IF(A797="","",IF(E797="","",IF(B797="safety",INDIRECT("template!"&amp;"P"&amp;A797),S797+T797)))</f>
        <v>#REF!</v>
      </c>
      <c r="W797" t="e">
        <f ca="1">IF(A797="","",IF(E797="","",#REF!))</f>
        <v>#REF!</v>
      </c>
      <c r="X797" t="e">
        <f ca="1">IF(A797="","",IF(E797="","",#REF!))</f>
        <v>#REF!</v>
      </c>
      <c r="Y797" s="39" t="e">
        <f ca="1">IF(A797="","",IF(E797="","",#REF!))</f>
        <v>#REF!</v>
      </c>
      <c r="Z797" t="e">
        <f ca="1">IF(A797="","",IF(E797="","",#REF!))</f>
        <v>#REF!</v>
      </c>
      <c r="AA797" t="e">
        <f ca="1">IF(A797="","",IF(E797="","",#REF!))</f>
        <v>#REF!</v>
      </c>
      <c r="AB797" t="e">
        <f ca="1">IF(A797="","",IF(E797="","",#REF!))</f>
        <v>#REF!</v>
      </c>
      <c r="AC797" t="e">
        <f t="shared" ca="1" si="74"/>
        <v>#REF!</v>
      </c>
    </row>
    <row r="798" spans="1:29" x14ac:dyDescent="0.35">
      <c r="A798" t="e" cm="1">
        <f t="array" aca="1" ref="A798" ca="1">IF(A797="","",IF(OR(AND(A797+1&gt;=$AF$1,A797+1&lt;=$AF$2),AND(A797+1&gt;=$AF$6,A797+1&lt;=$AF$7),AND(A797+1&gt;=$AF$3,A797+1&lt;=$AF$4),AND(A797+1&gt;=$AF$8,A797+1&lt;=$AF$9),A797+1=$AF$5),IF(NOT(ISBLANK(INDIRECT("template!"&amp;"P"&amp;A797+1))),A797+1,IF(NOT(ISBLANK(INDIRECT("template!"&amp;"P"&amp;A797+2))),A797+2,A797+3)),IF(A797=$AF$2,$AF$3,IF(A797=$AF$4,$AF$5,IF(A797=$AF$5,$AF$6,IF(A797=$AF$7,$AF$8,""))))))</f>
        <v>#REF!</v>
      </c>
      <c r="B798" t="e">
        <f t="shared" ca="1" si="69"/>
        <v>#REF!</v>
      </c>
      <c r="C798" t="e" cm="1">
        <f t="array" aca="1" ref="C798" ca="1">IF(A798="","",IF(B798="safety","safety costs",INDIRECT("template!"&amp;"B"&amp;A798)))</f>
        <v>#REF!</v>
      </c>
      <c r="D798" t="e" cm="1">
        <f t="array" aca="1" ref="D798" ca="1">IF(OR(A798="",B798="safety"),"",INDIRECT("template!"&amp;"C"&amp;A798))</f>
        <v>#REF!</v>
      </c>
      <c r="E798" t="e" cm="1">
        <f t="array" aca="1" ref="E798" ca="1">IF(A798="","",IF(OR(A798=A797+1,A798=A797+2),E797,INDIRECT("template!"&amp;"D"&amp;A798-2)))</f>
        <v>#REF!</v>
      </c>
      <c r="F798" t="e" cm="1">
        <f t="array" aca="1" ref="F798" ca="1">IF(OR(A798="",B798="safety"),"",IF(ISBLANK(IF(A798=A797+1,F797,INDIRECT("template!"&amp;"D"&amp;A798-1))),"",IF(A798=A797+1,F797,INDIRECT("template!"&amp;"D"&amp;A798-1))))</f>
        <v>#REF!</v>
      </c>
      <c r="G798" t="e" cm="1">
        <f t="array" aca="1" ref="G798" ca="1">IF(OR(A798="",B798="safety"),"",IF(ISBLANK(INDIRECT("template!"&amp;"D"&amp;A798)),"",INDIRECT("template!"&amp;"D"&amp;A798)))</f>
        <v>#REF!</v>
      </c>
      <c r="H798" t="e" cm="1">
        <f t="array" aca="1" ref="H798" ca="1">IF(OR(A798="",B798="safety"),"",IF(ISBLANK(INDIRECT("template!"&amp;"E"&amp;A798)),"",INDIRECT("template!"&amp;"E"&amp;A798)))</f>
        <v>#REF!</v>
      </c>
      <c r="I798" t="e" cm="1">
        <f t="array" aca="1" ref="I798" ca="1">IF(OR(A798="",B798="safety"),"",IF(ISBLANK(INDIRECT("template!"&amp;"F"&amp;A798)),"",INDIRECT("template!"&amp;"F"&amp;A798)))</f>
        <v>#REF!</v>
      </c>
      <c r="J798" t="e" cm="1">
        <f t="array" aca="1" ref="J798" ca="1">IF(OR(A798="",B798="safety"),"",IF(ISBLANK(INDIRECT("template!"&amp;"G"&amp;A798)),"",INDIRECT("template!"&amp;"G"&amp;A798)))</f>
        <v>#REF!</v>
      </c>
      <c r="K798" t="e" cm="1">
        <f t="array" aca="1" ref="K798" ca="1">IF(OR(A798="",B798="safety"),"",IF(ISBLANK(INDIRECT("template!"&amp;"H"&amp;A798)),"",INDIRECT("template!"&amp;"H"&amp;A798)))</f>
        <v>#REF!</v>
      </c>
      <c r="L798" t="e" cm="1">
        <f t="array" aca="1" ref="L798" ca="1">IF(OR(A798="",B798="safety"),"",INDIRECT("template!"&amp;"I"&amp;A798))</f>
        <v>#REF!</v>
      </c>
      <c r="M798" t="e" cm="1">
        <f t="array" aca="1" ref="M798" ca="1">IF(OR(A798="",B798="safety"),"",INDIRECT("template!"&amp;"J"&amp;A798))</f>
        <v>#REF!</v>
      </c>
      <c r="N798" t="e" cm="1">
        <f t="array" aca="1" ref="N798" ca="1">IF(OR(A798="",B798="safety"),"",IF(ISBLANK(INDIRECT("template!"&amp;"K"&amp;A798)),"",INDIRECT("template!"&amp;"K"&amp;A798)))</f>
        <v>#REF!</v>
      </c>
      <c r="O798" t="e" cm="1">
        <f t="array" aca="1" ref="O798" ca="1">IF(OR(A798="",B798="safety"),"",INDIRECT("template!"&amp;"L"&amp;A798))</f>
        <v>#REF!</v>
      </c>
      <c r="P798" t="e" cm="1">
        <f t="array" aca="1" ref="P798" ca="1">IF(OR(A798="",B798="safety"),"",INDIRECT("template!"&amp;"M"&amp;A798))</f>
        <v>#REF!</v>
      </c>
      <c r="Q798" t="e">
        <f t="shared" ca="1" si="70"/>
        <v>#REF!</v>
      </c>
      <c r="R798" t="e">
        <f t="shared" ca="1" si="71"/>
        <v>#REF!</v>
      </c>
      <c r="S798" t="e">
        <f t="shared" ca="1" si="72"/>
        <v>#REF!</v>
      </c>
      <c r="T798" t="e">
        <f t="shared" ca="1" si="73"/>
        <v>#REF!</v>
      </c>
      <c r="U798" t="e" cm="1">
        <f t="array" aca="1" ref="U798" ca="1">IF(A798="","",IF(E798="","",IF(B798="safety",INDIRECT("template!"&amp;"P"&amp;A798),Q798+R798)))</f>
        <v>#REF!</v>
      </c>
      <c r="V798" t="e" cm="1">
        <f t="array" aca="1" ref="V798" ca="1">IF(A798="","",IF(E798="","",IF(B798="safety",INDIRECT("template!"&amp;"P"&amp;A798),S798+T798)))</f>
        <v>#REF!</v>
      </c>
      <c r="W798" t="e">
        <f ca="1">IF(A798="","",IF(E798="","",#REF!))</f>
        <v>#REF!</v>
      </c>
      <c r="X798" t="e">
        <f ca="1">IF(A798="","",IF(E798="","",#REF!))</f>
        <v>#REF!</v>
      </c>
      <c r="Y798" s="39" t="e">
        <f ca="1">IF(A798="","",IF(E798="","",#REF!))</f>
        <v>#REF!</v>
      </c>
      <c r="Z798" t="e">
        <f ca="1">IF(A798="","",IF(E798="","",#REF!))</f>
        <v>#REF!</v>
      </c>
      <c r="AA798" t="e">
        <f ca="1">IF(A798="","",IF(E798="","",#REF!))</f>
        <v>#REF!</v>
      </c>
      <c r="AB798" t="e">
        <f ca="1">IF(A798="","",IF(E798="","",#REF!))</f>
        <v>#REF!</v>
      </c>
      <c r="AC798" t="e">
        <f t="shared" ca="1" si="74"/>
        <v>#REF!</v>
      </c>
    </row>
    <row r="799" spans="1:29" x14ac:dyDescent="0.35">
      <c r="A799" t="e" cm="1">
        <f t="array" aca="1" ref="A799" ca="1">IF(A798="","",IF(OR(AND(A798+1&gt;=$AF$1,A798+1&lt;=$AF$2),AND(A798+1&gt;=$AF$6,A798+1&lt;=$AF$7),AND(A798+1&gt;=$AF$3,A798+1&lt;=$AF$4),AND(A798+1&gt;=$AF$8,A798+1&lt;=$AF$9),A798+1=$AF$5),IF(NOT(ISBLANK(INDIRECT("template!"&amp;"P"&amp;A798+1))),A798+1,IF(NOT(ISBLANK(INDIRECT("template!"&amp;"P"&amp;A798+2))),A798+2,A798+3)),IF(A798=$AF$2,$AF$3,IF(A798=$AF$4,$AF$5,IF(A798=$AF$5,$AF$6,IF(A798=$AF$7,$AF$8,""))))))</f>
        <v>#REF!</v>
      </c>
      <c r="B799" t="e">
        <f t="shared" ca="1" si="69"/>
        <v>#REF!</v>
      </c>
      <c r="C799" t="e" cm="1">
        <f t="array" aca="1" ref="C799" ca="1">IF(A799="","",IF(B799="safety","safety costs",INDIRECT("template!"&amp;"B"&amp;A799)))</f>
        <v>#REF!</v>
      </c>
      <c r="D799" t="e" cm="1">
        <f t="array" aca="1" ref="D799" ca="1">IF(OR(A799="",B799="safety"),"",INDIRECT("template!"&amp;"C"&amp;A799))</f>
        <v>#REF!</v>
      </c>
      <c r="E799" t="e" cm="1">
        <f t="array" aca="1" ref="E799" ca="1">IF(A799="","",IF(OR(A799=A798+1,A799=A798+2),E798,INDIRECT("template!"&amp;"D"&amp;A799-2)))</f>
        <v>#REF!</v>
      </c>
      <c r="F799" t="e" cm="1">
        <f t="array" aca="1" ref="F799" ca="1">IF(OR(A799="",B799="safety"),"",IF(ISBLANK(IF(A799=A798+1,F798,INDIRECT("template!"&amp;"D"&amp;A799-1))),"",IF(A799=A798+1,F798,INDIRECT("template!"&amp;"D"&amp;A799-1))))</f>
        <v>#REF!</v>
      </c>
      <c r="G799" t="e" cm="1">
        <f t="array" aca="1" ref="G799" ca="1">IF(OR(A799="",B799="safety"),"",IF(ISBLANK(INDIRECT("template!"&amp;"D"&amp;A799)),"",INDIRECT("template!"&amp;"D"&amp;A799)))</f>
        <v>#REF!</v>
      </c>
      <c r="H799" t="e" cm="1">
        <f t="array" aca="1" ref="H799" ca="1">IF(OR(A799="",B799="safety"),"",IF(ISBLANK(INDIRECT("template!"&amp;"E"&amp;A799)),"",INDIRECT("template!"&amp;"E"&amp;A799)))</f>
        <v>#REF!</v>
      </c>
      <c r="I799" t="e" cm="1">
        <f t="array" aca="1" ref="I799" ca="1">IF(OR(A799="",B799="safety"),"",IF(ISBLANK(INDIRECT("template!"&amp;"F"&amp;A799)),"",INDIRECT("template!"&amp;"F"&amp;A799)))</f>
        <v>#REF!</v>
      </c>
      <c r="J799" t="e" cm="1">
        <f t="array" aca="1" ref="J799" ca="1">IF(OR(A799="",B799="safety"),"",IF(ISBLANK(INDIRECT("template!"&amp;"G"&amp;A799)),"",INDIRECT("template!"&amp;"G"&amp;A799)))</f>
        <v>#REF!</v>
      </c>
      <c r="K799" t="e" cm="1">
        <f t="array" aca="1" ref="K799" ca="1">IF(OR(A799="",B799="safety"),"",IF(ISBLANK(INDIRECT("template!"&amp;"H"&amp;A799)),"",INDIRECT("template!"&amp;"H"&amp;A799)))</f>
        <v>#REF!</v>
      </c>
      <c r="L799" t="e" cm="1">
        <f t="array" aca="1" ref="L799" ca="1">IF(OR(A799="",B799="safety"),"",INDIRECT("template!"&amp;"I"&amp;A799))</f>
        <v>#REF!</v>
      </c>
      <c r="M799" t="e" cm="1">
        <f t="array" aca="1" ref="M799" ca="1">IF(OR(A799="",B799="safety"),"",INDIRECT("template!"&amp;"J"&amp;A799))</f>
        <v>#REF!</v>
      </c>
      <c r="N799" t="e" cm="1">
        <f t="array" aca="1" ref="N799" ca="1">IF(OR(A799="",B799="safety"),"",IF(ISBLANK(INDIRECT("template!"&amp;"K"&amp;A799)),"",INDIRECT("template!"&amp;"K"&amp;A799)))</f>
        <v>#REF!</v>
      </c>
      <c r="O799" t="e" cm="1">
        <f t="array" aca="1" ref="O799" ca="1">IF(OR(A799="",B799="safety"),"",INDIRECT("template!"&amp;"L"&amp;A799))</f>
        <v>#REF!</v>
      </c>
      <c r="P799" t="e" cm="1">
        <f t="array" aca="1" ref="P799" ca="1">IF(OR(A799="",B799="safety"),"",INDIRECT("template!"&amp;"M"&amp;A799))</f>
        <v>#REF!</v>
      </c>
      <c r="Q799" t="e">
        <f t="shared" ca="1" si="70"/>
        <v>#REF!</v>
      </c>
      <c r="R799" t="e">
        <f t="shared" ca="1" si="71"/>
        <v>#REF!</v>
      </c>
      <c r="S799" t="e">
        <f t="shared" ca="1" si="72"/>
        <v>#REF!</v>
      </c>
      <c r="T799" t="e">
        <f t="shared" ca="1" si="73"/>
        <v>#REF!</v>
      </c>
      <c r="U799" t="e" cm="1">
        <f t="array" aca="1" ref="U799" ca="1">IF(A799="","",IF(E799="","",IF(B799="safety",INDIRECT("template!"&amp;"P"&amp;A799),Q799+R799)))</f>
        <v>#REF!</v>
      </c>
      <c r="V799" t="e" cm="1">
        <f t="array" aca="1" ref="V799" ca="1">IF(A799="","",IF(E799="","",IF(B799="safety",INDIRECT("template!"&amp;"P"&amp;A799),S799+T799)))</f>
        <v>#REF!</v>
      </c>
      <c r="W799" t="e">
        <f ca="1">IF(A799="","",IF(E799="","",#REF!))</f>
        <v>#REF!</v>
      </c>
      <c r="X799" t="e">
        <f ca="1">IF(A799="","",IF(E799="","",#REF!))</f>
        <v>#REF!</v>
      </c>
      <c r="Y799" s="39" t="e">
        <f ca="1">IF(A799="","",IF(E799="","",#REF!))</f>
        <v>#REF!</v>
      </c>
      <c r="Z799" t="e">
        <f ca="1">IF(A799="","",IF(E799="","",#REF!))</f>
        <v>#REF!</v>
      </c>
      <c r="AA799" t="e">
        <f ca="1">IF(A799="","",IF(E799="","",#REF!))</f>
        <v>#REF!</v>
      </c>
      <c r="AB799" t="e">
        <f ca="1">IF(A799="","",IF(E799="","",#REF!))</f>
        <v>#REF!</v>
      </c>
      <c r="AC799" t="e">
        <f t="shared" ca="1" si="74"/>
        <v>#REF!</v>
      </c>
    </row>
    <row r="800" spans="1:29" x14ac:dyDescent="0.35">
      <c r="A800" t="e" cm="1">
        <f t="array" aca="1" ref="A800" ca="1">IF(A799="","",IF(OR(AND(A799+1&gt;=$AF$1,A799+1&lt;=$AF$2),AND(A799+1&gt;=$AF$6,A799+1&lt;=$AF$7),AND(A799+1&gt;=$AF$3,A799+1&lt;=$AF$4),AND(A799+1&gt;=$AF$8,A799+1&lt;=$AF$9),A799+1=$AF$5),IF(NOT(ISBLANK(INDIRECT("template!"&amp;"P"&amp;A799+1))),A799+1,IF(NOT(ISBLANK(INDIRECT("template!"&amp;"P"&amp;A799+2))),A799+2,A799+3)),IF(A799=$AF$2,$AF$3,IF(A799=$AF$4,$AF$5,IF(A799=$AF$5,$AF$6,IF(A799=$AF$7,$AF$8,""))))))</f>
        <v>#REF!</v>
      </c>
      <c r="B800" t="e">
        <f t="shared" ca="1" si="69"/>
        <v>#REF!</v>
      </c>
      <c r="C800" t="e" cm="1">
        <f t="array" aca="1" ref="C800" ca="1">IF(A800="","",IF(B800="safety","safety costs",INDIRECT("template!"&amp;"B"&amp;A800)))</f>
        <v>#REF!</v>
      </c>
      <c r="D800" t="e" cm="1">
        <f t="array" aca="1" ref="D800" ca="1">IF(OR(A800="",B800="safety"),"",INDIRECT("template!"&amp;"C"&amp;A800))</f>
        <v>#REF!</v>
      </c>
      <c r="E800" t="e" cm="1">
        <f t="array" aca="1" ref="E800" ca="1">IF(A800="","",IF(OR(A800=A799+1,A800=A799+2),E799,INDIRECT("template!"&amp;"D"&amp;A800-2)))</f>
        <v>#REF!</v>
      </c>
      <c r="F800" t="e" cm="1">
        <f t="array" aca="1" ref="F800" ca="1">IF(OR(A800="",B800="safety"),"",IF(ISBLANK(IF(A800=A799+1,F799,INDIRECT("template!"&amp;"D"&amp;A800-1))),"",IF(A800=A799+1,F799,INDIRECT("template!"&amp;"D"&amp;A800-1))))</f>
        <v>#REF!</v>
      </c>
      <c r="G800" t="e" cm="1">
        <f t="array" aca="1" ref="G800" ca="1">IF(OR(A800="",B800="safety"),"",IF(ISBLANK(INDIRECT("template!"&amp;"D"&amp;A800)),"",INDIRECT("template!"&amp;"D"&amp;A800)))</f>
        <v>#REF!</v>
      </c>
      <c r="H800" t="e" cm="1">
        <f t="array" aca="1" ref="H800" ca="1">IF(OR(A800="",B800="safety"),"",IF(ISBLANK(INDIRECT("template!"&amp;"E"&amp;A800)),"",INDIRECT("template!"&amp;"E"&amp;A800)))</f>
        <v>#REF!</v>
      </c>
      <c r="I800" t="e" cm="1">
        <f t="array" aca="1" ref="I800" ca="1">IF(OR(A800="",B800="safety"),"",IF(ISBLANK(INDIRECT("template!"&amp;"F"&amp;A800)),"",INDIRECT("template!"&amp;"F"&amp;A800)))</f>
        <v>#REF!</v>
      </c>
      <c r="J800" t="e" cm="1">
        <f t="array" aca="1" ref="J800" ca="1">IF(OR(A800="",B800="safety"),"",IF(ISBLANK(INDIRECT("template!"&amp;"G"&amp;A800)),"",INDIRECT("template!"&amp;"G"&amp;A800)))</f>
        <v>#REF!</v>
      </c>
      <c r="K800" t="e" cm="1">
        <f t="array" aca="1" ref="K800" ca="1">IF(OR(A800="",B800="safety"),"",IF(ISBLANK(INDIRECT("template!"&amp;"H"&amp;A800)),"",INDIRECT("template!"&amp;"H"&amp;A800)))</f>
        <v>#REF!</v>
      </c>
      <c r="L800" t="e" cm="1">
        <f t="array" aca="1" ref="L800" ca="1">IF(OR(A800="",B800="safety"),"",INDIRECT("template!"&amp;"I"&amp;A800))</f>
        <v>#REF!</v>
      </c>
      <c r="M800" t="e" cm="1">
        <f t="array" aca="1" ref="M800" ca="1">IF(OR(A800="",B800="safety"),"",INDIRECT("template!"&amp;"J"&amp;A800))</f>
        <v>#REF!</v>
      </c>
      <c r="N800" t="e" cm="1">
        <f t="array" aca="1" ref="N800" ca="1">IF(OR(A800="",B800="safety"),"",IF(ISBLANK(INDIRECT("template!"&amp;"K"&amp;A800)),"",INDIRECT("template!"&amp;"K"&amp;A800)))</f>
        <v>#REF!</v>
      </c>
      <c r="O800" t="e" cm="1">
        <f t="array" aca="1" ref="O800" ca="1">IF(OR(A800="",B800="safety"),"",INDIRECT("template!"&amp;"L"&amp;A800))</f>
        <v>#REF!</v>
      </c>
      <c r="P800" t="e" cm="1">
        <f t="array" aca="1" ref="P800" ca="1">IF(OR(A800="",B800="safety"),"",INDIRECT("template!"&amp;"M"&amp;A800))</f>
        <v>#REF!</v>
      </c>
      <c r="Q800" t="e">
        <f t="shared" ca="1" si="70"/>
        <v>#REF!</v>
      </c>
      <c r="R800" t="e">
        <f t="shared" ca="1" si="71"/>
        <v>#REF!</v>
      </c>
      <c r="S800" t="e">
        <f t="shared" ca="1" si="72"/>
        <v>#REF!</v>
      </c>
      <c r="T800" t="e">
        <f t="shared" ca="1" si="73"/>
        <v>#REF!</v>
      </c>
      <c r="U800" t="e" cm="1">
        <f t="array" aca="1" ref="U800" ca="1">IF(A800="","",IF(E800="","",IF(B800="safety",INDIRECT("template!"&amp;"P"&amp;A800),Q800+R800)))</f>
        <v>#REF!</v>
      </c>
      <c r="V800" t="e" cm="1">
        <f t="array" aca="1" ref="V800" ca="1">IF(A800="","",IF(E800="","",IF(B800="safety",INDIRECT("template!"&amp;"P"&amp;A800),S800+T800)))</f>
        <v>#REF!</v>
      </c>
      <c r="W800" t="e">
        <f ca="1">IF(A800="","",IF(E800="","",#REF!))</f>
        <v>#REF!</v>
      </c>
      <c r="X800" t="e">
        <f ca="1">IF(A800="","",IF(E800="","",#REF!))</f>
        <v>#REF!</v>
      </c>
      <c r="Y800" s="39" t="e">
        <f ca="1">IF(A800="","",IF(E800="","",#REF!))</f>
        <v>#REF!</v>
      </c>
      <c r="Z800" t="e">
        <f ca="1">IF(A800="","",IF(E800="","",#REF!))</f>
        <v>#REF!</v>
      </c>
      <c r="AA800" t="e">
        <f ca="1">IF(A800="","",IF(E800="","",#REF!))</f>
        <v>#REF!</v>
      </c>
      <c r="AB800" t="e">
        <f ca="1">IF(A800="","",IF(E800="","",#REF!))</f>
        <v>#REF!</v>
      </c>
      <c r="AC800" t="e">
        <f t="shared" ca="1" si="74"/>
        <v>#REF!</v>
      </c>
    </row>
    <row r="801" spans="1:29" x14ac:dyDescent="0.35">
      <c r="A801" t="e" cm="1">
        <f t="array" aca="1" ref="A801" ca="1">IF(A800="","",IF(OR(AND(A800+1&gt;=$AF$1,A800+1&lt;=$AF$2),AND(A800+1&gt;=$AF$6,A800+1&lt;=$AF$7),AND(A800+1&gt;=$AF$3,A800+1&lt;=$AF$4),AND(A800+1&gt;=$AF$8,A800+1&lt;=$AF$9),A800+1=$AF$5),IF(NOT(ISBLANK(INDIRECT("template!"&amp;"P"&amp;A800+1))),A800+1,IF(NOT(ISBLANK(INDIRECT("template!"&amp;"P"&amp;A800+2))),A800+2,A800+3)),IF(A800=$AF$2,$AF$3,IF(A800=$AF$4,$AF$5,IF(A800=$AF$5,$AF$6,IF(A800=$AF$7,$AF$8,""))))))</f>
        <v>#REF!</v>
      </c>
      <c r="B801" t="e">
        <f t="shared" ca="1" si="69"/>
        <v>#REF!</v>
      </c>
      <c r="C801" t="e" cm="1">
        <f t="array" aca="1" ref="C801" ca="1">IF(A801="","",IF(B801="safety","safety costs",INDIRECT("template!"&amp;"B"&amp;A801)))</f>
        <v>#REF!</v>
      </c>
      <c r="D801" t="e" cm="1">
        <f t="array" aca="1" ref="D801" ca="1">IF(OR(A801="",B801="safety"),"",INDIRECT("template!"&amp;"C"&amp;A801))</f>
        <v>#REF!</v>
      </c>
      <c r="E801" t="e" cm="1">
        <f t="array" aca="1" ref="E801" ca="1">IF(A801="","",IF(OR(A801=A800+1,A801=A800+2),E800,INDIRECT("template!"&amp;"D"&amp;A801-2)))</f>
        <v>#REF!</v>
      </c>
      <c r="F801" t="e" cm="1">
        <f t="array" aca="1" ref="F801" ca="1">IF(OR(A801="",B801="safety"),"",IF(ISBLANK(IF(A801=A800+1,F800,INDIRECT("template!"&amp;"D"&amp;A801-1))),"",IF(A801=A800+1,F800,INDIRECT("template!"&amp;"D"&amp;A801-1))))</f>
        <v>#REF!</v>
      </c>
      <c r="G801" t="e" cm="1">
        <f t="array" aca="1" ref="G801" ca="1">IF(OR(A801="",B801="safety"),"",IF(ISBLANK(INDIRECT("template!"&amp;"D"&amp;A801)),"",INDIRECT("template!"&amp;"D"&amp;A801)))</f>
        <v>#REF!</v>
      </c>
      <c r="H801" t="e" cm="1">
        <f t="array" aca="1" ref="H801" ca="1">IF(OR(A801="",B801="safety"),"",IF(ISBLANK(INDIRECT("template!"&amp;"E"&amp;A801)),"",INDIRECT("template!"&amp;"E"&amp;A801)))</f>
        <v>#REF!</v>
      </c>
      <c r="I801" t="e" cm="1">
        <f t="array" aca="1" ref="I801" ca="1">IF(OR(A801="",B801="safety"),"",IF(ISBLANK(INDIRECT("template!"&amp;"F"&amp;A801)),"",INDIRECT("template!"&amp;"F"&amp;A801)))</f>
        <v>#REF!</v>
      </c>
      <c r="J801" t="e" cm="1">
        <f t="array" aca="1" ref="J801" ca="1">IF(OR(A801="",B801="safety"),"",IF(ISBLANK(INDIRECT("template!"&amp;"G"&amp;A801)),"",INDIRECT("template!"&amp;"G"&amp;A801)))</f>
        <v>#REF!</v>
      </c>
      <c r="K801" t="e" cm="1">
        <f t="array" aca="1" ref="K801" ca="1">IF(OR(A801="",B801="safety"),"",IF(ISBLANK(INDIRECT("template!"&amp;"H"&amp;A801)),"",INDIRECT("template!"&amp;"H"&amp;A801)))</f>
        <v>#REF!</v>
      </c>
      <c r="L801" t="e" cm="1">
        <f t="array" aca="1" ref="L801" ca="1">IF(OR(A801="",B801="safety"),"",INDIRECT("template!"&amp;"I"&amp;A801))</f>
        <v>#REF!</v>
      </c>
      <c r="M801" t="e" cm="1">
        <f t="array" aca="1" ref="M801" ca="1">IF(OR(A801="",B801="safety"),"",INDIRECT("template!"&amp;"J"&amp;A801))</f>
        <v>#REF!</v>
      </c>
      <c r="N801" t="e" cm="1">
        <f t="array" aca="1" ref="N801" ca="1">IF(OR(A801="",B801="safety"),"",IF(ISBLANK(INDIRECT("template!"&amp;"K"&amp;A801)),"",INDIRECT("template!"&amp;"K"&amp;A801)))</f>
        <v>#REF!</v>
      </c>
      <c r="O801" t="e" cm="1">
        <f t="array" aca="1" ref="O801" ca="1">IF(OR(A801="",B801="safety"),"",INDIRECT("template!"&amp;"L"&amp;A801))</f>
        <v>#REF!</v>
      </c>
      <c r="P801" t="e" cm="1">
        <f t="array" aca="1" ref="P801" ca="1">IF(OR(A801="",B801="safety"),"",INDIRECT("template!"&amp;"M"&amp;A801))</f>
        <v>#REF!</v>
      </c>
      <c r="Q801" t="e">
        <f t="shared" ca="1" si="70"/>
        <v>#REF!</v>
      </c>
      <c r="R801" t="e">
        <f t="shared" ca="1" si="71"/>
        <v>#REF!</v>
      </c>
      <c r="S801" t="e">
        <f t="shared" ca="1" si="72"/>
        <v>#REF!</v>
      </c>
      <c r="T801" t="e">
        <f t="shared" ca="1" si="73"/>
        <v>#REF!</v>
      </c>
      <c r="U801" t="e" cm="1">
        <f t="array" aca="1" ref="U801" ca="1">IF(A801="","",IF(E801="","",IF(B801="safety",INDIRECT("template!"&amp;"P"&amp;A801),Q801+R801)))</f>
        <v>#REF!</v>
      </c>
      <c r="V801" t="e" cm="1">
        <f t="array" aca="1" ref="V801" ca="1">IF(A801="","",IF(E801="","",IF(B801="safety",INDIRECT("template!"&amp;"P"&amp;A801),S801+T801)))</f>
        <v>#REF!</v>
      </c>
      <c r="W801" t="e">
        <f ca="1">IF(A801="","",IF(E801="","",#REF!))</f>
        <v>#REF!</v>
      </c>
      <c r="X801" t="e">
        <f ca="1">IF(A801="","",IF(E801="","",#REF!))</f>
        <v>#REF!</v>
      </c>
      <c r="Y801" s="39" t="e">
        <f ca="1">IF(A801="","",IF(E801="","",#REF!))</f>
        <v>#REF!</v>
      </c>
      <c r="Z801" t="e">
        <f ca="1">IF(A801="","",IF(E801="","",#REF!))</f>
        <v>#REF!</v>
      </c>
      <c r="AA801" t="e">
        <f ca="1">IF(A801="","",IF(E801="","",#REF!))</f>
        <v>#REF!</v>
      </c>
      <c r="AB801" t="e">
        <f ca="1">IF(A801="","",IF(E801="","",#REF!))</f>
        <v>#REF!</v>
      </c>
      <c r="AC801" t="e">
        <f t="shared" ca="1" si="74"/>
        <v>#REF!</v>
      </c>
    </row>
    <row r="802" spans="1:29" x14ac:dyDescent="0.35">
      <c r="A802" t="e" cm="1">
        <f t="array" aca="1" ref="A802" ca="1">IF(A801="","",IF(OR(AND(A801+1&gt;=$AF$1,A801+1&lt;=$AF$2),AND(A801+1&gt;=$AF$6,A801+1&lt;=$AF$7),AND(A801+1&gt;=$AF$3,A801+1&lt;=$AF$4),AND(A801+1&gt;=$AF$8,A801+1&lt;=$AF$9),A801+1=$AF$5),IF(NOT(ISBLANK(INDIRECT("template!"&amp;"P"&amp;A801+1))),A801+1,IF(NOT(ISBLANK(INDIRECT("template!"&amp;"P"&amp;A801+2))),A801+2,A801+3)),IF(A801=$AF$2,$AF$3,IF(A801=$AF$4,$AF$5,IF(A801=$AF$5,$AF$6,IF(A801=$AF$7,$AF$8,""))))))</f>
        <v>#REF!</v>
      </c>
      <c r="B802" t="e">
        <f t="shared" ca="1" si="69"/>
        <v>#REF!</v>
      </c>
      <c r="C802" t="e" cm="1">
        <f t="array" aca="1" ref="C802" ca="1">IF(A802="","",IF(B802="safety","safety costs",INDIRECT("template!"&amp;"B"&amp;A802)))</f>
        <v>#REF!</v>
      </c>
      <c r="D802" t="e" cm="1">
        <f t="array" aca="1" ref="D802" ca="1">IF(OR(A802="",B802="safety"),"",INDIRECT("template!"&amp;"C"&amp;A802))</f>
        <v>#REF!</v>
      </c>
      <c r="E802" t="e" cm="1">
        <f t="array" aca="1" ref="E802" ca="1">IF(A802="","",IF(OR(A802=A801+1,A802=A801+2),E801,INDIRECT("template!"&amp;"D"&amp;A802-2)))</f>
        <v>#REF!</v>
      </c>
      <c r="F802" t="e" cm="1">
        <f t="array" aca="1" ref="F802" ca="1">IF(OR(A802="",B802="safety"),"",IF(ISBLANK(IF(A802=A801+1,F801,INDIRECT("template!"&amp;"D"&amp;A802-1))),"",IF(A802=A801+1,F801,INDIRECT("template!"&amp;"D"&amp;A802-1))))</f>
        <v>#REF!</v>
      </c>
      <c r="G802" t="e" cm="1">
        <f t="array" aca="1" ref="G802" ca="1">IF(OR(A802="",B802="safety"),"",IF(ISBLANK(INDIRECT("template!"&amp;"D"&amp;A802)),"",INDIRECT("template!"&amp;"D"&amp;A802)))</f>
        <v>#REF!</v>
      </c>
      <c r="H802" t="e" cm="1">
        <f t="array" aca="1" ref="H802" ca="1">IF(OR(A802="",B802="safety"),"",IF(ISBLANK(INDIRECT("template!"&amp;"E"&amp;A802)),"",INDIRECT("template!"&amp;"E"&amp;A802)))</f>
        <v>#REF!</v>
      </c>
      <c r="I802" t="e" cm="1">
        <f t="array" aca="1" ref="I802" ca="1">IF(OR(A802="",B802="safety"),"",IF(ISBLANK(INDIRECT("template!"&amp;"F"&amp;A802)),"",INDIRECT("template!"&amp;"F"&amp;A802)))</f>
        <v>#REF!</v>
      </c>
      <c r="J802" t="e" cm="1">
        <f t="array" aca="1" ref="J802" ca="1">IF(OR(A802="",B802="safety"),"",IF(ISBLANK(INDIRECT("template!"&amp;"G"&amp;A802)),"",INDIRECT("template!"&amp;"G"&amp;A802)))</f>
        <v>#REF!</v>
      </c>
      <c r="K802" t="e" cm="1">
        <f t="array" aca="1" ref="K802" ca="1">IF(OR(A802="",B802="safety"),"",IF(ISBLANK(INDIRECT("template!"&amp;"H"&amp;A802)),"",INDIRECT("template!"&amp;"H"&amp;A802)))</f>
        <v>#REF!</v>
      </c>
      <c r="L802" t="e" cm="1">
        <f t="array" aca="1" ref="L802" ca="1">IF(OR(A802="",B802="safety"),"",INDIRECT("template!"&amp;"I"&amp;A802))</f>
        <v>#REF!</v>
      </c>
      <c r="M802" t="e" cm="1">
        <f t="array" aca="1" ref="M802" ca="1">IF(OR(A802="",B802="safety"),"",INDIRECT("template!"&amp;"J"&amp;A802))</f>
        <v>#REF!</v>
      </c>
      <c r="N802" t="e" cm="1">
        <f t="array" aca="1" ref="N802" ca="1">IF(OR(A802="",B802="safety"),"",IF(ISBLANK(INDIRECT("template!"&amp;"K"&amp;A802)),"",INDIRECT("template!"&amp;"K"&amp;A802)))</f>
        <v>#REF!</v>
      </c>
      <c r="O802" t="e" cm="1">
        <f t="array" aca="1" ref="O802" ca="1">IF(OR(A802="",B802="safety"),"",INDIRECT("template!"&amp;"L"&amp;A802))</f>
        <v>#REF!</v>
      </c>
      <c r="P802" t="e" cm="1">
        <f t="array" aca="1" ref="P802" ca="1">IF(OR(A802="",B802="safety"),"",INDIRECT("template!"&amp;"M"&amp;A802))</f>
        <v>#REF!</v>
      </c>
      <c r="Q802" t="e">
        <f t="shared" ca="1" si="70"/>
        <v>#REF!</v>
      </c>
      <c r="R802" t="e">
        <f t="shared" ca="1" si="71"/>
        <v>#REF!</v>
      </c>
      <c r="S802" t="e">
        <f t="shared" ca="1" si="72"/>
        <v>#REF!</v>
      </c>
      <c r="T802" t="e">
        <f t="shared" ca="1" si="73"/>
        <v>#REF!</v>
      </c>
      <c r="U802" t="e" cm="1">
        <f t="array" aca="1" ref="U802" ca="1">IF(A802="","",IF(E802="","",IF(B802="safety",INDIRECT("template!"&amp;"P"&amp;A802),Q802+R802)))</f>
        <v>#REF!</v>
      </c>
      <c r="V802" t="e" cm="1">
        <f t="array" aca="1" ref="V802" ca="1">IF(A802="","",IF(E802="","",IF(B802="safety",INDIRECT("template!"&amp;"P"&amp;A802),S802+T802)))</f>
        <v>#REF!</v>
      </c>
      <c r="W802" t="e">
        <f ca="1">IF(A802="","",IF(E802="","",#REF!))</f>
        <v>#REF!</v>
      </c>
      <c r="X802" t="e">
        <f ca="1">IF(A802="","",IF(E802="","",#REF!))</f>
        <v>#REF!</v>
      </c>
      <c r="Y802" s="39" t="e">
        <f ca="1">IF(A802="","",IF(E802="","",#REF!))</f>
        <v>#REF!</v>
      </c>
      <c r="Z802" t="e">
        <f ca="1">IF(A802="","",IF(E802="","",#REF!))</f>
        <v>#REF!</v>
      </c>
      <c r="AA802" t="e">
        <f ca="1">IF(A802="","",IF(E802="","",#REF!))</f>
        <v>#REF!</v>
      </c>
      <c r="AB802" t="e">
        <f ca="1">IF(A802="","",IF(E802="","",#REF!))</f>
        <v>#REF!</v>
      </c>
      <c r="AC802" t="e">
        <f t="shared" ca="1" si="74"/>
        <v>#REF!</v>
      </c>
    </row>
    <row r="803" spans="1:29" x14ac:dyDescent="0.35">
      <c r="A803" t="e" cm="1">
        <f t="array" aca="1" ref="A803" ca="1">IF(A802="","",IF(OR(AND(A802+1&gt;=$AF$1,A802+1&lt;=$AF$2),AND(A802+1&gt;=$AF$6,A802+1&lt;=$AF$7),AND(A802+1&gt;=$AF$3,A802+1&lt;=$AF$4),AND(A802+1&gt;=$AF$8,A802+1&lt;=$AF$9),A802+1=$AF$5),IF(NOT(ISBLANK(INDIRECT("template!"&amp;"P"&amp;A802+1))),A802+1,IF(NOT(ISBLANK(INDIRECT("template!"&amp;"P"&amp;A802+2))),A802+2,A802+3)),IF(A802=$AF$2,$AF$3,IF(A802=$AF$4,$AF$5,IF(A802=$AF$5,$AF$6,IF(A802=$AF$7,$AF$8,""))))))</f>
        <v>#REF!</v>
      </c>
      <c r="B803" t="e">
        <f t="shared" ca="1" si="69"/>
        <v>#REF!</v>
      </c>
      <c r="C803" t="e" cm="1">
        <f t="array" aca="1" ref="C803" ca="1">IF(A803="","",IF(B803="safety","safety costs",INDIRECT("template!"&amp;"B"&amp;A803)))</f>
        <v>#REF!</v>
      </c>
      <c r="D803" t="e" cm="1">
        <f t="array" aca="1" ref="D803" ca="1">IF(OR(A803="",B803="safety"),"",INDIRECT("template!"&amp;"C"&amp;A803))</f>
        <v>#REF!</v>
      </c>
      <c r="E803" t="e" cm="1">
        <f t="array" aca="1" ref="E803" ca="1">IF(A803="","",IF(OR(A803=A802+1,A803=A802+2),E802,INDIRECT("template!"&amp;"D"&amp;A803-2)))</f>
        <v>#REF!</v>
      </c>
      <c r="F803" t="e" cm="1">
        <f t="array" aca="1" ref="F803" ca="1">IF(OR(A803="",B803="safety"),"",IF(ISBLANK(IF(A803=A802+1,F802,INDIRECT("template!"&amp;"D"&amp;A803-1))),"",IF(A803=A802+1,F802,INDIRECT("template!"&amp;"D"&amp;A803-1))))</f>
        <v>#REF!</v>
      </c>
      <c r="G803" t="e" cm="1">
        <f t="array" aca="1" ref="G803" ca="1">IF(OR(A803="",B803="safety"),"",IF(ISBLANK(INDIRECT("template!"&amp;"D"&amp;A803)),"",INDIRECT("template!"&amp;"D"&amp;A803)))</f>
        <v>#REF!</v>
      </c>
      <c r="H803" t="e" cm="1">
        <f t="array" aca="1" ref="H803" ca="1">IF(OR(A803="",B803="safety"),"",IF(ISBLANK(INDIRECT("template!"&amp;"E"&amp;A803)),"",INDIRECT("template!"&amp;"E"&amp;A803)))</f>
        <v>#REF!</v>
      </c>
      <c r="I803" t="e" cm="1">
        <f t="array" aca="1" ref="I803" ca="1">IF(OR(A803="",B803="safety"),"",IF(ISBLANK(INDIRECT("template!"&amp;"F"&amp;A803)),"",INDIRECT("template!"&amp;"F"&amp;A803)))</f>
        <v>#REF!</v>
      </c>
      <c r="J803" t="e" cm="1">
        <f t="array" aca="1" ref="J803" ca="1">IF(OR(A803="",B803="safety"),"",IF(ISBLANK(INDIRECT("template!"&amp;"G"&amp;A803)),"",INDIRECT("template!"&amp;"G"&amp;A803)))</f>
        <v>#REF!</v>
      </c>
      <c r="K803" t="e" cm="1">
        <f t="array" aca="1" ref="K803" ca="1">IF(OR(A803="",B803="safety"),"",IF(ISBLANK(INDIRECT("template!"&amp;"H"&amp;A803)),"",INDIRECT("template!"&amp;"H"&amp;A803)))</f>
        <v>#REF!</v>
      </c>
      <c r="L803" t="e" cm="1">
        <f t="array" aca="1" ref="L803" ca="1">IF(OR(A803="",B803="safety"),"",INDIRECT("template!"&amp;"I"&amp;A803))</f>
        <v>#REF!</v>
      </c>
      <c r="M803" t="e" cm="1">
        <f t="array" aca="1" ref="M803" ca="1">IF(OR(A803="",B803="safety"),"",INDIRECT("template!"&amp;"J"&amp;A803))</f>
        <v>#REF!</v>
      </c>
      <c r="N803" t="e" cm="1">
        <f t="array" aca="1" ref="N803" ca="1">IF(OR(A803="",B803="safety"),"",IF(ISBLANK(INDIRECT("template!"&amp;"K"&amp;A803)),"",INDIRECT("template!"&amp;"K"&amp;A803)))</f>
        <v>#REF!</v>
      </c>
      <c r="O803" t="e" cm="1">
        <f t="array" aca="1" ref="O803" ca="1">IF(OR(A803="",B803="safety"),"",INDIRECT("template!"&amp;"L"&amp;A803))</f>
        <v>#REF!</v>
      </c>
      <c r="P803" t="e" cm="1">
        <f t="array" aca="1" ref="P803" ca="1">IF(OR(A803="",B803="safety"),"",INDIRECT("template!"&amp;"M"&amp;A803))</f>
        <v>#REF!</v>
      </c>
      <c r="Q803" t="e">
        <f t="shared" ca="1" si="70"/>
        <v>#REF!</v>
      </c>
      <c r="R803" t="e">
        <f t="shared" ca="1" si="71"/>
        <v>#REF!</v>
      </c>
      <c r="S803" t="e">
        <f t="shared" ca="1" si="72"/>
        <v>#REF!</v>
      </c>
      <c r="T803" t="e">
        <f t="shared" ca="1" si="73"/>
        <v>#REF!</v>
      </c>
      <c r="U803" t="e" cm="1">
        <f t="array" aca="1" ref="U803" ca="1">IF(A803="","",IF(E803="","",IF(B803="safety",INDIRECT("template!"&amp;"P"&amp;A803),Q803+R803)))</f>
        <v>#REF!</v>
      </c>
      <c r="V803" t="e" cm="1">
        <f t="array" aca="1" ref="V803" ca="1">IF(A803="","",IF(E803="","",IF(B803="safety",INDIRECT("template!"&amp;"P"&amp;A803),S803+T803)))</f>
        <v>#REF!</v>
      </c>
      <c r="W803" t="e">
        <f ca="1">IF(A803="","",IF(E803="","",#REF!))</f>
        <v>#REF!</v>
      </c>
      <c r="X803" t="e">
        <f ca="1">IF(A803="","",IF(E803="","",#REF!))</f>
        <v>#REF!</v>
      </c>
      <c r="Y803" s="39" t="e">
        <f ca="1">IF(A803="","",IF(E803="","",#REF!))</f>
        <v>#REF!</v>
      </c>
      <c r="Z803" t="e">
        <f ca="1">IF(A803="","",IF(E803="","",#REF!))</f>
        <v>#REF!</v>
      </c>
      <c r="AA803" t="e">
        <f ca="1">IF(A803="","",IF(E803="","",#REF!))</f>
        <v>#REF!</v>
      </c>
      <c r="AB803" t="e">
        <f ca="1">IF(A803="","",IF(E803="","",#REF!))</f>
        <v>#REF!</v>
      </c>
      <c r="AC803" t="e">
        <f t="shared" ca="1" si="74"/>
        <v>#REF!</v>
      </c>
    </row>
    <row r="804" spans="1:29" x14ac:dyDescent="0.35">
      <c r="A804" t="e" cm="1">
        <f t="array" aca="1" ref="A804" ca="1">IF(A803="","",IF(OR(AND(A803+1&gt;=$AF$1,A803+1&lt;=$AF$2),AND(A803+1&gt;=$AF$6,A803+1&lt;=$AF$7),AND(A803+1&gt;=$AF$3,A803+1&lt;=$AF$4),AND(A803+1&gt;=$AF$8,A803+1&lt;=$AF$9),A803+1=$AF$5),IF(NOT(ISBLANK(INDIRECT("template!"&amp;"P"&amp;A803+1))),A803+1,IF(NOT(ISBLANK(INDIRECT("template!"&amp;"P"&amp;A803+2))),A803+2,A803+3)),IF(A803=$AF$2,$AF$3,IF(A803=$AF$4,$AF$5,IF(A803=$AF$5,$AF$6,IF(A803=$AF$7,$AF$8,""))))))</f>
        <v>#REF!</v>
      </c>
      <c r="B804" t="e">
        <f t="shared" ca="1" si="69"/>
        <v>#REF!</v>
      </c>
      <c r="C804" t="e" cm="1">
        <f t="array" aca="1" ref="C804" ca="1">IF(A804="","",IF(B804="safety","safety costs",INDIRECT("template!"&amp;"B"&amp;A804)))</f>
        <v>#REF!</v>
      </c>
      <c r="D804" t="e" cm="1">
        <f t="array" aca="1" ref="D804" ca="1">IF(OR(A804="",B804="safety"),"",INDIRECT("template!"&amp;"C"&amp;A804))</f>
        <v>#REF!</v>
      </c>
      <c r="E804" t="e" cm="1">
        <f t="array" aca="1" ref="E804" ca="1">IF(A804="","",IF(OR(A804=A803+1,A804=A803+2),E803,INDIRECT("template!"&amp;"D"&amp;A804-2)))</f>
        <v>#REF!</v>
      </c>
      <c r="F804" t="e" cm="1">
        <f t="array" aca="1" ref="F804" ca="1">IF(OR(A804="",B804="safety"),"",IF(ISBLANK(IF(A804=A803+1,F803,INDIRECT("template!"&amp;"D"&amp;A804-1))),"",IF(A804=A803+1,F803,INDIRECT("template!"&amp;"D"&amp;A804-1))))</f>
        <v>#REF!</v>
      </c>
      <c r="G804" t="e" cm="1">
        <f t="array" aca="1" ref="G804" ca="1">IF(OR(A804="",B804="safety"),"",IF(ISBLANK(INDIRECT("template!"&amp;"D"&amp;A804)),"",INDIRECT("template!"&amp;"D"&amp;A804)))</f>
        <v>#REF!</v>
      </c>
      <c r="H804" t="e" cm="1">
        <f t="array" aca="1" ref="H804" ca="1">IF(OR(A804="",B804="safety"),"",IF(ISBLANK(INDIRECT("template!"&amp;"E"&amp;A804)),"",INDIRECT("template!"&amp;"E"&amp;A804)))</f>
        <v>#REF!</v>
      </c>
      <c r="I804" t="e" cm="1">
        <f t="array" aca="1" ref="I804" ca="1">IF(OR(A804="",B804="safety"),"",IF(ISBLANK(INDIRECT("template!"&amp;"F"&amp;A804)),"",INDIRECT("template!"&amp;"F"&amp;A804)))</f>
        <v>#REF!</v>
      </c>
      <c r="J804" t="e" cm="1">
        <f t="array" aca="1" ref="J804" ca="1">IF(OR(A804="",B804="safety"),"",IF(ISBLANK(INDIRECT("template!"&amp;"G"&amp;A804)),"",INDIRECT("template!"&amp;"G"&amp;A804)))</f>
        <v>#REF!</v>
      </c>
      <c r="K804" t="e" cm="1">
        <f t="array" aca="1" ref="K804" ca="1">IF(OR(A804="",B804="safety"),"",IF(ISBLANK(INDIRECT("template!"&amp;"H"&amp;A804)),"",INDIRECT("template!"&amp;"H"&amp;A804)))</f>
        <v>#REF!</v>
      </c>
      <c r="L804" t="e" cm="1">
        <f t="array" aca="1" ref="L804" ca="1">IF(OR(A804="",B804="safety"),"",INDIRECT("template!"&amp;"I"&amp;A804))</f>
        <v>#REF!</v>
      </c>
      <c r="M804" t="e" cm="1">
        <f t="array" aca="1" ref="M804" ca="1">IF(OR(A804="",B804="safety"),"",INDIRECT("template!"&amp;"J"&amp;A804))</f>
        <v>#REF!</v>
      </c>
      <c r="N804" t="e" cm="1">
        <f t="array" aca="1" ref="N804" ca="1">IF(OR(A804="",B804="safety"),"",IF(ISBLANK(INDIRECT("template!"&amp;"K"&amp;A804)),"",INDIRECT("template!"&amp;"K"&amp;A804)))</f>
        <v>#REF!</v>
      </c>
      <c r="O804" t="e" cm="1">
        <f t="array" aca="1" ref="O804" ca="1">IF(OR(A804="",B804="safety"),"",INDIRECT("template!"&amp;"L"&amp;A804))</f>
        <v>#REF!</v>
      </c>
      <c r="P804" t="e" cm="1">
        <f t="array" aca="1" ref="P804" ca="1">IF(OR(A804="",B804="safety"),"",INDIRECT("template!"&amp;"M"&amp;A804))</f>
        <v>#REF!</v>
      </c>
      <c r="Q804" t="e">
        <f t="shared" ca="1" si="70"/>
        <v>#REF!</v>
      </c>
      <c r="R804" t="e">
        <f t="shared" ca="1" si="71"/>
        <v>#REF!</v>
      </c>
      <c r="S804" t="e">
        <f t="shared" ca="1" si="72"/>
        <v>#REF!</v>
      </c>
      <c r="T804" t="e">
        <f t="shared" ca="1" si="73"/>
        <v>#REF!</v>
      </c>
      <c r="U804" t="e" cm="1">
        <f t="array" aca="1" ref="U804" ca="1">IF(A804="","",IF(E804="","",IF(B804="safety",INDIRECT("template!"&amp;"P"&amp;A804),Q804+R804)))</f>
        <v>#REF!</v>
      </c>
      <c r="V804" t="e" cm="1">
        <f t="array" aca="1" ref="V804" ca="1">IF(A804="","",IF(E804="","",IF(B804="safety",INDIRECT("template!"&amp;"P"&amp;A804),S804+T804)))</f>
        <v>#REF!</v>
      </c>
      <c r="W804" t="e">
        <f ca="1">IF(A804="","",IF(E804="","",#REF!))</f>
        <v>#REF!</v>
      </c>
      <c r="X804" t="e">
        <f ca="1">IF(A804="","",IF(E804="","",#REF!))</f>
        <v>#REF!</v>
      </c>
      <c r="Y804" s="39" t="e">
        <f ca="1">IF(A804="","",IF(E804="","",#REF!))</f>
        <v>#REF!</v>
      </c>
      <c r="Z804" t="e">
        <f ca="1">IF(A804="","",IF(E804="","",#REF!))</f>
        <v>#REF!</v>
      </c>
      <c r="AA804" t="e">
        <f ca="1">IF(A804="","",IF(E804="","",#REF!))</f>
        <v>#REF!</v>
      </c>
      <c r="AB804" t="e">
        <f ca="1">IF(A804="","",IF(E804="","",#REF!))</f>
        <v>#REF!</v>
      </c>
      <c r="AC804" t="e">
        <f t="shared" ca="1" si="74"/>
        <v>#REF!</v>
      </c>
    </row>
    <row r="805" spans="1:29" x14ac:dyDescent="0.35">
      <c r="A805" t="e" cm="1">
        <f t="array" aca="1" ref="A805" ca="1">IF(A804="","",IF(OR(AND(A804+1&gt;=$AF$1,A804+1&lt;=$AF$2),AND(A804+1&gt;=$AF$6,A804+1&lt;=$AF$7),AND(A804+1&gt;=$AF$3,A804+1&lt;=$AF$4),AND(A804+1&gt;=$AF$8,A804+1&lt;=$AF$9),A804+1=$AF$5),IF(NOT(ISBLANK(INDIRECT("template!"&amp;"P"&amp;A804+1))),A804+1,IF(NOT(ISBLANK(INDIRECT("template!"&amp;"P"&amp;A804+2))),A804+2,A804+3)),IF(A804=$AF$2,$AF$3,IF(A804=$AF$4,$AF$5,IF(A804=$AF$5,$AF$6,IF(A804=$AF$7,$AF$8,""))))))</f>
        <v>#REF!</v>
      </c>
      <c r="B805" t="e">
        <f t="shared" ca="1" si="69"/>
        <v>#REF!</v>
      </c>
      <c r="C805" t="e" cm="1">
        <f t="array" aca="1" ref="C805" ca="1">IF(A805="","",IF(B805="safety","safety costs",INDIRECT("template!"&amp;"B"&amp;A805)))</f>
        <v>#REF!</v>
      </c>
      <c r="D805" t="e" cm="1">
        <f t="array" aca="1" ref="D805" ca="1">IF(OR(A805="",B805="safety"),"",INDIRECT("template!"&amp;"C"&amp;A805))</f>
        <v>#REF!</v>
      </c>
      <c r="E805" t="e" cm="1">
        <f t="array" aca="1" ref="E805" ca="1">IF(A805="","",IF(OR(A805=A804+1,A805=A804+2),E804,INDIRECT("template!"&amp;"D"&amp;A805-2)))</f>
        <v>#REF!</v>
      </c>
      <c r="F805" t="e" cm="1">
        <f t="array" aca="1" ref="F805" ca="1">IF(OR(A805="",B805="safety"),"",IF(ISBLANK(IF(A805=A804+1,F804,INDIRECT("template!"&amp;"D"&amp;A805-1))),"",IF(A805=A804+1,F804,INDIRECT("template!"&amp;"D"&amp;A805-1))))</f>
        <v>#REF!</v>
      </c>
      <c r="G805" t="e" cm="1">
        <f t="array" aca="1" ref="G805" ca="1">IF(OR(A805="",B805="safety"),"",IF(ISBLANK(INDIRECT("template!"&amp;"D"&amp;A805)),"",INDIRECT("template!"&amp;"D"&amp;A805)))</f>
        <v>#REF!</v>
      </c>
      <c r="H805" t="e" cm="1">
        <f t="array" aca="1" ref="H805" ca="1">IF(OR(A805="",B805="safety"),"",IF(ISBLANK(INDIRECT("template!"&amp;"E"&amp;A805)),"",INDIRECT("template!"&amp;"E"&amp;A805)))</f>
        <v>#REF!</v>
      </c>
      <c r="I805" t="e" cm="1">
        <f t="array" aca="1" ref="I805" ca="1">IF(OR(A805="",B805="safety"),"",IF(ISBLANK(INDIRECT("template!"&amp;"F"&amp;A805)),"",INDIRECT("template!"&amp;"F"&amp;A805)))</f>
        <v>#REF!</v>
      </c>
      <c r="J805" t="e" cm="1">
        <f t="array" aca="1" ref="J805" ca="1">IF(OR(A805="",B805="safety"),"",IF(ISBLANK(INDIRECT("template!"&amp;"G"&amp;A805)),"",INDIRECT("template!"&amp;"G"&amp;A805)))</f>
        <v>#REF!</v>
      </c>
      <c r="K805" t="e" cm="1">
        <f t="array" aca="1" ref="K805" ca="1">IF(OR(A805="",B805="safety"),"",IF(ISBLANK(INDIRECT("template!"&amp;"H"&amp;A805)),"",INDIRECT("template!"&amp;"H"&amp;A805)))</f>
        <v>#REF!</v>
      </c>
      <c r="L805" t="e" cm="1">
        <f t="array" aca="1" ref="L805" ca="1">IF(OR(A805="",B805="safety"),"",INDIRECT("template!"&amp;"I"&amp;A805))</f>
        <v>#REF!</v>
      </c>
      <c r="M805" t="e" cm="1">
        <f t="array" aca="1" ref="M805" ca="1">IF(OR(A805="",B805="safety"),"",INDIRECT("template!"&amp;"J"&amp;A805))</f>
        <v>#REF!</v>
      </c>
      <c r="N805" t="e" cm="1">
        <f t="array" aca="1" ref="N805" ca="1">IF(OR(A805="",B805="safety"),"",IF(ISBLANK(INDIRECT("template!"&amp;"K"&amp;A805)),"",INDIRECT("template!"&amp;"K"&amp;A805)))</f>
        <v>#REF!</v>
      </c>
      <c r="O805" t="e" cm="1">
        <f t="array" aca="1" ref="O805" ca="1">IF(OR(A805="",B805="safety"),"",INDIRECT("template!"&amp;"L"&amp;A805))</f>
        <v>#REF!</v>
      </c>
      <c r="P805" t="e" cm="1">
        <f t="array" aca="1" ref="P805" ca="1">IF(OR(A805="",B805="safety"),"",INDIRECT("template!"&amp;"M"&amp;A805))</f>
        <v>#REF!</v>
      </c>
      <c r="Q805" t="e">
        <f t="shared" ca="1" si="70"/>
        <v>#REF!</v>
      </c>
      <c r="R805" t="e">
        <f t="shared" ca="1" si="71"/>
        <v>#REF!</v>
      </c>
      <c r="S805" t="e">
        <f t="shared" ca="1" si="72"/>
        <v>#REF!</v>
      </c>
      <c r="T805" t="e">
        <f t="shared" ca="1" si="73"/>
        <v>#REF!</v>
      </c>
      <c r="U805" t="e" cm="1">
        <f t="array" aca="1" ref="U805" ca="1">IF(A805="","",IF(E805="","",IF(B805="safety",INDIRECT("template!"&amp;"P"&amp;A805),Q805+R805)))</f>
        <v>#REF!</v>
      </c>
      <c r="V805" t="e" cm="1">
        <f t="array" aca="1" ref="V805" ca="1">IF(A805="","",IF(E805="","",IF(B805="safety",INDIRECT("template!"&amp;"P"&amp;A805),S805+T805)))</f>
        <v>#REF!</v>
      </c>
      <c r="W805" t="e">
        <f ca="1">IF(A805="","",IF(E805="","",#REF!))</f>
        <v>#REF!</v>
      </c>
      <c r="X805" t="e">
        <f ca="1">IF(A805="","",IF(E805="","",#REF!))</f>
        <v>#REF!</v>
      </c>
      <c r="Y805" s="39" t="e">
        <f ca="1">IF(A805="","",IF(E805="","",#REF!))</f>
        <v>#REF!</v>
      </c>
      <c r="Z805" t="e">
        <f ca="1">IF(A805="","",IF(E805="","",#REF!))</f>
        <v>#REF!</v>
      </c>
      <c r="AA805" t="e">
        <f ca="1">IF(A805="","",IF(E805="","",#REF!))</f>
        <v>#REF!</v>
      </c>
      <c r="AB805" t="e">
        <f ca="1">IF(A805="","",IF(E805="","",#REF!))</f>
        <v>#REF!</v>
      </c>
      <c r="AC805" t="e">
        <f t="shared" ca="1" si="74"/>
        <v>#REF!</v>
      </c>
    </row>
    <row r="806" spans="1:29" x14ac:dyDescent="0.35">
      <c r="A806" t="e" cm="1">
        <f t="array" aca="1" ref="A806" ca="1">IF(A805="","",IF(OR(AND(A805+1&gt;=$AF$1,A805+1&lt;=$AF$2),AND(A805+1&gt;=$AF$6,A805+1&lt;=$AF$7),AND(A805+1&gt;=$AF$3,A805+1&lt;=$AF$4),AND(A805+1&gt;=$AF$8,A805+1&lt;=$AF$9),A805+1=$AF$5),IF(NOT(ISBLANK(INDIRECT("template!"&amp;"P"&amp;A805+1))),A805+1,IF(NOT(ISBLANK(INDIRECT("template!"&amp;"P"&amp;A805+2))),A805+2,A805+3)),IF(A805=$AF$2,$AF$3,IF(A805=$AF$4,$AF$5,IF(A805=$AF$5,$AF$6,IF(A805=$AF$7,$AF$8,""))))))</f>
        <v>#REF!</v>
      </c>
      <c r="B806" t="e">
        <f t="shared" ca="1" si="69"/>
        <v>#REF!</v>
      </c>
      <c r="C806" t="e" cm="1">
        <f t="array" aca="1" ref="C806" ca="1">IF(A806="","",IF(B806="safety","safety costs",INDIRECT("template!"&amp;"B"&amp;A806)))</f>
        <v>#REF!</v>
      </c>
      <c r="D806" t="e" cm="1">
        <f t="array" aca="1" ref="D806" ca="1">IF(OR(A806="",B806="safety"),"",INDIRECT("template!"&amp;"C"&amp;A806))</f>
        <v>#REF!</v>
      </c>
      <c r="E806" t="e" cm="1">
        <f t="array" aca="1" ref="E806" ca="1">IF(A806="","",IF(OR(A806=A805+1,A806=A805+2),E805,INDIRECT("template!"&amp;"D"&amp;A806-2)))</f>
        <v>#REF!</v>
      </c>
      <c r="F806" t="e" cm="1">
        <f t="array" aca="1" ref="F806" ca="1">IF(OR(A806="",B806="safety"),"",IF(ISBLANK(IF(A806=A805+1,F805,INDIRECT("template!"&amp;"D"&amp;A806-1))),"",IF(A806=A805+1,F805,INDIRECT("template!"&amp;"D"&amp;A806-1))))</f>
        <v>#REF!</v>
      </c>
      <c r="G806" t="e" cm="1">
        <f t="array" aca="1" ref="G806" ca="1">IF(OR(A806="",B806="safety"),"",IF(ISBLANK(INDIRECT("template!"&amp;"D"&amp;A806)),"",INDIRECT("template!"&amp;"D"&amp;A806)))</f>
        <v>#REF!</v>
      </c>
      <c r="H806" t="e" cm="1">
        <f t="array" aca="1" ref="H806" ca="1">IF(OR(A806="",B806="safety"),"",IF(ISBLANK(INDIRECT("template!"&amp;"E"&amp;A806)),"",INDIRECT("template!"&amp;"E"&amp;A806)))</f>
        <v>#REF!</v>
      </c>
      <c r="I806" t="e" cm="1">
        <f t="array" aca="1" ref="I806" ca="1">IF(OR(A806="",B806="safety"),"",IF(ISBLANK(INDIRECT("template!"&amp;"F"&amp;A806)),"",INDIRECT("template!"&amp;"F"&amp;A806)))</f>
        <v>#REF!</v>
      </c>
      <c r="J806" t="e" cm="1">
        <f t="array" aca="1" ref="J806" ca="1">IF(OR(A806="",B806="safety"),"",IF(ISBLANK(INDIRECT("template!"&amp;"G"&amp;A806)),"",INDIRECT("template!"&amp;"G"&amp;A806)))</f>
        <v>#REF!</v>
      </c>
      <c r="K806" t="e" cm="1">
        <f t="array" aca="1" ref="K806" ca="1">IF(OR(A806="",B806="safety"),"",IF(ISBLANK(INDIRECT("template!"&amp;"H"&amp;A806)),"",INDIRECT("template!"&amp;"H"&amp;A806)))</f>
        <v>#REF!</v>
      </c>
      <c r="L806" t="e" cm="1">
        <f t="array" aca="1" ref="L806" ca="1">IF(OR(A806="",B806="safety"),"",INDIRECT("template!"&amp;"I"&amp;A806))</f>
        <v>#REF!</v>
      </c>
      <c r="M806" t="e" cm="1">
        <f t="array" aca="1" ref="M806" ca="1">IF(OR(A806="",B806="safety"),"",INDIRECT("template!"&amp;"J"&amp;A806))</f>
        <v>#REF!</v>
      </c>
      <c r="N806" t="e" cm="1">
        <f t="array" aca="1" ref="N806" ca="1">IF(OR(A806="",B806="safety"),"",IF(ISBLANK(INDIRECT("template!"&amp;"K"&amp;A806)),"",INDIRECT("template!"&amp;"K"&amp;A806)))</f>
        <v>#REF!</v>
      </c>
      <c r="O806" t="e" cm="1">
        <f t="array" aca="1" ref="O806" ca="1">IF(OR(A806="",B806="safety"),"",INDIRECT("template!"&amp;"L"&amp;A806))</f>
        <v>#REF!</v>
      </c>
      <c r="P806" t="e" cm="1">
        <f t="array" aca="1" ref="P806" ca="1">IF(OR(A806="",B806="safety"),"",INDIRECT("template!"&amp;"M"&amp;A806))</f>
        <v>#REF!</v>
      </c>
      <c r="Q806" t="e">
        <f t="shared" ca="1" si="70"/>
        <v>#REF!</v>
      </c>
      <c r="R806" t="e">
        <f t="shared" ca="1" si="71"/>
        <v>#REF!</v>
      </c>
      <c r="S806" t="e">
        <f t="shared" ca="1" si="72"/>
        <v>#REF!</v>
      </c>
      <c r="T806" t="e">
        <f t="shared" ca="1" si="73"/>
        <v>#REF!</v>
      </c>
      <c r="U806" t="e" cm="1">
        <f t="array" aca="1" ref="U806" ca="1">IF(A806="","",IF(E806="","",IF(B806="safety",INDIRECT("template!"&amp;"P"&amp;A806),Q806+R806)))</f>
        <v>#REF!</v>
      </c>
      <c r="V806" t="e" cm="1">
        <f t="array" aca="1" ref="V806" ca="1">IF(A806="","",IF(E806="","",IF(B806="safety",INDIRECT("template!"&amp;"P"&amp;A806),S806+T806)))</f>
        <v>#REF!</v>
      </c>
      <c r="W806" t="e">
        <f ca="1">IF(A806="","",IF(E806="","",#REF!))</f>
        <v>#REF!</v>
      </c>
      <c r="X806" t="e">
        <f ca="1">IF(A806="","",IF(E806="","",#REF!))</f>
        <v>#REF!</v>
      </c>
      <c r="Y806" s="39" t="e">
        <f ca="1">IF(A806="","",IF(E806="","",#REF!))</f>
        <v>#REF!</v>
      </c>
      <c r="Z806" t="e">
        <f ca="1">IF(A806="","",IF(E806="","",#REF!))</f>
        <v>#REF!</v>
      </c>
      <c r="AA806" t="e">
        <f ca="1">IF(A806="","",IF(E806="","",#REF!))</f>
        <v>#REF!</v>
      </c>
      <c r="AB806" t="e">
        <f ca="1">IF(A806="","",IF(E806="","",#REF!))</f>
        <v>#REF!</v>
      </c>
      <c r="AC806" t="e">
        <f t="shared" ca="1" si="74"/>
        <v>#REF!</v>
      </c>
    </row>
    <row r="807" spans="1:29" x14ac:dyDescent="0.35">
      <c r="A807" t="e" cm="1">
        <f t="array" aca="1" ref="A807" ca="1">IF(A806="","",IF(OR(AND(A806+1&gt;=$AF$1,A806+1&lt;=$AF$2),AND(A806+1&gt;=$AF$6,A806+1&lt;=$AF$7),AND(A806+1&gt;=$AF$3,A806+1&lt;=$AF$4),AND(A806+1&gt;=$AF$8,A806+1&lt;=$AF$9),A806+1=$AF$5),IF(NOT(ISBLANK(INDIRECT("template!"&amp;"P"&amp;A806+1))),A806+1,IF(NOT(ISBLANK(INDIRECT("template!"&amp;"P"&amp;A806+2))),A806+2,A806+3)),IF(A806=$AF$2,$AF$3,IF(A806=$AF$4,$AF$5,IF(A806=$AF$5,$AF$6,IF(A806=$AF$7,$AF$8,""))))))</f>
        <v>#REF!</v>
      </c>
      <c r="B807" t="e">
        <f t="shared" ca="1" si="69"/>
        <v>#REF!</v>
      </c>
      <c r="C807" t="e" cm="1">
        <f t="array" aca="1" ref="C807" ca="1">IF(A807="","",IF(B807="safety","safety costs",INDIRECT("template!"&amp;"B"&amp;A807)))</f>
        <v>#REF!</v>
      </c>
      <c r="D807" t="e" cm="1">
        <f t="array" aca="1" ref="D807" ca="1">IF(OR(A807="",B807="safety"),"",INDIRECT("template!"&amp;"C"&amp;A807))</f>
        <v>#REF!</v>
      </c>
      <c r="E807" t="e" cm="1">
        <f t="array" aca="1" ref="E807" ca="1">IF(A807="","",IF(OR(A807=A806+1,A807=A806+2),E806,INDIRECT("template!"&amp;"D"&amp;A807-2)))</f>
        <v>#REF!</v>
      </c>
      <c r="F807" t="e" cm="1">
        <f t="array" aca="1" ref="F807" ca="1">IF(OR(A807="",B807="safety"),"",IF(ISBLANK(IF(A807=A806+1,F806,INDIRECT("template!"&amp;"D"&amp;A807-1))),"",IF(A807=A806+1,F806,INDIRECT("template!"&amp;"D"&amp;A807-1))))</f>
        <v>#REF!</v>
      </c>
      <c r="G807" t="e" cm="1">
        <f t="array" aca="1" ref="G807" ca="1">IF(OR(A807="",B807="safety"),"",IF(ISBLANK(INDIRECT("template!"&amp;"D"&amp;A807)),"",INDIRECT("template!"&amp;"D"&amp;A807)))</f>
        <v>#REF!</v>
      </c>
      <c r="H807" t="e" cm="1">
        <f t="array" aca="1" ref="H807" ca="1">IF(OR(A807="",B807="safety"),"",IF(ISBLANK(INDIRECT("template!"&amp;"E"&amp;A807)),"",INDIRECT("template!"&amp;"E"&amp;A807)))</f>
        <v>#REF!</v>
      </c>
      <c r="I807" t="e" cm="1">
        <f t="array" aca="1" ref="I807" ca="1">IF(OR(A807="",B807="safety"),"",IF(ISBLANK(INDIRECT("template!"&amp;"F"&amp;A807)),"",INDIRECT("template!"&amp;"F"&amp;A807)))</f>
        <v>#REF!</v>
      </c>
      <c r="J807" t="e" cm="1">
        <f t="array" aca="1" ref="J807" ca="1">IF(OR(A807="",B807="safety"),"",IF(ISBLANK(INDIRECT("template!"&amp;"G"&amp;A807)),"",INDIRECT("template!"&amp;"G"&amp;A807)))</f>
        <v>#REF!</v>
      </c>
      <c r="K807" t="e" cm="1">
        <f t="array" aca="1" ref="K807" ca="1">IF(OR(A807="",B807="safety"),"",IF(ISBLANK(INDIRECT("template!"&amp;"H"&amp;A807)),"",INDIRECT("template!"&amp;"H"&amp;A807)))</f>
        <v>#REF!</v>
      </c>
      <c r="L807" t="e" cm="1">
        <f t="array" aca="1" ref="L807" ca="1">IF(OR(A807="",B807="safety"),"",INDIRECT("template!"&amp;"I"&amp;A807))</f>
        <v>#REF!</v>
      </c>
      <c r="M807" t="e" cm="1">
        <f t="array" aca="1" ref="M807" ca="1">IF(OR(A807="",B807="safety"),"",INDIRECT("template!"&amp;"J"&amp;A807))</f>
        <v>#REF!</v>
      </c>
      <c r="N807" t="e" cm="1">
        <f t="array" aca="1" ref="N807" ca="1">IF(OR(A807="",B807="safety"),"",IF(ISBLANK(INDIRECT("template!"&amp;"K"&amp;A807)),"",INDIRECT("template!"&amp;"K"&amp;A807)))</f>
        <v>#REF!</v>
      </c>
      <c r="O807" t="e" cm="1">
        <f t="array" aca="1" ref="O807" ca="1">IF(OR(A807="",B807="safety"),"",INDIRECT("template!"&amp;"L"&amp;A807))</f>
        <v>#REF!</v>
      </c>
      <c r="P807" t="e" cm="1">
        <f t="array" aca="1" ref="P807" ca="1">IF(OR(A807="",B807="safety"),"",INDIRECT("template!"&amp;"M"&amp;A807))</f>
        <v>#REF!</v>
      </c>
      <c r="Q807" t="e">
        <f t="shared" ca="1" si="70"/>
        <v>#REF!</v>
      </c>
      <c r="R807" t="e">
        <f t="shared" ca="1" si="71"/>
        <v>#REF!</v>
      </c>
      <c r="S807" t="e">
        <f t="shared" ca="1" si="72"/>
        <v>#REF!</v>
      </c>
      <c r="T807" t="e">
        <f t="shared" ca="1" si="73"/>
        <v>#REF!</v>
      </c>
      <c r="U807" t="e" cm="1">
        <f t="array" aca="1" ref="U807" ca="1">IF(A807="","",IF(E807="","",IF(B807="safety",INDIRECT("template!"&amp;"P"&amp;A807),Q807+R807)))</f>
        <v>#REF!</v>
      </c>
      <c r="V807" t="e" cm="1">
        <f t="array" aca="1" ref="V807" ca="1">IF(A807="","",IF(E807="","",IF(B807="safety",INDIRECT("template!"&amp;"P"&amp;A807),S807+T807)))</f>
        <v>#REF!</v>
      </c>
      <c r="W807" t="e">
        <f ca="1">IF(A807="","",IF(E807="","",#REF!))</f>
        <v>#REF!</v>
      </c>
      <c r="X807" t="e">
        <f ca="1">IF(A807="","",IF(E807="","",#REF!))</f>
        <v>#REF!</v>
      </c>
      <c r="Y807" s="39" t="e">
        <f ca="1">IF(A807="","",IF(E807="","",#REF!))</f>
        <v>#REF!</v>
      </c>
      <c r="Z807" t="e">
        <f ca="1">IF(A807="","",IF(E807="","",#REF!))</f>
        <v>#REF!</v>
      </c>
      <c r="AA807" t="e">
        <f ca="1">IF(A807="","",IF(E807="","",#REF!))</f>
        <v>#REF!</v>
      </c>
      <c r="AB807" t="e">
        <f ca="1">IF(A807="","",IF(E807="","",#REF!))</f>
        <v>#REF!</v>
      </c>
      <c r="AC807" t="e">
        <f t="shared" ca="1" si="74"/>
        <v>#REF!</v>
      </c>
    </row>
    <row r="808" spans="1:29" x14ac:dyDescent="0.35">
      <c r="A808" t="e" cm="1">
        <f t="array" aca="1" ref="A808" ca="1">IF(A807="","",IF(OR(AND(A807+1&gt;=$AF$1,A807+1&lt;=$AF$2),AND(A807+1&gt;=$AF$6,A807+1&lt;=$AF$7),AND(A807+1&gt;=$AF$3,A807+1&lt;=$AF$4),AND(A807+1&gt;=$AF$8,A807+1&lt;=$AF$9),A807+1=$AF$5),IF(NOT(ISBLANK(INDIRECT("template!"&amp;"P"&amp;A807+1))),A807+1,IF(NOT(ISBLANK(INDIRECT("template!"&amp;"P"&amp;A807+2))),A807+2,A807+3)),IF(A807=$AF$2,$AF$3,IF(A807=$AF$4,$AF$5,IF(A807=$AF$5,$AF$6,IF(A807=$AF$7,$AF$8,""))))))</f>
        <v>#REF!</v>
      </c>
      <c r="B808" t="e">
        <f t="shared" ca="1" si="69"/>
        <v>#REF!</v>
      </c>
      <c r="C808" t="e" cm="1">
        <f t="array" aca="1" ref="C808" ca="1">IF(A808="","",IF(B808="safety","safety costs",INDIRECT("template!"&amp;"B"&amp;A808)))</f>
        <v>#REF!</v>
      </c>
      <c r="D808" t="e" cm="1">
        <f t="array" aca="1" ref="D808" ca="1">IF(OR(A808="",B808="safety"),"",INDIRECT("template!"&amp;"C"&amp;A808))</f>
        <v>#REF!</v>
      </c>
      <c r="E808" t="e" cm="1">
        <f t="array" aca="1" ref="E808" ca="1">IF(A808="","",IF(OR(A808=A807+1,A808=A807+2),E807,INDIRECT("template!"&amp;"D"&amp;A808-2)))</f>
        <v>#REF!</v>
      </c>
      <c r="F808" t="e" cm="1">
        <f t="array" aca="1" ref="F808" ca="1">IF(OR(A808="",B808="safety"),"",IF(ISBLANK(IF(A808=A807+1,F807,INDIRECT("template!"&amp;"D"&amp;A808-1))),"",IF(A808=A807+1,F807,INDIRECT("template!"&amp;"D"&amp;A808-1))))</f>
        <v>#REF!</v>
      </c>
      <c r="G808" t="e" cm="1">
        <f t="array" aca="1" ref="G808" ca="1">IF(OR(A808="",B808="safety"),"",IF(ISBLANK(INDIRECT("template!"&amp;"D"&amp;A808)),"",INDIRECT("template!"&amp;"D"&amp;A808)))</f>
        <v>#REF!</v>
      </c>
      <c r="H808" t="e" cm="1">
        <f t="array" aca="1" ref="H808" ca="1">IF(OR(A808="",B808="safety"),"",IF(ISBLANK(INDIRECT("template!"&amp;"E"&amp;A808)),"",INDIRECT("template!"&amp;"E"&amp;A808)))</f>
        <v>#REF!</v>
      </c>
      <c r="I808" t="e" cm="1">
        <f t="array" aca="1" ref="I808" ca="1">IF(OR(A808="",B808="safety"),"",IF(ISBLANK(INDIRECT("template!"&amp;"F"&amp;A808)),"",INDIRECT("template!"&amp;"F"&amp;A808)))</f>
        <v>#REF!</v>
      </c>
      <c r="J808" t="e" cm="1">
        <f t="array" aca="1" ref="J808" ca="1">IF(OR(A808="",B808="safety"),"",IF(ISBLANK(INDIRECT("template!"&amp;"G"&amp;A808)),"",INDIRECT("template!"&amp;"G"&amp;A808)))</f>
        <v>#REF!</v>
      </c>
      <c r="K808" t="e" cm="1">
        <f t="array" aca="1" ref="K808" ca="1">IF(OR(A808="",B808="safety"),"",IF(ISBLANK(INDIRECT("template!"&amp;"H"&amp;A808)),"",INDIRECT("template!"&amp;"H"&amp;A808)))</f>
        <v>#REF!</v>
      </c>
      <c r="L808" t="e" cm="1">
        <f t="array" aca="1" ref="L808" ca="1">IF(OR(A808="",B808="safety"),"",INDIRECT("template!"&amp;"I"&amp;A808))</f>
        <v>#REF!</v>
      </c>
      <c r="M808" t="e" cm="1">
        <f t="array" aca="1" ref="M808" ca="1">IF(OR(A808="",B808="safety"),"",INDIRECT("template!"&amp;"J"&amp;A808))</f>
        <v>#REF!</v>
      </c>
      <c r="N808" t="e" cm="1">
        <f t="array" aca="1" ref="N808" ca="1">IF(OR(A808="",B808="safety"),"",IF(ISBLANK(INDIRECT("template!"&amp;"K"&amp;A808)),"",INDIRECT("template!"&amp;"K"&amp;A808)))</f>
        <v>#REF!</v>
      </c>
      <c r="O808" t="e" cm="1">
        <f t="array" aca="1" ref="O808" ca="1">IF(OR(A808="",B808="safety"),"",INDIRECT("template!"&amp;"L"&amp;A808))</f>
        <v>#REF!</v>
      </c>
      <c r="P808" t="e" cm="1">
        <f t="array" aca="1" ref="P808" ca="1">IF(OR(A808="",B808="safety"),"",INDIRECT("template!"&amp;"M"&amp;A808))</f>
        <v>#REF!</v>
      </c>
      <c r="Q808" t="e">
        <f t="shared" ca="1" si="70"/>
        <v>#REF!</v>
      </c>
      <c r="R808" t="e">
        <f t="shared" ca="1" si="71"/>
        <v>#REF!</v>
      </c>
      <c r="S808" t="e">
        <f t="shared" ca="1" si="72"/>
        <v>#REF!</v>
      </c>
      <c r="T808" t="e">
        <f t="shared" ca="1" si="73"/>
        <v>#REF!</v>
      </c>
      <c r="U808" t="e" cm="1">
        <f t="array" aca="1" ref="U808" ca="1">IF(A808="","",IF(E808="","",IF(B808="safety",INDIRECT("template!"&amp;"P"&amp;A808),Q808+R808)))</f>
        <v>#REF!</v>
      </c>
      <c r="V808" t="e" cm="1">
        <f t="array" aca="1" ref="V808" ca="1">IF(A808="","",IF(E808="","",IF(B808="safety",INDIRECT("template!"&amp;"P"&amp;A808),S808+T808)))</f>
        <v>#REF!</v>
      </c>
      <c r="W808" t="e">
        <f ca="1">IF(A808="","",IF(E808="","",#REF!))</f>
        <v>#REF!</v>
      </c>
      <c r="X808" t="e">
        <f ca="1">IF(A808="","",IF(E808="","",#REF!))</f>
        <v>#REF!</v>
      </c>
      <c r="Y808" s="39" t="e">
        <f ca="1">IF(A808="","",IF(E808="","",#REF!))</f>
        <v>#REF!</v>
      </c>
      <c r="Z808" t="e">
        <f ca="1">IF(A808="","",IF(E808="","",#REF!))</f>
        <v>#REF!</v>
      </c>
      <c r="AA808" t="e">
        <f ca="1">IF(A808="","",IF(E808="","",#REF!))</f>
        <v>#REF!</v>
      </c>
      <c r="AB808" t="e">
        <f ca="1">IF(A808="","",IF(E808="","",#REF!))</f>
        <v>#REF!</v>
      </c>
      <c r="AC808" t="e">
        <f t="shared" ca="1" si="74"/>
        <v>#REF!</v>
      </c>
    </row>
    <row r="809" spans="1:29" x14ac:dyDescent="0.35">
      <c r="A809" t="e" cm="1">
        <f t="array" aca="1" ref="A809" ca="1">IF(A808="","",IF(OR(AND(A808+1&gt;=$AF$1,A808+1&lt;=$AF$2),AND(A808+1&gt;=$AF$6,A808+1&lt;=$AF$7),AND(A808+1&gt;=$AF$3,A808+1&lt;=$AF$4),AND(A808+1&gt;=$AF$8,A808+1&lt;=$AF$9),A808+1=$AF$5),IF(NOT(ISBLANK(INDIRECT("template!"&amp;"P"&amp;A808+1))),A808+1,IF(NOT(ISBLANK(INDIRECT("template!"&amp;"P"&amp;A808+2))),A808+2,A808+3)),IF(A808=$AF$2,$AF$3,IF(A808=$AF$4,$AF$5,IF(A808=$AF$5,$AF$6,IF(A808=$AF$7,$AF$8,""))))))</f>
        <v>#REF!</v>
      </c>
      <c r="B809" t="e">
        <f t="shared" ca="1" si="69"/>
        <v>#REF!</v>
      </c>
      <c r="C809" t="e" cm="1">
        <f t="array" aca="1" ref="C809" ca="1">IF(A809="","",IF(B809="safety","safety costs",INDIRECT("template!"&amp;"B"&amp;A809)))</f>
        <v>#REF!</v>
      </c>
      <c r="D809" t="e" cm="1">
        <f t="array" aca="1" ref="D809" ca="1">IF(OR(A809="",B809="safety"),"",INDIRECT("template!"&amp;"C"&amp;A809))</f>
        <v>#REF!</v>
      </c>
      <c r="E809" t="e" cm="1">
        <f t="array" aca="1" ref="E809" ca="1">IF(A809="","",IF(OR(A809=A808+1,A809=A808+2),E808,INDIRECT("template!"&amp;"D"&amp;A809-2)))</f>
        <v>#REF!</v>
      </c>
      <c r="F809" t="e" cm="1">
        <f t="array" aca="1" ref="F809" ca="1">IF(OR(A809="",B809="safety"),"",IF(ISBLANK(IF(A809=A808+1,F808,INDIRECT("template!"&amp;"D"&amp;A809-1))),"",IF(A809=A808+1,F808,INDIRECT("template!"&amp;"D"&amp;A809-1))))</f>
        <v>#REF!</v>
      </c>
      <c r="G809" t="e" cm="1">
        <f t="array" aca="1" ref="G809" ca="1">IF(OR(A809="",B809="safety"),"",IF(ISBLANK(INDIRECT("template!"&amp;"D"&amp;A809)),"",INDIRECT("template!"&amp;"D"&amp;A809)))</f>
        <v>#REF!</v>
      </c>
      <c r="H809" t="e" cm="1">
        <f t="array" aca="1" ref="H809" ca="1">IF(OR(A809="",B809="safety"),"",IF(ISBLANK(INDIRECT("template!"&amp;"E"&amp;A809)),"",INDIRECT("template!"&amp;"E"&amp;A809)))</f>
        <v>#REF!</v>
      </c>
      <c r="I809" t="e" cm="1">
        <f t="array" aca="1" ref="I809" ca="1">IF(OR(A809="",B809="safety"),"",IF(ISBLANK(INDIRECT("template!"&amp;"F"&amp;A809)),"",INDIRECT("template!"&amp;"F"&amp;A809)))</f>
        <v>#REF!</v>
      </c>
      <c r="J809" t="e" cm="1">
        <f t="array" aca="1" ref="J809" ca="1">IF(OR(A809="",B809="safety"),"",IF(ISBLANK(INDIRECT("template!"&amp;"G"&amp;A809)),"",INDIRECT("template!"&amp;"G"&amp;A809)))</f>
        <v>#REF!</v>
      </c>
      <c r="K809" t="e" cm="1">
        <f t="array" aca="1" ref="K809" ca="1">IF(OR(A809="",B809="safety"),"",IF(ISBLANK(INDIRECT("template!"&amp;"H"&amp;A809)),"",INDIRECT("template!"&amp;"H"&amp;A809)))</f>
        <v>#REF!</v>
      </c>
      <c r="L809" t="e" cm="1">
        <f t="array" aca="1" ref="L809" ca="1">IF(OR(A809="",B809="safety"),"",INDIRECT("template!"&amp;"I"&amp;A809))</f>
        <v>#REF!</v>
      </c>
      <c r="M809" t="e" cm="1">
        <f t="array" aca="1" ref="M809" ca="1">IF(OR(A809="",B809="safety"),"",INDIRECT("template!"&amp;"J"&amp;A809))</f>
        <v>#REF!</v>
      </c>
      <c r="N809" t="e" cm="1">
        <f t="array" aca="1" ref="N809" ca="1">IF(OR(A809="",B809="safety"),"",IF(ISBLANK(INDIRECT("template!"&amp;"K"&amp;A809)),"",INDIRECT("template!"&amp;"K"&amp;A809)))</f>
        <v>#REF!</v>
      </c>
      <c r="O809" t="e" cm="1">
        <f t="array" aca="1" ref="O809" ca="1">IF(OR(A809="",B809="safety"),"",INDIRECT("template!"&amp;"L"&amp;A809))</f>
        <v>#REF!</v>
      </c>
      <c r="P809" t="e" cm="1">
        <f t="array" aca="1" ref="P809" ca="1">IF(OR(A809="",B809="safety"),"",INDIRECT("template!"&amp;"M"&amp;A809))</f>
        <v>#REF!</v>
      </c>
      <c r="Q809" t="e">
        <f t="shared" ca="1" si="70"/>
        <v>#REF!</v>
      </c>
      <c r="R809" t="e">
        <f t="shared" ca="1" si="71"/>
        <v>#REF!</v>
      </c>
      <c r="S809" t="e">
        <f t="shared" ca="1" si="72"/>
        <v>#REF!</v>
      </c>
      <c r="T809" t="e">
        <f t="shared" ca="1" si="73"/>
        <v>#REF!</v>
      </c>
      <c r="U809" t="e" cm="1">
        <f t="array" aca="1" ref="U809" ca="1">IF(A809="","",IF(E809="","",IF(B809="safety",INDIRECT("template!"&amp;"P"&amp;A809),Q809+R809)))</f>
        <v>#REF!</v>
      </c>
      <c r="V809" t="e" cm="1">
        <f t="array" aca="1" ref="V809" ca="1">IF(A809="","",IF(E809="","",IF(B809="safety",INDIRECT("template!"&amp;"P"&amp;A809),S809+T809)))</f>
        <v>#REF!</v>
      </c>
      <c r="W809" t="e">
        <f ca="1">IF(A809="","",IF(E809="","",#REF!))</f>
        <v>#REF!</v>
      </c>
      <c r="X809" t="e">
        <f ca="1">IF(A809="","",IF(E809="","",#REF!))</f>
        <v>#REF!</v>
      </c>
      <c r="Y809" s="39" t="e">
        <f ca="1">IF(A809="","",IF(E809="","",#REF!))</f>
        <v>#REF!</v>
      </c>
      <c r="Z809" t="e">
        <f ca="1">IF(A809="","",IF(E809="","",#REF!))</f>
        <v>#REF!</v>
      </c>
      <c r="AA809" t="e">
        <f ca="1">IF(A809="","",IF(E809="","",#REF!))</f>
        <v>#REF!</v>
      </c>
      <c r="AB809" t="e">
        <f ca="1">IF(A809="","",IF(E809="","",#REF!))</f>
        <v>#REF!</v>
      </c>
      <c r="AC809" t="e">
        <f t="shared" ca="1" si="74"/>
        <v>#REF!</v>
      </c>
    </row>
    <row r="810" spans="1:29" x14ac:dyDescent="0.35">
      <c r="A810" t="e" cm="1">
        <f t="array" aca="1" ref="A810" ca="1">IF(A809="","",IF(OR(AND(A809+1&gt;=$AF$1,A809+1&lt;=$AF$2),AND(A809+1&gt;=$AF$6,A809+1&lt;=$AF$7),AND(A809+1&gt;=$AF$3,A809+1&lt;=$AF$4),AND(A809+1&gt;=$AF$8,A809+1&lt;=$AF$9),A809+1=$AF$5),IF(NOT(ISBLANK(INDIRECT("template!"&amp;"P"&amp;A809+1))),A809+1,IF(NOT(ISBLANK(INDIRECT("template!"&amp;"P"&amp;A809+2))),A809+2,A809+3)),IF(A809=$AF$2,$AF$3,IF(A809=$AF$4,$AF$5,IF(A809=$AF$5,$AF$6,IF(A809=$AF$7,$AF$8,""))))))</f>
        <v>#REF!</v>
      </c>
      <c r="B810" t="e">
        <f t="shared" ca="1" si="69"/>
        <v>#REF!</v>
      </c>
      <c r="C810" t="e" cm="1">
        <f t="array" aca="1" ref="C810" ca="1">IF(A810="","",IF(B810="safety","safety costs",INDIRECT("template!"&amp;"B"&amp;A810)))</f>
        <v>#REF!</v>
      </c>
      <c r="D810" t="e" cm="1">
        <f t="array" aca="1" ref="D810" ca="1">IF(OR(A810="",B810="safety"),"",INDIRECT("template!"&amp;"C"&amp;A810))</f>
        <v>#REF!</v>
      </c>
      <c r="E810" t="e" cm="1">
        <f t="array" aca="1" ref="E810" ca="1">IF(A810="","",IF(OR(A810=A809+1,A810=A809+2),E809,INDIRECT("template!"&amp;"D"&amp;A810-2)))</f>
        <v>#REF!</v>
      </c>
      <c r="F810" t="e" cm="1">
        <f t="array" aca="1" ref="F810" ca="1">IF(OR(A810="",B810="safety"),"",IF(ISBLANK(IF(A810=A809+1,F809,INDIRECT("template!"&amp;"D"&amp;A810-1))),"",IF(A810=A809+1,F809,INDIRECT("template!"&amp;"D"&amp;A810-1))))</f>
        <v>#REF!</v>
      </c>
      <c r="G810" t="e" cm="1">
        <f t="array" aca="1" ref="G810" ca="1">IF(OR(A810="",B810="safety"),"",IF(ISBLANK(INDIRECT("template!"&amp;"D"&amp;A810)),"",INDIRECT("template!"&amp;"D"&amp;A810)))</f>
        <v>#REF!</v>
      </c>
      <c r="H810" t="e" cm="1">
        <f t="array" aca="1" ref="H810" ca="1">IF(OR(A810="",B810="safety"),"",IF(ISBLANK(INDIRECT("template!"&amp;"E"&amp;A810)),"",INDIRECT("template!"&amp;"E"&amp;A810)))</f>
        <v>#REF!</v>
      </c>
      <c r="I810" t="e" cm="1">
        <f t="array" aca="1" ref="I810" ca="1">IF(OR(A810="",B810="safety"),"",IF(ISBLANK(INDIRECT("template!"&amp;"F"&amp;A810)),"",INDIRECT("template!"&amp;"F"&amp;A810)))</f>
        <v>#REF!</v>
      </c>
      <c r="J810" t="e" cm="1">
        <f t="array" aca="1" ref="J810" ca="1">IF(OR(A810="",B810="safety"),"",IF(ISBLANK(INDIRECT("template!"&amp;"G"&amp;A810)),"",INDIRECT("template!"&amp;"G"&amp;A810)))</f>
        <v>#REF!</v>
      </c>
      <c r="K810" t="e" cm="1">
        <f t="array" aca="1" ref="K810" ca="1">IF(OR(A810="",B810="safety"),"",IF(ISBLANK(INDIRECT("template!"&amp;"H"&amp;A810)),"",INDIRECT("template!"&amp;"H"&amp;A810)))</f>
        <v>#REF!</v>
      </c>
      <c r="L810" t="e" cm="1">
        <f t="array" aca="1" ref="L810" ca="1">IF(OR(A810="",B810="safety"),"",INDIRECT("template!"&amp;"I"&amp;A810))</f>
        <v>#REF!</v>
      </c>
      <c r="M810" t="e" cm="1">
        <f t="array" aca="1" ref="M810" ca="1">IF(OR(A810="",B810="safety"),"",INDIRECT("template!"&amp;"J"&amp;A810))</f>
        <v>#REF!</v>
      </c>
      <c r="N810" t="e" cm="1">
        <f t="array" aca="1" ref="N810" ca="1">IF(OR(A810="",B810="safety"),"",IF(ISBLANK(INDIRECT("template!"&amp;"K"&amp;A810)),"",INDIRECT("template!"&amp;"K"&amp;A810)))</f>
        <v>#REF!</v>
      </c>
      <c r="O810" t="e" cm="1">
        <f t="array" aca="1" ref="O810" ca="1">IF(OR(A810="",B810="safety"),"",INDIRECT("template!"&amp;"L"&amp;A810))</f>
        <v>#REF!</v>
      </c>
      <c r="P810" t="e" cm="1">
        <f t="array" aca="1" ref="P810" ca="1">IF(OR(A810="",B810="safety"),"",INDIRECT("template!"&amp;"M"&amp;A810))</f>
        <v>#REF!</v>
      </c>
      <c r="Q810" t="e">
        <f t="shared" ca="1" si="70"/>
        <v>#REF!</v>
      </c>
      <c r="R810" t="e">
        <f t="shared" ca="1" si="71"/>
        <v>#REF!</v>
      </c>
      <c r="S810" t="e">
        <f t="shared" ca="1" si="72"/>
        <v>#REF!</v>
      </c>
      <c r="T810" t="e">
        <f t="shared" ca="1" si="73"/>
        <v>#REF!</v>
      </c>
      <c r="U810" t="e" cm="1">
        <f t="array" aca="1" ref="U810" ca="1">IF(A810="","",IF(E810="","",IF(B810="safety",INDIRECT("template!"&amp;"P"&amp;A810),Q810+R810)))</f>
        <v>#REF!</v>
      </c>
      <c r="V810" t="e" cm="1">
        <f t="array" aca="1" ref="V810" ca="1">IF(A810="","",IF(E810="","",IF(B810="safety",INDIRECT("template!"&amp;"P"&amp;A810),S810+T810)))</f>
        <v>#REF!</v>
      </c>
      <c r="W810" t="e">
        <f ca="1">IF(A810="","",IF(E810="","",#REF!))</f>
        <v>#REF!</v>
      </c>
      <c r="X810" t="e">
        <f ca="1">IF(A810="","",IF(E810="","",#REF!))</f>
        <v>#REF!</v>
      </c>
      <c r="Y810" s="39" t="e">
        <f ca="1">IF(A810="","",IF(E810="","",#REF!))</f>
        <v>#REF!</v>
      </c>
      <c r="Z810" t="e">
        <f ca="1">IF(A810="","",IF(E810="","",#REF!))</f>
        <v>#REF!</v>
      </c>
      <c r="AA810" t="e">
        <f ca="1">IF(A810="","",IF(E810="","",#REF!))</f>
        <v>#REF!</v>
      </c>
      <c r="AB810" t="e">
        <f ca="1">IF(A810="","",IF(E810="","",#REF!))</f>
        <v>#REF!</v>
      </c>
      <c r="AC810" t="e">
        <f t="shared" ca="1" si="74"/>
        <v>#REF!</v>
      </c>
    </row>
    <row r="811" spans="1:29" x14ac:dyDescent="0.35">
      <c r="A811" t="e" cm="1">
        <f t="array" aca="1" ref="A811" ca="1">IF(A810="","",IF(OR(AND(A810+1&gt;=$AF$1,A810+1&lt;=$AF$2),AND(A810+1&gt;=$AF$6,A810+1&lt;=$AF$7),AND(A810+1&gt;=$AF$3,A810+1&lt;=$AF$4),AND(A810+1&gt;=$AF$8,A810+1&lt;=$AF$9),A810+1=$AF$5),IF(NOT(ISBLANK(INDIRECT("template!"&amp;"P"&amp;A810+1))),A810+1,IF(NOT(ISBLANK(INDIRECT("template!"&amp;"P"&amp;A810+2))),A810+2,A810+3)),IF(A810=$AF$2,$AF$3,IF(A810=$AF$4,$AF$5,IF(A810=$AF$5,$AF$6,IF(A810=$AF$7,$AF$8,""))))))</f>
        <v>#REF!</v>
      </c>
      <c r="B811" t="e">
        <f t="shared" ca="1" si="69"/>
        <v>#REF!</v>
      </c>
      <c r="C811" t="e" cm="1">
        <f t="array" aca="1" ref="C811" ca="1">IF(A811="","",IF(B811="safety","safety costs",INDIRECT("template!"&amp;"B"&amp;A811)))</f>
        <v>#REF!</v>
      </c>
      <c r="D811" t="e" cm="1">
        <f t="array" aca="1" ref="D811" ca="1">IF(OR(A811="",B811="safety"),"",INDIRECT("template!"&amp;"C"&amp;A811))</f>
        <v>#REF!</v>
      </c>
      <c r="E811" t="e" cm="1">
        <f t="array" aca="1" ref="E811" ca="1">IF(A811="","",IF(OR(A811=A810+1,A811=A810+2),E810,INDIRECT("template!"&amp;"D"&amp;A811-2)))</f>
        <v>#REF!</v>
      </c>
      <c r="F811" t="e" cm="1">
        <f t="array" aca="1" ref="F811" ca="1">IF(OR(A811="",B811="safety"),"",IF(ISBLANK(IF(A811=A810+1,F810,INDIRECT("template!"&amp;"D"&amp;A811-1))),"",IF(A811=A810+1,F810,INDIRECT("template!"&amp;"D"&amp;A811-1))))</f>
        <v>#REF!</v>
      </c>
      <c r="G811" t="e" cm="1">
        <f t="array" aca="1" ref="G811" ca="1">IF(OR(A811="",B811="safety"),"",IF(ISBLANK(INDIRECT("template!"&amp;"D"&amp;A811)),"",INDIRECT("template!"&amp;"D"&amp;A811)))</f>
        <v>#REF!</v>
      </c>
      <c r="H811" t="e" cm="1">
        <f t="array" aca="1" ref="H811" ca="1">IF(OR(A811="",B811="safety"),"",IF(ISBLANK(INDIRECT("template!"&amp;"E"&amp;A811)),"",INDIRECT("template!"&amp;"E"&amp;A811)))</f>
        <v>#REF!</v>
      </c>
      <c r="I811" t="e" cm="1">
        <f t="array" aca="1" ref="I811" ca="1">IF(OR(A811="",B811="safety"),"",IF(ISBLANK(INDIRECT("template!"&amp;"F"&amp;A811)),"",INDIRECT("template!"&amp;"F"&amp;A811)))</f>
        <v>#REF!</v>
      </c>
      <c r="J811" t="e" cm="1">
        <f t="array" aca="1" ref="J811" ca="1">IF(OR(A811="",B811="safety"),"",IF(ISBLANK(INDIRECT("template!"&amp;"G"&amp;A811)),"",INDIRECT("template!"&amp;"G"&amp;A811)))</f>
        <v>#REF!</v>
      </c>
      <c r="K811" t="e" cm="1">
        <f t="array" aca="1" ref="K811" ca="1">IF(OR(A811="",B811="safety"),"",IF(ISBLANK(INDIRECT("template!"&amp;"H"&amp;A811)),"",INDIRECT("template!"&amp;"H"&amp;A811)))</f>
        <v>#REF!</v>
      </c>
      <c r="L811" t="e" cm="1">
        <f t="array" aca="1" ref="L811" ca="1">IF(OR(A811="",B811="safety"),"",INDIRECT("template!"&amp;"I"&amp;A811))</f>
        <v>#REF!</v>
      </c>
      <c r="M811" t="e" cm="1">
        <f t="array" aca="1" ref="M811" ca="1">IF(OR(A811="",B811="safety"),"",INDIRECT("template!"&amp;"J"&amp;A811))</f>
        <v>#REF!</v>
      </c>
      <c r="N811" t="e" cm="1">
        <f t="array" aca="1" ref="N811" ca="1">IF(OR(A811="",B811="safety"),"",IF(ISBLANK(INDIRECT("template!"&amp;"K"&amp;A811)),"",INDIRECT("template!"&amp;"K"&amp;A811)))</f>
        <v>#REF!</v>
      </c>
      <c r="O811" t="e" cm="1">
        <f t="array" aca="1" ref="O811" ca="1">IF(OR(A811="",B811="safety"),"",INDIRECT("template!"&amp;"L"&amp;A811))</f>
        <v>#REF!</v>
      </c>
      <c r="P811" t="e" cm="1">
        <f t="array" aca="1" ref="P811" ca="1">IF(OR(A811="",B811="safety"),"",INDIRECT("template!"&amp;"M"&amp;A811))</f>
        <v>#REF!</v>
      </c>
      <c r="Q811" t="e">
        <f t="shared" ca="1" si="70"/>
        <v>#REF!</v>
      </c>
      <c r="R811" t="e">
        <f t="shared" ca="1" si="71"/>
        <v>#REF!</v>
      </c>
      <c r="S811" t="e">
        <f t="shared" ca="1" si="72"/>
        <v>#REF!</v>
      </c>
      <c r="T811" t="e">
        <f t="shared" ca="1" si="73"/>
        <v>#REF!</v>
      </c>
      <c r="U811" t="e" cm="1">
        <f t="array" aca="1" ref="U811" ca="1">IF(A811="","",IF(E811="","",IF(B811="safety",INDIRECT("template!"&amp;"P"&amp;A811),Q811+R811)))</f>
        <v>#REF!</v>
      </c>
      <c r="V811" t="e" cm="1">
        <f t="array" aca="1" ref="V811" ca="1">IF(A811="","",IF(E811="","",IF(B811="safety",INDIRECT("template!"&amp;"P"&amp;A811),S811+T811)))</f>
        <v>#REF!</v>
      </c>
      <c r="W811" t="e">
        <f ca="1">IF(A811="","",IF(E811="","",#REF!))</f>
        <v>#REF!</v>
      </c>
      <c r="X811" t="e">
        <f ca="1">IF(A811="","",IF(E811="","",#REF!))</f>
        <v>#REF!</v>
      </c>
      <c r="Y811" s="39" t="e">
        <f ca="1">IF(A811="","",IF(E811="","",#REF!))</f>
        <v>#REF!</v>
      </c>
      <c r="Z811" t="e">
        <f ca="1">IF(A811="","",IF(E811="","",#REF!))</f>
        <v>#REF!</v>
      </c>
      <c r="AA811" t="e">
        <f ca="1">IF(A811="","",IF(E811="","",#REF!))</f>
        <v>#REF!</v>
      </c>
      <c r="AB811" t="e">
        <f ca="1">IF(A811="","",IF(E811="","",#REF!))</f>
        <v>#REF!</v>
      </c>
      <c r="AC811" t="e">
        <f t="shared" ca="1" si="74"/>
        <v>#REF!</v>
      </c>
    </row>
    <row r="812" spans="1:29" x14ac:dyDescent="0.35">
      <c r="A812" t="e" cm="1">
        <f t="array" aca="1" ref="A812" ca="1">IF(A811="","",IF(OR(AND(A811+1&gt;=$AF$1,A811+1&lt;=$AF$2),AND(A811+1&gt;=$AF$6,A811+1&lt;=$AF$7),AND(A811+1&gt;=$AF$3,A811+1&lt;=$AF$4),AND(A811+1&gt;=$AF$8,A811+1&lt;=$AF$9),A811+1=$AF$5),IF(NOT(ISBLANK(INDIRECT("template!"&amp;"P"&amp;A811+1))),A811+1,IF(NOT(ISBLANK(INDIRECT("template!"&amp;"P"&amp;A811+2))),A811+2,A811+3)),IF(A811=$AF$2,$AF$3,IF(A811=$AF$4,$AF$5,IF(A811=$AF$5,$AF$6,IF(A811=$AF$7,$AF$8,""))))))</f>
        <v>#REF!</v>
      </c>
      <c r="B812" t="e">
        <f t="shared" ca="1" si="69"/>
        <v>#REF!</v>
      </c>
      <c r="C812" t="e" cm="1">
        <f t="array" aca="1" ref="C812" ca="1">IF(A812="","",IF(B812="safety","safety costs",INDIRECT("template!"&amp;"B"&amp;A812)))</f>
        <v>#REF!</v>
      </c>
      <c r="D812" t="e" cm="1">
        <f t="array" aca="1" ref="D812" ca="1">IF(OR(A812="",B812="safety"),"",INDIRECT("template!"&amp;"C"&amp;A812))</f>
        <v>#REF!</v>
      </c>
      <c r="E812" t="e" cm="1">
        <f t="array" aca="1" ref="E812" ca="1">IF(A812="","",IF(OR(A812=A811+1,A812=A811+2),E811,INDIRECT("template!"&amp;"D"&amp;A812-2)))</f>
        <v>#REF!</v>
      </c>
      <c r="F812" t="e" cm="1">
        <f t="array" aca="1" ref="F812" ca="1">IF(OR(A812="",B812="safety"),"",IF(ISBLANK(IF(A812=A811+1,F811,INDIRECT("template!"&amp;"D"&amp;A812-1))),"",IF(A812=A811+1,F811,INDIRECT("template!"&amp;"D"&amp;A812-1))))</f>
        <v>#REF!</v>
      </c>
      <c r="G812" t="e" cm="1">
        <f t="array" aca="1" ref="G812" ca="1">IF(OR(A812="",B812="safety"),"",IF(ISBLANK(INDIRECT("template!"&amp;"D"&amp;A812)),"",INDIRECT("template!"&amp;"D"&amp;A812)))</f>
        <v>#REF!</v>
      </c>
      <c r="H812" t="e" cm="1">
        <f t="array" aca="1" ref="H812" ca="1">IF(OR(A812="",B812="safety"),"",IF(ISBLANK(INDIRECT("template!"&amp;"E"&amp;A812)),"",INDIRECT("template!"&amp;"E"&amp;A812)))</f>
        <v>#REF!</v>
      </c>
      <c r="I812" t="e" cm="1">
        <f t="array" aca="1" ref="I812" ca="1">IF(OR(A812="",B812="safety"),"",IF(ISBLANK(INDIRECT("template!"&amp;"F"&amp;A812)),"",INDIRECT("template!"&amp;"F"&amp;A812)))</f>
        <v>#REF!</v>
      </c>
      <c r="J812" t="e" cm="1">
        <f t="array" aca="1" ref="J812" ca="1">IF(OR(A812="",B812="safety"),"",IF(ISBLANK(INDIRECT("template!"&amp;"G"&amp;A812)),"",INDIRECT("template!"&amp;"G"&amp;A812)))</f>
        <v>#REF!</v>
      </c>
      <c r="K812" t="e" cm="1">
        <f t="array" aca="1" ref="K812" ca="1">IF(OR(A812="",B812="safety"),"",IF(ISBLANK(INDIRECT("template!"&amp;"H"&amp;A812)),"",INDIRECT("template!"&amp;"H"&amp;A812)))</f>
        <v>#REF!</v>
      </c>
      <c r="L812" t="e" cm="1">
        <f t="array" aca="1" ref="L812" ca="1">IF(OR(A812="",B812="safety"),"",INDIRECT("template!"&amp;"I"&amp;A812))</f>
        <v>#REF!</v>
      </c>
      <c r="M812" t="e" cm="1">
        <f t="array" aca="1" ref="M812" ca="1">IF(OR(A812="",B812="safety"),"",INDIRECT("template!"&amp;"J"&amp;A812))</f>
        <v>#REF!</v>
      </c>
      <c r="N812" t="e" cm="1">
        <f t="array" aca="1" ref="N812" ca="1">IF(OR(A812="",B812="safety"),"",IF(ISBLANK(INDIRECT("template!"&amp;"K"&amp;A812)),"",INDIRECT("template!"&amp;"K"&amp;A812)))</f>
        <v>#REF!</v>
      </c>
      <c r="O812" t="e" cm="1">
        <f t="array" aca="1" ref="O812" ca="1">IF(OR(A812="",B812="safety"),"",INDIRECT("template!"&amp;"L"&amp;A812))</f>
        <v>#REF!</v>
      </c>
      <c r="P812" t="e" cm="1">
        <f t="array" aca="1" ref="P812" ca="1">IF(OR(A812="",B812="safety"),"",INDIRECT("template!"&amp;"M"&amp;A812))</f>
        <v>#REF!</v>
      </c>
      <c r="Q812" t="e">
        <f t="shared" ca="1" si="70"/>
        <v>#REF!</v>
      </c>
      <c r="R812" t="e">
        <f t="shared" ca="1" si="71"/>
        <v>#REF!</v>
      </c>
      <c r="S812" t="e">
        <f t="shared" ca="1" si="72"/>
        <v>#REF!</v>
      </c>
      <c r="T812" t="e">
        <f t="shared" ca="1" si="73"/>
        <v>#REF!</v>
      </c>
      <c r="U812" t="e" cm="1">
        <f t="array" aca="1" ref="U812" ca="1">IF(A812="","",IF(E812="","",IF(B812="safety",INDIRECT("template!"&amp;"P"&amp;A812),Q812+R812)))</f>
        <v>#REF!</v>
      </c>
      <c r="V812" t="e" cm="1">
        <f t="array" aca="1" ref="V812" ca="1">IF(A812="","",IF(E812="","",IF(B812="safety",INDIRECT("template!"&amp;"P"&amp;A812),S812+T812)))</f>
        <v>#REF!</v>
      </c>
      <c r="W812" t="e">
        <f ca="1">IF(A812="","",IF(E812="","",#REF!))</f>
        <v>#REF!</v>
      </c>
      <c r="X812" t="e">
        <f ca="1">IF(A812="","",IF(E812="","",#REF!))</f>
        <v>#REF!</v>
      </c>
      <c r="Y812" s="39" t="e">
        <f ca="1">IF(A812="","",IF(E812="","",#REF!))</f>
        <v>#REF!</v>
      </c>
      <c r="Z812" t="e">
        <f ca="1">IF(A812="","",IF(E812="","",#REF!))</f>
        <v>#REF!</v>
      </c>
      <c r="AA812" t="e">
        <f ca="1">IF(A812="","",IF(E812="","",#REF!))</f>
        <v>#REF!</v>
      </c>
      <c r="AB812" t="e">
        <f ca="1">IF(A812="","",IF(E812="","",#REF!))</f>
        <v>#REF!</v>
      </c>
      <c r="AC812" t="e">
        <f t="shared" ca="1" si="74"/>
        <v>#REF!</v>
      </c>
    </row>
    <row r="813" spans="1:29" x14ac:dyDescent="0.35">
      <c r="A813" t="e" cm="1">
        <f t="array" aca="1" ref="A813" ca="1">IF(A812="","",IF(OR(AND(A812+1&gt;=$AF$1,A812+1&lt;=$AF$2),AND(A812+1&gt;=$AF$6,A812+1&lt;=$AF$7),AND(A812+1&gt;=$AF$3,A812+1&lt;=$AF$4),AND(A812+1&gt;=$AF$8,A812+1&lt;=$AF$9),A812+1=$AF$5),IF(NOT(ISBLANK(INDIRECT("template!"&amp;"P"&amp;A812+1))),A812+1,IF(NOT(ISBLANK(INDIRECT("template!"&amp;"P"&amp;A812+2))),A812+2,A812+3)),IF(A812=$AF$2,$AF$3,IF(A812=$AF$4,$AF$5,IF(A812=$AF$5,$AF$6,IF(A812=$AF$7,$AF$8,""))))))</f>
        <v>#REF!</v>
      </c>
      <c r="B813" t="e">
        <f t="shared" ca="1" si="69"/>
        <v>#REF!</v>
      </c>
      <c r="C813" t="e" cm="1">
        <f t="array" aca="1" ref="C813" ca="1">IF(A813="","",IF(B813="safety","safety costs",INDIRECT("template!"&amp;"B"&amp;A813)))</f>
        <v>#REF!</v>
      </c>
      <c r="D813" t="e" cm="1">
        <f t="array" aca="1" ref="D813" ca="1">IF(OR(A813="",B813="safety"),"",INDIRECT("template!"&amp;"C"&amp;A813))</f>
        <v>#REF!</v>
      </c>
      <c r="E813" t="e" cm="1">
        <f t="array" aca="1" ref="E813" ca="1">IF(A813="","",IF(OR(A813=A812+1,A813=A812+2),E812,INDIRECT("template!"&amp;"D"&amp;A813-2)))</f>
        <v>#REF!</v>
      </c>
      <c r="F813" t="e" cm="1">
        <f t="array" aca="1" ref="F813" ca="1">IF(OR(A813="",B813="safety"),"",IF(ISBLANK(IF(A813=A812+1,F812,INDIRECT("template!"&amp;"D"&amp;A813-1))),"",IF(A813=A812+1,F812,INDIRECT("template!"&amp;"D"&amp;A813-1))))</f>
        <v>#REF!</v>
      </c>
      <c r="G813" t="e" cm="1">
        <f t="array" aca="1" ref="G813" ca="1">IF(OR(A813="",B813="safety"),"",IF(ISBLANK(INDIRECT("template!"&amp;"D"&amp;A813)),"",INDIRECT("template!"&amp;"D"&amp;A813)))</f>
        <v>#REF!</v>
      </c>
      <c r="H813" t="e" cm="1">
        <f t="array" aca="1" ref="H813" ca="1">IF(OR(A813="",B813="safety"),"",IF(ISBLANK(INDIRECT("template!"&amp;"E"&amp;A813)),"",INDIRECT("template!"&amp;"E"&amp;A813)))</f>
        <v>#REF!</v>
      </c>
      <c r="I813" t="e" cm="1">
        <f t="array" aca="1" ref="I813" ca="1">IF(OR(A813="",B813="safety"),"",IF(ISBLANK(INDIRECT("template!"&amp;"F"&amp;A813)),"",INDIRECT("template!"&amp;"F"&amp;A813)))</f>
        <v>#REF!</v>
      </c>
      <c r="J813" t="e" cm="1">
        <f t="array" aca="1" ref="J813" ca="1">IF(OR(A813="",B813="safety"),"",IF(ISBLANK(INDIRECT("template!"&amp;"G"&amp;A813)),"",INDIRECT("template!"&amp;"G"&amp;A813)))</f>
        <v>#REF!</v>
      </c>
      <c r="K813" t="e" cm="1">
        <f t="array" aca="1" ref="K813" ca="1">IF(OR(A813="",B813="safety"),"",IF(ISBLANK(INDIRECT("template!"&amp;"H"&amp;A813)),"",INDIRECT("template!"&amp;"H"&amp;A813)))</f>
        <v>#REF!</v>
      </c>
      <c r="L813" t="e" cm="1">
        <f t="array" aca="1" ref="L813" ca="1">IF(OR(A813="",B813="safety"),"",INDIRECT("template!"&amp;"I"&amp;A813))</f>
        <v>#REF!</v>
      </c>
      <c r="M813" t="e" cm="1">
        <f t="array" aca="1" ref="M813" ca="1">IF(OR(A813="",B813="safety"),"",INDIRECT("template!"&amp;"J"&amp;A813))</f>
        <v>#REF!</v>
      </c>
      <c r="N813" t="e" cm="1">
        <f t="array" aca="1" ref="N813" ca="1">IF(OR(A813="",B813="safety"),"",IF(ISBLANK(INDIRECT("template!"&amp;"K"&amp;A813)),"",INDIRECT("template!"&amp;"K"&amp;A813)))</f>
        <v>#REF!</v>
      </c>
      <c r="O813" t="e" cm="1">
        <f t="array" aca="1" ref="O813" ca="1">IF(OR(A813="",B813="safety"),"",INDIRECT("template!"&amp;"L"&amp;A813))</f>
        <v>#REF!</v>
      </c>
      <c r="P813" t="e" cm="1">
        <f t="array" aca="1" ref="P813" ca="1">IF(OR(A813="",B813="safety"),"",INDIRECT("template!"&amp;"M"&amp;A813))</f>
        <v>#REF!</v>
      </c>
      <c r="Q813" t="e">
        <f t="shared" ca="1" si="70"/>
        <v>#REF!</v>
      </c>
      <c r="R813" t="e">
        <f t="shared" ca="1" si="71"/>
        <v>#REF!</v>
      </c>
      <c r="S813" t="e">
        <f t="shared" ca="1" si="72"/>
        <v>#REF!</v>
      </c>
      <c r="T813" t="e">
        <f t="shared" ca="1" si="73"/>
        <v>#REF!</v>
      </c>
      <c r="U813" t="e" cm="1">
        <f t="array" aca="1" ref="U813" ca="1">IF(A813="","",IF(E813="","",IF(B813="safety",INDIRECT("template!"&amp;"P"&amp;A813),Q813+R813)))</f>
        <v>#REF!</v>
      </c>
      <c r="V813" t="e" cm="1">
        <f t="array" aca="1" ref="V813" ca="1">IF(A813="","",IF(E813="","",IF(B813="safety",INDIRECT("template!"&amp;"P"&amp;A813),S813+T813)))</f>
        <v>#REF!</v>
      </c>
      <c r="W813" t="e">
        <f ca="1">IF(A813="","",IF(E813="","",#REF!))</f>
        <v>#REF!</v>
      </c>
      <c r="X813" t="e">
        <f ca="1">IF(A813="","",IF(E813="","",#REF!))</f>
        <v>#REF!</v>
      </c>
      <c r="Y813" s="39" t="e">
        <f ca="1">IF(A813="","",IF(E813="","",#REF!))</f>
        <v>#REF!</v>
      </c>
      <c r="Z813" t="e">
        <f ca="1">IF(A813="","",IF(E813="","",#REF!))</f>
        <v>#REF!</v>
      </c>
      <c r="AA813" t="e">
        <f ca="1">IF(A813="","",IF(E813="","",#REF!))</f>
        <v>#REF!</v>
      </c>
      <c r="AB813" t="e">
        <f ca="1">IF(A813="","",IF(E813="","",#REF!))</f>
        <v>#REF!</v>
      </c>
      <c r="AC813" t="e">
        <f t="shared" ca="1" si="74"/>
        <v>#REF!</v>
      </c>
    </row>
    <row r="814" spans="1:29" x14ac:dyDescent="0.35">
      <c r="A814" t="e" cm="1">
        <f t="array" aca="1" ref="A814" ca="1">IF(A813="","",IF(OR(AND(A813+1&gt;=$AF$1,A813+1&lt;=$AF$2),AND(A813+1&gt;=$AF$6,A813+1&lt;=$AF$7),AND(A813+1&gt;=$AF$3,A813+1&lt;=$AF$4),AND(A813+1&gt;=$AF$8,A813+1&lt;=$AF$9),A813+1=$AF$5),IF(NOT(ISBLANK(INDIRECT("template!"&amp;"P"&amp;A813+1))),A813+1,IF(NOT(ISBLANK(INDIRECT("template!"&amp;"P"&amp;A813+2))),A813+2,A813+3)),IF(A813=$AF$2,$AF$3,IF(A813=$AF$4,$AF$5,IF(A813=$AF$5,$AF$6,IF(A813=$AF$7,$AF$8,""))))))</f>
        <v>#REF!</v>
      </c>
      <c r="B814" t="e">
        <f t="shared" ca="1" si="69"/>
        <v>#REF!</v>
      </c>
      <c r="C814" t="e" cm="1">
        <f t="array" aca="1" ref="C814" ca="1">IF(A814="","",IF(B814="safety","safety costs",INDIRECT("template!"&amp;"B"&amp;A814)))</f>
        <v>#REF!</v>
      </c>
      <c r="D814" t="e" cm="1">
        <f t="array" aca="1" ref="D814" ca="1">IF(OR(A814="",B814="safety"),"",INDIRECT("template!"&amp;"C"&amp;A814))</f>
        <v>#REF!</v>
      </c>
      <c r="E814" t="e" cm="1">
        <f t="array" aca="1" ref="E814" ca="1">IF(A814="","",IF(OR(A814=A813+1,A814=A813+2),E813,INDIRECT("template!"&amp;"D"&amp;A814-2)))</f>
        <v>#REF!</v>
      </c>
      <c r="F814" t="e" cm="1">
        <f t="array" aca="1" ref="F814" ca="1">IF(OR(A814="",B814="safety"),"",IF(ISBLANK(IF(A814=A813+1,F813,INDIRECT("template!"&amp;"D"&amp;A814-1))),"",IF(A814=A813+1,F813,INDIRECT("template!"&amp;"D"&amp;A814-1))))</f>
        <v>#REF!</v>
      </c>
      <c r="G814" t="e" cm="1">
        <f t="array" aca="1" ref="G814" ca="1">IF(OR(A814="",B814="safety"),"",IF(ISBLANK(INDIRECT("template!"&amp;"D"&amp;A814)),"",INDIRECT("template!"&amp;"D"&amp;A814)))</f>
        <v>#REF!</v>
      </c>
      <c r="H814" t="e" cm="1">
        <f t="array" aca="1" ref="H814" ca="1">IF(OR(A814="",B814="safety"),"",IF(ISBLANK(INDIRECT("template!"&amp;"E"&amp;A814)),"",INDIRECT("template!"&amp;"E"&amp;A814)))</f>
        <v>#REF!</v>
      </c>
      <c r="I814" t="e" cm="1">
        <f t="array" aca="1" ref="I814" ca="1">IF(OR(A814="",B814="safety"),"",IF(ISBLANK(INDIRECT("template!"&amp;"F"&amp;A814)),"",INDIRECT("template!"&amp;"F"&amp;A814)))</f>
        <v>#REF!</v>
      </c>
      <c r="J814" t="e" cm="1">
        <f t="array" aca="1" ref="J814" ca="1">IF(OR(A814="",B814="safety"),"",IF(ISBLANK(INDIRECT("template!"&amp;"G"&amp;A814)),"",INDIRECT("template!"&amp;"G"&amp;A814)))</f>
        <v>#REF!</v>
      </c>
      <c r="K814" t="e" cm="1">
        <f t="array" aca="1" ref="K814" ca="1">IF(OR(A814="",B814="safety"),"",IF(ISBLANK(INDIRECT("template!"&amp;"H"&amp;A814)),"",INDIRECT("template!"&amp;"H"&amp;A814)))</f>
        <v>#REF!</v>
      </c>
      <c r="L814" t="e" cm="1">
        <f t="array" aca="1" ref="L814" ca="1">IF(OR(A814="",B814="safety"),"",INDIRECT("template!"&amp;"I"&amp;A814))</f>
        <v>#REF!</v>
      </c>
      <c r="M814" t="e" cm="1">
        <f t="array" aca="1" ref="M814" ca="1">IF(OR(A814="",B814="safety"),"",INDIRECT("template!"&amp;"J"&amp;A814))</f>
        <v>#REF!</v>
      </c>
      <c r="N814" t="e" cm="1">
        <f t="array" aca="1" ref="N814" ca="1">IF(OR(A814="",B814="safety"),"",IF(ISBLANK(INDIRECT("template!"&amp;"K"&amp;A814)),"",INDIRECT("template!"&amp;"K"&amp;A814)))</f>
        <v>#REF!</v>
      </c>
      <c r="O814" t="e" cm="1">
        <f t="array" aca="1" ref="O814" ca="1">IF(OR(A814="",B814="safety"),"",INDIRECT("template!"&amp;"L"&amp;A814))</f>
        <v>#REF!</v>
      </c>
      <c r="P814" t="e" cm="1">
        <f t="array" aca="1" ref="P814" ca="1">IF(OR(A814="",B814="safety"),"",INDIRECT("template!"&amp;"M"&amp;A814))</f>
        <v>#REF!</v>
      </c>
      <c r="Q814" t="e">
        <f t="shared" ca="1" si="70"/>
        <v>#REF!</v>
      </c>
      <c r="R814" t="e">
        <f t="shared" ca="1" si="71"/>
        <v>#REF!</v>
      </c>
      <c r="S814" t="e">
        <f t="shared" ca="1" si="72"/>
        <v>#REF!</v>
      </c>
      <c r="T814" t="e">
        <f t="shared" ca="1" si="73"/>
        <v>#REF!</v>
      </c>
      <c r="U814" t="e" cm="1">
        <f t="array" aca="1" ref="U814" ca="1">IF(A814="","",IF(E814="","",IF(B814="safety",INDIRECT("template!"&amp;"P"&amp;A814),Q814+R814)))</f>
        <v>#REF!</v>
      </c>
      <c r="V814" t="e" cm="1">
        <f t="array" aca="1" ref="V814" ca="1">IF(A814="","",IF(E814="","",IF(B814="safety",INDIRECT("template!"&amp;"P"&amp;A814),S814+T814)))</f>
        <v>#REF!</v>
      </c>
      <c r="W814" t="e">
        <f ca="1">IF(A814="","",IF(E814="","",#REF!))</f>
        <v>#REF!</v>
      </c>
      <c r="X814" t="e">
        <f ca="1">IF(A814="","",IF(E814="","",#REF!))</f>
        <v>#REF!</v>
      </c>
      <c r="Y814" s="39" t="e">
        <f ca="1">IF(A814="","",IF(E814="","",#REF!))</f>
        <v>#REF!</v>
      </c>
      <c r="Z814" t="e">
        <f ca="1">IF(A814="","",IF(E814="","",#REF!))</f>
        <v>#REF!</v>
      </c>
      <c r="AA814" t="e">
        <f ca="1">IF(A814="","",IF(E814="","",#REF!))</f>
        <v>#REF!</v>
      </c>
      <c r="AB814" t="e">
        <f ca="1">IF(A814="","",IF(E814="","",#REF!))</f>
        <v>#REF!</v>
      </c>
      <c r="AC814" t="e">
        <f t="shared" ca="1" si="74"/>
        <v>#REF!</v>
      </c>
    </row>
    <row r="815" spans="1:29" x14ac:dyDescent="0.35">
      <c r="A815" t="e" cm="1">
        <f t="array" aca="1" ref="A815" ca="1">IF(A814="","",IF(OR(AND(A814+1&gt;=$AF$1,A814+1&lt;=$AF$2),AND(A814+1&gt;=$AF$6,A814+1&lt;=$AF$7),AND(A814+1&gt;=$AF$3,A814+1&lt;=$AF$4),AND(A814+1&gt;=$AF$8,A814+1&lt;=$AF$9),A814+1=$AF$5),IF(NOT(ISBLANK(INDIRECT("template!"&amp;"P"&amp;A814+1))),A814+1,IF(NOT(ISBLANK(INDIRECT("template!"&amp;"P"&amp;A814+2))),A814+2,A814+3)),IF(A814=$AF$2,$AF$3,IF(A814=$AF$4,$AF$5,IF(A814=$AF$5,$AF$6,IF(A814=$AF$7,$AF$8,""))))))</f>
        <v>#REF!</v>
      </c>
      <c r="B815" t="e">
        <f t="shared" ca="1" si="69"/>
        <v>#REF!</v>
      </c>
      <c r="C815" t="e" cm="1">
        <f t="array" aca="1" ref="C815" ca="1">IF(A815="","",IF(B815="safety","safety costs",INDIRECT("template!"&amp;"B"&amp;A815)))</f>
        <v>#REF!</v>
      </c>
      <c r="D815" t="e" cm="1">
        <f t="array" aca="1" ref="D815" ca="1">IF(OR(A815="",B815="safety"),"",INDIRECT("template!"&amp;"C"&amp;A815))</f>
        <v>#REF!</v>
      </c>
      <c r="E815" t="e" cm="1">
        <f t="array" aca="1" ref="E815" ca="1">IF(A815="","",IF(OR(A815=A814+1,A815=A814+2),E814,INDIRECT("template!"&amp;"D"&amp;A815-2)))</f>
        <v>#REF!</v>
      </c>
      <c r="F815" t="e" cm="1">
        <f t="array" aca="1" ref="F815" ca="1">IF(OR(A815="",B815="safety"),"",IF(ISBLANK(IF(A815=A814+1,F814,INDIRECT("template!"&amp;"D"&amp;A815-1))),"",IF(A815=A814+1,F814,INDIRECT("template!"&amp;"D"&amp;A815-1))))</f>
        <v>#REF!</v>
      </c>
      <c r="G815" t="e" cm="1">
        <f t="array" aca="1" ref="G815" ca="1">IF(OR(A815="",B815="safety"),"",IF(ISBLANK(INDIRECT("template!"&amp;"D"&amp;A815)),"",INDIRECT("template!"&amp;"D"&amp;A815)))</f>
        <v>#REF!</v>
      </c>
      <c r="H815" t="e" cm="1">
        <f t="array" aca="1" ref="H815" ca="1">IF(OR(A815="",B815="safety"),"",IF(ISBLANK(INDIRECT("template!"&amp;"E"&amp;A815)),"",INDIRECT("template!"&amp;"E"&amp;A815)))</f>
        <v>#REF!</v>
      </c>
      <c r="I815" t="e" cm="1">
        <f t="array" aca="1" ref="I815" ca="1">IF(OR(A815="",B815="safety"),"",IF(ISBLANK(INDIRECT("template!"&amp;"F"&amp;A815)),"",INDIRECT("template!"&amp;"F"&amp;A815)))</f>
        <v>#REF!</v>
      </c>
      <c r="J815" t="e" cm="1">
        <f t="array" aca="1" ref="J815" ca="1">IF(OR(A815="",B815="safety"),"",IF(ISBLANK(INDIRECT("template!"&amp;"G"&amp;A815)),"",INDIRECT("template!"&amp;"G"&amp;A815)))</f>
        <v>#REF!</v>
      </c>
      <c r="K815" t="e" cm="1">
        <f t="array" aca="1" ref="K815" ca="1">IF(OR(A815="",B815="safety"),"",IF(ISBLANK(INDIRECT("template!"&amp;"H"&amp;A815)),"",INDIRECT("template!"&amp;"H"&amp;A815)))</f>
        <v>#REF!</v>
      </c>
      <c r="L815" t="e" cm="1">
        <f t="array" aca="1" ref="L815" ca="1">IF(OR(A815="",B815="safety"),"",INDIRECT("template!"&amp;"I"&amp;A815))</f>
        <v>#REF!</v>
      </c>
      <c r="M815" t="e" cm="1">
        <f t="array" aca="1" ref="M815" ca="1">IF(OR(A815="",B815="safety"),"",INDIRECT("template!"&amp;"J"&amp;A815))</f>
        <v>#REF!</v>
      </c>
      <c r="N815" t="e" cm="1">
        <f t="array" aca="1" ref="N815" ca="1">IF(OR(A815="",B815="safety"),"",IF(ISBLANK(INDIRECT("template!"&amp;"K"&amp;A815)),"",INDIRECT("template!"&amp;"K"&amp;A815)))</f>
        <v>#REF!</v>
      </c>
      <c r="O815" t="e" cm="1">
        <f t="array" aca="1" ref="O815" ca="1">IF(OR(A815="",B815="safety"),"",INDIRECT("template!"&amp;"L"&amp;A815))</f>
        <v>#REF!</v>
      </c>
      <c r="P815" t="e" cm="1">
        <f t="array" aca="1" ref="P815" ca="1">IF(OR(A815="",B815="safety"),"",INDIRECT("template!"&amp;"M"&amp;A815))</f>
        <v>#REF!</v>
      </c>
      <c r="Q815" t="e">
        <f t="shared" ca="1" si="70"/>
        <v>#REF!</v>
      </c>
      <c r="R815" t="e">
        <f t="shared" ca="1" si="71"/>
        <v>#REF!</v>
      </c>
      <c r="S815" t="e">
        <f t="shared" ca="1" si="72"/>
        <v>#REF!</v>
      </c>
      <c r="T815" t="e">
        <f t="shared" ca="1" si="73"/>
        <v>#REF!</v>
      </c>
      <c r="U815" t="e" cm="1">
        <f t="array" aca="1" ref="U815" ca="1">IF(A815="","",IF(E815="","",IF(B815="safety",INDIRECT("template!"&amp;"P"&amp;A815),Q815+R815)))</f>
        <v>#REF!</v>
      </c>
      <c r="V815" t="e" cm="1">
        <f t="array" aca="1" ref="V815" ca="1">IF(A815="","",IF(E815="","",IF(B815="safety",INDIRECT("template!"&amp;"P"&amp;A815),S815+T815)))</f>
        <v>#REF!</v>
      </c>
      <c r="W815" t="e">
        <f ca="1">IF(A815="","",IF(E815="","",#REF!))</f>
        <v>#REF!</v>
      </c>
      <c r="X815" t="e">
        <f ca="1">IF(A815="","",IF(E815="","",#REF!))</f>
        <v>#REF!</v>
      </c>
      <c r="Y815" s="39" t="e">
        <f ca="1">IF(A815="","",IF(E815="","",#REF!))</f>
        <v>#REF!</v>
      </c>
      <c r="Z815" t="e">
        <f ca="1">IF(A815="","",IF(E815="","",#REF!))</f>
        <v>#REF!</v>
      </c>
      <c r="AA815" t="e">
        <f ca="1">IF(A815="","",IF(E815="","",#REF!))</f>
        <v>#REF!</v>
      </c>
      <c r="AB815" t="e">
        <f ca="1">IF(A815="","",IF(E815="","",#REF!))</f>
        <v>#REF!</v>
      </c>
      <c r="AC815" t="e">
        <f t="shared" ca="1" si="74"/>
        <v>#REF!</v>
      </c>
    </row>
    <row r="816" spans="1:29" x14ac:dyDescent="0.35">
      <c r="A816" t="e" cm="1">
        <f t="array" aca="1" ref="A816" ca="1">IF(A815="","",IF(OR(AND(A815+1&gt;=$AF$1,A815+1&lt;=$AF$2),AND(A815+1&gt;=$AF$6,A815+1&lt;=$AF$7),AND(A815+1&gt;=$AF$3,A815+1&lt;=$AF$4),AND(A815+1&gt;=$AF$8,A815+1&lt;=$AF$9),A815+1=$AF$5),IF(NOT(ISBLANK(INDIRECT("template!"&amp;"P"&amp;A815+1))),A815+1,IF(NOT(ISBLANK(INDIRECT("template!"&amp;"P"&amp;A815+2))),A815+2,A815+3)),IF(A815=$AF$2,$AF$3,IF(A815=$AF$4,$AF$5,IF(A815=$AF$5,$AF$6,IF(A815=$AF$7,$AF$8,""))))))</f>
        <v>#REF!</v>
      </c>
      <c r="B816" t="e">
        <f t="shared" ca="1" si="69"/>
        <v>#REF!</v>
      </c>
      <c r="C816" t="e" cm="1">
        <f t="array" aca="1" ref="C816" ca="1">IF(A816="","",IF(B816="safety","safety costs",INDIRECT("template!"&amp;"B"&amp;A816)))</f>
        <v>#REF!</v>
      </c>
      <c r="D816" t="e" cm="1">
        <f t="array" aca="1" ref="D816" ca="1">IF(OR(A816="",B816="safety"),"",INDIRECT("template!"&amp;"C"&amp;A816))</f>
        <v>#REF!</v>
      </c>
      <c r="E816" t="e" cm="1">
        <f t="array" aca="1" ref="E816" ca="1">IF(A816="","",IF(OR(A816=A815+1,A816=A815+2),E815,INDIRECT("template!"&amp;"D"&amp;A816-2)))</f>
        <v>#REF!</v>
      </c>
      <c r="F816" t="e" cm="1">
        <f t="array" aca="1" ref="F816" ca="1">IF(OR(A816="",B816="safety"),"",IF(ISBLANK(IF(A816=A815+1,F815,INDIRECT("template!"&amp;"D"&amp;A816-1))),"",IF(A816=A815+1,F815,INDIRECT("template!"&amp;"D"&amp;A816-1))))</f>
        <v>#REF!</v>
      </c>
      <c r="G816" t="e" cm="1">
        <f t="array" aca="1" ref="G816" ca="1">IF(OR(A816="",B816="safety"),"",IF(ISBLANK(INDIRECT("template!"&amp;"D"&amp;A816)),"",INDIRECT("template!"&amp;"D"&amp;A816)))</f>
        <v>#REF!</v>
      </c>
      <c r="H816" t="e" cm="1">
        <f t="array" aca="1" ref="H816" ca="1">IF(OR(A816="",B816="safety"),"",IF(ISBLANK(INDIRECT("template!"&amp;"E"&amp;A816)),"",INDIRECT("template!"&amp;"E"&amp;A816)))</f>
        <v>#REF!</v>
      </c>
      <c r="I816" t="e" cm="1">
        <f t="array" aca="1" ref="I816" ca="1">IF(OR(A816="",B816="safety"),"",IF(ISBLANK(INDIRECT("template!"&amp;"F"&amp;A816)),"",INDIRECT("template!"&amp;"F"&amp;A816)))</f>
        <v>#REF!</v>
      </c>
      <c r="J816" t="e" cm="1">
        <f t="array" aca="1" ref="J816" ca="1">IF(OR(A816="",B816="safety"),"",IF(ISBLANK(INDIRECT("template!"&amp;"G"&amp;A816)),"",INDIRECT("template!"&amp;"G"&amp;A816)))</f>
        <v>#REF!</v>
      </c>
      <c r="K816" t="e" cm="1">
        <f t="array" aca="1" ref="K816" ca="1">IF(OR(A816="",B816="safety"),"",IF(ISBLANK(INDIRECT("template!"&amp;"H"&amp;A816)),"",INDIRECT("template!"&amp;"H"&amp;A816)))</f>
        <v>#REF!</v>
      </c>
      <c r="L816" t="e" cm="1">
        <f t="array" aca="1" ref="L816" ca="1">IF(OR(A816="",B816="safety"),"",INDIRECT("template!"&amp;"I"&amp;A816))</f>
        <v>#REF!</v>
      </c>
      <c r="M816" t="e" cm="1">
        <f t="array" aca="1" ref="M816" ca="1">IF(OR(A816="",B816="safety"),"",INDIRECT("template!"&amp;"J"&amp;A816))</f>
        <v>#REF!</v>
      </c>
      <c r="N816" t="e" cm="1">
        <f t="array" aca="1" ref="N816" ca="1">IF(OR(A816="",B816="safety"),"",IF(ISBLANK(INDIRECT("template!"&amp;"K"&amp;A816)),"",INDIRECT("template!"&amp;"K"&amp;A816)))</f>
        <v>#REF!</v>
      </c>
      <c r="O816" t="e" cm="1">
        <f t="array" aca="1" ref="O816" ca="1">IF(OR(A816="",B816="safety"),"",INDIRECT("template!"&amp;"L"&amp;A816))</f>
        <v>#REF!</v>
      </c>
      <c r="P816" t="e" cm="1">
        <f t="array" aca="1" ref="P816" ca="1">IF(OR(A816="",B816="safety"),"",INDIRECT("template!"&amp;"M"&amp;A816))</f>
        <v>#REF!</v>
      </c>
      <c r="Q816" t="e">
        <f t="shared" ca="1" si="70"/>
        <v>#REF!</v>
      </c>
      <c r="R816" t="e">
        <f t="shared" ca="1" si="71"/>
        <v>#REF!</v>
      </c>
      <c r="S816" t="e">
        <f t="shared" ca="1" si="72"/>
        <v>#REF!</v>
      </c>
      <c r="T816" t="e">
        <f t="shared" ca="1" si="73"/>
        <v>#REF!</v>
      </c>
      <c r="U816" t="e" cm="1">
        <f t="array" aca="1" ref="U816" ca="1">IF(A816="","",IF(E816="","",IF(B816="safety",INDIRECT("template!"&amp;"P"&amp;A816),Q816+R816)))</f>
        <v>#REF!</v>
      </c>
      <c r="V816" t="e" cm="1">
        <f t="array" aca="1" ref="V816" ca="1">IF(A816="","",IF(E816="","",IF(B816="safety",INDIRECT("template!"&amp;"P"&amp;A816),S816+T816)))</f>
        <v>#REF!</v>
      </c>
      <c r="W816" t="e">
        <f ca="1">IF(A816="","",IF(E816="","",#REF!))</f>
        <v>#REF!</v>
      </c>
      <c r="X816" t="e">
        <f ca="1">IF(A816="","",IF(E816="","",#REF!))</f>
        <v>#REF!</v>
      </c>
      <c r="Y816" s="39" t="e">
        <f ca="1">IF(A816="","",IF(E816="","",#REF!))</f>
        <v>#REF!</v>
      </c>
      <c r="Z816" t="e">
        <f ca="1">IF(A816="","",IF(E816="","",#REF!))</f>
        <v>#REF!</v>
      </c>
      <c r="AA816" t="e">
        <f ca="1">IF(A816="","",IF(E816="","",#REF!))</f>
        <v>#REF!</v>
      </c>
      <c r="AB816" t="e">
        <f ca="1">IF(A816="","",IF(E816="","",#REF!))</f>
        <v>#REF!</v>
      </c>
      <c r="AC816" t="e">
        <f t="shared" ca="1" si="74"/>
        <v>#REF!</v>
      </c>
    </row>
    <row r="817" spans="1:29" x14ac:dyDescent="0.35">
      <c r="A817" t="e" cm="1">
        <f t="array" aca="1" ref="A817" ca="1">IF(A816="","",IF(OR(AND(A816+1&gt;=$AF$1,A816+1&lt;=$AF$2),AND(A816+1&gt;=$AF$6,A816+1&lt;=$AF$7),AND(A816+1&gt;=$AF$3,A816+1&lt;=$AF$4),AND(A816+1&gt;=$AF$8,A816+1&lt;=$AF$9),A816+1=$AF$5),IF(NOT(ISBLANK(INDIRECT("template!"&amp;"P"&amp;A816+1))),A816+1,IF(NOT(ISBLANK(INDIRECT("template!"&amp;"P"&amp;A816+2))),A816+2,A816+3)),IF(A816=$AF$2,$AF$3,IF(A816=$AF$4,$AF$5,IF(A816=$AF$5,$AF$6,IF(A816=$AF$7,$AF$8,""))))))</f>
        <v>#REF!</v>
      </c>
      <c r="B817" t="e">
        <f t="shared" ca="1" si="69"/>
        <v>#REF!</v>
      </c>
      <c r="C817" t="e" cm="1">
        <f t="array" aca="1" ref="C817" ca="1">IF(A817="","",IF(B817="safety","safety costs",INDIRECT("template!"&amp;"B"&amp;A817)))</f>
        <v>#REF!</v>
      </c>
      <c r="D817" t="e" cm="1">
        <f t="array" aca="1" ref="D817" ca="1">IF(OR(A817="",B817="safety"),"",INDIRECT("template!"&amp;"C"&amp;A817))</f>
        <v>#REF!</v>
      </c>
      <c r="E817" t="e" cm="1">
        <f t="array" aca="1" ref="E817" ca="1">IF(A817="","",IF(OR(A817=A816+1,A817=A816+2),E816,INDIRECT("template!"&amp;"D"&amp;A817-2)))</f>
        <v>#REF!</v>
      </c>
      <c r="F817" t="e" cm="1">
        <f t="array" aca="1" ref="F817" ca="1">IF(OR(A817="",B817="safety"),"",IF(ISBLANK(IF(A817=A816+1,F816,INDIRECT("template!"&amp;"D"&amp;A817-1))),"",IF(A817=A816+1,F816,INDIRECT("template!"&amp;"D"&amp;A817-1))))</f>
        <v>#REF!</v>
      </c>
      <c r="G817" t="e" cm="1">
        <f t="array" aca="1" ref="G817" ca="1">IF(OR(A817="",B817="safety"),"",IF(ISBLANK(INDIRECT("template!"&amp;"D"&amp;A817)),"",INDIRECT("template!"&amp;"D"&amp;A817)))</f>
        <v>#REF!</v>
      </c>
      <c r="H817" t="e" cm="1">
        <f t="array" aca="1" ref="H817" ca="1">IF(OR(A817="",B817="safety"),"",IF(ISBLANK(INDIRECT("template!"&amp;"E"&amp;A817)),"",INDIRECT("template!"&amp;"E"&amp;A817)))</f>
        <v>#REF!</v>
      </c>
      <c r="I817" t="e" cm="1">
        <f t="array" aca="1" ref="I817" ca="1">IF(OR(A817="",B817="safety"),"",IF(ISBLANK(INDIRECT("template!"&amp;"F"&amp;A817)),"",INDIRECT("template!"&amp;"F"&amp;A817)))</f>
        <v>#REF!</v>
      </c>
      <c r="J817" t="e" cm="1">
        <f t="array" aca="1" ref="J817" ca="1">IF(OR(A817="",B817="safety"),"",IF(ISBLANK(INDIRECT("template!"&amp;"G"&amp;A817)),"",INDIRECT("template!"&amp;"G"&amp;A817)))</f>
        <v>#REF!</v>
      </c>
      <c r="K817" t="e" cm="1">
        <f t="array" aca="1" ref="K817" ca="1">IF(OR(A817="",B817="safety"),"",IF(ISBLANK(INDIRECT("template!"&amp;"H"&amp;A817)),"",INDIRECT("template!"&amp;"H"&amp;A817)))</f>
        <v>#REF!</v>
      </c>
      <c r="L817" t="e" cm="1">
        <f t="array" aca="1" ref="L817" ca="1">IF(OR(A817="",B817="safety"),"",INDIRECT("template!"&amp;"I"&amp;A817))</f>
        <v>#REF!</v>
      </c>
      <c r="M817" t="e" cm="1">
        <f t="array" aca="1" ref="M817" ca="1">IF(OR(A817="",B817="safety"),"",INDIRECT("template!"&amp;"J"&amp;A817))</f>
        <v>#REF!</v>
      </c>
      <c r="N817" t="e" cm="1">
        <f t="array" aca="1" ref="N817" ca="1">IF(OR(A817="",B817="safety"),"",IF(ISBLANK(INDIRECT("template!"&amp;"K"&amp;A817)),"",INDIRECT("template!"&amp;"K"&amp;A817)))</f>
        <v>#REF!</v>
      </c>
      <c r="O817" t="e" cm="1">
        <f t="array" aca="1" ref="O817" ca="1">IF(OR(A817="",B817="safety"),"",INDIRECT("template!"&amp;"L"&amp;A817))</f>
        <v>#REF!</v>
      </c>
      <c r="P817" t="e" cm="1">
        <f t="array" aca="1" ref="P817" ca="1">IF(OR(A817="",B817="safety"),"",INDIRECT("template!"&amp;"M"&amp;A817))</f>
        <v>#REF!</v>
      </c>
      <c r="Q817" t="e">
        <f t="shared" ca="1" si="70"/>
        <v>#REF!</v>
      </c>
      <c r="R817" t="e">
        <f t="shared" ca="1" si="71"/>
        <v>#REF!</v>
      </c>
      <c r="S817" t="e">
        <f t="shared" ca="1" si="72"/>
        <v>#REF!</v>
      </c>
      <c r="T817" t="e">
        <f t="shared" ca="1" si="73"/>
        <v>#REF!</v>
      </c>
      <c r="U817" t="e" cm="1">
        <f t="array" aca="1" ref="U817" ca="1">IF(A817="","",IF(E817="","",IF(B817="safety",INDIRECT("template!"&amp;"P"&amp;A817),Q817+R817)))</f>
        <v>#REF!</v>
      </c>
      <c r="V817" t="e" cm="1">
        <f t="array" aca="1" ref="V817" ca="1">IF(A817="","",IF(E817="","",IF(B817="safety",INDIRECT("template!"&amp;"P"&amp;A817),S817+T817)))</f>
        <v>#REF!</v>
      </c>
      <c r="W817" t="e">
        <f ca="1">IF(A817="","",IF(E817="","",#REF!))</f>
        <v>#REF!</v>
      </c>
      <c r="X817" t="e">
        <f ca="1">IF(A817="","",IF(E817="","",#REF!))</f>
        <v>#REF!</v>
      </c>
      <c r="Y817" s="39" t="e">
        <f ca="1">IF(A817="","",IF(E817="","",#REF!))</f>
        <v>#REF!</v>
      </c>
      <c r="Z817" t="e">
        <f ca="1">IF(A817="","",IF(E817="","",#REF!))</f>
        <v>#REF!</v>
      </c>
      <c r="AA817" t="e">
        <f ca="1">IF(A817="","",IF(E817="","",#REF!))</f>
        <v>#REF!</v>
      </c>
      <c r="AB817" t="e">
        <f ca="1">IF(A817="","",IF(E817="","",#REF!))</f>
        <v>#REF!</v>
      </c>
      <c r="AC817" t="e">
        <f t="shared" ca="1" si="74"/>
        <v>#REF!</v>
      </c>
    </row>
    <row r="818" spans="1:29" x14ac:dyDescent="0.35">
      <c r="A818" t="e" cm="1">
        <f t="array" aca="1" ref="A818" ca="1">IF(A817="","",IF(OR(AND(A817+1&gt;=$AF$1,A817+1&lt;=$AF$2),AND(A817+1&gt;=$AF$6,A817+1&lt;=$AF$7),AND(A817+1&gt;=$AF$3,A817+1&lt;=$AF$4),AND(A817+1&gt;=$AF$8,A817+1&lt;=$AF$9),A817+1=$AF$5),IF(NOT(ISBLANK(INDIRECT("template!"&amp;"P"&amp;A817+1))),A817+1,IF(NOT(ISBLANK(INDIRECT("template!"&amp;"P"&amp;A817+2))),A817+2,A817+3)),IF(A817=$AF$2,$AF$3,IF(A817=$AF$4,$AF$5,IF(A817=$AF$5,$AF$6,IF(A817=$AF$7,$AF$8,""))))))</f>
        <v>#REF!</v>
      </c>
      <c r="B818" t="e">
        <f t="shared" ca="1" si="69"/>
        <v>#REF!</v>
      </c>
      <c r="C818" t="e" cm="1">
        <f t="array" aca="1" ref="C818" ca="1">IF(A818="","",IF(B818="safety","safety costs",INDIRECT("template!"&amp;"B"&amp;A818)))</f>
        <v>#REF!</v>
      </c>
      <c r="D818" t="e" cm="1">
        <f t="array" aca="1" ref="D818" ca="1">IF(OR(A818="",B818="safety"),"",INDIRECT("template!"&amp;"C"&amp;A818))</f>
        <v>#REF!</v>
      </c>
      <c r="E818" t="e" cm="1">
        <f t="array" aca="1" ref="E818" ca="1">IF(A818="","",IF(OR(A818=A817+1,A818=A817+2),E817,INDIRECT("template!"&amp;"D"&amp;A818-2)))</f>
        <v>#REF!</v>
      </c>
      <c r="F818" t="e" cm="1">
        <f t="array" aca="1" ref="F818" ca="1">IF(OR(A818="",B818="safety"),"",IF(ISBLANK(IF(A818=A817+1,F817,INDIRECT("template!"&amp;"D"&amp;A818-1))),"",IF(A818=A817+1,F817,INDIRECT("template!"&amp;"D"&amp;A818-1))))</f>
        <v>#REF!</v>
      </c>
      <c r="G818" t="e" cm="1">
        <f t="array" aca="1" ref="G818" ca="1">IF(OR(A818="",B818="safety"),"",IF(ISBLANK(INDIRECT("template!"&amp;"D"&amp;A818)),"",INDIRECT("template!"&amp;"D"&amp;A818)))</f>
        <v>#REF!</v>
      </c>
      <c r="H818" t="e" cm="1">
        <f t="array" aca="1" ref="H818" ca="1">IF(OR(A818="",B818="safety"),"",IF(ISBLANK(INDIRECT("template!"&amp;"E"&amp;A818)),"",INDIRECT("template!"&amp;"E"&amp;A818)))</f>
        <v>#REF!</v>
      </c>
      <c r="I818" t="e" cm="1">
        <f t="array" aca="1" ref="I818" ca="1">IF(OR(A818="",B818="safety"),"",IF(ISBLANK(INDIRECT("template!"&amp;"F"&amp;A818)),"",INDIRECT("template!"&amp;"F"&amp;A818)))</f>
        <v>#REF!</v>
      </c>
      <c r="J818" t="e" cm="1">
        <f t="array" aca="1" ref="J818" ca="1">IF(OR(A818="",B818="safety"),"",IF(ISBLANK(INDIRECT("template!"&amp;"G"&amp;A818)),"",INDIRECT("template!"&amp;"G"&amp;A818)))</f>
        <v>#REF!</v>
      </c>
      <c r="K818" t="e" cm="1">
        <f t="array" aca="1" ref="K818" ca="1">IF(OR(A818="",B818="safety"),"",IF(ISBLANK(INDIRECT("template!"&amp;"H"&amp;A818)),"",INDIRECT("template!"&amp;"H"&amp;A818)))</f>
        <v>#REF!</v>
      </c>
      <c r="L818" t="e" cm="1">
        <f t="array" aca="1" ref="L818" ca="1">IF(OR(A818="",B818="safety"),"",INDIRECT("template!"&amp;"I"&amp;A818))</f>
        <v>#REF!</v>
      </c>
      <c r="M818" t="e" cm="1">
        <f t="array" aca="1" ref="M818" ca="1">IF(OR(A818="",B818="safety"),"",INDIRECT("template!"&amp;"J"&amp;A818))</f>
        <v>#REF!</v>
      </c>
      <c r="N818" t="e" cm="1">
        <f t="array" aca="1" ref="N818" ca="1">IF(OR(A818="",B818="safety"),"",IF(ISBLANK(INDIRECT("template!"&amp;"K"&amp;A818)),"",INDIRECT("template!"&amp;"K"&amp;A818)))</f>
        <v>#REF!</v>
      </c>
      <c r="O818" t="e" cm="1">
        <f t="array" aca="1" ref="O818" ca="1">IF(OR(A818="",B818="safety"),"",INDIRECT("template!"&amp;"L"&amp;A818))</f>
        <v>#REF!</v>
      </c>
      <c r="P818" t="e" cm="1">
        <f t="array" aca="1" ref="P818" ca="1">IF(OR(A818="",B818="safety"),"",INDIRECT("template!"&amp;"M"&amp;A818))</f>
        <v>#REF!</v>
      </c>
      <c r="Q818" t="e">
        <f t="shared" ca="1" si="70"/>
        <v>#REF!</v>
      </c>
      <c r="R818" t="e">
        <f t="shared" ca="1" si="71"/>
        <v>#REF!</v>
      </c>
      <c r="S818" t="e">
        <f t="shared" ca="1" si="72"/>
        <v>#REF!</v>
      </c>
      <c r="T818" t="e">
        <f t="shared" ca="1" si="73"/>
        <v>#REF!</v>
      </c>
      <c r="U818" t="e" cm="1">
        <f t="array" aca="1" ref="U818" ca="1">IF(A818="","",IF(E818="","",IF(B818="safety",INDIRECT("template!"&amp;"P"&amp;A818),Q818+R818)))</f>
        <v>#REF!</v>
      </c>
      <c r="V818" t="e" cm="1">
        <f t="array" aca="1" ref="V818" ca="1">IF(A818="","",IF(E818="","",IF(B818="safety",INDIRECT("template!"&amp;"P"&amp;A818),S818+T818)))</f>
        <v>#REF!</v>
      </c>
      <c r="W818" t="e">
        <f ca="1">IF(A818="","",IF(E818="","",#REF!))</f>
        <v>#REF!</v>
      </c>
      <c r="X818" t="e">
        <f ca="1">IF(A818="","",IF(E818="","",#REF!))</f>
        <v>#REF!</v>
      </c>
      <c r="Y818" s="39" t="e">
        <f ca="1">IF(A818="","",IF(E818="","",#REF!))</f>
        <v>#REF!</v>
      </c>
      <c r="Z818" t="e">
        <f ca="1">IF(A818="","",IF(E818="","",#REF!))</f>
        <v>#REF!</v>
      </c>
      <c r="AA818" t="e">
        <f ca="1">IF(A818="","",IF(E818="","",#REF!))</f>
        <v>#REF!</v>
      </c>
      <c r="AB818" t="e">
        <f ca="1">IF(A818="","",IF(E818="","",#REF!))</f>
        <v>#REF!</v>
      </c>
      <c r="AC818" t="e">
        <f t="shared" ca="1" si="74"/>
        <v>#REF!</v>
      </c>
    </row>
    <row r="819" spans="1:29" x14ac:dyDescent="0.35">
      <c r="A819" t="e" cm="1">
        <f t="array" aca="1" ref="A819" ca="1">IF(A818="","",IF(OR(AND(A818+1&gt;=$AF$1,A818+1&lt;=$AF$2),AND(A818+1&gt;=$AF$6,A818+1&lt;=$AF$7),AND(A818+1&gt;=$AF$3,A818+1&lt;=$AF$4),AND(A818+1&gt;=$AF$8,A818+1&lt;=$AF$9),A818+1=$AF$5),IF(NOT(ISBLANK(INDIRECT("template!"&amp;"P"&amp;A818+1))),A818+1,IF(NOT(ISBLANK(INDIRECT("template!"&amp;"P"&amp;A818+2))),A818+2,A818+3)),IF(A818=$AF$2,$AF$3,IF(A818=$AF$4,$AF$5,IF(A818=$AF$5,$AF$6,IF(A818=$AF$7,$AF$8,""))))))</f>
        <v>#REF!</v>
      </c>
      <c r="B819" t="e">
        <f t="shared" ca="1" si="69"/>
        <v>#REF!</v>
      </c>
      <c r="C819" t="e" cm="1">
        <f t="array" aca="1" ref="C819" ca="1">IF(A819="","",IF(B819="safety","safety costs",INDIRECT("template!"&amp;"B"&amp;A819)))</f>
        <v>#REF!</v>
      </c>
      <c r="D819" t="e" cm="1">
        <f t="array" aca="1" ref="D819" ca="1">IF(OR(A819="",B819="safety"),"",INDIRECT("template!"&amp;"C"&amp;A819))</f>
        <v>#REF!</v>
      </c>
      <c r="E819" t="e" cm="1">
        <f t="array" aca="1" ref="E819" ca="1">IF(A819="","",IF(OR(A819=A818+1,A819=A818+2),E818,INDIRECT("template!"&amp;"D"&amp;A819-2)))</f>
        <v>#REF!</v>
      </c>
      <c r="F819" t="e" cm="1">
        <f t="array" aca="1" ref="F819" ca="1">IF(OR(A819="",B819="safety"),"",IF(ISBLANK(IF(A819=A818+1,F818,INDIRECT("template!"&amp;"D"&amp;A819-1))),"",IF(A819=A818+1,F818,INDIRECT("template!"&amp;"D"&amp;A819-1))))</f>
        <v>#REF!</v>
      </c>
      <c r="G819" t="e" cm="1">
        <f t="array" aca="1" ref="G819" ca="1">IF(OR(A819="",B819="safety"),"",IF(ISBLANK(INDIRECT("template!"&amp;"D"&amp;A819)),"",INDIRECT("template!"&amp;"D"&amp;A819)))</f>
        <v>#REF!</v>
      </c>
      <c r="H819" t="e" cm="1">
        <f t="array" aca="1" ref="H819" ca="1">IF(OR(A819="",B819="safety"),"",IF(ISBLANK(INDIRECT("template!"&amp;"E"&amp;A819)),"",INDIRECT("template!"&amp;"E"&amp;A819)))</f>
        <v>#REF!</v>
      </c>
      <c r="I819" t="e" cm="1">
        <f t="array" aca="1" ref="I819" ca="1">IF(OR(A819="",B819="safety"),"",IF(ISBLANK(INDIRECT("template!"&amp;"F"&amp;A819)),"",INDIRECT("template!"&amp;"F"&amp;A819)))</f>
        <v>#REF!</v>
      </c>
      <c r="J819" t="e" cm="1">
        <f t="array" aca="1" ref="J819" ca="1">IF(OR(A819="",B819="safety"),"",IF(ISBLANK(INDIRECT("template!"&amp;"G"&amp;A819)),"",INDIRECT("template!"&amp;"G"&amp;A819)))</f>
        <v>#REF!</v>
      </c>
      <c r="K819" t="e" cm="1">
        <f t="array" aca="1" ref="K819" ca="1">IF(OR(A819="",B819="safety"),"",IF(ISBLANK(INDIRECT("template!"&amp;"H"&amp;A819)),"",INDIRECT("template!"&amp;"H"&amp;A819)))</f>
        <v>#REF!</v>
      </c>
      <c r="L819" t="e" cm="1">
        <f t="array" aca="1" ref="L819" ca="1">IF(OR(A819="",B819="safety"),"",INDIRECT("template!"&amp;"I"&amp;A819))</f>
        <v>#REF!</v>
      </c>
      <c r="M819" t="e" cm="1">
        <f t="array" aca="1" ref="M819" ca="1">IF(OR(A819="",B819="safety"),"",INDIRECT("template!"&amp;"J"&amp;A819))</f>
        <v>#REF!</v>
      </c>
      <c r="N819" t="e" cm="1">
        <f t="array" aca="1" ref="N819" ca="1">IF(OR(A819="",B819="safety"),"",IF(ISBLANK(INDIRECT("template!"&amp;"K"&amp;A819)),"",INDIRECT("template!"&amp;"K"&amp;A819)))</f>
        <v>#REF!</v>
      </c>
      <c r="O819" t="e" cm="1">
        <f t="array" aca="1" ref="O819" ca="1">IF(OR(A819="",B819="safety"),"",INDIRECT("template!"&amp;"L"&amp;A819))</f>
        <v>#REF!</v>
      </c>
      <c r="P819" t="e" cm="1">
        <f t="array" aca="1" ref="P819" ca="1">IF(OR(A819="",B819="safety"),"",INDIRECT("template!"&amp;"M"&amp;A819))</f>
        <v>#REF!</v>
      </c>
      <c r="Q819" t="e">
        <f t="shared" ca="1" si="70"/>
        <v>#REF!</v>
      </c>
      <c r="R819" t="e">
        <f t="shared" ca="1" si="71"/>
        <v>#REF!</v>
      </c>
      <c r="S819" t="e">
        <f t="shared" ca="1" si="72"/>
        <v>#REF!</v>
      </c>
      <c r="T819" t="e">
        <f t="shared" ca="1" si="73"/>
        <v>#REF!</v>
      </c>
      <c r="U819" t="e" cm="1">
        <f t="array" aca="1" ref="U819" ca="1">IF(A819="","",IF(E819="","",IF(B819="safety",INDIRECT("template!"&amp;"P"&amp;A819),Q819+R819)))</f>
        <v>#REF!</v>
      </c>
      <c r="V819" t="e" cm="1">
        <f t="array" aca="1" ref="V819" ca="1">IF(A819="","",IF(E819="","",IF(B819="safety",INDIRECT("template!"&amp;"P"&amp;A819),S819+T819)))</f>
        <v>#REF!</v>
      </c>
      <c r="W819" t="e">
        <f ca="1">IF(A819="","",IF(E819="","",#REF!))</f>
        <v>#REF!</v>
      </c>
      <c r="X819" t="e">
        <f ca="1">IF(A819="","",IF(E819="","",#REF!))</f>
        <v>#REF!</v>
      </c>
      <c r="Y819" s="39" t="e">
        <f ca="1">IF(A819="","",IF(E819="","",#REF!))</f>
        <v>#REF!</v>
      </c>
      <c r="Z819" t="e">
        <f ca="1">IF(A819="","",IF(E819="","",#REF!))</f>
        <v>#REF!</v>
      </c>
      <c r="AA819" t="e">
        <f ca="1">IF(A819="","",IF(E819="","",#REF!))</f>
        <v>#REF!</v>
      </c>
      <c r="AB819" t="e">
        <f ca="1">IF(A819="","",IF(E819="","",#REF!))</f>
        <v>#REF!</v>
      </c>
      <c r="AC819" t="e">
        <f t="shared" ca="1" si="74"/>
        <v>#REF!</v>
      </c>
    </row>
    <row r="820" spans="1:29" x14ac:dyDescent="0.35">
      <c r="A820" t="e" cm="1">
        <f t="array" aca="1" ref="A820" ca="1">IF(A819="","",IF(OR(AND(A819+1&gt;=$AF$1,A819+1&lt;=$AF$2),AND(A819+1&gt;=$AF$6,A819+1&lt;=$AF$7),AND(A819+1&gt;=$AF$3,A819+1&lt;=$AF$4),AND(A819+1&gt;=$AF$8,A819+1&lt;=$AF$9),A819+1=$AF$5),IF(NOT(ISBLANK(INDIRECT("template!"&amp;"P"&amp;A819+1))),A819+1,IF(NOT(ISBLANK(INDIRECT("template!"&amp;"P"&amp;A819+2))),A819+2,A819+3)),IF(A819=$AF$2,$AF$3,IF(A819=$AF$4,$AF$5,IF(A819=$AF$5,$AF$6,IF(A819=$AF$7,$AF$8,""))))))</f>
        <v>#REF!</v>
      </c>
      <c r="B820" t="e">
        <f t="shared" ca="1" si="69"/>
        <v>#REF!</v>
      </c>
      <c r="C820" t="e" cm="1">
        <f t="array" aca="1" ref="C820" ca="1">IF(A820="","",IF(B820="safety","safety costs",INDIRECT("template!"&amp;"B"&amp;A820)))</f>
        <v>#REF!</v>
      </c>
      <c r="D820" t="e" cm="1">
        <f t="array" aca="1" ref="D820" ca="1">IF(OR(A820="",B820="safety"),"",INDIRECT("template!"&amp;"C"&amp;A820))</f>
        <v>#REF!</v>
      </c>
      <c r="E820" t="e" cm="1">
        <f t="array" aca="1" ref="E820" ca="1">IF(A820="","",IF(OR(A820=A819+1,A820=A819+2),E819,INDIRECT("template!"&amp;"D"&amp;A820-2)))</f>
        <v>#REF!</v>
      </c>
      <c r="F820" t="e" cm="1">
        <f t="array" aca="1" ref="F820" ca="1">IF(OR(A820="",B820="safety"),"",IF(ISBLANK(IF(A820=A819+1,F819,INDIRECT("template!"&amp;"D"&amp;A820-1))),"",IF(A820=A819+1,F819,INDIRECT("template!"&amp;"D"&amp;A820-1))))</f>
        <v>#REF!</v>
      </c>
      <c r="G820" t="e" cm="1">
        <f t="array" aca="1" ref="G820" ca="1">IF(OR(A820="",B820="safety"),"",IF(ISBLANK(INDIRECT("template!"&amp;"D"&amp;A820)),"",INDIRECT("template!"&amp;"D"&amp;A820)))</f>
        <v>#REF!</v>
      </c>
      <c r="H820" t="e" cm="1">
        <f t="array" aca="1" ref="H820" ca="1">IF(OR(A820="",B820="safety"),"",IF(ISBLANK(INDIRECT("template!"&amp;"E"&amp;A820)),"",INDIRECT("template!"&amp;"E"&amp;A820)))</f>
        <v>#REF!</v>
      </c>
      <c r="I820" t="e" cm="1">
        <f t="array" aca="1" ref="I820" ca="1">IF(OR(A820="",B820="safety"),"",IF(ISBLANK(INDIRECT("template!"&amp;"F"&amp;A820)),"",INDIRECT("template!"&amp;"F"&amp;A820)))</f>
        <v>#REF!</v>
      </c>
      <c r="J820" t="e" cm="1">
        <f t="array" aca="1" ref="J820" ca="1">IF(OR(A820="",B820="safety"),"",IF(ISBLANK(INDIRECT("template!"&amp;"G"&amp;A820)),"",INDIRECT("template!"&amp;"G"&amp;A820)))</f>
        <v>#REF!</v>
      </c>
      <c r="K820" t="e" cm="1">
        <f t="array" aca="1" ref="K820" ca="1">IF(OR(A820="",B820="safety"),"",IF(ISBLANK(INDIRECT("template!"&amp;"H"&amp;A820)),"",INDIRECT("template!"&amp;"H"&amp;A820)))</f>
        <v>#REF!</v>
      </c>
      <c r="L820" t="e" cm="1">
        <f t="array" aca="1" ref="L820" ca="1">IF(OR(A820="",B820="safety"),"",INDIRECT("template!"&amp;"I"&amp;A820))</f>
        <v>#REF!</v>
      </c>
      <c r="M820" t="e" cm="1">
        <f t="array" aca="1" ref="M820" ca="1">IF(OR(A820="",B820="safety"),"",INDIRECT("template!"&amp;"J"&amp;A820))</f>
        <v>#REF!</v>
      </c>
      <c r="N820" t="e" cm="1">
        <f t="array" aca="1" ref="N820" ca="1">IF(OR(A820="",B820="safety"),"",IF(ISBLANK(INDIRECT("template!"&amp;"K"&amp;A820)),"",INDIRECT("template!"&amp;"K"&amp;A820)))</f>
        <v>#REF!</v>
      </c>
      <c r="O820" t="e" cm="1">
        <f t="array" aca="1" ref="O820" ca="1">IF(OR(A820="",B820="safety"),"",INDIRECT("template!"&amp;"L"&amp;A820))</f>
        <v>#REF!</v>
      </c>
      <c r="P820" t="e" cm="1">
        <f t="array" aca="1" ref="P820" ca="1">IF(OR(A820="",B820="safety"),"",INDIRECT("template!"&amp;"M"&amp;A820))</f>
        <v>#REF!</v>
      </c>
      <c r="Q820" t="e">
        <f t="shared" ca="1" si="70"/>
        <v>#REF!</v>
      </c>
      <c r="R820" t="e">
        <f t="shared" ca="1" si="71"/>
        <v>#REF!</v>
      </c>
      <c r="S820" t="e">
        <f t="shared" ca="1" si="72"/>
        <v>#REF!</v>
      </c>
      <c r="T820" t="e">
        <f t="shared" ca="1" si="73"/>
        <v>#REF!</v>
      </c>
      <c r="U820" t="e" cm="1">
        <f t="array" aca="1" ref="U820" ca="1">IF(A820="","",IF(E820="","",IF(B820="safety",INDIRECT("template!"&amp;"P"&amp;A820),Q820+R820)))</f>
        <v>#REF!</v>
      </c>
      <c r="V820" t="e" cm="1">
        <f t="array" aca="1" ref="V820" ca="1">IF(A820="","",IF(E820="","",IF(B820="safety",INDIRECT("template!"&amp;"P"&amp;A820),S820+T820)))</f>
        <v>#REF!</v>
      </c>
      <c r="W820" t="e">
        <f ca="1">IF(A820="","",IF(E820="","",#REF!))</f>
        <v>#REF!</v>
      </c>
      <c r="X820" t="e">
        <f ca="1">IF(A820="","",IF(E820="","",#REF!))</f>
        <v>#REF!</v>
      </c>
      <c r="Y820" s="39" t="e">
        <f ca="1">IF(A820="","",IF(E820="","",#REF!))</f>
        <v>#REF!</v>
      </c>
      <c r="Z820" t="e">
        <f ca="1">IF(A820="","",IF(E820="","",#REF!))</f>
        <v>#REF!</v>
      </c>
      <c r="AA820" t="e">
        <f ca="1">IF(A820="","",IF(E820="","",#REF!))</f>
        <v>#REF!</v>
      </c>
      <c r="AB820" t="e">
        <f ca="1">IF(A820="","",IF(E820="","",#REF!))</f>
        <v>#REF!</v>
      </c>
      <c r="AC820" t="e">
        <f t="shared" ca="1" si="74"/>
        <v>#REF!</v>
      </c>
    </row>
    <row r="821" spans="1:29" x14ac:dyDescent="0.35">
      <c r="A821" t="e" cm="1">
        <f t="array" aca="1" ref="A821" ca="1">IF(A820="","",IF(OR(AND(A820+1&gt;=$AF$1,A820+1&lt;=$AF$2),AND(A820+1&gt;=$AF$6,A820+1&lt;=$AF$7),AND(A820+1&gt;=$AF$3,A820+1&lt;=$AF$4),AND(A820+1&gt;=$AF$8,A820+1&lt;=$AF$9),A820+1=$AF$5),IF(NOT(ISBLANK(INDIRECT("template!"&amp;"P"&amp;A820+1))),A820+1,IF(NOT(ISBLANK(INDIRECT("template!"&amp;"P"&amp;A820+2))),A820+2,A820+3)),IF(A820=$AF$2,$AF$3,IF(A820=$AF$4,$AF$5,IF(A820=$AF$5,$AF$6,IF(A820=$AF$7,$AF$8,""))))))</f>
        <v>#REF!</v>
      </c>
      <c r="B821" t="e">
        <f t="shared" ca="1" si="69"/>
        <v>#REF!</v>
      </c>
      <c r="C821" t="e" cm="1">
        <f t="array" aca="1" ref="C821" ca="1">IF(A821="","",IF(B821="safety","safety costs",INDIRECT("template!"&amp;"B"&amp;A821)))</f>
        <v>#REF!</v>
      </c>
      <c r="D821" t="e" cm="1">
        <f t="array" aca="1" ref="D821" ca="1">IF(OR(A821="",B821="safety"),"",INDIRECT("template!"&amp;"C"&amp;A821))</f>
        <v>#REF!</v>
      </c>
      <c r="E821" t="e" cm="1">
        <f t="array" aca="1" ref="E821" ca="1">IF(A821="","",IF(OR(A821=A820+1,A821=A820+2),E820,INDIRECT("template!"&amp;"D"&amp;A821-2)))</f>
        <v>#REF!</v>
      </c>
      <c r="F821" t="e" cm="1">
        <f t="array" aca="1" ref="F821" ca="1">IF(OR(A821="",B821="safety"),"",IF(ISBLANK(IF(A821=A820+1,F820,INDIRECT("template!"&amp;"D"&amp;A821-1))),"",IF(A821=A820+1,F820,INDIRECT("template!"&amp;"D"&amp;A821-1))))</f>
        <v>#REF!</v>
      </c>
      <c r="G821" t="e" cm="1">
        <f t="array" aca="1" ref="G821" ca="1">IF(OR(A821="",B821="safety"),"",IF(ISBLANK(INDIRECT("template!"&amp;"D"&amp;A821)),"",INDIRECT("template!"&amp;"D"&amp;A821)))</f>
        <v>#REF!</v>
      </c>
      <c r="H821" t="e" cm="1">
        <f t="array" aca="1" ref="H821" ca="1">IF(OR(A821="",B821="safety"),"",IF(ISBLANK(INDIRECT("template!"&amp;"E"&amp;A821)),"",INDIRECT("template!"&amp;"E"&amp;A821)))</f>
        <v>#REF!</v>
      </c>
      <c r="I821" t="e" cm="1">
        <f t="array" aca="1" ref="I821" ca="1">IF(OR(A821="",B821="safety"),"",IF(ISBLANK(INDIRECT("template!"&amp;"F"&amp;A821)),"",INDIRECT("template!"&amp;"F"&amp;A821)))</f>
        <v>#REF!</v>
      </c>
      <c r="J821" t="e" cm="1">
        <f t="array" aca="1" ref="J821" ca="1">IF(OR(A821="",B821="safety"),"",IF(ISBLANK(INDIRECT("template!"&amp;"G"&amp;A821)),"",INDIRECT("template!"&amp;"G"&amp;A821)))</f>
        <v>#REF!</v>
      </c>
      <c r="K821" t="e" cm="1">
        <f t="array" aca="1" ref="K821" ca="1">IF(OR(A821="",B821="safety"),"",IF(ISBLANK(INDIRECT("template!"&amp;"H"&amp;A821)),"",INDIRECT("template!"&amp;"H"&amp;A821)))</f>
        <v>#REF!</v>
      </c>
      <c r="L821" t="e" cm="1">
        <f t="array" aca="1" ref="L821" ca="1">IF(OR(A821="",B821="safety"),"",INDIRECT("template!"&amp;"I"&amp;A821))</f>
        <v>#REF!</v>
      </c>
      <c r="M821" t="e" cm="1">
        <f t="array" aca="1" ref="M821" ca="1">IF(OR(A821="",B821="safety"),"",INDIRECT("template!"&amp;"J"&amp;A821))</f>
        <v>#REF!</v>
      </c>
      <c r="N821" t="e" cm="1">
        <f t="array" aca="1" ref="N821" ca="1">IF(OR(A821="",B821="safety"),"",IF(ISBLANK(INDIRECT("template!"&amp;"K"&amp;A821)),"",INDIRECT("template!"&amp;"K"&amp;A821)))</f>
        <v>#REF!</v>
      </c>
      <c r="O821" t="e" cm="1">
        <f t="array" aca="1" ref="O821" ca="1">IF(OR(A821="",B821="safety"),"",INDIRECT("template!"&amp;"L"&amp;A821))</f>
        <v>#REF!</v>
      </c>
      <c r="P821" t="e" cm="1">
        <f t="array" aca="1" ref="P821" ca="1">IF(OR(A821="",B821="safety"),"",INDIRECT("template!"&amp;"M"&amp;A821))</f>
        <v>#REF!</v>
      </c>
      <c r="Q821" t="e">
        <f t="shared" ca="1" si="70"/>
        <v>#REF!</v>
      </c>
      <c r="R821" t="e">
        <f t="shared" ca="1" si="71"/>
        <v>#REF!</v>
      </c>
      <c r="S821" t="e">
        <f t="shared" ca="1" si="72"/>
        <v>#REF!</v>
      </c>
      <c r="T821" t="e">
        <f t="shared" ca="1" si="73"/>
        <v>#REF!</v>
      </c>
      <c r="U821" t="e" cm="1">
        <f t="array" aca="1" ref="U821" ca="1">IF(A821="","",IF(E821="","",IF(B821="safety",INDIRECT("template!"&amp;"P"&amp;A821),Q821+R821)))</f>
        <v>#REF!</v>
      </c>
      <c r="V821" t="e" cm="1">
        <f t="array" aca="1" ref="V821" ca="1">IF(A821="","",IF(E821="","",IF(B821="safety",INDIRECT("template!"&amp;"P"&amp;A821),S821+T821)))</f>
        <v>#REF!</v>
      </c>
      <c r="W821" t="e">
        <f ca="1">IF(A821="","",IF(E821="","",#REF!))</f>
        <v>#REF!</v>
      </c>
      <c r="X821" t="e">
        <f ca="1">IF(A821="","",IF(E821="","",#REF!))</f>
        <v>#REF!</v>
      </c>
      <c r="Y821" s="39" t="e">
        <f ca="1">IF(A821="","",IF(E821="","",#REF!))</f>
        <v>#REF!</v>
      </c>
      <c r="Z821" t="e">
        <f ca="1">IF(A821="","",IF(E821="","",#REF!))</f>
        <v>#REF!</v>
      </c>
      <c r="AA821" t="e">
        <f ca="1">IF(A821="","",IF(E821="","",#REF!))</f>
        <v>#REF!</v>
      </c>
      <c r="AB821" t="e">
        <f ca="1">IF(A821="","",IF(E821="","",#REF!))</f>
        <v>#REF!</v>
      </c>
      <c r="AC821" t="e">
        <f t="shared" ca="1" si="74"/>
        <v>#REF!</v>
      </c>
    </row>
    <row r="822" spans="1:29" x14ac:dyDescent="0.35">
      <c r="A822" t="e" cm="1">
        <f t="array" aca="1" ref="A822" ca="1">IF(A821="","",IF(OR(AND(A821+1&gt;=$AF$1,A821+1&lt;=$AF$2),AND(A821+1&gt;=$AF$6,A821+1&lt;=$AF$7),AND(A821+1&gt;=$AF$3,A821+1&lt;=$AF$4),AND(A821+1&gt;=$AF$8,A821+1&lt;=$AF$9),A821+1=$AF$5),IF(NOT(ISBLANK(INDIRECT("template!"&amp;"P"&amp;A821+1))),A821+1,IF(NOT(ISBLANK(INDIRECT("template!"&amp;"P"&amp;A821+2))),A821+2,A821+3)),IF(A821=$AF$2,$AF$3,IF(A821=$AF$4,$AF$5,IF(A821=$AF$5,$AF$6,IF(A821=$AF$7,$AF$8,""))))))</f>
        <v>#REF!</v>
      </c>
      <c r="B822" t="e">
        <f t="shared" ca="1" si="69"/>
        <v>#REF!</v>
      </c>
      <c r="C822" t="e" cm="1">
        <f t="array" aca="1" ref="C822" ca="1">IF(A822="","",IF(B822="safety","safety costs",INDIRECT("template!"&amp;"B"&amp;A822)))</f>
        <v>#REF!</v>
      </c>
      <c r="D822" t="e" cm="1">
        <f t="array" aca="1" ref="D822" ca="1">IF(OR(A822="",B822="safety"),"",INDIRECT("template!"&amp;"C"&amp;A822))</f>
        <v>#REF!</v>
      </c>
      <c r="E822" t="e" cm="1">
        <f t="array" aca="1" ref="E822" ca="1">IF(A822="","",IF(OR(A822=A821+1,A822=A821+2),E821,INDIRECT("template!"&amp;"D"&amp;A822-2)))</f>
        <v>#REF!</v>
      </c>
      <c r="F822" t="e" cm="1">
        <f t="array" aca="1" ref="F822" ca="1">IF(OR(A822="",B822="safety"),"",IF(ISBLANK(IF(A822=A821+1,F821,INDIRECT("template!"&amp;"D"&amp;A822-1))),"",IF(A822=A821+1,F821,INDIRECT("template!"&amp;"D"&amp;A822-1))))</f>
        <v>#REF!</v>
      </c>
      <c r="G822" t="e" cm="1">
        <f t="array" aca="1" ref="G822" ca="1">IF(OR(A822="",B822="safety"),"",IF(ISBLANK(INDIRECT("template!"&amp;"D"&amp;A822)),"",INDIRECT("template!"&amp;"D"&amp;A822)))</f>
        <v>#REF!</v>
      </c>
      <c r="H822" t="e" cm="1">
        <f t="array" aca="1" ref="H822" ca="1">IF(OR(A822="",B822="safety"),"",IF(ISBLANK(INDIRECT("template!"&amp;"E"&amp;A822)),"",INDIRECT("template!"&amp;"E"&amp;A822)))</f>
        <v>#REF!</v>
      </c>
      <c r="I822" t="e" cm="1">
        <f t="array" aca="1" ref="I822" ca="1">IF(OR(A822="",B822="safety"),"",IF(ISBLANK(INDIRECT("template!"&amp;"F"&amp;A822)),"",INDIRECT("template!"&amp;"F"&amp;A822)))</f>
        <v>#REF!</v>
      </c>
      <c r="J822" t="e" cm="1">
        <f t="array" aca="1" ref="J822" ca="1">IF(OR(A822="",B822="safety"),"",IF(ISBLANK(INDIRECT("template!"&amp;"G"&amp;A822)),"",INDIRECT("template!"&amp;"G"&amp;A822)))</f>
        <v>#REF!</v>
      </c>
      <c r="K822" t="e" cm="1">
        <f t="array" aca="1" ref="K822" ca="1">IF(OR(A822="",B822="safety"),"",IF(ISBLANK(INDIRECT("template!"&amp;"H"&amp;A822)),"",INDIRECT("template!"&amp;"H"&amp;A822)))</f>
        <v>#REF!</v>
      </c>
      <c r="L822" t="e" cm="1">
        <f t="array" aca="1" ref="L822" ca="1">IF(OR(A822="",B822="safety"),"",INDIRECT("template!"&amp;"I"&amp;A822))</f>
        <v>#REF!</v>
      </c>
      <c r="M822" t="e" cm="1">
        <f t="array" aca="1" ref="M822" ca="1">IF(OR(A822="",B822="safety"),"",INDIRECT("template!"&amp;"J"&amp;A822))</f>
        <v>#REF!</v>
      </c>
      <c r="N822" t="e" cm="1">
        <f t="array" aca="1" ref="N822" ca="1">IF(OR(A822="",B822="safety"),"",IF(ISBLANK(INDIRECT("template!"&amp;"K"&amp;A822)),"",INDIRECT("template!"&amp;"K"&amp;A822)))</f>
        <v>#REF!</v>
      </c>
      <c r="O822" t="e" cm="1">
        <f t="array" aca="1" ref="O822" ca="1">IF(OR(A822="",B822="safety"),"",INDIRECT("template!"&amp;"L"&amp;A822))</f>
        <v>#REF!</v>
      </c>
      <c r="P822" t="e" cm="1">
        <f t="array" aca="1" ref="P822" ca="1">IF(OR(A822="",B822="safety"),"",INDIRECT("template!"&amp;"M"&amp;A822))</f>
        <v>#REF!</v>
      </c>
      <c r="Q822" t="e">
        <f t="shared" ca="1" si="70"/>
        <v>#REF!</v>
      </c>
      <c r="R822" t="e">
        <f t="shared" ca="1" si="71"/>
        <v>#REF!</v>
      </c>
      <c r="S822" t="e">
        <f t="shared" ca="1" si="72"/>
        <v>#REF!</v>
      </c>
      <c r="T822" t="e">
        <f t="shared" ca="1" si="73"/>
        <v>#REF!</v>
      </c>
      <c r="U822" t="e" cm="1">
        <f t="array" aca="1" ref="U822" ca="1">IF(A822="","",IF(E822="","",IF(B822="safety",INDIRECT("template!"&amp;"P"&amp;A822),Q822+R822)))</f>
        <v>#REF!</v>
      </c>
      <c r="V822" t="e" cm="1">
        <f t="array" aca="1" ref="V822" ca="1">IF(A822="","",IF(E822="","",IF(B822="safety",INDIRECT("template!"&amp;"P"&amp;A822),S822+T822)))</f>
        <v>#REF!</v>
      </c>
      <c r="W822" t="e">
        <f ca="1">IF(A822="","",IF(E822="","",#REF!))</f>
        <v>#REF!</v>
      </c>
      <c r="X822" t="e">
        <f ca="1">IF(A822="","",IF(E822="","",#REF!))</f>
        <v>#REF!</v>
      </c>
      <c r="Y822" s="39" t="e">
        <f ca="1">IF(A822="","",IF(E822="","",#REF!))</f>
        <v>#REF!</v>
      </c>
      <c r="Z822" t="e">
        <f ca="1">IF(A822="","",IF(E822="","",#REF!))</f>
        <v>#REF!</v>
      </c>
      <c r="AA822" t="e">
        <f ca="1">IF(A822="","",IF(E822="","",#REF!))</f>
        <v>#REF!</v>
      </c>
      <c r="AB822" t="e">
        <f ca="1">IF(A822="","",IF(E822="","",#REF!))</f>
        <v>#REF!</v>
      </c>
      <c r="AC822" t="e">
        <f t="shared" ca="1" si="74"/>
        <v>#REF!</v>
      </c>
    </row>
    <row r="823" spans="1:29" x14ac:dyDescent="0.35">
      <c r="A823" t="e" cm="1">
        <f t="array" aca="1" ref="A823" ca="1">IF(A822="","",IF(OR(AND(A822+1&gt;=$AF$1,A822+1&lt;=$AF$2),AND(A822+1&gt;=$AF$6,A822+1&lt;=$AF$7),AND(A822+1&gt;=$AF$3,A822+1&lt;=$AF$4),AND(A822+1&gt;=$AF$8,A822+1&lt;=$AF$9),A822+1=$AF$5),IF(NOT(ISBLANK(INDIRECT("template!"&amp;"P"&amp;A822+1))),A822+1,IF(NOT(ISBLANK(INDIRECT("template!"&amp;"P"&amp;A822+2))),A822+2,A822+3)),IF(A822=$AF$2,$AF$3,IF(A822=$AF$4,$AF$5,IF(A822=$AF$5,$AF$6,IF(A822=$AF$7,$AF$8,""))))))</f>
        <v>#REF!</v>
      </c>
      <c r="B823" t="e">
        <f t="shared" ca="1" si="69"/>
        <v>#REF!</v>
      </c>
      <c r="C823" t="e" cm="1">
        <f t="array" aca="1" ref="C823" ca="1">IF(A823="","",IF(B823="safety","safety costs",INDIRECT("template!"&amp;"B"&amp;A823)))</f>
        <v>#REF!</v>
      </c>
      <c r="D823" t="e" cm="1">
        <f t="array" aca="1" ref="D823" ca="1">IF(OR(A823="",B823="safety"),"",INDIRECT("template!"&amp;"C"&amp;A823))</f>
        <v>#REF!</v>
      </c>
      <c r="E823" t="e" cm="1">
        <f t="array" aca="1" ref="E823" ca="1">IF(A823="","",IF(OR(A823=A822+1,A823=A822+2),E822,INDIRECT("template!"&amp;"D"&amp;A823-2)))</f>
        <v>#REF!</v>
      </c>
      <c r="F823" t="e" cm="1">
        <f t="array" aca="1" ref="F823" ca="1">IF(OR(A823="",B823="safety"),"",IF(ISBLANK(IF(A823=A822+1,F822,INDIRECT("template!"&amp;"D"&amp;A823-1))),"",IF(A823=A822+1,F822,INDIRECT("template!"&amp;"D"&amp;A823-1))))</f>
        <v>#REF!</v>
      </c>
      <c r="G823" t="e" cm="1">
        <f t="array" aca="1" ref="G823" ca="1">IF(OR(A823="",B823="safety"),"",IF(ISBLANK(INDIRECT("template!"&amp;"D"&amp;A823)),"",INDIRECT("template!"&amp;"D"&amp;A823)))</f>
        <v>#REF!</v>
      </c>
      <c r="H823" t="e" cm="1">
        <f t="array" aca="1" ref="H823" ca="1">IF(OR(A823="",B823="safety"),"",IF(ISBLANK(INDIRECT("template!"&amp;"E"&amp;A823)),"",INDIRECT("template!"&amp;"E"&amp;A823)))</f>
        <v>#REF!</v>
      </c>
      <c r="I823" t="e" cm="1">
        <f t="array" aca="1" ref="I823" ca="1">IF(OR(A823="",B823="safety"),"",IF(ISBLANK(INDIRECT("template!"&amp;"F"&amp;A823)),"",INDIRECT("template!"&amp;"F"&amp;A823)))</f>
        <v>#REF!</v>
      </c>
      <c r="J823" t="e" cm="1">
        <f t="array" aca="1" ref="J823" ca="1">IF(OR(A823="",B823="safety"),"",IF(ISBLANK(INDIRECT("template!"&amp;"G"&amp;A823)),"",INDIRECT("template!"&amp;"G"&amp;A823)))</f>
        <v>#REF!</v>
      </c>
      <c r="K823" t="e" cm="1">
        <f t="array" aca="1" ref="K823" ca="1">IF(OR(A823="",B823="safety"),"",IF(ISBLANK(INDIRECT("template!"&amp;"H"&amp;A823)),"",INDIRECT("template!"&amp;"H"&amp;A823)))</f>
        <v>#REF!</v>
      </c>
      <c r="L823" t="e" cm="1">
        <f t="array" aca="1" ref="L823" ca="1">IF(OR(A823="",B823="safety"),"",INDIRECT("template!"&amp;"I"&amp;A823))</f>
        <v>#REF!</v>
      </c>
      <c r="M823" t="e" cm="1">
        <f t="array" aca="1" ref="M823" ca="1">IF(OR(A823="",B823="safety"),"",INDIRECT("template!"&amp;"J"&amp;A823))</f>
        <v>#REF!</v>
      </c>
      <c r="N823" t="e" cm="1">
        <f t="array" aca="1" ref="N823" ca="1">IF(OR(A823="",B823="safety"),"",IF(ISBLANK(INDIRECT("template!"&amp;"K"&amp;A823)),"",INDIRECT("template!"&amp;"K"&amp;A823)))</f>
        <v>#REF!</v>
      </c>
      <c r="O823" t="e" cm="1">
        <f t="array" aca="1" ref="O823" ca="1">IF(OR(A823="",B823="safety"),"",INDIRECT("template!"&amp;"L"&amp;A823))</f>
        <v>#REF!</v>
      </c>
      <c r="P823" t="e" cm="1">
        <f t="array" aca="1" ref="P823" ca="1">IF(OR(A823="",B823="safety"),"",INDIRECT("template!"&amp;"M"&amp;A823))</f>
        <v>#REF!</v>
      </c>
      <c r="Q823" t="e">
        <f t="shared" ca="1" si="70"/>
        <v>#REF!</v>
      </c>
      <c r="R823" t="e">
        <f t="shared" ca="1" si="71"/>
        <v>#REF!</v>
      </c>
      <c r="S823" t="e">
        <f t="shared" ca="1" si="72"/>
        <v>#REF!</v>
      </c>
      <c r="T823" t="e">
        <f t="shared" ca="1" si="73"/>
        <v>#REF!</v>
      </c>
      <c r="U823" t="e" cm="1">
        <f t="array" aca="1" ref="U823" ca="1">IF(A823="","",IF(E823="","",IF(B823="safety",INDIRECT("template!"&amp;"P"&amp;A823),Q823+R823)))</f>
        <v>#REF!</v>
      </c>
      <c r="V823" t="e" cm="1">
        <f t="array" aca="1" ref="V823" ca="1">IF(A823="","",IF(E823="","",IF(B823="safety",INDIRECT("template!"&amp;"P"&amp;A823),S823+T823)))</f>
        <v>#REF!</v>
      </c>
      <c r="W823" t="e">
        <f ca="1">IF(A823="","",IF(E823="","",#REF!))</f>
        <v>#REF!</v>
      </c>
      <c r="X823" t="e">
        <f ca="1">IF(A823="","",IF(E823="","",#REF!))</f>
        <v>#REF!</v>
      </c>
      <c r="Y823" s="39" t="e">
        <f ca="1">IF(A823="","",IF(E823="","",#REF!))</f>
        <v>#REF!</v>
      </c>
      <c r="Z823" t="e">
        <f ca="1">IF(A823="","",IF(E823="","",#REF!))</f>
        <v>#REF!</v>
      </c>
      <c r="AA823" t="e">
        <f ca="1">IF(A823="","",IF(E823="","",#REF!))</f>
        <v>#REF!</v>
      </c>
      <c r="AB823" t="e">
        <f ca="1">IF(A823="","",IF(E823="","",#REF!))</f>
        <v>#REF!</v>
      </c>
      <c r="AC823" t="e">
        <f t="shared" ca="1" si="74"/>
        <v>#REF!</v>
      </c>
    </row>
    <row r="824" spans="1:29" x14ac:dyDescent="0.35">
      <c r="A824" t="e" cm="1">
        <f t="array" aca="1" ref="A824" ca="1">IF(A823="","",IF(OR(AND(A823+1&gt;=$AF$1,A823+1&lt;=$AF$2),AND(A823+1&gt;=$AF$6,A823+1&lt;=$AF$7),AND(A823+1&gt;=$AF$3,A823+1&lt;=$AF$4),AND(A823+1&gt;=$AF$8,A823+1&lt;=$AF$9),A823+1=$AF$5),IF(NOT(ISBLANK(INDIRECT("template!"&amp;"P"&amp;A823+1))),A823+1,IF(NOT(ISBLANK(INDIRECT("template!"&amp;"P"&amp;A823+2))),A823+2,A823+3)),IF(A823=$AF$2,$AF$3,IF(A823=$AF$4,$AF$5,IF(A823=$AF$5,$AF$6,IF(A823=$AF$7,$AF$8,""))))))</f>
        <v>#REF!</v>
      </c>
      <c r="B824" t="e">
        <f t="shared" ca="1" si="69"/>
        <v>#REF!</v>
      </c>
      <c r="C824" t="e" cm="1">
        <f t="array" aca="1" ref="C824" ca="1">IF(A824="","",IF(B824="safety","safety costs",INDIRECT("template!"&amp;"B"&amp;A824)))</f>
        <v>#REF!</v>
      </c>
      <c r="D824" t="e" cm="1">
        <f t="array" aca="1" ref="D824" ca="1">IF(OR(A824="",B824="safety"),"",INDIRECT("template!"&amp;"C"&amp;A824))</f>
        <v>#REF!</v>
      </c>
      <c r="E824" t="e" cm="1">
        <f t="array" aca="1" ref="E824" ca="1">IF(A824="","",IF(OR(A824=A823+1,A824=A823+2),E823,INDIRECT("template!"&amp;"D"&amp;A824-2)))</f>
        <v>#REF!</v>
      </c>
      <c r="F824" t="e" cm="1">
        <f t="array" aca="1" ref="F824" ca="1">IF(OR(A824="",B824="safety"),"",IF(ISBLANK(IF(A824=A823+1,F823,INDIRECT("template!"&amp;"D"&amp;A824-1))),"",IF(A824=A823+1,F823,INDIRECT("template!"&amp;"D"&amp;A824-1))))</f>
        <v>#REF!</v>
      </c>
      <c r="G824" t="e" cm="1">
        <f t="array" aca="1" ref="G824" ca="1">IF(OR(A824="",B824="safety"),"",IF(ISBLANK(INDIRECT("template!"&amp;"D"&amp;A824)),"",INDIRECT("template!"&amp;"D"&amp;A824)))</f>
        <v>#REF!</v>
      </c>
      <c r="H824" t="e" cm="1">
        <f t="array" aca="1" ref="H824" ca="1">IF(OR(A824="",B824="safety"),"",IF(ISBLANK(INDIRECT("template!"&amp;"E"&amp;A824)),"",INDIRECT("template!"&amp;"E"&amp;A824)))</f>
        <v>#REF!</v>
      </c>
      <c r="I824" t="e" cm="1">
        <f t="array" aca="1" ref="I824" ca="1">IF(OR(A824="",B824="safety"),"",IF(ISBLANK(INDIRECT("template!"&amp;"F"&amp;A824)),"",INDIRECT("template!"&amp;"F"&amp;A824)))</f>
        <v>#REF!</v>
      </c>
      <c r="J824" t="e" cm="1">
        <f t="array" aca="1" ref="J824" ca="1">IF(OR(A824="",B824="safety"),"",IF(ISBLANK(INDIRECT("template!"&amp;"G"&amp;A824)),"",INDIRECT("template!"&amp;"G"&amp;A824)))</f>
        <v>#REF!</v>
      </c>
      <c r="K824" t="e" cm="1">
        <f t="array" aca="1" ref="K824" ca="1">IF(OR(A824="",B824="safety"),"",IF(ISBLANK(INDIRECT("template!"&amp;"H"&amp;A824)),"",INDIRECT("template!"&amp;"H"&amp;A824)))</f>
        <v>#REF!</v>
      </c>
      <c r="L824" t="e" cm="1">
        <f t="array" aca="1" ref="L824" ca="1">IF(OR(A824="",B824="safety"),"",INDIRECT("template!"&amp;"I"&amp;A824))</f>
        <v>#REF!</v>
      </c>
      <c r="M824" t="e" cm="1">
        <f t="array" aca="1" ref="M824" ca="1">IF(OR(A824="",B824="safety"),"",INDIRECT("template!"&amp;"J"&amp;A824))</f>
        <v>#REF!</v>
      </c>
      <c r="N824" t="e" cm="1">
        <f t="array" aca="1" ref="N824" ca="1">IF(OR(A824="",B824="safety"),"",IF(ISBLANK(INDIRECT("template!"&amp;"K"&amp;A824)),"",INDIRECT("template!"&amp;"K"&amp;A824)))</f>
        <v>#REF!</v>
      </c>
      <c r="O824" t="e" cm="1">
        <f t="array" aca="1" ref="O824" ca="1">IF(OR(A824="",B824="safety"),"",INDIRECT("template!"&amp;"L"&amp;A824))</f>
        <v>#REF!</v>
      </c>
      <c r="P824" t="e" cm="1">
        <f t="array" aca="1" ref="P824" ca="1">IF(OR(A824="",B824="safety"),"",INDIRECT("template!"&amp;"M"&amp;A824))</f>
        <v>#REF!</v>
      </c>
      <c r="Q824" t="e">
        <f t="shared" ca="1" si="70"/>
        <v>#REF!</v>
      </c>
      <c r="R824" t="e">
        <f t="shared" ca="1" si="71"/>
        <v>#REF!</v>
      </c>
      <c r="S824" t="e">
        <f t="shared" ca="1" si="72"/>
        <v>#REF!</v>
      </c>
      <c r="T824" t="e">
        <f t="shared" ca="1" si="73"/>
        <v>#REF!</v>
      </c>
      <c r="U824" t="e" cm="1">
        <f t="array" aca="1" ref="U824" ca="1">IF(A824="","",IF(E824="","",IF(B824="safety",INDIRECT("template!"&amp;"P"&amp;A824),Q824+R824)))</f>
        <v>#REF!</v>
      </c>
      <c r="V824" t="e" cm="1">
        <f t="array" aca="1" ref="V824" ca="1">IF(A824="","",IF(E824="","",IF(B824="safety",INDIRECT("template!"&amp;"P"&amp;A824),S824+T824)))</f>
        <v>#REF!</v>
      </c>
      <c r="W824" t="e">
        <f ca="1">IF(A824="","",IF(E824="","",#REF!))</f>
        <v>#REF!</v>
      </c>
      <c r="X824" t="e">
        <f ca="1">IF(A824="","",IF(E824="","",#REF!))</f>
        <v>#REF!</v>
      </c>
      <c r="Y824" s="39" t="e">
        <f ca="1">IF(A824="","",IF(E824="","",#REF!))</f>
        <v>#REF!</v>
      </c>
      <c r="Z824" t="e">
        <f ca="1">IF(A824="","",IF(E824="","",#REF!))</f>
        <v>#REF!</v>
      </c>
      <c r="AA824" t="e">
        <f ca="1">IF(A824="","",IF(E824="","",#REF!))</f>
        <v>#REF!</v>
      </c>
      <c r="AB824" t="e">
        <f ca="1">IF(A824="","",IF(E824="","",#REF!))</f>
        <v>#REF!</v>
      </c>
      <c r="AC824" t="e">
        <f t="shared" ca="1" si="74"/>
        <v>#REF!</v>
      </c>
    </row>
    <row r="825" spans="1:29" x14ac:dyDescent="0.35">
      <c r="A825" t="e" cm="1">
        <f t="array" aca="1" ref="A825" ca="1">IF(A824="","",IF(OR(AND(A824+1&gt;=$AF$1,A824+1&lt;=$AF$2),AND(A824+1&gt;=$AF$6,A824+1&lt;=$AF$7),AND(A824+1&gt;=$AF$3,A824+1&lt;=$AF$4),AND(A824+1&gt;=$AF$8,A824+1&lt;=$AF$9),A824+1=$AF$5),IF(NOT(ISBLANK(INDIRECT("template!"&amp;"P"&amp;A824+1))),A824+1,IF(NOT(ISBLANK(INDIRECT("template!"&amp;"P"&amp;A824+2))),A824+2,A824+3)),IF(A824=$AF$2,$AF$3,IF(A824=$AF$4,$AF$5,IF(A824=$AF$5,$AF$6,IF(A824=$AF$7,$AF$8,""))))))</f>
        <v>#REF!</v>
      </c>
      <c r="B825" t="e">
        <f t="shared" ca="1" si="69"/>
        <v>#REF!</v>
      </c>
      <c r="C825" t="e" cm="1">
        <f t="array" aca="1" ref="C825" ca="1">IF(A825="","",IF(B825="safety","safety costs",INDIRECT("template!"&amp;"B"&amp;A825)))</f>
        <v>#REF!</v>
      </c>
      <c r="D825" t="e" cm="1">
        <f t="array" aca="1" ref="D825" ca="1">IF(OR(A825="",B825="safety"),"",INDIRECT("template!"&amp;"C"&amp;A825))</f>
        <v>#REF!</v>
      </c>
      <c r="E825" t="e" cm="1">
        <f t="array" aca="1" ref="E825" ca="1">IF(A825="","",IF(OR(A825=A824+1,A825=A824+2),E824,INDIRECT("template!"&amp;"D"&amp;A825-2)))</f>
        <v>#REF!</v>
      </c>
      <c r="F825" t="e" cm="1">
        <f t="array" aca="1" ref="F825" ca="1">IF(OR(A825="",B825="safety"),"",IF(ISBLANK(IF(A825=A824+1,F824,INDIRECT("template!"&amp;"D"&amp;A825-1))),"",IF(A825=A824+1,F824,INDIRECT("template!"&amp;"D"&amp;A825-1))))</f>
        <v>#REF!</v>
      </c>
      <c r="G825" t="e" cm="1">
        <f t="array" aca="1" ref="G825" ca="1">IF(OR(A825="",B825="safety"),"",IF(ISBLANK(INDIRECT("template!"&amp;"D"&amp;A825)),"",INDIRECT("template!"&amp;"D"&amp;A825)))</f>
        <v>#REF!</v>
      </c>
      <c r="H825" t="e" cm="1">
        <f t="array" aca="1" ref="H825" ca="1">IF(OR(A825="",B825="safety"),"",IF(ISBLANK(INDIRECT("template!"&amp;"E"&amp;A825)),"",INDIRECT("template!"&amp;"E"&amp;A825)))</f>
        <v>#REF!</v>
      </c>
      <c r="I825" t="e" cm="1">
        <f t="array" aca="1" ref="I825" ca="1">IF(OR(A825="",B825="safety"),"",IF(ISBLANK(INDIRECT("template!"&amp;"F"&amp;A825)),"",INDIRECT("template!"&amp;"F"&amp;A825)))</f>
        <v>#REF!</v>
      </c>
      <c r="J825" t="e" cm="1">
        <f t="array" aca="1" ref="J825" ca="1">IF(OR(A825="",B825="safety"),"",IF(ISBLANK(INDIRECT("template!"&amp;"G"&amp;A825)),"",INDIRECT("template!"&amp;"G"&amp;A825)))</f>
        <v>#REF!</v>
      </c>
      <c r="K825" t="e" cm="1">
        <f t="array" aca="1" ref="K825" ca="1">IF(OR(A825="",B825="safety"),"",IF(ISBLANK(INDIRECT("template!"&amp;"H"&amp;A825)),"",INDIRECT("template!"&amp;"H"&amp;A825)))</f>
        <v>#REF!</v>
      </c>
      <c r="L825" t="e" cm="1">
        <f t="array" aca="1" ref="L825" ca="1">IF(OR(A825="",B825="safety"),"",INDIRECT("template!"&amp;"I"&amp;A825))</f>
        <v>#REF!</v>
      </c>
      <c r="M825" t="e" cm="1">
        <f t="array" aca="1" ref="M825" ca="1">IF(OR(A825="",B825="safety"),"",INDIRECT("template!"&amp;"J"&amp;A825))</f>
        <v>#REF!</v>
      </c>
      <c r="N825" t="e" cm="1">
        <f t="array" aca="1" ref="N825" ca="1">IF(OR(A825="",B825="safety"),"",IF(ISBLANK(INDIRECT("template!"&amp;"K"&amp;A825)),"",INDIRECT("template!"&amp;"K"&amp;A825)))</f>
        <v>#REF!</v>
      </c>
      <c r="O825" t="e" cm="1">
        <f t="array" aca="1" ref="O825" ca="1">IF(OR(A825="",B825="safety"),"",INDIRECT("template!"&amp;"L"&amp;A825))</f>
        <v>#REF!</v>
      </c>
      <c r="P825" t="e" cm="1">
        <f t="array" aca="1" ref="P825" ca="1">IF(OR(A825="",B825="safety"),"",INDIRECT("template!"&amp;"M"&amp;A825))</f>
        <v>#REF!</v>
      </c>
      <c r="Q825" t="e">
        <f t="shared" ca="1" si="70"/>
        <v>#REF!</v>
      </c>
      <c r="R825" t="e">
        <f t="shared" ca="1" si="71"/>
        <v>#REF!</v>
      </c>
      <c r="S825" t="e">
        <f t="shared" ca="1" si="72"/>
        <v>#REF!</v>
      </c>
      <c r="T825" t="e">
        <f t="shared" ca="1" si="73"/>
        <v>#REF!</v>
      </c>
      <c r="U825" t="e" cm="1">
        <f t="array" aca="1" ref="U825" ca="1">IF(A825="","",IF(E825="","",IF(B825="safety",INDIRECT("template!"&amp;"P"&amp;A825),Q825+R825)))</f>
        <v>#REF!</v>
      </c>
      <c r="V825" t="e" cm="1">
        <f t="array" aca="1" ref="V825" ca="1">IF(A825="","",IF(E825="","",IF(B825="safety",INDIRECT("template!"&amp;"P"&amp;A825),S825+T825)))</f>
        <v>#REF!</v>
      </c>
      <c r="W825" t="e">
        <f ca="1">IF(A825="","",IF(E825="","",#REF!))</f>
        <v>#REF!</v>
      </c>
      <c r="X825" t="e">
        <f ca="1">IF(A825="","",IF(E825="","",#REF!))</f>
        <v>#REF!</v>
      </c>
      <c r="Y825" s="39" t="e">
        <f ca="1">IF(A825="","",IF(E825="","",#REF!))</f>
        <v>#REF!</v>
      </c>
      <c r="Z825" t="e">
        <f ca="1">IF(A825="","",IF(E825="","",#REF!))</f>
        <v>#REF!</v>
      </c>
      <c r="AA825" t="e">
        <f ca="1">IF(A825="","",IF(E825="","",#REF!))</f>
        <v>#REF!</v>
      </c>
      <c r="AB825" t="e">
        <f ca="1">IF(A825="","",IF(E825="","",#REF!))</f>
        <v>#REF!</v>
      </c>
      <c r="AC825" t="e">
        <f t="shared" ca="1" si="74"/>
        <v>#REF!</v>
      </c>
    </row>
    <row r="826" spans="1:29" x14ac:dyDescent="0.35">
      <c r="A826" t="e" cm="1">
        <f t="array" aca="1" ref="A826" ca="1">IF(A825="","",IF(OR(AND(A825+1&gt;=$AF$1,A825+1&lt;=$AF$2),AND(A825+1&gt;=$AF$6,A825+1&lt;=$AF$7),AND(A825+1&gt;=$AF$3,A825+1&lt;=$AF$4),AND(A825+1&gt;=$AF$8,A825+1&lt;=$AF$9),A825+1=$AF$5),IF(NOT(ISBLANK(INDIRECT("template!"&amp;"P"&amp;A825+1))),A825+1,IF(NOT(ISBLANK(INDIRECT("template!"&amp;"P"&amp;A825+2))),A825+2,A825+3)),IF(A825=$AF$2,$AF$3,IF(A825=$AF$4,$AF$5,IF(A825=$AF$5,$AF$6,IF(A825=$AF$7,$AF$8,""))))))</f>
        <v>#REF!</v>
      </c>
      <c r="B826" t="e">
        <f t="shared" ca="1" si="69"/>
        <v>#REF!</v>
      </c>
      <c r="C826" t="e" cm="1">
        <f t="array" aca="1" ref="C826" ca="1">IF(A826="","",IF(B826="safety","safety costs",INDIRECT("template!"&amp;"B"&amp;A826)))</f>
        <v>#REF!</v>
      </c>
      <c r="D826" t="e" cm="1">
        <f t="array" aca="1" ref="D826" ca="1">IF(OR(A826="",B826="safety"),"",INDIRECT("template!"&amp;"C"&amp;A826))</f>
        <v>#REF!</v>
      </c>
      <c r="E826" t="e" cm="1">
        <f t="array" aca="1" ref="E826" ca="1">IF(A826="","",IF(OR(A826=A825+1,A826=A825+2),E825,INDIRECT("template!"&amp;"D"&amp;A826-2)))</f>
        <v>#REF!</v>
      </c>
      <c r="F826" t="e" cm="1">
        <f t="array" aca="1" ref="F826" ca="1">IF(OR(A826="",B826="safety"),"",IF(ISBLANK(IF(A826=A825+1,F825,INDIRECT("template!"&amp;"D"&amp;A826-1))),"",IF(A826=A825+1,F825,INDIRECT("template!"&amp;"D"&amp;A826-1))))</f>
        <v>#REF!</v>
      </c>
      <c r="G826" t="e" cm="1">
        <f t="array" aca="1" ref="G826" ca="1">IF(OR(A826="",B826="safety"),"",IF(ISBLANK(INDIRECT("template!"&amp;"D"&amp;A826)),"",INDIRECT("template!"&amp;"D"&amp;A826)))</f>
        <v>#REF!</v>
      </c>
      <c r="H826" t="e" cm="1">
        <f t="array" aca="1" ref="H826" ca="1">IF(OR(A826="",B826="safety"),"",IF(ISBLANK(INDIRECT("template!"&amp;"E"&amp;A826)),"",INDIRECT("template!"&amp;"E"&amp;A826)))</f>
        <v>#REF!</v>
      </c>
      <c r="I826" t="e" cm="1">
        <f t="array" aca="1" ref="I826" ca="1">IF(OR(A826="",B826="safety"),"",IF(ISBLANK(INDIRECT("template!"&amp;"F"&amp;A826)),"",INDIRECT("template!"&amp;"F"&amp;A826)))</f>
        <v>#REF!</v>
      </c>
      <c r="J826" t="e" cm="1">
        <f t="array" aca="1" ref="J826" ca="1">IF(OR(A826="",B826="safety"),"",IF(ISBLANK(INDIRECT("template!"&amp;"G"&amp;A826)),"",INDIRECT("template!"&amp;"G"&amp;A826)))</f>
        <v>#REF!</v>
      </c>
      <c r="K826" t="e" cm="1">
        <f t="array" aca="1" ref="K826" ca="1">IF(OR(A826="",B826="safety"),"",IF(ISBLANK(INDIRECT("template!"&amp;"H"&amp;A826)),"",INDIRECT("template!"&amp;"H"&amp;A826)))</f>
        <v>#REF!</v>
      </c>
      <c r="L826" t="e" cm="1">
        <f t="array" aca="1" ref="L826" ca="1">IF(OR(A826="",B826="safety"),"",INDIRECT("template!"&amp;"I"&amp;A826))</f>
        <v>#REF!</v>
      </c>
      <c r="M826" t="e" cm="1">
        <f t="array" aca="1" ref="M826" ca="1">IF(OR(A826="",B826="safety"),"",INDIRECT("template!"&amp;"J"&amp;A826))</f>
        <v>#REF!</v>
      </c>
      <c r="N826" t="e" cm="1">
        <f t="array" aca="1" ref="N826" ca="1">IF(OR(A826="",B826="safety"),"",IF(ISBLANK(INDIRECT("template!"&amp;"K"&amp;A826)),"",INDIRECT("template!"&amp;"K"&amp;A826)))</f>
        <v>#REF!</v>
      </c>
      <c r="O826" t="e" cm="1">
        <f t="array" aca="1" ref="O826" ca="1">IF(OR(A826="",B826="safety"),"",INDIRECT("template!"&amp;"L"&amp;A826))</f>
        <v>#REF!</v>
      </c>
      <c r="P826" t="e" cm="1">
        <f t="array" aca="1" ref="P826" ca="1">IF(OR(A826="",B826="safety"),"",INDIRECT("template!"&amp;"M"&amp;A826))</f>
        <v>#REF!</v>
      </c>
      <c r="Q826" t="e">
        <f t="shared" ca="1" si="70"/>
        <v>#REF!</v>
      </c>
      <c r="R826" t="e">
        <f t="shared" ca="1" si="71"/>
        <v>#REF!</v>
      </c>
      <c r="S826" t="e">
        <f t="shared" ca="1" si="72"/>
        <v>#REF!</v>
      </c>
      <c r="T826" t="e">
        <f t="shared" ca="1" si="73"/>
        <v>#REF!</v>
      </c>
      <c r="U826" t="e" cm="1">
        <f t="array" aca="1" ref="U826" ca="1">IF(A826="","",IF(E826="","",IF(B826="safety",INDIRECT("template!"&amp;"P"&amp;A826),Q826+R826)))</f>
        <v>#REF!</v>
      </c>
      <c r="V826" t="e" cm="1">
        <f t="array" aca="1" ref="V826" ca="1">IF(A826="","",IF(E826="","",IF(B826="safety",INDIRECT("template!"&amp;"P"&amp;A826),S826+T826)))</f>
        <v>#REF!</v>
      </c>
      <c r="W826" t="e">
        <f ca="1">IF(A826="","",IF(E826="","",#REF!))</f>
        <v>#REF!</v>
      </c>
      <c r="X826" t="e">
        <f ca="1">IF(A826="","",IF(E826="","",#REF!))</f>
        <v>#REF!</v>
      </c>
      <c r="Y826" s="39" t="e">
        <f ca="1">IF(A826="","",IF(E826="","",#REF!))</f>
        <v>#REF!</v>
      </c>
      <c r="Z826" t="e">
        <f ca="1">IF(A826="","",IF(E826="","",#REF!))</f>
        <v>#REF!</v>
      </c>
      <c r="AA826" t="e">
        <f ca="1">IF(A826="","",IF(E826="","",#REF!))</f>
        <v>#REF!</v>
      </c>
      <c r="AB826" t="e">
        <f ca="1">IF(A826="","",IF(E826="","",#REF!))</f>
        <v>#REF!</v>
      </c>
      <c r="AC826" t="e">
        <f t="shared" ca="1" si="74"/>
        <v>#REF!</v>
      </c>
    </row>
    <row r="827" spans="1:29" x14ac:dyDescent="0.35">
      <c r="A827" t="e" cm="1">
        <f t="array" aca="1" ref="A827" ca="1">IF(A826="","",IF(OR(AND(A826+1&gt;=$AF$1,A826+1&lt;=$AF$2),AND(A826+1&gt;=$AF$6,A826+1&lt;=$AF$7),AND(A826+1&gt;=$AF$3,A826+1&lt;=$AF$4),AND(A826+1&gt;=$AF$8,A826+1&lt;=$AF$9),A826+1=$AF$5),IF(NOT(ISBLANK(INDIRECT("template!"&amp;"P"&amp;A826+1))),A826+1,IF(NOT(ISBLANK(INDIRECT("template!"&amp;"P"&amp;A826+2))),A826+2,A826+3)),IF(A826=$AF$2,$AF$3,IF(A826=$AF$4,$AF$5,IF(A826=$AF$5,$AF$6,IF(A826=$AF$7,$AF$8,""))))))</f>
        <v>#REF!</v>
      </c>
      <c r="B827" t="e">
        <f t="shared" ca="1" si="69"/>
        <v>#REF!</v>
      </c>
      <c r="C827" t="e" cm="1">
        <f t="array" aca="1" ref="C827" ca="1">IF(A827="","",IF(B827="safety","safety costs",INDIRECT("template!"&amp;"B"&amp;A827)))</f>
        <v>#REF!</v>
      </c>
      <c r="D827" t="e" cm="1">
        <f t="array" aca="1" ref="D827" ca="1">IF(OR(A827="",B827="safety"),"",INDIRECT("template!"&amp;"C"&amp;A827))</f>
        <v>#REF!</v>
      </c>
      <c r="E827" t="e" cm="1">
        <f t="array" aca="1" ref="E827" ca="1">IF(A827="","",IF(OR(A827=A826+1,A827=A826+2),E826,INDIRECT("template!"&amp;"D"&amp;A827-2)))</f>
        <v>#REF!</v>
      </c>
      <c r="F827" t="e" cm="1">
        <f t="array" aca="1" ref="F827" ca="1">IF(OR(A827="",B827="safety"),"",IF(ISBLANK(IF(A827=A826+1,F826,INDIRECT("template!"&amp;"D"&amp;A827-1))),"",IF(A827=A826+1,F826,INDIRECT("template!"&amp;"D"&amp;A827-1))))</f>
        <v>#REF!</v>
      </c>
      <c r="G827" t="e" cm="1">
        <f t="array" aca="1" ref="G827" ca="1">IF(OR(A827="",B827="safety"),"",IF(ISBLANK(INDIRECT("template!"&amp;"D"&amp;A827)),"",INDIRECT("template!"&amp;"D"&amp;A827)))</f>
        <v>#REF!</v>
      </c>
      <c r="H827" t="e" cm="1">
        <f t="array" aca="1" ref="H827" ca="1">IF(OR(A827="",B827="safety"),"",IF(ISBLANK(INDIRECT("template!"&amp;"E"&amp;A827)),"",INDIRECT("template!"&amp;"E"&amp;A827)))</f>
        <v>#REF!</v>
      </c>
      <c r="I827" t="e" cm="1">
        <f t="array" aca="1" ref="I827" ca="1">IF(OR(A827="",B827="safety"),"",IF(ISBLANK(INDIRECT("template!"&amp;"F"&amp;A827)),"",INDIRECT("template!"&amp;"F"&amp;A827)))</f>
        <v>#REF!</v>
      </c>
      <c r="J827" t="e" cm="1">
        <f t="array" aca="1" ref="J827" ca="1">IF(OR(A827="",B827="safety"),"",IF(ISBLANK(INDIRECT("template!"&amp;"G"&amp;A827)),"",INDIRECT("template!"&amp;"G"&amp;A827)))</f>
        <v>#REF!</v>
      </c>
      <c r="K827" t="e" cm="1">
        <f t="array" aca="1" ref="K827" ca="1">IF(OR(A827="",B827="safety"),"",IF(ISBLANK(INDIRECT("template!"&amp;"H"&amp;A827)),"",INDIRECT("template!"&amp;"H"&amp;A827)))</f>
        <v>#REF!</v>
      </c>
      <c r="L827" t="e" cm="1">
        <f t="array" aca="1" ref="L827" ca="1">IF(OR(A827="",B827="safety"),"",INDIRECT("template!"&amp;"I"&amp;A827))</f>
        <v>#REF!</v>
      </c>
      <c r="M827" t="e" cm="1">
        <f t="array" aca="1" ref="M827" ca="1">IF(OR(A827="",B827="safety"),"",INDIRECT("template!"&amp;"J"&amp;A827))</f>
        <v>#REF!</v>
      </c>
      <c r="N827" t="e" cm="1">
        <f t="array" aca="1" ref="N827" ca="1">IF(OR(A827="",B827="safety"),"",IF(ISBLANK(INDIRECT("template!"&amp;"K"&amp;A827)),"",INDIRECT("template!"&amp;"K"&amp;A827)))</f>
        <v>#REF!</v>
      </c>
      <c r="O827" t="e" cm="1">
        <f t="array" aca="1" ref="O827" ca="1">IF(OR(A827="",B827="safety"),"",INDIRECT("template!"&amp;"L"&amp;A827))</f>
        <v>#REF!</v>
      </c>
      <c r="P827" t="e" cm="1">
        <f t="array" aca="1" ref="P827" ca="1">IF(OR(A827="",B827="safety"),"",INDIRECT("template!"&amp;"M"&amp;A827))</f>
        <v>#REF!</v>
      </c>
      <c r="Q827" t="e">
        <f t="shared" ca="1" si="70"/>
        <v>#REF!</v>
      </c>
      <c r="R827" t="e">
        <f t="shared" ca="1" si="71"/>
        <v>#REF!</v>
      </c>
      <c r="S827" t="e">
        <f t="shared" ca="1" si="72"/>
        <v>#REF!</v>
      </c>
      <c r="T827" t="e">
        <f t="shared" ca="1" si="73"/>
        <v>#REF!</v>
      </c>
      <c r="U827" t="e" cm="1">
        <f t="array" aca="1" ref="U827" ca="1">IF(A827="","",IF(E827="","",IF(B827="safety",INDIRECT("template!"&amp;"P"&amp;A827),Q827+R827)))</f>
        <v>#REF!</v>
      </c>
      <c r="V827" t="e" cm="1">
        <f t="array" aca="1" ref="V827" ca="1">IF(A827="","",IF(E827="","",IF(B827="safety",INDIRECT("template!"&amp;"P"&amp;A827),S827+T827)))</f>
        <v>#REF!</v>
      </c>
      <c r="W827" t="e">
        <f ca="1">IF(A827="","",IF(E827="","",#REF!))</f>
        <v>#REF!</v>
      </c>
      <c r="X827" t="e">
        <f ca="1">IF(A827="","",IF(E827="","",#REF!))</f>
        <v>#REF!</v>
      </c>
      <c r="Y827" s="39" t="e">
        <f ca="1">IF(A827="","",IF(E827="","",#REF!))</f>
        <v>#REF!</v>
      </c>
      <c r="Z827" t="e">
        <f ca="1">IF(A827="","",IF(E827="","",#REF!))</f>
        <v>#REF!</v>
      </c>
      <c r="AA827" t="e">
        <f ca="1">IF(A827="","",IF(E827="","",#REF!))</f>
        <v>#REF!</v>
      </c>
      <c r="AB827" t="e">
        <f ca="1">IF(A827="","",IF(E827="","",#REF!))</f>
        <v>#REF!</v>
      </c>
      <c r="AC827" t="e">
        <f t="shared" ca="1" si="74"/>
        <v>#REF!</v>
      </c>
    </row>
    <row r="828" spans="1:29" x14ac:dyDescent="0.35">
      <c r="A828" t="e" cm="1">
        <f t="array" aca="1" ref="A828" ca="1">IF(A827="","",IF(OR(AND(A827+1&gt;=$AF$1,A827+1&lt;=$AF$2),AND(A827+1&gt;=$AF$6,A827+1&lt;=$AF$7),AND(A827+1&gt;=$AF$3,A827+1&lt;=$AF$4),AND(A827+1&gt;=$AF$8,A827+1&lt;=$AF$9),A827+1=$AF$5),IF(NOT(ISBLANK(INDIRECT("template!"&amp;"P"&amp;A827+1))),A827+1,IF(NOT(ISBLANK(INDIRECT("template!"&amp;"P"&amp;A827+2))),A827+2,A827+3)),IF(A827=$AF$2,$AF$3,IF(A827=$AF$4,$AF$5,IF(A827=$AF$5,$AF$6,IF(A827=$AF$7,$AF$8,""))))))</f>
        <v>#REF!</v>
      </c>
      <c r="B828" t="e">
        <f t="shared" ca="1" si="69"/>
        <v>#REF!</v>
      </c>
      <c r="C828" t="e" cm="1">
        <f t="array" aca="1" ref="C828" ca="1">IF(A828="","",IF(B828="safety","safety costs",INDIRECT("template!"&amp;"B"&amp;A828)))</f>
        <v>#REF!</v>
      </c>
      <c r="D828" t="e" cm="1">
        <f t="array" aca="1" ref="D828" ca="1">IF(OR(A828="",B828="safety"),"",INDIRECT("template!"&amp;"C"&amp;A828))</f>
        <v>#REF!</v>
      </c>
      <c r="E828" t="e" cm="1">
        <f t="array" aca="1" ref="E828" ca="1">IF(A828="","",IF(OR(A828=A827+1,A828=A827+2),E827,INDIRECT("template!"&amp;"D"&amp;A828-2)))</f>
        <v>#REF!</v>
      </c>
      <c r="F828" t="e" cm="1">
        <f t="array" aca="1" ref="F828" ca="1">IF(OR(A828="",B828="safety"),"",IF(ISBLANK(IF(A828=A827+1,F827,INDIRECT("template!"&amp;"D"&amp;A828-1))),"",IF(A828=A827+1,F827,INDIRECT("template!"&amp;"D"&amp;A828-1))))</f>
        <v>#REF!</v>
      </c>
      <c r="G828" t="e" cm="1">
        <f t="array" aca="1" ref="G828" ca="1">IF(OR(A828="",B828="safety"),"",IF(ISBLANK(INDIRECT("template!"&amp;"D"&amp;A828)),"",INDIRECT("template!"&amp;"D"&amp;A828)))</f>
        <v>#REF!</v>
      </c>
      <c r="H828" t="e" cm="1">
        <f t="array" aca="1" ref="H828" ca="1">IF(OR(A828="",B828="safety"),"",IF(ISBLANK(INDIRECT("template!"&amp;"E"&amp;A828)),"",INDIRECT("template!"&amp;"E"&amp;A828)))</f>
        <v>#REF!</v>
      </c>
      <c r="I828" t="e" cm="1">
        <f t="array" aca="1" ref="I828" ca="1">IF(OR(A828="",B828="safety"),"",IF(ISBLANK(INDIRECT("template!"&amp;"F"&amp;A828)),"",INDIRECT("template!"&amp;"F"&amp;A828)))</f>
        <v>#REF!</v>
      </c>
      <c r="J828" t="e" cm="1">
        <f t="array" aca="1" ref="J828" ca="1">IF(OR(A828="",B828="safety"),"",IF(ISBLANK(INDIRECT("template!"&amp;"G"&amp;A828)),"",INDIRECT("template!"&amp;"G"&amp;A828)))</f>
        <v>#REF!</v>
      </c>
      <c r="K828" t="e" cm="1">
        <f t="array" aca="1" ref="K828" ca="1">IF(OR(A828="",B828="safety"),"",IF(ISBLANK(INDIRECT("template!"&amp;"H"&amp;A828)),"",INDIRECT("template!"&amp;"H"&amp;A828)))</f>
        <v>#REF!</v>
      </c>
      <c r="L828" t="e" cm="1">
        <f t="array" aca="1" ref="L828" ca="1">IF(OR(A828="",B828="safety"),"",INDIRECT("template!"&amp;"I"&amp;A828))</f>
        <v>#REF!</v>
      </c>
      <c r="M828" t="e" cm="1">
        <f t="array" aca="1" ref="M828" ca="1">IF(OR(A828="",B828="safety"),"",INDIRECT("template!"&amp;"J"&amp;A828))</f>
        <v>#REF!</v>
      </c>
      <c r="N828" t="e" cm="1">
        <f t="array" aca="1" ref="N828" ca="1">IF(OR(A828="",B828="safety"),"",IF(ISBLANK(INDIRECT("template!"&amp;"K"&amp;A828)),"",INDIRECT("template!"&amp;"K"&amp;A828)))</f>
        <v>#REF!</v>
      </c>
      <c r="O828" t="e" cm="1">
        <f t="array" aca="1" ref="O828" ca="1">IF(OR(A828="",B828="safety"),"",INDIRECT("template!"&amp;"L"&amp;A828))</f>
        <v>#REF!</v>
      </c>
      <c r="P828" t="e" cm="1">
        <f t="array" aca="1" ref="P828" ca="1">IF(OR(A828="",B828="safety"),"",INDIRECT("template!"&amp;"M"&amp;A828))</f>
        <v>#REF!</v>
      </c>
      <c r="Q828" t="e">
        <f t="shared" ca="1" si="70"/>
        <v>#REF!</v>
      </c>
      <c r="R828" t="e">
        <f t="shared" ca="1" si="71"/>
        <v>#REF!</v>
      </c>
      <c r="S828" t="e">
        <f t="shared" ca="1" si="72"/>
        <v>#REF!</v>
      </c>
      <c r="T828" t="e">
        <f t="shared" ca="1" si="73"/>
        <v>#REF!</v>
      </c>
      <c r="U828" t="e" cm="1">
        <f t="array" aca="1" ref="U828" ca="1">IF(A828="","",IF(E828="","",IF(B828="safety",INDIRECT("template!"&amp;"P"&amp;A828),Q828+R828)))</f>
        <v>#REF!</v>
      </c>
      <c r="V828" t="e" cm="1">
        <f t="array" aca="1" ref="V828" ca="1">IF(A828="","",IF(E828="","",IF(B828="safety",INDIRECT("template!"&amp;"P"&amp;A828),S828+T828)))</f>
        <v>#REF!</v>
      </c>
      <c r="W828" t="e">
        <f ca="1">IF(A828="","",IF(E828="","",#REF!))</f>
        <v>#REF!</v>
      </c>
      <c r="X828" t="e">
        <f ca="1">IF(A828="","",IF(E828="","",#REF!))</f>
        <v>#REF!</v>
      </c>
      <c r="Y828" s="39" t="e">
        <f ca="1">IF(A828="","",IF(E828="","",#REF!))</f>
        <v>#REF!</v>
      </c>
      <c r="Z828" t="e">
        <f ca="1">IF(A828="","",IF(E828="","",#REF!))</f>
        <v>#REF!</v>
      </c>
      <c r="AA828" t="e">
        <f ca="1">IF(A828="","",IF(E828="","",#REF!))</f>
        <v>#REF!</v>
      </c>
      <c r="AB828" t="e">
        <f ca="1">IF(A828="","",IF(E828="","",#REF!))</f>
        <v>#REF!</v>
      </c>
      <c r="AC828" t="e">
        <f t="shared" ca="1" si="74"/>
        <v>#REF!</v>
      </c>
    </row>
    <row r="829" spans="1:29" x14ac:dyDescent="0.35">
      <c r="A829" t="e" cm="1">
        <f t="array" aca="1" ref="A829" ca="1">IF(A828="","",IF(OR(AND(A828+1&gt;=$AF$1,A828+1&lt;=$AF$2),AND(A828+1&gt;=$AF$6,A828+1&lt;=$AF$7),AND(A828+1&gt;=$AF$3,A828+1&lt;=$AF$4),AND(A828+1&gt;=$AF$8,A828+1&lt;=$AF$9),A828+1=$AF$5),IF(NOT(ISBLANK(INDIRECT("template!"&amp;"P"&amp;A828+1))),A828+1,IF(NOT(ISBLANK(INDIRECT("template!"&amp;"P"&amp;A828+2))),A828+2,A828+3)),IF(A828=$AF$2,$AF$3,IF(A828=$AF$4,$AF$5,IF(A828=$AF$5,$AF$6,IF(A828=$AF$7,$AF$8,""))))))</f>
        <v>#REF!</v>
      </c>
      <c r="B829" t="e">
        <f t="shared" ca="1" si="69"/>
        <v>#REF!</v>
      </c>
      <c r="C829" t="e" cm="1">
        <f t="array" aca="1" ref="C829" ca="1">IF(A829="","",IF(B829="safety","safety costs",INDIRECT("template!"&amp;"B"&amp;A829)))</f>
        <v>#REF!</v>
      </c>
      <c r="D829" t="e" cm="1">
        <f t="array" aca="1" ref="D829" ca="1">IF(OR(A829="",B829="safety"),"",INDIRECT("template!"&amp;"C"&amp;A829))</f>
        <v>#REF!</v>
      </c>
      <c r="E829" t="e" cm="1">
        <f t="array" aca="1" ref="E829" ca="1">IF(A829="","",IF(OR(A829=A828+1,A829=A828+2),E828,INDIRECT("template!"&amp;"D"&amp;A829-2)))</f>
        <v>#REF!</v>
      </c>
      <c r="F829" t="e" cm="1">
        <f t="array" aca="1" ref="F829" ca="1">IF(OR(A829="",B829="safety"),"",IF(ISBLANK(IF(A829=A828+1,F828,INDIRECT("template!"&amp;"D"&amp;A829-1))),"",IF(A829=A828+1,F828,INDIRECT("template!"&amp;"D"&amp;A829-1))))</f>
        <v>#REF!</v>
      </c>
      <c r="G829" t="e" cm="1">
        <f t="array" aca="1" ref="G829" ca="1">IF(OR(A829="",B829="safety"),"",IF(ISBLANK(INDIRECT("template!"&amp;"D"&amp;A829)),"",INDIRECT("template!"&amp;"D"&amp;A829)))</f>
        <v>#REF!</v>
      </c>
      <c r="H829" t="e" cm="1">
        <f t="array" aca="1" ref="H829" ca="1">IF(OR(A829="",B829="safety"),"",IF(ISBLANK(INDIRECT("template!"&amp;"E"&amp;A829)),"",INDIRECT("template!"&amp;"E"&amp;A829)))</f>
        <v>#REF!</v>
      </c>
      <c r="I829" t="e" cm="1">
        <f t="array" aca="1" ref="I829" ca="1">IF(OR(A829="",B829="safety"),"",IF(ISBLANK(INDIRECT("template!"&amp;"F"&amp;A829)),"",INDIRECT("template!"&amp;"F"&amp;A829)))</f>
        <v>#REF!</v>
      </c>
      <c r="J829" t="e" cm="1">
        <f t="array" aca="1" ref="J829" ca="1">IF(OR(A829="",B829="safety"),"",IF(ISBLANK(INDIRECT("template!"&amp;"G"&amp;A829)),"",INDIRECT("template!"&amp;"G"&amp;A829)))</f>
        <v>#REF!</v>
      </c>
      <c r="K829" t="e" cm="1">
        <f t="array" aca="1" ref="K829" ca="1">IF(OR(A829="",B829="safety"),"",IF(ISBLANK(INDIRECT("template!"&amp;"H"&amp;A829)),"",INDIRECT("template!"&amp;"H"&amp;A829)))</f>
        <v>#REF!</v>
      </c>
      <c r="L829" t="e" cm="1">
        <f t="array" aca="1" ref="L829" ca="1">IF(OR(A829="",B829="safety"),"",INDIRECT("template!"&amp;"I"&amp;A829))</f>
        <v>#REF!</v>
      </c>
      <c r="M829" t="e" cm="1">
        <f t="array" aca="1" ref="M829" ca="1">IF(OR(A829="",B829="safety"),"",INDIRECT("template!"&amp;"J"&amp;A829))</f>
        <v>#REF!</v>
      </c>
      <c r="N829" t="e" cm="1">
        <f t="array" aca="1" ref="N829" ca="1">IF(OR(A829="",B829="safety"),"",IF(ISBLANK(INDIRECT("template!"&amp;"K"&amp;A829)),"",INDIRECT("template!"&amp;"K"&amp;A829)))</f>
        <v>#REF!</v>
      </c>
      <c r="O829" t="e" cm="1">
        <f t="array" aca="1" ref="O829" ca="1">IF(OR(A829="",B829="safety"),"",INDIRECT("template!"&amp;"L"&amp;A829))</f>
        <v>#REF!</v>
      </c>
      <c r="P829" t="e" cm="1">
        <f t="array" aca="1" ref="P829" ca="1">IF(OR(A829="",B829="safety"),"",INDIRECT("template!"&amp;"M"&amp;A829))</f>
        <v>#REF!</v>
      </c>
      <c r="Q829" t="e">
        <f t="shared" ca="1" si="70"/>
        <v>#REF!</v>
      </c>
      <c r="R829" t="e">
        <f t="shared" ca="1" si="71"/>
        <v>#REF!</v>
      </c>
      <c r="S829" t="e">
        <f t="shared" ca="1" si="72"/>
        <v>#REF!</v>
      </c>
      <c r="T829" t="e">
        <f t="shared" ca="1" si="73"/>
        <v>#REF!</v>
      </c>
      <c r="U829" t="e" cm="1">
        <f t="array" aca="1" ref="U829" ca="1">IF(A829="","",IF(E829="","",IF(B829="safety",INDIRECT("template!"&amp;"P"&amp;A829),Q829+R829)))</f>
        <v>#REF!</v>
      </c>
      <c r="V829" t="e" cm="1">
        <f t="array" aca="1" ref="V829" ca="1">IF(A829="","",IF(E829="","",IF(B829="safety",INDIRECT("template!"&amp;"P"&amp;A829),S829+T829)))</f>
        <v>#REF!</v>
      </c>
      <c r="W829" t="e">
        <f ca="1">IF(A829="","",IF(E829="","",#REF!))</f>
        <v>#REF!</v>
      </c>
      <c r="X829" t="e">
        <f ca="1">IF(A829="","",IF(E829="","",#REF!))</f>
        <v>#REF!</v>
      </c>
      <c r="Y829" s="39" t="e">
        <f ca="1">IF(A829="","",IF(E829="","",#REF!))</f>
        <v>#REF!</v>
      </c>
      <c r="Z829" t="e">
        <f ca="1">IF(A829="","",IF(E829="","",#REF!))</f>
        <v>#REF!</v>
      </c>
      <c r="AA829" t="e">
        <f ca="1">IF(A829="","",IF(E829="","",#REF!))</f>
        <v>#REF!</v>
      </c>
      <c r="AB829" t="e">
        <f ca="1">IF(A829="","",IF(E829="","",#REF!))</f>
        <v>#REF!</v>
      </c>
      <c r="AC829" t="e">
        <f t="shared" ca="1" si="74"/>
        <v>#REF!</v>
      </c>
    </row>
    <row r="830" spans="1:29" x14ac:dyDescent="0.35">
      <c r="A830" t="e" cm="1">
        <f t="array" aca="1" ref="A830" ca="1">IF(A829="","",IF(OR(AND(A829+1&gt;=$AF$1,A829+1&lt;=$AF$2),AND(A829+1&gt;=$AF$6,A829+1&lt;=$AF$7),AND(A829+1&gt;=$AF$3,A829+1&lt;=$AF$4),AND(A829+1&gt;=$AF$8,A829+1&lt;=$AF$9),A829+1=$AF$5),IF(NOT(ISBLANK(INDIRECT("template!"&amp;"P"&amp;A829+1))),A829+1,IF(NOT(ISBLANK(INDIRECT("template!"&amp;"P"&amp;A829+2))),A829+2,A829+3)),IF(A829=$AF$2,$AF$3,IF(A829=$AF$4,$AF$5,IF(A829=$AF$5,$AF$6,IF(A829=$AF$7,$AF$8,""))))))</f>
        <v>#REF!</v>
      </c>
      <c r="B830" t="e">
        <f t="shared" ca="1" si="69"/>
        <v>#REF!</v>
      </c>
      <c r="C830" t="e" cm="1">
        <f t="array" aca="1" ref="C830" ca="1">IF(A830="","",IF(B830="safety","safety costs",INDIRECT("template!"&amp;"B"&amp;A830)))</f>
        <v>#REF!</v>
      </c>
      <c r="D830" t="e" cm="1">
        <f t="array" aca="1" ref="D830" ca="1">IF(OR(A830="",B830="safety"),"",INDIRECT("template!"&amp;"C"&amp;A830))</f>
        <v>#REF!</v>
      </c>
      <c r="E830" t="e" cm="1">
        <f t="array" aca="1" ref="E830" ca="1">IF(A830="","",IF(OR(A830=A829+1,A830=A829+2),E829,INDIRECT("template!"&amp;"D"&amp;A830-2)))</f>
        <v>#REF!</v>
      </c>
      <c r="F830" t="e" cm="1">
        <f t="array" aca="1" ref="F830" ca="1">IF(OR(A830="",B830="safety"),"",IF(ISBLANK(IF(A830=A829+1,F829,INDIRECT("template!"&amp;"D"&amp;A830-1))),"",IF(A830=A829+1,F829,INDIRECT("template!"&amp;"D"&amp;A830-1))))</f>
        <v>#REF!</v>
      </c>
      <c r="G830" t="e" cm="1">
        <f t="array" aca="1" ref="G830" ca="1">IF(OR(A830="",B830="safety"),"",IF(ISBLANK(INDIRECT("template!"&amp;"D"&amp;A830)),"",INDIRECT("template!"&amp;"D"&amp;A830)))</f>
        <v>#REF!</v>
      </c>
      <c r="H830" t="e" cm="1">
        <f t="array" aca="1" ref="H830" ca="1">IF(OR(A830="",B830="safety"),"",IF(ISBLANK(INDIRECT("template!"&amp;"E"&amp;A830)),"",INDIRECT("template!"&amp;"E"&amp;A830)))</f>
        <v>#REF!</v>
      </c>
      <c r="I830" t="e" cm="1">
        <f t="array" aca="1" ref="I830" ca="1">IF(OR(A830="",B830="safety"),"",IF(ISBLANK(INDIRECT("template!"&amp;"F"&amp;A830)),"",INDIRECT("template!"&amp;"F"&amp;A830)))</f>
        <v>#REF!</v>
      </c>
      <c r="J830" t="e" cm="1">
        <f t="array" aca="1" ref="J830" ca="1">IF(OR(A830="",B830="safety"),"",IF(ISBLANK(INDIRECT("template!"&amp;"G"&amp;A830)),"",INDIRECT("template!"&amp;"G"&amp;A830)))</f>
        <v>#REF!</v>
      </c>
      <c r="K830" t="e" cm="1">
        <f t="array" aca="1" ref="K830" ca="1">IF(OR(A830="",B830="safety"),"",IF(ISBLANK(INDIRECT("template!"&amp;"H"&amp;A830)),"",INDIRECT("template!"&amp;"H"&amp;A830)))</f>
        <v>#REF!</v>
      </c>
      <c r="L830" t="e" cm="1">
        <f t="array" aca="1" ref="L830" ca="1">IF(OR(A830="",B830="safety"),"",INDIRECT("template!"&amp;"I"&amp;A830))</f>
        <v>#REF!</v>
      </c>
      <c r="M830" t="e" cm="1">
        <f t="array" aca="1" ref="M830" ca="1">IF(OR(A830="",B830="safety"),"",INDIRECT("template!"&amp;"J"&amp;A830))</f>
        <v>#REF!</v>
      </c>
      <c r="N830" t="e" cm="1">
        <f t="array" aca="1" ref="N830" ca="1">IF(OR(A830="",B830="safety"),"",IF(ISBLANK(INDIRECT("template!"&amp;"K"&amp;A830)),"",INDIRECT("template!"&amp;"K"&amp;A830)))</f>
        <v>#REF!</v>
      </c>
      <c r="O830" t="e" cm="1">
        <f t="array" aca="1" ref="O830" ca="1">IF(OR(A830="",B830="safety"),"",INDIRECT("template!"&amp;"L"&amp;A830))</f>
        <v>#REF!</v>
      </c>
      <c r="P830" t="e" cm="1">
        <f t="array" aca="1" ref="P830" ca="1">IF(OR(A830="",B830="safety"),"",INDIRECT("template!"&amp;"M"&amp;A830))</f>
        <v>#REF!</v>
      </c>
      <c r="Q830" t="e">
        <f t="shared" ca="1" si="70"/>
        <v>#REF!</v>
      </c>
      <c r="R830" t="e">
        <f t="shared" ca="1" si="71"/>
        <v>#REF!</v>
      </c>
      <c r="S830" t="e">
        <f t="shared" ca="1" si="72"/>
        <v>#REF!</v>
      </c>
      <c r="T830" t="e">
        <f t="shared" ca="1" si="73"/>
        <v>#REF!</v>
      </c>
      <c r="U830" t="e" cm="1">
        <f t="array" aca="1" ref="U830" ca="1">IF(A830="","",IF(E830="","",IF(B830="safety",INDIRECT("template!"&amp;"P"&amp;A830),Q830+R830)))</f>
        <v>#REF!</v>
      </c>
      <c r="V830" t="e" cm="1">
        <f t="array" aca="1" ref="V830" ca="1">IF(A830="","",IF(E830="","",IF(B830="safety",INDIRECT("template!"&amp;"P"&amp;A830),S830+T830)))</f>
        <v>#REF!</v>
      </c>
      <c r="W830" t="e">
        <f ca="1">IF(A830="","",IF(E830="","",#REF!))</f>
        <v>#REF!</v>
      </c>
      <c r="X830" t="e">
        <f ca="1">IF(A830="","",IF(E830="","",#REF!))</f>
        <v>#REF!</v>
      </c>
      <c r="Y830" s="39" t="e">
        <f ca="1">IF(A830="","",IF(E830="","",#REF!))</f>
        <v>#REF!</v>
      </c>
      <c r="Z830" t="e">
        <f ca="1">IF(A830="","",IF(E830="","",#REF!))</f>
        <v>#REF!</v>
      </c>
      <c r="AA830" t="e">
        <f ca="1">IF(A830="","",IF(E830="","",#REF!))</f>
        <v>#REF!</v>
      </c>
      <c r="AB830" t="e">
        <f ca="1">IF(A830="","",IF(E830="","",#REF!))</f>
        <v>#REF!</v>
      </c>
      <c r="AC830" t="e">
        <f t="shared" ca="1" si="74"/>
        <v>#REF!</v>
      </c>
    </row>
    <row r="831" spans="1:29" x14ac:dyDescent="0.35">
      <c r="A831" t="e" cm="1">
        <f t="array" aca="1" ref="A831" ca="1">IF(A830="","",IF(OR(AND(A830+1&gt;=$AF$1,A830+1&lt;=$AF$2),AND(A830+1&gt;=$AF$6,A830+1&lt;=$AF$7),AND(A830+1&gt;=$AF$3,A830+1&lt;=$AF$4),AND(A830+1&gt;=$AF$8,A830+1&lt;=$AF$9),A830+1=$AF$5),IF(NOT(ISBLANK(INDIRECT("template!"&amp;"P"&amp;A830+1))),A830+1,IF(NOT(ISBLANK(INDIRECT("template!"&amp;"P"&amp;A830+2))),A830+2,A830+3)),IF(A830=$AF$2,$AF$3,IF(A830=$AF$4,$AF$5,IF(A830=$AF$5,$AF$6,IF(A830=$AF$7,$AF$8,""))))))</f>
        <v>#REF!</v>
      </c>
      <c r="B831" t="e">
        <f t="shared" ca="1" si="69"/>
        <v>#REF!</v>
      </c>
      <c r="C831" t="e" cm="1">
        <f t="array" aca="1" ref="C831" ca="1">IF(A831="","",IF(B831="safety","safety costs",INDIRECT("template!"&amp;"B"&amp;A831)))</f>
        <v>#REF!</v>
      </c>
      <c r="D831" t="e" cm="1">
        <f t="array" aca="1" ref="D831" ca="1">IF(OR(A831="",B831="safety"),"",INDIRECT("template!"&amp;"C"&amp;A831))</f>
        <v>#REF!</v>
      </c>
      <c r="E831" t="e" cm="1">
        <f t="array" aca="1" ref="E831" ca="1">IF(A831="","",IF(OR(A831=A830+1,A831=A830+2),E830,INDIRECT("template!"&amp;"D"&amp;A831-2)))</f>
        <v>#REF!</v>
      </c>
      <c r="F831" t="e" cm="1">
        <f t="array" aca="1" ref="F831" ca="1">IF(OR(A831="",B831="safety"),"",IF(ISBLANK(IF(A831=A830+1,F830,INDIRECT("template!"&amp;"D"&amp;A831-1))),"",IF(A831=A830+1,F830,INDIRECT("template!"&amp;"D"&amp;A831-1))))</f>
        <v>#REF!</v>
      </c>
      <c r="G831" t="e" cm="1">
        <f t="array" aca="1" ref="G831" ca="1">IF(OR(A831="",B831="safety"),"",IF(ISBLANK(INDIRECT("template!"&amp;"D"&amp;A831)),"",INDIRECT("template!"&amp;"D"&amp;A831)))</f>
        <v>#REF!</v>
      </c>
      <c r="H831" t="e" cm="1">
        <f t="array" aca="1" ref="H831" ca="1">IF(OR(A831="",B831="safety"),"",IF(ISBLANK(INDIRECT("template!"&amp;"E"&amp;A831)),"",INDIRECT("template!"&amp;"E"&amp;A831)))</f>
        <v>#REF!</v>
      </c>
      <c r="I831" t="e" cm="1">
        <f t="array" aca="1" ref="I831" ca="1">IF(OR(A831="",B831="safety"),"",IF(ISBLANK(INDIRECT("template!"&amp;"F"&amp;A831)),"",INDIRECT("template!"&amp;"F"&amp;A831)))</f>
        <v>#REF!</v>
      </c>
      <c r="J831" t="e" cm="1">
        <f t="array" aca="1" ref="J831" ca="1">IF(OR(A831="",B831="safety"),"",IF(ISBLANK(INDIRECT("template!"&amp;"G"&amp;A831)),"",INDIRECT("template!"&amp;"G"&amp;A831)))</f>
        <v>#REF!</v>
      </c>
      <c r="K831" t="e" cm="1">
        <f t="array" aca="1" ref="K831" ca="1">IF(OR(A831="",B831="safety"),"",IF(ISBLANK(INDIRECT("template!"&amp;"H"&amp;A831)),"",INDIRECT("template!"&amp;"H"&amp;A831)))</f>
        <v>#REF!</v>
      </c>
      <c r="L831" t="e" cm="1">
        <f t="array" aca="1" ref="L831" ca="1">IF(OR(A831="",B831="safety"),"",INDIRECT("template!"&amp;"I"&amp;A831))</f>
        <v>#REF!</v>
      </c>
      <c r="M831" t="e" cm="1">
        <f t="array" aca="1" ref="M831" ca="1">IF(OR(A831="",B831="safety"),"",INDIRECT("template!"&amp;"J"&amp;A831))</f>
        <v>#REF!</v>
      </c>
      <c r="N831" t="e" cm="1">
        <f t="array" aca="1" ref="N831" ca="1">IF(OR(A831="",B831="safety"),"",IF(ISBLANK(INDIRECT("template!"&amp;"K"&amp;A831)),"",INDIRECT("template!"&amp;"K"&amp;A831)))</f>
        <v>#REF!</v>
      </c>
      <c r="O831" t="e" cm="1">
        <f t="array" aca="1" ref="O831" ca="1">IF(OR(A831="",B831="safety"),"",INDIRECT("template!"&amp;"L"&amp;A831))</f>
        <v>#REF!</v>
      </c>
      <c r="P831" t="e" cm="1">
        <f t="array" aca="1" ref="P831" ca="1">IF(OR(A831="",B831="safety"),"",INDIRECT("template!"&amp;"M"&amp;A831))</f>
        <v>#REF!</v>
      </c>
      <c r="Q831" t="e">
        <f t="shared" ca="1" si="70"/>
        <v>#REF!</v>
      </c>
      <c r="R831" t="e">
        <f t="shared" ca="1" si="71"/>
        <v>#REF!</v>
      </c>
      <c r="S831" t="e">
        <f t="shared" ca="1" si="72"/>
        <v>#REF!</v>
      </c>
      <c r="T831" t="e">
        <f t="shared" ca="1" si="73"/>
        <v>#REF!</v>
      </c>
      <c r="U831" t="e" cm="1">
        <f t="array" aca="1" ref="U831" ca="1">IF(A831="","",IF(E831="","",IF(B831="safety",INDIRECT("template!"&amp;"P"&amp;A831),Q831+R831)))</f>
        <v>#REF!</v>
      </c>
      <c r="V831" t="e" cm="1">
        <f t="array" aca="1" ref="V831" ca="1">IF(A831="","",IF(E831="","",IF(B831="safety",INDIRECT("template!"&amp;"P"&amp;A831),S831+T831)))</f>
        <v>#REF!</v>
      </c>
      <c r="W831" t="e">
        <f ca="1">IF(A831="","",IF(E831="","",#REF!))</f>
        <v>#REF!</v>
      </c>
      <c r="X831" t="e">
        <f ca="1">IF(A831="","",IF(E831="","",#REF!))</f>
        <v>#REF!</v>
      </c>
      <c r="Y831" s="39" t="e">
        <f ca="1">IF(A831="","",IF(E831="","",#REF!))</f>
        <v>#REF!</v>
      </c>
      <c r="Z831" t="e">
        <f ca="1">IF(A831="","",IF(E831="","",#REF!))</f>
        <v>#REF!</v>
      </c>
      <c r="AA831" t="e">
        <f ca="1">IF(A831="","",IF(E831="","",#REF!))</f>
        <v>#REF!</v>
      </c>
      <c r="AB831" t="e">
        <f ca="1">IF(A831="","",IF(E831="","",#REF!))</f>
        <v>#REF!</v>
      </c>
      <c r="AC831" t="e">
        <f t="shared" ca="1" si="74"/>
        <v>#REF!</v>
      </c>
    </row>
    <row r="832" spans="1:29" x14ac:dyDescent="0.35">
      <c r="A832" t="e" cm="1">
        <f t="array" aca="1" ref="A832" ca="1">IF(A831="","",IF(OR(AND(A831+1&gt;=$AF$1,A831+1&lt;=$AF$2),AND(A831+1&gt;=$AF$6,A831+1&lt;=$AF$7),AND(A831+1&gt;=$AF$3,A831+1&lt;=$AF$4),AND(A831+1&gt;=$AF$8,A831+1&lt;=$AF$9),A831+1=$AF$5),IF(NOT(ISBLANK(INDIRECT("template!"&amp;"P"&amp;A831+1))),A831+1,IF(NOT(ISBLANK(INDIRECT("template!"&amp;"P"&amp;A831+2))),A831+2,A831+3)),IF(A831=$AF$2,$AF$3,IF(A831=$AF$4,$AF$5,IF(A831=$AF$5,$AF$6,IF(A831=$AF$7,$AF$8,""))))))</f>
        <v>#REF!</v>
      </c>
      <c r="B832" t="e">
        <f t="shared" ca="1" si="69"/>
        <v>#REF!</v>
      </c>
      <c r="C832" t="e" cm="1">
        <f t="array" aca="1" ref="C832" ca="1">IF(A832="","",IF(B832="safety","safety costs",INDIRECT("template!"&amp;"B"&amp;A832)))</f>
        <v>#REF!</v>
      </c>
      <c r="D832" t="e" cm="1">
        <f t="array" aca="1" ref="D832" ca="1">IF(OR(A832="",B832="safety"),"",INDIRECT("template!"&amp;"C"&amp;A832))</f>
        <v>#REF!</v>
      </c>
      <c r="E832" t="e" cm="1">
        <f t="array" aca="1" ref="E832" ca="1">IF(A832="","",IF(OR(A832=A831+1,A832=A831+2),E831,INDIRECT("template!"&amp;"D"&amp;A832-2)))</f>
        <v>#REF!</v>
      </c>
      <c r="F832" t="e" cm="1">
        <f t="array" aca="1" ref="F832" ca="1">IF(OR(A832="",B832="safety"),"",IF(ISBLANK(IF(A832=A831+1,F831,INDIRECT("template!"&amp;"D"&amp;A832-1))),"",IF(A832=A831+1,F831,INDIRECT("template!"&amp;"D"&amp;A832-1))))</f>
        <v>#REF!</v>
      </c>
      <c r="G832" t="e" cm="1">
        <f t="array" aca="1" ref="G832" ca="1">IF(OR(A832="",B832="safety"),"",IF(ISBLANK(INDIRECT("template!"&amp;"D"&amp;A832)),"",INDIRECT("template!"&amp;"D"&amp;A832)))</f>
        <v>#REF!</v>
      </c>
      <c r="H832" t="e" cm="1">
        <f t="array" aca="1" ref="H832" ca="1">IF(OR(A832="",B832="safety"),"",IF(ISBLANK(INDIRECT("template!"&amp;"E"&amp;A832)),"",INDIRECT("template!"&amp;"E"&amp;A832)))</f>
        <v>#REF!</v>
      </c>
      <c r="I832" t="e" cm="1">
        <f t="array" aca="1" ref="I832" ca="1">IF(OR(A832="",B832="safety"),"",IF(ISBLANK(INDIRECT("template!"&amp;"F"&amp;A832)),"",INDIRECT("template!"&amp;"F"&amp;A832)))</f>
        <v>#REF!</v>
      </c>
      <c r="J832" t="e" cm="1">
        <f t="array" aca="1" ref="J832" ca="1">IF(OR(A832="",B832="safety"),"",IF(ISBLANK(INDIRECT("template!"&amp;"G"&amp;A832)),"",INDIRECT("template!"&amp;"G"&amp;A832)))</f>
        <v>#REF!</v>
      </c>
      <c r="K832" t="e" cm="1">
        <f t="array" aca="1" ref="K832" ca="1">IF(OR(A832="",B832="safety"),"",IF(ISBLANK(INDIRECT("template!"&amp;"H"&amp;A832)),"",INDIRECT("template!"&amp;"H"&amp;A832)))</f>
        <v>#REF!</v>
      </c>
      <c r="L832" t="e" cm="1">
        <f t="array" aca="1" ref="L832" ca="1">IF(OR(A832="",B832="safety"),"",INDIRECT("template!"&amp;"I"&amp;A832))</f>
        <v>#REF!</v>
      </c>
      <c r="M832" t="e" cm="1">
        <f t="array" aca="1" ref="M832" ca="1">IF(OR(A832="",B832="safety"),"",INDIRECT("template!"&amp;"J"&amp;A832))</f>
        <v>#REF!</v>
      </c>
      <c r="N832" t="e" cm="1">
        <f t="array" aca="1" ref="N832" ca="1">IF(OR(A832="",B832="safety"),"",IF(ISBLANK(INDIRECT("template!"&amp;"K"&amp;A832)),"",INDIRECT("template!"&amp;"K"&amp;A832)))</f>
        <v>#REF!</v>
      </c>
      <c r="O832" t="e" cm="1">
        <f t="array" aca="1" ref="O832" ca="1">IF(OR(A832="",B832="safety"),"",INDIRECT("template!"&amp;"L"&amp;A832))</f>
        <v>#REF!</v>
      </c>
      <c r="P832" t="e" cm="1">
        <f t="array" aca="1" ref="P832" ca="1">IF(OR(A832="",B832="safety"),"",INDIRECT("template!"&amp;"M"&amp;A832))</f>
        <v>#REF!</v>
      </c>
      <c r="Q832" t="e">
        <f t="shared" ca="1" si="70"/>
        <v>#REF!</v>
      </c>
      <c r="R832" t="e">
        <f t="shared" ca="1" si="71"/>
        <v>#REF!</v>
      </c>
      <c r="S832" t="e">
        <f t="shared" ca="1" si="72"/>
        <v>#REF!</v>
      </c>
      <c r="T832" t="e">
        <f t="shared" ca="1" si="73"/>
        <v>#REF!</v>
      </c>
      <c r="U832" t="e" cm="1">
        <f t="array" aca="1" ref="U832" ca="1">IF(A832="","",IF(E832="","",IF(B832="safety",INDIRECT("template!"&amp;"P"&amp;A832),Q832+R832)))</f>
        <v>#REF!</v>
      </c>
      <c r="V832" t="e" cm="1">
        <f t="array" aca="1" ref="V832" ca="1">IF(A832="","",IF(E832="","",IF(B832="safety",INDIRECT("template!"&amp;"P"&amp;A832),S832+T832)))</f>
        <v>#REF!</v>
      </c>
      <c r="W832" t="e">
        <f ca="1">IF(A832="","",IF(E832="","",#REF!))</f>
        <v>#REF!</v>
      </c>
      <c r="X832" t="e">
        <f ca="1">IF(A832="","",IF(E832="","",#REF!))</f>
        <v>#REF!</v>
      </c>
      <c r="Y832" s="39" t="e">
        <f ca="1">IF(A832="","",IF(E832="","",#REF!))</f>
        <v>#REF!</v>
      </c>
      <c r="Z832" t="e">
        <f ca="1">IF(A832="","",IF(E832="","",#REF!))</f>
        <v>#REF!</v>
      </c>
      <c r="AA832" t="e">
        <f ca="1">IF(A832="","",IF(E832="","",#REF!))</f>
        <v>#REF!</v>
      </c>
      <c r="AB832" t="e">
        <f ca="1">IF(A832="","",IF(E832="","",#REF!))</f>
        <v>#REF!</v>
      </c>
      <c r="AC832" t="e">
        <f t="shared" ca="1" si="74"/>
        <v>#REF!</v>
      </c>
    </row>
    <row r="833" spans="1:29" x14ac:dyDescent="0.35">
      <c r="A833" t="e" cm="1">
        <f t="array" aca="1" ref="A833" ca="1">IF(A832="","",IF(OR(AND(A832+1&gt;=$AF$1,A832+1&lt;=$AF$2),AND(A832+1&gt;=$AF$6,A832+1&lt;=$AF$7),AND(A832+1&gt;=$AF$3,A832+1&lt;=$AF$4),AND(A832+1&gt;=$AF$8,A832+1&lt;=$AF$9),A832+1=$AF$5),IF(NOT(ISBLANK(INDIRECT("template!"&amp;"P"&amp;A832+1))),A832+1,IF(NOT(ISBLANK(INDIRECT("template!"&amp;"P"&amp;A832+2))),A832+2,A832+3)),IF(A832=$AF$2,$AF$3,IF(A832=$AF$4,$AF$5,IF(A832=$AF$5,$AF$6,IF(A832=$AF$7,$AF$8,""))))))</f>
        <v>#REF!</v>
      </c>
      <c r="B833" t="e">
        <f t="shared" ca="1" si="69"/>
        <v>#REF!</v>
      </c>
      <c r="C833" t="e" cm="1">
        <f t="array" aca="1" ref="C833" ca="1">IF(A833="","",IF(B833="safety","safety costs",INDIRECT("template!"&amp;"B"&amp;A833)))</f>
        <v>#REF!</v>
      </c>
      <c r="D833" t="e" cm="1">
        <f t="array" aca="1" ref="D833" ca="1">IF(OR(A833="",B833="safety"),"",INDIRECT("template!"&amp;"C"&amp;A833))</f>
        <v>#REF!</v>
      </c>
      <c r="E833" t="e" cm="1">
        <f t="array" aca="1" ref="E833" ca="1">IF(A833="","",IF(OR(A833=A832+1,A833=A832+2),E832,INDIRECT("template!"&amp;"D"&amp;A833-2)))</f>
        <v>#REF!</v>
      </c>
      <c r="F833" t="e" cm="1">
        <f t="array" aca="1" ref="F833" ca="1">IF(OR(A833="",B833="safety"),"",IF(ISBLANK(IF(A833=A832+1,F832,INDIRECT("template!"&amp;"D"&amp;A833-1))),"",IF(A833=A832+1,F832,INDIRECT("template!"&amp;"D"&amp;A833-1))))</f>
        <v>#REF!</v>
      </c>
      <c r="G833" t="e" cm="1">
        <f t="array" aca="1" ref="G833" ca="1">IF(OR(A833="",B833="safety"),"",IF(ISBLANK(INDIRECT("template!"&amp;"D"&amp;A833)),"",INDIRECT("template!"&amp;"D"&amp;A833)))</f>
        <v>#REF!</v>
      </c>
      <c r="H833" t="e" cm="1">
        <f t="array" aca="1" ref="H833" ca="1">IF(OR(A833="",B833="safety"),"",IF(ISBLANK(INDIRECT("template!"&amp;"E"&amp;A833)),"",INDIRECT("template!"&amp;"E"&amp;A833)))</f>
        <v>#REF!</v>
      </c>
      <c r="I833" t="e" cm="1">
        <f t="array" aca="1" ref="I833" ca="1">IF(OR(A833="",B833="safety"),"",IF(ISBLANK(INDIRECT("template!"&amp;"F"&amp;A833)),"",INDIRECT("template!"&amp;"F"&amp;A833)))</f>
        <v>#REF!</v>
      </c>
      <c r="J833" t="e" cm="1">
        <f t="array" aca="1" ref="J833" ca="1">IF(OR(A833="",B833="safety"),"",IF(ISBLANK(INDIRECT("template!"&amp;"G"&amp;A833)),"",INDIRECT("template!"&amp;"G"&amp;A833)))</f>
        <v>#REF!</v>
      </c>
      <c r="K833" t="e" cm="1">
        <f t="array" aca="1" ref="K833" ca="1">IF(OR(A833="",B833="safety"),"",IF(ISBLANK(INDIRECT("template!"&amp;"H"&amp;A833)),"",INDIRECT("template!"&amp;"H"&amp;A833)))</f>
        <v>#REF!</v>
      </c>
      <c r="L833" t="e" cm="1">
        <f t="array" aca="1" ref="L833" ca="1">IF(OR(A833="",B833="safety"),"",INDIRECT("template!"&amp;"I"&amp;A833))</f>
        <v>#REF!</v>
      </c>
      <c r="M833" t="e" cm="1">
        <f t="array" aca="1" ref="M833" ca="1">IF(OR(A833="",B833="safety"),"",INDIRECT("template!"&amp;"J"&amp;A833))</f>
        <v>#REF!</v>
      </c>
      <c r="N833" t="e" cm="1">
        <f t="array" aca="1" ref="N833" ca="1">IF(OR(A833="",B833="safety"),"",IF(ISBLANK(INDIRECT("template!"&amp;"K"&amp;A833)),"",INDIRECT("template!"&amp;"K"&amp;A833)))</f>
        <v>#REF!</v>
      </c>
      <c r="O833" t="e" cm="1">
        <f t="array" aca="1" ref="O833" ca="1">IF(OR(A833="",B833="safety"),"",INDIRECT("template!"&amp;"L"&amp;A833))</f>
        <v>#REF!</v>
      </c>
      <c r="P833" t="e" cm="1">
        <f t="array" aca="1" ref="P833" ca="1">IF(OR(A833="",B833="safety"),"",INDIRECT("template!"&amp;"M"&amp;A833))</f>
        <v>#REF!</v>
      </c>
      <c r="Q833" t="e">
        <f t="shared" ca="1" si="70"/>
        <v>#REF!</v>
      </c>
      <c r="R833" t="e">
        <f t="shared" ca="1" si="71"/>
        <v>#REF!</v>
      </c>
      <c r="S833" t="e">
        <f t="shared" ca="1" si="72"/>
        <v>#REF!</v>
      </c>
      <c r="T833" t="e">
        <f t="shared" ca="1" si="73"/>
        <v>#REF!</v>
      </c>
      <c r="U833" t="e" cm="1">
        <f t="array" aca="1" ref="U833" ca="1">IF(A833="","",IF(E833="","",IF(B833="safety",INDIRECT("template!"&amp;"P"&amp;A833),Q833+R833)))</f>
        <v>#REF!</v>
      </c>
      <c r="V833" t="e" cm="1">
        <f t="array" aca="1" ref="V833" ca="1">IF(A833="","",IF(E833="","",IF(B833="safety",INDIRECT("template!"&amp;"P"&amp;A833),S833+T833)))</f>
        <v>#REF!</v>
      </c>
      <c r="W833" t="e">
        <f ca="1">IF(A833="","",IF(E833="","",#REF!))</f>
        <v>#REF!</v>
      </c>
      <c r="X833" t="e">
        <f ca="1">IF(A833="","",IF(E833="","",#REF!))</f>
        <v>#REF!</v>
      </c>
      <c r="Y833" s="39" t="e">
        <f ca="1">IF(A833="","",IF(E833="","",#REF!))</f>
        <v>#REF!</v>
      </c>
      <c r="Z833" t="e">
        <f ca="1">IF(A833="","",IF(E833="","",#REF!))</f>
        <v>#REF!</v>
      </c>
      <c r="AA833" t="e">
        <f ca="1">IF(A833="","",IF(E833="","",#REF!))</f>
        <v>#REF!</v>
      </c>
      <c r="AB833" t="e">
        <f ca="1">IF(A833="","",IF(E833="","",#REF!))</f>
        <v>#REF!</v>
      </c>
      <c r="AC833" t="e">
        <f t="shared" ca="1" si="74"/>
        <v>#REF!</v>
      </c>
    </row>
    <row r="834" spans="1:29" x14ac:dyDescent="0.35">
      <c r="A834" t="e" cm="1">
        <f t="array" aca="1" ref="A834" ca="1">IF(A833="","",IF(OR(AND(A833+1&gt;=$AF$1,A833+1&lt;=$AF$2),AND(A833+1&gt;=$AF$6,A833+1&lt;=$AF$7),AND(A833+1&gt;=$AF$3,A833+1&lt;=$AF$4),AND(A833+1&gt;=$AF$8,A833+1&lt;=$AF$9),A833+1=$AF$5),IF(NOT(ISBLANK(INDIRECT("template!"&amp;"P"&amp;A833+1))),A833+1,IF(NOT(ISBLANK(INDIRECT("template!"&amp;"P"&amp;A833+2))),A833+2,A833+3)),IF(A833=$AF$2,$AF$3,IF(A833=$AF$4,$AF$5,IF(A833=$AF$5,$AF$6,IF(A833=$AF$7,$AF$8,""))))))</f>
        <v>#REF!</v>
      </c>
      <c r="B834" t="e">
        <f t="shared" ref="B834:B897" ca="1" si="75">IF(A834="","",IF(OR(AND(A834&gt;=$AF$1,A834&lt;=$AF$2),AND(A834&gt;=$AF$6,A834&lt;=$AF$7)),"Mechanical",IF(OR(AND(A834&gt;=$AF$3,A834&lt;=$AF$4),AND(A834&gt;=$AF$8,A834&lt;=$AF$9)),"Electric",IF(A834=$AF$5,"Safety",""))))</f>
        <v>#REF!</v>
      </c>
      <c r="C834" t="e" cm="1">
        <f t="array" aca="1" ref="C834" ca="1">IF(A834="","",IF(B834="safety","safety costs",INDIRECT("template!"&amp;"B"&amp;A834)))</f>
        <v>#REF!</v>
      </c>
      <c r="D834" t="e" cm="1">
        <f t="array" aca="1" ref="D834" ca="1">IF(OR(A834="",B834="safety"),"",INDIRECT("template!"&amp;"C"&amp;A834))</f>
        <v>#REF!</v>
      </c>
      <c r="E834" t="e" cm="1">
        <f t="array" aca="1" ref="E834" ca="1">IF(A834="","",IF(OR(A834=A833+1,A834=A833+2),E833,INDIRECT("template!"&amp;"D"&amp;A834-2)))</f>
        <v>#REF!</v>
      </c>
      <c r="F834" t="e" cm="1">
        <f t="array" aca="1" ref="F834" ca="1">IF(OR(A834="",B834="safety"),"",IF(ISBLANK(IF(A834=A833+1,F833,INDIRECT("template!"&amp;"D"&amp;A834-1))),"",IF(A834=A833+1,F833,INDIRECT("template!"&amp;"D"&amp;A834-1))))</f>
        <v>#REF!</v>
      </c>
      <c r="G834" t="e" cm="1">
        <f t="array" aca="1" ref="G834" ca="1">IF(OR(A834="",B834="safety"),"",IF(ISBLANK(INDIRECT("template!"&amp;"D"&amp;A834)),"",INDIRECT("template!"&amp;"D"&amp;A834)))</f>
        <v>#REF!</v>
      </c>
      <c r="H834" t="e" cm="1">
        <f t="array" aca="1" ref="H834" ca="1">IF(OR(A834="",B834="safety"),"",IF(ISBLANK(INDIRECT("template!"&amp;"E"&amp;A834)),"",INDIRECT("template!"&amp;"E"&amp;A834)))</f>
        <v>#REF!</v>
      </c>
      <c r="I834" t="e" cm="1">
        <f t="array" aca="1" ref="I834" ca="1">IF(OR(A834="",B834="safety"),"",IF(ISBLANK(INDIRECT("template!"&amp;"F"&amp;A834)),"",INDIRECT("template!"&amp;"F"&amp;A834)))</f>
        <v>#REF!</v>
      </c>
      <c r="J834" t="e" cm="1">
        <f t="array" aca="1" ref="J834" ca="1">IF(OR(A834="",B834="safety"),"",IF(ISBLANK(INDIRECT("template!"&amp;"G"&amp;A834)),"",INDIRECT("template!"&amp;"G"&amp;A834)))</f>
        <v>#REF!</v>
      </c>
      <c r="K834" t="e" cm="1">
        <f t="array" aca="1" ref="K834" ca="1">IF(OR(A834="",B834="safety"),"",IF(ISBLANK(INDIRECT("template!"&amp;"H"&amp;A834)),"",INDIRECT("template!"&amp;"H"&amp;A834)))</f>
        <v>#REF!</v>
      </c>
      <c r="L834" t="e" cm="1">
        <f t="array" aca="1" ref="L834" ca="1">IF(OR(A834="",B834="safety"),"",INDIRECT("template!"&amp;"I"&amp;A834))</f>
        <v>#REF!</v>
      </c>
      <c r="M834" t="e" cm="1">
        <f t="array" aca="1" ref="M834" ca="1">IF(OR(A834="",B834="safety"),"",INDIRECT("template!"&amp;"J"&amp;A834))</f>
        <v>#REF!</v>
      </c>
      <c r="N834" t="e" cm="1">
        <f t="array" aca="1" ref="N834" ca="1">IF(OR(A834="",B834="safety"),"",IF(ISBLANK(INDIRECT("template!"&amp;"K"&amp;A834)),"",INDIRECT("template!"&amp;"K"&amp;A834)))</f>
        <v>#REF!</v>
      </c>
      <c r="O834" t="e" cm="1">
        <f t="array" aca="1" ref="O834" ca="1">IF(OR(A834="",B834="safety"),"",INDIRECT("template!"&amp;"L"&amp;A834))</f>
        <v>#REF!</v>
      </c>
      <c r="P834" t="e" cm="1">
        <f t="array" aca="1" ref="P834" ca="1">IF(OR(A834="",B834="safety"),"",INDIRECT("template!"&amp;"M"&amp;A834))</f>
        <v>#REF!</v>
      </c>
      <c r="Q834" t="e">
        <f t="shared" ca="1" si="70"/>
        <v>#REF!</v>
      </c>
      <c r="R834" t="e">
        <f t="shared" ca="1" si="71"/>
        <v>#REF!</v>
      </c>
      <c r="S834" t="e">
        <f t="shared" ca="1" si="72"/>
        <v>#REF!</v>
      </c>
      <c r="T834" t="e">
        <f t="shared" ca="1" si="73"/>
        <v>#REF!</v>
      </c>
      <c r="U834" t="e" cm="1">
        <f t="array" aca="1" ref="U834" ca="1">IF(A834="","",IF(E834="","",IF(B834="safety",INDIRECT("template!"&amp;"P"&amp;A834),Q834+R834)))</f>
        <v>#REF!</v>
      </c>
      <c r="V834" t="e" cm="1">
        <f t="array" aca="1" ref="V834" ca="1">IF(A834="","",IF(E834="","",IF(B834="safety",INDIRECT("template!"&amp;"P"&amp;A834),S834+T834)))</f>
        <v>#REF!</v>
      </c>
      <c r="W834" t="e">
        <f ca="1">IF(A834="","",IF(E834="","",#REF!))</f>
        <v>#REF!</v>
      </c>
      <c r="X834" t="e">
        <f ca="1">IF(A834="","",IF(E834="","",#REF!))</f>
        <v>#REF!</v>
      </c>
      <c r="Y834" s="39" t="e">
        <f ca="1">IF(A834="","",IF(E834="","",#REF!))</f>
        <v>#REF!</v>
      </c>
      <c r="Z834" t="e">
        <f ca="1">IF(A834="","",IF(E834="","",#REF!))</f>
        <v>#REF!</v>
      </c>
      <c r="AA834" t="e">
        <f ca="1">IF(A834="","",IF(E834="","",#REF!))</f>
        <v>#REF!</v>
      </c>
      <c r="AB834" t="e">
        <f ca="1">IF(A834="","",IF(E834="","",#REF!))</f>
        <v>#REF!</v>
      </c>
      <c r="AC834" t="e">
        <f t="shared" ca="1" si="74"/>
        <v>#REF!</v>
      </c>
    </row>
    <row r="835" spans="1:29" x14ac:dyDescent="0.35">
      <c r="A835" t="e" cm="1">
        <f t="array" aca="1" ref="A835" ca="1">IF(A834="","",IF(OR(AND(A834+1&gt;=$AF$1,A834+1&lt;=$AF$2),AND(A834+1&gt;=$AF$6,A834+1&lt;=$AF$7),AND(A834+1&gt;=$AF$3,A834+1&lt;=$AF$4),AND(A834+1&gt;=$AF$8,A834+1&lt;=$AF$9),A834+1=$AF$5),IF(NOT(ISBLANK(INDIRECT("template!"&amp;"P"&amp;A834+1))),A834+1,IF(NOT(ISBLANK(INDIRECT("template!"&amp;"P"&amp;A834+2))),A834+2,A834+3)),IF(A834=$AF$2,$AF$3,IF(A834=$AF$4,$AF$5,IF(A834=$AF$5,$AF$6,IF(A834=$AF$7,$AF$8,""))))))</f>
        <v>#REF!</v>
      </c>
      <c r="B835" t="e">
        <f t="shared" ca="1" si="75"/>
        <v>#REF!</v>
      </c>
      <c r="C835" t="e" cm="1">
        <f t="array" aca="1" ref="C835" ca="1">IF(A835="","",IF(B835="safety","safety costs",INDIRECT("template!"&amp;"B"&amp;A835)))</f>
        <v>#REF!</v>
      </c>
      <c r="D835" t="e" cm="1">
        <f t="array" aca="1" ref="D835" ca="1">IF(OR(A835="",B835="safety"),"",INDIRECT("template!"&amp;"C"&amp;A835))</f>
        <v>#REF!</v>
      </c>
      <c r="E835" t="e" cm="1">
        <f t="array" aca="1" ref="E835" ca="1">IF(A835="","",IF(OR(A835=A834+1,A835=A834+2),E834,INDIRECT("template!"&amp;"D"&amp;A835-2)))</f>
        <v>#REF!</v>
      </c>
      <c r="F835" t="e" cm="1">
        <f t="array" aca="1" ref="F835" ca="1">IF(OR(A835="",B835="safety"),"",IF(ISBLANK(IF(A835=A834+1,F834,INDIRECT("template!"&amp;"D"&amp;A835-1))),"",IF(A835=A834+1,F834,INDIRECT("template!"&amp;"D"&amp;A835-1))))</f>
        <v>#REF!</v>
      </c>
      <c r="G835" t="e" cm="1">
        <f t="array" aca="1" ref="G835" ca="1">IF(OR(A835="",B835="safety"),"",IF(ISBLANK(INDIRECT("template!"&amp;"D"&amp;A835)),"",INDIRECT("template!"&amp;"D"&amp;A835)))</f>
        <v>#REF!</v>
      </c>
      <c r="H835" t="e" cm="1">
        <f t="array" aca="1" ref="H835" ca="1">IF(OR(A835="",B835="safety"),"",IF(ISBLANK(INDIRECT("template!"&amp;"E"&amp;A835)),"",INDIRECT("template!"&amp;"E"&amp;A835)))</f>
        <v>#REF!</v>
      </c>
      <c r="I835" t="e" cm="1">
        <f t="array" aca="1" ref="I835" ca="1">IF(OR(A835="",B835="safety"),"",IF(ISBLANK(INDIRECT("template!"&amp;"F"&amp;A835)),"",INDIRECT("template!"&amp;"F"&amp;A835)))</f>
        <v>#REF!</v>
      </c>
      <c r="J835" t="e" cm="1">
        <f t="array" aca="1" ref="J835" ca="1">IF(OR(A835="",B835="safety"),"",IF(ISBLANK(INDIRECT("template!"&amp;"G"&amp;A835)),"",INDIRECT("template!"&amp;"G"&amp;A835)))</f>
        <v>#REF!</v>
      </c>
      <c r="K835" t="e" cm="1">
        <f t="array" aca="1" ref="K835" ca="1">IF(OR(A835="",B835="safety"),"",IF(ISBLANK(INDIRECT("template!"&amp;"H"&amp;A835)),"",INDIRECT("template!"&amp;"H"&amp;A835)))</f>
        <v>#REF!</v>
      </c>
      <c r="L835" t="e" cm="1">
        <f t="array" aca="1" ref="L835" ca="1">IF(OR(A835="",B835="safety"),"",INDIRECT("template!"&amp;"I"&amp;A835))</f>
        <v>#REF!</v>
      </c>
      <c r="M835" t="e" cm="1">
        <f t="array" aca="1" ref="M835" ca="1">IF(OR(A835="",B835="safety"),"",INDIRECT("template!"&amp;"J"&amp;A835))</f>
        <v>#REF!</v>
      </c>
      <c r="N835" t="e" cm="1">
        <f t="array" aca="1" ref="N835" ca="1">IF(OR(A835="",B835="safety"),"",IF(ISBLANK(INDIRECT("template!"&amp;"K"&amp;A835)),"",INDIRECT("template!"&amp;"K"&amp;A835)))</f>
        <v>#REF!</v>
      </c>
      <c r="O835" t="e" cm="1">
        <f t="array" aca="1" ref="O835" ca="1">IF(OR(A835="",B835="safety"),"",INDIRECT("template!"&amp;"L"&amp;A835))</f>
        <v>#REF!</v>
      </c>
      <c r="P835" t="e" cm="1">
        <f t="array" aca="1" ref="P835" ca="1">IF(OR(A835="",B835="safety"),"",INDIRECT("template!"&amp;"M"&amp;A835))</f>
        <v>#REF!</v>
      </c>
      <c r="Q835" t="e">
        <f t="shared" ca="1" si="70"/>
        <v>#REF!</v>
      </c>
      <c r="R835" t="e">
        <f t="shared" ca="1" si="71"/>
        <v>#REF!</v>
      </c>
      <c r="S835" t="e">
        <f t="shared" ca="1" si="72"/>
        <v>#REF!</v>
      </c>
      <c r="T835" t="e">
        <f t="shared" ca="1" si="73"/>
        <v>#REF!</v>
      </c>
      <c r="U835" t="e" cm="1">
        <f t="array" aca="1" ref="U835" ca="1">IF(A835="","",IF(E835="","",IF(B835="safety",INDIRECT("template!"&amp;"P"&amp;A835),Q835+R835)))</f>
        <v>#REF!</v>
      </c>
      <c r="V835" t="e" cm="1">
        <f t="array" aca="1" ref="V835" ca="1">IF(A835="","",IF(E835="","",IF(B835="safety",INDIRECT("template!"&amp;"P"&amp;A835),S835+T835)))</f>
        <v>#REF!</v>
      </c>
      <c r="W835" t="e">
        <f ca="1">IF(A835="","",IF(E835="","",#REF!))</f>
        <v>#REF!</v>
      </c>
      <c r="X835" t="e">
        <f ca="1">IF(A835="","",IF(E835="","",#REF!))</f>
        <v>#REF!</v>
      </c>
      <c r="Y835" s="39" t="e">
        <f ca="1">IF(A835="","",IF(E835="","",#REF!))</f>
        <v>#REF!</v>
      </c>
      <c r="Z835" t="e">
        <f ca="1">IF(A835="","",IF(E835="","",#REF!))</f>
        <v>#REF!</v>
      </c>
      <c r="AA835" t="e">
        <f ca="1">IF(A835="","",IF(E835="","",#REF!))</f>
        <v>#REF!</v>
      </c>
      <c r="AB835" t="e">
        <f ca="1">IF(A835="","",IF(E835="","",#REF!))</f>
        <v>#REF!</v>
      </c>
      <c r="AC835" t="e">
        <f t="shared" ca="1" si="74"/>
        <v>#REF!</v>
      </c>
    </row>
    <row r="836" spans="1:29" x14ac:dyDescent="0.35">
      <c r="A836" t="e" cm="1">
        <f t="array" aca="1" ref="A836" ca="1">IF(A835="","",IF(OR(AND(A835+1&gt;=$AF$1,A835+1&lt;=$AF$2),AND(A835+1&gt;=$AF$6,A835+1&lt;=$AF$7),AND(A835+1&gt;=$AF$3,A835+1&lt;=$AF$4),AND(A835+1&gt;=$AF$8,A835+1&lt;=$AF$9),A835+1=$AF$5),IF(NOT(ISBLANK(INDIRECT("template!"&amp;"P"&amp;A835+1))),A835+1,IF(NOT(ISBLANK(INDIRECT("template!"&amp;"P"&amp;A835+2))),A835+2,A835+3)),IF(A835=$AF$2,$AF$3,IF(A835=$AF$4,$AF$5,IF(A835=$AF$5,$AF$6,IF(A835=$AF$7,$AF$8,""))))))</f>
        <v>#REF!</v>
      </c>
      <c r="B836" t="e">
        <f t="shared" ca="1" si="75"/>
        <v>#REF!</v>
      </c>
      <c r="C836" t="e" cm="1">
        <f t="array" aca="1" ref="C836" ca="1">IF(A836="","",IF(B836="safety","safety costs",INDIRECT("template!"&amp;"B"&amp;A836)))</f>
        <v>#REF!</v>
      </c>
      <c r="D836" t="e" cm="1">
        <f t="array" aca="1" ref="D836" ca="1">IF(OR(A836="",B836="safety"),"",INDIRECT("template!"&amp;"C"&amp;A836))</f>
        <v>#REF!</v>
      </c>
      <c r="E836" t="e" cm="1">
        <f t="array" aca="1" ref="E836" ca="1">IF(A836="","",IF(OR(A836=A835+1,A836=A835+2),E835,INDIRECT("template!"&amp;"D"&amp;A836-2)))</f>
        <v>#REF!</v>
      </c>
      <c r="F836" t="e" cm="1">
        <f t="array" aca="1" ref="F836" ca="1">IF(OR(A836="",B836="safety"),"",IF(ISBLANK(IF(A836=A835+1,F835,INDIRECT("template!"&amp;"D"&amp;A836-1))),"",IF(A836=A835+1,F835,INDIRECT("template!"&amp;"D"&amp;A836-1))))</f>
        <v>#REF!</v>
      </c>
      <c r="G836" t="e" cm="1">
        <f t="array" aca="1" ref="G836" ca="1">IF(OR(A836="",B836="safety"),"",IF(ISBLANK(INDIRECT("template!"&amp;"D"&amp;A836)),"",INDIRECT("template!"&amp;"D"&amp;A836)))</f>
        <v>#REF!</v>
      </c>
      <c r="H836" t="e" cm="1">
        <f t="array" aca="1" ref="H836" ca="1">IF(OR(A836="",B836="safety"),"",IF(ISBLANK(INDIRECT("template!"&amp;"E"&amp;A836)),"",INDIRECT("template!"&amp;"E"&amp;A836)))</f>
        <v>#REF!</v>
      </c>
      <c r="I836" t="e" cm="1">
        <f t="array" aca="1" ref="I836" ca="1">IF(OR(A836="",B836="safety"),"",IF(ISBLANK(INDIRECT("template!"&amp;"F"&amp;A836)),"",INDIRECT("template!"&amp;"F"&amp;A836)))</f>
        <v>#REF!</v>
      </c>
      <c r="J836" t="e" cm="1">
        <f t="array" aca="1" ref="J836" ca="1">IF(OR(A836="",B836="safety"),"",IF(ISBLANK(INDIRECT("template!"&amp;"G"&amp;A836)),"",INDIRECT("template!"&amp;"G"&amp;A836)))</f>
        <v>#REF!</v>
      </c>
      <c r="K836" t="e" cm="1">
        <f t="array" aca="1" ref="K836" ca="1">IF(OR(A836="",B836="safety"),"",IF(ISBLANK(INDIRECT("template!"&amp;"H"&amp;A836)),"",INDIRECT("template!"&amp;"H"&amp;A836)))</f>
        <v>#REF!</v>
      </c>
      <c r="L836" t="e" cm="1">
        <f t="array" aca="1" ref="L836" ca="1">IF(OR(A836="",B836="safety"),"",INDIRECT("template!"&amp;"I"&amp;A836))</f>
        <v>#REF!</v>
      </c>
      <c r="M836" t="e" cm="1">
        <f t="array" aca="1" ref="M836" ca="1">IF(OR(A836="",B836="safety"),"",INDIRECT("template!"&amp;"J"&amp;A836))</f>
        <v>#REF!</v>
      </c>
      <c r="N836" t="e" cm="1">
        <f t="array" aca="1" ref="N836" ca="1">IF(OR(A836="",B836="safety"),"",IF(ISBLANK(INDIRECT("template!"&amp;"K"&amp;A836)),"",INDIRECT("template!"&amp;"K"&amp;A836)))</f>
        <v>#REF!</v>
      </c>
      <c r="O836" t="e" cm="1">
        <f t="array" aca="1" ref="O836" ca="1">IF(OR(A836="",B836="safety"),"",INDIRECT("template!"&amp;"L"&amp;A836))</f>
        <v>#REF!</v>
      </c>
      <c r="P836" t="e" cm="1">
        <f t="array" aca="1" ref="P836" ca="1">IF(OR(A836="",B836="safety"),"",INDIRECT("template!"&amp;"M"&amp;A836))</f>
        <v>#REF!</v>
      </c>
      <c r="Q836" t="e">
        <f t="shared" ref="Q836:Q899" ca="1" si="76">IF(OR(A836="",B836="safety"),"",IF(E836="","",O836*L836))</f>
        <v>#REF!</v>
      </c>
      <c r="R836" t="e">
        <f t="shared" ref="R836:R899" ca="1" si="77">IF(OR(A836="",B836="safety"),"",IF(E836="","",P836*L836))</f>
        <v>#REF!</v>
      </c>
      <c r="S836" t="e">
        <f t="shared" ref="S836:S899" ca="1" si="78">IF(OR(A836="",B836="safety"),"",IF(E836="","",O836*M836))</f>
        <v>#REF!</v>
      </c>
      <c r="T836" t="e">
        <f t="shared" ref="T836:T899" ca="1" si="79">IF(OR(A836="",B836="safety"),"",IF(E836="","",M836*P836))</f>
        <v>#REF!</v>
      </c>
      <c r="U836" t="e" cm="1">
        <f t="array" aca="1" ref="U836" ca="1">IF(A836="","",IF(E836="","",IF(B836="safety",INDIRECT("template!"&amp;"P"&amp;A836),Q836+R836)))</f>
        <v>#REF!</v>
      </c>
      <c r="V836" t="e" cm="1">
        <f t="array" aca="1" ref="V836" ca="1">IF(A836="","",IF(E836="","",IF(B836="safety",INDIRECT("template!"&amp;"P"&amp;A836),S836+T836)))</f>
        <v>#REF!</v>
      </c>
      <c r="W836" t="e">
        <f ca="1">IF(A836="","",IF(E836="","",#REF!))</f>
        <v>#REF!</v>
      </c>
      <c r="X836" t="e">
        <f ca="1">IF(A836="","",IF(E836="","",#REF!))</f>
        <v>#REF!</v>
      </c>
      <c r="Y836" s="39" t="e">
        <f ca="1">IF(A836="","",IF(E836="","",#REF!))</f>
        <v>#REF!</v>
      </c>
      <c r="Z836" t="e">
        <f ca="1">IF(A836="","",IF(E836="","",#REF!))</f>
        <v>#REF!</v>
      </c>
      <c r="AA836" t="e">
        <f ca="1">IF(A836="","",IF(E836="","",#REF!))</f>
        <v>#REF!</v>
      </c>
      <c r="AB836" t="e">
        <f ca="1">IF(A836="","",IF(E836="","",#REF!))</f>
        <v>#REF!</v>
      </c>
      <c r="AC836" t="e">
        <f t="shared" ref="AC836:AC899" ca="1" si="80">IF(A836="","",IF(E836="","","WEEK "&amp;WEEKNUM(Y836)&amp;"_"&amp;YEAR(Y836)))</f>
        <v>#REF!</v>
      </c>
    </row>
    <row r="837" spans="1:29" x14ac:dyDescent="0.35">
      <c r="A837" t="e" cm="1">
        <f t="array" aca="1" ref="A837" ca="1">IF(A836="","",IF(OR(AND(A836+1&gt;=$AF$1,A836+1&lt;=$AF$2),AND(A836+1&gt;=$AF$6,A836+1&lt;=$AF$7),AND(A836+1&gt;=$AF$3,A836+1&lt;=$AF$4),AND(A836+1&gt;=$AF$8,A836+1&lt;=$AF$9),A836+1=$AF$5),IF(NOT(ISBLANK(INDIRECT("template!"&amp;"P"&amp;A836+1))),A836+1,IF(NOT(ISBLANK(INDIRECT("template!"&amp;"P"&amp;A836+2))),A836+2,A836+3)),IF(A836=$AF$2,$AF$3,IF(A836=$AF$4,$AF$5,IF(A836=$AF$5,$AF$6,IF(A836=$AF$7,$AF$8,""))))))</f>
        <v>#REF!</v>
      </c>
      <c r="B837" t="e">
        <f t="shared" ca="1" si="75"/>
        <v>#REF!</v>
      </c>
      <c r="C837" t="e" cm="1">
        <f t="array" aca="1" ref="C837" ca="1">IF(A837="","",IF(B837="safety","safety costs",INDIRECT("template!"&amp;"B"&amp;A837)))</f>
        <v>#REF!</v>
      </c>
      <c r="D837" t="e" cm="1">
        <f t="array" aca="1" ref="D837" ca="1">IF(OR(A837="",B837="safety"),"",INDIRECT("template!"&amp;"C"&amp;A837))</f>
        <v>#REF!</v>
      </c>
      <c r="E837" t="e" cm="1">
        <f t="array" aca="1" ref="E837" ca="1">IF(A837="","",IF(OR(A837=A836+1,A837=A836+2),E836,INDIRECT("template!"&amp;"D"&amp;A837-2)))</f>
        <v>#REF!</v>
      </c>
      <c r="F837" t="e" cm="1">
        <f t="array" aca="1" ref="F837" ca="1">IF(OR(A837="",B837="safety"),"",IF(ISBLANK(IF(A837=A836+1,F836,INDIRECT("template!"&amp;"D"&amp;A837-1))),"",IF(A837=A836+1,F836,INDIRECT("template!"&amp;"D"&amp;A837-1))))</f>
        <v>#REF!</v>
      </c>
      <c r="G837" t="e" cm="1">
        <f t="array" aca="1" ref="G837" ca="1">IF(OR(A837="",B837="safety"),"",IF(ISBLANK(INDIRECT("template!"&amp;"D"&amp;A837)),"",INDIRECT("template!"&amp;"D"&amp;A837)))</f>
        <v>#REF!</v>
      </c>
      <c r="H837" t="e" cm="1">
        <f t="array" aca="1" ref="H837" ca="1">IF(OR(A837="",B837="safety"),"",IF(ISBLANK(INDIRECT("template!"&amp;"E"&amp;A837)),"",INDIRECT("template!"&amp;"E"&amp;A837)))</f>
        <v>#REF!</v>
      </c>
      <c r="I837" t="e" cm="1">
        <f t="array" aca="1" ref="I837" ca="1">IF(OR(A837="",B837="safety"),"",IF(ISBLANK(INDIRECT("template!"&amp;"F"&amp;A837)),"",INDIRECT("template!"&amp;"F"&amp;A837)))</f>
        <v>#REF!</v>
      </c>
      <c r="J837" t="e" cm="1">
        <f t="array" aca="1" ref="J837" ca="1">IF(OR(A837="",B837="safety"),"",IF(ISBLANK(INDIRECT("template!"&amp;"G"&amp;A837)),"",INDIRECT("template!"&amp;"G"&amp;A837)))</f>
        <v>#REF!</v>
      </c>
      <c r="K837" t="e" cm="1">
        <f t="array" aca="1" ref="K837" ca="1">IF(OR(A837="",B837="safety"),"",IF(ISBLANK(INDIRECT("template!"&amp;"H"&amp;A837)),"",INDIRECT("template!"&amp;"H"&amp;A837)))</f>
        <v>#REF!</v>
      </c>
      <c r="L837" t="e" cm="1">
        <f t="array" aca="1" ref="L837" ca="1">IF(OR(A837="",B837="safety"),"",INDIRECT("template!"&amp;"I"&amp;A837))</f>
        <v>#REF!</v>
      </c>
      <c r="M837" t="e" cm="1">
        <f t="array" aca="1" ref="M837" ca="1">IF(OR(A837="",B837="safety"),"",INDIRECT("template!"&amp;"J"&amp;A837))</f>
        <v>#REF!</v>
      </c>
      <c r="N837" t="e" cm="1">
        <f t="array" aca="1" ref="N837" ca="1">IF(OR(A837="",B837="safety"),"",IF(ISBLANK(INDIRECT("template!"&amp;"K"&amp;A837)),"",INDIRECT("template!"&amp;"K"&amp;A837)))</f>
        <v>#REF!</v>
      </c>
      <c r="O837" t="e" cm="1">
        <f t="array" aca="1" ref="O837" ca="1">IF(OR(A837="",B837="safety"),"",INDIRECT("template!"&amp;"L"&amp;A837))</f>
        <v>#REF!</v>
      </c>
      <c r="P837" t="e" cm="1">
        <f t="array" aca="1" ref="P837" ca="1">IF(OR(A837="",B837="safety"),"",INDIRECT("template!"&amp;"M"&amp;A837))</f>
        <v>#REF!</v>
      </c>
      <c r="Q837" t="e">
        <f t="shared" ca="1" si="76"/>
        <v>#REF!</v>
      </c>
      <c r="R837" t="e">
        <f t="shared" ca="1" si="77"/>
        <v>#REF!</v>
      </c>
      <c r="S837" t="e">
        <f t="shared" ca="1" si="78"/>
        <v>#REF!</v>
      </c>
      <c r="T837" t="e">
        <f t="shared" ca="1" si="79"/>
        <v>#REF!</v>
      </c>
      <c r="U837" t="e" cm="1">
        <f t="array" aca="1" ref="U837" ca="1">IF(A837="","",IF(E837="","",IF(B837="safety",INDIRECT("template!"&amp;"P"&amp;A837),Q837+R837)))</f>
        <v>#REF!</v>
      </c>
      <c r="V837" t="e" cm="1">
        <f t="array" aca="1" ref="V837" ca="1">IF(A837="","",IF(E837="","",IF(B837="safety",INDIRECT("template!"&amp;"P"&amp;A837),S837+T837)))</f>
        <v>#REF!</v>
      </c>
      <c r="W837" t="e">
        <f ca="1">IF(A837="","",IF(E837="","",#REF!))</f>
        <v>#REF!</v>
      </c>
      <c r="X837" t="e">
        <f ca="1">IF(A837="","",IF(E837="","",#REF!))</f>
        <v>#REF!</v>
      </c>
      <c r="Y837" s="39" t="e">
        <f ca="1">IF(A837="","",IF(E837="","",#REF!))</f>
        <v>#REF!</v>
      </c>
      <c r="Z837" t="e">
        <f ca="1">IF(A837="","",IF(E837="","",#REF!))</f>
        <v>#REF!</v>
      </c>
      <c r="AA837" t="e">
        <f ca="1">IF(A837="","",IF(E837="","",#REF!))</f>
        <v>#REF!</v>
      </c>
      <c r="AB837" t="e">
        <f ca="1">IF(A837="","",IF(E837="","",#REF!))</f>
        <v>#REF!</v>
      </c>
      <c r="AC837" t="e">
        <f t="shared" ca="1" si="80"/>
        <v>#REF!</v>
      </c>
    </row>
    <row r="838" spans="1:29" x14ac:dyDescent="0.35">
      <c r="A838" t="e" cm="1">
        <f t="array" aca="1" ref="A838" ca="1">IF(A837="","",IF(OR(AND(A837+1&gt;=$AF$1,A837+1&lt;=$AF$2),AND(A837+1&gt;=$AF$6,A837+1&lt;=$AF$7),AND(A837+1&gt;=$AF$3,A837+1&lt;=$AF$4),AND(A837+1&gt;=$AF$8,A837+1&lt;=$AF$9),A837+1=$AF$5),IF(NOT(ISBLANK(INDIRECT("template!"&amp;"P"&amp;A837+1))),A837+1,IF(NOT(ISBLANK(INDIRECT("template!"&amp;"P"&amp;A837+2))),A837+2,A837+3)),IF(A837=$AF$2,$AF$3,IF(A837=$AF$4,$AF$5,IF(A837=$AF$5,$AF$6,IF(A837=$AF$7,$AF$8,""))))))</f>
        <v>#REF!</v>
      </c>
      <c r="B838" t="e">
        <f t="shared" ca="1" si="75"/>
        <v>#REF!</v>
      </c>
      <c r="C838" t="e" cm="1">
        <f t="array" aca="1" ref="C838" ca="1">IF(A838="","",IF(B838="safety","safety costs",INDIRECT("template!"&amp;"B"&amp;A838)))</f>
        <v>#REF!</v>
      </c>
      <c r="D838" t="e" cm="1">
        <f t="array" aca="1" ref="D838" ca="1">IF(OR(A838="",B838="safety"),"",INDIRECT("template!"&amp;"C"&amp;A838))</f>
        <v>#REF!</v>
      </c>
      <c r="E838" t="e" cm="1">
        <f t="array" aca="1" ref="E838" ca="1">IF(A838="","",IF(OR(A838=A837+1,A838=A837+2),E837,INDIRECT("template!"&amp;"D"&amp;A838-2)))</f>
        <v>#REF!</v>
      </c>
      <c r="F838" t="e" cm="1">
        <f t="array" aca="1" ref="F838" ca="1">IF(OR(A838="",B838="safety"),"",IF(ISBLANK(IF(A838=A837+1,F837,INDIRECT("template!"&amp;"D"&amp;A838-1))),"",IF(A838=A837+1,F837,INDIRECT("template!"&amp;"D"&amp;A838-1))))</f>
        <v>#REF!</v>
      </c>
      <c r="G838" t="e" cm="1">
        <f t="array" aca="1" ref="G838" ca="1">IF(OR(A838="",B838="safety"),"",IF(ISBLANK(INDIRECT("template!"&amp;"D"&amp;A838)),"",INDIRECT("template!"&amp;"D"&amp;A838)))</f>
        <v>#REF!</v>
      </c>
      <c r="H838" t="e" cm="1">
        <f t="array" aca="1" ref="H838" ca="1">IF(OR(A838="",B838="safety"),"",IF(ISBLANK(INDIRECT("template!"&amp;"E"&amp;A838)),"",INDIRECT("template!"&amp;"E"&amp;A838)))</f>
        <v>#REF!</v>
      </c>
      <c r="I838" t="e" cm="1">
        <f t="array" aca="1" ref="I838" ca="1">IF(OR(A838="",B838="safety"),"",IF(ISBLANK(INDIRECT("template!"&amp;"F"&amp;A838)),"",INDIRECT("template!"&amp;"F"&amp;A838)))</f>
        <v>#REF!</v>
      </c>
      <c r="J838" t="e" cm="1">
        <f t="array" aca="1" ref="J838" ca="1">IF(OR(A838="",B838="safety"),"",IF(ISBLANK(INDIRECT("template!"&amp;"G"&amp;A838)),"",INDIRECT("template!"&amp;"G"&amp;A838)))</f>
        <v>#REF!</v>
      </c>
      <c r="K838" t="e" cm="1">
        <f t="array" aca="1" ref="K838" ca="1">IF(OR(A838="",B838="safety"),"",IF(ISBLANK(INDIRECT("template!"&amp;"H"&amp;A838)),"",INDIRECT("template!"&amp;"H"&amp;A838)))</f>
        <v>#REF!</v>
      </c>
      <c r="L838" t="e" cm="1">
        <f t="array" aca="1" ref="L838" ca="1">IF(OR(A838="",B838="safety"),"",INDIRECT("template!"&amp;"I"&amp;A838))</f>
        <v>#REF!</v>
      </c>
      <c r="M838" t="e" cm="1">
        <f t="array" aca="1" ref="M838" ca="1">IF(OR(A838="",B838="safety"),"",INDIRECT("template!"&amp;"J"&amp;A838))</f>
        <v>#REF!</v>
      </c>
      <c r="N838" t="e" cm="1">
        <f t="array" aca="1" ref="N838" ca="1">IF(OR(A838="",B838="safety"),"",IF(ISBLANK(INDIRECT("template!"&amp;"K"&amp;A838)),"",INDIRECT("template!"&amp;"K"&amp;A838)))</f>
        <v>#REF!</v>
      </c>
      <c r="O838" t="e" cm="1">
        <f t="array" aca="1" ref="O838" ca="1">IF(OR(A838="",B838="safety"),"",INDIRECT("template!"&amp;"L"&amp;A838))</f>
        <v>#REF!</v>
      </c>
      <c r="P838" t="e" cm="1">
        <f t="array" aca="1" ref="P838" ca="1">IF(OR(A838="",B838="safety"),"",INDIRECT("template!"&amp;"M"&amp;A838))</f>
        <v>#REF!</v>
      </c>
      <c r="Q838" t="e">
        <f t="shared" ca="1" si="76"/>
        <v>#REF!</v>
      </c>
      <c r="R838" t="e">
        <f t="shared" ca="1" si="77"/>
        <v>#REF!</v>
      </c>
      <c r="S838" t="e">
        <f t="shared" ca="1" si="78"/>
        <v>#REF!</v>
      </c>
      <c r="T838" t="e">
        <f t="shared" ca="1" si="79"/>
        <v>#REF!</v>
      </c>
      <c r="U838" t="e" cm="1">
        <f t="array" aca="1" ref="U838" ca="1">IF(A838="","",IF(E838="","",IF(B838="safety",INDIRECT("template!"&amp;"P"&amp;A838),Q838+R838)))</f>
        <v>#REF!</v>
      </c>
      <c r="V838" t="e" cm="1">
        <f t="array" aca="1" ref="V838" ca="1">IF(A838="","",IF(E838="","",IF(B838="safety",INDIRECT("template!"&amp;"P"&amp;A838),S838+T838)))</f>
        <v>#REF!</v>
      </c>
      <c r="W838" t="e">
        <f ca="1">IF(A838="","",IF(E838="","",#REF!))</f>
        <v>#REF!</v>
      </c>
      <c r="X838" t="e">
        <f ca="1">IF(A838="","",IF(E838="","",#REF!))</f>
        <v>#REF!</v>
      </c>
      <c r="Y838" s="39" t="e">
        <f ca="1">IF(A838="","",IF(E838="","",#REF!))</f>
        <v>#REF!</v>
      </c>
      <c r="Z838" t="e">
        <f ca="1">IF(A838="","",IF(E838="","",#REF!))</f>
        <v>#REF!</v>
      </c>
      <c r="AA838" t="e">
        <f ca="1">IF(A838="","",IF(E838="","",#REF!))</f>
        <v>#REF!</v>
      </c>
      <c r="AB838" t="e">
        <f ca="1">IF(A838="","",IF(E838="","",#REF!))</f>
        <v>#REF!</v>
      </c>
      <c r="AC838" t="e">
        <f t="shared" ca="1" si="80"/>
        <v>#REF!</v>
      </c>
    </row>
    <row r="839" spans="1:29" x14ac:dyDescent="0.35">
      <c r="A839" t="e" cm="1">
        <f t="array" aca="1" ref="A839" ca="1">IF(A838="","",IF(OR(AND(A838+1&gt;=$AF$1,A838+1&lt;=$AF$2),AND(A838+1&gt;=$AF$6,A838+1&lt;=$AF$7),AND(A838+1&gt;=$AF$3,A838+1&lt;=$AF$4),AND(A838+1&gt;=$AF$8,A838+1&lt;=$AF$9),A838+1=$AF$5),IF(NOT(ISBLANK(INDIRECT("template!"&amp;"P"&amp;A838+1))),A838+1,IF(NOT(ISBLANK(INDIRECT("template!"&amp;"P"&amp;A838+2))),A838+2,A838+3)),IF(A838=$AF$2,$AF$3,IF(A838=$AF$4,$AF$5,IF(A838=$AF$5,$AF$6,IF(A838=$AF$7,$AF$8,""))))))</f>
        <v>#REF!</v>
      </c>
      <c r="B839" t="e">
        <f t="shared" ca="1" si="75"/>
        <v>#REF!</v>
      </c>
      <c r="C839" t="e" cm="1">
        <f t="array" aca="1" ref="C839" ca="1">IF(A839="","",IF(B839="safety","safety costs",INDIRECT("template!"&amp;"B"&amp;A839)))</f>
        <v>#REF!</v>
      </c>
      <c r="D839" t="e" cm="1">
        <f t="array" aca="1" ref="D839" ca="1">IF(OR(A839="",B839="safety"),"",INDIRECT("template!"&amp;"C"&amp;A839))</f>
        <v>#REF!</v>
      </c>
      <c r="E839" t="e" cm="1">
        <f t="array" aca="1" ref="E839" ca="1">IF(A839="","",IF(OR(A839=A838+1,A839=A838+2),E838,INDIRECT("template!"&amp;"D"&amp;A839-2)))</f>
        <v>#REF!</v>
      </c>
      <c r="F839" t="e" cm="1">
        <f t="array" aca="1" ref="F839" ca="1">IF(OR(A839="",B839="safety"),"",IF(ISBLANK(IF(A839=A838+1,F838,INDIRECT("template!"&amp;"D"&amp;A839-1))),"",IF(A839=A838+1,F838,INDIRECT("template!"&amp;"D"&amp;A839-1))))</f>
        <v>#REF!</v>
      </c>
      <c r="G839" t="e" cm="1">
        <f t="array" aca="1" ref="G839" ca="1">IF(OR(A839="",B839="safety"),"",IF(ISBLANK(INDIRECT("template!"&amp;"D"&amp;A839)),"",INDIRECT("template!"&amp;"D"&amp;A839)))</f>
        <v>#REF!</v>
      </c>
      <c r="H839" t="e" cm="1">
        <f t="array" aca="1" ref="H839" ca="1">IF(OR(A839="",B839="safety"),"",IF(ISBLANK(INDIRECT("template!"&amp;"E"&amp;A839)),"",INDIRECT("template!"&amp;"E"&amp;A839)))</f>
        <v>#REF!</v>
      </c>
      <c r="I839" t="e" cm="1">
        <f t="array" aca="1" ref="I839" ca="1">IF(OR(A839="",B839="safety"),"",IF(ISBLANK(INDIRECT("template!"&amp;"F"&amp;A839)),"",INDIRECT("template!"&amp;"F"&amp;A839)))</f>
        <v>#REF!</v>
      </c>
      <c r="J839" t="e" cm="1">
        <f t="array" aca="1" ref="J839" ca="1">IF(OR(A839="",B839="safety"),"",IF(ISBLANK(INDIRECT("template!"&amp;"G"&amp;A839)),"",INDIRECT("template!"&amp;"G"&amp;A839)))</f>
        <v>#REF!</v>
      </c>
      <c r="K839" t="e" cm="1">
        <f t="array" aca="1" ref="K839" ca="1">IF(OR(A839="",B839="safety"),"",IF(ISBLANK(INDIRECT("template!"&amp;"H"&amp;A839)),"",INDIRECT("template!"&amp;"H"&amp;A839)))</f>
        <v>#REF!</v>
      </c>
      <c r="L839" t="e" cm="1">
        <f t="array" aca="1" ref="L839" ca="1">IF(OR(A839="",B839="safety"),"",INDIRECT("template!"&amp;"I"&amp;A839))</f>
        <v>#REF!</v>
      </c>
      <c r="M839" t="e" cm="1">
        <f t="array" aca="1" ref="M839" ca="1">IF(OR(A839="",B839="safety"),"",INDIRECT("template!"&amp;"J"&amp;A839))</f>
        <v>#REF!</v>
      </c>
      <c r="N839" t="e" cm="1">
        <f t="array" aca="1" ref="N839" ca="1">IF(OR(A839="",B839="safety"),"",IF(ISBLANK(INDIRECT("template!"&amp;"K"&amp;A839)),"",INDIRECT("template!"&amp;"K"&amp;A839)))</f>
        <v>#REF!</v>
      </c>
      <c r="O839" t="e" cm="1">
        <f t="array" aca="1" ref="O839" ca="1">IF(OR(A839="",B839="safety"),"",INDIRECT("template!"&amp;"L"&amp;A839))</f>
        <v>#REF!</v>
      </c>
      <c r="P839" t="e" cm="1">
        <f t="array" aca="1" ref="P839" ca="1">IF(OR(A839="",B839="safety"),"",INDIRECT("template!"&amp;"M"&amp;A839))</f>
        <v>#REF!</v>
      </c>
      <c r="Q839" t="e">
        <f t="shared" ca="1" si="76"/>
        <v>#REF!</v>
      </c>
      <c r="R839" t="e">
        <f t="shared" ca="1" si="77"/>
        <v>#REF!</v>
      </c>
      <c r="S839" t="e">
        <f t="shared" ca="1" si="78"/>
        <v>#REF!</v>
      </c>
      <c r="T839" t="e">
        <f t="shared" ca="1" si="79"/>
        <v>#REF!</v>
      </c>
      <c r="U839" t="e" cm="1">
        <f t="array" aca="1" ref="U839" ca="1">IF(A839="","",IF(E839="","",IF(B839="safety",INDIRECT("template!"&amp;"P"&amp;A839),Q839+R839)))</f>
        <v>#REF!</v>
      </c>
      <c r="V839" t="e" cm="1">
        <f t="array" aca="1" ref="V839" ca="1">IF(A839="","",IF(E839="","",IF(B839="safety",INDIRECT("template!"&amp;"P"&amp;A839),S839+T839)))</f>
        <v>#REF!</v>
      </c>
      <c r="W839" t="e">
        <f ca="1">IF(A839="","",IF(E839="","",#REF!))</f>
        <v>#REF!</v>
      </c>
      <c r="X839" t="e">
        <f ca="1">IF(A839="","",IF(E839="","",#REF!))</f>
        <v>#REF!</v>
      </c>
      <c r="Y839" s="39" t="e">
        <f ca="1">IF(A839="","",IF(E839="","",#REF!))</f>
        <v>#REF!</v>
      </c>
      <c r="Z839" t="e">
        <f ca="1">IF(A839="","",IF(E839="","",#REF!))</f>
        <v>#REF!</v>
      </c>
      <c r="AA839" t="e">
        <f ca="1">IF(A839="","",IF(E839="","",#REF!))</f>
        <v>#REF!</v>
      </c>
      <c r="AB839" t="e">
        <f ca="1">IF(A839="","",IF(E839="","",#REF!))</f>
        <v>#REF!</v>
      </c>
      <c r="AC839" t="e">
        <f t="shared" ca="1" si="80"/>
        <v>#REF!</v>
      </c>
    </row>
    <row r="840" spans="1:29" x14ac:dyDescent="0.35">
      <c r="A840" t="e" cm="1">
        <f t="array" aca="1" ref="A840" ca="1">IF(A839="","",IF(OR(AND(A839+1&gt;=$AF$1,A839+1&lt;=$AF$2),AND(A839+1&gt;=$AF$6,A839+1&lt;=$AF$7),AND(A839+1&gt;=$AF$3,A839+1&lt;=$AF$4),AND(A839+1&gt;=$AF$8,A839+1&lt;=$AF$9),A839+1=$AF$5),IF(NOT(ISBLANK(INDIRECT("template!"&amp;"P"&amp;A839+1))),A839+1,IF(NOT(ISBLANK(INDIRECT("template!"&amp;"P"&amp;A839+2))),A839+2,A839+3)),IF(A839=$AF$2,$AF$3,IF(A839=$AF$4,$AF$5,IF(A839=$AF$5,$AF$6,IF(A839=$AF$7,$AF$8,""))))))</f>
        <v>#REF!</v>
      </c>
      <c r="B840" t="e">
        <f t="shared" ca="1" si="75"/>
        <v>#REF!</v>
      </c>
      <c r="C840" t="e" cm="1">
        <f t="array" aca="1" ref="C840" ca="1">IF(A840="","",IF(B840="safety","safety costs",INDIRECT("template!"&amp;"B"&amp;A840)))</f>
        <v>#REF!</v>
      </c>
      <c r="D840" t="e" cm="1">
        <f t="array" aca="1" ref="D840" ca="1">IF(OR(A840="",B840="safety"),"",INDIRECT("template!"&amp;"C"&amp;A840))</f>
        <v>#REF!</v>
      </c>
      <c r="E840" t="e" cm="1">
        <f t="array" aca="1" ref="E840" ca="1">IF(A840="","",IF(OR(A840=A839+1,A840=A839+2),E839,INDIRECT("template!"&amp;"D"&amp;A840-2)))</f>
        <v>#REF!</v>
      </c>
      <c r="F840" t="e" cm="1">
        <f t="array" aca="1" ref="F840" ca="1">IF(OR(A840="",B840="safety"),"",IF(ISBLANK(IF(A840=A839+1,F839,INDIRECT("template!"&amp;"D"&amp;A840-1))),"",IF(A840=A839+1,F839,INDIRECT("template!"&amp;"D"&amp;A840-1))))</f>
        <v>#REF!</v>
      </c>
      <c r="G840" t="e" cm="1">
        <f t="array" aca="1" ref="G840" ca="1">IF(OR(A840="",B840="safety"),"",IF(ISBLANK(INDIRECT("template!"&amp;"D"&amp;A840)),"",INDIRECT("template!"&amp;"D"&amp;A840)))</f>
        <v>#REF!</v>
      </c>
      <c r="H840" t="e" cm="1">
        <f t="array" aca="1" ref="H840" ca="1">IF(OR(A840="",B840="safety"),"",IF(ISBLANK(INDIRECT("template!"&amp;"E"&amp;A840)),"",INDIRECT("template!"&amp;"E"&amp;A840)))</f>
        <v>#REF!</v>
      </c>
      <c r="I840" t="e" cm="1">
        <f t="array" aca="1" ref="I840" ca="1">IF(OR(A840="",B840="safety"),"",IF(ISBLANK(INDIRECT("template!"&amp;"F"&amp;A840)),"",INDIRECT("template!"&amp;"F"&amp;A840)))</f>
        <v>#REF!</v>
      </c>
      <c r="J840" t="e" cm="1">
        <f t="array" aca="1" ref="J840" ca="1">IF(OR(A840="",B840="safety"),"",IF(ISBLANK(INDIRECT("template!"&amp;"G"&amp;A840)),"",INDIRECT("template!"&amp;"G"&amp;A840)))</f>
        <v>#REF!</v>
      </c>
      <c r="K840" t="e" cm="1">
        <f t="array" aca="1" ref="K840" ca="1">IF(OR(A840="",B840="safety"),"",IF(ISBLANK(INDIRECT("template!"&amp;"H"&amp;A840)),"",INDIRECT("template!"&amp;"H"&amp;A840)))</f>
        <v>#REF!</v>
      </c>
      <c r="L840" t="e" cm="1">
        <f t="array" aca="1" ref="L840" ca="1">IF(OR(A840="",B840="safety"),"",INDIRECT("template!"&amp;"I"&amp;A840))</f>
        <v>#REF!</v>
      </c>
      <c r="M840" t="e" cm="1">
        <f t="array" aca="1" ref="M840" ca="1">IF(OR(A840="",B840="safety"),"",INDIRECT("template!"&amp;"J"&amp;A840))</f>
        <v>#REF!</v>
      </c>
      <c r="N840" t="e" cm="1">
        <f t="array" aca="1" ref="N840" ca="1">IF(OR(A840="",B840="safety"),"",IF(ISBLANK(INDIRECT("template!"&amp;"K"&amp;A840)),"",INDIRECT("template!"&amp;"K"&amp;A840)))</f>
        <v>#REF!</v>
      </c>
      <c r="O840" t="e" cm="1">
        <f t="array" aca="1" ref="O840" ca="1">IF(OR(A840="",B840="safety"),"",INDIRECT("template!"&amp;"L"&amp;A840))</f>
        <v>#REF!</v>
      </c>
      <c r="P840" t="e" cm="1">
        <f t="array" aca="1" ref="P840" ca="1">IF(OR(A840="",B840="safety"),"",INDIRECT("template!"&amp;"M"&amp;A840))</f>
        <v>#REF!</v>
      </c>
      <c r="Q840" t="e">
        <f t="shared" ca="1" si="76"/>
        <v>#REF!</v>
      </c>
      <c r="R840" t="e">
        <f t="shared" ca="1" si="77"/>
        <v>#REF!</v>
      </c>
      <c r="S840" t="e">
        <f t="shared" ca="1" si="78"/>
        <v>#REF!</v>
      </c>
      <c r="T840" t="e">
        <f t="shared" ca="1" si="79"/>
        <v>#REF!</v>
      </c>
      <c r="U840" t="e" cm="1">
        <f t="array" aca="1" ref="U840" ca="1">IF(A840="","",IF(E840="","",IF(B840="safety",INDIRECT("template!"&amp;"P"&amp;A840),Q840+R840)))</f>
        <v>#REF!</v>
      </c>
      <c r="V840" t="e" cm="1">
        <f t="array" aca="1" ref="V840" ca="1">IF(A840="","",IF(E840="","",IF(B840="safety",INDIRECT("template!"&amp;"P"&amp;A840),S840+T840)))</f>
        <v>#REF!</v>
      </c>
      <c r="W840" t="e">
        <f ca="1">IF(A840="","",IF(E840="","",#REF!))</f>
        <v>#REF!</v>
      </c>
      <c r="X840" t="e">
        <f ca="1">IF(A840="","",IF(E840="","",#REF!))</f>
        <v>#REF!</v>
      </c>
      <c r="Y840" s="39" t="e">
        <f ca="1">IF(A840="","",IF(E840="","",#REF!))</f>
        <v>#REF!</v>
      </c>
      <c r="Z840" t="e">
        <f ca="1">IF(A840="","",IF(E840="","",#REF!))</f>
        <v>#REF!</v>
      </c>
      <c r="AA840" t="e">
        <f ca="1">IF(A840="","",IF(E840="","",#REF!))</f>
        <v>#REF!</v>
      </c>
      <c r="AB840" t="e">
        <f ca="1">IF(A840="","",IF(E840="","",#REF!))</f>
        <v>#REF!</v>
      </c>
      <c r="AC840" t="e">
        <f t="shared" ca="1" si="80"/>
        <v>#REF!</v>
      </c>
    </row>
    <row r="841" spans="1:29" x14ac:dyDescent="0.35">
      <c r="A841" t="e" cm="1">
        <f t="array" aca="1" ref="A841" ca="1">IF(A840="","",IF(OR(AND(A840+1&gt;=$AF$1,A840+1&lt;=$AF$2),AND(A840+1&gt;=$AF$6,A840+1&lt;=$AF$7),AND(A840+1&gt;=$AF$3,A840+1&lt;=$AF$4),AND(A840+1&gt;=$AF$8,A840+1&lt;=$AF$9),A840+1=$AF$5),IF(NOT(ISBLANK(INDIRECT("template!"&amp;"P"&amp;A840+1))),A840+1,IF(NOT(ISBLANK(INDIRECT("template!"&amp;"P"&amp;A840+2))),A840+2,A840+3)),IF(A840=$AF$2,$AF$3,IF(A840=$AF$4,$AF$5,IF(A840=$AF$5,$AF$6,IF(A840=$AF$7,$AF$8,""))))))</f>
        <v>#REF!</v>
      </c>
      <c r="B841" t="e">
        <f t="shared" ca="1" si="75"/>
        <v>#REF!</v>
      </c>
      <c r="C841" t="e" cm="1">
        <f t="array" aca="1" ref="C841" ca="1">IF(A841="","",IF(B841="safety","safety costs",INDIRECT("template!"&amp;"B"&amp;A841)))</f>
        <v>#REF!</v>
      </c>
      <c r="D841" t="e" cm="1">
        <f t="array" aca="1" ref="D841" ca="1">IF(OR(A841="",B841="safety"),"",INDIRECT("template!"&amp;"C"&amp;A841))</f>
        <v>#REF!</v>
      </c>
      <c r="E841" t="e" cm="1">
        <f t="array" aca="1" ref="E841" ca="1">IF(A841="","",IF(OR(A841=A840+1,A841=A840+2),E840,INDIRECT("template!"&amp;"D"&amp;A841-2)))</f>
        <v>#REF!</v>
      </c>
      <c r="F841" t="e" cm="1">
        <f t="array" aca="1" ref="F841" ca="1">IF(OR(A841="",B841="safety"),"",IF(ISBLANK(IF(A841=A840+1,F840,INDIRECT("template!"&amp;"D"&amp;A841-1))),"",IF(A841=A840+1,F840,INDIRECT("template!"&amp;"D"&amp;A841-1))))</f>
        <v>#REF!</v>
      </c>
      <c r="G841" t="e" cm="1">
        <f t="array" aca="1" ref="G841" ca="1">IF(OR(A841="",B841="safety"),"",IF(ISBLANK(INDIRECT("template!"&amp;"D"&amp;A841)),"",INDIRECT("template!"&amp;"D"&amp;A841)))</f>
        <v>#REF!</v>
      </c>
      <c r="H841" t="e" cm="1">
        <f t="array" aca="1" ref="H841" ca="1">IF(OR(A841="",B841="safety"),"",IF(ISBLANK(INDIRECT("template!"&amp;"E"&amp;A841)),"",INDIRECT("template!"&amp;"E"&amp;A841)))</f>
        <v>#REF!</v>
      </c>
      <c r="I841" t="e" cm="1">
        <f t="array" aca="1" ref="I841" ca="1">IF(OR(A841="",B841="safety"),"",IF(ISBLANK(INDIRECT("template!"&amp;"F"&amp;A841)),"",INDIRECT("template!"&amp;"F"&amp;A841)))</f>
        <v>#REF!</v>
      </c>
      <c r="J841" t="e" cm="1">
        <f t="array" aca="1" ref="J841" ca="1">IF(OR(A841="",B841="safety"),"",IF(ISBLANK(INDIRECT("template!"&amp;"G"&amp;A841)),"",INDIRECT("template!"&amp;"G"&amp;A841)))</f>
        <v>#REF!</v>
      </c>
      <c r="K841" t="e" cm="1">
        <f t="array" aca="1" ref="K841" ca="1">IF(OR(A841="",B841="safety"),"",IF(ISBLANK(INDIRECT("template!"&amp;"H"&amp;A841)),"",INDIRECT("template!"&amp;"H"&amp;A841)))</f>
        <v>#REF!</v>
      </c>
      <c r="L841" t="e" cm="1">
        <f t="array" aca="1" ref="L841" ca="1">IF(OR(A841="",B841="safety"),"",INDIRECT("template!"&amp;"I"&amp;A841))</f>
        <v>#REF!</v>
      </c>
      <c r="M841" t="e" cm="1">
        <f t="array" aca="1" ref="M841" ca="1">IF(OR(A841="",B841="safety"),"",INDIRECT("template!"&amp;"J"&amp;A841))</f>
        <v>#REF!</v>
      </c>
      <c r="N841" t="e" cm="1">
        <f t="array" aca="1" ref="N841" ca="1">IF(OR(A841="",B841="safety"),"",IF(ISBLANK(INDIRECT("template!"&amp;"K"&amp;A841)),"",INDIRECT("template!"&amp;"K"&amp;A841)))</f>
        <v>#REF!</v>
      </c>
      <c r="O841" t="e" cm="1">
        <f t="array" aca="1" ref="O841" ca="1">IF(OR(A841="",B841="safety"),"",INDIRECT("template!"&amp;"L"&amp;A841))</f>
        <v>#REF!</v>
      </c>
      <c r="P841" t="e" cm="1">
        <f t="array" aca="1" ref="P841" ca="1">IF(OR(A841="",B841="safety"),"",INDIRECT("template!"&amp;"M"&amp;A841))</f>
        <v>#REF!</v>
      </c>
      <c r="Q841" t="e">
        <f t="shared" ca="1" si="76"/>
        <v>#REF!</v>
      </c>
      <c r="R841" t="e">
        <f t="shared" ca="1" si="77"/>
        <v>#REF!</v>
      </c>
      <c r="S841" t="e">
        <f t="shared" ca="1" si="78"/>
        <v>#REF!</v>
      </c>
      <c r="T841" t="e">
        <f t="shared" ca="1" si="79"/>
        <v>#REF!</v>
      </c>
      <c r="U841" t="e" cm="1">
        <f t="array" aca="1" ref="U841" ca="1">IF(A841="","",IF(E841="","",IF(B841="safety",INDIRECT("template!"&amp;"P"&amp;A841),Q841+R841)))</f>
        <v>#REF!</v>
      </c>
      <c r="V841" t="e" cm="1">
        <f t="array" aca="1" ref="V841" ca="1">IF(A841="","",IF(E841="","",IF(B841="safety",INDIRECT("template!"&amp;"P"&amp;A841),S841+T841)))</f>
        <v>#REF!</v>
      </c>
      <c r="W841" t="e">
        <f ca="1">IF(A841="","",IF(E841="","",#REF!))</f>
        <v>#REF!</v>
      </c>
      <c r="X841" t="e">
        <f ca="1">IF(A841="","",IF(E841="","",#REF!))</f>
        <v>#REF!</v>
      </c>
      <c r="Y841" s="39" t="e">
        <f ca="1">IF(A841="","",IF(E841="","",#REF!))</f>
        <v>#REF!</v>
      </c>
      <c r="Z841" t="e">
        <f ca="1">IF(A841="","",IF(E841="","",#REF!))</f>
        <v>#REF!</v>
      </c>
      <c r="AA841" t="e">
        <f ca="1">IF(A841="","",IF(E841="","",#REF!))</f>
        <v>#REF!</v>
      </c>
      <c r="AB841" t="e">
        <f ca="1">IF(A841="","",IF(E841="","",#REF!))</f>
        <v>#REF!</v>
      </c>
      <c r="AC841" t="e">
        <f t="shared" ca="1" si="80"/>
        <v>#REF!</v>
      </c>
    </row>
    <row r="842" spans="1:29" x14ac:dyDescent="0.35">
      <c r="A842" t="e" cm="1">
        <f t="array" aca="1" ref="A842" ca="1">IF(A841="","",IF(OR(AND(A841+1&gt;=$AF$1,A841+1&lt;=$AF$2),AND(A841+1&gt;=$AF$6,A841+1&lt;=$AF$7),AND(A841+1&gt;=$AF$3,A841+1&lt;=$AF$4),AND(A841+1&gt;=$AF$8,A841+1&lt;=$AF$9),A841+1=$AF$5),IF(NOT(ISBLANK(INDIRECT("template!"&amp;"P"&amp;A841+1))),A841+1,IF(NOT(ISBLANK(INDIRECT("template!"&amp;"P"&amp;A841+2))),A841+2,A841+3)),IF(A841=$AF$2,$AF$3,IF(A841=$AF$4,$AF$5,IF(A841=$AF$5,$AF$6,IF(A841=$AF$7,$AF$8,""))))))</f>
        <v>#REF!</v>
      </c>
      <c r="B842" t="e">
        <f t="shared" ca="1" si="75"/>
        <v>#REF!</v>
      </c>
      <c r="C842" t="e" cm="1">
        <f t="array" aca="1" ref="C842" ca="1">IF(A842="","",IF(B842="safety","safety costs",INDIRECT("template!"&amp;"B"&amp;A842)))</f>
        <v>#REF!</v>
      </c>
      <c r="D842" t="e" cm="1">
        <f t="array" aca="1" ref="D842" ca="1">IF(OR(A842="",B842="safety"),"",INDIRECT("template!"&amp;"C"&amp;A842))</f>
        <v>#REF!</v>
      </c>
      <c r="E842" t="e" cm="1">
        <f t="array" aca="1" ref="E842" ca="1">IF(A842="","",IF(OR(A842=A841+1,A842=A841+2),E841,INDIRECT("template!"&amp;"D"&amp;A842-2)))</f>
        <v>#REF!</v>
      </c>
      <c r="F842" t="e" cm="1">
        <f t="array" aca="1" ref="F842" ca="1">IF(OR(A842="",B842="safety"),"",IF(ISBLANK(IF(A842=A841+1,F841,INDIRECT("template!"&amp;"D"&amp;A842-1))),"",IF(A842=A841+1,F841,INDIRECT("template!"&amp;"D"&amp;A842-1))))</f>
        <v>#REF!</v>
      </c>
      <c r="G842" t="e" cm="1">
        <f t="array" aca="1" ref="G842" ca="1">IF(OR(A842="",B842="safety"),"",IF(ISBLANK(INDIRECT("template!"&amp;"D"&amp;A842)),"",INDIRECT("template!"&amp;"D"&amp;A842)))</f>
        <v>#REF!</v>
      </c>
      <c r="H842" t="e" cm="1">
        <f t="array" aca="1" ref="H842" ca="1">IF(OR(A842="",B842="safety"),"",IF(ISBLANK(INDIRECT("template!"&amp;"E"&amp;A842)),"",INDIRECT("template!"&amp;"E"&amp;A842)))</f>
        <v>#REF!</v>
      </c>
      <c r="I842" t="e" cm="1">
        <f t="array" aca="1" ref="I842" ca="1">IF(OR(A842="",B842="safety"),"",IF(ISBLANK(INDIRECT("template!"&amp;"F"&amp;A842)),"",INDIRECT("template!"&amp;"F"&amp;A842)))</f>
        <v>#REF!</v>
      </c>
      <c r="J842" t="e" cm="1">
        <f t="array" aca="1" ref="J842" ca="1">IF(OR(A842="",B842="safety"),"",IF(ISBLANK(INDIRECT("template!"&amp;"G"&amp;A842)),"",INDIRECT("template!"&amp;"G"&amp;A842)))</f>
        <v>#REF!</v>
      </c>
      <c r="K842" t="e" cm="1">
        <f t="array" aca="1" ref="K842" ca="1">IF(OR(A842="",B842="safety"),"",IF(ISBLANK(INDIRECT("template!"&amp;"H"&amp;A842)),"",INDIRECT("template!"&amp;"H"&amp;A842)))</f>
        <v>#REF!</v>
      </c>
      <c r="L842" t="e" cm="1">
        <f t="array" aca="1" ref="L842" ca="1">IF(OR(A842="",B842="safety"),"",INDIRECT("template!"&amp;"I"&amp;A842))</f>
        <v>#REF!</v>
      </c>
      <c r="M842" t="e" cm="1">
        <f t="array" aca="1" ref="M842" ca="1">IF(OR(A842="",B842="safety"),"",INDIRECT("template!"&amp;"J"&amp;A842))</f>
        <v>#REF!</v>
      </c>
      <c r="N842" t="e" cm="1">
        <f t="array" aca="1" ref="N842" ca="1">IF(OR(A842="",B842="safety"),"",IF(ISBLANK(INDIRECT("template!"&amp;"K"&amp;A842)),"",INDIRECT("template!"&amp;"K"&amp;A842)))</f>
        <v>#REF!</v>
      </c>
      <c r="O842" t="e" cm="1">
        <f t="array" aca="1" ref="O842" ca="1">IF(OR(A842="",B842="safety"),"",INDIRECT("template!"&amp;"L"&amp;A842))</f>
        <v>#REF!</v>
      </c>
      <c r="P842" t="e" cm="1">
        <f t="array" aca="1" ref="P842" ca="1">IF(OR(A842="",B842="safety"),"",INDIRECT("template!"&amp;"M"&amp;A842))</f>
        <v>#REF!</v>
      </c>
      <c r="Q842" t="e">
        <f t="shared" ca="1" si="76"/>
        <v>#REF!</v>
      </c>
      <c r="R842" t="e">
        <f t="shared" ca="1" si="77"/>
        <v>#REF!</v>
      </c>
      <c r="S842" t="e">
        <f t="shared" ca="1" si="78"/>
        <v>#REF!</v>
      </c>
      <c r="T842" t="e">
        <f t="shared" ca="1" si="79"/>
        <v>#REF!</v>
      </c>
      <c r="U842" t="e" cm="1">
        <f t="array" aca="1" ref="U842" ca="1">IF(A842="","",IF(E842="","",IF(B842="safety",INDIRECT("template!"&amp;"P"&amp;A842),Q842+R842)))</f>
        <v>#REF!</v>
      </c>
      <c r="V842" t="e" cm="1">
        <f t="array" aca="1" ref="V842" ca="1">IF(A842="","",IF(E842="","",IF(B842="safety",INDIRECT("template!"&amp;"P"&amp;A842),S842+T842)))</f>
        <v>#REF!</v>
      </c>
      <c r="W842" t="e">
        <f ca="1">IF(A842="","",IF(E842="","",#REF!))</f>
        <v>#REF!</v>
      </c>
      <c r="X842" t="e">
        <f ca="1">IF(A842="","",IF(E842="","",#REF!))</f>
        <v>#REF!</v>
      </c>
      <c r="Y842" s="39" t="e">
        <f ca="1">IF(A842="","",IF(E842="","",#REF!))</f>
        <v>#REF!</v>
      </c>
      <c r="Z842" t="e">
        <f ca="1">IF(A842="","",IF(E842="","",#REF!))</f>
        <v>#REF!</v>
      </c>
      <c r="AA842" t="e">
        <f ca="1">IF(A842="","",IF(E842="","",#REF!))</f>
        <v>#REF!</v>
      </c>
      <c r="AB842" t="e">
        <f ca="1">IF(A842="","",IF(E842="","",#REF!))</f>
        <v>#REF!</v>
      </c>
      <c r="AC842" t="e">
        <f t="shared" ca="1" si="80"/>
        <v>#REF!</v>
      </c>
    </row>
    <row r="843" spans="1:29" x14ac:dyDescent="0.35">
      <c r="A843" t="e" cm="1">
        <f t="array" aca="1" ref="A843" ca="1">IF(A842="","",IF(OR(AND(A842+1&gt;=$AF$1,A842+1&lt;=$AF$2),AND(A842+1&gt;=$AF$6,A842+1&lt;=$AF$7),AND(A842+1&gt;=$AF$3,A842+1&lt;=$AF$4),AND(A842+1&gt;=$AF$8,A842+1&lt;=$AF$9),A842+1=$AF$5),IF(NOT(ISBLANK(INDIRECT("template!"&amp;"P"&amp;A842+1))),A842+1,IF(NOT(ISBLANK(INDIRECT("template!"&amp;"P"&amp;A842+2))),A842+2,A842+3)),IF(A842=$AF$2,$AF$3,IF(A842=$AF$4,$AF$5,IF(A842=$AF$5,$AF$6,IF(A842=$AF$7,$AF$8,""))))))</f>
        <v>#REF!</v>
      </c>
      <c r="B843" t="e">
        <f t="shared" ca="1" si="75"/>
        <v>#REF!</v>
      </c>
      <c r="C843" t="e" cm="1">
        <f t="array" aca="1" ref="C843" ca="1">IF(A843="","",IF(B843="safety","safety costs",INDIRECT("template!"&amp;"B"&amp;A843)))</f>
        <v>#REF!</v>
      </c>
      <c r="D843" t="e" cm="1">
        <f t="array" aca="1" ref="D843" ca="1">IF(OR(A843="",B843="safety"),"",INDIRECT("template!"&amp;"C"&amp;A843))</f>
        <v>#REF!</v>
      </c>
      <c r="E843" t="e" cm="1">
        <f t="array" aca="1" ref="E843" ca="1">IF(A843="","",IF(OR(A843=A842+1,A843=A842+2),E842,INDIRECT("template!"&amp;"D"&amp;A843-2)))</f>
        <v>#REF!</v>
      </c>
      <c r="F843" t="e" cm="1">
        <f t="array" aca="1" ref="F843" ca="1">IF(OR(A843="",B843="safety"),"",IF(ISBLANK(IF(A843=A842+1,F842,INDIRECT("template!"&amp;"D"&amp;A843-1))),"",IF(A843=A842+1,F842,INDIRECT("template!"&amp;"D"&amp;A843-1))))</f>
        <v>#REF!</v>
      </c>
      <c r="G843" t="e" cm="1">
        <f t="array" aca="1" ref="G843" ca="1">IF(OR(A843="",B843="safety"),"",IF(ISBLANK(INDIRECT("template!"&amp;"D"&amp;A843)),"",INDIRECT("template!"&amp;"D"&amp;A843)))</f>
        <v>#REF!</v>
      </c>
      <c r="H843" t="e" cm="1">
        <f t="array" aca="1" ref="H843" ca="1">IF(OR(A843="",B843="safety"),"",IF(ISBLANK(INDIRECT("template!"&amp;"E"&amp;A843)),"",INDIRECT("template!"&amp;"E"&amp;A843)))</f>
        <v>#REF!</v>
      </c>
      <c r="I843" t="e" cm="1">
        <f t="array" aca="1" ref="I843" ca="1">IF(OR(A843="",B843="safety"),"",IF(ISBLANK(INDIRECT("template!"&amp;"F"&amp;A843)),"",INDIRECT("template!"&amp;"F"&amp;A843)))</f>
        <v>#REF!</v>
      </c>
      <c r="J843" t="e" cm="1">
        <f t="array" aca="1" ref="J843" ca="1">IF(OR(A843="",B843="safety"),"",IF(ISBLANK(INDIRECT("template!"&amp;"G"&amp;A843)),"",INDIRECT("template!"&amp;"G"&amp;A843)))</f>
        <v>#REF!</v>
      </c>
      <c r="K843" t="e" cm="1">
        <f t="array" aca="1" ref="K843" ca="1">IF(OR(A843="",B843="safety"),"",IF(ISBLANK(INDIRECT("template!"&amp;"H"&amp;A843)),"",INDIRECT("template!"&amp;"H"&amp;A843)))</f>
        <v>#REF!</v>
      </c>
      <c r="L843" t="e" cm="1">
        <f t="array" aca="1" ref="L843" ca="1">IF(OR(A843="",B843="safety"),"",INDIRECT("template!"&amp;"I"&amp;A843))</f>
        <v>#REF!</v>
      </c>
      <c r="M843" t="e" cm="1">
        <f t="array" aca="1" ref="M843" ca="1">IF(OR(A843="",B843="safety"),"",INDIRECT("template!"&amp;"J"&amp;A843))</f>
        <v>#REF!</v>
      </c>
      <c r="N843" t="e" cm="1">
        <f t="array" aca="1" ref="N843" ca="1">IF(OR(A843="",B843="safety"),"",IF(ISBLANK(INDIRECT("template!"&amp;"K"&amp;A843)),"",INDIRECT("template!"&amp;"K"&amp;A843)))</f>
        <v>#REF!</v>
      </c>
      <c r="O843" t="e" cm="1">
        <f t="array" aca="1" ref="O843" ca="1">IF(OR(A843="",B843="safety"),"",INDIRECT("template!"&amp;"L"&amp;A843))</f>
        <v>#REF!</v>
      </c>
      <c r="P843" t="e" cm="1">
        <f t="array" aca="1" ref="P843" ca="1">IF(OR(A843="",B843="safety"),"",INDIRECT("template!"&amp;"M"&amp;A843))</f>
        <v>#REF!</v>
      </c>
      <c r="Q843" t="e">
        <f t="shared" ca="1" si="76"/>
        <v>#REF!</v>
      </c>
      <c r="R843" t="e">
        <f t="shared" ca="1" si="77"/>
        <v>#REF!</v>
      </c>
      <c r="S843" t="e">
        <f t="shared" ca="1" si="78"/>
        <v>#REF!</v>
      </c>
      <c r="T843" t="e">
        <f t="shared" ca="1" si="79"/>
        <v>#REF!</v>
      </c>
      <c r="U843" t="e" cm="1">
        <f t="array" aca="1" ref="U843" ca="1">IF(A843="","",IF(E843="","",IF(B843="safety",INDIRECT("template!"&amp;"P"&amp;A843),Q843+R843)))</f>
        <v>#REF!</v>
      </c>
      <c r="V843" t="e" cm="1">
        <f t="array" aca="1" ref="V843" ca="1">IF(A843="","",IF(E843="","",IF(B843="safety",INDIRECT("template!"&amp;"P"&amp;A843),S843+T843)))</f>
        <v>#REF!</v>
      </c>
      <c r="W843" t="e">
        <f ca="1">IF(A843="","",IF(E843="","",#REF!))</f>
        <v>#REF!</v>
      </c>
      <c r="X843" t="e">
        <f ca="1">IF(A843="","",IF(E843="","",#REF!))</f>
        <v>#REF!</v>
      </c>
      <c r="Y843" s="39" t="e">
        <f ca="1">IF(A843="","",IF(E843="","",#REF!))</f>
        <v>#REF!</v>
      </c>
      <c r="Z843" t="e">
        <f ca="1">IF(A843="","",IF(E843="","",#REF!))</f>
        <v>#REF!</v>
      </c>
      <c r="AA843" t="e">
        <f ca="1">IF(A843="","",IF(E843="","",#REF!))</f>
        <v>#REF!</v>
      </c>
      <c r="AB843" t="e">
        <f ca="1">IF(A843="","",IF(E843="","",#REF!))</f>
        <v>#REF!</v>
      </c>
      <c r="AC843" t="e">
        <f t="shared" ca="1" si="80"/>
        <v>#REF!</v>
      </c>
    </row>
    <row r="844" spans="1:29" x14ac:dyDescent="0.35">
      <c r="A844" t="e" cm="1">
        <f t="array" aca="1" ref="A844" ca="1">IF(A843="","",IF(OR(AND(A843+1&gt;=$AF$1,A843+1&lt;=$AF$2),AND(A843+1&gt;=$AF$6,A843+1&lt;=$AF$7),AND(A843+1&gt;=$AF$3,A843+1&lt;=$AF$4),AND(A843+1&gt;=$AF$8,A843+1&lt;=$AF$9),A843+1=$AF$5),IF(NOT(ISBLANK(INDIRECT("template!"&amp;"P"&amp;A843+1))),A843+1,IF(NOT(ISBLANK(INDIRECT("template!"&amp;"P"&amp;A843+2))),A843+2,A843+3)),IF(A843=$AF$2,$AF$3,IF(A843=$AF$4,$AF$5,IF(A843=$AF$5,$AF$6,IF(A843=$AF$7,$AF$8,""))))))</f>
        <v>#REF!</v>
      </c>
      <c r="B844" t="e">
        <f t="shared" ca="1" si="75"/>
        <v>#REF!</v>
      </c>
      <c r="C844" t="e" cm="1">
        <f t="array" aca="1" ref="C844" ca="1">IF(A844="","",IF(B844="safety","safety costs",INDIRECT("template!"&amp;"B"&amp;A844)))</f>
        <v>#REF!</v>
      </c>
      <c r="D844" t="e" cm="1">
        <f t="array" aca="1" ref="D844" ca="1">IF(OR(A844="",B844="safety"),"",INDIRECT("template!"&amp;"C"&amp;A844))</f>
        <v>#REF!</v>
      </c>
      <c r="E844" t="e" cm="1">
        <f t="array" aca="1" ref="E844" ca="1">IF(A844="","",IF(OR(A844=A843+1,A844=A843+2),E843,INDIRECT("template!"&amp;"D"&amp;A844-2)))</f>
        <v>#REF!</v>
      </c>
      <c r="F844" t="e" cm="1">
        <f t="array" aca="1" ref="F844" ca="1">IF(OR(A844="",B844="safety"),"",IF(ISBLANK(IF(A844=A843+1,F843,INDIRECT("template!"&amp;"D"&amp;A844-1))),"",IF(A844=A843+1,F843,INDIRECT("template!"&amp;"D"&amp;A844-1))))</f>
        <v>#REF!</v>
      </c>
      <c r="G844" t="e" cm="1">
        <f t="array" aca="1" ref="G844" ca="1">IF(OR(A844="",B844="safety"),"",IF(ISBLANK(INDIRECT("template!"&amp;"D"&amp;A844)),"",INDIRECT("template!"&amp;"D"&amp;A844)))</f>
        <v>#REF!</v>
      </c>
      <c r="H844" t="e" cm="1">
        <f t="array" aca="1" ref="H844" ca="1">IF(OR(A844="",B844="safety"),"",IF(ISBLANK(INDIRECT("template!"&amp;"E"&amp;A844)),"",INDIRECT("template!"&amp;"E"&amp;A844)))</f>
        <v>#REF!</v>
      </c>
      <c r="I844" t="e" cm="1">
        <f t="array" aca="1" ref="I844" ca="1">IF(OR(A844="",B844="safety"),"",IF(ISBLANK(INDIRECT("template!"&amp;"F"&amp;A844)),"",INDIRECT("template!"&amp;"F"&amp;A844)))</f>
        <v>#REF!</v>
      </c>
      <c r="J844" t="e" cm="1">
        <f t="array" aca="1" ref="J844" ca="1">IF(OR(A844="",B844="safety"),"",IF(ISBLANK(INDIRECT("template!"&amp;"G"&amp;A844)),"",INDIRECT("template!"&amp;"G"&amp;A844)))</f>
        <v>#REF!</v>
      </c>
      <c r="K844" t="e" cm="1">
        <f t="array" aca="1" ref="K844" ca="1">IF(OR(A844="",B844="safety"),"",IF(ISBLANK(INDIRECT("template!"&amp;"H"&amp;A844)),"",INDIRECT("template!"&amp;"H"&amp;A844)))</f>
        <v>#REF!</v>
      </c>
      <c r="L844" t="e" cm="1">
        <f t="array" aca="1" ref="L844" ca="1">IF(OR(A844="",B844="safety"),"",INDIRECT("template!"&amp;"I"&amp;A844))</f>
        <v>#REF!</v>
      </c>
      <c r="M844" t="e" cm="1">
        <f t="array" aca="1" ref="M844" ca="1">IF(OR(A844="",B844="safety"),"",INDIRECT("template!"&amp;"J"&amp;A844))</f>
        <v>#REF!</v>
      </c>
      <c r="N844" t="e" cm="1">
        <f t="array" aca="1" ref="N844" ca="1">IF(OR(A844="",B844="safety"),"",IF(ISBLANK(INDIRECT("template!"&amp;"K"&amp;A844)),"",INDIRECT("template!"&amp;"K"&amp;A844)))</f>
        <v>#REF!</v>
      </c>
      <c r="O844" t="e" cm="1">
        <f t="array" aca="1" ref="O844" ca="1">IF(OR(A844="",B844="safety"),"",INDIRECT("template!"&amp;"L"&amp;A844))</f>
        <v>#REF!</v>
      </c>
      <c r="P844" t="e" cm="1">
        <f t="array" aca="1" ref="P844" ca="1">IF(OR(A844="",B844="safety"),"",INDIRECT("template!"&amp;"M"&amp;A844))</f>
        <v>#REF!</v>
      </c>
      <c r="Q844" t="e">
        <f t="shared" ca="1" si="76"/>
        <v>#REF!</v>
      </c>
      <c r="R844" t="e">
        <f t="shared" ca="1" si="77"/>
        <v>#REF!</v>
      </c>
      <c r="S844" t="e">
        <f t="shared" ca="1" si="78"/>
        <v>#REF!</v>
      </c>
      <c r="T844" t="e">
        <f t="shared" ca="1" si="79"/>
        <v>#REF!</v>
      </c>
      <c r="U844" t="e" cm="1">
        <f t="array" aca="1" ref="U844" ca="1">IF(A844="","",IF(E844="","",IF(B844="safety",INDIRECT("template!"&amp;"P"&amp;A844),Q844+R844)))</f>
        <v>#REF!</v>
      </c>
      <c r="V844" t="e" cm="1">
        <f t="array" aca="1" ref="V844" ca="1">IF(A844="","",IF(E844="","",IF(B844="safety",INDIRECT("template!"&amp;"P"&amp;A844),S844+T844)))</f>
        <v>#REF!</v>
      </c>
      <c r="W844" t="e">
        <f ca="1">IF(A844="","",IF(E844="","",#REF!))</f>
        <v>#REF!</v>
      </c>
      <c r="X844" t="e">
        <f ca="1">IF(A844="","",IF(E844="","",#REF!))</f>
        <v>#REF!</v>
      </c>
      <c r="Y844" s="39" t="e">
        <f ca="1">IF(A844="","",IF(E844="","",#REF!))</f>
        <v>#REF!</v>
      </c>
      <c r="Z844" t="e">
        <f ca="1">IF(A844="","",IF(E844="","",#REF!))</f>
        <v>#REF!</v>
      </c>
      <c r="AA844" t="e">
        <f ca="1">IF(A844="","",IF(E844="","",#REF!))</f>
        <v>#REF!</v>
      </c>
      <c r="AB844" t="e">
        <f ca="1">IF(A844="","",IF(E844="","",#REF!))</f>
        <v>#REF!</v>
      </c>
      <c r="AC844" t="e">
        <f t="shared" ca="1" si="80"/>
        <v>#REF!</v>
      </c>
    </row>
    <row r="845" spans="1:29" x14ac:dyDescent="0.35">
      <c r="A845" t="e" cm="1">
        <f t="array" aca="1" ref="A845" ca="1">IF(A844="","",IF(OR(AND(A844+1&gt;=$AF$1,A844+1&lt;=$AF$2),AND(A844+1&gt;=$AF$6,A844+1&lt;=$AF$7),AND(A844+1&gt;=$AF$3,A844+1&lt;=$AF$4),AND(A844+1&gt;=$AF$8,A844+1&lt;=$AF$9),A844+1=$AF$5),IF(NOT(ISBLANK(INDIRECT("template!"&amp;"P"&amp;A844+1))),A844+1,IF(NOT(ISBLANK(INDIRECT("template!"&amp;"P"&amp;A844+2))),A844+2,A844+3)),IF(A844=$AF$2,$AF$3,IF(A844=$AF$4,$AF$5,IF(A844=$AF$5,$AF$6,IF(A844=$AF$7,$AF$8,""))))))</f>
        <v>#REF!</v>
      </c>
      <c r="B845" t="e">
        <f t="shared" ca="1" si="75"/>
        <v>#REF!</v>
      </c>
      <c r="C845" t="e" cm="1">
        <f t="array" aca="1" ref="C845" ca="1">IF(A845="","",IF(B845="safety","safety costs",INDIRECT("template!"&amp;"B"&amp;A845)))</f>
        <v>#REF!</v>
      </c>
      <c r="D845" t="e" cm="1">
        <f t="array" aca="1" ref="D845" ca="1">IF(OR(A845="",B845="safety"),"",INDIRECT("template!"&amp;"C"&amp;A845))</f>
        <v>#REF!</v>
      </c>
      <c r="E845" t="e" cm="1">
        <f t="array" aca="1" ref="E845" ca="1">IF(A845="","",IF(OR(A845=A844+1,A845=A844+2),E844,INDIRECT("template!"&amp;"D"&amp;A845-2)))</f>
        <v>#REF!</v>
      </c>
      <c r="F845" t="e" cm="1">
        <f t="array" aca="1" ref="F845" ca="1">IF(OR(A845="",B845="safety"),"",IF(ISBLANK(IF(A845=A844+1,F844,INDIRECT("template!"&amp;"D"&amp;A845-1))),"",IF(A845=A844+1,F844,INDIRECT("template!"&amp;"D"&amp;A845-1))))</f>
        <v>#REF!</v>
      </c>
      <c r="G845" t="e" cm="1">
        <f t="array" aca="1" ref="G845" ca="1">IF(OR(A845="",B845="safety"),"",IF(ISBLANK(INDIRECT("template!"&amp;"D"&amp;A845)),"",INDIRECT("template!"&amp;"D"&amp;A845)))</f>
        <v>#REF!</v>
      </c>
      <c r="H845" t="e" cm="1">
        <f t="array" aca="1" ref="H845" ca="1">IF(OR(A845="",B845="safety"),"",IF(ISBLANK(INDIRECT("template!"&amp;"E"&amp;A845)),"",INDIRECT("template!"&amp;"E"&amp;A845)))</f>
        <v>#REF!</v>
      </c>
      <c r="I845" t="e" cm="1">
        <f t="array" aca="1" ref="I845" ca="1">IF(OR(A845="",B845="safety"),"",IF(ISBLANK(INDIRECT("template!"&amp;"F"&amp;A845)),"",INDIRECT("template!"&amp;"F"&amp;A845)))</f>
        <v>#REF!</v>
      </c>
      <c r="J845" t="e" cm="1">
        <f t="array" aca="1" ref="J845" ca="1">IF(OR(A845="",B845="safety"),"",IF(ISBLANK(INDIRECT("template!"&amp;"G"&amp;A845)),"",INDIRECT("template!"&amp;"G"&amp;A845)))</f>
        <v>#REF!</v>
      </c>
      <c r="K845" t="e" cm="1">
        <f t="array" aca="1" ref="K845" ca="1">IF(OR(A845="",B845="safety"),"",IF(ISBLANK(INDIRECT("template!"&amp;"H"&amp;A845)),"",INDIRECT("template!"&amp;"H"&amp;A845)))</f>
        <v>#REF!</v>
      </c>
      <c r="L845" t="e" cm="1">
        <f t="array" aca="1" ref="L845" ca="1">IF(OR(A845="",B845="safety"),"",INDIRECT("template!"&amp;"I"&amp;A845))</f>
        <v>#REF!</v>
      </c>
      <c r="M845" t="e" cm="1">
        <f t="array" aca="1" ref="M845" ca="1">IF(OR(A845="",B845="safety"),"",INDIRECT("template!"&amp;"J"&amp;A845))</f>
        <v>#REF!</v>
      </c>
      <c r="N845" t="e" cm="1">
        <f t="array" aca="1" ref="N845" ca="1">IF(OR(A845="",B845="safety"),"",IF(ISBLANK(INDIRECT("template!"&amp;"K"&amp;A845)),"",INDIRECT("template!"&amp;"K"&amp;A845)))</f>
        <v>#REF!</v>
      </c>
      <c r="O845" t="e" cm="1">
        <f t="array" aca="1" ref="O845" ca="1">IF(OR(A845="",B845="safety"),"",INDIRECT("template!"&amp;"L"&amp;A845))</f>
        <v>#REF!</v>
      </c>
      <c r="P845" t="e" cm="1">
        <f t="array" aca="1" ref="P845" ca="1">IF(OR(A845="",B845="safety"),"",INDIRECT("template!"&amp;"M"&amp;A845))</f>
        <v>#REF!</v>
      </c>
      <c r="Q845" t="e">
        <f t="shared" ca="1" si="76"/>
        <v>#REF!</v>
      </c>
      <c r="R845" t="e">
        <f t="shared" ca="1" si="77"/>
        <v>#REF!</v>
      </c>
      <c r="S845" t="e">
        <f t="shared" ca="1" si="78"/>
        <v>#REF!</v>
      </c>
      <c r="T845" t="e">
        <f t="shared" ca="1" si="79"/>
        <v>#REF!</v>
      </c>
      <c r="U845" t="e" cm="1">
        <f t="array" aca="1" ref="U845" ca="1">IF(A845="","",IF(E845="","",IF(B845="safety",INDIRECT("template!"&amp;"P"&amp;A845),Q845+R845)))</f>
        <v>#REF!</v>
      </c>
      <c r="V845" t="e" cm="1">
        <f t="array" aca="1" ref="V845" ca="1">IF(A845="","",IF(E845="","",IF(B845="safety",INDIRECT("template!"&amp;"P"&amp;A845),S845+T845)))</f>
        <v>#REF!</v>
      </c>
      <c r="W845" t="e">
        <f ca="1">IF(A845="","",IF(E845="","",#REF!))</f>
        <v>#REF!</v>
      </c>
      <c r="X845" t="e">
        <f ca="1">IF(A845="","",IF(E845="","",#REF!))</f>
        <v>#REF!</v>
      </c>
      <c r="Y845" s="39" t="e">
        <f ca="1">IF(A845="","",IF(E845="","",#REF!))</f>
        <v>#REF!</v>
      </c>
      <c r="Z845" t="e">
        <f ca="1">IF(A845="","",IF(E845="","",#REF!))</f>
        <v>#REF!</v>
      </c>
      <c r="AA845" t="e">
        <f ca="1">IF(A845="","",IF(E845="","",#REF!))</f>
        <v>#REF!</v>
      </c>
      <c r="AB845" t="e">
        <f ca="1">IF(A845="","",IF(E845="","",#REF!))</f>
        <v>#REF!</v>
      </c>
      <c r="AC845" t="e">
        <f t="shared" ca="1" si="80"/>
        <v>#REF!</v>
      </c>
    </row>
    <row r="846" spans="1:29" x14ac:dyDescent="0.35">
      <c r="A846" t="e" cm="1">
        <f t="array" aca="1" ref="A846" ca="1">IF(A845="","",IF(OR(AND(A845+1&gt;=$AF$1,A845+1&lt;=$AF$2),AND(A845+1&gt;=$AF$6,A845+1&lt;=$AF$7),AND(A845+1&gt;=$AF$3,A845+1&lt;=$AF$4),AND(A845+1&gt;=$AF$8,A845+1&lt;=$AF$9),A845+1=$AF$5),IF(NOT(ISBLANK(INDIRECT("template!"&amp;"P"&amp;A845+1))),A845+1,IF(NOT(ISBLANK(INDIRECT("template!"&amp;"P"&amp;A845+2))),A845+2,A845+3)),IF(A845=$AF$2,$AF$3,IF(A845=$AF$4,$AF$5,IF(A845=$AF$5,$AF$6,IF(A845=$AF$7,$AF$8,""))))))</f>
        <v>#REF!</v>
      </c>
      <c r="B846" t="e">
        <f t="shared" ca="1" si="75"/>
        <v>#REF!</v>
      </c>
      <c r="C846" t="e" cm="1">
        <f t="array" aca="1" ref="C846" ca="1">IF(A846="","",IF(B846="safety","safety costs",INDIRECT("template!"&amp;"B"&amp;A846)))</f>
        <v>#REF!</v>
      </c>
      <c r="D846" t="e" cm="1">
        <f t="array" aca="1" ref="D846" ca="1">IF(OR(A846="",B846="safety"),"",INDIRECT("template!"&amp;"C"&amp;A846))</f>
        <v>#REF!</v>
      </c>
      <c r="E846" t="e" cm="1">
        <f t="array" aca="1" ref="E846" ca="1">IF(A846="","",IF(OR(A846=A845+1,A846=A845+2),E845,INDIRECT("template!"&amp;"D"&amp;A846-2)))</f>
        <v>#REF!</v>
      </c>
      <c r="F846" t="e" cm="1">
        <f t="array" aca="1" ref="F846" ca="1">IF(OR(A846="",B846="safety"),"",IF(ISBLANK(IF(A846=A845+1,F845,INDIRECT("template!"&amp;"D"&amp;A846-1))),"",IF(A846=A845+1,F845,INDIRECT("template!"&amp;"D"&amp;A846-1))))</f>
        <v>#REF!</v>
      </c>
      <c r="G846" t="e" cm="1">
        <f t="array" aca="1" ref="G846" ca="1">IF(OR(A846="",B846="safety"),"",IF(ISBLANK(INDIRECT("template!"&amp;"D"&amp;A846)),"",INDIRECT("template!"&amp;"D"&amp;A846)))</f>
        <v>#REF!</v>
      </c>
      <c r="H846" t="e" cm="1">
        <f t="array" aca="1" ref="H846" ca="1">IF(OR(A846="",B846="safety"),"",IF(ISBLANK(INDIRECT("template!"&amp;"E"&amp;A846)),"",INDIRECT("template!"&amp;"E"&amp;A846)))</f>
        <v>#REF!</v>
      </c>
      <c r="I846" t="e" cm="1">
        <f t="array" aca="1" ref="I846" ca="1">IF(OR(A846="",B846="safety"),"",IF(ISBLANK(INDIRECT("template!"&amp;"F"&amp;A846)),"",INDIRECT("template!"&amp;"F"&amp;A846)))</f>
        <v>#REF!</v>
      </c>
      <c r="J846" t="e" cm="1">
        <f t="array" aca="1" ref="J846" ca="1">IF(OR(A846="",B846="safety"),"",IF(ISBLANK(INDIRECT("template!"&amp;"G"&amp;A846)),"",INDIRECT("template!"&amp;"G"&amp;A846)))</f>
        <v>#REF!</v>
      </c>
      <c r="K846" t="e" cm="1">
        <f t="array" aca="1" ref="K846" ca="1">IF(OR(A846="",B846="safety"),"",IF(ISBLANK(INDIRECT("template!"&amp;"H"&amp;A846)),"",INDIRECT("template!"&amp;"H"&amp;A846)))</f>
        <v>#REF!</v>
      </c>
      <c r="L846" t="e" cm="1">
        <f t="array" aca="1" ref="L846" ca="1">IF(OR(A846="",B846="safety"),"",INDIRECT("template!"&amp;"I"&amp;A846))</f>
        <v>#REF!</v>
      </c>
      <c r="M846" t="e" cm="1">
        <f t="array" aca="1" ref="M846" ca="1">IF(OR(A846="",B846="safety"),"",INDIRECT("template!"&amp;"J"&amp;A846))</f>
        <v>#REF!</v>
      </c>
      <c r="N846" t="e" cm="1">
        <f t="array" aca="1" ref="N846" ca="1">IF(OR(A846="",B846="safety"),"",IF(ISBLANK(INDIRECT("template!"&amp;"K"&amp;A846)),"",INDIRECT("template!"&amp;"K"&amp;A846)))</f>
        <v>#REF!</v>
      </c>
      <c r="O846" t="e" cm="1">
        <f t="array" aca="1" ref="O846" ca="1">IF(OR(A846="",B846="safety"),"",INDIRECT("template!"&amp;"L"&amp;A846))</f>
        <v>#REF!</v>
      </c>
      <c r="P846" t="e" cm="1">
        <f t="array" aca="1" ref="P846" ca="1">IF(OR(A846="",B846="safety"),"",INDIRECT("template!"&amp;"M"&amp;A846))</f>
        <v>#REF!</v>
      </c>
      <c r="Q846" t="e">
        <f t="shared" ca="1" si="76"/>
        <v>#REF!</v>
      </c>
      <c r="R846" t="e">
        <f t="shared" ca="1" si="77"/>
        <v>#REF!</v>
      </c>
      <c r="S846" t="e">
        <f t="shared" ca="1" si="78"/>
        <v>#REF!</v>
      </c>
      <c r="T846" t="e">
        <f t="shared" ca="1" si="79"/>
        <v>#REF!</v>
      </c>
      <c r="U846" t="e" cm="1">
        <f t="array" aca="1" ref="U846" ca="1">IF(A846="","",IF(E846="","",IF(B846="safety",INDIRECT("template!"&amp;"P"&amp;A846),Q846+R846)))</f>
        <v>#REF!</v>
      </c>
      <c r="V846" t="e" cm="1">
        <f t="array" aca="1" ref="V846" ca="1">IF(A846="","",IF(E846="","",IF(B846="safety",INDIRECT("template!"&amp;"P"&amp;A846),S846+T846)))</f>
        <v>#REF!</v>
      </c>
      <c r="W846" t="e">
        <f ca="1">IF(A846="","",IF(E846="","",#REF!))</f>
        <v>#REF!</v>
      </c>
      <c r="X846" t="e">
        <f ca="1">IF(A846="","",IF(E846="","",#REF!))</f>
        <v>#REF!</v>
      </c>
      <c r="Y846" s="39" t="e">
        <f ca="1">IF(A846="","",IF(E846="","",#REF!))</f>
        <v>#REF!</v>
      </c>
      <c r="Z846" t="e">
        <f ca="1">IF(A846="","",IF(E846="","",#REF!))</f>
        <v>#REF!</v>
      </c>
      <c r="AA846" t="e">
        <f ca="1">IF(A846="","",IF(E846="","",#REF!))</f>
        <v>#REF!</v>
      </c>
      <c r="AB846" t="e">
        <f ca="1">IF(A846="","",IF(E846="","",#REF!))</f>
        <v>#REF!</v>
      </c>
      <c r="AC846" t="e">
        <f t="shared" ca="1" si="80"/>
        <v>#REF!</v>
      </c>
    </row>
    <row r="847" spans="1:29" x14ac:dyDescent="0.35">
      <c r="A847" t="e" cm="1">
        <f t="array" aca="1" ref="A847" ca="1">IF(A846="","",IF(OR(AND(A846+1&gt;=$AF$1,A846+1&lt;=$AF$2),AND(A846+1&gt;=$AF$6,A846+1&lt;=$AF$7),AND(A846+1&gt;=$AF$3,A846+1&lt;=$AF$4),AND(A846+1&gt;=$AF$8,A846+1&lt;=$AF$9),A846+1=$AF$5),IF(NOT(ISBLANK(INDIRECT("template!"&amp;"P"&amp;A846+1))),A846+1,IF(NOT(ISBLANK(INDIRECT("template!"&amp;"P"&amp;A846+2))),A846+2,A846+3)),IF(A846=$AF$2,$AF$3,IF(A846=$AF$4,$AF$5,IF(A846=$AF$5,$AF$6,IF(A846=$AF$7,$AF$8,""))))))</f>
        <v>#REF!</v>
      </c>
      <c r="B847" t="e">
        <f t="shared" ca="1" si="75"/>
        <v>#REF!</v>
      </c>
      <c r="C847" t="e" cm="1">
        <f t="array" aca="1" ref="C847" ca="1">IF(A847="","",IF(B847="safety","safety costs",INDIRECT("template!"&amp;"B"&amp;A847)))</f>
        <v>#REF!</v>
      </c>
      <c r="D847" t="e" cm="1">
        <f t="array" aca="1" ref="D847" ca="1">IF(OR(A847="",B847="safety"),"",INDIRECT("template!"&amp;"C"&amp;A847))</f>
        <v>#REF!</v>
      </c>
      <c r="E847" t="e" cm="1">
        <f t="array" aca="1" ref="E847" ca="1">IF(A847="","",IF(OR(A847=A846+1,A847=A846+2),E846,INDIRECT("template!"&amp;"D"&amp;A847-2)))</f>
        <v>#REF!</v>
      </c>
      <c r="F847" t="e" cm="1">
        <f t="array" aca="1" ref="F847" ca="1">IF(OR(A847="",B847="safety"),"",IF(ISBLANK(IF(A847=A846+1,F846,INDIRECT("template!"&amp;"D"&amp;A847-1))),"",IF(A847=A846+1,F846,INDIRECT("template!"&amp;"D"&amp;A847-1))))</f>
        <v>#REF!</v>
      </c>
      <c r="G847" t="e" cm="1">
        <f t="array" aca="1" ref="G847" ca="1">IF(OR(A847="",B847="safety"),"",IF(ISBLANK(INDIRECT("template!"&amp;"D"&amp;A847)),"",INDIRECT("template!"&amp;"D"&amp;A847)))</f>
        <v>#REF!</v>
      </c>
      <c r="H847" t="e" cm="1">
        <f t="array" aca="1" ref="H847" ca="1">IF(OR(A847="",B847="safety"),"",IF(ISBLANK(INDIRECT("template!"&amp;"E"&amp;A847)),"",INDIRECT("template!"&amp;"E"&amp;A847)))</f>
        <v>#REF!</v>
      </c>
      <c r="I847" t="e" cm="1">
        <f t="array" aca="1" ref="I847" ca="1">IF(OR(A847="",B847="safety"),"",IF(ISBLANK(INDIRECT("template!"&amp;"F"&amp;A847)),"",INDIRECT("template!"&amp;"F"&amp;A847)))</f>
        <v>#REF!</v>
      </c>
      <c r="J847" t="e" cm="1">
        <f t="array" aca="1" ref="J847" ca="1">IF(OR(A847="",B847="safety"),"",IF(ISBLANK(INDIRECT("template!"&amp;"G"&amp;A847)),"",INDIRECT("template!"&amp;"G"&amp;A847)))</f>
        <v>#REF!</v>
      </c>
      <c r="K847" t="e" cm="1">
        <f t="array" aca="1" ref="K847" ca="1">IF(OR(A847="",B847="safety"),"",IF(ISBLANK(INDIRECT("template!"&amp;"H"&amp;A847)),"",INDIRECT("template!"&amp;"H"&amp;A847)))</f>
        <v>#REF!</v>
      </c>
      <c r="L847" t="e" cm="1">
        <f t="array" aca="1" ref="L847" ca="1">IF(OR(A847="",B847="safety"),"",INDIRECT("template!"&amp;"I"&amp;A847))</f>
        <v>#REF!</v>
      </c>
      <c r="M847" t="e" cm="1">
        <f t="array" aca="1" ref="M847" ca="1">IF(OR(A847="",B847="safety"),"",INDIRECT("template!"&amp;"J"&amp;A847))</f>
        <v>#REF!</v>
      </c>
      <c r="N847" t="e" cm="1">
        <f t="array" aca="1" ref="N847" ca="1">IF(OR(A847="",B847="safety"),"",IF(ISBLANK(INDIRECT("template!"&amp;"K"&amp;A847)),"",INDIRECT("template!"&amp;"K"&amp;A847)))</f>
        <v>#REF!</v>
      </c>
      <c r="O847" t="e" cm="1">
        <f t="array" aca="1" ref="O847" ca="1">IF(OR(A847="",B847="safety"),"",INDIRECT("template!"&amp;"L"&amp;A847))</f>
        <v>#REF!</v>
      </c>
      <c r="P847" t="e" cm="1">
        <f t="array" aca="1" ref="P847" ca="1">IF(OR(A847="",B847="safety"),"",INDIRECT("template!"&amp;"M"&amp;A847))</f>
        <v>#REF!</v>
      </c>
      <c r="Q847" t="e">
        <f t="shared" ca="1" si="76"/>
        <v>#REF!</v>
      </c>
      <c r="R847" t="e">
        <f t="shared" ca="1" si="77"/>
        <v>#REF!</v>
      </c>
      <c r="S847" t="e">
        <f t="shared" ca="1" si="78"/>
        <v>#REF!</v>
      </c>
      <c r="T847" t="e">
        <f t="shared" ca="1" si="79"/>
        <v>#REF!</v>
      </c>
      <c r="U847" t="e" cm="1">
        <f t="array" aca="1" ref="U847" ca="1">IF(A847="","",IF(E847="","",IF(B847="safety",INDIRECT("template!"&amp;"P"&amp;A847),Q847+R847)))</f>
        <v>#REF!</v>
      </c>
      <c r="V847" t="e" cm="1">
        <f t="array" aca="1" ref="V847" ca="1">IF(A847="","",IF(E847="","",IF(B847="safety",INDIRECT("template!"&amp;"P"&amp;A847),S847+T847)))</f>
        <v>#REF!</v>
      </c>
      <c r="W847" t="e">
        <f ca="1">IF(A847="","",IF(E847="","",#REF!))</f>
        <v>#REF!</v>
      </c>
      <c r="X847" t="e">
        <f ca="1">IF(A847="","",IF(E847="","",#REF!))</f>
        <v>#REF!</v>
      </c>
      <c r="Y847" s="39" t="e">
        <f ca="1">IF(A847="","",IF(E847="","",#REF!))</f>
        <v>#REF!</v>
      </c>
      <c r="Z847" t="e">
        <f ca="1">IF(A847="","",IF(E847="","",#REF!))</f>
        <v>#REF!</v>
      </c>
      <c r="AA847" t="e">
        <f ca="1">IF(A847="","",IF(E847="","",#REF!))</f>
        <v>#REF!</v>
      </c>
      <c r="AB847" t="e">
        <f ca="1">IF(A847="","",IF(E847="","",#REF!))</f>
        <v>#REF!</v>
      </c>
      <c r="AC847" t="e">
        <f t="shared" ca="1" si="80"/>
        <v>#REF!</v>
      </c>
    </row>
    <row r="848" spans="1:29" x14ac:dyDescent="0.35">
      <c r="A848" t="e" cm="1">
        <f t="array" aca="1" ref="A848" ca="1">IF(A847="","",IF(OR(AND(A847+1&gt;=$AF$1,A847+1&lt;=$AF$2),AND(A847+1&gt;=$AF$6,A847+1&lt;=$AF$7),AND(A847+1&gt;=$AF$3,A847+1&lt;=$AF$4),AND(A847+1&gt;=$AF$8,A847+1&lt;=$AF$9),A847+1=$AF$5),IF(NOT(ISBLANK(INDIRECT("template!"&amp;"P"&amp;A847+1))),A847+1,IF(NOT(ISBLANK(INDIRECT("template!"&amp;"P"&amp;A847+2))),A847+2,A847+3)),IF(A847=$AF$2,$AF$3,IF(A847=$AF$4,$AF$5,IF(A847=$AF$5,$AF$6,IF(A847=$AF$7,$AF$8,""))))))</f>
        <v>#REF!</v>
      </c>
      <c r="B848" t="e">
        <f t="shared" ca="1" si="75"/>
        <v>#REF!</v>
      </c>
      <c r="C848" t="e" cm="1">
        <f t="array" aca="1" ref="C848" ca="1">IF(A848="","",IF(B848="safety","safety costs",INDIRECT("template!"&amp;"B"&amp;A848)))</f>
        <v>#REF!</v>
      </c>
      <c r="D848" t="e" cm="1">
        <f t="array" aca="1" ref="D848" ca="1">IF(OR(A848="",B848="safety"),"",INDIRECT("template!"&amp;"C"&amp;A848))</f>
        <v>#REF!</v>
      </c>
      <c r="E848" t="e" cm="1">
        <f t="array" aca="1" ref="E848" ca="1">IF(A848="","",IF(OR(A848=A847+1,A848=A847+2),E847,INDIRECT("template!"&amp;"D"&amp;A848-2)))</f>
        <v>#REF!</v>
      </c>
      <c r="F848" t="e" cm="1">
        <f t="array" aca="1" ref="F848" ca="1">IF(OR(A848="",B848="safety"),"",IF(ISBLANK(IF(A848=A847+1,F847,INDIRECT("template!"&amp;"D"&amp;A848-1))),"",IF(A848=A847+1,F847,INDIRECT("template!"&amp;"D"&amp;A848-1))))</f>
        <v>#REF!</v>
      </c>
      <c r="G848" t="e" cm="1">
        <f t="array" aca="1" ref="G848" ca="1">IF(OR(A848="",B848="safety"),"",IF(ISBLANK(INDIRECT("template!"&amp;"D"&amp;A848)),"",INDIRECT("template!"&amp;"D"&amp;A848)))</f>
        <v>#REF!</v>
      </c>
      <c r="H848" t="e" cm="1">
        <f t="array" aca="1" ref="H848" ca="1">IF(OR(A848="",B848="safety"),"",IF(ISBLANK(INDIRECT("template!"&amp;"E"&amp;A848)),"",INDIRECT("template!"&amp;"E"&amp;A848)))</f>
        <v>#REF!</v>
      </c>
      <c r="I848" t="e" cm="1">
        <f t="array" aca="1" ref="I848" ca="1">IF(OR(A848="",B848="safety"),"",IF(ISBLANK(INDIRECT("template!"&amp;"F"&amp;A848)),"",INDIRECT("template!"&amp;"F"&amp;A848)))</f>
        <v>#REF!</v>
      </c>
      <c r="J848" t="e" cm="1">
        <f t="array" aca="1" ref="J848" ca="1">IF(OR(A848="",B848="safety"),"",IF(ISBLANK(INDIRECT("template!"&amp;"G"&amp;A848)),"",INDIRECT("template!"&amp;"G"&amp;A848)))</f>
        <v>#REF!</v>
      </c>
      <c r="K848" t="e" cm="1">
        <f t="array" aca="1" ref="K848" ca="1">IF(OR(A848="",B848="safety"),"",IF(ISBLANK(INDIRECT("template!"&amp;"H"&amp;A848)),"",INDIRECT("template!"&amp;"H"&amp;A848)))</f>
        <v>#REF!</v>
      </c>
      <c r="L848" t="e" cm="1">
        <f t="array" aca="1" ref="L848" ca="1">IF(OR(A848="",B848="safety"),"",INDIRECT("template!"&amp;"I"&amp;A848))</f>
        <v>#REF!</v>
      </c>
      <c r="M848" t="e" cm="1">
        <f t="array" aca="1" ref="M848" ca="1">IF(OR(A848="",B848="safety"),"",INDIRECT("template!"&amp;"J"&amp;A848))</f>
        <v>#REF!</v>
      </c>
      <c r="N848" t="e" cm="1">
        <f t="array" aca="1" ref="N848" ca="1">IF(OR(A848="",B848="safety"),"",IF(ISBLANK(INDIRECT("template!"&amp;"K"&amp;A848)),"",INDIRECT("template!"&amp;"K"&amp;A848)))</f>
        <v>#REF!</v>
      </c>
      <c r="O848" t="e" cm="1">
        <f t="array" aca="1" ref="O848" ca="1">IF(OR(A848="",B848="safety"),"",INDIRECT("template!"&amp;"L"&amp;A848))</f>
        <v>#REF!</v>
      </c>
      <c r="P848" t="e" cm="1">
        <f t="array" aca="1" ref="P848" ca="1">IF(OR(A848="",B848="safety"),"",INDIRECT("template!"&amp;"M"&amp;A848))</f>
        <v>#REF!</v>
      </c>
      <c r="Q848" t="e">
        <f t="shared" ca="1" si="76"/>
        <v>#REF!</v>
      </c>
      <c r="R848" t="e">
        <f t="shared" ca="1" si="77"/>
        <v>#REF!</v>
      </c>
      <c r="S848" t="e">
        <f t="shared" ca="1" si="78"/>
        <v>#REF!</v>
      </c>
      <c r="T848" t="e">
        <f t="shared" ca="1" si="79"/>
        <v>#REF!</v>
      </c>
      <c r="U848" t="e" cm="1">
        <f t="array" aca="1" ref="U848" ca="1">IF(A848="","",IF(E848="","",IF(B848="safety",INDIRECT("template!"&amp;"P"&amp;A848),Q848+R848)))</f>
        <v>#REF!</v>
      </c>
      <c r="V848" t="e" cm="1">
        <f t="array" aca="1" ref="V848" ca="1">IF(A848="","",IF(E848="","",IF(B848="safety",INDIRECT("template!"&amp;"P"&amp;A848),S848+T848)))</f>
        <v>#REF!</v>
      </c>
      <c r="W848" t="e">
        <f ca="1">IF(A848="","",IF(E848="","",#REF!))</f>
        <v>#REF!</v>
      </c>
      <c r="X848" t="e">
        <f ca="1">IF(A848="","",IF(E848="","",#REF!))</f>
        <v>#REF!</v>
      </c>
      <c r="Y848" s="39" t="e">
        <f ca="1">IF(A848="","",IF(E848="","",#REF!))</f>
        <v>#REF!</v>
      </c>
      <c r="Z848" t="e">
        <f ca="1">IF(A848="","",IF(E848="","",#REF!))</f>
        <v>#REF!</v>
      </c>
      <c r="AA848" t="e">
        <f ca="1">IF(A848="","",IF(E848="","",#REF!))</f>
        <v>#REF!</v>
      </c>
      <c r="AB848" t="e">
        <f ca="1">IF(A848="","",IF(E848="","",#REF!))</f>
        <v>#REF!</v>
      </c>
      <c r="AC848" t="e">
        <f t="shared" ca="1" si="80"/>
        <v>#REF!</v>
      </c>
    </row>
    <row r="849" spans="1:29" x14ac:dyDescent="0.35">
      <c r="A849" t="e" cm="1">
        <f t="array" aca="1" ref="A849" ca="1">IF(A848="","",IF(OR(AND(A848+1&gt;=$AF$1,A848+1&lt;=$AF$2),AND(A848+1&gt;=$AF$6,A848+1&lt;=$AF$7),AND(A848+1&gt;=$AF$3,A848+1&lt;=$AF$4),AND(A848+1&gt;=$AF$8,A848+1&lt;=$AF$9),A848+1=$AF$5),IF(NOT(ISBLANK(INDIRECT("template!"&amp;"P"&amp;A848+1))),A848+1,IF(NOT(ISBLANK(INDIRECT("template!"&amp;"P"&amp;A848+2))),A848+2,A848+3)),IF(A848=$AF$2,$AF$3,IF(A848=$AF$4,$AF$5,IF(A848=$AF$5,$AF$6,IF(A848=$AF$7,$AF$8,""))))))</f>
        <v>#REF!</v>
      </c>
      <c r="B849" t="e">
        <f t="shared" ca="1" si="75"/>
        <v>#REF!</v>
      </c>
      <c r="C849" t="e" cm="1">
        <f t="array" aca="1" ref="C849" ca="1">IF(A849="","",IF(B849="safety","safety costs",INDIRECT("template!"&amp;"B"&amp;A849)))</f>
        <v>#REF!</v>
      </c>
      <c r="D849" t="e" cm="1">
        <f t="array" aca="1" ref="D849" ca="1">IF(OR(A849="",B849="safety"),"",INDIRECT("template!"&amp;"C"&amp;A849))</f>
        <v>#REF!</v>
      </c>
      <c r="E849" t="e" cm="1">
        <f t="array" aca="1" ref="E849" ca="1">IF(A849="","",IF(OR(A849=A848+1,A849=A848+2),E848,INDIRECT("template!"&amp;"D"&amp;A849-2)))</f>
        <v>#REF!</v>
      </c>
      <c r="F849" t="e" cm="1">
        <f t="array" aca="1" ref="F849" ca="1">IF(OR(A849="",B849="safety"),"",IF(ISBLANK(IF(A849=A848+1,F848,INDIRECT("template!"&amp;"D"&amp;A849-1))),"",IF(A849=A848+1,F848,INDIRECT("template!"&amp;"D"&amp;A849-1))))</f>
        <v>#REF!</v>
      </c>
      <c r="G849" t="e" cm="1">
        <f t="array" aca="1" ref="G849" ca="1">IF(OR(A849="",B849="safety"),"",IF(ISBLANK(INDIRECT("template!"&amp;"D"&amp;A849)),"",INDIRECT("template!"&amp;"D"&amp;A849)))</f>
        <v>#REF!</v>
      </c>
      <c r="H849" t="e" cm="1">
        <f t="array" aca="1" ref="H849" ca="1">IF(OR(A849="",B849="safety"),"",IF(ISBLANK(INDIRECT("template!"&amp;"E"&amp;A849)),"",INDIRECT("template!"&amp;"E"&amp;A849)))</f>
        <v>#REF!</v>
      </c>
      <c r="I849" t="e" cm="1">
        <f t="array" aca="1" ref="I849" ca="1">IF(OR(A849="",B849="safety"),"",IF(ISBLANK(INDIRECT("template!"&amp;"F"&amp;A849)),"",INDIRECT("template!"&amp;"F"&amp;A849)))</f>
        <v>#REF!</v>
      </c>
      <c r="J849" t="e" cm="1">
        <f t="array" aca="1" ref="J849" ca="1">IF(OR(A849="",B849="safety"),"",IF(ISBLANK(INDIRECT("template!"&amp;"G"&amp;A849)),"",INDIRECT("template!"&amp;"G"&amp;A849)))</f>
        <v>#REF!</v>
      </c>
      <c r="K849" t="e" cm="1">
        <f t="array" aca="1" ref="K849" ca="1">IF(OR(A849="",B849="safety"),"",IF(ISBLANK(INDIRECT("template!"&amp;"H"&amp;A849)),"",INDIRECT("template!"&amp;"H"&amp;A849)))</f>
        <v>#REF!</v>
      </c>
      <c r="L849" t="e" cm="1">
        <f t="array" aca="1" ref="L849" ca="1">IF(OR(A849="",B849="safety"),"",INDIRECT("template!"&amp;"I"&amp;A849))</f>
        <v>#REF!</v>
      </c>
      <c r="M849" t="e" cm="1">
        <f t="array" aca="1" ref="M849" ca="1">IF(OR(A849="",B849="safety"),"",INDIRECT("template!"&amp;"J"&amp;A849))</f>
        <v>#REF!</v>
      </c>
      <c r="N849" t="e" cm="1">
        <f t="array" aca="1" ref="N849" ca="1">IF(OR(A849="",B849="safety"),"",IF(ISBLANK(INDIRECT("template!"&amp;"K"&amp;A849)),"",INDIRECT("template!"&amp;"K"&amp;A849)))</f>
        <v>#REF!</v>
      </c>
      <c r="O849" t="e" cm="1">
        <f t="array" aca="1" ref="O849" ca="1">IF(OR(A849="",B849="safety"),"",INDIRECT("template!"&amp;"L"&amp;A849))</f>
        <v>#REF!</v>
      </c>
      <c r="P849" t="e" cm="1">
        <f t="array" aca="1" ref="P849" ca="1">IF(OR(A849="",B849="safety"),"",INDIRECT("template!"&amp;"M"&amp;A849))</f>
        <v>#REF!</v>
      </c>
      <c r="Q849" t="e">
        <f t="shared" ca="1" si="76"/>
        <v>#REF!</v>
      </c>
      <c r="R849" t="e">
        <f t="shared" ca="1" si="77"/>
        <v>#REF!</v>
      </c>
      <c r="S849" t="e">
        <f t="shared" ca="1" si="78"/>
        <v>#REF!</v>
      </c>
      <c r="T849" t="e">
        <f t="shared" ca="1" si="79"/>
        <v>#REF!</v>
      </c>
      <c r="U849" t="e" cm="1">
        <f t="array" aca="1" ref="U849" ca="1">IF(A849="","",IF(E849="","",IF(B849="safety",INDIRECT("template!"&amp;"P"&amp;A849),Q849+R849)))</f>
        <v>#REF!</v>
      </c>
      <c r="V849" t="e" cm="1">
        <f t="array" aca="1" ref="V849" ca="1">IF(A849="","",IF(E849="","",IF(B849="safety",INDIRECT("template!"&amp;"P"&amp;A849),S849+T849)))</f>
        <v>#REF!</v>
      </c>
      <c r="W849" t="e">
        <f ca="1">IF(A849="","",IF(E849="","",#REF!))</f>
        <v>#REF!</v>
      </c>
      <c r="X849" t="e">
        <f ca="1">IF(A849="","",IF(E849="","",#REF!))</f>
        <v>#REF!</v>
      </c>
      <c r="Y849" s="39" t="e">
        <f ca="1">IF(A849="","",IF(E849="","",#REF!))</f>
        <v>#REF!</v>
      </c>
      <c r="Z849" t="e">
        <f ca="1">IF(A849="","",IF(E849="","",#REF!))</f>
        <v>#REF!</v>
      </c>
      <c r="AA849" t="e">
        <f ca="1">IF(A849="","",IF(E849="","",#REF!))</f>
        <v>#REF!</v>
      </c>
      <c r="AB849" t="e">
        <f ca="1">IF(A849="","",IF(E849="","",#REF!))</f>
        <v>#REF!</v>
      </c>
      <c r="AC849" t="e">
        <f t="shared" ca="1" si="80"/>
        <v>#REF!</v>
      </c>
    </row>
    <row r="850" spans="1:29" x14ac:dyDescent="0.35">
      <c r="A850" t="e" cm="1">
        <f t="array" aca="1" ref="A850" ca="1">IF(A849="","",IF(OR(AND(A849+1&gt;=$AF$1,A849+1&lt;=$AF$2),AND(A849+1&gt;=$AF$6,A849+1&lt;=$AF$7),AND(A849+1&gt;=$AF$3,A849+1&lt;=$AF$4),AND(A849+1&gt;=$AF$8,A849+1&lt;=$AF$9),A849+1=$AF$5),IF(NOT(ISBLANK(INDIRECT("template!"&amp;"P"&amp;A849+1))),A849+1,IF(NOT(ISBLANK(INDIRECT("template!"&amp;"P"&amp;A849+2))),A849+2,A849+3)),IF(A849=$AF$2,$AF$3,IF(A849=$AF$4,$AF$5,IF(A849=$AF$5,$AF$6,IF(A849=$AF$7,$AF$8,""))))))</f>
        <v>#REF!</v>
      </c>
      <c r="B850" t="e">
        <f t="shared" ca="1" si="75"/>
        <v>#REF!</v>
      </c>
      <c r="C850" t="e" cm="1">
        <f t="array" aca="1" ref="C850" ca="1">IF(A850="","",IF(B850="safety","safety costs",INDIRECT("template!"&amp;"B"&amp;A850)))</f>
        <v>#REF!</v>
      </c>
      <c r="D850" t="e" cm="1">
        <f t="array" aca="1" ref="D850" ca="1">IF(OR(A850="",B850="safety"),"",INDIRECT("template!"&amp;"C"&amp;A850))</f>
        <v>#REF!</v>
      </c>
      <c r="E850" t="e" cm="1">
        <f t="array" aca="1" ref="E850" ca="1">IF(A850="","",IF(OR(A850=A849+1,A850=A849+2),E849,INDIRECT("template!"&amp;"D"&amp;A850-2)))</f>
        <v>#REF!</v>
      </c>
      <c r="F850" t="e" cm="1">
        <f t="array" aca="1" ref="F850" ca="1">IF(OR(A850="",B850="safety"),"",IF(ISBLANK(IF(A850=A849+1,F849,INDIRECT("template!"&amp;"D"&amp;A850-1))),"",IF(A850=A849+1,F849,INDIRECT("template!"&amp;"D"&amp;A850-1))))</f>
        <v>#REF!</v>
      </c>
      <c r="G850" t="e" cm="1">
        <f t="array" aca="1" ref="G850" ca="1">IF(OR(A850="",B850="safety"),"",IF(ISBLANK(INDIRECT("template!"&amp;"D"&amp;A850)),"",INDIRECT("template!"&amp;"D"&amp;A850)))</f>
        <v>#REF!</v>
      </c>
      <c r="H850" t="e" cm="1">
        <f t="array" aca="1" ref="H850" ca="1">IF(OR(A850="",B850="safety"),"",IF(ISBLANK(INDIRECT("template!"&amp;"E"&amp;A850)),"",INDIRECT("template!"&amp;"E"&amp;A850)))</f>
        <v>#REF!</v>
      </c>
      <c r="I850" t="e" cm="1">
        <f t="array" aca="1" ref="I850" ca="1">IF(OR(A850="",B850="safety"),"",IF(ISBLANK(INDIRECT("template!"&amp;"F"&amp;A850)),"",INDIRECT("template!"&amp;"F"&amp;A850)))</f>
        <v>#REF!</v>
      </c>
      <c r="J850" t="e" cm="1">
        <f t="array" aca="1" ref="J850" ca="1">IF(OR(A850="",B850="safety"),"",IF(ISBLANK(INDIRECT("template!"&amp;"G"&amp;A850)),"",INDIRECT("template!"&amp;"G"&amp;A850)))</f>
        <v>#REF!</v>
      </c>
      <c r="K850" t="e" cm="1">
        <f t="array" aca="1" ref="K850" ca="1">IF(OR(A850="",B850="safety"),"",IF(ISBLANK(INDIRECT("template!"&amp;"H"&amp;A850)),"",INDIRECT("template!"&amp;"H"&amp;A850)))</f>
        <v>#REF!</v>
      </c>
      <c r="L850" t="e" cm="1">
        <f t="array" aca="1" ref="L850" ca="1">IF(OR(A850="",B850="safety"),"",INDIRECT("template!"&amp;"I"&amp;A850))</f>
        <v>#REF!</v>
      </c>
      <c r="M850" t="e" cm="1">
        <f t="array" aca="1" ref="M850" ca="1">IF(OR(A850="",B850="safety"),"",INDIRECT("template!"&amp;"J"&amp;A850))</f>
        <v>#REF!</v>
      </c>
      <c r="N850" t="e" cm="1">
        <f t="array" aca="1" ref="N850" ca="1">IF(OR(A850="",B850="safety"),"",IF(ISBLANK(INDIRECT("template!"&amp;"K"&amp;A850)),"",INDIRECT("template!"&amp;"K"&amp;A850)))</f>
        <v>#REF!</v>
      </c>
      <c r="O850" t="e" cm="1">
        <f t="array" aca="1" ref="O850" ca="1">IF(OR(A850="",B850="safety"),"",INDIRECT("template!"&amp;"L"&amp;A850))</f>
        <v>#REF!</v>
      </c>
      <c r="P850" t="e" cm="1">
        <f t="array" aca="1" ref="P850" ca="1">IF(OR(A850="",B850="safety"),"",INDIRECT("template!"&amp;"M"&amp;A850))</f>
        <v>#REF!</v>
      </c>
      <c r="Q850" t="e">
        <f t="shared" ca="1" si="76"/>
        <v>#REF!</v>
      </c>
      <c r="R850" t="e">
        <f t="shared" ca="1" si="77"/>
        <v>#REF!</v>
      </c>
      <c r="S850" t="e">
        <f t="shared" ca="1" si="78"/>
        <v>#REF!</v>
      </c>
      <c r="T850" t="e">
        <f t="shared" ca="1" si="79"/>
        <v>#REF!</v>
      </c>
      <c r="U850" t="e" cm="1">
        <f t="array" aca="1" ref="U850" ca="1">IF(A850="","",IF(E850="","",IF(B850="safety",INDIRECT("template!"&amp;"P"&amp;A850),Q850+R850)))</f>
        <v>#REF!</v>
      </c>
      <c r="V850" t="e" cm="1">
        <f t="array" aca="1" ref="V850" ca="1">IF(A850="","",IF(E850="","",IF(B850="safety",INDIRECT("template!"&amp;"P"&amp;A850),S850+T850)))</f>
        <v>#REF!</v>
      </c>
      <c r="W850" t="e">
        <f ca="1">IF(A850="","",IF(E850="","",#REF!))</f>
        <v>#REF!</v>
      </c>
      <c r="X850" t="e">
        <f ca="1">IF(A850="","",IF(E850="","",#REF!))</f>
        <v>#REF!</v>
      </c>
      <c r="Y850" s="39" t="e">
        <f ca="1">IF(A850="","",IF(E850="","",#REF!))</f>
        <v>#REF!</v>
      </c>
      <c r="Z850" t="e">
        <f ca="1">IF(A850="","",IF(E850="","",#REF!))</f>
        <v>#REF!</v>
      </c>
      <c r="AA850" t="e">
        <f ca="1">IF(A850="","",IF(E850="","",#REF!))</f>
        <v>#REF!</v>
      </c>
      <c r="AB850" t="e">
        <f ca="1">IF(A850="","",IF(E850="","",#REF!))</f>
        <v>#REF!</v>
      </c>
      <c r="AC850" t="e">
        <f t="shared" ca="1" si="80"/>
        <v>#REF!</v>
      </c>
    </row>
    <row r="851" spans="1:29" x14ac:dyDescent="0.35">
      <c r="A851" t="e" cm="1">
        <f t="array" aca="1" ref="A851" ca="1">IF(A850="","",IF(OR(AND(A850+1&gt;=$AF$1,A850+1&lt;=$AF$2),AND(A850+1&gt;=$AF$6,A850+1&lt;=$AF$7),AND(A850+1&gt;=$AF$3,A850+1&lt;=$AF$4),AND(A850+1&gt;=$AF$8,A850+1&lt;=$AF$9),A850+1=$AF$5),IF(NOT(ISBLANK(INDIRECT("template!"&amp;"P"&amp;A850+1))),A850+1,IF(NOT(ISBLANK(INDIRECT("template!"&amp;"P"&amp;A850+2))),A850+2,A850+3)),IF(A850=$AF$2,$AF$3,IF(A850=$AF$4,$AF$5,IF(A850=$AF$5,$AF$6,IF(A850=$AF$7,$AF$8,""))))))</f>
        <v>#REF!</v>
      </c>
      <c r="B851" t="e">
        <f t="shared" ca="1" si="75"/>
        <v>#REF!</v>
      </c>
      <c r="C851" t="e" cm="1">
        <f t="array" aca="1" ref="C851" ca="1">IF(A851="","",IF(B851="safety","safety costs",INDIRECT("template!"&amp;"B"&amp;A851)))</f>
        <v>#REF!</v>
      </c>
      <c r="D851" t="e" cm="1">
        <f t="array" aca="1" ref="D851" ca="1">IF(OR(A851="",B851="safety"),"",INDIRECT("template!"&amp;"C"&amp;A851))</f>
        <v>#REF!</v>
      </c>
      <c r="E851" t="e" cm="1">
        <f t="array" aca="1" ref="E851" ca="1">IF(A851="","",IF(OR(A851=A850+1,A851=A850+2),E850,INDIRECT("template!"&amp;"D"&amp;A851-2)))</f>
        <v>#REF!</v>
      </c>
      <c r="F851" t="e" cm="1">
        <f t="array" aca="1" ref="F851" ca="1">IF(OR(A851="",B851="safety"),"",IF(ISBLANK(IF(A851=A850+1,F850,INDIRECT("template!"&amp;"D"&amp;A851-1))),"",IF(A851=A850+1,F850,INDIRECT("template!"&amp;"D"&amp;A851-1))))</f>
        <v>#REF!</v>
      </c>
      <c r="G851" t="e" cm="1">
        <f t="array" aca="1" ref="G851" ca="1">IF(OR(A851="",B851="safety"),"",IF(ISBLANK(INDIRECT("template!"&amp;"D"&amp;A851)),"",INDIRECT("template!"&amp;"D"&amp;A851)))</f>
        <v>#REF!</v>
      </c>
      <c r="H851" t="e" cm="1">
        <f t="array" aca="1" ref="H851" ca="1">IF(OR(A851="",B851="safety"),"",IF(ISBLANK(INDIRECT("template!"&amp;"E"&amp;A851)),"",INDIRECT("template!"&amp;"E"&amp;A851)))</f>
        <v>#REF!</v>
      </c>
      <c r="I851" t="e" cm="1">
        <f t="array" aca="1" ref="I851" ca="1">IF(OR(A851="",B851="safety"),"",IF(ISBLANK(INDIRECT("template!"&amp;"F"&amp;A851)),"",INDIRECT("template!"&amp;"F"&amp;A851)))</f>
        <v>#REF!</v>
      </c>
      <c r="J851" t="e" cm="1">
        <f t="array" aca="1" ref="J851" ca="1">IF(OR(A851="",B851="safety"),"",IF(ISBLANK(INDIRECT("template!"&amp;"G"&amp;A851)),"",INDIRECT("template!"&amp;"G"&amp;A851)))</f>
        <v>#REF!</v>
      </c>
      <c r="K851" t="e" cm="1">
        <f t="array" aca="1" ref="K851" ca="1">IF(OR(A851="",B851="safety"),"",IF(ISBLANK(INDIRECT("template!"&amp;"H"&amp;A851)),"",INDIRECT("template!"&amp;"H"&amp;A851)))</f>
        <v>#REF!</v>
      </c>
      <c r="L851" t="e" cm="1">
        <f t="array" aca="1" ref="L851" ca="1">IF(OR(A851="",B851="safety"),"",INDIRECT("template!"&amp;"I"&amp;A851))</f>
        <v>#REF!</v>
      </c>
      <c r="M851" t="e" cm="1">
        <f t="array" aca="1" ref="M851" ca="1">IF(OR(A851="",B851="safety"),"",INDIRECT("template!"&amp;"J"&amp;A851))</f>
        <v>#REF!</v>
      </c>
      <c r="N851" t="e" cm="1">
        <f t="array" aca="1" ref="N851" ca="1">IF(OR(A851="",B851="safety"),"",IF(ISBLANK(INDIRECT("template!"&amp;"K"&amp;A851)),"",INDIRECT("template!"&amp;"K"&amp;A851)))</f>
        <v>#REF!</v>
      </c>
      <c r="O851" t="e" cm="1">
        <f t="array" aca="1" ref="O851" ca="1">IF(OR(A851="",B851="safety"),"",INDIRECT("template!"&amp;"L"&amp;A851))</f>
        <v>#REF!</v>
      </c>
      <c r="P851" t="e" cm="1">
        <f t="array" aca="1" ref="P851" ca="1">IF(OR(A851="",B851="safety"),"",INDIRECT("template!"&amp;"M"&amp;A851))</f>
        <v>#REF!</v>
      </c>
      <c r="Q851" t="e">
        <f t="shared" ca="1" si="76"/>
        <v>#REF!</v>
      </c>
      <c r="R851" t="e">
        <f t="shared" ca="1" si="77"/>
        <v>#REF!</v>
      </c>
      <c r="S851" t="e">
        <f t="shared" ca="1" si="78"/>
        <v>#REF!</v>
      </c>
      <c r="T851" t="e">
        <f t="shared" ca="1" si="79"/>
        <v>#REF!</v>
      </c>
      <c r="U851" t="e" cm="1">
        <f t="array" aca="1" ref="U851" ca="1">IF(A851="","",IF(E851="","",IF(B851="safety",INDIRECT("template!"&amp;"P"&amp;A851),Q851+R851)))</f>
        <v>#REF!</v>
      </c>
      <c r="V851" t="e" cm="1">
        <f t="array" aca="1" ref="V851" ca="1">IF(A851="","",IF(E851="","",IF(B851="safety",INDIRECT("template!"&amp;"P"&amp;A851),S851+T851)))</f>
        <v>#REF!</v>
      </c>
      <c r="W851" t="e">
        <f ca="1">IF(A851="","",IF(E851="","",#REF!))</f>
        <v>#REF!</v>
      </c>
      <c r="X851" t="e">
        <f ca="1">IF(A851="","",IF(E851="","",#REF!))</f>
        <v>#REF!</v>
      </c>
      <c r="Y851" s="39" t="e">
        <f ca="1">IF(A851="","",IF(E851="","",#REF!))</f>
        <v>#REF!</v>
      </c>
      <c r="Z851" t="e">
        <f ca="1">IF(A851="","",IF(E851="","",#REF!))</f>
        <v>#REF!</v>
      </c>
      <c r="AA851" t="e">
        <f ca="1">IF(A851="","",IF(E851="","",#REF!))</f>
        <v>#REF!</v>
      </c>
      <c r="AB851" t="e">
        <f ca="1">IF(A851="","",IF(E851="","",#REF!))</f>
        <v>#REF!</v>
      </c>
      <c r="AC851" t="e">
        <f t="shared" ca="1" si="80"/>
        <v>#REF!</v>
      </c>
    </row>
    <row r="852" spans="1:29" x14ac:dyDescent="0.35">
      <c r="A852" t="e" cm="1">
        <f t="array" aca="1" ref="A852" ca="1">IF(A851="","",IF(OR(AND(A851+1&gt;=$AF$1,A851+1&lt;=$AF$2),AND(A851+1&gt;=$AF$6,A851+1&lt;=$AF$7),AND(A851+1&gt;=$AF$3,A851+1&lt;=$AF$4),AND(A851+1&gt;=$AF$8,A851+1&lt;=$AF$9),A851+1=$AF$5),IF(NOT(ISBLANK(INDIRECT("template!"&amp;"P"&amp;A851+1))),A851+1,IF(NOT(ISBLANK(INDIRECT("template!"&amp;"P"&amp;A851+2))),A851+2,A851+3)),IF(A851=$AF$2,$AF$3,IF(A851=$AF$4,$AF$5,IF(A851=$AF$5,$AF$6,IF(A851=$AF$7,$AF$8,""))))))</f>
        <v>#REF!</v>
      </c>
      <c r="B852" t="e">
        <f t="shared" ca="1" si="75"/>
        <v>#REF!</v>
      </c>
      <c r="C852" t="e" cm="1">
        <f t="array" aca="1" ref="C852" ca="1">IF(A852="","",IF(B852="safety","safety costs",INDIRECT("template!"&amp;"B"&amp;A852)))</f>
        <v>#REF!</v>
      </c>
      <c r="D852" t="e" cm="1">
        <f t="array" aca="1" ref="D852" ca="1">IF(OR(A852="",B852="safety"),"",INDIRECT("template!"&amp;"C"&amp;A852))</f>
        <v>#REF!</v>
      </c>
      <c r="E852" t="e" cm="1">
        <f t="array" aca="1" ref="E852" ca="1">IF(A852="","",IF(OR(A852=A851+1,A852=A851+2),E851,INDIRECT("template!"&amp;"D"&amp;A852-2)))</f>
        <v>#REF!</v>
      </c>
      <c r="F852" t="e" cm="1">
        <f t="array" aca="1" ref="F852" ca="1">IF(OR(A852="",B852="safety"),"",IF(ISBLANK(IF(A852=A851+1,F851,INDIRECT("template!"&amp;"D"&amp;A852-1))),"",IF(A852=A851+1,F851,INDIRECT("template!"&amp;"D"&amp;A852-1))))</f>
        <v>#REF!</v>
      </c>
      <c r="G852" t="e" cm="1">
        <f t="array" aca="1" ref="G852" ca="1">IF(OR(A852="",B852="safety"),"",IF(ISBLANK(INDIRECT("template!"&amp;"D"&amp;A852)),"",INDIRECT("template!"&amp;"D"&amp;A852)))</f>
        <v>#REF!</v>
      </c>
      <c r="H852" t="e" cm="1">
        <f t="array" aca="1" ref="H852" ca="1">IF(OR(A852="",B852="safety"),"",IF(ISBLANK(INDIRECT("template!"&amp;"E"&amp;A852)),"",INDIRECT("template!"&amp;"E"&amp;A852)))</f>
        <v>#REF!</v>
      </c>
      <c r="I852" t="e" cm="1">
        <f t="array" aca="1" ref="I852" ca="1">IF(OR(A852="",B852="safety"),"",IF(ISBLANK(INDIRECT("template!"&amp;"F"&amp;A852)),"",INDIRECT("template!"&amp;"F"&amp;A852)))</f>
        <v>#REF!</v>
      </c>
      <c r="J852" t="e" cm="1">
        <f t="array" aca="1" ref="J852" ca="1">IF(OR(A852="",B852="safety"),"",IF(ISBLANK(INDIRECT("template!"&amp;"G"&amp;A852)),"",INDIRECT("template!"&amp;"G"&amp;A852)))</f>
        <v>#REF!</v>
      </c>
      <c r="K852" t="e" cm="1">
        <f t="array" aca="1" ref="K852" ca="1">IF(OR(A852="",B852="safety"),"",IF(ISBLANK(INDIRECT("template!"&amp;"H"&amp;A852)),"",INDIRECT("template!"&amp;"H"&amp;A852)))</f>
        <v>#REF!</v>
      </c>
      <c r="L852" t="e" cm="1">
        <f t="array" aca="1" ref="L852" ca="1">IF(OR(A852="",B852="safety"),"",INDIRECT("template!"&amp;"I"&amp;A852))</f>
        <v>#REF!</v>
      </c>
      <c r="M852" t="e" cm="1">
        <f t="array" aca="1" ref="M852" ca="1">IF(OR(A852="",B852="safety"),"",INDIRECT("template!"&amp;"J"&amp;A852))</f>
        <v>#REF!</v>
      </c>
      <c r="N852" t="e" cm="1">
        <f t="array" aca="1" ref="N852" ca="1">IF(OR(A852="",B852="safety"),"",IF(ISBLANK(INDIRECT("template!"&amp;"K"&amp;A852)),"",INDIRECT("template!"&amp;"K"&amp;A852)))</f>
        <v>#REF!</v>
      </c>
      <c r="O852" t="e" cm="1">
        <f t="array" aca="1" ref="O852" ca="1">IF(OR(A852="",B852="safety"),"",INDIRECT("template!"&amp;"L"&amp;A852))</f>
        <v>#REF!</v>
      </c>
      <c r="P852" t="e" cm="1">
        <f t="array" aca="1" ref="P852" ca="1">IF(OR(A852="",B852="safety"),"",INDIRECT("template!"&amp;"M"&amp;A852))</f>
        <v>#REF!</v>
      </c>
      <c r="Q852" t="e">
        <f t="shared" ca="1" si="76"/>
        <v>#REF!</v>
      </c>
      <c r="R852" t="e">
        <f t="shared" ca="1" si="77"/>
        <v>#REF!</v>
      </c>
      <c r="S852" t="e">
        <f t="shared" ca="1" si="78"/>
        <v>#REF!</v>
      </c>
      <c r="T852" t="e">
        <f t="shared" ca="1" si="79"/>
        <v>#REF!</v>
      </c>
      <c r="U852" t="e" cm="1">
        <f t="array" aca="1" ref="U852" ca="1">IF(A852="","",IF(E852="","",IF(B852="safety",INDIRECT("template!"&amp;"P"&amp;A852),Q852+R852)))</f>
        <v>#REF!</v>
      </c>
      <c r="V852" t="e" cm="1">
        <f t="array" aca="1" ref="V852" ca="1">IF(A852="","",IF(E852="","",IF(B852="safety",INDIRECT("template!"&amp;"P"&amp;A852),S852+T852)))</f>
        <v>#REF!</v>
      </c>
      <c r="W852" t="e">
        <f ca="1">IF(A852="","",IF(E852="","",#REF!))</f>
        <v>#REF!</v>
      </c>
      <c r="X852" t="e">
        <f ca="1">IF(A852="","",IF(E852="","",#REF!))</f>
        <v>#REF!</v>
      </c>
      <c r="Y852" s="39" t="e">
        <f ca="1">IF(A852="","",IF(E852="","",#REF!))</f>
        <v>#REF!</v>
      </c>
      <c r="Z852" t="e">
        <f ca="1">IF(A852="","",IF(E852="","",#REF!))</f>
        <v>#REF!</v>
      </c>
      <c r="AA852" t="e">
        <f ca="1">IF(A852="","",IF(E852="","",#REF!))</f>
        <v>#REF!</v>
      </c>
      <c r="AB852" t="e">
        <f ca="1">IF(A852="","",IF(E852="","",#REF!))</f>
        <v>#REF!</v>
      </c>
      <c r="AC852" t="e">
        <f t="shared" ca="1" si="80"/>
        <v>#REF!</v>
      </c>
    </row>
    <row r="853" spans="1:29" x14ac:dyDescent="0.35">
      <c r="A853" t="e" cm="1">
        <f t="array" aca="1" ref="A853" ca="1">IF(A852="","",IF(OR(AND(A852+1&gt;=$AF$1,A852+1&lt;=$AF$2),AND(A852+1&gt;=$AF$6,A852+1&lt;=$AF$7),AND(A852+1&gt;=$AF$3,A852+1&lt;=$AF$4),AND(A852+1&gt;=$AF$8,A852+1&lt;=$AF$9),A852+1=$AF$5),IF(NOT(ISBLANK(INDIRECT("template!"&amp;"P"&amp;A852+1))),A852+1,IF(NOT(ISBLANK(INDIRECT("template!"&amp;"P"&amp;A852+2))),A852+2,A852+3)),IF(A852=$AF$2,$AF$3,IF(A852=$AF$4,$AF$5,IF(A852=$AF$5,$AF$6,IF(A852=$AF$7,$AF$8,""))))))</f>
        <v>#REF!</v>
      </c>
      <c r="B853" t="e">
        <f t="shared" ca="1" si="75"/>
        <v>#REF!</v>
      </c>
      <c r="C853" t="e" cm="1">
        <f t="array" aca="1" ref="C853" ca="1">IF(A853="","",IF(B853="safety","safety costs",INDIRECT("template!"&amp;"B"&amp;A853)))</f>
        <v>#REF!</v>
      </c>
      <c r="D853" t="e" cm="1">
        <f t="array" aca="1" ref="D853" ca="1">IF(OR(A853="",B853="safety"),"",INDIRECT("template!"&amp;"C"&amp;A853))</f>
        <v>#REF!</v>
      </c>
      <c r="E853" t="e" cm="1">
        <f t="array" aca="1" ref="E853" ca="1">IF(A853="","",IF(OR(A853=A852+1,A853=A852+2),E852,INDIRECT("template!"&amp;"D"&amp;A853-2)))</f>
        <v>#REF!</v>
      </c>
      <c r="F853" t="e" cm="1">
        <f t="array" aca="1" ref="F853" ca="1">IF(OR(A853="",B853="safety"),"",IF(ISBLANK(IF(A853=A852+1,F852,INDIRECT("template!"&amp;"D"&amp;A853-1))),"",IF(A853=A852+1,F852,INDIRECT("template!"&amp;"D"&amp;A853-1))))</f>
        <v>#REF!</v>
      </c>
      <c r="G853" t="e" cm="1">
        <f t="array" aca="1" ref="G853" ca="1">IF(OR(A853="",B853="safety"),"",IF(ISBLANK(INDIRECT("template!"&amp;"D"&amp;A853)),"",INDIRECT("template!"&amp;"D"&amp;A853)))</f>
        <v>#REF!</v>
      </c>
      <c r="H853" t="e" cm="1">
        <f t="array" aca="1" ref="H853" ca="1">IF(OR(A853="",B853="safety"),"",IF(ISBLANK(INDIRECT("template!"&amp;"E"&amp;A853)),"",INDIRECT("template!"&amp;"E"&amp;A853)))</f>
        <v>#REF!</v>
      </c>
      <c r="I853" t="e" cm="1">
        <f t="array" aca="1" ref="I853" ca="1">IF(OR(A853="",B853="safety"),"",IF(ISBLANK(INDIRECT("template!"&amp;"F"&amp;A853)),"",INDIRECT("template!"&amp;"F"&amp;A853)))</f>
        <v>#REF!</v>
      </c>
      <c r="J853" t="e" cm="1">
        <f t="array" aca="1" ref="J853" ca="1">IF(OR(A853="",B853="safety"),"",IF(ISBLANK(INDIRECT("template!"&amp;"G"&amp;A853)),"",INDIRECT("template!"&amp;"G"&amp;A853)))</f>
        <v>#REF!</v>
      </c>
      <c r="K853" t="e" cm="1">
        <f t="array" aca="1" ref="K853" ca="1">IF(OR(A853="",B853="safety"),"",IF(ISBLANK(INDIRECT("template!"&amp;"H"&amp;A853)),"",INDIRECT("template!"&amp;"H"&amp;A853)))</f>
        <v>#REF!</v>
      </c>
      <c r="L853" t="e" cm="1">
        <f t="array" aca="1" ref="L853" ca="1">IF(OR(A853="",B853="safety"),"",INDIRECT("template!"&amp;"I"&amp;A853))</f>
        <v>#REF!</v>
      </c>
      <c r="M853" t="e" cm="1">
        <f t="array" aca="1" ref="M853" ca="1">IF(OR(A853="",B853="safety"),"",INDIRECT("template!"&amp;"J"&amp;A853))</f>
        <v>#REF!</v>
      </c>
      <c r="N853" t="e" cm="1">
        <f t="array" aca="1" ref="N853" ca="1">IF(OR(A853="",B853="safety"),"",IF(ISBLANK(INDIRECT("template!"&amp;"K"&amp;A853)),"",INDIRECT("template!"&amp;"K"&amp;A853)))</f>
        <v>#REF!</v>
      </c>
      <c r="O853" t="e" cm="1">
        <f t="array" aca="1" ref="O853" ca="1">IF(OR(A853="",B853="safety"),"",INDIRECT("template!"&amp;"L"&amp;A853))</f>
        <v>#REF!</v>
      </c>
      <c r="P853" t="e" cm="1">
        <f t="array" aca="1" ref="P853" ca="1">IF(OR(A853="",B853="safety"),"",INDIRECT("template!"&amp;"M"&amp;A853))</f>
        <v>#REF!</v>
      </c>
      <c r="Q853" t="e">
        <f t="shared" ca="1" si="76"/>
        <v>#REF!</v>
      </c>
      <c r="R853" t="e">
        <f t="shared" ca="1" si="77"/>
        <v>#REF!</v>
      </c>
      <c r="S853" t="e">
        <f t="shared" ca="1" si="78"/>
        <v>#REF!</v>
      </c>
      <c r="T853" t="e">
        <f t="shared" ca="1" si="79"/>
        <v>#REF!</v>
      </c>
      <c r="U853" t="e" cm="1">
        <f t="array" aca="1" ref="U853" ca="1">IF(A853="","",IF(E853="","",IF(B853="safety",INDIRECT("template!"&amp;"P"&amp;A853),Q853+R853)))</f>
        <v>#REF!</v>
      </c>
      <c r="V853" t="e" cm="1">
        <f t="array" aca="1" ref="V853" ca="1">IF(A853="","",IF(E853="","",IF(B853="safety",INDIRECT("template!"&amp;"P"&amp;A853),S853+T853)))</f>
        <v>#REF!</v>
      </c>
      <c r="W853" t="e">
        <f ca="1">IF(A853="","",IF(E853="","",#REF!))</f>
        <v>#REF!</v>
      </c>
      <c r="X853" t="e">
        <f ca="1">IF(A853="","",IF(E853="","",#REF!))</f>
        <v>#REF!</v>
      </c>
      <c r="Y853" s="39" t="e">
        <f ca="1">IF(A853="","",IF(E853="","",#REF!))</f>
        <v>#REF!</v>
      </c>
      <c r="Z853" t="e">
        <f ca="1">IF(A853="","",IF(E853="","",#REF!))</f>
        <v>#REF!</v>
      </c>
      <c r="AA853" t="e">
        <f ca="1">IF(A853="","",IF(E853="","",#REF!))</f>
        <v>#REF!</v>
      </c>
      <c r="AB853" t="e">
        <f ca="1">IF(A853="","",IF(E853="","",#REF!))</f>
        <v>#REF!</v>
      </c>
      <c r="AC853" t="e">
        <f t="shared" ca="1" si="80"/>
        <v>#REF!</v>
      </c>
    </row>
    <row r="854" spans="1:29" x14ac:dyDescent="0.35">
      <c r="A854" t="e" cm="1">
        <f t="array" aca="1" ref="A854" ca="1">IF(A853="","",IF(OR(AND(A853+1&gt;=$AF$1,A853+1&lt;=$AF$2),AND(A853+1&gt;=$AF$6,A853+1&lt;=$AF$7),AND(A853+1&gt;=$AF$3,A853+1&lt;=$AF$4),AND(A853+1&gt;=$AF$8,A853+1&lt;=$AF$9),A853+1=$AF$5),IF(NOT(ISBLANK(INDIRECT("template!"&amp;"P"&amp;A853+1))),A853+1,IF(NOT(ISBLANK(INDIRECT("template!"&amp;"P"&amp;A853+2))),A853+2,A853+3)),IF(A853=$AF$2,$AF$3,IF(A853=$AF$4,$AF$5,IF(A853=$AF$5,$AF$6,IF(A853=$AF$7,$AF$8,""))))))</f>
        <v>#REF!</v>
      </c>
      <c r="B854" t="e">
        <f t="shared" ca="1" si="75"/>
        <v>#REF!</v>
      </c>
      <c r="C854" t="e" cm="1">
        <f t="array" aca="1" ref="C854" ca="1">IF(A854="","",IF(B854="safety","safety costs",INDIRECT("template!"&amp;"B"&amp;A854)))</f>
        <v>#REF!</v>
      </c>
      <c r="D854" t="e" cm="1">
        <f t="array" aca="1" ref="D854" ca="1">IF(OR(A854="",B854="safety"),"",INDIRECT("template!"&amp;"C"&amp;A854))</f>
        <v>#REF!</v>
      </c>
      <c r="E854" t="e" cm="1">
        <f t="array" aca="1" ref="E854" ca="1">IF(A854="","",IF(OR(A854=A853+1,A854=A853+2),E853,INDIRECT("template!"&amp;"D"&amp;A854-2)))</f>
        <v>#REF!</v>
      </c>
      <c r="F854" t="e" cm="1">
        <f t="array" aca="1" ref="F854" ca="1">IF(OR(A854="",B854="safety"),"",IF(ISBLANK(IF(A854=A853+1,F853,INDIRECT("template!"&amp;"D"&amp;A854-1))),"",IF(A854=A853+1,F853,INDIRECT("template!"&amp;"D"&amp;A854-1))))</f>
        <v>#REF!</v>
      </c>
      <c r="G854" t="e" cm="1">
        <f t="array" aca="1" ref="G854" ca="1">IF(OR(A854="",B854="safety"),"",IF(ISBLANK(INDIRECT("template!"&amp;"D"&amp;A854)),"",INDIRECT("template!"&amp;"D"&amp;A854)))</f>
        <v>#REF!</v>
      </c>
      <c r="H854" t="e" cm="1">
        <f t="array" aca="1" ref="H854" ca="1">IF(OR(A854="",B854="safety"),"",IF(ISBLANK(INDIRECT("template!"&amp;"E"&amp;A854)),"",INDIRECT("template!"&amp;"E"&amp;A854)))</f>
        <v>#REF!</v>
      </c>
      <c r="I854" t="e" cm="1">
        <f t="array" aca="1" ref="I854" ca="1">IF(OR(A854="",B854="safety"),"",IF(ISBLANK(INDIRECT("template!"&amp;"F"&amp;A854)),"",INDIRECT("template!"&amp;"F"&amp;A854)))</f>
        <v>#REF!</v>
      </c>
      <c r="J854" t="e" cm="1">
        <f t="array" aca="1" ref="J854" ca="1">IF(OR(A854="",B854="safety"),"",IF(ISBLANK(INDIRECT("template!"&amp;"G"&amp;A854)),"",INDIRECT("template!"&amp;"G"&amp;A854)))</f>
        <v>#REF!</v>
      </c>
      <c r="K854" t="e" cm="1">
        <f t="array" aca="1" ref="K854" ca="1">IF(OR(A854="",B854="safety"),"",IF(ISBLANK(INDIRECT("template!"&amp;"H"&amp;A854)),"",INDIRECT("template!"&amp;"H"&amp;A854)))</f>
        <v>#REF!</v>
      </c>
      <c r="L854" t="e" cm="1">
        <f t="array" aca="1" ref="L854" ca="1">IF(OR(A854="",B854="safety"),"",INDIRECT("template!"&amp;"I"&amp;A854))</f>
        <v>#REF!</v>
      </c>
      <c r="M854" t="e" cm="1">
        <f t="array" aca="1" ref="M854" ca="1">IF(OR(A854="",B854="safety"),"",INDIRECT("template!"&amp;"J"&amp;A854))</f>
        <v>#REF!</v>
      </c>
      <c r="N854" t="e" cm="1">
        <f t="array" aca="1" ref="N854" ca="1">IF(OR(A854="",B854="safety"),"",IF(ISBLANK(INDIRECT("template!"&amp;"K"&amp;A854)),"",INDIRECT("template!"&amp;"K"&amp;A854)))</f>
        <v>#REF!</v>
      </c>
      <c r="O854" t="e" cm="1">
        <f t="array" aca="1" ref="O854" ca="1">IF(OR(A854="",B854="safety"),"",INDIRECT("template!"&amp;"L"&amp;A854))</f>
        <v>#REF!</v>
      </c>
      <c r="P854" t="e" cm="1">
        <f t="array" aca="1" ref="P854" ca="1">IF(OR(A854="",B854="safety"),"",INDIRECT("template!"&amp;"M"&amp;A854))</f>
        <v>#REF!</v>
      </c>
      <c r="Q854" t="e">
        <f t="shared" ca="1" si="76"/>
        <v>#REF!</v>
      </c>
      <c r="R854" t="e">
        <f t="shared" ca="1" si="77"/>
        <v>#REF!</v>
      </c>
      <c r="S854" t="e">
        <f t="shared" ca="1" si="78"/>
        <v>#REF!</v>
      </c>
      <c r="T854" t="e">
        <f t="shared" ca="1" si="79"/>
        <v>#REF!</v>
      </c>
      <c r="U854" t="e" cm="1">
        <f t="array" aca="1" ref="U854" ca="1">IF(A854="","",IF(E854="","",IF(B854="safety",INDIRECT("template!"&amp;"P"&amp;A854),Q854+R854)))</f>
        <v>#REF!</v>
      </c>
      <c r="V854" t="e" cm="1">
        <f t="array" aca="1" ref="V854" ca="1">IF(A854="","",IF(E854="","",IF(B854="safety",INDIRECT("template!"&amp;"P"&amp;A854),S854+T854)))</f>
        <v>#REF!</v>
      </c>
      <c r="W854" t="e">
        <f ca="1">IF(A854="","",IF(E854="","",#REF!))</f>
        <v>#REF!</v>
      </c>
      <c r="X854" t="e">
        <f ca="1">IF(A854="","",IF(E854="","",#REF!))</f>
        <v>#REF!</v>
      </c>
      <c r="Y854" s="39" t="e">
        <f ca="1">IF(A854="","",IF(E854="","",#REF!))</f>
        <v>#REF!</v>
      </c>
      <c r="Z854" t="e">
        <f ca="1">IF(A854="","",IF(E854="","",#REF!))</f>
        <v>#REF!</v>
      </c>
      <c r="AA854" t="e">
        <f ca="1">IF(A854="","",IF(E854="","",#REF!))</f>
        <v>#REF!</v>
      </c>
      <c r="AB854" t="e">
        <f ca="1">IF(A854="","",IF(E854="","",#REF!))</f>
        <v>#REF!</v>
      </c>
      <c r="AC854" t="e">
        <f t="shared" ca="1" si="80"/>
        <v>#REF!</v>
      </c>
    </row>
    <row r="855" spans="1:29" x14ac:dyDescent="0.35">
      <c r="A855" t="e" cm="1">
        <f t="array" aca="1" ref="A855" ca="1">IF(A854="","",IF(OR(AND(A854+1&gt;=$AF$1,A854+1&lt;=$AF$2),AND(A854+1&gt;=$AF$6,A854+1&lt;=$AF$7),AND(A854+1&gt;=$AF$3,A854+1&lt;=$AF$4),AND(A854+1&gt;=$AF$8,A854+1&lt;=$AF$9),A854+1=$AF$5),IF(NOT(ISBLANK(INDIRECT("template!"&amp;"P"&amp;A854+1))),A854+1,IF(NOT(ISBLANK(INDIRECT("template!"&amp;"P"&amp;A854+2))),A854+2,A854+3)),IF(A854=$AF$2,$AF$3,IF(A854=$AF$4,$AF$5,IF(A854=$AF$5,$AF$6,IF(A854=$AF$7,$AF$8,""))))))</f>
        <v>#REF!</v>
      </c>
      <c r="B855" t="e">
        <f t="shared" ca="1" si="75"/>
        <v>#REF!</v>
      </c>
      <c r="C855" t="e" cm="1">
        <f t="array" aca="1" ref="C855" ca="1">IF(A855="","",IF(B855="safety","safety costs",INDIRECT("template!"&amp;"B"&amp;A855)))</f>
        <v>#REF!</v>
      </c>
      <c r="D855" t="e" cm="1">
        <f t="array" aca="1" ref="D855" ca="1">IF(OR(A855="",B855="safety"),"",INDIRECT("template!"&amp;"C"&amp;A855))</f>
        <v>#REF!</v>
      </c>
      <c r="E855" t="e" cm="1">
        <f t="array" aca="1" ref="E855" ca="1">IF(A855="","",IF(OR(A855=A854+1,A855=A854+2),E854,INDIRECT("template!"&amp;"D"&amp;A855-2)))</f>
        <v>#REF!</v>
      </c>
      <c r="F855" t="e" cm="1">
        <f t="array" aca="1" ref="F855" ca="1">IF(OR(A855="",B855="safety"),"",IF(ISBLANK(IF(A855=A854+1,F854,INDIRECT("template!"&amp;"D"&amp;A855-1))),"",IF(A855=A854+1,F854,INDIRECT("template!"&amp;"D"&amp;A855-1))))</f>
        <v>#REF!</v>
      </c>
      <c r="G855" t="e" cm="1">
        <f t="array" aca="1" ref="G855" ca="1">IF(OR(A855="",B855="safety"),"",IF(ISBLANK(INDIRECT("template!"&amp;"D"&amp;A855)),"",INDIRECT("template!"&amp;"D"&amp;A855)))</f>
        <v>#REF!</v>
      </c>
      <c r="H855" t="e" cm="1">
        <f t="array" aca="1" ref="H855" ca="1">IF(OR(A855="",B855="safety"),"",IF(ISBLANK(INDIRECT("template!"&amp;"E"&amp;A855)),"",INDIRECT("template!"&amp;"E"&amp;A855)))</f>
        <v>#REF!</v>
      </c>
      <c r="I855" t="e" cm="1">
        <f t="array" aca="1" ref="I855" ca="1">IF(OR(A855="",B855="safety"),"",IF(ISBLANK(INDIRECT("template!"&amp;"F"&amp;A855)),"",INDIRECT("template!"&amp;"F"&amp;A855)))</f>
        <v>#REF!</v>
      </c>
      <c r="J855" t="e" cm="1">
        <f t="array" aca="1" ref="J855" ca="1">IF(OR(A855="",B855="safety"),"",IF(ISBLANK(INDIRECT("template!"&amp;"G"&amp;A855)),"",INDIRECT("template!"&amp;"G"&amp;A855)))</f>
        <v>#REF!</v>
      </c>
      <c r="K855" t="e" cm="1">
        <f t="array" aca="1" ref="K855" ca="1">IF(OR(A855="",B855="safety"),"",IF(ISBLANK(INDIRECT("template!"&amp;"H"&amp;A855)),"",INDIRECT("template!"&amp;"H"&amp;A855)))</f>
        <v>#REF!</v>
      </c>
      <c r="L855" t="e" cm="1">
        <f t="array" aca="1" ref="L855" ca="1">IF(OR(A855="",B855="safety"),"",INDIRECT("template!"&amp;"I"&amp;A855))</f>
        <v>#REF!</v>
      </c>
      <c r="M855" t="e" cm="1">
        <f t="array" aca="1" ref="M855" ca="1">IF(OR(A855="",B855="safety"),"",INDIRECT("template!"&amp;"J"&amp;A855))</f>
        <v>#REF!</v>
      </c>
      <c r="N855" t="e" cm="1">
        <f t="array" aca="1" ref="N855" ca="1">IF(OR(A855="",B855="safety"),"",IF(ISBLANK(INDIRECT("template!"&amp;"K"&amp;A855)),"",INDIRECT("template!"&amp;"K"&amp;A855)))</f>
        <v>#REF!</v>
      </c>
      <c r="O855" t="e" cm="1">
        <f t="array" aca="1" ref="O855" ca="1">IF(OR(A855="",B855="safety"),"",INDIRECT("template!"&amp;"L"&amp;A855))</f>
        <v>#REF!</v>
      </c>
      <c r="P855" t="e" cm="1">
        <f t="array" aca="1" ref="P855" ca="1">IF(OR(A855="",B855="safety"),"",INDIRECT("template!"&amp;"M"&amp;A855))</f>
        <v>#REF!</v>
      </c>
      <c r="Q855" t="e">
        <f t="shared" ca="1" si="76"/>
        <v>#REF!</v>
      </c>
      <c r="R855" t="e">
        <f t="shared" ca="1" si="77"/>
        <v>#REF!</v>
      </c>
      <c r="S855" t="e">
        <f t="shared" ca="1" si="78"/>
        <v>#REF!</v>
      </c>
      <c r="T855" t="e">
        <f t="shared" ca="1" si="79"/>
        <v>#REF!</v>
      </c>
      <c r="U855" t="e" cm="1">
        <f t="array" aca="1" ref="U855" ca="1">IF(A855="","",IF(E855="","",IF(B855="safety",INDIRECT("template!"&amp;"P"&amp;A855),Q855+R855)))</f>
        <v>#REF!</v>
      </c>
      <c r="V855" t="e" cm="1">
        <f t="array" aca="1" ref="V855" ca="1">IF(A855="","",IF(E855="","",IF(B855="safety",INDIRECT("template!"&amp;"P"&amp;A855),S855+T855)))</f>
        <v>#REF!</v>
      </c>
      <c r="W855" t="e">
        <f ca="1">IF(A855="","",IF(E855="","",#REF!))</f>
        <v>#REF!</v>
      </c>
      <c r="X855" t="e">
        <f ca="1">IF(A855="","",IF(E855="","",#REF!))</f>
        <v>#REF!</v>
      </c>
      <c r="Y855" s="39" t="e">
        <f ca="1">IF(A855="","",IF(E855="","",#REF!))</f>
        <v>#REF!</v>
      </c>
      <c r="Z855" t="e">
        <f ca="1">IF(A855="","",IF(E855="","",#REF!))</f>
        <v>#REF!</v>
      </c>
      <c r="AA855" t="e">
        <f ca="1">IF(A855="","",IF(E855="","",#REF!))</f>
        <v>#REF!</v>
      </c>
      <c r="AB855" t="e">
        <f ca="1">IF(A855="","",IF(E855="","",#REF!))</f>
        <v>#REF!</v>
      </c>
      <c r="AC855" t="e">
        <f t="shared" ca="1" si="80"/>
        <v>#REF!</v>
      </c>
    </row>
    <row r="856" spans="1:29" x14ac:dyDescent="0.35">
      <c r="A856" t="e" cm="1">
        <f t="array" aca="1" ref="A856" ca="1">IF(A855="","",IF(OR(AND(A855+1&gt;=$AF$1,A855+1&lt;=$AF$2),AND(A855+1&gt;=$AF$6,A855+1&lt;=$AF$7),AND(A855+1&gt;=$AF$3,A855+1&lt;=$AF$4),AND(A855+1&gt;=$AF$8,A855+1&lt;=$AF$9),A855+1=$AF$5),IF(NOT(ISBLANK(INDIRECT("template!"&amp;"P"&amp;A855+1))),A855+1,IF(NOT(ISBLANK(INDIRECT("template!"&amp;"P"&amp;A855+2))),A855+2,A855+3)),IF(A855=$AF$2,$AF$3,IF(A855=$AF$4,$AF$5,IF(A855=$AF$5,$AF$6,IF(A855=$AF$7,$AF$8,""))))))</f>
        <v>#REF!</v>
      </c>
      <c r="B856" t="e">
        <f t="shared" ca="1" si="75"/>
        <v>#REF!</v>
      </c>
      <c r="C856" t="e" cm="1">
        <f t="array" aca="1" ref="C856" ca="1">IF(A856="","",IF(B856="safety","safety costs",INDIRECT("template!"&amp;"B"&amp;A856)))</f>
        <v>#REF!</v>
      </c>
      <c r="D856" t="e" cm="1">
        <f t="array" aca="1" ref="D856" ca="1">IF(OR(A856="",B856="safety"),"",INDIRECT("template!"&amp;"C"&amp;A856))</f>
        <v>#REF!</v>
      </c>
      <c r="E856" t="e" cm="1">
        <f t="array" aca="1" ref="E856" ca="1">IF(A856="","",IF(OR(A856=A855+1,A856=A855+2),E855,INDIRECT("template!"&amp;"D"&amp;A856-2)))</f>
        <v>#REF!</v>
      </c>
      <c r="F856" t="e" cm="1">
        <f t="array" aca="1" ref="F856" ca="1">IF(OR(A856="",B856="safety"),"",IF(ISBLANK(IF(A856=A855+1,F855,INDIRECT("template!"&amp;"D"&amp;A856-1))),"",IF(A856=A855+1,F855,INDIRECT("template!"&amp;"D"&amp;A856-1))))</f>
        <v>#REF!</v>
      </c>
      <c r="G856" t="e" cm="1">
        <f t="array" aca="1" ref="G856" ca="1">IF(OR(A856="",B856="safety"),"",IF(ISBLANK(INDIRECT("template!"&amp;"D"&amp;A856)),"",INDIRECT("template!"&amp;"D"&amp;A856)))</f>
        <v>#REF!</v>
      </c>
      <c r="H856" t="e" cm="1">
        <f t="array" aca="1" ref="H856" ca="1">IF(OR(A856="",B856="safety"),"",IF(ISBLANK(INDIRECT("template!"&amp;"E"&amp;A856)),"",INDIRECT("template!"&amp;"E"&amp;A856)))</f>
        <v>#REF!</v>
      </c>
      <c r="I856" t="e" cm="1">
        <f t="array" aca="1" ref="I856" ca="1">IF(OR(A856="",B856="safety"),"",IF(ISBLANK(INDIRECT("template!"&amp;"F"&amp;A856)),"",INDIRECT("template!"&amp;"F"&amp;A856)))</f>
        <v>#REF!</v>
      </c>
      <c r="J856" t="e" cm="1">
        <f t="array" aca="1" ref="J856" ca="1">IF(OR(A856="",B856="safety"),"",IF(ISBLANK(INDIRECT("template!"&amp;"G"&amp;A856)),"",INDIRECT("template!"&amp;"G"&amp;A856)))</f>
        <v>#REF!</v>
      </c>
      <c r="K856" t="e" cm="1">
        <f t="array" aca="1" ref="K856" ca="1">IF(OR(A856="",B856="safety"),"",IF(ISBLANK(INDIRECT("template!"&amp;"H"&amp;A856)),"",INDIRECT("template!"&amp;"H"&amp;A856)))</f>
        <v>#REF!</v>
      </c>
      <c r="L856" t="e" cm="1">
        <f t="array" aca="1" ref="L856" ca="1">IF(OR(A856="",B856="safety"),"",INDIRECT("template!"&amp;"I"&amp;A856))</f>
        <v>#REF!</v>
      </c>
      <c r="M856" t="e" cm="1">
        <f t="array" aca="1" ref="M856" ca="1">IF(OR(A856="",B856="safety"),"",INDIRECT("template!"&amp;"J"&amp;A856))</f>
        <v>#REF!</v>
      </c>
      <c r="N856" t="e" cm="1">
        <f t="array" aca="1" ref="N856" ca="1">IF(OR(A856="",B856="safety"),"",IF(ISBLANK(INDIRECT("template!"&amp;"K"&amp;A856)),"",INDIRECT("template!"&amp;"K"&amp;A856)))</f>
        <v>#REF!</v>
      </c>
      <c r="O856" t="e" cm="1">
        <f t="array" aca="1" ref="O856" ca="1">IF(OR(A856="",B856="safety"),"",INDIRECT("template!"&amp;"L"&amp;A856))</f>
        <v>#REF!</v>
      </c>
      <c r="P856" t="e" cm="1">
        <f t="array" aca="1" ref="P856" ca="1">IF(OR(A856="",B856="safety"),"",INDIRECT("template!"&amp;"M"&amp;A856))</f>
        <v>#REF!</v>
      </c>
      <c r="Q856" t="e">
        <f t="shared" ca="1" si="76"/>
        <v>#REF!</v>
      </c>
      <c r="R856" t="e">
        <f t="shared" ca="1" si="77"/>
        <v>#REF!</v>
      </c>
      <c r="S856" t="e">
        <f t="shared" ca="1" si="78"/>
        <v>#REF!</v>
      </c>
      <c r="T856" t="e">
        <f t="shared" ca="1" si="79"/>
        <v>#REF!</v>
      </c>
      <c r="U856" t="e" cm="1">
        <f t="array" aca="1" ref="U856" ca="1">IF(A856="","",IF(E856="","",IF(B856="safety",INDIRECT("template!"&amp;"P"&amp;A856),Q856+R856)))</f>
        <v>#REF!</v>
      </c>
      <c r="V856" t="e" cm="1">
        <f t="array" aca="1" ref="V856" ca="1">IF(A856="","",IF(E856="","",IF(B856="safety",INDIRECT("template!"&amp;"P"&amp;A856),S856+T856)))</f>
        <v>#REF!</v>
      </c>
      <c r="W856" t="e">
        <f ca="1">IF(A856="","",IF(E856="","",#REF!))</f>
        <v>#REF!</v>
      </c>
      <c r="X856" t="e">
        <f ca="1">IF(A856="","",IF(E856="","",#REF!))</f>
        <v>#REF!</v>
      </c>
      <c r="Y856" s="39" t="e">
        <f ca="1">IF(A856="","",IF(E856="","",#REF!))</f>
        <v>#REF!</v>
      </c>
      <c r="Z856" t="e">
        <f ca="1">IF(A856="","",IF(E856="","",#REF!))</f>
        <v>#REF!</v>
      </c>
      <c r="AA856" t="e">
        <f ca="1">IF(A856="","",IF(E856="","",#REF!))</f>
        <v>#REF!</v>
      </c>
      <c r="AB856" t="e">
        <f ca="1">IF(A856="","",IF(E856="","",#REF!))</f>
        <v>#REF!</v>
      </c>
      <c r="AC856" t="e">
        <f t="shared" ca="1" si="80"/>
        <v>#REF!</v>
      </c>
    </row>
    <row r="857" spans="1:29" x14ac:dyDescent="0.35">
      <c r="A857" t="e" cm="1">
        <f t="array" aca="1" ref="A857" ca="1">IF(A856="","",IF(OR(AND(A856+1&gt;=$AF$1,A856+1&lt;=$AF$2),AND(A856+1&gt;=$AF$6,A856+1&lt;=$AF$7),AND(A856+1&gt;=$AF$3,A856+1&lt;=$AF$4),AND(A856+1&gt;=$AF$8,A856+1&lt;=$AF$9),A856+1=$AF$5),IF(NOT(ISBLANK(INDIRECT("template!"&amp;"P"&amp;A856+1))),A856+1,IF(NOT(ISBLANK(INDIRECT("template!"&amp;"P"&amp;A856+2))),A856+2,A856+3)),IF(A856=$AF$2,$AF$3,IF(A856=$AF$4,$AF$5,IF(A856=$AF$5,$AF$6,IF(A856=$AF$7,$AF$8,""))))))</f>
        <v>#REF!</v>
      </c>
      <c r="B857" t="e">
        <f t="shared" ca="1" si="75"/>
        <v>#REF!</v>
      </c>
      <c r="C857" t="e" cm="1">
        <f t="array" aca="1" ref="C857" ca="1">IF(A857="","",IF(B857="safety","safety costs",INDIRECT("template!"&amp;"B"&amp;A857)))</f>
        <v>#REF!</v>
      </c>
      <c r="D857" t="e" cm="1">
        <f t="array" aca="1" ref="D857" ca="1">IF(OR(A857="",B857="safety"),"",INDIRECT("template!"&amp;"C"&amp;A857))</f>
        <v>#REF!</v>
      </c>
      <c r="E857" t="e" cm="1">
        <f t="array" aca="1" ref="E857" ca="1">IF(A857="","",IF(OR(A857=A856+1,A857=A856+2),E856,INDIRECT("template!"&amp;"D"&amp;A857-2)))</f>
        <v>#REF!</v>
      </c>
      <c r="F857" t="e" cm="1">
        <f t="array" aca="1" ref="F857" ca="1">IF(OR(A857="",B857="safety"),"",IF(ISBLANK(IF(A857=A856+1,F856,INDIRECT("template!"&amp;"D"&amp;A857-1))),"",IF(A857=A856+1,F856,INDIRECT("template!"&amp;"D"&amp;A857-1))))</f>
        <v>#REF!</v>
      </c>
      <c r="G857" t="e" cm="1">
        <f t="array" aca="1" ref="G857" ca="1">IF(OR(A857="",B857="safety"),"",IF(ISBLANK(INDIRECT("template!"&amp;"D"&amp;A857)),"",INDIRECT("template!"&amp;"D"&amp;A857)))</f>
        <v>#REF!</v>
      </c>
      <c r="H857" t="e" cm="1">
        <f t="array" aca="1" ref="H857" ca="1">IF(OR(A857="",B857="safety"),"",IF(ISBLANK(INDIRECT("template!"&amp;"E"&amp;A857)),"",INDIRECT("template!"&amp;"E"&amp;A857)))</f>
        <v>#REF!</v>
      </c>
      <c r="I857" t="e" cm="1">
        <f t="array" aca="1" ref="I857" ca="1">IF(OR(A857="",B857="safety"),"",IF(ISBLANK(INDIRECT("template!"&amp;"F"&amp;A857)),"",INDIRECT("template!"&amp;"F"&amp;A857)))</f>
        <v>#REF!</v>
      </c>
      <c r="J857" t="e" cm="1">
        <f t="array" aca="1" ref="J857" ca="1">IF(OR(A857="",B857="safety"),"",IF(ISBLANK(INDIRECT("template!"&amp;"G"&amp;A857)),"",INDIRECT("template!"&amp;"G"&amp;A857)))</f>
        <v>#REF!</v>
      </c>
      <c r="K857" t="e" cm="1">
        <f t="array" aca="1" ref="K857" ca="1">IF(OR(A857="",B857="safety"),"",IF(ISBLANK(INDIRECT("template!"&amp;"H"&amp;A857)),"",INDIRECT("template!"&amp;"H"&amp;A857)))</f>
        <v>#REF!</v>
      </c>
      <c r="L857" t="e" cm="1">
        <f t="array" aca="1" ref="L857" ca="1">IF(OR(A857="",B857="safety"),"",INDIRECT("template!"&amp;"I"&amp;A857))</f>
        <v>#REF!</v>
      </c>
      <c r="M857" t="e" cm="1">
        <f t="array" aca="1" ref="M857" ca="1">IF(OR(A857="",B857="safety"),"",INDIRECT("template!"&amp;"J"&amp;A857))</f>
        <v>#REF!</v>
      </c>
      <c r="N857" t="e" cm="1">
        <f t="array" aca="1" ref="N857" ca="1">IF(OR(A857="",B857="safety"),"",IF(ISBLANK(INDIRECT("template!"&amp;"K"&amp;A857)),"",INDIRECT("template!"&amp;"K"&amp;A857)))</f>
        <v>#REF!</v>
      </c>
      <c r="O857" t="e" cm="1">
        <f t="array" aca="1" ref="O857" ca="1">IF(OR(A857="",B857="safety"),"",INDIRECT("template!"&amp;"L"&amp;A857))</f>
        <v>#REF!</v>
      </c>
      <c r="P857" t="e" cm="1">
        <f t="array" aca="1" ref="P857" ca="1">IF(OR(A857="",B857="safety"),"",INDIRECT("template!"&amp;"M"&amp;A857))</f>
        <v>#REF!</v>
      </c>
      <c r="Q857" t="e">
        <f t="shared" ca="1" si="76"/>
        <v>#REF!</v>
      </c>
      <c r="R857" t="e">
        <f t="shared" ca="1" si="77"/>
        <v>#REF!</v>
      </c>
      <c r="S857" t="e">
        <f t="shared" ca="1" si="78"/>
        <v>#REF!</v>
      </c>
      <c r="T857" t="e">
        <f t="shared" ca="1" si="79"/>
        <v>#REF!</v>
      </c>
      <c r="U857" t="e" cm="1">
        <f t="array" aca="1" ref="U857" ca="1">IF(A857="","",IF(E857="","",IF(B857="safety",INDIRECT("template!"&amp;"P"&amp;A857),Q857+R857)))</f>
        <v>#REF!</v>
      </c>
      <c r="V857" t="e" cm="1">
        <f t="array" aca="1" ref="V857" ca="1">IF(A857="","",IF(E857="","",IF(B857="safety",INDIRECT("template!"&amp;"P"&amp;A857),S857+T857)))</f>
        <v>#REF!</v>
      </c>
      <c r="W857" t="e">
        <f ca="1">IF(A857="","",IF(E857="","",#REF!))</f>
        <v>#REF!</v>
      </c>
      <c r="X857" t="e">
        <f ca="1">IF(A857="","",IF(E857="","",#REF!))</f>
        <v>#REF!</v>
      </c>
      <c r="Y857" s="39" t="e">
        <f ca="1">IF(A857="","",IF(E857="","",#REF!))</f>
        <v>#REF!</v>
      </c>
      <c r="Z857" t="e">
        <f ca="1">IF(A857="","",IF(E857="","",#REF!))</f>
        <v>#REF!</v>
      </c>
      <c r="AA857" t="e">
        <f ca="1">IF(A857="","",IF(E857="","",#REF!))</f>
        <v>#REF!</v>
      </c>
      <c r="AB857" t="e">
        <f ca="1">IF(A857="","",IF(E857="","",#REF!))</f>
        <v>#REF!</v>
      </c>
      <c r="AC857" t="e">
        <f t="shared" ca="1" si="80"/>
        <v>#REF!</v>
      </c>
    </row>
    <row r="858" spans="1:29" x14ac:dyDescent="0.35">
      <c r="A858" t="e" cm="1">
        <f t="array" aca="1" ref="A858" ca="1">IF(A857="","",IF(OR(AND(A857+1&gt;=$AF$1,A857+1&lt;=$AF$2),AND(A857+1&gt;=$AF$6,A857+1&lt;=$AF$7),AND(A857+1&gt;=$AF$3,A857+1&lt;=$AF$4),AND(A857+1&gt;=$AF$8,A857+1&lt;=$AF$9),A857+1=$AF$5),IF(NOT(ISBLANK(INDIRECT("template!"&amp;"P"&amp;A857+1))),A857+1,IF(NOT(ISBLANK(INDIRECT("template!"&amp;"P"&amp;A857+2))),A857+2,A857+3)),IF(A857=$AF$2,$AF$3,IF(A857=$AF$4,$AF$5,IF(A857=$AF$5,$AF$6,IF(A857=$AF$7,$AF$8,""))))))</f>
        <v>#REF!</v>
      </c>
      <c r="B858" t="e">
        <f t="shared" ca="1" si="75"/>
        <v>#REF!</v>
      </c>
      <c r="C858" t="e" cm="1">
        <f t="array" aca="1" ref="C858" ca="1">IF(A858="","",IF(B858="safety","safety costs",INDIRECT("template!"&amp;"B"&amp;A858)))</f>
        <v>#REF!</v>
      </c>
      <c r="D858" t="e" cm="1">
        <f t="array" aca="1" ref="D858" ca="1">IF(OR(A858="",B858="safety"),"",INDIRECT("template!"&amp;"C"&amp;A858))</f>
        <v>#REF!</v>
      </c>
      <c r="E858" t="e" cm="1">
        <f t="array" aca="1" ref="E858" ca="1">IF(A858="","",IF(OR(A858=A857+1,A858=A857+2),E857,INDIRECT("template!"&amp;"D"&amp;A858-2)))</f>
        <v>#REF!</v>
      </c>
      <c r="F858" t="e" cm="1">
        <f t="array" aca="1" ref="F858" ca="1">IF(OR(A858="",B858="safety"),"",IF(ISBLANK(IF(A858=A857+1,F857,INDIRECT("template!"&amp;"D"&amp;A858-1))),"",IF(A858=A857+1,F857,INDIRECT("template!"&amp;"D"&amp;A858-1))))</f>
        <v>#REF!</v>
      </c>
      <c r="G858" t="e" cm="1">
        <f t="array" aca="1" ref="G858" ca="1">IF(OR(A858="",B858="safety"),"",IF(ISBLANK(INDIRECT("template!"&amp;"D"&amp;A858)),"",INDIRECT("template!"&amp;"D"&amp;A858)))</f>
        <v>#REF!</v>
      </c>
      <c r="H858" t="e" cm="1">
        <f t="array" aca="1" ref="H858" ca="1">IF(OR(A858="",B858="safety"),"",IF(ISBLANK(INDIRECT("template!"&amp;"E"&amp;A858)),"",INDIRECT("template!"&amp;"E"&amp;A858)))</f>
        <v>#REF!</v>
      </c>
      <c r="I858" t="e" cm="1">
        <f t="array" aca="1" ref="I858" ca="1">IF(OR(A858="",B858="safety"),"",IF(ISBLANK(INDIRECT("template!"&amp;"F"&amp;A858)),"",INDIRECT("template!"&amp;"F"&amp;A858)))</f>
        <v>#REF!</v>
      </c>
      <c r="J858" t="e" cm="1">
        <f t="array" aca="1" ref="J858" ca="1">IF(OR(A858="",B858="safety"),"",IF(ISBLANK(INDIRECT("template!"&amp;"G"&amp;A858)),"",INDIRECT("template!"&amp;"G"&amp;A858)))</f>
        <v>#REF!</v>
      </c>
      <c r="K858" t="e" cm="1">
        <f t="array" aca="1" ref="K858" ca="1">IF(OR(A858="",B858="safety"),"",IF(ISBLANK(INDIRECT("template!"&amp;"H"&amp;A858)),"",INDIRECT("template!"&amp;"H"&amp;A858)))</f>
        <v>#REF!</v>
      </c>
      <c r="L858" t="e" cm="1">
        <f t="array" aca="1" ref="L858" ca="1">IF(OR(A858="",B858="safety"),"",INDIRECT("template!"&amp;"I"&amp;A858))</f>
        <v>#REF!</v>
      </c>
      <c r="M858" t="e" cm="1">
        <f t="array" aca="1" ref="M858" ca="1">IF(OR(A858="",B858="safety"),"",INDIRECT("template!"&amp;"J"&amp;A858))</f>
        <v>#REF!</v>
      </c>
      <c r="N858" t="e" cm="1">
        <f t="array" aca="1" ref="N858" ca="1">IF(OR(A858="",B858="safety"),"",IF(ISBLANK(INDIRECT("template!"&amp;"K"&amp;A858)),"",INDIRECT("template!"&amp;"K"&amp;A858)))</f>
        <v>#REF!</v>
      </c>
      <c r="O858" t="e" cm="1">
        <f t="array" aca="1" ref="O858" ca="1">IF(OR(A858="",B858="safety"),"",INDIRECT("template!"&amp;"L"&amp;A858))</f>
        <v>#REF!</v>
      </c>
      <c r="P858" t="e" cm="1">
        <f t="array" aca="1" ref="P858" ca="1">IF(OR(A858="",B858="safety"),"",INDIRECT("template!"&amp;"M"&amp;A858))</f>
        <v>#REF!</v>
      </c>
      <c r="Q858" t="e">
        <f t="shared" ca="1" si="76"/>
        <v>#REF!</v>
      </c>
      <c r="R858" t="e">
        <f t="shared" ca="1" si="77"/>
        <v>#REF!</v>
      </c>
      <c r="S858" t="e">
        <f t="shared" ca="1" si="78"/>
        <v>#REF!</v>
      </c>
      <c r="T858" t="e">
        <f t="shared" ca="1" si="79"/>
        <v>#REF!</v>
      </c>
      <c r="U858" t="e" cm="1">
        <f t="array" aca="1" ref="U858" ca="1">IF(A858="","",IF(E858="","",IF(B858="safety",INDIRECT("template!"&amp;"P"&amp;A858),Q858+R858)))</f>
        <v>#REF!</v>
      </c>
      <c r="V858" t="e" cm="1">
        <f t="array" aca="1" ref="V858" ca="1">IF(A858="","",IF(E858="","",IF(B858="safety",INDIRECT("template!"&amp;"P"&amp;A858),S858+T858)))</f>
        <v>#REF!</v>
      </c>
      <c r="W858" t="e">
        <f ca="1">IF(A858="","",IF(E858="","",#REF!))</f>
        <v>#REF!</v>
      </c>
      <c r="X858" t="e">
        <f ca="1">IF(A858="","",IF(E858="","",#REF!))</f>
        <v>#REF!</v>
      </c>
      <c r="Y858" s="39" t="e">
        <f ca="1">IF(A858="","",IF(E858="","",#REF!))</f>
        <v>#REF!</v>
      </c>
      <c r="Z858" t="e">
        <f ca="1">IF(A858="","",IF(E858="","",#REF!))</f>
        <v>#REF!</v>
      </c>
      <c r="AA858" t="e">
        <f ca="1">IF(A858="","",IF(E858="","",#REF!))</f>
        <v>#REF!</v>
      </c>
      <c r="AB858" t="e">
        <f ca="1">IF(A858="","",IF(E858="","",#REF!))</f>
        <v>#REF!</v>
      </c>
      <c r="AC858" t="e">
        <f t="shared" ca="1" si="80"/>
        <v>#REF!</v>
      </c>
    </row>
    <row r="859" spans="1:29" x14ac:dyDescent="0.35">
      <c r="A859" t="e" cm="1">
        <f t="array" aca="1" ref="A859" ca="1">IF(A858="","",IF(OR(AND(A858+1&gt;=$AF$1,A858+1&lt;=$AF$2),AND(A858+1&gt;=$AF$6,A858+1&lt;=$AF$7),AND(A858+1&gt;=$AF$3,A858+1&lt;=$AF$4),AND(A858+1&gt;=$AF$8,A858+1&lt;=$AF$9),A858+1=$AF$5),IF(NOT(ISBLANK(INDIRECT("template!"&amp;"P"&amp;A858+1))),A858+1,IF(NOT(ISBLANK(INDIRECT("template!"&amp;"P"&amp;A858+2))),A858+2,A858+3)),IF(A858=$AF$2,$AF$3,IF(A858=$AF$4,$AF$5,IF(A858=$AF$5,$AF$6,IF(A858=$AF$7,$AF$8,""))))))</f>
        <v>#REF!</v>
      </c>
      <c r="B859" t="e">
        <f t="shared" ca="1" si="75"/>
        <v>#REF!</v>
      </c>
      <c r="C859" t="e" cm="1">
        <f t="array" aca="1" ref="C859" ca="1">IF(A859="","",IF(B859="safety","safety costs",INDIRECT("template!"&amp;"B"&amp;A859)))</f>
        <v>#REF!</v>
      </c>
      <c r="D859" t="e" cm="1">
        <f t="array" aca="1" ref="D859" ca="1">IF(OR(A859="",B859="safety"),"",INDIRECT("template!"&amp;"C"&amp;A859))</f>
        <v>#REF!</v>
      </c>
      <c r="E859" t="e" cm="1">
        <f t="array" aca="1" ref="E859" ca="1">IF(A859="","",IF(OR(A859=A858+1,A859=A858+2),E858,INDIRECT("template!"&amp;"D"&amp;A859-2)))</f>
        <v>#REF!</v>
      </c>
      <c r="F859" t="e" cm="1">
        <f t="array" aca="1" ref="F859" ca="1">IF(OR(A859="",B859="safety"),"",IF(ISBLANK(IF(A859=A858+1,F858,INDIRECT("template!"&amp;"D"&amp;A859-1))),"",IF(A859=A858+1,F858,INDIRECT("template!"&amp;"D"&amp;A859-1))))</f>
        <v>#REF!</v>
      </c>
      <c r="G859" t="e" cm="1">
        <f t="array" aca="1" ref="G859" ca="1">IF(OR(A859="",B859="safety"),"",IF(ISBLANK(INDIRECT("template!"&amp;"D"&amp;A859)),"",INDIRECT("template!"&amp;"D"&amp;A859)))</f>
        <v>#REF!</v>
      </c>
      <c r="H859" t="e" cm="1">
        <f t="array" aca="1" ref="H859" ca="1">IF(OR(A859="",B859="safety"),"",IF(ISBLANK(INDIRECT("template!"&amp;"E"&amp;A859)),"",INDIRECT("template!"&amp;"E"&amp;A859)))</f>
        <v>#REF!</v>
      </c>
      <c r="I859" t="e" cm="1">
        <f t="array" aca="1" ref="I859" ca="1">IF(OR(A859="",B859="safety"),"",IF(ISBLANK(INDIRECT("template!"&amp;"F"&amp;A859)),"",INDIRECT("template!"&amp;"F"&amp;A859)))</f>
        <v>#REF!</v>
      </c>
      <c r="J859" t="e" cm="1">
        <f t="array" aca="1" ref="J859" ca="1">IF(OR(A859="",B859="safety"),"",IF(ISBLANK(INDIRECT("template!"&amp;"G"&amp;A859)),"",INDIRECT("template!"&amp;"G"&amp;A859)))</f>
        <v>#REF!</v>
      </c>
      <c r="K859" t="e" cm="1">
        <f t="array" aca="1" ref="K859" ca="1">IF(OR(A859="",B859="safety"),"",IF(ISBLANK(INDIRECT("template!"&amp;"H"&amp;A859)),"",INDIRECT("template!"&amp;"H"&amp;A859)))</f>
        <v>#REF!</v>
      </c>
      <c r="L859" t="e" cm="1">
        <f t="array" aca="1" ref="L859" ca="1">IF(OR(A859="",B859="safety"),"",INDIRECT("template!"&amp;"I"&amp;A859))</f>
        <v>#REF!</v>
      </c>
      <c r="M859" t="e" cm="1">
        <f t="array" aca="1" ref="M859" ca="1">IF(OR(A859="",B859="safety"),"",INDIRECT("template!"&amp;"J"&amp;A859))</f>
        <v>#REF!</v>
      </c>
      <c r="N859" t="e" cm="1">
        <f t="array" aca="1" ref="N859" ca="1">IF(OR(A859="",B859="safety"),"",IF(ISBLANK(INDIRECT("template!"&amp;"K"&amp;A859)),"",INDIRECT("template!"&amp;"K"&amp;A859)))</f>
        <v>#REF!</v>
      </c>
      <c r="O859" t="e" cm="1">
        <f t="array" aca="1" ref="O859" ca="1">IF(OR(A859="",B859="safety"),"",INDIRECT("template!"&amp;"L"&amp;A859))</f>
        <v>#REF!</v>
      </c>
      <c r="P859" t="e" cm="1">
        <f t="array" aca="1" ref="P859" ca="1">IF(OR(A859="",B859="safety"),"",INDIRECT("template!"&amp;"M"&amp;A859))</f>
        <v>#REF!</v>
      </c>
      <c r="Q859" t="e">
        <f t="shared" ca="1" si="76"/>
        <v>#REF!</v>
      </c>
      <c r="R859" t="e">
        <f t="shared" ca="1" si="77"/>
        <v>#REF!</v>
      </c>
      <c r="S859" t="e">
        <f t="shared" ca="1" si="78"/>
        <v>#REF!</v>
      </c>
      <c r="T859" t="e">
        <f t="shared" ca="1" si="79"/>
        <v>#REF!</v>
      </c>
      <c r="U859" t="e" cm="1">
        <f t="array" aca="1" ref="U859" ca="1">IF(A859="","",IF(E859="","",IF(B859="safety",INDIRECT("template!"&amp;"P"&amp;A859),Q859+R859)))</f>
        <v>#REF!</v>
      </c>
      <c r="V859" t="e" cm="1">
        <f t="array" aca="1" ref="V859" ca="1">IF(A859="","",IF(E859="","",IF(B859="safety",INDIRECT("template!"&amp;"P"&amp;A859),S859+T859)))</f>
        <v>#REF!</v>
      </c>
      <c r="W859" t="e">
        <f ca="1">IF(A859="","",IF(E859="","",#REF!))</f>
        <v>#REF!</v>
      </c>
      <c r="X859" t="e">
        <f ca="1">IF(A859="","",IF(E859="","",#REF!))</f>
        <v>#REF!</v>
      </c>
      <c r="Y859" s="39" t="e">
        <f ca="1">IF(A859="","",IF(E859="","",#REF!))</f>
        <v>#REF!</v>
      </c>
      <c r="Z859" t="e">
        <f ca="1">IF(A859="","",IF(E859="","",#REF!))</f>
        <v>#REF!</v>
      </c>
      <c r="AA859" t="e">
        <f ca="1">IF(A859="","",IF(E859="","",#REF!))</f>
        <v>#REF!</v>
      </c>
      <c r="AB859" t="e">
        <f ca="1">IF(A859="","",IF(E859="","",#REF!))</f>
        <v>#REF!</v>
      </c>
      <c r="AC859" t="e">
        <f t="shared" ca="1" si="80"/>
        <v>#REF!</v>
      </c>
    </row>
    <row r="860" spans="1:29" x14ac:dyDescent="0.35">
      <c r="A860" t="e" cm="1">
        <f t="array" aca="1" ref="A860" ca="1">IF(A859="","",IF(OR(AND(A859+1&gt;=$AF$1,A859+1&lt;=$AF$2),AND(A859+1&gt;=$AF$6,A859+1&lt;=$AF$7),AND(A859+1&gt;=$AF$3,A859+1&lt;=$AF$4),AND(A859+1&gt;=$AF$8,A859+1&lt;=$AF$9),A859+1=$AF$5),IF(NOT(ISBLANK(INDIRECT("template!"&amp;"P"&amp;A859+1))),A859+1,IF(NOT(ISBLANK(INDIRECT("template!"&amp;"P"&amp;A859+2))),A859+2,A859+3)),IF(A859=$AF$2,$AF$3,IF(A859=$AF$4,$AF$5,IF(A859=$AF$5,$AF$6,IF(A859=$AF$7,$AF$8,""))))))</f>
        <v>#REF!</v>
      </c>
      <c r="B860" t="e">
        <f t="shared" ca="1" si="75"/>
        <v>#REF!</v>
      </c>
      <c r="C860" t="e" cm="1">
        <f t="array" aca="1" ref="C860" ca="1">IF(A860="","",IF(B860="safety","safety costs",INDIRECT("template!"&amp;"B"&amp;A860)))</f>
        <v>#REF!</v>
      </c>
      <c r="D860" t="e" cm="1">
        <f t="array" aca="1" ref="D860" ca="1">IF(OR(A860="",B860="safety"),"",INDIRECT("template!"&amp;"C"&amp;A860))</f>
        <v>#REF!</v>
      </c>
      <c r="E860" t="e" cm="1">
        <f t="array" aca="1" ref="E860" ca="1">IF(A860="","",IF(OR(A860=A859+1,A860=A859+2),E859,INDIRECT("template!"&amp;"D"&amp;A860-2)))</f>
        <v>#REF!</v>
      </c>
      <c r="F860" t="e" cm="1">
        <f t="array" aca="1" ref="F860" ca="1">IF(OR(A860="",B860="safety"),"",IF(ISBLANK(IF(A860=A859+1,F859,INDIRECT("template!"&amp;"D"&amp;A860-1))),"",IF(A860=A859+1,F859,INDIRECT("template!"&amp;"D"&amp;A860-1))))</f>
        <v>#REF!</v>
      </c>
      <c r="G860" t="e" cm="1">
        <f t="array" aca="1" ref="G860" ca="1">IF(OR(A860="",B860="safety"),"",IF(ISBLANK(INDIRECT("template!"&amp;"D"&amp;A860)),"",INDIRECT("template!"&amp;"D"&amp;A860)))</f>
        <v>#REF!</v>
      </c>
      <c r="H860" t="e" cm="1">
        <f t="array" aca="1" ref="H860" ca="1">IF(OR(A860="",B860="safety"),"",IF(ISBLANK(INDIRECT("template!"&amp;"E"&amp;A860)),"",INDIRECT("template!"&amp;"E"&amp;A860)))</f>
        <v>#REF!</v>
      </c>
      <c r="I860" t="e" cm="1">
        <f t="array" aca="1" ref="I860" ca="1">IF(OR(A860="",B860="safety"),"",IF(ISBLANK(INDIRECT("template!"&amp;"F"&amp;A860)),"",INDIRECT("template!"&amp;"F"&amp;A860)))</f>
        <v>#REF!</v>
      </c>
      <c r="J860" t="e" cm="1">
        <f t="array" aca="1" ref="J860" ca="1">IF(OR(A860="",B860="safety"),"",IF(ISBLANK(INDIRECT("template!"&amp;"G"&amp;A860)),"",INDIRECT("template!"&amp;"G"&amp;A860)))</f>
        <v>#REF!</v>
      </c>
      <c r="K860" t="e" cm="1">
        <f t="array" aca="1" ref="K860" ca="1">IF(OR(A860="",B860="safety"),"",IF(ISBLANK(INDIRECT("template!"&amp;"H"&amp;A860)),"",INDIRECT("template!"&amp;"H"&amp;A860)))</f>
        <v>#REF!</v>
      </c>
      <c r="L860" t="e" cm="1">
        <f t="array" aca="1" ref="L860" ca="1">IF(OR(A860="",B860="safety"),"",INDIRECT("template!"&amp;"I"&amp;A860))</f>
        <v>#REF!</v>
      </c>
      <c r="M860" t="e" cm="1">
        <f t="array" aca="1" ref="M860" ca="1">IF(OR(A860="",B860="safety"),"",INDIRECT("template!"&amp;"J"&amp;A860))</f>
        <v>#REF!</v>
      </c>
      <c r="N860" t="e" cm="1">
        <f t="array" aca="1" ref="N860" ca="1">IF(OR(A860="",B860="safety"),"",IF(ISBLANK(INDIRECT("template!"&amp;"K"&amp;A860)),"",INDIRECT("template!"&amp;"K"&amp;A860)))</f>
        <v>#REF!</v>
      </c>
      <c r="O860" t="e" cm="1">
        <f t="array" aca="1" ref="O860" ca="1">IF(OR(A860="",B860="safety"),"",INDIRECT("template!"&amp;"L"&amp;A860))</f>
        <v>#REF!</v>
      </c>
      <c r="P860" t="e" cm="1">
        <f t="array" aca="1" ref="P860" ca="1">IF(OR(A860="",B860="safety"),"",INDIRECT("template!"&amp;"M"&amp;A860))</f>
        <v>#REF!</v>
      </c>
      <c r="Q860" t="e">
        <f t="shared" ca="1" si="76"/>
        <v>#REF!</v>
      </c>
      <c r="R860" t="e">
        <f t="shared" ca="1" si="77"/>
        <v>#REF!</v>
      </c>
      <c r="S860" t="e">
        <f t="shared" ca="1" si="78"/>
        <v>#REF!</v>
      </c>
      <c r="T860" t="e">
        <f t="shared" ca="1" si="79"/>
        <v>#REF!</v>
      </c>
      <c r="U860" t="e" cm="1">
        <f t="array" aca="1" ref="U860" ca="1">IF(A860="","",IF(E860="","",IF(B860="safety",INDIRECT("template!"&amp;"P"&amp;A860),Q860+R860)))</f>
        <v>#REF!</v>
      </c>
      <c r="V860" t="e" cm="1">
        <f t="array" aca="1" ref="V860" ca="1">IF(A860="","",IF(E860="","",IF(B860="safety",INDIRECT("template!"&amp;"P"&amp;A860),S860+T860)))</f>
        <v>#REF!</v>
      </c>
      <c r="W860" t="e">
        <f ca="1">IF(A860="","",IF(E860="","",#REF!))</f>
        <v>#REF!</v>
      </c>
      <c r="X860" t="e">
        <f ca="1">IF(A860="","",IF(E860="","",#REF!))</f>
        <v>#REF!</v>
      </c>
      <c r="Y860" s="39" t="e">
        <f ca="1">IF(A860="","",IF(E860="","",#REF!))</f>
        <v>#REF!</v>
      </c>
      <c r="Z860" t="e">
        <f ca="1">IF(A860="","",IF(E860="","",#REF!))</f>
        <v>#REF!</v>
      </c>
      <c r="AA860" t="e">
        <f ca="1">IF(A860="","",IF(E860="","",#REF!))</f>
        <v>#REF!</v>
      </c>
      <c r="AB860" t="e">
        <f ca="1">IF(A860="","",IF(E860="","",#REF!))</f>
        <v>#REF!</v>
      </c>
      <c r="AC860" t="e">
        <f t="shared" ca="1" si="80"/>
        <v>#REF!</v>
      </c>
    </row>
    <row r="861" spans="1:29" x14ac:dyDescent="0.35">
      <c r="A861" t="e" cm="1">
        <f t="array" aca="1" ref="A861" ca="1">IF(A860="","",IF(OR(AND(A860+1&gt;=$AF$1,A860+1&lt;=$AF$2),AND(A860+1&gt;=$AF$6,A860+1&lt;=$AF$7),AND(A860+1&gt;=$AF$3,A860+1&lt;=$AF$4),AND(A860+1&gt;=$AF$8,A860+1&lt;=$AF$9),A860+1=$AF$5),IF(NOT(ISBLANK(INDIRECT("template!"&amp;"P"&amp;A860+1))),A860+1,IF(NOT(ISBLANK(INDIRECT("template!"&amp;"P"&amp;A860+2))),A860+2,A860+3)),IF(A860=$AF$2,$AF$3,IF(A860=$AF$4,$AF$5,IF(A860=$AF$5,$AF$6,IF(A860=$AF$7,$AF$8,""))))))</f>
        <v>#REF!</v>
      </c>
      <c r="B861" t="e">
        <f t="shared" ca="1" si="75"/>
        <v>#REF!</v>
      </c>
      <c r="C861" t="e" cm="1">
        <f t="array" aca="1" ref="C861" ca="1">IF(A861="","",IF(B861="safety","safety costs",INDIRECT("template!"&amp;"B"&amp;A861)))</f>
        <v>#REF!</v>
      </c>
      <c r="D861" t="e" cm="1">
        <f t="array" aca="1" ref="D861" ca="1">IF(OR(A861="",B861="safety"),"",INDIRECT("template!"&amp;"C"&amp;A861))</f>
        <v>#REF!</v>
      </c>
      <c r="E861" t="e" cm="1">
        <f t="array" aca="1" ref="E861" ca="1">IF(A861="","",IF(OR(A861=A860+1,A861=A860+2),E860,INDIRECT("template!"&amp;"D"&amp;A861-2)))</f>
        <v>#REF!</v>
      </c>
      <c r="F861" t="e" cm="1">
        <f t="array" aca="1" ref="F861" ca="1">IF(OR(A861="",B861="safety"),"",IF(ISBLANK(IF(A861=A860+1,F860,INDIRECT("template!"&amp;"D"&amp;A861-1))),"",IF(A861=A860+1,F860,INDIRECT("template!"&amp;"D"&amp;A861-1))))</f>
        <v>#REF!</v>
      </c>
      <c r="G861" t="e" cm="1">
        <f t="array" aca="1" ref="G861" ca="1">IF(OR(A861="",B861="safety"),"",IF(ISBLANK(INDIRECT("template!"&amp;"D"&amp;A861)),"",INDIRECT("template!"&amp;"D"&amp;A861)))</f>
        <v>#REF!</v>
      </c>
      <c r="H861" t="e" cm="1">
        <f t="array" aca="1" ref="H861" ca="1">IF(OR(A861="",B861="safety"),"",IF(ISBLANK(INDIRECT("template!"&amp;"E"&amp;A861)),"",INDIRECT("template!"&amp;"E"&amp;A861)))</f>
        <v>#REF!</v>
      </c>
      <c r="I861" t="e" cm="1">
        <f t="array" aca="1" ref="I861" ca="1">IF(OR(A861="",B861="safety"),"",IF(ISBLANK(INDIRECT("template!"&amp;"F"&amp;A861)),"",INDIRECT("template!"&amp;"F"&amp;A861)))</f>
        <v>#REF!</v>
      </c>
      <c r="J861" t="e" cm="1">
        <f t="array" aca="1" ref="J861" ca="1">IF(OR(A861="",B861="safety"),"",IF(ISBLANK(INDIRECT("template!"&amp;"G"&amp;A861)),"",INDIRECT("template!"&amp;"G"&amp;A861)))</f>
        <v>#REF!</v>
      </c>
      <c r="K861" t="e" cm="1">
        <f t="array" aca="1" ref="K861" ca="1">IF(OR(A861="",B861="safety"),"",IF(ISBLANK(INDIRECT("template!"&amp;"H"&amp;A861)),"",INDIRECT("template!"&amp;"H"&amp;A861)))</f>
        <v>#REF!</v>
      </c>
      <c r="L861" t="e" cm="1">
        <f t="array" aca="1" ref="L861" ca="1">IF(OR(A861="",B861="safety"),"",INDIRECT("template!"&amp;"I"&amp;A861))</f>
        <v>#REF!</v>
      </c>
      <c r="M861" t="e" cm="1">
        <f t="array" aca="1" ref="M861" ca="1">IF(OR(A861="",B861="safety"),"",INDIRECT("template!"&amp;"J"&amp;A861))</f>
        <v>#REF!</v>
      </c>
      <c r="N861" t="e" cm="1">
        <f t="array" aca="1" ref="N861" ca="1">IF(OR(A861="",B861="safety"),"",IF(ISBLANK(INDIRECT("template!"&amp;"K"&amp;A861)),"",INDIRECT("template!"&amp;"K"&amp;A861)))</f>
        <v>#REF!</v>
      </c>
      <c r="O861" t="e" cm="1">
        <f t="array" aca="1" ref="O861" ca="1">IF(OR(A861="",B861="safety"),"",INDIRECT("template!"&amp;"L"&amp;A861))</f>
        <v>#REF!</v>
      </c>
      <c r="P861" t="e" cm="1">
        <f t="array" aca="1" ref="P861" ca="1">IF(OR(A861="",B861="safety"),"",INDIRECT("template!"&amp;"M"&amp;A861))</f>
        <v>#REF!</v>
      </c>
      <c r="Q861" t="e">
        <f t="shared" ca="1" si="76"/>
        <v>#REF!</v>
      </c>
      <c r="R861" t="e">
        <f t="shared" ca="1" si="77"/>
        <v>#REF!</v>
      </c>
      <c r="S861" t="e">
        <f t="shared" ca="1" si="78"/>
        <v>#REF!</v>
      </c>
      <c r="T861" t="e">
        <f t="shared" ca="1" si="79"/>
        <v>#REF!</v>
      </c>
      <c r="U861" t="e" cm="1">
        <f t="array" aca="1" ref="U861" ca="1">IF(A861="","",IF(E861="","",IF(B861="safety",INDIRECT("template!"&amp;"P"&amp;A861),Q861+R861)))</f>
        <v>#REF!</v>
      </c>
      <c r="V861" t="e" cm="1">
        <f t="array" aca="1" ref="V861" ca="1">IF(A861="","",IF(E861="","",IF(B861="safety",INDIRECT("template!"&amp;"P"&amp;A861),S861+T861)))</f>
        <v>#REF!</v>
      </c>
      <c r="W861" t="e">
        <f ca="1">IF(A861="","",IF(E861="","",#REF!))</f>
        <v>#REF!</v>
      </c>
      <c r="X861" t="e">
        <f ca="1">IF(A861="","",IF(E861="","",#REF!))</f>
        <v>#REF!</v>
      </c>
      <c r="Y861" s="39" t="e">
        <f ca="1">IF(A861="","",IF(E861="","",#REF!))</f>
        <v>#REF!</v>
      </c>
      <c r="Z861" t="e">
        <f ca="1">IF(A861="","",IF(E861="","",#REF!))</f>
        <v>#REF!</v>
      </c>
      <c r="AA861" t="e">
        <f ca="1">IF(A861="","",IF(E861="","",#REF!))</f>
        <v>#REF!</v>
      </c>
      <c r="AB861" t="e">
        <f ca="1">IF(A861="","",IF(E861="","",#REF!))</f>
        <v>#REF!</v>
      </c>
      <c r="AC861" t="e">
        <f t="shared" ca="1" si="80"/>
        <v>#REF!</v>
      </c>
    </row>
    <row r="862" spans="1:29" x14ac:dyDescent="0.35">
      <c r="A862" t="e" cm="1">
        <f t="array" aca="1" ref="A862" ca="1">IF(A861="","",IF(OR(AND(A861+1&gt;=$AF$1,A861+1&lt;=$AF$2),AND(A861+1&gt;=$AF$6,A861+1&lt;=$AF$7),AND(A861+1&gt;=$AF$3,A861+1&lt;=$AF$4),AND(A861+1&gt;=$AF$8,A861+1&lt;=$AF$9),A861+1=$AF$5),IF(NOT(ISBLANK(INDIRECT("template!"&amp;"P"&amp;A861+1))),A861+1,IF(NOT(ISBLANK(INDIRECT("template!"&amp;"P"&amp;A861+2))),A861+2,A861+3)),IF(A861=$AF$2,$AF$3,IF(A861=$AF$4,$AF$5,IF(A861=$AF$5,$AF$6,IF(A861=$AF$7,$AF$8,""))))))</f>
        <v>#REF!</v>
      </c>
      <c r="B862" t="e">
        <f t="shared" ca="1" si="75"/>
        <v>#REF!</v>
      </c>
      <c r="C862" t="e" cm="1">
        <f t="array" aca="1" ref="C862" ca="1">IF(A862="","",IF(B862="safety","safety costs",INDIRECT("template!"&amp;"B"&amp;A862)))</f>
        <v>#REF!</v>
      </c>
      <c r="D862" t="e" cm="1">
        <f t="array" aca="1" ref="D862" ca="1">IF(OR(A862="",B862="safety"),"",INDIRECT("template!"&amp;"C"&amp;A862))</f>
        <v>#REF!</v>
      </c>
      <c r="E862" t="e" cm="1">
        <f t="array" aca="1" ref="E862" ca="1">IF(A862="","",IF(OR(A862=A861+1,A862=A861+2),E861,INDIRECT("template!"&amp;"D"&amp;A862-2)))</f>
        <v>#REF!</v>
      </c>
      <c r="F862" t="e" cm="1">
        <f t="array" aca="1" ref="F862" ca="1">IF(OR(A862="",B862="safety"),"",IF(ISBLANK(IF(A862=A861+1,F861,INDIRECT("template!"&amp;"D"&amp;A862-1))),"",IF(A862=A861+1,F861,INDIRECT("template!"&amp;"D"&amp;A862-1))))</f>
        <v>#REF!</v>
      </c>
      <c r="G862" t="e" cm="1">
        <f t="array" aca="1" ref="G862" ca="1">IF(OR(A862="",B862="safety"),"",IF(ISBLANK(INDIRECT("template!"&amp;"D"&amp;A862)),"",INDIRECT("template!"&amp;"D"&amp;A862)))</f>
        <v>#REF!</v>
      </c>
      <c r="H862" t="e" cm="1">
        <f t="array" aca="1" ref="H862" ca="1">IF(OR(A862="",B862="safety"),"",IF(ISBLANK(INDIRECT("template!"&amp;"E"&amp;A862)),"",INDIRECT("template!"&amp;"E"&amp;A862)))</f>
        <v>#REF!</v>
      </c>
      <c r="I862" t="e" cm="1">
        <f t="array" aca="1" ref="I862" ca="1">IF(OR(A862="",B862="safety"),"",IF(ISBLANK(INDIRECT("template!"&amp;"F"&amp;A862)),"",INDIRECT("template!"&amp;"F"&amp;A862)))</f>
        <v>#REF!</v>
      </c>
      <c r="J862" t="e" cm="1">
        <f t="array" aca="1" ref="J862" ca="1">IF(OR(A862="",B862="safety"),"",IF(ISBLANK(INDIRECT("template!"&amp;"G"&amp;A862)),"",INDIRECT("template!"&amp;"G"&amp;A862)))</f>
        <v>#REF!</v>
      </c>
      <c r="K862" t="e" cm="1">
        <f t="array" aca="1" ref="K862" ca="1">IF(OR(A862="",B862="safety"),"",IF(ISBLANK(INDIRECT("template!"&amp;"H"&amp;A862)),"",INDIRECT("template!"&amp;"H"&amp;A862)))</f>
        <v>#REF!</v>
      </c>
      <c r="L862" t="e" cm="1">
        <f t="array" aca="1" ref="L862" ca="1">IF(OR(A862="",B862="safety"),"",INDIRECT("template!"&amp;"I"&amp;A862))</f>
        <v>#REF!</v>
      </c>
      <c r="M862" t="e" cm="1">
        <f t="array" aca="1" ref="M862" ca="1">IF(OR(A862="",B862="safety"),"",INDIRECT("template!"&amp;"J"&amp;A862))</f>
        <v>#REF!</v>
      </c>
      <c r="N862" t="e" cm="1">
        <f t="array" aca="1" ref="N862" ca="1">IF(OR(A862="",B862="safety"),"",IF(ISBLANK(INDIRECT("template!"&amp;"K"&amp;A862)),"",INDIRECT("template!"&amp;"K"&amp;A862)))</f>
        <v>#REF!</v>
      </c>
      <c r="O862" t="e" cm="1">
        <f t="array" aca="1" ref="O862" ca="1">IF(OR(A862="",B862="safety"),"",INDIRECT("template!"&amp;"L"&amp;A862))</f>
        <v>#REF!</v>
      </c>
      <c r="P862" t="e" cm="1">
        <f t="array" aca="1" ref="P862" ca="1">IF(OR(A862="",B862="safety"),"",INDIRECT("template!"&amp;"M"&amp;A862))</f>
        <v>#REF!</v>
      </c>
      <c r="Q862" t="e">
        <f t="shared" ca="1" si="76"/>
        <v>#REF!</v>
      </c>
      <c r="R862" t="e">
        <f t="shared" ca="1" si="77"/>
        <v>#REF!</v>
      </c>
      <c r="S862" t="e">
        <f t="shared" ca="1" si="78"/>
        <v>#REF!</v>
      </c>
      <c r="T862" t="e">
        <f t="shared" ca="1" si="79"/>
        <v>#REF!</v>
      </c>
      <c r="U862" t="e" cm="1">
        <f t="array" aca="1" ref="U862" ca="1">IF(A862="","",IF(E862="","",IF(B862="safety",INDIRECT("template!"&amp;"P"&amp;A862),Q862+R862)))</f>
        <v>#REF!</v>
      </c>
      <c r="V862" t="e" cm="1">
        <f t="array" aca="1" ref="V862" ca="1">IF(A862="","",IF(E862="","",IF(B862="safety",INDIRECT("template!"&amp;"P"&amp;A862),S862+T862)))</f>
        <v>#REF!</v>
      </c>
      <c r="W862" t="e">
        <f ca="1">IF(A862="","",IF(E862="","",#REF!))</f>
        <v>#REF!</v>
      </c>
      <c r="X862" t="e">
        <f ca="1">IF(A862="","",IF(E862="","",#REF!))</f>
        <v>#REF!</v>
      </c>
      <c r="Y862" s="39" t="e">
        <f ca="1">IF(A862="","",IF(E862="","",#REF!))</f>
        <v>#REF!</v>
      </c>
      <c r="Z862" t="e">
        <f ca="1">IF(A862="","",IF(E862="","",#REF!))</f>
        <v>#REF!</v>
      </c>
      <c r="AA862" t="e">
        <f ca="1">IF(A862="","",IF(E862="","",#REF!))</f>
        <v>#REF!</v>
      </c>
      <c r="AB862" t="e">
        <f ca="1">IF(A862="","",IF(E862="","",#REF!))</f>
        <v>#REF!</v>
      </c>
      <c r="AC862" t="e">
        <f t="shared" ca="1" si="80"/>
        <v>#REF!</v>
      </c>
    </row>
    <row r="863" spans="1:29" x14ac:dyDescent="0.35">
      <c r="A863" t="e" cm="1">
        <f t="array" aca="1" ref="A863" ca="1">IF(A862="","",IF(OR(AND(A862+1&gt;=$AF$1,A862+1&lt;=$AF$2),AND(A862+1&gt;=$AF$6,A862+1&lt;=$AF$7),AND(A862+1&gt;=$AF$3,A862+1&lt;=$AF$4),AND(A862+1&gt;=$AF$8,A862+1&lt;=$AF$9),A862+1=$AF$5),IF(NOT(ISBLANK(INDIRECT("template!"&amp;"P"&amp;A862+1))),A862+1,IF(NOT(ISBLANK(INDIRECT("template!"&amp;"P"&amp;A862+2))),A862+2,A862+3)),IF(A862=$AF$2,$AF$3,IF(A862=$AF$4,$AF$5,IF(A862=$AF$5,$AF$6,IF(A862=$AF$7,$AF$8,""))))))</f>
        <v>#REF!</v>
      </c>
      <c r="B863" t="e">
        <f t="shared" ca="1" si="75"/>
        <v>#REF!</v>
      </c>
      <c r="C863" t="e" cm="1">
        <f t="array" aca="1" ref="C863" ca="1">IF(A863="","",IF(B863="safety","safety costs",INDIRECT("template!"&amp;"B"&amp;A863)))</f>
        <v>#REF!</v>
      </c>
      <c r="D863" t="e" cm="1">
        <f t="array" aca="1" ref="D863" ca="1">IF(OR(A863="",B863="safety"),"",INDIRECT("template!"&amp;"C"&amp;A863))</f>
        <v>#REF!</v>
      </c>
      <c r="E863" t="e" cm="1">
        <f t="array" aca="1" ref="E863" ca="1">IF(A863="","",IF(OR(A863=A862+1,A863=A862+2),E862,INDIRECT("template!"&amp;"D"&amp;A863-2)))</f>
        <v>#REF!</v>
      </c>
      <c r="F863" t="e" cm="1">
        <f t="array" aca="1" ref="F863" ca="1">IF(OR(A863="",B863="safety"),"",IF(ISBLANK(IF(A863=A862+1,F862,INDIRECT("template!"&amp;"D"&amp;A863-1))),"",IF(A863=A862+1,F862,INDIRECT("template!"&amp;"D"&amp;A863-1))))</f>
        <v>#REF!</v>
      </c>
      <c r="G863" t="e" cm="1">
        <f t="array" aca="1" ref="G863" ca="1">IF(OR(A863="",B863="safety"),"",IF(ISBLANK(INDIRECT("template!"&amp;"D"&amp;A863)),"",INDIRECT("template!"&amp;"D"&amp;A863)))</f>
        <v>#REF!</v>
      </c>
      <c r="H863" t="e" cm="1">
        <f t="array" aca="1" ref="H863" ca="1">IF(OR(A863="",B863="safety"),"",IF(ISBLANK(INDIRECT("template!"&amp;"E"&amp;A863)),"",INDIRECT("template!"&amp;"E"&amp;A863)))</f>
        <v>#REF!</v>
      </c>
      <c r="I863" t="e" cm="1">
        <f t="array" aca="1" ref="I863" ca="1">IF(OR(A863="",B863="safety"),"",IF(ISBLANK(INDIRECT("template!"&amp;"F"&amp;A863)),"",INDIRECT("template!"&amp;"F"&amp;A863)))</f>
        <v>#REF!</v>
      </c>
      <c r="J863" t="e" cm="1">
        <f t="array" aca="1" ref="J863" ca="1">IF(OR(A863="",B863="safety"),"",IF(ISBLANK(INDIRECT("template!"&amp;"G"&amp;A863)),"",INDIRECT("template!"&amp;"G"&amp;A863)))</f>
        <v>#REF!</v>
      </c>
      <c r="K863" t="e" cm="1">
        <f t="array" aca="1" ref="K863" ca="1">IF(OR(A863="",B863="safety"),"",IF(ISBLANK(INDIRECT("template!"&amp;"H"&amp;A863)),"",INDIRECT("template!"&amp;"H"&amp;A863)))</f>
        <v>#REF!</v>
      </c>
      <c r="L863" t="e" cm="1">
        <f t="array" aca="1" ref="L863" ca="1">IF(OR(A863="",B863="safety"),"",INDIRECT("template!"&amp;"I"&amp;A863))</f>
        <v>#REF!</v>
      </c>
      <c r="M863" t="e" cm="1">
        <f t="array" aca="1" ref="M863" ca="1">IF(OR(A863="",B863="safety"),"",INDIRECT("template!"&amp;"J"&amp;A863))</f>
        <v>#REF!</v>
      </c>
      <c r="N863" t="e" cm="1">
        <f t="array" aca="1" ref="N863" ca="1">IF(OR(A863="",B863="safety"),"",IF(ISBLANK(INDIRECT("template!"&amp;"K"&amp;A863)),"",INDIRECT("template!"&amp;"K"&amp;A863)))</f>
        <v>#REF!</v>
      </c>
      <c r="O863" t="e" cm="1">
        <f t="array" aca="1" ref="O863" ca="1">IF(OR(A863="",B863="safety"),"",INDIRECT("template!"&amp;"L"&amp;A863))</f>
        <v>#REF!</v>
      </c>
      <c r="P863" t="e" cm="1">
        <f t="array" aca="1" ref="P863" ca="1">IF(OR(A863="",B863="safety"),"",INDIRECT("template!"&amp;"M"&amp;A863))</f>
        <v>#REF!</v>
      </c>
      <c r="Q863" t="e">
        <f t="shared" ca="1" si="76"/>
        <v>#REF!</v>
      </c>
      <c r="R863" t="e">
        <f t="shared" ca="1" si="77"/>
        <v>#REF!</v>
      </c>
      <c r="S863" t="e">
        <f t="shared" ca="1" si="78"/>
        <v>#REF!</v>
      </c>
      <c r="T863" t="e">
        <f t="shared" ca="1" si="79"/>
        <v>#REF!</v>
      </c>
      <c r="U863" t="e" cm="1">
        <f t="array" aca="1" ref="U863" ca="1">IF(A863="","",IF(E863="","",IF(B863="safety",INDIRECT("template!"&amp;"P"&amp;A863),Q863+R863)))</f>
        <v>#REF!</v>
      </c>
      <c r="V863" t="e" cm="1">
        <f t="array" aca="1" ref="V863" ca="1">IF(A863="","",IF(E863="","",IF(B863="safety",INDIRECT("template!"&amp;"P"&amp;A863),S863+T863)))</f>
        <v>#REF!</v>
      </c>
      <c r="W863" t="e">
        <f ca="1">IF(A863="","",IF(E863="","",#REF!))</f>
        <v>#REF!</v>
      </c>
      <c r="X863" t="e">
        <f ca="1">IF(A863="","",IF(E863="","",#REF!))</f>
        <v>#REF!</v>
      </c>
      <c r="Y863" s="39" t="e">
        <f ca="1">IF(A863="","",IF(E863="","",#REF!))</f>
        <v>#REF!</v>
      </c>
      <c r="Z863" t="e">
        <f ca="1">IF(A863="","",IF(E863="","",#REF!))</f>
        <v>#REF!</v>
      </c>
      <c r="AA863" t="e">
        <f ca="1">IF(A863="","",IF(E863="","",#REF!))</f>
        <v>#REF!</v>
      </c>
      <c r="AB863" t="e">
        <f ca="1">IF(A863="","",IF(E863="","",#REF!))</f>
        <v>#REF!</v>
      </c>
      <c r="AC863" t="e">
        <f t="shared" ca="1" si="80"/>
        <v>#REF!</v>
      </c>
    </row>
    <row r="864" spans="1:29" x14ac:dyDescent="0.35">
      <c r="A864" t="e" cm="1">
        <f t="array" aca="1" ref="A864" ca="1">IF(A863="","",IF(OR(AND(A863+1&gt;=$AF$1,A863+1&lt;=$AF$2),AND(A863+1&gt;=$AF$6,A863+1&lt;=$AF$7),AND(A863+1&gt;=$AF$3,A863+1&lt;=$AF$4),AND(A863+1&gt;=$AF$8,A863+1&lt;=$AF$9),A863+1=$AF$5),IF(NOT(ISBLANK(INDIRECT("template!"&amp;"P"&amp;A863+1))),A863+1,IF(NOT(ISBLANK(INDIRECT("template!"&amp;"P"&amp;A863+2))),A863+2,A863+3)),IF(A863=$AF$2,$AF$3,IF(A863=$AF$4,$AF$5,IF(A863=$AF$5,$AF$6,IF(A863=$AF$7,$AF$8,""))))))</f>
        <v>#REF!</v>
      </c>
      <c r="B864" t="e">
        <f t="shared" ca="1" si="75"/>
        <v>#REF!</v>
      </c>
      <c r="C864" t="e" cm="1">
        <f t="array" aca="1" ref="C864" ca="1">IF(A864="","",IF(B864="safety","safety costs",INDIRECT("template!"&amp;"B"&amp;A864)))</f>
        <v>#REF!</v>
      </c>
      <c r="D864" t="e" cm="1">
        <f t="array" aca="1" ref="D864" ca="1">IF(OR(A864="",B864="safety"),"",INDIRECT("template!"&amp;"C"&amp;A864))</f>
        <v>#REF!</v>
      </c>
      <c r="E864" t="e" cm="1">
        <f t="array" aca="1" ref="E864" ca="1">IF(A864="","",IF(OR(A864=A863+1,A864=A863+2),E863,INDIRECT("template!"&amp;"D"&amp;A864-2)))</f>
        <v>#REF!</v>
      </c>
      <c r="F864" t="e" cm="1">
        <f t="array" aca="1" ref="F864" ca="1">IF(OR(A864="",B864="safety"),"",IF(ISBLANK(IF(A864=A863+1,F863,INDIRECT("template!"&amp;"D"&amp;A864-1))),"",IF(A864=A863+1,F863,INDIRECT("template!"&amp;"D"&amp;A864-1))))</f>
        <v>#REF!</v>
      </c>
      <c r="G864" t="e" cm="1">
        <f t="array" aca="1" ref="G864" ca="1">IF(OR(A864="",B864="safety"),"",IF(ISBLANK(INDIRECT("template!"&amp;"D"&amp;A864)),"",INDIRECT("template!"&amp;"D"&amp;A864)))</f>
        <v>#REF!</v>
      </c>
      <c r="H864" t="e" cm="1">
        <f t="array" aca="1" ref="H864" ca="1">IF(OR(A864="",B864="safety"),"",IF(ISBLANK(INDIRECT("template!"&amp;"E"&amp;A864)),"",INDIRECT("template!"&amp;"E"&amp;A864)))</f>
        <v>#REF!</v>
      </c>
      <c r="I864" t="e" cm="1">
        <f t="array" aca="1" ref="I864" ca="1">IF(OR(A864="",B864="safety"),"",IF(ISBLANK(INDIRECT("template!"&amp;"F"&amp;A864)),"",INDIRECT("template!"&amp;"F"&amp;A864)))</f>
        <v>#REF!</v>
      </c>
      <c r="J864" t="e" cm="1">
        <f t="array" aca="1" ref="J864" ca="1">IF(OR(A864="",B864="safety"),"",IF(ISBLANK(INDIRECT("template!"&amp;"G"&amp;A864)),"",INDIRECT("template!"&amp;"G"&amp;A864)))</f>
        <v>#REF!</v>
      </c>
      <c r="K864" t="e" cm="1">
        <f t="array" aca="1" ref="K864" ca="1">IF(OR(A864="",B864="safety"),"",IF(ISBLANK(INDIRECT("template!"&amp;"H"&amp;A864)),"",INDIRECT("template!"&amp;"H"&amp;A864)))</f>
        <v>#REF!</v>
      </c>
      <c r="L864" t="e" cm="1">
        <f t="array" aca="1" ref="L864" ca="1">IF(OR(A864="",B864="safety"),"",INDIRECT("template!"&amp;"I"&amp;A864))</f>
        <v>#REF!</v>
      </c>
      <c r="M864" t="e" cm="1">
        <f t="array" aca="1" ref="M864" ca="1">IF(OR(A864="",B864="safety"),"",INDIRECT("template!"&amp;"J"&amp;A864))</f>
        <v>#REF!</v>
      </c>
      <c r="N864" t="e" cm="1">
        <f t="array" aca="1" ref="N864" ca="1">IF(OR(A864="",B864="safety"),"",IF(ISBLANK(INDIRECT("template!"&amp;"K"&amp;A864)),"",INDIRECT("template!"&amp;"K"&amp;A864)))</f>
        <v>#REF!</v>
      </c>
      <c r="O864" t="e" cm="1">
        <f t="array" aca="1" ref="O864" ca="1">IF(OR(A864="",B864="safety"),"",INDIRECT("template!"&amp;"L"&amp;A864))</f>
        <v>#REF!</v>
      </c>
      <c r="P864" t="e" cm="1">
        <f t="array" aca="1" ref="P864" ca="1">IF(OR(A864="",B864="safety"),"",INDIRECT("template!"&amp;"M"&amp;A864))</f>
        <v>#REF!</v>
      </c>
      <c r="Q864" t="e">
        <f t="shared" ca="1" si="76"/>
        <v>#REF!</v>
      </c>
      <c r="R864" t="e">
        <f t="shared" ca="1" si="77"/>
        <v>#REF!</v>
      </c>
      <c r="S864" t="e">
        <f t="shared" ca="1" si="78"/>
        <v>#REF!</v>
      </c>
      <c r="T864" t="e">
        <f t="shared" ca="1" si="79"/>
        <v>#REF!</v>
      </c>
      <c r="U864" t="e" cm="1">
        <f t="array" aca="1" ref="U864" ca="1">IF(A864="","",IF(E864="","",IF(B864="safety",INDIRECT("template!"&amp;"P"&amp;A864),Q864+R864)))</f>
        <v>#REF!</v>
      </c>
      <c r="V864" t="e" cm="1">
        <f t="array" aca="1" ref="V864" ca="1">IF(A864="","",IF(E864="","",IF(B864="safety",INDIRECT("template!"&amp;"P"&amp;A864),S864+T864)))</f>
        <v>#REF!</v>
      </c>
      <c r="W864" t="e">
        <f ca="1">IF(A864="","",IF(E864="","",#REF!))</f>
        <v>#REF!</v>
      </c>
      <c r="X864" t="e">
        <f ca="1">IF(A864="","",IF(E864="","",#REF!))</f>
        <v>#REF!</v>
      </c>
      <c r="Y864" s="39" t="e">
        <f ca="1">IF(A864="","",IF(E864="","",#REF!))</f>
        <v>#REF!</v>
      </c>
      <c r="Z864" t="e">
        <f ca="1">IF(A864="","",IF(E864="","",#REF!))</f>
        <v>#REF!</v>
      </c>
      <c r="AA864" t="e">
        <f ca="1">IF(A864="","",IF(E864="","",#REF!))</f>
        <v>#REF!</v>
      </c>
      <c r="AB864" t="e">
        <f ca="1">IF(A864="","",IF(E864="","",#REF!))</f>
        <v>#REF!</v>
      </c>
      <c r="AC864" t="e">
        <f t="shared" ca="1" si="80"/>
        <v>#REF!</v>
      </c>
    </row>
    <row r="865" spans="1:29" x14ac:dyDescent="0.35">
      <c r="A865" t="e" cm="1">
        <f t="array" aca="1" ref="A865" ca="1">IF(A864="","",IF(OR(AND(A864+1&gt;=$AF$1,A864+1&lt;=$AF$2),AND(A864+1&gt;=$AF$6,A864+1&lt;=$AF$7),AND(A864+1&gt;=$AF$3,A864+1&lt;=$AF$4),AND(A864+1&gt;=$AF$8,A864+1&lt;=$AF$9),A864+1=$AF$5),IF(NOT(ISBLANK(INDIRECT("template!"&amp;"P"&amp;A864+1))),A864+1,IF(NOT(ISBLANK(INDIRECT("template!"&amp;"P"&amp;A864+2))),A864+2,A864+3)),IF(A864=$AF$2,$AF$3,IF(A864=$AF$4,$AF$5,IF(A864=$AF$5,$AF$6,IF(A864=$AF$7,$AF$8,""))))))</f>
        <v>#REF!</v>
      </c>
      <c r="B865" t="e">
        <f t="shared" ca="1" si="75"/>
        <v>#REF!</v>
      </c>
      <c r="C865" t="e" cm="1">
        <f t="array" aca="1" ref="C865" ca="1">IF(A865="","",IF(B865="safety","safety costs",INDIRECT("template!"&amp;"B"&amp;A865)))</f>
        <v>#REF!</v>
      </c>
      <c r="D865" t="e" cm="1">
        <f t="array" aca="1" ref="D865" ca="1">IF(OR(A865="",B865="safety"),"",INDIRECT("template!"&amp;"C"&amp;A865))</f>
        <v>#REF!</v>
      </c>
      <c r="E865" t="e" cm="1">
        <f t="array" aca="1" ref="E865" ca="1">IF(A865="","",IF(OR(A865=A864+1,A865=A864+2),E864,INDIRECT("template!"&amp;"D"&amp;A865-2)))</f>
        <v>#REF!</v>
      </c>
      <c r="F865" t="e" cm="1">
        <f t="array" aca="1" ref="F865" ca="1">IF(OR(A865="",B865="safety"),"",IF(ISBLANK(IF(A865=A864+1,F864,INDIRECT("template!"&amp;"D"&amp;A865-1))),"",IF(A865=A864+1,F864,INDIRECT("template!"&amp;"D"&amp;A865-1))))</f>
        <v>#REF!</v>
      </c>
      <c r="G865" t="e" cm="1">
        <f t="array" aca="1" ref="G865" ca="1">IF(OR(A865="",B865="safety"),"",IF(ISBLANK(INDIRECT("template!"&amp;"D"&amp;A865)),"",INDIRECT("template!"&amp;"D"&amp;A865)))</f>
        <v>#REF!</v>
      </c>
      <c r="H865" t="e" cm="1">
        <f t="array" aca="1" ref="H865" ca="1">IF(OR(A865="",B865="safety"),"",IF(ISBLANK(INDIRECT("template!"&amp;"E"&amp;A865)),"",INDIRECT("template!"&amp;"E"&amp;A865)))</f>
        <v>#REF!</v>
      </c>
      <c r="I865" t="e" cm="1">
        <f t="array" aca="1" ref="I865" ca="1">IF(OR(A865="",B865="safety"),"",IF(ISBLANK(INDIRECT("template!"&amp;"F"&amp;A865)),"",INDIRECT("template!"&amp;"F"&amp;A865)))</f>
        <v>#REF!</v>
      </c>
      <c r="J865" t="e" cm="1">
        <f t="array" aca="1" ref="J865" ca="1">IF(OR(A865="",B865="safety"),"",IF(ISBLANK(INDIRECT("template!"&amp;"G"&amp;A865)),"",INDIRECT("template!"&amp;"G"&amp;A865)))</f>
        <v>#REF!</v>
      </c>
      <c r="K865" t="e" cm="1">
        <f t="array" aca="1" ref="K865" ca="1">IF(OR(A865="",B865="safety"),"",IF(ISBLANK(INDIRECT("template!"&amp;"H"&amp;A865)),"",INDIRECT("template!"&amp;"H"&amp;A865)))</f>
        <v>#REF!</v>
      </c>
      <c r="L865" t="e" cm="1">
        <f t="array" aca="1" ref="L865" ca="1">IF(OR(A865="",B865="safety"),"",INDIRECT("template!"&amp;"I"&amp;A865))</f>
        <v>#REF!</v>
      </c>
      <c r="M865" t="e" cm="1">
        <f t="array" aca="1" ref="M865" ca="1">IF(OR(A865="",B865="safety"),"",INDIRECT("template!"&amp;"J"&amp;A865))</f>
        <v>#REF!</v>
      </c>
      <c r="N865" t="e" cm="1">
        <f t="array" aca="1" ref="N865" ca="1">IF(OR(A865="",B865="safety"),"",IF(ISBLANK(INDIRECT("template!"&amp;"K"&amp;A865)),"",INDIRECT("template!"&amp;"K"&amp;A865)))</f>
        <v>#REF!</v>
      </c>
      <c r="O865" t="e" cm="1">
        <f t="array" aca="1" ref="O865" ca="1">IF(OR(A865="",B865="safety"),"",INDIRECT("template!"&amp;"L"&amp;A865))</f>
        <v>#REF!</v>
      </c>
      <c r="P865" t="e" cm="1">
        <f t="array" aca="1" ref="P865" ca="1">IF(OR(A865="",B865="safety"),"",INDIRECT("template!"&amp;"M"&amp;A865))</f>
        <v>#REF!</v>
      </c>
      <c r="Q865" t="e">
        <f t="shared" ca="1" si="76"/>
        <v>#REF!</v>
      </c>
      <c r="R865" t="e">
        <f t="shared" ca="1" si="77"/>
        <v>#REF!</v>
      </c>
      <c r="S865" t="e">
        <f t="shared" ca="1" si="78"/>
        <v>#REF!</v>
      </c>
      <c r="T865" t="e">
        <f t="shared" ca="1" si="79"/>
        <v>#REF!</v>
      </c>
      <c r="U865" t="e" cm="1">
        <f t="array" aca="1" ref="U865" ca="1">IF(A865="","",IF(E865="","",IF(B865="safety",INDIRECT("template!"&amp;"P"&amp;A865),Q865+R865)))</f>
        <v>#REF!</v>
      </c>
      <c r="V865" t="e" cm="1">
        <f t="array" aca="1" ref="V865" ca="1">IF(A865="","",IF(E865="","",IF(B865="safety",INDIRECT("template!"&amp;"P"&amp;A865),S865+T865)))</f>
        <v>#REF!</v>
      </c>
      <c r="W865" t="e">
        <f ca="1">IF(A865="","",IF(E865="","",#REF!))</f>
        <v>#REF!</v>
      </c>
      <c r="X865" t="e">
        <f ca="1">IF(A865="","",IF(E865="","",#REF!))</f>
        <v>#REF!</v>
      </c>
      <c r="Y865" s="39" t="e">
        <f ca="1">IF(A865="","",IF(E865="","",#REF!))</f>
        <v>#REF!</v>
      </c>
      <c r="Z865" t="e">
        <f ca="1">IF(A865="","",IF(E865="","",#REF!))</f>
        <v>#REF!</v>
      </c>
      <c r="AA865" t="e">
        <f ca="1">IF(A865="","",IF(E865="","",#REF!))</f>
        <v>#REF!</v>
      </c>
      <c r="AB865" t="e">
        <f ca="1">IF(A865="","",IF(E865="","",#REF!))</f>
        <v>#REF!</v>
      </c>
      <c r="AC865" t="e">
        <f t="shared" ca="1" si="80"/>
        <v>#REF!</v>
      </c>
    </row>
    <row r="866" spans="1:29" x14ac:dyDescent="0.35">
      <c r="A866" t="e" cm="1">
        <f t="array" aca="1" ref="A866" ca="1">IF(A865="","",IF(OR(AND(A865+1&gt;=$AF$1,A865+1&lt;=$AF$2),AND(A865+1&gt;=$AF$6,A865+1&lt;=$AF$7),AND(A865+1&gt;=$AF$3,A865+1&lt;=$AF$4),AND(A865+1&gt;=$AF$8,A865+1&lt;=$AF$9),A865+1=$AF$5),IF(NOT(ISBLANK(INDIRECT("template!"&amp;"P"&amp;A865+1))),A865+1,IF(NOT(ISBLANK(INDIRECT("template!"&amp;"P"&amp;A865+2))),A865+2,A865+3)),IF(A865=$AF$2,$AF$3,IF(A865=$AF$4,$AF$5,IF(A865=$AF$5,$AF$6,IF(A865=$AF$7,$AF$8,""))))))</f>
        <v>#REF!</v>
      </c>
      <c r="B866" t="e">
        <f t="shared" ca="1" si="75"/>
        <v>#REF!</v>
      </c>
      <c r="C866" t="e" cm="1">
        <f t="array" aca="1" ref="C866" ca="1">IF(A866="","",IF(B866="safety","safety costs",INDIRECT("template!"&amp;"B"&amp;A866)))</f>
        <v>#REF!</v>
      </c>
      <c r="D866" t="e" cm="1">
        <f t="array" aca="1" ref="D866" ca="1">IF(OR(A866="",B866="safety"),"",INDIRECT("template!"&amp;"C"&amp;A866))</f>
        <v>#REF!</v>
      </c>
      <c r="E866" t="e" cm="1">
        <f t="array" aca="1" ref="E866" ca="1">IF(A866="","",IF(OR(A866=A865+1,A866=A865+2),E865,INDIRECT("template!"&amp;"D"&amp;A866-2)))</f>
        <v>#REF!</v>
      </c>
      <c r="F866" t="e" cm="1">
        <f t="array" aca="1" ref="F866" ca="1">IF(OR(A866="",B866="safety"),"",IF(ISBLANK(IF(A866=A865+1,F865,INDIRECT("template!"&amp;"D"&amp;A866-1))),"",IF(A866=A865+1,F865,INDIRECT("template!"&amp;"D"&amp;A866-1))))</f>
        <v>#REF!</v>
      </c>
      <c r="G866" t="e" cm="1">
        <f t="array" aca="1" ref="G866" ca="1">IF(OR(A866="",B866="safety"),"",IF(ISBLANK(INDIRECT("template!"&amp;"D"&amp;A866)),"",INDIRECT("template!"&amp;"D"&amp;A866)))</f>
        <v>#REF!</v>
      </c>
      <c r="H866" t="e" cm="1">
        <f t="array" aca="1" ref="H866" ca="1">IF(OR(A866="",B866="safety"),"",IF(ISBLANK(INDIRECT("template!"&amp;"E"&amp;A866)),"",INDIRECT("template!"&amp;"E"&amp;A866)))</f>
        <v>#REF!</v>
      </c>
      <c r="I866" t="e" cm="1">
        <f t="array" aca="1" ref="I866" ca="1">IF(OR(A866="",B866="safety"),"",IF(ISBLANK(INDIRECT("template!"&amp;"F"&amp;A866)),"",INDIRECT("template!"&amp;"F"&amp;A866)))</f>
        <v>#REF!</v>
      </c>
      <c r="J866" t="e" cm="1">
        <f t="array" aca="1" ref="J866" ca="1">IF(OR(A866="",B866="safety"),"",IF(ISBLANK(INDIRECT("template!"&amp;"G"&amp;A866)),"",INDIRECT("template!"&amp;"G"&amp;A866)))</f>
        <v>#REF!</v>
      </c>
      <c r="K866" t="e" cm="1">
        <f t="array" aca="1" ref="K866" ca="1">IF(OR(A866="",B866="safety"),"",IF(ISBLANK(INDIRECT("template!"&amp;"H"&amp;A866)),"",INDIRECT("template!"&amp;"H"&amp;A866)))</f>
        <v>#REF!</v>
      </c>
      <c r="L866" t="e" cm="1">
        <f t="array" aca="1" ref="L866" ca="1">IF(OR(A866="",B866="safety"),"",INDIRECT("template!"&amp;"I"&amp;A866))</f>
        <v>#REF!</v>
      </c>
      <c r="M866" t="e" cm="1">
        <f t="array" aca="1" ref="M866" ca="1">IF(OR(A866="",B866="safety"),"",INDIRECT("template!"&amp;"J"&amp;A866))</f>
        <v>#REF!</v>
      </c>
      <c r="N866" t="e" cm="1">
        <f t="array" aca="1" ref="N866" ca="1">IF(OR(A866="",B866="safety"),"",IF(ISBLANK(INDIRECT("template!"&amp;"K"&amp;A866)),"",INDIRECT("template!"&amp;"K"&amp;A866)))</f>
        <v>#REF!</v>
      </c>
      <c r="O866" t="e" cm="1">
        <f t="array" aca="1" ref="O866" ca="1">IF(OR(A866="",B866="safety"),"",INDIRECT("template!"&amp;"L"&amp;A866))</f>
        <v>#REF!</v>
      </c>
      <c r="P866" t="e" cm="1">
        <f t="array" aca="1" ref="P866" ca="1">IF(OR(A866="",B866="safety"),"",INDIRECT("template!"&amp;"M"&amp;A866))</f>
        <v>#REF!</v>
      </c>
      <c r="Q866" t="e">
        <f t="shared" ca="1" si="76"/>
        <v>#REF!</v>
      </c>
      <c r="R866" t="e">
        <f t="shared" ca="1" si="77"/>
        <v>#REF!</v>
      </c>
      <c r="S866" t="e">
        <f t="shared" ca="1" si="78"/>
        <v>#REF!</v>
      </c>
      <c r="T866" t="e">
        <f t="shared" ca="1" si="79"/>
        <v>#REF!</v>
      </c>
      <c r="U866" t="e" cm="1">
        <f t="array" aca="1" ref="U866" ca="1">IF(A866="","",IF(E866="","",IF(B866="safety",INDIRECT("template!"&amp;"P"&amp;A866),Q866+R866)))</f>
        <v>#REF!</v>
      </c>
      <c r="V866" t="e" cm="1">
        <f t="array" aca="1" ref="V866" ca="1">IF(A866="","",IF(E866="","",IF(B866="safety",INDIRECT("template!"&amp;"P"&amp;A866),S866+T866)))</f>
        <v>#REF!</v>
      </c>
      <c r="W866" t="e">
        <f ca="1">IF(A866="","",IF(E866="","",#REF!))</f>
        <v>#REF!</v>
      </c>
      <c r="X866" t="e">
        <f ca="1">IF(A866="","",IF(E866="","",#REF!))</f>
        <v>#REF!</v>
      </c>
      <c r="Y866" s="39" t="e">
        <f ca="1">IF(A866="","",IF(E866="","",#REF!))</f>
        <v>#REF!</v>
      </c>
      <c r="Z866" t="e">
        <f ca="1">IF(A866="","",IF(E866="","",#REF!))</f>
        <v>#REF!</v>
      </c>
      <c r="AA866" t="e">
        <f ca="1">IF(A866="","",IF(E866="","",#REF!))</f>
        <v>#REF!</v>
      </c>
      <c r="AB866" t="e">
        <f ca="1">IF(A866="","",IF(E866="","",#REF!))</f>
        <v>#REF!</v>
      </c>
      <c r="AC866" t="e">
        <f t="shared" ca="1" si="80"/>
        <v>#REF!</v>
      </c>
    </row>
    <row r="867" spans="1:29" x14ac:dyDescent="0.35">
      <c r="A867" t="e" cm="1">
        <f t="array" aca="1" ref="A867" ca="1">IF(A866="","",IF(OR(AND(A866+1&gt;=$AF$1,A866+1&lt;=$AF$2),AND(A866+1&gt;=$AF$6,A866+1&lt;=$AF$7),AND(A866+1&gt;=$AF$3,A866+1&lt;=$AF$4),AND(A866+1&gt;=$AF$8,A866+1&lt;=$AF$9),A866+1=$AF$5),IF(NOT(ISBLANK(INDIRECT("template!"&amp;"P"&amp;A866+1))),A866+1,IF(NOT(ISBLANK(INDIRECT("template!"&amp;"P"&amp;A866+2))),A866+2,A866+3)),IF(A866=$AF$2,$AF$3,IF(A866=$AF$4,$AF$5,IF(A866=$AF$5,$AF$6,IF(A866=$AF$7,$AF$8,""))))))</f>
        <v>#REF!</v>
      </c>
      <c r="B867" t="e">
        <f t="shared" ca="1" si="75"/>
        <v>#REF!</v>
      </c>
      <c r="C867" t="e" cm="1">
        <f t="array" aca="1" ref="C867" ca="1">IF(A867="","",IF(B867="safety","safety costs",INDIRECT("template!"&amp;"B"&amp;A867)))</f>
        <v>#REF!</v>
      </c>
      <c r="D867" t="e" cm="1">
        <f t="array" aca="1" ref="D867" ca="1">IF(OR(A867="",B867="safety"),"",INDIRECT("template!"&amp;"C"&amp;A867))</f>
        <v>#REF!</v>
      </c>
      <c r="E867" t="e" cm="1">
        <f t="array" aca="1" ref="E867" ca="1">IF(A867="","",IF(OR(A867=A866+1,A867=A866+2),E866,INDIRECT("template!"&amp;"D"&amp;A867-2)))</f>
        <v>#REF!</v>
      </c>
      <c r="F867" t="e" cm="1">
        <f t="array" aca="1" ref="F867" ca="1">IF(OR(A867="",B867="safety"),"",IF(ISBLANK(IF(A867=A866+1,F866,INDIRECT("template!"&amp;"D"&amp;A867-1))),"",IF(A867=A866+1,F866,INDIRECT("template!"&amp;"D"&amp;A867-1))))</f>
        <v>#REF!</v>
      </c>
      <c r="G867" t="e" cm="1">
        <f t="array" aca="1" ref="G867" ca="1">IF(OR(A867="",B867="safety"),"",IF(ISBLANK(INDIRECT("template!"&amp;"D"&amp;A867)),"",INDIRECT("template!"&amp;"D"&amp;A867)))</f>
        <v>#REF!</v>
      </c>
      <c r="H867" t="e" cm="1">
        <f t="array" aca="1" ref="H867" ca="1">IF(OR(A867="",B867="safety"),"",IF(ISBLANK(INDIRECT("template!"&amp;"E"&amp;A867)),"",INDIRECT("template!"&amp;"E"&amp;A867)))</f>
        <v>#REF!</v>
      </c>
      <c r="I867" t="e" cm="1">
        <f t="array" aca="1" ref="I867" ca="1">IF(OR(A867="",B867="safety"),"",IF(ISBLANK(INDIRECT("template!"&amp;"F"&amp;A867)),"",INDIRECT("template!"&amp;"F"&amp;A867)))</f>
        <v>#REF!</v>
      </c>
      <c r="J867" t="e" cm="1">
        <f t="array" aca="1" ref="J867" ca="1">IF(OR(A867="",B867="safety"),"",IF(ISBLANK(INDIRECT("template!"&amp;"G"&amp;A867)),"",INDIRECT("template!"&amp;"G"&amp;A867)))</f>
        <v>#REF!</v>
      </c>
      <c r="K867" t="e" cm="1">
        <f t="array" aca="1" ref="K867" ca="1">IF(OR(A867="",B867="safety"),"",IF(ISBLANK(INDIRECT("template!"&amp;"H"&amp;A867)),"",INDIRECT("template!"&amp;"H"&amp;A867)))</f>
        <v>#REF!</v>
      </c>
      <c r="L867" t="e" cm="1">
        <f t="array" aca="1" ref="L867" ca="1">IF(OR(A867="",B867="safety"),"",INDIRECT("template!"&amp;"I"&amp;A867))</f>
        <v>#REF!</v>
      </c>
      <c r="M867" t="e" cm="1">
        <f t="array" aca="1" ref="M867" ca="1">IF(OR(A867="",B867="safety"),"",INDIRECT("template!"&amp;"J"&amp;A867))</f>
        <v>#REF!</v>
      </c>
      <c r="N867" t="e" cm="1">
        <f t="array" aca="1" ref="N867" ca="1">IF(OR(A867="",B867="safety"),"",IF(ISBLANK(INDIRECT("template!"&amp;"K"&amp;A867)),"",INDIRECT("template!"&amp;"K"&amp;A867)))</f>
        <v>#REF!</v>
      </c>
      <c r="O867" t="e" cm="1">
        <f t="array" aca="1" ref="O867" ca="1">IF(OR(A867="",B867="safety"),"",INDIRECT("template!"&amp;"L"&amp;A867))</f>
        <v>#REF!</v>
      </c>
      <c r="P867" t="e" cm="1">
        <f t="array" aca="1" ref="P867" ca="1">IF(OR(A867="",B867="safety"),"",INDIRECT("template!"&amp;"M"&amp;A867))</f>
        <v>#REF!</v>
      </c>
      <c r="Q867" t="e">
        <f t="shared" ca="1" si="76"/>
        <v>#REF!</v>
      </c>
      <c r="R867" t="e">
        <f t="shared" ca="1" si="77"/>
        <v>#REF!</v>
      </c>
      <c r="S867" t="e">
        <f t="shared" ca="1" si="78"/>
        <v>#REF!</v>
      </c>
      <c r="T867" t="e">
        <f t="shared" ca="1" si="79"/>
        <v>#REF!</v>
      </c>
      <c r="U867" t="e" cm="1">
        <f t="array" aca="1" ref="U867" ca="1">IF(A867="","",IF(E867="","",IF(B867="safety",INDIRECT("template!"&amp;"P"&amp;A867),Q867+R867)))</f>
        <v>#REF!</v>
      </c>
      <c r="V867" t="e" cm="1">
        <f t="array" aca="1" ref="V867" ca="1">IF(A867="","",IF(E867="","",IF(B867="safety",INDIRECT("template!"&amp;"P"&amp;A867),S867+T867)))</f>
        <v>#REF!</v>
      </c>
      <c r="W867" t="e">
        <f ca="1">IF(A867="","",IF(E867="","",#REF!))</f>
        <v>#REF!</v>
      </c>
      <c r="X867" t="e">
        <f ca="1">IF(A867="","",IF(E867="","",#REF!))</f>
        <v>#REF!</v>
      </c>
      <c r="Y867" s="39" t="e">
        <f ca="1">IF(A867="","",IF(E867="","",#REF!))</f>
        <v>#REF!</v>
      </c>
      <c r="Z867" t="e">
        <f ca="1">IF(A867="","",IF(E867="","",#REF!))</f>
        <v>#REF!</v>
      </c>
      <c r="AA867" t="e">
        <f ca="1">IF(A867="","",IF(E867="","",#REF!))</f>
        <v>#REF!</v>
      </c>
      <c r="AB867" t="e">
        <f ca="1">IF(A867="","",IF(E867="","",#REF!))</f>
        <v>#REF!</v>
      </c>
      <c r="AC867" t="e">
        <f t="shared" ca="1" si="80"/>
        <v>#REF!</v>
      </c>
    </row>
    <row r="868" spans="1:29" x14ac:dyDescent="0.35">
      <c r="A868" t="e" cm="1">
        <f t="array" aca="1" ref="A868" ca="1">IF(A867="","",IF(OR(AND(A867+1&gt;=$AF$1,A867+1&lt;=$AF$2),AND(A867+1&gt;=$AF$6,A867+1&lt;=$AF$7),AND(A867+1&gt;=$AF$3,A867+1&lt;=$AF$4),AND(A867+1&gt;=$AF$8,A867+1&lt;=$AF$9),A867+1=$AF$5),IF(NOT(ISBLANK(INDIRECT("template!"&amp;"P"&amp;A867+1))),A867+1,IF(NOT(ISBLANK(INDIRECT("template!"&amp;"P"&amp;A867+2))),A867+2,A867+3)),IF(A867=$AF$2,$AF$3,IF(A867=$AF$4,$AF$5,IF(A867=$AF$5,$AF$6,IF(A867=$AF$7,$AF$8,""))))))</f>
        <v>#REF!</v>
      </c>
      <c r="B868" t="e">
        <f t="shared" ca="1" si="75"/>
        <v>#REF!</v>
      </c>
      <c r="C868" t="e" cm="1">
        <f t="array" aca="1" ref="C868" ca="1">IF(A868="","",IF(B868="safety","safety costs",INDIRECT("template!"&amp;"B"&amp;A868)))</f>
        <v>#REF!</v>
      </c>
      <c r="D868" t="e" cm="1">
        <f t="array" aca="1" ref="D868" ca="1">IF(OR(A868="",B868="safety"),"",INDIRECT("template!"&amp;"C"&amp;A868))</f>
        <v>#REF!</v>
      </c>
      <c r="E868" t="e" cm="1">
        <f t="array" aca="1" ref="E868" ca="1">IF(A868="","",IF(OR(A868=A867+1,A868=A867+2),E867,INDIRECT("template!"&amp;"D"&amp;A868-2)))</f>
        <v>#REF!</v>
      </c>
      <c r="F868" t="e" cm="1">
        <f t="array" aca="1" ref="F868" ca="1">IF(OR(A868="",B868="safety"),"",IF(ISBLANK(IF(A868=A867+1,F867,INDIRECT("template!"&amp;"D"&amp;A868-1))),"",IF(A868=A867+1,F867,INDIRECT("template!"&amp;"D"&amp;A868-1))))</f>
        <v>#REF!</v>
      </c>
      <c r="G868" t="e" cm="1">
        <f t="array" aca="1" ref="G868" ca="1">IF(OR(A868="",B868="safety"),"",IF(ISBLANK(INDIRECT("template!"&amp;"D"&amp;A868)),"",INDIRECT("template!"&amp;"D"&amp;A868)))</f>
        <v>#REF!</v>
      </c>
      <c r="H868" t="e" cm="1">
        <f t="array" aca="1" ref="H868" ca="1">IF(OR(A868="",B868="safety"),"",IF(ISBLANK(INDIRECT("template!"&amp;"E"&amp;A868)),"",INDIRECT("template!"&amp;"E"&amp;A868)))</f>
        <v>#REF!</v>
      </c>
      <c r="I868" t="e" cm="1">
        <f t="array" aca="1" ref="I868" ca="1">IF(OR(A868="",B868="safety"),"",IF(ISBLANK(INDIRECT("template!"&amp;"F"&amp;A868)),"",INDIRECT("template!"&amp;"F"&amp;A868)))</f>
        <v>#REF!</v>
      </c>
      <c r="J868" t="e" cm="1">
        <f t="array" aca="1" ref="J868" ca="1">IF(OR(A868="",B868="safety"),"",IF(ISBLANK(INDIRECT("template!"&amp;"G"&amp;A868)),"",INDIRECT("template!"&amp;"G"&amp;A868)))</f>
        <v>#REF!</v>
      </c>
      <c r="K868" t="e" cm="1">
        <f t="array" aca="1" ref="K868" ca="1">IF(OR(A868="",B868="safety"),"",IF(ISBLANK(INDIRECT("template!"&amp;"H"&amp;A868)),"",INDIRECT("template!"&amp;"H"&amp;A868)))</f>
        <v>#REF!</v>
      </c>
      <c r="L868" t="e" cm="1">
        <f t="array" aca="1" ref="L868" ca="1">IF(OR(A868="",B868="safety"),"",INDIRECT("template!"&amp;"I"&amp;A868))</f>
        <v>#REF!</v>
      </c>
      <c r="M868" t="e" cm="1">
        <f t="array" aca="1" ref="M868" ca="1">IF(OR(A868="",B868="safety"),"",INDIRECT("template!"&amp;"J"&amp;A868))</f>
        <v>#REF!</v>
      </c>
      <c r="N868" t="e" cm="1">
        <f t="array" aca="1" ref="N868" ca="1">IF(OR(A868="",B868="safety"),"",IF(ISBLANK(INDIRECT("template!"&amp;"K"&amp;A868)),"",INDIRECT("template!"&amp;"K"&amp;A868)))</f>
        <v>#REF!</v>
      </c>
      <c r="O868" t="e" cm="1">
        <f t="array" aca="1" ref="O868" ca="1">IF(OR(A868="",B868="safety"),"",INDIRECT("template!"&amp;"L"&amp;A868))</f>
        <v>#REF!</v>
      </c>
      <c r="P868" t="e" cm="1">
        <f t="array" aca="1" ref="P868" ca="1">IF(OR(A868="",B868="safety"),"",INDIRECT("template!"&amp;"M"&amp;A868))</f>
        <v>#REF!</v>
      </c>
      <c r="Q868" t="e">
        <f t="shared" ca="1" si="76"/>
        <v>#REF!</v>
      </c>
      <c r="R868" t="e">
        <f t="shared" ca="1" si="77"/>
        <v>#REF!</v>
      </c>
      <c r="S868" t="e">
        <f t="shared" ca="1" si="78"/>
        <v>#REF!</v>
      </c>
      <c r="T868" t="e">
        <f t="shared" ca="1" si="79"/>
        <v>#REF!</v>
      </c>
      <c r="U868" t="e" cm="1">
        <f t="array" aca="1" ref="U868" ca="1">IF(A868="","",IF(E868="","",IF(B868="safety",INDIRECT("template!"&amp;"P"&amp;A868),Q868+R868)))</f>
        <v>#REF!</v>
      </c>
      <c r="V868" t="e" cm="1">
        <f t="array" aca="1" ref="V868" ca="1">IF(A868="","",IF(E868="","",IF(B868="safety",INDIRECT("template!"&amp;"P"&amp;A868),S868+T868)))</f>
        <v>#REF!</v>
      </c>
      <c r="W868" t="e">
        <f ca="1">IF(A868="","",IF(E868="","",#REF!))</f>
        <v>#REF!</v>
      </c>
      <c r="X868" t="e">
        <f ca="1">IF(A868="","",IF(E868="","",#REF!))</f>
        <v>#REF!</v>
      </c>
      <c r="Y868" s="39" t="e">
        <f ca="1">IF(A868="","",IF(E868="","",#REF!))</f>
        <v>#REF!</v>
      </c>
      <c r="Z868" t="e">
        <f ca="1">IF(A868="","",IF(E868="","",#REF!))</f>
        <v>#REF!</v>
      </c>
      <c r="AA868" t="e">
        <f ca="1">IF(A868="","",IF(E868="","",#REF!))</f>
        <v>#REF!</v>
      </c>
      <c r="AB868" t="e">
        <f ca="1">IF(A868="","",IF(E868="","",#REF!))</f>
        <v>#REF!</v>
      </c>
      <c r="AC868" t="e">
        <f t="shared" ca="1" si="80"/>
        <v>#REF!</v>
      </c>
    </row>
    <row r="869" spans="1:29" x14ac:dyDescent="0.35">
      <c r="A869" t="e" cm="1">
        <f t="array" aca="1" ref="A869" ca="1">IF(A868="","",IF(OR(AND(A868+1&gt;=$AF$1,A868+1&lt;=$AF$2),AND(A868+1&gt;=$AF$6,A868+1&lt;=$AF$7),AND(A868+1&gt;=$AF$3,A868+1&lt;=$AF$4),AND(A868+1&gt;=$AF$8,A868+1&lt;=$AF$9),A868+1=$AF$5),IF(NOT(ISBLANK(INDIRECT("template!"&amp;"P"&amp;A868+1))),A868+1,IF(NOT(ISBLANK(INDIRECT("template!"&amp;"P"&amp;A868+2))),A868+2,A868+3)),IF(A868=$AF$2,$AF$3,IF(A868=$AF$4,$AF$5,IF(A868=$AF$5,$AF$6,IF(A868=$AF$7,$AF$8,""))))))</f>
        <v>#REF!</v>
      </c>
      <c r="B869" t="e">
        <f t="shared" ca="1" si="75"/>
        <v>#REF!</v>
      </c>
      <c r="C869" t="e" cm="1">
        <f t="array" aca="1" ref="C869" ca="1">IF(A869="","",IF(B869="safety","safety costs",INDIRECT("template!"&amp;"B"&amp;A869)))</f>
        <v>#REF!</v>
      </c>
      <c r="D869" t="e" cm="1">
        <f t="array" aca="1" ref="D869" ca="1">IF(OR(A869="",B869="safety"),"",INDIRECT("template!"&amp;"C"&amp;A869))</f>
        <v>#REF!</v>
      </c>
      <c r="E869" t="e" cm="1">
        <f t="array" aca="1" ref="E869" ca="1">IF(A869="","",IF(OR(A869=A868+1,A869=A868+2),E868,INDIRECT("template!"&amp;"D"&amp;A869-2)))</f>
        <v>#REF!</v>
      </c>
      <c r="F869" t="e" cm="1">
        <f t="array" aca="1" ref="F869" ca="1">IF(OR(A869="",B869="safety"),"",IF(ISBLANK(IF(A869=A868+1,F868,INDIRECT("template!"&amp;"D"&amp;A869-1))),"",IF(A869=A868+1,F868,INDIRECT("template!"&amp;"D"&amp;A869-1))))</f>
        <v>#REF!</v>
      </c>
      <c r="G869" t="e" cm="1">
        <f t="array" aca="1" ref="G869" ca="1">IF(OR(A869="",B869="safety"),"",IF(ISBLANK(INDIRECT("template!"&amp;"D"&amp;A869)),"",INDIRECT("template!"&amp;"D"&amp;A869)))</f>
        <v>#REF!</v>
      </c>
      <c r="H869" t="e" cm="1">
        <f t="array" aca="1" ref="H869" ca="1">IF(OR(A869="",B869="safety"),"",IF(ISBLANK(INDIRECT("template!"&amp;"E"&amp;A869)),"",INDIRECT("template!"&amp;"E"&amp;A869)))</f>
        <v>#REF!</v>
      </c>
      <c r="I869" t="e" cm="1">
        <f t="array" aca="1" ref="I869" ca="1">IF(OR(A869="",B869="safety"),"",IF(ISBLANK(INDIRECT("template!"&amp;"F"&amp;A869)),"",INDIRECT("template!"&amp;"F"&amp;A869)))</f>
        <v>#REF!</v>
      </c>
      <c r="J869" t="e" cm="1">
        <f t="array" aca="1" ref="J869" ca="1">IF(OR(A869="",B869="safety"),"",IF(ISBLANK(INDIRECT("template!"&amp;"G"&amp;A869)),"",INDIRECT("template!"&amp;"G"&amp;A869)))</f>
        <v>#REF!</v>
      </c>
      <c r="K869" t="e" cm="1">
        <f t="array" aca="1" ref="K869" ca="1">IF(OR(A869="",B869="safety"),"",IF(ISBLANK(INDIRECT("template!"&amp;"H"&amp;A869)),"",INDIRECT("template!"&amp;"H"&amp;A869)))</f>
        <v>#REF!</v>
      </c>
      <c r="L869" t="e" cm="1">
        <f t="array" aca="1" ref="L869" ca="1">IF(OR(A869="",B869="safety"),"",INDIRECT("template!"&amp;"I"&amp;A869))</f>
        <v>#REF!</v>
      </c>
      <c r="M869" t="e" cm="1">
        <f t="array" aca="1" ref="M869" ca="1">IF(OR(A869="",B869="safety"),"",INDIRECT("template!"&amp;"J"&amp;A869))</f>
        <v>#REF!</v>
      </c>
      <c r="N869" t="e" cm="1">
        <f t="array" aca="1" ref="N869" ca="1">IF(OR(A869="",B869="safety"),"",IF(ISBLANK(INDIRECT("template!"&amp;"K"&amp;A869)),"",INDIRECT("template!"&amp;"K"&amp;A869)))</f>
        <v>#REF!</v>
      </c>
      <c r="O869" t="e" cm="1">
        <f t="array" aca="1" ref="O869" ca="1">IF(OR(A869="",B869="safety"),"",INDIRECT("template!"&amp;"L"&amp;A869))</f>
        <v>#REF!</v>
      </c>
      <c r="P869" t="e" cm="1">
        <f t="array" aca="1" ref="P869" ca="1">IF(OR(A869="",B869="safety"),"",INDIRECT("template!"&amp;"M"&amp;A869))</f>
        <v>#REF!</v>
      </c>
      <c r="Q869" t="e">
        <f t="shared" ca="1" si="76"/>
        <v>#REF!</v>
      </c>
      <c r="R869" t="e">
        <f t="shared" ca="1" si="77"/>
        <v>#REF!</v>
      </c>
      <c r="S869" t="e">
        <f t="shared" ca="1" si="78"/>
        <v>#REF!</v>
      </c>
      <c r="T869" t="e">
        <f t="shared" ca="1" si="79"/>
        <v>#REF!</v>
      </c>
      <c r="U869" t="e" cm="1">
        <f t="array" aca="1" ref="U869" ca="1">IF(A869="","",IF(E869="","",IF(B869="safety",INDIRECT("template!"&amp;"P"&amp;A869),Q869+R869)))</f>
        <v>#REF!</v>
      </c>
      <c r="V869" t="e" cm="1">
        <f t="array" aca="1" ref="V869" ca="1">IF(A869="","",IF(E869="","",IF(B869="safety",INDIRECT("template!"&amp;"P"&amp;A869),S869+T869)))</f>
        <v>#REF!</v>
      </c>
      <c r="W869" t="e">
        <f ca="1">IF(A869="","",IF(E869="","",#REF!))</f>
        <v>#REF!</v>
      </c>
      <c r="X869" t="e">
        <f ca="1">IF(A869="","",IF(E869="","",#REF!))</f>
        <v>#REF!</v>
      </c>
      <c r="Y869" s="39" t="e">
        <f ca="1">IF(A869="","",IF(E869="","",#REF!))</f>
        <v>#REF!</v>
      </c>
      <c r="Z869" t="e">
        <f ca="1">IF(A869="","",IF(E869="","",#REF!))</f>
        <v>#REF!</v>
      </c>
      <c r="AA869" t="e">
        <f ca="1">IF(A869="","",IF(E869="","",#REF!))</f>
        <v>#REF!</v>
      </c>
      <c r="AB869" t="e">
        <f ca="1">IF(A869="","",IF(E869="","",#REF!))</f>
        <v>#REF!</v>
      </c>
      <c r="AC869" t="e">
        <f t="shared" ca="1" si="80"/>
        <v>#REF!</v>
      </c>
    </row>
    <row r="870" spans="1:29" x14ac:dyDescent="0.35">
      <c r="A870" t="e" cm="1">
        <f t="array" aca="1" ref="A870" ca="1">IF(A869="","",IF(OR(AND(A869+1&gt;=$AF$1,A869+1&lt;=$AF$2),AND(A869+1&gt;=$AF$6,A869+1&lt;=$AF$7),AND(A869+1&gt;=$AF$3,A869+1&lt;=$AF$4),AND(A869+1&gt;=$AF$8,A869+1&lt;=$AF$9),A869+1=$AF$5),IF(NOT(ISBLANK(INDIRECT("template!"&amp;"P"&amp;A869+1))),A869+1,IF(NOT(ISBLANK(INDIRECT("template!"&amp;"P"&amp;A869+2))),A869+2,A869+3)),IF(A869=$AF$2,$AF$3,IF(A869=$AF$4,$AF$5,IF(A869=$AF$5,$AF$6,IF(A869=$AF$7,$AF$8,""))))))</f>
        <v>#REF!</v>
      </c>
      <c r="B870" t="e">
        <f t="shared" ca="1" si="75"/>
        <v>#REF!</v>
      </c>
      <c r="C870" t="e" cm="1">
        <f t="array" aca="1" ref="C870" ca="1">IF(A870="","",IF(B870="safety","safety costs",INDIRECT("template!"&amp;"B"&amp;A870)))</f>
        <v>#REF!</v>
      </c>
      <c r="D870" t="e" cm="1">
        <f t="array" aca="1" ref="D870" ca="1">IF(OR(A870="",B870="safety"),"",INDIRECT("template!"&amp;"C"&amp;A870))</f>
        <v>#REF!</v>
      </c>
      <c r="E870" t="e" cm="1">
        <f t="array" aca="1" ref="E870" ca="1">IF(A870="","",IF(OR(A870=A869+1,A870=A869+2),E869,INDIRECT("template!"&amp;"D"&amp;A870-2)))</f>
        <v>#REF!</v>
      </c>
      <c r="F870" t="e" cm="1">
        <f t="array" aca="1" ref="F870" ca="1">IF(OR(A870="",B870="safety"),"",IF(ISBLANK(IF(A870=A869+1,F869,INDIRECT("template!"&amp;"D"&amp;A870-1))),"",IF(A870=A869+1,F869,INDIRECT("template!"&amp;"D"&amp;A870-1))))</f>
        <v>#REF!</v>
      </c>
      <c r="G870" t="e" cm="1">
        <f t="array" aca="1" ref="G870" ca="1">IF(OR(A870="",B870="safety"),"",IF(ISBLANK(INDIRECT("template!"&amp;"D"&amp;A870)),"",INDIRECT("template!"&amp;"D"&amp;A870)))</f>
        <v>#REF!</v>
      </c>
      <c r="H870" t="e" cm="1">
        <f t="array" aca="1" ref="H870" ca="1">IF(OR(A870="",B870="safety"),"",IF(ISBLANK(INDIRECT("template!"&amp;"E"&amp;A870)),"",INDIRECT("template!"&amp;"E"&amp;A870)))</f>
        <v>#REF!</v>
      </c>
      <c r="I870" t="e" cm="1">
        <f t="array" aca="1" ref="I870" ca="1">IF(OR(A870="",B870="safety"),"",IF(ISBLANK(INDIRECT("template!"&amp;"F"&amp;A870)),"",INDIRECT("template!"&amp;"F"&amp;A870)))</f>
        <v>#REF!</v>
      </c>
      <c r="J870" t="e" cm="1">
        <f t="array" aca="1" ref="J870" ca="1">IF(OR(A870="",B870="safety"),"",IF(ISBLANK(INDIRECT("template!"&amp;"G"&amp;A870)),"",INDIRECT("template!"&amp;"G"&amp;A870)))</f>
        <v>#REF!</v>
      </c>
      <c r="K870" t="e" cm="1">
        <f t="array" aca="1" ref="K870" ca="1">IF(OR(A870="",B870="safety"),"",IF(ISBLANK(INDIRECT("template!"&amp;"H"&amp;A870)),"",INDIRECT("template!"&amp;"H"&amp;A870)))</f>
        <v>#REF!</v>
      </c>
      <c r="L870" t="e" cm="1">
        <f t="array" aca="1" ref="L870" ca="1">IF(OR(A870="",B870="safety"),"",INDIRECT("template!"&amp;"I"&amp;A870))</f>
        <v>#REF!</v>
      </c>
      <c r="M870" t="e" cm="1">
        <f t="array" aca="1" ref="M870" ca="1">IF(OR(A870="",B870="safety"),"",INDIRECT("template!"&amp;"J"&amp;A870))</f>
        <v>#REF!</v>
      </c>
      <c r="N870" t="e" cm="1">
        <f t="array" aca="1" ref="N870" ca="1">IF(OR(A870="",B870="safety"),"",IF(ISBLANK(INDIRECT("template!"&amp;"K"&amp;A870)),"",INDIRECT("template!"&amp;"K"&amp;A870)))</f>
        <v>#REF!</v>
      </c>
      <c r="O870" t="e" cm="1">
        <f t="array" aca="1" ref="O870" ca="1">IF(OR(A870="",B870="safety"),"",INDIRECT("template!"&amp;"L"&amp;A870))</f>
        <v>#REF!</v>
      </c>
      <c r="P870" t="e" cm="1">
        <f t="array" aca="1" ref="P870" ca="1">IF(OR(A870="",B870="safety"),"",INDIRECT("template!"&amp;"M"&amp;A870))</f>
        <v>#REF!</v>
      </c>
      <c r="Q870" t="e">
        <f t="shared" ca="1" si="76"/>
        <v>#REF!</v>
      </c>
      <c r="R870" t="e">
        <f t="shared" ca="1" si="77"/>
        <v>#REF!</v>
      </c>
      <c r="S870" t="e">
        <f t="shared" ca="1" si="78"/>
        <v>#REF!</v>
      </c>
      <c r="T870" t="e">
        <f t="shared" ca="1" si="79"/>
        <v>#REF!</v>
      </c>
      <c r="U870" t="e" cm="1">
        <f t="array" aca="1" ref="U870" ca="1">IF(A870="","",IF(E870="","",IF(B870="safety",INDIRECT("template!"&amp;"P"&amp;A870),Q870+R870)))</f>
        <v>#REF!</v>
      </c>
      <c r="V870" t="e" cm="1">
        <f t="array" aca="1" ref="V870" ca="1">IF(A870="","",IF(E870="","",IF(B870="safety",INDIRECT("template!"&amp;"P"&amp;A870),S870+T870)))</f>
        <v>#REF!</v>
      </c>
      <c r="W870" t="e">
        <f ca="1">IF(A870="","",IF(E870="","",#REF!))</f>
        <v>#REF!</v>
      </c>
      <c r="X870" t="e">
        <f ca="1">IF(A870="","",IF(E870="","",#REF!))</f>
        <v>#REF!</v>
      </c>
      <c r="Y870" s="39" t="e">
        <f ca="1">IF(A870="","",IF(E870="","",#REF!))</f>
        <v>#REF!</v>
      </c>
      <c r="Z870" t="e">
        <f ca="1">IF(A870="","",IF(E870="","",#REF!))</f>
        <v>#REF!</v>
      </c>
      <c r="AA870" t="e">
        <f ca="1">IF(A870="","",IF(E870="","",#REF!))</f>
        <v>#REF!</v>
      </c>
      <c r="AB870" t="e">
        <f ca="1">IF(A870="","",IF(E870="","",#REF!))</f>
        <v>#REF!</v>
      </c>
      <c r="AC870" t="e">
        <f t="shared" ca="1" si="80"/>
        <v>#REF!</v>
      </c>
    </row>
    <row r="871" spans="1:29" x14ac:dyDescent="0.35">
      <c r="A871" t="e" cm="1">
        <f t="array" aca="1" ref="A871" ca="1">IF(A870="","",IF(OR(AND(A870+1&gt;=$AF$1,A870+1&lt;=$AF$2),AND(A870+1&gt;=$AF$6,A870+1&lt;=$AF$7),AND(A870+1&gt;=$AF$3,A870+1&lt;=$AF$4),AND(A870+1&gt;=$AF$8,A870+1&lt;=$AF$9),A870+1=$AF$5),IF(NOT(ISBLANK(INDIRECT("template!"&amp;"P"&amp;A870+1))),A870+1,IF(NOT(ISBLANK(INDIRECT("template!"&amp;"P"&amp;A870+2))),A870+2,A870+3)),IF(A870=$AF$2,$AF$3,IF(A870=$AF$4,$AF$5,IF(A870=$AF$5,$AF$6,IF(A870=$AF$7,$AF$8,""))))))</f>
        <v>#REF!</v>
      </c>
      <c r="B871" t="e">
        <f t="shared" ca="1" si="75"/>
        <v>#REF!</v>
      </c>
      <c r="C871" t="e" cm="1">
        <f t="array" aca="1" ref="C871" ca="1">IF(A871="","",IF(B871="safety","safety costs",INDIRECT("template!"&amp;"B"&amp;A871)))</f>
        <v>#REF!</v>
      </c>
      <c r="D871" t="e" cm="1">
        <f t="array" aca="1" ref="D871" ca="1">IF(OR(A871="",B871="safety"),"",INDIRECT("template!"&amp;"C"&amp;A871))</f>
        <v>#REF!</v>
      </c>
      <c r="E871" t="e" cm="1">
        <f t="array" aca="1" ref="E871" ca="1">IF(A871="","",IF(OR(A871=A870+1,A871=A870+2),E870,INDIRECT("template!"&amp;"D"&amp;A871-2)))</f>
        <v>#REF!</v>
      </c>
      <c r="F871" t="e" cm="1">
        <f t="array" aca="1" ref="F871" ca="1">IF(OR(A871="",B871="safety"),"",IF(ISBLANK(IF(A871=A870+1,F870,INDIRECT("template!"&amp;"D"&amp;A871-1))),"",IF(A871=A870+1,F870,INDIRECT("template!"&amp;"D"&amp;A871-1))))</f>
        <v>#REF!</v>
      </c>
      <c r="G871" t="e" cm="1">
        <f t="array" aca="1" ref="G871" ca="1">IF(OR(A871="",B871="safety"),"",IF(ISBLANK(INDIRECT("template!"&amp;"D"&amp;A871)),"",INDIRECT("template!"&amp;"D"&amp;A871)))</f>
        <v>#REF!</v>
      </c>
      <c r="H871" t="e" cm="1">
        <f t="array" aca="1" ref="H871" ca="1">IF(OR(A871="",B871="safety"),"",IF(ISBLANK(INDIRECT("template!"&amp;"E"&amp;A871)),"",INDIRECT("template!"&amp;"E"&amp;A871)))</f>
        <v>#REF!</v>
      </c>
      <c r="I871" t="e" cm="1">
        <f t="array" aca="1" ref="I871" ca="1">IF(OR(A871="",B871="safety"),"",IF(ISBLANK(INDIRECT("template!"&amp;"F"&amp;A871)),"",INDIRECT("template!"&amp;"F"&amp;A871)))</f>
        <v>#REF!</v>
      </c>
      <c r="J871" t="e" cm="1">
        <f t="array" aca="1" ref="J871" ca="1">IF(OR(A871="",B871="safety"),"",IF(ISBLANK(INDIRECT("template!"&amp;"G"&amp;A871)),"",INDIRECT("template!"&amp;"G"&amp;A871)))</f>
        <v>#REF!</v>
      </c>
      <c r="K871" t="e" cm="1">
        <f t="array" aca="1" ref="K871" ca="1">IF(OR(A871="",B871="safety"),"",IF(ISBLANK(INDIRECT("template!"&amp;"H"&amp;A871)),"",INDIRECT("template!"&amp;"H"&amp;A871)))</f>
        <v>#REF!</v>
      </c>
      <c r="L871" t="e" cm="1">
        <f t="array" aca="1" ref="L871" ca="1">IF(OR(A871="",B871="safety"),"",INDIRECT("template!"&amp;"I"&amp;A871))</f>
        <v>#REF!</v>
      </c>
      <c r="M871" t="e" cm="1">
        <f t="array" aca="1" ref="M871" ca="1">IF(OR(A871="",B871="safety"),"",INDIRECT("template!"&amp;"J"&amp;A871))</f>
        <v>#REF!</v>
      </c>
      <c r="N871" t="e" cm="1">
        <f t="array" aca="1" ref="N871" ca="1">IF(OR(A871="",B871="safety"),"",IF(ISBLANK(INDIRECT("template!"&amp;"K"&amp;A871)),"",INDIRECT("template!"&amp;"K"&amp;A871)))</f>
        <v>#REF!</v>
      </c>
      <c r="O871" t="e" cm="1">
        <f t="array" aca="1" ref="O871" ca="1">IF(OR(A871="",B871="safety"),"",INDIRECT("template!"&amp;"L"&amp;A871))</f>
        <v>#REF!</v>
      </c>
      <c r="P871" t="e" cm="1">
        <f t="array" aca="1" ref="P871" ca="1">IF(OR(A871="",B871="safety"),"",INDIRECT("template!"&amp;"M"&amp;A871))</f>
        <v>#REF!</v>
      </c>
      <c r="Q871" t="e">
        <f t="shared" ca="1" si="76"/>
        <v>#REF!</v>
      </c>
      <c r="R871" t="e">
        <f t="shared" ca="1" si="77"/>
        <v>#REF!</v>
      </c>
      <c r="S871" t="e">
        <f t="shared" ca="1" si="78"/>
        <v>#REF!</v>
      </c>
      <c r="T871" t="e">
        <f t="shared" ca="1" si="79"/>
        <v>#REF!</v>
      </c>
      <c r="U871" t="e" cm="1">
        <f t="array" aca="1" ref="U871" ca="1">IF(A871="","",IF(E871="","",IF(B871="safety",INDIRECT("template!"&amp;"P"&amp;A871),Q871+R871)))</f>
        <v>#REF!</v>
      </c>
      <c r="V871" t="e" cm="1">
        <f t="array" aca="1" ref="V871" ca="1">IF(A871="","",IF(E871="","",IF(B871="safety",INDIRECT("template!"&amp;"P"&amp;A871),S871+T871)))</f>
        <v>#REF!</v>
      </c>
      <c r="W871" t="e">
        <f ca="1">IF(A871="","",IF(E871="","",#REF!))</f>
        <v>#REF!</v>
      </c>
      <c r="X871" t="e">
        <f ca="1">IF(A871="","",IF(E871="","",#REF!))</f>
        <v>#REF!</v>
      </c>
      <c r="Y871" s="39" t="e">
        <f ca="1">IF(A871="","",IF(E871="","",#REF!))</f>
        <v>#REF!</v>
      </c>
      <c r="Z871" t="e">
        <f ca="1">IF(A871="","",IF(E871="","",#REF!))</f>
        <v>#REF!</v>
      </c>
      <c r="AA871" t="e">
        <f ca="1">IF(A871="","",IF(E871="","",#REF!))</f>
        <v>#REF!</v>
      </c>
      <c r="AB871" t="e">
        <f ca="1">IF(A871="","",IF(E871="","",#REF!))</f>
        <v>#REF!</v>
      </c>
      <c r="AC871" t="e">
        <f t="shared" ca="1" si="80"/>
        <v>#REF!</v>
      </c>
    </row>
    <row r="872" spans="1:29" x14ac:dyDescent="0.35">
      <c r="A872" t="e" cm="1">
        <f t="array" aca="1" ref="A872" ca="1">IF(A871="","",IF(OR(AND(A871+1&gt;=$AF$1,A871+1&lt;=$AF$2),AND(A871+1&gt;=$AF$6,A871+1&lt;=$AF$7),AND(A871+1&gt;=$AF$3,A871+1&lt;=$AF$4),AND(A871+1&gt;=$AF$8,A871+1&lt;=$AF$9),A871+1=$AF$5),IF(NOT(ISBLANK(INDIRECT("template!"&amp;"P"&amp;A871+1))),A871+1,IF(NOT(ISBLANK(INDIRECT("template!"&amp;"P"&amp;A871+2))),A871+2,A871+3)),IF(A871=$AF$2,$AF$3,IF(A871=$AF$4,$AF$5,IF(A871=$AF$5,$AF$6,IF(A871=$AF$7,$AF$8,""))))))</f>
        <v>#REF!</v>
      </c>
      <c r="B872" t="e">
        <f t="shared" ca="1" si="75"/>
        <v>#REF!</v>
      </c>
      <c r="C872" t="e" cm="1">
        <f t="array" aca="1" ref="C872" ca="1">IF(A872="","",IF(B872="safety","safety costs",INDIRECT("template!"&amp;"B"&amp;A872)))</f>
        <v>#REF!</v>
      </c>
      <c r="D872" t="e" cm="1">
        <f t="array" aca="1" ref="D872" ca="1">IF(OR(A872="",B872="safety"),"",INDIRECT("template!"&amp;"C"&amp;A872))</f>
        <v>#REF!</v>
      </c>
      <c r="E872" t="e" cm="1">
        <f t="array" aca="1" ref="E872" ca="1">IF(A872="","",IF(OR(A872=A871+1,A872=A871+2),E871,INDIRECT("template!"&amp;"D"&amp;A872-2)))</f>
        <v>#REF!</v>
      </c>
      <c r="F872" t="e" cm="1">
        <f t="array" aca="1" ref="F872" ca="1">IF(OR(A872="",B872="safety"),"",IF(ISBLANK(IF(A872=A871+1,F871,INDIRECT("template!"&amp;"D"&amp;A872-1))),"",IF(A872=A871+1,F871,INDIRECT("template!"&amp;"D"&amp;A872-1))))</f>
        <v>#REF!</v>
      </c>
      <c r="G872" t="e" cm="1">
        <f t="array" aca="1" ref="G872" ca="1">IF(OR(A872="",B872="safety"),"",IF(ISBLANK(INDIRECT("template!"&amp;"D"&amp;A872)),"",INDIRECT("template!"&amp;"D"&amp;A872)))</f>
        <v>#REF!</v>
      </c>
      <c r="H872" t="e" cm="1">
        <f t="array" aca="1" ref="H872" ca="1">IF(OR(A872="",B872="safety"),"",IF(ISBLANK(INDIRECT("template!"&amp;"E"&amp;A872)),"",INDIRECT("template!"&amp;"E"&amp;A872)))</f>
        <v>#REF!</v>
      </c>
      <c r="I872" t="e" cm="1">
        <f t="array" aca="1" ref="I872" ca="1">IF(OR(A872="",B872="safety"),"",IF(ISBLANK(INDIRECT("template!"&amp;"F"&amp;A872)),"",INDIRECT("template!"&amp;"F"&amp;A872)))</f>
        <v>#REF!</v>
      </c>
      <c r="J872" t="e" cm="1">
        <f t="array" aca="1" ref="J872" ca="1">IF(OR(A872="",B872="safety"),"",IF(ISBLANK(INDIRECT("template!"&amp;"G"&amp;A872)),"",INDIRECT("template!"&amp;"G"&amp;A872)))</f>
        <v>#REF!</v>
      </c>
      <c r="K872" t="e" cm="1">
        <f t="array" aca="1" ref="K872" ca="1">IF(OR(A872="",B872="safety"),"",IF(ISBLANK(INDIRECT("template!"&amp;"H"&amp;A872)),"",INDIRECT("template!"&amp;"H"&amp;A872)))</f>
        <v>#REF!</v>
      </c>
      <c r="L872" t="e" cm="1">
        <f t="array" aca="1" ref="L872" ca="1">IF(OR(A872="",B872="safety"),"",INDIRECT("template!"&amp;"I"&amp;A872))</f>
        <v>#REF!</v>
      </c>
      <c r="M872" t="e" cm="1">
        <f t="array" aca="1" ref="M872" ca="1">IF(OR(A872="",B872="safety"),"",INDIRECT("template!"&amp;"J"&amp;A872))</f>
        <v>#REF!</v>
      </c>
      <c r="N872" t="e" cm="1">
        <f t="array" aca="1" ref="N872" ca="1">IF(OR(A872="",B872="safety"),"",IF(ISBLANK(INDIRECT("template!"&amp;"K"&amp;A872)),"",INDIRECT("template!"&amp;"K"&amp;A872)))</f>
        <v>#REF!</v>
      </c>
      <c r="O872" t="e" cm="1">
        <f t="array" aca="1" ref="O872" ca="1">IF(OR(A872="",B872="safety"),"",INDIRECT("template!"&amp;"L"&amp;A872))</f>
        <v>#REF!</v>
      </c>
      <c r="P872" t="e" cm="1">
        <f t="array" aca="1" ref="P872" ca="1">IF(OR(A872="",B872="safety"),"",INDIRECT("template!"&amp;"M"&amp;A872))</f>
        <v>#REF!</v>
      </c>
      <c r="Q872" t="e">
        <f t="shared" ca="1" si="76"/>
        <v>#REF!</v>
      </c>
      <c r="R872" t="e">
        <f t="shared" ca="1" si="77"/>
        <v>#REF!</v>
      </c>
      <c r="S872" t="e">
        <f t="shared" ca="1" si="78"/>
        <v>#REF!</v>
      </c>
      <c r="T872" t="e">
        <f t="shared" ca="1" si="79"/>
        <v>#REF!</v>
      </c>
      <c r="U872" t="e" cm="1">
        <f t="array" aca="1" ref="U872" ca="1">IF(A872="","",IF(E872="","",IF(B872="safety",INDIRECT("template!"&amp;"P"&amp;A872),Q872+R872)))</f>
        <v>#REF!</v>
      </c>
      <c r="V872" t="e" cm="1">
        <f t="array" aca="1" ref="V872" ca="1">IF(A872="","",IF(E872="","",IF(B872="safety",INDIRECT("template!"&amp;"P"&amp;A872),S872+T872)))</f>
        <v>#REF!</v>
      </c>
      <c r="W872" t="e">
        <f ca="1">IF(A872="","",IF(E872="","",#REF!))</f>
        <v>#REF!</v>
      </c>
      <c r="X872" t="e">
        <f ca="1">IF(A872="","",IF(E872="","",#REF!))</f>
        <v>#REF!</v>
      </c>
      <c r="Y872" s="39" t="e">
        <f ca="1">IF(A872="","",IF(E872="","",#REF!))</f>
        <v>#REF!</v>
      </c>
      <c r="Z872" t="e">
        <f ca="1">IF(A872="","",IF(E872="","",#REF!))</f>
        <v>#REF!</v>
      </c>
      <c r="AA872" t="e">
        <f ca="1">IF(A872="","",IF(E872="","",#REF!))</f>
        <v>#REF!</v>
      </c>
      <c r="AB872" t="e">
        <f ca="1">IF(A872="","",IF(E872="","",#REF!))</f>
        <v>#REF!</v>
      </c>
      <c r="AC872" t="e">
        <f t="shared" ca="1" si="80"/>
        <v>#REF!</v>
      </c>
    </row>
    <row r="873" spans="1:29" x14ac:dyDescent="0.35">
      <c r="A873" t="e" cm="1">
        <f t="array" aca="1" ref="A873" ca="1">IF(A872="","",IF(OR(AND(A872+1&gt;=$AF$1,A872+1&lt;=$AF$2),AND(A872+1&gt;=$AF$6,A872+1&lt;=$AF$7),AND(A872+1&gt;=$AF$3,A872+1&lt;=$AF$4),AND(A872+1&gt;=$AF$8,A872+1&lt;=$AF$9),A872+1=$AF$5),IF(NOT(ISBLANK(INDIRECT("template!"&amp;"P"&amp;A872+1))),A872+1,IF(NOT(ISBLANK(INDIRECT("template!"&amp;"P"&amp;A872+2))),A872+2,A872+3)),IF(A872=$AF$2,$AF$3,IF(A872=$AF$4,$AF$5,IF(A872=$AF$5,$AF$6,IF(A872=$AF$7,$AF$8,""))))))</f>
        <v>#REF!</v>
      </c>
      <c r="B873" t="e">
        <f t="shared" ca="1" si="75"/>
        <v>#REF!</v>
      </c>
      <c r="C873" t="e" cm="1">
        <f t="array" aca="1" ref="C873" ca="1">IF(A873="","",IF(B873="safety","safety costs",INDIRECT("template!"&amp;"B"&amp;A873)))</f>
        <v>#REF!</v>
      </c>
      <c r="D873" t="e" cm="1">
        <f t="array" aca="1" ref="D873" ca="1">IF(OR(A873="",B873="safety"),"",INDIRECT("template!"&amp;"C"&amp;A873))</f>
        <v>#REF!</v>
      </c>
      <c r="E873" t="e" cm="1">
        <f t="array" aca="1" ref="E873" ca="1">IF(A873="","",IF(OR(A873=A872+1,A873=A872+2),E872,INDIRECT("template!"&amp;"D"&amp;A873-2)))</f>
        <v>#REF!</v>
      </c>
      <c r="F873" t="e" cm="1">
        <f t="array" aca="1" ref="F873" ca="1">IF(OR(A873="",B873="safety"),"",IF(ISBLANK(IF(A873=A872+1,F872,INDIRECT("template!"&amp;"D"&amp;A873-1))),"",IF(A873=A872+1,F872,INDIRECT("template!"&amp;"D"&amp;A873-1))))</f>
        <v>#REF!</v>
      </c>
      <c r="G873" t="e" cm="1">
        <f t="array" aca="1" ref="G873" ca="1">IF(OR(A873="",B873="safety"),"",IF(ISBLANK(INDIRECT("template!"&amp;"D"&amp;A873)),"",INDIRECT("template!"&amp;"D"&amp;A873)))</f>
        <v>#REF!</v>
      </c>
      <c r="H873" t="e" cm="1">
        <f t="array" aca="1" ref="H873" ca="1">IF(OR(A873="",B873="safety"),"",IF(ISBLANK(INDIRECT("template!"&amp;"E"&amp;A873)),"",INDIRECT("template!"&amp;"E"&amp;A873)))</f>
        <v>#REF!</v>
      </c>
      <c r="I873" t="e" cm="1">
        <f t="array" aca="1" ref="I873" ca="1">IF(OR(A873="",B873="safety"),"",IF(ISBLANK(INDIRECT("template!"&amp;"F"&amp;A873)),"",INDIRECT("template!"&amp;"F"&amp;A873)))</f>
        <v>#REF!</v>
      </c>
      <c r="J873" t="e" cm="1">
        <f t="array" aca="1" ref="J873" ca="1">IF(OR(A873="",B873="safety"),"",IF(ISBLANK(INDIRECT("template!"&amp;"G"&amp;A873)),"",INDIRECT("template!"&amp;"G"&amp;A873)))</f>
        <v>#REF!</v>
      </c>
      <c r="K873" t="e" cm="1">
        <f t="array" aca="1" ref="K873" ca="1">IF(OR(A873="",B873="safety"),"",IF(ISBLANK(INDIRECT("template!"&amp;"H"&amp;A873)),"",INDIRECT("template!"&amp;"H"&amp;A873)))</f>
        <v>#REF!</v>
      </c>
      <c r="L873" t="e" cm="1">
        <f t="array" aca="1" ref="L873" ca="1">IF(OR(A873="",B873="safety"),"",INDIRECT("template!"&amp;"I"&amp;A873))</f>
        <v>#REF!</v>
      </c>
      <c r="M873" t="e" cm="1">
        <f t="array" aca="1" ref="M873" ca="1">IF(OR(A873="",B873="safety"),"",INDIRECT("template!"&amp;"J"&amp;A873))</f>
        <v>#REF!</v>
      </c>
      <c r="N873" t="e" cm="1">
        <f t="array" aca="1" ref="N873" ca="1">IF(OR(A873="",B873="safety"),"",IF(ISBLANK(INDIRECT("template!"&amp;"K"&amp;A873)),"",INDIRECT("template!"&amp;"K"&amp;A873)))</f>
        <v>#REF!</v>
      </c>
      <c r="O873" t="e" cm="1">
        <f t="array" aca="1" ref="O873" ca="1">IF(OR(A873="",B873="safety"),"",INDIRECT("template!"&amp;"L"&amp;A873))</f>
        <v>#REF!</v>
      </c>
      <c r="P873" t="e" cm="1">
        <f t="array" aca="1" ref="P873" ca="1">IF(OR(A873="",B873="safety"),"",INDIRECT("template!"&amp;"M"&amp;A873))</f>
        <v>#REF!</v>
      </c>
      <c r="Q873" t="e">
        <f t="shared" ca="1" si="76"/>
        <v>#REF!</v>
      </c>
      <c r="R873" t="e">
        <f t="shared" ca="1" si="77"/>
        <v>#REF!</v>
      </c>
      <c r="S873" t="e">
        <f t="shared" ca="1" si="78"/>
        <v>#REF!</v>
      </c>
      <c r="T873" t="e">
        <f t="shared" ca="1" si="79"/>
        <v>#REF!</v>
      </c>
      <c r="U873" t="e" cm="1">
        <f t="array" aca="1" ref="U873" ca="1">IF(A873="","",IF(E873="","",IF(B873="safety",INDIRECT("template!"&amp;"P"&amp;A873),Q873+R873)))</f>
        <v>#REF!</v>
      </c>
      <c r="V873" t="e" cm="1">
        <f t="array" aca="1" ref="V873" ca="1">IF(A873="","",IF(E873="","",IF(B873="safety",INDIRECT("template!"&amp;"P"&amp;A873),S873+T873)))</f>
        <v>#REF!</v>
      </c>
      <c r="W873" t="e">
        <f ca="1">IF(A873="","",IF(E873="","",#REF!))</f>
        <v>#REF!</v>
      </c>
      <c r="X873" t="e">
        <f ca="1">IF(A873="","",IF(E873="","",#REF!))</f>
        <v>#REF!</v>
      </c>
      <c r="Y873" s="39" t="e">
        <f ca="1">IF(A873="","",IF(E873="","",#REF!))</f>
        <v>#REF!</v>
      </c>
      <c r="Z873" t="e">
        <f ca="1">IF(A873="","",IF(E873="","",#REF!))</f>
        <v>#REF!</v>
      </c>
      <c r="AA873" t="e">
        <f ca="1">IF(A873="","",IF(E873="","",#REF!))</f>
        <v>#REF!</v>
      </c>
      <c r="AB873" t="e">
        <f ca="1">IF(A873="","",IF(E873="","",#REF!))</f>
        <v>#REF!</v>
      </c>
      <c r="AC873" t="e">
        <f t="shared" ca="1" si="80"/>
        <v>#REF!</v>
      </c>
    </row>
    <row r="874" spans="1:29" x14ac:dyDescent="0.35">
      <c r="A874" t="e" cm="1">
        <f t="array" aca="1" ref="A874" ca="1">IF(A873="","",IF(OR(AND(A873+1&gt;=$AF$1,A873+1&lt;=$AF$2),AND(A873+1&gt;=$AF$6,A873+1&lt;=$AF$7),AND(A873+1&gt;=$AF$3,A873+1&lt;=$AF$4),AND(A873+1&gt;=$AF$8,A873+1&lt;=$AF$9),A873+1=$AF$5),IF(NOT(ISBLANK(INDIRECT("template!"&amp;"P"&amp;A873+1))),A873+1,IF(NOT(ISBLANK(INDIRECT("template!"&amp;"P"&amp;A873+2))),A873+2,A873+3)),IF(A873=$AF$2,$AF$3,IF(A873=$AF$4,$AF$5,IF(A873=$AF$5,$AF$6,IF(A873=$AF$7,$AF$8,""))))))</f>
        <v>#REF!</v>
      </c>
      <c r="B874" t="e">
        <f t="shared" ca="1" si="75"/>
        <v>#REF!</v>
      </c>
      <c r="C874" t="e" cm="1">
        <f t="array" aca="1" ref="C874" ca="1">IF(A874="","",IF(B874="safety","safety costs",INDIRECT("template!"&amp;"B"&amp;A874)))</f>
        <v>#REF!</v>
      </c>
      <c r="D874" t="e" cm="1">
        <f t="array" aca="1" ref="D874" ca="1">IF(OR(A874="",B874="safety"),"",INDIRECT("template!"&amp;"C"&amp;A874))</f>
        <v>#REF!</v>
      </c>
      <c r="E874" t="e" cm="1">
        <f t="array" aca="1" ref="E874" ca="1">IF(A874="","",IF(OR(A874=A873+1,A874=A873+2),E873,INDIRECT("template!"&amp;"D"&amp;A874-2)))</f>
        <v>#REF!</v>
      </c>
      <c r="F874" t="e" cm="1">
        <f t="array" aca="1" ref="F874" ca="1">IF(OR(A874="",B874="safety"),"",IF(ISBLANK(IF(A874=A873+1,F873,INDIRECT("template!"&amp;"D"&amp;A874-1))),"",IF(A874=A873+1,F873,INDIRECT("template!"&amp;"D"&amp;A874-1))))</f>
        <v>#REF!</v>
      </c>
      <c r="G874" t="e" cm="1">
        <f t="array" aca="1" ref="G874" ca="1">IF(OR(A874="",B874="safety"),"",IF(ISBLANK(INDIRECT("template!"&amp;"D"&amp;A874)),"",INDIRECT("template!"&amp;"D"&amp;A874)))</f>
        <v>#REF!</v>
      </c>
      <c r="H874" t="e" cm="1">
        <f t="array" aca="1" ref="H874" ca="1">IF(OR(A874="",B874="safety"),"",IF(ISBLANK(INDIRECT("template!"&amp;"E"&amp;A874)),"",INDIRECT("template!"&amp;"E"&amp;A874)))</f>
        <v>#REF!</v>
      </c>
      <c r="I874" t="e" cm="1">
        <f t="array" aca="1" ref="I874" ca="1">IF(OR(A874="",B874="safety"),"",IF(ISBLANK(INDIRECT("template!"&amp;"F"&amp;A874)),"",INDIRECT("template!"&amp;"F"&amp;A874)))</f>
        <v>#REF!</v>
      </c>
      <c r="J874" t="e" cm="1">
        <f t="array" aca="1" ref="J874" ca="1">IF(OR(A874="",B874="safety"),"",IF(ISBLANK(INDIRECT("template!"&amp;"G"&amp;A874)),"",INDIRECT("template!"&amp;"G"&amp;A874)))</f>
        <v>#REF!</v>
      </c>
      <c r="K874" t="e" cm="1">
        <f t="array" aca="1" ref="K874" ca="1">IF(OR(A874="",B874="safety"),"",IF(ISBLANK(INDIRECT("template!"&amp;"H"&amp;A874)),"",INDIRECT("template!"&amp;"H"&amp;A874)))</f>
        <v>#REF!</v>
      </c>
      <c r="L874" t="e" cm="1">
        <f t="array" aca="1" ref="L874" ca="1">IF(OR(A874="",B874="safety"),"",INDIRECT("template!"&amp;"I"&amp;A874))</f>
        <v>#REF!</v>
      </c>
      <c r="M874" t="e" cm="1">
        <f t="array" aca="1" ref="M874" ca="1">IF(OR(A874="",B874="safety"),"",INDIRECT("template!"&amp;"J"&amp;A874))</f>
        <v>#REF!</v>
      </c>
      <c r="N874" t="e" cm="1">
        <f t="array" aca="1" ref="N874" ca="1">IF(OR(A874="",B874="safety"),"",IF(ISBLANK(INDIRECT("template!"&amp;"K"&amp;A874)),"",INDIRECT("template!"&amp;"K"&amp;A874)))</f>
        <v>#REF!</v>
      </c>
      <c r="O874" t="e" cm="1">
        <f t="array" aca="1" ref="O874" ca="1">IF(OR(A874="",B874="safety"),"",INDIRECT("template!"&amp;"L"&amp;A874))</f>
        <v>#REF!</v>
      </c>
      <c r="P874" t="e" cm="1">
        <f t="array" aca="1" ref="P874" ca="1">IF(OR(A874="",B874="safety"),"",INDIRECT("template!"&amp;"M"&amp;A874))</f>
        <v>#REF!</v>
      </c>
      <c r="Q874" t="e">
        <f t="shared" ca="1" si="76"/>
        <v>#REF!</v>
      </c>
      <c r="R874" t="e">
        <f t="shared" ca="1" si="77"/>
        <v>#REF!</v>
      </c>
      <c r="S874" t="e">
        <f t="shared" ca="1" si="78"/>
        <v>#REF!</v>
      </c>
      <c r="T874" t="e">
        <f t="shared" ca="1" si="79"/>
        <v>#REF!</v>
      </c>
      <c r="U874" t="e" cm="1">
        <f t="array" aca="1" ref="U874" ca="1">IF(A874="","",IF(E874="","",IF(B874="safety",INDIRECT("template!"&amp;"P"&amp;A874),Q874+R874)))</f>
        <v>#REF!</v>
      </c>
      <c r="V874" t="e" cm="1">
        <f t="array" aca="1" ref="V874" ca="1">IF(A874="","",IF(E874="","",IF(B874="safety",INDIRECT("template!"&amp;"P"&amp;A874),S874+T874)))</f>
        <v>#REF!</v>
      </c>
      <c r="W874" t="e">
        <f ca="1">IF(A874="","",IF(E874="","",#REF!))</f>
        <v>#REF!</v>
      </c>
      <c r="X874" t="e">
        <f ca="1">IF(A874="","",IF(E874="","",#REF!))</f>
        <v>#REF!</v>
      </c>
      <c r="Y874" s="39" t="e">
        <f ca="1">IF(A874="","",IF(E874="","",#REF!))</f>
        <v>#REF!</v>
      </c>
      <c r="Z874" t="e">
        <f ca="1">IF(A874="","",IF(E874="","",#REF!))</f>
        <v>#REF!</v>
      </c>
      <c r="AA874" t="e">
        <f ca="1">IF(A874="","",IF(E874="","",#REF!))</f>
        <v>#REF!</v>
      </c>
      <c r="AB874" t="e">
        <f ca="1">IF(A874="","",IF(E874="","",#REF!))</f>
        <v>#REF!</v>
      </c>
      <c r="AC874" t="e">
        <f t="shared" ca="1" si="80"/>
        <v>#REF!</v>
      </c>
    </row>
    <row r="875" spans="1:29" x14ac:dyDescent="0.35">
      <c r="A875" t="e" cm="1">
        <f t="array" aca="1" ref="A875" ca="1">IF(A874="","",IF(OR(AND(A874+1&gt;=$AF$1,A874+1&lt;=$AF$2),AND(A874+1&gt;=$AF$6,A874+1&lt;=$AF$7),AND(A874+1&gt;=$AF$3,A874+1&lt;=$AF$4),AND(A874+1&gt;=$AF$8,A874+1&lt;=$AF$9),A874+1=$AF$5),IF(NOT(ISBLANK(INDIRECT("template!"&amp;"P"&amp;A874+1))),A874+1,IF(NOT(ISBLANK(INDIRECT("template!"&amp;"P"&amp;A874+2))),A874+2,A874+3)),IF(A874=$AF$2,$AF$3,IF(A874=$AF$4,$AF$5,IF(A874=$AF$5,$AF$6,IF(A874=$AF$7,$AF$8,""))))))</f>
        <v>#REF!</v>
      </c>
      <c r="B875" t="e">
        <f t="shared" ca="1" si="75"/>
        <v>#REF!</v>
      </c>
      <c r="C875" t="e" cm="1">
        <f t="array" aca="1" ref="C875" ca="1">IF(A875="","",IF(B875="safety","safety costs",INDIRECT("template!"&amp;"B"&amp;A875)))</f>
        <v>#REF!</v>
      </c>
      <c r="D875" t="e" cm="1">
        <f t="array" aca="1" ref="D875" ca="1">IF(OR(A875="",B875="safety"),"",INDIRECT("template!"&amp;"C"&amp;A875))</f>
        <v>#REF!</v>
      </c>
      <c r="E875" t="e" cm="1">
        <f t="array" aca="1" ref="E875" ca="1">IF(A875="","",IF(OR(A875=A874+1,A875=A874+2),E874,INDIRECT("template!"&amp;"D"&amp;A875-2)))</f>
        <v>#REF!</v>
      </c>
      <c r="F875" t="e" cm="1">
        <f t="array" aca="1" ref="F875" ca="1">IF(OR(A875="",B875="safety"),"",IF(ISBLANK(IF(A875=A874+1,F874,INDIRECT("template!"&amp;"D"&amp;A875-1))),"",IF(A875=A874+1,F874,INDIRECT("template!"&amp;"D"&amp;A875-1))))</f>
        <v>#REF!</v>
      </c>
      <c r="G875" t="e" cm="1">
        <f t="array" aca="1" ref="G875" ca="1">IF(OR(A875="",B875="safety"),"",IF(ISBLANK(INDIRECT("template!"&amp;"D"&amp;A875)),"",INDIRECT("template!"&amp;"D"&amp;A875)))</f>
        <v>#REF!</v>
      </c>
      <c r="H875" t="e" cm="1">
        <f t="array" aca="1" ref="H875" ca="1">IF(OR(A875="",B875="safety"),"",IF(ISBLANK(INDIRECT("template!"&amp;"E"&amp;A875)),"",INDIRECT("template!"&amp;"E"&amp;A875)))</f>
        <v>#REF!</v>
      </c>
      <c r="I875" t="e" cm="1">
        <f t="array" aca="1" ref="I875" ca="1">IF(OR(A875="",B875="safety"),"",IF(ISBLANK(INDIRECT("template!"&amp;"F"&amp;A875)),"",INDIRECT("template!"&amp;"F"&amp;A875)))</f>
        <v>#REF!</v>
      </c>
      <c r="J875" t="e" cm="1">
        <f t="array" aca="1" ref="J875" ca="1">IF(OR(A875="",B875="safety"),"",IF(ISBLANK(INDIRECT("template!"&amp;"G"&amp;A875)),"",INDIRECT("template!"&amp;"G"&amp;A875)))</f>
        <v>#REF!</v>
      </c>
      <c r="K875" t="e" cm="1">
        <f t="array" aca="1" ref="K875" ca="1">IF(OR(A875="",B875="safety"),"",IF(ISBLANK(INDIRECT("template!"&amp;"H"&amp;A875)),"",INDIRECT("template!"&amp;"H"&amp;A875)))</f>
        <v>#REF!</v>
      </c>
      <c r="L875" t="e" cm="1">
        <f t="array" aca="1" ref="L875" ca="1">IF(OR(A875="",B875="safety"),"",INDIRECT("template!"&amp;"I"&amp;A875))</f>
        <v>#REF!</v>
      </c>
      <c r="M875" t="e" cm="1">
        <f t="array" aca="1" ref="M875" ca="1">IF(OR(A875="",B875="safety"),"",INDIRECT("template!"&amp;"J"&amp;A875))</f>
        <v>#REF!</v>
      </c>
      <c r="N875" t="e" cm="1">
        <f t="array" aca="1" ref="N875" ca="1">IF(OR(A875="",B875="safety"),"",IF(ISBLANK(INDIRECT("template!"&amp;"K"&amp;A875)),"",INDIRECT("template!"&amp;"K"&amp;A875)))</f>
        <v>#REF!</v>
      </c>
      <c r="O875" t="e" cm="1">
        <f t="array" aca="1" ref="O875" ca="1">IF(OR(A875="",B875="safety"),"",INDIRECT("template!"&amp;"L"&amp;A875))</f>
        <v>#REF!</v>
      </c>
      <c r="P875" t="e" cm="1">
        <f t="array" aca="1" ref="P875" ca="1">IF(OR(A875="",B875="safety"),"",INDIRECT("template!"&amp;"M"&amp;A875))</f>
        <v>#REF!</v>
      </c>
      <c r="Q875" t="e">
        <f t="shared" ca="1" si="76"/>
        <v>#REF!</v>
      </c>
      <c r="R875" t="e">
        <f t="shared" ca="1" si="77"/>
        <v>#REF!</v>
      </c>
      <c r="S875" t="e">
        <f t="shared" ca="1" si="78"/>
        <v>#REF!</v>
      </c>
      <c r="T875" t="e">
        <f t="shared" ca="1" si="79"/>
        <v>#REF!</v>
      </c>
      <c r="U875" t="e" cm="1">
        <f t="array" aca="1" ref="U875" ca="1">IF(A875="","",IF(E875="","",IF(B875="safety",INDIRECT("template!"&amp;"P"&amp;A875),Q875+R875)))</f>
        <v>#REF!</v>
      </c>
      <c r="V875" t="e" cm="1">
        <f t="array" aca="1" ref="V875" ca="1">IF(A875="","",IF(E875="","",IF(B875="safety",INDIRECT("template!"&amp;"P"&amp;A875),S875+T875)))</f>
        <v>#REF!</v>
      </c>
      <c r="W875" t="e">
        <f ca="1">IF(A875="","",IF(E875="","",#REF!))</f>
        <v>#REF!</v>
      </c>
      <c r="X875" t="e">
        <f ca="1">IF(A875="","",IF(E875="","",#REF!))</f>
        <v>#REF!</v>
      </c>
      <c r="Y875" s="39" t="e">
        <f ca="1">IF(A875="","",IF(E875="","",#REF!))</f>
        <v>#REF!</v>
      </c>
      <c r="Z875" t="e">
        <f ca="1">IF(A875="","",IF(E875="","",#REF!))</f>
        <v>#REF!</v>
      </c>
      <c r="AA875" t="e">
        <f ca="1">IF(A875="","",IF(E875="","",#REF!))</f>
        <v>#REF!</v>
      </c>
      <c r="AB875" t="e">
        <f ca="1">IF(A875="","",IF(E875="","",#REF!))</f>
        <v>#REF!</v>
      </c>
      <c r="AC875" t="e">
        <f t="shared" ca="1" si="80"/>
        <v>#REF!</v>
      </c>
    </row>
    <row r="876" spans="1:29" x14ac:dyDescent="0.35">
      <c r="A876" t="e" cm="1">
        <f t="array" aca="1" ref="A876" ca="1">IF(A875="","",IF(OR(AND(A875+1&gt;=$AF$1,A875+1&lt;=$AF$2),AND(A875+1&gt;=$AF$6,A875+1&lt;=$AF$7),AND(A875+1&gt;=$AF$3,A875+1&lt;=$AF$4),AND(A875+1&gt;=$AF$8,A875+1&lt;=$AF$9),A875+1=$AF$5),IF(NOT(ISBLANK(INDIRECT("template!"&amp;"P"&amp;A875+1))),A875+1,IF(NOT(ISBLANK(INDIRECT("template!"&amp;"P"&amp;A875+2))),A875+2,A875+3)),IF(A875=$AF$2,$AF$3,IF(A875=$AF$4,$AF$5,IF(A875=$AF$5,$AF$6,IF(A875=$AF$7,$AF$8,""))))))</f>
        <v>#REF!</v>
      </c>
      <c r="B876" t="e">
        <f t="shared" ca="1" si="75"/>
        <v>#REF!</v>
      </c>
      <c r="C876" t="e" cm="1">
        <f t="array" aca="1" ref="C876" ca="1">IF(A876="","",IF(B876="safety","safety costs",INDIRECT("template!"&amp;"B"&amp;A876)))</f>
        <v>#REF!</v>
      </c>
      <c r="D876" t="e" cm="1">
        <f t="array" aca="1" ref="D876" ca="1">IF(OR(A876="",B876="safety"),"",INDIRECT("template!"&amp;"C"&amp;A876))</f>
        <v>#REF!</v>
      </c>
      <c r="E876" t="e" cm="1">
        <f t="array" aca="1" ref="E876" ca="1">IF(A876="","",IF(OR(A876=A875+1,A876=A875+2),E875,INDIRECT("template!"&amp;"D"&amp;A876-2)))</f>
        <v>#REF!</v>
      </c>
      <c r="F876" t="e" cm="1">
        <f t="array" aca="1" ref="F876" ca="1">IF(OR(A876="",B876="safety"),"",IF(ISBLANK(IF(A876=A875+1,F875,INDIRECT("template!"&amp;"D"&amp;A876-1))),"",IF(A876=A875+1,F875,INDIRECT("template!"&amp;"D"&amp;A876-1))))</f>
        <v>#REF!</v>
      </c>
      <c r="G876" t="e" cm="1">
        <f t="array" aca="1" ref="G876" ca="1">IF(OR(A876="",B876="safety"),"",IF(ISBLANK(INDIRECT("template!"&amp;"D"&amp;A876)),"",INDIRECT("template!"&amp;"D"&amp;A876)))</f>
        <v>#REF!</v>
      </c>
      <c r="H876" t="e" cm="1">
        <f t="array" aca="1" ref="H876" ca="1">IF(OR(A876="",B876="safety"),"",IF(ISBLANK(INDIRECT("template!"&amp;"E"&amp;A876)),"",INDIRECT("template!"&amp;"E"&amp;A876)))</f>
        <v>#REF!</v>
      </c>
      <c r="I876" t="e" cm="1">
        <f t="array" aca="1" ref="I876" ca="1">IF(OR(A876="",B876="safety"),"",IF(ISBLANK(INDIRECT("template!"&amp;"F"&amp;A876)),"",INDIRECT("template!"&amp;"F"&amp;A876)))</f>
        <v>#REF!</v>
      </c>
      <c r="J876" t="e" cm="1">
        <f t="array" aca="1" ref="J876" ca="1">IF(OR(A876="",B876="safety"),"",IF(ISBLANK(INDIRECT("template!"&amp;"G"&amp;A876)),"",INDIRECT("template!"&amp;"G"&amp;A876)))</f>
        <v>#REF!</v>
      </c>
      <c r="K876" t="e" cm="1">
        <f t="array" aca="1" ref="K876" ca="1">IF(OR(A876="",B876="safety"),"",IF(ISBLANK(INDIRECT("template!"&amp;"H"&amp;A876)),"",INDIRECT("template!"&amp;"H"&amp;A876)))</f>
        <v>#REF!</v>
      </c>
      <c r="L876" t="e" cm="1">
        <f t="array" aca="1" ref="L876" ca="1">IF(OR(A876="",B876="safety"),"",INDIRECT("template!"&amp;"I"&amp;A876))</f>
        <v>#REF!</v>
      </c>
      <c r="M876" t="e" cm="1">
        <f t="array" aca="1" ref="M876" ca="1">IF(OR(A876="",B876="safety"),"",INDIRECT("template!"&amp;"J"&amp;A876))</f>
        <v>#REF!</v>
      </c>
      <c r="N876" t="e" cm="1">
        <f t="array" aca="1" ref="N876" ca="1">IF(OR(A876="",B876="safety"),"",IF(ISBLANK(INDIRECT("template!"&amp;"K"&amp;A876)),"",INDIRECT("template!"&amp;"K"&amp;A876)))</f>
        <v>#REF!</v>
      </c>
      <c r="O876" t="e" cm="1">
        <f t="array" aca="1" ref="O876" ca="1">IF(OR(A876="",B876="safety"),"",INDIRECT("template!"&amp;"L"&amp;A876))</f>
        <v>#REF!</v>
      </c>
      <c r="P876" t="e" cm="1">
        <f t="array" aca="1" ref="P876" ca="1">IF(OR(A876="",B876="safety"),"",INDIRECT("template!"&amp;"M"&amp;A876))</f>
        <v>#REF!</v>
      </c>
      <c r="Q876" t="e">
        <f t="shared" ca="1" si="76"/>
        <v>#REF!</v>
      </c>
      <c r="R876" t="e">
        <f t="shared" ca="1" si="77"/>
        <v>#REF!</v>
      </c>
      <c r="S876" t="e">
        <f t="shared" ca="1" si="78"/>
        <v>#REF!</v>
      </c>
      <c r="T876" t="e">
        <f t="shared" ca="1" si="79"/>
        <v>#REF!</v>
      </c>
      <c r="U876" t="e" cm="1">
        <f t="array" aca="1" ref="U876" ca="1">IF(A876="","",IF(E876="","",IF(B876="safety",INDIRECT("template!"&amp;"P"&amp;A876),Q876+R876)))</f>
        <v>#REF!</v>
      </c>
      <c r="V876" t="e" cm="1">
        <f t="array" aca="1" ref="V876" ca="1">IF(A876="","",IF(E876="","",IF(B876="safety",INDIRECT("template!"&amp;"P"&amp;A876),S876+T876)))</f>
        <v>#REF!</v>
      </c>
      <c r="W876" t="e">
        <f ca="1">IF(A876="","",IF(E876="","",#REF!))</f>
        <v>#REF!</v>
      </c>
      <c r="X876" t="e">
        <f ca="1">IF(A876="","",IF(E876="","",#REF!))</f>
        <v>#REF!</v>
      </c>
      <c r="Y876" s="39" t="e">
        <f ca="1">IF(A876="","",IF(E876="","",#REF!))</f>
        <v>#REF!</v>
      </c>
      <c r="Z876" t="e">
        <f ca="1">IF(A876="","",IF(E876="","",#REF!))</f>
        <v>#REF!</v>
      </c>
      <c r="AA876" t="e">
        <f ca="1">IF(A876="","",IF(E876="","",#REF!))</f>
        <v>#REF!</v>
      </c>
      <c r="AB876" t="e">
        <f ca="1">IF(A876="","",IF(E876="","",#REF!))</f>
        <v>#REF!</v>
      </c>
      <c r="AC876" t="e">
        <f t="shared" ca="1" si="80"/>
        <v>#REF!</v>
      </c>
    </row>
    <row r="877" spans="1:29" x14ac:dyDescent="0.35">
      <c r="A877" t="e" cm="1">
        <f t="array" aca="1" ref="A877" ca="1">IF(A876="","",IF(OR(AND(A876+1&gt;=$AF$1,A876+1&lt;=$AF$2),AND(A876+1&gt;=$AF$6,A876+1&lt;=$AF$7),AND(A876+1&gt;=$AF$3,A876+1&lt;=$AF$4),AND(A876+1&gt;=$AF$8,A876+1&lt;=$AF$9),A876+1=$AF$5),IF(NOT(ISBLANK(INDIRECT("template!"&amp;"P"&amp;A876+1))),A876+1,IF(NOT(ISBLANK(INDIRECT("template!"&amp;"P"&amp;A876+2))),A876+2,A876+3)),IF(A876=$AF$2,$AF$3,IF(A876=$AF$4,$AF$5,IF(A876=$AF$5,$AF$6,IF(A876=$AF$7,$AF$8,""))))))</f>
        <v>#REF!</v>
      </c>
      <c r="B877" t="e">
        <f t="shared" ca="1" si="75"/>
        <v>#REF!</v>
      </c>
      <c r="C877" t="e" cm="1">
        <f t="array" aca="1" ref="C877" ca="1">IF(A877="","",IF(B877="safety","safety costs",INDIRECT("template!"&amp;"B"&amp;A877)))</f>
        <v>#REF!</v>
      </c>
      <c r="D877" t="e" cm="1">
        <f t="array" aca="1" ref="D877" ca="1">IF(OR(A877="",B877="safety"),"",INDIRECT("template!"&amp;"C"&amp;A877))</f>
        <v>#REF!</v>
      </c>
      <c r="E877" t="e" cm="1">
        <f t="array" aca="1" ref="E877" ca="1">IF(A877="","",IF(OR(A877=A876+1,A877=A876+2),E876,INDIRECT("template!"&amp;"D"&amp;A877-2)))</f>
        <v>#REF!</v>
      </c>
      <c r="F877" t="e" cm="1">
        <f t="array" aca="1" ref="F877" ca="1">IF(OR(A877="",B877="safety"),"",IF(ISBLANK(IF(A877=A876+1,F876,INDIRECT("template!"&amp;"D"&amp;A877-1))),"",IF(A877=A876+1,F876,INDIRECT("template!"&amp;"D"&amp;A877-1))))</f>
        <v>#REF!</v>
      </c>
      <c r="G877" t="e" cm="1">
        <f t="array" aca="1" ref="G877" ca="1">IF(OR(A877="",B877="safety"),"",IF(ISBLANK(INDIRECT("template!"&amp;"D"&amp;A877)),"",INDIRECT("template!"&amp;"D"&amp;A877)))</f>
        <v>#REF!</v>
      </c>
      <c r="H877" t="e" cm="1">
        <f t="array" aca="1" ref="H877" ca="1">IF(OR(A877="",B877="safety"),"",IF(ISBLANK(INDIRECT("template!"&amp;"E"&amp;A877)),"",INDIRECT("template!"&amp;"E"&amp;A877)))</f>
        <v>#REF!</v>
      </c>
      <c r="I877" t="e" cm="1">
        <f t="array" aca="1" ref="I877" ca="1">IF(OR(A877="",B877="safety"),"",IF(ISBLANK(INDIRECT("template!"&amp;"F"&amp;A877)),"",INDIRECT("template!"&amp;"F"&amp;A877)))</f>
        <v>#REF!</v>
      </c>
      <c r="J877" t="e" cm="1">
        <f t="array" aca="1" ref="J877" ca="1">IF(OR(A877="",B877="safety"),"",IF(ISBLANK(INDIRECT("template!"&amp;"G"&amp;A877)),"",INDIRECT("template!"&amp;"G"&amp;A877)))</f>
        <v>#REF!</v>
      </c>
      <c r="K877" t="e" cm="1">
        <f t="array" aca="1" ref="K877" ca="1">IF(OR(A877="",B877="safety"),"",IF(ISBLANK(INDIRECT("template!"&amp;"H"&amp;A877)),"",INDIRECT("template!"&amp;"H"&amp;A877)))</f>
        <v>#REF!</v>
      </c>
      <c r="L877" t="e" cm="1">
        <f t="array" aca="1" ref="L877" ca="1">IF(OR(A877="",B877="safety"),"",INDIRECT("template!"&amp;"I"&amp;A877))</f>
        <v>#REF!</v>
      </c>
      <c r="M877" t="e" cm="1">
        <f t="array" aca="1" ref="M877" ca="1">IF(OR(A877="",B877="safety"),"",INDIRECT("template!"&amp;"J"&amp;A877))</f>
        <v>#REF!</v>
      </c>
      <c r="N877" t="e" cm="1">
        <f t="array" aca="1" ref="N877" ca="1">IF(OR(A877="",B877="safety"),"",IF(ISBLANK(INDIRECT("template!"&amp;"K"&amp;A877)),"",INDIRECT("template!"&amp;"K"&amp;A877)))</f>
        <v>#REF!</v>
      </c>
      <c r="O877" t="e" cm="1">
        <f t="array" aca="1" ref="O877" ca="1">IF(OR(A877="",B877="safety"),"",INDIRECT("template!"&amp;"L"&amp;A877))</f>
        <v>#REF!</v>
      </c>
      <c r="P877" t="e" cm="1">
        <f t="array" aca="1" ref="P877" ca="1">IF(OR(A877="",B877="safety"),"",INDIRECT("template!"&amp;"M"&amp;A877))</f>
        <v>#REF!</v>
      </c>
      <c r="Q877" t="e">
        <f t="shared" ca="1" si="76"/>
        <v>#REF!</v>
      </c>
      <c r="R877" t="e">
        <f t="shared" ca="1" si="77"/>
        <v>#REF!</v>
      </c>
      <c r="S877" t="e">
        <f t="shared" ca="1" si="78"/>
        <v>#REF!</v>
      </c>
      <c r="T877" t="e">
        <f t="shared" ca="1" si="79"/>
        <v>#REF!</v>
      </c>
      <c r="U877" t="e" cm="1">
        <f t="array" aca="1" ref="U877" ca="1">IF(A877="","",IF(E877="","",IF(B877="safety",INDIRECT("template!"&amp;"P"&amp;A877),Q877+R877)))</f>
        <v>#REF!</v>
      </c>
      <c r="V877" t="e" cm="1">
        <f t="array" aca="1" ref="V877" ca="1">IF(A877="","",IF(E877="","",IF(B877="safety",INDIRECT("template!"&amp;"P"&amp;A877),S877+T877)))</f>
        <v>#REF!</v>
      </c>
      <c r="W877" t="e">
        <f ca="1">IF(A877="","",IF(E877="","",#REF!))</f>
        <v>#REF!</v>
      </c>
      <c r="X877" t="e">
        <f ca="1">IF(A877="","",IF(E877="","",#REF!))</f>
        <v>#REF!</v>
      </c>
      <c r="Y877" s="39" t="e">
        <f ca="1">IF(A877="","",IF(E877="","",#REF!))</f>
        <v>#REF!</v>
      </c>
      <c r="Z877" t="e">
        <f ca="1">IF(A877="","",IF(E877="","",#REF!))</f>
        <v>#REF!</v>
      </c>
      <c r="AA877" t="e">
        <f ca="1">IF(A877="","",IF(E877="","",#REF!))</f>
        <v>#REF!</v>
      </c>
      <c r="AB877" t="e">
        <f ca="1">IF(A877="","",IF(E877="","",#REF!))</f>
        <v>#REF!</v>
      </c>
      <c r="AC877" t="e">
        <f t="shared" ca="1" si="80"/>
        <v>#REF!</v>
      </c>
    </row>
    <row r="878" spans="1:29" x14ac:dyDescent="0.35">
      <c r="A878" t="e" cm="1">
        <f t="array" aca="1" ref="A878" ca="1">IF(A877="","",IF(OR(AND(A877+1&gt;=$AF$1,A877+1&lt;=$AF$2),AND(A877+1&gt;=$AF$6,A877+1&lt;=$AF$7),AND(A877+1&gt;=$AF$3,A877+1&lt;=$AF$4),AND(A877+1&gt;=$AF$8,A877+1&lt;=$AF$9),A877+1=$AF$5),IF(NOT(ISBLANK(INDIRECT("template!"&amp;"P"&amp;A877+1))),A877+1,IF(NOT(ISBLANK(INDIRECT("template!"&amp;"P"&amp;A877+2))),A877+2,A877+3)),IF(A877=$AF$2,$AF$3,IF(A877=$AF$4,$AF$5,IF(A877=$AF$5,$AF$6,IF(A877=$AF$7,$AF$8,""))))))</f>
        <v>#REF!</v>
      </c>
      <c r="B878" t="e">
        <f t="shared" ca="1" si="75"/>
        <v>#REF!</v>
      </c>
      <c r="C878" t="e" cm="1">
        <f t="array" aca="1" ref="C878" ca="1">IF(A878="","",IF(B878="safety","safety costs",INDIRECT("template!"&amp;"B"&amp;A878)))</f>
        <v>#REF!</v>
      </c>
      <c r="D878" t="e" cm="1">
        <f t="array" aca="1" ref="D878" ca="1">IF(OR(A878="",B878="safety"),"",INDIRECT("template!"&amp;"C"&amp;A878))</f>
        <v>#REF!</v>
      </c>
      <c r="E878" t="e" cm="1">
        <f t="array" aca="1" ref="E878" ca="1">IF(A878="","",IF(OR(A878=A877+1,A878=A877+2),E877,INDIRECT("template!"&amp;"D"&amp;A878-2)))</f>
        <v>#REF!</v>
      </c>
      <c r="F878" t="e" cm="1">
        <f t="array" aca="1" ref="F878" ca="1">IF(OR(A878="",B878="safety"),"",IF(ISBLANK(IF(A878=A877+1,F877,INDIRECT("template!"&amp;"D"&amp;A878-1))),"",IF(A878=A877+1,F877,INDIRECT("template!"&amp;"D"&amp;A878-1))))</f>
        <v>#REF!</v>
      </c>
      <c r="G878" t="e" cm="1">
        <f t="array" aca="1" ref="G878" ca="1">IF(OR(A878="",B878="safety"),"",IF(ISBLANK(INDIRECT("template!"&amp;"D"&amp;A878)),"",INDIRECT("template!"&amp;"D"&amp;A878)))</f>
        <v>#REF!</v>
      </c>
      <c r="H878" t="e" cm="1">
        <f t="array" aca="1" ref="H878" ca="1">IF(OR(A878="",B878="safety"),"",IF(ISBLANK(INDIRECT("template!"&amp;"E"&amp;A878)),"",INDIRECT("template!"&amp;"E"&amp;A878)))</f>
        <v>#REF!</v>
      </c>
      <c r="I878" t="e" cm="1">
        <f t="array" aca="1" ref="I878" ca="1">IF(OR(A878="",B878="safety"),"",IF(ISBLANK(INDIRECT("template!"&amp;"F"&amp;A878)),"",INDIRECT("template!"&amp;"F"&amp;A878)))</f>
        <v>#REF!</v>
      </c>
      <c r="J878" t="e" cm="1">
        <f t="array" aca="1" ref="J878" ca="1">IF(OR(A878="",B878="safety"),"",IF(ISBLANK(INDIRECT("template!"&amp;"G"&amp;A878)),"",INDIRECT("template!"&amp;"G"&amp;A878)))</f>
        <v>#REF!</v>
      </c>
      <c r="K878" t="e" cm="1">
        <f t="array" aca="1" ref="K878" ca="1">IF(OR(A878="",B878="safety"),"",IF(ISBLANK(INDIRECT("template!"&amp;"H"&amp;A878)),"",INDIRECT("template!"&amp;"H"&amp;A878)))</f>
        <v>#REF!</v>
      </c>
      <c r="L878" t="e" cm="1">
        <f t="array" aca="1" ref="L878" ca="1">IF(OR(A878="",B878="safety"),"",INDIRECT("template!"&amp;"I"&amp;A878))</f>
        <v>#REF!</v>
      </c>
      <c r="M878" t="e" cm="1">
        <f t="array" aca="1" ref="M878" ca="1">IF(OR(A878="",B878="safety"),"",INDIRECT("template!"&amp;"J"&amp;A878))</f>
        <v>#REF!</v>
      </c>
      <c r="N878" t="e" cm="1">
        <f t="array" aca="1" ref="N878" ca="1">IF(OR(A878="",B878="safety"),"",IF(ISBLANK(INDIRECT("template!"&amp;"K"&amp;A878)),"",INDIRECT("template!"&amp;"K"&amp;A878)))</f>
        <v>#REF!</v>
      </c>
      <c r="O878" t="e" cm="1">
        <f t="array" aca="1" ref="O878" ca="1">IF(OR(A878="",B878="safety"),"",INDIRECT("template!"&amp;"L"&amp;A878))</f>
        <v>#REF!</v>
      </c>
      <c r="P878" t="e" cm="1">
        <f t="array" aca="1" ref="P878" ca="1">IF(OR(A878="",B878="safety"),"",INDIRECT("template!"&amp;"M"&amp;A878))</f>
        <v>#REF!</v>
      </c>
      <c r="Q878" t="e">
        <f t="shared" ca="1" si="76"/>
        <v>#REF!</v>
      </c>
      <c r="R878" t="e">
        <f t="shared" ca="1" si="77"/>
        <v>#REF!</v>
      </c>
      <c r="S878" t="e">
        <f t="shared" ca="1" si="78"/>
        <v>#REF!</v>
      </c>
      <c r="T878" t="e">
        <f t="shared" ca="1" si="79"/>
        <v>#REF!</v>
      </c>
      <c r="U878" t="e" cm="1">
        <f t="array" aca="1" ref="U878" ca="1">IF(A878="","",IF(E878="","",IF(B878="safety",INDIRECT("template!"&amp;"P"&amp;A878),Q878+R878)))</f>
        <v>#REF!</v>
      </c>
      <c r="V878" t="e" cm="1">
        <f t="array" aca="1" ref="V878" ca="1">IF(A878="","",IF(E878="","",IF(B878="safety",INDIRECT("template!"&amp;"P"&amp;A878),S878+T878)))</f>
        <v>#REF!</v>
      </c>
      <c r="W878" t="e">
        <f ca="1">IF(A878="","",IF(E878="","",#REF!))</f>
        <v>#REF!</v>
      </c>
      <c r="X878" t="e">
        <f ca="1">IF(A878="","",IF(E878="","",#REF!))</f>
        <v>#REF!</v>
      </c>
      <c r="Y878" s="39" t="e">
        <f ca="1">IF(A878="","",IF(E878="","",#REF!))</f>
        <v>#REF!</v>
      </c>
      <c r="Z878" t="e">
        <f ca="1">IF(A878="","",IF(E878="","",#REF!))</f>
        <v>#REF!</v>
      </c>
      <c r="AA878" t="e">
        <f ca="1">IF(A878="","",IF(E878="","",#REF!))</f>
        <v>#REF!</v>
      </c>
      <c r="AB878" t="e">
        <f ca="1">IF(A878="","",IF(E878="","",#REF!))</f>
        <v>#REF!</v>
      </c>
      <c r="AC878" t="e">
        <f t="shared" ca="1" si="80"/>
        <v>#REF!</v>
      </c>
    </row>
    <row r="879" spans="1:29" x14ac:dyDescent="0.35">
      <c r="A879" t="e" cm="1">
        <f t="array" aca="1" ref="A879" ca="1">IF(A878="","",IF(OR(AND(A878+1&gt;=$AF$1,A878+1&lt;=$AF$2),AND(A878+1&gt;=$AF$6,A878+1&lt;=$AF$7),AND(A878+1&gt;=$AF$3,A878+1&lt;=$AF$4),AND(A878+1&gt;=$AF$8,A878+1&lt;=$AF$9),A878+1=$AF$5),IF(NOT(ISBLANK(INDIRECT("template!"&amp;"P"&amp;A878+1))),A878+1,IF(NOT(ISBLANK(INDIRECT("template!"&amp;"P"&amp;A878+2))),A878+2,A878+3)),IF(A878=$AF$2,$AF$3,IF(A878=$AF$4,$AF$5,IF(A878=$AF$5,$AF$6,IF(A878=$AF$7,$AF$8,""))))))</f>
        <v>#REF!</v>
      </c>
      <c r="B879" t="e">
        <f t="shared" ca="1" si="75"/>
        <v>#REF!</v>
      </c>
      <c r="C879" t="e" cm="1">
        <f t="array" aca="1" ref="C879" ca="1">IF(A879="","",IF(B879="safety","safety costs",INDIRECT("template!"&amp;"B"&amp;A879)))</f>
        <v>#REF!</v>
      </c>
      <c r="D879" t="e" cm="1">
        <f t="array" aca="1" ref="D879" ca="1">IF(OR(A879="",B879="safety"),"",INDIRECT("template!"&amp;"C"&amp;A879))</f>
        <v>#REF!</v>
      </c>
      <c r="E879" t="e" cm="1">
        <f t="array" aca="1" ref="E879" ca="1">IF(A879="","",IF(OR(A879=A878+1,A879=A878+2),E878,INDIRECT("template!"&amp;"D"&amp;A879-2)))</f>
        <v>#REF!</v>
      </c>
      <c r="F879" t="e" cm="1">
        <f t="array" aca="1" ref="F879" ca="1">IF(OR(A879="",B879="safety"),"",IF(ISBLANK(IF(A879=A878+1,F878,INDIRECT("template!"&amp;"D"&amp;A879-1))),"",IF(A879=A878+1,F878,INDIRECT("template!"&amp;"D"&amp;A879-1))))</f>
        <v>#REF!</v>
      </c>
      <c r="G879" t="e" cm="1">
        <f t="array" aca="1" ref="G879" ca="1">IF(OR(A879="",B879="safety"),"",IF(ISBLANK(INDIRECT("template!"&amp;"D"&amp;A879)),"",INDIRECT("template!"&amp;"D"&amp;A879)))</f>
        <v>#REF!</v>
      </c>
      <c r="H879" t="e" cm="1">
        <f t="array" aca="1" ref="H879" ca="1">IF(OR(A879="",B879="safety"),"",IF(ISBLANK(INDIRECT("template!"&amp;"E"&amp;A879)),"",INDIRECT("template!"&amp;"E"&amp;A879)))</f>
        <v>#REF!</v>
      </c>
      <c r="I879" t="e" cm="1">
        <f t="array" aca="1" ref="I879" ca="1">IF(OR(A879="",B879="safety"),"",IF(ISBLANK(INDIRECT("template!"&amp;"F"&amp;A879)),"",INDIRECT("template!"&amp;"F"&amp;A879)))</f>
        <v>#REF!</v>
      </c>
      <c r="J879" t="e" cm="1">
        <f t="array" aca="1" ref="J879" ca="1">IF(OR(A879="",B879="safety"),"",IF(ISBLANK(INDIRECT("template!"&amp;"G"&amp;A879)),"",INDIRECT("template!"&amp;"G"&amp;A879)))</f>
        <v>#REF!</v>
      </c>
      <c r="K879" t="e" cm="1">
        <f t="array" aca="1" ref="K879" ca="1">IF(OR(A879="",B879="safety"),"",IF(ISBLANK(INDIRECT("template!"&amp;"H"&amp;A879)),"",INDIRECT("template!"&amp;"H"&amp;A879)))</f>
        <v>#REF!</v>
      </c>
      <c r="L879" t="e" cm="1">
        <f t="array" aca="1" ref="L879" ca="1">IF(OR(A879="",B879="safety"),"",INDIRECT("template!"&amp;"I"&amp;A879))</f>
        <v>#REF!</v>
      </c>
      <c r="M879" t="e" cm="1">
        <f t="array" aca="1" ref="M879" ca="1">IF(OR(A879="",B879="safety"),"",INDIRECT("template!"&amp;"J"&amp;A879))</f>
        <v>#REF!</v>
      </c>
      <c r="N879" t="e" cm="1">
        <f t="array" aca="1" ref="N879" ca="1">IF(OR(A879="",B879="safety"),"",IF(ISBLANK(INDIRECT("template!"&amp;"K"&amp;A879)),"",INDIRECT("template!"&amp;"K"&amp;A879)))</f>
        <v>#REF!</v>
      </c>
      <c r="O879" t="e" cm="1">
        <f t="array" aca="1" ref="O879" ca="1">IF(OR(A879="",B879="safety"),"",INDIRECT("template!"&amp;"L"&amp;A879))</f>
        <v>#REF!</v>
      </c>
      <c r="P879" t="e" cm="1">
        <f t="array" aca="1" ref="P879" ca="1">IF(OR(A879="",B879="safety"),"",INDIRECT("template!"&amp;"M"&amp;A879))</f>
        <v>#REF!</v>
      </c>
      <c r="Q879" t="e">
        <f t="shared" ca="1" si="76"/>
        <v>#REF!</v>
      </c>
      <c r="R879" t="e">
        <f t="shared" ca="1" si="77"/>
        <v>#REF!</v>
      </c>
      <c r="S879" t="e">
        <f t="shared" ca="1" si="78"/>
        <v>#REF!</v>
      </c>
      <c r="T879" t="e">
        <f t="shared" ca="1" si="79"/>
        <v>#REF!</v>
      </c>
      <c r="U879" t="e" cm="1">
        <f t="array" aca="1" ref="U879" ca="1">IF(A879="","",IF(E879="","",IF(B879="safety",INDIRECT("template!"&amp;"P"&amp;A879),Q879+R879)))</f>
        <v>#REF!</v>
      </c>
      <c r="V879" t="e" cm="1">
        <f t="array" aca="1" ref="V879" ca="1">IF(A879="","",IF(E879="","",IF(B879="safety",INDIRECT("template!"&amp;"P"&amp;A879),S879+T879)))</f>
        <v>#REF!</v>
      </c>
      <c r="W879" t="e">
        <f ca="1">IF(A879="","",IF(E879="","",#REF!))</f>
        <v>#REF!</v>
      </c>
      <c r="X879" t="e">
        <f ca="1">IF(A879="","",IF(E879="","",#REF!))</f>
        <v>#REF!</v>
      </c>
      <c r="Y879" s="39" t="e">
        <f ca="1">IF(A879="","",IF(E879="","",#REF!))</f>
        <v>#REF!</v>
      </c>
      <c r="Z879" t="e">
        <f ca="1">IF(A879="","",IF(E879="","",#REF!))</f>
        <v>#REF!</v>
      </c>
      <c r="AA879" t="e">
        <f ca="1">IF(A879="","",IF(E879="","",#REF!))</f>
        <v>#REF!</v>
      </c>
      <c r="AB879" t="e">
        <f ca="1">IF(A879="","",IF(E879="","",#REF!))</f>
        <v>#REF!</v>
      </c>
      <c r="AC879" t="e">
        <f t="shared" ca="1" si="80"/>
        <v>#REF!</v>
      </c>
    </row>
    <row r="880" spans="1:29" x14ac:dyDescent="0.35">
      <c r="A880" t="e" cm="1">
        <f t="array" aca="1" ref="A880" ca="1">IF(A879="","",IF(OR(AND(A879+1&gt;=$AF$1,A879+1&lt;=$AF$2),AND(A879+1&gt;=$AF$6,A879+1&lt;=$AF$7),AND(A879+1&gt;=$AF$3,A879+1&lt;=$AF$4),AND(A879+1&gt;=$AF$8,A879+1&lt;=$AF$9),A879+1=$AF$5),IF(NOT(ISBLANK(INDIRECT("template!"&amp;"P"&amp;A879+1))),A879+1,IF(NOT(ISBLANK(INDIRECT("template!"&amp;"P"&amp;A879+2))),A879+2,A879+3)),IF(A879=$AF$2,$AF$3,IF(A879=$AF$4,$AF$5,IF(A879=$AF$5,$AF$6,IF(A879=$AF$7,$AF$8,""))))))</f>
        <v>#REF!</v>
      </c>
      <c r="B880" t="e">
        <f t="shared" ca="1" si="75"/>
        <v>#REF!</v>
      </c>
      <c r="C880" t="e" cm="1">
        <f t="array" aca="1" ref="C880" ca="1">IF(A880="","",IF(B880="safety","safety costs",INDIRECT("template!"&amp;"B"&amp;A880)))</f>
        <v>#REF!</v>
      </c>
      <c r="D880" t="e" cm="1">
        <f t="array" aca="1" ref="D880" ca="1">IF(OR(A880="",B880="safety"),"",INDIRECT("template!"&amp;"C"&amp;A880))</f>
        <v>#REF!</v>
      </c>
      <c r="E880" t="e" cm="1">
        <f t="array" aca="1" ref="E880" ca="1">IF(A880="","",IF(OR(A880=A879+1,A880=A879+2),E879,INDIRECT("template!"&amp;"D"&amp;A880-2)))</f>
        <v>#REF!</v>
      </c>
      <c r="F880" t="e" cm="1">
        <f t="array" aca="1" ref="F880" ca="1">IF(OR(A880="",B880="safety"),"",IF(ISBLANK(IF(A880=A879+1,F879,INDIRECT("template!"&amp;"D"&amp;A880-1))),"",IF(A880=A879+1,F879,INDIRECT("template!"&amp;"D"&amp;A880-1))))</f>
        <v>#REF!</v>
      </c>
      <c r="G880" t="e" cm="1">
        <f t="array" aca="1" ref="G880" ca="1">IF(OR(A880="",B880="safety"),"",IF(ISBLANK(INDIRECT("template!"&amp;"D"&amp;A880)),"",INDIRECT("template!"&amp;"D"&amp;A880)))</f>
        <v>#REF!</v>
      </c>
      <c r="H880" t="e" cm="1">
        <f t="array" aca="1" ref="H880" ca="1">IF(OR(A880="",B880="safety"),"",IF(ISBLANK(INDIRECT("template!"&amp;"E"&amp;A880)),"",INDIRECT("template!"&amp;"E"&amp;A880)))</f>
        <v>#REF!</v>
      </c>
      <c r="I880" t="e" cm="1">
        <f t="array" aca="1" ref="I880" ca="1">IF(OR(A880="",B880="safety"),"",IF(ISBLANK(INDIRECT("template!"&amp;"F"&amp;A880)),"",INDIRECT("template!"&amp;"F"&amp;A880)))</f>
        <v>#REF!</v>
      </c>
      <c r="J880" t="e" cm="1">
        <f t="array" aca="1" ref="J880" ca="1">IF(OR(A880="",B880="safety"),"",IF(ISBLANK(INDIRECT("template!"&amp;"G"&amp;A880)),"",INDIRECT("template!"&amp;"G"&amp;A880)))</f>
        <v>#REF!</v>
      </c>
      <c r="K880" t="e" cm="1">
        <f t="array" aca="1" ref="K880" ca="1">IF(OR(A880="",B880="safety"),"",IF(ISBLANK(INDIRECT("template!"&amp;"H"&amp;A880)),"",INDIRECT("template!"&amp;"H"&amp;A880)))</f>
        <v>#REF!</v>
      </c>
      <c r="L880" t="e" cm="1">
        <f t="array" aca="1" ref="L880" ca="1">IF(OR(A880="",B880="safety"),"",INDIRECT("template!"&amp;"I"&amp;A880))</f>
        <v>#REF!</v>
      </c>
      <c r="M880" t="e" cm="1">
        <f t="array" aca="1" ref="M880" ca="1">IF(OR(A880="",B880="safety"),"",INDIRECT("template!"&amp;"J"&amp;A880))</f>
        <v>#REF!</v>
      </c>
      <c r="N880" t="e" cm="1">
        <f t="array" aca="1" ref="N880" ca="1">IF(OR(A880="",B880="safety"),"",IF(ISBLANK(INDIRECT("template!"&amp;"K"&amp;A880)),"",INDIRECT("template!"&amp;"K"&amp;A880)))</f>
        <v>#REF!</v>
      </c>
      <c r="O880" t="e" cm="1">
        <f t="array" aca="1" ref="O880" ca="1">IF(OR(A880="",B880="safety"),"",INDIRECT("template!"&amp;"L"&amp;A880))</f>
        <v>#REF!</v>
      </c>
      <c r="P880" t="e" cm="1">
        <f t="array" aca="1" ref="P880" ca="1">IF(OR(A880="",B880="safety"),"",INDIRECT("template!"&amp;"M"&amp;A880))</f>
        <v>#REF!</v>
      </c>
      <c r="Q880" t="e">
        <f t="shared" ca="1" si="76"/>
        <v>#REF!</v>
      </c>
      <c r="R880" t="e">
        <f t="shared" ca="1" si="77"/>
        <v>#REF!</v>
      </c>
      <c r="S880" t="e">
        <f t="shared" ca="1" si="78"/>
        <v>#REF!</v>
      </c>
      <c r="T880" t="e">
        <f t="shared" ca="1" si="79"/>
        <v>#REF!</v>
      </c>
      <c r="U880" t="e" cm="1">
        <f t="array" aca="1" ref="U880" ca="1">IF(A880="","",IF(E880="","",IF(B880="safety",INDIRECT("template!"&amp;"P"&amp;A880),Q880+R880)))</f>
        <v>#REF!</v>
      </c>
      <c r="V880" t="e" cm="1">
        <f t="array" aca="1" ref="V880" ca="1">IF(A880="","",IF(E880="","",IF(B880="safety",INDIRECT("template!"&amp;"P"&amp;A880),S880+T880)))</f>
        <v>#REF!</v>
      </c>
      <c r="W880" t="e">
        <f ca="1">IF(A880="","",IF(E880="","",#REF!))</f>
        <v>#REF!</v>
      </c>
      <c r="X880" t="e">
        <f ca="1">IF(A880="","",IF(E880="","",#REF!))</f>
        <v>#REF!</v>
      </c>
      <c r="Y880" s="39" t="e">
        <f ca="1">IF(A880="","",IF(E880="","",#REF!))</f>
        <v>#REF!</v>
      </c>
      <c r="Z880" t="e">
        <f ca="1">IF(A880="","",IF(E880="","",#REF!))</f>
        <v>#REF!</v>
      </c>
      <c r="AA880" t="e">
        <f ca="1">IF(A880="","",IF(E880="","",#REF!))</f>
        <v>#REF!</v>
      </c>
      <c r="AB880" t="e">
        <f ca="1">IF(A880="","",IF(E880="","",#REF!))</f>
        <v>#REF!</v>
      </c>
      <c r="AC880" t="e">
        <f t="shared" ca="1" si="80"/>
        <v>#REF!</v>
      </c>
    </row>
    <row r="881" spans="1:29" x14ac:dyDescent="0.35">
      <c r="A881" t="e" cm="1">
        <f t="array" aca="1" ref="A881" ca="1">IF(A880="","",IF(OR(AND(A880+1&gt;=$AF$1,A880+1&lt;=$AF$2),AND(A880+1&gt;=$AF$6,A880+1&lt;=$AF$7),AND(A880+1&gt;=$AF$3,A880+1&lt;=$AF$4),AND(A880+1&gt;=$AF$8,A880+1&lt;=$AF$9),A880+1=$AF$5),IF(NOT(ISBLANK(INDIRECT("template!"&amp;"P"&amp;A880+1))),A880+1,IF(NOT(ISBLANK(INDIRECT("template!"&amp;"P"&amp;A880+2))),A880+2,A880+3)),IF(A880=$AF$2,$AF$3,IF(A880=$AF$4,$AF$5,IF(A880=$AF$5,$AF$6,IF(A880=$AF$7,$AF$8,""))))))</f>
        <v>#REF!</v>
      </c>
      <c r="B881" t="e">
        <f t="shared" ca="1" si="75"/>
        <v>#REF!</v>
      </c>
      <c r="C881" t="e" cm="1">
        <f t="array" aca="1" ref="C881" ca="1">IF(A881="","",IF(B881="safety","safety costs",INDIRECT("template!"&amp;"B"&amp;A881)))</f>
        <v>#REF!</v>
      </c>
      <c r="D881" t="e" cm="1">
        <f t="array" aca="1" ref="D881" ca="1">IF(OR(A881="",B881="safety"),"",INDIRECT("template!"&amp;"C"&amp;A881))</f>
        <v>#REF!</v>
      </c>
      <c r="E881" t="e" cm="1">
        <f t="array" aca="1" ref="E881" ca="1">IF(A881="","",IF(OR(A881=A880+1,A881=A880+2),E880,INDIRECT("template!"&amp;"D"&amp;A881-2)))</f>
        <v>#REF!</v>
      </c>
      <c r="F881" t="e" cm="1">
        <f t="array" aca="1" ref="F881" ca="1">IF(OR(A881="",B881="safety"),"",IF(ISBLANK(IF(A881=A880+1,F880,INDIRECT("template!"&amp;"D"&amp;A881-1))),"",IF(A881=A880+1,F880,INDIRECT("template!"&amp;"D"&amp;A881-1))))</f>
        <v>#REF!</v>
      </c>
      <c r="G881" t="e" cm="1">
        <f t="array" aca="1" ref="G881" ca="1">IF(OR(A881="",B881="safety"),"",IF(ISBLANK(INDIRECT("template!"&amp;"D"&amp;A881)),"",INDIRECT("template!"&amp;"D"&amp;A881)))</f>
        <v>#REF!</v>
      </c>
      <c r="H881" t="e" cm="1">
        <f t="array" aca="1" ref="H881" ca="1">IF(OR(A881="",B881="safety"),"",IF(ISBLANK(INDIRECT("template!"&amp;"E"&amp;A881)),"",INDIRECT("template!"&amp;"E"&amp;A881)))</f>
        <v>#REF!</v>
      </c>
      <c r="I881" t="e" cm="1">
        <f t="array" aca="1" ref="I881" ca="1">IF(OR(A881="",B881="safety"),"",IF(ISBLANK(INDIRECT("template!"&amp;"F"&amp;A881)),"",INDIRECT("template!"&amp;"F"&amp;A881)))</f>
        <v>#REF!</v>
      </c>
      <c r="J881" t="e" cm="1">
        <f t="array" aca="1" ref="J881" ca="1">IF(OR(A881="",B881="safety"),"",IF(ISBLANK(INDIRECT("template!"&amp;"G"&amp;A881)),"",INDIRECT("template!"&amp;"G"&amp;A881)))</f>
        <v>#REF!</v>
      </c>
      <c r="K881" t="e" cm="1">
        <f t="array" aca="1" ref="K881" ca="1">IF(OR(A881="",B881="safety"),"",IF(ISBLANK(INDIRECT("template!"&amp;"H"&amp;A881)),"",INDIRECT("template!"&amp;"H"&amp;A881)))</f>
        <v>#REF!</v>
      </c>
      <c r="L881" t="e" cm="1">
        <f t="array" aca="1" ref="L881" ca="1">IF(OR(A881="",B881="safety"),"",INDIRECT("template!"&amp;"I"&amp;A881))</f>
        <v>#REF!</v>
      </c>
      <c r="M881" t="e" cm="1">
        <f t="array" aca="1" ref="M881" ca="1">IF(OR(A881="",B881="safety"),"",INDIRECT("template!"&amp;"J"&amp;A881))</f>
        <v>#REF!</v>
      </c>
      <c r="N881" t="e" cm="1">
        <f t="array" aca="1" ref="N881" ca="1">IF(OR(A881="",B881="safety"),"",IF(ISBLANK(INDIRECT("template!"&amp;"K"&amp;A881)),"",INDIRECT("template!"&amp;"K"&amp;A881)))</f>
        <v>#REF!</v>
      </c>
      <c r="O881" t="e" cm="1">
        <f t="array" aca="1" ref="O881" ca="1">IF(OR(A881="",B881="safety"),"",INDIRECT("template!"&amp;"L"&amp;A881))</f>
        <v>#REF!</v>
      </c>
      <c r="P881" t="e" cm="1">
        <f t="array" aca="1" ref="P881" ca="1">IF(OR(A881="",B881="safety"),"",INDIRECT("template!"&amp;"M"&amp;A881))</f>
        <v>#REF!</v>
      </c>
      <c r="Q881" t="e">
        <f t="shared" ca="1" si="76"/>
        <v>#REF!</v>
      </c>
      <c r="R881" t="e">
        <f t="shared" ca="1" si="77"/>
        <v>#REF!</v>
      </c>
      <c r="S881" t="e">
        <f t="shared" ca="1" si="78"/>
        <v>#REF!</v>
      </c>
      <c r="T881" t="e">
        <f t="shared" ca="1" si="79"/>
        <v>#REF!</v>
      </c>
      <c r="U881" t="e" cm="1">
        <f t="array" aca="1" ref="U881" ca="1">IF(A881="","",IF(E881="","",IF(B881="safety",INDIRECT("template!"&amp;"P"&amp;A881),Q881+R881)))</f>
        <v>#REF!</v>
      </c>
      <c r="V881" t="e" cm="1">
        <f t="array" aca="1" ref="V881" ca="1">IF(A881="","",IF(E881="","",IF(B881="safety",INDIRECT("template!"&amp;"P"&amp;A881),S881+T881)))</f>
        <v>#REF!</v>
      </c>
      <c r="W881" t="e">
        <f ca="1">IF(A881="","",IF(E881="","",#REF!))</f>
        <v>#REF!</v>
      </c>
      <c r="X881" t="e">
        <f ca="1">IF(A881="","",IF(E881="","",#REF!))</f>
        <v>#REF!</v>
      </c>
      <c r="Y881" s="39" t="e">
        <f ca="1">IF(A881="","",IF(E881="","",#REF!))</f>
        <v>#REF!</v>
      </c>
      <c r="Z881" t="e">
        <f ca="1">IF(A881="","",IF(E881="","",#REF!))</f>
        <v>#REF!</v>
      </c>
      <c r="AA881" t="e">
        <f ca="1">IF(A881="","",IF(E881="","",#REF!))</f>
        <v>#REF!</v>
      </c>
      <c r="AB881" t="e">
        <f ca="1">IF(A881="","",IF(E881="","",#REF!))</f>
        <v>#REF!</v>
      </c>
      <c r="AC881" t="e">
        <f t="shared" ca="1" si="80"/>
        <v>#REF!</v>
      </c>
    </row>
    <row r="882" spans="1:29" x14ac:dyDescent="0.35">
      <c r="A882" t="e" cm="1">
        <f t="array" aca="1" ref="A882" ca="1">IF(A881="","",IF(OR(AND(A881+1&gt;=$AF$1,A881+1&lt;=$AF$2),AND(A881+1&gt;=$AF$6,A881+1&lt;=$AF$7),AND(A881+1&gt;=$AF$3,A881+1&lt;=$AF$4),AND(A881+1&gt;=$AF$8,A881+1&lt;=$AF$9),A881+1=$AF$5),IF(NOT(ISBLANK(INDIRECT("template!"&amp;"P"&amp;A881+1))),A881+1,IF(NOT(ISBLANK(INDIRECT("template!"&amp;"P"&amp;A881+2))),A881+2,A881+3)),IF(A881=$AF$2,$AF$3,IF(A881=$AF$4,$AF$5,IF(A881=$AF$5,$AF$6,IF(A881=$AF$7,$AF$8,""))))))</f>
        <v>#REF!</v>
      </c>
      <c r="B882" t="e">
        <f t="shared" ca="1" si="75"/>
        <v>#REF!</v>
      </c>
      <c r="C882" t="e" cm="1">
        <f t="array" aca="1" ref="C882" ca="1">IF(A882="","",IF(B882="safety","safety costs",INDIRECT("template!"&amp;"B"&amp;A882)))</f>
        <v>#REF!</v>
      </c>
      <c r="D882" t="e" cm="1">
        <f t="array" aca="1" ref="D882" ca="1">IF(OR(A882="",B882="safety"),"",INDIRECT("template!"&amp;"C"&amp;A882))</f>
        <v>#REF!</v>
      </c>
      <c r="E882" t="e" cm="1">
        <f t="array" aca="1" ref="E882" ca="1">IF(A882="","",IF(OR(A882=A881+1,A882=A881+2),E881,INDIRECT("template!"&amp;"D"&amp;A882-2)))</f>
        <v>#REF!</v>
      </c>
      <c r="F882" t="e" cm="1">
        <f t="array" aca="1" ref="F882" ca="1">IF(OR(A882="",B882="safety"),"",IF(ISBLANK(IF(A882=A881+1,F881,INDIRECT("template!"&amp;"D"&amp;A882-1))),"",IF(A882=A881+1,F881,INDIRECT("template!"&amp;"D"&amp;A882-1))))</f>
        <v>#REF!</v>
      </c>
      <c r="G882" t="e" cm="1">
        <f t="array" aca="1" ref="G882" ca="1">IF(OR(A882="",B882="safety"),"",IF(ISBLANK(INDIRECT("template!"&amp;"D"&amp;A882)),"",INDIRECT("template!"&amp;"D"&amp;A882)))</f>
        <v>#REF!</v>
      </c>
      <c r="H882" t="e" cm="1">
        <f t="array" aca="1" ref="H882" ca="1">IF(OR(A882="",B882="safety"),"",IF(ISBLANK(INDIRECT("template!"&amp;"E"&amp;A882)),"",INDIRECT("template!"&amp;"E"&amp;A882)))</f>
        <v>#REF!</v>
      </c>
      <c r="I882" t="e" cm="1">
        <f t="array" aca="1" ref="I882" ca="1">IF(OR(A882="",B882="safety"),"",IF(ISBLANK(INDIRECT("template!"&amp;"F"&amp;A882)),"",INDIRECT("template!"&amp;"F"&amp;A882)))</f>
        <v>#REF!</v>
      </c>
      <c r="J882" t="e" cm="1">
        <f t="array" aca="1" ref="J882" ca="1">IF(OR(A882="",B882="safety"),"",IF(ISBLANK(INDIRECT("template!"&amp;"G"&amp;A882)),"",INDIRECT("template!"&amp;"G"&amp;A882)))</f>
        <v>#REF!</v>
      </c>
      <c r="K882" t="e" cm="1">
        <f t="array" aca="1" ref="K882" ca="1">IF(OR(A882="",B882="safety"),"",IF(ISBLANK(INDIRECT("template!"&amp;"H"&amp;A882)),"",INDIRECT("template!"&amp;"H"&amp;A882)))</f>
        <v>#REF!</v>
      </c>
      <c r="L882" t="e" cm="1">
        <f t="array" aca="1" ref="L882" ca="1">IF(OR(A882="",B882="safety"),"",INDIRECT("template!"&amp;"I"&amp;A882))</f>
        <v>#REF!</v>
      </c>
      <c r="M882" t="e" cm="1">
        <f t="array" aca="1" ref="M882" ca="1">IF(OR(A882="",B882="safety"),"",INDIRECT("template!"&amp;"J"&amp;A882))</f>
        <v>#REF!</v>
      </c>
      <c r="N882" t="e" cm="1">
        <f t="array" aca="1" ref="N882" ca="1">IF(OR(A882="",B882="safety"),"",IF(ISBLANK(INDIRECT("template!"&amp;"K"&amp;A882)),"",INDIRECT("template!"&amp;"K"&amp;A882)))</f>
        <v>#REF!</v>
      </c>
      <c r="O882" t="e" cm="1">
        <f t="array" aca="1" ref="O882" ca="1">IF(OR(A882="",B882="safety"),"",INDIRECT("template!"&amp;"L"&amp;A882))</f>
        <v>#REF!</v>
      </c>
      <c r="P882" t="e" cm="1">
        <f t="array" aca="1" ref="P882" ca="1">IF(OR(A882="",B882="safety"),"",INDIRECT("template!"&amp;"M"&amp;A882))</f>
        <v>#REF!</v>
      </c>
      <c r="Q882" t="e">
        <f t="shared" ca="1" si="76"/>
        <v>#REF!</v>
      </c>
      <c r="R882" t="e">
        <f t="shared" ca="1" si="77"/>
        <v>#REF!</v>
      </c>
      <c r="S882" t="e">
        <f t="shared" ca="1" si="78"/>
        <v>#REF!</v>
      </c>
      <c r="T882" t="e">
        <f t="shared" ca="1" si="79"/>
        <v>#REF!</v>
      </c>
      <c r="U882" t="e" cm="1">
        <f t="array" aca="1" ref="U882" ca="1">IF(A882="","",IF(E882="","",IF(B882="safety",INDIRECT("template!"&amp;"P"&amp;A882),Q882+R882)))</f>
        <v>#REF!</v>
      </c>
      <c r="V882" t="e" cm="1">
        <f t="array" aca="1" ref="V882" ca="1">IF(A882="","",IF(E882="","",IF(B882="safety",INDIRECT("template!"&amp;"P"&amp;A882),S882+T882)))</f>
        <v>#REF!</v>
      </c>
      <c r="W882" t="e">
        <f ca="1">IF(A882="","",IF(E882="","",#REF!))</f>
        <v>#REF!</v>
      </c>
      <c r="X882" t="e">
        <f ca="1">IF(A882="","",IF(E882="","",#REF!))</f>
        <v>#REF!</v>
      </c>
      <c r="Y882" s="39" t="e">
        <f ca="1">IF(A882="","",IF(E882="","",#REF!))</f>
        <v>#REF!</v>
      </c>
      <c r="Z882" t="e">
        <f ca="1">IF(A882="","",IF(E882="","",#REF!))</f>
        <v>#REF!</v>
      </c>
      <c r="AA882" t="e">
        <f ca="1">IF(A882="","",IF(E882="","",#REF!))</f>
        <v>#REF!</v>
      </c>
      <c r="AB882" t="e">
        <f ca="1">IF(A882="","",IF(E882="","",#REF!))</f>
        <v>#REF!</v>
      </c>
      <c r="AC882" t="e">
        <f t="shared" ca="1" si="80"/>
        <v>#REF!</v>
      </c>
    </row>
    <row r="883" spans="1:29" x14ac:dyDescent="0.35">
      <c r="A883" t="e" cm="1">
        <f t="array" aca="1" ref="A883" ca="1">IF(A882="","",IF(OR(AND(A882+1&gt;=$AF$1,A882+1&lt;=$AF$2),AND(A882+1&gt;=$AF$6,A882+1&lt;=$AF$7),AND(A882+1&gt;=$AF$3,A882+1&lt;=$AF$4),AND(A882+1&gt;=$AF$8,A882+1&lt;=$AF$9),A882+1=$AF$5),IF(NOT(ISBLANK(INDIRECT("template!"&amp;"P"&amp;A882+1))),A882+1,IF(NOT(ISBLANK(INDIRECT("template!"&amp;"P"&amp;A882+2))),A882+2,A882+3)),IF(A882=$AF$2,$AF$3,IF(A882=$AF$4,$AF$5,IF(A882=$AF$5,$AF$6,IF(A882=$AF$7,$AF$8,""))))))</f>
        <v>#REF!</v>
      </c>
      <c r="B883" t="e">
        <f t="shared" ca="1" si="75"/>
        <v>#REF!</v>
      </c>
      <c r="C883" t="e" cm="1">
        <f t="array" aca="1" ref="C883" ca="1">IF(A883="","",IF(B883="safety","safety costs",INDIRECT("template!"&amp;"B"&amp;A883)))</f>
        <v>#REF!</v>
      </c>
      <c r="D883" t="e" cm="1">
        <f t="array" aca="1" ref="D883" ca="1">IF(OR(A883="",B883="safety"),"",INDIRECT("template!"&amp;"C"&amp;A883))</f>
        <v>#REF!</v>
      </c>
      <c r="E883" t="e" cm="1">
        <f t="array" aca="1" ref="E883" ca="1">IF(A883="","",IF(OR(A883=A882+1,A883=A882+2),E882,INDIRECT("template!"&amp;"D"&amp;A883-2)))</f>
        <v>#REF!</v>
      </c>
      <c r="F883" t="e" cm="1">
        <f t="array" aca="1" ref="F883" ca="1">IF(OR(A883="",B883="safety"),"",IF(ISBLANK(IF(A883=A882+1,F882,INDIRECT("template!"&amp;"D"&amp;A883-1))),"",IF(A883=A882+1,F882,INDIRECT("template!"&amp;"D"&amp;A883-1))))</f>
        <v>#REF!</v>
      </c>
      <c r="G883" t="e" cm="1">
        <f t="array" aca="1" ref="G883" ca="1">IF(OR(A883="",B883="safety"),"",IF(ISBLANK(INDIRECT("template!"&amp;"D"&amp;A883)),"",INDIRECT("template!"&amp;"D"&amp;A883)))</f>
        <v>#REF!</v>
      </c>
      <c r="H883" t="e" cm="1">
        <f t="array" aca="1" ref="H883" ca="1">IF(OR(A883="",B883="safety"),"",IF(ISBLANK(INDIRECT("template!"&amp;"E"&amp;A883)),"",INDIRECT("template!"&amp;"E"&amp;A883)))</f>
        <v>#REF!</v>
      </c>
      <c r="I883" t="e" cm="1">
        <f t="array" aca="1" ref="I883" ca="1">IF(OR(A883="",B883="safety"),"",IF(ISBLANK(INDIRECT("template!"&amp;"F"&amp;A883)),"",INDIRECT("template!"&amp;"F"&amp;A883)))</f>
        <v>#REF!</v>
      </c>
      <c r="J883" t="e" cm="1">
        <f t="array" aca="1" ref="J883" ca="1">IF(OR(A883="",B883="safety"),"",IF(ISBLANK(INDIRECT("template!"&amp;"G"&amp;A883)),"",INDIRECT("template!"&amp;"G"&amp;A883)))</f>
        <v>#REF!</v>
      </c>
      <c r="K883" t="e" cm="1">
        <f t="array" aca="1" ref="K883" ca="1">IF(OR(A883="",B883="safety"),"",IF(ISBLANK(INDIRECT("template!"&amp;"H"&amp;A883)),"",INDIRECT("template!"&amp;"H"&amp;A883)))</f>
        <v>#REF!</v>
      </c>
      <c r="L883" t="e" cm="1">
        <f t="array" aca="1" ref="L883" ca="1">IF(OR(A883="",B883="safety"),"",INDIRECT("template!"&amp;"I"&amp;A883))</f>
        <v>#REF!</v>
      </c>
      <c r="M883" t="e" cm="1">
        <f t="array" aca="1" ref="M883" ca="1">IF(OR(A883="",B883="safety"),"",INDIRECT("template!"&amp;"J"&amp;A883))</f>
        <v>#REF!</v>
      </c>
      <c r="N883" t="e" cm="1">
        <f t="array" aca="1" ref="N883" ca="1">IF(OR(A883="",B883="safety"),"",IF(ISBLANK(INDIRECT("template!"&amp;"K"&amp;A883)),"",INDIRECT("template!"&amp;"K"&amp;A883)))</f>
        <v>#REF!</v>
      </c>
      <c r="O883" t="e" cm="1">
        <f t="array" aca="1" ref="O883" ca="1">IF(OR(A883="",B883="safety"),"",INDIRECT("template!"&amp;"L"&amp;A883))</f>
        <v>#REF!</v>
      </c>
      <c r="P883" t="e" cm="1">
        <f t="array" aca="1" ref="P883" ca="1">IF(OR(A883="",B883="safety"),"",INDIRECT("template!"&amp;"M"&amp;A883))</f>
        <v>#REF!</v>
      </c>
      <c r="Q883" t="e">
        <f t="shared" ca="1" si="76"/>
        <v>#REF!</v>
      </c>
      <c r="R883" t="e">
        <f t="shared" ca="1" si="77"/>
        <v>#REF!</v>
      </c>
      <c r="S883" t="e">
        <f t="shared" ca="1" si="78"/>
        <v>#REF!</v>
      </c>
      <c r="T883" t="e">
        <f t="shared" ca="1" si="79"/>
        <v>#REF!</v>
      </c>
      <c r="U883" t="e" cm="1">
        <f t="array" aca="1" ref="U883" ca="1">IF(A883="","",IF(E883="","",IF(B883="safety",INDIRECT("template!"&amp;"P"&amp;A883),Q883+R883)))</f>
        <v>#REF!</v>
      </c>
      <c r="V883" t="e" cm="1">
        <f t="array" aca="1" ref="V883" ca="1">IF(A883="","",IF(E883="","",IF(B883="safety",INDIRECT("template!"&amp;"P"&amp;A883),S883+T883)))</f>
        <v>#REF!</v>
      </c>
      <c r="W883" t="e">
        <f ca="1">IF(A883="","",IF(E883="","",#REF!))</f>
        <v>#REF!</v>
      </c>
      <c r="X883" t="e">
        <f ca="1">IF(A883="","",IF(E883="","",#REF!))</f>
        <v>#REF!</v>
      </c>
      <c r="Y883" s="39" t="e">
        <f ca="1">IF(A883="","",IF(E883="","",#REF!))</f>
        <v>#REF!</v>
      </c>
      <c r="Z883" t="e">
        <f ca="1">IF(A883="","",IF(E883="","",#REF!))</f>
        <v>#REF!</v>
      </c>
      <c r="AA883" t="e">
        <f ca="1">IF(A883="","",IF(E883="","",#REF!))</f>
        <v>#REF!</v>
      </c>
      <c r="AB883" t="e">
        <f ca="1">IF(A883="","",IF(E883="","",#REF!))</f>
        <v>#REF!</v>
      </c>
      <c r="AC883" t="e">
        <f t="shared" ca="1" si="80"/>
        <v>#REF!</v>
      </c>
    </row>
    <row r="884" spans="1:29" x14ac:dyDescent="0.35">
      <c r="A884" t="e" cm="1">
        <f t="array" aca="1" ref="A884" ca="1">IF(A883="","",IF(OR(AND(A883+1&gt;=$AF$1,A883+1&lt;=$AF$2),AND(A883+1&gt;=$AF$6,A883+1&lt;=$AF$7),AND(A883+1&gt;=$AF$3,A883+1&lt;=$AF$4),AND(A883+1&gt;=$AF$8,A883+1&lt;=$AF$9),A883+1=$AF$5),IF(NOT(ISBLANK(INDIRECT("template!"&amp;"P"&amp;A883+1))),A883+1,IF(NOT(ISBLANK(INDIRECT("template!"&amp;"P"&amp;A883+2))),A883+2,A883+3)),IF(A883=$AF$2,$AF$3,IF(A883=$AF$4,$AF$5,IF(A883=$AF$5,$AF$6,IF(A883=$AF$7,$AF$8,""))))))</f>
        <v>#REF!</v>
      </c>
      <c r="B884" t="e">
        <f t="shared" ca="1" si="75"/>
        <v>#REF!</v>
      </c>
      <c r="C884" t="e" cm="1">
        <f t="array" aca="1" ref="C884" ca="1">IF(A884="","",IF(B884="safety","safety costs",INDIRECT("template!"&amp;"B"&amp;A884)))</f>
        <v>#REF!</v>
      </c>
      <c r="D884" t="e" cm="1">
        <f t="array" aca="1" ref="D884" ca="1">IF(OR(A884="",B884="safety"),"",INDIRECT("template!"&amp;"C"&amp;A884))</f>
        <v>#REF!</v>
      </c>
      <c r="E884" t="e" cm="1">
        <f t="array" aca="1" ref="E884" ca="1">IF(A884="","",IF(OR(A884=A883+1,A884=A883+2),E883,INDIRECT("template!"&amp;"D"&amp;A884-2)))</f>
        <v>#REF!</v>
      </c>
      <c r="F884" t="e" cm="1">
        <f t="array" aca="1" ref="F884" ca="1">IF(OR(A884="",B884="safety"),"",IF(ISBLANK(IF(A884=A883+1,F883,INDIRECT("template!"&amp;"D"&amp;A884-1))),"",IF(A884=A883+1,F883,INDIRECT("template!"&amp;"D"&amp;A884-1))))</f>
        <v>#REF!</v>
      </c>
      <c r="G884" t="e" cm="1">
        <f t="array" aca="1" ref="G884" ca="1">IF(OR(A884="",B884="safety"),"",IF(ISBLANK(INDIRECT("template!"&amp;"D"&amp;A884)),"",INDIRECT("template!"&amp;"D"&amp;A884)))</f>
        <v>#REF!</v>
      </c>
      <c r="H884" t="e" cm="1">
        <f t="array" aca="1" ref="H884" ca="1">IF(OR(A884="",B884="safety"),"",IF(ISBLANK(INDIRECT("template!"&amp;"E"&amp;A884)),"",INDIRECT("template!"&amp;"E"&amp;A884)))</f>
        <v>#REF!</v>
      </c>
      <c r="I884" t="e" cm="1">
        <f t="array" aca="1" ref="I884" ca="1">IF(OR(A884="",B884="safety"),"",IF(ISBLANK(INDIRECT("template!"&amp;"F"&amp;A884)),"",INDIRECT("template!"&amp;"F"&amp;A884)))</f>
        <v>#REF!</v>
      </c>
      <c r="J884" t="e" cm="1">
        <f t="array" aca="1" ref="J884" ca="1">IF(OR(A884="",B884="safety"),"",IF(ISBLANK(INDIRECT("template!"&amp;"G"&amp;A884)),"",INDIRECT("template!"&amp;"G"&amp;A884)))</f>
        <v>#REF!</v>
      </c>
      <c r="K884" t="e" cm="1">
        <f t="array" aca="1" ref="K884" ca="1">IF(OR(A884="",B884="safety"),"",IF(ISBLANK(INDIRECT("template!"&amp;"H"&amp;A884)),"",INDIRECT("template!"&amp;"H"&amp;A884)))</f>
        <v>#REF!</v>
      </c>
      <c r="L884" t="e" cm="1">
        <f t="array" aca="1" ref="L884" ca="1">IF(OR(A884="",B884="safety"),"",INDIRECT("template!"&amp;"I"&amp;A884))</f>
        <v>#REF!</v>
      </c>
      <c r="M884" t="e" cm="1">
        <f t="array" aca="1" ref="M884" ca="1">IF(OR(A884="",B884="safety"),"",INDIRECT("template!"&amp;"J"&amp;A884))</f>
        <v>#REF!</v>
      </c>
      <c r="N884" t="e" cm="1">
        <f t="array" aca="1" ref="N884" ca="1">IF(OR(A884="",B884="safety"),"",IF(ISBLANK(INDIRECT("template!"&amp;"K"&amp;A884)),"",INDIRECT("template!"&amp;"K"&amp;A884)))</f>
        <v>#REF!</v>
      </c>
      <c r="O884" t="e" cm="1">
        <f t="array" aca="1" ref="O884" ca="1">IF(OR(A884="",B884="safety"),"",INDIRECT("template!"&amp;"L"&amp;A884))</f>
        <v>#REF!</v>
      </c>
      <c r="P884" t="e" cm="1">
        <f t="array" aca="1" ref="P884" ca="1">IF(OR(A884="",B884="safety"),"",INDIRECT("template!"&amp;"M"&amp;A884))</f>
        <v>#REF!</v>
      </c>
      <c r="Q884" t="e">
        <f t="shared" ca="1" si="76"/>
        <v>#REF!</v>
      </c>
      <c r="R884" t="e">
        <f t="shared" ca="1" si="77"/>
        <v>#REF!</v>
      </c>
      <c r="S884" t="e">
        <f t="shared" ca="1" si="78"/>
        <v>#REF!</v>
      </c>
      <c r="T884" t="e">
        <f t="shared" ca="1" si="79"/>
        <v>#REF!</v>
      </c>
      <c r="U884" t="e" cm="1">
        <f t="array" aca="1" ref="U884" ca="1">IF(A884="","",IF(E884="","",IF(B884="safety",INDIRECT("template!"&amp;"P"&amp;A884),Q884+R884)))</f>
        <v>#REF!</v>
      </c>
      <c r="V884" t="e" cm="1">
        <f t="array" aca="1" ref="V884" ca="1">IF(A884="","",IF(E884="","",IF(B884="safety",INDIRECT("template!"&amp;"P"&amp;A884),S884+T884)))</f>
        <v>#REF!</v>
      </c>
      <c r="W884" t="e">
        <f ca="1">IF(A884="","",IF(E884="","",#REF!))</f>
        <v>#REF!</v>
      </c>
      <c r="X884" t="e">
        <f ca="1">IF(A884="","",IF(E884="","",#REF!))</f>
        <v>#REF!</v>
      </c>
      <c r="Y884" s="39" t="e">
        <f ca="1">IF(A884="","",IF(E884="","",#REF!))</f>
        <v>#REF!</v>
      </c>
      <c r="Z884" t="e">
        <f ca="1">IF(A884="","",IF(E884="","",#REF!))</f>
        <v>#REF!</v>
      </c>
      <c r="AA884" t="e">
        <f ca="1">IF(A884="","",IF(E884="","",#REF!))</f>
        <v>#REF!</v>
      </c>
      <c r="AB884" t="e">
        <f ca="1">IF(A884="","",IF(E884="","",#REF!))</f>
        <v>#REF!</v>
      </c>
      <c r="AC884" t="e">
        <f t="shared" ca="1" si="80"/>
        <v>#REF!</v>
      </c>
    </row>
    <row r="885" spans="1:29" x14ac:dyDescent="0.35">
      <c r="A885" t="e" cm="1">
        <f t="array" aca="1" ref="A885" ca="1">IF(A884="","",IF(OR(AND(A884+1&gt;=$AF$1,A884+1&lt;=$AF$2),AND(A884+1&gt;=$AF$6,A884+1&lt;=$AF$7),AND(A884+1&gt;=$AF$3,A884+1&lt;=$AF$4),AND(A884+1&gt;=$AF$8,A884+1&lt;=$AF$9),A884+1=$AF$5),IF(NOT(ISBLANK(INDIRECT("template!"&amp;"P"&amp;A884+1))),A884+1,IF(NOT(ISBLANK(INDIRECT("template!"&amp;"P"&amp;A884+2))),A884+2,A884+3)),IF(A884=$AF$2,$AF$3,IF(A884=$AF$4,$AF$5,IF(A884=$AF$5,$AF$6,IF(A884=$AF$7,$AF$8,""))))))</f>
        <v>#REF!</v>
      </c>
      <c r="B885" t="e">
        <f t="shared" ca="1" si="75"/>
        <v>#REF!</v>
      </c>
      <c r="C885" t="e" cm="1">
        <f t="array" aca="1" ref="C885" ca="1">IF(A885="","",IF(B885="safety","safety costs",INDIRECT("template!"&amp;"B"&amp;A885)))</f>
        <v>#REF!</v>
      </c>
      <c r="D885" t="e" cm="1">
        <f t="array" aca="1" ref="D885" ca="1">IF(OR(A885="",B885="safety"),"",INDIRECT("template!"&amp;"C"&amp;A885))</f>
        <v>#REF!</v>
      </c>
      <c r="E885" t="e" cm="1">
        <f t="array" aca="1" ref="E885" ca="1">IF(A885="","",IF(OR(A885=A884+1,A885=A884+2),E884,INDIRECT("template!"&amp;"D"&amp;A885-2)))</f>
        <v>#REF!</v>
      </c>
      <c r="F885" t="e" cm="1">
        <f t="array" aca="1" ref="F885" ca="1">IF(OR(A885="",B885="safety"),"",IF(ISBLANK(IF(A885=A884+1,F884,INDIRECT("template!"&amp;"D"&amp;A885-1))),"",IF(A885=A884+1,F884,INDIRECT("template!"&amp;"D"&amp;A885-1))))</f>
        <v>#REF!</v>
      </c>
      <c r="G885" t="e" cm="1">
        <f t="array" aca="1" ref="G885" ca="1">IF(OR(A885="",B885="safety"),"",IF(ISBLANK(INDIRECT("template!"&amp;"D"&amp;A885)),"",INDIRECT("template!"&amp;"D"&amp;A885)))</f>
        <v>#REF!</v>
      </c>
      <c r="H885" t="e" cm="1">
        <f t="array" aca="1" ref="H885" ca="1">IF(OR(A885="",B885="safety"),"",IF(ISBLANK(INDIRECT("template!"&amp;"E"&amp;A885)),"",INDIRECT("template!"&amp;"E"&amp;A885)))</f>
        <v>#REF!</v>
      </c>
      <c r="I885" t="e" cm="1">
        <f t="array" aca="1" ref="I885" ca="1">IF(OR(A885="",B885="safety"),"",IF(ISBLANK(INDIRECT("template!"&amp;"F"&amp;A885)),"",INDIRECT("template!"&amp;"F"&amp;A885)))</f>
        <v>#REF!</v>
      </c>
      <c r="J885" t="e" cm="1">
        <f t="array" aca="1" ref="J885" ca="1">IF(OR(A885="",B885="safety"),"",IF(ISBLANK(INDIRECT("template!"&amp;"G"&amp;A885)),"",INDIRECT("template!"&amp;"G"&amp;A885)))</f>
        <v>#REF!</v>
      </c>
      <c r="K885" t="e" cm="1">
        <f t="array" aca="1" ref="K885" ca="1">IF(OR(A885="",B885="safety"),"",IF(ISBLANK(INDIRECT("template!"&amp;"H"&amp;A885)),"",INDIRECT("template!"&amp;"H"&amp;A885)))</f>
        <v>#REF!</v>
      </c>
      <c r="L885" t="e" cm="1">
        <f t="array" aca="1" ref="L885" ca="1">IF(OR(A885="",B885="safety"),"",INDIRECT("template!"&amp;"I"&amp;A885))</f>
        <v>#REF!</v>
      </c>
      <c r="M885" t="e" cm="1">
        <f t="array" aca="1" ref="M885" ca="1">IF(OR(A885="",B885="safety"),"",INDIRECT("template!"&amp;"J"&amp;A885))</f>
        <v>#REF!</v>
      </c>
      <c r="N885" t="e" cm="1">
        <f t="array" aca="1" ref="N885" ca="1">IF(OR(A885="",B885="safety"),"",IF(ISBLANK(INDIRECT("template!"&amp;"K"&amp;A885)),"",INDIRECT("template!"&amp;"K"&amp;A885)))</f>
        <v>#REF!</v>
      </c>
      <c r="O885" t="e" cm="1">
        <f t="array" aca="1" ref="O885" ca="1">IF(OR(A885="",B885="safety"),"",INDIRECT("template!"&amp;"L"&amp;A885))</f>
        <v>#REF!</v>
      </c>
      <c r="P885" t="e" cm="1">
        <f t="array" aca="1" ref="P885" ca="1">IF(OR(A885="",B885="safety"),"",INDIRECT("template!"&amp;"M"&amp;A885))</f>
        <v>#REF!</v>
      </c>
      <c r="Q885" t="e">
        <f t="shared" ca="1" si="76"/>
        <v>#REF!</v>
      </c>
      <c r="R885" t="e">
        <f t="shared" ca="1" si="77"/>
        <v>#REF!</v>
      </c>
      <c r="S885" t="e">
        <f t="shared" ca="1" si="78"/>
        <v>#REF!</v>
      </c>
      <c r="T885" t="e">
        <f t="shared" ca="1" si="79"/>
        <v>#REF!</v>
      </c>
      <c r="U885" t="e" cm="1">
        <f t="array" aca="1" ref="U885" ca="1">IF(A885="","",IF(E885="","",IF(B885="safety",INDIRECT("template!"&amp;"P"&amp;A885),Q885+R885)))</f>
        <v>#REF!</v>
      </c>
      <c r="V885" t="e" cm="1">
        <f t="array" aca="1" ref="V885" ca="1">IF(A885="","",IF(E885="","",IF(B885="safety",INDIRECT("template!"&amp;"P"&amp;A885),S885+T885)))</f>
        <v>#REF!</v>
      </c>
      <c r="W885" t="e">
        <f ca="1">IF(A885="","",IF(E885="","",#REF!))</f>
        <v>#REF!</v>
      </c>
      <c r="X885" t="e">
        <f ca="1">IF(A885="","",IF(E885="","",#REF!))</f>
        <v>#REF!</v>
      </c>
      <c r="Y885" s="39" t="e">
        <f ca="1">IF(A885="","",IF(E885="","",#REF!))</f>
        <v>#REF!</v>
      </c>
      <c r="Z885" t="e">
        <f ca="1">IF(A885="","",IF(E885="","",#REF!))</f>
        <v>#REF!</v>
      </c>
      <c r="AA885" t="e">
        <f ca="1">IF(A885="","",IF(E885="","",#REF!))</f>
        <v>#REF!</v>
      </c>
      <c r="AB885" t="e">
        <f ca="1">IF(A885="","",IF(E885="","",#REF!))</f>
        <v>#REF!</v>
      </c>
      <c r="AC885" t="e">
        <f t="shared" ca="1" si="80"/>
        <v>#REF!</v>
      </c>
    </row>
    <row r="886" spans="1:29" x14ac:dyDescent="0.35">
      <c r="A886" t="e" cm="1">
        <f t="array" aca="1" ref="A886" ca="1">IF(A885="","",IF(OR(AND(A885+1&gt;=$AF$1,A885+1&lt;=$AF$2),AND(A885+1&gt;=$AF$6,A885+1&lt;=$AF$7),AND(A885+1&gt;=$AF$3,A885+1&lt;=$AF$4),AND(A885+1&gt;=$AF$8,A885+1&lt;=$AF$9),A885+1=$AF$5),IF(NOT(ISBLANK(INDIRECT("template!"&amp;"P"&amp;A885+1))),A885+1,IF(NOT(ISBLANK(INDIRECT("template!"&amp;"P"&amp;A885+2))),A885+2,A885+3)),IF(A885=$AF$2,$AF$3,IF(A885=$AF$4,$AF$5,IF(A885=$AF$5,$AF$6,IF(A885=$AF$7,$AF$8,""))))))</f>
        <v>#REF!</v>
      </c>
      <c r="B886" t="e">
        <f t="shared" ca="1" si="75"/>
        <v>#REF!</v>
      </c>
      <c r="C886" t="e" cm="1">
        <f t="array" aca="1" ref="C886" ca="1">IF(A886="","",IF(B886="safety","safety costs",INDIRECT("template!"&amp;"B"&amp;A886)))</f>
        <v>#REF!</v>
      </c>
      <c r="D886" t="e" cm="1">
        <f t="array" aca="1" ref="D886" ca="1">IF(OR(A886="",B886="safety"),"",INDIRECT("template!"&amp;"C"&amp;A886))</f>
        <v>#REF!</v>
      </c>
      <c r="E886" t="e" cm="1">
        <f t="array" aca="1" ref="E886" ca="1">IF(A886="","",IF(OR(A886=A885+1,A886=A885+2),E885,INDIRECT("template!"&amp;"D"&amp;A886-2)))</f>
        <v>#REF!</v>
      </c>
      <c r="F886" t="e" cm="1">
        <f t="array" aca="1" ref="F886" ca="1">IF(OR(A886="",B886="safety"),"",IF(ISBLANK(IF(A886=A885+1,F885,INDIRECT("template!"&amp;"D"&amp;A886-1))),"",IF(A886=A885+1,F885,INDIRECT("template!"&amp;"D"&amp;A886-1))))</f>
        <v>#REF!</v>
      </c>
      <c r="G886" t="e" cm="1">
        <f t="array" aca="1" ref="G886" ca="1">IF(OR(A886="",B886="safety"),"",IF(ISBLANK(INDIRECT("template!"&amp;"D"&amp;A886)),"",INDIRECT("template!"&amp;"D"&amp;A886)))</f>
        <v>#REF!</v>
      </c>
      <c r="H886" t="e" cm="1">
        <f t="array" aca="1" ref="H886" ca="1">IF(OR(A886="",B886="safety"),"",IF(ISBLANK(INDIRECT("template!"&amp;"E"&amp;A886)),"",INDIRECT("template!"&amp;"E"&amp;A886)))</f>
        <v>#REF!</v>
      </c>
      <c r="I886" t="e" cm="1">
        <f t="array" aca="1" ref="I886" ca="1">IF(OR(A886="",B886="safety"),"",IF(ISBLANK(INDIRECT("template!"&amp;"F"&amp;A886)),"",INDIRECT("template!"&amp;"F"&amp;A886)))</f>
        <v>#REF!</v>
      </c>
      <c r="J886" t="e" cm="1">
        <f t="array" aca="1" ref="J886" ca="1">IF(OR(A886="",B886="safety"),"",IF(ISBLANK(INDIRECT("template!"&amp;"G"&amp;A886)),"",INDIRECT("template!"&amp;"G"&amp;A886)))</f>
        <v>#REF!</v>
      </c>
      <c r="K886" t="e" cm="1">
        <f t="array" aca="1" ref="K886" ca="1">IF(OR(A886="",B886="safety"),"",IF(ISBLANK(INDIRECT("template!"&amp;"H"&amp;A886)),"",INDIRECT("template!"&amp;"H"&amp;A886)))</f>
        <v>#REF!</v>
      </c>
      <c r="L886" t="e" cm="1">
        <f t="array" aca="1" ref="L886" ca="1">IF(OR(A886="",B886="safety"),"",INDIRECT("template!"&amp;"I"&amp;A886))</f>
        <v>#REF!</v>
      </c>
      <c r="M886" t="e" cm="1">
        <f t="array" aca="1" ref="M886" ca="1">IF(OR(A886="",B886="safety"),"",INDIRECT("template!"&amp;"J"&amp;A886))</f>
        <v>#REF!</v>
      </c>
      <c r="N886" t="e" cm="1">
        <f t="array" aca="1" ref="N886" ca="1">IF(OR(A886="",B886="safety"),"",IF(ISBLANK(INDIRECT("template!"&amp;"K"&amp;A886)),"",INDIRECT("template!"&amp;"K"&amp;A886)))</f>
        <v>#REF!</v>
      </c>
      <c r="O886" t="e" cm="1">
        <f t="array" aca="1" ref="O886" ca="1">IF(OR(A886="",B886="safety"),"",INDIRECT("template!"&amp;"L"&amp;A886))</f>
        <v>#REF!</v>
      </c>
      <c r="P886" t="e" cm="1">
        <f t="array" aca="1" ref="P886" ca="1">IF(OR(A886="",B886="safety"),"",INDIRECT("template!"&amp;"M"&amp;A886))</f>
        <v>#REF!</v>
      </c>
      <c r="Q886" t="e">
        <f t="shared" ca="1" si="76"/>
        <v>#REF!</v>
      </c>
      <c r="R886" t="e">
        <f t="shared" ca="1" si="77"/>
        <v>#REF!</v>
      </c>
      <c r="S886" t="e">
        <f t="shared" ca="1" si="78"/>
        <v>#REF!</v>
      </c>
      <c r="T886" t="e">
        <f t="shared" ca="1" si="79"/>
        <v>#REF!</v>
      </c>
      <c r="U886" t="e" cm="1">
        <f t="array" aca="1" ref="U886" ca="1">IF(A886="","",IF(E886="","",IF(B886="safety",INDIRECT("template!"&amp;"P"&amp;A886),Q886+R886)))</f>
        <v>#REF!</v>
      </c>
      <c r="V886" t="e" cm="1">
        <f t="array" aca="1" ref="V886" ca="1">IF(A886="","",IF(E886="","",IF(B886="safety",INDIRECT("template!"&amp;"P"&amp;A886),S886+T886)))</f>
        <v>#REF!</v>
      </c>
      <c r="W886" t="e">
        <f ca="1">IF(A886="","",IF(E886="","",#REF!))</f>
        <v>#REF!</v>
      </c>
      <c r="X886" t="e">
        <f ca="1">IF(A886="","",IF(E886="","",#REF!))</f>
        <v>#REF!</v>
      </c>
      <c r="Y886" s="39" t="e">
        <f ca="1">IF(A886="","",IF(E886="","",#REF!))</f>
        <v>#REF!</v>
      </c>
      <c r="Z886" t="e">
        <f ca="1">IF(A886="","",IF(E886="","",#REF!))</f>
        <v>#REF!</v>
      </c>
      <c r="AA886" t="e">
        <f ca="1">IF(A886="","",IF(E886="","",#REF!))</f>
        <v>#REF!</v>
      </c>
      <c r="AB886" t="e">
        <f ca="1">IF(A886="","",IF(E886="","",#REF!))</f>
        <v>#REF!</v>
      </c>
      <c r="AC886" t="e">
        <f t="shared" ca="1" si="80"/>
        <v>#REF!</v>
      </c>
    </row>
    <row r="887" spans="1:29" x14ac:dyDescent="0.35">
      <c r="A887" t="e" cm="1">
        <f t="array" aca="1" ref="A887" ca="1">IF(A886="","",IF(OR(AND(A886+1&gt;=$AF$1,A886+1&lt;=$AF$2),AND(A886+1&gt;=$AF$6,A886+1&lt;=$AF$7),AND(A886+1&gt;=$AF$3,A886+1&lt;=$AF$4),AND(A886+1&gt;=$AF$8,A886+1&lt;=$AF$9),A886+1=$AF$5),IF(NOT(ISBLANK(INDIRECT("template!"&amp;"P"&amp;A886+1))),A886+1,IF(NOT(ISBLANK(INDIRECT("template!"&amp;"P"&amp;A886+2))),A886+2,A886+3)),IF(A886=$AF$2,$AF$3,IF(A886=$AF$4,$AF$5,IF(A886=$AF$5,$AF$6,IF(A886=$AF$7,$AF$8,""))))))</f>
        <v>#REF!</v>
      </c>
      <c r="B887" t="e">
        <f t="shared" ca="1" si="75"/>
        <v>#REF!</v>
      </c>
      <c r="C887" t="e" cm="1">
        <f t="array" aca="1" ref="C887" ca="1">IF(A887="","",IF(B887="safety","safety costs",INDIRECT("template!"&amp;"B"&amp;A887)))</f>
        <v>#REF!</v>
      </c>
      <c r="D887" t="e" cm="1">
        <f t="array" aca="1" ref="D887" ca="1">IF(OR(A887="",B887="safety"),"",INDIRECT("template!"&amp;"C"&amp;A887))</f>
        <v>#REF!</v>
      </c>
      <c r="E887" t="e" cm="1">
        <f t="array" aca="1" ref="E887" ca="1">IF(A887="","",IF(OR(A887=A886+1,A887=A886+2),E886,INDIRECT("template!"&amp;"D"&amp;A887-2)))</f>
        <v>#REF!</v>
      </c>
      <c r="F887" t="e" cm="1">
        <f t="array" aca="1" ref="F887" ca="1">IF(OR(A887="",B887="safety"),"",IF(ISBLANK(IF(A887=A886+1,F886,INDIRECT("template!"&amp;"D"&amp;A887-1))),"",IF(A887=A886+1,F886,INDIRECT("template!"&amp;"D"&amp;A887-1))))</f>
        <v>#REF!</v>
      </c>
      <c r="G887" t="e" cm="1">
        <f t="array" aca="1" ref="G887" ca="1">IF(OR(A887="",B887="safety"),"",IF(ISBLANK(INDIRECT("template!"&amp;"D"&amp;A887)),"",INDIRECT("template!"&amp;"D"&amp;A887)))</f>
        <v>#REF!</v>
      </c>
      <c r="H887" t="e" cm="1">
        <f t="array" aca="1" ref="H887" ca="1">IF(OR(A887="",B887="safety"),"",IF(ISBLANK(INDIRECT("template!"&amp;"E"&amp;A887)),"",INDIRECT("template!"&amp;"E"&amp;A887)))</f>
        <v>#REF!</v>
      </c>
      <c r="I887" t="e" cm="1">
        <f t="array" aca="1" ref="I887" ca="1">IF(OR(A887="",B887="safety"),"",IF(ISBLANK(INDIRECT("template!"&amp;"F"&amp;A887)),"",INDIRECT("template!"&amp;"F"&amp;A887)))</f>
        <v>#REF!</v>
      </c>
      <c r="J887" t="e" cm="1">
        <f t="array" aca="1" ref="J887" ca="1">IF(OR(A887="",B887="safety"),"",IF(ISBLANK(INDIRECT("template!"&amp;"G"&amp;A887)),"",INDIRECT("template!"&amp;"G"&amp;A887)))</f>
        <v>#REF!</v>
      </c>
      <c r="K887" t="e" cm="1">
        <f t="array" aca="1" ref="K887" ca="1">IF(OR(A887="",B887="safety"),"",IF(ISBLANK(INDIRECT("template!"&amp;"H"&amp;A887)),"",INDIRECT("template!"&amp;"H"&amp;A887)))</f>
        <v>#REF!</v>
      </c>
      <c r="L887" t="e" cm="1">
        <f t="array" aca="1" ref="L887" ca="1">IF(OR(A887="",B887="safety"),"",INDIRECT("template!"&amp;"I"&amp;A887))</f>
        <v>#REF!</v>
      </c>
      <c r="M887" t="e" cm="1">
        <f t="array" aca="1" ref="M887" ca="1">IF(OR(A887="",B887="safety"),"",INDIRECT("template!"&amp;"J"&amp;A887))</f>
        <v>#REF!</v>
      </c>
      <c r="N887" t="e" cm="1">
        <f t="array" aca="1" ref="N887" ca="1">IF(OR(A887="",B887="safety"),"",IF(ISBLANK(INDIRECT("template!"&amp;"K"&amp;A887)),"",INDIRECT("template!"&amp;"K"&amp;A887)))</f>
        <v>#REF!</v>
      </c>
      <c r="O887" t="e" cm="1">
        <f t="array" aca="1" ref="O887" ca="1">IF(OR(A887="",B887="safety"),"",INDIRECT("template!"&amp;"L"&amp;A887))</f>
        <v>#REF!</v>
      </c>
      <c r="P887" t="e" cm="1">
        <f t="array" aca="1" ref="P887" ca="1">IF(OR(A887="",B887="safety"),"",INDIRECT("template!"&amp;"M"&amp;A887))</f>
        <v>#REF!</v>
      </c>
      <c r="Q887" t="e">
        <f t="shared" ca="1" si="76"/>
        <v>#REF!</v>
      </c>
      <c r="R887" t="e">
        <f t="shared" ca="1" si="77"/>
        <v>#REF!</v>
      </c>
      <c r="S887" t="e">
        <f t="shared" ca="1" si="78"/>
        <v>#REF!</v>
      </c>
      <c r="T887" t="e">
        <f t="shared" ca="1" si="79"/>
        <v>#REF!</v>
      </c>
      <c r="U887" t="e" cm="1">
        <f t="array" aca="1" ref="U887" ca="1">IF(A887="","",IF(E887="","",IF(B887="safety",INDIRECT("template!"&amp;"P"&amp;A887),Q887+R887)))</f>
        <v>#REF!</v>
      </c>
      <c r="V887" t="e" cm="1">
        <f t="array" aca="1" ref="V887" ca="1">IF(A887="","",IF(E887="","",IF(B887="safety",INDIRECT("template!"&amp;"P"&amp;A887),S887+T887)))</f>
        <v>#REF!</v>
      </c>
      <c r="W887" t="e">
        <f ca="1">IF(A887="","",IF(E887="","",#REF!))</f>
        <v>#REF!</v>
      </c>
      <c r="X887" t="e">
        <f ca="1">IF(A887="","",IF(E887="","",#REF!))</f>
        <v>#REF!</v>
      </c>
      <c r="Y887" s="39" t="e">
        <f ca="1">IF(A887="","",IF(E887="","",#REF!))</f>
        <v>#REF!</v>
      </c>
      <c r="Z887" t="e">
        <f ca="1">IF(A887="","",IF(E887="","",#REF!))</f>
        <v>#REF!</v>
      </c>
      <c r="AA887" t="e">
        <f ca="1">IF(A887="","",IF(E887="","",#REF!))</f>
        <v>#REF!</v>
      </c>
      <c r="AB887" t="e">
        <f ca="1">IF(A887="","",IF(E887="","",#REF!))</f>
        <v>#REF!</v>
      </c>
      <c r="AC887" t="e">
        <f t="shared" ca="1" si="80"/>
        <v>#REF!</v>
      </c>
    </row>
    <row r="888" spans="1:29" x14ac:dyDescent="0.35">
      <c r="A888" t="e" cm="1">
        <f t="array" aca="1" ref="A888" ca="1">IF(A887="","",IF(OR(AND(A887+1&gt;=$AF$1,A887+1&lt;=$AF$2),AND(A887+1&gt;=$AF$6,A887+1&lt;=$AF$7),AND(A887+1&gt;=$AF$3,A887+1&lt;=$AF$4),AND(A887+1&gt;=$AF$8,A887+1&lt;=$AF$9),A887+1=$AF$5),IF(NOT(ISBLANK(INDIRECT("template!"&amp;"P"&amp;A887+1))),A887+1,IF(NOT(ISBLANK(INDIRECT("template!"&amp;"P"&amp;A887+2))),A887+2,A887+3)),IF(A887=$AF$2,$AF$3,IF(A887=$AF$4,$AF$5,IF(A887=$AF$5,$AF$6,IF(A887=$AF$7,$AF$8,""))))))</f>
        <v>#REF!</v>
      </c>
      <c r="B888" t="e">
        <f t="shared" ca="1" si="75"/>
        <v>#REF!</v>
      </c>
      <c r="C888" t="e" cm="1">
        <f t="array" aca="1" ref="C888" ca="1">IF(A888="","",IF(B888="safety","safety costs",INDIRECT("template!"&amp;"B"&amp;A888)))</f>
        <v>#REF!</v>
      </c>
      <c r="D888" t="e" cm="1">
        <f t="array" aca="1" ref="D888" ca="1">IF(OR(A888="",B888="safety"),"",INDIRECT("template!"&amp;"C"&amp;A888))</f>
        <v>#REF!</v>
      </c>
      <c r="E888" t="e" cm="1">
        <f t="array" aca="1" ref="E888" ca="1">IF(A888="","",IF(OR(A888=A887+1,A888=A887+2),E887,INDIRECT("template!"&amp;"D"&amp;A888-2)))</f>
        <v>#REF!</v>
      </c>
      <c r="F888" t="e" cm="1">
        <f t="array" aca="1" ref="F888" ca="1">IF(OR(A888="",B888="safety"),"",IF(ISBLANK(IF(A888=A887+1,F887,INDIRECT("template!"&amp;"D"&amp;A888-1))),"",IF(A888=A887+1,F887,INDIRECT("template!"&amp;"D"&amp;A888-1))))</f>
        <v>#REF!</v>
      </c>
      <c r="G888" t="e" cm="1">
        <f t="array" aca="1" ref="G888" ca="1">IF(OR(A888="",B888="safety"),"",IF(ISBLANK(INDIRECT("template!"&amp;"D"&amp;A888)),"",INDIRECT("template!"&amp;"D"&amp;A888)))</f>
        <v>#REF!</v>
      </c>
      <c r="H888" t="e" cm="1">
        <f t="array" aca="1" ref="H888" ca="1">IF(OR(A888="",B888="safety"),"",IF(ISBLANK(INDIRECT("template!"&amp;"E"&amp;A888)),"",INDIRECT("template!"&amp;"E"&amp;A888)))</f>
        <v>#REF!</v>
      </c>
      <c r="I888" t="e" cm="1">
        <f t="array" aca="1" ref="I888" ca="1">IF(OR(A888="",B888="safety"),"",IF(ISBLANK(INDIRECT("template!"&amp;"F"&amp;A888)),"",INDIRECT("template!"&amp;"F"&amp;A888)))</f>
        <v>#REF!</v>
      </c>
      <c r="J888" t="e" cm="1">
        <f t="array" aca="1" ref="J888" ca="1">IF(OR(A888="",B888="safety"),"",IF(ISBLANK(INDIRECT("template!"&amp;"G"&amp;A888)),"",INDIRECT("template!"&amp;"G"&amp;A888)))</f>
        <v>#REF!</v>
      </c>
      <c r="K888" t="e" cm="1">
        <f t="array" aca="1" ref="K888" ca="1">IF(OR(A888="",B888="safety"),"",IF(ISBLANK(INDIRECT("template!"&amp;"H"&amp;A888)),"",INDIRECT("template!"&amp;"H"&amp;A888)))</f>
        <v>#REF!</v>
      </c>
      <c r="L888" t="e" cm="1">
        <f t="array" aca="1" ref="L888" ca="1">IF(OR(A888="",B888="safety"),"",INDIRECT("template!"&amp;"I"&amp;A888))</f>
        <v>#REF!</v>
      </c>
      <c r="M888" t="e" cm="1">
        <f t="array" aca="1" ref="M888" ca="1">IF(OR(A888="",B888="safety"),"",INDIRECT("template!"&amp;"J"&amp;A888))</f>
        <v>#REF!</v>
      </c>
      <c r="N888" t="e" cm="1">
        <f t="array" aca="1" ref="N888" ca="1">IF(OR(A888="",B888="safety"),"",IF(ISBLANK(INDIRECT("template!"&amp;"K"&amp;A888)),"",INDIRECT("template!"&amp;"K"&amp;A888)))</f>
        <v>#REF!</v>
      </c>
      <c r="O888" t="e" cm="1">
        <f t="array" aca="1" ref="O888" ca="1">IF(OR(A888="",B888="safety"),"",INDIRECT("template!"&amp;"L"&amp;A888))</f>
        <v>#REF!</v>
      </c>
      <c r="P888" t="e" cm="1">
        <f t="array" aca="1" ref="P888" ca="1">IF(OR(A888="",B888="safety"),"",INDIRECT("template!"&amp;"M"&amp;A888))</f>
        <v>#REF!</v>
      </c>
      <c r="Q888" t="e">
        <f t="shared" ca="1" si="76"/>
        <v>#REF!</v>
      </c>
      <c r="R888" t="e">
        <f t="shared" ca="1" si="77"/>
        <v>#REF!</v>
      </c>
      <c r="S888" t="e">
        <f t="shared" ca="1" si="78"/>
        <v>#REF!</v>
      </c>
      <c r="T888" t="e">
        <f t="shared" ca="1" si="79"/>
        <v>#REF!</v>
      </c>
      <c r="U888" t="e" cm="1">
        <f t="array" aca="1" ref="U888" ca="1">IF(A888="","",IF(E888="","",IF(B888="safety",INDIRECT("template!"&amp;"P"&amp;A888),Q888+R888)))</f>
        <v>#REF!</v>
      </c>
      <c r="V888" t="e" cm="1">
        <f t="array" aca="1" ref="V888" ca="1">IF(A888="","",IF(E888="","",IF(B888="safety",INDIRECT("template!"&amp;"P"&amp;A888),S888+T888)))</f>
        <v>#REF!</v>
      </c>
      <c r="W888" t="e">
        <f ca="1">IF(A888="","",IF(E888="","",#REF!))</f>
        <v>#REF!</v>
      </c>
      <c r="X888" t="e">
        <f ca="1">IF(A888="","",IF(E888="","",#REF!))</f>
        <v>#REF!</v>
      </c>
      <c r="Y888" s="39" t="e">
        <f ca="1">IF(A888="","",IF(E888="","",#REF!))</f>
        <v>#REF!</v>
      </c>
      <c r="Z888" t="e">
        <f ca="1">IF(A888="","",IF(E888="","",#REF!))</f>
        <v>#REF!</v>
      </c>
      <c r="AA888" t="e">
        <f ca="1">IF(A888="","",IF(E888="","",#REF!))</f>
        <v>#REF!</v>
      </c>
      <c r="AB888" t="e">
        <f ca="1">IF(A888="","",IF(E888="","",#REF!))</f>
        <v>#REF!</v>
      </c>
      <c r="AC888" t="e">
        <f t="shared" ca="1" si="80"/>
        <v>#REF!</v>
      </c>
    </row>
    <row r="889" spans="1:29" x14ac:dyDescent="0.35">
      <c r="A889" t="e" cm="1">
        <f t="array" aca="1" ref="A889" ca="1">IF(A888="","",IF(OR(AND(A888+1&gt;=$AF$1,A888+1&lt;=$AF$2),AND(A888+1&gt;=$AF$6,A888+1&lt;=$AF$7),AND(A888+1&gt;=$AF$3,A888+1&lt;=$AF$4),AND(A888+1&gt;=$AF$8,A888+1&lt;=$AF$9),A888+1=$AF$5),IF(NOT(ISBLANK(INDIRECT("template!"&amp;"P"&amp;A888+1))),A888+1,IF(NOT(ISBLANK(INDIRECT("template!"&amp;"P"&amp;A888+2))),A888+2,A888+3)),IF(A888=$AF$2,$AF$3,IF(A888=$AF$4,$AF$5,IF(A888=$AF$5,$AF$6,IF(A888=$AF$7,$AF$8,""))))))</f>
        <v>#REF!</v>
      </c>
      <c r="B889" t="e">
        <f t="shared" ca="1" si="75"/>
        <v>#REF!</v>
      </c>
      <c r="C889" t="e" cm="1">
        <f t="array" aca="1" ref="C889" ca="1">IF(A889="","",IF(B889="safety","safety costs",INDIRECT("template!"&amp;"B"&amp;A889)))</f>
        <v>#REF!</v>
      </c>
      <c r="D889" t="e" cm="1">
        <f t="array" aca="1" ref="D889" ca="1">IF(OR(A889="",B889="safety"),"",INDIRECT("template!"&amp;"C"&amp;A889))</f>
        <v>#REF!</v>
      </c>
      <c r="E889" t="e" cm="1">
        <f t="array" aca="1" ref="E889" ca="1">IF(A889="","",IF(OR(A889=A888+1,A889=A888+2),E888,INDIRECT("template!"&amp;"D"&amp;A889-2)))</f>
        <v>#REF!</v>
      </c>
      <c r="F889" t="e" cm="1">
        <f t="array" aca="1" ref="F889" ca="1">IF(OR(A889="",B889="safety"),"",IF(ISBLANK(IF(A889=A888+1,F888,INDIRECT("template!"&amp;"D"&amp;A889-1))),"",IF(A889=A888+1,F888,INDIRECT("template!"&amp;"D"&amp;A889-1))))</f>
        <v>#REF!</v>
      </c>
      <c r="G889" t="e" cm="1">
        <f t="array" aca="1" ref="G889" ca="1">IF(OR(A889="",B889="safety"),"",IF(ISBLANK(INDIRECT("template!"&amp;"D"&amp;A889)),"",INDIRECT("template!"&amp;"D"&amp;A889)))</f>
        <v>#REF!</v>
      </c>
      <c r="H889" t="e" cm="1">
        <f t="array" aca="1" ref="H889" ca="1">IF(OR(A889="",B889="safety"),"",IF(ISBLANK(INDIRECT("template!"&amp;"E"&amp;A889)),"",INDIRECT("template!"&amp;"E"&amp;A889)))</f>
        <v>#REF!</v>
      </c>
      <c r="I889" t="e" cm="1">
        <f t="array" aca="1" ref="I889" ca="1">IF(OR(A889="",B889="safety"),"",IF(ISBLANK(INDIRECT("template!"&amp;"F"&amp;A889)),"",INDIRECT("template!"&amp;"F"&amp;A889)))</f>
        <v>#REF!</v>
      </c>
      <c r="J889" t="e" cm="1">
        <f t="array" aca="1" ref="J889" ca="1">IF(OR(A889="",B889="safety"),"",IF(ISBLANK(INDIRECT("template!"&amp;"G"&amp;A889)),"",INDIRECT("template!"&amp;"G"&amp;A889)))</f>
        <v>#REF!</v>
      </c>
      <c r="K889" t="e" cm="1">
        <f t="array" aca="1" ref="K889" ca="1">IF(OR(A889="",B889="safety"),"",IF(ISBLANK(INDIRECT("template!"&amp;"H"&amp;A889)),"",INDIRECT("template!"&amp;"H"&amp;A889)))</f>
        <v>#REF!</v>
      </c>
      <c r="L889" t="e" cm="1">
        <f t="array" aca="1" ref="L889" ca="1">IF(OR(A889="",B889="safety"),"",INDIRECT("template!"&amp;"I"&amp;A889))</f>
        <v>#REF!</v>
      </c>
      <c r="M889" t="e" cm="1">
        <f t="array" aca="1" ref="M889" ca="1">IF(OR(A889="",B889="safety"),"",INDIRECT("template!"&amp;"J"&amp;A889))</f>
        <v>#REF!</v>
      </c>
      <c r="N889" t="e" cm="1">
        <f t="array" aca="1" ref="N889" ca="1">IF(OR(A889="",B889="safety"),"",IF(ISBLANK(INDIRECT("template!"&amp;"K"&amp;A889)),"",INDIRECT("template!"&amp;"K"&amp;A889)))</f>
        <v>#REF!</v>
      </c>
      <c r="O889" t="e" cm="1">
        <f t="array" aca="1" ref="O889" ca="1">IF(OR(A889="",B889="safety"),"",INDIRECT("template!"&amp;"L"&amp;A889))</f>
        <v>#REF!</v>
      </c>
      <c r="P889" t="e" cm="1">
        <f t="array" aca="1" ref="P889" ca="1">IF(OR(A889="",B889="safety"),"",INDIRECT("template!"&amp;"M"&amp;A889))</f>
        <v>#REF!</v>
      </c>
      <c r="Q889" t="e">
        <f t="shared" ca="1" si="76"/>
        <v>#REF!</v>
      </c>
      <c r="R889" t="e">
        <f t="shared" ca="1" si="77"/>
        <v>#REF!</v>
      </c>
      <c r="S889" t="e">
        <f t="shared" ca="1" si="78"/>
        <v>#REF!</v>
      </c>
      <c r="T889" t="e">
        <f t="shared" ca="1" si="79"/>
        <v>#REF!</v>
      </c>
      <c r="U889" t="e" cm="1">
        <f t="array" aca="1" ref="U889" ca="1">IF(A889="","",IF(E889="","",IF(B889="safety",INDIRECT("template!"&amp;"P"&amp;A889),Q889+R889)))</f>
        <v>#REF!</v>
      </c>
      <c r="V889" t="e" cm="1">
        <f t="array" aca="1" ref="V889" ca="1">IF(A889="","",IF(E889="","",IF(B889="safety",INDIRECT("template!"&amp;"P"&amp;A889),S889+T889)))</f>
        <v>#REF!</v>
      </c>
      <c r="W889" t="e">
        <f ca="1">IF(A889="","",IF(E889="","",#REF!))</f>
        <v>#REF!</v>
      </c>
      <c r="X889" t="e">
        <f ca="1">IF(A889="","",IF(E889="","",#REF!))</f>
        <v>#REF!</v>
      </c>
      <c r="Y889" s="39" t="e">
        <f ca="1">IF(A889="","",IF(E889="","",#REF!))</f>
        <v>#REF!</v>
      </c>
      <c r="Z889" t="e">
        <f ca="1">IF(A889="","",IF(E889="","",#REF!))</f>
        <v>#REF!</v>
      </c>
      <c r="AA889" t="e">
        <f ca="1">IF(A889="","",IF(E889="","",#REF!))</f>
        <v>#REF!</v>
      </c>
      <c r="AB889" t="e">
        <f ca="1">IF(A889="","",IF(E889="","",#REF!))</f>
        <v>#REF!</v>
      </c>
      <c r="AC889" t="e">
        <f t="shared" ca="1" si="80"/>
        <v>#REF!</v>
      </c>
    </row>
    <row r="890" spans="1:29" x14ac:dyDescent="0.35">
      <c r="A890" t="e" cm="1">
        <f t="array" aca="1" ref="A890" ca="1">IF(A889="","",IF(OR(AND(A889+1&gt;=$AF$1,A889+1&lt;=$AF$2),AND(A889+1&gt;=$AF$6,A889+1&lt;=$AF$7),AND(A889+1&gt;=$AF$3,A889+1&lt;=$AF$4),AND(A889+1&gt;=$AF$8,A889+1&lt;=$AF$9),A889+1=$AF$5),IF(NOT(ISBLANK(INDIRECT("template!"&amp;"P"&amp;A889+1))),A889+1,IF(NOT(ISBLANK(INDIRECT("template!"&amp;"P"&amp;A889+2))),A889+2,A889+3)),IF(A889=$AF$2,$AF$3,IF(A889=$AF$4,$AF$5,IF(A889=$AF$5,$AF$6,IF(A889=$AF$7,$AF$8,""))))))</f>
        <v>#REF!</v>
      </c>
      <c r="B890" t="e">
        <f t="shared" ca="1" si="75"/>
        <v>#REF!</v>
      </c>
      <c r="C890" t="e" cm="1">
        <f t="array" aca="1" ref="C890" ca="1">IF(A890="","",IF(B890="safety","safety costs",INDIRECT("template!"&amp;"B"&amp;A890)))</f>
        <v>#REF!</v>
      </c>
      <c r="D890" t="e" cm="1">
        <f t="array" aca="1" ref="D890" ca="1">IF(OR(A890="",B890="safety"),"",INDIRECT("template!"&amp;"C"&amp;A890))</f>
        <v>#REF!</v>
      </c>
      <c r="E890" t="e" cm="1">
        <f t="array" aca="1" ref="E890" ca="1">IF(A890="","",IF(OR(A890=A889+1,A890=A889+2),E889,INDIRECT("template!"&amp;"D"&amp;A890-2)))</f>
        <v>#REF!</v>
      </c>
      <c r="F890" t="e" cm="1">
        <f t="array" aca="1" ref="F890" ca="1">IF(OR(A890="",B890="safety"),"",IF(ISBLANK(IF(A890=A889+1,F889,INDIRECT("template!"&amp;"D"&amp;A890-1))),"",IF(A890=A889+1,F889,INDIRECT("template!"&amp;"D"&amp;A890-1))))</f>
        <v>#REF!</v>
      </c>
      <c r="G890" t="e" cm="1">
        <f t="array" aca="1" ref="G890" ca="1">IF(OR(A890="",B890="safety"),"",IF(ISBLANK(INDIRECT("template!"&amp;"D"&amp;A890)),"",INDIRECT("template!"&amp;"D"&amp;A890)))</f>
        <v>#REF!</v>
      </c>
      <c r="H890" t="e" cm="1">
        <f t="array" aca="1" ref="H890" ca="1">IF(OR(A890="",B890="safety"),"",IF(ISBLANK(INDIRECT("template!"&amp;"E"&amp;A890)),"",INDIRECT("template!"&amp;"E"&amp;A890)))</f>
        <v>#REF!</v>
      </c>
      <c r="I890" t="e" cm="1">
        <f t="array" aca="1" ref="I890" ca="1">IF(OR(A890="",B890="safety"),"",IF(ISBLANK(INDIRECT("template!"&amp;"F"&amp;A890)),"",INDIRECT("template!"&amp;"F"&amp;A890)))</f>
        <v>#REF!</v>
      </c>
      <c r="J890" t="e" cm="1">
        <f t="array" aca="1" ref="J890" ca="1">IF(OR(A890="",B890="safety"),"",IF(ISBLANK(INDIRECT("template!"&amp;"G"&amp;A890)),"",INDIRECT("template!"&amp;"G"&amp;A890)))</f>
        <v>#REF!</v>
      </c>
      <c r="K890" t="e" cm="1">
        <f t="array" aca="1" ref="K890" ca="1">IF(OR(A890="",B890="safety"),"",IF(ISBLANK(INDIRECT("template!"&amp;"H"&amp;A890)),"",INDIRECT("template!"&amp;"H"&amp;A890)))</f>
        <v>#REF!</v>
      </c>
      <c r="L890" t="e" cm="1">
        <f t="array" aca="1" ref="L890" ca="1">IF(OR(A890="",B890="safety"),"",INDIRECT("template!"&amp;"I"&amp;A890))</f>
        <v>#REF!</v>
      </c>
      <c r="M890" t="e" cm="1">
        <f t="array" aca="1" ref="M890" ca="1">IF(OR(A890="",B890="safety"),"",INDIRECT("template!"&amp;"J"&amp;A890))</f>
        <v>#REF!</v>
      </c>
      <c r="N890" t="e" cm="1">
        <f t="array" aca="1" ref="N890" ca="1">IF(OR(A890="",B890="safety"),"",IF(ISBLANK(INDIRECT("template!"&amp;"K"&amp;A890)),"",INDIRECT("template!"&amp;"K"&amp;A890)))</f>
        <v>#REF!</v>
      </c>
      <c r="O890" t="e" cm="1">
        <f t="array" aca="1" ref="O890" ca="1">IF(OR(A890="",B890="safety"),"",INDIRECT("template!"&amp;"L"&amp;A890))</f>
        <v>#REF!</v>
      </c>
      <c r="P890" t="e" cm="1">
        <f t="array" aca="1" ref="P890" ca="1">IF(OR(A890="",B890="safety"),"",INDIRECT("template!"&amp;"M"&amp;A890))</f>
        <v>#REF!</v>
      </c>
      <c r="Q890" t="e">
        <f t="shared" ca="1" si="76"/>
        <v>#REF!</v>
      </c>
      <c r="R890" t="e">
        <f t="shared" ca="1" si="77"/>
        <v>#REF!</v>
      </c>
      <c r="S890" t="e">
        <f t="shared" ca="1" si="78"/>
        <v>#REF!</v>
      </c>
      <c r="T890" t="e">
        <f t="shared" ca="1" si="79"/>
        <v>#REF!</v>
      </c>
      <c r="U890" t="e" cm="1">
        <f t="array" aca="1" ref="U890" ca="1">IF(A890="","",IF(E890="","",IF(B890="safety",INDIRECT("template!"&amp;"P"&amp;A890),Q890+R890)))</f>
        <v>#REF!</v>
      </c>
      <c r="V890" t="e" cm="1">
        <f t="array" aca="1" ref="V890" ca="1">IF(A890="","",IF(E890="","",IF(B890="safety",INDIRECT("template!"&amp;"P"&amp;A890),S890+T890)))</f>
        <v>#REF!</v>
      </c>
      <c r="W890" t="e">
        <f ca="1">IF(A890="","",IF(E890="","",#REF!))</f>
        <v>#REF!</v>
      </c>
      <c r="X890" t="e">
        <f ca="1">IF(A890="","",IF(E890="","",#REF!))</f>
        <v>#REF!</v>
      </c>
      <c r="Y890" s="39" t="e">
        <f ca="1">IF(A890="","",IF(E890="","",#REF!))</f>
        <v>#REF!</v>
      </c>
      <c r="Z890" t="e">
        <f ca="1">IF(A890="","",IF(E890="","",#REF!))</f>
        <v>#REF!</v>
      </c>
      <c r="AA890" t="e">
        <f ca="1">IF(A890="","",IF(E890="","",#REF!))</f>
        <v>#REF!</v>
      </c>
      <c r="AB890" t="e">
        <f ca="1">IF(A890="","",IF(E890="","",#REF!))</f>
        <v>#REF!</v>
      </c>
      <c r="AC890" t="e">
        <f t="shared" ca="1" si="80"/>
        <v>#REF!</v>
      </c>
    </row>
    <row r="891" spans="1:29" x14ac:dyDescent="0.35">
      <c r="A891" t="e" cm="1">
        <f t="array" aca="1" ref="A891" ca="1">IF(A890="","",IF(OR(AND(A890+1&gt;=$AF$1,A890+1&lt;=$AF$2),AND(A890+1&gt;=$AF$6,A890+1&lt;=$AF$7),AND(A890+1&gt;=$AF$3,A890+1&lt;=$AF$4),AND(A890+1&gt;=$AF$8,A890+1&lt;=$AF$9),A890+1=$AF$5),IF(NOT(ISBLANK(INDIRECT("template!"&amp;"P"&amp;A890+1))),A890+1,IF(NOT(ISBLANK(INDIRECT("template!"&amp;"P"&amp;A890+2))),A890+2,A890+3)),IF(A890=$AF$2,$AF$3,IF(A890=$AF$4,$AF$5,IF(A890=$AF$5,$AF$6,IF(A890=$AF$7,$AF$8,""))))))</f>
        <v>#REF!</v>
      </c>
      <c r="B891" t="e">
        <f t="shared" ca="1" si="75"/>
        <v>#REF!</v>
      </c>
      <c r="C891" t="e" cm="1">
        <f t="array" aca="1" ref="C891" ca="1">IF(A891="","",IF(B891="safety","safety costs",INDIRECT("template!"&amp;"B"&amp;A891)))</f>
        <v>#REF!</v>
      </c>
      <c r="D891" t="e" cm="1">
        <f t="array" aca="1" ref="D891" ca="1">IF(OR(A891="",B891="safety"),"",INDIRECT("template!"&amp;"C"&amp;A891))</f>
        <v>#REF!</v>
      </c>
      <c r="E891" t="e" cm="1">
        <f t="array" aca="1" ref="E891" ca="1">IF(A891="","",IF(OR(A891=A890+1,A891=A890+2),E890,INDIRECT("template!"&amp;"D"&amp;A891-2)))</f>
        <v>#REF!</v>
      </c>
      <c r="F891" t="e" cm="1">
        <f t="array" aca="1" ref="F891" ca="1">IF(OR(A891="",B891="safety"),"",IF(ISBLANK(IF(A891=A890+1,F890,INDIRECT("template!"&amp;"D"&amp;A891-1))),"",IF(A891=A890+1,F890,INDIRECT("template!"&amp;"D"&amp;A891-1))))</f>
        <v>#REF!</v>
      </c>
      <c r="G891" t="e" cm="1">
        <f t="array" aca="1" ref="G891" ca="1">IF(OR(A891="",B891="safety"),"",IF(ISBLANK(INDIRECT("template!"&amp;"D"&amp;A891)),"",INDIRECT("template!"&amp;"D"&amp;A891)))</f>
        <v>#REF!</v>
      </c>
      <c r="H891" t="e" cm="1">
        <f t="array" aca="1" ref="H891" ca="1">IF(OR(A891="",B891="safety"),"",IF(ISBLANK(INDIRECT("template!"&amp;"E"&amp;A891)),"",INDIRECT("template!"&amp;"E"&amp;A891)))</f>
        <v>#REF!</v>
      </c>
      <c r="I891" t="e" cm="1">
        <f t="array" aca="1" ref="I891" ca="1">IF(OR(A891="",B891="safety"),"",IF(ISBLANK(INDIRECT("template!"&amp;"F"&amp;A891)),"",INDIRECT("template!"&amp;"F"&amp;A891)))</f>
        <v>#REF!</v>
      </c>
      <c r="J891" t="e" cm="1">
        <f t="array" aca="1" ref="J891" ca="1">IF(OR(A891="",B891="safety"),"",IF(ISBLANK(INDIRECT("template!"&amp;"G"&amp;A891)),"",INDIRECT("template!"&amp;"G"&amp;A891)))</f>
        <v>#REF!</v>
      </c>
      <c r="K891" t="e" cm="1">
        <f t="array" aca="1" ref="K891" ca="1">IF(OR(A891="",B891="safety"),"",IF(ISBLANK(INDIRECT("template!"&amp;"H"&amp;A891)),"",INDIRECT("template!"&amp;"H"&amp;A891)))</f>
        <v>#REF!</v>
      </c>
      <c r="L891" t="e" cm="1">
        <f t="array" aca="1" ref="L891" ca="1">IF(OR(A891="",B891="safety"),"",INDIRECT("template!"&amp;"I"&amp;A891))</f>
        <v>#REF!</v>
      </c>
      <c r="M891" t="e" cm="1">
        <f t="array" aca="1" ref="M891" ca="1">IF(OR(A891="",B891="safety"),"",INDIRECT("template!"&amp;"J"&amp;A891))</f>
        <v>#REF!</v>
      </c>
      <c r="N891" t="e" cm="1">
        <f t="array" aca="1" ref="N891" ca="1">IF(OR(A891="",B891="safety"),"",IF(ISBLANK(INDIRECT("template!"&amp;"K"&amp;A891)),"",INDIRECT("template!"&amp;"K"&amp;A891)))</f>
        <v>#REF!</v>
      </c>
      <c r="O891" t="e" cm="1">
        <f t="array" aca="1" ref="O891" ca="1">IF(OR(A891="",B891="safety"),"",INDIRECT("template!"&amp;"L"&amp;A891))</f>
        <v>#REF!</v>
      </c>
      <c r="P891" t="e" cm="1">
        <f t="array" aca="1" ref="P891" ca="1">IF(OR(A891="",B891="safety"),"",INDIRECT("template!"&amp;"M"&amp;A891))</f>
        <v>#REF!</v>
      </c>
      <c r="Q891" t="e">
        <f t="shared" ca="1" si="76"/>
        <v>#REF!</v>
      </c>
      <c r="R891" t="e">
        <f t="shared" ca="1" si="77"/>
        <v>#REF!</v>
      </c>
      <c r="S891" t="e">
        <f t="shared" ca="1" si="78"/>
        <v>#REF!</v>
      </c>
      <c r="T891" t="e">
        <f t="shared" ca="1" si="79"/>
        <v>#REF!</v>
      </c>
      <c r="U891" t="e" cm="1">
        <f t="array" aca="1" ref="U891" ca="1">IF(A891="","",IF(E891="","",IF(B891="safety",INDIRECT("template!"&amp;"P"&amp;A891),Q891+R891)))</f>
        <v>#REF!</v>
      </c>
      <c r="V891" t="e" cm="1">
        <f t="array" aca="1" ref="V891" ca="1">IF(A891="","",IF(E891="","",IF(B891="safety",INDIRECT("template!"&amp;"P"&amp;A891),S891+T891)))</f>
        <v>#REF!</v>
      </c>
      <c r="W891" t="e">
        <f ca="1">IF(A891="","",IF(E891="","",#REF!))</f>
        <v>#REF!</v>
      </c>
      <c r="X891" t="e">
        <f ca="1">IF(A891="","",IF(E891="","",#REF!))</f>
        <v>#REF!</v>
      </c>
      <c r="Y891" s="39" t="e">
        <f ca="1">IF(A891="","",IF(E891="","",#REF!))</f>
        <v>#REF!</v>
      </c>
      <c r="Z891" t="e">
        <f ca="1">IF(A891="","",IF(E891="","",#REF!))</f>
        <v>#REF!</v>
      </c>
      <c r="AA891" t="e">
        <f ca="1">IF(A891="","",IF(E891="","",#REF!))</f>
        <v>#REF!</v>
      </c>
      <c r="AB891" t="e">
        <f ca="1">IF(A891="","",IF(E891="","",#REF!))</f>
        <v>#REF!</v>
      </c>
      <c r="AC891" t="e">
        <f t="shared" ca="1" si="80"/>
        <v>#REF!</v>
      </c>
    </row>
    <row r="892" spans="1:29" x14ac:dyDescent="0.35">
      <c r="A892" t="e" cm="1">
        <f t="array" aca="1" ref="A892" ca="1">IF(A891="","",IF(OR(AND(A891+1&gt;=$AF$1,A891+1&lt;=$AF$2),AND(A891+1&gt;=$AF$6,A891+1&lt;=$AF$7),AND(A891+1&gt;=$AF$3,A891+1&lt;=$AF$4),AND(A891+1&gt;=$AF$8,A891+1&lt;=$AF$9),A891+1=$AF$5),IF(NOT(ISBLANK(INDIRECT("template!"&amp;"P"&amp;A891+1))),A891+1,IF(NOT(ISBLANK(INDIRECT("template!"&amp;"P"&amp;A891+2))),A891+2,A891+3)),IF(A891=$AF$2,$AF$3,IF(A891=$AF$4,$AF$5,IF(A891=$AF$5,$AF$6,IF(A891=$AF$7,$AF$8,""))))))</f>
        <v>#REF!</v>
      </c>
      <c r="B892" t="e">
        <f t="shared" ca="1" si="75"/>
        <v>#REF!</v>
      </c>
      <c r="C892" t="e" cm="1">
        <f t="array" aca="1" ref="C892" ca="1">IF(A892="","",IF(B892="safety","safety costs",INDIRECT("template!"&amp;"B"&amp;A892)))</f>
        <v>#REF!</v>
      </c>
      <c r="D892" t="e" cm="1">
        <f t="array" aca="1" ref="D892" ca="1">IF(OR(A892="",B892="safety"),"",INDIRECT("template!"&amp;"C"&amp;A892))</f>
        <v>#REF!</v>
      </c>
      <c r="E892" t="e" cm="1">
        <f t="array" aca="1" ref="E892" ca="1">IF(A892="","",IF(OR(A892=A891+1,A892=A891+2),E891,INDIRECT("template!"&amp;"D"&amp;A892-2)))</f>
        <v>#REF!</v>
      </c>
      <c r="F892" t="e" cm="1">
        <f t="array" aca="1" ref="F892" ca="1">IF(OR(A892="",B892="safety"),"",IF(ISBLANK(IF(A892=A891+1,F891,INDIRECT("template!"&amp;"D"&amp;A892-1))),"",IF(A892=A891+1,F891,INDIRECT("template!"&amp;"D"&amp;A892-1))))</f>
        <v>#REF!</v>
      </c>
      <c r="G892" t="e" cm="1">
        <f t="array" aca="1" ref="G892" ca="1">IF(OR(A892="",B892="safety"),"",IF(ISBLANK(INDIRECT("template!"&amp;"D"&amp;A892)),"",INDIRECT("template!"&amp;"D"&amp;A892)))</f>
        <v>#REF!</v>
      </c>
      <c r="H892" t="e" cm="1">
        <f t="array" aca="1" ref="H892" ca="1">IF(OR(A892="",B892="safety"),"",IF(ISBLANK(INDIRECT("template!"&amp;"E"&amp;A892)),"",INDIRECT("template!"&amp;"E"&amp;A892)))</f>
        <v>#REF!</v>
      </c>
      <c r="I892" t="e" cm="1">
        <f t="array" aca="1" ref="I892" ca="1">IF(OR(A892="",B892="safety"),"",IF(ISBLANK(INDIRECT("template!"&amp;"F"&amp;A892)),"",INDIRECT("template!"&amp;"F"&amp;A892)))</f>
        <v>#REF!</v>
      </c>
      <c r="J892" t="e" cm="1">
        <f t="array" aca="1" ref="J892" ca="1">IF(OR(A892="",B892="safety"),"",IF(ISBLANK(INDIRECT("template!"&amp;"G"&amp;A892)),"",INDIRECT("template!"&amp;"G"&amp;A892)))</f>
        <v>#REF!</v>
      </c>
      <c r="K892" t="e" cm="1">
        <f t="array" aca="1" ref="K892" ca="1">IF(OR(A892="",B892="safety"),"",IF(ISBLANK(INDIRECT("template!"&amp;"H"&amp;A892)),"",INDIRECT("template!"&amp;"H"&amp;A892)))</f>
        <v>#REF!</v>
      </c>
      <c r="L892" t="e" cm="1">
        <f t="array" aca="1" ref="L892" ca="1">IF(OR(A892="",B892="safety"),"",INDIRECT("template!"&amp;"I"&amp;A892))</f>
        <v>#REF!</v>
      </c>
      <c r="M892" t="e" cm="1">
        <f t="array" aca="1" ref="M892" ca="1">IF(OR(A892="",B892="safety"),"",INDIRECT("template!"&amp;"J"&amp;A892))</f>
        <v>#REF!</v>
      </c>
      <c r="N892" t="e" cm="1">
        <f t="array" aca="1" ref="N892" ca="1">IF(OR(A892="",B892="safety"),"",IF(ISBLANK(INDIRECT("template!"&amp;"K"&amp;A892)),"",INDIRECT("template!"&amp;"K"&amp;A892)))</f>
        <v>#REF!</v>
      </c>
      <c r="O892" t="e" cm="1">
        <f t="array" aca="1" ref="O892" ca="1">IF(OR(A892="",B892="safety"),"",INDIRECT("template!"&amp;"L"&amp;A892))</f>
        <v>#REF!</v>
      </c>
      <c r="P892" t="e" cm="1">
        <f t="array" aca="1" ref="P892" ca="1">IF(OR(A892="",B892="safety"),"",INDIRECT("template!"&amp;"M"&amp;A892))</f>
        <v>#REF!</v>
      </c>
      <c r="Q892" t="e">
        <f t="shared" ca="1" si="76"/>
        <v>#REF!</v>
      </c>
      <c r="R892" t="e">
        <f t="shared" ca="1" si="77"/>
        <v>#REF!</v>
      </c>
      <c r="S892" t="e">
        <f t="shared" ca="1" si="78"/>
        <v>#REF!</v>
      </c>
      <c r="T892" t="e">
        <f t="shared" ca="1" si="79"/>
        <v>#REF!</v>
      </c>
      <c r="U892" t="e" cm="1">
        <f t="array" aca="1" ref="U892" ca="1">IF(A892="","",IF(E892="","",IF(B892="safety",INDIRECT("template!"&amp;"P"&amp;A892),Q892+R892)))</f>
        <v>#REF!</v>
      </c>
      <c r="V892" t="e" cm="1">
        <f t="array" aca="1" ref="V892" ca="1">IF(A892="","",IF(E892="","",IF(B892="safety",INDIRECT("template!"&amp;"P"&amp;A892),S892+T892)))</f>
        <v>#REF!</v>
      </c>
      <c r="W892" t="e">
        <f ca="1">IF(A892="","",IF(E892="","",#REF!))</f>
        <v>#REF!</v>
      </c>
      <c r="X892" t="e">
        <f ca="1">IF(A892="","",IF(E892="","",#REF!))</f>
        <v>#REF!</v>
      </c>
      <c r="Y892" s="39" t="e">
        <f ca="1">IF(A892="","",IF(E892="","",#REF!))</f>
        <v>#REF!</v>
      </c>
      <c r="Z892" t="e">
        <f ca="1">IF(A892="","",IF(E892="","",#REF!))</f>
        <v>#REF!</v>
      </c>
      <c r="AA892" t="e">
        <f ca="1">IF(A892="","",IF(E892="","",#REF!))</f>
        <v>#REF!</v>
      </c>
      <c r="AB892" t="e">
        <f ca="1">IF(A892="","",IF(E892="","",#REF!))</f>
        <v>#REF!</v>
      </c>
      <c r="AC892" t="e">
        <f t="shared" ca="1" si="80"/>
        <v>#REF!</v>
      </c>
    </row>
    <row r="893" spans="1:29" x14ac:dyDescent="0.35">
      <c r="A893" t="e" cm="1">
        <f t="array" aca="1" ref="A893" ca="1">IF(A892="","",IF(OR(AND(A892+1&gt;=$AF$1,A892+1&lt;=$AF$2),AND(A892+1&gt;=$AF$6,A892+1&lt;=$AF$7),AND(A892+1&gt;=$AF$3,A892+1&lt;=$AF$4),AND(A892+1&gt;=$AF$8,A892+1&lt;=$AF$9),A892+1=$AF$5),IF(NOT(ISBLANK(INDIRECT("template!"&amp;"P"&amp;A892+1))),A892+1,IF(NOT(ISBLANK(INDIRECT("template!"&amp;"P"&amp;A892+2))),A892+2,A892+3)),IF(A892=$AF$2,$AF$3,IF(A892=$AF$4,$AF$5,IF(A892=$AF$5,$AF$6,IF(A892=$AF$7,$AF$8,""))))))</f>
        <v>#REF!</v>
      </c>
      <c r="B893" t="e">
        <f t="shared" ca="1" si="75"/>
        <v>#REF!</v>
      </c>
      <c r="C893" t="e" cm="1">
        <f t="array" aca="1" ref="C893" ca="1">IF(A893="","",IF(B893="safety","safety costs",INDIRECT("template!"&amp;"B"&amp;A893)))</f>
        <v>#REF!</v>
      </c>
      <c r="D893" t="e" cm="1">
        <f t="array" aca="1" ref="D893" ca="1">IF(OR(A893="",B893="safety"),"",INDIRECT("template!"&amp;"C"&amp;A893))</f>
        <v>#REF!</v>
      </c>
      <c r="E893" t="e" cm="1">
        <f t="array" aca="1" ref="E893" ca="1">IF(A893="","",IF(OR(A893=A892+1,A893=A892+2),E892,INDIRECT("template!"&amp;"D"&amp;A893-2)))</f>
        <v>#REF!</v>
      </c>
      <c r="F893" t="e" cm="1">
        <f t="array" aca="1" ref="F893" ca="1">IF(OR(A893="",B893="safety"),"",IF(ISBLANK(IF(A893=A892+1,F892,INDIRECT("template!"&amp;"D"&amp;A893-1))),"",IF(A893=A892+1,F892,INDIRECT("template!"&amp;"D"&amp;A893-1))))</f>
        <v>#REF!</v>
      </c>
      <c r="G893" t="e" cm="1">
        <f t="array" aca="1" ref="G893" ca="1">IF(OR(A893="",B893="safety"),"",IF(ISBLANK(INDIRECT("template!"&amp;"D"&amp;A893)),"",INDIRECT("template!"&amp;"D"&amp;A893)))</f>
        <v>#REF!</v>
      </c>
      <c r="H893" t="e" cm="1">
        <f t="array" aca="1" ref="H893" ca="1">IF(OR(A893="",B893="safety"),"",IF(ISBLANK(INDIRECT("template!"&amp;"E"&amp;A893)),"",INDIRECT("template!"&amp;"E"&amp;A893)))</f>
        <v>#REF!</v>
      </c>
      <c r="I893" t="e" cm="1">
        <f t="array" aca="1" ref="I893" ca="1">IF(OR(A893="",B893="safety"),"",IF(ISBLANK(INDIRECT("template!"&amp;"F"&amp;A893)),"",INDIRECT("template!"&amp;"F"&amp;A893)))</f>
        <v>#REF!</v>
      </c>
      <c r="J893" t="e" cm="1">
        <f t="array" aca="1" ref="J893" ca="1">IF(OR(A893="",B893="safety"),"",IF(ISBLANK(INDIRECT("template!"&amp;"G"&amp;A893)),"",INDIRECT("template!"&amp;"G"&amp;A893)))</f>
        <v>#REF!</v>
      </c>
      <c r="K893" t="e" cm="1">
        <f t="array" aca="1" ref="K893" ca="1">IF(OR(A893="",B893="safety"),"",IF(ISBLANK(INDIRECT("template!"&amp;"H"&amp;A893)),"",INDIRECT("template!"&amp;"H"&amp;A893)))</f>
        <v>#REF!</v>
      </c>
      <c r="L893" t="e" cm="1">
        <f t="array" aca="1" ref="L893" ca="1">IF(OR(A893="",B893="safety"),"",INDIRECT("template!"&amp;"I"&amp;A893))</f>
        <v>#REF!</v>
      </c>
      <c r="M893" t="e" cm="1">
        <f t="array" aca="1" ref="M893" ca="1">IF(OR(A893="",B893="safety"),"",INDIRECT("template!"&amp;"J"&amp;A893))</f>
        <v>#REF!</v>
      </c>
      <c r="N893" t="e" cm="1">
        <f t="array" aca="1" ref="N893" ca="1">IF(OR(A893="",B893="safety"),"",IF(ISBLANK(INDIRECT("template!"&amp;"K"&amp;A893)),"",INDIRECT("template!"&amp;"K"&amp;A893)))</f>
        <v>#REF!</v>
      </c>
      <c r="O893" t="e" cm="1">
        <f t="array" aca="1" ref="O893" ca="1">IF(OR(A893="",B893="safety"),"",INDIRECT("template!"&amp;"L"&amp;A893))</f>
        <v>#REF!</v>
      </c>
      <c r="P893" t="e" cm="1">
        <f t="array" aca="1" ref="P893" ca="1">IF(OR(A893="",B893="safety"),"",INDIRECT("template!"&amp;"M"&amp;A893))</f>
        <v>#REF!</v>
      </c>
      <c r="Q893" t="e">
        <f t="shared" ca="1" si="76"/>
        <v>#REF!</v>
      </c>
      <c r="R893" t="e">
        <f t="shared" ca="1" si="77"/>
        <v>#REF!</v>
      </c>
      <c r="S893" t="e">
        <f t="shared" ca="1" si="78"/>
        <v>#REF!</v>
      </c>
      <c r="T893" t="e">
        <f t="shared" ca="1" si="79"/>
        <v>#REF!</v>
      </c>
      <c r="U893" t="e" cm="1">
        <f t="array" aca="1" ref="U893" ca="1">IF(A893="","",IF(E893="","",IF(B893="safety",INDIRECT("template!"&amp;"P"&amp;A893),Q893+R893)))</f>
        <v>#REF!</v>
      </c>
      <c r="V893" t="e" cm="1">
        <f t="array" aca="1" ref="V893" ca="1">IF(A893="","",IF(E893="","",IF(B893="safety",INDIRECT("template!"&amp;"P"&amp;A893),S893+T893)))</f>
        <v>#REF!</v>
      </c>
      <c r="W893" t="e">
        <f ca="1">IF(A893="","",IF(E893="","",#REF!))</f>
        <v>#REF!</v>
      </c>
      <c r="X893" t="e">
        <f ca="1">IF(A893="","",IF(E893="","",#REF!))</f>
        <v>#REF!</v>
      </c>
      <c r="Y893" s="39" t="e">
        <f ca="1">IF(A893="","",IF(E893="","",#REF!))</f>
        <v>#REF!</v>
      </c>
      <c r="Z893" t="e">
        <f ca="1">IF(A893="","",IF(E893="","",#REF!))</f>
        <v>#REF!</v>
      </c>
      <c r="AA893" t="e">
        <f ca="1">IF(A893="","",IF(E893="","",#REF!))</f>
        <v>#REF!</v>
      </c>
      <c r="AB893" t="e">
        <f ca="1">IF(A893="","",IF(E893="","",#REF!))</f>
        <v>#REF!</v>
      </c>
      <c r="AC893" t="e">
        <f t="shared" ca="1" si="80"/>
        <v>#REF!</v>
      </c>
    </row>
    <row r="894" spans="1:29" x14ac:dyDescent="0.35">
      <c r="A894" t="e" cm="1">
        <f t="array" aca="1" ref="A894" ca="1">IF(A893="","",IF(OR(AND(A893+1&gt;=$AF$1,A893+1&lt;=$AF$2),AND(A893+1&gt;=$AF$6,A893+1&lt;=$AF$7),AND(A893+1&gt;=$AF$3,A893+1&lt;=$AF$4),AND(A893+1&gt;=$AF$8,A893+1&lt;=$AF$9),A893+1=$AF$5),IF(NOT(ISBLANK(INDIRECT("template!"&amp;"P"&amp;A893+1))),A893+1,IF(NOT(ISBLANK(INDIRECT("template!"&amp;"P"&amp;A893+2))),A893+2,A893+3)),IF(A893=$AF$2,$AF$3,IF(A893=$AF$4,$AF$5,IF(A893=$AF$5,$AF$6,IF(A893=$AF$7,$AF$8,""))))))</f>
        <v>#REF!</v>
      </c>
      <c r="B894" t="e">
        <f t="shared" ca="1" si="75"/>
        <v>#REF!</v>
      </c>
      <c r="C894" t="e" cm="1">
        <f t="array" aca="1" ref="C894" ca="1">IF(A894="","",IF(B894="safety","safety costs",INDIRECT("template!"&amp;"B"&amp;A894)))</f>
        <v>#REF!</v>
      </c>
      <c r="D894" t="e" cm="1">
        <f t="array" aca="1" ref="D894" ca="1">IF(OR(A894="",B894="safety"),"",INDIRECT("template!"&amp;"C"&amp;A894))</f>
        <v>#REF!</v>
      </c>
      <c r="E894" t="e" cm="1">
        <f t="array" aca="1" ref="E894" ca="1">IF(A894="","",IF(OR(A894=A893+1,A894=A893+2),E893,INDIRECT("template!"&amp;"D"&amp;A894-2)))</f>
        <v>#REF!</v>
      </c>
      <c r="F894" t="e" cm="1">
        <f t="array" aca="1" ref="F894" ca="1">IF(OR(A894="",B894="safety"),"",IF(ISBLANK(IF(A894=A893+1,F893,INDIRECT("template!"&amp;"D"&amp;A894-1))),"",IF(A894=A893+1,F893,INDIRECT("template!"&amp;"D"&amp;A894-1))))</f>
        <v>#REF!</v>
      </c>
      <c r="G894" t="e" cm="1">
        <f t="array" aca="1" ref="G894" ca="1">IF(OR(A894="",B894="safety"),"",IF(ISBLANK(INDIRECT("template!"&amp;"D"&amp;A894)),"",INDIRECT("template!"&amp;"D"&amp;A894)))</f>
        <v>#REF!</v>
      </c>
      <c r="H894" t="e" cm="1">
        <f t="array" aca="1" ref="H894" ca="1">IF(OR(A894="",B894="safety"),"",IF(ISBLANK(INDIRECT("template!"&amp;"E"&amp;A894)),"",INDIRECT("template!"&amp;"E"&amp;A894)))</f>
        <v>#REF!</v>
      </c>
      <c r="I894" t="e" cm="1">
        <f t="array" aca="1" ref="I894" ca="1">IF(OR(A894="",B894="safety"),"",IF(ISBLANK(INDIRECT("template!"&amp;"F"&amp;A894)),"",INDIRECT("template!"&amp;"F"&amp;A894)))</f>
        <v>#REF!</v>
      </c>
      <c r="J894" t="e" cm="1">
        <f t="array" aca="1" ref="J894" ca="1">IF(OR(A894="",B894="safety"),"",IF(ISBLANK(INDIRECT("template!"&amp;"G"&amp;A894)),"",INDIRECT("template!"&amp;"G"&amp;A894)))</f>
        <v>#REF!</v>
      </c>
      <c r="K894" t="e" cm="1">
        <f t="array" aca="1" ref="K894" ca="1">IF(OR(A894="",B894="safety"),"",IF(ISBLANK(INDIRECT("template!"&amp;"H"&amp;A894)),"",INDIRECT("template!"&amp;"H"&amp;A894)))</f>
        <v>#REF!</v>
      </c>
      <c r="L894" t="e" cm="1">
        <f t="array" aca="1" ref="L894" ca="1">IF(OR(A894="",B894="safety"),"",INDIRECT("template!"&amp;"I"&amp;A894))</f>
        <v>#REF!</v>
      </c>
      <c r="M894" t="e" cm="1">
        <f t="array" aca="1" ref="M894" ca="1">IF(OR(A894="",B894="safety"),"",INDIRECT("template!"&amp;"J"&amp;A894))</f>
        <v>#REF!</v>
      </c>
      <c r="N894" t="e" cm="1">
        <f t="array" aca="1" ref="N894" ca="1">IF(OR(A894="",B894="safety"),"",IF(ISBLANK(INDIRECT("template!"&amp;"K"&amp;A894)),"",INDIRECT("template!"&amp;"K"&amp;A894)))</f>
        <v>#REF!</v>
      </c>
      <c r="O894" t="e" cm="1">
        <f t="array" aca="1" ref="O894" ca="1">IF(OR(A894="",B894="safety"),"",INDIRECT("template!"&amp;"L"&amp;A894))</f>
        <v>#REF!</v>
      </c>
      <c r="P894" t="e" cm="1">
        <f t="array" aca="1" ref="P894" ca="1">IF(OR(A894="",B894="safety"),"",INDIRECT("template!"&amp;"M"&amp;A894))</f>
        <v>#REF!</v>
      </c>
      <c r="Q894" t="e">
        <f t="shared" ca="1" si="76"/>
        <v>#REF!</v>
      </c>
      <c r="R894" t="e">
        <f t="shared" ca="1" si="77"/>
        <v>#REF!</v>
      </c>
      <c r="S894" t="e">
        <f t="shared" ca="1" si="78"/>
        <v>#REF!</v>
      </c>
      <c r="T894" t="e">
        <f t="shared" ca="1" si="79"/>
        <v>#REF!</v>
      </c>
      <c r="U894" t="e" cm="1">
        <f t="array" aca="1" ref="U894" ca="1">IF(A894="","",IF(E894="","",IF(B894="safety",INDIRECT("template!"&amp;"P"&amp;A894),Q894+R894)))</f>
        <v>#REF!</v>
      </c>
      <c r="V894" t="e" cm="1">
        <f t="array" aca="1" ref="V894" ca="1">IF(A894="","",IF(E894="","",IF(B894="safety",INDIRECT("template!"&amp;"P"&amp;A894),S894+T894)))</f>
        <v>#REF!</v>
      </c>
      <c r="W894" t="e">
        <f ca="1">IF(A894="","",IF(E894="","",#REF!))</f>
        <v>#REF!</v>
      </c>
      <c r="X894" t="e">
        <f ca="1">IF(A894="","",IF(E894="","",#REF!))</f>
        <v>#REF!</v>
      </c>
      <c r="Y894" s="39" t="e">
        <f ca="1">IF(A894="","",IF(E894="","",#REF!))</f>
        <v>#REF!</v>
      </c>
      <c r="Z894" t="e">
        <f ca="1">IF(A894="","",IF(E894="","",#REF!))</f>
        <v>#REF!</v>
      </c>
      <c r="AA894" t="e">
        <f ca="1">IF(A894="","",IF(E894="","",#REF!))</f>
        <v>#REF!</v>
      </c>
      <c r="AB894" t="e">
        <f ca="1">IF(A894="","",IF(E894="","",#REF!))</f>
        <v>#REF!</v>
      </c>
      <c r="AC894" t="e">
        <f t="shared" ca="1" si="80"/>
        <v>#REF!</v>
      </c>
    </row>
    <row r="895" spans="1:29" x14ac:dyDescent="0.35">
      <c r="A895" t="e" cm="1">
        <f t="array" aca="1" ref="A895" ca="1">IF(A894="","",IF(OR(AND(A894+1&gt;=$AF$1,A894+1&lt;=$AF$2),AND(A894+1&gt;=$AF$6,A894+1&lt;=$AF$7),AND(A894+1&gt;=$AF$3,A894+1&lt;=$AF$4),AND(A894+1&gt;=$AF$8,A894+1&lt;=$AF$9),A894+1=$AF$5),IF(NOT(ISBLANK(INDIRECT("template!"&amp;"P"&amp;A894+1))),A894+1,IF(NOT(ISBLANK(INDIRECT("template!"&amp;"P"&amp;A894+2))),A894+2,A894+3)),IF(A894=$AF$2,$AF$3,IF(A894=$AF$4,$AF$5,IF(A894=$AF$5,$AF$6,IF(A894=$AF$7,$AF$8,""))))))</f>
        <v>#REF!</v>
      </c>
      <c r="B895" t="e">
        <f t="shared" ca="1" si="75"/>
        <v>#REF!</v>
      </c>
      <c r="C895" t="e" cm="1">
        <f t="array" aca="1" ref="C895" ca="1">IF(A895="","",IF(B895="safety","safety costs",INDIRECT("template!"&amp;"B"&amp;A895)))</f>
        <v>#REF!</v>
      </c>
      <c r="D895" t="e" cm="1">
        <f t="array" aca="1" ref="D895" ca="1">IF(OR(A895="",B895="safety"),"",INDIRECT("template!"&amp;"C"&amp;A895))</f>
        <v>#REF!</v>
      </c>
      <c r="E895" t="e" cm="1">
        <f t="array" aca="1" ref="E895" ca="1">IF(A895="","",IF(OR(A895=A894+1,A895=A894+2),E894,INDIRECT("template!"&amp;"D"&amp;A895-2)))</f>
        <v>#REF!</v>
      </c>
      <c r="F895" t="e" cm="1">
        <f t="array" aca="1" ref="F895" ca="1">IF(OR(A895="",B895="safety"),"",IF(ISBLANK(IF(A895=A894+1,F894,INDIRECT("template!"&amp;"D"&amp;A895-1))),"",IF(A895=A894+1,F894,INDIRECT("template!"&amp;"D"&amp;A895-1))))</f>
        <v>#REF!</v>
      </c>
      <c r="G895" t="e" cm="1">
        <f t="array" aca="1" ref="G895" ca="1">IF(OR(A895="",B895="safety"),"",IF(ISBLANK(INDIRECT("template!"&amp;"D"&amp;A895)),"",INDIRECT("template!"&amp;"D"&amp;A895)))</f>
        <v>#REF!</v>
      </c>
      <c r="H895" t="e" cm="1">
        <f t="array" aca="1" ref="H895" ca="1">IF(OR(A895="",B895="safety"),"",IF(ISBLANK(INDIRECT("template!"&amp;"E"&amp;A895)),"",INDIRECT("template!"&amp;"E"&amp;A895)))</f>
        <v>#REF!</v>
      </c>
      <c r="I895" t="e" cm="1">
        <f t="array" aca="1" ref="I895" ca="1">IF(OR(A895="",B895="safety"),"",IF(ISBLANK(INDIRECT("template!"&amp;"F"&amp;A895)),"",INDIRECT("template!"&amp;"F"&amp;A895)))</f>
        <v>#REF!</v>
      </c>
      <c r="J895" t="e" cm="1">
        <f t="array" aca="1" ref="J895" ca="1">IF(OR(A895="",B895="safety"),"",IF(ISBLANK(INDIRECT("template!"&amp;"G"&amp;A895)),"",INDIRECT("template!"&amp;"G"&amp;A895)))</f>
        <v>#REF!</v>
      </c>
      <c r="K895" t="e" cm="1">
        <f t="array" aca="1" ref="K895" ca="1">IF(OR(A895="",B895="safety"),"",IF(ISBLANK(INDIRECT("template!"&amp;"H"&amp;A895)),"",INDIRECT("template!"&amp;"H"&amp;A895)))</f>
        <v>#REF!</v>
      </c>
      <c r="L895" t="e" cm="1">
        <f t="array" aca="1" ref="L895" ca="1">IF(OR(A895="",B895="safety"),"",INDIRECT("template!"&amp;"I"&amp;A895))</f>
        <v>#REF!</v>
      </c>
      <c r="M895" t="e" cm="1">
        <f t="array" aca="1" ref="M895" ca="1">IF(OR(A895="",B895="safety"),"",INDIRECT("template!"&amp;"J"&amp;A895))</f>
        <v>#REF!</v>
      </c>
      <c r="N895" t="e" cm="1">
        <f t="array" aca="1" ref="N895" ca="1">IF(OR(A895="",B895="safety"),"",IF(ISBLANK(INDIRECT("template!"&amp;"K"&amp;A895)),"",INDIRECT("template!"&amp;"K"&amp;A895)))</f>
        <v>#REF!</v>
      </c>
      <c r="O895" t="e" cm="1">
        <f t="array" aca="1" ref="O895" ca="1">IF(OR(A895="",B895="safety"),"",INDIRECT("template!"&amp;"L"&amp;A895))</f>
        <v>#REF!</v>
      </c>
      <c r="P895" t="e" cm="1">
        <f t="array" aca="1" ref="P895" ca="1">IF(OR(A895="",B895="safety"),"",INDIRECT("template!"&amp;"M"&amp;A895))</f>
        <v>#REF!</v>
      </c>
      <c r="Q895" t="e">
        <f t="shared" ca="1" si="76"/>
        <v>#REF!</v>
      </c>
      <c r="R895" t="e">
        <f t="shared" ca="1" si="77"/>
        <v>#REF!</v>
      </c>
      <c r="S895" t="e">
        <f t="shared" ca="1" si="78"/>
        <v>#REF!</v>
      </c>
      <c r="T895" t="e">
        <f t="shared" ca="1" si="79"/>
        <v>#REF!</v>
      </c>
      <c r="U895" t="e" cm="1">
        <f t="array" aca="1" ref="U895" ca="1">IF(A895="","",IF(E895="","",IF(B895="safety",INDIRECT("template!"&amp;"P"&amp;A895),Q895+R895)))</f>
        <v>#REF!</v>
      </c>
      <c r="V895" t="e" cm="1">
        <f t="array" aca="1" ref="V895" ca="1">IF(A895="","",IF(E895="","",IF(B895="safety",INDIRECT("template!"&amp;"P"&amp;A895),S895+T895)))</f>
        <v>#REF!</v>
      </c>
      <c r="W895" t="e">
        <f ca="1">IF(A895="","",IF(E895="","",#REF!))</f>
        <v>#REF!</v>
      </c>
      <c r="X895" t="e">
        <f ca="1">IF(A895="","",IF(E895="","",#REF!))</f>
        <v>#REF!</v>
      </c>
      <c r="Y895" s="39" t="e">
        <f ca="1">IF(A895="","",IF(E895="","",#REF!))</f>
        <v>#REF!</v>
      </c>
      <c r="Z895" t="e">
        <f ca="1">IF(A895="","",IF(E895="","",#REF!))</f>
        <v>#REF!</v>
      </c>
      <c r="AA895" t="e">
        <f ca="1">IF(A895="","",IF(E895="","",#REF!))</f>
        <v>#REF!</v>
      </c>
      <c r="AB895" t="e">
        <f ca="1">IF(A895="","",IF(E895="","",#REF!))</f>
        <v>#REF!</v>
      </c>
      <c r="AC895" t="e">
        <f t="shared" ca="1" si="80"/>
        <v>#REF!</v>
      </c>
    </row>
    <row r="896" spans="1:29" x14ac:dyDescent="0.35">
      <c r="A896" t="e" cm="1">
        <f t="array" aca="1" ref="A896" ca="1">IF(A895="","",IF(OR(AND(A895+1&gt;=$AF$1,A895+1&lt;=$AF$2),AND(A895+1&gt;=$AF$6,A895+1&lt;=$AF$7),AND(A895+1&gt;=$AF$3,A895+1&lt;=$AF$4),AND(A895+1&gt;=$AF$8,A895+1&lt;=$AF$9),A895+1=$AF$5),IF(NOT(ISBLANK(INDIRECT("template!"&amp;"P"&amp;A895+1))),A895+1,IF(NOT(ISBLANK(INDIRECT("template!"&amp;"P"&amp;A895+2))),A895+2,A895+3)),IF(A895=$AF$2,$AF$3,IF(A895=$AF$4,$AF$5,IF(A895=$AF$5,$AF$6,IF(A895=$AF$7,$AF$8,""))))))</f>
        <v>#REF!</v>
      </c>
      <c r="B896" t="e">
        <f t="shared" ca="1" si="75"/>
        <v>#REF!</v>
      </c>
      <c r="C896" t="e" cm="1">
        <f t="array" aca="1" ref="C896" ca="1">IF(A896="","",IF(B896="safety","safety costs",INDIRECT("template!"&amp;"B"&amp;A896)))</f>
        <v>#REF!</v>
      </c>
      <c r="D896" t="e" cm="1">
        <f t="array" aca="1" ref="D896" ca="1">IF(OR(A896="",B896="safety"),"",INDIRECT("template!"&amp;"C"&amp;A896))</f>
        <v>#REF!</v>
      </c>
      <c r="E896" t="e" cm="1">
        <f t="array" aca="1" ref="E896" ca="1">IF(A896="","",IF(OR(A896=A895+1,A896=A895+2),E895,INDIRECT("template!"&amp;"D"&amp;A896-2)))</f>
        <v>#REF!</v>
      </c>
      <c r="F896" t="e" cm="1">
        <f t="array" aca="1" ref="F896" ca="1">IF(OR(A896="",B896="safety"),"",IF(ISBLANK(IF(A896=A895+1,F895,INDIRECT("template!"&amp;"D"&amp;A896-1))),"",IF(A896=A895+1,F895,INDIRECT("template!"&amp;"D"&amp;A896-1))))</f>
        <v>#REF!</v>
      </c>
      <c r="G896" t="e" cm="1">
        <f t="array" aca="1" ref="G896" ca="1">IF(OR(A896="",B896="safety"),"",IF(ISBLANK(INDIRECT("template!"&amp;"D"&amp;A896)),"",INDIRECT("template!"&amp;"D"&amp;A896)))</f>
        <v>#REF!</v>
      </c>
      <c r="H896" t="e" cm="1">
        <f t="array" aca="1" ref="H896" ca="1">IF(OR(A896="",B896="safety"),"",IF(ISBLANK(INDIRECT("template!"&amp;"E"&amp;A896)),"",INDIRECT("template!"&amp;"E"&amp;A896)))</f>
        <v>#REF!</v>
      </c>
      <c r="I896" t="e" cm="1">
        <f t="array" aca="1" ref="I896" ca="1">IF(OR(A896="",B896="safety"),"",IF(ISBLANK(INDIRECT("template!"&amp;"F"&amp;A896)),"",INDIRECT("template!"&amp;"F"&amp;A896)))</f>
        <v>#REF!</v>
      </c>
      <c r="J896" t="e" cm="1">
        <f t="array" aca="1" ref="J896" ca="1">IF(OR(A896="",B896="safety"),"",IF(ISBLANK(INDIRECT("template!"&amp;"G"&amp;A896)),"",INDIRECT("template!"&amp;"G"&amp;A896)))</f>
        <v>#REF!</v>
      </c>
      <c r="K896" t="e" cm="1">
        <f t="array" aca="1" ref="K896" ca="1">IF(OR(A896="",B896="safety"),"",IF(ISBLANK(INDIRECT("template!"&amp;"H"&amp;A896)),"",INDIRECT("template!"&amp;"H"&amp;A896)))</f>
        <v>#REF!</v>
      </c>
      <c r="L896" t="e" cm="1">
        <f t="array" aca="1" ref="L896" ca="1">IF(OR(A896="",B896="safety"),"",INDIRECT("template!"&amp;"I"&amp;A896))</f>
        <v>#REF!</v>
      </c>
      <c r="M896" t="e" cm="1">
        <f t="array" aca="1" ref="M896" ca="1">IF(OR(A896="",B896="safety"),"",INDIRECT("template!"&amp;"J"&amp;A896))</f>
        <v>#REF!</v>
      </c>
      <c r="N896" t="e" cm="1">
        <f t="array" aca="1" ref="N896" ca="1">IF(OR(A896="",B896="safety"),"",IF(ISBLANK(INDIRECT("template!"&amp;"K"&amp;A896)),"",INDIRECT("template!"&amp;"K"&amp;A896)))</f>
        <v>#REF!</v>
      </c>
      <c r="O896" t="e" cm="1">
        <f t="array" aca="1" ref="O896" ca="1">IF(OR(A896="",B896="safety"),"",INDIRECT("template!"&amp;"L"&amp;A896))</f>
        <v>#REF!</v>
      </c>
      <c r="P896" t="e" cm="1">
        <f t="array" aca="1" ref="P896" ca="1">IF(OR(A896="",B896="safety"),"",INDIRECT("template!"&amp;"M"&amp;A896))</f>
        <v>#REF!</v>
      </c>
      <c r="Q896" t="e">
        <f t="shared" ca="1" si="76"/>
        <v>#REF!</v>
      </c>
      <c r="R896" t="e">
        <f t="shared" ca="1" si="77"/>
        <v>#REF!</v>
      </c>
      <c r="S896" t="e">
        <f t="shared" ca="1" si="78"/>
        <v>#REF!</v>
      </c>
      <c r="T896" t="e">
        <f t="shared" ca="1" si="79"/>
        <v>#REF!</v>
      </c>
      <c r="U896" t="e" cm="1">
        <f t="array" aca="1" ref="U896" ca="1">IF(A896="","",IF(E896="","",IF(B896="safety",INDIRECT("template!"&amp;"P"&amp;A896),Q896+R896)))</f>
        <v>#REF!</v>
      </c>
      <c r="V896" t="e" cm="1">
        <f t="array" aca="1" ref="V896" ca="1">IF(A896="","",IF(E896="","",IF(B896="safety",INDIRECT("template!"&amp;"P"&amp;A896),S896+T896)))</f>
        <v>#REF!</v>
      </c>
      <c r="W896" t="e">
        <f ca="1">IF(A896="","",IF(E896="","",#REF!))</f>
        <v>#REF!</v>
      </c>
      <c r="X896" t="e">
        <f ca="1">IF(A896="","",IF(E896="","",#REF!))</f>
        <v>#REF!</v>
      </c>
      <c r="Y896" s="39" t="e">
        <f ca="1">IF(A896="","",IF(E896="","",#REF!))</f>
        <v>#REF!</v>
      </c>
      <c r="Z896" t="e">
        <f ca="1">IF(A896="","",IF(E896="","",#REF!))</f>
        <v>#REF!</v>
      </c>
      <c r="AA896" t="e">
        <f ca="1">IF(A896="","",IF(E896="","",#REF!))</f>
        <v>#REF!</v>
      </c>
      <c r="AB896" t="e">
        <f ca="1">IF(A896="","",IF(E896="","",#REF!))</f>
        <v>#REF!</v>
      </c>
      <c r="AC896" t="e">
        <f t="shared" ca="1" si="80"/>
        <v>#REF!</v>
      </c>
    </row>
    <row r="897" spans="1:29" x14ac:dyDescent="0.35">
      <c r="A897" t="e" cm="1">
        <f t="array" aca="1" ref="A897" ca="1">IF(A896="","",IF(OR(AND(A896+1&gt;=$AF$1,A896+1&lt;=$AF$2),AND(A896+1&gt;=$AF$6,A896+1&lt;=$AF$7),AND(A896+1&gt;=$AF$3,A896+1&lt;=$AF$4),AND(A896+1&gt;=$AF$8,A896+1&lt;=$AF$9),A896+1=$AF$5),IF(NOT(ISBLANK(INDIRECT("template!"&amp;"P"&amp;A896+1))),A896+1,IF(NOT(ISBLANK(INDIRECT("template!"&amp;"P"&amp;A896+2))),A896+2,A896+3)),IF(A896=$AF$2,$AF$3,IF(A896=$AF$4,$AF$5,IF(A896=$AF$5,$AF$6,IF(A896=$AF$7,$AF$8,""))))))</f>
        <v>#REF!</v>
      </c>
      <c r="B897" t="e">
        <f t="shared" ca="1" si="75"/>
        <v>#REF!</v>
      </c>
      <c r="C897" t="e" cm="1">
        <f t="array" aca="1" ref="C897" ca="1">IF(A897="","",IF(B897="safety","safety costs",INDIRECT("template!"&amp;"B"&amp;A897)))</f>
        <v>#REF!</v>
      </c>
      <c r="D897" t="e" cm="1">
        <f t="array" aca="1" ref="D897" ca="1">IF(OR(A897="",B897="safety"),"",INDIRECT("template!"&amp;"C"&amp;A897))</f>
        <v>#REF!</v>
      </c>
      <c r="E897" t="e" cm="1">
        <f t="array" aca="1" ref="E897" ca="1">IF(A897="","",IF(OR(A897=A896+1,A897=A896+2),E896,INDIRECT("template!"&amp;"D"&amp;A897-2)))</f>
        <v>#REF!</v>
      </c>
      <c r="F897" t="e" cm="1">
        <f t="array" aca="1" ref="F897" ca="1">IF(OR(A897="",B897="safety"),"",IF(ISBLANK(IF(A897=A896+1,F896,INDIRECT("template!"&amp;"D"&amp;A897-1))),"",IF(A897=A896+1,F896,INDIRECT("template!"&amp;"D"&amp;A897-1))))</f>
        <v>#REF!</v>
      </c>
      <c r="G897" t="e" cm="1">
        <f t="array" aca="1" ref="G897" ca="1">IF(OR(A897="",B897="safety"),"",IF(ISBLANK(INDIRECT("template!"&amp;"D"&amp;A897)),"",INDIRECT("template!"&amp;"D"&amp;A897)))</f>
        <v>#REF!</v>
      </c>
      <c r="H897" t="e" cm="1">
        <f t="array" aca="1" ref="H897" ca="1">IF(OR(A897="",B897="safety"),"",IF(ISBLANK(INDIRECT("template!"&amp;"E"&amp;A897)),"",INDIRECT("template!"&amp;"E"&amp;A897)))</f>
        <v>#REF!</v>
      </c>
      <c r="I897" t="e" cm="1">
        <f t="array" aca="1" ref="I897" ca="1">IF(OR(A897="",B897="safety"),"",IF(ISBLANK(INDIRECT("template!"&amp;"F"&amp;A897)),"",INDIRECT("template!"&amp;"F"&amp;A897)))</f>
        <v>#REF!</v>
      </c>
      <c r="J897" t="e" cm="1">
        <f t="array" aca="1" ref="J897" ca="1">IF(OR(A897="",B897="safety"),"",IF(ISBLANK(INDIRECT("template!"&amp;"G"&amp;A897)),"",INDIRECT("template!"&amp;"G"&amp;A897)))</f>
        <v>#REF!</v>
      </c>
      <c r="K897" t="e" cm="1">
        <f t="array" aca="1" ref="K897" ca="1">IF(OR(A897="",B897="safety"),"",IF(ISBLANK(INDIRECT("template!"&amp;"H"&amp;A897)),"",INDIRECT("template!"&amp;"H"&amp;A897)))</f>
        <v>#REF!</v>
      </c>
      <c r="L897" t="e" cm="1">
        <f t="array" aca="1" ref="L897" ca="1">IF(OR(A897="",B897="safety"),"",INDIRECT("template!"&amp;"I"&amp;A897))</f>
        <v>#REF!</v>
      </c>
      <c r="M897" t="e" cm="1">
        <f t="array" aca="1" ref="M897" ca="1">IF(OR(A897="",B897="safety"),"",INDIRECT("template!"&amp;"J"&amp;A897))</f>
        <v>#REF!</v>
      </c>
      <c r="N897" t="e" cm="1">
        <f t="array" aca="1" ref="N897" ca="1">IF(OR(A897="",B897="safety"),"",IF(ISBLANK(INDIRECT("template!"&amp;"K"&amp;A897)),"",INDIRECT("template!"&amp;"K"&amp;A897)))</f>
        <v>#REF!</v>
      </c>
      <c r="O897" t="e" cm="1">
        <f t="array" aca="1" ref="O897" ca="1">IF(OR(A897="",B897="safety"),"",INDIRECT("template!"&amp;"L"&amp;A897))</f>
        <v>#REF!</v>
      </c>
      <c r="P897" t="e" cm="1">
        <f t="array" aca="1" ref="P897" ca="1">IF(OR(A897="",B897="safety"),"",INDIRECT("template!"&amp;"M"&amp;A897))</f>
        <v>#REF!</v>
      </c>
      <c r="Q897" t="e">
        <f t="shared" ca="1" si="76"/>
        <v>#REF!</v>
      </c>
      <c r="R897" t="e">
        <f t="shared" ca="1" si="77"/>
        <v>#REF!</v>
      </c>
      <c r="S897" t="e">
        <f t="shared" ca="1" si="78"/>
        <v>#REF!</v>
      </c>
      <c r="T897" t="e">
        <f t="shared" ca="1" si="79"/>
        <v>#REF!</v>
      </c>
      <c r="U897" t="e" cm="1">
        <f t="array" aca="1" ref="U897" ca="1">IF(A897="","",IF(E897="","",IF(B897="safety",INDIRECT("template!"&amp;"P"&amp;A897),Q897+R897)))</f>
        <v>#REF!</v>
      </c>
      <c r="V897" t="e" cm="1">
        <f t="array" aca="1" ref="V897" ca="1">IF(A897="","",IF(E897="","",IF(B897="safety",INDIRECT("template!"&amp;"P"&amp;A897),S897+T897)))</f>
        <v>#REF!</v>
      </c>
      <c r="W897" t="e">
        <f ca="1">IF(A897="","",IF(E897="","",#REF!))</f>
        <v>#REF!</v>
      </c>
      <c r="X897" t="e">
        <f ca="1">IF(A897="","",IF(E897="","",#REF!))</f>
        <v>#REF!</v>
      </c>
      <c r="Y897" s="39" t="e">
        <f ca="1">IF(A897="","",IF(E897="","",#REF!))</f>
        <v>#REF!</v>
      </c>
      <c r="Z897" t="e">
        <f ca="1">IF(A897="","",IF(E897="","",#REF!))</f>
        <v>#REF!</v>
      </c>
      <c r="AA897" t="e">
        <f ca="1">IF(A897="","",IF(E897="","",#REF!))</f>
        <v>#REF!</v>
      </c>
      <c r="AB897" t="e">
        <f ca="1">IF(A897="","",IF(E897="","",#REF!))</f>
        <v>#REF!</v>
      </c>
      <c r="AC897" t="e">
        <f t="shared" ca="1" si="80"/>
        <v>#REF!</v>
      </c>
    </row>
    <row r="898" spans="1:29" x14ac:dyDescent="0.35">
      <c r="A898" t="e" cm="1">
        <f t="array" aca="1" ref="A898" ca="1">IF(A897="","",IF(OR(AND(A897+1&gt;=$AF$1,A897+1&lt;=$AF$2),AND(A897+1&gt;=$AF$6,A897+1&lt;=$AF$7),AND(A897+1&gt;=$AF$3,A897+1&lt;=$AF$4),AND(A897+1&gt;=$AF$8,A897+1&lt;=$AF$9),A897+1=$AF$5),IF(NOT(ISBLANK(INDIRECT("template!"&amp;"P"&amp;A897+1))),A897+1,IF(NOT(ISBLANK(INDIRECT("template!"&amp;"P"&amp;A897+2))),A897+2,A897+3)),IF(A897=$AF$2,$AF$3,IF(A897=$AF$4,$AF$5,IF(A897=$AF$5,$AF$6,IF(A897=$AF$7,$AF$8,""))))))</f>
        <v>#REF!</v>
      </c>
      <c r="B898" t="e">
        <f t="shared" ref="B898:B961" ca="1" si="81">IF(A898="","",IF(OR(AND(A898&gt;=$AF$1,A898&lt;=$AF$2),AND(A898&gt;=$AF$6,A898&lt;=$AF$7)),"Mechanical",IF(OR(AND(A898&gt;=$AF$3,A898&lt;=$AF$4),AND(A898&gt;=$AF$8,A898&lt;=$AF$9)),"Electric",IF(A898=$AF$5,"Safety",""))))</f>
        <v>#REF!</v>
      </c>
      <c r="C898" t="e" cm="1">
        <f t="array" aca="1" ref="C898" ca="1">IF(A898="","",IF(B898="safety","safety costs",INDIRECT("template!"&amp;"B"&amp;A898)))</f>
        <v>#REF!</v>
      </c>
      <c r="D898" t="e" cm="1">
        <f t="array" aca="1" ref="D898" ca="1">IF(OR(A898="",B898="safety"),"",INDIRECT("template!"&amp;"C"&amp;A898))</f>
        <v>#REF!</v>
      </c>
      <c r="E898" t="e" cm="1">
        <f t="array" aca="1" ref="E898" ca="1">IF(A898="","",IF(OR(A898=A897+1,A898=A897+2),E897,INDIRECT("template!"&amp;"D"&amp;A898-2)))</f>
        <v>#REF!</v>
      </c>
      <c r="F898" t="e" cm="1">
        <f t="array" aca="1" ref="F898" ca="1">IF(OR(A898="",B898="safety"),"",IF(ISBLANK(IF(A898=A897+1,F897,INDIRECT("template!"&amp;"D"&amp;A898-1))),"",IF(A898=A897+1,F897,INDIRECT("template!"&amp;"D"&amp;A898-1))))</f>
        <v>#REF!</v>
      </c>
      <c r="G898" t="e" cm="1">
        <f t="array" aca="1" ref="G898" ca="1">IF(OR(A898="",B898="safety"),"",IF(ISBLANK(INDIRECT("template!"&amp;"D"&amp;A898)),"",INDIRECT("template!"&amp;"D"&amp;A898)))</f>
        <v>#REF!</v>
      </c>
      <c r="H898" t="e" cm="1">
        <f t="array" aca="1" ref="H898" ca="1">IF(OR(A898="",B898="safety"),"",IF(ISBLANK(INDIRECT("template!"&amp;"E"&amp;A898)),"",INDIRECT("template!"&amp;"E"&amp;A898)))</f>
        <v>#REF!</v>
      </c>
      <c r="I898" t="e" cm="1">
        <f t="array" aca="1" ref="I898" ca="1">IF(OR(A898="",B898="safety"),"",IF(ISBLANK(INDIRECT("template!"&amp;"F"&amp;A898)),"",INDIRECT("template!"&amp;"F"&amp;A898)))</f>
        <v>#REF!</v>
      </c>
      <c r="J898" t="e" cm="1">
        <f t="array" aca="1" ref="J898" ca="1">IF(OR(A898="",B898="safety"),"",IF(ISBLANK(INDIRECT("template!"&amp;"G"&amp;A898)),"",INDIRECT("template!"&amp;"G"&amp;A898)))</f>
        <v>#REF!</v>
      </c>
      <c r="K898" t="e" cm="1">
        <f t="array" aca="1" ref="K898" ca="1">IF(OR(A898="",B898="safety"),"",IF(ISBLANK(INDIRECT("template!"&amp;"H"&amp;A898)),"",INDIRECT("template!"&amp;"H"&amp;A898)))</f>
        <v>#REF!</v>
      </c>
      <c r="L898" t="e" cm="1">
        <f t="array" aca="1" ref="L898" ca="1">IF(OR(A898="",B898="safety"),"",INDIRECT("template!"&amp;"I"&amp;A898))</f>
        <v>#REF!</v>
      </c>
      <c r="M898" t="e" cm="1">
        <f t="array" aca="1" ref="M898" ca="1">IF(OR(A898="",B898="safety"),"",INDIRECT("template!"&amp;"J"&amp;A898))</f>
        <v>#REF!</v>
      </c>
      <c r="N898" t="e" cm="1">
        <f t="array" aca="1" ref="N898" ca="1">IF(OR(A898="",B898="safety"),"",IF(ISBLANK(INDIRECT("template!"&amp;"K"&amp;A898)),"",INDIRECT("template!"&amp;"K"&amp;A898)))</f>
        <v>#REF!</v>
      </c>
      <c r="O898" t="e" cm="1">
        <f t="array" aca="1" ref="O898" ca="1">IF(OR(A898="",B898="safety"),"",INDIRECT("template!"&amp;"L"&amp;A898))</f>
        <v>#REF!</v>
      </c>
      <c r="P898" t="e" cm="1">
        <f t="array" aca="1" ref="P898" ca="1">IF(OR(A898="",B898="safety"),"",INDIRECT("template!"&amp;"M"&amp;A898))</f>
        <v>#REF!</v>
      </c>
      <c r="Q898" t="e">
        <f t="shared" ca="1" si="76"/>
        <v>#REF!</v>
      </c>
      <c r="R898" t="e">
        <f t="shared" ca="1" si="77"/>
        <v>#REF!</v>
      </c>
      <c r="S898" t="e">
        <f t="shared" ca="1" si="78"/>
        <v>#REF!</v>
      </c>
      <c r="T898" t="e">
        <f t="shared" ca="1" si="79"/>
        <v>#REF!</v>
      </c>
      <c r="U898" t="e" cm="1">
        <f t="array" aca="1" ref="U898" ca="1">IF(A898="","",IF(E898="","",IF(B898="safety",INDIRECT("template!"&amp;"P"&amp;A898),Q898+R898)))</f>
        <v>#REF!</v>
      </c>
      <c r="V898" t="e" cm="1">
        <f t="array" aca="1" ref="V898" ca="1">IF(A898="","",IF(E898="","",IF(B898="safety",INDIRECT("template!"&amp;"P"&amp;A898),S898+T898)))</f>
        <v>#REF!</v>
      </c>
      <c r="W898" t="e">
        <f ca="1">IF(A898="","",IF(E898="","",#REF!))</f>
        <v>#REF!</v>
      </c>
      <c r="X898" t="e">
        <f ca="1">IF(A898="","",IF(E898="","",#REF!))</f>
        <v>#REF!</v>
      </c>
      <c r="Y898" s="39" t="e">
        <f ca="1">IF(A898="","",IF(E898="","",#REF!))</f>
        <v>#REF!</v>
      </c>
      <c r="Z898" t="e">
        <f ca="1">IF(A898="","",IF(E898="","",#REF!))</f>
        <v>#REF!</v>
      </c>
      <c r="AA898" t="e">
        <f ca="1">IF(A898="","",IF(E898="","",#REF!))</f>
        <v>#REF!</v>
      </c>
      <c r="AB898" t="e">
        <f ca="1">IF(A898="","",IF(E898="","",#REF!))</f>
        <v>#REF!</v>
      </c>
      <c r="AC898" t="e">
        <f t="shared" ca="1" si="80"/>
        <v>#REF!</v>
      </c>
    </row>
    <row r="899" spans="1:29" x14ac:dyDescent="0.35">
      <c r="A899" t="e" cm="1">
        <f t="array" aca="1" ref="A899" ca="1">IF(A898="","",IF(OR(AND(A898+1&gt;=$AF$1,A898+1&lt;=$AF$2),AND(A898+1&gt;=$AF$6,A898+1&lt;=$AF$7),AND(A898+1&gt;=$AF$3,A898+1&lt;=$AF$4),AND(A898+1&gt;=$AF$8,A898+1&lt;=$AF$9),A898+1=$AF$5),IF(NOT(ISBLANK(INDIRECT("template!"&amp;"P"&amp;A898+1))),A898+1,IF(NOT(ISBLANK(INDIRECT("template!"&amp;"P"&amp;A898+2))),A898+2,A898+3)),IF(A898=$AF$2,$AF$3,IF(A898=$AF$4,$AF$5,IF(A898=$AF$5,$AF$6,IF(A898=$AF$7,$AF$8,""))))))</f>
        <v>#REF!</v>
      </c>
      <c r="B899" t="e">
        <f t="shared" ca="1" si="81"/>
        <v>#REF!</v>
      </c>
      <c r="C899" t="e" cm="1">
        <f t="array" aca="1" ref="C899" ca="1">IF(A899="","",IF(B899="safety","safety costs",INDIRECT("template!"&amp;"B"&amp;A899)))</f>
        <v>#REF!</v>
      </c>
      <c r="D899" t="e" cm="1">
        <f t="array" aca="1" ref="D899" ca="1">IF(OR(A899="",B899="safety"),"",INDIRECT("template!"&amp;"C"&amp;A899))</f>
        <v>#REF!</v>
      </c>
      <c r="E899" t="e" cm="1">
        <f t="array" aca="1" ref="E899" ca="1">IF(A899="","",IF(OR(A899=A898+1,A899=A898+2),E898,INDIRECT("template!"&amp;"D"&amp;A899-2)))</f>
        <v>#REF!</v>
      </c>
      <c r="F899" t="e" cm="1">
        <f t="array" aca="1" ref="F899" ca="1">IF(OR(A899="",B899="safety"),"",IF(ISBLANK(IF(A899=A898+1,F898,INDIRECT("template!"&amp;"D"&amp;A899-1))),"",IF(A899=A898+1,F898,INDIRECT("template!"&amp;"D"&amp;A899-1))))</f>
        <v>#REF!</v>
      </c>
      <c r="G899" t="e" cm="1">
        <f t="array" aca="1" ref="G899" ca="1">IF(OR(A899="",B899="safety"),"",IF(ISBLANK(INDIRECT("template!"&amp;"D"&amp;A899)),"",INDIRECT("template!"&amp;"D"&amp;A899)))</f>
        <v>#REF!</v>
      </c>
      <c r="H899" t="e" cm="1">
        <f t="array" aca="1" ref="H899" ca="1">IF(OR(A899="",B899="safety"),"",IF(ISBLANK(INDIRECT("template!"&amp;"E"&amp;A899)),"",INDIRECT("template!"&amp;"E"&amp;A899)))</f>
        <v>#REF!</v>
      </c>
      <c r="I899" t="e" cm="1">
        <f t="array" aca="1" ref="I899" ca="1">IF(OR(A899="",B899="safety"),"",IF(ISBLANK(INDIRECT("template!"&amp;"F"&amp;A899)),"",INDIRECT("template!"&amp;"F"&amp;A899)))</f>
        <v>#REF!</v>
      </c>
      <c r="J899" t="e" cm="1">
        <f t="array" aca="1" ref="J899" ca="1">IF(OR(A899="",B899="safety"),"",IF(ISBLANK(INDIRECT("template!"&amp;"G"&amp;A899)),"",INDIRECT("template!"&amp;"G"&amp;A899)))</f>
        <v>#REF!</v>
      </c>
      <c r="K899" t="e" cm="1">
        <f t="array" aca="1" ref="K899" ca="1">IF(OR(A899="",B899="safety"),"",IF(ISBLANK(INDIRECT("template!"&amp;"H"&amp;A899)),"",INDIRECT("template!"&amp;"H"&amp;A899)))</f>
        <v>#REF!</v>
      </c>
      <c r="L899" t="e" cm="1">
        <f t="array" aca="1" ref="L899" ca="1">IF(OR(A899="",B899="safety"),"",INDIRECT("template!"&amp;"I"&amp;A899))</f>
        <v>#REF!</v>
      </c>
      <c r="M899" t="e" cm="1">
        <f t="array" aca="1" ref="M899" ca="1">IF(OR(A899="",B899="safety"),"",INDIRECT("template!"&amp;"J"&amp;A899))</f>
        <v>#REF!</v>
      </c>
      <c r="N899" t="e" cm="1">
        <f t="array" aca="1" ref="N899" ca="1">IF(OR(A899="",B899="safety"),"",IF(ISBLANK(INDIRECT("template!"&amp;"K"&amp;A899)),"",INDIRECT("template!"&amp;"K"&amp;A899)))</f>
        <v>#REF!</v>
      </c>
      <c r="O899" t="e" cm="1">
        <f t="array" aca="1" ref="O899" ca="1">IF(OR(A899="",B899="safety"),"",INDIRECT("template!"&amp;"L"&amp;A899))</f>
        <v>#REF!</v>
      </c>
      <c r="P899" t="e" cm="1">
        <f t="array" aca="1" ref="P899" ca="1">IF(OR(A899="",B899="safety"),"",INDIRECT("template!"&amp;"M"&amp;A899))</f>
        <v>#REF!</v>
      </c>
      <c r="Q899" t="e">
        <f t="shared" ca="1" si="76"/>
        <v>#REF!</v>
      </c>
      <c r="R899" t="e">
        <f t="shared" ca="1" si="77"/>
        <v>#REF!</v>
      </c>
      <c r="S899" t="e">
        <f t="shared" ca="1" si="78"/>
        <v>#REF!</v>
      </c>
      <c r="T899" t="e">
        <f t="shared" ca="1" si="79"/>
        <v>#REF!</v>
      </c>
      <c r="U899" t="e" cm="1">
        <f t="array" aca="1" ref="U899" ca="1">IF(A899="","",IF(E899="","",IF(B899="safety",INDIRECT("template!"&amp;"P"&amp;A899),Q899+R899)))</f>
        <v>#REF!</v>
      </c>
      <c r="V899" t="e" cm="1">
        <f t="array" aca="1" ref="V899" ca="1">IF(A899="","",IF(E899="","",IF(B899="safety",INDIRECT("template!"&amp;"P"&amp;A899),S899+T899)))</f>
        <v>#REF!</v>
      </c>
      <c r="W899" t="e">
        <f ca="1">IF(A899="","",IF(E899="","",#REF!))</f>
        <v>#REF!</v>
      </c>
      <c r="X899" t="e">
        <f ca="1">IF(A899="","",IF(E899="","",#REF!))</f>
        <v>#REF!</v>
      </c>
      <c r="Y899" s="39" t="e">
        <f ca="1">IF(A899="","",IF(E899="","",#REF!))</f>
        <v>#REF!</v>
      </c>
      <c r="Z899" t="e">
        <f ca="1">IF(A899="","",IF(E899="","",#REF!))</f>
        <v>#REF!</v>
      </c>
      <c r="AA899" t="e">
        <f ca="1">IF(A899="","",IF(E899="","",#REF!))</f>
        <v>#REF!</v>
      </c>
      <c r="AB899" t="e">
        <f ca="1">IF(A899="","",IF(E899="","",#REF!))</f>
        <v>#REF!</v>
      </c>
      <c r="AC899" t="e">
        <f t="shared" ca="1" si="80"/>
        <v>#REF!</v>
      </c>
    </row>
    <row r="900" spans="1:29" x14ac:dyDescent="0.35">
      <c r="A900" t="e" cm="1">
        <f t="array" aca="1" ref="A900" ca="1">IF(A899="","",IF(OR(AND(A899+1&gt;=$AF$1,A899+1&lt;=$AF$2),AND(A899+1&gt;=$AF$6,A899+1&lt;=$AF$7),AND(A899+1&gt;=$AF$3,A899+1&lt;=$AF$4),AND(A899+1&gt;=$AF$8,A899+1&lt;=$AF$9),A899+1=$AF$5),IF(NOT(ISBLANK(INDIRECT("template!"&amp;"P"&amp;A899+1))),A899+1,IF(NOT(ISBLANK(INDIRECT("template!"&amp;"P"&amp;A899+2))),A899+2,A899+3)),IF(A899=$AF$2,$AF$3,IF(A899=$AF$4,$AF$5,IF(A899=$AF$5,$AF$6,IF(A899=$AF$7,$AF$8,""))))))</f>
        <v>#REF!</v>
      </c>
      <c r="B900" t="e">
        <f t="shared" ca="1" si="81"/>
        <v>#REF!</v>
      </c>
      <c r="C900" t="e" cm="1">
        <f t="array" aca="1" ref="C900" ca="1">IF(A900="","",IF(B900="safety","safety costs",INDIRECT("template!"&amp;"B"&amp;A900)))</f>
        <v>#REF!</v>
      </c>
      <c r="D900" t="e" cm="1">
        <f t="array" aca="1" ref="D900" ca="1">IF(OR(A900="",B900="safety"),"",INDIRECT("template!"&amp;"C"&amp;A900))</f>
        <v>#REF!</v>
      </c>
      <c r="E900" t="e" cm="1">
        <f t="array" aca="1" ref="E900" ca="1">IF(A900="","",IF(OR(A900=A899+1,A900=A899+2),E899,INDIRECT("template!"&amp;"D"&amp;A900-2)))</f>
        <v>#REF!</v>
      </c>
      <c r="F900" t="e" cm="1">
        <f t="array" aca="1" ref="F900" ca="1">IF(OR(A900="",B900="safety"),"",IF(ISBLANK(IF(A900=A899+1,F899,INDIRECT("template!"&amp;"D"&amp;A900-1))),"",IF(A900=A899+1,F899,INDIRECT("template!"&amp;"D"&amp;A900-1))))</f>
        <v>#REF!</v>
      </c>
      <c r="G900" t="e" cm="1">
        <f t="array" aca="1" ref="G900" ca="1">IF(OR(A900="",B900="safety"),"",IF(ISBLANK(INDIRECT("template!"&amp;"D"&amp;A900)),"",INDIRECT("template!"&amp;"D"&amp;A900)))</f>
        <v>#REF!</v>
      </c>
      <c r="H900" t="e" cm="1">
        <f t="array" aca="1" ref="H900" ca="1">IF(OR(A900="",B900="safety"),"",IF(ISBLANK(INDIRECT("template!"&amp;"E"&amp;A900)),"",INDIRECT("template!"&amp;"E"&amp;A900)))</f>
        <v>#REF!</v>
      </c>
      <c r="I900" t="e" cm="1">
        <f t="array" aca="1" ref="I900" ca="1">IF(OR(A900="",B900="safety"),"",IF(ISBLANK(INDIRECT("template!"&amp;"F"&amp;A900)),"",INDIRECT("template!"&amp;"F"&amp;A900)))</f>
        <v>#REF!</v>
      </c>
      <c r="J900" t="e" cm="1">
        <f t="array" aca="1" ref="J900" ca="1">IF(OR(A900="",B900="safety"),"",IF(ISBLANK(INDIRECT("template!"&amp;"G"&amp;A900)),"",INDIRECT("template!"&amp;"G"&amp;A900)))</f>
        <v>#REF!</v>
      </c>
      <c r="K900" t="e" cm="1">
        <f t="array" aca="1" ref="K900" ca="1">IF(OR(A900="",B900="safety"),"",IF(ISBLANK(INDIRECT("template!"&amp;"H"&amp;A900)),"",INDIRECT("template!"&amp;"H"&amp;A900)))</f>
        <v>#REF!</v>
      </c>
      <c r="L900" t="e" cm="1">
        <f t="array" aca="1" ref="L900" ca="1">IF(OR(A900="",B900="safety"),"",INDIRECT("template!"&amp;"I"&amp;A900))</f>
        <v>#REF!</v>
      </c>
      <c r="M900" t="e" cm="1">
        <f t="array" aca="1" ref="M900" ca="1">IF(OR(A900="",B900="safety"),"",INDIRECT("template!"&amp;"J"&amp;A900))</f>
        <v>#REF!</v>
      </c>
      <c r="N900" t="e" cm="1">
        <f t="array" aca="1" ref="N900" ca="1">IF(OR(A900="",B900="safety"),"",IF(ISBLANK(INDIRECT("template!"&amp;"K"&amp;A900)),"",INDIRECT("template!"&amp;"K"&amp;A900)))</f>
        <v>#REF!</v>
      </c>
      <c r="O900" t="e" cm="1">
        <f t="array" aca="1" ref="O900" ca="1">IF(OR(A900="",B900="safety"),"",INDIRECT("template!"&amp;"L"&amp;A900))</f>
        <v>#REF!</v>
      </c>
      <c r="P900" t="e" cm="1">
        <f t="array" aca="1" ref="P900" ca="1">IF(OR(A900="",B900="safety"),"",INDIRECT("template!"&amp;"M"&amp;A900))</f>
        <v>#REF!</v>
      </c>
      <c r="Q900" t="e">
        <f t="shared" ref="Q900:Q963" ca="1" si="82">IF(OR(A900="",B900="safety"),"",IF(E900="","",O900*L900))</f>
        <v>#REF!</v>
      </c>
      <c r="R900" t="e">
        <f t="shared" ref="R900:R963" ca="1" si="83">IF(OR(A900="",B900="safety"),"",IF(E900="","",P900*L900))</f>
        <v>#REF!</v>
      </c>
      <c r="S900" t="e">
        <f t="shared" ref="S900:S963" ca="1" si="84">IF(OR(A900="",B900="safety"),"",IF(E900="","",O900*M900))</f>
        <v>#REF!</v>
      </c>
      <c r="T900" t="e">
        <f t="shared" ref="T900:T963" ca="1" si="85">IF(OR(A900="",B900="safety"),"",IF(E900="","",M900*P900))</f>
        <v>#REF!</v>
      </c>
      <c r="U900" t="e" cm="1">
        <f t="array" aca="1" ref="U900" ca="1">IF(A900="","",IF(E900="","",IF(B900="safety",INDIRECT("template!"&amp;"P"&amp;A900),Q900+R900)))</f>
        <v>#REF!</v>
      </c>
      <c r="V900" t="e" cm="1">
        <f t="array" aca="1" ref="V900" ca="1">IF(A900="","",IF(E900="","",IF(B900="safety",INDIRECT("template!"&amp;"P"&amp;A900),S900+T900)))</f>
        <v>#REF!</v>
      </c>
      <c r="W900" t="e">
        <f ca="1">IF(A900="","",IF(E900="","",#REF!))</f>
        <v>#REF!</v>
      </c>
      <c r="X900" t="e">
        <f ca="1">IF(A900="","",IF(E900="","",#REF!))</f>
        <v>#REF!</v>
      </c>
      <c r="Y900" s="39" t="e">
        <f ca="1">IF(A900="","",IF(E900="","",#REF!))</f>
        <v>#REF!</v>
      </c>
      <c r="Z900" t="e">
        <f ca="1">IF(A900="","",IF(E900="","",#REF!))</f>
        <v>#REF!</v>
      </c>
      <c r="AA900" t="e">
        <f ca="1">IF(A900="","",IF(E900="","",#REF!))</f>
        <v>#REF!</v>
      </c>
      <c r="AB900" t="e">
        <f ca="1">IF(A900="","",IF(E900="","",#REF!))</f>
        <v>#REF!</v>
      </c>
      <c r="AC900" t="e">
        <f t="shared" ref="AC900:AC963" ca="1" si="86">IF(A900="","",IF(E900="","","WEEK "&amp;WEEKNUM(Y900)&amp;"_"&amp;YEAR(Y900)))</f>
        <v>#REF!</v>
      </c>
    </row>
    <row r="901" spans="1:29" x14ac:dyDescent="0.35">
      <c r="A901" t="e" cm="1">
        <f t="array" aca="1" ref="A901" ca="1">IF(A900="","",IF(OR(AND(A900+1&gt;=$AF$1,A900+1&lt;=$AF$2),AND(A900+1&gt;=$AF$6,A900+1&lt;=$AF$7),AND(A900+1&gt;=$AF$3,A900+1&lt;=$AF$4),AND(A900+1&gt;=$AF$8,A900+1&lt;=$AF$9),A900+1=$AF$5),IF(NOT(ISBLANK(INDIRECT("template!"&amp;"P"&amp;A900+1))),A900+1,IF(NOT(ISBLANK(INDIRECT("template!"&amp;"P"&amp;A900+2))),A900+2,A900+3)),IF(A900=$AF$2,$AF$3,IF(A900=$AF$4,$AF$5,IF(A900=$AF$5,$AF$6,IF(A900=$AF$7,$AF$8,""))))))</f>
        <v>#REF!</v>
      </c>
      <c r="B901" t="e">
        <f t="shared" ca="1" si="81"/>
        <v>#REF!</v>
      </c>
      <c r="C901" t="e" cm="1">
        <f t="array" aca="1" ref="C901" ca="1">IF(A901="","",IF(B901="safety","safety costs",INDIRECT("template!"&amp;"B"&amp;A901)))</f>
        <v>#REF!</v>
      </c>
      <c r="D901" t="e" cm="1">
        <f t="array" aca="1" ref="D901" ca="1">IF(OR(A901="",B901="safety"),"",INDIRECT("template!"&amp;"C"&amp;A901))</f>
        <v>#REF!</v>
      </c>
      <c r="E901" t="e" cm="1">
        <f t="array" aca="1" ref="E901" ca="1">IF(A901="","",IF(OR(A901=A900+1,A901=A900+2),E900,INDIRECT("template!"&amp;"D"&amp;A901-2)))</f>
        <v>#REF!</v>
      </c>
      <c r="F901" t="e" cm="1">
        <f t="array" aca="1" ref="F901" ca="1">IF(OR(A901="",B901="safety"),"",IF(ISBLANK(IF(A901=A900+1,F900,INDIRECT("template!"&amp;"D"&amp;A901-1))),"",IF(A901=A900+1,F900,INDIRECT("template!"&amp;"D"&amp;A901-1))))</f>
        <v>#REF!</v>
      </c>
      <c r="G901" t="e" cm="1">
        <f t="array" aca="1" ref="G901" ca="1">IF(OR(A901="",B901="safety"),"",IF(ISBLANK(INDIRECT("template!"&amp;"D"&amp;A901)),"",INDIRECT("template!"&amp;"D"&amp;A901)))</f>
        <v>#REF!</v>
      </c>
      <c r="H901" t="e" cm="1">
        <f t="array" aca="1" ref="H901" ca="1">IF(OR(A901="",B901="safety"),"",IF(ISBLANK(INDIRECT("template!"&amp;"E"&amp;A901)),"",INDIRECT("template!"&amp;"E"&amp;A901)))</f>
        <v>#REF!</v>
      </c>
      <c r="I901" t="e" cm="1">
        <f t="array" aca="1" ref="I901" ca="1">IF(OR(A901="",B901="safety"),"",IF(ISBLANK(INDIRECT("template!"&amp;"F"&amp;A901)),"",INDIRECT("template!"&amp;"F"&amp;A901)))</f>
        <v>#REF!</v>
      </c>
      <c r="J901" t="e" cm="1">
        <f t="array" aca="1" ref="J901" ca="1">IF(OR(A901="",B901="safety"),"",IF(ISBLANK(INDIRECT("template!"&amp;"G"&amp;A901)),"",INDIRECT("template!"&amp;"G"&amp;A901)))</f>
        <v>#REF!</v>
      </c>
      <c r="K901" t="e" cm="1">
        <f t="array" aca="1" ref="K901" ca="1">IF(OR(A901="",B901="safety"),"",IF(ISBLANK(INDIRECT("template!"&amp;"H"&amp;A901)),"",INDIRECT("template!"&amp;"H"&amp;A901)))</f>
        <v>#REF!</v>
      </c>
      <c r="L901" t="e" cm="1">
        <f t="array" aca="1" ref="L901" ca="1">IF(OR(A901="",B901="safety"),"",INDIRECT("template!"&amp;"I"&amp;A901))</f>
        <v>#REF!</v>
      </c>
      <c r="M901" t="e" cm="1">
        <f t="array" aca="1" ref="M901" ca="1">IF(OR(A901="",B901="safety"),"",INDIRECT("template!"&amp;"J"&amp;A901))</f>
        <v>#REF!</v>
      </c>
      <c r="N901" t="e" cm="1">
        <f t="array" aca="1" ref="N901" ca="1">IF(OR(A901="",B901="safety"),"",IF(ISBLANK(INDIRECT("template!"&amp;"K"&amp;A901)),"",INDIRECT("template!"&amp;"K"&amp;A901)))</f>
        <v>#REF!</v>
      </c>
      <c r="O901" t="e" cm="1">
        <f t="array" aca="1" ref="O901" ca="1">IF(OR(A901="",B901="safety"),"",INDIRECT("template!"&amp;"L"&amp;A901))</f>
        <v>#REF!</v>
      </c>
      <c r="P901" t="e" cm="1">
        <f t="array" aca="1" ref="P901" ca="1">IF(OR(A901="",B901="safety"),"",INDIRECT("template!"&amp;"M"&amp;A901))</f>
        <v>#REF!</v>
      </c>
      <c r="Q901" t="e">
        <f t="shared" ca="1" si="82"/>
        <v>#REF!</v>
      </c>
      <c r="R901" t="e">
        <f t="shared" ca="1" si="83"/>
        <v>#REF!</v>
      </c>
      <c r="S901" t="e">
        <f t="shared" ca="1" si="84"/>
        <v>#REF!</v>
      </c>
      <c r="T901" t="e">
        <f t="shared" ca="1" si="85"/>
        <v>#REF!</v>
      </c>
      <c r="U901" t="e" cm="1">
        <f t="array" aca="1" ref="U901" ca="1">IF(A901="","",IF(E901="","",IF(B901="safety",INDIRECT("template!"&amp;"P"&amp;A901),Q901+R901)))</f>
        <v>#REF!</v>
      </c>
      <c r="V901" t="e" cm="1">
        <f t="array" aca="1" ref="V901" ca="1">IF(A901="","",IF(E901="","",IF(B901="safety",INDIRECT("template!"&amp;"P"&amp;A901),S901+T901)))</f>
        <v>#REF!</v>
      </c>
      <c r="W901" t="e">
        <f ca="1">IF(A901="","",IF(E901="","",#REF!))</f>
        <v>#REF!</v>
      </c>
      <c r="X901" t="e">
        <f ca="1">IF(A901="","",IF(E901="","",#REF!))</f>
        <v>#REF!</v>
      </c>
      <c r="Y901" s="39" t="e">
        <f ca="1">IF(A901="","",IF(E901="","",#REF!))</f>
        <v>#REF!</v>
      </c>
      <c r="Z901" t="e">
        <f ca="1">IF(A901="","",IF(E901="","",#REF!))</f>
        <v>#REF!</v>
      </c>
      <c r="AA901" t="e">
        <f ca="1">IF(A901="","",IF(E901="","",#REF!))</f>
        <v>#REF!</v>
      </c>
      <c r="AB901" t="e">
        <f ca="1">IF(A901="","",IF(E901="","",#REF!))</f>
        <v>#REF!</v>
      </c>
      <c r="AC901" t="e">
        <f t="shared" ca="1" si="86"/>
        <v>#REF!</v>
      </c>
    </row>
    <row r="902" spans="1:29" x14ac:dyDescent="0.35">
      <c r="A902" t="e" cm="1">
        <f t="array" aca="1" ref="A902" ca="1">IF(A901="","",IF(OR(AND(A901+1&gt;=$AF$1,A901+1&lt;=$AF$2),AND(A901+1&gt;=$AF$6,A901+1&lt;=$AF$7),AND(A901+1&gt;=$AF$3,A901+1&lt;=$AF$4),AND(A901+1&gt;=$AF$8,A901+1&lt;=$AF$9),A901+1=$AF$5),IF(NOT(ISBLANK(INDIRECT("template!"&amp;"P"&amp;A901+1))),A901+1,IF(NOT(ISBLANK(INDIRECT("template!"&amp;"P"&amp;A901+2))),A901+2,A901+3)),IF(A901=$AF$2,$AF$3,IF(A901=$AF$4,$AF$5,IF(A901=$AF$5,$AF$6,IF(A901=$AF$7,$AF$8,""))))))</f>
        <v>#REF!</v>
      </c>
      <c r="B902" t="e">
        <f t="shared" ca="1" si="81"/>
        <v>#REF!</v>
      </c>
      <c r="C902" t="e" cm="1">
        <f t="array" aca="1" ref="C902" ca="1">IF(A902="","",IF(B902="safety","safety costs",INDIRECT("template!"&amp;"B"&amp;A902)))</f>
        <v>#REF!</v>
      </c>
      <c r="D902" t="e" cm="1">
        <f t="array" aca="1" ref="D902" ca="1">IF(OR(A902="",B902="safety"),"",INDIRECT("template!"&amp;"C"&amp;A902))</f>
        <v>#REF!</v>
      </c>
      <c r="E902" t="e" cm="1">
        <f t="array" aca="1" ref="E902" ca="1">IF(A902="","",IF(OR(A902=A901+1,A902=A901+2),E901,INDIRECT("template!"&amp;"D"&amp;A902-2)))</f>
        <v>#REF!</v>
      </c>
      <c r="F902" t="e" cm="1">
        <f t="array" aca="1" ref="F902" ca="1">IF(OR(A902="",B902="safety"),"",IF(ISBLANK(IF(A902=A901+1,F901,INDIRECT("template!"&amp;"D"&amp;A902-1))),"",IF(A902=A901+1,F901,INDIRECT("template!"&amp;"D"&amp;A902-1))))</f>
        <v>#REF!</v>
      </c>
      <c r="G902" t="e" cm="1">
        <f t="array" aca="1" ref="G902" ca="1">IF(OR(A902="",B902="safety"),"",IF(ISBLANK(INDIRECT("template!"&amp;"D"&amp;A902)),"",INDIRECT("template!"&amp;"D"&amp;A902)))</f>
        <v>#REF!</v>
      </c>
      <c r="H902" t="e" cm="1">
        <f t="array" aca="1" ref="H902" ca="1">IF(OR(A902="",B902="safety"),"",IF(ISBLANK(INDIRECT("template!"&amp;"E"&amp;A902)),"",INDIRECT("template!"&amp;"E"&amp;A902)))</f>
        <v>#REF!</v>
      </c>
      <c r="I902" t="e" cm="1">
        <f t="array" aca="1" ref="I902" ca="1">IF(OR(A902="",B902="safety"),"",IF(ISBLANK(INDIRECT("template!"&amp;"F"&amp;A902)),"",INDIRECT("template!"&amp;"F"&amp;A902)))</f>
        <v>#REF!</v>
      </c>
      <c r="J902" t="e" cm="1">
        <f t="array" aca="1" ref="J902" ca="1">IF(OR(A902="",B902="safety"),"",IF(ISBLANK(INDIRECT("template!"&amp;"G"&amp;A902)),"",INDIRECT("template!"&amp;"G"&amp;A902)))</f>
        <v>#REF!</v>
      </c>
      <c r="K902" t="e" cm="1">
        <f t="array" aca="1" ref="K902" ca="1">IF(OR(A902="",B902="safety"),"",IF(ISBLANK(INDIRECT("template!"&amp;"H"&amp;A902)),"",INDIRECT("template!"&amp;"H"&amp;A902)))</f>
        <v>#REF!</v>
      </c>
      <c r="L902" t="e" cm="1">
        <f t="array" aca="1" ref="L902" ca="1">IF(OR(A902="",B902="safety"),"",INDIRECT("template!"&amp;"I"&amp;A902))</f>
        <v>#REF!</v>
      </c>
      <c r="M902" t="e" cm="1">
        <f t="array" aca="1" ref="M902" ca="1">IF(OR(A902="",B902="safety"),"",INDIRECT("template!"&amp;"J"&amp;A902))</f>
        <v>#REF!</v>
      </c>
      <c r="N902" t="e" cm="1">
        <f t="array" aca="1" ref="N902" ca="1">IF(OR(A902="",B902="safety"),"",IF(ISBLANK(INDIRECT("template!"&amp;"K"&amp;A902)),"",INDIRECT("template!"&amp;"K"&amp;A902)))</f>
        <v>#REF!</v>
      </c>
      <c r="O902" t="e" cm="1">
        <f t="array" aca="1" ref="O902" ca="1">IF(OR(A902="",B902="safety"),"",INDIRECT("template!"&amp;"L"&amp;A902))</f>
        <v>#REF!</v>
      </c>
      <c r="P902" t="e" cm="1">
        <f t="array" aca="1" ref="P902" ca="1">IF(OR(A902="",B902="safety"),"",INDIRECT("template!"&amp;"M"&amp;A902))</f>
        <v>#REF!</v>
      </c>
      <c r="Q902" t="e">
        <f t="shared" ca="1" si="82"/>
        <v>#REF!</v>
      </c>
      <c r="R902" t="e">
        <f t="shared" ca="1" si="83"/>
        <v>#REF!</v>
      </c>
      <c r="S902" t="e">
        <f t="shared" ca="1" si="84"/>
        <v>#REF!</v>
      </c>
      <c r="T902" t="e">
        <f t="shared" ca="1" si="85"/>
        <v>#REF!</v>
      </c>
      <c r="U902" t="e" cm="1">
        <f t="array" aca="1" ref="U902" ca="1">IF(A902="","",IF(E902="","",IF(B902="safety",INDIRECT("template!"&amp;"P"&amp;A902),Q902+R902)))</f>
        <v>#REF!</v>
      </c>
      <c r="V902" t="e" cm="1">
        <f t="array" aca="1" ref="V902" ca="1">IF(A902="","",IF(E902="","",IF(B902="safety",INDIRECT("template!"&amp;"P"&amp;A902),S902+T902)))</f>
        <v>#REF!</v>
      </c>
      <c r="W902" t="e">
        <f ca="1">IF(A902="","",IF(E902="","",#REF!))</f>
        <v>#REF!</v>
      </c>
      <c r="X902" t="e">
        <f ca="1">IF(A902="","",IF(E902="","",#REF!))</f>
        <v>#REF!</v>
      </c>
      <c r="Y902" s="39" t="e">
        <f ca="1">IF(A902="","",IF(E902="","",#REF!))</f>
        <v>#REF!</v>
      </c>
      <c r="Z902" t="e">
        <f ca="1">IF(A902="","",IF(E902="","",#REF!))</f>
        <v>#REF!</v>
      </c>
      <c r="AA902" t="e">
        <f ca="1">IF(A902="","",IF(E902="","",#REF!))</f>
        <v>#REF!</v>
      </c>
      <c r="AB902" t="e">
        <f ca="1">IF(A902="","",IF(E902="","",#REF!))</f>
        <v>#REF!</v>
      </c>
      <c r="AC902" t="e">
        <f t="shared" ca="1" si="86"/>
        <v>#REF!</v>
      </c>
    </row>
    <row r="903" spans="1:29" x14ac:dyDescent="0.35">
      <c r="A903" t="e" cm="1">
        <f t="array" aca="1" ref="A903" ca="1">IF(A902="","",IF(OR(AND(A902+1&gt;=$AF$1,A902+1&lt;=$AF$2),AND(A902+1&gt;=$AF$6,A902+1&lt;=$AF$7),AND(A902+1&gt;=$AF$3,A902+1&lt;=$AF$4),AND(A902+1&gt;=$AF$8,A902+1&lt;=$AF$9),A902+1=$AF$5),IF(NOT(ISBLANK(INDIRECT("template!"&amp;"P"&amp;A902+1))),A902+1,IF(NOT(ISBLANK(INDIRECT("template!"&amp;"P"&amp;A902+2))),A902+2,A902+3)),IF(A902=$AF$2,$AF$3,IF(A902=$AF$4,$AF$5,IF(A902=$AF$5,$AF$6,IF(A902=$AF$7,$AF$8,""))))))</f>
        <v>#REF!</v>
      </c>
      <c r="B903" t="e">
        <f t="shared" ca="1" si="81"/>
        <v>#REF!</v>
      </c>
      <c r="C903" t="e" cm="1">
        <f t="array" aca="1" ref="C903" ca="1">IF(A903="","",IF(B903="safety","safety costs",INDIRECT("template!"&amp;"B"&amp;A903)))</f>
        <v>#REF!</v>
      </c>
      <c r="D903" t="e" cm="1">
        <f t="array" aca="1" ref="D903" ca="1">IF(OR(A903="",B903="safety"),"",INDIRECT("template!"&amp;"C"&amp;A903))</f>
        <v>#REF!</v>
      </c>
      <c r="E903" t="e" cm="1">
        <f t="array" aca="1" ref="E903" ca="1">IF(A903="","",IF(OR(A903=A902+1,A903=A902+2),E902,INDIRECT("template!"&amp;"D"&amp;A903-2)))</f>
        <v>#REF!</v>
      </c>
      <c r="F903" t="e" cm="1">
        <f t="array" aca="1" ref="F903" ca="1">IF(OR(A903="",B903="safety"),"",IF(ISBLANK(IF(A903=A902+1,F902,INDIRECT("template!"&amp;"D"&amp;A903-1))),"",IF(A903=A902+1,F902,INDIRECT("template!"&amp;"D"&amp;A903-1))))</f>
        <v>#REF!</v>
      </c>
      <c r="G903" t="e" cm="1">
        <f t="array" aca="1" ref="G903" ca="1">IF(OR(A903="",B903="safety"),"",IF(ISBLANK(INDIRECT("template!"&amp;"D"&amp;A903)),"",INDIRECT("template!"&amp;"D"&amp;A903)))</f>
        <v>#REF!</v>
      </c>
      <c r="H903" t="e" cm="1">
        <f t="array" aca="1" ref="H903" ca="1">IF(OR(A903="",B903="safety"),"",IF(ISBLANK(INDIRECT("template!"&amp;"E"&amp;A903)),"",INDIRECT("template!"&amp;"E"&amp;A903)))</f>
        <v>#REF!</v>
      </c>
      <c r="I903" t="e" cm="1">
        <f t="array" aca="1" ref="I903" ca="1">IF(OR(A903="",B903="safety"),"",IF(ISBLANK(INDIRECT("template!"&amp;"F"&amp;A903)),"",INDIRECT("template!"&amp;"F"&amp;A903)))</f>
        <v>#REF!</v>
      </c>
      <c r="J903" t="e" cm="1">
        <f t="array" aca="1" ref="J903" ca="1">IF(OR(A903="",B903="safety"),"",IF(ISBLANK(INDIRECT("template!"&amp;"G"&amp;A903)),"",INDIRECT("template!"&amp;"G"&amp;A903)))</f>
        <v>#REF!</v>
      </c>
      <c r="K903" t="e" cm="1">
        <f t="array" aca="1" ref="K903" ca="1">IF(OR(A903="",B903="safety"),"",IF(ISBLANK(INDIRECT("template!"&amp;"H"&amp;A903)),"",INDIRECT("template!"&amp;"H"&amp;A903)))</f>
        <v>#REF!</v>
      </c>
      <c r="L903" t="e" cm="1">
        <f t="array" aca="1" ref="L903" ca="1">IF(OR(A903="",B903="safety"),"",INDIRECT("template!"&amp;"I"&amp;A903))</f>
        <v>#REF!</v>
      </c>
      <c r="M903" t="e" cm="1">
        <f t="array" aca="1" ref="M903" ca="1">IF(OR(A903="",B903="safety"),"",INDIRECT("template!"&amp;"J"&amp;A903))</f>
        <v>#REF!</v>
      </c>
      <c r="N903" t="e" cm="1">
        <f t="array" aca="1" ref="N903" ca="1">IF(OR(A903="",B903="safety"),"",IF(ISBLANK(INDIRECT("template!"&amp;"K"&amp;A903)),"",INDIRECT("template!"&amp;"K"&amp;A903)))</f>
        <v>#REF!</v>
      </c>
      <c r="O903" t="e" cm="1">
        <f t="array" aca="1" ref="O903" ca="1">IF(OR(A903="",B903="safety"),"",INDIRECT("template!"&amp;"L"&amp;A903))</f>
        <v>#REF!</v>
      </c>
      <c r="P903" t="e" cm="1">
        <f t="array" aca="1" ref="P903" ca="1">IF(OR(A903="",B903="safety"),"",INDIRECT("template!"&amp;"M"&amp;A903))</f>
        <v>#REF!</v>
      </c>
      <c r="Q903" t="e">
        <f t="shared" ca="1" si="82"/>
        <v>#REF!</v>
      </c>
      <c r="R903" t="e">
        <f t="shared" ca="1" si="83"/>
        <v>#REF!</v>
      </c>
      <c r="S903" t="e">
        <f t="shared" ca="1" si="84"/>
        <v>#REF!</v>
      </c>
      <c r="T903" t="e">
        <f t="shared" ca="1" si="85"/>
        <v>#REF!</v>
      </c>
      <c r="U903" t="e" cm="1">
        <f t="array" aca="1" ref="U903" ca="1">IF(A903="","",IF(E903="","",IF(B903="safety",INDIRECT("template!"&amp;"P"&amp;A903),Q903+R903)))</f>
        <v>#REF!</v>
      </c>
      <c r="V903" t="e" cm="1">
        <f t="array" aca="1" ref="V903" ca="1">IF(A903="","",IF(E903="","",IF(B903="safety",INDIRECT("template!"&amp;"P"&amp;A903),S903+T903)))</f>
        <v>#REF!</v>
      </c>
      <c r="W903" t="e">
        <f ca="1">IF(A903="","",IF(E903="","",#REF!))</f>
        <v>#REF!</v>
      </c>
      <c r="X903" t="e">
        <f ca="1">IF(A903="","",IF(E903="","",#REF!))</f>
        <v>#REF!</v>
      </c>
      <c r="Y903" s="39" t="e">
        <f ca="1">IF(A903="","",IF(E903="","",#REF!))</f>
        <v>#REF!</v>
      </c>
      <c r="Z903" t="e">
        <f ca="1">IF(A903="","",IF(E903="","",#REF!))</f>
        <v>#REF!</v>
      </c>
      <c r="AA903" t="e">
        <f ca="1">IF(A903="","",IF(E903="","",#REF!))</f>
        <v>#REF!</v>
      </c>
      <c r="AB903" t="e">
        <f ca="1">IF(A903="","",IF(E903="","",#REF!))</f>
        <v>#REF!</v>
      </c>
      <c r="AC903" t="e">
        <f t="shared" ca="1" si="86"/>
        <v>#REF!</v>
      </c>
    </row>
    <row r="904" spans="1:29" x14ac:dyDescent="0.35">
      <c r="A904" t="e" cm="1">
        <f t="array" aca="1" ref="A904" ca="1">IF(A903="","",IF(OR(AND(A903+1&gt;=$AF$1,A903+1&lt;=$AF$2),AND(A903+1&gt;=$AF$6,A903+1&lt;=$AF$7),AND(A903+1&gt;=$AF$3,A903+1&lt;=$AF$4),AND(A903+1&gt;=$AF$8,A903+1&lt;=$AF$9),A903+1=$AF$5),IF(NOT(ISBLANK(INDIRECT("template!"&amp;"P"&amp;A903+1))),A903+1,IF(NOT(ISBLANK(INDIRECT("template!"&amp;"P"&amp;A903+2))),A903+2,A903+3)),IF(A903=$AF$2,$AF$3,IF(A903=$AF$4,$AF$5,IF(A903=$AF$5,$AF$6,IF(A903=$AF$7,$AF$8,""))))))</f>
        <v>#REF!</v>
      </c>
      <c r="B904" t="e">
        <f t="shared" ca="1" si="81"/>
        <v>#REF!</v>
      </c>
      <c r="C904" t="e" cm="1">
        <f t="array" aca="1" ref="C904" ca="1">IF(A904="","",IF(B904="safety","safety costs",INDIRECT("template!"&amp;"B"&amp;A904)))</f>
        <v>#REF!</v>
      </c>
      <c r="D904" t="e" cm="1">
        <f t="array" aca="1" ref="D904" ca="1">IF(OR(A904="",B904="safety"),"",INDIRECT("template!"&amp;"C"&amp;A904))</f>
        <v>#REF!</v>
      </c>
      <c r="E904" t="e" cm="1">
        <f t="array" aca="1" ref="E904" ca="1">IF(A904="","",IF(OR(A904=A903+1,A904=A903+2),E903,INDIRECT("template!"&amp;"D"&amp;A904-2)))</f>
        <v>#REF!</v>
      </c>
      <c r="F904" t="e" cm="1">
        <f t="array" aca="1" ref="F904" ca="1">IF(OR(A904="",B904="safety"),"",IF(ISBLANK(IF(A904=A903+1,F903,INDIRECT("template!"&amp;"D"&amp;A904-1))),"",IF(A904=A903+1,F903,INDIRECT("template!"&amp;"D"&amp;A904-1))))</f>
        <v>#REF!</v>
      </c>
      <c r="G904" t="e" cm="1">
        <f t="array" aca="1" ref="G904" ca="1">IF(OR(A904="",B904="safety"),"",IF(ISBLANK(INDIRECT("template!"&amp;"D"&amp;A904)),"",INDIRECT("template!"&amp;"D"&amp;A904)))</f>
        <v>#REF!</v>
      </c>
      <c r="H904" t="e" cm="1">
        <f t="array" aca="1" ref="H904" ca="1">IF(OR(A904="",B904="safety"),"",IF(ISBLANK(INDIRECT("template!"&amp;"E"&amp;A904)),"",INDIRECT("template!"&amp;"E"&amp;A904)))</f>
        <v>#REF!</v>
      </c>
      <c r="I904" t="e" cm="1">
        <f t="array" aca="1" ref="I904" ca="1">IF(OR(A904="",B904="safety"),"",IF(ISBLANK(INDIRECT("template!"&amp;"F"&amp;A904)),"",INDIRECT("template!"&amp;"F"&amp;A904)))</f>
        <v>#REF!</v>
      </c>
      <c r="J904" t="e" cm="1">
        <f t="array" aca="1" ref="J904" ca="1">IF(OR(A904="",B904="safety"),"",IF(ISBLANK(INDIRECT("template!"&amp;"G"&amp;A904)),"",INDIRECT("template!"&amp;"G"&amp;A904)))</f>
        <v>#REF!</v>
      </c>
      <c r="K904" t="e" cm="1">
        <f t="array" aca="1" ref="K904" ca="1">IF(OR(A904="",B904="safety"),"",IF(ISBLANK(INDIRECT("template!"&amp;"H"&amp;A904)),"",INDIRECT("template!"&amp;"H"&amp;A904)))</f>
        <v>#REF!</v>
      </c>
      <c r="L904" t="e" cm="1">
        <f t="array" aca="1" ref="L904" ca="1">IF(OR(A904="",B904="safety"),"",INDIRECT("template!"&amp;"I"&amp;A904))</f>
        <v>#REF!</v>
      </c>
      <c r="M904" t="e" cm="1">
        <f t="array" aca="1" ref="M904" ca="1">IF(OR(A904="",B904="safety"),"",INDIRECT("template!"&amp;"J"&amp;A904))</f>
        <v>#REF!</v>
      </c>
      <c r="N904" t="e" cm="1">
        <f t="array" aca="1" ref="N904" ca="1">IF(OR(A904="",B904="safety"),"",IF(ISBLANK(INDIRECT("template!"&amp;"K"&amp;A904)),"",INDIRECT("template!"&amp;"K"&amp;A904)))</f>
        <v>#REF!</v>
      </c>
      <c r="O904" t="e" cm="1">
        <f t="array" aca="1" ref="O904" ca="1">IF(OR(A904="",B904="safety"),"",INDIRECT("template!"&amp;"L"&amp;A904))</f>
        <v>#REF!</v>
      </c>
      <c r="P904" t="e" cm="1">
        <f t="array" aca="1" ref="P904" ca="1">IF(OR(A904="",B904="safety"),"",INDIRECT("template!"&amp;"M"&amp;A904))</f>
        <v>#REF!</v>
      </c>
      <c r="Q904" t="e">
        <f t="shared" ca="1" si="82"/>
        <v>#REF!</v>
      </c>
      <c r="R904" t="e">
        <f t="shared" ca="1" si="83"/>
        <v>#REF!</v>
      </c>
      <c r="S904" t="e">
        <f t="shared" ca="1" si="84"/>
        <v>#REF!</v>
      </c>
      <c r="T904" t="e">
        <f t="shared" ca="1" si="85"/>
        <v>#REF!</v>
      </c>
      <c r="U904" t="e" cm="1">
        <f t="array" aca="1" ref="U904" ca="1">IF(A904="","",IF(E904="","",IF(B904="safety",INDIRECT("template!"&amp;"P"&amp;A904),Q904+R904)))</f>
        <v>#REF!</v>
      </c>
      <c r="V904" t="e" cm="1">
        <f t="array" aca="1" ref="V904" ca="1">IF(A904="","",IF(E904="","",IF(B904="safety",INDIRECT("template!"&amp;"P"&amp;A904),S904+T904)))</f>
        <v>#REF!</v>
      </c>
      <c r="W904" t="e">
        <f ca="1">IF(A904="","",IF(E904="","",#REF!))</f>
        <v>#REF!</v>
      </c>
      <c r="X904" t="e">
        <f ca="1">IF(A904="","",IF(E904="","",#REF!))</f>
        <v>#REF!</v>
      </c>
      <c r="Y904" s="39" t="e">
        <f ca="1">IF(A904="","",IF(E904="","",#REF!))</f>
        <v>#REF!</v>
      </c>
      <c r="Z904" t="e">
        <f ca="1">IF(A904="","",IF(E904="","",#REF!))</f>
        <v>#REF!</v>
      </c>
      <c r="AA904" t="e">
        <f ca="1">IF(A904="","",IF(E904="","",#REF!))</f>
        <v>#REF!</v>
      </c>
      <c r="AB904" t="e">
        <f ca="1">IF(A904="","",IF(E904="","",#REF!))</f>
        <v>#REF!</v>
      </c>
      <c r="AC904" t="e">
        <f t="shared" ca="1" si="86"/>
        <v>#REF!</v>
      </c>
    </row>
    <row r="905" spans="1:29" x14ac:dyDescent="0.35">
      <c r="A905" t="e" cm="1">
        <f t="array" aca="1" ref="A905" ca="1">IF(A904="","",IF(OR(AND(A904+1&gt;=$AF$1,A904+1&lt;=$AF$2),AND(A904+1&gt;=$AF$6,A904+1&lt;=$AF$7),AND(A904+1&gt;=$AF$3,A904+1&lt;=$AF$4),AND(A904+1&gt;=$AF$8,A904+1&lt;=$AF$9),A904+1=$AF$5),IF(NOT(ISBLANK(INDIRECT("template!"&amp;"P"&amp;A904+1))),A904+1,IF(NOT(ISBLANK(INDIRECT("template!"&amp;"P"&amp;A904+2))),A904+2,A904+3)),IF(A904=$AF$2,$AF$3,IF(A904=$AF$4,$AF$5,IF(A904=$AF$5,$AF$6,IF(A904=$AF$7,$AF$8,""))))))</f>
        <v>#REF!</v>
      </c>
      <c r="B905" t="e">
        <f t="shared" ca="1" si="81"/>
        <v>#REF!</v>
      </c>
      <c r="C905" t="e" cm="1">
        <f t="array" aca="1" ref="C905" ca="1">IF(A905="","",IF(B905="safety","safety costs",INDIRECT("template!"&amp;"B"&amp;A905)))</f>
        <v>#REF!</v>
      </c>
      <c r="D905" t="e" cm="1">
        <f t="array" aca="1" ref="D905" ca="1">IF(OR(A905="",B905="safety"),"",INDIRECT("template!"&amp;"C"&amp;A905))</f>
        <v>#REF!</v>
      </c>
      <c r="E905" t="e" cm="1">
        <f t="array" aca="1" ref="E905" ca="1">IF(A905="","",IF(OR(A905=A904+1,A905=A904+2),E904,INDIRECT("template!"&amp;"D"&amp;A905-2)))</f>
        <v>#REF!</v>
      </c>
      <c r="F905" t="e" cm="1">
        <f t="array" aca="1" ref="F905" ca="1">IF(OR(A905="",B905="safety"),"",IF(ISBLANK(IF(A905=A904+1,F904,INDIRECT("template!"&amp;"D"&amp;A905-1))),"",IF(A905=A904+1,F904,INDIRECT("template!"&amp;"D"&amp;A905-1))))</f>
        <v>#REF!</v>
      </c>
      <c r="G905" t="e" cm="1">
        <f t="array" aca="1" ref="G905" ca="1">IF(OR(A905="",B905="safety"),"",IF(ISBLANK(INDIRECT("template!"&amp;"D"&amp;A905)),"",INDIRECT("template!"&amp;"D"&amp;A905)))</f>
        <v>#REF!</v>
      </c>
      <c r="H905" t="e" cm="1">
        <f t="array" aca="1" ref="H905" ca="1">IF(OR(A905="",B905="safety"),"",IF(ISBLANK(INDIRECT("template!"&amp;"E"&amp;A905)),"",INDIRECT("template!"&amp;"E"&amp;A905)))</f>
        <v>#REF!</v>
      </c>
      <c r="I905" t="e" cm="1">
        <f t="array" aca="1" ref="I905" ca="1">IF(OR(A905="",B905="safety"),"",IF(ISBLANK(INDIRECT("template!"&amp;"F"&amp;A905)),"",INDIRECT("template!"&amp;"F"&amp;A905)))</f>
        <v>#REF!</v>
      </c>
      <c r="J905" t="e" cm="1">
        <f t="array" aca="1" ref="J905" ca="1">IF(OR(A905="",B905="safety"),"",IF(ISBLANK(INDIRECT("template!"&amp;"G"&amp;A905)),"",INDIRECT("template!"&amp;"G"&amp;A905)))</f>
        <v>#REF!</v>
      </c>
      <c r="K905" t="e" cm="1">
        <f t="array" aca="1" ref="K905" ca="1">IF(OR(A905="",B905="safety"),"",IF(ISBLANK(INDIRECT("template!"&amp;"H"&amp;A905)),"",INDIRECT("template!"&amp;"H"&amp;A905)))</f>
        <v>#REF!</v>
      </c>
      <c r="L905" t="e" cm="1">
        <f t="array" aca="1" ref="L905" ca="1">IF(OR(A905="",B905="safety"),"",INDIRECT("template!"&amp;"I"&amp;A905))</f>
        <v>#REF!</v>
      </c>
      <c r="M905" t="e" cm="1">
        <f t="array" aca="1" ref="M905" ca="1">IF(OR(A905="",B905="safety"),"",INDIRECT("template!"&amp;"J"&amp;A905))</f>
        <v>#REF!</v>
      </c>
      <c r="N905" t="e" cm="1">
        <f t="array" aca="1" ref="N905" ca="1">IF(OR(A905="",B905="safety"),"",IF(ISBLANK(INDIRECT("template!"&amp;"K"&amp;A905)),"",INDIRECT("template!"&amp;"K"&amp;A905)))</f>
        <v>#REF!</v>
      </c>
      <c r="O905" t="e" cm="1">
        <f t="array" aca="1" ref="O905" ca="1">IF(OR(A905="",B905="safety"),"",INDIRECT("template!"&amp;"L"&amp;A905))</f>
        <v>#REF!</v>
      </c>
      <c r="P905" t="e" cm="1">
        <f t="array" aca="1" ref="P905" ca="1">IF(OR(A905="",B905="safety"),"",INDIRECT("template!"&amp;"M"&amp;A905))</f>
        <v>#REF!</v>
      </c>
      <c r="Q905" t="e">
        <f t="shared" ca="1" si="82"/>
        <v>#REF!</v>
      </c>
      <c r="R905" t="e">
        <f t="shared" ca="1" si="83"/>
        <v>#REF!</v>
      </c>
      <c r="S905" t="e">
        <f t="shared" ca="1" si="84"/>
        <v>#REF!</v>
      </c>
      <c r="T905" t="e">
        <f t="shared" ca="1" si="85"/>
        <v>#REF!</v>
      </c>
      <c r="U905" t="e" cm="1">
        <f t="array" aca="1" ref="U905" ca="1">IF(A905="","",IF(E905="","",IF(B905="safety",INDIRECT("template!"&amp;"P"&amp;A905),Q905+R905)))</f>
        <v>#REF!</v>
      </c>
      <c r="V905" t="e" cm="1">
        <f t="array" aca="1" ref="V905" ca="1">IF(A905="","",IF(E905="","",IF(B905="safety",INDIRECT("template!"&amp;"P"&amp;A905),S905+T905)))</f>
        <v>#REF!</v>
      </c>
      <c r="W905" t="e">
        <f ca="1">IF(A905="","",IF(E905="","",#REF!))</f>
        <v>#REF!</v>
      </c>
      <c r="X905" t="e">
        <f ca="1">IF(A905="","",IF(E905="","",#REF!))</f>
        <v>#REF!</v>
      </c>
      <c r="Y905" s="39" t="e">
        <f ca="1">IF(A905="","",IF(E905="","",#REF!))</f>
        <v>#REF!</v>
      </c>
      <c r="Z905" t="e">
        <f ca="1">IF(A905="","",IF(E905="","",#REF!))</f>
        <v>#REF!</v>
      </c>
      <c r="AA905" t="e">
        <f ca="1">IF(A905="","",IF(E905="","",#REF!))</f>
        <v>#REF!</v>
      </c>
      <c r="AB905" t="e">
        <f ca="1">IF(A905="","",IF(E905="","",#REF!))</f>
        <v>#REF!</v>
      </c>
      <c r="AC905" t="e">
        <f t="shared" ca="1" si="86"/>
        <v>#REF!</v>
      </c>
    </row>
    <row r="906" spans="1:29" x14ac:dyDescent="0.35">
      <c r="A906" t="e" cm="1">
        <f t="array" aca="1" ref="A906" ca="1">IF(A905="","",IF(OR(AND(A905+1&gt;=$AF$1,A905+1&lt;=$AF$2),AND(A905+1&gt;=$AF$6,A905+1&lt;=$AF$7),AND(A905+1&gt;=$AF$3,A905+1&lt;=$AF$4),AND(A905+1&gt;=$AF$8,A905+1&lt;=$AF$9),A905+1=$AF$5),IF(NOT(ISBLANK(INDIRECT("template!"&amp;"P"&amp;A905+1))),A905+1,IF(NOT(ISBLANK(INDIRECT("template!"&amp;"P"&amp;A905+2))),A905+2,A905+3)),IF(A905=$AF$2,$AF$3,IF(A905=$AF$4,$AF$5,IF(A905=$AF$5,$AF$6,IF(A905=$AF$7,$AF$8,""))))))</f>
        <v>#REF!</v>
      </c>
      <c r="B906" t="e">
        <f t="shared" ca="1" si="81"/>
        <v>#REF!</v>
      </c>
      <c r="C906" t="e" cm="1">
        <f t="array" aca="1" ref="C906" ca="1">IF(A906="","",IF(B906="safety","safety costs",INDIRECT("template!"&amp;"B"&amp;A906)))</f>
        <v>#REF!</v>
      </c>
      <c r="D906" t="e" cm="1">
        <f t="array" aca="1" ref="D906" ca="1">IF(OR(A906="",B906="safety"),"",INDIRECT("template!"&amp;"C"&amp;A906))</f>
        <v>#REF!</v>
      </c>
      <c r="E906" t="e" cm="1">
        <f t="array" aca="1" ref="E906" ca="1">IF(A906="","",IF(OR(A906=A905+1,A906=A905+2),E905,INDIRECT("template!"&amp;"D"&amp;A906-2)))</f>
        <v>#REF!</v>
      </c>
      <c r="F906" t="e" cm="1">
        <f t="array" aca="1" ref="F906" ca="1">IF(OR(A906="",B906="safety"),"",IF(ISBLANK(IF(A906=A905+1,F905,INDIRECT("template!"&amp;"D"&amp;A906-1))),"",IF(A906=A905+1,F905,INDIRECT("template!"&amp;"D"&amp;A906-1))))</f>
        <v>#REF!</v>
      </c>
      <c r="G906" t="e" cm="1">
        <f t="array" aca="1" ref="G906" ca="1">IF(OR(A906="",B906="safety"),"",IF(ISBLANK(INDIRECT("template!"&amp;"D"&amp;A906)),"",INDIRECT("template!"&amp;"D"&amp;A906)))</f>
        <v>#REF!</v>
      </c>
      <c r="H906" t="e" cm="1">
        <f t="array" aca="1" ref="H906" ca="1">IF(OR(A906="",B906="safety"),"",IF(ISBLANK(INDIRECT("template!"&amp;"E"&amp;A906)),"",INDIRECT("template!"&amp;"E"&amp;A906)))</f>
        <v>#REF!</v>
      </c>
      <c r="I906" t="e" cm="1">
        <f t="array" aca="1" ref="I906" ca="1">IF(OR(A906="",B906="safety"),"",IF(ISBLANK(INDIRECT("template!"&amp;"F"&amp;A906)),"",INDIRECT("template!"&amp;"F"&amp;A906)))</f>
        <v>#REF!</v>
      </c>
      <c r="J906" t="e" cm="1">
        <f t="array" aca="1" ref="J906" ca="1">IF(OR(A906="",B906="safety"),"",IF(ISBLANK(INDIRECT("template!"&amp;"G"&amp;A906)),"",INDIRECT("template!"&amp;"G"&amp;A906)))</f>
        <v>#REF!</v>
      </c>
      <c r="K906" t="e" cm="1">
        <f t="array" aca="1" ref="K906" ca="1">IF(OR(A906="",B906="safety"),"",IF(ISBLANK(INDIRECT("template!"&amp;"H"&amp;A906)),"",INDIRECT("template!"&amp;"H"&amp;A906)))</f>
        <v>#REF!</v>
      </c>
      <c r="L906" t="e" cm="1">
        <f t="array" aca="1" ref="L906" ca="1">IF(OR(A906="",B906="safety"),"",INDIRECT("template!"&amp;"I"&amp;A906))</f>
        <v>#REF!</v>
      </c>
      <c r="M906" t="e" cm="1">
        <f t="array" aca="1" ref="M906" ca="1">IF(OR(A906="",B906="safety"),"",INDIRECT("template!"&amp;"J"&amp;A906))</f>
        <v>#REF!</v>
      </c>
      <c r="N906" t="e" cm="1">
        <f t="array" aca="1" ref="N906" ca="1">IF(OR(A906="",B906="safety"),"",IF(ISBLANK(INDIRECT("template!"&amp;"K"&amp;A906)),"",INDIRECT("template!"&amp;"K"&amp;A906)))</f>
        <v>#REF!</v>
      </c>
      <c r="O906" t="e" cm="1">
        <f t="array" aca="1" ref="O906" ca="1">IF(OR(A906="",B906="safety"),"",INDIRECT("template!"&amp;"L"&amp;A906))</f>
        <v>#REF!</v>
      </c>
      <c r="P906" t="e" cm="1">
        <f t="array" aca="1" ref="P906" ca="1">IF(OR(A906="",B906="safety"),"",INDIRECT("template!"&amp;"M"&amp;A906))</f>
        <v>#REF!</v>
      </c>
      <c r="Q906" t="e">
        <f t="shared" ca="1" si="82"/>
        <v>#REF!</v>
      </c>
      <c r="R906" t="e">
        <f t="shared" ca="1" si="83"/>
        <v>#REF!</v>
      </c>
      <c r="S906" t="e">
        <f t="shared" ca="1" si="84"/>
        <v>#REF!</v>
      </c>
      <c r="T906" t="e">
        <f t="shared" ca="1" si="85"/>
        <v>#REF!</v>
      </c>
      <c r="U906" t="e" cm="1">
        <f t="array" aca="1" ref="U906" ca="1">IF(A906="","",IF(E906="","",IF(B906="safety",INDIRECT("template!"&amp;"P"&amp;A906),Q906+R906)))</f>
        <v>#REF!</v>
      </c>
      <c r="V906" t="e" cm="1">
        <f t="array" aca="1" ref="V906" ca="1">IF(A906="","",IF(E906="","",IF(B906="safety",INDIRECT("template!"&amp;"P"&amp;A906),S906+T906)))</f>
        <v>#REF!</v>
      </c>
      <c r="W906" t="e">
        <f ca="1">IF(A906="","",IF(E906="","",#REF!))</f>
        <v>#REF!</v>
      </c>
      <c r="X906" t="e">
        <f ca="1">IF(A906="","",IF(E906="","",#REF!))</f>
        <v>#REF!</v>
      </c>
      <c r="Y906" s="39" t="e">
        <f ca="1">IF(A906="","",IF(E906="","",#REF!))</f>
        <v>#REF!</v>
      </c>
      <c r="Z906" t="e">
        <f ca="1">IF(A906="","",IF(E906="","",#REF!))</f>
        <v>#REF!</v>
      </c>
      <c r="AA906" t="e">
        <f ca="1">IF(A906="","",IF(E906="","",#REF!))</f>
        <v>#REF!</v>
      </c>
      <c r="AB906" t="e">
        <f ca="1">IF(A906="","",IF(E906="","",#REF!))</f>
        <v>#REF!</v>
      </c>
      <c r="AC906" t="e">
        <f t="shared" ca="1" si="86"/>
        <v>#REF!</v>
      </c>
    </row>
    <row r="907" spans="1:29" x14ac:dyDescent="0.35">
      <c r="A907" t="e" cm="1">
        <f t="array" aca="1" ref="A907" ca="1">IF(A906="","",IF(OR(AND(A906+1&gt;=$AF$1,A906+1&lt;=$AF$2),AND(A906+1&gt;=$AF$6,A906+1&lt;=$AF$7),AND(A906+1&gt;=$AF$3,A906+1&lt;=$AF$4),AND(A906+1&gt;=$AF$8,A906+1&lt;=$AF$9),A906+1=$AF$5),IF(NOT(ISBLANK(INDIRECT("template!"&amp;"P"&amp;A906+1))),A906+1,IF(NOT(ISBLANK(INDIRECT("template!"&amp;"P"&amp;A906+2))),A906+2,A906+3)),IF(A906=$AF$2,$AF$3,IF(A906=$AF$4,$AF$5,IF(A906=$AF$5,$AF$6,IF(A906=$AF$7,$AF$8,""))))))</f>
        <v>#REF!</v>
      </c>
      <c r="B907" t="e">
        <f t="shared" ca="1" si="81"/>
        <v>#REF!</v>
      </c>
      <c r="C907" t="e" cm="1">
        <f t="array" aca="1" ref="C907" ca="1">IF(A907="","",IF(B907="safety","safety costs",INDIRECT("template!"&amp;"B"&amp;A907)))</f>
        <v>#REF!</v>
      </c>
      <c r="D907" t="e" cm="1">
        <f t="array" aca="1" ref="D907" ca="1">IF(OR(A907="",B907="safety"),"",INDIRECT("template!"&amp;"C"&amp;A907))</f>
        <v>#REF!</v>
      </c>
      <c r="E907" t="e" cm="1">
        <f t="array" aca="1" ref="E907" ca="1">IF(A907="","",IF(OR(A907=A906+1,A907=A906+2),E906,INDIRECT("template!"&amp;"D"&amp;A907-2)))</f>
        <v>#REF!</v>
      </c>
      <c r="F907" t="e" cm="1">
        <f t="array" aca="1" ref="F907" ca="1">IF(OR(A907="",B907="safety"),"",IF(ISBLANK(IF(A907=A906+1,F906,INDIRECT("template!"&amp;"D"&amp;A907-1))),"",IF(A907=A906+1,F906,INDIRECT("template!"&amp;"D"&amp;A907-1))))</f>
        <v>#REF!</v>
      </c>
      <c r="G907" t="e" cm="1">
        <f t="array" aca="1" ref="G907" ca="1">IF(OR(A907="",B907="safety"),"",IF(ISBLANK(INDIRECT("template!"&amp;"D"&amp;A907)),"",INDIRECT("template!"&amp;"D"&amp;A907)))</f>
        <v>#REF!</v>
      </c>
      <c r="H907" t="e" cm="1">
        <f t="array" aca="1" ref="H907" ca="1">IF(OR(A907="",B907="safety"),"",IF(ISBLANK(INDIRECT("template!"&amp;"E"&amp;A907)),"",INDIRECT("template!"&amp;"E"&amp;A907)))</f>
        <v>#REF!</v>
      </c>
      <c r="I907" t="e" cm="1">
        <f t="array" aca="1" ref="I907" ca="1">IF(OR(A907="",B907="safety"),"",IF(ISBLANK(INDIRECT("template!"&amp;"F"&amp;A907)),"",INDIRECT("template!"&amp;"F"&amp;A907)))</f>
        <v>#REF!</v>
      </c>
      <c r="J907" t="e" cm="1">
        <f t="array" aca="1" ref="J907" ca="1">IF(OR(A907="",B907="safety"),"",IF(ISBLANK(INDIRECT("template!"&amp;"G"&amp;A907)),"",INDIRECT("template!"&amp;"G"&amp;A907)))</f>
        <v>#REF!</v>
      </c>
      <c r="K907" t="e" cm="1">
        <f t="array" aca="1" ref="K907" ca="1">IF(OR(A907="",B907="safety"),"",IF(ISBLANK(INDIRECT("template!"&amp;"H"&amp;A907)),"",INDIRECT("template!"&amp;"H"&amp;A907)))</f>
        <v>#REF!</v>
      </c>
      <c r="L907" t="e" cm="1">
        <f t="array" aca="1" ref="L907" ca="1">IF(OR(A907="",B907="safety"),"",INDIRECT("template!"&amp;"I"&amp;A907))</f>
        <v>#REF!</v>
      </c>
      <c r="M907" t="e" cm="1">
        <f t="array" aca="1" ref="M907" ca="1">IF(OR(A907="",B907="safety"),"",INDIRECT("template!"&amp;"J"&amp;A907))</f>
        <v>#REF!</v>
      </c>
      <c r="N907" t="e" cm="1">
        <f t="array" aca="1" ref="N907" ca="1">IF(OR(A907="",B907="safety"),"",IF(ISBLANK(INDIRECT("template!"&amp;"K"&amp;A907)),"",INDIRECT("template!"&amp;"K"&amp;A907)))</f>
        <v>#REF!</v>
      </c>
      <c r="O907" t="e" cm="1">
        <f t="array" aca="1" ref="O907" ca="1">IF(OR(A907="",B907="safety"),"",INDIRECT("template!"&amp;"L"&amp;A907))</f>
        <v>#REF!</v>
      </c>
      <c r="P907" t="e" cm="1">
        <f t="array" aca="1" ref="P907" ca="1">IF(OR(A907="",B907="safety"),"",INDIRECT("template!"&amp;"M"&amp;A907))</f>
        <v>#REF!</v>
      </c>
      <c r="Q907" t="e">
        <f t="shared" ca="1" si="82"/>
        <v>#REF!</v>
      </c>
      <c r="R907" t="e">
        <f t="shared" ca="1" si="83"/>
        <v>#REF!</v>
      </c>
      <c r="S907" t="e">
        <f t="shared" ca="1" si="84"/>
        <v>#REF!</v>
      </c>
      <c r="T907" t="e">
        <f t="shared" ca="1" si="85"/>
        <v>#REF!</v>
      </c>
      <c r="U907" t="e" cm="1">
        <f t="array" aca="1" ref="U907" ca="1">IF(A907="","",IF(E907="","",IF(B907="safety",INDIRECT("template!"&amp;"P"&amp;A907),Q907+R907)))</f>
        <v>#REF!</v>
      </c>
      <c r="V907" t="e" cm="1">
        <f t="array" aca="1" ref="V907" ca="1">IF(A907="","",IF(E907="","",IF(B907="safety",INDIRECT("template!"&amp;"P"&amp;A907),S907+T907)))</f>
        <v>#REF!</v>
      </c>
      <c r="W907" t="e">
        <f ca="1">IF(A907="","",IF(E907="","",#REF!))</f>
        <v>#REF!</v>
      </c>
      <c r="X907" t="e">
        <f ca="1">IF(A907="","",IF(E907="","",#REF!))</f>
        <v>#REF!</v>
      </c>
      <c r="Y907" s="39" t="e">
        <f ca="1">IF(A907="","",IF(E907="","",#REF!))</f>
        <v>#REF!</v>
      </c>
      <c r="Z907" t="e">
        <f ca="1">IF(A907="","",IF(E907="","",#REF!))</f>
        <v>#REF!</v>
      </c>
      <c r="AA907" t="e">
        <f ca="1">IF(A907="","",IF(E907="","",#REF!))</f>
        <v>#REF!</v>
      </c>
      <c r="AB907" t="e">
        <f ca="1">IF(A907="","",IF(E907="","",#REF!))</f>
        <v>#REF!</v>
      </c>
      <c r="AC907" t="e">
        <f t="shared" ca="1" si="86"/>
        <v>#REF!</v>
      </c>
    </row>
    <row r="908" spans="1:29" x14ac:dyDescent="0.35">
      <c r="A908" t="e" cm="1">
        <f t="array" aca="1" ref="A908" ca="1">IF(A907="","",IF(OR(AND(A907+1&gt;=$AF$1,A907+1&lt;=$AF$2),AND(A907+1&gt;=$AF$6,A907+1&lt;=$AF$7),AND(A907+1&gt;=$AF$3,A907+1&lt;=$AF$4),AND(A907+1&gt;=$AF$8,A907+1&lt;=$AF$9),A907+1=$AF$5),IF(NOT(ISBLANK(INDIRECT("template!"&amp;"P"&amp;A907+1))),A907+1,IF(NOT(ISBLANK(INDIRECT("template!"&amp;"P"&amp;A907+2))),A907+2,A907+3)),IF(A907=$AF$2,$AF$3,IF(A907=$AF$4,$AF$5,IF(A907=$AF$5,$AF$6,IF(A907=$AF$7,$AF$8,""))))))</f>
        <v>#REF!</v>
      </c>
      <c r="B908" t="e">
        <f t="shared" ca="1" si="81"/>
        <v>#REF!</v>
      </c>
      <c r="C908" t="e" cm="1">
        <f t="array" aca="1" ref="C908" ca="1">IF(A908="","",IF(B908="safety","safety costs",INDIRECT("template!"&amp;"B"&amp;A908)))</f>
        <v>#REF!</v>
      </c>
      <c r="D908" t="e" cm="1">
        <f t="array" aca="1" ref="D908" ca="1">IF(OR(A908="",B908="safety"),"",INDIRECT("template!"&amp;"C"&amp;A908))</f>
        <v>#REF!</v>
      </c>
      <c r="E908" t="e" cm="1">
        <f t="array" aca="1" ref="E908" ca="1">IF(A908="","",IF(OR(A908=A907+1,A908=A907+2),E907,INDIRECT("template!"&amp;"D"&amp;A908-2)))</f>
        <v>#REF!</v>
      </c>
      <c r="F908" t="e" cm="1">
        <f t="array" aca="1" ref="F908" ca="1">IF(OR(A908="",B908="safety"),"",IF(ISBLANK(IF(A908=A907+1,F907,INDIRECT("template!"&amp;"D"&amp;A908-1))),"",IF(A908=A907+1,F907,INDIRECT("template!"&amp;"D"&amp;A908-1))))</f>
        <v>#REF!</v>
      </c>
      <c r="G908" t="e" cm="1">
        <f t="array" aca="1" ref="G908" ca="1">IF(OR(A908="",B908="safety"),"",IF(ISBLANK(INDIRECT("template!"&amp;"D"&amp;A908)),"",INDIRECT("template!"&amp;"D"&amp;A908)))</f>
        <v>#REF!</v>
      </c>
      <c r="H908" t="e" cm="1">
        <f t="array" aca="1" ref="H908" ca="1">IF(OR(A908="",B908="safety"),"",IF(ISBLANK(INDIRECT("template!"&amp;"E"&amp;A908)),"",INDIRECT("template!"&amp;"E"&amp;A908)))</f>
        <v>#REF!</v>
      </c>
      <c r="I908" t="e" cm="1">
        <f t="array" aca="1" ref="I908" ca="1">IF(OR(A908="",B908="safety"),"",IF(ISBLANK(INDIRECT("template!"&amp;"F"&amp;A908)),"",INDIRECT("template!"&amp;"F"&amp;A908)))</f>
        <v>#REF!</v>
      </c>
      <c r="J908" t="e" cm="1">
        <f t="array" aca="1" ref="J908" ca="1">IF(OR(A908="",B908="safety"),"",IF(ISBLANK(INDIRECT("template!"&amp;"G"&amp;A908)),"",INDIRECT("template!"&amp;"G"&amp;A908)))</f>
        <v>#REF!</v>
      </c>
      <c r="K908" t="e" cm="1">
        <f t="array" aca="1" ref="K908" ca="1">IF(OR(A908="",B908="safety"),"",IF(ISBLANK(INDIRECT("template!"&amp;"H"&amp;A908)),"",INDIRECT("template!"&amp;"H"&amp;A908)))</f>
        <v>#REF!</v>
      </c>
      <c r="L908" t="e" cm="1">
        <f t="array" aca="1" ref="L908" ca="1">IF(OR(A908="",B908="safety"),"",INDIRECT("template!"&amp;"I"&amp;A908))</f>
        <v>#REF!</v>
      </c>
      <c r="M908" t="e" cm="1">
        <f t="array" aca="1" ref="M908" ca="1">IF(OR(A908="",B908="safety"),"",INDIRECT("template!"&amp;"J"&amp;A908))</f>
        <v>#REF!</v>
      </c>
      <c r="N908" t="e" cm="1">
        <f t="array" aca="1" ref="N908" ca="1">IF(OR(A908="",B908="safety"),"",IF(ISBLANK(INDIRECT("template!"&amp;"K"&amp;A908)),"",INDIRECT("template!"&amp;"K"&amp;A908)))</f>
        <v>#REF!</v>
      </c>
      <c r="O908" t="e" cm="1">
        <f t="array" aca="1" ref="O908" ca="1">IF(OR(A908="",B908="safety"),"",INDIRECT("template!"&amp;"L"&amp;A908))</f>
        <v>#REF!</v>
      </c>
      <c r="P908" t="e" cm="1">
        <f t="array" aca="1" ref="P908" ca="1">IF(OR(A908="",B908="safety"),"",INDIRECT("template!"&amp;"M"&amp;A908))</f>
        <v>#REF!</v>
      </c>
      <c r="Q908" t="e">
        <f t="shared" ca="1" si="82"/>
        <v>#REF!</v>
      </c>
      <c r="R908" t="e">
        <f t="shared" ca="1" si="83"/>
        <v>#REF!</v>
      </c>
      <c r="S908" t="e">
        <f t="shared" ca="1" si="84"/>
        <v>#REF!</v>
      </c>
      <c r="T908" t="e">
        <f t="shared" ca="1" si="85"/>
        <v>#REF!</v>
      </c>
      <c r="U908" t="e" cm="1">
        <f t="array" aca="1" ref="U908" ca="1">IF(A908="","",IF(E908="","",IF(B908="safety",INDIRECT("template!"&amp;"P"&amp;A908),Q908+R908)))</f>
        <v>#REF!</v>
      </c>
      <c r="V908" t="e" cm="1">
        <f t="array" aca="1" ref="V908" ca="1">IF(A908="","",IF(E908="","",IF(B908="safety",INDIRECT("template!"&amp;"P"&amp;A908),S908+T908)))</f>
        <v>#REF!</v>
      </c>
      <c r="W908" t="e">
        <f ca="1">IF(A908="","",IF(E908="","",#REF!))</f>
        <v>#REF!</v>
      </c>
      <c r="X908" t="e">
        <f ca="1">IF(A908="","",IF(E908="","",#REF!))</f>
        <v>#REF!</v>
      </c>
      <c r="Y908" s="39" t="e">
        <f ca="1">IF(A908="","",IF(E908="","",#REF!))</f>
        <v>#REF!</v>
      </c>
      <c r="Z908" t="e">
        <f ca="1">IF(A908="","",IF(E908="","",#REF!))</f>
        <v>#REF!</v>
      </c>
      <c r="AA908" t="e">
        <f ca="1">IF(A908="","",IF(E908="","",#REF!))</f>
        <v>#REF!</v>
      </c>
      <c r="AB908" t="e">
        <f ca="1">IF(A908="","",IF(E908="","",#REF!))</f>
        <v>#REF!</v>
      </c>
      <c r="AC908" t="e">
        <f t="shared" ca="1" si="86"/>
        <v>#REF!</v>
      </c>
    </row>
    <row r="909" spans="1:29" x14ac:dyDescent="0.35">
      <c r="A909" t="e" cm="1">
        <f t="array" aca="1" ref="A909" ca="1">IF(A908="","",IF(OR(AND(A908+1&gt;=$AF$1,A908+1&lt;=$AF$2),AND(A908+1&gt;=$AF$6,A908+1&lt;=$AF$7),AND(A908+1&gt;=$AF$3,A908+1&lt;=$AF$4),AND(A908+1&gt;=$AF$8,A908+1&lt;=$AF$9),A908+1=$AF$5),IF(NOT(ISBLANK(INDIRECT("template!"&amp;"P"&amp;A908+1))),A908+1,IF(NOT(ISBLANK(INDIRECT("template!"&amp;"P"&amp;A908+2))),A908+2,A908+3)),IF(A908=$AF$2,$AF$3,IF(A908=$AF$4,$AF$5,IF(A908=$AF$5,$AF$6,IF(A908=$AF$7,$AF$8,""))))))</f>
        <v>#REF!</v>
      </c>
      <c r="B909" t="e">
        <f t="shared" ca="1" si="81"/>
        <v>#REF!</v>
      </c>
      <c r="C909" t="e" cm="1">
        <f t="array" aca="1" ref="C909" ca="1">IF(A909="","",IF(B909="safety","safety costs",INDIRECT("template!"&amp;"B"&amp;A909)))</f>
        <v>#REF!</v>
      </c>
      <c r="D909" t="e" cm="1">
        <f t="array" aca="1" ref="D909" ca="1">IF(OR(A909="",B909="safety"),"",INDIRECT("template!"&amp;"C"&amp;A909))</f>
        <v>#REF!</v>
      </c>
      <c r="E909" t="e" cm="1">
        <f t="array" aca="1" ref="E909" ca="1">IF(A909="","",IF(OR(A909=A908+1,A909=A908+2),E908,INDIRECT("template!"&amp;"D"&amp;A909-2)))</f>
        <v>#REF!</v>
      </c>
      <c r="F909" t="e" cm="1">
        <f t="array" aca="1" ref="F909" ca="1">IF(OR(A909="",B909="safety"),"",IF(ISBLANK(IF(A909=A908+1,F908,INDIRECT("template!"&amp;"D"&amp;A909-1))),"",IF(A909=A908+1,F908,INDIRECT("template!"&amp;"D"&amp;A909-1))))</f>
        <v>#REF!</v>
      </c>
      <c r="G909" t="e" cm="1">
        <f t="array" aca="1" ref="G909" ca="1">IF(OR(A909="",B909="safety"),"",IF(ISBLANK(INDIRECT("template!"&amp;"D"&amp;A909)),"",INDIRECT("template!"&amp;"D"&amp;A909)))</f>
        <v>#REF!</v>
      </c>
      <c r="H909" t="e" cm="1">
        <f t="array" aca="1" ref="H909" ca="1">IF(OR(A909="",B909="safety"),"",IF(ISBLANK(INDIRECT("template!"&amp;"E"&amp;A909)),"",INDIRECT("template!"&amp;"E"&amp;A909)))</f>
        <v>#REF!</v>
      </c>
      <c r="I909" t="e" cm="1">
        <f t="array" aca="1" ref="I909" ca="1">IF(OR(A909="",B909="safety"),"",IF(ISBLANK(INDIRECT("template!"&amp;"F"&amp;A909)),"",INDIRECT("template!"&amp;"F"&amp;A909)))</f>
        <v>#REF!</v>
      </c>
      <c r="J909" t="e" cm="1">
        <f t="array" aca="1" ref="J909" ca="1">IF(OR(A909="",B909="safety"),"",IF(ISBLANK(INDIRECT("template!"&amp;"G"&amp;A909)),"",INDIRECT("template!"&amp;"G"&amp;A909)))</f>
        <v>#REF!</v>
      </c>
      <c r="K909" t="e" cm="1">
        <f t="array" aca="1" ref="K909" ca="1">IF(OR(A909="",B909="safety"),"",IF(ISBLANK(INDIRECT("template!"&amp;"H"&amp;A909)),"",INDIRECT("template!"&amp;"H"&amp;A909)))</f>
        <v>#REF!</v>
      </c>
      <c r="L909" t="e" cm="1">
        <f t="array" aca="1" ref="L909" ca="1">IF(OR(A909="",B909="safety"),"",INDIRECT("template!"&amp;"I"&amp;A909))</f>
        <v>#REF!</v>
      </c>
      <c r="M909" t="e" cm="1">
        <f t="array" aca="1" ref="M909" ca="1">IF(OR(A909="",B909="safety"),"",INDIRECT("template!"&amp;"J"&amp;A909))</f>
        <v>#REF!</v>
      </c>
      <c r="N909" t="e" cm="1">
        <f t="array" aca="1" ref="N909" ca="1">IF(OR(A909="",B909="safety"),"",IF(ISBLANK(INDIRECT("template!"&amp;"K"&amp;A909)),"",INDIRECT("template!"&amp;"K"&amp;A909)))</f>
        <v>#REF!</v>
      </c>
      <c r="O909" t="e" cm="1">
        <f t="array" aca="1" ref="O909" ca="1">IF(OR(A909="",B909="safety"),"",INDIRECT("template!"&amp;"L"&amp;A909))</f>
        <v>#REF!</v>
      </c>
      <c r="P909" t="e" cm="1">
        <f t="array" aca="1" ref="P909" ca="1">IF(OR(A909="",B909="safety"),"",INDIRECT("template!"&amp;"M"&amp;A909))</f>
        <v>#REF!</v>
      </c>
      <c r="Q909" t="e">
        <f t="shared" ca="1" si="82"/>
        <v>#REF!</v>
      </c>
      <c r="R909" t="e">
        <f t="shared" ca="1" si="83"/>
        <v>#REF!</v>
      </c>
      <c r="S909" t="e">
        <f t="shared" ca="1" si="84"/>
        <v>#REF!</v>
      </c>
      <c r="T909" t="e">
        <f t="shared" ca="1" si="85"/>
        <v>#REF!</v>
      </c>
      <c r="U909" t="e" cm="1">
        <f t="array" aca="1" ref="U909" ca="1">IF(A909="","",IF(E909="","",IF(B909="safety",INDIRECT("template!"&amp;"P"&amp;A909),Q909+R909)))</f>
        <v>#REF!</v>
      </c>
      <c r="V909" t="e" cm="1">
        <f t="array" aca="1" ref="V909" ca="1">IF(A909="","",IF(E909="","",IF(B909="safety",INDIRECT("template!"&amp;"P"&amp;A909),S909+T909)))</f>
        <v>#REF!</v>
      </c>
      <c r="W909" t="e">
        <f ca="1">IF(A909="","",IF(E909="","",#REF!))</f>
        <v>#REF!</v>
      </c>
      <c r="X909" t="e">
        <f ca="1">IF(A909="","",IF(E909="","",#REF!))</f>
        <v>#REF!</v>
      </c>
      <c r="Y909" s="39" t="e">
        <f ca="1">IF(A909="","",IF(E909="","",#REF!))</f>
        <v>#REF!</v>
      </c>
      <c r="Z909" t="e">
        <f ca="1">IF(A909="","",IF(E909="","",#REF!))</f>
        <v>#REF!</v>
      </c>
      <c r="AA909" t="e">
        <f ca="1">IF(A909="","",IF(E909="","",#REF!))</f>
        <v>#REF!</v>
      </c>
      <c r="AB909" t="e">
        <f ca="1">IF(A909="","",IF(E909="","",#REF!))</f>
        <v>#REF!</v>
      </c>
      <c r="AC909" t="e">
        <f t="shared" ca="1" si="86"/>
        <v>#REF!</v>
      </c>
    </row>
    <row r="910" spans="1:29" x14ac:dyDescent="0.35">
      <c r="A910" t="e" cm="1">
        <f t="array" aca="1" ref="A910" ca="1">IF(A909="","",IF(OR(AND(A909+1&gt;=$AF$1,A909+1&lt;=$AF$2),AND(A909+1&gt;=$AF$6,A909+1&lt;=$AF$7),AND(A909+1&gt;=$AF$3,A909+1&lt;=$AF$4),AND(A909+1&gt;=$AF$8,A909+1&lt;=$AF$9),A909+1=$AF$5),IF(NOT(ISBLANK(INDIRECT("template!"&amp;"P"&amp;A909+1))),A909+1,IF(NOT(ISBLANK(INDIRECT("template!"&amp;"P"&amp;A909+2))),A909+2,A909+3)),IF(A909=$AF$2,$AF$3,IF(A909=$AF$4,$AF$5,IF(A909=$AF$5,$AF$6,IF(A909=$AF$7,$AF$8,""))))))</f>
        <v>#REF!</v>
      </c>
      <c r="B910" t="e">
        <f t="shared" ca="1" si="81"/>
        <v>#REF!</v>
      </c>
      <c r="C910" t="e" cm="1">
        <f t="array" aca="1" ref="C910" ca="1">IF(A910="","",IF(B910="safety","safety costs",INDIRECT("template!"&amp;"B"&amp;A910)))</f>
        <v>#REF!</v>
      </c>
      <c r="D910" t="e" cm="1">
        <f t="array" aca="1" ref="D910" ca="1">IF(OR(A910="",B910="safety"),"",INDIRECT("template!"&amp;"C"&amp;A910))</f>
        <v>#REF!</v>
      </c>
      <c r="E910" t="e" cm="1">
        <f t="array" aca="1" ref="E910" ca="1">IF(A910="","",IF(OR(A910=A909+1,A910=A909+2),E909,INDIRECT("template!"&amp;"D"&amp;A910-2)))</f>
        <v>#REF!</v>
      </c>
      <c r="F910" t="e" cm="1">
        <f t="array" aca="1" ref="F910" ca="1">IF(OR(A910="",B910="safety"),"",IF(ISBLANK(IF(A910=A909+1,F909,INDIRECT("template!"&amp;"D"&amp;A910-1))),"",IF(A910=A909+1,F909,INDIRECT("template!"&amp;"D"&amp;A910-1))))</f>
        <v>#REF!</v>
      </c>
      <c r="G910" t="e" cm="1">
        <f t="array" aca="1" ref="G910" ca="1">IF(OR(A910="",B910="safety"),"",IF(ISBLANK(INDIRECT("template!"&amp;"D"&amp;A910)),"",INDIRECT("template!"&amp;"D"&amp;A910)))</f>
        <v>#REF!</v>
      </c>
      <c r="H910" t="e" cm="1">
        <f t="array" aca="1" ref="H910" ca="1">IF(OR(A910="",B910="safety"),"",IF(ISBLANK(INDIRECT("template!"&amp;"E"&amp;A910)),"",INDIRECT("template!"&amp;"E"&amp;A910)))</f>
        <v>#REF!</v>
      </c>
      <c r="I910" t="e" cm="1">
        <f t="array" aca="1" ref="I910" ca="1">IF(OR(A910="",B910="safety"),"",IF(ISBLANK(INDIRECT("template!"&amp;"F"&amp;A910)),"",INDIRECT("template!"&amp;"F"&amp;A910)))</f>
        <v>#REF!</v>
      </c>
      <c r="J910" t="e" cm="1">
        <f t="array" aca="1" ref="J910" ca="1">IF(OR(A910="",B910="safety"),"",IF(ISBLANK(INDIRECT("template!"&amp;"G"&amp;A910)),"",INDIRECT("template!"&amp;"G"&amp;A910)))</f>
        <v>#REF!</v>
      </c>
      <c r="K910" t="e" cm="1">
        <f t="array" aca="1" ref="K910" ca="1">IF(OR(A910="",B910="safety"),"",IF(ISBLANK(INDIRECT("template!"&amp;"H"&amp;A910)),"",INDIRECT("template!"&amp;"H"&amp;A910)))</f>
        <v>#REF!</v>
      </c>
      <c r="L910" t="e" cm="1">
        <f t="array" aca="1" ref="L910" ca="1">IF(OR(A910="",B910="safety"),"",INDIRECT("template!"&amp;"I"&amp;A910))</f>
        <v>#REF!</v>
      </c>
      <c r="M910" t="e" cm="1">
        <f t="array" aca="1" ref="M910" ca="1">IF(OR(A910="",B910="safety"),"",INDIRECT("template!"&amp;"J"&amp;A910))</f>
        <v>#REF!</v>
      </c>
      <c r="N910" t="e" cm="1">
        <f t="array" aca="1" ref="N910" ca="1">IF(OR(A910="",B910="safety"),"",IF(ISBLANK(INDIRECT("template!"&amp;"K"&amp;A910)),"",INDIRECT("template!"&amp;"K"&amp;A910)))</f>
        <v>#REF!</v>
      </c>
      <c r="O910" t="e" cm="1">
        <f t="array" aca="1" ref="O910" ca="1">IF(OR(A910="",B910="safety"),"",INDIRECT("template!"&amp;"L"&amp;A910))</f>
        <v>#REF!</v>
      </c>
      <c r="P910" t="e" cm="1">
        <f t="array" aca="1" ref="P910" ca="1">IF(OR(A910="",B910="safety"),"",INDIRECT("template!"&amp;"M"&amp;A910))</f>
        <v>#REF!</v>
      </c>
      <c r="Q910" t="e">
        <f t="shared" ca="1" si="82"/>
        <v>#REF!</v>
      </c>
      <c r="R910" t="e">
        <f t="shared" ca="1" si="83"/>
        <v>#REF!</v>
      </c>
      <c r="S910" t="e">
        <f t="shared" ca="1" si="84"/>
        <v>#REF!</v>
      </c>
      <c r="T910" t="e">
        <f t="shared" ca="1" si="85"/>
        <v>#REF!</v>
      </c>
      <c r="U910" t="e" cm="1">
        <f t="array" aca="1" ref="U910" ca="1">IF(A910="","",IF(E910="","",IF(B910="safety",INDIRECT("template!"&amp;"P"&amp;A910),Q910+R910)))</f>
        <v>#REF!</v>
      </c>
      <c r="V910" t="e" cm="1">
        <f t="array" aca="1" ref="V910" ca="1">IF(A910="","",IF(E910="","",IF(B910="safety",INDIRECT("template!"&amp;"P"&amp;A910),S910+T910)))</f>
        <v>#REF!</v>
      </c>
      <c r="W910" t="e">
        <f ca="1">IF(A910="","",IF(E910="","",#REF!))</f>
        <v>#REF!</v>
      </c>
      <c r="X910" t="e">
        <f ca="1">IF(A910="","",IF(E910="","",#REF!))</f>
        <v>#REF!</v>
      </c>
      <c r="Y910" s="39" t="e">
        <f ca="1">IF(A910="","",IF(E910="","",#REF!))</f>
        <v>#REF!</v>
      </c>
      <c r="Z910" t="e">
        <f ca="1">IF(A910="","",IF(E910="","",#REF!))</f>
        <v>#REF!</v>
      </c>
      <c r="AA910" t="e">
        <f ca="1">IF(A910="","",IF(E910="","",#REF!))</f>
        <v>#REF!</v>
      </c>
      <c r="AB910" t="e">
        <f ca="1">IF(A910="","",IF(E910="","",#REF!))</f>
        <v>#REF!</v>
      </c>
      <c r="AC910" t="e">
        <f t="shared" ca="1" si="86"/>
        <v>#REF!</v>
      </c>
    </row>
    <row r="911" spans="1:29" x14ac:dyDescent="0.35">
      <c r="A911" t="e" cm="1">
        <f t="array" aca="1" ref="A911" ca="1">IF(A910="","",IF(OR(AND(A910+1&gt;=$AF$1,A910+1&lt;=$AF$2),AND(A910+1&gt;=$AF$6,A910+1&lt;=$AF$7),AND(A910+1&gt;=$AF$3,A910+1&lt;=$AF$4),AND(A910+1&gt;=$AF$8,A910+1&lt;=$AF$9),A910+1=$AF$5),IF(NOT(ISBLANK(INDIRECT("template!"&amp;"P"&amp;A910+1))),A910+1,IF(NOT(ISBLANK(INDIRECT("template!"&amp;"P"&amp;A910+2))),A910+2,A910+3)),IF(A910=$AF$2,$AF$3,IF(A910=$AF$4,$AF$5,IF(A910=$AF$5,$AF$6,IF(A910=$AF$7,$AF$8,""))))))</f>
        <v>#REF!</v>
      </c>
      <c r="B911" t="e">
        <f t="shared" ca="1" si="81"/>
        <v>#REF!</v>
      </c>
      <c r="C911" t="e" cm="1">
        <f t="array" aca="1" ref="C911" ca="1">IF(A911="","",IF(B911="safety","safety costs",INDIRECT("template!"&amp;"B"&amp;A911)))</f>
        <v>#REF!</v>
      </c>
      <c r="D911" t="e" cm="1">
        <f t="array" aca="1" ref="D911" ca="1">IF(OR(A911="",B911="safety"),"",INDIRECT("template!"&amp;"C"&amp;A911))</f>
        <v>#REF!</v>
      </c>
      <c r="E911" t="e" cm="1">
        <f t="array" aca="1" ref="E911" ca="1">IF(A911="","",IF(OR(A911=A910+1,A911=A910+2),E910,INDIRECT("template!"&amp;"D"&amp;A911-2)))</f>
        <v>#REF!</v>
      </c>
      <c r="F911" t="e" cm="1">
        <f t="array" aca="1" ref="F911" ca="1">IF(OR(A911="",B911="safety"),"",IF(ISBLANK(IF(A911=A910+1,F910,INDIRECT("template!"&amp;"D"&amp;A911-1))),"",IF(A911=A910+1,F910,INDIRECT("template!"&amp;"D"&amp;A911-1))))</f>
        <v>#REF!</v>
      </c>
      <c r="G911" t="e" cm="1">
        <f t="array" aca="1" ref="G911" ca="1">IF(OR(A911="",B911="safety"),"",IF(ISBLANK(INDIRECT("template!"&amp;"D"&amp;A911)),"",INDIRECT("template!"&amp;"D"&amp;A911)))</f>
        <v>#REF!</v>
      </c>
      <c r="H911" t="e" cm="1">
        <f t="array" aca="1" ref="H911" ca="1">IF(OR(A911="",B911="safety"),"",IF(ISBLANK(INDIRECT("template!"&amp;"E"&amp;A911)),"",INDIRECT("template!"&amp;"E"&amp;A911)))</f>
        <v>#REF!</v>
      </c>
      <c r="I911" t="e" cm="1">
        <f t="array" aca="1" ref="I911" ca="1">IF(OR(A911="",B911="safety"),"",IF(ISBLANK(INDIRECT("template!"&amp;"F"&amp;A911)),"",INDIRECT("template!"&amp;"F"&amp;A911)))</f>
        <v>#REF!</v>
      </c>
      <c r="J911" t="e" cm="1">
        <f t="array" aca="1" ref="J911" ca="1">IF(OR(A911="",B911="safety"),"",IF(ISBLANK(INDIRECT("template!"&amp;"G"&amp;A911)),"",INDIRECT("template!"&amp;"G"&amp;A911)))</f>
        <v>#REF!</v>
      </c>
      <c r="K911" t="e" cm="1">
        <f t="array" aca="1" ref="K911" ca="1">IF(OR(A911="",B911="safety"),"",IF(ISBLANK(INDIRECT("template!"&amp;"H"&amp;A911)),"",INDIRECT("template!"&amp;"H"&amp;A911)))</f>
        <v>#REF!</v>
      </c>
      <c r="L911" t="e" cm="1">
        <f t="array" aca="1" ref="L911" ca="1">IF(OR(A911="",B911="safety"),"",INDIRECT("template!"&amp;"I"&amp;A911))</f>
        <v>#REF!</v>
      </c>
      <c r="M911" t="e" cm="1">
        <f t="array" aca="1" ref="M911" ca="1">IF(OR(A911="",B911="safety"),"",INDIRECT("template!"&amp;"J"&amp;A911))</f>
        <v>#REF!</v>
      </c>
      <c r="N911" t="e" cm="1">
        <f t="array" aca="1" ref="N911" ca="1">IF(OR(A911="",B911="safety"),"",IF(ISBLANK(INDIRECT("template!"&amp;"K"&amp;A911)),"",INDIRECT("template!"&amp;"K"&amp;A911)))</f>
        <v>#REF!</v>
      </c>
      <c r="O911" t="e" cm="1">
        <f t="array" aca="1" ref="O911" ca="1">IF(OR(A911="",B911="safety"),"",INDIRECT("template!"&amp;"L"&amp;A911))</f>
        <v>#REF!</v>
      </c>
      <c r="P911" t="e" cm="1">
        <f t="array" aca="1" ref="P911" ca="1">IF(OR(A911="",B911="safety"),"",INDIRECT("template!"&amp;"M"&amp;A911))</f>
        <v>#REF!</v>
      </c>
      <c r="Q911" t="e">
        <f t="shared" ca="1" si="82"/>
        <v>#REF!</v>
      </c>
      <c r="R911" t="e">
        <f t="shared" ca="1" si="83"/>
        <v>#REF!</v>
      </c>
      <c r="S911" t="e">
        <f t="shared" ca="1" si="84"/>
        <v>#REF!</v>
      </c>
      <c r="T911" t="e">
        <f t="shared" ca="1" si="85"/>
        <v>#REF!</v>
      </c>
      <c r="U911" t="e" cm="1">
        <f t="array" aca="1" ref="U911" ca="1">IF(A911="","",IF(E911="","",IF(B911="safety",INDIRECT("template!"&amp;"P"&amp;A911),Q911+R911)))</f>
        <v>#REF!</v>
      </c>
      <c r="V911" t="e" cm="1">
        <f t="array" aca="1" ref="V911" ca="1">IF(A911="","",IF(E911="","",IF(B911="safety",INDIRECT("template!"&amp;"P"&amp;A911),S911+T911)))</f>
        <v>#REF!</v>
      </c>
      <c r="W911" t="e">
        <f ca="1">IF(A911="","",IF(E911="","",#REF!))</f>
        <v>#REF!</v>
      </c>
      <c r="X911" t="e">
        <f ca="1">IF(A911="","",IF(E911="","",#REF!))</f>
        <v>#REF!</v>
      </c>
      <c r="Y911" s="39" t="e">
        <f ca="1">IF(A911="","",IF(E911="","",#REF!))</f>
        <v>#REF!</v>
      </c>
      <c r="Z911" t="e">
        <f ca="1">IF(A911="","",IF(E911="","",#REF!))</f>
        <v>#REF!</v>
      </c>
      <c r="AA911" t="e">
        <f ca="1">IF(A911="","",IF(E911="","",#REF!))</f>
        <v>#REF!</v>
      </c>
      <c r="AB911" t="e">
        <f ca="1">IF(A911="","",IF(E911="","",#REF!))</f>
        <v>#REF!</v>
      </c>
      <c r="AC911" t="e">
        <f t="shared" ca="1" si="86"/>
        <v>#REF!</v>
      </c>
    </row>
    <row r="912" spans="1:29" x14ac:dyDescent="0.35">
      <c r="A912" t="e" cm="1">
        <f t="array" aca="1" ref="A912" ca="1">IF(A911="","",IF(OR(AND(A911+1&gt;=$AF$1,A911+1&lt;=$AF$2),AND(A911+1&gt;=$AF$6,A911+1&lt;=$AF$7),AND(A911+1&gt;=$AF$3,A911+1&lt;=$AF$4),AND(A911+1&gt;=$AF$8,A911+1&lt;=$AF$9),A911+1=$AF$5),IF(NOT(ISBLANK(INDIRECT("template!"&amp;"P"&amp;A911+1))),A911+1,IF(NOT(ISBLANK(INDIRECT("template!"&amp;"P"&amp;A911+2))),A911+2,A911+3)),IF(A911=$AF$2,$AF$3,IF(A911=$AF$4,$AF$5,IF(A911=$AF$5,$AF$6,IF(A911=$AF$7,$AF$8,""))))))</f>
        <v>#REF!</v>
      </c>
      <c r="B912" t="e">
        <f t="shared" ca="1" si="81"/>
        <v>#REF!</v>
      </c>
      <c r="C912" t="e" cm="1">
        <f t="array" aca="1" ref="C912" ca="1">IF(A912="","",IF(B912="safety","safety costs",INDIRECT("template!"&amp;"B"&amp;A912)))</f>
        <v>#REF!</v>
      </c>
      <c r="D912" t="e" cm="1">
        <f t="array" aca="1" ref="D912" ca="1">IF(OR(A912="",B912="safety"),"",INDIRECT("template!"&amp;"C"&amp;A912))</f>
        <v>#REF!</v>
      </c>
      <c r="E912" t="e" cm="1">
        <f t="array" aca="1" ref="E912" ca="1">IF(A912="","",IF(OR(A912=A911+1,A912=A911+2),E911,INDIRECT("template!"&amp;"D"&amp;A912-2)))</f>
        <v>#REF!</v>
      </c>
      <c r="F912" t="e" cm="1">
        <f t="array" aca="1" ref="F912" ca="1">IF(OR(A912="",B912="safety"),"",IF(ISBLANK(IF(A912=A911+1,F911,INDIRECT("template!"&amp;"D"&amp;A912-1))),"",IF(A912=A911+1,F911,INDIRECT("template!"&amp;"D"&amp;A912-1))))</f>
        <v>#REF!</v>
      </c>
      <c r="G912" t="e" cm="1">
        <f t="array" aca="1" ref="G912" ca="1">IF(OR(A912="",B912="safety"),"",IF(ISBLANK(INDIRECT("template!"&amp;"D"&amp;A912)),"",INDIRECT("template!"&amp;"D"&amp;A912)))</f>
        <v>#REF!</v>
      </c>
      <c r="H912" t="e" cm="1">
        <f t="array" aca="1" ref="H912" ca="1">IF(OR(A912="",B912="safety"),"",IF(ISBLANK(INDIRECT("template!"&amp;"E"&amp;A912)),"",INDIRECT("template!"&amp;"E"&amp;A912)))</f>
        <v>#REF!</v>
      </c>
      <c r="I912" t="e" cm="1">
        <f t="array" aca="1" ref="I912" ca="1">IF(OR(A912="",B912="safety"),"",IF(ISBLANK(INDIRECT("template!"&amp;"F"&amp;A912)),"",INDIRECT("template!"&amp;"F"&amp;A912)))</f>
        <v>#REF!</v>
      </c>
      <c r="J912" t="e" cm="1">
        <f t="array" aca="1" ref="J912" ca="1">IF(OR(A912="",B912="safety"),"",IF(ISBLANK(INDIRECT("template!"&amp;"G"&amp;A912)),"",INDIRECT("template!"&amp;"G"&amp;A912)))</f>
        <v>#REF!</v>
      </c>
      <c r="K912" t="e" cm="1">
        <f t="array" aca="1" ref="K912" ca="1">IF(OR(A912="",B912="safety"),"",IF(ISBLANK(INDIRECT("template!"&amp;"H"&amp;A912)),"",INDIRECT("template!"&amp;"H"&amp;A912)))</f>
        <v>#REF!</v>
      </c>
      <c r="L912" t="e" cm="1">
        <f t="array" aca="1" ref="L912" ca="1">IF(OR(A912="",B912="safety"),"",INDIRECT("template!"&amp;"I"&amp;A912))</f>
        <v>#REF!</v>
      </c>
      <c r="M912" t="e" cm="1">
        <f t="array" aca="1" ref="M912" ca="1">IF(OR(A912="",B912="safety"),"",INDIRECT("template!"&amp;"J"&amp;A912))</f>
        <v>#REF!</v>
      </c>
      <c r="N912" t="e" cm="1">
        <f t="array" aca="1" ref="N912" ca="1">IF(OR(A912="",B912="safety"),"",IF(ISBLANK(INDIRECT("template!"&amp;"K"&amp;A912)),"",INDIRECT("template!"&amp;"K"&amp;A912)))</f>
        <v>#REF!</v>
      </c>
      <c r="O912" t="e" cm="1">
        <f t="array" aca="1" ref="O912" ca="1">IF(OR(A912="",B912="safety"),"",INDIRECT("template!"&amp;"L"&amp;A912))</f>
        <v>#REF!</v>
      </c>
      <c r="P912" t="e" cm="1">
        <f t="array" aca="1" ref="P912" ca="1">IF(OR(A912="",B912="safety"),"",INDIRECT("template!"&amp;"M"&amp;A912))</f>
        <v>#REF!</v>
      </c>
      <c r="Q912" t="e">
        <f t="shared" ca="1" si="82"/>
        <v>#REF!</v>
      </c>
      <c r="R912" t="e">
        <f t="shared" ca="1" si="83"/>
        <v>#REF!</v>
      </c>
      <c r="S912" t="e">
        <f t="shared" ca="1" si="84"/>
        <v>#REF!</v>
      </c>
      <c r="T912" t="e">
        <f t="shared" ca="1" si="85"/>
        <v>#REF!</v>
      </c>
      <c r="U912" t="e" cm="1">
        <f t="array" aca="1" ref="U912" ca="1">IF(A912="","",IF(E912="","",IF(B912="safety",INDIRECT("template!"&amp;"P"&amp;A912),Q912+R912)))</f>
        <v>#REF!</v>
      </c>
      <c r="V912" t="e" cm="1">
        <f t="array" aca="1" ref="V912" ca="1">IF(A912="","",IF(E912="","",IF(B912="safety",INDIRECT("template!"&amp;"P"&amp;A912),S912+T912)))</f>
        <v>#REF!</v>
      </c>
      <c r="W912" t="e">
        <f ca="1">IF(A912="","",IF(E912="","",#REF!))</f>
        <v>#REF!</v>
      </c>
      <c r="X912" t="e">
        <f ca="1">IF(A912="","",IF(E912="","",#REF!))</f>
        <v>#REF!</v>
      </c>
      <c r="Y912" s="39" t="e">
        <f ca="1">IF(A912="","",IF(E912="","",#REF!))</f>
        <v>#REF!</v>
      </c>
      <c r="Z912" t="e">
        <f ca="1">IF(A912="","",IF(E912="","",#REF!))</f>
        <v>#REF!</v>
      </c>
      <c r="AA912" t="e">
        <f ca="1">IF(A912="","",IF(E912="","",#REF!))</f>
        <v>#REF!</v>
      </c>
      <c r="AB912" t="e">
        <f ca="1">IF(A912="","",IF(E912="","",#REF!))</f>
        <v>#REF!</v>
      </c>
      <c r="AC912" t="e">
        <f t="shared" ca="1" si="86"/>
        <v>#REF!</v>
      </c>
    </row>
    <row r="913" spans="1:29" x14ac:dyDescent="0.35">
      <c r="A913" t="e" cm="1">
        <f t="array" aca="1" ref="A913" ca="1">IF(A912="","",IF(OR(AND(A912+1&gt;=$AF$1,A912+1&lt;=$AF$2),AND(A912+1&gt;=$AF$6,A912+1&lt;=$AF$7),AND(A912+1&gt;=$AF$3,A912+1&lt;=$AF$4),AND(A912+1&gt;=$AF$8,A912+1&lt;=$AF$9),A912+1=$AF$5),IF(NOT(ISBLANK(INDIRECT("template!"&amp;"P"&amp;A912+1))),A912+1,IF(NOT(ISBLANK(INDIRECT("template!"&amp;"P"&amp;A912+2))),A912+2,A912+3)),IF(A912=$AF$2,$AF$3,IF(A912=$AF$4,$AF$5,IF(A912=$AF$5,$AF$6,IF(A912=$AF$7,$AF$8,""))))))</f>
        <v>#REF!</v>
      </c>
      <c r="B913" t="e">
        <f t="shared" ca="1" si="81"/>
        <v>#REF!</v>
      </c>
      <c r="C913" t="e" cm="1">
        <f t="array" aca="1" ref="C913" ca="1">IF(A913="","",IF(B913="safety","safety costs",INDIRECT("template!"&amp;"B"&amp;A913)))</f>
        <v>#REF!</v>
      </c>
      <c r="D913" t="e" cm="1">
        <f t="array" aca="1" ref="D913" ca="1">IF(OR(A913="",B913="safety"),"",INDIRECT("template!"&amp;"C"&amp;A913))</f>
        <v>#REF!</v>
      </c>
      <c r="E913" t="e" cm="1">
        <f t="array" aca="1" ref="E913" ca="1">IF(A913="","",IF(OR(A913=A912+1,A913=A912+2),E912,INDIRECT("template!"&amp;"D"&amp;A913-2)))</f>
        <v>#REF!</v>
      </c>
      <c r="F913" t="e" cm="1">
        <f t="array" aca="1" ref="F913" ca="1">IF(OR(A913="",B913="safety"),"",IF(ISBLANK(IF(A913=A912+1,F912,INDIRECT("template!"&amp;"D"&amp;A913-1))),"",IF(A913=A912+1,F912,INDIRECT("template!"&amp;"D"&amp;A913-1))))</f>
        <v>#REF!</v>
      </c>
      <c r="G913" t="e" cm="1">
        <f t="array" aca="1" ref="G913" ca="1">IF(OR(A913="",B913="safety"),"",IF(ISBLANK(INDIRECT("template!"&amp;"D"&amp;A913)),"",INDIRECT("template!"&amp;"D"&amp;A913)))</f>
        <v>#REF!</v>
      </c>
      <c r="H913" t="e" cm="1">
        <f t="array" aca="1" ref="H913" ca="1">IF(OR(A913="",B913="safety"),"",IF(ISBLANK(INDIRECT("template!"&amp;"E"&amp;A913)),"",INDIRECT("template!"&amp;"E"&amp;A913)))</f>
        <v>#REF!</v>
      </c>
      <c r="I913" t="e" cm="1">
        <f t="array" aca="1" ref="I913" ca="1">IF(OR(A913="",B913="safety"),"",IF(ISBLANK(INDIRECT("template!"&amp;"F"&amp;A913)),"",INDIRECT("template!"&amp;"F"&amp;A913)))</f>
        <v>#REF!</v>
      </c>
      <c r="J913" t="e" cm="1">
        <f t="array" aca="1" ref="J913" ca="1">IF(OR(A913="",B913="safety"),"",IF(ISBLANK(INDIRECT("template!"&amp;"G"&amp;A913)),"",INDIRECT("template!"&amp;"G"&amp;A913)))</f>
        <v>#REF!</v>
      </c>
      <c r="K913" t="e" cm="1">
        <f t="array" aca="1" ref="K913" ca="1">IF(OR(A913="",B913="safety"),"",IF(ISBLANK(INDIRECT("template!"&amp;"H"&amp;A913)),"",INDIRECT("template!"&amp;"H"&amp;A913)))</f>
        <v>#REF!</v>
      </c>
      <c r="L913" t="e" cm="1">
        <f t="array" aca="1" ref="L913" ca="1">IF(OR(A913="",B913="safety"),"",INDIRECT("template!"&amp;"I"&amp;A913))</f>
        <v>#REF!</v>
      </c>
      <c r="M913" t="e" cm="1">
        <f t="array" aca="1" ref="M913" ca="1">IF(OR(A913="",B913="safety"),"",INDIRECT("template!"&amp;"J"&amp;A913))</f>
        <v>#REF!</v>
      </c>
      <c r="N913" t="e" cm="1">
        <f t="array" aca="1" ref="N913" ca="1">IF(OR(A913="",B913="safety"),"",IF(ISBLANK(INDIRECT("template!"&amp;"K"&amp;A913)),"",INDIRECT("template!"&amp;"K"&amp;A913)))</f>
        <v>#REF!</v>
      </c>
      <c r="O913" t="e" cm="1">
        <f t="array" aca="1" ref="O913" ca="1">IF(OR(A913="",B913="safety"),"",INDIRECT("template!"&amp;"L"&amp;A913))</f>
        <v>#REF!</v>
      </c>
      <c r="P913" t="e" cm="1">
        <f t="array" aca="1" ref="P913" ca="1">IF(OR(A913="",B913="safety"),"",INDIRECT("template!"&amp;"M"&amp;A913))</f>
        <v>#REF!</v>
      </c>
      <c r="Q913" t="e">
        <f t="shared" ca="1" si="82"/>
        <v>#REF!</v>
      </c>
      <c r="R913" t="e">
        <f t="shared" ca="1" si="83"/>
        <v>#REF!</v>
      </c>
      <c r="S913" t="e">
        <f t="shared" ca="1" si="84"/>
        <v>#REF!</v>
      </c>
      <c r="T913" t="e">
        <f t="shared" ca="1" si="85"/>
        <v>#REF!</v>
      </c>
      <c r="U913" t="e" cm="1">
        <f t="array" aca="1" ref="U913" ca="1">IF(A913="","",IF(E913="","",IF(B913="safety",INDIRECT("template!"&amp;"P"&amp;A913),Q913+R913)))</f>
        <v>#REF!</v>
      </c>
      <c r="V913" t="e" cm="1">
        <f t="array" aca="1" ref="V913" ca="1">IF(A913="","",IF(E913="","",IF(B913="safety",INDIRECT("template!"&amp;"P"&amp;A913),S913+T913)))</f>
        <v>#REF!</v>
      </c>
      <c r="W913" t="e">
        <f ca="1">IF(A913="","",IF(E913="","",#REF!))</f>
        <v>#REF!</v>
      </c>
      <c r="X913" t="e">
        <f ca="1">IF(A913="","",IF(E913="","",#REF!))</f>
        <v>#REF!</v>
      </c>
      <c r="Y913" s="39" t="e">
        <f ca="1">IF(A913="","",IF(E913="","",#REF!))</f>
        <v>#REF!</v>
      </c>
      <c r="Z913" t="e">
        <f ca="1">IF(A913="","",IF(E913="","",#REF!))</f>
        <v>#REF!</v>
      </c>
      <c r="AA913" t="e">
        <f ca="1">IF(A913="","",IF(E913="","",#REF!))</f>
        <v>#REF!</v>
      </c>
      <c r="AB913" t="e">
        <f ca="1">IF(A913="","",IF(E913="","",#REF!))</f>
        <v>#REF!</v>
      </c>
      <c r="AC913" t="e">
        <f t="shared" ca="1" si="86"/>
        <v>#REF!</v>
      </c>
    </row>
    <row r="914" spans="1:29" x14ac:dyDescent="0.35">
      <c r="A914" t="e" cm="1">
        <f t="array" aca="1" ref="A914" ca="1">IF(A913="","",IF(OR(AND(A913+1&gt;=$AF$1,A913+1&lt;=$AF$2),AND(A913+1&gt;=$AF$6,A913+1&lt;=$AF$7),AND(A913+1&gt;=$AF$3,A913+1&lt;=$AF$4),AND(A913+1&gt;=$AF$8,A913+1&lt;=$AF$9),A913+1=$AF$5),IF(NOT(ISBLANK(INDIRECT("template!"&amp;"P"&amp;A913+1))),A913+1,IF(NOT(ISBLANK(INDIRECT("template!"&amp;"P"&amp;A913+2))),A913+2,A913+3)),IF(A913=$AF$2,$AF$3,IF(A913=$AF$4,$AF$5,IF(A913=$AF$5,$AF$6,IF(A913=$AF$7,$AF$8,""))))))</f>
        <v>#REF!</v>
      </c>
      <c r="B914" t="e">
        <f t="shared" ca="1" si="81"/>
        <v>#REF!</v>
      </c>
      <c r="C914" t="e" cm="1">
        <f t="array" aca="1" ref="C914" ca="1">IF(A914="","",IF(B914="safety","safety costs",INDIRECT("template!"&amp;"B"&amp;A914)))</f>
        <v>#REF!</v>
      </c>
      <c r="D914" t="e" cm="1">
        <f t="array" aca="1" ref="D914" ca="1">IF(OR(A914="",B914="safety"),"",INDIRECT("template!"&amp;"C"&amp;A914))</f>
        <v>#REF!</v>
      </c>
      <c r="E914" t="e" cm="1">
        <f t="array" aca="1" ref="E914" ca="1">IF(A914="","",IF(OR(A914=A913+1,A914=A913+2),E913,INDIRECT("template!"&amp;"D"&amp;A914-2)))</f>
        <v>#REF!</v>
      </c>
      <c r="F914" t="e" cm="1">
        <f t="array" aca="1" ref="F914" ca="1">IF(OR(A914="",B914="safety"),"",IF(ISBLANK(IF(A914=A913+1,F913,INDIRECT("template!"&amp;"D"&amp;A914-1))),"",IF(A914=A913+1,F913,INDIRECT("template!"&amp;"D"&amp;A914-1))))</f>
        <v>#REF!</v>
      </c>
      <c r="G914" t="e" cm="1">
        <f t="array" aca="1" ref="G914" ca="1">IF(OR(A914="",B914="safety"),"",IF(ISBLANK(INDIRECT("template!"&amp;"D"&amp;A914)),"",INDIRECT("template!"&amp;"D"&amp;A914)))</f>
        <v>#REF!</v>
      </c>
      <c r="H914" t="e" cm="1">
        <f t="array" aca="1" ref="H914" ca="1">IF(OR(A914="",B914="safety"),"",IF(ISBLANK(INDIRECT("template!"&amp;"E"&amp;A914)),"",INDIRECT("template!"&amp;"E"&amp;A914)))</f>
        <v>#REF!</v>
      </c>
      <c r="I914" t="e" cm="1">
        <f t="array" aca="1" ref="I914" ca="1">IF(OR(A914="",B914="safety"),"",IF(ISBLANK(INDIRECT("template!"&amp;"F"&amp;A914)),"",INDIRECT("template!"&amp;"F"&amp;A914)))</f>
        <v>#REF!</v>
      </c>
      <c r="J914" t="e" cm="1">
        <f t="array" aca="1" ref="J914" ca="1">IF(OR(A914="",B914="safety"),"",IF(ISBLANK(INDIRECT("template!"&amp;"G"&amp;A914)),"",INDIRECT("template!"&amp;"G"&amp;A914)))</f>
        <v>#REF!</v>
      </c>
      <c r="K914" t="e" cm="1">
        <f t="array" aca="1" ref="K914" ca="1">IF(OR(A914="",B914="safety"),"",IF(ISBLANK(INDIRECT("template!"&amp;"H"&amp;A914)),"",INDIRECT("template!"&amp;"H"&amp;A914)))</f>
        <v>#REF!</v>
      </c>
      <c r="L914" t="e" cm="1">
        <f t="array" aca="1" ref="L914" ca="1">IF(OR(A914="",B914="safety"),"",INDIRECT("template!"&amp;"I"&amp;A914))</f>
        <v>#REF!</v>
      </c>
      <c r="M914" t="e" cm="1">
        <f t="array" aca="1" ref="M914" ca="1">IF(OR(A914="",B914="safety"),"",INDIRECT("template!"&amp;"J"&amp;A914))</f>
        <v>#REF!</v>
      </c>
      <c r="N914" t="e" cm="1">
        <f t="array" aca="1" ref="N914" ca="1">IF(OR(A914="",B914="safety"),"",IF(ISBLANK(INDIRECT("template!"&amp;"K"&amp;A914)),"",INDIRECT("template!"&amp;"K"&amp;A914)))</f>
        <v>#REF!</v>
      </c>
      <c r="O914" t="e" cm="1">
        <f t="array" aca="1" ref="O914" ca="1">IF(OR(A914="",B914="safety"),"",INDIRECT("template!"&amp;"L"&amp;A914))</f>
        <v>#REF!</v>
      </c>
      <c r="P914" t="e" cm="1">
        <f t="array" aca="1" ref="P914" ca="1">IF(OR(A914="",B914="safety"),"",INDIRECT("template!"&amp;"M"&amp;A914))</f>
        <v>#REF!</v>
      </c>
      <c r="Q914" t="e">
        <f t="shared" ca="1" si="82"/>
        <v>#REF!</v>
      </c>
      <c r="R914" t="e">
        <f t="shared" ca="1" si="83"/>
        <v>#REF!</v>
      </c>
      <c r="S914" t="e">
        <f t="shared" ca="1" si="84"/>
        <v>#REF!</v>
      </c>
      <c r="T914" t="e">
        <f t="shared" ca="1" si="85"/>
        <v>#REF!</v>
      </c>
      <c r="U914" t="e" cm="1">
        <f t="array" aca="1" ref="U914" ca="1">IF(A914="","",IF(E914="","",IF(B914="safety",INDIRECT("template!"&amp;"P"&amp;A914),Q914+R914)))</f>
        <v>#REF!</v>
      </c>
      <c r="V914" t="e" cm="1">
        <f t="array" aca="1" ref="V914" ca="1">IF(A914="","",IF(E914="","",IF(B914="safety",INDIRECT("template!"&amp;"P"&amp;A914),S914+T914)))</f>
        <v>#REF!</v>
      </c>
      <c r="W914" t="e">
        <f ca="1">IF(A914="","",IF(E914="","",#REF!))</f>
        <v>#REF!</v>
      </c>
      <c r="X914" t="e">
        <f ca="1">IF(A914="","",IF(E914="","",#REF!))</f>
        <v>#REF!</v>
      </c>
      <c r="Y914" s="39" t="e">
        <f ca="1">IF(A914="","",IF(E914="","",#REF!))</f>
        <v>#REF!</v>
      </c>
      <c r="Z914" t="e">
        <f ca="1">IF(A914="","",IF(E914="","",#REF!))</f>
        <v>#REF!</v>
      </c>
      <c r="AA914" t="e">
        <f ca="1">IF(A914="","",IF(E914="","",#REF!))</f>
        <v>#REF!</v>
      </c>
      <c r="AB914" t="e">
        <f ca="1">IF(A914="","",IF(E914="","",#REF!))</f>
        <v>#REF!</v>
      </c>
      <c r="AC914" t="e">
        <f t="shared" ca="1" si="86"/>
        <v>#REF!</v>
      </c>
    </row>
    <row r="915" spans="1:29" x14ac:dyDescent="0.35">
      <c r="A915" t="e" cm="1">
        <f t="array" aca="1" ref="A915" ca="1">IF(A914="","",IF(OR(AND(A914+1&gt;=$AF$1,A914+1&lt;=$AF$2),AND(A914+1&gt;=$AF$6,A914+1&lt;=$AF$7),AND(A914+1&gt;=$AF$3,A914+1&lt;=$AF$4),AND(A914+1&gt;=$AF$8,A914+1&lt;=$AF$9),A914+1=$AF$5),IF(NOT(ISBLANK(INDIRECT("template!"&amp;"P"&amp;A914+1))),A914+1,IF(NOT(ISBLANK(INDIRECT("template!"&amp;"P"&amp;A914+2))),A914+2,A914+3)),IF(A914=$AF$2,$AF$3,IF(A914=$AF$4,$AF$5,IF(A914=$AF$5,$AF$6,IF(A914=$AF$7,$AF$8,""))))))</f>
        <v>#REF!</v>
      </c>
      <c r="B915" t="e">
        <f t="shared" ca="1" si="81"/>
        <v>#REF!</v>
      </c>
      <c r="C915" t="e" cm="1">
        <f t="array" aca="1" ref="C915" ca="1">IF(A915="","",IF(B915="safety","safety costs",INDIRECT("template!"&amp;"B"&amp;A915)))</f>
        <v>#REF!</v>
      </c>
      <c r="D915" t="e" cm="1">
        <f t="array" aca="1" ref="D915" ca="1">IF(OR(A915="",B915="safety"),"",INDIRECT("template!"&amp;"C"&amp;A915))</f>
        <v>#REF!</v>
      </c>
      <c r="E915" t="e" cm="1">
        <f t="array" aca="1" ref="E915" ca="1">IF(A915="","",IF(OR(A915=A914+1,A915=A914+2),E914,INDIRECT("template!"&amp;"D"&amp;A915-2)))</f>
        <v>#REF!</v>
      </c>
      <c r="F915" t="e" cm="1">
        <f t="array" aca="1" ref="F915" ca="1">IF(OR(A915="",B915="safety"),"",IF(ISBLANK(IF(A915=A914+1,F914,INDIRECT("template!"&amp;"D"&amp;A915-1))),"",IF(A915=A914+1,F914,INDIRECT("template!"&amp;"D"&amp;A915-1))))</f>
        <v>#REF!</v>
      </c>
      <c r="G915" t="e" cm="1">
        <f t="array" aca="1" ref="G915" ca="1">IF(OR(A915="",B915="safety"),"",IF(ISBLANK(INDIRECT("template!"&amp;"D"&amp;A915)),"",INDIRECT("template!"&amp;"D"&amp;A915)))</f>
        <v>#REF!</v>
      </c>
      <c r="H915" t="e" cm="1">
        <f t="array" aca="1" ref="H915" ca="1">IF(OR(A915="",B915="safety"),"",IF(ISBLANK(INDIRECT("template!"&amp;"E"&amp;A915)),"",INDIRECT("template!"&amp;"E"&amp;A915)))</f>
        <v>#REF!</v>
      </c>
      <c r="I915" t="e" cm="1">
        <f t="array" aca="1" ref="I915" ca="1">IF(OR(A915="",B915="safety"),"",IF(ISBLANK(INDIRECT("template!"&amp;"F"&amp;A915)),"",INDIRECT("template!"&amp;"F"&amp;A915)))</f>
        <v>#REF!</v>
      </c>
      <c r="J915" t="e" cm="1">
        <f t="array" aca="1" ref="J915" ca="1">IF(OR(A915="",B915="safety"),"",IF(ISBLANK(INDIRECT("template!"&amp;"G"&amp;A915)),"",INDIRECT("template!"&amp;"G"&amp;A915)))</f>
        <v>#REF!</v>
      </c>
      <c r="K915" t="e" cm="1">
        <f t="array" aca="1" ref="K915" ca="1">IF(OR(A915="",B915="safety"),"",IF(ISBLANK(INDIRECT("template!"&amp;"H"&amp;A915)),"",INDIRECT("template!"&amp;"H"&amp;A915)))</f>
        <v>#REF!</v>
      </c>
      <c r="L915" t="e" cm="1">
        <f t="array" aca="1" ref="L915" ca="1">IF(OR(A915="",B915="safety"),"",INDIRECT("template!"&amp;"I"&amp;A915))</f>
        <v>#REF!</v>
      </c>
      <c r="M915" t="e" cm="1">
        <f t="array" aca="1" ref="M915" ca="1">IF(OR(A915="",B915="safety"),"",INDIRECT("template!"&amp;"J"&amp;A915))</f>
        <v>#REF!</v>
      </c>
      <c r="N915" t="e" cm="1">
        <f t="array" aca="1" ref="N915" ca="1">IF(OR(A915="",B915="safety"),"",IF(ISBLANK(INDIRECT("template!"&amp;"K"&amp;A915)),"",INDIRECT("template!"&amp;"K"&amp;A915)))</f>
        <v>#REF!</v>
      </c>
      <c r="O915" t="e" cm="1">
        <f t="array" aca="1" ref="O915" ca="1">IF(OR(A915="",B915="safety"),"",INDIRECT("template!"&amp;"L"&amp;A915))</f>
        <v>#REF!</v>
      </c>
      <c r="P915" t="e" cm="1">
        <f t="array" aca="1" ref="P915" ca="1">IF(OR(A915="",B915="safety"),"",INDIRECT("template!"&amp;"M"&amp;A915))</f>
        <v>#REF!</v>
      </c>
      <c r="Q915" t="e">
        <f t="shared" ca="1" si="82"/>
        <v>#REF!</v>
      </c>
      <c r="R915" t="e">
        <f t="shared" ca="1" si="83"/>
        <v>#REF!</v>
      </c>
      <c r="S915" t="e">
        <f t="shared" ca="1" si="84"/>
        <v>#REF!</v>
      </c>
      <c r="T915" t="e">
        <f t="shared" ca="1" si="85"/>
        <v>#REF!</v>
      </c>
      <c r="U915" t="e" cm="1">
        <f t="array" aca="1" ref="U915" ca="1">IF(A915="","",IF(E915="","",IF(B915="safety",INDIRECT("template!"&amp;"P"&amp;A915),Q915+R915)))</f>
        <v>#REF!</v>
      </c>
      <c r="V915" t="e" cm="1">
        <f t="array" aca="1" ref="V915" ca="1">IF(A915="","",IF(E915="","",IF(B915="safety",INDIRECT("template!"&amp;"P"&amp;A915),S915+T915)))</f>
        <v>#REF!</v>
      </c>
      <c r="W915" t="e">
        <f ca="1">IF(A915="","",IF(E915="","",#REF!))</f>
        <v>#REF!</v>
      </c>
      <c r="X915" t="e">
        <f ca="1">IF(A915="","",IF(E915="","",#REF!))</f>
        <v>#REF!</v>
      </c>
      <c r="Y915" s="39" t="e">
        <f ca="1">IF(A915="","",IF(E915="","",#REF!))</f>
        <v>#REF!</v>
      </c>
      <c r="Z915" t="e">
        <f ca="1">IF(A915="","",IF(E915="","",#REF!))</f>
        <v>#REF!</v>
      </c>
      <c r="AA915" t="e">
        <f ca="1">IF(A915="","",IF(E915="","",#REF!))</f>
        <v>#REF!</v>
      </c>
      <c r="AB915" t="e">
        <f ca="1">IF(A915="","",IF(E915="","",#REF!))</f>
        <v>#REF!</v>
      </c>
      <c r="AC915" t="e">
        <f t="shared" ca="1" si="86"/>
        <v>#REF!</v>
      </c>
    </row>
    <row r="916" spans="1:29" x14ac:dyDescent="0.35">
      <c r="A916" t="e" cm="1">
        <f t="array" aca="1" ref="A916" ca="1">IF(A915="","",IF(OR(AND(A915+1&gt;=$AF$1,A915+1&lt;=$AF$2),AND(A915+1&gt;=$AF$6,A915+1&lt;=$AF$7),AND(A915+1&gt;=$AF$3,A915+1&lt;=$AF$4),AND(A915+1&gt;=$AF$8,A915+1&lt;=$AF$9),A915+1=$AF$5),IF(NOT(ISBLANK(INDIRECT("template!"&amp;"P"&amp;A915+1))),A915+1,IF(NOT(ISBLANK(INDIRECT("template!"&amp;"P"&amp;A915+2))),A915+2,A915+3)),IF(A915=$AF$2,$AF$3,IF(A915=$AF$4,$AF$5,IF(A915=$AF$5,$AF$6,IF(A915=$AF$7,$AF$8,""))))))</f>
        <v>#REF!</v>
      </c>
      <c r="B916" t="e">
        <f t="shared" ca="1" si="81"/>
        <v>#REF!</v>
      </c>
      <c r="C916" t="e" cm="1">
        <f t="array" aca="1" ref="C916" ca="1">IF(A916="","",IF(B916="safety","safety costs",INDIRECT("template!"&amp;"B"&amp;A916)))</f>
        <v>#REF!</v>
      </c>
      <c r="D916" t="e" cm="1">
        <f t="array" aca="1" ref="D916" ca="1">IF(OR(A916="",B916="safety"),"",INDIRECT("template!"&amp;"C"&amp;A916))</f>
        <v>#REF!</v>
      </c>
      <c r="E916" t="e" cm="1">
        <f t="array" aca="1" ref="E916" ca="1">IF(A916="","",IF(OR(A916=A915+1,A916=A915+2),E915,INDIRECT("template!"&amp;"D"&amp;A916-2)))</f>
        <v>#REF!</v>
      </c>
      <c r="F916" t="e" cm="1">
        <f t="array" aca="1" ref="F916" ca="1">IF(OR(A916="",B916="safety"),"",IF(ISBLANK(IF(A916=A915+1,F915,INDIRECT("template!"&amp;"D"&amp;A916-1))),"",IF(A916=A915+1,F915,INDIRECT("template!"&amp;"D"&amp;A916-1))))</f>
        <v>#REF!</v>
      </c>
      <c r="G916" t="e" cm="1">
        <f t="array" aca="1" ref="G916" ca="1">IF(OR(A916="",B916="safety"),"",IF(ISBLANK(INDIRECT("template!"&amp;"D"&amp;A916)),"",INDIRECT("template!"&amp;"D"&amp;A916)))</f>
        <v>#REF!</v>
      </c>
      <c r="H916" t="e" cm="1">
        <f t="array" aca="1" ref="H916" ca="1">IF(OR(A916="",B916="safety"),"",IF(ISBLANK(INDIRECT("template!"&amp;"E"&amp;A916)),"",INDIRECT("template!"&amp;"E"&amp;A916)))</f>
        <v>#REF!</v>
      </c>
      <c r="I916" t="e" cm="1">
        <f t="array" aca="1" ref="I916" ca="1">IF(OR(A916="",B916="safety"),"",IF(ISBLANK(INDIRECT("template!"&amp;"F"&amp;A916)),"",INDIRECT("template!"&amp;"F"&amp;A916)))</f>
        <v>#REF!</v>
      </c>
      <c r="J916" t="e" cm="1">
        <f t="array" aca="1" ref="J916" ca="1">IF(OR(A916="",B916="safety"),"",IF(ISBLANK(INDIRECT("template!"&amp;"G"&amp;A916)),"",INDIRECT("template!"&amp;"G"&amp;A916)))</f>
        <v>#REF!</v>
      </c>
      <c r="K916" t="e" cm="1">
        <f t="array" aca="1" ref="K916" ca="1">IF(OR(A916="",B916="safety"),"",IF(ISBLANK(INDIRECT("template!"&amp;"H"&amp;A916)),"",INDIRECT("template!"&amp;"H"&amp;A916)))</f>
        <v>#REF!</v>
      </c>
      <c r="L916" t="e" cm="1">
        <f t="array" aca="1" ref="L916" ca="1">IF(OR(A916="",B916="safety"),"",INDIRECT("template!"&amp;"I"&amp;A916))</f>
        <v>#REF!</v>
      </c>
      <c r="M916" t="e" cm="1">
        <f t="array" aca="1" ref="M916" ca="1">IF(OR(A916="",B916="safety"),"",INDIRECT("template!"&amp;"J"&amp;A916))</f>
        <v>#REF!</v>
      </c>
      <c r="N916" t="e" cm="1">
        <f t="array" aca="1" ref="N916" ca="1">IF(OR(A916="",B916="safety"),"",IF(ISBLANK(INDIRECT("template!"&amp;"K"&amp;A916)),"",INDIRECT("template!"&amp;"K"&amp;A916)))</f>
        <v>#REF!</v>
      </c>
      <c r="O916" t="e" cm="1">
        <f t="array" aca="1" ref="O916" ca="1">IF(OR(A916="",B916="safety"),"",INDIRECT("template!"&amp;"L"&amp;A916))</f>
        <v>#REF!</v>
      </c>
      <c r="P916" t="e" cm="1">
        <f t="array" aca="1" ref="P916" ca="1">IF(OR(A916="",B916="safety"),"",INDIRECT("template!"&amp;"M"&amp;A916))</f>
        <v>#REF!</v>
      </c>
      <c r="Q916" t="e">
        <f t="shared" ca="1" si="82"/>
        <v>#REF!</v>
      </c>
      <c r="R916" t="e">
        <f t="shared" ca="1" si="83"/>
        <v>#REF!</v>
      </c>
      <c r="S916" t="e">
        <f t="shared" ca="1" si="84"/>
        <v>#REF!</v>
      </c>
      <c r="T916" t="e">
        <f t="shared" ca="1" si="85"/>
        <v>#REF!</v>
      </c>
      <c r="U916" t="e" cm="1">
        <f t="array" aca="1" ref="U916" ca="1">IF(A916="","",IF(E916="","",IF(B916="safety",INDIRECT("template!"&amp;"P"&amp;A916),Q916+R916)))</f>
        <v>#REF!</v>
      </c>
      <c r="V916" t="e" cm="1">
        <f t="array" aca="1" ref="V916" ca="1">IF(A916="","",IF(E916="","",IF(B916="safety",INDIRECT("template!"&amp;"P"&amp;A916),S916+T916)))</f>
        <v>#REF!</v>
      </c>
      <c r="W916" t="e">
        <f ca="1">IF(A916="","",IF(E916="","",#REF!))</f>
        <v>#REF!</v>
      </c>
      <c r="X916" t="e">
        <f ca="1">IF(A916="","",IF(E916="","",#REF!))</f>
        <v>#REF!</v>
      </c>
      <c r="Y916" s="39" t="e">
        <f ca="1">IF(A916="","",IF(E916="","",#REF!))</f>
        <v>#REF!</v>
      </c>
      <c r="Z916" t="e">
        <f ca="1">IF(A916="","",IF(E916="","",#REF!))</f>
        <v>#REF!</v>
      </c>
      <c r="AA916" t="e">
        <f ca="1">IF(A916="","",IF(E916="","",#REF!))</f>
        <v>#REF!</v>
      </c>
      <c r="AB916" t="e">
        <f ca="1">IF(A916="","",IF(E916="","",#REF!))</f>
        <v>#REF!</v>
      </c>
      <c r="AC916" t="e">
        <f t="shared" ca="1" si="86"/>
        <v>#REF!</v>
      </c>
    </row>
    <row r="917" spans="1:29" x14ac:dyDescent="0.35">
      <c r="A917" t="e" cm="1">
        <f t="array" aca="1" ref="A917" ca="1">IF(A916="","",IF(OR(AND(A916+1&gt;=$AF$1,A916+1&lt;=$AF$2),AND(A916+1&gt;=$AF$6,A916+1&lt;=$AF$7),AND(A916+1&gt;=$AF$3,A916+1&lt;=$AF$4),AND(A916+1&gt;=$AF$8,A916+1&lt;=$AF$9),A916+1=$AF$5),IF(NOT(ISBLANK(INDIRECT("template!"&amp;"P"&amp;A916+1))),A916+1,IF(NOT(ISBLANK(INDIRECT("template!"&amp;"P"&amp;A916+2))),A916+2,A916+3)),IF(A916=$AF$2,$AF$3,IF(A916=$AF$4,$AF$5,IF(A916=$AF$5,$AF$6,IF(A916=$AF$7,$AF$8,""))))))</f>
        <v>#REF!</v>
      </c>
      <c r="B917" t="e">
        <f t="shared" ca="1" si="81"/>
        <v>#REF!</v>
      </c>
      <c r="C917" t="e" cm="1">
        <f t="array" aca="1" ref="C917" ca="1">IF(A917="","",IF(B917="safety","safety costs",INDIRECT("template!"&amp;"B"&amp;A917)))</f>
        <v>#REF!</v>
      </c>
      <c r="D917" t="e" cm="1">
        <f t="array" aca="1" ref="D917" ca="1">IF(OR(A917="",B917="safety"),"",INDIRECT("template!"&amp;"C"&amp;A917))</f>
        <v>#REF!</v>
      </c>
      <c r="E917" t="e" cm="1">
        <f t="array" aca="1" ref="E917" ca="1">IF(A917="","",IF(OR(A917=A916+1,A917=A916+2),E916,INDIRECT("template!"&amp;"D"&amp;A917-2)))</f>
        <v>#REF!</v>
      </c>
      <c r="F917" t="e" cm="1">
        <f t="array" aca="1" ref="F917" ca="1">IF(OR(A917="",B917="safety"),"",IF(ISBLANK(IF(A917=A916+1,F916,INDIRECT("template!"&amp;"D"&amp;A917-1))),"",IF(A917=A916+1,F916,INDIRECT("template!"&amp;"D"&amp;A917-1))))</f>
        <v>#REF!</v>
      </c>
      <c r="G917" t="e" cm="1">
        <f t="array" aca="1" ref="G917" ca="1">IF(OR(A917="",B917="safety"),"",IF(ISBLANK(INDIRECT("template!"&amp;"D"&amp;A917)),"",INDIRECT("template!"&amp;"D"&amp;A917)))</f>
        <v>#REF!</v>
      </c>
      <c r="H917" t="e" cm="1">
        <f t="array" aca="1" ref="H917" ca="1">IF(OR(A917="",B917="safety"),"",IF(ISBLANK(INDIRECT("template!"&amp;"E"&amp;A917)),"",INDIRECT("template!"&amp;"E"&amp;A917)))</f>
        <v>#REF!</v>
      </c>
      <c r="I917" t="e" cm="1">
        <f t="array" aca="1" ref="I917" ca="1">IF(OR(A917="",B917="safety"),"",IF(ISBLANK(INDIRECT("template!"&amp;"F"&amp;A917)),"",INDIRECT("template!"&amp;"F"&amp;A917)))</f>
        <v>#REF!</v>
      </c>
      <c r="J917" t="e" cm="1">
        <f t="array" aca="1" ref="J917" ca="1">IF(OR(A917="",B917="safety"),"",IF(ISBLANK(INDIRECT("template!"&amp;"G"&amp;A917)),"",INDIRECT("template!"&amp;"G"&amp;A917)))</f>
        <v>#REF!</v>
      </c>
      <c r="K917" t="e" cm="1">
        <f t="array" aca="1" ref="K917" ca="1">IF(OR(A917="",B917="safety"),"",IF(ISBLANK(INDIRECT("template!"&amp;"H"&amp;A917)),"",INDIRECT("template!"&amp;"H"&amp;A917)))</f>
        <v>#REF!</v>
      </c>
      <c r="L917" t="e" cm="1">
        <f t="array" aca="1" ref="L917" ca="1">IF(OR(A917="",B917="safety"),"",INDIRECT("template!"&amp;"I"&amp;A917))</f>
        <v>#REF!</v>
      </c>
      <c r="M917" t="e" cm="1">
        <f t="array" aca="1" ref="M917" ca="1">IF(OR(A917="",B917="safety"),"",INDIRECT("template!"&amp;"J"&amp;A917))</f>
        <v>#REF!</v>
      </c>
      <c r="N917" t="e" cm="1">
        <f t="array" aca="1" ref="N917" ca="1">IF(OR(A917="",B917="safety"),"",IF(ISBLANK(INDIRECT("template!"&amp;"K"&amp;A917)),"",INDIRECT("template!"&amp;"K"&amp;A917)))</f>
        <v>#REF!</v>
      </c>
      <c r="O917" t="e" cm="1">
        <f t="array" aca="1" ref="O917" ca="1">IF(OR(A917="",B917="safety"),"",INDIRECT("template!"&amp;"L"&amp;A917))</f>
        <v>#REF!</v>
      </c>
      <c r="P917" t="e" cm="1">
        <f t="array" aca="1" ref="P917" ca="1">IF(OR(A917="",B917="safety"),"",INDIRECT("template!"&amp;"M"&amp;A917))</f>
        <v>#REF!</v>
      </c>
      <c r="Q917" t="e">
        <f t="shared" ca="1" si="82"/>
        <v>#REF!</v>
      </c>
      <c r="R917" t="e">
        <f t="shared" ca="1" si="83"/>
        <v>#REF!</v>
      </c>
      <c r="S917" t="e">
        <f t="shared" ca="1" si="84"/>
        <v>#REF!</v>
      </c>
      <c r="T917" t="e">
        <f t="shared" ca="1" si="85"/>
        <v>#REF!</v>
      </c>
      <c r="U917" t="e" cm="1">
        <f t="array" aca="1" ref="U917" ca="1">IF(A917="","",IF(E917="","",IF(B917="safety",INDIRECT("template!"&amp;"P"&amp;A917),Q917+R917)))</f>
        <v>#REF!</v>
      </c>
      <c r="V917" t="e" cm="1">
        <f t="array" aca="1" ref="V917" ca="1">IF(A917="","",IF(E917="","",IF(B917="safety",INDIRECT("template!"&amp;"P"&amp;A917),S917+T917)))</f>
        <v>#REF!</v>
      </c>
      <c r="W917" t="e">
        <f ca="1">IF(A917="","",IF(E917="","",#REF!))</f>
        <v>#REF!</v>
      </c>
      <c r="X917" t="e">
        <f ca="1">IF(A917="","",IF(E917="","",#REF!))</f>
        <v>#REF!</v>
      </c>
      <c r="Y917" s="39" t="e">
        <f ca="1">IF(A917="","",IF(E917="","",#REF!))</f>
        <v>#REF!</v>
      </c>
      <c r="Z917" t="e">
        <f ca="1">IF(A917="","",IF(E917="","",#REF!))</f>
        <v>#REF!</v>
      </c>
      <c r="AA917" t="e">
        <f ca="1">IF(A917="","",IF(E917="","",#REF!))</f>
        <v>#REF!</v>
      </c>
      <c r="AB917" t="e">
        <f ca="1">IF(A917="","",IF(E917="","",#REF!))</f>
        <v>#REF!</v>
      </c>
      <c r="AC917" t="e">
        <f t="shared" ca="1" si="86"/>
        <v>#REF!</v>
      </c>
    </row>
    <row r="918" spans="1:29" x14ac:dyDescent="0.35">
      <c r="A918" t="e" cm="1">
        <f t="array" aca="1" ref="A918" ca="1">IF(A917="","",IF(OR(AND(A917+1&gt;=$AF$1,A917+1&lt;=$AF$2),AND(A917+1&gt;=$AF$6,A917+1&lt;=$AF$7),AND(A917+1&gt;=$AF$3,A917+1&lt;=$AF$4),AND(A917+1&gt;=$AF$8,A917+1&lt;=$AF$9),A917+1=$AF$5),IF(NOT(ISBLANK(INDIRECT("template!"&amp;"P"&amp;A917+1))),A917+1,IF(NOT(ISBLANK(INDIRECT("template!"&amp;"P"&amp;A917+2))),A917+2,A917+3)),IF(A917=$AF$2,$AF$3,IF(A917=$AF$4,$AF$5,IF(A917=$AF$5,$AF$6,IF(A917=$AF$7,$AF$8,""))))))</f>
        <v>#REF!</v>
      </c>
      <c r="B918" t="e">
        <f t="shared" ca="1" si="81"/>
        <v>#REF!</v>
      </c>
      <c r="C918" t="e" cm="1">
        <f t="array" aca="1" ref="C918" ca="1">IF(A918="","",IF(B918="safety","safety costs",INDIRECT("template!"&amp;"B"&amp;A918)))</f>
        <v>#REF!</v>
      </c>
      <c r="D918" t="e" cm="1">
        <f t="array" aca="1" ref="D918" ca="1">IF(OR(A918="",B918="safety"),"",INDIRECT("template!"&amp;"C"&amp;A918))</f>
        <v>#REF!</v>
      </c>
      <c r="E918" t="e" cm="1">
        <f t="array" aca="1" ref="E918" ca="1">IF(A918="","",IF(OR(A918=A917+1,A918=A917+2),E917,INDIRECT("template!"&amp;"D"&amp;A918-2)))</f>
        <v>#REF!</v>
      </c>
      <c r="F918" t="e" cm="1">
        <f t="array" aca="1" ref="F918" ca="1">IF(OR(A918="",B918="safety"),"",IF(ISBLANK(IF(A918=A917+1,F917,INDIRECT("template!"&amp;"D"&amp;A918-1))),"",IF(A918=A917+1,F917,INDIRECT("template!"&amp;"D"&amp;A918-1))))</f>
        <v>#REF!</v>
      </c>
      <c r="G918" t="e" cm="1">
        <f t="array" aca="1" ref="G918" ca="1">IF(OR(A918="",B918="safety"),"",IF(ISBLANK(INDIRECT("template!"&amp;"D"&amp;A918)),"",INDIRECT("template!"&amp;"D"&amp;A918)))</f>
        <v>#REF!</v>
      </c>
      <c r="H918" t="e" cm="1">
        <f t="array" aca="1" ref="H918" ca="1">IF(OR(A918="",B918="safety"),"",IF(ISBLANK(INDIRECT("template!"&amp;"E"&amp;A918)),"",INDIRECT("template!"&amp;"E"&amp;A918)))</f>
        <v>#REF!</v>
      </c>
      <c r="I918" t="e" cm="1">
        <f t="array" aca="1" ref="I918" ca="1">IF(OR(A918="",B918="safety"),"",IF(ISBLANK(INDIRECT("template!"&amp;"F"&amp;A918)),"",INDIRECT("template!"&amp;"F"&amp;A918)))</f>
        <v>#REF!</v>
      </c>
      <c r="J918" t="e" cm="1">
        <f t="array" aca="1" ref="J918" ca="1">IF(OR(A918="",B918="safety"),"",IF(ISBLANK(INDIRECT("template!"&amp;"G"&amp;A918)),"",INDIRECT("template!"&amp;"G"&amp;A918)))</f>
        <v>#REF!</v>
      </c>
      <c r="K918" t="e" cm="1">
        <f t="array" aca="1" ref="K918" ca="1">IF(OR(A918="",B918="safety"),"",IF(ISBLANK(INDIRECT("template!"&amp;"H"&amp;A918)),"",INDIRECT("template!"&amp;"H"&amp;A918)))</f>
        <v>#REF!</v>
      </c>
      <c r="L918" t="e" cm="1">
        <f t="array" aca="1" ref="L918" ca="1">IF(OR(A918="",B918="safety"),"",INDIRECT("template!"&amp;"I"&amp;A918))</f>
        <v>#REF!</v>
      </c>
      <c r="M918" t="e" cm="1">
        <f t="array" aca="1" ref="M918" ca="1">IF(OR(A918="",B918="safety"),"",INDIRECT("template!"&amp;"J"&amp;A918))</f>
        <v>#REF!</v>
      </c>
      <c r="N918" t="e" cm="1">
        <f t="array" aca="1" ref="N918" ca="1">IF(OR(A918="",B918="safety"),"",IF(ISBLANK(INDIRECT("template!"&amp;"K"&amp;A918)),"",INDIRECT("template!"&amp;"K"&amp;A918)))</f>
        <v>#REF!</v>
      </c>
      <c r="O918" t="e" cm="1">
        <f t="array" aca="1" ref="O918" ca="1">IF(OR(A918="",B918="safety"),"",INDIRECT("template!"&amp;"L"&amp;A918))</f>
        <v>#REF!</v>
      </c>
      <c r="P918" t="e" cm="1">
        <f t="array" aca="1" ref="P918" ca="1">IF(OR(A918="",B918="safety"),"",INDIRECT("template!"&amp;"M"&amp;A918))</f>
        <v>#REF!</v>
      </c>
      <c r="Q918" t="e">
        <f t="shared" ca="1" si="82"/>
        <v>#REF!</v>
      </c>
      <c r="R918" t="e">
        <f t="shared" ca="1" si="83"/>
        <v>#REF!</v>
      </c>
      <c r="S918" t="e">
        <f t="shared" ca="1" si="84"/>
        <v>#REF!</v>
      </c>
      <c r="T918" t="e">
        <f t="shared" ca="1" si="85"/>
        <v>#REF!</v>
      </c>
      <c r="U918" t="e" cm="1">
        <f t="array" aca="1" ref="U918" ca="1">IF(A918="","",IF(E918="","",IF(B918="safety",INDIRECT("template!"&amp;"P"&amp;A918),Q918+R918)))</f>
        <v>#REF!</v>
      </c>
      <c r="V918" t="e" cm="1">
        <f t="array" aca="1" ref="V918" ca="1">IF(A918="","",IF(E918="","",IF(B918="safety",INDIRECT("template!"&amp;"P"&amp;A918),S918+T918)))</f>
        <v>#REF!</v>
      </c>
      <c r="W918" t="e">
        <f ca="1">IF(A918="","",IF(E918="","",#REF!))</f>
        <v>#REF!</v>
      </c>
      <c r="X918" t="e">
        <f ca="1">IF(A918="","",IF(E918="","",#REF!))</f>
        <v>#REF!</v>
      </c>
      <c r="Y918" s="39" t="e">
        <f ca="1">IF(A918="","",IF(E918="","",#REF!))</f>
        <v>#REF!</v>
      </c>
      <c r="Z918" t="e">
        <f ca="1">IF(A918="","",IF(E918="","",#REF!))</f>
        <v>#REF!</v>
      </c>
      <c r="AA918" t="e">
        <f ca="1">IF(A918="","",IF(E918="","",#REF!))</f>
        <v>#REF!</v>
      </c>
      <c r="AB918" t="e">
        <f ca="1">IF(A918="","",IF(E918="","",#REF!))</f>
        <v>#REF!</v>
      </c>
      <c r="AC918" t="e">
        <f t="shared" ca="1" si="86"/>
        <v>#REF!</v>
      </c>
    </row>
    <row r="919" spans="1:29" x14ac:dyDescent="0.35">
      <c r="A919" t="e" cm="1">
        <f t="array" aca="1" ref="A919" ca="1">IF(A918="","",IF(OR(AND(A918+1&gt;=$AF$1,A918+1&lt;=$AF$2),AND(A918+1&gt;=$AF$6,A918+1&lt;=$AF$7),AND(A918+1&gt;=$AF$3,A918+1&lt;=$AF$4),AND(A918+1&gt;=$AF$8,A918+1&lt;=$AF$9),A918+1=$AF$5),IF(NOT(ISBLANK(INDIRECT("template!"&amp;"P"&amp;A918+1))),A918+1,IF(NOT(ISBLANK(INDIRECT("template!"&amp;"P"&amp;A918+2))),A918+2,A918+3)),IF(A918=$AF$2,$AF$3,IF(A918=$AF$4,$AF$5,IF(A918=$AF$5,$AF$6,IF(A918=$AF$7,$AF$8,""))))))</f>
        <v>#REF!</v>
      </c>
      <c r="B919" t="e">
        <f t="shared" ca="1" si="81"/>
        <v>#REF!</v>
      </c>
      <c r="C919" t="e" cm="1">
        <f t="array" aca="1" ref="C919" ca="1">IF(A919="","",IF(B919="safety","safety costs",INDIRECT("template!"&amp;"B"&amp;A919)))</f>
        <v>#REF!</v>
      </c>
      <c r="D919" t="e" cm="1">
        <f t="array" aca="1" ref="D919" ca="1">IF(OR(A919="",B919="safety"),"",INDIRECT("template!"&amp;"C"&amp;A919))</f>
        <v>#REF!</v>
      </c>
      <c r="E919" t="e" cm="1">
        <f t="array" aca="1" ref="E919" ca="1">IF(A919="","",IF(OR(A919=A918+1,A919=A918+2),E918,INDIRECT("template!"&amp;"D"&amp;A919-2)))</f>
        <v>#REF!</v>
      </c>
      <c r="F919" t="e" cm="1">
        <f t="array" aca="1" ref="F919" ca="1">IF(OR(A919="",B919="safety"),"",IF(ISBLANK(IF(A919=A918+1,F918,INDIRECT("template!"&amp;"D"&amp;A919-1))),"",IF(A919=A918+1,F918,INDIRECT("template!"&amp;"D"&amp;A919-1))))</f>
        <v>#REF!</v>
      </c>
      <c r="G919" t="e" cm="1">
        <f t="array" aca="1" ref="G919" ca="1">IF(OR(A919="",B919="safety"),"",IF(ISBLANK(INDIRECT("template!"&amp;"D"&amp;A919)),"",INDIRECT("template!"&amp;"D"&amp;A919)))</f>
        <v>#REF!</v>
      </c>
      <c r="H919" t="e" cm="1">
        <f t="array" aca="1" ref="H919" ca="1">IF(OR(A919="",B919="safety"),"",IF(ISBLANK(INDIRECT("template!"&amp;"E"&amp;A919)),"",INDIRECT("template!"&amp;"E"&amp;A919)))</f>
        <v>#REF!</v>
      </c>
      <c r="I919" t="e" cm="1">
        <f t="array" aca="1" ref="I919" ca="1">IF(OR(A919="",B919="safety"),"",IF(ISBLANK(INDIRECT("template!"&amp;"F"&amp;A919)),"",INDIRECT("template!"&amp;"F"&amp;A919)))</f>
        <v>#REF!</v>
      </c>
      <c r="J919" t="e" cm="1">
        <f t="array" aca="1" ref="J919" ca="1">IF(OR(A919="",B919="safety"),"",IF(ISBLANK(INDIRECT("template!"&amp;"G"&amp;A919)),"",INDIRECT("template!"&amp;"G"&amp;A919)))</f>
        <v>#REF!</v>
      </c>
      <c r="K919" t="e" cm="1">
        <f t="array" aca="1" ref="K919" ca="1">IF(OR(A919="",B919="safety"),"",IF(ISBLANK(INDIRECT("template!"&amp;"H"&amp;A919)),"",INDIRECT("template!"&amp;"H"&amp;A919)))</f>
        <v>#REF!</v>
      </c>
      <c r="L919" t="e" cm="1">
        <f t="array" aca="1" ref="L919" ca="1">IF(OR(A919="",B919="safety"),"",INDIRECT("template!"&amp;"I"&amp;A919))</f>
        <v>#REF!</v>
      </c>
      <c r="M919" t="e" cm="1">
        <f t="array" aca="1" ref="M919" ca="1">IF(OR(A919="",B919="safety"),"",INDIRECT("template!"&amp;"J"&amp;A919))</f>
        <v>#REF!</v>
      </c>
      <c r="N919" t="e" cm="1">
        <f t="array" aca="1" ref="N919" ca="1">IF(OR(A919="",B919="safety"),"",IF(ISBLANK(INDIRECT("template!"&amp;"K"&amp;A919)),"",INDIRECT("template!"&amp;"K"&amp;A919)))</f>
        <v>#REF!</v>
      </c>
      <c r="O919" t="e" cm="1">
        <f t="array" aca="1" ref="O919" ca="1">IF(OR(A919="",B919="safety"),"",INDIRECT("template!"&amp;"L"&amp;A919))</f>
        <v>#REF!</v>
      </c>
      <c r="P919" t="e" cm="1">
        <f t="array" aca="1" ref="P919" ca="1">IF(OR(A919="",B919="safety"),"",INDIRECT("template!"&amp;"M"&amp;A919))</f>
        <v>#REF!</v>
      </c>
      <c r="Q919" t="e">
        <f t="shared" ca="1" si="82"/>
        <v>#REF!</v>
      </c>
      <c r="R919" t="e">
        <f t="shared" ca="1" si="83"/>
        <v>#REF!</v>
      </c>
      <c r="S919" t="e">
        <f t="shared" ca="1" si="84"/>
        <v>#REF!</v>
      </c>
      <c r="T919" t="e">
        <f t="shared" ca="1" si="85"/>
        <v>#REF!</v>
      </c>
      <c r="U919" t="e" cm="1">
        <f t="array" aca="1" ref="U919" ca="1">IF(A919="","",IF(E919="","",IF(B919="safety",INDIRECT("template!"&amp;"P"&amp;A919),Q919+R919)))</f>
        <v>#REF!</v>
      </c>
      <c r="V919" t="e" cm="1">
        <f t="array" aca="1" ref="V919" ca="1">IF(A919="","",IF(E919="","",IF(B919="safety",INDIRECT("template!"&amp;"P"&amp;A919),S919+T919)))</f>
        <v>#REF!</v>
      </c>
      <c r="W919" t="e">
        <f ca="1">IF(A919="","",IF(E919="","",#REF!))</f>
        <v>#REF!</v>
      </c>
      <c r="X919" t="e">
        <f ca="1">IF(A919="","",IF(E919="","",#REF!))</f>
        <v>#REF!</v>
      </c>
      <c r="Y919" s="39" t="e">
        <f ca="1">IF(A919="","",IF(E919="","",#REF!))</f>
        <v>#REF!</v>
      </c>
      <c r="Z919" t="e">
        <f ca="1">IF(A919="","",IF(E919="","",#REF!))</f>
        <v>#REF!</v>
      </c>
      <c r="AA919" t="e">
        <f ca="1">IF(A919="","",IF(E919="","",#REF!))</f>
        <v>#REF!</v>
      </c>
      <c r="AB919" t="e">
        <f ca="1">IF(A919="","",IF(E919="","",#REF!))</f>
        <v>#REF!</v>
      </c>
      <c r="AC919" t="e">
        <f t="shared" ca="1" si="86"/>
        <v>#REF!</v>
      </c>
    </row>
    <row r="920" spans="1:29" x14ac:dyDescent="0.35">
      <c r="A920" t="e" cm="1">
        <f t="array" aca="1" ref="A920" ca="1">IF(A919="","",IF(OR(AND(A919+1&gt;=$AF$1,A919+1&lt;=$AF$2),AND(A919+1&gt;=$AF$6,A919+1&lt;=$AF$7),AND(A919+1&gt;=$AF$3,A919+1&lt;=$AF$4),AND(A919+1&gt;=$AF$8,A919+1&lt;=$AF$9),A919+1=$AF$5),IF(NOT(ISBLANK(INDIRECT("template!"&amp;"P"&amp;A919+1))),A919+1,IF(NOT(ISBLANK(INDIRECT("template!"&amp;"P"&amp;A919+2))),A919+2,A919+3)),IF(A919=$AF$2,$AF$3,IF(A919=$AF$4,$AF$5,IF(A919=$AF$5,$AF$6,IF(A919=$AF$7,$AF$8,""))))))</f>
        <v>#REF!</v>
      </c>
      <c r="B920" t="e">
        <f t="shared" ca="1" si="81"/>
        <v>#REF!</v>
      </c>
      <c r="C920" t="e" cm="1">
        <f t="array" aca="1" ref="C920" ca="1">IF(A920="","",IF(B920="safety","safety costs",INDIRECT("template!"&amp;"B"&amp;A920)))</f>
        <v>#REF!</v>
      </c>
      <c r="D920" t="e" cm="1">
        <f t="array" aca="1" ref="D920" ca="1">IF(OR(A920="",B920="safety"),"",INDIRECT("template!"&amp;"C"&amp;A920))</f>
        <v>#REF!</v>
      </c>
      <c r="E920" t="e" cm="1">
        <f t="array" aca="1" ref="E920" ca="1">IF(A920="","",IF(OR(A920=A919+1,A920=A919+2),E919,INDIRECT("template!"&amp;"D"&amp;A920-2)))</f>
        <v>#REF!</v>
      </c>
      <c r="F920" t="e" cm="1">
        <f t="array" aca="1" ref="F920" ca="1">IF(OR(A920="",B920="safety"),"",IF(ISBLANK(IF(A920=A919+1,F919,INDIRECT("template!"&amp;"D"&amp;A920-1))),"",IF(A920=A919+1,F919,INDIRECT("template!"&amp;"D"&amp;A920-1))))</f>
        <v>#REF!</v>
      </c>
      <c r="G920" t="e" cm="1">
        <f t="array" aca="1" ref="G920" ca="1">IF(OR(A920="",B920="safety"),"",IF(ISBLANK(INDIRECT("template!"&amp;"D"&amp;A920)),"",INDIRECT("template!"&amp;"D"&amp;A920)))</f>
        <v>#REF!</v>
      </c>
      <c r="H920" t="e" cm="1">
        <f t="array" aca="1" ref="H920" ca="1">IF(OR(A920="",B920="safety"),"",IF(ISBLANK(INDIRECT("template!"&amp;"E"&amp;A920)),"",INDIRECT("template!"&amp;"E"&amp;A920)))</f>
        <v>#REF!</v>
      </c>
      <c r="I920" t="e" cm="1">
        <f t="array" aca="1" ref="I920" ca="1">IF(OR(A920="",B920="safety"),"",IF(ISBLANK(INDIRECT("template!"&amp;"F"&amp;A920)),"",INDIRECT("template!"&amp;"F"&amp;A920)))</f>
        <v>#REF!</v>
      </c>
      <c r="J920" t="e" cm="1">
        <f t="array" aca="1" ref="J920" ca="1">IF(OR(A920="",B920="safety"),"",IF(ISBLANK(INDIRECT("template!"&amp;"G"&amp;A920)),"",INDIRECT("template!"&amp;"G"&amp;A920)))</f>
        <v>#REF!</v>
      </c>
      <c r="K920" t="e" cm="1">
        <f t="array" aca="1" ref="K920" ca="1">IF(OR(A920="",B920="safety"),"",IF(ISBLANK(INDIRECT("template!"&amp;"H"&amp;A920)),"",INDIRECT("template!"&amp;"H"&amp;A920)))</f>
        <v>#REF!</v>
      </c>
      <c r="L920" t="e" cm="1">
        <f t="array" aca="1" ref="L920" ca="1">IF(OR(A920="",B920="safety"),"",INDIRECT("template!"&amp;"I"&amp;A920))</f>
        <v>#REF!</v>
      </c>
      <c r="M920" t="e" cm="1">
        <f t="array" aca="1" ref="M920" ca="1">IF(OR(A920="",B920="safety"),"",INDIRECT("template!"&amp;"J"&amp;A920))</f>
        <v>#REF!</v>
      </c>
      <c r="N920" t="e" cm="1">
        <f t="array" aca="1" ref="N920" ca="1">IF(OR(A920="",B920="safety"),"",IF(ISBLANK(INDIRECT("template!"&amp;"K"&amp;A920)),"",INDIRECT("template!"&amp;"K"&amp;A920)))</f>
        <v>#REF!</v>
      </c>
      <c r="O920" t="e" cm="1">
        <f t="array" aca="1" ref="O920" ca="1">IF(OR(A920="",B920="safety"),"",INDIRECT("template!"&amp;"L"&amp;A920))</f>
        <v>#REF!</v>
      </c>
      <c r="P920" t="e" cm="1">
        <f t="array" aca="1" ref="P920" ca="1">IF(OR(A920="",B920="safety"),"",INDIRECT("template!"&amp;"M"&amp;A920))</f>
        <v>#REF!</v>
      </c>
      <c r="Q920" t="e">
        <f t="shared" ca="1" si="82"/>
        <v>#REF!</v>
      </c>
      <c r="R920" t="e">
        <f t="shared" ca="1" si="83"/>
        <v>#REF!</v>
      </c>
      <c r="S920" t="e">
        <f t="shared" ca="1" si="84"/>
        <v>#REF!</v>
      </c>
      <c r="T920" t="e">
        <f t="shared" ca="1" si="85"/>
        <v>#REF!</v>
      </c>
      <c r="U920" t="e" cm="1">
        <f t="array" aca="1" ref="U920" ca="1">IF(A920="","",IF(E920="","",IF(B920="safety",INDIRECT("template!"&amp;"P"&amp;A920),Q920+R920)))</f>
        <v>#REF!</v>
      </c>
      <c r="V920" t="e" cm="1">
        <f t="array" aca="1" ref="V920" ca="1">IF(A920="","",IF(E920="","",IF(B920="safety",INDIRECT("template!"&amp;"P"&amp;A920),S920+T920)))</f>
        <v>#REF!</v>
      </c>
      <c r="W920" t="e">
        <f ca="1">IF(A920="","",IF(E920="","",#REF!))</f>
        <v>#REF!</v>
      </c>
      <c r="X920" t="e">
        <f ca="1">IF(A920="","",IF(E920="","",#REF!))</f>
        <v>#REF!</v>
      </c>
      <c r="Y920" s="39" t="e">
        <f ca="1">IF(A920="","",IF(E920="","",#REF!))</f>
        <v>#REF!</v>
      </c>
      <c r="Z920" t="e">
        <f ca="1">IF(A920="","",IF(E920="","",#REF!))</f>
        <v>#REF!</v>
      </c>
      <c r="AA920" t="e">
        <f ca="1">IF(A920="","",IF(E920="","",#REF!))</f>
        <v>#REF!</v>
      </c>
      <c r="AB920" t="e">
        <f ca="1">IF(A920="","",IF(E920="","",#REF!))</f>
        <v>#REF!</v>
      </c>
      <c r="AC920" t="e">
        <f t="shared" ca="1" si="86"/>
        <v>#REF!</v>
      </c>
    </row>
    <row r="921" spans="1:29" x14ac:dyDescent="0.35">
      <c r="A921" t="e" cm="1">
        <f t="array" aca="1" ref="A921" ca="1">IF(A920="","",IF(OR(AND(A920+1&gt;=$AF$1,A920+1&lt;=$AF$2),AND(A920+1&gt;=$AF$6,A920+1&lt;=$AF$7),AND(A920+1&gt;=$AF$3,A920+1&lt;=$AF$4),AND(A920+1&gt;=$AF$8,A920+1&lt;=$AF$9),A920+1=$AF$5),IF(NOT(ISBLANK(INDIRECT("template!"&amp;"P"&amp;A920+1))),A920+1,IF(NOT(ISBLANK(INDIRECT("template!"&amp;"P"&amp;A920+2))),A920+2,A920+3)),IF(A920=$AF$2,$AF$3,IF(A920=$AF$4,$AF$5,IF(A920=$AF$5,$AF$6,IF(A920=$AF$7,$AF$8,""))))))</f>
        <v>#REF!</v>
      </c>
      <c r="B921" t="e">
        <f t="shared" ca="1" si="81"/>
        <v>#REF!</v>
      </c>
      <c r="C921" t="e" cm="1">
        <f t="array" aca="1" ref="C921" ca="1">IF(A921="","",IF(B921="safety","safety costs",INDIRECT("template!"&amp;"B"&amp;A921)))</f>
        <v>#REF!</v>
      </c>
      <c r="D921" t="e" cm="1">
        <f t="array" aca="1" ref="D921" ca="1">IF(OR(A921="",B921="safety"),"",INDIRECT("template!"&amp;"C"&amp;A921))</f>
        <v>#REF!</v>
      </c>
      <c r="E921" t="e" cm="1">
        <f t="array" aca="1" ref="E921" ca="1">IF(A921="","",IF(OR(A921=A920+1,A921=A920+2),E920,INDIRECT("template!"&amp;"D"&amp;A921-2)))</f>
        <v>#REF!</v>
      </c>
      <c r="F921" t="e" cm="1">
        <f t="array" aca="1" ref="F921" ca="1">IF(OR(A921="",B921="safety"),"",IF(ISBLANK(IF(A921=A920+1,F920,INDIRECT("template!"&amp;"D"&amp;A921-1))),"",IF(A921=A920+1,F920,INDIRECT("template!"&amp;"D"&amp;A921-1))))</f>
        <v>#REF!</v>
      </c>
      <c r="G921" t="e" cm="1">
        <f t="array" aca="1" ref="G921" ca="1">IF(OR(A921="",B921="safety"),"",IF(ISBLANK(INDIRECT("template!"&amp;"D"&amp;A921)),"",INDIRECT("template!"&amp;"D"&amp;A921)))</f>
        <v>#REF!</v>
      </c>
      <c r="H921" t="e" cm="1">
        <f t="array" aca="1" ref="H921" ca="1">IF(OR(A921="",B921="safety"),"",IF(ISBLANK(INDIRECT("template!"&amp;"E"&amp;A921)),"",INDIRECT("template!"&amp;"E"&amp;A921)))</f>
        <v>#REF!</v>
      </c>
      <c r="I921" t="e" cm="1">
        <f t="array" aca="1" ref="I921" ca="1">IF(OR(A921="",B921="safety"),"",IF(ISBLANK(INDIRECT("template!"&amp;"F"&amp;A921)),"",INDIRECT("template!"&amp;"F"&amp;A921)))</f>
        <v>#REF!</v>
      </c>
      <c r="J921" t="e" cm="1">
        <f t="array" aca="1" ref="J921" ca="1">IF(OR(A921="",B921="safety"),"",IF(ISBLANK(INDIRECT("template!"&amp;"G"&amp;A921)),"",INDIRECT("template!"&amp;"G"&amp;A921)))</f>
        <v>#REF!</v>
      </c>
      <c r="K921" t="e" cm="1">
        <f t="array" aca="1" ref="K921" ca="1">IF(OR(A921="",B921="safety"),"",IF(ISBLANK(INDIRECT("template!"&amp;"H"&amp;A921)),"",INDIRECT("template!"&amp;"H"&amp;A921)))</f>
        <v>#REF!</v>
      </c>
      <c r="L921" t="e" cm="1">
        <f t="array" aca="1" ref="L921" ca="1">IF(OR(A921="",B921="safety"),"",INDIRECT("template!"&amp;"I"&amp;A921))</f>
        <v>#REF!</v>
      </c>
      <c r="M921" t="e" cm="1">
        <f t="array" aca="1" ref="M921" ca="1">IF(OR(A921="",B921="safety"),"",INDIRECT("template!"&amp;"J"&amp;A921))</f>
        <v>#REF!</v>
      </c>
      <c r="N921" t="e" cm="1">
        <f t="array" aca="1" ref="N921" ca="1">IF(OR(A921="",B921="safety"),"",IF(ISBLANK(INDIRECT("template!"&amp;"K"&amp;A921)),"",INDIRECT("template!"&amp;"K"&amp;A921)))</f>
        <v>#REF!</v>
      </c>
      <c r="O921" t="e" cm="1">
        <f t="array" aca="1" ref="O921" ca="1">IF(OR(A921="",B921="safety"),"",INDIRECT("template!"&amp;"L"&amp;A921))</f>
        <v>#REF!</v>
      </c>
      <c r="P921" t="e" cm="1">
        <f t="array" aca="1" ref="P921" ca="1">IF(OR(A921="",B921="safety"),"",INDIRECT("template!"&amp;"M"&amp;A921))</f>
        <v>#REF!</v>
      </c>
      <c r="Q921" t="e">
        <f t="shared" ca="1" si="82"/>
        <v>#REF!</v>
      </c>
      <c r="R921" t="e">
        <f t="shared" ca="1" si="83"/>
        <v>#REF!</v>
      </c>
      <c r="S921" t="e">
        <f t="shared" ca="1" si="84"/>
        <v>#REF!</v>
      </c>
      <c r="T921" t="e">
        <f t="shared" ca="1" si="85"/>
        <v>#REF!</v>
      </c>
      <c r="U921" t="e" cm="1">
        <f t="array" aca="1" ref="U921" ca="1">IF(A921="","",IF(E921="","",IF(B921="safety",INDIRECT("template!"&amp;"P"&amp;A921),Q921+R921)))</f>
        <v>#REF!</v>
      </c>
      <c r="V921" t="e" cm="1">
        <f t="array" aca="1" ref="V921" ca="1">IF(A921="","",IF(E921="","",IF(B921="safety",INDIRECT("template!"&amp;"P"&amp;A921),S921+T921)))</f>
        <v>#REF!</v>
      </c>
      <c r="W921" t="e">
        <f ca="1">IF(A921="","",IF(E921="","",#REF!))</f>
        <v>#REF!</v>
      </c>
      <c r="X921" t="e">
        <f ca="1">IF(A921="","",IF(E921="","",#REF!))</f>
        <v>#REF!</v>
      </c>
      <c r="Y921" s="39" t="e">
        <f ca="1">IF(A921="","",IF(E921="","",#REF!))</f>
        <v>#REF!</v>
      </c>
      <c r="Z921" t="e">
        <f ca="1">IF(A921="","",IF(E921="","",#REF!))</f>
        <v>#REF!</v>
      </c>
      <c r="AA921" t="e">
        <f ca="1">IF(A921="","",IF(E921="","",#REF!))</f>
        <v>#REF!</v>
      </c>
      <c r="AB921" t="e">
        <f ca="1">IF(A921="","",IF(E921="","",#REF!))</f>
        <v>#REF!</v>
      </c>
      <c r="AC921" t="e">
        <f t="shared" ca="1" si="86"/>
        <v>#REF!</v>
      </c>
    </row>
    <row r="922" spans="1:29" x14ac:dyDescent="0.35">
      <c r="A922" t="e" cm="1">
        <f t="array" aca="1" ref="A922" ca="1">IF(A921="","",IF(OR(AND(A921+1&gt;=$AF$1,A921+1&lt;=$AF$2),AND(A921+1&gt;=$AF$6,A921+1&lt;=$AF$7),AND(A921+1&gt;=$AF$3,A921+1&lt;=$AF$4),AND(A921+1&gt;=$AF$8,A921+1&lt;=$AF$9),A921+1=$AF$5),IF(NOT(ISBLANK(INDIRECT("template!"&amp;"P"&amp;A921+1))),A921+1,IF(NOT(ISBLANK(INDIRECT("template!"&amp;"P"&amp;A921+2))),A921+2,A921+3)),IF(A921=$AF$2,$AF$3,IF(A921=$AF$4,$AF$5,IF(A921=$AF$5,$AF$6,IF(A921=$AF$7,$AF$8,""))))))</f>
        <v>#REF!</v>
      </c>
      <c r="B922" t="e">
        <f t="shared" ca="1" si="81"/>
        <v>#REF!</v>
      </c>
      <c r="C922" t="e" cm="1">
        <f t="array" aca="1" ref="C922" ca="1">IF(A922="","",IF(B922="safety","safety costs",INDIRECT("template!"&amp;"B"&amp;A922)))</f>
        <v>#REF!</v>
      </c>
      <c r="D922" t="e" cm="1">
        <f t="array" aca="1" ref="D922" ca="1">IF(OR(A922="",B922="safety"),"",INDIRECT("template!"&amp;"C"&amp;A922))</f>
        <v>#REF!</v>
      </c>
      <c r="E922" t="e" cm="1">
        <f t="array" aca="1" ref="E922" ca="1">IF(A922="","",IF(OR(A922=A921+1,A922=A921+2),E921,INDIRECT("template!"&amp;"D"&amp;A922-2)))</f>
        <v>#REF!</v>
      </c>
      <c r="F922" t="e" cm="1">
        <f t="array" aca="1" ref="F922" ca="1">IF(OR(A922="",B922="safety"),"",IF(ISBLANK(IF(A922=A921+1,F921,INDIRECT("template!"&amp;"D"&amp;A922-1))),"",IF(A922=A921+1,F921,INDIRECT("template!"&amp;"D"&amp;A922-1))))</f>
        <v>#REF!</v>
      </c>
      <c r="G922" t="e" cm="1">
        <f t="array" aca="1" ref="G922" ca="1">IF(OR(A922="",B922="safety"),"",IF(ISBLANK(INDIRECT("template!"&amp;"D"&amp;A922)),"",INDIRECT("template!"&amp;"D"&amp;A922)))</f>
        <v>#REF!</v>
      </c>
      <c r="H922" t="e" cm="1">
        <f t="array" aca="1" ref="H922" ca="1">IF(OR(A922="",B922="safety"),"",IF(ISBLANK(INDIRECT("template!"&amp;"E"&amp;A922)),"",INDIRECT("template!"&amp;"E"&amp;A922)))</f>
        <v>#REF!</v>
      </c>
      <c r="I922" t="e" cm="1">
        <f t="array" aca="1" ref="I922" ca="1">IF(OR(A922="",B922="safety"),"",IF(ISBLANK(INDIRECT("template!"&amp;"F"&amp;A922)),"",INDIRECT("template!"&amp;"F"&amp;A922)))</f>
        <v>#REF!</v>
      </c>
      <c r="J922" t="e" cm="1">
        <f t="array" aca="1" ref="J922" ca="1">IF(OR(A922="",B922="safety"),"",IF(ISBLANK(INDIRECT("template!"&amp;"G"&amp;A922)),"",INDIRECT("template!"&amp;"G"&amp;A922)))</f>
        <v>#REF!</v>
      </c>
      <c r="K922" t="e" cm="1">
        <f t="array" aca="1" ref="K922" ca="1">IF(OR(A922="",B922="safety"),"",IF(ISBLANK(INDIRECT("template!"&amp;"H"&amp;A922)),"",INDIRECT("template!"&amp;"H"&amp;A922)))</f>
        <v>#REF!</v>
      </c>
      <c r="L922" t="e" cm="1">
        <f t="array" aca="1" ref="L922" ca="1">IF(OR(A922="",B922="safety"),"",INDIRECT("template!"&amp;"I"&amp;A922))</f>
        <v>#REF!</v>
      </c>
      <c r="M922" t="e" cm="1">
        <f t="array" aca="1" ref="M922" ca="1">IF(OR(A922="",B922="safety"),"",INDIRECT("template!"&amp;"J"&amp;A922))</f>
        <v>#REF!</v>
      </c>
      <c r="N922" t="e" cm="1">
        <f t="array" aca="1" ref="N922" ca="1">IF(OR(A922="",B922="safety"),"",IF(ISBLANK(INDIRECT("template!"&amp;"K"&amp;A922)),"",INDIRECT("template!"&amp;"K"&amp;A922)))</f>
        <v>#REF!</v>
      </c>
      <c r="O922" t="e" cm="1">
        <f t="array" aca="1" ref="O922" ca="1">IF(OR(A922="",B922="safety"),"",INDIRECT("template!"&amp;"L"&amp;A922))</f>
        <v>#REF!</v>
      </c>
      <c r="P922" t="e" cm="1">
        <f t="array" aca="1" ref="P922" ca="1">IF(OR(A922="",B922="safety"),"",INDIRECT("template!"&amp;"M"&amp;A922))</f>
        <v>#REF!</v>
      </c>
      <c r="Q922" t="e">
        <f t="shared" ca="1" si="82"/>
        <v>#REF!</v>
      </c>
      <c r="R922" t="e">
        <f t="shared" ca="1" si="83"/>
        <v>#REF!</v>
      </c>
      <c r="S922" t="e">
        <f t="shared" ca="1" si="84"/>
        <v>#REF!</v>
      </c>
      <c r="T922" t="e">
        <f t="shared" ca="1" si="85"/>
        <v>#REF!</v>
      </c>
      <c r="U922" t="e" cm="1">
        <f t="array" aca="1" ref="U922" ca="1">IF(A922="","",IF(E922="","",IF(B922="safety",INDIRECT("template!"&amp;"P"&amp;A922),Q922+R922)))</f>
        <v>#REF!</v>
      </c>
      <c r="V922" t="e" cm="1">
        <f t="array" aca="1" ref="V922" ca="1">IF(A922="","",IF(E922="","",IF(B922="safety",INDIRECT("template!"&amp;"P"&amp;A922),S922+T922)))</f>
        <v>#REF!</v>
      </c>
      <c r="W922" t="e">
        <f ca="1">IF(A922="","",IF(E922="","",#REF!))</f>
        <v>#REF!</v>
      </c>
      <c r="X922" t="e">
        <f ca="1">IF(A922="","",IF(E922="","",#REF!))</f>
        <v>#REF!</v>
      </c>
      <c r="Y922" s="39" t="e">
        <f ca="1">IF(A922="","",IF(E922="","",#REF!))</f>
        <v>#REF!</v>
      </c>
      <c r="Z922" t="e">
        <f ca="1">IF(A922="","",IF(E922="","",#REF!))</f>
        <v>#REF!</v>
      </c>
      <c r="AA922" t="e">
        <f ca="1">IF(A922="","",IF(E922="","",#REF!))</f>
        <v>#REF!</v>
      </c>
      <c r="AB922" t="e">
        <f ca="1">IF(A922="","",IF(E922="","",#REF!))</f>
        <v>#REF!</v>
      </c>
      <c r="AC922" t="e">
        <f t="shared" ca="1" si="86"/>
        <v>#REF!</v>
      </c>
    </row>
    <row r="923" spans="1:29" x14ac:dyDescent="0.35">
      <c r="A923" t="e" cm="1">
        <f t="array" aca="1" ref="A923" ca="1">IF(A922="","",IF(OR(AND(A922+1&gt;=$AF$1,A922+1&lt;=$AF$2),AND(A922+1&gt;=$AF$6,A922+1&lt;=$AF$7),AND(A922+1&gt;=$AF$3,A922+1&lt;=$AF$4),AND(A922+1&gt;=$AF$8,A922+1&lt;=$AF$9),A922+1=$AF$5),IF(NOT(ISBLANK(INDIRECT("template!"&amp;"P"&amp;A922+1))),A922+1,IF(NOT(ISBLANK(INDIRECT("template!"&amp;"P"&amp;A922+2))),A922+2,A922+3)),IF(A922=$AF$2,$AF$3,IF(A922=$AF$4,$AF$5,IF(A922=$AF$5,$AF$6,IF(A922=$AF$7,$AF$8,""))))))</f>
        <v>#REF!</v>
      </c>
      <c r="B923" t="e">
        <f t="shared" ca="1" si="81"/>
        <v>#REF!</v>
      </c>
      <c r="C923" t="e" cm="1">
        <f t="array" aca="1" ref="C923" ca="1">IF(A923="","",IF(B923="safety","safety costs",INDIRECT("template!"&amp;"B"&amp;A923)))</f>
        <v>#REF!</v>
      </c>
      <c r="D923" t="e" cm="1">
        <f t="array" aca="1" ref="D923" ca="1">IF(OR(A923="",B923="safety"),"",INDIRECT("template!"&amp;"C"&amp;A923))</f>
        <v>#REF!</v>
      </c>
      <c r="E923" t="e" cm="1">
        <f t="array" aca="1" ref="E923" ca="1">IF(A923="","",IF(OR(A923=A922+1,A923=A922+2),E922,INDIRECT("template!"&amp;"D"&amp;A923-2)))</f>
        <v>#REF!</v>
      </c>
      <c r="F923" t="e" cm="1">
        <f t="array" aca="1" ref="F923" ca="1">IF(OR(A923="",B923="safety"),"",IF(ISBLANK(IF(A923=A922+1,F922,INDIRECT("template!"&amp;"D"&amp;A923-1))),"",IF(A923=A922+1,F922,INDIRECT("template!"&amp;"D"&amp;A923-1))))</f>
        <v>#REF!</v>
      </c>
      <c r="G923" t="e" cm="1">
        <f t="array" aca="1" ref="G923" ca="1">IF(OR(A923="",B923="safety"),"",IF(ISBLANK(INDIRECT("template!"&amp;"D"&amp;A923)),"",INDIRECT("template!"&amp;"D"&amp;A923)))</f>
        <v>#REF!</v>
      </c>
      <c r="H923" t="e" cm="1">
        <f t="array" aca="1" ref="H923" ca="1">IF(OR(A923="",B923="safety"),"",IF(ISBLANK(INDIRECT("template!"&amp;"E"&amp;A923)),"",INDIRECT("template!"&amp;"E"&amp;A923)))</f>
        <v>#REF!</v>
      </c>
      <c r="I923" t="e" cm="1">
        <f t="array" aca="1" ref="I923" ca="1">IF(OR(A923="",B923="safety"),"",IF(ISBLANK(INDIRECT("template!"&amp;"F"&amp;A923)),"",INDIRECT("template!"&amp;"F"&amp;A923)))</f>
        <v>#REF!</v>
      </c>
      <c r="J923" t="e" cm="1">
        <f t="array" aca="1" ref="J923" ca="1">IF(OR(A923="",B923="safety"),"",IF(ISBLANK(INDIRECT("template!"&amp;"G"&amp;A923)),"",INDIRECT("template!"&amp;"G"&amp;A923)))</f>
        <v>#REF!</v>
      </c>
      <c r="K923" t="e" cm="1">
        <f t="array" aca="1" ref="K923" ca="1">IF(OR(A923="",B923="safety"),"",IF(ISBLANK(INDIRECT("template!"&amp;"H"&amp;A923)),"",INDIRECT("template!"&amp;"H"&amp;A923)))</f>
        <v>#REF!</v>
      </c>
      <c r="L923" t="e" cm="1">
        <f t="array" aca="1" ref="L923" ca="1">IF(OR(A923="",B923="safety"),"",INDIRECT("template!"&amp;"I"&amp;A923))</f>
        <v>#REF!</v>
      </c>
      <c r="M923" t="e" cm="1">
        <f t="array" aca="1" ref="M923" ca="1">IF(OR(A923="",B923="safety"),"",INDIRECT("template!"&amp;"J"&amp;A923))</f>
        <v>#REF!</v>
      </c>
      <c r="N923" t="e" cm="1">
        <f t="array" aca="1" ref="N923" ca="1">IF(OR(A923="",B923="safety"),"",IF(ISBLANK(INDIRECT("template!"&amp;"K"&amp;A923)),"",INDIRECT("template!"&amp;"K"&amp;A923)))</f>
        <v>#REF!</v>
      </c>
      <c r="O923" t="e" cm="1">
        <f t="array" aca="1" ref="O923" ca="1">IF(OR(A923="",B923="safety"),"",INDIRECT("template!"&amp;"L"&amp;A923))</f>
        <v>#REF!</v>
      </c>
      <c r="P923" t="e" cm="1">
        <f t="array" aca="1" ref="P923" ca="1">IF(OR(A923="",B923="safety"),"",INDIRECT("template!"&amp;"M"&amp;A923))</f>
        <v>#REF!</v>
      </c>
      <c r="Q923" t="e">
        <f t="shared" ca="1" si="82"/>
        <v>#REF!</v>
      </c>
      <c r="R923" t="e">
        <f t="shared" ca="1" si="83"/>
        <v>#REF!</v>
      </c>
      <c r="S923" t="e">
        <f t="shared" ca="1" si="84"/>
        <v>#REF!</v>
      </c>
      <c r="T923" t="e">
        <f t="shared" ca="1" si="85"/>
        <v>#REF!</v>
      </c>
      <c r="U923" t="e" cm="1">
        <f t="array" aca="1" ref="U923" ca="1">IF(A923="","",IF(E923="","",IF(B923="safety",INDIRECT("template!"&amp;"P"&amp;A923),Q923+R923)))</f>
        <v>#REF!</v>
      </c>
      <c r="V923" t="e" cm="1">
        <f t="array" aca="1" ref="V923" ca="1">IF(A923="","",IF(E923="","",IF(B923="safety",INDIRECT("template!"&amp;"P"&amp;A923),S923+T923)))</f>
        <v>#REF!</v>
      </c>
      <c r="W923" t="e">
        <f ca="1">IF(A923="","",IF(E923="","",#REF!))</f>
        <v>#REF!</v>
      </c>
      <c r="X923" t="e">
        <f ca="1">IF(A923="","",IF(E923="","",#REF!))</f>
        <v>#REF!</v>
      </c>
      <c r="Y923" s="39" t="e">
        <f ca="1">IF(A923="","",IF(E923="","",#REF!))</f>
        <v>#REF!</v>
      </c>
      <c r="Z923" t="e">
        <f ca="1">IF(A923="","",IF(E923="","",#REF!))</f>
        <v>#REF!</v>
      </c>
      <c r="AA923" t="e">
        <f ca="1">IF(A923="","",IF(E923="","",#REF!))</f>
        <v>#REF!</v>
      </c>
      <c r="AB923" t="e">
        <f ca="1">IF(A923="","",IF(E923="","",#REF!))</f>
        <v>#REF!</v>
      </c>
      <c r="AC923" t="e">
        <f t="shared" ca="1" si="86"/>
        <v>#REF!</v>
      </c>
    </row>
    <row r="924" spans="1:29" x14ac:dyDescent="0.35">
      <c r="A924" t="e" cm="1">
        <f t="array" aca="1" ref="A924" ca="1">IF(A923="","",IF(OR(AND(A923+1&gt;=$AF$1,A923+1&lt;=$AF$2),AND(A923+1&gt;=$AF$6,A923+1&lt;=$AF$7),AND(A923+1&gt;=$AF$3,A923+1&lt;=$AF$4),AND(A923+1&gt;=$AF$8,A923+1&lt;=$AF$9),A923+1=$AF$5),IF(NOT(ISBLANK(INDIRECT("template!"&amp;"P"&amp;A923+1))),A923+1,IF(NOT(ISBLANK(INDIRECT("template!"&amp;"P"&amp;A923+2))),A923+2,A923+3)),IF(A923=$AF$2,$AF$3,IF(A923=$AF$4,$AF$5,IF(A923=$AF$5,$AF$6,IF(A923=$AF$7,$AF$8,""))))))</f>
        <v>#REF!</v>
      </c>
      <c r="B924" t="e">
        <f t="shared" ca="1" si="81"/>
        <v>#REF!</v>
      </c>
      <c r="C924" t="e" cm="1">
        <f t="array" aca="1" ref="C924" ca="1">IF(A924="","",IF(B924="safety","safety costs",INDIRECT("template!"&amp;"B"&amp;A924)))</f>
        <v>#REF!</v>
      </c>
      <c r="D924" t="e" cm="1">
        <f t="array" aca="1" ref="D924" ca="1">IF(OR(A924="",B924="safety"),"",INDIRECT("template!"&amp;"C"&amp;A924))</f>
        <v>#REF!</v>
      </c>
      <c r="E924" t="e" cm="1">
        <f t="array" aca="1" ref="E924" ca="1">IF(A924="","",IF(OR(A924=A923+1,A924=A923+2),E923,INDIRECT("template!"&amp;"D"&amp;A924-2)))</f>
        <v>#REF!</v>
      </c>
      <c r="F924" t="e" cm="1">
        <f t="array" aca="1" ref="F924" ca="1">IF(OR(A924="",B924="safety"),"",IF(ISBLANK(IF(A924=A923+1,F923,INDIRECT("template!"&amp;"D"&amp;A924-1))),"",IF(A924=A923+1,F923,INDIRECT("template!"&amp;"D"&amp;A924-1))))</f>
        <v>#REF!</v>
      </c>
      <c r="G924" t="e" cm="1">
        <f t="array" aca="1" ref="G924" ca="1">IF(OR(A924="",B924="safety"),"",IF(ISBLANK(INDIRECT("template!"&amp;"D"&amp;A924)),"",INDIRECT("template!"&amp;"D"&amp;A924)))</f>
        <v>#REF!</v>
      </c>
      <c r="H924" t="e" cm="1">
        <f t="array" aca="1" ref="H924" ca="1">IF(OR(A924="",B924="safety"),"",IF(ISBLANK(INDIRECT("template!"&amp;"E"&amp;A924)),"",INDIRECT("template!"&amp;"E"&amp;A924)))</f>
        <v>#REF!</v>
      </c>
      <c r="I924" t="e" cm="1">
        <f t="array" aca="1" ref="I924" ca="1">IF(OR(A924="",B924="safety"),"",IF(ISBLANK(INDIRECT("template!"&amp;"F"&amp;A924)),"",INDIRECT("template!"&amp;"F"&amp;A924)))</f>
        <v>#REF!</v>
      </c>
      <c r="J924" t="e" cm="1">
        <f t="array" aca="1" ref="J924" ca="1">IF(OR(A924="",B924="safety"),"",IF(ISBLANK(INDIRECT("template!"&amp;"G"&amp;A924)),"",INDIRECT("template!"&amp;"G"&amp;A924)))</f>
        <v>#REF!</v>
      </c>
      <c r="K924" t="e" cm="1">
        <f t="array" aca="1" ref="K924" ca="1">IF(OR(A924="",B924="safety"),"",IF(ISBLANK(INDIRECT("template!"&amp;"H"&amp;A924)),"",INDIRECT("template!"&amp;"H"&amp;A924)))</f>
        <v>#REF!</v>
      </c>
      <c r="L924" t="e" cm="1">
        <f t="array" aca="1" ref="L924" ca="1">IF(OR(A924="",B924="safety"),"",INDIRECT("template!"&amp;"I"&amp;A924))</f>
        <v>#REF!</v>
      </c>
      <c r="M924" t="e" cm="1">
        <f t="array" aca="1" ref="M924" ca="1">IF(OR(A924="",B924="safety"),"",INDIRECT("template!"&amp;"J"&amp;A924))</f>
        <v>#REF!</v>
      </c>
      <c r="N924" t="e" cm="1">
        <f t="array" aca="1" ref="N924" ca="1">IF(OR(A924="",B924="safety"),"",IF(ISBLANK(INDIRECT("template!"&amp;"K"&amp;A924)),"",INDIRECT("template!"&amp;"K"&amp;A924)))</f>
        <v>#REF!</v>
      </c>
      <c r="O924" t="e" cm="1">
        <f t="array" aca="1" ref="O924" ca="1">IF(OR(A924="",B924="safety"),"",INDIRECT("template!"&amp;"L"&amp;A924))</f>
        <v>#REF!</v>
      </c>
      <c r="P924" t="e" cm="1">
        <f t="array" aca="1" ref="P924" ca="1">IF(OR(A924="",B924="safety"),"",INDIRECT("template!"&amp;"M"&amp;A924))</f>
        <v>#REF!</v>
      </c>
      <c r="Q924" t="e">
        <f t="shared" ca="1" si="82"/>
        <v>#REF!</v>
      </c>
      <c r="R924" t="e">
        <f t="shared" ca="1" si="83"/>
        <v>#REF!</v>
      </c>
      <c r="S924" t="e">
        <f t="shared" ca="1" si="84"/>
        <v>#REF!</v>
      </c>
      <c r="T924" t="e">
        <f t="shared" ca="1" si="85"/>
        <v>#REF!</v>
      </c>
      <c r="U924" t="e" cm="1">
        <f t="array" aca="1" ref="U924" ca="1">IF(A924="","",IF(E924="","",IF(B924="safety",INDIRECT("template!"&amp;"P"&amp;A924),Q924+R924)))</f>
        <v>#REF!</v>
      </c>
      <c r="V924" t="e" cm="1">
        <f t="array" aca="1" ref="V924" ca="1">IF(A924="","",IF(E924="","",IF(B924="safety",INDIRECT("template!"&amp;"P"&amp;A924),S924+T924)))</f>
        <v>#REF!</v>
      </c>
      <c r="W924" t="e">
        <f ca="1">IF(A924="","",IF(E924="","",#REF!))</f>
        <v>#REF!</v>
      </c>
      <c r="X924" t="e">
        <f ca="1">IF(A924="","",IF(E924="","",#REF!))</f>
        <v>#REF!</v>
      </c>
      <c r="Y924" s="39" t="e">
        <f ca="1">IF(A924="","",IF(E924="","",#REF!))</f>
        <v>#REF!</v>
      </c>
      <c r="Z924" t="e">
        <f ca="1">IF(A924="","",IF(E924="","",#REF!))</f>
        <v>#REF!</v>
      </c>
      <c r="AA924" t="e">
        <f ca="1">IF(A924="","",IF(E924="","",#REF!))</f>
        <v>#REF!</v>
      </c>
      <c r="AB924" t="e">
        <f ca="1">IF(A924="","",IF(E924="","",#REF!))</f>
        <v>#REF!</v>
      </c>
      <c r="AC924" t="e">
        <f t="shared" ca="1" si="86"/>
        <v>#REF!</v>
      </c>
    </row>
    <row r="925" spans="1:29" x14ac:dyDescent="0.35">
      <c r="A925" t="e" cm="1">
        <f t="array" aca="1" ref="A925" ca="1">IF(A924="","",IF(OR(AND(A924+1&gt;=$AF$1,A924+1&lt;=$AF$2),AND(A924+1&gt;=$AF$6,A924+1&lt;=$AF$7),AND(A924+1&gt;=$AF$3,A924+1&lt;=$AF$4),AND(A924+1&gt;=$AF$8,A924+1&lt;=$AF$9),A924+1=$AF$5),IF(NOT(ISBLANK(INDIRECT("template!"&amp;"P"&amp;A924+1))),A924+1,IF(NOT(ISBLANK(INDIRECT("template!"&amp;"P"&amp;A924+2))),A924+2,A924+3)),IF(A924=$AF$2,$AF$3,IF(A924=$AF$4,$AF$5,IF(A924=$AF$5,$AF$6,IF(A924=$AF$7,$AF$8,""))))))</f>
        <v>#REF!</v>
      </c>
      <c r="B925" t="e">
        <f t="shared" ca="1" si="81"/>
        <v>#REF!</v>
      </c>
      <c r="C925" t="e" cm="1">
        <f t="array" aca="1" ref="C925" ca="1">IF(A925="","",IF(B925="safety","safety costs",INDIRECT("template!"&amp;"B"&amp;A925)))</f>
        <v>#REF!</v>
      </c>
      <c r="D925" t="e" cm="1">
        <f t="array" aca="1" ref="D925" ca="1">IF(OR(A925="",B925="safety"),"",INDIRECT("template!"&amp;"C"&amp;A925))</f>
        <v>#REF!</v>
      </c>
      <c r="E925" t="e" cm="1">
        <f t="array" aca="1" ref="E925" ca="1">IF(A925="","",IF(OR(A925=A924+1,A925=A924+2),E924,INDIRECT("template!"&amp;"D"&amp;A925-2)))</f>
        <v>#REF!</v>
      </c>
      <c r="F925" t="e" cm="1">
        <f t="array" aca="1" ref="F925" ca="1">IF(OR(A925="",B925="safety"),"",IF(ISBLANK(IF(A925=A924+1,F924,INDIRECT("template!"&amp;"D"&amp;A925-1))),"",IF(A925=A924+1,F924,INDIRECT("template!"&amp;"D"&amp;A925-1))))</f>
        <v>#REF!</v>
      </c>
      <c r="G925" t="e" cm="1">
        <f t="array" aca="1" ref="G925" ca="1">IF(OR(A925="",B925="safety"),"",IF(ISBLANK(INDIRECT("template!"&amp;"D"&amp;A925)),"",INDIRECT("template!"&amp;"D"&amp;A925)))</f>
        <v>#REF!</v>
      </c>
      <c r="H925" t="e" cm="1">
        <f t="array" aca="1" ref="H925" ca="1">IF(OR(A925="",B925="safety"),"",IF(ISBLANK(INDIRECT("template!"&amp;"E"&amp;A925)),"",INDIRECT("template!"&amp;"E"&amp;A925)))</f>
        <v>#REF!</v>
      </c>
      <c r="I925" t="e" cm="1">
        <f t="array" aca="1" ref="I925" ca="1">IF(OR(A925="",B925="safety"),"",IF(ISBLANK(INDIRECT("template!"&amp;"F"&amp;A925)),"",INDIRECT("template!"&amp;"F"&amp;A925)))</f>
        <v>#REF!</v>
      </c>
      <c r="J925" t="e" cm="1">
        <f t="array" aca="1" ref="J925" ca="1">IF(OR(A925="",B925="safety"),"",IF(ISBLANK(INDIRECT("template!"&amp;"G"&amp;A925)),"",INDIRECT("template!"&amp;"G"&amp;A925)))</f>
        <v>#REF!</v>
      </c>
      <c r="K925" t="e" cm="1">
        <f t="array" aca="1" ref="K925" ca="1">IF(OR(A925="",B925="safety"),"",IF(ISBLANK(INDIRECT("template!"&amp;"H"&amp;A925)),"",INDIRECT("template!"&amp;"H"&amp;A925)))</f>
        <v>#REF!</v>
      </c>
      <c r="L925" t="e" cm="1">
        <f t="array" aca="1" ref="L925" ca="1">IF(OR(A925="",B925="safety"),"",INDIRECT("template!"&amp;"I"&amp;A925))</f>
        <v>#REF!</v>
      </c>
      <c r="M925" t="e" cm="1">
        <f t="array" aca="1" ref="M925" ca="1">IF(OR(A925="",B925="safety"),"",INDIRECT("template!"&amp;"J"&amp;A925))</f>
        <v>#REF!</v>
      </c>
      <c r="N925" t="e" cm="1">
        <f t="array" aca="1" ref="N925" ca="1">IF(OR(A925="",B925="safety"),"",IF(ISBLANK(INDIRECT("template!"&amp;"K"&amp;A925)),"",INDIRECT("template!"&amp;"K"&amp;A925)))</f>
        <v>#REF!</v>
      </c>
      <c r="O925" t="e" cm="1">
        <f t="array" aca="1" ref="O925" ca="1">IF(OR(A925="",B925="safety"),"",INDIRECT("template!"&amp;"L"&amp;A925))</f>
        <v>#REF!</v>
      </c>
      <c r="P925" t="e" cm="1">
        <f t="array" aca="1" ref="P925" ca="1">IF(OR(A925="",B925="safety"),"",INDIRECT("template!"&amp;"M"&amp;A925))</f>
        <v>#REF!</v>
      </c>
      <c r="Q925" t="e">
        <f t="shared" ca="1" si="82"/>
        <v>#REF!</v>
      </c>
      <c r="R925" t="e">
        <f t="shared" ca="1" si="83"/>
        <v>#REF!</v>
      </c>
      <c r="S925" t="e">
        <f t="shared" ca="1" si="84"/>
        <v>#REF!</v>
      </c>
      <c r="T925" t="e">
        <f t="shared" ca="1" si="85"/>
        <v>#REF!</v>
      </c>
      <c r="U925" t="e" cm="1">
        <f t="array" aca="1" ref="U925" ca="1">IF(A925="","",IF(E925="","",IF(B925="safety",INDIRECT("template!"&amp;"P"&amp;A925),Q925+R925)))</f>
        <v>#REF!</v>
      </c>
      <c r="V925" t="e" cm="1">
        <f t="array" aca="1" ref="V925" ca="1">IF(A925="","",IF(E925="","",IF(B925="safety",INDIRECT("template!"&amp;"P"&amp;A925),S925+T925)))</f>
        <v>#REF!</v>
      </c>
      <c r="W925" t="e">
        <f ca="1">IF(A925="","",IF(E925="","",#REF!))</f>
        <v>#REF!</v>
      </c>
      <c r="X925" t="e">
        <f ca="1">IF(A925="","",IF(E925="","",#REF!))</f>
        <v>#REF!</v>
      </c>
      <c r="Y925" s="39" t="e">
        <f ca="1">IF(A925="","",IF(E925="","",#REF!))</f>
        <v>#REF!</v>
      </c>
      <c r="Z925" t="e">
        <f ca="1">IF(A925="","",IF(E925="","",#REF!))</f>
        <v>#REF!</v>
      </c>
      <c r="AA925" t="e">
        <f ca="1">IF(A925="","",IF(E925="","",#REF!))</f>
        <v>#REF!</v>
      </c>
      <c r="AB925" t="e">
        <f ca="1">IF(A925="","",IF(E925="","",#REF!))</f>
        <v>#REF!</v>
      </c>
      <c r="AC925" t="e">
        <f t="shared" ca="1" si="86"/>
        <v>#REF!</v>
      </c>
    </row>
    <row r="926" spans="1:29" x14ac:dyDescent="0.35">
      <c r="A926" t="e" cm="1">
        <f t="array" aca="1" ref="A926" ca="1">IF(A925="","",IF(OR(AND(A925+1&gt;=$AF$1,A925+1&lt;=$AF$2),AND(A925+1&gt;=$AF$6,A925+1&lt;=$AF$7),AND(A925+1&gt;=$AF$3,A925+1&lt;=$AF$4),AND(A925+1&gt;=$AF$8,A925+1&lt;=$AF$9),A925+1=$AF$5),IF(NOT(ISBLANK(INDIRECT("template!"&amp;"P"&amp;A925+1))),A925+1,IF(NOT(ISBLANK(INDIRECT("template!"&amp;"P"&amp;A925+2))),A925+2,A925+3)),IF(A925=$AF$2,$AF$3,IF(A925=$AF$4,$AF$5,IF(A925=$AF$5,$AF$6,IF(A925=$AF$7,$AF$8,""))))))</f>
        <v>#REF!</v>
      </c>
      <c r="B926" t="e">
        <f t="shared" ca="1" si="81"/>
        <v>#REF!</v>
      </c>
      <c r="C926" t="e" cm="1">
        <f t="array" aca="1" ref="C926" ca="1">IF(A926="","",IF(B926="safety","safety costs",INDIRECT("template!"&amp;"B"&amp;A926)))</f>
        <v>#REF!</v>
      </c>
      <c r="D926" t="e" cm="1">
        <f t="array" aca="1" ref="D926" ca="1">IF(OR(A926="",B926="safety"),"",INDIRECT("template!"&amp;"C"&amp;A926))</f>
        <v>#REF!</v>
      </c>
      <c r="E926" t="e" cm="1">
        <f t="array" aca="1" ref="E926" ca="1">IF(A926="","",IF(OR(A926=A925+1,A926=A925+2),E925,INDIRECT("template!"&amp;"D"&amp;A926-2)))</f>
        <v>#REF!</v>
      </c>
      <c r="F926" t="e" cm="1">
        <f t="array" aca="1" ref="F926" ca="1">IF(OR(A926="",B926="safety"),"",IF(ISBLANK(IF(A926=A925+1,F925,INDIRECT("template!"&amp;"D"&amp;A926-1))),"",IF(A926=A925+1,F925,INDIRECT("template!"&amp;"D"&amp;A926-1))))</f>
        <v>#REF!</v>
      </c>
      <c r="G926" t="e" cm="1">
        <f t="array" aca="1" ref="G926" ca="1">IF(OR(A926="",B926="safety"),"",IF(ISBLANK(INDIRECT("template!"&amp;"D"&amp;A926)),"",INDIRECT("template!"&amp;"D"&amp;A926)))</f>
        <v>#REF!</v>
      </c>
      <c r="H926" t="e" cm="1">
        <f t="array" aca="1" ref="H926" ca="1">IF(OR(A926="",B926="safety"),"",IF(ISBLANK(INDIRECT("template!"&amp;"E"&amp;A926)),"",INDIRECT("template!"&amp;"E"&amp;A926)))</f>
        <v>#REF!</v>
      </c>
      <c r="I926" t="e" cm="1">
        <f t="array" aca="1" ref="I926" ca="1">IF(OR(A926="",B926="safety"),"",IF(ISBLANK(INDIRECT("template!"&amp;"F"&amp;A926)),"",INDIRECT("template!"&amp;"F"&amp;A926)))</f>
        <v>#REF!</v>
      </c>
      <c r="J926" t="e" cm="1">
        <f t="array" aca="1" ref="J926" ca="1">IF(OR(A926="",B926="safety"),"",IF(ISBLANK(INDIRECT("template!"&amp;"G"&amp;A926)),"",INDIRECT("template!"&amp;"G"&amp;A926)))</f>
        <v>#REF!</v>
      </c>
      <c r="K926" t="e" cm="1">
        <f t="array" aca="1" ref="K926" ca="1">IF(OR(A926="",B926="safety"),"",IF(ISBLANK(INDIRECT("template!"&amp;"H"&amp;A926)),"",INDIRECT("template!"&amp;"H"&amp;A926)))</f>
        <v>#REF!</v>
      </c>
      <c r="L926" t="e" cm="1">
        <f t="array" aca="1" ref="L926" ca="1">IF(OR(A926="",B926="safety"),"",INDIRECT("template!"&amp;"I"&amp;A926))</f>
        <v>#REF!</v>
      </c>
      <c r="M926" t="e" cm="1">
        <f t="array" aca="1" ref="M926" ca="1">IF(OR(A926="",B926="safety"),"",INDIRECT("template!"&amp;"J"&amp;A926))</f>
        <v>#REF!</v>
      </c>
      <c r="N926" t="e" cm="1">
        <f t="array" aca="1" ref="N926" ca="1">IF(OR(A926="",B926="safety"),"",IF(ISBLANK(INDIRECT("template!"&amp;"K"&amp;A926)),"",INDIRECT("template!"&amp;"K"&amp;A926)))</f>
        <v>#REF!</v>
      </c>
      <c r="O926" t="e" cm="1">
        <f t="array" aca="1" ref="O926" ca="1">IF(OR(A926="",B926="safety"),"",INDIRECT("template!"&amp;"L"&amp;A926))</f>
        <v>#REF!</v>
      </c>
      <c r="P926" t="e" cm="1">
        <f t="array" aca="1" ref="P926" ca="1">IF(OR(A926="",B926="safety"),"",INDIRECT("template!"&amp;"M"&amp;A926))</f>
        <v>#REF!</v>
      </c>
      <c r="Q926" t="e">
        <f t="shared" ca="1" si="82"/>
        <v>#REF!</v>
      </c>
      <c r="R926" t="e">
        <f t="shared" ca="1" si="83"/>
        <v>#REF!</v>
      </c>
      <c r="S926" t="e">
        <f t="shared" ca="1" si="84"/>
        <v>#REF!</v>
      </c>
      <c r="T926" t="e">
        <f t="shared" ca="1" si="85"/>
        <v>#REF!</v>
      </c>
      <c r="U926" t="e" cm="1">
        <f t="array" aca="1" ref="U926" ca="1">IF(A926="","",IF(E926="","",IF(B926="safety",INDIRECT("template!"&amp;"P"&amp;A926),Q926+R926)))</f>
        <v>#REF!</v>
      </c>
      <c r="V926" t="e" cm="1">
        <f t="array" aca="1" ref="V926" ca="1">IF(A926="","",IF(E926="","",IF(B926="safety",INDIRECT("template!"&amp;"P"&amp;A926),S926+T926)))</f>
        <v>#REF!</v>
      </c>
      <c r="W926" t="e">
        <f ca="1">IF(A926="","",IF(E926="","",#REF!))</f>
        <v>#REF!</v>
      </c>
      <c r="X926" t="e">
        <f ca="1">IF(A926="","",IF(E926="","",#REF!))</f>
        <v>#REF!</v>
      </c>
      <c r="Y926" s="39" t="e">
        <f ca="1">IF(A926="","",IF(E926="","",#REF!))</f>
        <v>#REF!</v>
      </c>
      <c r="Z926" t="e">
        <f ca="1">IF(A926="","",IF(E926="","",#REF!))</f>
        <v>#REF!</v>
      </c>
      <c r="AA926" t="e">
        <f ca="1">IF(A926="","",IF(E926="","",#REF!))</f>
        <v>#REF!</v>
      </c>
      <c r="AB926" t="e">
        <f ca="1">IF(A926="","",IF(E926="","",#REF!))</f>
        <v>#REF!</v>
      </c>
      <c r="AC926" t="e">
        <f t="shared" ca="1" si="86"/>
        <v>#REF!</v>
      </c>
    </row>
    <row r="927" spans="1:29" x14ac:dyDescent="0.35">
      <c r="A927" t="e" cm="1">
        <f t="array" aca="1" ref="A927" ca="1">IF(A926="","",IF(OR(AND(A926+1&gt;=$AF$1,A926+1&lt;=$AF$2),AND(A926+1&gt;=$AF$6,A926+1&lt;=$AF$7),AND(A926+1&gt;=$AF$3,A926+1&lt;=$AF$4),AND(A926+1&gt;=$AF$8,A926+1&lt;=$AF$9),A926+1=$AF$5),IF(NOT(ISBLANK(INDIRECT("template!"&amp;"P"&amp;A926+1))),A926+1,IF(NOT(ISBLANK(INDIRECT("template!"&amp;"P"&amp;A926+2))),A926+2,A926+3)),IF(A926=$AF$2,$AF$3,IF(A926=$AF$4,$AF$5,IF(A926=$AF$5,$AF$6,IF(A926=$AF$7,$AF$8,""))))))</f>
        <v>#REF!</v>
      </c>
      <c r="B927" t="e">
        <f t="shared" ca="1" si="81"/>
        <v>#REF!</v>
      </c>
      <c r="C927" t="e" cm="1">
        <f t="array" aca="1" ref="C927" ca="1">IF(A927="","",IF(B927="safety","safety costs",INDIRECT("template!"&amp;"B"&amp;A927)))</f>
        <v>#REF!</v>
      </c>
      <c r="D927" t="e" cm="1">
        <f t="array" aca="1" ref="D927" ca="1">IF(OR(A927="",B927="safety"),"",INDIRECT("template!"&amp;"C"&amp;A927))</f>
        <v>#REF!</v>
      </c>
      <c r="E927" t="e" cm="1">
        <f t="array" aca="1" ref="E927" ca="1">IF(A927="","",IF(OR(A927=A926+1,A927=A926+2),E926,INDIRECT("template!"&amp;"D"&amp;A927-2)))</f>
        <v>#REF!</v>
      </c>
      <c r="F927" t="e" cm="1">
        <f t="array" aca="1" ref="F927" ca="1">IF(OR(A927="",B927="safety"),"",IF(ISBLANK(IF(A927=A926+1,F926,INDIRECT("template!"&amp;"D"&amp;A927-1))),"",IF(A927=A926+1,F926,INDIRECT("template!"&amp;"D"&amp;A927-1))))</f>
        <v>#REF!</v>
      </c>
      <c r="G927" t="e" cm="1">
        <f t="array" aca="1" ref="G927" ca="1">IF(OR(A927="",B927="safety"),"",IF(ISBLANK(INDIRECT("template!"&amp;"D"&amp;A927)),"",INDIRECT("template!"&amp;"D"&amp;A927)))</f>
        <v>#REF!</v>
      </c>
      <c r="H927" t="e" cm="1">
        <f t="array" aca="1" ref="H927" ca="1">IF(OR(A927="",B927="safety"),"",IF(ISBLANK(INDIRECT("template!"&amp;"E"&amp;A927)),"",INDIRECT("template!"&amp;"E"&amp;A927)))</f>
        <v>#REF!</v>
      </c>
      <c r="I927" t="e" cm="1">
        <f t="array" aca="1" ref="I927" ca="1">IF(OR(A927="",B927="safety"),"",IF(ISBLANK(INDIRECT("template!"&amp;"F"&amp;A927)),"",INDIRECT("template!"&amp;"F"&amp;A927)))</f>
        <v>#REF!</v>
      </c>
      <c r="J927" t="e" cm="1">
        <f t="array" aca="1" ref="J927" ca="1">IF(OR(A927="",B927="safety"),"",IF(ISBLANK(INDIRECT("template!"&amp;"G"&amp;A927)),"",INDIRECT("template!"&amp;"G"&amp;A927)))</f>
        <v>#REF!</v>
      </c>
      <c r="K927" t="e" cm="1">
        <f t="array" aca="1" ref="K927" ca="1">IF(OR(A927="",B927="safety"),"",IF(ISBLANK(INDIRECT("template!"&amp;"H"&amp;A927)),"",INDIRECT("template!"&amp;"H"&amp;A927)))</f>
        <v>#REF!</v>
      </c>
      <c r="L927" t="e" cm="1">
        <f t="array" aca="1" ref="L927" ca="1">IF(OR(A927="",B927="safety"),"",INDIRECT("template!"&amp;"I"&amp;A927))</f>
        <v>#REF!</v>
      </c>
      <c r="M927" t="e" cm="1">
        <f t="array" aca="1" ref="M927" ca="1">IF(OR(A927="",B927="safety"),"",INDIRECT("template!"&amp;"J"&amp;A927))</f>
        <v>#REF!</v>
      </c>
      <c r="N927" t="e" cm="1">
        <f t="array" aca="1" ref="N927" ca="1">IF(OR(A927="",B927="safety"),"",IF(ISBLANK(INDIRECT("template!"&amp;"K"&amp;A927)),"",INDIRECT("template!"&amp;"K"&amp;A927)))</f>
        <v>#REF!</v>
      </c>
      <c r="O927" t="e" cm="1">
        <f t="array" aca="1" ref="O927" ca="1">IF(OR(A927="",B927="safety"),"",INDIRECT("template!"&amp;"L"&amp;A927))</f>
        <v>#REF!</v>
      </c>
      <c r="P927" t="e" cm="1">
        <f t="array" aca="1" ref="P927" ca="1">IF(OR(A927="",B927="safety"),"",INDIRECT("template!"&amp;"M"&amp;A927))</f>
        <v>#REF!</v>
      </c>
      <c r="Q927" t="e">
        <f t="shared" ca="1" si="82"/>
        <v>#REF!</v>
      </c>
      <c r="R927" t="e">
        <f t="shared" ca="1" si="83"/>
        <v>#REF!</v>
      </c>
      <c r="S927" t="e">
        <f t="shared" ca="1" si="84"/>
        <v>#REF!</v>
      </c>
      <c r="T927" t="e">
        <f t="shared" ca="1" si="85"/>
        <v>#REF!</v>
      </c>
      <c r="U927" t="e" cm="1">
        <f t="array" aca="1" ref="U927" ca="1">IF(A927="","",IF(E927="","",IF(B927="safety",INDIRECT("template!"&amp;"P"&amp;A927),Q927+R927)))</f>
        <v>#REF!</v>
      </c>
      <c r="V927" t="e" cm="1">
        <f t="array" aca="1" ref="V927" ca="1">IF(A927="","",IF(E927="","",IF(B927="safety",INDIRECT("template!"&amp;"P"&amp;A927),S927+T927)))</f>
        <v>#REF!</v>
      </c>
      <c r="W927" t="e">
        <f ca="1">IF(A927="","",IF(E927="","",#REF!))</f>
        <v>#REF!</v>
      </c>
      <c r="X927" t="e">
        <f ca="1">IF(A927="","",IF(E927="","",#REF!))</f>
        <v>#REF!</v>
      </c>
      <c r="Y927" s="39" t="e">
        <f ca="1">IF(A927="","",IF(E927="","",#REF!))</f>
        <v>#REF!</v>
      </c>
      <c r="Z927" t="e">
        <f ca="1">IF(A927="","",IF(E927="","",#REF!))</f>
        <v>#REF!</v>
      </c>
      <c r="AA927" t="e">
        <f ca="1">IF(A927="","",IF(E927="","",#REF!))</f>
        <v>#REF!</v>
      </c>
      <c r="AB927" t="e">
        <f ca="1">IF(A927="","",IF(E927="","",#REF!))</f>
        <v>#REF!</v>
      </c>
      <c r="AC927" t="e">
        <f t="shared" ca="1" si="86"/>
        <v>#REF!</v>
      </c>
    </row>
    <row r="928" spans="1:29" x14ac:dyDescent="0.35">
      <c r="A928" t="e" cm="1">
        <f t="array" aca="1" ref="A928" ca="1">IF(A927="","",IF(OR(AND(A927+1&gt;=$AF$1,A927+1&lt;=$AF$2),AND(A927+1&gt;=$AF$6,A927+1&lt;=$AF$7),AND(A927+1&gt;=$AF$3,A927+1&lt;=$AF$4),AND(A927+1&gt;=$AF$8,A927+1&lt;=$AF$9),A927+1=$AF$5),IF(NOT(ISBLANK(INDIRECT("template!"&amp;"P"&amp;A927+1))),A927+1,IF(NOT(ISBLANK(INDIRECT("template!"&amp;"P"&amp;A927+2))),A927+2,A927+3)),IF(A927=$AF$2,$AF$3,IF(A927=$AF$4,$AF$5,IF(A927=$AF$5,$AF$6,IF(A927=$AF$7,$AF$8,""))))))</f>
        <v>#REF!</v>
      </c>
      <c r="B928" t="e">
        <f t="shared" ca="1" si="81"/>
        <v>#REF!</v>
      </c>
      <c r="C928" t="e" cm="1">
        <f t="array" aca="1" ref="C928" ca="1">IF(A928="","",IF(B928="safety","safety costs",INDIRECT("template!"&amp;"B"&amp;A928)))</f>
        <v>#REF!</v>
      </c>
      <c r="D928" t="e" cm="1">
        <f t="array" aca="1" ref="D928" ca="1">IF(OR(A928="",B928="safety"),"",INDIRECT("template!"&amp;"C"&amp;A928))</f>
        <v>#REF!</v>
      </c>
      <c r="E928" t="e" cm="1">
        <f t="array" aca="1" ref="E928" ca="1">IF(A928="","",IF(OR(A928=A927+1,A928=A927+2),E927,INDIRECT("template!"&amp;"D"&amp;A928-2)))</f>
        <v>#REF!</v>
      </c>
      <c r="F928" t="e" cm="1">
        <f t="array" aca="1" ref="F928" ca="1">IF(OR(A928="",B928="safety"),"",IF(ISBLANK(IF(A928=A927+1,F927,INDIRECT("template!"&amp;"D"&amp;A928-1))),"",IF(A928=A927+1,F927,INDIRECT("template!"&amp;"D"&amp;A928-1))))</f>
        <v>#REF!</v>
      </c>
      <c r="G928" t="e" cm="1">
        <f t="array" aca="1" ref="G928" ca="1">IF(OR(A928="",B928="safety"),"",IF(ISBLANK(INDIRECT("template!"&amp;"D"&amp;A928)),"",INDIRECT("template!"&amp;"D"&amp;A928)))</f>
        <v>#REF!</v>
      </c>
      <c r="H928" t="e" cm="1">
        <f t="array" aca="1" ref="H928" ca="1">IF(OR(A928="",B928="safety"),"",IF(ISBLANK(INDIRECT("template!"&amp;"E"&amp;A928)),"",INDIRECT("template!"&amp;"E"&amp;A928)))</f>
        <v>#REF!</v>
      </c>
      <c r="I928" t="e" cm="1">
        <f t="array" aca="1" ref="I928" ca="1">IF(OR(A928="",B928="safety"),"",IF(ISBLANK(INDIRECT("template!"&amp;"F"&amp;A928)),"",INDIRECT("template!"&amp;"F"&amp;A928)))</f>
        <v>#REF!</v>
      </c>
      <c r="J928" t="e" cm="1">
        <f t="array" aca="1" ref="J928" ca="1">IF(OR(A928="",B928="safety"),"",IF(ISBLANK(INDIRECT("template!"&amp;"G"&amp;A928)),"",INDIRECT("template!"&amp;"G"&amp;A928)))</f>
        <v>#REF!</v>
      </c>
      <c r="K928" t="e" cm="1">
        <f t="array" aca="1" ref="K928" ca="1">IF(OR(A928="",B928="safety"),"",IF(ISBLANK(INDIRECT("template!"&amp;"H"&amp;A928)),"",INDIRECT("template!"&amp;"H"&amp;A928)))</f>
        <v>#REF!</v>
      </c>
      <c r="L928" t="e" cm="1">
        <f t="array" aca="1" ref="L928" ca="1">IF(OR(A928="",B928="safety"),"",INDIRECT("template!"&amp;"I"&amp;A928))</f>
        <v>#REF!</v>
      </c>
      <c r="M928" t="e" cm="1">
        <f t="array" aca="1" ref="M928" ca="1">IF(OR(A928="",B928="safety"),"",INDIRECT("template!"&amp;"J"&amp;A928))</f>
        <v>#REF!</v>
      </c>
      <c r="N928" t="e" cm="1">
        <f t="array" aca="1" ref="N928" ca="1">IF(OR(A928="",B928="safety"),"",IF(ISBLANK(INDIRECT("template!"&amp;"K"&amp;A928)),"",INDIRECT("template!"&amp;"K"&amp;A928)))</f>
        <v>#REF!</v>
      </c>
      <c r="O928" t="e" cm="1">
        <f t="array" aca="1" ref="O928" ca="1">IF(OR(A928="",B928="safety"),"",INDIRECT("template!"&amp;"L"&amp;A928))</f>
        <v>#REF!</v>
      </c>
      <c r="P928" t="e" cm="1">
        <f t="array" aca="1" ref="P928" ca="1">IF(OR(A928="",B928="safety"),"",INDIRECT("template!"&amp;"M"&amp;A928))</f>
        <v>#REF!</v>
      </c>
      <c r="Q928" t="e">
        <f t="shared" ca="1" si="82"/>
        <v>#REF!</v>
      </c>
      <c r="R928" t="e">
        <f t="shared" ca="1" si="83"/>
        <v>#REF!</v>
      </c>
      <c r="S928" t="e">
        <f t="shared" ca="1" si="84"/>
        <v>#REF!</v>
      </c>
      <c r="T928" t="e">
        <f t="shared" ca="1" si="85"/>
        <v>#REF!</v>
      </c>
      <c r="U928" t="e" cm="1">
        <f t="array" aca="1" ref="U928" ca="1">IF(A928="","",IF(E928="","",IF(B928="safety",INDIRECT("template!"&amp;"P"&amp;A928),Q928+R928)))</f>
        <v>#REF!</v>
      </c>
      <c r="V928" t="e" cm="1">
        <f t="array" aca="1" ref="V928" ca="1">IF(A928="","",IF(E928="","",IF(B928="safety",INDIRECT("template!"&amp;"P"&amp;A928),S928+T928)))</f>
        <v>#REF!</v>
      </c>
      <c r="W928" t="e">
        <f ca="1">IF(A928="","",IF(E928="","",#REF!))</f>
        <v>#REF!</v>
      </c>
      <c r="X928" t="e">
        <f ca="1">IF(A928="","",IF(E928="","",#REF!))</f>
        <v>#REF!</v>
      </c>
      <c r="Y928" s="39" t="e">
        <f ca="1">IF(A928="","",IF(E928="","",#REF!))</f>
        <v>#REF!</v>
      </c>
      <c r="Z928" t="e">
        <f ca="1">IF(A928="","",IF(E928="","",#REF!))</f>
        <v>#REF!</v>
      </c>
      <c r="AA928" t="e">
        <f ca="1">IF(A928="","",IF(E928="","",#REF!))</f>
        <v>#REF!</v>
      </c>
      <c r="AB928" t="e">
        <f ca="1">IF(A928="","",IF(E928="","",#REF!))</f>
        <v>#REF!</v>
      </c>
      <c r="AC928" t="e">
        <f t="shared" ca="1" si="86"/>
        <v>#REF!</v>
      </c>
    </row>
    <row r="929" spans="1:29" x14ac:dyDescent="0.35">
      <c r="A929" t="e" cm="1">
        <f t="array" aca="1" ref="A929" ca="1">IF(A928="","",IF(OR(AND(A928+1&gt;=$AF$1,A928+1&lt;=$AF$2),AND(A928+1&gt;=$AF$6,A928+1&lt;=$AF$7),AND(A928+1&gt;=$AF$3,A928+1&lt;=$AF$4),AND(A928+1&gt;=$AF$8,A928+1&lt;=$AF$9),A928+1=$AF$5),IF(NOT(ISBLANK(INDIRECT("template!"&amp;"P"&amp;A928+1))),A928+1,IF(NOT(ISBLANK(INDIRECT("template!"&amp;"P"&amp;A928+2))),A928+2,A928+3)),IF(A928=$AF$2,$AF$3,IF(A928=$AF$4,$AF$5,IF(A928=$AF$5,$AF$6,IF(A928=$AF$7,$AF$8,""))))))</f>
        <v>#REF!</v>
      </c>
      <c r="B929" t="e">
        <f t="shared" ca="1" si="81"/>
        <v>#REF!</v>
      </c>
      <c r="C929" t="e" cm="1">
        <f t="array" aca="1" ref="C929" ca="1">IF(A929="","",IF(B929="safety","safety costs",INDIRECT("template!"&amp;"B"&amp;A929)))</f>
        <v>#REF!</v>
      </c>
      <c r="D929" t="e" cm="1">
        <f t="array" aca="1" ref="D929" ca="1">IF(OR(A929="",B929="safety"),"",INDIRECT("template!"&amp;"C"&amp;A929))</f>
        <v>#REF!</v>
      </c>
      <c r="E929" t="e" cm="1">
        <f t="array" aca="1" ref="E929" ca="1">IF(A929="","",IF(OR(A929=A928+1,A929=A928+2),E928,INDIRECT("template!"&amp;"D"&amp;A929-2)))</f>
        <v>#REF!</v>
      </c>
      <c r="F929" t="e" cm="1">
        <f t="array" aca="1" ref="F929" ca="1">IF(OR(A929="",B929="safety"),"",IF(ISBLANK(IF(A929=A928+1,F928,INDIRECT("template!"&amp;"D"&amp;A929-1))),"",IF(A929=A928+1,F928,INDIRECT("template!"&amp;"D"&amp;A929-1))))</f>
        <v>#REF!</v>
      </c>
      <c r="G929" t="e" cm="1">
        <f t="array" aca="1" ref="G929" ca="1">IF(OR(A929="",B929="safety"),"",IF(ISBLANK(INDIRECT("template!"&amp;"D"&amp;A929)),"",INDIRECT("template!"&amp;"D"&amp;A929)))</f>
        <v>#REF!</v>
      </c>
      <c r="H929" t="e" cm="1">
        <f t="array" aca="1" ref="H929" ca="1">IF(OR(A929="",B929="safety"),"",IF(ISBLANK(INDIRECT("template!"&amp;"E"&amp;A929)),"",INDIRECT("template!"&amp;"E"&amp;A929)))</f>
        <v>#REF!</v>
      </c>
      <c r="I929" t="e" cm="1">
        <f t="array" aca="1" ref="I929" ca="1">IF(OR(A929="",B929="safety"),"",IF(ISBLANK(INDIRECT("template!"&amp;"F"&amp;A929)),"",INDIRECT("template!"&amp;"F"&amp;A929)))</f>
        <v>#REF!</v>
      </c>
      <c r="J929" t="e" cm="1">
        <f t="array" aca="1" ref="J929" ca="1">IF(OR(A929="",B929="safety"),"",IF(ISBLANK(INDIRECT("template!"&amp;"G"&amp;A929)),"",INDIRECT("template!"&amp;"G"&amp;A929)))</f>
        <v>#REF!</v>
      </c>
      <c r="K929" t="e" cm="1">
        <f t="array" aca="1" ref="K929" ca="1">IF(OR(A929="",B929="safety"),"",IF(ISBLANK(INDIRECT("template!"&amp;"H"&amp;A929)),"",INDIRECT("template!"&amp;"H"&amp;A929)))</f>
        <v>#REF!</v>
      </c>
      <c r="L929" t="e" cm="1">
        <f t="array" aca="1" ref="L929" ca="1">IF(OR(A929="",B929="safety"),"",INDIRECT("template!"&amp;"I"&amp;A929))</f>
        <v>#REF!</v>
      </c>
      <c r="M929" t="e" cm="1">
        <f t="array" aca="1" ref="M929" ca="1">IF(OR(A929="",B929="safety"),"",INDIRECT("template!"&amp;"J"&amp;A929))</f>
        <v>#REF!</v>
      </c>
      <c r="N929" t="e" cm="1">
        <f t="array" aca="1" ref="N929" ca="1">IF(OR(A929="",B929="safety"),"",IF(ISBLANK(INDIRECT("template!"&amp;"K"&amp;A929)),"",INDIRECT("template!"&amp;"K"&amp;A929)))</f>
        <v>#REF!</v>
      </c>
      <c r="O929" t="e" cm="1">
        <f t="array" aca="1" ref="O929" ca="1">IF(OR(A929="",B929="safety"),"",INDIRECT("template!"&amp;"L"&amp;A929))</f>
        <v>#REF!</v>
      </c>
      <c r="P929" t="e" cm="1">
        <f t="array" aca="1" ref="P929" ca="1">IF(OR(A929="",B929="safety"),"",INDIRECT("template!"&amp;"M"&amp;A929))</f>
        <v>#REF!</v>
      </c>
      <c r="Q929" t="e">
        <f t="shared" ca="1" si="82"/>
        <v>#REF!</v>
      </c>
      <c r="R929" t="e">
        <f t="shared" ca="1" si="83"/>
        <v>#REF!</v>
      </c>
      <c r="S929" t="e">
        <f t="shared" ca="1" si="84"/>
        <v>#REF!</v>
      </c>
      <c r="T929" t="e">
        <f t="shared" ca="1" si="85"/>
        <v>#REF!</v>
      </c>
      <c r="U929" t="e" cm="1">
        <f t="array" aca="1" ref="U929" ca="1">IF(A929="","",IF(E929="","",IF(B929="safety",INDIRECT("template!"&amp;"P"&amp;A929),Q929+R929)))</f>
        <v>#REF!</v>
      </c>
      <c r="V929" t="e" cm="1">
        <f t="array" aca="1" ref="V929" ca="1">IF(A929="","",IF(E929="","",IF(B929="safety",INDIRECT("template!"&amp;"P"&amp;A929),S929+T929)))</f>
        <v>#REF!</v>
      </c>
      <c r="W929" t="e">
        <f ca="1">IF(A929="","",IF(E929="","",#REF!))</f>
        <v>#REF!</v>
      </c>
      <c r="X929" t="e">
        <f ca="1">IF(A929="","",IF(E929="","",#REF!))</f>
        <v>#REF!</v>
      </c>
      <c r="Y929" s="39" t="e">
        <f ca="1">IF(A929="","",IF(E929="","",#REF!))</f>
        <v>#REF!</v>
      </c>
      <c r="Z929" t="e">
        <f ca="1">IF(A929="","",IF(E929="","",#REF!))</f>
        <v>#REF!</v>
      </c>
      <c r="AA929" t="e">
        <f ca="1">IF(A929="","",IF(E929="","",#REF!))</f>
        <v>#REF!</v>
      </c>
      <c r="AB929" t="e">
        <f ca="1">IF(A929="","",IF(E929="","",#REF!))</f>
        <v>#REF!</v>
      </c>
      <c r="AC929" t="e">
        <f t="shared" ca="1" si="86"/>
        <v>#REF!</v>
      </c>
    </row>
    <row r="930" spans="1:29" x14ac:dyDescent="0.35">
      <c r="A930" t="e" cm="1">
        <f t="array" aca="1" ref="A930" ca="1">IF(A929="","",IF(OR(AND(A929+1&gt;=$AF$1,A929+1&lt;=$AF$2),AND(A929+1&gt;=$AF$6,A929+1&lt;=$AF$7),AND(A929+1&gt;=$AF$3,A929+1&lt;=$AF$4),AND(A929+1&gt;=$AF$8,A929+1&lt;=$AF$9),A929+1=$AF$5),IF(NOT(ISBLANK(INDIRECT("template!"&amp;"P"&amp;A929+1))),A929+1,IF(NOT(ISBLANK(INDIRECT("template!"&amp;"P"&amp;A929+2))),A929+2,A929+3)),IF(A929=$AF$2,$AF$3,IF(A929=$AF$4,$AF$5,IF(A929=$AF$5,$AF$6,IF(A929=$AF$7,$AF$8,""))))))</f>
        <v>#REF!</v>
      </c>
      <c r="B930" t="e">
        <f t="shared" ca="1" si="81"/>
        <v>#REF!</v>
      </c>
      <c r="C930" t="e" cm="1">
        <f t="array" aca="1" ref="C930" ca="1">IF(A930="","",IF(B930="safety","safety costs",INDIRECT("template!"&amp;"B"&amp;A930)))</f>
        <v>#REF!</v>
      </c>
      <c r="D930" t="e" cm="1">
        <f t="array" aca="1" ref="D930" ca="1">IF(OR(A930="",B930="safety"),"",INDIRECT("template!"&amp;"C"&amp;A930))</f>
        <v>#REF!</v>
      </c>
      <c r="E930" t="e" cm="1">
        <f t="array" aca="1" ref="E930" ca="1">IF(A930="","",IF(OR(A930=A929+1,A930=A929+2),E929,INDIRECT("template!"&amp;"D"&amp;A930-2)))</f>
        <v>#REF!</v>
      </c>
      <c r="F930" t="e" cm="1">
        <f t="array" aca="1" ref="F930" ca="1">IF(OR(A930="",B930="safety"),"",IF(ISBLANK(IF(A930=A929+1,F929,INDIRECT("template!"&amp;"D"&amp;A930-1))),"",IF(A930=A929+1,F929,INDIRECT("template!"&amp;"D"&amp;A930-1))))</f>
        <v>#REF!</v>
      </c>
      <c r="G930" t="e" cm="1">
        <f t="array" aca="1" ref="G930" ca="1">IF(OR(A930="",B930="safety"),"",IF(ISBLANK(INDIRECT("template!"&amp;"D"&amp;A930)),"",INDIRECT("template!"&amp;"D"&amp;A930)))</f>
        <v>#REF!</v>
      </c>
      <c r="H930" t="e" cm="1">
        <f t="array" aca="1" ref="H930" ca="1">IF(OR(A930="",B930="safety"),"",IF(ISBLANK(INDIRECT("template!"&amp;"E"&amp;A930)),"",INDIRECT("template!"&amp;"E"&amp;A930)))</f>
        <v>#REF!</v>
      </c>
      <c r="I930" t="e" cm="1">
        <f t="array" aca="1" ref="I930" ca="1">IF(OR(A930="",B930="safety"),"",IF(ISBLANK(INDIRECT("template!"&amp;"F"&amp;A930)),"",INDIRECT("template!"&amp;"F"&amp;A930)))</f>
        <v>#REF!</v>
      </c>
      <c r="J930" t="e" cm="1">
        <f t="array" aca="1" ref="J930" ca="1">IF(OR(A930="",B930="safety"),"",IF(ISBLANK(INDIRECT("template!"&amp;"G"&amp;A930)),"",INDIRECT("template!"&amp;"G"&amp;A930)))</f>
        <v>#REF!</v>
      </c>
      <c r="K930" t="e" cm="1">
        <f t="array" aca="1" ref="K930" ca="1">IF(OR(A930="",B930="safety"),"",IF(ISBLANK(INDIRECT("template!"&amp;"H"&amp;A930)),"",INDIRECT("template!"&amp;"H"&amp;A930)))</f>
        <v>#REF!</v>
      </c>
      <c r="L930" t="e" cm="1">
        <f t="array" aca="1" ref="L930" ca="1">IF(OR(A930="",B930="safety"),"",INDIRECT("template!"&amp;"I"&amp;A930))</f>
        <v>#REF!</v>
      </c>
      <c r="M930" t="e" cm="1">
        <f t="array" aca="1" ref="M930" ca="1">IF(OR(A930="",B930="safety"),"",INDIRECT("template!"&amp;"J"&amp;A930))</f>
        <v>#REF!</v>
      </c>
      <c r="N930" t="e" cm="1">
        <f t="array" aca="1" ref="N930" ca="1">IF(OR(A930="",B930="safety"),"",IF(ISBLANK(INDIRECT("template!"&amp;"K"&amp;A930)),"",INDIRECT("template!"&amp;"K"&amp;A930)))</f>
        <v>#REF!</v>
      </c>
      <c r="O930" t="e" cm="1">
        <f t="array" aca="1" ref="O930" ca="1">IF(OR(A930="",B930="safety"),"",INDIRECT("template!"&amp;"L"&amp;A930))</f>
        <v>#REF!</v>
      </c>
      <c r="P930" t="e" cm="1">
        <f t="array" aca="1" ref="P930" ca="1">IF(OR(A930="",B930="safety"),"",INDIRECT("template!"&amp;"M"&amp;A930))</f>
        <v>#REF!</v>
      </c>
      <c r="Q930" t="e">
        <f t="shared" ca="1" si="82"/>
        <v>#REF!</v>
      </c>
      <c r="R930" t="e">
        <f t="shared" ca="1" si="83"/>
        <v>#REF!</v>
      </c>
      <c r="S930" t="e">
        <f t="shared" ca="1" si="84"/>
        <v>#REF!</v>
      </c>
      <c r="T930" t="e">
        <f t="shared" ca="1" si="85"/>
        <v>#REF!</v>
      </c>
      <c r="U930" t="e" cm="1">
        <f t="array" aca="1" ref="U930" ca="1">IF(A930="","",IF(E930="","",IF(B930="safety",INDIRECT("template!"&amp;"P"&amp;A930),Q930+R930)))</f>
        <v>#REF!</v>
      </c>
      <c r="V930" t="e" cm="1">
        <f t="array" aca="1" ref="V930" ca="1">IF(A930="","",IF(E930="","",IF(B930="safety",INDIRECT("template!"&amp;"P"&amp;A930),S930+T930)))</f>
        <v>#REF!</v>
      </c>
      <c r="W930" t="e">
        <f ca="1">IF(A930="","",IF(E930="","",#REF!))</f>
        <v>#REF!</v>
      </c>
      <c r="X930" t="e">
        <f ca="1">IF(A930="","",IF(E930="","",#REF!))</f>
        <v>#REF!</v>
      </c>
      <c r="Y930" s="39" t="e">
        <f ca="1">IF(A930="","",IF(E930="","",#REF!))</f>
        <v>#REF!</v>
      </c>
      <c r="Z930" t="e">
        <f ca="1">IF(A930="","",IF(E930="","",#REF!))</f>
        <v>#REF!</v>
      </c>
      <c r="AA930" t="e">
        <f ca="1">IF(A930="","",IF(E930="","",#REF!))</f>
        <v>#REF!</v>
      </c>
      <c r="AB930" t="e">
        <f ca="1">IF(A930="","",IF(E930="","",#REF!))</f>
        <v>#REF!</v>
      </c>
      <c r="AC930" t="e">
        <f t="shared" ca="1" si="86"/>
        <v>#REF!</v>
      </c>
    </row>
    <row r="931" spans="1:29" x14ac:dyDescent="0.35">
      <c r="A931" t="e" cm="1">
        <f t="array" aca="1" ref="A931" ca="1">IF(A930="","",IF(OR(AND(A930+1&gt;=$AF$1,A930+1&lt;=$AF$2),AND(A930+1&gt;=$AF$6,A930+1&lt;=$AF$7),AND(A930+1&gt;=$AF$3,A930+1&lt;=$AF$4),AND(A930+1&gt;=$AF$8,A930+1&lt;=$AF$9),A930+1=$AF$5),IF(NOT(ISBLANK(INDIRECT("template!"&amp;"P"&amp;A930+1))),A930+1,IF(NOT(ISBLANK(INDIRECT("template!"&amp;"P"&amp;A930+2))),A930+2,A930+3)),IF(A930=$AF$2,$AF$3,IF(A930=$AF$4,$AF$5,IF(A930=$AF$5,$AF$6,IF(A930=$AF$7,$AF$8,""))))))</f>
        <v>#REF!</v>
      </c>
      <c r="B931" t="e">
        <f t="shared" ca="1" si="81"/>
        <v>#REF!</v>
      </c>
      <c r="C931" t="e" cm="1">
        <f t="array" aca="1" ref="C931" ca="1">IF(A931="","",IF(B931="safety","safety costs",INDIRECT("template!"&amp;"B"&amp;A931)))</f>
        <v>#REF!</v>
      </c>
      <c r="D931" t="e" cm="1">
        <f t="array" aca="1" ref="D931" ca="1">IF(OR(A931="",B931="safety"),"",INDIRECT("template!"&amp;"C"&amp;A931))</f>
        <v>#REF!</v>
      </c>
      <c r="E931" t="e" cm="1">
        <f t="array" aca="1" ref="E931" ca="1">IF(A931="","",IF(OR(A931=A930+1,A931=A930+2),E930,INDIRECT("template!"&amp;"D"&amp;A931-2)))</f>
        <v>#REF!</v>
      </c>
      <c r="F931" t="e" cm="1">
        <f t="array" aca="1" ref="F931" ca="1">IF(OR(A931="",B931="safety"),"",IF(ISBLANK(IF(A931=A930+1,F930,INDIRECT("template!"&amp;"D"&amp;A931-1))),"",IF(A931=A930+1,F930,INDIRECT("template!"&amp;"D"&amp;A931-1))))</f>
        <v>#REF!</v>
      </c>
      <c r="G931" t="e" cm="1">
        <f t="array" aca="1" ref="G931" ca="1">IF(OR(A931="",B931="safety"),"",IF(ISBLANK(INDIRECT("template!"&amp;"D"&amp;A931)),"",INDIRECT("template!"&amp;"D"&amp;A931)))</f>
        <v>#REF!</v>
      </c>
      <c r="H931" t="e" cm="1">
        <f t="array" aca="1" ref="H931" ca="1">IF(OR(A931="",B931="safety"),"",IF(ISBLANK(INDIRECT("template!"&amp;"E"&amp;A931)),"",INDIRECT("template!"&amp;"E"&amp;A931)))</f>
        <v>#REF!</v>
      </c>
      <c r="I931" t="e" cm="1">
        <f t="array" aca="1" ref="I931" ca="1">IF(OR(A931="",B931="safety"),"",IF(ISBLANK(INDIRECT("template!"&amp;"F"&amp;A931)),"",INDIRECT("template!"&amp;"F"&amp;A931)))</f>
        <v>#REF!</v>
      </c>
      <c r="J931" t="e" cm="1">
        <f t="array" aca="1" ref="J931" ca="1">IF(OR(A931="",B931="safety"),"",IF(ISBLANK(INDIRECT("template!"&amp;"G"&amp;A931)),"",INDIRECT("template!"&amp;"G"&amp;A931)))</f>
        <v>#REF!</v>
      </c>
      <c r="K931" t="e" cm="1">
        <f t="array" aca="1" ref="K931" ca="1">IF(OR(A931="",B931="safety"),"",IF(ISBLANK(INDIRECT("template!"&amp;"H"&amp;A931)),"",INDIRECT("template!"&amp;"H"&amp;A931)))</f>
        <v>#REF!</v>
      </c>
      <c r="L931" t="e" cm="1">
        <f t="array" aca="1" ref="L931" ca="1">IF(OR(A931="",B931="safety"),"",INDIRECT("template!"&amp;"I"&amp;A931))</f>
        <v>#REF!</v>
      </c>
      <c r="M931" t="e" cm="1">
        <f t="array" aca="1" ref="M931" ca="1">IF(OR(A931="",B931="safety"),"",INDIRECT("template!"&amp;"J"&amp;A931))</f>
        <v>#REF!</v>
      </c>
      <c r="N931" t="e" cm="1">
        <f t="array" aca="1" ref="N931" ca="1">IF(OR(A931="",B931="safety"),"",IF(ISBLANK(INDIRECT("template!"&amp;"K"&amp;A931)),"",INDIRECT("template!"&amp;"K"&amp;A931)))</f>
        <v>#REF!</v>
      </c>
      <c r="O931" t="e" cm="1">
        <f t="array" aca="1" ref="O931" ca="1">IF(OR(A931="",B931="safety"),"",INDIRECT("template!"&amp;"L"&amp;A931))</f>
        <v>#REF!</v>
      </c>
      <c r="P931" t="e" cm="1">
        <f t="array" aca="1" ref="P931" ca="1">IF(OR(A931="",B931="safety"),"",INDIRECT("template!"&amp;"M"&amp;A931))</f>
        <v>#REF!</v>
      </c>
      <c r="Q931" t="e">
        <f t="shared" ca="1" si="82"/>
        <v>#REF!</v>
      </c>
      <c r="R931" t="e">
        <f t="shared" ca="1" si="83"/>
        <v>#REF!</v>
      </c>
      <c r="S931" t="e">
        <f t="shared" ca="1" si="84"/>
        <v>#REF!</v>
      </c>
      <c r="T931" t="e">
        <f t="shared" ca="1" si="85"/>
        <v>#REF!</v>
      </c>
      <c r="U931" t="e" cm="1">
        <f t="array" aca="1" ref="U931" ca="1">IF(A931="","",IF(E931="","",IF(B931="safety",INDIRECT("template!"&amp;"P"&amp;A931),Q931+R931)))</f>
        <v>#REF!</v>
      </c>
      <c r="V931" t="e" cm="1">
        <f t="array" aca="1" ref="V931" ca="1">IF(A931="","",IF(E931="","",IF(B931="safety",INDIRECT("template!"&amp;"P"&amp;A931),S931+T931)))</f>
        <v>#REF!</v>
      </c>
      <c r="W931" t="e">
        <f ca="1">IF(A931="","",IF(E931="","",#REF!))</f>
        <v>#REF!</v>
      </c>
      <c r="X931" t="e">
        <f ca="1">IF(A931="","",IF(E931="","",#REF!))</f>
        <v>#REF!</v>
      </c>
      <c r="Y931" s="39" t="e">
        <f ca="1">IF(A931="","",IF(E931="","",#REF!))</f>
        <v>#REF!</v>
      </c>
      <c r="Z931" t="e">
        <f ca="1">IF(A931="","",IF(E931="","",#REF!))</f>
        <v>#REF!</v>
      </c>
      <c r="AA931" t="e">
        <f ca="1">IF(A931="","",IF(E931="","",#REF!))</f>
        <v>#REF!</v>
      </c>
      <c r="AB931" t="e">
        <f ca="1">IF(A931="","",IF(E931="","",#REF!))</f>
        <v>#REF!</v>
      </c>
      <c r="AC931" t="e">
        <f t="shared" ca="1" si="86"/>
        <v>#REF!</v>
      </c>
    </row>
    <row r="932" spans="1:29" x14ac:dyDescent="0.35">
      <c r="A932" t="e" cm="1">
        <f t="array" aca="1" ref="A932" ca="1">IF(A931="","",IF(OR(AND(A931+1&gt;=$AF$1,A931+1&lt;=$AF$2),AND(A931+1&gt;=$AF$6,A931+1&lt;=$AF$7),AND(A931+1&gt;=$AF$3,A931+1&lt;=$AF$4),AND(A931+1&gt;=$AF$8,A931+1&lt;=$AF$9),A931+1=$AF$5),IF(NOT(ISBLANK(INDIRECT("template!"&amp;"P"&amp;A931+1))),A931+1,IF(NOT(ISBLANK(INDIRECT("template!"&amp;"P"&amp;A931+2))),A931+2,A931+3)),IF(A931=$AF$2,$AF$3,IF(A931=$AF$4,$AF$5,IF(A931=$AF$5,$AF$6,IF(A931=$AF$7,$AF$8,""))))))</f>
        <v>#REF!</v>
      </c>
      <c r="B932" t="e">
        <f t="shared" ca="1" si="81"/>
        <v>#REF!</v>
      </c>
      <c r="C932" t="e" cm="1">
        <f t="array" aca="1" ref="C932" ca="1">IF(A932="","",IF(B932="safety","safety costs",INDIRECT("template!"&amp;"B"&amp;A932)))</f>
        <v>#REF!</v>
      </c>
      <c r="D932" t="e" cm="1">
        <f t="array" aca="1" ref="D932" ca="1">IF(OR(A932="",B932="safety"),"",INDIRECT("template!"&amp;"C"&amp;A932))</f>
        <v>#REF!</v>
      </c>
      <c r="E932" t="e" cm="1">
        <f t="array" aca="1" ref="E932" ca="1">IF(A932="","",IF(OR(A932=A931+1,A932=A931+2),E931,INDIRECT("template!"&amp;"D"&amp;A932-2)))</f>
        <v>#REF!</v>
      </c>
      <c r="F932" t="e" cm="1">
        <f t="array" aca="1" ref="F932" ca="1">IF(OR(A932="",B932="safety"),"",IF(ISBLANK(IF(A932=A931+1,F931,INDIRECT("template!"&amp;"D"&amp;A932-1))),"",IF(A932=A931+1,F931,INDIRECT("template!"&amp;"D"&amp;A932-1))))</f>
        <v>#REF!</v>
      </c>
      <c r="G932" t="e" cm="1">
        <f t="array" aca="1" ref="G932" ca="1">IF(OR(A932="",B932="safety"),"",IF(ISBLANK(INDIRECT("template!"&amp;"D"&amp;A932)),"",INDIRECT("template!"&amp;"D"&amp;A932)))</f>
        <v>#REF!</v>
      </c>
      <c r="H932" t="e" cm="1">
        <f t="array" aca="1" ref="H932" ca="1">IF(OR(A932="",B932="safety"),"",IF(ISBLANK(INDIRECT("template!"&amp;"E"&amp;A932)),"",INDIRECT("template!"&amp;"E"&amp;A932)))</f>
        <v>#REF!</v>
      </c>
      <c r="I932" t="e" cm="1">
        <f t="array" aca="1" ref="I932" ca="1">IF(OR(A932="",B932="safety"),"",IF(ISBLANK(INDIRECT("template!"&amp;"F"&amp;A932)),"",INDIRECT("template!"&amp;"F"&amp;A932)))</f>
        <v>#REF!</v>
      </c>
      <c r="J932" t="e" cm="1">
        <f t="array" aca="1" ref="J932" ca="1">IF(OR(A932="",B932="safety"),"",IF(ISBLANK(INDIRECT("template!"&amp;"G"&amp;A932)),"",INDIRECT("template!"&amp;"G"&amp;A932)))</f>
        <v>#REF!</v>
      </c>
      <c r="K932" t="e" cm="1">
        <f t="array" aca="1" ref="K932" ca="1">IF(OR(A932="",B932="safety"),"",IF(ISBLANK(INDIRECT("template!"&amp;"H"&amp;A932)),"",INDIRECT("template!"&amp;"H"&amp;A932)))</f>
        <v>#REF!</v>
      </c>
      <c r="L932" t="e" cm="1">
        <f t="array" aca="1" ref="L932" ca="1">IF(OR(A932="",B932="safety"),"",INDIRECT("template!"&amp;"I"&amp;A932))</f>
        <v>#REF!</v>
      </c>
      <c r="M932" t="e" cm="1">
        <f t="array" aca="1" ref="M932" ca="1">IF(OR(A932="",B932="safety"),"",INDIRECT("template!"&amp;"J"&amp;A932))</f>
        <v>#REF!</v>
      </c>
      <c r="N932" t="e" cm="1">
        <f t="array" aca="1" ref="N932" ca="1">IF(OR(A932="",B932="safety"),"",IF(ISBLANK(INDIRECT("template!"&amp;"K"&amp;A932)),"",INDIRECT("template!"&amp;"K"&amp;A932)))</f>
        <v>#REF!</v>
      </c>
      <c r="O932" t="e" cm="1">
        <f t="array" aca="1" ref="O932" ca="1">IF(OR(A932="",B932="safety"),"",INDIRECT("template!"&amp;"L"&amp;A932))</f>
        <v>#REF!</v>
      </c>
      <c r="P932" t="e" cm="1">
        <f t="array" aca="1" ref="P932" ca="1">IF(OR(A932="",B932="safety"),"",INDIRECT("template!"&amp;"M"&amp;A932))</f>
        <v>#REF!</v>
      </c>
      <c r="Q932" t="e">
        <f t="shared" ca="1" si="82"/>
        <v>#REF!</v>
      </c>
      <c r="R932" t="e">
        <f t="shared" ca="1" si="83"/>
        <v>#REF!</v>
      </c>
      <c r="S932" t="e">
        <f t="shared" ca="1" si="84"/>
        <v>#REF!</v>
      </c>
      <c r="T932" t="e">
        <f t="shared" ca="1" si="85"/>
        <v>#REF!</v>
      </c>
      <c r="U932" t="e" cm="1">
        <f t="array" aca="1" ref="U932" ca="1">IF(A932="","",IF(E932="","",IF(B932="safety",INDIRECT("template!"&amp;"P"&amp;A932),Q932+R932)))</f>
        <v>#REF!</v>
      </c>
      <c r="V932" t="e" cm="1">
        <f t="array" aca="1" ref="V932" ca="1">IF(A932="","",IF(E932="","",IF(B932="safety",INDIRECT("template!"&amp;"P"&amp;A932),S932+T932)))</f>
        <v>#REF!</v>
      </c>
      <c r="W932" t="e">
        <f ca="1">IF(A932="","",IF(E932="","",#REF!))</f>
        <v>#REF!</v>
      </c>
      <c r="X932" t="e">
        <f ca="1">IF(A932="","",IF(E932="","",#REF!))</f>
        <v>#REF!</v>
      </c>
      <c r="Y932" s="39" t="e">
        <f ca="1">IF(A932="","",IF(E932="","",#REF!))</f>
        <v>#REF!</v>
      </c>
      <c r="Z932" t="e">
        <f ca="1">IF(A932="","",IF(E932="","",#REF!))</f>
        <v>#REF!</v>
      </c>
      <c r="AA932" t="e">
        <f ca="1">IF(A932="","",IF(E932="","",#REF!))</f>
        <v>#REF!</v>
      </c>
      <c r="AB932" t="e">
        <f ca="1">IF(A932="","",IF(E932="","",#REF!))</f>
        <v>#REF!</v>
      </c>
      <c r="AC932" t="e">
        <f t="shared" ca="1" si="86"/>
        <v>#REF!</v>
      </c>
    </row>
    <row r="933" spans="1:29" x14ac:dyDescent="0.35">
      <c r="A933" t="e" cm="1">
        <f t="array" aca="1" ref="A933" ca="1">IF(A932="","",IF(OR(AND(A932+1&gt;=$AF$1,A932+1&lt;=$AF$2),AND(A932+1&gt;=$AF$6,A932+1&lt;=$AF$7),AND(A932+1&gt;=$AF$3,A932+1&lt;=$AF$4),AND(A932+1&gt;=$AF$8,A932+1&lt;=$AF$9),A932+1=$AF$5),IF(NOT(ISBLANK(INDIRECT("template!"&amp;"P"&amp;A932+1))),A932+1,IF(NOT(ISBLANK(INDIRECT("template!"&amp;"P"&amp;A932+2))),A932+2,A932+3)),IF(A932=$AF$2,$AF$3,IF(A932=$AF$4,$AF$5,IF(A932=$AF$5,$AF$6,IF(A932=$AF$7,$AF$8,""))))))</f>
        <v>#REF!</v>
      </c>
      <c r="B933" t="e">
        <f t="shared" ca="1" si="81"/>
        <v>#REF!</v>
      </c>
      <c r="C933" t="e" cm="1">
        <f t="array" aca="1" ref="C933" ca="1">IF(A933="","",IF(B933="safety","safety costs",INDIRECT("template!"&amp;"B"&amp;A933)))</f>
        <v>#REF!</v>
      </c>
      <c r="D933" t="e" cm="1">
        <f t="array" aca="1" ref="D933" ca="1">IF(OR(A933="",B933="safety"),"",INDIRECT("template!"&amp;"C"&amp;A933))</f>
        <v>#REF!</v>
      </c>
      <c r="E933" t="e" cm="1">
        <f t="array" aca="1" ref="E933" ca="1">IF(A933="","",IF(OR(A933=A932+1,A933=A932+2),E932,INDIRECT("template!"&amp;"D"&amp;A933-2)))</f>
        <v>#REF!</v>
      </c>
      <c r="F933" t="e" cm="1">
        <f t="array" aca="1" ref="F933" ca="1">IF(OR(A933="",B933="safety"),"",IF(ISBLANK(IF(A933=A932+1,F932,INDIRECT("template!"&amp;"D"&amp;A933-1))),"",IF(A933=A932+1,F932,INDIRECT("template!"&amp;"D"&amp;A933-1))))</f>
        <v>#REF!</v>
      </c>
      <c r="G933" t="e" cm="1">
        <f t="array" aca="1" ref="G933" ca="1">IF(OR(A933="",B933="safety"),"",IF(ISBLANK(INDIRECT("template!"&amp;"D"&amp;A933)),"",INDIRECT("template!"&amp;"D"&amp;A933)))</f>
        <v>#REF!</v>
      </c>
      <c r="H933" t="e" cm="1">
        <f t="array" aca="1" ref="H933" ca="1">IF(OR(A933="",B933="safety"),"",IF(ISBLANK(INDIRECT("template!"&amp;"E"&amp;A933)),"",INDIRECT("template!"&amp;"E"&amp;A933)))</f>
        <v>#REF!</v>
      </c>
      <c r="I933" t="e" cm="1">
        <f t="array" aca="1" ref="I933" ca="1">IF(OR(A933="",B933="safety"),"",IF(ISBLANK(INDIRECT("template!"&amp;"F"&amp;A933)),"",INDIRECT("template!"&amp;"F"&amp;A933)))</f>
        <v>#REF!</v>
      </c>
      <c r="J933" t="e" cm="1">
        <f t="array" aca="1" ref="J933" ca="1">IF(OR(A933="",B933="safety"),"",IF(ISBLANK(INDIRECT("template!"&amp;"G"&amp;A933)),"",INDIRECT("template!"&amp;"G"&amp;A933)))</f>
        <v>#REF!</v>
      </c>
      <c r="K933" t="e" cm="1">
        <f t="array" aca="1" ref="K933" ca="1">IF(OR(A933="",B933="safety"),"",IF(ISBLANK(INDIRECT("template!"&amp;"H"&amp;A933)),"",INDIRECT("template!"&amp;"H"&amp;A933)))</f>
        <v>#REF!</v>
      </c>
      <c r="L933" t="e" cm="1">
        <f t="array" aca="1" ref="L933" ca="1">IF(OR(A933="",B933="safety"),"",INDIRECT("template!"&amp;"I"&amp;A933))</f>
        <v>#REF!</v>
      </c>
      <c r="M933" t="e" cm="1">
        <f t="array" aca="1" ref="M933" ca="1">IF(OR(A933="",B933="safety"),"",INDIRECT("template!"&amp;"J"&amp;A933))</f>
        <v>#REF!</v>
      </c>
      <c r="N933" t="e" cm="1">
        <f t="array" aca="1" ref="N933" ca="1">IF(OR(A933="",B933="safety"),"",IF(ISBLANK(INDIRECT("template!"&amp;"K"&amp;A933)),"",INDIRECT("template!"&amp;"K"&amp;A933)))</f>
        <v>#REF!</v>
      </c>
      <c r="O933" t="e" cm="1">
        <f t="array" aca="1" ref="O933" ca="1">IF(OR(A933="",B933="safety"),"",INDIRECT("template!"&amp;"L"&amp;A933))</f>
        <v>#REF!</v>
      </c>
      <c r="P933" t="e" cm="1">
        <f t="array" aca="1" ref="P933" ca="1">IF(OR(A933="",B933="safety"),"",INDIRECT("template!"&amp;"M"&amp;A933))</f>
        <v>#REF!</v>
      </c>
      <c r="Q933" t="e">
        <f t="shared" ca="1" si="82"/>
        <v>#REF!</v>
      </c>
      <c r="R933" t="e">
        <f t="shared" ca="1" si="83"/>
        <v>#REF!</v>
      </c>
      <c r="S933" t="e">
        <f t="shared" ca="1" si="84"/>
        <v>#REF!</v>
      </c>
      <c r="T933" t="e">
        <f t="shared" ca="1" si="85"/>
        <v>#REF!</v>
      </c>
      <c r="U933" t="e" cm="1">
        <f t="array" aca="1" ref="U933" ca="1">IF(A933="","",IF(E933="","",IF(B933="safety",INDIRECT("template!"&amp;"P"&amp;A933),Q933+R933)))</f>
        <v>#REF!</v>
      </c>
      <c r="V933" t="e" cm="1">
        <f t="array" aca="1" ref="V933" ca="1">IF(A933="","",IF(E933="","",IF(B933="safety",INDIRECT("template!"&amp;"P"&amp;A933),S933+T933)))</f>
        <v>#REF!</v>
      </c>
      <c r="W933" t="e">
        <f ca="1">IF(A933="","",IF(E933="","",#REF!))</f>
        <v>#REF!</v>
      </c>
      <c r="X933" t="e">
        <f ca="1">IF(A933="","",IF(E933="","",#REF!))</f>
        <v>#REF!</v>
      </c>
      <c r="Y933" s="39" t="e">
        <f ca="1">IF(A933="","",IF(E933="","",#REF!))</f>
        <v>#REF!</v>
      </c>
      <c r="Z933" t="e">
        <f ca="1">IF(A933="","",IF(E933="","",#REF!))</f>
        <v>#REF!</v>
      </c>
      <c r="AA933" t="e">
        <f ca="1">IF(A933="","",IF(E933="","",#REF!))</f>
        <v>#REF!</v>
      </c>
      <c r="AB933" t="e">
        <f ca="1">IF(A933="","",IF(E933="","",#REF!))</f>
        <v>#REF!</v>
      </c>
      <c r="AC933" t="e">
        <f t="shared" ca="1" si="86"/>
        <v>#REF!</v>
      </c>
    </row>
    <row r="934" spans="1:29" x14ac:dyDescent="0.35">
      <c r="A934" t="e" cm="1">
        <f t="array" aca="1" ref="A934" ca="1">IF(A933="","",IF(OR(AND(A933+1&gt;=$AF$1,A933+1&lt;=$AF$2),AND(A933+1&gt;=$AF$6,A933+1&lt;=$AF$7),AND(A933+1&gt;=$AF$3,A933+1&lt;=$AF$4),AND(A933+1&gt;=$AF$8,A933+1&lt;=$AF$9),A933+1=$AF$5),IF(NOT(ISBLANK(INDIRECT("template!"&amp;"P"&amp;A933+1))),A933+1,IF(NOT(ISBLANK(INDIRECT("template!"&amp;"P"&amp;A933+2))),A933+2,A933+3)),IF(A933=$AF$2,$AF$3,IF(A933=$AF$4,$AF$5,IF(A933=$AF$5,$AF$6,IF(A933=$AF$7,$AF$8,""))))))</f>
        <v>#REF!</v>
      </c>
      <c r="B934" t="e">
        <f t="shared" ca="1" si="81"/>
        <v>#REF!</v>
      </c>
      <c r="C934" t="e" cm="1">
        <f t="array" aca="1" ref="C934" ca="1">IF(A934="","",IF(B934="safety","safety costs",INDIRECT("template!"&amp;"B"&amp;A934)))</f>
        <v>#REF!</v>
      </c>
      <c r="D934" t="e" cm="1">
        <f t="array" aca="1" ref="D934" ca="1">IF(OR(A934="",B934="safety"),"",INDIRECT("template!"&amp;"C"&amp;A934))</f>
        <v>#REF!</v>
      </c>
      <c r="E934" t="e" cm="1">
        <f t="array" aca="1" ref="E934" ca="1">IF(A934="","",IF(OR(A934=A933+1,A934=A933+2),E933,INDIRECT("template!"&amp;"D"&amp;A934-2)))</f>
        <v>#REF!</v>
      </c>
      <c r="F934" t="e" cm="1">
        <f t="array" aca="1" ref="F934" ca="1">IF(OR(A934="",B934="safety"),"",IF(ISBLANK(IF(A934=A933+1,F933,INDIRECT("template!"&amp;"D"&amp;A934-1))),"",IF(A934=A933+1,F933,INDIRECT("template!"&amp;"D"&amp;A934-1))))</f>
        <v>#REF!</v>
      </c>
      <c r="G934" t="e" cm="1">
        <f t="array" aca="1" ref="G934" ca="1">IF(OR(A934="",B934="safety"),"",IF(ISBLANK(INDIRECT("template!"&amp;"D"&amp;A934)),"",INDIRECT("template!"&amp;"D"&amp;A934)))</f>
        <v>#REF!</v>
      </c>
      <c r="H934" t="e" cm="1">
        <f t="array" aca="1" ref="H934" ca="1">IF(OR(A934="",B934="safety"),"",IF(ISBLANK(INDIRECT("template!"&amp;"E"&amp;A934)),"",INDIRECT("template!"&amp;"E"&amp;A934)))</f>
        <v>#REF!</v>
      </c>
      <c r="I934" t="e" cm="1">
        <f t="array" aca="1" ref="I934" ca="1">IF(OR(A934="",B934="safety"),"",IF(ISBLANK(INDIRECT("template!"&amp;"F"&amp;A934)),"",INDIRECT("template!"&amp;"F"&amp;A934)))</f>
        <v>#REF!</v>
      </c>
      <c r="J934" t="e" cm="1">
        <f t="array" aca="1" ref="J934" ca="1">IF(OR(A934="",B934="safety"),"",IF(ISBLANK(INDIRECT("template!"&amp;"G"&amp;A934)),"",INDIRECT("template!"&amp;"G"&amp;A934)))</f>
        <v>#REF!</v>
      </c>
      <c r="K934" t="e" cm="1">
        <f t="array" aca="1" ref="K934" ca="1">IF(OR(A934="",B934="safety"),"",IF(ISBLANK(INDIRECT("template!"&amp;"H"&amp;A934)),"",INDIRECT("template!"&amp;"H"&amp;A934)))</f>
        <v>#REF!</v>
      </c>
      <c r="L934" t="e" cm="1">
        <f t="array" aca="1" ref="L934" ca="1">IF(OR(A934="",B934="safety"),"",INDIRECT("template!"&amp;"I"&amp;A934))</f>
        <v>#REF!</v>
      </c>
      <c r="M934" t="e" cm="1">
        <f t="array" aca="1" ref="M934" ca="1">IF(OR(A934="",B934="safety"),"",INDIRECT("template!"&amp;"J"&amp;A934))</f>
        <v>#REF!</v>
      </c>
      <c r="N934" t="e" cm="1">
        <f t="array" aca="1" ref="N934" ca="1">IF(OR(A934="",B934="safety"),"",IF(ISBLANK(INDIRECT("template!"&amp;"K"&amp;A934)),"",INDIRECT("template!"&amp;"K"&amp;A934)))</f>
        <v>#REF!</v>
      </c>
      <c r="O934" t="e" cm="1">
        <f t="array" aca="1" ref="O934" ca="1">IF(OR(A934="",B934="safety"),"",INDIRECT("template!"&amp;"L"&amp;A934))</f>
        <v>#REF!</v>
      </c>
      <c r="P934" t="e" cm="1">
        <f t="array" aca="1" ref="P934" ca="1">IF(OR(A934="",B934="safety"),"",INDIRECT("template!"&amp;"M"&amp;A934))</f>
        <v>#REF!</v>
      </c>
      <c r="Q934" t="e">
        <f t="shared" ca="1" si="82"/>
        <v>#REF!</v>
      </c>
      <c r="R934" t="e">
        <f t="shared" ca="1" si="83"/>
        <v>#REF!</v>
      </c>
      <c r="S934" t="e">
        <f t="shared" ca="1" si="84"/>
        <v>#REF!</v>
      </c>
      <c r="T934" t="e">
        <f t="shared" ca="1" si="85"/>
        <v>#REF!</v>
      </c>
      <c r="U934" t="e" cm="1">
        <f t="array" aca="1" ref="U934" ca="1">IF(A934="","",IF(E934="","",IF(B934="safety",INDIRECT("template!"&amp;"P"&amp;A934),Q934+R934)))</f>
        <v>#REF!</v>
      </c>
      <c r="V934" t="e" cm="1">
        <f t="array" aca="1" ref="V934" ca="1">IF(A934="","",IF(E934="","",IF(B934="safety",INDIRECT("template!"&amp;"P"&amp;A934),S934+T934)))</f>
        <v>#REF!</v>
      </c>
      <c r="W934" t="e">
        <f ca="1">IF(A934="","",IF(E934="","",#REF!))</f>
        <v>#REF!</v>
      </c>
      <c r="X934" t="e">
        <f ca="1">IF(A934="","",IF(E934="","",#REF!))</f>
        <v>#REF!</v>
      </c>
      <c r="Y934" s="39" t="e">
        <f ca="1">IF(A934="","",IF(E934="","",#REF!))</f>
        <v>#REF!</v>
      </c>
      <c r="Z934" t="e">
        <f ca="1">IF(A934="","",IF(E934="","",#REF!))</f>
        <v>#REF!</v>
      </c>
      <c r="AA934" t="e">
        <f ca="1">IF(A934="","",IF(E934="","",#REF!))</f>
        <v>#REF!</v>
      </c>
      <c r="AB934" t="e">
        <f ca="1">IF(A934="","",IF(E934="","",#REF!))</f>
        <v>#REF!</v>
      </c>
      <c r="AC934" t="e">
        <f t="shared" ca="1" si="86"/>
        <v>#REF!</v>
      </c>
    </row>
    <row r="935" spans="1:29" x14ac:dyDescent="0.35">
      <c r="A935" t="e" cm="1">
        <f t="array" aca="1" ref="A935" ca="1">IF(A934="","",IF(OR(AND(A934+1&gt;=$AF$1,A934+1&lt;=$AF$2),AND(A934+1&gt;=$AF$6,A934+1&lt;=$AF$7),AND(A934+1&gt;=$AF$3,A934+1&lt;=$AF$4),AND(A934+1&gt;=$AF$8,A934+1&lt;=$AF$9),A934+1=$AF$5),IF(NOT(ISBLANK(INDIRECT("template!"&amp;"P"&amp;A934+1))),A934+1,IF(NOT(ISBLANK(INDIRECT("template!"&amp;"P"&amp;A934+2))),A934+2,A934+3)),IF(A934=$AF$2,$AF$3,IF(A934=$AF$4,$AF$5,IF(A934=$AF$5,$AF$6,IF(A934=$AF$7,$AF$8,""))))))</f>
        <v>#REF!</v>
      </c>
      <c r="B935" t="e">
        <f t="shared" ca="1" si="81"/>
        <v>#REF!</v>
      </c>
      <c r="C935" t="e" cm="1">
        <f t="array" aca="1" ref="C935" ca="1">IF(A935="","",IF(B935="safety","safety costs",INDIRECT("template!"&amp;"B"&amp;A935)))</f>
        <v>#REF!</v>
      </c>
      <c r="D935" t="e" cm="1">
        <f t="array" aca="1" ref="D935" ca="1">IF(OR(A935="",B935="safety"),"",INDIRECT("template!"&amp;"C"&amp;A935))</f>
        <v>#REF!</v>
      </c>
      <c r="E935" t="e" cm="1">
        <f t="array" aca="1" ref="E935" ca="1">IF(A935="","",IF(OR(A935=A934+1,A935=A934+2),E934,INDIRECT("template!"&amp;"D"&amp;A935-2)))</f>
        <v>#REF!</v>
      </c>
      <c r="F935" t="e" cm="1">
        <f t="array" aca="1" ref="F935" ca="1">IF(OR(A935="",B935="safety"),"",IF(ISBLANK(IF(A935=A934+1,F934,INDIRECT("template!"&amp;"D"&amp;A935-1))),"",IF(A935=A934+1,F934,INDIRECT("template!"&amp;"D"&amp;A935-1))))</f>
        <v>#REF!</v>
      </c>
      <c r="G935" t="e" cm="1">
        <f t="array" aca="1" ref="G935" ca="1">IF(OR(A935="",B935="safety"),"",IF(ISBLANK(INDIRECT("template!"&amp;"D"&amp;A935)),"",INDIRECT("template!"&amp;"D"&amp;A935)))</f>
        <v>#REF!</v>
      </c>
      <c r="H935" t="e" cm="1">
        <f t="array" aca="1" ref="H935" ca="1">IF(OR(A935="",B935="safety"),"",IF(ISBLANK(INDIRECT("template!"&amp;"E"&amp;A935)),"",INDIRECT("template!"&amp;"E"&amp;A935)))</f>
        <v>#REF!</v>
      </c>
      <c r="I935" t="e" cm="1">
        <f t="array" aca="1" ref="I935" ca="1">IF(OR(A935="",B935="safety"),"",IF(ISBLANK(INDIRECT("template!"&amp;"F"&amp;A935)),"",INDIRECT("template!"&amp;"F"&amp;A935)))</f>
        <v>#REF!</v>
      </c>
      <c r="J935" t="e" cm="1">
        <f t="array" aca="1" ref="J935" ca="1">IF(OR(A935="",B935="safety"),"",IF(ISBLANK(INDIRECT("template!"&amp;"G"&amp;A935)),"",INDIRECT("template!"&amp;"G"&amp;A935)))</f>
        <v>#REF!</v>
      </c>
      <c r="K935" t="e" cm="1">
        <f t="array" aca="1" ref="K935" ca="1">IF(OR(A935="",B935="safety"),"",IF(ISBLANK(INDIRECT("template!"&amp;"H"&amp;A935)),"",INDIRECT("template!"&amp;"H"&amp;A935)))</f>
        <v>#REF!</v>
      </c>
      <c r="L935" t="e" cm="1">
        <f t="array" aca="1" ref="L935" ca="1">IF(OR(A935="",B935="safety"),"",INDIRECT("template!"&amp;"I"&amp;A935))</f>
        <v>#REF!</v>
      </c>
      <c r="M935" t="e" cm="1">
        <f t="array" aca="1" ref="M935" ca="1">IF(OR(A935="",B935="safety"),"",INDIRECT("template!"&amp;"J"&amp;A935))</f>
        <v>#REF!</v>
      </c>
      <c r="N935" t="e" cm="1">
        <f t="array" aca="1" ref="N935" ca="1">IF(OR(A935="",B935="safety"),"",IF(ISBLANK(INDIRECT("template!"&amp;"K"&amp;A935)),"",INDIRECT("template!"&amp;"K"&amp;A935)))</f>
        <v>#REF!</v>
      </c>
      <c r="O935" t="e" cm="1">
        <f t="array" aca="1" ref="O935" ca="1">IF(OR(A935="",B935="safety"),"",INDIRECT("template!"&amp;"L"&amp;A935))</f>
        <v>#REF!</v>
      </c>
      <c r="P935" t="e" cm="1">
        <f t="array" aca="1" ref="P935" ca="1">IF(OR(A935="",B935="safety"),"",INDIRECT("template!"&amp;"M"&amp;A935))</f>
        <v>#REF!</v>
      </c>
      <c r="Q935" t="e">
        <f t="shared" ca="1" si="82"/>
        <v>#REF!</v>
      </c>
      <c r="R935" t="e">
        <f t="shared" ca="1" si="83"/>
        <v>#REF!</v>
      </c>
      <c r="S935" t="e">
        <f t="shared" ca="1" si="84"/>
        <v>#REF!</v>
      </c>
      <c r="T935" t="e">
        <f t="shared" ca="1" si="85"/>
        <v>#REF!</v>
      </c>
      <c r="U935" t="e" cm="1">
        <f t="array" aca="1" ref="U935" ca="1">IF(A935="","",IF(E935="","",IF(B935="safety",INDIRECT("template!"&amp;"P"&amp;A935),Q935+R935)))</f>
        <v>#REF!</v>
      </c>
      <c r="V935" t="e" cm="1">
        <f t="array" aca="1" ref="V935" ca="1">IF(A935="","",IF(E935="","",IF(B935="safety",INDIRECT("template!"&amp;"P"&amp;A935),S935+T935)))</f>
        <v>#REF!</v>
      </c>
      <c r="W935" t="e">
        <f ca="1">IF(A935="","",IF(E935="","",#REF!))</f>
        <v>#REF!</v>
      </c>
      <c r="X935" t="e">
        <f ca="1">IF(A935="","",IF(E935="","",#REF!))</f>
        <v>#REF!</v>
      </c>
      <c r="Y935" s="39" t="e">
        <f ca="1">IF(A935="","",IF(E935="","",#REF!))</f>
        <v>#REF!</v>
      </c>
      <c r="Z935" t="e">
        <f ca="1">IF(A935="","",IF(E935="","",#REF!))</f>
        <v>#REF!</v>
      </c>
      <c r="AA935" t="e">
        <f ca="1">IF(A935="","",IF(E935="","",#REF!))</f>
        <v>#REF!</v>
      </c>
      <c r="AB935" t="e">
        <f ca="1">IF(A935="","",IF(E935="","",#REF!))</f>
        <v>#REF!</v>
      </c>
      <c r="AC935" t="e">
        <f t="shared" ca="1" si="86"/>
        <v>#REF!</v>
      </c>
    </row>
    <row r="936" spans="1:29" x14ac:dyDescent="0.35">
      <c r="A936" t="e" cm="1">
        <f t="array" aca="1" ref="A936" ca="1">IF(A935="","",IF(OR(AND(A935+1&gt;=$AF$1,A935+1&lt;=$AF$2),AND(A935+1&gt;=$AF$6,A935+1&lt;=$AF$7),AND(A935+1&gt;=$AF$3,A935+1&lt;=$AF$4),AND(A935+1&gt;=$AF$8,A935+1&lt;=$AF$9),A935+1=$AF$5),IF(NOT(ISBLANK(INDIRECT("template!"&amp;"P"&amp;A935+1))),A935+1,IF(NOT(ISBLANK(INDIRECT("template!"&amp;"P"&amp;A935+2))),A935+2,A935+3)),IF(A935=$AF$2,$AF$3,IF(A935=$AF$4,$AF$5,IF(A935=$AF$5,$AF$6,IF(A935=$AF$7,$AF$8,""))))))</f>
        <v>#REF!</v>
      </c>
      <c r="B936" t="e">
        <f t="shared" ca="1" si="81"/>
        <v>#REF!</v>
      </c>
      <c r="C936" t="e" cm="1">
        <f t="array" aca="1" ref="C936" ca="1">IF(A936="","",IF(B936="safety","safety costs",INDIRECT("template!"&amp;"B"&amp;A936)))</f>
        <v>#REF!</v>
      </c>
      <c r="D936" t="e" cm="1">
        <f t="array" aca="1" ref="D936" ca="1">IF(OR(A936="",B936="safety"),"",INDIRECT("template!"&amp;"C"&amp;A936))</f>
        <v>#REF!</v>
      </c>
      <c r="E936" t="e" cm="1">
        <f t="array" aca="1" ref="E936" ca="1">IF(A936="","",IF(OR(A936=A935+1,A936=A935+2),E935,INDIRECT("template!"&amp;"D"&amp;A936-2)))</f>
        <v>#REF!</v>
      </c>
      <c r="F936" t="e" cm="1">
        <f t="array" aca="1" ref="F936" ca="1">IF(OR(A936="",B936="safety"),"",IF(ISBLANK(IF(A936=A935+1,F935,INDIRECT("template!"&amp;"D"&amp;A936-1))),"",IF(A936=A935+1,F935,INDIRECT("template!"&amp;"D"&amp;A936-1))))</f>
        <v>#REF!</v>
      </c>
      <c r="G936" t="e" cm="1">
        <f t="array" aca="1" ref="G936" ca="1">IF(OR(A936="",B936="safety"),"",IF(ISBLANK(INDIRECT("template!"&amp;"D"&amp;A936)),"",INDIRECT("template!"&amp;"D"&amp;A936)))</f>
        <v>#REF!</v>
      </c>
      <c r="H936" t="e" cm="1">
        <f t="array" aca="1" ref="H936" ca="1">IF(OR(A936="",B936="safety"),"",IF(ISBLANK(INDIRECT("template!"&amp;"E"&amp;A936)),"",INDIRECT("template!"&amp;"E"&amp;A936)))</f>
        <v>#REF!</v>
      </c>
      <c r="I936" t="e" cm="1">
        <f t="array" aca="1" ref="I936" ca="1">IF(OR(A936="",B936="safety"),"",IF(ISBLANK(INDIRECT("template!"&amp;"F"&amp;A936)),"",INDIRECT("template!"&amp;"F"&amp;A936)))</f>
        <v>#REF!</v>
      </c>
      <c r="J936" t="e" cm="1">
        <f t="array" aca="1" ref="J936" ca="1">IF(OR(A936="",B936="safety"),"",IF(ISBLANK(INDIRECT("template!"&amp;"G"&amp;A936)),"",INDIRECT("template!"&amp;"G"&amp;A936)))</f>
        <v>#REF!</v>
      </c>
      <c r="K936" t="e" cm="1">
        <f t="array" aca="1" ref="K936" ca="1">IF(OR(A936="",B936="safety"),"",IF(ISBLANK(INDIRECT("template!"&amp;"H"&amp;A936)),"",INDIRECT("template!"&amp;"H"&amp;A936)))</f>
        <v>#REF!</v>
      </c>
      <c r="L936" t="e" cm="1">
        <f t="array" aca="1" ref="L936" ca="1">IF(OR(A936="",B936="safety"),"",INDIRECT("template!"&amp;"I"&amp;A936))</f>
        <v>#REF!</v>
      </c>
      <c r="M936" t="e" cm="1">
        <f t="array" aca="1" ref="M936" ca="1">IF(OR(A936="",B936="safety"),"",INDIRECT("template!"&amp;"J"&amp;A936))</f>
        <v>#REF!</v>
      </c>
      <c r="N936" t="e" cm="1">
        <f t="array" aca="1" ref="N936" ca="1">IF(OR(A936="",B936="safety"),"",IF(ISBLANK(INDIRECT("template!"&amp;"K"&amp;A936)),"",INDIRECT("template!"&amp;"K"&amp;A936)))</f>
        <v>#REF!</v>
      </c>
      <c r="O936" t="e" cm="1">
        <f t="array" aca="1" ref="O936" ca="1">IF(OR(A936="",B936="safety"),"",INDIRECT("template!"&amp;"L"&amp;A936))</f>
        <v>#REF!</v>
      </c>
      <c r="P936" t="e" cm="1">
        <f t="array" aca="1" ref="P936" ca="1">IF(OR(A936="",B936="safety"),"",INDIRECT("template!"&amp;"M"&amp;A936))</f>
        <v>#REF!</v>
      </c>
      <c r="Q936" t="e">
        <f t="shared" ca="1" si="82"/>
        <v>#REF!</v>
      </c>
      <c r="R936" t="e">
        <f t="shared" ca="1" si="83"/>
        <v>#REF!</v>
      </c>
      <c r="S936" t="e">
        <f t="shared" ca="1" si="84"/>
        <v>#REF!</v>
      </c>
      <c r="T936" t="e">
        <f t="shared" ca="1" si="85"/>
        <v>#REF!</v>
      </c>
      <c r="U936" t="e" cm="1">
        <f t="array" aca="1" ref="U936" ca="1">IF(A936="","",IF(E936="","",IF(B936="safety",INDIRECT("template!"&amp;"P"&amp;A936),Q936+R936)))</f>
        <v>#REF!</v>
      </c>
      <c r="V936" t="e" cm="1">
        <f t="array" aca="1" ref="V936" ca="1">IF(A936="","",IF(E936="","",IF(B936="safety",INDIRECT("template!"&amp;"P"&amp;A936),S936+T936)))</f>
        <v>#REF!</v>
      </c>
      <c r="W936" t="e">
        <f ca="1">IF(A936="","",IF(E936="","",#REF!))</f>
        <v>#REF!</v>
      </c>
      <c r="X936" t="e">
        <f ca="1">IF(A936="","",IF(E936="","",#REF!))</f>
        <v>#REF!</v>
      </c>
      <c r="Y936" s="39" t="e">
        <f ca="1">IF(A936="","",IF(E936="","",#REF!))</f>
        <v>#REF!</v>
      </c>
      <c r="Z936" t="e">
        <f ca="1">IF(A936="","",IF(E936="","",#REF!))</f>
        <v>#REF!</v>
      </c>
      <c r="AA936" t="e">
        <f ca="1">IF(A936="","",IF(E936="","",#REF!))</f>
        <v>#REF!</v>
      </c>
      <c r="AB936" t="e">
        <f ca="1">IF(A936="","",IF(E936="","",#REF!))</f>
        <v>#REF!</v>
      </c>
      <c r="AC936" t="e">
        <f t="shared" ca="1" si="86"/>
        <v>#REF!</v>
      </c>
    </row>
    <row r="937" spans="1:29" x14ac:dyDescent="0.35">
      <c r="A937" t="e" cm="1">
        <f t="array" aca="1" ref="A937" ca="1">IF(A936="","",IF(OR(AND(A936+1&gt;=$AF$1,A936+1&lt;=$AF$2),AND(A936+1&gt;=$AF$6,A936+1&lt;=$AF$7),AND(A936+1&gt;=$AF$3,A936+1&lt;=$AF$4),AND(A936+1&gt;=$AF$8,A936+1&lt;=$AF$9),A936+1=$AF$5),IF(NOT(ISBLANK(INDIRECT("template!"&amp;"P"&amp;A936+1))),A936+1,IF(NOT(ISBLANK(INDIRECT("template!"&amp;"P"&amp;A936+2))),A936+2,A936+3)),IF(A936=$AF$2,$AF$3,IF(A936=$AF$4,$AF$5,IF(A936=$AF$5,$AF$6,IF(A936=$AF$7,$AF$8,""))))))</f>
        <v>#REF!</v>
      </c>
      <c r="B937" t="e">
        <f t="shared" ca="1" si="81"/>
        <v>#REF!</v>
      </c>
      <c r="C937" t="e" cm="1">
        <f t="array" aca="1" ref="C937" ca="1">IF(A937="","",IF(B937="safety","safety costs",INDIRECT("template!"&amp;"B"&amp;A937)))</f>
        <v>#REF!</v>
      </c>
      <c r="D937" t="e" cm="1">
        <f t="array" aca="1" ref="D937" ca="1">IF(OR(A937="",B937="safety"),"",INDIRECT("template!"&amp;"C"&amp;A937))</f>
        <v>#REF!</v>
      </c>
      <c r="E937" t="e" cm="1">
        <f t="array" aca="1" ref="E937" ca="1">IF(A937="","",IF(OR(A937=A936+1,A937=A936+2),E936,INDIRECT("template!"&amp;"D"&amp;A937-2)))</f>
        <v>#REF!</v>
      </c>
      <c r="F937" t="e" cm="1">
        <f t="array" aca="1" ref="F937" ca="1">IF(OR(A937="",B937="safety"),"",IF(ISBLANK(IF(A937=A936+1,F936,INDIRECT("template!"&amp;"D"&amp;A937-1))),"",IF(A937=A936+1,F936,INDIRECT("template!"&amp;"D"&amp;A937-1))))</f>
        <v>#REF!</v>
      </c>
      <c r="G937" t="e" cm="1">
        <f t="array" aca="1" ref="G937" ca="1">IF(OR(A937="",B937="safety"),"",IF(ISBLANK(INDIRECT("template!"&amp;"D"&amp;A937)),"",INDIRECT("template!"&amp;"D"&amp;A937)))</f>
        <v>#REF!</v>
      </c>
      <c r="H937" t="e" cm="1">
        <f t="array" aca="1" ref="H937" ca="1">IF(OR(A937="",B937="safety"),"",IF(ISBLANK(INDIRECT("template!"&amp;"E"&amp;A937)),"",INDIRECT("template!"&amp;"E"&amp;A937)))</f>
        <v>#REF!</v>
      </c>
      <c r="I937" t="e" cm="1">
        <f t="array" aca="1" ref="I937" ca="1">IF(OR(A937="",B937="safety"),"",IF(ISBLANK(INDIRECT("template!"&amp;"F"&amp;A937)),"",INDIRECT("template!"&amp;"F"&amp;A937)))</f>
        <v>#REF!</v>
      </c>
      <c r="J937" t="e" cm="1">
        <f t="array" aca="1" ref="J937" ca="1">IF(OR(A937="",B937="safety"),"",IF(ISBLANK(INDIRECT("template!"&amp;"G"&amp;A937)),"",INDIRECT("template!"&amp;"G"&amp;A937)))</f>
        <v>#REF!</v>
      </c>
      <c r="K937" t="e" cm="1">
        <f t="array" aca="1" ref="K937" ca="1">IF(OR(A937="",B937="safety"),"",IF(ISBLANK(INDIRECT("template!"&amp;"H"&amp;A937)),"",INDIRECT("template!"&amp;"H"&amp;A937)))</f>
        <v>#REF!</v>
      </c>
      <c r="L937" t="e" cm="1">
        <f t="array" aca="1" ref="L937" ca="1">IF(OR(A937="",B937="safety"),"",INDIRECT("template!"&amp;"I"&amp;A937))</f>
        <v>#REF!</v>
      </c>
      <c r="M937" t="e" cm="1">
        <f t="array" aca="1" ref="M937" ca="1">IF(OR(A937="",B937="safety"),"",INDIRECT("template!"&amp;"J"&amp;A937))</f>
        <v>#REF!</v>
      </c>
      <c r="N937" t="e" cm="1">
        <f t="array" aca="1" ref="N937" ca="1">IF(OR(A937="",B937="safety"),"",IF(ISBLANK(INDIRECT("template!"&amp;"K"&amp;A937)),"",INDIRECT("template!"&amp;"K"&amp;A937)))</f>
        <v>#REF!</v>
      </c>
      <c r="O937" t="e" cm="1">
        <f t="array" aca="1" ref="O937" ca="1">IF(OR(A937="",B937="safety"),"",INDIRECT("template!"&amp;"L"&amp;A937))</f>
        <v>#REF!</v>
      </c>
      <c r="P937" t="e" cm="1">
        <f t="array" aca="1" ref="P937" ca="1">IF(OR(A937="",B937="safety"),"",INDIRECT("template!"&amp;"M"&amp;A937))</f>
        <v>#REF!</v>
      </c>
      <c r="Q937" t="e">
        <f t="shared" ca="1" si="82"/>
        <v>#REF!</v>
      </c>
      <c r="R937" t="e">
        <f t="shared" ca="1" si="83"/>
        <v>#REF!</v>
      </c>
      <c r="S937" t="e">
        <f t="shared" ca="1" si="84"/>
        <v>#REF!</v>
      </c>
      <c r="T937" t="e">
        <f t="shared" ca="1" si="85"/>
        <v>#REF!</v>
      </c>
      <c r="U937" t="e" cm="1">
        <f t="array" aca="1" ref="U937" ca="1">IF(A937="","",IF(E937="","",IF(B937="safety",INDIRECT("template!"&amp;"P"&amp;A937),Q937+R937)))</f>
        <v>#REF!</v>
      </c>
      <c r="V937" t="e" cm="1">
        <f t="array" aca="1" ref="V937" ca="1">IF(A937="","",IF(E937="","",IF(B937="safety",INDIRECT("template!"&amp;"P"&amp;A937),S937+T937)))</f>
        <v>#REF!</v>
      </c>
      <c r="W937" t="e">
        <f ca="1">IF(A937="","",IF(E937="","",#REF!))</f>
        <v>#REF!</v>
      </c>
      <c r="X937" t="e">
        <f ca="1">IF(A937="","",IF(E937="","",#REF!))</f>
        <v>#REF!</v>
      </c>
      <c r="Y937" s="39" t="e">
        <f ca="1">IF(A937="","",IF(E937="","",#REF!))</f>
        <v>#REF!</v>
      </c>
      <c r="Z937" t="e">
        <f ca="1">IF(A937="","",IF(E937="","",#REF!))</f>
        <v>#REF!</v>
      </c>
      <c r="AA937" t="e">
        <f ca="1">IF(A937="","",IF(E937="","",#REF!))</f>
        <v>#REF!</v>
      </c>
      <c r="AB937" t="e">
        <f ca="1">IF(A937="","",IF(E937="","",#REF!))</f>
        <v>#REF!</v>
      </c>
      <c r="AC937" t="e">
        <f t="shared" ca="1" si="86"/>
        <v>#REF!</v>
      </c>
    </row>
    <row r="938" spans="1:29" x14ac:dyDescent="0.35">
      <c r="A938" t="e" cm="1">
        <f t="array" aca="1" ref="A938" ca="1">IF(A937="","",IF(OR(AND(A937+1&gt;=$AF$1,A937+1&lt;=$AF$2),AND(A937+1&gt;=$AF$6,A937+1&lt;=$AF$7),AND(A937+1&gt;=$AF$3,A937+1&lt;=$AF$4),AND(A937+1&gt;=$AF$8,A937+1&lt;=$AF$9),A937+1=$AF$5),IF(NOT(ISBLANK(INDIRECT("template!"&amp;"P"&amp;A937+1))),A937+1,IF(NOT(ISBLANK(INDIRECT("template!"&amp;"P"&amp;A937+2))),A937+2,A937+3)),IF(A937=$AF$2,$AF$3,IF(A937=$AF$4,$AF$5,IF(A937=$AF$5,$AF$6,IF(A937=$AF$7,$AF$8,""))))))</f>
        <v>#REF!</v>
      </c>
      <c r="B938" t="e">
        <f t="shared" ca="1" si="81"/>
        <v>#REF!</v>
      </c>
      <c r="C938" t="e" cm="1">
        <f t="array" aca="1" ref="C938" ca="1">IF(A938="","",IF(B938="safety","safety costs",INDIRECT("template!"&amp;"B"&amp;A938)))</f>
        <v>#REF!</v>
      </c>
      <c r="D938" t="e" cm="1">
        <f t="array" aca="1" ref="D938" ca="1">IF(OR(A938="",B938="safety"),"",INDIRECT("template!"&amp;"C"&amp;A938))</f>
        <v>#REF!</v>
      </c>
      <c r="E938" t="e" cm="1">
        <f t="array" aca="1" ref="E938" ca="1">IF(A938="","",IF(OR(A938=A937+1,A938=A937+2),E937,INDIRECT("template!"&amp;"D"&amp;A938-2)))</f>
        <v>#REF!</v>
      </c>
      <c r="F938" t="e" cm="1">
        <f t="array" aca="1" ref="F938" ca="1">IF(OR(A938="",B938="safety"),"",IF(ISBLANK(IF(A938=A937+1,F937,INDIRECT("template!"&amp;"D"&amp;A938-1))),"",IF(A938=A937+1,F937,INDIRECT("template!"&amp;"D"&amp;A938-1))))</f>
        <v>#REF!</v>
      </c>
      <c r="G938" t="e" cm="1">
        <f t="array" aca="1" ref="G938" ca="1">IF(OR(A938="",B938="safety"),"",IF(ISBLANK(INDIRECT("template!"&amp;"D"&amp;A938)),"",INDIRECT("template!"&amp;"D"&amp;A938)))</f>
        <v>#REF!</v>
      </c>
      <c r="H938" t="e" cm="1">
        <f t="array" aca="1" ref="H938" ca="1">IF(OR(A938="",B938="safety"),"",IF(ISBLANK(INDIRECT("template!"&amp;"E"&amp;A938)),"",INDIRECT("template!"&amp;"E"&amp;A938)))</f>
        <v>#REF!</v>
      </c>
      <c r="I938" t="e" cm="1">
        <f t="array" aca="1" ref="I938" ca="1">IF(OR(A938="",B938="safety"),"",IF(ISBLANK(INDIRECT("template!"&amp;"F"&amp;A938)),"",INDIRECT("template!"&amp;"F"&amp;A938)))</f>
        <v>#REF!</v>
      </c>
      <c r="J938" t="e" cm="1">
        <f t="array" aca="1" ref="J938" ca="1">IF(OR(A938="",B938="safety"),"",IF(ISBLANK(INDIRECT("template!"&amp;"G"&amp;A938)),"",INDIRECT("template!"&amp;"G"&amp;A938)))</f>
        <v>#REF!</v>
      </c>
      <c r="K938" t="e" cm="1">
        <f t="array" aca="1" ref="K938" ca="1">IF(OR(A938="",B938="safety"),"",IF(ISBLANK(INDIRECT("template!"&amp;"H"&amp;A938)),"",INDIRECT("template!"&amp;"H"&amp;A938)))</f>
        <v>#REF!</v>
      </c>
      <c r="L938" t="e" cm="1">
        <f t="array" aca="1" ref="L938" ca="1">IF(OR(A938="",B938="safety"),"",INDIRECT("template!"&amp;"I"&amp;A938))</f>
        <v>#REF!</v>
      </c>
      <c r="M938" t="e" cm="1">
        <f t="array" aca="1" ref="M938" ca="1">IF(OR(A938="",B938="safety"),"",INDIRECT("template!"&amp;"J"&amp;A938))</f>
        <v>#REF!</v>
      </c>
      <c r="N938" t="e" cm="1">
        <f t="array" aca="1" ref="N938" ca="1">IF(OR(A938="",B938="safety"),"",IF(ISBLANK(INDIRECT("template!"&amp;"K"&amp;A938)),"",INDIRECT("template!"&amp;"K"&amp;A938)))</f>
        <v>#REF!</v>
      </c>
      <c r="O938" t="e" cm="1">
        <f t="array" aca="1" ref="O938" ca="1">IF(OR(A938="",B938="safety"),"",INDIRECT("template!"&amp;"L"&amp;A938))</f>
        <v>#REF!</v>
      </c>
      <c r="P938" t="e" cm="1">
        <f t="array" aca="1" ref="P938" ca="1">IF(OR(A938="",B938="safety"),"",INDIRECT("template!"&amp;"M"&amp;A938))</f>
        <v>#REF!</v>
      </c>
      <c r="Q938" t="e">
        <f t="shared" ca="1" si="82"/>
        <v>#REF!</v>
      </c>
      <c r="R938" t="e">
        <f t="shared" ca="1" si="83"/>
        <v>#REF!</v>
      </c>
      <c r="S938" t="e">
        <f t="shared" ca="1" si="84"/>
        <v>#REF!</v>
      </c>
      <c r="T938" t="e">
        <f t="shared" ca="1" si="85"/>
        <v>#REF!</v>
      </c>
      <c r="U938" t="e" cm="1">
        <f t="array" aca="1" ref="U938" ca="1">IF(A938="","",IF(E938="","",IF(B938="safety",INDIRECT("template!"&amp;"P"&amp;A938),Q938+R938)))</f>
        <v>#REF!</v>
      </c>
      <c r="V938" t="e" cm="1">
        <f t="array" aca="1" ref="V938" ca="1">IF(A938="","",IF(E938="","",IF(B938="safety",INDIRECT("template!"&amp;"P"&amp;A938),S938+T938)))</f>
        <v>#REF!</v>
      </c>
      <c r="W938" t="e">
        <f ca="1">IF(A938="","",IF(E938="","",#REF!))</f>
        <v>#REF!</v>
      </c>
      <c r="X938" t="e">
        <f ca="1">IF(A938="","",IF(E938="","",#REF!))</f>
        <v>#REF!</v>
      </c>
      <c r="Y938" s="39" t="e">
        <f ca="1">IF(A938="","",IF(E938="","",#REF!))</f>
        <v>#REF!</v>
      </c>
      <c r="Z938" t="e">
        <f ca="1">IF(A938="","",IF(E938="","",#REF!))</f>
        <v>#REF!</v>
      </c>
      <c r="AA938" t="e">
        <f ca="1">IF(A938="","",IF(E938="","",#REF!))</f>
        <v>#REF!</v>
      </c>
      <c r="AB938" t="e">
        <f ca="1">IF(A938="","",IF(E938="","",#REF!))</f>
        <v>#REF!</v>
      </c>
      <c r="AC938" t="e">
        <f t="shared" ca="1" si="86"/>
        <v>#REF!</v>
      </c>
    </row>
    <row r="939" spans="1:29" x14ac:dyDescent="0.35">
      <c r="A939" t="e" cm="1">
        <f t="array" aca="1" ref="A939" ca="1">IF(A938="","",IF(OR(AND(A938+1&gt;=$AF$1,A938+1&lt;=$AF$2),AND(A938+1&gt;=$AF$6,A938+1&lt;=$AF$7),AND(A938+1&gt;=$AF$3,A938+1&lt;=$AF$4),AND(A938+1&gt;=$AF$8,A938+1&lt;=$AF$9),A938+1=$AF$5),IF(NOT(ISBLANK(INDIRECT("template!"&amp;"P"&amp;A938+1))),A938+1,IF(NOT(ISBLANK(INDIRECT("template!"&amp;"P"&amp;A938+2))),A938+2,A938+3)),IF(A938=$AF$2,$AF$3,IF(A938=$AF$4,$AF$5,IF(A938=$AF$5,$AF$6,IF(A938=$AF$7,$AF$8,""))))))</f>
        <v>#REF!</v>
      </c>
      <c r="B939" t="e">
        <f t="shared" ca="1" si="81"/>
        <v>#REF!</v>
      </c>
      <c r="C939" t="e" cm="1">
        <f t="array" aca="1" ref="C939" ca="1">IF(A939="","",IF(B939="safety","safety costs",INDIRECT("template!"&amp;"B"&amp;A939)))</f>
        <v>#REF!</v>
      </c>
      <c r="D939" t="e" cm="1">
        <f t="array" aca="1" ref="D939" ca="1">IF(OR(A939="",B939="safety"),"",INDIRECT("template!"&amp;"C"&amp;A939))</f>
        <v>#REF!</v>
      </c>
      <c r="E939" t="e" cm="1">
        <f t="array" aca="1" ref="E939" ca="1">IF(A939="","",IF(OR(A939=A938+1,A939=A938+2),E938,INDIRECT("template!"&amp;"D"&amp;A939-2)))</f>
        <v>#REF!</v>
      </c>
      <c r="F939" t="e" cm="1">
        <f t="array" aca="1" ref="F939" ca="1">IF(OR(A939="",B939="safety"),"",IF(ISBLANK(IF(A939=A938+1,F938,INDIRECT("template!"&amp;"D"&amp;A939-1))),"",IF(A939=A938+1,F938,INDIRECT("template!"&amp;"D"&amp;A939-1))))</f>
        <v>#REF!</v>
      </c>
      <c r="G939" t="e" cm="1">
        <f t="array" aca="1" ref="G939" ca="1">IF(OR(A939="",B939="safety"),"",IF(ISBLANK(INDIRECT("template!"&amp;"D"&amp;A939)),"",INDIRECT("template!"&amp;"D"&amp;A939)))</f>
        <v>#REF!</v>
      </c>
      <c r="H939" t="e" cm="1">
        <f t="array" aca="1" ref="H939" ca="1">IF(OR(A939="",B939="safety"),"",IF(ISBLANK(INDIRECT("template!"&amp;"E"&amp;A939)),"",INDIRECT("template!"&amp;"E"&amp;A939)))</f>
        <v>#REF!</v>
      </c>
      <c r="I939" t="e" cm="1">
        <f t="array" aca="1" ref="I939" ca="1">IF(OR(A939="",B939="safety"),"",IF(ISBLANK(INDIRECT("template!"&amp;"F"&amp;A939)),"",INDIRECT("template!"&amp;"F"&amp;A939)))</f>
        <v>#REF!</v>
      </c>
      <c r="J939" t="e" cm="1">
        <f t="array" aca="1" ref="J939" ca="1">IF(OR(A939="",B939="safety"),"",IF(ISBLANK(INDIRECT("template!"&amp;"G"&amp;A939)),"",INDIRECT("template!"&amp;"G"&amp;A939)))</f>
        <v>#REF!</v>
      </c>
      <c r="K939" t="e" cm="1">
        <f t="array" aca="1" ref="K939" ca="1">IF(OR(A939="",B939="safety"),"",IF(ISBLANK(INDIRECT("template!"&amp;"H"&amp;A939)),"",INDIRECT("template!"&amp;"H"&amp;A939)))</f>
        <v>#REF!</v>
      </c>
      <c r="L939" t="e" cm="1">
        <f t="array" aca="1" ref="L939" ca="1">IF(OR(A939="",B939="safety"),"",INDIRECT("template!"&amp;"I"&amp;A939))</f>
        <v>#REF!</v>
      </c>
      <c r="M939" t="e" cm="1">
        <f t="array" aca="1" ref="M939" ca="1">IF(OR(A939="",B939="safety"),"",INDIRECT("template!"&amp;"J"&amp;A939))</f>
        <v>#REF!</v>
      </c>
      <c r="N939" t="e" cm="1">
        <f t="array" aca="1" ref="N939" ca="1">IF(OR(A939="",B939="safety"),"",IF(ISBLANK(INDIRECT("template!"&amp;"K"&amp;A939)),"",INDIRECT("template!"&amp;"K"&amp;A939)))</f>
        <v>#REF!</v>
      </c>
      <c r="O939" t="e" cm="1">
        <f t="array" aca="1" ref="O939" ca="1">IF(OR(A939="",B939="safety"),"",INDIRECT("template!"&amp;"L"&amp;A939))</f>
        <v>#REF!</v>
      </c>
      <c r="P939" t="e" cm="1">
        <f t="array" aca="1" ref="P939" ca="1">IF(OR(A939="",B939="safety"),"",INDIRECT("template!"&amp;"M"&amp;A939))</f>
        <v>#REF!</v>
      </c>
      <c r="Q939" t="e">
        <f t="shared" ca="1" si="82"/>
        <v>#REF!</v>
      </c>
      <c r="R939" t="e">
        <f t="shared" ca="1" si="83"/>
        <v>#REF!</v>
      </c>
      <c r="S939" t="e">
        <f t="shared" ca="1" si="84"/>
        <v>#REF!</v>
      </c>
      <c r="T939" t="e">
        <f t="shared" ca="1" si="85"/>
        <v>#REF!</v>
      </c>
      <c r="U939" t="e" cm="1">
        <f t="array" aca="1" ref="U939" ca="1">IF(A939="","",IF(E939="","",IF(B939="safety",INDIRECT("template!"&amp;"P"&amp;A939),Q939+R939)))</f>
        <v>#REF!</v>
      </c>
      <c r="V939" t="e" cm="1">
        <f t="array" aca="1" ref="V939" ca="1">IF(A939="","",IF(E939="","",IF(B939="safety",INDIRECT("template!"&amp;"P"&amp;A939),S939+T939)))</f>
        <v>#REF!</v>
      </c>
      <c r="W939" t="e">
        <f ca="1">IF(A939="","",IF(E939="","",#REF!))</f>
        <v>#REF!</v>
      </c>
      <c r="X939" t="e">
        <f ca="1">IF(A939="","",IF(E939="","",#REF!))</f>
        <v>#REF!</v>
      </c>
      <c r="Y939" s="39" t="e">
        <f ca="1">IF(A939="","",IF(E939="","",#REF!))</f>
        <v>#REF!</v>
      </c>
      <c r="Z939" t="e">
        <f ca="1">IF(A939="","",IF(E939="","",#REF!))</f>
        <v>#REF!</v>
      </c>
      <c r="AA939" t="e">
        <f ca="1">IF(A939="","",IF(E939="","",#REF!))</f>
        <v>#REF!</v>
      </c>
      <c r="AB939" t="e">
        <f ca="1">IF(A939="","",IF(E939="","",#REF!))</f>
        <v>#REF!</v>
      </c>
      <c r="AC939" t="e">
        <f t="shared" ca="1" si="86"/>
        <v>#REF!</v>
      </c>
    </row>
    <row r="940" spans="1:29" x14ac:dyDescent="0.35">
      <c r="A940" t="e" cm="1">
        <f t="array" aca="1" ref="A940" ca="1">IF(A939="","",IF(OR(AND(A939+1&gt;=$AF$1,A939+1&lt;=$AF$2),AND(A939+1&gt;=$AF$6,A939+1&lt;=$AF$7),AND(A939+1&gt;=$AF$3,A939+1&lt;=$AF$4),AND(A939+1&gt;=$AF$8,A939+1&lt;=$AF$9),A939+1=$AF$5),IF(NOT(ISBLANK(INDIRECT("template!"&amp;"P"&amp;A939+1))),A939+1,IF(NOT(ISBLANK(INDIRECT("template!"&amp;"P"&amp;A939+2))),A939+2,A939+3)),IF(A939=$AF$2,$AF$3,IF(A939=$AF$4,$AF$5,IF(A939=$AF$5,$AF$6,IF(A939=$AF$7,$AF$8,""))))))</f>
        <v>#REF!</v>
      </c>
      <c r="B940" t="e">
        <f t="shared" ca="1" si="81"/>
        <v>#REF!</v>
      </c>
      <c r="C940" t="e" cm="1">
        <f t="array" aca="1" ref="C940" ca="1">IF(A940="","",IF(B940="safety","safety costs",INDIRECT("template!"&amp;"B"&amp;A940)))</f>
        <v>#REF!</v>
      </c>
      <c r="D940" t="e" cm="1">
        <f t="array" aca="1" ref="D940" ca="1">IF(OR(A940="",B940="safety"),"",INDIRECT("template!"&amp;"C"&amp;A940))</f>
        <v>#REF!</v>
      </c>
      <c r="E940" t="e" cm="1">
        <f t="array" aca="1" ref="E940" ca="1">IF(A940="","",IF(OR(A940=A939+1,A940=A939+2),E939,INDIRECT("template!"&amp;"D"&amp;A940-2)))</f>
        <v>#REF!</v>
      </c>
      <c r="F940" t="e" cm="1">
        <f t="array" aca="1" ref="F940" ca="1">IF(OR(A940="",B940="safety"),"",IF(ISBLANK(IF(A940=A939+1,F939,INDIRECT("template!"&amp;"D"&amp;A940-1))),"",IF(A940=A939+1,F939,INDIRECT("template!"&amp;"D"&amp;A940-1))))</f>
        <v>#REF!</v>
      </c>
      <c r="G940" t="e" cm="1">
        <f t="array" aca="1" ref="G940" ca="1">IF(OR(A940="",B940="safety"),"",IF(ISBLANK(INDIRECT("template!"&amp;"D"&amp;A940)),"",INDIRECT("template!"&amp;"D"&amp;A940)))</f>
        <v>#REF!</v>
      </c>
      <c r="H940" t="e" cm="1">
        <f t="array" aca="1" ref="H940" ca="1">IF(OR(A940="",B940="safety"),"",IF(ISBLANK(INDIRECT("template!"&amp;"E"&amp;A940)),"",INDIRECT("template!"&amp;"E"&amp;A940)))</f>
        <v>#REF!</v>
      </c>
      <c r="I940" t="e" cm="1">
        <f t="array" aca="1" ref="I940" ca="1">IF(OR(A940="",B940="safety"),"",IF(ISBLANK(INDIRECT("template!"&amp;"F"&amp;A940)),"",INDIRECT("template!"&amp;"F"&amp;A940)))</f>
        <v>#REF!</v>
      </c>
      <c r="J940" t="e" cm="1">
        <f t="array" aca="1" ref="J940" ca="1">IF(OR(A940="",B940="safety"),"",IF(ISBLANK(INDIRECT("template!"&amp;"G"&amp;A940)),"",INDIRECT("template!"&amp;"G"&amp;A940)))</f>
        <v>#REF!</v>
      </c>
      <c r="K940" t="e" cm="1">
        <f t="array" aca="1" ref="K940" ca="1">IF(OR(A940="",B940="safety"),"",IF(ISBLANK(INDIRECT("template!"&amp;"H"&amp;A940)),"",INDIRECT("template!"&amp;"H"&amp;A940)))</f>
        <v>#REF!</v>
      </c>
      <c r="L940" t="e" cm="1">
        <f t="array" aca="1" ref="L940" ca="1">IF(OR(A940="",B940="safety"),"",INDIRECT("template!"&amp;"I"&amp;A940))</f>
        <v>#REF!</v>
      </c>
      <c r="M940" t="e" cm="1">
        <f t="array" aca="1" ref="M940" ca="1">IF(OR(A940="",B940="safety"),"",INDIRECT("template!"&amp;"J"&amp;A940))</f>
        <v>#REF!</v>
      </c>
      <c r="N940" t="e" cm="1">
        <f t="array" aca="1" ref="N940" ca="1">IF(OR(A940="",B940="safety"),"",IF(ISBLANK(INDIRECT("template!"&amp;"K"&amp;A940)),"",INDIRECT("template!"&amp;"K"&amp;A940)))</f>
        <v>#REF!</v>
      </c>
      <c r="O940" t="e" cm="1">
        <f t="array" aca="1" ref="O940" ca="1">IF(OR(A940="",B940="safety"),"",INDIRECT("template!"&amp;"L"&amp;A940))</f>
        <v>#REF!</v>
      </c>
      <c r="P940" t="e" cm="1">
        <f t="array" aca="1" ref="P940" ca="1">IF(OR(A940="",B940="safety"),"",INDIRECT("template!"&amp;"M"&amp;A940))</f>
        <v>#REF!</v>
      </c>
      <c r="Q940" t="e">
        <f t="shared" ca="1" si="82"/>
        <v>#REF!</v>
      </c>
      <c r="R940" t="e">
        <f t="shared" ca="1" si="83"/>
        <v>#REF!</v>
      </c>
      <c r="S940" t="e">
        <f t="shared" ca="1" si="84"/>
        <v>#REF!</v>
      </c>
      <c r="T940" t="e">
        <f t="shared" ca="1" si="85"/>
        <v>#REF!</v>
      </c>
      <c r="U940" t="e" cm="1">
        <f t="array" aca="1" ref="U940" ca="1">IF(A940="","",IF(E940="","",IF(B940="safety",INDIRECT("template!"&amp;"P"&amp;A940),Q940+R940)))</f>
        <v>#REF!</v>
      </c>
      <c r="V940" t="e" cm="1">
        <f t="array" aca="1" ref="V940" ca="1">IF(A940="","",IF(E940="","",IF(B940="safety",INDIRECT("template!"&amp;"P"&amp;A940),S940+T940)))</f>
        <v>#REF!</v>
      </c>
      <c r="W940" t="e">
        <f ca="1">IF(A940="","",IF(E940="","",#REF!))</f>
        <v>#REF!</v>
      </c>
      <c r="X940" t="e">
        <f ca="1">IF(A940="","",IF(E940="","",#REF!))</f>
        <v>#REF!</v>
      </c>
      <c r="Y940" s="39" t="e">
        <f ca="1">IF(A940="","",IF(E940="","",#REF!))</f>
        <v>#REF!</v>
      </c>
      <c r="Z940" t="e">
        <f ca="1">IF(A940="","",IF(E940="","",#REF!))</f>
        <v>#REF!</v>
      </c>
      <c r="AA940" t="e">
        <f ca="1">IF(A940="","",IF(E940="","",#REF!))</f>
        <v>#REF!</v>
      </c>
      <c r="AB940" t="e">
        <f ca="1">IF(A940="","",IF(E940="","",#REF!))</f>
        <v>#REF!</v>
      </c>
      <c r="AC940" t="e">
        <f t="shared" ca="1" si="86"/>
        <v>#REF!</v>
      </c>
    </row>
    <row r="941" spans="1:29" x14ac:dyDescent="0.35">
      <c r="A941" t="e" cm="1">
        <f t="array" aca="1" ref="A941" ca="1">IF(A940="","",IF(OR(AND(A940+1&gt;=$AF$1,A940+1&lt;=$AF$2),AND(A940+1&gt;=$AF$6,A940+1&lt;=$AF$7),AND(A940+1&gt;=$AF$3,A940+1&lt;=$AF$4),AND(A940+1&gt;=$AF$8,A940+1&lt;=$AF$9),A940+1=$AF$5),IF(NOT(ISBLANK(INDIRECT("template!"&amp;"P"&amp;A940+1))),A940+1,IF(NOT(ISBLANK(INDIRECT("template!"&amp;"P"&amp;A940+2))),A940+2,A940+3)),IF(A940=$AF$2,$AF$3,IF(A940=$AF$4,$AF$5,IF(A940=$AF$5,$AF$6,IF(A940=$AF$7,$AF$8,""))))))</f>
        <v>#REF!</v>
      </c>
      <c r="B941" t="e">
        <f t="shared" ca="1" si="81"/>
        <v>#REF!</v>
      </c>
      <c r="C941" t="e" cm="1">
        <f t="array" aca="1" ref="C941" ca="1">IF(A941="","",IF(B941="safety","safety costs",INDIRECT("template!"&amp;"B"&amp;A941)))</f>
        <v>#REF!</v>
      </c>
      <c r="D941" t="e" cm="1">
        <f t="array" aca="1" ref="D941" ca="1">IF(OR(A941="",B941="safety"),"",INDIRECT("template!"&amp;"C"&amp;A941))</f>
        <v>#REF!</v>
      </c>
      <c r="E941" t="e" cm="1">
        <f t="array" aca="1" ref="E941" ca="1">IF(A941="","",IF(OR(A941=A940+1,A941=A940+2),E940,INDIRECT("template!"&amp;"D"&amp;A941-2)))</f>
        <v>#REF!</v>
      </c>
      <c r="F941" t="e" cm="1">
        <f t="array" aca="1" ref="F941" ca="1">IF(OR(A941="",B941="safety"),"",IF(ISBLANK(IF(A941=A940+1,F940,INDIRECT("template!"&amp;"D"&amp;A941-1))),"",IF(A941=A940+1,F940,INDIRECT("template!"&amp;"D"&amp;A941-1))))</f>
        <v>#REF!</v>
      </c>
      <c r="G941" t="e" cm="1">
        <f t="array" aca="1" ref="G941" ca="1">IF(OR(A941="",B941="safety"),"",IF(ISBLANK(INDIRECT("template!"&amp;"D"&amp;A941)),"",INDIRECT("template!"&amp;"D"&amp;A941)))</f>
        <v>#REF!</v>
      </c>
      <c r="H941" t="e" cm="1">
        <f t="array" aca="1" ref="H941" ca="1">IF(OR(A941="",B941="safety"),"",IF(ISBLANK(INDIRECT("template!"&amp;"E"&amp;A941)),"",INDIRECT("template!"&amp;"E"&amp;A941)))</f>
        <v>#REF!</v>
      </c>
      <c r="I941" t="e" cm="1">
        <f t="array" aca="1" ref="I941" ca="1">IF(OR(A941="",B941="safety"),"",IF(ISBLANK(INDIRECT("template!"&amp;"F"&amp;A941)),"",INDIRECT("template!"&amp;"F"&amp;A941)))</f>
        <v>#REF!</v>
      </c>
      <c r="J941" t="e" cm="1">
        <f t="array" aca="1" ref="J941" ca="1">IF(OR(A941="",B941="safety"),"",IF(ISBLANK(INDIRECT("template!"&amp;"G"&amp;A941)),"",INDIRECT("template!"&amp;"G"&amp;A941)))</f>
        <v>#REF!</v>
      </c>
      <c r="K941" t="e" cm="1">
        <f t="array" aca="1" ref="K941" ca="1">IF(OR(A941="",B941="safety"),"",IF(ISBLANK(INDIRECT("template!"&amp;"H"&amp;A941)),"",INDIRECT("template!"&amp;"H"&amp;A941)))</f>
        <v>#REF!</v>
      </c>
      <c r="L941" t="e" cm="1">
        <f t="array" aca="1" ref="L941" ca="1">IF(OR(A941="",B941="safety"),"",INDIRECT("template!"&amp;"I"&amp;A941))</f>
        <v>#REF!</v>
      </c>
      <c r="M941" t="e" cm="1">
        <f t="array" aca="1" ref="M941" ca="1">IF(OR(A941="",B941="safety"),"",INDIRECT("template!"&amp;"J"&amp;A941))</f>
        <v>#REF!</v>
      </c>
      <c r="N941" t="e" cm="1">
        <f t="array" aca="1" ref="N941" ca="1">IF(OR(A941="",B941="safety"),"",IF(ISBLANK(INDIRECT("template!"&amp;"K"&amp;A941)),"",INDIRECT("template!"&amp;"K"&amp;A941)))</f>
        <v>#REF!</v>
      </c>
      <c r="O941" t="e" cm="1">
        <f t="array" aca="1" ref="O941" ca="1">IF(OR(A941="",B941="safety"),"",INDIRECT("template!"&amp;"L"&amp;A941))</f>
        <v>#REF!</v>
      </c>
      <c r="P941" t="e" cm="1">
        <f t="array" aca="1" ref="P941" ca="1">IF(OR(A941="",B941="safety"),"",INDIRECT("template!"&amp;"M"&amp;A941))</f>
        <v>#REF!</v>
      </c>
      <c r="Q941" t="e">
        <f t="shared" ca="1" si="82"/>
        <v>#REF!</v>
      </c>
      <c r="R941" t="e">
        <f t="shared" ca="1" si="83"/>
        <v>#REF!</v>
      </c>
      <c r="S941" t="e">
        <f t="shared" ca="1" si="84"/>
        <v>#REF!</v>
      </c>
      <c r="T941" t="e">
        <f t="shared" ca="1" si="85"/>
        <v>#REF!</v>
      </c>
      <c r="U941" t="e" cm="1">
        <f t="array" aca="1" ref="U941" ca="1">IF(A941="","",IF(E941="","",IF(B941="safety",INDIRECT("template!"&amp;"P"&amp;A941),Q941+R941)))</f>
        <v>#REF!</v>
      </c>
      <c r="V941" t="e" cm="1">
        <f t="array" aca="1" ref="V941" ca="1">IF(A941="","",IF(E941="","",IF(B941="safety",INDIRECT("template!"&amp;"P"&amp;A941),S941+T941)))</f>
        <v>#REF!</v>
      </c>
      <c r="W941" t="e">
        <f ca="1">IF(A941="","",IF(E941="","",#REF!))</f>
        <v>#REF!</v>
      </c>
      <c r="X941" t="e">
        <f ca="1">IF(A941="","",IF(E941="","",#REF!))</f>
        <v>#REF!</v>
      </c>
      <c r="Y941" s="39" t="e">
        <f ca="1">IF(A941="","",IF(E941="","",#REF!))</f>
        <v>#REF!</v>
      </c>
      <c r="Z941" t="e">
        <f ca="1">IF(A941="","",IF(E941="","",#REF!))</f>
        <v>#REF!</v>
      </c>
      <c r="AA941" t="e">
        <f ca="1">IF(A941="","",IF(E941="","",#REF!))</f>
        <v>#REF!</v>
      </c>
      <c r="AB941" t="e">
        <f ca="1">IF(A941="","",IF(E941="","",#REF!))</f>
        <v>#REF!</v>
      </c>
      <c r="AC941" t="e">
        <f t="shared" ca="1" si="86"/>
        <v>#REF!</v>
      </c>
    </row>
    <row r="942" spans="1:29" x14ac:dyDescent="0.35">
      <c r="A942" t="e" cm="1">
        <f t="array" aca="1" ref="A942" ca="1">IF(A941="","",IF(OR(AND(A941+1&gt;=$AF$1,A941+1&lt;=$AF$2),AND(A941+1&gt;=$AF$6,A941+1&lt;=$AF$7),AND(A941+1&gt;=$AF$3,A941+1&lt;=$AF$4),AND(A941+1&gt;=$AF$8,A941+1&lt;=$AF$9),A941+1=$AF$5),IF(NOT(ISBLANK(INDIRECT("template!"&amp;"P"&amp;A941+1))),A941+1,IF(NOT(ISBLANK(INDIRECT("template!"&amp;"P"&amp;A941+2))),A941+2,A941+3)),IF(A941=$AF$2,$AF$3,IF(A941=$AF$4,$AF$5,IF(A941=$AF$5,$AF$6,IF(A941=$AF$7,$AF$8,""))))))</f>
        <v>#REF!</v>
      </c>
      <c r="B942" t="e">
        <f t="shared" ca="1" si="81"/>
        <v>#REF!</v>
      </c>
      <c r="C942" t="e" cm="1">
        <f t="array" aca="1" ref="C942" ca="1">IF(A942="","",IF(B942="safety","safety costs",INDIRECT("template!"&amp;"B"&amp;A942)))</f>
        <v>#REF!</v>
      </c>
      <c r="D942" t="e" cm="1">
        <f t="array" aca="1" ref="D942" ca="1">IF(OR(A942="",B942="safety"),"",INDIRECT("template!"&amp;"C"&amp;A942))</f>
        <v>#REF!</v>
      </c>
      <c r="E942" t="e" cm="1">
        <f t="array" aca="1" ref="E942" ca="1">IF(A942="","",IF(OR(A942=A941+1,A942=A941+2),E941,INDIRECT("template!"&amp;"D"&amp;A942-2)))</f>
        <v>#REF!</v>
      </c>
      <c r="F942" t="e" cm="1">
        <f t="array" aca="1" ref="F942" ca="1">IF(OR(A942="",B942="safety"),"",IF(ISBLANK(IF(A942=A941+1,F941,INDIRECT("template!"&amp;"D"&amp;A942-1))),"",IF(A942=A941+1,F941,INDIRECT("template!"&amp;"D"&amp;A942-1))))</f>
        <v>#REF!</v>
      </c>
      <c r="G942" t="e" cm="1">
        <f t="array" aca="1" ref="G942" ca="1">IF(OR(A942="",B942="safety"),"",IF(ISBLANK(INDIRECT("template!"&amp;"D"&amp;A942)),"",INDIRECT("template!"&amp;"D"&amp;A942)))</f>
        <v>#REF!</v>
      </c>
      <c r="H942" t="e" cm="1">
        <f t="array" aca="1" ref="H942" ca="1">IF(OR(A942="",B942="safety"),"",IF(ISBLANK(INDIRECT("template!"&amp;"E"&amp;A942)),"",INDIRECT("template!"&amp;"E"&amp;A942)))</f>
        <v>#REF!</v>
      </c>
      <c r="I942" t="e" cm="1">
        <f t="array" aca="1" ref="I942" ca="1">IF(OR(A942="",B942="safety"),"",IF(ISBLANK(INDIRECT("template!"&amp;"F"&amp;A942)),"",INDIRECT("template!"&amp;"F"&amp;A942)))</f>
        <v>#REF!</v>
      </c>
      <c r="J942" t="e" cm="1">
        <f t="array" aca="1" ref="J942" ca="1">IF(OR(A942="",B942="safety"),"",IF(ISBLANK(INDIRECT("template!"&amp;"G"&amp;A942)),"",INDIRECT("template!"&amp;"G"&amp;A942)))</f>
        <v>#REF!</v>
      </c>
      <c r="K942" t="e" cm="1">
        <f t="array" aca="1" ref="K942" ca="1">IF(OR(A942="",B942="safety"),"",IF(ISBLANK(INDIRECT("template!"&amp;"H"&amp;A942)),"",INDIRECT("template!"&amp;"H"&amp;A942)))</f>
        <v>#REF!</v>
      </c>
      <c r="L942" t="e" cm="1">
        <f t="array" aca="1" ref="L942" ca="1">IF(OR(A942="",B942="safety"),"",INDIRECT("template!"&amp;"I"&amp;A942))</f>
        <v>#REF!</v>
      </c>
      <c r="M942" t="e" cm="1">
        <f t="array" aca="1" ref="M942" ca="1">IF(OR(A942="",B942="safety"),"",INDIRECT("template!"&amp;"J"&amp;A942))</f>
        <v>#REF!</v>
      </c>
      <c r="N942" t="e" cm="1">
        <f t="array" aca="1" ref="N942" ca="1">IF(OR(A942="",B942="safety"),"",IF(ISBLANK(INDIRECT("template!"&amp;"K"&amp;A942)),"",INDIRECT("template!"&amp;"K"&amp;A942)))</f>
        <v>#REF!</v>
      </c>
      <c r="O942" t="e" cm="1">
        <f t="array" aca="1" ref="O942" ca="1">IF(OR(A942="",B942="safety"),"",INDIRECT("template!"&amp;"L"&amp;A942))</f>
        <v>#REF!</v>
      </c>
      <c r="P942" t="e" cm="1">
        <f t="array" aca="1" ref="P942" ca="1">IF(OR(A942="",B942="safety"),"",INDIRECT("template!"&amp;"M"&amp;A942))</f>
        <v>#REF!</v>
      </c>
      <c r="Q942" t="e">
        <f t="shared" ca="1" si="82"/>
        <v>#REF!</v>
      </c>
      <c r="R942" t="e">
        <f t="shared" ca="1" si="83"/>
        <v>#REF!</v>
      </c>
      <c r="S942" t="e">
        <f t="shared" ca="1" si="84"/>
        <v>#REF!</v>
      </c>
      <c r="T942" t="e">
        <f t="shared" ca="1" si="85"/>
        <v>#REF!</v>
      </c>
      <c r="U942" t="e" cm="1">
        <f t="array" aca="1" ref="U942" ca="1">IF(A942="","",IF(E942="","",IF(B942="safety",INDIRECT("template!"&amp;"P"&amp;A942),Q942+R942)))</f>
        <v>#REF!</v>
      </c>
      <c r="V942" t="e" cm="1">
        <f t="array" aca="1" ref="V942" ca="1">IF(A942="","",IF(E942="","",IF(B942="safety",INDIRECT("template!"&amp;"P"&amp;A942),S942+T942)))</f>
        <v>#REF!</v>
      </c>
      <c r="W942" t="e">
        <f ca="1">IF(A942="","",IF(E942="","",#REF!))</f>
        <v>#REF!</v>
      </c>
      <c r="X942" t="e">
        <f ca="1">IF(A942="","",IF(E942="","",#REF!))</f>
        <v>#REF!</v>
      </c>
      <c r="Y942" s="39" t="e">
        <f ca="1">IF(A942="","",IF(E942="","",#REF!))</f>
        <v>#REF!</v>
      </c>
      <c r="Z942" t="e">
        <f ca="1">IF(A942="","",IF(E942="","",#REF!))</f>
        <v>#REF!</v>
      </c>
      <c r="AA942" t="e">
        <f ca="1">IF(A942="","",IF(E942="","",#REF!))</f>
        <v>#REF!</v>
      </c>
      <c r="AB942" t="e">
        <f ca="1">IF(A942="","",IF(E942="","",#REF!))</f>
        <v>#REF!</v>
      </c>
      <c r="AC942" t="e">
        <f t="shared" ca="1" si="86"/>
        <v>#REF!</v>
      </c>
    </row>
    <row r="943" spans="1:29" x14ac:dyDescent="0.35">
      <c r="A943" t="e" cm="1">
        <f t="array" aca="1" ref="A943" ca="1">IF(A942="","",IF(OR(AND(A942+1&gt;=$AF$1,A942+1&lt;=$AF$2),AND(A942+1&gt;=$AF$6,A942+1&lt;=$AF$7),AND(A942+1&gt;=$AF$3,A942+1&lt;=$AF$4),AND(A942+1&gt;=$AF$8,A942+1&lt;=$AF$9),A942+1=$AF$5),IF(NOT(ISBLANK(INDIRECT("template!"&amp;"P"&amp;A942+1))),A942+1,IF(NOT(ISBLANK(INDIRECT("template!"&amp;"P"&amp;A942+2))),A942+2,A942+3)),IF(A942=$AF$2,$AF$3,IF(A942=$AF$4,$AF$5,IF(A942=$AF$5,$AF$6,IF(A942=$AF$7,$AF$8,""))))))</f>
        <v>#REF!</v>
      </c>
      <c r="B943" t="e">
        <f t="shared" ca="1" si="81"/>
        <v>#REF!</v>
      </c>
      <c r="C943" t="e" cm="1">
        <f t="array" aca="1" ref="C943" ca="1">IF(A943="","",IF(B943="safety","safety costs",INDIRECT("template!"&amp;"B"&amp;A943)))</f>
        <v>#REF!</v>
      </c>
      <c r="D943" t="e" cm="1">
        <f t="array" aca="1" ref="D943" ca="1">IF(OR(A943="",B943="safety"),"",INDIRECT("template!"&amp;"C"&amp;A943))</f>
        <v>#REF!</v>
      </c>
      <c r="E943" t="e" cm="1">
        <f t="array" aca="1" ref="E943" ca="1">IF(A943="","",IF(OR(A943=A942+1,A943=A942+2),E942,INDIRECT("template!"&amp;"D"&amp;A943-2)))</f>
        <v>#REF!</v>
      </c>
      <c r="F943" t="e" cm="1">
        <f t="array" aca="1" ref="F943" ca="1">IF(OR(A943="",B943="safety"),"",IF(ISBLANK(IF(A943=A942+1,F942,INDIRECT("template!"&amp;"D"&amp;A943-1))),"",IF(A943=A942+1,F942,INDIRECT("template!"&amp;"D"&amp;A943-1))))</f>
        <v>#REF!</v>
      </c>
      <c r="G943" t="e" cm="1">
        <f t="array" aca="1" ref="G943" ca="1">IF(OR(A943="",B943="safety"),"",IF(ISBLANK(INDIRECT("template!"&amp;"D"&amp;A943)),"",INDIRECT("template!"&amp;"D"&amp;A943)))</f>
        <v>#REF!</v>
      </c>
      <c r="H943" t="e" cm="1">
        <f t="array" aca="1" ref="H943" ca="1">IF(OR(A943="",B943="safety"),"",IF(ISBLANK(INDIRECT("template!"&amp;"E"&amp;A943)),"",INDIRECT("template!"&amp;"E"&amp;A943)))</f>
        <v>#REF!</v>
      </c>
      <c r="I943" t="e" cm="1">
        <f t="array" aca="1" ref="I943" ca="1">IF(OR(A943="",B943="safety"),"",IF(ISBLANK(INDIRECT("template!"&amp;"F"&amp;A943)),"",INDIRECT("template!"&amp;"F"&amp;A943)))</f>
        <v>#REF!</v>
      </c>
      <c r="J943" t="e" cm="1">
        <f t="array" aca="1" ref="J943" ca="1">IF(OR(A943="",B943="safety"),"",IF(ISBLANK(INDIRECT("template!"&amp;"G"&amp;A943)),"",INDIRECT("template!"&amp;"G"&amp;A943)))</f>
        <v>#REF!</v>
      </c>
      <c r="K943" t="e" cm="1">
        <f t="array" aca="1" ref="K943" ca="1">IF(OR(A943="",B943="safety"),"",IF(ISBLANK(INDIRECT("template!"&amp;"H"&amp;A943)),"",INDIRECT("template!"&amp;"H"&amp;A943)))</f>
        <v>#REF!</v>
      </c>
      <c r="L943" t="e" cm="1">
        <f t="array" aca="1" ref="L943" ca="1">IF(OR(A943="",B943="safety"),"",INDIRECT("template!"&amp;"I"&amp;A943))</f>
        <v>#REF!</v>
      </c>
      <c r="M943" t="e" cm="1">
        <f t="array" aca="1" ref="M943" ca="1">IF(OR(A943="",B943="safety"),"",INDIRECT("template!"&amp;"J"&amp;A943))</f>
        <v>#REF!</v>
      </c>
      <c r="N943" t="e" cm="1">
        <f t="array" aca="1" ref="N943" ca="1">IF(OR(A943="",B943="safety"),"",IF(ISBLANK(INDIRECT("template!"&amp;"K"&amp;A943)),"",INDIRECT("template!"&amp;"K"&amp;A943)))</f>
        <v>#REF!</v>
      </c>
      <c r="O943" t="e" cm="1">
        <f t="array" aca="1" ref="O943" ca="1">IF(OR(A943="",B943="safety"),"",INDIRECT("template!"&amp;"L"&amp;A943))</f>
        <v>#REF!</v>
      </c>
      <c r="P943" t="e" cm="1">
        <f t="array" aca="1" ref="P943" ca="1">IF(OR(A943="",B943="safety"),"",INDIRECT("template!"&amp;"M"&amp;A943))</f>
        <v>#REF!</v>
      </c>
      <c r="Q943" t="e">
        <f t="shared" ca="1" si="82"/>
        <v>#REF!</v>
      </c>
      <c r="R943" t="e">
        <f t="shared" ca="1" si="83"/>
        <v>#REF!</v>
      </c>
      <c r="S943" t="e">
        <f t="shared" ca="1" si="84"/>
        <v>#REF!</v>
      </c>
      <c r="T943" t="e">
        <f t="shared" ca="1" si="85"/>
        <v>#REF!</v>
      </c>
      <c r="U943" t="e" cm="1">
        <f t="array" aca="1" ref="U943" ca="1">IF(A943="","",IF(E943="","",IF(B943="safety",INDIRECT("template!"&amp;"P"&amp;A943),Q943+R943)))</f>
        <v>#REF!</v>
      </c>
      <c r="V943" t="e" cm="1">
        <f t="array" aca="1" ref="V943" ca="1">IF(A943="","",IF(E943="","",IF(B943="safety",INDIRECT("template!"&amp;"P"&amp;A943),S943+T943)))</f>
        <v>#REF!</v>
      </c>
      <c r="W943" t="e">
        <f ca="1">IF(A943="","",IF(E943="","",#REF!))</f>
        <v>#REF!</v>
      </c>
      <c r="X943" t="e">
        <f ca="1">IF(A943="","",IF(E943="","",#REF!))</f>
        <v>#REF!</v>
      </c>
      <c r="Y943" s="39" t="e">
        <f ca="1">IF(A943="","",IF(E943="","",#REF!))</f>
        <v>#REF!</v>
      </c>
      <c r="Z943" t="e">
        <f ca="1">IF(A943="","",IF(E943="","",#REF!))</f>
        <v>#REF!</v>
      </c>
      <c r="AA943" t="e">
        <f ca="1">IF(A943="","",IF(E943="","",#REF!))</f>
        <v>#REF!</v>
      </c>
      <c r="AB943" t="e">
        <f ca="1">IF(A943="","",IF(E943="","",#REF!))</f>
        <v>#REF!</v>
      </c>
      <c r="AC943" t="e">
        <f t="shared" ca="1" si="86"/>
        <v>#REF!</v>
      </c>
    </row>
    <row r="944" spans="1:29" x14ac:dyDescent="0.35">
      <c r="A944" t="e" cm="1">
        <f t="array" aca="1" ref="A944" ca="1">IF(A943="","",IF(OR(AND(A943+1&gt;=$AF$1,A943+1&lt;=$AF$2),AND(A943+1&gt;=$AF$6,A943+1&lt;=$AF$7),AND(A943+1&gt;=$AF$3,A943+1&lt;=$AF$4),AND(A943+1&gt;=$AF$8,A943+1&lt;=$AF$9),A943+1=$AF$5),IF(NOT(ISBLANK(INDIRECT("template!"&amp;"P"&amp;A943+1))),A943+1,IF(NOT(ISBLANK(INDIRECT("template!"&amp;"P"&amp;A943+2))),A943+2,A943+3)),IF(A943=$AF$2,$AF$3,IF(A943=$AF$4,$AF$5,IF(A943=$AF$5,$AF$6,IF(A943=$AF$7,$AF$8,""))))))</f>
        <v>#REF!</v>
      </c>
      <c r="B944" t="e">
        <f t="shared" ca="1" si="81"/>
        <v>#REF!</v>
      </c>
      <c r="C944" t="e" cm="1">
        <f t="array" aca="1" ref="C944" ca="1">IF(A944="","",IF(B944="safety","safety costs",INDIRECT("template!"&amp;"B"&amp;A944)))</f>
        <v>#REF!</v>
      </c>
      <c r="D944" t="e" cm="1">
        <f t="array" aca="1" ref="D944" ca="1">IF(OR(A944="",B944="safety"),"",INDIRECT("template!"&amp;"C"&amp;A944))</f>
        <v>#REF!</v>
      </c>
      <c r="E944" t="e" cm="1">
        <f t="array" aca="1" ref="E944" ca="1">IF(A944="","",IF(OR(A944=A943+1,A944=A943+2),E943,INDIRECT("template!"&amp;"D"&amp;A944-2)))</f>
        <v>#REF!</v>
      </c>
      <c r="F944" t="e" cm="1">
        <f t="array" aca="1" ref="F944" ca="1">IF(OR(A944="",B944="safety"),"",IF(ISBLANK(IF(A944=A943+1,F943,INDIRECT("template!"&amp;"D"&amp;A944-1))),"",IF(A944=A943+1,F943,INDIRECT("template!"&amp;"D"&amp;A944-1))))</f>
        <v>#REF!</v>
      </c>
      <c r="G944" t="e" cm="1">
        <f t="array" aca="1" ref="G944" ca="1">IF(OR(A944="",B944="safety"),"",IF(ISBLANK(INDIRECT("template!"&amp;"D"&amp;A944)),"",INDIRECT("template!"&amp;"D"&amp;A944)))</f>
        <v>#REF!</v>
      </c>
      <c r="H944" t="e" cm="1">
        <f t="array" aca="1" ref="H944" ca="1">IF(OR(A944="",B944="safety"),"",IF(ISBLANK(INDIRECT("template!"&amp;"E"&amp;A944)),"",INDIRECT("template!"&amp;"E"&amp;A944)))</f>
        <v>#REF!</v>
      </c>
      <c r="I944" t="e" cm="1">
        <f t="array" aca="1" ref="I944" ca="1">IF(OR(A944="",B944="safety"),"",IF(ISBLANK(INDIRECT("template!"&amp;"F"&amp;A944)),"",INDIRECT("template!"&amp;"F"&amp;A944)))</f>
        <v>#REF!</v>
      </c>
      <c r="J944" t="e" cm="1">
        <f t="array" aca="1" ref="J944" ca="1">IF(OR(A944="",B944="safety"),"",IF(ISBLANK(INDIRECT("template!"&amp;"G"&amp;A944)),"",INDIRECT("template!"&amp;"G"&amp;A944)))</f>
        <v>#REF!</v>
      </c>
      <c r="K944" t="e" cm="1">
        <f t="array" aca="1" ref="K944" ca="1">IF(OR(A944="",B944="safety"),"",IF(ISBLANK(INDIRECT("template!"&amp;"H"&amp;A944)),"",INDIRECT("template!"&amp;"H"&amp;A944)))</f>
        <v>#REF!</v>
      </c>
      <c r="L944" t="e" cm="1">
        <f t="array" aca="1" ref="L944" ca="1">IF(OR(A944="",B944="safety"),"",INDIRECT("template!"&amp;"I"&amp;A944))</f>
        <v>#REF!</v>
      </c>
      <c r="M944" t="e" cm="1">
        <f t="array" aca="1" ref="M944" ca="1">IF(OR(A944="",B944="safety"),"",INDIRECT("template!"&amp;"J"&amp;A944))</f>
        <v>#REF!</v>
      </c>
      <c r="N944" t="e" cm="1">
        <f t="array" aca="1" ref="N944" ca="1">IF(OR(A944="",B944="safety"),"",IF(ISBLANK(INDIRECT("template!"&amp;"K"&amp;A944)),"",INDIRECT("template!"&amp;"K"&amp;A944)))</f>
        <v>#REF!</v>
      </c>
      <c r="O944" t="e" cm="1">
        <f t="array" aca="1" ref="O944" ca="1">IF(OR(A944="",B944="safety"),"",INDIRECT("template!"&amp;"L"&amp;A944))</f>
        <v>#REF!</v>
      </c>
      <c r="P944" t="e" cm="1">
        <f t="array" aca="1" ref="P944" ca="1">IF(OR(A944="",B944="safety"),"",INDIRECT("template!"&amp;"M"&amp;A944))</f>
        <v>#REF!</v>
      </c>
      <c r="Q944" t="e">
        <f t="shared" ca="1" si="82"/>
        <v>#REF!</v>
      </c>
      <c r="R944" t="e">
        <f t="shared" ca="1" si="83"/>
        <v>#REF!</v>
      </c>
      <c r="S944" t="e">
        <f t="shared" ca="1" si="84"/>
        <v>#REF!</v>
      </c>
      <c r="T944" t="e">
        <f t="shared" ca="1" si="85"/>
        <v>#REF!</v>
      </c>
      <c r="U944" t="e" cm="1">
        <f t="array" aca="1" ref="U944" ca="1">IF(A944="","",IF(E944="","",IF(B944="safety",INDIRECT("template!"&amp;"P"&amp;A944),Q944+R944)))</f>
        <v>#REF!</v>
      </c>
      <c r="V944" t="e" cm="1">
        <f t="array" aca="1" ref="V944" ca="1">IF(A944="","",IF(E944="","",IF(B944="safety",INDIRECT("template!"&amp;"P"&amp;A944),S944+T944)))</f>
        <v>#REF!</v>
      </c>
      <c r="W944" t="e">
        <f ca="1">IF(A944="","",IF(E944="","",#REF!))</f>
        <v>#REF!</v>
      </c>
      <c r="X944" t="e">
        <f ca="1">IF(A944="","",IF(E944="","",#REF!))</f>
        <v>#REF!</v>
      </c>
      <c r="Y944" s="39" t="e">
        <f ca="1">IF(A944="","",IF(E944="","",#REF!))</f>
        <v>#REF!</v>
      </c>
      <c r="Z944" t="e">
        <f ca="1">IF(A944="","",IF(E944="","",#REF!))</f>
        <v>#REF!</v>
      </c>
      <c r="AA944" t="e">
        <f ca="1">IF(A944="","",IF(E944="","",#REF!))</f>
        <v>#REF!</v>
      </c>
      <c r="AB944" t="e">
        <f ca="1">IF(A944="","",IF(E944="","",#REF!))</f>
        <v>#REF!</v>
      </c>
      <c r="AC944" t="e">
        <f t="shared" ca="1" si="86"/>
        <v>#REF!</v>
      </c>
    </row>
    <row r="945" spans="1:29" x14ac:dyDescent="0.35">
      <c r="A945" t="e" cm="1">
        <f t="array" aca="1" ref="A945" ca="1">IF(A944="","",IF(OR(AND(A944+1&gt;=$AF$1,A944+1&lt;=$AF$2),AND(A944+1&gt;=$AF$6,A944+1&lt;=$AF$7),AND(A944+1&gt;=$AF$3,A944+1&lt;=$AF$4),AND(A944+1&gt;=$AF$8,A944+1&lt;=$AF$9),A944+1=$AF$5),IF(NOT(ISBLANK(INDIRECT("template!"&amp;"P"&amp;A944+1))),A944+1,IF(NOT(ISBLANK(INDIRECT("template!"&amp;"P"&amp;A944+2))),A944+2,A944+3)),IF(A944=$AF$2,$AF$3,IF(A944=$AF$4,$AF$5,IF(A944=$AF$5,$AF$6,IF(A944=$AF$7,$AF$8,""))))))</f>
        <v>#REF!</v>
      </c>
      <c r="B945" t="e">
        <f t="shared" ca="1" si="81"/>
        <v>#REF!</v>
      </c>
      <c r="C945" t="e" cm="1">
        <f t="array" aca="1" ref="C945" ca="1">IF(A945="","",IF(B945="safety","safety costs",INDIRECT("template!"&amp;"B"&amp;A945)))</f>
        <v>#REF!</v>
      </c>
      <c r="D945" t="e" cm="1">
        <f t="array" aca="1" ref="D945" ca="1">IF(OR(A945="",B945="safety"),"",INDIRECT("template!"&amp;"C"&amp;A945))</f>
        <v>#REF!</v>
      </c>
      <c r="E945" t="e" cm="1">
        <f t="array" aca="1" ref="E945" ca="1">IF(A945="","",IF(OR(A945=A944+1,A945=A944+2),E944,INDIRECT("template!"&amp;"D"&amp;A945-2)))</f>
        <v>#REF!</v>
      </c>
      <c r="F945" t="e" cm="1">
        <f t="array" aca="1" ref="F945" ca="1">IF(OR(A945="",B945="safety"),"",IF(ISBLANK(IF(A945=A944+1,F944,INDIRECT("template!"&amp;"D"&amp;A945-1))),"",IF(A945=A944+1,F944,INDIRECT("template!"&amp;"D"&amp;A945-1))))</f>
        <v>#REF!</v>
      </c>
      <c r="G945" t="e" cm="1">
        <f t="array" aca="1" ref="G945" ca="1">IF(OR(A945="",B945="safety"),"",IF(ISBLANK(INDIRECT("template!"&amp;"D"&amp;A945)),"",INDIRECT("template!"&amp;"D"&amp;A945)))</f>
        <v>#REF!</v>
      </c>
      <c r="H945" t="e" cm="1">
        <f t="array" aca="1" ref="H945" ca="1">IF(OR(A945="",B945="safety"),"",IF(ISBLANK(INDIRECT("template!"&amp;"E"&amp;A945)),"",INDIRECT("template!"&amp;"E"&amp;A945)))</f>
        <v>#REF!</v>
      </c>
      <c r="I945" t="e" cm="1">
        <f t="array" aca="1" ref="I945" ca="1">IF(OR(A945="",B945="safety"),"",IF(ISBLANK(INDIRECT("template!"&amp;"F"&amp;A945)),"",INDIRECT("template!"&amp;"F"&amp;A945)))</f>
        <v>#REF!</v>
      </c>
      <c r="J945" t="e" cm="1">
        <f t="array" aca="1" ref="J945" ca="1">IF(OR(A945="",B945="safety"),"",IF(ISBLANK(INDIRECT("template!"&amp;"G"&amp;A945)),"",INDIRECT("template!"&amp;"G"&amp;A945)))</f>
        <v>#REF!</v>
      </c>
      <c r="K945" t="e" cm="1">
        <f t="array" aca="1" ref="K945" ca="1">IF(OR(A945="",B945="safety"),"",IF(ISBLANK(INDIRECT("template!"&amp;"H"&amp;A945)),"",INDIRECT("template!"&amp;"H"&amp;A945)))</f>
        <v>#REF!</v>
      </c>
      <c r="L945" t="e" cm="1">
        <f t="array" aca="1" ref="L945" ca="1">IF(OR(A945="",B945="safety"),"",INDIRECT("template!"&amp;"I"&amp;A945))</f>
        <v>#REF!</v>
      </c>
      <c r="M945" t="e" cm="1">
        <f t="array" aca="1" ref="M945" ca="1">IF(OR(A945="",B945="safety"),"",INDIRECT("template!"&amp;"J"&amp;A945))</f>
        <v>#REF!</v>
      </c>
      <c r="N945" t="e" cm="1">
        <f t="array" aca="1" ref="N945" ca="1">IF(OR(A945="",B945="safety"),"",IF(ISBLANK(INDIRECT("template!"&amp;"K"&amp;A945)),"",INDIRECT("template!"&amp;"K"&amp;A945)))</f>
        <v>#REF!</v>
      </c>
      <c r="O945" t="e" cm="1">
        <f t="array" aca="1" ref="O945" ca="1">IF(OR(A945="",B945="safety"),"",INDIRECT("template!"&amp;"L"&amp;A945))</f>
        <v>#REF!</v>
      </c>
      <c r="P945" t="e" cm="1">
        <f t="array" aca="1" ref="P945" ca="1">IF(OR(A945="",B945="safety"),"",INDIRECT("template!"&amp;"M"&amp;A945))</f>
        <v>#REF!</v>
      </c>
      <c r="Q945" t="e">
        <f t="shared" ca="1" si="82"/>
        <v>#REF!</v>
      </c>
      <c r="R945" t="e">
        <f t="shared" ca="1" si="83"/>
        <v>#REF!</v>
      </c>
      <c r="S945" t="e">
        <f t="shared" ca="1" si="84"/>
        <v>#REF!</v>
      </c>
      <c r="T945" t="e">
        <f t="shared" ca="1" si="85"/>
        <v>#REF!</v>
      </c>
      <c r="U945" t="e" cm="1">
        <f t="array" aca="1" ref="U945" ca="1">IF(A945="","",IF(E945="","",IF(B945="safety",INDIRECT("template!"&amp;"P"&amp;A945),Q945+R945)))</f>
        <v>#REF!</v>
      </c>
      <c r="V945" t="e" cm="1">
        <f t="array" aca="1" ref="V945" ca="1">IF(A945="","",IF(E945="","",IF(B945="safety",INDIRECT("template!"&amp;"P"&amp;A945),S945+T945)))</f>
        <v>#REF!</v>
      </c>
      <c r="W945" t="e">
        <f ca="1">IF(A945="","",IF(E945="","",#REF!))</f>
        <v>#REF!</v>
      </c>
      <c r="X945" t="e">
        <f ca="1">IF(A945="","",IF(E945="","",#REF!))</f>
        <v>#REF!</v>
      </c>
      <c r="Y945" s="39" t="e">
        <f ca="1">IF(A945="","",IF(E945="","",#REF!))</f>
        <v>#REF!</v>
      </c>
      <c r="Z945" t="e">
        <f ca="1">IF(A945="","",IF(E945="","",#REF!))</f>
        <v>#REF!</v>
      </c>
      <c r="AA945" t="e">
        <f ca="1">IF(A945="","",IF(E945="","",#REF!))</f>
        <v>#REF!</v>
      </c>
      <c r="AB945" t="e">
        <f ca="1">IF(A945="","",IF(E945="","",#REF!))</f>
        <v>#REF!</v>
      </c>
      <c r="AC945" t="e">
        <f t="shared" ca="1" si="86"/>
        <v>#REF!</v>
      </c>
    </row>
    <row r="946" spans="1:29" x14ac:dyDescent="0.35">
      <c r="A946" t="e" cm="1">
        <f t="array" aca="1" ref="A946" ca="1">IF(A945="","",IF(OR(AND(A945+1&gt;=$AF$1,A945+1&lt;=$AF$2),AND(A945+1&gt;=$AF$6,A945+1&lt;=$AF$7),AND(A945+1&gt;=$AF$3,A945+1&lt;=$AF$4),AND(A945+1&gt;=$AF$8,A945+1&lt;=$AF$9),A945+1=$AF$5),IF(NOT(ISBLANK(INDIRECT("template!"&amp;"P"&amp;A945+1))),A945+1,IF(NOT(ISBLANK(INDIRECT("template!"&amp;"P"&amp;A945+2))),A945+2,A945+3)),IF(A945=$AF$2,$AF$3,IF(A945=$AF$4,$AF$5,IF(A945=$AF$5,$AF$6,IF(A945=$AF$7,$AF$8,""))))))</f>
        <v>#REF!</v>
      </c>
      <c r="B946" t="e">
        <f t="shared" ca="1" si="81"/>
        <v>#REF!</v>
      </c>
      <c r="C946" t="e" cm="1">
        <f t="array" aca="1" ref="C946" ca="1">IF(A946="","",IF(B946="safety","safety costs",INDIRECT("template!"&amp;"B"&amp;A946)))</f>
        <v>#REF!</v>
      </c>
      <c r="D946" t="e" cm="1">
        <f t="array" aca="1" ref="D946" ca="1">IF(OR(A946="",B946="safety"),"",INDIRECT("template!"&amp;"C"&amp;A946))</f>
        <v>#REF!</v>
      </c>
      <c r="E946" t="e" cm="1">
        <f t="array" aca="1" ref="E946" ca="1">IF(A946="","",IF(OR(A946=A945+1,A946=A945+2),E945,INDIRECT("template!"&amp;"D"&amp;A946-2)))</f>
        <v>#REF!</v>
      </c>
      <c r="F946" t="e" cm="1">
        <f t="array" aca="1" ref="F946" ca="1">IF(OR(A946="",B946="safety"),"",IF(ISBLANK(IF(A946=A945+1,F945,INDIRECT("template!"&amp;"D"&amp;A946-1))),"",IF(A946=A945+1,F945,INDIRECT("template!"&amp;"D"&amp;A946-1))))</f>
        <v>#REF!</v>
      </c>
      <c r="G946" t="e" cm="1">
        <f t="array" aca="1" ref="G946" ca="1">IF(OR(A946="",B946="safety"),"",IF(ISBLANK(INDIRECT("template!"&amp;"D"&amp;A946)),"",INDIRECT("template!"&amp;"D"&amp;A946)))</f>
        <v>#REF!</v>
      </c>
      <c r="H946" t="e" cm="1">
        <f t="array" aca="1" ref="H946" ca="1">IF(OR(A946="",B946="safety"),"",IF(ISBLANK(INDIRECT("template!"&amp;"E"&amp;A946)),"",INDIRECT("template!"&amp;"E"&amp;A946)))</f>
        <v>#REF!</v>
      </c>
      <c r="I946" t="e" cm="1">
        <f t="array" aca="1" ref="I946" ca="1">IF(OR(A946="",B946="safety"),"",IF(ISBLANK(INDIRECT("template!"&amp;"F"&amp;A946)),"",INDIRECT("template!"&amp;"F"&amp;A946)))</f>
        <v>#REF!</v>
      </c>
      <c r="J946" t="e" cm="1">
        <f t="array" aca="1" ref="J946" ca="1">IF(OR(A946="",B946="safety"),"",IF(ISBLANK(INDIRECT("template!"&amp;"G"&amp;A946)),"",INDIRECT("template!"&amp;"G"&amp;A946)))</f>
        <v>#REF!</v>
      </c>
      <c r="K946" t="e" cm="1">
        <f t="array" aca="1" ref="K946" ca="1">IF(OR(A946="",B946="safety"),"",IF(ISBLANK(INDIRECT("template!"&amp;"H"&amp;A946)),"",INDIRECT("template!"&amp;"H"&amp;A946)))</f>
        <v>#REF!</v>
      </c>
      <c r="L946" t="e" cm="1">
        <f t="array" aca="1" ref="L946" ca="1">IF(OR(A946="",B946="safety"),"",INDIRECT("template!"&amp;"I"&amp;A946))</f>
        <v>#REF!</v>
      </c>
      <c r="M946" t="e" cm="1">
        <f t="array" aca="1" ref="M946" ca="1">IF(OR(A946="",B946="safety"),"",INDIRECT("template!"&amp;"J"&amp;A946))</f>
        <v>#REF!</v>
      </c>
      <c r="N946" t="e" cm="1">
        <f t="array" aca="1" ref="N946" ca="1">IF(OR(A946="",B946="safety"),"",IF(ISBLANK(INDIRECT("template!"&amp;"K"&amp;A946)),"",INDIRECT("template!"&amp;"K"&amp;A946)))</f>
        <v>#REF!</v>
      </c>
      <c r="O946" t="e" cm="1">
        <f t="array" aca="1" ref="O946" ca="1">IF(OR(A946="",B946="safety"),"",INDIRECT("template!"&amp;"L"&amp;A946))</f>
        <v>#REF!</v>
      </c>
      <c r="P946" t="e" cm="1">
        <f t="array" aca="1" ref="P946" ca="1">IF(OR(A946="",B946="safety"),"",INDIRECT("template!"&amp;"M"&amp;A946))</f>
        <v>#REF!</v>
      </c>
      <c r="Q946" t="e">
        <f t="shared" ca="1" si="82"/>
        <v>#REF!</v>
      </c>
      <c r="R946" t="e">
        <f t="shared" ca="1" si="83"/>
        <v>#REF!</v>
      </c>
      <c r="S946" t="e">
        <f t="shared" ca="1" si="84"/>
        <v>#REF!</v>
      </c>
      <c r="T946" t="e">
        <f t="shared" ca="1" si="85"/>
        <v>#REF!</v>
      </c>
      <c r="U946" t="e" cm="1">
        <f t="array" aca="1" ref="U946" ca="1">IF(A946="","",IF(E946="","",IF(B946="safety",INDIRECT("template!"&amp;"P"&amp;A946),Q946+R946)))</f>
        <v>#REF!</v>
      </c>
      <c r="V946" t="e" cm="1">
        <f t="array" aca="1" ref="V946" ca="1">IF(A946="","",IF(E946="","",IF(B946="safety",INDIRECT("template!"&amp;"P"&amp;A946),S946+T946)))</f>
        <v>#REF!</v>
      </c>
      <c r="W946" t="e">
        <f ca="1">IF(A946="","",IF(E946="","",#REF!))</f>
        <v>#REF!</v>
      </c>
      <c r="X946" t="e">
        <f ca="1">IF(A946="","",IF(E946="","",#REF!))</f>
        <v>#REF!</v>
      </c>
      <c r="Y946" s="39" t="e">
        <f ca="1">IF(A946="","",IF(E946="","",#REF!))</f>
        <v>#REF!</v>
      </c>
      <c r="Z946" t="e">
        <f ca="1">IF(A946="","",IF(E946="","",#REF!))</f>
        <v>#REF!</v>
      </c>
      <c r="AA946" t="e">
        <f ca="1">IF(A946="","",IF(E946="","",#REF!))</f>
        <v>#REF!</v>
      </c>
      <c r="AB946" t="e">
        <f ca="1">IF(A946="","",IF(E946="","",#REF!))</f>
        <v>#REF!</v>
      </c>
      <c r="AC946" t="e">
        <f t="shared" ca="1" si="86"/>
        <v>#REF!</v>
      </c>
    </row>
    <row r="947" spans="1:29" x14ac:dyDescent="0.35">
      <c r="A947" t="e" cm="1">
        <f t="array" aca="1" ref="A947" ca="1">IF(A946="","",IF(OR(AND(A946+1&gt;=$AF$1,A946+1&lt;=$AF$2),AND(A946+1&gt;=$AF$6,A946+1&lt;=$AF$7),AND(A946+1&gt;=$AF$3,A946+1&lt;=$AF$4),AND(A946+1&gt;=$AF$8,A946+1&lt;=$AF$9),A946+1=$AF$5),IF(NOT(ISBLANK(INDIRECT("template!"&amp;"P"&amp;A946+1))),A946+1,IF(NOT(ISBLANK(INDIRECT("template!"&amp;"P"&amp;A946+2))),A946+2,A946+3)),IF(A946=$AF$2,$AF$3,IF(A946=$AF$4,$AF$5,IF(A946=$AF$5,$AF$6,IF(A946=$AF$7,$AF$8,""))))))</f>
        <v>#REF!</v>
      </c>
      <c r="B947" t="e">
        <f t="shared" ca="1" si="81"/>
        <v>#REF!</v>
      </c>
      <c r="C947" t="e" cm="1">
        <f t="array" aca="1" ref="C947" ca="1">IF(A947="","",IF(B947="safety","safety costs",INDIRECT("template!"&amp;"B"&amp;A947)))</f>
        <v>#REF!</v>
      </c>
      <c r="D947" t="e" cm="1">
        <f t="array" aca="1" ref="D947" ca="1">IF(OR(A947="",B947="safety"),"",INDIRECT("template!"&amp;"C"&amp;A947))</f>
        <v>#REF!</v>
      </c>
      <c r="E947" t="e" cm="1">
        <f t="array" aca="1" ref="E947" ca="1">IF(A947="","",IF(OR(A947=A946+1,A947=A946+2),E946,INDIRECT("template!"&amp;"D"&amp;A947-2)))</f>
        <v>#REF!</v>
      </c>
      <c r="F947" t="e" cm="1">
        <f t="array" aca="1" ref="F947" ca="1">IF(OR(A947="",B947="safety"),"",IF(ISBLANK(IF(A947=A946+1,F946,INDIRECT("template!"&amp;"D"&amp;A947-1))),"",IF(A947=A946+1,F946,INDIRECT("template!"&amp;"D"&amp;A947-1))))</f>
        <v>#REF!</v>
      </c>
      <c r="G947" t="e" cm="1">
        <f t="array" aca="1" ref="G947" ca="1">IF(OR(A947="",B947="safety"),"",IF(ISBLANK(INDIRECT("template!"&amp;"D"&amp;A947)),"",INDIRECT("template!"&amp;"D"&amp;A947)))</f>
        <v>#REF!</v>
      </c>
      <c r="H947" t="e" cm="1">
        <f t="array" aca="1" ref="H947" ca="1">IF(OR(A947="",B947="safety"),"",IF(ISBLANK(INDIRECT("template!"&amp;"E"&amp;A947)),"",INDIRECT("template!"&amp;"E"&amp;A947)))</f>
        <v>#REF!</v>
      </c>
      <c r="I947" t="e" cm="1">
        <f t="array" aca="1" ref="I947" ca="1">IF(OR(A947="",B947="safety"),"",IF(ISBLANK(INDIRECT("template!"&amp;"F"&amp;A947)),"",INDIRECT("template!"&amp;"F"&amp;A947)))</f>
        <v>#REF!</v>
      </c>
      <c r="J947" t="e" cm="1">
        <f t="array" aca="1" ref="J947" ca="1">IF(OR(A947="",B947="safety"),"",IF(ISBLANK(INDIRECT("template!"&amp;"G"&amp;A947)),"",INDIRECT("template!"&amp;"G"&amp;A947)))</f>
        <v>#REF!</v>
      </c>
      <c r="K947" t="e" cm="1">
        <f t="array" aca="1" ref="K947" ca="1">IF(OR(A947="",B947="safety"),"",IF(ISBLANK(INDIRECT("template!"&amp;"H"&amp;A947)),"",INDIRECT("template!"&amp;"H"&amp;A947)))</f>
        <v>#REF!</v>
      </c>
      <c r="L947" t="e" cm="1">
        <f t="array" aca="1" ref="L947" ca="1">IF(OR(A947="",B947="safety"),"",INDIRECT("template!"&amp;"I"&amp;A947))</f>
        <v>#REF!</v>
      </c>
      <c r="M947" t="e" cm="1">
        <f t="array" aca="1" ref="M947" ca="1">IF(OR(A947="",B947="safety"),"",INDIRECT("template!"&amp;"J"&amp;A947))</f>
        <v>#REF!</v>
      </c>
      <c r="N947" t="e" cm="1">
        <f t="array" aca="1" ref="N947" ca="1">IF(OR(A947="",B947="safety"),"",IF(ISBLANK(INDIRECT("template!"&amp;"K"&amp;A947)),"",INDIRECT("template!"&amp;"K"&amp;A947)))</f>
        <v>#REF!</v>
      </c>
      <c r="O947" t="e" cm="1">
        <f t="array" aca="1" ref="O947" ca="1">IF(OR(A947="",B947="safety"),"",INDIRECT("template!"&amp;"L"&amp;A947))</f>
        <v>#REF!</v>
      </c>
      <c r="P947" t="e" cm="1">
        <f t="array" aca="1" ref="P947" ca="1">IF(OR(A947="",B947="safety"),"",INDIRECT("template!"&amp;"M"&amp;A947))</f>
        <v>#REF!</v>
      </c>
      <c r="Q947" t="e">
        <f t="shared" ca="1" si="82"/>
        <v>#REF!</v>
      </c>
      <c r="R947" t="e">
        <f t="shared" ca="1" si="83"/>
        <v>#REF!</v>
      </c>
      <c r="S947" t="e">
        <f t="shared" ca="1" si="84"/>
        <v>#REF!</v>
      </c>
      <c r="T947" t="e">
        <f t="shared" ca="1" si="85"/>
        <v>#REF!</v>
      </c>
      <c r="U947" t="e" cm="1">
        <f t="array" aca="1" ref="U947" ca="1">IF(A947="","",IF(E947="","",IF(B947="safety",INDIRECT("template!"&amp;"P"&amp;A947),Q947+R947)))</f>
        <v>#REF!</v>
      </c>
      <c r="V947" t="e" cm="1">
        <f t="array" aca="1" ref="V947" ca="1">IF(A947="","",IF(E947="","",IF(B947="safety",INDIRECT("template!"&amp;"P"&amp;A947),S947+T947)))</f>
        <v>#REF!</v>
      </c>
      <c r="W947" t="e">
        <f ca="1">IF(A947="","",IF(E947="","",#REF!))</f>
        <v>#REF!</v>
      </c>
      <c r="X947" t="e">
        <f ca="1">IF(A947="","",IF(E947="","",#REF!))</f>
        <v>#REF!</v>
      </c>
      <c r="Y947" s="39" t="e">
        <f ca="1">IF(A947="","",IF(E947="","",#REF!))</f>
        <v>#REF!</v>
      </c>
      <c r="Z947" t="e">
        <f ca="1">IF(A947="","",IF(E947="","",#REF!))</f>
        <v>#REF!</v>
      </c>
      <c r="AA947" t="e">
        <f ca="1">IF(A947="","",IF(E947="","",#REF!))</f>
        <v>#REF!</v>
      </c>
      <c r="AB947" t="e">
        <f ca="1">IF(A947="","",IF(E947="","",#REF!))</f>
        <v>#REF!</v>
      </c>
      <c r="AC947" t="e">
        <f t="shared" ca="1" si="86"/>
        <v>#REF!</v>
      </c>
    </row>
    <row r="948" spans="1:29" x14ac:dyDescent="0.35">
      <c r="A948" t="e" cm="1">
        <f t="array" aca="1" ref="A948" ca="1">IF(A947="","",IF(OR(AND(A947+1&gt;=$AF$1,A947+1&lt;=$AF$2),AND(A947+1&gt;=$AF$6,A947+1&lt;=$AF$7),AND(A947+1&gt;=$AF$3,A947+1&lt;=$AF$4),AND(A947+1&gt;=$AF$8,A947+1&lt;=$AF$9),A947+1=$AF$5),IF(NOT(ISBLANK(INDIRECT("template!"&amp;"P"&amp;A947+1))),A947+1,IF(NOT(ISBLANK(INDIRECT("template!"&amp;"P"&amp;A947+2))),A947+2,A947+3)),IF(A947=$AF$2,$AF$3,IF(A947=$AF$4,$AF$5,IF(A947=$AF$5,$AF$6,IF(A947=$AF$7,$AF$8,""))))))</f>
        <v>#REF!</v>
      </c>
      <c r="B948" t="e">
        <f t="shared" ca="1" si="81"/>
        <v>#REF!</v>
      </c>
      <c r="C948" t="e" cm="1">
        <f t="array" aca="1" ref="C948" ca="1">IF(A948="","",IF(B948="safety","safety costs",INDIRECT("template!"&amp;"B"&amp;A948)))</f>
        <v>#REF!</v>
      </c>
      <c r="D948" t="e" cm="1">
        <f t="array" aca="1" ref="D948" ca="1">IF(OR(A948="",B948="safety"),"",INDIRECT("template!"&amp;"C"&amp;A948))</f>
        <v>#REF!</v>
      </c>
      <c r="E948" t="e" cm="1">
        <f t="array" aca="1" ref="E948" ca="1">IF(A948="","",IF(OR(A948=A947+1,A948=A947+2),E947,INDIRECT("template!"&amp;"D"&amp;A948-2)))</f>
        <v>#REF!</v>
      </c>
      <c r="F948" t="e" cm="1">
        <f t="array" aca="1" ref="F948" ca="1">IF(OR(A948="",B948="safety"),"",IF(ISBLANK(IF(A948=A947+1,F947,INDIRECT("template!"&amp;"D"&amp;A948-1))),"",IF(A948=A947+1,F947,INDIRECT("template!"&amp;"D"&amp;A948-1))))</f>
        <v>#REF!</v>
      </c>
      <c r="G948" t="e" cm="1">
        <f t="array" aca="1" ref="G948" ca="1">IF(OR(A948="",B948="safety"),"",IF(ISBLANK(INDIRECT("template!"&amp;"D"&amp;A948)),"",INDIRECT("template!"&amp;"D"&amp;A948)))</f>
        <v>#REF!</v>
      </c>
      <c r="H948" t="e" cm="1">
        <f t="array" aca="1" ref="H948" ca="1">IF(OR(A948="",B948="safety"),"",IF(ISBLANK(INDIRECT("template!"&amp;"E"&amp;A948)),"",INDIRECT("template!"&amp;"E"&amp;A948)))</f>
        <v>#REF!</v>
      </c>
      <c r="I948" t="e" cm="1">
        <f t="array" aca="1" ref="I948" ca="1">IF(OR(A948="",B948="safety"),"",IF(ISBLANK(INDIRECT("template!"&amp;"F"&amp;A948)),"",INDIRECT("template!"&amp;"F"&amp;A948)))</f>
        <v>#REF!</v>
      </c>
      <c r="J948" t="e" cm="1">
        <f t="array" aca="1" ref="J948" ca="1">IF(OR(A948="",B948="safety"),"",IF(ISBLANK(INDIRECT("template!"&amp;"G"&amp;A948)),"",INDIRECT("template!"&amp;"G"&amp;A948)))</f>
        <v>#REF!</v>
      </c>
      <c r="K948" t="e" cm="1">
        <f t="array" aca="1" ref="K948" ca="1">IF(OR(A948="",B948="safety"),"",IF(ISBLANK(INDIRECT("template!"&amp;"H"&amp;A948)),"",INDIRECT("template!"&amp;"H"&amp;A948)))</f>
        <v>#REF!</v>
      </c>
      <c r="L948" t="e" cm="1">
        <f t="array" aca="1" ref="L948" ca="1">IF(OR(A948="",B948="safety"),"",INDIRECT("template!"&amp;"I"&amp;A948))</f>
        <v>#REF!</v>
      </c>
      <c r="M948" t="e" cm="1">
        <f t="array" aca="1" ref="M948" ca="1">IF(OR(A948="",B948="safety"),"",INDIRECT("template!"&amp;"J"&amp;A948))</f>
        <v>#REF!</v>
      </c>
      <c r="N948" t="e" cm="1">
        <f t="array" aca="1" ref="N948" ca="1">IF(OR(A948="",B948="safety"),"",IF(ISBLANK(INDIRECT("template!"&amp;"K"&amp;A948)),"",INDIRECT("template!"&amp;"K"&amp;A948)))</f>
        <v>#REF!</v>
      </c>
      <c r="O948" t="e" cm="1">
        <f t="array" aca="1" ref="O948" ca="1">IF(OR(A948="",B948="safety"),"",INDIRECT("template!"&amp;"L"&amp;A948))</f>
        <v>#REF!</v>
      </c>
      <c r="P948" t="e" cm="1">
        <f t="array" aca="1" ref="P948" ca="1">IF(OR(A948="",B948="safety"),"",INDIRECT("template!"&amp;"M"&amp;A948))</f>
        <v>#REF!</v>
      </c>
      <c r="Q948" t="e">
        <f t="shared" ca="1" si="82"/>
        <v>#REF!</v>
      </c>
      <c r="R948" t="e">
        <f t="shared" ca="1" si="83"/>
        <v>#REF!</v>
      </c>
      <c r="S948" t="e">
        <f t="shared" ca="1" si="84"/>
        <v>#REF!</v>
      </c>
      <c r="T948" t="e">
        <f t="shared" ca="1" si="85"/>
        <v>#REF!</v>
      </c>
      <c r="U948" t="e" cm="1">
        <f t="array" aca="1" ref="U948" ca="1">IF(A948="","",IF(E948="","",IF(B948="safety",INDIRECT("template!"&amp;"P"&amp;A948),Q948+R948)))</f>
        <v>#REF!</v>
      </c>
      <c r="V948" t="e" cm="1">
        <f t="array" aca="1" ref="V948" ca="1">IF(A948="","",IF(E948="","",IF(B948="safety",INDIRECT("template!"&amp;"P"&amp;A948),S948+T948)))</f>
        <v>#REF!</v>
      </c>
      <c r="W948" t="e">
        <f ca="1">IF(A948="","",IF(E948="","",#REF!))</f>
        <v>#REF!</v>
      </c>
      <c r="X948" t="e">
        <f ca="1">IF(A948="","",IF(E948="","",#REF!))</f>
        <v>#REF!</v>
      </c>
      <c r="Y948" s="39" t="e">
        <f ca="1">IF(A948="","",IF(E948="","",#REF!))</f>
        <v>#REF!</v>
      </c>
      <c r="Z948" t="e">
        <f ca="1">IF(A948="","",IF(E948="","",#REF!))</f>
        <v>#REF!</v>
      </c>
      <c r="AA948" t="e">
        <f ca="1">IF(A948="","",IF(E948="","",#REF!))</f>
        <v>#REF!</v>
      </c>
      <c r="AB948" t="e">
        <f ca="1">IF(A948="","",IF(E948="","",#REF!))</f>
        <v>#REF!</v>
      </c>
      <c r="AC948" t="e">
        <f t="shared" ca="1" si="86"/>
        <v>#REF!</v>
      </c>
    </row>
    <row r="949" spans="1:29" x14ac:dyDescent="0.35">
      <c r="A949" t="e" cm="1">
        <f t="array" aca="1" ref="A949" ca="1">IF(A948="","",IF(OR(AND(A948+1&gt;=$AF$1,A948+1&lt;=$AF$2),AND(A948+1&gt;=$AF$6,A948+1&lt;=$AF$7),AND(A948+1&gt;=$AF$3,A948+1&lt;=$AF$4),AND(A948+1&gt;=$AF$8,A948+1&lt;=$AF$9),A948+1=$AF$5),IF(NOT(ISBLANK(INDIRECT("template!"&amp;"P"&amp;A948+1))),A948+1,IF(NOT(ISBLANK(INDIRECT("template!"&amp;"P"&amp;A948+2))),A948+2,A948+3)),IF(A948=$AF$2,$AF$3,IF(A948=$AF$4,$AF$5,IF(A948=$AF$5,$AF$6,IF(A948=$AF$7,$AF$8,""))))))</f>
        <v>#REF!</v>
      </c>
      <c r="B949" t="e">
        <f t="shared" ca="1" si="81"/>
        <v>#REF!</v>
      </c>
      <c r="C949" t="e" cm="1">
        <f t="array" aca="1" ref="C949" ca="1">IF(A949="","",IF(B949="safety","safety costs",INDIRECT("template!"&amp;"B"&amp;A949)))</f>
        <v>#REF!</v>
      </c>
      <c r="D949" t="e" cm="1">
        <f t="array" aca="1" ref="D949" ca="1">IF(OR(A949="",B949="safety"),"",INDIRECT("template!"&amp;"C"&amp;A949))</f>
        <v>#REF!</v>
      </c>
      <c r="E949" t="e" cm="1">
        <f t="array" aca="1" ref="E949" ca="1">IF(A949="","",IF(OR(A949=A948+1,A949=A948+2),E948,INDIRECT("template!"&amp;"D"&amp;A949-2)))</f>
        <v>#REF!</v>
      </c>
      <c r="F949" t="e" cm="1">
        <f t="array" aca="1" ref="F949" ca="1">IF(OR(A949="",B949="safety"),"",IF(ISBLANK(IF(A949=A948+1,F948,INDIRECT("template!"&amp;"D"&amp;A949-1))),"",IF(A949=A948+1,F948,INDIRECT("template!"&amp;"D"&amp;A949-1))))</f>
        <v>#REF!</v>
      </c>
      <c r="G949" t="e" cm="1">
        <f t="array" aca="1" ref="G949" ca="1">IF(OR(A949="",B949="safety"),"",IF(ISBLANK(INDIRECT("template!"&amp;"D"&amp;A949)),"",INDIRECT("template!"&amp;"D"&amp;A949)))</f>
        <v>#REF!</v>
      </c>
      <c r="H949" t="e" cm="1">
        <f t="array" aca="1" ref="H949" ca="1">IF(OR(A949="",B949="safety"),"",IF(ISBLANK(INDIRECT("template!"&amp;"E"&amp;A949)),"",INDIRECT("template!"&amp;"E"&amp;A949)))</f>
        <v>#REF!</v>
      </c>
      <c r="I949" t="e" cm="1">
        <f t="array" aca="1" ref="I949" ca="1">IF(OR(A949="",B949="safety"),"",IF(ISBLANK(INDIRECT("template!"&amp;"F"&amp;A949)),"",INDIRECT("template!"&amp;"F"&amp;A949)))</f>
        <v>#REF!</v>
      </c>
      <c r="J949" t="e" cm="1">
        <f t="array" aca="1" ref="J949" ca="1">IF(OR(A949="",B949="safety"),"",IF(ISBLANK(INDIRECT("template!"&amp;"G"&amp;A949)),"",INDIRECT("template!"&amp;"G"&amp;A949)))</f>
        <v>#REF!</v>
      </c>
      <c r="K949" t="e" cm="1">
        <f t="array" aca="1" ref="K949" ca="1">IF(OR(A949="",B949="safety"),"",IF(ISBLANK(INDIRECT("template!"&amp;"H"&amp;A949)),"",INDIRECT("template!"&amp;"H"&amp;A949)))</f>
        <v>#REF!</v>
      </c>
      <c r="L949" t="e" cm="1">
        <f t="array" aca="1" ref="L949" ca="1">IF(OR(A949="",B949="safety"),"",INDIRECT("template!"&amp;"I"&amp;A949))</f>
        <v>#REF!</v>
      </c>
      <c r="M949" t="e" cm="1">
        <f t="array" aca="1" ref="M949" ca="1">IF(OR(A949="",B949="safety"),"",INDIRECT("template!"&amp;"J"&amp;A949))</f>
        <v>#REF!</v>
      </c>
      <c r="N949" t="e" cm="1">
        <f t="array" aca="1" ref="N949" ca="1">IF(OR(A949="",B949="safety"),"",IF(ISBLANK(INDIRECT("template!"&amp;"K"&amp;A949)),"",INDIRECT("template!"&amp;"K"&amp;A949)))</f>
        <v>#REF!</v>
      </c>
      <c r="O949" t="e" cm="1">
        <f t="array" aca="1" ref="O949" ca="1">IF(OR(A949="",B949="safety"),"",INDIRECT("template!"&amp;"L"&amp;A949))</f>
        <v>#REF!</v>
      </c>
      <c r="P949" t="e" cm="1">
        <f t="array" aca="1" ref="P949" ca="1">IF(OR(A949="",B949="safety"),"",INDIRECT("template!"&amp;"M"&amp;A949))</f>
        <v>#REF!</v>
      </c>
      <c r="Q949" t="e">
        <f t="shared" ca="1" si="82"/>
        <v>#REF!</v>
      </c>
      <c r="R949" t="e">
        <f t="shared" ca="1" si="83"/>
        <v>#REF!</v>
      </c>
      <c r="S949" t="e">
        <f t="shared" ca="1" si="84"/>
        <v>#REF!</v>
      </c>
      <c r="T949" t="e">
        <f t="shared" ca="1" si="85"/>
        <v>#REF!</v>
      </c>
      <c r="U949" t="e" cm="1">
        <f t="array" aca="1" ref="U949" ca="1">IF(A949="","",IF(E949="","",IF(B949="safety",INDIRECT("template!"&amp;"P"&amp;A949),Q949+R949)))</f>
        <v>#REF!</v>
      </c>
      <c r="V949" t="e" cm="1">
        <f t="array" aca="1" ref="V949" ca="1">IF(A949="","",IF(E949="","",IF(B949="safety",INDIRECT("template!"&amp;"P"&amp;A949),S949+T949)))</f>
        <v>#REF!</v>
      </c>
      <c r="W949" t="e">
        <f ca="1">IF(A949="","",IF(E949="","",#REF!))</f>
        <v>#REF!</v>
      </c>
      <c r="X949" t="e">
        <f ca="1">IF(A949="","",IF(E949="","",#REF!))</f>
        <v>#REF!</v>
      </c>
      <c r="Y949" s="39" t="e">
        <f ca="1">IF(A949="","",IF(E949="","",#REF!))</f>
        <v>#REF!</v>
      </c>
      <c r="Z949" t="e">
        <f ca="1">IF(A949="","",IF(E949="","",#REF!))</f>
        <v>#REF!</v>
      </c>
      <c r="AA949" t="e">
        <f ca="1">IF(A949="","",IF(E949="","",#REF!))</f>
        <v>#REF!</v>
      </c>
      <c r="AB949" t="e">
        <f ca="1">IF(A949="","",IF(E949="","",#REF!))</f>
        <v>#REF!</v>
      </c>
      <c r="AC949" t="e">
        <f t="shared" ca="1" si="86"/>
        <v>#REF!</v>
      </c>
    </row>
    <row r="950" spans="1:29" x14ac:dyDescent="0.35">
      <c r="A950" t="e" cm="1">
        <f t="array" aca="1" ref="A950" ca="1">IF(A949="","",IF(OR(AND(A949+1&gt;=$AF$1,A949+1&lt;=$AF$2),AND(A949+1&gt;=$AF$6,A949+1&lt;=$AF$7),AND(A949+1&gt;=$AF$3,A949+1&lt;=$AF$4),AND(A949+1&gt;=$AF$8,A949+1&lt;=$AF$9),A949+1=$AF$5),IF(NOT(ISBLANK(INDIRECT("template!"&amp;"P"&amp;A949+1))),A949+1,IF(NOT(ISBLANK(INDIRECT("template!"&amp;"P"&amp;A949+2))),A949+2,A949+3)),IF(A949=$AF$2,$AF$3,IF(A949=$AF$4,$AF$5,IF(A949=$AF$5,$AF$6,IF(A949=$AF$7,$AF$8,""))))))</f>
        <v>#REF!</v>
      </c>
      <c r="B950" t="e">
        <f t="shared" ca="1" si="81"/>
        <v>#REF!</v>
      </c>
      <c r="C950" t="e" cm="1">
        <f t="array" aca="1" ref="C950" ca="1">IF(A950="","",IF(B950="safety","safety costs",INDIRECT("template!"&amp;"B"&amp;A950)))</f>
        <v>#REF!</v>
      </c>
      <c r="D950" t="e" cm="1">
        <f t="array" aca="1" ref="D950" ca="1">IF(OR(A950="",B950="safety"),"",INDIRECT("template!"&amp;"C"&amp;A950))</f>
        <v>#REF!</v>
      </c>
      <c r="E950" t="e" cm="1">
        <f t="array" aca="1" ref="E950" ca="1">IF(A950="","",IF(OR(A950=A949+1,A950=A949+2),E949,INDIRECT("template!"&amp;"D"&amp;A950-2)))</f>
        <v>#REF!</v>
      </c>
      <c r="F950" t="e" cm="1">
        <f t="array" aca="1" ref="F950" ca="1">IF(OR(A950="",B950="safety"),"",IF(ISBLANK(IF(A950=A949+1,F949,INDIRECT("template!"&amp;"D"&amp;A950-1))),"",IF(A950=A949+1,F949,INDIRECT("template!"&amp;"D"&amp;A950-1))))</f>
        <v>#REF!</v>
      </c>
      <c r="G950" t="e" cm="1">
        <f t="array" aca="1" ref="G950" ca="1">IF(OR(A950="",B950="safety"),"",IF(ISBLANK(INDIRECT("template!"&amp;"D"&amp;A950)),"",INDIRECT("template!"&amp;"D"&amp;A950)))</f>
        <v>#REF!</v>
      </c>
      <c r="H950" t="e" cm="1">
        <f t="array" aca="1" ref="H950" ca="1">IF(OR(A950="",B950="safety"),"",IF(ISBLANK(INDIRECT("template!"&amp;"E"&amp;A950)),"",INDIRECT("template!"&amp;"E"&amp;A950)))</f>
        <v>#REF!</v>
      </c>
      <c r="I950" t="e" cm="1">
        <f t="array" aca="1" ref="I950" ca="1">IF(OR(A950="",B950="safety"),"",IF(ISBLANK(INDIRECT("template!"&amp;"F"&amp;A950)),"",INDIRECT("template!"&amp;"F"&amp;A950)))</f>
        <v>#REF!</v>
      </c>
      <c r="J950" t="e" cm="1">
        <f t="array" aca="1" ref="J950" ca="1">IF(OR(A950="",B950="safety"),"",IF(ISBLANK(INDIRECT("template!"&amp;"G"&amp;A950)),"",INDIRECT("template!"&amp;"G"&amp;A950)))</f>
        <v>#REF!</v>
      </c>
      <c r="K950" t="e" cm="1">
        <f t="array" aca="1" ref="K950" ca="1">IF(OR(A950="",B950="safety"),"",IF(ISBLANK(INDIRECT("template!"&amp;"H"&amp;A950)),"",INDIRECT("template!"&amp;"H"&amp;A950)))</f>
        <v>#REF!</v>
      </c>
      <c r="L950" t="e" cm="1">
        <f t="array" aca="1" ref="L950" ca="1">IF(OR(A950="",B950="safety"),"",INDIRECT("template!"&amp;"I"&amp;A950))</f>
        <v>#REF!</v>
      </c>
      <c r="M950" t="e" cm="1">
        <f t="array" aca="1" ref="M950" ca="1">IF(OR(A950="",B950="safety"),"",INDIRECT("template!"&amp;"J"&amp;A950))</f>
        <v>#REF!</v>
      </c>
      <c r="N950" t="e" cm="1">
        <f t="array" aca="1" ref="N950" ca="1">IF(OR(A950="",B950="safety"),"",IF(ISBLANK(INDIRECT("template!"&amp;"K"&amp;A950)),"",INDIRECT("template!"&amp;"K"&amp;A950)))</f>
        <v>#REF!</v>
      </c>
      <c r="O950" t="e" cm="1">
        <f t="array" aca="1" ref="O950" ca="1">IF(OR(A950="",B950="safety"),"",INDIRECT("template!"&amp;"L"&amp;A950))</f>
        <v>#REF!</v>
      </c>
      <c r="P950" t="e" cm="1">
        <f t="array" aca="1" ref="P950" ca="1">IF(OR(A950="",B950="safety"),"",INDIRECT("template!"&amp;"M"&amp;A950))</f>
        <v>#REF!</v>
      </c>
      <c r="Q950" t="e">
        <f t="shared" ca="1" si="82"/>
        <v>#REF!</v>
      </c>
      <c r="R950" t="e">
        <f t="shared" ca="1" si="83"/>
        <v>#REF!</v>
      </c>
      <c r="S950" t="e">
        <f t="shared" ca="1" si="84"/>
        <v>#REF!</v>
      </c>
      <c r="T950" t="e">
        <f t="shared" ca="1" si="85"/>
        <v>#REF!</v>
      </c>
      <c r="U950" t="e" cm="1">
        <f t="array" aca="1" ref="U950" ca="1">IF(A950="","",IF(E950="","",IF(B950="safety",INDIRECT("template!"&amp;"P"&amp;A950),Q950+R950)))</f>
        <v>#REF!</v>
      </c>
      <c r="V950" t="e" cm="1">
        <f t="array" aca="1" ref="V950" ca="1">IF(A950="","",IF(E950="","",IF(B950="safety",INDIRECT("template!"&amp;"P"&amp;A950),S950+T950)))</f>
        <v>#REF!</v>
      </c>
      <c r="W950" t="e">
        <f ca="1">IF(A950="","",IF(E950="","",#REF!))</f>
        <v>#REF!</v>
      </c>
      <c r="X950" t="e">
        <f ca="1">IF(A950="","",IF(E950="","",#REF!))</f>
        <v>#REF!</v>
      </c>
      <c r="Y950" s="39" t="e">
        <f ca="1">IF(A950="","",IF(E950="","",#REF!))</f>
        <v>#REF!</v>
      </c>
      <c r="Z950" t="e">
        <f ca="1">IF(A950="","",IF(E950="","",#REF!))</f>
        <v>#REF!</v>
      </c>
      <c r="AA950" t="e">
        <f ca="1">IF(A950="","",IF(E950="","",#REF!))</f>
        <v>#REF!</v>
      </c>
      <c r="AB950" t="e">
        <f ca="1">IF(A950="","",IF(E950="","",#REF!))</f>
        <v>#REF!</v>
      </c>
      <c r="AC950" t="e">
        <f t="shared" ca="1" si="86"/>
        <v>#REF!</v>
      </c>
    </row>
    <row r="951" spans="1:29" x14ac:dyDescent="0.35">
      <c r="A951" t="e" cm="1">
        <f t="array" aca="1" ref="A951" ca="1">IF(A950="","",IF(OR(AND(A950+1&gt;=$AF$1,A950+1&lt;=$AF$2),AND(A950+1&gt;=$AF$6,A950+1&lt;=$AF$7),AND(A950+1&gt;=$AF$3,A950+1&lt;=$AF$4),AND(A950+1&gt;=$AF$8,A950+1&lt;=$AF$9),A950+1=$AF$5),IF(NOT(ISBLANK(INDIRECT("template!"&amp;"P"&amp;A950+1))),A950+1,IF(NOT(ISBLANK(INDIRECT("template!"&amp;"P"&amp;A950+2))),A950+2,A950+3)),IF(A950=$AF$2,$AF$3,IF(A950=$AF$4,$AF$5,IF(A950=$AF$5,$AF$6,IF(A950=$AF$7,$AF$8,""))))))</f>
        <v>#REF!</v>
      </c>
      <c r="B951" t="e">
        <f t="shared" ca="1" si="81"/>
        <v>#REF!</v>
      </c>
      <c r="C951" t="e" cm="1">
        <f t="array" aca="1" ref="C951" ca="1">IF(A951="","",IF(B951="safety","safety costs",INDIRECT("template!"&amp;"B"&amp;A951)))</f>
        <v>#REF!</v>
      </c>
      <c r="D951" t="e" cm="1">
        <f t="array" aca="1" ref="D951" ca="1">IF(OR(A951="",B951="safety"),"",INDIRECT("template!"&amp;"C"&amp;A951))</f>
        <v>#REF!</v>
      </c>
      <c r="E951" t="e" cm="1">
        <f t="array" aca="1" ref="E951" ca="1">IF(A951="","",IF(OR(A951=A950+1,A951=A950+2),E950,INDIRECT("template!"&amp;"D"&amp;A951-2)))</f>
        <v>#REF!</v>
      </c>
      <c r="F951" t="e" cm="1">
        <f t="array" aca="1" ref="F951" ca="1">IF(OR(A951="",B951="safety"),"",IF(ISBLANK(IF(A951=A950+1,F950,INDIRECT("template!"&amp;"D"&amp;A951-1))),"",IF(A951=A950+1,F950,INDIRECT("template!"&amp;"D"&amp;A951-1))))</f>
        <v>#REF!</v>
      </c>
      <c r="G951" t="e" cm="1">
        <f t="array" aca="1" ref="G951" ca="1">IF(OR(A951="",B951="safety"),"",IF(ISBLANK(INDIRECT("template!"&amp;"D"&amp;A951)),"",INDIRECT("template!"&amp;"D"&amp;A951)))</f>
        <v>#REF!</v>
      </c>
      <c r="H951" t="e" cm="1">
        <f t="array" aca="1" ref="H951" ca="1">IF(OR(A951="",B951="safety"),"",IF(ISBLANK(INDIRECT("template!"&amp;"E"&amp;A951)),"",INDIRECT("template!"&amp;"E"&amp;A951)))</f>
        <v>#REF!</v>
      </c>
      <c r="I951" t="e" cm="1">
        <f t="array" aca="1" ref="I951" ca="1">IF(OR(A951="",B951="safety"),"",IF(ISBLANK(INDIRECT("template!"&amp;"F"&amp;A951)),"",INDIRECT("template!"&amp;"F"&amp;A951)))</f>
        <v>#REF!</v>
      </c>
      <c r="J951" t="e" cm="1">
        <f t="array" aca="1" ref="J951" ca="1">IF(OR(A951="",B951="safety"),"",IF(ISBLANK(INDIRECT("template!"&amp;"G"&amp;A951)),"",INDIRECT("template!"&amp;"G"&amp;A951)))</f>
        <v>#REF!</v>
      </c>
      <c r="K951" t="e" cm="1">
        <f t="array" aca="1" ref="K951" ca="1">IF(OR(A951="",B951="safety"),"",IF(ISBLANK(INDIRECT("template!"&amp;"H"&amp;A951)),"",INDIRECT("template!"&amp;"H"&amp;A951)))</f>
        <v>#REF!</v>
      </c>
      <c r="L951" t="e" cm="1">
        <f t="array" aca="1" ref="L951" ca="1">IF(OR(A951="",B951="safety"),"",INDIRECT("template!"&amp;"I"&amp;A951))</f>
        <v>#REF!</v>
      </c>
      <c r="M951" t="e" cm="1">
        <f t="array" aca="1" ref="M951" ca="1">IF(OR(A951="",B951="safety"),"",INDIRECT("template!"&amp;"J"&amp;A951))</f>
        <v>#REF!</v>
      </c>
      <c r="N951" t="e" cm="1">
        <f t="array" aca="1" ref="N951" ca="1">IF(OR(A951="",B951="safety"),"",IF(ISBLANK(INDIRECT("template!"&amp;"K"&amp;A951)),"",INDIRECT("template!"&amp;"K"&amp;A951)))</f>
        <v>#REF!</v>
      </c>
      <c r="O951" t="e" cm="1">
        <f t="array" aca="1" ref="O951" ca="1">IF(OR(A951="",B951="safety"),"",INDIRECT("template!"&amp;"L"&amp;A951))</f>
        <v>#REF!</v>
      </c>
      <c r="P951" t="e" cm="1">
        <f t="array" aca="1" ref="P951" ca="1">IF(OR(A951="",B951="safety"),"",INDIRECT("template!"&amp;"M"&amp;A951))</f>
        <v>#REF!</v>
      </c>
      <c r="Q951" t="e">
        <f t="shared" ca="1" si="82"/>
        <v>#REF!</v>
      </c>
      <c r="R951" t="e">
        <f t="shared" ca="1" si="83"/>
        <v>#REF!</v>
      </c>
      <c r="S951" t="e">
        <f t="shared" ca="1" si="84"/>
        <v>#REF!</v>
      </c>
      <c r="T951" t="e">
        <f t="shared" ca="1" si="85"/>
        <v>#REF!</v>
      </c>
      <c r="U951" t="e" cm="1">
        <f t="array" aca="1" ref="U951" ca="1">IF(A951="","",IF(E951="","",IF(B951="safety",INDIRECT("template!"&amp;"P"&amp;A951),Q951+R951)))</f>
        <v>#REF!</v>
      </c>
      <c r="V951" t="e" cm="1">
        <f t="array" aca="1" ref="V951" ca="1">IF(A951="","",IF(E951="","",IF(B951="safety",INDIRECT("template!"&amp;"P"&amp;A951),S951+T951)))</f>
        <v>#REF!</v>
      </c>
      <c r="W951" t="e">
        <f ca="1">IF(A951="","",IF(E951="","",#REF!))</f>
        <v>#REF!</v>
      </c>
      <c r="X951" t="e">
        <f ca="1">IF(A951="","",IF(E951="","",#REF!))</f>
        <v>#REF!</v>
      </c>
      <c r="Y951" s="39" t="e">
        <f ca="1">IF(A951="","",IF(E951="","",#REF!))</f>
        <v>#REF!</v>
      </c>
      <c r="Z951" t="e">
        <f ca="1">IF(A951="","",IF(E951="","",#REF!))</f>
        <v>#REF!</v>
      </c>
      <c r="AA951" t="e">
        <f ca="1">IF(A951="","",IF(E951="","",#REF!))</f>
        <v>#REF!</v>
      </c>
      <c r="AB951" t="e">
        <f ca="1">IF(A951="","",IF(E951="","",#REF!))</f>
        <v>#REF!</v>
      </c>
      <c r="AC951" t="e">
        <f t="shared" ca="1" si="86"/>
        <v>#REF!</v>
      </c>
    </row>
    <row r="952" spans="1:29" x14ac:dyDescent="0.35">
      <c r="A952" t="e" cm="1">
        <f t="array" aca="1" ref="A952" ca="1">IF(A951="","",IF(OR(AND(A951+1&gt;=$AF$1,A951+1&lt;=$AF$2),AND(A951+1&gt;=$AF$6,A951+1&lt;=$AF$7),AND(A951+1&gt;=$AF$3,A951+1&lt;=$AF$4),AND(A951+1&gt;=$AF$8,A951+1&lt;=$AF$9),A951+1=$AF$5),IF(NOT(ISBLANK(INDIRECT("template!"&amp;"P"&amp;A951+1))),A951+1,IF(NOT(ISBLANK(INDIRECT("template!"&amp;"P"&amp;A951+2))),A951+2,A951+3)),IF(A951=$AF$2,$AF$3,IF(A951=$AF$4,$AF$5,IF(A951=$AF$5,$AF$6,IF(A951=$AF$7,$AF$8,""))))))</f>
        <v>#REF!</v>
      </c>
      <c r="B952" t="e">
        <f t="shared" ca="1" si="81"/>
        <v>#REF!</v>
      </c>
      <c r="C952" t="e" cm="1">
        <f t="array" aca="1" ref="C952" ca="1">IF(A952="","",IF(B952="safety","safety costs",INDIRECT("template!"&amp;"B"&amp;A952)))</f>
        <v>#REF!</v>
      </c>
      <c r="D952" t="e" cm="1">
        <f t="array" aca="1" ref="D952" ca="1">IF(OR(A952="",B952="safety"),"",INDIRECT("template!"&amp;"C"&amp;A952))</f>
        <v>#REF!</v>
      </c>
      <c r="E952" t="e" cm="1">
        <f t="array" aca="1" ref="E952" ca="1">IF(A952="","",IF(OR(A952=A951+1,A952=A951+2),E951,INDIRECT("template!"&amp;"D"&amp;A952-2)))</f>
        <v>#REF!</v>
      </c>
      <c r="F952" t="e" cm="1">
        <f t="array" aca="1" ref="F952" ca="1">IF(OR(A952="",B952="safety"),"",IF(ISBLANK(IF(A952=A951+1,F951,INDIRECT("template!"&amp;"D"&amp;A952-1))),"",IF(A952=A951+1,F951,INDIRECT("template!"&amp;"D"&amp;A952-1))))</f>
        <v>#REF!</v>
      </c>
      <c r="G952" t="e" cm="1">
        <f t="array" aca="1" ref="G952" ca="1">IF(OR(A952="",B952="safety"),"",IF(ISBLANK(INDIRECT("template!"&amp;"D"&amp;A952)),"",INDIRECT("template!"&amp;"D"&amp;A952)))</f>
        <v>#REF!</v>
      </c>
      <c r="H952" t="e" cm="1">
        <f t="array" aca="1" ref="H952" ca="1">IF(OR(A952="",B952="safety"),"",IF(ISBLANK(INDIRECT("template!"&amp;"E"&amp;A952)),"",INDIRECT("template!"&amp;"E"&amp;A952)))</f>
        <v>#REF!</v>
      </c>
      <c r="I952" t="e" cm="1">
        <f t="array" aca="1" ref="I952" ca="1">IF(OR(A952="",B952="safety"),"",IF(ISBLANK(INDIRECT("template!"&amp;"F"&amp;A952)),"",INDIRECT("template!"&amp;"F"&amp;A952)))</f>
        <v>#REF!</v>
      </c>
      <c r="J952" t="e" cm="1">
        <f t="array" aca="1" ref="J952" ca="1">IF(OR(A952="",B952="safety"),"",IF(ISBLANK(INDIRECT("template!"&amp;"G"&amp;A952)),"",INDIRECT("template!"&amp;"G"&amp;A952)))</f>
        <v>#REF!</v>
      </c>
      <c r="K952" t="e" cm="1">
        <f t="array" aca="1" ref="K952" ca="1">IF(OR(A952="",B952="safety"),"",IF(ISBLANK(INDIRECT("template!"&amp;"H"&amp;A952)),"",INDIRECT("template!"&amp;"H"&amp;A952)))</f>
        <v>#REF!</v>
      </c>
      <c r="L952" t="e" cm="1">
        <f t="array" aca="1" ref="L952" ca="1">IF(OR(A952="",B952="safety"),"",INDIRECT("template!"&amp;"I"&amp;A952))</f>
        <v>#REF!</v>
      </c>
      <c r="M952" t="e" cm="1">
        <f t="array" aca="1" ref="M952" ca="1">IF(OR(A952="",B952="safety"),"",INDIRECT("template!"&amp;"J"&amp;A952))</f>
        <v>#REF!</v>
      </c>
      <c r="N952" t="e" cm="1">
        <f t="array" aca="1" ref="N952" ca="1">IF(OR(A952="",B952="safety"),"",IF(ISBLANK(INDIRECT("template!"&amp;"K"&amp;A952)),"",INDIRECT("template!"&amp;"K"&amp;A952)))</f>
        <v>#REF!</v>
      </c>
      <c r="O952" t="e" cm="1">
        <f t="array" aca="1" ref="O952" ca="1">IF(OR(A952="",B952="safety"),"",INDIRECT("template!"&amp;"L"&amp;A952))</f>
        <v>#REF!</v>
      </c>
      <c r="P952" t="e" cm="1">
        <f t="array" aca="1" ref="P952" ca="1">IF(OR(A952="",B952="safety"),"",INDIRECT("template!"&amp;"M"&amp;A952))</f>
        <v>#REF!</v>
      </c>
      <c r="Q952" t="e">
        <f t="shared" ca="1" si="82"/>
        <v>#REF!</v>
      </c>
      <c r="R952" t="e">
        <f t="shared" ca="1" si="83"/>
        <v>#REF!</v>
      </c>
      <c r="S952" t="e">
        <f t="shared" ca="1" si="84"/>
        <v>#REF!</v>
      </c>
      <c r="T952" t="e">
        <f t="shared" ca="1" si="85"/>
        <v>#REF!</v>
      </c>
      <c r="U952" t="e" cm="1">
        <f t="array" aca="1" ref="U952" ca="1">IF(A952="","",IF(E952="","",IF(B952="safety",INDIRECT("template!"&amp;"P"&amp;A952),Q952+R952)))</f>
        <v>#REF!</v>
      </c>
      <c r="V952" t="e" cm="1">
        <f t="array" aca="1" ref="V952" ca="1">IF(A952="","",IF(E952="","",IF(B952="safety",INDIRECT("template!"&amp;"P"&amp;A952),S952+T952)))</f>
        <v>#REF!</v>
      </c>
      <c r="W952" t="e">
        <f ca="1">IF(A952="","",IF(E952="","",#REF!))</f>
        <v>#REF!</v>
      </c>
      <c r="X952" t="e">
        <f ca="1">IF(A952="","",IF(E952="","",#REF!))</f>
        <v>#REF!</v>
      </c>
      <c r="Y952" s="39" t="e">
        <f ca="1">IF(A952="","",IF(E952="","",#REF!))</f>
        <v>#REF!</v>
      </c>
      <c r="Z952" t="e">
        <f ca="1">IF(A952="","",IF(E952="","",#REF!))</f>
        <v>#REF!</v>
      </c>
      <c r="AA952" t="e">
        <f ca="1">IF(A952="","",IF(E952="","",#REF!))</f>
        <v>#REF!</v>
      </c>
      <c r="AB952" t="e">
        <f ca="1">IF(A952="","",IF(E952="","",#REF!))</f>
        <v>#REF!</v>
      </c>
      <c r="AC952" t="e">
        <f t="shared" ca="1" si="86"/>
        <v>#REF!</v>
      </c>
    </row>
    <row r="953" spans="1:29" x14ac:dyDescent="0.35">
      <c r="A953" t="e" cm="1">
        <f t="array" aca="1" ref="A953" ca="1">IF(A952="","",IF(OR(AND(A952+1&gt;=$AF$1,A952+1&lt;=$AF$2),AND(A952+1&gt;=$AF$6,A952+1&lt;=$AF$7),AND(A952+1&gt;=$AF$3,A952+1&lt;=$AF$4),AND(A952+1&gt;=$AF$8,A952+1&lt;=$AF$9),A952+1=$AF$5),IF(NOT(ISBLANK(INDIRECT("template!"&amp;"P"&amp;A952+1))),A952+1,IF(NOT(ISBLANK(INDIRECT("template!"&amp;"P"&amp;A952+2))),A952+2,A952+3)),IF(A952=$AF$2,$AF$3,IF(A952=$AF$4,$AF$5,IF(A952=$AF$5,$AF$6,IF(A952=$AF$7,$AF$8,""))))))</f>
        <v>#REF!</v>
      </c>
      <c r="B953" t="e">
        <f t="shared" ca="1" si="81"/>
        <v>#REF!</v>
      </c>
      <c r="C953" t="e" cm="1">
        <f t="array" aca="1" ref="C953" ca="1">IF(A953="","",IF(B953="safety","safety costs",INDIRECT("template!"&amp;"B"&amp;A953)))</f>
        <v>#REF!</v>
      </c>
      <c r="D953" t="e" cm="1">
        <f t="array" aca="1" ref="D953" ca="1">IF(OR(A953="",B953="safety"),"",INDIRECT("template!"&amp;"C"&amp;A953))</f>
        <v>#REF!</v>
      </c>
      <c r="E953" t="e" cm="1">
        <f t="array" aca="1" ref="E953" ca="1">IF(A953="","",IF(OR(A953=A952+1,A953=A952+2),E952,INDIRECT("template!"&amp;"D"&amp;A953-2)))</f>
        <v>#REF!</v>
      </c>
      <c r="F953" t="e" cm="1">
        <f t="array" aca="1" ref="F953" ca="1">IF(OR(A953="",B953="safety"),"",IF(ISBLANK(IF(A953=A952+1,F952,INDIRECT("template!"&amp;"D"&amp;A953-1))),"",IF(A953=A952+1,F952,INDIRECT("template!"&amp;"D"&amp;A953-1))))</f>
        <v>#REF!</v>
      </c>
      <c r="G953" t="e" cm="1">
        <f t="array" aca="1" ref="G953" ca="1">IF(OR(A953="",B953="safety"),"",IF(ISBLANK(INDIRECT("template!"&amp;"D"&amp;A953)),"",INDIRECT("template!"&amp;"D"&amp;A953)))</f>
        <v>#REF!</v>
      </c>
      <c r="H953" t="e" cm="1">
        <f t="array" aca="1" ref="H953" ca="1">IF(OR(A953="",B953="safety"),"",IF(ISBLANK(INDIRECT("template!"&amp;"E"&amp;A953)),"",INDIRECT("template!"&amp;"E"&amp;A953)))</f>
        <v>#REF!</v>
      </c>
      <c r="I953" t="e" cm="1">
        <f t="array" aca="1" ref="I953" ca="1">IF(OR(A953="",B953="safety"),"",IF(ISBLANK(INDIRECT("template!"&amp;"F"&amp;A953)),"",INDIRECT("template!"&amp;"F"&amp;A953)))</f>
        <v>#REF!</v>
      </c>
      <c r="J953" t="e" cm="1">
        <f t="array" aca="1" ref="J953" ca="1">IF(OR(A953="",B953="safety"),"",IF(ISBLANK(INDIRECT("template!"&amp;"G"&amp;A953)),"",INDIRECT("template!"&amp;"G"&amp;A953)))</f>
        <v>#REF!</v>
      </c>
      <c r="K953" t="e" cm="1">
        <f t="array" aca="1" ref="K953" ca="1">IF(OR(A953="",B953="safety"),"",IF(ISBLANK(INDIRECT("template!"&amp;"H"&amp;A953)),"",INDIRECT("template!"&amp;"H"&amp;A953)))</f>
        <v>#REF!</v>
      </c>
      <c r="L953" t="e" cm="1">
        <f t="array" aca="1" ref="L953" ca="1">IF(OR(A953="",B953="safety"),"",INDIRECT("template!"&amp;"I"&amp;A953))</f>
        <v>#REF!</v>
      </c>
      <c r="M953" t="e" cm="1">
        <f t="array" aca="1" ref="M953" ca="1">IF(OR(A953="",B953="safety"),"",INDIRECT("template!"&amp;"J"&amp;A953))</f>
        <v>#REF!</v>
      </c>
      <c r="N953" t="e" cm="1">
        <f t="array" aca="1" ref="N953" ca="1">IF(OR(A953="",B953="safety"),"",IF(ISBLANK(INDIRECT("template!"&amp;"K"&amp;A953)),"",INDIRECT("template!"&amp;"K"&amp;A953)))</f>
        <v>#REF!</v>
      </c>
      <c r="O953" t="e" cm="1">
        <f t="array" aca="1" ref="O953" ca="1">IF(OR(A953="",B953="safety"),"",INDIRECT("template!"&amp;"L"&amp;A953))</f>
        <v>#REF!</v>
      </c>
      <c r="P953" t="e" cm="1">
        <f t="array" aca="1" ref="P953" ca="1">IF(OR(A953="",B953="safety"),"",INDIRECT("template!"&amp;"M"&amp;A953))</f>
        <v>#REF!</v>
      </c>
      <c r="Q953" t="e">
        <f t="shared" ca="1" si="82"/>
        <v>#REF!</v>
      </c>
      <c r="R953" t="e">
        <f t="shared" ca="1" si="83"/>
        <v>#REF!</v>
      </c>
      <c r="S953" t="e">
        <f t="shared" ca="1" si="84"/>
        <v>#REF!</v>
      </c>
      <c r="T953" t="e">
        <f t="shared" ca="1" si="85"/>
        <v>#REF!</v>
      </c>
      <c r="U953" t="e" cm="1">
        <f t="array" aca="1" ref="U953" ca="1">IF(A953="","",IF(E953="","",IF(B953="safety",INDIRECT("template!"&amp;"P"&amp;A953),Q953+R953)))</f>
        <v>#REF!</v>
      </c>
      <c r="V953" t="e" cm="1">
        <f t="array" aca="1" ref="V953" ca="1">IF(A953="","",IF(E953="","",IF(B953="safety",INDIRECT("template!"&amp;"P"&amp;A953),S953+T953)))</f>
        <v>#REF!</v>
      </c>
      <c r="W953" t="e">
        <f ca="1">IF(A953="","",IF(E953="","",#REF!))</f>
        <v>#REF!</v>
      </c>
      <c r="X953" t="e">
        <f ca="1">IF(A953="","",IF(E953="","",#REF!))</f>
        <v>#REF!</v>
      </c>
      <c r="Y953" s="39" t="e">
        <f ca="1">IF(A953="","",IF(E953="","",#REF!))</f>
        <v>#REF!</v>
      </c>
      <c r="Z953" t="e">
        <f ca="1">IF(A953="","",IF(E953="","",#REF!))</f>
        <v>#REF!</v>
      </c>
      <c r="AA953" t="e">
        <f ca="1">IF(A953="","",IF(E953="","",#REF!))</f>
        <v>#REF!</v>
      </c>
      <c r="AB953" t="e">
        <f ca="1">IF(A953="","",IF(E953="","",#REF!))</f>
        <v>#REF!</v>
      </c>
      <c r="AC953" t="e">
        <f t="shared" ca="1" si="86"/>
        <v>#REF!</v>
      </c>
    </row>
    <row r="954" spans="1:29" x14ac:dyDescent="0.35">
      <c r="A954" t="e" cm="1">
        <f t="array" aca="1" ref="A954" ca="1">IF(A953="","",IF(OR(AND(A953+1&gt;=$AF$1,A953+1&lt;=$AF$2),AND(A953+1&gt;=$AF$6,A953+1&lt;=$AF$7),AND(A953+1&gt;=$AF$3,A953+1&lt;=$AF$4),AND(A953+1&gt;=$AF$8,A953+1&lt;=$AF$9),A953+1=$AF$5),IF(NOT(ISBLANK(INDIRECT("template!"&amp;"P"&amp;A953+1))),A953+1,IF(NOT(ISBLANK(INDIRECT("template!"&amp;"P"&amp;A953+2))),A953+2,A953+3)),IF(A953=$AF$2,$AF$3,IF(A953=$AF$4,$AF$5,IF(A953=$AF$5,$AF$6,IF(A953=$AF$7,$AF$8,""))))))</f>
        <v>#REF!</v>
      </c>
      <c r="B954" t="e">
        <f t="shared" ca="1" si="81"/>
        <v>#REF!</v>
      </c>
      <c r="C954" t="e" cm="1">
        <f t="array" aca="1" ref="C954" ca="1">IF(A954="","",IF(B954="safety","safety costs",INDIRECT("template!"&amp;"B"&amp;A954)))</f>
        <v>#REF!</v>
      </c>
      <c r="D954" t="e" cm="1">
        <f t="array" aca="1" ref="D954" ca="1">IF(OR(A954="",B954="safety"),"",INDIRECT("template!"&amp;"C"&amp;A954))</f>
        <v>#REF!</v>
      </c>
      <c r="E954" t="e" cm="1">
        <f t="array" aca="1" ref="E954" ca="1">IF(A954="","",IF(OR(A954=A953+1,A954=A953+2),E953,INDIRECT("template!"&amp;"D"&amp;A954-2)))</f>
        <v>#REF!</v>
      </c>
      <c r="F954" t="e" cm="1">
        <f t="array" aca="1" ref="F954" ca="1">IF(OR(A954="",B954="safety"),"",IF(ISBLANK(IF(A954=A953+1,F953,INDIRECT("template!"&amp;"D"&amp;A954-1))),"",IF(A954=A953+1,F953,INDIRECT("template!"&amp;"D"&amp;A954-1))))</f>
        <v>#REF!</v>
      </c>
      <c r="G954" t="e" cm="1">
        <f t="array" aca="1" ref="G954" ca="1">IF(OR(A954="",B954="safety"),"",IF(ISBLANK(INDIRECT("template!"&amp;"D"&amp;A954)),"",INDIRECT("template!"&amp;"D"&amp;A954)))</f>
        <v>#REF!</v>
      </c>
      <c r="H954" t="e" cm="1">
        <f t="array" aca="1" ref="H954" ca="1">IF(OR(A954="",B954="safety"),"",IF(ISBLANK(INDIRECT("template!"&amp;"E"&amp;A954)),"",INDIRECT("template!"&amp;"E"&amp;A954)))</f>
        <v>#REF!</v>
      </c>
      <c r="I954" t="e" cm="1">
        <f t="array" aca="1" ref="I954" ca="1">IF(OR(A954="",B954="safety"),"",IF(ISBLANK(INDIRECT("template!"&amp;"F"&amp;A954)),"",INDIRECT("template!"&amp;"F"&amp;A954)))</f>
        <v>#REF!</v>
      </c>
      <c r="J954" t="e" cm="1">
        <f t="array" aca="1" ref="J954" ca="1">IF(OR(A954="",B954="safety"),"",IF(ISBLANK(INDIRECT("template!"&amp;"G"&amp;A954)),"",INDIRECT("template!"&amp;"G"&amp;A954)))</f>
        <v>#REF!</v>
      </c>
      <c r="K954" t="e" cm="1">
        <f t="array" aca="1" ref="K954" ca="1">IF(OR(A954="",B954="safety"),"",IF(ISBLANK(INDIRECT("template!"&amp;"H"&amp;A954)),"",INDIRECT("template!"&amp;"H"&amp;A954)))</f>
        <v>#REF!</v>
      </c>
      <c r="L954" t="e" cm="1">
        <f t="array" aca="1" ref="L954" ca="1">IF(OR(A954="",B954="safety"),"",INDIRECT("template!"&amp;"I"&amp;A954))</f>
        <v>#REF!</v>
      </c>
      <c r="M954" t="e" cm="1">
        <f t="array" aca="1" ref="M954" ca="1">IF(OR(A954="",B954="safety"),"",INDIRECT("template!"&amp;"J"&amp;A954))</f>
        <v>#REF!</v>
      </c>
      <c r="N954" t="e" cm="1">
        <f t="array" aca="1" ref="N954" ca="1">IF(OR(A954="",B954="safety"),"",IF(ISBLANK(INDIRECT("template!"&amp;"K"&amp;A954)),"",INDIRECT("template!"&amp;"K"&amp;A954)))</f>
        <v>#REF!</v>
      </c>
      <c r="O954" t="e" cm="1">
        <f t="array" aca="1" ref="O954" ca="1">IF(OR(A954="",B954="safety"),"",INDIRECT("template!"&amp;"L"&amp;A954))</f>
        <v>#REF!</v>
      </c>
      <c r="P954" t="e" cm="1">
        <f t="array" aca="1" ref="P954" ca="1">IF(OR(A954="",B954="safety"),"",INDIRECT("template!"&amp;"M"&amp;A954))</f>
        <v>#REF!</v>
      </c>
      <c r="Q954" t="e">
        <f t="shared" ca="1" si="82"/>
        <v>#REF!</v>
      </c>
      <c r="R954" t="e">
        <f t="shared" ca="1" si="83"/>
        <v>#REF!</v>
      </c>
      <c r="S954" t="e">
        <f t="shared" ca="1" si="84"/>
        <v>#REF!</v>
      </c>
      <c r="T954" t="e">
        <f t="shared" ca="1" si="85"/>
        <v>#REF!</v>
      </c>
      <c r="U954" t="e" cm="1">
        <f t="array" aca="1" ref="U954" ca="1">IF(A954="","",IF(E954="","",IF(B954="safety",INDIRECT("template!"&amp;"P"&amp;A954),Q954+R954)))</f>
        <v>#REF!</v>
      </c>
      <c r="V954" t="e" cm="1">
        <f t="array" aca="1" ref="V954" ca="1">IF(A954="","",IF(E954="","",IF(B954="safety",INDIRECT("template!"&amp;"P"&amp;A954),S954+T954)))</f>
        <v>#REF!</v>
      </c>
      <c r="W954" t="e">
        <f ca="1">IF(A954="","",IF(E954="","",#REF!))</f>
        <v>#REF!</v>
      </c>
      <c r="X954" t="e">
        <f ca="1">IF(A954="","",IF(E954="","",#REF!))</f>
        <v>#REF!</v>
      </c>
      <c r="Y954" s="39" t="e">
        <f ca="1">IF(A954="","",IF(E954="","",#REF!))</f>
        <v>#REF!</v>
      </c>
      <c r="Z954" t="e">
        <f ca="1">IF(A954="","",IF(E954="","",#REF!))</f>
        <v>#REF!</v>
      </c>
      <c r="AA954" t="e">
        <f ca="1">IF(A954="","",IF(E954="","",#REF!))</f>
        <v>#REF!</v>
      </c>
      <c r="AB954" t="e">
        <f ca="1">IF(A954="","",IF(E954="","",#REF!))</f>
        <v>#REF!</v>
      </c>
      <c r="AC954" t="e">
        <f t="shared" ca="1" si="86"/>
        <v>#REF!</v>
      </c>
    </row>
    <row r="955" spans="1:29" x14ac:dyDescent="0.35">
      <c r="A955" t="e" cm="1">
        <f t="array" aca="1" ref="A955" ca="1">IF(A954="","",IF(OR(AND(A954+1&gt;=$AF$1,A954+1&lt;=$AF$2),AND(A954+1&gt;=$AF$6,A954+1&lt;=$AF$7),AND(A954+1&gt;=$AF$3,A954+1&lt;=$AF$4),AND(A954+1&gt;=$AF$8,A954+1&lt;=$AF$9),A954+1=$AF$5),IF(NOT(ISBLANK(INDIRECT("template!"&amp;"P"&amp;A954+1))),A954+1,IF(NOT(ISBLANK(INDIRECT("template!"&amp;"P"&amp;A954+2))),A954+2,A954+3)),IF(A954=$AF$2,$AF$3,IF(A954=$AF$4,$AF$5,IF(A954=$AF$5,$AF$6,IF(A954=$AF$7,$AF$8,""))))))</f>
        <v>#REF!</v>
      </c>
      <c r="B955" t="e">
        <f t="shared" ca="1" si="81"/>
        <v>#REF!</v>
      </c>
      <c r="C955" t="e" cm="1">
        <f t="array" aca="1" ref="C955" ca="1">IF(A955="","",IF(B955="safety","safety costs",INDIRECT("template!"&amp;"B"&amp;A955)))</f>
        <v>#REF!</v>
      </c>
      <c r="D955" t="e" cm="1">
        <f t="array" aca="1" ref="D955" ca="1">IF(OR(A955="",B955="safety"),"",INDIRECT("template!"&amp;"C"&amp;A955))</f>
        <v>#REF!</v>
      </c>
      <c r="E955" t="e" cm="1">
        <f t="array" aca="1" ref="E955" ca="1">IF(A955="","",IF(OR(A955=A954+1,A955=A954+2),E954,INDIRECT("template!"&amp;"D"&amp;A955-2)))</f>
        <v>#REF!</v>
      </c>
      <c r="F955" t="e" cm="1">
        <f t="array" aca="1" ref="F955" ca="1">IF(OR(A955="",B955="safety"),"",IF(ISBLANK(IF(A955=A954+1,F954,INDIRECT("template!"&amp;"D"&amp;A955-1))),"",IF(A955=A954+1,F954,INDIRECT("template!"&amp;"D"&amp;A955-1))))</f>
        <v>#REF!</v>
      </c>
      <c r="G955" t="e" cm="1">
        <f t="array" aca="1" ref="G955" ca="1">IF(OR(A955="",B955="safety"),"",IF(ISBLANK(INDIRECT("template!"&amp;"D"&amp;A955)),"",INDIRECT("template!"&amp;"D"&amp;A955)))</f>
        <v>#REF!</v>
      </c>
      <c r="H955" t="e" cm="1">
        <f t="array" aca="1" ref="H955" ca="1">IF(OR(A955="",B955="safety"),"",IF(ISBLANK(INDIRECT("template!"&amp;"E"&amp;A955)),"",INDIRECT("template!"&amp;"E"&amp;A955)))</f>
        <v>#REF!</v>
      </c>
      <c r="I955" t="e" cm="1">
        <f t="array" aca="1" ref="I955" ca="1">IF(OR(A955="",B955="safety"),"",IF(ISBLANK(INDIRECT("template!"&amp;"F"&amp;A955)),"",INDIRECT("template!"&amp;"F"&amp;A955)))</f>
        <v>#REF!</v>
      </c>
      <c r="J955" t="e" cm="1">
        <f t="array" aca="1" ref="J955" ca="1">IF(OR(A955="",B955="safety"),"",IF(ISBLANK(INDIRECT("template!"&amp;"G"&amp;A955)),"",INDIRECT("template!"&amp;"G"&amp;A955)))</f>
        <v>#REF!</v>
      </c>
      <c r="K955" t="e" cm="1">
        <f t="array" aca="1" ref="K955" ca="1">IF(OR(A955="",B955="safety"),"",IF(ISBLANK(INDIRECT("template!"&amp;"H"&amp;A955)),"",INDIRECT("template!"&amp;"H"&amp;A955)))</f>
        <v>#REF!</v>
      </c>
      <c r="L955" t="e" cm="1">
        <f t="array" aca="1" ref="L955" ca="1">IF(OR(A955="",B955="safety"),"",INDIRECT("template!"&amp;"I"&amp;A955))</f>
        <v>#REF!</v>
      </c>
      <c r="M955" t="e" cm="1">
        <f t="array" aca="1" ref="M955" ca="1">IF(OR(A955="",B955="safety"),"",INDIRECT("template!"&amp;"J"&amp;A955))</f>
        <v>#REF!</v>
      </c>
      <c r="N955" t="e" cm="1">
        <f t="array" aca="1" ref="N955" ca="1">IF(OR(A955="",B955="safety"),"",IF(ISBLANK(INDIRECT("template!"&amp;"K"&amp;A955)),"",INDIRECT("template!"&amp;"K"&amp;A955)))</f>
        <v>#REF!</v>
      </c>
      <c r="O955" t="e" cm="1">
        <f t="array" aca="1" ref="O955" ca="1">IF(OR(A955="",B955="safety"),"",INDIRECT("template!"&amp;"L"&amp;A955))</f>
        <v>#REF!</v>
      </c>
      <c r="P955" t="e" cm="1">
        <f t="array" aca="1" ref="P955" ca="1">IF(OR(A955="",B955="safety"),"",INDIRECT("template!"&amp;"M"&amp;A955))</f>
        <v>#REF!</v>
      </c>
      <c r="Q955" t="e">
        <f t="shared" ca="1" si="82"/>
        <v>#REF!</v>
      </c>
      <c r="R955" t="e">
        <f t="shared" ca="1" si="83"/>
        <v>#REF!</v>
      </c>
      <c r="S955" t="e">
        <f t="shared" ca="1" si="84"/>
        <v>#REF!</v>
      </c>
      <c r="T955" t="e">
        <f t="shared" ca="1" si="85"/>
        <v>#REF!</v>
      </c>
      <c r="U955" t="e" cm="1">
        <f t="array" aca="1" ref="U955" ca="1">IF(A955="","",IF(E955="","",IF(B955="safety",INDIRECT("template!"&amp;"P"&amp;A955),Q955+R955)))</f>
        <v>#REF!</v>
      </c>
      <c r="V955" t="e" cm="1">
        <f t="array" aca="1" ref="V955" ca="1">IF(A955="","",IF(E955="","",IF(B955="safety",INDIRECT("template!"&amp;"P"&amp;A955),S955+T955)))</f>
        <v>#REF!</v>
      </c>
      <c r="W955" t="e">
        <f ca="1">IF(A955="","",IF(E955="","",#REF!))</f>
        <v>#REF!</v>
      </c>
      <c r="X955" t="e">
        <f ca="1">IF(A955="","",IF(E955="","",#REF!))</f>
        <v>#REF!</v>
      </c>
      <c r="Y955" s="39" t="e">
        <f ca="1">IF(A955="","",IF(E955="","",#REF!))</f>
        <v>#REF!</v>
      </c>
      <c r="Z955" t="e">
        <f ca="1">IF(A955="","",IF(E955="","",#REF!))</f>
        <v>#REF!</v>
      </c>
      <c r="AA955" t="e">
        <f ca="1">IF(A955="","",IF(E955="","",#REF!))</f>
        <v>#REF!</v>
      </c>
      <c r="AB955" t="e">
        <f ca="1">IF(A955="","",IF(E955="","",#REF!))</f>
        <v>#REF!</v>
      </c>
      <c r="AC955" t="e">
        <f t="shared" ca="1" si="86"/>
        <v>#REF!</v>
      </c>
    </row>
    <row r="956" spans="1:29" x14ac:dyDescent="0.35">
      <c r="A956" t="e" cm="1">
        <f t="array" aca="1" ref="A956" ca="1">IF(A955="","",IF(OR(AND(A955+1&gt;=$AF$1,A955+1&lt;=$AF$2),AND(A955+1&gt;=$AF$6,A955+1&lt;=$AF$7),AND(A955+1&gt;=$AF$3,A955+1&lt;=$AF$4),AND(A955+1&gt;=$AF$8,A955+1&lt;=$AF$9),A955+1=$AF$5),IF(NOT(ISBLANK(INDIRECT("template!"&amp;"P"&amp;A955+1))),A955+1,IF(NOT(ISBLANK(INDIRECT("template!"&amp;"P"&amp;A955+2))),A955+2,A955+3)),IF(A955=$AF$2,$AF$3,IF(A955=$AF$4,$AF$5,IF(A955=$AF$5,$AF$6,IF(A955=$AF$7,$AF$8,""))))))</f>
        <v>#REF!</v>
      </c>
      <c r="B956" t="e">
        <f t="shared" ca="1" si="81"/>
        <v>#REF!</v>
      </c>
      <c r="C956" t="e" cm="1">
        <f t="array" aca="1" ref="C956" ca="1">IF(A956="","",IF(B956="safety","safety costs",INDIRECT("template!"&amp;"B"&amp;A956)))</f>
        <v>#REF!</v>
      </c>
      <c r="D956" t="e" cm="1">
        <f t="array" aca="1" ref="D956" ca="1">IF(OR(A956="",B956="safety"),"",INDIRECT("template!"&amp;"C"&amp;A956))</f>
        <v>#REF!</v>
      </c>
      <c r="E956" t="e" cm="1">
        <f t="array" aca="1" ref="E956" ca="1">IF(A956="","",IF(OR(A956=A955+1,A956=A955+2),E955,INDIRECT("template!"&amp;"D"&amp;A956-2)))</f>
        <v>#REF!</v>
      </c>
      <c r="F956" t="e" cm="1">
        <f t="array" aca="1" ref="F956" ca="1">IF(OR(A956="",B956="safety"),"",IF(ISBLANK(IF(A956=A955+1,F955,INDIRECT("template!"&amp;"D"&amp;A956-1))),"",IF(A956=A955+1,F955,INDIRECT("template!"&amp;"D"&amp;A956-1))))</f>
        <v>#REF!</v>
      </c>
      <c r="G956" t="e" cm="1">
        <f t="array" aca="1" ref="G956" ca="1">IF(OR(A956="",B956="safety"),"",IF(ISBLANK(INDIRECT("template!"&amp;"D"&amp;A956)),"",INDIRECT("template!"&amp;"D"&amp;A956)))</f>
        <v>#REF!</v>
      </c>
      <c r="H956" t="e" cm="1">
        <f t="array" aca="1" ref="H956" ca="1">IF(OR(A956="",B956="safety"),"",IF(ISBLANK(INDIRECT("template!"&amp;"E"&amp;A956)),"",INDIRECT("template!"&amp;"E"&amp;A956)))</f>
        <v>#REF!</v>
      </c>
      <c r="I956" t="e" cm="1">
        <f t="array" aca="1" ref="I956" ca="1">IF(OR(A956="",B956="safety"),"",IF(ISBLANK(INDIRECT("template!"&amp;"F"&amp;A956)),"",INDIRECT("template!"&amp;"F"&amp;A956)))</f>
        <v>#REF!</v>
      </c>
      <c r="J956" t="e" cm="1">
        <f t="array" aca="1" ref="J956" ca="1">IF(OR(A956="",B956="safety"),"",IF(ISBLANK(INDIRECT("template!"&amp;"G"&amp;A956)),"",INDIRECT("template!"&amp;"G"&amp;A956)))</f>
        <v>#REF!</v>
      </c>
      <c r="K956" t="e" cm="1">
        <f t="array" aca="1" ref="K956" ca="1">IF(OR(A956="",B956="safety"),"",IF(ISBLANK(INDIRECT("template!"&amp;"H"&amp;A956)),"",INDIRECT("template!"&amp;"H"&amp;A956)))</f>
        <v>#REF!</v>
      </c>
      <c r="L956" t="e" cm="1">
        <f t="array" aca="1" ref="L956" ca="1">IF(OR(A956="",B956="safety"),"",INDIRECT("template!"&amp;"I"&amp;A956))</f>
        <v>#REF!</v>
      </c>
      <c r="M956" t="e" cm="1">
        <f t="array" aca="1" ref="M956" ca="1">IF(OR(A956="",B956="safety"),"",INDIRECT("template!"&amp;"J"&amp;A956))</f>
        <v>#REF!</v>
      </c>
      <c r="N956" t="e" cm="1">
        <f t="array" aca="1" ref="N956" ca="1">IF(OR(A956="",B956="safety"),"",IF(ISBLANK(INDIRECT("template!"&amp;"K"&amp;A956)),"",INDIRECT("template!"&amp;"K"&amp;A956)))</f>
        <v>#REF!</v>
      </c>
      <c r="O956" t="e" cm="1">
        <f t="array" aca="1" ref="O956" ca="1">IF(OR(A956="",B956="safety"),"",INDIRECT("template!"&amp;"L"&amp;A956))</f>
        <v>#REF!</v>
      </c>
      <c r="P956" t="e" cm="1">
        <f t="array" aca="1" ref="P956" ca="1">IF(OR(A956="",B956="safety"),"",INDIRECT("template!"&amp;"M"&amp;A956))</f>
        <v>#REF!</v>
      </c>
      <c r="Q956" t="e">
        <f t="shared" ca="1" si="82"/>
        <v>#REF!</v>
      </c>
      <c r="R956" t="e">
        <f t="shared" ca="1" si="83"/>
        <v>#REF!</v>
      </c>
      <c r="S956" t="e">
        <f t="shared" ca="1" si="84"/>
        <v>#REF!</v>
      </c>
      <c r="T956" t="e">
        <f t="shared" ca="1" si="85"/>
        <v>#REF!</v>
      </c>
      <c r="U956" t="e" cm="1">
        <f t="array" aca="1" ref="U956" ca="1">IF(A956="","",IF(E956="","",IF(B956="safety",INDIRECT("template!"&amp;"P"&amp;A956),Q956+R956)))</f>
        <v>#REF!</v>
      </c>
      <c r="V956" t="e" cm="1">
        <f t="array" aca="1" ref="V956" ca="1">IF(A956="","",IF(E956="","",IF(B956="safety",INDIRECT("template!"&amp;"P"&amp;A956),S956+T956)))</f>
        <v>#REF!</v>
      </c>
      <c r="W956" t="e">
        <f ca="1">IF(A956="","",IF(E956="","",#REF!))</f>
        <v>#REF!</v>
      </c>
      <c r="X956" t="e">
        <f ca="1">IF(A956="","",IF(E956="","",#REF!))</f>
        <v>#REF!</v>
      </c>
      <c r="Y956" s="39" t="e">
        <f ca="1">IF(A956="","",IF(E956="","",#REF!))</f>
        <v>#REF!</v>
      </c>
      <c r="Z956" t="e">
        <f ca="1">IF(A956="","",IF(E956="","",#REF!))</f>
        <v>#REF!</v>
      </c>
      <c r="AA956" t="e">
        <f ca="1">IF(A956="","",IF(E956="","",#REF!))</f>
        <v>#REF!</v>
      </c>
      <c r="AB956" t="e">
        <f ca="1">IF(A956="","",IF(E956="","",#REF!))</f>
        <v>#REF!</v>
      </c>
      <c r="AC956" t="e">
        <f t="shared" ca="1" si="86"/>
        <v>#REF!</v>
      </c>
    </row>
    <row r="957" spans="1:29" x14ac:dyDescent="0.35">
      <c r="A957" t="e" cm="1">
        <f t="array" aca="1" ref="A957" ca="1">IF(A956="","",IF(OR(AND(A956+1&gt;=$AF$1,A956+1&lt;=$AF$2),AND(A956+1&gt;=$AF$6,A956+1&lt;=$AF$7),AND(A956+1&gt;=$AF$3,A956+1&lt;=$AF$4),AND(A956+1&gt;=$AF$8,A956+1&lt;=$AF$9),A956+1=$AF$5),IF(NOT(ISBLANK(INDIRECT("template!"&amp;"P"&amp;A956+1))),A956+1,IF(NOT(ISBLANK(INDIRECT("template!"&amp;"P"&amp;A956+2))),A956+2,A956+3)),IF(A956=$AF$2,$AF$3,IF(A956=$AF$4,$AF$5,IF(A956=$AF$5,$AF$6,IF(A956=$AF$7,$AF$8,""))))))</f>
        <v>#REF!</v>
      </c>
      <c r="B957" t="e">
        <f t="shared" ca="1" si="81"/>
        <v>#REF!</v>
      </c>
      <c r="C957" t="e" cm="1">
        <f t="array" aca="1" ref="C957" ca="1">IF(A957="","",IF(B957="safety","safety costs",INDIRECT("template!"&amp;"B"&amp;A957)))</f>
        <v>#REF!</v>
      </c>
      <c r="D957" t="e" cm="1">
        <f t="array" aca="1" ref="D957" ca="1">IF(OR(A957="",B957="safety"),"",INDIRECT("template!"&amp;"C"&amp;A957))</f>
        <v>#REF!</v>
      </c>
      <c r="E957" t="e" cm="1">
        <f t="array" aca="1" ref="E957" ca="1">IF(A957="","",IF(OR(A957=A956+1,A957=A956+2),E956,INDIRECT("template!"&amp;"D"&amp;A957-2)))</f>
        <v>#REF!</v>
      </c>
      <c r="F957" t="e" cm="1">
        <f t="array" aca="1" ref="F957" ca="1">IF(OR(A957="",B957="safety"),"",IF(ISBLANK(IF(A957=A956+1,F956,INDIRECT("template!"&amp;"D"&amp;A957-1))),"",IF(A957=A956+1,F956,INDIRECT("template!"&amp;"D"&amp;A957-1))))</f>
        <v>#REF!</v>
      </c>
      <c r="G957" t="e" cm="1">
        <f t="array" aca="1" ref="G957" ca="1">IF(OR(A957="",B957="safety"),"",IF(ISBLANK(INDIRECT("template!"&amp;"D"&amp;A957)),"",INDIRECT("template!"&amp;"D"&amp;A957)))</f>
        <v>#REF!</v>
      </c>
      <c r="H957" t="e" cm="1">
        <f t="array" aca="1" ref="H957" ca="1">IF(OR(A957="",B957="safety"),"",IF(ISBLANK(INDIRECT("template!"&amp;"E"&amp;A957)),"",INDIRECT("template!"&amp;"E"&amp;A957)))</f>
        <v>#REF!</v>
      </c>
      <c r="I957" t="e" cm="1">
        <f t="array" aca="1" ref="I957" ca="1">IF(OR(A957="",B957="safety"),"",IF(ISBLANK(INDIRECT("template!"&amp;"F"&amp;A957)),"",INDIRECT("template!"&amp;"F"&amp;A957)))</f>
        <v>#REF!</v>
      </c>
      <c r="J957" t="e" cm="1">
        <f t="array" aca="1" ref="J957" ca="1">IF(OR(A957="",B957="safety"),"",IF(ISBLANK(INDIRECT("template!"&amp;"G"&amp;A957)),"",INDIRECT("template!"&amp;"G"&amp;A957)))</f>
        <v>#REF!</v>
      </c>
      <c r="K957" t="e" cm="1">
        <f t="array" aca="1" ref="K957" ca="1">IF(OR(A957="",B957="safety"),"",IF(ISBLANK(INDIRECT("template!"&amp;"H"&amp;A957)),"",INDIRECT("template!"&amp;"H"&amp;A957)))</f>
        <v>#REF!</v>
      </c>
      <c r="L957" t="e" cm="1">
        <f t="array" aca="1" ref="L957" ca="1">IF(OR(A957="",B957="safety"),"",INDIRECT("template!"&amp;"I"&amp;A957))</f>
        <v>#REF!</v>
      </c>
      <c r="M957" t="e" cm="1">
        <f t="array" aca="1" ref="M957" ca="1">IF(OR(A957="",B957="safety"),"",INDIRECT("template!"&amp;"J"&amp;A957))</f>
        <v>#REF!</v>
      </c>
      <c r="N957" t="e" cm="1">
        <f t="array" aca="1" ref="N957" ca="1">IF(OR(A957="",B957="safety"),"",IF(ISBLANK(INDIRECT("template!"&amp;"K"&amp;A957)),"",INDIRECT("template!"&amp;"K"&amp;A957)))</f>
        <v>#REF!</v>
      </c>
      <c r="O957" t="e" cm="1">
        <f t="array" aca="1" ref="O957" ca="1">IF(OR(A957="",B957="safety"),"",INDIRECT("template!"&amp;"L"&amp;A957))</f>
        <v>#REF!</v>
      </c>
      <c r="P957" t="e" cm="1">
        <f t="array" aca="1" ref="P957" ca="1">IF(OR(A957="",B957="safety"),"",INDIRECT("template!"&amp;"M"&amp;A957))</f>
        <v>#REF!</v>
      </c>
      <c r="Q957" t="e">
        <f t="shared" ca="1" si="82"/>
        <v>#REF!</v>
      </c>
      <c r="R957" t="e">
        <f t="shared" ca="1" si="83"/>
        <v>#REF!</v>
      </c>
      <c r="S957" t="e">
        <f t="shared" ca="1" si="84"/>
        <v>#REF!</v>
      </c>
      <c r="T957" t="e">
        <f t="shared" ca="1" si="85"/>
        <v>#REF!</v>
      </c>
      <c r="U957" t="e" cm="1">
        <f t="array" aca="1" ref="U957" ca="1">IF(A957="","",IF(E957="","",IF(B957="safety",INDIRECT("template!"&amp;"P"&amp;A957),Q957+R957)))</f>
        <v>#REF!</v>
      </c>
      <c r="V957" t="e" cm="1">
        <f t="array" aca="1" ref="V957" ca="1">IF(A957="","",IF(E957="","",IF(B957="safety",INDIRECT("template!"&amp;"P"&amp;A957),S957+T957)))</f>
        <v>#REF!</v>
      </c>
      <c r="W957" t="e">
        <f ca="1">IF(A957="","",IF(E957="","",#REF!))</f>
        <v>#REF!</v>
      </c>
      <c r="X957" t="e">
        <f ca="1">IF(A957="","",IF(E957="","",#REF!))</f>
        <v>#REF!</v>
      </c>
      <c r="Y957" s="39" t="e">
        <f ca="1">IF(A957="","",IF(E957="","",#REF!))</f>
        <v>#REF!</v>
      </c>
      <c r="Z957" t="e">
        <f ca="1">IF(A957="","",IF(E957="","",#REF!))</f>
        <v>#REF!</v>
      </c>
      <c r="AA957" t="e">
        <f ca="1">IF(A957="","",IF(E957="","",#REF!))</f>
        <v>#REF!</v>
      </c>
      <c r="AB957" t="e">
        <f ca="1">IF(A957="","",IF(E957="","",#REF!))</f>
        <v>#REF!</v>
      </c>
      <c r="AC957" t="e">
        <f t="shared" ca="1" si="86"/>
        <v>#REF!</v>
      </c>
    </row>
    <row r="958" spans="1:29" x14ac:dyDescent="0.35">
      <c r="A958" t="e" cm="1">
        <f t="array" aca="1" ref="A958" ca="1">IF(A957="","",IF(OR(AND(A957+1&gt;=$AF$1,A957+1&lt;=$AF$2),AND(A957+1&gt;=$AF$6,A957+1&lt;=$AF$7),AND(A957+1&gt;=$AF$3,A957+1&lt;=$AF$4),AND(A957+1&gt;=$AF$8,A957+1&lt;=$AF$9),A957+1=$AF$5),IF(NOT(ISBLANK(INDIRECT("template!"&amp;"P"&amp;A957+1))),A957+1,IF(NOT(ISBLANK(INDIRECT("template!"&amp;"P"&amp;A957+2))),A957+2,A957+3)),IF(A957=$AF$2,$AF$3,IF(A957=$AF$4,$AF$5,IF(A957=$AF$5,$AF$6,IF(A957=$AF$7,$AF$8,""))))))</f>
        <v>#REF!</v>
      </c>
      <c r="B958" t="e">
        <f t="shared" ca="1" si="81"/>
        <v>#REF!</v>
      </c>
      <c r="C958" t="e" cm="1">
        <f t="array" aca="1" ref="C958" ca="1">IF(A958="","",IF(B958="safety","safety costs",INDIRECT("template!"&amp;"B"&amp;A958)))</f>
        <v>#REF!</v>
      </c>
      <c r="D958" t="e" cm="1">
        <f t="array" aca="1" ref="D958" ca="1">IF(OR(A958="",B958="safety"),"",INDIRECT("template!"&amp;"C"&amp;A958))</f>
        <v>#REF!</v>
      </c>
      <c r="E958" t="e" cm="1">
        <f t="array" aca="1" ref="E958" ca="1">IF(A958="","",IF(OR(A958=A957+1,A958=A957+2),E957,INDIRECT("template!"&amp;"D"&amp;A958-2)))</f>
        <v>#REF!</v>
      </c>
      <c r="F958" t="e" cm="1">
        <f t="array" aca="1" ref="F958" ca="1">IF(OR(A958="",B958="safety"),"",IF(ISBLANK(IF(A958=A957+1,F957,INDIRECT("template!"&amp;"D"&amp;A958-1))),"",IF(A958=A957+1,F957,INDIRECT("template!"&amp;"D"&amp;A958-1))))</f>
        <v>#REF!</v>
      </c>
      <c r="G958" t="e" cm="1">
        <f t="array" aca="1" ref="G958" ca="1">IF(OR(A958="",B958="safety"),"",IF(ISBLANK(INDIRECT("template!"&amp;"D"&amp;A958)),"",INDIRECT("template!"&amp;"D"&amp;A958)))</f>
        <v>#REF!</v>
      </c>
      <c r="H958" t="e" cm="1">
        <f t="array" aca="1" ref="H958" ca="1">IF(OR(A958="",B958="safety"),"",IF(ISBLANK(INDIRECT("template!"&amp;"E"&amp;A958)),"",INDIRECT("template!"&amp;"E"&amp;A958)))</f>
        <v>#REF!</v>
      </c>
      <c r="I958" t="e" cm="1">
        <f t="array" aca="1" ref="I958" ca="1">IF(OR(A958="",B958="safety"),"",IF(ISBLANK(INDIRECT("template!"&amp;"F"&amp;A958)),"",INDIRECT("template!"&amp;"F"&amp;A958)))</f>
        <v>#REF!</v>
      </c>
      <c r="J958" t="e" cm="1">
        <f t="array" aca="1" ref="J958" ca="1">IF(OR(A958="",B958="safety"),"",IF(ISBLANK(INDIRECT("template!"&amp;"G"&amp;A958)),"",INDIRECT("template!"&amp;"G"&amp;A958)))</f>
        <v>#REF!</v>
      </c>
      <c r="K958" t="e" cm="1">
        <f t="array" aca="1" ref="K958" ca="1">IF(OR(A958="",B958="safety"),"",IF(ISBLANK(INDIRECT("template!"&amp;"H"&amp;A958)),"",INDIRECT("template!"&amp;"H"&amp;A958)))</f>
        <v>#REF!</v>
      </c>
      <c r="L958" t="e" cm="1">
        <f t="array" aca="1" ref="L958" ca="1">IF(OR(A958="",B958="safety"),"",INDIRECT("template!"&amp;"I"&amp;A958))</f>
        <v>#REF!</v>
      </c>
      <c r="M958" t="e" cm="1">
        <f t="array" aca="1" ref="M958" ca="1">IF(OR(A958="",B958="safety"),"",INDIRECT("template!"&amp;"J"&amp;A958))</f>
        <v>#REF!</v>
      </c>
      <c r="N958" t="e" cm="1">
        <f t="array" aca="1" ref="N958" ca="1">IF(OR(A958="",B958="safety"),"",IF(ISBLANK(INDIRECT("template!"&amp;"K"&amp;A958)),"",INDIRECT("template!"&amp;"K"&amp;A958)))</f>
        <v>#REF!</v>
      </c>
      <c r="O958" t="e" cm="1">
        <f t="array" aca="1" ref="O958" ca="1">IF(OR(A958="",B958="safety"),"",INDIRECT("template!"&amp;"L"&amp;A958))</f>
        <v>#REF!</v>
      </c>
      <c r="P958" t="e" cm="1">
        <f t="array" aca="1" ref="P958" ca="1">IF(OR(A958="",B958="safety"),"",INDIRECT("template!"&amp;"M"&amp;A958))</f>
        <v>#REF!</v>
      </c>
      <c r="Q958" t="e">
        <f t="shared" ca="1" si="82"/>
        <v>#REF!</v>
      </c>
      <c r="R958" t="e">
        <f t="shared" ca="1" si="83"/>
        <v>#REF!</v>
      </c>
      <c r="S958" t="e">
        <f t="shared" ca="1" si="84"/>
        <v>#REF!</v>
      </c>
      <c r="T958" t="e">
        <f t="shared" ca="1" si="85"/>
        <v>#REF!</v>
      </c>
      <c r="U958" t="e" cm="1">
        <f t="array" aca="1" ref="U958" ca="1">IF(A958="","",IF(E958="","",IF(B958="safety",INDIRECT("template!"&amp;"P"&amp;A958),Q958+R958)))</f>
        <v>#REF!</v>
      </c>
      <c r="V958" t="e" cm="1">
        <f t="array" aca="1" ref="V958" ca="1">IF(A958="","",IF(E958="","",IF(B958="safety",INDIRECT("template!"&amp;"P"&amp;A958),S958+T958)))</f>
        <v>#REF!</v>
      </c>
      <c r="W958" t="e">
        <f ca="1">IF(A958="","",IF(E958="","",#REF!))</f>
        <v>#REF!</v>
      </c>
      <c r="X958" t="e">
        <f ca="1">IF(A958="","",IF(E958="","",#REF!))</f>
        <v>#REF!</v>
      </c>
      <c r="Y958" s="39" t="e">
        <f ca="1">IF(A958="","",IF(E958="","",#REF!))</f>
        <v>#REF!</v>
      </c>
      <c r="Z958" t="e">
        <f ca="1">IF(A958="","",IF(E958="","",#REF!))</f>
        <v>#REF!</v>
      </c>
      <c r="AA958" t="e">
        <f ca="1">IF(A958="","",IF(E958="","",#REF!))</f>
        <v>#REF!</v>
      </c>
      <c r="AB958" t="e">
        <f ca="1">IF(A958="","",IF(E958="","",#REF!))</f>
        <v>#REF!</v>
      </c>
      <c r="AC958" t="e">
        <f t="shared" ca="1" si="86"/>
        <v>#REF!</v>
      </c>
    </row>
    <row r="959" spans="1:29" x14ac:dyDescent="0.35">
      <c r="A959" t="e" cm="1">
        <f t="array" aca="1" ref="A959" ca="1">IF(A958="","",IF(OR(AND(A958+1&gt;=$AF$1,A958+1&lt;=$AF$2),AND(A958+1&gt;=$AF$6,A958+1&lt;=$AF$7),AND(A958+1&gt;=$AF$3,A958+1&lt;=$AF$4),AND(A958+1&gt;=$AF$8,A958+1&lt;=$AF$9),A958+1=$AF$5),IF(NOT(ISBLANK(INDIRECT("template!"&amp;"P"&amp;A958+1))),A958+1,IF(NOT(ISBLANK(INDIRECT("template!"&amp;"P"&amp;A958+2))),A958+2,A958+3)),IF(A958=$AF$2,$AF$3,IF(A958=$AF$4,$AF$5,IF(A958=$AF$5,$AF$6,IF(A958=$AF$7,$AF$8,""))))))</f>
        <v>#REF!</v>
      </c>
      <c r="B959" t="e">
        <f t="shared" ca="1" si="81"/>
        <v>#REF!</v>
      </c>
      <c r="C959" t="e" cm="1">
        <f t="array" aca="1" ref="C959" ca="1">IF(A959="","",IF(B959="safety","safety costs",INDIRECT("template!"&amp;"B"&amp;A959)))</f>
        <v>#REF!</v>
      </c>
      <c r="D959" t="e" cm="1">
        <f t="array" aca="1" ref="D959" ca="1">IF(OR(A959="",B959="safety"),"",INDIRECT("template!"&amp;"C"&amp;A959))</f>
        <v>#REF!</v>
      </c>
      <c r="E959" t="e" cm="1">
        <f t="array" aca="1" ref="E959" ca="1">IF(A959="","",IF(OR(A959=A958+1,A959=A958+2),E958,INDIRECT("template!"&amp;"D"&amp;A959-2)))</f>
        <v>#REF!</v>
      </c>
      <c r="F959" t="e" cm="1">
        <f t="array" aca="1" ref="F959" ca="1">IF(OR(A959="",B959="safety"),"",IF(ISBLANK(IF(A959=A958+1,F958,INDIRECT("template!"&amp;"D"&amp;A959-1))),"",IF(A959=A958+1,F958,INDIRECT("template!"&amp;"D"&amp;A959-1))))</f>
        <v>#REF!</v>
      </c>
      <c r="G959" t="e" cm="1">
        <f t="array" aca="1" ref="G959" ca="1">IF(OR(A959="",B959="safety"),"",IF(ISBLANK(INDIRECT("template!"&amp;"D"&amp;A959)),"",INDIRECT("template!"&amp;"D"&amp;A959)))</f>
        <v>#REF!</v>
      </c>
      <c r="H959" t="e" cm="1">
        <f t="array" aca="1" ref="H959" ca="1">IF(OR(A959="",B959="safety"),"",IF(ISBLANK(INDIRECT("template!"&amp;"E"&amp;A959)),"",INDIRECT("template!"&amp;"E"&amp;A959)))</f>
        <v>#REF!</v>
      </c>
      <c r="I959" t="e" cm="1">
        <f t="array" aca="1" ref="I959" ca="1">IF(OR(A959="",B959="safety"),"",IF(ISBLANK(INDIRECT("template!"&amp;"F"&amp;A959)),"",INDIRECT("template!"&amp;"F"&amp;A959)))</f>
        <v>#REF!</v>
      </c>
      <c r="J959" t="e" cm="1">
        <f t="array" aca="1" ref="J959" ca="1">IF(OR(A959="",B959="safety"),"",IF(ISBLANK(INDIRECT("template!"&amp;"G"&amp;A959)),"",INDIRECT("template!"&amp;"G"&amp;A959)))</f>
        <v>#REF!</v>
      </c>
      <c r="K959" t="e" cm="1">
        <f t="array" aca="1" ref="K959" ca="1">IF(OR(A959="",B959="safety"),"",IF(ISBLANK(INDIRECT("template!"&amp;"H"&amp;A959)),"",INDIRECT("template!"&amp;"H"&amp;A959)))</f>
        <v>#REF!</v>
      </c>
      <c r="L959" t="e" cm="1">
        <f t="array" aca="1" ref="L959" ca="1">IF(OR(A959="",B959="safety"),"",INDIRECT("template!"&amp;"I"&amp;A959))</f>
        <v>#REF!</v>
      </c>
      <c r="M959" t="e" cm="1">
        <f t="array" aca="1" ref="M959" ca="1">IF(OR(A959="",B959="safety"),"",INDIRECT("template!"&amp;"J"&amp;A959))</f>
        <v>#REF!</v>
      </c>
      <c r="N959" t="e" cm="1">
        <f t="array" aca="1" ref="N959" ca="1">IF(OR(A959="",B959="safety"),"",IF(ISBLANK(INDIRECT("template!"&amp;"K"&amp;A959)),"",INDIRECT("template!"&amp;"K"&amp;A959)))</f>
        <v>#REF!</v>
      </c>
      <c r="O959" t="e" cm="1">
        <f t="array" aca="1" ref="O959" ca="1">IF(OR(A959="",B959="safety"),"",INDIRECT("template!"&amp;"L"&amp;A959))</f>
        <v>#REF!</v>
      </c>
      <c r="P959" t="e" cm="1">
        <f t="array" aca="1" ref="P959" ca="1">IF(OR(A959="",B959="safety"),"",INDIRECT("template!"&amp;"M"&amp;A959))</f>
        <v>#REF!</v>
      </c>
      <c r="Q959" t="e">
        <f t="shared" ca="1" si="82"/>
        <v>#REF!</v>
      </c>
      <c r="R959" t="e">
        <f t="shared" ca="1" si="83"/>
        <v>#REF!</v>
      </c>
      <c r="S959" t="e">
        <f t="shared" ca="1" si="84"/>
        <v>#REF!</v>
      </c>
      <c r="T959" t="e">
        <f t="shared" ca="1" si="85"/>
        <v>#REF!</v>
      </c>
      <c r="U959" t="e" cm="1">
        <f t="array" aca="1" ref="U959" ca="1">IF(A959="","",IF(E959="","",IF(B959="safety",INDIRECT("template!"&amp;"P"&amp;A959),Q959+R959)))</f>
        <v>#REF!</v>
      </c>
      <c r="V959" t="e" cm="1">
        <f t="array" aca="1" ref="V959" ca="1">IF(A959="","",IF(E959="","",IF(B959="safety",INDIRECT("template!"&amp;"P"&amp;A959),S959+T959)))</f>
        <v>#REF!</v>
      </c>
      <c r="W959" t="e">
        <f ca="1">IF(A959="","",IF(E959="","",#REF!))</f>
        <v>#REF!</v>
      </c>
      <c r="X959" t="e">
        <f ca="1">IF(A959="","",IF(E959="","",#REF!))</f>
        <v>#REF!</v>
      </c>
      <c r="Y959" s="39" t="e">
        <f ca="1">IF(A959="","",IF(E959="","",#REF!))</f>
        <v>#REF!</v>
      </c>
      <c r="Z959" t="e">
        <f ca="1">IF(A959="","",IF(E959="","",#REF!))</f>
        <v>#REF!</v>
      </c>
      <c r="AA959" t="e">
        <f ca="1">IF(A959="","",IF(E959="","",#REF!))</f>
        <v>#REF!</v>
      </c>
      <c r="AB959" t="e">
        <f ca="1">IF(A959="","",IF(E959="","",#REF!))</f>
        <v>#REF!</v>
      </c>
      <c r="AC959" t="e">
        <f t="shared" ca="1" si="86"/>
        <v>#REF!</v>
      </c>
    </row>
    <row r="960" spans="1:29" x14ac:dyDescent="0.35">
      <c r="A960" t="e" cm="1">
        <f t="array" aca="1" ref="A960" ca="1">IF(A959="","",IF(OR(AND(A959+1&gt;=$AF$1,A959+1&lt;=$AF$2),AND(A959+1&gt;=$AF$6,A959+1&lt;=$AF$7),AND(A959+1&gt;=$AF$3,A959+1&lt;=$AF$4),AND(A959+1&gt;=$AF$8,A959+1&lt;=$AF$9),A959+1=$AF$5),IF(NOT(ISBLANK(INDIRECT("template!"&amp;"P"&amp;A959+1))),A959+1,IF(NOT(ISBLANK(INDIRECT("template!"&amp;"P"&amp;A959+2))),A959+2,A959+3)),IF(A959=$AF$2,$AF$3,IF(A959=$AF$4,$AF$5,IF(A959=$AF$5,$AF$6,IF(A959=$AF$7,$AF$8,""))))))</f>
        <v>#REF!</v>
      </c>
      <c r="B960" t="e">
        <f t="shared" ca="1" si="81"/>
        <v>#REF!</v>
      </c>
      <c r="C960" t="e" cm="1">
        <f t="array" aca="1" ref="C960" ca="1">IF(A960="","",IF(B960="safety","safety costs",INDIRECT("template!"&amp;"B"&amp;A960)))</f>
        <v>#REF!</v>
      </c>
      <c r="D960" t="e" cm="1">
        <f t="array" aca="1" ref="D960" ca="1">IF(OR(A960="",B960="safety"),"",INDIRECT("template!"&amp;"C"&amp;A960))</f>
        <v>#REF!</v>
      </c>
      <c r="E960" t="e" cm="1">
        <f t="array" aca="1" ref="E960" ca="1">IF(A960="","",IF(OR(A960=A959+1,A960=A959+2),E959,INDIRECT("template!"&amp;"D"&amp;A960-2)))</f>
        <v>#REF!</v>
      </c>
      <c r="F960" t="e" cm="1">
        <f t="array" aca="1" ref="F960" ca="1">IF(OR(A960="",B960="safety"),"",IF(ISBLANK(IF(A960=A959+1,F959,INDIRECT("template!"&amp;"D"&amp;A960-1))),"",IF(A960=A959+1,F959,INDIRECT("template!"&amp;"D"&amp;A960-1))))</f>
        <v>#REF!</v>
      </c>
      <c r="G960" t="e" cm="1">
        <f t="array" aca="1" ref="G960" ca="1">IF(OR(A960="",B960="safety"),"",IF(ISBLANK(INDIRECT("template!"&amp;"D"&amp;A960)),"",INDIRECT("template!"&amp;"D"&amp;A960)))</f>
        <v>#REF!</v>
      </c>
      <c r="H960" t="e" cm="1">
        <f t="array" aca="1" ref="H960" ca="1">IF(OR(A960="",B960="safety"),"",IF(ISBLANK(INDIRECT("template!"&amp;"E"&amp;A960)),"",INDIRECT("template!"&amp;"E"&amp;A960)))</f>
        <v>#REF!</v>
      </c>
      <c r="I960" t="e" cm="1">
        <f t="array" aca="1" ref="I960" ca="1">IF(OR(A960="",B960="safety"),"",IF(ISBLANK(INDIRECT("template!"&amp;"F"&amp;A960)),"",INDIRECT("template!"&amp;"F"&amp;A960)))</f>
        <v>#REF!</v>
      </c>
      <c r="J960" t="e" cm="1">
        <f t="array" aca="1" ref="J960" ca="1">IF(OR(A960="",B960="safety"),"",IF(ISBLANK(INDIRECT("template!"&amp;"G"&amp;A960)),"",INDIRECT("template!"&amp;"G"&amp;A960)))</f>
        <v>#REF!</v>
      </c>
      <c r="K960" t="e" cm="1">
        <f t="array" aca="1" ref="K960" ca="1">IF(OR(A960="",B960="safety"),"",IF(ISBLANK(INDIRECT("template!"&amp;"H"&amp;A960)),"",INDIRECT("template!"&amp;"H"&amp;A960)))</f>
        <v>#REF!</v>
      </c>
      <c r="L960" t="e" cm="1">
        <f t="array" aca="1" ref="L960" ca="1">IF(OR(A960="",B960="safety"),"",INDIRECT("template!"&amp;"I"&amp;A960))</f>
        <v>#REF!</v>
      </c>
      <c r="M960" t="e" cm="1">
        <f t="array" aca="1" ref="M960" ca="1">IF(OR(A960="",B960="safety"),"",INDIRECT("template!"&amp;"J"&amp;A960))</f>
        <v>#REF!</v>
      </c>
      <c r="N960" t="e" cm="1">
        <f t="array" aca="1" ref="N960" ca="1">IF(OR(A960="",B960="safety"),"",IF(ISBLANK(INDIRECT("template!"&amp;"K"&amp;A960)),"",INDIRECT("template!"&amp;"K"&amp;A960)))</f>
        <v>#REF!</v>
      </c>
      <c r="O960" t="e" cm="1">
        <f t="array" aca="1" ref="O960" ca="1">IF(OR(A960="",B960="safety"),"",INDIRECT("template!"&amp;"L"&amp;A960))</f>
        <v>#REF!</v>
      </c>
      <c r="P960" t="e" cm="1">
        <f t="array" aca="1" ref="P960" ca="1">IF(OR(A960="",B960="safety"),"",INDIRECT("template!"&amp;"M"&amp;A960))</f>
        <v>#REF!</v>
      </c>
      <c r="Q960" t="e">
        <f t="shared" ca="1" si="82"/>
        <v>#REF!</v>
      </c>
      <c r="R960" t="e">
        <f t="shared" ca="1" si="83"/>
        <v>#REF!</v>
      </c>
      <c r="S960" t="e">
        <f t="shared" ca="1" si="84"/>
        <v>#REF!</v>
      </c>
      <c r="T960" t="e">
        <f t="shared" ca="1" si="85"/>
        <v>#REF!</v>
      </c>
      <c r="U960" t="e" cm="1">
        <f t="array" aca="1" ref="U960" ca="1">IF(A960="","",IF(E960="","",IF(B960="safety",INDIRECT("template!"&amp;"P"&amp;A960),Q960+R960)))</f>
        <v>#REF!</v>
      </c>
      <c r="V960" t="e" cm="1">
        <f t="array" aca="1" ref="V960" ca="1">IF(A960="","",IF(E960="","",IF(B960="safety",INDIRECT("template!"&amp;"P"&amp;A960),S960+T960)))</f>
        <v>#REF!</v>
      </c>
      <c r="W960" t="e">
        <f ca="1">IF(A960="","",IF(E960="","",#REF!))</f>
        <v>#REF!</v>
      </c>
      <c r="X960" t="e">
        <f ca="1">IF(A960="","",IF(E960="","",#REF!))</f>
        <v>#REF!</v>
      </c>
      <c r="Y960" s="39" t="e">
        <f ca="1">IF(A960="","",IF(E960="","",#REF!))</f>
        <v>#REF!</v>
      </c>
      <c r="Z960" t="e">
        <f ca="1">IF(A960="","",IF(E960="","",#REF!))</f>
        <v>#REF!</v>
      </c>
      <c r="AA960" t="e">
        <f ca="1">IF(A960="","",IF(E960="","",#REF!))</f>
        <v>#REF!</v>
      </c>
      <c r="AB960" t="e">
        <f ca="1">IF(A960="","",IF(E960="","",#REF!))</f>
        <v>#REF!</v>
      </c>
      <c r="AC960" t="e">
        <f t="shared" ca="1" si="86"/>
        <v>#REF!</v>
      </c>
    </row>
    <row r="961" spans="1:29" x14ac:dyDescent="0.35">
      <c r="A961" t="e" cm="1">
        <f t="array" aca="1" ref="A961" ca="1">IF(A960="","",IF(OR(AND(A960+1&gt;=$AF$1,A960+1&lt;=$AF$2),AND(A960+1&gt;=$AF$6,A960+1&lt;=$AF$7),AND(A960+1&gt;=$AF$3,A960+1&lt;=$AF$4),AND(A960+1&gt;=$AF$8,A960+1&lt;=$AF$9),A960+1=$AF$5),IF(NOT(ISBLANK(INDIRECT("template!"&amp;"P"&amp;A960+1))),A960+1,IF(NOT(ISBLANK(INDIRECT("template!"&amp;"P"&amp;A960+2))),A960+2,A960+3)),IF(A960=$AF$2,$AF$3,IF(A960=$AF$4,$AF$5,IF(A960=$AF$5,$AF$6,IF(A960=$AF$7,$AF$8,""))))))</f>
        <v>#REF!</v>
      </c>
      <c r="B961" t="e">
        <f t="shared" ca="1" si="81"/>
        <v>#REF!</v>
      </c>
      <c r="C961" t="e" cm="1">
        <f t="array" aca="1" ref="C961" ca="1">IF(A961="","",IF(B961="safety","safety costs",INDIRECT("template!"&amp;"B"&amp;A961)))</f>
        <v>#REF!</v>
      </c>
      <c r="D961" t="e" cm="1">
        <f t="array" aca="1" ref="D961" ca="1">IF(OR(A961="",B961="safety"),"",INDIRECT("template!"&amp;"C"&amp;A961))</f>
        <v>#REF!</v>
      </c>
      <c r="E961" t="e" cm="1">
        <f t="array" aca="1" ref="E961" ca="1">IF(A961="","",IF(OR(A961=A960+1,A961=A960+2),E960,INDIRECT("template!"&amp;"D"&amp;A961-2)))</f>
        <v>#REF!</v>
      </c>
      <c r="F961" t="e" cm="1">
        <f t="array" aca="1" ref="F961" ca="1">IF(OR(A961="",B961="safety"),"",IF(ISBLANK(IF(A961=A960+1,F960,INDIRECT("template!"&amp;"D"&amp;A961-1))),"",IF(A961=A960+1,F960,INDIRECT("template!"&amp;"D"&amp;A961-1))))</f>
        <v>#REF!</v>
      </c>
      <c r="G961" t="e" cm="1">
        <f t="array" aca="1" ref="G961" ca="1">IF(OR(A961="",B961="safety"),"",IF(ISBLANK(INDIRECT("template!"&amp;"D"&amp;A961)),"",INDIRECT("template!"&amp;"D"&amp;A961)))</f>
        <v>#REF!</v>
      </c>
      <c r="H961" t="e" cm="1">
        <f t="array" aca="1" ref="H961" ca="1">IF(OR(A961="",B961="safety"),"",IF(ISBLANK(INDIRECT("template!"&amp;"E"&amp;A961)),"",INDIRECT("template!"&amp;"E"&amp;A961)))</f>
        <v>#REF!</v>
      </c>
      <c r="I961" t="e" cm="1">
        <f t="array" aca="1" ref="I961" ca="1">IF(OR(A961="",B961="safety"),"",IF(ISBLANK(INDIRECT("template!"&amp;"F"&amp;A961)),"",INDIRECT("template!"&amp;"F"&amp;A961)))</f>
        <v>#REF!</v>
      </c>
      <c r="J961" t="e" cm="1">
        <f t="array" aca="1" ref="J961" ca="1">IF(OR(A961="",B961="safety"),"",IF(ISBLANK(INDIRECT("template!"&amp;"G"&amp;A961)),"",INDIRECT("template!"&amp;"G"&amp;A961)))</f>
        <v>#REF!</v>
      </c>
      <c r="K961" t="e" cm="1">
        <f t="array" aca="1" ref="K961" ca="1">IF(OR(A961="",B961="safety"),"",IF(ISBLANK(INDIRECT("template!"&amp;"H"&amp;A961)),"",INDIRECT("template!"&amp;"H"&amp;A961)))</f>
        <v>#REF!</v>
      </c>
      <c r="L961" t="e" cm="1">
        <f t="array" aca="1" ref="L961" ca="1">IF(OR(A961="",B961="safety"),"",INDIRECT("template!"&amp;"I"&amp;A961))</f>
        <v>#REF!</v>
      </c>
      <c r="M961" t="e" cm="1">
        <f t="array" aca="1" ref="M961" ca="1">IF(OR(A961="",B961="safety"),"",INDIRECT("template!"&amp;"J"&amp;A961))</f>
        <v>#REF!</v>
      </c>
      <c r="N961" t="e" cm="1">
        <f t="array" aca="1" ref="N961" ca="1">IF(OR(A961="",B961="safety"),"",IF(ISBLANK(INDIRECT("template!"&amp;"K"&amp;A961)),"",INDIRECT("template!"&amp;"K"&amp;A961)))</f>
        <v>#REF!</v>
      </c>
      <c r="O961" t="e" cm="1">
        <f t="array" aca="1" ref="O961" ca="1">IF(OR(A961="",B961="safety"),"",INDIRECT("template!"&amp;"L"&amp;A961))</f>
        <v>#REF!</v>
      </c>
      <c r="P961" t="e" cm="1">
        <f t="array" aca="1" ref="P961" ca="1">IF(OR(A961="",B961="safety"),"",INDIRECT("template!"&amp;"M"&amp;A961))</f>
        <v>#REF!</v>
      </c>
      <c r="Q961" t="e">
        <f t="shared" ca="1" si="82"/>
        <v>#REF!</v>
      </c>
      <c r="R961" t="e">
        <f t="shared" ca="1" si="83"/>
        <v>#REF!</v>
      </c>
      <c r="S961" t="e">
        <f t="shared" ca="1" si="84"/>
        <v>#REF!</v>
      </c>
      <c r="T961" t="e">
        <f t="shared" ca="1" si="85"/>
        <v>#REF!</v>
      </c>
      <c r="U961" t="e" cm="1">
        <f t="array" aca="1" ref="U961" ca="1">IF(A961="","",IF(E961="","",IF(B961="safety",INDIRECT("template!"&amp;"P"&amp;A961),Q961+R961)))</f>
        <v>#REF!</v>
      </c>
      <c r="V961" t="e" cm="1">
        <f t="array" aca="1" ref="V961" ca="1">IF(A961="","",IF(E961="","",IF(B961="safety",INDIRECT("template!"&amp;"P"&amp;A961),S961+T961)))</f>
        <v>#REF!</v>
      </c>
      <c r="W961" t="e">
        <f ca="1">IF(A961="","",IF(E961="","",#REF!))</f>
        <v>#REF!</v>
      </c>
      <c r="X961" t="e">
        <f ca="1">IF(A961="","",IF(E961="","",#REF!))</f>
        <v>#REF!</v>
      </c>
      <c r="Y961" s="39" t="e">
        <f ca="1">IF(A961="","",IF(E961="","",#REF!))</f>
        <v>#REF!</v>
      </c>
      <c r="Z961" t="e">
        <f ca="1">IF(A961="","",IF(E961="","",#REF!))</f>
        <v>#REF!</v>
      </c>
      <c r="AA961" t="e">
        <f ca="1">IF(A961="","",IF(E961="","",#REF!))</f>
        <v>#REF!</v>
      </c>
      <c r="AB961" t="e">
        <f ca="1">IF(A961="","",IF(E961="","",#REF!))</f>
        <v>#REF!</v>
      </c>
      <c r="AC961" t="e">
        <f t="shared" ca="1" si="86"/>
        <v>#REF!</v>
      </c>
    </row>
    <row r="962" spans="1:29" x14ac:dyDescent="0.35">
      <c r="A962" t="e" cm="1">
        <f t="array" aca="1" ref="A962" ca="1">IF(A961="","",IF(OR(AND(A961+1&gt;=$AF$1,A961+1&lt;=$AF$2),AND(A961+1&gt;=$AF$6,A961+1&lt;=$AF$7),AND(A961+1&gt;=$AF$3,A961+1&lt;=$AF$4),AND(A961+1&gt;=$AF$8,A961+1&lt;=$AF$9),A961+1=$AF$5),IF(NOT(ISBLANK(INDIRECT("template!"&amp;"P"&amp;A961+1))),A961+1,IF(NOT(ISBLANK(INDIRECT("template!"&amp;"P"&amp;A961+2))),A961+2,A961+3)),IF(A961=$AF$2,$AF$3,IF(A961=$AF$4,$AF$5,IF(A961=$AF$5,$AF$6,IF(A961=$AF$7,$AF$8,""))))))</f>
        <v>#REF!</v>
      </c>
      <c r="B962" t="e">
        <f t="shared" ref="B962:B1000" ca="1" si="87">IF(A962="","",IF(OR(AND(A962&gt;=$AF$1,A962&lt;=$AF$2),AND(A962&gt;=$AF$6,A962&lt;=$AF$7)),"Mechanical",IF(OR(AND(A962&gt;=$AF$3,A962&lt;=$AF$4),AND(A962&gt;=$AF$8,A962&lt;=$AF$9)),"Electric",IF(A962=$AF$5,"Safety",""))))</f>
        <v>#REF!</v>
      </c>
      <c r="C962" t="e" cm="1">
        <f t="array" aca="1" ref="C962" ca="1">IF(A962="","",IF(B962="safety","safety costs",INDIRECT("template!"&amp;"B"&amp;A962)))</f>
        <v>#REF!</v>
      </c>
      <c r="D962" t="e" cm="1">
        <f t="array" aca="1" ref="D962" ca="1">IF(OR(A962="",B962="safety"),"",INDIRECT("template!"&amp;"C"&amp;A962))</f>
        <v>#REF!</v>
      </c>
      <c r="E962" t="e" cm="1">
        <f t="array" aca="1" ref="E962" ca="1">IF(A962="","",IF(OR(A962=A961+1,A962=A961+2),E961,INDIRECT("template!"&amp;"D"&amp;A962-2)))</f>
        <v>#REF!</v>
      </c>
      <c r="F962" t="e" cm="1">
        <f t="array" aca="1" ref="F962" ca="1">IF(OR(A962="",B962="safety"),"",IF(ISBLANK(IF(A962=A961+1,F961,INDIRECT("template!"&amp;"D"&amp;A962-1))),"",IF(A962=A961+1,F961,INDIRECT("template!"&amp;"D"&amp;A962-1))))</f>
        <v>#REF!</v>
      </c>
      <c r="G962" t="e" cm="1">
        <f t="array" aca="1" ref="G962" ca="1">IF(OR(A962="",B962="safety"),"",IF(ISBLANK(INDIRECT("template!"&amp;"D"&amp;A962)),"",INDIRECT("template!"&amp;"D"&amp;A962)))</f>
        <v>#REF!</v>
      </c>
      <c r="H962" t="e" cm="1">
        <f t="array" aca="1" ref="H962" ca="1">IF(OR(A962="",B962="safety"),"",IF(ISBLANK(INDIRECT("template!"&amp;"E"&amp;A962)),"",INDIRECT("template!"&amp;"E"&amp;A962)))</f>
        <v>#REF!</v>
      </c>
      <c r="I962" t="e" cm="1">
        <f t="array" aca="1" ref="I962" ca="1">IF(OR(A962="",B962="safety"),"",IF(ISBLANK(INDIRECT("template!"&amp;"F"&amp;A962)),"",INDIRECT("template!"&amp;"F"&amp;A962)))</f>
        <v>#REF!</v>
      </c>
      <c r="J962" t="e" cm="1">
        <f t="array" aca="1" ref="J962" ca="1">IF(OR(A962="",B962="safety"),"",IF(ISBLANK(INDIRECT("template!"&amp;"G"&amp;A962)),"",INDIRECT("template!"&amp;"G"&amp;A962)))</f>
        <v>#REF!</v>
      </c>
      <c r="K962" t="e" cm="1">
        <f t="array" aca="1" ref="K962" ca="1">IF(OR(A962="",B962="safety"),"",IF(ISBLANK(INDIRECT("template!"&amp;"H"&amp;A962)),"",INDIRECT("template!"&amp;"H"&amp;A962)))</f>
        <v>#REF!</v>
      </c>
      <c r="L962" t="e" cm="1">
        <f t="array" aca="1" ref="L962" ca="1">IF(OR(A962="",B962="safety"),"",INDIRECT("template!"&amp;"I"&amp;A962))</f>
        <v>#REF!</v>
      </c>
      <c r="M962" t="e" cm="1">
        <f t="array" aca="1" ref="M962" ca="1">IF(OR(A962="",B962="safety"),"",INDIRECT("template!"&amp;"J"&amp;A962))</f>
        <v>#REF!</v>
      </c>
      <c r="N962" t="e" cm="1">
        <f t="array" aca="1" ref="N962" ca="1">IF(OR(A962="",B962="safety"),"",IF(ISBLANK(INDIRECT("template!"&amp;"K"&amp;A962)),"",INDIRECT("template!"&amp;"K"&amp;A962)))</f>
        <v>#REF!</v>
      </c>
      <c r="O962" t="e" cm="1">
        <f t="array" aca="1" ref="O962" ca="1">IF(OR(A962="",B962="safety"),"",INDIRECT("template!"&amp;"L"&amp;A962))</f>
        <v>#REF!</v>
      </c>
      <c r="P962" t="e" cm="1">
        <f t="array" aca="1" ref="P962" ca="1">IF(OR(A962="",B962="safety"),"",INDIRECT("template!"&amp;"M"&amp;A962))</f>
        <v>#REF!</v>
      </c>
      <c r="Q962" t="e">
        <f t="shared" ca="1" si="82"/>
        <v>#REF!</v>
      </c>
      <c r="R962" t="e">
        <f t="shared" ca="1" si="83"/>
        <v>#REF!</v>
      </c>
      <c r="S962" t="e">
        <f t="shared" ca="1" si="84"/>
        <v>#REF!</v>
      </c>
      <c r="T962" t="e">
        <f t="shared" ca="1" si="85"/>
        <v>#REF!</v>
      </c>
      <c r="U962" t="e" cm="1">
        <f t="array" aca="1" ref="U962" ca="1">IF(A962="","",IF(E962="","",IF(B962="safety",INDIRECT("template!"&amp;"P"&amp;A962),Q962+R962)))</f>
        <v>#REF!</v>
      </c>
      <c r="V962" t="e" cm="1">
        <f t="array" aca="1" ref="V962" ca="1">IF(A962="","",IF(E962="","",IF(B962="safety",INDIRECT("template!"&amp;"P"&amp;A962),S962+T962)))</f>
        <v>#REF!</v>
      </c>
      <c r="W962" t="e">
        <f ca="1">IF(A962="","",IF(E962="","",#REF!))</f>
        <v>#REF!</v>
      </c>
      <c r="X962" t="e">
        <f ca="1">IF(A962="","",IF(E962="","",#REF!))</f>
        <v>#REF!</v>
      </c>
      <c r="Y962" s="39" t="e">
        <f ca="1">IF(A962="","",IF(E962="","",#REF!))</f>
        <v>#REF!</v>
      </c>
      <c r="Z962" t="e">
        <f ca="1">IF(A962="","",IF(E962="","",#REF!))</f>
        <v>#REF!</v>
      </c>
      <c r="AA962" t="e">
        <f ca="1">IF(A962="","",IF(E962="","",#REF!))</f>
        <v>#REF!</v>
      </c>
      <c r="AB962" t="e">
        <f ca="1">IF(A962="","",IF(E962="","",#REF!))</f>
        <v>#REF!</v>
      </c>
      <c r="AC962" t="e">
        <f t="shared" ca="1" si="86"/>
        <v>#REF!</v>
      </c>
    </row>
    <row r="963" spans="1:29" x14ac:dyDescent="0.35">
      <c r="A963" t="e" cm="1">
        <f t="array" aca="1" ref="A963" ca="1">IF(A962="","",IF(OR(AND(A962+1&gt;=$AF$1,A962+1&lt;=$AF$2),AND(A962+1&gt;=$AF$6,A962+1&lt;=$AF$7),AND(A962+1&gt;=$AF$3,A962+1&lt;=$AF$4),AND(A962+1&gt;=$AF$8,A962+1&lt;=$AF$9),A962+1=$AF$5),IF(NOT(ISBLANK(INDIRECT("template!"&amp;"P"&amp;A962+1))),A962+1,IF(NOT(ISBLANK(INDIRECT("template!"&amp;"P"&amp;A962+2))),A962+2,A962+3)),IF(A962=$AF$2,$AF$3,IF(A962=$AF$4,$AF$5,IF(A962=$AF$5,$AF$6,IF(A962=$AF$7,$AF$8,""))))))</f>
        <v>#REF!</v>
      </c>
      <c r="B963" t="e">
        <f t="shared" ca="1" si="87"/>
        <v>#REF!</v>
      </c>
      <c r="C963" t="e" cm="1">
        <f t="array" aca="1" ref="C963" ca="1">IF(A963="","",IF(B963="safety","safety costs",INDIRECT("template!"&amp;"B"&amp;A963)))</f>
        <v>#REF!</v>
      </c>
      <c r="D963" t="e" cm="1">
        <f t="array" aca="1" ref="D963" ca="1">IF(OR(A963="",B963="safety"),"",INDIRECT("template!"&amp;"C"&amp;A963))</f>
        <v>#REF!</v>
      </c>
      <c r="E963" t="e" cm="1">
        <f t="array" aca="1" ref="E963" ca="1">IF(A963="","",IF(OR(A963=A962+1,A963=A962+2),E962,INDIRECT("template!"&amp;"D"&amp;A963-2)))</f>
        <v>#REF!</v>
      </c>
      <c r="F963" t="e" cm="1">
        <f t="array" aca="1" ref="F963" ca="1">IF(OR(A963="",B963="safety"),"",IF(ISBLANK(IF(A963=A962+1,F962,INDIRECT("template!"&amp;"D"&amp;A963-1))),"",IF(A963=A962+1,F962,INDIRECT("template!"&amp;"D"&amp;A963-1))))</f>
        <v>#REF!</v>
      </c>
      <c r="G963" t="e" cm="1">
        <f t="array" aca="1" ref="G963" ca="1">IF(OR(A963="",B963="safety"),"",IF(ISBLANK(INDIRECT("template!"&amp;"D"&amp;A963)),"",INDIRECT("template!"&amp;"D"&amp;A963)))</f>
        <v>#REF!</v>
      </c>
      <c r="H963" t="e" cm="1">
        <f t="array" aca="1" ref="H963" ca="1">IF(OR(A963="",B963="safety"),"",IF(ISBLANK(INDIRECT("template!"&amp;"E"&amp;A963)),"",INDIRECT("template!"&amp;"E"&amp;A963)))</f>
        <v>#REF!</v>
      </c>
      <c r="I963" t="e" cm="1">
        <f t="array" aca="1" ref="I963" ca="1">IF(OR(A963="",B963="safety"),"",IF(ISBLANK(INDIRECT("template!"&amp;"F"&amp;A963)),"",INDIRECT("template!"&amp;"F"&amp;A963)))</f>
        <v>#REF!</v>
      </c>
      <c r="J963" t="e" cm="1">
        <f t="array" aca="1" ref="J963" ca="1">IF(OR(A963="",B963="safety"),"",IF(ISBLANK(INDIRECT("template!"&amp;"G"&amp;A963)),"",INDIRECT("template!"&amp;"G"&amp;A963)))</f>
        <v>#REF!</v>
      </c>
      <c r="K963" t="e" cm="1">
        <f t="array" aca="1" ref="K963" ca="1">IF(OR(A963="",B963="safety"),"",IF(ISBLANK(INDIRECT("template!"&amp;"H"&amp;A963)),"",INDIRECT("template!"&amp;"H"&amp;A963)))</f>
        <v>#REF!</v>
      </c>
      <c r="L963" t="e" cm="1">
        <f t="array" aca="1" ref="L963" ca="1">IF(OR(A963="",B963="safety"),"",INDIRECT("template!"&amp;"I"&amp;A963))</f>
        <v>#REF!</v>
      </c>
      <c r="M963" t="e" cm="1">
        <f t="array" aca="1" ref="M963" ca="1">IF(OR(A963="",B963="safety"),"",INDIRECT("template!"&amp;"J"&amp;A963))</f>
        <v>#REF!</v>
      </c>
      <c r="N963" t="e" cm="1">
        <f t="array" aca="1" ref="N963" ca="1">IF(OR(A963="",B963="safety"),"",IF(ISBLANK(INDIRECT("template!"&amp;"K"&amp;A963)),"",INDIRECT("template!"&amp;"K"&amp;A963)))</f>
        <v>#REF!</v>
      </c>
      <c r="O963" t="e" cm="1">
        <f t="array" aca="1" ref="O963" ca="1">IF(OR(A963="",B963="safety"),"",INDIRECT("template!"&amp;"L"&amp;A963))</f>
        <v>#REF!</v>
      </c>
      <c r="P963" t="e" cm="1">
        <f t="array" aca="1" ref="P963" ca="1">IF(OR(A963="",B963="safety"),"",INDIRECT("template!"&amp;"M"&amp;A963))</f>
        <v>#REF!</v>
      </c>
      <c r="Q963" t="e">
        <f t="shared" ca="1" si="82"/>
        <v>#REF!</v>
      </c>
      <c r="R963" t="e">
        <f t="shared" ca="1" si="83"/>
        <v>#REF!</v>
      </c>
      <c r="S963" t="e">
        <f t="shared" ca="1" si="84"/>
        <v>#REF!</v>
      </c>
      <c r="T963" t="e">
        <f t="shared" ca="1" si="85"/>
        <v>#REF!</v>
      </c>
      <c r="U963" t="e" cm="1">
        <f t="array" aca="1" ref="U963" ca="1">IF(A963="","",IF(E963="","",IF(B963="safety",INDIRECT("template!"&amp;"P"&amp;A963),Q963+R963)))</f>
        <v>#REF!</v>
      </c>
      <c r="V963" t="e" cm="1">
        <f t="array" aca="1" ref="V963" ca="1">IF(A963="","",IF(E963="","",IF(B963="safety",INDIRECT("template!"&amp;"P"&amp;A963),S963+T963)))</f>
        <v>#REF!</v>
      </c>
      <c r="W963" t="e">
        <f ca="1">IF(A963="","",IF(E963="","",#REF!))</f>
        <v>#REF!</v>
      </c>
      <c r="X963" t="e">
        <f ca="1">IF(A963="","",IF(E963="","",#REF!))</f>
        <v>#REF!</v>
      </c>
      <c r="Y963" s="39" t="e">
        <f ca="1">IF(A963="","",IF(E963="","",#REF!))</f>
        <v>#REF!</v>
      </c>
      <c r="Z963" t="e">
        <f ca="1">IF(A963="","",IF(E963="","",#REF!))</f>
        <v>#REF!</v>
      </c>
      <c r="AA963" t="e">
        <f ca="1">IF(A963="","",IF(E963="","",#REF!))</f>
        <v>#REF!</v>
      </c>
      <c r="AB963" t="e">
        <f ca="1">IF(A963="","",IF(E963="","",#REF!))</f>
        <v>#REF!</v>
      </c>
      <c r="AC963" t="e">
        <f t="shared" ca="1" si="86"/>
        <v>#REF!</v>
      </c>
    </row>
    <row r="964" spans="1:29" x14ac:dyDescent="0.35">
      <c r="A964" t="e" cm="1">
        <f t="array" aca="1" ref="A964" ca="1">IF(A963="","",IF(OR(AND(A963+1&gt;=$AF$1,A963+1&lt;=$AF$2),AND(A963+1&gt;=$AF$6,A963+1&lt;=$AF$7),AND(A963+1&gt;=$AF$3,A963+1&lt;=$AF$4),AND(A963+1&gt;=$AF$8,A963+1&lt;=$AF$9),A963+1=$AF$5),IF(NOT(ISBLANK(INDIRECT("template!"&amp;"P"&amp;A963+1))),A963+1,IF(NOT(ISBLANK(INDIRECT("template!"&amp;"P"&amp;A963+2))),A963+2,A963+3)),IF(A963=$AF$2,$AF$3,IF(A963=$AF$4,$AF$5,IF(A963=$AF$5,$AF$6,IF(A963=$AF$7,$AF$8,""))))))</f>
        <v>#REF!</v>
      </c>
      <c r="B964" t="e">
        <f t="shared" ca="1" si="87"/>
        <v>#REF!</v>
      </c>
      <c r="C964" t="e" cm="1">
        <f t="array" aca="1" ref="C964" ca="1">IF(A964="","",IF(B964="safety","safety costs",INDIRECT("template!"&amp;"B"&amp;A964)))</f>
        <v>#REF!</v>
      </c>
      <c r="D964" t="e" cm="1">
        <f t="array" aca="1" ref="D964" ca="1">IF(OR(A964="",B964="safety"),"",INDIRECT("template!"&amp;"C"&amp;A964))</f>
        <v>#REF!</v>
      </c>
      <c r="E964" t="e" cm="1">
        <f t="array" aca="1" ref="E964" ca="1">IF(A964="","",IF(OR(A964=A963+1,A964=A963+2),E963,INDIRECT("template!"&amp;"D"&amp;A964-2)))</f>
        <v>#REF!</v>
      </c>
      <c r="F964" t="e" cm="1">
        <f t="array" aca="1" ref="F964" ca="1">IF(OR(A964="",B964="safety"),"",IF(ISBLANK(IF(A964=A963+1,F963,INDIRECT("template!"&amp;"D"&amp;A964-1))),"",IF(A964=A963+1,F963,INDIRECT("template!"&amp;"D"&amp;A964-1))))</f>
        <v>#REF!</v>
      </c>
      <c r="G964" t="e" cm="1">
        <f t="array" aca="1" ref="G964" ca="1">IF(OR(A964="",B964="safety"),"",IF(ISBLANK(INDIRECT("template!"&amp;"D"&amp;A964)),"",INDIRECT("template!"&amp;"D"&amp;A964)))</f>
        <v>#REF!</v>
      </c>
      <c r="H964" t="e" cm="1">
        <f t="array" aca="1" ref="H964" ca="1">IF(OR(A964="",B964="safety"),"",IF(ISBLANK(INDIRECT("template!"&amp;"E"&amp;A964)),"",INDIRECT("template!"&amp;"E"&amp;A964)))</f>
        <v>#REF!</v>
      </c>
      <c r="I964" t="e" cm="1">
        <f t="array" aca="1" ref="I964" ca="1">IF(OR(A964="",B964="safety"),"",IF(ISBLANK(INDIRECT("template!"&amp;"F"&amp;A964)),"",INDIRECT("template!"&amp;"F"&amp;A964)))</f>
        <v>#REF!</v>
      </c>
      <c r="J964" t="e" cm="1">
        <f t="array" aca="1" ref="J964" ca="1">IF(OR(A964="",B964="safety"),"",IF(ISBLANK(INDIRECT("template!"&amp;"G"&amp;A964)),"",INDIRECT("template!"&amp;"G"&amp;A964)))</f>
        <v>#REF!</v>
      </c>
      <c r="K964" t="e" cm="1">
        <f t="array" aca="1" ref="K964" ca="1">IF(OR(A964="",B964="safety"),"",IF(ISBLANK(INDIRECT("template!"&amp;"H"&amp;A964)),"",INDIRECT("template!"&amp;"H"&amp;A964)))</f>
        <v>#REF!</v>
      </c>
      <c r="L964" t="e" cm="1">
        <f t="array" aca="1" ref="L964" ca="1">IF(OR(A964="",B964="safety"),"",INDIRECT("template!"&amp;"I"&amp;A964))</f>
        <v>#REF!</v>
      </c>
      <c r="M964" t="e" cm="1">
        <f t="array" aca="1" ref="M964" ca="1">IF(OR(A964="",B964="safety"),"",INDIRECT("template!"&amp;"J"&amp;A964))</f>
        <v>#REF!</v>
      </c>
      <c r="N964" t="e" cm="1">
        <f t="array" aca="1" ref="N964" ca="1">IF(OR(A964="",B964="safety"),"",IF(ISBLANK(INDIRECT("template!"&amp;"K"&amp;A964)),"",INDIRECT("template!"&amp;"K"&amp;A964)))</f>
        <v>#REF!</v>
      </c>
      <c r="O964" t="e" cm="1">
        <f t="array" aca="1" ref="O964" ca="1">IF(OR(A964="",B964="safety"),"",INDIRECT("template!"&amp;"L"&amp;A964))</f>
        <v>#REF!</v>
      </c>
      <c r="P964" t="e" cm="1">
        <f t="array" aca="1" ref="P964" ca="1">IF(OR(A964="",B964="safety"),"",INDIRECT("template!"&amp;"M"&amp;A964))</f>
        <v>#REF!</v>
      </c>
      <c r="Q964" t="e">
        <f t="shared" ref="Q964:Q1000" ca="1" si="88">IF(OR(A964="",B964="safety"),"",IF(E964="","",O964*L964))</f>
        <v>#REF!</v>
      </c>
      <c r="R964" t="e">
        <f t="shared" ref="R964:R1000" ca="1" si="89">IF(OR(A964="",B964="safety"),"",IF(E964="","",P964*L964))</f>
        <v>#REF!</v>
      </c>
      <c r="S964" t="e">
        <f t="shared" ref="S964:S1000" ca="1" si="90">IF(OR(A964="",B964="safety"),"",IF(E964="","",O964*M964))</f>
        <v>#REF!</v>
      </c>
      <c r="T964" t="e">
        <f t="shared" ref="T964:T1000" ca="1" si="91">IF(OR(A964="",B964="safety"),"",IF(E964="","",M964*P964))</f>
        <v>#REF!</v>
      </c>
      <c r="U964" t="e" cm="1">
        <f t="array" aca="1" ref="U964" ca="1">IF(A964="","",IF(E964="","",IF(B964="safety",INDIRECT("template!"&amp;"P"&amp;A964),Q964+R964)))</f>
        <v>#REF!</v>
      </c>
      <c r="V964" t="e" cm="1">
        <f t="array" aca="1" ref="V964" ca="1">IF(A964="","",IF(E964="","",IF(B964="safety",INDIRECT("template!"&amp;"P"&amp;A964),S964+T964)))</f>
        <v>#REF!</v>
      </c>
      <c r="W964" t="e">
        <f ca="1">IF(A964="","",IF(E964="","",#REF!))</f>
        <v>#REF!</v>
      </c>
      <c r="X964" t="e">
        <f ca="1">IF(A964="","",IF(E964="","",#REF!))</f>
        <v>#REF!</v>
      </c>
      <c r="Y964" s="39" t="e">
        <f ca="1">IF(A964="","",IF(E964="","",#REF!))</f>
        <v>#REF!</v>
      </c>
      <c r="Z964" t="e">
        <f ca="1">IF(A964="","",IF(E964="","",#REF!))</f>
        <v>#REF!</v>
      </c>
      <c r="AA964" t="e">
        <f ca="1">IF(A964="","",IF(E964="","",#REF!))</f>
        <v>#REF!</v>
      </c>
      <c r="AB964" t="e">
        <f ca="1">IF(A964="","",IF(E964="","",#REF!))</f>
        <v>#REF!</v>
      </c>
      <c r="AC964" t="e">
        <f t="shared" ref="AC964:AC1000" ca="1" si="92">IF(A964="","",IF(E964="","","WEEK "&amp;WEEKNUM(Y964)&amp;"_"&amp;YEAR(Y964)))</f>
        <v>#REF!</v>
      </c>
    </row>
    <row r="965" spans="1:29" x14ac:dyDescent="0.35">
      <c r="A965" t="e" cm="1">
        <f t="array" aca="1" ref="A965" ca="1">IF(A964="","",IF(OR(AND(A964+1&gt;=$AF$1,A964+1&lt;=$AF$2),AND(A964+1&gt;=$AF$6,A964+1&lt;=$AF$7),AND(A964+1&gt;=$AF$3,A964+1&lt;=$AF$4),AND(A964+1&gt;=$AF$8,A964+1&lt;=$AF$9),A964+1=$AF$5),IF(NOT(ISBLANK(INDIRECT("template!"&amp;"P"&amp;A964+1))),A964+1,IF(NOT(ISBLANK(INDIRECT("template!"&amp;"P"&amp;A964+2))),A964+2,A964+3)),IF(A964=$AF$2,$AF$3,IF(A964=$AF$4,$AF$5,IF(A964=$AF$5,$AF$6,IF(A964=$AF$7,$AF$8,""))))))</f>
        <v>#REF!</v>
      </c>
      <c r="B965" t="e">
        <f t="shared" ca="1" si="87"/>
        <v>#REF!</v>
      </c>
      <c r="C965" t="e" cm="1">
        <f t="array" aca="1" ref="C965" ca="1">IF(A965="","",IF(B965="safety","safety costs",INDIRECT("template!"&amp;"B"&amp;A965)))</f>
        <v>#REF!</v>
      </c>
      <c r="D965" t="e" cm="1">
        <f t="array" aca="1" ref="D965" ca="1">IF(OR(A965="",B965="safety"),"",INDIRECT("template!"&amp;"C"&amp;A965))</f>
        <v>#REF!</v>
      </c>
      <c r="E965" t="e" cm="1">
        <f t="array" aca="1" ref="E965" ca="1">IF(A965="","",IF(OR(A965=A964+1,A965=A964+2),E964,INDIRECT("template!"&amp;"D"&amp;A965-2)))</f>
        <v>#REF!</v>
      </c>
      <c r="F965" t="e" cm="1">
        <f t="array" aca="1" ref="F965" ca="1">IF(OR(A965="",B965="safety"),"",IF(ISBLANK(IF(A965=A964+1,F964,INDIRECT("template!"&amp;"D"&amp;A965-1))),"",IF(A965=A964+1,F964,INDIRECT("template!"&amp;"D"&amp;A965-1))))</f>
        <v>#REF!</v>
      </c>
      <c r="G965" t="e" cm="1">
        <f t="array" aca="1" ref="G965" ca="1">IF(OR(A965="",B965="safety"),"",IF(ISBLANK(INDIRECT("template!"&amp;"D"&amp;A965)),"",INDIRECT("template!"&amp;"D"&amp;A965)))</f>
        <v>#REF!</v>
      </c>
      <c r="H965" t="e" cm="1">
        <f t="array" aca="1" ref="H965" ca="1">IF(OR(A965="",B965="safety"),"",IF(ISBLANK(INDIRECT("template!"&amp;"E"&amp;A965)),"",INDIRECT("template!"&amp;"E"&amp;A965)))</f>
        <v>#REF!</v>
      </c>
      <c r="I965" t="e" cm="1">
        <f t="array" aca="1" ref="I965" ca="1">IF(OR(A965="",B965="safety"),"",IF(ISBLANK(INDIRECT("template!"&amp;"F"&amp;A965)),"",INDIRECT("template!"&amp;"F"&amp;A965)))</f>
        <v>#REF!</v>
      </c>
      <c r="J965" t="e" cm="1">
        <f t="array" aca="1" ref="J965" ca="1">IF(OR(A965="",B965="safety"),"",IF(ISBLANK(INDIRECT("template!"&amp;"G"&amp;A965)),"",INDIRECT("template!"&amp;"G"&amp;A965)))</f>
        <v>#REF!</v>
      </c>
      <c r="K965" t="e" cm="1">
        <f t="array" aca="1" ref="K965" ca="1">IF(OR(A965="",B965="safety"),"",IF(ISBLANK(INDIRECT("template!"&amp;"H"&amp;A965)),"",INDIRECT("template!"&amp;"H"&amp;A965)))</f>
        <v>#REF!</v>
      </c>
      <c r="L965" t="e" cm="1">
        <f t="array" aca="1" ref="L965" ca="1">IF(OR(A965="",B965="safety"),"",INDIRECT("template!"&amp;"I"&amp;A965))</f>
        <v>#REF!</v>
      </c>
      <c r="M965" t="e" cm="1">
        <f t="array" aca="1" ref="M965" ca="1">IF(OR(A965="",B965="safety"),"",INDIRECT("template!"&amp;"J"&amp;A965))</f>
        <v>#REF!</v>
      </c>
      <c r="N965" t="e" cm="1">
        <f t="array" aca="1" ref="N965" ca="1">IF(OR(A965="",B965="safety"),"",IF(ISBLANK(INDIRECT("template!"&amp;"K"&amp;A965)),"",INDIRECT("template!"&amp;"K"&amp;A965)))</f>
        <v>#REF!</v>
      </c>
      <c r="O965" t="e" cm="1">
        <f t="array" aca="1" ref="O965" ca="1">IF(OR(A965="",B965="safety"),"",INDIRECT("template!"&amp;"L"&amp;A965))</f>
        <v>#REF!</v>
      </c>
      <c r="P965" t="e" cm="1">
        <f t="array" aca="1" ref="P965" ca="1">IF(OR(A965="",B965="safety"),"",INDIRECT("template!"&amp;"M"&amp;A965))</f>
        <v>#REF!</v>
      </c>
      <c r="Q965" t="e">
        <f t="shared" ca="1" si="88"/>
        <v>#REF!</v>
      </c>
      <c r="R965" t="e">
        <f t="shared" ca="1" si="89"/>
        <v>#REF!</v>
      </c>
      <c r="S965" t="e">
        <f t="shared" ca="1" si="90"/>
        <v>#REF!</v>
      </c>
      <c r="T965" t="e">
        <f t="shared" ca="1" si="91"/>
        <v>#REF!</v>
      </c>
      <c r="U965" t="e" cm="1">
        <f t="array" aca="1" ref="U965" ca="1">IF(A965="","",IF(E965="","",IF(B965="safety",INDIRECT("template!"&amp;"P"&amp;A965),Q965+R965)))</f>
        <v>#REF!</v>
      </c>
      <c r="V965" t="e" cm="1">
        <f t="array" aca="1" ref="V965" ca="1">IF(A965="","",IF(E965="","",IF(B965="safety",INDIRECT("template!"&amp;"P"&amp;A965),S965+T965)))</f>
        <v>#REF!</v>
      </c>
      <c r="W965" t="e">
        <f ca="1">IF(A965="","",IF(E965="","",#REF!))</f>
        <v>#REF!</v>
      </c>
      <c r="X965" t="e">
        <f ca="1">IF(A965="","",IF(E965="","",#REF!))</f>
        <v>#REF!</v>
      </c>
      <c r="Y965" s="39" t="e">
        <f ca="1">IF(A965="","",IF(E965="","",#REF!))</f>
        <v>#REF!</v>
      </c>
      <c r="Z965" t="e">
        <f ca="1">IF(A965="","",IF(E965="","",#REF!))</f>
        <v>#REF!</v>
      </c>
      <c r="AA965" t="e">
        <f ca="1">IF(A965="","",IF(E965="","",#REF!))</f>
        <v>#REF!</v>
      </c>
      <c r="AB965" t="e">
        <f ca="1">IF(A965="","",IF(E965="","",#REF!))</f>
        <v>#REF!</v>
      </c>
      <c r="AC965" t="e">
        <f t="shared" ca="1" si="92"/>
        <v>#REF!</v>
      </c>
    </row>
    <row r="966" spans="1:29" x14ac:dyDescent="0.35">
      <c r="A966" t="e" cm="1">
        <f t="array" aca="1" ref="A966" ca="1">IF(A965="","",IF(OR(AND(A965+1&gt;=$AF$1,A965+1&lt;=$AF$2),AND(A965+1&gt;=$AF$6,A965+1&lt;=$AF$7),AND(A965+1&gt;=$AF$3,A965+1&lt;=$AF$4),AND(A965+1&gt;=$AF$8,A965+1&lt;=$AF$9),A965+1=$AF$5),IF(NOT(ISBLANK(INDIRECT("template!"&amp;"P"&amp;A965+1))),A965+1,IF(NOT(ISBLANK(INDIRECT("template!"&amp;"P"&amp;A965+2))),A965+2,A965+3)),IF(A965=$AF$2,$AF$3,IF(A965=$AF$4,$AF$5,IF(A965=$AF$5,$AF$6,IF(A965=$AF$7,$AF$8,""))))))</f>
        <v>#REF!</v>
      </c>
      <c r="B966" t="e">
        <f t="shared" ca="1" si="87"/>
        <v>#REF!</v>
      </c>
      <c r="C966" t="e" cm="1">
        <f t="array" aca="1" ref="C966" ca="1">IF(A966="","",IF(B966="safety","safety costs",INDIRECT("template!"&amp;"B"&amp;A966)))</f>
        <v>#REF!</v>
      </c>
      <c r="D966" t="e" cm="1">
        <f t="array" aca="1" ref="D966" ca="1">IF(OR(A966="",B966="safety"),"",INDIRECT("template!"&amp;"C"&amp;A966))</f>
        <v>#REF!</v>
      </c>
      <c r="E966" t="e" cm="1">
        <f t="array" aca="1" ref="E966" ca="1">IF(A966="","",IF(OR(A966=A965+1,A966=A965+2),E965,INDIRECT("template!"&amp;"D"&amp;A966-2)))</f>
        <v>#REF!</v>
      </c>
      <c r="F966" t="e" cm="1">
        <f t="array" aca="1" ref="F966" ca="1">IF(OR(A966="",B966="safety"),"",IF(ISBLANK(IF(A966=A965+1,F965,INDIRECT("template!"&amp;"D"&amp;A966-1))),"",IF(A966=A965+1,F965,INDIRECT("template!"&amp;"D"&amp;A966-1))))</f>
        <v>#REF!</v>
      </c>
      <c r="G966" t="e" cm="1">
        <f t="array" aca="1" ref="G966" ca="1">IF(OR(A966="",B966="safety"),"",IF(ISBLANK(INDIRECT("template!"&amp;"D"&amp;A966)),"",INDIRECT("template!"&amp;"D"&amp;A966)))</f>
        <v>#REF!</v>
      </c>
      <c r="H966" t="e" cm="1">
        <f t="array" aca="1" ref="H966" ca="1">IF(OR(A966="",B966="safety"),"",IF(ISBLANK(INDIRECT("template!"&amp;"E"&amp;A966)),"",INDIRECT("template!"&amp;"E"&amp;A966)))</f>
        <v>#REF!</v>
      </c>
      <c r="I966" t="e" cm="1">
        <f t="array" aca="1" ref="I966" ca="1">IF(OR(A966="",B966="safety"),"",IF(ISBLANK(INDIRECT("template!"&amp;"F"&amp;A966)),"",INDIRECT("template!"&amp;"F"&amp;A966)))</f>
        <v>#REF!</v>
      </c>
      <c r="J966" t="e" cm="1">
        <f t="array" aca="1" ref="J966" ca="1">IF(OR(A966="",B966="safety"),"",IF(ISBLANK(INDIRECT("template!"&amp;"G"&amp;A966)),"",INDIRECT("template!"&amp;"G"&amp;A966)))</f>
        <v>#REF!</v>
      </c>
      <c r="K966" t="e" cm="1">
        <f t="array" aca="1" ref="K966" ca="1">IF(OR(A966="",B966="safety"),"",IF(ISBLANK(INDIRECT("template!"&amp;"H"&amp;A966)),"",INDIRECT("template!"&amp;"H"&amp;A966)))</f>
        <v>#REF!</v>
      </c>
      <c r="L966" t="e" cm="1">
        <f t="array" aca="1" ref="L966" ca="1">IF(OR(A966="",B966="safety"),"",INDIRECT("template!"&amp;"I"&amp;A966))</f>
        <v>#REF!</v>
      </c>
      <c r="M966" t="e" cm="1">
        <f t="array" aca="1" ref="M966" ca="1">IF(OR(A966="",B966="safety"),"",INDIRECT("template!"&amp;"J"&amp;A966))</f>
        <v>#REF!</v>
      </c>
      <c r="N966" t="e" cm="1">
        <f t="array" aca="1" ref="N966" ca="1">IF(OR(A966="",B966="safety"),"",IF(ISBLANK(INDIRECT("template!"&amp;"K"&amp;A966)),"",INDIRECT("template!"&amp;"K"&amp;A966)))</f>
        <v>#REF!</v>
      </c>
      <c r="O966" t="e" cm="1">
        <f t="array" aca="1" ref="O966" ca="1">IF(OR(A966="",B966="safety"),"",INDIRECT("template!"&amp;"L"&amp;A966))</f>
        <v>#REF!</v>
      </c>
      <c r="P966" t="e" cm="1">
        <f t="array" aca="1" ref="P966" ca="1">IF(OR(A966="",B966="safety"),"",INDIRECT("template!"&amp;"M"&amp;A966))</f>
        <v>#REF!</v>
      </c>
      <c r="Q966" t="e">
        <f t="shared" ca="1" si="88"/>
        <v>#REF!</v>
      </c>
      <c r="R966" t="e">
        <f t="shared" ca="1" si="89"/>
        <v>#REF!</v>
      </c>
      <c r="S966" t="e">
        <f t="shared" ca="1" si="90"/>
        <v>#REF!</v>
      </c>
      <c r="T966" t="e">
        <f t="shared" ca="1" si="91"/>
        <v>#REF!</v>
      </c>
      <c r="U966" t="e" cm="1">
        <f t="array" aca="1" ref="U966" ca="1">IF(A966="","",IF(E966="","",IF(B966="safety",INDIRECT("template!"&amp;"P"&amp;A966),Q966+R966)))</f>
        <v>#REF!</v>
      </c>
      <c r="V966" t="e" cm="1">
        <f t="array" aca="1" ref="V966" ca="1">IF(A966="","",IF(E966="","",IF(B966="safety",INDIRECT("template!"&amp;"P"&amp;A966),S966+T966)))</f>
        <v>#REF!</v>
      </c>
      <c r="W966" t="e">
        <f ca="1">IF(A966="","",IF(E966="","",#REF!))</f>
        <v>#REF!</v>
      </c>
      <c r="X966" t="e">
        <f ca="1">IF(A966="","",IF(E966="","",#REF!))</f>
        <v>#REF!</v>
      </c>
      <c r="Y966" s="39" t="e">
        <f ca="1">IF(A966="","",IF(E966="","",#REF!))</f>
        <v>#REF!</v>
      </c>
      <c r="Z966" t="e">
        <f ca="1">IF(A966="","",IF(E966="","",#REF!))</f>
        <v>#REF!</v>
      </c>
      <c r="AA966" t="e">
        <f ca="1">IF(A966="","",IF(E966="","",#REF!))</f>
        <v>#REF!</v>
      </c>
      <c r="AB966" t="e">
        <f ca="1">IF(A966="","",IF(E966="","",#REF!))</f>
        <v>#REF!</v>
      </c>
      <c r="AC966" t="e">
        <f t="shared" ca="1" si="92"/>
        <v>#REF!</v>
      </c>
    </row>
    <row r="967" spans="1:29" x14ac:dyDescent="0.35">
      <c r="A967" t="e" cm="1">
        <f t="array" aca="1" ref="A967" ca="1">IF(A966="","",IF(OR(AND(A966+1&gt;=$AF$1,A966+1&lt;=$AF$2),AND(A966+1&gt;=$AF$6,A966+1&lt;=$AF$7),AND(A966+1&gt;=$AF$3,A966+1&lt;=$AF$4),AND(A966+1&gt;=$AF$8,A966+1&lt;=$AF$9),A966+1=$AF$5),IF(NOT(ISBLANK(INDIRECT("template!"&amp;"P"&amp;A966+1))),A966+1,IF(NOT(ISBLANK(INDIRECT("template!"&amp;"P"&amp;A966+2))),A966+2,A966+3)),IF(A966=$AF$2,$AF$3,IF(A966=$AF$4,$AF$5,IF(A966=$AF$5,$AF$6,IF(A966=$AF$7,$AF$8,""))))))</f>
        <v>#REF!</v>
      </c>
      <c r="B967" t="e">
        <f t="shared" ca="1" si="87"/>
        <v>#REF!</v>
      </c>
      <c r="C967" t="e" cm="1">
        <f t="array" aca="1" ref="C967" ca="1">IF(A967="","",IF(B967="safety","safety costs",INDIRECT("template!"&amp;"B"&amp;A967)))</f>
        <v>#REF!</v>
      </c>
      <c r="D967" t="e" cm="1">
        <f t="array" aca="1" ref="D967" ca="1">IF(OR(A967="",B967="safety"),"",INDIRECT("template!"&amp;"C"&amp;A967))</f>
        <v>#REF!</v>
      </c>
      <c r="E967" t="e" cm="1">
        <f t="array" aca="1" ref="E967" ca="1">IF(A967="","",IF(OR(A967=A966+1,A967=A966+2),E966,INDIRECT("template!"&amp;"D"&amp;A967-2)))</f>
        <v>#REF!</v>
      </c>
      <c r="F967" t="e" cm="1">
        <f t="array" aca="1" ref="F967" ca="1">IF(OR(A967="",B967="safety"),"",IF(ISBLANK(IF(A967=A966+1,F966,INDIRECT("template!"&amp;"D"&amp;A967-1))),"",IF(A967=A966+1,F966,INDIRECT("template!"&amp;"D"&amp;A967-1))))</f>
        <v>#REF!</v>
      </c>
      <c r="G967" t="e" cm="1">
        <f t="array" aca="1" ref="G967" ca="1">IF(OR(A967="",B967="safety"),"",IF(ISBLANK(INDIRECT("template!"&amp;"D"&amp;A967)),"",INDIRECT("template!"&amp;"D"&amp;A967)))</f>
        <v>#REF!</v>
      </c>
      <c r="H967" t="e" cm="1">
        <f t="array" aca="1" ref="H967" ca="1">IF(OR(A967="",B967="safety"),"",IF(ISBLANK(INDIRECT("template!"&amp;"E"&amp;A967)),"",INDIRECT("template!"&amp;"E"&amp;A967)))</f>
        <v>#REF!</v>
      </c>
      <c r="I967" t="e" cm="1">
        <f t="array" aca="1" ref="I967" ca="1">IF(OR(A967="",B967="safety"),"",IF(ISBLANK(INDIRECT("template!"&amp;"F"&amp;A967)),"",INDIRECT("template!"&amp;"F"&amp;A967)))</f>
        <v>#REF!</v>
      </c>
      <c r="J967" t="e" cm="1">
        <f t="array" aca="1" ref="J967" ca="1">IF(OR(A967="",B967="safety"),"",IF(ISBLANK(INDIRECT("template!"&amp;"G"&amp;A967)),"",INDIRECT("template!"&amp;"G"&amp;A967)))</f>
        <v>#REF!</v>
      </c>
      <c r="K967" t="e" cm="1">
        <f t="array" aca="1" ref="K967" ca="1">IF(OR(A967="",B967="safety"),"",IF(ISBLANK(INDIRECT("template!"&amp;"H"&amp;A967)),"",INDIRECT("template!"&amp;"H"&amp;A967)))</f>
        <v>#REF!</v>
      </c>
      <c r="L967" t="e" cm="1">
        <f t="array" aca="1" ref="L967" ca="1">IF(OR(A967="",B967="safety"),"",INDIRECT("template!"&amp;"I"&amp;A967))</f>
        <v>#REF!</v>
      </c>
      <c r="M967" t="e" cm="1">
        <f t="array" aca="1" ref="M967" ca="1">IF(OR(A967="",B967="safety"),"",INDIRECT("template!"&amp;"J"&amp;A967))</f>
        <v>#REF!</v>
      </c>
      <c r="N967" t="e" cm="1">
        <f t="array" aca="1" ref="N967" ca="1">IF(OR(A967="",B967="safety"),"",IF(ISBLANK(INDIRECT("template!"&amp;"K"&amp;A967)),"",INDIRECT("template!"&amp;"K"&amp;A967)))</f>
        <v>#REF!</v>
      </c>
      <c r="O967" t="e" cm="1">
        <f t="array" aca="1" ref="O967" ca="1">IF(OR(A967="",B967="safety"),"",INDIRECT("template!"&amp;"L"&amp;A967))</f>
        <v>#REF!</v>
      </c>
      <c r="P967" t="e" cm="1">
        <f t="array" aca="1" ref="P967" ca="1">IF(OR(A967="",B967="safety"),"",INDIRECT("template!"&amp;"M"&amp;A967))</f>
        <v>#REF!</v>
      </c>
      <c r="Q967" t="e">
        <f t="shared" ca="1" si="88"/>
        <v>#REF!</v>
      </c>
      <c r="R967" t="e">
        <f t="shared" ca="1" si="89"/>
        <v>#REF!</v>
      </c>
      <c r="S967" t="e">
        <f t="shared" ca="1" si="90"/>
        <v>#REF!</v>
      </c>
      <c r="T967" t="e">
        <f t="shared" ca="1" si="91"/>
        <v>#REF!</v>
      </c>
      <c r="U967" t="e" cm="1">
        <f t="array" aca="1" ref="U967" ca="1">IF(A967="","",IF(E967="","",IF(B967="safety",INDIRECT("template!"&amp;"P"&amp;A967),Q967+R967)))</f>
        <v>#REF!</v>
      </c>
      <c r="V967" t="e" cm="1">
        <f t="array" aca="1" ref="V967" ca="1">IF(A967="","",IF(E967="","",IF(B967="safety",INDIRECT("template!"&amp;"P"&amp;A967),S967+T967)))</f>
        <v>#REF!</v>
      </c>
      <c r="W967" t="e">
        <f ca="1">IF(A967="","",IF(E967="","",#REF!))</f>
        <v>#REF!</v>
      </c>
      <c r="X967" t="e">
        <f ca="1">IF(A967="","",IF(E967="","",#REF!))</f>
        <v>#REF!</v>
      </c>
      <c r="Y967" s="39" t="e">
        <f ca="1">IF(A967="","",IF(E967="","",#REF!))</f>
        <v>#REF!</v>
      </c>
      <c r="Z967" t="e">
        <f ca="1">IF(A967="","",IF(E967="","",#REF!))</f>
        <v>#REF!</v>
      </c>
      <c r="AA967" t="e">
        <f ca="1">IF(A967="","",IF(E967="","",#REF!))</f>
        <v>#REF!</v>
      </c>
      <c r="AB967" t="e">
        <f ca="1">IF(A967="","",IF(E967="","",#REF!))</f>
        <v>#REF!</v>
      </c>
      <c r="AC967" t="e">
        <f t="shared" ca="1" si="92"/>
        <v>#REF!</v>
      </c>
    </row>
    <row r="968" spans="1:29" x14ac:dyDescent="0.35">
      <c r="A968" t="e" cm="1">
        <f t="array" aca="1" ref="A968" ca="1">IF(A967="","",IF(OR(AND(A967+1&gt;=$AF$1,A967+1&lt;=$AF$2),AND(A967+1&gt;=$AF$6,A967+1&lt;=$AF$7),AND(A967+1&gt;=$AF$3,A967+1&lt;=$AF$4),AND(A967+1&gt;=$AF$8,A967+1&lt;=$AF$9),A967+1=$AF$5),IF(NOT(ISBLANK(INDIRECT("template!"&amp;"P"&amp;A967+1))),A967+1,IF(NOT(ISBLANK(INDIRECT("template!"&amp;"P"&amp;A967+2))),A967+2,A967+3)),IF(A967=$AF$2,$AF$3,IF(A967=$AF$4,$AF$5,IF(A967=$AF$5,$AF$6,IF(A967=$AF$7,$AF$8,""))))))</f>
        <v>#REF!</v>
      </c>
      <c r="B968" t="e">
        <f t="shared" ca="1" si="87"/>
        <v>#REF!</v>
      </c>
      <c r="C968" t="e" cm="1">
        <f t="array" aca="1" ref="C968" ca="1">IF(A968="","",IF(B968="safety","safety costs",INDIRECT("template!"&amp;"B"&amp;A968)))</f>
        <v>#REF!</v>
      </c>
      <c r="D968" t="e" cm="1">
        <f t="array" aca="1" ref="D968" ca="1">IF(OR(A968="",B968="safety"),"",INDIRECT("template!"&amp;"C"&amp;A968))</f>
        <v>#REF!</v>
      </c>
      <c r="E968" t="e" cm="1">
        <f t="array" aca="1" ref="E968" ca="1">IF(A968="","",IF(OR(A968=A967+1,A968=A967+2),E967,INDIRECT("template!"&amp;"D"&amp;A968-2)))</f>
        <v>#REF!</v>
      </c>
      <c r="F968" t="e" cm="1">
        <f t="array" aca="1" ref="F968" ca="1">IF(OR(A968="",B968="safety"),"",IF(ISBLANK(IF(A968=A967+1,F967,INDIRECT("template!"&amp;"D"&amp;A968-1))),"",IF(A968=A967+1,F967,INDIRECT("template!"&amp;"D"&amp;A968-1))))</f>
        <v>#REF!</v>
      </c>
      <c r="G968" t="e" cm="1">
        <f t="array" aca="1" ref="G968" ca="1">IF(OR(A968="",B968="safety"),"",IF(ISBLANK(INDIRECT("template!"&amp;"D"&amp;A968)),"",INDIRECT("template!"&amp;"D"&amp;A968)))</f>
        <v>#REF!</v>
      </c>
      <c r="H968" t="e" cm="1">
        <f t="array" aca="1" ref="H968" ca="1">IF(OR(A968="",B968="safety"),"",IF(ISBLANK(INDIRECT("template!"&amp;"E"&amp;A968)),"",INDIRECT("template!"&amp;"E"&amp;A968)))</f>
        <v>#REF!</v>
      </c>
      <c r="I968" t="e" cm="1">
        <f t="array" aca="1" ref="I968" ca="1">IF(OR(A968="",B968="safety"),"",IF(ISBLANK(INDIRECT("template!"&amp;"F"&amp;A968)),"",INDIRECT("template!"&amp;"F"&amp;A968)))</f>
        <v>#REF!</v>
      </c>
      <c r="J968" t="e" cm="1">
        <f t="array" aca="1" ref="J968" ca="1">IF(OR(A968="",B968="safety"),"",IF(ISBLANK(INDIRECT("template!"&amp;"G"&amp;A968)),"",INDIRECT("template!"&amp;"G"&amp;A968)))</f>
        <v>#REF!</v>
      </c>
      <c r="K968" t="e" cm="1">
        <f t="array" aca="1" ref="K968" ca="1">IF(OR(A968="",B968="safety"),"",IF(ISBLANK(INDIRECT("template!"&amp;"H"&amp;A968)),"",INDIRECT("template!"&amp;"H"&amp;A968)))</f>
        <v>#REF!</v>
      </c>
      <c r="L968" t="e" cm="1">
        <f t="array" aca="1" ref="L968" ca="1">IF(OR(A968="",B968="safety"),"",INDIRECT("template!"&amp;"I"&amp;A968))</f>
        <v>#REF!</v>
      </c>
      <c r="M968" t="e" cm="1">
        <f t="array" aca="1" ref="M968" ca="1">IF(OR(A968="",B968="safety"),"",INDIRECT("template!"&amp;"J"&amp;A968))</f>
        <v>#REF!</v>
      </c>
      <c r="N968" t="e" cm="1">
        <f t="array" aca="1" ref="N968" ca="1">IF(OR(A968="",B968="safety"),"",IF(ISBLANK(INDIRECT("template!"&amp;"K"&amp;A968)),"",INDIRECT("template!"&amp;"K"&amp;A968)))</f>
        <v>#REF!</v>
      </c>
      <c r="O968" t="e" cm="1">
        <f t="array" aca="1" ref="O968" ca="1">IF(OR(A968="",B968="safety"),"",INDIRECT("template!"&amp;"L"&amp;A968))</f>
        <v>#REF!</v>
      </c>
      <c r="P968" t="e" cm="1">
        <f t="array" aca="1" ref="P968" ca="1">IF(OR(A968="",B968="safety"),"",INDIRECT("template!"&amp;"M"&amp;A968))</f>
        <v>#REF!</v>
      </c>
      <c r="Q968" t="e">
        <f t="shared" ca="1" si="88"/>
        <v>#REF!</v>
      </c>
      <c r="R968" t="e">
        <f t="shared" ca="1" si="89"/>
        <v>#REF!</v>
      </c>
      <c r="S968" t="e">
        <f t="shared" ca="1" si="90"/>
        <v>#REF!</v>
      </c>
      <c r="T968" t="e">
        <f t="shared" ca="1" si="91"/>
        <v>#REF!</v>
      </c>
      <c r="U968" t="e" cm="1">
        <f t="array" aca="1" ref="U968" ca="1">IF(A968="","",IF(E968="","",IF(B968="safety",INDIRECT("template!"&amp;"P"&amp;A968),Q968+R968)))</f>
        <v>#REF!</v>
      </c>
      <c r="V968" t="e" cm="1">
        <f t="array" aca="1" ref="V968" ca="1">IF(A968="","",IF(E968="","",IF(B968="safety",INDIRECT("template!"&amp;"P"&amp;A968),S968+T968)))</f>
        <v>#REF!</v>
      </c>
      <c r="W968" t="e">
        <f ca="1">IF(A968="","",IF(E968="","",#REF!))</f>
        <v>#REF!</v>
      </c>
      <c r="X968" t="e">
        <f ca="1">IF(A968="","",IF(E968="","",#REF!))</f>
        <v>#REF!</v>
      </c>
      <c r="Y968" s="39" t="e">
        <f ca="1">IF(A968="","",IF(E968="","",#REF!))</f>
        <v>#REF!</v>
      </c>
      <c r="Z968" t="e">
        <f ca="1">IF(A968="","",IF(E968="","",#REF!))</f>
        <v>#REF!</v>
      </c>
      <c r="AA968" t="e">
        <f ca="1">IF(A968="","",IF(E968="","",#REF!))</f>
        <v>#REF!</v>
      </c>
      <c r="AB968" t="e">
        <f ca="1">IF(A968="","",IF(E968="","",#REF!))</f>
        <v>#REF!</v>
      </c>
      <c r="AC968" t="e">
        <f t="shared" ca="1" si="92"/>
        <v>#REF!</v>
      </c>
    </row>
    <row r="969" spans="1:29" x14ac:dyDescent="0.35">
      <c r="A969" t="e" cm="1">
        <f t="array" aca="1" ref="A969" ca="1">IF(A968="","",IF(OR(AND(A968+1&gt;=$AF$1,A968+1&lt;=$AF$2),AND(A968+1&gt;=$AF$6,A968+1&lt;=$AF$7),AND(A968+1&gt;=$AF$3,A968+1&lt;=$AF$4),AND(A968+1&gt;=$AF$8,A968+1&lt;=$AF$9),A968+1=$AF$5),IF(NOT(ISBLANK(INDIRECT("template!"&amp;"P"&amp;A968+1))),A968+1,IF(NOT(ISBLANK(INDIRECT("template!"&amp;"P"&amp;A968+2))),A968+2,A968+3)),IF(A968=$AF$2,$AF$3,IF(A968=$AF$4,$AF$5,IF(A968=$AF$5,$AF$6,IF(A968=$AF$7,$AF$8,""))))))</f>
        <v>#REF!</v>
      </c>
      <c r="B969" t="e">
        <f t="shared" ca="1" si="87"/>
        <v>#REF!</v>
      </c>
      <c r="C969" t="e" cm="1">
        <f t="array" aca="1" ref="C969" ca="1">IF(A969="","",IF(B969="safety","safety costs",INDIRECT("template!"&amp;"B"&amp;A969)))</f>
        <v>#REF!</v>
      </c>
      <c r="D969" t="e" cm="1">
        <f t="array" aca="1" ref="D969" ca="1">IF(OR(A969="",B969="safety"),"",INDIRECT("template!"&amp;"C"&amp;A969))</f>
        <v>#REF!</v>
      </c>
      <c r="E969" t="e" cm="1">
        <f t="array" aca="1" ref="E969" ca="1">IF(A969="","",IF(OR(A969=A968+1,A969=A968+2),E968,INDIRECT("template!"&amp;"D"&amp;A969-2)))</f>
        <v>#REF!</v>
      </c>
      <c r="F969" t="e" cm="1">
        <f t="array" aca="1" ref="F969" ca="1">IF(OR(A969="",B969="safety"),"",IF(ISBLANK(IF(A969=A968+1,F968,INDIRECT("template!"&amp;"D"&amp;A969-1))),"",IF(A969=A968+1,F968,INDIRECT("template!"&amp;"D"&amp;A969-1))))</f>
        <v>#REF!</v>
      </c>
      <c r="G969" t="e" cm="1">
        <f t="array" aca="1" ref="G969" ca="1">IF(OR(A969="",B969="safety"),"",IF(ISBLANK(INDIRECT("template!"&amp;"D"&amp;A969)),"",INDIRECT("template!"&amp;"D"&amp;A969)))</f>
        <v>#REF!</v>
      </c>
      <c r="H969" t="e" cm="1">
        <f t="array" aca="1" ref="H969" ca="1">IF(OR(A969="",B969="safety"),"",IF(ISBLANK(INDIRECT("template!"&amp;"E"&amp;A969)),"",INDIRECT("template!"&amp;"E"&amp;A969)))</f>
        <v>#REF!</v>
      </c>
      <c r="I969" t="e" cm="1">
        <f t="array" aca="1" ref="I969" ca="1">IF(OR(A969="",B969="safety"),"",IF(ISBLANK(INDIRECT("template!"&amp;"F"&amp;A969)),"",INDIRECT("template!"&amp;"F"&amp;A969)))</f>
        <v>#REF!</v>
      </c>
      <c r="J969" t="e" cm="1">
        <f t="array" aca="1" ref="J969" ca="1">IF(OR(A969="",B969="safety"),"",IF(ISBLANK(INDIRECT("template!"&amp;"G"&amp;A969)),"",INDIRECT("template!"&amp;"G"&amp;A969)))</f>
        <v>#REF!</v>
      </c>
      <c r="K969" t="e" cm="1">
        <f t="array" aca="1" ref="K969" ca="1">IF(OR(A969="",B969="safety"),"",IF(ISBLANK(INDIRECT("template!"&amp;"H"&amp;A969)),"",INDIRECT("template!"&amp;"H"&amp;A969)))</f>
        <v>#REF!</v>
      </c>
      <c r="L969" t="e" cm="1">
        <f t="array" aca="1" ref="L969" ca="1">IF(OR(A969="",B969="safety"),"",INDIRECT("template!"&amp;"I"&amp;A969))</f>
        <v>#REF!</v>
      </c>
      <c r="M969" t="e" cm="1">
        <f t="array" aca="1" ref="M969" ca="1">IF(OR(A969="",B969="safety"),"",INDIRECT("template!"&amp;"J"&amp;A969))</f>
        <v>#REF!</v>
      </c>
      <c r="N969" t="e" cm="1">
        <f t="array" aca="1" ref="N969" ca="1">IF(OR(A969="",B969="safety"),"",IF(ISBLANK(INDIRECT("template!"&amp;"K"&amp;A969)),"",INDIRECT("template!"&amp;"K"&amp;A969)))</f>
        <v>#REF!</v>
      </c>
      <c r="O969" t="e" cm="1">
        <f t="array" aca="1" ref="O969" ca="1">IF(OR(A969="",B969="safety"),"",INDIRECT("template!"&amp;"L"&amp;A969))</f>
        <v>#REF!</v>
      </c>
      <c r="P969" t="e" cm="1">
        <f t="array" aca="1" ref="P969" ca="1">IF(OR(A969="",B969="safety"),"",INDIRECT("template!"&amp;"M"&amp;A969))</f>
        <v>#REF!</v>
      </c>
      <c r="Q969" t="e">
        <f t="shared" ca="1" si="88"/>
        <v>#REF!</v>
      </c>
      <c r="R969" t="e">
        <f t="shared" ca="1" si="89"/>
        <v>#REF!</v>
      </c>
      <c r="S969" t="e">
        <f t="shared" ca="1" si="90"/>
        <v>#REF!</v>
      </c>
      <c r="T969" t="e">
        <f t="shared" ca="1" si="91"/>
        <v>#REF!</v>
      </c>
      <c r="U969" t="e" cm="1">
        <f t="array" aca="1" ref="U969" ca="1">IF(A969="","",IF(E969="","",IF(B969="safety",INDIRECT("template!"&amp;"P"&amp;A969),Q969+R969)))</f>
        <v>#REF!</v>
      </c>
      <c r="V969" t="e" cm="1">
        <f t="array" aca="1" ref="V969" ca="1">IF(A969="","",IF(E969="","",IF(B969="safety",INDIRECT("template!"&amp;"P"&amp;A969),S969+T969)))</f>
        <v>#REF!</v>
      </c>
      <c r="W969" t="e">
        <f ca="1">IF(A969="","",IF(E969="","",#REF!))</f>
        <v>#REF!</v>
      </c>
      <c r="X969" t="e">
        <f ca="1">IF(A969="","",IF(E969="","",#REF!))</f>
        <v>#REF!</v>
      </c>
      <c r="Y969" s="39" t="e">
        <f ca="1">IF(A969="","",IF(E969="","",#REF!))</f>
        <v>#REF!</v>
      </c>
      <c r="Z969" t="e">
        <f ca="1">IF(A969="","",IF(E969="","",#REF!))</f>
        <v>#REF!</v>
      </c>
      <c r="AA969" t="e">
        <f ca="1">IF(A969="","",IF(E969="","",#REF!))</f>
        <v>#REF!</v>
      </c>
      <c r="AB969" t="e">
        <f ca="1">IF(A969="","",IF(E969="","",#REF!))</f>
        <v>#REF!</v>
      </c>
      <c r="AC969" t="e">
        <f t="shared" ca="1" si="92"/>
        <v>#REF!</v>
      </c>
    </row>
    <row r="970" spans="1:29" x14ac:dyDescent="0.35">
      <c r="A970" t="e" cm="1">
        <f t="array" aca="1" ref="A970" ca="1">IF(A969="","",IF(OR(AND(A969+1&gt;=$AF$1,A969+1&lt;=$AF$2),AND(A969+1&gt;=$AF$6,A969+1&lt;=$AF$7),AND(A969+1&gt;=$AF$3,A969+1&lt;=$AF$4),AND(A969+1&gt;=$AF$8,A969+1&lt;=$AF$9),A969+1=$AF$5),IF(NOT(ISBLANK(INDIRECT("template!"&amp;"P"&amp;A969+1))),A969+1,IF(NOT(ISBLANK(INDIRECT("template!"&amp;"P"&amp;A969+2))),A969+2,A969+3)),IF(A969=$AF$2,$AF$3,IF(A969=$AF$4,$AF$5,IF(A969=$AF$5,$AF$6,IF(A969=$AF$7,$AF$8,""))))))</f>
        <v>#REF!</v>
      </c>
      <c r="B970" t="e">
        <f t="shared" ca="1" si="87"/>
        <v>#REF!</v>
      </c>
      <c r="C970" t="e" cm="1">
        <f t="array" aca="1" ref="C970" ca="1">IF(A970="","",IF(B970="safety","safety costs",INDIRECT("template!"&amp;"B"&amp;A970)))</f>
        <v>#REF!</v>
      </c>
      <c r="D970" t="e" cm="1">
        <f t="array" aca="1" ref="D970" ca="1">IF(OR(A970="",B970="safety"),"",INDIRECT("template!"&amp;"C"&amp;A970))</f>
        <v>#REF!</v>
      </c>
      <c r="E970" t="e" cm="1">
        <f t="array" aca="1" ref="E970" ca="1">IF(A970="","",IF(OR(A970=A969+1,A970=A969+2),E969,INDIRECT("template!"&amp;"D"&amp;A970-2)))</f>
        <v>#REF!</v>
      </c>
      <c r="F970" t="e" cm="1">
        <f t="array" aca="1" ref="F970" ca="1">IF(OR(A970="",B970="safety"),"",IF(ISBLANK(IF(A970=A969+1,F969,INDIRECT("template!"&amp;"D"&amp;A970-1))),"",IF(A970=A969+1,F969,INDIRECT("template!"&amp;"D"&amp;A970-1))))</f>
        <v>#REF!</v>
      </c>
      <c r="G970" t="e" cm="1">
        <f t="array" aca="1" ref="G970" ca="1">IF(OR(A970="",B970="safety"),"",IF(ISBLANK(INDIRECT("template!"&amp;"D"&amp;A970)),"",INDIRECT("template!"&amp;"D"&amp;A970)))</f>
        <v>#REF!</v>
      </c>
      <c r="H970" t="e" cm="1">
        <f t="array" aca="1" ref="H970" ca="1">IF(OR(A970="",B970="safety"),"",IF(ISBLANK(INDIRECT("template!"&amp;"E"&amp;A970)),"",INDIRECT("template!"&amp;"E"&amp;A970)))</f>
        <v>#REF!</v>
      </c>
      <c r="I970" t="e" cm="1">
        <f t="array" aca="1" ref="I970" ca="1">IF(OR(A970="",B970="safety"),"",IF(ISBLANK(INDIRECT("template!"&amp;"F"&amp;A970)),"",INDIRECT("template!"&amp;"F"&amp;A970)))</f>
        <v>#REF!</v>
      </c>
      <c r="J970" t="e" cm="1">
        <f t="array" aca="1" ref="J970" ca="1">IF(OR(A970="",B970="safety"),"",IF(ISBLANK(INDIRECT("template!"&amp;"G"&amp;A970)),"",INDIRECT("template!"&amp;"G"&amp;A970)))</f>
        <v>#REF!</v>
      </c>
      <c r="K970" t="e" cm="1">
        <f t="array" aca="1" ref="K970" ca="1">IF(OR(A970="",B970="safety"),"",IF(ISBLANK(INDIRECT("template!"&amp;"H"&amp;A970)),"",INDIRECT("template!"&amp;"H"&amp;A970)))</f>
        <v>#REF!</v>
      </c>
      <c r="L970" t="e" cm="1">
        <f t="array" aca="1" ref="L970" ca="1">IF(OR(A970="",B970="safety"),"",INDIRECT("template!"&amp;"I"&amp;A970))</f>
        <v>#REF!</v>
      </c>
      <c r="M970" t="e" cm="1">
        <f t="array" aca="1" ref="M970" ca="1">IF(OR(A970="",B970="safety"),"",INDIRECT("template!"&amp;"J"&amp;A970))</f>
        <v>#REF!</v>
      </c>
      <c r="N970" t="e" cm="1">
        <f t="array" aca="1" ref="N970" ca="1">IF(OR(A970="",B970="safety"),"",IF(ISBLANK(INDIRECT("template!"&amp;"K"&amp;A970)),"",INDIRECT("template!"&amp;"K"&amp;A970)))</f>
        <v>#REF!</v>
      </c>
      <c r="O970" t="e" cm="1">
        <f t="array" aca="1" ref="O970" ca="1">IF(OR(A970="",B970="safety"),"",INDIRECT("template!"&amp;"L"&amp;A970))</f>
        <v>#REF!</v>
      </c>
      <c r="P970" t="e" cm="1">
        <f t="array" aca="1" ref="P970" ca="1">IF(OR(A970="",B970="safety"),"",INDIRECT("template!"&amp;"M"&amp;A970))</f>
        <v>#REF!</v>
      </c>
      <c r="Q970" t="e">
        <f t="shared" ca="1" si="88"/>
        <v>#REF!</v>
      </c>
      <c r="R970" t="e">
        <f t="shared" ca="1" si="89"/>
        <v>#REF!</v>
      </c>
      <c r="S970" t="e">
        <f t="shared" ca="1" si="90"/>
        <v>#REF!</v>
      </c>
      <c r="T970" t="e">
        <f t="shared" ca="1" si="91"/>
        <v>#REF!</v>
      </c>
      <c r="U970" t="e" cm="1">
        <f t="array" aca="1" ref="U970" ca="1">IF(A970="","",IF(E970="","",IF(B970="safety",INDIRECT("template!"&amp;"P"&amp;A970),Q970+R970)))</f>
        <v>#REF!</v>
      </c>
      <c r="V970" t="e" cm="1">
        <f t="array" aca="1" ref="V970" ca="1">IF(A970="","",IF(E970="","",IF(B970="safety",INDIRECT("template!"&amp;"P"&amp;A970),S970+T970)))</f>
        <v>#REF!</v>
      </c>
      <c r="W970" t="e">
        <f ca="1">IF(A970="","",IF(E970="","",#REF!))</f>
        <v>#REF!</v>
      </c>
      <c r="X970" t="e">
        <f ca="1">IF(A970="","",IF(E970="","",#REF!))</f>
        <v>#REF!</v>
      </c>
      <c r="Y970" s="39" t="e">
        <f ca="1">IF(A970="","",IF(E970="","",#REF!))</f>
        <v>#REF!</v>
      </c>
      <c r="Z970" t="e">
        <f ca="1">IF(A970="","",IF(E970="","",#REF!))</f>
        <v>#REF!</v>
      </c>
      <c r="AA970" t="e">
        <f ca="1">IF(A970="","",IF(E970="","",#REF!))</f>
        <v>#REF!</v>
      </c>
      <c r="AB970" t="e">
        <f ca="1">IF(A970="","",IF(E970="","",#REF!))</f>
        <v>#REF!</v>
      </c>
      <c r="AC970" t="e">
        <f t="shared" ca="1" si="92"/>
        <v>#REF!</v>
      </c>
    </row>
    <row r="971" spans="1:29" x14ac:dyDescent="0.35">
      <c r="A971" t="e" cm="1">
        <f t="array" aca="1" ref="A971" ca="1">IF(A970="","",IF(OR(AND(A970+1&gt;=$AF$1,A970+1&lt;=$AF$2),AND(A970+1&gt;=$AF$6,A970+1&lt;=$AF$7),AND(A970+1&gt;=$AF$3,A970+1&lt;=$AF$4),AND(A970+1&gt;=$AF$8,A970+1&lt;=$AF$9),A970+1=$AF$5),IF(NOT(ISBLANK(INDIRECT("template!"&amp;"P"&amp;A970+1))),A970+1,IF(NOT(ISBLANK(INDIRECT("template!"&amp;"P"&amp;A970+2))),A970+2,A970+3)),IF(A970=$AF$2,$AF$3,IF(A970=$AF$4,$AF$5,IF(A970=$AF$5,$AF$6,IF(A970=$AF$7,$AF$8,""))))))</f>
        <v>#REF!</v>
      </c>
      <c r="B971" t="e">
        <f t="shared" ca="1" si="87"/>
        <v>#REF!</v>
      </c>
      <c r="C971" t="e" cm="1">
        <f t="array" aca="1" ref="C971" ca="1">IF(A971="","",IF(B971="safety","safety costs",INDIRECT("template!"&amp;"B"&amp;A971)))</f>
        <v>#REF!</v>
      </c>
      <c r="D971" t="e" cm="1">
        <f t="array" aca="1" ref="D971" ca="1">IF(OR(A971="",B971="safety"),"",INDIRECT("template!"&amp;"C"&amp;A971))</f>
        <v>#REF!</v>
      </c>
      <c r="E971" t="e" cm="1">
        <f t="array" aca="1" ref="E971" ca="1">IF(A971="","",IF(OR(A971=A970+1,A971=A970+2),E970,INDIRECT("template!"&amp;"D"&amp;A971-2)))</f>
        <v>#REF!</v>
      </c>
      <c r="F971" t="e" cm="1">
        <f t="array" aca="1" ref="F971" ca="1">IF(OR(A971="",B971="safety"),"",IF(ISBLANK(IF(A971=A970+1,F970,INDIRECT("template!"&amp;"D"&amp;A971-1))),"",IF(A971=A970+1,F970,INDIRECT("template!"&amp;"D"&amp;A971-1))))</f>
        <v>#REF!</v>
      </c>
      <c r="G971" t="e" cm="1">
        <f t="array" aca="1" ref="G971" ca="1">IF(OR(A971="",B971="safety"),"",IF(ISBLANK(INDIRECT("template!"&amp;"D"&amp;A971)),"",INDIRECT("template!"&amp;"D"&amp;A971)))</f>
        <v>#REF!</v>
      </c>
      <c r="H971" t="e" cm="1">
        <f t="array" aca="1" ref="H971" ca="1">IF(OR(A971="",B971="safety"),"",IF(ISBLANK(INDIRECT("template!"&amp;"E"&amp;A971)),"",INDIRECT("template!"&amp;"E"&amp;A971)))</f>
        <v>#REF!</v>
      </c>
      <c r="I971" t="e" cm="1">
        <f t="array" aca="1" ref="I971" ca="1">IF(OR(A971="",B971="safety"),"",IF(ISBLANK(INDIRECT("template!"&amp;"F"&amp;A971)),"",INDIRECT("template!"&amp;"F"&amp;A971)))</f>
        <v>#REF!</v>
      </c>
      <c r="J971" t="e" cm="1">
        <f t="array" aca="1" ref="J971" ca="1">IF(OR(A971="",B971="safety"),"",IF(ISBLANK(INDIRECT("template!"&amp;"G"&amp;A971)),"",INDIRECT("template!"&amp;"G"&amp;A971)))</f>
        <v>#REF!</v>
      </c>
      <c r="K971" t="e" cm="1">
        <f t="array" aca="1" ref="K971" ca="1">IF(OR(A971="",B971="safety"),"",IF(ISBLANK(INDIRECT("template!"&amp;"H"&amp;A971)),"",INDIRECT("template!"&amp;"H"&amp;A971)))</f>
        <v>#REF!</v>
      </c>
      <c r="L971" t="e" cm="1">
        <f t="array" aca="1" ref="L971" ca="1">IF(OR(A971="",B971="safety"),"",INDIRECT("template!"&amp;"I"&amp;A971))</f>
        <v>#REF!</v>
      </c>
      <c r="M971" t="e" cm="1">
        <f t="array" aca="1" ref="M971" ca="1">IF(OR(A971="",B971="safety"),"",INDIRECT("template!"&amp;"J"&amp;A971))</f>
        <v>#REF!</v>
      </c>
      <c r="N971" t="e" cm="1">
        <f t="array" aca="1" ref="N971" ca="1">IF(OR(A971="",B971="safety"),"",IF(ISBLANK(INDIRECT("template!"&amp;"K"&amp;A971)),"",INDIRECT("template!"&amp;"K"&amp;A971)))</f>
        <v>#REF!</v>
      </c>
      <c r="O971" t="e" cm="1">
        <f t="array" aca="1" ref="O971" ca="1">IF(OR(A971="",B971="safety"),"",INDIRECT("template!"&amp;"L"&amp;A971))</f>
        <v>#REF!</v>
      </c>
      <c r="P971" t="e" cm="1">
        <f t="array" aca="1" ref="P971" ca="1">IF(OR(A971="",B971="safety"),"",INDIRECT("template!"&amp;"M"&amp;A971))</f>
        <v>#REF!</v>
      </c>
      <c r="Q971" t="e">
        <f t="shared" ca="1" si="88"/>
        <v>#REF!</v>
      </c>
      <c r="R971" t="e">
        <f t="shared" ca="1" si="89"/>
        <v>#REF!</v>
      </c>
      <c r="S971" t="e">
        <f t="shared" ca="1" si="90"/>
        <v>#REF!</v>
      </c>
      <c r="T971" t="e">
        <f t="shared" ca="1" si="91"/>
        <v>#REF!</v>
      </c>
      <c r="U971" t="e" cm="1">
        <f t="array" aca="1" ref="U971" ca="1">IF(A971="","",IF(E971="","",IF(B971="safety",INDIRECT("template!"&amp;"P"&amp;A971),Q971+R971)))</f>
        <v>#REF!</v>
      </c>
      <c r="V971" t="e" cm="1">
        <f t="array" aca="1" ref="V971" ca="1">IF(A971="","",IF(E971="","",IF(B971="safety",INDIRECT("template!"&amp;"P"&amp;A971),S971+T971)))</f>
        <v>#REF!</v>
      </c>
      <c r="W971" t="e">
        <f ca="1">IF(A971="","",IF(E971="","",#REF!))</f>
        <v>#REF!</v>
      </c>
      <c r="X971" t="e">
        <f ca="1">IF(A971="","",IF(E971="","",#REF!))</f>
        <v>#REF!</v>
      </c>
      <c r="Y971" s="39" t="e">
        <f ca="1">IF(A971="","",IF(E971="","",#REF!))</f>
        <v>#REF!</v>
      </c>
      <c r="Z971" t="e">
        <f ca="1">IF(A971="","",IF(E971="","",#REF!))</f>
        <v>#REF!</v>
      </c>
      <c r="AA971" t="e">
        <f ca="1">IF(A971="","",IF(E971="","",#REF!))</f>
        <v>#REF!</v>
      </c>
      <c r="AB971" t="e">
        <f ca="1">IF(A971="","",IF(E971="","",#REF!))</f>
        <v>#REF!</v>
      </c>
      <c r="AC971" t="e">
        <f t="shared" ca="1" si="92"/>
        <v>#REF!</v>
      </c>
    </row>
    <row r="972" spans="1:29" x14ac:dyDescent="0.35">
      <c r="A972" t="e" cm="1">
        <f t="array" aca="1" ref="A972" ca="1">IF(A971="","",IF(OR(AND(A971+1&gt;=$AF$1,A971+1&lt;=$AF$2),AND(A971+1&gt;=$AF$6,A971+1&lt;=$AF$7),AND(A971+1&gt;=$AF$3,A971+1&lt;=$AF$4),AND(A971+1&gt;=$AF$8,A971+1&lt;=$AF$9),A971+1=$AF$5),IF(NOT(ISBLANK(INDIRECT("template!"&amp;"P"&amp;A971+1))),A971+1,IF(NOT(ISBLANK(INDIRECT("template!"&amp;"P"&amp;A971+2))),A971+2,A971+3)),IF(A971=$AF$2,$AF$3,IF(A971=$AF$4,$AF$5,IF(A971=$AF$5,$AF$6,IF(A971=$AF$7,$AF$8,""))))))</f>
        <v>#REF!</v>
      </c>
      <c r="B972" t="e">
        <f t="shared" ca="1" si="87"/>
        <v>#REF!</v>
      </c>
      <c r="C972" t="e" cm="1">
        <f t="array" aca="1" ref="C972" ca="1">IF(A972="","",IF(B972="safety","safety costs",INDIRECT("template!"&amp;"B"&amp;A972)))</f>
        <v>#REF!</v>
      </c>
      <c r="D972" t="e" cm="1">
        <f t="array" aca="1" ref="D972" ca="1">IF(OR(A972="",B972="safety"),"",INDIRECT("template!"&amp;"C"&amp;A972))</f>
        <v>#REF!</v>
      </c>
      <c r="E972" t="e" cm="1">
        <f t="array" aca="1" ref="E972" ca="1">IF(A972="","",IF(OR(A972=A971+1,A972=A971+2),E971,INDIRECT("template!"&amp;"D"&amp;A972-2)))</f>
        <v>#REF!</v>
      </c>
      <c r="F972" t="e" cm="1">
        <f t="array" aca="1" ref="F972" ca="1">IF(OR(A972="",B972="safety"),"",IF(ISBLANK(IF(A972=A971+1,F971,INDIRECT("template!"&amp;"D"&amp;A972-1))),"",IF(A972=A971+1,F971,INDIRECT("template!"&amp;"D"&amp;A972-1))))</f>
        <v>#REF!</v>
      </c>
      <c r="G972" t="e" cm="1">
        <f t="array" aca="1" ref="G972" ca="1">IF(OR(A972="",B972="safety"),"",IF(ISBLANK(INDIRECT("template!"&amp;"D"&amp;A972)),"",INDIRECT("template!"&amp;"D"&amp;A972)))</f>
        <v>#REF!</v>
      </c>
      <c r="H972" t="e" cm="1">
        <f t="array" aca="1" ref="H972" ca="1">IF(OR(A972="",B972="safety"),"",IF(ISBLANK(INDIRECT("template!"&amp;"E"&amp;A972)),"",INDIRECT("template!"&amp;"E"&amp;A972)))</f>
        <v>#REF!</v>
      </c>
      <c r="I972" t="e" cm="1">
        <f t="array" aca="1" ref="I972" ca="1">IF(OR(A972="",B972="safety"),"",IF(ISBLANK(INDIRECT("template!"&amp;"F"&amp;A972)),"",INDIRECT("template!"&amp;"F"&amp;A972)))</f>
        <v>#REF!</v>
      </c>
      <c r="J972" t="e" cm="1">
        <f t="array" aca="1" ref="J972" ca="1">IF(OR(A972="",B972="safety"),"",IF(ISBLANK(INDIRECT("template!"&amp;"G"&amp;A972)),"",INDIRECT("template!"&amp;"G"&amp;A972)))</f>
        <v>#REF!</v>
      </c>
      <c r="K972" t="e" cm="1">
        <f t="array" aca="1" ref="K972" ca="1">IF(OR(A972="",B972="safety"),"",IF(ISBLANK(INDIRECT("template!"&amp;"H"&amp;A972)),"",INDIRECT("template!"&amp;"H"&amp;A972)))</f>
        <v>#REF!</v>
      </c>
      <c r="L972" t="e" cm="1">
        <f t="array" aca="1" ref="L972" ca="1">IF(OR(A972="",B972="safety"),"",INDIRECT("template!"&amp;"I"&amp;A972))</f>
        <v>#REF!</v>
      </c>
      <c r="M972" t="e" cm="1">
        <f t="array" aca="1" ref="M972" ca="1">IF(OR(A972="",B972="safety"),"",INDIRECT("template!"&amp;"J"&amp;A972))</f>
        <v>#REF!</v>
      </c>
      <c r="N972" t="e" cm="1">
        <f t="array" aca="1" ref="N972" ca="1">IF(OR(A972="",B972="safety"),"",IF(ISBLANK(INDIRECT("template!"&amp;"K"&amp;A972)),"",INDIRECT("template!"&amp;"K"&amp;A972)))</f>
        <v>#REF!</v>
      </c>
      <c r="O972" t="e" cm="1">
        <f t="array" aca="1" ref="O972" ca="1">IF(OR(A972="",B972="safety"),"",INDIRECT("template!"&amp;"L"&amp;A972))</f>
        <v>#REF!</v>
      </c>
      <c r="P972" t="e" cm="1">
        <f t="array" aca="1" ref="P972" ca="1">IF(OR(A972="",B972="safety"),"",INDIRECT("template!"&amp;"M"&amp;A972))</f>
        <v>#REF!</v>
      </c>
      <c r="Q972" t="e">
        <f t="shared" ca="1" si="88"/>
        <v>#REF!</v>
      </c>
      <c r="R972" t="e">
        <f t="shared" ca="1" si="89"/>
        <v>#REF!</v>
      </c>
      <c r="S972" t="e">
        <f t="shared" ca="1" si="90"/>
        <v>#REF!</v>
      </c>
      <c r="T972" t="e">
        <f t="shared" ca="1" si="91"/>
        <v>#REF!</v>
      </c>
      <c r="U972" t="e" cm="1">
        <f t="array" aca="1" ref="U972" ca="1">IF(A972="","",IF(E972="","",IF(B972="safety",INDIRECT("template!"&amp;"P"&amp;A972),Q972+R972)))</f>
        <v>#REF!</v>
      </c>
      <c r="V972" t="e" cm="1">
        <f t="array" aca="1" ref="V972" ca="1">IF(A972="","",IF(E972="","",IF(B972="safety",INDIRECT("template!"&amp;"P"&amp;A972),S972+T972)))</f>
        <v>#REF!</v>
      </c>
      <c r="W972" t="e">
        <f ca="1">IF(A972="","",IF(E972="","",#REF!))</f>
        <v>#REF!</v>
      </c>
      <c r="X972" t="e">
        <f ca="1">IF(A972="","",IF(E972="","",#REF!))</f>
        <v>#REF!</v>
      </c>
      <c r="Y972" s="39" t="e">
        <f ca="1">IF(A972="","",IF(E972="","",#REF!))</f>
        <v>#REF!</v>
      </c>
      <c r="Z972" t="e">
        <f ca="1">IF(A972="","",IF(E972="","",#REF!))</f>
        <v>#REF!</v>
      </c>
      <c r="AA972" t="e">
        <f ca="1">IF(A972="","",IF(E972="","",#REF!))</f>
        <v>#REF!</v>
      </c>
      <c r="AB972" t="e">
        <f ca="1">IF(A972="","",IF(E972="","",#REF!))</f>
        <v>#REF!</v>
      </c>
      <c r="AC972" t="e">
        <f t="shared" ca="1" si="92"/>
        <v>#REF!</v>
      </c>
    </row>
    <row r="973" spans="1:29" x14ac:dyDescent="0.35">
      <c r="A973" t="e" cm="1">
        <f t="array" aca="1" ref="A973" ca="1">IF(A972="","",IF(OR(AND(A972+1&gt;=$AF$1,A972+1&lt;=$AF$2),AND(A972+1&gt;=$AF$6,A972+1&lt;=$AF$7),AND(A972+1&gt;=$AF$3,A972+1&lt;=$AF$4),AND(A972+1&gt;=$AF$8,A972+1&lt;=$AF$9),A972+1=$AF$5),IF(NOT(ISBLANK(INDIRECT("template!"&amp;"P"&amp;A972+1))),A972+1,IF(NOT(ISBLANK(INDIRECT("template!"&amp;"P"&amp;A972+2))),A972+2,A972+3)),IF(A972=$AF$2,$AF$3,IF(A972=$AF$4,$AF$5,IF(A972=$AF$5,$AF$6,IF(A972=$AF$7,$AF$8,""))))))</f>
        <v>#REF!</v>
      </c>
      <c r="B973" t="e">
        <f t="shared" ca="1" si="87"/>
        <v>#REF!</v>
      </c>
      <c r="C973" t="e" cm="1">
        <f t="array" aca="1" ref="C973" ca="1">IF(A973="","",IF(B973="safety","safety costs",INDIRECT("template!"&amp;"B"&amp;A973)))</f>
        <v>#REF!</v>
      </c>
      <c r="D973" t="e" cm="1">
        <f t="array" aca="1" ref="D973" ca="1">IF(OR(A973="",B973="safety"),"",INDIRECT("template!"&amp;"C"&amp;A973))</f>
        <v>#REF!</v>
      </c>
      <c r="E973" t="e" cm="1">
        <f t="array" aca="1" ref="E973" ca="1">IF(A973="","",IF(OR(A973=A972+1,A973=A972+2),E972,INDIRECT("template!"&amp;"D"&amp;A973-2)))</f>
        <v>#REF!</v>
      </c>
      <c r="F973" t="e" cm="1">
        <f t="array" aca="1" ref="F973" ca="1">IF(OR(A973="",B973="safety"),"",IF(ISBLANK(IF(A973=A972+1,F972,INDIRECT("template!"&amp;"D"&amp;A973-1))),"",IF(A973=A972+1,F972,INDIRECT("template!"&amp;"D"&amp;A973-1))))</f>
        <v>#REF!</v>
      </c>
      <c r="G973" t="e" cm="1">
        <f t="array" aca="1" ref="G973" ca="1">IF(OR(A973="",B973="safety"),"",IF(ISBLANK(INDIRECT("template!"&amp;"D"&amp;A973)),"",INDIRECT("template!"&amp;"D"&amp;A973)))</f>
        <v>#REF!</v>
      </c>
      <c r="H973" t="e" cm="1">
        <f t="array" aca="1" ref="H973" ca="1">IF(OR(A973="",B973="safety"),"",IF(ISBLANK(INDIRECT("template!"&amp;"E"&amp;A973)),"",INDIRECT("template!"&amp;"E"&amp;A973)))</f>
        <v>#REF!</v>
      </c>
      <c r="I973" t="e" cm="1">
        <f t="array" aca="1" ref="I973" ca="1">IF(OR(A973="",B973="safety"),"",IF(ISBLANK(INDIRECT("template!"&amp;"F"&amp;A973)),"",INDIRECT("template!"&amp;"F"&amp;A973)))</f>
        <v>#REF!</v>
      </c>
      <c r="J973" t="e" cm="1">
        <f t="array" aca="1" ref="J973" ca="1">IF(OR(A973="",B973="safety"),"",IF(ISBLANK(INDIRECT("template!"&amp;"G"&amp;A973)),"",INDIRECT("template!"&amp;"G"&amp;A973)))</f>
        <v>#REF!</v>
      </c>
      <c r="K973" t="e" cm="1">
        <f t="array" aca="1" ref="K973" ca="1">IF(OR(A973="",B973="safety"),"",IF(ISBLANK(INDIRECT("template!"&amp;"H"&amp;A973)),"",INDIRECT("template!"&amp;"H"&amp;A973)))</f>
        <v>#REF!</v>
      </c>
      <c r="L973" t="e" cm="1">
        <f t="array" aca="1" ref="L973" ca="1">IF(OR(A973="",B973="safety"),"",INDIRECT("template!"&amp;"I"&amp;A973))</f>
        <v>#REF!</v>
      </c>
      <c r="M973" t="e" cm="1">
        <f t="array" aca="1" ref="M973" ca="1">IF(OR(A973="",B973="safety"),"",INDIRECT("template!"&amp;"J"&amp;A973))</f>
        <v>#REF!</v>
      </c>
      <c r="N973" t="e" cm="1">
        <f t="array" aca="1" ref="N973" ca="1">IF(OR(A973="",B973="safety"),"",IF(ISBLANK(INDIRECT("template!"&amp;"K"&amp;A973)),"",INDIRECT("template!"&amp;"K"&amp;A973)))</f>
        <v>#REF!</v>
      </c>
      <c r="O973" t="e" cm="1">
        <f t="array" aca="1" ref="O973" ca="1">IF(OR(A973="",B973="safety"),"",INDIRECT("template!"&amp;"L"&amp;A973))</f>
        <v>#REF!</v>
      </c>
      <c r="P973" t="e" cm="1">
        <f t="array" aca="1" ref="P973" ca="1">IF(OR(A973="",B973="safety"),"",INDIRECT("template!"&amp;"M"&amp;A973))</f>
        <v>#REF!</v>
      </c>
      <c r="Q973" t="e">
        <f t="shared" ca="1" si="88"/>
        <v>#REF!</v>
      </c>
      <c r="R973" t="e">
        <f t="shared" ca="1" si="89"/>
        <v>#REF!</v>
      </c>
      <c r="S973" t="e">
        <f t="shared" ca="1" si="90"/>
        <v>#REF!</v>
      </c>
      <c r="T973" t="e">
        <f t="shared" ca="1" si="91"/>
        <v>#REF!</v>
      </c>
      <c r="U973" t="e" cm="1">
        <f t="array" aca="1" ref="U973" ca="1">IF(A973="","",IF(E973="","",IF(B973="safety",INDIRECT("template!"&amp;"P"&amp;A973),Q973+R973)))</f>
        <v>#REF!</v>
      </c>
      <c r="V973" t="e" cm="1">
        <f t="array" aca="1" ref="V973" ca="1">IF(A973="","",IF(E973="","",IF(B973="safety",INDIRECT("template!"&amp;"P"&amp;A973),S973+T973)))</f>
        <v>#REF!</v>
      </c>
      <c r="W973" t="e">
        <f ca="1">IF(A973="","",IF(E973="","",#REF!))</f>
        <v>#REF!</v>
      </c>
      <c r="X973" t="e">
        <f ca="1">IF(A973="","",IF(E973="","",#REF!))</f>
        <v>#REF!</v>
      </c>
      <c r="Y973" s="39" t="e">
        <f ca="1">IF(A973="","",IF(E973="","",#REF!))</f>
        <v>#REF!</v>
      </c>
      <c r="Z973" t="e">
        <f ca="1">IF(A973="","",IF(E973="","",#REF!))</f>
        <v>#REF!</v>
      </c>
      <c r="AA973" t="e">
        <f ca="1">IF(A973="","",IF(E973="","",#REF!))</f>
        <v>#REF!</v>
      </c>
      <c r="AB973" t="e">
        <f ca="1">IF(A973="","",IF(E973="","",#REF!))</f>
        <v>#REF!</v>
      </c>
      <c r="AC973" t="e">
        <f t="shared" ca="1" si="92"/>
        <v>#REF!</v>
      </c>
    </row>
    <row r="974" spans="1:29" x14ac:dyDescent="0.35">
      <c r="A974" t="e" cm="1">
        <f t="array" aca="1" ref="A974" ca="1">IF(A973="","",IF(OR(AND(A973+1&gt;=$AF$1,A973+1&lt;=$AF$2),AND(A973+1&gt;=$AF$6,A973+1&lt;=$AF$7),AND(A973+1&gt;=$AF$3,A973+1&lt;=$AF$4),AND(A973+1&gt;=$AF$8,A973+1&lt;=$AF$9),A973+1=$AF$5),IF(NOT(ISBLANK(INDIRECT("template!"&amp;"P"&amp;A973+1))),A973+1,IF(NOT(ISBLANK(INDIRECT("template!"&amp;"P"&amp;A973+2))),A973+2,A973+3)),IF(A973=$AF$2,$AF$3,IF(A973=$AF$4,$AF$5,IF(A973=$AF$5,$AF$6,IF(A973=$AF$7,$AF$8,""))))))</f>
        <v>#REF!</v>
      </c>
      <c r="B974" t="e">
        <f t="shared" ca="1" si="87"/>
        <v>#REF!</v>
      </c>
      <c r="C974" t="e" cm="1">
        <f t="array" aca="1" ref="C974" ca="1">IF(A974="","",IF(B974="safety","safety costs",INDIRECT("template!"&amp;"B"&amp;A974)))</f>
        <v>#REF!</v>
      </c>
      <c r="D974" t="e" cm="1">
        <f t="array" aca="1" ref="D974" ca="1">IF(OR(A974="",B974="safety"),"",INDIRECT("template!"&amp;"C"&amp;A974))</f>
        <v>#REF!</v>
      </c>
      <c r="E974" t="e" cm="1">
        <f t="array" aca="1" ref="E974" ca="1">IF(A974="","",IF(OR(A974=A973+1,A974=A973+2),E973,INDIRECT("template!"&amp;"D"&amp;A974-2)))</f>
        <v>#REF!</v>
      </c>
      <c r="F974" t="e" cm="1">
        <f t="array" aca="1" ref="F974" ca="1">IF(OR(A974="",B974="safety"),"",IF(ISBLANK(IF(A974=A973+1,F973,INDIRECT("template!"&amp;"D"&amp;A974-1))),"",IF(A974=A973+1,F973,INDIRECT("template!"&amp;"D"&amp;A974-1))))</f>
        <v>#REF!</v>
      </c>
      <c r="G974" t="e" cm="1">
        <f t="array" aca="1" ref="G974" ca="1">IF(OR(A974="",B974="safety"),"",IF(ISBLANK(INDIRECT("template!"&amp;"D"&amp;A974)),"",INDIRECT("template!"&amp;"D"&amp;A974)))</f>
        <v>#REF!</v>
      </c>
      <c r="H974" t="e" cm="1">
        <f t="array" aca="1" ref="H974" ca="1">IF(OR(A974="",B974="safety"),"",IF(ISBLANK(INDIRECT("template!"&amp;"E"&amp;A974)),"",INDIRECT("template!"&amp;"E"&amp;A974)))</f>
        <v>#REF!</v>
      </c>
      <c r="I974" t="e" cm="1">
        <f t="array" aca="1" ref="I974" ca="1">IF(OR(A974="",B974="safety"),"",IF(ISBLANK(INDIRECT("template!"&amp;"F"&amp;A974)),"",INDIRECT("template!"&amp;"F"&amp;A974)))</f>
        <v>#REF!</v>
      </c>
      <c r="J974" t="e" cm="1">
        <f t="array" aca="1" ref="J974" ca="1">IF(OR(A974="",B974="safety"),"",IF(ISBLANK(INDIRECT("template!"&amp;"G"&amp;A974)),"",INDIRECT("template!"&amp;"G"&amp;A974)))</f>
        <v>#REF!</v>
      </c>
      <c r="K974" t="e" cm="1">
        <f t="array" aca="1" ref="K974" ca="1">IF(OR(A974="",B974="safety"),"",IF(ISBLANK(INDIRECT("template!"&amp;"H"&amp;A974)),"",INDIRECT("template!"&amp;"H"&amp;A974)))</f>
        <v>#REF!</v>
      </c>
      <c r="L974" t="e" cm="1">
        <f t="array" aca="1" ref="L974" ca="1">IF(OR(A974="",B974="safety"),"",INDIRECT("template!"&amp;"I"&amp;A974))</f>
        <v>#REF!</v>
      </c>
      <c r="M974" t="e" cm="1">
        <f t="array" aca="1" ref="M974" ca="1">IF(OR(A974="",B974="safety"),"",INDIRECT("template!"&amp;"J"&amp;A974))</f>
        <v>#REF!</v>
      </c>
      <c r="N974" t="e" cm="1">
        <f t="array" aca="1" ref="N974" ca="1">IF(OR(A974="",B974="safety"),"",IF(ISBLANK(INDIRECT("template!"&amp;"K"&amp;A974)),"",INDIRECT("template!"&amp;"K"&amp;A974)))</f>
        <v>#REF!</v>
      </c>
      <c r="O974" t="e" cm="1">
        <f t="array" aca="1" ref="O974" ca="1">IF(OR(A974="",B974="safety"),"",INDIRECT("template!"&amp;"L"&amp;A974))</f>
        <v>#REF!</v>
      </c>
      <c r="P974" t="e" cm="1">
        <f t="array" aca="1" ref="P974" ca="1">IF(OR(A974="",B974="safety"),"",INDIRECT("template!"&amp;"M"&amp;A974))</f>
        <v>#REF!</v>
      </c>
      <c r="Q974" t="e">
        <f t="shared" ca="1" si="88"/>
        <v>#REF!</v>
      </c>
      <c r="R974" t="e">
        <f t="shared" ca="1" si="89"/>
        <v>#REF!</v>
      </c>
      <c r="S974" t="e">
        <f t="shared" ca="1" si="90"/>
        <v>#REF!</v>
      </c>
      <c r="T974" t="e">
        <f t="shared" ca="1" si="91"/>
        <v>#REF!</v>
      </c>
      <c r="U974" t="e" cm="1">
        <f t="array" aca="1" ref="U974" ca="1">IF(A974="","",IF(E974="","",IF(B974="safety",INDIRECT("template!"&amp;"P"&amp;A974),Q974+R974)))</f>
        <v>#REF!</v>
      </c>
      <c r="V974" t="e" cm="1">
        <f t="array" aca="1" ref="V974" ca="1">IF(A974="","",IF(E974="","",IF(B974="safety",INDIRECT("template!"&amp;"P"&amp;A974),S974+T974)))</f>
        <v>#REF!</v>
      </c>
      <c r="W974" t="e">
        <f ca="1">IF(A974="","",IF(E974="","",#REF!))</f>
        <v>#REF!</v>
      </c>
      <c r="X974" t="e">
        <f ca="1">IF(A974="","",IF(E974="","",#REF!))</f>
        <v>#REF!</v>
      </c>
      <c r="Y974" s="39" t="e">
        <f ca="1">IF(A974="","",IF(E974="","",#REF!))</f>
        <v>#REF!</v>
      </c>
      <c r="Z974" t="e">
        <f ca="1">IF(A974="","",IF(E974="","",#REF!))</f>
        <v>#REF!</v>
      </c>
      <c r="AA974" t="e">
        <f ca="1">IF(A974="","",IF(E974="","",#REF!))</f>
        <v>#REF!</v>
      </c>
      <c r="AB974" t="e">
        <f ca="1">IF(A974="","",IF(E974="","",#REF!))</f>
        <v>#REF!</v>
      </c>
      <c r="AC974" t="e">
        <f t="shared" ca="1" si="92"/>
        <v>#REF!</v>
      </c>
    </row>
    <row r="975" spans="1:29" x14ac:dyDescent="0.35">
      <c r="A975" t="e" cm="1">
        <f t="array" aca="1" ref="A975" ca="1">IF(A974="","",IF(OR(AND(A974+1&gt;=$AF$1,A974+1&lt;=$AF$2),AND(A974+1&gt;=$AF$6,A974+1&lt;=$AF$7),AND(A974+1&gt;=$AF$3,A974+1&lt;=$AF$4),AND(A974+1&gt;=$AF$8,A974+1&lt;=$AF$9),A974+1=$AF$5),IF(NOT(ISBLANK(INDIRECT("template!"&amp;"P"&amp;A974+1))),A974+1,IF(NOT(ISBLANK(INDIRECT("template!"&amp;"P"&amp;A974+2))),A974+2,A974+3)),IF(A974=$AF$2,$AF$3,IF(A974=$AF$4,$AF$5,IF(A974=$AF$5,$AF$6,IF(A974=$AF$7,$AF$8,""))))))</f>
        <v>#REF!</v>
      </c>
      <c r="B975" t="e">
        <f t="shared" ca="1" si="87"/>
        <v>#REF!</v>
      </c>
      <c r="C975" t="e" cm="1">
        <f t="array" aca="1" ref="C975" ca="1">IF(A975="","",IF(B975="safety","safety costs",INDIRECT("template!"&amp;"B"&amp;A975)))</f>
        <v>#REF!</v>
      </c>
      <c r="D975" t="e" cm="1">
        <f t="array" aca="1" ref="D975" ca="1">IF(OR(A975="",B975="safety"),"",INDIRECT("template!"&amp;"C"&amp;A975))</f>
        <v>#REF!</v>
      </c>
      <c r="E975" t="e" cm="1">
        <f t="array" aca="1" ref="E975" ca="1">IF(A975="","",IF(OR(A975=A974+1,A975=A974+2),E974,INDIRECT("template!"&amp;"D"&amp;A975-2)))</f>
        <v>#REF!</v>
      </c>
      <c r="F975" t="e" cm="1">
        <f t="array" aca="1" ref="F975" ca="1">IF(OR(A975="",B975="safety"),"",IF(ISBLANK(IF(A975=A974+1,F974,INDIRECT("template!"&amp;"D"&amp;A975-1))),"",IF(A975=A974+1,F974,INDIRECT("template!"&amp;"D"&amp;A975-1))))</f>
        <v>#REF!</v>
      </c>
      <c r="G975" t="e" cm="1">
        <f t="array" aca="1" ref="G975" ca="1">IF(OR(A975="",B975="safety"),"",IF(ISBLANK(INDIRECT("template!"&amp;"D"&amp;A975)),"",INDIRECT("template!"&amp;"D"&amp;A975)))</f>
        <v>#REF!</v>
      </c>
      <c r="H975" t="e" cm="1">
        <f t="array" aca="1" ref="H975" ca="1">IF(OR(A975="",B975="safety"),"",IF(ISBLANK(INDIRECT("template!"&amp;"E"&amp;A975)),"",INDIRECT("template!"&amp;"E"&amp;A975)))</f>
        <v>#REF!</v>
      </c>
      <c r="I975" t="e" cm="1">
        <f t="array" aca="1" ref="I975" ca="1">IF(OR(A975="",B975="safety"),"",IF(ISBLANK(INDIRECT("template!"&amp;"F"&amp;A975)),"",INDIRECT("template!"&amp;"F"&amp;A975)))</f>
        <v>#REF!</v>
      </c>
      <c r="J975" t="e" cm="1">
        <f t="array" aca="1" ref="J975" ca="1">IF(OR(A975="",B975="safety"),"",IF(ISBLANK(INDIRECT("template!"&amp;"G"&amp;A975)),"",INDIRECT("template!"&amp;"G"&amp;A975)))</f>
        <v>#REF!</v>
      </c>
      <c r="K975" t="e" cm="1">
        <f t="array" aca="1" ref="K975" ca="1">IF(OR(A975="",B975="safety"),"",IF(ISBLANK(INDIRECT("template!"&amp;"H"&amp;A975)),"",INDIRECT("template!"&amp;"H"&amp;A975)))</f>
        <v>#REF!</v>
      </c>
      <c r="L975" t="e" cm="1">
        <f t="array" aca="1" ref="L975" ca="1">IF(OR(A975="",B975="safety"),"",INDIRECT("template!"&amp;"I"&amp;A975))</f>
        <v>#REF!</v>
      </c>
      <c r="M975" t="e" cm="1">
        <f t="array" aca="1" ref="M975" ca="1">IF(OR(A975="",B975="safety"),"",INDIRECT("template!"&amp;"J"&amp;A975))</f>
        <v>#REF!</v>
      </c>
      <c r="N975" t="e" cm="1">
        <f t="array" aca="1" ref="N975" ca="1">IF(OR(A975="",B975="safety"),"",IF(ISBLANK(INDIRECT("template!"&amp;"K"&amp;A975)),"",INDIRECT("template!"&amp;"K"&amp;A975)))</f>
        <v>#REF!</v>
      </c>
      <c r="O975" t="e" cm="1">
        <f t="array" aca="1" ref="O975" ca="1">IF(OR(A975="",B975="safety"),"",INDIRECT("template!"&amp;"L"&amp;A975))</f>
        <v>#REF!</v>
      </c>
      <c r="P975" t="e" cm="1">
        <f t="array" aca="1" ref="P975" ca="1">IF(OR(A975="",B975="safety"),"",INDIRECT("template!"&amp;"M"&amp;A975))</f>
        <v>#REF!</v>
      </c>
      <c r="Q975" t="e">
        <f t="shared" ca="1" si="88"/>
        <v>#REF!</v>
      </c>
      <c r="R975" t="e">
        <f t="shared" ca="1" si="89"/>
        <v>#REF!</v>
      </c>
      <c r="S975" t="e">
        <f t="shared" ca="1" si="90"/>
        <v>#REF!</v>
      </c>
      <c r="T975" t="e">
        <f t="shared" ca="1" si="91"/>
        <v>#REF!</v>
      </c>
      <c r="U975" t="e" cm="1">
        <f t="array" aca="1" ref="U975" ca="1">IF(A975="","",IF(E975="","",IF(B975="safety",INDIRECT("template!"&amp;"P"&amp;A975),Q975+R975)))</f>
        <v>#REF!</v>
      </c>
      <c r="V975" t="e" cm="1">
        <f t="array" aca="1" ref="V975" ca="1">IF(A975="","",IF(E975="","",IF(B975="safety",INDIRECT("template!"&amp;"P"&amp;A975),S975+T975)))</f>
        <v>#REF!</v>
      </c>
      <c r="W975" t="e">
        <f ca="1">IF(A975="","",IF(E975="","",#REF!))</f>
        <v>#REF!</v>
      </c>
      <c r="X975" t="e">
        <f ca="1">IF(A975="","",IF(E975="","",#REF!))</f>
        <v>#REF!</v>
      </c>
      <c r="Y975" s="39" t="e">
        <f ca="1">IF(A975="","",IF(E975="","",#REF!))</f>
        <v>#REF!</v>
      </c>
      <c r="Z975" t="e">
        <f ca="1">IF(A975="","",IF(E975="","",#REF!))</f>
        <v>#REF!</v>
      </c>
      <c r="AA975" t="e">
        <f ca="1">IF(A975="","",IF(E975="","",#REF!))</f>
        <v>#REF!</v>
      </c>
      <c r="AB975" t="e">
        <f ca="1">IF(A975="","",IF(E975="","",#REF!))</f>
        <v>#REF!</v>
      </c>
      <c r="AC975" t="e">
        <f t="shared" ca="1" si="92"/>
        <v>#REF!</v>
      </c>
    </row>
    <row r="976" spans="1:29" x14ac:dyDescent="0.35">
      <c r="A976" t="e" cm="1">
        <f t="array" aca="1" ref="A976" ca="1">IF(A975="","",IF(OR(AND(A975+1&gt;=$AF$1,A975+1&lt;=$AF$2),AND(A975+1&gt;=$AF$6,A975+1&lt;=$AF$7),AND(A975+1&gt;=$AF$3,A975+1&lt;=$AF$4),AND(A975+1&gt;=$AF$8,A975+1&lt;=$AF$9),A975+1=$AF$5),IF(NOT(ISBLANK(INDIRECT("template!"&amp;"P"&amp;A975+1))),A975+1,IF(NOT(ISBLANK(INDIRECT("template!"&amp;"P"&amp;A975+2))),A975+2,A975+3)),IF(A975=$AF$2,$AF$3,IF(A975=$AF$4,$AF$5,IF(A975=$AF$5,$AF$6,IF(A975=$AF$7,$AF$8,""))))))</f>
        <v>#REF!</v>
      </c>
      <c r="B976" t="e">
        <f t="shared" ca="1" si="87"/>
        <v>#REF!</v>
      </c>
      <c r="C976" t="e" cm="1">
        <f t="array" aca="1" ref="C976" ca="1">IF(A976="","",IF(B976="safety","safety costs",INDIRECT("template!"&amp;"B"&amp;A976)))</f>
        <v>#REF!</v>
      </c>
      <c r="D976" t="e" cm="1">
        <f t="array" aca="1" ref="D976" ca="1">IF(OR(A976="",B976="safety"),"",INDIRECT("template!"&amp;"C"&amp;A976))</f>
        <v>#REF!</v>
      </c>
      <c r="E976" t="e" cm="1">
        <f t="array" aca="1" ref="E976" ca="1">IF(A976="","",IF(OR(A976=A975+1,A976=A975+2),E975,INDIRECT("template!"&amp;"D"&amp;A976-2)))</f>
        <v>#REF!</v>
      </c>
      <c r="F976" t="e" cm="1">
        <f t="array" aca="1" ref="F976" ca="1">IF(OR(A976="",B976="safety"),"",IF(ISBLANK(IF(A976=A975+1,F975,INDIRECT("template!"&amp;"D"&amp;A976-1))),"",IF(A976=A975+1,F975,INDIRECT("template!"&amp;"D"&amp;A976-1))))</f>
        <v>#REF!</v>
      </c>
      <c r="G976" t="e" cm="1">
        <f t="array" aca="1" ref="G976" ca="1">IF(OR(A976="",B976="safety"),"",IF(ISBLANK(INDIRECT("template!"&amp;"D"&amp;A976)),"",INDIRECT("template!"&amp;"D"&amp;A976)))</f>
        <v>#REF!</v>
      </c>
      <c r="H976" t="e" cm="1">
        <f t="array" aca="1" ref="H976" ca="1">IF(OR(A976="",B976="safety"),"",IF(ISBLANK(INDIRECT("template!"&amp;"E"&amp;A976)),"",INDIRECT("template!"&amp;"E"&amp;A976)))</f>
        <v>#REF!</v>
      </c>
      <c r="I976" t="e" cm="1">
        <f t="array" aca="1" ref="I976" ca="1">IF(OR(A976="",B976="safety"),"",IF(ISBLANK(INDIRECT("template!"&amp;"F"&amp;A976)),"",INDIRECT("template!"&amp;"F"&amp;A976)))</f>
        <v>#REF!</v>
      </c>
      <c r="J976" t="e" cm="1">
        <f t="array" aca="1" ref="J976" ca="1">IF(OR(A976="",B976="safety"),"",IF(ISBLANK(INDIRECT("template!"&amp;"G"&amp;A976)),"",INDIRECT("template!"&amp;"G"&amp;A976)))</f>
        <v>#REF!</v>
      </c>
      <c r="K976" t="e" cm="1">
        <f t="array" aca="1" ref="K976" ca="1">IF(OR(A976="",B976="safety"),"",IF(ISBLANK(INDIRECT("template!"&amp;"H"&amp;A976)),"",INDIRECT("template!"&amp;"H"&amp;A976)))</f>
        <v>#REF!</v>
      </c>
      <c r="L976" t="e" cm="1">
        <f t="array" aca="1" ref="L976" ca="1">IF(OR(A976="",B976="safety"),"",INDIRECT("template!"&amp;"I"&amp;A976))</f>
        <v>#REF!</v>
      </c>
      <c r="M976" t="e" cm="1">
        <f t="array" aca="1" ref="M976" ca="1">IF(OR(A976="",B976="safety"),"",INDIRECT("template!"&amp;"J"&amp;A976))</f>
        <v>#REF!</v>
      </c>
      <c r="N976" t="e" cm="1">
        <f t="array" aca="1" ref="N976" ca="1">IF(OR(A976="",B976="safety"),"",IF(ISBLANK(INDIRECT("template!"&amp;"K"&amp;A976)),"",INDIRECT("template!"&amp;"K"&amp;A976)))</f>
        <v>#REF!</v>
      </c>
      <c r="O976" t="e" cm="1">
        <f t="array" aca="1" ref="O976" ca="1">IF(OR(A976="",B976="safety"),"",INDIRECT("template!"&amp;"L"&amp;A976))</f>
        <v>#REF!</v>
      </c>
      <c r="P976" t="e" cm="1">
        <f t="array" aca="1" ref="P976" ca="1">IF(OR(A976="",B976="safety"),"",INDIRECT("template!"&amp;"M"&amp;A976))</f>
        <v>#REF!</v>
      </c>
      <c r="Q976" t="e">
        <f t="shared" ca="1" si="88"/>
        <v>#REF!</v>
      </c>
      <c r="R976" t="e">
        <f t="shared" ca="1" si="89"/>
        <v>#REF!</v>
      </c>
      <c r="S976" t="e">
        <f t="shared" ca="1" si="90"/>
        <v>#REF!</v>
      </c>
      <c r="T976" t="e">
        <f t="shared" ca="1" si="91"/>
        <v>#REF!</v>
      </c>
      <c r="U976" t="e" cm="1">
        <f t="array" aca="1" ref="U976" ca="1">IF(A976="","",IF(E976="","",IF(B976="safety",INDIRECT("template!"&amp;"P"&amp;A976),Q976+R976)))</f>
        <v>#REF!</v>
      </c>
      <c r="V976" t="e" cm="1">
        <f t="array" aca="1" ref="V976" ca="1">IF(A976="","",IF(E976="","",IF(B976="safety",INDIRECT("template!"&amp;"P"&amp;A976),S976+T976)))</f>
        <v>#REF!</v>
      </c>
      <c r="W976" t="e">
        <f ca="1">IF(A976="","",IF(E976="","",#REF!))</f>
        <v>#REF!</v>
      </c>
      <c r="X976" t="e">
        <f ca="1">IF(A976="","",IF(E976="","",#REF!))</f>
        <v>#REF!</v>
      </c>
      <c r="Y976" s="39" t="e">
        <f ca="1">IF(A976="","",IF(E976="","",#REF!))</f>
        <v>#REF!</v>
      </c>
      <c r="Z976" t="e">
        <f ca="1">IF(A976="","",IF(E976="","",#REF!))</f>
        <v>#REF!</v>
      </c>
      <c r="AA976" t="e">
        <f ca="1">IF(A976="","",IF(E976="","",#REF!))</f>
        <v>#REF!</v>
      </c>
      <c r="AB976" t="e">
        <f ca="1">IF(A976="","",IF(E976="","",#REF!))</f>
        <v>#REF!</v>
      </c>
      <c r="AC976" t="e">
        <f t="shared" ca="1" si="92"/>
        <v>#REF!</v>
      </c>
    </row>
    <row r="977" spans="1:29" x14ac:dyDescent="0.35">
      <c r="A977" t="e" cm="1">
        <f t="array" aca="1" ref="A977" ca="1">IF(A976="","",IF(OR(AND(A976+1&gt;=$AF$1,A976+1&lt;=$AF$2),AND(A976+1&gt;=$AF$6,A976+1&lt;=$AF$7),AND(A976+1&gt;=$AF$3,A976+1&lt;=$AF$4),AND(A976+1&gt;=$AF$8,A976+1&lt;=$AF$9),A976+1=$AF$5),IF(NOT(ISBLANK(INDIRECT("template!"&amp;"P"&amp;A976+1))),A976+1,IF(NOT(ISBLANK(INDIRECT("template!"&amp;"P"&amp;A976+2))),A976+2,A976+3)),IF(A976=$AF$2,$AF$3,IF(A976=$AF$4,$AF$5,IF(A976=$AF$5,$AF$6,IF(A976=$AF$7,$AF$8,""))))))</f>
        <v>#REF!</v>
      </c>
      <c r="B977" t="e">
        <f t="shared" ca="1" si="87"/>
        <v>#REF!</v>
      </c>
      <c r="C977" t="e" cm="1">
        <f t="array" aca="1" ref="C977" ca="1">IF(A977="","",IF(B977="safety","safety costs",INDIRECT("template!"&amp;"B"&amp;A977)))</f>
        <v>#REF!</v>
      </c>
      <c r="D977" t="e" cm="1">
        <f t="array" aca="1" ref="D977" ca="1">IF(OR(A977="",B977="safety"),"",INDIRECT("template!"&amp;"C"&amp;A977))</f>
        <v>#REF!</v>
      </c>
      <c r="E977" t="e" cm="1">
        <f t="array" aca="1" ref="E977" ca="1">IF(A977="","",IF(OR(A977=A976+1,A977=A976+2),E976,INDIRECT("template!"&amp;"D"&amp;A977-2)))</f>
        <v>#REF!</v>
      </c>
      <c r="F977" t="e" cm="1">
        <f t="array" aca="1" ref="F977" ca="1">IF(OR(A977="",B977="safety"),"",IF(ISBLANK(IF(A977=A976+1,F976,INDIRECT("template!"&amp;"D"&amp;A977-1))),"",IF(A977=A976+1,F976,INDIRECT("template!"&amp;"D"&amp;A977-1))))</f>
        <v>#REF!</v>
      </c>
      <c r="G977" t="e" cm="1">
        <f t="array" aca="1" ref="G977" ca="1">IF(OR(A977="",B977="safety"),"",IF(ISBLANK(INDIRECT("template!"&amp;"D"&amp;A977)),"",INDIRECT("template!"&amp;"D"&amp;A977)))</f>
        <v>#REF!</v>
      </c>
      <c r="H977" t="e" cm="1">
        <f t="array" aca="1" ref="H977" ca="1">IF(OR(A977="",B977="safety"),"",IF(ISBLANK(INDIRECT("template!"&amp;"E"&amp;A977)),"",INDIRECT("template!"&amp;"E"&amp;A977)))</f>
        <v>#REF!</v>
      </c>
      <c r="I977" t="e" cm="1">
        <f t="array" aca="1" ref="I977" ca="1">IF(OR(A977="",B977="safety"),"",IF(ISBLANK(INDIRECT("template!"&amp;"F"&amp;A977)),"",INDIRECT("template!"&amp;"F"&amp;A977)))</f>
        <v>#REF!</v>
      </c>
      <c r="J977" t="e" cm="1">
        <f t="array" aca="1" ref="J977" ca="1">IF(OR(A977="",B977="safety"),"",IF(ISBLANK(INDIRECT("template!"&amp;"G"&amp;A977)),"",INDIRECT("template!"&amp;"G"&amp;A977)))</f>
        <v>#REF!</v>
      </c>
      <c r="K977" t="e" cm="1">
        <f t="array" aca="1" ref="K977" ca="1">IF(OR(A977="",B977="safety"),"",IF(ISBLANK(INDIRECT("template!"&amp;"H"&amp;A977)),"",INDIRECT("template!"&amp;"H"&amp;A977)))</f>
        <v>#REF!</v>
      </c>
      <c r="L977" t="e" cm="1">
        <f t="array" aca="1" ref="L977" ca="1">IF(OR(A977="",B977="safety"),"",INDIRECT("template!"&amp;"I"&amp;A977))</f>
        <v>#REF!</v>
      </c>
      <c r="M977" t="e" cm="1">
        <f t="array" aca="1" ref="M977" ca="1">IF(OR(A977="",B977="safety"),"",INDIRECT("template!"&amp;"J"&amp;A977))</f>
        <v>#REF!</v>
      </c>
      <c r="N977" t="e" cm="1">
        <f t="array" aca="1" ref="N977" ca="1">IF(OR(A977="",B977="safety"),"",IF(ISBLANK(INDIRECT("template!"&amp;"K"&amp;A977)),"",INDIRECT("template!"&amp;"K"&amp;A977)))</f>
        <v>#REF!</v>
      </c>
      <c r="O977" t="e" cm="1">
        <f t="array" aca="1" ref="O977" ca="1">IF(OR(A977="",B977="safety"),"",INDIRECT("template!"&amp;"L"&amp;A977))</f>
        <v>#REF!</v>
      </c>
      <c r="P977" t="e" cm="1">
        <f t="array" aca="1" ref="P977" ca="1">IF(OR(A977="",B977="safety"),"",INDIRECT("template!"&amp;"M"&amp;A977))</f>
        <v>#REF!</v>
      </c>
      <c r="Q977" t="e">
        <f t="shared" ca="1" si="88"/>
        <v>#REF!</v>
      </c>
      <c r="R977" t="e">
        <f t="shared" ca="1" si="89"/>
        <v>#REF!</v>
      </c>
      <c r="S977" t="e">
        <f t="shared" ca="1" si="90"/>
        <v>#REF!</v>
      </c>
      <c r="T977" t="e">
        <f t="shared" ca="1" si="91"/>
        <v>#REF!</v>
      </c>
      <c r="U977" t="e" cm="1">
        <f t="array" aca="1" ref="U977" ca="1">IF(A977="","",IF(E977="","",IF(B977="safety",INDIRECT("template!"&amp;"P"&amp;A977),Q977+R977)))</f>
        <v>#REF!</v>
      </c>
      <c r="V977" t="e" cm="1">
        <f t="array" aca="1" ref="V977" ca="1">IF(A977="","",IF(E977="","",IF(B977="safety",INDIRECT("template!"&amp;"P"&amp;A977),S977+T977)))</f>
        <v>#REF!</v>
      </c>
      <c r="W977" t="e">
        <f ca="1">IF(A977="","",IF(E977="","",#REF!))</f>
        <v>#REF!</v>
      </c>
      <c r="X977" t="e">
        <f ca="1">IF(A977="","",IF(E977="","",#REF!))</f>
        <v>#REF!</v>
      </c>
      <c r="Y977" s="39" t="e">
        <f ca="1">IF(A977="","",IF(E977="","",#REF!))</f>
        <v>#REF!</v>
      </c>
      <c r="Z977" t="e">
        <f ca="1">IF(A977="","",IF(E977="","",#REF!))</f>
        <v>#REF!</v>
      </c>
      <c r="AA977" t="e">
        <f ca="1">IF(A977="","",IF(E977="","",#REF!))</f>
        <v>#REF!</v>
      </c>
      <c r="AB977" t="e">
        <f ca="1">IF(A977="","",IF(E977="","",#REF!))</f>
        <v>#REF!</v>
      </c>
      <c r="AC977" t="e">
        <f t="shared" ca="1" si="92"/>
        <v>#REF!</v>
      </c>
    </row>
    <row r="978" spans="1:29" x14ac:dyDescent="0.35">
      <c r="A978" t="e" cm="1">
        <f t="array" aca="1" ref="A978" ca="1">IF(A977="","",IF(OR(AND(A977+1&gt;=$AF$1,A977+1&lt;=$AF$2),AND(A977+1&gt;=$AF$6,A977+1&lt;=$AF$7),AND(A977+1&gt;=$AF$3,A977+1&lt;=$AF$4),AND(A977+1&gt;=$AF$8,A977+1&lt;=$AF$9),A977+1=$AF$5),IF(NOT(ISBLANK(INDIRECT("template!"&amp;"P"&amp;A977+1))),A977+1,IF(NOT(ISBLANK(INDIRECT("template!"&amp;"P"&amp;A977+2))),A977+2,A977+3)),IF(A977=$AF$2,$AF$3,IF(A977=$AF$4,$AF$5,IF(A977=$AF$5,$AF$6,IF(A977=$AF$7,$AF$8,""))))))</f>
        <v>#REF!</v>
      </c>
      <c r="B978" t="e">
        <f t="shared" ca="1" si="87"/>
        <v>#REF!</v>
      </c>
      <c r="C978" t="e" cm="1">
        <f t="array" aca="1" ref="C978" ca="1">IF(A978="","",IF(B978="safety","safety costs",INDIRECT("template!"&amp;"B"&amp;A978)))</f>
        <v>#REF!</v>
      </c>
      <c r="D978" t="e" cm="1">
        <f t="array" aca="1" ref="D978" ca="1">IF(OR(A978="",B978="safety"),"",INDIRECT("template!"&amp;"C"&amp;A978))</f>
        <v>#REF!</v>
      </c>
      <c r="E978" t="e" cm="1">
        <f t="array" aca="1" ref="E978" ca="1">IF(A978="","",IF(OR(A978=A977+1,A978=A977+2),E977,INDIRECT("template!"&amp;"D"&amp;A978-2)))</f>
        <v>#REF!</v>
      </c>
      <c r="F978" t="e" cm="1">
        <f t="array" aca="1" ref="F978" ca="1">IF(OR(A978="",B978="safety"),"",IF(ISBLANK(IF(A978=A977+1,F977,INDIRECT("template!"&amp;"D"&amp;A978-1))),"",IF(A978=A977+1,F977,INDIRECT("template!"&amp;"D"&amp;A978-1))))</f>
        <v>#REF!</v>
      </c>
      <c r="G978" t="e" cm="1">
        <f t="array" aca="1" ref="G978" ca="1">IF(OR(A978="",B978="safety"),"",IF(ISBLANK(INDIRECT("template!"&amp;"D"&amp;A978)),"",INDIRECT("template!"&amp;"D"&amp;A978)))</f>
        <v>#REF!</v>
      </c>
      <c r="H978" t="e" cm="1">
        <f t="array" aca="1" ref="H978" ca="1">IF(OR(A978="",B978="safety"),"",IF(ISBLANK(INDIRECT("template!"&amp;"E"&amp;A978)),"",INDIRECT("template!"&amp;"E"&amp;A978)))</f>
        <v>#REF!</v>
      </c>
      <c r="I978" t="e" cm="1">
        <f t="array" aca="1" ref="I978" ca="1">IF(OR(A978="",B978="safety"),"",IF(ISBLANK(INDIRECT("template!"&amp;"F"&amp;A978)),"",INDIRECT("template!"&amp;"F"&amp;A978)))</f>
        <v>#REF!</v>
      </c>
      <c r="J978" t="e" cm="1">
        <f t="array" aca="1" ref="J978" ca="1">IF(OR(A978="",B978="safety"),"",IF(ISBLANK(INDIRECT("template!"&amp;"G"&amp;A978)),"",INDIRECT("template!"&amp;"G"&amp;A978)))</f>
        <v>#REF!</v>
      </c>
      <c r="K978" t="e" cm="1">
        <f t="array" aca="1" ref="K978" ca="1">IF(OR(A978="",B978="safety"),"",IF(ISBLANK(INDIRECT("template!"&amp;"H"&amp;A978)),"",INDIRECT("template!"&amp;"H"&amp;A978)))</f>
        <v>#REF!</v>
      </c>
      <c r="L978" t="e" cm="1">
        <f t="array" aca="1" ref="L978" ca="1">IF(OR(A978="",B978="safety"),"",INDIRECT("template!"&amp;"I"&amp;A978))</f>
        <v>#REF!</v>
      </c>
      <c r="M978" t="e" cm="1">
        <f t="array" aca="1" ref="M978" ca="1">IF(OR(A978="",B978="safety"),"",INDIRECT("template!"&amp;"J"&amp;A978))</f>
        <v>#REF!</v>
      </c>
      <c r="N978" t="e" cm="1">
        <f t="array" aca="1" ref="N978" ca="1">IF(OR(A978="",B978="safety"),"",IF(ISBLANK(INDIRECT("template!"&amp;"K"&amp;A978)),"",INDIRECT("template!"&amp;"K"&amp;A978)))</f>
        <v>#REF!</v>
      </c>
      <c r="O978" t="e" cm="1">
        <f t="array" aca="1" ref="O978" ca="1">IF(OR(A978="",B978="safety"),"",INDIRECT("template!"&amp;"L"&amp;A978))</f>
        <v>#REF!</v>
      </c>
      <c r="P978" t="e" cm="1">
        <f t="array" aca="1" ref="P978" ca="1">IF(OR(A978="",B978="safety"),"",INDIRECT("template!"&amp;"M"&amp;A978))</f>
        <v>#REF!</v>
      </c>
      <c r="Q978" t="e">
        <f t="shared" ca="1" si="88"/>
        <v>#REF!</v>
      </c>
      <c r="R978" t="e">
        <f t="shared" ca="1" si="89"/>
        <v>#REF!</v>
      </c>
      <c r="S978" t="e">
        <f t="shared" ca="1" si="90"/>
        <v>#REF!</v>
      </c>
      <c r="T978" t="e">
        <f t="shared" ca="1" si="91"/>
        <v>#REF!</v>
      </c>
      <c r="U978" t="e" cm="1">
        <f t="array" aca="1" ref="U978" ca="1">IF(A978="","",IF(E978="","",IF(B978="safety",INDIRECT("template!"&amp;"P"&amp;A978),Q978+R978)))</f>
        <v>#REF!</v>
      </c>
      <c r="V978" t="e" cm="1">
        <f t="array" aca="1" ref="V978" ca="1">IF(A978="","",IF(E978="","",IF(B978="safety",INDIRECT("template!"&amp;"P"&amp;A978),S978+T978)))</f>
        <v>#REF!</v>
      </c>
      <c r="W978" t="e">
        <f ca="1">IF(A978="","",IF(E978="","",#REF!))</f>
        <v>#REF!</v>
      </c>
      <c r="X978" t="e">
        <f ca="1">IF(A978="","",IF(E978="","",#REF!))</f>
        <v>#REF!</v>
      </c>
      <c r="Y978" s="39" t="e">
        <f ca="1">IF(A978="","",IF(E978="","",#REF!))</f>
        <v>#REF!</v>
      </c>
      <c r="Z978" t="e">
        <f ca="1">IF(A978="","",IF(E978="","",#REF!))</f>
        <v>#REF!</v>
      </c>
      <c r="AA978" t="e">
        <f ca="1">IF(A978="","",IF(E978="","",#REF!))</f>
        <v>#REF!</v>
      </c>
      <c r="AB978" t="e">
        <f ca="1">IF(A978="","",IF(E978="","",#REF!))</f>
        <v>#REF!</v>
      </c>
      <c r="AC978" t="e">
        <f t="shared" ca="1" si="92"/>
        <v>#REF!</v>
      </c>
    </row>
    <row r="979" spans="1:29" x14ac:dyDescent="0.35">
      <c r="A979" t="e" cm="1">
        <f t="array" aca="1" ref="A979" ca="1">IF(A978="","",IF(OR(AND(A978+1&gt;=$AF$1,A978+1&lt;=$AF$2),AND(A978+1&gt;=$AF$6,A978+1&lt;=$AF$7),AND(A978+1&gt;=$AF$3,A978+1&lt;=$AF$4),AND(A978+1&gt;=$AF$8,A978+1&lt;=$AF$9),A978+1=$AF$5),IF(NOT(ISBLANK(INDIRECT("template!"&amp;"P"&amp;A978+1))),A978+1,IF(NOT(ISBLANK(INDIRECT("template!"&amp;"P"&amp;A978+2))),A978+2,A978+3)),IF(A978=$AF$2,$AF$3,IF(A978=$AF$4,$AF$5,IF(A978=$AF$5,$AF$6,IF(A978=$AF$7,$AF$8,""))))))</f>
        <v>#REF!</v>
      </c>
      <c r="B979" t="e">
        <f t="shared" ca="1" si="87"/>
        <v>#REF!</v>
      </c>
      <c r="C979" t="e" cm="1">
        <f t="array" aca="1" ref="C979" ca="1">IF(A979="","",IF(B979="safety","safety costs",INDIRECT("template!"&amp;"B"&amp;A979)))</f>
        <v>#REF!</v>
      </c>
      <c r="D979" t="e" cm="1">
        <f t="array" aca="1" ref="D979" ca="1">IF(OR(A979="",B979="safety"),"",INDIRECT("template!"&amp;"C"&amp;A979))</f>
        <v>#REF!</v>
      </c>
      <c r="E979" t="e" cm="1">
        <f t="array" aca="1" ref="E979" ca="1">IF(A979="","",IF(OR(A979=A978+1,A979=A978+2),E978,INDIRECT("template!"&amp;"D"&amp;A979-2)))</f>
        <v>#REF!</v>
      </c>
      <c r="F979" t="e" cm="1">
        <f t="array" aca="1" ref="F979" ca="1">IF(OR(A979="",B979="safety"),"",IF(ISBLANK(IF(A979=A978+1,F978,INDIRECT("template!"&amp;"D"&amp;A979-1))),"",IF(A979=A978+1,F978,INDIRECT("template!"&amp;"D"&amp;A979-1))))</f>
        <v>#REF!</v>
      </c>
      <c r="G979" t="e" cm="1">
        <f t="array" aca="1" ref="G979" ca="1">IF(OR(A979="",B979="safety"),"",IF(ISBLANK(INDIRECT("template!"&amp;"D"&amp;A979)),"",INDIRECT("template!"&amp;"D"&amp;A979)))</f>
        <v>#REF!</v>
      </c>
      <c r="H979" t="e" cm="1">
        <f t="array" aca="1" ref="H979" ca="1">IF(OR(A979="",B979="safety"),"",IF(ISBLANK(INDIRECT("template!"&amp;"E"&amp;A979)),"",INDIRECT("template!"&amp;"E"&amp;A979)))</f>
        <v>#REF!</v>
      </c>
      <c r="I979" t="e" cm="1">
        <f t="array" aca="1" ref="I979" ca="1">IF(OR(A979="",B979="safety"),"",IF(ISBLANK(INDIRECT("template!"&amp;"F"&amp;A979)),"",INDIRECT("template!"&amp;"F"&amp;A979)))</f>
        <v>#REF!</v>
      </c>
      <c r="J979" t="e" cm="1">
        <f t="array" aca="1" ref="J979" ca="1">IF(OR(A979="",B979="safety"),"",IF(ISBLANK(INDIRECT("template!"&amp;"G"&amp;A979)),"",INDIRECT("template!"&amp;"G"&amp;A979)))</f>
        <v>#REF!</v>
      </c>
      <c r="K979" t="e" cm="1">
        <f t="array" aca="1" ref="K979" ca="1">IF(OR(A979="",B979="safety"),"",IF(ISBLANK(INDIRECT("template!"&amp;"H"&amp;A979)),"",INDIRECT("template!"&amp;"H"&amp;A979)))</f>
        <v>#REF!</v>
      </c>
      <c r="L979" t="e" cm="1">
        <f t="array" aca="1" ref="L979" ca="1">IF(OR(A979="",B979="safety"),"",INDIRECT("template!"&amp;"I"&amp;A979))</f>
        <v>#REF!</v>
      </c>
      <c r="M979" t="e" cm="1">
        <f t="array" aca="1" ref="M979" ca="1">IF(OR(A979="",B979="safety"),"",INDIRECT("template!"&amp;"J"&amp;A979))</f>
        <v>#REF!</v>
      </c>
      <c r="N979" t="e" cm="1">
        <f t="array" aca="1" ref="N979" ca="1">IF(OR(A979="",B979="safety"),"",IF(ISBLANK(INDIRECT("template!"&amp;"K"&amp;A979)),"",INDIRECT("template!"&amp;"K"&amp;A979)))</f>
        <v>#REF!</v>
      </c>
      <c r="O979" t="e" cm="1">
        <f t="array" aca="1" ref="O979" ca="1">IF(OR(A979="",B979="safety"),"",INDIRECT("template!"&amp;"L"&amp;A979))</f>
        <v>#REF!</v>
      </c>
      <c r="P979" t="e" cm="1">
        <f t="array" aca="1" ref="P979" ca="1">IF(OR(A979="",B979="safety"),"",INDIRECT("template!"&amp;"M"&amp;A979))</f>
        <v>#REF!</v>
      </c>
      <c r="Q979" t="e">
        <f t="shared" ca="1" si="88"/>
        <v>#REF!</v>
      </c>
      <c r="R979" t="e">
        <f t="shared" ca="1" si="89"/>
        <v>#REF!</v>
      </c>
      <c r="S979" t="e">
        <f t="shared" ca="1" si="90"/>
        <v>#REF!</v>
      </c>
      <c r="T979" t="e">
        <f t="shared" ca="1" si="91"/>
        <v>#REF!</v>
      </c>
      <c r="U979" t="e" cm="1">
        <f t="array" aca="1" ref="U979" ca="1">IF(A979="","",IF(E979="","",IF(B979="safety",INDIRECT("template!"&amp;"P"&amp;A979),Q979+R979)))</f>
        <v>#REF!</v>
      </c>
      <c r="V979" t="e" cm="1">
        <f t="array" aca="1" ref="V979" ca="1">IF(A979="","",IF(E979="","",IF(B979="safety",INDIRECT("template!"&amp;"P"&amp;A979),S979+T979)))</f>
        <v>#REF!</v>
      </c>
      <c r="W979" t="e">
        <f ca="1">IF(A979="","",IF(E979="","",#REF!))</f>
        <v>#REF!</v>
      </c>
      <c r="X979" t="e">
        <f ca="1">IF(A979="","",IF(E979="","",#REF!))</f>
        <v>#REF!</v>
      </c>
      <c r="Y979" s="39" t="e">
        <f ca="1">IF(A979="","",IF(E979="","",#REF!))</f>
        <v>#REF!</v>
      </c>
      <c r="Z979" t="e">
        <f ca="1">IF(A979="","",IF(E979="","",#REF!))</f>
        <v>#REF!</v>
      </c>
      <c r="AA979" t="e">
        <f ca="1">IF(A979="","",IF(E979="","",#REF!))</f>
        <v>#REF!</v>
      </c>
      <c r="AB979" t="e">
        <f ca="1">IF(A979="","",IF(E979="","",#REF!))</f>
        <v>#REF!</v>
      </c>
      <c r="AC979" t="e">
        <f t="shared" ca="1" si="92"/>
        <v>#REF!</v>
      </c>
    </row>
    <row r="980" spans="1:29" x14ac:dyDescent="0.35">
      <c r="A980" t="e" cm="1">
        <f t="array" aca="1" ref="A980" ca="1">IF(A979="","",IF(OR(AND(A979+1&gt;=$AF$1,A979+1&lt;=$AF$2),AND(A979+1&gt;=$AF$6,A979+1&lt;=$AF$7),AND(A979+1&gt;=$AF$3,A979+1&lt;=$AF$4),AND(A979+1&gt;=$AF$8,A979+1&lt;=$AF$9),A979+1=$AF$5),IF(NOT(ISBLANK(INDIRECT("template!"&amp;"P"&amp;A979+1))),A979+1,IF(NOT(ISBLANK(INDIRECT("template!"&amp;"P"&amp;A979+2))),A979+2,A979+3)),IF(A979=$AF$2,$AF$3,IF(A979=$AF$4,$AF$5,IF(A979=$AF$5,$AF$6,IF(A979=$AF$7,$AF$8,""))))))</f>
        <v>#REF!</v>
      </c>
      <c r="B980" t="e">
        <f t="shared" ca="1" si="87"/>
        <v>#REF!</v>
      </c>
      <c r="C980" t="e" cm="1">
        <f t="array" aca="1" ref="C980" ca="1">IF(A980="","",IF(B980="safety","safety costs",INDIRECT("template!"&amp;"B"&amp;A980)))</f>
        <v>#REF!</v>
      </c>
      <c r="D980" t="e" cm="1">
        <f t="array" aca="1" ref="D980" ca="1">IF(OR(A980="",B980="safety"),"",INDIRECT("template!"&amp;"C"&amp;A980))</f>
        <v>#REF!</v>
      </c>
      <c r="E980" t="e" cm="1">
        <f t="array" aca="1" ref="E980" ca="1">IF(A980="","",IF(OR(A980=A979+1,A980=A979+2),E979,INDIRECT("template!"&amp;"D"&amp;A980-2)))</f>
        <v>#REF!</v>
      </c>
      <c r="F980" t="e" cm="1">
        <f t="array" aca="1" ref="F980" ca="1">IF(OR(A980="",B980="safety"),"",IF(ISBLANK(IF(A980=A979+1,F979,INDIRECT("template!"&amp;"D"&amp;A980-1))),"",IF(A980=A979+1,F979,INDIRECT("template!"&amp;"D"&amp;A980-1))))</f>
        <v>#REF!</v>
      </c>
      <c r="G980" t="e" cm="1">
        <f t="array" aca="1" ref="G980" ca="1">IF(OR(A980="",B980="safety"),"",IF(ISBLANK(INDIRECT("template!"&amp;"D"&amp;A980)),"",INDIRECT("template!"&amp;"D"&amp;A980)))</f>
        <v>#REF!</v>
      </c>
      <c r="H980" t="e" cm="1">
        <f t="array" aca="1" ref="H980" ca="1">IF(OR(A980="",B980="safety"),"",IF(ISBLANK(INDIRECT("template!"&amp;"E"&amp;A980)),"",INDIRECT("template!"&amp;"E"&amp;A980)))</f>
        <v>#REF!</v>
      </c>
      <c r="I980" t="e" cm="1">
        <f t="array" aca="1" ref="I980" ca="1">IF(OR(A980="",B980="safety"),"",IF(ISBLANK(INDIRECT("template!"&amp;"F"&amp;A980)),"",INDIRECT("template!"&amp;"F"&amp;A980)))</f>
        <v>#REF!</v>
      </c>
      <c r="J980" t="e" cm="1">
        <f t="array" aca="1" ref="J980" ca="1">IF(OR(A980="",B980="safety"),"",IF(ISBLANK(INDIRECT("template!"&amp;"G"&amp;A980)),"",INDIRECT("template!"&amp;"G"&amp;A980)))</f>
        <v>#REF!</v>
      </c>
      <c r="K980" t="e" cm="1">
        <f t="array" aca="1" ref="K980" ca="1">IF(OR(A980="",B980="safety"),"",IF(ISBLANK(INDIRECT("template!"&amp;"H"&amp;A980)),"",INDIRECT("template!"&amp;"H"&amp;A980)))</f>
        <v>#REF!</v>
      </c>
      <c r="L980" t="e" cm="1">
        <f t="array" aca="1" ref="L980" ca="1">IF(OR(A980="",B980="safety"),"",INDIRECT("template!"&amp;"I"&amp;A980))</f>
        <v>#REF!</v>
      </c>
      <c r="M980" t="e" cm="1">
        <f t="array" aca="1" ref="M980" ca="1">IF(OR(A980="",B980="safety"),"",INDIRECT("template!"&amp;"J"&amp;A980))</f>
        <v>#REF!</v>
      </c>
      <c r="N980" t="e" cm="1">
        <f t="array" aca="1" ref="N980" ca="1">IF(OR(A980="",B980="safety"),"",IF(ISBLANK(INDIRECT("template!"&amp;"K"&amp;A980)),"",INDIRECT("template!"&amp;"K"&amp;A980)))</f>
        <v>#REF!</v>
      </c>
      <c r="O980" t="e" cm="1">
        <f t="array" aca="1" ref="O980" ca="1">IF(OR(A980="",B980="safety"),"",INDIRECT("template!"&amp;"L"&amp;A980))</f>
        <v>#REF!</v>
      </c>
      <c r="P980" t="e" cm="1">
        <f t="array" aca="1" ref="P980" ca="1">IF(OR(A980="",B980="safety"),"",INDIRECT("template!"&amp;"M"&amp;A980))</f>
        <v>#REF!</v>
      </c>
      <c r="Q980" t="e">
        <f t="shared" ca="1" si="88"/>
        <v>#REF!</v>
      </c>
      <c r="R980" t="e">
        <f t="shared" ca="1" si="89"/>
        <v>#REF!</v>
      </c>
      <c r="S980" t="e">
        <f t="shared" ca="1" si="90"/>
        <v>#REF!</v>
      </c>
      <c r="T980" t="e">
        <f t="shared" ca="1" si="91"/>
        <v>#REF!</v>
      </c>
      <c r="U980" t="e" cm="1">
        <f t="array" aca="1" ref="U980" ca="1">IF(A980="","",IF(E980="","",IF(B980="safety",INDIRECT("template!"&amp;"P"&amp;A980),Q980+R980)))</f>
        <v>#REF!</v>
      </c>
      <c r="V980" t="e" cm="1">
        <f t="array" aca="1" ref="V980" ca="1">IF(A980="","",IF(E980="","",IF(B980="safety",INDIRECT("template!"&amp;"P"&amp;A980),S980+T980)))</f>
        <v>#REF!</v>
      </c>
      <c r="W980" t="e">
        <f ca="1">IF(A980="","",IF(E980="","",#REF!))</f>
        <v>#REF!</v>
      </c>
      <c r="X980" t="e">
        <f ca="1">IF(A980="","",IF(E980="","",#REF!))</f>
        <v>#REF!</v>
      </c>
      <c r="Y980" s="39" t="e">
        <f ca="1">IF(A980="","",IF(E980="","",#REF!))</f>
        <v>#REF!</v>
      </c>
      <c r="Z980" t="e">
        <f ca="1">IF(A980="","",IF(E980="","",#REF!))</f>
        <v>#REF!</v>
      </c>
      <c r="AA980" t="e">
        <f ca="1">IF(A980="","",IF(E980="","",#REF!))</f>
        <v>#REF!</v>
      </c>
      <c r="AB980" t="e">
        <f ca="1">IF(A980="","",IF(E980="","",#REF!))</f>
        <v>#REF!</v>
      </c>
      <c r="AC980" t="e">
        <f t="shared" ca="1" si="92"/>
        <v>#REF!</v>
      </c>
    </row>
    <row r="981" spans="1:29" x14ac:dyDescent="0.35">
      <c r="A981" t="e" cm="1">
        <f t="array" aca="1" ref="A981" ca="1">IF(A980="","",IF(OR(AND(A980+1&gt;=$AF$1,A980+1&lt;=$AF$2),AND(A980+1&gt;=$AF$6,A980+1&lt;=$AF$7),AND(A980+1&gt;=$AF$3,A980+1&lt;=$AF$4),AND(A980+1&gt;=$AF$8,A980+1&lt;=$AF$9),A980+1=$AF$5),IF(NOT(ISBLANK(INDIRECT("template!"&amp;"P"&amp;A980+1))),A980+1,IF(NOT(ISBLANK(INDIRECT("template!"&amp;"P"&amp;A980+2))),A980+2,A980+3)),IF(A980=$AF$2,$AF$3,IF(A980=$AF$4,$AF$5,IF(A980=$AF$5,$AF$6,IF(A980=$AF$7,$AF$8,""))))))</f>
        <v>#REF!</v>
      </c>
      <c r="B981" t="e">
        <f t="shared" ca="1" si="87"/>
        <v>#REF!</v>
      </c>
      <c r="C981" t="e" cm="1">
        <f t="array" aca="1" ref="C981" ca="1">IF(A981="","",IF(B981="safety","safety costs",INDIRECT("template!"&amp;"B"&amp;A981)))</f>
        <v>#REF!</v>
      </c>
      <c r="D981" t="e" cm="1">
        <f t="array" aca="1" ref="D981" ca="1">IF(OR(A981="",B981="safety"),"",INDIRECT("template!"&amp;"C"&amp;A981))</f>
        <v>#REF!</v>
      </c>
      <c r="E981" t="e" cm="1">
        <f t="array" aca="1" ref="E981" ca="1">IF(A981="","",IF(OR(A981=A980+1,A981=A980+2),E980,INDIRECT("template!"&amp;"D"&amp;A981-2)))</f>
        <v>#REF!</v>
      </c>
      <c r="F981" t="e" cm="1">
        <f t="array" aca="1" ref="F981" ca="1">IF(OR(A981="",B981="safety"),"",IF(ISBLANK(IF(A981=A980+1,F980,INDIRECT("template!"&amp;"D"&amp;A981-1))),"",IF(A981=A980+1,F980,INDIRECT("template!"&amp;"D"&amp;A981-1))))</f>
        <v>#REF!</v>
      </c>
      <c r="G981" t="e" cm="1">
        <f t="array" aca="1" ref="G981" ca="1">IF(OR(A981="",B981="safety"),"",IF(ISBLANK(INDIRECT("template!"&amp;"D"&amp;A981)),"",INDIRECT("template!"&amp;"D"&amp;A981)))</f>
        <v>#REF!</v>
      </c>
      <c r="H981" t="e" cm="1">
        <f t="array" aca="1" ref="H981" ca="1">IF(OR(A981="",B981="safety"),"",IF(ISBLANK(INDIRECT("template!"&amp;"E"&amp;A981)),"",INDIRECT("template!"&amp;"E"&amp;A981)))</f>
        <v>#REF!</v>
      </c>
      <c r="I981" t="e" cm="1">
        <f t="array" aca="1" ref="I981" ca="1">IF(OR(A981="",B981="safety"),"",IF(ISBLANK(INDIRECT("template!"&amp;"F"&amp;A981)),"",INDIRECT("template!"&amp;"F"&amp;A981)))</f>
        <v>#REF!</v>
      </c>
      <c r="J981" t="e" cm="1">
        <f t="array" aca="1" ref="J981" ca="1">IF(OR(A981="",B981="safety"),"",IF(ISBLANK(INDIRECT("template!"&amp;"G"&amp;A981)),"",INDIRECT("template!"&amp;"G"&amp;A981)))</f>
        <v>#REF!</v>
      </c>
      <c r="K981" t="e" cm="1">
        <f t="array" aca="1" ref="K981" ca="1">IF(OR(A981="",B981="safety"),"",IF(ISBLANK(INDIRECT("template!"&amp;"H"&amp;A981)),"",INDIRECT("template!"&amp;"H"&amp;A981)))</f>
        <v>#REF!</v>
      </c>
      <c r="L981" t="e" cm="1">
        <f t="array" aca="1" ref="L981" ca="1">IF(OR(A981="",B981="safety"),"",INDIRECT("template!"&amp;"I"&amp;A981))</f>
        <v>#REF!</v>
      </c>
      <c r="M981" t="e" cm="1">
        <f t="array" aca="1" ref="M981" ca="1">IF(OR(A981="",B981="safety"),"",INDIRECT("template!"&amp;"J"&amp;A981))</f>
        <v>#REF!</v>
      </c>
      <c r="N981" t="e" cm="1">
        <f t="array" aca="1" ref="N981" ca="1">IF(OR(A981="",B981="safety"),"",IF(ISBLANK(INDIRECT("template!"&amp;"K"&amp;A981)),"",INDIRECT("template!"&amp;"K"&amp;A981)))</f>
        <v>#REF!</v>
      </c>
      <c r="O981" t="e" cm="1">
        <f t="array" aca="1" ref="O981" ca="1">IF(OR(A981="",B981="safety"),"",INDIRECT("template!"&amp;"L"&amp;A981))</f>
        <v>#REF!</v>
      </c>
      <c r="P981" t="e" cm="1">
        <f t="array" aca="1" ref="P981" ca="1">IF(OR(A981="",B981="safety"),"",INDIRECT("template!"&amp;"M"&amp;A981))</f>
        <v>#REF!</v>
      </c>
      <c r="Q981" t="e">
        <f t="shared" ca="1" si="88"/>
        <v>#REF!</v>
      </c>
      <c r="R981" t="e">
        <f t="shared" ca="1" si="89"/>
        <v>#REF!</v>
      </c>
      <c r="S981" t="e">
        <f t="shared" ca="1" si="90"/>
        <v>#REF!</v>
      </c>
      <c r="T981" t="e">
        <f t="shared" ca="1" si="91"/>
        <v>#REF!</v>
      </c>
      <c r="U981" t="e" cm="1">
        <f t="array" aca="1" ref="U981" ca="1">IF(A981="","",IF(E981="","",IF(B981="safety",INDIRECT("template!"&amp;"P"&amp;A981),Q981+R981)))</f>
        <v>#REF!</v>
      </c>
      <c r="V981" t="e" cm="1">
        <f t="array" aca="1" ref="V981" ca="1">IF(A981="","",IF(E981="","",IF(B981="safety",INDIRECT("template!"&amp;"P"&amp;A981),S981+T981)))</f>
        <v>#REF!</v>
      </c>
      <c r="W981" t="e">
        <f ca="1">IF(A981="","",IF(E981="","",#REF!))</f>
        <v>#REF!</v>
      </c>
      <c r="X981" t="e">
        <f ca="1">IF(A981="","",IF(E981="","",#REF!))</f>
        <v>#REF!</v>
      </c>
      <c r="Y981" s="39" t="e">
        <f ca="1">IF(A981="","",IF(E981="","",#REF!))</f>
        <v>#REF!</v>
      </c>
      <c r="Z981" t="e">
        <f ca="1">IF(A981="","",IF(E981="","",#REF!))</f>
        <v>#REF!</v>
      </c>
      <c r="AA981" t="e">
        <f ca="1">IF(A981="","",IF(E981="","",#REF!))</f>
        <v>#REF!</v>
      </c>
      <c r="AB981" t="e">
        <f ca="1">IF(A981="","",IF(E981="","",#REF!))</f>
        <v>#REF!</v>
      </c>
      <c r="AC981" t="e">
        <f t="shared" ca="1" si="92"/>
        <v>#REF!</v>
      </c>
    </row>
    <row r="982" spans="1:29" x14ac:dyDescent="0.35">
      <c r="A982" t="e" cm="1">
        <f t="array" aca="1" ref="A982" ca="1">IF(A981="","",IF(OR(AND(A981+1&gt;=$AF$1,A981+1&lt;=$AF$2),AND(A981+1&gt;=$AF$6,A981+1&lt;=$AF$7),AND(A981+1&gt;=$AF$3,A981+1&lt;=$AF$4),AND(A981+1&gt;=$AF$8,A981+1&lt;=$AF$9),A981+1=$AF$5),IF(NOT(ISBLANK(INDIRECT("template!"&amp;"P"&amp;A981+1))),A981+1,IF(NOT(ISBLANK(INDIRECT("template!"&amp;"P"&amp;A981+2))),A981+2,A981+3)),IF(A981=$AF$2,$AF$3,IF(A981=$AF$4,$AF$5,IF(A981=$AF$5,$AF$6,IF(A981=$AF$7,$AF$8,""))))))</f>
        <v>#REF!</v>
      </c>
      <c r="B982" t="e">
        <f t="shared" ca="1" si="87"/>
        <v>#REF!</v>
      </c>
      <c r="C982" t="e" cm="1">
        <f t="array" aca="1" ref="C982" ca="1">IF(A982="","",IF(B982="safety","safety costs",INDIRECT("template!"&amp;"B"&amp;A982)))</f>
        <v>#REF!</v>
      </c>
      <c r="D982" t="e" cm="1">
        <f t="array" aca="1" ref="D982" ca="1">IF(OR(A982="",B982="safety"),"",INDIRECT("template!"&amp;"C"&amp;A982))</f>
        <v>#REF!</v>
      </c>
      <c r="E982" t="e" cm="1">
        <f t="array" aca="1" ref="E982" ca="1">IF(A982="","",IF(OR(A982=A981+1,A982=A981+2),E981,INDIRECT("template!"&amp;"D"&amp;A982-2)))</f>
        <v>#REF!</v>
      </c>
      <c r="F982" t="e" cm="1">
        <f t="array" aca="1" ref="F982" ca="1">IF(OR(A982="",B982="safety"),"",IF(ISBLANK(IF(A982=A981+1,F981,INDIRECT("template!"&amp;"D"&amp;A982-1))),"",IF(A982=A981+1,F981,INDIRECT("template!"&amp;"D"&amp;A982-1))))</f>
        <v>#REF!</v>
      </c>
      <c r="G982" t="e" cm="1">
        <f t="array" aca="1" ref="G982" ca="1">IF(OR(A982="",B982="safety"),"",IF(ISBLANK(INDIRECT("template!"&amp;"D"&amp;A982)),"",INDIRECT("template!"&amp;"D"&amp;A982)))</f>
        <v>#REF!</v>
      </c>
      <c r="H982" t="e" cm="1">
        <f t="array" aca="1" ref="H982" ca="1">IF(OR(A982="",B982="safety"),"",IF(ISBLANK(INDIRECT("template!"&amp;"E"&amp;A982)),"",INDIRECT("template!"&amp;"E"&amp;A982)))</f>
        <v>#REF!</v>
      </c>
      <c r="I982" t="e" cm="1">
        <f t="array" aca="1" ref="I982" ca="1">IF(OR(A982="",B982="safety"),"",IF(ISBLANK(INDIRECT("template!"&amp;"F"&amp;A982)),"",INDIRECT("template!"&amp;"F"&amp;A982)))</f>
        <v>#REF!</v>
      </c>
      <c r="J982" t="e" cm="1">
        <f t="array" aca="1" ref="J982" ca="1">IF(OR(A982="",B982="safety"),"",IF(ISBLANK(INDIRECT("template!"&amp;"G"&amp;A982)),"",INDIRECT("template!"&amp;"G"&amp;A982)))</f>
        <v>#REF!</v>
      </c>
      <c r="K982" t="e" cm="1">
        <f t="array" aca="1" ref="K982" ca="1">IF(OR(A982="",B982="safety"),"",IF(ISBLANK(INDIRECT("template!"&amp;"H"&amp;A982)),"",INDIRECT("template!"&amp;"H"&amp;A982)))</f>
        <v>#REF!</v>
      </c>
      <c r="L982" t="e" cm="1">
        <f t="array" aca="1" ref="L982" ca="1">IF(OR(A982="",B982="safety"),"",INDIRECT("template!"&amp;"I"&amp;A982))</f>
        <v>#REF!</v>
      </c>
      <c r="M982" t="e" cm="1">
        <f t="array" aca="1" ref="M982" ca="1">IF(OR(A982="",B982="safety"),"",INDIRECT("template!"&amp;"J"&amp;A982))</f>
        <v>#REF!</v>
      </c>
      <c r="N982" t="e" cm="1">
        <f t="array" aca="1" ref="N982" ca="1">IF(OR(A982="",B982="safety"),"",IF(ISBLANK(INDIRECT("template!"&amp;"K"&amp;A982)),"",INDIRECT("template!"&amp;"K"&amp;A982)))</f>
        <v>#REF!</v>
      </c>
      <c r="O982" t="e" cm="1">
        <f t="array" aca="1" ref="O982" ca="1">IF(OR(A982="",B982="safety"),"",INDIRECT("template!"&amp;"L"&amp;A982))</f>
        <v>#REF!</v>
      </c>
      <c r="P982" t="e" cm="1">
        <f t="array" aca="1" ref="P982" ca="1">IF(OR(A982="",B982="safety"),"",INDIRECT("template!"&amp;"M"&amp;A982))</f>
        <v>#REF!</v>
      </c>
      <c r="Q982" t="e">
        <f t="shared" ca="1" si="88"/>
        <v>#REF!</v>
      </c>
      <c r="R982" t="e">
        <f t="shared" ca="1" si="89"/>
        <v>#REF!</v>
      </c>
      <c r="S982" t="e">
        <f t="shared" ca="1" si="90"/>
        <v>#REF!</v>
      </c>
      <c r="T982" t="e">
        <f t="shared" ca="1" si="91"/>
        <v>#REF!</v>
      </c>
      <c r="U982" t="e" cm="1">
        <f t="array" aca="1" ref="U982" ca="1">IF(A982="","",IF(E982="","",IF(B982="safety",INDIRECT("template!"&amp;"P"&amp;A982),Q982+R982)))</f>
        <v>#REF!</v>
      </c>
      <c r="V982" t="e" cm="1">
        <f t="array" aca="1" ref="V982" ca="1">IF(A982="","",IF(E982="","",IF(B982="safety",INDIRECT("template!"&amp;"P"&amp;A982),S982+T982)))</f>
        <v>#REF!</v>
      </c>
      <c r="W982" t="e">
        <f ca="1">IF(A982="","",IF(E982="","",#REF!))</f>
        <v>#REF!</v>
      </c>
      <c r="X982" t="e">
        <f ca="1">IF(A982="","",IF(E982="","",#REF!))</f>
        <v>#REF!</v>
      </c>
      <c r="Y982" s="39" t="e">
        <f ca="1">IF(A982="","",IF(E982="","",#REF!))</f>
        <v>#REF!</v>
      </c>
      <c r="Z982" t="e">
        <f ca="1">IF(A982="","",IF(E982="","",#REF!))</f>
        <v>#REF!</v>
      </c>
      <c r="AA982" t="e">
        <f ca="1">IF(A982="","",IF(E982="","",#REF!))</f>
        <v>#REF!</v>
      </c>
      <c r="AB982" t="e">
        <f ca="1">IF(A982="","",IF(E982="","",#REF!))</f>
        <v>#REF!</v>
      </c>
      <c r="AC982" t="e">
        <f t="shared" ca="1" si="92"/>
        <v>#REF!</v>
      </c>
    </row>
    <row r="983" spans="1:29" x14ac:dyDescent="0.35">
      <c r="A983" t="e" cm="1">
        <f t="array" aca="1" ref="A983" ca="1">IF(A982="","",IF(OR(AND(A982+1&gt;=$AF$1,A982+1&lt;=$AF$2),AND(A982+1&gt;=$AF$6,A982+1&lt;=$AF$7),AND(A982+1&gt;=$AF$3,A982+1&lt;=$AF$4),AND(A982+1&gt;=$AF$8,A982+1&lt;=$AF$9),A982+1=$AF$5),IF(NOT(ISBLANK(INDIRECT("template!"&amp;"P"&amp;A982+1))),A982+1,IF(NOT(ISBLANK(INDIRECT("template!"&amp;"P"&amp;A982+2))),A982+2,A982+3)),IF(A982=$AF$2,$AF$3,IF(A982=$AF$4,$AF$5,IF(A982=$AF$5,$AF$6,IF(A982=$AF$7,$AF$8,""))))))</f>
        <v>#REF!</v>
      </c>
      <c r="B983" t="e">
        <f t="shared" ca="1" si="87"/>
        <v>#REF!</v>
      </c>
      <c r="C983" t="e" cm="1">
        <f t="array" aca="1" ref="C983" ca="1">IF(A983="","",IF(B983="safety","safety costs",INDIRECT("template!"&amp;"B"&amp;A983)))</f>
        <v>#REF!</v>
      </c>
      <c r="D983" t="e" cm="1">
        <f t="array" aca="1" ref="D983" ca="1">IF(OR(A983="",B983="safety"),"",INDIRECT("template!"&amp;"C"&amp;A983))</f>
        <v>#REF!</v>
      </c>
      <c r="E983" t="e" cm="1">
        <f t="array" aca="1" ref="E983" ca="1">IF(A983="","",IF(OR(A983=A982+1,A983=A982+2),E982,INDIRECT("template!"&amp;"D"&amp;A983-2)))</f>
        <v>#REF!</v>
      </c>
      <c r="F983" t="e" cm="1">
        <f t="array" aca="1" ref="F983" ca="1">IF(OR(A983="",B983="safety"),"",IF(ISBLANK(IF(A983=A982+1,F982,INDIRECT("template!"&amp;"D"&amp;A983-1))),"",IF(A983=A982+1,F982,INDIRECT("template!"&amp;"D"&amp;A983-1))))</f>
        <v>#REF!</v>
      </c>
      <c r="G983" t="e" cm="1">
        <f t="array" aca="1" ref="G983" ca="1">IF(OR(A983="",B983="safety"),"",IF(ISBLANK(INDIRECT("template!"&amp;"D"&amp;A983)),"",INDIRECT("template!"&amp;"D"&amp;A983)))</f>
        <v>#REF!</v>
      </c>
      <c r="H983" t="e" cm="1">
        <f t="array" aca="1" ref="H983" ca="1">IF(OR(A983="",B983="safety"),"",IF(ISBLANK(INDIRECT("template!"&amp;"E"&amp;A983)),"",INDIRECT("template!"&amp;"E"&amp;A983)))</f>
        <v>#REF!</v>
      </c>
      <c r="I983" t="e" cm="1">
        <f t="array" aca="1" ref="I983" ca="1">IF(OR(A983="",B983="safety"),"",IF(ISBLANK(INDIRECT("template!"&amp;"F"&amp;A983)),"",INDIRECT("template!"&amp;"F"&amp;A983)))</f>
        <v>#REF!</v>
      </c>
      <c r="J983" t="e" cm="1">
        <f t="array" aca="1" ref="J983" ca="1">IF(OR(A983="",B983="safety"),"",IF(ISBLANK(INDIRECT("template!"&amp;"G"&amp;A983)),"",INDIRECT("template!"&amp;"G"&amp;A983)))</f>
        <v>#REF!</v>
      </c>
      <c r="K983" t="e" cm="1">
        <f t="array" aca="1" ref="K983" ca="1">IF(OR(A983="",B983="safety"),"",IF(ISBLANK(INDIRECT("template!"&amp;"H"&amp;A983)),"",INDIRECT("template!"&amp;"H"&amp;A983)))</f>
        <v>#REF!</v>
      </c>
      <c r="L983" t="e" cm="1">
        <f t="array" aca="1" ref="L983" ca="1">IF(OR(A983="",B983="safety"),"",INDIRECT("template!"&amp;"I"&amp;A983))</f>
        <v>#REF!</v>
      </c>
      <c r="M983" t="e" cm="1">
        <f t="array" aca="1" ref="M983" ca="1">IF(OR(A983="",B983="safety"),"",INDIRECT("template!"&amp;"J"&amp;A983))</f>
        <v>#REF!</v>
      </c>
      <c r="N983" t="e" cm="1">
        <f t="array" aca="1" ref="N983" ca="1">IF(OR(A983="",B983="safety"),"",IF(ISBLANK(INDIRECT("template!"&amp;"K"&amp;A983)),"",INDIRECT("template!"&amp;"K"&amp;A983)))</f>
        <v>#REF!</v>
      </c>
      <c r="O983" t="e" cm="1">
        <f t="array" aca="1" ref="O983" ca="1">IF(OR(A983="",B983="safety"),"",INDIRECT("template!"&amp;"L"&amp;A983))</f>
        <v>#REF!</v>
      </c>
      <c r="P983" t="e" cm="1">
        <f t="array" aca="1" ref="P983" ca="1">IF(OR(A983="",B983="safety"),"",INDIRECT("template!"&amp;"M"&amp;A983))</f>
        <v>#REF!</v>
      </c>
      <c r="Q983" t="e">
        <f t="shared" ca="1" si="88"/>
        <v>#REF!</v>
      </c>
      <c r="R983" t="e">
        <f t="shared" ca="1" si="89"/>
        <v>#REF!</v>
      </c>
      <c r="S983" t="e">
        <f t="shared" ca="1" si="90"/>
        <v>#REF!</v>
      </c>
      <c r="T983" t="e">
        <f t="shared" ca="1" si="91"/>
        <v>#REF!</v>
      </c>
      <c r="U983" t="e" cm="1">
        <f t="array" aca="1" ref="U983" ca="1">IF(A983="","",IF(E983="","",IF(B983="safety",INDIRECT("template!"&amp;"P"&amp;A983),Q983+R983)))</f>
        <v>#REF!</v>
      </c>
      <c r="V983" t="e" cm="1">
        <f t="array" aca="1" ref="V983" ca="1">IF(A983="","",IF(E983="","",IF(B983="safety",INDIRECT("template!"&amp;"P"&amp;A983),S983+T983)))</f>
        <v>#REF!</v>
      </c>
      <c r="W983" t="e">
        <f ca="1">IF(A983="","",IF(E983="","",#REF!))</f>
        <v>#REF!</v>
      </c>
      <c r="X983" t="e">
        <f ca="1">IF(A983="","",IF(E983="","",#REF!))</f>
        <v>#REF!</v>
      </c>
      <c r="Y983" s="39" t="e">
        <f ca="1">IF(A983="","",IF(E983="","",#REF!))</f>
        <v>#REF!</v>
      </c>
      <c r="Z983" t="e">
        <f ca="1">IF(A983="","",IF(E983="","",#REF!))</f>
        <v>#REF!</v>
      </c>
      <c r="AA983" t="e">
        <f ca="1">IF(A983="","",IF(E983="","",#REF!))</f>
        <v>#REF!</v>
      </c>
      <c r="AB983" t="e">
        <f ca="1">IF(A983="","",IF(E983="","",#REF!))</f>
        <v>#REF!</v>
      </c>
      <c r="AC983" t="e">
        <f t="shared" ca="1" si="92"/>
        <v>#REF!</v>
      </c>
    </row>
    <row r="984" spans="1:29" x14ac:dyDescent="0.35">
      <c r="A984" t="e" cm="1">
        <f t="array" aca="1" ref="A984" ca="1">IF(A983="","",IF(OR(AND(A983+1&gt;=$AF$1,A983+1&lt;=$AF$2),AND(A983+1&gt;=$AF$6,A983+1&lt;=$AF$7),AND(A983+1&gt;=$AF$3,A983+1&lt;=$AF$4),AND(A983+1&gt;=$AF$8,A983+1&lt;=$AF$9),A983+1=$AF$5),IF(NOT(ISBLANK(INDIRECT("template!"&amp;"P"&amp;A983+1))),A983+1,IF(NOT(ISBLANK(INDIRECT("template!"&amp;"P"&amp;A983+2))),A983+2,A983+3)),IF(A983=$AF$2,$AF$3,IF(A983=$AF$4,$AF$5,IF(A983=$AF$5,$AF$6,IF(A983=$AF$7,$AF$8,""))))))</f>
        <v>#REF!</v>
      </c>
      <c r="B984" t="e">
        <f t="shared" ca="1" si="87"/>
        <v>#REF!</v>
      </c>
      <c r="C984" t="e" cm="1">
        <f t="array" aca="1" ref="C984" ca="1">IF(A984="","",IF(B984="safety","safety costs",INDIRECT("template!"&amp;"B"&amp;A984)))</f>
        <v>#REF!</v>
      </c>
      <c r="D984" t="e" cm="1">
        <f t="array" aca="1" ref="D984" ca="1">IF(OR(A984="",B984="safety"),"",INDIRECT("template!"&amp;"C"&amp;A984))</f>
        <v>#REF!</v>
      </c>
      <c r="E984" t="e" cm="1">
        <f t="array" aca="1" ref="E984" ca="1">IF(A984="","",IF(OR(A984=A983+1,A984=A983+2),E983,INDIRECT("template!"&amp;"D"&amp;A984-2)))</f>
        <v>#REF!</v>
      </c>
      <c r="F984" t="e" cm="1">
        <f t="array" aca="1" ref="F984" ca="1">IF(OR(A984="",B984="safety"),"",IF(ISBLANK(IF(A984=A983+1,F983,INDIRECT("template!"&amp;"D"&amp;A984-1))),"",IF(A984=A983+1,F983,INDIRECT("template!"&amp;"D"&amp;A984-1))))</f>
        <v>#REF!</v>
      </c>
      <c r="G984" t="e" cm="1">
        <f t="array" aca="1" ref="G984" ca="1">IF(OR(A984="",B984="safety"),"",IF(ISBLANK(INDIRECT("template!"&amp;"D"&amp;A984)),"",INDIRECT("template!"&amp;"D"&amp;A984)))</f>
        <v>#REF!</v>
      </c>
      <c r="H984" t="e" cm="1">
        <f t="array" aca="1" ref="H984" ca="1">IF(OR(A984="",B984="safety"),"",IF(ISBLANK(INDIRECT("template!"&amp;"E"&amp;A984)),"",INDIRECT("template!"&amp;"E"&amp;A984)))</f>
        <v>#REF!</v>
      </c>
      <c r="I984" t="e" cm="1">
        <f t="array" aca="1" ref="I984" ca="1">IF(OR(A984="",B984="safety"),"",IF(ISBLANK(INDIRECT("template!"&amp;"F"&amp;A984)),"",INDIRECT("template!"&amp;"F"&amp;A984)))</f>
        <v>#REF!</v>
      </c>
      <c r="J984" t="e" cm="1">
        <f t="array" aca="1" ref="J984" ca="1">IF(OR(A984="",B984="safety"),"",IF(ISBLANK(INDIRECT("template!"&amp;"G"&amp;A984)),"",INDIRECT("template!"&amp;"G"&amp;A984)))</f>
        <v>#REF!</v>
      </c>
      <c r="K984" t="e" cm="1">
        <f t="array" aca="1" ref="K984" ca="1">IF(OR(A984="",B984="safety"),"",IF(ISBLANK(INDIRECT("template!"&amp;"H"&amp;A984)),"",INDIRECT("template!"&amp;"H"&amp;A984)))</f>
        <v>#REF!</v>
      </c>
      <c r="L984" t="e" cm="1">
        <f t="array" aca="1" ref="L984" ca="1">IF(OR(A984="",B984="safety"),"",INDIRECT("template!"&amp;"I"&amp;A984))</f>
        <v>#REF!</v>
      </c>
      <c r="M984" t="e" cm="1">
        <f t="array" aca="1" ref="M984" ca="1">IF(OR(A984="",B984="safety"),"",INDIRECT("template!"&amp;"J"&amp;A984))</f>
        <v>#REF!</v>
      </c>
      <c r="N984" t="e" cm="1">
        <f t="array" aca="1" ref="N984" ca="1">IF(OR(A984="",B984="safety"),"",IF(ISBLANK(INDIRECT("template!"&amp;"K"&amp;A984)),"",INDIRECT("template!"&amp;"K"&amp;A984)))</f>
        <v>#REF!</v>
      </c>
      <c r="O984" t="e" cm="1">
        <f t="array" aca="1" ref="O984" ca="1">IF(OR(A984="",B984="safety"),"",INDIRECT("template!"&amp;"L"&amp;A984))</f>
        <v>#REF!</v>
      </c>
      <c r="P984" t="e" cm="1">
        <f t="array" aca="1" ref="P984" ca="1">IF(OR(A984="",B984="safety"),"",INDIRECT("template!"&amp;"M"&amp;A984))</f>
        <v>#REF!</v>
      </c>
      <c r="Q984" t="e">
        <f t="shared" ca="1" si="88"/>
        <v>#REF!</v>
      </c>
      <c r="R984" t="e">
        <f t="shared" ca="1" si="89"/>
        <v>#REF!</v>
      </c>
      <c r="S984" t="e">
        <f t="shared" ca="1" si="90"/>
        <v>#REF!</v>
      </c>
      <c r="T984" t="e">
        <f t="shared" ca="1" si="91"/>
        <v>#REF!</v>
      </c>
      <c r="U984" t="e" cm="1">
        <f t="array" aca="1" ref="U984" ca="1">IF(A984="","",IF(E984="","",IF(B984="safety",INDIRECT("template!"&amp;"P"&amp;A984),Q984+R984)))</f>
        <v>#REF!</v>
      </c>
      <c r="V984" t="e" cm="1">
        <f t="array" aca="1" ref="V984" ca="1">IF(A984="","",IF(E984="","",IF(B984="safety",INDIRECT("template!"&amp;"P"&amp;A984),S984+T984)))</f>
        <v>#REF!</v>
      </c>
      <c r="W984" t="e">
        <f ca="1">IF(A984="","",IF(E984="","",#REF!))</f>
        <v>#REF!</v>
      </c>
      <c r="X984" t="e">
        <f ca="1">IF(A984="","",IF(E984="","",#REF!))</f>
        <v>#REF!</v>
      </c>
      <c r="Y984" s="39" t="e">
        <f ca="1">IF(A984="","",IF(E984="","",#REF!))</f>
        <v>#REF!</v>
      </c>
      <c r="Z984" t="e">
        <f ca="1">IF(A984="","",IF(E984="","",#REF!))</f>
        <v>#REF!</v>
      </c>
      <c r="AA984" t="e">
        <f ca="1">IF(A984="","",IF(E984="","",#REF!))</f>
        <v>#REF!</v>
      </c>
      <c r="AB984" t="e">
        <f ca="1">IF(A984="","",IF(E984="","",#REF!))</f>
        <v>#REF!</v>
      </c>
      <c r="AC984" t="e">
        <f t="shared" ca="1" si="92"/>
        <v>#REF!</v>
      </c>
    </row>
    <row r="985" spans="1:29" x14ac:dyDescent="0.35">
      <c r="A985" t="e" cm="1">
        <f t="array" aca="1" ref="A985" ca="1">IF(A984="","",IF(OR(AND(A984+1&gt;=$AF$1,A984+1&lt;=$AF$2),AND(A984+1&gt;=$AF$6,A984+1&lt;=$AF$7),AND(A984+1&gt;=$AF$3,A984+1&lt;=$AF$4),AND(A984+1&gt;=$AF$8,A984+1&lt;=$AF$9),A984+1=$AF$5),IF(NOT(ISBLANK(INDIRECT("template!"&amp;"P"&amp;A984+1))),A984+1,IF(NOT(ISBLANK(INDIRECT("template!"&amp;"P"&amp;A984+2))),A984+2,A984+3)),IF(A984=$AF$2,$AF$3,IF(A984=$AF$4,$AF$5,IF(A984=$AF$5,$AF$6,IF(A984=$AF$7,$AF$8,""))))))</f>
        <v>#REF!</v>
      </c>
      <c r="B985" t="e">
        <f t="shared" ca="1" si="87"/>
        <v>#REF!</v>
      </c>
      <c r="C985" t="e" cm="1">
        <f t="array" aca="1" ref="C985" ca="1">IF(A985="","",IF(B985="safety","safety costs",INDIRECT("template!"&amp;"B"&amp;A985)))</f>
        <v>#REF!</v>
      </c>
      <c r="D985" t="e" cm="1">
        <f t="array" aca="1" ref="D985" ca="1">IF(OR(A985="",B985="safety"),"",INDIRECT("template!"&amp;"C"&amp;A985))</f>
        <v>#REF!</v>
      </c>
      <c r="E985" t="e" cm="1">
        <f t="array" aca="1" ref="E985" ca="1">IF(A985="","",IF(OR(A985=A984+1,A985=A984+2),E984,INDIRECT("template!"&amp;"D"&amp;A985-2)))</f>
        <v>#REF!</v>
      </c>
      <c r="F985" t="e" cm="1">
        <f t="array" aca="1" ref="F985" ca="1">IF(OR(A985="",B985="safety"),"",IF(ISBLANK(IF(A985=A984+1,F984,INDIRECT("template!"&amp;"D"&amp;A985-1))),"",IF(A985=A984+1,F984,INDIRECT("template!"&amp;"D"&amp;A985-1))))</f>
        <v>#REF!</v>
      </c>
      <c r="G985" t="e" cm="1">
        <f t="array" aca="1" ref="G985" ca="1">IF(OR(A985="",B985="safety"),"",IF(ISBLANK(INDIRECT("template!"&amp;"D"&amp;A985)),"",INDIRECT("template!"&amp;"D"&amp;A985)))</f>
        <v>#REF!</v>
      </c>
      <c r="H985" t="e" cm="1">
        <f t="array" aca="1" ref="H985" ca="1">IF(OR(A985="",B985="safety"),"",IF(ISBLANK(INDIRECT("template!"&amp;"E"&amp;A985)),"",INDIRECT("template!"&amp;"E"&amp;A985)))</f>
        <v>#REF!</v>
      </c>
      <c r="I985" t="e" cm="1">
        <f t="array" aca="1" ref="I985" ca="1">IF(OR(A985="",B985="safety"),"",IF(ISBLANK(INDIRECT("template!"&amp;"F"&amp;A985)),"",INDIRECT("template!"&amp;"F"&amp;A985)))</f>
        <v>#REF!</v>
      </c>
      <c r="J985" t="e" cm="1">
        <f t="array" aca="1" ref="J985" ca="1">IF(OR(A985="",B985="safety"),"",IF(ISBLANK(INDIRECT("template!"&amp;"G"&amp;A985)),"",INDIRECT("template!"&amp;"G"&amp;A985)))</f>
        <v>#REF!</v>
      </c>
      <c r="K985" t="e" cm="1">
        <f t="array" aca="1" ref="K985" ca="1">IF(OR(A985="",B985="safety"),"",IF(ISBLANK(INDIRECT("template!"&amp;"H"&amp;A985)),"",INDIRECT("template!"&amp;"H"&amp;A985)))</f>
        <v>#REF!</v>
      </c>
      <c r="L985" t="e" cm="1">
        <f t="array" aca="1" ref="L985" ca="1">IF(OR(A985="",B985="safety"),"",INDIRECT("template!"&amp;"I"&amp;A985))</f>
        <v>#REF!</v>
      </c>
      <c r="M985" t="e" cm="1">
        <f t="array" aca="1" ref="M985" ca="1">IF(OR(A985="",B985="safety"),"",INDIRECT("template!"&amp;"J"&amp;A985))</f>
        <v>#REF!</v>
      </c>
      <c r="N985" t="e" cm="1">
        <f t="array" aca="1" ref="N985" ca="1">IF(OR(A985="",B985="safety"),"",IF(ISBLANK(INDIRECT("template!"&amp;"K"&amp;A985)),"",INDIRECT("template!"&amp;"K"&amp;A985)))</f>
        <v>#REF!</v>
      </c>
      <c r="O985" t="e" cm="1">
        <f t="array" aca="1" ref="O985" ca="1">IF(OR(A985="",B985="safety"),"",INDIRECT("template!"&amp;"L"&amp;A985))</f>
        <v>#REF!</v>
      </c>
      <c r="P985" t="e" cm="1">
        <f t="array" aca="1" ref="P985" ca="1">IF(OR(A985="",B985="safety"),"",INDIRECT("template!"&amp;"M"&amp;A985))</f>
        <v>#REF!</v>
      </c>
      <c r="Q985" t="e">
        <f t="shared" ca="1" si="88"/>
        <v>#REF!</v>
      </c>
      <c r="R985" t="e">
        <f t="shared" ca="1" si="89"/>
        <v>#REF!</v>
      </c>
      <c r="S985" t="e">
        <f t="shared" ca="1" si="90"/>
        <v>#REF!</v>
      </c>
      <c r="T985" t="e">
        <f t="shared" ca="1" si="91"/>
        <v>#REF!</v>
      </c>
      <c r="U985" t="e" cm="1">
        <f t="array" aca="1" ref="U985" ca="1">IF(A985="","",IF(E985="","",IF(B985="safety",INDIRECT("template!"&amp;"P"&amp;A985),Q985+R985)))</f>
        <v>#REF!</v>
      </c>
      <c r="V985" t="e" cm="1">
        <f t="array" aca="1" ref="V985" ca="1">IF(A985="","",IF(E985="","",IF(B985="safety",INDIRECT("template!"&amp;"P"&amp;A985),S985+T985)))</f>
        <v>#REF!</v>
      </c>
      <c r="W985" t="e">
        <f ca="1">IF(A985="","",IF(E985="","",#REF!))</f>
        <v>#REF!</v>
      </c>
      <c r="X985" t="e">
        <f ca="1">IF(A985="","",IF(E985="","",#REF!))</f>
        <v>#REF!</v>
      </c>
      <c r="Y985" s="39" t="e">
        <f ca="1">IF(A985="","",IF(E985="","",#REF!))</f>
        <v>#REF!</v>
      </c>
      <c r="Z985" t="e">
        <f ca="1">IF(A985="","",IF(E985="","",#REF!))</f>
        <v>#REF!</v>
      </c>
      <c r="AA985" t="e">
        <f ca="1">IF(A985="","",IF(E985="","",#REF!))</f>
        <v>#REF!</v>
      </c>
      <c r="AB985" t="e">
        <f ca="1">IF(A985="","",IF(E985="","",#REF!))</f>
        <v>#REF!</v>
      </c>
      <c r="AC985" t="e">
        <f t="shared" ca="1" si="92"/>
        <v>#REF!</v>
      </c>
    </row>
    <row r="986" spans="1:29" x14ac:dyDescent="0.35">
      <c r="A986" t="e" cm="1">
        <f t="array" aca="1" ref="A986" ca="1">IF(A985="","",IF(OR(AND(A985+1&gt;=$AF$1,A985+1&lt;=$AF$2),AND(A985+1&gt;=$AF$6,A985+1&lt;=$AF$7),AND(A985+1&gt;=$AF$3,A985+1&lt;=$AF$4),AND(A985+1&gt;=$AF$8,A985+1&lt;=$AF$9),A985+1=$AF$5),IF(NOT(ISBLANK(INDIRECT("template!"&amp;"P"&amp;A985+1))),A985+1,IF(NOT(ISBLANK(INDIRECT("template!"&amp;"P"&amp;A985+2))),A985+2,A985+3)),IF(A985=$AF$2,$AF$3,IF(A985=$AF$4,$AF$5,IF(A985=$AF$5,$AF$6,IF(A985=$AF$7,$AF$8,""))))))</f>
        <v>#REF!</v>
      </c>
      <c r="B986" t="e">
        <f t="shared" ca="1" si="87"/>
        <v>#REF!</v>
      </c>
      <c r="C986" t="e" cm="1">
        <f t="array" aca="1" ref="C986" ca="1">IF(A986="","",IF(B986="safety","safety costs",INDIRECT("template!"&amp;"B"&amp;A986)))</f>
        <v>#REF!</v>
      </c>
      <c r="D986" t="e" cm="1">
        <f t="array" aca="1" ref="D986" ca="1">IF(OR(A986="",B986="safety"),"",INDIRECT("template!"&amp;"C"&amp;A986))</f>
        <v>#REF!</v>
      </c>
      <c r="E986" t="e" cm="1">
        <f t="array" aca="1" ref="E986" ca="1">IF(A986="","",IF(OR(A986=A985+1,A986=A985+2),E985,INDIRECT("template!"&amp;"D"&amp;A986-2)))</f>
        <v>#REF!</v>
      </c>
      <c r="F986" t="e" cm="1">
        <f t="array" aca="1" ref="F986" ca="1">IF(OR(A986="",B986="safety"),"",IF(ISBLANK(IF(A986=A985+1,F985,INDIRECT("template!"&amp;"D"&amp;A986-1))),"",IF(A986=A985+1,F985,INDIRECT("template!"&amp;"D"&amp;A986-1))))</f>
        <v>#REF!</v>
      </c>
      <c r="G986" t="e" cm="1">
        <f t="array" aca="1" ref="G986" ca="1">IF(OR(A986="",B986="safety"),"",IF(ISBLANK(INDIRECT("template!"&amp;"D"&amp;A986)),"",INDIRECT("template!"&amp;"D"&amp;A986)))</f>
        <v>#REF!</v>
      </c>
      <c r="H986" t="e" cm="1">
        <f t="array" aca="1" ref="H986" ca="1">IF(OR(A986="",B986="safety"),"",IF(ISBLANK(INDIRECT("template!"&amp;"E"&amp;A986)),"",INDIRECT("template!"&amp;"E"&amp;A986)))</f>
        <v>#REF!</v>
      </c>
      <c r="I986" t="e" cm="1">
        <f t="array" aca="1" ref="I986" ca="1">IF(OR(A986="",B986="safety"),"",IF(ISBLANK(INDIRECT("template!"&amp;"F"&amp;A986)),"",INDIRECT("template!"&amp;"F"&amp;A986)))</f>
        <v>#REF!</v>
      </c>
      <c r="J986" t="e" cm="1">
        <f t="array" aca="1" ref="J986" ca="1">IF(OR(A986="",B986="safety"),"",IF(ISBLANK(INDIRECT("template!"&amp;"G"&amp;A986)),"",INDIRECT("template!"&amp;"G"&amp;A986)))</f>
        <v>#REF!</v>
      </c>
      <c r="K986" t="e" cm="1">
        <f t="array" aca="1" ref="K986" ca="1">IF(OR(A986="",B986="safety"),"",IF(ISBLANK(INDIRECT("template!"&amp;"H"&amp;A986)),"",INDIRECT("template!"&amp;"H"&amp;A986)))</f>
        <v>#REF!</v>
      </c>
      <c r="L986" t="e" cm="1">
        <f t="array" aca="1" ref="L986" ca="1">IF(OR(A986="",B986="safety"),"",INDIRECT("template!"&amp;"I"&amp;A986))</f>
        <v>#REF!</v>
      </c>
      <c r="M986" t="e" cm="1">
        <f t="array" aca="1" ref="M986" ca="1">IF(OR(A986="",B986="safety"),"",INDIRECT("template!"&amp;"J"&amp;A986))</f>
        <v>#REF!</v>
      </c>
      <c r="N986" t="e" cm="1">
        <f t="array" aca="1" ref="N986" ca="1">IF(OR(A986="",B986="safety"),"",IF(ISBLANK(INDIRECT("template!"&amp;"K"&amp;A986)),"",INDIRECT("template!"&amp;"K"&amp;A986)))</f>
        <v>#REF!</v>
      </c>
      <c r="O986" t="e" cm="1">
        <f t="array" aca="1" ref="O986" ca="1">IF(OR(A986="",B986="safety"),"",INDIRECT("template!"&amp;"L"&amp;A986))</f>
        <v>#REF!</v>
      </c>
      <c r="P986" t="e" cm="1">
        <f t="array" aca="1" ref="P986" ca="1">IF(OR(A986="",B986="safety"),"",INDIRECT("template!"&amp;"M"&amp;A986))</f>
        <v>#REF!</v>
      </c>
      <c r="Q986" t="e">
        <f t="shared" ca="1" si="88"/>
        <v>#REF!</v>
      </c>
      <c r="R986" t="e">
        <f t="shared" ca="1" si="89"/>
        <v>#REF!</v>
      </c>
      <c r="S986" t="e">
        <f t="shared" ca="1" si="90"/>
        <v>#REF!</v>
      </c>
      <c r="T986" t="e">
        <f t="shared" ca="1" si="91"/>
        <v>#REF!</v>
      </c>
      <c r="U986" t="e" cm="1">
        <f t="array" aca="1" ref="U986" ca="1">IF(A986="","",IF(E986="","",IF(B986="safety",INDIRECT("template!"&amp;"P"&amp;A986),Q986+R986)))</f>
        <v>#REF!</v>
      </c>
      <c r="V986" t="e" cm="1">
        <f t="array" aca="1" ref="V986" ca="1">IF(A986="","",IF(E986="","",IF(B986="safety",INDIRECT("template!"&amp;"P"&amp;A986),S986+T986)))</f>
        <v>#REF!</v>
      </c>
      <c r="W986" t="e">
        <f ca="1">IF(A986="","",IF(E986="","",#REF!))</f>
        <v>#REF!</v>
      </c>
      <c r="X986" t="e">
        <f ca="1">IF(A986="","",IF(E986="","",#REF!))</f>
        <v>#REF!</v>
      </c>
      <c r="Y986" s="39" t="e">
        <f ca="1">IF(A986="","",IF(E986="","",#REF!))</f>
        <v>#REF!</v>
      </c>
      <c r="Z986" t="e">
        <f ca="1">IF(A986="","",IF(E986="","",#REF!))</f>
        <v>#REF!</v>
      </c>
      <c r="AA986" t="e">
        <f ca="1">IF(A986="","",IF(E986="","",#REF!))</f>
        <v>#REF!</v>
      </c>
      <c r="AB986" t="e">
        <f ca="1">IF(A986="","",IF(E986="","",#REF!))</f>
        <v>#REF!</v>
      </c>
      <c r="AC986" t="e">
        <f t="shared" ca="1" si="92"/>
        <v>#REF!</v>
      </c>
    </row>
    <row r="987" spans="1:29" x14ac:dyDescent="0.35">
      <c r="A987" t="e" cm="1">
        <f t="array" aca="1" ref="A987" ca="1">IF(A986="","",IF(OR(AND(A986+1&gt;=$AF$1,A986+1&lt;=$AF$2),AND(A986+1&gt;=$AF$6,A986+1&lt;=$AF$7),AND(A986+1&gt;=$AF$3,A986+1&lt;=$AF$4),AND(A986+1&gt;=$AF$8,A986+1&lt;=$AF$9),A986+1=$AF$5),IF(NOT(ISBLANK(INDIRECT("template!"&amp;"P"&amp;A986+1))),A986+1,IF(NOT(ISBLANK(INDIRECT("template!"&amp;"P"&amp;A986+2))),A986+2,A986+3)),IF(A986=$AF$2,$AF$3,IF(A986=$AF$4,$AF$5,IF(A986=$AF$5,$AF$6,IF(A986=$AF$7,$AF$8,""))))))</f>
        <v>#REF!</v>
      </c>
      <c r="B987" t="e">
        <f t="shared" ca="1" si="87"/>
        <v>#REF!</v>
      </c>
      <c r="C987" t="e" cm="1">
        <f t="array" aca="1" ref="C987" ca="1">IF(A987="","",IF(B987="safety","safety costs",INDIRECT("template!"&amp;"B"&amp;A987)))</f>
        <v>#REF!</v>
      </c>
      <c r="D987" t="e" cm="1">
        <f t="array" aca="1" ref="D987" ca="1">IF(OR(A987="",B987="safety"),"",INDIRECT("template!"&amp;"C"&amp;A987))</f>
        <v>#REF!</v>
      </c>
      <c r="E987" t="e" cm="1">
        <f t="array" aca="1" ref="E987" ca="1">IF(A987="","",IF(OR(A987=A986+1,A987=A986+2),E986,INDIRECT("template!"&amp;"D"&amp;A987-2)))</f>
        <v>#REF!</v>
      </c>
      <c r="F987" t="e" cm="1">
        <f t="array" aca="1" ref="F987" ca="1">IF(OR(A987="",B987="safety"),"",IF(ISBLANK(IF(A987=A986+1,F986,INDIRECT("template!"&amp;"D"&amp;A987-1))),"",IF(A987=A986+1,F986,INDIRECT("template!"&amp;"D"&amp;A987-1))))</f>
        <v>#REF!</v>
      </c>
      <c r="G987" t="e" cm="1">
        <f t="array" aca="1" ref="G987" ca="1">IF(OR(A987="",B987="safety"),"",IF(ISBLANK(INDIRECT("template!"&amp;"D"&amp;A987)),"",INDIRECT("template!"&amp;"D"&amp;A987)))</f>
        <v>#REF!</v>
      </c>
      <c r="H987" t="e" cm="1">
        <f t="array" aca="1" ref="H987" ca="1">IF(OR(A987="",B987="safety"),"",IF(ISBLANK(INDIRECT("template!"&amp;"E"&amp;A987)),"",INDIRECT("template!"&amp;"E"&amp;A987)))</f>
        <v>#REF!</v>
      </c>
      <c r="I987" t="e" cm="1">
        <f t="array" aca="1" ref="I987" ca="1">IF(OR(A987="",B987="safety"),"",IF(ISBLANK(INDIRECT("template!"&amp;"F"&amp;A987)),"",INDIRECT("template!"&amp;"F"&amp;A987)))</f>
        <v>#REF!</v>
      </c>
      <c r="J987" t="e" cm="1">
        <f t="array" aca="1" ref="J987" ca="1">IF(OR(A987="",B987="safety"),"",IF(ISBLANK(INDIRECT("template!"&amp;"G"&amp;A987)),"",INDIRECT("template!"&amp;"G"&amp;A987)))</f>
        <v>#REF!</v>
      </c>
      <c r="K987" t="e" cm="1">
        <f t="array" aca="1" ref="K987" ca="1">IF(OR(A987="",B987="safety"),"",IF(ISBLANK(INDIRECT("template!"&amp;"H"&amp;A987)),"",INDIRECT("template!"&amp;"H"&amp;A987)))</f>
        <v>#REF!</v>
      </c>
      <c r="L987" t="e" cm="1">
        <f t="array" aca="1" ref="L987" ca="1">IF(OR(A987="",B987="safety"),"",INDIRECT("template!"&amp;"I"&amp;A987))</f>
        <v>#REF!</v>
      </c>
      <c r="M987" t="e" cm="1">
        <f t="array" aca="1" ref="M987" ca="1">IF(OR(A987="",B987="safety"),"",INDIRECT("template!"&amp;"J"&amp;A987))</f>
        <v>#REF!</v>
      </c>
      <c r="N987" t="e" cm="1">
        <f t="array" aca="1" ref="N987" ca="1">IF(OR(A987="",B987="safety"),"",IF(ISBLANK(INDIRECT("template!"&amp;"K"&amp;A987)),"",INDIRECT("template!"&amp;"K"&amp;A987)))</f>
        <v>#REF!</v>
      </c>
      <c r="O987" t="e" cm="1">
        <f t="array" aca="1" ref="O987" ca="1">IF(OR(A987="",B987="safety"),"",INDIRECT("template!"&amp;"L"&amp;A987))</f>
        <v>#REF!</v>
      </c>
      <c r="P987" t="e" cm="1">
        <f t="array" aca="1" ref="P987" ca="1">IF(OR(A987="",B987="safety"),"",INDIRECT("template!"&amp;"M"&amp;A987))</f>
        <v>#REF!</v>
      </c>
      <c r="Q987" t="e">
        <f t="shared" ca="1" si="88"/>
        <v>#REF!</v>
      </c>
      <c r="R987" t="e">
        <f t="shared" ca="1" si="89"/>
        <v>#REF!</v>
      </c>
      <c r="S987" t="e">
        <f t="shared" ca="1" si="90"/>
        <v>#REF!</v>
      </c>
      <c r="T987" t="e">
        <f t="shared" ca="1" si="91"/>
        <v>#REF!</v>
      </c>
      <c r="U987" t="e" cm="1">
        <f t="array" aca="1" ref="U987" ca="1">IF(A987="","",IF(E987="","",IF(B987="safety",INDIRECT("template!"&amp;"P"&amp;A987),Q987+R987)))</f>
        <v>#REF!</v>
      </c>
      <c r="V987" t="e" cm="1">
        <f t="array" aca="1" ref="V987" ca="1">IF(A987="","",IF(E987="","",IF(B987="safety",INDIRECT("template!"&amp;"P"&amp;A987),S987+T987)))</f>
        <v>#REF!</v>
      </c>
      <c r="W987" t="e">
        <f ca="1">IF(A987="","",IF(E987="","",#REF!))</f>
        <v>#REF!</v>
      </c>
      <c r="X987" t="e">
        <f ca="1">IF(A987="","",IF(E987="","",#REF!))</f>
        <v>#REF!</v>
      </c>
      <c r="Y987" s="39" t="e">
        <f ca="1">IF(A987="","",IF(E987="","",#REF!))</f>
        <v>#REF!</v>
      </c>
      <c r="Z987" t="e">
        <f ca="1">IF(A987="","",IF(E987="","",#REF!))</f>
        <v>#REF!</v>
      </c>
      <c r="AA987" t="e">
        <f ca="1">IF(A987="","",IF(E987="","",#REF!))</f>
        <v>#REF!</v>
      </c>
      <c r="AB987" t="e">
        <f ca="1">IF(A987="","",IF(E987="","",#REF!))</f>
        <v>#REF!</v>
      </c>
      <c r="AC987" t="e">
        <f t="shared" ca="1" si="92"/>
        <v>#REF!</v>
      </c>
    </row>
    <row r="988" spans="1:29" x14ac:dyDescent="0.35">
      <c r="A988" t="e" cm="1">
        <f t="array" aca="1" ref="A988" ca="1">IF(A987="","",IF(OR(AND(A987+1&gt;=$AF$1,A987+1&lt;=$AF$2),AND(A987+1&gt;=$AF$6,A987+1&lt;=$AF$7),AND(A987+1&gt;=$AF$3,A987+1&lt;=$AF$4),AND(A987+1&gt;=$AF$8,A987+1&lt;=$AF$9),A987+1=$AF$5),IF(NOT(ISBLANK(INDIRECT("template!"&amp;"P"&amp;A987+1))),A987+1,IF(NOT(ISBLANK(INDIRECT("template!"&amp;"P"&amp;A987+2))),A987+2,A987+3)),IF(A987=$AF$2,$AF$3,IF(A987=$AF$4,$AF$5,IF(A987=$AF$5,$AF$6,IF(A987=$AF$7,$AF$8,""))))))</f>
        <v>#REF!</v>
      </c>
      <c r="B988" t="e">
        <f t="shared" ca="1" si="87"/>
        <v>#REF!</v>
      </c>
      <c r="C988" t="e" cm="1">
        <f t="array" aca="1" ref="C988" ca="1">IF(A988="","",IF(B988="safety","safety costs",INDIRECT("template!"&amp;"B"&amp;A988)))</f>
        <v>#REF!</v>
      </c>
      <c r="D988" t="e" cm="1">
        <f t="array" aca="1" ref="D988" ca="1">IF(OR(A988="",B988="safety"),"",INDIRECT("template!"&amp;"C"&amp;A988))</f>
        <v>#REF!</v>
      </c>
      <c r="E988" t="e" cm="1">
        <f t="array" aca="1" ref="E988" ca="1">IF(A988="","",IF(OR(A988=A987+1,A988=A987+2),E987,INDIRECT("template!"&amp;"D"&amp;A988-2)))</f>
        <v>#REF!</v>
      </c>
      <c r="F988" t="e" cm="1">
        <f t="array" aca="1" ref="F988" ca="1">IF(OR(A988="",B988="safety"),"",IF(ISBLANK(IF(A988=A987+1,F987,INDIRECT("template!"&amp;"D"&amp;A988-1))),"",IF(A988=A987+1,F987,INDIRECT("template!"&amp;"D"&amp;A988-1))))</f>
        <v>#REF!</v>
      </c>
      <c r="G988" t="e" cm="1">
        <f t="array" aca="1" ref="G988" ca="1">IF(OR(A988="",B988="safety"),"",IF(ISBLANK(INDIRECT("template!"&amp;"D"&amp;A988)),"",INDIRECT("template!"&amp;"D"&amp;A988)))</f>
        <v>#REF!</v>
      </c>
      <c r="H988" t="e" cm="1">
        <f t="array" aca="1" ref="H988" ca="1">IF(OR(A988="",B988="safety"),"",IF(ISBLANK(INDIRECT("template!"&amp;"E"&amp;A988)),"",INDIRECT("template!"&amp;"E"&amp;A988)))</f>
        <v>#REF!</v>
      </c>
      <c r="I988" t="e" cm="1">
        <f t="array" aca="1" ref="I988" ca="1">IF(OR(A988="",B988="safety"),"",IF(ISBLANK(INDIRECT("template!"&amp;"F"&amp;A988)),"",INDIRECT("template!"&amp;"F"&amp;A988)))</f>
        <v>#REF!</v>
      </c>
      <c r="J988" t="e" cm="1">
        <f t="array" aca="1" ref="J988" ca="1">IF(OR(A988="",B988="safety"),"",IF(ISBLANK(INDIRECT("template!"&amp;"G"&amp;A988)),"",INDIRECT("template!"&amp;"G"&amp;A988)))</f>
        <v>#REF!</v>
      </c>
      <c r="K988" t="e" cm="1">
        <f t="array" aca="1" ref="K988" ca="1">IF(OR(A988="",B988="safety"),"",IF(ISBLANK(INDIRECT("template!"&amp;"H"&amp;A988)),"",INDIRECT("template!"&amp;"H"&amp;A988)))</f>
        <v>#REF!</v>
      </c>
      <c r="L988" t="e" cm="1">
        <f t="array" aca="1" ref="L988" ca="1">IF(OR(A988="",B988="safety"),"",INDIRECT("template!"&amp;"I"&amp;A988))</f>
        <v>#REF!</v>
      </c>
      <c r="M988" t="e" cm="1">
        <f t="array" aca="1" ref="M988" ca="1">IF(OR(A988="",B988="safety"),"",INDIRECT("template!"&amp;"J"&amp;A988))</f>
        <v>#REF!</v>
      </c>
      <c r="N988" t="e" cm="1">
        <f t="array" aca="1" ref="N988" ca="1">IF(OR(A988="",B988="safety"),"",IF(ISBLANK(INDIRECT("template!"&amp;"K"&amp;A988)),"",INDIRECT("template!"&amp;"K"&amp;A988)))</f>
        <v>#REF!</v>
      </c>
      <c r="O988" t="e" cm="1">
        <f t="array" aca="1" ref="O988" ca="1">IF(OR(A988="",B988="safety"),"",INDIRECT("template!"&amp;"L"&amp;A988))</f>
        <v>#REF!</v>
      </c>
      <c r="P988" t="e" cm="1">
        <f t="array" aca="1" ref="P988" ca="1">IF(OR(A988="",B988="safety"),"",INDIRECT("template!"&amp;"M"&amp;A988))</f>
        <v>#REF!</v>
      </c>
      <c r="Q988" t="e">
        <f t="shared" ca="1" si="88"/>
        <v>#REF!</v>
      </c>
      <c r="R988" t="e">
        <f t="shared" ca="1" si="89"/>
        <v>#REF!</v>
      </c>
      <c r="S988" t="e">
        <f t="shared" ca="1" si="90"/>
        <v>#REF!</v>
      </c>
      <c r="T988" t="e">
        <f t="shared" ca="1" si="91"/>
        <v>#REF!</v>
      </c>
      <c r="U988" t="e" cm="1">
        <f t="array" aca="1" ref="U988" ca="1">IF(A988="","",IF(E988="","",IF(B988="safety",INDIRECT("template!"&amp;"P"&amp;A988),Q988+R988)))</f>
        <v>#REF!</v>
      </c>
      <c r="V988" t="e" cm="1">
        <f t="array" aca="1" ref="V988" ca="1">IF(A988="","",IF(E988="","",IF(B988="safety",INDIRECT("template!"&amp;"P"&amp;A988),S988+T988)))</f>
        <v>#REF!</v>
      </c>
      <c r="W988" t="e">
        <f ca="1">IF(A988="","",IF(E988="","",#REF!))</f>
        <v>#REF!</v>
      </c>
      <c r="X988" t="e">
        <f ca="1">IF(A988="","",IF(E988="","",#REF!))</f>
        <v>#REF!</v>
      </c>
      <c r="Y988" s="39" t="e">
        <f ca="1">IF(A988="","",IF(E988="","",#REF!))</f>
        <v>#REF!</v>
      </c>
      <c r="Z988" t="e">
        <f ca="1">IF(A988="","",IF(E988="","",#REF!))</f>
        <v>#REF!</v>
      </c>
      <c r="AA988" t="e">
        <f ca="1">IF(A988="","",IF(E988="","",#REF!))</f>
        <v>#REF!</v>
      </c>
      <c r="AB988" t="e">
        <f ca="1">IF(A988="","",IF(E988="","",#REF!))</f>
        <v>#REF!</v>
      </c>
      <c r="AC988" t="e">
        <f t="shared" ca="1" si="92"/>
        <v>#REF!</v>
      </c>
    </row>
    <row r="989" spans="1:29" x14ac:dyDescent="0.35">
      <c r="A989" t="e" cm="1">
        <f t="array" aca="1" ref="A989" ca="1">IF(A988="","",IF(OR(AND(A988+1&gt;=$AF$1,A988+1&lt;=$AF$2),AND(A988+1&gt;=$AF$6,A988+1&lt;=$AF$7),AND(A988+1&gt;=$AF$3,A988+1&lt;=$AF$4),AND(A988+1&gt;=$AF$8,A988+1&lt;=$AF$9),A988+1=$AF$5),IF(NOT(ISBLANK(INDIRECT("template!"&amp;"P"&amp;A988+1))),A988+1,IF(NOT(ISBLANK(INDIRECT("template!"&amp;"P"&amp;A988+2))),A988+2,A988+3)),IF(A988=$AF$2,$AF$3,IF(A988=$AF$4,$AF$5,IF(A988=$AF$5,$AF$6,IF(A988=$AF$7,$AF$8,""))))))</f>
        <v>#REF!</v>
      </c>
      <c r="B989" t="e">
        <f t="shared" ca="1" si="87"/>
        <v>#REF!</v>
      </c>
      <c r="C989" t="e" cm="1">
        <f t="array" aca="1" ref="C989" ca="1">IF(A989="","",IF(B989="safety","safety costs",INDIRECT("template!"&amp;"B"&amp;A989)))</f>
        <v>#REF!</v>
      </c>
      <c r="D989" t="e" cm="1">
        <f t="array" aca="1" ref="D989" ca="1">IF(OR(A989="",B989="safety"),"",INDIRECT("template!"&amp;"C"&amp;A989))</f>
        <v>#REF!</v>
      </c>
      <c r="E989" t="e" cm="1">
        <f t="array" aca="1" ref="E989" ca="1">IF(A989="","",IF(OR(A989=A988+1,A989=A988+2),E988,INDIRECT("template!"&amp;"D"&amp;A989-2)))</f>
        <v>#REF!</v>
      </c>
      <c r="F989" t="e" cm="1">
        <f t="array" aca="1" ref="F989" ca="1">IF(OR(A989="",B989="safety"),"",IF(ISBLANK(IF(A989=A988+1,F988,INDIRECT("template!"&amp;"D"&amp;A989-1))),"",IF(A989=A988+1,F988,INDIRECT("template!"&amp;"D"&amp;A989-1))))</f>
        <v>#REF!</v>
      </c>
      <c r="G989" t="e" cm="1">
        <f t="array" aca="1" ref="G989" ca="1">IF(OR(A989="",B989="safety"),"",IF(ISBLANK(INDIRECT("template!"&amp;"D"&amp;A989)),"",INDIRECT("template!"&amp;"D"&amp;A989)))</f>
        <v>#REF!</v>
      </c>
      <c r="H989" t="e" cm="1">
        <f t="array" aca="1" ref="H989" ca="1">IF(OR(A989="",B989="safety"),"",IF(ISBLANK(INDIRECT("template!"&amp;"E"&amp;A989)),"",INDIRECT("template!"&amp;"E"&amp;A989)))</f>
        <v>#REF!</v>
      </c>
      <c r="I989" t="e" cm="1">
        <f t="array" aca="1" ref="I989" ca="1">IF(OR(A989="",B989="safety"),"",IF(ISBLANK(INDIRECT("template!"&amp;"F"&amp;A989)),"",INDIRECT("template!"&amp;"F"&amp;A989)))</f>
        <v>#REF!</v>
      </c>
      <c r="J989" t="e" cm="1">
        <f t="array" aca="1" ref="J989" ca="1">IF(OR(A989="",B989="safety"),"",IF(ISBLANK(INDIRECT("template!"&amp;"G"&amp;A989)),"",INDIRECT("template!"&amp;"G"&amp;A989)))</f>
        <v>#REF!</v>
      </c>
      <c r="K989" t="e" cm="1">
        <f t="array" aca="1" ref="K989" ca="1">IF(OR(A989="",B989="safety"),"",IF(ISBLANK(INDIRECT("template!"&amp;"H"&amp;A989)),"",INDIRECT("template!"&amp;"H"&amp;A989)))</f>
        <v>#REF!</v>
      </c>
      <c r="L989" t="e" cm="1">
        <f t="array" aca="1" ref="L989" ca="1">IF(OR(A989="",B989="safety"),"",INDIRECT("template!"&amp;"I"&amp;A989))</f>
        <v>#REF!</v>
      </c>
      <c r="M989" t="e" cm="1">
        <f t="array" aca="1" ref="M989" ca="1">IF(OR(A989="",B989="safety"),"",INDIRECT("template!"&amp;"J"&amp;A989))</f>
        <v>#REF!</v>
      </c>
      <c r="N989" t="e" cm="1">
        <f t="array" aca="1" ref="N989" ca="1">IF(OR(A989="",B989="safety"),"",IF(ISBLANK(INDIRECT("template!"&amp;"K"&amp;A989)),"",INDIRECT("template!"&amp;"K"&amp;A989)))</f>
        <v>#REF!</v>
      </c>
      <c r="O989" t="e" cm="1">
        <f t="array" aca="1" ref="O989" ca="1">IF(OR(A989="",B989="safety"),"",INDIRECT("template!"&amp;"L"&amp;A989))</f>
        <v>#REF!</v>
      </c>
      <c r="P989" t="e" cm="1">
        <f t="array" aca="1" ref="P989" ca="1">IF(OR(A989="",B989="safety"),"",INDIRECT("template!"&amp;"M"&amp;A989))</f>
        <v>#REF!</v>
      </c>
      <c r="Q989" t="e">
        <f t="shared" ca="1" si="88"/>
        <v>#REF!</v>
      </c>
      <c r="R989" t="e">
        <f t="shared" ca="1" si="89"/>
        <v>#REF!</v>
      </c>
      <c r="S989" t="e">
        <f t="shared" ca="1" si="90"/>
        <v>#REF!</v>
      </c>
      <c r="T989" t="e">
        <f t="shared" ca="1" si="91"/>
        <v>#REF!</v>
      </c>
      <c r="U989" t="e" cm="1">
        <f t="array" aca="1" ref="U989" ca="1">IF(A989="","",IF(E989="","",IF(B989="safety",INDIRECT("template!"&amp;"P"&amp;A989),Q989+R989)))</f>
        <v>#REF!</v>
      </c>
      <c r="V989" t="e" cm="1">
        <f t="array" aca="1" ref="V989" ca="1">IF(A989="","",IF(E989="","",IF(B989="safety",INDIRECT("template!"&amp;"P"&amp;A989),S989+T989)))</f>
        <v>#REF!</v>
      </c>
      <c r="W989" t="e">
        <f ca="1">IF(A989="","",IF(E989="","",#REF!))</f>
        <v>#REF!</v>
      </c>
      <c r="X989" t="e">
        <f ca="1">IF(A989="","",IF(E989="","",#REF!))</f>
        <v>#REF!</v>
      </c>
      <c r="Y989" s="39" t="e">
        <f ca="1">IF(A989="","",IF(E989="","",#REF!))</f>
        <v>#REF!</v>
      </c>
      <c r="Z989" t="e">
        <f ca="1">IF(A989="","",IF(E989="","",#REF!))</f>
        <v>#REF!</v>
      </c>
      <c r="AA989" t="e">
        <f ca="1">IF(A989="","",IF(E989="","",#REF!))</f>
        <v>#REF!</v>
      </c>
      <c r="AB989" t="e">
        <f ca="1">IF(A989="","",IF(E989="","",#REF!))</f>
        <v>#REF!</v>
      </c>
      <c r="AC989" t="e">
        <f t="shared" ca="1" si="92"/>
        <v>#REF!</v>
      </c>
    </row>
    <row r="990" spans="1:29" x14ac:dyDescent="0.35">
      <c r="A990" t="e" cm="1">
        <f t="array" aca="1" ref="A990" ca="1">IF(A989="","",IF(OR(AND(A989+1&gt;=$AF$1,A989+1&lt;=$AF$2),AND(A989+1&gt;=$AF$6,A989+1&lt;=$AF$7),AND(A989+1&gt;=$AF$3,A989+1&lt;=$AF$4),AND(A989+1&gt;=$AF$8,A989+1&lt;=$AF$9),A989+1=$AF$5),IF(NOT(ISBLANK(INDIRECT("template!"&amp;"P"&amp;A989+1))),A989+1,IF(NOT(ISBLANK(INDIRECT("template!"&amp;"P"&amp;A989+2))),A989+2,A989+3)),IF(A989=$AF$2,$AF$3,IF(A989=$AF$4,$AF$5,IF(A989=$AF$5,$AF$6,IF(A989=$AF$7,$AF$8,""))))))</f>
        <v>#REF!</v>
      </c>
      <c r="B990" t="e">
        <f t="shared" ca="1" si="87"/>
        <v>#REF!</v>
      </c>
      <c r="C990" t="e" cm="1">
        <f t="array" aca="1" ref="C990" ca="1">IF(A990="","",IF(B990="safety","safety costs",INDIRECT("template!"&amp;"B"&amp;A990)))</f>
        <v>#REF!</v>
      </c>
      <c r="D990" t="e" cm="1">
        <f t="array" aca="1" ref="D990" ca="1">IF(OR(A990="",B990="safety"),"",INDIRECT("template!"&amp;"C"&amp;A990))</f>
        <v>#REF!</v>
      </c>
      <c r="E990" t="e" cm="1">
        <f t="array" aca="1" ref="E990" ca="1">IF(A990="","",IF(OR(A990=A989+1,A990=A989+2),E989,INDIRECT("template!"&amp;"D"&amp;A990-2)))</f>
        <v>#REF!</v>
      </c>
      <c r="F990" t="e" cm="1">
        <f t="array" aca="1" ref="F990" ca="1">IF(OR(A990="",B990="safety"),"",IF(ISBLANK(IF(A990=A989+1,F989,INDIRECT("template!"&amp;"D"&amp;A990-1))),"",IF(A990=A989+1,F989,INDIRECT("template!"&amp;"D"&amp;A990-1))))</f>
        <v>#REF!</v>
      </c>
      <c r="G990" t="e" cm="1">
        <f t="array" aca="1" ref="G990" ca="1">IF(OR(A990="",B990="safety"),"",IF(ISBLANK(INDIRECT("template!"&amp;"D"&amp;A990)),"",INDIRECT("template!"&amp;"D"&amp;A990)))</f>
        <v>#REF!</v>
      </c>
      <c r="H990" t="e" cm="1">
        <f t="array" aca="1" ref="H990" ca="1">IF(OR(A990="",B990="safety"),"",IF(ISBLANK(INDIRECT("template!"&amp;"E"&amp;A990)),"",INDIRECT("template!"&amp;"E"&amp;A990)))</f>
        <v>#REF!</v>
      </c>
      <c r="I990" t="e" cm="1">
        <f t="array" aca="1" ref="I990" ca="1">IF(OR(A990="",B990="safety"),"",IF(ISBLANK(INDIRECT("template!"&amp;"F"&amp;A990)),"",INDIRECT("template!"&amp;"F"&amp;A990)))</f>
        <v>#REF!</v>
      </c>
      <c r="J990" t="e" cm="1">
        <f t="array" aca="1" ref="J990" ca="1">IF(OR(A990="",B990="safety"),"",IF(ISBLANK(INDIRECT("template!"&amp;"G"&amp;A990)),"",INDIRECT("template!"&amp;"G"&amp;A990)))</f>
        <v>#REF!</v>
      </c>
      <c r="K990" t="e" cm="1">
        <f t="array" aca="1" ref="K990" ca="1">IF(OR(A990="",B990="safety"),"",IF(ISBLANK(INDIRECT("template!"&amp;"H"&amp;A990)),"",INDIRECT("template!"&amp;"H"&amp;A990)))</f>
        <v>#REF!</v>
      </c>
      <c r="L990" t="e" cm="1">
        <f t="array" aca="1" ref="L990" ca="1">IF(OR(A990="",B990="safety"),"",INDIRECT("template!"&amp;"I"&amp;A990))</f>
        <v>#REF!</v>
      </c>
      <c r="M990" t="e" cm="1">
        <f t="array" aca="1" ref="M990" ca="1">IF(OR(A990="",B990="safety"),"",INDIRECT("template!"&amp;"J"&amp;A990))</f>
        <v>#REF!</v>
      </c>
      <c r="N990" t="e" cm="1">
        <f t="array" aca="1" ref="N990" ca="1">IF(OR(A990="",B990="safety"),"",IF(ISBLANK(INDIRECT("template!"&amp;"K"&amp;A990)),"",INDIRECT("template!"&amp;"K"&amp;A990)))</f>
        <v>#REF!</v>
      </c>
      <c r="O990" t="e" cm="1">
        <f t="array" aca="1" ref="O990" ca="1">IF(OR(A990="",B990="safety"),"",INDIRECT("template!"&amp;"L"&amp;A990))</f>
        <v>#REF!</v>
      </c>
      <c r="P990" t="e" cm="1">
        <f t="array" aca="1" ref="P990" ca="1">IF(OR(A990="",B990="safety"),"",INDIRECT("template!"&amp;"M"&amp;A990))</f>
        <v>#REF!</v>
      </c>
      <c r="Q990" t="e">
        <f t="shared" ca="1" si="88"/>
        <v>#REF!</v>
      </c>
      <c r="R990" t="e">
        <f t="shared" ca="1" si="89"/>
        <v>#REF!</v>
      </c>
      <c r="S990" t="e">
        <f t="shared" ca="1" si="90"/>
        <v>#REF!</v>
      </c>
      <c r="T990" t="e">
        <f t="shared" ca="1" si="91"/>
        <v>#REF!</v>
      </c>
      <c r="U990" t="e" cm="1">
        <f t="array" aca="1" ref="U990" ca="1">IF(A990="","",IF(E990="","",IF(B990="safety",INDIRECT("template!"&amp;"P"&amp;A990),Q990+R990)))</f>
        <v>#REF!</v>
      </c>
      <c r="V990" t="e" cm="1">
        <f t="array" aca="1" ref="V990" ca="1">IF(A990="","",IF(E990="","",IF(B990="safety",INDIRECT("template!"&amp;"P"&amp;A990),S990+T990)))</f>
        <v>#REF!</v>
      </c>
      <c r="W990" t="e">
        <f ca="1">IF(A990="","",IF(E990="","",#REF!))</f>
        <v>#REF!</v>
      </c>
      <c r="X990" t="e">
        <f ca="1">IF(A990="","",IF(E990="","",#REF!))</f>
        <v>#REF!</v>
      </c>
      <c r="Y990" s="39" t="e">
        <f ca="1">IF(A990="","",IF(E990="","",#REF!))</f>
        <v>#REF!</v>
      </c>
      <c r="Z990" t="e">
        <f ca="1">IF(A990="","",IF(E990="","",#REF!))</f>
        <v>#REF!</v>
      </c>
      <c r="AA990" t="e">
        <f ca="1">IF(A990="","",IF(E990="","",#REF!))</f>
        <v>#REF!</v>
      </c>
      <c r="AB990" t="e">
        <f ca="1">IF(A990="","",IF(E990="","",#REF!))</f>
        <v>#REF!</v>
      </c>
      <c r="AC990" t="e">
        <f t="shared" ca="1" si="92"/>
        <v>#REF!</v>
      </c>
    </row>
    <row r="991" spans="1:29" x14ac:dyDescent="0.35">
      <c r="A991" t="e" cm="1">
        <f t="array" aca="1" ref="A991" ca="1">IF(A990="","",IF(OR(AND(A990+1&gt;=$AF$1,A990+1&lt;=$AF$2),AND(A990+1&gt;=$AF$6,A990+1&lt;=$AF$7),AND(A990+1&gt;=$AF$3,A990+1&lt;=$AF$4),AND(A990+1&gt;=$AF$8,A990+1&lt;=$AF$9),A990+1=$AF$5),IF(NOT(ISBLANK(INDIRECT("template!"&amp;"P"&amp;A990+1))),A990+1,IF(NOT(ISBLANK(INDIRECT("template!"&amp;"P"&amp;A990+2))),A990+2,A990+3)),IF(A990=$AF$2,$AF$3,IF(A990=$AF$4,$AF$5,IF(A990=$AF$5,$AF$6,IF(A990=$AF$7,$AF$8,""))))))</f>
        <v>#REF!</v>
      </c>
      <c r="B991" t="e">
        <f t="shared" ca="1" si="87"/>
        <v>#REF!</v>
      </c>
      <c r="C991" t="e" cm="1">
        <f t="array" aca="1" ref="C991" ca="1">IF(A991="","",IF(B991="safety","safety costs",INDIRECT("template!"&amp;"B"&amp;A991)))</f>
        <v>#REF!</v>
      </c>
      <c r="D991" t="e" cm="1">
        <f t="array" aca="1" ref="D991" ca="1">IF(OR(A991="",B991="safety"),"",INDIRECT("template!"&amp;"C"&amp;A991))</f>
        <v>#REF!</v>
      </c>
      <c r="E991" t="e" cm="1">
        <f t="array" aca="1" ref="E991" ca="1">IF(A991="","",IF(OR(A991=A990+1,A991=A990+2),E990,INDIRECT("template!"&amp;"D"&amp;A991-2)))</f>
        <v>#REF!</v>
      </c>
      <c r="F991" t="e" cm="1">
        <f t="array" aca="1" ref="F991" ca="1">IF(OR(A991="",B991="safety"),"",IF(ISBLANK(IF(A991=A990+1,F990,INDIRECT("template!"&amp;"D"&amp;A991-1))),"",IF(A991=A990+1,F990,INDIRECT("template!"&amp;"D"&amp;A991-1))))</f>
        <v>#REF!</v>
      </c>
      <c r="G991" t="e" cm="1">
        <f t="array" aca="1" ref="G991" ca="1">IF(OR(A991="",B991="safety"),"",IF(ISBLANK(INDIRECT("template!"&amp;"D"&amp;A991)),"",INDIRECT("template!"&amp;"D"&amp;A991)))</f>
        <v>#REF!</v>
      </c>
      <c r="H991" t="e" cm="1">
        <f t="array" aca="1" ref="H991" ca="1">IF(OR(A991="",B991="safety"),"",IF(ISBLANK(INDIRECT("template!"&amp;"E"&amp;A991)),"",INDIRECT("template!"&amp;"E"&amp;A991)))</f>
        <v>#REF!</v>
      </c>
      <c r="I991" t="e" cm="1">
        <f t="array" aca="1" ref="I991" ca="1">IF(OR(A991="",B991="safety"),"",IF(ISBLANK(INDIRECT("template!"&amp;"F"&amp;A991)),"",INDIRECT("template!"&amp;"F"&amp;A991)))</f>
        <v>#REF!</v>
      </c>
      <c r="J991" t="e" cm="1">
        <f t="array" aca="1" ref="J991" ca="1">IF(OR(A991="",B991="safety"),"",IF(ISBLANK(INDIRECT("template!"&amp;"G"&amp;A991)),"",INDIRECT("template!"&amp;"G"&amp;A991)))</f>
        <v>#REF!</v>
      </c>
      <c r="K991" t="e" cm="1">
        <f t="array" aca="1" ref="K991" ca="1">IF(OR(A991="",B991="safety"),"",IF(ISBLANK(INDIRECT("template!"&amp;"H"&amp;A991)),"",INDIRECT("template!"&amp;"H"&amp;A991)))</f>
        <v>#REF!</v>
      </c>
      <c r="L991" t="e" cm="1">
        <f t="array" aca="1" ref="L991" ca="1">IF(OR(A991="",B991="safety"),"",INDIRECT("template!"&amp;"I"&amp;A991))</f>
        <v>#REF!</v>
      </c>
      <c r="M991" t="e" cm="1">
        <f t="array" aca="1" ref="M991" ca="1">IF(OR(A991="",B991="safety"),"",INDIRECT("template!"&amp;"J"&amp;A991))</f>
        <v>#REF!</v>
      </c>
      <c r="N991" t="e" cm="1">
        <f t="array" aca="1" ref="N991" ca="1">IF(OR(A991="",B991="safety"),"",IF(ISBLANK(INDIRECT("template!"&amp;"K"&amp;A991)),"",INDIRECT("template!"&amp;"K"&amp;A991)))</f>
        <v>#REF!</v>
      </c>
      <c r="O991" t="e" cm="1">
        <f t="array" aca="1" ref="O991" ca="1">IF(OR(A991="",B991="safety"),"",INDIRECT("template!"&amp;"L"&amp;A991))</f>
        <v>#REF!</v>
      </c>
      <c r="P991" t="e" cm="1">
        <f t="array" aca="1" ref="P991" ca="1">IF(OR(A991="",B991="safety"),"",INDIRECT("template!"&amp;"M"&amp;A991))</f>
        <v>#REF!</v>
      </c>
      <c r="Q991" t="e">
        <f t="shared" ca="1" si="88"/>
        <v>#REF!</v>
      </c>
      <c r="R991" t="e">
        <f t="shared" ca="1" si="89"/>
        <v>#REF!</v>
      </c>
      <c r="S991" t="e">
        <f t="shared" ca="1" si="90"/>
        <v>#REF!</v>
      </c>
      <c r="T991" t="e">
        <f t="shared" ca="1" si="91"/>
        <v>#REF!</v>
      </c>
      <c r="U991" t="e" cm="1">
        <f t="array" aca="1" ref="U991" ca="1">IF(A991="","",IF(E991="","",IF(B991="safety",INDIRECT("template!"&amp;"P"&amp;A991),Q991+R991)))</f>
        <v>#REF!</v>
      </c>
      <c r="V991" t="e" cm="1">
        <f t="array" aca="1" ref="V991" ca="1">IF(A991="","",IF(E991="","",IF(B991="safety",INDIRECT("template!"&amp;"P"&amp;A991),S991+T991)))</f>
        <v>#REF!</v>
      </c>
      <c r="W991" t="e">
        <f ca="1">IF(A991="","",IF(E991="","",#REF!))</f>
        <v>#REF!</v>
      </c>
      <c r="X991" t="e">
        <f ca="1">IF(A991="","",IF(E991="","",#REF!))</f>
        <v>#REF!</v>
      </c>
      <c r="Y991" s="39" t="e">
        <f ca="1">IF(A991="","",IF(E991="","",#REF!))</f>
        <v>#REF!</v>
      </c>
      <c r="Z991" t="e">
        <f ca="1">IF(A991="","",IF(E991="","",#REF!))</f>
        <v>#REF!</v>
      </c>
      <c r="AA991" t="e">
        <f ca="1">IF(A991="","",IF(E991="","",#REF!))</f>
        <v>#REF!</v>
      </c>
      <c r="AB991" t="e">
        <f ca="1">IF(A991="","",IF(E991="","",#REF!))</f>
        <v>#REF!</v>
      </c>
      <c r="AC991" t="e">
        <f t="shared" ca="1" si="92"/>
        <v>#REF!</v>
      </c>
    </row>
    <row r="992" spans="1:29" x14ac:dyDescent="0.35">
      <c r="A992" t="e" cm="1">
        <f t="array" aca="1" ref="A992" ca="1">IF(A991="","",IF(OR(AND(A991+1&gt;=$AF$1,A991+1&lt;=$AF$2),AND(A991+1&gt;=$AF$6,A991+1&lt;=$AF$7),AND(A991+1&gt;=$AF$3,A991+1&lt;=$AF$4),AND(A991+1&gt;=$AF$8,A991+1&lt;=$AF$9),A991+1=$AF$5),IF(NOT(ISBLANK(INDIRECT("template!"&amp;"P"&amp;A991+1))),A991+1,IF(NOT(ISBLANK(INDIRECT("template!"&amp;"P"&amp;A991+2))),A991+2,A991+3)),IF(A991=$AF$2,$AF$3,IF(A991=$AF$4,$AF$5,IF(A991=$AF$5,$AF$6,IF(A991=$AF$7,$AF$8,""))))))</f>
        <v>#REF!</v>
      </c>
      <c r="B992" t="e">
        <f t="shared" ca="1" si="87"/>
        <v>#REF!</v>
      </c>
      <c r="C992" t="e" cm="1">
        <f t="array" aca="1" ref="C992" ca="1">IF(A992="","",IF(B992="safety","safety costs",INDIRECT("template!"&amp;"B"&amp;A992)))</f>
        <v>#REF!</v>
      </c>
      <c r="D992" t="e" cm="1">
        <f t="array" aca="1" ref="D992" ca="1">IF(OR(A992="",B992="safety"),"",INDIRECT("template!"&amp;"C"&amp;A992))</f>
        <v>#REF!</v>
      </c>
      <c r="E992" t="e" cm="1">
        <f t="array" aca="1" ref="E992" ca="1">IF(A992="","",IF(OR(A992=A991+1,A992=A991+2),E991,INDIRECT("template!"&amp;"D"&amp;A992-2)))</f>
        <v>#REF!</v>
      </c>
      <c r="F992" t="e" cm="1">
        <f t="array" aca="1" ref="F992" ca="1">IF(OR(A992="",B992="safety"),"",IF(ISBLANK(IF(A992=A991+1,F991,INDIRECT("template!"&amp;"D"&amp;A992-1))),"",IF(A992=A991+1,F991,INDIRECT("template!"&amp;"D"&amp;A992-1))))</f>
        <v>#REF!</v>
      </c>
      <c r="G992" t="e" cm="1">
        <f t="array" aca="1" ref="G992" ca="1">IF(OR(A992="",B992="safety"),"",IF(ISBLANK(INDIRECT("template!"&amp;"D"&amp;A992)),"",INDIRECT("template!"&amp;"D"&amp;A992)))</f>
        <v>#REF!</v>
      </c>
      <c r="H992" t="e" cm="1">
        <f t="array" aca="1" ref="H992" ca="1">IF(OR(A992="",B992="safety"),"",IF(ISBLANK(INDIRECT("template!"&amp;"E"&amp;A992)),"",INDIRECT("template!"&amp;"E"&amp;A992)))</f>
        <v>#REF!</v>
      </c>
      <c r="I992" t="e" cm="1">
        <f t="array" aca="1" ref="I992" ca="1">IF(OR(A992="",B992="safety"),"",IF(ISBLANK(INDIRECT("template!"&amp;"F"&amp;A992)),"",INDIRECT("template!"&amp;"F"&amp;A992)))</f>
        <v>#REF!</v>
      </c>
      <c r="J992" t="e" cm="1">
        <f t="array" aca="1" ref="J992" ca="1">IF(OR(A992="",B992="safety"),"",IF(ISBLANK(INDIRECT("template!"&amp;"G"&amp;A992)),"",INDIRECT("template!"&amp;"G"&amp;A992)))</f>
        <v>#REF!</v>
      </c>
      <c r="K992" t="e" cm="1">
        <f t="array" aca="1" ref="K992" ca="1">IF(OR(A992="",B992="safety"),"",IF(ISBLANK(INDIRECT("template!"&amp;"H"&amp;A992)),"",INDIRECT("template!"&amp;"H"&amp;A992)))</f>
        <v>#REF!</v>
      </c>
      <c r="L992" t="e" cm="1">
        <f t="array" aca="1" ref="L992" ca="1">IF(OR(A992="",B992="safety"),"",INDIRECT("template!"&amp;"I"&amp;A992))</f>
        <v>#REF!</v>
      </c>
      <c r="M992" t="e" cm="1">
        <f t="array" aca="1" ref="M992" ca="1">IF(OR(A992="",B992="safety"),"",INDIRECT("template!"&amp;"J"&amp;A992))</f>
        <v>#REF!</v>
      </c>
      <c r="N992" t="e" cm="1">
        <f t="array" aca="1" ref="N992" ca="1">IF(OR(A992="",B992="safety"),"",IF(ISBLANK(INDIRECT("template!"&amp;"K"&amp;A992)),"",INDIRECT("template!"&amp;"K"&amp;A992)))</f>
        <v>#REF!</v>
      </c>
      <c r="O992" t="e" cm="1">
        <f t="array" aca="1" ref="O992" ca="1">IF(OR(A992="",B992="safety"),"",INDIRECT("template!"&amp;"L"&amp;A992))</f>
        <v>#REF!</v>
      </c>
      <c r="P992" t="e" cm="1">
        <f t="array" aca="1" ref="P992" ca="1">IF(OR(A992="",B992="safety"),"",INDIRECT("template!"&amp;"M"&amp;A992))</f>
        <v>#REF!</v>
      </c>
      <c r="Q992" t="e">
        <f t="shared" ca="1" si="88"/>
        <v>#REF!</v>
      </c>
      <c r="R992" t="e">
        <f t="shared" ca="1" si="89"/>
        <v>#REF!</v>
      </c>
      <c r="S992" t="e">
        <f t="shared" ca="1" si="90"/>
        <v>#REF!</v>
      </c>
      <c r="T992" t="e">
        <f t="shared" ca="1" si="91"/>
        <v>#REF!</v>
      </c>
      <c r="U992" t="e" cm="1">
        <f t="array" aca="1" ref="U992" ca="1">IF(A992="","",IF(E992="","",IF(B992="safety",INDIRECT("template!"&amp;"P"&amp;A992),Q992+R992)))</f>
        <v>#REF!</v>
      </c>
      <c r="V992" t="e" cm="1">
        <f t="array" aca="1" ref="V992" ca="1">IF(A992="","",IF(E992="","",IF(B992="safety",INDIRECT("template!"&amp;"P"&amp;A992),S992+T992)))</f>
        <v>#REF!</v>
      </c>
      <c r="W992" t="e">
        <f ca="1">IF(A992="","",IF(E992="","",#REF!))</f>
        <v>#REF!</v>
      </c>
      <c r="X992" t="e">
        <f ca="1">IF(A992="","",IF(E992="","",#REF!))</f>
        <v>#REF!</v>
      </c>
      <c r="Y992" s="39" t="e">
        <f ca="1">IF(A992="","",IF(E992="","",#REF!))</f>
        <v>#REF!</v>
      </c>
      <c r="Z992" t="e">
        <f ca="1">IF(A992="","",IF(E992="","",#REF!))</f>
        <v>#REF!</v>
      </c>
      <c r="AA992" t="e">
        <f ca="1">IF(A992="","",IF(E992="","",#REF!))</f>
        <v>#REF!</v>
      </c>
      <c r="AB992" t="e">
        <f ca="1">IF(A992="","",IF(E992="","",#REF!))</f>
        <v>#REF!</v>
      </c>
      <c r="AC992" t="e">
        <f t="shared" ca="1" si="92"/>
        <v>#REF!</v>
      </c>
    </row>
    <row r="993" spans="1:29" x14ac:dyDescent="0.35">
      <c r="A993" t="e" cm="1">
        <f t="array" aca="1" ref="A993" ca="1">IF(A992="","",IF(OR(AND(A992+1&gt;=$AF$1,A992+1&lt;=$AF$2),AND(A992+1&gt;=$AF$6,A992+1&lt;=$AF$7),AND(A992+1&gt;=$AF$3,A992+1&lt;=$AF$4),AND(A992+1&gt;=$AF$8,A992+1&lt;=$AF$9),A992+1=$AF$5),IF(NOT(ISBLANK(INDIRECT("template!"&amp;"P"&amp;A992+1))),A992+1,IF(NOT(ISBLANK(INDIRECT("template!"&amp;"P"&amp;A992+2))),A992+2,A992+3)),IF(A992=$AF$2,$AF$3,IF(A992=$AF$4,$AF$5,IF(A992=$AF$5,$AF$6,IF(A992=$AF$7,$AF$8,""))))))</f>
        <v>#REF!</v>
      </c>
      <c r="B993" t="e">
        <f t="shared" ca="1" si="87"/>
        <v>#REF!</v>
      </c>
      <c r="C993" t="e" cm="1">
        <f t="array" aca="1" ref="C993" ca="1">IF(A993="","",IF(B993="safety","safety costs",INDIRECT("template!"&amp;"B"&amp;A993)))</f>
        <v>#REF!</v>
      </c>
      <c r="D993" t="e" cm="1">
        <f t="array" aca="1" ref="D993" ca="1">IF(OR(A993="",B993="safety"),"",INDIRECT("template!"&amp;"C"&amp;A993))</f>
        <v>#REF!</v>
      </c>
      <c r="E993" t="e" cm="1">
        <f t="array" aca="1" ref="E993" ca="1">IF(A993="","",IF(OR(A993=A992+1,A993=A992+2),E992,INDIRECT("template!"&amp;"D"&amp;A993-2)))</f>
        <v>#REF!</v>
      </c>
      <c r="F993" t="e" cm="1">
        <f t="array" aca="1" ref="F993" ca="1">IF(OR(A993="",B993="safety"),"",IF(ISBLANK(IF(A993=A992+1,F992,INDIRECT("template!"&amp;"D"&amp;A993-1))),"",IF(A993=A992+1,F992,INDIRECT("template!"&amp;"D"&amp;A993-1))))</f>
        <v>#REF!</v>
      </c>
      <c r="G993" t="e" cm="1">
        <f t="array" aca="1" ref="G993" ca="1">IF(OR(A993="",B993="safety"),"",IF(ISBLANK(INDIRECT("template!"&amp;"D"&amp;A993)),"",INDIRECT("template!"&amp;"D"&amp;A993)))</f>
        <v>#REF!</v>
      </c>
      <c r="H993" t="e" cm="1">
        <f t="array" aca="1" ref="H993" ca="1">IF(OR(A993="",B993="safety"),"",IF(ISBLANK(INDIRECT("template!"&amp;"E"&amp;A993)),"",INDIRECT("template!"&amp;"E"&amp;A993)))</f>
        <v>#REF!</v>
      </c>
      <c r="I993" t="e" cm="1">
        <f t="array" aca="1" ref="I993" ca="1">IF(OR(A993="",B993="safety"),"",IF(ISBLANK(INDIRECT("template!"&amp;"F"&amp;A993)),"",INDIRECT("template!"&amp;"F"&amp;A993)))</f>
        <v>#REF!</v>
      </c>
      <c r="J993" t="e" cm="1">
        <f t="array" aca="1" ref="J993" ca="1">IF(OR(A993="",B993="safety"),"",IF(ISBLANK(INDIRECT("template!"&amp;"G"&amp;A993)),"",INDIRECT("template!"&amp;"G"&amp;A993)))</f>
        <v>#REF!</v>
      </c>
      <c r="K993" t="e" cm="1">
        <f t="array" aca="1" ref="K993" ca="1">IF(OR(A993="",B993="safety"),"",IF(ISBLANK(INDIRECT("template!"&amp;"H"&amp;A993)),"",INDIRECT("template!"&amp;"H"&amp;A993)))</f>
        <v>#REF!</v>
      </c>
      <c r="L993" t="e" cm="1">
        <f t="array" aca="1" ref="L993" ca="1">IF(OR(A993="",B993="safety"),"",INDIRECT("template!"&amp;"I"&amp;A993))</f>
        <v>#REF!</v>
      </c>
      <c r="M993" t="e" cm="1">
        <f t="array" aca="1" ref="M993" ca="1">IF(OR(A993="",B993="safety"),"",INDIRECT("template!"&amp;"J"&amp;A993))</f>
        <v>#REF!</v>
      </c>
      <c r="N993" t="e" cm="1">
        <f t="array" aca="1" ref="N993" ca="1">IF(OR(A993="",B993="safety"),"",IF(ISBLANK(INDIRECT("template!"&amp;"K"&amp;A993)),"",INDIRECT("template!"&amp;"K"&amp;A993)))</f>
        <v>#REF!</v>
      </c>
      <c r="O993" t="e" cm="1">
        <f t="array" aca="1" ref="O993" ca="1">IF(OR(A993="",B993="safety"),"",INDIRECT("template!"&amp;"L"&amp;A993))</f>
        <v>#REF!</v>
      </c>
      <c r="P993" t="e" cm="1">
        <f t="array" aca="1" ref="P993" ca="1">IF(OR(A993="",B993="safety"),"",INDIRECT("template!"&amp;"M"&amp;A993))</f>
        <v>#REF!</v>
      </c>
      <c r="Q993" t="e">
        <f t="shared" ca="1" si="88"/>
        <v>#REF!</v>
      </c>
      <c r="R993" t="e">
        <f t="shared" ca="1" si="89"/>
        <v>#REF!</v>
      </c>
      <c r="S993" t="e">
        <f t="shared" ca="1" si="90"/>
        <v>#REF!</v>
      </c>
      <c r="T993" t="e">
        <f t="shared" ca="1" si="91"/>
        <v>#REF!</v>
      </c>
      <c r="U993" t="e" cm="1">
        <f t="array" aca="1" ref="U993" ca="1">IF(A993="","",IF(E993="","",IF(B993="safety",INDIRECT("template!"&amp;"P"&amp;A993),Q993+R993)))</f>
        <v>#REF!</v>
      </c>
      <c r="V993" t="e" cm="1">
        <f t="array" aca="1" ref="V993" ca="1">IF(A993="","",IF(E993="","",IF(B993="safety",INDIRECT("template!"&amp;"P"&amp;A993),S993+T993)))</f>
        <v>#REF!</v>
      </c>
      <c r="W993" t="e">
        <f ca="1">IF(A993="","",IF(E993="","",#REF!))</f>
        <v>#REF!</v>
      </c>
      <c r="X993" t="e">
        <f ca="1">IF(A993="","",IF(E993="","",#REF!))</f>
        <v>#REF!</v>
      </c>
      <c r="Y993" s="39" t="e">
        <f ca="1">IF(A993="","",IF(E993="","",#REF!))</f>
        <v>#REF!</v>
      </c>
      <c r="Z993" t="e">
        <f ca="1">IF(A993="","",IF(E993="","",#REF!))</f>
        <v>#REF!</v>
      </c>
      <c r="AA993" t="e">
        <f ca="1">IF(A993="","",IF(E993="","",#REF!))</f>
        <v>#REF!</v>
      </c>
      <c r="AB993" t="e">
        <f ca="1">IF(A993="","",IF(E993="","",#REF!))</f>
        <v>#REF!</v>
      </c>
      <c r="AC993" t="e">
        <f t="shared" ca="1" si="92"/>
        <v>#REF!</v>
      </c>
    </row>
    <row r="994" spans="1:29" x14ac:dyDescent="0.35">
      <c r="A994" t="e" cm="1">
        <f t="array" aca="1" ref="A994" ca="1">IF(A993="","",IF(OR(AND(A993+1&gt;=$AF$1,A993+1&lt;=$AF$2),AND(A993+1&gt;=$AF$6,A993+1&lt;=$AF$7),AND(A993+1&gt;=$AF$3,A993+1&lt;=$AF$4),AND(A993+1&gt;=$AF$8,A993+1&lt;=$AF$9),A993+1=$AF$5),IF(NOT(ISBLANK(INDIRECT("template!"&amp;"P"&amp;A993+1))),A993+1,IF(NOT(ISBLANK(INDIRECT("template!"&amp;"P"&amp;A993+2))),A993+2,A993+3)),IF(A993=$AF$2,$AF$3,IF(A993=$AF$4,$AF$5,IF(A993=$AF$5,$AF$6,IF(A993=$AF$7,$AF$8,""))))))</f>
        <v>#REF!</v>
      </c>
      <c r="B994" t="e">
        <f t="shared" ca="1" si="87"/>
        <v>#REF!</v>
      </c>
      <c r="C994" t="e" cm="1">
        <f t="array" aca="1" ref="C994" ca="1">IF(A994="","",IF(B994="safety","safety costs",INDIRECT("template!"&amp;"B"&amp;A994)))</f>
        <v>#REF!</v>
      </c>
      <c r="D994" t="e" cm="1">
        <f t="array" aca="1" ref="D994" ca="1">IF(OR(A994="",B994="safety"),"",INDIRECT("template!"&amp;"C"&amp;A994))</f>
        <v>#REF!</v>
      </c>
      <c r="E994" t="e" cm="1">
        <f t="array" aca="1" ref="E994" ca="1">IF(A994="","",IF(OR(A994=A993+1,A994=A993+2),E993,INDIRECT("template!"&amp;"D"&amp;A994-2)))</f>
        <v>#REF!</v>
      </c>
      <c r="F994" t="e" cm="1">
        <f t="array" aca="1" ref="F994" ca="1">IF(OR(A994="",B994="safety"),"",IF(ISBLANK(IF(A994=A993+1,F993,INDIRECT("template!"&amp;"D"&amp;A994-1))),"",IF(A994=A993+1,F993,INDIRECT("template!"&amp;"D"&amp;A994-1))))</f>
        <v>#REF!</v>
      </c>
      <c r="G994" t="e" cm="1">
        <f t="array" aca="1" ref="G994" ca="1">IF(OR(A994="",B994="safety"),"",IF(ISBLANK(INDIRECT("template!"&amp;"D"&amp;A994)),"",INDIRECT("template!"&amp;"D"&amp;A994)))</f>
        <v>#REF!</v>
      </c>
      <c r="H994" t="e" cm="1">
        <f t="array" aca="1" ref="H994" ca="1">IF(OR(A994="",B994="safety"),"",IF(ISBLANK(INDIRECT("template!"&amp;"E"&amp;A994)),"",INDIRECT("template!"&amp;"E"&amp;A994)))</f>
        <v>#REF!</v>
      </c>
      <c r="I994" t="e" cm="1">
        <f t="array" aca="1" ref="I994" ca="1">IF(OR(A994="",B994="safety"),"",IF(ISBLANK(INDIRECT("template!"&amp;"F"&amp;A994)),"",INDIRECT("template!"&amp;"F"&amp;A994)))</f>
        <v>#REF!</v>
      </c>
      <c r="J994" t="e" cm="1">
        <f t="array" aca="1" ref="J994" ca="1">IF(OR(A994="",B994="safety"),"",IF(ISBLANK(INDIRECT("template!"&amp;"G"&amp;A994)),"",INDIRECT("template!"&amp;"G"&amp;A994)))</f>
        <v>#REF!</v>
      </c>
      <c r="K994" t="e" cm="1">
        <f t="array" aca="1" ref="K994" ca="1">IF(OR(A994="",B994="safety"),"",IF(ISBLANK(INDIRECT("template!"&amp;"H"&amp;A994)),"",INDIRECT("template!"&amp;"H"&amp;A994)))</f>
        <v>#REF!</v>
      </c>
      <c r="L994" t="e" cm="1">
        <f t="array" aca="1" ref="L994" ca="1">IF(OR(A994="",B994="safety"),"",INDIRECT("template!"&amp;"I"&amp;A994))</f>
        <v>#REF!</v>
      </c>
      <c r="M994" t="e" cm="1">
        <f t="array" aca="1" ref="M994" ca="1">IF(OR(A994="",B994="safety"),"",INDIRECT("template!"&amp;"J"&amp;A994))</f>
        <v>#REF!</v>
      </c>
      <c r="N994" t="e" cm="1">
        <f t="array" aca="1" ref="N994" ca="1">IF(OR(A994="",B994="safety"),"",IF(ISBLANK(INDIRECT("template!"&amp;"K"&amp;A994)),"",INDIRECT("template!"&amp;"K"&amp;A994)))</f>
        <v>#REF!</v>
      </c>
      <c r="O994" t="e" cm="1">
        <f t="array" aca="1" ref="O994" ca="1">IF(OR(A994="",B994="safety"),"",INDIRECT("template!"&amp;"L"&amp;A994))</f>
        <v>#REF!</v>
      </c>
      <c r="P994" t="e" cm="1">
        <f t="array" aca="1" ref="P994" ca="1">IF(OR(A994="",B994="safety"),"",INDIRECT("template!"&amp;"M"&amp;A994))</f>
        <v>#REF!</v>
      </c>
      <c r="Q994" t="e">
        <f t="shared" ca="1" si="88"/>
        <v>#REF!</v>
      </c>
      <c r="R994" t="e">
        <f t="shared" ca="1" si="89"/>
        <v>#REF!</v>
      </c>
      <c r="S994" t="e">
        <f t="shared" ca="1" si="90"/>
        <v>#REF!</v>
      </c>
      <c r="T994" t="e">
        <f t="shared" ca="1" si="91"/>
        <v>#REF!</v>
      </c>
      <c r="U994" t="e" cm="1">
        <f t="array" aca="1" ref="U994" ca="1">IF(A994="","",IF(E994="","",IF(B994="safety",INDIRECT("template!"&amp;"P"&amp;A994),Q994+R994)))</f>
        <v>#REF!</v>
      </c>
      <c r="V994" t="e" cm="1">
        <f t="array" aca="1" ref="V994" ca="1">IF(A994="","",IF(E994="","",IF(B994="safety",INDIRECT("template!"&amp;"P"&amp;A994),S994+T994)))</f>
        <v>#REF!</v>
      </c>
      <c r="W994" t="e">
        <f ca="1">IF(A994="","",IF(E994="","",#REF!))</f>
        <v>#REF!</v>
      </c>
      <c r="X994" t="e">
        <f ca="1">IF(A994="","",IF(E994="","",#REF!))</f>
        <v>#REF!</v>
      </c>
      <c r="Y994" s="39" t="e">
        <f ca="1">IF(A994="","",IF(E994="","",#REF!))</f>
        <v>#REF!</v>
      </c>
      <c r="Z994" t="e">
        <f ca="1">IF(A994="","",IF(E994="","",#REF!))</f>
        <v>#REF!</v>
      </c>
      <c r="AA994" t="e">
        <f ca="1">IF(A994="","",IF(E994="","",#REF!))</f>
        <v>#REF!</v>
      </c>
      <c r="AB994" t="e">
        <f ca="1">IF(A994="","",IF(E994="","",#REF!))</f>
        <v>#REF!</v>
      </c>
      <c r="AC994" t="e">
        <f t="shared" ca="1" si="92"/>
        <v>#REF!</v>
      </c>
    </row>
    <row r="995" spans="1:29" x14ac:dyDescent="0.35">
      <c r="A995" t="e" cm="1">
        <f t="array" aca="1" ref="A995" ca="1">IF(A994="","",IF(OR(AND(A994+1&gt;=$AF$1,A994+1&lt;=$AF$2),AND(A994+1&gt;=$AF$6,A994+1&lt;=$AF$7),AND(A994+1&gt;=$AF$3,A994+1&lt;=$AF$4),AND(A994+1&gt;=$AF$8,A994+1&lt;=$AF$9),A994+1=$AF$5),IF(NOT(ISBLANK(INDIRECT("template!"&amp;"P"&amp;A994+1))),A994+1,IF(NOT(ISBLANK(INDIRECT("template!"&amp;"P"&amp;A994+2))),A994+2,A994+3)),IF(A994=$AF$2,$AF$3,IF(A994=$AF$4,$AF$5,IF(A994=$AF$5,$AF$6,IF(A994=$AF$7,$AF$8,""))))))</f>
        <v>#REF!</v>
      </c>
      <c r="B995" t="e">
        <f t="shared" ca="1" si="87"/>
        <v>#REF!</v>
      </c>
      <c r="C995" t="e" cm="1">
        <f t="array" aca="1" ref="C995" ca="1">IF(A995="","",IF(B995="safety","safety costs",INDIRECT("template!"&amp;"B"&amp;A995)))</f>
        <v>#REF!</v>
      </c>
      <c r="D995" t="e" cm="1">
        <f t="array" aca="1" ref="D995" ca="1">IF(OR(A995="",B995="safety"),"",INDIRECT("template!"&amp;"C"&amp;A995))</f>
        <v>#REF!</v>
      </c>
      <c r="E995" t="e" cm="1">
        <f t="array" aca="1" ref="E995" ca="1">IF(A995="","",IF(OR(A995=A994+1,A995=A994+2),E994,INDIRECT("template!"&amp;"D"&amp;A995-2)))</f>
        <v>#REF!</v>
      </c>
      <c r="F995" t="e" cm="1">
        <f t="array" aca="1" ref="F995" ca="1">IF(OR(A995="",B995="safety"),"",IF(ISBLANK(IF(A995=A994+1,F994,INDIRECT("template!"&amp;"D"&amp;A995-1))),"",IF(A995=A994+1,F994,INDIRECT("template!"&amp;"D"&amp;A995-1))))</f>
        <v>#REF!</v>
      </c>
      <c r="G995" t="e" cm="1">
        <f t="array" aca="1" ref="G995" ca="1">IF(OR(A995="",B995="safety"),"",IF(ISBLANK(INDIRECT("template!"&amp;"D"&amp;A995)),"",INDIRECT("template!"&amp;"D"&amp;A995)))</f>
        <v>#REF!</v>
      </c>
      <c r="H995" t="e" cm="1">
        <f t="array" aca="1" ref="H995" ca="1">IF(OR(A995="",B995="safety"),"",IF(ISBLANK(INDIRECT("template!"&amp;"E"&amp;A995)),"",INDIRECT("template!"&amp;"E"&amp;A995)))</f>
        <v>#REF!</v>
      </c>
      <c r="I995" t="e" cm="1">
        <f t="array" aca="1" ref="I995" ca="1">IF(OR(A995="",B995="safety"),"",IF(ISBLANK(INDIRECT("template!"&amp;"F"&amp;A995)),"",INDIRECT("template!"&amp;"F"&amp;A995)))</f>
        <v>#REF!</v>
      </c>
      <c r="J995" t="e" cm="1">
        <f t="array" aca="1" ref="J995" ca="1">IF(OR(A995="",B995="safety"),"",IF(ISBLANK(INDIRECT("template!"&amp;"G"&amp;A995)),"",INDIRECT("template!"&amp;"G"&amp;A995)))</f>
        <v>#REF!</v>
      </c>
      <c r="K995" t="e" cm="1">
        <f t="array" aca="1" ref="K995" ca="1">IF(OR(A995="",B995="safety"),"",IF(ISBLANK(INDIRECT("template!"&amp;"H"&amp;A995)),"",INDIRECT("template!"&amp;"H"&amp;A995)))</f>
        <v>#REF!</v>
      </c>
      <c r="L995" t="e" cm="1">
        <f t="array" aca="1" ref="L995" ca="1">IF(OR(A995="",B995="safety"),"",INDIRECT("template!"&amp;"I"&amp;A995))</f>
        <v>#REF!</v>
      </c>
      <c r="M995" t="e" cm="1">
        <f t="array" aca="1" ref="M995" ca="1">IF(OR(A995="",B995="safety"),"",INDIRECT("template!"&amp;"J"&amp;A995))</f>
        <v>#REF!</v>
      </c>
      <c r="N995" t="e" cm="1">
        <f t="array" aca="1" ref="N995" ca="1">IF(OR(A995="",B995="safety"),"",IF(ISBLANK(INDIRECT("template!"&amp;"K"&amp;A995)),"",INDIRECT("template!"&amp;"K"&amp;A995)))</f>
        <v>#REF!</v>
      </c>
      <c r="O995" t="e" cm="1">
        <f t="array" aca="1" ref="O995" ca="1">IF(OR(A995="",B995="safety"),"",INDIRECT("template!"&amp;"L"&amp;A995))</f>
        <v>#REF!</v>
      </c>
      <c r="P995" t="e" cm="1">
        <f t="array" aca="1" ref="P995" ca="1">IF(OR(A995="",B995="safety"),"",INDIRECT("template!"&amp;"M"&amp;A995))</f>
        <v>#REF!</v>
      </c>
      <c r="Q995" t="e">
        <f t="shared" ca="1" si="88"/>
        <v>#REF!</v>
      </c>
      <c r="R995" t="e">
        <f t="shared" ca="1" si="89"/>
        <v>#REF!</v>
      </c>
      <c r="S995" t="e">
        <f t="shared" ca="1" si="90"/>
        <v>#REF!</v>
      </c>
      <c r="T995" t="e">
        <f t="shared" ca="1" si="91"/>
        <v>#REF!</v>
      </c>
      <c r="U995" t="e" cm="1">
        <f t="array" aca="1" ref="U995" ca="1">IF(A995="","",IF(E995="","",IF(B995="safety",INDIRECT("template!"&amp;"P"&amp;A995),Q995+R995)))</f>
        <v>#REF!</v>
      </c>
      <c r="V995" t="e" cm="1">
        <f t="array" aca="1" ref="V995" ca="1">IF(A995="","",IF(E995="","",IF(B995="safety",INDIRECT("template!"&amp;"P"&amp;A995),S995+T995)))</f>
        <v>#REF!</v>
      </c>
      <c r="W995" t="e">
        <f ca="1">IF(A995="","",IF(E995="","",#REF!))</f>
        <v>#REF!</v>
      </c>
      <c r="X995" t="e">
        <f ca="1">IF(A995="","",IF(E995="","",#REF!))</f>
        <v>#REF!</v>
      </c>
      <c r="Y995" s="39" t="e">
        <f ca="1">IF(A995="","",IF(E995="","",#REF!))</f>
        <v>#REF!</v>
      </c>
      <c r="Z995" t="e">
        <f ca="1">IF(A995="","",IF(E995="","",#REF!))</f>
        <v>#REF!</v>
      </c>
      <c r="AA995" t="e">
        <f ca="1">IF(A995="","",IF(E995="","",#REF!))</f>
        <v>#REF!</v>
      </c>
      <c r="AB995" t="e">
        <f ca="1">IF(A995="","",IF(E995="","",#REF!))</f>
        <v>#REF!</v>
      </c>
      <c r="AC995" t="e">
        <f t="shared" ca="1" si="92"/>
        <v>#REF!</v>
      </c>
    </row>
    <row r="996" spans="1:29" x14ac:dyDescent="0.35">
      <c r="A996" t="e" cm="1">
        <f t="array" aca="1" ref="A996" ca="1">IF(A995="","",IF(OR(AND(A995+1&gt;=$AF$1,A995+1&lt;=$AF$2),AND(A995+1&gt;=$AF$6,A995+1&lt;=$AF$7),AND(A995+1&gt;=$AF$3,A995+1&lt;=$AF$4),AND(A995+1&gt;=$AF$8,A995+1&lt;=$AF$9),A995+1=$AF$5),IF(NOT(ISBLANK(INDIRECT("template!"&amp;"P"&amp;A995+1))),A995+1,IF(NOT(ISBLANK(INDIRECT("template!"&amp;"P"&amp;A995+2))),A995+2,A995+3)),IF(A995=$AF$2,$AF$3,IF(A995=$AF$4,$AF$5,IF(A995=$AF$5,$AF$6,IF(A995=$AF$7,$AF$8,""))))))</f>
        <v>#REF!</v>
      </c>
      <c r="B996" t="e">
        <f t="shared" ca="1" si="87"/>
        <v>#REF!</v>
      </c>
      <c r="C996" t="e" cm="1">
        <f t="array" aca="1" ref="C996" ca="1">IF(A996="","",IF(B996="safety","safety costs",INDIRECT("template!"&amp;"B"&amp;A996)))</f>
        <v>#REF!</v>
      </c>
      <c r="D996" t="e" cm="1">
        <f t="array" aca="1" ref="D996" ca="1">IF(OR(A996="",B996="safety"),"",INDIRECT("template!"&amp;"C"&amp;A996))</f>
        <v>#REF!</v>
      </c>
      <c r="E996" t="e" cm="1">
        <f t="array" aca="1" ref="E996" ca="1">IF(A996="","",IF(OR(A996=A995+1,A996=A995+2),E995,INDIRECT("template!"&amp;"D"&amp;A996-2)))</f>
        <v>#REF!</v>
      </c>
      <c r="F996" t="e" cm="1">
        <f t="array" aca="1" ref="F996" ca="1">IF(OR(A996="",B996="safety"),"",IF(ISBLANK(IF(A996=A995+1,F995,INDIRECT("template!"&amp;"D"&amp;A996-1))),"",IF(A996=A995+1,F995,INDIRECT("template!"&amp;"D"&amp;A996-1))))</f>
        <v>#REF!</v>
      </c>
      <c r="G996" t="e" cm="1">
        <f t="array" aca="1" ref="G996" ca="1">IF(OR(A996="",B996="safety"),"",IF(ISBLANK(INDIRECT("template!"&amp;"D"&amp;A996)),"",INDIRECT("template!"&amp;"D"&amp;A996)))</f>
        <v>#REF!</v>
      </c>
      <c r="H996" t="e" cm="1">
        <f t="array" aca="1" ref="H996" ca="1">IF(OR(A996="",B996="safety"),"",IF(ISBLANK(INDIRECT("template!"&amp;"E"&amp;A996)),"",INDIRECT("template!"&amp;"E"&amp;A996)))</f>
        <v>#REF!</v>
      </c>
      <c r="I996" t="e" cm="1">
        <f t="array" aca="1" ref="I996" ca="1">IF(OR(A996="",B996="safety"),"",IF(ISBLANK(INDIRECT("template!"&amp;"F"&amp;A996)),"",INDIRECT("template!"&amp;"F"&amp;A996)))</f>
        <v>#REF!</v>
      </c>
      <c r="J996" t="e" cm="1">
        <f t="array" aca="1" ref="J996" ca="1">IF(OR(A996="",B996="safety"),"",IF(ISBLANK(INDIRECT("template!"&amp;"G"&amp;A996)),"",INDIRECT("template!"&amp;"G"&amp;A996)))</f>
        <v>#REF!</v>
      </c>
      <c r="K996" t="e" cm="1">
        <f t="array" aca="1" ref="K996" ca="1">IF(OR(A996="",B996="safety"),"",IF(ISBLANK(INDIRECT("template!"&amp;"H"&amp;A996)),"",INDIRECT("template!"&amp;"H"&amp;A996)))</f>
        <v>#REF!</v>
      </c>
      <c r="L996" t="e" cm="1">
        <f t="array" aca="1" ref="L996" ca="1">IF(OR(A996="",B996="safety"),"",INDIRECT("template!"&amp;"I"&amp;A996))</f>
        <v>#REF!</v>
      </c>
      <c r="M996" t="e" cm="1">
        <f t="array" aca="1" ref="M996" ca="1">IF(OR(A996="",B996="safety"),"",INDIRECT("template!"&amp;"J"&amp;A996))</f>
        <v>#REF!</v>
      </c>
      <c r="N996" t="e" cm="1">
        <f t="array" aca="1" ref="N996" ca="1">IF(OR(A996="",B996="safety"),"",IF(ISBLANK(INDIRECT("template!"&amp;"K"&amp;A996)),"",INDIRECT("template!"&amp;"K"&amp;A996)))</f>
        <v>#REF!</v>
      </c>
      <c r="O996" t="e" cm="1">
        <f t="array" aca="1" ref="O996" ca="1">IF(OR(A996="",B996="safety"),"",INDIRECT("template!"&amp;"L"&amp;A996))</f>
        <v>#REF!</v>
      </c>
      <c r="P996" t="e" cm="1">
        <f t="array" aca="1" ref="P996" ca="1">IF(OR(A996="",B996="safety"),"",INDIRECT("template!"&amp;"M"&amp;A996))</f>
        <v>#REF!</v>
      </c>
      <c r="Q996" t="e">
        <f t="shared" ca="1" si="88"/>
        <v>#REF!</v>
      </c>
      <c r="R996" t="e">
        <f t="shared" ca="1" si="89"/>
        <v>#REF!</v>
      </c>
      <c r="S996" t="e">
        <f t="shared" ca="1" si="90"/>
        <v>#REF!</v>
      </c>
      <c r="T996" t="e">
        <f t="shared" ca="1" si="91"/>
        <v>#REF!</v>
      </c>
      <c r="U996" t="e" cm="1">
        <f t="array" aca="1" ref="U996" ca="1">IF(A996="","",IF(E996="","",IF(B996="safety",INDIRECT("template!"&amp;"P"&amp;A996),Q996+R996)))</f>
        <v>#REF!</v>
      </c>
      <c r="V996" t="e" cm="1">
        <f t="array" aca="1" ref="V996" ca="1">IF(A996="","",IF(E996="","",IF(B996="safety",INDIRECT("template!"&amp;"P"&amp;A996),S996+T996)))</f>
        <v>#REF!</v>
      </c>
      <c r="W996" t="e">
        <f ca="1">IF(A996="","",IF(E996="","",#REF!))</f>
        <v>#REF!</v>
      </c>
      <c r="X996" t="e">
        <f ca="1">IF(A996="","",IF(E996="","",#REF!))</f>
        <v>#REF!</v>
      </c>
      <c r="Y996" s="39" t="e">
        <f ca="1">IF(A996="","",IF(E996="","",#REF!))</f>
        <v>#REF!</v>
      </c>
      <c r="Z996" t="e">
        <f ca="1">IF(A996="","",IF(E996="","",#REF!))</f>
        <v>#REF!</v>
      </c>
      <c r="AA996" t="e">
        <f ca="1">IF(A996="","",IF(E996="","",#REF!))</f>
        <v>#REF!</v>
      </c>
      <c r="AB996" t="e">
        <f ca="1">IF(A996="","",IF(E996="","",#REF!))</f>
        <v>#REF!</v>
      </c>
      <c r="AC996" t="e">
        <f t="shared" ca="1" si="92"/>
        <v>#REF!</v>
      </c>
    </row>
    <row r="997" spans="1:29" x14ac:dyDescent="0.35">
      <c r="A997" t="e" cm="1">
        <f t="array" aca="1" ref="A997" ca="1">IF(A996="","",IF(OR(AND(A996+1&gt;=$AF$1,A996+1&lt;=$AF$2),AND(A996+1&gt;=$AF$6,A996+1&lt;=$AF$7),AND(A996+1&gt;=$AF$3,A996+1&lt;=$AF$4),AND(A996+1&gt;=$AF$8,A996+1&lt;=$AF$9),A996+1=$AF$5),IF(NOT(ISBLANK(INDIRECT("template!"&amp;"P"&amp;A996+1))),A996+1,IF(NOT(ISBLANK(INDIRECT("template!"&amp;"P"&amp;A996+2))),A996+2,A996+3)),IF(A996=$AF$2,$AF$3,IF(A996=$AF$4,$AF$5,IF(A996=$AF$5,$AF$6,IF(A996=$AF$7,$AF$8,""))))))</f>
        <v>#REF!</v>
      </c>
      <c r="B997" t="e">
        <f t="shared" ca="1" si="87"/>
        <v>#REF!</v>
      </c>
      <c r="C997" t="e" cm="1">
        <f t="array" aca="1" ref="C997" ca="1">IF(A997="","",IF(B997="safety","safety costs",INDIRECT("template!"&amp;"B"&amp;A997)))</f>
        <v>#REF!</v>
      </c>
      <c r="D997" t="e" cm="1">
        <f t="array" aca="1" ref="D997" ca="1">IF(OR(A997="",B997="safety"),"",INDIRECT("template!"&amp;"C"&amp;A997))</f>
        <v>#REF!</v>
      </c>
      <c r="E997" t="e" cm="1">
        <f t="array" aca="1" ref="E997" ca="1">IF(A997="","",IF(OR(A997=A996+1,A997=A996+2),E996,INDIRECT("template!"&amp;"D"&amp;A997-2)))</f>
        <v>#REF!</v>
      </c>
      <c r="F997" t="e" cm="1">
        <f t="array" aca="1" ref="F997" ca="1">IF(OR(A997="",B997="safety"),"",IF(ISBLANK(IF(A997=A996+1,F996,INDIRECT("template!"&amp;"D"&amp;A997-1))),"",IF(A997=A996+1,F996,INDIRECT("template!"&amp;"D"&amp;A997-1))))</f>
        <v>#REF!</v>
      </c>
      <c r="G997" t="e" cm="1">
        <f t="array" aca="1" ref="G997" ca="1">IF(OR(A997="",B997="safety"),"",IF(ISBLANK(INDIRECT("template!"&amp;"D"&amp;A997)),"",INDIRECT("template!"&amp;"D"&amp;A997)))</f>
        <v>#REF!</v>
      </c>
      <c r="H997" t="e" cm="1">
        <f t="array" aca="1" ref="H997" ca="1">IF(OR(A997="",B997="safety"),"",IF(ISBLANK(INDIRECT("template!"&amp;"E"&amp;A997)),"",INDIRECT("template!"&amp;"E"&amp;A997)))</f>
        <v>#REF!</v>
      </c>
      <c r="I997" t="e" cm="1">
        <f t="array" aca="1" ref="I997" ca="1">IF(OR(A997="",B997="safety"),"",IF(ISBLANK(INDIRECT("template!"&amp;"F"&amp;A997)),"",INDIRECT("template!"&amp;"F"&amp;A997)))</f>
        <v>#REF!</v>
      </c>
      <c r="J997" t="e" cm="1">
        <f t="array" aca="1" ref="J997" ca="1">IF(OR(A997="",B997="safety"),"",IF(ISBLANK(INDIRECT("template!"&amp;"G"&amp;A997)),"",INDIRECT("template!"&amp;"G"&amp;A997)))</f>
        <v>#REF!</v>
      </c>
      <c r="K997" t="e" cm="1">
        <f t="array" aca="1" ref="K997" ca="1">IF(OR(A997="",B997="safety"),"",IF(ISBLANK(INDIRECT("template!"&amp;"H"&amp;A997)),"",INDIRECT("template!"&amp;"H"&amp;A997)))</f>
        <v>#REF!</v>
      </c>
      <c r="L997" t="e" cm="1">
        <f t="array" aca="1" ref="L997" ca="1">IF(OR(A997="",B997="safety"),"",INDIRECT("template!"&amp;"I"&amp;A997))</f>
        <v>#REF!</v>
      </c>
      <c r="M997" t="e" cm="1">
        <f t="array" aca="1" ref="M997" ca="1">IF(OR(A997="",B997="safety"),"",INDIRECT("template!"&amp;"J"&amp;A997))</f>
        <v>#REF!</v>
      </c>
      <c r="N997" t="e" cm="1">
        <f t="array" aca="1" ref="N997" ca="1">IF(OR(A997="",B997="safety"),"",IF(ISBLANK(INDIRECT("template!"&amp;"K"&amp;A997)),"",INDIRECT("template!"&amp;"K"&amp;A997)))</f>
        <v>#REF!</v>
      </c>
      <c r="O997" t="e" cm="1">
        <f t="array" aca="1" ref="O997" ca="1">IF(OR(A997="",B997="safety"),"",INDIRECT("template!"&amp;"L"&amp;A997))</f>
        <v>#REF!</v>
      </c>
      <c r="P997" t="e" cm="1">
        <f t="array" aca="1" ref="P997" ca="1">IF(OR(A997="",B997="safety"),"",INDIRECT("template!"&amp;"M"&amp;A997))</f>
        <v>#REF!</v>
      </c>
      <c r="Q997" t="e">
        <f t="shared" ca="1" si="88"/>
        <v>#REF!</v>
      </c>
      <c r="R997" t="e">
        <f t="shared" ca="1" si="89"/>
        <v>#REF!</v>
      </c>
      <c r="S997" t="e">
        <f t="shared" ca="1" si="90"/>
        <v>#REF!</v>
      </c>
      <c r="T997" t="e">
        <f t="shared" ca="1" si="91"/>
        <v>#REF!</v>
      </c>
      <c r="U997" t="e" cm="1">
        <f t="array" aca="1" ref="U997" ca="1">IF(A997="","",IF(E997="","",IF(B997="safety",INDIRECT("template!"&amp;"P"&amp;A997),Q997+R997)))</f>
        <v>#REF!</v>
      </c>
      <c r="V997" t="e" cm="1">
        <f t="array" aca="1" ref="V997" ca="1">IF(A997="","",IF(E997="","",IF(B997="safety",INDIRECT("template!"&amp;"P"&amp;A997),S997+T997)))</f>
        <v>#REF!</v>
      </c>
      <c r="W997" t="e">
        <f ca="1">IF(A997="","",IF(E997="","",#REF!))</f>
        <v>#REF!</v>
      </c>
      <c r="X997" t="e">
        <f ca="1">IF(A997="","",IF(E997="","",#REF!))</f>
        <v>#REF!</v>
      </c>
      <c r="Y997" s="39" t="e">
        <f ca="1">IF(A997="","",IF(E997="","",#REF!))</f>
        <v>#REF!</v>
      </c>
      <c r="Z997" t="e">
        <f ca="1">IF(A997="","",IF(E997="","",#REF!))</f>
        <v>#REF!</v>
      </c>
      <c r="AA997" t="e">
        <f ca="1">IF(A997="","",IF(E997="","",#REF!))</f>
        <v>#REF!</v>
      </c>
      <c r="AB997" t="e">
        <f ca="1">IF(A997="","",IF(E997="","",#REF!))</f>
        <v>#REF!</v>
      </c>
      <c r="AC997" t="e">
        <f t="shared" ca="1" si="92"/>
        <v>#REF!</v>
      </c>
    </row>
    <row r="998" spans="1:29" x14ac:dyDescent="0.35">
      <c r="A998" t="e" cm="1">
        <f t="array" aca="1" ref="A998" ca="1">IF(A997="","",IF(OR(AND(A997+1&gt;=$AF$1,A997+1&lt;=$AF$2),AND(A997+1&gt;=$AF$6,A997+1&lt;=$AF$7),AND(A997+1&gt;=$AF$3,A997+1&lt;=$AF$4),AND(A997+1&gt;=$AF$8,A997+1&lt;=$AF$9),A997+1=$AF$5),IF(NOT(ISBLANK(INDIRECT("template!"&amp;"P"&amp;A997+1))),A997+1,IF(NOT(ISBLANK(INDIRECT("template!"&amp;"P"&amp;A997+2))),A997+2,A997+3)),IF(A997=$AF$2,$AF$3,IF(A997=$AF$4,$AF$5,IF(A997=$AF$5,$AF$6,IF(A997=$AF$7,$AF$8,""))))))</f>
        <v>#REF!</v>
      </c>
      <c r="B998" t="e">
        <f t="shared" ca="1" si="87"/>
        <v>#REF!</v>
      </c>
      <c r="C998" t="e" cm="1">
        <f t="array" aca="1" ref="C998" ca="1">IF(A998="","",IF(B998="safety","safety costs",INDIRECT("template!"&amp;"B"&amp;A998)))</f>
        <v>#REF!</v>
      </c>
      <c r="D998" t="e" cm="1">
        <f t="array" aca="1" ref="D998" ca="1">IF(OR(A998="",B998="safety"),"",INDIRECT("template!"&amp;"C"&amp;A998))</f>
        <v>#REF!</v>
      </c>
      <c r="E998" t="e" cm="1">
        <f t="array" aca="1" ref="E998" ca="1">IF(A998="","",IF(OR(A998=A997+1,A998=A997+2),E997,INDIRECT("template!"&amp;"D"&amp;A998-2)))</f>
        <v>#REF!</v>
      </c>
      <c r="F998" t="e" cm="1">
        <f t="array" aca="1" ref="F998" ca="1">IF(OR(A998="",B998="safety"),"",IF(ISBLANK(IF(A998=A997+1,F997,INDIRECT("template!"&amp;"D"&amp;A998-1))),"",IF(A998=A997+1,F997,INDIRECT("template!"&amp;"D"&amp;A998-1))))</f>
        <v>#REF!</v>
      </c>
      <c r="G998" t="e" cm="1">
        <f t="array" aca="1" ref="G998" ca="1">IF(OR(A998="",B998="safety"),"",IF(ISBLANK(INDIRECT("template!"&amp;"D"&amp;A998)),"",INDIRECT("template!"&amp;"D"&amp;A998)))</f>
        <v>#REF!</v>
      </c>
      <c r="H998" t="e" cm="1">
        <f t="array" aca="1" ref="H998" ca="1">IF(OR(A998="",B998="safety"),"",IF(ISBLANK(INDIRECT("template!"&amp;"E"&amp;A998)),"",INDIRECT("template!"&amp;"E"&amp;A998)))</f>
        <v>#REF!</v>
      </c>
      <c r="I998" t="e" cm="1">
        <f t="array" aca="1" ref="I998" ca="1">IF(OR(A998="",B998="safety"),"",IF(ISBLANK(INDIRECT("template!"&amp;"F"&amp;A998)),"",INDIRECT("template!"&amp;"F"&amp;A998)))</f>
        <v>#REF!</v>
      </c>
      <c r="J998" t="e" cm="1">
        <f t="array" aca="1" ref="J998" ca="1">IF(OR(A998="",B998="safety"),"",IF(ISBLANK(INDIRECT("template!"&amp;"G"&amp;A998)),"",INDIRECT("template!"&amp;"G"&amp;A998)))</f>
        <v>#REF!</v>
      </c>
      <c r="K998" t="e" cm="1">
        <f t="array" aca="1" ref="K998" ca="1">IF(OR(A998="",B998="safety"),"",IF(ISBLANK(INDIRECT("template!"&amp;"H"&amp;A998)),"",INDIRECT("template!"&amp;"H"&amp;A998)))</f>
        <v>#REF!</v>
      </c>
      <c r="L998" t="e" cm="1">
        <f t="array" aca="1" ref="L998" ca="1">IF(OR(A998="",B998="safety"),"",INDIRECT("template!"&amp;"I"&amp;A998))</f>
        <v>#REF!</v>
      </c>
      <c r="M998" t="e" cm="1">
        <f t="array" aca="1" ref="M998" ca="1">IF(OR(A998="",B998="safety"),"",INDIRECT("template!"&amp;"J"&amp;A998))</f>
        <v>#REF!</v>
      </c>
      <c r="N998" t="e" cm="1">
        <f t="array" aca="1" ref="N998" ca="1">IF(OR(A998="",B998="safety"),"",IF(ISBLANK(INDIRECT("template!"&amp;"K"&amp;A998)),"",INDIRECT("template!"&amp;"K"&amp;A998)))</f>
        <v>#REF!</v>
      </c>
      <c r="O998" t="e" cm="1">
        <f t="array" aca="1" ref="O998" ca="1">IF(OR(A998="",B998="safety"),"",INDIRECT("template!"&amp;"L"&amp;A998))</f>
        <v>#REF!</v>
      </c>
      <c r="P998" t="e" cm="1">
        <f t="array" aca="1" ref="P998" ca="1">IF(OR(A998="",B998="safety"),"",INDIRECT("template!"&amp;"M"&amp;A998))</f>
        <v>#REF!</v>
      </c>
      <c r="Q998" t="e">
        <f t="shared" ca="1" si="88"/>
        <v>#REF!</v>
      </c>
      <c r="R998" t="e">
        <f t="shared" ca="1" si="89"/>
        <v>#REF!</v>
      </c>
      <c r="S998" t="e">
        <f t="shared" ca="1" si="90"/>
        <v>#REF!</v>
      </c>
      <c r="T998" t="e">
        <f t="shared" ca="1" si="91"/>
        <v>#REF!</v>
      </c>
      <c r="U998" t="e" cm="1">
        <f t="array" aca="1" ref="U998" ca="1">IF(A998="","",IF(E998="","",IF(B998="safety",INDIRECT("template!"&amp;"P"&amp;A998),Q998+R998)))</f>
        <v>#REF!</v>
      </c>
      <c r="V998" t="e" cm="1">
        <f t="array" aca="1" ref="V998" ca="1">IF(A998="","",IF(E998="","",IF(B998="safety",INDIRECT("template!"&amp;"P"&amp;A998),S998+T998)))</f>
        <v>#REF!</v>
      </c>
      <c r="W998" t="e">
        <f ca="1">IF(A998="","",IF(E998="","",#REF!))</f>
        <v>#REF!</v>
      </c>
      <c r="X998" t="e">
        <f ca="1">IF(A998="","",IF(E998="","",#REF!))</f>
        <v>#REF!</v>
      </c>
      <c r="Y998" s="39" t="e">
        <f ca="1">IF(A998="","",IF(E998="","",#REF!))</f>
        <v>#REF!</v>
      </c>
      <c r="Z998" t="e">
        <f ca="1">IF(A998="","",IF(E998="","",#REF!))</f>
        <v>#REF!</v>
      </c>
      <c r="AA998" t="e">
        <f ca="1">IF(A998="","",IF(E998="","",#REF!))</f>
        <v>#REF!</v>
      </c>
      <c r="AB998" t="e">
        <f ca="1">IF(A998="","",IF(E998="","",#REF!))</f>
        <v>#REF!</v>
      </c>
      <c r="AC998" t="e">
        <f t="shared" ca="1" si="92"/>
        <v>#REF!</v>
      </c>
    </row>
    <row r="999" spans="1:29" x14ac:dyDescent="0.35">
      <c r="A999" t="e" cm="1">
        <f t="array" aca="1" ref="A999" ca="1">IF(A998="","",IF(OR(AND(A998+1&gt;=$AF$1,A998+1&lt;=$AF$2),AND(A998+1&gt;=$AF$6,A998+1&lt;=$AF$7),AND(A998+1&gt;=$AF$3,A998+1&lt;=$AF$4),AND(A998+1&gt;=$AF$8,A998+1&lt;=$AF$9),A998+1=$AF$5),IF(NOT(ISBLANK(INDIRECT("template!"&amp;"P"&amp;A998+1))),A998+1,IF(NOT(ISBLANK(INDIRECT("template!"&amp;"P"&amp;A998+2))),A998+2,A998+3)),IF(A998=$AF$2,$AF$3,IF(A998=$AF$4,$AF$5,IF(A998=$AF$5,$AF$6,IF(A998=$AF$7,$AF$8,""))))))</f>
        <v>#REF!</v>
      </c>
      <c r="B999" t="e">
        <f t="shared" ca="1" si="87"/>
        <v>#REF!</v>
      </c>
      <c r="C999" t="e" cm="1">
        <f t="array" aca="1" ref="C999" ca="1">IF(A999="","",IF(B999="safety","safety costs",INDIRECT("template!"&amp;"B"&amp;A999)))</f>
        <v>#REF!</v>
      </c>
      <c r="D999" t="e" cm="1">
        <f t="array" aca="1" ref="D999" ca="1">IF(OR(A999="",B999="safety"),"",INDIRECT("template!"&amp;"C"&amp;A999))</f>
        <v>#REF!</v>
      </c>
      <c r="E999" t="e" cm="1">
        <f t="array" aca="1" ref="E999" ca="1">IF(A999="","",IF(OR(A999=A998+1,A999=A998+2),E998,INDIRECT("template!"&amp;"D"&amp;A999-2)))</f>
        <v>#REF!</v>
      </c>
      <c r="F999" t="e" cm="1">
        <f t="array" aca="1" ref="F999" ca="1">IF(OR(A999="",B999="safety"),"",IF(ISBLANK(IF(A999=A998+1,F998,INDIRECT("template!"&amp;"D"&amp;A999-1))),"",IF(A999=A998+1,F998,INDIRECT("template!"&amp;"D"&amp;A999-1))))</f>
        <v>#REF!</v>
      </c>
      <c r="G999" t="e" cm="1">
        <f t="array" aca="1" ref="G999" ca="1">IF(OR(A999="",B999="safety"),"",IF(ISBLANK(INDIRECT("template!"&amp;"D"&amp;A999)),"",INDIRECT("template!"&amp;"D"&amp;A999)))</f>
        <v>#REF!</v>
      </c>
      <c r="H999" t="e" cm="1">
        <f t="array" aca="1" ref="H999" ca="1">IF(OR(A999="",B999="safety"),"",IF(ISBLANK(INDIRECT("template!"&amp;"E"&amp;A999)),"",INDIRECT("template!"&amp;"E"&amp;A999)))</f>
        <v>#REF!</v>
      </c>
      <c r="I999" t="e" cm="1">
        <f t="array" aca="1" ref="I999" ca="1">IF(OR(A999="",B999="safety"),"",IF(ISBLANK(INDIRECT("template!"&amp;"F"&amp;A999)),"",INDIRECT("template!"&amp;"F"&amp;A999)))</f>
        <v>#REF!</v>
      </c>
      <c r="J999" t="e" cm="1">
        <f t="array" aca="1" ref="J999" ca="1">IF(OR(A999="",B999="safety"),"",IF(ISBLANK(INDIRECT("template!"&amp;"G"&amp;A999)),"",INDIRECT("template!"&amp;"G"&amp;A999)))</f>
        <v>#REF!</v>
      </c>
      <c r="K999" t="e" cm="1">
        <f t="array" aca="1" ref="K999" ca="1">IF(OR(A999="",B999="safety"),"",IF(ISBLANK(INDIRECT("template!"&amp;"H"&amp;A999)),"",INDIRECT("template!"&amp;"H"&amp;A999)))</f>
        <v>#REF!</v>
      </c>
      <c r="L999" t="e" cm="1">
        <f t="array" aca="1" ref="L999" ca="1">IF(OR(A999="",B999="safety"),"",INDIRECT("template!"&amp;"I"&amp;A999))</f>
        <v>#REF!</v>
      </c>
      <c r="M999" t="e" cm="1">
        <f t="array" aca="1" ref="M999" ca="1">IF(OR(A999="",B999="safety"),"",INDIRECT("template!"&amp;"J"&amp;A999))</f>
        <v>#REF!</v>
      </c>
      <c r="N999" t="e" cm="1">
        <f t="array" aca="1" ref="N999" ca="1">IF(OR(A999="",B999="safety"),"",IF(ISBLANK(INDIRECT("template!"&amp;"K"&amp;A999)),"",INDIRECT("template!"&amp;"K"&amp;A999)))</f>
        <v>#REF!</v>
      </c>
      <c r="O999" t="e" cm="1">
        <f t="array" aca="1" ref="O999" ca="1">IF(OR(A999="",B999="safety"),"",INDIRECT("template!"&amp;"L"&amp;A999))</f>
        <v>#REF!</v>
      </c>
      <c r="P999" t="e" cm="1">
        <f t="array" aca="1" ref="P999" ca="1">IF(OR(A999="",B999="safety"),"",INDIRECT("template!"&amp;"M"&amp;A999))</f>
        <v>#REF!</v>
      </c>
      <c r="Q999" t="e">
        <f t="shared" ca="1" si="88"/>
        <v>#REF!</v>
      </c>
      <c r="R999" t="e">
        <f t="shared" ca="1" si="89"/>
        <v>#REF!</v>
      </c>
      <c r="S999" t="e">
        <f t="shared" ca="1" si="90"/>
        <v>#REF!</v>
      </c>
      <c r="T999" t="e">
        <f t="shared" ca="1" si="91"/>
        <v>#REF!</v>
      </c>
      <c r="U999" t="e" cm="1">
        <f t="array" aca="1" ref="U999" ca="1">IF(A999="","",IF(E999="","",IF(B999="safety",INDIRECT("template!"&amp;"P"&amp;A999),Q999+R999)))</f>
        <v>#REF!</v>
      </c>
      <c r="V999" t="e" cm="1">
        <f t="array" aca="1" ref="V999" ca="1">IF(A999="","",IF(E999="","",IF(B999="safety",INDIRECT("template!"&amp;"P"&amp;A999),S999+T999)))</f>
        <v>#REF!</v>
      </c>
      <c r="W999" t="e">
        <f ca="1">IF(A999="","",IF(E999="","",#REF!))</f>
        <v>#REF!</v>
      </c>
      <c r="X999" t="e">
        <f ca="1">IF(A999="","",IF(E999="","",#REF!))</f>
        <v>#REF!</v>
      </c>
      <c r="Y999" s="39" t="e">
        <f ca="1">IF(A999="","",IF(E999="","",#REF!))</f>
        <v>#REF!</v>
      </c>
      <c r="Z999" t="e">
        <f ca="1">IF(A999="","",IF(E999="","",#REF!))</f>
        <v>#REF!</v>
      </c>
      <c r="AA999" t="e">
        <f ca="1">IF(A999="","",IF(E999="","",#REF!))</f>
        <v>#REF!</v>
      </c>
      <c r="AB999" t="e">
        <f ca="1">IF(A999="","",IF(E999="","",#REF!))</f>
        <v>#REF!</v>
      </c>
      <c r="AC999" t="e">
        <f t="shared" ca="1" si="92"/>
        <v>#REF!</v>
      </c>
    </row>
    <row r="1000" spans="1:29" x14ac:dyDescent="0.35">
      <c r="A1000" t="e" cm="1">
        <f t="array" aca="1" ref="A1000" ca="1">IF(A999="","",IF(OR(AND(A999+1&gt;=$AF$1,A999+1&lt;=$AF$2),AND(A999+1&gt;=$AF$6,A999+1&lt;=$AF$7),AND(A999+1&gt;=$AF$3,A999+1&lt;=$AF$4),AND(A999+1&gt;=$AF$8,A999+1&lt;=$AF$9),A999+1=$AF$5),IF(NOT(ISBLANK(INDIRECT("template!"&amp;"P"&amp;A999+1))),A999+1,IF(NOT(ISBLANK(INDIRECT("template!"&amp;"P"&amp;A999+2))),A999+2,A999+3)),IF(A999=$AF$2,$AF$3,IF(A999=$AF$4,$AF$5,IF(A999=$AF$5,$AF$6,IF(A999=$AF$7,$AF$8,""))))))</f>
        <v>#REF!</v>
      </c>
      <c r="B1000" t="e">
        <f t="shared" ca="1" si="87"/>
        <v>#REF!</v>
      </c>
      <c r="C1000" t="e" cm="1">
        <f t="array" aca="1" ref="C1000" ca="1">IF(A1000="","",IF(B1000="safety","safety costs",INDIRECT("template!"&amp;"B"&amp;A1000)))</f>
        <v>#REF!</v>
      </c>
      <c r="D1000" t="e" cm="1">
        <f t="array" aca="1" ref="D1000" ca="1">IF(OR(A1000="",B1000="safety"),"",INDIRECT("template!"&amp;"C"&amp;A1000))</f>
        <v>#REF!</v>
      </c>
      <c r="E1000" t="e" cm="1">
        <f t="array" aca="1" ref="E1000" ca="1">IF(A1000="","",IF(OR(A1000=A999+1,A1000=A999+2),E999,INDIRECT("template!"&amp;"D"&amp;A1000-2)))</f>
        <v>#REF!</v>
      </c>
      <c r="F1000" t="e" cm="1">
        <f t="array" aca="1" ref="F1000" ca="1">IF(OR(A1000="",B1000="safety"),"",IF(ISBLANK(IF(A1000=A999+1,F999,INDIRECT("template!"&amp;"D"&amp;A1000-1))),"",IF(A1000=A999+1,F999,INDIRECT("template!"&amp;"D"&amp;A1000-1))))</f>
        <v>#REF!</v>
      </c>
      <c r="G1000" t="e" cm="1">
        <f t="array" aca="1" ref="G1000" ca="1">IF(OR(A1000="",B1000="safety"),"",IF(ISBLANK(INDIRECT("template!"&amp;"D"&amp;A1000)),"",INDIRECT("template!"&amp;"D"&amp;A1000)))</f>
        <v>#REF!</v>
      </c>
      <c r="H1000" t="e" cm="1">
        <f t="array" aca="1" ref="H1000" ca="1">IF(OR(A1000="",B1000="safety"),"",IF(ISBLANK(INDIRECT("template!"&amp;"E"&amp;A1000)),"",INDIRECT("template!"&amp;"E"&amp;A1000)))</f>
        <v>#REF!</v>
      </c>
      <c r="I1000" t="e" cm="1">
        <f t="array" aca="1" ref="I1000" ca="1">IF(OR(A1000="",B1000="safety"),"",IF(ISBLANK(INDIRECT("template!"&amp;"F"&amp;A1000)),"",INDIRECT("template!"&amp;"F"&amp;A1000)))</f>
        <v>#REF!</v>
      </c>
      <c r="J1000" t="e" cm="1">
        <f t="array" aca="1" ref="J1000" ca="1">IF(OR(A1000="",B1000="safety"),"",IF(ISBLANK(INDIRECT("template!"&amp;"G"&amp;A1000)),"",INDIRECT("template!"&amp;"G"&amp;A1000)))</f>
        <v>#REF!</v>
      </c>
      <c r="K1000" t="e" cm="1">
        <f t="array" aca="1" ref="K1000" ca="1">IF(OR(A1000="",B1000="safety"),"",IF(ISBLANK(INDIRECT("template!"&amp;"H"&amp;A1000)),"",INDIRECT("template!"&amp;"H"&amp;A1000)))</f>
        <v>#REF!</v>
      </c>
      <c r="L1000" t="e" cm="1">
        <f t="array" aca="1" ref="L1000" ca="1">IF(OR(A1000="",B1000="safety"),"",INDIRECT("template!"&amp;"I"&amp;A1000))</f>
        <v>#REF!</v>
      </c>
      <c r="M1000" t="e" cm="1">
        <f t="array" aca="1" ref="M1000" ca="1">IF(OR(A1000="",B1000="safety"),"",INDIRECT("template!"&amp;"J"&amp;A1000))</f>
        <v>#REF!</v>
      </c>
      <c r="N1000" t="e" cm="1">
        <f t="array" aca="1" ref="N1000" ca="1">IF(OR(A1000="",B1000="safety"),"",IF(ISBLANK(INDIRECT("template!"&amp;"K"&amp;A1000)),"",INDIRECT("template!"&amp;"K"&amp;A1000)))</f>
        <v>#REF!</v>
      </c>
      <c r="O1000" t="e" cm="1">
        <f t="array" aca="1" ref="O1000" ca="1">IF(OR(A1000="",B1000="safety"),"",INDIRECT("template!"&amp;"L"&amp;A1000))</f>
        <v>#REF!</v>
      </c>
      <c r="P1000" t="e" cm="1">
        <f t="array" aca="1" ref="P1000" ca="1">IF(OR(A1000="",B1000="safety"),"",INDIRECT("template!"&amp;"M"&amp;A1000))</f>
        <v>#REF!</v>
      </c>
      <c r="Q1000" t="e">
        <f t="shared" ca="1" si="88"/>
        <v>#REF!</v>
      </c>
      <c r="R1000" t="e">
        <f t="shared" ca="1" si="89"/>
        <v>#REF!</v>
      </c>
      <c r="S1000" t="e">
        <f t="shared" ca="1" si="90"/>
        <v>#REF!</v>
      </c>
      <c r="T1000" t="e">
        <f t="shared" ca="1" si="91"/>
        <v>#REF!</v>
      </c>
      <c r="U1000" t="e" cm="1">
        <f t="array" aca="1" ref="U1000" ca="1">IF(A1000="","",IF(E1000="","",IF(B1000="safety",INDIRECT("template!"&amp;"P"&amp;A1000),Q1000+R1000)))</f>
        <v>#REF!</v>
      </c>
      <c r="V1000" t="e" cm="1">
        <f t="array" aca="1" ref="V1000" ca="1">IF(A1000="","",IF(E1000="","",IF(B1000="safety",INDIRECT("template!"&amp;"P"&amp;A1000),S1000+T1000)))</f>
        <v>#REF!</v>
      </c>
      <c r="W1000" t="e">
        <f ca="1">IF(A1000="","",IF(E1000="","",#REF!))</f>
        <v>#REF!</v>
      </c>
      <c r="X1000" t="e">
        <f ca="1">IF(A1000="","",IF(E1000="","",#REF!))</f>
        <v>#REF!</v>
      </c>
      <c r="Y1000" s="39" t="e">
        <f ca="1">IF(A1000="","",IF(E1000="","",#REF!))</f>
        <v>#REF!</v>
      </c>
      <c r="Z1000" t="e">
        <f ca="1">IF(A1000="","",IF(E1000="","",#REF!))</f>
        <v>#REF!</v>
      </c>
      <c r="AA1000" t="e">
        <f ca="1">IF(A1000="","",IF(E1000="","",#REF!))</f>
        <v>#REF!</v>
      </c>
      <c r="AB1000" t="e">
        <f ca="1">IF(A1000="","",IF(E1000="","",#REF!))</f>
        <v>#REF!</v>
      </c>
      <c r="AC1000" t="e">
        <f t="shared" ca="1" si="92"/>
        <v>#REF!</v>
      </c>
    </row>
  </sheetData>
  <sheetProtection algorithmName="SHA-512" hashValue="lB5CRu0HOoEYR0wULzc1gjlzqn5nQezV90AnX9UrYg/G4fZgB2nDt96R41c+UZIJhruBl61zFz9r0G78XQRAsA==" saltValue="dVpl45NE+htKj3OsndQ91w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</sheetPr>
  <dimension ref="A1"/>
  <sheetViews>
    <sheetView workbookViewId="0">
      <selection activeCell="G16" sqref="G16"/>
    </sheetView>
  </sheetViews>
  <sheetFormatPr defaultColWidth="8.81640625" defaultRowHeight="14.5" x14ac:dyDescent="0.35"/>
  <sheetData/>
  <pageMargins left="0.7" right="0.7" top="0.75" bottom="0.75" header="0.3" footer="0.3"/>
  <pageSetup orientation="portrait" r:id="rId1"/>
  <customProperties>
    <customPr name="DCFIdentifier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4"/>
  <sheetViews>
    <sheetView workbookViewId="0"/>
  </sheetViews>
  <sheetFormatPr defaultColWidth="8.81640625" defaultRowHeight="14.5" x14ac:dyDescent="0.35"/>
  <sheetData>
    <row r="1" spans="1:7" x14ac:dyDescent="0.35">
      <c r="A1" t="s">
        <v>421</v>
      </c>
      <c r="B1" t="s">
        <v>422</v>
      </c>
      <c r="C1" t="s">
        <v>423</v>
      </c>
      <c r="D1" t="s">
        <v>424</v>
      </c>
      <c r="E1" t="s">
        <v>425</v>
      </c>
      <c r="F1" t="s">
        <v>426</v>
      </c>
      <c r="G1" t="s">
        <v>427</v>
      </c>
    </row>
    <row r="2" spans="1:7" x14ac:dyDescent="0.35">
      <c r="A2" t="s">
        <v>428</v>
      </c>
      <c r="B2" t="s">
        <v>429</v>
      </c>
      <c r="C2" t="s">
        <v>430</v>
      </c>
      <c r="D2" t="s">
        <v>431</v>
      </c>
      <c r="E2" t="s">
        <v>432</v>
      </c>
      <c r="F2">
        <v>9</v>
      </c>
      <c r="G2" t="s">
        <v>433</v>
      </c>
    </row>
    <row r="3" spans="1:7" x14ac:dyDescent="0.35">
      <c r="A3" t="s">
        <v>434</v>
      </c>
      <c r="B3" t="s">
        <v>435</v>
      </c>
      <c r="C3" t="s">
        <v>436</v>
      </c>
      <c r="D3" t="s">
        <v>437</v>
      </c>
      <c r="E3" t="s">
        <v>438</v>
      </c>
      <c r="F3">
        <v>17</v>
      </c>
      <c r="G3" t="s">
        <v>439</v>
      </c>
    </row>
    <row r="4" spans="1:7" x14ac:dyDescent="0.35">
      <c r="A4" t="s">
        <v>440</v>
      </c>
      <c r="B4" t="s">
        <v>441</v>
      </c>
      <c r="C4" t="s">
        <v>442</v>
      </c>
      <c r="D4" t="s">
        <v>443</v>
      </c>
      <c r="E4" t="s">
        <v>444</v>
      </c>
      <c r="F4">
        <v>5</v>
      </c>
      <c r="G4" t="s">
        <v>445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2AADE72E579D4D8BF7F7C912E9791B" ma:contentTypeVersion="0" ma:contentTypeDescription="Create a new document." ma:contentTypeScope="" ma:versionID="09b6c738ad80c626c247c884d258179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75BE84-BA10-4217-9517-18D8680BE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955A15-B40B-43EF-8233-64E041E6CC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103A8C-921C-459C-BA57-3EBE8D98E64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562f007-09a4-4fcb-936b-e79246571fc7}" enabled="0" method="" siteId="{1562f007-09a4-4fcb-936b-e79246571fc7}" removed="1"/>
  <clbl:label id="{cf8c7287-838c-46dd-b281-b1140229e67a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AS-BUILT</vt:lpstr>
      <vt:lpstr>Sheet1</vt:lpstr>
      <vt:lpstr>Classified as UnClassified</vt:lpstr>
    </vt:vector>
  </TitlesOfParts>
  <Manager/>
  <Company>STMicroelectronics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Charly BURGAUD</dc:creator>
  <cp:keywords/>
  <dc:description/>
  <cp:lastModifiedBy>Luigi Perolari</cp:lastModifiedBy>
  <cp:revision/>
  <dcterms:created xsi:type="dcterms:W3CDTF">2018-02-16T08:53:10Z</dcterms:created>
  <dcterms:modified xsi:type="dcterms:W3CDTF">2026-05-04T16:21:44Z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0x010100802AADE72E579D4D8BF7F7C912E9791B</vt:lpwstr>
  </property>
  <property fmtid="{D5CDD505-2E9C-101B-9397-08002B2CF9AE}" pid="3" name="MSIP_Label_cf8c7287-838c-46dd-b281-b1140229e67a_Enabled">
    <vt:lpwstr>true</vt:lpwstr>
  </property>
  <property fmtid="{D5CDD505-2E9C-101B-9397-08002B2CF9AE}" pid="4" name="MSIP_Label_cf8c7287-838c-46dd-b281-b1140229e67a_SetDate">
    <vt:lpwstr>2021-06-22T07:59:44Z</vt:lpwstr>
  </property>
  <property fmtid="{D5CDD505-2E9C-101B-9397-08002B2CF9AE}" pid="5" name="MSIP_Label_cf8c7287-838c-46dd-b281-b1140229e67a_Method">
    <vt:lpwstr>Privileged</vt:lpwstr>
  </property>
  <property fmtid="{D5CDD505-2E9C-101B-9397-08002B2CF9AE}" pid="6" name="MSIP_Label_cf8c7287-838c-46dd-b281-b1140229e67a_Name">
    <vt:lpwstr>cf8c7287-838c-46dd-b281-b1140229e67a</vt:lpwstr>
  </property>
  <property fmtid="{D5CDD505-2E9C-101B-9397-08002B2CF9AE}" pid="7" name="MSIP_Label_cf8c7287-838c-46dd-b281-b1140229e67a_SiteId">
    <vt:lpwstr>75e027c9-20d5-47d5-b82f-77d7cd041e8f</vt:lpwstr>
  </property>
  <property fmtid="{D5CDD505-2E9C-101B-9397-08002B2CF9AE}" pid="8" name="MSIP_Label_cf8c7287-838c-46dd-b281-b1140229e67a_ActionId">
    <vt:lpwstr>ebd8485e-f6b8-46c1-acba-e5415924f60d</vt:lpwstr>
  </property>
  <property fmtid="{D5CDD505-2E9C-101B-9397-08002B2CF9AE}" pid="9" name="MSIP_Label_cf8c7287-838c-46dd-b281-b1140229e67a_ContentBits">
    <vt:lpwstr>0</vt:lpwstr>
  </property>
  <property fmtid="{D5CDD505-2E9C-101B-9397-08002B2CF9AE}" pid="10" name="MSIP_Label_64a238cc-6af3-4341-9d32-201b7e04331f_Enabled">
    <vt:lpwstr>true</vt:lpwstr>
  </property>
  <property fmtid="{D5CDD505-2E9C-101B-9397-08002B2CF9AE}" pid="11" name="MSIP_Label_64a238cc-6af3-4341-9d32-201b7e04331f_SetDate">
    <vt:lpwstr>2024-02-09T08:08:12Z</vt:lpwstr>
  </property>
  <property fmtid="{D5CDD505-2E9C-101B-9397-08002B2CF9AE}" pid="12" name="MSIP_Label_64a238cc-6af3-4341-9d32-201b7e04331f_Method">
    <vt:lpwstr>Standard</vt:lpwstr>
  </property>
  <property fmtid="{D5CDD505-2E9C-101B-9397-08002B2CF9AE}" pid="13" name="MSIP_Label_64a238cc-6af3-4341-9d32-201b7e04331f_Name">
    <vt:lpwstr>Internal</vt:lpwstr>
  </property>
  <property fmtid="{D5CDD505-2E9C-101B-9397-08002B2CF9AE}" pid="14" name="MSIP_Label_64a238cc-6af3-4341-9d32-201b7e04331f_SiteId">
    <vt:lpwstr>09ebfde1-6505-4c31-942f-18875ff0189d</vt:lpwstr>
  </property>
  <property fmtid="{D5CDD505-2E9C-101B-9397-08002B2CF9AE}" pid="15" name="MSIP_Label_64a238cc-6af3-4341-9d32-201b7e04331f_ActionId">
    <vt:lpwstr>743f9fcc-8fd3-43f6-8d58-f7986e184d54</vt:lpwstr>
  </property>
  <property fmtid="{D5CDD505-2E9C-101B-9397-08002B2CF9AE}" pid="16" name="MSIP_Label_64a238cc-6af3-4341-9d32-201b7e04331f_ContentBits">
    <vt:lpwstr>0</vt:lpwstr>
  </property>
</Properties>
</file>